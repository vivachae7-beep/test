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e14801b7a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673b9913319d42fb"/>
    <x:sheet xmlns:r="http://schemas.openxmlformats.org/officeDocument/2006/relationships" name="기준설정" sheetId="2" r:id="Rffaade281e1d41b3"/>
    <x:sheet xmlns:r="http://schemas.openxmlformats.org/officeDocument/2006/relationships" name="전기원장" sheetId="3" r:id="R1a11676ce22743bc"/>
    <x:sheet xmlns:r="http://schemas.openxmlformats.org/officeDocument/2006/relationships" name="당기원장" sheetId="4" r:id="R90d02ecf9bbc4f95"/>
    <x:sheet xmlns:r="http://schemas.openxmlformats.org/officeDocument/2006/relationships" name="계정비교" sheetId="5" r:id="R4fb734b8a4344f46"/>
    <x:sheet xmlns:r="http://schemas.openxmlformats.org/officeDocument/2006/relationships" name="세부원인분석" sheetId="6" r:id="R22d9009c61334b6f"/>
    <x:sheet xmlns:r="http://schemas.openxmlformats.org/officeDocument/2006/relationships" name="점검" sheetId="7" r:id="R172dba03ea8344d7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"/>
    <x:numFmt numFmtId="202" formatCode="yyyy-mm-dd"/>
    <x:numFmt numFmtId="203" formatCode="#,##0;[Red](#,##0);-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3"/>
      <x:color rgb="FF1F2937"/>
      <x:name val="Carlito"/>
    </x:font>
    <x:font>
      <x:b/>
      <x:sz val="11"/>
      <x:color rgb="FFC65911"/>
      <x:name val="Carlito"/>
    </x:font>
    <x:font>
      <x:b/>
      <x:sz val="11"/>
      <x:color rgb="FFFFFFFF"/>
      <x:name val="Carlito"/>
    </x:font>
    <x:font>
      <x:sz val="11"/>
      <x:color rgb="FF9C5700"/>
      <x:name val="Carlito"/>
    </x:font>
    <x:font>
      <x:b/>
      <x:sz val="11"/>
      <x:color rgb="FF0070C0"/>
      <x:name val="Carlito"/>
    </x:font>
    <x:font>
      <x:b/>
      <x:sz val="11"/>
      <x:color rgb="FF1F2937"/>
      <x:name val="Carlito"/>
    </x:font>
    <x:font>
      <x:b/>
      <x:sz val="11"/>
      <x:color rgb="FF9C5700"/>
      <x:name val="Carlito"/>
    </x:font>
    <x:font>
      <x:b/>
      <x:sz val="14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4EC"/>
      </x:patternFill>
    </x:fill>
    <x:fill>
      <x:patternFill patternType="solid">
        <x:fgColor rgb="FFEEF5FB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</x:fills>
  <x:borders count="22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B4C7E7"/>
      </x:right>
      <x:bottom style="thin">
        <x:color rgb="FFD9E2F3"/>
      </x:bottom>
    </x:border>
    <x:border>
      <x:left style="thin">
        <x:color rgb="FFD9E2F3"/>
      </x:left>
      <x:right style="thin">
        <x:color rgb="FFB4C7E7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B4C7E7"/>
      </x:right>
      <x:top style="thin">
        <x:color rgb="FFD9E2F3"/>
      </x:top>
    </x:border>
    <x:border>
      <x:right style="thin">
        <x:color rgb="FFB4C7E7"/>
      </x:right>
      <x:bottom style="hair">
        <x:color rgb="FFE7E6E6"/>
      </x:bottom>
    </x:border>
    <x:border>
      <x:left style="thin">
        <x:color rgb="FFB4C7E7"/>
      </x:left>
      <x:right style="thin">
        <x:color rgb="FFB4C7E7"/>
      </x:right>
      <x:bottom style="hair">
        <x:color rgb="FFE7E6E6"/>
      </x:bottom>
    </x:border>
    <x:border>
      <x:top style="hair">
        <x:color rgb="FFE7E6E6"/>
      </x:top>
      <x:bottom style="hair">
        <x:color rgb="FFE7E6E6"/>
      </x:bottom>
    </x:border>
    <x:border>
      <x:right style="thin">
        <x:color rgb="FFB4C7E7"/>
      </x:right>
      <x:top style="hair">
        <x:color rgb="FFE7E6E6"/>
      </x:top>
      <x:bottom style="hair">
        <x:color rgb="FFE7E6E6"/>
      </x:bottom>
    </x:border>
    <x:border>
      <x:top style="hair">
        <x:color rgb="FFE7E6E6"/>
      </x:top>
    </x:border>
    <x:border>
      <x:right style="thin">
        <x:color rgb="FFB4C7E7"/>
      </x:right>
      <x:top style="hair">
        <x:color rgb="FFE7E6E6"/>
      </x:top>
    </x:border>
  </x:borders>
  <x:cellStyleXfs count="1">
    <x:xf numFmtId="0" fontId="0" fillId="0" borderId="0"/>
  </x:cellStyleXfs>
  <x:cellXfs count="9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1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2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0" fontId="7" fillId="6" borderId="0" xfId="0" applyNumberFormat="1" applyFont="1" applyFill="1" applyBorder="1"/>
    <x:xf numFmtId="201" fontId="7" fillId="6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200" fontId="7" fillId="6" borderId="11" xfId="0" applyNumberFormat="1" applyFont="1" applyFill="1" applyBorder="1"/>
    <x:xf numFmtId="0" fontId="0" fillId="0" borderId="14" xfId="0" applyNumberFormat="1" applyFont="1" applyFill="1" applyBorder="1"/>
    <x:xf numFmtId="201" fontId="7" fillId="6" borderId="11" xfId="0" applyNumberFormat="1" applyFont="1" applyFill="1" applyBorder="1"/>
    <x:xf numFmtId="201" fontId="7" fillId="6" borderId="12" xfId="0" applyNumberFormat="1" applyFont="1" applyFill="1" applyBorder="1"/>
    <x:xf numFmtId="0" fontId="0" fillId="0" borderId="15" xfId="0" applyNumberFormat="1" applyFont="1" applyFill="1" applyBorder="1"/>
    <x:xf numFmtId="0" fontId="8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7" borderId="0" xfId="0" applyNumberFormat="1" applyFont="1" applyFill="1" applyBorder="1"/>
    <x:xf numFmtId="0" fontId="0" fillId="7" borderId="0" xfId="0" applyNumberFormat="1" applyFont="1" applyFill="1" applyBorder="1"/>
    <x:xf numFmtId="0" fontId="5" fillId="2" borderId="16" xfId="0" applyNumberFormat="1" applyFont="1" applyFill="1" applyBorder="1" applyAlignment="1">
      <x:alignment horizontal="center" vertical="center" wrapText="1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202" fontId="0" fillId="0" borderId="18" xfId="0" applyNumberFormat="1" applyFont="1" applyFill="1" applyBorder="1"/>
    <x:xf numFmtId="203" fontId="0" fillId="0" borderId="18" xfId="0" applyNumberFormat="1" applyFont="1" applyFill="1" applyBorder="1"/>
    <x:xf numFmtId="203" fontId="0" fillId="7" borderId="18" xfId="0" applyNumberFormat="1" applyFont="1" applyFill="1" applyBorder="1"/>
    <x:xf numFmtId="0" fontId="0" fillId="7" borderId="18" xfId="0" applyNumberFormat="1" applyFont="1" applyFill="1" applyBorder="1"/>
    <x:xf numFmtId="0" fontId="0" fillId="6" borderId="19" xfId="0" applyNumberFormat="1" applyFont="1" applyFill="1" applyBorder="1"/>
    <x:xf numFmtId="0" fontId="0" fillId="0" borderId="20" xfId="0" applyNumberFormat="1" applyFont="1" applyFill="1" applyBorder="1"/>
    <x:xf numFmtId="202" fontId="0" fillId="0" borderId="20" xfId="0" applyNumberFormat="1" applyFont="1" applyFill="1" applyBorder="1"/>
    <x:xf numFmtId="203" fontId="0" fillId="0" borderId="20" xfId="0" applyNumberFormat="1" applyFont="1" applyFill="1" applyBorder="1"/>
    <x:xf numFmtId="203" fontId="0" fillId="7" borderId="20" xfId="0" applyNumberFormat="1" applyFont="1" applyFill="1" applyBorder="1"/>
    <x:xf numFmtId="0" fontId="0" fillId="7" borderId="20" xfId="0" applyNumberFormat="1" applyFont="1" applyFill="1" applyBorder="1"/>
    <x:xf numFmtId="0" fontId="0" fillId="6" borderId="21" xfId="0" applyNumberFormat="1" applyFont="1" applyFill="1" applyBorder="1"/>
    <x:xf numFmtId="200" fontId="0" fillId="0" borderId="0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f1bd77d454abc" /><Relationship Type="http://schemas.openxmlformats.org/officeDocument/2006/relationships/theme" Target="/xl/theme/theme1.xml" Id="Rc2f2175472044fc8" /><Relationship Type="http://schemas.openxmlformats.org/officeDocument/2006/relationships/sheetMetadata" Target="/xl/metadata1.xml" Id="R1ebdcffa06344ea3" /><Relationship Type="http://schemas.openxmlformats.org/officeDocument/2006/relationships/sharedStrings" Target="/xl/sharedStrings.xml" Id="R37e76f60404c40bf" /><Relationship Type="http://schemas.openxmlformats.org/officeDocument/2006/relationships/worksheet" Target="/xl/worksheets/sheet1.xml" Id="R673b9913319d42fb" /><Relationship Type="http://schemas.openxmlformats.org/officeDocument/2006/relationships/worksheet" Target="/xl/worksheets/sheet2.xml" Id="Rffaade281e1d41b3" /><Relationship Type="http://schemas.openxmlformats.org/officeDocument/2006/relationships/worksheet" Target="/xl/worksheets/sheet3.xml" Id="R1a11676ce22743bc" /><Relationship Type="http://schemas.openxmlformats.org/officeDocument/2006/relationships/worksheet" Target="/xl/worksheets/sheet4.xml" Id="R90d02ecf9bbc4f95" /><Relationship Type="http://schemas.openxmlformats.org/officeDocument/2006/relationships/worksheet" Target="/xl/worksheets/sheet5.xml" Id="R4fb734b8a4344f46" /><Relationship Type="http://schemas.openxmlformats.org/officeDocument/2006/relationships/worksheet" Target="/xl/worksheets/sheet6.xml" Id="R22d9009c61334b6f" /><Relationship Type="http://schemas.openxmlformats.org/officeDocument/2006/relationships/worksheet" Target="/xl/worksheets/sheet7.xml" Id="R172dba03ea83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2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4" t="str">
        <x:v>당기·전기 계정원장 비교분석</x:v>
      </x:c>
      <x:c r="B1" s="4" t="str">
        <x:v>당기·전기 계정원장 비교분석</x:v>
      </x:c>
      <x:c r="C1" s="4" t="str">
        <x:v>당기·전기 계정원장 비교분석</x:v>
      </x:c>
      <x:c r="D1" s="4" t="str">
        <x:v>당기·전기 계정원장 비교분석</x:v>
      </x:c>
      <x:c r="E1" s="4" t="str">
        <x:v>당기·전기 계정원장 비교분석</x:v>
      </x:c>
      <x:c r="F1" s="4" t="str">
        <x:v>당기·전기 계정원장 비교분석</x:v>
      </x:c>
      <x:c r="G1" s="4" t="str">
        <x:v>당기·전기 계정원장 비교분석</x:v>
      </x:c>
      <x:c r="H1" s="4" t="str">
        <x:v>당기·전기 계정원장 비교분석</x:v>
      </x:c>
    </x:row>
    <x:row r="2">
      <x:c r="A2" s="5" t="str">
        <x:v>계정별 증감과 중요 변동의 원인을 검토하는 재사용형 템플릿</x:v>
      </x:c>
    </x:row>
    <x:row r="4">
      <x:c r="A4" s="7" t="str">
        <x:v>사용 순서</x:v>
      </x:c>
      <x:c r="B4" s="7" t="str">
        <x:v>사용 순서</x:v>
      </x:c>
      <x:c r="C4" s="7" t="str">
        <x:v>사용 순서</x:v>
      </x:c>
      <x:c r="D4" s="7" t="str">
        <x:v>사용 순서</x:v>
      </x:c>
      <x:c r="E4" s="7" t="str">
        <x:v>사용 순서</x:v>
      </x:c>
      <x:c r="F4" s="7" t="str">
        <x:v>사용 순서</x:v>
      </x:c>
      <x:c r="G4" s="7" t="str">
        <x:v>사용 순서</x:v>
      </x:c>
      <x:c r="H4" s="7" t="str">
        <x:v>사용 순서</x:v>
      </x:c>
    </x:row>
    <x:row r="6">
      <x:c r="A6" s="13" t="str">
        <x:v>1</x:v>
      </x:c>
      <x:c r="B6" s="14" t="str">
        <x:v>기준설정 시트에서 증감률·증감액 기준을 확인합니다. 기본값은 20%, 100,000,000원입니다.</x:v>
      </x:c>
    </x:row>
    <x:row r="7">
      <x:c r="A7" s="15" t="str">
        <x:v>2</x:v>
      </x:c>
      <x:c r="B7" s="16" t="str">
        <x:v>전기원장·당기원장 시트의 예시 행을 지우고 A:G 열에 데이터를 붙여 넣습니다.</x:v>
      </x:c>
    </x:row>
    <x:row r="8">
      <x:c r="A8" s="15" t="str">
        <x:v>3</x:v>
      </x:c>
      <x:c r="B8" s="16" t="str">
        <x:v>A 계정코드, B 계정명, C 전표일자, D 결의서번호, E 결의서명, F 차변, G 대변 순서를 유지합니다.</x:v>
      </x:c>
    </x:row>
    <x:row r="9">
      <x:c r="A9" s="15" t="str">
        <x:v>4</x:v>
      </x:c>
      <x:c r="B9" s="16" t="str">
        <x:v>H:J 열은 계산 열입니다. 1,000건을 초과하면 마지막 행의 수식을 아래로 복사합니다.</x:v>
      </x:c>
    </x:row>
    <x:row r="10">
      <x:c r="A10" s="15" t="str">
        <x:v>5</x:v>
      </x:c>
      <x:c r="B10" s="16" t="str">
        <x:v>계정비교 시트에서 신규·소멸·금액변동과 원인분석 대상을 확인합니다.</x:v>
      </x:c>
    </x:row>
    <x:row r="11">
      <x:c r="A11" s="15" t="str">
        <x:v>6</x:v>
      </x:c>
      <x:c r="B11" s="16" t="str">
        <x:v>세부원인분석 시트에서 대상 계정의 결의서명·원인분류·붙임 확인 여부를 검토합니다.</x:v>
      </x:c>
    </x:row>
    <x:row r="12">
      <x:c r="A12" s="17" t="str">
        <x:v>7</x:v>
      </x:c>
      <x:c r="B12" s="18" t="str">
        <x:v>결의서명만으로 원인이 명확하지 않은 거래는 붙임 문서를 확인하고 검토메모를 남깁니다.</x:v>
      </x:c>
    </x:row>
    <x:row r="15">
      <x:c r="A15" s="7" t="str">
        <x:v>판정 로직</x:v>
      </x:c>
      <x:c r="B15" s="7" t="str">
        <x:v>판정 로직</x:v>
      </x:c>
      <x:c r="C15" s="7" t="str">
        <x:v>판정 로직</x:v>
      </x:c>
      <x:c r="D15" s="7" t="str">
        <x:v>판정 로직</x:v>
      </x:c>
      <x:c r="E15" s="7" t="str">
        <x:v>판정 로직</x:v>
      </x:c>
      <x:c r="F15" s="7" t="str">
        <x:v>판정 로직</x:v>
      </x:c>
      <x:c r="G15" s="7" t="str">
        <x:v>판정 로직</x:v>
      </x:c>
      <x:c r="H15" s="7" t="str">
        <x:v>판정 로직</x:v>
      </x:c>
    </x:row>
    <x:row r="17" ht="30" customHeight="1">
      <x:c r="A17" s="29" t="str">
        <x:v>유형</x:v>
      </x:c>
      <x:c r="B17" s="30" t="str">
        <x:v>정의</x:v>
      </x:c>
      <x:c r="C17" s="31" t="str">
        <x:v>원인분석 대상 판정</x:v>
      </x:c>
    </x:row>
    <x:row r="18">
      <x:c r="A18" s="41" t="str">
        <x:v>신규</x:v>
      </x:c>
      <x:c r="B18" s="42" t="str">
        <x:v>전기 금액 0, 당기 금액 존재</x:v>
      </x:c>
      <x:c r="C18" s="43" t="str">
        <x:v>증감액 절대값이 기준 이상이면 대상</x:v>
      </x:c>
    </x:row>
    <x:row r="19">
      <x:c r="A19" s="44" t="str">
        <x:v>소멸</x:v>
      </x:c>
      <x:c r="B19" s="45" t="str">
        <x:v>전기 금액 존재, 당기 금액 0</x:v>
      </x:c>
      <x:c r="C19" s="46" t="str">
        <x:v>증감액 절대값이 기준 이상이면 대상</x:v>
      </x:c>
    </x:row>
    <x:row r="20">
      <x:c r="A20" s="44" t="str">
        <x:v>금액변동</x:v>
      </x:c>
      <x:c r="B20" s="45" t="str">
        <x:v>전기·당기 모두 금액 존재</x:v>
      </x:c>
      <x:c r="C20" s="46" t="str">
        <x:v>증감률과 증감액 절대값이 모두 기준 이상이면 대상</x:v>
      </x:c>
    </x:row>
    <x:row r="21">
      <x:c r="A21" s="47" t="str">
        <x:v>변동없음</x:v>
      </x:c>
      <x:c r="B21" s="48" t="str">
        <x:v>전기와 당기 순액이 동일</x:v>
      </x:c>
      <x:c r="C21" s="49" t="str">
        <x:v>일반</x:v>
      </x:c>
    </x:row>
    <x:row r="24">
      <x:c r="A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B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C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D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E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F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G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H24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</x:row>
    <x:row r="25">
      <x:c r="A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B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C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D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E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F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G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H25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</x:row>
    <x:row r="26">
      <x:c r="A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B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C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D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E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F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G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  <x:c r="H26" s="53" t="str">
        <x:v>주의: 증감률은 |당기-전기| ÷ |전기|로 계산합니다. 전기 금액이 0인 신규 계정과 당기 금액이 0인 소멸 계정은 증감률 대신 유형으로 판정합니다. 차변-대변 순액 기준이 회사의 원장 부호 체계와 다르면 H열 수식을 조정하십시오.</x:v>
      </x:c>
    </x:row>
  </x:sheetData>
  <x:mergeCells>
    <x:mergeCell ref="A1:H1"/>
    <x:mergeCell ref="A4:H4"/>
    <x:mergeCell ref="A15:H15"/>
    <x:mergeCell ref="A24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44" hidden="0" customWidth="1"/>
  </x:cols>
  <x:sheetData>
    <x:row r="1" ht="34" customHeight="1">
      <x:c r="A1" s="4" t="str">
        <x:v>기준설정</x:v>
      </x:c>
      <x:c r="B1" s="4" t="str">
        <x:v>기준설정</x:v>
      </x:c>
      <x:c r="C1" s="4" t="str">
        <x:v>기준설정</x:v>
      </x:c>
      <x:c r="D1" s="4" t="str">
        <x:v>기준설정</x:v>
      </x:c>
      <x:c r="E1" s="4" t="str">
        <x:v>기준설정</x:v>
      </x:c>
      <x:c r="F1" s="4" t="str">
        <x:v>기준설정</x:v>
      </x:c>
    </x:row>
    <x:row r="2">
      <x:c r="A2" s="5" t="str">
        <x:v>파란색 입력 셀은 사용자가 변경할 수 있습니다.</x:v>
      </x:c>
    </x:row>
    <x:row r="4" ht="30" customHeight="1">
      <x:c r="A4" s="58" t="str">
        <x:v>항목</x:v>
      </x:c>
      <x:c r="B4" s="59" t="str">
        <x:v>입력값</x:v>
      </x:c>
      <x:c r="C4" s="60" t="str">
        <x:v>설명</x:v>
      </x:c>
    </x:row>
    <x:row r="5">
      <x:c r="A5" s="35" t="str">
        <x:v>증감률 기준</x:v>
      </x:c>
      <x:c r="B5" s="61" t="n">
        <x:v>0.2</x:v>
      </x:c>
      <x:c r="C5" s="62" t="str">
        <x:v>전기 대비 절대 증감률</x:v>
      </x:c>
    </x:row>
    <x:row r="6">
      <x:c r="A6" s="35" t="str">
        <x:v>증감액 기준(원)</x:v>
      </x:c>
      <x:c r="B6" s="63" t="n">
        <x:v>100000000</x:v>
      </x:c>
      <x:c r="C6" s="62" t="str">
        <x:v>절대 증감액</x:v>
      </x:c>
    </x:row>
    <x:row r="7">
      <x:c r="A7" s="38" t="str">
        <x:v>원장 입력 최대행</x:v>
      </x:c>
      <x:c r="B7" s="64" t="n">
        <x:v>1000</x:v>
      </x:c>
      <x:c r="C7" s="65" t="str">
        <x:v>기본 수식이 준비된 거래행 수</x:v>
      </x:c>
    </x:row>
    <x:row r="10">
      <x:c r="A10" s="66" t="str">
        <x:v>결의서명 기반 1차 원인분류 키워드</x:v>
      </x:c>
      <x:c r="B10" s="66" t="str">
        <x:v>결의서명 기반 1차 원인분류 키워드</x:v>
      </x:c>
      <x:c r="C10" s="66" t="str">
        <x:v>결의서명 기반 1차 원인분류 키워드</x:v>
      </x:c>
      <x:c r="D10" s="66" t="str">
        <x:v>결의서명 기반 1차 원인분류 키워드</x:v>
      </x:c>
      <x:c r="E10" s="66" t="str">
        <x:v>결의서명 기반 1차 원인분류 키워드</x:v>
      </x:c>
      <x:c r="F10" s="66" t="str">
        <x:v>결의서명 기반 1차 원인분류 키워드</x:v>
      </x:c>
    </x:row>
    <x:row r="12" ht="30" customHeight="1">
      <x:c r="A12" s="29" t="str">
        <x:v>원인분류</x:v>
      </x:c>
      <x:c r="B12" s="31" t="str">
        <x:v>결의서명 포함 키워드 예시</x:v>
      </x:c>
    </x:row>
    <x:row r="13">
      <x:c r="A13" s="41" t="str">
        <x:v>인건비</x:v>
      </x:c>
      <x:c r="B13" s="43" t="str">
        <x:v>급여</x:v>
      </x:c>
    </x:row>
    <x:row r="14">
      <x:c r="A14" s="44" t="str">
        <x:v>임차·시설</x:v>
      </x:c>
      <x:c r="B14" s="46" t="str">
        <x:v>임차</x:v>
      </x:c>
    </x:row>
    <x:row r="15">
      <x:c r="A15" s="44" t="str">
        <x:v>광고·행사</x:v>
      </x:c>
      <x:c r="B15" s="46" t="str">
        <x:v>광고</x:v>
      </x:c>
    </x:row>
    <x:row r="16">
      <x:c r="A16" s="44" t="str">
        <x:v>용역·수수료</x:v>
      </x:c>
      <x:c r="B16" s="46" t="str">
        <x:v>용역</x:v>
      </x:c>
    </x:row>
    <x:row r="17">
      <x:c r="A17" s="47" t="str">
        <x:v>기타/불명</x:v>
      </x:c>
      <x:c r="B17" s="49" t="str">
        <x:v>위 키워드에 해당하지 않거나 명칭이 불충분한 경우 — 붙임 확인</x:v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6" hidden="0" customWidth="1"/>
    <x:col min="5" max="5" width="38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22" hidden="0" customWidth="1"/>
    <x:col min="11" max="11" width="34" hidden="0" customWidth="1"/>
  </x:cols>
  <x:sheetData>
    <x:row r="1" ht="34" customHeight="1">
      <x:c r="A1" s="4" t="str">
        <x:v>전기 계정원장</x:v>
      </x:c>
      <x:c r="B1" s="4" t="str">
        <x:v>전기 계정원장</x:v>
      </x:c>
      <x:c r="C1" s="4" t="str">
        <x:v>전기 계정원장</x:v>
      </x:c>
      <x:c r="D1" s="4" t="str">
        <x:v>전기 계정원장</x:v>
      </x:c>
      <x:c r="E1" s="4" t="str">
        <x:v>전기 계정원장</x:v>
      </x:c>
      <x:c r="F1" s="4" t="str">
        <x:v>전기 계정원장</x:v>
      </x:c>
      <x:c r="G1" s="4" t="str">
        <x:v>전기 계정원장</x:v>
      </x:c>
      <x:c r="H1" s="4" t="str">
        <x:v>전기 계정원장</x:v>
      </x:c>
      <x:c r="I1" s="4" t="str">
        <x:v>전기 계정원장</x:v>
      </x:c>
      <x:c r="J1" s="4" t="str">
        <x:v>전기 계정원장</x:v>
      </x:c>
      <x:c r="K1" s="4" t="str">
        <x:v>전기 계정원장</x:v>
      </x:c>
    </x:row>
    <x:row r="2">
      <x:c r="A2" s="5" t="str">
        <x:v>A:G 입력 / H:J 자동계산 / K 검토자 입력</x:v>
      </x:c>
    </x:row>
    <x:row r="4" ht="30" customHeight="1">
      <x:c r="A4" s="71" t="str">
        <x:v>계정코드</x:v>
      </x:c>
      <x:c r="B4" s="72" t="str">
        <x:v>계정명</x:v>
      </x:c>
      <x:c r="C4" s="72" t="str">
        <x:v>전표일자</x:v>
      </x:c>
      <x:c r="D4" s="72" t="str">
        <x:v>결의서번호</x:v>
      </x:c>
      <x:c r="E4" s="72" t="str">
        <x:v>결의서명</x:v>
      </x:c>
      <x:c r="F4" s="72" t="str">
        <x:v>차변</x:v>
      </x:c>
      <x:c r="G4" s="72" t="str">
        <x:v>대변</x:v>
      </x:c>
      <x:c r="H4" s="72" t="str">
        <x:v>순액(차변-대변)</x:v>
      </x:c>
      <x:c r="I4" s="72" t="str">
        <x:v>1차 원인분류</x:v>
      </x:c>
      <x:c r="J4" s="72" t="str">
        <x:v>붙임 확인</x:v>
      </x:c>
      <x:c r="K4" s="72" t="str">
        <x:v>검토메모/붙임경로</x:v>
      </x:c>
    </x:row>
    <x:row r="5">
      <x:c r="A5" s="73" t="str">
        <x:v>510100</x:v>
      </x:c>
      <x:c r="B5" s="73" t="str">
        <x:v>급여</x:v>
      </x:c>
      <x:c r="C5" s="74" t="n">
        <x:v>45688</x:v>
      </x:c>
      <x:c r="D5" s="73" t="str">
        <x:v>P-001</x:v>
      </x:c>
      <x:c r="E5" s="73" t="str">
        <x:v>1월 정규직 급여 지급</x:v>
      </x:c>
      <x:c r="F5" s="75" t="n">
        <x:v>350000000</x:v>
      </x:c>
      <x:c r="G5" s="75" t="n">
        <x:v>0</x:v>
      </x:c>
      <x:c r="H5" s="76" t="n">
        <x:f>IF(A5="","",F5-G5)</x:f>
        <x:v>350000000</x:v>
      </x:c>
      <x:c r="I5" s="77" t="str">
        <x:f>IF(A5="","",IF(E5="","기타/불명",IF(IFERROR(SEARCH("급여",E5),0)&gt;0,"인건비",IF(IFERROR(SEARCH("임차",E5),0)&gt;0,"임차·시설",IF(IFERROR(SEARCH("광고",E5),0)&gt;0,"광고·행사",IF(IFERROR(SEARCH("용역",E5),0)&gt;0,"용역·수수료","기타/불명"))))))</x:f>
        <x:v>인건비</x:v>
      </x:c>
      <x:c r="J5" s="77" t="str">
        <x:f>IF(A5="","",IF(I5="기타/불명","확인 필요","결의서명으로 1차 확인"))</x:f>
        <x:v>결의서명으로 1차 확인</x:v>
      </x:c>
      <x:c r="K5" s="78" t="str"/>
    </x:row>
    <x:row r="6">
      <x:c r="A6" s="73" t="str">
        <x:v>520300</x:v>
      </x:c>
      <x:c r="B6" s="73" t="str">
        <x:v>광고선전비</x:v>
      </x:c>
      <x:c r="C6" s="74" t="n">
        <x:v>45736</x:v>
      </x:c>
      <x:c r="D6" s="73" t="str">
        <x:v>P-032</x:v>
      </x:c>
      <x:c r="E6" s="73" t="str">
        <x:v>브랜드 캠페인 광고 용역</x:v>
      </x:c>
      <x:c r="F6" s="75" t="n">
        <x:v>120000000</x:v>
      </x:c>
      <x:c r="G6" s="75" t="n">
        <x:v>0</x:v>
      </x:c>
      <x:c r="H6" s="76" t="n">
        <x:f>IF(A6="","",F6-G6)</x:f>
        <x:v>120000000</x:v>
      </x:c>
      <x:c r="I6" s="77" t="str">
        <x:f>IF(A6="","",IF(E6="","기타/불명",IF(IFERROR(SEARCH("급여",E6),0)&gt;0,"인건비",IF(IFERROR(SEARCH("임차",E6),0)&gt;0,"임차·시설",IF(IFERROR(SEARCH("광고",E6),0)&gt;0,"광고·행사",IF(IFERROR(SEARCH("용역",E6),0)&gt;0,"용역·수수료","기타/불명"))))))</x:f>
        <x:v>광고·행사</x:v>
      </x:c>
      <x:c r="J6" s="77" t="str">
        <x:f>IF(A6="","",IF(I6="기타/불명","확인 필요","결의서명으로 1차 확인"))</x:f>
        <x:v>결의서명으로 1차 확인</x:v>
      </x:c>
      <x:c r="K6" s="78" t="str"/>
    </x:row>
    <x:row r="7">
      <x:c r="A7" s="73" t="str">
        <x:v>530100</x:v>
      </x:c>
      <x:c r="B7" s="73" t="str">
        <x:v>임차료</x:v>
      </x:c>
      <x:c r="C7" s="74" t="n">
        <x:v>45698</x:v>
      </x:c>
      <x:c r="D7" s="73" t="str">
        <x:v>P-020</x:v>
      </x:c>
      <x:c r="E7" s="73" t="str">
        <x:v>본사 사무실 임차료</x:v>
      </x:c>
      <x:c r="F7" s="75" t="n">
        <x:v>240000000</x:v>
      </x:c>
      <x:c r="G7" s="75" t="n">
        <x:v>0</x:v>
      </x:c>
      <x:c r="H7" s="76" t="n">
        <x:f>IF(A7="","",F7-G7)</x:f>
        <x:v>240000000</x:v>
      </x:c>
      <x:c r="I7" s="77" t="str">
        <x:f>IF(A7="","",IF(E7="","기타/불명",IF(IFERROR(SEARCH("급여",E7),0)&gt;0,"인건비",IF(IFERROR(SEARCH("임차",E7),0)&gt;0,"임차·시설",IF(IFERROR(SEARCH("광고",E7),0)&gt;0,"광고·행사",IF(IFERROR(SEARCH("용역",E7),0)&gt;0,"용역·수수료","기타/불명"))))))</x:f>
        <x:v>임차·시설</x:v>
      </x:c>
      <x:c r="J7" s="77" t="str">
        <x:f>IF(A7="","",IF(I7="기타/불명","확인 필요","결의서명으로 1차 확인"))</x:f>
        <x:v>결의서명으로 1차 확인</x:v>
      </x:c>
      <x:c r="K7" s="78" t="str"/>
    </x:row>
    <x:row r="8">
      <x:c r="A8" s="73" t="str">
        <x:v>540200</x:v>
      </x:c>
      <x:c r="B8" s="73" t="str">
        <x:v>지급수수료</x:v>
      </x:c>
      <x:c r="C8" s="74" t="n">
        <x:v>45792</x:v>
      </x:c>
      <x:c r="D8" s="73" t="str">
        <x:v>P-088</x:v>
      </x:c>
      <x:c r="E8" s="73" t="str">
        <x:v>기타 정산</x:v>
      </x:c>
      <x:c r="F8" s="75" t="n">
        <x:v>150000000</x:v>
      </x:c>
      <x:c r="G8" s="75" t="n">
        <x:v>0</x:v>
      </x:c>
      <x:c r="H8" s="76" t="n">
        <x:f>IF(A8="","",F8-G8)</x:f>
        <x:v>150000000</x:v>
      </x:c>
      <x:c r="I8" s="77" t="str">
        <x:f>IF(A8="","",IF(E8="","기타/불명",IF(IFERROR(SEARCH("급여",E8),0)&gt;0,"인건비",IF(IFERROR(SEARCH("임차",E8),0)&gt;0,"임차·시설",IF(IFERROR(SEARCH("광고",E8),0)&gt;0,"광고·행사",IF(IFERROR(SEARCH("용역",E8),0)&gt;0,"용역·수수료","기타/불명"))))))</x:f>
        <x:v>기타/불명</x:v>
      </x:c>
      <x:c r="J8" s="77" t="str">
        <x:f>IF(A8="","",IF(I8="기타/불명","확인 필요","결의서명으로 1차 확인"))</x:f>
        <x:v>확인 필요</x:v>
      </x:c>
      <x:c r="K8" s="78" t="str"/>
    </x:row>
    <x:row r="9">
      <x:c r="A9" s="73"/>
      <x:c r="B9" s="73"/>
      <x:c r="C9" s="74"/>
      <x:c r="D9" s="73"/>
      <x:c r="E9" s="73"/>
      <x:c r="F9" s="75"/>
      <x:c r="G9" s="75"/>
      <x:c r="H9" s="76" t="str">
        <x:f>IF(A9="","",F9-G9)</x:f>
      </x:c>
      <x:c r="I9" s="77" t="str">
        <x:f>IF(A9="","",IF(E9="","기타/불명",IF(IFERROR(SEARCH("급여",E9),0)&gt;0,"인건비",IF(IFERROR(SEARCH("임차",E9),0)&gt;0,"임차·시설",IF(IFERROR(SEARCH("광고",E9),0)&gt;0,"광고·행사",IF(IFERROR(SEARCH("용역",E9),0)&gt;0,"용역·수수료","기타/불명"))))))</x:f>
      </x:c>
      <x:c r="J9" s="77" t="str">
        <x:f>IF(A9="","",IF(I9="기타/불명","확인 필요","결의서명으로 1차 확인"))</x:f>
      </x:c>
      <x:c r="K9" s="78"/>
    </x:row>
    <x:row r="10">
      <x:c r="A10" s="73"/>
      <x:c r="B10" s="73"/>
      <x:c r="C10" s="74"/>
      <x:c r="D10" s="73"/>
      <x:c r="E10" s="73"/>
      <x:c r="F10" s="75"/>
      <x:c r="G10" s="75"/>
      <x:c r="H10" s="76" t="str">
        <x:f>IF(A10="","",F10-G10)</x:f>
      </x:c>
      <x:c r="I10" s="77" t="str">
        <x:f>IF(A10="","",IF(E10="","기타/불명",IF(IFERROR(SEARCH("급여",E10),0)&gt;0,"인건비",IF(IFERROR(SEARCH("임차",E10),0)&gt;0,"임차·시설",IF(IFERROR(SEARCH("광고",E10),0)&gt;0,"광고·행사",IF(IFERROR(SEARCH("용역",E10),0)&gt;0,"용역·수수료","기타/불명"))))))</x:f>
      </x:c>
      <x:c r="J10" s="77" t="str">
        <x:f>IF(A10="","",IF(I10="기타/불명","확인 필요","결의서명으로 1차 확인"))</x:f>
      </x:c>
      <x:c r="K10" s="78"/>
    </x:row>
    <x:row r="11">
      <x:c r="A11" s="73"/>
      <x:c r="B11" s="73"/>
      <x:c r="C11" s="74"/>
      <x:c r="D11" s="73"/>
      <x:c r="E11" s="73"/>
      <x:c r="F11" s="75"/>
      <x:c r="G11" s="75"/>
      <x:c r="H11" s="76" t="str">
        <x:f>IF(A11="","",F11-G11)</x:f>
      </x:c>
      <x:c r="I11" s="77" t="str">
        <x:f>IF(A11="","",IF(E11="","기타/불명",IF(IFERROR(SEARCH("급여",E11),0)&gt;0,"인건비",IF(IFERROR(SEARCH("임차",E11),0)&gt;0,"임차·시설",IF(IFERROR(SEARCH("광고",E11),0)&gt;0,"광고·행사",IF(IFERROR(SEARCH("용역",E11),0)&gt;0,"용역·수수료","기타/불명"))))))</x:f>
      </x:c>
      <x:c r="J11" s="77" t="str">
        <x:f>IF(A11="","",IF(I11="기타/불명","확인 필요","결의서명으로 1차 확인"))</x:f>
      </x:c>
      <x:c r="K11" s="78"/>
    </x:row>
    <x:row r="12">
      <x:c r="A12" s="73"/>
      <x:c r="B12" s="73"/>
      <x:c r="C12" s="74"/>
      <x:c r="D12" s="73"/>
      <x:c r="E12" s="73"/>
      <x:c r="F12" s="75"/>
      <x:c r="G12" s="75"/>
      <x:c r="H12" s="76" t="str">
        <x:f>IF(A12="","",F12-G12)</x:f>
      </x:c>
      <x:c r="I12" s="77" t="str">
        <x:f>IF(A12="","",IF(E12="","기타/불명",IF(IFERROR(SEARCH("급여",E12),0)&gt;0,"인건비",IF(IFERROR(SEARCH("임차",E12),0)&gt;0,"임차·시설",IF(IFERROR(SEARCH("광고",E12),0)&gt;0,"광고·행사",IF(IFERROR(SEARCH("용역",E12),0)&gt;0,"용역·수수료","기타/불명"))))))</x:f>
      </x:c>
      <x:c r="J12" s="77" t="str">
        <x:f>IF(A12="","",IF(I12="기타/불명","확인 필요","결의서명으로 1차 확인"))</x:f>
      </x:c>
      <x:c r="K12" s="78"/>
    </x:row>
    <x:row r="13">
      <x:c r="A13" s="73"/>
      <x:c r="B13" s="73"/>
      <x:c r="C13" s="74"/>
      <x:c r="D13" s="73"/>
      <x:c r="E13" s="73"/>
      <x:c r="F13" s="75"/>
      <x:c r="G13" s="75"/>
      <x:c r="H13" s="76" t="str">
        <x:f>IF(A13="","",F13-G13)</x:f>
      </x:c>
      <x:c r="I13" s="77" t="str">
        <x:f>IF(A13="","",IF(E13="","기타/불명",IF(IFERROR(SEARCH("급여",E13),0)&gt;0,"인건비",IF(IFERROR(SEARCH("임차",E13),0)&gt;0,"임차·시설",IF(IFERROR(SEARCH("광고",E13),0)&gt;0,"광고·행사",IF(IFERROR(SEARCH("용역",E13),0)&gt;0,"용역·수수료","기타/불명"))))))</x:f>
      </x:c>
      <x:c r="J13" s="77" t="str">
        <x:f>IF(A13="","",IF(I13="기타/불명","확인 필요","결의서명으로 1차 확인"))</x:f>
      </x:c>
      <x:c r="K13" s="78"/>
    </x:row>
    <x:row r="14">
      <x:c r="A14" s="73"/>
      <x:c r="B14" s="73"/>
      <x:c r="C14" s="74"/>
      <x:c r="D14" s="73"/>
      <x:c r="E14" s="73"/>
      <x:c r="F14" s="75"/>
      <x:c r="G14" s="75"/>
      <x:c r="H14" s="76" t="str">
        <x:f>IF(A14="","",F14-G14)</x:f>
      </x:c>
      <x:c r="I14" s="77" t="str">
        <x:f>IF(A14="","",IF(E14="","기타/불명",IF(IFERROR(SEARCH("급여",E14),0)&gt;0,"인건비",IF(IFERROR(SEARCH("임차",E14),0)&gt;0,"임차·시설",IF(IFERROR(SEARCH("광고",E14),0)&gt;0,"광고·행사",IF(IFERROR(SEARCH("용역",E14),0)&gt;0,"용역·수수료","기타/불명"))))))</x:f>
      </x:c>
      <x:c r="J14" s="77" t="str">
        <x:f>IF(A14="","",IF(I14="기타/불명","확인 필요","결의서명으로 1차 확인"))</x:f>
      </x:c>
      <x:c r="K14" s="78"/>
    </x:row>
    <x:row r="15">
      <x:c r="A15" s="73"/>
      <x:c r="B15" s="73"/>
      <x:c r="C15" s="74"/>
      <x:c r="D15" s="73"/>
      <x:c r="E15" s="73"/>
      <x:c r="F15" s="75"/>
      <x:c r="G15" s="75"/>
      <x:c r="H15" s="76" t="str">
        <x:f>IF(A15="","",F15-G15)</x:f>
      </x:c>
      <x:c r="I15" s="77" t="str">
        <x:f>IF(A15="","",IF(E15="","기타/불명",IF(IFERROR(SEARCH("급여",E15),0)&gt;0,"인건비",IF(IFERROR(SEARCH("임차",E15),0)&gt;0,"임차·시설",IF(IFERROR(SEARCH("광고",E15),0)&gt;0,"광고·행사",IF(IFERROR(SEARCH("용역",E15),0)&gt;0,"용역·수수료","기타/불명"))))))</x:f>
      </x:c>
      <x:c r="J15" s="77" t="str">
        <x:f>IF(A15="","",IF(I15="기타/불명","확인 필요","결의서명으로 1차 확인"))</x:f>
      </x:c>
      <x:c r="K15" s="78"/>
    </x:row>
    <x:row r="16">
      <x:c r="A16" s="73"/>
      <x:c r="B16" s="73"/>
      <x:c r="C16" s="74"/>
      <x:c r="D16" s="73"/>
      <x:c r="E16" s="73"/>
      <x:c r="F16" s="75"/>
      <x:c r="G16" s="75"/>
      <x:c r="H16" s="76" t="str">
        <x:f>IF(A16="","",F16-G16)</x:f>
      </x:c>
      <x:c r="I16" s="77" t="str">
        <x:f>IF(A16="","",IF(E16="","기타/불명",IF(IFERROR(SEARCH("급여",E16),0)&gt;0,"인건비",IF(IFERROR(SEARCH("임차",E16),0)&gt;0,"임차·시설",IF(IFERROR(SEARCH("광고",E16),0)&gt;0,"광고·행사",IF(IFERROR(SEARCH("용역",E16),0)&gt;0,"용역·수수료","기타/불명"))))))</x:f>
      </x:c>
      <x:c r="J16" s="77" t="str">
        <x:f>IF(A16="","",IF(I16="기타/불명","확인 필요","결의서명으로 1차 확인"))</x:f>
      </x:c>
      <x:c r="K16" s="78"/>
    </x:row>
    <x:row r="17">
      <x:c r="A17" s="73"/>
      <x:c r="B17" s="73"/>
      <x:c r="C17" s="74"/>
      <x:c r="D17" s="73"/>
      <x:c r="E17" s="73"/>
      <x:c r="F17" s="75"/>
      <x:c r="G17" s="75"/>
      <x:c r="H17" s="76" t="str">
        <x:f>IF(A17="","",F17-G17)</x:f>
      </x:c>
      <x:c r="I17" s="77" t="str">
        <x:f>IF(A17="","",IF(E17="","기타/불명",IF(IFERROR(SEARCH("급여",E17),0)&gt;0,"인건비",IF(IFERROR(SEARCH("임차",E17),0)&gt;0,"임차·시설",IF(IFERROR(SEARCH("광고",E17),0)&gt;0,"광고·행사",IF(IFERROR(SEARCH("용역",E17),0)&gt;0,"용역·수수료","기타/불명"))))))</x:f>
      </x:c>
      <x:c r="J17" s="77" t="str">
        <x:f>IF(A17="","",IF(I17="기타/불명","확인 필요","결의서명으로 1차 확인"))</x:f>
      </x:c>
      <x:c r="K17" s="78"/>
    </x:row>
    <x:row r="18">
      <x:c r="A18" s="73"/>
      <x:c r="B18" s="73"/>
      <x:c r="C18" s="74"/>
      <x:c r="D18" s="73"/>
      <x:c r="E18" s="73"/>
      <x:c r="F18" s="75"/>
      <x:c r="G18" s="75"/>
      <x:c r="H18" s="76" t="str">
        <x:f>IF(A18="","",F18-G18)</x:f>
      </x:c>
      <x:c r="I18" s="77" t="str">
        <x:f>IF(A18="","",IF(E18="","기타/불명",IF(IFERROR(SEARCH("급여",E18),0)&gt;0,"인건비",IF(IFERROR(SEARCH("임차",E18),0)&gt;0,"임차·시설",IF(IFERROR(SEARCH("광고",E18),0)&gt;0,"광고·행사",IF(IFERROR(SEARCH("용역",E18),0)&gt;0,"용역·수수료","기타/불명"))))))</x:f>
      </x:c>
      <x:c r="J18" s="77" t="str">
        <x:f>IF(A18="","",IF(I18="기타/불명","확인 필요","결의서명으로 1차 확인"))</x:f>
      </x:c>
      <x:c r="K18" s="78"/>
    </x:row>
    <x:row r="19">
      <x:c r="A19" s="73"/>
      <x:c r="B19" s="73"/>
      <x:c r="C19" s="74"/>
      <x:c r="D19" s="73"/>
      <x:c r="E19" s="73"/>
      <x:c r="F19" s="75"/>
      <x:c r="G19" s="75"/>
      <x:c r="H19" s="76" t="str">
        <x:f>IF(A19="","",F19-G19)</x:f>
      </x:c>
      <x:c r="I19" s="77" t="str">
        <x:f>IF(A19="","",IF(E19="","기타/불명",IF(IFERROR(SEARCH("급여",E19),0)&gt;0,"인건비",IF(IFERROR(SEARCH("임차",E19),0)&gt;0,"임차·시설",IF(IFERROR(SEARCH("광고",E19),0)&gt;0,"광고·행사",IF(IFERROR(SEARCH("용역",E19),0)&gt;0,"용역·수수료","기타/불명"))))))</x:f>
      </x:c>
      <x:c r="J19" s="77" t="str">
        <x:f>IF(A19="","",IF(I19="기타/불명","확인 필요","결의서명으로 1차 확인"))</x:f>
      </x:c>
      <x:c r="K19" s="78"/>
    </x:row>
    <x:row r="20">
      <x:c r="A20" s="73"/>
      <x:c r="B20" s="73"/>
      <x:c r="C20" s="74"/>
      <x:c r="D20" s="73"/>
      <x:c r="E20" s="73"/>
      <x:c r="F20" s="75"/>
      <x:c r="G20" s="75"/>
      <x:c r="H20" s="76" t="str">
        <x:f>IF(A20="","",F20-G20)</x:f>
      </x:c>
      <x:c r="I20" s="77" t="str">
        <x:f>IF(A20="","",IF(E20="","기타/불명",IF(IFERROR(SEARCH("급여",E20),0)&gt;0,"인건비",IF(IFERROR(SEARCH("임차",E20),0)&gt;0,"임차·시설",IF(IFERROR(SEARCH("광고",E20),0)&gt;0,"광고·행사",IF(IFERROR(SEARCH("용역",E20),0)&gt;0,"용역·수수료","기타/불명"))))))</x:f>
      </x:c>
      <x:c r="J20" s="77" t="str">
        <x:f>IF(A20="","",IF(I20="기타/불명","확인 필요","결의서명으로 1차 확인"))</x:f>
      </x:c>
      <x:c r="K20" s="78"/>
    </x:row>
    <x:row r="21">
      <x:c r="A21" s="73"/>
      <x:c r="B21" s="73"/>
      <x:c r="C21" s="74"/>
      <x:c r="D21" s="73"/>
      <x:c r="E21" s="73"/>
      <x:c r="F21" s="75"/>
      <x:c r="G21" s="75"/>
      <x:c r="H21" s="76" t="str">
        <x:f>IF(A21="","",F21-G21)</x:f>
      </x:c>
      <x:c r="I21" s="77" t="str">
        <x:f>IF(A21="","",IF(E21="","기타/불명",IF(IFERROR(SEARCH("급여",E21),0)&gt;0,"인건비",IF(IFERROR(SEARCH("임차",E21),0)&gt;0,"임차·시설",IF(IFERROR(SEARCH("광고",E21),0)&gt;0,"광고·행사",IF(IFERROR(SEARCH("용역",E21),0)&gt;0,"용역·수수료","기타/불명"))))))</x:f>
      </x:c>
      <x:c r="J21" s="77" t="str">
        <x:f>IF(A21="","",IF(I21="기타/불명","확인 필요","결의서명으로 1차 확인"))</x:f>
      </x:c>
      <x:c r="K21" s="78"/>
    </x:row>
    <x:row r="22">
      <x:c r="A22" s="73"/>
      <x:c r="B22" s="73"/>
      <x:c r="C22" s="74"/>
      <x:c r="D22" s="73"/>
      <x:c r="E22" s="73"/>
      <x:c r="F22" s="75"/>
      <x:c r="G22" s="75"/>
      <x:c r="H22" s="76" t="str">
        <x:f>IF(A22="","",F22-G22)</x:f>
      </x:c>
      <x:c r="I22" s="77" t="str">
        <x:f>IF(A22="","",IF(E22="","기타/불명",IF(IFERROR(SEARCH("급여",E22),0)&gt;0,"인건비",IF(IFERROR(SEARCH("임차",E22),0)&gt;0,"임차·시설",IF(IFERROR(SEARCH("광고",E22),0)&gt;0,"광고·행사",IF(IFERROR(SEARCH("용역",E22),0)&gt;0,"용역·수수료","기타/불명"))))))</x:f>
      </x:c>
      <x:c r="J22" s="77" t="str">
        <x:f>IF(A22="","",IF(I22="기타/불명","확인 필요","결의서명으로 1차 확인"))</x:f>
      </x:c>
      <x:c r="K22" s="78"/>
    </x:row>
    <x:row r="23">
      <x:c r="A23" s="73"/>
      <x:c r="B23" s="73"/>
      <x:c r="C23" s="74"/>
      <x:c r="D23" s="73"/>
      <x:c r="E23" s="73"/>
      <x:c r="F23" s="75"/>
      <x:c r="G23" s="75"/>
      <x:c r="H23" s="76" t="str">
        <x:f>IF(A23="","",F23-G23)</x:f>
      </x:c>
      <x:c r="I23" s="77" t="str">
        <x:f>IF(A23="","",IF(E23="","기타/불명",IF(IFERROR(SEARCH("급여",E23),0)&gt;0,"인건비",IF(IFERROR(SEARCH("임차",E23),0)&gt;0,"임차·시설",IF(IFERROR(SEARCH("광고",E23),0)&gt;0,"광고·행사",IF(IFERROR(SEARCH("용역",E23),0)&gt;0,"용역·수수료","기타/불명"))))))</x:f>
      </x:c>
      <x:c r="J23" s="77" t="str">
        <x:f>IF(A23="","",IF(I23="기타/불명","확인 필요","결의서명으로 1차 확인"))</x:f>
      </x:c>
      <x:c r="K23" s="78"/>
    </x:row>
    <x:row r="24">
      <x:c r="A24" s="73"/>
      <x:c r="B24" s="73"/>
      <x:c r="C24" s="74"/>
      <x:c r="D24" s="73"/>
      <x:c r="E24" s="73"/>
      <x:c r="F24" s="75"/>
      <x:c r="G24" s="75"/>
      <x:c r="H24" s="76" t="str">
        <x:f>IF(A24="","",F24-G24)</x:f>
      </x:c>
      <x:c r="I24" s="77" t="str">
        <x:f>IF(A24="","",IF(E24="","기타/불명",IF(IFERROR(SEARCH("급여",E24),0)&gt;0,"인건비",IF(IFERROR(SEARCH("임차",E24),0)&gt;0,"임차·시설",IF(IFERROR(SEARCH("광고",E24),0)&gt;0,"광고·행사",IF(IFERROR(SEARCH("용역",E24),0)&gt;0,"용역·수수료","기타/불명"))))))</x:f>
      </x:c>
      <x:c r="J24" s="77" t="str">
        <x:f>IF(A24="","",IF(I24="기타/불명","확인 필요","결의서명으로 1차 확인"))</x:f>
      </x:c>
      <x:c r="K24" s="78"/>
    </x:row>
    <x:row r="25">
      <x:c r="A25" s="73"/>
      <x:c r="B25" s="73"/>
      <x:c r="C25" s="74"/>
      <x:c r="D25" s="73"/>
      <x:c r="E25" s="73"/>
      <x:c r="F25" s="75"/>
      <x:c r="G25" s="75"/>
      <x:c r="H25" s="76" t="str">
        <x:f>IF(A25="","",F25-G25)</x:f>
      </x:c>
      <x:c r="I25" s="77" t="str">
        <x:f>IF(A25="","",IF(E25="","기타/불명",IF(IFERROR(SEARCH("급여",E25),0)&gt;0,"인건비",IF(IFERROR(SEARCH("임차",E25),0)&gt;0,"임차·시설",IF(IFERROR(SEARCH("광고",E25),0)&gt;0,"광고·행사",IF(IFERROR(SEARCH("용역",E25),0)&gt;0,"용역·수수료","기타/불명"))))))</x:f>
      </x:c>
      <x:c r="J25" s="77" t="str">
        <x:f>IF(A25="","",IF(I25="기타/불명","확인 필요","결의서명으로 1차 확인"))</x:f>
      </x:c>
      <x:c r="K25" s="78"/>
    </x:row>
    <x:row r="26">
      <x:c r="A26" s="73"/>
      <x:c r="B26" s="73"/>
      <x:c r="C26" s="74"/>
      <x:c r="D26" s="73"/>
      <x:c r="E26" s="73"/>
      <x:c r="F26" s="75"/>
      <x:c r="G26" s="75"/>
      <x:c r="H26" s="76" t="str">
        <x:f>IF(A26="","",F26-G26)</x:f>
      </x:c>
      <x:c r="I26" s="77" t="str">
        <x:f>IF(A26="","",IF(E26="","기타/불명",IF(IFERROR(SEARCH("급여",E26),0)&gt;0,"인건비",IF(IFERROR(SEARCH("임차",E26),0)&gt;0,"임차·시설",IF(IFERROR(SEARCH("광고",E26),0)&gt;0,"광고·행사",IF(IFERROR(SEARCH("용역",E26),0)&gt;0,"용역·수수료","기타/불명"))))))</x:f>
      </x:c>
      <x:c r="J26" s="77" t="str">
        <x:f>IF(A26="","",IF(I26="기타/불명","확인 필요","결의서명으로 1차 확인"))</x:f>
      </x:c>
      <x:c r="K26" s="78"/>
    </x:row>
    <x:row r="27">
      <x:c r="A27" s="73"/>
      <x:c r="B27" s="73"/>
      <x:c r="C27" s="74"/>
      <x:c r="D27" s="73"/>
      <x:c r="E27" s="73"/>
      <x:c r="F27" s="75"/>
      <x:c r="G27" s="75"/>
      <x:c r="H27" s="76" t="str">
        <x:f>IF(A27="","",F27-G27)</x:f>
      </x:c>
      <x:c r="I27" s="77" t="str">
        <x:f>IF(A27="","",IF(E27="","기타/불명",IF(IFERROR(SEARCH("급여",E27),0)&gt;0,"인건비",IF(IFERROR(SEARCH("임차",E27),0)&gt;0,"임차·시설",IF(IFERROR(SEARCH("광고",E27),0)&gt;0,"광고·행사",IF(IFERROR(SEARCH("용역",E27),0)&gt;0,"용역·수수료","기타/불명"))))))</x:f>
      </x:c>
      <x:c r="J27" s="77" t="str">
        <x:f>IF(A27="","",IF(I27="기타/불명","확인 필요","결의서명으로 1차 확인"))</x:f>
      </x:c>
      <x:c r="K27" s="78"/>
    </x:row>
    <x:row r="28">
      <x:c r="A28" s="73"/>
      <x:c r="B28" s="73"/>
      <x:c r="C28" s="74"/>
      <x:c r="D28" s="73"/>
      <x:c r="E28" s="73"/>
      <x:c r="F28" s="75"/>
      <x:c r="G28" s="75"/>
      <x:c r="H28" s="76" t="str">
        <x:f>IF(A28="","",F28-G28)</x:f>
      </x:c>
      <x:c r="I28" s="77" t="str">
        <x:f>IF(A28="","",IF(E28="","기타/불명",IF(IFERROR(SEARCH("급여",E28),0)&gt;0,"인건비",IF(IFERROR(SEARCH("임차",E28),0)&gt;0,"임차·시설",IF(IFERROR(SEARCH("광고",E28),0)&gt;0,"광고·행사",IF(IFERROR(SEARCH("용역",E28),0)&gt;0,"용역·수수료","기타/불명"))))))</x:f>
      </x:c>
      <x:c r="J28" s="77" t="str">
        <x:f>IF(A28="","",IF(I28="기타/불명","확인 필요","결의서명으로 1차 확인"))</x:f>
      </x:c>
      <x:c r="K28" s="78"/>
    </x:row>
    <x:row r="29">
      <x:c r="A29" s="73"/>
      <x:c r="B29" s="73"/>
      <x:c r="C29" s="74"/>
      <x:c r="D29" s="73"/>
      <x:c r="E29" s="73"/>
      <x:c r="F29" s="75"/>
      <x:c r="G29" s="75"/>
      <x:c r="H29" s="76" t="str">
        <x:f>IF(A29="","",F29-G29)</x:f>
      </x:c>
      <x:c r="I29" s="77" t="str">
        <x:f>IF(A29="","",IF(E29="","기타/불명",IF(IFERROR(SEARCH("급여",E29),0)&gt;0,"인건비",IF(IFERROR(SEARCH("임차",E29),0)&gt;0,"임차·시설",IF(IFERROR(SEARCH("광고",E29),0)&gt;0,"광고·행사",IF(IFERROR(SEARCH("용역",E29),0)&gt;0,"용역·수수료","기타/불명"))))))</x:f>
      </x:c>
      <x:c r="J29" s="77" t="str">
        <x:f>IF(A29="","",IF(I29="기타/불명","확인 필요","결의서명으로 1차 확인"))</x:f>
      </x:c>
      <x:c r="K29" s="78"/>
    </x:row>
    <x:row r="30">
      <x:c r="A30" s="73"/>
      <x:c r="B30" s="73"/>
      <x:c r="C30" s="74"/>
      <x:c r="D30" s="73"/>
      <x:c r="E30" s="73"/>
      <x:c r="F30" s="75"/>
      <x:c r="G30" s="75"/>
      <x:c r="H30" s="76" t="str">
        <x:f>IF(A30="","",F30-G30)</x:f>
      </x:c>
      <x:c r="I30" s="77" t="str">
        <x:f>IF(A30="","",IF(E30="","기타/불명",IF(IFERROR(SEARCH("급여",E30),0)&gt;0,"인건비",IF(IFERROR(SEARCH("임차",E30),0)&gt;0,"임차·시설",IF(IFERROR(SEARCH("광고",E30),0)&gt;0,"광고·행사",IF(IFERROR(SEARCH("용역",E30),0)&gt;0,"용역·수수료","기타/불명"))))))</x:f>
      </x:c>
      <x:c r="J30" s="77" t="str">
        <x:f>IF(A30="","",IF(I30="기타/불명","확인 필요","결의서명으로 1차 확인"))</x:f>
      </x:c>
      <x:c r="K30" s="78"/>
    </x:row>
    <x:row r="31">
      <x:c r="A31" s="73"/>
      <x:c r="B31" s="73"/>
      <x:c r="C31" s="74"/>
      <x:c r="D31" s="73"/>
      <x:c r="E31" s="73"/>
      <x:c r="F31" s="75"/>
      <x:c r="G31" s="75"/>
      <x:c r="H31" s="76" t="str">
        <x:f>IF(A31="","",F31-G31)</x:f>
      </x:c>
      <x:c r="I31" s="77" t="str">
        <x:f>IF(A31="","",IF(E31="","기타/불명",IF(IFERROR(SEARCH("급여",E31),0)&gt;0,"인건비",IF(IFERROR(SEARCH("임차",E31),0)&gt;0,"임차·시설",IF(IFERROR(SEARCH("광고",E31),0)&gt;0,"광고·행사",IF(IFERROR(SEARCH("용역",E31),0)&gt;0,"용역·수수료","기타/불명"))))))</x:f>
      </x:c>
      <x:c r="J31" s="77" t="str">
        <x:f>IF(A31="","",IF(I31="기타/불명","확인 필요","결의서명으로 1차 확인"))</x:f>
      </x:c>
      <x:c r="K31" s="78"/>
    </x:row>
    <x:row r="32">
      <x:c r="A32" s="73"/>
      <x:c r="B32" s="73"/>
      <x:c r="C32" s="74"/>
      <x:c r="D32" s="73"/>
      <x:c r="E32" s="73"/>
      <x:c r="F32" s="75"/>
      <x:c r="G32" s="75"/>
      <x:c r="H32" s="76" t="str">
        <x:f>IF(A32="","",F32-G32)</x:f>
      </x:c>
      <x:c r="I32" s="77" t="str">
        <x:f>IF(A32="","",IF(E32="","기타/불명",IF(IFERROR(SEARCH("급여",E32),0)&gt;0,"인건비",IF(IFERROR(SEARCH("임차",E32),0)&gt;0,"임차·시설",IF(IFERROR(SEARCH("광고",E32),0)&gt;0,"광고·행사",IF(IFERROR(SEARCH("용역",E32),0)&gt;0,"용역·수수료","기타/불명"))))))</x:f>
      </x:c>
      <x:c r="J32" s="77" t="str">
        <x:f>IF(A32="","",IF(I32="기타/불명","확인 필요","결의서명으로 1차 확인"))</x:f>
      </x:c>
      <x:c r="K32" s="78"/>
    </x:row>
    <x:row r="33">
      <x:c r="A33" s="73"/>
      <x:c r="B33" s="73"/>
      <x:c r="C33" s="74"/>
      <x:c r="D33" s="73"/>
      <x:c r="E33" s="73"/>
      <x:c r="F33" s="75"/>
      <x:c r="G33" s="75"/>
      <x:c r="H33" s="76" t="str">
        <x:f>IF(A33="","",F33-G33)</x:f>
      </x:c>
      <x:c r="I33" s="77" t="str">
        <x:f>IF(A33="","",IF(E33="","기타/불명",IF(IFERROR(SEARCH("급여",E33),0)&gt;0,"인건비",IF(IFERROR(SEARCH("임차",E33),0)&gt;0,"임차·시설",IF(IFERROR(SEARCH("광고",E33),0)&gt;0,"광고·행사",IF(IFERROR(SEARCH("용역",E33),0)&gt;0,"용역·수수료","기타/불명"))))))</x:f>
      </x:c>
      <x:c r="J33" s="77" t="str">
        <x:f>IF(A33="","",IF(I33="기타/불명","확인 필요","결의서명으로 1차 확인"))</x:f>
      </x:c>
      <x:c r="K33" s="78"/>
    </x:row>
    <x:row r="34">
      <x:c r="A34" s="73"/>
      <x:c r="B34" s="73"/>
      <x:c r="C34" s="74"/>
      <x:c r="D34" s="73"/>
      <x:c r="E34" s="73"/>
      <x:c r="F34" s="75"/>
      <x:c r="G34" s="75"/>
      <x:c r="H34" s="76" t="str">
        <x:f>IF(A34="","",F34-G34)</x:f>
      </x:c>
      <x:c r="I34" s="77" t="str">
        <x:f>IF(A34="","",IF(E34="","기타/불명",IF(IFERROR(SEARCH("급여",E34),0)&gt;0,"인건비",IF(IFERROR(SEARCH("임차",E34),0)&gt;0,"임차·시설",IF(IFERROR(SEARCH("광고",E34),0)&gt;0,"광고·행사",IF(IFERROR(SEARCH("용역",E34),0)&gt;0,"용역·수수료","기타/불명"))))))</x:f>
      </x:c>
      <x:c r="J34" s="77" t="str">
        <x:f>IF(A34="","",IF(I34="기타/불명","확인 필요","결의서명으로 1차 확인"))</x:f>
      </x:c>
      <x:c r="K34" s="78"/>
    </x:row>
    <x:row r="35">
      <x:c r="A35" s="73"/>
      <x:c r="B35" s="73"/>
      <x:c r="C35" s="74"/>
      <x:c r="D35" s="73"/>
      <x:c r="E35" s="73"/>
      <x:c r="F35" s="75"/>
      <x:c r="G35" s="75"/>
      <x:c r="H35" s="76" t="str">
        <x:f>IF(A35="","",F35-G35)</x:f>
      </x:c>
      <x:c r="I35" s="77" t="str">
        <x:f>IF(A35="","",IF(E35="","기타/불명",IF(IFERROR(SEARCH("급여",E35),0)&gt;0,"인건비",IF(IFERROR(SEARCH("임차",E35),0)&gt;0,"임차·시설",IF(IFERROR(SEARCH("광고",E35),0)&gt;0,"광고·행사",IF(IFERROR(SEARCH("용역",E35),0)&gt;0,"용역·수수료","기타/불명"))))))</x:f>
      </x:c>
      <x:c r="J35" s="77" t="str">
        <x:f>IF(A35="","",IF(I35="기타/불명","확인 필요","결의서명으로 1차 확인"))</x:f>
      </x:c>
      <x:c r="K35" s="78"/>
    </x:row>
    <x:row r="36">
      <x:c r="A36" s="73"/>
      <x:c r="B36" s="73"/>
      <x:c r="C36" s="74"/>
      <x:c r="D36" s="73"/>
      <x:c r="E36" s="73"/>
      <x:c r="F36" s="75"/>
      <x:c r="G36" s="75"/>
      <x:c r="H36" s="76" t="str">
        <x:f>IF(A36="","",F36-G36)</x:f>
      </x:c>
      <x:c r="I36" s="77" t="str">
        <x:f>IF(A36="","",IF(E36="","기타/불명",IF(IFERROR(SEARCH("급여",E36),0)&gt;0,"인건비",IF(IFERROR(SEARCH("임차",E36),0)&gt;0,"임차·시설",IF(IFERROR(SEARCH("광고",E36),0)&gt;0,"광고·행사",IF(IFERROR(SEARCH("용역",E36),0)&gt;0,"용역·수수료","기타/불명"))))))</x:f>
      </x:c>
      <x:c r="J36" s="77" t="str">
        <x:f>IF(A36="","",IF(I36="기타/불명","확인 필요","결의서명으로 1차 확인"))</x:f>
      </x:c>
      <x:c r="K36" s="78"/>
    </x:row>
    <x:row r="37">
      <x:c r="A37" s="73"/>
      <x:c r="B37" s="73"/>
      <x:c r="C37" s="74"/>
      <x:c r="D37" s="73"/>
      <x:c r="E37" s="73"/>
      <x:c r="F37" s="75"/>
      <x:c r="G37" s="75"/>
      <x:c r="H37" s="76" t="str">
        <x:f>IF(A37="","",F37-G37)</x:f>
      </x:c>
      <x:c r="I37" s="77" t="str">
        <x:f>IF(A37="","",IF(E37="","기타/불명",IF(IFERROR(SEARCH("급여",E37),0)&gt;0,"인건비",IF(IFERROR(SEARCH("임차",E37),0)&gt;0,"임차·시설",IF(IFERROR(SEARCH("광고",E37),0)&gt;0,"광고·행사",IF(IFERROR(SEARCH("용역",E37),0)&gt;0,"용역·수수료","기타/불명"))))))</x:f>
      </x:c>
      <x:c r="J37" s="77" t="str">
        <x:f>IF(A37="","",IF(I37="기타/불명","확인 필요","결의서명으로 1차 확인"))</x:f>
      </x:c>
      <x:c r="K37" s="78"/>
    </x:row>
    <x:row r="38">
      <x:c r="A38" s="73"/>
      <x:c r="B38" s="73"/>
      <x:c r="C38" s="74"/>
      <x:c r="D38" s="73"/>
      <x:c r="E38" s="73"/>
      <x:c r="F38" s="75"/>
      <x:c r="G38" s="75"/>
      <x:c r="H38" s="76" t="str">
        <x:f>IF(A38="","",F38-G38)</x:f>
      </x:c>
      <x:c r="I38" s="77" t="str">
        <x:f>IF(A38="","",IF(E38="","기타/불명",IF(IFERROR(SEARCH("급여",E38),0)&gt;0,"인건비",IF(IFERROR(SEARCH("임차",E38),0)&gt;0,"임차·시설",IF(IFERROR(SEARCH("광고",E38),0)&gt;0,"광고·행사",IF(IFERROR(SEARCH("용역",E38),0)&gt;0,"용역·수수료","기타/불명"))))))</x:f>
      </x:c>
      <x:c r="J38" s="77" t="str">
        <x:f>IF(A38="","",IF(I38="기타/불명","확인 필요","결의서명으로 1차 확인"))</x:f>
      </x:c>
      <x:c r="K38" s="78"/>
    </x:row>
    <x:row r="39">
      <x:c r="A39" s="73"/>
      <x:c r="B39" s="73"/>
      <x:c r="C39" s="74"/>
      <x:c r="D39" s="73"/>
      <x:c r="E39" s="73"/>
      <x:c r="F39" s="75"/>
      <x:c r="G39" s="75"/>
      <x:c r="H39" s="76" t="str">
        <x:f>IF(A39="","",F39-G39)</x:f>
      </x:c>
      <x:c r="I39" s="77" t="str">
        <x:f>IF(A39="","",IF(E39="","기타/불명",IF(IFERROR(SEARCH("급여",E39),0)&gt;0,"인건비",IF(IFERROR(SEARCH("임차",E39),0)&gt;0,"임차·시설",IF(IFERROR(SEARCH("광고",E39),0)&gt;0,"광고·행사",IF(IFERROR(SEARCH("용역",E39),0)&gt;0,"용역·수수료","기타/불명"))))))</x:f>
      </x:c>
      <x:c r="J39" s="77" t="str">
        <x:f>IF(A39="","",IF(I39="기타/불명","확인 필요","결의서명으로 1차 확인"))</x:f>
      </x:c>
      <x:c r="K39" s="78"/>
    </x:row>
    <x:row r="40">
      <x:c r="A40" s="73"/>
      <x:c r="B40" s="73"/>
      <x:c r="C40" s="74"/>
      <x:c r="D40" s="73"/>
      <x:c r="E40" s="73"/>
      <x:c r="F40" s="75"/>
      <x:c r="G40" s="75"/>
      <x:c r="H40" s="76" t="str">
        <x:f>IF(A40="","",F40-G40)</x:f>
      </x:c>
      <x:c r="I40" s="77" t="str">
        <x:f>IF(A40="","",IF(E40="","기타/불명",IF(IFERROR(SEARCH("급여",E40),0)&gt;0,"인건비",IF(IFERROR(SEARCH("임차",E40),0)&gt;0,"임차·시설",IF(IFERROR(SEARCH("광고",E40),0)&gt;0,"광고·행사",IF(IFERROR(SEARCH("용역",E40),0)&gt;0,"용역·수수료","기타/불명"))))))</x:f>
      </x:c>
      <x:c r="J40" s="77" t="str">
        <x:f>IF(A40="","",IF(I40="기타/불명","확인 필요","결의서명으로 1차 확인"))</x:f>
      </x:c>
      <x:c r="K40" s="78"/>
    </x:row>
    <x:row r="41">
      <x:c r="A41" s="73"/>
      <x:c r="B41" s="73"/>
      <x:c r="C41" s="74"/>
      <x:c r="D41" s="73"/>
      <x:c r="E41" s="73"/>
      <x:c r="F41" s="75"/>
      <x:c r="G41" s="75"/>
      <x:c r="H41" s="76" t="str">
        <x:f>IF(A41="","",F41-G41)</x:f>
      </x:c>
      <x:c r="I41" s="77" t="str">
        <x:f>IF(A41="","",IF(E41="","기타/불명",IF(IFERROR(SEARCH("급여",E41),0)&gt;0,"인건비",IF(IFERROR(SEARCH("임차",E41),0)&gt;0,"임차·시설",IF(IFERROR(SEARCH("광고",E41),0)&gt;0,"광고·행사",IF(IFERROR(SEARCH("용역",E41),0)&gt;0,"용역·수수료","기타/불명"))))))</x:f>
      </x:c>
      <x:c r="J41" s="77" t="str">
        <x:f>IF(A41="","",IF(I41="기타/불명","확인 필요","결의서명으로 1차 확인"))</x:f>
      </x:c>
      <x:c r="K41" s="78"/>
    </x:row>
    <x:row r="42">
      <x:c r="A42" s="73"/>
      <x:c r="B42" s="73"/>
      <x:c r="C42" s="74"/>
      <x:c r="D42" s="73"/>
      <x:c r="E42" s="73"/>
      <x:c r="F42" s="75"/>
      <x:c r="G42" s="75"/>
      <x:c r="H42" s="76" t="str">
        <x:f>IF(A42="","",F42-G42)</x:f>
      </x:c>
      <x:c r="I42" s="77" t="str">
        <x:f>IF(A42="","",IF(E42="","기타/불명",IF(IFERROR(SEARCH("급여",E42),0)&gt;0,"인건비",IF(IFERROR(SEARCH("임차",E42),0)&gt;0,"임차·시설",IF(IFERROR(SEARCH("광고",E42),0)&gt;0,"광고·행사",IF(IFERROR(SEARCH("용역",E42),0)&gt;0,"용역·수수료","기타/불명"))))))</x:f>
      </x:c>
      <x:c r="J42" s="77" t="str">
        <x:f>IF(A42="","",IF(I42="기타/불명","확인 필요","결의서명으로 1차 확인"))</x:f>
      </x:c>
      <x:c r="K42" s="78"/>
    </x:row>
    <x:row r="43">
      <x:c r="A43" s="73"/>
      <x:c r="B43" s="73"/>
      <x:c r="C43" s="74"/>
      <x:c r="D43" s="73"/>
      <x:c r="E43" s="73"/>
      <x:c r="F43" s="75"/>
      <x:c r="G43" s="75"/>
      <x:c r="H43" s="76" t="str">
        <x:f>IF(A43="","",F43-G43)</x:f>
      </x:c>
      <x:c r="I43" s="77" t="str">
        <x:f>IF(A43="","",IF(E43="","기타/불명",IF(IFERROR(SEARCH("급여",E43),0)&gt;0,"인건비",IF(IFERROR(SEARCH("임차",E43),0)&gt;0,"임차·시설",IF(IFERROR(SEARCH("광고",E43),0)&gt;0,"광고·행사",IF(IFERROR(SEARCH("용역",E43),0)&gt;0,"용역·수수료","기타/불명"))))))</x:f>
      </x:c>
      <x:c r="J43" s="77" t="str">
        <x:f>IF(A43="","",IF(I43="기타/불명","확인 필요","결의서명으로 1차 확인"))</x:f>
      </x:c>
      <x:c r="K43" s="78"/>
    </x:row>
    <x:row r="44">
      <x:c r="A44" s="73"/>
      <x:c r="B44" s="73"/>
      <x:c r="C44" s="74"/>
      <x:c r="D44" s="73"/>
      <x:c r="E44" s="73"/>
      <x:c r="F44" s="75"/>
      <x:c r="G44" s="75"/>
      <x:c r="H44" s="76" t="str">
        <x:f>IF(A44="","",F44-G44)</x:f>
      </x:c>
      <x:c r="I44" s="77" t="str">
        <x:f>IF(A44="","",IF(E44="","기타/불명",IF(IFERROR(SEARCH("급여",E44),0)&gt;0,"인건비",IF(IFERROR(SEARCH("임차",E44),0)&gt;0,"임차·시설",IF(IFERROR(SEARCH("광고",E44),0)&gt;0,"광고·행사",IF(IFERROR(SEARCH("용역",E44),0)&gt;0,"용역·수수료","기타/불명"))))))</x:f>
      </x:c>
      <x:c r="J44" s="77" t="str">
        <x:f>IF(A44="","",IF(I44="기타/불명","확인 필요","결의서명으로 1차 확인"))</x:f>
      </x:c>
      <x:c r="K44" s="78"/>
    </x:row>
    <x:row r="45">
      <x:c r="A45" s="73"/>
      <x:c r="B45" s="73"/>
      <x:c r="C45" s="74"/>
      <x:c r="D45" s="73"/>
      <x:c r="E45" s="73"/>
      <x:c r="F45" s="75"/>
      <x:c r="G45" s="75"/>
      <x:c r="H45" s="76" t="str">
        <x:f>IF(A45="","",F45-G45)</x:f>
      </x:c>
      <x:c r="I45" s="77" t="str">
        <x:f>IF(A45="","",IF(E45="","기타/불명",IF(IFERROR(SEARCH("급여",E45),0)&gt;0,"인건비",IF(IFERROR(SEARCH("임차",E45),0)&gt;0,"임차·시설",IF(IFERROR(SEARCH("광고",E45),0)&gt;0,"광고·행사",IF(IFERROR(SEARCH("용역",E45),0)&gt;0,"용역·수수료","기타/불명"))))))</x:f>
      </x:c>
      <x:c r="J45" s="77" t="str">
        <x:f>IF(A45="","",IF(I45="기타/불명","확인 필요","결의서명으로 1차 확인"))</x:f>
      </x:c>
      <x:c r="K45" s="78"/>
    </x:row>
    <x:row r="46">
      <x:c r="A46" s="73"/>
      <x:c r="B46" s="73"/>
      <x:c r="C46" s="74"/>
      <x:c r="D46" s="73"/>
      <x:c r="E46" s="73"/>
      <x:c r="F46" s="75"/>
      <x:c r="G46" s="75"/>
      <x:c r="H46" s="76" t="str">
        <x:f>IF(A46="","",F46-G46)</x:f>
      </x:c>
      <x:c r="I46" s="77" t="str">
        <x:f>IF(A46="","",IF(E46="","기타/불명",IF(IFERROR(SEARCH("급여",E46),0)&gt;0,"인건비",IF(IFERROR(SEARCH("임차",E46),0)&gt;0,"임차·시설",IF(IFERROR(SEARCH("광고",E46),0)&gt;0,"광고·행사",IF(IFERROR(SEARCH("용역",E46),0)&gt;0,"용역·수수료","기타/불명"))))))</x:f>
      </x:c>
      <x:c r="J46" s="77" t="str">
        <x:f>IF(A46="","",IF(I46="기타/불명","확인 필요","결의서명으로 1차 확인"))</x:f>
      </x:c>
      <x:c r="K46" s="78"/>
    </x:row>
    <x:row r="47">
      <x:c r="A47" s="73"/>
      <x:c r="B47" s="73"/>
      <x:c r="C47" s="74"/>
      <x:c r="D47" s="73"/>
      <x:c r="E47" s="73"/>
      <x:c r="F47" s="75"/>
      <x:c r="G47" s="75"/>
      <x:c r="H47" s="76" t="str">
        <x:f>IF(A47="","",F47-G47)</x:f>
      </x:c>
      <x:c r="I47" s="77" t="str">
        <x:f>IF(A47="","",IF(E47="","기타/불명",IF(IFERROR(SEARCH("급여",E47),0)&gt;0,"인건비",IF(IFERROR(SEARCH("임차",E47),0)&gt;0,"임차·시설",IF(IFERROR(SEARCH("광고",E47),0)&gt;0,"광고·행사",IF(IFERROR(SEARCH("용역",E47),0)&gt;0,"용역·수수료","기타/불명"))))))</x:f>
      </x:c>
      <x:c r="J47" s="77" t="str">
        <x:f>IF(A47="","",IF(I47="기타/불명","확인 필요","결의서명으로 1차 확인"))</x:f>
      </x:c>
      <x:c r="K47" s="78"/>
    </x:row>
    <x:row r="48">
      <x:c r="A48" s="73"/>
      <x:c r="B48" s="73"/>
      <x:c r="C48" s="74"/>
      <x:c r="D48" s="73"/>
      <x:c r="E48" s="73"/>
      <x:c r="F48" s="75"/>
      <x:c r="G48" s="75"/>
      <x:c r="H48" s="76" t="str">
        <x:f>IF(A48="","",F48-G48)</x:f>
      </x:c>
      <x:c r="I48" s="77" t="str">
        <x:f>IF(A48="","",IF(E48="","기타/불명",IF(IFERROR(SEARCH("급여",E48),0)&gt;0,"인건비",IF(IFERROR(SEARCH("임차",E48),0)&gt;0,"임차·시설",IF(IFERROR(SEARCH("광고",E48),0)&gt;0,"광고·행사",IF(IFERROR(SEARCH("용역",E48),0)&gt;0,"용역·수수료","기타/불명"))))))</x:f>
      </x:c>
      <x:c r="J48" s="77" t="str">
        <x:f>IF(A48="","",IF(I48="기타/불명","확인 필요","결의서명으로 1차 확인"))</x:f>
      </x:c>
      <x:c r="K48" s="78"/>
    </x:row>
    <x:row r="49">
      <x:c r="A49" s="73"/>
      <x:c r="B49" s="73"/>
      <x:c r="C49" s="74"/>
      <x:c r="D49" s="73"/>
      <x:c r="E49" s="73"/>
      <x:c r="F49" s="75"/>
      <x:c r="G49" s="75"/>
      <x:c r="H49" s="76" t="str">
        <x:f>IF(A49="","",F49-G49)</x:f>
      </x:c>
      <x:c r="I49" s="77" t="str">
        <x:f>IF(A49="","",IF(E49="","기타/불명",IF(IFERROR(SEARCH("급여",E49),0)&gt;0,"인건비",IF(IFERROR(SEARCH("임차",E49),0)&gt;0,"임차·시설",IF(IFERROR(SEARCH("광고",E49),0)&gt;0,"광고·행사",IF(IFERROR(SEARCH("용역",E49),0)&gt;0,"용역·수수료","기타/불명"))))))</x:f>
      </x:c>
      <x:c r="J49" s="77" t="str">
        <x:f>IF(A49="","",IF(I49="기타/불명","확인 필요","결의서명으로 1차 확인"))</x:f>
      </x:c>
      <x:c r="K49" s="78"/>
    </x:row>
    <x:row r="50">
      <x:c r="A50" s="73"/>
      <x:c r="B50" s="73"/>
      <x:c r="C50" s="74"/>
      <x:c r="D50" s="73"/>
      <x:c r="E50" s="73"/>
      <x:c r="F50" s="75"/>
      <x:c r="G50" s="75"/>
      <x:c r="H50" s="76" t="str">
        <x:f>IF(A50="","",F50-G50)</x:f>
      </x:c>
      <x:c r="I50" s="77" t="str">
        <x:f>IF(A50="","",IF(E50="","기타/불명",IF(IFERROR(SEARCH("급여",E50),0)&gt;0,"인건비",IF(IFERROR(SEARCH("임차",E50),0)&gt;0,"임차·시설",IF(IFERROR(SEARCH("광고",E50),0)&gt;0,"광고·행사",IF(IFERROR(SEARCH("용역",E50),0)&gt;0,"용역·수수료","기타/불명"))))))</x:f>
      </x:c>
      <x:c r="J50" s="77" t="str">
        <x:f>IF(A50="","",IF(I50="기타/불명","확인 필요","결의서명으로 1차 확인"))</x:f>
      </x:c>
      <x:c r="K50" s="78"/>
    </x:row>
    <x:row r="51">
      <x:c r="A51" s="73"/>
      <x:c r="B51" s="73"/>
      <x:c r="C51" s="74"/>
      <x:c r="D51" s="73"/>
      <x:c r="E51" s="73"/>
      <x:c r="F51" s="75"/>
      <x:c r="G51" s="75"/>
      <x:c r="H51" s="76" t="str">
        <x:f>IF(A51="","",F51-G51)</x:f>
      </x:c>
      <x:c r="I51" s="77" t="str">
        <x:f>IF(A51="","",IF(E51="","기타/불명",IF(IFERROR(SEARCH("급여",E51),0)&gt;0,"인건비",IF(IFERROR(SEARCH("임차",E51),0)&gt;0,"임차·시설",IF(IFERROR(SEARCH("광고",E51),0)&gt;0,"광고·행사",IF(IFERROR(SEARCH("용역",E51),0)&gt;0,"용역·수수료","기타/불명"))))))</x:f>
      </x:c>
      <x:c r="J51" s="77" t="str">
        <x:f>IF(A51="","",IF(I51="기타/불명","확인 필요","결의서명으로 1차 확인"))</x:f>
      </x:c>
      <x:c r="K51" s="78"/>
    </x:row>
    <x:row r="52">
      <x:c r="A52" s="73"/>
      <x:c r="B52" s="73"/>
      <x:c r="C52" s="74"/>
      <x:c r="D52" s="73"/>
      <x:c r="E52" s="73"/>
      <x:c r="F52" s="75"/>
      <x:c r="G52" s="75"/>
      <x:c r="H52" s="76" t="str">
        <x:f>IF(A52="","",F52-G52)</x:f>
      </x:c>
      <x:c r="I52" s="77" t="str">
        <x:f>IF(A52="","",IF(E52="","기타/불명",IF(IFERROR(SEARCH("급여",E52),0)&gt;0,"인건비",IF(IFERROR(SEARCH("임차",E52),0)&gt;0,"임차·시설",IF(IFERROR(SEARCH("광고",E52),0)&gt;0,"광고·행사",IF(IFERROR(SEARCH("용역",E52),0)&gt;0,"용역·수수료","기타/불명"))))))</x:f>
      </x:c>
      <x:c r="J52" s="77" t="str">
        <x:f>IF(A52="","",IF(I52="기타/불명","확인 필요","결의서명으로 1차 확인"))</x:f>
      </x:c>
      <x:c r="K52" s="78"/>
    </x:row>
    <x:row r="53">
      <x:c r="A53" s="73"/>
      <x:c r="B53" s="73"/>
      <x:c r="C53" s="74"/>
      <x:c r="D53" s="73"/>
      <x:c r="E53" s="73"/>
      <x:c r="F53" s="75"/>
      <x:c r="G53" s="75"/>
      <x:c r="H53" s="76" t="str">
        <x:f>IF(A53="","",F53-G53)</x:f>
      </x:c>
      <x:c r="I53" s="77" t="str">
        <x:f>IF(A53="","",IF(E53="","기타/불명",IF(IFERROR(SEARCH("급여",E53),0)&gt;0,"인건비",IF(IFERROR(SEARCH("임차",E53),0)&gt;0,"임차·시설",IF(IFERROR(SEARCH("광고",E53),0)&gt;0,"광고·행사",IF(IFERROR(SEARCH("용역",E53),0)&gt;0,"용역·수수료","기타/불명"))))))</x:f>
      </x:c>
      <x:c r="J53" s="77" t="str">
        <x:f>IF(A53="","",IF(I53="기타/불명","확인 필요","결의서명으로 1차 확인"))</x:f>
      </x:c>
      <x:c r="K53" s="78"/>
    </x:row>
    <x:row r="54">
      <x:c r="A54" s="73"/>
      <x:c r="B54" s="73"/>
      <x:c r="C54" s="74"/>
      <x:c r="D54" s="73"/>
      <x:c r="E54" s="73"/>
      <x:c r="F54" s="75"/>
      <x:c r="G54" s="75"/>
      <x:c r="H54" s="76" t="str">
        <x:f>IF(A54="","",F54-G54)</x:f>
      </x:c>
      <x:c r="I54" s="77" t="str">
        <x:f>IF(A54="","",IF(E54="","기타/불명",IF(IFERROR(SEARCH("급여",E54),0)&gt;0,"인건비",IF(IFERROR(SEARCH("임차",E54),0)&gt;0,"임차·시설",IF(IFERROR(SEARCH("광고",E54),0)&gt;0,"광고·행사",IF(IFERROR(SEARCH("용역",E54),0)&gt;0,"용역·수수료","기타/불명"))))))</x:f>
      </x:c>
      <x:c r="J54" s="77" t="str">
        <x:f>IF(A54="","",IF(I54="기타/불명","확인 필요","결의서명으로 1차 확인"))</x:f>
      </x:c>
      <x:c r="K54" s="78"/>
    </x:row>
    <x:row r="55">
      <x:c r="A55" s="73"/>
      <x:c r="B55" s="73"/>
      <x:c r="C55" s="74"/>
      <x:c r="D55" s="73"/>
      <x:c r="E55" s="73"/>
      <x:c r="F55" s="75"/>
      <x:c r="G55" s="75"/>
      <x:c r="H55" s="76" t="str">
        <x:f>IF(A55="","",F55-G55)</x:f>
      </x:c>
      <x:c r="I55" s="77" t="str">
        <x:f>IF(A55="","",IF(E55="","기타/불명",IF(IFERROR(SEARCH("급여",E55),0)&gt;0,"인건비",IF(IFERROR(SEARCH("임차",E55),0)&gt;0,"임차·시설",IF(IFERROR(SEARCH("광고",E55),0)&gt;0,"광고·행사",IF(IFERROR(SEARCH("용역",E55),0)&gt;0,"용역·수수료","기타/불명"))))))</x:f>
      </x:c>
      <x:c r="J55" s="77" t="str">
        <x:f>IF(A55="","",IF(I55="기타/불명","확인 필요","결의서명으로 1차 확인"))</x:f>
      </x:c>
      <x:c r="K55" s="78"/>
    </x:row>
    <x:row r="56">
      <x:c r="A56" s="73"/>
      <x:c r="B56" s="73"/>
      <x:c r="C56" s="74"/>
      <x:c r="D56" s="73"/>
      <x:c r="E56" s="73"/>
      <x:c r="F56" s="75"/>
      <x:c r="G56" s="75"/>
      <x:c r="H56" s="76" t="str">
        <x:f>IF(A56="","",F56-G56)</x:f>
      </x:c>
      <x:c r="I56" s="77" t="str">
        <x:f>IF(A56="","",IF(E56="","기타/불명",IF(IFERROR(SEARCH("급여",E56),0)&gt;0,"인건비",IF(IFERROR(SEARCH("임차",E56),0)&gt;0,"임차·시설",IF(IFERROR(SEARCH("광고",E56),0)&gt;0,"광고·행사",IF(IFERROR(SEARCH("용역",E56),0)&gt;0,"용역·수수료","기타/불명"))))))</x:f>
      </x:c>
      <x:c r="J56" s="77" t="str">
        <x:f>IF(A56="","",IF(I56="기타/불명","확인 필요","결의서명으로 1차 확인"))</x:f>
      </x:c>
      <x:c r="K56" s="78"/>
    </x:row>
    <x:row r="57">
      <x:c r="A57" s="73"/>
      <x:c r="B57" s="73"/>
      <x:c r="C57" s="74"/>
      <x:c r="D57" s="73"/>
      <x:c r="E57" s="73"/>
      <x:c r="F57" s="75"/>
      <x:c r="G57" s="75"/>
      <x:c r="H57" s="76" t="str">
        <x:f>IF(A57="","",F57-G57)</x:f>
      </x:c>
      <x:c r="I57" s="77" t="str">
        <x:f>IF(A57="","",IF(E57="","기타/불명",IF(IFERROR(SEARCH("급여",E57),0)&gt;0,"인건비",IF(IFERROR(SEARCH("임차",E57),0)&gt;0,"임차·시설",IF(IFERROR(SEARCH("광고",E57),0)&gt;0,"광고·행사",IF(IFERROR(SEARCH("용역",E57),0)&gt;0,"용역·수수료","기타/불명"))))))</x:f>
      </x:c>
      <x:c r="J57" s="77" t="str">
        <x:f>IF(A57="","",IF(I57="기타/불명","확인 필요","결의서명으로 1차 확인"))</x:f>
      </x:c>
      <x:c r="K57" s="78"/>
    </x:row>
    <x:row r="58">
      <x:c r="A58" s="73"/>
      <x:c r="B58" s="73"/>
      <x:c r="C58" s="74"/>
      <x:c r="D58" s="73"/>
      <x:c r="E58" s="73"/>
      <x:c r="F58" s="75"/>
      <x:c r="G58" s="75"/>
      <x:c r="H58" s="76" t="str">
        <x:f>IF(A58="","",F58-G58)</x:f>
      </x:c>
      <x:c r="I58" s="77" t="str">
        <x:f>IF(A58="","",IF(E58="","기타/불명",IF(IFERROR(SEARCH("급여",E58),0)&gt;0,"인건비",IF(IFERROR(SEARCH("임차",E58),0)&gt;0,"임차·시설",IF(IFERROR(SEARCH("광고",E58),0)&gt;0,"광고·행사",IF(IFERROR(SEARCH("용역",E58),0)&gt;0,"용역·수수료","기타/불명"))))))</x:f>
      </x:c>
      <x:c r="J58" s="77" t="str">
        <x:f>IF(A58="","",IF(I58="기타/불명","확인 필요","결의서명으로 1차 확인"))</x:f>
      </x:c>
      <x:c r="K58" s="78"/>
    </x:row>
    <x:row r="59">
      <x:c r="A59" s="73"/>
      <x:c r="B59" s="73"/>
      <x:c r="C59" s="74"/>
      <x:c r="D59" s="73"/>
      <x:c r="E59" s="73"/>
      <x:c r="F59" s="75"/>
      <x:c r="G59" s="75"/>
      <x:c r="H59" s="76" t="str">
        <x:f>IF(A59="","",F59-G59)</x:f>
      </x:c>
      <x:c r="I59" s="77" t="str">
        <x:f>IF(A59="","",IF(E59="","기타/불명",IF(IFERROR(SEARCH("급여",E59),0)&gt;0,"인건비",IF(IFERROR(SEARCH("임차",E59),0)&gt;0,"임차·시설",IF(IFERROR(SEARCH("광고",E59),0)&gt;0,"광고·행사",IF(IFERROR(SEARCH("용역",E59),0)&gt;0,"용역·수수료","기타/불명"))))))</x:f>
      </x:c>
      <x:c r="J59" s="77" t="str">
        <x:f>IF(A59="","",IF(I59="기타/불명","확인 필요","결의서명으로 1차 확인"))</x:f>
      </x:c>
      <x:c r="K59" s="78"/>
    </x:row>
    <x:row r="60">
      <x:c r="A60" s="73"/>
      <x:c r="B60" s="73"/>
      <x:c r="C60" s="74"/>
      <x:c r="D60" s="73"/>
      <x:c r="E60" s="73"/>
      <x:c r="F60" s="75"/>
      <x:c r="G60" s="75"/>
      <x:c r="H60" s="76" t="str">
        <x:f>IF(A60="","",F60-G60)</x:f>
      </x:c>
      <x:c r="I60" s="77" t="str">
        <x:f>IF(A60="","",IF(E60="","기타/불명",IF(IFERROR(SEARCH("급여",E60),0)&gt;0,"인건비",IF(IFERROR(SEARCH("임차",E60),0)&gt;0,"임차·시설",IF(IFERROR(SEARCH("광고",E60),0)&gt;0,"광고·행사",IF(IFERROR(SEARCH("용역",E60),0)&gt;0,"용역·수수료","기타/불명"))))))</x:f>
      </x:c>
      <x:c r="J60" s="77" t="str">
        <x:f>IF(A60="","",IF(I60="기타/불명","확인 필요","결의서명으로 1차 확인"))</x:f>
      </x:c>
      <x:c r="K60" s="78"/>
    </x:row>
    <x:row r="61">
      <x:c r="A61" s="73"/>
      <x:c r="B61" s="73"/>
      <x:c r="C61" s="74"/>
      <x:c r="D61" s="73"/>
      <x:c r="E61" s="73"/>
      <x:c r="F61" s="75"/>
      <x:c r="G61" s="75"/>
      <x:c r="H61" s="76" t="str">
        <x:f>IF(A61="","",F61-G61)</x:f>
      </x:c>
      <x:c r="I61" s="77" t="str">
        <x:f>IF(A61="","",IF(E61="","기타/불명",IF(IFERROR(SEARCH("급여",E61),0)&gt;0,"인건비",IF(IFERROR(SEARCH("임차",E61),0)&gt;0,"임차·시설",IF(IFERROR(SEARCH("광고",E61),0)&gt;0,"광고·행사",IF(IFERROR(SEARCH("용역",E61),0)&gt;0,"용역·수수료","기타/불명"))))))</x:f>
      </x:c>
      <x:c r="J61" s="77" t="str">
        <x:f>IF(A61="","",IF(I61="기타/불명","확인 필요","결의서명으로 1차 확인"))</x:f>
      </x:c>
      <x:c r="K61" s="78"/>
    </x:row>
    <x:row r="62">
      <x:c r="A62" s="73"/>
      <x:c r="B62" s="73"/>
      <x:c r="C62" s="74"/>
      <x:c r="D62" s="73"/>
      <x:c r="E62" s="73"/>
      <x:c r="F62" s="75"/>
      <x:c r="G62" s="75"/>
      <x:c r="H62" s="76" t="str">
        <x:f>IF(A62="","",F62-G62)</x:f>
      </x:c>
      <x:c r="I62" s="77" t="str">
        <x:f>IF(A62="","",IF(E62="","기타/불명",IF(IFERROR(SEARCH("급여",E62),0)&gt;0,"인건비",IF(IFERROR(SEARCH("임차",E62),0)&gt;0,"임차·시설",IF(IFERROR(SEARCH("광고",E62),0)&gt;0,"광고·행사",IF(IFERROR(SEARCH("용역",E62),0)&gt;0,"용역·수수료","기타/불명"))))))</x:f>
      </x:c>
      <x:c r="J62" s="77" t="str">
        <x:f>IF(A62="","",IF(I62="기타/불명","확인 필요","결의서명으로 1차 확인"))</x:f>
      </x:c>
      <x:c r="K62" s="78"/>
    </x:row>
    <x:row r="63">
      <x:c r="A63" s="73"/>
      <x:c r="B63" s="73"/>
      <x:c r="C63" s="74"/>
      <x:c r="D63" s="73"/>
      <x:c r="E63" s="73"/>
      <x:c r="F63" s="75"/>
      <x:c r="G63" s="75"/>
      <x:c r="H63" s="76" t="str">
        <x:f>IF(A63="","",F63-G63)</x:f>
      </x:c>
      <x:c r="I63" s="77" t="str">
        <x:f>IF(A63="","",IF(E63="","기타/불명",IF(IFERROR(SEARCH("급여",E63),0)&gt;0,"인건비",IF(IFERROR(SEARCH("임차",E63),0)&gt;0,"임차·시설",IF(IFERROR(SEARCH("광고",E63),0)&gt;0,"광고·행사",IF(IFERROR(SEARCH("용역",E63),0)&gt;0,"용역·수수료","기타/불명"))))))</x:f>
      </x:c>
      <x:c r="J63" s="77" t="str">
        <x:f>IF(A63="","",IF(I63="기타/불명","확인 필요","결의서명으로 1차 확인"))</x:f>
      </x:c>
      <x:c r="K63" s="78"/>
    </x:row>
    <x:row r="64">
      <x:c r="A64" s="73"/>
      <x:c r="B64" s="73"/>
      <x:c r="C64" s="74"/>
      <x:c r="D64" s="73"/>
      <x:c r="E64" s="73"/>
      <x:c r="F64" s="75"/>
      <x:c r="G64" s="75"/>
      <x:c r="H64" s="76" t="str">
        <x:f>IF(A64="","",F64-G64)</x:f>
      </x:c>
      <x:c r="I64" s="77" t="str">
        <x:f>IF(A64="","",IF(E64="","기타/불명",IF(IFERROR(SEARCH("급여",E64),0)&gt;0,"인건비",IF(IFERROR(SEARCH("임차",E64),0)&gt;0,"임차·시설",IF(IFERROR(SEARCH("광고",E64),0)&gt;0,"광고·행사",IF(IFERROR(SEARCH("용역",E64),0)&gt;0,"용역·수수료","기타/불명"))))))</x:f>
      </x:c>
      <x:c r="J64" s="77" t="str">
        <x:f>IF(A64="","",IF(I64="기타/불명","확인 필요","결의서명으로 1차 확인"))</x:f>
      </x:c>
      <x:c r="K64" s="78"/>
    </x:row>
    <x:row r="65">
      <x:c r="A65" s="73"/>
      <x:c r="B65" s="73"/>
      <x:c r="C65" s="74"/>
      <x:c r="D65" s="73"/>
      <x:c r="E65" s="73"/>
      <x:c r="F65" s="75"/>
      <x:c r="G65" s="75"/>
      <x:c r="H65" s="76" t="str">
        <x:f>IF(A65="","",F65-G65)</x:f>
      </x:c>
      <x:c r="I65" s="77" t="str">
        <x:f>IF(A65="","",IF(E65="","기타/불명",IF(IFERROR(SEARCH("급여",E65),0)&gt;0,"인건비",IF(IFERROR(SEARCH("임차",E65),0)&gt;0,"임차·시설",IF(IFERROR(SEARCH("광고",E65),0)&gt;0,"광고·행사",IF(IFERROR(SEARCH("용역",E65),0)&gt;0,"용역·수수료","기타/불명"))))))</x:f>
      </x:c>
      <x:c r="J65" s="77" t="str">
        <x:f>IF(A65="","",IF(I65="기타/불명","확인 필요","결의서명으로 1차 확인"))</x:f>
      </x:c>
      <x:c r="K65" s="78"/>
    </x:row>
    <x:row r="66">
      <x:c r="A66" s="73"/>
      <x:c r="B66" s="73"/>
      <x:c r="C66" s="74"/>
      <x:c r="D66" s="73"/>
      <x:c r="E66" s="73"/>
      <x:c r="F66" s="75"/>
      <x:c r="G66" s="75"/>
      <x:c r="H66" s="76" t="str">
        <x:f>IF(A66="","",F66-G66)</x:f>
      </x:c>
      <x:c r="I66" s="77" t="str">
        <x:f>IF(A66="","",IF(E66="","기타/불명",IF(IFERROR(SEARCH("급여",E66),0)&gt;0,"인건비",IF(IFERROR(SEARCH("임차",E66),0)&gt;0,"임차·시설",IF(IFERROR(SEARCH("광고",E66),0)&gt;0,"광고·행사",IF(IFERROR(SEARCH("용역",E66),0)&gt;0,"용역·수수료","기타/불명"))))))</x:f>
      </x:c>
      <x:c r="J66" s="77" t="str">
        <x:f>IF(A66="","",IF(I66="기타/불명","확인 필요","결의서명으로 1차 확인"))</x:f>
      </x:c>
      <x:c r="K66" s="78"/>
    </x:row>
    <x:row r="67">
      <x:c r="A67" s="73"/>
      <x:c r="B67" s="73"/>
      <x:c r="C67" s="74"/>
      <x:c r="D67" s="73"/>
      <x:c r="E67" s="73"/>
      <x:c r="F67" s="75"/>
      <x:c r="G67" s="75"/>
      <x:c r="H67" s="76" t="str">
        <x:f>IF(A67="","",F67-G67)</x:f>
      </x:c>
      <x:c r="I67" s="77" t="str">
        <x:f>IF(A67="","",IF(E67="","기타/불명",IF(IFERROR(SEARCH("급여",E67),0)&gt;0,"인건비",IF(IFERROR(SEARCH("임차",E67),0)&gt;0,"임차·시설",IF(IFERROR(SEARCH("광고",E67),0)&gt;0,"광고·행사",IF(IFERROR(SEARCH("용역",E67),0)&gt;0,"용역·수수료","기타/불명"))))))</x:f>
      </x:c>
      <x:c r="J67" s="77" t="str">
        <x:f>IF(A67="","",IF(I67="기타/불명","확인 필요","결의서명으로 1차 확인"))</x:f>
      </x:c>
      <x:c r="K67" s="78"/>
    </x:row>
    <x:row r="68">
      <x:c r="A68" s="73"/>
      <x:c r="B68" s="73"/>
      <x:c r="C68" s="74"/>
      <x:c r="D68" s="73"/>
      <x:c r="E68" s="73"/>
      <x:c r="F68" s="75"/>
      <x:c r="G68" s="75"/>
      <x:c r="H68" s="76" t="str">
        <x:f>IF(A68="","",F68-G68)</x:f>
      </x:c>
      <x:c r="I68" s="77" t="str">
        <x:f>IF(A68="","",IF(E68="","기타/불명",IF(IFERROR(SEARCH("급여",E68),0)&gt;0,"인건비",IF(IFERROR(SEARCH("임차",E68),0)&gt;0,"임차·시설",IF(IFERROR(SEARCH("광고",E68),0)&gt;0,"광고·행사",IF(IFERROR(SEARCH("용역",E68),0)&gt;0,"용역·수수료","기타/불명"))))))</x:f>
      </x:c>
      <x:c r="J68" s="77" t="str">
        <x:f>IF(A68="","",IF(I68="기타/불명","확인 필요","결의서명으로 1차 확인"))</x:f>
      </x:c>
      <x:c r="K68" s="78"/>
    </x:row>
    <x:row r="69">
      <x:c r="A69" s="73"/>
      <x:c r="B69" s="73"/>
      <x:c r="C69" s="74"/>
      <x:c r="D69" s="73"/>
      <x:c r="E69" s="73"/>
      <x:c r="F69" s="75"/>
      <x:c r="G69" s="75"/>
      <x:c r="H69" s="76" t="str">
        <x:f>IF(A69="","",F69-G69)</x:f>
      </x:c>
      <x:c r="I69" s="77" t="str">
        <x:f>IF(A69="","",IF(E69="","기타/불명",IF(IFERROR(SEARCH("급여",E69),0)&gt;0,"인건비",IF(IFERROR(SEARCH("임차",E69),0)&gt;0,"임차·시설",IF(IFERROR(SEARCH("광고",E69),0)&gt;0,"광고·행사",IF(IFERROR(SEARCH("용역",E69),0)&gt;0,"용역·수수료","기타/불명"))))))</x:f>
      </x:c>
      <x:c r="J69" s="77" t="str">
        <x:f>IF(A69="","",IF(I69="기타/불명","확인 필요","결의서명으로 1차 확인"))</x:f>
      </x:c>
      <x:c r="K69" s="78"/>
    </x:row>
    <x:row r="70">
      <x:c r="A70" s="73"/>
      <x:c r="B70" s="73"/>
      <x:c r="C70" s="74"/>
      <x:c r="D70" s="73"/>
      <x:c r="E70" s="73"/>
      <x:c r="F70" s="75"/>
      <x:c r="G70" s="75"/>
      <x:c r="H70" s="76" t="str">
        <x:f>IF(A70="","",F70-G70)</x:f>
      </x:c>
      <x:c r="I70" s="77" t="str">
        <x:f>IF(A70="","",IF(E70="","기타/불명",IF(IFERROR(SEARCH("급여",E70),0)&gt;0,"인건비",IF(IFERROR(SEARCH("임차",E70),0)&gt;0,"임차·시설",IF(IFERROR(SEARCH("광고",E70),0)&gt;0,"광고·행사",IF(IFERROR(SEARCH("용역",E70),0)&gt;0,"용역·수수료","기타/불명"))))))</x:f>
      </x:c>
      <x:c r="J70" s="77" t="str">
        <x:f>IF(A70="","",IF(I70="기타/불명","확인 필요","결의서명으로 1차 확인"))</x:f>
      </x:c>
      <x:c r="K70" s="78"/>
    </x:row>
    <x:row r="71">
      <x:c r="A71" s="73"/>
      <x:c r="B71" s="73"/>
      <x:c r="C71" s="74"/>
      <x:c r="D71" s="73"/>
      <x:c r="E71" s="73"/>
      <x:c r="F71" s="75"/>
      <x:c r="G71" s="75"/>
      <x:c r="H71" s="76" t="str">
        <x:f>IF(A71="","",F71-G71)</x:f>
      </x:c>
      <x:c r="I71" s="77" t="str">
        <x:f>IF(A71="","",IF(E71="","기타/불명",IF(IFERROR(SEARCH("급여",E71),0)&gt;0,"인건비",IF(IFERROR(SEARCH("임차",E71),0)&gt;0,"임차·시설",IF(IFERROR(SEARCH("광고",E71),0)&gt;0,"광고·행사",IF(IFERROR(SEARCH("용역",E71),0)&gt;0,"용역·수수료","기타/불명"))))))</x:f>
      </x:c>
      <x:c r="J71" s="77" t="str">
        <x:f>IF(A71="","",IF(I71="기타/불명","확인 필요","결의서명으로 1차 확인"))</x:f>
      </x:c>
      <x:c r="K71" s="78"/>
    </x:row>
    <x:row r="72">
      <x:c r="A72" s="73"/>
      <x:c r="B72" s="73"/>
      <x:c r="C72" s="74"/>
      <x:c r="D72" s="73"/>
      <x:c r="E72" s="73"/>
      <x:c r="F72" s="75"/>
      <x:c r="G72" s="75"/>
      <x:c r="H72" s="76" t="str">
        <x:f>IF(A72="","",F72-G72)</x:f>
      </x:c>
      <x:c r="I72" s="77" t="str">
        <x:f>IF(A72="","",IF(E72="","기타/불명",IF(IFERROR(SEARCH("급여",E72),0)&gt;0,"인건비",IF(IFERROR(SEARCH("임차",E72),0)&gt;0,"임차·시설",IF(IFERROR(SEARCH("광고",E72),0)&gt;0,"광고·행사",IF(IFERROR(SEARCH("용역",E72),0)&gt;0,"용역·수수료","기타/불명"))))))</x:f>
      </x:c>
      <x:c r="J72" s="77" t="str">
        <x:f>IF(A72="","",IF(I72="기타/불명","확인 필요","결의서명으로 1차 확인"))</x:f>
      </x:c>
      <x:c r="K72" s="78"/>
    </x:row>
    <x:row r="73">
      <x:c r="A73" s="73"/>
      <x:c r="B73" s="73"/>
      <x:c r="C73" s="74"/>
      <x:c r="D73" s="73"/>
      <x:c r="E73" s="73"/>
      <x:c r="F73" s="75"/>
      <x:c r="G73" s="75"/>
      <x:c r="H73" s="76" t="str">
        <x:f>IF(A73="","",F73-G73)</x:f>
      </x:c>
      <x:c r="I73" s="77" t="str">
        <x:f>IF(A73="","",IF(E73="","기타/불명",IF(IFERROR(SEARCH("급여",E73),0)&gt;0,"인건비",IF(IFERROR(SEARCH("임차",E73),0)&gt;0,"임차·시설",IF(IFERROR(SEARCH("광고",E73),0)&gt;0,"광고·행사",IF(IFERROR(SEARCH("용역",E73),0)&gt;0,"용역·수수료","기타/불명"))))))</x:f>
      </x:c>
      <x:c r="J73" s="77" t="str">
        <x:f>IF(A73="","",IF(I73="기타/불명","확인 필요","결의서명으로 1차 확인"))</x:f>
      </x:c>
      <x:c r="K73" s="78"/>
    </x:row>
    <x:row r="74">
      <x:c r="A74" s="73"/>
      <x:c r="B74" s="73"/>
      <x:c r="C74" s="74"/>
      <x:c r="D74" s="73"/>
      <x:c r="E74" s="73"/>
      <x:c r="F74" s="75"/>
      <x:c r="G74" s="75"/>
      <x:c r="H74" s="76" t="str">
        <x:f>IF(A74="","",F74-G74)</x:f>
      </x:c>
      <x:c r="I74" s="77" t="str">
        <x:f>IF(A74="","",IF(E74="","기타/불명",IF(IFERROR(SEARCH("급여",E74),0)&gt;0,"인건비",IF(IFERROR(SEARCH("임차",E74),0)&gt;0,"임차·시설",IF(IFERROR(SEARCH("광고",E74),0)&gt;0,"광고·행사",IF(IFERROR(SEARCH("용역",E74),0)&gt;0,"용역·수수료","기타/불명"))))))</x:f>
      </x:c>
      <x:c r="J74" s="77" t="str">
        <x:f>IF(A74="","",IF(I74="기타/불명","확인 필요","결의서명으로 1차 확인"))</x:f>
      </x:c>
      <x:c r="K74" s="78"/>
    </x:row>
    <x:row r="75">
      <x:c r="A75" s="73"/>
      <x:c r="B75" s="73"/>
      <x:c r="C75" s="74"/>
      <x:c r="D75" s="73"/>
      <x:c r="E75" s="73"/>
      <x:c r="F75" s="75"/>
      <x:c r="G75" s="75"/>
      <x:c r="H75" s="76" t="str">
        <x:f>IF(A75="","",F75-G75)</x:f>
      </x:c>
      <x:c r="I75" s="77" t="str">
        <x:f>IF(A75="","",IF(E75="","기타/불명",IF(IFERROR(SEARCH("급여",E75),0)&gt;0,"인건비",IF(IFERROR(SEARCH("임차",E75),0)&gt;0,"임차·시설",IF(IFERROR(SEARCH("광고",E75),0)&gt;0,"광고·행사",IF(IFERROR(SEARCH("용역",E75),0)&gt;0,"용역·수수료","기타/불명"))))))</x:f>
      </x:c>
      <x:c r="J75" s="77" t="str">
        <x:f>IF(A75="","",IF(I75="기타/불명","확인 필요","결의서명으로 1차 확인"))</x:f>
      </x:c>
      <x:c r="K75" s="78"/>
    </x:row>
    <x:row r="76">
      <x:c r="A76" s="73"/>
      <x:c r="B76" s="73"/>
      <x:c r="C76" s="74"/>
      <x:c r="D76" s="73"/>
      <x:c r="E76" s="73"/>
      <x:c r="F76" s="75"/>
      <x:c r="G76" s="75"/>
      <x:c r="H76" s="76" t="str">
        <x:f>IF(A76="","",F76-G76)</x:f>
      </x:c>
      <x:c r="I76" s="77" t="str">
        <x:f>IF(A76="","",IF(E76="","기타/불명",IF(IFERROR(SEARCH("급여",E76),0)&gt;0,"인건비",IF(IFERROR(SEARCH("임차",E76),0)&gt;0,"임차·시설",IF(IFERROR(SEARCH("광고",E76),0)&gt;0,"광고·행사",IF(IFERROR(SEARCH("용역",E76),0)&gt;0,"용역·수수료","기타/불명"))))))</x:f>
      </x:c>
      <x:c r="J76" s="77" t="str">
        <x:f>IF(A76="","",IF(I76="기타/불명","확인 필요","결의서명으로 1차 확인"))</x:f>
      </x:c>
      <x:c r="K76" s="78"/>
    </x:row>
    <x:row r="77">
      <x:c r="A77" s="73"/>
      <x:c r="B77" s="73"/>
      <x:c r="C77" s="74"/>
      <x:c r="D77" s="73"/>
      <x:c r="E77" s="73"/>
      <x:c r="F77" s="75"/>
      <x:c r="G77" s="75"/>
      <x:c r="H77" s="76" t="str">
        <x:f>IF(A77="","",F77-G77)</x:f>
      </x:c>
      <x:c r="I77" s="77" t="str">
        <x:f>IF(A77="","",IF(E77="","기타/불명",IF(IFERROR(SEARCH("급여",E77),0)&gt;0,"인건비",IF(IFERROR(SEARCH("임차",E77),0)&gt;0,"임차·시설",IF(IFERROR(SEARCH("광고",E77),0)&gt;0,"광고·행사",IF(IFERROR(SEARCH("용역",E77),0)&gt;0,"용역·수수료","기타/불명"))))))</x:f>
      </x:c>
      <x:c r="J77" s="77" t="str">
        <x:f>IF(A77="","",IF(I77="기타/불명","확인 필요","결의서명으로 1차 확인"))</x:f>
      </x:c>
      <x:c r="K77" s="78"/>
    </x:row>
    <x:row r="78">
      <x:c r="A78" s="73"/>
      <x:c r="B78" s="73"/>
      <x:c r="C78" s="74"/>
      <x:c r="D78" s="73"/>
      <x:c r="E78" s="73"/>
      <x:c r="F78" s="75"/>
      <x:c r="G78" s="75"/>
      <x:c r="H78" s="76" t="str">
        <x:f>IF(A78="","",F78-G78)</x:f>
      </x:c>
      <x:c r="I78" s="77" t="str">
        <x:f>IF(A78="","",IF(E78="","기타/불명",IF(IFERROR(SEARCH("급여",E78),0)&gt;0,"인건비",IF(IFERROR(SEARCH("임차",E78),0)&gt;0,"임차·시설",IF(IFERROR(SEARCH("광고",E78),0)&gt;0,"광고·행사",IF(IFERROR(SEARCH("용역",E78),0)&gt;0,"용역·수수료","기타/불명"))))))</x:f>
      </x:c>
      <x:c r="J78" s="77" t="str">
        <x:f>IF(A78="","",IF(I78="기타/불명","확인 필요","결의서명으로 1차 확인"))</x:f>
      </x:c>
      <x:c r="K78" s="78"/>
    </x:row>
    <x:row r="79">
      <x:c r="A79" s="73"/>
      <x:c r="B79" s="73"/>
      <x:c r="C79" s="74"/>
      <x:c r="D79" s="73"/>
      <x:c r="E79" s="73"/>
      <x:c r="F79" s="75"/>
      <x:c r="G79" s="75"/>
      <x:c r="H79" s="76" t="str">
        <x:f>IF(A79="","",F79-G79)</x:f>
      </x:c>
      <x:c r="I79" s="77" t="str">
        <x:f>IF(A79="","",IF(E79="","기타/불명",IF(IFERROR(SEARCH("급여",E79),0)&gt;0,"인건비",IF(IFERROR(SEARCH("임차",E79),0)&gt;0,"임차·시설",IF(IFERROR(SEARCH("광고",E79),0)&gt;0,"광고·행사",IF(IFERROR(SEARCH("용역",E79),0)&gt;0,"용역·수수료","기타/불명"))))))</x:f>
      </x:c>
      <x:c r="J79" s="77" t="str">
        <x:f>IF(A79="","",IF(I79="기타/불명","확인 필요","결의서명으로 1차 확인"))</x:f>
      </x:c>
      <x:c r="K79" s="78"/>
    </x:row>
    <x:row r="80">
      <x:c r="A80" s="73"/>
      <x:c r="B80" s="73"/>
      <x:c r="C80" s="74"/>
      <x:c r="D80" s="73"/>
      <x:c r="E80" s="73"/>
      <x:c r="F80" s="75"/>
      <x:c r="G80" s="75"/>
      <x:c r="H80" s="76" t="str">
        <x:f>IF(A80="","",F80-G80)</x:f>
      </x:c>
      <x:c r="I80" s="77" t="str">
        <x:f>IF(A80="","",IF(E80="","기타/불명",IF(IFERROR(SEARCH("급여",E80),0)&gt;0,"인건비",IF(IFERROR(SEARCH("임차",E80),0)&gt;0,"임차·시설",IF(IFERROR(SEARCH("광고",E80),0)&gt;0,"광고·행사",IF(IFERROR(SEARCH("용역",E80),0)&gt;0,"용역·수수료","기타/불명"))))))</x:f>
      </x:c>
      <x:c r="J80" s="77" t="str">
        <x:f>IF(A80="","",IF(I80="기타/불명","확인 필요","결의서명으로 1차 확인"))</x:f>
      </x:c>
      <x:c r="K80" s="78"/>
    </x:row>
    <x:row r="81">
      <x:c r="A81" s="73"/>
      <x:c r="B81" s="73"/>
      <x:c r="C81" s="74"/>
      <x:c r="D81" s="73"/>
      <x:c r="E81" s="73"/>
      <x:c r="F81" s="75"/>
      <x:c r="G81" s="75"/>
      <x:c r="H81" s="76" t="str">
        <x:f>IF(A81="","",F81-G81)</x:f>
      </x:c>
      <x:c r="I81" s="77" t="str">
        <x:f>IF(A81="","",IF(E81="","기타/불명",IF(IFERROR(SEARCH("급여",E81),0)&gt;0,"인건비",IF(IFERROR(SEARCH("임차",E81),0)&gt;0,"임차·시설",IF(IFERROR(SEARCH("광고",E81),0)&gt;0,"광고·행사",IF(IFERROR(SEARCH("용역",E81),0)&gt;0,"용역·수수료","기타/불명"))))))</x:f>
      </x:c>
      <x:c r="J81" s="77" t="str">
        <x:f>IF(A81="","",IF(I81="기타/불명","확인 필요","결의서명으로 1차 확인"))</x:f>
      </x:c>
      <x:c r="K81" s="78"/>
    </x:row>
    <x:row r="82">
      <x:c r="A82" s="73"/>
      <x:c r="B82" s="73"/>
      <x:c r="C82" s="74"/>
      <x:c r="D82" s="73"/>
      <x:c r="E82" s="73"/>
      <x:c r="F82" s="75"/>
      <x:c r="G82" s="75"/>
      <x:c r="H82" s="76" t="str">
        <x:f>IF(A82="","",F82-G82)</x:f>
      </x:c>
      <x:c r="I82" s="77" t="str">
        <x:f>IF(A82="","",IF(E82="","기타/불명",IF(IFERROR(SEARCH("급여",E82),0)&gt;0,"인건비",IF(IFERROR(SEARCH("임차",E82),0)&gt;0,"임차·시설",IF(IFERROR(SEARCH("광고",E82),0)&gt;0,"광고·행사",IF(IFERROR(SEARCH("용역",E82),0)&gt;0,"용역·수수료","기타/불명"))))))</x:f>
      </x:c>
      <x:c r="J82" s="77" t="str">
        <x:f>IF(A82="","",IF(I82="기타/불명","확인 필요","결의서명으로 1차 확인"))</x:f>
      </x:c>
      <x:c r="K82" s="78"/>
    </x:row>
    <x:row r="83">
      <x:c r="A83" s="73"/>
      <x:c r="B83" s="73"/>
      <x:c r="C83" s="74"/>
      <x:c r="D83" s="73"/>
      <x:c r="E83" s="73"/>
      <x:c r="F83" s="75"/>
      <x:c r="G83" s="75"/>
      <x:c r="H83" s="76" t="str">
        <x:f>IF(A83="","",F83-G83)</x:f>
      </x:c>
      <x:c r="I83" s="77" t="str">
        <x:f>IF(A83="","",IF(E83="","기타/불명",IF(IFERROR(SEARCH("급여",E83),0)&gt;0,"인건비",IF(IFERROR(SEARCH("임차",E83),0)&gt;0,"임차·시설",IF(IFERROR(SEARCH("광고",E83),0)&gt;0,"광고·행사",IF(IFERROR(SEARCH("용역",E83),0)&gt;0,"용역·수수료","기타/불명"))))))</x:f>
      </x:c>
      <x:c r="J83" s="77" t="str">
        <x:f>IF(A83="","",IF(I83="기타/불명","확인 필요","결의서명으로 1차 확인"))</x:f>
      </x:c>
      <x:c r="K83" s="78"/>
    </x:row>
    <x:row r="84">
      <x:c r="A84" s="73"/>
      <x:c r="B84" s="73"/>
      <x:c r="C84" s="74"/>
      <x:c r="D84" s="73"/>
      <x:c r="E84" s="73"/>
      <x:c r="F84" s="75"/>
      <x:c r="G84" s="75"/>
      <x:c r="H84" s="76" t="str">
        <x:f>IF(A84="","",F84-G84)</x:f>
      </x:c>
      <x:c r="I84" s="77" t="str">
        <x:f>IF(A84="","",IF(E84="","기타/불명",IF(IFERROR(SEARCH("급여",E84),0)&gt;0,"인건비",IF(IFERROR(SEARCH("임차",E84),0)&gt;0,"임차·시설",IF(IFERROR(SEARCH("광고",E84),0)&gt;0,"광고·행사",IF(IFERROR(SEARCH("용역",E84),0)&gt;0,"용역·수수료","기타/불명"))))))</x:f>
      </x:c>
      <x:c r="J84" s="77" t="str">
        <x:f>IF(A84="","",IF(I84="기타/불명","확인 필요","결의서명으로 1차 확인"))</x:f>
      </x:c>
      <x:c r="K84" s="78"/>
    </x:row>
    <x:row r="85">
      <x:c r="A85" s="73"/>
      <x:c r="B85" s="73"/>
      <x:c r="C85" s="74"/>
      <x:c r="D85" s="73"/>
      <x:c r="E85" s="73"/>
      <x:c r="F85" s="75"/>
      <x:c r="G85" s="75"/>
      <x:c r="H85" s="76" t="str">
        <x:f>IF(A85="","",F85-G85)</x:f>
      </x:c>
      <x:c r="I85" s="77" t="str">
        <x:f>IF(A85="","",IF(E85="","기타/불명",IF(IFERROR(SEARCH("급여",E85),0)&gt;0,"인건비",IF(IFERROR(SEARCH("임차",E85),0)&gt;0,"임차·시설",IF(IFERROR(SEARCH("광고",E85),0)&gt;0,"광고·행사",IF(IFERROR(SEARCH("용역",E85),0)&gt;0,"용역·수수료","기타/불명"))))))</x:f>
      </x:c>
      <x:c r="J85" s="77" t="str">
        <x:f>IF(A85="","",IF(I85="기타/불명","확인 필요","결의서명으로 1차 확인"))</x:f>
      </x:c>
      <x:c r="K85" s="78"/>
    </x:row>
    <x:row r="86">
      <x:c r="A86" s="73"/>
      <x:c r="B86" s="73"/>
      <x:c r="C86" s="74"/>
      <x:c r="D86" s="73"/>
      <x:c r="E86" s="73"/>
      <x:c r="F86" s="75"/>
      <x:c r="G86" s="75"/>
      <x:c r="H86" s="76" t="str">
        <x:f>IF(A86="","",F86-G86)</x:f>
      </x:c>
      <x:c r="I86" s="77" t="str">
        <x:f>IF(A86="","",IF(E86="","기타/불명",IF(IFERROR(SEARCH("급여",E86),0)&gt;0,"인건비",IF(IFERROR(SEARCH("임차",E86),0)&gt;0,"임차·시설",IF(IFERROR(SEARCH("광고",E86),0)&gt;0,"광고·행사",IF(IFERROR(SEARCH("용역",E86),0)&gt;0,"용역·수수료","기타/불명"))))))</x:f>
      </x:c>
      <x:c r="J86" s="77" t="str">
        <x:f>IF(A86="","",IF(I86="기타/불명","확인 필요","결의서명으로 1차 확인"))</x:f>
      </x:c>
      <x:c r="K86" s="78"/>
    </x:row>
    <x:row r="87">
      <x:c r="A87" s="73"/>
      <x:c r="B87" s="73"/>
      <x:c r="C87" s="74"/>
      <x:c r="D87" s="73"/>
      <x:c r="E87" s="73"/>
      <x:c r="F87" s="75"/>
      <x:c r="G87" s="75"/>
      <x:c r="H87" s="76" t="str">
        <x:f>IF(A87="","",F87-G87)</x:f>
      </x:c>
      <x:c r="I87" s="77" t="str">
        <x:f>IF(A87="","",IF(E87="","기타/불명",IF(IFERROR(SEARCH("급여",E87),0)&gt;0,"인건비",IF(IFERROR(SEARCH("임차",E87),0)&gt;0,"임차·시설",IF(IFERROR(SEARCH("광고",E87),0)&gt;0,"광고·행사",IF(IFERROR(SEARCH("용역",E87),0)&gt;0,"용역·수수료","기타/불명"))))))</x:f>
      </x:c>
      <x:c r="J87" s="77" t="str">
        <x:f>IF(A87="","",IF(I87="기타/불명","확인 필요","결의서명으로 1차 확인"))</x:f>
      </x:c>
      <x:c r="K87" s="78"/>
    </x:row>
    <x:row r="88">
      <x:c r="A88" s="73"/>
      <x:c r="B88" s="73"/>
      <x:c r="C88" s="74"/>
      <x:c r="D88" s="73"/>
      <x:c r="E88" s="73"/>
      <x:c r="F88" s="75"/>
      <x:c r="G88" s="75"/>
      <x:c r="H88" s="76" t="str">
        <x:f>IF(A88="","",F88-G88)</x:f>
      </x:c>
      <x:c r="I88" s="77" t="str">
        <x:f>IF(A88="","",IF(E88="","기타/불명",IF(IFERROR(SEARCH("급여",E88),0)&gt;0,"인건비",IF(IFERROR(SEARCH("임차",E88),0)&gt;0,"임차·시설",IF(IFERROR(SEARCH("광고",E88),0)&gt;0,"광고·행사",IF(IFERROR(SEARCH("용역",E88),0)&gt;0,"용역·수수료","기타/불명"))))))</x:f>
      </x:c>
      <x:c r="J88" s="77" t="str">
        <x:f>IF(A88="","",IF(I88="기타/불명","확인 필요","결의서명으로 1차 확인"))</x:f>
      </x:c>
      <x:c r="K88" s="78"/>
    </x:row>
    <x:row r="89">
      <x:c r="A89" s="73"/>
      <x:c r="B89" s="73"/>
      <x:c r="C89" s="74"/>
      <x:c r="D89" s="73"/>
      <x:c r="E89" s="73"/>
      <x:c r="F89" s="75"/>
      <x:c r="G89" s="75"/>
      <x:c r="H89" s="76" t="str">
        <x:f>IF(A89="","",F89-G89)</x:f>
      </x:c>
      <x:c r="I89" s="77" t="str">
        <x:f>IF(A89="","",IF(E89="","기타/불명",IF(IFERROR(SEARCH("급여",E89),0)&gt;0,"인건비",IF(IFERROR(SEARCH("임차",E89),0)&gt;0,"임차·시설",IF(IFERROR(SEARCH("광고",E89),0)&gt;0,"광고·행사",IF(IFERROR(SEARCH("용역",E89),0)&gt;0,"용역·수수료","기타/불명"))))))</x:f>
      </x:c>
      <x:c r="J89" s="77" t="str">
        <x:f>IF(A89="","",IF(I89="기타/불명","확인 필요","결의서명으로 1차 확인"))</x:f>
      </x:c>
      <x:c r="K89" s="78"/>
    </x:row>
    <x:row r="90">
      <x:c r="A90" s="73"/>
      <x:c r="B90" s="73"/>
      <x:c r="C90" s="74"/>
      <x:c r="D90" s="73"/>
      <x:c r="E90" s="73"/>
      <x:c r="F90" s="75"/>
      <x:c r="G90" s="75"/>
      <x:c r="H90" s="76" t="str">
        <x:f>IF(A90="","",F90-G90)</x:f>
      </x:c>
      <x:c r="I90" s="77" t="str">
        <x:f>IF(A90="","",IF(E90="","기타/불명",IF(IFERROR(SEARCH("급여",E90),0)&gt;0,"인건비",IF(IFERROR(SEARCH("임차",E90),0)&gt;0,"임차·시설",IF(IFERROR(SEARCH("광고",E90),0)&gt;0,"광고·행사",IF(IFERROR(SEARCH("용역",E90),0)&gt;0,"용역·수수료","기타/불명"))))))</x:f>
      </x:c>
      <x:c r="J90" s="77" t="str">
        <x:f>IF(A90="","",IF(I90="기타/불명","확인 필요","결의서명으로 1차 확인"))</x:f>
      </x:c>
      <x:c r="K90" s="78"/>
    </x:row>
    <x:row r="91">
      <x:c r="A91" s="73"/>
      <x:c r="B91" s="73"/>
      <x:c r="C91" s="74"/>
      <x:c r="D91" s="73"/>
      <x:c r="E91" s="73"/>
      <x:c r="F91" s="75"/>
      <x:c r="G91" s="75"/>
      <x:c r="H91" s="76" t="str">
        <x:f>IF(A91="","",F91-G91)</x:f>
      </x:c>
      <x:c r="I91" s="77" t="str">
        <x:f>IF(A91="","",IF(E91="","기타/불명",IF(IFERROR(SEARCH("급여",E91),0)&gt;0,"인건비",IF(IFERROR(SEARCH("임차",E91),0)&gt;0,"임차·시설",IF(IFERROR(SEARCH("광고",E91),0)&gt;0,"광고·행사",IF(IFERROR(SEARCH("용역",E91),0)&gt;0,"용역·수수료","기타/불명"))))))</x:f>
      </x:c>
      <x:c r="J91" s="77" t="str">
        <x:f>IF(A91="","",IF(I91="기타/불명","확인 필요","결의서명으로 1차 확인"))</x:f>
      </x:c>
      <x:c r="K91" s="78"/>
    </x:row>
    <x:row r="92">
      <x:c r="A92" s="73"/>
      <x:c r="B92" s="73"/>
      <x:c r="C92" s="74"/>
      <x:c r="D92" s="73"/>
      <x:c r="E92" s="73"/>
      <x:c r="F92" s="75"/>
      <x:c r="G92" s="75"/>
      <x:c r="H92" s="76" t="str">
        <x:f>IF(A92="","",F92-G92)</x:f>
      </x:c>
      <x:c r="I92" s="77" t="str">
        <x:f>IF(A92="","",IF(E92="","기타/불명",IF(IFERROR(SEARCH("급여",E92),0)&gt;0,"인건비",IF(IFERROR(SEARCH("임차",E92),0)&gt;0,"임차·시설",IF(IFERROR(SEARCH("광고",E92),0)&gt;0,"광고·행사",IF(IFERROR(SEARCH("용역",E92),0)&gt;0,"용역·수수료","기타/불명"))))))</x:f>
      </x:c>
      <x:c r="J92" s="77" t="str">
        <x:f>IF(A92="","",IF(I92="기타/불명","확인 필요","결의서명으로 1차 확인"))</x:f>
      </x:c>
      <x:c r="K92" s="78"/>
    </x:row>
    <x:row r="93">
      <x:c r="A93" s="73"/>
      <x:c r="B93" s="73"/>
      <x:c r="C93" s="74"/>
      <x:c r="D93" s="73"/>
      <x:c r="E93" s="73"/>
      <x:c r="F93" s="75"/>
      <x:c r="G93" s="75"/>
      <x:c r="H93" s="76" t="str">
        <x:f>IF(A93="","",F93-G93)</x:f>
      </x:c>
      <x:c r="I93" s="77" t="str">
        <x:f>IF(A93="","",IF(E93="","기타/불명",IF(IFERROR(SEARCH("급여",E93),0)&gt;0,"인건비",IF(IFERROR(SEARCH("임차",E93),0)&gt;0,"임차·시설",IF(IFERROR(SEARCH("광고",E93),0)&gt;0,"광고·행사",IF(IFERROR(SEARCH("용역",E93),0)&gt;0,"용역·수수료","기타/불명"))))))</x:f>
      </x:c>
      <x:c r="J93" s="77" t="str">
        <x:f>IF(A93="","",IF(I93="기타/불명","확인 필요","결의서명으로 1차 확인"))</x:f>
      </x:c>
      <x:c r="K93" s="78"/>
    </x:row>
    <x:row r="94">
      <x:c r="A94" s="73"/>
      <x:c r="B94" s="73"/>
      <x:c r="C94" s="74"/>
      <x:c r="D94" s="73"/>
      <x:c r="E94" s="73"/>
      <x:c r="F94" s="75"/>
      <x:c r="G94" s="75"/>
      <x:c r="H94" s="76" t="str">
        <x:f>IF(A94="","",F94-G94)</x:f>
      </x:c>
      <x:c r="I94" s="77" t="str">
        <x:f>IF(A94="","",IF(E94="","기타/불명",IF(IFERROR(SEARCH("급여",E94),0)&gt;0,"인건비",IF(IFERROR(SEARCH("임차",E94),0)&gt;0,"임차·시설",IF(IFERROR(SEARCH("광고",E94),0)&gt;0,"광고·행사",IF(IFERROR(SEARCH("용역",E94),0)&gt;0,"용역·수수료","기타/불명"))))))</x:f>
      </x:c>
      <x:c r="J94" s="77" t="str">
        <x:f>IF(A94="","",IF(I94="기타/불명","확인 필요","결의서명으로 1차 확인"))</x:f>
      </x:c>
      <x:c r="K94" s="78"/>
    </x:row>
    <x:row r="95">
      <x:c r="A95" s="73"/>
      <x:c r="B95" s="73"/>
      <x:c r="C95" s="74"/>
      <x:c r="D95" s="73"/>
      <x:c r="E95" s="73"/>
      <x:c r="F95" s="75"/>
      <x:c r="G95" s="75"/>
      <x:c r="H95" s="76" t="str">
        <x:f>IF(A95="","",F95-G95)</x:f>
      </x:c>
      <x:c r="I95" s="77" t="str">
        <x:f>IF(A95="","",IF(E95="","기타/불명",IF(IFERROR(SEARCH("급여",E95),0)&gt;0,"인건비",IF(IFERROR(SEARCH("임차",E95),0)&gt;0,"임차·시설",IF(IFERROR(SEARCH("광고",E95),0)&gt;0,"광고·행사",IF(IFERROR(SEARCH("용역",E95),0)&gt;0,"용역·수수료","기타/불명"))))))</x:f>
      </x:c>
      <x:c r="J95" s="77" t="str">
        <x:f>IF(A95="","",IF(I95="기타/불명","확인 필요","결의서명으로 1차 확인"))</x:f>
      </x:c>
      <x:c r="K95" s="78"/>
    </x:row>
    <x:row r="96">
      <x:c r="A96" s="73"/>
      <x:c r="B96" s="73"/>
      <x:c r="C96" s="74"/>
      <x:c r="D96" s="73"/>
      <x:c r="E96" s="73"/>
      <x:c r="F96" s="75"/>
      <x:c r="G96" s="75"/>
      <x:c r="H96" s="76" t="str">
        <x:f>IF(A96="","",F96-G96)</x:f>
      </x:c>
      <x:c r="I96" s="77" t="str">
        <x:f>IF(A96="","",IF(E96="","기타/불명",IF(IFERROR(SEARCH("급여",E96),0)&gt;0,"인건비",IF(IFERROR(SEARCH("임차",E96),0)&gt;0,"임차·시설",IF(IFERROR(SEARCH("광고",E96),0)&gt;0,"광고·행사",IF(IFERROR(SEARCH("용역",E96),0)&gt;0,"용역·수수료","기타/불명"))))))</x:f>
      </x:c>
      <x:c r="J96" s="77" t="str">
        <x:f>IF(A96="","",IF(I96="기타/불명","확인 필요","결의서명으로 1차 확인"))</x:f>
      </x:c>
      <x:c r="K96" s="78"/>
    </x:row>
    <x:row r="97">
      <x:c r="A97" s="73"/>
      <x:c r="B97" s="73"/>
      <x:c r="C97" s="74"/>
      <x:c r="D97" s="73"/>
      <x:c r="E97" s="73"/>
      <x:c r="F97" s="75"/>
      <x:c r="G97" s="75"/>
      <x:c r="H97" s="76" t="str">
        <x:f>IF(A97="","",F97-G97)</x:f>
      </x:c>
      <x:c r="I97" s="77" t="str">
        <x:f>IF(A97="","",IF(E97="","기타/불명",IF(IFERROR(SEARCH("급여",E97),0)&gt;0,"인건비",IF(IFERROR(SEARCH("임차",E97),0)&gt;0,"임차·시설",IF(IFERROR(SEARCH("광고",E97),0)&gt;0,"광고·행사",IF(IFERROR(SEARCH("용역",E97),0)&gt;0,"용역·수수료","기타/불명"))))))</x:f>
      </x:c>
      <x:c r="J97" s="77" t="str">
        <x:f>IF(A97="","",IF(I97="기타/불명","확인 필요","결의서명으로 1차 확인"))</x:f>
      </x:c>
      <x:c r="K97" s="78"/>
    </x:row>
    <x:row r="98">
      <x:c r="A98" s="73"/>
      <x:c r="B98" s="73"/>
      <x:c r="C98" s="74"/>
      <x:c r="D98" s="73"/>
      <x:c r="E98" s="73"/>
      <x:c r="F98" s="75"/>
      <x:c r="G98" s="75"/>
      <x:c r="H98" s="76" t="str">
        <x:f>IF(A98="","",F98-G98)</x:f>
      </x:c>
      <x:c r="I98" s="77" t="str">
        <x:f>IF(A98="","",IF(E98="","기타/불명",IF(IFERROR(SEARCH("급여",E98),0)&gt;0,"인건비",IF(IFERROR(SEARCH("임차",E98),0)&gt;0,"임차·시설",IF(IFERROR(SEARCH("광고",E98),0)&gt;0,"광고·행사",IF(IFERROR(SEARCH("용역",E98),0)&gt;0,"용역·수수료","기타/불명"))))))</x:f>
      </x:c>
      <x:c r="J98" s="77" t="str">
        <x:f>IF(A98="","",IF(I98="기타/불명","확인 필요","결의서명으로 1차 확인"))</x:f>
      </x:c>
      <x:c r="K98" s="78"/>
    </x:row>
    <x:row r="99">
      <x:c r="A99" s="73"/>
      <x:c r="B99" s="73"/>
      <x:c r="C99" s="74"/>
      <x:c r="D99" s="73"/>
      <x:c r="E99" s="73"/>
      <x:c r="F99" s="75"/>
      <x:c r="G99" s="75"/>
      <x:c r="H99" s="76" t="str">
        <x:f>IF(A99="","",F99-G99)</x:f>
      </x:c>
      <x:c r="I99" s="77" t="str">
        <x:f>IF(A99="","",IF(E99="","기타/불명",IF(IFERROR(SEARCH("급여",E99),0)&gt;0,"인건비",IF(IFERROR(SEARCH("임차",E99),0)&gt;0,"임차·시설",IF(IFERROR(SEARCH("광고",E99),0)&gt;0,"광고·행사",IF(IFERROR(SEARCH("용역",E99),0)&gt;0,"용역·수수료","기타/불명"))))))</x:f>
      </x:c>
      <x:c r="J99" s="77" t="str">
        <x:f>IF(A99="","",IF(I99="기타/불명","확인 필요","결의서명으로 1차 확인"))</x:f>
      </x:c>
      <x:c r="K99" s="78"/>
    </x:row>
    <x:row r="100">
      <x:c r="A100" s="73"/>
      <x:c r="B100" s="73"/>
      <x:c r="C100" s="74"/>
      <x:c r="D100" s="73"/>
      <x:c r="E100" s="73"/>
      <x:c r="F100" s="75"/>
      <x:c r="G100" s="75"/>
      <x:c r="H100" s="76" t="str">
        <x:f>IF(A100="","",F100-G100)</x:f>
      </x:c>
      <x:c r="I100" s="77" t="str">
        <x:f>IF(A100="","",IF(E100="","기타/불명",IF(IFERROR(SEARCH("급여",E100),0)&gt;0,"인건비",IF(IFERROR(SEARCH("임차",E100),0)&gt;0,"임차·시설",IF(IFERROR(SEARCH("광고",E100),0)&gt;0,"광고·행사",IF(IFERROR(SEARCH("용역",E100),0)&gt;0,"용역·수수료","기타/불명"))))))</x:f>
      </x:c>
      <x:c r="J100" s="77" t="str">
        <x:f>IF(A100="","",IF(I100="기타/불명","확인 필요","결의서명으로 1차 확인"))</x:f>
      </x:c>
      <x:c r="K100" s="78"/>
    </x:row>
    <x:row r="101">
      <x:c r="A101" s="73"/>
      <x:c r="B101" s="73"/>
      <x:c r="C101" s="74"/>
      <x:c r="D101" s="73"/>
      <x:c r="E101" s="73"/>
      <x:c r="F101" s="75"/>
      <x:c r="G101" s="75"/>
      <x:c r="H101" s="76" t="str">
        <x:f>IF(A101="","",F101-G101)</x:f>
      </x:c>
      <x:c r="I101" s="77" t="str">
        <x:f>IF(A101="","",IF(E101="","기타/불명",IF(IFERROR(SEARCH("급여",E101),0)&gt;0,"인건비",IF(IFERROR(SEARCH("임차",E101),0)&gt;0,"임차·시설",IF(IFERROR(SEARCH("광고",E101),0)&gt;0,"광고·행사",IF(IFERROR(SEARCH("용역",E101),0)&gt;0,"용역·수수료","기타/불명"))))))</x:f>
      </x:c>
      <x:c r="J101" s="77" t="str">
        <x:f>IF(A101="","",IF(I101="기타/불명","확인 필요","결의서명으로 1차 확인"))</x:f>
      </x:c>
      <x:c r="K101" s="78"/>
    </x:row>
    <x:row r="102">
      <x:c r="A102" s="73"/>
      <x:c r="B102" s="73"/>
      <x:c r="C102" s="74"/>
      <x:c r="D102" s="73"/>
      <x:c r="E102" s="73"/>
      <x:c r="F102" s="75"/>
      <x:c r="G102" s="75"/>
      <x:c r="H102" s="76" t="str">
        <x:f>IF(A102="","",F102-G102)</x:f>
      </x:c>
      <x:c r="I102" s="77" t="str">
        <x:f>IF(A102="","",IF(E102="","기타/불명",IF(IFERROR(SEARCH("급여",E102),0)&gt;0,"인건비",IF(IFERROR(SEARCH("임차",E102),0)&gt;0,"임차·시설",IF(IFERROR(SEARCH("광고",E102),0)&gt;0,"광고·행사",IF(IFERROR(SEARCH("용역",E102),0)&gt;0,"용역·수수료","기타/불명"))))))</x:f>
      </x:c>
      <x:c r="J102" s="77" t="str">
        <x:f>IF(A102="","",IF(I102="기타/불명","확인 필요","결의서명으로 1차 확인"))</x:f>
      </x:c>
      <x:c r="K102" s="78"/>
    </x:row>
    <x:row r="103">
      <x:c r="A103" s="73"/>
      <x:c r="B103" s="73"/>
      <x:c r="C103" s="74"/>
      <x:c r="D103" s="73"/>
      <x:c r="E103" s="73"/>
      <x:c r="F103" s="75"/>
      <x:c r="G103" s="75"/>
      <x:c r="H103" s="76" t="str">
        <x:f>IF(A103="","",F103-G103)</x:f>
      </x:c>
      <x:c r="I103" s="77" t="str">
        <x:f>IF(A103="","",IF(E103="","기타/불명",IF(IFERROR(SEARCH("급여",E103),0)&gt;0,"인건비",IF(IFERROR(SEARCH("임차",E103),0)&gt;0,"임차·시설",IF(IFERROR(SEARCH("광고",E103),0)&gt;0,"광고·행사",IF(IFERROR(SEARCH("용역",E103),0)&gt;0,"용역·수수료","기타/불명"))))))</x:f>
      </x:c>
      <x:c r="J103" s="77" t="str">
        <x:f>IF(A103="","",IF(I103="기타/불명","확인 필요","결의서명으로 1차 확인"))</x:f>
      </x:c>
      <x:c r="K103" s="78"/>
    </x:row>
    <x:row r="104">
      <x:c r="A104" s="73"/>
      <x:c r="B104" s="73"/>
      <x:c r="C104" s="74"/>
      <x:c r="D104" s="73"/>
      <x:c r="E104" s="73"/>
      <x:c r="F104" s="75"/>
      <x:c r="G104" s="75"/>
      <x:c r="H104" s="76" t="str">
        <x:f>IF(A104="","",F104-G104)</x:f>
      </x:c>
      <x:c r="I104" s="77" t="str">
        <x:f>IF(A104="","",IF(E104="","기타/불명",IF(IFERROR(SEARCH("급여",E104),0)&gt;0,"인건비",IF(IFERROR(SEARCH("임차",E104),0)&gt;0,"임차·시설",IF(IFERROR(SEARCH("광고",E104),0)&gt;0,"광고·행사",IF(IFERROR(SEARCH("용역",E104),0)&gt;0,"용역·수수료","기타/불명"))))))</x:f>
      </x:c>
      <x:c r="J104" s="77" t="str">
        <x:f>IF(A104="","",IF(I104="기타/불명","확인 필요","결의서명으로 1차 확인"))</x:f>
      </x:c>
      <x:c r="K104" s="78"/>
    </x:row>
    <x:row r="105">
      <x:c r="A105" s="73"/>
      <x:c r="B105" s="73"/>
      <x:c r="C105" s="74"/>
      <x:c r="D105" s="73"/>
      <x:c r="E105" s="73"/>
      <x:c r="F105" s="75"/>
      <x:c r="G105" s="75"/>
      <x:c r="H105" s="76" t="str">
        <x:f>IF(A105="","",F105-G105)</x:f>
      </x:c>
      <x:c r="I105" s="77" t="str">
        <x:f>IF(A105="","",IF(E105="","기타/불명",IF(IFERROR(SEARCH("급여",E105),0)&gt;0,"인건비",IF(IFERROR(SEARCH("임차",E105),0)&gt;0,"임차·시설",IF(IFERROR(SEARCH("광고",E105),0)&gt;0,"광고·행사",IF(IFERROR(SEARCH("용역",E105),0)&gt;0,"용역·수수료","기타/불명"))))))</x:f>
      </x:c>
      <x:c r="J105" s="77" t="str">
        <x:f>IF(A105="","",IF(I105="기타/불명","확인 필요","결의서명으로 1차 확인"))</x:f>
      </x:c>
      <x:c r="K105" s="78"/>
    </x:row>
    <x:row r="106">
      <x:c r="A106" s="73"/>
      <x:c r="B106" s="73"/>
      <x:c r="C106" s="74"/>
      <x:c r="D106" s="73"/>
      <x:c r="E106" s="73"/>
      <x:c r="F106" s="75"/>
      <x:c r="G106" s="75"/>
      <x:c r="H106" s="76" t="str">
        <x:f>IF(A106="","",F106-G106)</x:f>
      </x:c>
      <x:c r="I106" s="77" t="str">
        <x:f>IF(A106="","",IF(E106="","기타/불명",IF(IFERROR(SEARCH("급여",E106),0)&gt;0,"인건비",IF(IFERROR(SEARCH("임차",E106),0)&gt;0,"임차·시설",IF(IFERROR(SEARCH("광고",E106),0)&gt;0,"광고·행사",IF(IFERROR(SEARCH("용역",E106),0)&gt;0,"용역·수수료","기타/불명"))))))</x:f>
      </x:c>
      <x:c r="J106" s="77" t="str">
        <x:f>IF(A106="","",IF(I106="기타/불명","확인 필요","결의서명으로 1차 확인"))</x:f>
      </x:c>
      <x:c r="K106" s="78"/>
    </x:row>
    <x:row r="107">
      <x:c r="A107" s="73"/>
      <x:c r="B107" s="73"/>
      <x:c r="C107" s="74"/>
      <x:c r="D107" s="73"/>
      <x:c r="E107" s="73"/>
      <x:c r="F107" s="75"/>
      <x:c r="G107" s="75"/>
      <x:c r="H107" s="76" t="str">
        <x:f>IF(A107="","",F107-G107)</x:f>
      </x:c>
      <x:c r="I107" s="77" t="str">
        <x:f>IF(A107="","",IF(E107="","기타/불명",IF(IFERROR(SEARCH("급여",E107),0)&gt;0,"인건비",IF(IFERROR(SEARCH("임차",E107),0)&gt;0,"임차·시설",IF(IFERROR(SEARCH("광고",E107),0)&gt;0,"광고·행사",IF(IFERROR(SEARCH("용역",E107),0)&gt;0,"용역·수수료","기타/불명"))))))</x:f>
      </x:c>
      <x:c r="J107" s="77" t="str">
        <x:f>IF(A107="","",IF(I107="기타/불명","확인 필요","결의서명으로 1차 확인"))</x:f>
      </x:c>
      <x:c r="K107" s="78"/>
    </x:row>
    <x:row r="108">
      <x:c r="A108" s="73"/>
      <x:c r="B108" s="73"/>
      <x:c r="C108" s="74"/>
      <x:c r="D108" s="73"/>
      <x:c r="E108" s="73"/>
      <x:c r="F108" s="75"/>
      <x:c r="G108" s="75"/>
      <x:c r="H108" s="76" t="str">
        <x:f>IF(A108="","",F108-G108)</x:f>
      </x:c>
      <x:c r="I108" s="77" t="str">
        <x:f>IF(A108="","",IF(E108="","기타/불명",IF(IFERROR(SEARCH("급여",E108),0)&gt;0,"인건비",IF(IFERROR(SEARCH("임차",E108),0)&gt;0,"임차·시설",IF(IFERROR(SEARCH("광고",E108),0)&gt;0,"광고·행사",IF(IFERROR(SEARCH("용역",E108),0)&gt;0,"용역·수수료","기타/불명"))))))</x:f>
      </x:c>
      <x:c r="J108" s="77" t="str">
        <x:f>IF(A108="","",IF(I108="기타/불명","확인 필요","결의서명으로 1차 확인"))</x:f>
      </x:c>
      <x:c r="K108" s="78"/>
    </x:row>
    <x:row r="109">
      <x:c r="A109" s="73"/>
      <x:c r="B109" s="73"/>
      <x:c r="C109" s="74"/>
      <x:c r="D109" s="73"/>
      <x:c r="E109" s="73"/>
      <x:c r="F109" s="75"/>
      <x:c r="G109" s="75"/>
      <x:c r="H109" s="76" t="str">
        <x:f>IF(A109="","",F109-G109)</x:f>
      </x:c>
      <x:c r="I109" s="77" t="str">
        <x:f>IF(A109="","",IF(E109="","기타/불명",IF(IFERROR(SEARCH("급여",E109),0)&gt;0,"인건비",IF(IFERROR(SEARCH("임차",E109),0)&gt;0,"임차·시설",IF(IFERROR(SEARCH("광고",E109),0)&gt;0,"광고·행사",IF(IFERROR(SEARCH("용역",E109),0)&gt;0,"용역·수수료","기타/불명"))))))</x:f>
      </x:c>
      <x:c r="J109" s="77" t="str">
        <x:f>IF(A109="","",IF(I109="기타/불명","확인 필요","결의서명으로 1차 확인"))</x:f>
      </x:c>
      <x:c r="K109" s="78"/>
    </x:row>
    <x:row r="110">
      <x:c r="A110" s="73"/>
      <x:c r="B110" s="73"/>
      <x:c r="C110" s="74"/>
      <x:c r="D110" s="73"/>
      <x:c r="E110" s="73"/>
      <x:c r="F110" s="75"/>
      <x:c r="G110" s="75"/>
      <x:c r="H110" s="76" t="str">
        <x:f>IF(A110="","",F110-G110)</x:f>
      </x:c>
      <x:c r="I110" s="77" t="str">
        <x:f>IF(A110="","",IF(E110="","기타/불명",IF(IFERROR(SEARCH("급여",E110),0)&gt;0,"인건비",IF(IFERROR(SEARCH("임차",E110),0)&gt;0,"임차·시설",IF(IFERROR(SEARCH("광고",E110),0)&gt;0,"광고·행사",IF(IFERROR(SEARCH("용역",E110),0)&gt;0,"용역·수수료","기타/불명"))))))</x:f>
      </x:c>
      <x:c r="J110" s="77" t="str">
        <x:f>IF(A110="","",IF(I110="기타/불명","확인 필요","결의서명으로 1차 확인"))</x:f>
      </x:c>
      <x:c r="K110" s="78"/>
    </x:row>
    <x:row r="111">
      <x:c r="A111" s="73"/>
      <x:c r="B111" s="73"/>
      <x:c r="C111" s="74"/>
      <x:c r="D111" s="73"/>
      <x:c r="E111" s="73"/>
      <x:c r="F111" s="75"/>
      <x:c r="G111" s="75"/>
      <x:c r="H111" s="76" t="str">
        <x:f>IF(A111="","",F111-G111)</x:f>
      </x:c>
      <x:c r="I111" s="77" t="str">
        <x:f>IF(A111="","",IF(E111="","기타/불명",IF(IFERROR(SEARCH("급여",E111),0)&gt;0,"인건비",IF(IFERROR(SEARCH("임차",E111),0)&gt;0,"임차·시설",IF(IFERROR(SEARCH("광고",E111),0)&gt;0,"광고·행사",IF(IFERROR(SEARCH("용역",E111),0)&gt;0,"용역·수수료","기타/불명"))))))</x:f>
      </x:c>
      <x:c r="J111" s="77" t="str">
        <x:f>IF(A111="","",IF(I111="기타/불명","확인 필요","결의서명으로 1차 확인"))</x:f>
      </x:c>
      <x:c r="K111" s="78"/>
    </x:row>
    <x:row r="112">
      <x:c r="A112" s="73"/>
      <x:c r="B112" s="73"/>
      <x:c r="C112" s="74"/>
      <x:c r="D112" s="73"/>
      <x:c r="E112" s="73"/>
      <x:c r="F112" s="75"/>
      <x:c r="G112" s="75"/>
      <x:c r="H112" s="76" t="str">
        <x:f>IF(A112="","",F112-G112)</x:f>
      </x:c>
      <x:c r="I112" s="77" t="str">
        <x:f>IF(A112="","",IF(E112="","기타/불명",IF(IFERROR(SEARCH("급여",E112),0)&gt;0,"인건비",IF(IFERROR(SEARCH("임차",E112),0)&gt;0,"임차·시설",IF(IFERROR(SEARCH("광고",E112),0)&gt;0,"광고·행사",IF(IFERROR(SEARCH("용역",E112),0)&gt;0,"용역·수수료","기타/불명"))))))</x:f>
      </x:c>
      <x:c r="J112" s="77" t="str">
        <x:f>IF(A112="","",IF(I112="기타/불명","확인 필요","결의서명으로 1차 확인"))</x:f>
      </x:c>
      <x:c r="K112" s="78"/>
    </x:row>
    <x:row r="113">
      <x:c r="A113" s="73"/>
      <x:c r="B113" s="73"/>
      <x:c r="C113" s="74"/>
      <x:c r="D113" s="73"/>
      <x:c r="E113" s="73"/>
      <x:c r="F113" s="75"/>
      <x:c r="G113" s="75"/>
      <x:c r="H113" s="76" t="str">
        <x:f>IF(A113="","",F113-G113)</x:f>
      </x:c>
      <x:c r="I113" s="77" t="str">
        <x:f>IF(A113="","",IF(E113="","기타/불명",IF(IFERROR(SEARCH("급여",E113),0)&gt;0,"인건비",IF(IFERROR(SEARCH("임차",E113),0)&gt;0,"임차·시설",IF(IFERROR(SEARCH("광고",E113),0)&gt;0,"광고·행사",IF(IFERROR(SEARCH("용역",E113),0)&gt;0,"용역·수수료","기타/불명"))))))</x:f>
      </x:c>
      <x:c r="J113" s="77" t="str">
        <x:f>IF(A113="","",IF(I113="기타/불명","확인 필요","결의서명으로 1차 확인"))</x:f>
      </x:c>
      <x:c r="K113" s="78"/>
    </x:row>
    <x:row r="114">
      <x:c r="A114" s="73"/>
      <x:c r="B114" s="73"/>
      <x:c r="C114" s="74"/>
      <x:c r="D114" s="73"/>
      <x:c r="E114" s="73"/>
      <x:c r="F114" s="75"/>
      <x:c r="G114" s="75"/>
      <x:c r="H114" s="76" t="str">
        <x:f>IF(A114="","",F114-G114)</x:f>
      </x:c>
      <x:c r="I114" s="77" t="str">
        <x:f>IF(A114="","",IF(E114="","기타/불명",IF(IFERROR(SEARCH("급여",E114),0)&gt;0,"인건비",IF(IFERROR(SEARCH("임차",E114),0)&gt;0,"임차·시설",IF(IFERROR(SEARCH("광고",E114),0)&gt;0,"광고·행사",IF(IFERROR(SEARCH("용역",E114),0)&gt;0,"용역·수수료","기타/불명"))))))</x:f>
      </x:c>
      <x:c r="J114" s="77" t="str">
        <x:f>IF(A114="","",IF(I114="기타/불명","확인 필요","결의서명으로 1차 확인"))</x:f>
      </x:c>
      <x:c r="K114" s="78"/>
    </x:row>
    <x:row r="115">
      <x:c r="A115" s="73"/>
      <x:c r="B115" s="73"/>
      <x:c r="C115" s="74"/>
      <x:c r="D115" s="73"/>
      <x:c r="E115" s="73"/>
      <x:c r="F115" s="75"/>
      <x:c r="G115" s="75"/>
      <x:c r="H115" s="76" t="str">
        <x:f>IF(A115="","",F115-G115)</x:f>
      </x:c>
      <x:c r="I115" s="77" t="str">
        <x:f>IF(A115="","",IF(E115="","기타/불명",IF(IFERROR(SEARCH("급여",E115),0)&gt;0,"인건비",IF(IFERROR(SEARCH("임차",E115),0)&gt;0,"임차·시설",IF(IFERROR(SEARCH("광고",E115),0)&gt;0,"광고·행사",IF(IFERROR(SEARCH("용역",E115),0)&gt;0,"용역·수수료","기타/불명"))))))</x:f>
      </x:c>
      <x:c r="J115" s="77" t="str">
        <x:f>IF(A115="","",IF(I115="기타/불명","확인 필요","결의서명으로 1차 확인"))</x:f>
      </x:c>
      <x:c r="K115" s="78"/>
    </x:row>
    <x:row r="116">
      <x:c r="A116" s="73"/>
      <x:c r="B116" s="73"/>
      <x:c r="C116" s="74"/>
      <x:c r="D116" s="73"/>
      <x:c r="E116" s="73"/>
      <x:c r="F116" s="75"/>
      <x:c r="G116" s="75"/>
      <x:c r="H116" s="76" t="str">
        <x:f>IF(A116="","",F116-G116)</x:f>
      </x:c>
      <x:c r="I116" s="77" t="str">
        <x:f>IF(A116="","",IF(E116="","기타/불명",IF(IFERROR(SEARCH("급여",E116),0)&gt;0,"인건비",IF(IFERROR(SEARCH("임차",E116),0)&gt;0,"임차·시설",IF(IFERROR(SEARCH("광고",E116),0)&gt;0,"광고·행사",IF(IFERROR(SEARCH("용역",E116),0)&gt;0,"용역·수수료","기타/불명"))))))</x:f>
      </x:c>
      <x:c r="J116" s="77" t="str">
        <x:f>IF(A116="","",IF(I116="기타/불명","확인 필요","결의서명으로 1차 확인"))</x:f>
      </x:c>
      <x:c r="K116" s="78"/>
    </x:row>
    <x:row r="117">
      <x:c r="A117" s="73"/>
      <x:c r="B117" s="73"/>
      <x:c r="C117" s="74"/>
      <x:c r="D117" s="73"/>
      <x:c r="E117" s="73"/>
      <x:c r="F117" s="75"/>
      <x:c r="G117" s="75"/>
      <x:c r="H117" s="76" t="str">
        <x:f>IF(A117="","",F117-G117)</x:f>
      </x:c>
      <x:c r="I117" s="77" t="str">
        <x:f>IF(A117="","",IF(E117="","기타/불명",IF(IFERROR(SEARCH("급여",E117),0)&gt;0,"인건비",IF(IFERROR(SEARCH("임차",E117),0)&gt;0,"임차·시설",IF(IFERROR(SEARCH("광고",E117),0)&gt;0,"광고·행사",IF(IFERROR(SEARCH("용역",E117),0)&gt;0,"용역·수수료","기타/불명"))))))</x:f>
      </x:c>
      <x:c r="J117" s="77" t="str">
        <x:f>IF(A117="","",IF(I117="기타/불명","확인 필요","결의서명으로 1차 확인"))</x:f>
      </x:c>
      <x:c r="K117" s="78"/>
    </x:row>
    <x:row r="118">
      <x:c r="A118" s="73"/>
      <x:c r="B118" s="73"/>
      <x:c r="C118" s="74"/>
      <x:c r="D118" s="73"/>
      <x:c r="E118" s="73"/>
      <x:c r="F118" s="75"/>
      <x:c r="G118" s="75"/>
      <x:c r="H118" s="76" t="str">
        <x:f>IF(A118="","",F118-G118)</x:f>
      </x:c>
      <x:c r="I118" s="77" t="str">
        <x:f>IF(A118="","",IF(E118="","기타/불명",IF(IFERROR(SEARCH("급여",E118),0)&gt;0,"인건비",IF(IFERROR(SEARCH("임차",E118),0)&gt;0,"임차·시설",IF(IFERROR(SEARCH("광고",E118),0)&gt;0,"광고·행사",IF(IFERROR(SEARCH("용역",E118),0)&gt;0,"용역·수수료","기타/불명"))))))</x:f>
      </x:c>
      <x:c r="J118" s="77" t="str">
        <x:f>IF(A118="","",IF(I118="기타/불명","확인 필요","결의서명으로 1차 확인"))</x:f>
      </x:c>
      <x:c r="K118" s="78"/>
    </x:row>
    <x:row r="119">
      <x:c r="A119" s="73"/>
      <x:c r="B119" s="73"/>
      <x:c r="C119" s="74"/>
      <x:c r="D119" s="73"/>
      <x:c r="E119" s="73"/>
      <x:c r="F119" s="75"/>
      <x:c r="G119" s="75"/>
      <x:c r="H119" s="76" t="str">
        <x:f>IF(A119="","",F119-G119)</x:f>
      </x:c>
      <x:c r="I119" s="77" t="str">
        <x:f>IF(A119="","",IF(E119="","기타/불명",IF(IFERROR(SEARCH("급여",E119),0)&gt;0,"인건비",IF(IFERROR(SEARCH("임차",E119),0)&gt;0,"임차·시설",IF(IFERROR(SEARCH("광고",E119),0)&gt;0,"광고·행사",IF(IFERROR(SEARCH("용역",E119),0)&gt;0,"용역·수수료","기타/불명"))))))</x:f>
      </x:c>
      <x:c r="J119" s="77" t="str">
        <x:f>IF(A119="","",IF(I119="기타/불명","확인 필요","결의서명으로 1차 확인"))</x:f>
      </x:c>
      <x:c r="K119" s="78"/>
    </x:row>
    <x:row r="120">
      <x:c r="A120" s="73"/>
      <x:c r="B120" s="73"/>
      <x:c r="C120" s="74"/>
      <x:c r="D120" s="73"/>
      <x:c r="E120" s="73"/>
      <x:c r="F120" s="75"/>
      <x:c r="G120" s="75"/>
      <x:c r="H120" s="76" t="str">
        <x:f>IF(A120="","",F120-G120)</x:f>
      </x:c>
      <x:c r="I120" s="77" t="str">
        <x:f>IF(A120="","",IF(E120="","기타/불명",IF(IFERROR(SEARCH("급여",E120),0)&gt;0,"인건비",IF(IFERROR(SEARCH("임차",E120),0)&gt;0,"임차·시설",IF(IFERROR(SEARCH("광고",E120),0)&gt;0,"광고·행사",IF(IFERROR(SEARCH("용역",E120),0)&gt;0,"용역·수수료","기타/불명"))))))</x:f>
      </x:c>
      <x:c r="J120" s="77" t="str">
        <x:f>IF(A120="","",IF(I120="기타/불명","확인 필요","결의서명으로 1차 확인"))</x:f>
      </x:c>
      <x:c r="K120" s="78"/>
    </x:row>
    <x:row r="121">
      <x:c r="A121" s="73"/>
      <x:c r="B121" s="73"/>
      <x:c r="C121" s="74"/>
      <x:c r="D121" s="73"/>
      <x:c r="E121" s="73"/>
      <x:c r="F121" s="75"/>
      <x:c r="G121" s="75"/>
      <x:c r="H121" s="76" t="str">
        <x:f>IF(A121="","",F121-G121)</x:f>
      </x:c>
      <x:c r="I121" s="77" t="str">
        <x:f>IF(A121="","",IF(E121="","기타/불명",IF(IFERROR(SEARCH("급여",E121),0)&gt;0,"인건비",IF(IFERROR(SEARCH("임차",E121),0)&gt;0,"임차·시설",IF(IFERROR(SEARCH("광고",E121),0)&gt;0,"광고·행사",IF(IFERROR(SEARCH("용역",E121),0)&gt;0,"용역·수수료","기타/불명"))))))</x:f>
      </x:c>
      <x:c r="J121" s="77" t="str">
        <x:f>IF(A121="","",IF(I121="기타/불명","확인 필요","결의서명으로 1차 확인"))</x:f>
      </x:c>
      <x:c r="K121" s="78"/>
    </x:row>
    <x:row r="122">
      <x:c r="A122" s="73"/>
      <x:c r="B122" s="73"/>
      <x:c r="C122" s="74"/>
      <x:c r="D122" s="73"/>
      <x:c r="E122" s="73"/>
      <x:c r="F122" s="75"/>
      <x:c r="G122" s="75"/>
      <x:c r="H122" s="76" t="str">
        <x:f>IF(A122="","",F122-G122)</x:f>
      </x:c>
      <x:c r="I122" s="77" t="str">
        <x:f>IF(A122="","",IF(E122="","기타/불명",IF(IFERROR(SEARCH("급여",E122),0)&gt;0,"인건비",IF(IFERROR(SEARCH("임차",E122),0)&gt;0,"임차·시설",IF(IFERROR(SEARCH("광고",E122),0)&gt;0,"광고·행사",IF(IFERROR(SEARCH("용역",E122),0)&gt;0,"용역·수수료","기타/불명"))))))</x:f>
      </x:c>
      <x:c r="J122" s="77" t="str">
        <x:f>IF(A122="","",IF(I122="기타/불명","확인 필요","결의서명으로 1차 확인"))</x:f>
      </x:c>
      <x:c r="K122" s="78"/>
    </x:row>
    <x:row r="123">
      <x:c r="A123" s="73"/>
      <x:c r="B123" s="73"/>
      <x:c r="C123" s="74"/>
      <x:c r="D123" s="73"/>
      <x:c r="E123" s="73"/>
      <x:c r="F123" s="75"/>
      <x:c r="G123" s="75"/>
      <x:c r="H123" s="76" t="str">
        <x:f>IF(A123="","",F123-G123)</x:f>
      </x:c>
      <x:c r="I123" s="77" t="str">
        <x:f>IF(A123="","",IF(E123="","기타/불명",IF(IFERROR(SEARCH("급여",E123),0)&gt;0,"인건비",IF(IFERROR(SEARCH("임차",E123),0)&gt;0,"임차·시설",IF(IFERROR(SEARCH("광고",E123),0)&gt;0,"광고·행사",IF(IFERROR(SEARCH("용역",E123),0)&gt;0,"용역·수수료","기타/불명"))))))</x:f>
      </x:c>
      <x:c r="J123" s="77" t="str">
        <x:f>IF(A123="","",IF(I123="기타/불명","확인 필요","결의서명으로 1차 확인"))</x:f>
      </x:c>
      <x:c r="K123" s="78"/>
    </x:row>
    <x:row r="124">
      <x:c r="A124" s="73"/>
      <x:c r="B124" s="73"/>
      <x:c r="C124" s="74"/>
      <x:c r="D124" s="73"/>
      <x:c r="E124" s="73"/>
      <x:c r="F124" s="75"/>
      <x:c r="G124" s="75"/>
      <x:c r="H124" s="76" t="str">
        <x:f>IF(A124="","",F124-G124)</x:f>
      </x:c>
      <x:c r="I124" s="77" t="str">
        <x:f>IF(A124="","",IF(E124="","기타/불명",IF(IFERROR(SEARCH("급여",E124),0)&gt;0,"인건비",IF(IFERROR(SEARCH("임차",E124),0)&gt;0,"임차·시설",IF(IFERROR(SEARCH("광고",E124),0)&gt;0,"광고·행사",IF(IFERROR(SEARCH("용역",E124),0)&gt;0,"용역·수수료","기타/불명"))))))</x:f>
      </x:c>
      <x:c r="J124" s="77" t="str">
        <x:f>IF(A124="","",IF(I124="기타/불명","확인 필요","결의서명으로 1차 확인"))</x:f>
      </x:c>
      <x:c r="K124" s="78"/>
    </x:row>
    <x:row r="125">
      <x:c r="A125" s="73"/>
      <x:c r="B125" s="73"/>
      <x:c r="C125" s="74"/>
      <x:c r="D125" s="73"/>
      <x:c r="E125" s="73"/>
      <x:c r="F125" s="75"/>
      <x:c r="G125" s="75"/>
      <x:c r="H125" s="76" t="str">
        <x:f>IF(A125="","",F125-G125)</x:f>
      </x:c>
      <x:c r="I125" s="77" t="str">
        <x:f>IF(A125="","",IF(E125="","기타/불명",IF(IFERROR(SEARCH("급여",E125),0)&gt;0,"인건비",IF(IFERROR(SEARCH("임차",E125),0)&gt;0,"임차·시설",IF(IFERROR(SEARCH("광고",E125),0)&gt;0,"광고·행사",IF(IFERROR(SEARCH("용역",E125),0)&gt;0,"용역·수수료","기타/불명"))))))</x:f>
      </x:c>
      <x:c r="J125" s="77" t="str">
        <x:f>IF(A125="","",IF(I125="기타/불명","확인 필요","결의서명으로 1차 확인"))</x:f>
      </x:c>
      <x:c r="K125" s="78"/>
    </x:row>
    <x:row r="126">
      <x:c r="A126" s="73"/>
      <x:c r="B126" s="73"/>
      <x:c r="C126" s="74"/>
      <x:c r="D126" s="73"/>
      <x:c r="E126" s="73"/>
      <x:c r="F126" s="75"/>
      <x:c r="G126" s="75"/>
      <x:c r="H126" s="76" t="str">
        <x:f>IF(A126="","",F126-G126)</x:f>
      </x:c>
      <x:c r="I126" s="77" t="str">
        <x:f>IF(A126="","",IF(E126="","기타/불명",IF(IFERROR(SEARCH("급여",E126),0)&gt;0,"인건비",IF(IFERROR(SEARCH("임차",E126),0)&gt;0,"임차·시설",IF(IFERROR(SEARCH("광고",E126),0)&gt;0,"광고·행사",IF(IFERROR(SEARCH("용역",E126),0)&gt;0,"용역·수수료","기타/불명"))))))</x:f>
      </x:c>
      <x:c r="J126" s="77" t="str">
        <x:f>IF(A126="","",IF(I126="기타/불명","확인 필요","결의서명으로 1차 확인"))</x:f>
      </x:c>
      <x:c r="K126" s="78"/>
    </x:row>
    <x:row r="127">
      <x:c r="A127" s="73"/>
      <x:c r="B127" s="73"/>
      <x:c r="C127" s="74"/>
      <x:c r="D127" s="73"/>
      <x:c r="E127" s="73"/>
      <x:c r="F127" s="75"/>
      <x:c r="G127" s="75"/>
      <x:c r="H127" s="76" t="str">
        <x:f>IF(A127="","",F127-G127)</x:f>
      </x:c>
      <x:c r="I127" s="77" t="str">
        <x:f>IF(A127="","",IF(E127="","기타/불명",IF(IFERROR(SEARCH("급여",E127),0)&gt;0,"인건비",IF(IFERROR(SEARCH("임차",E127),0)&gt;0,"임차·시설",IF(IFERROR(SEARCH("광고",E127),0)&gt;0,"광고·행사",IF(IFERROR(SEARCH("용역",E127),0)&gt;0,"용역·수수료","기타/불명"))))))</x:f>
      </x:c>
      <x:c r="J127" s="77" t="str">
        <x:f>IF(A127="","",IF(I127="기타/불명","확인 필요","결의서명으로 1차 확인"))</x:f>
      </x:c>
      <x:c r="K127" s="78"/>
    </x:row>
    <x:row r="128">
      <x:c r="A128" s="73"/>
      <x:c r="B128" s="73"/>
      <x:c r="C128" s="74"/>
      <x:c r="D128" s="73"/>
      <x:c r="E128" s="73"/>
      <x:c r="F128" s="75"/>
      <x:c r="G128" s="75"/>
      <x:c r="H128" s="76" t="str">
        <x:f>IF(A128="","",F128-G128)</x:f>
      </x:c>
      <x:c r="I128" s="77" t="str">
        <x:f>IF(A128="","",IF(E128="","기타/불명",IF(IFERROR(SEARCH("급여",E128),0)&gt;0,"인건비",IF(IFERROR(SEARCH("임차",E128),0)&gt;0,"임차·시설",IF(IFERROR(SEARCH("광고",E128),0)&gt;0,"광고·행사",IF(IFERROR(SEARCH("용역",E128),0)&gt;0,"용역·수수료","기타/불명"))))))</x:f>
      </x:c>
      <x:c r="J128" s="77" t="str">
        <x:f>IF(A128="","",IF(I128="기타/불명","확인 필요","결의서명으로 1차 확인"))</x:f>
      </x:c>
      <x:c r="K128" s="78"/>
    </x:row>
    <x:row r="129">
      <x:c r="A129" s="73"/>
      <x:c r="B129" s="73"/>
      <x:c r="C129" s="74"/>
      <x:c r="D129" s="73"/>
      <x:c r="E129" s="73"/>
      <x:c r="F129" s="75"/>
      <x:c r="G129" s="75"/>
      <x:c r="H129" s="76" t="str">
        <x:f>IF(A129="","",F129-G129)</x:f>
      </x:c>
      <x:c r="I129" s="77" t="str">
        <x:f>IF(A129="","",IF(E129="","기타/불명",IF(IFERROR(SEARCH("급여",E129),0)&gt;0,"인건비",IF(IFERROR(SEARCH("임차",E129),0)&gt;0,"임차·시설",IF(IFERROR(SEARCH("광고",E129),0)&gt;0,"광고·행사",IF(IFERROR(SEARCH("용역",E129),0)&gt;0,"용역·수수료","기타/불명"))))))</x:f>
      </x:c>
      <x:c r="J129" s="77" t="str">
        <x:f>IF(A129="","",IF(I129="기타/불명","확인 필요","결의서명으로 1차 확인"))</x:f>
      </x:c>
      <x:c r="K129" s="78"/>
    </x:row>
    <x:row r="130">
      <x:c r="A130" s="73"/>
      <x:c r="B130" s="73"/>
      <x:c r="C130" s="74"/>
      <x:c r="D130" s="73"/>
      <x:c r="E130" s="73"/>
      <x:c r="F130" s="75"/>
      <x:c r="G130" s="75"/>
      <x:c r="H130" s="76" t="str">
        <x:f>IF(A130="","",F130-G130)</x:f>
      </x:c>
      <x:c r="I130" s="77" t="str">
        <x:f>IF(A130="","",IF(E130="","기타/불명",IF(IFERROR(SEARCH("급여",E130),0)&gt;0,"인건비",IF(IFERROR(SEARCH("임차",E130),0)&gt;0,"임차·시설",IF(IFERROR(SEARCH("광고",E130),0)&gt;0,"광고·행사",IF(IFERROR(SEARCH("용역",E130),0)&gt;0,"용역·수수료","기타/불명"))))))</x:f>
      </x:c>
      <x:c r="J130" s="77" t="str">
        <x:f>IF(A130="","",IF(I130="기타/불명","확인 필요","결의서명으로 1차 확인"))</x:f>
      </x:c>
      <x:c r="K130" s="78"/>
    </x:row>
    <x:row r="131">
      <x:c r="A131" s="73"/>
      <x:c r="B131" s="73"/>
      <x:c r="C131" s="74"/>
      <x:c r="D131" s="73"/>
      <x:c r="E131" s="73"/>
      <x:c r="F131" s="75"/>
      <x:c r="G131" s="75"/>
      <x:c r="H131" s="76" t="str">
        <x:f>IF(A131="","",F131-G131)</x:f>
      </x:c>
      <x:c r="I131" s="77" t="str">
        <x:f>IF(A131="","",IF(E131="","기타/불명",IF(IFERROR(SEARCH("급여",E131),0)&gt;0,"인건비",IF(IFERROR(SEARCH("임차",E131),0)&gt;0,"임차·시설",IF(IFERROR(SEARCH("광고",E131),0)&gt;0,"광고·행사",IF(IFERROR(SEARCH("용역",E131),0)&gt;0,"용역·수수료","기타/불명"))))))</x:f>
      </x:c>
      <x:c r="J131" s="77" t="str">
        <x:f>IF(A131="","",IF(I131="기타/불명","확인 필요","결의서명으로 1차 확인"))</x:f>
      </x:c>
      <x:c r="K131" s="78"/>
    </x:row>
    <x:row r="132">
      <x:c r="A132" s="73"/>
      <x:c r="B132" s="73"/>
      <x:c r="C132" s="74"/>
      <x:c r="D132" s="73"/>
      <x:c r="E132" s="73"/>
      <x:c r="F132" s="75"/>
      <x:c r="G132" s="75"/>
      <x:c r="H132" s="76" t="str">
        <x:f>IF(A132="","",F132-G132)</x:f>
      </x:c>
      <x:c r="I132" s="77" t="str">
        <x:f>IF(A132="","",IF(E132="","기타/불명",IF(IFERROR(SEARCH("급여",E132),0)&gt;0,"인건비",IF(IFERROR(SEARCH("임차",E132),0)&gt;0,"임차·시설",IF(IFERROR(SEARCH("광고",E132),0)&gt;0,"광고·행사",IF(IFERROR(SEARCH("용역",E132),0)&gt;0,"용역·수수료","기타/불명"))))))</x:f>
      </x:c>
      <x:c r="J132" s="77" t="str">
        <x:f>IF(A132="","",IF(I132="기타/불명","확인 필요","결의서명으로 1차 확인"))</x:f>
      </x:c>
      <x:c r="K132" s="78"/>
    </x:row>
    <x:row r="133">
      <x:c r="A133" s="73"/>
      <x:c r="B133" s="73"/>
      <x:c r="C133" s="74"/>
      <x:c r="D133" s="73"/>
      <x:c r="E133" s="73"/>
      <x:c r="F133" s="75"/>
      <x:c r="G133" s="75"/>
      <x:c r="H133" s="76" t="str">
        <x:f>IF(A133="","",F133-G133)</x:f>
      </x:c>
      <x:c r="I133" s="77" t="str">
        <x:f>IF(A133="","",IF(E133="","기타/불명",IF(IFERROR(SEARCH("급여",E133),0)&gt;0,"인건비",IF(IFERROR(SEARCH("임차",E133),0)&gt;0,"임차·시설",IF(IFERROR(SEARCH("광고",E133),0)&gt;0,"광고·행사",IF(IFERROR(SEARCH("용역",E133),0)&gt;0,"용역·수수료","기타/불명"))))))</x:f>
      </x:c>
      <x:c r="J133" s="77" t="str">
        <x:f>IF(A133="","",IF(I133="기타/불명","확인 필요","결의서명으로 1차 확인"))</x:f>
      </x:c>
      <x:c r="K133" s="78"/>
    </x:row>
    <x:row r="134">
      <x:c r="A134" s="73"/>
      <x:c r="B134" s="73"/>
      <x:c r="C134" s="74"/>
      <x:c r="D134" s="73"/>
      <x:c r="E134" s="73"/>
      <x:c r="F134" s="75"/>
      <x:c r="G134" s="75"/>
      <x:c r="H134" s="76" t="str">
        <x:f>IF(A134="","",F134-G134)</x:f>
      </x:c>
      <x:c r="I134" s="77" t="str">
        <x:f>IF(A134="","",IF(E134="","기타/불명",IF(IFERROR(SEARCH("급여",E134),0)&gt;0,"인건비",IF(IFERROR(SEARCH("임차",E134),0)&gt;0,"임차·시설",IF(IFERROR(SEARCH("광고",E134),0)&gt;0,"광고·행사",IF(IFERROR(SEARCH("용역",E134),0)&gt;0,"용역·수수료","기타/불명"))))))</x:f>
      </x:c>
      <x:c r="J134" s="77" t="str">
        <x:f>IF(A134="","",IF(I134="기타/불명","확인 필요","결의서명으로 1차 확인"))</x:f>
      </x:c>
      <x:c r="K134" s="78"/>
    </x:row>
    <x:row r="135">
      <x:c r="A135" s="73"/>
      <x:c r="B135" s="73"/>
      <x:c r="C135" s="74"/>
      <x:c r="D135" s="73"/>
      <x:c r="E135" s="73"/>
      <x:c r="F135" s="75"/>
      <x:c r="G135" s="75"/>
      <x:c r="H135" s="76" t="str">
        <x:f>IF(A135="","",F135-G135)</x:f>
      </x:c>
      <x:c r="I135" s="77" t="str">
        <x:f>IF(A135="","",IF(E135="","기타/불명",IF(IFERROR(SEARCH("급여",E135),0)&gt;0,"인건비",IF(IFERROR(SEARCH("임차",E135),0)&gt;0,"임차·시설",IF(IFERROR(SEARCH("광고",E135),0)&gt;0,"광고·행사",IF(IFERROR(SEARCH("용역",E135),0)&gt;0,"용역·수수료","기타/불명"))))))</x:f>
      </x:c>
      <x:c r="J135" s="77" t="str">
        <x:f>IF(A135="","",IF(I135="기타/불명","확인 필요","결의서명으로 1차 확인"))</x:f>
      </x:c>
      <x:c r="K135" s="78"/>
    </x:row>
    <x:row r="136">
      <x:c r="A136" s="73"/>
      <x:c r="B136" s="73"/>
      <x:c r="C136" s="74"/>
      <x:c r="D136" s="73"/>
      <x:c r="E136" s="73"/>
      <x:c r="F136" s="75"/>
      <x:c r="G136" s="75"/>
      <x:c r="H136" s="76" t="str">
        <x:f>IF(A136="","",F136-G136)</x:f>
      </x:c>
      <x:c r="I136" s="77" t="str">
        <x:f>IF(A136="","",IF(E136="","기타/불명",IF(IFERROR(SEARCH("급여",E136),0)&gt;0,"인건비",IF(IFERROR(SEARCH("임차",E136),0)&gt;0,"임차·시설",IF(IFERROR(SEARCH("광고",E136),0)&gt;0,"광고·행사",IF(IFERROR(SEARCH("용역",E136),0)&gt;0,"용역·수수료","기타/불명"))))))</x:f>
      </x:c>
      <x:c r="J136" s="77" t="str">
        <x:f>IF(A136="","",IF(I136="기타/불명","확인 필요","결의서명으로 1차 확인"))</x:f>
      </x:c>
      <x:c r="K136" s="78"/>
    </x:row>
    <x:row r="137">
      <x:c r="A137" s="73"/>
      <x:c r="B137" s="73"/>
      <x:c r="C137" s="74"/>
      <x:c r="D137" s="73"/>
      <x:c r="E137" s="73"/>
      <x:c r="F137" s="75"/>
      <x:c r="G137" s="75"/>
      <x:c r="H137" s="76" t="str">
        <x:f>IF(A137="","",F137-G137)</x:f>
      </x:c>
      <x:c r="I137" s="77" t="str">
        <x:f>IF(A137="","",IF(E137="","기타/불명",IF(IFERROR(SEARCH("급여",E137),0)&gt;0,"인건비",IF(IFERROR(SEARCH("임차",E137),0)&gt;0,"임차·시설",IF(IFERROR(SEARCH("광고",E137),0)&gt;0,"광고·행사",IF(IFERROR(SEARCH("용역",E137),0)&gt;0,"용역·수수료","기타/불명"))))))</x:f>
      </x:c>
      <x:c r="J137" s="77" t="str">
        <x:f>IF(A137="","",IF(I137="기타/불명","확인 필요","결의서명으로 1차 확인"))</x:f>
      </x:c>
      <x:c r="K137" s="78"/>
    </x:row>
    <x:row r="138">
      <x:c r="A138" s="73"/>
      <x:c r="B138" s="73"/>
      <x:c r="C138" s="74"/>
      <x:c r="D138" s="73"/>
      <x:c r="E138" s="73"/>
      <x:c r="F138" s="75"/>
      <x:c r="G138" s="75"/>
      <x:c r="H138" s="76" t="str">
        <x:f>IF(A138="","",F138-G138)</x:f>
      </x:c>
      <x:c r="I138" s="77" t="str">
        <x:f>IF(A138="","",IF(E138="","기타/불명",IF(IFERROR(SEARCH("급여",E138),0)&gt;0,"인건비",IF(IFERROR(SEARCH("임차",E138),0)&gt;0,"임차·시설",IF(IFERROR(SEARCH("광고",E138),0)&gt;0,"광고·행사",IF(IFERROR(SEARCH("용역",E138),0)&gt;0,"용역·수수료","기타/불명"))))))</x:f>
      </x:c>
      <x:c r="J138" s="77" t="str">
        <x:f>IF(A138="","",IF(I138="기타/불명","확인 필요","결의서명으로 1차 확인"))</x:f>
      </x:c>
      <x:c r="K138" s="78"/>
    </x:row>
    <x:row r="139">
      <x:c r="A139" s="73"/>
      <x:c r="B139" s="73"/>
      <x:c r="C139" s="74"/>
      <x:c r="D139" s="73"/>
      <x:c r="E139" s="73"/>
      <x:c r="F139" s="75"/>
      <x:c r="G139" s="75"/>
      <x:c r="H139" s="76" t="str">
        <x:f>IF(A139="","",F139-G139)</x:f>
      </x:c>
      <x:c r="I139" s="77" t="str">
        <x:f>IF(A139="","",IF(E139="","기타/불명",IF(IFERROR(SEARCH("급여",E139),0)&gt;0,"인건비",IF(IFERROR(SEARCH("임차",E139),0)&gt;0,"임차·시설",IF(IFERROR(SEARCH("광고",E139),0)&gt;0,"광고·행사",IF(IFERROR(SEARCH("용역",E139),0)&gt;0,"용역·수수료","기타/불명"))))))</x:f>
      </x:c>
      <x:c r="J139" s="77" t="str">
        <x:f>IF(A139="","",IF(I139="기타/불명","확인 필요","결의서명으로 1차 확인"))</x:f>
      </x:c>
      <x:c r="K139" s="78"/>
    </x:row>
    <x:row r="140">
      <x:c r="A140" s="73"/>
      <x:c r="B140" s="73"/>
      <x:c r="C140" s="74"/>
      <x:c r="D140" s="73"/>
      <x:c r="E140" s="73"/>
      <x:c r="F140" s="75"/>
      <x:c r="G140" s="75"/>
      <x:c r="H140" s="76" t="str">
        <x:f>IF(A140="","",F140-G140)</x:f>
      </x:c>
      <x:c r="I140" s="77" t="str">
        <x:f>IF(A140="","",IF(E140="","기타/불명",IF(IFERROR(SEARCH("급여",E140),0)&gt;0,"인건비",IF(IFERROR(SEARCH("임차",E140),0)&gt;0,"임차·시설",IF(IFERROR(SEARCH("광고",E140),0)&gt;0,"광고·행사",IF(IFERROR(SEARCH("용역",E140),0)&gt;0,"용역·수수료","기타/불명"))))))</x:f>
      </x:c>
      <x:c r="J140" s="77" t="str">
        <x:f>IF(A140="","",IF(I140="기타/불명","확인 필요","결의서명으로 1차 확인"))</x:f>
      </x:c>
      <x:c r="K140" s="78"/>
    </x:row>
    <x:row r="141">
      <x:c r="A141" s="73"/>
      <x:c r="B141" s="73"/>
      <x:c r="C141" s="74"/>
      <x:c r="D141" s="73"/>
      <x:c r="E141" s="73"/>
      <x:c r="F141" s="75"/>
      <x:c r="G141" s="75"/>
      <x:c r="H141" s="76" t="str">
        <x:f>IF(A141="","",F141-G141)</x:f>
      </x:c>
      <x:c r="I141" s="77" t="str">
        <x:f>IF(A141="","",IF(E141="","기타/불명",IF(IFERROR(SEARCH("급여",E141),0)&gt;0,"인건비",IF(IFERROR(SEARCH("임차",E141),0)&gt;0,"임차·시설",IF(IFERROR(SEARCH("광고",E141),0)&gt;0,"광고·행사",IF(IFERROR(SEARCH("용역",E141),0)&gt;0,"용역·수수료","기타/불명"))))))</x:f>
      </x:c>
      <x:c r="J141" s="77" t="str">
        <x:f>IF(A141="","",IF(I141="기타/불명","확인 필요","결의서명으로 1차 확인"))</x:f>
      </x:c>
      <x:c r="K141" s="78"/>
    </x:row>
    <x:row r="142">
      <x:c r="A142" s="73"/>
      <x:c r="B142" s="73"/>
      <x:c r="C142" s="74"/>
      <x:c r="D142" s="73"/>
      <x:c r="E142" s="73"/>
      <x:c r="F142" s="75"/>
      <x:c r="G142" s="75"/>
      <x:c r="H142" s="76" t="str">
        <x:f>IF(A142="","",F142-G142)</x:f>
      </x:c>
      <x:c r="I142" s="77" t="str">
        <x:f>IF(A142="","",IF(E142="","기타/불명",IF(IFERROR(SEARCH("급여",E142),0)&gt;0,"인건비",IF(IFERROR(SEARCH("임차",E142),0)&gt;0,"임차·시설",IF(IFERROR(SEARCH("광고",E142),0)&gt;0,"광고·행사",IF(IFERROR(SEARCH("용역",E142),0)&gt;0,"용역·수수료","기타/불명"))))))</x:f>
      </x:c>
      <x:c r="J142" s="77" t="str">
        <x:f>IF(A142="","",IF(I142="기타/불명","확인 필요","결의서명으로 1차 확인"))</x:f>
      </x:c>
      <x:c r="K142" s="78"/>
    </x:row>
    <x:row r="143">
      <x:c r="A143" s="73"/>
      <x:c r="B143" s="73"/>
      <x:c r="C143" s="74"/>
      <x:c r="D143" s="73"/>
      <x:c r="E143" s="73"/>
      <x:c r="F143" s="75"/>
      <x:c r="G143" s="75"/>
      <x:c r="H143" s="76" t="str">
        <x:f>IF(A143="","",F143-G143)</x:f>
      </x:c>
      <x:c r="I143" s="77" t="str">
        <x:f>IF(A143="","",IF(E143="","기타/불명",IF(IFERROR(SEARCH("급여",E143),0)&gt;0,"인건비",IF(IFERROR(SEARCH("임차",E143),0)&gt;0,"임차·시설",IF(IFERROR(SEARCH("광고",E143),0)&gt;0,"광고·행사",IF(IFERROR(SEARCH("용역",E143),0)&gt;0,"용역·수수료","기타/불명"))))))</x:f>
      </x:c>
      <x:c r="J143" s="77" t="str">
        <x:f>IF(A143="","",IF(I143="기타/불명","확인 필요","결의서명으로 1차 확인"))</x:f>
      </x:c>
      <x:c r="K143" s="78"/>
    </x:row>
    <x:row r="144">
      <x:c r="A144" s="73"/>
      <x:c r="B144" s="73"/>
      <x:c r="C144" s="74"/>
      <x:c r="D144" s="73"/>
      <x:c r="E144" s="73"/>
      <x:c r="F144" s="75"/>
      <x:c r="G144" s="75"/>
      <x:c r="H144" s="76" t="str">
        <x:f>IF(A144="","",F144-G144)</x:f>
      </x:c>
      <x:c r="I144" s="77" t="str">
        <x:f>IF(A144="","",IF(E144="","기타/불명",IF(IFERROR(SEARCH("급여",E144),0)&gt;0,"인건비",IF(IFERROR(SEARCH("임차",E144),0)&gt;0,"임차·시설",IF(IFERROR(SEARCH("광고",E144),0)&gt;0,"광고·행사",IF(IFERROR(SEARCH("용역",E144),0)&gt;0,"용역·수수료","기타/불명"))))))</x:f>
      </x:c>
      <x:c r="J144" s="77" t="str">
        <x:f>IF(A144="","",IF(I144="기타/불명","확인 필요","결의서명으로 1차 확인"))</x:f>
      </x:c>
      <x:c r="K144" s="78"/>
    </x:row>
    <x:row r="145">
      <x:c r="A145" s="73"/>
      <x:c r="B145" s="73"/>
      <x:c r="C145" s="74"/>
      <x:c r="D145" s="73"/>
      <x:c r="E145" s="73"/>
      <x:c r="F145" s="75"/>
      <x:c r="G145" s="75"/>
      <x:c r="H145" s="76" t="str">
        <x:f>IF(A145="","",F145-G145)</x:f>
      </x:c>
      <x:c r="I145" s="77" t="str">
        <x:f>IF(A145="","",IF(E145="","기타/불명",IF(IFERROR(SEARCH("급여",E145),0)&gt;0,"인건비",IF(IFERROR(SEARCH("임차",E145),0)&gt;0,"임차·시설",IF(IFERROR(SEARCH("광고",E145),0)&gt;0,"광고·행사",IF(IFERROR(SEARCH("용역",E145),0)&gt;0,"용역·수수료","기타/불명"))))))</x:f>
      </x:c>
      <x:c r="J145" s="77" t="str">
        <x:f>IF(A145="","",IF(I145="기타/불명","확인 필요","결의서명으로 1차 확인"))</x:f>
      </x:c>
      <x:c r="K145" s="78"/>
    </x:row>
    <x:row r="146">
      <x:c r="A146" s="73"/>
      <x:c r="B146" s="73"/>
      <x:c r="C146" s="74"/>
      <x:c r="D146" s="73"/>
      <x:c r="E146" s="73"/>
      <x:c r="F146" s="75"/>
      <x:c r="G146" s="75"/>
      <x:c r="H146" s="76" t="str">
        <x:f>IF(A146="","",F146-G146)</x:f>
      </x:c>
      <x:c r="I146" s="77" t="str">
        <x:f>IF(A146="","",IF(E146="","기타/불명",IF(IFERROR(SEARCH("급여",E146),0)&gt;0,"인건비",IF(IFERROR(SEARCH("임차",E146),0)&gt;0,"임차·시설",IF(IFERROR(SEARCH("광고",E146),0)&gt;0,"광고·행사",IF(IFERROR(SEARCH("용역",E146),0)&gt;0,"용역·수수료","기타/불명"))))))</x:f>
      </x:c>
      <x:c r="J146" s="77" t="str">
        <x:f>IF(A146="","",IF(I146="기타/불명","확인 필요","결의서명으로 1차 확인"))</x:f>
      </x:c>
      <x:c r="K146" s="78"/>
    </x:row>
    <x:row r="147">
      <x:c r="A147" s="73"/>
      <x:c r="B147" s="73"/>
      <x:c r="C147" s="74"/>
      <x:c r="D147" s="73"/>
      <x:c r="E147" s="73"/>
      <x:c r="F147" s="75"/>
      <x:c r="G147" s="75"/>
      <x:c r="H147" s="76" t="str">
        <x:f>IF(A147="","",F147-G147)</x:f>
      </x:c>
      <x:c r="I147" s="77" t="str">
        <x:f>IF(A147="","",IF(E147="","기타/불명",IF(IFERROR(SEARCH("급여",E147),0)&gt;0,"인건비",IF(IFERROR(SEARCH("임차",E147),0)&gt;0,"임차·시설",IF(IFERROR(SEARCH("광고",E147),0)&gt;0,"광고·행사",IF(IFERROR(SEARCH("용역",E147),0)&gt;0,"용역·수수료","기타/불명"))))))</x:f>
      </x:c>
      <x:c r="J147" s="77" t="str">
        <x:f>IF(A147="","",IF(I147="기타/불명","확인 필요","결의서명으로 1차 확인"))</x:f>
      </x:c>
      <x:c r="K147" s="78"/>
    </x:row>
    <x:row r="148">
      <x:c r="A148" s="73"/>
      <x:c r="B148" s="73"/>
      <x:c r="C148" s="74"/>
      <x:c r="D148" s="73"/>
      <x:c r="E148" s="73"/>
      <x:c r="F148" s="75"/>
      <x:c r="G148" s="75"/>
      <x:c r="H148" s="76" t="str">
        <x:f>IF(A148="","",F148-G148)</x:f>
      </x:c>
      <x:c r="I148" s="77" t="str">
        <x:f>IF(A148="","",IF(E148="","기타/불명",IF(IFERROR(SEARCH("급여",E148),0)&gt;0,"인건비",IF(IFERROR(SEARCH("임차",E148),0)&gt;0,"임차·시설",IF(IFERROR(SEARCH("광고",E148),0)&gt;0,"광고·행사",IF(IFERROR(SEARCH("용역",E148),0)&gt;0,"용역·수수료","기타/불명"))))))</x:f>
      </x:c>
      <x:c r="J148" s="77" t="str">
        <x:f>IF(A148="","",IF(I148="기타/불명","확인 필요","결의서명으로 1차 확인"))</x:f>
      </x:c>
      <x:c r="K148" s="78"/>
    </x:row>
    <x:row r="149">
      <x:c r="A149" s="73"/>
      <x:c r="B149" s="73"/>
      <x:c r="C149" s="74"/>
      <x:c r="D149" s="73"/>
      <x:c r="E149" s="73"/>
      <x:c r="F149" s="75"/>
      <x:c r="G149" s="75"/>
      <x:c r="H149" s="76" t="str">
        <x:f>IF(A149="","",F149-G149)</x:f>
      </x:c>
      <x:c r="I149" s="77" t="str">
        <x:f>IF(A149="","",IF(E149="","기타/불명",IF(IFERROR(SEARCH("급여",E149),0)&gt;0,"인건비",IF(IFERROR(SEARCH("임차",E149),0)&gt;0,"임차·시설",IF(IFERROR(SEARCH("광고",E149),0)&gt;0,"광고·행사",IF(IFERROR(SEARCH("용역",E149),0)&gt;0,"용역·수수료","기타/불명"))))))</x:f>
      </x:c>
      <x:c r="J149" s="77" t="str">
        <x:f>IF(A149="","",IF(I149="기타/불명","확인 필요","결의서명으로 1차 확인"))</x:f>
      </x:c>
      <x:c r="K149" s="78"/>
    </x:row>
    <x:row r="150">
      <x:c r="A150" s="73"/>
      <x:c r="B150" s="73"/>
      <x:c r="C150" s="74"/>
      <x:c r="D150" s="73"/>
      <x:c r="E150" s="73"/>
      <x:c r="F150" s="75"/>
      <x:c r="G150" s="75"/>
      <x:c r="H150" s="76" t="str">
        <x:f>IF(A150="","",F150-G150)</x:f>
      </x:c>
      <x:c r="I150" s="77" t="str">
        <x:f>IF(A150="","",IF(E150="","기타/불명",IF(IFERROR(SEARCH("급여",E150),0)&gt;0,"인건비",IF(IFERROR(SEARCH("임차",E150),0)&gt;0,"임차·시설",IF(IFERROR(SEARCH("광고",E150),0)&gt;0,"광고·행사",IF(IFERROR(SEARCH("용역",E150),0)&gt;0,"용역·수수료","기타/불명"))))))</x:f>
      </x:c>
      <x:c r="J150" s="77" t="str">
        <x:f>IF(A150="","",IF(I150="기타/불명","확인 필요","결의서명으로 1차 확인"))</x:f>
      </x:c>
      <x:c r="K150" s="78"/>
    </x:row>
    <x:row r="151">
      <x:c r="A151" s="73"/>
      <x:c r="B151" s="73"/>
      <x:c r="C151" s="74"/>
      <x:c r="D151" s="73"/>
      <x:c r="E151" s="73"/>
      <x:c r="F151" s="75"/>
      <x:c r="G151" s="75"/>
      <x:c r="H151" s="76" t="str">
        <x:f>IF(A151="","",F151-G151)</x:f>
      </x:c>
      <x:c r="I151" s="77" t="str">
        <x:f>IF(A151="","",IF(E151="","기타/불명",IF(IFERROR(SEARCH("급여",E151),0)&gt;0,"인건비",IF(IFERROR(SEARCH("임차",E151),0)&gt;0,"임차·시설",IF(IFERROR(SEARCH("광고",E151),0)&gt;0,"광고·행사",IF(IFERROR(SEARCH("용역",E151),0)&gt;0,"용역·수수료","기타/불명"))))))</x:f>
      </x:c>
      <x:c r="J151" s="77" t="str">
        <x:f>IF(A151="","",IF(I151="기타/불명","확인 필요","결의서명으로 1차 확인"))</x:f>
      </x:c>
      <x:c r="K151" s="78"/>
    </x:row>
    <x:row r="152">
      <x:c r="A152" s="73"/>
      <x:c r="B152" s="73"/>
      <x:c r="C152" s="74"/>
      <x:c r="D152" s="73"/>
      <x:c r="E152" s="73"/>
      <x:c r="F152" s="75"/>
      <x:c r="G152" s="75"/>
      <x:c r="H152" s="76" t="str">
        <x:f>IF(A152="","",F152-G152)</x:f>
      </x:c>
      <x:c r="I152" s="77" t="str">
        <x:f>IF(A152="","",IF(E152="","기타/불명",IF(IFERROR(SEARCH("급여",E152),0)&gt;0,"인건비",IF(IFERROR(SEARCH("임차",E152),0)&gt;0,"임차·시설",IF(IFERROR(SEARCH("광고",E152),0)&gt;0,"광고·행사",IF(IFERROR(SEARCH("용역",E152),0)&gt;0,"용역·수수료","기타/불명"))))))</x:f>
      </x:c>
      <x:c r="J152" s="77" t="str">
        <x:f>IF(A152="","",IF(I152="기타/불명","확인 필요","결의서명으로 1차 확인"))</x:f>
      </x:c>
      <x:c r="K152" s="78"/>
    </x:row>
    <x:row r="153">
      <x:c r="A153" s="73"/>
      <x:c r="B153" s="73"/>
      <x:c r="C153" s="74"/>
      <x:c r="D153" s="73"/>
      <x:c r="E153" s="73"/>
      <x:c r="F153" s="75"/>
      <x:c r="G153" s="75"/>
      <x:c r="H153" s="76" t="str">
        <x:f>IF(A153="","",F153-G153)</x:f>
      </x:c>
      <x:c r="I153" s="77" t="str">
        <x:f>IF(A153="","",IF(E153="","기타/불명",IF(IFERROR(SEARCH("급여",E153),0)&gt;0,"인건비",IF(IFERROR(SEARCH("임차",E153),0)&gt;0,"임차·시설",IF(IFERROR(SEARCH("광고",E153),0)&gt;0,"광고·행사",IF(IFERROR(SEARCH("용역",E153),0)&gt;0,"용역·수수료","기타/불명"))))))</x:f>
      </x:c>
      <x:c r="J153" s="77" t="str">
        <x:f>IF(A153="","",IF(I153="기타/불명","확인 필요","결의서명으로 1차 확인"))</x:f>
      </x:c>
      <x:c r="K153" s="78"/>
    </x:row>
    <x:row r="154">
      <x:c r="A154" s="73"/>
      <x:c r="B154" s="73"/>
      <x:c r="C154" s="74"/>
      <x:c r="D154" s="73"/>
      <x:c r="E154" s="73"/>
      <x:c r="F154" s="75"/>
      <x:c r="G154" s="75"/>
      <x:c r="H154" s="76" t="str">
        <x:f>IF(A154="","",F154-G154)</x:f>
      </x:c>
      <x:c r="I154" s="77" t="str">
        <x:f>IF(A154="","",IF(E154="","기타/불명",IF(IFERROR(SEARCH("급여",E154),0)&gt;0,"인건비",IF(IFERROR(SEARCH("임차",E154),0)&gt;0,"임차·시설",IF(IFERROR(SEARCH("광고",E154),0)&gt;0,"광고·행사",IF(IFERROR(SEARCH("용역",E154),0)&gt;0,"용역·수수료","기타/불명"))))))</x:f>
      </x:c>
      <x:c r="J154" s="77" t="str">
        <x:f>IF(A154="","",IF(I154="기타/불명","확인 필요","결의서명으로 1차 확인"))</x:f>
      </x:c>
      <x:c r="K154" s="78"/>
    </x:row>
    <x:row r="155">
      <x:c r="A155" s="73"/>
      <x:c r="B155" s="73"/>
      <x:c r="C155" s="74"/>
      <x:c r="D155" s="73"/>
      <x:c r="E155" s="73"/>
      <x:c r="F155" s="75"/>
      <x:c r="G155" s="75"/>
      <x:c r="H155" s="76" t="str">
        <x:f>IF(A155="","",F155-G155)</x:f>
      </x:c>
      <x:c r="I155" s="77" t="str">
        <x:f>IF(A155="","",IF(E155="","기타/불명",IF(IFERROR(SEARCH("급여",E155),0)&gt;0,"인건비",IF(IFERROR(SEARCH("임차",E155),0)&gt;0,"임차·시설",IF(IFERROR(SEARCH("광고",E155),0)&gt;0,"광고·행사",IF(IFERROR(SEARCH("용역",E155),0)&gt;0,"용역·수수료","기타/불명"))))))</x:f>
      </x:c>
      <x:c r="J155" s="77" t="str">
        <x:f>IF(A155="","",IF(I155="기타/불명","확인 필요","결의서명으로 1차 확인"))</x:f>
      </x:c>
      <x:c r="K155" s="78"/>
    </x:row>
    <x:row r="156">
      <x:c r="A156" s="73"/>
      <x:c r="B156" s="73"/>
      <x:c r="C156" s="74"/>
      <x:c r="D156" s="73"/>
      <x:c r="E156" s="73"/>
      <x:c r="F156" s="75"/>
      <x:c r="G156" s="75"/>
      <x:c r="H156" s="76" t="str">
        <x:f>IF(A156="","",F156-G156)</x:f>
      </x:c>
      <x:c r="I156" s="77" t="str">
        <x:f>IF(A156="","",IF(E156="","기타/불명",IF(IFERROR(SEARCH("급여",E156),0)&gt;0,"인건비",IF(IFERROR(SEARCH("임차",E156),0)&gt;0,"임차·시설",IF(IFERROR(SEARCH("광고",E156),0)&gt;0,"광고·행사",IF(IFERROR(SEARCH("용역",E156),0)&gt;0,"용역·수수료","기타/불명"))))))</x:f>
      </x:c>
      <x:c r="J156" s="77" t="str">
        <x:f>IF(A156="","",IF(I156="기타/불명","확인 필요","결의서명으로 1차 확인"))</x:f>
      </x:c>
      <x:c r="K156" s="78"/>
    </x:row>
    <x:row r="157">
      <x:c r="A157" s="73"/>
      <x:c r="B157" s="73"/>
      <x:c r="C157" s="74"/>
      <x:c r="D157" s="73"/>
      <x:c r="E157" s="73"/>
      <x:c r="F157" s="75"/>
      <x:c r="G157" s="75"/>
      <x:c r="H157" s="76" t="str">
        <x:f>IF(A157="","",F157-G157)</x:f>
      </x:c>
      <x:c r="I157" s="77" t="str">
        <x:f>IF(A157="","",IF(E157="","기타/불명",IF(IFERROR(SEARCH("급여",E157),0)&gt;0,"인건비",IF(IFERROR(SEARCH("임차",E157),0)&gt;0,"임차·시설",IF(IFERROR(SEARCH("광고",E157),0)&gt;0,"광고·행사",IF(IFERROR(SEARCH("용역",E157),0)&gt;0,"용역·수수료","기타/불명"))))))</x:f>
      </x:c>
      <x:c r="J157" s="77" t="str">
        <x:f>IF(A157="","",IF(I157="기타/불명","확인 필요","결의서명으로 1차 확인"))</x:f>
      </x:c>
      <x:c r="K157" s="78"/>
    </x:row>
    <x:row r="158">
      <x:c r="A158" s="73"/>
      <x:c r="B158" s="73"/>
      <x:c r="C158" s="74"/>
      <x:c r="D158" s="73"/>
      <x:c r="E158" s="73"/>
      <x:c r="F158" s="75"/>
      <x:c r="G158" s="75"/>
      <x:c r="H158" s="76" t="str">
        <x:f>IF(A158="","",F158-G158)</x:f>
      </x:c>
      <x:c r="I158" s="77" t="str">
        <x:f>IF(A158="","",IF(E158="","기타/불명",IF(IFERROR(SEARCH("급여",E158),0)&gt;0,"인건비",IF(IFERROR(SEARCH("임차",E158),0)&gt;0,"임차·시설",IF(IFERROR(SEARCH("광고",E158),0)&gt;0,"광고·행사",IF(IFERROR(SEARCH("용역",E158),0)&gt;0,"용역·수수료","기타/불명"))))))</x:f>
      </x:c>
      <x:c r="J158" s="77" t="str">
        <x:f>IF(A158="","",IF(I158="기타/불명","확인 필요","결의서명으로 1차 확인"))</x:f>
      </x:c>
      <x:c r="K158" s="78"/>
    </x:row>
    <x:row r="159">
      <x:c r="A159" s="73"/>
      <x:c r="B159" s="73"/>
      <x:c r="C159" s="74"/>
      <x:c r="D159" s="73"/>
      <x:c r="E159" s="73"/>
      <x:c r="F159" s="75"/>
      <x:c r="G159" s="75"/>
      <x:c r="H159" s="76" t="str">
        <x:f>IF(A159="","",F159-G159)</x:f>
      </x:c>
      <x:c r="I159" s="77" t="str">
        <x:f>IF(A159="","",IF(E159="","기타/불명",IF(IFERROR(SEARCH("급여",E159),0)&gt;0,"인건비",IF(IFERROR(SEARCH("임차",E159),0)&gt;0,"임차·시설",IF(IFERROR(SEARCH("광고",E159),0)&gt;0,"광고·행사",IF(IFERROR(SEARCH("용역",E159),0)&gt;0,"용역·수수료","기타/불명"))))))</x:f>
      </x:c>
      <x:c r="J159" s="77" t="str">
        <x:f>IF(A159="","",IF(I159="기타/불명","확인 필요","결의서명으로 1차 확인"))</x:f>
      </x:c>
      <x:c r="K159" s="78"/>
    </x:row>
    <x:row r="160">
      <x:c r="A160" s="73"/>
      <x:c r="B160" s="73"/>
      <x:c r="C160" s="74"/>
      <x:c r="D160" s="73"/>
      <x:c r="E160" s="73"/>
      <x:c r="F160" s="75"/>
      <x:c r="G160" s="75"/>
      <x:c r="H160" s="76" t="str">
        <x:f>IF(A160="","",F160-G160)</x:f>
      </x:c>
      <x:c r="I160" s="77" t="str">
        <x:f>IF(A160="","",IF(E160="","기타/불명",IF(IFERROR(SEARCH("급여",E160),0)&gt;0,"인건비",IF(IFERROR(SEARCH("임차",E160),0)&gt;0,"임차·시설",IF(IFERROR(SEARCH("광고",E160),0)&gt;0,"광고·행사",IF(IFERROR(SEARCH("용역",E160),0)&gt;0,"용역·수수료","기타/불명"))))))</x:f>
      </x:c>
      <x:c r="J160" s="77" t="str">
        <x:f>IF(A160="","",IF(I160="기타/불명","확인 필요","결의서명으로 1차 확인"))</x:f>
      </x:c>
      <x:c r="K160" s="78"/>
    </x:row>
    <x:row r="161">
      <x:c r="A161" s="73"/>
      <x:c r="B161" s="73"/>
      <x:c r="C161" s="74"/>
      <x:c r="D161" s="73"/>
      <x:c r="E161" s="73"/>
      <x:c r="F161" s="75"/>
      <x:c r="G161" s="75"/>
      <x:c r="H161" s="76" t="str">
        <x:f>IF(A161="","",F161-G161)</x:f>
      </x:c>
      <x:c r="I161" s="77" t="str">
        <x:f>IF(A161="","",IF(E161="","기타/불명",IF(IFERROR(SEARCH("급여",E161),0)&gt;0,"인건비",IF(IFERROR(SEARCH("임차",E161),0)&gt;0,"임차·시설",IF(IFERROR(SEARCH("광고",E161),0)&gt;0,"광고·행사",IF(IFERROR(SEARCH("용역",E161),0)&gt;0,"용역·수수료","기타/불명"))))))</x:f>
      </x:c>
      <x:c r="J161" s="77" t="str">
        <x:f>IF(A161="","",IF(I161="기타/불명","확인 필요","결의서명으로 1차 확인"))</x:f>
      </x:c>
      <x:c r="K161" s="78"/>
    </x:row>
    <x:row r="162">
      <x:c r="A162" s="73"/>
      <x:c r="B162" s="73"/>
      <x:c r="C162" s="74"/>
      <x:c r="D162" s="73"/>
      <x:c r="E162" s="73"/>
      <x:c r="F162" s="75"/>
      <x:c r="G162" s="75"/>
      <x:c r="H162" s="76" t="str">
        <x:f>IF(A162="","",F162-G162)</x:f>
      </x:c>
      <x:c r="I162" s="77" t="str">
        <x:f>IF(A162="","",IF(E162="","기타/불명",IF(IFERROR(SEARCH("급여",E162),0)&gt;0,"인건비",IF(IFERROR(SEARCH("임차",E162),0)&gt;0,"임차·시설",IF(IFERROR(SEARCH("광고",E162),0)&gt;0,"광고·행사",IF(IFERROR(SEARCH("용역",E162),0)&gt;0,"용역·수수료","기타/불명"))))))</x:f>
      </x:c>
      <x:c r="J162" s="77" t="str">
        <x:f>IF(A162="","",IF(I162="기타/불명","확인 필요","결의서명으로 1차 확인"))</x:f>
      </x:c>
      <x:c r="K162" s="78"/>
    </x:row>
    <x:row r="163">
      <x:c r="A163" s="73"/>
      <x:c r="B163" s="73"/>
      <x:c r="C163" s="74"/>
      <x:c r="D163" s="73"/>
      <x:c r="E163" s="73"/>
      <x:c r="F163" s="75"/>
      <x:c r="G163" s="75"/>
      <x:c r="H163" s="76" t="str">
        <x:f>IF(A163="","",F163-G163)</x:f>
      </x:c>
      <x:c r="I163" s="77" t="str">
        <x:f>IF(A163="","",IF(E163="","기타/불명",IF(IFERROR(SEARCH("급여",E163),0)&gt;0,"인건비",IF(IFERROR(SEARCH("임차",E163),0)&gt;0,"임차·시설",IF(IFERROR(SEARCH("광고",E163),0)&gt;0,"광고·행사",IF(IFERROR(SEARCH("용역",E163),0)&gt;0,"용역·수수료","기타/불명"))))))</x:f>
      </x:c>
      <x:c r="J163" s="77" t="str">
        <x:f>IF(A163="","",IF(I163="기타/불명","확인 필요","결의서명으로 1차 확인"))</x:f>
      </x:c>
      <x:c r="K163" s="78"/>
    </x:row>
    <x:row r="164">
      <x:c r="A164" s="73"/>
      <x:c r="B164" s="73"/>
      <x:c r="C164" s="74"/>
      <x:c r="D164" s="73"/>
      <x:c r="E164" s="73"/>
      <x:c r="F164" s="75"/>
      <x:c r="G164" s="75"/>
      <x:c r="H164" s="76" t="str">
        <x:f>IF(A164="","",F164-G164)</x:f>
      </x:c>
      <x:c r="I164" s="77" t="str">
        <x:f>IF(A164="","",IF(E164="","기타/불명",IF(IFERROR(SEARCH("급여",E164),0)&gt;0,"인건비",IF(IFERROR(SEARCH("임차",E164),0)&gt;0,"임차·시설",IF(IFERROR(SEARCH("광고",E164),0)&gt;0,"광고·행사",IF(IFERROR(SEARCH("용역",E164),0)&gt;0,"용역·수수료","기타/불명"))))))</x:f>
      </x:c>
      <x:c r="J164" s="77" t="str">
        <x:f>IF(A164="","",IF(I164="기타/불명","확인 필요","결의서명으로 1차 확인"))</x:f>
      </x:c>
      <x:c r="K164" s="78"/>
    </x:row>
    <x:row r="165">
      <x:c r="A165" s="73"/>
      <x:c r="B165" s="73"/>
      <x:c r="C165" s="74"/>
      <x:c r="D165" s="73"/>
      <x:c r="E165" s="73"/>
      <x:c r="F165" s="75"/>
      <x:c r="G165" s="75"/>
      <x:c r="H165" s="76" t="str">
        <x:f>IF(A165="","",F165-G165)</x:f>
      </x:c>
      <x:c r="I165" s="77" t="str">
        <x:f>IF(A165="","",IF(E165="","기타/불명",IF(IFERROR(SEARCH("급여",E165),0)&gt;0,"인건비",IF(IFERROR(SEARCH("임차",E165),0)&gt;0,"임차·시설",IF(IFERROR(SEARCH("광고",E165),0)&gt;0,"광고·행사",IF(IFERROR(SEARCH("용역",E165),0)&gt;0,"용역·수수료","기타/불명"))))))</x:f>
      </x:c>
      <x:c r="J165" s="77" t="str">
        <x:f>IF(A165="","",IF(I165="기타/불명","확인 필요","결의서명으로 1차 확인"))</x:f>
      </x:c>
      <x:c r="K165" s="78"/>
    </x:row>
    <x:row r="166">
      <x:c r="A166" s="73"/>
      <x:c r="B166" s="73"/>
      <x:c r="C166" s="74"/>
      <x:c r="D166" s="73"/>
      <x:c r="E166" s="73"/>
      <x:c r="F166" s="75"/>
      <x:c r="G166" s="75"/>
      <x:c r="H166" s="76" t="str">
        <x:f>IF(A166="","",F166-G166)</x:f>
      </x:c>
      <x:c r="I166" s="77" t="str">
        <x:f>IF(A166="","",IF(E166="","기타/불명",IF(IFERROR(SEARCH("급여",E166),0)&gt;0,"인건비",IF(IFERROR(SEARCH("임차",E166),0)&gt;0,"임차·시설",IF(IFERROR(SEARCH("광고",E166),0)&gt;0,"광고·행사",IF(IFERROR(SEARCH("용역",E166),0)&gt;0,"용역·수수료","기타/불명"))))))</x:f>
      </x:c>
      <x:c r="J166" s="77" t="str">
        <x:f>IF(A166="","",IF(I166="기타/불명","확인 필요","결의서명으로 1차 확인"))</x:f>
      </x:c>
      <x:c r="K166" s="78"/>
    </x:row>
    <x:row r="167">
      <x:c r="A167" s="73"/>
      <x:c r="B167" s="73"/>
      <x:c r="C167" s="74"/>
      <x:c r="D167" s="73"/>
      <x:c r="E167" s="73"/>
      <x:c r="F167" s="75"/>
      <x:c r="G167" s="75"/>
      <x:c r="H167" s="76" t="str">
        <x:f>IF(A167="","",F167-G167)</x:f>
      </x:c>
      <x:c r="I167" s="77" t="str">
        <x:f>IF(A167="","",IF(E167="","기타/불명",IF(IFERROR(SEARCH("급여",E167),0)&gt;0,"인건비",IF(IFERROR(SEARCH("임차",E167),0)&gt;0,"임차·시설",IF(IFERROR(SEARCH("광고",E167),0)&gt;0,"광고·행사",IF(IFERROR(SEARCH("용역",E167),0)&gt;0,"용역·수수료","기타/불명"))))))</x:f>
      </x:c>
      <x:c r="J167" s="77" t="str">
        <x:f>IF(A167="","",IF(I167="기타/불명","확인 필요","결의서명으로 1차 확인"))</x:f>
      </x:c>
      <x:c r="K167" s="78"/>
    </x:row>
    <x:row r="168">
      <x:c r="A168" s="73"/>
      <x:c r="B168" s="73"/>
      <x:c r="C168" s="74"/>
      <x:c r="D168" s="73"/>
      <x:c r="E168" s="73"/>
      <x:c r="F168" s="75"/>
      <x:c r="G168" s="75"/>
      <x:c r="H168" s="76" t="str">
        <x:f>IF(A168="","",F168-G168)</x:f>
      </x:c>
      <x:c r="I168" s="77" t="str">
        <x:f>IF(A168="","",IF(E168="","기타/불명",IF(IFERROR(SEARCH("급여",E168),0)&gt;0,"인건비",IF(IFERROR(SEARCH("임차",E168),0)&gt;0,"임차·시설",IF(IFERROR(SEARCH("광고",E168),0)&gt;0,"광고·행사",IF(IFERROR(SEARCH("용역",E168),0)&gt;0,"용역·수수료","기타/불명"))))))</x:f>
      </x:c>
      <x:c r="J168" s="77" t="str">
        <x:f>IF(A168="","",IF(I168="기타/불명","확인 필요","결의서명으로 1차 확인"))</x:f>
      </x:c>
      <x:c r="K168" s="78"/>
    </x:row>
    <x:row r="169">
      <x:c r="A169" s="73"/>
      <x:c r="B169" s="73"/>
      <x:c r="C169" s="74"/>
      <x:c r="D169" s="73"/>
      <x:c r="E169" s="73"/>
      <x:c r="F169" s="75"/>
      <x:c r="G169" s="75"/>
      <x:c r="H169" s="76" t="str">
        <x:f>IF(A169="","",F169-G169)</x:f>
      </x:c>
      <x:c r="I169" s="77" t="str">
        <x:f>IF(A169="","",IF(E169="","기타/불명",IF(IFERROR(SEARCH("급여",E169),0)&gt;0,"인건비",IF(IFERROR(SEARCH("임차",E169),0)&gt;0,"임차·시설",IF(IFERROR(SEARCH("광고",E169),0)&gt;0,"광고·행사",IF(IFERROR(SEARCH("용역",E169),0)&gt;0,"용역·수수료","기타/불명"))))))</x:f>
      </x:c>
      <x:c r="J169" s="77" t="str">
        <x:f>IF(A169="","",IF(I169="기타/불명","확인 필요","결의서명으로 1차 확인"))</x:f>
      </x:c>
      <x:c r="K169" s="78"/>
    </x:row>
    <x:row r="170">
      <x:c r="A170" s="73"/>
      <x:c r="B170" s="73"/>
      <x:c r="C170" s="74"/>
      <x:c r="D170" s="73"/>
      <x:c r="E170" s="73"/>
      <x:c r="F170" s="75"/>
      <x:c r="G170" s="75"/>
      <x:c r="H170" s="76" t="str">
        <x:f>IF(A170="","",F170-G170)</x:f>
      </x:c>
      <x:c r="I170" s="77" t="str">
        <x:f>IF(A170="","",IF(E170="","기타/불명",IF(IFERROR(SEARCH("급여",E170),0)&gt;0,"인건비",IF(IFERROR(SEARCH("임차",E170),0)&gt;0,"임차·시설",IF(IFERROR(SEARCH("광고",E170),0)&gt;0,"광고·행사",IF(IFERROR(SEARCH("용역",E170),0)&gt;0,"용역·수수료","기타/불명"))))))</x:f>
      </x:c>
      <x:c r="J170" s="77" t="str">
        <x:f>IF(A170="","",IF(I170="기타/불명","확인 필요","결의서명으로 1차 확인"))</x:f>
      </x:c>
      <x:c r="K170" s="78"/>
    </x:row>
    <x:row r="171">
      <x:c r="A171" s="73"/>
      <x:c r="B171" s="73"/>
      <x:c r="C171" s="74"/>
      <x:c r="D171" s="73"/>
      <x:c r="E171" s="73"/>
      <x:c r="F171" s="75"/>
      <x:c r="G171" s="75"/>
      <x:c r="H171" s="76" t="str">
        <x:f>IF(A171="","",F171-G171)</x:f>
      </x:c>
      <x:c r="I171" s="77" t="str">
        <x:f>IF(A171="","",IF(E171="","기타/불명",IF(IFERROR(SEARCH("급여",E171),0)&gt;0,"인건비",IF(IFERROR(SEARCH("임차",E171),0)&gt;0,"임차·시설",IF(IFERROR(SEARCH("광고",E171),0)&gt;0,"광고·행사",IF(IFERROR(SEARCH("용역",E171),0)&gt;0,"용역·수수료","기타/불명"))))))</x:f>
      </x:c>
      <x:c r="J171" s="77" t="str">
        <x:f>IF(A171="","",IF(I171="기타/불명","확인 필요","결의서명으로 1차 확인"))</x:f>
      </x:c>
      <x:c r="K171" s="78"/>
    </x:row>
    <x:row r="172">
      <x:c r="A172" s="73"/>
      <x:c r="B172" s="73"/>
      <x:c r="C172" s="74"/>
      <x:c r="D172" s="73"/>
      <x:c r="E172" s="73"/>
      <x:c r="F172" s="75"/>
      <x:c r="G172" s="75"/>
      <x:c r="H172" s="76" t="str">
        <x:f>IF(A172="","",F172-G172)</x:f>
      </x:c>
      <x:c r="I172" s="77" t="str">
        <x:f>IF(A172="","",IF(E172="","기타/불명",IF(IFERROR(SEARCH("급여",E172),0)&gt;0,"인건비",IF(IFERROR(SEARCH("임차",E172),0)&gt;0,"임차·시설",IF(IFERROR(SEARCH("광고",E172),0)&gt;0,"광고·행사",IF(IFERROR(SEARCH("용역",E172),0)&gt;0,"용역·수수료","기타/불명"))))))</x:f>
      </x:c>
      <x:c r="J172" s="77" t="str">
        <x:f>IF(A172="","",IF(I172="기타/불명","확인 필요","결의서명으로 1차 확인"))</x:f>
      </x:c>
      <x:c r="K172" s="78"/>
    </x:row>
    <x:row r="173">
      <x:c r="A173" s="73"/>
      <x:c r="B173" s="73"/>
      <x:c r="C173" s="74"/>
      <x:c r="D173" s="73"/>
      <x:c r="E173" s="73"/>
      <x:c r="F173" s="75"/>
      <x:c r="G173" s="75"/>
      <x:c r="H173" s="76" t="str">
        <x:f>IF(A173="","",F173-G173)</x:f>
      </x:c>
      <x:c r="I173" s="77" t="str">
        <x:f>IF(A173="","",IF(E173="","기타/불명",IF(IFERROR(SEARCH("급여",E173),0)&gt;0,"인건비",IF(IFERROR(SEARCH("임차",E173),0)&gt;0,"임차·시설",IF(IFERROR(SEARCH("광고",E173),0)&gt;0,"광고·행사",IF(IFERROR(SEARCH("용역",E173),0)&gt;0,"용역·수수료","기타/불명"))))))</x:f>
      </x:c>
      <x:c r="J173" s="77" t="str">
        <x:f>IF(A173="","",IF(I173="기타/불명","확인 필요","결의서명으로 1차 확인"))</x:f>
      </x:c>
      <x:c r="K173" s="78"/>
    </x:row>
    <x:row r="174">
      <x:c r="A174" s="73"/>
      <x:c r="B174" s="73"/>
      <x:c r="C174" s="74"/>
      <x:c r="D174" s="73"/>
      <x:c r="E174" s="73"/>
      <x:c r="F174" s="75"/>
      <x:c r="G174" s="75"/>
      <x:c r="H174" s="76" t="str">
        <x:f>IF(A174="","",F174-G174)</x:f>
      </x:c>
      <x:c r="I174" s="77" t="str">
        <x:f>IF(A174="","",IF(E174="","기타/불명",IF(IFERROR(SEARCH("급여",E174),0)&gt;0,"인건비",IF(IFERROR(SEARCH("임차",E174),0)&gt;0,"임차·시설",IF(IFERROR(SEARCH("광고",E174),0)&gt;0,"광고·행사",IF(IFERROR(SEARCH("용역",E174),0)&gt;0,"용역·수수료","기타/불명"))))))</x:f>
      </x:c>
      <x:c r="J174" s="77" t="str">
        <x:f>IF(A174="","",IF(I174="기타/불명","확인 필요","결의서명으로 1차 확인"))</x:f>
      </x:c>
      <x:c r="K174" s="78"/>
    </x:row>
    <x:row r="175">
      <x:c r="A175" s="73"/>
      <x:c r="B175" s="73"/>
      <x:c r="C175" s="74"/>
      <x:c r="D175" s="73"/>
      <x:c r="E175" s="73"/>
      <x:c r="F175" s="75"/>
      <x:c r="G175" s="75"/>
      <x:c r="H175" s="76" t="str">
        <x:f>IF(A175="","",F175-G175)</x:f>
      </x:c>
      <x:c r="I175" s="77" t="str">
        <x:f>IF(A175="","",IF(E175="","기타/불명",IF(IFERROR(SEARCH("급여",E175),0)&gt;0,"인건비",IF(IFERROR(SEARCH("임차",E175),0)&gt;0,"임차·시설",IF(IFERROR(SEARCH("광고",E175),0)&gt;0,"광고·행사",IF(IFERROR(SEARCH("용역",E175),0)&gt;0,"용역·수수료","기타/불명"))))))</x:f>
      </x:c>
      <x:c r="J175" s="77" t="str">
        <x:f>IF(A175="","",IF(I175="기타/불명","확인 필요","결의서명으로 1차 확인"))</x:f>
      </x:c>
      <x:c r="K175" s="78"/>
    </x:row>
    <x:row r="176">
      <x:c r="A176" s="73"/>
      <x:c r="B176" s="73"/>
      <x:c r="C176" s="74"/>
      <x:c r="D176" s="73"/>
      <x:c r="E176" s="73"/>
      <x:c r="F176" s="75"/>
      <x:c r="G176" s="75"/>
      <x:c r="H176" s="76" t="str">
        <x:f>IF(A176="","",F176-G176)</x:f>
      </x:c>
      <x:c r="I176" s="77" t="str">
        <x:f>IF(A176="","",IF(E176="","기타/불명",IF(IFERROR(SEARCH("급여",E176),0)&gt;0,"인건비",IF(IFERROR(SEARCH("임차",E176),0)&gt;0,"임차·시설",IF(IFERROR(SEARCH("광고",E176),0)&gt;0,"광고·행사",IF(IFERROR(SEARCH("용역",E176),0)&gt;0,"용역·수수료","기타/불명"))))))</x:f>
      </x:c>
      <x:c r="J176" s="77" t="str">
        <x:f>IF(A176="","",IF(I176="기타/불명","확인 필요","결의서명으로 1차 확인"))</x:f>
      </x:c>
      <x:c r="K176" s="78"/>
    </x:row>
    <x:row r="177">
      <x:c r="A177" s="73"/>
      <x:c r="B177" s="73"/>
      <x:c r="C177" s="74"/>
      <x:c r="D177" s="73"/>
      <x:c r="E177" s="73"/>
      <x:c r="F177" s="75"/>
      <x:c r="G177" s="75"/>
      <x:c r="H177" s="76" t="str">
        <x:f>IF(A177="","",F177-G177)</x:f>
      </x:c>
      <x:c r="I177" s="77" t="str">
        <x:f>IF(A177="","",IF(E177="","기타/불명",IF(IFERROR(SEARCH("급여",E177),0)&gt;0,"인건비",IF(IFERROR(SEARCH("임차",E177),0)&gt;0,"임차·시설",IF(IFERROR(SEARCH("광고",E177),0)&gt;0,"광고·행사",IF(IFERROR(SEARCH("용역",E177),0)&gt;0,"용역·수수료","기타/불명"))))))</x:f>
      </x:c>
      <x:c r="J177" s="77" t="str">
        <x:f>IF(A177="","",IF(I177="기타/불명","확인 필요","결의서명으로 1차 확인"))</x:f>
      </x:c>
      <x:c r="K177" s="78"/>
    </x:row>
    <x:row r="178">
      <x:c r="A178" s="73"/>
      <x:c r="B178" s="73"/>
      <x:c r="C178" s="74"/>
      <x:c r="D178" s="73"/>
      <x:c r="E178" s="73"/>
      <x:c r="F178" s="75"/>
      <x:c r="G178" s="75"/>
      <x:c r="H178" s="76" t="str">
        <x:f>IF(A178="","",F178-G178)</x:f>
      </x:c>
      <x:c r="I178" s="77" t="str">
        <x:f>IF(A178="","",IF(E178="","기타/불명",IF(IFERROR(SEARCH("급여",E178),0)&gt;0,"인건비",IF(IFERROR(SEARCH("임차",E178),0)&gt;0,"임차·시설",IF(IFERROR(SEARCH("광고",E178),0)&gt;0,"광고·행사",IF(IFERROR(SEARCH("용역",E178),0)&gt;0,"용역·수수료","기타/불명"))))))</x:f>
      </x:c>
      <x:c r="J178" s="77" t="str">
        <x:f>IF(A178="","",IF(I178="기타/불명","확인 필요","결의서명으로 1차 확인"))</x:f>
      </x:c>
      <x:c r="K178" s="78"/>
    </x:row>
    <x:row r="179">
      <x:c r="A179" s="73"/>
      <x:c r="B179" s="73"/>
      <x:c r="C179" s="74"/>
      <x:c r="D179" s="73"/>
      <x:c r="E179" s="73"/>
      <x:c r="F179" s="75"/>
      <x:c r="G179" s="75"/>
      <x:c r="H179" s="76" t="str">
        <x:f>IF(A179="","",F179-G179)</x:f>
      </x:c>
      <x:c r="I179" s="77" t="str">
        <x:f>IF(A179="","",IF(E179="","기타/불명",IF(IFERROR(SEARCH("급여",E179),0)&gt;0,"인건비",IF(IFERROR(SEARCH("임차",E179),0)&gt;0,"임차·시설",IF(IFERROR(SEARCH("광고",E179),0)&gt;0,"광고·행사",IF(IFERROR(SEARCH("용역",E179),0)&gt;0,"용역·수수료","기타/불명"))))))</x:f>
      </x:c>
      <x:c r="J179" s="77" t="str">
        <x:f>IF(A179="","",IF(I179="기타/불명","확인 필요","결의서명으로 1차 확인"))</x:f>
      </x:c>
      <x:c r="K179" s="78"/>
    </x:row>
    <x:row r="180">
      <x:c r="A180" s="73"/>
      <x:c r="B180" s="73"/>
      <x:c r="C180" s="74"/>
      <x:c r="D180" s="73"/>
      <x:c r="E180" s="73"/>
      <x:c r="F180" s="75"/>
      <x:c r="G180" s="75"/>
      <x:c r="H180" s="76" t="str">
        <x:f>IF(A180="","",F180-G180)</x:f>
      </x:c>
      <x:c r="I180" s="77" t="str">
        <x:f>IF(A180="","",IF(E180="","기타/불명",IF(IFERROR(SEARCH("급여",E180),0)&gt;0,"인건비",IF(IFERROR(SEARCH("임차",E180),0)&gt;0,"임차·시설",IF(IFERROR(SEARCH("광고",E180),0)&gt;0,"광고·행사",IF(IFERROR(SEARCH("용역",E180),0)&gt;0,"용역·수수료","기타/불명"))))))</x:f>
      </x:c>
      <x:c r="J180" s="77" t="str">
        <x:f>IF(A180="","",IF(I180="기타/불명","확인 필요","결의서명으로 1차 확인"))</x:f>
      </x:c>
      <x:c r="K180" s="78"/>
    </x:row>
    <x:row r="181">
      <x:c r="A181" s="73"/>
      <x:c r="B181" s="73"/>
      <x:c r="C181" s="74"/>
      <x:c r="D181" s="73"/>
      <x:c r="E181" s="73"/>
      <x:c r="F181" s="75"/>
      <x:c r="G181" s="75"/>
      <x:c r="H181" s="76" t="str">
        <x:f>IF(A181="","",F181-G181)</x:f>
      </x:c>
      <x:c r="I181" s="77" t="str">
        <x:f>IF(A181="","",IF(E181="","기타/불명",IF(IFERROR(SEARCH("급여",E181),0)&gt;0,"인건비",IF(IFERROR(SEARCH("임차",E181),0)&gt;0,"임차·시설",IF(IFERROR(SEARCH("광고",E181),0)&gt;0,"광고·행사",IF(IFERROR(SEARCH("용역",E181),0)&gt;0,"용역·수수료","기타/불명"))))))</x:f>
      </x:c>
      <x:c r="J181" s="77" t="str">
        <x:f>IF(A181="","",IF(I181="기타/불명","확인 필요","결의서명으로 1차 확인"))</x:f>
      </x:c>
      <x:c r="K181" s="78"/>
    </x:row>
    <x:row r="182">
      <x:c r="A182" s="73"/>
      <x:c r="B182" s="73"/>
      <x:c r="C182" s="74"/>
      <x:c r="D182" s="73"/>
      <x:c r="E182" s="73"/>
      <x:c r="F182" s="75"/>
      <x:c r="G182" s="75"/>
      <x:c r="H182" s="76" t="str">
        <x:f>IF(A182="","",F182-G182)</x:f>
      </x:c>
      <x:c r="I182" s="77" t="str">
        <x:f>IF(A182="","",IF(E182="","기타/불명",IF(IFERROR(SEARCH("급여",E182),0)&gt;0,"인건비",IF(IFERROR(SEARCH("임차",E182),0)&gt;0,"임차·시설",IF(IFERROR(SEARCH("광고",E182),0)&gt;0,"광고·행사",IF(IFERROR(SEARCH("용역",E182),0)&gt;0,"용역·수수료","기타/불명"))))))</x:f>
      </x:c>
      <x:c r="J182" s="77" t="str">
        <x:f>IF(A182="","",IF(I182="기타/불명","확인 필요","결의서명으로 1차 확인"))</x:f>
      </x:c>
      <x:c r="K182" s="78"/>
    </x:row>
    <x:row r="183">
      <x:c r="A183" s="73"/>
      <x:c r="B183" s="73"/>
      <x:c r="C183" s="74"/>
      <x:c r="D183" s="73"/>
      <x:c r="E183" s="73"/>
      <x:c r="F183" s="75"/>
      <x:c r="G183" s="75"/>
      <x:c r="H183" s="76" t="str">
        <x:f>IF(A183="","",F183-G183)</x:f>
      </x:c>
      <x:c r="I183" s="77" t="str">
        <x:f>IF(A183="","",IF(E183="","기타/불명",IF(IFERROR(SEARCH("급여",E183),0)&gt;0,"인건비",IF(IFERROR(SEARCH("임차",E183),0)&gt;0,"임차·시설",IF(IFERROR(SEARCH("광고",E183),0)&gt;0,"광고·행사",IF(IFERROR(SEARCH("용역",E183),0)&gt;0,"용역·수수료","기타/불명"))))))</x:f>
      </x:c>
      <x:c r="J183" s="77" t="str">
        <x:f>IF(A183="","",IF(I183="기타/불명","확인 필요","결의서명으로 1차 확인"))</x:f>
      </x:c>
      <x:c r="K183" s="78"/>
    </x:row>
    <x:row r="184">
      <x:c r="A184" s="73"/>
      <x:c r="B184" s="73"/>
      <x:c r="C184" s="74"/>
      <x:c r="D184" s="73"/>
      <x:c r="E184" s="73"/>
      <x:c r="F184" s="75"/>
      <x:c r="G184" s="75"/>
      <x:c r="H184" s="76" t="str">
        <x:f>IF(A184="","",F184-G184)</x:f>
      </x:c>
      <x:c r="I184" s="77" t="str">
        <x:f>IF(A184="","",IF(E184="","기타/불명",IF(IFERROR(SEARCH("급여",E184),0)&gt;0,"인건비",IF(IFERROR(SEARCH("임차",E184),0)&gt;0,"임차·시설",IF(IFERROR(SEARCH("광고",E184),0)&gt;0,"광고·행사",IF(IFERROR(SEARCH("용역",E184),0)&gt;0,"용역·수수료","기타/불명"))))))</x:f>
      </x:c>
      <x:c r="J184" s="77" t="str">
        <x:f>IF(A184="","",IF(I184="기타/불명","확인 필요","결의서명으로 1차 확인"))</x:f>
      </x:c>
      <x:c r="K184" s="78"/>
    </x:row>
    <x:row r="185">
      <x:c r="A185" s="73"/>
      <x:c r="B185" s="73"/>
      <x:c r="C185" s="74"/>
      <x:c r="D185" s="73"/>
      <x:c r="E185" s="73"/>
      <x:c r="F185" s="75"/>
      <x:c r="G185" s="75"/>
      <x:c r="H185" s="76" t="str">
        <x:f>IF(A185="","",F185-G185)</x:f>
      </x:c>
      <x:c r="I185" s="77" t="str">
        <x:f>IF(A185="","",IF(E185="","기타/불명",IF(IFERROR(SEARCH("급여",E185),0)&gt;0,"인건비",IF(IFERROR(SEARCH("임차",E185),0)&gt;0,"임차·시설",IF(IFERROR(SEARCH("광고",E185),0)&gt;0,"광고·행사",IF(IFERROR(SEARCH("용역",E185),0)&gt;0,"용역·수수료","기타/불명"))))))</x:f>
      </x:c>
      <x:c r="J185" s="77" t="str">
        <x:f>IF(A185="","",IF(I185="기타/불명","확인 필요","결의서명으로 1차 확인"))</x:f>
      </x:c>
      <x:c r="K185" s="78"/>
    </x:row>
    <x:row r="186">
      <x:c r="A186" s="73"/>
      <x:c r="B186" s="73"/>
      <x:c r="C186" s="74"/>
      <x:c r="D186" s="73"/>
      <x:c r="E186" s="73"/>
      <x:c r="F186" s="75"/>
      <x:c r="G186" s="75"/>
      <x:c r="H186" s="76" t="str">
        <x:f>IF(A186="","",F186-G186)</x:f>
      </x:c>
      <x:c r="I186" s="77" t="str">
        <x:f>IF(A186="","",IF(E186="","기타/불명",IF(IFERROR(SEARCH("급여",E186),0)&gt;0,"인건비",IF(IFERROR(SEARCH("임차",E186),0)&gt;0,"임차·시설",IF(IFERROR(SEARCH("광고",E186),0)&gt;0,"광고·행사",IF(IFERROR(SEARCH("용역",E186),0)&gt;0,"용역·수수료","기타/불명"))))))</x:f>
      </x:c>
      <x:c r="J186" s="77" t="str">
        <x:f>IF(A186="","",IF(I186="기타/불명","확인 필요","결의서명으로 1차 확인"))</x:f>
      </x:c>
      <x:c r="K186" s="78"/>
    </x:row>
    <x:row r="187">
      <x:c r="A187" s="73"/>
      <x:c r="B187" s="73"/>
      <x:c r="C187" s="74"/>
      <x:c r="D187" s="73"/>
      <x:c r="E187" s="73"/>
      <x:c r="F187" s="75"/>
      <x:c r="G187" s="75"/>
      <x:c r="H187" s="76" t="str">
        <x:f>IF(A187="","",F187-G187)</x:f>
      </x:c>
      <x:c r="I187" s="77" t="str">
        <x:f>IF(A187="","",IF(E187="","기타/불명",IF(IFERROR(SEARCH("급여",E187),0)&gt;0,"인건비",IF(IFERROR(SEARCH("임차",E187),0)&gt;0,"임차·시설",IF(IFERROR(SEARCH("광고",E187),0)&gt;0,"광고·행사",IF(IFERROR(SEARCH("용역",E187),0)&gt;0,"용역·수수료","기타/불명"))))))</x:f>
      </x:c>
      <x:c r="J187" s="77" t="str">
        <x:f>IF(A187="","",IF(I187="기타/불명","확인 필요","결의서명으로 1차 확인"))</x:f>
      </x:c>
      <x:c r="K187" s="78"/>
    </x:row>
    <x:row r="188">
      <x:c r="A188" s="73"/>
      <x:c r="B188" s="73"/>
      <x:c r="C188" s="74"/>
      <x:c r="D188" s="73"/>
      <x:c r="E188" s="73"/>
      <x:c r="F188" s="75"/>
      <x:c r="G188" s="75"/>
      <x:c r="H188" s="76" t="str">
        <x:f>IF(A188="","",F188-G188)</x:f>
      </x:c>
      <x:c r="I188" s="77" t="str">
        <x:f>IF(A188="","",IF(E188="","기타/불명",IF(IFERROR(SEARCH("급여",E188),0)&gt;0,"인건비",IF(IFERROR(SEARCH("임차",E188),0)&gt;0,"임차·시설",IF(IFERROR(SEARCH("광고",E188),0)&gt;0,"광고·행사",IF(IFERROR(SEARCH("용역",E188),0)&gt;0,"용역·수수료","기타/불명"))))))</x:f>
      </x:c>
      <x:c r="J188" s="77" t="str">
        <x:f>IF(A188="","",IF(I188="기타/불명","확인 필요","결의서명으로 1차 확인"))</x:f>
      </x:c>
      <x:c r="K188" s="78"/>
    </x:row>
    <x:row r="189">
      <x:c r="A189" s="73"/>
      <x:c r="B189" s="73"/>
      <x:c r="C189" s="74"/>
      <x:c r="D189" s="73"/>
      <x:c r="E189" s="73"/>
      <x:c r="F189" s="75"/>
      <x:c r="G189" s="75"/>
      <x:c r="H189" s="76" t="str">
        <x:f>IF(A189="","",F189-G189)</x:f>
      </x:c>
      <x:c r="I189" s="77" t="str">
        <x:f>IF(A189="","",IF(E189="","기타/불명",IF(IFERROR(SEARCH("급여",E189),0)&gt;0,"인건비",IF(IFERROR(SEARCH("임차",E189),0)&gt;0,"임차·시설",IF(IFERROR(SEARCH("광고",E189),0)&gt;0,"광고·행사",IF(IFERROR(SEARCH("용역",E189),0)&gt;0,"용역·수수료","기타/불명"))))))</x:f>
      </x:c>
      <x:c r="J189" s="77" t="str">
        <x:f>IF(A189="","",IF(I189="기타/불명","확인 필요","결의서명으로 1차 확인"))</x:f>
      </x:c>
      <x:c r="K189" s="78"/>
    </x:row>
    <x:row r="190">
      <x:c r="A190" s="73"/>
      <x:c r="B190" s="73"/>
      <x:c r="C190" s="74"/>
      <x:c r="D190" s="73"/>
      <x:c r="E190" s="73"/>
      <x:c r="F190" s="75"/>
      <x:c r="G190" s="75"/>
      <x:c r="H190" s="76" t="str">
        <x:f>IF(A190="","",F190-G190)</x:f>
      </x:c>
      <x:c r="I190" s="77" t="str">
        <x:f>IF(A190="","",IF(E190="","기타/불명",IF(IFERROR(SEARCH("급여",E190),0)&gt;0,"인건비",IF(IFERROR(SEARCH("임차",E190),0)&gt;0,"임차·시설",IF(IFERROR(SEARCH("광고",E190),0)&gt;0,"광고·행사",IF(IFERROR(SEARCH("용역",E190),0)&gt;0,"용역·수수료","기타/불명"))))))</x:f>
      </x:c>
      <x:c r="J190" s="77" t="str">
        <x:f>IF(A190="","",IF(I190="기타/불명","확인 필요","결의서명으로 1차 확인"))</x:f>
      </x:c>
      <x:c r="K190" s="78"/>
    </x:row>
    <x:row r="191">
      <x:c r="A191" s="73"/>
      <x:c r="B191" s="73"/>
      <x:c r="C191" s="74"/>
      <x:c r="D191" s="73"/>
      <x:c r="E191" s="73"/>
      <x:c r="F191" s="75"/>
      <x:c r="G191" s="75"/>
      <x:c r="H191" s="76" t="str">
        <x:f>IF(A191="","",F191-G191)</x:f>
      </x:c>
      <x:c r="I191" s="77" t="str">
        <x:f>IF(A191="","",IF(E191="","기타/불명",IF(IFERROR(SEARCH("급여",E191),0)&gt;0,"인건비",IF(IFERROR(SEARCH("임차",E191),0)&gt;0,"임차·시설",IF(IFERROR(SEARCH("광고",E191),0)&gt;0,"광고·행사",IF(IFERROR(SEARCH("용역",E191),0)&gt;0,"용역·수수료","기타/불명"))))))</x:f>
      </x:c>
      <x:c r="J191" s="77" t="str">
        <x:f>IF(A191="","",IF(I191="기타/불명","확인 필요","결의서명으로 1차 확인"))</x:f>
      </x:c>
      <x:c r="K191" s="78"/>
    </x:row>
    <x:row r="192">
      <x:c r="A192" s="73"/>
      <x:c r="B192" s="73"/>
      <x:c r="C192" s="74"/>
      <x:c r="D192" s="73"/>
      <x:c r="E192" s="73"/>
      <x:c r="F192" s="75"/>
      <x:c r="G192" s="75"/>
      <x:c r="H192" s="76" t="str">
        <x:f>IF(A192="","",F192-G192)</x:f>
      </x:c>
      <x:c r="I192" s="77" t="str">
        <x:f>IF(A192="","",IF(E192="","기타/불명",IF(IFERROR(SEARCH("급여",E192),0)&gt;0,"인건비",IF(IFERROR(SEARCH("임차",E192),0)&gt;0,"임차·시설",IF(IFERROR(SEARCH("광고",E192),0)&gt;0,"광고·행사",IF(IFERROR(SEARCH("용역",E192),0)&gt;0,"용역·수수료","기타/불명"))))))</x:f>
      </x:c>
      <x:c r="J192" s="77" t="str">
        <x:f>IF(A192="","",IF(I192="기타/불명","확인 필요","결의서명으로 1차 확인"))</x:f>
      </x:c>
      <x:c r="K192" s="78"/>
    </x:row>
    <x:row r="193">
      <x:c r="A193" s="73"/>
      <x:c r="B193" s="73"/>
      <x:c r="C193" s="74"/>
      <x:c r="D193" s="73"/>
      <x:c r="E193" s="73"/>
      <x:c r="F193" s="75"/>
      <x:c r="G193" s="75"/>
      <x:c r="H193" s="76" t="str">
        <x:f>IF(A193="","",F193-G193)</x:f>
      </x:c>
      <x:c r="I193" s="77" t="str">
        <x:f>IF(A193="","",IF(E193="","기타/불명",IF(IFERROR(SEARCH("급여",E193),0)&gt;0,"인건비",IF(IFERROR(SEARCH("임차",E193),0)&gt;0,"임차·시설",IF(IFERROR(SEARCH("광고",E193),0)&gt;0,"광고·행사",IF(IFERROR(SEARCH("용역",E193),0)&gt;0,"용역·수수료","기타/불명"))))))</x:f>
      </x:c>
      <x:c r="J193" s="77" t="str">
        <x:f>IF(A193="","",IF(I193="기타/불명","확인 필요","결의서명으로 1차 확인"))</x:f>
      </x:c>
      <x:c r="K193" s="78"/>
    </x:row>
    <x:row r="194">
      <x:c r="A194" s="73"/>
      <x:c r="B194" s="73"/>
      <x:c r="C194" s="74"/>
      <x:c r="D194" s="73"/>
      <x:c r="E194" s="73"/>
      <x:c r="F194" s="75"/>
      <x:c r="G194" s="75"/>
      <x:c r="H194" s="76" t="str">
        <x:f>IF(A194="","",F194-G194)</x:f>
      </x:c>
      <x:c r="I194" s="77" t="str">
        <x:f>IF(A194="","",IF(E194="","기타/불명",IF(IFERROR(SEARCH("급여",E194),0)&gt;0,"인건비",IF(IFERROR(SEARCH("임차",E194),0)&gt;0,"임차·시설",IF(IFERROR(SEARCH("광고",E194),0)&gt;0,"광고·행사",IF(IFERROR(SEARCH("용역",E194),0)&gt;0,"용역·수수료","기타/불명"))))))</x:f>
      </x:c>
      <x:c r="J194" s="77" t="str">
        <x:f>IF(A194="","",IF(I194="기타/불명","확인 필요","결의서명으로 1차 확인"))</x:f>
      </x:c>
      <x:c r="K194" s="78"/>
    </x:row>
    <x:row r="195">
      <x:c r="A195" s="73"/>
      <x:c r="B195" s="73"/>
      <x:c r="C195" s="74"/>
      <x:c r="D195" s="73"/>
      <x:c r="E195" s="73"/>
      <x:c r="F195" s="75"/>
      <x:c r="G195" s="75"/>
      <x:c r="H195" s="76" t="str">
        <x:f>IF(A195="","",F195-G195)</x:f>
      </x:c>
      <x:c r="I195" s="77" t="str">
        <x:f>IF(A195="","",IF(E195="","기타/불명",IF(IFERROR(SEARCH("급여",E195),0)&gt;0,"인건비",IF(IFERROR(SEARCH("임차",E195),0)&gt;0,"임차·시설",IF(IFERROR(SEARCH("광고",E195),0)&gt;0,"광고·행사",IF(IFERROR(SEARCH("용역",E195),0)&gt;0,"용역·수수료","기타/불명"))))))</x:f>
      </x:c>
      <x:c r="J195" s="77" t="str">
        <x:f>IF(A195="","",IF(I195="기타/불명","확인 필요","결의서명으로 1차 확인"))</x:f>
      </x:c>
      <x:c r="K195" s="78"/>
    </x:row>
    <x:row r="196">
      <x:c r="A196" s="73"/>
      <x:c r="B196" s="73"/>
      <x:c r="C196" s="74"/>
      <x:c r="D196" s="73"/>
      <x:c r="E196" s="73"/>
      <x:c r="F196" s="75"/>
      <x:c r="G196" s="75"/>
      <x:c r="H196" s="76" t="str">
        <x:f>IF(A196="","",F196-G196)</x:f>
      </x:c>
      <x:c r="I196" s="77" t="str">
        <x:f>IF(A196="","",IF(E196="","기타/불명",IF(IFERROR(SEARCH("급여",E196),0)&gt;0,"인건비",IF(IFERROR(SEARCH("임차",E196),0)&gt;0,"임차·시설",IF(IFERROR(SEARCH("광고",E196),0)&gt;0,"광고·행사",IF(IFERROR(SEARCH("용역",E196),0)&gt;0,"용역·수수료","기타/불명"))))))</x:f>
      </x:c>
      <x:c r="J196" s="77" t="str">
        <x:f>IF(A196="","",IF(I196="기타/불명","확인 필요","결의서명으로 1차 확인"))</x:f>
      </x:c>
      <x:c r="K196" s="78"/>
    </x:row>
    <x:row r="197">
      <x:c r="A197" s="73"/>
      <x:c r="B197" s="73"/>
      <x:c r="C197" s="74"/>
      <x:c r="D197" s="73"/>
      <x:c r="E197" s="73"/>
      <x:c r="F197" s="75"/>
      <x:c r="G197" s="75"/>
      <x:c r="H197" s="76" t="str">
        <x:f>IF(A197="","",F197-G197)</x:f>
      </x:c>
      <x:c r="I197" s="77" t="str">
        <x:f>IF(A197="","",IF(E197="","기타/불명",IF(IFERROR(SEARCH("급여",E197),0)&gt;0,"인건비",IF(IFERROR(SEARCH("임차",E197),0)&gt;0,"임차·시설",IF(IFERROR(SEARCH("광고",E197),0)&gt;0,"광고·행사",IF(IFERROR(SEARCH("용역",E197),0)&gt;0,"용역·수수료","기타/불명"))))))</x:f>
      </x:c>
      <x:c r="J197" s="77" t="str">
        <x:f>IF(A197="","",IF(I197="기타/불명","확인 필요","결의서명으로 1차 확인"))</x:f>
      </x:c>
      <x:c r="K197" s="78"/>
    </x:row>
    <x:row r="198">
      <x:c r="A198" s="73"/>
      <x:c r="B198" s="73"/>
      <x:c r="C198" s="74"/>
      <x:c r="D198" s="73"/>
      <x:c r="E198" s="73"/>
      <x:c r="F198" s="75"/>
      <x:c r="G198" s="75"/>
      <x:c r="H198" s="76" t="str">
        <x:f>IF(A198="","",F198-G198)</x:f>
      </x:c>
      <x:c r="I198" s="77" t="str">
        <x:f>IF(A198="","",IF(E198="","기타/불명",IF(IFERROR(SEARCH("급여",E198),0)&gt;0,"인건비",IF(IFERROR(SEARCH("임차",E198),0)&gt;0,"임차·시설",IF(IFERROR(SEARCH("광고",E198),0)&gt;0,"광고·행사",IF(IFERROR(SEARCH("용역",E198),0)&gt;0,"용역·수수료","기타/불명"))))))</x:f>
      </x:c>
      <x:c r="J198" s="77" t="str">
        <x:f>IF(A198="","",IF(I198="기타/불명","확인 필요","결의서명으로 1차 확인"))</x:f>
      </x:c>
      <x:c r="K198" s="78"/>
    </x:row>
    <x:row r="199">
      <x:c r="A199" s="73"/>
      <x:c r="B199" s="73"/>
      <x:c r="C199" s="74"/>
      <x:c r="D199" s="73"/>
      <x:c r="E199" s="73"/>
      <x:c r="F199" s="75"/>
      <x:c r="G199" s="75"/>
      <x:c r="H199" s="76" t="str">
        <x:f>IF(A199="","",F199-G199)</x:f>
      </x:c>
      <x:c r="I199" s="77" t="str">
        <x:f>IF(A199="","",IF(E199="","기타/불명",IF(IFERROR(SEARCH("급여",E199),0)&gt;0,"인건비",IF(IFERROR(SEARCH("임차",E199),0)&gt;0,"임차·시설",IF(IFERROR(SEARCH("광고",E199),0)&gt;0,"광고·행사",IF(IFERROR(SEARCH("용역",E199),0)&gt;0,"용역·수수료","기타/불명"))))))</x:f>
      </x:c>
      <x:c r="J199" s="77" t="str">
        <x:f>IF(A199="","",IF(I199="기타/불명","확인 필요","결의서명으로 1차 확인"))</x:f>
      </x:c>
      <x:c r="K199" s="78"/>
    </x:row>
    <x:row r="200">
      <x:c r="A200" s="73"/>
      <x:c r="B200" s="73"/>
      <x:c r="C200" s="74"/>
      <x:c r="D200" s="73"/>
      <x:c r="E200" s="73"/>
      <x:c r="F200" s="75"/>
      <x:c r="G200" s="75"/>
      <x:c r="H200" s="76" t="str">
        <x:f>IF(A200="","",F200-G200)</x:f>
      </x:c>
      <x:c r="I200" s="77" t="str">
        <x:f>IF(A200="","",IF(E200="","기타/불명",IF(IFERROR(SEARCH("급여",E200),0)&gt;0,"인건비",IF(IFERROR(SEARCH("임차",E200),0)&gt;0,"임차·시설",IF(IFERROR(SEARCH("광고",E200),0)&gt;0,"광고·행사",IF(IFERROR(SEARCH("용역",E200),0)&gt;0,"용역·수수료","기타/불명"))))))</x:f>
      </x:c>
      <x:c r="J200" s="77" t="str">
        <x:f>IF(A200="","",IF(I200="기타/불명","확인 필요","결의서명으로 1차 확인"))</x:f>
      </x:c>
      <x:c r="K200" s="78"/>
    </x:row>
    <x:row r="201">
      <x:c r="A201" s="73"/>
      <x:c r="B201" s="73"/>
      <x:c r="C201" s="74"/>
      <x:c r="D201" s="73"/>
      <x:c r="E201" s="73"/>
      <x:c r="F201" s="75"/>
      <x:c r="G201" s="75"/>
      <x:c r="H201" s="76" t="str">
        <x:f>IF(A201="","",F201-G201)</x:f>
      </x:c>
      <x:c r="I201" s="77" t="str">
        <x:f>IF(A201="","",IF(E201="","기타/불명",IF(IFERROR(SEARCH("급여",E201),0)&gt;0,"인건비",IF(IFERROR(SEARCH("임차",E201),0)&gt;0,"임차·시설",IF(IFERROR(SEARCH("광고",E201),0)&gt;0,"광고·행사",IF(IFERROR(SEARCH("용역",E201),0)&gt;0,"용역·수수료","기타/불명"))))))</x:f>
      </x:c>
      <x:c r="J201" s="77" t="str">
        <x:f>IF(A201="","",IF(I201="기타/불명","확인 필요","결의서명으로 1차 확인"))</x:f>
      </x:c>
      <x:c r="K201" s="78"/>
    </x:row>
    <x:row r="202">
      <x:c r="A202" s="73"/>
      <x:c r="B202" s="73"/>
      <x:c r="C202" s="74"/>
      <x:c r="D202" s="73"/>
      <x:c r="E202" s="73"/>
      <x:c r="F202" s="75"/>
      <x:c r="G202" s="75"/>
      <x:c r="H202" s="76" t="str">
        <x:f>IF(A202="","",F202-G202)</x:f>
      </x:c>
      <x:c r="I202" s="77" t="str">
        <x:f>IF(A202="","",IF(E202="","기타/불명",IF(IFERROR(SEARCH("급여",E202),0)&gt;0,"인건비",IF(IFERROR(SEARCH("임차",E202),0)&gt;0,"임차·시설",IF(IFERROR(SEARCH("광고",E202),0)&gt;0,"광고·행사",IF(IFERROR(SEARCH("용역",E202),0)&gt;0,"용역·수수료","기타/불명"))))))</x:f>
      </x:c>
      <x:c r="J202" s="77" t="str">
        <x:f>IF(A202="","",IF(I202="기타/불명","확인 필요","결의서명으로 1차 확인"))</x:f>
      </x:c>
      <x:c r="K202" s="78"/>
    </x:row>
    <x:row r="203">
      <x:c r="A203" s="73"/>
      <x:c r="B203" s="73"/>
      <x:c r="C203" s="74"/>
      <x:c r="D203" s="73"/>
      <x:c r="E203" s="73"/>
      <x:c r="F203" s="75"/>
      <x:c r="G203" s="75"/>
      <x:c r="H203" s="76" t="str">
        <x:f>IF(A203="","",F203-G203)</x:f>
      </x:c>
      <x:c r="I203" s="77" t="str">
        <x:f>IF(A203="","",IF(E203="","기타/불명",IF(IFERROR(SEARCH("급여",E203),0)&gt;0,"인건비",IF(IFERROR(SEARCH("임차",E203),0)&gt;0,"임차·시설",IF(IFERROR(SEARCH("광고",E203),0)&gt;0,"광고·행사",IF(IFERROR(SEARCH("용역",E203),0)&gt;0,"용역·수수료","기타/불명"))))))</x:f>
      </x:c>
      <x:c r="J203" s="77" t="str">
        <x:f>IF(A203="","",IF(I203="기타/불명","확인 필요","결의서명으로 1차 확인"))</x:f>
      </x:c>
      <x:c r="K203" s="78"/>
    </x:row>
    <x:row r="204">
      <x:c r="A204" s="73"/>
      <x:c r="B204" s="73"/>
      <x:c r="C204" s="74"/>
      <x:c r="D204" s="73"/>
      <x:c r="E204" s="73"/>
      <x:c r="F204" s="75"/>
      <x:c r="G204" s="75"/>
      <x:c r="H204" s="76" t="str">
        <x:f>IF(A204="","",F204-G204)</x:f>
      </x:c>
      <x:c r="I204" s="77" t="str">
        <x:f>IF(A204="","",IF(E204="","기타/불명",IF(IFERROR(SEARCH("급여",E204),0)&gt;0,"인건비",IF(IFERROR(SEARCH("임차",E204),0)&gt;0,"임차·시설",IF(IFERROR(SEARCH("광고",E204),0)&gt;0,"광고·행사",IF(IFERROR(SEARCH("용역",E204),0)&gt;0,"용역·수수료","기타/불명"))))))</x:f>
      </x:c>
      <x:c r="J204" s="77" t="str">
        <x:f>IF(A204="","",IF(I204="기타/불명","확인 필요","결의서명으로 1차 확인"))</x:f>
      </x:c>
      <x:c r="K204" s="78"/>
    </x:row>
    <x:row r="205">
      <x:c r="A205" s="73"/>
      <x:c r="B205" s="73"/>
      <x:c r="C205" s="74"/>
      <x:c r="D205" s="73"/>
      <x:c r="E205" s="73"/>
      <x:c r="F205" s="75"/>
      <x:c r="G205" s="75"/>
      <x:c r="H205" s="76" t="str">
        <x:f>IF(A205="","",F205-G205)</x:f>
      </x:c>
      <x:c r="I205" s="77" t="str">
        <x:f>IF(A205="","",IF(E205="","기타/불명",IF(IFERROR(SEARCH("급여",E205),0)&gt;0,"인건비",IF(IFERROR(SEARCH("임차",E205),0)&gt;0,"임차·시설",IF(IFERROR(SEARCH("광고",E205),0)&gt;0,"광고·행사",IF(IFERROR(SEARCH("용역",E205),0)&gt;0,"용역·수수료","기타/불명"))))))</x:f>
      </x:c>
      <x:c r="J205" s="77" t="str">
        <x:f>IF(A205="","",IF(I205="기타/불명","확인 필요","결의서명으로 1차 확인"))</x:f>
      </x:c>
      <x:c r="K205" s="78"/>
    </x:row>
    <x:row r="206">
      <x:c r="A206" s="73"/>
      <x:c r="B206" s="73"/>
      <x:c r="C206" s="74"/>
      <x:c r="D206" s="73"/>
      <x:c r="E206" s="73"/>
      <x:c r="F206" s="75"/>
      <x:c r="G206" s="75"/>
      <x:c r="H206" s="76" t="str">
        <x:f>IF(A206="","",F206-G206)</x:f>
      </x:c>
      <x:c r="I206" s="77" t="str">
        <x:f>IF(A206="","",IF(E206="","기타/불명",IF(IFERROR(SEARCH("급여",E206),0)&gt;0,"인건비",IF(IFERROR(SEARCH("임차",E206),0)&gt;0,"임차·시설",IF(IFERROR(SEARCH("광고",E206),0)&gt;0,"광고·행사",IF(IFERROR(SEARCH("용역",E206),0)&gt;0,"용역·수수료","기타/불명"))))))</x:f>
      </x:c>
      <x:c r="J206" s="77" t="str">
        <x:f>IF(A206="","",IF(I206="기타/불명","확인 필요","결의서명으로 1차 확인"))</x:f>
      </x:c>
      <x:c r="K206" s="78"/>
    </x:row>
    <x:row r="207">
      <x:c r="A207" s="73"/>
      <x:c r="B207" s="73"/>
      <x:c r="C207" s="74"/>
      <x:c r="D207" s="73"/>
      <x:c r="E207" s="73"/>
      <x:c r="F207" s="75"/>
      <x:c r="G207" s="75"/>
      <x:c r="H207" s="76" t="str">
        <x:f>IF(A207="","",F207-G207)</x:f>
      </x:c>
      <x:c r="I207" s="77" t="str">
        <x:f>IF(A207="","",IF(E207="","기타/불명",IF(IFERROR(SEARCH("급여",E207),0)&gt;0,"인건비",IF(IFERROR(SEARCH("임차",E207),0)&gt;0,"임차·시설",IF(IFERROR(SEARCH("광고",E207),0)&gt;0,"광고·행사",IF(IFERROR(SEARCH("용역",E207),0)&gt;0,"용역·수수료","기타/불명"))))))</x:f>
      </x:c>
      <x:c r="J207" s="77" t="str">
        <x:f>IF(A207="","",IF(I207="기타/불명","확인 필요","결의서명으로 1차 확인"))</x:f>
      </x:c>
      <x:c r="K207" s="78"/>
    </x:row>
    <x:row r="208">
      <x:c r="A208" s="73"/>
      <x:c r="B208" s="73"/>
      <x:c r="C208" s="74"/>
      <x:c r="D208" s="73"/>
      <x:c r="E208" s="73"/>
      <x:c r="F208" s="75"/>
      <x:c r="G208" s="75"/>
      <x:c r="H208" s="76" t="str">
        <x:f>IF(A208="","",F208-G208)</x:f>
      </x:c>
      <x:c r="I208" s="77" t="str">
        <x:f>IF(A208="","",IF(E208="","기타/불명",IF(IFERROR(SEARCH("급여",E208),0)&gt;0,"인건비",IF(IFERROR(SEARCH("임차",E208),0)&gt;0,"임차·시설",IF(IFERROR(SEARCH("광고",E208),0)&gt;0,"광고·행사",IF(IFERROR(SEARCH("용역",E208),0)&gt;0,"용역·수수료","기타/불명"))))))</x:f>
      </x:c>
      <x:c r="J208" s="77" t="str">
        <x:f>IF(A208="","",IF(I208="기타/불명","확인 필요","결의서명으로 1차 확인"))</x:f>
      </x:c>
      <x:c r="K208" s="78"/>
    </x:row>
    <x:row r="209">
      <x:c r="A209" s="73"/>
      <x:c r="B209" s="73"/>
      <x:c r="C209" s="74"/>
      <x:c r="D209" s="73"/>
      <x:c r="E209" s="73"/>
      <x:c r="F209" s="75"/>
      <x:c r="G209" s="75"/>
      <x:c r="H209" s="76" t="str">
        <x:f>IF(A209="","",F209-G209)</x:f>
      </x:c>
      <x:c r="I209" s="77" t="str">
        <x:f>IF(A209="","",IF(E209="","기타/불명",IF(IFERROR(SEARCH("급여",E209),0)&gt;0,"인건비",IF(IFERROR(SEARCH("임차",E209),0)&gt;0,"임차·시설",IF(IFERROR(SEARCH("광고",E209),0)&gt;0,"광고·행사",IF(IFERROR(SEARCH("용역",E209),0)&gt;0,"용역·수수료","기타/불명"))))))</x:f>
      </x:c>
      <x:c r="J209" s="77" t="str">
        <x:f>IF(A209="","",IF(I209="기타/불명","확인 필요","결의서명으로 1차 확인"))</x:f>
      </x:c>
      <x:c r="K209" s="78"/>
    </x:row>
    <x:row r="210">
      <x:c r="A210" s="73"/>
      <x:c r="B210" s="73"/>
      <x:c r="C210" s="74"/>
      <x:c r="D210" s="73"/>
      <x:c r="E210" s="73"/>
      <x:c r="F210" s="75"/>
      <x:c r="G210" s="75"/>
      <x:c r="H210" s="76" t="str">
        <x:f>IF(A210="","",F210-G210)</x:f>
      </x:c>
      <x:c r="I210" s="77" t="str">
        <x:f>IF(A210="","",IF(E210="","기타/불명",IF(IFERROR(SEARCH("급여",E210),0)&gt;0,"인건비",IF(IFERROR(SEARCH("임차",E210),0)&gt;0,"임차·시설",IF(IFERROR(SEARCH("광고",E210),0)&gt;0,"광고·행사",IF(IFERROR(SEARCH("용역",E210),0)&gt;0,"용역·수수료","기타/불명"))))))</x:f>
      </x:c>
      <x:c r="J210" s="77" t="str">
        <x:f>IF(A210="","",IF(I210="기타/불명","확인 필요","결의서명으로 1차 확인"))</x:f>
      </x:c>
      <x:c r="K210" s="78"/>
    </x:row>
    <x:row r="211">
      <x:c r="A211" s="73"/>
      <x:c r="B211" s="73"/>
      <x:c r="C211" s="74"/>
      <x:c r="D211" s="73"/>
      <x:c r="E211" s="73"/>
      <x:c r="F211" s="75"/>
      <x:c r="G211" s="75"/>
      <x:c r="H211" s="76" t="str">
        <x:f>IF(A211="","",F211-G211)</x:f>
      </x:c>
      <x:c r="I211" s="77" t="str">
        <x:f>IF(A211="","",IF(E211="","기타/불명",IF(IFERROR(SEARCH("급여",E211),0)&gt;0,"인건비",IF(IFERROR(SEARCH("임차",E211),0)&gt;0,"임차·시설",IF(IFERROR(SEARCH("광고",E211),0)&gt;0,"광고·행사",IF(IFERROR(SEARCH("용역",E211),0)&gt;0,"용역·수수료","기타/불명"))))))</x:f>
      </x:c>
      <x:c r="J211" s="77" t="str">
        <x:f>IF(A211="","",IF(I211="기타/불명","확인 필요","결의서명으로 1차 확인"))</x:f>
      </x:c>
      <x:c r="K211" s="78"/>
    </x:row>
    <x:row r="212">
      <x:c r="A212" s="73"/>
      <x:c r="B212" s="73"/>
      <x:c r="C212" s="74"/>
      <x:c r="D212" s="73"/>
      <x:c r="E212" s="73"/>
      <x:c r="F212" s="75"/>
      <x:c r="G212" s="75"/>
      <x:c r="H212" s="76" t="str">
        <x:f>IF(A212="","",F212-G212)</x:f>
      </x:c>
      <x:c r="I212" s="77" t="str">
        <x:f>IF(A212="","",IF(E212="","기타/불명",IF(IFERROR(SEARCH("급여",E212),0)&gt;0,"인건비",IF(IFERROR(SEARCH("임차",E212),0)&gt;0,"임차·시설",IF(IFERROR(SEARCH("광고",E212),0)&gt;0,"광고·행사",IF(IFERROR(SEARCH("용역",E212),0)&gt;0,"용역·수수료","기타/불명"))))))</x:f>
      </x:c>
      <x:c r="J212" s="77" t="str">
        <x:f>IF(A212="","",IF(I212="기타/불명","확인 필요","결의서명으로 1차 확인"))</x:f>
      </x:c>
      <x:c r="K212" s="78"/>
    </x:row>
    <x:row r="213">
      <x:c r="A213" s="73"/>
      <x:c r="B213" s="73"/>
      <x:c r="C213" s="74"/>
      <x:c r="D213" s="73"/>
      <x:c r="E213" s="73"/>
      <x:c r="F213" s="75"/>
      <x:c r="G213" s="75"/>
      <x:c r="H213" s="76" t="str">
        <x:f>IF(A213="","",F213-G213)</x:f>
      </x:c>
      <x:c r="I213" s="77" t="str">
        <x:f>IF(A213="","",IF(E213="","기타/불명",IF(IFERROR(SEARCH("급여",E213),0)&gt;0,"인건비",IF(IFERROR(SEARCH("임차",E213),0)&gt;0,"임차·시설",IF(IFERROR(SEARCH("광고",E213),0)&gt;0,"광고·행사",IF(IFERROR(SEARCH("용역",E213),0)&gt;0,"용역·수수료","기타/불명"))))))</x:f>
      </x:c>
      <x:c r="J213" s="77" t="str">
        <x:f>IF(A213="","",IF(I213="기타/불명","확인 필요","결의서명으로 1차 확인"))</x:f>
      </x:c>
      <x:c r="K213" s="78"/>
    </x:row>
    <x:row r="214">
      <x:c r="A214" s="73"/>
      <x:c r="B214" s="73"/>
      <x:c r="C214" s="74"/>
      <x:c r="D214" s="73"/>
      <x:c r="E214" s="73"/>
      <x:c r="F214" s="75"/>
      <x:c r="G214" s="75"/>
      <x:c r="H214" s="76" t="str">
        <x:f>IF(A214="","",F214-G214)</x:f>
      </x:c>
      <x:c r="I214" s="77" t="str">
        <x:f>IF(A214="","",IF(E214="","기타/불명",IF(IFERROR(SEARCH("급여",E214),0)&gt;0,"인건비",IF(IFERROR(SEARCH("임차",E214),0)&gt;0,"임차·시설",IF(IFERROR(SEARCH("광고",E214),0)&gt;0,"광고·행사",IF(IFERROR(SEARCH("용역",E214),0)&gt;0,"용역·수수료","기타/불명"))))))</x:f>
      </x:c>
      <x:c r="J214" s="77" t="str">
        <x:f>IF(A214="","",IF(I214="기타/불명","확인 필요","결의서명으로 1차 확인"))</x:f>
      </x:c>
      <x:c r="K214" s="78"/>
    </x:row>
    <x:row r="215">
      <x:c r="A215" s="73"/>
      <x:c r="B215" s="73"/>
      <x:c r="C215" s="74"/>
      <x:c r="D215" s="73"/>
      <x:c r="E215" s="73"/>
      <x:c r="F215" s="75"/>
      <x:c r="G215" s="75"/>
      <x:c r="H215" s="76" t="str">
        <x:f>IF(A215="","",F215-G215)</x:f>
      </x:c>
      <x:c r="I215" s="77" t="str">
        <x:f>IF(A215="","",IF(E215="","기타/불명",IF(IFERROR(SEARCH("급여",E215),0)&gt;0,"인건비",IF(IFERROR(SEARCH("임차",E215),0)&gt;0,"임차·시설",IF(IFERROR(SEARCH("광고",E215),0)&gt;0,"광고·행사",IF(IFERROR(SEARCH("용역",E215),0)&gt;0,"용역·수수료","기타/불명"))))))</x:f>
      </x:c>
      <x:c r="J215" s="77" t="str">
        <x:f>IF(A215="","",IF(I215="기타/불명","확인 필요","결의서명으로 1차 확인"))</x:f>
      </x:c>
      <x:c r="K215" s="78"/>
    </x:row>
    <x:row r="216">
      <x:c r="A216" s="73"/>
      <x:c r="B216" s="73"/>
      <x:c r="C216" s="74"/>
      <x:c r="D216" s="73"/>
      <x:c r="E216" s="73"/>
      <x:c r="F216" s="75"/>
      <x:c r="G216" s="75"/>
      <x:c r="H216" s="76" t="str">
        <x:f>IF(A216="","",F216-G216)</x:f>
      </x:c>
      <x:c r="I216" s="77" t="str">
        <x:f>IF(A216="","",IF(E216="","기타/불명",IF(IFERROR(SEARCH("급여",E216),0)&gt;0,"인건비",IF(IFERROR(SEARCH("임차",E216),0)&gt;0,"임차·시설",IF(IFERROR(SEARCH("광고",E216),0)&gt;0,"광고·행사",IF(IFERROR(SEARCH("용역",E216),0)&gt;0,"용역·수수료","기타/불명"))))))</x:f>
      </x:c>
      <x:c r="J216" s="77" t="str">
        <x:f>IF(A216="","",IF(I216="기타/불명","확인 필요","결의서명으로 1차 확인"))</x:f>
      </x:c>
      <x:c r="K216" s="78"/>
    </x:row>
    <x:row r="217">
      <x:c r="A217" s="73"/>
      <x:c r="B217" s="73"/>
      <x:c r="C217" s="74"/>
      <x:c r="D217" s="73"/>
      <x:c r="E217" s="73"/>
      <x:c r="F217" s="75"/>
      <x:c r="G217" s="75"/>
      <x:c r="H217" s="76" t="str">
        <x:f>IF(A217="","",F217-G217)</x:f>
      </x:c>
      <x:c r="I217" s="77" t="str">
        <x:f>IF(A217="","",IF(E217="","기타/불명",IF(IFERROR(SEARCH("급여",E217),0)&gt;0,"인건비",IF(IFERROR(SEARCH("임차",E217),0)&gt;0,"임차·시설",IF(IFERROR(SEARCH("광고",E217),0)&gt;0,"광고·행사",IF(IFERROR(SEARCH("용역",E217),0)&gt;0,"용역·수수료","기타/불명"))))))</x:f>
      </x:c>
      <x:c r="J217" s="77" t="str">
        <x:f>IF(A217="","",IF(I217="기타/불명","확인 필요","결의서명으로 1차 확인"))</x:f>
      </x:c>
      <x:c r="K217" s="78"/>
    </x:row>
    <x:row r="218">
      <x:c r="A218" s="73"/>
      <x:c r="B218" s="73"/>
      <x:c r="C218" s="74"/>
      <x:c r="D218" s="73"/>
      <x:c r="E218" s="73"/>
      <x:c r="F218" s="75"/>
      <x:c r="G218" s="75"/>
      <x:c r="H218" s="76" t="str">
        <x:f>IF(A218="","",F218-G218)</x:f>
      </x:c>
      <x:c r="I218" s="77" t="str">
        <x:f>IF(A218="","",IF(E218="","기타/불명",IF(IFERROR(SEARCH("급여",E218),0)&gt;0,"인건비",IF(IFERROR(SEARCH("임차",E218),0)&gt;0,"임차·시설",IF(IFERROR(SEARCH("광고",E218),0)&gt;0,"광고·행사",IF(IFERROR(SEARCH("용역",E218),0)&gt;0,"용역·수수료","기타/불명"))))))</x:f>
      </x:c>
      <x:c r="J218" s="77" t="str">
        <x:f>IF(A218="","",IF(I218="기타/불명","확인 필요","결의서명으로 1차 확인"))</x:f>
      </x:c>
      <x:c r="K218" s="78"/>
    </x:row>
    <x:row r="219">
      <x:c r="A219" s="73"/>
      <x:c r="B219" s="73"/>
      <x:c r="C219" s="74"/>
      <x:c r="D219" s="73"/>
      <x:c r="E219" s="73"/>
      <x:c r="F219" s="75"/>
      <x:c r="G219" s="75"/>
      <x:c r="H219" s="76" t="str">
        <x:f>IF(A219="","",F219-G219)</x:f>
      </x:c>
      <x:c r="I219" s="77" t="str">
        <x:f>IF(A219="","",IF(E219="","기타/불명",IF(IFERROR(SEARCH("급여",E219),0)&gt;0,"인건비",IF(IFERROR(SEARCH("임차",E219),0)&gt;0,"임차·시설",IF(IFERROR(SEARCH("광고",E219),0)&gt;0,"광고·행사",IF(IFERROR(SEARCH("용역",E219),0)&gt;0,"용역·수수료","기타/불명"))))))</x:f>
      </x:c>
      <x:c r="J219" s="77" t="str">
        <x:f>IF(A219="","",IF(I219="기타/불명","확인 필요","결의서명으로 1차 확인"))</x:f>
      </x:c>
      <x:c r="K219" s="78"/>
    </x:row>
    <x:row r="220">
      <x:c r="A220" s="73"/>
      <x:c r="B220" s="73"/>
      <x:c r="C220" s="74"/>
      <x:c r="D220" s="73"/>
      <x:c r="E220" s="73"/>
      <x:c r="F220" s="75"/>
      <x:c r="G220" s="75"/>
      <x:c r="H220" s="76" t="str">
        <x:f>IF(A220="","",F220-G220)</x:f>
      </x:c>
      <x:c r="I220" s="77" t="str">
        <x:f>IF(A220="","",IF(E220="","기타/불명",IF(IFERROR(SEARCH("급여",E220),0)&gt;0,"인건비",IF(IFERROR(SEARCH("임차",E220),0)&gt;0,"임차·시설",IF(IFERROR(SEARCH("광고",E220),0)&gt;0,"광고·행사",IF(IFERROR(SEARCH("용역",E220),0)&gt;0,"용역·수수료","기타/불명"))))))</x:f>
      </x:c>
      <x:c r="J220" s="77" t="str">
        <x:f>IF(A220="","",IF(I220="기타/불명","확인 필요","결의서명으로 1차 확인"))</x:f>
      </x:c>
      <x:c r="K220" s="78"/>
    </x:row>
    <x:row r="221">
      <x:c r="A221" s="73"/>
      <x:c r="B221" s="73"/>
      <x:c r="C221" s="74"/>
      <x:c r="D221" s="73"/>
      <x:c r="E221" s="73"/>
      <x:c r="F221" s="75"/>
      <x:c r="G221" s="75"/>
      <x:c r="H221" s="76" t="str">
        <x:f>IF(A221="","",F221-G221)</x:f>
      </x:c>
      <x:c r="I221" s="77" t="str">
        <x:f>IF(A221="","",IF(E221="","기타/불명",IF(IFERROR(SEARCH("급여",E221),0)&gt;0,"인건비",IF(IFERROR(SEARCH("임차",E221),0)&gt;0,"임차·시설",IF(IFERROR(SEARCH("광고",E221),0)&gt;0,"광고·행사",IF(IFERROR(SEARCH("용역",E221),0)&gt;0,"용역·수수료","기타/불명"))))))</x:f>
      </x:c>
      <x:c r="J221" s="77" t="str">
        <x:f>IF(A221="","",IF(I221="기타/불명","확인 필요","결의서명으로 1차 확인"))</x:f>
      </x:c>
      <x:c r="K221" s="78"/>
    </x:row>
    <x:row r="222">
      <x:c r="A222" s="73"/>
      <x:c r="B222" s="73"/>
      <x:c r="C222" s="74"/>
      <x:c r="D222" s="73"/>
      <x:c r="E222" s="73"/>
      <x:c r="F222" s="75"/>
      <x:c r="G222" s="75"/>
      <x:c r="H222" s="76" t="str">
        <x:f>IF(A222="","",F222-G222)</x:f>
      </x:c>
      <x:c r="I222" s="77" t="str">
        <x:f>IF(A222="","",IF(E222="","기타/불명",IF(IFERROR(SEARCH("급여",E222),0)&gt;0,"인건비",IF(IFERROR(SEARCH("임차",E222),0)&gt;0,"임차·시설",IF(IFERROR(SEARCH("광고",E222),0)&gt;0,"광고·행사",IF(IFERROR(SEARCH("용역",E222),0)&gt;0,"용역·수수료","기타/불명"))))))</x:f>
      </x:c>
      <x:c r="J222" s="77" t="str">
        <x:f>IF(A222="","",IF(I222="기타/불명","확인 필요","결의서명으로 1차 확인"))</x:f>
      </x:c>
      <x:c r="K222" s="78"/>
    </x:row>
    <x:row r="223">
      <x:c r="A223" s="73"/>
      <x:c r="B223" s="73"/>
      <x:c r="C223" s="74"/>
      <x:c r="D223" s="73"/>
      <x:c r="E223" s="73"/>
      <x:c r="F223" s="75"/>
      <x:c r="G223" s="75"/>
      <x:c r="H223" s="76" t="str">
        <x:f>IF(A223="","",F223-G223)</x:f>
      </x:c>
      <x:c r="I223" s="77" t="str">
        <x:f>IF(A223="","",IF(E223="","기타/불명",IF(IFERROR(SEARCH("급여",E223),0)&gt;0,"인건비",IF(IFERROR(SEARCH("임차",E223),0)&gt;0,"임차·시설",IF(IFERROR(SEARCH("광고",E223),0)&gt;0,"광고·행사",IF(IFERROR(SEARCH("용역",E223),0)&gt;0,"용역·수수료","기타/불명"))))))</x:f>
      </x:c>
      <x:c r="J223" s="77" t="str">
        <x:f>IF(A223="","",IF(I223="기타/불명","확인 필요","결의서명으로 1차 확인"))</x:f>
      </x:c>
      <x:c r="K223" s="78"/>
    </x:row>
    <x:row r="224">
      <x:c r="A224" s="73"/>
      <x:c r="B224" s="73"/>
      <x:c r="C224" s="74"/>
      <x:c r="D224" s="73"/>
      <x:c r="E224" s="73"/>
      <x:c r="F224" s="75"/>
      <x:c r="G224" s="75"/>
      <x:c r="H224" s="76" t="str">
        <x:f>IF(A224="","",F224-G224)</x:f>
      </x:c>
      <x:c r="I224" s="77" t="str">
        <x:f>IF(A224="","",IF(E224="","기타/불명",IF(IFERROR(SEARCH("급여",E224),0)&gt;0,"인건비",IF(IFERROR(SEARCH("임차",E224),0)&gt;0,"임차·시설",IF(IFERROR(SEARCH("광고",E224),0)&gt;0,"광고·행사",IF(IFERROR(SEARCH("용역",E224),0)&gt;0,"용역·수수료","기타/불명"))))))</x:f>
      </x:c>
      <x:c r="J224" s="77" t="str">
        <x:f>IF(A224="","",IF(I224="기타/불명","확인 필요","결의서명으로 1차 확인"))</x:f>
      </x:c>
      <x:c r="K224" s="78"/>
    </x:row>
    <x:row r="225">
      <x:c r="A225" s="73"/>
      <x:c r="B225" s="73"/>
      <x:c r="C225" s="74"/>
      <x:c r="D225" s="73"/>
      <x:c r="E225" s="73"/>
      <x:c r="F225" s="75"/>
      <x:c r="G225" s="75"/>
      <x:c r="H225" s="76" t="str">
        <x:f>IF(A225="","",F225-G225)</x:f>
      </x:c>
      <x:c r="I225" s="77" t="str">
        <x:f>IF(A225="","",IF(E225="","기타/불명",IF(IFERROR(SEARCH("급여",E225),0)&gt;0,"인건비",IF(IFERROR(SEARCH("임차",E225),0)&gt;0,"임차·시설",IF(IFERROR(SEARCH("광고",E225),0)&gt;0,"광고·행사",IF(IFERROR(SEARCH("용역",E225),0)&gt;0,"용역·수수료","기타/불명"))))))</x:f>
      </x:c>
      <x:c r="J225" s="77" t="str">
        <x:f>IF(A225="","",IF(I225="기타/불명","확인 필요","결의서명으로 1차 확인"))</x:f>
      </x:c>
      <x:c r="K225" s="78"/>
    </x:row>
    <x:row r="226">
      <x:c r="A226" s="73"/>
      <x:c r="B226" s="73"/>
      <x:c r="C226" s="74"/>
      <x:c r="D226" s="73"/>
      <x:c r="E226" s="73"/>
      <x:c r="F226" s="75"/>
      <x:c r="G226" s="75"/>
      <x:c r="H226" s="76" t="str">
        <x:f>IF(A226="","",F226-G226)</x:f>
      </x:c>
      <x:c r="I226" s="77" t="str">
        <x:f>IF(A226="","",IF(E226="","기타/불명",IF(IFERROR(SEARCH("급여",E226),0)&gt;0,"인건비",IF(IFERROR(SEARCH("임차",E226),0)&gt;0,"임차·시설",IF(IFERROR(SEARCH("광고",E226),0)&gt;0,"광고·행사",IF(IFERROR(SEARCH("용역",E226),0)&gt;0,"용역·수수료","기타/불명"))))))</x:f>
      </x:c>
      <x:c r="J226" s="77" t="str">
        <x:f>IF(A226="","",IF(I226="기타/불명","확인 필요","결의서명으로 1차 확인"))</x:f>
      </x:c>
      <x:c r="K226" s="78"/>
    </x:row>
    <x:row r="227">
      <x:c r="A227" s="73"/>
      <x:c r="B227" s="73"/>
      <x:c r="C227" s="74"/>
      <x:c r="D227" s="73"/>
      <x:c r="E227" s="73"/>
      <x:c r="F227" s="75"/>
      <x:c r="G227" s="75"/>
      <x:c r="H227" s="76" t="str">
        <x:f>IF(A227="","",F227-G227)</x:f>
      </x:c>
      <x:c r="I227" s="77" t="str">
        <x:f>IF(A227="","",IF(E227="","기타/불명",IF(IFERROR(SEARCH("급여",E227),0)&gt;0,"인건비",IF(IFERROR(SEARCH("임차",E227),0)&gt;0,"임차·시설",IF(IFERROR(SEARCH("광고",E227),0)&gt;0,"광고·행사",IF(IFERROR(SEARCH("용역",E227),0)&gt;0,"용역·수수료","기타/불명"))))))</x:f>
      </x:c>
      <x:c r="J227" s="77" t="str">
        <x:f>IF(A227="","",IF(I227="기타/불명","확인 필요","결의서명으로 1차 확인"))</x:f>
      </x:c>
      <x:c r="K227" s="78"/>
    </x:row>
    <x:row r="228">
      <x:c r="A228" s="73"/>
      <x:c r="B228" s="73"/>
      <x:c r="C228" s="74"/>
      <x:c r="D228" s="73"/>
      <x:c r="E228" s="73"/>
      <x:c r="F228" s="75"/>
      <x:c r="G228" s="75"/>
      <x:c r="H228" s="76" t="str">
        <x:f>IF(A228="","",F228-G228)</x:f>
      </x:c>
      <x:c r="I228" s="77" t="str">
        <x:f>IF(A228="","",IF(E228="","기타/불명",IF(IFERROR(SEARCH("급여",E228),0)&gt;0,"인건비",IF(IFERROR(SEARCH("임차",E228),0)&gt;0,"임차·시설",IF(IFERROR(SEARCH("광고",E228),0)&gt;0,"광고·행사",IF(IFERROR(SEARCH("용역",E228),0)&gt;0,"용역·수수료","기타/불명"))))))</x:f>
      </x:c>
      <x:c r="J228" s="77" t="str">
        <x:f>IF(A228="","",IF(I228="기타/불명","확인 필요","결의서명으로 1차 확인"))</x:f>
      </x:c>
      <x:c r="K228" s="78"/>
    </x:row>
    <x:row r="229">
      <x:c r="A229" s="73"/>
      <x:c r="B229" s="73"/>
      <x:c r="C229" s="74"/>
      <x:c r="D229" s="73"/>
      <x:c r="E229" s="73"/>
      <x:c r="F229" s="75"/>
      <x:c r="G229" s="75"/>
      <x:c r="H229" s="76" t="str">
        <x:f>IF(A229="","",F229-G229)</x:f>
      </x:c>
      <x:c r="I229" s="77" t="str">
        <x:f>IF(A229="","",IF(E229="","기타/불명",IF(IFERROR(SEARCH("급여",E229),0)&gt;0,"인건비",IF(IFERROR(SEARCH("임차",E229),0)&gt;0,"임차·시설",IF(IFERROR(SEARCH("광고",E229),0)&gt;0,"광고·행사",IF(IFERROR(SEARCH("용역",E229),0)&gt;0,"용역·수수료","기타/불명"))))))</x:f>
      </x:c>
      <x:c r="J229" s="77" t="str">
        <x:f>IF(A229="","",IF(I229="기타/불명","확인 필요","결의서명으로 1차 확인"))</x:f>
      </x:c>
      <x:c r="K229" s="78"/>
    </x:row>
    <x:row r="230">
      <x:c r="A230" s="73"/>
      <x:c r="B230" s="73"/>
      <x:c r="C230" s="74"/>
      <x:c r="D230" s="73"/>
      <x:c r="E230" s="73"/>
      <x:c r="F230" s="75"/>
      <x:c r="G230" s="75"/>
      <x:c r="H230" s="76" t="str">
        <x:f>IF(A230="","",F230-G230)</x:f>
      </x:c>
      <x:c r="I230" s="77" t="str">
        <x:f>IF(A230="","",IF(E230="","기타/불명",IF(IFERROR(SEARCH("급여",E230),0)&gt;0,"인건비",IF(IFERROR(SEARCH("임차",E230),0)&gt;0,"임차·시설",IF(IFERROR(SEARCH("광고",E230),0)&gt;0,"광고·행사",IF(IFERROR(SEARCH("용역",E230),0)&gt;0,"용역·수수료","기타/불명"))))))</x:f>
      </x:c>
      <x:c r="J230" s="77" t="str">
        <x:f>IF(A230="","",IF(I230="기타/불명","확인 필요","결의서명으로 1차 확인"))</x:f>
      </x:c>
      <x:c r="K230" s="78"/>
    </x:row>
    <x:row r="231">
      <x:c r="A231" s="73"/>
      <x:c r="B231" s="73"/>
      <x:c r="C231" s="74"/>
      <x:c r="D231" s="73"/>
      <x:c r="E231" s="73"/>
      <x:c r="F231" s="75"/>
      <x:c r="G231" s="75"/>
      <x:c r="H231" s="76" t="str">
        <x:f>IF(A231="","",F231-G231)</x:f>
      </x:c>
      <x:c r="I231" s="77" t="str">
        <x:f>IF(A231="","",IF(E231="","기타/불명",IF(IFERROR(SEARCH("급여",E231),0)&gt;0,"인건비",IF(IFERROR(SEARCH("임차",E231),0)&gt;0,"임차·시설",IF(IFERROR(SEARCH("광고",E231),0)&gt;0,"광고·행사",IF(IFERROR(SEARCH("용역",E231),0)&gt;0,"용역·수수료","기타/불명"))))))</x:f>
      </x:c>
      <x:c r="J231" s="77" t="str">
        <x:f>IF(A231="","",IF(I231="기타/불명","확인 필요","결의서명으로 1차 확인"))</x:f>
      </x:c>
      <x:c r="K231" s="78"/>
    </x:row>
    <x:row r="232">
      <x:c r="A232" s="73"/>
      <x:c r="B232" s="73"/>
      <x:c r="C232" s="74"/>
      <x:c r="D232" s="73"/>
      <x:c r="E232" s="73"/>
      <x:c r="F232" s="75"/>
      <x:c r="G232" s="75"/>
      <x:c r="H232" s="76" t="str">
        <x:f>IF(A232="","",F232-G232)</x:f>
      </x:c>
      <x:c r="I232" s="77" t="str">
        <x:f>IF(A232="","",IF(E232="","기타/불명",IF(IFERROR(SEARCH("급여",E232),0)&gt;0,"인건비",IF(IFERROR(SEARCH("임차",E232),0)&gt;0,"임차·시설",IF(IFERROR(SEARCH("광고",E232),0)&gt;0,"광고·행사",IF(IFERROR(SEARCH("용역",E232),0)&gt;0,"용역·수수료","기타/불명"))))))</x:f>
      </x:c>
      <x:c r="J232" s="77" t="str">
        <x:f>IF(A232="","",IF(I232="기타/불명","확인 필요","결의서명으로 1차 확인"))</x:f>
      </x:c>
      <x:c r="K232" s="78"/>
    </x:row>
    <x:row r="233">
      <x:c r="A233" s="73"/>
      <x:c r="B233" s="73"/>
      <x:c r="C233" s="74"/>
      <x:c r="D233" s="73"/>
      <x:c r="E233" s="73"/>
      <x:c r="F233" s="75"/>
      <x:c r="G233" s="75"/>
      <x:c r="H233" s="76" t="str">
        <x:f>IF(A233="","",F233-G233)</x:f>
      </x:c>
      <x:c r="I233" s="77" t="str">
        <x:f>IF(A233="","",IF(E233="","기타/불명",IF(IFERROR(SEARCH("급여",E233),0)&gt;0,"인건비",IF(IFERROR(SEARCH("임차",E233),0)&gt;0,"임차·시설",IF(IFERROR(SEARCH("광고",E233),0)&gt;0,"광고·행사",IF(IFERROR(SEARCH("용역",E233),0)&gt;0,"용역·수수료","기타/불명"))))))</x:f>
      </x:c>
      <x:c r="J233" s="77" t="str">
        <x:f>IF(A233="","",IF(I233="기타/불명","확인 필요","결의서명으로 1차 확인"))</x:f>
      </x:c>
      <x:c r="K233" s="78"/>
    </x:row>
    <x:row r="234">
      <x:c r="A234" s="73"/>
      <x:c r="B234" s="73"/>
      <x:c r="C234" s="74"/>
      <x:c r="D234" s="73"/>
      <x:c r="E234" s="73"/>
      <x:c r="F234" s="75"/>
      <x:c r="G234" s="75"/>
      <x:c r="H234" s="76" t="str">
        <x:f>IF(A234="","",F234-G234)</x:f>
      </x:c>
      <x:c r="I234" s="77" t="str">
        <x:f>IF(A234="","",IF(E234="","기타/불명",IF(IFERROR(SEARCH("급여",E234),0)&gt;0,"인건비",IF(IFERROR(SEARCH("임차",E234),0)&gt;0,"임차·시설",IF(IFERROR(SEARCH("광고",E234),0)&gt;0,"광고·행사",IF(IFERROR(SEARCH("용역",E234),0)&gt;0,"용역·수수료","기타/불명"))))))</x:f>
      </x:c>
      <x:c r="J234" s="77" t="str">
        <x:f>IF(A234="","",IF(I234="기타/불명","확인 필요","결의서명으로 1차 확인"))</x:f>
      </x:c>
      <x:c r="K234" s="78"/>
    </x:row>
    <x:row r="235">
      <x:c r="A235" s="73"/>
      <x:c r="B235" s="73"/>
      <x:c r="C235" s="74"/>
      <x:c r="D235" s="73"/>
      <x:c r="E235" s="73"/>
      <x:c r="F235" s="75"/>
      <x:c r="G235" s="75"/>
      <x:c r="H235" s="76" t="str">
        <x:f>IF(A235="","",F235-G235)</x:f>
      </x:c>
      <x:c r="I235" s="77" t="str">
        <x:f>IF(A235="","",IF(E235="","기타/불명",IF(IFERROR(SEARCH("급여",E235),0)&gt;0,"인건비",IF(IFERROR(SEARCH("임차",E235),0)&gt;0,"임차·시설",IF(IFERROR(SEARCH("광고",E235),0)&gt;0,"광고·행사",IF(IFERROR(SEARCH("용역",E235),0)&gt;0,"용역·수수료","기타/불명"))))))</x:f>
      </x:c>
      <x:c r="J235" s="77" t="str">
        <x:f>IF(A235="","",IF(I235="기타/불명","확인 필요","결의서명으로 1차 확인"))</x:f>
      </x:c>
      <x:c r="K235" s="78"/>
    </x:row>
    <x:row r="236">
      <x:c r="A236" s="73"/>
      <x:c r="B236" s="73"/>
      <x:c r="C236" s="74"/>
      <x:c r="D236" s="73"/>
      <x:c r="E236" s="73"/>
      <x:c r="F236" s="75"/>
      <x:c r="G236" s="75"/>
      <x:c r="H236" s="76" t="str">
        <x:f>IF(A236="","",F236-G236)</x:f>
      </x:c>
      <x:c r="I236" s="77" t="str">
        <x:f>IF(A236="","",IF(E236="","기타/불명",IF(IFERROR(SEARCH("급여",E236),0)&gt;0,"인건비",IF(IFERROR(SEARCH("임차",E236),0)&gt;0,"임차·시설",IF(IFERROR(SEARCH("광고",E236),0)&gt;0,"광고·행사",IF(IFERROR(SEARCH("용역",E236),0)&gt;0,"용역·수수료","기타/불명"))))))</x:f>
      </x:c>
      <x:c r="J236" s="77" t="str">
        <x:f>IF(A236="","",IF(I236="기타/불명","확인 필요","결의서명으로 1차 확인"))</x:f>
      </x:c>
      <x:c r="K236" s="78"/>
    </x:row>
    <x:row r="237">
      <x:c r="A237" s="73"/>
      <x:c r="B237" s="73"/>
      <x:c r="C237" s="74"/>
      <x:c r="D237" s="73"/>
      <x:c r="E237" s="73"/>
      <x:c r="F237" s="75"/>
      <x:c r="G237" s="75"/>
      <x:c r="H237" s="76" t="str">
        <x:f>IF(A237="","",F237-G237)</x:f>
      </x:c>
      <x:c r="I237" s="77" t="str">
        <x:f>IF(A237="","",IF(E237="","기타/불명",IF(IFERROR(SEARCH("급여",E237),0)&gt;0,"인건비",IF(IFERROR(SEARCH("임차",E237),0)&gt;0,"임차·시설",IF(IFERROR(SEARCH("광고",E237),0)&gt;0,"광고·행사",IF(IFERROR(SEARCH("용역",E237),0)&gt;0,"용역·수수료","기타/불명"))))))</x:f>
      </x:c>
      <x:c r="J237" s="77" t="str">
        <x:f>IF(A237="","",IF(I237="기타/불명","확인 필요","결의서명으로 1차 확인"))</x:f>
      </x:c>
      <x:c r="K237" s="78"/>
    </x:row>
    <x:row r="238">
      <x:c r="A238" s="73"/>
      <x:c r="B238" s="73"/>
      <x:c r="C238" s="74"/>
      <x:c r="D238" s="73"/>
      <x:c r="E238" s="73"/>
      <x:c r="F238" s="75"/>
      <x:c r="G238" s="75"/>
      <x:c r="H238" s="76" t="str">
        <x:f>IF(A238="","",F238-G238)</x:f>
      </x:c>
      <x:c r="I238" s="77" t="str">
        <x:f>IF(A238="","",IF(E238="","기타/불명",IF(IFERROR(SEARCH("급여",E238),0)&gt;0,"인건비",IF(IFERROR(SEARCH("임차",E238),0)&gt;0,"임차·시설",IF(IFERROR(SEARCH("광고",E238),0)&gt;0,"광고·행사",IF(IFERROR(SEARCH("용역",E238),0)&gt;0,"용역·수수료","기타/불명"))))))</x:f>
      </x:c>
      <x:c r="J238" s="77" t="str">
        <x:f>IF(A238="","",IF(I238="기타/불명","확인 필요","결의서명으로 1차 확인"))</x:f>
      </x:c>
      <x:c r="K238" s="78"/>
    </x:row>
    <x:row r="239">
      <x:c r="A239" s="73"/>
      <x:c r="B239" s="73"/>
      <x:c r="C239" s="74"/>
      <x:c r="D239" s="73"/>
      <x:c r="E239" s="73"/>
      <x:c r="F239" s="75"/>
      <x:c r="G239" s="75"/>
      <x:c r="H239" s="76" t="str">
        <x:f>IF(A239="","",F239-G239)</x:f>
      </x:c>
      <x:c r="I239" s="77" t="str">
        <x:f>IF(A239="","",IF(E239="","기타/불명",IF(IFERROR(SEARCH("급여",E239),0)&gt;0,"인건비",IF(IFERROR(SEARCH("임차",E239),0)&gt;0,"임차·시설",IF(IFERROR(SEARCH("광고",E239),0)&gt;0,"광고·행사",IF(IFERROR(SEARCH("용역",E239),0)&gt;0,"용역·수수료","기타/불명"))))))</x:f>
      </x:c>
      <x:c r="J239" s="77" t="str">
        <x:f>IF(A239="","",IF(I239="기타/불명","확인 필요","결의서명으로 1차 확인"))</x:f>
      </x:c>
      <x:c r="K239" s="78"/>
    </x:row>
    <x:row r="240">
      <x:c r="A240" s="73"/>
      <x:c r="B240" s="73"/>
      <x:c r="C240" s="74"/>
      <x:c r="D240" s="73"/>
      <x:c r="E240" s="73"/>
      <x:c r="F240" s="75"/>
      <x:c r="G240" s="75"/>
      <x:c r="H240" s="76" t="str">
        <x:f>IF(A240="","",F240-G240)</x:f>
      </x:c>
      <x:c r="I240" s="77" t="str">
        <x:f>IF(A240="","",IF(E240="","기타/불명",IF(IFERROR(SEARCH("급여",E240),0)&gt;0,"인건비",IF(IFERROR(SEARCH("임차",E240),0)&gt;0,"임차·시설",IF(IFERROR(SEARCH("광고",E240),0)&gt;0,"광고·행사",IF(IFERROR(SEARCH("용역",E240),0)&gt;0,"용역·수수료","기타/불명"))))))</x:f>
      </x:c>
      <x:c r="J240" s="77" t="str">
        <x:f>IF(A240="","",IF(I240="기타/불명","확인 필요","결의서명으로 1차 확인"))</x:f>
      </x:c>
      <x:c r="K240" s="78"/>
    </x:row>
    <x:row r="241">
      <x:c r="A241" s="73"/>
      <x:c r="B241" s="73"/>
      <x:c r="C241" s="74"/>
      <x:c r="D241" s="73"/>
      <x:c r="E241" s="73"/>
      <x:c r="F241" s="75"/>
      <x:c r="G241" s="75"/>
      <x:c r="H241" s="76" t="str">
        <x:f>IF(A241="","",F241-G241)</x:f>
      </x:c>
      <x:c r="I241" s="77" t="str">
        <x:f>IF(A241="","",IF(E241="","기타/불명",IF(IFERROR(SEARCH("급여",E241),0)&gt;0,"인건비",IF(IFERROR(SEARCH("임차",E241),0)&gt;0,"임차·시설",IF(IFERROR(SEARCH("광고",E241),0)&gt;0,"광고·행사",IF(IFERROR(SEARCH("용역",E241),0)&gt;0,"용역·수수료","기타/불명"))))))</x:f>
      </x:c>
      <x:c r="J241" s="77" t="str">
        <x:f>IF(A241="","",IF(I241="기타/불명","확인 필요","결의서명으로 1차 확인"))</x:f>
      </x:c>
      <x:c r="K241" s="78"/>
    </x:row>
    <x:row r="242">
      <x:c r="A242" s="73"/>
      <x:c r="B242" s="73"/>
      <x:c r="C242" s="74"/>
      <x:c r="D242" s="73"/>
      <x:c r="E242" s="73"/>
      <x:c r="F242" s="75"/>
      <x:c r="G242" s="75"/>
      <x:c r="H242" s="76" t="str">
        <x:f>IF(A242="","",F242-G242)</x:f>
      </x:c>
      <x:c r="I242" s="77" t="str">
        <x:f>IF(A242="","",IF(E242="","기타/불명",IF(IFERROR(SEARCH("급여",E242),0)&gt;0,"인건비",IF(IFERROR(SEARCH("임차",E242),0)&gt;0,"임차·시설",IF(IFERROR(SEARCH("광고",E242),0)&gt;0,"광고·행사",IF(IFERROR(SEARCH("용역",E242),0)&gt;0,"용역·수수료","기타/불명"))))))</x:f>
      </x:c>
      <x:c r="J242" s="77" t="str">
        <x:f>IF(A242="","",IF(I242="기타/불명","확인 필요","결의서명으로 1차 확인"))</x:f>
      </x:c>
      <x:c r="K242" s="78"/>
    </x:row>
    <x:row r="243">
      <x:c r="A243" s="73"/>
      <x:c r="B243" s="73"/>
      <x:c r="C243" s="74"/>
      <x:c r="D243" s="73"/>
      <x:c r="E243" s="73"/>
      <x:c r="F243" s="75"/>
      <x:c r="G243" s="75"/>
      <x:c r="H243" s="76" t="str">
        <x:f>IF(A243="","",F243-G243)</x:f>
      </x:c>
      <x:c r="I243" s="77" t="str">
        <x:f>IF(A243="","",IF(E243="","기타/불명",IF(IFERROR(SEARCH("급여",E243),0)&gt;0,"인건비",IF(IFERROR(SEARCH("임차",E243),0)&gt;0,"임차·시설",IF(IFERROR(SEARCH("광고",E243),0)&gt;0,"광고·행사",IF(IFERROR(SEARCH("용역",E243),0)&gt;0,"용역·수수료","기타/불명"))))))</x:f>
      </x:c>
      <x:c r="J243" s="77" t="str">
        <x:f>IF(A243="","",IF(I243="기타/불명","확인 필요","결의서명으로 1차 확인"))</x:f>
      </x:c>
      <x:c r="K243" s="78"/>
    </x:row>
    <x:row r="244">
      <x:c r="A244" s="73"/>
      <x:c r="B244" s="73"/>
      <x:c r="C244" s="74"/>
      <x:c r="D244" s="73"/>
      <x:c r="E244" s="73"/>
      <x:c r="F244" s="75"/>
      <x:c r="G244" s="75"/>
      <x:c r="H244" s="76" t="str">
        <x:f>IF(A244="","",F244-G244)</x:f>
      </x:c>
      <x:c r="I244" s="77" t="str">
        <x:f>IF(A244="","",IF(E244="","기타/불명",IF(IFERROR(SEARCH("급여",E244),0)&gt;0,"인건비",IF(IFERROR(SEARCH("임차",E244),0)&gt;0,"임차·시설",IF(IFERROR(SEARCH("광고",E244),0)&gt;0,"광고·행사",IF(IFERROR(SEARCH("용역",E244),0)&gt;0,"용역·수수료","기타/불명"))))))</x:f>
      </x:c>
      <x:c r="J244" s="77" t="str">
        <x:f>IF(A244="","",IF(I244="기타/불명","확인 필요","결의서명으로 1차 확인"))</x:f>
      </x:c>
      <x:c r="K244" s="78"/>
    </x:row>
    <x:row r="245">
      <x:c r="A245" s="73"/>
      <x:c r="B245" s="73"/>
      <x:c r="C245" s="74"/>
      <x:c r="D245" s="73"/>
      <x:c r="E245" s="73"/>
      <x:c r="F245" s="75"/>
      <x:c r="G245" s="75"/>
      <x:c r="H245" s="76" t="str">
        <x:f>IF(A245="","",F245-G245)</x:f>
      </x:c>
      <x:c r="I245" s="77" t="str">
        <x:f>IF(A245="","",IF(E245="","기타/불명",IF(IFERROR(SEARCH("급여",E245),0)&gt;0,"인건비",IF(IFERROR(SEARCH("임차",E245),0)&gt;0,"임차·시설",IF(IFERROR(SEARCH("광고",E245),0)&gt;0,"광고·행사",IF(IFERROR(SEARCH("용역",E245),0)&gt;0,"용역·수수료","기타/불명"))))))</x:f>
      </x:c>
      <x:c r="J245" s="77" t="str">
        <x:f>IF(A245="","",IF(I245="기타/불명","확인 필요","결의서명으로 1차 확인"))</x:f>
      </x:c>
      <x:c r="K245" s="78"/>
    </x:row>
    <x:row r="246">
      <x:c r="A246" s="73"/>
      <x:c r="B246" s="73"/>
      <x:c r="C246" s="74"/>
      <x:c r="D246" s="73"/>
      <x:c r="E246" s="73"/>
      <x:c r="F246" s="75"/>
      <x:c r="G246" s="75"/>
      <x:c r="H246" s="76" t="str">
        <x:f>IF(A246="","",F246-G246)</x:f>
      </x:c>
      <x:c r="I246" s="77" t="str">
        <x:f>IF(A246="","",IF(E246="","기타/불명",IF(IFERROR(SEARCH("급여",E246),0)&gt;0,"인건비",IF(IFERROR(SEARCH("임차",E246),0)&gt;0,"임차·시설",IF(IFERROR(SEARCH("광고",E246),0)&gt;0,"광고·행사",IF(IFERROR(SEARCH("용역",E246),0)&gt;0,"용역·수수료","기타/불명"))))))</x:f>
      </x:c>
      <x:c r="J246" s="77" t="str">
        <x:f>IF(A246="","",IF(I246="기타/불명","확인 필요","결의서명으로 1차 확인"))</x:f>
      </x:c>
      <x:c r="K246" s="78"/>
    </x:row>
    <x:row r="247">
      <x:c r="A247" s="73"/>
      <x:c r="B247" s="73"/>
      <x:c r="C247" s="74"/>
      <x:c r="D247" s="73"/>
      <x:c r="E247" s="73"/>
      <x:c r="F247" s="75"/>
      <x:c r="G247" s="75"/>
      <x:c r="H247" s="76" t="str">
        <x:f>IF(A247="","",F247-G247)</x:f>
      </x:c>
      <x:c r="I247" s="77" t="str">
        <x:f>IF(A247="","",IF(E247="","기타/불명",IF(IFERROR(SEARCH("급여",E247),0)&gt;0,"인건비",IF(IFERROR(SEARCH("임차",E247),0)&gt;0,"임차·시설",IF(IFERROR(SEARCH("광고",E247),0)&gt;0,"광고·행사",IF(IFERROR(SEARCH("용역",E247),0)&gt;0,"용역·수수료","기타/불명"))))))</x:f>
      </x:c>
      <x:c r="J247" s="77" t="str">
        <x:f>IF(A247="","",IF(I247="기타/불명","확인 필요","결의서명으로 1차 확인"))</x:f>
      </x:c>
      <x:c r="K247" s="78"/>
    </x:row>
    <x:row r="248">
      <x:c r="A248" s="73"/>
      <x:c r="B248" s="73"/>
      <x:c r="C248" s="74"/>
      <x:c r="D248" s="73"/>
      <x:c r="E248" s="73"/>
      <x:c r="F248" s="75"/>
      <x:c r="G248" s="75"/>
      <x:c r="H248" s="76" t="str">
        <x:f>IF(A248="","",F248-G248)</x:f>
      </x:c>
      <x:c r="I248" s="77" t="str">
        <x:f>IF(A248="","",IF(E248="","기타/불명",IF(IFERROR(SEARCH("급여",E248),0)&gt;0,"인건비",IF(IFERROR(SEARCH("임차",E248),0)&gt;0,"임차·시설",IF(IFERROR(SEARCH("광고",E248),0)&gt;0,"광고·행사",IF(IFERROR(SEARCH("용역",E248),0)&gt;0,"용역·수수료","기타/불명"))))))</x:f>
      </x:c>
      <x:c r="J248" s="77" t="str">
        <x:f>IF(A248="","",IF(I248="기타/불명","확인 필요","결의서명으로 1차 확인"))</x:f>
      </x:c>
      <x:c r="K248" s="78"/>
    </x:row>
    <x:row r="249">
      <x:c r="A249" s="73"/>
      <x:c r="B249" s="73"/>
      <x:c r="C249" s="74"/>
      <x:c r="D249" s="73"/>
      <x:c r="E249" s="73"/>
      <x:c r="F249" s="75"/>
      <x:c r="G249" s="75"/>
      <x:c r="H249" s="76" t="str">
        <x:f>IF(A249="","",F249-G249)</x:f>
      </x:c>
      <x:c r="I249" s="77" t="str">
        <x:f>IF(A249="","",IF(E249="","기타/불명",IF(IFERROR(SEARCH("급여",E249),0)&gt;0,"인건비",IF(IFERROR(SEARCH("임차",E249),0)&gt;0,"임차·시설",IF(IFERROR(SEARCH("광고",E249),0)&gt;0,"광고·행사",IF(IFERROR(SEARCH("용역",E249),0)&gt;0,"용역·수수료","기타/불명"))))))</x:f>
      </x:c>
      <x:c r="J249" s="77" t="str">
        <x:f>IF(A249="","",IF(I249="기타/불명","확인 필요","결의서명으로 1차 확인"))</x:f>
      </x:c>
      <x:c r="K249" s="78"/>
    </x:row>
    <x:row r="250">
      <x:c r="A250" s="73"/>
      <x:c r="B250" s="73"/>
      <x:c r="C250" s="74"/>
      <x:c r="D250" s="73"/>
      <x:c r="E250" s="73"/>
      <x:c r="F250" s="75"/>
      <x:c r="G250" s="75"/>
      <x:c r="H250" s="76" t="str">
        <x:f>IF(A250="","",F250-G250)</x:f>
      </x:c>
      <x:c r="I250" s="77" t="str">
        <x:f>IF(A250="","",IF(E250="","기타/불명",IF(IFERROR(SEARCH("급여",E250),0)&gt;0,"인건비",IF(IFERROR(SEARCH("임차",E250),0)&gt;0,"임차·시설",IF(IFERROR(SEARCH("광고",E250),0)&gt;0,"광고·행사",IF(IFERROR(SEARCH("용역",E250),0)&gt;0,"용역·수수료","기타/불명"))))))</x:f>
      </x:c>
      <x:c r="J250" s="77" t="str">
        <x:f>IF(A250="","",IF(I250="기타/불명","확인 필요","결의서명으로 1차 확인"))</x:f>
      </x:c>
      <x:c r="K250" s="78"/>
    </x:row>
    <x:row r="251">
      <x:c r="A251" s="73"/>
      <x:c r="B251" s="73"/>
      <x:c r="C251" s="74"/>
      <x:c r="D251" s="73"/>
      <x:c r="E251" s="73"/>
      <x:c r="F251" s="75"/>
      <x:c r="G251" s="75"/>
      <x:c r="H251" s="76" t="str">
        <x:f>IF(A251="","",F251-G251)</x:f>
      </x:c>
      <x:c r="I251" s="77" t="str">
        <x:f>IF(A251="","",IF(E251="","기타/불명",IF(IFERROR(SEARCH("급여",E251),0)&gt;0,"인건비",IF(IFERROR(SEARCH("임차",E251),0)&gt;0,"임차·시설",IF(IFERROR(SEARCH("광고",E251),0)&gt;0,"광고·행사",IF(IFERROR(SEARCH("용역",E251),0)&gt;0,"용역·수수료","기타/불명"))))))</x:f>
      </x:c>
      <x:c r="J251" s="77" t="str">
        <x:f>IF(A251="","",IF(I251="기타/불명","확인 필요","결의서명으로 1차 확인"))</x:f>
      </x:c>
      <x:c r="K251" s="78"/>
    </x:row>
    <x:row r="252">
      <x:c r="A252" s="73"/>
      <x:c r="B252" s="73"/>
      <x:c r="C252" s="74"/>
      <x:c r="D252" s="73"/>
      <x:c r="E252" s="73"/>
      <x:c r="F252" s="75"/>
      <x:c r="G252" s="75"/>
      <x:c r="H252" s="76" t="str">
        <x:f>IF(A252="","",F252-G252)</x:f>
      </x:c>
      <x:c r="I252" s="77" t="str">
        <x:f>IF(A252="","",IF(E252="","기타/불명",IF(IFERROR(SEARCH("급여",E252),0)&gt;0,"인건비",IF(IFERROR(SEARCH("임차",E252),0)&gt;0,"임차·시설",IF(IFERROR(SEARCH("광고",E252),0)&gt;0,"광고·행사",IF(IFERROR(SEARCH("용역",E252),0)&gt;0,"용역·수수료","기타/불명"))))))</x:f>
      </x:c>
      <x:c r="J252" s="77" t="str">
        <x:f>IF(A252="","",IF(I252="기타/불명","확인 필요","결의서명으로 1차 확인"))</x:f>
      </x:c>
      <x:c r="K252" s="78"/>
    </x:row>
    <x:row r="253">
      <x:c r="A253" s="73"/>
      <x:c r="B253" s="73"/>
      <x:c r="C253" s="74"/>
      <x:c r="D253" s="73"/>
      <x:c r="E253" s="73"/>
      <x:c r="F253" s="75"/>
      <x:c r="G253" s="75"/>
      <x:c r="H253" s="76" t="str">
        <x:f>IF(A253="","",F253-G253)</x:f>
      </x:c>
      <x:c r="I253" s="77" t="str">
        <x:f>IF(A253="","",IF(E253="","기타/불명",IF(IFERROR(SEARCH("급여",E253),0)&gt;0,"인건비",IF(IFERROR(SEARCH("임차",E253),0)&gt;0,"임차·시설",IF(IFERROR(SEARCH("광고",E253),0)&gt;0,"광고·행사",IF(IFERROR(SEARCH("용역",E253),0)&gt;0,"용역·수수료","기타/불명"))))))</x:f>
      </x:c>
      <x:c r="J253" s="77" t="str">
        <x:f>IF(A253="","",IF(I253="기타/불명","확인 필요","결의서명으로 1차 확인"))</x:f>
      </x:c>
      <x:c r="K253" s="78"/>
    </x:row>
    <x:row r="254">
      <x:c r="A254" s="73"/>
      <x:c r="B254" s="73"/>
      <x:c r="C254" s="74"/>
      <x:c r="D254" s="73"/>
      <x:c r="E254" s="73"/>
      <x:c r="F254" s="75"/>
      <x:c r="G254" s="75"/>
      <x:c r="H254" s="76" t="str">
        <x:f>IF(A254="","",F254-G254)</x:f>
      </x:c>
      <x:c r="I254" s="77" t="str">
        <x:f>IF(A254="","",IF(E254="","기타/불명",IF(IFERROR(SEARCH("급여",E254),0)&gt;0,"인건비",IF(IFERROR(SEARCH("임차",E254),0)&gt;0,"임차·시설",IF(IFERROR(SEARCH("광고",E254),0)&gt;0,"광고·행사",IF(IFERROR(SEARCH("용역",E254),0)&gt;0,"용역·수수료","기타/불명"))))))</x:f>
      </x:c>
      <x:c r="J254" s="77" t="str">
        <x:f>IF(A254="","",IF(I254="기타/불명","확인 필요","결의서명으로 1차 확인"))</x:f>
      </x:c>
      <x:c r="K254" s="78"/>
    </x:row>
    <x:row r="255">
      <x:c r="A255" s="73"/>
      <x:c r="B255" s="73"/>
      <x:c r="C255" s="74"/>
      <x:c r="D255" s="73"/>
      <x:c r="E255" s="73"/>
      <x:c r="F255" s="75"/>
      <x:c r="G255" s="75"/>
      <x:c r="H255" s="76" t="str">
        <x:f>IF(A255="","",F255-G255)</x:f>
      </x:c>
      <x:c r="I255" s="77" t="str">
        <x:f>IF(A255="","",IF(E255="","기타/불명",IF(IFERROR(SEARCH("급여",E255),0)&gt;0,"인건비",IF(IFERROR(SEARCH("임차",E255),0)&gt;0,"임차·시설",IF(IFERROR(SEARCH("광고",E255),0)&gt;0,"광고·행사",IF(IFERROR(SEARCH("용역",E255),0)&gt;0,"용역·수수료","기타/불명"))))))</x:f>
      </x:c>
      <x:c r="J255" s="77" t="str">
        <x:f>IF(A255="","",IF(I255="기타/불명","확인 필요","결의서명으로 1차 확인"))</x:f>
      </x:c>
      <x:c r="K255" s="78"/>
    </x:row>
    <x:row r="256">
      <x:c r="A256" s="73"/>
      <x:c r="B256" s="73"/>
      <x:c r="C256" s="74"/>
      <x:c r="D256" s="73"/>
      <x:c r="E256" s="73"/>
      <x:c r="F256" s="75"/>
      <x:c r="G256" s="75"/>
      <x:c r="H256" s="76" t="str">
        <x:f>IF(A256="","",F256-G256)</x:f>
      </x:c>
      <x:c r="I256" s="77" t="str">
        <x:f>IF(A256="","",IF(E256="","기타/불명",IF(IFERROR(SEARCH("급여",E256),0)&gt;0,"인건비",IF(IFERROR(SEARCH("임차",E256),0)&gt;0,"임차·시설",IF(IFERROR(SEARCH("광고",E256),0)&gt;0,"광고·행사",IF(IFERROR(SEARCH("용역",E256),0)&gt;0,"용역·수수료","기타/불명"))))))</x:f>
      </x:c>
      <x:c r="J256" s="77" t="str">
        <x:f>IF(A256="","",IF(I256="기타/불명","확인 필요","결의서명으로 1차 확인"))</x:f>
      </x:c>
      <x:c r="K256" s="78"/>
    </x:row>
    <x:row r="257">
      <x:c r="A257" s="73"/>
      <x:c r="B257" s="73"/>
      <x:c r="C257" s="74"/>
      <x:c r="D257" s="73"/>
      <x:c r="E257" s="73"/>
      <x:c r="F257" s="75"/>
      <x:c r="G257" s="75"/>
      <x:c r="H257" s="76" t="str">
        <x:f>IF(A257="","",F257-G257)</x:f>
      </x:c>
      <x:c r="I257" s="77" t="str">
        <x:f>IF(A257="","",IF(E257="","기타/불명",IF(IFERROR(SEARCH("급여",E257),0)&gt;0,"인건비",IF(IFERROR(SEARCH("임차",E257),0)&gt;0,"임차·시설",IF(IFERROR(SEARCH("광고",E257),0)&gt;0,"광고·행사",IF(IFERROR(SEARCH("용역",E257),0)&gt;0,"용역·수수료","기타/불명"))))))</x:f>
      </x:c>
      <x:c r="J257" s="77" t="str">
        <x:f>IF(A257="","",IF(I257="기타/불명","확인 필요","결의서명으로 1차 확인"))</x:f>
      </x:c>
      <x:c r="K257" s="78"/>
    </x:row>
    <x:row r="258">
      <x:c r="A258" s="73"/>
      <x:c r="B258" s="73"/>
      <x:c r="C258" s="74"/>
      <x:c r="D258" s="73"/>
      <x:c r="E258" s="73"/>
      <x:c r="F258" s="75"/>
      <x:c r="G258" s="75"/>
      <x:c r="H258" s="76" t="str">
        <x:f>IF(A258="","",F258-G258)</x:f>
      </x:c>
      <x:c r="I258" s="77" t="str">
        <x:f>IF(A258="","",IF(E258="","기타/불명",IF(IFERROR(SEARCH("급여",E258),0)&gt;0,"인건비",IF(IFERROR(SEARCH("임차",E258),0)&gt;0,"임차·시설",IF(IFERROR(SEARCH("광고",E258),0)&gt;0,"광고·행사",IF(IFERROR(SEARCH("용역",E258),0)&gt;0,"용역·수수료","기타/불명"))))))</x:f>
      </x:c>
      <x:c r="J258" s="77" t="str">
        <x:f>IF(A258="","",IF(I258="기타/불명","확인 필요","결의서명으로 1차 확인"))</x:f>
      </x:c>
      <x:c r="K258" s="78"/>
    </x:row>
    <x:row r="259">
      <x:c r="A259" s="73"/>
      <x:c r="B259" s="73"/>
      <x:c r="C259" s="74"/>
      <x:c r="D259" s="73"/>
      <x:c r="E259" s="73"/>
      <x:c r="F259" s="75"/>
      <x:c r="G259" s="75"/>
      <x:c r="H259" s="76" t="str">
        <x:f>IF(A259="","",F259-G259)</x:f>
      </x:c>
      <x:c r="I259" s="77" t="str">
        <x:f>IF(A259="","",IF(E259="","기타/불명",IF(IFERROR(SEARCH("급여",E259),0)&gt;0,"인건비",IF(IFERROR(SEARCH("임차",E259),0)&gt;0,"임차·시설",IF(IFERROR(SEARCH("광고",E259),0)&gt;0,"광고·행사",IF(IFERROR(SEARCH("용역",E259),0)&gt;0,"용역·수수료","기타/불명"))))))</x:f>
      </x:c>
      <x:c r="J259" s="77" t="str">
        <x:f>IF(A259="","",IF(I259="기타/불명","확인 필요","결의서명으로 1차 확인"))</x:f>
      </x:c>
      <x:c r="K259" s="78"/>
    </x:row>
    <x:row r="260">
      <x:c r="A260" s="73"/>
      <x:c r="B260" s="73"/>
      <x:c r="C260" s="74"/>
      <x:c r="D260" s="73"/>
      <x:c r="E260" s="73"/>
      <x:c r="F260" s="75"/>
      <x:c r="G260" s="75"/>
      <x:c r="H260" s="76" t="str">
        <x:f>IF(A260="","",F260-G260)</x:f>
      </x:c>
      <x:c r="I260" s="77" t="str">
        <x:f>IF(A260="","",IF(E260="","기타/불명",IF(IFERROR(SEARCH("급여",E260),0)&gt;0,"인건비",IF(IFERROR(SEARCH("임차",E260),0)&gt;0,"임차·시설",IF(IFERROR(SEARCH("광고",E260),0)&gt;0,"광고·행사",IF(IFERROR(SEARCH("용역",E260),0)&gt;0,"용역·수수료","기타/불명"))))))</x:f>
      </x:c>
      <x:c r="J260" s="77" t="str">
        <x:f>IF(A260="","",IF(I260="기타/불명","확인 필요","결의서명으로 1차 확인"))</x:f>
      </x:c>
      <x:c r="K260" s="78"/>
    </x:row>
    <x:row r="261">
      <x:c r="A261" s="73"/>
      <x:c r="B261" s="73"/>
      <x:c r="C261" s="74"/>
      <x:c r="D261" s="73"/>
      <x:c r="E261" s="73"/>
      <x:c r="F261" s="75"/>
      <x:c r="G261" s="75"/>
      <x:c r="H261" s="76" t="str">
        <x:f>IF(A261="","",F261-G261)</x:f>
      </x:c>
      <x:c r="I261" s="77" t="str">
        <x:f>IF(A261="","",IF(E261="","기타/불명",IF(IFERROR(SEARCH("급여",E261),0)&gt;0,"인건비",IF(IFERROR(SEARCH("임차",E261),0)&gt;0,"임차·시설",IF(IFERROR(SEARCH("광고",E261),0)&gt;0,"광고·행사",IF(IFERROR(SEARCH("용역",E261),0)&gt;0,"용역·수수료","기타/불명"))))))</x:f>
      </x:c>
      <x:c r="J261" s="77" t="str">
        <x:f>IF(A261="","",IF(I261="기타/불명","확인 필요","결의서명으로 1차 확인"))</x:f>
      </x:c>
      <x:c r="K261" s="78"/>
    </x:row>
    <x:row r="262">
      <x:c r="A262" s="73"/>
      <x:c r="B262" s="73"/>
      <x:c r="C262" s="74"/>
      <x:c r="D262" s="73"/>
      <x:c r="E262" s="73"/>
      <x:c r="F262" s="75"/>
      <x:c r="G262" s="75"/>
      <x:c r="H262" s="76" t="str">
        <x:f>IF(A262="","",F262-G262)</x:f>
      </x:c>
      <x:c r="I262" s="77" t="str">
        <x:f>IF(A262="","",IF(E262="","기타/불명",IF(IFERROR(SEARCH("급여",E262),0)&gt;0,"인건비",IF(IFERROR(SEARCH("임차",E262),0)&gt;0,"임차·시설",IF(IFERROR(SEARCH("광고",E262),0)&gt;0,"광고·행사",IF(IFERROR(SEARCH("용역",E262),0)&gt;0,"용역·수수료","기타/불명"))))))</x:f>
      </x:c>
      <x:c r="J262" s="77" t="str">
        <x:f>IF(A262="","",IF(I262="기타/불명","확인 필요","결의서명으로 1차 확인"))</x:f>
      </x:c>
      <x:c r="K262" s="78"/>
    </x:row>
    <x:row r="263">
      <x:c r="A263" s="73"/>
      <x:c r="B263" s="73"/>
      <x:c r="C263" s="74"/>
      <x:c r="D263" s="73"/>
      <x:c r="E263" s="73"/>
      <x:c r="F263" s="75"/>
      <x:c r="G263" s="75"/>
      <x:c r="H263" s="76" t="str">
        <x:f>IF(A263="","",F263-G263)</x:f>
      </x:c>
      <x:c r="I263" s="77" t="str">
        <x:f>IF(A263="","",IF(E263="","기타/불명",IF(IFERROR(SEARCH("급여",E263),0)&gt;0,"인건비",IF(IFERROR(SEARCH("임차",E263),0)&gt;0,"임차·시설",IF(IFERROR(SEARCH("광고",E263),0)&gt;0,"광고·행사",IF(IFERROR(SEARCH("용역",E263),0)&gt;0,"용역·수수료","기타/불명"))))))</x:f>
      </x:c>
      <x:c r="J263" s="77" t="str">
        <x:f>IF(A263="","",IF(I263="기타/불명","확인 필요","결의서명으로 1차 확인"))</x:f>
      </x:c>
      <x:c r="K263" s="78"/>
    </x:row>
    <x:row r="264">
      <x:c r="A264" s="73"/>
      <x:c r="B264" s="73"/>
      <x:c r="C264" s="74"/>
      <x:c r="D264" s="73"/>
      <x:c r="E264" s="73"/>
      <x:c r="F264" s="75"/>
      <x:c r="G264" s="75"/>
      <x:c r="H264" s="76" t="str">
        <x:f>IF(A264="","",F264-G264)</x:f>
      </x:c>
      <x:c r="I264" s="77" t="str">
        <x:f>IF(A264="","",IF(E264="","기타/불명",IF(IFERROR(SEARCH("급여",E264),0)&gt;0,"인건비",IF(IFERROR(SEARCH("임차",E264),0)&gt;0,"임차·시설",IF(IFERROR(SEARCH("광고",E264),0)&gt;0,"광고·행사",IF(IFERROR(SEARCH("용역",E264),0)&gt;0,"용역·수수료","기타/불명"))))))</x:f>
      </x:c>
      <x:c r="J264" s="77" t="str">
        <x:f>IF(A264="","",IF(I264="기타/불명","확인 필요","결의서명으로 1차 확인"))</x:f>
      </x:c>
      <x:c r="K264" s="78"/>
    </x:row>
    <x:row r="265">
      <x:c r="A265" s="73"/>
      <x:c r="B265" s="73"/>
      <x:c r="C265" s="74"/>
      <x:c r="D265" s="73"/>
      <x:c r="E265" s="73"/>
      <x:c r="F265" s="75"/>
      <x:c r="G265" s="75"/>
      <x:c r="H265" s="76" t="str">
        <x:f>IF(A265="","",F265-G265)</x:f>
      </x:c>
      <x:c r="I265" s="77" t="str">
        <x:f>IF(A265="","",IF(E265="","기타/불명",IF(IFERROR(SEARCH("급여",E265),0)&gt;0,"인건비",IF(IFERROR(SEARCH("임차",E265),0)&gt;0,"임차·시설",IF(IFERROR(SEARCH("광고",E265),0)&gt;0,"광고·행사",IF(IFERROR(SEARCH("용역",E265),0)&gt;0,"용역·수수료","기타/불명"))))))</x:f>
      </x:c>
      <x:c r="J265" s="77" t="str">
        <x:f>IF(A265="","",IF(I265="기타/불명","확인 필요","결의서명으로 1차 확인"))</x:f>
      </x:c>
      <x:c r="K265" s="78"/>
    </x:row>
    <x:row r="266">
      <x:c r="A266" s="73"/>
      <x:c r="B266" s="73"/>
      <x:c r="C266" s="74"/>
      <x:c r="D266" s="73"/>
      <x:c r="E266" s="73"/>
      <x:c r="F266" s="75"/>
      <x:c r="G266" s="75"/>
      <x:c r="H266" s="76" t="str">
        <x:f>IF(A266="","",F266-G266)</x:f>
      </x:c>
      <x:c r="I266" s="77" t="str">
        <x:f>IF(A266="","",IF(E266="","기타/불명",IF(IFERROR(SEARCH("급여",E266),0)&gt;0,"인건비",IF(IFERROR(SEARCH("임차",E266),0)&gt;0,"임차·시설",IF(IFERROR(SEARCH("광고",E266),0)&gt;0,"광고·행사",IF(IFERROR(SEARCH("용역",E266),0)&gt;0,"용역·수수료","기타/불명"))))))</x:f>
      </x:c>
      <x:c r="J266" s="77" t="str">
        <x:f>IF(A266="","",IF(I266="기타/불명","확인 필요","결의서명으로 1차 확인"))</x:f>
      </x:c>
      <x:c r="K266" s="78"/>
    </x:row>
    <x:row r="267">
      <x:c r="A267" s="73"/>
      <x:c r="B267" s="73"/>
      <x:c r="C267" s="74"/>
      <x:c r="D267" s="73"/>
      <x:c r="E267" s="73"/>
      <x:c r="F267" s="75"/>
      <x:c r="G267" s="75"/>
      <x:c r="H267" s="76" t="str">
        <x:f>IF(A267="","",F267-G267)</x:f>
      </x:c>
      <x:c r="I267" s="77" t="str">
        <x:f>IF(A267="","",IF(E267="","기타/불명",IF(IFERROR(SEARCH("급여",E267),0)&gt;0,"인건비",IF(IFERROR(SEARCH("임차",E267),0)&gt;0,"임차·시설",IF(IFERROR(SEARCH("광고",E267),0)&gt;0,"광고·행사",IF(IFERROR(SEARCH("용역",E267),0)&gt;0,"용역·수수료","기타/불명"))))))</x:f>
      </x:c>
      <x:c r="J267" s="77" t="str">
        <x:f>IF(A267="","",IF(I267="기타/불명","확인 필요","결의서명으로 1차 확인"))</x:f>
      </x:c>
      <x:c r="K267" s="78"/>
    </x:row>
    <x:row r="268">
      <x:c r="A268" s="73"/>
      <x:c r="B268" s="73"/>
      <x:c r="C268" s="74"/>
      <x:c r="D268" s="73"/>
      <x:c r="E268" s="73"/>
      <x:c r="F268" s="75"/>
      <x:c r="G268" s="75"/>
      <x:c r="H268" s="76" t="str">
        <x:f>IF(A268="","",F268-G268)</x:f>
      </x:c>
      <x:c r="I268" s="77" t="str">
        <x:f>IF(A268="","",IF(E268="","기타/불명",IF(IFERROR(SEARCH("급여",E268),0)&gt;0,"인건비",IF(IFERROR(SEARCH("임차",E268),0)&gt;0,"임차·시설",IF(IFERROR(SEARCH("광고",E268),0)&gt;0,"광고·행사",IF(IFERROR(SEARCH("용역",E268),0)&gt;0,"용역·수수료","기타/불명"))))))</x:f>
      </x:c>
      <x:c r="J268" s="77" t="str">
        <x:f>IF(A268="","",IF(I268="기타/불명","확인 필요","결의서명으로 1차 확인"))</x:f>
      </x:c>
      <x:c r="K268" s="78"/>
    </x:row>
    <x:row r="269">
      <x:c r="A269" s="73"/>
      <x:c r="B269" s="73"/>
      <x:c r="C269" s="74"/>
      <x:c r="D269" s="73"/>
      <x:c r="E269" s="73"/>
      <x:c r="F269" s="75"/>
      <x:c r="G269" s="75"/>
      <x:c r="H269" s="76" t="str">
        <x:f>IF(A269="","",F269-G269)</x:f>
      </x:c>
      <x:c r="I269" s="77" t="str">
        <x:f>IF(A269="","",IF(E269="","기타/불명",IF(IFERROR(SEARCH("급여",E269),0)&gt;0,"인건비",IF(IFERROR(SEARCH("임차",E269),0)&gt;0,"임차·시설",IF(IFERROR(SEARCH("광고",E269),0)&gt;0,"광고·행사",IF(IFERROR(SEARCH("용역",E269),0)&gt;0,"용역·수수료","기타/불명"))))))</x:f>
      </x:c>
      <x:c r="J269" s="77" t="str">
        <x:f>IF(A269="","",IF(I269="기타/불명","확인 필요","결의서명으로 1차 확인"))</x:f>
      </x:c>
      <x:c r="K269" s="78"/>
    </x:row>
    <x:row r="270">
      <x:c r="A270" s="73"/>
      <x:c r="B270" s="73"/>
      <x:c r="C270" s="74"/>
      <x:c r="D270" s="73"/>
      <x:c r="E270" s="73"/>
      <x:c r="F270" s="75"/>
      <x:c r="G270" s="75"/>
      <x:c r="H270" s="76" t="str">
        <x:f>IF(A270="","",F270-G270)</x:f>
      </x:c>
      <x:c r="I270" s="77" t="str">
        <x:f>IF(A270="","",IF(E270="","기타/불명",IF(IFERROR(SEARCH("급여",E270),0)&gt;0,"인건비",IF(IFERROR(SEARCH("임차",E270),0)&gt;0,"임차·시설",IF(IFERROR(SEARCH("광고",E270),0)&gt;0,"광고·행사",IF(IFERROR(SEARCH("용역",E270),0)&gt;0,"용역·수수료","기타/불명"))))))</x:f>
      </x:c>
      <x:c r="J270" s="77" t="str">
        <x:f>IF(A270="","",IF(I270="기타/불명","확인 필요","결의서명으로 1차 확인"))</x:f>
      </x:c>
      <x:c r="K270" s="78"/>
    </x:row>
    <x:row r="271">
      <x:c r="A271" s="73"/>
      <x:c r="B271" s="73"/>
      <x:c r="C271" s="74"/>
      <x:c r="D271" s="73"/>
      <x:c r="E271" s="73"/>
      <x:c r="F271" s="75"/>
      <x:c r="G271" s="75"/>
      <x:c r="H271" s="76" t="str">
        <x:f>IF(A271="","",F271-G271)</x:f>
      </x:c>
      <x:c r="I271" s="77" t="str">
        <x:f>IF(A271="","",IF(E271="","기타/불명",IF(IFERROR(SEARCH("급여",E271),0)&gt;0,"인건비",IF(IFERROR(SEARCH("임차",E271),0)&gt;0,"임차·시설",IF(IFERROR(SEARCH("광고",E271),0)&gt;0,"광고·행사",IF(IFERROR(SEARCH("용역",E271),0)&gt;0,"용역·수수료","기타/불명"))))))</x:f>
      </x:c>
      <x:c r="J271" s="77" t="str">
        <x:f>IF(A271="","",IF(I271="기타/불명","확인 필요","결의서명으로 1차 확인"))</x:f>
      </x:c>
      <x:c r="K271" s="78"/>
    </x:row>
    <x:row r="272">
      <x:c r="A272" s="73"/>
      <x:c r="B272" s="73"/>
      <x:c r="C272" s="74"/>
      <x:c r="D272" s="73"/>
      <x:c r="E272" s="73"/>
      <x:c r="F272" s="75"/>
      <x:c r="G272" s="75"/>
      <x:c r="H272" s="76" t="str">
        <x:f>IF(A272="","",F272-G272)</x:f>
      </x:c>
      <x:c r="I272" s="77" t="str">
        <x:f>IF(A272="","",IF(E272="","기타/불명",IF(IFERROR(SEARCH("급여",E272),0)&gt;0,"인건비",IF(IFERROR(SEARCH("임차",E272),0)&gt;0,"임차·시설",IF(IFERROR(SEARCH("광고",E272),0)&gt;0,"광고·행사",IF(IFERROR(SEARCH("용역",E272),0)&gt;0,"용역·수수료","기타/불명"))))))</x:f>
      </x:c>
      <x:c r="J272" s="77" t="str">
        <x:f>IF(A272="","",IF(I272="기타/불명","확인 필요","결의서명으로 1차 확인"))</x:f>
      </x:c>
      <x:c r="K272" s="78"/>
    </x:row>
    <x:row r="273">
      <x:c r="A273" s="73"/>
      <x:c r="B273" s="73"/>
      <x:c r="C273" s="74"/>
      <x:c r="D273" s="73"/>
      <x:c r="E273" s="73"/>
      <x:c r="F273" s="75"/>
      <x:c r="G273" s="75"/>
      <x:c r="H273" s="76" t="str">
        <x:f>IF(A273="","",F273-G273)</x:f>
      </x:c>
      <x:c r="I273" s="77" t="str">
        <x:f>IF(A273="","",IF(E273="","기타/불명",IF(IFERROR(SEARCH("급여",E273),0)&gt;0,"인건비",IF(IFERROR(SEARCH("임차",E273),0)&gt;0,"임차·시설",IF(IFERROR(SEARCH("광고",E273),0)&gt;0,"광고·행사",IF(IFERROR(SEARCH("용역",E273),0)&gt;0,"용역·수수료","기타/불명"))))))</x:f>
      </x:c>
      <x:c r="J273" s="77" t="str">
        <x:f>IF(A273="","",IF(I273="기타/불명","확인 필요","결의서명으로 1차 확인"))</x:f>
      </x:c>
      <x:c r="K273" s="78"/>
    </x:row>
    <x:row r="274">
      <x:c r="A274" s="73"/>
      <x:c r="B274" s="73"/>
      <x:c r="C274" s="74"/>
      <x:c r="D274" s="73"/>
      <x:c r="E274" s="73"/>
      <x:c r="F274" s="75"/>
      <x:c r="G274" s="75"/>
      <x:c r="H274" s="76" t="str">
        <x:f>IF(A274="","",F274-G274)</x:f>
      </x:c>
      <x:c r="I274" s="77" t="str">
        <x:f>IF(A274="","",IF(E274="","기타/불명",IF(IFERROR(SEARCH("급여",E274),0)&gt;0,"인건비",IF(IFERROR(SEARCH("임차",E274),0)&gt;0,"임차·시설",IF(IFERROR(SEARCH("광고",E274),0)&gt;0,"광고·행사",IF(IFERROR(SEARCH("용역",E274),0)&gt;0,"용역·수수료","기타/불명"))))))</x:f>
      </x:c>
      <x:c r="J274" s="77" t="str">
        <x:f>IF(A274="","",IF(I274="기타/불명","확인 필요","결의서명으로 1차 확인"))</x:f>
      </x:c>
      <x:c r="K274" s="78"/>
    </x:row>
    <x:row r="275">
      <x:c r="A275" s="73"/>
      <x:c r="B275" s="73"/>
      <x:c r="C275" s="74"/>
      <x:c r="D275" s="73"/>
      <x:c r="E275" s="73"/>
      <x:c r="F275" s="75"/>
      <x:c r="G275" s="75"/>
      <x:c r="H275" s="76" t="str">
        <x:f>IF(A275="","",F275-G275)</x:f>
      </x:c>
      <x:c r="I275" s="77" t="str">
        <x:f>IF(A275="","",IF(E275="","기타/불명",IF(IFERROR(SEARCH("급여",E275),0)&gt;0,"인건비",IF(IFERROR(SEARCH("임차",E275),0)&gt;0,"임차·시설",IF(IFERROR(SEARCH("광고",E275),0)&gt;0,"광고·행사",IF(IFERROR(SEARCH("용역",E275),0)&gt;0,"용역·수수료","기타/불명"))))))</x:f>
      </x:c>
      <x:c r="J275" s="77" t="str">
        <x:f>IF(A275="","",IF(I275="기타/불명","확인 필요","결의서명으로 1차 확인"))</x:f>
      </x:c>
      <x:c r="K275" s="78"/>
    </x:row>
    <x:row r="276">
      <x:c r="A276" s="73"/>
      <x:c r="B276" s="73"/>
      <x:c r="C276" s="74"/>
      <x:c r="D276" s="73"/>
      <x:c r="E276" s="73"/>
      <x:c r="F276" s="75"/>
      <x:c r="G276" s="75"/>
      <x:c r="H276" s="76" t="str">
        <x:f>IF(A276="","",F276-G276)</x:f>
      </x:c>
      <x:c r="I276" s="77" t="str">
        <x:f>IF(A276="","",IF(E276="","기타/불명",IF(IFERROR(SEARCH("급여",E276),0)&gt;0,"인건비",IF(IFERROR(SEARCH("임차",E276),0)&gt;0,"임차·시설",IF(IFERROR(SEARCH("광고",E276),0)&gt;0,"광고·행사",IF(IFERROR(SEARCH("용역",E276),0)&gt;0,"용역·수수료","기타/불명"))))))</x:f>
      </x:c>
      <x:c r="J276" s="77" t="str">
        <x:f>IF(A276="","",IF(I276="기타/불명","확인 필요","결의서명으로 1차 확인"))</x:f>
      </x:c>
      <x:c r="K276" s="78"/>
    </x:row>
    <x:row r="277">
      <x:c r="A277" s="73"/>
      <x:c r="B277" s="73"/>
      <x:c r="C277" s="74"/>
      <x:c r="D277" s="73"/>
      <x:c r="E277" s="73"/>
      <x:c r="F277" s="75"/>
      <x:c r="G277" s="75"/>
      <x:c r="H277" s="76" t="str">
        <x:f>IF(A277="","",F277-G277)</x:f>
      </x:c>
      <x:c r="I277" s="77" t="str">
        <x:f>IF(A277="","",IF(E277="","기타/불명",IF(IFERROR(SEARCH("급여",E277),0)&gt;0,"인건비",IF(IFERROR(SEARCH("임차",E277),0)&gt;0,"임차·시설",IF(IFERROR(SEARCH("광고",E277),0)&gt;0,"광고·행사",IF(IFERROR(SEARCH("용역",E277),0)&gt;0,"용역·수수료","기타/불명"))))))</x:f>
      </x:c>
      <x:c r="J277" s="77" t="str">
        <x:f>IF(A277="","",IF(I277="기타/불명","확인 필요","결의서명으로 1차 확인"))</x:f>
      </x:c>
      <x:c r="K277" s="78"/>
    </x:row>
    <x:row r="278">
      <x:c r="A278" s="73"/>
      <x:c r="B278" s="73"/>
      <x:c r="C278" s="74"/>
      <x:c r="D278" s="73"/>
      <x:c r="E278" s="73"/>
      <x:c r="F278" s="75"/>
      <x:c r="G278" s="75"/>
      <x:c r="H278" s="76" t="str">
        <x:f>IF(A278="","",F278-G278)</x:f>
      </x:c>
      <x:c r="I278" s="77" t="str">
        <x:f>IF(A278="","",IF(E278="","기타/불명",IF(IFERROR(SEARCH("급여",E278),0)&gt;0,"인건비",IF(IFERROR(SEARCH("임차",E278),0)&gt;0,"임차·시설",IF(IFERROR(SEARCH("광고",E278),0)&gt;0,"광고·행사",IF(IFERROR(SEARCH("용역",E278),0)&gt;0,"용역·수수료","기타/불명"))))))</x:f>
      </x:c>
      <x:c r="J278" s="77" t="str">
        <x:f>IF(A278="","",IF(I278="기타/불명","확인 필요","결의서명으로 1차 확인"))</x:f>
      </x:c>
      <x:c r="K278" s="78"/>
    </x:row>
    <x:row r="279">
      <x:c r="A279" s="73"/>
      <x:c r="B279" s="73"/>
      <x:c r="C279" s="74"/>
      <x:c r="D279" s="73"/>
      <x:c r="E279" s="73"/>
      <x:c r="F279" s="75"/>
      <x:c r="G279" s="75"/>
      <x:c r="H279" s="76" t="str">
        <x:f>IF(A279="","",F279-G279)</x:f>
      </x:c>
      <x:c r="I279" s="77" t="str">
        <x:f>IF(A279="","",IF(E279="","기타/불명",IF(IFERROR(SEARCH("급여",E279),0)&gt;0,"인건비",IF(IFERROR(SEARCH("임차",E279),0)&gt;0,"임차·시설",IF(IFERROR(SEARCH("광고",E279),0)&gt;0,"광고·행사",IF(IFERROR(SEARCH("용역",E279),0)&gt;0,"용역·수수료","기타/불명"))))))</x:f>
      </x:c>
      <x:c r="J279" s="77" t="str">
        <x:f>IF(A279="","",IF(I279="기타/불명","확인 필요","결의서명으로 1차 확인"))</x:f>
      </x:c>
      <x:c r="K279" s="78"/>
    </x:row>
    <x:row r="280">
      <x:c r="A280" s="73"/>
      <x:c r="B280" s="73"/>
      <x:c r="C280" s="74"/>
      <x:c r="D280" s="73"/>
      <x:c r="E280" s="73"/>
      <x:c r="F280" s="75"/>
      <x:c r="G280" s="75"/>
      <x:c r="H280" s="76" t="str">
        <x:f>IF(A280="","",F280-G280)</x:f>
      </x:c>
      <x:c r="I280" s="77" t="str">
        <x:f>IF(A280="","",IF(E280="","기타/불명",IF(IFERROR(SEARCH("급여",E280),0)&gt;0,"인건비",IF(IFERROR(SEARCH("임차",E280),0)&gt;0,"임차·시설",IF(IFERROR(SEARCH("광고",E280),0)&gt;0,"광고·행사",IF(IFERROR(SEARCH("용역",E280),0)&gt;0,"용역·수수료","기타/불명"))))))</x:f>
      </x:c>
      <x:c r="J280" s="77" t="str">
        <x:f>IF(A280="","",IF(I280="기타/불명","확인 필요","결의서명으로 1차 확인"))</x:f>
      </x:c>
      <x:c r="K280" s="78"/>
    </x:row>
    <x:row r="281">
      <x:c r="A281" s="73"/>
      <x:c r="B281" s="73"/>
      <x:c r="C281" s="74"/>
      <x:c r="D281" s="73"/>
      <x:c r="E281" s="73"/>
      <x:c r="F281" s="75"/>
      <x:c r="G281" s="75"/>
      <x:c r="H281" s="76" t="str">
        <x:f>IF(A281="","",F281-G281)</x:f>
      </x:c>
      <x:c r="I281" s="77" t="str">
        <x:f>IF(A281="","",IF(E281="","기타/불명",IF(IFERROR(SEARCH("급여",E281),0)&gt;0,"인건비",IF(IFERROR(SEARCH("임차",E281),0)&gt;0,"임차·시설",IF(IFERROR(SEARCH("광고",E281),0)&gt;0,"광고·행사",IF(IFERROR(SEARCH("용역",E281),0)&gt;0,"용역·수수료","기타/불명"))))))</x:f>
      </x:c>
      <x:c r="J281" s="77" t="str">
        <x:f>IF(A281="","",IF(I281="기타/불명","확인 필요","결의서명으로 1차 확인"))</x:f>
      </x:c>
      <x:c r="K281" s="78"/>
    </x:row>
    <x:row r="282">
      <x:c r="A282" s="73"/>
      <x:c r="B282" s="73"/>
      <x:c r="C282" s="74"/>
      <x:c r="D282" s="73"/>
      <x:c r="E282" s="73"/>
      <x:c r="F282" s="75"/>
      <x:c r="G282" s="75"/>
      <x:c r="H282" s="76" t="str">
        <x:f>IF(A282="","",F282-G282)</x:f>
      </x:c>
      <x:c r="I282" s="77" t="str">
        <x:f>IF(A282="","",IF(E282="","기타/불명",IF(IFERROR(SEARCH("급여",E282),0)&gt;0,"인건비",IF(IFERROR(SEARCH("임차",E282),0)&gt;0,"임차·시설",IF(IFERROR(SEARCH("광고",E282),0)&gt;0,"광고·행사",IF(IFERROR(SEARCH("용역",E282),0)&gt;0,"용역·수수료","기타/불명"))))))</x:f>
      </x:c>
      <x:c r="J282" s="77" t="str">
        <x:f>IF(A282="","",IF(I282="기타/불명","확인 필요","결의서명으로 1차 확인"))</x:f>
      </x:c>
      <x:c r="K282" s="78"/>
    </x:row>
    <x:row r="283">
      <x:c r="A283" s="73"/>
      <x:c r="B283" s="73"/>
      <x:c r="C283" s="74"/>
      <x:c r="D283" s="73"/>
      <x:c r="E283" s="73"/>
      <x:c r="F283" s="75"/>
      <x:c r="G283" s="75"/>
      <x:c r="H283" s="76" t="str">
        <x:f>IF(A283="","",F283-G283)</x:f>
      </x:c>
      <x:c r="I283" s="77" t="str">
        <x:f>IF(A283="","",IF(E283="","기타/불명",IF(IFERROR(SEARCH("급여",E283),0)&gt;0,"인건비",IF(IFERROR(SEARCH("임차",E283),0)&gt;0,"임차·시설",IF(IFERROR(SEARCH("광고",E283),0)&gt;0,"광고·행사",IF(IFERROR(SEARCH("용역",E283),0)&gt;0,"용역·수수료","기타/불명"))))))</x:f>
      </x:c>
      <x:c r="J283" s="77" t="str">
        <x:f>IF(A283="","",IF(I283="기타/불명","확인 필요","결의서명으로 1차 확인"))</x:f>
      </x:c>
      <x:c r="K283" s="78"/>
    </x:row>
    <x:row r="284">
      <x:c r="A284" s="73"/>
      <x:c r="B284" s="73"/>
      <x:c r="C284" s="74"/>
      <x:c r="D284" s="73"/>
      <x:c r="E284" s="73"/>
      <x:c r="F284" s="75"/>
      <x:c r="G284" s="75"/>
      <x:c r="H284" s="76" t="str">
        <x:f>IF(A284="","",F284-G284)</x:f>
      </x:c>
      <x:c r="I284" s="77" t="str">
        <x:f>IF(A284="","",IF(E284="","기타/불명",IF(IFERROR(SEARCH("급여",E284),0)&gt;0,"인건비",IF(IFERROR(SEARCH("임차",E284),0)&gt;0,"임차·시설",IF(IFERROR(SEARCH("광고",E284),0)&gt;0,"광고·행사",IF(IFERROR(SEARCH("용역",E284),0)&gt;0,"용역·수수료","기타/불명"))))))</x:f>
      </x:c>
      <x:c r="J284" s="77" t="str">
        <x:f>IF(A284="","",IF(I284="기타/불명","확인 필요","결의서명으로 1차 확인"))</x:f>
      </x:c>
      <x:c r="K284" s="78"/>
    </x:row>
    <x:row r="285">
      <x:c r="A285" s="73"/>
      <x:c r="B285" s="73"/>
      <x:c r="C285" s="74"/>
      <x:c r="D285" s="73"/>
      <x:c r="E285" s="73"/>
      <x:c r="F285" s="75"/>
      <x:c r="G285" s="75"/>
      <x:c r="H285" s="76" t="str">
        <x:f>IF(A285="","",F285-G285)</x:f>
      </x:c>
      <x:c r="I285" s="77" t="str">
        <x:f>IF(A285="","",IF(E285="","기타/불명",IF(IFERROR(SEARCH("급여",E285),0)&gt;0,"인건비",IF(IFERROR(SEARCH("임차",E285),0)&gt;0,"임차·시설",IF(IFERROR(SEARCH("광고",E285),0)&gt;0,"광고·행사",IF(IFERROR(SEARCH("용역",E285),0)&gt;0,"용역·수수료","기타/불명"))))))</x:f>
      </x:c>
      <x:c r="J285" s="77" t="str">
        <x:f>IF(A285="","",IF(I285="기타/불명","확인 필요","결의서명으로 1차 확인"))</x:f>
      </x:c>
      <x:c r="K285" s="78"/>
    </x:row>
    <x:row r="286">
      <x:c r="A286" s="73"/>
      <x:c r="B286" s="73"/>
      <x:c r="C286" s="74"/>
      <x:c r="D286" s="73"/>
      <x:c r="E286" s="73"/>
      <x:c r="F286" s="75"/>
      <x:c r="G286" s="75"/>
      <x:c r="H286" s="76" t="str">
        <x:f>IF(A286="","",F286-G286)</x:f>
      </x:c>
      <x:c r="I286" s="77" t="str">
        <x:f>IF(A286="","",IF(E286="","기타/불명",IF(IFERROR(SEARCH("급여",E286),0)&gt;0,"인건비",IF(IFERROR(SEARCH("임차",E286),0)&gt;0,"임차·시설",IF(IFERROR(SEARCH("광고",E286),0)&gt;0,"광고·행사",IF(IFERROR(SEARCH("용역",E286),0)&gt;0,"용역·수수료","기타/불명"))))))</x:f>
      </x:c>
      <x:c r="J286" s="77" t="str">
        <x:f>IF(A286="","",IF(I286="기타/불명","확인 필요","결의서명으로 1차 확인"))</x:f>
      </x:c>
      <x:c r="K286" s="78"/>
    </x:row>
    <x:row r="287">
      <x:c r="A287" s="73"/>
      <x:c r="B287" s="73"/>
      <x:c r="C287" s="74"/>
      <x:c r="D287" s="73"/>
      <x:c r="E287" s="73"/>
      <x:c r="F287" s="75"/>
      <x:c r="G287" s="75"/>
      <x:c r="H287" s="76" t="str">
        <x:f>IF(A287="","",F287-G287)</x:f>
      </x:c>
      <x:c r="I287" s="77" t="str">
        <x:f>IF(A287="","",IF(E287="","기타/불명",IF(IFERROR(SEARCH("급여",E287),0)&gt;0,"인건비",IF(IFERROR(SEARCH("임차",E287),0)&gt;0,"임차·시설",IF(IFERROR(SEARCH("광고",E287),0)&gt;0,"광고·행사",IF(IFERROR(SEARCH("용역",E287),0)&gt;0,"용역·수수료","기타/불명"))))))</x:f>
      </x:c>
      <x:c r="J287" s="77" t="str">
        <x:f>IF(A287="","",IF(I287="기타/불명","확인 필요","결의서명으로 1차 확인"))</x:f>
      </x:c>
      <x:c r="K287" s="78"/>
    </x:row>
    <x:row r="288">
      <x:c r="A288" s="73"/>
      <x:c r="B288" s="73"/>
      <x:c r="C288" s="74"/>
      <x:c r="D288" s="73"/>
      <x:c r="E288" s="73"/>
      <x:c r="F288" s="75"/>
      <x:c r="G288" s="75"/>
      <x:c r="H288" s="76" t="str">
        <x:f>IF(A288="","",F288-G288)</x:f>
      </x:c>
      <x:c r="I288" s="77" t="str">
        <x:f>IF(A288="","",IF(E288="","기타/불명",IF(IFERROR(SEARCH("급여",E288),0)&gt;0,"인건비",IF(IFERROR(SEARCH("임차",E288),0)&gt;0,"임차·시설",IF(IFERROR(SEARCH("광고",E288),0)&gt;0,"광고·행사",IF(IFERROR(SEARCH("용역",E288),0)&gt;0,"용역·수수료","기타/불명"))))))</x:f>
      </x:c>
      <x:c r="J288" s="77" t="str">
        <x:f>IF(A288="","",IF(I288="기타/불명","확인 필요","결의서명으로 1차 확인"))</x:f>
      </x:c>
      <x:c r="K288" s="78"/>
    </x:row>
    <x:row r="289">
      <x:c r="A289" s="73"/>
      <x:c r="B289" s="73"/>
      <x:c r="C289" s="74"/>
      <x:c r="D289" s="73"/>
      <x:c r="E289" s="73"/>
      <x:c r="F289" s="75"/>
      <x:c r="G289" s="75"/>
      <x:c r="H289" s="76" t="str">
        <x:f>IF(A289="","",F289-G289)</x:f>
      </x:c>
      <x:c r="I289" s="77" t="str">
        <x:f>IF(A289="","",IF(E289="","기타/불명",IF(IFERROR(SEARCH("급여",E289),0)&gt;0,"인건비",IF(IFERROR(SEARCH("임차",E289),0)&gt;0,"임차·시설",IF(IFERROR(SEARCH("광고",E289),0)&gt;0,"광고·행사",IF(IFERROR(SEARCH("용역",E289),0)&gt;0,"용역·수수료","기타/불명"))))))</x:f>
      </x:c>
      <x:c r="J289" s="77" t="str">
        <x:f>IF(A289="","",IF(I289="기타/불명","확인 필요","결의서명으로 1차 확인"))</x:f>
      </x:c>
      <x:c r="K289" s="78"/>
    </x:row>
    <x:row r="290">
      <x:c r="A290" s="73"/>
      <x:c r="B290" s="73"/>
      <x:c r="C290" s="74"/>
      <x:c r="D290" s="73"/>
      <x:c r="E290" s="73"/>
      <x:c r="F290" s="75"/>
      <x:c r="G290" s="75"/>
      <x:c r="H290" s="76" t="str">
        <x:f>IF(A290="","",F290-G290)</x:f>
      </x:c>
      <x:c r="I290" s="77" t="str">
        <x:f>IF(A290="","",IF(E290="","기타/불명",IF(IFERROR(SEARCH("급여",E290),0)&gt;0,"인건비",IF(IFERROR(SEARCH("임차",E290),0)&gt;0,"임차·시설",IF(IFERROR(SEARCH("광고",E290),0)&gt;0,"광고·행사",IF(IFERROR(SEARCH("용역",E290),0)&gt;0,"용역·수수료","기타/불명"))))))</x:f>
      </x:c>
      <x:c r="J290" s="77" t="str">
        <x:f>IF(A290="","",IF(I290="기타/불명","확인 필요","결의서명으로 1차 확인"))</x:f>
      </x:c>
      <x:c r="K290" s="78"/>
    </x:row>
    <x:row r="291">
      <x:c r="A291" s="73"/>
      <x:c r="B291" s="73"/>
      <x:c r="C291" s="74"/>
      <x:c r="D291" s="73"/>
      <x:c r="E291" s="73"/>
      <x:c r="F291" s="75"/>
      <x:c r="G291" s="75"/>
      <x:c r="H291" s="76" t="str">
        <x:f>IF(A291="","",F291-G291)</x:f>
      </x:c>
      <x:c r="I291" s="77" t="str">
        <x:f>IF(A291="","",IF(E291="","기타/불명",IF(IFERROR(SEARCH("급여",E291),0)&gt;0,"인건비",IF(IFERROR(SEARCH("임차",E291),0)&gt;0,"임차·시설",IF(IFERROR(SEARCH("광고",E291),0)&gt;0,"광고·행사",IF(IFERROR(SEARCH("용역",E291),0)&gt;0,"용역·수수료","기타/불명"))))))</x:f>
      </x:c>
      <x:c r="J291" s="77" t="str">
        <x:f>IF(A291="","",IF(I291="기타/불명","확인 필요","결의서명으로 1차 확인"))</x:f>
      </x:c>
      <x:c r="K291" s="78"/>
    </x:row>
    <x:row r="292">
      <x:c r="A292" s="73"/>
      <x:c r="B292" s="73"/>
      <x:c r="C292" s="74"/>
      <x:c r="D292" s="73"/>
      <x:c r="E292" s="73"/>
      <x:c r="F292" s="75"/>
      <x:c r="G292" s="75"/>
      <x:c r="H292" s="76" t="str">
        <x:f>IF(A292="","",F292-G292)</x:f>
      </x:c>
      <x:c r="I292" s="77" t="str">
        <x:f>IF(A292="","",IF(E292="","기타/불명",IF(IFERROR(SEARCH("급여",E292),0)&gt;0,"인건비",IF(IFERROR(SEARCH("임차",E292),0)&gt;0,"임차·시설",IF(IFERROR(SEARCH("광고",E292),0)&gt;0,"광고·행사",IF(IFERROR(SEARCH("용역",E292),0)&gt;0,"용역·수수료","기타/불명"))))))</x:f>
      </x:c>
      <x:c r="J292" s="77" t="str">
        <x:f>IF(A292="","",IF(I292="기타/불명","확인 필요","결의서명으로 1차 확인"))</x:f>
      </x:c>
      <x:c r="K292" s="78"/>
    </x:row>
    <x:row r="293">
      <x:c r="A293" s="73"/>
      <x:c r="B293" s="73"/>
      <x:c r="C293" s="74"/>
      <x:c r="D293" s="73"/>
      <x:c r="E293" s="73"/>
      <x:c r="F293" s="75"/>
      <x:c r="G293" s="75"/>
      <x:c r="H293" s="76" t="str">
        <x:f>IF(A293="","",F293-G293)</x:f>
      </x:c>
      <x:c r="I293" s="77" t="str">
        <x:f>IF(A293="","",IF(E293="","기타/불명",IF(IFERROR(SEARCH("급여",E293),0)&gt;0,"인건비",IF(IFERROR(SEARCH("임차",E293),0)&gt;0,"임차·시설",IF(IFERROR(SEARCH("광고",E293),0)&gt;0,"광고·행사",IF(IFERROR(SEARCH("용역",E293),0)&gt;0,"용역·수수료","기타/불명"))))))</x:f>
      </x:c>
      <x:c r="J293" s="77" t="str">
        <x:f>IF(A293="","",IF(I293="기타/불명","확인 필요","결의서명으로 1차 확인"))</x:f>
      </x:c>
      <x:c r="K293" s="78"/>
    </x:row>
    <x:row r="294">
      <x:c r="A294" s="73"/>
      <x:c r="B294" s="73"/>
      <x:c r="C294" s="74"/>
      <x:c r="D294" s="73"/>
      <x:c r="E294" s="73"/>
      <x:c r="F294" s="75"/>
      <x:c r="G294" s="75"/>
      <x:c r="H294" s="76" t="str">
        <x:f>IF(A294="","",F294-G294)</x:f>
      </x:c>
      <x:c r="I294" s="77" t="str">
        <x:f>IF(A294="","",IF(E294="","기타/불명",IF(IFERROR(SEARCH("급여",E294),0)&gt;0,"인건비",IF(IFERROR(SEARCH("임차",E294),0)&gt;0,"임차·시설",IF(IFERROR(SEARCH("광고",E294),0)&gt;0,"광고·행사",IF(IFERROR(SEARCH("용역",E294),0)&gt;0,"용역·수수료","기타/불명"))))))</x:f>
      </x:c>
      <x:c r="J294" s="77" t="str">
        <x:f>IF(A294="","",IF(I294="기타/불명","확인 필요","결의서명으로 1차 확인"))</x:f>
      </x:c>
      <x:c r="K294" s="78"/>
    </x:row>
    <x:row r="295">
      <x:c r="A295" s="73"/>
      <x:c r="B295" s="73"/>
      <x:c r="C295" s="74"/>
      <x:c r="D295" s="73"/>
      <x:c r="E295" s="73"/>
      <x:c r="F295" s="75"/>
      <x:c r="G295" s="75"/>
      <x:c r="H295" s="76" t="str">
        <x:f>IF(A295="","",F295-G295)</x:f>
      </x:c>
      <x:c r="I295" s="77" t="str">
        <x:f>IF(A295="","",IF(E295="","기타/불명",IF(IFERROR(SEARCH("급여",E295),0)&gt;0,"인건비",IF(IFERROR(SEARCH("임차",E295),0)&gt;0,"임차·시설",IF(IFERROR(SEARCH("광고",E295),0)&gt;0,"광고·행사",IF(IFERROR(SEARCH("용역",E295),0)&gt;0,"용역·수수료","기타/불명"))))))</x:f>
      </x:c>
      <x:c r="J295" s="77" t="str">
        <x:f>IF(A295="","",IF(I295="기타/불명","확인 필요","결의서명으로 1차 확인"))</x:f>
      </x:c>
      <x:c r="K295" s="78"/>
    </x:row>
    <x:row r="296">
      <x:c r="A296" s="73"/>
      <x:c r="B296" s="73"/>
      <x:c r="C296" s="74"/>
      <x:c r="D296" s="73"/>
      <x:c r="E296" s="73"/>
      <x:c r="F296" s="75"/>
      <x:c r="G296" s="75"/>
      <x:c r="H296" s="76" t="str">
        <x:f>IF(A296="","",F296-G296)</x:f>
      </x:c>
      <x:c r="I296" s="77" t="str">
        <x:f>IF(A296="","",IF(E296="","기타/불명",IF(IFERROR(SEARCH("급여",E296),0)&gt;0,"인건비",IF(IFERROR(SEARCH("임차",E296),0)&gt;0,"임차·시설",IF(IFERROR(SEARCH("광고",E296),0)&gt;0,"광고·행사",IF(IFERROR(SEARCH("용역",E296),0)&gt;0,"용역·수수료","기타/불명"))))))</x:f>
      </x:c>
      <x:c r="J296" s="77" t="str">
        <x:f>IF(A296="","",IF(I296="기타/불명","확인 필요","결의서명으로 1차 확인"))</x:f>
      </x:c>
      <x:c r="K296" s="78"/>
    </x:row>
    <x:row r="297">
      <x:c r="A297" s="73"/>
      <x:c r="B297" s="73"/>
      <x:c r="C297" s="74"/>
      <x:c r="D297" s="73"/>
      <x:c r="E297" s="73"/>
      <x:c r="F297" s="75"/>
      <x:c r="G297" s="75"/>
      <x:c r="H297" s="76" t="str">
        <x:f>IF(A297="","",F297-G297)</x:f>
      </x:c>
      <x:c r="I297" s="77" t="str">
        <x:f>IF(A297="","",IF(E297="","기타/불명",IF(IFERROR(SEARCH("급여",E297),0)&gt;0,"인건비",IF(IFERROR(SEARCH("임차",E297),0)&gt;0,"임차·시설",IF(IFERROR(SEARCH("광고",E297),0)&gt;0,"광고·행사",IF(IFERROR(SEARCH("용역",E297),0)&gt;0,"용역·수수료","기타/불명"))))))</x:f>
      </x:c>
      <x:c r="J297" s="77" t="str">
        <x:f>IF(A297="","",IF(I297="기타/불명","확인 필요","결의서명으로 1차 확인"))</x:f>
      </x:c>
      <x:c r="K297" s="78"/>
    </x:row>
    <x:row r="298">
      <x:c r="A298" s="73"/>
      <x:c r="B298" s="73"/>
      <x:c r="C298" s="74"/>
      <x:c r="D298" s="73"/>
      <x:c r="E298" s="73"/>
      <x:c r="F298" s="75"/>
      <x:c r="G298" s="75"/>
      <x:c r="H298" s="76" t="str">
        <x:f>IF(A298="","",F298-G298)</x:f>
      </x:c>
      <x:c r="I298" s="77" t="str">
        <x:f>IF(A298="","",IF(E298="","기타/불명",IF(IFERROR(SEARCH("급여",E298),0)&gt;0,"인건비",IF(IFERROR(SEARCH("임차",E298),0)&gt;0,"임차·시설",IF(IFERROR(SEARCH("광고",E298),0)&gt;0,"광고·행사",IF(IFERROR(SEARCH("용역",E298),0)&gt;0,"용역·수수료","기타/불명"))))))</x:f>
      </x:c>
      <x:c r="J298" s="77" t="str">
        <x:f>IF(A298="","",IF(I298="기타/불명","확인 필요","결의서명으로 1차 확인"))</x:f>
      </x:c>
      <x:c r="K298" s="78"/>
    </x:row>
    <x:row r="299">
      <x:c r="A299" s="73"/>
      <x:c r="B299" s="73"/>
      <x:c r="C299" s="74"/>
      <x:c r="D299" s="73"/>
      <x:c r="E299" s="73"/>
      <x:c r="F299" s="75"/>
      <x:c r="G299" s="75"/>
      <x:c r="H299" s="76" t="str">
        <x:f>IF(A299="","",F299-G299)</x:f>
      </x:c>
      <x:c r="I299" s="77" t="str">
        <x:f>IF(A299="","",IF(E299="","기타/불명",IF(IFERROR(SEARCH("급여",E299),0)&gt;0,"인건비",IF(IFERROR(SEARCH("임차",E299),0)&gt;0,"임차·시설",IF(IFERROR(SEARCH("광고",E299),0)&gt;0,"광고·행사",IF(IFERROR(SEARCH("용역",E299),0)&gt;0,"용역·수수료","기타/불명"))))))</x:f>
      </x:c>
      <x:c r="J299" s="77" t="str">
        <x:f>IF(A299="","",IF(I299="기타/불명","확인 필요","결의서명으로 1차 확인"))</x:f>
      </x:c>
      <x:c r="K299" s="78"/>
    </x:row>
    <x:row r="300">
      <x:c r="A300" s="73"/>
      <x:c r="B300" s="73"/>
      <x:c r="C300" s="74"/>
      <x:c r="D300" s="73"/>
      <x:c r="E300" s="73"/>
      <x:c r="F300" s="75"/>
      <x:c r="G300" s="75"/>
      <x:c r="H300" s="76" t="str">
        <x:f>IF(A300="","",F300-G300)</x:f>
      </x:c>
      <x:c r="I300" s="77" t="str">
        <x:f>IF(A300="","",IF(E300="","기타/불명",IF(IFERROR(SEARCH("급여",E300),0)&gt;0,"인건비",IF(IFERROR(SEARCH("임차",E300),0)&gt;0,"임차·시설",IF(IFERROR(SEARCH("광고",E300),0)&gt;0,"광고·행사",IF(IFERROR(SEARCH("용역",E300),0)&gt;0,"용역·수수료","기타/불명"))))))</x:f>
      </x:c>
      <x:c r="J300" s="77" t="str">
        <x:f>IF(A300="","",IF(I300="기타/불명","확인 필요","결의서명으로 1차 확인"))</x:f>
      </x:c>
      <x:c r="K300" s="78"/>
    </x:row>
    <x:row r="301">
      <x:c r="A301" s="73"/>
      <x:c r="B301" s="73"/>
      <x:c r="C301" s="74"/>
      <x:c r="D301" s="73"/>
      <x:c r="E301" s="73"/>
      <x:c r="F301" s="75"/>
      <x:c r="G301" s="75"/>
      <x:c r="H301" s="76" t="str">
        <x:f>IF(A301="","",F301-G301)</x:f>
      </x:c>
      <x:c r="I301" s="77" t="str">
        <x:f>IF(A301="","",IF(E301="","기타/불명",IF(IFERROR(SEARCH("급여",E301),0)&gt;0,"인건비",IF(IFERROR(SEARCH("임차",E301),0)&gt;0,"임차·시설",IF(IFERROR(SEARCH("광고",E301),0)&gt;0,"광고·행사",IF(IFERROR(SEARCH("용역",E301),0)&gt;0,"용역·수수료","기타/불명"))))))</x:f>
      </x:c>
      <x:c r="J301" s="77" t="str">
        <x:f>IF(A301="","",IF(I301="기타/불명","확인 필요","결의서명으로 1차 확인"))</x:f>
      </x:c>
      <x:c r="K301" s="78"/>
    </x:row>
    <x:row r="302">
      <x:c r="A302" s="73"/>
      <x:c r="B302" s="73"/>
      <x:c r="C302" s="74"/>
      <x:c r="D302" s="73"/>
      <x:c r="E302" s="73"/>
      <x:c r="F302" s="75"/>
      <x:c r="G302" s="75"/>
      <x:c r="H302" s="76" t="str">
        <x:f>IF(A302="","",F302-G302)</x:f>
      </x:c>
      <x:c r="I302" s="77" t="str">
        <x:f>IF(A302="","",IF(E302="","기타/불명",IF(IFERROR(SEARCH("급여",E302),0)&gt;0,"인건비",IF(IFERROR(SEARCH("임차",E302),0)&gt;0,"임차·시설",IF(IFERROR(SEARCH("광고",E302),0)&gt;0,"광고·행사",IF(IFERROR(SEARCH("용역",E302),0)&gt;0,"용역·수수료","기타/불명"))))))</x:f>
      </x:c>
      <x:c r="J302" s="77" t="str">
        <x:f>IF(A302="","",IF(I302="기타/불명","확인 필요","결의서명으로 1차 확인"))</x:f>
      </x:c>
      <x:c r="K302" s="78"/>
    </x:row>
    <x:row r="303">
      <x:c r="A303" s="73"/>
      <x:c r="B303" s="73"/>
      <x:c r="C303" s="74"/>
      <x:c r="D303" s="73"/>
      <x:c r="E303" s="73"/>
      <x:c r="F303" s="75"/>
      <x:c r="G303" s="75"/>
      <x:c r="H303" s="76" t="str">
        <x:f>IF(A303="","",F303-G303)</x:f>
      </x:c>
      <x:c r="I303" s="77" t="str">
        <x:f>IF(A303="","",IF(E303="","기타/불명",IF(IFERROR(SEARCH("급여",E303),0)&gt;0,"인건비",IF(IFERROR(SEARCH("임차",E303),0)&gt;0,"임차·시설",IF(IFERROR(SEARCH("광고",E303),0)&gt;0,"광고·행사",IF(IFERROR(SEARCH("용역",E303),0)&gt;0,"용역·수수료","기타/불명"))))))</x:f>
      </x:c>
      <x:c r="J303" s="77" t="str">
        <x:f>IF(A303="","",IF(I303="기타/불명","확인 필요","결의서명으로 1차 확인"))</x:f>
      </x:c>
      <x:c r="K303" s="78"/>
    </x:row>
    <x:row r="304">
      <x:c r="A304" s="73"/>
      <x:c r="B304" s="73"/>
      <x:c r="C304" s="74"/>
      <x:c r="D304" s="73"/>
      <x:c r="E304" s="73"/>
      <x:c r="F304" s="75"/>
      <x:c r="G304" s="75"/>
      <x:c r="H304" s="76" t="str">
        <x:f>IF(A304="","",F304-G304)</x:f>
      </x:c>
      <x:c r="I304" s="77" t="str">
        <x:f>IF(A304="","",IF(E304="","기타/불명",IF(IFERROR(SEARCH("급여",E304),0)&gt;0,"인건비",IF(IFERROR(SEARCH("임차",E304),0)&gt;0,"임차·시설",IF(IFERROR(SEARCH("광고",E304),0)&gt;0,"광고·행사",IF(IFERROR(SEARCH("용역",E304),0)&gt;0,"용역·수수료","기타/불명"))))))</x:f>
      </x:c>
      <x:c r="J304" s="77" t="str">
        <x:f>IF(A304="","",IF(I304="기타/불명","확인 필요","결의서명으로 1차 확인"))</x:f>
      </x:c>
      <x:c r="K304" s="78"/>
    </x:row>
    <x:row r="305">
      <x:c r="A305" s="73"/>
      <x:c r="B305" s="73"/>
      <x:c r="C305" s="74"/>
      <x:c r="D305" s="73"/>
      <x:c r="E305" s="73"/>
      <x:c r="F305" s="75"/>
      <x:c r="G305" s="75"/>
      <x:c r="H305" s="76" t="str">
        <x:f>IF(A305="","",F305-G305)</x:f>
      </x:c>
      <x:c r="I305" s="77" t="str">
        <x:f>IF(A305="","",IF(E305="","기타/불명",IF(IFERROR(SEARCH("급여",E305),0)&gt;0,"인건비",IF(IFERROR(SEARCH("임차",E305),0)&gt;0,"임차·시설",IF(IFERROR(SEARCH("광고",E305),0)&gt;0,"광고·행사",IF(IFERROR(SEARCH("용역",E305),0)&gt;0,"용역·수수료","기타/불명"))))))</x:f>
      </x:c>
      <x:c r="J305" s="77" t="str">
        <x:f>IF(A305="","",IF(I305="기타/불명","확인 필요","결의서명으로 1차 확인"))</x:f>
      </x:c>
      <x:c r="K305" s="78"/>
    </x:row>
    <x:row r="306">
      <x:c r="A306" s="73"/>
      <x:c r="B306" s="73"/>
      <x:c r="C306" s="74"/>
      <x:c r="D306" s="73"/>
      <x:c r="E306" s="73"/>
      <x:c r="F306" s="75"/>
      <x:c r="G306" s="75"/>
      <x:c r="H306" s="76" t="str">
        <x:f>IF(A306="","",F306-G306)</x:f>
      </x:c>
      <x:c r="I306" s="77" t="str">
        <x:f>IF(A306="","",IF(E306="","기타/불명",IF(IFERROR(SEARCH("급여",E306),0)&gt;0,"인건비",IF(IFERROR(SEARCH("임차",E306),0)&gt;0,"임차·시설",IF(IFERROR(SEARCH("광고",E306),0)&gt;0,"광고·행사",IF(IFERROR(SEARCH("용역",E306),0)&gt;0,"용역·수수료","기타/불명"))))))</x:f>
      </x:c>
      <x:c r="J306" s="77" t="str">
        <x:f>IF(A306="","",IF(I306="기타/불명","확인 필요","결의서명으로 1차 확인"))</x:f>
      </x:c>
      <x:c r="K306" s="78"/>
    </x:row>
    <x:row r="307">
      <x:c r="A307" s="73"/>
      <x:c r="B307" s="73"/>
      <x:c r="C307" s="74"/>
      <x:c r="D307" s="73"/>
      <x:c r="E307" s="73"/>
      <x:c r="F307" s="75"/>
      <x:c r="G307" s="75"/>
      <x:c r="H307" s="76" t="str">
        <x:f>IF(A307="","",F307-G307)</x:f>
      </x:c>
      <x:c r="I307" s="77" t="str">
        <x:f>IF(A307="","",IF(E307="","기타/불명",IF(IFERROR(SEARCH("급여",E307),0)&gt;0,"인건비",IF(IFERROR(SEARCH("임차",E307),0)&gt;0,"임차·시설",IF(IFERROR(SEARCH("광고",E307),0)&gt;0,"광고·행사",IF(IFERROR(SEARCH("용역",E307),0)&gt;0,"용역·수수료","기타/불명"))))))</x:f>
      </x:c>
      <x:c r="J307" s="77" t="str">
        <x:f>IF(A307="","",IF(I307="기타/불명","확인 필요","결의서명으로 1차 확인"))</x:f>
      </x:c>
      <x:c r="K307" s="78"/>
    </x:row>
    <x:row r="308">
      <x:c r="A308" s="73"/>
      <x:c r="B308" s="73"/>
      <x:c r="C308" s="74"/>
      <x:c r="D308" s="73"/>
      <x:c r="E308" s="73"/>
      <x:c r="F308" s="75"/>
      <x:c r="G308" s="75"/>
      <x:c r="H308" s="76" t="str">
        <x:f>IF(A308="","",F308-G308)</x:f>
      </x:c>
      <x:c r="I308" s="77" t="str">
        <x:f>IF(A308="","",IF(E308="","기타/불명",IF(IFERROR(SEARCH("급여",E308),0)&gt;0,"인건비",IF(IFERROR(SEARCH("임차",E308),0)&gt;0,"임차·시설",IF(IFERROR(SEARCH("광고",E308),0)&gt;0,"광고·행사",IF(IFERROR(SEARCH("용역",E308),0)&gt;0,"용역·수수료","기타/불명"))))))</x:f>
      </x:c>
      <x:c r="J308" s="77" t="str">
        <x:f>IF(A308="","",IF(I308="기타/불명","확인 필요","결의서명으로 1차 확인"))</x:f>
      </x:c>
      <x:c r="K308" s="78"/>
    </x:row>
    <x:row r="309">
      <x:c r="A309" s="73"/>
      <x:c r="B309" s="73"/>
      <x:c r="C309" s="74"/>
      <x:c r="D309" s="73"/>
      <x:c r="E309" s="73"/>
      <x:c r="F309" s="75"/>
      <x:c r="G309" s="75"/>
      <x:c r="H309" s="76" t="str">
        <x:f>IF(A309="","",F309-G309)</x:f>
      </x:c>
      <x:c r="I309" s="77" t="str">
        <x:f>IF(A309="","",IF(E309="","기타/불명",IF(IFERROR(SEARCH("급여",E309),0)&gt;0,"인건비",IF(IFERROR(SEARCH("임차",E309),0)&gt;0,"임차·시설",IF(IFERROR(SEARCH("광고",E309),0)&gt;0,"광고·행사",IF(IFERROR(SEARCH("용역",E309),0)&gt;0,"용역·수수료","기타/불명"))))))</x:f>
      </x:c>
      <x:c r="J309" s="77" t="str">
        <x:f>IF(A309="","",IF(I309="기타/불명","확인 필요","결의서명으로 1차 확인"))</x:f>
      </x:c>
      <x:c r="K309" s="78"/>
    </x:row>
    <x:row r="310">
      <x:c r="A310" s="73"/>
      <x:c r="B310" s="73"/>
      <x:c r="C310" s="74"/>
      <x:c r="D310" s="73"/>
      <x:c r="E310" s="73"/>
      <x:c r="F310" s="75"/>
      <x:c r="G310" s="75"/>
      <x:c r="H310" s="76" t="str">
        <x:f>IF(A310="","",F310-G310)</x:f>
      </x:c>
      <x:c r="I310" s="77" t="str">
        <x:f>IF(A310="","",IF(E310="","기타/불명",IF(IFERROR(SEARCH("급여",E310),0)&gt;0,"인건비",IF(IFERROR(SEARCH("임차",E310),0)&gt;0,"임차·시설",IF(IFERROR(SEARCH("광고",E310),0)&gt;0,"광고·행사",IF(IFERROR(SEARCH("용역",E310),0)&gt;0,"용역·수수료","기타/불명"))))))</x:f>
      </x:c>
      <x:c r="J310" s="77" t="str">
        <x:f>IF(A310="","",IF(I310="기타/불명","확인 필요","결의서명으로 1차 확인"))</x:f>
      </x:c>
      <x:c r="K310" s="78"/>
    </x:row>
    <x:row r="311">
      <x:c r="A311" s="73"/>
      <x:c r="B311" s="73"/>
      <x:c r="C311" s="74"/>
      <x:c r="D311" s="73"/>
      <x:c r="E311" s="73"/>
      <x:c r="F311" s="75"/>
      <x:c r="G311" s="75"/>
      <x:c r="H311" s="76" t="str">
        <x:f>IF(A311="","",F311-G311)</x:f>
      </x:c>
      <x:c r="I311" s="77" t="str">
        <x:f>IF(A311="","",IF(E311="","기타/불명",IF(IFERROR(SEARCH("급여",E311),0)&gt;0,"인건비",IF(IFERROR(SEARCH("임차",E311),0)&gt;0,"임차·시설",IF(IFERROR(SEARCH("광고",E311),0)&gt;0,"광고·행사",IF(IFERROR(SEARCH("용역",E311),0)&gt;0,"용역·수수료","기타/불명"))))))</x:f>
      </x:c>
      <x:c r="J311" s="77" t="str">
        <x:f>IF(A311="","",IF(I311="기타/불명","확인 필요","결의서명으로 1차 확인"))</x:f>
      </x:c>
      <x:c r="K311" s="78"/>
    </x:row>
    <x:row r="312">
      <x:c r="A312" s="73"/>
      <x:c r="B312" s="73"/>
      <x:c r="C312" s="74"/>
      <x:c r="D312" s="73"/>
      <x:c r="E312" s="73"/>
      <x:c r="F312" s="75"/>
      <x:c r="G312" s="75"/>
      <x:c r="H312" s="76" t="str">
        <x:f>IF(A312="","",F312-G312)</x:f>
      </x:c>
      <x:c r="I312" s="77" t="str">
        <x:f>IF(A312="","",IF(E312="","기타/불명",IF(IFERROR(SEARCH("급여",E312),0)&gt;0,"인건비",IF(IFERROR(SEARCH("임차",E312),0)&gt;0,"임차·시설",IF(IFERROR(SEARCH("광고",E312),0)&gt;0,"광고·행사",IF(IFERROR(SEARCH("용역",E312),0)&gt;0,"용역·수수료","기타/불명"))))))</x:f>
      </x:c>
      <x:c r="J312" s="77" t="str">
        <x:f>IF(A312="","",IF(I312="기타/불명","확인 필요","결의서명으로 1차 확인"))</x:f>
      </x:c>
      <x:c r="K312" s="78"/>
    </x:row>
    <x:row r="313">
      <x:c r="A313" s="73"/>
      <x:c r="B313" s="73"/>
      <x:c r="C313" s="74"/>
      <x:c r="D313" s="73"/>
      <x:c r="E313" s="73"/>
      <x:c r="F313" s="75"/>
      <x:c r="G313" s="75"/>
      <x:c r="H313" s="76" t="str">
        <x:f>IF(A313="","",F313-G313)</x:f>
      </x:c>
      <x:c r="I313" s="77" t="str">
        <x:f>IF(A313="","",IF(E313="","기타/불명",IF(IFERROR(SEARCH("급여",E313),0)&gt;0,"인건비",IF(IFERROR(SEARCH("임차",E313),0)&gt;0,"임차·시설",IF(IFERROR(SEARCH("광고",E313),0)&gt;0,"광고·행사",IF(IFERROR(SEARCH("용역",E313),0)&gt;0,"용역·수수료","기타/불명"))))))</x:f>
      </x:c>
      <x:c r="J313" s="77" t="str">
        <x:f>IF(A313="","",IF(I313="기타/불명","확인 필요","결의서명으로 1차 확인"))</x:f>
      </x:c>
      <x:c r="K313" s="78"/>
    </x:row>
    <x:row r="314">
      <x:c r="A314" s="73"/>
      <x:c r="B314" s="73"/>
      <x:c r="C314" s="74"/>
      <x:c r="D314" s="73"/>
      <x:c r="E314" s="73"/>
      <x:c r="F314" s="75"/>
      <x:c r="G314" s="75"/>
      <x:c r="H314" s="76" t="str">
        <x:f>IF(A314="","",F314-G314)</x:f>
      </x:c>
      <x:c r="I314" s="77" t="str">
        <x:f>IF(A314="","",IF(E314="","기타/불명",IF(IFERROR(SEARCH("급여",E314),0)&gt;0,"인건비",IF(IFERROR(SEARCH("임차",E314),0)&gt;0,"임차·시설",IF(IFERROR(SEARCH("광고",E314),0)&gt;0,"광고·행사",IF(IFERROR(SEARCH("용역",E314),0)&gt;0,"용역·수수료","기타/불명"))))))</x:f>
      </x:c>
      <x:c r="J314" s="77" t="str">
        <x:f>IF(A314="","",IF(I314="기타/불명","확인 필요","결의서명으로 1차 확인"))</x:f>
      </x:c>
      <x:c r="K314" s="78"/>
    </x:row>
    <x:row r="315">
      <x:c r="A315" s="73"/>
      <x:c r="B315" s="73"/>
      <x:c r="C315" s="74"/>
      <x:c r="D315" s="73"/>
      <x:c r="E315" s="73"/>
      <x:c r="F315" s="75"/>
      <x:c r="G315" s="75"/>
      <x:c r="H315" s="76" t="str">
        <x:f>IF(A315="","",F315-G315)</x:f>
      </x:c>
      <x:c r="I315" s="77" t="str">
        <x:f>IF(A315="","",IF(E315="","기타/불명",IF(IFERROR(SEARCH("급여",E315),0)&gt;0,"인건비",IF(IFERROR(SEARCH("임차",E315),0)&gt;0,"임차·시설",IF(IFERROR(SEARCH("광고",E315),0)&gt;0,"광고·행사",IF(IFERROR(SEARCH("용역",E315),0)&gt;0,"용역·수수료","기타/불명"))))))</x:f>
      </x:c>
      <x:c r="J315" s="77" t="str">
        <x:f>IF(A315="","",IF(I315="기타/불명","확인 필요","결의서명으로 1차 확인"))</x:f>
      </x:c>
      <x:c r="K315" s="78"/>
    </x:row>
    <x:row r="316">
      <x:c r="A316" s="73"/>
      <x:c r="B316" s="73"/>
      <x:c r="C316" s="74"/>
      <x:c r="D316" s="73"/>
      <x:c r="E316" s="73"/>
      <x:c r="F316" s="75"/>
      <x:c r="G316" s="75"/>
      <x:c r="H316" s="76" t="str">
        <x:f>IF(A316="","",F316-G316)</x:f>
      </x:c>
      <x:c r="I316" s="77" t="str">
        <x:f>IF(A316="","",IF(E316="","기타/불명",IF(IFERROR(SEARCH("급여",E316),0)&gt;0,"인건비",IF(IFERROR(SEARCH("임차",E316),0)&gt;0,"임차·시설",IF(IFERROR(SEARCH("광고",E316),0)&gt;0,"광고·행사",IF(IFERROR(SEARCH("용역",E316),0)&gt;0,"용역·수수료","기타/불명"))))))</x:f>
      </x:c>
      <x:c r="J316" s="77" t="str">
        <x:f>IF(A316="","",IF(I316="기타/불명","확인 필요","결의서명으로 1차 확인"))</x:f>
      </x:c>
      <x:c r="K316" s="78"/>
    </x:row>
    <x:row r="317">
      <x:c r="A317" s="73"/>
      <x:c r="B317" s="73"/>
      <x:c r="C317" s="74"/>
      <x:c r="D317" s="73"/>
      <x:c r="E317" s="73"/>
      <x:c r="F317" s="75"/>
      <x:c r="G317" s="75"/>
      <x:c r="H317" s="76" t="str">
        <x:f>IF(A317="","",F317-G317)</x:f>
      </x:c>
      <x:c r="I317" s="77" t="str">
        <x:f>IF(A317="","",IF(E317="","기타/불명",IF(IFERROR(SEARCH("급여",E317),0)&gt;0,"인건비",IF(IFERROR(SEARCH("임차",E317),0)&gt;0,"임차·시설",IF(IFERROR(SEARCH("광고",E317),0)&gt;0,"광고·행사",IF(IFERROR(SEARCH("용역",E317),0)&gt;0,"용역·수수료","기타/불명"))))))</x:f>
      </x:c>
      <x:c r="J317" s="77" t="str">
        <x:f>IF(A317="","",IF(I317="기타/불명","확인 필요","결의서명으로 1차 확인"))</x:f>
      </x:c>
      <x:c r="K317" s="78"/>
    </x:row>
    <x:row r="318">
      <x:c r="A318" s="73"/>
      <x:c r="B318" s="73"/>
      <x:c r="C318" s="74"/>
      <x:c r="D318" s="73"/>
      <x:c r="E318" s="73"/>
      <x:c r="F318" s="75"/>
      <x:c r="G318" s="75"/>
      <x:c r="H318" s="76" t="str">
        <x:f>IF(A318="","",F318-G318)</x:f>
      </x:c>
      <x:c r="I318" s="77" t="str">
        <x:f>IF(A318="","",IF(E318="","기타/불명",IF(IFERROR(SEARCH("급여",E318),0)&gt;0,"인건비",IF(IFERROR(SEARCH("임차",E318),0)&gt;0,"임차·시설",IF(IFERROR(SEARCH("광고",E318),0)&gt;0,"광고·행사",IF(IFERROR(SEARCH("용역",E318),0)&gt;0,"용역·수수료","기타/불명"))))))</x:f>
      </x:c>
      <x:c r="J318" s="77" t="str">
        <x:f>IF(A318="","",IF(I318="기타/불명","확인 필요","결의서명으로 1차 확인"))</x:f>
      </x:c>
      <x:c r="K318" s="78"/>
    </x:row>
    <x:row r="319">
      <x:c r="A319" s="73"/>
      <x:c r="B319" s="73"/>
      <x:c r="C319" s="74"/>
      <x:c r="D319" s="73"/>
      <x:c r="E319" s="73"/>
      <x:c r="F319" s="75"/>
      <x:c r="G319" s="75"/>
      <x:c r="H319" s="76" t="str">
        <x:f>IF(A319="","",F319-G319)</x:f>
      </x:c>
      <x:c r="I319" s="77" t="str">
        <x:f>IF(A319="","",IF(E319="","기타/불명",IF(IFERROR(SEARCH("급여",E319),0)&gt;0,"인건비",IF(IFERROR(SEARCH("임차",E319),0)&gt;0,"임차·시설",IF(IFERROR(SEARCH("광고",E319),0)&gt;0,"광고·행사",IF(IFERROR(SEARCH("용역",E319),0)&gt;0,"용역·수수료","기타/불명"))))))</x:f>
      </x:c>
      <x:c r="J319" s="77" t="str">
        <x:f>IF(A319="","",IF(I319="기타/불명","확인 필요","결의서명으로 1차 확인"))</x:f>
      </x:c>
      <x:c r="K319" s="78"/>
    </x:row>
    <x:row r="320">
      <x:c r="A320" s="73"/>
      <x:c r="B320" s="73"/>
      <x:c r="C320" s="74"/>
      <x:c r="D320" s="73"/>
      <x:c r="E320" s="73"/>
      <x:c r="F320" s="75"/>
      <x:c r="G320" s="75"/>
      <x:c r="H320" s="76" t="str">
        <x:f>IF(A320="","",F320-G320)</x:f>
      </x:c>
      <x:c r="I320" s="77" t="str">
        <x:f>IF(A320="","",IF(E320="","기타/불명",IF(IFERROR(SEARCH("급여",E320),0)&gt;0,"인건비",IF(IFERROR(SEARCH("임차",E320),0)&gt;0,"임차·시설",IF(IFERROR(SEARCH("광고",E320),0)&gt;0,"광고·행사",IF(IFERROR(SEARCH("용역",E320),0)&gt;0,"용역·수수료","기타/불명"))))))</x:f>
      </x:c>
      <x:c r="J320" s="77" t="str">
        <x:f>IF(A320="","",IF(I320="기타/불명","확인 필요","결의서명으로 1차 확인"))</x:f>
      </x:c>
      <x:c r="K320" s="78"/>
    </x:row>
    <x:row r="321">
      <x:c r="A321" s="73"/>
      <x:c r="B321" s="73"/>
      <x:c r="C321" s="74"/>
      <x:c r="D321" s="73"/>
      <x:c r="E321" s="73"/>
      <x:c r="F321" s="75"/>
      <x:c r="G321" s="75"/>
      <x:c r="H321" s="76" t="str">
        <x:f>IF(A321="","",F321-G321)</x:f>
      </x:c>
      <x:c r="I321" s="77" t="str">
        <x:f>IF(A321="","",IF(E321="","기타/불명",IF(IFERROR(SEARCH("급여",E321),0)&gt;0,"인건비",IF(IFERROR(SEARCH("임차",E321),0)&gt;0,"임차·시설",IF(IFERROR(SEARCH("광고",E321),0)&gt;0,"광고·행사",IF(IFERROR(SEARCH("용역",E321),0)&gt;0,"용역·수수료","기타/불명"))))))</x:f>
      </x:c>
      <x:c r="J321" s="77" t="str">
        <x:f>IF(A321="","",IF(I321="기타/불명","확인 필요","결의서명으로 1차 확인"))</x:f>
      </x:c>
      <x:c r="K321" s="78"/>
    </x:row>
    <x:row r="322">
      <x:c r="A322" s="73"/>
      <x:c r="B322" s="73"/>
      <x:c r="C322" s="74"/>
      <x:c r="D322" s="73"/>
      <x:c r="E322" s="73"/>
      <x:c r="F322" s="75"/>
      <x:c r="G322" s="75"/>
      <x:c r="H322" s="76" t="str">
        <x:f>IF(A322="","",F322-G322)</x:f>
      </x:c>
      <x:c r="I322" s="77" t="str">
        <x:f>IF(A322="","",IF(E322="","기타/불명",IF(IFERROR(SEARCH("급여",E322),0)&gt;0,"인건비",IF(IFERROR(SEARCH("임차",E322),0)&gt;0,"임차·시설",IF(IFERROR(SEARCH("광고",E322),0)&gt;0,"광고·행사",IF(IFERROR(SEARCH("용역",E322),0)&gt;0,"용역·수수료","기타/불명"))))))</x:f>
      </x:c>
      <x:c r="J322" s="77" t="str">
        <x:f>IF(A322="","",IF(I322="기타/불명","확인 필요","결의서명으로 1차 확인"))</x:f>
      </x:c>
      <x:c r="K322" s="78"/>
    </x:row>
    <x:row r="323">
      <x:c r="A323" s="73"/>
      <x:c r="B323" s="73"/>
      <x:c r="C323" s="74"/>
      <x:c r="D323" s="73"/>
      <x:c r="E323" s="73"/>
      <x:c r="F323" s="75"/>
      <x:c r="G323" s="75"/>
      <x:c r="H323" s="76" t="str">
        <x:f>IF(A323="","",F323-G323)</x:f>
      </x:c>
      <x:c r="I323" s="77" t="str">
        <x:f>IF(A323="","",IF(E323="","기타/불명",IF(IFERROR(SEARCH("급여",E323),0)&gt;0,"인건비",IF(IFERROR(SEARCH("임차",E323),0)&gt;0,"임차·시설",IF(IFERROR(SEARCH("광고",E323),0)&gt;0,"광고·행사",IF(IFERROR(SEARCH("용역",E323),0)&gt;0,"용역·수수료","기타/불명"))))))</x:f>
      </x:c>
      <x:c r="J323" s="77" t="str">
        <x:f>IF(A323="","",IF(I323="기타/불명","확인 필요","결의서명으로 1차 확인"))</x:f>
      </x:c>
      <x:c r="K323" s="78"/>
    </x:row>
    <x:row r="324">
      <x:c r="A324" s="73"/>
      <x:c r="B324" s="73"/>
      <x:c r="C324" s="74"/>
      <x:c r="D324" s="73"/>
      <x:c r="E324" s="73"/>
      <x:c r="F324" s="75"/>
      <x:c r="G324" s="75"/>
      <x:c r="H324" s="76" t="str">
        <x:f>IF(A324="","",F324-G324)</x:f>
      </x:c>
      <x:c r="I324" s="77" t="str">
        <x:f>IF(A324="","",IF(E324="","기타/불명",IF(IFERROR(SEARCH("급여",E324),0)&gt;0,"인건비",IF(IFERROR(SEARCH("임차",E324),0)&gt;0,"임차·시설",IF(IFERROR(SEARCH("광고",E324),0)&gt;0,"광고·행사",IF(IFERROR(SEARCH("용역",E324),0)&gt;0,"용역·수수료","기타/불명"))))))</x:f>
      </x:c>
      <x:c r="J324" s="77" t="str">
        <x:f>IF(A324="","",IF(I324="기타/불명","확인 필요","결의서명으로 1차 확인"))</x:f>
      </x:c>
      <x:c r="K324" s="78"/>
    </x:row>
    <x:row r="325">
      <x:c r="A325" s="73"/>
      <x:c r="B325" s="73"/>
      <x:c r="C325" s="74"/>
      <x:c r="D325" s="73"/>
      <x:c r="E325" s="73"/>
      <x:c r="F325" s="75"/>
      <x:c r="G325" s="75"/>
      <x:c r="H325" s="76" t="str">
        <x:f>IF(A325="","",F325-G325)</x:f>
      </x:c>
      <x:c r="I325" s="77" t="str">
        <x:f>IF(A325="","",IF(E325="","기타/불명",IF(IFERROR(SEARCH("급여",E325),0)&gt;0,"인건비",IF(IFERROR(SEARCH("임차",E325),0)&gt;0,"임차·시설",IF(IFERROR(SEARCH("광고",E325),0)&gt;0,"광고·행사",IF(IFERROR(SEARCH("용역",E325),0)&gt;0,"용역·수수료","기타/불명"))))))</x:f>
      </x:c>
      <x:c r="J325" s="77" t="str">
        <x:f>IF(A325="","",IF(I325="기타/불명","확인 필요","결의서명으로 1차 확인"))</x:f>
      </x:c>
      <x:c r="K325" s="78"/>
    </x:row>
    <x:row r="326">
      <x:c r="A326" s="73"/>
      <x:c r="B326" s="73"/>
      <x:c r="C326" s="74"/>
      <x:c r="D326" s="73"/>
      <x:c r="E326" s="73"/>
      <x:c r="F326" s="75"/>
      <x:c r="G326" s="75"/>
      <x:c r="H326" s="76" t="str">
        <x:f>IF(A326="","",F326-G326)</x:f>
      </x:c>
      <x:c r="I326" s="77" t="str">
        <x:f>IF(A326="","",IF(E326="","기타/불명",IF(IFERROR(SEARCH("급여",E326),0)&gt;0,"인건비",IF(IFERROR(SEARCH("임차",E326),0)&gt;0,"임차·시설",IF(IFERROR(SEARCH("광고",E326),0)&gt;0,"광고·행사",IF(IFERROR(SEARCH("용역",E326),0)&gt;0,"용역·수수료","기타/불명"))))))</x:f>
      </x:c>
      <x:c r="J326" s="77" t="str">
        <x:f>IF(A326="","",IF(I326="기타/불명","확인 필요","결의서명으로 1차 확인"))</x:f>
      </x:c>
      <x:c r="K326" s="78"/>
    </x:row>
    <x:row r="327">
      <x:c r="A327" s="73"/>
      <x:c r="B327" s="73"/>
      <x:c r="C327" s="74"/>
      <x:c r="D327" s="73"/>
      <x:c r="E327" s="73"/>
      <x:c r="F327" s="75"/>
      <x:c r="G327" s="75"/>
      <x:c r="H327" s="76" t="str">
        <x:f>IF(A327="","",F327-G327)</x:f>
      </x:c>
      <x:c r="I327" s="77" t="str">
        <x:f>IF(A327="","",IF(E327="","기타/불명",IF(IFERROR(SEARCH("급여",E327),0)&gt;0,"인건비",IF(IFERROR(SEARCH("임차",E327),0)&gt;0,"임차·시설",IF(IFERROR(SEARCH("광고",E327),0)&gt;0,"광고·행사",IF(IFERROR(SEARCH("용역",E327),0)&gt;0,"용역·수수료","기타/불명"))))))</x:f>
      </x:c>
      <x:c r="J327" s="77" t="str">
        <x:f>IF(A327="","",IF(I327="기타/불명","확인 필요","결의서명으로 1차 확인"))</x:f>
      </x:c>
      <x:c r="K327" s="78"/>
    </x:row>
    <x:row r="328">
      <x:c r="A328" s="73"/>
      <x:c r="B328" s="73"/>
      <x:c r="C328" s="74"/>
      <x:c r="D328" s="73"/>
      <x:c r="E328" s="73"/>
      <x:c r="F328" s="75"/>
      <x:c r="G328" s="75"/>
      <x:c r="H328" s="76" t="str">
        <x:f>IF(A328="","",F328-G328)</x:f>
      </x:c>
      <x:c r="I328" s="77" t="str">
        <x:f>IF(A328="","",IF(E328="","기타/불명",IF(IFERROR(SEARCH("급여",E328),0)&gt;0,"인건비",IF(IFERROR(SEARCH("임차",E328),0)&gt;0,"임차·시설",IF(IFERROR(SEARCH("광고",E328),0)&gt;0,"광고·행사",IF(IFERROR(SEARCH("용역",E328),0)&gt;0,"용역·수수료","기타/불명"))))))</x:f>
      </x:c>
      <x:c r="J328" s="77" t="str">
        <x:f>IF(A328="","",IF(I328="기타/불명","확인 필요","결의서명으로 1차 확인"))</x:f>
      </x:c>
      <x:c r="K328" s="78"/>
    </x:row>
    <x:row r="329">
      <x:c r="A329" s="73"/>
      <x:c r="B329" s="73"/>
      <x:c r="C329" s="74"/>
      <x:c r="D329" s="73"/>
      <x:c r="E329" s="73"/>
      <x:c r="F329" s="75"/>
      <x:c r="G329" s="75"/>
      <x:c r="H329" s="76" t="str">
        <x:f>IF(A329="","",F329-G329)</x:f>
      </x:c>
      <x:c r="I329" s="77" t="str">
        <x:f>IF(A329="","",IF(E329="","기타/불명",IF(IFERROR(SEARCH("급여",E329),0)&gt;0,"인건비",IF(IFERROR(SEARCH("임차",E329),0)&gt;0,"임차·시설",IF(IFERROR(SEARCH("광고",E329),0)&gt;0,"광고·행사",IF(IFERROR(SEARCH("용역",E329),0)&gt;0,"용역·수수료","기타/불명"))))))</x:f>
      </x:c>
      <x:c r="J329" s="77" t="str">
        <x:f>IF(A329="","",IF(I329="기타/불명","확인 필요","결의서명으로 1차 확인"))</x:f>
      </x:c>
      <x:c r="K329" s="78"/>
    </x:row>
    <x:row r="330">
      <x:c r="A330" s="73"/>
      <x:c r="B330" s="73"/>
      <x:c r="C330" s="74"/>
      <x:c r="D330" s="73"/>
      <x:c r="E330" s="73"/>
      <x:c r="F330" s="75"/>
      <x:c r="G330" s="75"/>
      <x:c r="H330" s="76" t="str">
        <x:f>IF(A330="","",F330-G330)</x:f>
      </x:c>
      <x:c r="I330" s="77" t="str">
        <x:f>IF(A330="","",IF(E330="","기타/불명",IF(IFERROR(SEARCH("급여",E330),0)&gt;0,"인건비",IF(IFERROR(SEARCH("임차",E330),0)&gt;0,"임차·시설",IF(IFERROR(SEARCH("광고",E330),0)&gt;0,"광고·행사",IF(IFERROR(SEARCH("용역",E330),0)&gt;0,"용역·수수료","기타/불명"))))))</x:f>
      </x:c>
      <x:c r="J330" s="77" t="str">
        <x:f>IF(A330="","",IF(I330="기타/불명","확인 필요","결의서명으로 1차 확인"))</x:f>
      </x:c>
      <x:c r="K330" s="78"/>
    </x:row>
    <x:row r="331">
      <x:c r="A331" s="73"/>
      <x:c r="B331" s="73"/>
      <x:c r="C331" s="74"/>
      <x:c r="D331" s="73"/>
      <x:c r="E331" s="73"/>
      <x:c r="F331" s="75"/>
      <x:c r="G331" s="75"/>
      <x:c r="H331" s="76" t="str">
        <x:f>IF(A331="","",F331-G331)</x:f>
      </x:c>
      <x:c r="I331" s="77" t="str">
        <x:f>IF(A331="","",IF(E331="","기타/불명",IF(IFERROR(SEARCH("급여",E331),0)&gt;0,"인건비",IF(IFERROR(SEARCH("임차",E331),0)&gt;0,"임차·시설",IF(IFERROR(SEARCH("광고",E331),0)&gt;0,"광고·행사",IF(IFERROR(SEARCH("용역",E331),0)&gt;0,"용역·수수료","기타/불명"))))))</x:f>
      </x:c>
      <x:c r="J331" s="77" t="str">
        <x:f>IF(A331="","",IF(I331="기타/불명","확인 필요","결의서명으로 1차 확인"))</x:f>
      </x:c>
      <x:c r="K331" s="78"/>
    </x:row>
    <x:row r="332">
      <x:c r="A332" s="73"/>
      <x:c r="B332" s="73"/>
      <x:c r="C332" s="74"/>
      <x:c r="D332" s="73"/>
      <x:c r="E332" s="73"/>
      <x:c r="F332" s="75"/>
      <x:c r="G332" s="75"/>
      <x:c r="H332" s="76" t="str">
        <x:f>IF(A332="","",F332-G332)</x:f>
      </x:c>
      <x:c r="I332" s="77" t="str">
        <x:f>IF(A332="","",IF(E332="","기타/불명",IF(IFERROR(SEARCH("급여",E332),0)&gt;0,"인건비",IF(IFERROR(SEARCH("임차",E332),0)&gt;0,"임차·시설",IF(IFERROR(SEARCH("광고",E332),0)&gt;0,"광고·행사",IF(IFERROR(SEARCH("용역",E332),0)&gt;0,"용역·수수료","기타/불명"))))))</x:f>
      </x:c>
      <x:c r="J332" s="77" t="str">
        <x:f>IF(A332="","",IF(I332="기타/불명","확인 필요","결의서명으로 1차 확인"))</x:f>
      </x:c>
      <x:c r="K332" s="78"/>
    </x:row>
    <x:row r="333">
      <x:c r="A333" s="73"/>
      <x:c r="B333" s="73"/>
      <x:c r="C333" s="74"/>
      <x:c r="D333" s="73"/>
      <x:c r="E333" s="73"/>
      <x:c r="F333" s="75"/>
      <x:c r="G333" s="75"/>
      <x:c r="H333" s="76" t="str">
        <x:f>IF(A333="","",F333-G333)</x:f>
      </x:c>
      <x:c r="I333" s="77" t="str">
        <x:f>IF(A333="","",IF(E333="","기타/불명",IF(IFERROR(SEARCH("급여",E333),0)&gt;0,"인건비",IF(IFERROR(SEARCH("임차",E333),0)&gt;0,"임차·시설",IF(IFERROR(SEARCH("광고",E333),0)&gt;0,"광고·행사",IF(IFERROR(SEARCH("용역",E333),0)&gt;0,"용역·수수료","기타/불명"))))))</x:f>
      </x:c>
      <x:c r="J333" s="77" t="str">
        <x:f>IF(A333="","",IF(I333="기타/불명","확인 필요","결의서명으로 1차 확인"))</x:f>
      </x:c>
      <x:c r="K333" s="78"/>
    </x:row>
    <x:row r="334">
      <x:c r="A334" s="73"/>
      <x:c r="B334" s="73"/>
      <x:c r="C334" s="74"/>
      <x:c r="D334" s="73"/>
      <x:c r="E334" s="73"/>
      <x:c r="F334" s="75"/>
      <x:c r="G334" s="75"/>
      <x:c r="H334" s="76" t="str">
        <x:f>IF(A334="","",F334-G334)</x:f>
      </x:c>
      <x:c r="I334" s="77" t="str">
        <x:f>IF(A334="","",IF(E334="","기타/불명",IF(IFERROR(SEARCH("급여",E334),0)&gt;0,"인건비",IF(IFERROR(SEARCH("임차",E334),0)&gt;0,"임차·시설",IF(IFERROR(SEARCH("광고",E334),0)&gt;0,"광고·행사",IF(IFERROR(SEARCH("용역",E334),0)&gt;0,"용역·수수료","기타/불명"))))))</x:f>
      </x:c>
      <x:c r="J334" s="77" t="str">
        <x:f>IF(A334="","",IF(I334="기타/불명","확인 필요","결의서명으로 1차 확인"))</x:f>
      </x:c>
      <x:c r="K334" s="78"/>
    </x:row>
    <x:row r="335">
      <x:c r="A335" s="73"/>
      <x:c r="B335" s="73"/>
      <x:c r="C335" s="74"/>
      <x:c r="D335" s="73"/>
      <x:c r="E335" s="73"/>
      <x:c r="F335" s="75"/>
      <x:c r="G335" s="75"/>
      <x:c r="H335" s="76" t="str">
        <x:f>IF(A335="","",F335-G335)</x:f>
      </x:c>
      <x:c r="I335" s="77" t="str">
        <x:f>IF(A335="","",IF(E335="","기타/불명",IF(IFERROR(SEARCH("급여",E335),0)&gt;0,"인건비",IF(IFERROR(SEARCH("임차",E335),0)&gt;0,"임차·시설",IF(IFERROR(SEARCH("광고",E335),0)&gt;0,"광고·행사",IF(IFERROR(SEARCH("용역",E335),0)&gt;0,"용역·수수료","기타/불명"))))))</x:f>
      </x:c>
      <x:c r="J335" s="77" t="str">
        <x:f>IF(A335="","",IF(I335="기타/불명","확인 필요","결의서명으로 1차 확인"))</x:f>
      </x:c>
      <x:c r="K335" s="78"/>
    </x:row>
    <x:row r="336">
      <x:c r="A336" s="73"/>
      <x:c r="B336" s="73"/>
      <x:c r="C336" s="74"/>
      <x:c r="D336" s="73"/>
      <x:c r="E336" s="73"/>
      <x:c r="F336" s="75"/>
      <x:c r="G336" s="75"/>
      <x:c r="H336" s="76" t="str">
        <x:f>IF(A336="","",F336-G336)</x:f>
      </x:c>
      <x:c r="I336" s="77" t="str">
        <x:f>IF(A336="","",IF(E336="","기타/불명",IF(IFERROR(SEARCH("급여",E336),0)&gt;0,"인건비",IF(IFERROR(SEARCH("임차",E336),0)&gt;0,"임차·시설",IF(IFERROR(SEARCH("광고",E336),0)&gt;0,"광고·행사",IF(IFERROR(SEARCH("용역",E336),0)&gt;0,"용역·수수료","기타/불명"))))))</x:f>
      </x:c>
      <x:c r="J336" s="77" t="str">
        <x:f>IF(A336="","",IF(I336="기타/불명","확인 필요","결의서명으로 1차 확인"))</x:f>
      </x:c>
      <x:c r="K336" s="78"/>
    </x:row>
    <x:row r="337">
      <x:c r="A337" s="73"/>
      <x:c r="B337" s="73"/>
      <x:c r="C337" s="74"/>
      <x:c r="D337" s="73"/>
      <x:c r="E337" s="73"/>
      <x:c r="F337" s="75"/>
      <x:c r="G337" s="75"/>
      <x:c r="H337" s="76" t="str">
        <x:f>IF(A337="","",F337-G337)</x:f>
      </x:c>
      <x:c r="I337" s="77" t="str">
        <x:f>IF(A337="","",IF(E337="","기타/불명",IF(IFERROR(SEARCH("급여",E337),0)&gt;0,"인건비",IF(IFERROR(SEARCH("임차",E337),0)&gt;0,"임차·시설",IF(IFERROR(SEARCH("광고",E337),0)&gt;0,"광고·행사",IF(IFERROR(SEARCH("용역",E337),0)&gt;0,"용역·수수료","기타/불명"))))))</x:f>
      </x:c>
      <x:c r="J337" s="77" t="str">
        <x:f>IF(A337="","",IF(I337="기타/불명","확인 필요","결의서명으로 1차 확인"))</x:f>
      </x:c>
      <x:c r="K337" s="78"/>
    </x:row>
    <x:row r="338">
      <x:c r="A338" s="73"/>
      <x:c r="B338" s="73"/>
      <x:c r="C338" s="74"/>
      <x:c r="D338" s="73"/>
      <x:c r="E338" s="73"/>
      <x:c r="F338" s="75"/>
      <x:c r="G338" s="75"/>
      <x:c r="H338" s="76" t="str">
        <x:f>IF(A338="","",F338-G338)</x:f>
      </x:c>
      <x:c r="I338" s="77" t="str">
        <x:f>IF(A338="","",IF(E338="","기타/불명",IF(IFERROR(SEARCH("급여",E338),0)&gt;0,"인건비",IF(IFERROR(SEARCH("임차",E338),0)&gt;0,"임차·시설",IF(IFERROR(SEARCH("광고",E338),0)&gt;0,"광고·행사",IF(IFERROR(SEARCH("용역",E338),0)&gt;0,"용역·수수료","기타/불명"))))))</x:f>
      </x:c>
      <x:c r="J338" s="77" t="str">
        <x:f>IF(A338="","",IF(I338="기타/불명","확인 필요","결의서명으로 1차 확인"))</x:f>
      </x:c>
      <x:c r="K338" s="78"/>
    </x:row>
    <x:row r="339">
      <x:c r="A339" s="73"/>
      <x:c r="B339" s="73"/>
      <x:c r="C339" s="74"/>
      <x:c r="D339" s="73"/>
      <x:c r="E339" s="73"/>
      <x:c r="F339" s="75"/>
      <x:c r="G339" s="75"/>
      <x:c r="H339" s="76" t="str">
        <x:f>IF(A339="","",F339-G339)</x:f>
      </x:c>
      <x:c r="I339" s="77" t="str">
        <x:f>IF(A339="","",IF(E339="","기타/불명",IF(IFERROR(SEARCH("급여",E339),0)&gt;0,"인건비",IF(IFERROR(SEARCH("임차",E339),0)&gt;0,"임차·시설",IF(IFERROR(SEARCH("광고",E339),0)&gt;0,"광고·행사",IF(IFERROR(SEARCH("용역",E339),0)&gt;0,"용역·수수료","기타/불명"))))))</x:f>
      </x:c>
      <x:c r="J339" s="77" t="str">
        <x:f>IF(A339="","",IF(I339="기타/불명","확인 필요","결의서명으로 1차 확인"))</x:f>
      </x:c>
      <x:c r="K339" s="78"/>
    </x:row>
    <x:row r="340">
      <x:c r="A340" s="73"/>
      <x:c r="B340" s="73"/>
      <x:c r="C340" s="74"/>
      <x:c r="D340" s="73"/>
      <x:c r="E340" s="73"/>
      <x:c r="F340" s="75"/>
      <x:c r="G340" s="75"/>
      <x:c r="H340" s="76" t="str">
        <x:f>IF(A340="","",F340-G340)</x:f>
      </x:c>
      <x:c r="I340" s="77" t="str">
        <x:f>IF(A340="","",IF(E340="","기타/불명",IF(IFERROR(SEARCH("급여",E340),0)&gt;0,"인건비",IF(IFERROR(SEARCH("임차",E340),0)&gt;0,"임차·시설",IF(IFERROR(SEARCH("광고",E340),0)&gt;0,"광고·행사",IF(IFERROR(SEARCH("용역",E340),0)&gt;0,"용역·수수료","기타/불명"))))))</x:f>
      </x:c>
      <x:c r="J340" s="77" t="str">
        <x:f>IF(A340="","",IF(I340="기타/불명","확인 필요","결의서명으로 1차 확인"))</x:f>
      </x:c>
      <x:c r="K340" s="78"/>
    </x:row>
    <x:row r="341">
      <x:c r="A341" s="73"/>
      <x:c r="B341" s="73"/>
      <x:c r="C341" s="74"/>
      <x:c r="D341" s="73"/>
      <x:c r="E341" s="73"/>
      <x:c r="F341" s="75"/>
      <x:c r="G341" s="75"/>
      <x:c r="H341" s="76" t="str">
        <x:f>IF(A341="","",F341-G341)</x:f>
      </x:c>
      <x:c r="I341" s="77" t="str">
        <x:f>IF(A341="","",IF(E341="","기타/불명",IF(IFERROR(SEARCH("급여",E341),0)&gt;0,"인건비",IF(IFERROR(SEARCH("임차",E341),0)&gt;0,"임차·시설",IF(IFERROR(SEARCH("광고",E341),0)&gt;0,"광고·행사",IF(IFERROR(SEARCH("용역",E341),0)&gt;0,"용역·수수료","기타/불명"))))))</x:f>
      </x:c>
      <x:c r="J341" s="77" t="str">
        <x:f>IF(A341="","",IF(I341="기타/불명","확인 필요","결의서명으로 1차 확인"))</x:f>
      </x:c>
      <x:c r="K341" s="78"/>
    </x:row>
    <x:row r="342">
      <x:c r="A342" s="73"/>
      <x:c r="B342" s="73"/>
      <x:c r="C342" s="74"/>
      <x:c r="D342" s="73"/>
      <x:c r="E342" s="73"/>
      <x:c r="F342" s="75"/>
      <x:c r="G342" s="75"/>
      <x:c r="H342" s="76" t="str">
        <x:f>IF(A342="","",F342-G342)</x:f>
      </x:c>
      <x:c r="I342" s="77" t="str">
        <x:f>IF(A342="","",IF(E342="","기타/불명",IF(IFERROR(SEARCH("급여",E342),0)&gt;0,"인건비",IF(IFERROR(SEARCH("임차",E342),0)&gt;0,"임차·시설",IF(IFERROR(SEARCH("광고",E342),0)&gt;0,"광고·행사",IF(IFERROR(SEARCH("용역",E342),0)&gt;0,"용역·수수료","기타/불명"))))))</x:f>
      </x:c>
      <x:c r="J342" s="77" t="str">
        <x:f>IF(A342="","",IF(I342="기타/불명","확인 필요","결의서명으로 1차 확인"))</x:f>
      </x:c>
      <x:c r="K342" s="78"/>
    </x:row>
    <x:row r="343">
      <x:c r="A343" s="73"/>
      <x:c r="B343" s="73"/>
      <x:c r="C343" s="74"/>
      <x:c r="D343" s="73"/>
      <x:c r="E343" s="73"/>
      <x:c r="F343" s="75"/>
      <x:c r="G343" s="75"/>
      <x:c r="H343" s="76" t="str">
        <x:f>IF(A343="","",F343-G343)</x:f>
      </x:c>
      <x:c r="I343" s="77" t="str">
        <x:f>IF(A343="","",IF(E343="","기타/불명",IF(IFERROR(SEARCH("급여",E343),0)&gt;0,"인건비",IF(IFERROR(SEARCH("임차",E343),0)&gt;0,"임차·시설",IF(IFERROR(SEARCH("광고",E343),0)&gt;0,"광고·행사",IF(IFERROR(SEARCH("용역",E343),0)&gt;0,"용역·수수료","기타/불명"))))))</x:f>
      </x:c>
      <x:c r="J343" s="77" t="str">
        <x:f>IF(A343="","",IF(I343="기타/불명","확인 필요","결의서명으로 1차 확인"))</x:f>
      </x:c>
      <x:c r="K343" s="78"/>
    </x:row>
    <x:row r="344">
      <x:c r="A344" s="73"/>
      <x:c r="B344" s="73"/>
      <x:c r="C344" s="74"/>
      <x:c r="D344" s="73"/>
      <x:c r="E344" s="73"/>
      <x:c r="F344" s="75"/>
      <x:c r="G344" s="75"/>
      <x:c r="H344" s="76" t="str">
        <x:f>IF(A344="","",F344-G344)</x:f>
      </x:c>
      <x:c r="I344" s="77" t="str">
        <x:f>IF(A344="","",IF(E344="","기타/불명",IF(IFERROR(SEARCH("급여",E344),0)&gt;0,"인건비",IF(IFERROR(SEARCH("임차",E344),0)&gt;0,"임차·시설",IF(IFERROR(SEARCH("광고",E344),0)&gt;0,"광고·행사",IF(IFERROR(SEARCH("용역",E344),0)&gt;0,"용역·수수료","기타/불명"))))))</x:f>
      </x:c>
      <x:c r="J344" s="77" t="str">
        <x:f>IF(A344="","",IF(I344="기타/불명","확인 필요","결의서명으로 1차 확인"))</x:f>
      </x:c>
      <x:c r="K344" s="78"/>
    </x:row>
    <x:row r="345">
      <x:c r="A345" s="73"/>
      <x:c r="B345" s="73"/>
      <x:c r="C345" s="74"/>
      <x:c r="D345" s="73"/>
      <x:c r="E345" s="73"/>
      <x:c r="F345" s="75"/>
      <x:c r="G345" s="75"/>
      <x:c r="H345" s="76" t="str">
        <x:f>IF(A345="","",F345-G345)</x:f>
      </x:c>
      <x:c r="I345" s="77" t="str">
        <x:f>IF(A345="","",IF(E345="","기타/불명",IF(IFERROR(SEARCH("급여",E345),0)&gt;0,"인건비",IF(IFERROR(SEARCH("임차",E345),0)&gt;0,"임차·시설",IF(IFERROR(SEARCH("광고",E345),0)&gt;0,"광고·행사",IF(IFERROR(SEARCH("용역",E345),0)&gt;0,"용역·수수료","기타/불명"))))))</x:f>
      </x:c>
      <x:c r="J345" s="77" t="str">
        <x:f>IF(A345="","",IF(I345="기타/불명","확인 필요","결의서명으로 1차 확인"))</x:f>
      </x:c>
      <x:c r="K345" s="78"/>
    </x:row>
    <x:row r="346">
      <x:c r="A346" s="73"/>
      <x:c r="B346" s="73"/>
      <x:c r="C346" s="74"/>
      <x:c r="D346" s="73"/>
      <x:c r="E346" s="73"/>
      <x:c r="F346" s="75"/>
      <x:c r="G346" s="75"/>
      <x:c r="H346" s="76" t="str">
        <x:f>IF(A346="","",F346-G346)</x:f>
      </x:c>
      <x:c r="I346" s="77" t="str">
        <x:f>IF(A346="","",IF(E346="","기타/불명",IF(IFERROR(SEARCH("급여",E346),0)&gt;0,"인건비",IF(IFERROR(SEARCH("임차",E346),0)&gt;0,"임차·시설",IF(IFERROR(SEARCH("광고",E346),0)&gt;0,"광고·행사",IF(IFERROR(SEARCH("용역",E346),0)&gt;0,"용역·수수료","기타/불명"))))))</x:f>
      </x:c>
      <x:c r="J346" s="77" t="str">
        <x:f>IF(A346="","",IF(I346="기타/불명","확인 필요","결의서명으로 1차 확인"))</x:f>
      </x:c>
      <x:c r="K346" s="78"/>
    </x:row>
    <x:row r="347">
      <x:c r="A347" s="73"/>
      <x:c r="B347" s="73"/>
      <x:c r="C347" s="74"/>
      <x:c r="D347" s="73"/>
      <x:c r="E347" s="73"/>
      <x:c r="F347" s="75"/>
      <x:c r="G347" s="75"/>
      <x:c r="H347" s="76" t="str">
        <x:f>IF(A347="","",F347-G347)</x:f>
      </x:c>
      <x:c r="I347" s="77" t="str">
        <x:f>IF(A347="","",IF(E347="","기타/불명",IF(IFERROR(SEARCH("급여",E347),0)&gt;0,"인건비",IF(IFERROR(SEARCH("임차",E347),0)&gt;0,"임차·시설",IF(IFERROR(SEARCH("광고",E347),0)&gt;0,"광고·행사",IF(IFERROR(SEARCH("용역",E347),0)&gt;0,"용역·수수료","기타/불명"))))))</x:f>
      </x:c>
      <x:c r="J347" s="77" t="str">
        <x:f>IF(A347="","",IF(I347="기타/불명","확인 필요","결의서명으로 1차 확인"))</x:f>
      </x:c>
      <x:c r="K347" s="78"/>
    </x:row>
    <x:row r="348">
      <x:c r="A348" s="73"/>
      <x:c r="B348" s="73"/>
      <x:c r="C348" s="74"/>
      <x:c r="D348" s="73"/>
      <x:c r="E348" s="73"/>
      <x:c r="F348" s="75"/>
      <x:c r="G348" s="75"/>
      <x:c r="H348" s="76" t="str">
        <x:f>IF(A348="","",F348-G348)</x:f>
      </x:c>
      <x:c r="I348" s="77" t="str">
        <x:f>IF(A348="","",IF(E348="","기타/불명",IF(IFERROR(SEARCH("급여",E348),0)&gt;0,"인건비",IF(IFERROR(SEARCH("임차",E348),0)&gt;0,"임차·시설",IF(IFERROR(SEARCH("광고",E348),0)&gt;0,"광고·행사",IF(IFERROR(SEARCH("용역",E348),0)&gt;0,"용역·수수료","기타/불명"))))))</x:f>
      </x:c>
      <x:c r="J348" s="77" t="str">
        <x:f>IF(A348="","",IF(I348="기타/불명","확인 필요","결의서명으로 1차 확인"))</x:f>
      </x:c>
      <x:c r="K348" s="78"/>
    </x:row>
    <x:row r="349">
      <x:c r="A349" s="73"/>
      <x:c r="B349" s="73"/>
      <x:c r="C349" s="74"/>
      <x:c r="D349" s="73"/>
      <x:c r="E349" s="73"/>
      <x:c r="F349" s="75"/>
      <x:c r="G349" s="75"/>
      <x:c r="H349" s="76" t="str">
        <x:f>IF(A349="","",F349-G349)</x:f>
      </x:c>
      <x:c r="I349" s="77" t="str">
        <x:f>IF(A349="","",IF(E349="","기타/불명",IF(IFERROR(SEARCH("급여",E349),0)&gt;0,"인건비",IF(IFERROR(SEARCH("임차",E349),0)&gt;0,"임차·시설",IF(IFERROR(SEARCH("광고",E349),0)&gt;0,"광고·행사",IF(IFERROR(SEARCH("용역",E349),0)&gt;0,"용역·수수료","기타/불명"))))))</x:f>
      </x:c>
      <x:c r="J349" s="77" t="str">
        <x:f>IF(A349="","",IF(I349="기타/불명","확인 필요","결의서명으로 1차 확인"))</x:f>
      </x:c>
      <x:c r="K349" s="78"/>
    </x:row>
    <x:row r="350">
      <x:c r="A350" s="73"/>
      <x:c r="B350" s="73"/>
      <x:c r="C350" s="74"/>
      <x:c r="D350" s="73"/>
      <x:c r="E350" s="73"/>
      <x:c r="F350" s="75"/>
      <x:c r="G350" s="75"/>
      <x:c r="H350" s="76" t="str">
        <x:f>IF(A350="","",F350-G350)</x:f>
      </x:c>
      <x:c r="I350" s="77" t="str">
        <x:f>IF(A350="","",IF(E350="","기타/불명",IF(IFERROR(SEARCH("급여",E350),0)&gt;0,"인건비",IF(IFERROR(SEARCH("임차",E350),0)&gt;0,"임차·시설",IF(IFERROR(SEARCH("광고",E350),0)&gt;0,"광고·행사",IF(IFERROR(SEARCH("용역",E350),0)&gt;0,"용역·수수료","기타/불명"))))))</x:f>
      </x:c>
      <x:c r="J350" s="77" t="str">
        <x:f>IF(A350="","",IF(I350="기타/불명","확인 필요","결의서명으로 1차 확인"))</x:f>
      </x:c>
      <x:c r="K350" s="78"/>
    </x:row>
    <x:row r="351">
      <x:c r="A351" s="73"/>
      <x:c r="B351" s="73"/>
      <x:c r="C351" s="74"/>
      <x:c r="D351" s="73"/>
      <x:c r="E351" s="73"/>
      <x:c r="F351" s="75"/>
      <x:c r="G351" s="75"/>
      <x:c r="H351" s="76" t="str">
        <x:f>IF(A351="","",F351-G351)</x:f>
      </x:c>
      <x:c r="I351" s="77" t="str">
        <x:f>IF(A351="","",IF(E351="","기타/불명",IF(IFERROR(SEARCH("급여",E351),0)&gt;0,"인건비",IF(IFERROR(SEARCH("임차",E351),0)&gt;0,"임차·시설",IF(IFERROR(SEARCH("광고",E351),0)&gt;0,"광고·행사",IF(IFERROR(SEARCH("용역",E351),0)&gt;0,"용역·수수료","기타/불명"))))))</x:f>
      </x:c>
      <x:c r="J351" s="77" t="str">
        <x:f>IF(A351="","",IF(I351="기타/불명","확인 필요","결의서명으로 1차 확인"))</x:f>
      </x:c>
      <x:c r="K351" s="78"/>
    </x:row>
    <x:row r="352">
      <x:c r="A352" s="73"/>
      <x:c r="B352" s="73"/>
      <x:c r="C352" s="74"/>
      <x:c r="D352" s="73"/>
      <x:c r="E352" s="73"/>
      <x:c r="F352" s="75"/>
      <x:c r="G352" s="75"/>
      <x:c r="H352" s="76" t="str">
        <x:f>IF(A352="","",F352-G352)</x:f>
      </x:c>
      <x:c r="I352" s="77" t="str">
        <x:f>IF(A352="","",IF(E352="","기타/불명",IF(IFERROR(SEARCH("급여",E352),0)&gt;0,"인건비",IF(IFERROR(SEARCH("임차",E352),0)&gt;0,"임차·시설",IF(IFERROR(SEARCH("광고",E352),0)&gt;0,"광고·행사",IF(IFERROR(SEARCH("용역",E352),0)&gt;0,"용역·수수료","기타/불명"))))))</x:f>
      </x:c>
      <x:c r="J352" s="77" t="str">
        <x:f>IF(A352="","",IF(I352="기타/불명","확인 필요","결의서명으로 1차 확인"))</x:f>
      </x:c>
      <x:c r="K352" s="78"/>
    </x:row>
    <x:row r="353">
      <x:c r="A353" s="73"/>
      <x:c r="B353" s="73"/>
      <x:c r="C353" s="74"/>
      <x:c r="D353" s="73"/>
      <x:c r="E353" s="73"/>
      <x:c r="F353" s="75"/>
      <x:c r="G353" s="75"/>
      <x:c r="H353" s="76" t="str">
        <x:f>IF(A353="","",F353-G353)</x:f>
      </x:c>
      <x:c r="I353" s="77" t="str">
        <x:f>IF(A353="","",IF(E353="","기타/불명",IF(IFERROR(SEARCH("급여",E353),0)&gt;0,"인건비",IF(IFERROR(SEARCH("임차",E353),0)&gt;0,"임차·시설",IF(IFERROR(SEARCH("광고",E353),0)&gt;0,"광고·행사",IF(IFERROR(SEARCH("용역",E353),0)&gt;0,"용역·수수료","기타/불명"))))))</x:f>
      </x:c>
      <x:c r="J353" s="77" t="str">
        <x:f>IF(A353="","",IF(I353="기타/불명","확인 필요","결의서명으로 1차 확인"))</x:f>
      </x:c>
      <x:c r="K353" s="78"/>
    </x:row>
    <x:row r="354">
      <x:c r="A354" s="73"/>
      <x:c r="B354" s="73"/>
      <x:c r="C354" s="74"/>
      <x:c r="D354" s="73"/>
      <x:c r="E354" s="73"/>
      <x:c r="F354" s="75"/>
      <x:c r="G354" s="75"/>
      <x:c r="H354" s="76" t="str">
        <x:f>IF(A354="","",F354-G354)</x:f>
      </x:c>
      <x:c r="I354" s="77" t="str">
        <x:f>IF(A354="","",IF(E354="","기타/불명",IF(IFERROR(SEARCH("급여",E354),0)&gt;0,"인건비",IF(IFERROR(SEARCH("임차",E354),0)&gt;0,"임차·시설",IF(IFERROR(SEARCH("광고",E354),0)&gt;0,"광고·행사",IF(IFERROR(SEARCH("용역",E354),0)&gt;0,"용역·수수료","기타/불명"))))))</x:f>
      </x:c>
      <x:c r="J354" s="77" t="str">
        <x:f>IF(A354="","",IF(I354="기타/불명","확인 필요","결의서명으로 1차 확인"))</x:f>
      </x:c>
      <x:c r="K354" s="78"/>
    </x:row>
    <x:row r="355">
      <x:c r="A355" s="73"/>
      <x:c r="B355" s="73"/>
      <x:c r="C355" s="74"/>
      <x:c r="D355" s="73"/>
      <x:c r="E355" s="73"/>
      <x:c r="F355" s="75"/>
      <x:c r="G355" s="75"/>
      <x:c r="H355" s="76" t="str">
        <x:f>IF(A355="","",F355-G355)</x:f>
      </x:c>
      <x:c r="I355" s="77" t="str">
        <x:f>IF(A355="","",IF(E355="","기타/불명",IF(IFERROR(SEARCH("급여",E355),0)&gt;0,"인건비",IF(IFERROR(SEARCH("임차",E355),0)&gt;0,"임차·시설",IF(IFERROR(SEARCH("광고",E355),0)&gt;0,"광고·행사",IF(IFERROR(SEARCH("용역",E355),0)&gt;0,"용역·수수료","기타/불명"))))))</x:f>
      </x:c>
      <x:c r="J355" s="77" t="str">
        <x:f>IF(A355="","",IF(I355="기타/불명","확인 필요","결의서명으로 1차 확인"))</x:f>
      </x:c>
      <x:c r="K355" s="78"/>
    </x:row>
    <x:row r="356">
      <x:c r="A356" s="73"/>
      <x:c r="B356" s="73"/>
      <x:c r="C356" s="74"/>
      <x:c r="D356" s="73"/>
      <x:c r="E356" s="73"/>
      <x:c r="F356" s="75"/>
      <x:c r="G356" s="75"/>
      <x:c r="H356" s="76" t="str">
        <x:f>IF(A356="","",F356-G356)</x:f>
      </x:c>
      <x:c r="I356" s="77" t="str">
        <x:f>IF(A356="","",IF(E356="","기타/불명",IF(IFERROR(SEARCH("급여",E356),0)&gt;0,"인건비",IF(IFERROR(SEARCH("임차",E356),0)&gt;0,"임차·시설",IF(IFERROR(SEARCH("광고",E356),0)&gt;0,"광고·행사",IF(IFERROR(SEARCH("용역",E356),0)&gt;0,"용역·수수료","기타/불명"))))))</x:f>
      </x:c>
      <x:c r="J356" s="77" t="str">
        <x:f>IF(A356="","",IF(I356="기타/불명","확인 필요","결의서명으로 1차 확인"))</x:f>
      </x:c>
      <x:c r="K356" s="78"/>
    </x:row>
    <x:row r="357">
      <x:c r="A357" s="73"/>
      <x:c r="B357" s="73"/>
      <x:c r="C357" s="74"/>
      <x:c r="D357" s="73"/>
      <x:c r="E357" s="73"/>
      <x:c r="F357" s="75"/>
      <x:c r="G357" s="75"/>
      <x:c r="H357" s="76" t="str">
        <x:f>IF(A357="","",F357-G357)</x:f>
      </x:c>
      <x:c r="I357" s="77" t="str">
        <x:f>IF(A357="","",IF(E357="","기타/불명",IF(IFERROR(SEARCH("급여",E357),0)&gt;0,"인건비",IF(IFERROR(SEARCH("임차",E357),0)&gt;0,"임차·시설",IF(IFERROR(SEARCH("광고",E357),0)&gt;0,"광고·행사",IF(IFERROR(SEARCH("용역",E357),0)&gt;0,"용역·수수료","기타/불명"))))))</x:f>
      </x:c>
      <x:c r="J357" s="77" t="str">
        <x:f>IF(A357="","",IF(I357="기타/불명","확인 필요","결의서명으로 1차 확인"))</x:f>
      </x:c>
      <x:c r="K357" s="78"/>
    </x:row>
    <x:row r="358">
      <x:c r="A358" s="73"/>
      <x:c r="B358" s="73"/>
      <x:c r="C358" s="74"/>
      <x:c r="D358" s="73"/>
      <x:c r="E358" s="73"/>
      <x:c r="F358" s="75"/>
      <x:c r="G358" s="75"/>
      <x:c r="H358" s="76" t="str">
        <x:f>IF(A358="","",F358-G358)</x:f>
      </x:c>
      <x:c r="I358" s="77" t="str">
        <x:f>IF(A358="","",IF(E358="","기타/불명",IF(IFERROR(SEARCH("급여",E358),0)&gt;0,"인건비",IF(IFERROR(SEARCH("임차",E358),0)&gt;0,"임차·시설",IF(IFERROR(SEARCH("광고",E358),0)&gt;0,"광고·행사",IF(IFERROR(SEARCH("용역",E358),0)&gt;0,"용역·수수료","기타/불명"))))))</x:f>
      </x:c>
      <x:c r="J358" s="77" t="str">
        <x:f>IF(A358="","",IF(I358="기타/불명","확인 필요","결의서명으로 1차 확인"))</x:f>
      </x:c>
      <x:c r="K358" s="78"/>
    </x:row>
    <x:row r="359">
      <x:c r="A359" s="73"/>
      <x:c r="B359" s="73"/>
      <x:c r="C359" s="74"/>
      <x:c r="D359" s="73"/>
      <x:c r="E359" s="73"/>
      <x:c r="F359" s="75"/>
      <x:c r="G359" s="75"/>
      <x:c r="H359" s="76" t="str">
        <x:f>IF(A359="","",F359-G359)</x:f>
      </x:c>
      <x:c r="I359" s="77" t="str">
        <x:f>IF(A359="","",IF(E359="","기타/불명",IF(IFERROR(SEARCH("급여",E359),0)&gt;0,"인건비",IF(IFERROR(SEARCH("임차",E359),0)&gt;0,"임차·시설",IF(IFERROR(SEARCH("광고",E359),0)&gt;0,"광고·행사",IF(IFERROR(SEARCH("용역",E359),0)&gt;0,"용역·수수료","기타/불명"))))))</x:f>
      </x:c>
      <x:c r="J359" s="77" t="str">
        <x:f>IF(A359="","",IF(I359="기타/불명","확인 필요","결의서명으로 1차 확인"))</x:f>
      </x:c>
      <x:c r="K359" s="78"/>
    </x:row>
    <x:row r="360">
      <x:c r="A360" s="73"/>
      <x:c r="B360" s="73"/>
      <x:c r="C360" s="74"/>
      <x:c r="D360" s="73"/>
      <x:c r="E360" s="73"/>
      <x:c r="F360" s="75"/>
      <x:c r="G360" s="75"/>
      <x:c r="H360" s="76" t="str">
        <x:f>IF(A360="","",F360-G360)</x:f>
      </x:c>
      <x:c r="I360" s="77" t="str">
        <x:f>IF(A360="","",IF(E360="","기타/불명",IF(IFERROR(SEARCH("급여",E360),0)&gt;0,"인건비",IF(IFERROR(SEARCH("임차",E360),0)&gt;0,"임차·시설",IF(IFERROR(SEARCH("광고",E360),0)&gt;0,"광고·행사",IF(IFERROR(SEARCH("용역",E360),0)&gt;0,"용역·수수료","기타/불명"))))))</x:f>
      </x:c>
      <x:c r="J360" s="77" t="str">
        <x:f>IF(A360="","",IF(I360="기타/불명","확인 필요","결의서명으로 1차 확인"))</x:f>
      </x:c>
      <x:c r="K360" s="78"/>
    </x:row>
    <x:row r="361">
      <x:c r="A361" s="73"/>
      <x:c r="B361" s="73"/>
      <x:c r="C361" s="74"/>
      <x:c r="D361" s="73"/>
      <x:c r="E361" s="73"/>
      <x:c r="F361" s="75"/>
      <x:c r="G361" s="75"/>
      <x:c r="H361" s="76" t="str">
        <x:f>IF(A361="","",F361-G361)</x:f>
      </x:c>
      <x:c r="I361" s="77" t="str">
        <x:f>IF(A361="","",IF(E361="","기타/불명",IF(IFERROR(SEARCH("급여",E361),0)&gt;0,"인건비",IF(IFERROR(SEARCH("임차",E361),0)&gt;0,"임차·시설",IF(IFERROR(SEARCH("광고",E361),0)&gt;0,"광고·행사",IF(IFERROR(SEARCH("용역",E361),0)&gt;0,"용역·수수료","기타/불명"))))))</x:f>
      </x:c>
      <x:c r="J361" s="77" t="str">
        <x:f>IF(A361="","",IF(I361="기타/불명","확인 필요","결의서명으로 1차 확인"))</x:f>
      </x:c>
      <x:c r="K361" s="78"/>
    </x:row>
    <x:row r="362">
      <x:c r="A362" s="73"/>
      <x:c r="B362" s="73"/>
      <x:c r="C362" s="74"/>
      <x:c r="D362" s="73"/>
      <x:c r="E362" s="73"/>
      <x:c r="F362" s="75"/>
      <x:c r="G362" s="75"/>
      <x:c r="H362" s="76" t="str">
        <x:f>IF(A362="","",F362-G362)</x:f>
      </x:c>
      <x:c r="I362" s="77" t="str">
        <x:f>IF(A362="","",IF(E362="","기타/불명",IF(IFERROR(SEARCH("급여",E362),0)&gt;0,"인건비",IF(IFERROR(SEARCH("임차",E362),0)&gt;0,"임차·시설",IF(IFERROR(SEARCH("광고",E362),0)&gt;0,"광고·행사",IF(IFERROR(SEARCH("용역",E362),0)&gt;0,"용역·수수료","기타/불명"))))))</x:f>
      </x:c>
      <x:c r="J362" s="77" t="str">
        <x:f>IF(A362="","",IF(I362="기타/불명","확인 필요","결의서명으로 1차 확인"))</x:f>
      </x:c>
      <x:c r="K362" s="78"/>
    </x:row>
    <x:row r="363">
      <x:c r="A363" s="73"/>
      <x:c r="B363" s="73"/>
      <x:c r="C363" s="74"/>
      <x:c r="D363" s="73"/>
      <x:c r="E363" s="73"/>
      <x:c r="F363" s="75"/>
      <x:c r="G363" s="75"/>
      <x:c r="H363" s="76" t="str">
        <x:f>IF(A363="","",F363-G363)</x:f>
      </x:c>
      <x:c r="I363" s="77" t="str">
        <x:f>IF(A363="","",IF(E363="","기타/불명",IF(IFERROR(SEARCH("급여",E363),0)&gt;0,"인건비",IF(IFERROR(SEARCH("임차",E363),0)&gt;0,"임차·시설",IF(IFERROR(SEARCH("광고",E363),0)&gt;0,"광고·행사",IF(IFERROR(SEARCH("용역",E363),0)&gt;0,"용역·수수료","기타/불명"))))))</x:f>
      </x:c>
      <x:c r="J363" s="77" t="str">
        <x:f>IF(A363="","",IF(I363="기타/불명","확인 필요","결의서명으로 1차 확인"))</x:f>
      </x:c>
      <x:c r="K363" s="78"/>
    </x:row>
    <x:row r="364">
      <x:c r="A364" s="73"/>
      <x:c r="B364" s="73"/>
      <x:c r="C364" s="74"/>
      <x:c r="D364" s="73"/>
      <x:c r="E364" s="73"/>
      <x:c r="F364" s="75"/>
      <x:c r="G364" s="75"/>
      <x:c r="H364" s="76" t="str">
        <x:f>IF(A364="","",F364-G364)</x:f>
      </x:c>
      <x:c r="I364" s="77" t="str">
        <x:f>IF(A364="","",IF(E364="","기타/불명",IF(IFERROR(SEARCH("급여",E364),0)&gt;0,"인건비",IF(IFERROR(SEARCH("임차",E364),0)&gt;0,"임차·시설",IF(IFERROR(SEARCH("광고",E364),0)&gt;0,"광고·행사",IF(IFERROR(SEARCH("용역",E364),0)&gt;0,"용역·수수료","기타/불명"))))))</x:f>
      </x:c>
      <x:c r="J364" s="77" t="str">
        <x:f>IF(A364="","",IF(I364="기타/불명","확인 필요","결의서명으로 1차 확인"))</x:f>
      </x:c>
      <x:c r="K364" s="78"/>
    </x:row>
    <x:row r="365">
      <x:c r="A365" s="73"/>
      <x:c r="B365" s="73"/>
      <x:c r="C365" s="74"/>
      <x:c r="D365" s="73"/>
      <x:c r="E365" s="73"/>
      <x:c r="F365" s="75"/>
      <x:c r="G365" s="75"/>
      <x:c r="H365" s="76" t="str">
        <x:f>IF(A365="","",F365-G365)</x:f>
      </x:c>
      <x:c r="I365" s="77" t="str">
        <x:f>IF(A365="","",IF(E365="","기타/불명",IF(IFERROR(SEARCH("급여",E365),0)&gt;0,"인건비",IF(IFERROR(SEARCH("임차",E365),0)&gt;0,"임차·시설",IF(IFERROR(SEARCH("광고",E365),0)&gt;0,"광고·행사",IF(IFERROR(SEARCH("용역",E365),0)&gt;0,"용역·수수료","기타/불명"))))))</x:f>
      </x:c>
      <x:c r="J365" s="77" t="str">
        <x:f>IF(A365="","",IF(I365="기타/불명","확인 필요","결의서명으로 1차 확인"))</x:f>
      </x:c>
      <x:c r="K365" s="78"/>
    </x:row>
    <x:row r="366">
      <x:c r="A366" s="73"/>
      <x:c r="B366" s="73"/>
      <x:c r="C366" s="74"/>
      <x:c r="D366" s="73"/>
      <x:c r="E366" s="73"/>
      <x:c r="F366" s="75"/>
      <x:c r="G366" s="75"/>
      <x:c r="H366" s="76" t="str">
        <x:f>IF(A366="","",F366-G366)</x:f>
      </x:c>
      <x:c r="I366" s="77" t="str">
        <x:f>IF(A366="","",IF(E366="","기타/불명",IF(IFERROR(SEARCH("급여",E366),0)&gt;0,"인건비",IF(IFERROR(SEARCH("임차",E366),0)&gt;0,"임차·시설",IF(IFERROR(SEARCH("광고",E366),0)&gt;0,"광고·행사",IF(IFERROR(SEARCH("용역",E366),0)&gt;0,"용역·수수료","기타/불명"))))))</x:f>
      </x:c>
      <x:c r="J366" s="77" t="str">
        <x:f>IF(A366="","",IF(I366="기타/불명","확인 필요","결의서명으로 1차 확인"))</x:f>
      </x:c>
      <x:c r="K366" s="78"/>
    </x:row>
    <x:row r="367">
      <x:c r="A367" s="73"/>
      <x:c r="B367" s="73"/>
      <x:c r="C367" s="74"/>
      <x:c r="D367" s="73"/>
      <x:c r="E367" s="73"/>
      <x:c r="F367" s="75"/>
      <x:c r="G367" s="75"/>
      <x:c r="H367" s="76" t="str">
        <x:f>IF(A367="","",F367-G367)</x:f>
      </x:c>
      <x:c r="I367" s="77" t="str">
        <x:f>IF(A367="","",IF(E367="","기타/불명",IF(IFERROR(SEARCH("급여",E367),0)&gt;0,"인건비",IF(IFERROR(SEARCH("임차",E367),0)&gt;0,"임차·시설",IF(IFERROR(SEARCH("광고",E367),0)&gt;0,"광고·행사",IF(IFERROR(SEARCH("용역",E367),0)&gt;0,"용역·수수료","기타/불명"))))))</x:f>
      </x:c>
      <x:c r="J367" s="77" t="str">
        <x:f>IF(A367="","",IF(I367="기타/불명","확인 필요","결의서명으로 1차 확인"))</x:f>
      </x:c>
      <x:c r="K367" s="78"/>
    </x:row>
    <x:row r="368">
      <x:c r="A368" s="73"/>
      <x:c r="B368" s="73"/>
      <x:c r="C368" s="74"/>
      <x:c r="D368" s="73"/>
      <x:c r="E368" s="73"/>
      <x:c r="F368" s="75"/>
      <x:c r="G368" s="75"/>
      <x:c r="H368" s="76" t="str">
        <x:f>IF(A368="","",F368-G368)</x:f>
      </x:c>
      <x:c r="I368" s="77" t="str">
        <x:f>IF(A368="","",IF(E368="","기타/불명",IF(IFERROR(SEARCH("급여",E368),0)&gt;0,"인건비",IF(IFERROR(SEARCH("임차",E368),0)&gt;0,"임차·시설",IF(IFERROR(SEARCH("광고",E368),0)&gt;0,"광고·행사",IF(IFERROR(SEARCH("용역",E368),0)&gt;0,"용역·수수료","기타/불명"))))))</x:f>
      </x:c>
      <x:c r="J368" s="77" t="str">
        <x:f>IF(A368="","",IF(I368="기타/불명","확인 필요","결의서명으로 1차 확인"))</x:f>
      </x:c>
      <x:c r="K368" s="78"/>
    </x:row>
    <x:row r="369">
      <x:c r="A369" s="73"/>
      <x:c r="B369" s="73"/>
      <x:c r="C369" s="74"/>
      <x:c r="D369" s="73"/>
      <x:c r="E369" s="73"/>
      <x:c r="F369" s="75"/>
      <x:c r="G369" s="75"/>
      <x:c r="H369" s="76" t="str">
        <x:f>IF(A369="","",F369-G369)</x:f>
      </x:c>
      <x:c r="I369" s="77" t="str">
        <x:f>IF(A369="","",IF(E369="","기타/불명",IF(IFERROR(SEARCH("급여",E369),0)&gt;0,"인건비",IF(IFERROR(SEARCH("임차",E369),0)&gt;0,"임차·시설",IF(IFERROR(SEARCH("광고",E369),0)&gt;0,"광고·행사",IF(IFERROR(SEARCH("용역",E369),0)&gt;0,"용역·수수료","기타/불명"))))))</x:f>
      </x:c>
      <x:c r="J369" s="77" t="str">
        <x:f>IF(A369="","",IF(I369="기타/불명","확인 필요","결의서명으로 1차 확인"))</x:f>
      </x:c>
      <x:c r="K369" s="78"/>
    </x:row>
    <x:row r="370">
      <x:c r="A370" s="73"/>
      <x:c r="B370" s="73"/>
      <x:c r="C370" s="74"/>
      <x:c r="D370" s="73"/>
      <x:c r="E370" s="73"/>
      <x:c r="F370" s="75"/>
      <x:c r="G370" s="75"/>
      <x:c r="H370" s="76" t="str">
        <x:f>IF(A370="","",F370-G370)</x:f>
      </x:c>
      <x:c r="I370" s="77" t="str">
        <x:f>IF(A370="","",IF(E370="","기타/불명",IF(IFERROR(SEARCH("급여",E370),0)&gt;0,"인건비",IF(IFERROR(SEARCH("임차",E370),0)&gt;0,"임차·시설",IF(IFERROR(SEARCH("광고",E370),0)&gt;0,"광고·행사",IF(IFERROR(SEARCH("용역",E370),0)&gt;0,"용역·수수료","기타/불명"))))))</x:f>
      </x:c>
      <x:c r="J370" s="77" t="str">
        <x:f>IF(A370="","",IF(I370="기타/불명","확인 필요","결의서명으로 1차 확인"))</x:f>
      </x:c>
      <x:c r="K370" s="78"/>
    </x:row>
    <x:row r="371">
      <x:c r="A371" s="73"/>
      <x:c r="B371" s="73"/>
      <x:c r="C371" s="74"/>
      <x:c r="D371" s="73"/>
      <x:c r="E371" s="73"/>
      <x:c r="F371" s="75"/>
      <x:c r="G371" s="75"/>
      <x:c r="H371" s="76" t="str">
        <x:f>IF(A371="","",F371-G371)</x:f>
      </x:c>
      <x:c r="I371" s="77" t="str">
        <x:f>IF(A371="","",IF(E371="","기타/불명",IF(IFERROR(SEARCH("급여",E371),0)&gt;0,"인건비",IF(IFERROR(SEARCH("임차",E371),0)&gt;0,"임차·시설",IF(IFERROR(SEARCH("광고",E371),0)&gt;0,"광고·행사",IF(IFERROR(SEARCH("용역",E371),0)&gt;0,"용역·수수료","기타/불명"))))))</x:f>
      </x:c>
      <x:c r="J371" s="77" t="str">
        <x:f>IF(A371="","",IF(I371="기타/불명","확인 필요","결의서명으로 1차 확인"))</x:f>
      </x:c>
      <x:c r="K371" s="78"/>
    </x:row>
    <x:row r="372">
      <x:c r="A372" s="73"/>
      <x:c r="B372" s="73"/>
      <x:c r="C372" s="74"/>
      <x:c r="D372" s="73"/>
      <x:c r="E372" s="73"/>
      <x:c r="F372" s="75"/>
      <x:c r="G372" s="75"/>
      <x:c r="H372" s="76" t="str">
        <x:f>IF(A372="","",F372-G372)</x:f>
      </x:c>
      <x:c r="I372" s="77" t="str">
        <x:f>IF(A372="","",IF(E372="","기타/불명",IF(IFERROR(SEARCH("급여",E372),0)&gt;0,"인건비",IF(IFERROR(SEARCH("임차",E372),0)&gt;0,"임차·시설",IF(IFERROR(SEARCH("광고",E372),0)&gt;0,"광고·행사",IF(IFERROR(SEARCH("용역",E372),0)&gt;0,"용역·수수료","기타/불명"))))))</x:f>
      </x:c>
      <x:c r="J372" s="77" t="str">
        <x:f>IF(A372="","",IF(I372="기타/불명","확인 필요","결의서명으로 1차 확인"))</x:f>
      </x:c>
      <x:c r="K372" s="78"/>
    </x:row>
    <x:row r="373">
      <x:c r="A373" s="73"/>
      <x:c r="B373" s="73"/>
      <x:c r="C373" s="74"/>
      <x:c r="D373" s="73"/>
      <x:c r="E373" s="73"/>
      <x:c r="F373" s="75"/>
      <x:c r="G373" s="75"/>
      <x:c r="H373" s="76" t="str">
        <x:f>IF(A373="","",F373-G373)</x:f>
      </x:c>
      <x:c r="I373" s="77" t="str">
        <x:f>IF(A373="","",IF(E373="","기타/불명",IF(IFERROR(SEARCH("급여",E373),0)&gt;0,"인건비",IF(IFERROR(SEARCH("임차",E373),0)&gt;0,"임차·시설",IF(IFERROR(SEARCH("광고",E373),0)&gt;0,"광고·행사",IF(IFERROR(SEARCH("용역",E373),0)&gt;0,"용역·수수료","기타/불명"))))))</x:f>
      </x:c>
      <x:c r="J373" s="77" t="str">
        <x:f>IF(A373="","",IF(I373="기타/불명","확인 필요","결의서명으로 1차 확인"))</x:f>
      </x:c>
      <x:c r="K373" s="78"/>
    </x:row>
    <x:row r="374">
      <x:c r="A374" s="73"/>
      <x:c r="B374" s="73"/>
      <x:c r="C374" s="74"/>
      <x:c r="D374" s="73"/>
      <x:c r="E374" s="73"/>
      <x:c r="F374" s="75"/>
      <x:c r="G374" s="75"/>
      <x:c r="H374" s="76" t="str">
        <x:f>IF(A374="","",F374-G374)</x:f>
      </x:c>
      <x:c r="I374" s="77" t="str">
        <x:f>IF(A374="","",IF(E374="","기타/불명",IF(IFERROR(SEARCH("급여",E374),0)&gt;0,"인건비",IF(IFERROR(SEARCH("임차",E374),0)&gt;0,"임차·시설",IF(IFERROR(SEARCH("광고",E374),0)&gt;0,"광고·행사",IF(IFERROR(SEARCH("용역",E374),0)&gt;0,"용역·수수료","기타/불명"))))))</x:f>
      </x:c>
      <x:c r="J374" s="77" t="str">
        <x:f>IF(A374="","",IF(I374="기타/불명","확인 필요","결의서명으로 1차 확인"))</x:f>
      </x:c>
      <x:c r="K374" s="78"/>
    </x:row>
    <x:row r="375">
      <x:c r="A375" s="73"/>
      <x:c r="B375" s="73"/>
      <x:c r="C375" s="74"/>
      <x:c r="D375" s="73"/>
      <x:c r="E375" s="73"/>
      <x:c r="F375" s="75"/>
      <x:c r="G375" s="75"/>
      <x:c r="H375" s="76" t="str">
        <x:f>IF(A375="","",F375-G375)</x:f>
      </x:c>
      <x:c r="I375" s="77" t="str">
        <x:f>IF(A375="","",IF(E375="","기타/불명",IF(IFERROR(SEARCH("급여",E375),0)&gt;0,"인건비",IF(IFERROR(SEARCH("임차",E375),0)&gt;0,"임차·시설",IF(IFERROR(SEARCH("광고",E375),0)&gt;0,"광고·행사",IF(IFERROR(SEARCH("용역",E375),0)&gt;0,"용역·수수료","기타/불명"))))))</x:f>
      </x:c>
      <x:c r="J375" s="77" t="str">
        <x:f>IF(A375="","",IF(I375="기타/불명","확인 필요","결의서명으로 1차 확인"))</x:f>
      </x:c>
      <x:c r="K375" s="78"/>
    </x:row>
    <x:row r="376">
      <x:c r="A376" s="73"/>
      <x:c r="B376" s="73"/>
      <x:c r="C376" s="74"/>
      <x:c r="D376" s="73"/>
      <x:c r="E376" s="73"/>
      <x:c r="F376" s="75"/>
      <x:c r="G376" s="75"/>
      <x:c r="H376" s="76" t="str">
        <x:f>IF(A376="","",F376-G376)</x:f>
      </x:c>
      <x:c r="I376" s="77" t="str">
        <x:f>IF(A376="","",IF(E376="","기타/불명",IF(IFERROR(SEARCH("급여",E376),0)&gt;0,"인건비",IF(IFERROR(SEARCH("임차",E376),0)&gt;0,"임차·시설",IF(IFERROR(SEARCH("광고",E376),0)&gt;0,"광고·행사",IF(IFERROR(SEARCH("용역",E376),0)&gt;0,"용역·수수료","기타/불명"))))))</x:f>
      </x:c>
      <x:c r="J376" s="77" t="str">
        <x:f>IF(A376="","",IF(I376="기타/불명","확인 필요","결의서명으로 1차 확인"))</x:f>
      </x:c>
      <x:c r="K376" s="78"/>
    </x:row>
    <x:row r="377">
      <x:c r="A377" s="73"/>
      <x:c r="B377" s="73"/>
      <x:c r="C377" s="74"/>
      <x:c r="D377" s="73"/>
      <x:c r="E377" s="73"/>
      <x:c r="F377" s="75"/>
      <x:c r="G377" s="75"/>
      <x:c r="H377" s="76" t="str">
        <x:f>IF(A377="","",F377-G377)</x:f>
      </x:c>
      <x:c r="I377" s="77" t="str">
        <x:f>IF(A377="","",IF(E377="","기타/불명",IF(IFERROR(SEARCH("급여",E377),0)&gt;0,"인건비",IF(IFERROR(SEARCH("임차",E377),0)&gt;0,"임차·시설",IF(IFERROR(SEARCH("광고",E377),0)&gt;0,"광고·행사",IF(IFERROR(SEARCH("용역",E377),0)&gt;0,"용역·수수료","기타/불명"))))))</x:f>
      </x:c>
      <x:c r="J377" s="77" t="str">
        <x:f>IF(A377="","",IF(I377="기타/불명","확인 필요","결의서명으로 1차 확인"))</x:f>
      </x:c>
      <x:c r="K377" s="78"/>
    </x:row>
    <x:row r="378">
      <x:c r="A378" s="73"/>
      <x:c r="B378" s="73"/>
      <x:c r="C378" s="74"/>
      <x:c r="D378" s="73"/>
      <x:c r="E378" s="73"/>
      <x:c r="F378" s="75"/>
      <x:c r="G378" s="75"/>
      <x:c r="H378" s="76" t="str">
        <x:f>IF(A378="","",F378-G378)</x:f>
      </x:c>
      <x:c r="I378" s="77" t="str">
        <x:f>IF(A378="","",IF(E378="","기타/불명",IF(IFERROR(SEARCH("급여",E378),0)&gt;0,"인건비",IF(IFERROR(SEARCH("임차",E378),0)&gt;0,"임차·시설",IF(IFERROR(SEARCH("광고",E378),0)&gt;0,"광고·행사",IF(IFERROR(SEARCH("용역",E378),0)&gt;0,"용역·수수료","기타/불명"))))))</x:f>
      </x:c>
      <x:c r="J378" s="77" t="str">
        <x:f>IF(A378="","",IF(I378="기타/불명","확인 필요","결의서명으로 1차 확인"))</x:f>
      </x:c>
      <x:c r="K378" s="78"/>
    </x:row>
    <x:row r="379">
      <x:c r="A379" s="73"/>
      <x:c r="B379" s="73"/>
      <x:c r="C379" s="74"/>
      <x:c r="D379" s="73"/>
      <x:c r="E379" s="73"/>
      <x:c r="F379" s="75"/>
      <x:c r="G379" s="75"/>
      <x:c r="H379" s="76" t="str">
        <x:f>IF(A379="","",F379-G379)</x:f>
      </x:c>
      <x:c r="I379" s="77" t="str">
        <x:f>IF(A379="","",IF(E379="","기타/불명",IF(IFERROR(SEARCH("급여",E379),0)&gt;0,"인건비",IF(IFERROR(SEARCH("임차",E379),0)&gt;0,"임차·시설",IF(IFERROR(SEARCH("광고",E379),0)&gt;0,"광고·행사",IF(IFERROR(SEARCH("용역",E379),0)&gt;0,"용역·수수료","기타/불명"))))))</x:f>
      </x:c>
      <x:c r="J379" s="77" t="str">
        <x:f>IF(A379="","",IF(I379="기타/불명","확인 필요","결의서명으로 1차 확인"))</x:f>
      </x:c>
      <x:c r="K379" s="78"/>
    </x:row>
    <x:row r="380">
      <x:c r="A380" s="73"/>
      <x:c r="B380" s="73"/>
      <x:c r="C380" s="74"/>
      <x:c r="D380" s="73"/>
      <x:c r="E380" s="73"/>
      <x:c r="F380" s="75"/>
      <x:c r="G380" s="75"/>
      <x:c r="H380" s="76" t="str">
        <x:f>IF(A380="","",F380-G380)</x:f>
      </x:c>
      <x:c r="I380" s="77" t="str">
        <x:f>IF(A380="","",IF(E380="","기타/불명",IF(IFERROR(SEARCH("급여",E380),0)&gt;0,"인건비",IF(IFERROR(SEARCH("임차",E380),0)&gt;0,"임차·시설",IF(IFERROR(SEARCH("광고",E380),0)&gt;0,"광고·행사",IF(IFERROR(SEARCH("용역",E380),0)&gt;0,"용역·수수료","기타/불명"))))))</x:f>
      </x:c>
      <x:c r="J380" s="77" t="str">
        <x:f>IF(A380="","",IF(I380="기타/불명","확인 필요","결의서명으로 1차 확인"))</x:f>
      </x:c>
      <x:c r="K380" s="78"/>
    </x:row>
    <x:row r="381">
      <x:c r="A381" s="73"/>
      <x:c r="B381" s="73"/>
      <x:c r="C381" s="74"/>
      <x:c r="D381" s="73"/>
      <x:c r="E381" s="73"/>
      <x:c r="F381" s="75"/>
      <x:c r="G381" s="75"/>
      <x:c r="H381" s="76" t="str">
        <x:f>IF(A381="","",F381-G381)</x:f>
      </x:c>
      <x:c r="I381" s="77" t="str">
        <x:f>IF(A381="","",IF(E381="","기타/불명",IF(IFERROR(SEARCH("급여",E381),0)&gt;0,"인건비",IF(IFERROR(SEARCH("임차",E381),0)&gt;0,"임차·시설",IF(IFERROR(SEARCH("광고",E381),0)&gt;0,"광고·행사",IF(IFERROR(SEARCH("용역",E381),0)&gt;0,"용역·수수료","기타/불명"))))))</x:f>
      </x:c>
      <x:c r="J381" s="77" t="str">
        <x:f>IF(A381="","",IF(I381="기타/불명","확인 필요","결의서명으로 1차 확인"))</x:f>
      </x:c>
      <x:c r="K381" s="78"/>
    </x:row>
    <x:row r="382">
      <x:c r="A382" s="73"/>
      <x:c r="B382" s="73"/>
      <x:c r="C382" s="74"/>
      <x:c r="D382" s="73"/>
      <x:c r="E382" s="73"/>
      <x:c r="F382" s="75"/>
      <x:c r="G382" s="75"/>
      <x:c r="H382" s="76" t="str">
        <x:f>IF(A382="","",F382-G382)</x:f>
      </x:c>
      <x:c r="I382" s="77" t="str">
        <x:f>IF(A382="","",IF(E382="","기타/불명",IF(IFERROR(SEARCH("급여",E382),0)&gt;0,"인건비",IF(IFERROR(SEARCH("임차",E382),0)&gt;0,"임차·시설",IF(IFERROR(SEARCH("광고",E382),0)&gt;0,"광고·행사",IF(IFERROR(SEARCH("용역",E382),0)&gt;0,"용역·수수료","기타/불명"))))))</x:f>
      </x:c>
      <x:c r="J382" s="77" t="str">
        <x:f>IF(A382="","",IF(I382="기타/불명","확인 필요","결의서명으로 1차 확인"))</x:f>
      </x:c>
      <x:c r="K382" s="78"/>
    </x:row>
    <x:row r="383">
      <x:c r="A383" s="73"/>
      <x:c r="B383" s="73"/>
      <x:c r="C383" s="74"/>
      <x:c r="D383" s="73"/>
      <x:c r="E383" s="73"/>
      <x:c r="F383" s="75"/>
      <x:c r="G383" s="75"/>
      <x:c r="H383" s="76" t="str">
        <x:f>IF(A383="","",F383-G383)</x:f>
      </x:c>
      <x:c r="I383" s="77" t="str">
        <x:f>IF(A383="","",IF(E383="","기타/불명",IF(IFERROR(SEARCH("급여",E383),0)&gt;0,"인건비",IF(IFERROR(SEARCH("임차",E383),0)&gt;0,"임차·시설",IF(IFERROR(SEARCH("광고",E383),0)&gt;0,"광고·행사",IF(IFERROR(SEARCH("용역",E383),0)&gt;0,"용역·수수료","기타/불명"))))))</x:f>
      </x:c>
      <x:c r="J383" s="77" t="str">
        <x:f>IF(A383="","",IF(I383="기타/불명","확인 필요","결의서명으로 1차 확인"))</x:f>
      </x:c>
      <x:c r="K383" s="78"/>
    </x:row>
    <x:row r="384">
      <x:c r="A384" s="73"/>
      <x:c r="B384" s="73"/>
      <x:c r="C384" s="74"/>
      <x:c r="D384" s="73"/>
      <x:c r="E384" s="73"/>
      <x:c r="F384" s="75"/>
      <x:c r="G384" s="75"/>
      <x:c r="H384" s="76" t="str">
        <x:f>IF(A384="","",F384-G384)</x:f>
      </x:c>
      <x:c r="I384" s="77" t="str">
        <x:f>IF(A384="","",IF(E384="","기타/불명",IF(IFERROR(SEARCH("급여",E384),0)&gt;0,"인건비",IF(IFERROR(SEARCH("임차",E384),0)&gt;0,"임차·시설",IF(IFERROR(SEARCH("광고",E384),0)&gt;0,"광고·행사",IF(IFERROR(SEARCH("용역",E384),0)&gt;0,"용역·수수료","기타/불명"))))))</x:f>
      </x:c>
      <x:c r="J384" s="77" t="str">
        <x:f>IF(A384="","",IF(I384="기타/불명","확인 필요","결의서명으로 1차 확인"))</x:f>
      </x:c>
      <x:c r="K384" s="78"/>
    </x:row>
    <x:row r="385">
      <x:c r="A385" s="73"/>
      <x:c r="B385" s="73"/>
      <x:c r="C385" s="74"/>
      <x:c r="D385" s="73"/>
      <x:c r="E385" s="73"/>
      <x:c r="F385" s="75"/>
      <x:c r="G385" s="75"/>
      <x:c r="H385" s="76" t="str">
        <x:f>IF(A385="","",F385-G385)</x:f>
      </x:c>
      <x:c r="I385" s="77" t="str">
        <x:f>IF(A385="","",IF(E385="","기타/불명",IF(IFERROR(SEARCH("급여",E385),0)&gt;0,"인건비",IF(IFERROR(SEARCH("임차",E385),0)&gt;0,"임차·시설",IF(IFERROR(SEARCH("광고",E385),0)&gt;0,"광고·행사",IF(IFERROR(SEARCH("용역",E385),0)&gt;0,"용역·수수료","기타/불명"))))))</x:f>
      </x:c>
      <x:c r="J385" s="77" t="str">
        <x:f>IF(A385="","",IF(I385="기타/불명","확인 필요","결의서명으로 1차 확인"))</x:f>
      </x:c>
      <x:c r="K385" s="78"/>
    </x:row>
    <x:row r="386">
      <x:c r="A386" s="73"/>
      <x:c r="B386" s="73"/>
      <x:c r="C386" s="74"/>
      <x:c r="D386" s="73"/>
      <x:c r="E386" s="73"/>
      <x:c r="F386" s="75"/>
      <x:c r="G386" s="75"/>
      <x:c r="H386" s="76" t="str">
        <x:f>IF(A386="","",F386-G386)</x:f>
      </x:c>
      <x:c r="I386" s="77" t="str">
        <x:f>IF(A386="","",IF(E386="","기타/불명",IF(IFERROR(SEARCH("급여",E386),0)&gt;0,"인건비",IF(IFERROR(SEARCH("임차",E386),0)&gt;0,"임차·시설",IF(IFERROR(SEARCH("광고",E386),0)&gt;0,"광고·행사",IF(IFERROR(SEARCH("용역",E386),0)&gt;0,"용역·수수료","기타/불명"))))))</x:f>
      </x:c>
      <x:c r="J386" s="77" t="str">
        <x:f>IF(A386="","",IF(I386="기타/불명","확인 필요","결의서명으로 1차 확인"))</x:f>
      </x:c>
      <x:c r="K386" s="78"/>
    </x:row>
    <x:row r="387">
      <x:c r="A387" s="73"/>
      <x:c r="B387" s="73"/>
      <x:c r="C387" s="74"/>
      <x:c r="D387" s="73"/>
      <x:c r="E387" s="73"/>
      <x:c r="F387" s="75"/>
      <x:c r="G387" s="75"/>
      <x:c r="H387" s="76" t="str">
        <x:f>IF(A387="","",F387-G387)</x:f>
      </x:c>
      <x:c r="I387" s="77" t="str">
        <x:f>IF(A387="","",IF(E387="","기타/불명",IF(IFERROR(SEARCH("급여",E387),0)&gt;0,"인건비",IF(IFERROR(SEARCH("임차",E387),0)&gt;0,"임차·시설",IF(IFERROR(SEARCH("광고",E387),0)&gt;0,"광고·행사",IF(IFERROR(SEARCH("용역",E387),0)&gt;0,"용역·수수료","기타/불명"))))))</x:f>
      </x:c>
      <x:c r="J387" s="77" t="str">
        <x:f>IF(A387="","",IF(I387="기타/불명","확인 필요","결의서명으로 1차 확인"))</x:f>
      </x:c>
      <x:c r="K387" s="78"/>
    </x:row>
    <x:row r="388">
      <x:c r="A388" s="73"/>
      <x:c r="B388" s="73"/>
      <x:c r="C388" s="74"/>
      <x:c r="D388" s="73"/>
      <x:c r="E388" s="73"/>
      <x:c r="F388" s="75"/>
      <x:c r="G388" s="75"/>
      <x:c r="H388" s="76" t="str">
        <x:f>IF(A388="","",F388-G388)</x:f>
      </x:c>
      <x:c r="I388" s="77" t="str">
        <x:f>IF(A388="","",IF(E388="","기타/불명",IF(IFERROR(SEARCH("급여",E388),0)&gt;0,"인건비",IF(IFERROR(SEARCH("임차",E388),0)&gt;0,"임차·시설",IF(IFERROR(SEARCH("광고",E388),0)&gt;0,"광고·행사",IF(IFERROR(SEARCH("용역",E388),0)&gt;0,"용역·수수료","기타/불명"))))))</x:f>
      </x:c>
      <x:c r="J388" s="77" t="str">
        <x:f>IF(A388="","",IF(I388="기타/불명","확인 필요","결의서명으로 1차 확인"))</x:f>
      </x:c>
      <x:c r="K388" s="78"/>
    </x:row>
    <x:row r="389">
      <x:c r="A389" s="73"/>
      <x:c r="B389" s="73"/>
      <x:c r="C389" s="74"/>
      <x:c r="D389" s="73"/>
      <x:c r="E389" s="73"/>
      <x:c r="F389" s="75"/>
      <x:c r="G389" s="75"/>
      <x:c r="H389" s="76" t="str">
        <x:f>IF(A389="","",F389-G389)</x:f>
      </x:c>
      <x:c r="I389" s="77" t="str">
        <x:f>IF(A389="","",IF(E389="","기타/불명",IF(IFERROR(SEARCH("급여",E389),0)&gt;0,"인건비",IF(IFERROR(SEARCH("임차",E389),0)&gt;0,"임차·시설",IF(IFERROR(SEARCH("광고",E389),0)&gt;0,"광고·행사",IF(IFERROR(SEARCH("용역",E389),0)&gt;0,"용역·수수료","기타/불명"))))))</x:f>
      </x:c>
      <x:c r="J389" s="77" t="str">
        <x:f>IF(A389="","",IF(I389="기타/불명","확인 필요","결의서명으로 1차 확인"))</x:f>
      </x:c>
      <x:c r="K389" s="78"/>
    </x:row>
    <x:row r="390">
      <x:c r="A390" s="73"/>
      <x:c r="B390" s="73"/>
      <x:c r="C390" s="74"/>
      <x:c r="D390" s="73"/>
      <x:c r="E390" s="73"/>
      <x:c r="F390" s="75"/>
      <x:c r="G390" s="75"/>
      <x:c r="H390" s="76" t="str">
        <x:f>IF(A390="","",F390-G390)</x:f>
      </x:c>
      <x:c r="I390" s="77" t="str">
        <x:f>IF(A390="","",IF(E390="","기타/불명",IF(IFERROR(SEARCH("급여",E390),0)&gt;0,"인건비",IF(IFERROR(SEARCH("임차",E390),0)&gt;0,"임차·시설",IF(IFERROR(SEARCH("광고",E390),0)&gt;0,"광고·행사",IF(IFERROR(SEARCH("용역",E390),0)&gt;0,"용역·수수료","기타/불명"))))))</x:f>
      </x:c>
      <x:c r="J390" s="77" t="str">
        <x:f>IF(A390="","",IF(I390="기타/불명","확인 필요","결의서명으로 1차 확인"))</x:f>
      </x:c>
      <x:c r="K390" s="78"/>
    </x:row>
    <x:row r="391">
      <x:c r="A391" s="73"/>
      <x:c r="B391" s="73"/>
      <x:c r="C391" s="74"/>
      <x:c r="D391" s="73"/>
      <x:c r="E391" s="73"/>
      <x:c r="F391" s="75"/>
      <x:c r="G391" s="75"/>
      <x:c r="H391" s="76" t="str">
        <x:f>IF(A391="","",F391-G391)</x:f>
      </x:c>
      <x:c r="I391" s="77" t="str">
        <x:f>IF(A391="","",IF(E391="","기타/불명",IF(IFERROR(SEARCH("급여",E391),0)&gt;0,"인건비",IF(IFERROR(SEARCH("임차",E391),0)&gt;0,"임차·시설",IF(IFERROR(SEARCH("광고",E391),0)&gt;0,"광고·행사",IF(IFERROR(SEARCH("용역",E391),0)&gt;0,"용역·수수료","기타/불명"))))))</x:f>
      </x:c>
      <x:c r="J391" s="77" t="str">
        <x:f>IF(A391="","",IF(I391="기타/불명","확인 필요","결의서명으로 1차 확인"))</x:f>
      </x:c>
      <x:c r="K391" s="78"/>
    </x:row>
    <x:row r="392">
      <x:c r="A392" s="73"/>
      <x:c r="B392" s="73"/>
      <x:c r="C392" s="74"/>
      <x:c r="D392" s="73"/>
      <x:c r="E392" s="73"/>
      <x:c r="F392" s="75"/>
      <x:c r="G392" s="75"/>
      <x:c r="H392" s="76" t="str">
        <x:f>IF(A392="","",F392-G392)</x:f>
      </x:c>
      <x:c r="I392" s="77" t="str">
        <x:f>IF(A392="","",IF(E392="","기타/불명",IF(IFERROR(SEARCH("급여",E392),0)&gt;0,"인건비",IF(IFERROR(SEARCH("임차",E392),0)&gt;0,"임차·시설",IF(IFERROR(SEARCH("광고",E392),0)&gt;0,"광고·행사",IF(IFERROR(SEARCH("용역",E392),0)&gt;0,"용역·수수료","기타/불명"))))))</x:f>
      </x:c>
      <x:c r="J392" s="77" t="str">
        <x:f>IF(A392="","",IF(I392="기타/불명","확인 필요","결의서명으로 1차 확인"))</x:f>
      </x:c>
      <x:c r="K392" s="78"/>
    </x:row>
    <x:row r="393">
      <x:c r="A393" s="73"/>
      <x:c r="B393" s="73"/>
      <x:c r="C393" s="74"/>
      <x:c r="D393" s="73"/>
      <x:c r="E393" s="73"/>
      <x:c r="F393" s="75"/>
      <x:c r="G393" s="75"/>
      <x:c r="H393" s="76" t="str">
        <x:f>IF(A393="","",F393-G393)</x:f>
      </x:c>
      <x:c r="I393" s="77" t="str">
        <x:f>IF(A393="","",IF(E393="","기타/불명",IF(IFERROR(SEARCH("급여",E393),0)&gt;0,"인건비",IF(IFERROR(SEARCH("임차",E393),0)&gt;0,"임차·시설",IF(IFERROR(SEARCH("광고",E393),0)&gt;0,"광고·행사",IF(IFERROR(SEARCH("용역",E393),0)&gt;0,"용역·수수료","기타/불명"))))))</x:f>
      </x:c>
      <x:c r="J393" s="77" t="str">
        <x:f>IF(A393="","",IF(I393="기타/불명","확인 필요","결의서명으로 1차 확인"))</x:f>
      </x:c>
      <x:c r="K393" s="78"/>
    </x:row>
    <x:row r="394">
      <x:c r="A394" s="73"/>
      <x:c r="B394" s="73"/>
      <x:c r="C394" s="74"/>
      <x:c r="D394" s="73"/>
      <x:c r="E394" s="73"/>
      <x:c r="F394" s="75"/>
      <x:c r="G394" s="75"/>
      <x:c r="H394" s="76" t="str">
        <x:f>IF(A394="","",F394-G394)</x:f>
      </x:c>
      <x:c r="I394" s="77" t="str">
        <x:f>IF(A394="","",IF(E394="","기타/불명",IF(IFERROR(SEARCH("급여",E394),0)&gt;0,"인건비",IF(IFERROR(SEARCH("임차",E394),0)&gt;0,"임차·시설",IF(IFERROR(SEARCH("광고",E394),0)&gt;0,"광고·행사",IF(IFERROR(SEARCH("용역",E394),0)&gt;0,"용역·수수료","기타/불명"))))))</x:f>
      </x:c>
      <x:c r="J394" s="77" t="str">
        <x:f>IF(A394="","",IF(I394="기타/불명","확인 필요","결의서명으로 1차 확인"))</x:f>
      </x:c>
      <x:c r="K394" s="78"/>
    </x:row>
    <x:row r="395">
      <x:c r="A395" s="73"/>
      <x:c r="B395" s="73"/>
      <x:c r="C395" s="74"/>
      <x:c r="D395" s="73"/>
      <x:c r="E395" s="73"/>
      <x:c r="F395" s="75"/>
      <x:c r="G395" s="75"/>
      <x:c r="H395" s="76" t="str">
        <x:f>IF(A395="","",F395-G395)</x:f>
      </x:c>
      <x:c r="I395" s="77" t="str">
        <x:f>IF(A395="","",IF(E395="","기타/불명",IF(IFERROR(SEARCH("급여",E395),0)&gt;0,"인건비",IF(IFERROR(SEARCH("임차",E395),0)&gt;0,"임차·시설",IF(IFERROR(SEARCH("광고",E395),0)&gt;0,"광고·행사",IF(IFERROR(SEARCH("용역",E395),0)&gt;0,"용역·수수료","기타/불명"))))))</x:f>
      </x:c>
      <x:c r="J395" s="77" t="str">
        <x:f>IF(A395="","",IF(I395="기타/불명","확인 필요","결의서명으로 1차 확인"))</x:f>
      </x:c>
      <x:c r="K395" s="78"/>
    </x:row>
    <x:row r="396">
      <x:c r="A396" s="73"/>
      <x:c r="B396" s="73"/>
      <x:c r="C396" s="74"/>
      <x:c r="D396" s="73"/>
      <x:c r="E396" s="73"/>
      <x:c r="F396" s="75"/>
      <x:c r="G396" s="75"/>
      <x:c r="H396" s="76" t="str">
        <x:f>IF(A396="","",F396-G396)</x:f>
      </x:c>
      <x:c r="I396" s="77" t="str">
        <x:f>IF(A396="","",IF(E396="","기타/불명",IF(IFERROR(SEARCH("급여",E396),0)&gt;0,"인건비",IF(IFERROR(SEARCH("임차",E396),0)&gt;0,"임차·시설",IF(IFERROR(SEARCH("광고",E396),0)&gt;0,"광고·행사",IF(IFERROR(SEARCH("용역",E396),0)&gt;0,"용역·수수료","기타/불명"))))))</x:f>
      </x:c>
      <x:c r="J396" s="77" t="str">
        <x:f>IF(A396="","",IF(I396="기타/불명","확인 필요","결의서명으로 1차 확인"))</x:f>
      </x:c>
      <x:c r="K396" s="78"/>
    </x:row>
    <x:row r="397">
      <x:c r="A397" s="73"/>
      <x:c r="B397" s="73"/>
      <x:c r="C397" s="74"/>
      <x:c r="D397" s="73"/>
      <x:c r="E397" s="73"/>
      <x:c r="F397" s="75"/>
      <x:c r="G397" s="75"/>
      <x:c r="H397" s="76" t="str">
        <x:f>IF(A397="","",F397-G397)</x:f>
      </x:c>
      <x:c r="I397" s="77" t="str">
        <x:f>IF(A397="","",IF(E397="","기타/불명",IF(IFERROR(SEARCH("급여",E397),0)&gt;0,"인건비",IF(IFERROR(SEARCH("임차",E397),0)&gt;0,"임차·시설",IF(IFERROR(SEARCH("광고",E397),0)&gt;0,"광고·행사",IF(IFERROR(SEARCH("용역",E397),0)&gt;0,"용역·수수료","기타/불명"))))))</x:f>
      </x:c>
      <x:c r="J397" s="77" t="str">
        <x:f>IF(A397="","",IF(I397="기타/불명","확인 필요","결의서명으로 1차 확인"))</x:f>
      </x:c>
      <x:c r="K397" s="78"/>
    </x:row>
    <x:row r="398">
      <x:c r="A398" s="73"/>
      <x:c r="B398" s="73"/>
      <x:c r="C398" s="74"/>
      <x:c r="D398" s="73"/>
      <x:c r="E398" s="73"/>
      <x:c r="F398" s="75"/>
      <x:c r="G398" s="75"/>
      <x:c r="H398" s="76" t="str">
        <x:f>IF(A398="","",F398-G398)</x:f>
      </x:c>
      <x:c r="I398" s="77" t="str">
        <x:f>IF(A398="","",IF(E398="","기타/불명",IF(IFERROR(SEARCH("급여",E398),0)&gt;0,"인건비",IF(IFERROR(SEARCH("임차",E398),0)&gt;0,"임차·시설",IF(IFERROR(SEARCH("광고",E398),0)&gt;0,"광고·행사",IF(IFERROR(SEARCH("용역",E398),0)&gt;0,"용역·수수료","기타/불명"))))))</x:f>
      </x:c>
      <x:c r="J398" s="77" t="str">
        <x:f>IF(A398="","",IF(I398="기타/불명","확인 필요","결의서명으로 1차 확인"))</x:f>
      </x:c>
      <x:c r="K398" s="78"/>
    </x:row>
    <x:row r="399">
      <x:c r="A399" s="73"/>
      <x:c r="B399" s="73"/>
      <x:c r="C399" s="74"/>
      <x:c r="D399" s="73"/>
      <x:c r="E399" s="73"/>
      <x:c r="F399" s="75"/>
      <x:c r="G399" s="75"/>
      <x:c r="H399" s="76" t="str">
        <x:f>IF(A399="","",F399-G399)</x:f>
      </x:c>
      <x:c r="I399" s="77" t="str">
        <x:f>IF(A399="","",IF(E399="","기타/불명",IF(IFERROR(SEARCH("급여",E399),0)&gt;0,"인건비",IF(IFERROR(SEARCH("임차",E399),0)&gt;0,"임차·시설",IF(IFERROR(SEARCH("광고",E399),0)&gt;0,"광고·행사",IF(IFERROR(SEARCH("용역",E399),0)&gt;0,"용역·수수료","기타/불명"))))))</x:f>
      </x:c>
      <x:c r="J399" s="77" t="str">
        <x:f>IF(A399="","",IF(I399="기타/불명","확인 필요","결의서명으로 1차 확인"))</x:f>
      </x:c>
      <x:c r="K399" s="78"/>
    </x:row>
    <x:row r="400">
      <x:c r="A400" s="73"/>
      <x:c r="B400" s="73"/>
      <x:c r="C400" s="74"/>
      <x:c r="D400" s="73"/>
      <x:c r="E400" s="73"/>
      <x:c r="F400" s="75"/>
      <x:c r="G400" s="75"/>
      <x:c r="H400" s="76" t="str">
        <x:f>IF(A400="","",F400-G400)</x:f>
      </x:c>
      <x:c r="I400" s="77" t="str">
        <x:f>IF(A400="","",IF(E400="","기타/불명",IF(IFERROR(SEARCH("급여",E400),0)&gt;0,"인건비",IF(IFERROR(SEARCH("임차",E400),0)&gt;0,"임차·시설",IF(IFERROR(SEARCH("광고",E400),0)&gt;0,"광고·행사",IF(IFERROR(SEARCH("용역",E400),0)&gt;0,"용역·수수료","기타/불명"))))))</x:f>
      </x:c>
      <x:c r="J400" s="77" t="str">
        <x:f>IF(A400="","",IF(I400="기타/불명","확인 필요","결의서명으로 1차 확인"))</x:f>
      </x:c>
      <x:c r="K400" s="78"/>
    </x:row>
    <x:row r="401">
      <x:c r="A401" s="73"/>
      <x:c r="B401" s="73"/>
      <x:c r="C401" s="74"/>
      <x:c r="D401" s="73"/>
      <x:c r="E401" s="73"/>
      <x:c r="F401" s="75"/>
      <x:c r="G401" s="75"/>
      <x:c r="H401" s="76" t="str">
        <x:f>IF(A401="","",F401-G401)</x:f>
      </x:c>
      <x:c r="I401" s="77" t="str">
        <x:f>IF(A401="","",IF(E401="","기타/불명",IF(IFERROR(SEARCH("급여",E401),0)&gt;0,"인건비",IF(IFERROR(SEARCH("임차",E401),0)&gt;0,"임차·시설",IF(IFERROR(SEARCH("광고",E401),0)&gt;0,"광고·행사",IF(IFERROR(SEARCH("용역",E401),0)&gt;0,"용역·수수료","기타/불명"))))))</x:f>
      </x:c>
      <x:c r="J401" s="77" t="str">
        <x:f>IF(A401="","",IF(I401="기타/불명","확인 필요","결의서명으로 1차 확인"))</x:f>
      </x:c>
      <x:c r="K401" s="78"/>
    </x:row>
    <x:row r="402">
      <x:c r="A402" s="73"/>
      <x:c r="B402" s="73"/>
      <x:c r="C402" s="74"/>
      <x:c r="D402" s="73"/>
      <x:c r="E402" s="73"/>
      <x:c r="F402" s="75"/>
      <x:c r="G402" s="75"/>
      <x:c r="H402" s="76" t="str">
        <x:f>IF(A402="","",F402-G402)</x:f>
      </x:c>
      <x:c r="I402" s="77" t="str">
        <x:f>IF(A402="","",IF(E402="","기타/불명",IF(IFERROR(SEARCH("급여",E402),0)&gt;0,"인건비",IF(IFERROR(SEARCH("임차",E402),0)&gt;0,"임차·시설",IF(IFERROR(SEARCH("광고",E402),0)&gt;0,"광고·행사",IF(IFERROR(SEARCH("용역",E402),0)&gt;0,"용역·수수료","기타/불명"))))))</x:f>
      </x:c>
      <x:c r="J402" s="77" t="str">
        <x:f>IF(A402="","",IF(I402="기타/불명","확인 필요","결의서명으로 1차 확인"))</x:f>
      </x:c>
      <x:c r="K402" s="78"/>
    </x:row>
    <x:row r="403">
      <x:c r="A403" s="73"/>
      <x:c r="B403" s="73"/>
      <x:c r="C403" s="74"/>
      <x:c r="D403" s="73"/>
      <x:c r="E403" s="73"/>
      <x:c r="F403" s="75"/>
      <x:c r="G403" s="75"/>
      <x:c r="H403" s="76" t="str">
        <x:f>IF(A403="","",F403-G403)</x:f>
      </x:c>
      <x:c r="I403" s="77" t="str">
        <x:f>IF(A403="","",IF(E403="","기타/불명",IF(IFERROR(SEARCH("급여",E403),0)&gt;0,"인건비",IF(IFERROR(SEARCH("임차",E403),0)&gt;0,"임차·시설",IF(IFERROR(SEARCH("광고",E403),0)&gt;0,"광고·행사",IF(IFERROR(SEARCH("용역",E403),0)&gt;0,"용역·수수료","기타/불명"))))))</x:f>
      </x:c>
      <x:c r="J403" s="77" t="str">
        <x:f>IF(A403="","",IF(I403="기타/불명","확인 필요","결의서명으로 1차 확인"))</x:f>
      </x:c>
      <x:c r="K403" s="78"/>
    </x:row>
    <x:row r="404">
      <x:c r="A404" s="73"/>
      <x:c r="B404" s="73"/>
      <x:c r="C404" s="74"/>
      <x:c r="D404" s="73"/>
      <x:c r="E404" s="73"/>
      <x:c r="F404" s="75"/>
      <x:c r="G404" s="75"/>
      <x:c r="H404" s="76" t="str">
        <x:f>IF(A404="","",F404-G404)</x:f>
      </x:c>
      <x:c r="I404" s="77" t="str">
        <x:f>IF(A404="","",IF(E404="","기타/불명",IF(IFERROR(SEARCH("급여",E404),0)&gt;0,"인건비",IF(IFERROR(SEARCH("임차",E404),0)&gt;0,"임차·시설",IF(IFERROR(SEARCH("광고",E404),0)&gt;0,"광고·행사",IF(IFERROR(SEARCH("용역",E404),0)&gt;0,"용역·수수료","기타/불명"))))))</x:f>
      </x:c>
      <x:c r="J404" s="77" t="str">
        <x:f>IF(A404="","",IF(I404="기타/불명","확인 필요","결의서명으로 1차 확인"))</x:f>
      </x:c>
      <x:c r="K404" s="78"/>
    </x:row>
    <x:row r="405">
      <x:c r="A405" s="73"/>
      <x:c r="B405" s="73"/>
      <x:c r="C405" s="74"/>
      <x:c r="D405" s="73"/>
      <x:c r="E405" s="73"/>
      <x:c r="F405" s="75"/>
      <x:c r="G405" s="75"/>
      <x:c r="H405" s="76" t="str">
        <x:f>IF(A405="","",F405-G405)</x:f>
      </x:c>
      <x:c r="I405" s="77" t="str">
        <x:f>IF(A405="","",IF(E405="","기타/불명",IF(IFERROR(SEARCH("급여",E405),0)&gt;0,"인건비",IF(IFERROR(SEARCH("임차",E405),0)&gt;0,"임차·시설",IF(IFERROR(SEARCH("광고",E405),0)&gt;0,"광고·행사",IF(IFERROR(SEARCH("용역",E405),0)&gt;0,"용역·수수료","기타/불명"))))))</x:f>
      </x:c>
      <x:c r="J405" s="77" t="str">
        <x:f>IF(A405="","",IF(I405="기타/불명","확인 필요","결의서명으로 1차 확인"))</x:f>
      </x:c>
      <x:c r="K405" s="78"/>
    </x:row>
    <x:row r="406">
      <x:c r="A406" s="73"/>
      <x:c r="B406" s="73"/>
      <x:c r="C406" s="74"/>
      <x:c r="D406" s="73"/>
      <x:c r="E406" s="73"/>
      <x:c r="F406" s="75"/>
      <x:c r="G406" s="75"/>
      <x:c r="H406" s="76" t="str">
        <x:f>IF(A406="","",F406-G406)</x:f>
      </x:c>
      <x:c r="I406" s="77" t="str">
        <x:f>IF(A406="","",IF(E406="","기타/불명",IF(IFERROR(SEARCH("급여",E406),0)&gt;0,"인건비",IF(IFERROR(SEARCH("임차",E406),0)&gt;0,"임차·시설",IF(IFERROR(SEARCH("광고",E406),0)&gt;0,"광고·행사",IF(IFERROR(SEARCH("용역",E406),0)&gt;0,"용역·수수료","기타/불명"))))))</x:f>
      </x:c>
      <x:c r="J406" s="77" t="str">
        <x:f>IF(A406="","",IF(I406="기타/불명","확인 필요","결의서명으로 1차 확인"))</x:f>
      </x:c>
      <x:c r="K406" s="78"/>
    </x:row>
    <x:row r="407">
      <x:c r="A407" s="73"/>
      <x:c r="B407" s="73"/>
      <x:c r="C407" s="74"/>
      <x:c r="D407" s="73"/>
      <x:c r="E407" s="73"/>
      <x:c r="F407" s="75"/>
      <x:c r="G407" s="75"/>
      <x:c r="H407" s="76" t="str">
        <x:f>IF(A407="","",F407-G407)</x:f>
      </x:c>
      <x:c r="I407" s="77" t="str">
        <x:f>IF(A407="","",IF(E407="","기타/불명",IF(IFERROR(SEARCH("급여",E407),0)&gt;0,"인건비",IF(IFERROR(SEARCH("임차",E407),0)&gt;0,"임차·시설",IF(IFERROR(SEARCH("광고",E407),0)&gt;0,"광고·행사",IF(IFERROR(SEARCH("용역",E407),0)&gt;0,"용역·수수료","기타/불명"))))))</x:f>
      </x:c>
      <x:c r="J407" s="77" t="str">
        <x:f>IF(A407="","",IF(I407="기타/불명","확인 필요","결의서명으로 1차 확인"))</x:f>
      </x:c>
      <x:c r="K407" s="78"/>
    </x:row>
    <x:row r="408">
      <x:c r="A408" s="73"/>
      <x:c r="B408" s="73"/>
      <x:c r="C408" s="74"/>
      <x:c r="D408" s="73"/>
      <x:c r="E408" s="73"/>
      <x:c r="F408" s="75"/>
      <x:c r="G408" s="75"/>
      <x:c r="H408" s="76" t="str">
        <x:f>IF(A408="","",F408-G408)</x:f>
      </x:c>
      <x:c r="I408" s="77" t="str">
        <x:f>IF(A408="","",IF(E408="","기타/불명",IF(IFERROR(SEARCH("급여",E408),0)&gt;0,"인건비",IF(IFERROR(SEARCH("임차",E408),0)&gt;0,"임차·시설",IF(IFERROR(SEARCH("광고",E408),0)&gt;0,"광고·행사",IF(IFERROR(SEARCH("용역",E408),0)&gt;0,"용역·수수료","기타/불명"))))))</x:f>
      </x:c>
      <x:c r="J408" s="77" t="str">
        <x:f>IF(A408="","",IF(I408="기타/불명","확인 필요","결의서명으로 1차 확인"))</x:f>
      </x:c>
      <x:c r="K408" s="78"/>
    </x:row>
    <x:row r="409">
      <x:c r="A409" s="73"/>
      <x:c r="B409" s="73"/>
      <x:c r="C409" s="74"/>
      <x:c r="D409" s="73"/>
      <x:c r="E409" s="73"/>
      <x:c r="F409" s="75"/>
      <x:c r="G409" s="75"/>
      <x:c r="H409" s="76" t="str">
        <x:f>IF(A409="","",F409-G409)</x:f>
      </x:c>
      <x:c r="I409" s="77" t="str">
        <x:f>IF(A409="","",IF(E409="","기타/불명",IF(IFERROR(SEARCH("급여",E409),0)&gt;0,"인건비",IF(IFERROR(SEARCH("임차",E409),0)&gt;0,"임차·시설",IF(IFERROR(SEARCH("광고",E409),0)&gt;0,"광고·행사",IF(IFERROR(SEARCH("용역",E409),0)&gt;0,"용역·수수료","기타/불명"))))))</x:f>
      </x:c>
      <x:c r="J409" s="77" t="str">
        <x:f>IF(A409="","",IF(I409="기타/불명","확인 필요","결의서명으로 1차 확인"))</x:f>
      </x:c>
      <x:c r="K409" s="78"/>
    </x:row>
    <x:row r="410">
      <x:c r="A410" s="73"/>
      <x:c r="B410" s="73"/>
      <x:c r="C410" s="74"/>
      <x:c r="D410" s="73"/>
      <x:c r="E410" s="73"/>
      <x:c r="F410" s="75"/>
      <x:c r="G410" s="75"/>
      <x:c r="H410" s="76" t="str">
        <x:f>IF(A410="","",F410-G410)</x:f>
      </x:c>
      <x:c r="I410" s="77" t="str">
        <x:f>IF(A410="","",IF(E410="","기타/불명",IF(IFERROR(SEARCH("급여",E410),0)&gt;0,"인건비",IF(IFERROR(SEARCH("임차",E410),0)&gt;0,"임차·시설",IF(IFERROR(SEARCH("광고",E410),0)&gt;0,"광고·행사",IF(IFERROR(SEARCH("용역",E410),0)&gt;0,"용역·수수료","기타/불명"))))))</x:f>
      </x:c>
      <x:c r="J410" s="77" t="str">
        <x:f>IF(A410="","",IF(I410="기타/불명","확인 필요","결의서명으로 1차 확인"))</x:f>
      </x:c>
      <x:c r="K410" s="78"/>
    </x:row>
    <x:row r="411">
      <x:c r="A411" s="73"/>
      <x:c r="B411" s="73"/>
      <x:c r="C411" s="74"/>
      <x:c r="D411" s="73"/>
      <x:c r="E411" s="73"/>
      <x:c r="F411" s="75"/>
      <x:c r="G411" s="75"/>
      <x:c r="H411" s="76" t="str">
        <x:f>IF(A411="","",F411-G411)</x:f>
      </x:c>
      <x:c r="I411" s="77" t="str">
        <x:f>IF(A411="","",IF(E411="","기타/불명",IF(IFERROR(SEARCH("급여",E411),0)&gt;0,"인건비",IF(IFERROR(SEARCH("임차",E411),0)&gt;0,"임차·시설",IF(IFERROR(SEARCH("광고",E411),0)&gt;0,"광고·행사",IF(IFERROR(SEARCH("용역",E411),0)&gt;0,"용역·수수료","기타/불명"))))))</x:f>
      </x:c>
      <x:c r="J411" s="77" t="str">
        <x:f>IF(A411="","",IF(I411="기타/불명","확인 필요","결의서명으로 1차 확인"))</x:f>
      </x:c>
      <x:c r="K411" s="78"/>
    </x:row>
    <x:row r="412">
      <x:c r="A412" s="73"/>
      <x:c r="B412" s="73"/>
      <x:c r="C412" s="74"/>
      <x:c r="D412" s="73"/>
      <x:c r="E412" s="73"/>
      <x:c r="F412" s="75"/>
      <x:c r="G412" s="75"/>
      <x:c r="H412" s="76" t="str">
        <x:f>IF(A412="","",F412-G412)</x:f>
      </x:c>
      <x:c r="I412" s="77" t="str">
        <x:f>IF(A412="","",IF(E412="","기타/불명",IF(IFERROR(SEARCH("급여",E412),0)&gt;0,"인건비",IF(IFERROR(SEARCH("임차",E412),0)&gt;0,"임차·시설",IF(IFERROR(SEARCH("광고",E412),0)&gt;0,"광고·행사",IF(IFERROR(SEARCH("용역",E412),0)&gt;0,"용역·수수료","기타/불명"))))))</x:f>
      </x:c>
      <x:c r="J412" s="77" t="str">
        <x:f>IF(A412="","",IF(I412="기타/불명","확인 필요","결의서명으로 1차 확인"))</x:f>
      </x:c>
      <x:c r="K412" s="78"/>
    </x:row>
    <x:row r="413">
      <x:c r="A413" s="73"/>
      <x:c r="B413" s="73"/>
      <x:c r="C413" s="74"/>
      <x:c r="D413" s="73"/>
      <x:c r="E413" s="73"/>
      <x:c r="F413" s="75"/>
      <x:c r="G413" s="75"/>
      <x:c r="H413" s="76" t="str">
        <x:f>IF(A413="","",F413-G413)</x:f>
      </x:c>
      <x:c r="I413" s="77" t="str">
        <x:f>IF(A413="","",IF(E413="","기타/불명",IF(IFERROR(SEARCH("급여",E413),0)&gt;0,"인건비",IF(IFERROR(SEARCH("임차",E413),0)&gt;0,"임차·시설",IF(IFERROR(SEARCH("광고",E413),0)&gt;0,"광고·행사",IF(IFERROR(SEARCH("용역",E413),0)&gt;0,"용역·수수료","기타/불명"))))))</x:f>
      </x:c>
      <x:c r="J413" s="77" t="str">
        <x:f>IF(A413="","",IF(I413="기타/불명","확인 필요","결의서명으로 1차 확인"))</x:f>
      </x:c>
      <x:c r="K413" s="78"/>
    </x:row>
    <x:row r="414">
      <x:c r="A414" s="73"/>
      <x:c r="B414" s="73"/>
      <x:c r="C414" s="74"/>
      <x:c r="D414" s="73"/>
      <x:c r="E414" s="73"/>
      <x:c r="F414" s="75"/>
      <x:c r="G414" s="75"/>
      <x:c r="H414" s="76" t="str">
        <x:f>IF(A414="","",F414-G414)</x:f>
      </x:c>
      <x:c r="I414" s="77" t="str">
        <x:f>IF(A414="","",IF(E414="","기타/불명",IF(IFERROR(SEARCH("급여",E414),0)&gt;0,"인건비",IF(IFERROR(SEARCH("임차",E414),0)&gt;0,"임차·시설",IF(IFERROR(SEARCH("광고",E414),0)&gt;0,"광고·행사",IF(IFERROR(SEARCH("용역",E414),0)&gt;0,"용역·수수료","기타/불명"))))))</x:f>
      </x:c>
      <x:c r="J414" s="77" t="str">
        <x:f>IF(A414="","",IF(I414="기타/불명","확인 필요","결의서명으로 1차 확인"))</x:f>
      </x:c>
      <x:c r="K414" s="78"/>
    </x:row>
    <x:row r="415">
      <x:c r="A415" s="73"/>
      <x:c r="B415" s="73"/>
      <x:c r="C415" s="74"/>
      <x:c r="D415" s="73"/>
      <x:c r="E415" s="73"/>
      <x:c r="F415" s="75"/>
      <x:c r="G415" s="75"/>
      <x:c r="H415" s="76" t="str">
        <x:f>IF(A415="","",F415-G415)</x:f>
      </x:c>
      <x:c r="I415" s="77" t="str">
        <x:f>IF(A415="","",IF(E415="","기타/불명",IF(IFERROR(SEARCH("급여",E415),0)&gt;0,"인건비",IF(IFERROR(SEARCH("임차",E415),0)&gt;0,"임차·시설",IF(IFERROR(SEARCH("광고",E415),0)&gt;0,"광고·행사",IF(IFERROR(SEARCH("용역",E415),0)&gt;0,"용역·수수료","기타/불명"))))))</x:f>
      </x:c>
      <x:c r="J415" s="77" t="str">
        <x:f>IF(A415="","",IF(I415="기타/불명","확인 필요","결의서명으로 1차 확인"))</x:f>
      </x:c>
      <x:c r="K415" s="78"/>
    </x:row>
    <x:row r="416">
      <x:c r="A416" s="73"/>
      <x:c r="B416" s="73"/>
      <x:c r="C416" s="74"/>
      <x:c r="D416" s="73"/>
      <x:c r="E416" s="73"/>
      <x:c r="F416" s="75"/>
      <x:c r="G416" s="75"/>
      <x:c r="H416" s="76" t="str">
        <x:f>IF(A416="","",F416-G416)</x:f>
      </x:c>
      <x:c r="I416" s="77" t="str">
        <x:f>IF(A416="","",IF(E416="","기타/불명",IF(IFERROR(SEARCH("급여",E416),0)&gt;0,"인건비",IF(IFERROR(SEARCH("임차",E416),0)&gt;0,"임차·시설",IF(IFERROR(SEARCH("광고",E416),0)&gt;0,"광고·행사",IF(IFERROR(SEARCH("용역",E416),0)&gt;0,"용역·수수료","기타/불명"))))))</x:f>
      </x:c>
      <x:c r="J416" s="77" t="str">
        <x:f>IF(A416="","",IF(I416="기타/불명","확인 필요","결의서명으로 1차 확인"))</x:f>
      </x:c>
      <x:c r="K416" s="78"/>
    </x:row>
    <x:row r="417">
      <x:c r="A417" s="73"/>
      <x:c r="B417" s="73"/>
      <x:c r="C417" s="74"/>
      <x:c r="D417" s="73"/>
      <x:c r="E417" s="73"/>
      <x:c r="F417" s="75"/>
      <x:c r="G417" s="75"/>
      <x:c r="H417" s="76" t="str">
        <x:f>IF(A417="","",F417-G417)</x:f>
      </x:c>
      <x:c r="I417" s="77" t="str">
        <x:f>IF(A417="","",IF(E417="","기타/불명",IF(IFERROR(SEARCH("급여",E417),0)&gt;0,"인건비",IF(IFERROR(SEARCH("임차",E417),0)&gt;0,"임차·시설",IF(IFERROR(SEARCH("광고",E417),0)&gt;0,"광고·행사",IF(IFERROR(SEARCH("용역",E417),0)&gt;0,"용역·수수료","기타/불명"))))))</x:f>
      </x:c>
      <x:c r="J417" s="77" t="str">
        <x:f>IF(A417="","",IF(I417="기타/불명","확인 필요","결의서명으로 1차 확인"))</x:f>
      </x:c>
      <x:c r="K417" s="78"/>
    </x:row>
    <x:row r="418">
      <x:c r="A418" s="73"/>
      <x:c r="B418" s="73"/>
      <x:c r="C418" s="74"/>
      <x:c r="D418" s="73"/>
      <x:c r="E418" s="73"/>
      <x:c r="F418" s="75"/>
      <x:c r="G418" s="75"/>
      <x:c r="H418" s="76" t="str">
        <x:f>IF(A418="","",F418-G418)</x:f>
      </x:c>
      <x:c r="I418" s="77" t="str">
        <x:f>IF(A418="","",IF(E418="","기타/불명",IF(IFERROR(SEARCH("급여",E418),0)&gt;0,"인건비",IF(IFERROR(SEARCH("임차",E418),0)&gt;0,"임차·시설",IF(IFERROR(SEARCH("광고",E418),0)&gt;0,"광고·행사",IF(IFERROR(SEARCH("용역",E418),0)&gt;0,"용역·수수료","기타/불명"))))))</x:f>
      </x:c>
      <x:c r="J418" s="77" t="str">
        <x:f>IF(A418="","",IF(I418="기타/불명","확인 필요","결의서명으로 1차 확인"))</x:f>
      </x:c>
      <x:c r="K418" s="78"/>
    </x:row>
    <x:row r="419">
      <x:c r="A419" s="73"/>
      <x:c r="B419" s="73"/>
      <x:c r="C419" s="74"/>
      <x:c r="D419" s="73"/>
      <x:c r="E419" s="73"/>
      <x:c r="F419" s="75"/>
      <x:c r="G419" s="75"/>
      <x:c r="H419" s="76" t="str">
        <x:f>IF(A419="","",F419-G419)</x:f>
      </x:c>
      <x:c r="I419" s="77" t="str">
        <x:f>IF(A419="","",IF(E419="","기타/불명",IF(IFERROR(SEARCH("급여",E419),0)&gt;0,"인건비",IF(IFERROR(SEARCH("임차",E419),0)&gt;0,"임차·시설",IF(IFERROR(SEARCH("광고",E419),0)&gt;0,"광고·행사",IF(IFERROR(SEARCH("용역",E419),0)&gt;0,"용역·수수료","기타/불명"))))))</x:f>
      </x:c>
      <x:c r="J419" s="77" t="str">
        <x:f>IF(A419="","",IF(I419="기타/불명","확인 필요","결의서명으로 1차 확인"))</x:f>
      </x:c>
      <x:c r="K419" s="78"/>
    </x:row>
    <x:row r="420">
      <x:c r="A420" s="73"/>
      <x:c r="B420" s="73"/>
      <x:c r="C420" s="74"/>
      <x:c r="D420" s="73"/>
      <x:c r="E420" s="73"/>
      <x:c r="F420" s="75"/>
      <x:c r="G420" s="75"/>
      <x:c r="H420" s="76" t="str">
        <x:f>IF(A420="","",F420-G420)</x:f>
      </x:c>
      <x:c r="I420" s="77" t="str">
        <x:f>IF(A420="","",IF(E420="","기타/불명",IF(IFERROR(SEARCH("급여",E420),0)&gt;0,"인건비",IF(IFERROR(SEARCH("임차",E420),0)&gt;0,"임차·시설",IF(IFERROR(SEARCH("광고",E420),0)&gt;0,"광고·행사",IF(IFERROR(SEARCH("용역",E420),0)&gt;0,"용역·수수료","기타/불명"))))))</x:f>
      </x:c>
      <x:c r="J420" s="77" t="str">
        <x:f>IF(A420="","",IF(I420="기타/불명","확인 필요","결의서명으로 1차 확인"))</x:f>
      </x:c>
      <x:c r="K420" s="78"/>
    </x:row>
    <x:row r="421">
      <x:c r="A421" s="73"/>
      <x:c r="B421" s="73"/>
      <x:c r="C421" s="74"/>
      <x:c r="D421" s="73"/>
      <x:c r="E421" s="73"/>
      <x:c r="F421" s="75"/>
      <x:c r="G421" s="75"/>
      <x:c r="H421" s="76" t="str">
        <x:f>IF(A421="","",F421-G421)</x:f>
      </x:c>
      <x:c r="I421" s="77" t="str">
        <x:f>IF(A421="","",IF(E421="","기타/불명",IF(IFERROR(SEARCH("급여",E421),0)&gt;0,"인건비",IF(IFERROR(SEARCH("임차",E421),0)&gt;0,"임차·시설",IF(IFERROR(SEARCH("광고",E421),0)&gt;0,"광고·행사",IF(IFERROR(SEARCH("용역",E421),0)&gt;0,"용역·수수료","기타/불명"))))))</x:f>
      </x:c>
      <x:c r="J421" s="77" t="str">
        <x:f>IF(A421="","",IF(I421="기타/불명","확인 필요","결의서명으로 1차 확인"))</x:f>
      </x:c>
      <x:c r="K421" s="78"/>
    </x:row>
    <x:row r="422">
      <x:c r="A422" s="73"/>
      <x:c r="B422" s="73"/>
      <x:c r="C422" s="74"/>
      <x:c r="D422" s="73"/>
      <x:c r="E422" s="73"/>
      <x:c r="F422" s="75"/>
      <x:c r="G422" s="75"/>
      <x:c r="H422" s="76" t="str">
        <x:f>IF(A422="","",F422-G422)</x:f>
      </x:c>
      <x:c r="I422" s="77" t="str">
        <x:f>IF(A422="","",IF(E422="","기타/불명",IF(IFERROR(SEARCH("급여",E422),0)&gt;0,"인건비",IF(IFERROR(SEARCH("임차",E422),0)&gt;0,"임차·시설",IF(IFERROR(SEARCH("광고",E422),0)&gt;0,"광고·행사",IF(IFERROR(SEARCH("용역",E422),0)&gt;0,"용역·수수료","기타/불명"))))))</x:f>
      </x:c>
      <x:c r="J422" s="77" t="str">
        <x:f>IF(A422="","",IF(I422="기타/불명","확인 필요","결의서명으로 1차 확인"))</x:f>
      </x:c>
      <x:c r="K422" s="78"/>
    </x:row>
    <x:row r="423">
      <x:c r="A423" s="73"/>
      <x:c r="B423" s="73"/>
      <x:c r="C423" s="74"/>
      <x:c r="D423" s="73"/>
      <x:c r="E423" s="73"/>
      <x:c r="F423" s="75"/>
      <x:c r="G423" s="75"/>
      <x:c r="H423" s="76" t="str">
        <x:f>IF(A423="","",F423-G423)</x:f>
      </x:c>
      <x:c r="I423" s="77" t="str">
        <x:f>IF(A423="","",IF(E423="","기타/불명",IF(IFERROR(SEARCH("급여",E423),0)&gt;0,"인건비",IF(IFERROR(SEARCH("임차",E423),0)&gt;0,"임차·시설",IF(IFERROR(SEARCH("광고",E423),0)&gt;0,"광고·행사",IF(IFERROR(SEARCH("용역",E423),0)&gt;0,"용역·수수료","기타/불명"))))))</x:f>
      </x:c>
      <x:c r="J423" s="77" t="str">
        <x:f>IF(A423="","",IF(I423="기타/불명","확인 필요","결의서명으로 1차 확인"))</x:f>
      </x:c>
      <x:c r="K423" s="78"/>
    </x:row>
    <x:row r="424">
      <x:c r="A424" s="73"/>
      <x:c r="B424" s="73"/>
      <x:c r="C424" s="74"/>
      <x:c r="D424" s="73"/>
      <x:c r="E424" s="73"/>
      <x:c r="F424" s="75"/>
      <x:c r="G424" s="75"/>
      <x:c r="H424" s="76" t="str">
        <x:f>IF(A424="","",F424-G424)</x:f>
      </x:c>
      <x:c r="I424" s="77" t="str">
        <x:f>IF(A424="","",IF(E424="","기타/불명",IF(IFERROR(SEARCH("급여",E424),0)&gt;0,"인건비",IF(IFERROR(SEARCH("임차",E424),0)&gt;0,"임차·시설",IF(IFERROR(SEARCH("광고",E424),0)&gt;0,"광고·행사",IF(IFERROR(SEARCH("용역",E424),0)&gt;0,"용역·수수료","기타/불명"))))))</x:f>
      </x:c>
      <x:c r="J424" s="77" t="str">
        <x:f>IF(A424="","",IF(I424="기타/불명","확인 필요","결의서명으로 1차 확인"))</x:f>
      </x:c>
      <x:c r="K424" s="78"/>
    </x:row>
    <x:row r="425">
      <x:c r="A425" s="73"/>
      <x:c r="B425" s="73"/>
      <x:c r="C425" s="74"/>
      <x:c r="D425" s="73"/>
      <x:c r="E425" s="73"/>
      <x:c r="F425" s="75"/>
      <x:c r="G425" s="75"/>
      <x:c r="H425" s="76" t="str">
        <x:f>IF(A425="","",F425-G425)</x:f>
      </x:c>
      <x:c r="I425" s="77" t="str">
        <x:f>IF(A425="","",IF(E425="","기타/불명",IF(IFERROR(SEARCH("급여",E425),0)&gt;0,"인건비",IF(IFERROR(SEARCH("임차",E425),0)&gt;0,"임차·시설",IF(IFERROR(SEARCH("광고",E425),0)&gt;0,"광고·행사",IF(IFERROR(SEARCH("용역",E425),0)&gt;0,"용역·수수료","기타/불명"))))))</x:f>
      </x:c>
      <x:c r="J425" s="77" t="str">
        <x:f>IF(A425="","",IF(I425="기타/불명","확인 필요","결의서명으로 1차 확인"))</x:f>
      </x:c>
      <x:c r="K425" s="78"/>
    </x:row>
    <x:row r="426">
      <x:c r="A426" s="73"/>
      <x:c r="B426" s="73"/>
      <x:c r="C426" s="74"/>
      <x:c r="D426" s="73"/>
      <x:c r="E426" s="73"/>
      <x:c r="F426" s="75"/>
      <x:c r="G426" s="75"/>
      <x:c r="H426" s="76" t="str">
        <x:f>IF(A426="","",F426-G426)</x:f>
      </x:c>
      <x:c r="I426" s="77" t="str">
        <x:f>IF(A426="","",IF(E426="","기타/불명",IF(IFERROR(SEARCH("급여",E426),0)&gt;0,"인건비",IF(IFERROR(SEARCH("임차",E426),0)&gt;0,"임차·시설",IF(IFERROR(SEARCH("광고",E426),0)&gt;0,"광고·행사",IF(IFERROR(SEARCH("용역",E426),0)&gt;0,"용역·수수료","기타/불명"))))))</x:f>
      </x:c>
      <x:c r="J426" s="77" t="str">
        <x:f>IF(A426="","",IF(I426="기타/불명","확인 필요","결의서명으로 1차 확인"))</x:f>
      </x:c>
      <x:c r="K426" s="78"/>
    </x:row>
    <x:row r="427">
      <x:c r="A427" s="73"/>
      <x:c r="B427" s="73"/>
      <x:c r="C427" s="74"/>
      <x:c r="D427" s="73"/>
      <x:c r="E427" s="73"/>
      <x:c r="F427" s="75"/>
      <x:c r="G427" s="75"/>
      <x:c r="H427" s="76" t="str">
        <x:f>IF(A427="","",F427-G427)</x:f>
      </x:c>
      <x:c r="I427" s="77" t="str">
        <x:f>IF(A427="","",IF(E427="","기타/불명",IF(IFERROR(SEARCH("급여",E427),0)&gt;0,"인건비",IF(IFERROR(SEARCH("임차",E427),0)&gt;0,"임차·시설",IF(IFERROR(SEARCH("광고",E427),0)&gt;0,"광고·행사",IF(IFERROR(SEARCH("용역",E427),0)&gt;0,"용역·수수료","기타/불명"))))))</x:f>
      </x:c>
      <x:c r="J427" s="77" t="str">
        <x:f>IF(A427="","",IF(I427="기타/불명","확인 필요","결의서명으로 1차 확인"))</x:f>
      </x:c>
      <x:c r="K427" s="78"/>
    </x:row>
    <x:row r="428">
      <x:c r="A428" s="73"/>
      <x:c r="B428" s="73"/>
      <x:c r="C428" s="74"/>
      <x:c r="D428" s="73"/>
      <x:c r="E428" s="73"/>
      <x:c r="F428" s="75"/>
      <x:c r="G428" s="75"/>
      <x:c r="H428" s="76" t="str">
        <x:f>IF(A428="","",F428-G428)</x:f>
      </x:c>
      <x:c r="I428" s="77" t="str">
        <x:f>IF(A428="","",IF(E428="","기타/불명",IF(IFERROR(SEARCH("급여",E428),0)&gt;0,"인건비",IF(IFERROR(SEARCH("임차",E428),0)&gt;0,"임차·시설",IF(IFERROR(SEARCH("광고",E428),0)&gt;0,"광고·행사",IF(IFERROR(SEARCH("용역",E428),0)&gt;0,"용역·수수료","기타/불명"))))))</x:f>
      </x:c>
      <x:c r="J428" s="77" t="str">
        <x:f>IF(A428="","",IF(I428="기타/불명","확인 필요","결의서명으로 1차 확인"))</x:f>
      </x:c>
      <x:c r="K428" s="78"/>
    </x:row>
    <x:row r="429">
      <x:c r="A429" s="73"/>
      <x:c r="B429" s="73"/>
      <x:c r="C429" s="74"/>
      <x:c r="D429" s="73"/>
      <x:c r="E429" s="73"/>
      <x:c r="F429" s="75"/>
      <x:c r="G429" s="75"/>
      <x:c r="H429" s="76" t="str">
        <x:f>IF(A429="","",F429-G429)</x:f>
      </x:c>
      <x:c r="I429" s="77" t="str">
        <x:f>IF(A429="","",IF(E429="","기타/불명",IF(IFERROR(SEARCH("급여",E429),0)&gt;0,"인건비",IF(IFERROR(SEARCH("임차",E429),0)&gt;0,"임차·시설",IF(IFERROR(SEARCH("광고",E429),0)&gt;0,"광고·행사",IF(IFERROR(SEARCH("용역",E429),0)&gt;0,"용역·수수료","기타/불명"))))))</x:f>
      </x:c>
      <x:c r="J429" s="77" t="str">
        <x:f>IF(A429="","",IF(I429="기타/불명","확인 필요","결의서명으로 1차 확인"))</x:f>
      </x:c>
      <x:c r="K429" s="78"/>
    </x:row>
    <x:row r="430">
      <x:c r="A430" s="73"/>
      <x:c r="B430" s="73"/>
      <x:c r="C430" s="74"/>
      <x:c r="D430" s="73"/>
      <x:c r="E430" s="73"/>
      <x:c r="F430" s="75"/>
      <x:c r="G430" s="75"/>
      <x:c r="H430" s="76" t="str">
        <x:f>IF(A430="","",F430-G430)</x:f>
      </x:c>
      <x:c r="I430" s="77" t="str">
        <x:f>IF(A430="","",IF(E430="","기타/불명",IF(IFERROR(SEARCH("급여",E430),0)&gt;0,"인건비",IF(IFERROR(SEARCH("임차",E430),0)&gt;0,"임차·시설",IF(IFERROR(SEARCH("광고",E430),0)&gt;0,"광고·행사",IF(IFERROR(SEARCH("용역",E430),0)&gt;0,"용역·수수료","기타/불명"))))))</x:f>
      </x:c>
      <x:c r="J430" s="77" t="str">
        <x:f>IF(A430="","",IF(I430="기타/불명","확인 필요","결의서명으로 1차 확인"))</x:f>
      </x:c>
      <x:c r="K430" s="78"/>
    </x:row>
    <x:row r="431">
      <x:c r="A431" s="73"/>
      <x:c r="B431" s="73"/>
      <x:c r="C431" s="74"/>
      <x:c r="D431" s="73"/>
      <x:c r="E431" s="73"/>
      <x:c r="F431" s="75"/>
      <x:c r="G431" s="75"/>
      <x:c r="H431" s="76" t="str">
        <x:f>IF(A431="","",F431-G431)</x:f>
      </x:c>
      <x:c r="I431" s="77" t="str">
        <x:f>IF(A431="","",IF(E431="","기타/불명",IF(IFERROR(SEARCH("급여",E431),0)&gt;0,"인건비",IF(IFERROR(SEARCH("임차",E431),0)&gt;0,"임차·시설",IF(IFERROR(SEARCH("광고",E431),0)&gt;0,"광고·행사",IF(IFERROR(SEARCH("용역",E431),0)&gt;0,"용역·수수료","기타/불명"))))))</x:f>
      </x:c>
      <x:c r="J431" s="77" t="str">
        <x:f>IF(A431="","",IF(I431="기타/불명","확인 필요","결의서명으로 1차 확인"))</x:f>
      </x:c>
      <x:c r="K431" s="78"/>
    </x:row>
    <x:row r="432">
      <x:c r="A432" s="73"/>
      <x:c r="B432" s="73"/>
      <x:c r="C432" s="74"/>
      <x:c r="D432" s="73"/>
      <x:c r="E432" s="73"/>
      <x:c r="F432" s="75"/>
      <x:c r="G432" s="75"/>
      <x:c r="H432" s="76" t="str">
        <x:f>IF(A432="","",F432-G432)</x:f>
      </x:c>
      <x:c r="I432" s="77" t="str">
        <x:f>IF(A432="","",IF(E432="","기타/불명",IF(IFERROR(SEARCH("급여",E432),0)&gt;0,"인건비",IF(IFERROR(SEARCH("임차",E432),0)&gt;0,"임차·시설",IF(IFERROR(SEARCH("광고",E432),0)&gt;0,"광고·행사",IF(IFERROR(SEARCH("용역",E432),0)&gt;0,"용역·수수료","기타/불명"))))))</x:f>
      </x:c>
      <x:c r="J432" s="77" t="str">
        <x:f>IF(A432="","",IF(I432="기타/불명","확인 필요","결의서명으로 1차 확인"))</x:f>
      </x:c>
      <x:c r="K432" s="78"/>
    </x:row>
    <x:row r="433">
      <x:c r="A433" s="73"/>
      <x:c r="B433" s="73"/>
      <x:c r="C433" s="74"/>
      <x:c r="D433" s="73"/>
      <x:c r="E433" s="73"/>
      <x:c r="F433" s="75"/>
      <x:c r="G433" s="75"/>
      <x:c r="H433" s="76" t="str">
        <x:f>IF(A433="","",F433-G433)</x:f>
      </x:c>
      <x:c r="I433" s="77" t="str">
        <x:f>IF(A433="","",IF(E433="","기타/불명",IF(IFERROR(SEARCH("급여",E433),0)&gt;0,"인건비",IF(IFERROR(SEARCH("임차",E433),0)&gt;0,"임차·시설",IF(IFERROR(SEARCH("광고",E433),0)&gt;0,"광고·행사",IF(IFERROR(SEARCH("용역",E433),0)&gt;0,"용역·수수료","기타/불명"))))))</x:f>
      </x:c>
      <x:c r="J433" s="77" t="str">
        <x:f>IF(A433="","",IF(I433="기타/불명","확인 필요","결의서명으로 1차 확인"))</x:f>
      </x:c>
      <x:c r="K433" s="78"/>
    </x:row>
    <x:row r="434">
      <x:c r="A434" s="73"/>
      <x:c r="B434" s="73"/>
      <x:c r="C434" s="74"/>
      <x:c r="D434" s="73"/>
      <x:c r="E434" s="73"/>
      <x:c r="F434" s="75"/>
      <x:c r="G434" s="75"/>
      <x:c r="H434" s="76" t="str">
        <x:f>IF(A434="","",F434-G434)</x:f>
      </x:c>
      <x:c r="I434" s="77" t="str">
        <x:f>IF(A434="","",IF(E434="","기타/불명",IF(IFERROR(SEARCH("급여",E434),0)&gt;0,"인건비",IF(IFERROR(SEARCH("임차",E434),0)&gt;0,"임차·시설",IF(IFERROR(SEARCH("광고",E434),0)&gt;0,"광고·행사",IF(IFERROR(SEARCH("용역",E434),0)&gt;0,"용역·수수료","기타/불명"))))))</x:f>
      </x:c>
      <x:c r="J434" s="77" t="str">
        <x:f>IF(A434="","",IF(I434="기타/불명","확인 필요","결의서명으로 1차 확인"))</x:f>
      </x:c>
      <x:c r="K434" s="78"/>
    </x:row>
    <x:row r="435">
      <x:c r="A435" s="73"/>
      <x:c r="B435" s="73"/>
      <x:c r="C435" s="74"/>
      <x:c r="D435" s="73"/>
      <x:c r="E435" s="73"/>
      <x:c r="F435" s="75"/>
      <x:c r="G435" s="75"/>
      <x:c r="H435" s="76" t="str">
        <x:f>IF(A435="","",F435-G435)</x:f>
      </x:c>
      <x:c r="I435" s="77" t="str">
        <x:f>IF(A435="","",IF(E435="","기타/불명",IF(IFERROR(SEARCH("급여",E435),0)&gt;0,"인건비",IF(IFERROR(SEARCH("임차",E435),0)&gt;0,"임차·시설",IF(IFERROR(SEARCH("광고",E435),0)&gt;0,"광고·행사",IF(IFERROR(SEARCH("용역",E435),0)&gt;0,"용역·수수료","기타/불명"))))))</x:f>
      </x:c>
      <x:c r="J435" s="77" t="str">
        <x:f>IF(A435="","",IF(I435="기타/불명","확인 필요","결의서명으로 1차 확인"))</x:f>
      </x:c>
      <x:c r="K435" s="78"/>
    </x:row>
    <x:row r="436">
      <x:c r="A436" s="73"/>
      <x:c r="B436" s="73"/>
      <x:c r="C436" s="74"/>
      <x:c r="D436" s="73"/>
      <x:c r="E436" s="73"/>
      <x:c r="F436" s="75"/>
      <x:c r="G436" s="75"/>
      <x:c r="H436" s="76" t="str">
        <x:f>IF(A436="","",F436-G436)</x:f>
      </x:c>
      <x:c r="I436" s="77" t="str">
        <x:f>IF(A436="","",IF(E436="","기타/불명",IF(IFERROR(SEARCH("급여",E436),0)&gt;0,"인건비",IF(IFERROR(SEARCH("임차",E436),0)&gt;0,"임차·시설",IF(IFERROR(SEARCH("광고",E436),0)&gt;0,"광고·행사",IF(IFERROR(SEARCH("용역",E436),0)&gt;0,"용역·수수료","기타/불명"))))))</x:f>
      </x:c>
      <x:c r="J436" s="77" t="str">
        <x:f>IF(A436="","",IF(I436="기타/불명","확인 필요","결의서명으로 1차 확인"))</x:f>
      </x:c>
      <x:c r="K436" s="78"/>
    </x:row>
    <x:row r="437">
      <x:c r="A437" s="73"/>
      <x:c r="B437" s="73"/>
      <x:c r="C437" s="74"/>
      <x:c r="D437" s="73"/>
      <x:c r="E437" s="73"/>
      <x:c r="F437" s="75"/>
      <x:c r="G437" s="75"/>
      <x:c r="H437" s="76" t="str">
        <x:f>IF(A437="","",F437-G437)</x:f>
      </x:c>
      <x:c r="I437" s="77" t="str">
        <x:f>IF(A437="","",IF(E437="","기타/불명",IF(IFERROR(SEARCH("급여",E437),0)&gt;0,"인건비",IF(IFERROR(SEARCH("임차",E437),0)&gt;0,"임차·시설",IF(IFERROR(SEARCH("광고",E437),0)&gt;0,"광고·행사",IF(IFERROR(SEARCH("용역",E437),0)&gt;0,"용역·수수료","기타/불명"))))))</x:f>
      </x:c>
      <x:c r="J437" s="77" t="str">
        <x:f>IF(A437="","",IF(I437="기타/불명","확인 필요","결의서명으로 1차 확인"))</x:f>
      </x:c>
      <x:c r="K437" s="78"/>
    </x:row>
    <x:row r="438">
      <x:c r="A438" s="73"/>
      <x:c r="B438" s="73"/>
      <x:c r="C438" s="74"/>
      <x:c r="D438" s="73"/>
      <x:c r="E438" s="73"/>
      <x:c r="F438" s="75"/>
      <x:c r="G438" s="75"/>
      <x:c r="H438" s="76" t="str">
        <x:f>IF(A438="","",F438-G438)</x:f>
      </x:c>
      <x:c r="I438" s="77" t="str">
        <x:f>IF(A438="","",IF(E438="","기타/불명",IF(IFERROR(SEARCH("급여",E438),0)&gt;0,"인건비",IF(IFERROR(SEARCH("임차",E438),0)&gt;0,"임차·시설",IF(IFERROR(SEARCH("광고",E438),0)&gt;0,"광고·행사",IF(IFERROR(SEARCH("용역",E438),0)&gt;0,"용역·수수료","기타/불명"))))))</x:f>
      </x:c>
      <x:c r="J438" s="77" t="str">
        <x:f>IF(A438="","",IF(I438="기타/불명","확인 필요","결의서명으로 1차 확인"))</x:f>
      </x:c>
      <x:c r="K438" s="78"/>
    </x:row>
    <x:row r="439">
      <x:c r="A439" s="73"/>
      <x:c r="B439" s="73"/>
      <x:c r="C439" s="74"/>
      <x:c r="D439" s="73"/>
      <x:c r="E439" s="73"/>
      <x:c r="F439" s="75"/>
      <x:c r="G439" s="75"/>
      <x:c r="H439" s="76" t="str">
        <x:f>IF(A439="","",F439-G439)</x:f>
      </x:c>
      <x:c r="I439" s="77" t="str">
        <x:f>IF(A439="","",IF(E439="","기타/불명",IF(IFERROR(SEARCH("급여",E439),0)&gt;0,"인건비",IF(IFERROR(SEARCH("임차",E439),0)&gt;0,"임차·시설",IF(IFERROR(SEARCH("광고",E439),0)&gt;0,"광고·행사",IF(IFERROR(SEARCH("용역",E439),0)&gt;0,"용역·수수료","기타/불명"))))))</x:f>
      </x:c>
      <x:c r="J439" s="77" t="str">
        <x:f>IF(A439="","",IF(I439="기타/불명","확인 필요","결의서명으로 1차 확인"))</x:f>
      </x:c>
      <x:c r="K439" s="78"/>
    </x:row>
    <x:row r="440">
      <x:c r="A440" s="73"/>
      <x:c r="B440" s="73"/>
      <x:c r="C440" s="74"/>
      <x:c r="D440" s="73"/>
      <x:c r="E440" s="73"/>
      <x:c r="F440" s="75"/>
      <x:c r="G440" s="75"/>
      <x:c r="H440" s="76" t="str">
        <x:f>IF(A440="","",F440-G440)</x:f>
      </x:c>
      <x:c r="I440" s="77" t="str">
        <x:f>IF(A440="","",IF(E440="","기타/불명",IF(IFERROR(SEARCH("급여",E440),0)&gt;0,"인건비",IF(IFERROR(SEARCH("임차",E440),0)&gt;0,"임차·시설",IF(IFERROR(SEARCH("광고",E440),0)&gt;0,"광고·행사",IF(IFERROR(SEARCH("용역",E440),0)&gt;0,"용역·수수료","기타/불명"))))))</x:f>
      </x:c>
      <x:c r="J440" s="77" t="str">
        <x:f>IF(A440="","",IF(I440="기타/불명","확인 필요","결의서명으로 1차 확인"))</x:f>
      </x:c>
      <x:c r="K440" s="78"/>
    </x:row>
    <x:row r="441">
      <x:c r="A441" s="73"/>
      <x:c r="B441" s="73"/>
      <x:c r="C441" s="74"/>
      <x:c r="D441" s="73"/>
      <x:c r="E441" s="73"/>
      <x:c r="F441" s="75"/>
      <x:c r="G441" s="75"/>
      <x:c r="H441" s="76" t="str">
        <x:f>IF(A441="","",F441-G441)</x:f>
      </x:c>
      <x:c r="I441" s="77" t="str">
        <x:f>IF(A441="","",IF(E441="","기타/불명",IF(IFERROR(SEARCH("급여",E441),0)&gt;0,"인건비",IF(IFERROR(SEARCH("임차",E441),0)&gt;0,"임차·시설",IF(IFERROR(SEARCH("광고",E441),0)&gt;0,"광고·행사",IF(IFERROR(SEARCH("용역",E441),0)&gt;0,"용역·수수료","기타/불명"))))))</x:f>
      </x:c>
      <x:c r="J441" s="77" t="str">
        <x:f>IF(A441="","",IF(I441="기타/불명","확인 필요","결의서명으로 1차 확인"))</x:f>
      </x:c>
      <x:c r="K441" s="78"/>
    </x:row>
    <x:row r="442">
      <x:c r="A442" s="73"/>
      <x:c r="B442" s="73"/>
      <x:c r="C442" s="74"/>
      <x:c r="D442" s="73"/>
      <x:c r="E442" s="73"/>
      <x:c r="F442" s="75"/>
      <x:c r="G442" s="75"/>
      <x:c r="H442" s="76" t="str">
        <x:f>IF(A442="","",F442-G442)</x:f>
      </x:c>
      <x:c r="I442" s="77" t="str">
        <x:f>IF(A442="","",IF(E442="","기타/불명",IF(IFERROR(SEARCH("급여",E442),0)&gt;0,"인건비",IF(IFERROR(SEARCH("임차",E442),0)&gt;0,"임차·시설",IF(IFERROR(SEARCH("광고",E442),0)&gt;0,"광고·행사",IF(IFERROR(SEARCH("용역",E442),0)&gt;0,"용역·수수료","기타/불명"))))))</x:f>
      </x:c>
      <x:c r="J442" s="77" t="str">
        <x:f>IF(A442="","",IF(I442="기타/불명","확인 필요","결의서명으로 1차 확인"))</x:f>
      </x:c>
      <x:c r="K442" s="78"/>
    </x:row>
    <x:row r="443">
      <x:c r="A443" s="73"/>
      <x:c r="B443" s="73"/>
      <x:c r="C443" s="74"/>
      <x:c r="D443" s="73"/>
      <x:c r="E443" s="73"/>
      <x:c r="F443" s="75"/>
      <x:c r="G443" s="75"/>
      <x:c r="H443" s="76" t="str">
        <x:f>IF(A443="","",F443-G443)</x:f>
      </x:c>
      <x:c r="I443" s="77" t="str">
        <x:f>IF(A443="","",IF(E443="","기타/불명",IF(IFERROR(SEARCH("급여",E443),0)&gt;0,"인건비",IF(IFERROR(SEARCH("임차",E443),0)&gt;0,"임차·시설",IF(IFERROR(SEARCH("광고",E443),0)&gt;0,"광고·행사",IF(IFERROR(SEARCH("용역",E443),0)&gt;0,"용역·수수료","기타/불명"))))))</x:f>
      </x:c>
      <x:c r="J443" s="77" t="str">
        <x:f>IF(A443="","",IF(I443="기타/불명","확인 필요","결의서명으로 1차 확인"))</x:f>
      </x:c>
      <x:c r="K443" s="78"/>
    </x:row>
    <x:row r="444">
      <x:c r="A444" s="73"/>
      <x:c r="B444" s="73"/>
      <x:c r="C444" s="74"/>
      <x:c r="D444" s="73"/>
      <x:c r="E444" s="73"/>
      <x:c r="F444" s="75"/>
      <x:c r="G444" s="75"/>
      <x:c r="H444" s="76" t="str">
        <x:f>IF(A444="","",F444-G444)</x:f>
      </x:c>
      <x:c r="I444" s="77" t="str">
        <x:f>IF(A444="","",IF(E444="","기타/불명",IF(IFERROR(SEARCH("급여",E444),0)&gt;0,"인건비",IF(IFERROR(SEARCH("임차",E444),0)&gt;0,"임차·시설",IF(IFERROR(SEARCH("광고",E444),0)&gt;0,"광고·행사",IF(IFERROR(SEARCH("용역",E444),0)&gt;0,"용역·수수료","기타/불명"))))))</x:f>
      </x:c>
      <x:c r="J444" s="77" t="str">
        <x:f>IF(A444="","",IF(I444="기타/불명","확인 필요","결의서명으로 1차 확인"))</x:f>
      </x:c>
      <x:c r="K444" s="78"/>
    </x:row>
    <x:row r="445">
      <x:c r="A445" s="73"/>
      <x:c r="B445" s="73"/>
      <x:c r="C445" s="74"/>
      <x:c r="D445" s="73"/>
      <x:c r="E445" s="73"/>
      <x:c r="F445" s="75"/>
      <x:c r="G445" s="75"/>
      <x:c r="H445" s="76" t="str">
        <x:f>IF(A445="","",F445-G445)</x:f>
      </x:c>
      <x:c r="I445" s="77" t="str">
        <x:f>IF(A445="","",IF(E445="","기타/불명",IF(IFERROR(SEARCH("급여",E445),0)&gt;0,"인건비",IF(IFERROR(SEARCH("임차",E445),0)&gt;0,"임차·시설",IF(IFERROR(SEARCH("광고",E445),0)&gt;0,"광고·행사",IF(IFERROR(SEARCH("용역",E445),0)&gt;0,"용역·수수료","기타/불명"))))))</x:f>
      </x:c>
      <x:c r="J445" s="77" t="str">
        <x:f>IF(A445="","",IF(I445="기타/불명","확인 필요","결의서명으로 1차 확인"))</x:f>
      </x:c>
      <x:c r="K445" s="78"/>
    </x:row>
    <x:row r="446">
      <x:c r="A446" s="73"/>
      <x:c r="B446" s="73"/>
      <x:c r="C446" s="74"/>
      <x:c r="D446" s="73"/>
      <x:c r="E446" s="73"/>
      <x:c r="F446" s="75"/>
      <x:c r="G446" s="75"/>
      <x:c r="H446" s="76" t="str">
        <x:f>IF(A446="","",F446-G446)</x:f>
      </x:c>
      <x:c r="I446" s="77" t="str">
        <x:f>IF(A446="","",IF(E446="","기타/불명",IF(IFERROR(SEARCH("급여",E446),0)&gt;0,"인건비",IF(IFERROR(SEARCH("임차",E446),0)&gt;0,"임차·시설",IF(IFERROR(SEARCH("광고",E446),0)&gt;0,"광고·행사",IF(IFERROR(SEARCH("용역",E446),0)&gt;0,"용역·수수료","기타/불명"))))))</x:f>
      </x:c>
      <x:c r="J446" s="77" t="str">
        <x:f>IF(A446="","",IF(I446="기타/불명","확인 필요","결의서명으로 1차 확인"))</x:f>
      </x:c>
      <x:c r="K446" s="78"/>
    </x:row>
    <x:row r="447">
      <x:c r="A447" s="73"/>
      <x:c r="B447" s="73"/>
      <x:c r="C447" s="74"/>
      <x:c r="D447" s="73"/>
      <x:c r="E447" s="73"/>
      <x:c r="F447" s="75"/>
      <x:c r="G447" s="75"/>
      <x:c r="H447" s="76" t="str">
        <x:f>IF(A447="","",F447-G447)</x:f>
      </x:c>
      <x:c r="I447" s="77" t="str">
        <x:f>IF(A447="","",IF(E447="","기타/불명",IF(IFERROR(SEARCH("급여",E447),0)&gt;0,"인건비",IF(IFERROR(SEARCH("임차",E447),0)&gt;0,"임차·시설",IF(IFERROR(SEARCH("광고",E447),0)&gt;0,"광고·행사",IF(IFERROR(SEARCH("용역",E447),0)&gt;0,"용역·수수료","기타/불명"))))))</x:f>
      </x:c>
      <x:c r="J447" s="77" t="str">
        <x:f>IF(A447="","",IF(I447="기타/불명","확인 필요","결의서명으로 1차 확인"))</x:f>
      </x:c>
      <x:c r="K447" s="78"/>
    </x:row>
    <x:row r="448">
      <x:c r="A448" s="73"/>
      <x:c r="B448" s="73"/>
      <x:c r="C448" s="74"/>
      <x:c r="D448" s="73"/>
      <x:c r="E448" s="73"/>
      <x:c r="F448" s="75"/>
      <x:c r="G448" s="75"/>
      <x:c r="H448" s="76" t="str">
        <x:f>IF(A448="","",F448-G448)</x:f>
      </x:c>
      <x:c r="I448" s="77" t="str">
        <x:f>IF(A448="","",IF(E448="","기타/불명",IF(IFERROR(SEARCH("급여",E448),0)&gt;0,"인건비",IF(IFERROR(SEARCH("임차",E448),0)&gt;0,"임차·시설",IF(IFERROR(SEARCH("광고",E448),0)&gt;0,"광고·행사",IF(IFERROR(SEARCH("용역",E448),0)&gt;0,"용역·수수료","기타/불명"))))))</x:f>
      </x:c>
      <x:c r="J448" s="77" t="str">
        <x:f>IF(A448="","",IF(I448="기타/불명","확인 필요","결의서명으로 1차 확인"))</x:f>
      </x:c>
      <x:c r="K448" s="78"/>
    </x:row>
    <x:row r="449">
      <x:c r="A449" s="73"/>
      <x:c r="B449" s="73"/>
      <x:c r="C449" s="74"/>
      <x:c r="D449" s="73"/>
      <x:c r="E449" s="73"/>
      <x:c r="F449" s="75"/>
      <x:c r="G449" s="75"/>
      <x:c r="H449" s="76" t="str">
        <x:f>IF(A449="","",F449-G449)</x:f>
      </x:c>
      <x:c r="I449" s="77" t="str">
        <x:f>IF(A449="","",IF(E449="","기타/불명",IF(IFERROR(SEARCH("급여",E449),0)&gt;0,"인건비",IF(IFERROR(SEARCH("임차",E449),0)&gt;0,"임차·시설",IF(IFERROR(SEARCH("광고",E449),0)&gt;0,"광고·행사",IF(IFERROR(SEARCH("용역",E449),0)&gt;0,"용역·수수료","기타/불명"))))))</x:f>
      </x:c>
      <x:c r="J449" s="77" t="str">
        <x:f>IF(A449="","",IF(I449="기타/불명","확인 필요","결의서명으로 1차 확인"))</x:f>
      </x:c>
      <x:c r="K449" s="78"/>
    </x:row>
    <x:row r="450">
      <x:c r="A450" s="73"/>
      <x:c r="B450" s="73"/>
      <x:c r="C450" s="74"/>
      <x:c r="D450" s="73"/>
      <x:c r="E450" s="73"/>
      <x:c r="F450" s="75"/>
      <x:c r="G450" s="75"/>
      <x:c r="H450" s="76" t="str">
        <x:f>IF(A450="","",F450-G450)</x:f>
      </x:c>
      <x:c r="I450" s="77" t="str">
        <x:f>IF(A450="","",IF(E450="","기타/불명",IF(IFERROR(SEARCH("급여",E450),0)&gt;0,"인건비",IF(IFERROR(SEARCH("임차",E450),0)&gt;0,"임차·시설",IF(IFERROR(SEARCH("광고",E450),0)&gt;0,"광고·행사",IF(IFERROR(SEARCH("용역",E450),0)&gt;0,"용역·수수료","기타/불명"))))))</x:f>
      </x:c>
      <x:c r="J450" s="77" t="str">
        <x:f>IF(A450="","",IF(I450="기타/불명","확인 필요","결의서명으로 1차 확인"))</x:f>
      </x:c>
      <x:c r="K450" s="78"/>
    </x:row>
    <x:row r="451">
      <x:c r="A451" s="73"/>
      <x:c r="B451" s="73"/>
      <x:c r="C451" s="74"/>
      <x:c r="D451" s="73"/>
      <x:c r="E451" s="73"/>
      <x:c r="F451" s="75"/>
      <x:c r="G451" s="75"/>
      <x:c r="H451" s="76" t="str">
        <x:f>IF(A451="","",F451-G451)</x:f>
      </x:c>
      <x:c r="I451" s="77" t="str">
        <x:f>IF(A451="","",IF(E451="","기타/불명",IF(IFERROR(SEARCH("급여",E451),0)&gt;0,"인건비",IF(IFERROR(SEARCH("임차",E451),0)&gt;0,"임차·시설",IF(IFERROR(SEARCH("광고",E451),0)&gt;0,"광고·행사",IF(IFERROR(SEARCH("용역",E451),0)&gt;0,"용역·수수료","기타/불명"))))))</x:f>
      </x:c>
      <x:c r="J451" s="77" t="str">
        <x:f>IF(A451="","",IF(I451="기타/불명","확인 필요","결의서명으로 1차 확인"))</x:f>
      </x:c>
      <x:c r="K451" s="78"/>
    </x:row>
    <x:row r="452">
      <x:c r="A452" s="73"/>
      <x:c r="B452" s="73"/>
      <x:c r="C452" s="74"/>
      <x:c r="D452" s="73"/>
      <x:c r="E452" s="73"/>
      <x:c r="F452" s="75"/>
      <x:c r="G452" s="75"/>
      <x:c r="H452" s="76" t="str">
        <x:f>IF(A452="","",F452-G452)</x:f>
      </x:c>
      <x:c r="I452" s="77" t="str">
        <x:f>IF(A452="","",IF(E452="","기타/불명",IF(IFERROR(SEARCH("급여",E452),0)&gt;0,"인건비",IF(IFERROR(SEARCH("임차",E452),0)&gt;0,"임차·시설",IF(IFERROR(SEARCH("광고",E452),0)&gt;0,"광고·행사",IF(IFERROR(SEARCH("용역",E452),0)&gt;0,"용역·수수료","기타/불명"))))))</x:f>
      </x:c>
      <x:c r="J452" s="77" t="str">
        <x:f>IF(A452="","",IF(I452="기타/불명","확인 필요","결의서명으로 1차 확인"))</x:f>
      </x:c>
      <x:c r="K452" s="78"/>
    </x:row>
    <x:row r="453">
      <x:c r="A453" s="73"/>
      <x:c r="B453" s="73"/>
      <x:c r="C453" s="74"/>
      <x:c r="D453" s="73"/>
      <x:c r="E453" s="73"/>
      <x:c r="F453" s="75"/>
      <x:c r="G453" s="75"/>
      <x:c r="H453" s="76" t="str">
        <x:f>IF(A453="","",F453-G453)</x:f>
      </x:c>
      <x:c r="I453" s="77" t="str">
        <x:f>IF(A453="","",IF(E453="","기타/불명",IF(IFERROR(SEARCH("급여",E453),0)&gt;0,"인건비",IF(IFERROR(SEARCH("임차",E453),0)&gt;0,"임차·시설",IF(IFERROR(SEARCH("광고",E453),0)&gt;0,"광고·행사",IF(IFERROR(SEARCH("용역",E453),0)&gt;0,"용역·수수료","기타/불명"))))))</x:f>
      </x:c>
      <x:c r="J453" s="77" t="str">
        <x:f>IF(A453="","",IF(I453="기타/불명","확인 필요","결의서명으로 1차 확인"))</x:f>
      </x:c>
      <x:c r="K453" s="78"/>
    </x:row>
    <x:row r="454">
      <x:c r="A454" s="73"/>
      <x:c r="B454" s="73"/>
      <x:c r="C454" s="74"/>
      <x:c r="D454" s="73"/>
      <x:c r="E454" s="73"/>
      <x:c r="F454" s="75"/>
      <x:c r="G454" s="75"/>
      <x:c r="H454" s="76" t="str">
        <x:f>IF(A454="","",F454-G454)</x:f>
      </x:c>
      <x:c r="I454" s="77" t="str">
        <x:f>IF(A454="","",IF(E454="","기타/불명",IF(IFERROR(SEARCH("급여",E454),0)&gt;0,"인건비",IF(IFERROR(SEARCH("임차",E454),0)&gt;0,"임차·시설",IF(IFERROR(SEARCH("광고",E454),0)&gt;0,"광고·행사",IF(IFERROR(SEARCH("용역",E454),0)&gt;0,"용역·수수료","기타/불명"))))))</x:f>
      </x:c>
      <x:c r="J454" s="77" t="str">
        <x:f>IF(A454="","",IF(I454="기타/불명","확인 필요","결의서명으로 1차 확인"))</x:f>
      </x:c>
      <x:c r="K454" s="78"/>
    </x:row>
    <x:row r="455">
      <x:c r="A455" s="73"/>
      <x:c r="B455" s="73"/>
      <x:c r="C455" s="74"/>
      <x:c r="D455" s="73"/>
      <x:c r="E455" s="73"/>
      <x:c r="F455" s="75"/>
      <x:c r="G455" s="75"/>
      <x:c r="H455" s="76" t="str">
        <x:f>IF(A455="","",F455-G455)</x:f>
      </x:c>
      <x:c r="I455" s="77" t="str">
        <x:f>IF(A455="","",IF(E455="","기타/불명",IF(IFERROR(SEARCH("급여",E455),0)&gt;0,"인건비",IF(IFERROR(SEARCH("임차",E455),0)&gt;0,"임차·시설",IF(IFERROR(SEARCH("광고",E455),0)&gt;0,"광고·행사",IF(IFERROR(SEARCH("용역",E455),0)&gt;0,"용역·수수료","기타/불명"))))))</x:f>
      </x:c>
      <x:c r="J455" s="77" t="str">
        <x:f>IF(A455="","",IF(I455="기타/불명","확인 필요","결의서명으로 1차 확인"))</x:f>
      </x:c>
      <x:c r="K455" s="78"/>
    </x:row>
    <x:row r="456">
      <x:c r="A456" s="73"/>
      <x:c r="B456" s="73"/>
      <x:c r="C456" s="74"/>
      <x:c r="D456" s="73"/>
      <x:c r="E456" s="73"/>
      <x:c r="F456" s="75"/>
      <x:c r="G456" s="75"/>
      <x:c r="H456" s="76" t="str">
        <x:f>IF(A456="","",F456-G456)</x:f>
      </x:c>
      <x:c r="I456" s="77" t="str">
        <x:f>IF(A456="","",IF(E456="","기타/불명",IF(IFERROR(SEARCH("급여",E456),0)&gt;0,"인건비",IF(IFERROR(SEARCH("임차",E456),0)&gt;0,"임차·시설",IF(IFERROR(SEARCH("광고",E456),0)&gt;0,"광고·행사",IF(IFERROR(SEARCH("용역",E456),0)&gt;0,"용역·수수료","기타/불명"))))))</x:f>
      </x:c>
      <x:c r="J456" s="77" t="str">
        <x:f>IF(A456="","",IF(I456="기타/불명","확인 필요","결의서명으로 1차 확인"))</x:f>
      </x:c>
      <x:c r="K456" s="78"/>
    </x:row>
    <x:row r="457">
      <x:c r="A457" s="73"/>
      <x:c r="B457" s="73"/>
      <x:c r="C457" s="74"/>
      <x:c r="D457" s="73"/>
      <x:c r="E457" s="73"/>
      <x:c r="F457" s="75"/>
      <x:c r="G457" s="75"/>
      <x:c r="H457" s="76" t="str">
        <x:f>IF(A457="","",F457-G457)</x:f>
      </x:c>
      <x:c r="I457" s="77" t="str">
        <x:f>IF(A457="","",IF(E457="","기타/불명",IF(IFERROR(SEARCH("급여",E457),0)&gt;0,"인건비",IF(IFERROR(SEARCH("임차",E457),0)&gt;0,"임차·시설",IF(IFERROR(SEARCH("광고",E457),0)&gt;0,"광고·행사",IF(IFERROR(SEARCH("용역",E457),0)&gt;0,"용역·수수료","기타/불명"))))))</x:f>
      </x:c>
      <x:c r="J457" s="77" t="str">
        <x:f>IF(A457="","",IF(I457="기타/불명","확인 필요","결의서명으로 1차 확인"))</x:f>
      </x:c>
      <x:c r="K457" s="78"/>
    </x:row>
    <x:row r="458">
      <x:c r="A458" s="73"/>
      <x:c r="B458" s="73"/>
      <x:c r="C458" s="74"/>
      <x:c r="D458" s="73"/>
      <x:c r="E458" s="73"/>
      <x:c r="F458" s="75"/>
      <x:c r="G458" s="75"/>
      <x:c r="H458" s="76" t="str">
        <x:f>IF(A458="","",F458-G458)</x:f>
      </x:c>
      <x:c r="I458" s="77" t="str">
        <x:f>IF(A458="","",IF(E458="","기타/불명",IF(IFERROR(SEARCH("급여",E458),0)&gt;0,"인건비",IF(IFERROR(SEARCH("임차",E458),0)&gt;0,"임차·시설",IF(IFERROR(SEARCH("광고",E458),0)&gt;0,"광고·행사",IF(IFERROR(SEARCH("용역",E458),0)&gt;0,"용역·수수료","기타/불명"))))))</x:f>
      </x:c>
      <x:c r="J458" s="77" t="str">
        <x:f>IF(A458="","",IF(I458="기타/불명","확인 필요","결의서명으로 1차 확인"))</x:f>
      </x:c>
      <x:c r="K458" s="78"/>
    </x:row>
    <x:row r="459">
      <x:c r="A459" s="73"/>
      <x:c r="B459" s="73"/>
      <x:c r="C459" s="74"/>
      <x:c r="D459" s="73"/>
      <x:c r="E459" s="73"/>
      <x:c r="F459" s="75"/>
      <x:c r="G459" s="75"/>
      <x:c r="H459" s="76" t="str">
        <x:f>IF(A459="","",F459-G459)</x:f>
      </x:c>
      <x:c r="I459" s="77" t="str">
        <x:f>IF(A459="","",IF(E459="","기타/불명",IF(IFERROR(SEARCH("급여",E459),0)&gt;0,"인건비",IF(IFERROR(SEARCH("임차",E459),0)&gt;0,"임차·시설",IF(IFERROR(SEARCH("광고",E459),0)&gt;0,"광고·행사",IF(IFERROR(SEARCH("용역",E459),0)&gt;0,"용역·수수료","기타/불명"))))))</x:f>
      </x:c>
      <x:c r="J459" s="77" t="str">
        <x:f>IF(A459="","",IF(I459="기타/불명","확인 필요","결의서명으로 1차 확인"))</x:f>
      </x:c>
      <x:c r="K459" s="78"/>
    </x:row>
    <x:row r="460">
      <x:c r="A460" s="73"/>
      <x:c r="B460" s="73"/>
      <x:c r="C460" s="74"/>
      <x:c r="D460" s="73"/>
      <x:c r="E460" s="73"/>
      <x:c r="F460" s="75"/>
      <x:c r="G460" s="75"/>
      <x:c r="H460" s="76" t="str">
        <x:f>IF(A460="","",F460-G460)</x:f>
      </x:c>
      <x:c r="I460" s="77" t="str">
        <x:f>IF(A460="","",IF(E460="","기타/불명",IF(IFERROR(SEARCH("급여",E460),0)&gt;0,"인건비",IF(IFERROR(SEARCH("임차",E460),0)&gt;0,"임차·시설",IF(IFERROR(SEARCH("광고",E460),0)&gt;0,"광고·행사",IF(IFERROR(SEARCH("용역",E460),0)&gt;0,"용역·수수료","기타/불명"))))))</x:f>
      </x:c>
      <x:c r="J460" s="77" t="str">
        <x:f>IF(A460="","",IF(I460="기타/불명","확인 필요","결의서명으로 1차 확인"))</x:f>
      </x:c>
      <x:c r="K460" s="78"/>
    </x:row>
    <x:row r="461">
      <x:c r="A461" s="73"/>
      <x:c r="B461" s="73"/>
      <x:c r="C461" s="74"/>
      <x:c r="D461" s="73"/>
      <x:c r="E461" s="73"/>
      <x:c r="F461" s="75"/>
      <x:c r="G461" s="75"/>
      <x:c r="H461" s="76" t="str">
        <x:f>IF(A461="","",F461-G461)</x:f>
      </x:c>
      <x:c r="I461" s="77" t="str">
        <x:f>IF(A461="","",IF(E461="","기타/불명",IF(IFERROR(SEARCH("급여",E461),0)&gt;0,"인건비",IF(IFERROR(SEARCH("임차",E461),0)&gt;0,"임차·시설",IF(IFERROR(SEARCH("광고",E461),0)&gt;0,"광고·행사",IF(IFERROR(SEARCH("용역",E461),0)&gt;0,"용역·수수료","기타/불명"))))))</x:f>
      </x:c>
      <x:c r="J461" s="77" t="str">
        <x:f>IF(A461="","",IF(I461="기타/불명","확인 필요","결의서명으로 1차 확인"))</x:f>
      </x:c>
      <x:c r="K461" s="78"/>
    </x:row>
    <x:row r="462">
      <x:c r="A462" s="73"/>
      <x:c r="B462" s="73"/>
      <x:c r="C462" s="74"/>
      <x:c r="D462" s="73"/>
      <x:c r="E462" s="73"/>
      <x:c r="F462" s="75"/>
      <x:c r="G462" s="75"/>
      <x:c r="H462" s="76" t="str">
        <x:f>IF(A462="","",F462-G462)</x:f>
      </x:c>
      <x:c r="I462" s="77" t="str">
        <x:f>IF(A462="","",IF(E462="","기타/불명",IF(IFERROR(SEARCH("급여",E462),0)&gt;0,"인건비",IF(IFERROR(SEARCH("임차",E462),0)&gt;0,"임차·시설",IF(IFERROR(SEARCH("광고",E462),0)&gt;0,"광고·행사",IF(IFERROR(SEARCH("용역",E462),0)&gt;0,"용역·수수료","기타/불명"))))))</x:f>
      </x:c>
      <x:c r="J462" s="77" t="str">
        <x:f>IF(A462="","",IF(I462="기타/불명","확인 필요","결의서명으로 1차 확인"))</x:f>
      </x:c>
      <x:c r="K462" s="78"/>
    </x:row>
    <x:row r="463">
      <x:c r="A463" s="73"/>
      <x:c r="B463" s="73"/>
      <x:c r="C463" s="74"/>
      <x:c r="D463" s="73"/>
      <x:c r="E463" s="73"/>
      <x:c r="F463" s="75"/>
      <x:c r="G463" s="75"/>
      <x:c r="H463" s="76" t="str">
        <x:f>IF(A463="","",F463-G463)</x:f>
      </x:c>
      <x:c r="I463" s="77" t="str">
        <x:f>IF(A463="","",IF(E463="","기타/불명",IF(IFERROR(SEARCH("급여",E463),0)&gt;0,"인건비",IF(IFERROR(SEARCH("임차",E463),0)&gt;0,"임차·시설",IF(IFERROR(SEARCH("광고",E463),0)&gt;0,"광고·행사",IF(IFERROR(SEARCH("용역",E463),0)&gt;0,"용역·수수료","기타/불명"))))))</x:f>
      </x:c>
      <x:c r="J463" s="77" t="str">
        <x:f>IF(A463="","",IF(I463="기타/불명","확인 필요","결의서명으로 1차 확인"))</x:f>
      </x:c>
      <x:c r="K463" s="78"/>
    </x:row>
    <x:row r="464">
      <x:c r="A464" s="73"/>
      <x:c r="B464" s="73"/>
      <x:c r="C464" s="74"/>
      <x:c r="D464" s="73"/>
      <x:c r="E464" s="73"/>
      <x:c r="F464" s="75"/>
      <x:c r="G464" s="75"/>
      <x:c r="H464" s="76" t="str">
        <x:f>IF(A464="","",F464-G464)</x:f>
      </x:c>
      <x:c r="I464" s="77" t="str">
        <x:f>IF(A464="","",IF(E464="","기타/불명",IF(IFERROR(SEARCH("급여",E464),0)&gt;0,"인건비",IF(IFERROR(SEARCH("임차",E464),0)&gt;0,"임차·시설",IF(IFERROR(SEARCH("광고",E464),0)&gt;0,"광고·행사",IF(IFERROR(SEARCH("용역",E464),0)&gt;0,"용역·수수료","기타/불명"))))))</x:f>
      </x:c>
      <x:c r="J464" s="77" t="str">
        <x:f>IF(A464="","",IF(I464="기타/불명","확인 필요","결의서명으로 1차 확인"))</x:f>
      </x:c>
      <x:c r="K464" s="78"/>
    </x:row>
    <x:row r="465">
      <x:c r="A465" s="73"/>
      <x:c r="B465" s="73"/>
      <x:c r="C465" s="74"/>
      <x:c r="D465" s="73"/>
      <x:c r="E465" s="73"/>
      <x:c r="F465" s="75"/>
      <x:c r="G465" s="75"/>
      <x:c r="H465" s="76" t="str">
        <x:f>IF(A465="","",F465-G465)</x:f>
      </x:c>
      <x:c r="I465" s="77" t="str">
        <x:f>IF(A465="","",IF(E465="","기타/불명",IF(IFERROR(SEARCH("급여",E465),0)&gt;0,"인건비",IF(IFERROR(SEARCH("임차",E465),0)&gt;0,"임차·시설",IF(IFERROR(SEARCH("광고",E465),0)&gt;0,"광고·행사",IF(IFERROR(SEARCH("용역",E465),0)&gt;0,"용역·수수료","기타/불명"))))))</x:f>
      </x:c>
      <x:c r="J465" s="77" t="str">
        <x:f>IF(A465="","",IF(I465="기타/불명","확인 필요","결의서명으로 1차 확인"))</x:f>
      </x:c>
      <x:c r="K465" s="78"/>
    </x:row>
    <x:row r="466">
      <x:c r="A466" s="73"/>
      <x:c r="B466" s="73"/>
      <x:c r="C466" s="74"/>
      <x:c r="D466" s="73"/>
      <x:c r="E466" s="73"/>
      <x:c r="F466" s="75"/>
      <x:c r="G466" s="75"/>
      <x:c r="H466" s="76" t="str">
        <x:f>IF(A466="","",F466-G466)</x:f>
      </x:c>
      <x:c r="I466" s="77" t="str">
        <x:f>IF(A466="","",IF(E466="","기타/불명",IF(IFERROR(SEARCH("급여",E466),0)&gt;0,"인건비",IF(IFERROR(SEARCH("임차",E466),0)&gt;0,"임차·시설",IF(IFERROR(SEARCH("광고",E466),0)&gt;0,"광고·행사",IF(IFERROR(SEARCH("용역",E466),0)&gt;0,"용역·수수료","기타/불명"))))))</x:f>
      </x:c>
      <x:c r="J466" s="77" t="str">
        <x:f>IF(A466="","",IF(I466="기타/불명","확인 필요","결의서명으로 1차 확인"))</x:f>
      </x:c>
      <x:c r="K466" s="78"/>
    </x:row>
    <x:row r="467">
      <x:c r="A467" s="73"/>
      <x:c r="B467" s="73"/>
      <x:c r="C467" s="74"/>
      <x:c r="D467" s="73"/>
      <x:c r="E467" s="73"/>
      <x:c r="F467" s="75"/>
      <x:c r="G467" s="75"/>
      <x:c r="H467" s="76" t="str">
        <x:f>IF(A467="","",F467-G467)</x:f>
      </x:c>
      <x:c r="I467" s="77" t="str">
        <x:f>IF(A467="","",IF(E467="","기타/불명",IF(IFERROR(SEARCH("급여",E467),0)&gt;0,"인건비",IF(IFERROR(SEARCH("임차",E467),0)&gt;0,"임차·시설",IF(IFERROR(SEARCH("광고",E467),0)&gt;0,"광고·행사",IF(IFERROR(SEARCH("용역",E467),0)&gt;0,"용역·수수료","기타/불명"))))))</x:f>
      </x:c>
      <x:c r="J467" s="77" t="str">
        <x:f>IF(A467="","",IF(I467="기타/불명","확인 필요","결의서명으로 1차 확인"))</x:f>
      </x:c>
      <x:c r="K467" s="78"/>
    </x:row>
    <x:row r="468">
      <x:c r="A468" s="73"/>
      <x:c r="B468" s="73"/>
      <x:c r="C468" s="74"/>
      <x:c r="D468" s="73"/>
      <x:c r="E468" s="73"/>
      <x:c r="F468" s="75"/>
      <x:c r="G468" s="75"/>
      <x:c r="H468" s="76" t="str">
        <x:f>IF(A468="","",F468-G468)</x:f>
      </x:c>
      <x:c r="I468" s="77" t="str">
        <x:f>IF(A468="","",IF(E468="","기타/불명",IF(IFERROR(SEARCH("급여",E468),0)&gt;0,"인건비",IF(IFERROR(SEARCH("임차",E468),0)&gt;0,"임차·시설",IF(IFERROR(SEARCH("광고",E468),0)&gt;0,"광고·행사",IF(IFERROR(SEARCH("용역",E468),0)&gt;0,"용역·수수료","기타/불명"))))))</x:f>
      </x:c>
      <x:c r="J468" s="77" t="str">
        <x:f>IF(A468="","",IF(I468="기타/불명","확인 필요","결의서명으로 1차 확인"))</x:f>
      </x:c>
      <x:c r="K468" s="78"/>
    </x:row>
    <x:row r="469">
      <x:c r="A469" s="73"/>
      <x:c r="B469" s="73"/>
      <x:c r="C469" s="74"/>
      <x:c r="D469" s="73"/>
      <x:c r="E469" s="73"/>
      <x:c r="F469" s="75"/>
      <x:c r="G469" s="75"/>
      <x:c r="H469" s="76" t="str">
        <x:f>IF(A469="","",F469-G469)</x:f>
      </x:c>
      <x:c r="I469" s="77" t="str">
        <x:f>IF(A469="","",IF(E469="","기타/불명",IF(IFERROR(SEARCH("급여",E469),0)&gt;0,"인건비",IF(IFERROR(SEARCH("임차",E469),0)&gt;0,"임차·시설",IF(IFERROR(SEARCH("광고",E469),0)&gt;0,"광고·행사",IF(IFERROR(SEARCH("용역",E469),0)&gt;0,"용역·수수료","기타/불명"))))))</x:f>
      </x:c>
      <x:c r="J469" s="77" t="str">
        <x:f>IF(A469="","",IF(I469="기타/불명","확인 필요","결의서명으로 1차 확인"))</x:f>
      </x:c>
      <x:c r="K469" s="78"/>
    </x:row>
    <x:row r="470">
      <x:c r="A470" s="73"/>
      <x:c r="B470" s="73"/>
      <x:c r="C470" s="74"/>
      <x:c r="D470" s="73"/>
      <x:c r="E470" s="73"/>
      <x:c r="F470" s="75"/>
      <x:c r="G470" s="75"/>
      <x:c r="H470" s="76" t="str">
        <x:f>IF(A470="","",F470-G470)</x:f>
      </x:c>
      <x:c r="I470" s="77" t="str">
        <x:f>IF(A470="","",IF(E470="","기타/불명",IF(IFERROR(SEARCH("급여",E470),0)&gt;0,"인건비",IF(IFERROR(SEARCH("임차",E470),0)&gt;0,"임차·시설",IF(IFERROR(SEARCH("광고",E470),0)&gt;0,"광고·행사",IF(IFERROR(SEARCH("용역",E470),0)&gt;0,"용역·수수료","기타/불명"))))))</x:f>
      </x:c>
      <x:c r="J470" s="77" t="str">
        <x:f>IF(A470="","",IF(I470="기타/불명","확인 필요","결의서명으로 1차 확인"))</x:f>
      </x:c>
      <x:c r="K470" s="78"/>
    </x:row>
    <x:row r="471">
      <x:c r="A471" s="73"/>
      <x:c r="B471" s="73"/>
      <x:c r="C471" s="74"/>
      <x:c r="D471" s="73"/>
      <x:c r="E471" s="73"/>
      <x:c r="F471" s="75"/>
      <x:c r="G471" s="75"/>
      <x:c r="H471" s="76" t="str">
        <x:f>IF(A471="","",F471-G471)</x:f>
      </x:c>
      <x:c r="I471" s="77" t="str">
        <x:f>IF(A471="","",IF(E471="","기타/불명",IF(IFERROR(SEARCH("급여",E471),0)&gt;0,"인건비",IF(IFERROR(SEARCH("임차",E471),0)&gt;0,"임차·시설",IF(IFERROR(SEARCH("광고",E471),0)&gt;0,"광고·행사",IF(IFERROR(SEARCH("용역",E471),0)&gt;0,"용역·수수료","기타/불명"))))))</x:f>
      </x:c>
      <x:c r="J471" s="77" t="str">
        <x:f>IF(A471="","",IF(I471="기타/불명","확인 필요","결의서명으로 1차 확인"))</x:f>
      </x:c>
      <x:c r="K471" s="78"/>
    </x:row>
    <x:row r="472">
      <x:c r="A472" s="73"/>
      <x:c r="B472" s="73"/>
      <x:c r="C472" s="74"/>
      <x:c r="D472" s="73"/>
      <x:c r="E472" s="73"/>
      <x:c r="F472" s="75"/>
      <x:c r="G472" s="75"/>
      <x:c r="H472" s="76" t="str">
        <x:f>IF(A472="","",F472-G472)</x:f>
      </x:c>
      <x:c r="I472" s="77" t="str">
        <x:f>IF(A472="","",IF(E472="","기타/불명",IF(IFERROR(SEARCH("급여",E472),0)&gt;0,"인건비",IF(IFERROR(SEARCH("임차",E472),0)&gt;0,"임차·시설",IF(IFERROR(SEARCH("광고",E472),0)&gt;0,"광고·행사",IF(IFERROR(SEARCH("용역",E472),0)&gt;0,"용역·수수료","기타/불명"))))))</x:f>
      </x:c>
      <x:c r="J472" s="77" t="str">
        <x:f>IF(A472="","",IF(I472="기타/불명","확인 필요","결의서명으로 1차 확인"))</x:f>
      </x:c>
      <x:c r="K472" s="78"/>
    </x:row>
    <x:row r="473">
      <x:c r="A473" s="73"/>
      <x:c r="B473" s="73"/>
      <x:c r="C473" s="74"/>
      <x:c r="D473" s="73"/>
      <x:c r="E473" s="73"/>
      <x:c r="F473" s="75"/>
      <x:c r="G473" s="75"/>
      <x:c r="H473" s="76" t="str">
        <x:f>IF(A473="","",F473-G473)</x:f>
      </x:c>
      <x:c r="I473" s="77" t="str">
        <x:f>IF(A473="","",IF(E473="","기타/불명",IF(IFERROR(SEARCH("급여",E473),0)&gt;0,"인건비",IF(IFERROR(SEARCH("임차",E473),0)&gt;0,"임차·시설",IF(IFERROR(SEARCH("광고",E473),0)&gt;0,"광고·행사",IF(IFERROR(SEARCH("용역",E473),0)&gt;0,"용역·수수료","기타/불명"))))))</x:f>
      </x:c>
      <x:c r="J473" s="77" t="str">
        <x:f>IF(A473="","",IF(I473="기타/불명","확인 필요","결의서명으로 1차 확인"))</x:f>
      </x:c>
      <x:c r="K473" s="78"/>
    </x:row>
    <x:row r="474">
      <x:c r="A474" s="73"/>
      <x:c r="B474" s="73"/>
      <x:c r="C474" s="74"/>
      <x:c r="D474" s="73"/>
      <x:c r="E474" s="73"/>
      <x:c r="F474" s="75"/>
      <x:c r="G474" s="75"/>
      <x:c r="H474" s="76" t="str">
        <x:f>IF(A474="","",F474-G474)</x:f>
      </x:c>
      <x:c r="I474" s="77" t="str">
        <x:f>IF(A474="","",IF(E474="","기타/불명",IF(IFERROR(SEARCH("급여",E474),0)&gt;0,"인건비",IF(IFERROR(SEARCH("임차",E474),0)&gt;0,"임차·시설",IF(IFERROR(SEARCH("광고",E474),0)&gt;0,"광고·행사",IF(IFERROR(SEARCH("용역",E474),0)&gt;0,"용역·수수료","기타/불명"))))))</x:f>
      </x:c>
      <x:c r="J474" s="77" t="str">
        <x:f>IF(A474="","",IF(I474="기타/불명","확인 필요","결의서명으로 1차 확인"))</x:f>
      </x:c>
      <x:c r="K474" s="78"/>
    </x:row>
    <x:row r="475">
      <x:c r="A475" s="73"/>
      <x:c r="B475" s="73"/>
      <x:c r="C475" s="74"/>
      <x:c r="D475" s="73"/>
      <x:c r="E475" s="73"/>
      <x:c r="F475" s="75"/>
      <x:c r="G475" s="75"/>
      <x:c r="H475" s="76" t="str">
        <x:f>IF(A475="","",F475-G475)</x:f>
      </x:c>
      <x:c r="I475" s="77" t="str">
        <x:f>IF(A475="","",IF(E475="","기타/불명",IF(IFERROR(SEARCH("급여",E475),0)&gt;0,"인건비",IF(IFERROR(SEARCH("임차",E475),0)&gt;0,"임차·시설",IF(IFERROR(SEARCH("광고",E475),0)&gt;0,"광고·행사",IF(IFERROR(SEARCH("용역",E475),0)&gt;0,"용역·수수료","기타/불명"))))))</x:f>
      </x:c>
      <x:c r="J475" s="77" t="str">
        <x:f>IF(A475="","",IF(I475="기타/불명","확인 필요","결의서명으로 1차 확인"))</x:f>
      </x:c>
      <x:c r="K475" s="78"/>
    </x:row>
    <x:row r="476">
      <x:c r="A476" s="73"/>
      <x:c r="B476" s="73"/>
      <x:c r="C476" s="74"/>
      <x:c r="D476" s="73"/>
      <x:c r="E476" s="73"/>
      <x:c r="F476" s="75"/>
      <x:c r="G476" s="75"/>
      <x:c r="H476" s="76" t="str">
        <x:f>IF(A476="","",F476-G476)</x:f>
      </x:c>
      <x:c r="I476" s="77" t="str">
        <x:f>IF(A476="","",IF(E476="","기타/불명",IF(IFERROR(SEARCH("급여",E476),0)&gt;0,"인건비",IF(IFERROR(SEARCH("임차",E476),0)&gt;0,"임차·시설",IF(IFERROR(SEARCH("광고",E476),0)&gt;0,"광고·행사",IF(IFERROR(SEARCH("용역",E476),0)&gt;0,"용역·수수료","기타/불명"))))))</x:f>
      </x:c>
      <x:c r="J476" s="77" t="str">
        <x:f>IF(A476="","",IF(I476="기타/불명","확인 필요","결의서명으로 1차 확인"))</x:f>
      </x:c>
      <x:c r="K476" s="78"/>
    </x:row>
    <x:row r="477">
      <x:c r="A477" s="73"/>
      <x:c r="B477" s="73"/>
      <x:c r="C477" s="74"/>
      <x:c r="D477" s="73"/>
      <x:c r="E477" s="73"/>
      <x:c r="F477" s="75"/>
      <x:c r="G477" s="75"/>
      <x:c r="H477" s="76" t="str">
        <x:f>IF(A477="","",F477-G477)</x:f>
      </x:c>
      <x:c r="I477" s="77" t="str">
        <x:f>IF(A477="","",IF(E477="","기타/불명",IF(IFERROR(SEARCH("급여",E477),0)&gt;0,"인건비",IF(IFERROR(SEARCH("임차",E477),0)&gt;0,"임차·시설",IF(IFERROR(SEARCH("광고",E477),0)&gt;0,"광고·행사",IF(IFERROR(SEARCH("용역",E477),0)&gt;0,"용역·수수료","기타/불명"))))))</x:f>
      </x:c>
      <x:c r="J477" s="77" t="str">
        <x:f>IF(A477="","",IF(I477="기타/불명","확인 필요","결의서명으로 1차 확인"))</x:f>
      </x:c>
      <x:c r="K477" s="78"/>
    </x:row>
    <x:row r="478">
      <x:c r="A478" s="73"/>
      <x:c r="B478" s="73"/>
      <x:c r="C478" s="74"/>
      <x:c r="D478" s="73"/>
      <x:c r="E478" s="73"/>
      <x:c r="F478" s="75"/>
      <x:c r="G478" s="75"/>
      <x:c r="H478" s="76" t="str">
        <x:f>IF(A478="","",F478-G478)</x:f>
      </x:c>
      <x:c r="I478" s="77" t="str">
        <x:f>IF(A478="","",IF(E478="","기타/불명",IF(IFERROR(SEARCH("급여",E478),0)&gt;0,"인건비",IF(IFERROR(SEARCH("임차",E478),0)&gt;0,"임차·시설",IF(IFERROR(SEARCH("광고",E478),0)&gt;0,"광고·행사",IF(IFERROR(SEARCH("용역",E478),0)&gt;0,"용역·수수료","기타/불명"))))))</x:f>
      </x:c>
      <x:c r="J478" s="77" t="str">
        <x:f>IF(A478="","",IF(I478="기타/불명","확인 필요","결의서명으로 1차 확인"))</x:f>
      </x:c>
      <x:c r="K478" s="78"/>
    </x:row>
    <x:row r="479">
      <x:c r="A479" s="73"/>
      <x:c r="B479" s="73"/>
      <x:c r="C479" s="74"/>
      <x:c r="D479" s="73"/>
      <x:c r="E479" s="73"/>
      <x:c r="F479" s="75"/>
      <x:c r="G479" s="75"/>
      <x:c r="H479" s="76" t="str">
        <x:f>IF(A479="","",F479-G479)</x:f>
      </x:c>
      <x:c r="I479" s="77" t="str">
        <x:f>IF(A479="","",IF(E479="","기타/불명",IF(IFERROR(SEARCH("급여",E479),0)&gt;0,"인건비",IF(IFERROR(SEARCH("임차",E479),0)&gt;0,"임차·시설",IF(IFERROR(SEARCH("광고",E479),0)&gt;0,"광고·행사",IF(IFERROR(SEARCH("용역",E479),0)&gt;0,"용역·수수료","기타/불명"))))))</x:f>
      </x:c>
      <x:c r="J479" s="77" t="str">
        <x:f>IF(A479="","",IF(I479="기타/불명","확인 필요","결의서명으로 1차 확인"))</x:f>
      </x:c>
      <x:c r="K479" s="78"/>
    </x:row>
    <x:row r="480">
      <x:c r="A480" s="73"/>
      <x:c r="B480" s="73"/>
      <x:c r="C480" s="74"/>
      <x:c r="D480" s="73"/>
      <x:c r="E480" s="73"/>
      <x:c r="F480" s="75"/>
      <x:c r="G480" s="75"/>
      <x:c r="H480" s="76" t="str">
        <x:f>IF(A480="","",F480-G480)</x:f>
      </x:c>
      <x:c r="I480" s="77" t="str">
        <x:f>IF(A480="","",IF(E480="","기타/불명",IF(IFERROR(SEARCH("급여",E480),0)&gt;0,"인건비",IF(IFERROR(SEARCH("임차",E480),0)&gt;0,"임차·시설",IF(IFERROR(SEARCH("광고",E480),0)&gt;0,"광고·행사",IF(IFERROR(SEARCH("용역",E480),0)&gt;0,"용역·수수료","기타/불명"))))))</x:f>
      </x:c>
      <x:c r="J480" s="77" t="str">
        <x:f>IF(A480="","",IF(I480="기타/불명","확인 필요","결의서명으로 1차 확인"))</x:f>
      </x:c>
      <x:c r="K480" s="78"/>
    </x:row>
    <x:row r="481">
      <x:c r="A481" s="73"/>
      <x:c r="B481" s="73"/>
      <x:c r="C481" s="74"/>
      <x:c r="D481" s="73"/>
      <x:c r="E481" s="73"/>
      <x:c r="F481" s="75"/>
      <x:c r="G481" s="75"/>
      <x:c r="H481" s="76" t="str">
        <x:f>IF(A481="","",F481-G481)</x:f>
      </x:c>
      <x:c r="I481" s="77" t="str">
        <x:f>IF(A481="","",IF(E481="","기타/불명",IF(IFERROR(SEARCH("급여",E481),0)&gt;0,"인건비",IF(IFERROR(SEARCH("임차",E481),0)&gt;0,"임차·시설",IF(IFERROR(SEARCH("광고",E481),0)&gt;0,"광고·행사",IF(IFERROR(SEARCH("용역",E481),0)&gt;0,"용역·수수료","기타/불명"))))))</x:f>
      </x:c>
      <x:c r="J481" s="77" t="str">
        <x:f>IF(A481="","",IF(I481="기타/불명","확인 필요","결의서명으로 1차 확인"))</x:f>
      </x:c>
      <x:c r="K481" s="78"/>
    </x:row>
    <x:row r="482">
      <x:c r="A482" s="73"/>
      <x:c r="B482" s="73"/>
      <x:c r="C482" s="74"/>
      <x:c r="D482" s="73"/>
      <x:c r="E482" s="73"/>
      <x:c r="F482" s="75"/>
      <x:c r="G482" s="75"/>
      <x:c r="H482" s="76" t="str">
        <x:f>IF(A482="","",F482-G482)</x:f>
      </x:c>
      <x:c r="I482" s="77" t="str">
        <x:f>IF(A482="","",IF(E482="","기타/불명",IF(IFERROR(SEARCH("급여",E482),0)&gt;0,"인건비",IF(IFERROR(SEARCH("임차",E482),0)&gt;0,"임차·시설",IF(IFERROR(SEARCH("광고",E482),0)&gt;0,"광고·행사",IF(IFERROR(SEARCH("용역",E482),0)&gt;0,"용역·수수료","기타/불명"))))))</x:f>
      </x:c>
      <x:c r="J482" s="77" t="str">
        <x:f>IF(A482="","",IF(I482="기타/불명","확인 필요","결의서명으로 1차 확인"))</x:f>
      </x:c>
      <x:c r="K482" s="78"/>
    </x:row>
    <x:row r="483">
      <x:c r="A483" s="73"/>
      <x:c r="B483" s="73"/>
      <x:c r="C483" s="74"/>
      <x:c r="D483" s="73"/>
      <x:c r="E483" s="73"/>
      <x:c r="F483" s="75"/>
      <x:c r="G483" s="75"/>
      <x:c r="H483" s="76" t="str">
        <x:f>IF(A483="","",F483-G483)</x:f>
      </x:c>
      <x:c r="I483" s="77" t="str">
        <x:f>IF(A483="","",IF(E483="","기타/불명",IF(IFERROR(SEARCH("급여",E483),0)&gt;0,"인건비",IF(IFERROR(SEARCH("임차",E483),0)&gt;0,"임차·시설",IF(IFERROR(SEARCH("광고",E483),0)&gt;0,"광고·행사",IF(IFERROR(SEARCH("용역",E483),0)&gt;0,"용역·수수료","기타/불명"))))))</x:f>
      </x:c>
      <x:c r="J483" s="77" t="str">
        <x:f>IF(A483="","",IF(I483="기타/불명","확인 필요","결의서명으로 1차 확인"))</x:f>
      </x:c>
      <x:c r="K483" s="78"/>
    </x:row>
    <x:row r="484">
      <x:c r="A484" s="73"/>
      <x:c r="B484" s="73"/>
      <x:c r="C484" s="74"/>
      <x:c r="D484" s="73"/>
      <x:c r="E484" s="73"/>
      <x:c r="F484" s="75"/>
      <x:c r="G484" s="75"/>
      <x:c r="H484" s="76" t="str">
        <x:f>IF(A484="","",F484-G484)</x:f>
      </x:c>
      <x:c r="I484" s="77" t="str">
        <x:f>IF(A484="","",IF(E484="","기타/불명",IF(IFERROR(SEARCH("급여",E484),0)&gt;0,"인건비",IF(IFERROR(SEARCH("임차",E484),0)&gt;0,"임차·시설",IF(IFERROR(SEARCH("광고",E484),0)&gt;0,"광고·행사",IF(IFERROR(SEARCH("용역",E484),0)&gt;0,"용역·수수료","기타/불명"))))))</x:f>
      </x:c>
      <x:c r="J484" s="77" t="str">
        <x:f>IF(A484="","",IF(I484="기타/불명","확인 필요","결의서명으로 1차 확인"))</x:f>
      </x:c>
      <x:c r="K484" s="78"/>
    </x:row>
    <x:row r="485">
      <x:c r="A485" s="73"/>
      <x:c r="B485" s="73"/>
      <x:c r="C485" s="74"/>
      <x:c r="D485" s="73"/>
      <x:c r="E485" s="73"/>
      <x:c r="F485" s="75"/>
      <x:c r="G485" s="75"/>
      <x:c r="H485" s="76" t="str">
        <x:f>IF(A485="","",F485-G485)</x:f>
      </x:c>
      <x:c r="I485" s="77" t="str">
        <x:f>IF(A485="","",IF(E485="","기타/불명",IF(IFERROR(SEARCH("급여",E485),0)&gt;0,"인건비",IF(IFERROR(SEARCH("임차",E485),0)&gt;0,"임차·시설",IF(IFERROR(SEARCH("광고",E485),0)&gt;0,"광고·행사",IF(IFERROR(SEARCH("용역",E485),0)&gt;0,"용역·수수료","기타/불명"))))))</x:f>
      </x:c>
      <x:c r="J485" s="77" t="str">
        <x:f>IF(A485="","",IF(I485="기타/불명","확인 필요","결의서명으로 1차 확인"))</x:f>
      </x:c>
      <x:c r="K485" s="78"/>
    </x:row>
    <x:row r="486">
      <x:c r="A486" s="73"/>
      <x:c r="B486" s="73"/>
      <x:c r="C486" s="74"/>
      <x:c r="D486" s="73"/>
      <x:c r="E486" s="73"/>
      <x:c r="F486" s="75"/>
      <x:c r="G486" s="75"/>
      <x:c r="H486" s="76" t="str">
        <x:f>IF(A486="","",F486-G486)</x:f>
      </x:c>
      <x:c r="I486" s="77" t="str">
        <x:f>IF(A486="","",IF(E486="","기타/불명",IF(IFERROR(SEARCH("급여",E486),0)&gt;0,"인건비",IF(IFERROR(SEARCH("임차",E486),0)&gt;0,"임차·시설",IF(IFERROR(SEARCH("광고",E486),0)&gt;0,"광고·행사",IF(IFERROR(SEARCH("용역",E486),0)&gt;0,"용역·수수료","기타/불명"))))))</x:f>
      </x:c>
      <x:c r="J486" s="77" t="str">
        <x:f>IF(A486="","",IF(I486="기타/불명","확인 필요","결의서명으로 1차 확인"))</x:f>
      </x:c>
      <x:c r="K486" s="78"/>
    </x:row>
    <x:row r="487">
      <x:c r="A487" s="73"/>
      <x:c r="B487" s="73"/>
      <x:c r="C487" s="74"/>
      <x:c r="D487" s="73"/>
      <x:c r="E487" s="73"/>
      <x:c r="F487" s="75"/>
      <x:c r="G487" s="75"/>
      <x:c r="H487" s="76" t="str">
        <x:f>IF(A487="","",F487-G487)</x:f>
      </x:c>
      <x:c r="I487" s="77" t="str">
        <x:f>IF(A487="","",IF(E487="","기타/불명",IF(IFERROR(SEARCH("급여",E487),0)&gt;0,"인건비",IF(IFERROR(SEARCH("임차",E487),0)&gt;0,"임차·시설",IF(IFERROR(SEARCH("광고",E487),0)&gt;0,"광고·행사",IF(IFERROR(SEARCH("용역",E487),0)&gt;0,"용역·수수료","기타/불명"))))))</x:f>
      </x:c>
      <x:c r="J487" s="77" t="str">
        <x:f>IF(A487="","",IF(I487="기타/불명","확인 필요","결의서명으로 1차 확인"))</x:f>
      </x:c>
      <x:c r="K487" s="78"/>
    </x:row>
    <x:row r="488">
      <x:c r="A488" s="73"/>
      <x:c r="B488" s="73"/>
      <x:c r="C488" s="74"/>
      <x:c r="D488" s="73"/>
      <x:c r="E488" s="73"/>
      <x:c r="F488" s="75"/>
      <x:c r="G488" s="75"/>
      <x:c r="H488" s="76" t="str">
        <x:f>IF(A488="","",F488-G488)</x:f>
      </x:c>
      <x:c r="I488" s="77" t="str">
        <x:f>IF(A488="","",IF(E488="","기타/불명",IF(IFERROR(SEARCH("급여",E488),0)&gt;0,"인건비",IF(IFERROR(SEARCH("임차",E488),0)&gt;0,"임차·시설",IF(IFERROR(SEARCH("광고",E488),0)&gt;0,"광고·행사",IF(IFERROR(SEARCH("용역",E488),0)&gt;0,"용역·수수료","기타/불명"))))))</x:f>
      </x:c>
      <x:c r="J488" s="77" t="str">
        <x:f>IF(A488="","",IF(I488="기타/불명","확인 필요","결의서명으로 1차 확인"))</x:f>
      </x:c>
      <x:c r="K488" s="78"/>
    </x:row>
    <x:row r="489">
      <x:c r="A489" s="73"/>
      <x:c r="B489" s="73"/>
      <x:c r="C489" s="74"/>
      <x:c r="D489" s="73"/>
      <x:c r="E489" s="73"/>
      <x:c r="F489" s="75"/>
      <x:c r="G489" s="75"/>
      <x:c r="H489" s="76" t="str">
        <x:f>IF(A489="","",F489-G489)</x:f>
      </x:c>
      <x:c r="I489" s="77" t="str">
        <x:f>IF(A489="","",IF(E489="","기타/불명",IF(IFERROR(SEARCH("급여",E489),0)&gt;0,"인건비",IF(IFERROR(SEARCH("임차",E489),0)&gt;0,"임차·시설",IF(IFERROR(SEARCH("광고",E489),0)&gt;0,"광고·행사",IF(IFERROR(SEARCH("용역",E489),0)&gt;0,"용역·수수료","기타/불명"))))))</x:f>
      </x:c>
      <x:c r="J489" s="77" t="str">
        <x:f>IF(A489="","",IF(I489="기타/불명","확인 필요","결의서명으로 1차 확인"))</x:f>
      </x:c>
      <x:c r="K489" s="78"/>
    </x:row>
    <x:row r="490">
      <x:c r="A490" s="73"/>
      <x:c r="B490" s="73"/>
      <x:c r="C490" s="74"/>
      <x:c r="D490" s="73"/>
      <x:c r="E490" s="73"/>
      <x:c r="F490" s="75"/>
      <x:c r="G490" s="75"/>
      <x:c r="H490" s="76" t="str">
        <x:f>IF(A490="","",F490-G490)</x:f>
      </x:c>
      <x:c r="I490" s="77" t="str">
        <x:f>IF(A490="","",IF(E490="","기타/불명",IF(IFERROR(SEARCH("급여",E490),0)&gt;0,"인건비",IF(IFERROR(SEARCH("임차",E490),0)&gt;0,"임차·시설",IF(IFERROR(SEARCH("광고",E490),0)&gt;0,"광고·행사",IF(IFERROR(SEARCH("용역",E490),0)&gt;0,"용역·수수료","기타/불명"))))))</x:f>
      </x:c>
      <x:c r="J490" s="77" t="str">
        <x:f>IF(A490="","",IF(I490="기타/불명","확인 필요","결의서명으로 1차 확인"))</x:f>
      </x:c>
      <x:c r="K490" s="78"/>
    </x:row>
    <x:row r="491">
      <x:c r="A491" s="73"/>
      <x:c r="B491" s="73"/>
      <x:c r="C491" s="74"/>
      <x:c r="D491" s="73"/>
      <x:c r="E491" s="73"/>
      <x:c r="F491" s="75"/>
      <x:c r="G491" s="75"/>
      <x:c r="H491" s="76" t="str">
        <x:f>IF(A491="","",F491-G491)</x:f>
      </x:c>
      <x:c r="I491" s="77" t="str">
        <x:f>IF(A491="","",IF(E491="","기타/불명",IF(IFERROR(SEARCH("급여",E491),0)&gt;0,"인건비",IF(IFERROR(SEARCH("임차",E491),0)&gt;0,"임차·시설",IF(IFERROR(SEARCH("광고",E491),0)&gt;0,"광고·행사",IF(IFERROR(SEARCH("용역",E491),0)&gt;0,"용역·수수료","기타/불명"))))))</x:f>
      </x:c>
      <x:c r="J491" s="77" t="str">
        <x:f>IF(A491="","",IF(I491="기타/불명","확인 필요","결의서명으로 1차 확인"))</x:f>
      </x:c>
      <x:c r="K491" s="78"/>
    </x:row>
    <x:row r="492">
      <x:c r="A492" s="73"/>
      <x:c r="B492" s="73"/>
      <x:c r="C492" s="74"/>
      <x:c r="D492" s="73"/>
      <x:c r="E492" s="73"/>
      <x:c r="F492" s="75"/>
      <x:c r="G492" s="75"/>
      <x:c r="H492" s="76" t="str">
        <x:f>IF(A492="","",F492-G492)</x:f>
      </x:c>
      <x:c r="I492" s="77" t="str">
        <x:f>IF(A492="","",IF(E492="","기타/불명",IF(IFERROR(SEARCH("급여",E492),0)&gt;0,"인건비",IF(IFERROR(SEARCH("임차",E492),0)&gt;0,"임차·시설",IF(IFERROR(SEARCH("광고",E492),0)&gt;0,"광고·행사",IF(IFERROR(SEARCH("용역",E492),0)&gt;0,"용역·수수료","기타/불명"))))))</x:f>
      </x:c>
      <x:c r="J492" s="77" t="str">
        <x:f>IF(A492="","",IF(I492="기타/불명","확인 필요","결의서명으로 1차 확인"))</x:f>
      </x:c>
      <x:c r="K492" s="78"/>
    </x:row>
    <x:row r="493">
      <x:c r="A493" s="73"/>
      <x:c r="B493" s="73"/>
      <x:c r="C493" s="74"/>
      <x:c r="D493" s="73"/>
      <x:c r="E493" s="73"/>
      <x:c r="F493" s="75"/>
      <x:c r="G493" s="75"/>
      <x:c r="H493" s="76" t="str">
        <x:f>IF(A493="","",F493-G493)</x:f>
      </x:c>
      <x:c r="I493" s="77" t="str">
        <x:f>IF(A493="","",IF(E493="","기타/불명",IF(IFERROR(SEARCH("급여",E493),0)&gt;0,"인건비",IF(IFERROR(SEARCH("임차",E493),0)&gt;0,"임차·시설",IF(IFERROR(SEARCH("광고",E493),0)&gt;0,"광고·행사",IF(IFERROR(SEARCH("용역",E493),0)&gt;0,"용역·수수료","기타/불명"))))))</x:f>
      </x:c>
      <x:c r="J493" s="77" t="str">
        <x:f>IF(A493="","",IF(I493="기타/불명","확인 필요","결의서명으로 1차 확인"))</x:f>
      </x:c>
      <x:c r="K493" s="78"/>
    </x:row>
    <x:row r="494">
      <x:c r="A494" s="73"/>
      <x:c r="B494" s="73"/>
      <x:c r="C494" s="74"/>
      <x:c r="D494" s="73"/>
      <x:c r="E494" s="73"/>
      <x:c r="F494" s="75"/>
      <x:c r="G494" s="75"/>
      <x:c r="H494" s="76" t="str">
        <x:f>IF(A494="","",F494-G494)</x:f>
      </x:c>
      <x:c r="I494" s="77" t="str">
        <x:f>IF(A494="","",IF(E494="","기타/불명",IF(IFERROR(SEARCH("급여",E494),0)&gt;0,"인건비",IF(IFERROR(SEARCH("임차",E494),0)&gt;0,"임차·시설",IF(IFERROR(SEARCH("광고",E494),0)&gt;0,"광고·행사",IF(IFERROR(SEARCH("용역",E494),0)&gt;0,"용역·수수료","기타/불명"))))))</x:f>
      </x:c>
      <x:c r="J494" s="77" t="str">
        <x:f>IF(A494="","",IF(I494="기타/불명","확인 필요","결의서명으로 1차 확인"))</x:f>
      </x:c>
      <x:c r="K494" s="78"/>
    </x:row>
    <x:row r="495">
      <x:c r="A495" s="73"/>
      <x:c r="B495" s="73"/>
      <x:c r="C495" s="74"/>
      <x:c r="D495" s="73"/>
      <x:c r="E495" s="73"/>
      <x:c r="F495" s="75"/>
      <x:c r="G495" s="75"/>
      <x:c r="H495" s="76" t="str">
        <x:f>IF(A495="","",F495-G495)</x:f>
      </x:c>
      <x:c r="I495" s="77" t="str">
        <x:f>IF(A495="","",IF(E495="","기타/불명",IF(IFERROR(SEARCH("급여",E495),0)&gt;0,"인건비",IF(IFERROR(SEARCH("임차",E495),0)&gt;0,"임차·시설",IF(IFERROR(SEARCH("광고",E495),0)&gt;0,"광고·행사",IF(IFERROR(SEARCH("용역",E495),0)&gt;0,"용역·수수료","기타/불명"))))))</x:f>
      </x:c>
      <x:c r="J495" s="77" t="str">
        <x:f>IF(A495="","",IF(I495="기타/불명","확인 필요","결의서명으로 1차 확인"))</x:f>
      </x:c>
      <x:c r="K495" s="78"/>
    </x:row>
    <x:row r="496">
      <x:c r="A496" s="73"/>
      <x:c r="B496" s="73"/>
      <x:c r="C496" s="74"/>
      <x:c r="D496" s="73"/>
      <x:c r="E496" s="73"/>
      <x:c r="F496" s="75"/>
      <x:c r="G496" s="75"/>
      <x:c r="H496" s="76" t="str">
        <x:f>IF(A496="","",F496-G496)</x:f>
      </x:c>
      <x:c r="I496" s="77" t="str">
        <x:f>IF(A496="","",IF(E496="","기타/불명",IF(IFERROR(SEARCH("급여",E496),0)&gt;0,"인건비",IF(IFERROR(SEARCH("임차",E496),0)&gt;0,"임차·시설",IF(IFERROR(SEARCH("광고",E496),0)&gt;0,"광고·행사",IF(IFERROR(SEARCH("용역",E496),0)&gt;0,"용역·수수료","기타/불명"))))))</x:f>
      </x:c>
      <x:c r="J496" s="77" t="str">
        <x:f>IF(A496="","",IF(I496="기타/불명","확인 필요","결의서명으로 1차 확인"))</x:f>
      </x:c>
      <x:c r="K496" s="78"/>
    </x:row>
    <x:row r="497">
      <x:c r="A497" s="73"/>
      <x:c r="B497" s="73"/>
      <x:c r="C497" s="74"/>
      <x:c r="D497" s="73"/>
      <x:c r="E497" s="73"/>
      <x:c r="F497" s="75"/>
      <x:c r="G497" s="75"/>
      <x:c r="H497" s="76" t="str">
        <x:f>IF(A497="","",F497-G497)</x:f>
      </x:c>
      <x:c r="I497" s="77" t="str">
        <x:f>IF(A497="","",IF(E497="","기타/불명",IF(IFERROR(SEARCH("급여",E497),0)&gt;0,"인건비",IF(IFERROR(SEARCH("임차",E497),0)&gt;0,"임차·시설",IF(IFERROR(SEARCH("광고",E497),0)&gt;0,"광고·행사",IF(IFERROR(SEARCH("용역",E497),0)&gt;0,"용역·수수료","기타/불명"))))))</x:f>
      </x:c>
      <x:c r="J497" s="77" t="str">
        <x:f>IF(A497="","",IF(I497="기타/불명","확인 필요","결의서명으로 1차 확인"))</x:f>
      </x:c>
      <x:c r="K497" s="78"/>
    </x:row>
    <x:row r="498">
      <x:c r="A498" s="73"/>
      <x:c r="B498" s="73"/>
      <x:c r="C498" s="74"/>
      <x:c r="D498" s="73"/>
      <x:c r="E498" s="73"/>
      <x:c r="F498" s="75"/>
      <x:c r="G498" s="75"/>
      <x:c r="H498" s="76" t="str">
        <x:f>IF(A498="","",F498-G498)</x:f>
      </x:c>
      <x:c r="I498" s="77" t="str">
        <x:f>IF(A498="","",IF(E498="","기타/불명",IF(IFERROR(SEARCH("급여",E498),0)&gt;0,"인건비",IF(IFERROR(SEARCH("임차",E498),0)&gt;0,"임차·시설",IF(IFERROR(SEARCH("광고",E498),0)&gt;0,"광고·행사",IF(IFERROR(SEARCH("용역",E498),0)&gt;0,"용역·수수료","기타/불명"))))))</x:f>
      </x:c>
      <x:c r="J498" s="77" t="str">
        <x:f>IF(A498="","",IF(I498="기타/불명","확인 필요","결의서명으로 1차 확인"))</x:f>
      </x:c>
      <x:c r="K498" s="78"/>
    </x:row>
    <x:row r="499">
      <x:c r="A499" s="73"/>
      <x:c r="B499" s="73"/>
      <x:c r="C499" s="74"/>
      <x:c r="D499" s="73"/>
      <x:c r="E499" s="73"/>
      <x:c r="F499" s="75"/>
      <x:c r="G499" s="75"/>
      <x:c r="H499" s="76" t="str">
        <x:f>IF(A499="","",F499-G499)</x:f>
      </x:c>
      <x:c r="I499" s="77" t="str">
        <x:f>IF(A499="","",IF(E499="","기타/불명",IF(IFERROR(SEARCH("급여",E499),0)&gt;0,"인건비",IF(IFERROR(SEARCH("임차",E499),0)&gt;0,"임차·시설",IF(IFERROR(SEARCH("광고",E499),0)&gt;0,"광고·행사",IF(IFERROR(SEARCH("용역",E499),0)&gt;0,"용역·수수료","기타/불명"))))))</x:f>
      </x:c>
      <x:c r="J499" s="77" t="str">
        <x:f>IF(A499="","",IF(I499="기타/불명","확인 필요","결의서명으로 1차 확인"))</x:f>
      </x:c>
      <x:c r="K499" s="78"/>
    </x:row>
    <x:row r="500">
      <x:c r="A500" s="73"/>
      <x:c r="B500" s="73"/>
      <x:c r="C500" s="74"/>
      <x:c r="D500" s="73"/>
      <x:c r="E500" s="73"/>
      <x:c r="F500" s="75"/>
      <x:c r="G500" s="75"/>
      <x:c r="H500" s="76" t="str">
        <x:f>IF(A500="","",F500-G500)</x:f>
      </x:c>
      <x:c r="I500" s="77" t="str">
        <x:f>IF(A500="","",IF(E500="","기타/불명",IF(IFERROR(SEARCH("급여",E500),0)&gt;0,"인건비",IF(IFERROR(SEARCH("임차",E500),0)&gt;0,"임차·시설",IF(IFERROR(SEARCH("광고",E500),0)&gt;0,"광고·행사",IF(IFERROR(SEARCH("용역",E500),0)&gt;0,"용역·수수료","기타/불명"))))))</x:f>
      </x:c>
      <x:c r="J500" s="77" t="str">
        <x:f>IF(A500="","",IF(I500="기타/불명","확인 필요","결의서명으로 1차 확인"))</x:f>
      </x:c>
      <x:c r="K500" s="78"/>
    </x:row>
    <x:row r="501">
      <x:c r="A501" s="73"/>
      <x:c r="B501" s="73"/>
      <x:c r="C501" s="74"/>
      <x:c r="D501" s="73"/>
      <x:c r="E501" s="73"/>
      <x:c r="F501" s="75"/>
      <x:c r="G501" s="75"/>
      <x:c r="H501" s="76" t="str">
        <x:f>IF(A501="","",F501-G501)</x:f>
      </x:c>
      <x:c r="I501" s="77" t="str">
        <x:f>IF(A501="","",IF(E501="","기타/불명",IF(IFERROR(SEARCH("급여",E501),0)&gt;0,"인건비",IF(IFERROR(SEARCH("임차",E501),0)&gt;0,"임차·시설",IF(IFERROR(SEARCH("광고",E501),0)&gt;0,"광고·행사",IF(IFERROR(SEARCH("용역",E501),0)&gt;0,"용역·수수료","기타/불명"))))))</x:f>
      </x:c>
      <x:c r="J501" s="77" t="str">
        <x:f>IF(A501="","",IF(I501="기타/불명","확인 필요","결의서명으로 1차 확인"))</x:f>
      </x:c>
      <x:c r="K501" s="78"/>
    </x:row>
    <x:row r="502">
      <x:c r="A502" s="73"/>
      <x:c r="B502" s="73"/>
      <x:c r="C502" s="74"/>
      <x:c r="D502" s="73"/>
      <x:c r="E502" s="73"/>
      <x:c r="F502" s="75"/>
      <x:c r="G502" s="75"/>
      <x:c r="H502" s="76" t="str">
        <x:f>IF(A502="","",F502-G502)</x:f>
      </x:c>
      <x:c r="I502" s="77" t="str">
        <x:f>IF(A502="","",IF(E502="","기타/불명",IF(IFERROR(SEARCH("급여",E502),0)&gt;0,"인건비",IF(IFERROR(SEARCH("임차",E502),0)&gt;0,"임차·시설",IF(IFERROR(SEARCH("광고",E502),0)&gt;0,"광고·행사",IF(IFERROR(SEARCH("용역",E502),0)&gt;0,"용역·수수료","기타/불명"))))))</x:f>
      </x:c>
      <x:c r="J502" s="77" t="str">
        <x:f>IF(A502="","",IF(I502="기타/불명","확인 필요","결의서명으로 1차 확인"))</x:f>
      </x:c>
      <x:c r="K502" s="78"/>
    </x:row>
    <x:row r="503">
      <x:c r="A503" s="73"/>
      <x:c r="B503" s="73"/>
      <x:c r="C503" s="74"/>
      <x:c r="D503" s="73"/>
      <x:c r="E503" s="73"/>
      <x:c r="F503" s="75"/>
      <x:c r="G503" s="75"/>
      <x:c r="H503" s="76" t="str">
        <x:f>IF(A503="","",F503-G503)</x:f>
      </x:c>
      <x:c r="I503" s="77" t="str">
        <x:f>IF(A503="","",IF(E503="","기타/불명",IF(IFERROR(SEARCH("급여",E503),0)&gt;0,"인건비",IF(IFERROR(SEARCH("임차",E503),0)&gt;0,"임차·시설",IF(IFERROR(SEARCH("광고",E503),0)&gt;0,"광고·행사",IF(IFERROR(SEARCH("용역",E503),0)&gt;0,"용역·수수료","기타/불명"))))))</x:f>
      </x:c>
      <x:c r="J503" s="77" t="str">
        <x:f>IF(A503="","",IF(I503="기타/불명","확인 필요","결의서명으로 1차 확인"))</x:f>
      </x:c>
      <x:c r="K503" s="78"/>
    </x:row>
    <x:row r="504">
      <x:c r="A504" s="73"/>
      <x:c r="B504" s="73"/>
      <x:c r="C504" s="74"/>
      <x:c r="D504" s="73"/>
      <x:c r="E504" s="73"/>
      <x:c r="F504" s="75"/>
      <x:c r="G504" s="75"/>
      <x:c r="H504" s="76" t="str">
        <x:f>IF(A504="","",F504-G504)</x:f>
      </x:c>
      <x:c r="I504" s="77" t="str">
        <x:f>IF(A504="","",IF(E504="","기타/불명",IF(IFERROR(SEARCH("급여",E504),0)&gt;0,"인건비",IF(IFERROR(SEARCH("임차",E504),0)&gt;0,"임차·시설",IF(IFERROR(SEARCH("광고",E504),0)&gt;0,"광고·행사",IF(IFERROR(SEARCH("용역",E504),0)&gt;0,"용역·수수료","기타/불명"))))))</x:f>
      </x:c>
      <x:c r="J504" s="77" t="str">
        <x:f>IF(A504="","",IF(I504="기타/불명","확인 필요","결의서명으로 1차 확인"))</x:f>
      </x:c>
      <x:c r="K504" s="78"/>
    </x:row>
    <x:row r="505">
      <x:c r="A505" s="73"/>
      <x:c r="B505" s="73"/>
      <x:c r="C505" s="74"/>
      <x:c r="D505" s="73"/>
      <x:c r="E505" s="73"/>
      <x:c r="F505" s="75"/>
      <x:c r="G505" s="75"/>
      <x:c r="H505" s="76" t="str">
        <x:f>IF(A505="","",F505-G505)</x:f>
      </x:c>
      <x:c r="I505" s="77" t="str">
        <x:f>IF(A505="","",IF(E505="","기타/불명",IF(IFERROR(SEARCH("급여",E505),0)&gt;0,"인건비",IF(IFERROR(SEARCH("임차",E505),0)&gt;0,"임차·시설",IF(IFERROR(SEARCH("광고",E505),0)&gt;0,"광고·행사",IF(IFERROR(SEARCH("용역",E505),0)&gt;0,"용역·수수료","기타/불명"))))))</x:f>
      </x:c>
      <x:c r="J505" s="77" t="str">
        <x:f>IF(A505="","",IF(I505="기타/불명","확인 필요","결의서명으로 1차 확인"))</x:f>
      </x:c>
      <x:c r="K505" s="78"/>
    </x:row>
    <x:row r="506">
      <x:c r="A506" s="73"/>
      <x:c r="B506" s="73"/>
      <x:c r="C506" s="74"/>
      <x:c r="D506" s="73"/>
      <x:c r="E506" s="73"/>
      <x:c r="F506" s="75"/>
      <x:c r="G506" s="75"/>
      <x:c r="H506" s="76" t="str">
        <x:f>IF(A506="","",F506-G506)</x:f>
      </x:c>
      <x:c r="I506" s="77" t="str">
        <x:f>IF(A506="","",IF(E506="","기타/불명",IF(IFERROR(SEARCH("급여",E506),0)&gt;0,"인건비",IF(IFERROR(SEARCH("임차",E506),0)&gt;0,"임차·시설",IF(IFERROR(SEARCH("광고",E506),0)&gt;0,"광고·행사",IF(IFERROR(SEARCH("용역",E506),0)&gt;0,"용역·수수료","기타/불명"))))))</x:f>
      </x:c>
      <x:c r="J506" s="77" t="str">
        <x:f>IF(A506="","",IF(I506="기타/불명","확인 필요","결의서명으로 1차 확인"))</x:f>
      </x:c>
      <x:c r="K506" s="78"/>
    </x:row>
    <x:row r="507">
      <x:c r="A507" s="73"/>
      <x:c r="B507" s="73"/>
      <x:c r="C507" s="74"/>
      <x:c r="D507" s="73"/>
      <x:c r="E507" s="73"/>
      <x:c r="F507" s="75"/>
      <x:c r="G507" s="75"/>
      <x:c r="H507" s="76" t="str">
        <x:f>IF(A507="","",F507-G507)</x:f>
      </x:c>
      <x:c r="I507" s="77" t="str">
        <x:f>IF(A507="","",IF(E507="","기타/불명",IF(IFERROR(SEARCH("급여",E507),0)&gt;0,"인건비",IF(IFERROR(SEARCH("임차",E507),0)&gt;0,"임차·시설",IF(IFERROR(SEARCH("광고",E507),0)&gt;0,"광고·행사",IF(IFERROR(SEARCH("용역",E507),0)&gt;0,"용역·수수료","기타/불명"))))))</x:f>
      </x:c>
      <x:c r="J507" s="77" t="str">
        <x:f>IF(A507="","",IF(I507="기타/불명","확인 필요","결의서명으로 1차 확인"))</x:f>
      </x:c>
      <x:c r="K507" s="78"/>
    </x:row>
    <x:row r="508">
      <x:c r="A508" s="73"/>
      <x:c r="B508" s="73"/>
      <x:c r="C508" s="74"/>
      <x:c r="D508" s="73"/>
      <x:c r="E508" s="73"/>
      <x:c r="F508" s="75"/>
      <x:c r="G508" s="75"/>
      <x:c r="H508" s="76" t="str">
        <x:f>IF(A508="","",F508-G508)</x:f>
      </x:c>
      <x:c r="I508" s="77" t="str">
        <x:f>IF(A508="","",IF(E508="","기타/불명",IF(IFERROR(SEARCH("급여",E508),0)&gt;0,"인건비",IF(IFERROR(SEARCH("임차",E508),0)&gt;0,"임차·시설",IF(IFERROR(SEARCH("광고",E508),0)&gt;0,"광고·행사",IF(IFERROR(SEARCH("용역",E508),0)&gt;0,"용역·수수료","기타/불명"))))))</x:f>
      </x:c>
      <x:c r="J508" s="77" t="str">
        <x:f>IF(A508="","",IF(I508="기타/불명","확인 필요","결의서명으로 1차 확인"))</x:f>
      </x:c>
      <x:c r="K508" s="78"/>
    </x:row>
    <x:row r="509">
      <x:c r="A509" s="73"/>
      <x:c r="B509" s="73"/>
      <x:c r="C509" s="74"/>
      <x:c r="D509" s="73"/>
      <x:c r="E509" s="73"/>
      <x:c r="F509" s="75"/>
      <x:c r="G509" s="75"/>
      <x:c r="H509" s="76" t="str">
        <x:f>IF(A509="","",F509-G509)</x:f>
      </x:c>
      <x:c r="I509" s="77" t="str">
        <x:f>IF(A509="","",IF(E509="","기타/불명",IF(IFERROR(SEARCH("급여",E509),0)&gt;0,"인건비",IF(IFERROR(SEARCH("임차",E509),0)&gt;0,"임차·시설",IF(IFERROR(SEARCH("광고",E509),0)&gt;0,"광고·행사",IF(IFERROR(SEARCH("용역",E509),0)&gt;0,"용역·수수료","기타/불명"))))))</x:f>
      </x:c>
      <x:c r="J509" s="77" t="str">
        <x:f>IF(A509="","",IF(I509="기타/불명","확인 필요","결의서명으로 1차 확인"))</x:f>
      </x:c>
      <x:c r="K509" s="78"/>
    </x:row>
    <x:row r="510">
      <x:c r="A510" s="73"/>
      <x:c r="B510" s="73"/>
      <x:c r="C510" s="74"/>
      <x:c r="D510" s="73"/>
      <x:c r="E510" s="73"/>
      <x:c r="F510" s="75"/>
      <x:c r="G510" s="75"/>
      <x:c r="H510" s="76" t="str">
        <x:f>IF(A510="","",F510-G510)</x:f>
      </x:c>
      <x:c r="I510" s="77" t="str">
        <x:f>IF(A510="","",IF(E510="","기타/불명",IF(IFERROR(SEARCH("급여",E510),0)&gt;0,"인건비",IF(IFERROR(SEARCH("임차",E510),0)&gt;0,"임차·시설",IF(IFERROR(SEARCH("광고",E510),0)&gt;0,"광고·행사",IF(IFERROR(SEARCH("용역",E510),0)&gt;0,"용역·수수료","기타/불명"))))))</x:f>
      </x:c>
      <x:c r="J510" s="77" t="str">
        <x:f>IF(A510="","",IF(I510="기타/불명","확인 필요","결의서명으로 1차 확인"))</x:f>
      </x:c>
      <x:c r="K510" s="78"/>
    </x:row>
    <x:row r="511">
      <x:c r="A511" s="73"/>
      <x:c r="B511" s="73"/>
      <x:c r="C511" s="74"/>
      <x:c r="D511" s="73"/>
      <x:c r="E511" s="73"/>
      <x:c r="F511" s="75"/>
      <x:c r="G511" s="75"/>
      <x:c r="H511" s="76" t="str">
        <x:f>IF(A511="","",F511-G511)</x:f>
      </x:c>
      <x:c r="I511" s="77" t="str">
        <x:f>IF(A511="","",IF(E511="","기타/불명",IF(IFERROR(SEARCH("급여",E511),0)&gt;0,"인건비",IF(IFERROR(SEARCH("임차",E511),0)&gt;0,"임차·시설",IF(IFERROR(SEARCH("광고",E511),0)&gt;0,"광고·행사",IF(IFERROR(SEARCH("용역",E511),0)&gt;0,"용역·수수료","기타/불명"))))))</x:f>
      </x:c>
      <x:c r="J511" s="77" t="str">
        <x:f>IF(A511="","",IF(I511="기타/불명","확인 필요","결의서명으로 1차 확인"))</x:f>
      </x:c>
      <x:c r="K511" s="78"/>
    </x:row>
    <x:row r="512">
      <x:c r="A512" s="73"/>
      <x:c r="B512" s="73"/>
      <x:c r="C512" s="74"/>
      <x:c r="D512" s="73"/>
      <x:c r="E512" s="73"/>
      <x:c r="F512" s="75"/>
      <x:c r="G512" s="75"/>
      <x:c r="H512" s="76" t="str">
        <x:f>IF(A512="","",F512-G512)</x:f>
      </x:c>
      <x:c r="I512" s="77" t="str">
        <x:f>IF(A512="","",IF(E512="","기타/불명",IF(IFERROR(SEARCH("급여",E512),0)&gt;0,"인건비",IF(IFERROR(SEARCH("임차",E512),0)&gt;0,"임차·시설",IF(IFERROR(SEARCH("광고",E512),0)&gt;0,"광고·행사",IF(IFERROR(SEARCH("용역",E512),0)&gt;0,"용역·수수료","기타/불명"))))))</x:f>
      </x:c>
      <x:c r="J512" s="77" t="str">
        <x:f>IF(A512="","",IF(I512="기타/불명","확인 필요","결의서명으로 1차 확인"))</x:f>
      </x:c>
      <x:c r="K512" s="78"/>
    </x:row>
    <x:row r="513">
      <x:c r="A513" s="73"/>
      <x:c r="B513" s="73"/>
      <x:c r="C513" s="74"/>
      <x:c r="D513" s="73"/>
      <x:c r="E513" s="73"/>
      <x:c r="F513" s="75"/>
      <x:c r="G513" s="75"/>
      <x:c r="H513" s="76" t="str">
        <x:f>IF(A513="","",F513-G513)</x:f>
      </x:c>
      <x:c r="I513" s="77" t="str">
        <x:f>IF(A513="","",IF(E513="","기타/불명",IF(IFERROR(SEARCH("급여",E513),0)&gt;0,"인건비",IF(IFERROR(SEARCH("임차",E513),0)&gt;0,"임차·시설",IF(IFERROR(SEARCH("광고",E513),0)&gt;0,"광고·행사",IF(IFERROR(SEARCH("용역",E513),0)&gt;0,"용역·수수료","기타/불명"))))))</x:f>
      </x:c>
      <x:c r="J513" s="77" t="str">
        <x:f>IF(A513="","",IF(I513="기타/불명","확인 필요","결의서명으로 1차 확인"))</x:f>
      </x:c>
      <x:c r="K513" s="78"/>
    </x:row>
    <x:row r="514">
      <x:c r="A514" s="73"/>
      <x:c r="B514" s="73"/>
      <x:c r="C514" s="74"/>
      <x:c r="D514" s="73"/>
      <x:c r="E514" s="73"/>
      <x:c r="F514" s="75"/>
      <x:c r="G514" s="75"/>
      <x:c r="H514" s="76" t="str">
        <x:f>IF(A514="","",F514-G514)</x:f>
      </x:c>
      <x:c r="I514" s="77" t="str">
        <x:f>IF(A514="","",IF(E514="","기타/불명",IF(IFERROR(SEARCH("급여",E514),0)&gt;0,"인건비",IF(IFERROR(SEARCH("임차",E514),0)&gt;0,"임차·시설",IF(IFERROR(SEARCH("광고",E514),0)&gt;0,"광고·행사",IF(IFERROR(SEARCH("용역",E514),0)&gt;0,"용역·수수료","기타/불명"))))))</x:f>
      </x:c>
      <x:c r="J514" s="77" t="str">
        <x:f>IF(A514="","",IF(I514="기타/불명","확인 필요","결의서명으로 1차 확인"))</x:f>
      </x:c>
      <x:c r="K514" s="78"/>
    </x:row>
    <x:row r="515">
      <x:c r="A515" s="73"/>
      <x:c r="B515" s="73"/>
      <x:c r="C515" s="74"/>
      <x:c r="D515" s="73"/>
      <x:c r="E515" s="73"/>
      <x:c r="F515" s="75"/>
      <x:c r="G515" s="75"/>
      <x:c r="H515" s="76" t="str">
        <x:f>IF(A515="","",F515-G515)</x:f>
      </x:c>
      <x:c r="I515" s="77" t="str">
        <x:f>IF(A515="","",IF(E515="","기타/불명",IF(IFERROR(SEARCH("급여",E515),0)&gt;0,"인건비",IF(IFERROR(SEARCH("임차",E515),0)&gt;0,"임차·시설",IF(IFERROR(SEARCH("광고",E515),0)&gt;0,"광고·행사",IF(IFERROR(SEARCH("용역",E515),0)&gt;0,"용역·수수료","기타/불명"))))))</x:f>
      </x:c>
      <x:c r="J515" s="77" t="str">
        <x:f>IF(A515="","",IF(I515="기타/불명","확인 필요","결의서명으로 1차 확인"))</x:f>
      </x:c>
      <x:c r="K515" s="78"/>
    </x:row>
    <x:row r="516">
      <x:c r="A516" s="73"/>
      <x:c r="B516" s="73"/>
      <x:c r="C516" s="74"/>
      <x:c r="D516" s="73"/>
      <x:c r="E516" s="73"/>
      <x:c r="F516" s="75"/>
      <x:c r="G516" s="75"/>
      <x:c r="H516" s="76" t="str">
        <x:f>IF(A516="","",F516-G516)</x:f>
      </x:c>
      <x:c r="I516" s="77" t="str">
        <x:f>IF(A516="","",IF(E516="","기타/불명",IF(IFERROR(SEARCH("급여",E516),0)&gt;0,"인건비",IF(IFERROR(SEARCH("임차",E516),0)&gt;0,"임차·시설",IF(IFERROR(SEARCH("광고",E516),0)&gt;0,"광고·행사",IF(IFERROR(SEARCH("용역",E516),0)&gt;0,"용역·수수료","기타/불명"))))))</x:f>
      </x:c>
      <x:c r="J516" s="77" t="str">
        <x:f>IF(A516="","",IF(I516="기타/불명","확인 필요","결의서명으로 1차 확인"))</x:f>
      </x:c>
      <x:c r="K516" s="78"/>
    </x:row>
    <x:row r="517">
      <x:c r="A517" s="73"/>
      <x:c r="B517" s="73"/>
      <x:c r="C517" s="74"/>
      <x:c r="D517" s="73"/>
      <x:c r="E517" s="73"/>
      <x:c r="F517" s="75"/>
      <x:c r="G517" s="75"/>
      <x:c r="H517" s="76" t="str">
        <x:f>IF(A517="","",F517-G517)</x:f>
      </x:c>
      <x:c r="I517" s="77" t="str">
        <x:f>IF(A517="","",IF(E517="","기타/불명",IF(IFERROR(SEARCH("급여",E517),0)&gt;0,"인건비",IF(IFERROR(SEARCH("임차",E517),0)&gt;0,"임차·시설",IF(IFERROR(SEARCH("광고",E517),0)&gt;0,"광고·행사",IF(IFERROR(SEARCH("용역",E517),0)&gt;0,"용역·수수료","기타/불명"))))))</x:f>
      </x:c>
      <x:c r="J517" s="77" t="str">
        <x:f>IF(A517="","",IF(I517="기타/불명","확인 필요","결의서명으로 1차 확인"))</x:f>
      </x:c>
      <x:c r="K517" s="78"/>
    </x:row>
    <x:row r="518">
      <x:c r="A518" s="73"/>
      <x:c r="B518" s="73"/>
      <x:c r="C518" s="74"/>
      <x:c r="D518" s="73"/>
      <x:c r="E518" s="73"/>
      <x:c r="F518" s="75"/>
      <x:c r="G518" s="75"/>
      <x:c r="H518" s="76" t="str">
        <x:f>IF(A518="","",F518-G518)</x:f>
      </x:c>
      <x:c r="I518" s="77" t="str">
        <x:f>IF(A518="","",IF(E518="","기타/불명",IF(IFERROR(SEARCH("급여",E518),0)&gt;0,"인건비",IF(IFERROR(SEARCH("임차",E518),0)&gt;0,"임차·시설",IF(IFERROR(SEARCH("광고",E518),0)&gt;0,"광고·행사",IF(IFERROR(SEARCH("용역",E518),0)&gt;0,"용역·수수료","기타/불명"))))))</x:f>
      </x:c>
      <x:c r="J518" s="77" t="str">
        <x:f>IF(A518="","",IF(I518="기타/불명","확인 필요","결의서명으로 1차 확인"))</x:f>
      </x:c>
      <x:c r="K518" s="78"/>
    </x:row>
    <x:row r="519">
      <x:c r="A519" s="73"/>
      <x:c r="B519" s="73"/>
      <x:c r="C519" s="74"/>
      <x:c r="D519" s="73"/>
      <x:c r="E519" s="73"/>
      <x:c r="F519" s="75"/>
      <x:c r="G519" s="75"/>
      <x:c r="H519" s="76" t="str">
        <x:f>IF(A519="","",F519-G519)</x:f>
      </x:c>
      <x:c r="I519" s="77" t="str">
        <x:f>IF(A519="","",IF(E519="","기타/불명",IF(IFERROR(SEARCH("급여",E519),0)&gt;0,"인건비",IF(IFERROR(SEARCH("임차",E519),0)&gt;0,"임차·시설",IF(IFERROR(SEARCH("광고",E519),0)&gt;0,"광고·행사",IF(IFERROR(SEARCH("용역",E519),0)&gt;0,"용역·수수료","기타/불명"))))))</x:f>
      </x:c>
      <x:c r="J519" s="77" t="str">
        <x:f>IF(A519="","",IF(I519="기타/불명","확인 필요","결의서명으로 1차 확인"))</x:f>
      </x:c>
      <x:c r="K519" s="78"/>
    </x:row>
    <x:row r="520">
      <x:c r="A520" s="73"/>
      <x:c r="B520" s="73"/>
      <x:c r="C520" s="74"/>
      <x:c r="D520" s="73"/>
      <x:c r="E520" s="73"/>
      <x:c r="F520" s="75"/>
      <x:c r="G520" s="75"/>
      <x:c r="H520" s="76" t="str">
        <x:f>IF(A520="","",F520-G520)</x:f>
      </x:c>
      <x:c r="I520" s="77" t="str">
        <x:f>IF(A520="","",IF(E520="","기타/불명",IF(IFERROR(SEARCH("급여",E520),0)&gt;0,"인건비",IF(IFERROR(SEARCH("임차",E520),0)&gt;0,"임차·시설",IF(IFERROR(SEARCH("광고",E520),0)&gt;0,"광고·행사",IF(IFERROR(SEARCH("용역",E520),0)&gt;0,"용역·수수료","기타/불명"))))))</x:f>
      </x:c>
      <x:c r="J520" s="77" t="str">
        <x:f>IF(A520="","",IF(I520="기타/불명","확인 필요","결의서명으로 1차 확인"))</x:f>
      </x:c>
      <x:c r="K520" s="78"/>
    </x:row>
    <x:row r="521">
      <x:c r="A521" s="73"/>
      <x:c r="B521" s="73"/>
      <x:c r="C521" s="74"/>
      <x:c r="D521" s="73"/>
      <x:c r="E521" s="73"/>
      <x:c r="F521" s="75"/>
      <x:c r="G521" s="75"/>
      <x:c r="H521" s="76" t="str">
        <x:f>IF(A521="","",F521-G521)</x:f>
      </x:c>
      <x:c r="I521" s="77" t="str">
        <x:f>IF(A521="","",IF(E521="","기타/불명",IF(IFERROR(SEARCH("급여",E521),0)&gt;0,"인건비",IF(IFERROR(SEARCH("임차",E521),0)&gt;0,"임차·시설",IF(IFERROR(SEARCH("광고",E521),0)&gt;0,"광고·행사",IF(IFERROR(SEARCH("용역",E521),0)&gt;0,"용역·수수료","기타/불명"))))))</x:f>
      </x:c>
      <x:c r="J521" s="77" t="str">
        <x:f>IF(A521="","",IF(I521="기타/불명","확인 필요","결의서명으로 1차 확인"))</x:f>
      </x:c>
      <x:c r="K521" s="78"/>
    </x:row>
    <x:row r="522">
      <x:c r="A522" s="73"/>
      <x:c r="B522" s="73"/>
      <x:c r="C522" s="74"/>
      <x:c r="D522" s="73"/>
      <x:c r="E522" s="73"/>
      <x:c r="F522" s="75"/>
      <x:c r="G522" s="75"/>
      <x:c r="H522" s="76" t="str">
        <x:f>IF(A522="","",F522-G522)</x:f>
      </x:c>
      <x:c r="I522" s="77" t="str">
        <x:f>IF(A522="","",IF(E522="","기타/불명",IF(IFERROR(SEARCH("급여",E522),0)&gt;0,"인건비",IF(IFERROR(SEARCH("임차",E522),0)&gt;0,"임차·시설",IF(IFERROR(SEARCH("광고",E522),0)&gt;0,"광고·행사",IF(IFERROR(SEARCH("용역",E522),0)&gt;0,"용역·수수료","기타/불명"))))))</x:f>
      </x:c>
      <x:c r="J522" s="77" t="str">
        <x:f>IF(A522="","",IF(I522="기타/불명","확인 필요","결의서명으로 1차 확인"))</x:f>
      </x:c>
      <x:c r="K522" s="78"/>
    </x:row>
    <x:row r="523">
      <x:c r="A523" s="73"/>
      <x:c r="B523" s="73"/>
      <x:c r="C523" s="74"/>
      <x:c r="D523" s="73"/>
      <x:c r="E523" s="73"/>
      <x:c r="F523" s="75"/>
      <x:c r="G523" s="75"/>
      <x:c r="H523" s="76" t="str">
        <x:f>IF(A523="","",F523-G523)</x:f>
      </x:c>
      <x:c r="I523" s="77" t="str">
        <x:f>IF(A523="","",IF(E523="","기타/불명",IF(IFERROR(SEARCH("급여",E523),0)&gt;0,"인건비",IF(IFERROR(SEARCH("임차",E523),0)&gt;0,"임차·시설",IF(IFERROR(SEARCH("광고",E523),0)&gt;0,"광고·행사",IF(IFERROR(SEARCH("용역",E523),0)&gt;0,"용역·수수료","기타/불명"))))))</x:f>
      </x:c>
      <x:c r="J523" s="77" t="str">
        <x:f>IF(A523="","",IF(I523="기타/불명","확인 필요","결의서명으로 1차 확인"))</x:f>
      </x:c>
      <x:c r="K523" s="78"/>
    </x:row>
    <x:row r="524">
      <x:c r="A524" s="73"/>
      <x:c r="B524" s="73"/>
      <x:c r="C524" s="74"/>
      <x:c r="D524" s="73"/>
      <x:c r="E524" s="73"/>
      <x:c r="F524" s="75"/>
      <x:c r="G524" s="75"/>
      <x:c r="H524" s="76" t="str">
        <x:f>IF(A524="","",F524-G524)</x:f>
      </x:c>
      <x:c r="I524" s="77" t="str">
        <x:f>IF(A524="","",IF(E524="","기타/불명",IF(IFERROR(SEARCH("급여",E524),0)&gt;0,"인건비",IF(IFERROR(SEARCH("임차",E524),0)&gt;0,"임차·시설",IF(IFERROR(SEARCH("광고",E524),0)&gt;0,"광고·행사",IF(IFERROR(SEARCH("용역",E524),0)&gt;0,"용역·수수료","기타/불명"))))))</x:f>
      </x:c>
      <x:c r="J524" s="77" t="str">
        <x:f>IF(A524="","",IF(I524="기타/불명","확인 필요","결의서명으로 1차 확인"))</x:f>
      </x:c>
      <x:c r="K524" s="78"/>
    </x:row>
    <x:row r="525">
      <x:c r="A525" s="73"/>
      <x:c r="B525" s="73"/>
      <x:c r="C525" s="74"/>
      <x:c r="D525" s="73"/>
      <x:c r="E525" s="73"/>
      <x:c r="F525" s="75"/>
      <x:c r="G525" s="75"/>
      <x:c r="H525" s="76" t="str">
        <x:f>IF(A525="","",F525-G525)</x:f>
      </x:c>
      <x:c r="I525" s="77" t="str">
        <x:f>IF(A525="","",IF(E525="","기타/불명",IF(IFERROR(SEARCH("급여",E525),0)&gt;0,"인건비",IF(IFERROR(SEARCH("임차",E525),0)&gt;0,"임차·시설",IF(IFERROR(SEARCH("광고",E525),0)&gt;0,"광고·행사",IF(IFERROR(SEARCH("용역",E525),0)&gt;0,"용역·수수료","기타/불명"))))))</x:f>
      </x:c>
      <x:c r="J525" s="77" t="str">
        <x:f>IF(A525="","",IF(I525="기타/불명","확인 필요","결의서명으로 1차 확인"))</x:f>
      </x:c>
      <x:c r="K525" s="78"/>
    </x:row>
    <x:row r="526">
      <x:c r="A526" s="73"/>
      <x:c r="B526" s="73"/>
      <x:c r="C526" s="74"/>
      <x:c r="D526" s="73"/>
      <x:c r="E526" s="73"/>
      <x:c r="F526" s="75"/>
      <x:c r="G526" s="75"/>
      <x:c r="H526" s="76" t="str">
        <x:f>IF(A526="","",F526-G526)</x:f>
      </x:c>
      <x:c r="I526" s="77" t="str">
        <x:f>IF(A526="","",IF(E526="","기타/불명",IF(IFERROR(SEARCH("급여",E526),0)&gt;0,"인건비",IF(IFERROR(SEARCH("임차",E526),0)&gt;0,"임차·시설",IF(IFERROR(SEARCH("광고",E526),0)&gt;0,"광고·행사",IF(IFERROR(SEARCH("용역",E526),0)&gt;0,"용역·수수료","기타/불명"))))))</x:f>
      </x:c>
      <x:c r="J526" s="77" t="str">
        <x:f>IF(A526="","",IF(I526="기타/불명","확인 필요","결의서명으로 1차 확인"))</x:f>
      </x:c>
      <x:c r="K526" s="78"/>
    </x:row>
    <x:row r="527">
      <x:c r="A527" s="73"/>
      <x:c r="B527" s="73"/>
      <x:c r="C527" s="74"/>
      <x:c r="D527" s="73"/>
      <x:c r="E527" s="73"/>
      <x:c r="F527" s="75"/>
      <x:c r="G527" s="75"/>
      <x:c r="H527" s="76" t="str">
        <x:f>IF(A527="","",F527-G527)</x:f>
      </x:c>
      <x:c r="I527" s="77" t="str">
        <x:f>IF(A527="","",IF(E527="","기타/불명",IF(IFERROR(SEARCH("급여",E527),0)&gt;0,"인건비",IF(IFERROR(SEARCH("임차",E527),0)&gt;0,"임차·시설",IF(IFERROR(SEARCH("광고",E527),0)&gt;0,"광고·행사",IF(IFERROR(SEARCH("용역",E527),0)&gt;0,"용역·수수료","기타/불명"))))))</x:f>
      </x:c>
      <x:c r="J527" s="77" t="str">
        <x:f>IF(A527="","",IF(I527="기타/불명","확인 필요","결의서명으로 1차 확인"))</x:f>
      </x:c>
      <x:c r="K527" s="78"/>
    </x:row>
    <x:row r="528">
      <x:c r="A528" s="73"/>
      <x:c r="B528" s="73"/>
      <x:c r="C528" s="74"/>
      <x:c r="D528" s="73"/>
      <x:c r="E528" s="73"/>
      <x:c r="F528" s="75"/>
      <x:c r="G528" s="75"/>
      <x:c r="H528" s="76" t="str">
        <x:f>IF(A528="","",F528-G528)</x:f>
      </x:c>
      <x:c r="I528" s="77" t="str">
        <x:f>IF(A528="","",IF(E528="","기타/불명",IF(IFERROR(SEARCH("급여",E528),0)&gt;0,"인건비",IF(IFERROR(SEARCH("임차",E528),0)&gt;0,"임차·시설",IF(IFERROR(SEARCH("광고",E528),0)&gt;0,"광고·행사",IF(IFERROR(SEARCH("용역",E528),0)&gt;0,"용역·수수료","기타/불명"))))))</x:f>
      </x:c>
      <x:c r="J528" s="77" t="str">
        <x:f>IF(A528="","",IF(I528="기타/불명","확인 필요","결의서명으로 1차 확인"))</x:f>
      </x:c>
      <x:c r="K528" s="78"/>
    </x:row>
    <x:row r="529">
      <x:c r="A529" s="73"/>
      <x:c r="B529" s="73"/>
      <x:c r="C529" s="74"/>
      <x:c r="D529" s="73"/>
      <x:c r="E529" s="73"/>
      <x:c r="F529" s="75"/>
      <x:c r="G529" s="75"/>
      <x:c r="H529" s="76" t="str">
        <x:f>IF(A529="","",F529-G529)</x:f>
      </x:c>
      <x:c r="I529" s="77" t="str">
        <x:f>IF(A529="","",IF(E529="","기타/불명",IF(IFERROR(SEARCH("급여",E529),0)&gt;0,"인건비",IF(IFERROR(SEARCH("임차",E529),0)&gt;0,"임차·시설",IF(IFERROR(SEARCH("광고",E529),0)&gt;0,"광고·행사",IF(IFERROR(SEARCH("용역",E529),0)&gt;0,"용역·수수료","기타/불명"))))))</x:f>
      </x:c>
      <x:c r="J529" s="77" t="str">
        <x:f>IF(A529="","",IF(I529="기타/불명","확인 필요","결의서명으로 1차 확인"))</x:f>
      </x:c>
      <x:c r="K529" s="78"/>
    </x:row>
    <x:row r="530">
      <x:c r="A530" s="73"/>
      <x:c r="B530" s="73"/>
      <x:c r="C530" s="74"/>
      <x:c r="D530" s="73"/>
      <x:c r="E530" s="73"/>
      <x:c r="F530" s="75"/>
      <x:c r="G530" s="75"/>
      <x:c r="H530" s="76" t="str">
        <x:f>IF(A530="","",F530-G530)</x:f>
      </x:c>
      <x:c r="I530" s="77" t="str">
        <x:f>IF(A530="","",IF(E530="","기타/불명",IF(IFERROR(SEARCH("급여",E530),0)&gt;0,"인건비",IF(IFERROR(SEARCH("임차",E530),0)&gt;0,"임차·시설",IF(IFERROR(SEARCH("광고",E530),0)&gt;0,"광고·행사",IF(IFERROR(SEARCH("용역",E530),0)&gt;0,"용역·수수료","기타/불명"))))))</x:f>
      </x:c>
      <x:c r="J530" s="77" t="str">
        <x:f>IF(A530="","",IF(I530="기타/불명","확인 필요","결의서명으로 1차 확인"))</x:f>
      </x:c>
      <x:c r="K530" s="78"/>
    </x:row>
    <x:row r="531">
      <x:c r="A531" s="73"/>
      <x:c r="B531" s="73"/>
      <x:c r="C531" s="74"/>
      <x:c r="D531" s="73"/>
      <x:c r="E531" s="73"/>
      <x:c r="F531" s="75"/>
      <x:c r="G531" s="75"/>
      <x:c r="H531" s="76" t="str">
        <x:f>IF(A531="","",F531-G531)</x:f>
      </x:c>
      <x:c r="I531" s="77" t="str">
        <x:f>IF(A531="","",IF(E531="","기타/불명",IF(IFERROR(SEARCH("급여",E531),0)&gt;0,"인건비",IF(IFERROR(SEARCH("임차",E531),0)&gt;0,"임차·시설",IF(IFERROR(SEARCH("광고",E531),0)&gt;0,"광고·행사",IF(IFERROR(SEARCH("용역",E531),0)&gt;0,"용역·수수료","기타/불명"))))))</x:f>
      </x:c>
      <x:c r="J531" s="77" t="str">
        <x:f>IF(A531="","",IF(I531="기타/불명","확인 필요","결의서명으로 1차 확인"))</x:f>
      </x:c>
      <x:c r="K531" s="78"/>
    </x:row>
    <x:row r="532">
      <x:c r="A532" s="73"/>
      <x:c r="B532" s="73"/>
      <x:c r="C532" s="74"/>
      <x:c r="D532" s="73"/>
      <x:c r="E532" s="73"/>
      <x:c r="F532" s="75"/>
      <x:c r="G532" s="75"/>
      <x:c r="H532" s="76" t="str">
        <x:f>IF(A532="","",F532-G532)</x:f>
      </x:c>
      <x:c r="I532" s="77" t="str">
        <x:f>IF(A532="","",IF(E532="","기타/불명",IF(IFERROR(SEARCH("급여",E532),0)&gt;0,"인건비",IF(IFERROR(SEARCH("임차",E532),0)&gt;0,"임차·시설",IF(IFERROR(SEARCH("광고",E532),0)&gt;0,"광고·행사",IF(IFERROR(SEARCH("용역",E532),0)&gt;0,"용역·수수료","기타/불명"))))))</x:f>
      </x:c>
      <x:c r="J532" s="77" t="str">
        <x:f>IF(A532="","",IF(I532="기타/불명","확인 필요","결의서명으로 1차 확인"))</x:f>
      </x:c>
      <x:c r="K532" s="78"/>
    </x:row>
    <x:row r="533">
      <x:c r="A533" s="73"/>
      <x:c r="B533" s="73"/>
      <x:c r="C533" s="74"/>
      <x:c r="D533" s="73"/>
      <x:c r="E533" s="73"/>
      <x:c r="F533" s="75"/>
      <x:c r="G533" s="75"/>
      <x:c r="H533" s="76" t="str">
        <x:f>IF(A533="","",F533-G533)</x:f>
      </x:c>
      <x:c r="I533" s="77" t="str">
        <x:f>IF(A533="","",IF(E533="","기타/불명",IF(IFERROR(SEARCH("급여",E533),0)&gt;0,"인건비",IF(IFERROR(SEARCH("임차",E533),0)&gt;0,"임차·시설",IF(IFERROR(SEARCH("광고",E533),0)&gt;0,"광고·행사",IF(IFERROR(SEARCH("용역",E533),0)&gt;0,"용역·수수료","기타/불명"))))))</x:f>
      </x:c>
      <x:c r="J533" s="77" t="str">
        <x:f>IF(A533="","",IF(I533="기타/불명","확인 필요","결의서명으로 1차 확인"))</x:f>
      </x:c>
      <x:c r="K533" s="78"/>
    </x:row>
    <x:row r="534">
      <x:c r="A534" s="73"/>
      <x:c r="B534" s="73"/>
      <x:c r="C534" s="74"/>
      <x:c r="D534" s="73"/>
      <x:c r="E534" s="73"/>
      <x:c r="F534" s="75"/>
      <x:c r="G534" s="75"/>
      <x:c r="H534" s="76" t="str">
        <x:f>IF(A534="","",F534-G534)</x:f>
      </x:c>
      <x:c r="I534" s="77" t="str">
        <x:f>IF(A534="","",IF(E534="","기타/불명",IF(IFERROR(SEARCH("급여",E534),0)&gt;0,"인건비",IF(IFERROR(SEARCH("임차",E534),0)&gt;0,"임차·시설",IF(IFERROR(SEARCH("광고",E534),0)&gt;0,"광고·행사",IF(IFERROR(SEARCH("용역",E534),0)&gt;0,"용역·수수료","기타/불명"))))))</x:f>
      </x:c>
      <x:c r="J534" s="77" t="str">
        <x:f>IF(A534="","",IF(I534="기타/불명","확인 필요","결의서명으로 1차 확인"))</x:f>
      </x:c>
      <x:c r="K534" s="78"/>
    </x:row>
    <x:row r="535">
      <x:c r="A535" s="73"/>
      <x:c r="B535" s="73"/>
      <x:c r="C535" s="74"/>
      <x:c r="D535" s="73"/>
      <x:c r="E535" s="73"/>
      <x:c r="F535" s="75"/>
      <x:c r="G535" s="75"/>
      <x:c r="H535" s="76" t="str">
        <x:f>IF(A535="","",F535-G535)</x:f>
      </x:c>
      <x:c r="I535" s="77" t="str">
        <x:f>IF(A535="","",IF(E535="","기타/불명",IF(IFERROR(SEARCH("급여",E535),0)&gt;0,"인건비",IF(IFERROR(SEARCH("임차",E535),0)&gt;0,"임차·시설",IF(IFERROR(SEARCH("광고",E535),0)&gt;0,"광고·행사",IF(IFERROR(SEARCH("용역",E535),0)&gt;0,"용역·수수료","기타/불명"))))))</x:f>
      </x:c>
      <x:c r="J535" s="77" t="str">
        <x:f>IF(A535="","",IF(I535="기타/불명","확인 필요","결의서명으로 1차 확인"))</x:f>
      </x:c>
      <x:c r="K535" s="78"/>
    </x:row>
    <x:row r="536">
      <x:c r="A536" s="73"/>
      <x:c r="B536" s="73"/>
      <x:c r="C536" s="74"/>
      <x:c r="D536" s="73"/>
      <x:c r="E536" s="73"/>
      <x:c r="F536" s="75"/>
      <x:c r="G536" s="75"/>
      <x:c r="H536" s="76" t="str">
        <x:f>IF(A536="","",F536-G536)</x:f>
      </x:c>
      <x:c r="I536" s="77" t="str">
        <x:f>IF(A536="","",IF(E536="","기타/불명",IF(IFERROR(SEARCH("급여",E536),0)&gt;0,"인건비",IF(IFERROR(SEARCH("임차",E536),0)&gt;0,"임차·시설",IF(IFERROR(SEARCH("광고",E536),0)&gt;0,"광고·행사",IF(IFERROR(SEARCH("용역",E536),0)&gt;0,"용역·수수료","기타/불명"))))))</x:f>
      </x:c>
      <x:c r="J536" s="77" t="str">
        <x:f>IF(A536="","",IF(I536="기타/불명","확인 필요","결의서명으로 1차 확인"))</x:f>
      </x:c>
      <x:c r="K536" s="78"/>
    </x:row>
    <x:row r="537">
      <x:c r="A537" s="73"/>
      <x:c r="B537" s="73"/>
      <x:c r="C537" s="74"/>
      <x:c r="D537" s="73"/>
      <x:c r="E537" s="73"/>
      <x:c r="F537" s="75"/>
      <x:c r="G537" s="75"/>
      <x:c r="H537" s="76" t="str">
        <x:f>IF(A537="","",F537-G537)</x:f>
      </x:c>
      <x:c r="I537" s="77" t="str">
        <x:f>IF(A537="","",IF(E537="","기타/불명",IF(IFERROR(SEARCH("급여",E537),0)&gt;0,"인건비",IF(IFERROR(SEARCH("임차",E537),0)&gt;0,"임차·시설",IF(IFERROR(SEARCH("광고",E537),0)&gt;0,"광고·행사",IF(IFERROR(SEARCH("용역",E537),0)&gt;0,"용역·수수료","기타/불명"))))))</x:f>
      </x:c>
      <x:c r="J537" s="77" t="str">
        <x:f>IF(A537="","",IF(I537="기타/불명","확인 필요","결의서명으로 1차 확인"))</x:f>
      </x:c>
      <x:c r="K537" s="78"/>
    </x:row>
    <x:row r="538">
      <x:c r="A538" s="73"/>
      <x:c r="B538" s="73"/>
      <x:c r="C538" s="74"/>
      <x:c r="D538" s="73"/>
      <x:c r="E538" s="73"/>
      <x:c r="F538" s="75"/>
      <x:c r="G538" s="75"/>
      <x:c r="H538" s="76" t="str">
        <x:f>IF(A538="","",F538-G538)</x:f>
      </x:c>
      <x:c r="I538" s="77" t="str">
        <x:f>IF(A538="","",IF(E538="","기타/불명",IF(IFERROR(SEARCH("급여",E538),0)&gt;0,"인건비",IF(IFERROR(SEARCH("임차",E538),0)&gt;0,"임차·시설",IF(IFERROR(SEARCH("광고",E538),0)&gt;0,"광고·행사",IF(IFERROR(SEARCH("용역",E538),0)&gt;0,"용역·수수료","기타/불명"))))))</x:f>
      </x:c>
      <x:c r="J538" s="77" t="str">
        <x:f>IF(A538="","",IF(I538="기타/불명","확인 필요","결의서명으로 1차 확인"))</x:f>
      </x:c>
      <x:c r="K538" s="78"/>
    </x:row>
    <x:row r="539">
      <x:c r="A539" s="73"/>
      <x:c r="B539" s="73"/>
      <x:c r="C539" s="74"/>
      <x:c r="D539" s="73"/>
      <x:c r="E539" s="73"/>
      <x:c r="F539" s="75"/>
      <x:c r="G539" s="75"/>
      <x:c r="H539" s="76" t="str">
        <x:f>IF(A539="","",F539-G539)</x:f>
      </x:c>
      <x:c r="I539" s="77" t="str">
        <x:f>IF(A539="","",IF(E539="","기타/불명",IF(IFERROR(SEARCH("급여",E539),0)&gt;0,"인건비",IF(IFERROR(SEARCH("임차",E539),0)&gt;0,"임차·시설",IF(IFERROR(SEARCH("광고",E539),0)&gt;0,"광고·행사",IF(IFERROR(SEARCH("용역",E539),0)&gt;0,"용역·수수료","기타/불명"))))))</x:f>
      </x:c>
      <x:c r="J539" s="77" t="str">
        <x:f>IF(A539="","",IF(I539="기타/불명","확인 필요","결의서명으로 1차 확인"))</x:f>
      </x:c>
      <x:c r="K539" s="78"/>
    </x:row>
    <x:row r="540">
      <x:c r="A540" s="73"/>
      <x:c r="B540" s="73"/>
      <x:c r="C540" s="74"/>
      <x:c r="D540" s="73"/>
      <x:c r="E540" s="73"/>
      <x:c r="F540" s="75"/>
      <x:c r="G540" s="75"/>
      <x:c r="H540" s="76" t="str">
        <x:f>IF(A540="","",F540-G540)</x:f>
      </x:c>
      <x:c r="I540" s="77" t="str">
        <x:f>IF(A540="","",IF(E540="","기타/불명",IF(IFERROR(SEARCH("급여",E540),0)&gt;0,"인건비",IF(IFERROR(SEARCH("임차",E540),0)&gt;0,"임차·시설",IF(IFERROR(SEARCH("광고",E540),0)&gt;0,"광고·행사",IF(IFERROR(SEARCH("용역",E540),0)&gt;0,"용역·수수료","기타/불명"))))))</x:f>
      </x:c>
      <x:c r="J540" s="77" t="str">
        <x:f>IF(A540="","",IF(I540="기타/불명","확인 필요","결의서명으로 1차 확인"))</x:f>
      </x:c>
      <x:c r="K540" s="78"/>
    </x:row>
    <x:row r="541">
      <x:c r="A541" s="73"/>
      <x:c r="B541" s="73"/>
      <x:c r="C541" s="74"/>
      <x:c r="D541" s="73"/>
      <x:c r="E541" s="73"/>
      <x:c r="F541" s="75"/>
      <x:c r="G541" s="75"/>
      <x:c r="H541" s="76" t="str">
        <x:f>IF(A541="","",F541-G541)</x:f>
      </x:c>
      <x:c r="I541" s="77" t="str">
        <x:f>IF(A541="","",IF(E541="","기타/불명",IF(IFERROR(SEARCH("급여",E541),0)&gt;0,"인건비",IF(IFERROR(SEARCH("임차",E541),0)&gt;0,"임차·시설",IF(IFERROR(SEARCH("광고",E541),0)&gt;0,"광고·행사",IF(IFERROR(SEARCH("용역",E541),0)&gt;0,"용역·수수료","기타/불명"))))))</x:f>
      </x:c>
      <x:c r="J541" s="77" t="str">
        <x:f>IF(A541="","",IF(I541="기타/불명","확인 필요","결의서명으로 1차 확인"))</x:f>
      </x:c>
      <x:c r="K541" s="78"/>
    </x:row>
    <x:row r="542">
      <x:c r="A542" s="73"/>
      <x:c r="B542" s="73"/>
      <x:c r="C542" s="74"/>
      <x:c r="D542" s="73"/>
      <x:c r="E542" s="73"/>
      <x:c r="F542" s="75"/>
      <x:c r="G542" s="75"/>
      <x:c r="H542" s="76" t="str">
        <x:f>IF(A542="","",F542-G542)</x:f>
      </x:c>
      <x:c r="I542" s="77" t="str">
        <x:f>IF(A542="","",IF(E542="","기타/불명",IF(IFERROR(SEARCH("급여",E542),0)&gt;0,"인건비",IF(IFERROR(SEARCH("임차",E542),0)&gt;0,"임차·시설",IF(IFERROR(SEARCH("광고",E542),0)&gt;0,"광고·행사",IF(IFERROR(SEARCH("용역",E542),0)&gt;0,"용역·수수료","기타/불명"))))))</x:f>
      </x:c>
      <x:c r="J542" s="77" t="str">
        <x:f>IF(A542="","",IF(I542="기타/불명","확인 필요","결의서명으로 1차 확인"))</x:f>
      </x:c>
      <x:c r="K542" s="78"/>
    </x:row>
    <x:row r="543">
      <x:c r="A543" s="73"/>
      <x:c r="B543" s="73"/>
      <x:c r="C543" s="74"/>
      <x:c r="D543" s="73"/>
      <x:c r="E543" s="73"/>
      <x:c r="F543" s="75"/>
      <x:c r="G543" s="75"/>
      <x:c r="H543" s="76" t="str">
        <x:f>IF(A543="","",F543-G543)</x:f>
      </x:c>
      <x:c r="I543" s="77" t="str">
        <x:f>IF(A543="","",IF(E543="","기타/불명",IF(IFERROR(SEARCH("급여",E543),0)&gt;0,"인건비",IF(IFERROR(SEARCH("임차",E543),0)&gt;0,"임차·시설",IF(IFERROR(SEARCH("광고",E543),0)&gt;0,"광고·행사",IF(IFERROR(SEARCH("용역",E543),0)&gt;0,"용역·수수료","기타/불명"))))))</x:f>
      </x:c>
      <x:c r="J543" s="77" t="str">
        <x:f>IF(A543="","",IF(I543="기타/불명","확인 필요","결의서명으로 1차 확인"))</x:f>
      </x:c>
      <x:c r="K543" s="78"/>
    </x:row>
    <x:row r="544">
      <x:c r="A544" s="73"/>
      <x:c r="B544" s="73"/>
      <x:c r="C544" s="74"/>
      <x:c r="D544" s="73"/>
      <x:c r="E544" s="73"/>
      <x:c r="F544" s="75"/>
      <x:c r="G544" s="75"/>
      <x:c r="H544" s="76" t="str">
        <x:f>IF(A544="","",F544-G544)</x:f>
      </x:c>
      <x:c r="I544" s="77" t="str">
        <x:f>IF(A544="","",IF(E544="","기타/불명",IF(IFERROR(SEARCH("급여",E544),0)&gt;0,"인건비",IF(IFERROR(SEARCH("임차",E544),0)&gt;0,"임차·시설",IF(IFERROR(SEARCH("광고",E544),0)&gt;0,"광고·행사",IF(IFERROR(SEARCH("용역",E544),0)&gt;0,"용역·수수료","기타/불명"))))))</x:f>
      </x:c>
      <x:c r="J544" s="77" t="str">
        <x:f>IF(A544="","",IF(I544="기타/불명","확인 필요","결의서명으로 1차 확인"))</x:f>
      </x:c>
      <x:c r="K544" s="78"/>
    </x:row>
    <x:row r="545">
      <x:c r="A545" s="73"/>
      <x:c r="B545" s="73"/>
      <x:c r="C545" s="74"/>
      <x:c r="D545" s="73"/>
      <x:c r="E545" s="73"/>
      <x:c r="F545" s="75"/>
      <x:c r="G545" s="75"/>
      <x:c r="H545" s="76" t="str">
        <x:f>IF(A545="","",F545-G545)</x:f>
      </x:c>
      <x:c r="I545" s="77" t="str">
        <x:f>IF(A545="","",IF(E545="","기타/불명",IF(IFERROR(SEARCH("급여",E545),0)&gt;0,"인건비",IF(IFERROR(SEARCH("임차",E545),0)&gt;0,"임차·시설",IF(IFERROR(SEARCH("광고",E545),0)&gt;0,"광고·행사",IF(IFERROR(SEARCH("용역",E545),0)&gt;0,"용역·수수료","기타/불명"))))))</x:f>
      </x:c>
      <x:c r="J545" s="77" t="str">
        <x:f>IF(A545="","",IF(I545="기타/불명","확인 필요","결의서명으로 1차 확인"))</x:f>
      </x:c>
      <x:c r="K545" s="78"/>
    </x:row>
    <x:row r="546">
      <x:c r="A546" s="73"/>
      <x:c r="B546" s="73"/>
      <x:c r="C546" s="74"/>
      <x:c r="D546" s="73"/>
      <x:c r="E546" s="73"/>
      <x:c r="F546" s="75"/>
      <x:c r="G546" s="75"/>
      <x:c r="H546" s="76" t="str">
        <x:f>IF(A546="","",F546-G546)</x:f>
      </x:c>
      <x:c r="I546" s="77" t="str">
        <x:f>IF(A546="","",IF(E546="","기타/불명",IF(IFERROR(SEARCH("급여",E546),0)&gt;0,"인건비",IF(IFERROR(SEARCH("임차",E546),0)&gt;0,"임차·시설",IF(IFERROR(SEARCH("광고",E546),0)&gt;0,"광고·행사",IF(IFERROR(SEARCH("용역",E546),0)&gt;0,"용역·수수료","기타/불명"))))))</x:f>
      </x:c>
      <x:c r="J546" s="77" t="str">
        <x:f>IF(A546="","",IF(I546="기타/불명","확인 필요","결의서명으로 1차 확인"))</x:f>
      </x:c>
      <x:c r="K546" s="78"/>
    </x:row>
    <x:row r="547">
      <x:c r="A547" s="73"/>
      <x:c r="B547" s="73"/>
      <x:c r="C547" s="74"/>
      <x:c r="D547" s="73"/>
      <x:c r="E547" s="73"/>
      <x:c r="F547" s="75"/>
      <x:c r="G547" s="75"/>
      <x:c r="H547" s="76" t="str">
        <x:f>IF(A547="","",F547-G547)</x:f>
      </x:c>
      <x:c r="I547" s="77" t="str">
        <x:f>IF(A547="","",IF(E547="","기타/불명",IF(IFERROR(SEARCH("급여",E547),0)&gt;0,"인건비",IF(IFERROR(SEARCH("임차",E547),0)&gt;0,"임차·시설",IF(IFERROR(SEARCH("광고",E547),0)&gt;0,"광고·행사",IF(IFERROR(SEARCH("용역",E547),0)&gt;0,"용역·수수료","기타/불명"))))))</x:f>
      </x:c>
      <x:c r="J547" s="77" t="str">
        <x:f>IF(A547="","",IF(I547="기타/불명","확인 필요","결의서명으로 1차 확인"))</x:f>
      </x:c>
      <x:c r="K547" s="78"/>
    </x:row>
    <x:row r="548">
      <x:c r="A548" s="73"/>
      <x:c r="B548" s="73"/>
      <x:c r="C548" s="74"/>
      <x:c r="D548" s="73"/>
      <x:c r="E548" s="73"/>
      <x:c r="F548" s="75"/>
      <x:c r="G548" s="75"/>
      <x:c r="H548" s="76" t="str">
        <x:f>IF(A548="","",F548-G548)</x:f>
      </x:c>
      <x:c r="I548" s="77" t="str">
        <x:f>IF(A548="","",IF(E548="","기타/불명",IF(IFERROR(SEARCH("급여",E548),0)&gt;0,"인건비",IF(IFERROR(SEARCH("임차",E548),0)&gt;0,"임차·시설",IF(IFERROR(SEARCH("광고",E548),0)&gt;0,"광고·행사",IF(IFERROR(SEARCH("용역",E548),0)&gt;0,"용역·수수료","기타/불명"))))))</x:f>
      </x:c>
      <x:c r="J548" s="77" t="str">
        <x:f>IF(A548="","",IF(I548="기타/불명","확인 필요","결의서명으로 1차 확인"))</x:f>
      </x:c>
      <x:c r="K548" s="78"/>
    </x:row>
    <x:row r="549">
      <x:c r="A549" s="73"/>
      <x:c r="B549" s="73"/>
      <x:c r="C549" s="74"/>
      <x:c r="D549" s="73"/>
      <x:c r="E549" s="73"/>
      <x:c r="F549" s="75"/>
      <x:c r="G549" s="75"/>
      <x:c r="H549" s="76" t="str">
        <x:f>IF(A549="","",F549-G549)</x:f>
      </x:c>
      <x:c r="I549" s="77" t="str">
        <x:f>IF(A549="","",IF(E549="","기타/불명",IF(IFERROR(SEARCH("급여",E549),0)&gt;0,"인건비",IF(IFERROR(SEARCH("임차",E549),0)&gt;0,"임차·시설",IF(IFERROR(SEARCH("광고",E549),0)&gt;0,"광고·행사",IF(IFERROR(SEARCH("용역",E549),0)&gt;0,"용역·수수료","기타/불명"))))))</x:f>
      </x:c>
      <x:c r="J549" s="77" t="str">
        <x:f>IF(A549="","",IF(I549="기타/불명","확인 필요","결의서명으로 1차 확인"))</x:f>
      </x:c>
      <x:c r="K549" s="78"/>
    </x:row>
    <x:row r="550">
      <x:c r="A550" s="73"/>
      <x:c r="B550" s="73"/>
      <x:c r="C550" s="74"/>
      <x:c r="D550" s="73"/>
      <x:c r="E550" s="73"/>
      <x:c r="F550" s="75"/>
      <x:c r="G550" s="75"/>
      <x:c r="H550" s="76" t="str">
        <x:f>IF(A550="","",F550-G550)</x:f>
      </x:c>
      <x:c r="I550" s="77" t="str">
        <x:f>IF(A550="","",IF(E550="","기타/불명",IF(IFERROR(SEARCH("급여",E550),0)&gt;0,"인건비",IF(IFERROR(SEARCH("임차",E550),0)&gt;0,"임차·시설",IF(IFERROR(SEARCH("광고",E550),0)&gt;0,"광고·행사",IF(IFERROR(SEARCH("용역",E550),0)&gt;0,"용역·수수료","기타/불명"))))))</x:f>
      </x:c>
      <x:c r="J550" s="77" t="str">
        <x:f>IF(A550="","",IF(I550="기타/불명","확인 필요","결의서명으로 1차 확인"))</x:f>
      </x:c>
      <x:c r="K550" s="78"/>
    </x:row>
    <x:row r="551">
      <x:c r="A551" s="73"/>
      <x:c r="B551" s="73"/>
      <x:c r="C551" s="74"/>
      <x:c r="D551" s="73"/>
      <x:c r="E551" s="73"/>
      <x:c r="F551" s="75"/>
      <x:c r="G551" s="75"/>
      <x:c r="H551" s="76" t="str">
        <x:f>IF(A551="","",F551-G551)</x:f>
      </x:c>
      <x:c r="I551" s="77" t="str">
        <x:f>IF(A551="","",IF(E551="","기타/불명",IF(IFERROR(SEARCH("급여",E551),0)&gt;0,"인건비",IF(IFERROR(SEARCH("임차",E551),0)&gt;0,"임차·시설",IF(IFERROR(SEARCH("광고",E551),0)&gt;0,"광고·행사",IF(IFERROR(SEARCH("용역",E551),0)&gt;0,"용역·수수료","기타/불명"))))))</x:f>
      </x:c>
      <x:c r="J551" s="77" t="str">
        <x:f>IF(A551="","",IF(I551="기타/불명","확인 필요","결의서명으로 1차 확인"))</x:f>
      </x:c>
      <x:c r="K551" s="78"/>
    </x:row>
    <x:row r="552">
      <x:c r="A552" s="73"/>
      <x:c r="B552" s="73"/>
      <x:c r="C552" s="74"/>
      <x:c r="D552" s="73"/>
      <x:c r="E552" s="73"/>
      <x:c r="F552" s="75"/>
      <x:c r="G552" s="75"/>
      <x:c r="H552" s="76" t="str">
        <x:f>IF(A552="","",F552-G552)</x:f>
      </x:c>
      <x:c r="I552" s="77" t="str">
        <x:f>IF(A552="","",IF(E552="","기타/불명",IF(IFERROR(SEARCH("급여",E552),0)&gt;0,"인건비",IF(IFERROR(SEARCH("임차",E552),0)&gt;0,"임차·시설",IF(IFERROR(SEARCH("광고",E552),0)&gt;0,"광고·행사",IF(IFERROR(SEARCH("용역",E552),0)&gt;0,"용역·수수료","기타/불명"))))))</x:f>
      </x:c>
      <x:c r="J552" s="77" t="str">
        <x:f>IF(A552="","",IF(I552="기타/불명","확인 필요","결의서명으로 1차 확인"))</x:f>
      </x:c>
      <x:c r="K552" s="78"/>
    </x:row>
    <x:row r="553">
      <x:c r="A553" s="73"/>
      <x:c r="B553" s="73"/>
      <x:c r="C553" s="74"/>
      <x:c r="D553" s="73"/>
      <x:c r="E553" s="73"/>
      <x:c r="F553" s="75"/>
      <x:c r="G553" s="75"/>
      <x:c r="H553" s="76" t="str">
        <x:f>IF(A553="","",F553-G553)</x:f>
      </x:c>
      <x:c r="I553" s="77" t="str">
        <x:f>IF(A553="","",IF(E553="","기타/불명",IF(IFERROR(SEARCH("급여",E553),0)&gt;0,"인건비",IF(IFERROR(SEARCH("임차",E553),0)&gt;0,"임차·시설",IF(IFERROR(SEARCH("광고",E553),0)&gt;0,"광고·행사",IF(IFERROR(SEARCH("용역",E553),0)&gt;0,"용역·수수료","기타/불명"))))))</x:f>
      </x:c>
      <x:c r="J553" s="77" t="str">
        <x:f>IF(A553="","",IF(I553="기타/불명","확인 필요","결의서명으로 1차 확인"))</x:f>
      </x:c>
      <x:c r="K553" s="78"/>
    </x:row>
    <x:row r="554">
      <x:c r="A554" s="73"/>
      <x:c r="B554" s="73"/>
      <x:c r="C554" s="74"/>
      <x:c r="D554" s="73"/>
      <x:c r="E554" s="73"/>
      <x:c r="F554" s="75"/>
      <x:c r="G554" s="75"/>
      <x:c r="H554" s="76" t="str">
        <x:f>IF(A554="","",F554-G554)</x:f>
      </x:c>
      <x:c r="I554" s="77" t="str">
        <x:f>IF(A554="","",IF(E554="","기타/불명",IF(IFERROR(SEARCH("급여",E554),0)&gt;0,"인건비",IF(IFERROR(SEARCH("임차",E554),0)&gt;0,"임차·시설",IF(IFERROR(SEARCH("광고",E554),0)&gt;0,"광고·행사",IF(IFERROR(SEARCH("용역",E554),0)&gt;0,"용역·수수료","기타/불명"))))))</x:f>
      </x:c>
      <x:c r="J554" s="77" t="str">
        <x:f>IF(A554="","",IF(I554="기타/불명","확인 필요","결의서명으로 1차 확인"))</x:f>
      </x:c>
      <x:c r="K554" s="78"/>
    </x:row>
    <x:row r="555">
      <x:c r="A555" s="73"/>
      <x:c r="B555" s="73"/>
      <x:c r="C555" s="74"/>
      <x:c r="D555" s="73"/>
      <x:c r="E555" s="73"/>
      <x:c r="F555" s="75"/>
      <x:c r="G555" s="75"/>
      <x:c r="H555" s="76" t="str">
        <x:f>IF(A555="","",F555-G555)</x:f>
      </x:c>
      <x:c r="I555" s="77" t="str">
        <x:f>IF(A555="","",IF(E555="","기타/불명",IF(IFERROR(SEARCH("급여",E555),0)&gt;0,"인건비",IF(IFERROR(SEARCH("임차",E555),0)&gt;0,"임차·시설",IF(IFERROR(SEARCH("광고",E555),0)&gt;0,"광고·행사",IF(IFERROR(SEARCH("용역",E555),0)&gt;0,"용역·수수료","기타/불명"))))))</x:f>
      </x:c>
      <x:c r="J555" s="77" t="str">
        <x:f>IF(A555="","",IF(I555="기타/불명","확인 필요","결의서명으로 1차 확인"))</x:f>
      </x:c>
      <x:c r="K555" s="78"/>
    </x:row>
    <x:row r="556">
      <x:c r="A556" s="73"/>
      <x:c r="B556" s="73"/>
      <x:c r="C556" s="74"/>
      <x:c r="D556" s="73"/>
      <x:c r="E556" s="73"/>
      <x:c r="F556" s="75"/>
      <x:c r="G556" s="75"/>
      <x:c r="H556" s="76" t="str">
        <x:f>IF(A556="","",F556-G556)</x:f>
      </x:c>
      <x:c r="I556" s="77" t="str">
        <x:f>IF(A556="","",IF(E556="","기타/불명",IF(IFERROR(SEARCH("급여",E556),0)&gt;0,"인건비",IF(IFERROR(SEARCH("임차",E556),0)&gt;0,"임차·시설",IF(IFERROR(SEARCH("광고",E556),0)&gt;0,"광고·행사",IF(IFERROR(SEARCH("용역",E556),0)&gt;0,"용역·수수료","기타/불명"))))))</x:f>
      </x:c>
      <x:c r="J556" s="77" t="str">
        <x:f>IF(A556="","",IF(I556="기타/불명","확인 필요","결의서명으로 1차 확인"))</x:f>
      </x:c>
      <x:c r="K556" s="78"/>
    </x:row>
    <x:row r="557">
      <x:c r="A557" s="73"/>
      <x:c r="B557" s="73"/>
      <x:c r="C557" s="74"/>
      <x:c r="D557" s="73"/>
      <x:c r="E557" s="73"/>
      <x:c r="F557" s="75"/>
      <x:c r="G557" s="75"/>
      <x:c r="H557" s="76" t="str">
        <x:f>IF(A557="","",F557-G557)</x:f>
      </x:c>
      <x:c r="I557" s="77" t="str">
        <x:f>IF(A557="","",IF(E557="","기타/불명",IF(IFERROR(SEARCH("급여",E557),0)&gt;0,"인건비",IF(IFERROR(SEARCH("임차",E557),0)&gt;0,"임차·시설",IF(IFERROR(SEARCH("광고",E557),0)&gt;0,"광고·행사",IF(IFERROR(SEARCH("용역",E557),0)&gt;0,"용역·수수료","기타/불명"))))))</x:f>
      </x:c>
      <x:c r="J557" s="77" t="str">
        <x:f>IF(A557="","",IF(I557="기타/불명","확인 필요","결의서명으로 1차 확인"))</x:f>
      </x:c>
      <x:c r="K557" s="78"/>
    </x:row>
    <x:row r="558">
      <x:c r="A558" s="73"/>
      <x:c r="B558" s="73"/>
      <x:c r="C558" s="74"/>
      <x:c r="D558" s="73"/>
      <x:c r="E558" s="73"/>
      <x:c r="F558" s="75"/>
      <x:c r="G558" s="75"/>
      <x:c r="H558" s="76" t="str">
        <x:f>IF(A558="","",F558-G558)</x:f>
      </x:c>
      <x:c r="I558" s="77" t="str">
        <x:f>IF(A558="","",IF(E558="","기타/불명",IF(IFERROR(SEARCH("급여",E558),0)&gt;0,"인건비",IF(IFERROR(SEARCH("임차",E558),0)&gt;0,"임차·시설",IF(IFERROR(SEARCH("광고",E558),0)&gt;0,"광고·행사",IF(IFERROR(SEARCH("용역",E558),0)&gt;0,"용역·수수료","기타/불명"))))))</x:f>
      </x:c>
      <x:c r="J558" s="77" t="str">
        <x:f>IF(A558="","",IF(I558="기타/불명","확인 필요","결의서명으로 1차 확인"))</x:f>
      </x:c>
      <x:c r="K558" s="78"/>
    </x:row>
    <x:row r="559">
      <x:c r="A559" s="73"/>
      <x:c r="B559" s="73"/>
      <x:c r="C559" s="74"/>
      <x:c r="D559" s="73"/>
      <x:c r="E559" s="73"/>
      <x:c r="F559" s="75"/>
      <x:c r="G559" s="75"/>
      <x:c r="H559" s="76" t="str">
        <x:f>IF(A559="","",F559-G559)</x:f>
      </x:c>
      <x:c r="I559" s="77" t="str">
        <x:f>IF(A559="","",IF(E559="","기타/불명",IF(IFERROR(SEARCH("급여",E559),0)&gt;0,"인건비",IF(IFERROR(SEARCH("임차",E559),0)&gt;0,"임차·시설",IF(IFERROR(SEARCH("광고",E559),0)&gt;0,"광고·행사",IF(IFERROR(SEARCH("용역",E559),0)&gt;0,"용역·수수료","기타/불명"))))))</x:f>
      </x:c>
      <x:c r="J559" s="77" t="str">
        <x:f>IF(A559="","",IF(I559="기타/불명","확인 필요","결의서명으로 1차 확인"))</x:f>
      </x:c>
      <x:c r="K559" s="78"/>
    </x:row>
    <x:row r="560">
      <x:c r="A560" s="73"/>
      <x:c r="B560" s="73"/>
      <x:c r="C560" s="74"/>
      <x:c r="D560" s="73"/>
      <x:c r="E560" s="73"/>
      <x:c r="F560" s="75"/>
      <x:c r="G560" s="75"/>
      <x:c r="H560" s="76" t="str">
        <x:f>IF(A560="","",F560-G560)</x:f>
      </x:c>
      <x:c r="I560" s="77" t="str">
        <x:f>IF(A560="","",IF(E560="","기타/불명",IF(IFERROR(SEARCH("급여",E560),0)&gt;0,"인건비",IF(IFERROR(SEARCH("임차",E560),0)&gt;0,"임차·시설",IF(IFERROR(SEARCH("광고",E560),0)&gt;0,"광고·행사",IF(IFERROR(SEARCH("용역",E560),0)&gt;0,"용역·수수료","기타/불명"))))))</x:f>
      </x:c>
      <x:c r="J560" s="77" t="str">
        <x:f>IF(A560="","",IF(I560="기타/불명","확인 필요","결의서명으로 1차 확인"))</x:f>
      </x:c>
      <x:c r="K560" s="78"/>
    </x:row>
    <x:row r="561">
      <x:c r="A561" s="73"/>
      <x:c r="B561" s="73"/>
      <x:c r="C561" s="74"/>
      <x:c r="D561" s="73"/>
      <x:c r="E561" s="73"/>
      <x:c r="F561" s="75"/>
      <x:c r="G561" s="75"/>
      <x:c r="H561" s="76" t="str">
        <x:f>IF(A561="","",F561-G561)</x:f>
      </x:c>
      <x:c r="I561" s="77" t="str">
        <x:f>IF(A561="","",IF(E561="","기타/불명",IF(IFERROR(SEARCH("급여",E561),0)&gt;0,"인건비",IF(IFERROR(SEARCH("임차",E561),0)&gt;0,"임차·시설",IF(IFERROR(SEARCH("광고",E561),0)&gt;0,"광고·행사",IF(IFERROR(SEARCH("용역",E561),0)&gt;0,"용역·수수료","기타/불명"))))))</x:f>
      </x:c>
      <x:c r="J561" s="77" t="str">
        <x:f>IF(A561="","",IF(I561="기타/불명","확인 필요","결의서명으로 1차 확인"))</x:f>
      </x:c>
      <x:c r="K561" s="78"/>
    </x:row>
    <x:row r="562">
      <x:c r="A562" s="73"/>
      <x:c r="B562" s="73"/>
      <x:c r="C562" s="74"/>
      <x:c r="D562" s="73"/>
      <x:c r="E562" s="73"/>
      <x:c r="F562" s="75"/>
      <x:c r="G562" s="75"/>
      <x:c r="H562" s="76" t="str">
        <x:f>IF(A562="","",F562-G562)</x:f>
      </x:c>
      <x:c r="I562" s="77" t="str">
        <x:f>IF(A562="","",IF(E562="","기타/불명",IF(IFERROR(SEARCH("급여",E562),0)&gt;0,"인건비",IF(IFERROR(SEARCH("임차",E562),0)&gt;0,"임차·시설",IF(IFERROR(SEARCH("광고",E562),0)&gt;0,"광고·행사",IF(IFERROR(SEARCH("용역",E562),0)&gt;0,"용역·수수료","기타/불명"))))))</x:f>
      </x:c>
      <x:c r="J562" s="77" t="str">
        <x:f>IF(A562="","",IF(I562="기타/불명","확인 필요","결의서명으로 1차 확인"))</x:f>
      </x:c>
      <x:c r="K562" s="78"/>
    </x:row>
    <x:row r="563">
      <x:c r="A563" s="73"/>
      <x:c r="B563" s="73"/>
      <x:c r="C563" s="74"/>
      <x:c r="D563" s="73"/>
      <x:c r="E563" s="73"/>
      <x:c r="F563" s="75"/>
      <x:c r="G563" s="75"/>
      <x:c r="H563" s="76" t="str">
        <x:f>IF(A563="","",F563-G563)</x:f>
      </x:c>
      <x:c r="I563" s="77" t="str">
        <x:f>IF(A563="","",IF(E563="","기타/불명",IF(IFERROR(SEARCH("급여",E563),0)&gt;0,"인건비",IF(IFERROR(SEARCH("임차",E563),0)&gt;0,"임차·시설",IF(IFERROR(SEARCH("광고",E563),0)&gt;0,"광고·행사",IF(IFERROR(SEARCH("용역",E563),0)&gt;0,"용역·수수료","기타/불명"))))))</x:f>
      </x:c>
      <x:c r="J563" s="77" t="str">
        <x:f>IF(A563="","",IF(I563="기타/불명","확인 필요","결의서명으로 1차 확인"))</x:f>
      </x:c>
      <x:c r="K563" s="78"/>
    </x:row>
    <x:row r="564">
      <x:c r="A564" s="73"/>
      <x:c r="B564" s="73"/>
      <x:c r="C564" s="74"/>
      <x:c r="D564" s="73"/>
      <x:c r="E564" s="73"/>
      <x:c r="F564" s="75"/>
      <x:c r="G564" s="75"/>
      <x:c r="H564" s="76" t="str">
        <x:f>IF(A564="","",F564-G564)</x:f>
      </x:c>
      <x:c r="I564" s="77" t="str">
        <x:f>IF(A564="","",IF(E564="","기타/불명",IF(IFERROR(SEARCH("급여",E564),0)&gt;0,"인건비",IF(IFERROR(SEARCH("임차",E564),0)&gt;0,"임차·시설",IF(IFERROR(SEARCH("광고",E564),0)&gt;0,"광고·행사",IF(IFERROR(SEARCH("용역",E564),0)&gt;0,"용역·수수료","기타/불명"))))))</x:f>
      </x:c>
      <x:c r="J564" s="77" t="str">
        <x:f>IF(A564="","",IF(I564="기타/불명","확인 필요","결의서명으로 1차 확인"))</x:f>
      </x:c>
      <x:c r="K564" s="78"/>
    </x:row>
    <x:row r="565">
      <x:c r="A565" s="73"/>
      <x:c r="B565" s="73"/>
      <x:c r="C565" s="74"/>
      <x:c r="D565" s="73"/>
      <x:c r="E565" s="73"/>
      <x:c r="F565" s="75"/>
      <x:c r="G565" s="75"/>
      <x:c r="H565" s="76" t="str">
        <x:f>IF(A565="","",F565-G565)</x:f>
      </x:c>
      <x:c r="I565" s="77" t="str">
        <x:f>IF(A565="","",IF(E565="","기타/불명",IF(IFERROR(SEARCH("급여",E565),0)&gt;0,"인건비",IF(IFERROR(SEARCH("임차",E565),0)&gt;0,"임차·시설",IF(IFERROR(SEARCH("광고",E565),0)&gt;0,"광고·행사",IF(IFERROR(SEARCH("용역",E565),0)&gt;0,"용역·수수료","기타/불명"))))))</x:f>
      </x:c>
      <x:c r="J565" s="77" t="str">
        <x:f>IF(A565="","",IF(I565="기타/불명","확인 필요","결의서명으로 1차 확인"))</x:f>
      </x:c>
      <x:c r="K565" s="78"/>
    </x:row>
    <x:row r="566">
      <x:c r="A566" s="73"/>
      <x:c r="B566" s="73"/>
      <x:c r="C566" s="74"/>
      <x:c r="D566" s="73"/>
      <x:c r="E566" s="73"/>
      <x:c r="F566" s="75"/>
      <x:c r="G566" s="75"/>
      <x:c r="H566" s="76" t="str">
        <x:f>IF(A566="","",F566-G566)</x:f>
      </x:c>
      <x:c r="I566" s="77" t="str">
        <x:f>IF(A566="","",IF(E566="","기타/불명",IF(IFERROR(SEARCH("급여",E566),0)&gt;0,"인건비",IF(IFERROR(SEARCH("임차",E566),0)&gt;0,"임차·시설",IF(IFERROR(SEARCH("광고",E566),0)&gt;0,"광고·행사",IF(IFERROR(SEARCH("용역",E566),0)&gt;0,"용역·수수료","기타/불명"))))))</x:f>
      </x:c>
      <x:c r="J566" s="77" t="str">
        <x:f>IF(A566="","",IF(I566="기타/불명","확인 필요","결의서명으로 1차 확인"))</x:f>
      </x:c>
      <x:c r="K566" s="78"/>
    </x:row>
    <x:row r="567">
      <x:c r="A567" s="73"/>
      <x:c r="B567" s="73"/>
      <x:c r="C567" s="74"/>
      <x:c r="D567" s="73"/>
      <x:c r="E567" s="73"/>
      <x:c r="F567" s="75"/>
      <x:c r="G567" s="75"/>
      <x:c r="H567" s="76" t="str">
        <x:f>IF(A567="","",F567-G567)</x:f>
      </x:c>
      <x:c r="I567" s="77" t="str">
        <x:f>IF(A567="","",IF(E567="","기타/불명",IF(IFERROR(SEARCH("급여",E567),0)&gt;0,"인건비",IF(IFERROR(SEARCH("임차",E567),0)&gt;0,"임차·시설",IF(IFERROR(SEARCH("광고",E567),0)&gt;0,"광고·행사",IF(IFERROR(SEARCH("용역",E567),0)&gt;0,"용역·수수료","기타/불명"))))))</x:f>
      </x:c>
      <x:c r="J567" s="77" t="str">
        <x:f>IF(A567="","",IF(I567="기타/불명","확인 필요","결의서명으로 1차 확인"))</x:f>
      </x:c>
      <x:c r="K567" s="78"/>
    </x:row>
    <x:row r="568">
      <x:c r="A568" s="73"/>
      <x:c r="B568" s="73"/>
      <x:c r="C568" s="74"/>
      <x:c r="D568" s="73"/>
      <x:c r="E568" s="73"/>
      <x:c r="F568" s="75"/>
      <x:c r="G568" s="75"/>
      <x:c r="H568" s="76" t="str">
        <x:f>IF(A568="","",F568-G568)</x:f>
      </x:c>
      <x:c r="I568" s="77" t="str">
        <x:f>IF(A568="","",IF(E568="","기타/불명",IF(IFERROR(SEARCH("급여",E568),0)&gt;0,"인건비",IF(IFERROR(SEARCH("임차",E568),0)&gt;0,"임차·시설",IF(IFERROR(SEARCH("광고",E568),0)&gt;0,"광고·행사",IF(IFERROR(SEARCH("용역",E568),0)&gt;0,"용역·수수료","기타/불명"))))))</x:f>
      </x:c>
      <x:c r="J568" s="77" t="str">
        <x:f>IF(A568="","",IF(I568="기타/불명","확인 필요","결의서명으로 1차 확인"))</x:f>
      </x:c>
      <x:c r="K568" s="78"/>
    </x:row>
    <x:row r="569">
      <x:c r="A569" s="73"/>
      <x:c r="B569" s="73"/>
      <x:c r="C569" s="74"/>
      <x:c r="D569" s="73"/>
      <x:c r="E569" s="73"/>
      <x:c r="F569" s="75"/>
      <x:c r="G569" s="75"/>
      <x:c r="H569" s="76" t="str">
        <x:f>IF(A569="","",F569-G569)</x:f>
      </x:c>
      <x:c r="I569" s="77" t="str">
        <x:f>IF(A569="","",IF(E569="","기타/불명",IF(IFERROR(SEARCH("급여",E569),0)&gt;0,"인건비",IF(IFERROR(SEARCH("임차",E569),0)&gt;0,"임차·시설",IF(IFERROR(SEARCH("광고",E569),0)&gt;0,"광고·행사",IF(IFERROR(SEARCH("용역",E569),0)&gt;0,"용역·수수료","기타/불명"))))))</x:f>
      </x:c>
      <x:c r="J569" s="77" t="str">
        <x:f>IF(A569="","",IF(I569="기타/불명","확인 필요","결의서명으로 1차 확인"))</x:f>
      </x:c>
      <x:c r="K569" s="78"/>
    </x:row>
    <x:row r="570">
      <x:c r="A570" s="73"/>
      <x:c r="B570" s="73"/>
      <x:c r="C570" s="74"/>
      <x:c r="D570" s="73"/>
      <x:c r="E570" s="73"/>
      <x:c r="F570" s="75"/>
      <x:c r="G570" s="75"/>
      <x:c r="H570" s="76" t="str">
        <x:f>IF(A570="","",F570-G570)</x:f>
      </x:c>
      <x:c r="I570" s="77" t="str">
        <x:f>IF(A570="","",IF(E570="","기타/불명",IF(IFERROR(SEARCH("급여",E570),0)&gt;0,"인건비",IF(IFERROR(SEARCH("임차",E570),0)&gt;0,"임차·시설",IF(IFERROR(SEARCH("광고",E570),0)&gt;0,"광고·행사",IF(IFERROR(SEARCH("용역",E570),0)&gt;0,"용역·수수료","기타/불명"))))))</x:f>
      </x:c>
      <x:c r="J570" s="77" t="str">
        <x:f>IF(A570="","",IF(I570="기타/불명","확인 필요","결의서명으로 1차 확인"))</x:f>
      </x:c>
      <x:c r="K570" s="78"/>
    </x:row>
    <x:row r="571">
      <x:c r="A571" s="73"/>
      <x:c r="B571" s="73"/>
      <x:c r="C571" s="74"/>
      <x:c r="D571" s="73"/>
      <x:c r="E571" s="73"/>
      <x:c r="F571" s="75"/>
      <x:c r="G571" s="75"/>
      <x:c r="H571" s="76" t="str">
        <x:f>IF(A571="","",F571-G571)</x:f>
      </x:c>
      <x:c r="I571" s="77" t="str">
        <x:f>IF(A571="","",IF(E571="","기타/불명",IF(IFERROR(SEARCH("급여",E571),0)&gt;0,"인건비",IF(IFERROR(SEARCH("임차",E571),0)&gt;0,"임차·시설",IF(IFERROR(SEARCH("광고",E571),0)&gt;0,"광고·행사",IF(IFERROR(SEARCH("용역",E571),0)&gt;0,"용역·수수료","기타/불명"))))))</x:f>
      </x:c>
      <x:c r="J571" s="77" t="str">
        <x:f>IF(A571="","",IF(I571="기타/불명","확인 필요","결의서명으로 1차 확인"))</x:f>
      </x:c>
      <x:c r="K571" s="78"/>
    </x:row>
    <x:row r="572">
      <x:c r="A572" s="73"/>
      <x:c r="B572" s="73"/>
      <x:c r="C572" s="74"/>
      <x:c r="D572" s="73"/>
      <x:c r="E572" s="73"/>
      <x:c r="F572" s="75"/>
      <x:c r="G572" s="75"/>
      <x:c r="H572" s="76" t="str">
        <x:f>IF(A572="","",F572-G572)</x:f>
      </x:c>
      <x:c r="I572" s="77" t="str">
        <x:f>IF(A572="","",IF(E572="","기타/불명",IF(IFERROR(SEARCH("급여",E572),0)&gt;0,"인건비",IF(IFERROR(SEARCH("임차",E572),0)&gt;0,"임차·시설",IF(IFERROR(SEARCH("광고",E572),0)&gt;0,"광고·행사",IF(IFERROR(SEARCH("용역",E572),0)&gt;0,"용역·수수료","기타/불명"))))))</x:f>
      </x:c>
      <x:c r="J572" s="77" t="str">
        <x:f>IF(A572="","",IF(I572="기타/불명","확인 필요","결의서명으로 1차 확인"))</x:f>
      </x:c>
      <x:c r="K572" s="78"/>
    </x:row>
    <x:row r="573">
      <x:c r="A573" s="73"/>
      <x:c r="B573" s="73"/>
      <x:c r="C573" s="74"/>
      <x:c r="D573" s="73"/>
      <x:c r="E573" s="73"/>
      <x:c r="F573" s="75"/>
      <x:c r="G573" s="75"/>
      <x:c r="H573" s="76" t="str">
        <x:f>IF(A573="","",F573-G573)</x:f>
      </x:c>
      <x:c r="I573" s="77" t="str">
        <x:f>IF(A573="","",IF(E573="","기타/불명",IF(IFERROR(SEARCH("급여",E573),0)&gt;0,"인건비",IF(IFERROR(SEARCH("임차",E573),0)&gt;0,"임차·시설",IF(IFERROR(SEARCH("광고",E573),0)&gt;0,"광고·행사",IF(IFERROR(SEARCH("용역",E573),0)&gt;0,"용역·수수료","기타/불명"))))))</x:f>
      </x:c>
      <x:c r="J573" s="77" t="str">
        <x:f>IF(A573="","",IF(I573="기타/불명","확인 필요","결의서명으로 1차 확인"))</x:f>
      </x:c>
      <x:c r="K573" s="78"/>
    </x:row>
    <x:row r="574">
      <x:c r="A574" s="73"/>
      <x:c r="B574" s="73"/>
      <x:c r="C574" s="74"/>
      <x:c r="D574" s="73"/>
      <x:c r="E574" s="73"/>
      <x:c r="F574" s="75"/>
      <x:c r="G574" s="75"/>
      <x:c r="H574" s="76" t="str">
        <x:f>IF(A574="","",F574-G574)</x:f>
      </x:c>
      <x:c r="I574" s="77" t="str">
        <x:f>IF(A574="","",IF(E574="","기타/불명",IF(IFERROR(SEARCH("급여",E574),0)&gt;0,"인건비",IF(IFERROR(SEARCH("임차",E574),0)&gt;0,"임차·시설",IF(IFERROR(SEARCH("광고",E574),0)&gt;0,"광고·행사",IF(IFERROR(SEARCH("용역",E574),0)&gt;0,"용역·수수료","기타/불명"))))))</x:f>
      </x:c>
      <x:c r="J574" s="77" t="str">
        <x:f>IF(A574="","",IF(I574="기타/불명","확인 필요","결의서명으로 1차 확인"))</x:f>
      </x:c>
      <x:c r="K574" s="78"/>
    </x:row>
    <x:row r="575">
      <x:c r="A575" s="73"/>
      <x:c r="B575" s="73"/>
      <x:c r="C575" s="74"/>
      <x:c r="D575" s="73"/>
      <x:c r="E575" s="73"/>
      <x:c r="F575" s="75"/>
      <x:c r="G575" s="75"/>
      <x:c r="H575" s="76" t="str">
        <x:f>IF(A575="","",F575-G575)</x:f>
      </x:c>
      <x:c r="I575" s="77" t="str">
        <x:f>IF(A575="","",IF(E575="","기타/불명",IF(IFERROR(SEARCH("급여",E575),0)&gt;0,"인건비",IF(IFERROR(SEARCH("임차",E575),0)&gt;0,"임차·시설",IF(IFERROR(SEARCH("광고",E575),0)&gt;0,"광고·행사",IF(IFERROR(SEARCH("용역",E575),0)&gt;0,"용역·수수료","기타/불명"))))))</x:f>
      </x:c>
      <x:c r="J575" s="77" t="str">
        <x:f>IF(A575="","",IF(I575="기타/불명","확인 필요","결의서명으로 1차 확인"))</x:f>
      </x:c>
      <x:c r="K575" s="78"/>
    </x:row>
    <x:row r="576">
      <x:c r="A576" s="73"/>
      <x:c r="B576" s="73"/>
      <x:c r="C576" s="74"/>
      <x:c r="D576" s="73"/>
      <x:c r="E576" s="73"/>
      <x:c r="F576" s="75"/>
      <x:c r="G576" s="75"/>
      <x:c r="H576" s="76" t="str">
        <x:f>IF(A576="","",F576-G576)</x:f>
      </x:c>
      <x:c r="I576" s="77" t="str">
        <x:f>IF(A576="","",IF(E576="","기타/불명",IF(IFERROR(SEARCH("급여",E576),0)&gt;0,"인건비",IF(IFERROR(SEARCH("임차",E576),0)&gt;0,"임차·시설",IF(IFERROR(SEARCH("광고",E576),0)&gt;0,"광고·행사",IF(IFERROR(SEARCH("용역",E576),0)&gt;0,"용역·수수료","기타/불명"))))))</x:f>
      </x:c>
      <x:c r="J576" s="77" t="str">
        <x:f>IF(A576="","",IF(I576="기타/불명","확인 필요","결의서명으로 1차 확인"))</x:f>
      </x:c>
      <x:c r="K576" s="78"/>
    </x:row>
    <x:row r="577">
      <x:c r="A577" s="73"/>
      <x:c r="B577" s="73"/>
      <x:c r="C577" s="74"/>
      <x:c r="D577" s="73"/>
      <x:c r="E577" s="73"/>
      <x:c r="F577" s="75"/>
      <x:c r="G577" s="75"/>
      <x:c r="H577" s="76" t="str">
        <x:f>IF(A577="","",F577-G577)</x:f>
      </x:c>
      <x:c r="I577" s="77" t="str">
        <x:f>IF(A577="","",IF(E577="","기타/불명",IF(IFERROR(SEARCH("급여",E577),0)&gt;0,"인건비",IF(IFERROR(SEARCH("임차",E577),0)&gt;0,"임차·시설",IF(IFERROR(SEARCH("광고",E577),0)&gt;0,"광고·행사",IF(IFERROR(SEARCH("용역",E577),0)&gt;0,"용역·수수료","기타/불명"))))))</x:f>
      </x:c>
      <x:c r="J577" s="77" t="str">
        <x:f>IF(A577="","",IF(I577="기타/불명","확인 필요","결의서명으로 1차 확인"))</x:f>
      </x:c>
      <x:c r="K577" s="78"/>
    </x:row>
    <x:row r="578">
      <x:c r="A578" s="73"/>
      <x:c r="B578" s="73"/>
      <x:c r="C578" s="74"/>
      <x:c r="D578" s="73"/>
      <x:c r="E578" s="73"/>
      <x:c r="F578" s="75"/>
      <x:c r="G578" s="75"/>
      <x:c r="H578" s="76" t="str">
        <x:f>IF(A578="","",F578-G578)</x:f>
      </x:c>
      <x:c r="I578" s="77" t="str">
        <x:f>IF(A578="","",IF(E578="","기타/불명",IF(IFERROR(SEARCH("급여",E578),0)&gt;0,"인건비",IF(IFERROR(SEARCH("임차",E578),0)&gt;0,"임차·시설",IF(IFERROR(SEARCH("광고",E578),0)&gt;0,"광고·행사",IF(IFERROR(SEARCH("용역",E578),0)&gt;0,"용역·수수료","기타/불명"))))))</x:f>
      </x:c>
      <x:c r="J578" s="77" t="str">
        <x:f>IF(A578="","",IF(I578="기타/불명","확인 필요","결의서명으로 1차 확인"))</x:f>
      </x:c>
      <x:c r="K578" s="78"/>
    </x:row>
    <x:row r="579">
      <x:c r="A579" s="73"/>
      <x:c r="B579" s="73"/>
      <x:c r="C579" s="74"/>
      <x:c r="D579" s="73"/>
      <x:c r="E579" s="73"/>
      <x:c r="F579" s="75"/>
      <x:c r="G579" s="75"/>
      <x:c r="H579" s="76" t="str">
        <x:f>IF(A579="","",F579-G579)</x:f>
      </x:c>
      <x:c r="I579" s="77" t="str">
        <x:f>IF(A579="","",IF(E579="","기타/불명",IF(IFERROR(SEARCH("급여",E579),0)&gt;0,"인건비",IF(IFERROR(SEARCH("임차",E579),0)&gt;0,"임차·시설",IF(IFERROR(SEARCH("광고",E579),0)&gt;0,"광고·행사",IF(IFERROR(SEARCH("용역",E579),0)&gt;0,"용역·수수료","기타/불명"))))))</x:f>
      </x:c>
      <x:c r="J579" s="77" t="str">
        <x:f>IF(A579="","",IF(I579="기타/불명","확인 필요","결의서명으로 1차 확인"))</x:f>
      </x:c>
      <x:c r="K579" s="78"/>
    </x:row>
    <x:row r="580">
      <x:c r="A580" s="73"/>
      <x:c r="B580" s="73"/>
      <x:c r="C580" s="74"/>
      <x:c r="D580" s="73"/>
      <x:c r="E580" s="73"/>
      <x:c r="F580" s="75"/>
      <x:c r="G580" s="75"/>
      <x:c r="H580" s="76" t="str">
        <x:f>IF(A580="","",F580-G580)</x:f>
      </x:c>
      <x:c r="I580" s="77" t="str">
        <x:f>IF(A580="","",IF(E580="","기타/불명",IF(IFERROR(SEARCH("급여",E580),0)&gt;0,"인건비",IF(IFERROR(SEARCH("임차",E580),0)&gt;0,"임차·시설",IF(IFERROR(SEARCH("광고",E580),0)&gt;0,"광고·행사",IF(IFERROR(SEARCH("용역",E580),0)&gt;0,"용역·수수료","기타/불명"))))))</x:f>
      </x:c>
      <x:c r="J580" s="77" t="str">
        <x:f>IF(A580="","",IF(I580="기타/불명","확인 필요","결의서명으로 1차 확인"))</x:f>
      </x:c>
      <x:c r="K580" s="78"/>
    </x:row>
    <x:row r="581">
      <x:c r="A581" s="73"/>
      <x:c r="B581" s="73"/>
      <x:c r="C581" s="74"/>
      <x:c r="D581" s="73"/>
      <x:c r="E581" s="73"/>
      <x:c r="F581" s="75"/>
      <x:c r="G581" s="75"/>
      <x:c r="H581" s="76" t="str">
        <x:f>IF(A581="","",F581-G581)</x:f>
      </x:c>
      <x:c r="I581" s="77" t="str">
        <x:f>IF(A581="","",IF(E581="","기타/불명",IF(IFERROR(SEARCH("급여",E581),0)&gt;0,"인건비",IF(IFERROR(SEARCH("임차",E581),0)&gt;0,"임차·시설",IF(IFERROR(SEARCH("광고",E581),0)&gt;0,"광고·행사",IF(IFERROR(SEARCH("용역",E581),0)&gt;0,"용역·수수료","기타/불명"))))))</x:f>
      </x:c>
      <x:c r="J581" s="77" t="str">
        <x:f>IF(A581="","",IF(I581="기타/불명","확인 필요","결의서명으로 1차 확인"))</x:f>
      </x:c>
      <x:c r="K581" s="78"/>
    </x:row>
    <x:row r="582">
      <x:c r="A582" s="73"/>
      <x:c r="B582" s="73"/>
      <x:c r="C582" s="74"/>
      <x:c r="D582" s="73"/>
      <x:c r="E582" s="73"/>
      <x:c r="F582" s="75"/>
      <x:c r="G582" s="75"/>
      <x:c r="H582" s="76" t="str">
        <x:f>IF(A582="","",F582-G582)</x:f>
      </x:c>
      <x:c r="I582" s="77" t="str">
        <x:f>IF(A582="","",IF(E582="","기타/불명",IF(IFERROR(SEARCH("급여",E582),0)&gt;0,"인건비",IF(IFERROR(SEARCH("임차",E582),0)&gt;0,"임차·시설",IF(IFERROR(SEARCH("광고",E582),0)&gt;0,"광고·행사",IF(IFERROR(SEARCH("용역",E582),0)&gt;0,"용역·수수료","기타/불명"))))))</x:f>
      </x:c>
      <x:c r="J582" s="77" t="str">
        <x:f>IF(A582="","",IF(I582="기타/불명","확인 필요","결의서명으로 1차 확인"))</x:f>
      </x:c>
      <x:c r="K582" s="78"/>
    </x:row>
    <x:row r="583">
      <x:c r="A583" s="73"/>
      <x:c r="B583" s="73"/>
      <x:c r="C583" s="74"/>
      <x:c r="D583" s="73"/>
      <x:c r="E583" s="73"/>
      <x:c r="F583" s="75"/>
      <x:c r="G583" s="75"/>
      <x:c r="H583" s="76" t="str">
        <x:f>IF(A583="","",F583-G583)</x:f>
      </x:c>
      <x:c r="I583" s="77" t="str">
        <x:f>IF(A583="","",IF(E583="","기타/불명",IF(IFERROR(SEARCH("급여",E583),0)&gt;0,"인건비",IF(IFERROR(SEARCH("임차",E583),0)&gt;0,"임차·시설",IF(IFERROR(SEARCH("광고",E583),0)&gt;0,"광고·행사",IF(IFERROR(SEARCH("용역",E583),0)&gt;0,"용역·수수료","기타/불명"))))))</x:f>
      </x:c>
      <x:c r="J583" s="77" t="str">
        <x:f>IF(A583="","",IF(I583="기타/불명","확인 필요","결의서명으로 1차 확인"))</x:f>
      </x:c>
      <x:c r="K583" s="78"/>
    </x:row>
    <x:row r="584">
      <x:c r="A584" s="73"/>
      <x:c r="B584" s="73"/>
      <x:c r="C584" s="74"/>
      <x:c r="D584" s="73"/>
      <x:c r="E584" s="73"/>
      <x:c r="F584" s="75"/>
      <x:c r="G584" s="75"/>
      <x:c r="H584" s="76" t="str">
        <x:f>IF(A584="","",F584-G584)</x:f>
      </x:c>
      <x:c r="I584" s="77" t="str">
        <x:f>IF(A584="","",IF(E584="","기타/불명",IF(IFERROR(SEARCH("급여",E584),0)&gt;0,"인건비",IF(IFERROR(SEARCH("임차",E584),0)&gt;0,"임차·시설",IF(IFERROR(SEARCH("광고",E584),0)&gt;0,"광고·행사",IF(IFERROR(SEARCH("용역",E584),0)&gt;0,"용역·수수료","기타/불명"))))))</x:f>
      </x:c>
      <x:c r="J584" s="77" t="str">
        <x:f>IF(A584="","",IF(I584="기타/불명","확인 필요","결의서명으로 1차 확인"))</x:f>
      </x:c>
      <x:c r="K584" s="78"/>
    </x:row>
    <x:row r="585">
      <x:c r="A585" s="73"/>
      <x:c r="B585" s="73"/>
      <x:c r="C585" s="74"/>
      <x:c r="D585" s="73"/>
      <x:c r="E585" s="73"/>
      <x:c r="F585" s="75"/>
      <x:c r="G585" s="75"/>
      <x:c r="H585" s="76" t="str">
        <x:f>IF(A585="","",F585-G585)</x:f>
      </x:c>
      <x:c r="I585" s="77" t="str">
        <x:f>IF(A585="","",IF(E585="","기타/불명",IF(IFERROR(SEARCH("급여",E585),0)&gt;0,"인건비",IF(IFERROR(SEARCH("임차",E585),0)&gt;0,"임차·시설",IF(IFERROR(SEARCH("광고",E585),0)&gt;0,"광고·행사",IF(IFERROR(SEARCH("용역",E585),0)&gt;0,"용역·수수료","기타/불명"))))))</x:f>
      </x:c>
      <x:c r="J585" s="77" t="str">
        <x:f>IF(A585="","",IF(I585="기타/불명","확인 필요","결의서명으로 1차 확인"))</x:f>
      </x:c>
      <x:c r="K585" s="78"/>
    </x:row>
    <x:row r="586">
      <x:c r="A586" s="73"/>
      <x:c r="B586" s="73"/>
      <x:c r="C586" s="74"/>
      <x:c r="D586" s="73"/>
      <x:c r="E586" s="73"/>
      <x:c r="F586" s="75"/>
      <x:c r="G586" s="75"/>
      <x:c r="H586" s="76" t="str">
        <x:f>IF(A586="","",F586-G586)</x:f>
      </x:c>
      <x:c r="I586" s="77" t="str">
        <x:f>IF(A586="","",IF(E586="","기타/불명",IF(IFERROR(SEARCH("급여",E586),0)&gt;0,"인건비",IF(IFERROR(SEARCH("임차",E586),0)&gt;0,"임차·시설",IF(IFERROR(SEARCH("광고",E586),0)&gt;0,"광고·행사",IF(IFERROR(SEARCH("용역",E586),0)&gt;0,"용역·수수료","기타/불명"))))))</x:f>
      </x:c>
      <x:c r="J586" s="77" t="str">
        <x:f>IF(A586="","",IF(I586="기타/불명","확인 필요","결의서명으로 1차 확인"))</x:f>
      </x:c>
      <x:c r="K586" s="78"/>
    </x:row>
    <x:row r="587">
      <x:c r="A587" s="73"/>
      <x:c r="B587" s="73"/>
      <x:c r="C587" s="74"/>
      <x:c r="D587" s="73"/>
      <x:c r="E587" s="73"/>
      <x:c r="F587" s="75"/>
      <x:c r="G587" s="75"/>
      <x:c r="H587" s="76" t="str">
        <x:f>IF(A587="","",F587-G587)</x:f>
      </x:c>
      <x:c r="I587" s="77" t="str">
        <x:f>IF(A587="","",IF(E587="","기타/불명",IF(IFERROR(SEARCH("급여",E587),0)&gt;0,"인건비",IF(IFERROR(SEARCH("임차",E587),0)&gt;0,"임차·시설",IF(IFERROR(SEARCH("광고",E587),0)&gt;0,"광고·행사",IF(IFERROR(SEARCH("용역",E587),0)&gt;0,"용역·수수료","기타/불명"))))))</x:f>
      </x:c>
      <x:c r="J587" s="77" t="str">
        <x:f>IF(A587="","",IF(I587="기타/불명","확인 필요","결의서명으로 1차 확인"))</x:f>
      </x:c>
      <x:c r="K587" s="78"/>
    </x:row>
    <x:row r="588">
      <x:c r="A588" s="73"/>
      <x:c r="B588" s="73"/>
      <x:c r="C588" s="74"/>
      <x:c r="D588" s="73"/>
      <x:c r="E588" s="73"/>
      <x:c r="F588" s="75"/>
      <x:c r="G588" s="75"/>
      <x:c r="H588" s="76" t="str">
        <x:f>IF(A588="","",F588-G588)</x:f>
      </x:c>
      <x:c r="I588" s="77" t="str">
        <x:f>IF(A588="","",IF(E588="","기타/불명",IF(IFERROR(SEARCH("급여",E588),0)&gt;0,"인건비",IF(IFERROR(SEARCH("임차",E588),0)&gt;0,"임차·시설",IF(IFERROR(SEARCH("광고",E588),0)&gt;0,"광고·행사",IF(IFERROR(SEARCH("용역",E588),0)&gt;0,"용역·수수료","기타/불명"))))))</x:f>
      </x:c>
      <x:c r="J588" s="77" t="str">
        <x:f>IF(A588="","",IF(I588="기타/불명","확인 필요","결의서명으로 1차 확인"))</x:f>
      </x:c>
      <x:c r="K588" s="78"/>
    </x:row>
    <x:row r="589">
      <x:c r="A589" s="73"/>
      <x:c r="B589" s="73"/>
      <x:c r="C589" s="74"/>
      <x:c r="D589" s="73"/>
      <x:c r="E589" s="73"/>
      <x:c r="F589" s="75"/>
      <x:c r="G589" s="75"/>
      <x:c r="H589" s="76" t="str">
        <x:f>IF(A589="","",F589-G589)</x:f>
      </x:c>
      <x:c r="I589" s="77" t="str">
        <x:f>IF(A589="","",IF(E589="","기타/불명",IF(IFERROR(SEARCH("급여",E589),0)&gt;0,"인건비",IF(IFERROR(SEARCH("임차",E589),0)&gt;0,"임차·시설",IF(IFERROR(SEARCH("광고",E589),0)&gt;0,"광고·행사",IF(IFERROR(SEARCH("용역",E589),0)&gt;0,"용역·수수료","기타/불명"))))))</x:f>
      </x:c>
      <x:c r="J589" s="77" t="str">
        <x:f>IF(A589="","",IF(I589="기타/불명","확인 필요","결의서명으로 1차 확인"))</x:f>
      </x:c>
      <x:c r="K589" s="78"/>
    </x:row>
    <x:row r="590">
      <x:c r="A590" s="73"/>
      <x:c r="B590" s="73"/>
      <x:c r="C590" s="74"/>
      <x:c r="D590" s="73"/>
      <x:c r="E590" s="73"/>
      <x:c r="F590" s="75"/>
      <x:c r="G590" s="75"/>
      <x:c r="H590" s="76" t="str">
        <x:f>IF(A590="","",F590-G590)</x:f>
      </x:c>
      <x:c r="I590" s="77" t="str">
        <x:f>IF(A590="","",IF(E590="","기타/불명",IF(IFERROR(SEARCH("급여",E590),0)&gt;0,"인건비",IF(IFERROR(SEARCH("임차",E590),0)&gt;0,"임차·시설",IF(IFERROR(SEARCH("광고",E590),0)&gt;0,"광고·행사",IF(IFERROR(SEARCH("용역",E590),0)&gt;0,"용역·수수료","기타/불명"))))))</x:f>
      </x:c>
      <x:c r="J590" s="77" t="str">
        <x:f>IF(A590="","",IF(I590="기타/불명","확인 필요","결의서명으로 1차 확인"))</x:f>
      </x:c>
      <x:c r="K590" s="78"/>
    </x:row>
    <x:row r="591">
      <x:c r="A591" s="73"/>
      <x:c r="B591" s="73"/>
      <x:c r="C591" s="74"/>
      <x:c r="D591" s="73"/>
      <x:c r="E591" s="73"/>
      <x:c r="F591" s="75"/>
      <x:c r="G591" s="75"/>
      <x:c r="H591" s="76" t="str">
        <x:f>IF(A591="","",F591-G591)</x:f>
      </x:c>
      <x:c r="I591" s="77" t="str">
        <x:f>IF(A591="","",IF(E591="","기타/불명",IF(IFERROR(SEARCH("급여",E591),0)&gt;0,"인건비",IF(IFERROR(SEARCH("임차",E591),0)&gt;0,"임차·시설",IF(IFERROR(SEARCH("광고",E591),0)&gt;0,"광고·행사",IF(IFERROR(SEARCH("용역",E591),0)&gt;0,"용역·수수료","기타/불명"))))))</x:f>
      </x:c>
      <x:c r="J591" s="77" t="str">
        <x:f>IF(A591="","",IF(I591="기타/불명","확인 필요","결의서명으로 1차 확인"))</x:f>
      </x:c>
      <x:c r="K591" s="78"/>
    </x:row>
    <x:row r="592">
      <x:c r="A592" s="73"/>
      <x:c r="B592" s="73"/>
      <x:c r="C592" s="74"/>
      <x:c r="D592" s="73"/>
      <x:c r="E592" s="73"/>
      <x:c r="F592" s="75"/>
      <x:c r="G592" s="75"/>
      <x:c r="H592" s="76" t="str">
        <x:f>IF(A592="","",F592-G592)</x:f>
      </x:c>
      <x:c r="I592" s="77" t="str">
        <x:f>IF(A592="","",IF(E592="","기타/불명",IF(IFERROR(SEARCH("급여",E592),0)&gt;0,"인건비",IF(IFERROR(SEARCH("임차",E592),0)&gt;0,"임차·시설",IF(IFERROR(SEARCH("광고",E592),0)&gt;0,"광고·행사",IF(IFERROR(SEARCH("용역",E592),0)&gt;0,"용역·수수료","기타/불명"))))))</x:f>
      </x:c>
      <x:c r="J592" s="77" t="str">
        <x:f>IF(A592="","",IF(I592="기타/불명","확인 필요","결의서명으로 1차 확인"))</x:f>
      </x:c>
      <x:c r="K592" s="78"/>
    </x:row>
    <x:row r="593">
      <x:c r="A593" s="73"/>
      <x:c r="B593" s="73"/>
      <x:c r="C593" s="74"/>
      <x:c r="D593" s="73"/>
      <x:c r="E593" s="73"/>
      <x:c r="F593" s="75"/>
      <x:c r="G593" s="75"/>
      <x:c r="H593" s="76" t="str">
        <x:f>IF(A593="","",F593-G593)</x:f>
      </x:c>
      <x:c r="I593" s="77" t="str">
        <x:f>IF(A593="","",IF(E593="","기타/불명",IF(IFERROR(SEARCH("급여",E593),0)&gt;0,"인건비",IF(IFERROR(SEARCH("임차",E593),0)&gt;0,"임차·시설",IF(IFERROR(SEARCH("광고",E593),0)&gt;0,"광고·행사",IF(IFERROR(SEARCH("용역",E593),0)&gt;0,"용역·수수료","기타/불명"))))))</x:f>
      </x:c>
      <x:c r="J593" s="77" t="str">
        <x:f>IF(A593="","",IF(I593="기타/불명","확인 필요","결의서명으로 1차 확인"))</x:f>
      </x:c>
      <x:c r="K593" s="78"/>
    </x:row>
    <x:row r="594">
      <x:c r="A594" s="73"/>
      <x:c r="B594" s="73"/>
      <x:c r="C594" s="74"/>
      <x:c r="D594" s="73"/>
      <x:c r="E594" s="73"/>
      <x:c r="F594" s="75"/>
      <x:c r="G594" s="75"/>
      <x:c r="H594" s="76" t="str">
        <x:f>IF(A594="","",F594-G594)</x:f>
      </x:c>
      <x:c r="I594" s="77" t="str">
        <x:f>IF(A594="","",IF(E594="","기타/불명",IF(IFERROR(SEARCH("급여",E594),0)&gt;0,"인건비",IF(IFERROR(SEARCH("임차",E594),0)&gt;0,"임차·시설",IF(IFERROR(SEARCH("광고",E594),0)&gt;0,"광고·행사",IF(IFERROR(SEARCH("용역",E594),0)&gt;0,"용역·수수료","기타/불명"))))))</x:f>
      </x:c>
      <x:c r="J594" s="77" t="str">
        <x:f>IF(A594="","",IF(I594="기타/불명","확인 필요","결의서명으로 1차 확인"))</x:f>
      </x:c>
      <x:c r="K594" s="78"/>
    </x:row>
    <x:row r="595">
      <x:c r="A595" s="73"/>
      <x:c r="B595" s="73"/>
      <x:c r="C595" s="74"/>
      <x:c r="D595" s="73"/>
      <x:c r="E595" s="73"/>
      <x:c r="F595" s="75"/>
      <x:c r="G595" s="75"/>
      <x:c r="H595" s="76" t="str">
        <x:f>IF(A595="","",F595-G595)</x:f>
      </x:c>
      <x:c r="I595" s="77" t="str">
        <x:f>IF(A595="","",IF(E595="","기타/불명",IF(IFERROR(SEARCH("급여",E595),0)&gt;0,"인건비",IF(IFERROR(SEARCH("임차",E595),0)&gt;0,"임차·시설",IF(IFERROR(SEARCH("광고",E595),0)&gt;0,"광고·행사",IF(IFERROR(SEARCH("용역",E595),0)&gt;0,"용역·수수료","기타/불명"))))))</x:f>
      </x:c>
      <x:c r="J595" s="77" t="str">
        <x:f>IF(A595="","",IF(I595="기타/불명","확인 필요","결의서명으로 1차 확인"))</x:f>
      </x:c>
      <x:c r="K595" s="78"/>
    </x:row>
    <x:row r="596">
      <x:c r="A596" s="73"/>
      <x:c r="B596" s="73"/>
      <x:c r="C596" s="74"/>
      <x:c r="D596" s="73"/>
      <x:c r="E596" s="73"/>
      <x:c r="F596" s="75"/>
      <x:c r="G596" s="75"/>
      <x:c r="H596" s="76" t="str">
        <x:f>IF(A596="","",F596-G596)</x:f>
      </x:c>
      <x:c r="I596" s="77" t="str">
        <x:f>IF(A596="","",IF(E596="","기타/불명",IF(IFERROR(SEARCH("급여",E596),0)&gt;0,"인건비",IF(IFERROR(SEARCH("임차",E596),0)&gt;0,"임차·시설",IF(IFERROR(SEARCH("광고",E596),0)&gt;0,"광고·행사",IF(IFERROR(SEARCH("용역",E596),0)&gt;0,"용역·수수료","기타/불명"))))))</x:f>
      </x:c>
      <x:c r="J596" s="77" t="str">
        <x:f>IF(A596="","",IF(I596="기타/불명","확인 필요","결의서명으로 1차 확인"))</x:f>
      </x:c>
      <x:c r="K596" s="78"/>
    </x:row>
    <x:row r="597">
      <x:c r="A597" s="73"/>
      <x:c r="B597" s="73"/>
      <x:c r="C597" s="74"/>
      <x:c r="D597" s="73"/>
      <x:c r="E597" s="73"/>
      <x:c r="F597" s="75"/>
      <x:c r="G597" s="75"/>
      <x:c r="H597" s="76" t="str">
        <x:f>IF(A597="","",F597-G597)</x:f>
      </x:c>
      <x:c r="I597" s="77" t="str">
        <x:f>IF(A597="","",IF(E597="","기타/불명",IF(IFERROR(SEARCH("급여",E597),0)&gt;0,"인건비",IF(IFERROR(SEARCH("임차",E597),0)&gt;0,"임차·시설",IF(IFERROR(SEARCH("광고",E597),0)&gt;0,"광고·행사",IF(IFERROR(SEARCH("용역",E597),0)&gt;0,"용역·수수료","기타/불명"))))))</x:f>
      </x:c>
      <x:c r="J597" s="77" t="str">
        <x:f>IF(A597="","",IF(I597="기타/불명","확인 필요","결의서명으로 1차 확인"))</x:f>
      </x:c>
      <x:c r="K597" s="78"/>
    </x:row>
    <x:row r="598">
      <x:c r="A598" s="73"/>
      <x:c r="B598" s="73"/>
      <x:c r="C598" s="74"/>
      <x:c r="D598" s="73"/>
      <x:c r="E598" s="73"/>
      <x:c r="F598" s="75"/>
      <x:c r="G598" s="75"/>
      <x:c r="H598" s="76" t="str">
        <x:f>IF(A598="","",F598-G598)</x:f>
      </x:c>
      <x:c r="I598" s="77" t="str">
        <x:f>IF(A598="","",IF(E598="","기타/불명",IF(IFERROR(SEARCH("급여",E598),0)&gt;0,"인건비",IF(IFERROR(SEARCH("임차",E598),0)&gt;0,"임차·시설",IF(IFERROR(SEARCH("광고",E598),0)&gt;0,"광고·행사",IF(IFERROR(SEARCH("용역",E598),0)&gt;0,"용역·수수료","기타/불명"))))))</x:f>
      </x:c>
      <x:c r="J598" s="77" t="str">
        <x:f>IF(A598="","",IF(I598="기타/불명","확인 필요","결의서명으로 1차 확인"))</x:f>
      </x:c>
      <x:c r="K598" s="78"/>
    </x:row>
    <x:row r="599">
      <x:c r="A599" s="73"/>
      <x:c r="B599" s="73"/>
      <x:c r="C599" s="74"/>
      <x:c r="D599" s="73"/>
      <x:c r="E599" s="73"/>
      <x:c r="F599" s="75"/>
      <x:c r="G599" s="75"/>
      <x:c r="H599" s="76" t="str">
        <x:f>IF(A599="","",F599-G599)</x:f>
      </x:c>
      <x:c r="I599" s="77" t="str">
        <x:f>IF(A599="","",IF(E599="","기타/불명",IF(IFERROR(SEARCH("급여",E599),0)&gt;0,"인건비",IF(IFERROR(SEARCH("임차",E599),0)&gt;0,"임차·시설",IF(IFERROR(SEARCH("광고",E599),0)&gt;0,"광고·행사",IF(IFERROR(SEARCH("용역",E599),0)&gt;0,"용역·수수료","기타/불명"))))))</x:f>
      </x:c>
      <x:c r="J599" s="77" t="str">
        <x:f>IF(A599="","",IF(I599="기타/불명","확인 필요","결의서명으로 1차 확인"))</x:f>
      </x:c>
      <x:c r="K599" s="78"/>
    </x:row>
    <x:row r="600">
      <x:c r="A600" s="73"/>
      <x:c r="B600" s="73"/>
      <x:c r="C600" s="74"/>
      <x:c r="D600" s="73"/>
      <x:c r="E600" s="73"/>
      <x:c r="F600" s="75"/>
      <x:c r="G600" s="75"/>
      <x:c r="H600" s="76" t="str">
        <x:f>IF(A600="","",F600-G600)</x:f>
      </x:c>
      <x:c r="I600" s="77" t="str">
        <x:f>IF(A600="","",IF(E600="","기타/불명",IF(IFERROR(SEARCH("급여",E600),0)&gt;0,"인건비",IF(IFERROR(SEARCH("임차",E600),0)&gt;0,"임차·시설",IF(IFERROR(SEARCH("광고",E600),0)&gt;0,"광고·행사",IF(IFERROR(SEARCH("용역",E600),0)&gt;0,"용역·수수료","기타/불명"))))))</x:f>
      </x:c>
      <x:c r="J600" s="77" t="str">
        <x:f>IF(A600="","",IF(I600="기타/불명","확인 필요","결의서명으로 1차 확인"))</x:f>
      </x:c>
      <x:c r="K600" s="78"/>
    </x:row>
    <x:row r="601">
      <x:c r="A601" s="73"/>
      <x:c r="B601" s="73"/>
      <x:c r="C601" s="74"/>
      <x:c r="D601" s="73"/>
      <x:c r="E601" s="73"/>
      <x:c r="F601" s="75"/>
      <x:c r="G601" s="75"/>
      <x:c r="H601" s="76" t="str">
        <x:f>IF(A601="","",F601-G601)</x:f>
      </x:c>
      <x:c r="I601" s="77" t="str">
        <x:f>IF(A601="","",IF(E601="","기타/불명",IF(IFERROR(SEARCH("급여",E601),0)&gt;0,"인건비",IF(IFERROR(SEARCH("임차",E601),0)&gt;0,"임차·시설",IF(IFERROR(SEARCH("광고",E601),0)&gt;0,"광고·행사",IF(IFERROR(SEARCH("용역",E601),0)&gt;0,"용역·수수료","기타/불명"))))))</x:f>
      </x:c>
      <x:c r="J601" s="77" t="str">
        <x:f>IF(A601="","",IF(I601="기타/불명","확인 필요","결의서명으로 1차 확인"))</x:f>
      </x:c>
      <x:c r="K601" s="78"/>
    </x:row>
    <x:row r="602">
      <x:c r="A602" s="73"/>
      <x:c r="B602" s="73"/>
      <x:c r="C602" s="74"/>
      <x:c r="D602" s="73"/>
      <x:c r="E602" s="73"/>
      <x:c r="F602" s="75"/>
      <x:c r="G602" s="75"/>
      <x:c r="H602" s="76" t="str">
        <x:f>IF(A602="","",F602-G602)</x:f>
      </x:c>
      <x:c r="I602" s="77" t="str">
        <x:f>IF(A602="","",IF(E602="","기타/불명",IF(IFERROR(SEARCH("급여",E602),0)&gt;0,"인건비",IF(IFERROR(SEARCH("임차",E602),0)&gt;0,"임차·시설",IF(IFERROR(SEARCH("광고",E602),0)&gt;0,"광고·행사",IF(IFERROR(SEARCH("용역",E602),0)&gt;0,"용역·수수료","기타/불명"))))))</x:f>
      </x:c>
      <x:c r="J602" s="77" t="str">
        <x:f>IF(A602="","",IF(I602="기타/불명","확인 필요","결의서명으로 1차 확인"))</x:f>
      </x:c>
      <x:c r="K602" s="78"/>
    </x:row>
    <x:row r="603">
      <x:c r="A603" s="73"/>
      <x:c r="B603" s="73"/>
      <x:c r="C603" s="74"/>
      <x:c r="D603" s="73"/>
      <x:c r="E603" s="73"/>
      <x:c r="F603" s="75"/>
      <x:c r="G603" s="75"/>
      <x:c r="H603" s="76" t="str">
        <x:f>IF(A603="","",F603-G603)</x:f>
      </x:c>
      <x:c r="I603" s="77" t="str">
        <x:f>IF(A603="","",IF(E603="","기타/불명",IF(IFERROR(SEARCH("급여",E603),0)&gt;0,"인건비",IF(IFERROR(SEARCH("임차",E603),0)&gt;0,"임차·시설",IF(IFERROR(SEARCH("광고",E603),0)&gt;0,"광고·행사",IF(IFERROR(SEARCH("용역",E603),0)&gt;0,"용역·수수료","기타/불명"))))))</x:f>
      </x:c>
      <x:c r="J603" s="77" t="str">
        <x:f>IF(A603="","",IF(I603="기타/불명","확인 필요","결의서명으로 1차 확인"))</x:f>
      </x:c>
      <x:c r="K603" s="78"/>
    </x:row>
    <x:row r="604">
      <x:c r="A604" s="73"/>
      <x:c r="B604" s="73"/>
      <x:c r="C604" s="74"/>
      <x:c r="D604" s="73"/>
      <x:c r="E604" s="73"/>
      <x:c r="F604" s="75"/>
      <x:c r="G604" s="75"/>
      <x:c r="H604" s="76" t="str">
        <x:f>IF(A604="","",F604-G604)</x:f>
      </x:c>
      <x:c r="I604" s="77" t="str">
        <x:f>IF(A604="","",IF(E604="","기타/불명",IF(IFERROR(SEARCH("급여",E604),0)&gt;0,"인건비",IF(IFERROR(SEARCH("임차",E604),0)&gt;0,"임차·시설",IF(IFERROR(SEARCH("광고",E604),0)&gt;0,"광고·행사",IF(IFERROR(SEARCH("용역",E604),0)&gt;0,"용역·수수료","기타/불명"))))))</x:f>
      </x:c>
      <x:c r="J604" s="77" t="str">
        <x:f>IF(A604="","",IF(I604="기타/불명","확인 필요","결의서명으로 1차 확인"))</x:f>
      </x:c>
      <x:c r="K604" s="78"/>
    </x:row>
    <x:row r="605">
      <x:c r="A605" s="73"/>
      <x:c r="B605" s="73"/>
      <x:c r="C605" s="74"/>
      <x:c r="D605" s="73"/>
      <x:c r="E605" s="73"/>
      <x:c r="F605" s="75"/>
      <x:c r="G605" s="75"/>
      <x:c r="H605" s="76" t="str">
        <x:f>IF(A605="","",F605-G605)</x:f>
      </x:c>
      <x:c r="I605" s="77" t="str">
        <x:f>IF(A605="","",IF(E605="","기타/불명",IF(IFERROR(SEARCH("급여",E605),0)&gt;0,"인건비",IF(IFERROR(SEARCH("임차",E605),0)&gt;0,"임차·시설",IF(IFERROR(SEARCH("광고",E605),0)&gt;0,"광고·행사",IF(IFERROR(SEARCH("용역",E605),0)&gt;0,"용역·수수료","기타/불명"))))))</x:f>
      </x:c>
      <x:c r="J605" s="77" t="str">
        <x:f>IF(A605="","",IF(I605="기타/불명","확인 필요","결의서명으로 1차 확인"))</x:f>
      </x:c>
      <x:c r="K605" s="78"/>
    </x:row>
    <x:row r="606">
      <x:c r="A606" s="73"/>
      <x:c r="B606" s="73"/>
      <x:c r="C606" s="74"/>
      <x:c r="D606" s="73"/>
      <x:c r="E606" s="73"/>
      <x:c r="F606" s="75"/>
      <x:c r="G606" s="75"/>
      <x:c r="H606" s="76" t="str">
        <x:f>IF(A606="","",F606-G606)</x:f>
      </x:c>
      <x:c r="I606" s="77" t="str">
        <x:f>IF(A606="","",IF(E606="","기타/불명",IF(IFERROR(SEARCH("급여",E606),0)&gt;0,"인건비",IF(IFERROR(SEARCH("임차",E606),0)&gt;0,"임차·시설",IF(IFERROR(SEARCH("광고",E606),0)&gt;0,"광고·행사",IF(IFERROR(SEARCH("용역",E606),0)&gt;0,"용역·수수료","기타/불명"))))))</x:f>
      </x:c>
      <x:c r="J606" s="77" t="str">
        <x:f>IF(A606="","",IF(I606="기타/불명","확인 필요","결의서명으로 1차 확인"))</x:f>
      </x:c>
      <x:c r="K606" s="78"/>
    </x:row>
    <x:row r="607">
      <x:c r="A607" s="73"/>
      <x:c r="B607" s="73"/>
      <x:c r="C607" s="74"/>
      <x:c r="D607" s="73"/>
      <x:c r="E607" s="73"/>
      <x:c r="F607" s="75"/>
      <x:c r="G607" s="75"/>
      <x:c r="H607" s="76" t="str">
        <x:f>IF(A607="","",F607-G607)</x:f>
      </x:c>
      <x:c r="I607" s="77" t="str">
        <x:f>IF(A607="","",IF(E607="","기타/불명",IF(IFERROR(SEARCH("급여",E607),0)&gt;0,"인건비",IF(IFERROR(SEARCH("임차",E607),0)&gt;0,"임차·시설",IF(IFERROR(SEARCH("광고",E607),0)&gt;0,"광고·행사",IF(IFERROR(SEARCH("용역",E607),0)&gt;0,"용역·수수료","기타/불명"))))))</x:f>
      </x:c>
      <x:c r="J607" s="77" t="str">
        <x:f>IF(A607="","",IF(I607="기타/불명","확인 필요","결의서명으로 1차 확인"))</x:f>
      </x:c>
      <x:c r="K607" s="78"/>
    </x:row>
    <x:row r="608">
      <x:c r="A608" s="73"/>
      <x:c r="B608" s="73"/>
      <x:c r="C608" s="74"/>
      <x:c r="D608" s="73"/>
      <x:c r="E608" s="73"/>
      <x:c r="F608" s="75"/>
      <x:c r="G608" s="75"/>
      <x:c r="H608" s="76" t="str">
        <x:f>IF(A608="","",F608-G608)</x:f>
      </x:c>
      <x:c r="I608" s="77" t="str">
        <x:f>IF(A608="","",IF(E608="","기타/불명",IF(IFERROR(SEARCH("급여",E608),0)&gt;0,"인건비",IF(IFERROR(SEARCH("임차",E608),0)&gt;0,"임차·시설",IF(IFERROR(SEARCH("광고",E608),0)&gt;0,"광고·행사",IF(IFERROR(SEARCH("용역",E608),0)&gt;0,"용역·수수료","기타/불명"))))))</x:f>
      </x:c>
      <x:c r="J608" s="77" t="str">
        <x:f>IF(A608="","",IF(I608="기타/불명","확인 필요","결의서명으로 1차 확인"))</x:f>
      </x:c>
      <x:c r="K608" s="78"/>
    </x:row>
    <x:row r="609">
      <x:c r="A609" s="73"/>
      <x:c r="B609" s="73"/>
      <x:c r="C609" s="74"/>
      <x:c r="D609" s="73"/>
      <x:c r="E609" s="73"/>
      <x:c r="F609" s="75"/>
      <x:c r="G609" s="75"/>
      <x:c r="H609" s="76" t="str">
        <x:f>IF(A609="","",F609-G609)</x:f>
      </x:c>
      <x:c r="I609" s="77" t="str">
        <x:f>IF(A609="","",IF(E609="","기타/불명",IF(IFERROR(SEARCH("급여",E609),0)&gt;0,"인건비",IF(IFERROR(SEARCH("임차",E609),0)&gt;0,"임차·시설",IF(IFERROR(SEARCH("광고",E609),0)&gt;0,"광고·행사",IF(IFERROR(SEARCH("용역",E609),0)&gt;0,"용역·수수료","기타/불명"))))))</x:f>
      </x:c>
      <x:c r="J609" s="77" t="str">
        <x:f>IF(A609="","",IF(I609="기타/불명","확인 필요","결의서명으로 1차 확인"))</x:f>
      </x:c>
      <x:c r="K609" s="78"/>
    </x:row>
    <x:row r="610">
      <x:c r="A610" s="73"/>
      <x:c r="B610" s="73"/>
      <x:c r="C610" s="74"/>
      <x:c r="D610" s="73"/>
      <x:c r="E610" s="73"/>
      <x:c r="F610" s="75"/>
      <x:c r="G610" s="75"/>
      <x:c r="H610" s="76" t="str">
        <x:f>IF(A610="","",F610-G610)</x:f>
      </x:c>
      <x:c r="I610" s="77" t="str">
        <x:f>IF(A610="","",IF(E610="","기타/불명",IF(IFERROR(SEARCH("급여",E610),0)&gt;0,"인건비",IF(IFERROR(SEARCH("임차",E610),0)&gt;0,"임차·시설",IF(IFERROR(SEARCH("광고",E610),0)&gt;0,"광고·행사",IF(IFERROR(SEARCH("용역",E610),0)&gt;0,"용역·수수료","기타/불명"))))))</x:f>
      </x:c>
      <x:c r="J610" s="77" t="str">
        <x:f>IF(A610="","",IF(I610="기타/불명","확인 필요","결의서명으로 1차 확인"))</x:f>
      </x:c>
      <x:c r="K610" s="78"/>
    </x:row>
    <x:row r="611">
      <x:c r="A611" s="73"/>
      <x:c r="B611" s="73"/>
      <x:c r="C611" s="74"/>
      <x:c r="D611" s="73"/>
      <x:c r="E611" s="73"/>
      <x:c r="F611" s="75"/>
      <x:c r="G611" s="75"/>
      <x:c r="H611" s="76" t="str">
        <x:f>IF(A611="","",F611-G611)</x:f>
      </x:c>
      <x:c r="I611" s="77" t="str">
        <x:f>IF(A611="","",IF(E611="","기타/불명",IF(IFERROR(SEARCH("급여",E611),0)&gt;0,"인건비",IF(IFERROR(SEARCH("임차",E611),0)&gt;0,"임차·시설",IF(IFERROR(SEARCH("광고",E611),0)&gt;0,"광고·행사",IF(IFERROR(SEARCH("용역",E611),0)&gt;0,"용역·수수료","기타/불명"))))))</x:f>
      </x:c>
      <x:c r="J611" s="77" t="str">
        <x:f>IF(A611="","",IF(I611="기타/불명","확인 필요","결의서명으로 1차 확인"))</x:f>
      </x:c>
      <x:c r="K611" s="78"/>
    </x:row>
    <x:row r="612">
      <x:c r="A612" s="73"/>
      <x:c r="B612" s="73"/>
      <x:c r="C612" s="74"/>
      <x:c r="D612" s="73"/>
      <x:c r="E612" s="73"/>
      <x:c r="F612" s="75"/>
      <x:c r="G612" s="75"/>
      <x:c r="H612" s="76" t="str">
        <x:f>IF(A612="","",F612-G612)</x:f>
      </x:c>
      <x:c r="I612" s="77" t="str">
        <x:f>IF(A612="","",IF(E612="","기타/불명",IF(IFERROR(SEARCH("급여",E612),0)&gt;0,"인건비",IF(IFERROR(SEARCH("임차",E612),0)&gt;0,"임차·시설",IF(IFERROR(SEARCH("광고",E612),0)&gt;0,"광고·행사",IF(IFERROR(SEARCH("용역",E612),0)&gt;0,"용역·수수료","기타/불명"))))))</x:f>
      </x:c>
      <x:c r="J612" s="77" t="str">
        <x:f>IF(A612="","",IF(I612="기타/불명","확인 필요","결의서명으로 1차 확인"))</x:f>
      </x:c>
      <x:c r="K612" s="78"/>
    </x:row>
    <x:row r="613">
      <x:c r="A613" s="73"/>
      <x:c r="B613" s="73"/>
      <x:c r="C613" s="74"/>
      <x:c r="D613" s="73"/>
      <x:c r="E613" s="73"/>
      <x:c r="F613" s="75"/>
      <x:c r="G613" s="75"/>
      <x:c r="H613" s="76" t="str">
        <x:f>IF(A613="","",F613-G613)</x:f>
      </x:c>
      <x:c r="I613" s="77" t="str">
        <x:f>IF(A613="","",IF(E613="","기타/불명",IF(IFERROR(SEARCH("급여",E613),0)&gt;0,"인건비",IF(IFERROR(SEARCH("임차",E613),0)&gt;0,"임차·시설",IF(IFERROR(SEARCH("광고",E613),0)&gt;0,"광고·행사",IF(IFERROR(SEARCH("용역",E613),0)&gt;0,"용역·수수료","기타/불명"))))))</x:f>
      </x:c>
      <x:c r="J613" s="77" t="str">
        <x:f>IF(A613="","",IF(I613="기타/불명","확인 필요","결의서명으로 1차 확인"))</x:f>
      </x:c>
      <x:c r="K613" s="78"/>
    </x:row>
    <x:row r="614">
      <x:c r="A614" s="73"/>
      <x:c r="B614" s="73"/>
      <x:c r="C614" s="74"/>
      <x:c r="D614" s="73"/>
      <x:c r="E614" s="73"/>
      <x:c r="F614" s="75"/>
      <x:c r="G614" s="75"/>
      <x:c r="H614" s="76" t="str">
        <x:f>IF(A614="","",F614-G614)</x:f>
      </x:c>
      <x:c r="I614" s="77" t="str">
        <x:f>IF(A614="","",IF(E614="","기타/불명",IF(IFERROR(SEARCH("급여",E614),0)&gt;0,"인건비",IF(IFERROR(SEARCH("임차",E614),0)&gt;0,"임차·시설",IF(IFERROR(SEARCH("광고",E614),0)&gt;0,"광고·행사",IF(IFERROR(SEARCH("용역",E614),0)&gt;0,"용역·수수료","기타/불명"))))))</x:f>
      </x:c>
      <x:c r="J614" s="77" t="str">
        <x:f>IF(A614="","",IF(I614="기타/불명","확인 필요","결의서명으로 1차 확인"))</x:f>
      </x:c>
      <x:c r="K614" s="78"/>
    </x:row>
    <x:row r="615">
      <x:c r="A615" s="73"/>
      <x:c r="B615" s="73"/>
      <x:c r="C615" s="74"/>
      <x:c r="D615" s="73"/>
      <x:c r="E615" s="73"/>
      <x:c r="F615" s="75"/>
      <x:c r="G615" s="75"/>
      <x:c r="H615" s="76" t="str">
        <x:f>IF(A615="","",F615-G615)</x:f>
      </x:c>
      <x:c r="I615" s="77" t="str">
        <x:f>IF(A615="","",IF(E615="","기타/불명",IF(IFERROR(SEARCH("급여",E615),0)&gt;0,"인건비",IF(IFERROR(SEARCH("임차",E615),0)&gt;0,"임차·시설",IF(IFERROR(SEARCH("광고",E615),0)&gt;0,"광고·행사",IF(IFERROR(SEARCH("용역",E615),0)&gt;0,"용역·수수료","기타/불명"))))))</x:f>
      </x:c>
      <x:c r="J615" s="77" t="str">
        <x:f>IF(A615="","",IF(I615="기타/불명","확인 필요","결의서명으로 1차 확인"))</x:f>
      </x:c>
      <x:c r="K615" s="78"/>
    </x:row>
    <x:row r="616">
      <x:c r="A616" s="73"/>
      <x:c r="B616" s="73"/>
      <x:c r="C616" s="74"/>
      <x:c r="D616" s="73"/>
      <x:c r="E616" s="73"/>
      <x:c r="F616" s="75"/>
      <x:c r="G616" s="75"/>
      <x:c r="H616" s="76" t="str">
        <x:f>IF(A616="","",F616-G616)</x:f>
      </x:c>
      <x:c r="I616" s="77" t="str">
        <x:f>IF(A616="","",IF(E616="","기타/불명",IF(IFERROR(SEARCH("급여",E616),0)&gt;0,"인건비",IF(IFERROR(SEARCH("임차",E616),0)&gt;0,"임차·시설",IF(IFERROR(SEARCH("광고",E616),0)&gt;0,"광고·행사",IF(IFERROR(SEARCH("용역",E616),0)&gt;0,"용역·수수료","기타/불명"))))))</x:f>
      </x:c>
      <x:c r="J616" s="77" t="str">
        <x:f>IF(A616="","",IF(I616="기타/불명","확인 필요","결의서명으로 1차 확인"))</x:f>
      </x:c>
      <x:c r="K616" s="78"/>
    </x:row>
    <x:row r="617">
      <x:c r="A617" s="73"/>
      <x:c r="B617" s="73"/>
      <x:c r="C617" s="74"/>
      <x:c r="D617" s="73"/>
      <x:c r="E617" s="73"/>
      <x:c r="F617" s="75"/>
      <x:c r="G617" s="75"/>
      <x:c r="H617" s="76" t="str">
        <x:f>IF(A617="","",F617-G617)</x:f>
      </x:c>
      <x:c r="I617" s="77" t="str">
        <x:f>IF(A617="","",IF(E617="","기타/불명",IF(IFERROR(SEARCH("급여",E617),0)&gt;0,"인건비",IF(IFERROR(SEARCH("임차",E617),0)&gt;0,"임차·시설",IF(IFERROR(SEARCH("광고",E617),0)&gt;0,"광고·행사",IF(IFERROR(SEARCH("용역",E617),0)&gt;0,"용역·수수료","기타/불명"))))))</x:f>
      </x:c>
      <x:c r="J617" s="77" t="str">
        <x:f>IF(A617="","",IF(I617="기타/불명","확인 필요","결의서명으로 1차 확인"))</x:f>
      </x:c>
      <x:c r="K617" s="78"/>
    </x:row>
    <x:row r="618">
      <x:c r="A618" s="73"/>
      <x:c r="B618" s="73"/>
      <x:c r="C618" s="74"/>
      <x:c r="D618" s="73"/>
      <x:c r="E618" s="73"/>
      <x:c r="F618" s="75"/>
      <x:c r="G618" s="75"/>
      <x:c r="H618" s="76" t="str">
        <x:f>IF(A618="","",F618-G618)</x:f>
      </x:c>
      <x:c r="I618" s="77" t="str">
        <x:f>IF(A618="","",IF(E618="","기타/불명",IF(IFERROR(SEARCH("급여",E618),0)&gt;0,"인건비",IF(IFERROR(SEARCH("임차",E618),0)&gt;0,"임차·시설",IF(IFERROR(SEARCH("광고",E618),0)&gt;0,"광고·행사",IF(IFERROR(SEARCH("용역",E618),0)&gt;0,"용역·수수료","기타/불명"))))))</x:f>
      </x:c>
      <x:c r="J618" s="77" t="str">
        <x:f>IF(A618="","",IF(I618="기타/불명","확인 필요","결의서명으로 1차 확인"))</x:f>
      </x:c>
      <x:c r="K618" s="78"/>
    </x:row>
    <x:row r="619">
      <x:c r="A619" s="73"/>
      <x:c r="B619" s="73"/>
      <x:c r="C619" s="74"/>
      <x:c r="D619" s="73"/>
      <x:c r="E619" s="73"/>
      <x:c r="F619" s="75"/>
      <x:c r="G619" s="75"/>
      <x:c r="H619" s="76" t="str">
        <x:f>IF(A619="","",F619-G619)</x:f>
      </x:c>
      <x:c r="I619" s="77" t="str">
        <x:f>IF(A619="","",IF(E619="","기타/불명",IF(IFERROR(SEARCH("급여",E619),0)&gt;0,"인건비",IF(IFERROR(SEARCH("임차",E619),0)&gt;0,"임차·시설",IF(IFERROR(SEARCH("광고",E619),0)&gt;0,"광고·행사",IF(IFERROR(SEARCH("용역",E619),0)&gt;0,"용역·수수료","기타/불명"))))))</x:f>
      </x:c>
      <x:c r="J619" s="77" t="str">
        <x:f>IF(A619="","",IF(I619="기타/불명","확인 필요","결의서명으로 1차 확인"))</x:f>
      </x:c>
      <x:c r="K619" s="78"/>
    </x:row>
    <x:row r="620">
      <x:c r="A620" s="73"/>
      <x:c r="B620" s="73"/>
      <x:c r="C620" s="74"/>
      <x:c r="D620" s="73"/>
      <x:c r="E620" s="73"/>
      <x:c r="F620" s="75"/>
      <x:c r="G620" s="75"/>
      <x:c r="H620" s="76" t="str">
        <x:f>IF(A620="","",F620-G620)</x:f>
      </x:c>
      <x:c r="I620" s="77" t="str">
        <x:f>IF(A620="","",IF(E620="","기타/불명",IF(IFERROR(SEARCH("급여",E620),0)&gt;0,"인건비",IF(IFERROR(SEARCH("임차",E620),0)&gt;0,"임차·시설",IF(IFERROR(SEARCH("광고",E620),0)&gt;0,"광고·행사",IF(IFERROR(SEARCH("용역",E620),0)&gt;0,"용역·수수료","기타/불명"))))))</x:f>
      </x:c>
      <x:c r="J620" s="77" t="str">
        <x:f>IF(A620="","",IF(I620="기타/불명","확인 필요","결의서명으로 1차 확인"))</x:f>
      </x:c>
      <x:c r="K620" s="78"/>
    </x:row>
    <x:row r="621">
      <x:c r="A621" s="73"/>
      <x:c r="B621" s="73"/>
      <x:c r="C621" s="74"/>
      <x:c r="D621" s="73"/>
      <x:c r="E621" s="73"/>
      <x:c r="F621" s="75"/>
      <x:c r="G621" s="75"/>
      <x:c r="H621" s="76" t="str">
        <x:f>IF(A621="","",F621-G621)</x:f>
      </x:c>
      <x:c r="I621" s="77" t="str">
        <x:f>IF(A621="","",IF(E621="","기타/불명",IF(IFERROR(SEARCH("급여",E621),0)&gt;0,"인건비",IF(IFERROR(SEARCH("임차",E621),0)&gt;0,"임차·시설",IF(IFERROR(SEARCH("광고",E621),0)&gt;0,"광고·행사",IF(IFERROR(SEARCH("용역",E621),0)&gt;0,"용역·수수료","기타/불명"))))))</x:f>
      </x:c>
      <x:c r="J621" s="77" t="str">
        <x:f>IF(A621="","",IF(I621="기타/불명","확인 필요","결의서명으로 1차 확인"))</x:f>
      </x:c>
      <x:c r="K621" s="78"/>
    </x:row>
    <x:row r="622">
      <x:c r="A622" s="73"/>
      <x:c r="B622" s="73"/>
      <x:c r="C622" s="74"/>
      <x:c r="D622" s="73"/>
      <x:c r="E622" s="73"/>
      <x:c r="F622" s="75"/>
      <x:c r="G622" s="75"/>
      <x:c r="H622" s="76" t="str">
        <x:f>IF(A622="","",F622-G622)</x:f>
      </x:c>
      <x:c r="I622" s="77" t="str">
        <x:f>IF(A622="","",IF(E622="","기타/불명",IF(IFERROR(SEARCH("급여",E622),0)&gt;0,"인건비",IF(IFERROR(SEARCH("임차",E622),0)&gt;0,"임차·시설",IF(IFERROR(SEARCH("광고",E622),0)&gt;0,"광고·행사",IF(IFERROR(SEARCH("용역",E622),0)&gt;0,"용역·수수료","기타/불명"))))))</x:f>
      </x:c>
      <x:c r="J622" s="77" t="str">
        <x:f>IF(A622="","",IF(I622="기타/불명","확인 필요","결의서명으로 1차 확인"))</x:f>
      </x:c>
      <x:c r="K622" s="78"/>
    </x:row>
    <x:row r="623">
      <x:c r="A623" s="73"/>
      <x:c r="B623" s="73"/>
      <x:c r="C623" s="74"/>
      <x:c r="D623" s="73"/>
      <x:c r="E623" s="73"/>
      <x:c r="F623" s="75"/>
      <x:c r="G623" s="75"/>
      <x:c r="H623" s="76" t="str">
        <x:f>IF(A623="","",F623-G623)</x:f>
      </x:c>
      <x:c r="I623" s="77" t="str">
        <x:f>IF(A623="","",IF(E623="","기타/불명",IF(IFERROR(SEARCH("급여",E623),0)&gt;0,"인건비",IF(IFERROR(SEARCH("임차",E623),0)&gt;0,"임차·시설",IF(IFERROR(SEARCH("광고",E623),0)&gt;0,"광고·행사",IF(IFERROR(SEARCH("용역",E623),0)&gt;0,"용역·수수료","기타/불명"))))))</x:f>
      </x:c>
      <x:c r="J623" s="77" t="str">
        <x:f>IF(A623="","",IF(I623="기타/불명","확인 필요","결의서명으로 1차 확인"))</x:f>
      </x:c>
      <x:c r="K623" s="78"/>
    </x:row>
    <x:row r="624">
      <x:c r="A624" s="73"/>
      <x:c r="B624" s="73"/>
      <x:c r="C624" s="74"/>
      <x:c r="D624" s="73"/>
      <x:c r="E624" s="73"/>
      <x:c r="F624" s="75"/>
      <x:c r="G624" s="75"/>
      <x:c r="H624" s="76" t="str">
        <x:f>IF(A624="","",F624-G624)</x:f>
      </x:c>
      <x:c r="I624" s="77" t="str">
        <x:f>IF(A624="","",IF(E624="","기타/불명",IF(IFERROR(SEARCH("급여",E624),0)&gt;0,"인건비",IF(IFERROR(SEARCH("임차",E624),0)&gt;0,"임차·시설",IF(IFERROR(SEARCH("광고",E624),0)&gt;0,"광고·행사",IF(IFERROR(SEARCH("용역",E624),0)&gt;0,"용역·수수료","기타/불명"))))))</x:f>
      </x:c>
      <x:c r="J624" s="77" t="str">
        <x:f>IF(A624="","",IF(I624="기타/불명","확인 필요","결의서명으로 1차 확인"))</x:f>
      </x:c>
      <x:c r="K624" s="78"/>
    </x:row>
    <x:row r="625">
      <x:c r="A625" s="73"/>
      <x:c r="B625" s="73"/>
      <x:c r="C625" s="74"/>
      <x:c r="D625" s="73"/>
      <x:c r="E625" s="73"/>
      <x:c r="F625" s="75"/>
      <x:c r="G625" s="75"/>
      <x:c r="H625" s="76" t="str">
        <x:f>IF(A625="","",F625-G625)</x:f>
      </x:c>
      <x:c r="I625" s="77" t="str">
        <x:f>IF(A625="","",IF(E625="","기타/불명",IF(IFERROR(SEARCH("급여",E625),0)&gt;0,"인건비",IF(IFERROR(SEARCH("임차",E625),0)&gt;0,"임차·시설",IF(IFERROR(SEARCH("광고",E625),0)&gt;0,"광고·행사",IF(IFERROR(SEARCH("용역",E625),0)&gt;0,"용역·수수료","기타/불명"))))))</x:f>
      </x:c>
      <x:c r="J625" s="77" t="str">
        <x:f>IF(A625="","",IF(I625="기타/불명","확인 필요","결의서명으로 1차 확인"))</x:f>
      </x:c>
      <x:c r="K625" s="78"/>
    </x:row>
    <x:row r="626">
      <x:c r="A626" s="73"/>
      <x:c r="B626" s="73"/>
      <x:c r="C626" s="74"/>
      <x:c r="D626" s="73"/>
      <x:c r="E626" s="73"/>
      <x:c r="F626" s="75"/>
      <x:c r="G626" s="75"/>
      <x:c r="H626" s="76" t="str">
        <x:f>IF(A626="","",F626-G626)</x:f>
      </x:c>
      <x:c r="I626" s="77" t="str">
        <x:f>IF(A626="","",IF(E626="","기타/불명",IF(IFERROR(SEARCH("급여",E626),0)&gt;0,"인건비",IF(IFERROR(SEARCH("임차",E626),0)&gt;0,"임차·시설",IF(IFERROR(SEARCH("광고",E626),0)&gt;0,"광고·행사",IF(IFERROR(SEARCH("용역",E626),0)&gt;0,"용역·수수료","기타/불명"))))))</x:f>
      </x:c>
      <x:c r="J626" s="77" t="str">
        <x:f>IF(A626="","",IF(I626="기타/불명","확인 필요","결의서명으로 1차 확인"))</x:f>
      </x:c>
      <x:c r="K626" s="78"/>
    </x:row>
    <x:row r="627">
      <x:c r="A627" s="73"/>
      <x:c r="B627" s="73"/>
      <x:c r="C627" s="74"/>
      <x:c r="D627" s="73"/>
      <x:c r="E627" s="73"/>
      <x:c r="F627" s="75"/>
      <x:c r="G627" s="75"/>
      <x:c r="H627" s="76" t="str">
        <x:f>IF(A627="","",F627-G627)</x:f>
      </x:c>
      <x:c r="I627" s="77" t="str">
        <x:f>IF(A627="","",IF(E627="","기타/불명",IF(IFERROR(SEARCH("급여",E627),0)&gt;0,"인건비",IF(IFERROR(SEARCH("임차",E627),0)&gt;0,"임차·시설",IF(IFERROR(SEARCH("광고",E627),0)&gt;0,"광고·행사",IF(IFERROR(SEARCH("용역",E627),0)&gt;0,"용역·수수료","기타/불명"))))))</x:f>
      </x:c>
      <x:c r="J627" s="77" t="str">
        <x:f>IF(A627="","",IF(I627="기타/불명","확인 필요","결의서명으로 1차 확인"))</x:f>
      </x:c>
      <x:c r="K627" s="78"/>
    </x:row>
    <x:row r="628">
      <x:c r="A628" s="73"/>
      <x:c r="B628" s="73"/>
      <x:c r="C628" s="74"/>
      <x:c r="D628" s="73"/>
      <x:c r="E628" s="73"/>
      <x:c r="F628" s="75"/>
      <x:c r="G628" s="75"/>
      <x:c r="H628" s="76" t="str">
        <x:f>IF(A628="","",F628-G628)</x:f>
      </x:c>
      <x:c r="I628" s="77" t="str">
        <x:f>IF(A628="","",IF(E628="","기타/불명",IF(IFERROR(SEARCH("급여",E628),0)&gt;0,"인건비",IF(IFERROR(SEARCH("임차",E628),0)&gt;0,"임차·시설",IF(IFERROR(SEARCH("광고",E628),0)&gt;0,"광고·행사",IF(IFERROR(SEARCH("용역",E628),0)&gt;0,"용역·수수료","기타/불명"))))))</x:f>
      </x:c>
      <x:c r="J628" s="77" t="str">
        <x:f>IF(A628="","",IF(I628="기타/불명","확인 필요","결의서명으로 1차 확인"))</x:f>
      </x:c>
      <x:c r="K628" s="78"/>
    </x:row>
    <x:row r="629">
      <x:c r="A629" s="73"/>
      <x:c r="B629" s="73"/>
      <x:c r="C629" s="74"/>
      <x:c r="D629" s="73"/>
      <x:c r="E629" s="73"/>
      <x:c r="F629" s="75"/>
      <x:c r="G629" s="75"/>
      <x:c r="H629" s="76" t="str">
        <x:f>IF(A629="","",F629-G629)</x:f>
      </x:c>
      <x:c r="I629" s="77" t="str">
        <x:f>IF(A629="","",IF(E629="","기타/불명",IF(IFERROR(SEARCH("급여",E629),0)&gt;0,"인건비",IF(IFERROR(SEARCH("임차",E629),0)&gt;0,"임차·시설",IF(IFERROR(SEARCH("광고",E629),0)&gt;0,"광고·행사",IF(IFERROR(SEARCH("용역",E629),0)&gt;0,"용역·수수료","기타/불명"))))))</x:f>
      </x:c>
      <x:c r="J629" s="77" t="str">
        <x:f>IF(A629="","",IF(I629="기타/불명","확인 필요","결의서명으로 1차 확인"))</x:f>
      </x:c>
      <x:c r="K629" s="78"/>
    </x:row>
    <x:row r="630">
      <x:c r="A630" s="73"/>
      <x:c r="B630" s="73"/>
      <x:c r="C630" s="74"/>
      <x:c r="D630" s="73"/>
      <x:c r="E630" s="73"/>
      <x:c r="F630" s="75"/>
      <x:c r="G630" s="75"/>
      <x:c r="H630" s="76" t="str">
        <x:f>IF(A630="","",F630-G630)</x:f>
      </x:c>
      <x:c r="I630" s="77" t="str">
        <x:f>IF(A630="","",IF(E630="","기타/불명",IF(IFERROR(SEARCH("급여",E630),0)&gt;0,"인건비",IF(IFERROR(SEARCH("임차",E630),0)&gt;0,"임차·시설",IF(IFERROR(SEARCH("광고",E630),0)&gt;0,"광고·행사",IF(IFERROR(SEARCH("용역",E630),0)&gt;0,"용역·수수료","기타/불명"))))))</x:f>
      </x:c>
      <x:c r="J630" s="77" t="str">
        <x:f>IF(A630="","",IF(I630="기타/불명","확인 필요","결의서명으로 1차 확인"))</x:f>
      </x:c>
      <x:c r="K630" s="78"/>
    </x:row>
    <x:row r="631">
      <x:c r="A631" s="73"/>
      <x:c r="B631" s="73"/>
      <x:c r="C631" s="74"/>
      <x:c r="D631" s="73"/>
      <x:c r="E631" s="73"/>
      <x:c r="F631" s="75"/>
      <x:c r="G631" s="75"/>
      <x:c r="H631" s="76" t="str">
        <x:f>IF(A631="","",F631-G631)</x:f>
      </x:c>
      <x:c r="I631" s="77" t="str">
        <x:f>IF(A631="","",IF(E631="","기타/불명",IF(IFERROR(SEARCH("급여",E631),0)&gt;0,"인건비",IF(IFERROR(SEARCH("임차",E631),0)&gt;0,"임차·시설",IF(IFERROR(SEARCH("광고",E631),0)&gt;0,"광고·행사",IF(IFERROR(SEARCH("용역",E631),0)&gt;0,"용역·수수료","기타/불명"))))))</x:f>
      </x:c>
      <x:c r="J631" s="77" t="str">
        <x:f>IF(A631="","",IF(I631="기타/불명","확인 필요","결의서명으로 1차 확인"))</x:f>
      </x:c>
      <x:c r="K631" s="78"/>
    </x:row>
    <x:row r="632">
      <x:c r="A632" s="73"/>
      <x:c r="B632" s="73"/>
      <x:c r="C632" s="74"/>
      <x:c r="D632" s="73"/>
      <x:c r="E632" s="73"/>
      <x:c r="F632" s="75"/>
      <x:c r="G632" s="75"/>
      <x:c r="H632" s="76" t="str">
        <x:f>IF(A632="","",F632-G632)</x:f>
      </x:c>
      <x:c r="I632" s="77" t="str">
        <x:f>IF(A632="","",IF(E632="","기타/불명",IF(IFERROR(SEARCH("급여",E632),0)&gt;0,"인건비",IF(IFERROR(SEARCH("임차",E632),0)&gt;0,"임차·시설",IF(IFERROR(SEARCH("광고",E632),0)&gt;0,"광고·행사",IF(IFERROR(SEARCH("용역",E632),0)&gt;0,"용역·수수료","기타/불명"))))))</x:f>
      </x:c>
      <x:c r="J632" s="77" t="str">
        <x:f>IF(A632="","",IF(I632="기타/불명","확인 필요","결의서명으로 1차 확인"))</x:f>
      </x:c>
      <x:c r="K632" s="78"/>
    </x:row>
    <x:row r="633">
      <x:c r="A633" s="73"/>
      <x:c r="B633" s="73"/>
      <x:c r="C633" s="74"/>
      <x:c r="D633" s="73"/>
      <x:c r="E633" s="73"/>
      <x:c r="F633" s="75"/>
      <x:c r="G633" s="75"/>
      <x:c r="H633" s="76" t="str">
        <x:f>IF(A633="","",F633-G633)</x:f>
      </x:c>
      <x:c r="I633" s="77" t="str">
        <x:f>IF(A633="","",IF(E633="","기타/불명",IF(IFERROR(SEARCH("급여",E633),0)&gt;0,"인건비",IF(IFERROR(SEARCH("임차",E633),0)&gt;0,"임차·시설",IF(IFERROR(SEARCH("광고",E633),0)&gt;0,"광고·행사",IF(IFERROR(SEARCH("용역",E633),0)&gt;0,"용역·수수료","기타/불명"))))))</x:f>
      </x:c>
      <x:c r="J633" s="77" t="str">
        <x:f>IF(A633="","",IF(I633="기타/불명","확인 필요","결의서명으로 1차 확인"))</x:f>
      </x:c>
      <x:c r="K633" s="78"/>
    </x:row>
    <x:row r="634">
      <x:c r="A634" s="73"/>
      <x:c r="B634" s="73"/>
      <x:c r="C634" s="74"/>
      <x:c r="D634" s="73"/>
      <x:c r="E634" s="73"/>
      <x:c r="F634" s="75"/>
      <x:c r="G634" s="75"/>
      <x:c r="H634" s="76" t="str">
        <x:f>IF(A634="","",F634-G634)</x:f>
      </x:c>
      <x:c r="I634" s="77" t="str">
        <x:f>IF(A634="","",IF(E634="","기타/불명",IF(IFERROR(SEARCH("급여",E634),0)&gt;0,"인건비",IF(IFERROR(SEARCH("임차",E634),0)&gt;0,"임차·시설",IF(IFERROR(SEARCH("광고",E634),0)&gt;0,"광고·행사",IF(IFERROR(SEARCH("용역",E634),0)&gt;0,"용역·수수료","기타/불명"))))))</x:f>
      </x:c>
      <x:c r="J634" s="77" t="str">
        <x:f>IF(A634="","",IF(I634="기타/불명","확인 필요","결의서명으로 1차 확인"))</x:f>
      </x:c>
      <x:c r="K634" s="78"/>
    </x:row>
    <x:row r="635">
      <x:c r="A635" s="73"/>
      <x:c r="B635" s="73"/>
      <x:c r="C635" s="74"/>
      <x:c r="D635" s="73"/>
      <x:c r="E635" s="73"/>
      <x:c r="F635" s="75"/>
      <x:c r="G635" s="75"/>
      <x:c r="H635" s="76" t="str">
        <x:f>IF(A635="","",F635-G635)</x:f>
      </x:c>
      <x:c r="I635" s="77" t="str">
        <x:f>IF(A635="","",IF(E635="","기타/불명",IF(IFERROR(SEARCH("급여",E635),0)&gt;0,"인건비",IF(IFERROR(SEARCH("임차",E635),0)&gt;0,"임차·시설",IF(IFERROR(SEARCH("광고",E635),0)&gt;0,"광고·행사",IF(IFERROR(SEARCH("용역",E635),0)&gt;0,"용역·수수료","기타/불명"))))))</x:f>
      </x:c>
      <x:c r="J635" s="77" t="str">
        <x:f>IF(A635="","",IF(I635="기타/불명","확인 필요","결의서명으로 1차 확인"))</x:f>
      </x:c>
      <x:c r="K635" s="78"/>
    </x:row>
    <x:row r="636">
      <x:c r="A636" s="73"/>
      <x:c r="B636" s="73"/>
      <x:c r="C636" s="74"/>
      <x:c r="D636" s="73"/>
      <x:c r="E636" s="73"/>
      <x:c r="F636" s="75"/>
      <x:c r="G636" s="75"/>
      <x:c r="H636" s="76" t="str">
        <x:f>IF(A636="","",F636-G636)</x:f>
      </x:c>
      <x:c r="I636" s="77" t="str">
        <x:f>IF(A636="","",IF(E636="","기타/불명",IF(IFERROR(SEARCH("급여",E636),0)&gt;0,"인건비",IF(IFERROR(SEARCH("임차",E636),0)&gt;0,"임차·시설",IF(IFERROR(SEARCH("광고",E636),0)&gt;0,"광고·행사",IF(IFERROR(SEARCH("용역",E636),0)&gt;0,"용역·수수료","기타/불명"))))))</x:f>
      </x:c>
      <x:c r="J636" s="77" t="str">
        <x:f>IF(A636="","",IF(I636="기타/불명","확인 필요","결의서명으로 1차 확인"))</x:f>
      </x:c>
      <x:c r="K636" s="78"/>
    </x:row>
    <x:row r="637">
      <x:c r="A637" s="73"/>
      <x:c r="B637" s="73"/>
      <x:c r="C637" s="74"/>
      <x:c r="D637" s="73"/>
      <x:c r="E637" s="73"/>
      <x:c r="F637" s="75"/>
      <x:c r="G637" s="75"/>
      <x:c r="H637" s="76" t="str">
        <x:f>IF(A637="","",F637-G637)</x:f>
      </x:c>
      <x:c r="I637" s="77" t="str">
        <x:f>IF(A637="","",IF(E637="","기타/불명",IF(IFERROR(SEARCH("급여",E637),0)&gt;0,"인건비",IF(IFERROR(SEARCH("임차",E637),0)&gt;0,"임차·시설",IF(IFERROR(SEARCH("광고",E637),0)&gt;0,"광고·행사",IF(IFERROR(SEARCH("용역",E637),0)&gt;0,"용역·수수료","기타/불명"))))))</x:f>
      </x:c>
      <x:c r="J637" s="77" t="str">
        <x:f>IF(A637="","",IF(I637="기타/불명","확인 필요","결의서명으로 1차 확인"))</x:f>
      </x:c>
      <x:c r="K637" s="78"/>
    </x:row>
    <x:row r="638">
      <x:c r="A638" s="73"/>
      <x:c r="B638" s="73"/>
      <x:c r="C638" s="74"/>
      <x:c r="D638" s="73"/>
      <x:c r="E638" s="73"/>
      <x:c r="F638" s="75"/>
      <x:c r="G638" s="75"/>
      <x:c r="H638" s="76" t="str">
        <x:f>IF(A638="","",F638-G638)</x:f>
      </x:c>
      <x:c r="I638" s="77" t="str">
        <x:f>IF(A638="","",IF(E638="","기타/불명",IF(IFERROR(SEARCH("급여",E638),0)&gt;0,"인건비",IF(IFERROR(SEARCH("임차",E638),0)&gt;0,"임차·시설",IF(IFERROR(SEARCH("광고",E638),0)&gt;0,"광고·행사",IF(IFERROR(SEARCH("용역",E638),0)&gt;0,"용역·수수료","기타/불명"))))))</x:f>
      </x:c>
      <x:c r="J638" s="77" t="str">
        <x:f>IF(A638="","",IF(I638="기타/불명","확인 필요","결의서명으로 1차 확인"))</x:f>
      </x:c>
      <x:c r="K638" s="78"/>
    </x:row>
    <x:row r="639">
      <x:c r="A639" s="73"/>
      <x:c r="B639" s="73"/>
      <x:c r="C639" s="74"/>
      <x:c r="D639" s="73"/>
      <x:c r="E639" s="73"/>
      <x:c r="F639" s="75"/>
      <x:c r="G639" s="75"/>
      <x:c r="H639" s="76" t="str">
        <x:f>IF(A639="","",F639-G639)</x:f>
      </x:c>
      <x:c r="I639" s="77" t="str">
        <x:f>IF(A639="","",IF(E639="","기타/불명",IF(IFERROR(SEARCH("급여",E639),0)&gt;0,"인건비",IF(IFERROR(SEARCH("임차",E639),0)&gt;0,"임차·시설",IF(IFERROR(SEARCH("광고",E639),0)&gt;0,"광고·행사",IF(IFERROR(SEARCH("용역",E639),0)&gt;0,"용역·수수료","기타/불명"))))))</x:f>
      </x:c>
      <x:c r="J639" s="77" t="str">
        <x:f>IF(A639="","",IF(I639="기타/불명","확인 필요","결의서명으로 1차 확인"))</x:f>
      </x:c>
      <x:c r="K639" s="78"/>
    </x:row>
    <x:row r="640">
      <x:c r="A640" s="73"/>
      <x:c r="B640" s="73"/>
      <x:c r="C640" s="74"/>
      <x:c r="D640" s="73"/>
      <x:c r="E640" s="73"/>
      <x:c r="F640" s="75"/>
      <x:c r="G640" s="75"/>
      <x:c r="H640" s="76" t="str">
        <x:f>IF(A640="","",F640-G640)</x:f>
      </x:c>
      <x:c r="I640" s="77" t="str">
        <x:f>IF(A640="","",IF(E640="","기타/불명",IF(IFERROR(SEARCH("급여",E640),0)&gt;0,"인건비",IF(IFERROR(SEARCH("임차",E640),0)&gt;0,"임차·시설",IF(IFERROR(SEARCH("광고",E640),0)&gt;0,"광고·행사",IF(IFERROR(SEARCH("용역",E640),0)&gt;0,"용역·수수료","기타/불명"))))))</x:f>
      </x:c>
      <x:c r="J640" s="77" t="str">
        <x:f>IF(A640="","",IF(I640="기타/불명","확인 필요","결의서명으로 1차 확인"))</x:f>
      </x:c>
      <x:c r="K640" s="78"/>
    </x:row>
    <x:row r="641">
      <x:c r="A641" s="73"/>
      <x:c r="B641" s="73"/>
      <x:c r="C641" s="74"/>
      <x:c r="D641" s="73"/>
      <x:c r="E641" s="73"/>
      <x:c r="F641" s="75"/>
      <x:c r="G641" s="75"/>
      <x:c r="H641" s="76" t="str">
        <x:f>IF(A641="","",F641-G641)</x:f>
      </x:c>
      <x:c r="I641" s="77" t="str">
        <x:f>IF(A641="","",IF(E641="","기타/불명",IF(IFERROR(SEARCH("급여",E641),0)&gt;0,"인건비",IF(IFERROR(SEARCH("임차",E641),0)&gt;0,"임차·시설",IF(IFERROR(SEARCH("광고",E641),0)&gt;0,"광고·행사",IF(IFERROR(SEARCH("용역",E641),0)&gt;0,"용역·수수료","기타/불명"))))))</x:f>
      </x:c>
      <x:c r="J641" s="77" t="str">
        <x:f>IF(A641="","",IF(I641="기타/불명","확인 필요","결의서명으로 1차 확인"))</x:f>
      </x:c>
      <x:c r="K641" s="78"/>
    </x:row>
    <x:row r="642">
      <x:c r="A642" s="73"/>
      <x:c r="B642" s="73"/>
      <x:c r="C642" s="74"/>
      <x:c r="D642" s="73"/>
      <x:c r="E642" s="73"/>
      <x:c r="F642" s="75"/>
      <x:c r="G642" s="75"/>
      <x:c r="H642" s="76" t="str">
        <x:f>IF(A642="","",F642-G642)</x:f>
      </x:c>
      <x:c r="I642" s="77" t="str">
        <x:f>IF(A642="","",IF(E642="","기타/불명",IF(IFERROR(SEARCH("급여",E642),0)&gt;0,"인건비",IF(IFERROR(SEARCH("임차",E642),0)&gt;0,"임차·시설",IF(IFERROR(SEARCH("광고",E642),0)&gt;0,"광고·행사",IF(IFERROR(SEARCH("용역",E642),0)&gt;0,"용역·수수료","기타/불명"))))))</x:f>
      </x:c>
      <x:c r="J642" s="77" t="str">
        <x:f>IF(A642="","",IF(I642="기타/불명","확인 필요","결의서명으로 1차 확인"))</x:f>
      </x:c>
      <x:c r="K642" s="78"/>
    </x:row>
    <x:row r="643">
      <x:c r="A643" s="73"/>
      <x:c r="B643" s="73"/>
      <x:c r="C643" s="74"/>
      <x:c r="D643" s="73"/>
      <x:c r="E643" s="73"/>
      <x:c r="F643" s="75"/>
      <x:c r="G643" s="75"/>
      <x:c r="H643" s="76" t="str">
        <x:f>IF(A643="","",F643-G643)</x:f>
      </x:c>
      <x:c r="I643" s="77" t="str">
        <x:f>IF(A643="","",IF(E643="","기타/불명",IF(IFERROR(SEARCH("급여",E643),0)&gt;0,"인건비",IF(IFERROR(SEARCH("임차",E643),0)&gt;0,"임차·시설",IF(IFERROR(SEARCH("광고",E643),0)&gt;0,"광고·행사",IF(IFERROR(SEARCH("용역",E643),0)&gt;0,"용역·수수료","기타/불명"))))))</x:f>
      </x:c>
      <x:c r="J643" s="77" t="str">
        <x:f>IF(A643="","",IF(I643="기타/불명","확인 필요","결의서명으로 1차 확인"))</x:f>
      </x:c>
      <x:c r="K643" s="78"/>
    </x:row>
    <x:row r="644">
      <x:c r="A644" s="73"/>
      <x:c r="B644" s="73"/>
      <x:c r="C644" s="74"/>
      <x:c r="D644" s="73"/>
      <x:c r="E644" s="73"/>
      <x:c r="F644" s="75"/>
      <x:c r="G644" s="75"/>
      <x:c r="H644" s="76" t="str">
        <x:f>IF(A644="","",F644-G644)</x:f>
      </x:c>
      <x:c r="I644" s="77" t="str">
        <x:f>IF(A644="","",IF(E644="","기타/불명",IF(IFERROR(SEARCH("급여",E644),0)&gt;0,"인건비",IF(IFERROR(SEARCH("임차",E644),0)&gt;0,"임차·시설",IF(IFERROR(SEARCH("광고",E644),0)&gt;0,"광고·행사",IF(IFERROR(SEARCH("용역",E644),0)&gt;0,"용역·수수료","기타/불명"))))))</x:f>
      </x:c>
      <x:c r="J644" s="77" t="str">
        <x:f>IF(A644="","",IF(I644="기타/불명","확인 필요","결의서명으로 1차 확인"))</x:f>
      </x:c>
      <x:c r="K644" s="78"/>
    </x:row>
    <x:row r="645">
      <x:c r="A645" s="73"/>
      <x:c r="B645" s="73"/>
      <x:c r="C645" s="74"/>
      <x:c r="D645" s="73"/>
      <x:c r="E645" s="73"/>
      <x:c r="F645" s="75"/>
      <x:c r="G645" s="75"/>
      <x:c r="H645" s="76" t="str">
        <x:f>IF(A645="","",F645-G645)</x:f>
      </x:c>
      <x:c r="I645" s="77" t="str">
        <x:f>IF(A645="","",IF(E645="","기타/불명",IF(IFERROR(SEARCH("급여",E645),0)&gt;0,"인건비",IF(IFERROR(SEARCH("임차",E645),0)&gt;0,"임차·시설",IF(IFERROR(SEARCH("광고",E645),0)&gt;0,"광고·행사",IF(IFERROR(SEARCH("용역",E645),0)&gt;0,"용역·수수료","기타/불명"))))))</x:f>
      </x:c>
      <x:c r="J645" s="77" t="str">
        <x:f>IF(A645="","",IF(I645="기타/불명","확인 필요","결의서명으로 1차 확인"))</x:f>
      </x:c>
      <x:c r="K645" s="78"/>
    </x:row>
    <x:row r="646">
      <x:c r="A646" s="73"/>
      <x:c r="B646" s="73"/>
      <x:c r="C646" s="74"/>
      <x:c r="D646" s="73"/>
      <x:c r="E646" s="73"/>
      <x:c r="F646" s="75"/>
      <x:c r="G646" s="75"/>
      <x:c r="H646" s="76" t="str">
        <x:f>IF(A646="","",F646-G646)</x:f>
      </x:c>
      <x:c r="I646" s="77" t="str">
        <x:f>IF(A646="","",IF(E646="","기타/불명",IF(IFERROR(SEARCH("급여",E646),0)&gt;0,"인건비",IF(IFERROR(SEARCH("임차",E646),0)&gt;0,"임차·시설",IF(IFERROR(SEARCH("광고",E646),0)&gt;0,"광고·행사",IF(IFERROR(SEARCH("용역",E646),0)&gt;0,"용역·수수료","기타/불명"))))))</x:f>
      </x:c>
      <x:c r="J646" s="77" t="str">
        <x:f>IF(A646="","",IF(I646="기타/불명","확인 필요","결의서명으로 1차 확인"))</x:f>
      </x:c>
      <x:c r="K646" s="78"/>
    </x:row>
    <x:row r="647">
      <x:c r="A647" s="73"/>
      <x:c r="B647" s="73"/>
      <x:c r="C647" s="74"/>
      <x:c r="D647" s="73"/>
      <x:c r="E647" s="73"/>
      <x:c r="F647" s="75"/>
      <x:c r="G647" s="75"/>
      <x:c r="H647" s="76" t="str">
        <x:f>IF(A647="","",F647-G647)</x:f>
      </x:c>
      <x:c r="I647" s="77" t="str">
        <x:f>IF(A647="","",IF(E647="","기타/불명",IF(IFERROR(SEARCH("급여",E647),0)&gt;0,"인건비",IF(IFERROR(SEARCH("임차",E647),0)&gt;0,"임차·시설",IF(IFERROR(SEARCH("광고",E647),0)&gt;0,"광고·행사",IF(IFERROR(SEARCH("용역",E647),0)&gt;0,"용역·수수료","기타/불명"))))))</x:f>
      </x:c>
      <x:c r="J647" s="77" t="str">
        <x:f>IF(A647="","",IF(I647="기타/불명","확인 필요","결의서명으로 1차 확인"))</x:f>
      </x:c>
      <x:c r="K647" s="78"/>
    </x:row>
    <x:row r="648">
      <x:c r="A648" s="73"/>
      <x:c r="B648" s="73"/>
      <x:c r="C648" s="74"/>
      <x:c r="D648" s="73"/>
      <x:c r="E648" s="73"/>
      <x:c r="F648" s="75"/>
      <x:c r="G648" s="75"/>
      <x:c r="H648" s="76" t="str">
        <x:f>IF(A648="","",F648-G648)</x:f>
      </x:c>
      <x:c r="I648" s="77" t="str">
        <x:f>IF(A648="","",IF(E648="","기타/불명",IF(IFERROR(SEARCH("급여",E648),0)&gt;0,"인건비",IF(IFERROR(SEARCH("임차",E648),0)&gt;0,"임차·시설",IF(IFERROR(SEARCH("광고",E648),0)&gt;0,"광고·행사",IF(IFERROR(SEARCH("용역",E648),0)&gt;0,"용역·수수료","기타/불명"))))))</x:f>
      </x:c>
      <x:c r="J648" s="77" t="str">
        <x:f>IF(A648="","",IF(I648="기타/불명","확인 필요","결의서명으로 1차 확인"))</x:f>
      </x:c>
      <x:c r="K648" s="78"/>
    </x:row>
    <x:row r="649">
      <x:c r="A649" s="73"/>
      <x:c r="B649" s="73"/>
      <x:c r="C649" s="74"/>
      <x:c r="D649" s="73"/>
      <x:c r="E649" s="73"/>
      <x:c r="F649" s="75"/>
      <x:c r="G649" s="75"/>
      <x:c r="H649" s="76" t="str">
        <x:f>IF(A649="","",F649-G649)</x:f>
      </x:c>
      <x:c r="I649" s="77" t="str">
        <x:f>IF(A649="","",IF(E649="","기타/불명",IF(IFERROR(SEARCH("급여",E649),0)&gt;0,"인건비",IF(IFERROR(SEARCH("임차",E649),0)&gt;0,"임차·시설",IF(IFERROR(SEARCH("광고",E649),0)&gt;0,"광고·행사",IF(IFERROR(SEARCH("용역",E649),0)&gt;0,"용역·수수료","기타/불명"))))))</x:f>
      </x:c>
      <x:c r="J649" s="77" t="str">
        <x:f>IF(A649="","",IF(I649="기타/불명","확인 필요","결의서명으로 1차 확인"))</x:f>
      </x:c>
      <x:c r="K649" s="78"/>
    </x:row>
    <x:row r="650">
      <x:c r="A650" s="73"/>
      <x:c r="B650" s="73"/>
      <x:c r="C650" s="74"/>
      <x:c r="D650" s="73"/>
      <x:c r="E650" s="73"/>
      <x:c r="F650" s="75"/>
      <x:c r="G650" s="75"/>
      <x:c r="H650" s="76" t="str">
        <x:f>IF(A650="","",F650-G650)</x:f>
      </x:c>
      <x:c r="I650" s="77" t="str">
        <x:f>IF(A650="","",IF(E650="","기타/불명",IF(IFERROR(SEARCH("급여",E650),0)&gt;0,"인건비",IF(IFERROR(SEARCH("임차",E650),0)&gt;0,"임차·시설",IF(IFERROR(SEARCH("광고",E650),0)&gt;0,"광고·행사",IF(IFERROR(SEARCH("용역",E650),0)&gt;0,"용역·수수료","기타/불명"))))))</x:f>
      </x:c>
      <x:c r="J650" s="77" t="str">
        <x:f>IF(A650="","",IF(I650="기타/불명","확인 필요","결의서명으로 1차 확인"))</x:f>
      </x:c>
      <x:c r="K650" s="78"/>
    </x:row>
    <x:row r="651">
      <x:c r="A651" s="73"/>
      <x:c r="B651" s="73"/>
      <x:c r="C651" s="74"/>
      <x:c r="D651" s="73"/>
      <x:c r="E651" s="73"/>
      <x:c r="F651" s="75"/>
      <x:c r="G651" s="75"/>
      <x:c r="H651" s="76" t="str">
        <x:f>IF(A651="","",F651-G651)</x:f>
      </x:c>
      <x:c r="I651" s="77" t="str">
        <x:f>IF(A651="","",IF(E651="","기타/불명",IF(IFERROR(SEARCH("급여",E651),0)&gt;0,"인건비",IF(IFERROR(SEARCH("임차",E651),0)&gt;0,"임차·시설",IF(IFERROR(SEARCH("광고",E651),0)&gt;0,"광고·행사",IF(IFERROR(SEARCH("용역",E651),0)&gt;0,"용역·수수료","기타/불명"))))))</x:f>
      </x:c>
      <x:c r="J651" s="77" t="str">
        <x:f>IF(A651="","",IF(I651="기타/불명","확인 필요","결의서명으로 1차 확인"))</x:f>
      </x:c>
      <x:c r="K651" s="78"/>
    </x:row>
    <x:row r="652">
      <x:c r="A652" s="73"/>
      <x:c r="B652" s="73"/>
      <x:c r="C652" s="74"/>
      <x:c r="D652" s="73"/>
      <x:c r="E652" s="73"/>
      <x:c r="F652" s="75"/>
      <x:c r="G652" s="75"/>
      <x:c r="H652" s="76" t="str">
        <x:f>IF(A652="","",F652-G652)</x:f>
      </x:c>
      <x:c r="I652" s="77" t="str">
        <x:f>IF(A652="","",IF(E652="","기타/불명",IF(IFERROR(SEARCH("급여",E652),0)&gt;0,"인건비",IF(IFERROR(SEARCH("임차",E652),0)&gt;0,"임차·시설",IF(IFERROR(SEARCH("광고",E652),0)&gt;0,"광고·행사",IF(IFERROR(SEARCH("용역",E652),0)&gt;0,"용역·수수료","기타/불명"))))))</x:f>
      </x:c>
      <x:c r="J652" s="77" t="str">
        <x:f>IF(A652="","",IF(I652="기타/불명","확인 필요","결의서명으로 1차 확인"))</x:f>
      </x:c>
      <x:c r="K652" s="78"/>
    </x:row>
    <x:row r="653">
      <x:c r="A653" s="73"/>
      <x:c r="B653" s="73"/>
      <x:c r="C653" s="74"/>
      <x:c r="D653" s="73"/>
      <x:c r="E653" s="73"/>
      <x:c r="F653" s="75"/>
      <x:c r="G653" s="75"/>
      <x:c r="H653" s="76" t="str">
        <x:f>IF(A653="","",F653-G653)</x:f>
      </x:c>
      <x:c r="I653" s="77" t="str">
        <x:f>IF(A653="","",IF(E653="","기타/불명",IF(IFERROR(SEARCH("급여",E653),0)&gt;0,"인건비",IF(IFERROR(SEARCH("임차",E653),0)&gt;0,"임차·시설",IF(IFERROR(SEARCH("광고",E653),0)&gt;0,"광고·행사",IF(IFERROR(SEARCH("용역",E653),0)&gt;0,"용역·수수료","기타/불명"))))))</x:f>
      </x:c>
      <x:c r="J653" s="77" t="str">
        <x:f>IF(A653="","",IF(I653="기타/불명","확인 필요","결의서명으로 1차 확인"))</x:f>
      </x:c>
      <x:c r="K653" s="78"/>
    </x:row>
    <x:row r="654">
      <x:c r="A654" s="73"/>
      <x:c r="B654" s="73"/>
      <x:c r="C654" s="74"/>
      <x:c r="D654" s="73"/>
      <x:c r="E654" s="73"/>
      <x:c r="F654" s="75"/>
      <x:c r="G654" s="75"/>
      <x:c r="H654" s="76" t="str">
        <x:f>IF(A654="","",F654-G654)</x:f>
      </x:c>
      <x:c r="I654" s="77" t="str">
        <x:f>IF(A654="","",IF(E654="","기타/불명",IF(IFERROR(SEARCH("급여",E654),0)&gt;0,"인건비",IF(IFERROR(SEARCH("임차",E654),0)&gt;0,"임차·시설",IF(IFERROR(SEARCH("광고",E654),0)&gt;0,"광고·행사",IF(IFERROR(SEARCH("용역",E654),0)&gt;0,"용역·수수료","기타/불명"))))))</x:f>
      </x:c>
      <x:c r="J654" s="77" t="str">
        <x:f>IF(A654="","",IF(I654="기타/불명","확인 필요","결의서명으로 1차 확인"))</x:f>
      </x:c>
      <x:c r="K654" s="78"/>
    </x:row>
    <x:row r="655">
      <x:c r="A655" s="73"/>
      <x:c r="B655" s="73"/>
      <x:c r="C655" s="74"/>
      <x:c r="D655" s="73"/>
      <x:c r="E655" s="73"/>
      <x:c r="F655" s="75"/>
      <x:c r="G655" s="75"/>
      <x:c r="H655" s="76" t="str">
        <x:f>IF(A655="","",F655-G655)</x:f>
      </x:c>
      <x:c r="I655" s="77" t="str">
        <x:f>IF(A655="","",IF(E655="","기타/불명",IF(IFERROR(SEARCH("급여",E655),0)&gt;0,"인건비",IF(IFERROR(SEARCH("임차",E655),0)&gt;0,"임차·시설",IF(IFERROR(SEARCH("광고",E655),0)&gt;0,"광고·행사",IF(IFERROR(SEARCH("용역",E655),0)&gt;0,"용역·수수료","기타/불명"))))))</x:f>
      </x:c>
      <x:c r="J655" s="77" t="str">
        <x:f>IF(A655="","",IF(I655="기타/불명","확인 필요","결의서명으로 1차 확인"))</x:f>
      </x:c>
      <x:c r="K655" s="78"/>
    </x:row>
    <x:row r="656">
      <x:c r="A656" s="73"/>
      <x:c r="B656" s="73"/>
      <x:c r="C656" s="74"/>
      <x:c r="D656" s="73"/>
      <x:c r="E656" s="73"/>
      <x:c r="F656" s="75"/>
      <x:c r="G656" s="75"/>
      <x:c r="H656" s="76" t="str">
        <x:f>IF(A656="","",F656-G656)</x:f>
      </x:c>
      <x:c r="I656" s="77" t="str">
        <x:f>IF(A656="","",IF(E656="","기타/불명",IF(IFERROR(SEARCH("급여",E656),0)&gt;0,"인건비",IF(IFERROR(SEARCH("임차",E656),0)&gt;0,"임차·시설",IF(IFERROR(SEARCH("광고",E656),0)&gt;0,"광고·행사",IF(IFERROR(SEARCH("용역",E656),0)&gt;0,"용역·수수료","기타/불명"))))))</x:f>
      </x:c>
      <x:c r="J656" s="77" t="str">
        <x:f>IF(A656="","",IF(I656="기타/불명","확인 필요","결의서명으로 1차 확인"))</x:f>
      </x:c>
      <x:c r="K656" s="78"/>
    </x:row>
    <x:row r="657">
      <x:c r="A657" s="73"/>
      <x:c r="B657" s="73"/>
      <x:c r="C657" s="74"/>
      <x:c r="D657" s="73"/>
      <x:c r="E657" s="73"/>
      <x:c r="F657" s="75"/>
      <x:c r="G657" s="75"/>
      <x:c r="H657" s="76" t="str">
        <x:f>IF(A657="","",F657-G657)</x:f>
      </x:c>
      <x:c r="I657" s="77" t="str">
        <x:f>IF(A657="","",IF(E657="","기타/불명",IF(IFERROR(SEARCH("급여",E657),0)&gt;0,"인건비",IF(IFERROR(SEARCH("임차",E657),0)&gt;0,"임차·시설",IF(IFERROR(SEARCH("광고",E657),0)&gt;0,"광고·행사",IF(IFERROR(SEARCH("용역",E657),0)&gt;0,"용역·수수료","기타/불명"))))))</x:f>
      </x:c>
      <x:c r="J657" s="77" t="str">
        <x:f>IF(A657="","",IF(I657="기타/불명","확인 필요","결의서명으로 1차 확인"))</x:f>
      </x:c>
      <x:c r="K657" s="78"/>
    </x:row>
    <x:row r="658">
      <x:c r="A658" s="73"/>
      <x:c r="B658" s="73"/>
      <x:c r="C658" s="74"/>
      <x:c r="D658" s="73"/>
      <x:c r="E658" s="73"/>
      <x:c r="F658" s="75"/>
      <x:c r="G658" s="75"/>
      <x:c r="H658" s="76" t="str">
        <x:f>IF(A658="","",F658-G658)</x:f>
      </x:c>
      <x:c r="I658" s="77" t="str">
        <x:f>IF(A658="","",IF(E658="","기타/불명",IF(IFERROR(SEARCH("급여",E658),0)&gt;0,"인건비",IF(IFERROR(SEARCH("임차",E658),0)&gt;0,"임차·시설",IF(IFERROR(SEARCH("광고",E658),0)&gt;0,"광고·행사",IF(IFERROR(SEARCH("용역",E658),0)&gt;0,"용역·수수료","기타/불명"))))))</x:f>
      </x:c>
      <x:c r="J658" s="77" t="str">
        <x:f>IF(A658="","",IF(I658="기타/불명","확인 필요","결의서명으로 1차 확인"))</x:f>
      </x:c>
      <x:c r="K658" s="78"/>
    </x:row>
    <x:row r="659">
      <x:c r="A659" s="73"/>
      <x:c r="B659" s="73"/>
      <x:c r="C659" s="74"/>
      <x:c r="D659" s="73"/>
      <x:c r="E659" s="73"/>
      <x:c r="F659" s="75"/>
      <x:c r="G659" s="75"/>
      <x:c r="H659" s="76" t="str">
        <x:f>IF(A659="","",F659-G659)</x:f>
      </x:c>
      <x:c r="I659" s="77" t="str">
        <x:f>IF(A659="","",IF(E659="","기타/불명",IF(IFERROR(SEARCH("급여",E659),0)&gt;0,"인건비",IF(IFERROR(SEARCH("임차",E659),0)&gt;0,"임차·시설",IF(IFERROR(SEARCH("광고",E659),0)&gt;0,"광고·행사",IF(IFERROR(SEARCH("용역",E659),0)&gt;0,"용역·수수료","기타/불명"))))))</x:f>
      </x:c>
      <x:c r="J659" s="77" t="str">
        <x:f>IF(A659="","",IF(I659="기타/불명","확인 필요","결의서명으로 1차 확인"))</x:f>
      </x:c>
      <x:c r="K659" s="78"/>
    </x:row>
    <x:row r="660">
      <x:c r="A660" s="73"/>
      <x:c r="B660" s="73"/>
      <x:c r="C660" s="74"/>
      <x:c r="D660" s="73"/>
      <x:c r="E660" s="73"/>
      <x:c r="F660" s="75"/>
      <x:c r="G660" s="75"/>
      <x:c r="H660" s="76" t="str">
        <x:f>IF(A660="","",F660-G660)</x:f>
      </x:c>
      <x:c r="I660" s="77" t="str">
        <x:f>IF(A660="","",IF(E660="","기타/불명",IF(IFERROR(SEARCH("급여",E660),0)&gt;0,"인건비",IF(IFERROR(SEARCH("임차",E660),0)&gt;0,"임차·시설",IF(IFERROR(SEARCH("광고",E660),0)&gt;0,"광고·행사",IF(IFERROR(SEARCH("용역",E660),0)&gt;0,"용역·수수료","기타/불명"))))))</x:f>
      </x:c>
      <x:c r="J660" s="77" t="str">
        <x:f>IF(A660="","",IF(I660="기타/불명","확인 필요","결의서명으로 1차 확인"))</x:f>
      </x:c>
      <x:c r="K660" s="78"/>
    </x:row>
    <x:row r="661">
      <x:c r="A661" s="73"/>
      <x:c r="B661" s="73"/>
      <x:c r="C661" s="74"/>
      <x:c r="D661" s="73"/>
      <x:c r="E661" s="73"/>
      <x:c r="F661" s="75"/>
      <x:c r="G661" s="75"/>
      <x:c r="H661" s="76" t="str">
        <x:f>IF(A661="","",F661-G661)</x:f>
      </x:c>
      <x:c r="I661" s="77" t="str">
        <x:f>IF(A661="","",IF(E661="","기타/불명",IF(IFERROR(SEARCH("급여",E661),0)&gt;0,"인건비",IF(IFERROR(SEARCH("임차",E661),0)&gt;0,"임차·시설",IF(IFERROR(SEARCH("광고",E661),0)&gt;0,"광고·행사",IF(IFERROR(SEARCH("용역",E661),0)&gt;0,"용역·수수료","기타/불명"))))))</x:f>
      </x:c>
      <x:c r="J661" s="77" t="str">
        <x:f>IF(A661="","",IF(I661="기타/불명","확인 필요","결의서명으로 1차 확인"))</x:f>
      </x:c>
      <x:c r="K661" s="78"/>
    </x:row>
    <x:row r="662">
      <x:c r="A662" s="73"/>
      <x:c r="B662" s="73"/>
      <x:c r="C662" s="74"/>
      <x:c r="D662" s="73"/>
      <x:c r="E662" s="73"/>
      <x:c r="F662" s="75"/>
      <x:c r="G662" s="75"/>
      <x:c r="H662" s="76" t="str">
        <x:f>IF(A662="","",F662-G662)</x:f>
      </x:c>
      <x:c r="I662" s="77" t="str">
        <x:f>IF(A662="","",IF(E662="","기타/불명",IF(IFERROR(SEARCH("급여",E662),0)&gt;0,"인건비",IF(IFERROR(SEARCH("임차",E662),0)&gt;0,"임차·시설",IF(IFERROR(SEARCH("광고",E662),0)&gt;0,"광고·행사",IF(IFERROR(SEARCH("용역",E662),0)&gt;0,"용역·수수료","기타/불명"))))))</x:f>
      </x:c>
      <x:c r="J662" s="77" t="str">
        <x:f>IF(A662="","",IF(I662="기타/불명","확인 필요","결의서명으로 1차 확인"))</x:f>
      </x:c>
      <x:c r="K662" s="78"/>
    </x:row>
    <x:row r="663">
      <x:c r="A663" s="73"/>
      <x:c r="B663" s="73"/>
      <x:c r="C663" s="74"/>
      <x:c r="D663" s="73"/>
      <x:c r="E663" s="73"/>
      <x:c r="F663" s="75"/>
      <x:c r="G663" s="75"/>
      <x:c r="H663" s="76" t="str">
        <x:f>IF(A663="","",F663-G663)</x:f>
      </x:c>
      <x:c r="I663" s="77" t="str">
        <x:f>IF(A663="","",IF(E663="","기타/불명",IF(IFERROR(SEARCH("급여",E663),0)&gt;0,"인건비",IF(IFERROR(SEARCH("임차",E663),0)&gt;0,"임차·시설",IF(IFERROR(SEARCH("광고",E663),0)&gt;0,"광고·행사",IF(IFERROR(SEARCH("용역",E663),0)&gt;0,"용역·수수료","기타/불명"))))))</x:f>
      </x:c>
      <x:c r="J663" s="77" t="str">
        <x:f>IF(A663="","",IF(I663="기타/불명","확인 필요","결의서명으로 1차 확인"))</x:f>
      </x:c>
      <x:c r="K663" s="78"/>
    </x:row>
    <x:row r="664">
      <x:c r="A664" s="73"/>
      <x:c r="B664" s="73"/>
      <x:c r="C664" s="74"/>
      <x:c r="D664" s="73"/>
      <x:c r="E664" s="73"/>
      <x:c r="F664" s="75"/>
      <x:c r="G664" s="75"/>
      <x:c r="H664" s="76" t="str">
        <x:f>IF(A664="","",F664-G664)</x:f>
      </x:c>
      <x:c r="I664" s="77" t="str">
        <x:f>IF(A664="","",IF(E664="","기타/불명",IF(IFERROR(SEARCH("급여",E664),0)&gt;0,"인건비",IF(IFERROR(SEARCH("임차",E664),0)&gt;0,"임차·시설",IF(IFERROR(SEARCH("광고",E664),0)&gt;0,"광고·행사",IF(IFERROR(SEARCH("용역",E664),0)&gt;0,"용역·수수료","기타/불명"))))))</x:f>
      </x:c>
      <x:c r="J664" s="77" t="str">
        <x:f>IF(A664="","",IF(I664="기타/불명","확인 필요","결의서명으로 1차 확인"))</x:f>
      </x:c>
      <x:c r="K664" s="78"/>
    </x:row>
    <x:row r="665">
      <x:c r="A665" s="73"/>
      <x:c r="B665" s="73"/>
      <x:c r="C665" s="74"/>
      <x:c r="D665" s="73"/>
      <x:c r="E665" s="73"/>
      <x:c r="F665" s="75"/>
      <x:c r="G665" s="75"/>
      <x:c r="H665" s="76" t="str">
        <x:f>IF(A665="","",F665-G665)</x:f>
      </x:c>
      <x:c r="I665" s="77" t="str">
        <x:f>IF(A665="","",IF(E665="","기타/불명",IF(IFERROR(SEARCH("급여",E665),0)&gt;0,"인건비",IF(IFERROR(SEARCH("임차",E665),0)&gt;0,"임차·시설",IF(IFERROR(SEARCH("광고",E665),0)&gt;0,"광고·행사",IF(IFERROR(SEARCH("용역",E665),0)&gt;0,"용역·수수료","기타/불명"))))))</x:f>
      </x:c>
      <x:c r="J665" s="77" t="str">
        <x:f>IF(A665="","",IF(I665="기타/불명","확인 필요","결의서명으로 1차 확인"))</x:f>
      </x:c>
      <x:c r="K665" s="78"/>
    </x:row>
    <x:row r="666">
      <x:c r="A666" s="73"/>
      <x:c r="B666" s="73"/>
      <x:c r="C666" s="74"/>
      <x:c r="D666" s="73"/>
      <x:c r="E666" s="73"/>
      <x:c r="F666" s="75"/>
      <x:c r="G666" s="75"/>
      <x:c r="H666" s="76" t="str">
        <x:f>IF(A666="","",F666-G666)</x:f>
      </x:c>
      <x:c r="I666" s="77" t="str">
        <x:f>IF(A666="","",IF(E666="","기타/불명",IF(IFERROR(SEARCH("급여",E666),0)&gt;0,"인건비",IF(IFERROR(SEARCH("임차",E666),0)&gt;0,"임차·시설",IF(IFERROR(SEARCH("광고",E666),0)&gt;0,"광고·행사",IF(IFERROR(SEARCH("용역",E666),0)&gt;0,"용역·수수료","기타/불명"))))))</x:f>
      </x:c>
      <x:c r="J666" s="77" t="str">
        <x:f>IF(A666="","",IF(I666="기타/불명","확인 필요","결의서명으로 1차 확인"))</x:f>
      </x:c>
      <x:c r="K666" s="78"/>
    </x:row>
    <x:row r="667">
      <x:c r="A667" s="73"/>
      <x:c r="B667" s="73"/>
      <x:c r="C667" s="74"/>
      <x:c r="D667" s="73"/>
      <x:c r="E667" s="73"/>
      <x:c r="F667" s="75"/>
      <x:c r="G667" s="75"/>
      <x:c r="H667" s="76" t="str">
        <x:f>IF(A667="","",F667-G667)</x:f>
      </x:c>
      <x:c r="I667" s="77" t="str">
        <x:f>IF(A667="","",IF(E667="","기타/불명",IF(IFERROR(SEARCH("급여",E667),0)&gt;0,"인건비",IF(IFERROR(SEARCH("임차",E667),0)&gt;0,"임차·시설",IF(IFERROR(SEARCH("광고",E667),0)&gt;0,"광고·행사",IF(IFERROR(SEARCH("용역",E667),0)&gt;0,"용역·수수료","기타/불명"))))))</x:f>
      </x:c>
      <x:c r="J667" s="77" t="str">
        <x:f>IF(A667="","",IF(I667="기타/불명","확인 필요","결의서명으로 1차 확인"))</x:f>
      </x:c>
      <x:c r="K667" s="78"/>
    </x:row>
    <x:row r="668">
      <x:c r="A668" s="73"/>
      <x:c r="B668" s="73"/>
      <x:c r="C668" s="74"/>
      <x:c r="D668" s="73"/>
      <x:c r="E668" s="73"/>
      <x:c r="F668" s="75"/>
      <x:c r="G668" s="75"/>
      <x:c r="H668" s="76" t="str">
        <x:f>IF(A668="","",F668-G668)</x:f>
      </x:c>
      <x:c r="I668" s="77" t="str">
        <x:f>IF(A668="","",IF(E668="","기타/불명",IF(IFERROR(SEARCH("급여",E668),0)&gt;0,"인건비",IF(IFERROR(SEARCH("임차",E668),0)&gt;0,"임차·시설",IF(IFERROR(SEARCH("광고",E668),0)&gt;0,"광고·행사",IF(IFERROR(SEARCH("용역",E668),0)&gt;0,"용역·수수료","기타/불명"))))))</x:f>
      </x:c>
      <x:c r="J668" s="77" t="str">
        <x:f>IF(A668="","",IF(I668="기타/불명","확인 필요","결의서명으로 1차 확인"))</x:f>
      </x:c>
      <x:c r="K668" s="78"/>
    </x:row>
    <x:row r="669">
      <x:c r="A669" s="73"/>
      <x:c r="B669" s="73"/>
      <x:c r="C669" s="74"/>
      <x:c r="D669" s="73"/>
      <x:c r="E669" s="73"/>
      <x:c r="F669" s="75"/>
      <x:c r="G669" s="75"/>
      <x:c r="H669" s="76" t="str">
        <x:f>IF(A669="","",F669-G669)</x:f>
      </x:c>
      <x:c r="I669" s="77" t="str">
        <x:f>IF(A669="","",IF(E669="","기타/불명",IF(IFERROR(SEARCH("급여",E669),0)&gt;0,"인건비",IF(IFERROR(SEARCH("임차",E669),0)&gt;0,"임차·시설",IF(IFERROR(SEARCH("광고",E669),0)&gt;0,"광고·행사",IF(IFERROR(SEARCH("용역",E669),0)&gt;0,"용역·수수료","기타/불명"))))))</x:f>
      </x:c>
      <x:c r="J669" s="77" t="str">
        <x:f>IF(A669="","",IF(I669="기타/불명","확인 필요","결의서명으로 1차 확인"))</x:f>
      </x:c>
      <x:c r="K669" s="78"/>
    </x:row>
    <x:row r="670">
      <x:c r="A670" s="73"/>
      <x:c r="B670" s="73"/>
      <x:c r="C670" s="74"/>
      <x:c r="D670" s="73"/>
      <x:c r="E670" s="73"/>
      <x:c r="F670" s="75"/>
      <x:c r="G670" s="75"/>
      <x:c r="H670" s="76" t="str">
        <x:f>IF(A670="","",F670-G670)</x:f>
      </x:c>
      <x:c r="I670" s="77" t="str">
        <x:f>IF(A670="","",IF(E670="","기타/불명",IF(IFERROR(SEARCH("급여",E670),0)&gt;0,"인건비",IF(IFERROR(SEARCH("임차",E670),0)&gt;0,"임차·시설",IF(IFERROR(SEARCH("광고",E670),0)&gt;0,"광고·행사",IF(IFERROR(SEARCH("용역",E670),0)&gt;0,"용역·수수료","기타/불명"))))))</x:f>
      </x:c>
      <x:c r="J670" s="77" t="str">
        <x:f>IF(A670="","",IF(I670="기타/불명","확인 필요","결의서명으로 1차 확인"))</x:f>
      </x:c>
      <x:c r="K670" s="78"/>
    </x:row>
    <x:row r="671">
      <x:c r="A671" s="73"/>
      <x:c r="B671" s="73"/>
      <x:c r="C671" s="74"/>
      <x:c r="D671" s="73"/>
      <x:c r="E671" s="73"/>
      <x:c r="F671" s="75"/>
      <x:c r="G671" s="75"/>
      <x:c r="H671" s="76" t="str">
        <x:f>IF(A671="","",F671-G671)</x:f>
      </x:c>
      <x:c r="I671" s="77" t="str">
        <x:f>IF(A671="","",IF(E671="","기타/불명",IF(IFERROR(SEARCH("급여",E671),0)&gt;0,"인건비",IF(IFERROR(SEARCH("임차",E671),0)&gt;0,"임차·시설",IF(IFERROR(SEARCH("광고",E671),0)&gt;0,"광고·행사",IF(IFERROR(SEARCH("용역",E671),0)&gt;0,"용역·수수료","기타/불명"))))))</x:f>
      </x:c>
      <x:c r="J671" s="77" t="str">
        <x:f>IF(A671="","",IF(I671="기타/불명","확인 필요","결의서명으로 1차 확인"))</x:f>
      </x:c>
      <x:c r="K671" s="78"/>
    </x:row>
    <x:row r="672">
      <x:c r="A672" s="73"/>
      <x:c r="B672" s="73"/>
      <x:c r="C672" s="74"/>
      <x:c r="D672" s="73"/>
      <x:c r="E672" s="73"/>
      <x:c r="F672" s="75"/>
      <x:c r="G672" s="75"/>
      <x:c r="H672" s="76" t="str">
        <x:f>IF(A672="","",F672-G672)</x:f>
      </x:c>
      <x:c r="I672" s="77" t="str">
        <x:f>IF(A672="","",IF(E672="","기타/불명",IF(IFERROR(SEARCH("급여",E672),0)&gt;0,"인건비",IF(IFERROR(SEARCH("임차",E672),0)&gt;0,"임차·시설",IF(IFERROR(SEARCH("광고",E672),0)&gt;0,"광고·행사",IF(IFERROR(SEARCH("용역",E672),0)&gt;0,"용역·수수료","기타/불명"))))))</x:f>
      </x:c>
      <x:c r="J672" s="77" t="str">
        <x:f>IF(A672="","",IF(I672="기타/불명","확인 필요","결의서명으로 1차 확인"))</x:f>
      </x:c>
      <x:c r="K672" s="78"/>
    </x:row>
    <x:row r="673">
      <x:c r="A673" s="73"/>
      <x:c r="B673" s="73"/>
      <x:c r="C673" s="74"/>
      <x:c r="D673" s="73"/>
      <x:c r="E673" s="73"/>
      <x:c r="F673" s="75"/>
      <x:c r="G673" s="75"/>
      <x:c r="H673" s="76" t="str">
        <x:f>IF(A673="","",F673-G673)</x:f>
      </x:c>
      <x:c r="I673" s="77" t="str">
        <x:f>IF(A673="","",IF(E673="","기타/불명",IF(IFERROR(SEARCH("급여",E673),0)&gt;0,"인건비",IF(IFERROR(SEARCH("임차",E673),0)&gt;0,"임차·시설",IF(IFERROR(SEARCH("광고",E673),0)&gt;0,"광고·행사",IF(IFERROR(SEARCH("용역",E673),0)&gt;0,"용역·수수료","기타/불명"))))))</x:f>
      </x:c>
      <x:c r="J673" s="77" t="str">
        <x:f>IF(A673="","",IF(I673="기타/불명","확인 필요","결의서명으로 1차 확인"))</x:f>
      </x:c>
      <x:c r="K673" s="78"/>
    </x:row>
    <x:row r="674">
      <x:c r="A674" s="73"/>
      <x:c r="B674" s="73"/>
      <x:c r="C674" s="74"/>
      <x:c r="D674" s="73"/>
      <x:c r="E674" s="73"/>
      <x:c r="F674" s="75"/>
      <x:c r="G674" s="75"/>
      <x:c r="H674" s="76" t="str">
        <x:f>IF(A674="","",F674-G674)</x:f>
      </x:c>
      <x:c r="I674" s="77" t="str">
        <x:f>IF(A674="","",IF(E674="","기타/불명",IF(IFERROR(SEARCH("급여",E674),0)&gt;0,"인건비",IF(IFERROR(SEARCH("임차",E674),0)&gt;0,"임차·시설",IF(IFERROR(SEARCH("광고",E674),0)&gt;0,"광고·행사",IF(IFERROR(SEARCH("용역",E674),0)&gt;0,"용역·수수료","기타/불명"))))))</x:f>
      </x:c>
      <x:c r="J674" s="77" t="str">
        <x:f>IF(A674="","",IF(I674="기타/불명","확인 필요","결의서명으로 1차 확인"))</x:f>
      </x:c>
      <x:c r="K674" s="78"/>
    </x:row>
    <x:row r="675">
      <x:c r="A675" s="73"/>
      <x:c r="B675" s="73"/>
      <x:c r="C675" s="74"/>
      <x:c r="D675" s="73"/>
      <x:c r="E675" s="73"/>
      <x:c r="F675" s="75"/>
      <x:c r="G675" s="75"/>
      <x:c r="H675" s="76" t="str">
        <x:f>IF(A675="","",F675-G675)</x:f>
      </x:c>
      <x:c r="I675" s="77" t="str">
        <x:f>IF(A675="","",IF(E675="","기타/불명",IF(IFERROR(SEARCH("급여",E675),0)&gt;0,"인건비",IF(IFERROR(SEARCH("임차",E675),0)&gt;0,"임차·시설",IF(IFERROR(SEARCH("광고",E675),0)&gt;0,"광고·행사",IF(IFERROR(SEARCH("용역",E675),0)&gt;0,"용역·수수료","기타/불명"))))))</x:f>
      </x:c>
      <x:c r="J675" s="77" t="str">
        <x:f>IF(A675="","",IF(I675="기타/불명","확인 필요","결의서명으로 1차 확인"))</x:f>
      </x:c>
      <x:c r="K675" s="78"/>
    </x:row>
    <x:row r="676">
      <x:c r="A676" s="73"/>
      <x:c r="B676" s="73"/>
      <x:c r="C676" s="74"/>
      <x:c r="D676" s="73"/>
      <x:c r="E676" s="73"/>
      <x:c r="F676" s="75"/>
      <x:c r="G676" s="75"/>
      <x:c r="H676" s="76" t="str">
        <x:f>IF(A676="","",F676-G676)</x:f>
      </x:c>
      <x:c r="I676" s="77" t="str">
        <x:f>IF(A676="","",IF(E676="","기타/불명",IF(IFERROR(SEARCH("급여",E676),0)&gt;0,"인건비",IF(IFERROR(SEARCH("임차",E676),0)&gt;0,"임차·시설",IF(IFERROR(SEARCH("광고",E676),0)&gt;0,"광고·행사",IF(IFERROR(SEARCH("용역",E676),0)&gt;0,"용역·수수료","기타/불명"))))))</x:f>
      </x:c>
      <x:c r="J676" s="77" t="str">
        <x:f>IF(A676="","",IF(I676="기타/불명","확인 필요","결의서명으로 1차 확인"))</x:f>
      </x:c>
      <x:c r="K676" s="78"/>
    </x:row>
    <x:row r="677">
      <x:c r="A677" s="73"/>
      <x:c r="B677" s="73"/>
      <x:c r="C677" s="74"/>
      <x:c r="D677" s="73"/>
      <x:c r="E677" s="73"/>
      <x:c r="F677" s="75"/>
      <x:c r="G677" s="75"/>
      <x:c r="H677" s="76" t="str">
        <x:f>IF(A677="","",F677-G677)</x:f>
      </x:c>
      <x:c r="I677" s="77" t="str">
        <x:f>IF(A677="","",IF(E677="","기타/불명",IF(IFERROR(SEARCH("급여",E677),0)&gt;0,"인건비",IF(IFERROR(SEARCH("임차",E677),0)&gt;0,"임차·시설",IF(IFERROR(SEARCH("광고",E677),0)&gt;0,"광고·행사",IF(IFERROR(SEARCH("용역",E677),0)&gt;0,"용역·수수료","기타/불명"))))))</x:f>
      </x:c>
      <x:c r="J677" s="77" t="str">
        <x:f>IF(A677="","",IF(I677="기타/불명","확인 필요","결의서명으로 1차 확인"))</x:f>
      </x:c>
      <x:c r="K677" s="78"/>
    </x:row>
    <x:row r="678">
      <x:c r="A678" s="73"/>
      <x:c r="B678" s="73"/>
      <x:c r="C678" s="74"/>
      <x:c r="D678" s="73"/>
      <x:c r="E678" s="73"/>
      <x:c r="F678" s="75"/>
      <x:c r="G678" s="75"/>
      <x:c r="H678" s="76" t="str">
        <x:f>IF(A678="","",F678-G678)</x:f>
      </x:c>
      <x:c r="I678" s="77" t="str">
        <x:f>IF(A678="","",IF(E678="","기타/불명",IF(IFERROR(SEARCH("급여",E678),0)&gt;0,"인건비",IF(IFERROR(SEARCH("임차",E678),0)&gt;0,"임차·시설",IF(IFERROR(SEARCH("광고",E678),0)&gt;0,"광고·행사",IF(IFERROR(SEARCH("용역",E678),0)&gt;0,"용역·수수료","기타/불명"))))))</x:f>
      </x:c>
      <x:c r="J678" s="77" t="str">
        <x:f>IF(A678="","",IF(I678="기타/불명","확인 필요","결의서명으로 1차 확인"))</x:f>
      </x:c>
      <x:c r="K678" s="78"/>
    </x:row>
    <x:row r="679">
      <x:c r="A679" s="73"/>
      <x:c r="B679" s="73"/>
      <x:c r="C679" s="74"/>
      <x:c r="D679" s="73"/>
      <x:c r="E679" s="73"/>
      <x:c r="F679" s="75"/>
      <x:c r="G679" s="75"/>
      <x:c r="H679" s="76" t="str">
        <x:f>IF(A679="","",F679-G679)</x:f>
      </x:c>
      <x:c r="I679" s="77" t="str">
        <x:f>IF(A679="","",IF(E679="","기타/불명",IF(IFERROR(SEARCH("급여",E679),0)&gt;0,"인건비",IF(IFERROR(SEARCH("임차",E679),0)&gt;0,"임차·시설",IF(IFERROR(SEARCH("광고",E679),0)&gt;0,"광고·행사",IF(IFERROR(SEARCH("용역",E679),0)&gt;0,"용역·수수료","기타/불명"))))))</x:f>
      </x:c>
      <x:c r="J679" s="77" t="str">
        <x:f>IF(A679="","",IF(I679="기타/불명","확인 필요","결의서명으로 1차 확인"))</x:f>
      </x:c>
      <x:c r="K679" s="78"/>
    </x:row>
    <x:row r="680">
      <x:c r="A680" s="73"/>
      <x:c r="B680" s="73"/>
      <x:c r="C680" s="74"/>
      <x:c r="D680" s="73"/>
      <x:c r="E680" s="73"/>
      <x:c r="F680" s="75"/>
      <x:c r="G680" s="75"/>
      <x:c r="H680" s="76" t="str">
        <x:f>IF(A680="","",F680-G680)</x:f>
      </x:c>
      <x:c r="I680" s="77" t="str">
        <x:f>IF(A680="","",IF(E680="","기타/불명",IF(IFERROR(SEARCH("급여",E680),0)&gt;0,"인건비",IF(IFERROR(SEARCH("임차",E680),0)&gt;0,"임차·시설",IF(IFERROR(SEARCH("광고",E680),0)&gt;0,"광고·행사",IF(IFERROR(SEARCH("용역",E680),0)&gt;0,"용역·수수료","기타/불명"))))))</x:f>
      </x:c>
      <x:c r="J680" s="77" t="str">
        <x:f>IF(A680="","",IF(I680="기타/불명","확인 필요","결의서명으로 1차 확인"))</x:f>
      </x:c>
      <x:c r="K680" s="78"/>
    </x:row>
    <x:row r="681">
      <x:c r="A681" s="73"/>
      <x:c r="B681" s="73"/>
      <x:c r="C681" s="74"/>
      <x:c r="D681" s="73"/>
      <x:c r="E681" s="73"/>
      <x:c r="F681" s="75"/>
      <x:c r="G681" s="75"/>
      <x:c r="H681" s="76" t="str">
        <x:f>IF(A681="","",F681-G681)</x:f>
      </x:c>
      <x:c r="I681" s="77" t="str">
        <x:f>IF(A681="","",IF(E681="","기타/불명",IF(IFERROR(SEARCH("급여",E681),0)&gt;0,"인건비",IF(IFERROR(SEARCH("임차",E681),0)&gt;0,"임차·시설",IF(IFERROR(SEARCH("광고",E681),0)&gt;0,"광고·행사",IF(IFERROR(SEARCH("용역",E681),0)&gt;0,"용역·수수료","기타/불명"))))))</x:f>
      </x:c>
      <x:c r="J681" s="77" t="str">
        <x:f>IF(A681="","",IF(I681="기타/불명","확인 필요","결의서명으로 1차 확인"))</x:f>
      </x:c>
      <x:c r="K681" s="78"/>
    </x:row>
    <x:row r="682">
      <x:c r="A682" s="73"/>
      <x:c r="B682" s="73"/>
      <x:c r="C682" s="74"/>
      <x:c r="D682" s="73"/>
      <x:c r="E682" s="73"/>
      <x:c r="F682" s="75"/>
      <x:c r="G682" s="75"/>
      <x:c r="H682" s="76" t="str">
        <x:f>IF(A682="","",F682-G682)</x:f>
      </x:c>
      <x:c r="I682" s="77" t="str">
        <x:f>IF(A682="","",IF(E682="","기타/불명",IF(IFERROR(SEARCH("급여",E682),0)&gt;0,"인건비",IF(IFERROR(SEARCH("임차",E682),0)&gt;0,"임차·시설",IF(IFERROR(SEARCH("광고",E682),0)&gt;0,"광고·행사",IF(IFERROR(SEARCH("용역",E682),0)&gt;0,"용역·수수료","기타/불명"))))))</x:f>
      </x:c>
      <x:c r="J682" s="77" t="str">
        <x:f>IF(A682="","",IF(I682="기타/불명","확인 필요","결의서명으로 1차 확인"))</x:f>
      </x:c>
      <x:c r="K682" s="78"/>
    </x:row>
    <x:row r="683">
      <x:c r="A683" s="73"/>
      <x:c r="B683" s="73"/>
      <x:c r="C683" s="74"/>
      <x:c r="D683" s="73"/>
      <x:c r="E683" s="73"/>
      <x:c r="F683" s="75"/>
      <x:c r="G683" s="75"/>
      <x:c r="H683" s="76" t="str">
        <x:f>IF(A683="","",F683-G683)</x:f>
      </x:c>
      <x:c r="I683" s="77" t="str">
        <x:f>IF(A683="","",IF(E683="","기타/불명",IF(IFERROR(SEARCH("급여",E683),0)&gt;0,"인건비",IF(IFERROR(SEARCH("임차",E683),0)&gt;0,"임차·시설",IF(IFERROR(SEARCH("광고",E683),0)&gt;0,"광고·행사",IF(IFERROR(SEARCH("용역",E683),0)&gt;0,"용역·수수료","기타/불명"))))))</x:f>
      </x:c>
      <x:c r="J683" s="77" t="str">
        <x:f>IF(A683="","",IF(I683="기타/불명","확인 필요","결의서명으로 1차 확인"))</x:f>
      </x:c>
      <x:c r="K683" s="78"/>
    </x:row>
    <x:row r="684">
      <x:c r="A684" s="73"/>
      <x:c r="B684" s="73"/>
      <x:c r="C684" s="74"/>
      <x:c r="D684" s="73"/>
      <x:c r="E684" s="73"/>
      <x:c r="F684" s="75"/>
      <x:c r="G684" s="75"/>
      <x:c r="H684" s="76" t="str">
        <x:f>IF(A684="","",F684-G684)</x:f>
      </x:c>
      <x:c r="I684" s="77" t="str">
        <x:f>IF(A684="","",IF(E684="","기타/불명",IF(IFERROR(SEARCH("급여",E684),0)&gt;0,"인건비",IF(IFERROR(SEARCH("임차",E684),0)&gt;0,"임차·시설",IF(IFERROR(SEARCH("광고",E684),0)&gt;0,"광고·행사",IF(IFERROR(SEARCH("용역",E684),0)&gt;0,"용역·수수료","기타/불명"))))))</x:f>
      </x:c>
      <x:c r="J684" s="77" t="str">
        <x:f>IF(A684="","",IF(I684="기타/불명","확인 필요","결의서명으로 1차 확인"))</x:f>
      </x:c>
      <x:c r="K684" s="78"/>
    </x:row>
    <x:row r="685">
      <x:c r="A685" s="73"/>
      <x:c r="B685" s="73"/>
      <x:c r="C685" s="74"/>
      <x:c r="D685" s="73"/>
      <x:c r="E685" s="73"/>
      <x:c r="F685" s="75"/>
      <x:c r="G685" s="75"/>
      <x:c r="H685" s="76" t="str">
        <x:f>IF(A685="","",F685-G685)</x:f>
      </x:c>
      <x:c r="I685" s="77" t="str">
        <x:f>IF(A685="","",IF(E685="","기타/불명",IF(IFERROR(SEARCH("급여",E685),0)&gt;0,"인건비",IF(IFERROR(SEARCH("임차",E685),0)&gt;0,"임차·시설",IF(IFERROR(SEARCH("광고",E685),0)&gt;0,"광고·행사",IF(IFERROR(SEARCH("용역",E685),0)&gt;0,"용역·수수료","기타/불명"))))))</x:f>
      </x:c>
      <x:c r="J685" s="77" t="str">
        <x:f>IF(A685="","",IF(I685="기타/불명","확인 필요","결의서명으로 1차 확인"))</x:f>
      </x:c>
      <x:c r="K685" s="78"/>
    </x:row>
    <x:row r="686">
      <x:c r="A686" s="73"/>
      <x:c r="B686" s="73"/>
      <x:c r="C686" s="74"/>
      <x:c r="D686" s="73"/>
      <x:c r="E686" s="73"/>
      <x:c r="F686" s="75"/>
      <x:c r="G686" s="75"/>
      <x:c r="H686" s="76" t="str">
        <x:f>IF(A686="","",F686-G686)</x:f>
      </x:c>
      <x:c r="I686" s="77" t="str">
        <x:f>IF(A686="","",IF(E686="","기타/불명",IF(IFERROR(SEARCH("급여",E686),0)&gt;0,"인건비",IF(IFERROR(SEARCH("임차",E686),0)&gt;0,"임차·시설",IF(IFERROR(SEARCH("광고",E686),0)&gt;0,"광고·행사",IF(IFERROR(SEARCH("용역",E686),0)&gt;0,"용역·수수료","기타/불명"))))))</x:f>
      </x:c>
      <x:c r="J686" s="77" t="str">
        <x:f>IF(A686="","",IF(I686="기타/불명","확인 필요","결의서명으로 1차 확인"))</x:f>
      </x:c>
      <x:c r="K686" s="78"/>
    </x:row>
    <x:row r="687">
      <x:c r="A687" s="73"/>
      <x:c r="B687" s="73"/>
      <x:c r="C687" s="74"/>
      <x:c r="D687" s="73"/>
      <x:c r="E687" s="73"/>
      <x:c r="F687" s="75"/>
      <x:c r="G687" s="75"/>
      <x:c r="H687" s="76" t="str">
        <x:f>IF(A687="","",F687-G687)</x:f>
      </x:c>
      <x:c r="I687" s="77" t="str">
        <x:f>IF(A687="","",IF(E687="","기타/불명",IF(IFERROR(SEARCH("급여",E687),0)&gt;0,"인건비",IF(IFERROR(SEARCH("임차",E687),0)&gt;0,"임차·시설",IF(IFERROR(SEARCH("광고",E687),0)&gt;0,"광고·행사",IF(IFERROR(SEARCH("용역",E687),0)&gt;0,"용역·수수료","기타/불명"))))))</x:f>
      </x:c>
      <x:c r="J687" s="77" t="str">
        <x:f>IF(A687="","",IF(I687="기타/불명","확인 필요","결의서명으로 1차 확인"))</x:f>
      </x:c>
      <x:c r="K687" s="78"/>
    </x:row>
    <x:row r="688">
      <x:c r="A688" s="73"/>
      <x:c r="B688" s="73"/>
      <x:c r="C688" s="74"/>
      <x:c r="D688" s="73"/>
      <x:c r="E688" s="73"/>
      <x:c r="F688" s="75"/>
      <x:c r="G688" s="75"/>
      <x:c r="H688" s="76" t="str">
        <x:f>IF(A688="","",F688-G688)</x:f>
      </x:c>
      <x:c r="I688" s="77" t="str">
        <x:f>IF(A688="","",IF(E688="","기타/불명",IF(IFERROR(SEARCH("급여",E688),0)&gt;0,"인건비",IF(IFERROR(SEARCH("임차",E688),0)&gt;0,"임차·시설",IF(IFERROR(SEARCH("광고",E688),0)&gt;0,"광고·행사",IF(IFERROR(SEARCH("용역",E688),0)&gt;0,"용역·수수료","기타/불명"))))))</x:f>
      </x:c>
      <x:c r="J688" s="77" t="str">
        <x:f>IF(A688="","",IF(I688="기타/불명","확인 필요","결의서명으로 1차 확인"))</x:f>
      </x:c>
      <x:c r="K688" s="78"/>
    </x:row>
    <x:row r="689">
      <x:c r="A689" s="73"/>
      <x:c r="B689" s="73"/>
      <x:c r="C689" s="74"/>
      <x:c r="D689" s="73"/>
      <x:c r="E689" s="73"/>
      <x:c r="F689" s="75"/>
      <x:c r="G689" s="75"/>
      <x:c r="H689" s="76" t="str">
        <x:f>IF(A689="","",F689-G689)</x:f>
      </x:c>
      <x:c r="I689" s="77" t="str">
        <x:f>IF(A689="","",IF(E689="","기타/불명",IF(IFERROR(SEARCH("급여",E689),0)&gt;0,"인건비",IF(IFERROR(SEARCH("임차",E689),0)&gt;0,"임차·시설",IF(IFERROR(SEARCH("광고",E689),0)&gt;0,"광고·행사",IF(IFERROR(SEARCH("용역",E689),0)&gt;0,"용역·수수료","기타/불명"))))))</x:f>
      </x:c>
      <x:c r="J689" s="77" t="str">
        <x:f>IF(A689="","",IF(I689="기타/불명","확인 필요","결의서명으로 1차 확인"))</x:f>
      </x:c>
      <x:c r="K689" s="78"/>
    </x:row>
    <x:row r="690">
      <x:c r="A690" s="73"/>
      <x:c r="B690" s="73"/>
      <x:c r="C690" s="74"/>
      <x:c r="D690" s="73"/>
      <x:c r="E690" s="73"/>
      <x:c r="F690" s="75"/>
      <x:c r="G690" s="75"/>
      <x:c r="H690" s="76" t="str">
        <x:f>IF(A690="","",F690-G690)</x:f>
      </x:c>
      <x:c r="I690" s="77" t="str">
        <x:f>IF(A690="","",IF(E690="","기타/불명",IF(IFERROR(SEARCH("급여",E690),0)&gt;0,"인건비",IF(IFERROR(SEARCH("임차",E690),0)&gt;0,"임차·시설",IF(IFERROR(SEARCH("광고",E690),0)&gt;0,"광고·행사",IF(IFERROR(SEARCH("용역",E690),0)&gt;0,"용역·수수료","기타/불명"))))))</x:f>
      </x:c>
      <x:c r="J690" s="77" t="str">
        <x:f>IF(A690="","",IF(I690="기타/불명","확인 필요","결의서명으로 1차 확인"))</x:f>
      </x:c>
      <x:c r="K690" s="78"/>
    </x:row>
    <x:row r="691">
      <x:c r="A691" s="73"/>
      <x:c r="B691" s="73"/>
      <x:c r="C691" s="74"/>
      <x:c r="D691" s="73"/>
      <x:c r="E691" s="73"/>
      <x:c r="F691" s="75"/>
      <x:c r="G691" s="75"/>
      <x:c r="H691" s="76" t="str">
        <x:f>IF(A691="","",F691-G691)</x:f>
      </x:c>
      <x:c r="I691" s="77" t="str">
        <x:f>IF(A691="","",IF(E691="","기타/불명",IF(IFERROR(SEARCH("급여",E691),0)&gt;0,"인건비",IF(IFERROR(SEARCH("임차",E691),0)&gt;0,"임차·시설",IF(IFERROR(SEARCH("광고",E691),0)&gt;0,"광고·행사",IF(IFERROR(SEARCH("용역",E691),0)&gt;0,"용역·수수료","기타/불명"))))))</x:f>
      </x:c>
      <x:c r="J691" s="77" t="str">
        <x:f>IF(A691="","",IF(I691="기타/불명","확인 필요","결의서명으로 1차 확인"))</x:f>
      </x:c>
      <x:c r="K691" s="78"/>
    </x:row>
    <x:row r="692">
      <x:c r="A692" s="73"/>
      <x:c r="B692" s="73"/>
      <x:c r="C692" s="74"/>
      <x:c r="D692" s="73"/>
      <x:c r="E692" s="73"/>
      <x:c r="F692" s="75"/>
      <x:c r="G692" s="75"/>
      <x:c r="H692" s="76" t="str">
        <x:f>IF(A692="","",F692-G692)</x:f>
      </x:c>
      <x:c r="I692" s="77" t="str">
        <x:f>IF(A692="","",IF(E692="","기타/불명",IF(IFERROR(SEARCH("급여",E692),0)&gt;0,"인건비",IF(IFERROR(SEARCH("임차",E692),0)&gt;0,"임차·시설",IF(IFERROR(SEARCH("광고",E692),0)&gt;0,"광고·행사",IF(IFERROR(SEARCH("용역",E692),0)&gt;0,"용역·수수료","기타/불명"))))))</x:f>
      </x:c>
      <x:c r="J692" s="77" t="str">
        <x:f>IF(A692="","",IF(I692="기타/불명","확인 필요","결의서명으로 1차 확인"))</x:f>
      </x:c>
      <x:c r="K692" s="78"/>
    </x:row>
    <x:row r="693">
      <x:c r="A693" s="73"/>
      <x:c r="B693" s="73"/>
      <x:c r="C693" s="74"/>
      <x:c r="D693" s="73"/>
      <x:c r="E693" s="73"/>
      <x:c r="F693" s="75"/>
      <x:c r="G693" s="75"/>
      <x:c r="H693" s="76" t="str">
        <x:f>IF(A693="","",F693-G693)</x:f>
      </x:c>
      <x:c r="I693" s="77" t="str">
        <x:f>IF(A693="","",IF(E693="","기타/불명",IF(IFERROR(SEARCH("급여",E693),0)&gt;0,"인건비",IF(IFERROR(SEARCH("임차",E693),0)&gt;0,"임차·시설",IF(IFERROR(SEARCH("광고",E693),0)&gt;0,"광고·행사",IF(IFERROR(SEARCH("용역",E693),0)&gt;0,"용역·수수료","기타/불명"))))))</x:f>
      </x:c>
      <x:c r="J693" s="77" t="str">
        <x:f>IF(A693="","",IF(I693="기타/불명","확인 필요","결의서명으로 1차 확인"))</x:f>
      </x:c>
      <x:c r="K693" s="78"/>
    </x:row>
    <x:row r="694">
      <x:c r="A694" s="73"/>
      <x:c r="B694" s="73"/>
      <x:c r="C694" s="74"/>
      <x:c r="D694" s="73"/>
      <x:c r="E694" s="73"/>
      <x:c r="F694" s="75"/>
      <x:c r="G694" s="75"/>
      <x:c r="H694" s="76" t="str">
        <x:f>IF(A694="","",F694-G694)</x:f>
      </x:c>
      <x:c r="I694" s="77" t="str">
        <x:f>IF(A694="","",IF(E694="","기타/불명",IF(IFERROR(SEARCH("급여",E694),0)&gt;0,"인건비",IF(IFERROR(SEARCH("임차",E694),0)&gt;0,"임차·시설",IF(IFERROR(SEARCH("광고",E694),0)&gt;0,"광고·행사",IF(IFERROR(SEARCH("용역",E694),0)&gt;0,"용역·수수료","기타/불명"))))))</x:f>
      </x:c>
      <x:c r="J694" s="77" t="str">
        <x:f>IF(A694="","",IF(I694="기타/불명","확인 필요","결의서명으로 1차 확인"))</x:f>
      </x:c>
      <x:c r="K694" s="78"/>
    </x:row>
    <x:row r="695">
      <x:c r="A695" s="73"/>
      <x:c r="B695" s="73"/>
      <x:c r="C695" s="74"/>
      <x:c r="D695" s="73"/>
      <x:c r="E695" s="73"/>
      <x:c r="F695" s="75"/>
      <x:c r="G695" s="75"/>
      <x:c r="H695" s="76" t="str">
        <x:f>IF(A695="","",F695-G695)</x:f>
      </x:c>
      <x:c r="I695" s="77" t="str">
        <x:f>IF(A695="","",IF(E695="","기타/불명",IF(IFERROR(SEARCH("급여",E695),0)&gt;0,"인건비",IF(IFERROR(SEARCH("임차",E695),0)&gt;0,"임차·시설",IF(IFERROR(SEARCH("광고",E695),0)&gt;0,"광고·행사",IF(IFERROR(SEARCH("용역",E695),0)&gt;0,"용역·수수료","기타/불명"))))))</x:f>
      </x:c>
      <x:c r="J695" s="77" t="str">
        <x:f>IF(A695="","",IF(I695="기타/불명","확인 필요","결의서명으로 1차 확인"))</x:f>
      </x:c>
      <x:c r="K695" s="78"/>
    </x:row>
    <x:row r="696">
      <x:c r="A696" s="73"/>
      <x:c r="B696" s="73"/>
      <x:c r="C696" s="74"/>
      <x:c r="D696" s="73"/>
      <x:c r="E696" s="73"/>
      <x:c r="F696" s="75"/>
      <x:c r="G696" s="75"/>
      <x:c r="H696" s="76" t="str">
        <x:f>IF(A696="","",F696-G696)</x:f>
      </x:c>
      <x:c r="I696" s="77" t="str">
        <x:f>IF(A696="","",IF(E696="","기타/불명",IF(IFERROR(SEARCH("급여",E696),0)&gt;0,"인건비",IF(IFERROR(SEARCH("임차",E696),0)&gt;0,"임차·시설",IF(IFERROR(SEARCH("광고",E696),0)&gt;0,"광고·행사",IF(IFERROR(SEARCH("용역",E696),0)&gt;0,"용역·수수료","기타/불명"))))))</x:f>
      </x:c>
      <x:c r="J696" s="77" t="str">
        <x:f>IF(A696="","",IF(I696="기타/불명","확인 필요","결의서명으로 1차 확인"))</x:f>
      </x:c>
      <x:c r="K696" s="78"/>
    </x:row>
    <x:row r="697">
      <x:c r="A697" s="73"/>
      <x:c r="B697" s="73"/>
      <x:c r="C697" s="74"/>
      <x:c r="D697" s="73"/>
      <x:c r="E697" s="73"/>
      <x:c r="F697" s="75"/>
      <x:c r="G697" s="75"/>
      <x:c r="H697" s="76" t="str">
        <x:f>IF(A697="","",F697-G697)</x:f>
      </x:c>
      <x:c r="I697" s="77" t="str">
        <x:f>IF(A697="","",IF(E697="","기타/불명",IF(IFERROR(SEARCH("급여",E697),0)&gt;0,"인건비",IF(IFERROR(SEARCH("임차",E697),0)&gt;0,"임차·시설",IF(IFERROR(SEARCH("광고",E697),0)&gt;0,"광고·행사",IF(IFERROR(SEARCH("용역",E697),0)&gt;0,"용역·수수료","기타/불명"))))))</x:f>
      </x:c>
      <x:c r="J697" s="77" t="str">
        <x:f>IF(A697="","",IF(I697="기타/불명","확인 필요","결의서명으로 1차 확인"))</x:f>
      </x:c>
      <x:c r="K697" s="78"/>
    </x:row>
    <x:row r="698">
      <x:c r="A698" s="73"/>
      <x:c r="B698" s="73"/>
      <x:c r="C698" s="74"/>
      <x:c r="D698" s="73"/>
      <x:c r="E698" s="73"/>
      <x:c r="F698" s="75"/>
      <x:c r="G698" s="75"/>
      <x:c r="H698" s="76" t="str">
        <x:f>IF(A698="","",F698-G698)</x:f>
      </x:c>
      <x:c r="I698" s="77" t="str">
        <x:f>IF(A698="","",IF(E698="","기타/불명",IF(IFERROR(SEARCH("급여",E698),0)&gt;0,"인건비",IF(IFERROR(SEARCH("임차",E698),0)&gt;0,"임차·시설",IF(IFERROR(SEARCH("광고",E698),0)&gt;0,"광고·행사",IF(IFERROR(SEARCH("용역",E698),0)&gt;0,"용역·수수료","기타/불명"))))))</x:f>
      </x:c>
      <x:c r="J698" s="77" t="str">
        <x:f>IF(A698="","",IF(I698="기타/불명","확인 필요","결의서명으로 1차 확인"))</x:f>
      </x:c>
      <x:c r="K698" s="78"/>
    </x:row>
    <x:row r="699">
      <x:c r="A699" s="73"/>
      <x:c r="B699" s="73"/>
      <x:c r="C699" s="74"/>
      <x:c r="D699" s="73"/>
      <x:c r="E699" s="73"/>
      <x:c r="F699" s="75"/>
      <x:c r="G699" s="75"/>
      <x:c r="H699" s="76" t="str">
        <x:f>IF(A699="","",F699-G699)</x:f>
      </x:c>
      <x:c r="I699" s="77" t="str">
        <x:f>IF(A699="","",IF(E699="","기타/불명",IF(IFERROR(SEARCH("급여",E699),0)&gt;0,"인건비",IF(IFERROR(SEARCH("임차",E699),0)&gt;0,"임차·시설",IF(IFERROR(SEARCH("광고",E699),0)&gt;0,"광고·행사",IF(IFERROR(SEARCH("용역",E699),0)&gt;0,"용역·수수료","기타/불명"))))))</x:f>
      </x:c>
      <x:c r="J699" s="77" t="str">
        <x:f>IF(A699="","",IF(I699="기타/불명","확인 필요","결의서명으로 1차 확인"))</x:f>
      </x:c>
      <x:c r="K699" s="78"/>
    </x:row>
    <x:row r="700">
      <x:c r="A700" s="73"/>
      <x:c r="B700" s="73"/>
      <x:c r="C700" s="74"/>
      <x:c r="D700" s="73"/>
      <x:c r="E700" s="73"/>
      <x:c r="F700" s="75"/>
      <x:c r="G700" s="75"/>
      <x:c r="H700" s="76" t="str">
        <x:f>IF(A700="","",F700-G700)</x:f>
      </x:c>
      <x:c r="I700" s="77" t="str">
        <x:f>IF(A700="","",IF(E700="","기타/불명",IF(IFERROR(SEARCH("급여",E700),0)&gt;0,"인건비",IF(IFERROR(SEARCH("임차",E700),0)&gt;0,"임차·시설",IF(IFERROR(SEARCH("광고",E700),0)&gt;0,"광고·행사",IF(IFERROR(SEARCH("용역",E700),0)&gt;0,"용역·수수료","기타/불명"))))))</x:f>
      </x:c>
      <x:c r="J700" s="77" t="str">
        <x:f>IF(A700="","",IF(I700="기타/불명","확인 필요","결의서명으로 1차 확인"))</x:f>
      </x:c>
      <x:c r="K700" s="78"/>
    </x:row>
    <x:row r="701">
      <x:c r="A701" s="73"/>
      <x:c r="B701" s="73"/>
      <x:c r="C701" s="74"/>
      <x:c r="D701" s="73"/>
      <x:c r="E701" s="73"/>
      <x:c r="F701" s="75"/>
      <x:c r="G701" s="75"/>
      <x:c r="H701" s="76" t="str">
        <x:f>IF(A701="","",F701-G701)</x:f>
      </x:c>
      <x:c r="I701" s="77" t="str">
        <x:f>IF(A701="","",IF(E701="","기타/불명",IF(IFERROR(SEARCH("급여",E701),0)&gt;0,"인건비",IF(IFERROR(SEARCH("임차",E701),0)&gt;0,"임차·시설",IF(IFERROR(SEARCH("광고",E701),0)&gt;0,"광고·행사",IF(IFERROR(SEARCH("용역",E701),0)&gt;0,"용역·수수료","기타/불명"))))))</x:f>
      </x:c>
      <x:c r="J701" s="77" t="str">
        <x:f>IF(A701="","",IF(I701="기타/불명","확인 필요","결의서명으로 1차 확인"))</x:f>
      </x:c>
      <x:c r="K701" s="78"/>
    </x:row>
    <x:row r="702">
      <x:c r="A702" s="73"/>
      <x:c r="B702" s="73"/>
      <x:c r="C702" s="74"/>
      <x:c r="D702" s="73"/>
      <x:c r="E702" s="73"/>
      <x:c r="F702" s="75"/>
      <x:c r="G702" s="75"/>
      <x:c r="H702" s="76" t="str">
        <x:f>IF(A702="","",F702-G702)</x:f>
      </x:c>
      <x:c r="I702" s="77" t="str">
        <x:f>IF(A702="","",IF(E702="","기타/불명",IF(IFERROR(SEARCH("급여",E702),0)&gt;0,"인건비",IF(IFERROR(SEARCH("임차",E702),0)&gt;0,"임차·시설",IF(IFERROR(SEARCH("광고",E702),0)&gt;0,"광고·행사",IF(IFERROR(SEARCH("용역",E702),0)&gt;0,"용역·수수료","기타/불명"))))))</x:f>
      </x:c>
      <x:c r="J702" s="77" t="str">
        <x:f>IF(A702="","",IF(I702="기타/불명","확인 필요","결의서명으로 1차 확인"))</x:f>
      </x:c>
      <x:c r="K702" s="78"/>
    </x:row>
    <x:row r="703">
      <x:c r="A703" s="73"/>
      <x:c r="B703" s="73"/>
      <x:c r="C703" s="74"/>
      <x:c r="D703" s="73"/>
      <x:c r="E703" s="73"/>
      <x:c r="F703" s="75"/>
      <x:c r="G703" s="75"/>
      <x:c r="H703" s="76" t="str">
        <x:f>IF(A703="","",F703-G703)</x:f>
      </x:c>
      <x:c r="I703" s="77" t="str">
        <x:f>IF(A703="","",IF(E703="","기타/불명",IF(IFERROR(SEARCH("급여",E703),0)&gt;0,"인건비",IF(IFERROR(SEARCH("임차",E703),0)&gt;0,"임차·시설",IF(IFERROR(SEARCH("광고",E703),0)&gt;0,"광고·행사",IF(IFERROR(SEARCH("용역",E703),0)&gt;0,"용역·수수료","기타/불명"))))))</x:f>
      </x:c>
      <x:c r="J703" s="77" t="str">
        <x:f>IF(A703="","",IF(I703="기타/불명","확인 필요","결의서명으로 1차 확인"))</x:f>
      </x:c>
      <x:c r="K703" s="78"/>
    </x:row>
    <x:row r="704">
      <x:c r="A704" s="73"/>
      <x:c r="B704" s="73"/>
      <x:c r="C704" s="74"/>
      <x:c r="D704" s="73"/>
      <x:c r="E704" s="73"/>
      <x:c r="F704" s="75"/>
      <x:c r="G704" s="75"/>
      <x:c r="H704" s="76" t="str">
        <x:f>IF(A704="","",F704-G704)</x:f>
      </x:c>
      <x:c r="I704" s="77" t="str">
        <x:f>IF(A704="","",IF(E704="","기타/불명",IF(IFERROR(SEARCH("급여",E704),0)&gt;0,"인건비",IF(IFERROR(SEARCH("임차",E704),0)&gt;0,"임차·시설",IF(IFERROR(SEARCH("광고",E704),0)&gt;0,"광고·행사",IF(IFERROR(SEARCH("용역",E704),0)&gt;0,"용역·수수료","기타/불명"))))))</x:f>
      </x:c>
      <x:c r="J704" s="77" t="str">
        <x:f>IF(A704="","",IF(I704="기타/불명","확인 필요","결의서명으로 1차 확인"))</x:f>
      </x:c>
      <x:c r="K704" s="78"/>
    </x:row>
    <x:row r="705">
      <x:c r="A705" s="73"/>
      <x:c r="B705" s="73"/>
      <x:c r="C705" s="74"/>
      <x:c r="D705" s="73"/>
      <x:c r="E705" s="73"/>
      <x:c r="F705" s="75"/>
      <x:c r="G705" s="75"/>
      <x:c r="H705" s="76" t="str">
        <x:f>IF(A705="","",F705-G705)</x:f>
      </x:c>
      <x:c r="I705" s="77" t="str">
        <x:f>IF(A705="","",IF(E705="","기타/불명",IF(IFERROR(SEARCH("급여",E705),0)&gt;0,"인건비",IF(IFERROR(SEARCH("임차",E705),0)&gt;0,"임차·시설",IF(IFERROR(SEARCH("광고",E705),0)&gt;0,"광고·행사",IF(IFERROR(SEARCH("용역",E705),0)&gt;0,"용역·수수료","기타/불명"))))))</x:f>
      </x:c>
      <x:c r="J705" s="77" t="str">
        <x:f>IF(A705="","",IF(I705="기타/불명","확인 필요","결의서명으로 1차 확인"))</x:f>
      </x:c>
      <x:c r="K705" s="78"/>
    </x:row>
    <x:row r="706">
      <x:c r="A706" s="73"/>
      <x:c r="B706" s="73"/>
      <x:c r="C706" s="74"/>
      <x:c r="D706" s="73"/>
      <x:c r="E706" s="73"/>
      <x:c r="F706" s="75"/>
      <x:c r="G706" s="75"/>
      <x:c r="H706" s="76" t="str">
        <x:f>IF(A706="","",F706-G706)</x:f>
      </x:c>
      <x:c r="I706" s="77" t="str">
        <x:f>IF(A706="","",IF(E706="","기타/불명",IF(IFERROR(SEARCH("급여",E706),0)&gt;0,"인건비",IF(IFERROR(SEARCH("임차",E706),0)&gt;0,"임차·시설",IF(IFERROR(SEARCH("광고",E706),0)&gt;0,"광고·행사",IF(IFERROR(SEARCH("용역",E706),0)&gt;0,"용역·수수료","기타/불명"))))))</x:f>
      </x:c>
      <x:c r="J706" s="77" t="str">
        <x:f>IF(A706="","",IF(I706="기타/불명","확인 필요","결의서명으로 1차 확인"))</x:f>
      </x:c>
      <x:c r="K706" s="78"/>
    </x:row>
    <x:row r="707">
      <x:c r="A707" s="73"/>
      <x:c r="B707" s="73"/>
      <x:c r="C707" s="74"/>
      <x:c r="D707" s="73"/>
      <x:c r="E707" s="73"/>
      <x:c r="F707" s="75"/>
      <x:c r="G707" s="75"/>
      <x:c r="H707" s="76" t="str">
        <x:f>IF(A707="","",F707-G707)</x:f>
      </x:c>
      <x:c r="I707" s="77" t="str">
        <x:f>IF(A707="","",IF(E707="","기타/불명",IF(IFERROR(SEARCH("급여",E707),0)&gt;0,"인건비",IF(IFERROR(SEARCH("임차",E707),0)&gt;0,"임차·시설",IF(IFERROR(SEARCH("광고",E707),0)&gt;0,"광고·행사",IF(IFERROR(SEARCH("용역",E707),0)&gt;0,"용역·수수료","기타/불명"))))))</x:f>
      </x:c>
      <x:c r="J707" s="77" t="str">
        <x:f>IF(A707="","",IF(I707="기타/불명","확인 필요","결의서명으로 1차 확인"))</x:f>
      </x:c>
      <x:c r="K707" s="78"/>
    </x:row>
    <x:row r="708">
      <x:c r="A708" s="73"/>
      <x:c r="B708" s="73"/>
      <x:c r="C708" s="74"/>
      <x:c r="D708" s="73"/>
      <x:c r="E708" s="73"/>
      <x:c r="F708" s="75"/>
      <x:c r="G708" s="75"/>
      <x:c r="H708" s="76" t="str">
        <x:f>IF(A708="","",F708-G708)</x:f>
      </x:c>
      <x:c r="I708" s="77" t="str">
        <x:f>IF(A708="","",IF(E708="","기타/불명",IF(IFERROR(SEARCH("급여",E708),0)&gt;0,"인건비",IF(IFERROR(SEARCH("임차",E708),0)&gt;0,"임차·시설",IF(IFERROR(SEARCH("광고",E708),0)&gt;0,"광고·행사",IF(IFERROR(SEARCH("용역",E708),0)&gt;0,"용역·수수료","기타/불명"))))))</x:f>
      </x:c>
      <x:c r="J708" s="77" t="str">
        <x:f>IF(A708="","",IF(I708="기타/불명","확인 필요","결의서명으로 1차 확인"))</x:f>
      </x:c>
      <x:c r="K708" s="78"/>
    </x:row>
    <x:row r="709">
      <x:c r="A709" s="73"/>
      <x:c r="B709" s="73"/>
      <x:c r="C709" s="74"/>
      <x:c r="D709" s="73"/>
      <x:c r="E709" s="73"/>
      <x:c r="F709" s="75"/>
      <x:c r="G709" s="75"/>
      <x:c r="H709" s="76" t="str">
        <x:f>IF(A709="","",F709-G709)</x:f>
      </x:c>
      <x:c r="I709" s="77" t="str">
        <x:f>IF(A709="","",IF(E709="","기타/불명",IF(IFERROR(SEARCH("급여",E709),0)&gt;0,"인건비",IF(IFERROR(SEARCH("임차",E709),0)&gt;0,"임차·시설",IF(IFERROR(SEARCH("광고",E709),0)&gt;0,"광고·행사",IF(IFERROR(SEARCH("용역",E709),0)&gt;0,"용역·수수료","기타/불명"))))))</x:f>
      </x:c>
      <x:c r="J709" s="77" t="str">
        <x:f>IF(A709="","",IF(I709="기타/불명","확인 필요","결의서명으로 1차 확인"))</x:f>
      </x:c>
      <x:c r="K709" s="78"/>
    </x:row>
    <x:row r="710">
      <x:c r="A710" s="73"/>
      <x:c r="B710" s="73"/>
      <x:c r="C710" s="74"/>
      <x:c r="D710" s="73"/>
      <x:c r="E710" s="73"/>
      <x:c r="F710" s="75"/>
      <x:c r="G710" s="75"/>
      <x:c r="H710" s="76" t="str">
        <x:f>IF(A710="","",F710-G710)</x:f>
      </x:c>
      <x:c r="I710" s="77" t="str">
        <x:f>IF(A710="","",IF(E710="","기타/불명",IF(IFERROR(SEARCH("급여",E710),0)&gt;0,"인건비",IF(IFERROR(SEARCH("임차",E710),0)&gt;0,"임차·시설",IF(IFERROR(SEARCH("광고",E710),0)&gt;0,"광고·행사",IF(IFERROR(SEARCH("용역",E710),0)&gt;0,"용역·수수료","기타/불명"))))))</x:f>
      </x:c>
      <x:c r="J710" s="77" t="str">
        <x:f>IF(A710="","",IF(I710="기타/불명","확인 필요","결의서명으로 1차 확인"))</x:f>
      </x:c>
      <x:c r="K710" s="78"/>
    </x:row>
    <x:row r="711">
      <x:c r="A711" s="73"/>
      <x:c r="B711" s="73"/>
      <x:c r="C711" s="74"/>
      <x:c r="D711" s="73"/>
      <x:c r="E711" s="73"/>
      <x:c r="F711" s="75"/>
      <x:c r="G711" s="75"/>
      <x:c r="H711" s="76" t="str">
        <x:f>IF(A711="","",F711-G711)</x:f>
      </x:c>
      <x:c r="I711" s="77" t="str">
        <x:f>IF(A711="","",IF(E711="","기타/불명",IF(IFERROR(SEARCH("급여",E711),0)&gt;0,"인건비",IF(IFERROR(SEARCH("임차",E711),0)&gt;0,"임차·시설",IF(IFERROR(SEARCH("광고",E711),0)&gt;0,"광고·행사",IF(IFERROR(SEARCH("용역",E711),0)&gt;0,"용역·수수료","기타/불명"))))))</x:f>
      </x:c>
      <x:c r="J711" s="77" t="str">
        <x:f>IF(A711="","",IF(I711="기타/불명","확인 필요","결의서명으로 1차 확인"))</x:f>
      </x:c>
      <x:c r="K711" s="78"/>
    </x:row>
    <x:row r="712">
      <x:c r="A712" s="73"/>
      <x:c r="B712" s="73"/>
      <x:c r="C712" s="74"/>
      <x:c r="D712" s="73"/>
      <x:c r="E712" s="73"/>
      <x:c r="F712" s="75"/>
      <x:c r="G712" s="75"/>
      <x:c r="H712" s="76" t="str">
        <x:f>IF(A712="","",F712-G712)</x:f>
      </x:c>
      <x:c r="I712" s="77" t="str">
        <x:f>IF(A712="","",IF(E712="","기타/불명",IF(IFERROR(SEARCH("급여",E712),0)&gt;0,"인건비",IF(IFERROR(SEARCH("임차",E712),0)&gt;0,"임차·시설",IF(IFERROR(SEARCH("광고",E712),0)&gt;0,"광고·행사",IF(IFERROR(SEARCH("용역",E712),0)&gt;0,"용역·수수료","기타/불명"))))))</x:f>
      </x:c>
      <x:c r="J712" s="77" t="str">
        <x:f>IF(A712="","",IF(I712="기타/불명","확인 필요","결의서명으로 1차 확인"))</x:f>
      </x:c>
      <x:c r="K712" s="78"/>
    </x:row>
    <x:row r="713">
      <x:c r="A713" s="73"/>
      <x:c r="B713" s="73"/>
      <x:c r="C713" s="74"/>
      <x:c r="D713" s="73"/>
      <x:c r="E713" s="73"/>
      <x:c r="F713" s="75"/>
      <x:c r="G713" s="75"/>
      <x:c r="H713" s="76" t="str">
        <x:f>IF(A713="","",F713-G713)</x:f>
      </x:c>
      <x:c r="I713" s="77" t="str">
        <x:f>IF(A713="","",IF(E713="","기타/불명",IF(IFERROR(SEARCH("급여",E713),0)&gt;0,"인건비",IF(IFERROR(SEARCH("임차",E713),0)&gt;0,"임차·시설",IF(IFERROR(SEARCH("광고",E713),0)&gt;0,"광고·행사",IF(IFERROR(SEARCH("용역",E713),0)&gt;0,"용역·수수료","기타/불명"))))))</x:f>
      </x:c>
      <x:c r="J713" s="77" t="str">
        <x:f>IF(A713="","",IF(I713="기타/불명","확인 필요","결의서명으로 1차 확인"))</x:f>
      </x:c>
      <x:c r="K713" s="78"/>
    </x:row>
    <x:row r="714">
      <x:c r="A714" s="73"/>
      <x:c r="B714" s="73"/>
      <x:c r="C714" s="74"/>
      <x:c r="D714" s="73"/>
      <x:c r="E714" s="73"/>
      <x:c r="F714" s="75"/>
      <x:c r="G714" s="75"/>
      <x:c r="H714" s="76" t="str">
        <x:f>IF(A714="","",F714-G714)</x:f>
      </x:c>
      <x:c r="I714" s="77" t="str">
        <x:f>IF(A714="","",IF(E714="","기타/불명",IF(IFERROR(SEARCH("급여",E714),0)&gt;0,"인건비",IF(IFERROR(SEARCH("임차",E714),0)&gt;0,"임차·시설",IF(IFERROR(SEARCH("광고",E714),0)&gt;0,"광고·행사",IF(IFERROR(SEARCH("용역",E714),0)&gt;0,"용역·수수료","기타/불명"))))))</x:f>
      </x:c>
      <x:c r="J714" s="77" t="str">
        <x:f>IF(A714="","",IF(I714="기타/불명","확인 필요","결의서명으로 1차 확인"))</x:f>
      </x:c>
      <x:c r="K714" s="78"/>
    </x:row>
    <x:row r="715">
      <x:c r="A715" s="73"/>
      <x:c r="B715" s="73"/>
      <x:c r="C715" s="74"/>
      <x:c r="D715" s="73"/>
      <x:c r="E715" s="73"/>
      <x:c r="F715" s="75"/>
      <x:c r="G715" s="75"/>
      <x:c r="H715" s="76" t="str">
        <x:f>IF(A715="","",F715-G715)</x:f>
      </x:c>
      <x:c r="I715" s="77" t="str">
        <x:f>IF(A715="","",IF(E715="","기타/불명",IF(IFERROR(SEARCH("급여",E715),0)&gt;0,"인건비",IF(IFERROR(SEARCH("임차",E715),0)&gt;0,"임차·시설",IF(IFERROR(SEARCH("광고",E715),0)&gt;0,"광고·행사",IF(IFERROR(SEARCH("용역",E715),0)&gt;0,"용역·수수료","기타/불명"))))))</x:f>
      </x:c>
      <x:c r="J715" s="77" t="str">
        <x:f>IF(A715="","",IF(I715="기타/불명","확인 필요","결의서명으로 1차 확인"))</x:f>
      </x:c>
      <x:c r="K715" s="78"/>
    </x:row>
    <x:row r="716">
      <x:c r="A716" s="73"/>
      <x:c r="B716" s="73"/>
      <x:c r="C716" s="74"/>
      <x:c r="D716" s="73"/>
      <x:c r="E716" s="73"/>
      <x:c r="F716" s="75"/>
      <x:c r="G716" s="75"/>
      <x:c r="H716" s="76" t="str">
        <x:f>IF(A716="","",F716-G716)</x:f>
      </x:c>
      <x:c r="I716" s="77" t="str">
        <x:f>IF(A716="","",IF(E716="","기타/불명",IF(IFERROR(SEARCH("급여",E716),0)&gt;0,"인건비",IF(IFERROR(SEARCH("임차",E716),0)&gt;0,"임차·시설",IF(IFERROR(SEARCH("광고",E716),0)&gt;0,"광고·행사",IF(IFERROR(SEARCH("용역",E716),0)&gt;0,"용역·수수료","기타/불명"))))))</x:f>
      </x:c>
      <x:c r="J716" s="77" t="str">
        <x:f>IF(A716="","",IF(I716="기타/불명","확인 필요","결의서명으로 1차 확인"))</x:f>
      </x:c>
      <x:c r="K716" s="78"/>
    </x:row>
    <x:row r="717">
      <x:c r="A717" s="73"/>
      <x:c r="B717" s="73"/>
      <x:c r="C717" s="74"/>
      <x:c r="D717" s="73"/>
      <x:c r="E717" s="73"/>
      <x:c r="F717" s="75"/>
      <x:c r="G717" s="75"/>
      <x:c r="H717" s="76" t="str">
        <x:f>IF(A717="","",F717-G717)</x:f>
      </x:c>
      <x:c r="I717" s="77" t="str">
        <x:f>IF(A717="","",IF(E717="","기타/불명",IF(IFERROR(SEARCH("급여",E717),0)&gt;0,"인건비",IF(IFERROR(SEARCH("임차",E717),0)&gt;0,"임차·시설",IF(IFERROR(SEARCH("광고",E717),0)&gt;0,"광고·행사",IF(IFERROR(SEARCH("용역",E717),0)&gt;0,"용역·수수료","기타/불명"))))))</x:f>
      </x:c>
      <x:c r="J717" s="77" t="str">
        <x:f>IF(A717="","",IF(I717="기타/불명","확인 필요","결의서명으로 1차 확인"))</x:f>
      </x:c>
      <x:c r="K717" s="78"/>
    </x:row>
    <x:row r="718">
      <x:c r="A718" s="73"/>
      <x:c r="B718" s="73"/>
      <x:c r="C718" s="74"/>
      <x:c r="D718" s="73"/>
      <x:c r="E718" s="73"/>
      <x:c r="F718" s="75"/>
      <x:c r="G718" s="75"/>
      <x:c r="H718" s="76" t="str">
        <x:f>IF(A718="","",F718-G718)</x:f>
      </x:c>
      <x:c r="I718" s="77" t="str">
        <x:f>IF(A718="","",IF(E718="","기타/불명",IF(IFERROR(SEARCH("급여",E718),0)&gt;0,"인건비",IF(IFERROR(SEARCH("임차",E718),0)&gt;0,"임차·시설",IF(IFERROR(SEARCH("광고",E718),0)&gt;0,"광고·행사",IF(IFERROR(SEARCH("용역",E718),0)&gt;0,"용역·수수료","기타/불명"))))))</x:f>
      </x:c>
      <x:c r="J718" s="77" t="str">
        <x:f>IF(A718="","",IF(I718="기타/불명","확인 필요","결의서명으로 1차 확인"))</x:f>
      </x:c>
      <x:c r="K718" s="78"/>
    </x:row>
    <x:row r="719">
      <x:c r="A719" s="73"/>
      <x:c r="B719" s="73"/>
      <x:c r="C719" s="74"/>
      <x:c r="D719" s="73"/>
      <x:c r="E719" s="73"/>
      <x:c r="F719" s="75"/>
      <x:c r="G719" s="75"/>
      <x:c r="H719" s="76" t="str">
        <x:f>IF(A719="","",F719-G719)</x:f>
      </x:c>
      <x:c r="I719" s="77" t="str">
        <x:f>IF(A719="","",IF(E719="","기타/불명",IF(IFERROR(SEARCH("급여",E719),0)&gt;0,"인건비",IF(IFERROR(SEARCH("임차",E719),0)&gt;0,"임차·시설",IF(IFERROR(SEARCH("광고",E719),0)&gt;0,"광고·행사",IF(IFERROR(SEARCH("용역",E719),0)&gt;0,"용역·수수료","기타/불명"))))))</x:f>
      </x:c>
      <x:c r="J719" s="77" t="str">
        <x:f>IF(A719="","",IF(I719="기타/불명","확인 필요","결의서명으로 1차 확인"))</x:f>
      </x:c>
      <x:c r="K719" s="78"/>
    </x:row>
    <x:row r="720">
      <x:c r="A720" s="73"/>
      <x:c r="B720" s="73"/>
      <x:c r="C720" s="74"/>
      <x:c r="D720" s="73"/>
      <x:c r="E720" s="73"/>
      <x:c r="F720" s="75"/>
      <x:c r="G720" s="75"/>
      <x:c r="H720" s="76" t="str">
        <x:f>IF(A720="","",F720-G720)</x:f>
      </x:c>
      <x:c r="I720" s="77" t="str">
        <x:f>IF(A720="","",IF(E720="","기타/불명",IF(IFERROR(SEARCH("급여",E720),0)&gt;0,"인건비",IF(IFERROR(SEARCH("임차",E720),0)&gt;0,"임차·시설",IF(IFERROR(SEARCH("광고",E720),0)&gt;0,"광고·행사",IF(IFERROR(SEARCH("용역",E720),0)&gt;0,"용역·수수료","기타/불명"))))))</x:f>
      </x:c>
      <x:c r="J720" s="77" t="str">
        <x:f>IF(A720="","",IF(I720="기타/불명","확인 필요","결의서명으로 1차 확인"))</x:f>
      </x:c>
      <x:c r="K720" s="78"/>
    </x:row>
    <x:row r="721">
      <x:c r="A721" s="73"/>
      <x:c r="B721" s="73"/>
      <x:c r="C721" s="74"/>
      <x:c r="D721" s="73"/>
      <x:c r="E721" s="73"/>
      <x:c r="F721" s="75"/>
      <x:c r="G721" s="75"/>
      <x:c r="H721" s="76" t="str">
        <x:f>IF(A721="","",F721-G721)</x:f>
      </x:c>
      <x:c r="I721" s="77" t="str">
        <x:f>IF(A721="","",IF(E721="","기타/불명",IF(IFERROR(SEARCH("급여",E721),0)&gt;0,"인건비",IF(IFERROR(SEARCH("임차",E721),0)&gt;0,"임차·시설",IF(IFERROR(SEARCH("광고",E721),0)&gt;0,"광고·행사",IF(IFERROR(SEARCH("용역",E721),0)&gt;0,"용역·수수료","기타/불명"))))))</x:f>
      </x:c>
      <x:c r="J721" s="77" t="str">
        <x:f>IF(A721="","",IF(I721="기타/불명","확인 필요","결의서명으로 1차 확인"))</x:f>
      </x:c>
      <x:c r="K721" s="78"/>
    </x:row>
    <x:row r="722">
      <x:c r="A722" s="73"/>
      <x:c r="B722" s="73"/>
      <x:c r="C722" s="74"/>
      <x:c r="D722" s="73"/>
      <x:c r="E722" s="73"/>
      <x:c r="F722" s="75"/>
      <x:c r="G722" s="75"/>
      <x:c r="H722" s="76" t="str">
        <x:f>IF(A722="","",F722-G722)</x:f>
      </x:c>
      <x:c r="I722" s="77" t="str">
        <x:f>IF(A722="","",IF(E722="","기타/불명",IF(IFERROR(SEARCH("급여",E722),0)&gt;0,"인건비",IF(IFERROR(SEARCH("임차",E722),0)&gt;0,"임차·시설",IF(IFERROR(SEARCH("광고",E722),0)&gt;0,"광고·행사",IF(IFERROR(SEARCH("용역",E722),0)&gt;0,"용역·수수료","기타/불명"))))))</x:f>
      </x:c>
      <x:c r="J722" s="77" t="str">
        <x:f>IF(A722="","",IF(I722="기타/불명","확인 필요","결의서명으로 1차 확인"))</x:f>
      </x:c>
      <x:c r="K722" s="78"/>
    </x:row>
    <x:row r="723">
      <x:c r="A723" s="73"/>
      <x:c r="B723" s="73"/>
      <x:c r="C723" s="74"/>
      <x:c r="D723" s="73"/>
      <x:c r="E723" s="73"/>
      <x:c r="F723" s="75"/>
      <x:c r="G723" s="75"/>
      <x:c r="H723" s="76" t="str">
        <x:f>IF(A723="","",F723-G723)</x:f>
      </x:c>
      <x:c r="I723" s="77" t="str">
        <x:f>IF(A723="","",IF(E723="","기타/불명",IF(IFERROR(SEARCH("급여",E723),0)&gt;0,"인건비",IF(IFERROR(SEARCH("임차",E723),0)&gt;0,"임차·시설",IF(IFERROR(SEARCH("광고",E723),0)&gt;0,"광고·행사",IF(IFERROR(SEARCH("용역",E723),0)&gt;0,"용역·수수료","기타/불명"))))))</x:f>
      </x:c>
      <x:c r="J723" s="77" t="str">
        <x:f>IF(A723="","",IF(I723="기타/불명","확인 필요","결의서명으로 1차 확인"))</x:f>
      </x:c>
      <x:c r="K723" s="78"/>
    </x:row>
    <x:row r="724">
      <x:c r="A724" s="73"/>
      <x:c r="B724" s="73"/>
      <x:c r="C724" s="74"/>
      <x:c r="D724" s="73"/>
      <x:c r="E724" s="73"/>
      <x:c r="F724" s="75"/>
      <x:c r="G724" s="75"/>
      <x:c r="H724" s="76" t="str">
        <x:f>IF(A724="","",F724-G724)</x:f>
      </x:c>
      <x:c r="I724" s="77" t="str">
        <x:f>IF(A724="","",IF(E724="","기타/불명",IF(IFERROR(SEARCH("급여",E724),0)&gt;0,"인건비",IF(IFERROR(SEARCH("임차",E724),0)&gt;0,"임차·시설",IF(IFERROR(SEARCH("광고",E724),0)&gt;0,"광고·행사",IF(IFERROR(SEARCH("용역",E724),0)&gt;0,"용역·수수료","기타/불명"))))))</x:f>
      </x:c>
      <x:c r="J724" s="77" t="str">
        <x:f>IF(A724="","",IF(I724="기타/불명","확인 필요","결의서명으로 1차 확인"))</x:f>
      </x:c>
      <x:c r="K724" s="78"/>
    </x:row>
    <x:row r="725">
      <x:c r="A725" s="73"/>
      <x:c r="B725" s="73"/>
      <x:c r="C725" s="74"/>
      <x:c r="D725" s="73"/>
      <x:c r="E725" s="73"/>
      <x:c r="F725" s="75"/>
      <x:c r="G725" s="75"/>
      <x:c r="H725" s="76" t="str">
        <x:f>IF(A725="","",F725-G725)</x:f>
      </x:c>
      <x:c r="I725" s="77" t="str">
        <x:f>IF(A725="","",IF(E725="","기타/불명",IF(IFERROR(SEARCH("급여",E725),0)&gt;0,"인건비",IF(IFERROR(SEARCH("임차",E725),0)&gt;0,"임차·시설",IF(IFERROR(SEARCH("광고",E725),0)&gt;0,"광고·행사",IF(IFERROR(SEARCH("용역",E725),0)&gt;0,"용역·수수료","기타/불명"))))))</x:f>
      </x:c>
      <x:c r="J725" s="77" t="str">
        <x:f>IF(A725="","",IF(I725="기타/불명","확인 필요","결의서명으로 1차 확인"))</x:f>
      </x:c>
      <x:c r="K725" s="78"/>
    </x:row>
    <x:row r="726">
      <x:c r="A726" s="73"/>
      <x:c r="B726" s="73"/>
      <x:c r="C726" s="74"/>
      <x:c r="D726" s="73"/>
      <x:c r="E726" s="73"/>
      <x:c r="F726" s="75"/>
      <x:c r="G726" s="75"/>
      <x:c r="H726" s="76" t="str">
        <x:f>IF(A726="","",F726-G726)</x:f>
      </x:c>
      <x:c r="I726" s="77" t="str">
        <x:f>IF(A726="","",IF(E726="","기타/불명",IF(IFERROR(SEARCH("급여",E726),0)&gt;0,"인건비",IF(IFERROR(SEARCH("임차",E726),0)&gt;0,"임차·시설",IF(IFERROR(SEARCH("광고",E726),0)&gt;0,"광고·행사",IF(IFERROR(SEARCH("용역",E726),0)&gt;0,"용역·수수료","기타/불명"))))))</x:f>
      </x:c>
      <x:c r="J726" s="77" t="str">
        <x:f>IF(A726="","",IF(I726="기타/불명","확인 필요","결의서명으로 1차 확인"))</x:f>
      </x:c>
      <x:c r="K726" s="78"/>
    </x:row>
    <x:row r="727">
      <x:c r="A727" s="73"/>
      <x:c r="B727" s="73"/>
      <x:c r="C727" s="74"/>
      <x:c r="D727" s="73"/>
      <x:c r="E727" s="73"/>
      <x:c r="F727" s="75"/>
      <x:c r="G727" s="75"/>
      <x:c r="H727" s="76" t="str">
        <x:f>IF(A727="","",F727-G727)</x:f>
      </x:c>
      <x:c r="I727" s="77" t="str">
        <x:f>IF(A727="","",IF(E727="","기타/불명",IF(IFERROR(SEARCH("급여",E727),0)&gt;0,"인건비",IF(IFERROR(SEARCH("임차",E727),0)&gt;0,"임차·시설",IF(IFERROR(SEARCH("광고",E727),0)&gt;0,"광고·행사",IF(IFERROR(SEARCH("용역",E727),0)&gt;0,"용역·수수료","기타/불명"))))))</x:f>
      </x:c>
      <x:c r="J727" s="77" t="str">
        <x:f>IF(A727="","",IF(I727="기타/불명","확인 필요","결의서명으로 1차 확인"))</x:f>
      </x:c>
      <x:c r="K727" s="78"/>
    </x:row>
    <x:row r="728">
      <x:c r="A728" s="73"/>
      <x:c r="B728" s="73"/>
      <x:c r="C728" s="74"/>
      <x:c r="D728" s="73"/>
      <x:c r="E728" s="73"/>
      <x:c r="F728" s="75"/>
      <x:c r="G728" s="75"/>
      <x:c r="H728" s="76" t="str">
        <x:f>IF(A728="","",F728-G728)</x:f>
      </x:c>
      <x:c r="I728" s="77" t="str">
        <x:f>IF(A728="","",IF(E728="","기타/불명",IF(IFERROR(SEARCH("급여",E728),0)&gt;0,"인건비",IF(IFERROR(SEARCH("임차",E728),0)&gt;0,"임차·시설",IF(IFERROR(SEARCH("광고",E728),0)&gt;0,"광고·행사",IF(IFERROR(SEARCH("용역",E728),0)&gt;0,"용역·수수료","기타/불명"))))))</x:f>
      </x:c>
      <x:c r="J728" s="77" t="str">
        <x:f>IF(A728="","",IF(I728="기타/불명","확인 필요","결의서명으로 1차 확인"))</x:f>
      </x:c>
      <x:c r="K728" s="78"/>
    </x:row>
    <x:row r="729">
      <x:c r="A729" s="73"/>
      <x:c r="B729" s="73"/>
      <x:c r="C729" s="74"/>
      <x:c r="D729" s="73"/>
      <x:c r="E729" s="73"/>
      <x:c r="F729" s="75"/>
      <x:c r="G729" s="75"/>
      <x:c r="H729" s="76" t="str">
        <x:f>IF(A729="","",F729-G729)</x:f>
      </x:c>
      <x:c r="I729" s="77" t="str">
        <x:f>IF(A729="","",IF(E729="","기타/불명",IF(IFERROR(SEARCH("급여",E729),0)&gt;0,"인건비",IF(IFERROR(SEARCH("임차",E729),0)&gt;0,"임차·시설",IF(IFERROR(SEARCH("광고",E729),0)&gt;0,"광고·행사",IF(IFERROR(SEARCH("용역",E729),0)&gt;0,"용역·수수료","기타/불명"))))))</x:f>
      </x:c>
      <x:c r="J729" s="77" t="str">
        <x:f>IF(A729="","",IF(I729="기타/불명","확인 필요","결의서명으로 1차 확인"))</x:f>
      </x:c>
      <x:c r="K729" s="78"/>
    </x:row>
    <x:row r="730">
      <x:c r="A730" s="73"/>
      <x:c r="B730" s="73"/>
      <x:c r="C730" s="74"/>
      <x:c r="D730" s="73"/>
      <x:c r="E730" s="73"/>
      <x:c r="F730" s="75"/>
      <x:c r="G730" s="75"/>
      <x:c r="H730" s="76" t="str">
        <x:f>IF(A730="","",F730-G730)</x:f>
      </x:c>
      <x:c r="I730" s="77" t="str">
        <x:f>IF(A730="","",IF(E730="","기타/불명",IF(IFERROR(SEARCH("급여",E730),0)&gt;0,"인건비",IF(IFERROR(SEARCH("임차",E730),0)&gt;0,"임차·시설",IF(IFERROR(SEARCH("광고",E730),0)&gt;0,"광고·행사",IF(IFERROR(SEARCH("용역",E730),0)&gt;0,"용역·수수료","기타/불명"))))))</x:f>
      </x:c>
      <x:c r="J730" s="77" t="str">
        <x:f>IF(A730="","",IF(I730="기타/불명","확인 필요","결의서명으로 1차 확인"))</x:f>
      </x:c>
      <x:c r="K730" s="78"/>
    </x:row>
    <x:row r="731">
      <x:c r="A731" s="73"/>
      <x:c r="B731" s="73"/>
      <x:c r="C731" s="74"/>
      <x:c r="D731" s="73"/>
      <x:c r="E731" s="73"/>
      <x:c r="F731" s="75"/>
      <x:c r="G731" s="75"/>
      <x:c r="H731" s="76" t="str">
        <x:f>IF(A731="","",F731-G731)</x:f>
      </x:c>
      <x:c r="I731" s="77" t="str">
        <x:f>IF(A731="","",IF(E731="","기타/불명",IF(IFERROR(SEARCH("급여",E731),0)&gt;0,"인건비",IF(IFERROR(SEARCH("임차",E731),0)&gt;0,"임차·시설",IF(IFERROR(SEARCH("광고",E731),0)&gt;0,"광고·행사",IF(IFERROR(SEARCH("용역",E731),0)&gt;0,"용역·수수료","기타/불명"))))))</x:f>
      </x:c>
      <x:c r="J731" s="77" t="str">
        <x:f>IF(A731="","",IF(I731="기타/불명","확인 필요","결의서명으로 1차 확인"))</x:f>
      </x:c>
      <x:c r="K731" s="78"/>
    </x:row>
    <x:row r="732">
      <x:c r="A732" s="73"/>
      <x:c r="B732" s="73"/>
      <x:c r="C732" s="74"/>
      <x:c r="D732" s="73"/>
      <x:c r="E732" s="73"/>
      <x:c r="F732" s="75"/>
      <x:c r="G732" s="75"/>
      <x:c r="H732" s="76" t="str">
        <x:f>IF(A732="","",F732-G732)</x:f>
      </x:c>
      <x:c r="I732" s="77" t="str">
        <x:f>IF(A732="","",IF(E732="","기타/불명",IF(IFERROR(SEARCH("급여",E732),0)&gt;0,"인건비",IF(IFERROR(SEARCH("임차",E732),0)&gt;0,"임차·시설",IF(IFERROR(SEARCH("광고",E732),0)&gt;0,"광고·행사",IF(IFERROR(SEARCH("용역",E732),0)&gt;0,"용역·수수료","기타/불명"))))))</x:f>
      </x:c>
      <x:c r="J732" s="77" t="str">
        <x:f>IF(A732="","",IF(I732="기타/불명","확인 필요","결의서명으로 1차 확인"))</x:f>
      </x:c>
      <x:c r="K732" s="78"/>
    </x:row>
    <x:row r="733">
      <x:c r="A733" s="73"/>
      <x:c r="B733" s="73"/>
      <x:c r="C733" s="74"/>
      <x:c r="D733" s="73"/>
      <x:c r="E733" s="73"/>
      <x:c r="F733" s="75"/>
      <x:c r="G733" s="75"/>
      <x:c r="H733" s="76" t="str">
        <x:f>IF(A733="","",F733-G733)</x:f>
      </x:c>
      <x:c r="I733" s="77" t="str">
        <x:f>IF(A733="","",IF(E733="","기타/불명",IF(IFERROR(SEARCH("급여",E733),0)&gt;0,"인건비",IF(IFERROR(SEARCH("임차",E733),0)&gt;0,"임차·시설",IF(IFERROR(SEARCH("광고",E733),0)&gt;0,"광고·행사",IF(IFERROR(SEARCH("용역",E733),0)&gt;0,"용역·수수료","기타/불명"))))))</x:f>
      </x:c>
      <x:c r="J733" s="77" t="str">
        <x:f>IF(A733="","",IF(I733="기타/불명","확인 필요","결의서명으로 1차 확인"))</x:f>
      </x:c>
      <x:c r="K733" s="78"/>
    </x:row>
    <x:row r="734">
      <x:c r="A734" s="73"/>
      <x:c r="B734" s="73"/>
      <x:c r="C734" s="74"/>
      <x:c r="D734" s="73"/>
      <x:c r="E734" s="73"/>
      <x:c r="F734" s="75"/>
      <x:c r="G734" s="75"/>
      <x:c r="H734" s="76" t="str">
        <x:f>IF(A734="","",F734-G734)</x:f>
      </x:c>
      <x:c r="I734" s="77" t="str">
        <x:f>IF(A734="","",IF(E734="","기타/불명",IF(IFERROR(SEARCH("급여",E734),0)&gt;0,"인건비",IF(IFERROR(SEARCH("임차",E734),0)&gt;0,"임차·시설",IF(IFERROR(SEARCH("광고",E734),0)&gt;0,"광고·행사",IF(IFERROR(SEARCH("용역",E734),0)&gt;0,"용역·수수료","기타/불명"))))))</x:f>
      </x:c>
      <x:c r="J734" s="77" t="str">
        <x:f>IF(A734="","",IF(I734="기타/불명","확인 필요","결의서명으로 1차 확인"))</x:f>
      </x:c>
      <x:c r="K734" s="78"/>
    </x:row>
    <x:row r="735">
      <x:c r="A735" s="73"/>
      <x:c r="B735" s="73"/>
      <x:c r="C735" s="74"/>
      <x:c r="D735" s="73"/>
      <x:c r="E735" s="73"/>
      <x:c r="F735" s="75"/>
      <x:c r="G735" s="75"/>
      <x:c r="H735" s="76" t="str">
        <x:f>IF(A735="","",F735-G735)</x:f>
      </x:c>
      <x:c r="I735" s="77" t="str">
        <x:f>IF(A735="","",IF(E735="","기타/불명",IF(IFERROR(SEARCH("급여",E735),0)&gt;0,"인건비",IF(IFERROR(SEARCH("임차",E735),0)&gt;0,"임차·시설",IF(IFERROR(SEARCH("광고",E735),0)&gt;0,"광고·행사",IF(IFERROR(SEARCH("용역",E735),0)&gt;0,"용역·수수료","기타/불명"))))))</x:f>
      </x:c>
      <x:c r="J735" s="77" t="str">
        <x:f>IF(A735="","",IF(I735="기타/불명","확인 필요","결의서명으로 1차 확인"))</x:f>
      </x:c>
      <x:c r="K735" s="78"/>
    </x:row>
    <x:row r="736">
      <x:c r="A736" s="73"/>
      <x:c r="B736" s="73"/>
      <x:c r="C736" s="74"/>
      <x:c r="D736" s="73"/>
      <x:c r="E736" s="73"/>
      <x:c r="F736" s="75"/>
      <x:c r="G736" s="75"/>
      <x:c r="H736" s="76" t="str">
        <x:f>IF(A736="","",F736-G736)</x:f>
      </x:c>
      <x:c r="I736" s="77" t="str">
        <x:f>IF(A736="","",IF(E736="","기타/불명",IF(IFERROR(SEARCH("급여",E736),0)&gt;0,"인건비",IF(IFERROR(SEARCH("임차",E736),0)&gt;0,"임차·시설",IF(IFERROR(SEARCH("광고",E736),0)&gt;0,"광고·행사",IF(IFERROR(SEARCH("용역",E736),0)&gt;0,"용역·수수료","기타/불명"))))))</x:f>
      </x:c>
      <x:c r="J736" s="77" t="str">
        <x:f>IF(A736="","",IF(I736="기타/불명","확인 필요","결의서명으로 1차 확인"))</x:f>
      </x:c>
      <x:c r="K736" s="78"/>
    </x:row>
    <x:row r="737">
      <x:c r="A737" s="73"/>
      <x:c r="B737" s="73"/>
      <x:c r="C737" s="74"/>
      <x:c r="D737" s="73"/>
      <x:c r="E737" s="73"/>
      <x:c r="F737" s="75"/>
      <x:c r="G737" s="75"/>
      <x:c r="H737" s="76" t="str">
        <x:f>IF(A737="","",F737-G737)</x:f>
      </x:c>
      <x:c r="I737" s="77" t="str">
        <x:f>IF(A737="","",IF(E737="","기타/불명",IF(IFERROR(SEARCH("급여",E737),0)&gt;0,"인건비",IF(IFERROR(SEARCH("임차",E737),0)&gt;0,"임차·시설",IF(IFERROR(SEARCH("광고",E737),0)&gt;0,"광고·행사",IF(IFERROR(SEARCH("용역",E737),0)&gt;0,"용역·수수료","기타/불명"))))))</x:f>
      </x:c>
      <x:c r="J737" s="77" t="str">
        <x:f>IF(A737="","",IF(I737="기타/불명","확인 필요","결의서명으로 1차 확인"))</x:f>
      </x:c>
      <x:c r="K737" s="78"/>
    </x:row>
    <x:row r="738">
      <x:c r="A738" s="73"/>
      <x:c r="B738" s="73"/>
      <x:c r="C738" s="74"/>
      <x:c r="D738" s="73"/>
      <x:c r="E738" s="73"/>
      <x:c r="F738" s="75"/>
      <x:c r="G738" s="75"/>
      <x:c r="H738" s="76" t="str">
        <x:f>IF(A738="","",F738-G738)</x:f>
      </x:c>
      <x:c r="I738" s="77" t="str">
        <x:f>IF(A738="","",IF(E738="","기타/불명",IF(IFERROR(SEARCH("급여",E738),0)&gt;0,"인건비",IF(IFERROR(SEARCH("임차",E738),0)&gt;0,"임차·시설",IF(IFERROR(SEARCH("광고",E738),0)&gt;0,"광고·행사",IF(IFERROR(SEARCH("용역",E738),0)&gt;0,"용역·수수료","기타/불명"))))))</x:f>
      </x:c>
      <x:c r="J738" s="77" t="str">
        <x:f>IF(A738="","",IF(I738="기타/불명","확인 필요","결의서명으로 1차 확인"))</x:f>
      </x:c>
      <x:c r="K738" s="78"/>
    </x:row>
    <x:row r="739">
      <x:c r="A739" s="73"/>
      <x:c r="B739" s="73"/>
      <x:c r="C739" s="74"/>
      <x:c r="D739" s="73"/>
      <x:c r="E739" s="73"/>
      <x:c r="F739" s="75"/>
      <x:c r="G739" s="75"/>
      <x:c r="H739" s="76" t="str">
        <x:f>IF(A739="","",F739-G739)</x:f>
      </x:c>
      <x:c r="I739" s="77" t="str">
        <x:f>IF(A739="","",IF(E739="","기타/불명",IF(IFERROR(SEARCH("급여",E739),0)&gt;0,"인건비",IF(IFERROR(SEARCH("임차",E739),0)&gt;0,"임차·시설",IF(IFERROR(SEARCH("광고",E739),0)&gt;0,"광고·행사",IF(IFERROR(SEARCH("용역",E739),0)&gt;0,"용역·수수료","기타/불명"))))))</x:f>
      </x:c>
      <x:c r="J739" s="77" t="str">
        <x:f>IF(A739="","",IF(I739="기타/불명","확인 필요","결의서명으로 1차 확인"))</x:f>
      </x:c>
      <x:c r="K739" s="78"/>
    </x:row>
    <x:row r="740">
      <x:c r="A740" s="73"/>
      <x:c r="B740" s="73"/>
      <x:c r="C740" s="74"/>
      <x:c r="D740" s="73"/>
      <x:c r="E740" s="73"/>
      <x:c r="F740" s="75"/>
      <x:c r="G740" s="75"/>
      <x:c r="H740" s="76" t="str">
        <x:f>IF(A740="","",F740-G740)</x:f>
      </x:c>
      <x:c r="I740" s="77" t="str">
        <x:f>IF(A740="","",IF(E740="","기타/불명",IF(IFERROR(SEARCH("급여",E740),0)&gt;0,"인건비",IF(IFERROR(SEARCH("임차",E740),0)&gt;0,"임차·시설",IF(IFERROR(SEARCH("광고",E740),0)&gt;0,"광고·행사",IF(IFERROR(SEARCH("용역",E740),0)&gt;0,"용역·수수료","기타/불명"))))))</x:f>
      </x:c>
      <x:c r="J740" s="77" t="str">
        <x:f>IF(A740="","",IF(I740="기타/불명","확인 필요","결의서명으로 1차 확인"))</x:f>
      </x:c>
      <x:c r="K740" s="78"/>
    </x:row>
    <x:row r="741">
      <x:c r="A741" s="73"/>
      <x:c r="B741" s="73"/>
      <x:c r="C741" s="74"/>
      <x:c r="D741" s="73"/>
      <x:c r="E741" s="73"/>
      <x:c r="F741" s="75"/>
      <x:c r="G741" s="75"/>
      <x:c r="H741" s="76" t="str">
        <x:f>IF(A741="","",F741-G741)</x:f>
      </x:c>
      <x:c r="I741" s="77" t="str">
        <x:f>IF(A741="","",IF(E741="","기타/불명",IF(IFERROR(SEARCH("급여",E741),0)&gt;0,"인건비",IF(IFERROR(SEARCH("임차",E741),0)&gt;0,"임차·시설",IF(IFERROR(SEARCH("광고",E741),0)&gt;0,"광고·행사",IF(IFERROR(SEARCH("용역",E741),0)&gt;0,"용역·수수료","기타/불명"))))))</x:f>
      </x:c>
      <x:c r="J741" s="77" t="str">
        <x:f>IF(A741="","",IF(I741="기타/불명","확인 필요","결의서명으로 1차 확인"))</x:f>
      </x:c>
      <x:c r="K741" s="78"/>
    </x:row>
    <x:row r="742">
      <x:c r="A742" s="73"/>
      <x:c r="B742" s="73"/>
      <x:c r="C742" s="74"/>
      <x:c r="D742" s="73"/>
      <x:c r="E742" s="73"/>
      <x:c r="F742" s="75"/>
      <x:c r="G742" s="75"/>
      <x:c r="H742" s="76" t="str">
        <x:f>IF(A742="","",F742-G742)</x:f>
      </x:c>
      <x:c r="I742" s="77" t="str">
        <x:f>IF(A742="","",IF(E742="","기타/불명",IF(IFERROR(SEARCH("급여",E742),0)&gt;0,"인건비",IF(IFERROR(SEARCH("임차",E742),0)&gt;0,"임차·시설",IF(IFERROR(SEARCH("광고",E742),0)&gt;0,"광고·행사",IF(IFERROR(SEARCH("용역",E742),0)&gt;0,"용역·수수료","기타/불명"))))))</x:f>
      </x:c>
      <x:c r="J742" s="77" t="str">
        <x:f>IF(A742="","",IF(I742="기타/불명","확인 필요","결의서명으로 1차 확인"))</x:f>
      </x:c>
      <x:c r="K742" s="78"/>
    </x:row>
    <x:row r="743">
      <x:c r="A743" s="73"/>
      <x:c r="B743" s="73"/>
      <x:c r="C743" s="74"/>
      <x:c r="D743" s="73"/>
      <x:c r="E743" s="73"/>
      <x:c r="F743" s="75"/>
      <x:c r="G743" s="75"/>
      <x:c r="H743" s="76" t="str">
        <x:f>IF(A743="","",F743-G743)</x:f>
      </x:c>
      <x:c r="I743" s="77" t="str">
        <x:f>IF(A743="","",IF(E743="","기타/불명",IF(IFERROR(SEARCH("급여",E743),0)&gt;0,"인건비",IF(IFERROR(SEARCH("임차",E743),0)&gt;0,"임차·시설",IF(IFERROR(SEARCH("광고",E743),0)&gt;0,"광고·행사",IF(IFERROR(SEARCH("용역",E743),0)&gt;0,"용역·수수료","기타/불명"))))))</x:f>
      </x:c>
      <x:c r="J743" s="77" t="str">
        <x:f>IF(A743="","",IF(I743="기타/불명","확인 필요","결의서명으로 1차 확인"))</x:f>
      </x:c>
      <x:c r="K743" s="78"/>
    </x:row>
    <x:row r="744">
      <x:c r="A744" s="73"/>
      <x:c r="B744" s="73"/>
      <x:c r="C744" s="74"/>
      <x:c r="D744" s="73"/>
      <x:c r="E744" s="73"/>
      <x:c r="F744" s="75"/>
      <x:c r="G744" s="75"/>
      <x:c r="H744" s="76" t="str">
        <x:f>IF(A744="","",F744-G744)</x:f>
      </x:c>
      <x:c r="I744" s="77" t="str">
        <x:f>IF(A744="","",IF(E744="","기타/불명",IF(IFERROR(SEARCH("급여",E744),0)&gt;0,"인건비",IF(IFERROR(SEARCH("임차",E744),0)&gt;0,"임차·시설",IF(IFERROR(SEARCH("광고",E744),0)&gt;0,"광고·행사",IF(IFERROR(SEARCH("용역",E744),0)&gt;0,"용역·수수료","기타/불명"))))))</x:f>
      </x:c>
      <x:c r="J744" s="77" t="str">
        <x:f>IF(A744="","",IF(I744="기타/불명","확인 필요","결의서명으로 1차 확인"))</x:f>
      </x:c>
      <x:c r="K744" s="78"/>
    </x:row>
    <x:row r="745">
      <x:c r="A745" s="73"/>
      <x:c r="B745" s="73"/>
      <x:c r="C745" s="74"/>
      <x:c r="D745" s="73"/>
      <x:c r="E745" s="73"/>
      <x:c r="F745" s="75"/>
      <x:c r="G745" s="75"/>
      <x:c r="H745" s="76" t="str">
        <x:f>IF(A745="","",F745-G745)</x:f>
      </x:c>
      <x:c r="I745" s="77" t="str">
        <x:f>IF(A745="","",IF(E745="","기타/불명",IF(IFERROR(SEARCH("급여",E745),0)&gt;0,"인건비",IF(IFERROR(SEARCH("임차",E745),0)&gt;0,"임차·시설",IF(IFERROR(SEARCH("광고",E745),0)&gt;0,"광고·행사",IF(IFERROR(SEARCH("용역",E745),0)&gt;0,"용역·수수료","기타/불명"))))))</x:f>
      </x:c>
      <x:c r="J745" s="77" t="str">
        <x:f>IF(A745="","",IF(I745="기타/불명","확인 필요","결의서명으로 1차 확인"))</x:f>
      </x:c>
      <x:c r="K745" s="78"/>
    </x:row>
    <x:row r="746">
      <x:c r="A746" s="73"/>
      <x:c r="B746" s="73"/>
      <x:c r="C746" s="74"/>
      <x:c r="D746" s="73"/>
      <x:c r="E746" s="73"/>
      <x:c r="F746" s="75"/>
      <x:c r="G746" s="75"/>
      <x:c r="H746" s="76" t="str">
        <x:f>IF(A746="","",F746-G746)</x:f>
      </x:c>
      <x:c r="I746" s="77" t="str">
        <x:f>IF(A746="","",IF(E746="","기타/불명",IF(IFERROR(SEARCH("급여",E746),0)&gt;0,"인건비",IF(IFERROR(SEARCH("임차",E746),0)&gt;0,"임차·시설",IF(IFERROR(SEARCH("광고",E746),0)&gt;0,"광고·행사",IF(IFERROR(SEARCH("용역",E746),0)&gt;0,"용역·수수료","기타/불명"))))))</x:f>
      </x:c>
      <x:c r="J746" s="77" t="str">
        <x:f>IF(A746="","",IF(I746="기타/불명","확인 필요","결의서명으로 1차 확인"))</x:f>
      </x:c>
      <x:c r="K746" s="78"/>
    </x:row>
    <x:row r="747">
      <x:c r="A747" s="73"/>
      <x:c r="B747" s="73"/>
      <x:c r="C747" s="74"/>
      <x:c r="D747" s="73"/>
      <x:c r="E747" s="73"/>
      <x:c r="F747" s="75"/>
      <x:c r="G747" s="75"/>
      <x:c r="H747" s="76" t="str">
        <x:f>IF(A747="","",F747-G747)</x:f>
      </x:c>
      <x:c r="I747" s="77" t="str">
        <x:f>IF(A747="","",IF(E747="","기타/불명",IF(IFERROR(SEARCH("급여",E747),0)&gt;0,"인건비",IF(IFERROR(SEARCH("임차",E747),0)&gt;0,"임차·시설",IF(IFERROR(SEARCH("광고",E747),0)&gt;0,"광고·행사",IF(IFERROR(SEARCH("용역",E747),0)&gt;0,"용역·수수료","기타/불명"))))))</x:f>
      </x:c>
      <x:c r="J747" s="77" t="str">
        <x:f>IF(A747="","",IF(I747="기타/불명","확인 필요","결의서명으로 1차 확인"))</x:f>
      </x:c>
      <x:c r="K747" s="78"/>
    </x:row>
    <x:row r="748">
      <x:c r="A748" s="73"/>
      <x:c r="B748" s="73"/>
      <x:c r="C748" s="74"/>
      <x:c r="D748" s="73"/>
      <x:c r="E748" s="73"/>
      <x:c r="F748" s="75"/>
      <x:c r="G748" s="75"/>
      <x:c r="H748" s="76" t="str">
        <x:f>IF(A748="","",F748-G748)</x:f>
      </x:c>
      <x:c r="I748" s="77" t="str">
        <x:f>IF(A748="","",IF(E748="","기타/불명",IF(IFERROR(SEARCH("급여",E748),0)&gt;0,"인건비",IF(IFERROR(SEARCH("임차",E748),0)&gt;0,"임차·시설",IF(IFERROR(SEARCH("광고",E748),0)&gt;0,"광고·행사",IF(IFERROR(SEARCH("용역",E748),0)&gt;0,"용역·수수료","기타/불명"))))))</x:f>
      </x:c>
      <x:c r="J748" s="77" t="str">
        <x:f>IF(A748="","",IF(I748="기타/불명","확인 필요","결의서명으로 1차 확인"))</x:f>
      </x:c>
      <x:c r="K748" s="78"/>
    </x:row>
    <x:row r="749">
      <x:c r="A749" s="73"/>
      <x:c r="B749" s="73"/>
      <x:c r="C749" s="74"/>
      <x:c r="D749" s="73"/>
      <x:c r="E749" s="73"/>
      <x:c r="F749" s="75"/>
      <x:c r="G749" s="75"/>
      <x:c r="H749" s="76" t="str">
        <x:f>IF(A749="","",F749-G749)</x:f>
      </x:c>
      <x:c r="I749" s="77" t="str">
        <x:f>IF(A749="","",IF(E749="","기타/불명",IF(IFERROR(SEARCH("급여",E749),0)&gt;0,"인건비",IF(IFERROR(SEARCH("임차",E749),0)&gt;0,"임차·시설",IF(IFERROR(SEARCH("광고",E749),0)&gt;0,"광고·행사",IF(IFERROR(SEARCH("용역",E749),0)&gt;0,"용역·수수료","기타/불명"))))))</x:f>
      </x:c>
      <x:c r="J749" s="77" t="str">
        <x:f>IF(A749="","",IF(I749="기타/불명","확인 필요","결의서명으로 1차 확인"))</x:f>
      </x:c>
      <x:c r="K749" s="78"/>
    </x:row>
    <x:row r="750">
      <x:c r="A750" s="73"/>
      <x:c r="B750" s="73"/>
      <x:c r="C750" s="74"/>
      <x:c r="D750" s="73"/>
      <x:c r="E750" s="73"/>
      <x:c r="F750" s="75"/>
      <x:c r="G750" s="75"/>
      <x:c r="H750" s="76" t="str">
        <x:f>IF(A750="","",F750-G750)</x:f>
      </x:c>
      <x:c r="I750" s="77" t="str">
        <x:f>IF(A750="","",IF(E750="","기타/불명",IF(IFERROR(SEARCH("급여",E750),0)&gt;0,"인건비",IF(IFERROR(SEARCH("임차",E750),0)&gt;0,"임차·시설",IF(IFERROR(SEARCH("광고",E750),0)&gt;0,"광고·행사",IF(IFERROR(SEARCH("용역",E750),0)&gt;0,"용역·수수료","기타/불명"))))))</x:f>
      </x:c>
      <x:c r="J750" s="77" t="str">
        <x:f>IF(A750="","",IF(I750="기타/불명","확인 필요","결의서명으로 1차 확인"))</x:f>
      </x:c>
      <x:c r="K750" s="78"/>
    </x:row>
    <x:row r="751">
      <x:c r="A751" s="73"/>
      <x:c r="B751" s="73"/>
      <x:c r="C751" s="74"/>
      <x:c r="D751" s="73"/>
      <x:c r="E751" s="73"/>
      <x:c r="F751" s="75"/>
      <x:c r="G751" s="75"/>
      <x:c r="H751" s="76" t="str">
        <x:f>IF(A751="","",F751-G751)</x:f>
      </x:c>
      <x:c r="I751" s="77" t="str">
        <x:f>IF(A751="","",IF(E751="","기타/불명",IF(IFERROR(SEARCH("급여",E751),0)&gt;0,"인건비",IF(IFERROR(SEARCH("임차",E751),0)&gt;0,"임차·시설",IF(IFERROR(SEARCH("광고",E751),0)&gt;0,"광고·행사",IF(IFERROR(SEARCH("용역",E751),0)&gt;0,"용역·수수료","기타/불명"))))))</x:f>
      </x:c>
      <x:c r="J751" s="77" t="str">
        <x:f>IF(A751="","",IF(I751="기타/불명","확인 필요","결의서명으로 1차 확인"))</x:f>
      </x:c>
      <x:c r="K751" s="78"/>
    </x:row>
    <x:row r="752">
      <x:c r="A752" s="73"/>
      <x:c r="B752" s="73"/>
      <x:c r="C752" s="74"/>
      <x:c r="D752" s="73"/>
      <x:c r="E752" s="73"/>
      <x:c r="F752" s="75"/>
      <x:c r="G752" s="75"/>
      <x:c r="H752" s="76" t="str">
        <x:f>IF(A752="","",F752-G752)</x:f>
      </x:c>
      <x:c r="I752" s="77" t="str">
        <x:f>IF(A752="","",IF(E752="","기타/불명",IF(IFERROR(SEARCH("급여",E752),0)&gt;0,"인건비",IF(IFERROR(SEARCH("임차",E752),0)&gt;0,"임차·시설",IF(IFERROR(SEARCH("광고",E752),0)&gt;0,"광고·행사",IF(IFERROR(SEARCH("용역",E752),0)&gt;0,"용역·수수료","기타/불명"))))))</x:f>
      </x:c>
      <x:c r="J752" s="77" t="str">
        <x:f>IF(A752="","",IF(I752="기타/불명","확인 필요","결의서명으로 1차 확인"))</x:f>
      </x:c>
      <x:c r="K752" s="78"/>
    </x:row>
    <x:row r="753">
      <x:c r="A753" s="73"/>
      <x:c r="B753" s="73"/>
      <x:c r="C753" s="74"/>
      <x:c r="D753" s="73"/>
      <x:c r="E753" s="73"/>
      <x:c r="F753" s="75"/>
      <x:c r="G753" s="75"/>
      <x:c r="H753" s="76" t="str">
        <x:f>IF(A753="","",F753-G753)</x:f>
      </x:c>
      <x:c r="I753" s="77" t="str">
        <x:f>IF(A753="","",IF(E753="","기타/불명",IF(IFERROR(SEARCH("급여",E753),0)&gt;0,"인건비",IF(IFERROR(SEARCH("임차",E753),0)&gt;0,"임차·시설",IF(IFERROR(SEARCH("광고",E753),0)&gt;0,"광고·행사",IF(IFERROR(SEARCH("용역",E753),0)&gt;0,"용역·수수료","기타/불명"))))))</x:f>
      </x:c>
      <x:c r="J753" s="77" t="str">
        <x:f>IF(A753="","",IF(I753="기타/불명","확인 필요","결의서명으로 1차 확인"))</x:f>
      </x:c>
      <x:c r="K753" s="78"/>
    </x:row>
    <x:row r="754">
      <x:c r="A754" s="73"/>
      <x:c r="B754" s="73"/>
      <x:c r="C754" s="74"/>
      <x:c r="D754" s="73"/>
      <x:c r="E754" s="73"/>
      <x:c r="F754" s="75"/>
      <x:c r="G754" s="75"/>
      <x:c r="H754" s="76" t="str">
        <x:f>IF(A754="","",F754-G754)</x:f>
      </x:c>
      <x:c r="I754" s="77" t="str">
        <x:f>IF(A754="","",IF(E754="","기타/불명",IF(IFERROR(SEARCH("급여",E754),0)&gt;0,"인건비",IF(IFERROR(SEARCH("임차",E754),0)&gt;0,"임차·시설",IF(IFERROR(SEARCH("광고",E754),0)&gt;0,"광고·행사",IF(IFERROR(SEARCH("용역",E754),0)&gt;0,"용역·수수료","기타/불명"))))))</x:f>
      </x:c>
      <x:c r="J754" s="77" t="str">
        <x:f>IF(A754="","",IF(I754="기타/불명","확인 필요","결의서명으로 1차 확인"))</x:f>
      </x:c>
      <x:c r="K754" s="78"/>
    </x:row>
    <x:row r="755">
      <x:c r="A755" s="73"/>
      <x:c r="B755" s="73"/>
      <x:c r="C755" s="74"/>
      <x:c r="D755" s="73"/>
      <x:c r="E755" s="73"/>
      <x:c r="F755" s="75"/>
      <x:c r="G755" s="75"/>
      <x:c r="H755" s="76" t="str">
        <x:f>IF(A755="","",F755-G755)</x:f>
      </x:c>
      <x:c r="I755" s="77" t="str">
        <x:f>IF(A755="","",IF(E755="","기타/불명",IF(IFERROR(SEARCH("급여",E755),0)&gt;0,"인건비",IF(IFERROR(SEARCH("임차",E755),0)&gt;0,"임차·시설",IF(IFERROR(SEARCH("광고",E755),0)&gt;0,"광고·행사",IF(IFERROR(SEARCH("용역",E755),0)&gt;0,"용역·수수료","기타/불명"))))))</x:f>
      </x:c>
      <x:c r="J755" s="77" t="str">
        <x:f>IF(A755="","",IF(I755="기타/불명","확인 필요","결의서명으로 1차 확인"))</x:f>
      </x:c>
      <x:c r="K755" s="78"/>
    </x:row>
    <x:row r="756">
      <x:c r="A756" s="73"/>
      <x:c r="B756" s="73"/>
      <x:c r="C756" s="74"/>
      <x:c r="D756" s="73"/>
      <x:c r="E756" s="73"/>
      <x:c r="F756" s="75"/>
      <x:c r="G756" s="75"/>
      <x:c r="H756" s="76" t="str">
        <x:f>IF(A756="","",F756-G756)</x:f>
      </x:c>
      <x:c r="I756" s="77" t="str">
        <x:f>IF(A756="","",IF(E756="","기타/불명",IF(IFERROR(SEARCH("급여",E756),0)&gt;0,"인건비",IF(IFERROR(SEARCH("임차",E756),0)&gt;0,"임차·시설",IF(IFERROR(SEARCH("광고",E756),0)&gt;0,"광고·행사",IF(IFERROR(SEARCH("용역",E756),0)&gt;0,"용역·수수료","기타/불명"))))))</x:f>
      </x:c>
      <x:c r="J756" s="77" t="str">
        <x:f>IF(A756="","",IF(I756="기타/불명","확인 필요","결의서명으로 1차 확인"))</x:f>
      </x:c>
      <x:c r="K756" s="78"/>
    </x:row>
    <x:row r="757">
      <x:c r="A757" s="73"/>
      <x:c r="B757" s="73"/>
      <x:c r="C757" s="74"/>
      <x:c r="D757" s="73"/>
      <x:c r="E757" s="73"/>
      <x:c r="F757" s="75"/>
      <x:c r="G757" s="75"/>
      <x:c r="H757" s="76" t="str">
        <x:f>IF(A757="","",F757-G757)</x:f>
      </x:c>
      <x:c r="I757" s="77" t="str">
        <x:f>IF(A757="","",IF(E757="","기타/불명",IF(IFERROR(SEARCH("급여",E757),0)&gt;0,"인건비",IF(IFERROR(SEARCH("임차",E757),0)&gt;0,"임차·시설",IF(IFERROR(SEARCH("광고",E757),0)&gt;0,"광고·행사",IF(IFERROR(SEARCH("용역",E757),0)&gt;0,"용역·수수료","기타/불명"))))))</x:f>
      </x:c>
      <x:c r="J757" s="77" t="str">
        <x:f>IF(A757="","",IF(I757="기타/불명","확인 필요","결의서명으로 1차 확인"))</x:f>
      </x:c>
      <x:c r="K757" s="78"/>
    </x:row>
    <x:row r="758">
      <x:c r="A758" s="73"/>
      <x:c r="B758" s="73"/>
      <x:c r="C758" s="74"/>
      <x:c r="D758" s="73"/>
      <x:c r="E758" s="73"/>
      <x:c r="F758" s="75"/>
      <x:c r="G758" s="75"/>
      <x:c r="H758" s="76" t="str">
        <x:f>IF(A758="","",F758-G758)</x:f>
      </x:c>
      <x:c r="I758" s="77" t="str">
        <x:f>IF(A758="","",IF(E758="","기타/불명",IF(IFERROR(SEARCH("급여",E758),0)&gt;0,"인건비",IF(IFERROR(SEARCH("임차",E758),0)&gt;0,"임차·시설",IF(IFERROR(SEARCH("광고",E758),0)&gt;0,"광고·행사",IF(IFERROR(SEARCH("용역",E758),0)&gt;0,"용역·수수료","기타/불명"))))))</x:f>
      </x:c>
      <x:c r="J758" s="77" t="str">
        <x:f>IF(A758="","",IF(I758="기타/불명","확인 필요","결의서명으로 1차 확인"))</x:f>
      </x:c>
      <x:c r="K758" s="78"/>
    </x:row>
    <x:row r="759">
      <x:c r="A759" s="73"/>
      <x:c r="B759" s="73"/>
      <x:c r="C759" s="74"/>
      <x:c r="D759" s="73"/>
      <x:c r="E759" s="73"/>
      <x:c r="F759" s="75"/>
      <x:c r="G759" s="75"/>
      <x:c r="H759" s="76" t="str">
        <x:f>IF(A759="","",F759-G759)</x:f>
      </x:c>
      <x:c r="I759" s="77" t="str">
        <x:f>IF(A759="","",IF(E759="","기타/불명",IF(IFERROR(SEARCH("급여",E759),0)&gt;0,"인건비",IF(IFERROR(SEARCH("임차",E759),0)&gt;0,"임차·시설",IF(IFERROR(SEARCH("광고",E759),0)&gt;0,"광고·행사",IF(IFERROR(SEARCH("용역",E759),0)&gt;0,"용역·수수료","기타/불명"))))))</x:f>
      </x:c>
      <x:c r="J759" s="77" t="str">
        <x:f>IF(A759="","",IF(I759="기타/불명","확인 필요","결의서명으로 1차 확인"))</x:f>
      </x:c>
      <x:c r="K759" s="78"/>
    </x:row>
    <x:row r="760">
      <x:c r="A760" s="73"/>
      <x:c r="B760" s="73"/>
      <x:c r="C760" s="74"/>
      <x:c r="D760" s="73"/>
      <x:c r="E760" s="73"/>
      <x:c r="F760" s="75"/>
      <x:c r="G760" s="75"/>
      <x:c r="H760" s="76" t="str">
        <x:f>IF(A760="","",F760-G760)</x:f>
      </x:c>
      <x:c r="I760" s="77" t="str">
        <x:f>IF(A760="","",IF(E760="","기타/불명",IF(IFERROR(SEARCH("급여",E760),0)&gt;0,"인건비",IF(IFERROR(SEARCH("임차",E760),0)&gt;0,"임차·시설",IF(IFERROR(SEARCH("광고",E760),0)&gt;0,"광고·행사",IF(IFERROR(SEARCH("용역",E760),0)&gt;0,"용역·수수료","기타/불명"))))))</x:f>
      </x:c>
      <x:c r="J760" s="77" t="str">
        <x:f>IF(A760="","",IF(I760="기타/불명","확인 필요","결의서명으로 1차 확인"))</x:f>
      </x:c>
      <x:c r="K760" s="78"/>
    </x:row>
    <x:row r="761">
      <x:c r="A761" s="73"/>
      <x:c r="B761" s="73"/>
      <x:c r="C761" s="74"/>
      <x:c r="D761" s="73"/>
      <x:c r="E761" s="73"/>
      <x:c r="F761" s="75"/>
      <x:c r="G761" s="75"/>
      <x:c r="H761" s="76" t="str">
        <x:f>IF(A761="","",F761-G761)</x:f>
      </x:c>
      <x:c r="I761" s="77" t="str">
        <x:f>IF(A761="","",IF(E761="","기타/불명",IF(IFERROR(SEARCH("급여",E761),0)&gt;0,"인건비",IF(IFERROR(SEARCH("임차",E761),0)&gt;0,"임차·시설",IF(IFERROR(SEARCH("광고",E761),0)&gt;0,"광고·행사",IF(IFERROR(SEARCH("용역",E761),0)&gt;0,"용역·수수료","기타/불명"))))))</x:f>
      </x:c>
      <x:c r="J761" s="77" t="str">
        <x:f>IF(A761="","",IF(I761="기타/불명","확인 필요","결의서명으로 1차 확인"))</x:f>
      </x:c>
      <x:c r="K761" s="78"/>
    </x:row>
    <x:row r="762">
      <x:c r="A762" s="73"/>
      <x:c r="B762" s="73"/>
      <x:c r="C762" s="74"/>
      <x:c r="D762" s="73"/>
      <x:c r="E762" s="73"/>
      <x:c r="F762" s="75"/>
      <x:c r="G762" s="75"/>
      <x:c r="H762" s="76" t="str">
        <x:f>IF(A762="","",F762-G762)</x:f>
      </x:c>
      <x:c r="I762" s="77" t="str">
        <x:f>IF(A762="","",IF(E762="","기타/불명",IF(IFERROR(SEARCH("급여",E762),0)&gt;0,"인건비",IF(IFERROR(SEARCH("임차",E762),0)&gt;0,"임차·시설",IF(IFERROR(SEARCH("광고",E762),0)&gt;0,"광고·행사",IF(IFERROR(SEARCH("용역",E762),0)&gt;0,"용역·수수료","기타/불명"))))))</x:f>
      </x:c>
      <x:c r="J762" s="77" t="str">
        <x:f>IF(A762="","",IF(I762="기타/불명","확인 필요","결의서명으로 1차 확인"))</x:f>
      </x:c>
      <x:c r="K762" s="78"/>
    </x:row>
    <x:row r="763">
      <x:c r="A763" s="73"/>
      <x:c r="B763" s="73"/>
      <x:c r="C763" s="74"/>
      <x:c r="D763" s="73"/>
      <x:c r="E763" s="73"/>
      <x:c r="F763" s="75"/>
      <x:c r="G763" s="75"/>
      <x:c r="H763" s="76" t="str">
        <x:f>IF(A763="","",F763-G763)</x:f>
      </x:c>
      <x:c r="I763" s="77" t="str">
        <x:f>IF(A763="","",IF(E763="","기타/불명",IF(IFERROR(SEARCH("급여",E763),0)&gt;0,"인건비",IF(IFERROR(SEARCH("임차",E763),0)&gt;0,"임차·시설",IF(IFERROR(SEARCH("광고",E763),0)&gt;0,"광고·행사",IF(IFERROR(SEARCH("용역",E763),0)&gt;0,"용역·수수료","기타/불명"))))))</x:f>
      </x:c>
      <x:c r="J763" s="77" t="str">
        <x:f>IF(A763="","",IF(I763="기타/불명","확인 필요","결의서명으로 1차 확인"))</x:f>
      </x:c>
      <x:c r="K763" s="78"/>
    </x:row>
    <x:row r="764">
      <x:c r="A764" s="73"/>
      <x:c r="B764" s="73"/>
      <x:c r="C764" s="74"/>
      <x:c r="D764" s="73"/>
      <x:c r="E764" s="73"/>
      <x:c r="F764" s="75"/>
      <x:c r="G764" s="75"/>
      <x:c r="H764" s="76" t="str">
        <x:f>IF(A764="","",F764-G764)</x:f>
      </x:c>
      <x:c r="I764" s="77" t="str">
        <x:f>IF(A764="","",IF(E764="","기타/불명",IF(IFERROR(SEARCH("급여",E764),0)&gt;0,"인건비",IF(IFERROR(SEARCH("임차",E764),0)&gt;0,"임차·시설",IF(IFERROR(SEARCH("광고",E764),0)&gt;0,"광고·행사",IF(IFERROR(SEARCH("용역",E764),0)&gt;0,"용역·수수료","기타/불명"))))))</x:f>
      </x:c>
      <x:c r="J764" s="77" t="str">
        <x:f>IF(A764="","",IF(I764="기타/불명","확인 필요","결의서명으로 1차 확인"))</x:f>
      </x:c>
      <x:c r="K764" s="78"/>
    </x:row>
    <x:row r="765">
      <x:c r="A765" s="73"/>
      <x:c r="B765" s="73"/>
      <x:c r="C765" s="74"/>
      <x:c r="D765" s="73"/>
      <x:c r="E765" s="73"/>
      <x:c r="F765" s="75"/>
      <x:c r="G765" s="75"/>
      <x:c r="H765" s="76" t="str">
        <x:f>IF(A765="","",F765-G765)</x:f>
      </x:c>
      <x:c r="I765" s="77" t="str">
        <x:f>IF(A765="","",IF(E765="","기타/불명",IF(IFERROR(SEARCH("급여",E765),0)&gt;0,"인건비",IF(IFERROR(SEARCH("임차",E765),0)&gt;0,"임차·시설",IF(IFERROR(SEARCH("광고",E765),0)&gt;0,"광고·행사",IF(IFERROR(SEARCH("용역",E765),0)&gt;0,"용역·수수료","기타/불명"))))))</x:f>
      </x:c>
      <x:c r="J765" s="77" t="str">
        <x:f>IF(A765="","",IF(I765="기타/불명","확인 필요","결의서명으로 1차 확인"))</x:f>
      </x:c>
      <x:c r="K765" s="78"/>
    </x:row>
    <x:row r="766">
      <x:c r="A766" s="73"/>
      <x:c r="B766" s="73"/>
      <x:c r="C766" s="74"/>
      <x:c r="D766" s="73"/>
      <x:c r="E766" s="73"/>
      <x:c r="F766" s="75"/>
      <x:c r="G766" s="75"/>
      <x:c r="H766" s="76" t="str">
        <x:f>IF(A766="","",F766-G766)</x:f>
      </x:c>
      <x:c r="I766" s="77" t="str">
        <x:f>IF(A766="","",IF(E766="","기타/불명",IF(IFERROR(SEARCH("급여",E766),0)&gt;0,"인건비",IF(IFERROR(SEARCH("임차",E766),0)&gt;0,"임차·시설",IF(IFERROR(SEARCH("광고",E766),0)&gt;0,"광고·행사",IF(IFERROR(SEARCH("용역",E766),0)&gt;0,"용역·수수료","기타/불명"))))))</x:f>
      </x:c>
      <x:c r="J766" s="77" t="str">
        <x:f>IF(A766="","",IF(I766="기타/불명","확인 필요","결의서명으로 1차 확인"))</x:f>
      </x:c>
      <x:c r="K766" s="78"/>
    </x:row>
    <x:row r="767">
      <x:c r="A767" s="73"/>
      <x:c r="B767" s="73"/>
      <x:c r="C767" s="74"/>
      <x:c r="D767" s="73"/>
      <x:c r="E767" s="73"/>
      <x:c r="F767" s="75"/>
      <x:c r="G767" s="75"/>
      <x:c r="H767" s="76" t="str">
        <x:f>IF(A767="","",F767-G767)</x:f>
      </x:c>
      <x:c r="I767" s="77" t="str">
        <x:f>IF(A767="","",IF(E767="","기타/불명",IF(IFERROR(SEARCH("급여",E767),0)&gt;0,"인건비",IF(IFERROR(SEARCH("임차",E767),0)&gt;0,"임차·시설",IF(IFERROR(SEARCH("광고",E767),0)&gt;0,"광고·행사",IF(IFERROR(SEARCH("용역",E767),0)&gt;0,"용역·수수료","기타/불명"))))))</x:f>
      </x:c>
      <x:c r="J767" s="77" t="str">
        <x:f>IF(A767="","",IF(I767="기타/불명","확인 필요","결의서명으로 1차 확인"))</x:f>
      </x:c>
      <x:c r="K767" s="78"/>
    </x:row>
    <x:row r="768">
      <x:c r="A768" s="73"/>
      <x:c r="B768" s="73"/>
      <x:c r="C768" s="74"/>
      <x:c r="D768" s="73"/>
      <x:c r="E768" s="73"/>
      <x:c r="F768" s="75"/>
      <x:c r="G768" s="75"/>
      <x:c r="H768" s="76" t="str">
        <x:f>IF(A768="","",F768-G768)</x:f>
      </x:c>
      <x:c r="I768" s="77" t="str">
        <x:f>IF(A768="","",IF(E768="","기타/불명",IF(IFERROR(SEARCH("급여",E768),0)&gt;0,"인건비",IF(IFERROR(SEARCH("임차",E768),0)&gt;0,"임차·시설",IF(IFERROR(SEARCH("광고",E768),0)&gt;0,"광고·행사",IF(IFERROR(SEARCH("용역",E768),0)&gt;0,"용역·수수료","기타/불명"))))))</x:f>
      </x:c>
      <x:c r="J768" s="77" t="str">
        <x:f>IF(A768="","",IF(I768="기타/불명","확인 필요","결의서명으로 1차 확인"))</x:f>
      </x:c>
      <x:c r="K768" s="78"/>
    </x:row>
    <x:row r="769">
      <x:c r="A769" s="73"/>
      <x:c r="B769" s="73"/>
      <x:c r="C769" s="74"/>
      <x:c r="D769" s="73"/>
      <x:c r="E769" s="73"/>
      <x:c r="F769" s="75"/>
      <x:c r="G769" s="75"/>
      <x:c r="H769" s="76" t="str">
        <x:f>IF(A769="","",F769-G769)</x:f>
      </x:c>
      <x:c r="I769" s="77" t="str">
        <x:f>IF(A769="","",IF(E769="","기타/불명",IF(IFERROR(SEARCH("급여",E769),0)&gt;0,"인건비",IF(IFERROR(SEARCH("임차",E769),0)&gt;0,"임차·시설",IF(IFERROR(SEARCH("광고",E769),0)&gt;0,"광고·행사",IF(IFERROR(SEARCH("용역",E769),0)&gt;0,"용역·수수료","기타/불명"))))))</x:f>
      </x:c>
      <x:c r="J769" s="77" t="str">
        <x:f>IF(A769="","",IF(I769="기타/불명","확인 필요","결의서명으로 1차 확인"))</x:f>
      </x:c>
      <x:c r="K769" s="78"/>
    </x:row>
    <x:row r="770">
      <x:c r="A770" s="73"/>
      <x:c r="B770" s="73"/>
      <x:c r="C770" s="74"/>
      <x:c r="D770" s="73"/>
      <x:c r="E770" s="73"/>
      <x:c r="F770" s="75"/>
      <x:c r="G770" s="75"/>
      <x:c r="H770" s="76" t="str">
        <x:f>IF(A770="","",F770-G770)</x:f>
      </x:c>
      <x:c r="I770" s="77" t="str">
        <x:f>IF(A770="","",IF(E770="","기타/불명",IF(IFERROR(SEARCH("급여",E770),0)&gt;0,"인건비",IF(IFERROR(SEARCH("임차",E770),0)&gt;0,"임차·시설",IF(IFERROR(SEARCH("광고",E770),0)&gt;0,"광고·행사",IF(IFERROR(SEARCH("용역",E770),0)&gt;0,"용역·수수료","기타/불명"))))))</x:f>
      </x:c>
      <x:c r="J770" s="77" t="str">
        <x:f>IF(A770="","",IF(I770="기타/불명","확인 필요","결의서명으로 1차 확인"))</x:f>
      </x:c>
      <x:c r="K770" s="78"/>
    </x:row>
    <x:row r="771">
      <x:c r="A771" s="73"/>
      <x:c r="B771" s="73"/>
      <x:c r="C771" s="74"/>
      <x:c r="D771" s="73"/>
      <x:c r="E771" s="73"/>
      <x:c r="F771" s="75"/>
      <x:c r="G771" s="75"/>
      <x:c r="H771" s="76" t="str">
        <x:f>IF(A771="","",F771-G771)</x:f>
      </x:c>
      <x:c r="I771" s="77" t="str">
        <x:f>IF(A771="","",IF(E771="","기타/불명",IF(IFERROR(SEARCH("급여",E771),0)&gt;0,"인건비",IF(IFERROR(SEARCH("임차",E771),0)&gt;0,"임차·시설",IF(IFERROR(SEARCH("광고",E771),0)&gt;0,"광고·행사",IF(IFERROR(SEARCH("용역",E771),0)&gt;0,"용역·수수료","기타/불명"))))))</x:f>
      </x:c>
      <x:c r="J771" s="77" t="str">
        <x:f>IF(A771="","",IF(I771="기타/불명","확인 필요","결의서명으로 1차 확인"))</x:f>
      </x:c>
      <x:c r="K771" s="78"/>
    </x:row>
    <x:row r="772">
      <x:c r="A772" s="73"/>
      <x:c r="B772" s="73"/>
      <x:c r="C772" s="74"/>
      <x:c r="D772" s="73"/>
      <x:c r="E772" s="73"/>
      <x:c r="F772" s="75"/>
      <x:c r="G772" s="75"/>
      <x:c r="H772" s="76" t="str">
        <x:f>IF(A772="","",F772-G772)</x:f>
      </x:c>
      <x:c r="I772" s="77" t="str">
        <x:f>IF(A772="","",IF(E772="","기타/불명",IF(IFERROR(SEARCH("급여",E772),0)&gt;0,"인건비",IF(IFERROR(SEARCH("임차",E772),0)&gt;0,"임차·시설",IF(IFERROR(SEARCH("광고",E772),0)&gt;0,"광고·행사",IF(IFERROR(SEARCH("용역",E772),0)&gt;0,"용역·수수료","기타/불명"))))))</x:f>
      </x:c>
      <x:c r="J772" s="77" t="str">
        <x:f>IF(A772="","",IF(I772="기타/불명","확인 필요","결의서명으로 1차 확인"))</x:f>
      </x:c>
      <x:c r="K772" s="78"/>
    </x:row>
    <x:row r="773">
      <x:c r="A773" s="73"/>
      <x:c r="B773" s="73"/>
      <x:c r="C773" s="74"/>
      <x:c r="D773" s="73"/>
      <x:c r="E773" s="73"/>
      <x:c r="F773" s="75"/>
      <x:c r="G773" s="75"/>
      <x:c r="H773" s="76" t="str">
        <x:f>IF(A773="","",F773-G773)</x:f>
      </x:c>
      <x:c r="I773" s="77" t="str">
        <x:f>IF(A773="","",IF(E773="","기타/불명",IF(IFERROR(SEARCH("급여",E773),0)&gt;0,"인건비",IF(IFERROR(SEARCH("임차",E773),0)&gt;0,"임차·시설",IF(IFERROR(SEARCH("광고",E773),0)&gt;0,"광고·행사",IF(IFERROR(SEARCH("용역",E773),0)&gt;0,"용역·수수료","기타/불명"))))))</x:f>
      </x:c>
      <x:c r="J773" s="77" t="str">
        <x:f>IF(A773="","",IF(I773="기타/불명","확인 필요","결의서명으로 1차 확인"))</x:f>
      </x:c>
      <x:c r="K773" s="78"/>
    </x:row>
    <x:row r="774">
      <x:c r="A774" s="73"/>
      <x:c r="B774" s="73"/>
      <x:c r="C774" s="74"/>
      <x:c r="D774" s="73"/>
      <x:c r="E774" s="73"/>
      <x:c r="F774" s="75"/>
      <x:c r="G774" s="75"/>
      <x:c r="H774" s="76" t="str">
        <x:f>IF(A774="","",F774-G774)</x:f>
      </x:c>
      <x:c r="I774" s="77" t="str">
        <x:f>IF(A774="","",IF(E774="","기타/불명",IF(IFERROR(SEARCH("급여",E774),0)&gt;0,"인건비",IF(IFERROR(SEARCH("임차",E774),0)&gt;0,"임차·시설",IF(IFERROR(SEARCH("광고",E774),0)&gt;0,"광고·행사",IF(IFERROR(SEARCH("용역",E774),0)&gt;0,"용역·수수료","기타/불명"))))))</x:f>
      </x:c>
      <x:c r="J774" s="77" t="str">
        <x:f>IF(A774="","",IF(I774="기타/불명","확인 필요","결의서명으로 1차 확인"))</x:f>
      </x:c>
      <x:c r="K774" s="78"/>
    </x:row>
    <x:row r="775">
      <x:c r="A775" s="73"/>
      <x:c r="B775" s="73"/>
      <x:c r="C775" s="74"/>
      <x:c r="D775" s="73"/>
      <x:c r="E775" s="73"/>
      <x:c r="F775" s="75"/>
      <x:c r="G775" s="75"/>
      <x:c r="H775" s="76" t="str">
        <x:f>IF(A775="","",F775-G775)</x:f>
      </x:c>
      <x:c r="I775" s="77" t="str">
        <x:f>IF(A775="","",IF(E775="","기타/불명",IF(IFERROR(SEARCH("급여",E775),0)&gt;0,"인건비",IF(IFERROR(SEARCH("임차",E775),0)&gt;0,"임차·시설",IF(IFERROR(SEARCH("광고",E775),0)&gt;0,"광고·행사",IF(IFERROR(SEARCH("용역",E775),0)&gt;0,"용역·수수료","기타/불명"))))))</x:f>
      </x:c>
      <x:c r="J775" s="77" t="str">
        <x:f>IF(A775="","",IF(I775="기타/불명","확인 필요","결의서명으로 1차 확인"))</x:f>
      </x:c>
      <x:c r="K775" s="78"/>
    </x:row>
    <x:row r="776">
      <x:c r="A776" s="73"/>
      <x:c r="B776" s="73"/>
      <x:c r="C776" s="74"/>
      <x:c r="D776" s="73"/>
      <x:c r="E776" s="73"/>
      <x:c r="F776" s="75"/>
      <x:c r="G776" s="75"/>
      <x:c r="H776" s="76" t="str">
        <x:f>IF(A776="","",F776-G776)</x:f>
      </x:c>
      <x:c r="I776" s="77" t="str">
        <x:f>IF(A776="","",IF(E776="","기타/불명",IF(IFERROR(SEARCH("급여",E776),0)&gt;0,"인건비",IF(IFERROR(SEARCH("임차",E776),0)&gt;0,"임차·시설",IF(IFERROR(SEARCH("광고",E776),0)&gt;0,"광고·행사",IF(IFERROR(SEARCH("용역",E776),0)&gt;0,"용역·수수료","기타/불명"))))))</x:f>
      </x:c>
      <x:c r="J776" s="77" t="str">
        <x:f>IF(A776="","",IF(I776="기타/불명","확인 필요","결의서명으로 1차 확인"))</x:f>
      </x:c>
      <x:c r="K776" s="78"/>
    </x:row>
    <x:row r="777">
      <x:c r="A777" s="73"/>
      <x:c r="B777" s="73"/>
      <x:c r="C777" s="74"/>
      <x:c r="D777" s="73"/>
      <x:c r="E777" s="73"/>
      <x:c r="F777" s="75"/>
      <x:c r="G777" s="75"/>
      <x:c r="H777" s="76" t="str">
        <x:f>IF(A777="","",F777-G777)</x:f>
      </x:c>
      <x:c r="I777" s="77" t="str">
        <x:f>IF(A777="","",IF(E777="","기타/불명",IF(IFERROR(SEARCH("급여",E777),0)&gt;0,"인건비",IF(IFERROR(SEARCH("임차",E777),0)&gt;0,"임차·시설",IF(IFERROR(SEARCH("광고",E777),0)&gt;0,"광고·행사",IF(IFERROR(SEARCH("용역",E777),0)&gt;0,"용역·수수료","기타/불명"))))))</x:f>
      </x:c>
      <x:c r="J777" s="77" t="str">
        <x:f>IF(A777="","",IF(I777="기타/불명","확인 필요","결의서명으로 1차 확인"))</x:f>
      </x:c>
      <x:c r="K777" s="78"/>
    </x:row>
    <x:row r="778">
      <x:c r="A778" s="73"/>
      <x:c r="B778" s="73"/>
      <x:c r="C778" s="74"/>
      <x:c r="D778" s="73"/>
      <x:c r="E778" s="73"/>
      <x:c r="F778" s="75"/>
      <x:c r="G778" s="75"/>
      <x:c r="H778" s="76" t="str">
        <x:f>IF(A778="","",F778-G778)</x:f>
      </x:c>
      <x:c r="I778" s="77" t="str">
        <x:f>IF(A778="","",IF(E778="","기타/불명",IF(IFERROR(SEARCH("급여",E778),0)&gt;0,"인건비",IF(IFERROR(SEARCH("임차",E778),0)&gt;0,"임차·시설",IF(IFERROR(SEARCH("광고",E778),0)&gt;0,"광고·행사",IF(IFERROR(SEARCH("용역",E778),0)&gt;0,"용역·수수료","기타/불명"))))))</x:f>
      </x:c>
      <x:c r="J778" s="77" t="str">
        <x:f>IF(A778="","",IF(I778="기타/불명","확인 필요","결의서명으로 1차 확인"))</x:f>
      </x:c>
      <x:c r="K778" s="78"/>
    </x:row>
    <x:row r="779">
      <x:c r="A779" s="73"/>
      <x:c r="B779" s="73"/>
      <x:c r="C779" s="74"/>
      <x:c r="D779" s="73"/>
      <x:c r="E779" s="73"/>
      <x:c r="F779" s="75"/>
      <x:c r="G779" s="75"/>
      <x:c r="H779" s="76" t="str">
        <x:f>IF(A779="","",F779-G779)</x:f>
      </x:c>
      <x:c r="I779" s="77" t="str">
        <x:f>IF(A779="","",IF(E779="","기타/불명",IF(IFERROR(SEARCH("급여",E779),0)&gt;0,"인건비",IF(IFERROR(SEARCH("임차",E779),0)&gt;0,"임차·시설",IF(IFERROR(SEARCH("광고",E779),0)&gt;0,"광고·행사",IF(IFERROR(SEARCH("용역",E779),0)&gt;0,"용역·수수료","기타/불명"))))))</x:f>
      </x:c>
      <x:c r="J779" s="77" t="str">
        <x:f>IF(A779="","",IF(I779="기타/불명","확인 필요","결의서명으로 1차 확인"))</x:f>
      </x:c>
      <x:c r="K779" s="78"/>
    </x:row>
    <x:row r="780">
      <x:c r="A780" s="73"/>
      <x:c r="B780" s="73"/>
      <x:c r="C780" s="74"/>
      <x:c r="D780" s="73"/>
      <x:c r="E780" s="73"/>
      <x:c r="F780" s="75"/>
      <x:c r="G780" s="75"/>
      <x:c r="H780" s="76" t="str">
        <x:f>IF(A780="","",F780-G780)</x:f>
      </x:c>
      <x:c r="I780" s="77" t="str">
        <x:f>IF(A780="","",IF(E780="","기타/불명",IF(IFERROR(SEARCH("급여",E780),0)&gt;0,"인건비",IF(IFERROR(SEARCH("임차",E780),0)&gt;0,"임차·시설",IF(IFERROR(SEARCH("광고",E780),0)&gt;0,"광고·행사",IF(IFERROR(SEARCH("용역",E780),0)&gt;0,"용역·수수료","기타/불명"))))))</x:f>
      </x:c>
      <x:c r="J780" s="77" t="str">
        <x:f>IF(A780="","",IF(I780="기타/불명","확인 필요","결의서명으로 1차 확인"))</x:f>
      </x:c>
      <x:c r="K780" s="78"/>
    </x:row>
    <x:row r="781">
      <x:c r="A781" s="73"/>
      <x:c r="B781" s="73"/>
      <x:c r="C781" s="74"/>
      <x:c r="D781" s="73"/>
      <x:c r="E781" s="73"/>
      <x:c r="F781" s="75"/>
      <x:c r="G781" s="75"/>
      <x:c r="H781" s="76" t="str">
        <x:f>IF(A781="","",F781-G781)</x:f>
      </x:c>
      <x:c r="I781" s="77" t="str">
        <x:f>IF(A781="","",IF(E781="","기타/불명",IF(IFERROR(SEARCH("급여",E781),0)&gt;0,"인건비",IF(IFERROR(SEARCH("임차",E781),0)&gt;0,"임차·시설",IF(IFERROR(SEARCH("광고",E781),0)&gt;0,"광고·행사",IF(IFERROR(SEARCH("용역",E781),0)&gt;0,"용역·수수료","기타/불명"))))))</x:f>
      </x:c>
      <x:c r="J781" s="77" t="str">
        <x:f>IF(A781="","",IF(I781="기타/불명","확인 필요","결의서명으로 1차 확인"))</x:f>
      </x:c>
      <x:c r="K781" s="78"/>
    </x:row>
    <x:row r="782">
      <x:c r="A782" s="73"/>
      <x:c r="B782" s="73"/>
      <x:c r="C782" s="74"/>
      <x:c r="D782" s="73"/>
      <x:c r="E782" s="73"/>
      <x:c r="F782" s="75"/>
      <x:c r="G782" s="75"/>
      <x:c r="H782" s="76" t="str">
        <x:f>IF(A782="","",F782-G782)</x:f>
      </x:c>
      <x:c r="I782" s="77" t="str">
        <x:f>IF(A782="","",IF(E782="","기타/불명",IF(IFERROR(SEARCH("급여",E782),0)&gt;0,"인건비",IF(IFERROR(SEARCH("임차",E782),0)&gt;0,"임차·시설",IF(IFERROR(SEARCH("광고",E782),0)&gt;0,"광고·행사",IF(IFERROR(SEARCH("용역",E782),0)&gt;0,"용역·수수료","기타/불명"))))))</x:f>
      </x:c>
      <x:c r="J782" s="77" t="str">
        <x:f>IF(A782="","",IF(I782="기타/불명","확인 필요","결의서명으로 1차 확인"))</x:f>
      </x:c>
      <x:c r="K782" s="78"/>
    </x:row>
    <x:row r="783">
      <x:c r="A783" s="73"/>
      <x:c r="B783" s="73"/>
      <x:c r="C783" s="74"/>
      <x:c r="D783" s="73"/>
      <x:c r="E783" s="73"/>
      <x:c r="F783" s="75"/>
      <x:c r="G783" s="75"/>
      <x:c r="H783" s="76" t="str">
        <x:f>IF(A783="","",F783-G783)</x:f>
      </x:c>
      <x:c r="I783" s="77" t="str">
        <x:f>IF(A783="","",IF(E783="","기타/불명",IF(IFERROR(SEARCH("급여",E783),0)&gt;0,"인건비",IF(IFERROR(SEARCH("임차",E783),0)&gt;0,"임차·시설",IF(IFERROR(SEARCH("광고",E783),0)&gt;0,"광고·행사",IF(IFERROR(SEARCH("용역",E783),0)&gt;0,"용역·수수료","기타/불명"))))))</x:f>
      </x:c>
      <x:c r="J783" s="77" t="str">
        <x:f>IF(A783="","",IF(I783="기타/불명","확인 필요","결의서명으로 1차 확인"))</x:f>
      </x:c>
      <x:c r="K783" s="78"/>
    </x:row>
    <x:row r="784">
      <x:c r="A784" s="73"/>
      <x:c r="B784" s="73"/>
      <x:c r="C784" s="74"/>
      <x:c r="D784" s="73"/>
      <x:c r="E784" s="73"/>
      <x:c r="F784" s="75"/>
      <x:c r="G784" s="75"/>
      <x:c r="H784" s="76" t="str">
        <x:f>IF(A784="","",F784-G784)</x:f>
      </x:c>
      <x:c r="I784" s="77" t="str">
        <x:f>IF(A784="","",IF(E784="","기타/불명",IF(IFERROR(SEARCH("급여",E784),0)&gt;0,"인건비",IF(IFERROR(SEARCH("임차",E784),0)&gt;0,"임차·시설",IF(IFERROR(SEARCH("광고",E784),0)&gt;0,"광고·행사",IF(IFERROR(SEARCH("용역",E784),0)&gt;0,"용역·수수료","기타/불명"))))))</x:f>
      </x:c>
      <x:c r="J784" s="77" t="str">
        <x:f>IF(A784="","",IF(I784="기타/불명","확인 필요","결의서명으로 1차 확인"))</x:f>
      </x:c>
      <x:c r="K784" s="78"/>
    </x:row>
    <x:row r="785">
      <x:c r="A785" s="73"/>
      <x:c r="B785" s="73"/>
      <x:c r="C785" s="74"/>
      <x:c r="D785" s="73"/>
      <x:c r="E785" s="73"/>
      <x:c r="F785" s="75"/>
      <x:c r="G785" s="75"/>
      <x:c r="H785" s="76" t="str">
        <x:f>IF(A785="","",F785-G785)</x:f>
      </x:c>
      <x:c r="I785" s="77" t="str">
        <x:f>IF(A785="","",IF(E785="","기타/불명",IF(IFERROR(SEARCH("급여",E785),0)&gt;0,"인건비",IF(IFERROR(SEARCH("임차",E785),0)&gt;0,"임차·시설",IF(IFERROR(SEARCH("광고",E785),0)&gt;0,"광고·행사",IF(IFERROR(SEARCH("용역",E785),0)&gt;0,"용역·수수료","기타/불명"))))))</x:f>
      </x:c>
      <x:c r="J785" s="77" t="str">
        <x:f>IF(A785="","",IF(I785="기타/불명","확인 필요","결의서명으로 1차 확인"))</x:f>
      </x:c>
      <x:c r="K785" s="78"/>
    </x:row>
    <x:row r="786">
      <x:c r="A786" s="73"/>
      <x:c r="B786" s="73"/>
      <x:c r="C786" s="74"/>
      <x:c r="D786" s="73"/>
      <x:c r="E786" s="73"/>
      <x:c r="F786" s="75"/>
      <x:c r="G786" s="75"/>
      <x:c r="H786" s="76" t="str">
        <x:f>IF(A786="","",F786-G786)</x:f>
      </x:c>
      <x:c r="I786" s="77" t="str">
        <x:f>IF(A786="","",IF(E786="","기타/불명",IF(IFERROR(SEARCH("급여",E786),0)&gt;0,"인건비",IF(IFERROR(SEARCH("임차",E786),0)&gt;0,"임차·시설",IF(IFERROR(SEARCH("광고",E786),0)&gt;0,"광고·행사",IF(IFERROR(SEARCH("용역",E786),0)&gt;0,"용역·수수료","기타/불명"))))))</x:f>
      </x:c>
      <x:c r="J786" s="77" t="str">
        <x:f>IF(A786="","",IF(I786="기타/불명","확인 필요","결의서명으로 1차 확인"))</x:f>
      </x:c>
      <x:c r="K786" s="78"/>
    </x:row>
    <x:row r="787">
      <x:c r="A787" s="73"/>
      <x:c r="B787" s="73"/>
      <x:c r="C787" s="74"/>
      <x:c r="D787" s="73"/>
      <x:c r="E787" s="73"/>
      <x:c r="F787" s="75"/>
      <x:c r="G787" s="75"/>
      <x:c r="H787" s="76" t="str">
        <x:f>IF(A787="","",F787-G787)</x:f>
      </x:c>
      <x:c r="I787" s="77" t="str">
        <x:f>IF(A787="","",IF(E787="","기타/불명",IF(IFERROR(SEARCH("급여",E787),0)&gt;0,"인건비",IF(IFERROR(SEARCH("임차",E787),0)&gt;0,"임차·시설",IF(IFERROR(SEARCH("광고",E787),0)&gt;0,"광고·행사",IF(IFERROR(SEARCH("용역",E787),0)&gt;0,"용역·수수료","기타/불명"))))))</x:f>
      </x:c>
      <x:c r="J787" s="77" t="str">
        <x:f>IF(A787="","",IF(I787="기타/불명","확인 필요","결의서명으로 1차 확인"))</x:f>
      </x:c>
      <x:c r="K787" s="78"/>
    </x:row>
    <x:row r="788">
      <x:c r="A788" s="73"/>
      <x:c r="B788" s="73"/>
      <x:c r="C788" s="74"/>
      <x:c r="D788" s="73"/>
      <x:c r="E788" s="73"/>
      <x:c r="F788" s="75"/>
      <x:c r="G788" s="75"/>
      <x:c r="H788" s="76" t="str">
        <x:f>IF(A788="","",F788-G788)</x:f>
      </x:c>
      <x:c r="I788" s="77" t="str">
        <x:f>IF(A788="","",IF(E788="","기타/불명",IF(IFERROR(SEARCH("급여",E788),0)&gt;0,"인건비",IF(IFERROR(SEARCH("임차",E788),0)&gt;0,"임차·시설",IF(IFERROR(SEARCH("광고",E788),0)&gt;0,"광고·행사",IF(IFERROR(SEARCH("용역",E788),0)&gt;0,"용역·수수료","기타/불명"))))))</x:f>
      </x:c>
      <x:c r="J788" s="77" t="str">
        <x:f>IF(A788="","",IF(I788="기타/불명","확인 필요","결의서명으로 1차 확인"))</x:f>
      </x:c>
      <x:c r="K788" s="78"/>
    </x:row>
    <x:row r="789">
      <x:c r="A789" s="73"/>
      <x:c r="B789" s="73"/>
      <x:c r="C789" s="74"/>
      <x:c r="D789" s="73"/>
      <x:c r="E789" s="73"/>
      <x:c r="F789" s="75"/>
      <x:c r="G789" s="75"/>
      <x:c r="H789" s="76" t="str">
        <x:f>IF(A789="","",F789-G789)</x:f>
      </x:c>
      <x:c r="I789" s="77" t="str">
        <x:f>IF(A789="","",IF(E789="","기타/불명",IF(IFERROR(SEARCH("급여",E789),0)&gt;0,"인건비",IF(IFERROR(SEARCH("임차",E789),0)&gt;0,"임차·시설",IF(IFERROR(SEARCH("광고",E789),0)&gt;0,"광고·행사",IF(IFERROR(SEARCH("용역",E789),0)&gt;0,"용역·수수료","기타/불명"))))))</x:f>
      </x:c>
      <x:c r="J789" s="77" t="str">
        <x:f>IF(A789="","",IF(I789="기타/불명","확인 필요","결의서명으로 1차 확인"))</x:f>
      </x:c>
      <x:c r="K789" s="78"/>
    </x:row>
    <x:row r="790">
      <x:c r="A790" s="73"/>
      <x:c r="B790" s="73"/>
      <x:c r="C790" s="74"/>
      <x:c r="D790" s="73"/>
      <x:c r="E790" s="73"/>
      <x:c r="F790" s="75"/>
      <x:c r="G790" s="75"/>
      <x:c r="H790" s="76" t="str">
        <x:f>IF(A790="","",F790-G790)</x:f>
      </x:c>
      <x:c r="I790" s="77" t="str">
        <x:f>IF(A790="","",IF(E790="","기타/불명",IF(IFERROR(SEARCH("급여",E790),0)&gt;0,"인건비",IF(IFERROR(SEARCH("임차",E790),0)&gt;0,"임차·시설",IF(IFERROR(SEARCH("광고",E790),0)&gt;0,"광고·행사",IF(IFERROR(SEARCH("용역",E790),0)&gt;0,"용역·수수료","기타/불명"))))))</x:f>
      </x:c>
      <x:c r="J790" s="77" t="str">
        <x:f>IF(A790="","",IF(I790="기타/불명","확인 필요","결의서명으로 1차 확인"))</x:f>
      </x:c>
      <x:c r="K790" s="78"/>
    </x:row>
    <x:row r="791">
      <x:c r="A791" s="73"/>
      <x:c r="B791" s="73"/>
      <x:c r="C791" s="74"/>
      <x:c r="D791" s="73"/>
      <x:c r="E791" s="73"/>
      <x:c r="F791" s="75"/>
      <x:c r="G791" s="75"/>
      <x:c r="H791" s="76" t="str">
        <x:f>IF(A791="","",F791-G791)</x:f>
      </x:c>
      <x:c r="I791" s="77" t="str">
        <x:f>IF(A791="","",IF(E791="","기타/불명",IF(IFERROR(SEARCH("급여",E791),0)&gt;0,"인건비",IF(IFERROR(SEARCH("임차",E791),0)&gt;0,"임차·시설",IF(IFERROR(SEARCH("광고",E791),0)&gt;0,"광고·행사",IF(IFERROR(SEARCH("용역",E791),0)&gt;0,"용역·수수료","기타/불명"))))))</x:f>
      </x:c>
      <x:c r="J791" s="77" t="str">
        <x:f>IF(A791="","",IF(I791="기타/불명","확인 필요","결의서명으로 1차 확인"))</x:f>
      </x:c>
      <x:c r="K791" s="78"/>
    </x:row>
    <x:row r="792">
      <x:c r="A792" s="73"/>
      <x:c r="B792" s="73"/>
      <x:c r="C792" s="74"/>
      <x:c r="D792" s="73"/>
      <x:c r="E792" s="73"/>
      <x:c r="F792" s="75"/>
      <x:c r="G792" s="75"/>
      <x:c r="H792" s="76" t="str">
        <x:f>IF(A792="","",F792-G792)</x:f>
      </x:c>
      <x:c r="I792" s="77" t="str">
        <x:f>IF(A792="","",IF(E792="","기타/불명",IF(IFERROR(SEARCH("급여",E792),0)&gt;0,"인건비",IF(IFERROR(SEARCH("임차",E792),0)&gt;0,"임차·시설",IF(IFERROR(SEARCH("광고",E792),0)&gt;0,"광고·행사",IF(IFERROR(SEARCH("용역",E792),0)&gt;0,"용역·수수료","기타/불명"))))))</x:f>
      </x:c>
      <x:c r="J792" s="77" t="str">
        <x:f>IF(A792="","",IF(I792="기타/불명","확인 필요","결의서명으로 1차 확인"))</x:f>
      </x:c>
      <x:c r="K792" s="78"/>
    </x:row>
    <x:row r="793">
      <x:c r="A793" s="73"/>
      <x:c r="B793" s="73"/>
      <x:c r="C793" s="74"/>
      <x:c r="D793" s="73"/>
      <x:c r="E793" s="73"/>
      <x:c r="F793" s="75"/>
      <x:c r="G793" s="75"/>
      <x:c r="H793" s="76" t="str">
        <x:f>IF(A793="","",F793-G793)</x:f>
      </x:c>
      <x:c r="I793" s="77" t="str">
        <x:f>IF(A793="","",IF(E793="","기타/불명",IF(IFERROR(SEARCH("급여",E793),0)&gt;0,"인건비",IF(IFERROR(SEARCH("임차",E793),0)&gt;0,"임차·시설",IF(IFERROR(SEARCH("광고",E793),0)&gt;0,"광고·행사",IF(IFERROR(SEARCH("용역",E793),0)&gt;0,"용역·수수료","기타/불명"))))))</x:f>
      </x:c>
      <x:c r="J793" s="77" t="str">
        <x:f>IF(A793="","",IF(I793="기타/불명","확인 필요","결의서명으로 1차 확인"))</x:f>
      </x:c>
      <x:c r="K793" s="78"/>
    </x:row>
    <x:row r="794">
      <x:c r="A794" s="73"/>
      <x:c r="B794" s="73"/>
      <x:c r="C794" s="74"/>
      <x:c r="D794" s="73"/>
      <x:c r="E794" s="73"/>
      <x:c r="F794" s="75"/>
      <x:c r="G794" s="75"/>
      <x:c r="H794" s="76" t="str">
        <x:f>IF(A794="","",F794-G794)</x:f>
      </x:c>
      <x:c r="I794" s="77" t="str">
        <x:f>IF(A794="","",IF(E794="","기타/불명",IF(IFERROR(SEARCH("급여",E794),0)&gt;0,"인건비",IF(IFERROR(SEARCH("임차",E794),0)&gt;0,"임차·시설",IF(IFERROR(SEARCH("광고",E794),0)&gt;0,"광고·행사",IF(IFERROR(SEARCH("용역",E794),0)&gt;0,"용역·수수료","기타/불명"))))))</x:f>
      </x:c>
      <x:c r="J794" s="77" t="str">
        <x:f>IF(A794="","",IF(I794="기타/불명","확인 필요","결의서명으로 1차 확인"))</x:f>
      </x:c>
      <x:c r="K794" s="78"/>
    </x:row>
    <x:row r="795">
      <x:c r="A795" s="73"/>
      <x:c r="B795" s="73"/>
      <x:c r="C795" s="74"/>
      <x:c r="D795" s="73"/>
      <x:c r="E795" s="73"/>
      <x:c r="F795" s="75"/>
      <x:c r="G795" s="75"/>
      <x:c r="H795" s="76" t="str">
        <x:f>IF(A795="","",F795-G795)</x:f>
      </x:c>
      <x:c r="I795" s="77" t="str">
        <x:f>IF(A795="","",IF(E795="","기타/불명",IF(IFERROR(SEARCH("급여",E795),0)&gt;0,"인건비",IF(IFERROR(SEARCH("임차",E795),0)&gt;0,"임차·시설",IF(IFERROR(SEARCH("광고",E795),0)&gt;0,"광고·행사",IF(IFERROR(SEARCH("용역",E795),0)&gt;0,"용역·수수료","기타/불명"))))))</x:f>
      </x:c>
      <x:c r="J795" s="77" t="str">
        <x:f>IF(A795="","",IF(I795="기타/불명","확인 필요","결의서명으로 1차 확인"))</x:f>
      </x:c>
      <x:c r="K795" s="78"/>
    </x:row>
    <x:row r="796">
      <x:c r="A796" s="73"/>
      <x:c r="B796" s="73"/>
      <x:c r="C796" s="74"/>
      <x:c r="D796" s="73"/>
      <x:c r="E796" s="73"/>
      <x:c r="F796" s="75"/>
      <x:c r="G796" s="75"/>
      <x:c r="H796" s="76" t="str">
        <x:f>IF(A796="","",F796-G796)</x:f>
      </x:c>
      <x:c r="I796" s="77" t="str">
        <x:f>IF(A796="","",IF(E796="","기타/불명",IF(IFERROR(SEARCH("급여",E796),0)&gt;0,"인건비",IF(IFERROR(SEARCH("임차",E796),0)&gt;0,"임차·시설",IF(IFERROR(SEARCH("광고",E796),0)&gt;0,"광고·행사",IF(IFERROR(SEARCH("용역",E796),0)&gt;0,"용역·수수료","기타/불명"))))))</x:f>
      </x:c>
      <x:c r="J796" s="77" t="str">
        <x:f>IF(A796="","",IF(I796="기타/불명","확인 필요","결의서명으로 1차 확인"))</x:f>
      </x:c>
      <x:c r="K796" s="78"/>
    </x:row>
    <x:row r="797">
      <x:c r="A797" s="73"/>
      <x:c r="B797" s="73"/>
      <x:c r="C797" s="74"/>
      <x:c r="D797" s="73"/>
      <x:c r="E797" s="73"/>
      <x:c r="F797" s="75"/>
      <x:c r="G797" s="75"/>
      <x:c r="H797" s="76" t="str">
        <x:f>IF(A797="","",F797-G797)</x:f>
      </x:c>
      <x:c r="I797" s="77" t="str">
        <x:f>IF(A797="","",IF(E797="","기타/불명",IF(IFERROR(SEARCH("급여",E797),0)&gt;0,"인건비",IF(IFERROR(SEARCH("임차",E797),0)&gt;0,"임차·시설",IF(IFERROR(SEARCH("광고",E797),0)&gt;0,"광고·행사",IF(IFERROR(SEARCH("용역",E797),0)&gt;0,"용역·수수료","기타/불명"))))))</x:f>
      </x:c>
      <x:c r="J797" s="77" t="str">
        <x:f>IF(A797="","",IF(I797="기타/불명","확인 필요","결의서명으로 1차 확인"))</x:f>
      </x:c>
      <x:c r="K797" s="78"/>
    </x:row>
    <x:row r="798">
      <x:c r="A798" s="73"/>
      <x:c r="B798" s="73"/>
      <x:c r="C798" s="74"/>
      <x:c r="D798" s="73"/>
      <x:c r="E798" s="73"/>
      <x:c r="F798" s="75"/>
      <x:c r="G798" s="75"/>
      <x:c r="H798" s="76" t="str">
        <x:f>IF(A798="","",F798-G798)</x:f>
      </x:c>
      <x:c r="I798" s="77" t="str">
        <x:f>IF(A798="","",IF(E798="","기타/불명",IF(IFERROR(SEARCH("급여",E798),0)&gt;0,"인건비",IF(IFERROR(SEARCH("임차",E798),0)&gt;0,"임차·시설",IF(IFERROR(SEARCH("광고",E798),0)&gt;0,"광고·행사",IF(IFERROR(SEARCH("용역",E798),0)&gt;0,"용역·수수료","기타/불명"))))))</x:f>
      </x:c>
      <x:c r="J798" s="77" t="str">
        <x:f>IF(A798="","",IF(I798="기타/불명","확인 필요","결의서명으로 1차 확인"))</x:f>
      </x:c>
      <x:c r="K798" s="78"/>
    </x:row>
    <x:row r="799">
      <x:c r="A799" s="73"/>
      <x:c r="B799" s="73"/>
      <x:c r="C799" s="74"/>
      <x:c r="D799" s="73"/>
      <x:c r="E799" s="73"/>
      <x:c r="F799" s="75"/>
      <x:c r="G799" s="75"/>
      <x:c r="H799" s="76" t="str">
        <x:f>IF(A799="","",F799-G799)</x:f>
      </x:c>
      <x:c r="I799" s="77" t="str">
        <x:f>IF(A799="","",IF(E799="","기타/불명",IF(IFERROR(SEARCH("급여",E799),0)&gt;0,"인건비",IF(IFERROR(SEARCH("임차",E799),0)&gt;0,"임차·시설",IF(IFERROR(SEARCH("광고",E799),0)&gt;0,"광고·행사",IF(IFERROR(SEARCH("용역",E799),0)&gt;0,"용역·수수료","기타/불명"))))))</x:f>
      </x:c>
      <x:c r="J799" s="77" t="str">
        <x:f>IF(A799="","",IF(I799="기타/불명","확인 필요","결의서명으로 1차 확인"))</x:f>
      </x:c>
      <x:c r="K799" s="78"/>
    </x:row>
    <x:row r="800">
      <x:c r="A800" s="73"/>
      <x:c r="B800" s="73"/>
      <x:c r="C800" s="74"/>
      <x:c r="D800" s="73"/>
      <x:c r="E800" s="73"/>
      <x:c r="F800" s="75"/>
      <x:c r="G800" s="75"/>
      <x:c r="H800" s="76" t="str">
        <x:f>IF(A800="","",F800-G800)</x:f>
      </x:c>
      <x:c r="I800" s="77" t="str">
        <x:f>IF(A800="","",IF(E800="","기타/불명",IF(IFERROR(SEARCH("급여",E800),0)&gt;0,"인건비",IF(IFERROR(SEARCH("임차",E800),0)&gt;0,"임차·시설",IF(IFERROR(SEARCH("광고",E800),0)&gt;0,"광고·행사",IF(IFERROR(SEARCH("용역",E800),0)&gt;0,"용역·수수료","기타/불명"))))))</x:f>
      </x:c>
      <x:c r="J800" s="77" t="str">
        <x:f>IF(A800="","",IF(I800="기타/불명","확인 필요","결의서명으로 1차 확인"))</x:f>
      </x:c>
      <x:c r="K800" s="78"/>
    </x:row>
    <x:row r="801">
      <x:c r="A801" s="73"/>
      <x:c r="B801" s="73"/>
      <x:c r="C801" s="74"/>
      <x:c r="D801" s="73"/>
      <x:c r="E801" s="73"/>
      <x:c r="F801" s="75"/>
      <x:c r="G801" s="75"/>
      <x:c r="H801" s="76" t="str">
        <x:f>IF(A801="","",F801-G801)</x:f>
      </x:c>
      <x:c r="I801" s="77" t="str">
        <x:f>IF(A801="","",IF(E801="","기타/불명",IF(IFERROR(SEARCH("급여",E801),0)&gt;0,"인건비",IF(IFERROR(SEARCH("임차",E801),0)&gt;0,"임차·시설",IF(IFERROR(SEARCH("광고",E801),0)&gt;0,"광고·행사",IF(IFERROR(SEARCH("용역",E801),0)&gt;0,"용역·수수료","기타/불명"))))))</x:f>
      </x:c>
      <x:c r="J801" s="77" t="str">
        <x:f>IF(A801="","",IF(I801="기타/불명","확인 필요","결의서명으로 1차 확인"))</x:f>
      </x:c>
      <x:c r="K801" s="78"/>
    </x:row>
    <x:row r="802">
      <x:c r="A802" s="73"/>
      <x:c r="B802" s="73"/>
      <x:c r="C802" s="74"/>
      <x:c r="D802" s="73"/>
      <x:c r="E802" s="73"/>
      <x:c r="F802" s="75"/>
      <x:c r="G802" s="75"/>
      <x:c r="H802" s="76" t="str">
        <x:f>IF(A802="","",F802-G802)</x:f>
      </x:c>
      <x:c r="I802" s="77" t="str">
        <x:f>IF(A802="","",IF(E802="","기타/불명",IF(IFERROR(SEARCH("급여",E802),0)&gt;0,"인건비",IF(IFERROR(SEARCH("임차",E802),0)&gt;0,"임차·시설",IF(IFERROR(SEARCH("광고",E802),0)&gt;0,"광고·행사",IF(IFERROR(SEARCH("용역",E802),0)&gt;0,"용역·수수료","기타/불명"))))))</x:f>
      </x:c>
      <x:c r="J802" s="77" t="str">
        <x:f>IF(A802="","",IF(I802="기타/불명","확인 필요","결의서명으로 1차 확인"))</x:f>
      </x:c>
      <x:c r="K802" s="78"/>
    </x:row>
    <x:row r="803">
      <x:c r="A803" s="73"/>
      <x:c r="B803" s="73"/>
      <x:c r="C803" s="74"/>
      <x:c r="D803" s="73"/>
      <x:c r="E803" s="73"/>
      <x:c r="F803" s="75"/>
      <x:c r="G803" s="75"/>
      <x:c r="H803" s="76" t="str">
        <x:f>IF(A803="","",F803-G803)</x:f>
      </x:c>
      <x:c r="I803" s="77" t="str">
        <x:f>IF(A803="","",IF(E803="","기타/불명",IF(IFERROR(SEARCH("급여",E803),0)&gt;0,"인건비",IF(IFERROR(SEARCH("임차",E803),0)&gt;0,"임차·시설",IF(IFERROR(SEARCH("광고",E803),0)&gt;0,"광고·행사",IF(IFERROR(SEARCH("용역",E803),0)&gt;0,"용역·수수료","기타/불명"))))))</x:f>
      </x:c>
      <x:c r="J803" s="77" t="str">
        <x:f>IF(A803="","",IF(I803="기타/불명","확인 필요","결의서명으로 1차 확인"))</x:f>
      </x:c>
      <x:c r="K803" s="78"/>
    </x:row>
    <x:row r="804">
      <x:c r="A804" s="73"/>
      <x:c r="B804" s="73"/>
      <x:c r="C804" s="74"/>
      <x:c r="D804" s="73"/>
      <x:c r="E804" s="73"/>
      <x:c r="F804" s="75"/>
      <x:c r="G804" s="75"/>
      <x:c r="H804" s="76" t="str">
        <x:f>IF(A804="","",F804-G804)</x:f>
      </x:c>
      <x:c r="I804" s="77" t="str">
        <x:f>IF(A804="","",IF(E804="","기타/불명",IF(IFERROR(SEARCH("급여",E804),0)&gt;0,"인건비",IF(IFERROR(SEARCH("임차",E804),0)&gt;0,"임차·시설",IF(IFERROR(SEARCH("광고",E804),0)&gt;0,"광고·행사",IF(IFERROR(SEARCH("용역",E804),0)&gt;0,"용역·수수료","기타/불명"))))))</x:f>
      </x:c>
      <x:c r="J804" s="77" t="str">
        <x:f>IF(A804="","",IF(I804="기타/불명","확인 필요","결의서명으로 1차 확인"))</x:f>
      </x:c>
      <x:c r="K804" s="78"/>
    </x:row>
    <x:row r="805">
      <x:c r="A805" s="73"/>
      <x:c r="B805" s="73"/>
      <x:c r="C805" s="74"/>
      <x:c r="D805" s="73"/>
      <x:c r="E805" s="73"/>
      <x:c r="F805" s="75"/>
      <x:c r="G805" s="75"/>
      <x:c r="H805" s="76" t="str">
        <x:f>IF(A805="","",F805-G805)</x:f>
      </x:c>
      <x:c r="I805" s="77" t="str">
        <x:f>IF(A805="","",IF(E805="","기타/불명",IF(IFERROR(SEARCH("급여",E805),0)&gt;0,"인건비",IF(IFERROR(SEARCH("임차",E805),0)&gt;0,"임차·시설",IF(IFERROR(SEARCH("광고",E805),0)&gt;0,"광고·행사",IF(IFERROR(SEARCH("용역",E805),0)&gt;0,"용역·수수료","기타/불명"))))))</x:f>
      </x:c>
      <x:c r="J805" s="77" t="str">
        <x:f>IF(A805="","",IF(I805="기타/불명","확인 필요","결의서명으로 1차 확인"))</x:f>
      </x:c>
      <x:c r="K805" s="78"/>
    </x:row>
    <x:row r="806">
      <x:c r="A806" s="73"/>
      <x:c r="B806" s="73"/>
      <x:c r="C806" s="74"/>
      <x:c r="D806" s="73"/>
      <x:c r="E806" s="73"/>
      <x:c r="F806" s="75"/>
      <x:c r="G806" s="75"/>
      <x:c r="H806" s="76" t="str">
        <x:f>IF(A806="","",F806-G806)</x:f>
      </x:c>
      <x:c r="I806" s="77" t="str">
        <x:f>IF(A806="","",IF(E806="","기타/불명",IF(IFERROR(SEARCH("급여",E806),0)&gt;0,"인건비",IF(IFERROR(SEARCH("임차",E806),0)&gt;0,"임차·시설",IF(IFERROR(SEARCH("광고",E806),0)&gt;0,"광고·행사",IF(IFERROR(SEARCH("용역",E806),0)&gt;0,"용역·수수료","기타/불명"))))))</x:f>
      </x:c>
      <x:c r="J806" s="77" t="str">
        <x:f>IF(A806="","",IF(I806="기타/불명","확인 필요","결의서명으로 1차 확인"))</x:f>
      </x:c>
      <x:c r="K806" s="78"/>
    </x:row>
    <x:row r="807">
      <x:c r="A807" s="73"/>
      <x:c r="B807" s="73"/>
      <x:c r="C807" s="74"/>
      <x:c r="D807" s="73"/>
      <x:c r="E807" s="73"/>
      <x:c r="F807" s="75"/>
      <x:c r="G807" s="75"/>
      <x:c r="H807" s="76" t="str">
        <x:f>IF(A807="","",F807-G807)</x:f>
      </x:c>
      <x:c r="I807" s="77" t="str">
        <x:f>IF(A807="","",IF(E807="","기타/불명",IF(IFERROR(SEARCH("급여",E807),0)&gt;0,"인건비",IF(IFERROR(SEARCH("임차",E807),0)&gt;0,"임차·시설",IF(IFERROR(SEARCH("광고",E807),0)&gt;0,"광고·행사",IF(IFERROR(SEARCH("용역",E807),0)&gt;0,"용역·수수료","기타/불명"))))))</x:f>
      </x:c>
      <x:c r="J807" s="77" t="str">
        <x:f>IF(A807="","",IF(I807="기타/불명","확인 필요","결의서명으로 1차 확인"))</x:f>
      </x:c>
      <x:c r="K807" s="78"/>
    </x:row>
    <x:row r="808">
      <x:c r="A808" s="73"/>
      <x:c r="B808" s="73"/>
      <x:c r="C808" s="74"/>
      <x:c r="D808" s="73"/>
      <x:c r="E808" s="73"/>
      <x:c r="F808" s="75"/>
      <x:c r="G808" s="75"/>
      <x:c r="H808" s="76" t="str">
        <x:f>IF(A808="","",F808-G808)</x:f>
      </x:c>
      <x:c r="I808" s="77" t="str">
        <x:f>IF(A808="","",IF(E808="","기타/불명",IF(IFERROR(SEARCH("급여",E808),0)&gt;0,"인건비",IF(IFERROR(SEARCH("임차",E808),0)&gt;0,"임차·시설",IF(IFERROR(SEARCH("광고",E808),0)&gt;0,"광고·행사",IF(IFERROR(SEARCH("용역",E808),0)&gt;0,"용역·수수료","기타/불명"))))))</x:f>
      </x:c>
      <x:c r="J808" s="77" t="str">
        <x:f>IF(A808="","",IF(I808="기타/불명","확인 필요","결의서명으로 1차 확인"))</x:f>
      </x:c>
      <x:c r="K808" s="78"/>
    </x:row>
    <x:row r="809">
      <x:c r="A809" s="73"/>
      <x:c r="B809" s="73"/>
      <x:c r="C809" s="74"/>
      <x:c r="D809" s="73"/>
      <x:c r="E809" s="73"/>
      <x:c r="F809" s="75"/>
      <x:c r="G809" s="75"/>
      <x:c r="H809" s="76" t="str">
        <x:f>IF(A809="","",F809-G809)</x:f>
      </x:c>
      <x:c r="I809" s="77" t="str">
        <x:f>IF(A809="","",IF(E809="","기타/불명",IF(IFERROR(SEARCH("급여",E809),0)&gt;0,"인건비",IF(IFERROR(SEARCH("임차",E809),0)&gt;0,"임차·시설",IF(IFERROR(SEARCH("광고",E809),0)&gt;0,"광고·행사",IF(IFERROR(SEARCH("용역",E809),0)&gt;0,"용역·수수료","기타/불명"))))))</x:f>
      </x:c>
      <x:c r="J809" s="77" t="str">
        <x:f>IF(A809="","",IF(I809="기타/불명","확인 필요","결의서명으로 1차 확인"))</x:f>
      </x:c>
      <x:c r="K809" s="78"/>
    </x:row>
    <x:row r="810">
      <x:c r="A810" s="73"/>
      <x:c r="B810" s="73"/>
      <x:c r="C810" s="74"/>
      <x:c r="D810" s="73"/>
      <x:c r="E810" s="73"/>
      <x:c r="F810" s="75"/>
      <x:c r="G810" s="75"/>
      <x:c r="H810" s="76" t="str">
        <x:f>IF(A810="","",F810-G810)</x:f>
      </x:c>
      <x:c r="I810" s="77" t="str">
        <x:f>IF(A810="","",IF(E810="","기타/불명",IF(IFERROR(SEARCH("급여",E810),0)&gt;0,"인건비",IF(IFERROR(SEARCH("임차",E810),0)&gt;0,"임차·시설",IF(IFERROR(SEARCH("광고",E810),0)&gt;0,"광고·행사",IF(IFERROR(SEARCH("용역",E810),0)&gt;0,"용역·수수료","기타/불명"))))))</x:f>
      </x:c>
      <x:c r="J810" s="77" t="str">
        <x:f>IF(A810="","",IF(I810="기타/불명","확인 필요","결의서명으로 1차 확인"))</x:f>
      </x:c>
      <x:c r="K810" s="78"/>
    </x:row>
    <x:row r="811">
      <x:c r="A811" s="73"/>
      <x:c r="B811" s="73"/>
      <x:c r="C811" s="74"/>
      <x:c r="D811" s="73"/>
      <x:c r="E811" s="73"/>
      <x:c r="F811" s="75"/>
      <x:c r="G811" s="75"/>
      <x:c r="H811" s="76" t="str">
        <x:f>IF(A811="","",F811-G811)</x:f>
      </x:c>
      <x:c r="I811" s="77" t="str">
        <x:f>IF(A811="","",IF(E811="","기타/불명",IF(IFERROR(SEARCH("급여",E811),0)&gt;0,"인건비",IF(IFERROR(SEARCH("임차",E811),0)&gt;0,"임차·시설",IF(IFERROR(SEARCH("광고",E811),0)&gt;0,"광고·행사",IF(IFERROR(SEARCH("용역",E811),0)&gt;0,"용역·수수료","기타/불명"))))))</x:f>
      </x:c>
      <x:c r="J811" s="77" t="str">
        <x:f>IF(A811="","",IF(I811="기타/불명","확인 필요","결의서명으로 1차 확인"))</x:f>
      </x:c>
      <x:c r="K811" s="78"/>
    </x:row>
    <x:row r="812">
      <x:c r="A812" s="73"/>
      <x:c r="B812" s="73"/>
      <x:c r="C812" s="74"/>
      <x:c r="D812" s="73"/>
      <x:c r="E812" s="73"/>
      <x:c r="F812" s="75"/>
      <x:c r="G812" s="75"/>
      <x:c r="H812" s="76" t="str">
        <x:f>IF(A812="","",F812-G812)</x:f>
      </x:c>
      <x:c r="I812" s="77" t="str">
        <x:f>IF(A812="","",IF(E812="","기타/불명",IF(IFERROR(SEARCH("급여",E812),0)&gt;0,"인건비",IF(IFERROR(SEARCH("임차",E812),0)&gt;0,"임차·시설",IF(IFERROR(SEARCH("광고",E812),0)&gt;0,"광고·행사",IF(IFERROR(SEARCH("용역",E812),0)&gt;0,"용역·수수료","기타/불명"))))))</x:f>
      </x:c>
      <x:c r="J812" s="77" t="str">
        <x:f>IF(A812="","",IF(I812="기타/불명","확인 필요","결의서명으로 1차 확인"))</x:f>
      </x:c>
      <x:c r="K812" s="78"/>
    </x:row>
    <x:row r="813">
      <x:c r="A813" s="73"/>
      <x:c r="B813" s="73"/>
      <x:c r="C813" s="74"/>
      <x:c r="D813" s="73"/>
      <x:c r="E813" s="73"/>
      <x:c r="F813" s="75"/>
      <x:c r="G813" s="75"/>
      <x:c r="H813" s="76" t="str">
        <x:f>IF(A813="","",F813-G813)</x:f>
      </x:c>
      <x:c r="I813" s="77" t="str">
        <x:f>IF(A813="","",IF(E813="","기타/불명",IF(IFERROR(SEARCH("급여",E813),0)&gt;0,"인건비",IF(IFERROR(SEARCH("임차",E813),0)&gt;0,"임차·시설",IF(IFERROR(SEARCH("광고",E813),0)&gt;0,"광고·행사",IF(IFERROR(SEARCH("용역",E813),0)&gt;0,"용역·수수료","기타/불명"))))))</x:f>
      </x:c>
      <x:c r="J813" s="77" t="str">
        <x:f>IF(A813="","",IF(I813="기타/불명","확인 필요","결의서명으로 1차 확인"))</x:f>
      </x:c>
      <x:c r="K813" s="78"/>
    </x:row>
    <x:row r="814">
      <x:c r="A814" s="73"/>
      <x:c r="B814" s="73"/>
      <x:c r="C814" s="74"/>
      <x:c r="D814" s="73"/>
      <x:c r="E814" s="73"/>
      <x:c r="F814" s="75"/>
      <x:c r="G814" s="75"/>
      <x:c r="H814" s="76" t="str">
        <x:f>IF(A814="","",F814-G814)</x:f>
      </x:c>
      <x:c r="I814" s="77" t="str">
        <x:f>IF(A814="","",IF(E814="","기타/불명",IF(IFERROR(SEARCH("급여",E814),0)&gt;0,"인건비",IF(IFERROR(SEARCH("임차",E814),0)&gt;0,"임차·시설",IF(IFERROR(SEARCH("광고",E814),0)&gt;0,"광고·행사",IF(IFERROR(SEARCH("용역",E814),0)&gt;0,"용역·수수료","기타/불명"))))))</x:f>
      </x:c>
      <x:c r="J814" s="77" t="str">
        <x:f>IF(A814="","",IF(I814="기타/불명","확인 필요","결의서명으로 1차 확인"))</x:f>
      </x:c>
      <x:c r="K814" s="78"/>
    </x:row>
    <x:row r="815">
      <x:c r="A815" s="73"/>
      <x:c r="B815" s="73"/>
      <x:c r="C815" s="74"/>
      <x:c r="D815" s="73"/>
      <x:c r="E815" s="73"/>
      <x:c r="F815" s="75"/>
      <x:c r="G815" s="75"/>
      <x:c r="H815" s="76" t="str">
        <x:f>IF(A815="","",F815-G815)</x:f>
      </x:c>
      <x:c r="I815" s="77" t="str">
        <x:f>IF(A815="","",IF(E815="","기타/불명",IF(IFERROR(SEARCH("급여",E815),0)&gt;0,"인건비",IF(IFERROR(SEARCH("임차",E815),0)&gt;0,"임차·시설",IF(IFERROR(SEARCH("광고",E815),0)&gt;0,"광고·행사",IF(IFERROR(SEARCH("용역",E815),0)&gt;0,"용역·수수료","기타/불명"))))))</x:f>
      </x:c>
      <x:c r="J815" s="77" t="str">
        <x:f>IF(A815="","",IF(I815="기타/불명","확인 필요","결의서명으로 1차 확인"))</x:f>
      </x:c>
      <x:c r="K815" s="78"/>
    </x:row>
    <x:row r="816">
      <x:c r="A816" s="73"/>
      <x:c r="B816" s="73"/>
      <x:c r="C816" s="74"/>
      <x:c r="D816" s="73"/>
      <x:c r="E816" s="73"/>
      <x:c r="F816" s="75"/>
      <x:c r="G816" s="75"/>
      <x:c r="H816" s="76" t="str">
        <x:f>IF(A816="","",F816-G816)</x:f>
      </x:c>
      <x:c r="I816" s="77" t="str">
        <x:f>IF(A816="","",IF(E816="","기타/불명",IF(IFERROR(SEARCH("급여",E816),0)&gt;0,"인건비",IF(IFERROR(SEARCH("임차",E816),0)&gt;0,"임차·시설",IF(IFERROR(SEARCH("광고",E816),0)&gt;0,"광고·행사",IF(IFERROR(SEARCH("용역",E816),0)&gt;0,"용역·수수료","기타/불명"))))))</x:f>
      </x:c>
      <x:c r="J816" s="77" t="str">
        <x:f>IF(A816="","",IF(I816="기타/불명","확인 필요","결의서명으로 1차 확인"))</x:f>
      </x:c>
      <x:c r="K816" s="78"/>
    </x:row>
    <x:row r="817">
      <x:c r="A817" s="73"/>
      <x:c r="B817" s="73"/>
      <x:c r="C817" s="74"/>
      <x:c r="D817" s="73"/>
      <x:c r="E817" s="73"/>
      <x:c r="F817" s="75"/>
      <x:c r="G817" s="75"/>
      <x:c r="H817" s="76" t="str">
        <x:f>IF(A817="","",F817-G817)</x:f>
      </x:c>
      <x:c r="I817" s="77" t="str">
        <x:f>IF(A817="","",IF(E817="","기타/불명",IF(IFERROR(SEARCH("급여",E817),0)&gt;0,"인건비",IF(IFERROR(SEARCH("임차",E817),0)&gt;0,"임차·시설",IF(IFERROR(SEARCH("광고",E817),0)&gt;0,"광고·행사",IF(IFERROR(SEARCH("용역",E817),0)&gt;0,"용역·수수료","기타/불명"))))))</x:f>
      </x:c>
      <x:c r="J817" s="77" t="str">
        <x:f>IF(A817="","",IF(I817="기타/불명","확인 필요","결의서명으로 1차 확인"))</x:f>
      </x:c>
      <x:c r="K817" s="78"/>
    </x:row>
    <x:row r="818">
      <x:c r="A818" s="73"/>
      <x:c r="B818" s="73"/>
      <x:c r="C818" s="74"/>
      <x:c r="D818" s="73"/>
      <x:c r="E818" s="73"/>
      <x:c r="F818" s="75"/>
      <x:c r="G818" s="75"/>
      <x:c r="H818" s="76" t="str">
        <x:f>IF(A818="","",F818-G818)</x:f>
      </x:c>
      <x:c r="I818" s="77" t="str">
        <x:f>IF(A818="","",IF(E818="","기타/불명",IF(IFERROR(SEARCH("급여",E818),0)&gt;0,"인건비",IF(IFERROR(SEARCH("임차",E818),0)&gt;0,"임차·시설",IF(IFERROR(SEARCH("광고",E818),0)&gt;0,"광고·행사",IF(IFERROR(SEARCH("용역",E818),0)&gt;0,"용역·수수료","기타/불명"))))))</x:f>
      </x:c>
      <x:c r="J818" s="77" t="str">
        <x:f>IF(A818="","",IF(I818="기타/불명","확인 필요","결의서명으로 1차 확인"))</x:f>
      </x:c>
      <x:c r="K818" s="78"/>
    </x:row>
    <x:row r="819">
      <x:c r="A819" s="73"/>
      <x:c r="B819" s="73"/>
      <x:c r="C819" s="74"/>
      <x:c r="D819" s="73"/>
      <x:c r="E819" s="73"/>
      <x:c r="F819" s="75"/>
      <x:c r="G819" s="75"/>
      <x:c r="H819" s="76" t="str">
        <x:f>IF(A819="","",F819-G819)</x:f>
      </x:c>
      <x:c r="I819" s="77" t="str">
        <x:f>IF(A819="","",IF(E819="","기타/불명",IF(IFERROR(SEARCH("급여",E819),0)&gt;0,"인건비",IF(IFERROR(SEARCH("임차",E819),0)&gt;0,"임차·시설",IF(IFERROR(SEARCH("광고",E819),0)&gt;0,"광고·행사",IF(IFERROR(SEARCH("용역",E819),0)&gt;0,"용역·수수료","기타/불명"))))))</x:f>
      </x:c>
      <x:c r="J819" s="77" t="str">
        <x:f>IF(A819="","",IF(I819="기타/불명","확인 필요","결의서명으로 1차 확인"))</x:f>
      </x:c>
      <x:c r="K819" s="78"/>
    </x:row>
    <x:row r="820">
      <x:c r="A820" s="73"/>
      <x:c r="B820" s="73"/>
      <x:c r="C820" s="74"/>
      <x:c r="D820" s="73"/>
      <x:c r="E820" s="73"/>
      <x:c r="F820" s="75"/>
      <x:c r="G820" s="75"/>
      <x:c r="H820" s="76" t="str">
        <x:f>IF(A820="","",F820-G820)</x:f>
      </x:c>
      <x:c r="I820" s="77" t="str">
        <x:f>IF(A820="","",IF(E820="","기타/불명",IF(IFERROR(SEARCH("급여",E820),0)&gt;0,"인건비",IF(IFERROR(SEARCH("임차",E820),0)&gt;0,"임차·시설",IF(IFERROR(SEARCH("광고",E820),0)&gt;0,"광고·행사",IF(IFERROR(SEARCH("용역",E820),0)&gt;0,"용역·수수료","기타/불명"))))))</x:f>
      </x:c>
      <x:c r="J820" s="77" t="str">
        <x:f>IF(A820="","",IF(I820="기타/불명","확인 필요","결의서명으로 1차 확인"))</x:f>
      </x:c>
      <x:c r="K820" s="78"/>
    </x:row>
    <x:row r="821">
      <x:c r="A821" s="73"/>
      <x:c r="B821" s="73"/>
      <x:c r="C821" s="74"/>
      <x:c r="D821" s="73"/>
      <x:c r="E821" s="73"/>
      <x:c r="F821" s="75"/>
      <x:c r="G821" s="75"/>
      <x:c r="H821" s="76" t="str">
        <x:f>IF(A821="","",F821-G821)</x:f>
      </x:c>
      <x:c r="I821" s="77" t="str">
        <x:f>IF(A821="","",IF(E821="","기타/불명",IF(IFERROR(SEARCH("급여",E821),0)&gt;0,"인건비",IF(IFERROR(SEARCH("임차",E821),0)&gt;0,"임차·시설",IF(IFERROR(SEARCH("광고",E821),0)&gt;0,"광고·행사",IF(IFERROR(SEARCH("용역",E821),0)&gt;0,"용역·수수료","기타/불명"))))))</x:f>
      </x:c>
      <x:c r="J821" s="77" t="str">
        <x:f>IF(A821="","",IF(I821="기타/불명","확인 필요","결의서명으로 1차 확인"))</x:f>
      </x:c>
      <x:c r="K821" s="78"/>
    </x:row>
    <x:row r="822">
      <x:c r="A822" s="73"/>
      <x:c r="B822" s="73"/>
      <x:c r="C822" s="74"/>
      <x:c r="D822" s="73"/>
      <x:c r="E822" s="73"/>
      <x:c r="F822" s="75"/>
      <x:c r="G822" s="75"/>
      <x:c r="H822" s="76" t="str">
        <x:f>IF(A822="","",F822-G822)</x:f>
      </x:c>
      <x:c r="I822" s="77" t="str">
        <x:f>IF(A822="","",IF(E822="","기타/불명",IF(IFERROR(SEARCH("급여",E822),0)&gt;0,"인건비",IF(IFERROR(SEARCH("임차",E822),0)&gt;0,"임차·시설",IF(IFERROR(SEARCH("광고",E822),0)&gt;0,"광고·행사",IF(IFERROR(SEARCH("용역",E822),0)&gt;0,"용역·수수료","기타/불명"))))))</x:f>
      </x:c>
      <x:c r="J822" s="77" t="str">
        <x:f>IF(A822="","",IF(I822="기타/불명","확인 필요","결의서명으로 1차 확인"))</x:f>
      </x:c>
      <x:c r="K822" s="78"/>
    </x:row>
    <x:row r="823">
      <x:c r="A823" s="73"/>
      <x:c r="B823" s="73"/>
      <x:c r="C823" s="74"/>
      <x:c r="D823" s="73"/>
      <x:c r="E823" s="73"/>
      <x:c r="F823" s="75"/>
      <x:c r="G823" s="75"/>
      <x:c r="H823" s="76" t="str">
        <x:f>IF(A823="","",F823-G823)</x:f>
      </x:c>
      <x:c r="I823" s="77" t="str">
        <x:f>IF(A823="","",IF(E823="","기타/불명",IF(IFERROR(SEARCH("급여",E823),0)&gt;0,"인건비",IF(IFERROR(SEARCH("임차",E823),0)&gt;0,"임차·시설",IF(IFERROR(SEARCH("광고",E823),0)&gt;0,"광고·행사",IF(IFERROR(SEARCH("용역",E823),0)&gt;0,"용역·수수료","기타/불명"))))))</x:f>
      </x:c>
      <x:c r="J823" s="77" t="str">
        <x:f>IF(A823="","",IF(I823="기타/불명","확인 필요","결의서명으로 1차 확인"))</x:f>
      </x:c>
      <x:c r="K823" s="78"/>
    </x:row>
    <x:row r="824">
      <x:c r="A824" s="73"/>
      <x:c r="B824" s="73"/>
      <x:c r="C824" s="74"/>
      <x:c r="D824" s="73"/>
      <x:c r="E824" s="73"/>
      <x:c r="F824" s="75"/>
      <x:c r="G824" s="75"/>
      <x:c r="H824" s="76" t="str">
        <x:f>IF(A824="","",F824-G824)</x:f>
      </x:c>
      <x:c r="I824" s="77" t="str">
        <x:f>IF(A824="","",IF(E824="","기타/불명",IF(IFERROR(SEARCH("급여",E824),0)&gt;0,"인건비",IF(IFERROR(SEARCH("임차",E824),0)&gt;0,"임차·시설",IF(IFERROR(SEARCH("광고",E824),0)&gt;0,"광고·행사",IF(IFERROR(SEARCH("용역",E824),0)&gt;0,"용역·수수료","기타/불명"))))))</x:f>
      </x:c>
      <x:c r="J824" s="77" t="str">
        <x:f>IF(A824="","",IF(I824="기타/불명","확인 필요","결의서명으로 1차 확인"))</x:f>
      </x:c>
      <x:c r="K824" s="78"/>
    </x:row>
    <x:row r="825">
      <x:c r="A825" s="73"/>
      <x:c r="B825" s="73"/>
      <x:c r="C825" s="74"/>
      <x:c r="D825" s="73"/>
      <x:c r="E825" s="73"/>
      <x:c r="F825" s="75"/>
      <x:c r="G825" s="75"/>
      <x:c r="H825" s="76" t="str">
        <x:f>IF(A825="","",F825-G825)</x:f>
      </x:c>
      <x:c r="I825" s="77" t="str">
        <x:f>IF(A825="","",IF(E825="","기타/불명",IF(IFERROR(SEARCH("급여",E825),0)&gt;0,"인건비",IF(IFERROR(SEARCH("임차",E825),0)&gt;0,"임차·시설",IF(IFERROR(SEARCH("광고",E825),0)&gt;0,"광고·행사",IF(IFERROR(SEARCH("용역",E825),0)&gt;0,"용역·수수료","기타/불명"))))))</x:f>
      </x:c>
      <x:c r="J825" s="77" t="str">
        <x:f>IF(A825="","",IF(I825="기타/불명","확인 필요","결의서명으로 1차 확인"))</x:f>
      </x:c>
      <x:c r="K825" s="78"/>
    </x:row>
    <x:row r="826">
      <x:c r="A826" s="73"/>
      <x:c r="B826" s="73"/>
      <x:c r="C826" s="74"/>
      <x:c r="D826" s="73"/>
      <x:c r="E826" s="73"/>
      <x:c r="F826" s="75"/>
      <x:c r="G826" s="75"/>
      <x:c r="H826" s="76" t="str">
        <x:f>IF(A826="","",F826-G826)</x:f>
      </x:c>
      <x:c r="I826" s="77" t="str">
        <x:f>IF(A826="","",IF(E826="","기타/불명",IF(IFERROR(SEARCH("급여",E826),0)&gt;0,"인건비",IF(IFERROR(SEARCH("임차",E826),0)&gt;0,"임차·시설",IF(IFERROR(SEARCH("광고",E826),0)&gt;0,"광고·행사",IF(IFERROR(SEARCH("용역",E826),0)&gt;0,"용역·수수료","기타/불명"))))))</x:f>
      </x:c>
      <x:c r="J826" s="77" t="str">
        <x:f>IF(A826="","",IF(I826="기타/불명","확인 필요","결의서명으로 1차 확인"))</x:f>
      </x:c>
      <x:c r="K826" s="78"/>
    </x:row>
    <x:row r="827">
      <x:c r="A827" s="73"/>
      <x:c r="B827" s="73"/>
      <x:c r="C827" s="74"/>
      <x:c r="D827" s="73"/>
      <x:c r="E827" s="73"/>
      <x:c r="F827" s="75"/>
      <x:c r="G827" s="75"/>
      <x:c r="H827" s="76" t="str">
        <x:f>IF(A827="","",F827-G827)</x:f>
      </x:c>
      <x:c r="I827" s="77" t="str">
        <x:f>IF(A827="","",IF(E827="","기타/불명",IF(IFERROR(SEARCH("급여",E827),0)&gt;0,"인건비",IF(IFERROR(SEARCH("임차",E827),0)&gt;0,"임차·시설",IF(IFERROR(SEARCH("광고",E827),0)&gt;0,"광고·행사",IF(IFERROR(SEARCH("용역",E827),0)&gt;0,"용역·수수료","기타/불명"))))))</x:f>
      </x:c>
      <x:c r="J827" s="77" t="str">
        <x:f>IF(A827="","",IF(I827="기타/불명","확인 필요","결의서명으로 1차 확인"))</x:f>
      </x:c>
      <x:c r="K827" s="78"/>
    </x:row>
    <x:row r="828">
      <x:c r="A828" s="73"/>
      <x:c r="B828" s="73"/>
      <x:c r="C828" s="74"/>
      <x:c r="D828" s="73"/>
      <x:c r="E828" s="73"/>
      <x:c r="F828" s="75"/>
      <x:c r="G828" s="75"/>
      <x:c r="H828" s="76" t="str">
        <x:f>IF(A828="","",F828-G828)</x:f>
      </x:c>
      <x:c r="I828" s="77" t="str">
        <x:f>IF(A828="","",IF(E828="","기타/불명",IF(IFERROR(SEARCH("급여",E828),0)&gt;0,"인건비",IF(IFERROR(SEARCH("임차",E828),0)&gt;0,"임차·시설",IF(IFERROR(SEARCH("광고",E828),0)&gt;0,"광고·행사",IF(IFERROR(SEARCH("용역",E828),0)&gt;0,"용역·수수료","기타/불명"))))))</x:f>
      </x:c>
      <x:c r="J828" s="77" t="str">
        <x:f>IF(A828="","",IF(I828="기타/불명","확인 필요","결의서명으로 1차 확인"))</x:f>
      </x:c>
      <x:c r="K828" s="78"/>
    </x:row>
    <x:row r="829">
      <x:c r="A829" s="73"/>
      <x:c r="B829" s="73"/>
      <x:c r="C829" s="74"/>
      <x:c r="D829" s="73"/>
      <x:c r="E829" s="73"/>
      <x:c r="F829" s="75"/>
      <x:c r="G829" s="75"/>
      <x:c r="H829" s="76" t="str">
        <x:f>IF(A829="","",F829-G829)</x:f>
      </x:c>
      <x:c r="I829" s="77" t="str">
        <x:f>IF(A829="","",IF(E829="","기타/불명",IF(IFERROR(SEARCH("급여",E829),0)&gt;0,"인건비",IF(IFERROR(SEARCH("임차",E829),0)&gt;0,"임차·시설",IF(IFERROR(SEARCH("광고",E829),0)&gt;0,"광고·행사",IF(IFERROR(SEARCH("용역",E829),0)&gt;0,"용역·수수료","기타/불명"))))))</x:f>
      </x:c>
      <x:c r="J829" s="77" t="str">
        <x:f>IF(A829="","",IF(I829="기타/불명","확인 필요","결의서명으로 1차 확인"))</x:f>
      </x:c>
      <x:c r="K829" s="78"/>
    </x:row>
    <x:row r="830">
      <x:c r="A830" s="73"/>
      <x:c r="B830" s="73"/>
      <x:c r="C830" s="74"/>
      <x:c r="D830" s="73"/>
      <x:c r="E830" s="73"/>
      <x:c r="F830" s="75"/>
      <x:c r="G830" s="75"/>
      <x:c r="H830" s="76" t="str">
        <x:f>IF(A830="","",F830-G830)</x:f>
      </x:c>
      <x:c r="I830" s="77" t="str">
        <x:f>IF(A830="","",IF(E830="","기타/불명",IF(IFERROR(SEARCH("급여",E830),0)&gt;0,"인건비",IF(IFERROR(SEARCH("임차",E830),0)&gt;0,"임차·시설",IF(IFERROR(SEARCH("광고",E830),0)&gt;0,"광고·행사",IF(IFERROR(SEARCH("용역",E830),0)&gt;0,"용역·수수료","기타/불명"))))))</x:f>
      </x:c>
      <x:c r="J830" s="77" t="str">
        <x:f>IF(A830="","",IF(I830="기타/불명","확인 필요","결의서명으로 1차 확인"))</x:f>
      </x:c>
      <x:c r="K830" s="78"/>
    </x:row>
    <x:row r="831">
      <x:c r="A831" s="73"/>
      <x:c r="B831" s="73"/>
      <x:c r="C831" s="74"/>
      <x:c r="D831" s="73"/>
      <x:c r="E831" s="73"/>
      <x:c r="F831" s="75"/>
      <x:c r="G831" s="75"/>
      <x:c r="H831" s="76" t="str">
        <x:f>IF(A831="","",F831-G831)</x:f>
      </x:c>
      <x:c r="I831" s="77" t="str">
        <x:f>IF(A831="","",IF(E831="","기타/불명",IF(IFERROR(SEARCH("급여",E831),0)&gt;0,"인건비",IF(IFERROR(SEARCH("임차",E831),0)&gt;0,"임차·시설",IF(IFERROR(SEARCH("광고",E831),0)&gt;0,"광고·행사",IF(IFERROR(SEARCH("용역",E831),0)&gt;0,"용역·수수료","기타/불명"))))))</x:f>
      </x:c>
      <x:c r="J831" s="77" t="str">
        <x:f>IF(A831="","",IF(I831="기타/불명","확인 필요","결의서명으로 1차 확인"))</x:f>
      </x:c>
      <x:c r="K831" s="78"/>
    </x:row>
    <x:row r="832">
      <x:c r="A832" s="73"/>
      <x:c r="B832" s="73"/>
      <x:c r="C832" s="74"/>
      <x:c r="D832" s="73"/>
      <x:c r="E832" s="73"/>
      <x:c r="F832" s="75"/>
      <x:c r="G832" s="75"/>
      <x:c r="H832" s="76" t="str">
        <x:f>IF(A832="","",F832-G832)</x:f>
      </x:c>
      <x:c r="I832" s="77" t="str">
        <x:f>IF(A832="","",IF(E832="","기타/불명",IF(IFERROR(SEARCH("급여",E832),0)&gt;0,"인건비",IF(IFERROR(SEARCH("임차",E832),0)&gt;0,"임차·시설",IF(IFERROR(SEARCH("광고",E832),0)&gt;0,"광고·행사",IF(IFERROR(SEARCH("용역",E832),0)&gt;0,"용역·수수료","기타/불명"))))))</x:f>
      </x:c>
      <x:c r="J832" s="77" t="str">
        <x:f>IF(A832="","",IF(I832="기타/불명","확인 필요","결의서명으로 1차 확인"))</x:f>
      </x:c>
      <x:c r="K832" s="78"/>
    </x:row>
    <x:row r="833">
      <x:c r="A833" s="73"/>
      <x:c r="B833" s="73"/>
      <x:c r="C833" s="74"/>
      <x:c r="D833" s="73"/>
      <x:c r="E833" s="73"/>
      <x:c r="F833" s="75"/>
      <x:c r="G833" s="75"/>
      <x:c r="H833" s="76" t="str">
        <x:f>IF(A833="","",F833-G833)</x:f>
      </x:c>
      <x:c r="I833" s="77" t="str">
        <x:f>IF(A833="","",IF(E833="","기타/불명",IF(IFERROR(SEARCH("급여",E833),0)&gt;0,"인건비",IF(IFERROR(SEARCH("임차",E833),0)&gt;0,"임차·시설",IF(IFERROR(SEARCH("광고",E833),0)&gt;0,"광고·행사",IF(IFERROR(SEARCH("용역",E833),0)&gt;0,"용역·수수료","기타/불명"))))))</x:f>
      </x:c>
      <x:c r="J833" s="77" t="str">
        <x:f>IF(A833="","",IF(I833="기타/불명","확인 필요","결의서명으로 1차 확인"))</x:f>
      </x:c>
      <x:c r="K833" s="78"/>
    </x:row>
    <x:row r="834">
      <x:c r="A834" s="73"/>
      <x:c r="B834" s="73"/>
      <x:c r="C834" s="74"/>
      <x:c r="D834" s="73"/>
      <x:c r="E834" s="73"/>
      <x:c r="F834" s="75"/>
      <x:c r="G834" s="75"/>
      <x:c r="H834" s="76" t="str">
        <x:f>IF(A834="","",F834-G834)</x:f>
      </x:c>
      <x:c r="I834" s="77" t="str">
        <x:f>IF(A834="","",IF(E834="","기타/불명",IF(IFERROR(SEARCH("급여",E834),0)&gt;0,"인건비",IF(IFERROR(SEARCH("임차",E834),0)&gt;0,"임차·시설",IF(IFERROR(SEARCH("광고",E834),0)&gt;0,"광고·행사",IF(IFERROR(SEARCH("용역",E834),0)&gt;0,"용역·수수료","기타/불명"))))))</x:f>
      </x:c>
      <x:c r="J834" s="77" t="str">
        <x:f>IF(A834="","",IF(I834="기타/불명","확인 필요","결의서명으로 1차 확인"))</x:f>
      </x:c>
      <x:c r="K834" s="78"/>
    </x:row>
    <x:row r="835">
      <x:c r="A835" s="73"/>
      <x:c r="B835" s="73"/>
      <x:c r="C835" s="74"/>
      <x:c r="D835" s="73"/>
      <x:c r="E835" s="73"/>
      <x:c r="F835" s="75"/>
      <x:c r="G835" s="75"/>
      <x:c r="H835" s="76" t="str">
        <x:f>IF(A835="","",F835-G835)</x:f>
      </x:c>
      <x:c r="I835" s="77" t="str">
        <x:f>IF(A835="","",IF(E835="","기타/불명",IF(IFERROR(SEARCH("급여",E835),0)&gt;0,"인건비",IF(IFERROR(SEARCH("임차",E835),0)&gt;0,"임차·시설",IF(IFERROR(SEARCH("광고",E835),0)&gt;0,"광고·행사",IF(IFERROR(SEARCH("용역",E835),0)&gt;0,"용역·수수료","기타/불명"))))))</x:f>
      </x:c>
      <x:c r="J835" s="77" t="str">
        <x:f>IF(A835="","",IF(I835="기타/불명","확인 필요","결의서명으로 1차 확인"))</x:f>
      </x:c>
      <x:c r="K835" s="78"/>
    </x:row>
    <x:row r="836">
      <x:c r="A836" s="73"/>
      <x:c r="B836" s="73"/>
      <x:c r="C836" s="74"/>
      <x:c r="D836" s="73"/>
      <x:c r="E836" s="73"/>
      <x:c r="F836" s="75"/>
      <x:c r="G836" s="75"/>
      <x:c r="H836" s="76" t="str">
        <x:f>IF(A836="","",F836-G836)</x:f>
      </x:c>
      <x:c r="I836" s="77" t="str">
        <x:f>IF(A836="","",IF(E836="","기타/불명",IF(IFERROR(SEARCH("급여",E836),0)&gt;0,"인건비",IF(IFERROR(SEARCH("임차",E836),0)&gt;0,"임차·시설",IF(IFERROR(SEARCH("광고",E836),0)&gt;0,"광고·행사",IF(IFERROR(SEARCH("용역",E836),0)&gt;0,"용역·수수료","기타/불명"))))))</x:f>
      </x:c>
      <x:c r="J836" s="77" t="str">
        <x:f>IF(A836="","",IF(I836="기타/불명","확인 필요","결의서명으로 1차 확인"))</x:f>
      </x:c>
      <x:c r="K836" s="78"/>
    </x:row>
    <x:row r="837">
      <x:c r="A837" s="73"/>
      <x:c r="B837" s="73"/>
      <x:c r="C837" s="74"/>
      <x:c r="D837" s="73"/>
      <x:c r="E837" s="73"/>
      <x:c r="F837" s="75"/>
      <x:c r="G837" s="75"/>
      <x:c r="H837" s="76" t="str">
        <x:f>IF(A837="","",F837-G837)</x:f>
      </x:c>
      <x:c r="I837" s="77" t="str">
        <x:f>IF(A837="","",IF(E837="","기타/불명",IF(IFERROR(SEARCH("급여",E837),0)&gt;0,"인건비",IF(IFERROR(SEARCH("임차",E837),0)&gt;0,"임차·시설",IF(IFERROR(SEARCH("광고",E837),0)&gt;0,"광고·행사",IF(IFERROR(SEARCH("용역",E837),0)&gt;0,"용역·수수료","기타/불명"))))))</x:f>
      </x:c>
      <x:c r="J837" s="77" t="str">
        <x:f>IF(A837="","",IF(I837="기타/불명","확인 필요","결의서명으로 1차 확인"))</x:f>
      </x:c>
      <x:c r="K837" s="78"/>
    </x:row>
    <x:row r="838">
      <x:c r="A838" s="73"/>
      <x:c r="B838" s="73"/>
      <x:c r="C838" s="74"/>
      <x:c r="D838" s="73"/>
      <x:c r="E838" s="73"/>
      <x:c r="F838" s="75"/>
      <x:c r="G838" s="75"/>
      <x:c r="H838" s="76" t="str">
        <x:f>IF(A838="","",F838-G838)</x:f>
      </x:c>
      <x:c r="I838" s="77" t="str">
        <x:f>IF(A838="","",IF(E838="","기타/불명",IF(IFERROR(SEARCH("급여",E838),0)&gt;0,"인건비",IF(IFERROR(SEARCH("임차",E838),0)&gt;0,"임차·시설",IF(IFERROR(SEARCH("광고",E838),0)&gt;0,"광고·행사",IF(IFERROR(SEARCH("용역",E838),0)&gt;0,"용역·수수료","기타/불명"))))))</x:f>
      </x:c>
      <x:c r="J838" s="77" t="str">
        <x:f>IF(A838="","",IF(I838="기타/불명","확인 필요","결의서명으로 1차 확인"))</x:f>
      </x:c>
      <x:c r="K838" s="78"/>
    </x:row>
    <x:row r="839">
      <x:c r="A839" s="73"/>
      <x:c r="B839" s="73"/>
      <x:c r="C839" s="74"/>
      <x:c r="D839" s="73"/>
      <x:c r="E839" s="73"/>
      <x:c r="F839" s="75"/>
      <x:c r="G839" s="75"/>
      <x:c r="H839" s="76" t="str">
        <x:f>IF(A839="","",F839-G839)</x:f>
      </x:c>
      <x:c r="I839" s="77" t="str">
        <x:f>IF(A839="","",IF(E839="","기타/불명",IF(IFERROR(SEARCH("급여",E839),0)&gt;0,"인건비",IF(IFERROR(SEARCH("임차",E839),0)&gt;0,"임차·시설",IF(IFERROR(SEARCH("광고",E839),0)&gt;0,"광고·행사",IF(IFERROR(SEARCH("용역",E839),0)&gt;0,"용역·수수료","기타/불명"))))))</x:f>
      </x:c>
      <x:c r="J839" s="77" t="str">
        <x:f>IF(A839="","",IF(I839="기타/불명","확인 필요","결의서명으로 1차 확인"))</x:f>
      </x:c>
      <x:c r="K839" s="78"/>
    </x:row>
    <x:row r="840">
      <x:c r="A840" s="73"/>
      <x:c r="B840" s="73"/>
      <x:c r="C840" s="74"/>
      <x:c r="D840" s="73"/>
      <x:c r="E840" s="73"/>
      <x:c r="F840" s="75"/>
      <x:c r="G840" s="75"/>
      <x:c r="H840" s="76" t="str">
        <x:f>IF(A840="","",F840-G840)</x:f>
      </x:c>
      <x:c r="I840" s="77" t="str">
        <x:f>IF(A840="","",IF(E840="","기타/불명",IF(IFERROR(SEARCH("급여",E840),0)&gt;0,"인건비",IF(IFERROR(SEARCH("임차",E840),0)&gt;0,"임차·시설",IF(IFERROR(SEARCH("광고",E840),0)&gt;0,"광고·행사",IF(IFERROR(SEARCH("용역",E840),0)&gt;0,"용역·수수료","기타/불명"))))))</x:f>
      </x:c>
      <x:c r="J840" s="77" t="str">
        <x:f>IF(A840="","",IF(I840="기타/불명","확인 필요","결의서명으로 1차 확인"))</x:f>
      </x:c>
      <x:c r="K840" s="78"/>
    </x:row>
    <x:row r="841">
      <x:c r="A841" s="73"/>
      <x:c r="B841" s="73"/>
      <x:c r="C841" s="74"/>
      <x:c r="D841" s="73"/>
      <x:c r="E841" s="73"/>
      <x:c r="F841" s="75"/>
      <x:c r="G841" s="75"/>
      <x:c r="H841" s="76" t="str">
        <x:f>IF(A841="","",F841-G841)</x:f>
      </x:c>
      <x:c r="I841" s="77" t="str">
        <x:f>IF(A841="","",IF(E841="","기타/불명",IF(IFERROR(SEARCH("급여",E841),0)&gt;0,"인건비",IF(IFERROR(SEARCH("임차",E841),0)&gt;0,"임차·시설",IF(IFERROR(SEARCH("광고",E841),0)&gt;0,"광고·행사",IF(IFERROR(SEARCH("용역",E841),0)&gt;0,"용역·수수료","기타/불명"))))))</x:f>
      </x:c>
      <x:c r="J841" s="77" t="str">
        <x:f>IF(A841="","",IF(I841="기타/불명","확인 필요","결의서명으로 1차 확인"))</x:f>
      </x:c>
      <x:c r="K841" s="78"/>
    </x:row>
    <x:row r="842">
      <x:c r="A842" s="73"/>
      <x:c r="B842" s="73"/>
      <x:c r="C842" s="74"/>
      <x:c r="D842" s="73"/>
      <x:c r="E842" s="73"/>
      <x:c r="F842" s="75"/>
      <x:c r="G842" s="75"/>
      <x:c r="H842" s="76" t="str">
        <x:f>IF(A842="","",F842-G842)</x:f>
      </x:c>
      <x:c r="I842" s="77" t="str">
        <x:f>IF(A842="","",IF(E842="","기타/불명",IF(IFERROR(SEARCH("급여",E842),0)&gt;0,"인건비",IF(IFERROR(SEARCH("임차",E842),0)&gt;0,"임차·시설",IF(IFERROR(SEARCH("광고",E842),0)&gt;0,"광고·행사",IF(IFERROR(SEARCH("용역",E842),0)&gt;0,"용역·수수료","기타/불명"))))))</x:f>
      </x:c>
      <x:c r="J842" s="77" t="str">
        <x:f>IF(A842="","",IF(I842="기타/불명","확인 필요","결의서명으로 1차 확인"))</x:f>
      </x:c>
      <x:c r="K842" s="78"/>
    </x:row>
    <x:row r="843">
      <x:c r="A843" s="73"/>
      <x:c r="B843" s="73"/>
      <x:c r="C843" s="74"/>
      <x:c r="D843" s="73"/>
      <x:c r="E843" s="73"/>
      <x:c r="F843" s="75"/>
      <x:c r="G843" s="75"/>
      <x:c r="H843" s="76" t="str">
        <x:f>IF(A843="","",F843-G843)</x:f>
      </x:c>
      <x:c r="I843" s="77" t="str">
        <x:f>IF(A843="","",IF(E843="","기타/불명",IF(IFERROR(SEARCH("급여",E843),0)&gt;0,"인건비",IF(IFERROR(SEARCH("임차",E843),0)&gt;0,"임차·시설",IF(IFERROR(SEARCH("광고",E843),0)&gt;0,"광고·행사",IF(IFERROR(SEARCH("용역",E843),0)&gt;0,"용역·수수료","기타/불명"))))))</x:f>
      </x:c>
      <x:c r="J843" s="77" t="str">
        <x:f>IF(A843="","",IF(I843="기타/불명","확인 필요","결의서명으로 1차 확인"))</x:f>
      </x:c>
      <x:c r="K843" s="78"/>
    </x:row>
    <x:row r="844">
      <x:c r="A844" s="73"/>
      <x:c r="B844" s="73"/>
      <x:c r="C844" s="74"/>
      <x:c r="D844" s="73"/>
      <x:c r="E844" s="73"/>
      <x:c r="F844" s="75"/>
      <x:c r="G844" s="75"/>
      <x:c r="H844" s="76" t="str">
        <x:f>IF(A844="","",F844-G844)</x:f>
      </x:c>
      <x:c r="I844" s="77" t="str">
        <x:f>IF(A844="","",IF(E844="","기타/불명",IF(IFERROR(SEARCH("급여",E844),0)&gt;0,"인건비",IF(IFERROR(SEARCH("임차",E844),0)&gt;0,"임차·시설",IF(IFERROR(SEARCH("광고",E844),0)&gt;0,"광고·행사",IF(IFERROR(SEARCH("용역",E844),0)&gt;0,"용역·수수료","기타/불명"))))))</x:f>
      </x:c>
      <x:c r="J844" s="77" t="str">
        <x:f>IF(A844="","",IF(I844="기타/불명","확인 필요","결의서명으로 1차 확인"))</x:f>
      </x:c>
      <x:c r="K844" s="78"/>
    </x:row>
    <x:row r="845">
      <x:c r="A845" s="73"/>
      <x:c r="B845" s="73"/>
      <x:c r="C845" s="74"/>
      <x:c r="D845" s="73"/>
      <x:c r="E845" s="73"/>
      <x:c r="F845" s="75"/>
      <x:c r="G845" s="75"/>
      <x:c r="H845" s="76" t="str">
        <x:f>IF(A845="","",F845-G845)</x:f>
      </x:c>
      <x:c r="I845" s="77" t="str">
        <x:f>IF(A845="","",IF(E845="","기타/불명",IF(IFERROR(SEARCH("급여",E845),0)&gt;0,"인건비",IF(IFERROR(SEARCH("임차",E845),0)&gt;0,"임차·시설",IF(IFERROR(SEARCH("광고",E845),0)&gt;0,"광고·행사",IF(IFERROR(SEARCH("용역",E845),0)&gt;0,"용역·수수료","기타/불명"))))))</x:f>
      </x:c>
      <x:c r="J845" s="77" t="str">
        <x:f>IF(A845="","",IF(I845="기타/불명","확인 필요","결의서명으로 1차 확인"))</x:f>
      </x:c>
      <x:c r="K845" s="78"/>
    </x:row>
    <x:row r="846">
      <x:c r="A846" s="73"/>
      <x:c r="B846" s="73"/>
      <x:c r="C846" s="74"/>
      <x:c r="D846" s="73"/>
      <x:c r="E846" s="73"/>
      <x:c r="F846" s="75"/>
      <x:c r="G846" s="75"/>
      <x:c r="H846" s="76" t="str">
        <x:f>IF(A846="","",F846-G846)</x:f>
      </x:c>
      <x:c r="I846" s="77" t="str">
        <x:f>IF(A846="","",IF(E846="","기타/불명",IF(IFERROR(SEARCH("급여",E846),0)&gt;0,"인건비",IF(IFERROR(SEARCH("임차",E846),0)&gt;0,"임차·시설",IF(IFERROR(SEARCH("광고",E846),0)&gt;0,"광고·행사",IF(IFERROR(SEARCH("용역",E846),0)&gt;0,"용역·수수료","기타/불명"))))))</x:f>
      </x:c>
      <x:c r="J846" s="77" t="str">
        <x:f>IF(A846="","",IF(I846="기타/불명","확인 필요","결의서명으로 1차 확인"))</x:f>
      </x:c>
      <x:c r="K846" s="78"/>
    </x:row>
    <x:row r="847">
      <x:c r="A847" s="73"/>
      <x:c r="B847" s="73"/>
      <x:c r="C847" s="74"/>
      <x:c r="D847" s="73"/>
      <x:c r="E847" s="73"/>
      <x:c r="F847" s="75"/>
      <x:c r="G847" s="75"/>
      <x:c r="H847" s="76" t="str">
        <x:f>IF(A847="","",F847-G847)</x:f>
      </x:c>
      <x:c r="I847" s="77" t="str">
        <x:f>IF(A847="","",IF(E847="","기타/불명",IF(IFERROR(SEARCH("급여",E847),0)&gt;0,"인건비",IF(IFERROR(SEARCH("임차",E847),0)&gt;0,"임차·시설",IF(IFERROR(SEARCH("광고",E847),0)&gt;0,"광고·행사",IF(IFERROR(SEARCH("용역",E847),0)&gt;0,"용역·수수료","기타/불명"))))))</x:f>
      </x:c>
      <x:c r="J847" s="77" t="str">
        <x:f>IF(A847="","",IF(I847="기타/불명","확인 필요","결의서명으로 1차 확인"))</x:f>
      </x:c>
      <x:c r="K847" s="78"/>
    </x:row>
    <x:row r="848">
      <x:c r="A848" s="73"/>
      <x:c r="B848" s="73"/>
      <x:c r="C848" s="74"/>
      <x:c r="D848" s="73"/>
      <x:c r="E848" s="73"/>
      <x:c r="F848" s="75"/>
      <x:c r="G848" s="75"/>
      <x:c r="H848" s="76" t="str">
        <x:f>IF(A848="","",F848-G848)</x:f>
      </x:c>
      <x:c r="I848" s="77" t="str">
        <x:f>IF(A848="","",IF(E848="","기타/불명",IF(IFERROR(SEARCH("급여",E848),0)&gt;0,"인건비",IF(IFERROR(SEARCH("임차",E848),0)&gt;0,"임차·시설",IF(IFERROR(SEARCH("광고",E848),0)&gt;0,"광고·행사",IF(IFERROR(SEARCH("용역",E848),0)&gt;0,"용역·수수료","기타/불명"))))))</x:f>
      </x:c>
      <x:c r="J848" s="77" t="str">
        <x:f>IF(A848="","",IF(I848="기타/불명","확인 필요","결의서명으로 1차 확인"))</x:f>
      </x:c>
      <x:c r="K848" s="78"/>
    </x:row>
    <x:row r="849">
      <x:c r="A849" s="73"/>
      <x:c r="B849" s="73"/>
      <x:c r="C849" s="74"/>
      <x:c r="D849" s="73"/>
      <x:c r="E849" s="73"/>
      <x:c r="F849" s="75"/>
      <x:c r="G849" s="75"/>
      <x:c r="H849" s="76" t="str">
        <x:f>IF(A849="","",F849-G849)</x:f>
      </x:c>
      <x:c r="I849" s="77" t="str">
        <x:f>IF(A849="","",IF(E849="","기타/불명",IF(IFERROR(SEARCH("급여",E849),0)&gt;0,"인건비",IF(IFERROR(SEARCH("임차",E849),0)&gt;0,"임차·시설",IF(IFERROR(SEARCH("광고",E849),0)&gt;0,"광고·행사",IF(IFERROR(SEARCH("용역",E849),0)&gt;0,"용역·수수료","기타/불명"))))))</x:f>
      </x:c>
      <x:c r="J849" s="77" t="str">
        <x:f>IF(A849="","",IF(I849="기타/불명","확인 필요","결의서명으로 1차 확인"))</x:f>
      </x:c>
      <x:c r="K849" s="78"/>
    </x:row>
    <x:row r="850">
      <x:c r="A850" s="73"/>
      <x:c r="B850" s="73"/>
      <x:c r="C850" s="74"/>
      <x:c r="D850" s="73"/>
      <x:c r="E850" s="73"/>
      <x:c r="F850" s="75"/>
      <x:c r="G850" s="75"/>
      <x:c r="H850" s="76" t="str">
        <x:f>IF(A850="","",F850-G850)</x:f>
      </x:c>
      <x:c r="I850" s="77" t="str">
        <x:f>IF(A850="","",IF(E850="","기타/불명",IF(IFERROR(SEARCH("급여",E850),0)&gt;0,"인건비",IF(IFERROR(SEARCH("임차",E850),0)&gt;0,"임차·시설",IF(IFERROR(SEARCH("광고",E850),0)&gt;0,"광고·행사",IF(IFERROR(SEARCH("용역",E850),0)&gt;0,"용역·수수료","기타/불명"))))))</x:f>
      </x:c>
      <x:c r="J850" s="77" t="str">
        <x:f>IF(A850="","",IF(I850="기타/불명","확인 필요","결의서명으로 1차 확인"))</x:f>
      </x:c>
      <x:c r="K850" s="78"/>
    </x:row>
    <x:row r="851">
      <x:c r="A851" s="73"/>
      <x:c r="B851" s="73"/>
      <x:c r="C851" s="74"/>
      <x:c r="D851" s="73"/>
      <x:c r="E851" s="73"/>
      <x:c r="F851" s="75"/>
      <x:c r="G851" s="75"/>
      <x:c r="H851" s="76" t="str">
        <x:f>IF(A851="","",F851-G851)</x:f>
      </x:c>
      <x:c r="I851" s="77" t="str">
        <x:f>IF(A851="","",IF(E851="","기타/불명",IF(IFERROR(SEARCH("급여",E851),0)&gt;0,"인건비",IF(IFERROR(SEARCH("임차",E851),0)&gt;0,"임차·시설",IF(IFERROR(SEARCH("광고",E851),0)&gt;0,"광고·행사",IF(IFERROR(SEARCH("용역",E851),0)&gt;0,"용역·수수료","기타/불명"))))))</x:f>
      </x:c>
      <x:c r="J851" s="77" t="str">
        <x:f>IF(A851="","",IF(I851="기타/불명","확인 필요","결의서명으로 1차 확인"))</x:f>
      </x:c>
      <x:c r="K851" s="78"/>
    </x:row>
    <x:row r="852">
      <x:c r="A852" s="73"/>
      <x:c r="B852" s="73"/>
      <x:c r="C852" s="74"/>
      <x:c r="D852" s="73"/>
      <x:c r="E852" s="73"/>
      <x:c r="F852" s="75"/>
      <x:c r="G852" s="75"/>
      <x:c r="H852" s="76" t="str">
        <x:f>IF(A852="","",F852-G852)</x:f>
      </x:c>
      <x:c r="I852" s="77" t="str">
        <x:f>IF(A852="","",IF(E852="","기타/불명",IF(IFERROR(SEARCH("급여",E852),0)&gt;0,"인건비",IF(IFERROR(SEARCH("임차",E852),0)&gt;0,"임차·시설",IF(IFERROR(SEARCH("광고",E852),0)&gt;0,"광고·행사",IF(IFERROR(SEARCH("용역",E852),0)&gt;0,"용역·수수료","기타/불명"))))))</x:f>
      </x:c>
      <x:c r="J852" s="77" t="str">
        <x:f>IF(A852="","",IF(I852="기타/불명","확인 필요","결의서명으로 1차 확인"))</x:f>
      </x:c>
      <x:c r="K852" s="78"/>
    </x:row>
    <x:row r="853">
      <x:c r="A853" s="73"/>
      <x:c r="B853" s="73"/>
      <x:c r="C853" s="74"/>
      <x:c r="D853" s="73"/>
      <x:c r="E853" s="73"/>
      <x:c r="F853" s="75"/>
      <x:c r="G853" s="75"/>
      <x:c r="H853" s="76" t="str">
        <x:f>IF(A853="","",F853-G853)</x:f>
      </x:c>
      <x:c r="I853" s="77" t="str">
        <x:f>IF(A853="","",IF(E853="","기타/불명",IF(IFERROR(SEARCH("급여",E853),0)&gt;0,"인건비",IF(IFERROR(SEARCH("임차",E853),0)&gt;0,"임차·시설",IF(IFERROR(SEARCH("광고",E853),0)&gt;0,"광고·행사",IF(IFERROR(SEARCH("용역",E853),0)&gt;0,"용역·수수료","기타/불명"))))))</x:f>
      </x:c>
      <x:c r="J853" s="77" t="str">
        <x:f>IF(A853="","",IF(I853="기타/불명","확인 필요","결의서명으로 1차 확인"))</x:f>
      </x:c>
      <x:c r="K853" s="78"/>
    </x:row>
    <x:row r="854">
      <x:c r="A854" s="73"/>
      <x:c r="B854" s="73"/>
      <x:c r="C854" s="74"/>
      <x:c r="D854" s="73"/>
      <x:c r="E854" s="73"/>
      <x:c r="F854" s="75"/>
      <x:c r="G854" s="75"/>
      <x:c r="H854" s="76" t="str">
        <x:f>IF(A854="","",F854-G854)</x:f>
      </x:c>
      <x:c r="I854" s="77" t="str">
        <x:f>IF(A854="","",IF(E854="","기타/불명",IF(IFERROR(SEARCH("급여",E854),0)&gt;0,"인건비",IF(IFERROR(SEARCH("임차",E854),0)&gt;0,"임차·시설",IF(IFERROR(SEARCH("광고",E854),0)&gt;0,"광고·행사",IF(IFERROR(SEARCH("용역",E854),0)&gt;0,"용역·수수료","기타/불명"))))))</x:f>
      </x:c>
      <x:c r="J854" s="77" t="str">
        <x:f>IF(A854="","",IF(I854="기타/불명","확인 필요","결의서명으로 1차 확인"))</x:f>
      </x:c>
      <x:c r="K854" s="78"/>
    </x:row>
    <x:row r="855">
      <x:c r="A855" s="73"/>
      <x:c r="B855" s="73"/>
      <x:c r="C855" s="74"/>
      <x:c r="D855" s="73"/>
      <x:c r="E855" s="73"/>
      <x:c r="F855" s="75"/>
      <x:c r="G855" s="75"/>
      <x:c r="H855" s="76" t="str">
        <x:f>IF(A855="","",F855-G855)</x:f>
      </x:c>
      <x:c r="I855" s="77" t="str">
        <x:f>IF(A855="","",IF(E855="","기타/불명",IF(IFERROR(SEARCH("급여",E855),0)&gt;0,"인건비",IF(IFERROR(SEARCH("임차",E855),0)&gt;0,"임차·시설",IF(IFERROR(SEARCH("광고",E855),0)&gt;0,"광고·행사",IF(IFERROR(SEARCH("용역",E855),0)&gt;0,"용역·수수료","기타/불명"))))))</x:f>
      </x:c>
      <x:c r="J855" s="77" t="str">
        <x:f>IF(A855="","",IF(I855="기타/불명","확인 필요","결의서명으로 1차 확인"))</x:f>
      </x:c>
      <x:c r="K855" s="78"/>
    </x:row>
    <x:row r="856">
      <x:c r="A856" s="73"/>
      <x:c r="B856" s="73"/>
      <x:c r="C856" s="74"/>
      <x:c r="D856" s="73"/>
      <x:c r="E856" s="73"/>
      <x:c r="F856" s="75"/>
      <x:c r="G856" s="75"/>
      <x:c r="H856" s="76" t="str">
        <x:f>IF(A856="","",F856-G856)</x:f>
      </x:c>
      <x:c r="I856" s="77" t="str">
        <x:f>IF(A856="","",IF(E856="","기타/불명",IF(IFERROR(SEARCH("급여",E856),0)&gt;0,"인건비",IF(IFERROR(SEARCH("임차",E856),0)&gt;0,"임차·시설",IF(IFERROR(SEARCH("광고",E856),0)&gt;0,"광고·행사",IF(IFERROR(SEARCH("용역",E856),0)&gt;0,"용역·수수료","기타/불명"))))))</x:f>
      </x:c>
      <x:c r="J856" s="77" t="str">
        <x:f>IF(A856="","",IF(I856="기타/불명","확인 필요","결의서명으로 1차 확인"))</x:f>
      </x:c>
      <x:c r="K856" s="78"/>
    </x:row>
    <x:row r="857">
      <x:c r="A857" s="73"/>
      <x:c r="B857" s="73"/>
      <x:c r="C857" s="74"/>
      <x:c r="D857" s="73"/>
      <x:c r="E857" s="73"/>
      <x:c r="F857" s="75"/>
      <x:c r="G857" s="75"/>
      <x:c r="H857" s="76" t="str">
        <x:f>IF(A857="","",F857-G857)</x:f>
      </x:c>
      <x:c r="I857" s="77" t="str">
        <x:f>IF(A857="","",IF(E857="","기타/불명",IF(IFERROR(SEARCH("급여",E857),0)&gt;0,"인건비",IF(IFERROR(SEARCH("임차",E857),0)&gt;0,"임차·시설",IF(IFERROR(SEARCH("광고",E857),0)&gt;0,"광고·행사",IF(IFERROR(SEARCH("용역",E857),0)&gt;0,"용역·수수료","기타/불명"))))))</x:f>
      </x:c>
      <x:c r="J857" s="77" t="str">
        <x:f>IF(A857="","",IF(I857="기타/불명","확인 필요","결의서명으로 1차 확인"))</x:f>
      </x:c>
      <x:c r="K857" s="78"/>
    </x:row>
    <x:row r="858">
      <x:c r="A858" s="73"/>
      <x:c r="B858" s="73"/>
      <x:c r="C858" s="74"/>
      <x:c r="D858" s="73"/>
      <x:c r="E858" s="73"/>
      <x:c r="F858" s="75"/>
      <x:c r="G858" s="75"/>
      <x:c r="H858" s="76" t="str">
        <x:f>IF(A858="","",F858-G858)</x:f>
      </x:c>
      <x:c r="I858" s="77" t="str">
        <x:f>IF(A858="","",IF(E858="","기타/불명",IF(IFERROR(SEARCH("급여",E858),0)&gt;0,"인건비",IF(IFERROR(SEARCH("임차",E858),0)&gt;0,"임차·시설",IF(IFERROR(SEARCH("광고",E858),0)&gt;0,"광고·행사",IF(IFERROR(SEARCH("용역",E858),0)&gt;0,"용역·수수료","기타/불명"))))))</x:f>
      </x:c>
      <x:c r="J858" s="77" t="str">
        <x:f>IF(A858="","",IF(I858="기타/불명","확인 필요","결의서명으로 1차 확인"))</x:f>
      </x:c>
      <x:c r="K858" s="78"/>
    </x:row>
    <x:row r="859">
      <x:c r="A859" s="73"/>
      <x:c r="B859" s="73"/>
      <x:c r="C859" s="74"/>
      <x:c r="D859" s="73"/>
      <x:c r="E859" s="73"/>
      <x:c r="F859" s="75"/>
      <x:c r="G859" s="75"/>
      <x:c r="H859" s="76" t="str">
        <x:f>IF(A859="","",F859-G859)</x:f>
      </x:c>
      <x:c r="I859" s="77" t="str">
        <x:f>IF(A859="","",IF(E859="","기타/불명",IF(IFERROR(SEARCH("급여",E859),0)&gt;0,"인건비",IF(IFERROR(SEARCH("임차",E859),0)&gt;0,"임차·시설",IF(IFERROR(SEARCH("광고",E859),0)&gt;0,"광고·행사",IF(IFERROR(SEARCH("용역",E859),0)&gt;0,"용역·수수료","기타/불명"))))))</x:f>
      </x:c>
      <x:c r="J859" s="77" t="str">
        <x:f>IF(A859="","",IF(I859="기타/불명","확인 필요","결의서명으로 1차 확인"))</x:f>
      </x:c>
      <x:c r="K859" s="78"/>
    </x:row>
    <x:row r="860">
      <x:c r="A860" s="73"/>
      <x:c r="B860" s="73"/>
      <x:c r="C860" s="74"/>
      <x:c r="D860" s="73"/>
      <x:c r="E860" s="73"/>
      <x:c r="F860" s="75"/>
      <x:c r="G860" s="75"/>
      <x:c r="H860" s="76" t="str">
        <x:f>IF(A860="","",F860-G860)</x:f>
      </x:c>
      <x:c r="I860" s="77" t="str">
        <x:f>IF(A860="","",IF(E860="","기타/불명",IF(IFERROR(SEARCH("급여",E860),0)&gt;0,"인건비",IF(IFERROR(SEARCH("임차",E860),0)&gt;0,"임차·시설",IF(IFERROR(SEARCH("광고",E860),0)&gt;0,"광고·행사",IF(IFERROR(SEARCH("용역",E860),0)&gt;0,"용역·수수료","기타/불명"))))))</x:f>
      </x:c>
      <x:c r="J860" s="77" t="str">
        <x:f>IF(A860="","",IF(I860="기타/불명","확인 필요","결의서명으로 1차 확인"))</x:f>
      </x:c>
      <x:c r="K860" s="78"/>
    </x:row>
    <x:row r="861">
      <x:c r="A861" s="73"/>
      <x:c r="B861" s="73"/>
      <x:c r="C861" s="74"/>
      <x:c r="D861" s="73"/>
      <x:c r="E861" s="73"/>
      <x:c r="F861" s="75"/>
      <x:c r="G861" s="75"/>
      <x:c r="H861" s="76" t="str">
        <x:f>IF(A861="","",F861-G861)</x:f>
      </x:c>
      <x:c r="I861" s="77" t="str">
        <x:f>IF(A861="","",IF(E861="","기타/불명",IF(IFERROR(SEARCH("급여",E861),0)&gt;0,"인건비",IF(IFERROR(SEARCH("임차",E861),0)&gt;0,"임차·시설",IF(IFERROR(SEARCH("광고",E861),0)&gt;0,"광고·행사",IF(IFERROR(SEARCH("용역",E861),0)&gt;0,"용역·수수료","기타/불명"))))))</x:f>
      </x:c>
      <x:c r="J861" s="77" t="str">
        <x:f>IF(A861="","",IF(I861="기타/불명","확인 필요","결의서명으로 1차 확인"))</x:f>
      </x:c>
      <x:c r="K861" s="78"/>
    </x:row>
    <x:row r="862">
      <x:c r="A862" s="73"/>
      <x:c r="B862" s="73"/>
      <x:c r="C862" s="74"/>
      <x:c r="D862" s="73"/>
      <x:c r="E862" s="73"/>
      <x:c r="F862" s="75"/>
      <x:c r="G862" s="75"/>
      <x:c r="H862" s="76" t="str">
        <x:f>IF(A862="","",F862-G862)</x:f>
      </x:c>
      <x:c r="I862" s="77" t="str">
        <x:f>IF(A862="","",IF(E862="","기타/불명",IF(IFERROR(SEARCH("급여",E862),0)&gt;0,"인건비",IF(IFERROR(SEARCH("임차",E862),0)&gt;0,"임차·시설",IF(IFERROR(SEARCH("광고",E862),0)&gt;0,"광고·행사",IF(IFERROR(SEARCH("용역",E862),0)&gt;0,"용역·수수료","기타/불명"))))))</x:f>
      </x:c>
      <x:c r="J862" s="77" t="str">
        <x:f>IF(A862="","",IF(I862="기타/불명","확인 필요","결의서명으로 1차 확인"))</x:f>
      </x:c>
      <x:c r="K862" s="78"/>
    </x:row>
    <x:row r="863">
      <x:c r="A863" s="73"/>
      <x:c r="B863" s="73"/>
      <x:c r="C863" s="74"/>
      <x:c r="D863" s="73"/>
      <x:c r="E863" s="73"/>
      <x:c r="F863" s="75"/>
      <x:c r="G863" s="75"/>
      <x:c r="H863" s="76" t="str">
        <x:f>IF(A863="","",F863-G863)</x:f>
      </x:c>
      <x:c r="I863" s="77" t="str">
        <x:f>IF(A863="","",IF(E863="","기타/불명",IF(IFERROR(SEARCH("급여",E863),0)&gt;0,"인건비",IF(IFERROR(SEARCH("임차",E863),0)&gt;0,"임차·시설",IF(IFERROR(SEARCH("광고",E863),0)&gt;0,"광고·행사",IF(IFERROR(SEARCH("용역",E863),0)&gt;0,"용역·수수료","기타/불명"))))))</x:f>
      </x:c>
      <x:c r="J863" s="77" t="str">
        <x:f>IF(A863="","",IF(I863="기타/불명","확인 필요","결의서명으로 1차 확인"))</x:f>
      </x:c>
      <x:c r="K863" s="78"/>
    </x:row>
    <x:row r="864">
      <x:c r="A864" s="73"/>
      <x:c r="B864" s="73"/>
      <x:c r="C864" s="74"/>
      <x:c r="D864" s="73"/>
      <x:c r="E864" s="73"/>
      <x:c r="F864" s="75"/>
      <x:c r="G864" s="75"/>
      <x:c r="H864" s="76" t="str">
        <x:f>IF(A864="","",F864-G864)</x:f>
      </x:c>
      <x:c r="I864" s="77" t="str">
        <x:f>IF(A864="","",IF(E864="","기타/불명",IF(IFERROR(SEARCH("급여",E864),0)&gt;0,"인건비",IF(IFERROR(SEARCH("임차",E864),0)&gt;0,"임차·시설",IF(IFERROR(SEARCH("광고",E864),0)&gt;0,"광고·행사",IF(IFERROR(SEARCH("용역",E864),0)&gt;0,"용역·수수료","기타/불명"))))))</x:f>
      </x:c>
      <x:c r="J864" s="77" t="str">
        <x:f>IF(A864="","",IF(I864="기타/불명","확인 필요","결의서명으로 1차 확인"))</x:f>
      </x:c>
      <x:c r="K864" s="78"/>
    </x:row>
    <x:row r="865">
      <x:c r="A865" s="73"/>
      <x:c r="B865" s="73"/>
      <x:c r="C865" s="74"/>
      <x:c r="D865" s="73"/>
      <x:c r="E865" s="73"/>
      <x:c r="F865" s="75"/>
      <x:c r="G865" s="75"/>
      <x:c r="H865" s="76" t="str">
        <x:f>IF(A865="","",F865-G865)</x:f>
      </x:c>
      <x:c r="I865" s="77" t="str">
        <x:f>IF(A865="","",IF(E865="","기타/불명",IF(IFERROR(SEARCH("급여",E865),0)&gt;0,"인건비",IF(IFERROR(SEARCH("임차",E865),0)&gt;0,"임차·시설",IF(IFERROR(SEARCH("광고",E865),0)&gt;0,"광고·행사",IF(IFERROR(SEARCH("용역",E865),0)&gt;0,"용역·수수료","기타/불명"))))))</x:f>
      </x:c>
      <x:c r="J865" s="77" t="str">
        <x:f>IF(A865="","",IF(I865="기타/불명","확인 필요","결의서명으로 1차 확인"))</x:f>
      </x:c>
      <x:c r="K865" s="78"/>
    </x:row>
    <x:row r="866">
      <x:c r="A866" s="73"/>
      <x:c r="B866" s="73"/>
      <x:c r="C866" s="74"/>
      <x:c r="D866" s="73"/>
      <x:c r="E866" s="73"/>
      <x:c r="F866" s="75"/>
      <x:c r="G866" s="75"/>
      <x:c r="H866" s="76" t="str">
        <x:f>IF(A866="","",F866-G866)</x:f>
      </x:c>
      <x:c r="I866" s="77" t="str">
        <x:f>IF(A866="","",IF(E866="","기타/불명",IF(IFERROR(SEARCH("급여",E866),0)&gt;0,"인건비",IF(IFERROR(SEARCH("임차",E866),0)&gt;0,"임차·시설",IF(IFERROR(SEARCH("광고",E866),0)&gt;0,"광고·행사",IF(IFERROR(SEARCH("용역",E866),0)&gt;0,"용역·수수료","기타/불명"))))))</x:f>
      </x:c>
      <x:c r="J866" s="77" t="str">
        <x:f>IF(A866="","",IF(I866="기타/불명","확인 필요","결의서명으로 1차 확인"))</x:f>
      </x:c>
      <x:c r="K866" s="78"/>
    </x:row>
    <x:row r="867">
      <x:c r="A867" s="73"/>
      <x:c r="B867" s="73"/>
      <x:c r="C867" s="74"/>
      <x:c r="D867" s="73"/>
      <x:c r="E867" s="73"/>
      <x:c r="F867" s="75"/>
      <x:c r="G867" s="75"/>
      <x:c r="H867" s="76" t="str">
        <x:f>IF(A867="","",F867-G867)</x:f>
      </x:c>
      <x:c r="I867" s="77" t="str">
        <x:f>IF(A867="","",IF(E867="","기타/불명",IF(IFERROR(SEARCH("급여",E867),0)&gt;0,"인건비",IF(IFERROR(SEARCH("임차",E867),0)&gt;0,"임차·시설",IF(IFERROR(SEARCH("광고",E867),0)&gt;0,"광고·행사",IF(IFERROR(SEARCH("용역",E867),0)&gt;0,"용역·수수료","기타/불명"))))))</x:f>
      </x:c>
      <x:c r="J867" s="77" t="str">
        <x:f>IF(A867="","",IF(I867="기타/불명","확인 필요","결의서명으로 1차 확인"))</x:f>
      </x:c>
      <x:c r="K867" s="78"/>
    </x:row>
    <x:row r="868">
      <x:c r="A868" s="73"/>
      <x:c r="B868" s="73"/>
      <x:c r="C868" s="74"/>
      <x:c r="D868" s="73"/>
      <x:c r="E868" s="73"/>
      <x:c r="F868" s="75"/>
      <x:c r="G868" s="75"/>
      <x:c r="H868" s="76" t="str">
        <x:f>IF(A868="","",F868-G868)</x:f>
      </x:c>
      <x:c r="I868" s="77" t="str">
        <x:f>IF(A868="","",IF(E868="","기타/불명",IF(IFERROR(SEARCH("급여",E868),0)&gt;0,"인건비",IF(IFERROR(SEARCH("임차",E868),0)&gt;0,"임차·시설",IF(IFERROR(SEARCH("광고",E868),0)&gt;0,"광고·행사",IF(IFERROR(SEARCH("용역",E868),0)&gt;0,"용역·수수료","기타/불명"))))))</x:f>
      </x:c>
      <x:c r="J868" s="77" t="str">
        <x:f>IF(A868="","",IF(I868="기타/불명","확인 필요","결의서명으로 1차 확인"))</x:f>
      </x:c>
      <x:c r="K868" s="78"/>
    </x:row>
    <x:row r="869">
      <x:c r="A869" s="73"/>
      <x:c r="B869" s="73"/>
      <x:c r="C869" s="74"/>
      <x:c r="D869" s="73"/>
      <x:c r="E869" s="73"/>
      <x:c r="F869" s="75"/>
      <x:c r="G869" s="75"/>
      <x:c r="H869" s="76" t="str">
        <x:f>IF(A869="","",F869-G869)</x:f>
      </x:c>
      <x:c r="I869" s="77" t="str">
        <x:f>IF(A869="","",IF(E869="","기타/불명",IF(IFERROR(SEARCH("급여",E869),0)&gt;0,"인건비",IF(IFERROR(SEARCH("임차",E869),0)&gt;0,"임차·시설",IF(IFERROR(SEARCH("광고",E869),0)&gt;0,"광고·행사",IF(IFERROR(SEARCH("용역",E869),0)&gt;0,"용역·수수료","기타/불명"))))))</x:f>
      </x:c>
      <x:c r="J869" s="77" t="str">
        <x:f>IF(A869="","",IF(I869="기타/불명","확인 필요","결의서명으로 1차 확인"))</x:f>
      </x:c>
      <x:c r="K869" s="78"/>
    </x:row>
    <x:row r="870">
      <x:c r="A870" s="73"/>
      <x:c r="B870" s="73"/>
      <x:c r="C870" s="74"/>
      <x:c r="D870" s="73"/>
      <x:c r="E870" s="73"/>
      <x:c r="F870" s="75"/>
      <x:c r="G870" s="75"/>
      <x:c r="H870" s="76" t="str">
        <x:f>IF(A870="","",F870-G870)</x:f>
      </x:c>
      <x:c r="I870" s="77" t="str">
        <x:f>IF(A870="","",IF(E870="","기타/불명",IF(IFERROR(SEARCH("급여",E870),0)&gt;0,"인건비",IF(IFERROR(SEARCH("임차",E870),0)&gt;0,"임차·시설",IF(IFERROR(SEARCH("광고",E870),0)&gt;0,"광고·행사",IF(IFERROR(SEARCH("용역",E870),0)&gt;0,"용역·수수료","기타/불명"))))))</x:f>
      </x:c>
      <x:c r="J870" s="77" t="str">
        <x:f>IF(A870="","",IF(I870="기타/불명","확인 필요","결의서명으로 1차 확인"))</x:f>
      </x:c>
      <x:c r="K870" s="78"/>
    </x:row>
    <x:row r="871">
      <x:c r="A871" s="73"/>
      <x:c r="B871" s="73"/>
      <x:c r="C871" s="74"/>
      <x:c r="D871" s="73"/>
      <x:c r="E871" s="73"/>
      <x:c r="F871" s="75"/>
      <x:c r="G871" s="75"/>
      <x:c r="H871" s="76" t="str">
        <x:f>IF(A871="","",F871-G871)</x:f>
      </x:c>
      <x:c r="I871" s="77" t="str">
        <x:f>IF(A871="","",IF(E871="","기타/불명",IF(IFERROR(SEARCH("급여",E871),0)&gt;0,"인건비",IF(IFERROR(SEARCH("임차",E871),0)&gt;0,"임차·시설",IF(IFERROR(SEARCH("광고",E871),0)&gt;0,"광고·행사",IF(IFERROR(SEARCH("용역",E871),0)&gt;0,"용역·수수료","기타/불명"))))))</x:f>
      </x:c>
      <x:c r="J871" s="77" t="str">
        <x:f>IF(A871="","",IF(I871="기타/불명","확인 필요","결의서명으로 1차 확인"))</x:f>
      </x:c>
      <x:c r="K871" s="78"/>
    </x:row>
    <x:row r="872">
      <x:c r="A872" s="73"/>
      <x:c r="B872" s="73"/>
      <x:c r="C872" s="74"/>
      <x:c r="D872" s="73"/>
      <x:c r="E872" s="73"/>
      <x:c r="F872" s="75"/>
      <x:c r="G872" s="75"/>
      <x:c r="H872" s="76" t="str">
        <x:f>IF(A872="","",F872-G872)</x:f>
      </x:c>
      <x:c r="I872" s="77" t="str">
        <x:f>IF(A872="","",IF(E872="","기타/불명",IF(IFERROR(SEARCH("급여",E872),0)&gt;0,"인건비",IF(IFERROR(SEARCH("임차",E872),0)&gt;0,"임차·시설",IF(IFERROR(SEARCH("광고",E872),0)&gt;0,"광고·행사",IF(IFERROR(SEARCH("용역",E872),0)&gt;0,"용역·수수료","기타/불명"))))))</x:f>
      </x:c>
      <x:c r="J872" s="77" t="str">
        <x:f>IF(A872="","",IF(I872="기타/불명","확인 필요","결의서명으로 1차 확인"))</x:f>
      </x:c>
      <x:c r="K872" s="78"/>
    </x:row>
    <x:row r="873">
      <x:c r="A873" s="73"/>
      <x:c r="B873" s="73"/>
      <x:c r="C873" s="74"/>
      <x:c r="D873" s="73"/>
      <x:c r="E873" s="73"/>
      <x:c r="F873" s="75"/>
      <x:c r="G873" s="75"/>
      <x:c r="H873" s="76" t="str">
        <x:f>IF(A873="","",F873-G873)</x:f>
      </x:c>
      <x:c r="I873" s="77" t="str">
        <x:f>IF(A873="","",IF(E873="","기타/불명",IF(IFERROR(SEARCH("급여",E873),0)&gt;0,"인건비",IF(IFERROR(SEARCH("임차",E873),0)&gt;0,"임차·시설",IF(IFERROR(SEARCH("광고",E873),0)&gt;0,"광고·행사",IF(IFERROR(SEARCH("용역",E873),0)&gt;0,"용역·수수료","기타/불명"))))))</x:f>
      </x:c>
      <x:c r="J873" s="77" t="str">
        <x:f>IF(A873="","",IF(I873="기타/불명","확인 필요","결의서명으로 1차 확인"))</x:f>
      </x:c>
      <x:c r="K873" s="78"/>
    </x:row>
    <x:row r="874">
      <x:c r="A874" s="73"/>
      <x:c r="B874" s="73"/>
      <x:c r="C874" s="74"/>
      <x:c r="D874" s="73"/>
      <x:c r="E874" s="73"/>
      <x:c r="F874" s="75"/>
      <x:c r="G874" s="75"/>
      <x:c r="H874" s="76" t="str">
        <x:f>IF(A874="","",F874-G874)</x:f>
      </x:c>
      <x:c r="I874" s="77" t="str">
        <x:f>IF(A874="","",IF(E874="","기타/불명",IF(IFERROR(SEARCH("급여",E874),0)&gt;0,"인건비",IF(IFERROR(SEARCH("임차",E874),0)&gt;0,"임차·시설",IF(IFERROR(SEARCH("광고",E874),0)&gt;0,"광고·행사",IF(IFERROR(SEARCH("용역",E874),0)&gt;0,"용역·수수료","기타/불명"))))))</x:f>
      </x:c>
      <x:c r="J874" s="77" t="str">
        <x:f>IF(A874="","",IF(I874="기타/불명","확인 필요","결의서명으로 1차 확인"))</x:f>
      </x:c>
      <x:c r="K874" s="78"/>
    </x:row>
    <x:row r="875">
      <x:c r="A875" s="73"/>
      <x:c r="B875" s="73"/>
      <x:c r="C875" s="74"/>
      <x:c r="D875" s="73"/>
      <x:c r="E875" s="73"/>
      <x:c r="F875" s="75"/>
      <x:c r="G875" s="75"/>
      <x:c r="H875" s="76" t="str">
        <x:f>IF(A875="","",F875-G875)</x:f>
      </x:c>
      <x:c r="I875" s="77" t="str">
        <x:f>IF(A875="","",IF(E875="","기타/불명",IF(IFERROR(SEARCH("급여",E875),0)&gt;0,"인건비",IF(IFERROR(SEARCH("임차",E875),0)&gt;0,"임차·시설",IF(IFERROR(SEARCH("광고",E875),0)&gt;0,"광고·행사",IF(IFERROR(SEARCH("용역",E875),0)&gt;0,"용역·수수료","기타/불명"))))))</x:f>
      </x:c>
      <x:c r="J875" s="77" t="str">
        <x:f>IF(A875="","",IF(I875="기타/불명","확인 필요","결의서명으로 1차 확인"))</x:f>
      </x:c>
      <x:c r="K875" s="78"/>
    </x:row>
    <x:row r="876">
      <x:c r="A876" s="73"/>
      <x:c r="B876" s="73"/>
      <x:c r="C876" s="74"/>
      <x:c r="D876" s="73"/>
      <x:c r="E876" s="73"/>
      <x:c r="F876" s="75"/>
      <x:c r="G876" s="75"/>
      <x:c r="H876" s="76" t="str">
        <x:f>IF(A876="","",F876-G876)</x:f>
      </x:c>
      <x:c r="I876" s="77" t="str">
        <x:f>IF(A876="","",IF(E876="","기타/불명",IF(IFERROR(SEARCH("급여",E876),0)&gt;0,"인건비",IF(IFERROR(SEARCH("임차",E876),0)&gt;0,"임차·시설",IF(IFERROR(SEARCH("광고",E876),0)&gt;0,"광고·행사",IF(IFERROR(SEARCH("용역",E876),0)&gt;0,"용역·수수료","기타/불명"))))))</x:f>
      </x:c>
      <x:c r="J876" s="77" t="str">
        <x:f>IF(A876="","",IF(I876="기타/불명","확인 필요","결의서명으로 1차 확인"))</x:f>
      </x:c>
      <x:c r="K876" s="78"/>
    </x:row>
    <x:row r="877">
      <x:c r="A877" s="73"/>
      <x:c r="B877" s="73"/>
      <x:c r="C877" s="74"/>
      <x:c r="D877" s="73"/>
      <x:c r="E877" s="73"/>
      <x:c r="F877" s="75"/>
      <x:c r="G877" s="75"/>
      <x:c r="H877" s="76" t="str">
        <x:f>IF(A877="","",F877-G877)</x:f>
      </x:c>
      <x:c r="I877" s="77" t="str">
        <x:f>IF(A877="","",IF(E877="","기타/불명",IF(IFERROR(SEARCH("급여",E877),0)&gt;0,"인건비",IF(IFERROR(SEARCH("임차",E877),0)&gt;0,"임차·시설",IF(IFERROR(SEARCH("광고",E877),0)&gt;0,"광고·행사",IF(IFERROR(SEARCH("용역",E877),0)&gt;0,"용역·수수료","기타/불명"))))))</x:f>
      </x:c>
      <x:c r="J877" s="77" t="str">
        <x:f>IF(A877="","",IF(I877="기타/불명","확인 필요","결의서명으로 1차 확인"))</x:f>
      </x:c>
      <x:c r="K877" s="78"/>
    </x:row>
    <x:row r="878">
      <x:c r="A878" s="73"/>
      <x:c r="B878" s="73"/>
      <x:c r="C878" s="74"/>
      <x:c r="D878" s="73"/>
      <x:c r="E878" s="73"/>
      <x:c r="F878" s="75"/>
      <x:c r="G878" s="75"/>
      <x:c r="H878" s="76" t="str">
        <x:f>IF(A878="","",F878-G878)</x:f>
      </x:c>
      <x:c r="I878" s="77" t="str">
        <x:f>IF(A878="","",IF(E878="","기타/불명",IF(IFERROR(SEARCH("급여",E878),0)&gt;0,"인건비",IF(IFERROR(SEARCH("임차",E878),0)&gt;0,"임차·시설",IF(IFERROR(SEARCH("광고",E878),0)&gt;0,"광고·행사",IF(IFERROR(SEARCH("용역",E878),0)&gt;0,"용역·수수료","기타/불명"))))))</x:f>
      </x:c>
      <x:c r="J878" s="77" t="str">
        <x:f>IF(A878="","",IF(I878="기타/불명","확인 필요","결의서명으로 1차 확인"))</x:f>
      </x:c>
      <x:c r="K878" s="78"/>
    </x:row>
    <x:row r="879">
      <x:c r="A879" s="73"/>
      <x:c r="B879" s="73"/>
      <x:c r="C879" s="74"/>
      <x:c r="D879" s="73"/>
      <x:c r="E879" s="73"/>
      <x:c r="F879" s="75"/>
      <x:c r="G879" s="75"/>
      <x:c r="H879" s="76" t="str">
        <x:f>IF(A879="","",F879-G879)</x:f>
      </x:c>
      <x:c r="I879" s="77" t="str">
        <x:f>IF(A879="","",IF(E879="","기타/불명",IF(IFERROR(SEARCH("급여",E879),0)&gt;0,"인건비",IF(IFERROR(SEARCH("임차",E879),0)&gt;0,"임차·시설",IF(IFERROR(SEARCH("광고",E879),0)&gt;0,"광고·행사",IF(IFERROR(SEARCH("용역",E879),0)&gt;0,"용역·수수료","기타/불명"))))))</x:f>
      </x:c>
      <x:c r="J879" s="77" t="str">
        <x:f>IF(A879="","",IF(I879="기타/불명","확인 필요","결의서명으로 1차 확인"))</x:f>
      </x:c>
      <x:c r="K879" s="78"/>
    </x:row>
    <x:row r="880">
      <x:c r="A880" s="73"/>
      <x:c r="B880" s="73"/>
      <x:c r="C880" s="74"/>
      <x:c r="D880" s="73"/>
      <x:c r="E880" s="73"/>
      <x:c r="F880" s="75"/>
      <x:c r="G880" s="75"/>
      <x:c r="H880" s="76" t="str">
        <x:f>IF(A880="","",F880-G880)</x:f>
      </x:c>
      <x:c r="I880" s="77" t="str">
        <x:f>IF(A880="","",IF(E880="","기타/불명",IF(IFERROR(SEARCH("급여",E880),0)&gt;0,"인건비",IF(IFERROR(SEARCH("임차",E880),0)&gt;0,"임차·시설",IF(IFERROR(SEARCH("광고",E880),0)&gt;0,"광고·행사",IF(IFERROR(SEARCH("용역",E880),0)&gt;0,"용역·수수료","기타/불명"))))))</x:f>
      </x:c>
      <x:c r="J880" s="77" t="str">
        <x:f>IF(A880="","",IF(I880="기타/불명","확인 필요","결의서명으로 1차 확인"))</x:f>
      </x:c>
      <x:c r="K880" s="78"/>
    </x:row>
    <x:row r="881">
      <x:c r="A881" s="73"/>
      <x:c r="B881" s="73"/>
      <x:c r="C881" s="74"/>
      <x:c r="D881" s="73"/>
      <x:c r="E881" s="73"/>
      <x:c r="F881" s="75"/>
      <x:c r="G881" s="75"/>
      <x:c r="H881" s="76" t="str">
        <x:f>IF(A881="","",F881-G881)</x:f>
      </x:c>
      <x:c r="I881" s="77" t="str">
        <x:f>IF(A881="","",IF(E881="","기타/불명",IF(IFERROR(SEARCH("급여",E881),0)&gt;0,"인건비",IF(IFERROR(SEARCH("임차",E881),0)&gt;0,"임차·시설",IF(IFERROR(SEARCH("광고",E881),0)&gt;0,"광고·행사",IF(IFERROR(SEARCH("용역",E881),0)&gt;0,"용역·수수료","기타/불명"))))))</x:f>
      </x:c>
      <x:c r="J881" s="77" t="str">
        <x:f>IF(A881="","",IF(I881="기타/불명","확인 필요","결의서명으로 1차 확인"))</x:f>
      </x:c>
      <x:c r="K881" s="78"/>
    </x:row>
    <x:row r="882">
      <x:c r="A882" s="73"/>
      <x:c r="B882" s="73"/>
      <x:c r="C882" s="74"/>
      <x:c r="D882" s="73"/>
      <x:c r="E882" s="73"/>
      <x:c r="F882" s="75"/>
      <x:c r="G882" s="75"/>
      <x:c r="H882" s="76" t="str">
        <x:f>IF(A882="","",F882-G882)</x:f>
      </x:c>
      <x:c r="I882" s="77" t="str">
        <x:f>IF(A882="","",IF(E882="","기타/불명",IF(IFERROR(SEARCH("급여",E882),0)&gt;0,"인건비",IF(IFERROR(SEARCH("임차",E882),0)&gt;0,"임차·시설",IF(IFERROR(SEARCH("광고",E882),0)&gt;0,"광고·행사",IF(IFERROR(SEARCH("용역",E882),0)&gt;0,"용역·수수료","기타/불명"))))))</x:f>
      </x:c>
      <x:c r="J882" s="77" t="str">
        <x:f>IF(A882="","",IF(I882="기타/불명","확인 필요","결의서명으로 1차 확인"))</x:f>
      </x:c>
      <x:c r="K882" s="78"/>
    </x:row>
    <x:row r="883">
      <x:c r="A883" s="73"/>
      <x:c r="B883" s="73"/>
      <x:c r="C883" s="74"/>
      <x:c r="D883" s="73"/>
      <x:c r="E883" s="73"/>
      <x:c r="F883" s="75"/>
      <x:c r="G883" s="75"/>
      <x:c r="H883" s="76" t="str">
        <x:f>IF(A883="","",F883-G883)</x:f>
      </x:c>
      <x:c r="I883" s="77" t="str">
        <x:f>IF(A883="","",IF(E883="","기타/불명",IF(IFERROR(SEARCH("급여",E883),0)&gt;0,"인건비",IF(IFERROR(SEARCH("임차",E883),0)&gt;0,"임차·시설",IF(IFERROR(SEARCH("광고",E883),0)&gt;0,"광고·행사",IF(IFERROR(SEARCH("용역",E883),0)&gt;0,"용역·수수료","기타/불명"))))))</x:f>
      </x:c>
      <x:c r="J883" s="77" t="str">
        <x:f>IF(A883="","",IF(I883="기타/불명","확인 필요","결의서명으로 1차 확인"))</x:f>
      </x:c>
      <x:c r="K883" s="78"/>
    </x:row>
    <x:row r="884">
      <x:c r="A884" s="73"/>
      <x:c r="B884" s="73"/>
      <x:c r="C884" s="74"/>
      <x:c r="D884" s="73"/>
      <x:c r="E884" s="73"/>
      <x:c r="F884" s="75"/>
      <x:c r="G884" s="75"/>
      <x:c r="H884" s="76" t="str">
        <x:f>IF(A884="","",F884-G884)</x:f>
      </x:c>
      <x:c r="I884" s="77" t="str">
        <x:f>IF(A884="","",IF(E884="","기타/불명",IF(IFERROR(SEARCH("급여",E884),0)&gt;0,"인건비",IF(IFERROR(SEARCH("임차",E884),0)&gt;0,"임차·시설",IF(IFERROR(SEARCH("광고",E884),0)&gt;0,"광고·행사",IF(IFERROR(SEARCH("용역",E884),0)&gt;0,"용역·수수료","기타/불명"))))))</x:f>
      </x:c>
      <x:c r="J884" s="77" t="str">
        <x:f>IF(A884="","",IF(I884="기타/불명","확인 필요","결의서명으로 1차 확인"))</x:f>
      </x:c>
      <x:c r="K884" s="78"/>
    </x:row>
    <x:row r="885">
      <x:c r="A885" s="73"/>
      <x:c r="B885" s="73"/>
      <x:c r="C885" s="74"/>
      <x:c r="D885" s="73"/>
      <x:c r="E885" s="73"/>
      <x:c r="F885" s="75"/>
      <x:c r="G885" s="75"/>
      <x:c r="H885" s="76" t="str">
        <x:f>IF(A885="","",F885-G885)</x:f>
      </x:c>
      <x:c r="I885" s="77" t="str">
        <x:f>IF(A885="","",IF(E885="","기타/불명",IF(IFERROR(SEARCH("급여",E885),0)&gt;0,"인건비",IF(IFERROR(SEARCH("임차",E885),0)&gt;0,"임차·시설",IF(IFERROR(SEARCH("광고",E885),0)&gt;0,"광고·행사",IF(IFERROR(SEARCH("용역",E885),0)&gt;0,"용역·수수료","기타/불명"))))))</x:f>
      </x:c>
      <x:c r="J885" s="77" t="str">
        <x:f>IF(A885="","",IF(I885="기타/불명","확인 필요","결의서명으로 1차 확인"))</x:f>
      </x:c>
      <x:c r="K885" s="78"/>
    </x:row>
    <x:row r="886">
      <x:c r="A886" s="73"/>
      <x:c r="B886" s="73"/>
      <x:c r="C886" s="74"/>
      <x:c r="D886" s="73"/>
      <x:c r="E886" s="73"/>
      <x:c r="F886" s="75"/>
      <x:c r="G886" s="75"/>
      <x:c r="H886" s="76" t="str">
        <x:f>IF(A886="","",F886-G886)</x:f>
      </x:c>
      <x:c r="I886" s="77" t="str">
        <x:f>IF(A886="","",IF(E886="","기타/불명",IF(IFERROR(SEARCH("급여",E886),0)&gt;0,"인건비",IF(IFERROR(SEARCH("임차",E886),0)&gt;0,"임차·시설",IF(IFERROR(SEARCH("광고",E886),0)&gt;0,"광고·행사",IF(IFERROR(SEARCH("용역",E886),0)&gt;0,"용역·수수료","기타/불명"))))))</x:f>
      </x:c>
      <x:c r="J886" s="77" t="str">
        <x:f>IF(A886="","",IF(I886="기타/불명","확인 필요","결의서명으로 1차 확인"))</x:f>
      </x:c>
      <x:c r="K886" s="78"/>
    </x:row>
    <x:row r="887">
      <x:c r="A887" s="73"/>
      <x:c r="B887" s="73"/>
      <x:c r="C887" s="74"/>
      <x:c r="D887" s="73"/>
      <x:c r="E887" s="73"/>
      <x:c r="F887" s="75"/>
      <x:c r="G887" s="75"/>
      <x:c r="H887" s="76" t="str">
        <x:f>IF(A887="","",F887-G887)</x:f>
      </x:c>
      <x:c r="I887" s="77" t="str">
        <x:f>IF(A887="","",IF(E887="","기타/불명",IF(IFERROR(SEARCH("급여",E887),0)&gt;0,"인건비",IF(IFERROR(SEARCH("임차",E887),0)&gt;0,"임차·시설",IF(IFERROR(SEARCH("광고",E887),0)&gt;0,"광고·행사",IF(IFERROR(SEARCH("용역",E887),0)&gt;0,"용역·수수료","기타/불명"))))))</x:f>
      </x:c>
      <x:c r="J887" s="77" t="str">
        <x:f>IF(A887="","",IF(I887="기타/불명","확인 필요","결의서명으로 1차 확인"))</x:f>
      </x:c>
      <x:c r="K887" s="78"/>
    </x:row>
    <x:row r="888">
      <x:c r="A888" s="73"/>
      <x:c r="B888" s="73"/>
      <x:c r="C888" s="74"/>
      <x:c r="D888" s="73"/>
      <x:c r="E888" s="73"/>
      <x:c r="F888" s="75"/>
      <x:c r="G888" s="75"/>
      <x:c r="H888" s="76" t="str">
        <x:f>IF(A888="","",F888-G888)</x:f>
      </x:c>
      <x:c r="I888" s="77" t="str">
        <x:f>IF(A888="","",IF(E888="","기타/불명",IF(IFERROR(SEARCH("급여",E888),0)&gt;0,"인건비",IF(IFERROR(SEARCH("임차",E888),0)&gt;0,"임차·시설",IF(IFERROR(SEARCH("광고",E888),0)&gt;0,"광고·행사",IF(IFERROR(SEARCH("용역",E888),0)&gt;0,"용역·수수료","기타/불명"))))))</x:f>
      </x:c>
      <x:c r="J888" s="77" t="str">
        <x:f>IF(A888="","",IF(I888="기타/불명","확인 필요","결의서명으로 1차 확인"))</x:f>
      </x:c>
      <x:c r="K888" s="78"/>
    </x:row>
    <x:row r="889">
      <x:c r="A889" s="73"/>
      <x:c r="B889" s="73"/>
      <x:c r="C889" s="74"/>
      <x:c r="D889" s="73"/>
      <x:c r="E889" s="73"/>
      <x:c r="F889" s="75"/>
      <x:c r="G889" s="75"/>
      <x:c r="H889" s="76" t="str">
        <x:f>IF(A889="","",F889-G889)</x:f>
      </x:c>
      <x:c r="I889" s="77" t="str">
        <x:f>IF(A889="","",IF(E889="","기타/불명",IF(IFERROR(SEARCH("급여",E889),0)&gt;0,"인건비",IF(IFERROR(SEARCH("임차",E889),0)&gt;0,"임차·시설",IF(IFERROR(SEARCH("광고",E889),0)&gt;0,"광고·행사",IF(IFERROR(SEARCH("용역",E889),0)&gt;0,"용역·수수료","기타/불명"))))))</x:f>
      </x:c>
      <x:c r="J889" s="77" t="str">
        <x:f>IF(A889="","",IF(I889="기타/불명","확인 필요","결의서명으로 1차 확인"))</x:f>
      </x:c>
      <x:c r="K889" s="78"/>
    </x:row>
    <x:row r="890">
      <x:c r="A890" s="73"/>
      <x:c r="B890" s="73"/>
      <x:c r="C890" s="74"/>
      <x:c r="D890" s="73"/>
      <x:c r="E890" s="73"/>
      <x:c r="F890" s="75"/>
      <x:c r="G890" s="75"/>
      <x:c r="H890" s="76" t="str">
        <x:f>IF(A890="","",F890-G890)</x:f>
      </x:c>
      <x:c r="I890" s="77" t="str">
        <x:f>IF(A890="","",IF(E890="","기타/불명",IF(IFERROR(SEARCH("급여",E890),0)&gt;0,"인건비",IF(IFERROR(SEARCH("임차",E890),0)&gt;0,"임차·시설",IF(IFERROR(SEARCH("광고",E890),0)&gt;0,"광고·행사",IF(IFERROR(SEARCH("용역",E890),0)&gt;0,"용역·수수료","기타/불명"))))))</x:f>
      </x:c>
      <x:c r="J890" s="77" t="str">
        <x:f>IF(A890="","",IF(I890="기타/불명","확인 필요","결의서명으로 1차 확인"))</x:f>
      </x:c>
      <x:c r="K890" s="78"/>
    </x:row>
    <x:row r="891">
      <x:c r="A891" s="73"/>
      <x:c r="B891" s="73"/>
      <x:c r="C891" s="74"/>
      <x:c r="D891" s="73"/>
      <x:c r="E891" s="73"/>
      <x:c r="F891" s="75"/>
      <x:c r="G891" s="75"/>
      <x:c r="H891" s="76" t="str">
        <x:f>IF(A891="","",F891-G891)</x:f>
      </x:c>
      <x:c r="I891" s="77" t="str">
        <x:f>IF(A891="","",IF(E891="","기타/불명",IF(IFERROR(SEARCH("급여",E891),0)&gt;0,"인건비",IF(IFERROR(SEARCH("임차",E891),0)&gt;0,"임차·시설",IF(IFERROR(SEARCH("광고",E891),0)&gt;0,"광고·행사",IF(IFERROR(SEARCH("용역",E891),0)&gt;0,"용역·수수료","기타/불명"))))))</x:f>
      </x:c>
      <x:c r="J891" s="77" t="str">
        <x:f>IF(A891="","",IF(I891="기타/불명","확인 필요","결의서명으로 1차 확인"))</x:f>
      </x:c>
      <x:c r="K891" s="78"/>
    </x:row>
    <x:row r="892">
      <x:c r="A892" s="73"/>
      <x:c r="B892" s="73"/>
      <x:c r="C892" s="74"/>
      <x:c r="D892" s="73"/>
      <x:c r="E892" s="73"/>
      <x:c r="F892" s="75"/>
      <x:c r="G892" s="75"/>
      <x:c r="H892" s="76" t="str">
        <x:f>IF(A892="","",F892-G892)</x:f>
      </x:c>
      <x:c r="I892" s="77" t="str">
        <x:f>IF(A892="","",IF(E892="","기타/불명",IF(IFERROR(SEARCH("급여",E892),0)&gt;0,"인건비",IF(IFERROR(SEARCH("임차",E892),0)&gt;0,"임차·시설",IF(IFERROR(SEARCH("광고",E892),0)&gt;0,"광고·행사",IF(IFERROR(SEARCH("용역",E892),0)&gt;0,"용역·수수료","기타/불명"))))))</x:f>
      </x:c>
      <x:c r="J892" s="77" t="str">
        <x:f>IF(A892="","",IF(I892="기타/불명","확인 필요","결의서명으로 1차 확인"))</x:f>
      </x:c>
      <x:c r="K892" s="78"/>
    </x:row>
    <x:row r="893">
      <x:c r="A893" s="73"/>
      <x:c r="B893" s="73"/>
      <x:c r="C893" s="74"/>
      <x:c r="D893" s="73"/>
      <x:c r="E893" s="73"/>
      <x:c r="F893" s="75"/>
      <x:c r="G893" s="75"/>
      <x:c r="H893" s="76" t="str">
        <x:f>IF(A893="","",F893-G893)</x:f>
      </x:c>
      <x:c r="I893" s="77" t="str">
        <x:f>IF(A893="","",IF(E893="","기타/불명",IF(IFERROR(SEARCH("급여",E893),0)&gt;0,"인건비",IF(IFERROR(SEARCH("임차",E893),0)&gt;0,"임차·시설",IF(IFERROR(SEARCH("광고",E893),0)&gt;0,"광고·행사",IF(IFERROR(SEARCH("용역",E893),0)&gt;0,"용역·수수료","기타/불명"))))))</x:f>
      </x:c>
      <x:c r="J893" s="77" t="str">
        <x:f>IF(A893="","",IF(I893="기타/불명","확인 필요","결의서명으로 1차 확인"))</x:f>
      </x:c>
      <x:c r="K893" s="78"/>
    </x:row>
    <x:row r="894">
      <x:c r="A894" s="73"/>
      <x:c r="B894" s="73"/>
      <x:c r="C894" s="74"/>
      <x:c r="D894" s="73"/>
      <x:c r="E894" s="73"/>
      <x:c r="F894" s="75"/>
      <x:c r="G894" s="75"/>
      <x:c r="H894" s="76" t="str">
        <x:f>IF(A894="","",F894-G894)</x:f>
      </x:c>
      <x:c r="I894" s="77" t="str">
        <x:f>IF(A894="","",IF(E894="","기타/불명",IF(IFERROR(SEARCH("급여",E894),0)&gt;0,"인건비",IF(IFERROR(SEARCH("임차",E894),0)&gt;0,"임차·시설",IF(IFERROR(SEARCH("광고",E894),0)&gt;0,"광고·행사",IF(IFERROR(SEARCH("용역",E894),0)&gt;0,"용역·수수료","기타/불명"))))))</x:f>
      </x:c>
      <x:c r="J894" s="77" t="str">
        <x:f>IF(A894="","",IF(I894="기타/불명","확인 필요","결의서명으로 1차 확인"))</x:f>
      </x:c>
      <x:c r="K894" s="78"/>
    </x:row>
    <x:row r="895">
      <x:c r="A895" s="73"/>
      <x:c r="B895" s="73"/>
      <x:c r="C895" s="74"/>
      <x:c r="D895" s="73"/>
      <x:c r="E895" s="73"/>
      <x:c r="F895" s="75"/>
      <x:c r="G895" s="75"/>
      <x:c r="H895" s="76" t="str">
        <x:f>IF(A895="","",F895-G895)</x:f>
      </x:c>
      <x:c r="I895" s="77" t="str">
        <x:f>IF(A895="","",IF(E895="","기타/불명",IF(IFERROR(SEARCH("급여",E895),0)&gt;0,"인건비",IF(IFERROR(SEARCH("임차",E895),0)&gt;0,"임차·시설",IF(IFERROR(SEARCH("광고",E895),0)&gt;0,"광고·행사",IF(IFERROR(SEARCH("용역",E895),0)&gt;0,"용역·수수료","기타/불명"))))))</x:f>
      </x:c>
      <x:c r="J895" s="77" t="str">
        <x:f>IF(A895="","",IF(I895="기타/불명","확인 필요","결의서명으로 1차 확인"))</x:f>
      </x:c>
      <x:c r="K895" s="78"/>
    </x:row>
    <x:row r="896">
      <x:c r="A896" s="73"/>
      <x:c r="B896" s="73"/>
      <x:c r="C896" s="74"/>
      <x:c r="D896" s="73"/>
      <x:c r="E896" s="73"/>
      <x:c r="F896" s="75"/>
      <x:c r="G896" s="75"/>
      <x:c r="H896" s="76" t="str">
        <x:f>IF(A896="","",F896-G896)</x:f>
      </x:c>
      <x:c r="I896" s="77" t="str">
        <x:f>IF(A896="","",IF(E896="","기타/불명",IF(IFERROR(SEARCH("급여",E896),0)&gt;0,"인건비",IF(IFERROR(SEARCH("임차",E896),0)&gt;0,"임차·시설",IF(IFERROR(SEARCH("광고",E896),0)&gt;0,"광고·행사",IF(IFERROR(SEARCH("용역",E896),0)&gt;0,"용역·수수료","기타/불명"))))))</x:f>
      </x:c>
      <x:c r="J896" s="77" t="str">
        <x:f>IF(A896="","",IF(I896="기타/불명","확인 필요","결의서명으로 1차 확인"))</x:f>
      </x:c>
      <x:c r="K896" s="78"/>
    </x:row>
    <x:row r="897">
      <x:c r="A897" s="73"/>
      <x:c r="B897" s="73"/>
      <x:c r="C897" s="74"/>
      <x:c r="D897" s="73"/>
      <x:c r="E897" s="73"/>
      <x:c r="F897" s="75"/>
      <x:c r="G897" s="75"/>
      <x:c r="H897" s="76" t="str">
        <x:f>IF(A897="","",F897-G897)</x:f>
      </x:c>
      <x:c r="I897" s="77" t="str">
        <x:f>IF(A897="","",IF(E897="","기타/불명",IF(IFERROR(SEARCH("급여",E897),0)&gt;0,"인건비",IF(IFERROR(SEARCH("임차",E897),0)&gt;0,"임차·시설",IF(IFERROR(SEARCH("광고",E897),0)&gt;0,"광고·행사",IF(IFERROR(SEARCH("용역",E897),0)&gt;0,"용역·수수료","기타/불명"))))))</x:f>
      </x:c>
      <x:c r="J897" s="77" t="str">
        <x:f>IF(A897="","",IF(I897="기타/불명","확인 필요","결의서명으로 1차 확인"))</x:f>
      </x:c>
      <x:c r="K897" s="78"/>
    </x:row>
    <x:row r="898">
      <x:c r="A898" s="73"/>
      <x:c r="B898" s="73"/>
      <x:c r="C898" s="74"/>
      <x:c r="D898" s="73"/>
      <x:c r="E898" s="73"/>
      <x:c r="F898" s="75"/>
      <x:c r="G898" s="75"/>
      <x:c r="H898" s="76" t="str">
        <x:f>IF(A898="","",F898-G898)</x:f>
      </x:c>
      <x:c r="I898" s="77" t="str">
        <x:f>IF(A898="","",IF(E898="","기타/불명",IF(IFERROR(SEARCH("급여",E898),0)&gt;0,"인건비",IF(IFERROR(SEARCH("임차",E898),0)&gt;0,"임차·시설",IF(IFERROR(SEARCH("광고",E898),0)&gt;0,"광고·행사",IF(IFERROR(SEARCH("용역",E898),0)&gt;0,"용역·수수료","기타/불명"))))))</x:f>
      </x:c>
      <x:c r="J898" s="77" t="str">
        <x:f>IF(A898="","",IF(I898="기타/불명","확인 필요","결의서명으로 1차 확인"))</x:f>
      </x:c>
      <x:c r="K898" s="78"/>
    </x:row>
    <x:row r="899">
      <x:c r="A899" s="73"/>
      <x:c r="B899" s="73"/>
      <x:c r="C899" s="74"/>
      <x:c r="D899" s="73"/>
      <x:c r="E899" s="73"/>
      <x:c r="F899" s="75"/>
      <x:c r="G899" s="75"/>
      <x:c r="H899" s="76" t="str">
        <x:f>IF(A899="","",F899-G899)</x:f>
      </x:c>
      <x:c r="I899" s="77" t="str">
        <x:f>IF(A899="","",IF(E899="","기타/불명",IF(IFERROR(SEARCH("급여",E899),0)&gt;0,"인건비",IF(IFERROR(SEARCH("임차",E899),0)&gt;0,"임차·시설",IF(IFERROR(SEARCH("광고",E899),0)&gt;0,"광고·행사",IF(IFERROR(SEARCH("용역",E899),0)&gt;0,"용역·수수료","기타/불명"))))))</x:f>
      </x:c>
      <x:c r="J899" s="77" t="str">
        <x:f>IF(A899="","",IF(I899="기타/불명","확인 필요","결의서명으로 1차 확인"))</x:f>
      </x:c>
      <x:c r="K899" s="78"/>
    </x:row>
    <x:row r="900">
      <x:c r="A900" s="73"/>
      <x:c r="B900" s="73"/>
      <x:c r="C900" s="74"/>
      <x:c r="D900" s="73"/>
      <x:c r="E900" s="73"/>
      <x:c r="F900" s="75"/>
      <x:c r="G900" s="75"/>
      <x:c r="H900" s="76" t="str">
        <x:f>IF(A900="","",F900-G900)</x:f>
      </x:c>
      <x:c r="I900" s="77" t="str">
        <x:f>IF(A900="","",IF(E900="","기타/불명",IF(IFERROR(SEARCH("급여",E900),0)&gt;0,"인건비",IF(IFERROR(SEARCH("임차",E900),0)&gt;0,"임차·시설",IF(IFERROR(SEARCH("광고",E900),0)&gt;0,"광고·행사",IF(IFERROR(SEARCH("용역",E900),0)&gt;0,"용역·수수료","기타/불명"))))))</x:f>
      </x:c>
      <x:c r="J900" s="77" t="str">
        <x:f>IF(A900="","",IF(I900="기타/불명","확인 필요","결의서명으로 1차 확인"))</x:f>
      </x:c>
      <x:c r="K900" s="78"/>
    </x:row>
    <x:row r="901">
      <x:c r="A901" s="73"/>
      <x:c r="B901" s="73"/>
      <x:c r="C901" s="74"/>
      <x:c r="D901" s="73"/>
      <x:c r="E901" s="73"/>
      <x:c r="F901" s="75"/>
      <x:c r="G901" s="75"/>
      <x:c r="H901" s="76" t="str">
        <x:f>IF(A901="","",F901-G901)</x:f>
      </x:c>
      <x:c r="I901" s="77" t="str">
        <x:f>IF(A901="","",IF(E901="","기타/불명",IF(IFERROR(SEARCH("급여",E901),0)&gt;0,"인건비",IF(IFERROR(SEARCH("임차",E901),0)&gt;0,"임차·시설",IF(IFERROR(SEARCH("광고",E901),0)&gt;0,"광고·행사",IF(IFERROR(SEARCH("용역",E901),0)&gt;0,"용역·수수료","기타/불명"))))))</x:f>
      </x:c>
      <x:c r="J901" s="77" t="str">
        <x:f>IF(A901="","",IF(I901="기타/불명","확인 필요","결의서명으로 1차 확인"))</x:f>
      </x:c>
      <x:c r="K901" s="78"/>
    </x:row>
    <x:row r="902">
      <x:c r="A902" s="73"/>
      <x:c r="B902" s="73"/>
      <x:c r="C902" s="74"/>
      <x:c r="D902" s="73"/>
      <x:c r="E902" s="73"/>
      <x:c r="F902" s="75"/>
      <x:c r="G902" s="75"/>
      <x:c r="H902" s="76" t="str">
        <x:f>IF(A902="","",F902-G902)</x:f>
      </x:c>
      <x:c r="I902" s="77" t="str">
        <x:f>IF(A902="","",IF(E902="","기타/불명",IF(IFERROR(SEARCH("급여",E902),0)&gt;0,"인건비",IF(IFERROR(SEARCH("임차",E902),0)&gt;0,"임차·시설",IF(IFERROR(SEARCH("광고",E902),0)&gt;0,"광고·행사",IF(IFERROR(SEARCH("용역",E902),0)&gt;0,"용역·수수료","기타/불명"))))))</x:f>
      </x:c>
      <x:c r="J902" s="77" t="str">
        <x:f>IF(A902="","",IF(I902="기타/불명","확인 필요","결의서명으로 1차 확인"))</x:f>
      </x:c>
      <x:c r="K902" s="78"/>
    </x:row>
    <x:row r="903">
      <x:c r="A903" s="73"/>
      <x:c r="B903" s="73"/>
      <x:c r="C903" s="74"/>
      <x:c r="D903" s="73"/>
      <x:c r="E903" s="73"/>
      <x:c r="F903" s="75"/>
      <x:c r="G903" s="75"/>
      <x:c r="H903" s="76" t="str">
        <x:f>IF(A903="","",F903-G903)</x:f>
      </x:c>
      <x:c r="I903" s="77" t="str">
        <x:f>IF(A903="","",IF(E903="","기타/불명",IF(IFERROR(SEARCH("급여",E903),0)&gt;0,"인건비",IF(IFERROR(SEARCH("임차",E903),0)&gt;0,"임차·시설",IF(IFERROR(SEARCH("광고",E903),0)&gt;0,"광고·행사",IF(IFERROR(SEARCH("용역",E903),0)&gt;0,"용역·수수료","기타/불명"))))))</x:f>
      </x:c>
      <x:c r="J903" s="77" t="str">
        <x:f>IF(A903="","",IF(I903="기타/불명","확인 필요","결의서명으로 1차 확인"))</x:f>
      </x:c>
      <x:c r="K903" s="78"/>
    </x:row>
    <x:row r="904">
      <x:c r="A904" s="73"/>
      <x:c r="B904" s="73"/>
      <x:c r="C904" s="74"/>
      <x:c r="D904" s="73"/>
      <x:c r="E904" s="73"/>
      <x:c r="F904" s="75"/>
      <x:c r="G904" s="75"/>
      <x:c r="H904" s="76" t="str">
        <x:f>IF(A904="","",F904-G904)</x:f>
      </x:c>
      <x:c r="I904" s="77" t="str">
        <x:f>IF(A904="","",IF(E904="","기타/불명",IF(IFERROR(SEARCH("급여",E904),0)&gt;0,"인건비",IF(IFERROR(SEARCH("임차",E904),0)&gt;0,"임차·시설",IF(IFERROR(SEARCH("광고",E904),0)&gt;0,"광고·행사",IF(IFERROR(SEARCH("용역",E904),0)&gt;0,"용역·수수료","기타/불명"))))))</x:f>
      </x:c>
      <x:c r="J904" s="77" t="str">
        <x:f>IF(A904="","",IF(I904="기타/불명","확인 필요","결의서명으로 1차 확인"))</x:f>
      </x:c>
      <x:c r="K904" s="78"/>
    </x:row>
    <x:row r="905">
      <x:c r="A905" s="73"/>
      <x:c r="B905" s="73"/>
      <x:c r="C905" s="74"/>
      <x:c r="D905" s="73"/>
      <x:c r="E905" s="73"/>
      <x:c r="F905" s="75"/>
      <x:c r="G905" s="75"/>
      <x:c r="H905" s="76" t="str">
        <x:f>IF(A905="","",F905-G905)</x:f>
      </x:c>
      <x:c r="I905" s="77" t="str">
        <x:f>IF(A905="","",IF(E905="","기타/불명",IF(IFERROR(SEARCH("급여",E905),0)&gt;0,"인건비",IF(IFERROR(SEARCH("임차",E905),0)&gt;0,"임차·시설",IF(IFERROR(SEARCH("광고",E905),0)&gt;0,"광고·행사",IF(IFERROR(SEARCH("용역",E905),0)&gt;0,"용역·수수료","기타/불명"))))))</x:f>
      </x:c>
      <x:c r="J905" s="77" t="str">
        <x:f>IF(A905="","",IF(I905="기타/불명","확인 필요","결의서명으로 1차 확인"))</x:f>
      </x:c>
      <x:c r="K905" s="78"/>
    </x:row>
    <x:row r="906">
      <x:c r="A906" s="73"/>
      <x:c r="B906" s="73"/>
      <x:c r="C906" s="74"/>
      <x:c r="D906" s="73"/>
      <x:c r="E906" s="73"/>
      <x:c r="F906" s="75"/>
      <x:c r="G906" s="75"/>
      <x:c r="H906" s="76" t="str">
        <x:f>IF(A906="","",F906-G906)</x:f>
      </x:c>
      <x:c r="I906" s="77" t="str">
        <x:f>IF(A906="","",IF(E906="","기타/불명",IF(IFERROR(SEARCH("급여",E906),0)&gt;0,"인건비",IF(IFERROR(SEARCH("임차",E906),0)&gt;0,"임차·시설",IF(IFERROR(SEARCH("광고",E906),0)&gt;0,"광고·행사",IF(IFERROR(SEARCH("용역",E906),0)&gt;0,"용역·수수료","기타/불명"))))))</x:f>
      </x:c>
      <x:c r="J906" s="77" t="str">
        <x:f>IF(A906="","",IF(I906="기타/불명","확인 필요","결의서명으로 1차 확인"))</x:f>
      </x:c>
      <x:c r="K906" s="78"/>
    </x:row>
    <x:row r="907">
      <x:c r="A907" s="73"/>
      <x:c r="B907" s="73"/>
      <x:c r="C907" s="74"/>
      <x:c r="D907" s="73"/>
      <x:c r="E907" s="73"/>
      <x:c r="F907" s="75"/>
      <x:c r="G907" s="75"/>
      <x:c r="H907" s="76" t="str">
        <x:f>IF(A907="","",F907-G907)</x:f>
      </x:c>
      <x:c r="I907" s="77" t="str">
        <x:f>IF(A907="","",IF(E907="","기타/불명",IF(IFERROR(SEARCH("급여",E907),0)&gt;0,"인건비",IF(IFERROR(SEARCH("임차",E907),0)&gt;0,"임차·시설",IF(IFERROR(SEARCH("광고",E907),0)&gt;0,"광고·행사",IF(IFERROR(SEARCH("용역",E907),0)&gt;0,"용역·수수료","기타/불명"))))))</x:f>
      </x:c>
      <x:c r="J907" s="77" t="str">
        <x:f>IF(A907="","",IF(I907="기타/불명","확인 필요","결의서명으로 1차 확인"))</x:f>
      </x:c>
      <x:c r="K907" s="78"/>
    </x:row>
    <x:row r="908">
      <x:c r="A908" s="73"/>
      <x:c r="B908" s="73"/>
      <x:c r="C908" s="74"/>
      <x:c r="D908" s="73"/>
      <x:c r="E908" s="73"/>
      <x:c r="F908" s="75"/>
      <x:c r="G908" s="75"/>
      <x:c r="H908" s="76" t="str">
        <x:f>IF(A908="","",F908-G908)</x:f>
      </x:c>
      <x:c r="I908" s="77" t="str">
        <x:f>IF(A908="","",IF(E908="","기타/불명",IF(IFERROR(SEARCH("급여",E908),0)&gt;0,"인건비",IF(IFERROR(SEARCH("임차",E908),0)&gt;0,"임차·시설",IF(IFERROR(SEARCH("광고",E908),0)&gt;0,"광고·행사",IF(IFERROR(SEARCH("용역",E908),0)&gt;0,"용역·수수료","기타/불명"))))))</x:f>
      </x:c>
      <x:c r="J908" s="77" t="str">
        <x:f>IF(A908="","",IF(I908="기타/불명","확인 필요","결의서명으로 1차 확인"))</x:f>
      </x:c>
      <x:c r="K908" s="78"/>
    </x:row>
    <x:row r="909">
      <x:c r="A909" s="73"/>
      <x:c r="B909" s="73"/>
      <x:c r="C909" s="74"/>
      <x:c r="D909" s="73"/>
      <x:c r="E909" s="73"/>
      <x:c r="F909" s="75"/>
      <x:c r="G909" s="75"/>
      <x:c r="H909" s="76" t="str">
        <x:f>IF(A909="","",F909-G909)</x:f>
      </x:c>
      <x:c r="I909" s="77" t="str">
        <x:f>IF(A909="","",IF(E909="","기타/불명",IF(IFERROR(SEARCH("급여",E909),0)&gt;0,"인건비",IF(IFERROR(SEARCH("임차",E909),0)&gt;0,"임차·시설",IF(IFERROR(SEARCH("광고",E909),0)&gt;0,"광고·행사",IF(IFERROR(SEARCH("용역",E909),0)&gt;0,"용역·수수료","기타/불명"))))))</x:f>
      </x:c>
      <x:c r="J909" s="77" t="str">
        <x:f>IF(A909="","",IF(I909="기타/불명","확인 필요","결의서명으로 1차 확인"))</x:f>
      </x:c>
      <x:c r="K909" s="78"/>
    </x:row>
    <x:row r="910">
      <x:c r="A910" s="73"/>
      <x:c r="B910" s="73"/>
      <x:c r="C910" s="74"/>
      <x:c r="D910" s="73"/>
      <x:c r="E910" s="73"/>
      <x:c r="F910" s="75"/>
      <x:c r="G910" s="75"/>
      <x:c r="H910" s="76" t="str">
        <x:f>IF(A910="","",F910-G910)</x:f>
      </x:c>
      <x:c r="I910" s="77" t="str">
        <x:f>IF(A910="","",IF(E910="","기타/불명",IF(IFERROR(SEARCH("급여",E910),0)&gt;0,"인건비",IF(IFERROR(SEARCH("임차",E910),0)&gt;0,"임차·시설",IF(IFERROR(SEARCH("광고",E910),0)&gt;0,"광고·행사",IF(IFERROR(SEARCH("용역",E910),0)&gt;0,"용역·수수료","기타/불명"))))))</x:f>
      </x:c>
      <x:c r="J910" s="77" t="str">
        <x:f>IF(A910="","",IF(I910="기타/불명","확인 필요","결의서명으로 1차 확인"))</x:f>
      </x:c>
      <x:c r="K910" s="78"/>
    </x:row>
    <x:row r="911">
      <x:c r="A911" s="73"/>
      <x:c r="B911" s="73"/>
      <x:c r="C911" s="74"/>
      <x:c r="D911" s="73"/>
      <x:c r="E911" s="73"/>
      <x:c r="F911" s="75"/>
      <x:c r="G911" s="75"/>
      <x:c r="H911" s="76" t="str">
        <x:f>IF(A911="","",F911-G911)</x:f>
      </x:c>
      <x:c r="I911" s="77" t="str">
        <x:f>IF(A911="","",IF(E911="","기타/불명",IF(IFERROR(SEARCH("급여",E911),0)&gt;0,"인건비",IF(IFERROR(SEARCH("임차",E911),0)&gt;0,"임차·시설",IF(IFERROR(SEARCH("광고",E911),0)&gt;0,"광고·행사",IF(IFERROR(SEARCH("용역",E911),0)&gt;0,"용역·수수료","기타/불명"))))))</x:f>
      </x:c>
      <x:c r="J911" s="77" t="str">
        <x:f>IF(A911="","",IF(I911="기타/불명","확인 필요","결의서명으로 1차 확인"))</x:f>
      </x:c>
      <x:c r="K911" s="78"/>
    </x:row>
    <x:row r="912">
      <x:c r="A912" s="73"/>
      <x:c r="B912" s="73"/>
      <x:c r="C912" s="74"/>
      <x:c r="D912" s="73"/>
      <x:c r="E912" s="73"/>
      <x:c r="F912" s="75"/>
      <x:c r="G912" s="75"/>
      <x:c r="H912" s="76" t="str">
        <x:f>IF(A912="","",F912-G912)</x:f>
      </x:c>
      <x:c r="I912" s="77" t="str">
        <x:f>IF(A912="","",IF(E912="","기타/불명",IF(IFERROR(SEARCH("급여",E912),0)&gt;0,"인건비",IF(IFERROR(SEARCH("임차",E912),0)&gt;0,"임차·시설",IF(IFERROR(SEARCH("광고",E912),0)&gt;0,"광고·행사",IF(IFERROR(SEARCH("용역",E912),0)&gt;0,"용역·수수료","기타/불명"))))))</x:f>
      </x:c>
      <x:c r="J912" s="77" t="str">
        <x:f>IF(A912="","",IF(I912="기타/불명","확인 필요","결의서명으로 1차 확인"))</x:f>
      </x:c>
      <x:c r="K912" s="78"/>
    </x:row>
    <x:row r="913">
      <x:c r="A913" s="73"/>
      <x:c r="B913" s="73"/>
      <x:c r="C913" s="74"/>
      <x:c r="D913" s="73"/>
      <x:c r="E913" s="73"/>
      <x:c r="F913" s="75"/>
      <x:c r="G913" s="75"/>
      <x:c r="H913" s="76" t="str">
        <x:f>IF(A913="","",F913-G913)</x:f>
      </x:c>
      <x:c r="I913" s="77" t="str">
        <x:f>IF(A913="","",IF(E913="","기타/불명",IF(IFERROR(SEARCH("급여",E913),0)&gt;0,"인건비",IF(IFERROR(SEARCH("임차",E913),0)&gt;0,"임차·시설",IF(IFERROR(SEARCH("광고",E913),0)&gt;0,"광고·행사",IF(IFERROR(SEARCH("용역",E913),0)&gt;0,"용역·수수료","기타/불명"))))))</x:f>
      </x:c>
      <x:c r="J913" s="77" t="str">
        <x:f>IF(A913="","",IF(I913="기타/불명","확인 필요","결의서명으로 1차 확인"))</x:f>
      </x:c>
      <x:c r="K913" s="78"/>
    </x:row>
    <x:row r="914">
      <x:c r="A914" s="73"/>
      <x:c r="B914" s="73"/>
      <x:c r="C914" s="74"/>
      <x:c r="D914" s="73"/>
      <x:c r="E914" s="73"/>
      <x:c r="F914" s="75"/>
      <x:c r="G914" s="75"/>
      <x:c r="H914" s="76" t="str">
        <x:f>IF(A914="","",F914-G914)</x:f>
      </x:c>
      <x:c r="I914" s="77" t="str">
        <x:f>IF(A914="","",IF(E914="","기타/불명",IF(IFERROR(SEARCH("급여",E914),0)&gt;0,"인건비",IF(IFERROR(SEARCH("임차",E914),0)&gt;0,"임차·시설",IF(IFERROR(SEARCH("광고",E914),0)&gt;0,"광고·행사",IF(IFERROR(SEARCH("용역",E914),0)&gt;0,"용역·수수료","기타/불명"))))))</x:f>
      </x:c>
      <x:c r="J914" s="77" t="str">
        <x:f>IF(A914="","",IF(I914="기타/불명","확인 필요","결의서명으로 1차 확인"))</x:f>
      </x:c>
      <x:c r="K914" s="78"/>
    </x:row>
    <x:row r="915">
      <x:c r="A915" s="73"/>
      <x:c r="B915" s="73"/>
      <x:c r="C915" s="74"/>
      <x:c r="D915" s="73"/>
      <x:c r="E915" s="73"/>
      <x:c r="F915" s="75"/>
      <x:c r="G915" s="75"/>
      <x:c r="H915" s="76" t="str">
        <x:f>IF(A915="","",F915-G915)</x:f>
      </x:c>
      <x:c r="I915" s="77" t="str">
        <x:f>IF(A915="","",IF(E915="","기타/불명",IF(IFERROR(SEARCH("급여",E915),0)&gt;0,"인건비",IF(IFERROR(SEARCH("임차",E915),0)&gt;0,"임차·시설",IF(IFERROR(SEARCH("광고",E915),0)&gt;0,"광고·행사",IF(IFERROR(SEARCH("용역",E915),0)&gt;0,"용역·수수료","기타/불명"))))))</x:f>
      </x:c>
      <x:c r="J915" s="77" t="str">
        <x:f>IF(A915="","",IF(I915="기타/불명","확인 필요","결의서명으로 1차 확인"))</x:f>
      </x:c>
      <x:c r="K915" s="78"/>
    </x:row>
    <x:row r="916">
      <x:c r="A916" s="73"/>
      <x:c r="B916" s="73"/>
      <x:c r="C916" s="74"/>
      <x:c r="D916" s="73"/>
      <x:c r="E916" s="73"/>
      <x:c r="F916" s="75"/>
      <x:c r="G916" s="75"/>
      <x:c r="H916" s="76" t="str">
        <x:f>IF(A916="","",F916-G916)</x:f>
      </x:c>
      <x:c r="I916" s="77" t="str">
        <x:f>IF(A916="","",IF(E916="","기타/불명",IF(IFERROR(SEARCH("급여",E916),0)&gt;0,"인건비",IF(IFERROR(SEARCH("임차",E916),0)&gt;0,"임차·시설",IF(IFERROR(SEARCH("광고",E916),0)&gt;0,"광고·행사",IF(IFERROR(SEARCH("용역",E916),0)&gt;0,"용역·수수료","기타/불명"))))))</x:f>
      </x:c>
      <x:c r="J916" s="77" t="str">
        <x:f>IF(A916="","",IF(I916="기타/불명","확인 필요","결의서명으로 1차 확인"))</x:f>
      </x:c>
      <x:c r="K916" s="78"/>
    </x:row>
    <x:row r="917">
      <x:c r="A917" s="73"/>
      <x:c r="B917" s="73"/>
      <x:c r="C917" s="74"/>
      <x:c r="D917" s="73"/>
      <x:c r="E917" s="73"/>
      <x:c r="F917" s="75"/>
      <x:c r="G917" s="75"/>
      <x:c r="H917" s="76" t="str">
        <x:f>IF(A917="","",F917-G917)</x:f>
      </x:c>
      <x:c r="I917" s="77" t="str">
        <x:f>IF(A917="","",IF(E917="","기타/불명",IF(IFERROR(SEARCH("급여",E917),0)&gt;0,"인건비",IF(IFERROR(SEARCH("임차",E917),0)&gt;0,"임차·시설",IF(IFERROR(SEARCH("광고",E917),0)&gt;0,"광고·행사",IF(IFERROR(SEARCH("용역",E917),0)&gt;0,"용역·수수료","기타/불명"))))))</x:f>
      </x:c>
      <x:c r="J917" s="77" t="str">
        <x:f>IF(A917="","",IF(I917="기타/불명","확인 필요","결의서명으로 1차 확인"))</x:f>
      </x:c>
      <x:c r="K917" s="78"/>
    </x:row>
    <x:row r="918">
      <x:c r="A918" s="73"/>
      <x:c r="B918" s="73"/>
      <x:c r="C918" s="74"/>
      <x:c r="D918" s="73"/>
      <x:c r="E918" s="73"/>
      <x:c r="F918" s="75"/>
      <x:c r="G918" s="75"/>
      <x:c r="H918" s="76" t="str">
        <x:f>IF(A918="","",F918-G918)</x:f>
      </x:c>
      <x:c r="I918" s="77" t="str">
        <x:f>IF(A918="","",IF(E918="","기타/불명",IF(IFERROR(SEARCH("급여",E918),0)&gt;0,"인건비",IF(IFERROR(SEARCH("임차",E918),0)&gt;0,"임차·시설",IF(IFERROR(SEARCH("광고",E918),0)&gt;0,"광고·행사",IF(IFERROR(SEARCH("용역",E918),0)&gt;0,"용역·수수료","기타/불명"))))))</x:f>
      </x:c>
      <x:c r="J918" s="77" t="str">
        <x:f>IF(A918="","",IF(I918="기타/불명","확인 필요","결의서명으로 1차 확인"))</x:f>
      </x:c>
      <x:c r="K918" s="78"/>
    </x:row>
    <x:row r="919">
      <x:c r="A919" s="73"/>
      <x:c r="B919" s="73"/>
      <x:c r="C919" s="74"/>
      <x:c r="D919" s="73"/>
      <x:c r="E919" s="73"/>
      <x:c r="F919" s="75"/>
      <x:c r="G919" s="75"/>
      <x:c r="H919" s="76" t="str">
        <x:f>IF(A919="","",F919-G919)</x:f>
      </x:c>
      <x:c r="I919" s="77" t="str">
        <x:f>IF(A919="","",IF(E919="","기타/불명",IF(IFERROR(SEARCH("급여",E919),0)&gt;0,"인건비",IF(IFERROR(SEARCH("임차",E919),0)&gt;0,"임차·시설",IF(IFERROR(SEARCH("광고",E919),0)&gt;0,"광고·행사",IF(IFERROR(SEARCH("용역",E919),0)&gt;0,"용역·수수료","기타/불명"))))))</x:f>
      </x:c>
      <x:c r="J919" s="77" t="str">
        <x:f>IF(A919="","",IF(I919="기타/불명","확인 필요","결의서명으로 1차 확인"))</x:f>
      </x:c>
      <x:c r="K919" s="78"/>
    </x:row>
    <x:row r="920">
      <x:c r="A920" s="73"/>
      <x:c r="B920" s="73"/>
      <x:c r="C920" s="74"/>
      <x:c r="D920" s="73"/>
      <x:c r="E920" s="73"/>
      <x:c r="F920" s="75"/>
      <x:c r="G920" s="75"/>
      <x:c r="H920" s="76" t="str">
        <x:f>IF(A920="","",F920-G920)</x:f>
      </x:c>
      <x:c r="I920" s="77" t="str">
        <x:f>IF(A920="","",IF(E920="","기타/불명",IF(IFERROR(SEARCH("급여",E920),0)&gt;0,"인건비",IF(IFERROR(SEARCH("임차",E920),0)&gt;0,"임차·시설",IF(IFERROR(SEARCH("광고",E920),0)&gt;0,"광고·행사",IF(IFERROR(SEARCH("용역",E920),0)&gt;0,"용역·수수료","기타/불명"))))))</x:f>
      </x:c>
      <x:c r="J920" s="77" t="str">
        <x:f>IF(A920="","",IF(I920="기타/불명","확인 필요","결의서명으로 1차 확인"))</x:f>
      </x:c>
      <x:c r="K920" s="78"/>
    </x:row>
    <x:row r="921">
      <x:c r="A921" s="73"/>
      <x:c r="B921" s="73"/>
      <x:c r="C921" s="74"/>
      <x:c r="D921" s="73"/>
      <x:c r="E921" s="73"/>
      <x:c r="F921" s="75"/>
      <x:c r="G921" s="75"/>
      <x:c r="H921" s="76" t="str">
        <x:f>IF(A921="","",F921-G921)</x:f>
      </x:c>
      <x:c r="I921" s="77" t="str">
        <x:f>IF(A921="","",IF(E921="","기타/불명",IF(IFERROR(SEARCH("급여",E921),0)&gt;0,"인건비",IF(IFERROR(SEARCH("임차",E921),0)&gt;0,"임차·시설",IF(IFERROR(SEARCH("광고",E921),0)&gt;0,"광고·행사",IF(IFERROR(SEARCH("용역",E921),0)&gt;0,"용역·수수료","기타/불명"))))))</x:f>
      </x:c>
      <x:c r="J921" s="77" t="str">
        <x:f>IF(A921="","",IF(I921="기타/불명","확인 필요","결의서명으로 1차 확인"))</x:f>
      </x:c>
      <x:c r="K921" s="78"/>
    </x:row>
    <x:row r="922">
      <x:c r="A922" s="73"/>
      <x:c r="B922" s="73"/>
      <x:c r="C922" s="74"/>
      <x:c r="D922" s="73"/>
      <x:c r="E922" s="73"/>
      <x:c r="F922" s="75"/>
      <x:c r="G922" s="75"/>
      <x:c r="H922" s="76" t="str">
        <x:f>IF(A922="","",F922-G922)</x:f>
      </x:c>
      <x:c r="I922" s="77" t="str">
        <x:f>IF(A922="","",IF(E922="","기타/불명",IF(IFERROR(SEARCH("급여",E922),0)&gt;0,"인건비",IF(IFERROR(SEARCH("임차",E922),0)&gt;0,"임차·시설",IF(IFERROR(SEARCH("광고",E922),0)&gt;0,"광고·행사",IF(IFERROR(SEARCH("용역",E922),0)&gt;0,"용역·수수료","기타/불명"))))))</x:f>
      </x:c>
      <x:c r="J922" s="77" t="str">
        <x:f>IF(A922="","",IF(I922="기타/불명","확인 필요","결의서명으로 1차 확인"))</x:f>
      </x:c>
      <x:c r="K922" s="78"/>
    </x:row>
    <x:row r="923">
      <x:c r="A923" s="73"/>
      <x:c r="B923" s="73"/>
      <x:c r="C923" s="74"/>
      <x:c r="D923" s="73"/>
      <x:c r="E923" s="73"/>
      <x:c r="F923" s="75"/>
      <x:c r="G923" s="75"/>
      <x:c r="H923" s="76" t="str">
        <x:f>IF(A923="","",F923-G923)</x:f>
      </x:c>
      <x:c r="I923" s="77" t="str">
        <x:f>IF(A923="","",IF(E923="","기타/불명",IF(IFERROR(SEARCH("급여",E923),0)&gt;0,"인건비",IF(IFERROR(SEARCH("임차",E923),0)&gt;0,"임차·시설",IF(IFERROR(SEARCH("광고",E923),0)&gt;0,"광고·행사",IF(IFERROR(SEARCH("용역",E923),0)&gt;0,"용역·수수료","기타/불명"))))))</x:f>
      </x:c>
      <x:c r="J923" s="77" t="str">
        <x:f>IF(A923="","",IF(I923="기타/불명","확인 필요","결의서명으로 1차 확인"))</x:f>
      </x:c>
      <x:c r="K923" s="78"/>
    </x:row>
    <x:row r="924">
      <x:c r="A924" s="73"/>
      <x:c r="B924" s="73"/>
      <x:c r="C924" s="74"/>
      <x:c r="D924" s="73"/>
      <x:c r="E924" s="73"/>
      <x:c r="F924" s="75"/>
      <x:c r="G924" s="75"/>
      <x:c r="H924" s="76" t="str">
        <x:f>IF(A924="","",F924-G924)</x:f>
      </x:c>
      <x:c r="I924" s="77" t="str">
        <x:f>IF(A924="","",IF(E924="","기타/불명",IF(IFERROR(SEARCH("급여",E924),0)&gt;0,"인건비",IF(IFERROR(SEARCH("임차",E924),0)&gt;0,"임차·시설",IF(IFERROR(SEARCH("광고",E924),0)&gt;0,"광고·행사",IF(IFERROR(SEARCH("용역",E924),0)&gt;0,"용역·수수료","기타/불명"))))))</x:f>
      </x:c>
      <x:c r="J924" s="77" t="str">
        <x:f>IF(A924="","",IF(I924="기타/불명","확인 필요","결의서명으로 1차 확인"))</x:f>
      </x:c>
      <x:c r="K924" s="78"/>
    </x:row>
    <x:row r="925">
      <x:c r="A925" s="73"/>
      <x:c r="B925" s="73"/>
      <x:c r="C925" s="74"/>
      <x:c r="D925" s="73"/>
      <x:c r="E925" s="73"/>
      <x:c r="F925" s="75"/>
      <x:c r="G925" s="75"/>
      <x:c r="H925" s="76" t="str">
        <x:f>IF(A925="","",F925-G925)</x:f>
      </x:c>
      <x:c r="I925" s="77" t="str">
        <x:f>IF(A925="","",IF(E925="","기타/불명",IF(IFERROR(SEARCH("급여",E925),0)&gt;0,"인건비",IF(IFERROR(SEARCH("임차",E925),0)&gt;0,"임차·시설",IF(IFERROR(SEARCH("광고",E925),0)&gt;0,"광고·행사",IF(IFERROR(SEARCH("용역",E925),0)&gt;0,"용역·수수료","기타/불명"))))))</x:f>
      </x:c>
      <x:c r="J925" s="77" t="str">
        <x:f>IF(A925="","",IF(I925="기타/불명","확인 필요","결의서명으로 1차 확인"))</x:f>
      </x:c>
      <x:c r="K925" s="78"/>
    </x:row>
    <x:row r="926">
      <x:c r="A926" s="73"/>
      <x:c r="B926" s="73"/>
      <x:c r="C926" s="74"/>
      <x:c r="D926" s="73"/>
      <x:c r="E926" s="73"/>
      <x:c r="F926" s="75"/>
      <x:c r="G926" s="75"/>
      <x:c r="H926" s="76" t="str">
        <x:f>IF(A926="","",F926-G926)</x:f>
      </x:c>
      <x:c r="I926" s="77" t="str">
        <x:f>IF(A926="","",IF(E926="","기타/불명",IF(IFERROR(SEARCH("급여",E926),0)&gt;0,"인건비",IF(IFERROR(SEARCH("임차",E926),0)&gt;0,"임차·시설",IF(IFERROR(SEARCH("광고",E926),0)&gt;0,"광고·행사",IF(IFERROR(SEARCH("용역",E926),0)&gt;0,"용역·수수료","기타/불명"))))))</x:f>
      </x:c>
      <x:c r="J926" s="77" t="str">
        <x:f>IF(A926="","",IF(I926="기타/불명","확인 필요","결의서명으로 1차 확인"))</x:f>
      </x:c>
      <x:c r="K926" s="78"/>
    </x:row>
    <x:row r="927">
      <x:c r="A927" s="73"/>
      <x:c r="B927" s="73"/>
      <x:c r="C927" s="74"/>
      <x:c r="D927" s="73"/>
      <x:c r="E927" s="73"/>
      <x:c r="F927" s="75"/>
      <x:c r="G927" s="75"/>
      <x:c r="H927" s="76" t="str">
        <x:f>IF(A927="","",F927-G927)</x:f>
      </x:c>
      <x:c r="I927" s="77" t="str">
        <x:f>IF(A927="","",IF(E927="","기타/불명",IF(IFERROR(SEARCH("급여",E927),0)&gt;0,"인건비",IF(IFERROR(SEARCH("임차",E927),0)&gt;0,"임차·시설",IF(IFERROR(SEARCH("광고",E927),0)&gt;0,"광고·행사",IF(IFERROR(SEARCH("용역",E927),0)&gt;0,"용역·수수료","기타/불명"))))))</x:f>
      </x:c>
      <x:c r="J927" s="77" t="str">
        <x:f>IF(A927="","",IF(I927="기타/불명","확인 필요","결의서명으로 1차 확인"))</x:f>
      </x:c>
      <x:c r="K927" s="78"/>
    </x:row>
    <x:row r="928">
      <x:c r="A928" s="73"/>
      <x:c r="B928" s="73"/>
      <x:c r="C928" s="74"/>
      <x:c r="D928" s="73"/>
      <x:c r="E928" s="73"/>
      <x:c r="F928" s="75"/>
      <x:c r="G928" s="75"/>
      <x:c r="H928" s="76" t="str">
        <x:f>IF(A928="","",F928-G928)</x:f>
      </x:c>
      <x:c r="I928" s="77" t="str">
        <x:f>IF(A928="","",IF(E928="","기타/불명",IF(IFERROR(SEARCH("급여",E928),0)&gt;0,"인건비",IF(IFERROR(SEARCH("임차",E928),0)&gt;0,"임차·시설",IF(IFERROR(SEARCH("광고",E928),0)&gt;0,"광고·행사",IF(IFERROR(SEARCH("용역",E928),0)&gt;0,"용역·수수료","기타/불명"))))))</x:f>
      </x:c>
      <x:c r="J928" s="77" t="str">
        <x:f>IF(A928="","",IF(I928="기타/불명","확인 필요","결의서명으로 1차 확인"))</x:f>
      </x:c>
      <x:c r="K928" s="78"/>
    </x:row>
    <x:row r="929">
      <x:c r="A929" s="73"/>
      <x:c r="B929" s="73"/>
      <x:c r="C929" s="74"/>
      <x:c r="D929" s="73"/>
      <x:c r="E929" s="73"/>
      <x:c r="F929" s="75"/>
      <x:c r="G929" s="75"/>
      <x:c r="H929" s="76" t="str">
        <x:f>IF(A929="","",F929-G929)</x:f>
      </x:c>
      <x:c r="I929" s="77" t="str">
        <x:f>IF(A929="","",IF(E929="","기타/불명",IF(IFERROR(SEARCH("급여",E929),0)&gt;0,"인건비",IF(IFERROR(SEARCH("임차",E929),0)&gt;0,"임차·시설",IF(IFERROR(SEARCH("광고",E929),0)&gt;0,"광고·행사",IF(IFERROR(SEARCH("용역",E929),0)&gt;0,"용역·수수료","기타/불명"))))))</x:f>
      </x:c>
      <x:c r="J929" s="77" t="str">
        <x:f>IF(A929="","",IF(I929="기타/불명","확인 필요","결의서명으로 1차 확인"))</x:f>
      </x:c>
      <x:c r="K929" s="78"/>
    </x:row>
    <x:row r="930">
      <x:c r="A930" s="73"/>
      <x:c r="B930" s="73"/>
      <x:c r="C930" s="74"/>
      <x:c r="D930" s="73"/>
      <x:c r="E930" s="73"/>
      <x:c r="F930" s="75"/>
      <x:c r="G930" s="75"/>
      <x:c r="H930" s="76" t="str">
        <x:f>IF(A930="","",F930-G930)</x:f>
      </x:c>
      <x:c r="I930" s="77" t="str">
        <x:f>IF(A930="","",IF(E930="","기타/불명",IF(IFERROR(SEARCH("급여",E930),0)&gt;0,"인건비",IF(IFERROR(SEARCH("임차",E930),0)&gt;0,"임차·시설",IF(IFERROR(SEARCH("광고",E930),0)&gt;0,"광고·행사",IF(IFERROR(SEARCH("용역",E930),0)&gt;0,"용역·수수료","기타/불명"))))))</x:f>
      </x:c>
      <x:c r="J930" s="77" t="str">
        <x:f>IF(A930="","",IF(I930="기타/불명","확인 필요","결의서명으로 1차 확인"))</x:f>
      </x:c>
      <x:c r="K930" s="78"/>
    </x:row>
    <x:row r="931">
      <x:c r="A931" s="73"/>
      <x:c r="B931" s="73"/>
      <x:c r="C931" s="74"/>
      <x:c r="D931" s="73"/>
      <x:c r="E931" s="73"/>
      <x:c r="F931" s="75"/>
      <x:c r="G931" s="75"/>
      <x:c r="H931" s="76" t="str">
        <x:f>IF(A931="","",F931-G931)</x:f>
      </x:c>
      <x:c r="I931" s="77" t="str">
        <x:f>IF(A931="","",IF(E931="","기타/불명",IF(IFERROR(SEARCH("급여",E931),0)&gt;0,"인건비",IF(IFERROR(SEARCH("임차",E931),0)&gt;0,"임차·시설",IF(IFERROR(SEARCH("광고",E931),0)&gt;0,"광고·행사",IF(IFERROR(SEARCH("용역",E931),0)&gt;0,"용역·수수료","기타/불명"))))))</x:f>
      </x:c>
      <x:c r="J931" s="77" t="str">
        <x:f>IF(A931="","",IF(I931="기타/불명","확인 필요","결의서명으로 1차 확인"))</x:f>
      </x:c>
      <x:c r="K931" s="78"/>
    </x:row>
    <x:row r="932">
      <x:c r="A932" s="73"/>
      <x:c r="B932" s="73"/>
      <x:c r="C932" s="74"/>
      <x:c r="D932" s="73"/>
      <x:c r="E932" s="73"/>
      <x:c r="F932" s="75"/>
      <x:c r="G932" s="75"/>
      <x:c r="H932" s="76" t="str">
        <x:f>IF(A932="","",F932-G932)</x:f>
      </x:c>
      <x:c r="I932" s="77" t="str">
        <x:f>IF(A932="","",IF(E932="","기타/불명",IF(IFERROR(SEARCH("급여",E932),0)&gt;0,"인건비",IF(IFERROR(SEARCH("임차",E932),0)&gt;0,"임차·시설",IF(IFERROR(SEARCH("광고",E932),0)&gt;0,"광고·행사",IF(IFERROR(SEARCH("용역",E932),0)&gt;0,"용역·수수료","기타/불명"))))))</x:f>
      </x:c>
      <x:c r="J932" s="77" t="str">
        <x:f>IF(A932="","",IF(I932="기타/불명","확인 필요","결의서명으로 1차 확인"))</x:f>
      </x:c>
      <x:c r="K932" s="78"/>
    </x:row>
    <x:row r="933">
      <x:c r="A933" s="73"/>
      <x:c r="B933" s="73"/>
      <x:c r="C933" s="74"/>
      <x:c r="D933" s="73"/>
      <x:c r="E933" s="73"/>
      <x:c r="F933" s="75"/>
      <x:c r="G933" s="75"/>
      <x:c r="H933" s="76" t="str">
        <x:f>IF(A933="","",F933-G933)</x:f>
      </x:c>
      <x:c r="I933" s="77" t="str">
        <x:f>IF(A933="","",IF(E933="","기타/불명",IF(IFERROR(SEARCH("급여",E933),0)&gt;0,"인건비",IF(IFERROR(SEARCH("임차",E933),0)&gt;0,"임차·시설",IF(IFERROR(SEARCH("광고",E933),0)&gt;0,"광고·행사",IF(IFERROR(SEARCH("용역",E933),0)&gt;0,"용역·수수료","기타/불명"))))))</x:f>
      </x:c>
      <x:c r="J933" s="77" t="str">
        <x:f>IF(A933="","",IF(I933="기타/불명","확인 필요","결의서명으로 1차 확인"))</x:f>
      </x:c>
      <x:c r="K933" s="78"/>
    </x:row>
    <x:row r="934">
      <x:c r="A934" s="73"/>
      <x:c r="B934" s="73"/>
      <x:c r="C934" s="74"/>
      <x:c r="D934" s="73"/>
      <x:c r="E934" s="73"/>
      <x:c r="F934" s="75"/>
      <x:c r="G934" s="75"/>
      <x:c r="H934" s="76" t="str">
        <x:f>IF(A934="","",F934-G934)</x:f>
      </x:c>
      <x:c r="I934" s="77" t="str">
        <x:f>IF(A934="","",IF(E934="","기타/불명",IF(IFERROR(SEARCH("급여",E934),0)&gt;0,"인건비",IF(IFERROR(SEARCH("임차",E934),0)&gt;0,"임차·시설",IF(IFERROR(SEARCH("광고",E934),0)&gt;0,"광고·행사",IF(IFERROR(SEARCH("용역",E934),0)&gt;0,"용역·수수료","기타/불명"))))))</x:f>
      </x:c>
      <x:c r="J934" s="77" t="str">
        <x:f>IF(A934="","",IF(I934="기타/불명","확인 필요","결의서명으로 1차 확인"))</x:f>
      </x:c>
      <x:c r="K934" s="78"/>
    </x:row>
    <x:row r="935">
      <x:c r="A935" s="73"/>
      <x:c r="B935" s="73"/>
      <x:c r="C935" s="74"/>
      <x:c r="D935" s="73"/>
      <x:c r="E935" s="73"/>
      <x:c r="F935" s="75"/>
      <x:c r="G935" s="75"/>
      <x:c r="H935" s="76" t="str">
        <x:f>IF(A935="","",F935-G935)</x:f>
      </x:c>
      <x:c r="I935" s="77" t="str">
        <x:f>IF(A935="","",IF(E935="","기타/불명",IF(IFERROR(SEARCH("급여",E935),0)&gt;0,"인건비",IF(IFERROR(SEARCH("임차",E935),0)&gt;0,"임차·시설",IF(IFERROR(SEARCH("광고",E935),0)&gt;0,"광고·행사",IF(IFERROR(SEARCH("용역",E935),0)&gt;0,"용역·수수료","기타/불명"))))))</x:f>
      </x:c>
      <x:c r="J935" s="77" t="str">
        <x:f>IF(A935="","",IF(I935="기타/불명","확인 필요","결의서명으로 1차 확인"))</x:f>
      </x:c>
      <x:c r="K935" s="78"/>
    </x:row>
    <x:row r="936">
      <x:c r="A936" s="73"/>
      <x:c r="B936" s="73"/>
      <x:c r="C936" s="74"/>
      <x:c r="D936" s="73"/>
      <x:c r="E936" s="73"/>
      <x:c r="F936" s="75"/>
      <x:c r="G936" s="75"/>
      <x:c r="H936" s="76" t="str">
        <x:f>IF(A936="","",F936-G936)</x:f>
      </x:c>
      <x:c r="I936" s="77" t="str">
        <x:f>IF(A936="","",IF(E936="","기타/불명",IF(IFERROR(SEARCH("급여",E936),0)&gt;0,"인건비",IF(IFERROR(SEARCH("임차",E936),0)&gt;0,"임차·시설",IF(IFERROR(SEARCH("광고",E936),0)&gt;0,"광고·행사",IF(IFERROR(SEARCH("용역",E936),0)&gt;0,"용역·수수료","기타/불명"))))))</x:f>
      </x:c>
      <x:c r="J936" s="77" t="str">
        <x:f>IF(A936="","",IF(I936="기타/불명","확인 필요","결의서명으로 1차 확인"))</x:f>
      </x:c>
      <x:c r="K936" s="78"/>
    </x:row>
    <x:row r="937">
      <x:c r="A937" s="73"/>
      <x:c r="B937" s="73"/>
      <x:c r="C937" s="74"/>
      <x:c r="D937" s="73"/>
      <x:c r="E937" s="73"/>
      <x:c r="F937" s="75"/>
      <x:c r="G937" s="75"/>
      <x:c r="H937" s="76" t="str">
        <x:f>IF(A937="","",F937-G937)</x:f>
      </x:c>
      <x:c r="I937" s="77" t="str">
        <x:f>IF(A937="","",IF(E937="","기타/불명",IF(IFERROR(SEARCH("급여",E937),0)&gt;0,"인건비",IF(IFERROR(SEARCH("임차",E937),0)&gt;0,"임차·시설",IF(IFERROR(SEARCH("광고",E937),0)&gt;0,"광고·행사",IF(IFERROR(SEARCH("용역",E937),0)&gt;0,"용역·수수료","기타/불명"))))))</x:f>
      </x:c>
      <x:c r="J937" s="77" t="str">
        <x:f>IF(A937="","",IF(I937="기타/불명","확인 필요","결의서명으로 1차 확인"))</x:f>
      </x:c>
      <x:c r="K937" s="78"/>
    </x:row>
    <x:row r="938">
      <x:c r="A938" s="73"/>
      <x:c r="B938" s="73"/>
      <x:c r="C938" s="74"/>
      <x:c r="D938" s="73"/>
      <x:c r="E938" s="73"/>
      <x:c r="F938" s="75"/>
      <x:c r="G938" s="75"/>
      <x:c r="H938" s="76" t="str">
        <x:f>IF(A938="","",F938-G938)</x:f>
      </x:c>
      <x:c r="I938" s="77" t="str">
        <x:f>IF(A938="","",IF(E938="","기타/불명",IF(IFERROR(SEARCH("급여",E938),0)&gt;0,"인건비",IF(IFERROR(SEARCH("임차",E938),0)&gt;0,"임차·시설",IF(IFERROR(SEARCH("광고",E938),0)&gt;0,"광고·행사",IF(IFERROR(SEARCH("용역",E938),0)&gt;0,"용역·수수료","기타/불명"))))))</x:f>
      </x:c>
      <x:c r="J938" s="77" t="str">
        <x:f>IF(A938="","",IF(I938="기타/불명","확인 필요","결의서명으로 1차 확인"))</x:f>
      </x:c>
      <x:c r="K938" s="78"/>
    </x:row>
    <x:row r="939">
      <x:c r="A939" s="73"/>
      <x:c r="B939" s="73"/>
      <x:c r="C939" s="74"/>
      <x:c r="D939" s="73"/>
      <x:c r="E939" s="73"/>
      <x:c r="F939" s="75"/>
      <x:c r="G939" s="75"/>
      <x:c r="H939" s="76" t="str">
        <x:f>IF(A939="","",F939-G939)</x:f>
      </x:c>
      <x:c r="I939" s="77" t="str">
        <x:f>IF(A939="","",IF(E939="","기타/불명",IF(IFERROR(SEARCH("급여",E939),0)&gt;0,"인건비",IF(IFERROR(SEARCH("임차",E939),0)&gt;0,"임차·시설",IF(IFERROR(SEARCH("광고",E939),0)&gt;0,"광고·행사",IF(IFERROR(SEARCH("용역",E939),0)&gt;0,"용역·수수료","기타/불명"))))))</x:f>
      </x:c>
      <x:c r="J939" s="77" t="str">
        <x:f>IF(A939="","",IF(I939="기타/불명","확인 필요","결의서명으로 1차 확인"))</x:f>
      </x:c>
      <x:c r="K939" s="78"/>
    </x:row>
    <x:row r="940">
      <x:c r="A940" s="73"/>
      <x:c r="B940" s="73"/>
      <x:c r="C940" s="74"/>
      <x:c r="D940" s="73"/>
      <x:c r="E940" s="73"/>
      <x:c r="F940" s="75"/>
      <x:c r="G940" s="75"/>
      <x:c r="H940" s="76" t="str">
        <x:f>IF(A940="","",F940-G940)</x:f>
      </x:c>
      <x:c r="I940" s="77" t="str">
        <x:f>IF(A940="","",IF(E940="","기타/불명",IF(IFERROR(SEARCH("급여",E940),0)&gt;0,"인건비",IF(IFERROR(SEARCH("임차",E940),0)&gt;0,"임차·시설",IF(IFERROR(SEARCH("광고",E940),0)&gt;0,"광고·행사",IF(IFERROR(SEARCH("용역",E940),0)&gt;0,"용역·수수료","기타/불명"))))))</x:f>
      </x:c>
      <x:c r="J940" s="77" t="str">
        <x:f>IF(A940="","",IF(I940="기타/불명","확인 필요","결의서명으로 1차 확인"))</x:f>
      </x:c>
      <x:c r="K940" s="78"/>
    </x:row>
    <x:row r="941">
      <x:c r="A941" s="73"/>
      <x:c r="B941" s="73"/>
      <x:c r="C941" s="74"/>
      <x:c r="D941" s="73"/>
      <x:c r="E941" s="73"/>
      <x:c r="F941" s="75"/>
      <x:c r="G941" s="75"/>
      <x:c r="H941" s="76" t="str">
        <x:f>IF(A941="","",F941-G941)</x:f>
      </x:c>
      <x:c r="I941" s="77" t="str">
        <x:f>IF(A941="","",IF(E941="","기타/불명",IF(IFERROR(SEARCH("급여",E941),0)&gt;0,"인건비",IF(IFERROR(SEARCH("임차",E941),0)&gt;0,"임차·시설",IF(IFERROR(SEARCH("광고",E941),0)&gt;0,"광고·행사",IF(IFERROR(SEARCH("용역",E941),0)&gt;0,"용역·수수료","기타/불명"))))))</x:f>
      </x:c>
      <x:c r="J941" s="77" t="str">
        <x:f>IF(A941="","",IF(I941="기타/불명","확인 필요","결의서명으로 1차 확인"))</x:f>
      </x:c>
      <x:c r="K941" s="78"/>
    </x:row>
    <x:row r="942">
      <x:c r="A942" s="73"/>
      <x:c r="B942" s="73"/>
      <x:c r="C942" s="74"/>
      <x:c r="D942" s="73"/>
      <x:c r="E942" s="73"/>
      <x:c r="F942" s="75"/>
      <x:c r="G942" s="75"/>
      <x:c r="H942" s="76" t="str">
        <x:f>IF(A942="","",F942-G942)</x:f>
      </x:c>
      <x:c r="I942" s="77" t="str">
        <x:f>IF(A942="","",IF(E942="","기타/불명",IF(IFERROR(SEARCH("급여",E942),0)&gt;0,"인건비",IF(IFERROR(SEARCH("임차",E942),0)&gt;0,"임차·시설",IF(IFERROR(SEARCH("광고",E942),0)&gt;0,"광고·행사",IF(IFERROR(SEARCH("용역",E942),0)&gt;0,"용역·수수료","기타/불명"))))))</x:f>
      </x:c>
      <x:c r="J942" s="77" t="str">
        <x:f>IF(A942="","",IF(I942="기타/불명","확인 필요","결의서명으로 1차 확인"))</x:f>
      </x:c>
      <x:c r="K942" s="78"/>
    </x:row>
    <x:row r="943">
      <x:c r="A943" s="73"/>
      <x:c r="B943" s="73"/>
      <x:c r="C943" s="74"/>
      <x:c r="D943" s="73"/>
      <x:c r="E943" s="73"/>
      <x:c r="F943" s="75"/>
      <x:c r="G943" s="75"/>
      <x:c r="H943" s="76" t="str">
        <x:f>IF(A943="","",F943-G943)</x:f>
      </x:c>
      <x:c r="I943" s="77" t="str">
        <x:f>IF(A943="","",IF(E943="","기타/불명",IF(IFERROR(SEARCH("급여",E943),0)&gt;0,"인건비",IF(IFERROR(SEARCH("임차",E943),0)&gt;0,"임차·시설",IF(IFERROR(SEARCH("광고",E943),0)&gt;0,"광고·행사",IF(IFERROR(SEARCH("용역",E943),0)&gt;0,"용역·수수료","기타/불명"))))))</x:f>
      </x:c>
      <x:c r="J943" s="77" t="str">
        <x:f>IF(A943="","",IF(I943="기타/불명","확인 필요","결의서명으로 1차 확인"))</x:f>
      </x:c>
      <x:c r="K943" s="78"/>
    </x:row>
    <x:row r="944">
      <x:c r="A944" s="73"/>
      <x:c r="B944" s="73"/>
      <x:c r="C944" s="74"/>
      <x:c r="D944" s="73"/>
      <x:c r="E944" s="73"/>
      <x:c r="F944" s="75"/>
      <x:c r="G944" s="75"/>
      <x:c r="H944" s="76" t="str">
        <x:f>IF(A944="","",F944-G944)</x:f>
      </x:c>
      <x:c r="I944" s="77" t="str">
        <x:f>IF(A944="","",IF(E944="","기타/불명",IF(IFERROR(SEARCH("급여",E944),0)&gt;0,"인건비",IF(IFERROR(SEARCH("임차",E944),0)&gt;0,"임차·시설",IF(IFERROR(SEARCH("광고",E944),0)&gt;0,"광고·행사",IF(IFERROR(SEARCH("용역",E944),0)&gt;0,"용역·수수료","기타/불명"))))))</x:f>
      </x:c>
      <x:c r="J944" s="77" t="str">
        <x:f>IF(A944="","",IF(I944="기타/불명","확인 필요","결의서명으로 1차 확인"))</x:f>
      </x:c>
      <x:c r="K944" s="78"/>
    </x:row>
    <x:row r="945">
      <x:c r="A945" s="73"/>
      <x:c r="B945" s="73"/>
      <x:c r="C945" s="74"/>
      <x:c r="D945" s="73"/>
      <x:c r="E945" s="73"/>
      <x:c r="F945" s="75"/>
      <x:c r="G945" s="75"/>
      <x:c r="H945" s="76" t="str">
        <x:f>IF(A945="","",F945-G945)</x:f>
      </x:c>
      <x:c r="I945" s="77" t="str">
        <x:f>IF(A945="","",IF(E945="","기타/불명",IF(IFERROR(SEARCH("급여",E945),0)&gt;0,"인건비",IF(IFERROR(SEARCH("임차",E945),0)&gt;0,"임차·시설",IF(IFERROR(SEARCH("광고",E945),0)&gt;0,"광고·행사",IF(IFERROR(SEARCH("용역",E945),0)&gt;0,"용역·수수료","기타/불명"))))))</x:f>
      </x:c>
      <x:c r="J945" s="77" t="str">
        <x:f>IF(A945="","",IF(I945="기타/불명","확인 필요","결의서명으로 1차 확인"))</x:f>
      </x:c>
      <x:c r="K945" s="78"/>
    </x:row>
    <x:row r="946">
      <x:c r="A946" s="73"/>
      <x:c r="B946" s="73"/>
      <x:c r="C946" s="74"/>
      <x:c r="D946" s="73"/>
      <x:c r="E946" s="73"/>
      <x:c r="F946" s="75"/>
      <x:c r="G946" s="75"/>
      <x:c r="H946" s="76" t="str">
        <x:f>IF(A946="","",F946-G946)</x:f>
      </x:c>
      <x:c r="I946" s="77" t="str">
        <x:f>IF(A946="","",IF(E946="","기타/불명",IF(IFERROR(SEARCH("급여",E946),0)&gt;0,"인건비",IF(IFERROR(SEARCH("임차",E946),0)&gt;0,"임차·시설",IF(IFERROR(SEARCH("광고",E946),0)&gt;0,"광고·행사",IF(IFERROR(SEARCH("용역",E946),0)&gt;0,"용역·수수료","기타/불명"))))))</x:f>
      </x:c>
      <x:c r="J946" s="77" t="str">
        <x:f>IF(A946="","",IF(I946="기타/불명","확인 필요","결의서명으로 1차 확인"))</x:f>
      </x:c>
      <x:c r="K946" s="78"/>
    </x:row>
    <x:row r="947">
      <x:c r="A947" s="73"/>
      <x:c r="B947" s="73"/>
      <x:c r="C947" s="74"/>
      <x:c r="D947" s="73"/>
      <x:c r="E947" s="73"/>
      <x:c r="F947" s="75"/>
      <x:c r="G947" s="75"/>
      <x:c r="H947" s="76" t="str">
        <x:f>IF(A947="","",F947-G947)</x:f>
      </x:c>
      <x:c r="I947" s="77" t="str">
        <x:f>IF(A947="","",IF(E947="","기타/불명",IF(IFERROR(SEARCH("급여",E947),0)&gt;0,"인건비",IF(IFERROR(SEARCH("임차",E947),0)&gt;0,"임차·시설",IF(IFERROR(SEARCH("광고",E947),0)&gt;0,"광고·행사",IF(IFERROR(SEARCH("용역",E947),0)&gt;0,"용역·수수료","기타/불명"))))))</x:f>
      </x:c>
      <x:c r="J947" s="77" t="str">
        <x:f>IF(A947="","",IF(I947="기타/불명","확인 필요","결의서명으로 1차 확인"))</x:f>
      </x:c>
      <x:c r="K947" s="78"/>
    </x:row>
    <x:row r="948">
      <x:c r="A948" s="73"/>
      <x:c r="B948" s="73"/>
      <x:c r="C948" s="74"/>
      <x:c r="D948" s="73"/>
      <x:c r="E948" s="73"/>
      <x:c r="F948" s="75"/>
      <x:c r="G948" s="75"/>
      <x:c r="H948" s="76" t="str">
        <x:f>IF(A948="","",F948-G948)</x:f>
      </x:c>
      <x:c r="I948" s="77" t="str">
        <x:f>IF(A948="","",IF(E948="","기타/불명",IF(IFERROR(SEARCH("급여",E948),0)&gt;0,"인건비",IF(IFERROR(SEARCH("임차",E948),0)&gt;0,"임차·시설",IF(IFERROR(SEARCH("광고",E948),0)&gt;0,"광고·행사",IF(IFERROR(SEARCH("용역",E948),0)&gt;0,"용역·수수료","기타/불명"))))))</x:f>
      </x:c>
      <x:c r="J948" s="77" t="str">
        <x:f>IF(A948="","",IF(I948="기타/불명","확인 필요","결의서명으로 1차 확인"))</x:f>
      </x:c>
      <x:c r="K948" s="78"/>
    </x:row>
    <x:row r="949">
      <x:c r="A949" s="73"/>
      <x:c r="B949" s="73"/>
      <x:c r="C949" s="74"/>
      <x:c r="D949" s="73"/>
      <x:c r="E949" s="73"/>
      <x:c r="F949" s="75"/>
      <x:c r="G949" s="75"/>
      <x:c r="H949" s="76" t="str">
        <x:f>IF(A949="","",F949-G949)</x:f>
      </x:c>
      <x:c r="I949" s="77" t="str">
        <x:f>IF(A949="","",IF(E949="","기타/불명",IF(IFERROR(SEARCH("급여",E949),0)&gt;0,"인건비",IF(IFERROR(SEARCH("임차",E949),0)&gt;0,"임차·시설",IF(IFERROR(SEARCH("광고",E949),0)&gt;0,"광고·행사",IF(IFERROR(SEARCH("용역",E949),0)&gt;0,"용역·수수료","기타/불명"))))))</x:f>
      </x:c>
      <x:c r="J949" s="77" t="str">
        <x:f>IF(A949="","",IF(I949="기타/불명","확인 필요","결의서명으로 1차 확인"))</x:f>
      </x:c>
      <x:c r="K949" s="78"/>
    </x:row>
    <x:row r="950">
      <x:c r="A950" s="73"/>
      <x:c r="B950" s="73"/>
      <x:c r="C950" s="74"/>
      <x:c r="D950" s="73"/>
      <x:c r="E950" s="73"/>
      <x:c r="F950" s="75"/>
      <x:c r="G950" s="75"/>
      <x:c r="H950" s="76" t="str">
        <x:f>IF(A950="","",F950-G950)</x:f>
      </x:c>
      <x:c r="I950" s="77" t="str">
        <x:f>IF(A950="","",IF(E950="","기타/불명",IF(IFERROR(SEARCH("급여",E950),0)&gt;0,"인건비",IF(IFERROR(SEARCH("임차",E950),0)&gt;0,"임차·시설",IF(IFERROR(SEARCH("광고",E950),0)&gt;0,"광고·행사",IF(IFERROR(SEARCH("용역",E950),0)&gt;0,"용역·수수료","기타/불명"))))))</x:f>
      </x:c>
      <x:c r="J950" s="77" t="str">
        <x:f>IF(A950="","",IF(I950="기타/불명","확인 필요","결의서명으로 1차 확인"))</x:f>
      </x:c>
      <x:c r="K950" s="78"/>
    </x:row>
    <x:row r="951">
      <x:c r="A951" s="73"/>
      <x:c r="B951" s="73"/>
      <x:c r="C951" s="74"/>
      <x:c r="D951" s="73"/>
      <x:c r="E951" s="73"/>
      <x:c r="F951" s="75"/>
      <x:c r="G951" s="75"/>
      <x:c r="H951" s="76" t="str">
        <x:f>IF(A951="","",F951-G951)</x:f>
      </x:c>
      <x:c r="I951" s="77" t="str">
        <x:f>IF(A951="","",IF(E951="","기타/불명",IF(IFERROR(SEARCH("급여",E951),0)&gt;0,"인건비",IF(IFERROR(SEARCH("임차",E951),0)&gt;0,"임차·시설",IF(IFERROR(SEARCH("광고",E951),0)&gt;0,"광고·행사",IF(IFERROR(SEARCH("용역",E951),0)&gt;0,"용역·수수료","기타/불명"))))))</x:f>
      </x:c>
      <x:c r="J951" s="77" t="str">
        <x:f>IF(A951="","",IF(I951="기타/불명","확인 필요","결의서명으로 1차 확인"))</x:f>
      </x:c>
      <x:c r="K951" s="78"/>
    </x:row>
    <x:row r="952">
      <x:c r="A952" s="73"/>
      <x:c r="B952" s="73"/>
      <x:c r="C952" s="74"/>
      <x:c r="D952" s="73"/>
      <x:c r="E952" s="73"/>
      <x:c r="F952" s="75"/>
      <x:c r="G952" s="75"/>
      <x:c r="H952" s="76" t="str">
        <x:f>IF(A952="","",F952-G952)</x:f>
      </x:c>
      <x:c r="I952" s="77" t="str">
        <x:f>IF(A952="","",IF(E952="","기타/불명",IF(IFERROR(SEARCH("급여",E952),0)&gt;0,"인건비",IF(IFERROR(SEARCH("임차",E952),0)&gt;0,"임차·시설",IF(IFERROR(SEARCH("광고",E952),0)&gt;0,"광고·행사",IF(IFERROR(SEARCH("용역",E952),0)&gt;0,"용역·수수료","기타/불명"))))))</x:f>
      </x:c>
      <x:c r="J952" s="77" t="str">
        <x:f>IF(A952="","",IF(I952="기타/불명","확인 필요","결의서명으로 1차 확인"))</x:f>
      </x:c>
      <x:c r="K952" s="78"/>
    </x:row>
    <x:row r="953">
      <x:c r="A953" s="73"/>
      <x:c r="B953" s="73"/>
      <x:c r="C953" s="74"/>
      <x:c r="D953" s="73"/>
      <x:c r="E953" s="73"/>
      <x:c r="F953" s="75"/>
      <x:c r="G953" s="75"/>
      <x:c r="H953" s="76" t="str">
        <x:f>IF(A953="","",F953-G953)</x:f>
      </x:c>
      <x:c r="I953" s="77" t="str">
        <x:f>IF(A953="","",IF(E953="","기타/불명",IF(IFERROR(SEARCH("급여",E953),0)&gt;0,"인건비",IF(IFERROR(SEARCH("임차",E953),0)&gt;0,"임차·시설",IF(IFERROR(SEARCH("광고",E953),0)&gt;0,"광고·행사",IF(IFERROR(SEARCH("용역",E953),0)&gt;0,"용역·수수료","기타/불명"))))))</x:f>
      </x:c>
      <x:c r="J953" s="77" t="str">
        <x:f>IF(A953="","",IF(I953="기타/불명","확인 필요","결의서명으로 1차 확인"))</x:f>
      </x:c>
      <x:c r="K953" s="78"/>
    </x:row>
    <x:row r="954">
      <x:c r="A954" s="73"/>
      <x:c r="B954" s="73"/>
      <x:c r="C954" s="74"/>
      <x:c r="D954" s="73"/>
      <x:c r="E954" s="73"/>
      <x:c r="F954" s="75"/>
      <x:c r="G954" s="75"/>
      <x:c r="H954" s="76" t="str">
        <x:f>IF(A954="","",F954-G954)</x:f>
      </x:c>
      <x:c r="I954" s="77" t="str">
        <x:f>IF(A954="","",IF(E954="","기타/불명",IF(IFERROR(SEARCH("급여",E954),0)&gt;0,"인건비",IF(IFERROR(SEARCH("임차",E954),0)&gt;0,"임차·시설",IF(IFERROR(SEARCH("광고",E954),0)&gt;0,"광고·행사",IF(IFERROR(SEARCH("용역",E954),0)&gt;0,"용역·수수료","기타/불명"))))))</x:f>
      </x:c>
      <x:c r="J954" s="77" t="str">
        <x:f>IF(A954="","",IF(I954="기타/불명","확인 필요","결의서명으로 1차 확인"))</x:f>
      </x:c>
      <x:c r="K954" s="78"/>
    </x:row>
    <x:row r="955">
      <x:c r="A955" s="73"/>
      <x:c r="B955" s="73"/>
      <x:c r="C955" s="74"/>
      <x:c r="D955" s="73"/>
      <x:c r="E955" s="73"/>
      <x:c r="F955" s="75"/>
      <x:c r="G955" s="75"/>
      <x:c r="H955" s="76" t="str">
        <x:f>IF(A955="","",F955-G955)</x:f>
      </x:c>
      <x:c r="I955" s="77" t="str">
        <x:f>IF(A955="","",IF(E955="","기타/불명",IF(IFERROR(SEARCH("급여",E955),0)&gt;0,"인건비",IF(IFERROR(SEARCH("임차",E955),0)&gt;0,"임차·시설",IF(IFERROR(SEARCH("광고",E955),0)&gt;0,"광고·행사",IF(IFERROR(SEARCH("용역",E955),0)&gt;0,"용역·수수료","기타/불명"))))))</x:f>
      </x:c>
      <x:c r="J955" s="77" t="str">
        <x:f>IF(A955="","",IF(I955="기타/불명","확인 필요","결의서명으로 1차 확인"))</x:f>
      </x:c>
      <x:c r="K955" s="78"/>
    </x:row>
    <x:row r="956">
      <x:c r="A956" s="73"/>
      <x:c r="B956" s="73"/>
      <x:c r="C956" s="74"/>
      <x:c r="D956" s="73"/>
      <x:c r="E956" s="73"/>
      <x:c r="F956" s="75"/>
      <x:c r="G956" s="75"/>
      <x:c r="H956" s="76" t="str">
        <x:f>IF(A956="","",F956-G956)</x:f>
      </x:c>
      <x:c r="I956" s="77" t="str">
        <x:f>IF(A956="","",IF(E956="","기타/불명",IF(IFERROR(SEARCH("급여",E956),0)&gt;0,"인건비",IF(IFERROR(SEARCH("임차",E956),0)&gt;0,"임차·시설",IF(IFERROR(SEARCH("광고",E956),0)&gt;0,"광고·행사",IF(IFERROR(SEARCH("용역",E956),0)&gt;0,"용역·수수료","기타/불명"))))))</x:f>
      </x:c>
      <x:c r="J956" s="77" t="str">
        <x:f>IF(A956="","",IF(I956="기타/불명","확인 필요","결의서명으로 1차 확인"))</x:f>
      </x:c>
      <x:c r="K956" s="78"/>
    </x:row>
    <x:row r="957">
      <x:c r="A957" s="73"/>
      <x:c r="B957" s="73"/>
      <x:c r="C957" s="74"/>
      <x:c r="D957" s="73"/>
      <x:c r="E957" s="73"/>
      <x:c r="F957" s="75"/>
      <x:c r="G957" s="75"/>
      <x:c r="H957" s="76" t="str">
        <x:f>IF(A957="","",F957-G957)</x:f>
      </x:c>
      <x:c r="I957" s="77" t="str">
        <x:f>IF(A957="","",IF(E957="","기타/불명",IF(IFERROR(SEARCH("급여",E957),0)&gt;0,"인건비",IF(IFERROR(SEARCH("임차",E957),0)&gt;0,"임차·시설",IF(IFERROR(SEARCH("광고",E957),0)&gt;0,"광고·행사",IF(IFERROR(SEARCH("용역",E957),0)&gt;0,"용역·수수료","기타/불명"))))))</x:f>
      </x:c>
      <x:c r="J957" s="77" t="str">
        <x:f>IF(A957="","",IF(I957="기타/불명","확인 필요","결의서명으로 1차 확인"))</x:f>
      </x:c>
      <x:c r="K957" s="78"/>
    </x:row>
    <x:row r="958">
      <x:c r="A958" s="73"/>
      <x:c r="B958" s="73"/>
      <x:c r="C958" s="74"/>
      <x:c r="D958" s="73"/>
      <x:c r="E958" s="73"/>
      <x:c r="F958" s="75"/>
      <x:c r="G958" s="75"/>
      <x:c r="H958" s="76" t="str">
        <x:f>IF(A958="","",F958-G958)</x:f>
      </x:c>
      <x:c r="I958" s="77" t="str">
        <x:f>IF(A958="","",IF(E958="","기타/불명",IF(IFERROR(SEARCH("급여",E958),0)&gt;0,"인건비",IF(IFERROR(SEARCH("임차",E958),0)&gt;0,"임차·시설",IF(IFERROR(SEARCH("광고",E958),0)&gt;0,"광고·행사",IF(IFERROR(SEARCH("용역",E958),0)&gt;0,"용역·수수료","기타/불명"))))))</x:f>
      </x:c>
      <x:c r="J958" s="77" t="str">
        <x:f>IF(A958="","",IF(I958="기타/불명","확인 필요","결의서명으로 1차 확인"))</x:f>
      </x:c>
      <x:c r="K958" s="78"/>
    </x:row>
    <x:row r="959">
      <x:c r="A959" s="73"/>
      <x:c r="B959" s="73"/>
      <x:c r="C959" s="74"/>
      <x:c r="D959" s="73"/>
      <x:c r="E959" s="73"/>
      <x:c r="F959" s="75"/>
      <x:c r="G959" s="75"/>
      <x:c r="H959" s="76" t="str">
        <x:f>IF(A959="","",F959-G959)</x:f>
      </x:c>
      <x:c r="I959" s="77" t="str">
        <x:f>IF(A959="","",IF(E959="","기타/불명",IF(IFERROR(SEARCH("급여",E959),0)&gt;0,"인건비",IF(IFERROR(SEARCH("임차",E959),0)&gt;0,"임차·시설",IF(IFERROR(SEARCH("광고",E959),0)&gt;0,"광고·행사",IF(IFERROR(SEARCH("용역",E959),0)&gt;0,"용역·수수료","기타/불명"))))))</x:f>
      </x:c>
      <x:c r="J959" s="77" t="str">
        <x:f>IF(A959="","",IF(I959="기타/불명","확인 필요","결의서명으로 1차 확인"))</x:f>
      </x:c>
      <x:c r="K959" s="78"/>
    </x:row>
    <x:row r="960">
      <x:c r="A960" s="73"/>
      <x:c r="B960" s="73"/>
      <x:c r="C960" s="74"/>
      <x:c r="D960" s="73"/>
      <x:c r="E960" s="73"/>
      <x:c r="F960" s="75"/>
      <x:c r="G960" s="75"/>
      <x:c r="H960" s="76" t="str">
        <x:f>IF(A960="","",F960-G960)</x:f>
      </x:c>
      <x:c r="I960" s="77" t="str">
        <x:f>IF(A960="","",IF(E960="","기타/불명",IF(IFERROR(SEARCH("급여",E960),0)&gt;0,"인건비",IF(IFERROR(SEARCH("임차",E960),0)&gt;0,"임차·시설",IF(IFERROR(SEARCH("광고",E960),0)&gt;0,"광고·행사",IF(IFERROR(SEARCH("용역",E960),0)&gt;0,"용역·수수료","기타/불명"))))))</x:f>
      </x:c>
      <x:c r="J960" s="77" t="str">
        <x:f>IF(A960="","",IF(I960="기타/불명","확인 필요","결의서명으로 1차 확인"))</x:f>
      </x:c>
      <x:c r="K960" s="78"/>
    </x:row>
    <x:row r="961">
      <x:c r="A961" s="73"/>
      <x:c r="B961" s="73"/>
      <x:c r="C961" s="74"/>
      <x:c r="D961" s="73"/>
      <x:c r="E961" s="73"/>
      <x:c r="F961" s="75"/>
      <x:c r="G961" s="75"/>
      <x:c r="H961" s="76" t="str">
        <x:f>IF(A961="","",F961-G961)</x:f>
      </x:c>
      <x:c r="I961" s="77" t="str">
        <x:f>IF(A961="","",IF(E961="","기타/불명",IF(IFERROR(SEARCH("급여",E961),0)&gt;0,"인건비",IF(IFERROR(SEARCH("임차",E961),0)&gt;0,"임차·시설",IF(IFERROR(SEARCH("광고",E961),0)&gt;0,"광고·행사",IF(IFERROR(SEARCH("용역",E961),0)&gt;0,"용역·수수료","기타/불명"))))))</x:f>
      </x:c>
      <x:c r="J961" s="77" t="str">
        <x:f>IF(A961="","",IF(I961="기타/불명","확인 필요","결의서명으로 1차 확인"))</x:f>
      </x:c>
      <x:c r="K961" s="78"/>
    </x:row>
    <x:row r="962">
      <x:c r="A962" s="73"/>
      <x:c r="B962" s="73"/>
      <x:c r="C962" s="74"/>
      <x:c r="D962" s="73"/>
      <x:c r="E962" s="73"/>
      <x:c r="F962" s="75"/>
      <x:c r="G962" s="75"/>
      <x:c r="H962" s="76" t="str">
        <x:f>IF(A962="","",F962-G962)</x:f>
      </x:c>
      <x:c r="I962" s="77" t="str">
        <x:f>IF(A962="","",IF(E962="","기타/불명",IF(IFERROR(SEARCH("급여",E962),0)&gt;0,"인건비",IF(IFERROR(SEARCH("임차",E962),0)&gt;0,"임차·시설",IF(IFERROR(SEARCH("광고",E962),0)&gt;0,"광고·행사",IF(IFERROR(SEARCH("용역",E962),0)&gt;0,"용역·수수료","기타/불명"))))))</x:f>
      </x:c>
      <x:c r="J962" s="77" t="str">
        <x:f>IF(A962="","",IF(I962="기타/불명","확인 필요","결의서명으로 1차 확인"))</x:f>
      </x:c>
      <x:c r="K962" s="78"/>
    </x:row>
    <x:row r="963">
      <x:c r="A963" s="73"/>
      <x:c r="B963" s="73"/>
      <x:c r="C963" s="74"/>
      <x:c r="D963" s="73"/>
      <x:c r="E963" s="73"/>
      <x:c r="F963" s="75"/>
      <x:c r="G963" s="75"/>
      <x:c r="H963" s="76" t="str">
        <x:f>IF(A963="","",F963-G963)</x:f>
      </x:c>
      <x:c r="I963" s="77" t="str">
        <x:f>IF(A963="","",IF(E963="","기타/불명",IF(IFERROR(SEARCH("급여",E963),0)&gt;0,"인건비",IF(IFERROR(SEARCH("임차",E963),0)&gt;0,"임차·시설",IF(IFERROR(SEARCH("광고",E963),0)&gt;0,"광고·행사",IF(IFERROR(SEARCH("용역",E963),0)&gt;0,"용역·수수료","기타/불명"))))))</x:f>
      </x:c>
      <x:c r="J963" s="77" t="str">
        <x:f>IF(A963="","",IF(I963="기타/불명","확인 필요","결의서명으로 1차 확인"))</x:f>
      </x:c>
      <x:c r="K963" s="78"/>
    </x:row>
    <x:row r="964">
      <x:c r="A964" s="73"/>
      <x:c r="B964" s="73"/>
      <x:c r="C964" s="74"/>
      <x:c r="D964" s="73"/>
      <x:c r="E964" s="73"/>
      <x:c r="F964" s="75"/>
      <x:c r="G964" s="75"/>
      <x:c r="H964" s="76" t="str">
        <x:f>IF(A964="","",F964-G964)</x:f>
      </x:c>
      <x:c r="I964" s="77" t="str">
        <x:f>IF(A964="","",IF(E964="","기타/불명",IF(IFERROR(SEARCH("급여",E964),0)&gt;0,"인건비",IF(IFERROR(SEARCH("임차",E964),0)&gt;0,"임차·시설",IF(IFERROR(SEARCH("광고",E964),0)&gt;0,"광고·행사",IF(IFERROR(SEARCH("용역",E964),0)&gt;0,"용역·수수료","기타/불명"))))))</x:f>
      </x:c>
      <x:c r="J964" s="77" t="str">
        <x:f>IF(A964="","",IF(I964="기타/불명","확인 필요","결의서명으로 1차 확인"))</x:f>
      </x:c>
      <x:c r="K964" s="78"/>
    </x:row>
    <x:row r="965">
      <x:c r="A965" s="73"/>
      <x:c r="B965" s="73"/>
      <x:c r="C965" s="74"/>
      <x:c r="D965" s="73"/>
      <x:c r="E965" s="73"/>
      <x:c r="F965" s="75"/>
      <x:c r="G965" s="75"/>
      <x:c r="H965" s="76" t="str">
        <x:f>IF(A965="","",F965-G965)</x:f>
      </x:c>
      <x:c r="I965" s="77" t="str">
        <x:f>IF(A965="","",IF(E965="","기타/불명",IF(IFERROR(SEARCH("급여",E965),0)&gt;0,"인건비",IF(IFERROR(SEARCH("임차",E965),0)&gt;0,"임차·시설",IF(IFERROR(SEARCH("광고",E965),0)&gt;0,"광고·행사",IF(IFERROR(SEARCH("용역",E965),0)&gt;0,"용역·수수료","기타/불명"))))))</x:f>
      </x:c>
      <x:c r="J965" s="77" t="str">
        <x:f>IF(A965="","",IF(I965="기타/불명","확인 필요","결의서명으로 1차 확인"))</x:f>
      </x:c>
      <x:c r="K965" s="78"/>
    </x:row>
    <x:row r="966">
      <x:c r="A966" s="73"/>
      <x:c r="B966" s="73"/>
      <x:c r="C966" s="74"/>
      <x:c r="D966" s="73"/>
      <x:c r="E966" s="73"/>
      <x:c r="F966" s="75"/>
      <x:c r="G966" s="75"/>
      <x:c r="H966" s="76" t="str">
        <x:f>IF(A966="","",F966-G966)</x:f>
      </x:c>
      <x:c r="I966" s="77" t="str">
        <x:f>IF(A966="","",IF(E966="","기타/불명",IF(IFERROR(SEARCH("급여",E966),0)&gt;0,"인건비",IF(IFERROR(SEARCH("임차",E966),0)&gt;0,"임차·시설",IF(IFERROR(SEARCH("광고",E966),0)&gt;0,"광고·행사",IF(IFERROR(SEARCH("용역",E966),0)&gt;0,"용역·수수료","기타/불명"))))))</x:f>
      </x:c>
      <x:c r="J966" s="77" t="str">
        <x:f>IF(A966="","",IF(I966="기타/불명","확인 필요","결의서명으로 1차 확인"))</x:f>
      </x:c>
      <x:c r="K966" s="78"/>
    </x:row>
    <x:row r="967">
      <x:c r="A967" s="73"/>
      <x:c r="B967" s="73"/>
      <x:c r="C967" s="74"/>
      <x:c r="D967" s="73"/>
      <x:c r="E967" s="73"/>
      <x:c r="F967" s="75"/>
      <x:c r="G967" s="75"/>
      <x:c r="H967" s="76" t="str">
        <x:f>IF(A967="","",F967-G967)</x:f>
      </x:c>
      <x:c r="I967" s="77" t="str">
        <x:f>IF(A967="","",IF(E967="","기타/불명",IF(IFERROR(SEARCH("급여",E967),0)&gt;0,"인건비",IF(IFERROR(SEARCH("임차",E967),0)&gt;0,"임차·시설",IF(IFERROR(SEARCH("광고",E967),0)&gt;0,"광고·행사",IF(IFERROR(SEARCH("용역",E967),0)&gt;0,"용역·수수료","기타/불명"))))))</x:f>
      </x:c>
      <x:c r="J967" s="77" t="str">
        <x:f>IF(A967="","",IF(I967="기타/불명","확인 필요","결의서명으로 1차 확인"))</x:f>
      </x:c>
      <x:c r="K967" s="78"/>
    </x:row>
    <x:row r="968">
      <x:c r="A968" s="73"/>
      <x:c r="B968" s="73"/>
      <x:c r="C968" s="74"/>
      <x:c r="D968" s="73"/>
      <x:c r="E968" s="73"/>
      <x:c r="F968" s="75"/>
      <x:c r="G968" s="75"/>
      <x:c r="H968" s="76" t="str">
        <x:f>IF(A968="","",F968-G968)</x:f>
      </x:c>
      <x:c r="I968" s="77" t="str">
        <x:f>IF(A968="","",IF(E968="","기타/불명",IF(IFERROR(SEARCH("급여",E968),0)&gt;0,"인건비",IF(IFERROR(SEARCH("임차",E968),0)&gt;0,"임차·시설",IF(IFERROR(SEARCH("광고",E968),0)&gt;0,"광고·행사",IF(IFERROR(SEARCH("용역",E968),0)&gt;0,"용역·수수료","기타/불명"))))))</x:f>
      </x:c>
      <x:c r="J968" s="77" t="str">
        <x:f>IF(A968="","",IF(I968="기타/불명","확인 필요","결의서명으로 1차 확인"))</x:f>
      </x:c>
      <x:c r="K968" s="78"/>
    </x:row>
    <x:row r="969">
      <x:c r="A969" s="73"/>
      <x:c r="B969" s="73"/>
      <x:c r="C969" s="74"/>
      <x:c r="D969" s="73"/>
      <x:c r="E969" s="73"/>
      <x:c r="F969" s="75"/>
      <x:c r="G969" s="75"/>
      <x:c r="H969" s="76" t="str">
        <x:f>IF(A969="","",F969-G969)</x:f>
      </x:c>
      <x:c r="I969" s="77" t="str">
        <x:f>IF(A969="","",IF(E969="","기타/불명",IF(IFERROR(SEARCH("급여",E969),0)&gt;0,"인건비",IF(IFERROR(SEARCH("임차",E969),0)&gt;0,"임차·시설",IF(IFERROR(SEARCH("광고",E969),0)&gt;0,"광고·행사",IF(IFERROR(SEARCH("용역",E969),0)&gt;0,"용역·수수료","기타/불명"))))))</x:f>
      </x:c>
      <x:c r="J969" s="77" t="str">
        <x:f>IF(A969="","",IF(I969="기타/불명","확인 필요","결의서명으로 1차 확인"))</x:f>
      </x:c>
      <x:c r="K969" s="78"/>
    </x:row>
    <x:row r="970">
      <x:c r="A970" s="73"/>
      <x:c r="B970" s="73"/>
      <x:c r="C970" s="74"/>
      <x:c r="D970" s="73"/>
      <x:c r="E970" s="73"/>
      <x:c r="F970" s="75"/>
      <x:c r="G970" s="75"/>
      <x:c r="H970" s="76" t="str">
        <x:f>IF(A970="","",F970-G970)</x:f>
      </x:c>
      <x:c r="I970" s="77" t="str">
        <x:f>IF(A970="","",IF(E970="","기타/불명",IF(IFERROR(SEARCH("급여",E970),0)&gt;0,"인건비",IF(IFERROR(SEARCH("임차",E970),0)&gt;0,"임차·시설",IF(IFERROR(SEARCH("광고",E970),0)&gt;0,"광고·행사",IF(IFERROR(SEARCH("용역",E970),0)&gt;0,"용역·수수료","기타/불명"))))))</x:f>
      </x:c>
      <x:c r="J970" s="77" t="str">
        <x:f>IF(A970="","",IF(I970="기타/불명","확인 필요","결의서명으로 1차 확인"))</x:f>
      </x:c>
      <x:c r="K970" s="78"/>
    </x:row>
    <x:row r="971">
      <x:c r="A971" s="73"/>
      <x:c r="B971" s="73"/>
      <x:c r="C971" s="74"/>
      <x:c r="D971" s="73"/>
      <x:c r="E971" s="73"/>
      <x:c r="F971" s="75"/>
      <x:c r="G971" s="75"/>
      <x:c r="H971" s="76" t="str">
        <x:f>IF(A971="","",F971-G971)</x:f>
      </x:c>
      <x:c r="I971" s="77" t="str">
        <x:f>IF(A971="","",IF(E971="","기타/불명",IF(IFERROR(SEARCH("급여",E971),0)&gt;0,"인건비",IF(IFERROR(SEARCH("임차",E971),0)&gt;0,"임차·시설",IF(IFERROR(SEARCH("광고",E971),0)&gt;0,"광고·행사",IF(IFERROR(SEARCH("용역",E971),0)&gt;0,"용역·수수료","기타/불명"))))))</x:f>
      </x:c>
      <x:c r="J971" s="77" t="str">
        <x:f>IF(A971="","",IF(I971="기타/불명","확인 필요","결의서명으로 1차 확인"))</x:f>
      </x:c>
      <x:c r="K971" s="78"/>
    </x:row>
    <x:row r="972">
      <x:c r="A972" s="73"/>
      <x:c r="B972" s="73"/>
      <x:c r="C972" s="74"/>
      <x:c r="D972" s="73"/>
      <x:c r="E972" s="73"/>
      <x:c r="F972" s="75"/>
      <x:c r="G972" s="75"/>
      <x:c r="H972" s="76" t="str">
        <x:f>IF(A972="","",F972-G972)</x:f>
      </x:c>
      <x:c r="I972" s="77" t="str">
        <x:f>IF(A972="","",IF(E972="","기타/불명",IF(IFERROR(SEARCH("급여",E972),0)&gt;0,"인건비",IF(IFERROR(SEARCH("임차",E972),0)&gt;0,"임차·시설",IF(IFERROR(SEARCH("광고",E972),0)&gt;0,"광고·행사",IF(IFERROR(SEARCH("용역",E972),0)&gt;0,"용역·수수료","기타/불명"))))))</x:f>
      </x:c>
      <x:c r="J972" s="77" t="str">
        <x:f>IF(A972="","",IF(I972="기타/불명","확인 필요","결의서명으로 1차 확인"))</x:f>
      </x:c>
      <x:c r="K972" s="78"/>
    </x:row>
    <x:row r="973">
      <x:c r="A973" s="73"/>
      <x:c r="B973" s="73"/>
      <x:c r="C973" s="74"/>
      <x:c r="D973" s="73"/>
      <x:c r="E973" s="73"/>
      <x:c r="F973" s="75"/>
      <x:c r="G973" s="75"/>
      <x:c r="H973" s="76" t="str">
        <x:f>IF(A973="","",F973-G973)</x:f>
      </x:c>
      <x:c r="I973" s="77" t="str">
        <x:f>IF(A973="","",IF(E973="","기타/불명",IF(IFERROR(SEARCH("급여",E973),0)&gt;0,"인건비",IF(IFERROR(SEARCH("임차",E973),0)&gt;0,"임차·시설",IF(IFERROR(SEARCH("광고",E973),0)&gt;0,"광고·행사",IF(IFERROR(SEARCH("용역",E973),0)&gt;0,"용역·수수료","기타/불명"))))))</x:f>
      </x:c>
      <x:c r="J973" s="77" t="str">
        <x:f>IF(A973="","",IF(I973="기타/불명","확인 필요","결의서명으로 1차 확인"))</x:f>
      </x:c>
      <x:c r="K973" s="78"/>
    </x:row>
    <x:row r="974">
      <x:c r="A974" s="73"/>
      <x:c r="B974" s="73"/>
      <x:c r="C974" s="74"/>
      <x:c r="D974" s="73"/>
      <x:c r="E974" s="73"/>
      <x:c r="F974" s="75"/>
      <x:c r="G974" s="75"/>
      <x:c r="H974" s="76" t="str">
        <x:f>IF(A974="","",F974-G974)</x:f>
      </x:c>
      <x:c r="I974" s="77" t="str">
        <x:f>IF(A974="","",IF(E974="","기타/불명",IF(IFERROR(SEARCH("급여",E974),0)&gt;0,"인건비",IF(IFERROR(SEARCH("임차",E974),0)&gt;0,"임차·시설",IF(IFERROR(SEARCH("광고",E974),0)&gt;0,"광고·행사",IF(IFERROR(SEARCH("용역",E974),0)&gt;0,"용역·수수료","기타/불명"))))))</x:f>
      </x:c>
      <x:c r="J974" s="77" t="str">
        <x:f>IF(A974="","",IF(I974="기타/불명","확인 필요","결의서명으로 1차 확인"))</x:f>
      </x:c>
      <x:c r="K974" s="78"/>
    </x:row>
    <x:row r="975">
      <x:c r="A975" s="73"/>
      <x:c r="B975" s="73"/>
      <x:c r="C975" s="74"/>
      <x:c r="D975" s="73"/>
      <x:c r="E975" s="73"/>
      <x:c r="F975" s="75"/>
      <x:c r="G975" s="75"/>
      <x:c r="H975" s="76" t="str">
        <x:f>IF(A975="","",F975-G975)</x:f>
      </x:c>
      <x:c r="I975" s="77" t="str">
        <x:f>IF(A975="","",IF(E975="","기타/불명",IF(IFERROR(SEARCH("급여",E975),0)&gt;0,"인건비",IF(IFERROR(SEARCH("임차",E975),0)&gt;0,"임차·시설",IF(IFERROR(SEARCH("광고",E975),0)&gt;0,"광고·행사",IF(IFERROR(SEARCH("용역",E975),0)&gt;0,"용역·수수료","기타/불명"))))))</x:f>
      </x:c>
      <x:c r="J975" s="77" t="str">
        <x:f>IF(A975="","",IF(I975="기타/불명","확인 필요","결의서명으로 1차 확인"))</x:f>
      </x:c>
      <x:c r="K975" s="78"/>
    </x:row>
    <x:row r="976">
      <x:c r="A976" s="73"/>
      <x:c r="B976" s="73"/>
      <x:c r="C976" s="74"/>
      <x:c r="D976" s="73"/>
      <x:c r="E976" s="73"/>
      <x:c r="F976" s="75"/>
      <x:c r="G976" s="75"/>
      <x:c r="H976" s="76" t="str">
        <x:f>IF(A976="","",F976-G976)</x:f>
      </x:c>
      <x:c r="I976" s="77" t="str">
        <x:f>IF(A976="","",IF(E976="","기타/불명",IF(IFERROR(SEARCH("급여",E976),0)&gt;0,"인건비",IF(IFERROR(SEARCH("임차",E976),0)&gt;0,"임차·시설",IF(IFERROR(SEARCH("광고",E976),0)&gt;0,"광고·행사",IF(IFERROR(SEARCH("용역",E976),0)&gt;0,"용역·수수료","기타/불명"))))))</x:f>
      </x:c>
      <x:c r="J976" s="77" t="str">
        <x:f>IF(A976="","",IF(I976="기타/불명","확인 필요","결의서명으로 1차 확인"))</x:f>
      </x:c>
      <x:c r="K976" s="78"/>
    </x:row>
    <x:row r="977">
      <x:c r="A977" s="73"/>
      <x:c r="B977" s="73"/>
      <x:c r="C977" s="74"/>
      <x:c r="D977" s="73"/>
      <x:c r="E977" s="73"/>
      <x:c r="F977" s="75"/>
      <x:c r="G977" s="75"/>
      <x:c r="H977" s="76" t="str">
        <x:f>IF(A977="","",F977-G977)</x:f>
      </x:c>
      <x:c r="I977" s="77" t="str">
        <x:f>IF(A977="","",IF(E977="","기타/불명",IF(IFERROR(SEARCH("급여",E977),0)&gt;0,"인건비",IF(IFERROR(SEARCH("임차",E977),0)&gt;0,"임차·시설",IF(IFERROR(SEARCH("광고",E977),0)&gt;0,"광고·행사",IF(IFERROR(SEARCH("용역",E977),0)&gt;0,"용역·수수료","기타/불명"))))))</x:f>
      </x:c>
      <x:c r="J977" s="77" t="str">
        <x:f>IF(A977="","",IF(I977="기타/불명","확인 필요","결의서명으로 1차 확인"))</x:f>
      </x:c>
      <x:c r="K977" s="78"/>
    </x:row>
    <x:row r="978">
      <x:c r="A978" s="73"/>
      <x:c r="B978" s="73"/>
      <x:c r="C978" s="74"/>
      <x:c r="D978" s="73"/>
      <x:c r="E978" s="73"/>
      <x:c r="F978" s="75"/>
      <x:c r="G978" s="75"/>
      <x:c r="H978" s="76" t="str">
        <x:f>IF(A978="","",F978-G978)</x:f>
      </x:c>
      <x:c r="I978" s="77" t="str">
        <x:f>IF(A978="","",IF(E978="","기타/불명",IF(IFERROR(SEARCH("급여",E978),0)&gt;0,"인건비",IF(IFERROR(SEARCH("임차",E978),0)&gt;0,"임차·시설",IF(IFERROR(SEARCH("광고",E978),0)&gt;0,"광고·행사",IF(IFERROR(SEARCH("용역",E978),0)&gt;0,"용역·수수료","기타/불명"))))))</x:f>
      </x:c>
      <x:c r="J978" s="77" t="str">
        <x:f>IF(A978="","",IF(I978="기타/불명","확인 필요","결의서명으로 1차 확인"))</x:f>
      </x:c>
      <x:c r="K978" s="78"/>
    </x:row>
    <x:row r="979">
      <x:c r="A979" s="73"/>
      <x:c r="B979" s="73"/>
      <x:c r="C979" s="74"/>
      <x:c r="D979" s="73"/>
      <x:c r="E979" s="73"/>
      <x:c r="F979" s="75"/>
      <x:c r="G979" s="75"/>
      <x:c r="H979" s="76" t="str">
        <x:f>IF(A979="","",F979-G979)</x:f>
      </x:c>
      <x:c r="I979" s="77" t="str">
        <x:f>IF(A979="","",IF(E979="","기타/불명",IF(IFERROR(SEARCH("급여",E979),0)&gt;0,"인건비",IF(IFERROR(SEARCH("임차",E979),0)&gt;0,"임차·시설",IF(IFERROR(SEARCH("광고",E979),0)&gt;0,"광고·행사",IF(IFERROR(SEARCH("용역",E979),0)&gt;0,"용역·수수료","기타/불명"))))))</x:f>
      </x:c>
      <x:c r="J979" s="77" t="str">
        <x:f>IF(A979="","",IF(I979="기타/불명","확인 필요","결의서명으로 1차 확인"))</x:f>
      </x:c>
      <x:c r="K979" s="78"/>
    </x:row>
    <x:row r="980">
      <x:c r="A980" s="73"/>
      <x:c r="B980" s="73"/>
      <x:c r="C980" s="74"/>
      <x:c r="D980" s="73"/>
      <x:c r="E980" s="73"/>
      <x:c r="F980" s="75"/>
      <x:c r="G980" s="75"/>
      <x:c r="H980" s="76" t="str">
        <x:f>IF(A980="","",F980-G980)</x:f>
      </x:c>
      <x:c r="I980" s="77" t="str">
        <x:f>IF(A980="","",IF(E980="","기타/불명",IF(IFERROR(SEARCH("급여",E980),0)&gt;0,"인건비",IF(IFERROR(SEARCH("임차",E980),0)&gt;0,"임차·시설",IF(IFERROR(SEARCH("광고",E980),0)&gt;0,"광고·행사",IF(IFERROR(SEARCH("용역",E980),0)&gt;0,"용역·수수료","기타/불명"))))))</x:f>
      </x:c>
      <x:c r="J980" s="77" t="str">
        <x:f>IF(A980="","",IF(I980="기타/불명","확인 필요","결의서명으로 1차 확인"))</x:f>
      </x:c>
      <x:c r="K980" s="78"/>
    </x:row>
    <x:row r="981">
      <x:c r="A981" s="73"/>
      <x:c r="B981" s="73"/>
      <x:c r="C981" s="74"/>
      <x:c r="D981" s="73"/>
      <x:c r="E981" s="73"/>
      <x:c r="F981" s="75"/>
      <x:c r="G981" s="75"/>
      <x:c r="H981" s="76" t="str">
        <x:f>IF(A981="","",F981-G981)</x:f>
      </x:c>
      <x:c r="I981" s="77" t="str">
        <x:f>IF(A981="","",IF(E981="","기타/불명",IF(IFERROR(SEARCH("급여",E981),0)&gt;0,"인건비",IF(IFERROR(SEARCH("임차",E981),0)&gt;0,"임차·시설",IF(IFERROR(SEARCH("광고",E981),0)&gt;0,"광고·행사",IF(IFERROR(SEARCH("용역",E981),0)&gt;0,"용역·수수료","기타/불명"))))))</x:f>
      </x:c>
      <x:c r="J981" s="77" t="str">
        <x:f>IF(A981="","",IF(I981="기타/불명","확인 필요","결의서명으로 1차 확인"))</x:f>
      </x:c>
      <x:c r="K981" s="78"/>
    </x:row>
    <x:row r="982">
      <x:c r="A982" s="73"/>
      <x:c r="B982" s="73"/>
      <x:c r="C982" s="74"/>
      <x:c r="D982" s="73"/>
      <x:c r="E982" s="73"/>
      <x:c r="F982" s="75"/>
      <x:c r="G982" s="75"/>
      <x:c r="H982" s="76" t="str">
        <x:f>IF(A982="","",F982-G982)</x:f>
      </x:c>
      <x:c r="I982" s="77" t="str">
        <x:f>IF(A982="","",IF(E982="","기타/불명",IF(IFERROR(SEARCH("급여",E982),0)&gt;0,"인건비",IF(IFERROR(SEARCH("임차",E982),0)&gt;0,"임차·시설",IF(IFERROR(SEARCH("광고",E982),0)&gt;0,"광고·행사",IF(IFERROR(SEARCH("용역",E982),0)&gt;0,"용역·수수료","기타/불명"))))))</x:f>
      </x:c>
      <x:c r="J982" s="77" t="str">
        <x:f>IF(A982="","",IF(I982="기타/불명","확인 필요","결의서명으로 1차 확인"))</x:f>
      </x:c>
      <x:c r="K982" s="78"/>
    </x:row>
    <x:row r="983">
      <x:c r="A983" s="73"/>
      <x:c r="B983" s="73"/>
      <x:c r="C983" s="74"/>
      <x:c r="D983" s="73"/>
      <x:c r="E983" s="73"/>
      <x:c r="F983" s="75"/>
      <x:c r="G983" s="75"/>
      <x:c r="H983" s="76" t="str">
        <x:f>IF(A983="","",F983-G983)</x:f>
      </x:c>
      <x:c r="I983" s="77" t="str">
        <x:f>IF(A983="","",IF(E983="","기타/불명",IF(IFERROR(SEARCH("급여",E983),0)&gt;0,"인건비",IF(IFERROR(SEARCH("임차",E983),0)&gt;0,"임차·시설",IF(IFERROR(SEARCH("광고",E983),0)&gt;0,"광고·행사",IF(IFERROR(SEARCH("용역",E983),0)&gt;0,"용역·수수료","기타/불명"))))))</x:f>
      </x:c>
      <x:c r="J983" s="77" t="str">
        <x:f>IF(A983="","",IF(I983="기타/불명","확인 필요","결의서명으로 1차 확인"))</x:f>
      </x:c>
      <x:c r="K983" s="78"/>
    </x:row>
    <x:row r="984">
      <x:c r="A984" s="73"/>
      <x:c r="B984" s="73"/>
      <x:c r="C984" s="74"/>
      <x:c r="D984" s="73"/>
      <x:c r="E984" s="73"/>
      <x:c r="F984" s="75"/>
      <x:c r="G984" s="75"/>
      <x:c r="H984" s="76" t="str">
        <x:f>IF(A984="","",F984-G984)</x:f>
      </x:c>
      <x:c r="I984" s="77" t="str">
        <x:f>IF(A984="","",IF(E984="","기타/불명",IF(IFERROR(SEARCH("급여",E984),0)&gt;0,"인건비",IF(IFERROR(SEARCH("임차",E984),0)&gt;0,"임차·시설",IF(IFERROR(SEARCH("광고",E984),0)&gt;0,"광고·행사",IF(IFERROR(SEARCH("용역",E984),0)&gt;0,"용역·수수료","기타/불명"))))))</x:f>
      </x:c>
      <x:c r="J984" s="77" t="str">
        <x:f>IF(A984="","",IF(I984="기타/불명","확인 필요","결의서명으로 1차 확인"))</x:f>
      </x:c>
      <x:c r="K984" s="78"/>
    </x:row>
    <x:row r="985">
      <x:c r="A985" s="73"/>
      <x:c r="B985" s="73"/>
      <x:c r="C985" s="74"/>
      <x:c r="D985" s="73"/>
      <x:c r="E985" s="73"/>
      <x:c r="F985" s="75"/>
      <x:c r="G985" s="75"/>
      <x:c r="H985" s="76" t="str">
        <x:f>IF(A985="","",F985-G985)</x:f>
      </x:c>
      <x:c r="I985" s="77" t="str">
        <x:f>IF(A985="","",IF(E985="","기타/불명",IF(IFERROR(SEARCH("급여",E985),0)&gt;0,"인건비",IF(IFERROR(SEARCH("임차",E985),0)&gt;0,"임차·시설",IF(IFERROR(SEARCH("광고",E985),0)&gt;0,"광고·행사",IF(IFERROR(SEARCH("용역",E985),0)&gt;0,"용역·수수료","기타/불명"))))))</x:f>
      </x:c>
      <x:c r="J985" s="77" t="str">
        <x:f>IF(A985="","",IF(I985="기타/불명","확인 필요","결의서명으로 1차 확인"))</x:f>
      </x:c>
      <x:c r="K985" s="78"/>
    </x:row>
    <x:row r="986">
      <x:c r="A986" s="73"/>
      <x:c r="B986" s="73"/>
      <x:c r="C986" s="74"/>
      <x:c r="D986" s="73"/>
      <x:c r="E986" s="73"/>
      <x:c r="F986" s="75"/>
      <x:c r="G986" s="75"/>
      <x:c r="H986" s="76" t="str">
        <x:f>IF(A986="","",F986-G986)</x:f>
      </x:c>
      <x:c r="I986" s="77" t="str">
        <x:f>IF(A986="","",IF(E986="","기타/불명",IF(IFERROR(SEARCH("급여",E986),0)&gt;0,"인건비",IF(IFERROR(SEARCH("임차",E986),0)&gt;0,"임차·시설",IF(IFERROR(SEARCH("광고",E986),0)&gt;0,"광고·행사",IF(IFERROR(SEARCH("용역",E986),0)&gt;0,"용역·수수료","기타/불명"))))))</x:f>
      </x:c>
      <x:c r="J986" s="77" t="str">
        <x:f>IF(A986="","",IF(I986="기타/불명","확인 필요","결의서명으로 1차 확인"))</x:f>
      </x:c>
      <x:c r="K986" s="78"/>
    </x:row>
    <x:row r="987">
      <x:c r="A987" s="73"/>
      <x:c r="B987" s="73"/>
      <x:c r="C987" s="74"/>
      <x:c r="D987" s="73"/>
      <x:c r="E987" s="73"/>
      <x:c r="F987" s="75"/>
      <x:c r="G987" s="75"/>
      <x:c r="H987" s="76" t="str">
        <x:f>IF(A987="","",F987-G987)</x:f>
      </x:c>
      <x:c r="I987" s="77" t="str">
        <x:f>IF(A987="","",IF(E987="","기타/불명",IF(IFERROR(SEARCH("급여",E987),0)&gt;0,"인건비",IF(IFERROR(SEARCH("임차",E987),0)&gt;0,"임차·시설",IF(IFERROR(SEARCH("광고",E987),0)&gt;0,"광고·행사",IF(IFERROR(SEARCH("용역",E987),0)&gt;0,"용역·수수료","기타/불명"))))))</x:f>
      </x:c>
      <x:c r="J987" s="77" t="str">
        <x:f>IF(A987="","",IF(I987="기타/불명","확인 필요","결의서명으로 1차 확인"))</x:f>
      </x:c>
      <x:c r="K987" s="78"/>
    </x:row>
    <x:row r="988">
      <x:c r="A988" s="73"/>
      <x:c r="B988" s="73"/>
      <x:c r="C988" s="74"/>
      <x:c r="D988" s="73"/>
      <x:c r="E988" s="73"/>
      <x:c r="F988" s="75"/>
      <x:c r="G988" s="75"/>
      <x:c r="H988" s="76" t="str">
        <x:f>IF(A988="","",F988-G988)</x:f>
      </x:c>
      <x:c r="I988" s="77" t="str">
        <x:f>IF(A988="","",IF(E988="","기타/불명",IF(IFERROR(SEARCH("급여",E988),0)&gt;0,"인건비",IF(IFERROR(SEARCH("임차",E988),0)&gt;0,"임차·시설",IF(IFERROR(SEARCH("광고",E988),0)&gt;0,"광고·행사",IF(IFERROR(SEARCH("용역",E988),0)&gt;0,"용역·수수료","기타/불명"))))))</x:f>
      </x:c>
      <x:c r="J988" s="77" t="str">
        <x:f>IF(A988="","",IF(I988="기타/불명","확인 필요","결의서명으로 1차 확인"))</x:f>
      </x:c>
      <x:c r="K988" s="78"/>
    </x:row>
    <x:row r="989">
      <x:c r="A989" s="73"/>
      <x:c r="B989" s="73"/>
      <x:c r="C989" s="74"/>
      <x:c r="D989" s="73"/>
      <x:c r="E989" s="73"/>
      <x:c r="F989" s="75"/>
      <x:c r="G989" s="75"/>
      <x:c r="H989" s="76" t="str">
        <x:f>IF(A989="","",F989-G989)</x:f>
      </x:c>
      <x:c r="I989" s="77" t="str">
        <x:f>IF(A989="","",IF(E989="","기타/불명",IF(IFERROR(SEARCH("급여",E989),0)&gt;0,"인건비",IF(IFERROR(SEARCH("임차",E989),0)&gt;0,"임차·시설",IF(IFERROR(SEARCH("광고",E989),0)&gt;0,"광고·행사",IF(IFERROR(SEARCH("용역",E989),0)&gt;0,"용역·수수료","기타/불명"))))))</x:f>
      </x:c>
      <x:c r="J989" s="77" t="str">
        <x:f>IF(A989="","",IF(I989="기타/불명","확인 필요","결의서명으로 1차 확인"))</x:f>
      </x:c>
      <x:c r="K989" s="78"/>
    </x:row>
    <x:row r="990">
      <x:c r="A990" s="73"/>
      <x:c r="B990" s="73"/>
      <x:c r="C990" s="74"/>
      <x:c r="D990" s="73"/>
      <x:c r="E990" s="73"/>
      <x:c r="F990" s="75"/>
      <x:c r="G990" s="75"/>
      <x:c r="H990" s="76" t="str">
        <x:f>IF(A990="","",F990-G990)</x:f>
      </x:c>
      <x:c r="I990" s="77" t="str">
        <x:f>IF(A990="","",IF(E990="","기타/불명",IF(IFERROR(SEARCH("급여",E990),0)&gt;0,"인건비",IF(IFERROR(SEARCH("임차",E990),0)&gt;0,"임차·시설",IF(IFERROR(SEARCH("광고",E990),0)&gt;0,"광고·행사",IF(IFERROR(SEARCH("용역",E990),0)&gt;0,"용역·수수료","기타/불명"))))))</x:f>
      </x:c>
      <x:c r="J990" s="77" t="str">
        <x:f>IF(A990="","",IF(I990="기타/불명","확인 필요","결의서명으로 1차 확인"))</x:f>
      </x:c>
      <x:c r="K990" s="78"/>
    </x:row>
    <x:row r="991">
      <x:c r="A991" s="73"/>
      <x:c r="B991" s="73"/>
      <x:c r="C991" s="74"/>
      <x:c r="D991" s="73"/>
      <x:c r="E991" s="73"/>
      <x:c r="F991" s="75"/>
      <x:c r="G991" s="75"/>
      <x:c r="H991" s="76" t="str">
        <x:f>IF(A991="","",F991-G991)</x:f>
      </x:c>
      <x:c r="I991" s="77" t="str">
        <x:f>IF(A991="","",IF(E991="","기타/불명",IF(IFERROR(SEARCH("급여",E991),0)&gt;0,"인건비",IF(IFERROR(SEARCH("임차",E991),0)&gt;0,"임차·시설",IF(IFERROR(SEARCH("광고",E991),0)&gt;0,"광고·행사",IF(IFERROR(SEARCH("용역",E991),0)&gt;0,"용역·수수료","기타/불명"))))))</x:f>
      </x:c>
      <x:c r="J991" s="77" t="str">
        <x:f>IF(A991="","",IF(I991="기타/불명","확인 필요","결의서명으로 1차 확인"))</x:f>
      </x:c>
      <x:c r="K991" s="78"/>
    </x:row>
    <x:row r="992">
      <x:c r="A992" s="73"/>
      <x:c r="B992" s="73"/>
      <x:c r="C992" s="74"/>
      <x:c r="D992" s="73"/>
      <x:c r="E992" s="73"/>
      <x:c r="F992" s="75"/>
      <x:c r="G992" s="75"/>
      <x:c r="H992" s="76" t="str">
        <x:f>IF(A992="","",F992-G992)</x:f>
      </x:c>
      <x:c r="I992" s="77" t="str">
        <x:f>IF(A992="","",IF(E992="","기타/불명",IF(IFERROR(SEARCH("급여",E992),0)&gt;0,"인건비",IF(IFERROR(SEARCH("임차",E992),0)&gt;0,"임차·시설",IF(IFERROR(SEARCH("광고",E992),0)&gt;0,"광고·행사",IF(IFERROR(SEARCH("용역",E992),0)&gt;0,"용역·수수료","기타/불명"))))))</x:f>
      </x:c>
      <x:c r="J992" s="77" t="str">
        <x:f>IF(A992="","",IF(I992="기타/불명","확인 필요","결의서명으로 1차 확인"))</x:f>
      </x:c>
      <x:c r="K992" s="78"/>
    </x:row>
    <x:row r="993">
      <x:c r="A993" s="73"/>
      <x:c r="B993" s="73"/>
      <x:c r="C993" s="74"/>
      <x:c r="D993" s="73"/>
      <x:c r="E993" s="73"/>
      <x:c r="F993" s="75"/>
      <x:c r="G993" s="75"/>
      <x:c r="H993" s="76" t="str">
        <x:f>IF(A993="","",F993-G993)</x:f>
      </x:c>
      <x:c r="I993" s="77" t="str">
        <x:f>IF(A993="","",IF(E993="","기타/불명",IF(IFERROR(SEARCH("급여",E993),0)&gt;0,"인건비",IF(IFERROR(SEARCH("임차",E993),0)&gt;0,"임차·시설",IF(IFERROR(SEARCH("광고",E993),0)&gt;0,"광고·행사",IF(IFERROR(SEARCH("용역",E993),0)&gt;0,"용역·수수료","기타/불명"))))))</x:f>
      </x:c>
      <x:c r="J993" s="77" t="str">
        <x:f>IF(A993="","",IF(I993="기타/불명","확인 필요","결의서명으로 1차 확인"))</x:f>
      </x:c>
      <x:c r="K993" s="78"/>
    </x:row>
    <x:row r="994">
      <x:c r="A994" s="73"/>
      <x:c r="B994" s="73"/>
      <x:c r="C994" s="74"/>
      <x:c r="D994" s="73"/>
      <x:c r="E994" s="73"/>
      <x:c r="F994" s="75"/>
      <x:c r="G994" s="75"/>
      <x:c r="H994" s="76" t="str">
        <x:f>IF(A994="","",F994-G994)</x:f>
      </x:c>
      <x:c r="I994" s="77" t="str">
        <x:f>IF(A994="","",IF(E994="","기타/불명",IF(IFERROR(SEARCH("급여",E994),0)&gt;0,"인건비",IF(IFERROR(SEARCH("임차",E994),0)&gt;0,"임차·시설",IF(IFERROR(SEARCH("광고",E994),0)&gt;0,"광고·행사",IF(IFERROR(SEARCH("용역",E994),0)&gt;0,"용역·수수료","기타/불명"))))))</x:f>
      </x:c>
      <x:c r="J994" s="77" t="str">
        <x:f>IF(A994="","",IF(I994="기타/불명","확인 필요","결의서명으로 1차 확인"))</x:f>
      </x:c>
      <x:c r="K994" s="78"/>
    </x:row>
    <x:row r="995">
      <x:c r="A995" s="73"/>
      <x:c r="B995" s="73"/>
      <x:c r="C995" s="74"/>
      <x:c r="D995" s="73"/>
      <x:c r="E995" s="73"/>
      <x:c r="F995" s="75"/>
      <x:c r="G995" s="75"/>
      <x:c r="H995" s="76" t="str">
        <x:f>IF(A995="","",F995-G995)</x:f>
      </x:c>
      <x:c r="I995" s="77" t="str">
        <x:f>IF(A995="","",IF(E995="","기타/불명",IF(IFERROR(SEARCH("급여",E995),0)&gt;0,"인건비",IF(IFERROR(SEARCH("임차",E995),0)&gt;0,"임차·시설",IF(IFERROR(SEARCH("광고",E995),0)&gt;0,"광고·행사",IF(IFERROR(SEARCH("용역",E995),0)&gt;0,"용역·수수료","기타/불명"))))))</x:f>
      </x:c>
      <x:c r="J995" s="77" t="str">
        <x:f>IF(A995="","",IF(I995="기타/불명","확인 필요","결의서명으로 1차 확인"))</x:f>
      </x:c>
      <x:c r="K995" s="78"/>
    </x:row>
    <x:row r="996">
      <x:c r="A996" s="73"/>
      <x:c r="B996" s="73"/>
      <x:c r="C996" s="74"/>
      <x:c r="D996" s="73"/>
      <x:c r="E996" s="73"/>
      <x:c r="F996" s="75"/>
      <x:c r="G996" s="75"/>
      <x:c r="H996" s="76" t="str">
        <x:f>IF(A996="","",F996-G996)</x:f>
      </x:c>
      <x:c r="I996" s="77" t="str">
        <x:f>IF(A996="","",IF(E996="","기타/불명",IF(IFERROR(SEARCH("급여",E996),0)&gt;0,"인건비",IF(IFERROR(SEARCH("임차",E996),0)&gt;0,"임차·시설",IF(IFERROR(SEARCH("광고",E996),0)&gt;0,"광고·행사",IF(IFERROR(SEARCH("용역",E996),0)&gt;0,"용역·수수료","기타/불명"))))))</x:f>
      </x:c>
      <x:c r="J996" s="77" t="str">
        <x:f>IF(A996="","",IF(I996="기타/불명","확인 필요","결의서명으로 1차 확인"))</x:f>
      </x:c>
      <x:c r="K996" s="78"/>
    </x:row>
    <x:row r="997">
      <x:c r="A997" s="73"/>
      <x:c r="B997" s="73"/>
      <x:c r="C997" s="74"/>
      <x:c r="D997" s="73"/>
      <x:c r="E997" s="73"/>
      <x:c r="F997" s="75"/>
      <x:c r="G997" s="75"/>
      <x:c r="H997" s="76" t="str">
        <x:f>IF(A997="","",F997-G997)</x:f>
      </x:c>
      <x:c r="I997" s="77" t="str">
        <x:f>IF(A997="","",IF(E997="","기타/불명",IF(IFERROR(SEARCH("급여",E997),0)&gt;0,"인건비",IF(IFERROR(SEARCH("임차",E997),0)&gt;0,"임차·시설",IF(IFERROR(SEARCH("광고",E997),0)&gt;0,"광고·행사",IF(IFERROR(SEARCH("용역",E997),0)&gt;0,"용역·수수료","기타/불명"))))))</x:f>
      </x:c>
      <x:c r="J997" s="77" t="str">
        <x:f>IF(A997="","",IF(I997="기타/불명","확인 필요","결의서명으로 1차 확인"))</x:f>
      </x:c>
      <x:c r="K997" s="78"/>
    </x:row>
    <x:row r="998">
      <x:c r="A998" s="73"/>
      <x:c r="B998" s="73"/>
      <x:c r="C998" s="74"/>
      <x:c r="D998" s="73"/>
      <x:c r="E998" s="73"/>
      <x:c r="F998" s="75"/>
      <x:c r="G998" s="75"/>
      <x:c r="H998" s="76" t="str">
        <x:f>IF(A998="","",F998-G998)</x:f>
      </x:c>
      <x:c r="I998" s="77" t="str">
        <x:f>IF(A998="","",IF(E998="","기타/불명",IF(IFERROR(SEARCH("급여",E998),0)&gt;0,"인건비",IF(IFERROR(SEARCH("임차",E998),0)&gt;0,"임차·시설",IF(IFERROR(SEARCH("광고",E998),0)&gt;0,"광고·행사",IF(IFERROR(SEARCH("용역",E998),0)&gt;0,"용역·수수료","기타/불명"))))))</x:f>
      </x:c>
      <x:c r="J998" s="77" t="str">
        <x:f>IF(A998="","",IF(I998="기타/불명","확인 필요","결의서명으로 1차 확인"))</x:f>
      </x:c>
      <x:c r="K998" s="78"/>
    </x:row>
    <x:row r="999">
      <x:c r="A999" s="73"/>
      <x:c r="B999" s="73"/>
      <x:c r="C999" s="74"/>
      <x:c r="D999" s="73"/>
      <x:c r="E999" s="73"/>
      <x:c r="F999" s="75"/>
      <x:c r="G999" s="75"/>
      <x:c r="H999" s="76" t="str">
        <x:f>IF(A999="","",F999-G999)</x:f>
      </x:c>
      <x:c r="I999" s="77" t="str">
        <x:f>IF(A999="","",IF(E999="","기타/불명",IF(IFERROR(SEARCH("급여",E999),0)&gt;0,"인건비",IF(IFERROR(SEARCH("임차",E999),0)&gt;0,"임차·시설",IF(IFERROR(SEARCH("광고",E999),0)&gt;0,"광고·행사",IF(IFERROR(SEARCH("용역",E999),0)&gt;0,"용역·수수료","기타/불명"))))))</x:f>
      </x:c>
      <x:c r="J999" s="77" t="str">
        <x:f>IF(A999="","",IF(I999="기타/불명","확인 필요","결의서명으로 1차 확인"))</x:f>
      </x:c>
      <x:c r="K999" s="78"/>
    </x:row>
    <x:row r="1000">
      <x:c r="A1000" s="73"/>
      <x:c r="B1000" s="73"/>
      <x:c r="C1000" s="74"/>
      <x:c r="D1000" s="73"/>
      <x:c r="E1000" s="73"/>
      <x:c r="F1000" s="75"/>
      <x:c r="G1000" s="75"/>
      <x:c r="H1000" s="76" t="str">
        <x:f>IF(A1000="","",F1000-G1000)</x:f>
      </x:c>
      <x:c r="I1000" s="77" t="str">
        <x:f>IF(A1000="","",IF(E1000="","기타/불명",IF(IFERROR(SEARCH("급여",E1000),0)&gt;0,"인건비",IF(IFERROR(SEARCH("임차",E1000),0)&gt;0,"임차·시설",IF(IFERROR(SEARCH("광고",E1000),0)&gt;0,"광고·행사",IF(IFERROR(SEARCH("용역",E1000),0)&gt;0,"용역·수수료","기타/불명"))))))</x:f>
      </x:c>
      <x:c r="J1000" s="77" t="str">
        <x:f>IF(A1000="","",IF(I1000="기타/불명","확인 필요","결의서명으로 1차 확인"))</x:f>
      </x:c>
      <x:c r="K1000" s="78"/>
    </x:row>
    <x:row r="1001">
      <x:c r="A1001" s="73"/>
      <x:c r="B1001" s="73"/>
      <x:c r="C1001" s="74"/>
      <x:c r="D1001" s="73"/>
      <x:c r="E1001" s="73"/>
      <x:c r="F1001" s="75"/>
      <x:c r="G1001" s="75"/>
      <x:c r="H1001" s="76" t="str">
        <x:f>IF(A1001="","",F1001-G1001)</x:f>
      </x:c>
      <x:c r="I1001" s="77" t="str">
        <x:f>IF(A1001="","",IF(E1001="","기타/불명",IF(IFERROR(SEARCH("급여",E1001),0)&gt;0,"인건비",IF(IFERROR(SEARCH("임차",E1001),0)&gt;0,"임차·시설",IF(IFERROR(SEARCH("광고",E1001),0)&gt;0,"광고·행사",IF(IFERROR(SEARCH("용역",E1001),0)&gt;0,"용역·수수료","기타/불명"))))))</x:f>
      </x:c>
      <x:c r="J1001" s="77" t="str">
        <x:f>IF(A1001="","",IF(I1001="기타/불명","확인 필요","결의서명으로 1차 확인"))</x:f>
      </x:c>
      <x:c r="K1001" s="78"/>
    </x:row>
    <x:row r="1002">
      <x:c r="A1002" s="73"/>
      <x:c r="B1002" s="73"/>
      <x:c r="C1002" s="74"/>
      <x:c r="D1002" s="73"/>
      <x:c r="E1002" s="73"/>
      <x:c r="F1002" s="75"/>
      <x:c r="G1002" s="75"/>
      <x:c r="H1002" s="76" t="str">
        <x:f>IF(A1002="","",F1002-G1002)</x:f>
      </x:c>
      <x:c r="I1002" s="77" t="str">
        <x:f>IF(A1002="","",IF(E1002="","기타/불명",IF(IFERROR(SEARCH("급여",E1002),0)&gt;0,"인건비",IF(IFERROR(SEARCH("임차",E1002),0)&gt;0,"임차·시설",IF(IFERROR(SEARCH("광고",E1002),0)&gt;0,"광고·행사",IF(IFERROR(SEARCH("용역",E1002),0)&gt;0,"용역·수수료","기타/불명"))))))</x:f>
      </x:c>
      <x:c r="J1002" s="77" t="str">
        <x:f>IF(A1002="","",IF(I1002="기타/불명","확인 필요","결의서명으로 1차 확인"))</x:f>
      </x:c>
      <x:c r="K1002" s="78"/>
    </x:row>
    <x:row r="1003">
      <x:c r="A1003" s="73"/>
      <x:c r="B1003" s="73"/>
      <x:c r="C1003" s="74"/>
      <x:c r="D1003" s="73"/>
      <x:c r="E1003" s="73"/>
      <x:c r="F1003" s="75"/>
      <x:c r="G1003" s="75"/>
      <x:c r="H1003" s="76" t="str">
        <x:f>IF(A1003="","",F1003-G1003)</x:f>
      </x:c>
      <x:c r="I1003" s="77" t="str">
        <x:f>IF(A1003="","",IF(E1003="","기타/불명",IF(IFERROR(SEARCH("급여",E1003),0)&gt;0,"인건비",IF(IFERROR(SEARCH("임차",E1003),0)&gt;0,"임차·시설",IF(IFERROR(SEARCH("광고",E1003),0)&gt;0,"광고·행사",IF(IFERROR(SEARCH("용역",E1003),0)&gt;0,"용역·수수료","기타/불명"))))))</x:f>
      </x:c>
      <x:c r="J1003" s="77" t="str">
        <x:f>IF(A1003="","",IF(I1003="기타/불명","확인 필요","결의서명으로 1차 확인"))</x:f>
      </x:c>
      <x:c r="K1003" s="78"/>
    </x:row>
    <x:row r="1004">
      <x:c r="A1004" s="79"/>
      <x:c r="B1004" s="79"/>
      <x:c r="C1004" s="80"/>
      <x:c r="D1004" s="79"/>
      <x:c r="E1004" s="79"/>
      <x:c r="F1004" s="81"/>
      <x:c r="G1004" s="81"/>
      <x:c r="H1004" s="82" t="str">
        <x:f>IF(A1004="","",F1004-G1004)</x:f>
      </x:c>
      <x:c r="I1004" s="83" t="str">
        <x:f>IF(A1004="","",IF(E1004="","기타/불명",IF(IFERROR(SEARCH("급여",E1004),0)&gt;0,"인건비",IF(IFERROR(SEARCH("임차",E1004),0)&gt;0,"임차·시설",IF(IFERROR(SEARCH("광고",E1004),0)&gt;0,"광고·행사",IF(IFERROR(SEARCH("용역",E1004),0)&gt;0,"용역·수수료","기타/불명"))))))</x:f>
      </x:c>
      <x:c r="J1004" s="83" t="str">
        <x:f>IF(A1004="","",IF(I1004="기타/불명","확인 필요","결의서명으로 1차 확인"))</x:f>
      </x:c>
      <x:c r="K1004" s="84"/>
    </x:row>
  </x:sheetData>
  <x:mergeCells>
    <x:mergeCell ref="A1:K1"/>
  </x:mergeCells>
  <x:conditionalFormatting sqref="J5:J1004">
    <x:cfRule type="containsText" dxfId="0" priority="1" operator="containsText" text="확인 필요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16" hidden="0" customWidth="1"/>
    <x:col min="5" max="5" width="38" hidden="0" customWidth="1"/>
    <x:col min="6" max="6" width="17" hidden="0" customWidth="1"/>
    <x:col min="7" max="7" width="17" hidden="0" customWidth="1"/>
    <x:col min="8" max="8" width="17" hidden="0" customWidth="1"/>
    <x:col min="9" max="9" width="18" hidden="0" customWidth="1"/>
    <x:col min="10" max="10" width="22" hidden="0" customWidth="1"/>
    <x:col min="11" max="11" width="34" hidden="0" customWidth="1"/>
  </x:cols>
  <x:sheetData>
    <x:row r="1" ht="34" customHeight="1">
      <x:c r="A1" s="4" t="str">
        <x:v>당기 계정원장</x:v>
      </x:c>
      <x:c r="B1" s="4" t="str">
        <x:v>당기 계정원장</x:v>
      </x:c>
      <x:c r="C1" s="4" t="str">
        <x:v>당기 계정원장</x:v>
      </x:c>
      <x:c r="D1" s="4" t="str">
        <x:v>당기 계정원장</x:v>
      </x:c>
      <x:c r="E1" s="4" t="str">
        <x:v>당기 계정원장</x:v>
      </x:c>
      <x:c r="F1" s="4" t="str">
        <x:v>당기 계정원장</x:v>
      </x:c>
      <x:c r="G1" s="4" t="str">
        <x:v>당기 계정원장</x:v>
      </x:c>
      <x:c r="H1" s="4" t="str">
        <x:v>당기 계정원장</x:v>
      </x:c>
      <x:c r="I1" s="4" t="str">
        <x:v>당기 계정원장</x:v>
      </x:c>
      <x:c r="J1" s="4" t="str">
        <x:v>당기 계정원장</x:v>
      </x:c>
      <x:c r="K1" s="4" t="str">
        <x:v>당기 계정원장</x:v>
      </x:c>
    </x:row>
    <x:row r="2">
      <x:c r="A2" s="5" t="str">
        <x:v>A:G 입력 / H:J 자동계산 / K 검토자 입력</x:v>
      </x:c>
    </x:row>
    <x:row r="4" ht="30" customHeight="1">
      <x:c r="A4" s="71" t="str">
        <x:v>계정코드</x:v>
      </x:c>
      <x:c r="B4" s="72" t="str">
        <x:v>계정명</x:v>
      </x:c>
      <x:c r="C4" s="72" t="str">
        <x:v>전표일자</x:v>
      </x:c>
      <x:c r="D4" s="72" t="str">
        <x:v>결의서번호</x:v>
      </x:c>
      <x:c r="E4" s="72" t="str">
        <x:v>결의서명</x:v>
      </x:c>
      <x:c r="F4" s="72" t="str">
        <x:v>차변</x:v>
      </x:c>
      <x:c r="G4" s="72" t="str">
        <x:v>대변</x:v>
      </x:c>
      <x:c r="H4" s="72" t="str">
        <x:v>순액(차변-대변)</x:v>
      </x:c>
      <x:c r="I4" s="72" t="str">
        <x:v>1차 원인분류</x:v>
      </x:c>
      <x:c r="J4" s="72" t="str">
        <x:v>붙임 확인</x:v>
      </x:c>
      <x:c r="K4" s="72" t="str">
        <x:v>검토메모/붙임경로</x:v>
      </x:c>
    </x:row>
    <x:row r="5">
      <x:c r="A5" s="73" t="str">
        <x:v>510100</x:v>
      </x:c>
      <x:c r="B5" s="73" t="str">
        <x:v>급여</x:v>
      </x:c>
      <x:c r="C5" s="74" t="n">
        <x:v>46053</x:v>
      </x:c>
      <x:c r="D5" s="73" t="str">
        <x:v>C-001</x:v>
      </x:c>
      <x:c r="E5" s="73" t="str">
        <x:v>1월 정규직 급여 및 신규채용 반영</x:v>
      </x:c>
      <x:c r="F5" s="75" t="n">
        <x:v>470000000</x:v>
      </x:c>
      <x:c r="G5" s="75" t="n">
        <x:v>0</x:v>
      </x:c>
      <x:c r="H5" s="76" t="n">
        <x:f>IF(A5="","",F5-G5)</x:f>
        <x:v>470000000</x:v>
      </x:c>
      <x:c r="I5" s="77" t="str">
        <x:f>IF(A5="","",IF(E5="","기타/불명",IF(IFERROR(SEARCH("급여",E5),0)&gt;0,"인건비",IF(IFERROR(SEARCH("임차",E5),0)&gt;0,"임차·시설",IF(IFERROR(SEARCH("광고",E5),0)&gt;0,"광고·행사",IF(IFERROR(SEARCH("용역",E5),0)&gt;0,"용역·수수료","기타/불명"))))))</x:f>
        <x:v>인건비</x:v>
      </x:c>
      <x:c r="J5" s="77" t="str">
        <x:f>IF(A5="","",IF(I5="기타/불명","확인 필요","결의서명으로 1차 확인"))</x:f>
        <x:v>결의서명으로 1차 확인</x:v>
      </x:c>
      <x:c r="K5" s="78" t="str"/>
    </x:row>
    <x:row r="6">
      <x:c r="A6" s="73" t="str">
        <x:v>520300</x:v>
      </x:c>
      <x:c r="B6" s="73" t="str">
        <x:v>광고선전비</x:v>
      </x:c>
      <x:c r="C6" s="74" t="n">
        <x:v>46103</x:v>
      </x:c>
      <x:c r="D6" s="73" t="str">
        <x:v>C-041</x:v>
      </x:c>
      <x:c r="E6" s="73" t="str">
        <x:v>신제품 출시 광고 캠페인</x:v>
      </x:c>
      <x:c r="F6" s="75" t="n">
        <x:v>260000000</x:v>
      </x:c>
      <x:c r="G6" s="75" t="n">
        <x:v>0</x:v>
      </x:c>
      <x:c r="H6" s="76" t="n">
        <x:f>IF(A6="","",F6-G6)</x:f>
        <x:v>260000000</x:v>
      </x:c>
      <x:c r="I6" s="77" t="str">
        <x:f>IF(A6="","",IF(E6="","기타/불명",IF(IFERROR(SEARCH("급여",E6),0)&gt;0,"인건비",IF(IFERROR(SEARCH("임차",E6),0)&gt;0,"임차·시설",IF(IFERROR(SEARCH("광고",E6),0)&gt;0,"광고·행사",IF(IFERROR(SEARCH("용역",E6),0)&gt;0,"용역·수수료","기타/불명"))))))</x:f>
        <x:v>광고·행사</x:v>
      </x:c>
      <x:c r="J6" s="77" t="str">
        <x:f>IF(A6="","",IF(I6="기타/불명","확인 필요","결의서명으로 1차 확인"))</x:f>
        <x:v>결의서명으로 1차 확인</x:v>
      </x:c>
      <x:c r="K6" s="78" t="str"/>
    </x:row>
    <x:row r="7">
      <x:c r="A7" s="73" t="str">
        <x:v>530100</x:v>
      </x:c>
      <x:c r="B7" s="73" t="str">
        <x:v>임차료</x:v>
      </x:c>
      <x:c r="C7" s="74" t="n">
        <x:v>46063</x:v>
      </x:c>
      <x:c r="D7" s="73" t="str">
        <x:v>C-022</x:v>
      </x:c>
      <x:c r="E7" s="73" t="str">
        <x:v>본사 사무실 임차료</x:v>
      </x:c>
      <x:c r="F7" s="75" t="n">
        <x:v>240000000</x:v>
      </x:c>
      <x:c r="G7" s="75" t="n">
        <x:v>0</x:v>
      </x:c>
      <x:c r="H7" s="76" t="n">
        <x:f>IF(A7="","",F7-G7)</x:f>
        <x:v>240000000</x:v>
      </x:c>
      <x:c r="I7" s="77" t="str">
        <x:f>IF(A7="","",IF(E7="","기타/불명",IF(IFERROR(SEARCH("급여",E7),0)&gt;0,"인건비",IF(IFERROR(SEARCH("임차",E7),0)&gt;0,"임차·시설",IF(IFERROR(SEARCH("광고",E7),0)&gt;0,"광고·행사",IF(IFERROR(SEARCH("용역",E7),0)&gt;0,"용역·수수료","기타/불명"))))))</x:f>
        <x:v>임차·시설</x:v>
      </x:c>
      <x:c r="J7" s="77" t="str">
        <x:f>IF(A7="","",IF(I7="기타/불명","확인 필요","결의서명으로 1차 확인"))</x:f>
        <x:v>결의서명으로 1차 확인</x:v>
      </x:c>
      <x:c r="K7" s="78" t="str"/>
    </x:row>
    <x:row r="8">
      <x:c r="A8" s="73" t="str">
        <x:v>550500</x:v>
      </x:c>
      <x:c r="B8" s="73" t="str">
        <x:v>소프트웨어</x:v>
      </x:c>
      <x:c r="C8" s="74" t="n">
        <x:v>46113</x:v>
      </x:c>
      <x:c r="D8" s="73" t="str">
        <x:v>C-067</x:v>
      </x:c>
      <x:c r="E8" s="73" t="str">
        <x:v>ERP 시스템 구축 용역</x:v>
      </x:c>
      <x:c r="F8" s="75" t="n">
        <x:v>180000000</x:v>
      </x:c>
      <x:c r="G8" s="75" t="n">
        <x:v>0</x:v>
      </x:c>
      <x:c r="H8" s="76" t="n">
        <x:f>IF(A8="","",F8-G8)</x:f>
        <x:v>180000000</x:v>
      </x:c>
      <x:c r="I8" s="77" t="str">
        <x:f>IF(A8="","",IF(E8="","기타/불명",IF(IFERROR(SEARCH("급여",E8),0)&gt;0,"인건비",IF(IFERROR(SEARCH("임차",E8),0)&gt;0,"임차·시설",IF(IFERROR(SEARCH("광고",E8),0)&gt;0,"광고·행사",IF(IFERROR(SEARCH("용역",E8),0)&gt;0,"용역·수수료","기타/불명"))))))</x:f>
        <x:v>용역·수수료</x:v>
      </x:c>
      <x:c r="J8" s="77" t="str">
        <x:f>IF(A8="","",IF(I8="기타/불명","확인 필요","결의서명으로 1차 확인"))</x:f>
        <x:v>결의서명으로 1차 확인</x:v>
      </x:c>
      <x:c r="K8" s="78" t="str"/>
    </x:row>
    <x:row r="9">
      <x:c r="A9" s="73"/>
      <x:c r="B9" s="73"/>
      <x:c r="C9" s="74"/>
      <x:c r="D9" s="73"/>
      <x:c r="E9" s="73"/>
      <x:c r="F9" s="75"/>
      <x:c r="G9" s="75"/>
      <x:c r="H9" s="76" t="str">
        <x:f>IF(A9="","",F9-G9)</x:f>
      </x:c>
      <x:c r="I9" s="77" t="str">
        <x:f>IF(A9="","",IF(E9="","기타/불명",IF(IFERROR(SEARCH("급여",E9),0)&gt;0,"인건비",IF(IFERROR(SEARCH("임차",E9),0)&gt;0,"임차·시설",IF(IFERROR(SEARCH("광고",E9),0)&gt;0,"광고·행사",IF(IFERROR(SEARCH("용역",E9),0)&gt;0,"용역·수수료","기타/불명"))))))</x:f>
      </x:c>
      <x:c r="J9" s="77" t="str">
        <x:f>IF(A9="","",IF(I9="기타/불명","확인 필요","결의서명으로 1차 확인"))</x:f>
      </x:c>
      <x:c r="K9" s="78"/>
    </x:row>
    <x:row r="10">
      <x:c r="A10" s="73"/>
      <x:c r="B10" s="73"/>
      <x:c r="C10" s="74"/>
      <x:c r="D10" s="73"/>
      <x:c r="E10" s="73"/>
      <x:c r="F10" s="75"/>
      <x:c r="G10" s="75"/>
      <x:c r="H10" s="76" t="str">
        <x:f>IF(A10="","",F10-G10)</x:f>
      </x:c>
      <x:c r="I10" s="77" t="str">
        <x:f>IF(A10="","",IF(E10="","기타/불명",IF(IFERROR(SEARCH("급여",E10),0)&gt;0,"인건비",IF(IFERROR(SEARCH("임차",E10),0)&gt;0,"임차·시설",IF(IFERROR(SEARCH("광고",E10),0)&gt;0,"광고·행사",IF(IFERROR(SEARCH("용역",E10),0)&gt;0,"용역·수수료","기타/불명"))))))</x:f>
      </x:c>
      <x:c r="J10" s="77" t="str">
        <x:f>IF(A10="","",IF(I10="기타/불명","확인 필요","결의서명으로 1차 확인"))</x:f>
      </x:c>
      <x:c r="K10" s="78"/>
    </x:row>
    <x:row r="11">
      <x:c r="A11" s="73"/>
      <x:c r="B11" s="73"/>
      <x:c r="C11" s="74"/>
      <x:c r="D11" s="73"/>
      <x:c r="E11" s="73"/>
      <x:c r="F11" s="75"/>
      <x:c r="G11" s="75"/>
      <x:c r="H11" s="76" t="str">
        <x:f>IF(A11="","",F11-G11)</x:f>
      </x:c>
      <x:c r="I11" s="77" t="str">
        <x:f>IF(A11="","",IF(E11="","기타/불명",IF(IFERROR(SEARCH("급여",E11),0)&gt;0,"인건비",IF(IFERROR(SEARCH("임차",E11),0)&gt;0,"임차·시설",IF(IFERROR(SEARCH("광고",E11),0)&gt;0,"광고·행사",IF(IFERROR(SEARCH("용역",E11),0)&gt;0,"용역·수수료","기타/불명"))))))</x:f>
      </x:c>
      <x:c r="J11" s="77" t="str">
        <x:f>IF(A11="","",IF(I11="기타/불명","확인 필요","결의서명으로 1차 확인"))</x:f>
      </x:c>
      <x:c r="K11" s="78"/>
    </x:row>
    <x:row r="12">
      <x:c r="A12" s="73"/>
      <x:c r="B12" s="73"/>
      <x:c r="C12" s="74"/>
      <x:c r="D12" s="73"/>
      <x:c r="E12" s="73"/>
      <x:c r="F12" s="75"/>
      <x:c r="G12" s="75"/>
      <x:c r="H12" s="76" t="str">
        <x:f>IF(A12="","",F12-G12)</x:f>
      </x:c>
      <x:c r="I12" s="77" t="str">
        <x:f>IF(A12="","",IF(E12="","기타/불명",IF(IFERROR(SEARCH("급여",E12),0)&gt;0,"인건비",IF(IFERROR(SEARCH("임차",E12),0)&gt;0,"임차·시설",IF(IFERROR(SEARCH("광고",E12),0)&gt;0,"광고·행사",IF(IFERROR(SEARCH("용역",E12),0)&gt;0,"용역·수수료","기타/불명"))))))</x:f>
      </x:c>
      <x:c r="J12" s="77" t="str">
        <x:f>IF(A12="","",IF(I12="기타/불명","확인 필요","결의서명으로 1차 확인"))</x:f>
      </x:c>
      <x:c r="K12" s="78"/>
    </x:row>
    <x:row r="13">
      <x:c r="A13" s="73"/>
      <x:c r="B13" s="73"/>
      <x:c r="C13" s="74"/>
      <x:c r="D13" s="73"/>
      <x:c r="E13" s="73"/>
      <x:c r="F13" s="75"/>
      <x:c r="G13" s="75"/>
      <x:c r="H13" s="76" t="str">
        <x:f>IF(A13="","",F13-G13)</x:f>
      </x:c>
      <x:c r="I13" s="77" t="str">
        <x:f>IF(A13="","",IF(E13="","기타/불명",IF(IFERROR(SEARCH("급여",E13),0)&gt;0,"인건비",IF(IFERROR(SEARCH("임차",E13),0)&gt;0,"임차·시설",IF(IFERROR(SEARCH("광고",E13),0)&gt;0,"광고·행사",IF(IFERROR(SEARCH("용역",E13),0)&gt;0,"용역·수수료","기타/불명"))))))</x:f>
      </x:c>
      <x:c r="J13" s="77" t="str">
        <x:f>IF(A13="","",IF(I13="기타/불명","확인 필요","결의서명으로 1차 확인"))</x:f>
      </x:c>
      <x:c r="K13" s="78"/>
    </x:row>
    <x:row r="14">
      <x:c r="A14" s="73"/>
      <x:c r="B14" s="73"/>
      <x:c r="C14" s="74"/>
      <x:c r="D14" s="73"/>
      <x:c r="E14" s="73"/>
      <x:c r="F14" s="75"/>
      <x:c r="G14" s="75"/>
      <x:c r="H14" s="76" t="str">
        <x:f>IF(A14="","",F14-G14)</x:f>
      </x:c>
      <x:c r="I14" s="77" t="str">
        <x:f>IF(A14="","",IF(E14="","기타/불명",IF(IFERROR(SEARCH("급여",E14),0)&gt;0,"인건비",IF(IFERROR(SEARCH("임차",E14),0)&gt;0,"임차·시설",IF(IFERROR(SEARCH("광고",E14),0)&gt;0,"광고·행사",IF(IFERROR(SEARCH("용역",E14),0)&gt;0,"용역·수수료","기타/불명"))))))</x:f>
      </x:c>
      <x:c r="J14" s="77" t="str">
        <x:f>IF(A14="","",IF(I14="기타/불명","확인 필요","결의서명으로 1차 확인"))</x:f>
      </x:c>
      <x:c r="K14" s="78"/>
    </x:row>
    <x:row r="15">
      <x:c r="A15" s="73"/>
      <x:c r="B15" s="73"/>
      <x:c r="C15" s="74"/>
      <x:c r="D15" s="73"/>
      <x:c r="E15" s="73"/>
      <x:c r="F15" s="75"/>
      <x:c r="G15" s="75"/>
      <x:c r="H15" s="76" t="str">
        <x:f>IF(A15="","",F15-G15)</x:f>
      </x:c>
      <x:c r="I15" s="77" t="str">
        <x:f>IF(A15="","",IF(E15="","기타/불명",IF(IFERROR(SEARCH("급여",E15),0)&gt;0,"인건비",IF(IFERROR(SEARCH("임차",E15),0)&gt;0,"임차·시설",IF(IFERROR(SEARCH("광고",E15),0)&gt;0,"광고·행사",IF(IFERROR(SEARCH("용역",E15),0)&gt;0,"용역·수수료","기타/불명"))))))</x:f>
      </x:c>
      <x:c r="J15" s="77" t="str">
        <x:f>IF(A15="","",IF(I15="기타/불명","확인 필요","결의서명으로 1차 확인"))</x:f>
      </x:c>
      <x:c r="K15" s="78"/>
    </x:row>
    <x:row r="16">
      <x:c r="A16" s="73"/>
      <x:c r="B16" s="73"/>
      <x:c r="C16" s="74"/>
      <x:c r="D16" s="73"/>
      <x:c r="E16" s="73"/>
      <x:c r="F16" s="75"/>
      <x:c r="G16" s="75"/>
      <x:c r="H16" s="76" t="str">
        <x:f>IF(A16="","",F16-G16)</x:f>
      </x:c>
      <x:c r="I16" s="77" t="str">
        <x:f>IF(A16="","",IF(E16="","기타/불명",IF(IFERROR(SEARCH("급여",E16),0)&gt;0,"인건비",IF(IFERROR(SEARCH("임차",E16),0)&gt;0,"임차·시설",IF(IFERROR(SEARCH("광고",E16),0)&gt;0,"광고·행사",IF(IFERROR(SEARCH("용역",E16),0)&gt;0,"용역·수수료","기타/불명"))))))</x:f>
      </x:c>
      <x:c r="J16" s="77" t="str">
        <x:f>IF(A16="","",IF(I16="기타/불명","확인 필요","결의서명으로 1차 확인"))</x:f>
      </x:c>
      <x:c r="K16" s="78"/>
    </x:row>
    <x:row r="17">
      <x:c r="A17" s="73"/>
      <x:c r="B17" s="73"/>
      <x:c r="C17" s="74"/>
      <x:c r="D17" s="73"/>
      <x:c r="E17" s="73"/>
      <x:c r="F17" s="75"/>
      <x:c r="G17" s="75"/>
      <x:c r="H17" s="76" t="str">
        <x:f>IF(A17="","",F17-G17)</x:f>
      </x:c>
      <x:c r="I17" s="77" t="str">
        <x:f>IF(A17="","",IF(E17="","기타/불명",IF(IFERROR(SEARCH("급여",E17),0)&gt;0,"인건비",IF(IFERROR(SEARCH("임차",E17),0)&gt;0,"임차·시설",IF(IFERROR(SEARCH("광고",E17),0)&gt;0,"광고·행사",IF(IFERROR(SEARCH("용역",E17),0)&gt;0,"용역·수수료","기타/불명"))))))</x:f>
      </x:c>
      <x:c r="J17" s="77" t="str">
        <x:f>IF(A17="","",IF(I17="기타/불명","확인 필요","결의서명으로 1차 확인"))</x:f>
      </x:c>
      <x:c r="K17" s="78"/>
    </x:row>
    <x:row r="18">
      <x:c r="A18" s="73"/>
      <x:c r="B18" s="73"/>
      <x:c r="C18" s="74"/>
      <x:c r="D18" s="73"/>
      <x:c r="E18" s="73"/>
      <x:c r="F18" s="75"/>
      <x:c r="G18" s="75"/>
      <x:c r="H18" s="76" t="str">
        <x:f>IF(A18="","",F18-G18)</x:f>
      </x:c>
      <x:c r="I18" s="77" t="str">
        <x:f>IF(A18="","",IF(E18="","기타/불명",IF(IFERROR(SEARCH("급여",E18),0)&gt;0,"인건비",IF(IFERROR(SEARCH("임차",E18),0)&gt;0,"임차·시설",IF(IFERROR(SEARCH("광고",E18),0)&gt;0,"광고·행사",IF(IFERROR(SEARCH("용역",E18),0)&gt;0,"용역·수수료","기타/불명"))))))</x:f>
      </x:c>
      <x:c r="J18" s="77" t="str">
        <x:f>IF(A18="","",IF(I18="기타/불명","확인 필요","결의서명으로 1차 확인"))</x:f>
      </x:c>
      <x:c r="K18" s="78"/>
    </x:row>
    <x:row r="19">
      <x:c r="A19" s="73"/>
      <x:c r="B19" s="73"/>
      <x:c r="C19" s="74"/>
      <x:c r="D19" s="73"/>
      <x:c r="E19" s="73"/>
      <x:c r="F19" s="75"/>
      <x:c r="G19" s="75"/>
      <x:c r="H19" s="76" t="str">
        <x:f>IF(A19="","",F19-G19)</x:f>
      </x:c>
      <x:c r="I19" s="77" t="str">
        <x:f>IF(A19="","",IF(E19="","기타/불명",IF(IFERROR(SEARCH("급여",E19),0)&gt;0,"인건비",IF(IFERROR(SEARCH("임차",E19),0)&gt;0,"임차·시설",IF(IFERROR(SEARCH("광고",E19),0)&gt;0,"광고·행사",IF(IFERROR(SEARCH("용역",E19),0)&gt;0,"용역·수수료","기타/불명"))))))</x:f>
      </x:c>
      <x:c r="J19" s="77" t="str">
        <x:f>IF(A19="","",IF(I19="기타/불명","확인 필요","결의서명으로 1차 확인"))</x:f>
      </x:c>
      <x:c r="K19" s="78"/>
    </x:row>
    <x:row r="20">
      <x:c r="A20" s="73"/>
      <x:c r="B20" s="73"/>
      <x:c r="C20" s="74"/>
      <x:c r="D20" s="73"/>
      <x:c r="E20" s="73"/>
      <x:c r="F20" s="75"/>
      <x:c r="G20" s="75"/>
      <x:c r="H20" s="76" t="str">
        <x:f>IF(A20="","",F20-G20)</x:f>
      </x:c>
      <x:c r="I20" s="77" t="str">
        <x:f>IF(A20="","",IF(E20="","기타/불명",IF(IFERROR(SEARCH("급여",E20),0)&gt;0,"인건비",IF(IFERROR(SEARCH("임차",E20),0)&gt;0,"임차·시설",IF(IFERROR(SEARCH("광고",E20),0)&gt;0,"광고·행사",IF(IFERROR(SEARCH("용역",E20),0)&gt;0,"용역·수수료","기타/불명"))))))</x:f>
      </x:c>
      <x:c r="J20" s="77" t="str">
        <x:f>IF(A20="","",IF(I20="기타/불명","확인 필요","결의서명으로 1차 확인"))</x:f>
      </x:c>
      <x:c r="K20" s="78"/>
    </x:row>
    <x:row r="21">
      <x:c r="A21" s="73"/>
      <x:c r="B21" s="73"/>
      <x:c r="C21" s="74"/>
      <x:c r="D21" s="73"/>
      <x:c r="E21" s="73"/>
      <x:c r="F21" s="75"/>
      <x:c r="G21" s="75"/>
      <x:c r="H21" s="76" t="str">
        <x:f>IF(A21="","",F21-G21)</x:f>
      </x:c>
      <x:c r="I21" s="77" t="str">
        <x:f>IF(A21="","",IF(E21="","기타/불명",IF(IFERROR(SEARCH("급여",E21),0)&gt;0,"인건비",IF(IFERROR(SEARCH("임차",E21),0)&gt;0,"임차·시설",IF(IFERROR(SEARCH("광고",E21),0)&gt;0,"광고·행사",IF(IFERROR(SEARCH("용역",E21),0)&gt;0,"용역·수수료","기타/불명"))))))</x:f>
      </x:c>
      <x:c r="J21" s="77" t="str">
        <x:f>IF(A21="","",IF(I21="기타/불명","확인 필요","결의서명으로 1차 확인"))</x:f>
      </x:c>
      <x:c r="K21" s="78"/>
    </x:row>
    <x:row r="22">
      <x:c r="A22" s="73"/>
      <x:c r="B22" s="73"/>
      <x:c r="C22" s="74"/>
      <x:c r="D22" s="73"/>
      <x:c r="E22" s="73"/>
      <x:c r="F22" s="75"/>
      <x:c r="G22" s="75"/>
      <x:c r="H22" s="76" t="str">
        <x:f>IF(A22="","",F22-G22)</x:f>
      </x:c>
      <x:c r="I22" s="77" t="str">
        <x:f>IF(A22="","",IF(E22="","기타/불명",IF(IFERROR(SEARCH("급여",E22),0)&gt;0,"인건비",IF(IFERROR(SEARCH("임차",E22),0)&gt;0,"임차·시설",IF(IFERROR(SEARCH("광고",E22),0)&gt;0,"광고·행사",IF(IFERROR(SEARCH("용역",E22),0)&gt;0,"용역·수수료","기타/불명"))))))</x:f>
      </x:c>
      <x:c r="J22" s="77" t="str">
        <x:f>IF(A22="","",IF(I22="기타/불명","확인 필요","결의서명으로 1차 확인"))</x:f>
      </x:c>
      <x:c r="K22" s="78"/>
    </x:row>
    <x:row r="23">
      <x:c r="A23" s="73"/>
      <x:c r="B23" s="73"/>
      <x:c r="C23" s="74"/>
      <x:c r="D23" s="73"/>
      <x:c r="E23" s="73"/>
      <x:c r="F23" s="75"/>
      <x:c r="G23" s="75"/>
      <x:c r="H23" s="76" t="str">
        <x:f>IF(A23="","",F23-G23)</x:f>
      </x:c>
      <x:c r="I23" s="77" t="str">
        <x:f>IF(A23="","",IF(E23="","기타/불명",IF(IFERROR(SEARCH("급여",E23),0)&gt;0,"인건비",IF(IFERROR(SEARCH("임차",E23),0)&gt;0,"임차·시설",IF(IFERROR(SEARCH("광고",E23),0)&gt;0,"광고·행사",IF(IFERROR(SEARCH("용역",E23),0)&gt;0,"용역·수수료","기타/불명"))))))</x:f>
      </x:c>
      <x:c r="J23" s="77" t="str">
        <x:f>IF(A23="","",IF(I23="기타/불명","확인 필요","결의서명으로 1차 확인"))</x:f>
      </x:c>
      <x:c r="K23" s="78"/>
    </x:row>
    <x:row r="24">
      <x:c r="A24" s="73"/>
      <x:c r="B24" s="73"/>
      <x:c r="C24" s="74"/>
      <x:c r="D24" s="73"/>
      <x:c r="E24" s="73"/>
      <x:c r="F24" s="75"/>
      <x:c r="G24" s="75"/>
      <x:c r="H24" s="76" t="str">
        <x:f>IF(A24="","",F24-G24)</x:f>
      </x:c>
      <x:c r="I24" s="77" t="str">
        <x:f>IF(A24="","",IF(E24="","기타/불명",IF(IFERROR(SEARCH("급여",E24),0)&gt;0,"인건비",IF(IFERROR(SEARCH("임차",E24),0)&gt;0,"임차·시설",IF(IFERROR(SEARCH("광고",E24),0)&gt;0,"광고·행사",IF(IFERROR(SEARCH("용역",E24),0)&gt;0,"용역·수수료","기타/불명"))))))</x:f>
      </x:c>
      <x:c r="J24" s="77" t="str">
        <x:f>IF(A24="","",IF(I24="기타/불명","확인 필요","결의서명으로 1차 확인"))</x:f>
      </x:c>
      <x:c r="K24" s="78"/>
    </x:row>
    <x:row r="25">
      <x:c r="A25" s="73"/>
      <x:c r="B25" s="73"/>
      <x:c r="C25" s="74"/>
      <x:c r="D25" s="73"/>
      <x:c r="E25" s="73"/>
      <x:c r="F25" s="75"/>
      <x:c r="G25" s="75"/>
      <x:c r="H25" s="76" t="str">
        <x:f>IF(A25="","",F25-G25)</x:f>
      </x:c>
      <x:c r="I25" s="77" t="str">
        <x:f>IF(A25="","",IF(E25="","기타/불명",IF(IFERROR(SEARCH("급여",E25),0)&gt;0,"인건비",IF(IFERROR(SEARCH("임차",E25),0)&gt;0,"임차·시설",IF(IFERROR(SEARCH("광고",E25),0)&gt;0,"광고·행사",IF(IFERROR(SEARCH("용역",E25),0)&gt;0,"용역·수수료","기타/불명"))))))</x:f>
      </x:c>
      <x:c r="J25" s="77" t="str">
        <x:f>IF(A25="","",IF(I25="기타/불명","확인 필요","결의서명으로 1차 확인"))</x:f>
      </x:c>
      <x:c r="K25" s="78"/>
    </x:row>
    <x:row r="26">
      <x:c r="A26" s="73"/>
      <x:c r="B26" s="73"/>
      <x:c r="C26" s="74"/>
      <x:c r="D26" s="73"/>
      <x:c r="E26" s="73"/>
      <x:c r="F26" s="75"/>
      <x:c r="G26" s="75"/>
      <x:c r="H26" s="76" t="str">
        <x:f>IF(A26="","",F26-G26)</x:f>
      </x:c>
      <x:c r="I26" s="77" t="str">
        <x:f>IF(A26="","",IF(E26="","기타/불명",IF(IFERROR(SEARCH("급여",E26),0)&gt;0,"인건비",IF(IFERROR(SEARCH("임차",E26),0)&gt;0,"임차·시설",IF(IFERROR(SEARCH("광고",E26),0)&gt;0,"광고·행사",IF(IFERROR(SEARCH("용역",E26),0)&gt;0,"용역·수수료","기타/불명"))))))</x:f>
      </x:c>
      <x:c r="J26" s="77" t="str">
        <x:f>IF(A26="","",IF(I26="기타/불명","확인 필요","결의서명으로 1차 확인"))</x:f>
      </x:c>
      <x:c r="K26" s="78"/>
    </x:row>
    <x:row r="27">
      <x:c r="A27" s="73"/>
      <x:c r="B27" s="73"/>
      <x:c r="C27" s="74"/>
      <x:c r="D27" s="73"/>
      <x:c r="E27" s="73"/>
      <x:c r="F27" s="75"/>
      <x:c r="G27" s="75"/>
      <x:c r="H27" s="76" t="str">
        <x:f>IF(A27="","",F27-G27)</x:f>
      </x:c>
      <x:c r="I27" s="77" t="str">
        <x:f>IF(A27="","",IF(E27="","기타/불명",IF(IFERROR(SEARCH("급여",E27),0)&gt;0,"인건비",IF(IFERROR(SEARCH("임차",E27),0)&gt;0,"임차·시설",IF(IFERROR(SEARCH("광고",E27),0)&gt;0,"광고·행사",IF(IFERROR(SEARCH("용역",E27),0)&gt;0,"용역·수수료","기타/불명"))))))</x:f>
      </x:c>
      <x:c r="J27" s="77" t="str">
        <x:f>IF(A27="","",IF(I27="기타/불명","확인 필요","결의서명으로 1차 확인"))</x:f>
      </x:c>
      <x:c r="K27" s="78"/>
    </x:row>
    <x:row r="28">
      <x:c r="A28" s="73"/>
      <x:c r="B28" s="73"/>
      <x:c r="C28" s="74"/>
      <x:c r="D28" s="73"/>
      <x:c r="E28" s="73"/>
      <x:c r="F28" s="75"/>
      <x:c r="G28" s="75"/>
      <x:c r="H28" s="76" t="str">
        <x:f>IF(A28="","",F28-G28)</x:f>
      </x:c>
      <x:c r="I28" s="77" t="str">
        <x:f>IF(A28="","",IF(E28="","기타/불명",IF(IFERROR(SEARCH("급여",E28),0)&gt;0,"인건비",IF(IFERROR(SEARCH("임차",E28),0)&gt;0,"임차·시설",IF(IFERROR(SEARCH("광고",E28),0)&gt;0,"광고·행사",IF(IFERROR(SEARCH("용역",E28),0)&gt;0,"용역·수수료","기타/불명"))))))</x:f>
      </x:c>
      <x:c r="J28" s="77" t="str">
        <x:f>IF(A28="","",IF(I28="기타/불명","확인 필요","결의서명으로 1차 확인"))</x:f>
      </x:c>
      <x:c r="K28" s="78"/>
    </x:row>
    <x:row r="29">
      <x:c r="A29" s="73"/>
      <x:c r="B29" s="73"/>
      <x:c r="C29" s="74"/>
      <x:c r="D29" s="73"/>
      <x:c r="E29" s="73"/>
      <x:c r="F29" s="75"/>
      <x:c r="G29" s="75"/>
      <x:c r="H29" s="76" t="str">
        <x:f>IF(A29="","",F29-G29)</x:f>
      </x:c>
      <x:c r="I29" s="77" t="str">
        <x:f>IF(A29="","",IF(E29="","기타/불명",IF(IFERROR(SEARCH("급여",E29),0)&gt;0,"인건비",IF(IFERROR(SEARCH("임차",E29),0)&gt;0,"임차·시설",IF(IFERROR(SEARCH("광고",E29),0)&gt;0,"광고·행사",IF(IFERROR(SEARCH("용역",E29),0)&gt;0,"용역·수수료","기타/불명"))))))</x:f>
      </x:c>
      <x:c r="J29" s="77" t="str">
        <x:f>IF(A29="","",IF(I29="기타/불명","확인 필요","결의서명으로 1차 확인"))</x:f>
      </x:c>
      <x:c r="K29" s="78"/>
    </x:row>
    <x:row r="30">
      <x:c r="A30" s="73"/>
      <x:c r="B30" s="73"/>
      <x:c r="C30" s="74"/>
      <x:c r="D30" s="73"/>
      <x:c r="E30" s="73"/>
      <x:c r="F30" s="75"/>
      <x:c r="G30" s="75"/>
      <x:c r="H30" s="76" t="str">
        <x:f>IF(A30="","",F30-G30)</x:f>
      </x:c>
      <x:c r="I30" s="77" t="str">
        <x:f>IF(A30="","",IF(E30="","기타/불명",IF(IFERROR(SEARCH("급여",E30),0)&gt;0,"인건비",IF(IFERROR(SEARCH("임차",E30),0)&gt;0,"임차·시설",IF(IFERROR(SEARCH("광고",E30),0)&gt;0,"광고·행사",IF(IFERROR(SEARCH("용역",E30),0)&gt;0,"용역·수수료","기타/불명"))))))</x:f>
      </x:c>
      <x:c r="J30" s="77" t="str">
        <x:f>IF(A30="","",IF(I30="기타/불명","확인 필요","결의서명으로 1차 확인"))</x:f>
      </x:c>
      <x:c r="K30" s="78"/>
    </x:row>
    <x:row r="31">
      <x:c r="A31" s="73"/>
      <x:c r="B31" s="73"/>
      <x:c r="C31" s="74"/>
      <x:c r="D31" s="73"/>
      <x:c r="E31" s="73"/>
      <x:c r="F31" s="75"/>
      <x:c r="G31" s="75"/>
      <x:c r="H31" s="76" t="str">
        <x:f>IF(A31="","",F31-G31)</x:f>
      </x:c>
      <x:c r="I31" s="77" t="str">
        <x:f>IF(A31="","",IF(E31="","기타/불명",IF(IFERROR(SEARCH("급여",E31),0)&gt;0,"인건비",IF(IFERROR(SEARCH("임차",E31),0)&gt;0,"임차·시설",IF(IFERROR(SEARCH("광고",E31),0)&gt;0,"광고·행사",IF(IFERROR(SEARCH("용역",E31),0)&gt;0,"용역·수수료","기타/불명"))))))</x:f>
      </x:c>
      <x:c r="J31" s="77" t="str">
        <x:f>IF(A31="","",IF(I31="기타/불명","확인 필요","결의서명으로 1차 확인"))</x:f>
      </x:c>
      <x:c r="K31" s="78"/>
    </x:row>
    <x:row r="32">
      <x:c r="A32" s="73"/>
      <x:c r="B32" s="73"/>
      <x:c r="C32" s="74"/>
      <x:c r="D32" s="73"/>
      <x:c r="E32" s="73"/>
      <x:c r="F32" s="75"/>
      <x:c r="G32" s="75"/>
      <x:c r="H32" s="76" t="str">
        <x:f>IF(A32="","",F32-G32)</x:f>
      </x:c>
      <x:c r="I32" s="77" t="str">
        <x:f>IF(A32="","",IF(E32="","기타/불명",IF(IFERROR(SEARCH("급여",E32),0)&gt;0,"인건비",IF(IFERROR(SEARCH("임차",E32),0)&gt;0,"임차·시설",IF(IFERROR(SEARCH("광고",E32),0)&gt;0,"광고·행사",IF(IFERROR(SEARCH("용역",E32),0)&gt;0,"용역·수수료","기타/불명"))))))</x:f>
      </x:c>
      <x:c r="J32" s="77" t="str">
        <x:f>IF(A32="","",IF(I32="기타/불명","확인 필요","결의서명으로 1차 확인"))</x:f>
      </x:c>
      <x:c r="K32" s="78"/>
    </x:row>
    <x:row r="33">
      <x:c r="A33" s="73"/>
      <x:c r="B33" s="73"/>
      <x:c r="C33" s="74"/>
      <x:c r="D33" s="73"/>
      <x:c r="E33" s="73"/>
      <x:c r="F33" s="75"/>
      <x:c r="G33" s="75"/>
      <x:c r="H33" s="76" t="str">
        <x:f>IF(A33="","",F33-G33)</x:f>
      </x:c>
      <x:c r="I33" s="77" t="str">
        <x:f>IF(A33="","",IF(E33="","기타/불명",IF(IFERROR(SEARCH("급여",E33),0)&gt;0,"인건비",IF(IFERROR(SEARCH("임차",E33),0)&gt;0,"임차·시설",IF(IFERROR(SEARCH("광고",E33),0)&gt;0,"광고·행사",IF(IFERROR(SEARCH("용역",E33),0)&gt;0,"용역·수수료","기타/불명"))))))</x:f>
      </x:c>
      <x:c r="J33" s="77" t="str">
        <x:f>IF(A33="","",IF(I33="기타/불명","확인 필요","결의서명으로 1차 확인"))</x:f>
      </x:c>
      <x:c r="K33" s="78"/>
    </x:row>
    <x:row r="34">
      <x:c r="A34" s="73"/>
      <x:c r="B34" s="73"/>
      <x:c r="C34" s="74"/>
      <x:c r="D34" s="73"/>
      <x:c r="E34" s="73"/>
      <x:c r="F34" s="75"/>
      <x:c r="G34" s="75"/>
      <x:c r="H34" s="76" t="str">
        <x:f>IF(A34="","",F34-G34)</x:f>
      </x:c>
      <x:c r="I34" s="77" t="str">
        <x:f>IF(A34="","",IF(E34="","기타/불명",IF(IFERROR(SEARCH("급여",E34),0)&gt;0,"인건비",IF(IFERROR(SEARCH("임차",E34),0)&gt;0,"임차·시설",IF(IFERROR(SEARCH("광고",E34),0)&gt;0,"광고·행사",IF(IFERROR(SEARCH("용역",E34),0)&gt;0,"용역·수수료","기타/불명"))))))</x:f>
      </x:c>
      <x:c r="J34" s="77" t="str">
        <x:f>IF(A34="","",IF(I34="기타/불명","확인 필요","결의서명으로 1차 확인"))</x:f>
      </x:c>
      <x:c r="K34" s="78"/>
    </x:row>
    <x:row r="35">
      <x:c r="A35" s="73"/>
      <x:c r="B35" s="73"/>
      <x:c r="C35" s="74"/>
      <x:c r="D35" s="73"/>
      <x:c r="E35" s="73"/>
      <x:c r="F35" s="75"/>
      <x:c r="G35" s="75"/>
      <x:c r="H35" s="76" t="str">
        <x:f>IF(A35="","",F35-G35)</x:f>
      </x:c>
      <x:c r="I35" s="77" t="str">
        <x:f>IF(A35="","",IF(E35="","기타/불명",IF(IFERROR(SEARCH("급여",E35),0)&gt;0,"인건비",IF(IFERROR(SEARCH("임차",E35),0)&gt;0,"임차·시설",IF(IFERROR(SEARCH("광고",E35),0)&gt;0,"광고·행사",IF(IFERROR(SEARCH("용역",E35),0)&gt;0,"용역·수수료","기타/불명"))))))</x:f>
      </x:c>
      <x:c r="J35" s="77" t="str">
        <x:f>IF(A35="","",IF(I35="기타/불명","확인 필요","결의서명으로 1차 확인"))</x:f>
      </x:c>
      <x:c r="K35" s="78"/>
    </x:row>
    <x:row r="36">
      <x:c r="A36" s="73"/>
      <x:c r="B36" s="73"/>
      <x:c r="C36" s="74"/>
      <x:c r="D36" s="73"/>
      <x:c r="E36" s="73"/>
      <x:c r="F36" s="75"/>
      <x:c r="G36" s="75"/>
      <x:c r="H36" s="76" t="str">
        <x:f>IF(A36="","",F36-G36)</x:f>
      </x:c>
      <x:c r="I36" s="77" t="str">
        <x:f>IF(A36="","",IF(E36="","기타/불명",IF(IFERROR(SEARCH("급여",E36),0)&gt;0,"인건비",IF(IFERROR(SEARCH("임차",E36),0)&gt;0,"임차·시설",IF(IFERROR(SEARCH("광고",E36),0)&gt;0,"광고·행사",IF(IFERROR(SEARCH("용역",E36),0)&gt;0,"용역·수수료","기타/불명"))))))</x:f>
      </x:c>
      <x:c r="J36" s="77" t="str">
        <x:f>IF(A36="","",IF(I36="기타/불명","확인 필요","결의서명으로 1차 확인"))</x:f>
      </x:c>
      <x:c r="K36" s="78"/>
    </x:row>
    <x:row r="37">
      <x:c r="A37" s="73"/>
      <x:c r="B37" s="73"/>
      <x:c r="C37" s="74"/>
      <x:c r="D37" s="73"/>
      <x:c r="E37" s="73"/>
      <x:c r="F37" s="75"/>
      <x:c r="G37" s="75"/>
      <x:c r="H37" s="76" t="str">
        <x:f>IF(A37="","",F37-G37)</x:f>
      </x:c>
      <x:c r="I37" s="77" t="str">
        <x:f>IF(A37="","",IF(E37="","기타/불명",IF(IFERROR(SEARCH("급여",E37),0)&gt;0,"인건비",IF(IFERROR(SEARCH("임차",E37),0)&gt;0,"임차·시설",IF(IFERROR(SEARCH("광고",E37),0)&gt;0,"광고·행사",IF(IFERROR(SEARCH("용역",E37),0)&gt;0,"용역·수수료","기타/불명"))))))</x:f>
      </x:c>
      <x:c r="J37" s="77" t="str">
        <x:f>IF(A37="","",IF(I37="기타/불명","확인 필요","결의서명으로 1차 확인"))</x:f>
      </x:c>
      <x:c r="K37" s="78"/>
    </x:row>
    <x:row r="38">
      <x:c r="A38" s="73"/>
      <x:c r="B38" s="73"/>
      <x:c r="C38" s="74"/>
      <x:c r="D38" s="73"/>
      <x:c r="E38" s="73"/>
      <x:c r="F38" s="75"/>
      <x:c r="G38" s="75"/>
      <x:c r="H38" s="76" t="str">
        <x:f>IF(A38="","",F38-G38)</x:f>
      </x:c>
      <x:c r="I38" s="77" t="str">
        <x:f>IF(A38="","",IF(E38="","기타/불명",IF(IFERROR(SEARCH("급여",E38),0)&gt;0,"인건비",IF(IFERROR(SEARCH("임차",E38),0)&gt;0,"임차·시설",IF(IFERROR(SEARCH("광고",E38),0)&gt;0,"광고·행사",IF(IFERROR(SEARCH("용역",E38),0)&gt;0,"용역·수수료","기타/불명"))))))</x:f>
      </x:c>
      <x:c r="J38" s="77" t="str">
        <x:f>IF(A38="","",IF(I38="기타/불명","확인 필요","결의서명으로 1차 확인"))</x:f>
      </x:c>
      <x:c r="K38" s="78"/>
    </x:row>
    <x:row r="39">
      <x:c r="A39" s="73"/>
      <x:c r="B39" s="73"/>
      <x:c r="C39" s="74"/>
      <x:c r="D39" s="73"/>
      <x:c r="E39" s="73"/>
      <x:c r="F39" s="75"/>
      <x:c r="G39" s="75"/>
      <x:c r="H39" s="76" t="str">
        <x:f>IF(A39="","",F39-G39)</x:f>
      </x:c>
      <x:c r="I39" s="77" t="str">
        <x:f>IF(A39="","",IF(E39="","기타/불명",IF(IFERROR(SEARCH("급여",E39),0)&gt;0,"인건비",IF(IFERROR(SEARCH("임차",E39),0)&gt;0,"임차·시설",IF(IFERROR(SEARCH("광고",E39),0)&gt;0,"광고·행사",IF(IFERROR(SEARCH("용역",E39),0)&gt;0,"용역·수수료","기타/불명"))))))</x:f>
      </x:c>
      <x:c r="J39" s="77" t="str">
        <x:f>IF(A39="","",IF(I39="기타/불명","확인 필요","결의서명으로 1차 확인"))</x:f>
      </x:c>
      <x:c r="K39" s="78"/>
    </x:row>
    <x:row r="40">
      <x:c r="A40" s="73"/>
      <x:c r="B40" s="73"/>
      <x:c r="C40" s="74"/>
      <x:c r="D40" s="73"/>
      <x:c r="E40" s="73"/>
      <x:c r="F40" s="75"/>
      <x:c r="G40" s="75"/>
      <x:c r="H40" s="76" t="str">
        <x:f>IF(A40="","",F40-G40)</x:f>
      </x:c>
      <x:c r="I40" s="77" t="str">
        <x:f>IF(A40="","",IF(E40="","기타/불명",IF(IFERROR(SEARCH("급여",E40),0)&gt;0,"인건비",IF(IFERROR(SEARCH("임차",E40),0)&gt;0,"임차·시설",IF(IFERROR(SEARCH("광고",E40),0)&gt;0,"광고·행사",IF(IFERROR(SEARCH("용역",E40),0)&gt;0,"용역·수수료","기타/불명"))))))</x:f>
      </x:c>
      <x:c r="J40" s="77" t="str">
        <x:f>IF(A40="","",IF(I40="기타/불명","확인 필요","결의서명으로 1차 확인"))</x:f>
      </x:c>
      <x:c r="K40" s="78"/>
    </x:row>
    <x:row r="41">
      <x:c r="A41" s="73"/>
      <x:c r="B41" s="73"/>
      <x:c r="C41" s="74"/>
      <x:c r="D41" s="73"/>
      <x:c r="E41" s="73"/>
      <x:c r="F41" s="75"/>
      <x:c r="G41" s="75"/>
      <x:c r="H41" s="76" t="str">
        <x:f>IF(A41="","",F41-G41)</x:f>
      </x:c>
      <x:c r="I41" s="77" t="str">
        <x:f>IF(A41="","",IF(E41="","기타/불명",IF(IFERROR(SEARCH("급여",E41),0)&gt;0,"인건비",IF(IFERROR(SEARCH("임차",E41),0)&gt;0,"임차·시설",IF(IFERROR(SEARCH("광고",E41),0)&gt;0,"광고·행사",IF(IFERROR(SEARCH("용역",E41),0)&gt;0,"용역·수수료","기타/불명"))))))</x:f>
      </x:c>
      <x:c r="J41" s="77" t="str">
        <x:f>IF(A41="","",IF(I41="기타/불명","확인 필요","결의서명으로 1차 확인"))</x:f>
      </x:c>
      <x:c r="K41" s="78"/>
    </x:row>
    <x:row r="42">
      <x:c r="A42" s="73"/>
      <x:c r="B42" s="73"/>
      <x:c r="C42" s="74"/>
      <x:c r="D42" s="73"/>
      <x:c r="E42" s="73"/>
      <x:c r="F42" s="75"/>
      <x:c r="G42" s="75"/>
      <x:c r="H42" s="76" t="str">
        <x:f>IF(A42="","",F42-G42)</x:f>
      </x:c>
      <x:c r="I42" s="77" t="str">
        <x:f>IF(A42="","",IF(E42="","기타/불명",IF(IFERROR(SEARCH("급여",E42),0)&gt;0,"인건비",IF(IFERROR(SEARCH("임차",E42),0)&gt;0,"임차·시설",IF(IFERROR(SEARCH("광고",E42),0)&gt;0,"광고·행사",IF(IFERROR(SEARCH("용역",E42),0)&gt;0,"용역·수수료","기타/불명"))))))</x:f>
      </x:c>
      <x:c r="J42" s="77" t="str">
        <x:f>IF(A42="","",IF(I42="기타/불명","확인 필요","결의서명으로 1차 확인"))</x:f>
      </x:c>
      <x:c r="K42" s="78"/>
    </x:row>
    <x:row r="43">
      <x:c r="A43" s="73"/>
      <x:c r="B43" s="73"/>
      <x:c r="C43" s="74"/>
      <x:c r="D43" s="73"/>
      <x:c r="E43" s="73"/>
      <x:c r="F43" s="75"/>
      <x:c r="G43" s="75"/>
      <x:c r="H43" s="76" t="str">
        <x:f>IF(A43="","",F43-G43)</x:f>
      </x:c>
      <x:c r="I43" s="77" t="str">
        <x:f>IF(A43="","",IF(E43="","기타/불명",IF(IFERROR(SEARCH("급여",E43),0)&gt;0,"인건비",IF(IFERROR(SEARCH("임차",E43),0)&gt;0,"임차·시설",IF(IFERROR(SEARCH("광고",E43),0)&gt;0,"광고·행사",IF(IFERROR(SEARCH("용역",E43),0)&gt;0,"용역·수수료","기타/불명"))))))</x:f>
      </x:c>
      <x:c r="J43" s="77" t="str">
        <x:f>IF(A43="","",IF(I43="기타/불명","확인 필요","결의서명으로 1차 확인"))</x:f>
      </x:c>
      <x:c r="K43" s="78"/>
    </x:row>
    <x:row r="44">
      <x:c r="A44" s="73"/>
      <x:c r="B44" s="73"/>
      <x:c r="C44" s="74"/>
      <x:c r="D44" s="73"/>
      <x:c r="E44" s="73"/>
      <x:c r="F44" s="75"/>
      <x:c r="G44" s="75"/>
      <x:c r="H44" s="76" t="str">
        <x:f>IF(A44="","",F44-G44)</x:f>
      </x:c>
      <x:c r="I44" s="77" t="str">
        <x:f>IF(A44="","",IF(E44="","기타/불명",IF(IFERROR(SEARCH("급여",E44),0)&gt;0,"인건비",IF(IFERROR(SEARCH("임차",E44),0)&gt;0,"임차·시설",IF(IFERROR(SEARCH("광고",E44),0)&gt;0,"광고·행사",IF(IFERROR(SEARCH("용역",E44),0)&gt;0,"용역·수수료","기타/불명"))))))</x:f>
      </x:c>
      <x:c r="J44" s="77" t="str">
        <x:f>IF(A44="","",IF(I44="기타/불명","확인 필요","결의서명으로 1차 확인"))</x:f>
      </x:c>
      <x:c r="K44" s="78"/>
    </x:row>
    <x:row r="45">
      <x:c r="A45" s="73"/>
      <x:c r="B45" s="73"/>
      <x:c r="C45" s="74"/>
      <x:c r="D45" s="73"/>
      <x:c r="E45" s="73"/>
      <x:c r="F45" s="75"/>
      <x:c r="G45" s="75"/>
      <x:c r="H45" s="76" t="str">
        <x:f>IF(A45="","",F45-G45)</x:f>
      </x:c>
      <x:c r="I45" s="77" t="str">
        <x:f>IF(A45="","",IF(E45="","기타/불명",IF(IFERROR(SEARCH("급여",E45),0)&gt;0,"인건비",IF(IFERROR(SEARCH("임차",E45),0)&gt;0,"임차·시설",IF(IFERROR(SEARCH("광고",E45),0)&gt;0,"광고·행사",IF(IFERROR(SEARCH("용역",E45),0)&gt;0,"용역·수수료","기타/불명"))))))</x:f>
      </x:c>
      <x:c r="J45" s="77" t="str">
        <x:f>IF(A45="","",IF(I45="기타/불명","확인 필요","결의서명으로 1차 확인"))</x:f>
      </x:c>
      <x:c r="K45" s="78"/>
    </x:row>
    <x:row r="46">
      <x:c r="A46" s="73"/>
      <x:c r="B46" s="73"/>
      <x:c r="C46" s="74"/>
      <x:c r="D46" s="73"/>
      <x:c r="E46" s="73"/>
      <x:c r="F46" s="75"/>
      <x:c r="G46" s="75"/>
      <x:c r="H46" s="76" t="str">
        <x:f>IF(A46="","",F46-G46)</x:f>
      </x:c>
      <x:c r="I46" s="77" t="str">
        <x:f>IF(A46="","",IF(E46="","기타/불명",IF(IFERROR(SEARCH("급여",E46),0)&gt;0,"인건비",IF(IFERROR(SEARCH("임차",E46),0)&gt;0,"임차·시설",IF(IFERROR(SEARCH("광고",E46),0)&gt;0,"광고·행사",IF(IFERROR(SEARCH("용역",E46),0)&gt;0,"용역·수수료","기타/불명"))))))</x:f>
      </x:c>
      <x:c r="J46" s="77" t="str">
        <x:f>IF(A46="","",IF(I46="기타/불명","확인 필요","결의서명으로 1차 확인"))</x:f>
      </x:c>
      <x:c r="K46" s="78"/>
    </x:row>
    <x:row r="47">
      <x:c r="A47" s="73"/>
      <x:c r="B47" s="73"/>
      <x:c r="C47" s="74"/>
      <x:c r="D47" s="73"/>
      <x:c r="E47" s="73"/>
      <x:c r="F47" s="75"/>
      <x:c r="G47" s="75"/>
      <x:c r="H47" s="76" t="str">
        <x:f>IF(A47="","",F47-G47)</x:f>
      </x:c>
      <x:c r="I47" s="77" t="str">
        <x:f>IF(A47="","",IF(E47="","기타/불명",IF(IFERROR(SEARCH("급여",E47),0)&gt;0,"인건비",IF(IFERROR(SEARCH("임차",E47),0)&gt;0,"임차·시설",IF(IFERROR(SEARCH("광고",E47),0)&gt;0,"광고·행사",IF(IFERROR(SEARCH("용역",E47),0)&gt;0,"용역·수수료","기타/불명"))))))</x:f>
      </x:c>
      <x:c r="J47" s="77" t="str">
        <x:f>IF(A47="","",IF(I47="기타/불명","확인 필요","결의서명으로 1차 확인"))</x:f>
      </x:c>
      <x:c r="K47" s="78"/>
    </x:row>
    <x:row r="48">
      <x:c r="A48" s="73"/>
      <x:c r="B48" s="73"/>
      <x:c r="C48" s="74"/>
      <x:c r="D48" s="73"/>
      <x:c r="E48" s="73"/>
      <x:c r="F48" s="75"/>
      <x:c r="G48" s="75"/>
      <x:c r="H48" s="76" t="str">
        <x:f>IF(A48="","",F48-G48)</x:f>
      </x:c>
      <x:c r="I48" s="77" t="str">
        <x:f>IF(A48="","",IF(E48="","기타/불명",IF(IFERROR(SEARCH("급여",E48),0)&gt;0,"인건비",IF(IFERROR(SEARCH("임차",E48),0)&gt;0,"임차·시설",IF(IFERROR(SEARCH("광고",E48),0)&gt;0,"광고·행사",IF(IFERROR(SEARCH("용역",E48),0)&gt;0,"용역·수수료","기타/불명"))))))</x:f>
      </x:c>
      <x:c r="J48" s="77" t="str">
        <x:f>IF(A48="","",IF(I48="기타/불명","확인 필요","결의서명으로 1차 확인"))</x:f>
      </x:c>
      <x:c r="K48" s="78"/>
    </x:row>
    <x:row r="49">
      <x:c r="A49" s="73"/>
      <x:c r="B49" s="73"/>
      <x:c r="C49" s="74"/>
      <x:c r="D49" s="73"/>
      <x:c r="E49" s="73"/>
      <x:c r="F49" s="75"/>
      <x:c r="G49" s="75"/>
      <x:c r="H49" s="76" t="str">
        <x:f>IF(A49="","",F49-G49)</x:f>
      </x:c>
      <x:c r="I49" s="77" t="str">
        <x:f>IF(A49="","",IF(E49="","기타/불명",IF(IFERROR(SEARCH("급여",E49),0)&gt;0,"인건비",IF(IFERROR(SEARCH("임차",E49),0)&gt;0,"임차·시설",IF(IFERROR(SEARCH("광고",E49),0)&gt;0,"광고·행사",IF(IFERROR(SEARCH("용역",E49),0)&gt;0,"용역·수수료","기타/불명"))))))</x:f>
      </x:c>
      <x:c r="J49" s="77" t="str">
        <x:f>IF(A49="","",IF(I49="기타/불명","확인 필요","결의서명으로 1차 확인"))</x:f>
      </x:c>
      <x:c r="K49" s="78"/>
    </x:row>
    <x:row r="50">
      <x:c r="A50" s="73"/>
      <x:c r="B50" s="73"/>
      <x:c r="C50" s="74"/>
      <x:c r="D50" s="73"/>
      <x:c r="E50" s="73"/>
      <x:c r="F50" s="75"/>
      <x:c r="G50" s="75"/>
      <x:c r="H50" s="76" t="str">
        <x:f>IF(A50="","",F50-G50)</x:f>
      </x:c>
      <x:c r="I50" s="77" t="str">
        <x:f>IF(A50="","",IF(E50="","기타/불명",IF(IFERROR(SEARCH("급여",E50),0)&gt;0,"인건비",IF(IFERROR(SEARCH("임차",E50),0)&gt;0,"임차·시설",IF(IFERROR(SEARCH("광고",E50),0)&gt;0,"광고·행사",IF(IFERROR(SEARCH("용역",E50),0)&gt;0,"용역·수수료","기타/불명"))))))</x:f>
      </x:c>
      <x:c r="J50" s="77" t="str">
        <x:f>IF(A50="","",IF(I50="기타/불명","확인 필요","결의서명으로 1차 확인"))</x:f>
      </x:c>
      <x:c r="K50" s="78"/>
    </x:row>
    <x:row r="51">
      <x:c r="A51" s="73"/>
      <x:c r="B51" s="73"/>
      <x:c r="C51" s="74"/>
      <x:c r="D51" s="73"/>
      <x:c r="E51" s="73"/>
      <x:c r="F51" s="75"/>
      <x:c r="G51" s="75"/>
      <x:c r="H51" s="76" t="str">
        <x:f>IF(A51="","",F51-G51)</x:f>
      </x:c>
      <x:c r="I51" s="77" t="str">
        <x:f>IF(A51="","",IF(E51="","기타/불명",IF(IFERROR(SEARCH("급여",E51),0)&gt;0,"인건비",IF(IFERROR(SEARCH("임차",E51),0)&gt;0,"임차·시설",IF(IFERROR(SEARCH("광고",E51),0)&gt;0,"광고·행사",IF(IFERROR(SEARCH("용역",E51),0)&gt;0,"용역·수수료","기타/불명"))))))</x:f>
      </x:c>
      <x:c r="J51" s="77" t="str">
        <x:f>IF(A51="","",IF(I51="기타/불명","확인 필요","결의서명으로 1차 확인"))</x:f>
      </x:c>
      <x:c r="K51" s="78"/>
    </x:row>
    <x:row r="52">
      <x:c r="A52" s="73"/>
      <x:c r="B52" s="73"/>
      <x:c r="C52" s="74"/>
      <x:c r="D52" s="73"/>
      <x:c r="E52" s="73"/>
      <x:c r="F52" s="75"/>
      <x:c r="G52" s="75"/>
      <x:c r="H52" s="76" t="str">
        <x:f>IF(A52="","",F52-G52)</x:f>
      </x:c>
      <x:c r="I52" s="77" t="str">
        <x:f>IF(A52="","",IF(E52="","기타/불명",IF(IFERROR(SEARCH("급여",E52),0)&gt;0,"인건비",IF(IFERROR(SEARCH("임차",E52),0)&gt;0,"임차·시설",IF(IFERROR(SEARCH("광고",E52),0)&gt;0,"광고·행사",IF(IFERROR(SEARCH("용역",E52),0)&gt;0,"용역·수수료","기타/불명"))))))</x:f>
      </x:c>
      <x:c r="J52" s="77" t="str">
        <x:f>IF(A52="","",IF(I52="기타/불명","확인 필요","결의서명으로 1차 확인"))</x:f>
      </x:c>
      <x:c r="K52" s="78"/>
    </x:row>
    <x:row r="53">
      <x:c r="A53" s="73"/>
      <x:c r="B53" s="73"/>
      <x:c r="C53" s="74"/>
      <x:c r="D53" s="73"/>
      <x:c r="E53" s="73"/>
      <x:c r="F53" s="75"/>
      <x:c r="G53" s="75"/>
      <x:c r="H53" s="76" t="str">
        <x:f>IF(A53="","",F53-G53)</x:f>
      </x:c>
      <x:c r="I53" s="77" t="str">
        <x:f>IF(A53="","",IF(E53="","기타/불명",IF(IFERROR(SEARCH("급여",E53),0)&gt;0,"인건비",IF(IFERROR(SEARCH("임차",E53),0)&gt;0,"임차·시설",IF(IFERROR(SEARCH("광고",E53),0)&gt;0,"광고·행사",IF(IFERROR(SEARCH("용역",E53),0)&gt;0,"용역·수수료","기타/불명"))))))</x:f>
      </x:c>
      <x:c r="J53" s="77" t="str">
        <x:f>IF(A53="","",IF(I53="기타/불명","확인 필요","결의서명으로 1차 확인"))</x:f>
      </x:c>
      <x:c r="K53" s="78"/>
    </x:row>
    <x:row r="54">
      <x:c r="A54" s="73"/>
      <x:c r="B54" s="73"/>
      <x:c r="C54" s="74"/>
      <x:c r="D54" s="73"/>
      <x:c r="E54" s="73"/>
      <x:c r="F54" s="75"/>
      <x:c r="G54" s="75"/>
      <x:c r="H54" s="76" t="str">
        <x:f>IF(A54="","",F54-G54)</x:f>
      </x:c>
      <x:c r="I54" s="77" t="str">
        <x:f>IF(A54="","",IF(E54="","기타/불명",IF(IFERROR(SEARCH("급여",E54),0)&gt;0,"인건비",IF(IFERROR(SEARCH("임차",E54),0)&gt;0,"임차·시설",IF(IFERROR(SEARCH("광고",E54),0)&gt;0,"광고·행사",IF(IFERROR(SEARCH("용역",E54),0)&gt;0,"용역·수수료","기타/불명"))))))</x:f>
      </x:c>
      <x:c r="J54" s="77" t="str">
        <x:f>IF(A54="","",IF(I54="기타/불명","확인 필요","결의서명으로 1차 확인"))</x:f>
      </x:c>
      <x:c r="K54" s="78"/>
    </x:row>
    <x:row r="55">
      <x:c r="A55" s="73"/>
      <x:c r="B55" s="73"/>
      <x:c r="C55" s="74"/>
      <x:c r="D55" s="73"/>
      <x:c r="E55" s="73"/>
      <x:c r="F55" s="75"/>
      <x:c r="G55" s="75"/>
      <x:c r="H55" s="76" t="str">
        <x:f>IF(A55="","",F55-G55)</x:f>
      </x:c>
      <x:c r="I55" s="77" t="str">
        <x:f>IF(A55="","",IF(E55="","기타/불명",IF(IFERROR(SEARCH("급여",E55),0)&gt;0,"인건비",IF(IFERROR(SEARCH("임차",E55),0)&gt;0,"임차·시설",IF(IFERROR(SEARCH("광고",E55),0)&gt;0,"광고·행사",IF(IFERROR(SEARCH("용역",E55),0)&gt;0,"용역·수수료","기타/불명"))))))</x:f>
      </x:c>
      <x:c r="J55" s="77" t="str">
        <x:f>IF(A55="","",IF(I55="기타/불명","확인 필요","결의서명으로 1차 확인"))</x:f>
      </x:c>
      <x:c r="K55" s="78"/>
    </x:row>
    <x:row r="56">
      <x:c r="A56" s="73"/>
      <x:c r="B56" s="73"/>
      <x:c r="C56" s="74"/>
      <x:c r="D56" s="73"/>
      <x:c r="E56" s="73"/>
      <x:c r="F56" s="75"/>
      <x:c r="G56" s="75"/>
      <x:c r="H56" s="76" t="str">
        <x:f>IF(A56="","",F56-G56)</x:f>
      </x:c>
      <x:c r="I56" s="77" t="str">
        <x:f>IF(A56="","",IF(E56="","기타/불명",IF(IFERROR(SEARCH("급여",E56),0)&gt;0,"인건비",IF(IFERROR(SEARCH("임차",E56),0)&gt;0,"임차·시설",IF(IFERROR(SEARCH("광고",E56),0)&gt;0,"광고·행사",IF(IFERROR(SEARCH("용역",E56),0)&gt;0,"용역·수수료","기타/불명"))))))</x:f>
      </x:c>
      <x:c r="J56" s="77" t="str">
        <x:f>IF(A56="","",IF(I56="기타/불명","확인 필요","결의서명으로 1차 확인"))</x:f>
      </x:c>
      <x:c r="K56" s="78"/>
    </x:row>
    <x:row r="57">
      <x:c r="A57" s="73"/>
      <x:c r="B57" s="73"/>
      <x:c r="C57" s="74"/>
      <x:c r="D57" s="73"/>
      <x:c r="E57" s="73"/>
      <x:c r="F57" s="75"/>
      <x:c r="G57" s="75"/>
      <x:c r="H57" s="76" t="str">
        <x:f>IF(A57="","",F57-G57)</x:f>
      </x:c>
      <x:c r="I57" s="77" t="str">
        <x:f>IF(A57="","",IF(E57="","기타/불명",IF(IFERROR(SEARCH("급여",E57),0)&gt;0,"인건비",IF(IFERROR(SEARCH("임차",E57),0)&gt;0,"임차·시설",IF(IFERROR(SEARCH("광고",E57),0)&gt;0,"광고·행사",IF(IFERROR(SEARCH("용역",E57),0)&gt;0,"용역·수수료","기타/불명"))))))</x:f>
      </x:c>
      <x:c r="J57" s="77" t="str">
        <x:f>IF(A57="","",IF(I57="기타/불명","확인 필요","결의서명으로 1차 확인"))</x:f>
      </x:c>
      <x:c r="K57" s="78"/>
    </x:row>
    <x:row r="58">
      <x:c r="A58" s="73"/>
      <x:c r="B58" s="73"/>
      <x:c r="C58" s="74"/>
      <x:c r="D58" s="73"/>
      <x:c r="E58" s="73"/>
      <x:c r="F58" s="75"/>
      <x:c r="G58" s="75"/>
      <x:c r="H58" s="76" t="str">
        <x:f>IF(A58="","",F58-G58)</x:f>
      </x:c>
      <x:c r="I58" s="77" t="str">
        <x:f>IF(A58="","",IF(E58="","기타/불명",IF(IFERROR(SEARCH("급여",E58),0)&gt;0,"인건비",IF(IFERROR(SEARCH("임차",E58),0)&gt;0,"임차·시설",IF(IFERROR(SEARCH("광고",E58),0)&gt;0,"광고·행사",IF(IFERROR(SEARCH("용역",E58),0)&gt;0,"용역·수수료","기타/불명"))))))</x:f>
      </x:c>
      <x:c r="J58" s="77" t="str">
        <x:f>IF(A58="","",IF(I58="기타/불명","확인 필요","결의서명으로 1차 확인"))</x:f>
      </x:c>
      <x:c r="K58" s="78"/>
    </x:row>
    <x:row r="59">
      <x:c r="A59" s="73"/>
      <x:c r="B59" s="73"/>
      <x:c r="C59" s="74"/>
      <x:c r="D59" s="73"/>
      <x:c r="E59" s="73"/>
      <x:c r="F59" s="75"/>
      <x:c r="G59" s="75"/>
      <x:c r="H59" s="76" t="str">
        <x:f>IF(A59="","",F59-G59)</x:f>
      </x:c>
      <x:c r="I59" s="77" t="str">
        <x:f>IF(A59="","",IF(E59="","기타/불명",IF(IFERROR(SEARCH("급여",E59),0)&gt;0,"인건비",IF(IFERROR(SEARCH("임차",E59),0)&gt;0,"임차·시설",IF(IFERROR(SEARCH("광고",E59),0)&gt;0,"광고·행사",IF(IFERROR(SEARCH("용역",E59),0)&gt;0,"용역·수수료","기타/불명"))))))</x:f>
      </x:c>
      <x:c r="J59" s="77" t="str">
        <x:f>IF(A59="","",IF(I59="기타/불명","확인 필요","결의서명으로 1차 확인"))</x:f>
      </x:c>
      <x:c r="K59" s="78"/>
    </x:row>
    <x:row r="60">
      <x:c r="A60" s="73"/>
      <x:c r="B60" s="73"/>
      <x:c r="C60" s="74"/>
      <x:c r="D60" s="73"/>
      <x:c r="E60" s="73"/>
      <x:c r="F60" s="75"/>
      <x:c r="G60" s="75"/>
      <x:c r="H60" s="76" t="str">
        <x:f>IF(A60="","",F60-G60)</x:f>
      </x:c>
      <x:c r="I60" s="77" t="str">
        <x:f>IF(A60="","",IF(E60="","기타/불명",IF(IFERROR(SEARCH("급여",E60),0)&gt;0,"인건비",IF(IFERROR(SEARCH("임차",E60),0)&gt;0,"임차·시설",IF(IFERROR(SEARCH("광고",E60),0)&gt;0,"광고·행사",IF(IFERROR(SEARCH("용역",E60),0)&gt;0,"용역·수수료","기타/불명"))))))</x:f>
      </x:c>
      <x:c r="J60" s="77" t="str">
        <x:f>IF(A60="","",IF(I60="기타/불명","확인 필요","결의서명으로 1차 확인"))</x:f>
      </x:c>
      <x:c r="K60" s="78"/>
    </x:row>
    <x:row r="61">
      <x:c r="A61" s="73"/>
      <x:c r="B61" s="73"/>
      <x:c r="C61" s="74"/>
      <x:c r="D61" s="73"/>
      <x:c r="E61" s="73"/>
      <x:c r="F61" s="75"/>
      <x:c r="G61" s="75"/>
      <x:c r="H61" s="76" t="str">
        <x:f>IF(A61="","",F61-G61)</x:f>
      </x:c>
      <x:c r="I61" s="77" t="str">
        <x:f>IF(A61="","",IF(E61="","기타/불명",IF(IFERROR(SEARCH("급여",E61),0)&gt;0,"인건비",IF(IFERROR(SEARCH("임차",E61),0)&gt;0,"임차·시설",IF(IFERROR(SEARCH("광고",E61),0)&gt;0,"광고·행사",IF(IFERROR(SEARCH("용역",E61),0)&gt;0,"용역·수수료","기타/불명"))))))</x:f>
      </x:c>
      <x:c r="J61" s="77" t="str">
        <x:f>IF(A61="","",IF(I61="기타/불명","확인 필요","결의서명으로 1차 확인"))</x:f>
      </x:c>
      <x:c r="K61" s="78"/>
    </x:row>
    <x:row r="62">
      <x:c r="A62" s="73"/>
      <x:c r="B62" s="73"/>
      <x:c r="C62" s="74"/>
      <x:c r="D62" s="73"/>
      <x:c r="E62" s="73"/>
      <x:c r="F62" s="75"/>
      <x:c r="G62" s="75"/>
      <x:c r="H62" s="76" t="str">
        <x:f>IF(A62="","",F62-G62)</x:f>
      </x:c>
      <x:c r="I62" s="77" t="str">
        <x:f>IF(A62="","",IF(E62="","기타/불명",IF(IFERROR(SEARCH("급여",E62),0)&gt;0,"인건비",IF(IFERROR(SEARCH("임차",E62),0)&gt;0,"임차·시설",IF(IFERROR(SEARCH("광고",E62),0)&gt;0,"광고·행사",IF(IFERROR(SEARCH("용역",E62),0)&gt;0,"용역·수수료","기타/불명"))))))</x:f>
      </x:c>
      <x:c r="J62" s="77" t="str">
        <x:f>IF(A62="","",IF(I62="기타/불명","확인 필요","결의서명으로 1차 확인"))</x:f>
      </x:c>
      <x:c r="K62" s="78"/>
    </x:row>
    <x:row r="63">
      <x:c r="A63" s="73"/>
      <x:c r="B63" s="73"/>
      <x:c r="C63" s="74"/>
      <x:c r="D63" s="73"/>
      <x:c r="E63" s="73"/>
      <x:c r="F63" s="75"/>
      <x:c r="G63" s="75"/>
      <x:c r="H63" s="76" t="str">
        <x:f>IF(A63="","",F63-G63)</x:f>
      </x:c>
      <x:c r="I63" s="77" t="str">
        <x:f>IF(A63="","",IF(E63="","기타/불명",IF(IFERROR(SEARCH("급여",E63),0)&gt;0,"인건비",IF(IFERROR(SEARCH("임차",E63),0)&gt;0,"임차·시설",IF(IFERROR(SEARCH("광고",E63),0)&gt;0,"광고·행사",IF(IFERROR(SEARCH("용역",E63),0)&gt;0,"용역·수수료","기타/불명"))))))</x:f>
      </x:c>
      <x:c r="J63" s="77" t="str">
        <x:f>IF(A63="","",IF(I63="기타/불명","확인 필요","결의서명으로 1차 확인"))</x:f>
      </x:c>
      <x:c r="K63" s="78"/>
    </x:row>
    <x:row r="64">
      <x:c r="A64" s="73"/>
      <x:c r="B64" s="73"/>
      <x:c r="C64" s="74"/>
      <x:c r="D64" s="73"/>
      <x:c r="E64" s="73"/>
      <x:c r="F64" s="75"/>
      <x:c r="G64" s="75"/>
      <x:c r="H64" s="76" t="str">
        <x:f>IF(A64="","",F64-G64)</x:f>
      </x:c>
      <x:c r="I64" s="77" t="str">
        <x:f>IF(A64="","",IF(E64="","기타/불명",IF(IFERROR(SEARCH("급여",E64),0)&gt;0,"인건비",IF(IFERROR(SEARCH("임차",E64),0)&gt;0,"임차·시설",IF(IFERROR(SEARCH("광고",E64),0)&gt;0,"광고·행사",IF(IFERROR(SEARCH("용역",E64),0)&gt;0,"용역·수수료","기타/불명"))))))</x:f>
      </x:c>
      <x:c r="J64" s="77" t="str">
        <x:f>IF(A64="","",IF(I64="기타/불명","확인 필요","결의서명으로 1차 확인"))</x:f>
      </x:c>
      <x:c r="K64" s="78"/>
    </x:row>
    <x:row r="65">
      <x:c r="A65" s="73"/>
      <x:c r="B65" s="73"/>
      <x:c r="C65" s="74"/>
      <x:c r="D65" s="73"/>
      <x:c r="E65" s="73"/>
      <x:c r="F65" s="75"/>
      <x:c r="G65" s="75"/>
      <x:c r="H65" s="76" t="str">
        <x:f>IF(A65="","",F65-G65)</x:f>
      </x:c>
      <x:c r="I65" s="77" t="str">
        <x:f>IF(A65="","",IF(E65="","기타/불명",IF(IFERROR(SEARCH("급여",E65),0)&gt;0,"인건비",IF(IFERROR(SEARCH("임차",E65),0)&gt;0,"임차·시설",IF(IFERROR(SEARCH("광고",E65),0)&gt;0,"광고·행사",IF(IFERROR(SEARCH("용역",E65),0)&gt;0,"용역·수수료","기타/불명"))))))</x:f>
      </x:c>
      <x:c r="J65" s="77" t="str">
        <x:f>IF(A65="","",IF(I65="기타/불명","확인 필요","결의서명으로 1차 확인"))</x:f>
      </x:c>
      <x:c r="K65" s="78"/>
    </x:row>
    <x:row r="66">
      <x:c r="A66" s="73"/>
      <x:c r="B66" s="73"/>
      <x:c r="C66" s="74"/>
      <x:c r="D66" s="73"/>
      <x:c r="E66" s="73"/>
      <x:c r="F66" s="75"/>
      <x:c r="G66" s="75"/>
      <x:c r="H66" s="76" t="str">
        <x:f>IF(A66="","",F66-G66)</x:f>
      </x:c>
      <x:c r="I66" s="77" t="str">
        <x:f>IF(A66="","",IF(E66="","기타/불명",IF(IFERROR(SEARCH("급여",E66),0)&gt;0,"인건비",IF(IFERROR(SEARCH("임차",E66),0)&gt;0,"임차·시설",IF(IFERROR(SEARCH("광고",E66),0)&gt;0,"광고·행사",IF(IFERROR(SEARCH("용역",E66),0)&gt;0,"용역·수수료","기타/불명"))))))</x:f>
      </x:c>
      <x:c r="J66" s="77" t="str">
        <x:f>IF(A66="","",IF(I66="기타/불명","확인 필요","결의서명으로 1차 확인"))</x:f>
      </x:c>
      <x:c r="K66" s="78"/>
    </x:row>
    <x:row r="67">
      <x:c r="A67" s="73"/>
      <x:c r="B67" s="73"/>
      <x:c r="C67" s="74"/>
      <x:c r="D67" s="73"/>
      <x:c r="E67" s="73"/>
      <x:c r="F67" s="75"/>
      <x:c r="G67" s="75"/>
      <x:c r="H67" s="76" t="str">
        <x:f>IF(A67="","",F67-G67)</x:f>
      </x:c>
      <x:c r="I67" s="77" t="str">
        <x:f>IF(A67="","",IF(E67="","기타/불명",IF(IFERROR(SEARCH("급여",E67),0)&gt;0,"인건비",IF(IFERROR(SEARCH("임차",E67),0)&gt;0,"임차·시설",IF(IFERROR(SEARCH("광고",E67),0)&gt;0,"광고·행사",IF(IFERROR(SEARCH("용역",E67),0)&gt;0,"용역·수수료","기타/불명"))))))</x:f>
      </x:c>
      <x:c r="J67" s="77" t="str">
        <x:f>IF(A67="","",IF(I67="기타/불명","확인 필요","결의서명으로 1차 확인"))</x:f>
      </x:c>
      <x:c r="K67" s="78"/>
    </x:row>
    <x:row r="68">
      <x:c r="A68" s="73"/>
      <x:c r="B68" s="73"/>
      <x:c r="C68" s="74"/>
      <x:c r="D68" s="73"/>
      <x:c r="E68" s="73"/>
      <x:c r="F68" s="75"/>
      <x:c r="G68" s="75"/>
      <x:c r="H68" s="76" t="str">
        <x:f>IF(A68="","",F68-G68)</x:f>
      </x:c>
      <x:c r="I68" s="77" t="str">
        <x:f>IF(A68="","",IF(E68="","기타/불명",IF(IFERROR(SEARCH("급여",E68),0)&gt;0,"인건비",IF(IFERROR(SEARCH("임차",E68),0)&gt;0,"임차·시설",IF(IFERROR(SEARCH("광고",E68),0)&gt;0,"광고·행사",IF(IFERROR(SEARCH("용역",E68),0)&gt;0,"용역·수수료","기타/불명"))))))</x:f>
      </x:c>
      <x:c r="J68" s="77" t="str">
        <x:f>IF(A68="","",IF(I68="기타/불명","확인 필요","결의서명으로 1차 확인"))</x:f>
      </x:c>
      <x:c r="K68" s="78"/>
    </x:row>
    <x:row r="69">
      <x:c r="A69" s="73"/>
      <x:c r="B69" s="73"/>
      <x:c r="C69" s="74"/>
      <x:c r="D69" s="73"/>
      <x:c r="E69" s="73"/>
      <x:c r="F69" s="75"/>
      <x:c r="G69" s="75"/>
      <x:c r="H69" s="76" t="str">
        <x:f>IF(A69="","",F69-G69)</x:f>
      </x:c>
      <x:c r="I69" s="77" t="str">
        <x:f>IF(A69="","",IF(E69="","기타/불명",IF(IFERROR(SEARCH("급여",E69),0)&gt;0,"인건비",IF(IFERROR(SEARCH("임차",E69),0)&gt;0,"임차·시설",IF(IFERROR(SEARCH("광고",E69),0)&gt;0,"광고·행사",IF(IFERROR(SEARCH("용역",E69),0)&gt;0,"용역·수수료","기타/불명"))))))</x:f>
      </x:c>
      <x:c r="J69" s="77" t="str">
        <x:f>IF(A69="","",IF(I69="기타/불명","확인 필요","결의서명으로 1차 확인"))</x:f>
      </x:c>
      <x:c r="K69" s="78"/>
    </x:row>
    <x:row r="70">
      <x:c r="A70" s="73"/>
      <x:c r="B70" s="73"/>
      <x:c r="C70" s="74"/>
      <x:c r="D70" s="73"/>
      <x:c r="E70" s="73"/>
      <x:c r="F70" s="75"/>
      <x:c r="G70" s="75"/>
      <x:c r="H70" s="76" t="str">
        <x:f>IF(A70="","",F70-G70)</x:f>
      </x:c>
      <x:c r="I70" s="77" t="str">
        <x:f>IF(A70="","",IF(E70="","기타/불명",IF(IFERROR(SEARCH("급여",E70),0)&gt;0,"인건비",IF(IFERROR(SEARCH("임차",E70),0)&gt;0,"임차·시설",IF(IFERROR(SEARCH("광고",E70),0)&gt;0,"광고·행사",IF(IFERROR(SEARCH("용역",E70),0)&gt;0,"용역·수수료","기타/불명"))))))</x:f>
      </x:c>
      <x:c r="J70" s="77" t="str">
        <x:f>IF(A70="","",IF(I70="기타/불명","확인 필요","결의서명으로 1차 확인"))</x:f>
      </x:c>
      <x:c r="K70" s="78"/>
    </x:row>
    <x:row r="71">
      <x:c r="A71" s="73"/>
      <x:c r="B71" s="73"/>
      <x:c r="C71" s="74"/>
      <x:c r="D71" s="73"/>
      <x:c r="E71" s="73"/>
      <x:c r="F71" s="75"/>
      <x:c r="G71" s="75"/>
      <x:c r="H71" s="76" t="str">
        <x:f>IF(A71="","",F71-G71)</x:f>
      </x:c>
      <x:c r="I71" s="77" t="str">
        <x:f>IF(A71="","",IF(E71="","기타/불명",IF(IFERROR(SEARCH("급여",E71),0)&gt;0,"인건비",IF(IFERROR(SEARCH("임차",E71),0)&gt;0,"임차·시설",IF(IFERROR(SEARCH("광고",E71),0)&gt;0,"광고·행사",IF(IFERROR(SEARCH("용역",E71),0)&gt;0,"용역·수수료","기타/불명"))))))</x:f>
      </x:c>
      <x:c r="J71" s="77" t="str">
        <x:f>IF(A71="","",IF(I71="기타/불명","확인 필요","결의서명으로 1차 확인"))</x:f>
      </x:c>
      <x:c r="K71" s="78"/>
    </x:row>
    <x:row r="72">
      <x:c r="A72" s="73"/>
      <x:c r="B72" s="73"/>
      <x:c r="C72" s="74"/>
      <x:c r="D72" s="73"/>
      <x:c r="E72" s="73"/>
      <x:c r="F72" s="75"/>
      <x:c r="G72" s="75"/>
      <x:c r="H72" s="76" t="str">
        <x:f>IF(A72="","",F72-G72)</x:f>
      </x:c>
      <x:c r="I72" s="77" t="str">
        <x:f>IF(A72="","",IF(E72="","기타/불명",IF(IFERROR(SEARCH("급여",E72),0)&gt;0,"인건비",IF(IFERROR(SEARCH("임차",E72),0)&gt;0,"임차·시설",IF(IFERROR(SEARCH("광고",E72),0)&gt;0,"광고·행사",IF(IFERROR(SEARCH("용역",E72),0)&gt;0,"용역·수수료","기타/불명"))))))</x:f>
      </x:c>
      <x:c r="J72" s="77" t="str">
        <x:f>IF(A72="","",IF(I72="기타/불명","확인 필요","결의서명으로 1차 확인"))</x:f>
      </x:c>
      <x:c r="K72" s="78"/>
    </x:row>
    <x:row r="73">
      <x:c r="A73" s="73"/>
      <x:c r="B73" s="73"/>
      <x:c r="C73" s="74"/>
      <x:c r="D73" s="73"/>
      <x:c r="E73" s="73"/>
      <x:c r="F73" s="75"/>
      <x:c r="G73" s="75"/>
      <x:c r="H73" s="76" t="str">
        <x:f>IF(A73="","",F73-G73)</x:f>
      </x:c>
      <x:c r="I73" s="77" t="str">
        <x:f>IF(A73="","",IF(E73="","기타/불명",IF(IFERROR(SEARCH("급여",E73),0)&gt;0,"인건비",IF(IFERROR(SEARCH("임차",E73),0)&gt;0,"임차·시설",IF(IFERROR(SEARCH("광고",E73),0)&gt;0,"광고·행사",IF(IFERROR(SEARCH("용역",E73),0)&gt;0,"용역·수수료","기타/불명"))))))</x:f>
      </x:c>
      <x:c r="J73" s="77" t="str">
        <x:f>IF(A73="","",IF(I73="기타/불명","확인 필요","결의서명으로 1차 확인"))</x:f>
      </x:c>
      <x:c r="K73" s="78"/>
    </x:row>
    <x:row r="74">
      <x:c r="A74" s="73"/>
      <x:c r="B74" s="73"/>
      <x:c r="C74" s="74"/>
      <x:c r="D74" s="73"/>
      <x:c r="E74" s="73"/>
      <x:c r="F74" s="75"/>
      <x:c r="G74" s="75"/>
      <x:c r="H74" s="76" t="str">
        <x:f>IF(A74="","",F74-G74)</x:f>
      </x:c>
      <x:c r="I74" s="77" t="str">
        <x:f>IF(A74="","",IF(E74="","기타/불명",IF(IFERROR(SEARCH("급여",E74),0)&gt;0,"인건비",IF(IFERROR(SEARCH("임차",E74),0)&gt;0,"임차·시설",IF(IFERROR(SEARCH("광고",E74),0)&gt;0,"광고·행사",IF(IFERROR(SEARCH("용역",E74),0)&gt;0,"용역·수수료","기타/불명"))))))</x:f>
      </x:c>
      <x:c r="J74" s="77" t="str">
        <x:f>IF(A74="","",IF(I74="기타/불명","확인 필요","결의서명으로 1차 확인"))</x:f>
      </x:c>
      <x:c r="K74" s="78"/>
    </x:row>
    <x:row r="75">
      <x:c r="A75" s="73"/>
      <x:c r="B75" s="73"/>
      <x:c r="C75" s="74"/>
      <x:c r="D75" s="73"/>
      <x:c r="E75" s="73"/>
      <x:c r="F75" s="75"/>
      <x:c r="G75" s="75"/>
      <x:c r="H75" s="76" t="str">
        <x:f>IF(A75="","",F75-G75)</x:f>
      </x:c>
      <x:c r="I75" s="77" t="str">
        <x:f>IF(A75="","",IF(E75="","기타/불명",IF(IFERROR(SEARCH("급여",E75),0)&gt;0,"인건비",IF(IFERROR(SEARCH("임차",E75),0)&gt;0,"임차·시설",IF(IFERROR(SEARCH("광고",E75),0)&gt;0,"광고·행사",IF(IFERROR(SEARCH("용역",E75),0)&gt;0,"용역·수수료","기타/불명"))))))</x:f>
      </x:c>
      <x:c r="J75" s="77" t="str">
        <x:f>IF(A75="","",IF(I75="기타/불명","확인 필요","결의서명으로 1차 확인"))</x:f>
      </x:c>
      <x:c r="K75" s="78"/>
    </x:row>
    <x:row r="76">
      <x:c r="A76" s="73"/>
      <x:c r="B76" s="73"/>
      <x:c r="C76" s="74"/>
      <x:c r="D76" s="73"/>
      <x:c r="E76" s="73"/>
      <x:c r="F76" s="75"/>
      <x:c r="G76" s="75"/>
      <x:c r="H76" s="76" t="str">
        <x:f>IF(A76="","",F76-G76)</x:f>
      </x:c>
      <x:c r="I76" s="77" t="str">
        <x:f>IF(A76="","",IF(E76="","기타/불명",IF(IFERROR(SEARCH("급여",E76),0)&gt;0,"인건비",IF(IFERROR(SEARCH("임차",E76),0)&gt;0,"임차·시설",IF(IFERROR(SEARCH("광고",E76),0)&gt;0,"광고·행사",IF(IFERROR(SEARCH("용역",E76),0)&gt;0,"용역·수수료","기타/불명"))))))</x:f>
      </x:c>
      <x:c r="J76" s="77" t="str">
        <x:f>IF(A76="","",IF(I76="기타/불명","확인 필요","결의서명으로 1차 확인"))</x:f>
      </x:c>
      <x:c r="K76" s="78"/>
    </x:row>
    <x:row r="77">
      <x:c r="A77" s="73"/>
      <x:c r="B77" s="73"/>
      <x:c r="C77" s="74"/>
      <x:c r="D77" s="73"/>
      <x:c r="E77" s="73"/>
      <x:c r="F77" s="75"/>
      <x:c r="G77" s="75"/>
      <x:c r="H77" s="76" t="str">
        <x:f>IF(A77="","",F77-G77)</x:f>
      </x:c>
      <x:c r="I77" s="77" t="str">
        <x:f>IF(A77="","",IF(E77="","기타/불명",IF(IFERROR(SEARCH("급여",E77),0)&gt;0,"인건비",IF(IFERROR(SEARCH("임차",E77),0)&gt;0,"임차·시설",IF(IFERROR(SEARCH("광고",E77),0)&gt;0,"광고·행사",IF(IFERROR(SEARCH("용역",E77),0)&gt;0,"용역·수수료","기타/불명"))))))</x:f>
      </x:c>
      <x:c r="J77" s="77" t="str">
        <x:f>IF(A77="","",IF(I77="기타/불명","확인 필요","결의서명으로 1차 확인"))</x:f>
      </x:c>
      <x:c r="K77" s="78"/>
    </x:row>
    <x:row r="78">
      <x:c r="A78" s="73"/>
      <x:c r="B78" s="73"/>
      <x:c r="C78" s="74"/>
      <x:c r="D78" s="73"/>
      <x:c r="E78" s="73"/>
      <x:c r="F78" s="75"/>
      <x:c r="G78" s="75"/>
      <x:c r="H78" s="76" t="str">
        <x:f>IF(A78="","",F78-G78)</x:f>
      </x:c>
      <x:c r="I78" s="77" t="str">
        <x:f>IF(A78="","",IF(E78="","기타/불명",IF(IFERROR(SEARCH("급여",E78),0)&gt;0,"인건비",IF(IFERROR(SEARCH("임차",E78),0)&gt;0,"임차·시설",IF(IFERROR(SEARCH("광고",E78),0)&gt;0,"광고·행사",IF(IFERROR(SEARCH("용역",E78),0)&gt;0,"용역·수수료","기타/불명"))))))</x:f>
      </x:c>
      <x:c r="J78" s="77" t="str">
        <x:f>IF(A78="","",IF(I78="기타/불명","확인 필요","결의서명으로 1차 확인"))</x:f>
      </x:c>
      <x:c r="K78" s="78"/>
    </x:row>
    <x:row r="79">
      <x:c r="A79" s="73"/>
      <x:c r="B79" s="73"/>
      <x:c r="C79" s="74"/>
      <x:c r="D79" s="73"/>
      <x:c r="E79" s="73"/>
      <x:c r="F79" s="75"/>
      <x:c r="G79" s="75"/>
      <x:c r="H79" s="76" t="str">
        <x:f>IF(A79="","",F79-G79)</x:f>
      </x:c>
      <x:c r="I79" s="77" t="str">
        <x:f>IF(A79="","",IF(E79="","기타/불명",IF(IFERROR(SEARCH("급여",E79),0)&gt;0,"인건비",IF(IFERROR(SEARCH("임차",E79),0)&gt;0,"임차·시설",IF(IFERROR(SEARCH("광고",E79),0)&gt;0,"광고·행사",IF(IFERROR(SEARCH("용역",E79),0)&gt;0,"용역·수수료","기타/불명"))))))</x:f>
      </x:c>
      <x:c r="J79" s="77" t="str">
        <x:f>IF(A79="","",IF(I79="기타/불명","확인 필요","결의서명으로 1차 확인"))</x:f>
      </x:c>
      <x:c r="K79" s="78"/>
    </x:row>
    <x:row r="80">
      <x:c r="A80" s="73"/>
      <x:c r="B80" s="73"/>
      <x:c r="C80" s="74"/>
      <x:c r="D80" s="73"/>
      <x:c r="E80" s="73"/>
      <x:c r="F80" s="75"/>
      <x:c r="G80" s="75"/>
      <x:c r="H80" s="76" t="str">
        <x:f>IF(A80="","",F80-G80)</x:f>
      </x:c>
      <x:c r="I80" s="77" t="str">
        <x:f>IF(A80="","",IF(E80="","기타/불명",IF(IFERROR(SEARCH("급여",E80),0)&gt;0,"인건비",IF(IFERROR(SEARCH("임차",E80),0)&gt;0,"임차·시설",IF(IFERROR(SEARCH("광고",E80),0)&gt;0,"광고·행사",IF(IFERROR(SEARCH("용역",E80),0)&gt;0,"용역·수수료","기타/불명"))))))</x:f>
      </x:c>
      <x:c r="J80" s="77" t="str">
        <x:f>IF(A80="","",IF(I80="기타/불명","확인 필요","결의서명으로 1차 확인"))</x:f>
      </x:c>
      <x:c r="K80" s="78"/>
    </x:row>
    <x:row r="81">
      <x:c r="A81" s="73"/>
      <x:c r="B81" s="73"/>
      <x:c r="C81" s="74"/>
      <x:c r="D81" s="73"/>
      <x:c r="E81" s="73"/>
      <x:c r="F81" s="75"/>
      <x:c r="G81" s="75"/>
      <x:c r="H81" s="76" t="str">
        <x:f>IF(A81="","",F81-G81)</x:f>
      </x:c>
      <x:c r="I81" s="77" t="str">
        <x:f>IF(A81="","",IF(E81="","기타/불명",IF(IFERROR(SEARCH("급여",E81),0)&gt;0,"인건비",IF(IFERROR(SEARCH("임차",E81),0)&gt;0,"임차·시설",IF(IFERROR(SEARCH("광고",E81),0)&gt;0,"광고·행사",IF(IFERROR(SEARCH("용역",E81),0)&gt;0,"용역·수수료","기타/불명"))))))</x:f>
      </x:c>
      <x:c r="J81" s="77" t="str">
        <x:f>IF(A81="","",IF(I81="기타/불명","확인 필요","결의서명으로 1차 확인"))</x:f>
      </x:c>
      <x:c r="K81" s="78"/>
    </x:row>
    <x:row r="82">
      <x:c r="A82" s="73"/>
      <x:c r="B82" s="73"/>
      <x:c r="C82" s="74"/>
      <x:c r="D82" s="73"/>
      <x:c r="E82" s="73"/>
      <x:c r="F82" s="75"/>
      <x:c r="G82" s="75"/>
      <x:c r="H82" s="76" t="str">
        <x:f>IF(A82="","",F82-G82)</x:f>
      </x:c>
      <x:c r="I82" s="77" t="str">
        <x:f>IF(A82="","",IF(E82="","기타/불명",IF(IFERROR(SEARCH("급여",E82),0)&gt;0,"인건비",IF(IFERROR(SEARCH("임차",E82),0)&gt;0,"임차·시설",IF(IFERROR(SEARCH("광고",E82),0)&gt;0,"광고·행사",IF(IFERROR(SEARCH("용역",E82),0)&gt;0,"용역·수수료","기타/불명"))))))</x:f>
      </x:c>
      <x:c r="J82" s="77" t="str">
        <x:f>IF(A82="","",IF(I82="기타/불명","확인 필요","결의서명으로 1차 확인"))</x:f>
      </x:c>
      <x:c r="K82" s="78"/>
    </x:row>
    <x:row r="83">
      <x:c r="A83" s="73"/>
      <x:c r="B83" s="73"/>
      <x:c r="C83" s="74"/>
      <x:c r="D83" s="73"/>
      <x:c r="E83" s="73"/>
      <x:c r="F83" s="75"/>
      <x:c r="G83" s="75"/>
      <x:c r="H83" s="76" t="str">
        <x:f>IF(A83="","",F83-G83)</x:f>
      </x:c>
      <x:c r="I83" s="77" t="str">
        <x:f>IF(A83="","",IF(E83="","기타/불명",IF(IFERROR(SEARCH("급여",E83),0)&gt;0,"인건비",IF(IFERROR(SEARCH("임차",E83),0)&gt;0,"임차·시설",IF(IFERROR(SEARCH("광고",E83),0)&gt;0,"광고·행사",IF(IFERROR(SEARCH("용역",E83),0)&gt;0,"용역·수수료","기타/불명"))))))</x:f>
      </x:c>
      <x:c r="J83" s="77" t="str">
        <x:f>IF(A83="","",IF(I83="기타/불명","확인 필요","결의서명으로 1차 확인"))</x:f>
      </x:c>
      <x:c r="K83" s="78"/>
    </x:row>
    <x:row r="84">
      <x:c r="A84" s="73"/>
      <x:c r="B84" s="73"/>
      <x:c r="C84" s="74"/>
      <x:c r="D84" s="73"/>
      <x:c r="E84" s="73"/>
      <x:c r="F84" s="75"/>
      <x:c r="G84" s="75"/>
      <x:c r="H84" s="76" t="str">
        <x:f>IF(A84="","",F84-G84)</x:f>
      </x:c>
      <x:c r="I84" s="77" t="str">
        <x:f>IF(A84="","",IF(E84="","기타/불명",IF(IFERROR(SEARCH("급여",E84),0)&gt;0,"인건비",IF(IFERROR(SEARCH("임차",E84),0)&gt;0,"임차·시설",IF(IFERROR(SEARCH("광고",E84),0)&gt;0,"광고·행사",IF(IFERROR(SEARCH("용역",E84),0)&gt;0,"용역·수수료","기타/불명"))))))</x:f>
      </x:c>
      <x:c r="J84" s="77" t="str">
        <x:f>IF(A84="","",IF(I84="기타/불명","확인 필요","결의서명으로 1차 확인"))</x:f>
      </x:c>
      <x:c r="K84" s="78"/>
    </x:row>
    <x:row r="85">
      <x:c r="A85" s="73"/>
      <x:c r="B85" s="73"/>
      <x:c r="C85" s="74"/>
      <x:c r="D85" s="73"/>
      <x:c r="E85" s="73"/>
      <x:c r="F85" s="75"/>
      <x:c r="G85" s="75"/>
      <x:c r="H85" s="76" t="str">
        <x:f>IF(A85="","",F85-G85)</x:f>
      </x:c>
      <x:c r="I85" s="77" t="str">
        <x:f>IF(A85="","",IF(E85="","기타/불명",IF(IFERROR(SEARCH("급여",E85),0)&gt;0,"인건비",IF(IFERROR(SEARCH("임차",E85),0)&gt;0,"임차·시설",IF(IFERROR(SEARCH("광고",E85),0)&gt;0,"광고·행사",IF(IFERROR(SEARCH("용역",E85),0)&gt;0,"용역·수수료","기타/불명"))))))</x:f>
      </x:c>
      <x:c r="J85" s="77" t="str">
        <x:f>IF(A85="","",IF(I85="기타/불명","확인 필요","결의서명으로 1차 확인"))</x:f>
      </x:c>
      <x:c r="K85" s="78"/>
    </x:row>
    <x:row r="86">
      <x:c r="A86" s="73"/>
      <x:c r="B86" s="73"/>
      <x:c r="C86" s="74"/>
      <x:c r="D86" s="73"/>
      <x:c r="E86" s="73"/>
      <x:c r="F86" s="75"/>
      <x:c r="G86" s="75"/>
      <x:c r="H86" s="76" t="str">
        <x:f>IF(A86="","",F86-G86)</x:f>
      </x:c>
      <x:c r="I86" s="77" t="str">
        <x:f>IF(A86="","",IF(E86="","기타/불명",IF(IFERROR(SEARCH("급여",E86),0)&gt;0,"인건비",IF(IFERROR(SEARCH("임차",E86),0)&gt;0,"임차·시설",IF(IFERROR(SEARCH("광고",E86),0)&gt;0,"광고·행사",IF(IFERROR(SEARCH("용역",E86),0)&gt;0,"용역·수수료","기타/불명"))))))</x:f>
      </x:c>
      <x:c r="J86" s="77" t="str">
        <x:f>IF(A86="","",IF(I86="기타/불명","확인 필요","결의서명으로 1차 확인"))</x:f>
      </x:c>
      <x:c r="K86" s="78"/>
    </x:row>
    <x:row r="87">
      <x:c r="A87" s="73"/>
      <x:c r="B87" s="73"/>
      <x:c r="C87" s="74"/>
      <x:c r="D87" s="73"/>
      <x:c r="E87" s="73"/>
      <x:c r="F87" s="75"/>
      <x:c r="G87" s="75"/>
      <x:c r="H87" s="76" t="str">
        <x:f>IF(A87="","",F87-G87)</x:f>
      </x:c>
      <x:c r="I87" s="77" t="str">
        <x:f>IF(A87="","",IF(E87="","기타/불명",IF(IFERROR(SEARCH("급여",E87),0)&gt;0,"인건비",IF(IFERROR(SEARCH("임차",E87),0)&gt;0,"임차·시설",IF(IFERROR(SEARCH("광고",E87),0)&gt;0,"광고·행사",IF(IFERROR(SEARCH("용역",E87),0)&gt;0,"용역·수수료","기타/불명"))))))</x:f>
      </x:c>
      <x:c r="J87" s="77" t="str">
        <x:f>IF(A87="","",IF(I87="기타/불명","확인 필요","결의서명으로 1차 확인"))</x:f>
      </x:c>
      <x:c r="K87" s="78"/>
    </x:row>
    <x:row r="88">
      <x:c r="A88" s="73"/>
      <x:c r="B88" s="73"/>
      <x:c r="C88" s="74"/>
      <x:c r="D88" s="73"/>
      <x:c r="E88" s="73"/>
      <x:c r="F88" s="75"/>
      <x:c r="G88" s="75"/>
      <x:c r="H88" s="76" t="str">
        <x:f>IF(A88="","",F88-G88)</x:f>
      </x:c>
      <x:c r="I88" s="77" t="str">
        <x:f>IF(A88="","",IF(E88="","기타/불명",IF(IFERROR(SEARCH("급여",E88),0)&gt;0,"인건비",IF(IFERROR(SEARCH("임차",E88),0)&gt;0,"임차·시설",IF(IFERROR(SEARCH("광고",E88),0)&gt;0,"광고·행사",IF(IFERROR(SEARCH("용역",E88),0)&gt;0,"용역·수수료","기타/불명"))))))</x:f>
      </x:c>
      <x:c r="J88" s="77" t="str">
        <x:f>IF(A88="","",IF(I88="기타/불명","확인 필요","결의서명으로 1차 확인"))</x:f>
      </x:c>
      <x:c r="K88" s="78"/>
    </x:row>
    <x:row r="89">
      <x:c r="A89" s="73"/>
      <x:c r="B89" s="73"/>
      <x:c r="C89" s="74"/>
      <x:c r="D89" s="73"/>
      <x:c r="E89" s="73"/>
      <x:c r="F89" s="75"/>
      <x:c r="G89" s="75"/>
      <x:c r="H89" s="76" t="str">
        <x:f>IF(A89="","",F89-G89)</x:f>
      </x:c>
      <x:c r="I89" s="77" t="str">
        <x:f>IF(A89="","",IF(E89="","기타/불명",IF(IFERROR(SEARCH("급여",E89),0)&gt;0,"인건비",IF(IFERROR(SEARCH("임차",E89),0)&gt;0,"임차·시설",IF(IFERROR(SEARCH("광고",E89),0)&gt;0,"광고·행사",IF(IFERROR(SEARCH("용역",E89),0)&gt;0,"용역·수수료","기타/불명"))))))</x:f>
      </x:c>
      <x:c r="J89" s="77" t="str">
        <x:f>IF(A89="","",IF(I89="기타/불명","확인 필요","결의서명으로 1차 확인"))</x:f>
      </x:c>
      <x:c r="K89" s="78"/>
    </x:row>
    <x:row r="90">
      <x:c r="A90" s="73"/>
      <x:c r="B90" s="73"/>
      <x:c r="C90" s="74"/>
      <x:c r="D90" s="73"/>
      <x:c r="E90" s="73"/>
      <x:c r="F90" s="75"/>
      <x:c r="G90" s="75"/>
      <x:c r="H90" s="76" t="str">
        <x:f>IF(A90="","",F90-G90)</x:f>
      </x:c>
      <x:c r="I90" s="77" t="str">
        <x:f>IF(A90="","",IF(E90="","기타/불명",IF(IFERROR(SEARCH("급여",E90),0)&gt;0,"인건비",IF(IFERROR(SEARCH("임차",E90),0)&gt;0,"임차·시설",IF(IFERROR(SEARCH("광고",E90),0)&gt;0,"광고·행사",IF(IFERROR(SEARCH("용역",E90),0)&gt;0,"용역·수수료","기타/불명"))))))</x:f>
      </x:c>
      <x:c r="J90" s="77" t="str">
        <x:f>IF(A90="","",IF(I90="기타/불명","확인 필요","결의서명으로 1차 확인"))</x:f>
      </x:c>
      <x:c r="K90" s="78"/>
    </x:row>
    <x:row r="91">
      <x:c r="A91" s="73"/>
      <x:c r="B91" s="73"/>
      <x:c r="C91" s="74"/>
      <x:c r="D91" s="73"/>
      <x:c r="E91" s="73"/>
      <x:c r="F91" s="75"/>
      <x:c r="G91" s="75"/>
      <x:c r="H91" s="76" t="str">
        <x:f>IF(A91="","",F91-G91)</x:f>
      </x:c>
      <x:c r="I91" s="77" t="str">
        <x:f>IF(A91="","",IF(E91="","기타/불명",IF(IFERROR(SEARCH("급여",E91),0)&gt;0,"인건비",IF(IFERROR(SEARCH("임차",E91),0)&gt;0,"임차·시설",IF(IFERROR(SEARCH("광고",E91),0)&gt;0,"광고·행사",IF(IFERROR(SEARCH("용역",E91),0)&gt;0,"용역·수수료","기타/불명"))))))</x:f>
      </x:c>
      <x:c r="J91" s="77" t="str">
        <x:f>IF(A91="","",IF(I91="기타/불명","확인 필요","결의서명으로 1차 확인"))</x:f>
      </x:c>
      <x:c r="K91" s="78"/>
    </x:row>
    <x:row r="92">
      <x:c r="A92" s="73"/>
      <x:c r="B92" s="73"/>
      <x:c r="C92" s="74"/>
      <x:c r="D92" s="73"/>
      <x:c r="E92" s="73"/>
      <x:c r="F92" s="75"/>
      <x:c r="G92" s="75"/>
      <x:c r="H92" s="76" t="str">
        <x:f>IF(A92="","",F92-G92)</x:f>
      </x:c>
      <x:c r="I92" s="77" t="str">
        <x:f>IF(A92="","",IF(E92="","기타/불명",IF(IFERROR(SEARCH("급여",E92),0)&gt;0,"인건비",IF(IFERROR(SEARCH("임차",E92),0)&gt;0,"임차·시설",IF(IFERROR(SEARCH("광고",E92),0)&gt;0,"광고·행사",IF(IFERROR(SEARCH("용역",E92),0)&gt;0,"용역·수수료","기타/불명"))))))</x:f>
      </x:c>
      <x:c r="J92" s="77" t="str">
        <x:f>IF(A92="","",IF(I92="기타/불명","확인 필요","결의서명으로 1차 확인"))</x:f>
      </x:c>
      <x:c r="K92" s="78"/>
    </x:row>
    <x:row r="93">
      <x:c r="A93" s="73"/>
      <x:c r="B93" s="73"/>
      <x:c r="C93" s="74"/>
      <x:c r="D93" s="73"/>
      <x:c r="E93" s="73"/>
      <x:c r="F93" s="75"/>
      <x:c r="G93" s="75"/>
      <x:c r="H93" s="76" t="str">
        <x:f>IF(A93="","",F93-G93)</x:f>
      </x:c>
      <x:c r="I93" s="77" t="str">
        <x:f>IF(A93="","",IF(E93="","기타/불명",IF(IFERROR(SEARCH("급여",E93),0)&gt;0,"인건비",IF(IFERROR(SEARCH("임차",E93),0)&gt;0,"임차·시설",IF(IFERROR(SEARCH("광고",E93),0)&gt;0,"광고·행사",IF(IFERROR(SEARCH("용역",E93),0)&gt;0,"용역·수수료","기타/불명"))))))</x:f>
      </x:c>
      <x:c r="J93" s="77" t="str">
        <x:f>IF(A93="","",IF(I93="기타/불명","확인 필요","결의서명으로 1차 확인"))</x:f>
      </x:c>
      <x:c r="K93" s="78"/>
    </x:row>
    <x:row r="94">
      <x:c r="A94" s="73"/>
      <x:c r="B94" s="73"/>
      <x:c r="C94" s="74"/>
      <x:c r="D94" s="73"/>
      <x:c r="E94" s="73"/>
      <x:c r="F94" s="75"/>
      <x:c r="G94" s="75"/>
      <x:c r="H94" s="76" t="str">
        <x:f>IF(A94="","",F94-G94)</x:f>
      </x:c>
      <x:c r="I94" s="77" t="str">
        <x:f>IF(A94="","",IF(E94="","기타/불명",IF(IFERROR(SEARCH("급여",E94),0)&gt;0,"인건비",IF(IFERROR(SEARCH("임차",E94),0)&gt;0,"임차·시설",IF(IFERROR(SEARCH("광고",E94),0)&gt;0,"광고·행사",IF(IFERROR(SEARCH("용역",E94),0)&gt;0,"용역·수수료","기타/불명"))))))</x:f>
      </x:c>
      <x:c r="J94" s="77" t="str">
        <x:f>IF(A94="","",IF(I94="기타/불명","확인 필요","결의서명으로 1차 확인"))</x:f>
      </x:c>
      <x:c r="K94" s="78"/>
    </x:row>
    <x:row r="95">
      <x:c r="A95" s="73"/>
      <x:c r="B95" s="73"/>
      <x:c r="C95" s="74"/>
      <x:c r="D95" s="73"/>
      <x:c r="E95" s="73"/>
      <x:c r="F95" s="75"/>
      <x:c r="G95" s="75"/>
      <x:c r="H95" s="76" t="str">
        <x:f>IF(A95="","",F95-G95)</x:f>
      </x:c>
      <x:c r="I95" s="77" t="str">
        <x:f>IF(A95="","",IF(E95="","기타/불명",IF(IFERROR(SEARCH("급여",E95),0)&gt;0,"인건비",IF(IFERROR(SEARCH("임차",E95),0)&gt;0,"임차·시설",IF(IFERROR(SEARCH("광고",E95),0)&gt;0,"광고·행사",IF(IFERROR(SEARCH("용역",E95),0)&gt;0,"용역·수수료","기타/불명"))))))</x:f>
      </x:c>
      <x:c r="J95" s="77" t="str">
        <x:f>IF(A95="","",IF(I95="기타/불명","확인 필요","결의서명으로 1차 확인"))</x:f>
      </x:c>
      <x:c r="K95" s="78"/>
    </x:row>
    <x:row r="96">
      <x:c r="A96" s="73"/>
      <x:c r="B96" s="73"/>
      <x:c r="C96" s="74"/>
      <x:c r="D96" s="73"/>
      <x:c r="E96" s="73"/>
      <x:c r="F96" s="75"/>
      <x:c r="G96" s="75"/>
      <x:c r="H96" s="76" t="str">
        <x:f>IF(A96="","",F96-G96)</x:f>
      </x:c>
      <x:c r="I96" s="77" t="str">
        <x:f>IF(A96="","",IF(E96="","기타/불명",IF(IFERROR(SEARCH("급여",E96),0)&gt;0,"인건비",IF(IFERROR(SEARCH("임차",E96),0)&gt;0,"임차·시설",IF(IFERROR(SEARCH("광고",E96),0)&gt;0,"광고·행사",IF(IFERROR(SEARCH("용역",E96),0)&gt;0,"용역·수수료","기타/불명"))))))</x:f>
      </x:c>
      <x:c r="J96" s="77" t="str">
        <x:f>IF(A96="","",IF(I96="기타/불명","확인 필요","결의서명으로 1차 확인"))</x:f>
      </x:c>
      <x:c r="K96" s="78"/>
    </x:row>
    <x:row r="97">
      <x:c r="A97" s="73"/>
      <x:c r="B97" s="73"/>
      <x:c r="C97" s="74"/>
      <x:c r="D97" s="73"/>
      <x:c r="E97" s="73"/>
      <x:c r="F97" s="75"/>
      <x:c r="G97" s="75"/>
      <x:c r="H97" s="76" t="str">
        <x:f>IF(A97="","",F97-G97)</x:f>
      </x:c>
      <x:c r="I97" s="77" t="str">
        <x:f>IF(A97="","",IF(E97="","기타/불명",IF(IFERROR(SEARCH("급여",E97),0)&gt;0,"인건비",IF(IFERROR(SEARCH("임차",E97),0)&gt;0,"임차·시설",IF(IFERROR(SEARCH("광고",E97),0)&gt;0,"광고·행사",IF(IFERROR(SEARCH("용역",E97),0)&gt;0,"용역·수수료","기타/불명"))))))</x:f>
      </x:c>
      <x:c r="J97" s="77" t="str">
        <x:f>IF(A97="","",IF(I97="기타/불명","확인 필요","결의서명으로 1차 확인"))</x:f>
      </x:c>
      <x:c r="K97" s="78"/>
    </x:row>
    <x:row r="98">
      <x:c r="A98" s="73"/>
      <x:c r="B98" s="73"/>
      <x:c r="C98" s="74"/>
      <x:c r="D98" s="73"/>
      <x:c r="E98" s="73"/>
      <x:c r="F98" s="75"/>
      <x:c r="G98" s="75"/>
      <x:c r="H98" s="76" t="str">
        <x:f>IF(A98="","",F98-G98)</x:f>
      </x:c>
      <x:c r="I98" s="77" t="str">
        <x:f>IF(A98="","",IF(E98="","기타/불명",IF(IFERROR(SEARCH("급여",E98),0)&gt;0,"인건비",IF(IFERROR(SEARCH("임차",E98),0)&gt;0,"임차·시설",IF(IFERROR(SEARCH("광고",E98),0)&gt;0,"광고·행사",IF(IFERROR(SEARCH("용역",E98),0)&gt;0,"용역·수수료","기타/불명"))))))</x:f>
      </x:c>
      <x:c r="J98" s="77" t="str">
        <x:f>IF(A98="","",IF(I98="기타/불명","확인 필요","결의서명으로 1차 확인"))</x:f>
      </x:c>
      <x:c r="K98" s="78"/>
    </x:row>
    <x:row r="99">
      <x:c r="A99" s="73"/>
      <x:c r="B99" s="73"/>
      <x:c r="C99" s="74"/>
      <x:c r="D99" s="73"/>
      <x:c r="E99" s="73"/>
      <x:c r="F99" s="75"/>
      <x:c r="G99" s="75"/>
      <x:c r="H99" s="76" t="str">
        <x:f>IF(A99="","",F99-G99)</x:f>
      </x:c>
      <x:c r="I99" s="77" t="str">
        <x:f>IF(A99="","",IF(E99="","기타/불명",IF(IFERROR(SEARCH("급여",E99),0)&gt;0,"인건비",IF(IFERROR(SEARCH("임차",E99),0)&gt;0,"임차·시설",IF(IFERROR(SEARCH("광고",E99),0)&gt;0,"광고·행사",IF(IFERROR(SEARCH("용역",E99),0)&gt;0,"용역·수수료","기타/불명"))))))</x:f>
      </x:c>
      <x:c r="J99" s="77" t="str">
        <x:f>IF(A99="","",IF(I99="기타/불명","확인 필요","결의서명으로 1차 확인"))</x:f>
      </x:c>
      <x:c r="K99" s="78"/>
    </x:row>
    <x:row r="100">
      <x:c r="A100" s="73"/>
      <x:c r="B100" s="73"/>
      <x:c r="C100" s="74"/>
      <x:c r="D100" s="73"/>
      <x:c r="E100" s="73"/>
      <x:c r="F100" s="75"/>
      <x:c r="G100" s="75"/>
      <x:c r="H100" s="76" t="str">
        <x:f>IF(A100="","",F100-G100)</x:f>
      </x:c>
      <x:c r="I100" s="77" t="str">
        <x:f>IF(A100="","",IF(E100="","기타/불명",IF(IFERROR(SEARCH("급여",E100),0)&gt;0,"인건비",IF(IFERROR(SEARCH("임차",E100),0)&gt;0,"임차·시설",IF(IFERROR(SEARCH("광고",E100),0)&gt;0,"광고·행사",IF(IFERROR(SEARCH("용역",E100),0)&gt;0,"용역·수수료","기타/불명"))))))</x:f>
      </x:c>
      <x:c r="J100" s="77" t="str">
        <x:f>IF(A100="","",IF(I100="기타/불명","확인 필요","결의서명으로 1차 확인"))</x:f>
      </x:c>
      <x:c r="K100" s="78"/>
    </x:row>
    <x:row r="101">
      <x:c r="A101" s="73"/>
      <x:c r="B101" s="73"/>
      <x:c r="C101" s="74"/>
      <x:c r="D101" s="73"/>
      <x:c r="E101" s="73"/>
      <x:c r="F101" s="75"/>
      <x:c r="G101" s="75"/>
      <x:c r="H101" s="76" t="str">
        <x:f>IF(A101="","",F101-G101)</x:f>
      </x:c>
      <x:c r="I101" s="77" t="str">
        <x:f>IF(A101="","",IF(E101="","기타/불명",IF(IFERROR(SEARCH("급여",E101),0)&gt;0,"인건비",IF(IFERROR(SEARCH("임차",E101),0)&gt;0,"임차·시설",IF(IFERROR(SEARCH("광고",E101),0)&gt;0,"광고·행사",IF(IFERROR(SEARCH("용역",E101),0)&gt;0,"용역·수수료","기타/불명"))))))</x:f>
      </x:c>
      <x:c r="J101" s="77" t="str">
        <x:f>IF(A101="","",IF(I101="기타/불명","확인 필요","결의서명으로 1차 확인"))</x:f>
      </x:c>
      <x:c r="K101" s="78"/>
    </x:row>
    <x:row r="102">
      <x:c r="A102" s="73"/>
      <x:c r="B102" s="73"/>
      <x:c r="C102" s="74"/>
      <x:c r="D102" s="73"/>
      <x:c r="E102" s="73"/>
      <x:c r="F102" s="75"/>
      <x:c r="G102" s="75"/>
      <x:c r="H102" s="76" t="str">
        <x:f>IF(A102="","",F102-G102)</x:f>
      </x:c>
      <x:c r="I102" s="77" t="str">
        <x:f>IF(A102="","",IF(E102="","기타/불명",IF(IFERROR(SEARCH("급여",E102),0)&gt;0,"인건비",IF(IFERROR(SEARCH("임차",E102),0)&gt;0,"임차·시설",IF(IFERROR(SEARCH("광고",E102),0)&gt;0,"광고·행사",IF(IFERROR(SEARCH("용역",E102),0)&gt;0,"용역·수수료","기타/불명"))))))</x:f>
      </x:c>
      <x:c r="J102" s="77" t="str">
        <x:f>IF(A102="","",IF(I102="기타/불명","확인 필요","결의서명으로 1차 확인"))</x:f>
      </x:c>
      <x:c r="K102" s="78"/>
    </x:row>
    <x:row r="103">
      <x:c r="A103" s="73"/>
      <x:c r="B103" s="73"/>
      <x:c r="C103" s="74"/>
      <x:c r="D103" s="73"/>
      <x:c r="E103" s="73"/>
      <x:c r="F103" s="75"/>
      <x:c r="G103" s="75"/>
      <x:c r="H103" s="76" t="str">
        <x:f>IF(A103="","",F103-G103)</x:f>
      </x:c>
      <x:c r="I103" s="77" t="str">
        <x:f>IF(A103="","",IF(E103="","기타/불명",IF(IFERROR(SEARCH("급여",E103),0)&gt;0,"인건비",IF(IFERROR(SEARCH("임차",E103),0)&gt;0,"임차·시설",IF(IFERROR(SEARCH("광고",E103),0)&gt;0,"광고·행사",IF(IFERROR(SEARCH("용역",E103),0)&gt;0,"용역·수수료","기타/불명"))))))</x:f>
      </x:c>
      <x:c r="J103" s="77" t="str">
        <x:f>IF(A103="","",IF(I103="기타/불명","확인 필요","결의서명으로 1차 확인"))</x:f>
      </x:c>
      <x:c r="K103" s="78"/>
    </x:row>
    <x:row r="104">
      <x:c r="A104" s="73"/>
      <x:c r="B104" s="73"/>
      <x:c r="C104" s="74"/>
      <x:c r="D104" s="73"/>
      <x:c r="E104" s="73"/>
      <x:c r="F104" s="75"/>
      <x:c r="G104" s="75"/>
      <x:c r="H104" s="76" t="str">
        <x:f>IF(A104="","",F104-G104)</x:f>
      </x:c>
      <x:c r="I104" s="77" t="str">
        <x:f>IF(A104="","",IF(E104="","기타/불명",IF(IFERROR(SEARCH("급여",E104),0)&gt;0,"인건비",IF(IFERROR(SEARCH("임차",E104),0)&gt;0,"임차·시설",IF(IFERROR(SEARCH("광고",E104),0)&gt;0,"광고·행사",IF(IFERROR(SEARCH("용역",E104),0)&gt;0,"용역·수수료","기타/불명"))))))</x:f>
      </x:c>
      <x:c r="J104" s="77" t="str">
        <x:f>IF(A104="","",IF(I104="기타/불명","확인 필요","결의서명으로 1차 확인"))</x:f>
      </x:c>
      <x:c r="K104" s="78"/>
    </x:row>
    <x:row r="105">
      <x:c r="A105" s="73"/>
      <x:c r="B105" s="73"/>
      <x:c r="C105" s="74"/>
      <x:c r="D105" s="73"/>
      <x:c r="E105" s="73"/>
      <x:c r="F105" s="75"/>
      <x:c r="G105" s="75"/>
      <x:c r="H105" s="76" t="str">
        <x:f>IF(A105="","",F105-G105)</x:f>
      </x:c>
      <x:c r="I105" s="77" t="str">
        <x:f>IF(A105="","",IF(E105="","기타/불명",IF(IFERROR(SEARCH("급여",E105),0)&gt;0,"인건비",IF(IFERROR(SEARCH("임차",E105),0)&gt;0,"임차·시설",IF(IFERROR(SEARCH("광고",E105),0)&gt;0,"광고·행사",IF(IFERROR(SEARCH("용역",E105),0)&gt;0,"용역·수수료","기타/불명"))))))</x:f>
      </x:c>
      <x:c r="J105" s="77" t="str">
        <x:f>IF(A105="","",IF(I105="기타/불명","확인 필요","결의서명으로 1차 확인"))</x:f>
      </x:c>
      <x:c r="K105" s="78"/>
    </x:row>
    <x:row r="106">
      <x:c r="A106" s="73"/>
      <x:c r="B106" s="73"/>
      <x:c r="C106" s="74"/>
      <x:c r="D106" s="73"/>
      <x:c r="E106" s="73"/>
      <x:c r="F106" s="75"/>
      <x:c r="G106" s="75"/>
      <x:c r="H106" s="76" t="str">
        <x:f>IF(A106="","",F106-G106)</x:f>
      </x:c>
      <x:c r="I106" s="77" t="str">
        <x:f>IF(A106="","",IF(E106="","기타/불명",IF(IFERROR(SEARCH("급여",E106),0)&gt;0,"인건비",IF(IFERROR(SEARCH("임차",E106),0)&gt;0,"임차·시설",IF(IFERROR(SEARCH("광고",E106),0)&gt;0,"광고·행사",IF(IFERROR(SEARCH("용역",E106),0)&gt;0,"용역·수수료","기타/불명"))))))</x:f>
      </x:c>
      <x:c r="J106" s="77" t="str">
        <x:f>IF(A106="","",IF(I106="기타/불명","확인 필요","결의서명으로 1차 확인"))</x:f>
      </x:c>
      <x:c r="K106" s="78"/>
    </x:row>
    <x:row r="107">
      <x:c r="A107" s="73"/>
      <x:c r="B107" s="73"/>
      <x:c r="C107" s="74"/>
      <x:c r="D107" s="73"/>
      <x:c r="E107" s="73"/>
      <x:c r="F107" s="75"/>
      <x:c r="G107" s="75"/>
      <x:c r="H107" s="76" t="str">
        <x:f>IF(A107="","",F107-G107)</x:f>
      </x:c>
      <x:c r="I107" s="77" t="str">
        <x:f>IF(A107="","",IF(E107="","기타/불명",IF(IFERROR(SEARCH("급여",E107),0)&gt;0,"인건비",IF(IFERROR(SEARCH("임차",E107),0)&gt;0,"임차·시설",IF(IFERROR(SEARCH("광고",E107),0)&gt;0,"광고·행사",IF(IFERROR(SEARCH("용역",E107),0)&gt;0,"용역·수수료","기타/불명"))))))</x:f>
      </x:c>
      <x:c r="J107" s="77" t="str">
        <x:f>IF(A107="","",IF(I107="기타/불명","확인 필요","결의서명으로 1차 확인"))</x:f>
      </x:c>
      <x:c r="K107" s="78"/>
    </x:row>
    <x:row r="108">
      <x:c r="A108" s="73"/>
      <x:c r="B108" s="73"/>
      <x:c r="C108" s="74"/>
      <x:c r="D108" s="73"/>
      <x:c r="E108" s="73"/>
      <x:c r="F108" s="75"/>
      <x:c r="G108" s="75"/>
      <x:c r="H108" s="76" t="str">
        <x:f>IF(A108="","",F108-G108)</x:f>
      </x:c>
      <x:c r="I108" s="77" t="str">
        <x:f>IF(A108="","",IF(E108="","기타/불명",IF(IFERROR(SEARCH("급여",E108),0)&gt;0,"인건비",IF(IFERROR(SEARCH("임차",E108),0)&gt;0,"임차·시설",IF(IFERROR(SEARCH("광고",E108),0)&gt;0,"광고·행사",IF(IFERROR(SEARCH("용역",E108),0)&gt;0,"용역·수수료","기타/불명"))))))</x:f>
      </x:c>
      <x:c r="J108" s="77" t="str">
        <x:f>IF(A108="","",IF(I108="기타/불명","확인 필요","결의서명으로 1차 확인"))</x:f>
      </x:c>
      <x:c r="K108" s="78"/>
    </x:row>
    <x:row r="109">
      <x:c r="A109" s="73"/>
      <x:c r="B109" s="73"/>
      <x:c r="C109" s="74"/>
      <x:c r="D109" s="73"/>
      <x:c r="E109" s="73"/>
      <x:c r="F109" s="75"/>
      <x:c r="G109" s="75"/>
      <x:c r="H109" s="76" t="str">
        <x:f>IF(A109="","",F109-G109)</x:f>
      </x:c>
      <x:c r="I109" s="77" t="str">
        <x:f>IF(A109="","",IF(E109="","기타/불명",IF(IFERROR(SEARCH("급여",E109),0)&gt;0,"인건비",IF(IFERROR(SEARCH("임차",E109),0)&gt;0,"임차·시설",IF(IFERROR(SEARCH("광고",E109),0)&gt;0,"광고·행사",IF(IFERROR(SEARCH("용역",E109),0)&gt;0,"용역·수수료","기타/불명"))))))</x:f>
      </x:c>
      <x:c r="J109" s="77" t="str">
        <x:f>IF(A109="","",IF(I109="기타/불명","확인 필요","결의서명으로 1차 확인"))</x:f>
      </x:c>
      <x:c r="K109" s="78"/>
    </x:row>
    <x:row r="110">
      <x:c r="A110" s="73"/>
      <x:c r="B110" s="73"/>
      <x:c r="C110" s="74"/>
      <x:c r="D110" s="73"/>
      <x:c r="E110" s="73"/>
      <x:c r="F110" s="75"/>
      <x:c r="G110" s="75"/>
      <x:c r="H110" s="76" t="str">
        <x:f>IF(A110="","",F110-G110)</x:f>
      </x:c>
      <x:c r="I110" s="77" t="str">
        <x:f>IF(A110="","",IF(E110="","기타/불명",IF(IFERROR(SEARCH("급여",E110),0)&gt;0,"인건비",IF(IFERROR(SEARCH("임차",E110),0)&gt;0,"임차·시설",IF(IFERROR(SEARCH("광고",E110),0)&gt;0,"광고·행사",IF(IFERROR(SEARCH("용역",E110),0)&gt;0,"용역·수수료","기타/불명"))))))</x:f>
      </x:c>
      <x:c r="J110" s="77" t="str">
        <x:f>IF(A110="","",IF(I110="기타/불명","확인 필요","결의서명으로 1차 확인"))</x:f>
      </x:c>
      <x:c r="K110" s="78"/>
    </x:row>
    <x:row r="111">
      <x:c r="A111" s="73"/>
      <x:c r="B111" s="73"/>
      <x:c r="C111" s="74"/>
      <x:c r="D111" s="73"/>
      <x:c r="E111" s="73"/>
      <x:c r="F111" s="75"/>
      <x:c r="G111" s="75"/>
      <x:c r="H111" s="76" t="str">
        <x:f>IF(A111="","",F111-G111)</x:f>
      </x:c>
      <x:c r="I111" s="77" t="str">
        <x:f>IF(A111="","",IF(E111="","기타/불명",IF(IFERROR(SEARCH("급여",E111),0)&gt;0,"인건비",IF(IFERROR(SEARCH("임차",E111),0)&gt;0,"임차·시설",IF(IFERROR(SEARCH("광고",E111),0)&gt;0,"광고·행사",IF(IFERROR(SEARCH("용역",E111),0)&gt;0,"용역·수수료","기타/불명"))))))</x:f>
      </x:c>
      <x:c r="J111" s="77" t="str">
        <x:f>IF(A111="","",IF(I111="기타/불명","확인 필요","결의서명으로 1차 확인"))</x:f>
      </x:c>
      <x:c r="K111" s="78"/>
    </x:row>
    <x:row r="112">
      <x:c r="A112" s="73"/>
      <x:c r="B112" s="73"/>
      <x:c r="C112" s="74"/>
      <x:c r="D112" s="73"/>
      <x:c r="E112" s="73"/>
      <x:c r="F112" s="75"/>
      <x:c r="G112" s="75"/>
      <x:c r="H112" s="76" t="str">
        <x:f>IF(A112="","",F112-G112)</x:f>
      </x:c>
      <x:c r="I112" s="77" t="str">
        <x:f>IF(A112="","",IF(E112="","기타/불명",IF(IFERROR(SEARCH("급여",E112),0)&gt;0,"인건비",IF(IFERROR(SEARCH("임차",E112),0)&gt;0,"임차·시설",IF(IFERROR(SEARCH("광고",E112),0)&gt;0,"광고·행사",IF(IFERROR(SEARCH("용역",E112),0)&gt;0,"용역·수수료","기타/불명"))))))</x:f>
      </x:c>
      <x:c r="J112" s="77" t="str">
        <x:f>IF(A112="","",IF(I112="기타/불명","확인 필요","결의서명으로 1차 확인"))</x:f>
      </x:c>
      <x:c r="K112" s="78"/>
    </x:row>
    <x:row r="113">
      <x:c r="A113" s="73"/>
      <x:c r="B113" s="73"/>
      <x:c r="C113" s="74"/>
      <x:c r="D113" s="73"/>
      <x:c r="E113" s="73"/>
      <x:c r="F113" s="75"/>
      <x:c r="G113" s="75"/>
      <x:c r="H113" s="76" t="str">
        <x:f>IF(A113="","",F113-G113)</x:f>
      </x:c>
      <x:c r="I113" s="77" t="str">
        <x:f>IF(A113="","",IF(E113="","기타/불명",IF(IFERROR(SEARCH("급여",E113),0)&gt;0,"인건비",IF(IFERROR(SEARCH("임차",E113),0)&gt;0,"임차·시설",IF(IFERROR(SEARCH("광고",E113),0)&gt;0,"광고·행사",IF(IFERROR(SEARCH("용역",E113),0)&gt;0,"용역·수수료","기타/불명"))))))</x:f>
      </x:c>
      <x:c r="J113" s="77" t="str">
        <x:f>IF(A113="","",IF(I113="기타/불명","확인 필요","결의서명으로 1차 확인"))</x:f>
      </x:c>
      <x:c r="K113" s="78"/>
    </x:row>
    <x:row r="114">
      <x:c r="A114" s="73"/>
      <x:c r="B114" s="73"/>
      <x:c r="C114" s="74"/>
      <x:c r="D114" s="73"/>
      <x:c r="E114" s="73"/>
      <x:c r="F114" s="75"/>
      <x:c r="G114" s="75"/>
      <x:c r="H114" s="76" t="str">
        <x:f>IF(A114="","",F114-G114)</x:f>
      </x:c>
      <x:c r="I114" s="77" t="str">
        <x:f>IF(A114="","",IF(E114="","기타/불명",IF(IFERROR(SEARCH("급여",E114),0)&gt;0,"인건비",IF(IFERROR(SEARCH("임차",E114),0)&gt;0,"임차·시설",IF(IFERROR(SEARCH("광고",E114),0)&gt;0,"광고·행사",IF(IFERROR(SEARCH("용역",E114),0)&gt;0,"용역·수수료","기타/불명"))))))</x:f>
      </x:c>
      <x:c r="J114" s="77" t="str">
        <x:f>IF(A114="","",IF(I114="기타/불명","확인 필요","결의서명으로 1차 확인"))</x:f>
      </x:c>
      <x:c r="K114" s="78"/>
    </x:row>
    <x:row r="115">
      <x:c r="A115" s="73"/>
      <x:c r="B115" s="73"/>
      <x:c r="C115" s="74"/>
      <x:c r="D115" s="73"/>
      <x:c r="E115" s="73"/>
      <x:c r="F115" s="75"/>
      <x:c r="G115" s="75"/>
      <x:c r="H115" s="76" t="str">
        <x:f>IF(A115="","",F115-G115)</x:f>
      </x:c>
      <x:c r="I115" s="77" t="str">
        <x:f>IF(A115="","",IF(E115="","기타/불명",IF(IFERROR(SEARCH("급여",E115),0)&gt;0,"인건비",IF(IFERROR(SEARCH("임차",E115),0)&gt;0,"임차·시설",IF(IFERROR(SEARCH("광고",E115),0)&gt;0,"광고·행사",IF(IFERROR(SEARCH("용역",E115),0)&gt;0,"용역·수수료","기타/불명"))))))</x:f>
      </x:c>
      <x:c r="J115" s="77" t="str">
        <x:f>IF(A115="","",IF(I115="기타/불명","확인 필요","결의서명으로 1차 확인"))</x:f>
      </x:c>
      <x:c r="K115" s="78"/>
    </x:row>
    <x:row r="116">
      <x:c r="A116" s="73"/>
      <x:c r="B116" s="73"/>
      <x:c r="C116" s="74"/>
      <x:c r="D116" s="73"/>
      <x:c r="E116" s="73"/>
      <x:c r="F116" s="75"/>
      <x:c r="G116" s="75"/>
      <x:c r="H116" s="76" t="str">
        <x:f>IF(A116="","",F116-G116)</x:f>
      </x:c>
      <x:c r="I116" s="77" t="str">
        <x:f>IF(A116="","",IF(E116="","기타/불명",IF(IFERROR(SEARCH("급여",E116),0)&gt;0,"인건비",IF(IFERROR(SEARCH("임차",E116),0)&gt;0,"임차·시설",IF(IFERROR(SEARCH("광고",E116),0)&gt;0,"광고·행사",IF(IFERROR(SEARCH("용역",E116),0)&gt;0,"용역·수수료","기타/불명"))))))</x:f>
      </x:c>
      <x:c r="J116" s="77" t="str">
        <x:f>IF(A116="","",IF(I116="기타/불명","확인 필요","결의서명으로 1차 확인"))</x:f>
      </x:c>
      <x:c r="K116" s="78"/>
    </x:row>
    <x:row r="117">
      <x:c r="A117" s="73"/>
      <x:c r="B117" s="73"/>
      <x:c r="C117" s="74"/>
      <x:c r="D117" s="73"/>
      <x:c r="E117" s="73"/>
      <x:c r="F117" s="75"/>
      <x:c r="G117" s="75"/>
      <x:c r="H117" s="76" t="str">
        <x:f>IF(A117="","",F117-G117)</x:f>
      </x:c>
      <x:c r="I117" s="77" t="str">
        <x:f>IF(A117="","",IF(E117="","기타/불명",IF(IFERROR(SEARCH("급여",E117),0)&gt;0,"인건비",IF(IFERROR(SEARCH("임차",E117),0)&gt;0,"임차·시설",IF(IFERROR(SEARCH("광고",E117),0)&gt;0,"광고·행사",IF(IFERROR(SEARCH("용역",E117),0)&gt;0,"용역·수수료","기타/불명"))))))</x:f>
      </x:c>
      <x:c r="J117" s="77" t="str">
        <x:f>IF(A117="","",IF(I117="기타/불명","확인 필요","결의서명으로 1차 확인"))</x:f>
      </x:c>
      <x:c r="K117" s="78"/>
    </x:row>
    <x:row r="118">
      <x:c r="A118" s="73"/>
      <x:c r="B118" s="73"/>
      <x:c r="C118" s="74"/>
      <x:c r="D118" s="73"/>
      <x:c r="E118" s="73"/>
      <x:c r="F118" s="75"/>
      <x:c r="G118" s="75"/>
      <x:c r="H118" s="76" t="str">
        <x:f>IF(A118="","",F118-G118)</x:f>
      </x:c>
      <x:c r="I118" s="77" t="str">
        <x:f>IF(A118="","",IF(E118="","기타/불명",IF(IFERROR(SEARCH("급여",E118),0)&gt;0,"인건비",IF(IFERROR(SEARCH("임차",E118),0)&gt;0,"임차·시설",IF(IFERROR(SEARCH("광고",E118),0)&gt;0,"광고·행사",IF(IFERROR(SEARCH("용역",E118),0)&gt;0,"용역·수수료","기타/불명"))))))</x:f>
      </x:c>
      <x:c r="J118" s="77" t="str">
        <x:f>IF(A118="","",IF(I118="기타/불명","확인 필요","결의서명으로 1차 확인"))</x:f>
      </x:c>
      <x:c r="K118" s="78"/>
    </x:row>
    <x:row r="119">
      <x:c r="A119" s="73"/>
      <x:c r="B119" s="73"/>
      <x:c r="C119" s="74"/>
      <x:c r="D119" s="73"/>
      <x:c r="E119" s="73"/>
      <x:c r="F119" s="75"/>
      <x:c r="G119" s="75"/>
      <x:c r="H119" s="76" t="str">
        <x:f>IF(A119="","",F119-G119)</x:f>
      </x:c>
      <x:c r="I119" s="77" t="str">
        <x:f>IF(A119="","",IF(E119="","기타/불명",IF(IFERROR(SEARCH("급여",E119),0)&gt;0,"인건비",IF(IFERROR(SEARCH("임차",E119),0)&gt;0,"임차·시설",IF(IFERROR(SEARCH("광고",E119),0)&gt;0,"광고·행사",IF(IFERROR(SEARCH("용역",E119),0)&gt;0,"용역·수수료","기타/불명"))))))</x:f>
      </x:c>
      <x:c r="J119" s="77" t="str">
        <x:f>IF(A119="","",IF(I119="기타/불명","확인 필요","결의서명으로 1차 확인"))</x:f>
      </x:c>
      <x:c r="K119" s="78"/>
    </x:row>
    <x:row r="120">
      <x:c r="A120" s="73"/>
      <x:c r="B120" s="73"/>
      <x:c r="C120" s="74"/>
      <x:c r="D120" s="73"/>
      <x:c r="E120" s="73"/>
      <x:c r="F120" s="75"/>
      <x:c r="G120" s="75"/>
      <x:c r="H120" s="76" t="str">
        <x:f>IF(A120="","",F120-G120)</x:f>
      </x:c>
      <x:c r="I120" s="77" t="str">
        <x:f>IF(A120="","",IF(E120="","기타/불명",IF(IFERROR(SEARCH("급여",E120),0)&gt;0,"인건비",IF(IFERROR(SEARCH("임차",E120),0)&gt;0,"임차·시설",IF(IFERROR(SEARCH("광고",E120),0)&gt;0,"광고·행사",IF(IFERROR(SEARCH("용역",E120),0)&gt;0,"용역·수수료","기타/불명"))))))</x:f>
      </x:c>
      <x:c r="J120" s="77" t="str">
        <x:f>IF(A120="","",IF(I120="기타/불명","확인 필요","결의서명으로 1차 확인"))</x:f>
      </x:c>
      <x:c r="K120" s="78"/>
    </x:row>
    <x:row r="121">
      <x:c r="A121" s="73"/>
      <x:c r="B121" s="73"/>
      <x:c r="C121" s="74"/>
      <x:c r="D121" s="73"/>
      <x:c r="E121" s="73"/>
      <x:c r="F121" s="75"/>
      <x:c r="G121" s="75"/>
      <x:c r="H121" s="76" t="str">
        <x:f>IF(A121="","",F121-G121)</x:f>
      </x:c>
      <x:c r="I121" s="77" t="str">
        <x:f>IF(A121="","",IF(E121="","기타/불명",IF(IFERROR(SEARCH("급여",E121),0)&gt;0,"인건비",IF(IFERROR(SEARCH("임차",E121),0)&gt;0,"임차·시설",IF(IFERROR(SEARCH("광고",E121),0)&gt;0,"광고·행사",IF(IFERROR(SEARCH("용역",E121),0)&gt;0,"용역·수수료","기타/불명"))))))</x:f>
      </x:c>
      <x:c r="J121" s="77" t="str">
        <x:f>IF(A121="","",IF(I121="기타/불명","확인 필요","결의서명으로 1차 확인"))</x:f>
      </x:c>
      <x:c r="K121" s="78"/>
    </x:row>
    <x:row r="122">
      <x:c r="A122" s="73"/>
      <x:c r="B122" s="73"/>
      <x:c r="C122" s="74"/>
      <x:c r="D122" s="73"/>
      <x:c r="E122" s="73"/>
      <x:c r="F122" s="75"/>
      <x:c r="G122" s="75"/>
      <x:c r="H122" s="76" t="str">
        <x:f>IF(A122="","",F122-G122)</x:f>
      </x:c>
      <x:c r="I122" s="77" t="str">
        <x:f>IF(A122="","",IF(E122="","기타/불명",IF(IFERROR(SEARCH("급여",E122),0)&gt;0,"인건비",IF(IFERROR(SEARCH("임차",E122),0)&gt;0,"임차·시설",IF(IFERROR(SEARCH("광고",E122),0)&gt;0,"광고·행사",IF(IFERROR(SEARCH("용역",E122),0)&gt;0,"용역·수수료","기타/불명"))))))</x:f>
      </x:c>
      <x:c r="J122" s="77" t="str">
        <x:f>IF(A122="","",IF(I122="기타/불명","확인 필요","결의서명으로 1차 확인"))</x:f>
      </x:c>
      <x:c r="K122" s="78"/>
    </x:row>
    <x:row r="123">
      <x:c r="A123" s="73"/>
      <x:c r="B123" s="73"/>
      <x:c r="C123" s="74"/>
      <x:c r="D123" s="73"/>
      <x:c r="E123" s="73"/>
      <x:c r="F123" s="75"/>
      <x:c r="G123" s="75"/>
      <x:c r="H123" s="76" t="str">
        <x:f>IF(A123="","",F123-G123)</x:f>
      </x:c>
      <x:c r="I123" s="77" t="str">
        <x:f>IF(A123="","",IF(E123="","기타/불명",IF(IFERROR(SEARCH("급여",E123),0)&gt;0,"인건비",IF(IFERROR(SEARCH("임차",E123),0)&gt;0,"임차·시설",IF(IFERROR(SEARCH("광고",E123),0)&gt;0,"광고·행사",IF(IFERROR(SEARCH("용역",E123),0)&gt;0,"용역·수수료","기타/불명"))))))</x:f>
      </x:c>
      <x:c r="J123" s="77" t="str">
        <x:f>IF(A123="","",IF(I123="기타/불명","확인 필요","결의서명으로 1차 확인"))</x:f>
      </x:c>
      <x:c r="K123" s="78"/>
    </x:row>
    <x:row r="124">
      <x:c r="A124" s="73"/>
      <x:c r="B124" s="73"/>
      <x:c r="C124" s="74"/>
      <x:c r="D124" s="73"/>
      <x:c r="E124" s="73"/>
      <x:c r="F124" s="75"/>
      <x:c r="G124" s="75"/>
      <x:c r="H124" s="76" t="str">
        <x:f>IF(A124="","",F124-G124)</x:f>
      </x:c>
      <x:c r="I124" s="77" t="str">
        <x:f>IF(A124="","",IF(E124="","기타/불명",IF(IFERROR(SEARCH("급여",E124),0)&gt;0,"인건비",IF(IFERROR(SEARCH("임차",E124),0)&gt;0,"임차·시설",IF(IFERROR(SEARCH("광고",E124),0)&gt;0,"광고·행사",IF(IFERROR(SEARCH("용역",E124),0)&gt;0,"용역·수수료","기타/불명"))))))</x:f>
      </x:c>
      <x:c r="J124" s="77" t="str">
        <x:f>IF(A124="","",IF(I124="기타/불명","확인 필요","결의서명으로 1차 확인"))</x:f>
      </x:c>
      <x:c r="K124" s="78"/>
    </x:row>
    <x:row r="125">
      <x:c r="A125" s="73"/>
      <x:c r="B125" s="73"/>
      <x:c r="C125" s="74"/>
      <x:c r="D125" s="73"/>
      <x:c r="E125" s="73"/>
      <x:c r="F125" s="75"/>
      <x:c r="G125" s="75"/>
      <x:c r="H125" s="76" t="str">
        <x:f>IF(A125="","",F125-G125)</x:f>
      </x:c>
      <x:c r="I125" s="77" t="str">
        <x:f>IF(A125="","",IF(E125="","기타/불명",IF(IFERROR(SEARCH("급여",E125),0)&gt;0,"인건비",IF(IFERROR(SEARCH("임차",E125),0)&gt;0,"임차·시설",IF(IFERROR(SEARCH("광고",E125),0)&gt;0,"광고·행사",IF(IFERROR(SEARCH("용역",E125),0)&gt;0,"용역·수수료","기타/불명"))))))</x:f>
      </x:c>
      <x:c r="J125" s="77" t="str">
        <x:f>IF(A125="","",IF(I125="기타/불명","확인 필요","결의서명으로 1차 확인"))</x:f>
      </x:c>
      <x:c r="K125" s="78"/>
    </x:row>
    <x:row r="126">
      <x:c r="A126" s="73"/>
      <x:c r="B126" s="73"/>
      <x:c r="C126" s="74"/>
      <x:c r="D126" s="73"/>
      <x:c r="E126" s="73"/>
      <x:c r="F126" s="75"/>
      <x:c r="G126" s="75"/>
      <x:c r="H126" s="76" t="str">
        <x:f>IF(A126="","",F126-G126)</x:f>
      </x:c>
      <x:c r="I126" s="77" t="str">
        <x:f>IF(A126="","",IF(E126="","기타/불명",IF(IFERROR(SEARCH("급여",E126),0)&gt;0,"인건비",IF(IFERROR(SEARCH("임차",E126),0)&gt;0,"임차·시설",IF(IFERROR(SEARCH("광고",E126),0)&gt;0,"광고·행사",IF(IFERROR(SEARCH("용역",E126),0)&gt;0,"용역·수수료","기타/불명"))))))</x:f>
      </x:c>
      <x:c r="J126" s="77" t="str">
        <x:f>IF(A126="","",IF(I126="기타/불명","확인 필요","결의서명으로 1차 확인"))</x:f>
      </x:c>
      <x:c r="K126" s="78"/>
    </x:row>
    <x:row r="127">
      <x:c r="A127" s="73"/>
      <x:c r="B127" s="73"/>
      <x:c r="C127" s="74"/>
      <x:c r="D127" s="73"/>
      <x:c r="E127" s="73"/>
      <x:c r="F127" s="75"/>
      <x:c r="G127" s="75"/>
      <x:c r="H127" s="76" t="str">
        <x:f>IF(A127="","",F127-G127)</x:f>
      </x:c>
      <x:c r="I127" s="77" t="str">
        <x:f>IF(A127="","",IF(E127="","기타/불명",IF(IFERROR(SEARCH("급여",E127),0)&gt;0,"인건비",IF(IFERROR(SEARCH("임차",E127),0)&gt;0,"임차·시설",IF(IFERROR(SEARCH("광고",E127),0)&gt;0,"광고·행사",IF(IFERROR(SEARCH("용역",E127),0)&gt;0,"용역·수수료","기타/불명"))))))</x:f>
      </x:c>
      <x:c r="J127" s="77" t="str">
        <x:f>IF(A127="","",IF(I127="기타/불명","확인 필요","결의서명으로 1차 확인"))</x:f>
      </x:c>
      <x:c r="K127" s="78"/>
    </x:row>
    <x:row r="128">
      <x:c r="A128" s="73"/>
      <x:c r="B128" s="73"/>
      <x:c r="C128" s="74"/>
      <x:c r="D128" s="73"/>
      <x:c r="E128" s="73"/>
      <x:c r="F128" s="75"/>
      <x:c r="G128" s="75"/>
      <x:c r="H128" s="76" t="str">
        <x:f>IF(A128="","",F128-G128)</x:f>
      </x:c>
      <x:c r="I128" s="77" t="str">
        <x:f>IF(A128="","",IF(E128="","기타/불명",IF(IFERROR(SEARCH("급여",E128),0)&gt;0,"인건비",IF(IFERROR(SEARCH("임차",E128),0)&gt;0,"임차·시설",IF(IFERROR(SEARCH("광고",E128),0)&gt;0,"광고·행사",IF(IFERROR(SEARCH("용역",E128),0)&gt;0,"용역·수수료","기타/불명"))))))</x:f>
      </x:c>
      <x:c r="J128" s="77" t="str">
        <x:f>IF(A128="","",IF(I128="기타/불명","확인 필요","결의서명으로 1차 확인"))</x:f>
      </x:c>
      <x:c r="K128" s="78"/>
    </x:row>
    <x:row r="129">
      <x:c r="A129" s="73"/>
      <x:c r="B129" s="73"/>
      <x:c r="C129" s="74"/>
      <x:c r="D129" s="73"/>
      <x:c r="E129" s="73"/>
      <x:c r="F129" s="75"/>
      <x:c r="G129" s="75"/>
      <x:c r="H129" s="76" t="str">
        <x:f>IF(A129="","",F129-G129)</x:f>
      </x:c>
      <x:c r="I129" s="77" t="str">
        <x:f>IF(A129="","",IF(E129="","기타/불명",IF(IFERROR(SEARCH("급여",E129),0)&gt;0,"인건비",IF(IFERROR(SEARCH("임차",E129),0)&gt;0,"임차·시설",IF(IFERROR(SEARCH("광고",E129),0)&gt;0,"광고·행사",IF(IFERROR(SEARCH("용역",E129),0)&gt;0,"용역·수수료","기타/불명"))))))</x:f>
      </x:c>
      <x:c r="J129" s="77" t="str">
        <x:f>IF(A129="","",IF(I129="기타/불명","확인 필요","결의서명으로 1차 확인"))</x:f>
      </x:c>
      <x:c r="K129" s="78"/>
    </x:row>
    <x:row r="130">
      <x:c r="A130" s="73"/>
      <x:c r="B130" s="73"/>
      <x:c r="C130" s="74"/>
      <x:c r="D130" s="73"/>
      <x:c r="E130" s="73"/>
      <x:c r="F130" s="75"/>
      <x:c r="G130" s="75"/>
      <x:c r="H130" s="76" t="str">
        <x:f>IF(A130="","",F130-G130)</x:f>
      </x:c>
      <x:c r="I130" s="77" t="str">
        <x:f>IF(A130="","",IF(E130="","기타/불명",IF(IFERROR(SEARCH("급여",E130),0)&gt;0,"인건비",IF(IFERROR(SEARCH("임차",E130),0)&gt;0,"임차·시설",IF(IFERROR(SEARCH("광고",E130),0)&gt;0,"광고·행사",IF(IFERROR(SEARCH("용역",E130),0)&gt;0,"용역·수수료","기타/불명"))))))</x:f>
      </x:c>
      <x:c r="J130" s="77" t="str">
        <x:f>IF(A130="","",IF(I130="기타/불명","확인 필요","결의서명으로 1차 확인"))</x:f>
      </x:c>
      <x:c r="K130" s="78"/>
    </x:row>
    <x:row r="131">
      <x:c r="A131" s="73"/>
      <x:c r="B131" s="73"/>
      <x:c r="C131" s="74"/>
      <x:c r="D131" s="73"/>
      <x:c r="E131" s="73"/>
      <x:c r="F131" s="75"/>
      <x:c r="G131" s="75"/>
      <x:c r="H131" s="76" t="str">
        <x:f>IF(A131="","",F131-G131)</x:f>
      </x:c>
      <x:c r="I131" s="77" t="str">
        <x:f>IF(A131="","",IF(E131="","기타/불명",IF(IFERROR(SEARCH("급여",E131),0)&gt;0,"인건비",IF(IFERROR(SEARCH("임차",E131),0)&gt;0,"임차·시설",IF(IFERROR(SEARCH("광고",E131),0)&gt;0,"광고·행사",IF(IFERROR(SEARCH("용역",E131),0)&gt;0,"용역·수수료","기타/불명"))))))</x:f>
      </x:c>
      <x:c r="J131" s="77" t="str">
        <x:f>IF(A131="","",IF(I131="기타/불명","확인 필요","결의서명으로 1차 확인"))</x:f>
      </x:c>
      <x:c r="K131" s="78"/>
    </x:row>
    <x:row r="132">
      <x:c r="A132" s="73"/>
      <x:c r="B132" s="73"/>
      <x:c r="C132" s="74"/>
      <x:c r="D132" s="73"/>
      <x:c r="E132" s="73"/>
      <x:c r="F132" s="75"/>
      <x:c r="G132" s="75"/>
      <x:c r="H132" s="76" t="str">
        <x:f>IF(A132="","",F132-G132)</x:f>
      </x:c>
      <x:c r="I132" s="77" t="str">
        <x:f>IF(A132="","",IF(E132="","기타/불명",IF(IFERROR(SEARCH("급여",E132),0)&gt;0,"인건비",IF(IFERROR(SEARCH("임차",E132),0)&gt;0,"임차·시설",IF(IFERROR(SEARCH("광고",E132),0)&gt;0,"광고·행사",IF(IFERROR(SEARCH("용역",E132),0)&gt;0,"용역·수수료","기타/불명"))))))</x:f>
      </x:c>
      <x:c r="J132" s="77" t="str">
        <x:f>IF(A132="","",IF(I132="기타/불명","확인 필요","결의서명으로 1차 확인"))</x:f>
      </x:c>
      <x:c r="K132" s="78"/>
    </x:row>
    <x:row r="133">
      <x:c r="A133" s="73"/>
      <x:c r="B133" s="73"/>
      <x:c r="C133" s="74"/>
      <x:c r="D133" s="73"/>
      <x:c r="E133" s="73"/>
      <x:c r="F133" s="75"/>
      <x:c r="G133" s="75"/>
      <x:c r="H133" s="76" t="str">
        <x:f>IF(A133="","",F133-G133)</x:f>
      </x:c>
      <x:c r="I133" s="77" t="str">
        <x:f>IF(A133="","",IF(E133="","기타/불명",IF(IFERROR(SEARCH("급여",E133),0)&gt;0,"인건비",IF(IFERROR(SEARCH("임차",E133),0)&gt;0,"임차·시설",IF(IFERROR(SEARCH("광고",E133),0)&gt;0,"광고·행사",IF(IFERROR(SEARCH("용역",E133),0)&gt;0,"용역·수수료","기타/불명"))))))</x:f>
      </x:c>
      <x:c r="J133" s="77" t="str">
        <x:f>IF(A133="","",IF(I133="기타/불명","확인 필요","결의서명으로 1차 확인"))</x:f>
      </x:c>
      <x:c r="K133" s="78"/>
    </x:row>
    <x:row r="134">
      <x:c r="A134" s="73"/>
      <x:c r="B134" s="73"/>
      <x:c r="C134" s="74"/>
      <x:c r="D134" s="73"/>
      <x:c r="E134" s="73"/>
      <x:c r="F134" s="75"/>
      <x:c r="G134" s="75"/>
      <x:c r="H134" s="76" t="str">
        <x:f>IF(A134="","",F134-G134)</x:f>
      </x:c>
      <x:c r="I134" s="77" t="str">
        <x:f>IF(A134="","",IF(E134="","기타/불명",IF(IFERROR(SEARCH("급여",E134),0)&gt;0,"인건비",IF(IFERROR(SEARCH("임차",E134),0)&gt;0,"임차·시설",IF(IFERROR(SEARCH("광고",E134),0)&gt;0,"광고·행사",IF(IFERROR(SEARCH("용역",E134),0)&gt;0,"용역·수수료","기타/불명"))))))</x:f>
      </x:c>
      <x:c r="J134" s="77" t="str">
        <x:f>IF(A134="","",IF(I134="기타/불명","확인 필요","결의서명으로 1차 확인"))</x:f>
      </x:c>
      <x:c r="K134" s="78"/>
    </x:row>
    <x:row r="135">
      <x:c r="A135" s="73"/>
      <x:c r="B135" s="73"/>
      <x:c r="C135" s="74"/>
      <x:c r="D135" s="73"/>
      <x:c r="E135" s="73"/>
      <x:c r="F135" s="75"/>
      <x:c r="G135" s="75"/>
      <x:c r="H135" s="76" t="str">
        <x:f>IF(A135="","",F135-G135)</x:f>
      </x:c>
      <x:c r="I135" s="77" t="str">
        <x:f>IF(A135="","",IF(E135="","기타/불명",IF(IFERROR(SEARCH("급여",E135),0)&gt;0,"인건비",IF(IFERROR(SEARCH("임차",E135),0)&gt;0,"임차·시설",IF(IFERROR(SEARCH("광고",E135),0)&gt;0,"광고·행사",IF(IFERROR(SEARCH("용역",E135),0)&gt;0,"용역·수수료","기타/불명"))))))</x:f>
      </x:c>
      <x:c r="J135" s="77" t="str">
        <x:f>IF(A135="","",IF(I135="기타/불명","확인 필요","결의서명으로 1차 확인"))</x:f>
      </x:c>
      <x:c r="K135" s="78"/>
    </x:row>
    <x:row r="136">
      <x:c r="A136" s="73"/>
      <x:c r="B136" s="73"/>
      <x:c r="C136" s="74"/>
      <x:c r="D136" s="73"/>
      <x:c r="E136" s="73"/>
      <x:c r="F136" s="75"/>
      <x:c r="G136" s="75"/>
      <x:c r="H136" s="76" t="str">
        <x:f>IF(A136="","",F136-G136)</x:f>
      </x:c>
      <x:c r="I136" s="77" t="str">
        <x:f>IF(A136="","",IF(E136="","기타/불명",IF(IFERROR(SEARCH("급여",E136),0)&gt;0,"인건비",IF(IFERROR(SEARCH("임차",E136),0)&gt;0,"임차·시설",IF(IFERROR(SEARCH("광고",E136),0)&gt;0,"광고·행사",IF(IFERROR(SEARCH("용역",E136),0)&gt;0,"용역·수수료","기타/불명"))))))</x:f>
      </x:c>
      <x:c r="J136" s="77" t="str">
        <x:f>IF(A136="","",IF(I136="기타/불명","확인 필요","결의서명으로 1차 확인"))</x:f>
      </x:c>
      <x:c r="K136" s="78"/>
    </x:row>
    <x:row r="137">
      <x:c r="A137" s="73"/>
      <x:c r="B137" s="73"/>
      <x:c r="C137" s="74"/>
      <x:c r="D137" s="73"/>
      <x:c r="E137" s="73"/>
      <x:c r="F137" s="75"/>
      <x:c r="G137" s="75"/>
      <x:c r="H137" s="76" t="str">
        <x:f>IF(A137="","",F137-G137)</x:f>
      </x:c>
      <x:c r="I137" s="77" t="str">
        <x:f>IF(A137="","",IF(E137="","기타/불명",IF(IFERROR(SEARCH("급여",E137),0)&gt;0,"인건비",IF(IFERROR(SEARCH("임차",E137),0)&gt;0,"임차·시설",IF(IFERROR(SEARCH("광고",E137),0)&gt;0,"광고·행사",IF(IFERROR(SEARCH("용역",E137),0)&gt;0,"용역·수수료","기타/불명"))))))</x:f>
      </x:c>
      <x:c r="J137" s="77" t="str">
        <x:f>IF(A137="","",IF(I137="기타/불명","확인 필요","결의서명으로 1차 확인"))</x:f>
      </x:c>
      <x:c r="K137" s="78"/>
    </x:row>
    <x:row r="138">
      <x:c r="A138" s="73"/>
      <x:c r="B138" s="73"/>
      <x:c r="C138" s="74"/>
      <x:c r="D138" s="73"/>
      <x:c r="E138" s="73"/>
      <x:c r="F138" s="75"/>
      <x:c r="G138" s="75"/>
      <x:c r="H138" s="76" t="str">
        <x:f>IF(A138="","",F138-G138)</x:f>
      </x:c>
      <x:c r="I138" s="77" t="str">
        <x:f>IF(A138="","",IF(E138="","기타/불명",IF(IFERROR(SEARCH("급여",E138),0)&gt;0,"인건비",IF(IFERROR(SEARCH("임차",E138),0)&gt;0,"임차·시설",IF(IFERROR(SEARCH("광고",E138),0)&gt;0,"광고·행사",IF(IFERROR(SEARCH("용역",E138),0)&gt;0,"용역·수수료","기타/불명"))))))</x:f>
      </x:c>
      <x:c r="J138" s="77" t="str">
        <x:f>IF(A138="","",IF(I138="기타/불명","확인 필요","결의서명으로 1차 확인"))</x:f>
      </x:c>
      <x:c r="K138" s="78"/>
    </x:row>
    <x:row r="139">
      <x:c r="A139" s="73"/>
      <x:c r="B139" s="73"/>
      <x:c r="C139" s="74"/>
      <x:c r="D139" s="73"/>
      <x:c r="E139" s="73"/>
      <x:c r="F139" s="75"/>
      <x:c r="G139" s="75"/>
      <x:c r="H139" s="76" t="str">
        <x:f>IF(A139="","",F139-G139)</x:f>
      </x:c>
      <x:c r="I139" s="77" t="str">
        <x:f>IF(A139="","",IF(E139="","기타/불명",IF(IFERROR(SEARCH("급여",E139),0)&gt;0,"인건비",IF(IFERROR(SEARCH("임차",E139),0)&gt;0,"임차·시설",IF(IFERROR(SEARCH("광고",E139),0)&gt;0,"광고·행사",IF(IFERROR(SEARCH("용역",E139),0)&gt;0,"용역·수수료","기타/불명"))))))</x:f>
      </x:c>
      <x:c r="J139" s="77" t="str">
        <x:f>IF(A139="","",IF(I139="기타/불명","확인 필요","결의서명으로 1차 확인"))</x:f>
      </x:c>
      <x:c r="K139" s="78"/>
    </x:row>
    <x:row r="140">
      <x:c r="A140" s="73"/>
      <x:c r="B140" s="73"/>
      <x:c r="C140" s="74"/>
      <x:c r="D140" s="73"/>
      <x:c r="E140" s="73"/>
      <x:c r="F140" s="75"/>
      <x:c r="G140" s="75"/>
      <x:c r="H140" s="76" t="str">
        <x:f>IF(A140="","",F140-G140)</x:f>
      </x:c>
      <x:c r="I140" s="77" t="str">
        <x:f>IF(A140="","",IF(E140="","기타/불명",IF(IFERROR(SEARCH("급여",E140),0)&gt;0,"인건비",IF(IFERROR(SEARCH("임차",E140),0)&gt;0,"임차·시설",IF(IFERROR(SEARCH("광고",E140),0)&gt;0,"광고·행사",IF(IFERROR(SEARCH("용역",E140),0)&gt;0,"용역·수수료","기타/불명"))))))</x:f>
      </x:c>
      <x:c r="J140" s="77" t="str">
        <x:f>IF(A140="","",IF(I140="기타/불명","확인 필요","결의서명으로 1차 확인"))</x:f>
      </x:c>
      <x:c r="K140" s="78"/>
    </x:row>
    <x:row r="141">
      <x:c r="A141" s="73"/>
      <x:c r="B141" s="73"/>
      <x:c r="C141" s="74"/>
      <x:c r="D141" s="73"/>
      <x:c r="E141" s="73"/>
      <x:c r="F141" s="75"/>
      <x:c r="G141" s="75"/>
      <x:c r="H141" s="76" t="str">
        <x:f>IF(A141="","",F141-G141)</x:f>
      </x:c>
      <x:c r="I141" s="77" t="str">
        <x:f>IF(A141="","",IF(E141="","기타/불명",IF(IFERROR(SEARCH("급여",E141),0)&gt;0,"인건비",IF(IFERROR(SEARCH("임차",E141),0)&gt;0,"임차·시설",IF(IFERROR(SEARCH("광고",E141),0)&gt;0,"광고·행사",IF(IFERROR(SEARCH("용역",E141),0)&gt;0,"용역·수수료","기타/불명"))))))</x:f>
      </x:c>
      <x:c r="J141" s="77" t="str">
        <x:f>IF(A141="","",IF(I141="기타/불명","확인 필요","결의서명으로 1차 확인"))</x:f>
      </x:c>
      <x:c r="K141" s="78"/>
    </x:row>
    <x:row r="142">
      <x:c r="A142" s="73"/>
      <x:c r="B142" s="73"/>
      <x:c r="C142" s="74"/>
      <x:c r="D142" s="73"/>
      <x:c r="E142" s="73"/>
      <x:c r="F142" s="75"/>
      <x:c r="G142" s="75"/>
      <x:c r="H142" s="76" t="str">
        <x:f>IF(A142="","",F142-G142)</x:f>
      </x:c>
      <x:c r="I142" s="77" t="str">
        <x:f>IF(A142="","",IF(E142="","기타/불명",IF(IFERROR(SEARCH("급여",E142),0)&gt;0,"인건비",IF(IFERROR(SEARCH("임차",E142),0)&gt;0,"임차·시설",IF(IFERROR(SEARCH("광고",E142),0)&gt;0,"광고·행사",IF(IFERROR(SEARCH("용역",E142),0)&gt;0,"용역·수수료","기타/불명"))))))</x:f>
      </x:c>
      <x:c r="J142" s="77" t="str">
        <x:f>IF(A142="","",IF(I142="기타/불명","확인 필요","결의서명으로 1차 확인"))</x:f>
      </x:c>
      <x:c r="K142" s="78"/>
    </x:row>
    <x:row r="143">
      <x:c r="A143" s="73"/>
      <x:c r="B143" s="73"/>
      <x:c r="C143" s="74"/>
      <x:c r="D143" s="73"/>
      <x:c r="E143" s="73"/>
      <x:c r="F143" s="75"/>
      <x:c r="G143" s="75"/>
      <x:c r="H143" s="76" t="str">
        <x:f>IF(A143="","",F143-G143)</x:f>
      </x:c>
      <x:c r="I143" s="77" t="str">
        <x:f>IF(A143="","",IF(E143="","기타/불명",IF(IFERROR(SEARCH("급여",E143),0)&gt;0,"인건비",IF(IFERROR(SEARCH("임차",E143),0)&gt;0,"임차·시설",IF(IFERROR(SEARCH("광고",E143),0)&gt;0,"광고·행사",IF(IFERROR(SEARCH("용역",E143),0)&gt;0,"용역·수수료","기타/불명"))))))</x:f>
      </x:c>
      <x:c r="J143" s="77" t="str">
        <x:f>IF(A143="","",IF(I143="기타/불명","확인 필요","결의서명으로 1차 확인"))</x:f>
      </x:c>
      <x:c r="K143" s="78"/>
    </x:row>
    <x:row r="144">
      <x:c r="A144" s="73"/>
      <x:c r="B144" s="73"/>
      <x:c r="C144" s="74"/>
      <x:c r="D144" s="73"/>
      <x:c r="E144" s="73"/>
      <x:c r="F144" s="75"/>
      <x:c r="G144" s="75"/>
      <x:c r="H144" s="76" t="str">
        <x:f>IF(A144="","",F144-G144)</x:f>
      </x:c>
      <x:c r="I144" s="77" t="str">
        <x:f>IF(A144="","",IF(E144="","기타/불명",IF(IFERROR(SEARCH("급여",E144),0)&gt;0,"인건비",IF(IFERROR(SEARCH("임차",E144),0)&gt;0,"임차·시설",IF(IFERROR(SEARCH("광고",E144),0)&gt;0,"광고·행사",IF(IFERROR(SEARCH("용역",E144),0)&gt;0,"용역·수수료","기타/불명"))))))</x:f>
      </x:c>
      <x:c r="J144" s="77" t="str">
        <x:f>IF(A144="","",IF(I144="기타/불명","확인 필요","결의서명으로 1차 확인"))</x:f>
      </x:c>
      <x:c r="K144" s="78"/>
    </x:row>
    <x:row r="145">
      <x:c r="A145" s="73"/>
      <x:c r="B145" s="73"/>
      <x:c r="C145" s="74"/>
      <x:c r="D145" s="73"/>
      <x:c r="E145" s="73"/>
      <x:c r="F145" s="75"/>
      <x:c r="G145" s="75"/>
      <x:c r="H145" s="76" t="str">
        <x:f>IF(A145="","",F145-G145)</x:f>
      </x:c>
      <x:c r="I145" s="77" t="str">
        <x:f>IF(A145="","",IF(E145="","기타/불명",IF(IFERROR(SEARCH("급여",E145),0)&gt;0,"인건비",IF(IFERROR(SEARCH("임차",E145),0)&gt;0,"임차·시설",IF(IFERROR(SEARCH("광고",E145),0)&gt;0,"광고·행사",IF(IFERROR(SEARCH("용역",E145),0)&gt;0,"용역·수수료","기타/불명"))))))</x:f>
      </x:c>
      <x:c r="J145" s="77" t="str">
        <x:f>IF(A145="","",IF(I145="기타/불명","확인 필요","결의서명으로 1차 확인"))</x:f>
      </x:c>
      <x:c r="K145" s="78"/>
    </x:row>
    <x:row r="146">
      <x:c r="A146" s="73"/>
      <x:c r="B146" s="73"/>
      <x:c r="C146" s="74"/>
      <x:c r="D146" s="73"/>
      <x:c r="E146" s="73"/>
      <x:c r="F146" s="75"/>
      <x:c r="G146" s="75"/>
      <x:c r="H146" s="76" t="str">
        <x:f>IF(A146="","",F146-G146)</x:f>
      </x:c>
      <x:c r="I146" s="77" t="str">
        <x:f>IF(A146="","",IF(E146="","기타/불명",IF(IFERROR(SEARCH("급여",E146),0)&gt;0,"인건비",IF(IFERROR(SEARCH("임차",E146),0)&gt;0,"임차·시설",IF(IFERROR(SEARCH("광고",E146),0)&gt;0,"광고·행사",IF(IFERROR(SEARCH("용역",E146),0)&gt;0,"용역·수수료","기타/불명"))))))</x:f>
      </x:c>
      <x:c r="J146" s="77" t="str">
        <x:f>IF(A146="","",IF(I146="기타/불명","확인 필요","결의서명으로 1차 확인"))</x:f>
      </x:c>
      <x:c r="K146" s="78"/>
    </x:row>
    <x:row r="147">
      <x:c r="A147" s="73"/>
      <x:c r="B147" s="73"/>
      <x:c r="C147" s="74"/>
      <x:c r="D147" s="73"/>
      <x:c r="E147" s="73"/>
      <x:c r="F147" s="75"/>
      <x:c r="G147" s="75"/>
      <x:c r="H147" s="76" t="str">
        <x:f>IF(A147="","",F147-G147)</x:f>
      </x:c>
      <x:c r="I147" s="77" t="str">
        <x:f>IF(A147="","",IF(E147="","기타/불명",IF(IFERROR(SEARCH("급여",E147),0)&gt;0,"인건비",IF(IFERROR(SEARCH("임차",E147),0)&gt;0,"임차·시설",IF(IFERROR(SEARCH("광고",E147),0)&gt;0,"광고·행사",IF(IFERROR(SEARCH("용역",E147),0)&gt;0,"용역·수수료","기타/불명"))))))</x:f>
      </x:c>
      <x:c r="J147" s="77" t="str">
        <x:f>IF(A147="","",IF(I147="기타/불명","확인 필요","결의서명으로 1차 확인"))</x:f>
      </x:c>
      <x:c r="K147" s="78"/>
    </x:row>
    <x:row r="148">
      <x:c r="A148" s="73"/>
      <x:c r="B148" s="73"/>
      <x:c r="C148" s="74"/>
      <x:c r="D148" s="73"/>
      <x:c r="E148" s="73"/>
      <x:c r="F148" s="75"/>
      <x:c r="G148" s="75"/>
      <x:c r="H148" s="76" t="str">
        <x:f>IF(A148="","",F148-G148)</x:f>
      </x:c>
      <x:c r="I148" s="77" t="str">
        <x:f>IF(A148="","",IF(E148="","기타/불명",IF(IFERROR(SEARCH("급여",E148),0)&gt;0,"인건비",IF(IFERROR(SEARCH("임차",E148),0)&gt;0,"임차·시설",IF(IFERROR(SEARCH("광고",E148),0)&gt;0,"광고·행사",IF(IFERROR(SEARCH("용역",E148),0)&gt;0,"용역·수수료","기타/불명"))))))</x:f>
      </x:c>
      <x:c r="J148" s="77" t="str">
        <x:f>IF(A148="","",IF(I148="기타/불명","확인 필요","결의서명으로 1차 확인"))</x:f>
      </x:c>
      <x:c r="K148" s="78"/>
    </x:row>
    <x:row r="149">
      <x:c r="A149" s="73"/>
      <x:c r="B149" s="73"/>
      <x:c r="C149" s="74"/>
      <x:c r="D149" s="73"/>
      <x:c r="E149" s="73"/>
      <x:c r="F149" s="75"/>
      <x:c r="G149" s="75"/>
      <x:c r="H149" s="76" t="str">
        <x:f>IF(A149="","",F149-G149)</x:f>
      </x:c>
      <x:c r="I149" s="77" t="str">
        <x:f>IF(A149="","",IF(E149="","기타/불명",IF(IFERROR(SEARCH("급여",E149),0)&gt;0,"인건비",IF(IFERROR(SEARCH("임차",E149),0)&gt;0,"임차·시설",IF(IFERROR(SEARCH("광고",E149),0)&gt;0,"광고·행사",IF(IFERROR(SEARCH("용역",E149),0)&gt;0,"용역·수수료","기타/불명"))))))</x:f>
      </x:c>
      <x:c r="J149" s="77" t="str">
        <x:f>IF(A149="","",IF(I149="기타/불명","확인 필요","결의서명으로 1차 확인"))</x:f>
      </x:c>
      <x:c r="K149" s="78"/>
    </x:row>
    <x:row r="150">
      <x:c r="A150" s="73"/>
      <x:c r="B150" s="73"/>
      <x:c r="C150" s="74"/>
      <x:c r="D150" s="73"/>
      <x:c r="E150" s="73"/>
      <x:c r="F150" s="75"/>
      <x:c r="G150" s="75"/>
      <x:c r="H150" s="76" t="str">
        <x:f>IF(A150="","",F150-G150)</x:f>
      </x:c>
      <x:c r="I150" s="77" t="str">
        <x:f>IF(A150="","",IF(E150="","기타/불명",IF(IFERROR(SEARCH("급여",E150),0)&gt;0,"인건비",IF(IFERROR(SEARCH("임차",E150),0)&gt;0,"임차·시설",IF(IFERROR(SEARCH("광고",E150),0)&gt;0,"광고·행사",IF(IFERROR(SEARCH("용역",E150),0)&gt;0,"용역·수수료","기타/불명"))))))</x:f>
      </x:c>
      <x:c r="J150" s="77" t="str">
        <x:f>IF(A150="","",IF(I150="기타/불명","확인 필요","결의서명으로 1차 확인"))</x:f>
      </x:c>
      <x:c r="K150" s="78"/>
    </x:row>
    <x:row r="151">
      <x:c r="A151" s="73"/>
      <x:c r="B151" s="73"/>
      <x:c r="C151" s="74"/>
      <x:c r="D151" s="73"/>
      <x:c r="E151" s="73"/>
      <x:c r="F151" s="75"/>
      <x:c r="G151" s="75"/>
      <x:c r="H151" s="76" t="str">
        <x:f>IF(A151="","",F151-G151)</x:f>
      </x:c>
      <x:c r="I151" s="77" t="str">
        <x:f>IF(A151="","",IF(E151="","기타/불명",IF(IFERROR(SEARCH("급여",E151),0)&gt;0,"인건비",IF(IFERROR(SEARCH("임차",E151),0)&gt;0,"임차·시설",IF(IFERROR(SEARCH("광고",E151),0)&gt;0,"광고·행사",IF(IFERROR(SEARCH("용역",E151),0)&gt;0,"용역·수수료","기타/불명"))))))</x:f>
      </x:c>
      <x:c r="J151" s="77" t="str">
        <x:f>IF(A151="","",IF(I151="기타/불명","확인 필요","결의서명으로 1차 확인"))</x:f>
      </x:c>
      <x:c r="K151" s="78"/>
    </x:row>
    <x:row r="152">
      <x:c r="A152" s="73"/>
      <x:c r="B152" s="73"/>
      <x:c r="C152" s="74"/>
      <x:c r="D152" s="73"/>
      <x:c r="E152" s="73"/>
      <x:c r="F152" s="75"/>
      <x:c r="G152" s="75"/>
      <x:c r="H152" s="76" t="str">
        <x:f>IF(A152="","",F152-G152)</x:f>
      </x:c>
      <x:c r="I152" s="77" t="str">
        <x:f>IF(A152="","",IF(E152="","기타/불명",IF(IFERROR(SEARCH("급여",E152),0)&gt;0,"인건비",IF(IFERROR(SEARCH("임차",E152),0)&gt;0,"임차·시설",IF(IFERROR(SEARCH("광고",E152),0)&gt;0,"광고·행사",IF(IFERROR(SEARCH("용역",E152),0)&gt;0,"용역·수수료","기타/불명"))))))</x:f>
      </x:c>
      <x:c r="J152" s="77" t="str">
        <x:f>IF(A152="","",IF(I152="기타/불명","확인 필요","결의서명으로 1차 확인"))</x:f>
      </x:c>
      <x:c r="K152" s="78"/>
    </x:row>
    <x:row r="153">
      <x:c r="A153" s="73"/>
      <x:c r="B153" s="73"/>
      <x:c r="C153" s="74"/>
      <x:c r="D153" s="73"/>
      <x:c r="E153" s="73"/>
      <x:c r="F153" s="75"/>
      <x:c r="G153" s="75"/>
      <x:c r="H153" s="76" t="str">
        <x:f>IF(A153="","",F153-G153)</x:f>
      </x:c>
      <x:c r="I153" s="77" t="str">
        <x:f>IF(A153="","",IF(E153="","기타/불명",IF(IFERROR(SEARCH("급여",E153),0)&gt;0,"인건비",IF(IFERROR(SEARCH("임차",E153),0)&gt;0,"임차·시설",IF(IFERROR(SEARCH("광고",E153),0)&gt;0,"광고·행사",IF(IFERROR(SEARCH("용역",E153),0)&gt;0,"용역·수수료","기타/불명"))))))</x:f>
      </x:c>
      <x:c r="J153" s="77" t="str">
        <x:f>IF(A153="","",IF(I153="기타/불명","확인 필요","결의서명으로 1차 확인"))</x:f>
      </x:c>
      <x:c r="K153" s="78"/>
    </x:row>
    <x:row r="154">
      <x:c r="A154" s="73"/>
      <x:c r="B154" s="73"/>
      <x:c r="C154" s="74"/>
      <x:c r="D154" s="73"/>
      <x:c r="E154" s="73"/>
      <x:c r="F154" s="75"/>
      <x:c r="G154" s="75"/>
      <x:c r="H154" s="76" t="str">
        <x:f>IF(A154="","",F154-G154)</x:f>
      </x:c>
      <x:c r="I154" s="77" t="str">
        <x:f>IF(A154="","",IF(E154="","기타/불명",IF(IFERROR(SEARCH("급여",E154),0)&gt;0,"인건비",IF(IFERROR(SEARCH("임차",E154),0)&gt;0,"임차·시설",IF(IFERROR(SEARCH("광고",E154),0)&gt;0,"광고·행사",IF(IFERROR(SEARCH("용역",E154),0)&gt;0,"용역·수수료","기타/불명"))))))</x:f>
      </x:c>
      <x:c r="J154" s="77" t="str">
        <x:f>IF(A154="","",IF(I154="기타/불명","확인 필요","결의서명으로 1차 확인"))</x:f>
      </x:c>
      <x:c r="K154" s="78"/>
    </x:row>
    <x:row r="155">
      <x:c r="A155" s="73"/>
      <x:c r="B155" s="73"/>
      <x:c r="C155" s="74"/>
      <x:c r="D155" s="73"/>
      <x:c r="E155" s="73"/>
      <x:c r="F155" s="75"/>
      <x:c r="G155" s="75"/>
      <x:c r="H155" s="76" t="str">
        <x:f>IF(A155="","",F155-G155)</x:f>
      </x:c>
      <x:c r="I155" s="77" t="str">
        <x:f>IF(A155="","",IF(E155="","기타/불명",IF(IFERROR(SEARCH("급여",E155),0)&gt;0,"인건비",IF(IFERROR(SEARCH("임차",E155),0)&gt;0,"임차·시설",IF(IFERROR(SEARCH("광고",E155),0)&gt;0,"광고·행사",IF(IFERROR(SEARCH("용역",E155),0)&gt;0,"용역·수수료","기타/불명"))))))</x:f>
      </x:c>
      <x:c r="J155" s="77" t="str">
        <x:f>IF(A155="","",IF(I155="기타/불명","확인 필요","결의서명으로 1차 확인"))</x:f>
      </x:c>
      <x:c r="K155" s="78"/>
    </x:row>
    <x:row r="156">
      <x:c r="A156" s="73"/>
      <x:c r="B156" s="73"/>
      <x:c r="C156" s="74"/>
      <x:c r="D156" s="73"/>
      <x:c r="E156" s="73"/>
      <x:c r="F156" s="75"/>
      <x:c r="G156" s="75"/>
      <x:c r="H156" s="76" t="str">
        <x:f>IF(A156="","",F156-G156)</x:f>
      </x:c>
      <x:c r="I156" s="77" t="str">
        <x:f>IF(A156="","",IF(E156="","기타/불명",IF(IFERROR(SEARCH("급여",E156),0)&gt;0,"인건비",IF(IFERROR(SEARCH("임차",E156),0)&gt;0,"임차·시설",IF(IFERROR(SEARCH("광고",E156),0)&gt;0,"광고·행사",IF(IFERROR(SEARCH("용역",E156),0)&gt;0,"용역·수수료","기타/불명"))))))</x:f>
      </x:c>
      <x:c r="J156" s="77" t="str">
        <x:f>IF(A156="","",IF(I156="기타/불명","확인 필요","결의서명으로 1차 확인"))</x:f>
      </x:c>
      <x:c r="K156" s="78"/>
    </x:row>
    <x:row r="157">
      <x:c r="A157" s="73"/>
      <x:c r="B157" s="73"/>
      <x:c r="C157" s="74"/>
      <x:c r="D157" s="73"/>
      <x:c r="E157" s="73"/>
      <x:c r="F157" s="75"/>
      <x:c r="G157" s="75"/>
      <x:c r="H157" s="76" t="str">
        <x:f>IF(A157="","",F157-G157)</x:f>
      </x:c>
      <x:c r="I157" s="77" t="str">
        <x:f>IF(A157="","",IF(E157="","기타/불명",IF(IFERROR(SEARCH("급여",E157),0)&gt;0,"인건비",IF(IFERROR(SEARCH("임차",E157),0)&gt;0,"임차·시설",IF(IFERROR(SEARCH("광고",E157),0)&gt;0,"광고·행사",IF(IFERROR(SEARCH("용역",E157),0)&gt;0,"용역·수수료","기타/불명"))))))</x:f>
      </x:c>
      <x:c r="J157" s="77" t="str">
        <x:f>IF(A157="","",IF(I157="기타/불명","확인 필요","결의서명으로 1차 확인"))</x:f>
      </x:c>
      <x:c r="K157" s="78"/>
    </x:row>
    <x:row r="158">
      <x:c r="A158" s="73"/>
      <x:c r="B158" s="73"/>
      <x:c r="C158" s="74"/>
      <x:c r="D158" s="73"/>
      <x:c r="E158" s="73"/>
      <x:c r="F158" s="75"/>
      <x:c r="G158" s="75"/>
      <x:c r="H158" s="76" t="str">
        <x:f>IF(A158="","",F158-G158)</x:f>
      </x:c>
      <x:c r="I158" s="77" t="str">
        <x:f>IF(A158="","",IF(E158="","기타/불명",IF(IFERROR(SEARCH("급여",E158),0)&gt;0,"인건비",IF(IFERROR(SEARCH("임차",E158),0)&gt;0,"임차·시설",IF(IFERROR(SEARCH("광고",E158),0)&gt;0,"광고·행사",IF(IFERROR(SEARCH("용역",E158),0)&gt;0,"용역·수수료","기타/불명"))))))</x:f>
      </x:c>
      <x:c r="J158" s="77" t="str">
        <x:f>IF(A158="","",IF(I158="기타/불명","확인 필요","결의서명으로 1차 확인"))</x:f>
      </x:c>
      <x:c r="K158" s="78"/>
    </x:row>
    <x:row r="159">
      <x:c r="A159" s="73"/>
      <x:c r="B159" s="73"/>
      <x:c r="C159" s="74"/>
      <x:c r="D159" s="73"/>
      <x:c r="E159" s="73"/>
      <x:c r="F159" s="75"/>
      <x:c r="G159" s="75"/>
      <x:c r="H159" s="76" t="str">
        <x:f>IF(A159="","",F159-G159)</x:f>
      </x:c>
      <x:c r="I159" s="77" t="str">
        <x:f>IF(A159="","",IF(E159="","기타/불명",IF(IFERROR(SEARCH("급여",E159),0)&gt;0,"인건비",IF(IFERROR(SEARCH("임차",E159),0)&gt;0,"임차·시설",IF(IFERROR(SEARCH("광고",E159),0)&gt;0,"광고·행사",IF(IFERROR(SEARCH("용역",E159),0)&gt;0,"용역·수수료","기타/불명"))))))</x:f>
      </x:c>
      <x:c r="J159" s="77" t="str">
        <x:f>IF(A159="","",IF(I159="기타/불명","확인 필요","결의서명으로 1차 확인"))</x:f>
      </x:c>
      <x:c r="K159" s="78"/>
    </x:row>
    <x:row r="160">
      <x:c r="A160" s="73"/>
      <x:c r="B160" s="73"/>
      <x:c r="C160" s="74"/>
      <x:c r="D160" s="73"/>
      <x:c r="E160" s="73"/>
      <x:c r="F160" s="75"/>
      <x:c r="G160" s="75"/>
      <x:c r="H160" s="76" t="str">
        <x:f>IF(A160="","",F160-G160)</x:f>
      </x:c>
      <x:c r="I160" s="77" t="str">
        <x:f>IF(A160="","",IF(E160="","기타/불명",IF(IFERROR(SEARCH("급여",E160),0)&gt;0,"인건비",IF(IFERROR(SEARCH("임차",E160),0)&gt;0,"임차·시설",IF(IFERROR(SEARCH("광고",E160),0)&gt;0,"광고·행사",IF(IFERROR(SEARCH("용역",E160),0)&gt;0,"용역·수수료","기타/불명"))))))</x:f>
      </x:c>
      <x:c r="J160" s="77" t="str">
        <x:f>IF(A160="","",IF(I160="기타/불명","확인 필요","결의서명으로 1차 확인"))</x:f>
      </x:c>
      <x:c r="K160" s="78"/>
    </x:row>
    <x:row r="161">
      <x:c r="A161" s="73"/>
      <x:c r="B161" s="73"/>
      <x:c r="C161" s="74"/>
      <x:c r="D161" s="73"/>
      <x:c r="E161" s="73"/>
      <x:c r="F161" s="75"/>
      <x:c r="G161" s="75"/>
      <x:c r="H161" s="76" t="str">
        <x:f>IF(A161="","",F161-G161)</x:f>
      </x:c>
      <x:c r="I161" s="77" t="str">
        <x:f>IF(A161="","",IF(E161="","기타/불명",IF(IFERROR(SEARCH("급여",E161),0)&gt;0,"인건비",IF(IFERROR(SEARCH("임차",E161),0)&gt;0,"임차·시설",IF(IFERROR(SEARCH("광고",E161),0)&gt;0,"광고·행사",IF(IFERROR(SEARCH("용역",E161),0)&gt;0,"용역·수수료","기타/불명"))))))</x:f>
      </x:c>
      <x:c r="J161" s="77" t="str">
        <x:f>IF(A161="","",IF(I161="기타/불명","확인 필요","결의서명으로 1차 확인"))</x:f>
      </x:c>
      <x:c r="K161" s="78"/>
    </x:row>
    <x:row r="162">
      <x:c r="A162" s="73"/>
      <x:c r="B162" s="73"/>
      <x:c r="C162" s="74"/>
      <x:c r="D162" s="73"/>
      <x:c r="E162" s="73"/>
      <x:c r="F162" s="75"/>
      <x:c r="G162" s="75"/>
      <x:c r="H162" s="76" t="str">
        <x:f>IF(A162="","",F162-G162)</x:f>
      </x:c>
      <x:c r="I162" s="77" t="str">
        <x:f>IF(A162="","",IF(E162="","기타/불명",IF(IFERROR(SEARCH("급여",E162),0)&gt;0,"인건비",IF(IFERROR(SEARCH("임차",E162),0)&gt;0,"임차·시설",IF(IFERROR(SEARCH("광고",E162),0)&gt;0,"광고·행사",IF(IFERROR(SEARCH("용역",E162),0)&gt;0,"용역·수수료","기타/불명"))))))</x:f>
      </x:c>
      <x:c r="J162" s="77" t="str">
        <x:f>IF(A162="","",IF(I162="기타/불명","확인 필요","결의서명으로 1차 확인"))</x:f>
      </x:c>
      <x:c r="K162" s="78"/>
    </x:row>
    <x:row r="163">
      <x:c r="A163" s="73"/>
      <x:c r="B163" s="73"/>
      <x:c r="C163" s="74"/>
      <x:c r="D163" s="73"/>
      <x:c r="E163" s="73"/>
      <x:c r="F163" s="75"/>
      <x:c r="G163" s="75"/>
      <x:c r="H163" s="76" t="str">
        <x:f>IF(A163="","",F163-G163)</x:f>
      </x:c>
      <x:c r="I163" s="77" t="str">
        <x:f>IF(A163="","",IF(E163="","기타/불명",IF(IFERROR(SEARCH("급여",E163),0)&gt;0,"인건비",IF(IFERROR(SEARCH("임차",E163),0)&gt;0,"임차·시설",IF(IFERROR(SEARCH("광고",E163),0)&gt;0,"광고·행사",IF(IFERROR(SEARCH("용역",E163),0)&gt;0,"용역·수수료","기타/불명"))))))</x:f>
      </x:c>
      <x:c r="J163" s="77" t="str">
        <x:f>IF(A163="","",IF(I163="기타/불명","확인 필요","결의서명으로 1차 확인"))</x:f>
      </x:c>
      <x:c r="K163" s="78"/>
    </x:row>
    <x:row r="164">
      <x:c r="A164" s="73"/>
      <x:c r="B164" s="73"/>
      <x:c r="C164" s="74"/>
      <x:c r="D164" s="73"/>
      <x:c r="E164" s="73"/>
      <x:c r="F164" s="75"/>
      <x:c r="G164" s="75"/>
      <x:c r="H164" s="76" t="str">
        <x:f>IF(A164="","",F164-G164)</x:f>
      </x:c>
      <x:c r="I164" s="77" t="str">
        <x:f>IF(A164="","",IF(E164="","기타/불명",IF(IFERROR(SEARCH("급여",E164),0)&gt;0,"인건비",IF(IFERROR(SEARCH("임차",E164),0)&gt;0,"임차·시설",IF(IFERROR(SEARCH("광고",E164),0)&gt;0,"광고·행사",IF(IFERROR(SEARCH("용역",E164),0)&gt;0,"용역·수수료","기타/불명"))))))</x:f>
      </x:c>
      <x:c r="J164" s="77" t="str">
        <x:f>IF(A164="","",IF(I164="기타/불명","확인 필요","결의서명으로 1차 확인"))</x:f>
      </x:c>
      <x:c r="K164" s="78"/>
    </x:row>
    <x:row r="165">
      <x:c r="A165" s="73"/>
      <x:c r="B165" s="73"/>
      <x:c r="C165" s="74"/>
      <x:c r="D165" s="73"/>
      <x:c r="E165" s="73"/>
      <x:c r="F165" s="75"/>
      <x:c r="G165" s="75"/>
      <x:c r="H165" s="76" t="str">
        <x:f>IF(A165="","",F165-G165)</x:f>
      </x:c>
      <x:c r="I165" s="77" t="str">
        <x:f>IF(A165="","",IF(E165="","기타/불명",IF(IFERROR(SEARCH("급여",E165),0)&gt;0,"인건비",IF(IFERROR(SEARCH("임차",E165),0)&gt;0,"임차·시설",IF(IFERROR(SEARCH("광고",E165),0)&gt;0,"광고·행사",IF(IFERROR(SEARCH("용역",E165),0)&gt;0,"용역·수수료","기타/불명"))))))</x:f>
      </x:c>
      <x:c r="J165" s="77" t="str">
        <x:f>IF(A165="","",IF(I165="기타/불명","확인 필요","결의서명으로 1차 확인"))</x:f>
      </x:c>
      <x:c r="K165" s="78"/>
    </x:row>
    <x:row r="166">
      <x:c r="A166" s="73"/>
      <x:c r="B166" s="73"/>
      <x:c r="C166" s="74"/>
      <x:c r="D166" s="73"/>
      <x:c r="E166" s="73"/>
      <x:c r="F166" s="75"/>
      <x:c r="G166" s="75"/>
      <x:c r="H166" s="76" t="str">
        <x:f>IF(A166="","",F166-G166)</x:f>
      </x:c>
      <x:c r="I166" s="77" t="str">
        <x:f>IF(A166="","",IF(E166="","기타/불명",IF(IFERROR(SEARCH("급여",E166),0)&gt;0,"인건비",IF(IFERROR(SEARCH("임차",E166),0)&gt;0,"임차·시설",IF(IFERROR(SEARCH("광고",E166),0)&gt;0,"광고·행사",IF(IFERROR(SEARCH("용역",E166),0)&gt;0,"용역·수수료","기타/불명"))))))</x:f>
      </x:c>
      <x:c r="J166" s="77" t="str">
        <x:f>IF(A166="","",IF(I166="기타/불명","확인 필요","결의서명으로 1차 확인"))</x:f>
      </x:c>
      <x:c r="K166" s="78"/>
    </x:row>
    <x:row r="167">
      <x:c r="A167" s="73"/>
      <x:c r="B167" s="73"/>
      <x:c r="C167" s="74"/>
      <x:c r="D167" s="73"/>
      <x:c r="E167" s="73"/>
      <x:c r="F167" s="75"/>
      <x:c r="G167" s="75"/>
      <x:c r="H167" s="76" t="str">
        <x:f>IF(A167="","",F167-G167)</x:f>
      </x:c>
      <x:c r="I167" s="77" t="str">
        <x:f>IF(A167="","",IF(E167="","기타/불명",IF(IFERROR(SEARCH("급여",E167),0)&gt;0,"인건비",IF(IFERROR(SEARCH("임차",E167),0)&gt;0,"임차·시설",IF(IFERROR(SEARCH("광고",E167),0)&gt;0,"광고·행사",IF(IFERROR(SEARCH("용역",E167),0)&gt;0,"용역·수수료","기타/불명"))))))</x:f>
      </x:c>
      <x:c r="J167" s="77" t="str">
        <x:f>IF(A167="","",IF(I167="기타/불명","확인 필요","결의서명으로 1차 확인"))</x:f>
      </x:c>
      <x:c r="K167" s="78"/>
    </x:row>
    <x:row r="168">
      <x:c r="A168" s="73"/>
      <x:c r="B168" s="73"/>
      <x:c r="C168" s="74"/>
      <x:c r="D168" s="73"/>
      <x:c r="E168" s="73"/>
      <x:c r="F168" s="75"/>
      <x:c r="G168" s="75"/>
      <x:c r="H168" s="76" t="str">
        <x:f>IF(A168="","",F168-G168)</x:f>
      </x:c>
      <x:c r="I168" s="77" t="str">
        <x:f>IF(A168="","",IF(E168="","기타/불명",IF(IFERROR(SEARCH("급여",E168),0)&gt;0,"인건비",IF(IFERROR(SEARCH("임차",E168),0)&gt;0,"임차·시설",IF(IFERROR(SEARCH("광고",E168),0)&gt;0,"광고·행사",IF(IFERROR(SEARCH("용역",E168),0)&gt;0,"용역·수수료","기타/불명"))))))</x:f>
      </x:c>
      <x:c r="J168" s="77" t="str">
        <x:f>IF(A168="","",IF(I168="기타/불명","확인 필요","결의서명으로 1차 확인"))</x:f>
      </x:c>
      <x:c r="K168" s="78"/>
    </x:row>
    <x:row r="169">
      <x:c r="A169" s="73"/>
      <x:c r="B169" s="73"/>
      <x:c r="C169" s="74"/>
      <x:c r="D169" s="73"/>
      <x:c r="E169" s="73"/>
      <x:c r="F169" s="75"/>
      <x:c r="G169" s="75"/>
      <x:c r="H169" s="76" t="str">
        <x:f>IF(A169="","",F169-G169)</x:f>
      </x:c>
      <x:c r="I169" s="77" t="str">
        <x:f>IF(A169="","",IF(E169="","기타/불명",IF(IFERROR(SEARCH("급여",E169),0)&gt;0,"인건비",IF(IFERROR(SEARCH("임차",E169),0)&gt;0,"임차·시설",IF(IFERROR(SEARCH("광고",E169),0)&gt;0,"광고·행사",IF(IFERROR(SEARCH("용역",E169),0)&gt;0,"용역·수수료","기타/불명"))))))</x:f>
      </x:c>
      <x:c r="J169" s="77" t="str">
        <x:f>IF(A169="","",IF(I169="기타/불명","확인 필요","결의서명으로 1차 확인"))</x:f>
      </x:c>
      <x:c r="K169" s="78"/>
    </x:row>
    <x:row r="170">
      <x:c r="A170" s="73"/>
      <x:c r="B170" s="73"/>
      <x:c r="C170" s="74"/>
      <x:c r="D170" s="73"/>
      <x:c r="E170" s="73"/>
      <x:c r="F170" s="75"/>
      <x:c r="G170" s="75"/>
      <x:c r="H170" s="76" t="str">
        <x:f>IF(A170="","",F170-G170)</x:f>
      </x:c>
      <x:c r="I170" s="77" t="str">
        <x:f>IF(A170="","",IF(E170="","기타/불명",IF(IFERROR(SEARCH("급여",E170),0)&gt;0,"인건비",IF(IFERROR(SEARCH("임차",E170),0)&gt;0,"임차·시설",IF(IFERROR(SEARCH("광고",E170),0)&gt;0,"광고·행사",IF(IFERROR(SEARCH("용역",E170),0)&gt;0,"용역·수수료","기타/불명"))))))</x:f>
      </x:c>
      <x:c r="J170" s="77" t="str">
        <x:f>IF(A170="","",IF(I170="기타/불명","확인 필요","결의서명으로 1차 확인"))</x:f>
      </x:c>
      <x:c r="K170" s="78"/>
    </x:row>
    <x:row r="171">
      <x:c r="A171" s="73"/>
      <x:c r="B171" s="73"/>
      <x:c r="C171" s="74"/>
      <x:c r="D171" s="73"/>
      <x:c r="E171" s="73"/>
      <x:c r="F171" s="75"/>
      <x:c r="G171" s="75"/>
      <x:c r="H171" s="76" t="str">
        <x:f>IF(A171="","",F171-G171)</x:f>
      </x:c>
      <x:c r="I171" s="77" t="str">
        <x:f>IF(A171="","",IF(E171="","기타/불명",IF(IFERROR(SEARCH("급여",E171),0)&gt;0,"인건비",IF(IFERROR(SEARCH("임차",E171),0)&gt;0,"임차·시설",IF(IFERROR(SEARCH("광고",E171),0)&gt;0,"광고·행사",IF(IFERROR(SEARCH("용역",E171),0)&gt;0,"용역·수수료","기타/불명"))))))</x:f>
      </x:c>
      <x:c r="J171" s="77" t="str">
        <x:f>IF(A171="","",IF(I171="기타/불명","확인 필요","결의서명으로 1차 확인"))</x:f>
      </x:c>
      <x:c r="K171" s="78"/>
    </x:row>
    <x:row r="172">
      <x:c r="A172" s="73"/>
      <x:c r="B172" s="73"/>
      <x:c r="C172" s="74"/>
      <x:c r="D172" s="73"/>
      <x:c r="E172" s="73"/>
      <x:c r="F172" s="75"/>
      <x:c r="G172" s="75"/>
      <x:c r="H172" s="76" t="str">
        <x:f>IF(A172="","",F172-G172)</x:f>
      </x:c>
      <x:c r="I172" s="77" t="str">
        <x:f>IF(A172="","",IF(E172="","기타/불명",IF(IFERROR(SEARCH("급여",E172),0)&gt;0,"인건비",IF(IFERROR(SEARCH("임차",E172),0)&gt;0,"임차·시설",IF(IFERROR(SEARCH("광고",E172),0)&gt;0,"광고·행사",IF(IFERROR(SEARCH("용역",E172),0)&gt;0,"용역·수수료","기타/불명"))))))</x:f>
      </x:c>
      <x:c r="J172" s="77" t="str">
        <x:f>IF(A172="","",IF(I172="기타/불명","확인 필요","결의서명으로 1차 확인"))</x:f>
      </x:c>
      <x:c r="K172" s="78"/>
    </x:row>
    <x:row r="173">
      <x:c r="A173" s="73"/>
      <x:c r="B173" s="73"/>
      <x:c r="C173" s="74"/>
      <x:c r="D173" s="73"/>
      <x:c r="E173" s="73"/>
      <x:c r="F173" s="75"/>
      <x:c r="G173" s="75"/>
      <x:c r="H173" s="76" t="str">
        <x:f>IF(A173="","",F173-G173)</x:f>
      </x:c>
      <x:c r="I173" s="77" t="str">
        <x:f>IF(A173="","",IF(E173="","기타/불명",IF(IFERROR(SEARCH("급여",E173),0)&gt;0,"인건비",IF(IFERROR(SEARCH("임차",E173),0)&gt;0,"임차·시설",IF(IFERROR(SEARCH("광고",E173),0)&gt;0,"광고·행사",IF(IFERROR(SEARCH("용역",E173),0)&gt;0,"용역·수수료","기타/불명"))))))</x:f>
      </x:c>
      <x:c r="J173" s="77" t="str">
        <x:f>IF(A173="","",IF(I173="기타/불명","확인 필요","결의서명으로 1차 확인"))</x:f>
      </x:c>
      <x:c r="K173" s="78"/>
    </x:row>
    <x:row r="174">
      <x:c r="A174" s="73"/>
      <x:c r="B174" s="73"/>
      <x:c r="C174" s="74"/>
      <x:c r="D174" s="73"/>
      <x:c r="E174" s="73"/>
      <x:c r="F174" s="75"/>
      <x:c r="G174" s="75"/>
      <x:c r="H174" s="76" t="str">
        <x:f>IF(A174="","",F174-G174)</x:f>
      </x:c>
      <x:c r="I174" s="77" t="str">
        <x:f>IF(A174="","",IF(E174="","기타/불명",IF(IFERROR(SEARCH("급여",E174),0)&gt;0,"인건비",IF(IFERROR(SEARCH("임차",E174),0)&gt;0,"임차·시설",IF(IFERROR(SEARCH("광고",E174),0)&gt;0,"광고·행사",IF(IFERROR(SEARCH("용역",E174),0)&gt;0,"용역·수수료","기타/불명"))))))</x:f>
      </x:c>
      <x:c r="J174" s="77" t="str">
        <x:f>IF(A174="","",IF(I174="기타/불명","확인 필요","결의서명으로 1차 확인"))</x:f>
      </x:c>
      <x:c r="K174" s="78"/>
    </x:row>
    <x:row r="175">
      <x:c r="A175" s="73"/>
      <x:c r="B175" s="73"/>
      <x:c r="C175" s="74"/>
      <x:c r="D175" s="73"/>
      <x:c r="E175" s="73"/>
      <x:c r="F175" s="75"/>
      <x:c r="G175" s="75"/>
      <x:c r="H175" s="76" t="str">
        <x:f>IF(A175="","",F175-G175)</x:f>
      </x:c>
      <x:c r="I175" s="77" t="str">
        <x:f>IF(A175="","",IF(E175="","기타/불명",IF(IFERROR(SEARCH("급여",E175),0)&gt;0,"인건비",IF(IFERROR(SEARCH("임차",E175),0)&gt;0,"임차·시설",IF(IFERROR(SEARCH("광고",E175),0)&gt;0,"광고·행사",IF(IFERROR(SEARCH("용역",E175),0)&gt;0,"용역·수수료","기타/불명"))))))</x:f>
      </x:c>
      <x:c r="J175" s="77" t="str">
        <x:f>IF(A175="","",IF(I175="기타/불명","확인 필요","결의서명으로 1차 확인"))</x:f>
      </x:c>
      <x:c r="K175" s="78"/>
    </x:row>
    <x:row r="176">
      <x:c r="A176" s="73"/>
      <x:c r="B176" s="73"/>
      <x:c r="C176" s="74"/>
      <x:c r="D176" s="73"/>
      <x:c r="E176" s="73"/>
      <x:c r="F176" s="75"/>
      <x:c r="G176" s="75"/>
      <x:c r="H176" s="76" t="str">
        <x:f>IF(A176="","",F176-G176)</x:f>
      </x:c>
      <x:c r="I176" s="77" t="str">
        <x:f>IF(A176="","",IF(E176="","기타/불명",IF(IFERROR(SEARCH("급여",E176),0)&gt;0,"인건비",IF(IFERROR(SEARCH("임차",E176),0)&gt;0,"임차·시설",IF(IFERROR(SEARCH("광고",E176),0)&gt;0,"광고·행사",IF(IFERROR(SEARCH("용역",E176),0)&gt;0,"용역·수수료","기타/불명"))))))</x:f>
      </x:c>
      <x:c r="J176" s="77" t="str">
        <x:f>IF(A176="","",IF(I176="기타/불명","확인 필요","결의서명으로 1차 확인"))</x:f>
      </x:c>
      <x:c r="K176" s="78"/>
    </x:row>
    <x:row r="177">
      <x:c r="A177" s="73"/>
      <x:c r="B177" s="73"/>
      <x:c r="C177" s="74"/>
      <x:c r="D177" s="73"/>
      <x:c r="E177" s="73"/>
      <x:c r="F177" s="75"/>
      <x:c r="G177" s="75"/>
      <x:c r="H177" s="76" t="str">
        <x:f>IF(A177="","",F177-G177)</x:f>
      </x:c>
      <x:c r="I177" s="77" t="str">
        <x:f>IF(A177="","",IF(E177="","기타/불명",IF(IFERROR(SEARCH("급여",E177),0)&gt;0,"인건비",IF(IFERROR(SEARCH("임차",E177),0)&gt;0,"임차·시설",IF(IFERROR(SEARCH("광고",E177),0)&gt;0,"광고·행사",IF(IFERROR(SEARCH("용역",E177),0)&gt;0,"용역·수수료","기타/불명"))))))</x:f>
      </x:c>
      <x:c r="J177" s="77" t="str">
        <x:f>IF(A177="","",IF(I177="기타/불명","확인 필요","결의서명으로 1차 확인"))</x:f>
      </x:c>
      <x:c r="K177" s="78"/>
    </x:row>
    <x:row r="178">
      <x:c r="A178" s="73"/>
      <x:c r="B178" s="73"/>
      <x:c r="C178" s="74"/>
      <x:c r="D178" s="73"/>
      <x:c r="E178" s="73"/>
      <x:c r="F178" s="75"/>
      <x:c r="G178" s="75"/>
      <x:c r="H178" s="76" t="str">
        <x:f>IF(A178="","",F178-G178)</x:f>
      </x:c>
      <x:c r="I178" s="77" t="str">
        <x:f>IF(A178="","",IF(E178="","기타/불명",IF(IFERROR(SEARCH("급여",E178),0)&gt;0,"인건비",IF(IFERROR(SEARCH("임차",E178),0)&gt;0,"임차·시설",IF(IFERROR(SEARCH("광고",E178),0)&gt;0,"광고·행사",IF(IFERROR(SEARCH("용역",E178),0)&gt;0,"용역·수수료","기타/불명"))))))</x:f>
      </x:c>
      <x:c r="J178" s="77" t="str">
        <x:f>IF(A178="","",IF(I178="기타/불명","확인 필요","결의서명으로 1차 확인"))</x:f>
      </x:c>
      <x:c r="K178" s="78"/>
    </x:row>
    <x:row r="179">
      <x:c r="A179" s="73"/>
      <x:c r="B179" s="73"/>
      <x:c r="C179" s="74"/>
      <x:c r="D179" s="73"/>
      <x:c r="E179" s="73"/>
      <x:c r="F179" s="75"/>
      <x:c r="G179" s="75"/>
      <x:c r="H179" s="76" t="str">
        <x:f>IF(A179="","",F179-G179)</x:f>
      </x:c>
      <x:c r="I179" s="77" t="str">
        <x:f>IF(A179="","",IF(E179="","기타/불명",IF(IFERROR(SEARCH("급여",E179),0)&gt;0,"인건비",IF(IFERROR(SEARCH("임차",E179),0)&gt;0,"임차·시설",IF(IFERROR(SEARCH("광고",E179),0)&gt;0,"광고·행사",IF(IFERROR(SEARCH("용역",E179),0)&gt;0,"용역·수수료","기타/불명"))))))</x:f>
      </x:c>
      <x:c r="J179" s="77" t="str">
        <x:f>IF(A179="","",IF(I179="기타/불명","확인 필요","결의서명으로 1차 확인"))</x:f>
      </x:c>
      <x:c r="K179" s="78"/>
    </x:row>
    <x:row r="180">
      <x:c r="A180" s="73"/>
      <x:c r="B180" s="73"/>
      <x:c r="C180" s="74"/>
      <x:c r="D180" s="73"/>
      <x:c r="E180" s="73"/>
      <x:c r="F180" s="75"/>
      <x:c r="G180" s="75"/>
      <x:c r="H180" s="76" t="str">
        <x:f>IF(A180="","",F180-G180)</x:f>
      </x:c>
      <x:c r="I180" s="77" t="str">
        <x:f>IF(A180="","",IF(E180="","기타/불명",IF(IFERROR(SEARCH("급여",E180),0)&gt;0,"인건비",IF(IFERROR(SEARCH("임차",E180),0)&gt;0,"임차·시설",IF(IFERROR(SEARCH("광고",E180),0)&gt;0,"광고·행사",IF(IFERROR(SEARCH("용역",E180),0)&gt;0,"용역·수수료","기타/불명"))))))</x:f>
      </x:c>
      <x:c r="J180" s="77" t="str">
        <x:f>IF(A180="","",IF(I180="기타/불명","확인 필요","결의서명으로 1차 확인"))</x:f>
      </x:c>
      <x:c r="K180" s="78"/>
    </x:row>
    <x:row r="181">
      <x:c r="A181" s="73"/>
      <x:c r="B181" s="73"/>
      <x:c r="C181" s="74"/>
      <x:c r="D181" s="73"/>
      <x:c r="E181" s="73"/>
      <x:c r="F181" s="75"/>
      <x:c r="G181" s="75"/>
      <x:c r="H181" s="76" t="str">
        <x:f>IF(A181="","",F181-G181)</x:f>
      </x:c>
      <x:c r="I181" s="77" t="str">
        <x:f>IF(A181="","",IF(E181="","기타/불명",IF(IFERROR(SEARCH("급여",E181),0)&gt;0,"인건비",IF(IFERROR(SEARCH("임차",E181),0)&gt;0,"임차·시설",IF(IFERROR(SEARCH("광고",E181),0)&gt;0,"광고·행사",IF(IFERROR(SEARCH("용역",E181),0)&gt;0,"용역·수수료","기타/불명"))))))</x:f>
      </x:c>
      <x:c r="J181" s="77" t="str">
        <x:f>IF(A181="","",IF(I181="기타/불명","확인 필요","결의서명으로 1차 확인"))</x:f>
      </x:c>
      <x:c r="K181" s="78"/>
    </x:row>
    <x:row r="182">
      <x:c r="A182" s="73"/>
      <x:c r="B182" s="73"/>
      <x:c r="C182" s="74"/>
      <x:c r="D182" s="73"/>
      <x:c r="E182" s="73"/>
      <x:c r="F182" s="75"/>
      <x:c r="G182" s="75"/>
      <x:c r="H182" s="76" t="str">
        <x:f>IF(A182="","",F182-G182)</x:f>
      </x:c>
      <x:c r="I182" s="77" t="str">
        <x:f>IF(A182="","",IF(E182="","기타/불명",IF(IFERROR(SEARCH("급여",E182),0)&gt;0,"인건비",IF(IFERROR(SEARCH("임차",E182),0)&gt;0,"임차·시설",IF(IFERROR(SEARCH("광고",E182),0)&gt;0,"광고·행사",IF(IFERROR(SEARCH("용역",E182),0)&gt;0,"용역·수수료","기타/불명"))))))</x:f>
      </x:c>
      <x:c r="J182" s="77" t="str">
        <x:f>IF(A182="","",IF(I182="기타/불명","확인 필요","결의서명으로 1차 확인"))</x:f>
      </x:c>
      <x:c r="K182" s="78"/>
    </x:row>
    <x:row r="183">
      <x:c r="A183" s="73"/>
      <x:c r="B183" s="73"/>
      <x:c r="C183" s="74"/>
      <x:c r="D183" s="73"/>
      <x:c r="E183" s="73"/>
      <x:c r="F183" s="75"/>
      <x:c r="G183" s="75"/>
      <x:c r="H183" s="76" t="str">
        <x:f>IF(A183="","",F183-G183)</x:f>
      </x:c>
      <x:c r="I183" s="77" t="str">
        <x:f>IF(A183="","",IF(E183="","기타/불명",IF(IFERROR(SEARCH("급여",E183),0)&gt;0,"인건비",IF(IFERROR(SEARCH("임차",E183),0)&gt;0,"임차·시설",IF(IFERROR(SEARCH("광고",E183),0)&gt;0,"광고·행사",IF(IFERROR(SEARCH("용역",E183),0)&gt;0,"용역·수수료","기타/불명"))))))</x:f>
      </x:c>
      <x:c r="J183" s="77" t="str">
        <x:f>IF(A183="","",IF(I183="기타/불명","확인 필요","결의서명으로 1차 확인"))</x:f>
      </x:c>
      <x:c r="K183" s="78"/>
    </x:row>
    <x:row r="184">
      <x:c r="A184" s="73"/>
      <x:c r="B184" s="73"/>
      <x:c r="C184" s="74"/>
      <x:c r="D184" s="73"/>
      <x:c r="E184" s="73"/>
      <x:c r="F184" s="75"/>
      <x:c r="G184" s="75"/>
      <x:c r="H184" s="76" t="str">
        <x:f>IF(A184="","",F184-G184)</x:f>
      </x:c>
      <x:c r="I184" s="77" t="str">
        <x:f>IF(A184="","",IF(E184="","기타/불명",IF(IFERROR(SEARCH("급여",E184),0)&gt;0,"인건비",IF(IFERROR(SEARCH("임차",E184),0)&gt;0,"임차·시설",IF(IFERROR(SEARCH("광고",E184),0)&gt;0,"광고·행사",IF(IFERROR(SEARCH("용역",E184),0)&gt;0,"용역·수수료","기타/불명"))))))</x:f>
      </x:c>
      <x:c r="J184" s="77" t="str">
        <x:f>IF(A184="","",IF(I184="기타/불명","확인 필요","결의서명으로 1차 확인"))</x:f>
      </x:c>
      <x:c r="K184" s="78"/>
    </x:row>
    <x:row r="185">
      <x:c r="A185" s="73"/>
      <x:c r="B185" s="73"/>
      <x:c r="C185" s="74"/>
      <x:c r="D185" s="73"/>
      <x:c r="E185" s="73"/>
      <x:c r="F185" s="75"/>
      <x:c r="G185" s="75"/>
      <x:c r="H185" s="76" t="str">
        <x:f>IF(A185="","",F185-G185)</x:f>
      </x:c>
      <x:c r="I185" s="77" t="str">
        <x:f>IF(A185="","",IF(E185="","기타/불명",IF(IFERROR(SEARCH("급여",E185),0)&gt;0,"인건비",IF(IFERROR(SEARCH("임차",E185),0)&gt;0,"임차·시설",IF(IFERROR(SEARCH("광고",E185),0)&gt;0,"광고·행사",IF(IFERROR(SEARCH("용역",E185),0)&gt;0,"용역·수수료","기타/불명"))))))</x:f>
      </x:c>
      <x:c r="J185" s="77" t="str">
        <x:f>IF(A185="","",IF(I185="기타/불명","확인 필요","결의서명으로 1차 확인"))</x:f>
      </x:c>
      <x:c r="K185" s="78"/>
    </x:row>
    <x:row r="186">
      <x:c r="A186" s="73"/>
      <x:c r="B186" s="73"/>
      <x:c r="C186" s="74"/>
      <x:c r="D186" s="73"/>
      <x:c r="E186" s="73"/>
      <x:c r="F186" s="75"/>
      <x:c r="G186" s="75"/>
      <x:c r="H186" s="76" t="str">
        <x:f>IF(A186="","",F186-G186)</x:f>
      </x:c>
      <x:c r="I186" s="77" t="str">
        <x:f>IF(A186="","",IF(E186="","기타/불명",IF(IFERROR(SEARCH("급여",E186),0)&gt;0,"인건비",IF(IFERROR(SEARCH("임차",E186),0)&gt;0,"임차·시설",IF(IFERROR(SEARCH("광고",E186),0)&gt;0,"광고·행사",IF(IFERROR(SEARCH("용역",E186),0)&gt;0,"용역·수수료","기타/불명"))))))</x:f>
      </x:c>
      <x:c r="J186" s="77" t="str">
        <x:f>IF(A186="","",IF(I186="기타/불명","확인 필요","결의서명으로 1차 확인"))</x:f>
      </x:c>
      <x:c r="K186" s="78"/>
    </x:row>
    <x:row r="187">
      <x:c r="A187" s="73"/>
      <x:c r="B187" s="73"/>
      <x:c r="C187" s="74"/>
      <x:c r="D187" s="73"/>
      <x:c r="E187" s="73"/>
      <x:c r="F187" s="75"/>
      <x:c r="G187" s="75"/>
      <x:c r="H187" s="76" t="str">
        <x:f>IF(A187="","",F187-G187)</x:f>
      </x:c>
      <x:c r="I187" s="77" t="str">
        <x:f>IF(A187="","",IF(E187="","기타/불명",IF(IFERROR(SEARCH("급여",E187),0)&gt;0,"인건비",IF(IFERROR(SEARCH("임차",E187),0)&gt;0,"임차·시설",IF(IFERROR(SEARCH("광고",E187),0)&gt;0,"광고·행사",IF(IFERROR(SEARCH("용역",E187),0)&gt;0,"용역·수수료","기타/불명"))))))</x:f>
      </x:c>
      <x:c r="J187" s="77" t="str">
        <x:f>IF(A187="","",IF(I187="기타/불명","확인 필요","결의서명으로 1차 확인"))</x:f>
      </x:c>
      <x:c r="K187" s="78"/>
    </x:row>
    <x:row r="188">
      <x:c r="A188" s="73"/>
      <x:c r="B188" s="73"/>
      <x:c r="C188" s="74"/>
      <x:c r="D188" s="73"/>
      <x:c r="E188" s="73"/>
      <x:c r="F188" s="75"/>
      <x:c r="G188" s="75"/>
      <x:c r="H188" s="76" t="str">
        <x:f>IF(A188="","",F188-G188)</x:f>
      </x:c>
      <x:c r="I188" s="77" t="str">
        <x:f>IF(A188="","",IF(E188="","기타/불명",IF(IFERROR(SEARCH("급여",E188),0)&gt;0,"인건비",IF(IFERROR(SEARCH("임차",E188),0)&gt;0,"임차·시설",IF(IFERROR(SEARCH("광고",E188),0)&gt;0,"광고·행사",IF(IFERROR(SEARCH("용역",E188),0)&gt;0,"용역·수수료","기타/불명"))))))</x:f>
      </x:c>
      <x:c r="J188" s="77" t="str">
        <x:f>IF(A188="","",IF(I188="기타/불명","확인 필요","결의서명으로 1차 확인"))</x:f>
      </x:c>
      <x:c r="K188" s="78"/>
    </x:row>
    <x:row r="189">
      <x:c r="A189" s="73"/>
      <x:c r="B189" s="73"/>
      <x:c r="C189" s="74"/>
      <x:c r="D189" s="73"/>
      <x:c r="E189" s="73"/>
      <x:c r="F189" s="75"/>
      <x:c r="G189" s="75"/>
      <x:c r="H189" s="76" t="str">
        <x:f>IF(A189="","",F189-G189)</x:f>
      </x:c>
      <x:c r="I189" s="77" t="str">
        <x:f>IF(A189="","",IF(E189="","기타/불명",IF(IFERROR(SEARCH("급여",E189),0)&gt;0,"인건비",IF(IFERROR(SEARCH("임차",E189),0)&gt;0,"임차·시설",IF(IFERROR(SEARCH("광고",E189),0)&gt;0,"광고·행사",IF(IFERROR(SEARCH("용역",E189),0)&gt;0,"용역·수수료","기타/불명"))))))</x:f>
      </x:c>
      <x:c r="J189" s="77" t="str">
        <x:f>IF(A189="","",IF(I189="기타/불명","확인 필요","결의서명으로 1차 확인"))</x:f>
      </x:c>
      <x:c r="K189" s="78"/>
    </x:row>
    <x:row r="190">
      <x:c r="A190" s="73"/>
      <x:c r="B190" s="73"/>
      <x:c r="C190" s="74"/>
      <x:c r="D190" s="73"/>
      <x:c r="E190" s="73"/>
      <x:c r="F190" s="75"/>
      <x:c r="G190" s="75"/>
      <x:c r="H190" s="76" t="str">
        <x:f>IF(A190="","",F190-G190)</x:f>
      </x:c>
      <x:c r="I190" s="77" t="str">
        <x:f>IF(A190="","",IF(E190="","기타/불명",IF(IFERROR(SEARCH("급여",E190),0)&gt;0,"인건비",IF(IFERROR(SEARCH("임차",E190),0)&gt;0,"임차·시설",IF(IFERROR(SEARCH("광고",E190),0)&gt;0,"광고·행사",IF(IFERROR(SEARCH("용역",E190),0)&gt;0,"용역·수수료","기타/불명"))))))</x:f>
      </x:c>
      <x:c r="J190" s="77" t="str">
        <x:f>IF(A190="","",IF(I190="기타/불명","확인 필요","결의서명으로 1차 확인"))</x:f>
      </x:c>
      <x:c r="K190" s="78"/>
    </x:row>
    <x:row r="191">
      <x:c r="A191" s="73"/>
      <x:c r="B191" s="73"/>
      <x:c r="C191" s="74"/>
      <x:c r="D191" s="73"/>
      <x:c r="E191" s="73"/>
      <x:c r="F191" s="75"/>
      <x:c r="G191" s="75"/>
      <x:c r="H191" s="76" t="str">
        <x:f>IF(A191="","",F191-G191)</x:f>
      </x:c>
      <x:c r="I191" s="77" t="str">
        <x:f>IF(A191="","",IF(E191="","기타/불명",IF(IFERROR(SEARCH("급여",E191),0)&gt;0,"인건비",IF(IFERROR(SEARCH("임차",E191),0)&gt;0,"임차·시설",IF(IFERROR(SEARCH("광고",E191),0)&gt;0,"광고·행사",IF(IFERROR(SEARCH("용역",E191),0)&gt;0,"용역·수수료","기타/불명"))))))</x:f>
      </x:c>
      <x:c r="J191" s="77" t="str">
        <x:f>IF(A191="","",IF(I191="기타/불명","확인 필요","결의서명으로 1차 확인"))</x:f>
      </x:c>
      <x:c r="K191" s="78"/>
    </x:row>
    <x:row r="192">
      <x:c r="A192" s="73"/>
      <x:c r="B192" s="73"/>
      <x:c r="C192" s="74"/>
      <x:c r="D192" s="73"/>
      <x:c r="E192" s="73"/>
      <x:c r="F192" s="75"/>
      <x:c r="G192" s="75"/>
      <x:c r="H192" s="76" t="str">
        <x:f>IF(A192="","",F192-G192)</x:f>
      </x:c>
      <x:c r="I192" s="77" t="str">
        <x:f>IF(A192="","",IF(E192="","기타/불명",IF(IFERROR(SEARCH("급여",E192),0)&gt;0,"인건비",IF(IFERROR(SEARCH("임차",E192),0)&gt;0,"임차·시설",IF(IFERROR(SEARCH("광고",E192),0)&gt;0,"광고·행사",IF(IFERROR(SEARCH("용역",E192),0)&gt;0,"용역·수수료","기타/불명"))))))</x:f>
      </x:c>
      <x:c r="J192" s="77" t="str">
        <x:f>IF(A192="","",IF(I192="기타/불명","확인 필요","결의서명으로 1차 확인"))</x:f>
      </x:c>
      <x:c r="K192" s="78"/>
    </x:row>
    <x:row r="193">
      <x:c r="A193" s="73"/>
      <x:c r="B193" s="73"/>
      <x:c r="C193" s="74"/>
      <x:c r="D193" s="73"/>
      <x:c r="E193" s="73"/>
      <x:c r="F193" s="75"/>
      <x:c r="G193" s="75"/>
      <x:c r="H193" s="76" t="str">
        <x:f>IF(A193="","",F193-G193)</x:f>
      </x:c>
      <x:c r="I193" s="77" t="str">
        <x:f>IF(A193="","",IF(E193="","기타/불명",IF(IFERROR(SEARCH("급여",E193),0)&gt;0,"인건비",IF(IFERROR(SEARCH("임차",E193),0)&gt;0,"임차·시설",IF(IFERROR(SEARCH("광고",E193),0)&gt;0,"광고·행사",IF(IFERROR(SEARCH("용역",E193),0)&gt;0,"용역·수수료","기타/불명"))))))</x:f>
      </x:c>
      <x:c r="J193" s="77" t="str">
        <x:f>IF(A193="","",IF(I193="기타/불명","확인 필요","결의서명으로 1차 확인"))</x:f>
      </x:c>
      <x:c r="K193" s="78"/>
    </x:row>
    <x:row r="194">
      <x:c r="A194" s="73"/>
      <x:c r="B194" s="73"/>
      <x:c r="C194" s="74"/>
      <x:c r="D194" s="73"/>
      <x:c r="E194" s="73"/>
      <x:c r="F194" s="75"/>
      <x:c r="G194" s="75"/>
      <x:c r="H194" s="76" t="str">
        <x:f>IF(A194="","",F194-G194)</x:f>
      </x:c>
      <x:c r="I194" s="77" t="str">
        <x:f>IF(A194="","",IF(E194="","기타/불명",IF(IFERROR(SEARCH("급여",E194),0)&gt;0,"인건비",IF(IFERROR(SEARCH("임차",E194),0)&gt;0,"임차·시설",IF(IFERROR(SEARCH("광고",E194),0)&gt;0,"광고·행사",IF(IFERROR(SEARCH("용역",E194),0)&gt;0,"용역·수수료","기타/불명"))))))</x:f>
      </x:c>
      <x:c r="J194" s="77" t="str">
        <x:f>IF(A194="","",IF(I194="기타/불명","확인 필요","결의서명으로 1차 확인"))</x:f>
      </x:c>
      <x:c r="K194" s="78"/>
    </x:row>
    <x:row r="195">
      <x:c r="A195" s="73"/>
      <x:c r="B195" s="73"/>
      <x:c r="C195" s="74"/>
      <x:c r="D195" s="73"/>
      <x:c r="E195" s="73"/>
      <x:c r="F195" s="75"/>
      <x:c r="G195" s="75"/>
      <x:c r="H195" s="76" t="str">
        <x:f>IF(A195="","",F195-G195)</x:f>
      </x:c>
      <x:c r="I195" s="77" t="str">
        <x:f>IF(A195="","",IF(E195="","기타/불명",IF(IFERROR(SEARCH("급여",E195),0)&gt;0,"인건비",IF(IFERROR(SEARCH("임차",E195),0)&gt;0,"임차·시설",IF(IFERROR(SEARCH("광고",E195),0)&gt;0,"광고·행사",IF(IFERROR(SEARCH("용역",E195),0)&gt;0,"용역·수수료","기타/불명"))))))</x:f>
      </x:c>
      <x:c r="J195" s="77" t="str">
        <x:f>IF(A195="","",IF(I195="기타/불명","확인 필요","결의서명으로 1차 확인"))</x:f>
      </x:c>
      <x:c r="K195" s="78"/>
    </x:row>
    <x:row r="196">
      <x:c r="A196" s="73"/>
      <x:c r="B196" s="73"/>
      <x:c r="C196" s="74"/>
      <x:c r="D196" s="73"/>
      <x:c r="E196" s="73"/>
      <x:c r="F196" s="75"/>
      <x:c r="G196" s="75"/>
      <x:c r="H196" s="76" t="str">
        <x:f>IF(A196="","",F196-G196)</x:f>
      </x:c>
      <x:c r="I196" s="77" t="str">
        <x:f>IF(A196="","",IF(E196="","기타/불명",IF(IFERROR(SEARCH("급여",E196),0)&gt;0,"인건비",IF(IFERROR(SEARCH("임차",E196),0)&gt;0,"임차·시설",IF(IFERROR(SEARCH("광고",E196),0)&gt;0,"광고·행사",IF(IFERROR(SEARCH("용역",E196),0)&gt;0,"용역·수수료","기타/불명"))))))</x:f>
      </x:c>
      <x:c r="J196" s="77" t="str">
        <x:f>IF(A196="","",IF(I196="기타/불명","확인 필요","결의서명으로 1차 확인"))</x:f>
      </x:c>
      <x:c r="K196" s="78"/>
    </x:row>
    <x:row r="197">
      <x:c r="A197" s="73"/>
      <x:c r="B197" s="73"/>
      <x:c r="C197" s="74"/>
      <x:c r="D197" s="73"/>
      <x:c r="E197" s="73"/>
      <x:c r="F197" s="75"/>
      <x:c r="G197" s="75"/>
      <x:c r="H197" s="76" t="str">
        <x:f>IF(A197="","",F197-G197)</x:f>
      </x:c>
      <x:c r="I197" s="77" t="str">
        <x:f>IF(A197="","",IF(E197="","기타/불명",IF(IFERROR(SEARCH("급여",E197),0)&gt;0,"인건비",IF(IFERROR(SEARCH("임차",E197),0)&gt;0,"임차·시설",IF(IFERROR(SEARCH("광고",E197),0)&gt;0,"광고·행사",IF(IFERROR(SEARCH("용역",E197),0)&gt;0,"용역·수수료","기타/불명"))))))</x:f>
      </x:c>
      <x:c r="J197" s="77" t="str">
        <x:f>IF(A197="","",IF(I197="기타/불명","확인 필요","결의서명으로 1차 확인"))</x:f>
      </x:c>
      <x:c r="K197" s="78"/>
    </x:row>
    <x:row r="198">
      <x:c r="A198" s="73"/>
      <x:c r="B198" s="73"/>
      <x:c r="C198" s="74"/>
      <x:c r="D198" s="73"/>
      <x:c r="E198" s="73"/>
      <x:c r="F198" s="75"/>
      <x:c r="G198" s="75"/>
      <x:c r="H198" s="76" t="str">
        <x:f>IF(A198="","",F198-G198)</x:f>
      </x:c>
      <x:c r="I198" s="77" t="str">
        <x:f>IF(A198="","",IF(E198="","기타/불명",IF(IFERROR(SEARCH("급여",E198),0)&gt;0,"인건비",IF(IFERROR(SEARCH("임차",E198),0)&gt;0,"임차·시설",IF(IFERROR(SEARCH("광고",E198),0)&gt;0,"광고·행사",IF(IFERROR(SEARCH("용역",E198),0)&gt;0,"용역·수수료","기타/불명"))))))</x:f>
      </x:c>
      <x:c r="J198" s="77" t="str">
        <x:f>IF(A198="","",IF(I198="기타/불명","확인 필요","결의서명으로 1차 확인"))</x:f>
      </x:c>
      <x:c r="K198" s="78"/>
    </x:row>
    <x:row r="199">
      <x:c r="A199" s="73"/>
      <x:c r="B199" s="73"/>
      <x:c r="C199" s="74"/>
      <x:c r="D199" s="73"/>
      <x:c r="E199" s="73"/>
      <x:c r="F199" s="75"/>
      <x:c r="G199" s="75"/>
      <x:c r="H199" s="76" t="str">
        <x:f>IF(A199="","",F199-G199)</x:f>
      </x:c>
      <x:c r="I199" s="77" t="str">
        <x:f>IF(A199="","",IF(E199="","기타/불명",IF(IFERROR(SEARCH("급여",E199),0)&gt;0,"인건비",IF(IFERROR(SEARCH("임차",E199),0)&gt;0,"임차·시설",IF(IFERROR(SEARCH("광고",E199),0)&gt;0,"광고·행사",IF(IFERROR(SEARCH("용역",E199),0)&gt;0,"용역·수수료","기타/불명"))))))</x:f>
      </x:c>
      <x:c r="J199" s="77" t="str">
        <x:f>IF(A199="","",IF(I199="기타/불명","확인 필요","결의서명으로 1차 확인"))</x:f>
      </x:c>
      <x:c r="K199" s="78"/>
    </x:row>
    <x:row r="200">
      <x:c r="A200" s="73"/>
      <x:c r="B200" s="73"/>
      <x:c r="C200" s="74"/>
      <x:c r="D200" s="73"/>
      <x:c r="E200" s="73"/>
      <x:c r="F200" s="75"/>
      <x:c r="G200" s="75"/>
      <x:c r="H200" s="76" t="str">
        <x:f>IF(A200="","",F200-G200)</x:f>
      </x:c>
      <x:c r="I200" s="77" t="str">
        <x:f>IF(A200="","",IF(E200="","기타/불명",IF(IFERROR(SEARCH("급여",E200),0)&gt;0,"인건비",IF(IFERROR(SEARCH("임차",E200),0)&gt;0,"임차·시설",IF(IFERROR(SEARCH("광고",E200),0)&gt;0,"광고·행사",IF(IFERROR(SEARCH("용역",E200),0)&gt;0,"용역·수수료","기타/불명"))))))</x:f>
      </x:c>
      <x:c r="J200" s="77" t="str">
        <x:f>IF(A200="","",IF(I200="기타/불명","확인 필요","결의서명으로 1차 확인"))</x:f>
      </x:c>
      <x:c r="K200" s="78"/>
    </x:row>
    <x:row r="201">
      <x:c r="A201" s="73"/>
      <x:c r="B201" s="73"/>
      <x:c r="C201" s="74"/>
      <x:c r="D201" s="73"/>
      <x:c r="E201" s="73"/>
      <x:c r="F201" s="75"/>
      <x:c r="G201" s="75"/>
      <x:c r="H201" s="76" t="str">
        <x:f>IF(A201="","",F201-G201)</x:f>
      </x:c>
      <x:c r="I201" s="77" t="str">
        <x:f>IF(A201="","",IF(E201="","기타/불명",IF(IFERROR(SEARCH("급여",E201),0)&gt;0,"인건비",IF(IFERROR(SEARCH("임차",E201),0)&gt;0,"임차·시설",IF(IFERROR(SEARCH("광고",E201),0)&gt;0,"광고·행사",IF(IFERROR(SEARCH("용역",E201),0)&gt;0,"용역·수수료","기타/불명"))))))</x:f>
      </x:c>
      <x:c r="J201" s="77" t="str">
        <x:f>IF(A201="","",IF(I201="기타/불명","확인 필요","결의서명으로 1차 확인"))</x:f>
      </x:c>
      <x:c r="K201" s="78"/>
    </x:row>
    <x:row r="202">
      <x:c r="A202" s="73"/>
      <x:c r="B202" s="73"/>
      <x:c r="C202" s="74"/>
      <x:c r="D202" s="73"/>
      <x:c r="E202" s="73"/>
      <x:c r="F202" s="75"/>
      <x:c r="G202" s="75"/>
      <x:c r="H202" s="76" t="str">
        <x:f>IF(A202="","",F202-G202)</x:f>
      </x:c>
      <x:c r="I202" s="77" t="str">
        <x:f>IF(A202="","",IF(E202="","기타/불명",IF(IFERROR(SEARCH("급여",E202),0)&gt;0,"인건비",IF(IFERROR(SEARCH("임차",E202),0)&gt;0,"임차·시설",IF(IFERROR(SEARCH("광고",E202),0)&gt;0,"광고·행사",IF(IFERROR(SEARCH("용역",E202),0)&gt;0,"용역·수수료","기타/불명"))))))</x:f>
      </x:c>
      <x:c r="J202" s="77" t="str">
        <x:f>IF(A202="","",IF(I202="기타/불명","확인 필요","결의서명으로 1차 확인"))</x:f>
      </x:c>
      <x:c r="K202" s="78"/>
    </x:row>
    <x:row r="203">
      <x:c r="A203" s="73"/>
      <x:c r="B203" s="73"/>
      <x:c r="C203" s="74"/>
      <x:c r="D203" s="73"/>
      <x:c r="E203" s="73"/>
      <x:c r="F203" s="75"/>
      <x:c r="G203" s="75"/>
      <x:c r="H203" s="76" t="str">
        <x:f>IF(A203="","",F203-G203)</x:f>
      </x:c>
      <x:c r="I203" s="77" t="str">
        <x:f>IF(A203="","",IF(E203="","기타/불명",IF(IFERROR(SEARCH("급여",E203),0)&gt;0,"인건비",IF(IFERROR(SEARCH("임차",E203),0)&gt;0,"임차·시설",IF(IFERROR(SEARCH("광고",E203),0)&gt;0,"광고·행사",IF(IFERROR(SEARCH("용역",E203),0)&gt;0,"용역·수수료","기타/불명"))))))</x:f>
      </x:c>
      <x:c r="J203" s="77" t="str">
        <x:f>IF(A203="","",IF(I203="기타/불명","확인 필요","결의서명으로 1차 확인"))</x:f>
      </x:c>
      <x:c r="K203" s="78"/>
    </x:row>
    <x:row r="204">
      <x:c r="A204" s="73"/>
      <x:c r="B204" s="73"/>
      <x:c r="C204" s="74"/>
      <x:c r="D204" s="73"/>
      <x:c r="E204" s="73"/>
      <x:c r="F204" s="75"/>
      <x:c r="G204" s="75"/>
      <x:c r="H204" s="76" t="str">
        <x:f>IF(A204="","",F204-G204)</x:f>
      </x:c>
      <x:c r="I204" s="77" t="str">
        <x:f>IF(A204="","",IF(E204="","기타/불명",IF(IFERROR(SEARCH("급여",E204),0)&gt;0,"인건비",IF(IFERROR(SEARCH("임차",E204),0)&gt;0,"임차·시설",IF(IFERROR(SEARCH("광고",E204),0)&gt;0,"광고·행사",IF(IFERROR(SEARCH("용역",E204),0)&gt;0,"용역·수수료","기타/불명"))))))</x:f>
      </x:c>
      <x:c r="J204" s="77" t="str">
        <x:f>IF(A204="","",IF(I204="기타/불명","확인 필요","결의서명으로 1차 확인"))</x:f>
      </x:c>
      <x:c r="K204" s="78"/>
    </x:row>
    <x:row r="205">
      <x:c r="A205" s="73"/>
      <x:c r="B205" s="73"/>
      <x:c r="C205" s="74"/>
      <x:c r="D205" s="73"/>
      <x:c r="E205" s="73"/>
      <x:c r="F205" s="75"/>
      <x:c r="G205" s="75"/>
      <x:c r="H205" s="76" t="str">
        <x:f>IF(A205="","",F205-G205)</x:f>
      </x:c>
      <x:c r="I205" s="77" t="str">
        <x:f>IF(A205="","",IF(E205="","기타/불명",IF(IFERROR(SEARCH("급여",E205),0)&gt;0,"인건비",IF(IFERROR(SEARCH("임차",E205),0)&gt;0,"임차·시설",IF(IFERROR(SEARCH("광고",E205),0)&gt;0,"광고·행사",IF(IFERROR(SEARCH("용역",E205),0)&gt;0,"용역·수수료","기타/불명"))))))</x:f>
      </x:c>
      <x:c r="J205" s="77" t="str">
        <x:f>IF(A205="","",IF(I205="기타/불명","확인 필요","결의서명으로 1차 확인"))</x:f>
      </x:c>
      <x:c r="K205" s="78"/>
    </x:row>
    <x:row r="206">
      <x:c r="A206" s="73"/>
      <x:c r="B206" s="73"/>
      <x:c r="C206" s="74"/>
      <x:c r="D206" s="73"/>
      <x:c r="E206" s="73"/>
      <x:c r="F206" s="75"/>
      <x:c r="G206" s="75"/>
      <x:c r="H206" s="76" t="str">
        <x:f>IF(A206="","",F206-G206)</x:f>
      </x:c>
      <x:c r="I206" s="77" t="str">
        <x:f>IF(A206="","",IF(E206="","기타/불명",IF(IFERROR(SEARCH("급여",E206),0)&gt;0,"인건비",IF(IFERROR(SEARCH("임차",E206),0)&gt;0,"임차·시설",IF(IFERROR(SEARCH("광고",E206),0)&gt;0,"광고·행사",IF(IFERROR(SEARCH("용역",E206),0)&gt;0,"용역·수수료","기타/불명"))))))</x:f>
      </x:c>
      <x:c r="J206" s="77" t="str">
        <x:f>IF(A206="","",IF(I206="기타/불명","확인 필요","결의서명으로 1차 확인"))</x:f>
      </x:c>
      <x:c r="K206" s="78"/>
    </x:row>
    <x:row r="207">
      <x:c r="A207" s="73"/>
      <x:c r="B207" s="73"/>
      <x:c r="C207" s="74"/>
      <x:c r="D207" s="73"/>
      <x:c r="E207" s="73"/>
      <x:c r="F207" s="75"/>
      <x:c r="G207" s="75"/>
      <x:c r="H207" s="76" t="str">
        <x:f>IF(A207="","",F207-G207)</x:f>
      </x:c>
      <x:c r="I207" s="77" t="str">
        <x:f>IF(A207="","",IF(E207="","기타/불명",IF(IFERROR(SEARCH("급여",E207),0)&gt;0,"인건비",IF(IFERROR(SEARCH("임차",E207),0)&gt;0,"임차·시설",IF(IFERROR(SEARCH("광고",E207),0)&gt;0,"광고·행사",IF(IFERROR(SEARCH("용역",E207),0)&gt;0,"용역·수수료","기타/불명"))))))</x:f>
      </x:c>
      <x:c r="J207" s="77" t="str">
        <x:f>IF(A207="","",IF(I207="기타/불명","확인 필요","결의서명으로 1차 확인"))</x:f>
      </x:c>
      <x:c r="K207" s="78"/>
    </x:row>
    <x:row r="208">
      <x:c r="A208" s="73"/>
      <x:c r="B208" s="73"/>
      <x:c r="C208" s="74"/>
      <x:c r="D208" s="73"/>
      <x:c r="E208" s="73"/>
      <x:c r="F208" s="75"/>
      <x:c r="G208" s="75"/>
      <x:c r="H208" s="76" t="str">
        <x:f>IF(A208="","",F208-G208)</x:f>
      </x:c>
      <x:c r="I208" s="77" t="str">
        <x:f>IF(A208="","",IF(E208="","기타/불명",IF(IFERROR(SEARCH("급여",E208),0)&gt;0,"인건비",IF(IFERROR(SEARCH("임차",E208),0)&gt;0,"임차·시설",IF(IFERROR(SEARCH("광고",E208),0)&gt;0,"광고·행사",IF(IFERROR(SEARCH("용역",E208),0)&gt;0,"용역·수수료","기타/불명"))))))</x:f>
      </x:c>
      <x:c r="J208" s="77" t="str">
        <x:f>IF(A208="","",IF(I208="기타/불명","확인 필요","결의서명으로 1차 확인"))</x:f>
      </x:c>
      <x:c r="K208" s="78"/>
    </x:row>
    <x:row r="209">
      <x:c r="A209" s="73"/>
      <x:c r="B209" s="73"/>
      <x:c r="C209" s="74"/>
      <x:c r="D209" s="73"/>
      <x:c r="E209" s="73"/>
      <x:c r="F209" s="75"/>
      <x:c r="G209" s="75"/>
      <x:c r="H209" s="76" t="str">
        <x:f>IF(A209="","",F209-G209)</x:f>
      </x:c>
      <x:c r="I209" s="77" t="str">
        <x:f>IF(A209="","",IF(E209="","기타/불명",IF(IFERROR(SEARCH("급여",E209),0)&gt;0,"인건비",IF(IFERROR(SEARCH("임차",E209),0)&gt;0,"임차·시설",IF(IFERROR(SEARCH("광고",E209),0)&gt;0,"광고·행사",IF(IFERROR(SEARCH("용역",E209),0)&gt;0,"용역·수수료","기타/불명"))))))</x:f>
      </x:c>
      <x:c r="J209" s="77" t="str">
        <x:f>IF(A209="","",IF(I209="기타/불명","확인 필요","결의서명으로 1차 확인"))</x:f>
      </x:c>
      <x:c r="K209" s="78"/>
    </x:row>
    <x:row r="210">
      <x:c r="A210" s="73"/>
      <x:c r="B210" s="73"/>
      <x:c r="C210" s="74"/>
      <x:c r="D210" s="73"/>
      <x:c r="E210" s="73"/>
      <x:c r="F210" s="75"/>
      <x:c r="G210" s="75"/>
      <x:c r="H210" s="76" t="str">
        <x:f>IF(A210="","",F210-G210)</x:f>
      </x:c>
      <x:c r="I210" s="77" t="str">
        <x:f>IF(A210="","",IF(E210="","기타/불명",IF(IFERROR(SEARCH("급여",E210),0)&gt;0,"인건비",IF(IFERROR(SEARCH("임차",E210),0)&gt;0,"임차·시설",IF(IFERROR(SEARCH("광고",E210),0)&gt;0,"광고·행사",IF(IFERROR(SEARCH("용역",E210),0)&gt;0,"용역·수수료","기타/불명"))))))</x:f>
      </x:c>
      <x:c r="J210" s="77" t="str">
        <x:f>IF(A210="","",IF(I210="기타/불명","확인 필요","결의서명으로 1차 확인"))</x:f>
      </x:c>
      <x:c r="K210" s="78"/>
    </x:row>
    <x:row r="211">
      <x:c r="A211" s="73"/>
      <x:c r="B211" s="73"/>
      <x:c r="C211" s="74"/>
      <x:c r="D211" s="73"/>
      <x:c r="E211" s="73"/>
      <x:c r="F211" s="75"/>
      <x:c r="G211" s="75"/>
      <x:c r="H211" s="76" t="str">
        <x:f>IF(A211="","",F211-G211)</x:f>
      </x:c>
      <x:c r="I211" s="77" t="str">
        <x:f>IF(A211="","",IF(E211="","기타/불명",IF(IFERROR(SEARCH("급여",E211),0)&gt;0,"인건비",IF(IFERROR(SEARCH("임차",E211),0)&gt;0,"임차·시설",IF(IFERROR(SEARCH("광고",E211),0)&gt;0,"광고·행사",IF(IFERROR(SEARCH("용역",E211),0)&gt;0,"용역·수수료","기타/불명"))))))</x:f>
      </x:c>
      <x:c r="J211" s="77" t="str">
        <x:f>IF(A211="","",IF(I211="기타/불명","확인 필요","결의서명으로 1차 확인"))</x:f>
      </x:c>
      <x:c r="K211" s="78"/>
    </x:row>
    <x:row r="212">
      <x:c r="A212" s="73"/>
      <x:c r="B212" s="73"/>
      <x:c r="C212" s="74"/>
      <x:c r="D212" s="73"/>
      <x:c r="E212" s="73"/>
      <x:c r="F212" s="75"/>
      <x:c r="G212" s="75"/>
      <x:c r="H212" s="76" t="str">
        <x:f>IF(A212="","",F212-G212)</x:f>
      </x:c>
      <x:c r="I212" s="77" t="str">
        <x:f>IF(A212="","",IF(E212="","기타/불명",IF(IFERROR(SEARCH("급여",E212),0)&gt;0,"인건비",IF(IFERROR(SEARCH("임차",E212),0)&gt;0,"임차·시설",IF(IFERROR(SEARCH("광고",E212),0)&gt;0,"광고·행사",IF(IFERROR(SEARCH("용역",E212),0)&gt;0,"용역·수수료","기타/불명"))))))</x:f>
      </x:c>
      <x:c r="J212" s="77" t="str">
        <x:f>IF(A212="","",IF(I212="기타/불명","확인 필요","결의서명으로 1차 확인"))</x:f>
      </x:c>
      <x:c r="K212" s="78"/>
    </x:row>
    <x:row r="213">
      <x:c r="A213" s="73"/>
      <x:c r="B213" s="73"/>
      <x:c r="C213" s="74"/>
      <x:c r="D213" s="73"/>
      <x:c r="E213" s="73"/>
      <x:c r="F213" s="75"/>
      <x:c r="G213" s="75"/>
      <x:c r="H213" s="76" t="str">
        <x:f>IF(A213="","",F213-G213)</x:f>
      </x:c>
      <x:c r="I213" s="77" t="str">
        <x:f>IF(A213="","",IF(E213="","기타/불명",IF(IFERROR(SEARCH("급여",E213),0)&gt;0,"인건비",IF(IFERROR(SEARCH("임차",E213),0)&gt;0,"임차·시설",IF(IFERROR(SEARCH("광고",E213),0)&gt;0,"광고·행사",IF(IFERROR(SEARCH("용역",E213),0)&gt;0,"용역·수수료","기타/불명"))))))</x:f>
      </x:c>
      <x:c r="J213" s="77" t="str">
        <x:f>IF(A213="","",IF(I213="기타/불명","확인 필요","결의서명으로 1차 확인"))</x:f>
      </x:c>
      <x:c r="K213" s="78"/>
    </x:row>
    <x:row r="214">
      <x:c r="A214" s="73"/>
      <x:c r="B214" s="73"/>
      <x:c r="C214" s="74"/>
      <x:c r="D214" s="73"/>
      <x:c r="E214" s="73"/>
      <x:c r="F214" s="75"/>
      <x:c r="G214" s="75"/>
      <x:c r="H214" s="76" t="str">
        <x:f>IF(A214="","",F214-G214)</x:f>
      </x:c>
      <x:c r="I214" s="77" t="str">
        <x:f>IF(A214="","",IF(E214="","기타/불명",IF(IFERROR(SEARCH("급여",E214),0)&gt;0,"인건비",IF(IFERROR(SEARCH("임차",E214),0)&gt;0,"임차·시설",IF(IFERROR(SEARCH("광고",E214),0)&gt;0,"광고·행사",IF(IFERROR(SEARCH("용역",E214),0)&gt;0,"용역·수수료","기타/불명"))))))</x:f>
      </x:c>
      <x:c r="J214" s="77" t="str">
        <x:f>IF(A214="","",IF(I214="기타/불명","확인 필요","결의서명으로 1차 확인"))</x:f>
      </x:c>
      <x:c r="K214" s="78"/>
    </x:row>
    <x:row r="215">
      <x:c r="A215" s="73"/>
      <x:c r="B215" s="73"/>
      <x:c r="C215" s="74"/>
      <x:c r="D215" s="73"/>
      <x:c r="E215" s="73"/>
      <x:c r="F215" s="75"/>
      <x:c r="G215" s="75"/>
      <x:c r="H215" s="76" t="str">
        <x:f>IF(A215="","",F215-G215)</x:f>
      </x:c>
      <x:c r="I215" s="77" t="str">
        <x:f>IF(A215="","",IF(E215="","기타/불명",IF(IFERROR(SEARCH("급여",E215),0)&gt;0,"인건비",IF(IFERROR(SEARCH("임차",E215),0)&gt;0,"임차·시설",IF(IFERROR(SEARCH("광고",E215),0)&gt;0,"광고·행사",IF(IFERROR(SEARCH("용역",E215),0)&gt;0,"용역·수수료","기타/불명"))))))</x:f>
      </x:c>
      <x:c r="J215" s="77" t="str">
        <x:f>IF(A215="","",IF(I215="기타/불명","확인 필요","결의서명으로 1차 확인"))</x:f>
      </x:c>
      <x:c r="K215" s="78"/>
    </x:row>
    <x:row r="216">
      <x:c r="A216" s="73"/>
      <x:c r="B216" s="73"/>
      <x:c r="C216" s="74"/>
      <x:c r="D216" s="73"/>
      <x:c r="E216" s="73"/>
      <x:c r="F216" s="75"/>
      <x:c r="G216" s="75"/>
      <x:c r="H216" s="76" t="str">
        <x:f>IF(A216="","",F216-G216)</x:f>
      </x:c>
      <x:c r="I216" s="77" t="str">
        <x:f>IF(A216="","",IF(E216="","기타/불명",IF(IFERROR(SEARCH("급여",E216),0)&gt;0,"인건비",IF(IFERROR(SEARCH("임차",E216),0)&gt;0,"임차·시설",IF(IFERROR(SEARCH("광고",E216),0)&gt;0,"광고·행사",IF(IFERROR(SEARCH("용역",E216),0)&gt;0,"용역·수수료","기타/불명"))))))</x:f>
      </x:c>
      <x:c r="J216" s="77" t="str">
        <x:f>IF(A216="","",IF(I216="기타/불명","확인 필요","결의서명으로 1차 확인"))</x:f>
      </x:c>
      <x:c r="K216" s="78"/>
    </x:row>
    <x:row r="217">
      <x:c r="A217" s="73"/>
      <x:c r="B217" s="73"/>
      <x:c r="C217" s="74"/>
      <x:c r="D217" s="73"/>
      <x:c r="E217" s="73"/>
      <x:c r="F217" s="75"/>
      <x:c r="G217" s="75"/>
      <x:c r="H217" s="76" t="str">
        <x:f>IF(A217="","",F217-G217)</x:f>
      </x:c>
      <x:c r="I217" s="77" t="str">
        <x:f>IF(A217="","",IF(E217="","기타/불명",IF(IFERROR(SEARCH("급여",E217),0)&gt;0,"인건비",IF(IFERROR(SEARCH("임차",E217),0)&gt;0,"임차·시설",IF(IFERROR(SEARCH("광고",E217),0)&gt;0,"광고·행사",IF(IFERROR(SEARCH("용역",E217),0)&gt;0,"용역·수수료","기타/불명"))))))</x:f>
      </x:c>
      <x:c r="J217" s="77" t="str">
        <x:f>IF(A217="","",IF(I217="기타/불명","확인 필요","결의서명으로 1차 확인"))</x:f>
      </x:c>
      <x:c r="K217" s="78"/>
    </x:row>
    <x:row r="218">
      <x:c r="A218" s="73"/>
      <x:c r="B218" s="73"/>
      <x:c r="C218" s="74"/>
      <x:c r="D218" s="73"/>
      <x:c r="E218" s="73"/>
      <x:c r="F218" s="75"/>
      <x:c r="G218" s="75"/>
      <x:c r="H218" s="76" t="str">
        <x:f>IF(A218="","",F218-G218)</x:f>
      </x:c>
      <x:c r="I218" s="77" t="str">
        <x:f>IF(A218="","",IF(E218="","기타/불명",IF(IFERROR(SEARCH("급여",E218),0)&gt;0,"인건비",IF(IFERROR(SEARCH("임차",E218),0)&gt;0,"임차·시설",IF(IFERROR(SEARCH("광고",E218),0)&gt;0,"광고·행사",IF(IFERROR(SEARCH("용역",E218),0)&gt;0,"용역·수수료","기타/불명"))))))</x:f>
      </x:c>
      <x:c r="J218" s="77" t="str">
        <x:f>IF(A218="","",IF(I218="기타/불명","확인 필요","결의서명으로 1차 확인"))</x:f>
      </x:c>
      <x:c r="K218" s="78"/>
    </x:row>
    <x:row r="219">
      <x:c r="A219" s="73"/>
      <x:c r="B219" s="73"/>
      <x:c r="C219" s="74"/>
      <x:c r="D219" s="73"/>
      <x:c r="E219" s="73"/>
      <x:c r="F219" s="75"/>
      <x:c r="G219" s="75"/>
      <x:c r="H219" s="76" t="str">
        <x:f>IF(A219="","",F219-G219)</x:f>
      </x:c>
      <x:c r="I219" s="77" t="str">
        <x:f>IF(A219="","",IF(E219="","기타/불명",IF(IFERROR(SEARCH("급여",E219),0)&gt;0,"인건비",IF(IFERROR(SEARCH("임차",E219),0)&gt;0,"임차·시설",IF(IFERROR(SEARCH("광고",E219),0)&gt;0,"광고·행사",IF(IFERROR(SEARCH("용역",E219),0)&gt;0,"용역·수수료","기타/불명"))))))</x:f>
      </x:c>
      <x:c r="J219" s="77" t="str">
        <x:f>IF(A219="","",IF(I219="기타/불명","확인 필요","결의서명으로 1차 확인"))</x:f>
      </x:c>
      <x:c r="K219" s="78"/>
    </x:row>
    <x:row r="220">
      <x:c r="A220" s="73"/>
      <x:c r="B220" s="73"/>
      <x:c r="C220" s="74"/>
      <x:c r="D220" s="73"/>
      <x:c r="E220" s="73"/>
      <x:c r="F220" s="75"/>
      <x:c r="G220" s="75"/>
      <x:c r="H220" s="76" t="str">
        <x:f>IF(A220="","",F220-G220)</x:f>
      </x:c>
      <x:c r="I220" s="77" t="str">
        <x:f>IF(A220="","",IF(E220="","기타/불명",IF(IFERROR(SEARCH("급여",E220),0)&gt;0,"인건비",IF(IFERROR(SEARCH("임차",E220),0)&gt;0,"임차·시설",IF(IFERROR(SEARCH("광고",E220),0)&gt;0,"광고·행사",IF(IFERROR(SEARCH("용역",E220),0)&gt;0,"용역·수수료","기타/불명"))))))</x:f>
      </x:c>
      <x:c r="J220" s="77" t="str">
        <x:f>IF(A220="","",IF(I220="기타/불명","확인 필요","결의서명으로 1차 확인"))</x:f>
      </x:c>
      <x:c r="K220" s="78"/>
    </x:row>
    <x:row r="221">
      <x:c r="A221" s="73"/>
      <x:c r="B221" s="73"/>
      <x:c r="C221" s="74"/>
      <x:c r="D221" s="73"/>
      <x:c r="E221" s="73"/>
      <x:c r="F221" s="75"/>
      <x:c r="G221" s="75"/>
      <x:c r="H221" s="76" t="str">
        <x:f>IF(A221="","",F221-G221)</x:f>
      </x:c>
      <x:c r="I221" s="77" t="str">
        <x:f>IF(A221="","",IF(E221="","기타/불명",IF(IFERROR(SEARCH("급여",E221),0)&gt;0,"인건비",IF(IFERROR(SEARCH("임차",E221),0)&gt;0,"임차·시설",IF(IFERROR(SEARCH("광고",E221),0)&gt;0,"광고·행사",IF(IFERROR(SEARCH("용역",E221),0)&gt;0,"용역·수수료","기타/불명"))))))</x:f>
      </x:c>
      <x:c r="J221" s="77" t="str">
        <x:f>IF(A221="","",IF(I221="기타/불명","확인 필요","결의서명으로 1차 확인"))</x:f>
      </x:c>
      <x:c r="K221" s="78"/>
    </x:row>
    <x:row r="222">
      <x:c r="A222" s="73"/>
      <x:c r="B222" s="73"/>
      <x:c r="C222" s="74"/>
      <x:c r="D222" s="73"/>
      <x:c r="E222" s="73"/>
      <x:c r="F222" s="75"/>
      <x:c r="G222" s="75"/>
      <x:c r="H222" s="76" t="str">
        <x:f>IF(A222="","",F222-G222)</x:f>
      </x:c>
      <x:c r="I222" s="77" t="str">
        <x:f>IF(A222="","",IF(E222="","기타/불명",IF(IFERROR(SEARCH("급여",E222),0)&gt;0,"인건비",IF(IFERROR(SEARCH("임차",E222),0)&gt;0,"임차·시설",IF(IFERROR(SEARCH("광고",E222),0)&gt;0,"광고·행사",IF(IFERROR(SEARCH("용역",E222),0)&gt;0,"용역·수수료","기타/불명"))))))</x:f>
      </x:c>
      <x:c r="J222" s="77" t="str">
        <x:f>IF(A222="","",IF(I222="기타/불명","확인 필요","결의서명으로 1차 확인"))</x:f>
      </x:c>
      <x:c r="K222" s="78"/>
    </x:row>
    <x:row r="223">
      <x:c r="A223" s="73"/>
      <x:c r="B223" s="73"/>
      <x:c r="C223" s="74"/>
      <x:c r="D223" s="73"/>
      <x:c r="E223" s="73"/>
      <x:c r="F223" s="75"/>
      <x:c r="G223" s="75"/>
      <x:c r="H223" s="76" t="str">
        <x:f>IF(A223="","",F223-G223)</x:f>
      </x:c>
      <x:c r="I223" s="77" t="str">
        <x:f>IF(A223="","",IF(E223="","기타/불명",IF(IFERROR(SEARCH("급여",E223),0)&gt;0,"인건비",IF(IFERROR(SEARCH("임차",E223),0)&gt;0,"임차·시설",IF(IFERROR(SEARCH("광고",E223),0)&gt;0,"광고·행사",IF(IFERROR(SEARCH("용역",E223),0)&gt;0,"용역·수수료","기타/불명"))))))</x:f>
      </x:c>
      <x:c r="J223" s="77" t="str">
        <x:f>IF(A223="","",IF(I223="기타/불명","확인 필요","결의서명으로 1차 확인"))</x:f>
      </x:c>
      <x:c r="K223" s="78"/>
    </x:row>
    <x:row r="224">
      <x:c r="A224" s="73"/>
      <x:c r="B224" s="73"/>
      <x:c r="C224" s="74"/>
      <x:c r="D224" s="73"/>
      <x:c r="E224" s="73"/>
      <x:c r="F224" s="75"/>
      <x:c r="G224" s="75"/>
      <x:c r="H224" s="76" t="str">
        <x:f>IF(A224="","",F224-G224)</x:f>
      </x:c>
      <x:c r="I224" s="77" t="str">
        <x:f>IF(A224="","",IF(E224="","기타/불명",IF(IFERROR(SEARCH("급여",E224),0)&gt;0,"인건비",IF(IFERROR(SEARCH("임차",E224),0)&gt;0,"임차·시설",IF(IFERROR(SEARCH("광고",E224),0)&gt;0,"광고·행사",IF(IFERROR(SEARCH("용역",E224),0)&gt;0,"용역·수수료","기타/불명"))))))</x:f>
      </x:c>
      <x:c r="J224" s="77" t="str">
        <x:f>IF(A224="","",IF(I224="기타/불명","확인 필요","결의서명으로 1차 확인"))</x:f>
      </x:c>
      <x:c r="K224" s="78"/>
    </x:row>
    <x:row r="225">
      <x:c r="A225" s="73"/>
      <x:c r="B225" s="73"/>
      <x:c r="C225" s="74"/>
      <x:c r="D225" s="73"/>
      <x:c r="E225" s="73"/>
      <x:c r="F225" s="75"/>
      <x:c r="G225" s="75"/>
      <x:c r="H225" s="76" t="str">
        <x:f>IF(A225="","",F225-G225)</x:f>
      </x:c>
      <x:c r="I225" s="77" t="str">
        <x:f>IF(A225="","",IF(E225="","기타/불명",IF(IFERROR(SEARCH("급여",E225),0)&gt;0,"인건비",IF(IFERROR(SEARCH("임차",E225),0)&gt;0,"임차·시설",IF(IFERROR(SEARCH("광고",E225),0)&gt;0,"광고·행사",IF(IFERROR(SEARCH("용역",E225),0)&gt;0,"용역·수수료","기타/불명"))))))</x:f>
      </x:c>
      <x:c r="J225" s="77" t="str">
        <x:f>IF(A225="","",IF(I225="기타/불명","확인 필요","결의서명으로 1차 확인"))</x:f>
      </x:c>
      <x:c r="K225" s="78"/>
    </x:row>
    <x:row r="226">
      <x:c r="A226" s="73"/>
      <x:c r="B226" s="73"/>
      <x:c r="C226" s="74"/>
      <x:c r="D226" s="73"/>
      <x:c r="E226" s="73"/>
      <x:c r="F226" s="75"/>
      <x:c r="G226" s="75"/>
      <x:c r="H226" s="76" t="str">
        <x:f>IF(A226="","",F226-G226)</x:f>
      </x:c>
      <x:c r="I226" s="77" t="str">
        <x:f>IF(A226="","",IF(E226="","기타/불명",IF(IFERROR(SEARCH("급여",E226),0)&gt;0,"인건비",IF(IFERROR(SEARCH("임차",E226),0)&gt;0,"임차·시설",IF(IFERROR(SEARCH("광고",E226),0)&gt;0,"광고·행사",IF(IFERROR(SEARCH("용역",E226),0)&gt;0,"용역·수수료","기타/불명"))))))</x:f>
      </x:c>
      <x:c r="J226" s="77" t="str">
        <x:f>IF(A226="","",IF(I226="기타/불명","확인 필요","결의서명으로 1차 확인"))</x:f>
      </x:c>
      <x:c r="K226" s="78"/>
    </x:row>
    <x:row r="227">
      <x:c r="A227" s="73"/>
      <x:c r="B227" s="73"/>
      <x:c r="C227" s="74"/>
      <x:c r="D227" s="73"/>
      <x:c r="E227" s="73"/>
      <x:c r="F227" s="75"/>
      <x:c r="G227" s="75"/>
      <x:c r="H227" s="76" t="str">
        <x:f>IF(A227="","",F227-G227)</x:f>
      </x:c>
      <x:c r="I227" s="77" t="str">
        <x:f>IF(A227="","",IF(E227="","기타/불명",IF(IFERROR(SEARCH("급여",E227),0)&gt;0,"인건비",IF(IFERROR(SEARCH("임차",E227),0)&gt;0,"임차·시설",IF(IFERROR(SEARCH("광고",E227),0)&gt;0,"광고·행사",IF(IFERROR(SEARCH("용역",E227),0)&gt;0,"용역·수수료","기타/불명"))))))</x:f>
      </x:c>
      <x:c r="J227" s="77" t="str">
        <x:f>IF(A227="","",IF(I227="기타/불명","확인 필요","결의서명으로 1차 확인"))</x:f>
      </x:c>
      <x:c r="K227" s="78"/>
    </x:row>
    <x:row r="228">
      <x:c r="A228" s="73"/>
      <x:c r="B228" s="73"/>
      <x:c r="C228" s="74"/>
      <x:c r="D228" s="73"/>
      <x:c r="E228" s="73"/>
      <x:c r="F228" s="75"/>
      <x:c r="G228" s="75"/>
      <x:c r="H228" s="76" t="str">
        <x:f>IF(A228="","",F228-G228)</x:f>
      </x:c>
      <x:c r="I228" s="77" t="str">
        <x:f>IF(A228="","",IF(E228="","기타/불명",IF(IFERROR(SEARCH("급여",E228),0)&gt;0,"인건비",IF(IFERROR(SEARCH("임차",E228),0)&gt;0,"임차·시설",IF(IFERROR(SEARCH("광고",E228),0)&gt;0,"광고·행사",IF(IFERROR(SEARCH("용역",E228),0)&gt;0,"용역·수수료","기타/불명"))))))</x:f>
      </x:c>
      <x:c r="J228" s="77" t="str">
        <x:f>IF(A228="","",IF(I228="기타/불명","확인 필요","결의서명으로 1차 확인"))</x:f>
      </x:c>
      <x:c r="K228" s="78"/>
    </x:row>
    <x:row r="229">
      <x:c r="A229" s="73"/>
      <x:c r="B229" s="73"/>
      <x:c r="C229" s="74"/>
      <x:c r="D229" s="73"/>
      <x:c r="E229" s="73"/>
      <x:c r="F229" s="75"/>
      <x:c r="G229" s="75"/>
      <x:c r="H229" s="76" t="str">
        <x:f>IF(A229="","",F229-G229)</x:f>
      </x:c>
      <x:c r="I229" s="77" t="str">
        <x:f>IF(A229="","",IF(E229="","기타/불명",IF(IFERROR(SEARCH("급여",E229),0)&gt;0,"인건비",IF(IFERROR(SEARCH("임차",E229),0)&gt;0,"임차·시설",IF(IFERROR(SEARCH("광고",E229),0)&gt;0,"광고·행사",IF(IFERROR(SEARCH("용역",E229),0)&gt;0,"용역·수수료","기타/불명"))))))</x:f>
      </x:c>
      <x:c r="J229" s="77" t="str">
        <x:f>IF(A229="","",IF(I229="기타/불명","확인 필요","결의서명으로 1차 확인"))</x:f>
      </x:c>
      <x:c r="K229" s="78"/>
    </x:row>
    <x:row r="230">
      <x:c r="A230" s="73"/>
      <x:c r="B230" s="73"/>
      <x:c r="C230" s="74"/>
      <x:c r="D230" s="73"/>
      <x:c r="E230" s="73"/>
      <x:c r="F230" s="75"/>
      <x:c r="G230" s="75"/>
      <x:c r="H230" s="76" t="str">
        <x:f>IF(A230="","",F230-G230)</x:f>
      </x:c>
      <x:c r="I230" s="77" t="str">
        <x:f>IF(A230="","",IF(E230="","기타/불명",IF(IFERROR(SEARCH("급여",E230),0)&gt;0,"인건비",IF(IFERROR(SEARCH("임차",E230),0)&gt;0,"임차·시설",IF(IFERROR(SEARCH("광고",E230),0)&gt;0,"광고·행사",IF(IFERROR(SEARCH("용역",E230),0)&gt;0,"용역·수수료","기타/불명"))))))</x:f>
      </x:c>
      <x:c r="J230" s="77" t="str">
        <x:f>IF(A230="","",IF(I230="기타/불명","확인 필요","결의서명으로 1차 확인"))</x:f>
      </x:c>
      <x:c r="K230" s="78"/>
    </x:row>
    <x:row r="231">
      <x:c r="A231" s="73"/>
      <x:c r="B231" s="73"/>
      <x:c r="C231" s="74"/>
      <x:c r="D231" s="73"/>
      <x:c r="E231" s="73"/>
      <x:c r="F231" s="75"/>
      <x:c r="G231" s="75"/>
      <x:c r="H231" s="76" t="str">
        <x:f>IF(A231="","",F231-G231)</x:f>
      </x:c>
      <x:c r="I231" s="77" t="str">
        <x:f>IF(A231="","",IF(E231="","기타/불명",IF(IFERROR(SEARCH("급여",E231),0)&gt;0,"인건비",IF(IFERROR(SEARCH("임차",E231),0)&gt;0,"임차·시설",IF(IFERROR(SEARCH("광고",E231),0)&gt;0,"광고·행사",IF(IFERROR(SEARCH("용역",E231),0)&gt;0,"용역·수수료","기타/불명"))))))</x:f>
      </x:c>
      <x:c r="J231" s="77" t="str">
        <x:f>IF(A231="","",IF(I231="기타/불명","확인 필요","결의서명으로 1차 확인"))</x:f>
      </x:c>
      <x:c r="K231" s="78"/>
    </x:row>
    <x:row r="232">
      <x:c r="A232" s="73"/>
      <x:c r="B232" s="73"/>
      <x:c r="C232" s="74"/>
      <x:c r="D232" s="73"/>
      <x:c r="E232" s="73"/>
      <x:c r="F232" s="75"/>
      <x:c r="G232" s="75"/>
      <x:c r="H232" s="76" t="str">
        <x:f>IF(A232="","",F232-G232)</x:f>
      </x:c>
      <x:c r="I232" s="77" t="str">
        <x:f>IF(A232="","",IF(E232="","기타/불명",IF(IFERROR(SEARCH("급여",E232),0)&gt;0,"인건비",IF(IFERROR(SEARCH("임차",E232),0)&gt;0,"임차·시설",IF(IFERROR(SEARCH("광고",E232),0)&gt;0,"광고·행사",IF(IFERROR(SEARCH("용역",E232),0)&gt;0,"용역·수수료","기타/불명"))))))</x:f>
      </x:c>
      <x:c r="J232" s="77" t="str">
        <x:f>IF(A232="","",IF(I232="기타/불명","확인 필요","결의서명으로 1차 확인"))</x:f>
      </x:c>
      <x:c r="K232" s="78"/>
    </x:row>
    <x:row r="233">
      <x:c r="A233" s="73"/>
      <x:c r="B233" s="73"/>
      <x:c r="C233" s="74"/>
      <x:c r="D233" s="73"/>
      <x:c r="E233" s="73"/>
      <x:c r="F233" s="75"/>
      <x:c r="G233" s="75"/>
      <x:c r="H233" s="76" t="str">
        <x:f>IF(A233="","",F233-G233)</x:f>
      </x:c>
      <x:c r="I233" s="77" t="str">
        <x:f>IF(A233="","",IF(E233="","기타/불명",IF(IFERROR(SEARCH("급여",E233),0)&gt;0,"인건비",IF(IFERROR(SEARCH("임차",E233),0)&gt;0,"임차·시설",IF(IFERROR(SEARCH("광고",E233),0)&gt;0,"광고·행사",IF(IFERROR(SEARCH("용역",E233),0)&gt;0,"용역·수수료","기타/불명"))))))</x:f>
      </x:c>
      <x:c r="J233" s="77" t="str">
        <x:f>IF(A233="","",IF(I233="기타/불명","확인 필요","결의서명으로 1차 확인"))</x:f>
      </x:c>
      <x:c r="K233" s="78"/>
    </x:row>
    <x:row r="234">
      <x:c r="A234" s="73"/>
      <x:c r="B234" s="73"/>
      <x:c r="C234" s="74"/>
      <x:c r="D234" s="73"/>
      <x:c r="E234" s="73"/>
      <x:c r="F234" s="75"/>
      <x:c r="G234" s="75"/>
      <x:c r="H234" s="76" t="str">
        <x:f>IF(A234="","",F234-G234)</x:f>
      </x:c>
      <x:c r="I234" s="77" t="str">
        <x:f>IF(A234="","",IF(E234="","기타/불명",IF(IFERROR(SEARCH("급여",E234),0)&gt;0,"인건비",IF(IFERROR(SEARCH("임차",E234),0)&gt;0,"임차·시설",IF(IFERROR(SEARCH("광고",E234),0)&gt;0,"광고·행사",IF(IFERROR(SEARCH("용역",E234),0)&gt;0,"용역·수수료","기타/불명"))))))</x:f>
      </x:c>
      <x:c r="J234" s="77" t="str">
        <x:f>IF(A234="","",IF(I234="기타/불명","확인 필요","결의서명으로 1차 확인"))</x:f>
      </x:c>
      <x:c r="K234" s="78"/>
    </x:row>
    <x:row r="235">
      <x:c r="A235" s="73"/>
      <x:c r="B235" s="73"/>
      <x:c r="C235" s="74"/>
      <x:c r="D235" s="73"/>
      <x:c r="E235" s="73"/>
      <x:c r="F235" s="75"/>
      <x:c r="G235" s="75"/>
      <x:c r="H235" s="76" t="str">
        <x:f>IF(A235="","",F235-G235)</x:f>
      </x:c>
      <x:c r="I235" s="77" t="str">
        <x:f>IF(A235="","",IF(E235="","기타/불명",IF(IFERROR(SEARCH("급여",E235),0)&gt;0,"인건비",IF(IFERROR(SEARCH("임차",E235),0)&gt;0,"임차·시설",IF(IFERROR(SEARCH("광고",E235),0)&gt;0,"광고·행사",IF(IFERROR(SEARCH("용역",E235),0)&gt;0,"용역·수수료","기타/불명"))))))</x:f>
      </x:c>
      <x:c r="J235" s="77" t="str">
        <x:f>IF(A235="","",IF(I235="기타/불명","확인 필요","결의서명으로 1차 확인"))</x:f>
      </x:c>
      <x:c r="K235" s="78"/>
    </x:row>
    <x:row r="236">
      <x:c r="A236" s="73"/>
      <x:c r="B236" s="73"/>
      <x:c r="C236" s="74"/>
      <x:c r="D236" s="73"/>
      <x:c r="E236" s="73"/>
      <x:c r="F236" s="75"/>
      <x:c r="G236" s="75"/>
      <x:c r="H236" s="76" t="str">
        <x:f>IF(A236="","",F236-G236)</x:f>
      </x:c>
      <x:c r="I236" s="77" t="str">
        <x:f>IF(A236="","",IF(E236="","기타/불명",IF(IFERROR(SEARCH("급여",E236),0)&gt;0,"인건비",IF(IFERROR(SEARCH("임차",E236),0)&gt;0,"임차·시설",IF(IFERROR(SEARCH("광고",E236),0)&gt;0,"광고·행사",IF(IFERROR(SEARCH("용역",E236),0)&gt;0,"용역·수수료","기타/불명"))))))</x:f>
      </x:c>
      <x:c r="J236" s="77" t="str">
        <x:f>IF(A236="","",IF(I236="기타/불명","확인 필요","결의서명으로 1차 확인"))</x:f>
      </x:c>
      <x:c r="K236" s="78"/>
    </x:row>
    <x:row r="237">
      <x:c r="A237" s="73"/>
      <x:c r="B237" s="73"/>
      <x:c r="C237" s="74"/>
      <x:c r="D237" s="73"/>
      <x:c r="E237" s="73"/>
      <x:c r="F237" s="75"/>
      <x:c r="G237" s="75"/>
      <x:c r="H237" s="76" t="str">
        <x:f>IF(A237="","",F237-G237)</x:f>
      </x:c>
      <x:c r="I237" s="77" t="str">
        <x:f>IF(A237="","",IF(E237="","기타/불명",IF(IFERROR(SEARCH("급여",E237),0)&gt;0,"인건비",IF(IFERROR(SEARCH("임차",E237),0)&gt;0,"임차·시설",IF(IFERROR(SEARCH("광고",E237),0)&gt;0,"광고·행사",IF(IFERROR(SEARCH("용역",E237),0)&gt;0,"용역·수수료","기타/불명"))))))</x:f>
      </x:c>
      <x:c r="J237" s="77" t="str">
        <x:f>IF(A237="","",IF(I237="기타/불명","확인 필요","결의서명으로 1차 확인"))</x:f>
      </x:c>
      <x:c r="K237" s="78"/>
    </x:row>
    <x:row r="238">
      <x:c r="A238" s="73"/>
      <x:c r="B238" s="73"/>
      <x:c r="C238" s="74"/>
      <x:c r="D238" s="73"/>
      <x:c r="E238" s="73"/>
      <x:c r="F238" s="75"/>
      <x:c r="G238" s="75"/>
      <x:c r="H238" s="76" t="str">
        <x:f>IF(A238="","",F238-G238)</x:f>
      </x:c>
      <x:c r="I238" s="77" t="str">
        <x:f>IF(A238="","",IF(E238="","기타/불명",IF(IFERROR(SEARCH("급여",E238),0)&gt;0,"인건비",IF(IFERROR(SEARCH("임차",E238),0)&gt;0,"임차·시설",IF(IFERROR(SEARCH("광고",E238),0)&gt;0,"광고·행사",IF(IFERROR(SEARCH("용역",E238),0)&gt;0,"용역·수수료","기타/불명"))))))</x:f>
      </x:c>
      <x:c r="J238" s="77" t="str">
        <x:f>IF(A238="","",IF(I238="기타/불명","확인 필요","결의서명으로 1차 확인"))</x:f>
      </x:c>
      <x:c r="K238" s="78"/>
    </x:row>
    <x:row r="239">
      <x:c r="A239" s="73"/>
      <x:c r="B239" s="73"/>
      <x:c r="C239" s="74"/>
      <x:c r="D239" s="73"/>
      <x:c r="E239" s="73"/>
      <x:c r="F239" s="75"/>
      <x:c r="G239" s="75"/>
      <x:c r="H239" s="76" t="str">
        <x:f>IF(A239="","",F239-G239)</x:f>
      </x:c>
      <x:c r="I239" s="77" t="str">
        <x:f>IF(A239="","",IF(E239="","기타/불명",IF(IFERROR(SEARCH("급여",E239),0)&gt;0,"인건비",IF(IFERROR(SEARCH("임차",E239),0)&gt;0,"임차·시설",IF(IFERROR(SEARCH("광고",E239),0)&gt;0,"광고·행사",IF(IFERROR(SEARCH("용역",E239),0)&gt;0,"용역·수수료","기타/불명"))))))</x:f>
      </x:c>
      <x:c r="J239" s="77" t="str">
        <x:f>IF(A239="","",IF(I239="기타/불명","확인 필요","결의서명으로 1차 확인"))</x:f>
      </x:c>
      <x:c r="K239" s="78"/>
    </x:row>
    <x:row r="240">
      <x:c r="A240" s="73"/>
      <x:c r="B240" s="73"/>
      <x:c r="C240" s="74"/>
      <x:c r="D240" s="73"/>
      <x:c r="E240" s="73"/>
      <x:c r="F240" s="75"/>
      <x:c r="G240" s="75"/>
      <x:c r="H240" s="76" t="str">
        <x:f>IF(A240="","",F240-G240)</x:f>
      </x:c>
      <x:c r="I240" s="77" t="str">
        <x:f>IF(A240="","",IF(E240="","기타/불명",IF(IFERROR(SEARCH("급여",E240),0)&gt;0,"인건비",IF(IFERROR(SEARCH("임차",E240),0)&gt;0,"임차·시설",IF(IFERROR(SEARCH("광고",E240),0)&gt;0,"광고·행사",IF(IFERROR(SEARCH("용역",E240),0)&gt;0,"용역·수수료","기타/불명"))))))</x:f>
      </x:c>
      <x:c r="J240" s="77" t="str">
        <x:f>IF(A240="","",IF(I240="기타/불명","확인 필요","결의서명으로 1차 확인"))</x:f>
      </x:c>
      <x:c r="K240" s="78"/>
    </x:row>
    <x:row r="241">
      <x:c r="A241" s="73"/>
      <x:c r="B241" s="73"/>
      <x:c r="C241" s="74"/>
      <x:c r="D241" s="73"/>
      <x:c r="E241" s="73"/>
      <x:c r="F241" s="75"/>
      <x:c r="G241" s="75"/>
      <x:c r="H241" s="76" t="str">
        <x:f>IF(A241="","",F241-G241)</x:f>
      </x:c>
      <x:c r="I241" s="77" t="str">
        <x:f>IF(A241="","",IF(E241="","기타/불명",IF(IFERROR(SEARCH("급여",E241),0)&gt;0,"인건비",IF(IFERROR(SEARCH("임차",E241),0)&gt;0,"임차·시설",IF(IFERROR(SEARCH("광고",E241),0)&gt;0,"광고·행사",IF(IFERROR(SEARCH("용역",E241),0)&gt;0,"용역·수수료","기타/불명"))))))</x:f>
      </x:c>
      <x:c r="J241" s="77" t="str">
        <x:f>IF(A241="","",IF(I241="기타/불명","확인 필요","결의서명으로 1차 확인"))</x:f>
      </x:c>
      <x:c r="K241" s="78"/>
    </x:row>
    <x:row r="242">
      <x:c r="A242" s="73"/>
      <x:c r="B242" s="73"/>
      <x:c r="C242" s="74"/>
      <x:c r="D242" s="73"/>
      <x:c r="E242" s="73"/>
      <x:c r="F242" s="75"/>
      <x:c r="G242" s="75"/>
      <x:c r="H242" s="76" t="str">
        <x:f>IF(A242="","",F242-G242)</x:f>
      </x:c>
      <x:c r="I242" s="77" t="str">
        <x:f>IF(A242="","",IF(E242="","기타/불명",IF(IFERROR(SEARCH("급여",E242),0)&gt;0,"인건비",IF(IFERROR(SEARCH("임차",E242),0)&gt;0,"임차·시설",IF(IFERROR(SEARCH("광고",E242),0)&gt;0,"광고·행사",IF(IFERROR(SEARCH("용역",E242),0)&gt;0,"용역·수수료","기타/불명"))))))</x:f>
      </x:c>
      <x:c r="J242" s="77" t="str">
        <x:f>IF(A242="","",IF(I242="기타/불명","확인 필요","결의서명으로 1차 확인"))</x:f>
      </x:c>
      <x:c r="K242" s="78"/>
    </x:row>
    <x:row r="243">
      <x:c r="A243" s="73"/>
      <x:c r="B243" s="73"/>
      <x:c r="C243" s="74"/>
      <x:c r="D243" s="73"/>
      <x:c r="E243" s="73"/>
      <x:c r="F243" s="75"/>
      <x:c r="G243" s="75"/>
      <x:c r="H243" s="76" t="str">
        <x:f>IF(A243="","",F243-G243)</x:f>
      </x:c>
      <x:c r="I243" s="77" t="str">
        <x:f>IF(A243="","",IF(E243="","기타/불명",IF(IFERROR(SEARCH("급여",E243),0)&gt;0,"인건비",IF(IFERROR(SEARCH("임차",E243),0)&gt;0,"임차·시설",IF(IFERROR(SEARCH("광고",E243),0)&gt;0,"광고·행사",IF(IFERROR(SEARCH("용역",E243),0)&gt;0,"용역·수수료","기타/불명"))))))</x:f>
      </x:c>
      <x:c r="J243" s="77" t="str">
        <x:f>IF(A243="","",IF(I243="기타/불명","확인 필요","결의서명으로 1차 확인"))</x:f>
      </x:c>
      <x:c r="K243" s="78"/>
    </x:row>
    <x:row r="244">
      <x:c r="A244" s="73"/>
      <x:c r="B244" s="73"/>
      <x:c r="C244" s="74"/>
      <x:c r="D244" s="73"/>
      <x:c r="E244" s="73"/>
      <x:c r="F244" s="75"/>
      <x:c r="G244" s="75"/>
      <x:c r="H244" s="76" t="str">
        <x:f>IF(A244="","",F244-G244)</x:f>
      </x:c>
      <x:c r="I244" s="77" t="str">
        <x:f>IF(A244="","",IF(E244="","기타/불명",IF(IFERROR(SEARCH("급여",E244),0)&gt;0,"인건비",IF(IFERROR(SEARCH("임차",E244),0)&gt;0,"임차·시설",IF(IFERROR(SEARCH("광고",E244),0)&gt;0,"광고·행사",IF(IFERROR(SEARCH("용역",E244),0)&gt;0,"용역·수수료","기타/불명"))))))</x:f>
      </x:c>
      <x:c r="J244" s="77" t="str">
        <x:f>IF(A244="","",IF(I244="기타/불명","확인 필요","결의서명으로 1차 확인"))</x:f>
      </x:c>
      <x:c r="K244" s="78"/>
    </x:row>
    <x:row r="245">
      <x:c r="A245" s="73"/>
      <x:c r="B245" s="73"/>
      <x:c r="C245" s="74"/>
      <x:c r="D245" s="73"/>
      <x:c r="E245" s="73"/>
      <x:c r="F245" s="75"/>
      <x:c r="G245" s="75"/>
      <x:c r="H245" s="76" t="str">
        <x:f>IF(A245="","",F245-G245)</x:f>
      </x:c>
      <x:c r="I245" s="77" t="str">
        <x:f>IF(A245="","",IF(E245="","기타/불명",IF(IFERROR(SEARCH("급여",E245),0)&gt;0,"인건비",IF(IFERROR(SEARCH("임차",E245),0)&gt;0,"임차·시설",IF(IFERROR(SEARCH("광고",E245),0)&gt;0,"광고·행사",IF(IFERROR(SEARCH("용역",E245),0)&gt;0,"용역·수수료","기타/불명"))))))</x:f>
      </x:c>
      <x:c r="J245" s="77" t="str">
        <x:f>IF(A245="","",IF(I245="기타/불명","확인 필요","결의서명으로 1차 확인"))</x:f>
      </x:c>
      <x:c r="K245" s="78"/>
    </x:row>
    <x:row r="246">
      <x:c r="A246" s="73"/>
      <x:c r="B246" s="73"/>
      <x:c r="C246" s="74"/>
      <x:c r="D246" s="73"/>
      <x:c r="E246" s="73"/>
      <x:c r="F246" s="75"/>
      <x:c r="G246" s="75"/>
      <x:c r="H246" s="76" t="str">
        <x:f>IF(A246="","",F246-G246)</x:f>
      </x:c>
      <x:c r="I246" s="77" t="str">
        <x:f>IF(A246="","",IF(E246="","기타/불명",IF(IFERROR(SEARCH("급여",E246),0)&gt;0,"인건비",IF(IFERROR(SEARCH("임차",E246),0)&gt;0,"임차·시설",IF(IFERROR(SEARCH("광고",E246),0)&gt;0,"광고·행사",IF(IFERROR(SEARCH("용역",E246),0)&gt;0,"용역·수수료","기타/불명"))))))</x:f>
      </x:c>
      <x:c r="J246" s="77" t="str">
        <x:f>IF(A246="","",IF(I246="기타/불명","확인 필요","결의서명으로 1차 확인"))</x:f>
      </x:c>
      <x:c r="K246" s="78"/>
    </x:row>
    <x:row r="247">
      <x:c r="A247" s="73"/>
      <x:c r="B247" s="73"/>
      <x:c r="C247" s="74"/>
      <x:c r="D247" s="73"/>
      <x:c r="E247" s="73"/>
      <x:c r="F247" s="75"/>
      <x:c r="G247" s="75"/>
      <x:c r="H247" s="76" t="str">
        <x:f>IF(A247="","",F247-G247)</x:f>
      </x:c>
      <x:c r="I247" s="77" t="str">
        <x:f>IF(A247="","",IF(E247="","기타/불명",IF(IFERROR(SEARCH("급여",E247),0)&gt;0,"인건비",IF(IFERROR(SEARCH("임차",E247),0)&gt;0,"임차·시설",IF(IFERROR(SEARCH("광고",E247),0)&gt;0,"광고·행사",IF(IFERROR(SEARCH("용역",E247),0)&gt;0,"용역·수수료","기타/불명"))))))</x:f>
      </x:c>
      <x:c r="J247" s="77" t="str">
        <x:f>IF(A247="","",IF(I247="기타/불명","확인 필요","결의서명으로 1차 확인"))</x:f>
      </x:c>
      <x:c r="K247" s="78"/>
    </x:row>
    <x:row r="248">
      <x:c r="A248" s="73"/>
      <x:c r="B248" s="73"/>
      <x:c r="C248" s="74"/>
      <x:c r="D248" s="73"/>
      <x:c r="E248" s="73"/>
      <x:c r="F248" s="75"/>
      <x:c r="G248" s="75"/>
      <x:c r="H248" s="76" t="str">
        <x:f>IF(A248="","",F248-G248)</x:f>
      </x:c>
      <x:c r="I248" s="77" t="str">
        <x:f>IF(A248="","",IF(E248="","기타/불명",IF(IFERROR(SEARCH("급여",E248),0)&gt;0,"인건비",IF(IFERROR(SEARCH("임차",E248),0)&gt;0,"임차·시설",IF(IFERROR(SEARCH("광고",E248),0)&gt;0,"광고·행사",IF(IFERROR(SEARCH("용역",E248),0)&gt;0,"용역·수수료","기타/불명"))))))</x:f>
      </x:c>
      <x:c r="J248" s="77" t="str">
        <x:f>IF(A248="","",IF(I248="기타/불명","확인 필요","결의서명으로 1차 확인"))</x:f>
      </x:c>
      <x:c r="K248" s="78"/>
    </x:row>
    <x:row r="249">
      <x:c r="A249" s="73"/>
      <x:c r="B249" s="73"/>
      <x:c r="C249" s="74"/>
      <x:c r="D249" s="73"/>
      <x:c r="E249" s="73"/>
      <x:c r="F249" s="75"/>
      <x:c r="G249" s="75"/>
      <x:c r="H249" s="76" t="str">
        <x:f>IF(A249="","",F249-G249)</x:f>
      </x:c>
      <x:c r="I249" s="77" t="str">
        <x:f>IF(A249="","",IF(E249="","기타/불명",IF(IFERROR(SEARCH("급여",E249),0)&gt;0,"인건비",IF(IFERROR(SEARCH("임차",E249),0)&gt;0,"임차·시설",IF(IFERROR(SEARCH("광고",E249),0)&gt;0,"광고·행사",IF(IFERROR(SEARCH("용역",E249),0)&gt;0,"용역·수수료","기타/불명"))))))</x:f>
      </x:c>
      <x:c r="J249" s="77" t="str">
        <x:f>IF(A249="","",IF(I249="기타/불명","확인 필요","결의서명으로 1차 확인"))</x:f>
      </x:c>
      <x:c r="K249" s="78"/>
    </x:row>
    <x:row r="250">
      <x:c r="A250" s="73"/>
      <x:c r="B250" s="73"/>
      <x:c r="C250" s="74"/>
      <x:c r="D250" s="73"/>
      <x:c r="E250" s="73"/>
      <x:c r="F250" s="75"/>
      <x:c r="G250" s="75"/>
      <x:c r="H250" s="76" t="str">
        <x:f>IF(A250="","",F250-G250)</x:f>
      </x:c>
      <x:c r="I250" s="77" t="str">
        <x:f>IF(A250="","",IF(E250="","기타/불명",IF(IFERROR(SEARCH("급여",E250),0)&gt;0,"인건비",IF(IFERROR(SEARCH("임차",E250),0)&gt;0,"임차·시설",IF(IFERROR(SEARCH("광고",E250),0)&gt;0,"광고·행사",IF(IFERROR(SEARCH("용역",E250),0)&gt;0,"용역·수수료","기타/불명"))))))</x:f>
      </x:c>
      <x:c r="J250" s="77" t="str">
        <x:f>IF(A250="","",IF(I250="기타/불명","확인 필요","결의서명으로 1차 확인"))</x:f>
      </x:c>
      <x:c r="K250" s="78"/>
    </x:row>
    <x:row r="251">
      <x:c r="A251" s="73"/>
      <x:c r="B251" s="73"/>
      <x:c r="C251" s="74"/>
      <x:c r="D251" s="73"/>
      <x:c r="E251" s="73"/>
      <x:c r="F251" s="75"/>
      <x:c r="G251" s="75"/>
      <x:c r="H251" s="76" t="str">
        <x:f>IF(A251="","",F251-G251)</x:f>
      </x:c>
      <x:c r="I251" s="77" t="str">
        <x:f>IF(A251="","",IF(E251="","기타/불명",IF(IFERROR(SEARCH("급여",E251),0)&gt;0,"인건비",IF(IFERROR(SEARCH("임차",E251),0)&gt;0,"임차·시설",IF(IFERROR(SEARCH("광고",E251),0)&gt;0,"광고·행사",IF(IFERROR(SEARCH("용역",E251),0)&gt;0,"용역·수수료","기타/불명"))))))</x:f>
      </x:c>
      <x:c r="J251" s="77" t="str">
        <x:f>IF(A251="","",IF(I251="기타/불명","확인 필요","결의서명으로 1차 확인"))</x:f>
      </x:c>
      <x:c r="K251" s="78"/>
    </x:row>
    <x:row r="252">
      <x:c r="A252" s="73"/>
      <x:c r="B252" s="73"/>
      <x:c r="C252" s="74"/>
      <x:c r="D252" s="73"/>
      <x:c r="E252" s="73"/>
      <x:c r="F252" s="75"/>
      <x:c r="G252" s="75"/>
      <x:c r="H252" s="76" t="str">
        <x:f>IF(A252="","",F252-G252)</x:f>
      </x:c>
      <x:c r="I252" s="77" t="str">
        <x:f>IF(A252="","",IF(E252="","기타/불명",IF(IFERROR(SEARCH("급여",E252),0)&gt;0,"인건비",IF(IFERROR(SEARCH("임차",E252),0)&gt;0,"임차·시설",IF(IFERROR(SEARCH("광고",E252),0)&gt;0,"광고·행사",IF(IFERROR(SEARCH("용역",E252),0)&gt;0,"용역·수수료","기타/불명"))))))</x:f>
      </x:c>
      <x:c r="J252" s="77" t="str">
        <x:f>IF(A252="","",IF(I252="기타/불명","확인 필요","결의서명으로 1차 확인"))</x:f>
      </x:c>
      <x:c r="K252" s="78"/>
    </x:row>
    <x:row r="253">
      <x:c r="A253" s="73"/>
      <x:c r="B253" s="73"/>
      <x:c r="C253" s="74"/>
      <x:c r="D253" s="73"/>
      <x:c r="E253" s="73"/>
      <x:c r="F253" s="75"/>
      <x:c r="G253" s="75"/>
      <x:c r="H253" s="76" t="str">
        <x:f>IF(A253="","",F253-G253)</x:f>
      </x:c>
      <x:c r="I253" s="77" t="str">
        <x:f>IF(A253="","",IF(E253="","기타/불명",IF(IFERROR(SEARCH("급여",E253),0)&gt;0,"인건비",IF(IFERROR(SEARCH("임차",E253),0)&gt;0,"임차·시설",IF(IFERROR(SEARCH("광고",E253),0)&gt;0,"광고·행사",IF(IFERROR(SEARCH("용역",E253),0)&gt;0,"용역·수수료","기타/불명"))))))</x:f>
      </x:c>
      <x:c r="J253" s="77" t="str">
        <x:f>IF(A253="","",IF(I253="기타/불명","확인 필요","결의서명으로 1차 확인"))</x:f>
      </x:c>
      <x:c r="K253" s="78"/>
    </x:row>
    <x:row r="254">
      <x:c r="A254" s="73"/>
      <x:c r="B254" s="73"/>
      <x:c r="C254" s="74"/>
      <x:c r="D254" s="73"/>
      <x:c r="E254" s="73"/>
      <x:c r="F254" s="75"/>
      <x:c r="G254" s="75"/>
      <x:c r="H254" s="76" t="str">
        <x:f>IF(A254="","",F254-G254)</x:f>
      </x:c>
      <x:c r="I254" s="77" t="str">
        <x:f>IF(A254="","",IF(E254="","기타/불명",IF(IFERROR(SEARCH("급여",E254),0)&gt;0,"인건비",IF(IFERROR(SEARCH("임차",E254),0)&gt;0,"임차·시설",IF(IFERROR(SEARCH("광고",E254),0)&gt;0,"광고·행사",IF(IFERROR(SEARCH("용역",E254),0)&gt;0,"용역·수수료","기타/불명"))))))</x:f>
      </x:c>
      <x:c r="J254" s="77" t="str">
        <x:f>IF(A254="","",IF(I254="기타/불명","확인 필요","결의서명으로 1차 확인"))</x:f>
      </x:c>
      <x:c r="K254" s="78"/>
    </x:row>
    <x:row r="255">
      <x:c r="A255" s="73"/>
      <x:c r="B255" s="73"/>
      <x:c r="C255" s="74"/>
      <x:c r="D255" s="73"/>
      <x:c r="E255" s="73"/>
      <x:c r="F255" s="75"/>
      <x:c r="G255" s="75"/>
      <x:c r="H255" s="76" t="str">
        <x:f>IF(A255="","",F255-G255)</x:f>
      </x:c>
      <x:c r="I255" s="77" t="str">
        <x:f>IF(A255="","",IF(E255="","기타/불명",IF(IFERROR(SEARCH("급여",E255),0)&gt;0,"인건비",IF(IFERROR(SEARCH("임차",E255),0)&gt;0,"임차·시설",IF(IFERROR(SEARCH("광고",E255),0)&gt;0,"광고·행사",IF(IFERROR(SEARCH("용역",E255),0)&gt;0,"용역·수수료","기타/불명"))))))</x:f>
      </x:c>
      <x:c r="J255" s="77" t="str">
        <x:f>IF(A255="","",IF(I255="기타/불명","확인 필요","결의서명으로 1차 확인"))</x:f>
      </x:c>
      <x:c r="K255" s="78"/>
    </x:row>
    <x:row r="256">
      <x:c r="A256" s="73"/>
      <x:c r="B256" s="73"/>
      <x:c r="C256" s="74"/>
      <x:c r="D256" s="73"/>
      <x:c r="E256" s="73"/>
      <x:c r="F256" s="75"/>
      <x:c r="G256" s="75"/>
      <x:c r="H256" s="76" t="str">
        <x:f>IF(A256="","",F256-G256)</x:f>
      </x:c>
      <x:c r="I256" s="77" t="str">
        <x:f>IF(A256="","",IF(E256="","기타/불명",IF(IFERROR(SEARCH("급여",E256),0)&gt;0,"인건비",IF(IFERROR(SEARCH("임차",E256),0)&gt;0,"임차·시설",IF(IFERROR(SEARCH("광고",E256),0)&gt;0,"광고·행사",IF(IFERROR(SEARCH("용역",E256),0)&gt;0,"용역·수수료","기타/불명"))))))</x:f>
      </x:c>
      <x:c r="J256" s="77" t="str">
        <x:f>IF(A256="","",IF(I256="기타/불명","확인 필요","결의서명으로 1차 확인"))</x:f>
      </x:c>
      <x:c r="K256" s="78"/>
    </x:row>
    <x:row r="257">
      <x:c r="A257" s="73"/>
      <x:c r="B257" s="73"/>
      <x:c r="C257" s="74"/>
      <x:c r="D257" s="73"/>
      <x:c r="E257" s="73"/>
      <x:c r="F257" s="75"/>
      <x:c r="G257" s="75"/>
      <x:c r="H257" s="76" t="str">
        <x:f>IF(A257="","",F257-G257)</x:f>
      </x:c>
      <x:c r="I257" s="77" t="str">
        <x:f>IF(A257="","",IF(E257="","기타/불명",IF(IFERROR(SEARCH("급여",E257),0)&gt;0,"인건비",IF(IFERROR(SEARCH("임차",E257),0)&gt;0,"임차·시설",IF(IFERROR(SEARCH("광고",E257),0)&gt;0,"광고·행사",IF(IFERROR(SEARCH("용역",E257),0)&gt;0,"용역·수수료","기타/불명"))))))</x:f>
      </x:c>
      <x:c r="J257" s="77" t="str">
        <x:f>IF(A257="","",IF(I257="기타/불명","확인 필요","결의서명으로 1차 확인"))</x:f>
      </x:c>
      <x:c r="K257" s="78"/>
    </x:row>
    <x:row r="258">
      <x:c r="A258" s="73"/>
      <x:c r="B258" s="73"/>
      <x:c r="C258" s="74"/>
      <x:c r="D258" s="73"/>
      <x:c r="E258" s="73"/>
      <x:c r="F258" s="75"/>
      <x:c r="G258" s="75"/>
      <x:c r="H258" s="76" t="str">
        <x:f>IF(A258="","",F258-G258)</x:f>
      </x:c>
      <x:c r="I258" s="77" t="str">
        <x:f>IF(A258="","",IF(E258="","기타/불명",IF(IFERROR(SEARCH("급여",E258),0)&gt;0,"인건비",IF(IFERROR(SEARCH("임차",E258),0)&gt;0,"임차·시설",IF(IFERROR(SEARCH("광고",E258),0)&gt;0,"광고·행사",IF(IFERROR(SEARCH("용역",E258),0)&gt;0,"용역·수수료","기타/불명"))))))</x:f>
      </x:c>
      <x:c r="J258" s="77" t="str">
        <x:f>IF(A258="","",IF(I258="기타/불명","확인 필요","결의서명으로 1차 확인"))</x:f>
      </x:c>
      <x:c r="K258" s="78"/>
    </x:row>
    <x:row r="259">
      <x:c r="A259" s="73"/>
      <x:c r="B259" s="73"/>
      <x:c r="C259" s="74"/>
      <x:c r="D259" s="73"/>
      <x:c r="E259" s="73"/>
      <x:c r="F259" s="75"/>
      <x:c r="G259" s="75"/>
      <x:c r="H259" s="76" t="str">
        <x:f>IF(A259="","",F259-G259)</x:f>
      </x:c>
      <x:c r="I259" s="77" t="str">
        <x:f>IF(A259="","",IF(E259="","기타/불명",IF(IFERROR(SEARCH("급여",E259),0)&gt;0,"인건비",IF(IFERROR(SEARCH("임차",E259),0)&gt;0,"임차·시설",IF(IFERROR(SEARCH("광고",E259),0)&gt;0,"광고·행사",IF(IFERROR(SEARCH("용역",E259),0)&gt;0,"용역·수수료","기타/불명"))))))</x:f>
      </x:c>
      <x:c r="J259" s="77" t="str">
        <x:f>IF(A259="","",IF(I259="기타/불명","확인 필요","결의서명으로 1차 확인"))</x:f>
      </x:c>
      <x:c r="K259" s="78"/>
    </x:row>
    <x:row r="260">
      <x:c r="A260" s="73"/>
      <x:c r="B260" s="73"/>
      <x:c r="C260" s="74"/>
      <x:c r="D260" s="73"/>
      <x:c r="E260" s="73"/>
      <x:c r="F260" s="75"/>
      <x:c r="G260" s="75"/>
      <x:c r="H260" s="76" t="str">
        <x:f>IF(A260="","",F260-G260)</x:f>
      </x:c>
      <x:c r="I260" s="77" t="str">
        <x:f>IF(A260="","",IF(E260="","기타/불명",IF(IFERROR(SEARCH("급여",E260),0)&gt;0,"인건비",IF(IFERROR(SEARCH("임차",E260),0)&gt;0,"임차·시설",IF(IFERROR(SEARCH("광고",E260),0)&gt;0,"광고·행사",IF(IFERROR(SEARCH("용역",E260),0)&gt;0,"용역·수수료","기타/불명"))))))</x:f>
      </x:c>
      <x:c r="J260" s="77" t="str">
        <x:f>IF(A260="","",IF(I260="기타/불명","확인 필요","결의서명으로 1차 확인"))</x:f>
      </x:c>
      <x:c r="K260" s="78"/>
    </x:row>
    <x:row r="261">
      <x:c r="A261" s="73"/>
      <x:c r="B261" s="73"/>
      <x:c r="C261" s="74"/>
      <x:c r="D261" s="73"/>
      <x:c r="E261" s="73"/>
      <x:c r="F261" s="75"/>
      <x:c r="G261" s="75"/>
      <x:c r="H261" s="76" t="str">
        <x:f>IF(A261="","",F261-G261)</x:f>
      </x:c>
      <x:c r="I261" s="77" t="str">
        <x:f>IF(A261="","",IF(E261="","기타/불명",IF(IFERROR(SEARCH("급여",E261),0)&gt;0,"인건비",IF(IFERROR(SEARCH("임차",E261),0)&gt;0,"임차·시설",IF(IFERROR(SEARCH("광고",E261),0)&gt;0,"광고·행사",IF(IFERROR(SEARCH("용역",E261),0)&gt;0,"용역·수수료","기타/불명"))))))</x:f>
      </x:c>
      <x:c r="J261" s="77" t="str">
        <x:f>IF(A261="","",IF(I261="기타/불명","확인 필요","결의서명으로 1차 확인"))</x:f>
      </x:c>
      <x:c r="K261" s="78"/>
    </x:row>
    <x:row r="262">
      <x:c r="A262" s="73"/>
      <x:c r="B262" s="73"/>
      <x:c r="C262" s="74"/>
      <x:c r="D262" s="73"/>
      <x:c r="E262" s="73"/>
      <x:c r="F262" s="75"/>
      <x:c r="G262" s="75"/>
      <x:c r="H262" s="76" t="str">
        <x:f>IF(A262="","",F262-G262)</x:f>
      </x:c>
      <x:c r="I262" s="77" t="str">
        <x:f>IF(A262="","",IF(E262="","기타/불명",IF(IFERROR(SEARCH("급여",E262),0)&gt;0,"인건비",IF(IFERROR(SEARCH("임차",E262),0)&gt;0,"임차·시설",IF(IFERROR(SEARCH("광고",E262),0)&gt;0,"광고·행사",IF(IFERROR(SEARCH("용역",E262),0)&gt;0,"용역·수수료","기타/불명"))))))</x:f>
      </x:c>
      <x:c r="J262" s="77" t="str">
        <x:f>IF(A262="","",IF(I262="기타/불명","확인 필요","결의서명으로 1차 확인"))</x:f>
      </x:c>
      <x:c r="K262" s="78"/>
    </x:row>
    <x:row r="263">
      <x:c r="A263" s="73"/>
      <x:c r="B263" s="73"/>
      <x:c r="C263" s="74"/>
      <x:c r="D263" s="73"/>
      <x:c r="E263" s="73"/>
      <x:c r="F263" s="75"/>
      <x:c r="G263" s="75"/>
      <x:c r="H263" s="76" t="str">
        <x:f>IF(A263="","",F263-G263)</x:f>
      </x:c>
      <x:c r="I263" s="77" t="str">
        <x:f>IF(A263="","",IF(E263="","기타/불명",IF(IFERROR(SEARCH("급여",E263),0)&gt;0,"인건비",IF(IFERROR(SEARCH("임차",E263),0)&gt;0,"임차·시설",IF(IFERROR(SEARCH("광고",E263),0)&gt;0,"광고·행사",IF(IFERROR(SEARCH("용역",E263),0)&gt;0,"용역·수수료","기타/불명"))))))</x:f>
      </x:c>
      <x:c r="J263" s="77" t="str">
        <x:f>IF(A263="","",IF(I263="기타/불명","확인 필요","결의서명으로 1차 확인"))</x:f>
      </x:c>
      <x:c r="K263" s="78"/>
    </x:row>
    <x:row r="264">
      <x:c r="A264" s="73"/>
      <x:c r="B264" s="73"/>
      <x:c r="C264" s="74"/>
      <x:c r="D264" s="73"/>
      <x:c r="E264" s="73"/>
      <x:c r="F264" s="75"/>
      <x:c r="G264" s="75"/>
      <x:c r="H264" s="76" t="str">
        <x:f>IF(A264="","",F264-G264)</x:f>
      </x:c>
      <x:c r="I264" s="77" t="str">
        <x:f>IF(A264="","",IF(E264="","기타/불명",IF(IFERROR(SEARCH("급여",E264),0)&gt;0,"인건비",IF(IFERROR(SEARCH("임차",E264),0)&gt;0,"임차·시설",IF(IFERROR(SEARCH("광고",E264),0)&gt;0,"광고·행사",IF(IFERROR(SEARCH("용역",E264),0)&gt;0,"용역·수수료","기타/불명"))))))</x:f>
      </x:c>
      <x:c r="J264" s="77" t="str">
        <x:f>IF(A264="","",IF(I264="기타/불명","확인 필요","결의서명으로 1차 확인"))</x:f>
      </x:c>
      <x:c r="K264" s="78"/>
    </x:row>
    <x:row r="265">
      <x:c r="A265" s="73"/>
      <x:c r="B265" s="73"/>
      <x:c r="C265" s="74"/>
      <x:c r="D265" s="73"/>
      <x:c r="E265" s="73"/>
      <x:c r="F265" s="75"/>
      <x:c r="G265" s="75"/>
      <x:c r="H265" s="76" t="str">
        <x:f>IF(A265="","",F265-G265)</x:f>
      </x:c>
      <x:c r="I265" s="77" t="str">
        <x:f>IF(A265="","",IF(E265="","기타/불명",IF(IFERROR(SEARCH("급여",E265),0)&gt;0,"인건비",IF(IFERROR(SEARCH("임차",E265),0)&gt;0,"임차·시설",IF(IFERROR(SEARCH("광고",E265),0)&gt;0,"광고·행사",IF(IFERROR(SEARCH("용역",E265),0)&gt;0,"용역·수수료","기타/불명"))))))</x:f>
      </x:c>
      <x:c r="J265" s="77" t="str">
        <x:f>IF(A265="","",IF(I265="기타/불명","확인 필요","결의서명으로 1차 확인"))</x:f>
      </x:c>
      <x:c r="K265" s="78"/>
    </x:row>
    <x:row r="266">
      <x:c r="A266" s="73"/>
      <x:c r="B266" s="73"/>
      <x:c r="C266" s="74"/>
      <x:c r="D266" s="73"/>
      <x:c r="E266" s="73"/>
      <x:c r="F266" s="75"/>
      <x:c r="G266" s="75"/>
      <x:c r="H266" s="76" t="str">
        <x:f>IF(A266="","",F266-G266)</x:f>
      </x:c>
      <x:c r="I266" s="77" t="str">
        <x:f>IF(A266="","",IF(E266="","기타/불명",IF(IFERROR(SEARCH("급여",E266),0)&gt;0,"인건비",IF(IFERROR(SEARCH("임차",E266),0)&gt;0,"임차·시설",IF(IFERROR(SEARCH("광고",E266),0)&gt;0,"광고·행사",IF(IFERROR(SEARCH("용역",E266),0)&gt;0,"용역·수수료","기타/불명"))))))</x:f>
      </x:c>
      <x:c r="J266" s="77" t="str">
        <x:f>IF(A266="","",IF(I266="기타/불명","확인 필요","결의서명으로 1차 확인"))</x:f>
      </x:c>
      <x:c r="K266" s="78"/>
    </x:row>
    <x:row r="267">
      <x:c r="A267" s="73"/>
      <x:c r="B267" s="73"/>
      <x:c r="C267" s="74"/>
      <x:c r="D267" s="73"/>
      <x:c r="E267" s="73"/>
      <x:c r="F267" s="75"/>
      <x:c r="G267" s="75"/>
      <x:c r="H267" s="76" t="str">
        <x:f>IF(A267="","",F267-G267)</x:f>
      </x:c>
      <x:c r="I267" s="77" t="str">
        <x:f>IF(A267="","",IF(E267="","기타/불명",IF(IFERROR(SEARCH("급여",E267),0)&gt;0,"인건비",IF(IFERROR(SEARCH("임차",E267),0)&gt;0,"임차·시설",IF(IFERROR(SEARCH("광고",E267),0)&gt;0,"광고·행사",IF(IFERROR(SEARCH("용역",E267),0)&gt;0,"용역·수수료","기타/불명"))))))</x:f>
      </x:c>
      <x:c r="J267" s="77" t="str">
        <x:f>IF(A267="","",IF(I267="기타/불명","확인 필요","결의서명으로 1차 확인"))</x:f>
      </x:c>
      <x:c r="K267" s="78"/>
    </x:row>
    <x:row r="268">
      <x:c r="A268" s="73"/>
      <x:c r="B268" s="73"/>
      <x:c r="C268" s="74"/>
      <x:c r="D268" s="73"/>
      <x:c r="E268" s="73"/>
      <x:c r="F268" s="75"/>
      <x:c r="G268" s="75"/>
      <x:c r="H268" s="76" t="str">
        <x:f>IF(A268="","",F268-G268)</x:f>
      </x:c>
      <x:c r="I268" s="77" t="str">
        <x:f>IF(A268="","",IF(E268="","기타/불명",IF(IFERROR(SEARCH("급여",E268),0)&gt;0,"인건비",IF(IFERROR(SEARCH("임차",E268),0)&gt;0,"임차·시설",IF(IFERROR(SEARCH("광고",E268),0)&gt;0,"광고·행사",IF(IFERROR(SEARCH("용역",E268),0)&gt;0,"용역·수수료","기타/불명"))))))</x:f>
      </x:c>
      <x:c r="J268" s="77" t="str">
        <x:f>IF(A268="","",IF(I268="기타/불명","확인 필요","결의서명으로 1차 확인"))</x:f>
      </x:c>
      <x:c r="K268" s="78"/>
    </x:row>
    <x:row r="269">
      <x:c r="A269" s="73"/>
      <x:c r="B269" s="73"/>
      <x:c r="C269" s="74"/>
      <x:c r="D269" s="73"/>
      <x:c r="E269" s="73"/>
      <x:c r="F269" s="75"/>
      <x:c r="G269" s="75"/>
      <x:c r="H269" s="76" t="str">
        <x:f>IF(A269="","",F269-G269)</x:f>
      </x:c>
      <x:c r="I269" s="77" t="str">
        <x:f>IF(A269="","",IF(E269="","기타/불명",IF(IFERROR(SEARCH("급여",E269),0)&gt;0,"인건비",IF(IFERROR(SEARCH("임차",E269),0)&gt;0,"임차·시설",IF(IFERROR(SEARCH("광고",E269),0)&gt;0,"광고·행사",IF(IFERROR(SEARCH("용역",E269),0)&gt;0,"용역·수수료","기타/불명"))))))</x:f>
      </x:c>
      <x:c r="J269" s="77" t="str">
        <x:f>IF(A269="","",IF(I269="기타/불명","확인 필요","결의서명으로 1차 확인"))</x:f>
      </x:c>
      <x:c r="K269" s="78"/>
    </x:row>
    <x:row r="270">
      <x:c r="A270" s="73"/>
      <x:c r="B270" s="73"/>
      <x:c r="C270" s="74"/>
      <x:c r="D270" s="73"/>
      <x:c r="E270" s="73"/>
      <x:c r="F270" s="75"/>
      <x:c r="G270" s="75"/>
      <x:c r="H270" s="76" t="str">
        <x:f>IF(A270="","",F270-G270)</x:f>
      </x:c>
      <x:c r="I270" s="77" t="str">
        <x:f>IF(A270="","",IF(E270="","기타/불명",IF(IFERROR(SEARCH("급여",E270),0)&gt;0,"인건비",IF(IFERROR(SEARCH("임차",E270),0)&gt;0,"임차·시설",IF(IFERROR(SEARCH("광고",E270),0)&gt;0,"광고·행사",IF(IFERROR(SEARCH("용역",E270),0)&gt;0,"용역·수수료","기타/불명"))))))</x:f>
      </x:c>
      <x:c r="J270" s="77" t="str">
        <x:f>IF(A270="","",IF(I270="기타/불명","확인 필요","결의서명으로 1차 확인"))</x:f>
      </x:c>
      <x:c r="K270" s="78"/>
    </x:row>
    <x:row r="271">
      <x:c r="A271" s="73"/>
      <x:c r="B271" s="73"/>
      <x:c r="C271" s="74"/>
      <x:c r="D271" s="73"/>
      <x:c r="E271" s="73"/>
      <x:c r="F271" s="75"/>
      <x:c r="G271" s="75"/>
      <x:c r="H271" s="76" t="str">
        <x:f>IF(A271="","",F271-G271)</x:f>
      </x:c>
      <x:c r="I271" s="77" t="str">
        <x:f>IF(A271="","",IF(E271="","기타/불명",IF(IFERROR(SEARCH("급여",E271),0)&gt;0,"인건비",IF(IFERROR(SEARCH("임차",E271),0)&gt;0,"임차·시설",IF(IFERROR(SEARCH("광고",E271),0)&gt;0,"광고·행사",IF(IFERROR(SEARCH("용역",E271),0)&gt;0,"용역·수수료","기타/불명"))))))</x:f>
      </x:c>
      <x:c r="J271" s="77" t="str">
        <x:f>IF(A271="","",IF(I271="기타/불명","확인 필요","결의서명으로 1차 확인"))</x:f>
      </x:c>
      <x:c r="K271" s="78"/>
    </x:row>
    <x:row r="272">
      <x:c r="A272" s="73"/>
      <x:c r="B272" s="73"/>
      <x:c r="C272" s="74"/>
      <x:c r="D272" s="73"/>
      <x:c r="E272" s="73"/>
      <x:c r="F272" s="75"/>
      <x:c r="G272" s="75"/>
      <x:c r="H272" s="76" t="str">
        <x:f>IF(A272="","",F272-G272)</x:f>
      </x:c>
      <x:c r="I272" s="77" t="str">
        <x:f>IF(A272="","",IF(E272="","기타/불명",IF(IFERROR(SEARCH("급여",E272),0)&gt;0,"인건비",IF(IFERROR(SEARCH("임차",E272),0)&gt;0,"임차·시설",IF(IFERROR(SEARCH("광고",E272),0)&gt;0,"광고·행사",IF(IFERROR(SEARCH("용역",E272),0)&gt;0,"용역·수수료","기타/불명"))))))</x:f>
      </x:c>
      <x:c r="J272" s="77" t="str">
        <x:f>IF(A272="","",IF(I272="기타/불명","확인 필요","결의서명으로 1차 확인"))</x:f>
      </x:c>
      <x:c r="K272" s="78"/>
    </x:row>
    <x:row r="273">
      <x:c r="A273" s="73"/>
      <x:c r="B273" s="73"/>
      <x:c r="C273" s="74"/>
      <x:c r="D273" s="73"/>
      <x:c r="E273" s="73"/>
      <x:c r="F273" s="75"/>
      <x:c r="G273" s="75"/>
      <x:c r="H273" s="76" t="str">
        <x:f>IF(A273="","",F273-G273)</x:f>
      </x:c>
      <x:c r="I273" s="77" t="str">
        <x:f>IF(A273="","",IF(E273="","기타/불명",IF(IFERROR(SEARCH("급여",E273),0)&gt;0,"인건비",IF(IFERROR(SEARCH("임차",E273),0)&gt;0,"임차·시설",IF(IFERROR(SEARCH("광고",E273),0)&gt;0,"광고·행사",IF(IFERROR(SEARCH("용역",E273),0)&gt;0,"용역·수수료","기타/불명"))))))</x:f>
      </x:c>
      <x:c r="J273" s="77" t="str">
        <x:f>IF(A273="","",IF(I273="기타/불명","확인 필요","결의서명으로 1차 확인"))</x:f>
      </x:c>
      <x:c r="K273" s="78"/>
    </x:row>
    <x:row r="274">
      <x:c r="A274" s="73"/>
      <x:c r="B274" s="73"/>
      <x:c r="C274" s="74"/>
      <x:c r="D274" s="73"/>
      <x:c r="E274" s="73"/>
      <x:c r="F274" s="75"/>
      <x:c r="G274" s="75"/>
      <x:c r="H274" s="76" t="str">
        <x:f>IF(A274="","",F274-G274)</x:f>
      </x:c>
      <x:c r="I274" s="77" t="str">
        <x:f>IF(A274="","",IF(E274="","기타/불명",IF(IFERROR(SEARCH("급여",E274),0)&gt;0,"인건비",IF(IFERROR(SEARCH("임차",E274),0)&gt;0,"임차·시설",IF(IFERROR(SEARCH("광고",E274),0)&gt;0,"광고·행사",IF(IFERROR(SEARCH("용역",E274),0)&gt;0,"용역·수수료","기타/불명"))))))</x:f>
      </x:c>
      <x:c r="J274" s="77" t="str">
        <x:f>IF(A274="","",IF(I274="기타/불명","확인 필요","결의서명으로 1차 확인"))</x:f>
      </x:c>
      <x:c r="K274" s="78"/>
    </x:row>
    <x:row r="275">
      <x:c r="A275" s="73"/>
      <x:c r="B275" s="73"/>
      <x:c r="C275" s="74"/>
      <x:c r="D275" s="73"/>
      <x:c r="E275" s="73"/>
      <x:c r="F275" s="75"/>
      <x:c r="G275" s="75"/>
      <x:c r="H275" s="76" t="str">
        <x:f>IF(A275="","",F275-G275)</x:f>
      </x:c>
      <x:c r="I275" s="77" t="str">
        <x:f>IF(A275="","",IF(E275="","기타/불명",IF(IFERROR(SEARCH("급여",E275),0)&gt;0,"인건비",IF(IFERROR(SEARCH("임차",E275),0)&gt;0,"임차·시설",IF(IFERROR(SEARCH("광고",E275),0)&gt;0,"광고·행사",IF(IFERROR(SEARCH("용역",E275),0)&gt;0,"용역·수수료","기타/불명"))))))</x:f>
      </x:c>
      <x:c r="J275" s="77" t="str">
        <x:f>IF(A275="","",IF(I275="기타/불명","확인 필요","결의서명으로 1차 확인"))</x:f>
      </x:c>
      <x:c r="K275" s="78"/>
    </x:row>
    <x:row r="276">
      <x:c r="A276" s="73"/>
      <x:c r="B276" s="73"/>
      <x:c r="C276" s="74"/>
      <x:c r="D276" s="73"/>
      <x:c r="E276" s="73"/>
      <x:c r="F276" s="75"/>
      <x:c r="G276" s="75"/>
      <x:c r="H276" s="76" t="str">
        <x:f>IF(A276="","",F276-G276)</x:f>
      </x:c>
      <x:c r="I276" s="77" t="str">
        <x:f>IF(A276="","",IF(E276="","기타/불명",IF(IFERROR(SEARCH("급여",E276),0)&gt;0,"인건비",IF(IFERROR(SEARCH("임차",E276),0)&gt;0,"임차·시설",IF(IFERROR(SEARCH("광고",E276),0)&gt;0,"광고·행사",IF(IFERROR(SEARCH("용역",E276),0)&gt;0,"용역·수수료","기타/불명"))))))</x:f>
      </x:c>
      <x:c r="J276" s="77" t="str">
        <x:f>IF(A276="","",IF(I276="기타/불명","확인 필요","결의서명으로 1차 확인"))</x:f>
      </x:c>
      <x:c r="K276" s="78"/>
    </x:row>
    <x:row r="277">
      <x:c r="A277" s="73"/>
      <x:c r="B277" s="73"/>
      <x:c r="C277" s="74"/>
      <x:c r="D277" s="73"/>
      <x:c r="E277" s="73"/>
      <x:c r="F277" s="75"/>
      <x:c r="G277" s="75"/>
      <x:c r="H277" s="76" t="str">
        <x:f>IF(A277="","",F277-G277)</x:f>
      </x:c>
      <x:c r="I277" s="77" t="str">
        <x:f>IF(A277="","",IF(E277="","기타/불명",IF(IFERROR(SEARCH("급여",E277),0)&gt;0,"인건비",IF(IFERROR(SEARCH("임차",E277),0)&gt;0,"임차·시설",IF(IFERROR(SEARCH("광고",E277),0)&gt;0,"광고·행사",IF(IFERROR(SEARCH("용역",E277),0)&gt;0,"용역·수수료","기타/불명"))))))</x:f>
      </x:c>
      <x:c r="J277" s="77" t="str">
        <x:f>IF(A277="","",IF(I277="기타/불명","확인 필요","결의서명으로 1차 확인"))</x:f>
      </x:c>
      <x:c r="K277" s="78"/>
    </x:row>
    <x:row r="278">
      <x:c r="A278" s="73"/>
      <x:c r="B278" s="73"/>
      <x:c r="C278" s="74"/>
      <x:c r="D278" s="73"/>
      <x:c r="E278" s="73"/>
      <x:c r="F278" s="75"/>
      <x:c r="G278" s="75"/>
      <x:c r="H278" s="76" t="str">
        <x:f>IF(A278="","",F278-G278)</x:f>
      </x:c>
      <x:c r="I278" s="77" t="str">
        <x:f>IF(A278="","",IF(E278="","기타/불명",IF(IFERROR(SEARCH("급여",E278),0)&gt;0,"인건비",IF(IFERROR(SEARCH("임차",E278),0)&gt;0,"임차·시설",IF(IFERROR(SEARCH("광고",E278),0)&gt;0,"광고·행사",IF(IFERROR(SEARCH("용역",E278),0)&gt;0,"용역·수수료","기타/불명"))))))</x:f>
      </x:c>
      <x:c r="J278" s="77" t="str">
        <x:f>IF(A278="","",IF(I278="기타/불명","확인 필요","결의서명으로 1차 확인"))</x:f>
      </x:c>
      <x:c r="K278" s="78"/>
    </x:row>
    <x:row r="279">
      <x:c r="A279" s="73"/>
      <x:c r="B279" s="73"/>
      <x:c r="C279" s="74"/>
      <x:c r="D279" s="73"/>
      <x:c r="E279" s="73"/>
      <x:c r="F279" s="75"/>
      <x:c r="G279" s="75"/>
      <x:c r="H279" s="76" t="str">
        <x:f>IF(A279="","",F279-G279)</x:f>
      </x:c>
      <x:c r="I279" s="77" t="str">
        <x:f>IF(A279="","",IF(E279="","기타/불명",IF(IFERROR(SEARCH("급여",E279),0)&gt;0,"인건비",IF(IFERROR(SEARCH("임차",E279),0)&gt;0,"임차·시설",IF(IFERROR(SEARCH("광고",E279),0)&gt;0,"광고·행사",IF(IFERROR(SEARCH("용역",E279),0)&gt;0,"용역·수수료","기타/불명"))))))</x:f>
      </x:c>
      <x:c r="J279" s="77" t="str">
        <x:f>IF(A279="","",IF(I279="기타/불명","확인 필요","결의서명으로 1차 확인"))</x:f>
      </x:c>
      <x:c r="K279" s="78"/>
    </x:row>
    <x:row r="280">
      <x:c r="A280" s="73"/>
      <x:c r="B280" s="73"/>
      <x:c r="C280" s="74"/>
      <x:c r="D280" s="73"/>
      <x:c r="E280" s="73"/>
      <x:c r="F280" s="75"/>
      <x:c r="G280" s="75"/>
      <x:c r="H280" s="76" t="str">
        <x:f>IF(A280="","",F280-G280)</x:f>
      </x:c>
      <x:c r="I280" s="77" t="str">
        <x:f>IF(A280="","",IF(E280="","기타/불명",IF(IFERROR(SEARCH("급여",E280),0)&gt;0,"인건비",IF(IFERROR(SEARCH("임차",E280),0)&gt;0,"임차·시설",IF(IFERROR(SEARCH("광고",E280),0)&gt;0,"광고·행사",IF(IFERROR(SEARCH("용역",E280),0)&gt;0,"용역·수수료","기타/불명"))))))</x:f>
      </x:c>
      <x:c r="J280" s="77" t="str">
        <x:f>IF(A280="","",IF(I280="기타/불명","확인 필요","결의서명으로 1차 확인"))</x:f>
      </x:c>
      <x:c r="K280" s="78"/>
    </x:row>
    <x:row r="281">
      <x:c r="A281" s="73"/>
      <x:c r="B281" s="73"/>
      <x:c r="C281" s="74"/>
      <x:c r="D281" s="73"/>
      <x:c r="E281" s="73"/>
      <x:c r="F281" s="75"/>
      <x:c r="G281" s="75"/>
      <x:c r="H281" s="76" t="str">
        <x:f>IF(A281="","",F281-G281)</x:f>
      </x:c>
      <x:c r="I281" s="77" t="str">
        <x:f>IF(A281="","",IF(E281="","기타/불명",IF(IFERROR(SEARCH("급여",E281),0)&gt;0,"인건비",IF(IFERROR(SEARCH("임차",E281),0)&gt;0,"임차·시설",IF(IFERROR(SEARCH("광고",E281),0)&gt;0,"광고·행사",IF(IFERROR(SEARCH("용역",E281),0)&gt;0,"용역·수수료","기타/불명"))))))</x:f>
      </x:c>
      <x:c r="J281" s="77" t="str">
        <x:f>IF(A281="","",IF(I281="기타/불명","확인 필요","결의서명으로 1차 확인"))</x:f>
      </x:c>
      <x:c r="K281" s="78"/>
    </x:row>
    <x:row r="282">
      <x:c r="A282" s="73"/>
      <x:c r="B282" s="73"/>
      <x:c r="C282" s="74"/>
      <x:c r="D282" s="73"/>
      <x:c r="E282" s="73"/>
      <x:c r="F282" s="75"/>
      <x:c r="G282" s="75"/>
      <x:c r="H282" s="76" t="str">
        <x:f>IF(A282="","",F282-G282)</x:f>
      </x:c>
      <x:c r="I282" s="77" t="str">
        <x:f>IF(A282="","",IF(E282="","기타/불명",IF(IFERROR(SEARCH("급여",E282),0)&gt;0,"인건비",IF(IFERROR(SEARCH("임차",E282),0)&gt;0,"임차·시설",IF(IFERROR(SEARCH("광고",E282),0)&gt;0,"광고·행사",IF(IFERROR(SEARCH("용역",E282),0)&gt;0,"용역·수수료","기타/불명"))))))</x:f>
      </x:c>
      <x:c r="J282" s="77" t="str">
        <x:f>IF(A282="","",IF(I282="기타/불명","확인 필요","결의서명으로 1차 확인"))</x:f>
      </x:c>
      <x:c r="K282" s="78"/>
    </x:row>
    <x:row r="283">
      <x:c r="A283" s="73"/>
      <x:c r="B283" s="73"/>
      <x:c r="C283" s="74"/>
      <x:c r="D283" s="73"/>
      <x:c r="E283" s="73"/>
      <x:c r="F283" s="75"/>
      <x:c r="G283" s="75"/>
      <x:c r="H283" s="76" t="str">
        <x:f>IF(A283="","",F283-G283)</x:f>
      </x:c>
      <x:c r="I283" s="77" t="str">
        <x:f>IF(A283="","",IF(E283="","기타/불명",IF(IFERROR(SEARCH("급여",E283),0)&gt;0,"인건비",IF(IFERROR(SEARCH("임차",E283),0)&gt;0,"임차·시설",IF(IFERROR(SEARCH("광고",E283),0)&gt;0,"광고·행사",IF(IFERROR(SEARCH("용역",E283),0)&gt;0,"용역·수수료","기타/불명"))))))</x:f>
      </x:c>
      <x:c r="J283" s="77" t="str">
        <x:f>IF(A283="","",IF(I283="기타/불명","확인 필요","결의서명으로 1차 확인"))</x:f>
      </x:c>
      <x:c r="K283" s="78"/>
    </x:row>
    <x:row r="284">
      <x:c r="A284" s="73"/>
      <x:c r="B284" s="73"/>
      <x:c r="C284" s="74"/>
      <x:c r="D284" s="73"/>
      <x:c r="E284" s="73"/>
      <x:c r="F284" s="75"/>
      <x:c r="G284" s="75"/>
      <x:c r="H284" s="76" t="str">
        <x:f>IF(A284="","",F284-G284)</x:f>
      </x:c>
      <x:c r="I284" s="77" t="str">
        <x:f>IF(A284="","",IF(E284="","기타/불명",IF(IFERROR(SEARCH("급여",E284),0)&gt;0,"인건비",IF(IFERROR(SEARCH("임차",E284),0)&gt;0,"임차·시설",IF(IFERROR(SEARCH("광고",E284),0)&gt;0,"광고·행사",IF(IFERROR(SEARCH("용역",E284),0)&gt;0,"용역·수수료","기타/불명"))))))</x:f>
      </x:c>
      <x:c r="J284" s="77" t="str">
        <x:f>IF(A284="","",IF(I284="기타/불명","확인 필요","결의서명으로 1차 확인"))</x:f>
      </x:c>
      <x:c r="K284" s="78"/>
    </x:row>
    <x:row r="285">
      <x:c r="A285" s="73"/>
      <x:c r="B285" s="73"/>
      <x:c r="C285" s="74"/>
      <x:c r="D285" s="73"/>
      <x:c r="E285" s="73"/>
      <x:c r="F285" s="75"/>
      <x:c r="G285" s="75"/>
      <x:c r="H285" s="76" t="str">
        <x:f>IF(A285="","",F285-G285)</x:f>
      </x:c>
      <x:c r="I285" s="77" t="str">
        <x:f>IF(A285="","",IF(E285="","기타/불명",IF(IFERROR(SEARCH("급여",E285),0)&gt;0,"인건비",IF(IFERROR(SEARCH("임차",E285),0)&gt;0,"임차·시설",IF(IFERROR(SEARCH("광고",E285),0)&gt;0,"광고·행사",IF(IFERROR(SEARCH("용역",E285),0)&gt;0,"용역·수수료","기타/불명"))))))</x:f>
      </x:c>
      <x:c r="J285" s="77" t="str">
        <x:f>IF(A285="","",IF(I285="기타/불명","확인 필요","결의서명으로 1차 확인"))</x:f>
      </x:c>
      <x:c r="K285" s="78"/>
    </x:row>
    <x:row r="286">
      <x:c r="A286" s="73"/>
      <x:c r="B286" s="73"/>
      <x:c r="C286" s="74"/>
      <x:c r="D286" s="73"/>
      <x:c r="E286" s="73"/>
      <x:c r="F286" s="75"/>
      <x:c r="G286" s="75"/>
      <x:c r="H286" s="76" t="str">
        <x:f>IF(A286="","",F286-G286)</x:f>
      </x:c>
      <x:c r="I286" s="77" t="str">
        <x:f>IF(A286="","",IF(E286="","기타/불명",IF(IFERROR(SEARCH("급여",E286),0)&gt;0,"인건비",IF(IFERROR(SEARCH("임차",E286),0)&gt;0,"임차·시설",IF(IFERROR(SEARCH("광고",E286),0)&gt;0,"광고·행사",IF(IFERROR(SEARCH("용역",E286),0)&gt;0,"용역·수수료","기타/불명"))))))</x:f>
      </x:c>
      <x:c r="J286" s="77" t="str">
        <x:f>IF(A286="","",IF(I286="기타/불명","확인 필요","결의서명으로 1차 확인"))</x:f>
      </x:c>
      <x:c r="K286" s="78"/>
    </x:row>
    <x:row r="287">
      <x:c r="A287" s="73"/>
      <x:c r="B287" s="73"/>
      <x:c r="C287" s="74"/>
      <x:c r="D287" s="73"/>
      <x:c r="E287" s="73"/>
      <x:c r="F287" s="75"/>
      <x:c r="G287" s="75"/>
      <x:c r="H287" s="76" t="str">
        <x:f>IF(A287="","",F287-G287)</x:f>
      </x:c>
      <x:c r="I287" s="77" t="str">
        <x:f>IF(A287="","",IF(E287="","기타/불명",IF(IFERROR(SEARCH("급여",E287),0)&gt;0,"인건비",IF(IFERROR(SEARCH("임차",E287),0)&gt;0,"임차·시설",IF(IFERROR(SEARCH("광고",E287),0)&gt;0,"광고·행사",IF(IFERROR(SEARCH("용역",E287),0)&gt;0,"용역·수수료","기타/불명"))))))</x:f>
      </x:c>
      <x:c r="J287" s="77" t="str">
        <x:f>IF(A287="","",IF(I287="기타/불명","확인 필요","결의서명으로 1차 확인"))</x:f>
      </x:c>
      <x:c r="K287" s="78"/>
    </x:row>
    <x:row r="288">
      <x:c r="A288" s="73"/>
      <x:c r="B288" s="73"/>
      <x:c r="C288" s="74"/>
      <x:c r="D288" s="73"/>
      <x:c r="E288" s="73"/>
      <x:c r="F288" s="75"/>
      <x:c r="G288" s="75"/>
      <x:c r="H288" s="76" t="str">
        <x:f>IF(A288="","",F288-G288)</x:f>
      </x:c>
      <x:c r="I288" s="77" t="str">
        <x:f>IF(A288="","",IF(E288="","기타/불명",IF(IFERROR(SEARCH("급여",E288),0)&gt;0,"인건비",IF(IFERROR(SEARCH("임차",E288),0)&gt;0,"임차·시설",IF(IFERROR(SEARCH("광고",E288),0)&gt;0,"광고·행사",IF(IFERROR(SEARCH("용역",E288),0)&gt;0,"용역·수수료","기타/불명"))))))</x:f>
      </x:c>
      <x:c r="J288" s="77" t="str">
        <x:f>IF(A288="","",IF(I288="기타/불명","확인 필요","결의서명으로 1차 확인"))</x:f>
      </x:c>
      <x:c r="K288" s="78"/>
    </x:row>
    <x:row r="289">
      <x:c r="A289" s="73"/>
      <x:c r="B289" s="73"/>
      <x:c r="C289" s="74"/>
      <x:c r="D289" s="73"/>
      <x:c r="E289" s="73"/>
      <x:c r="F289" s="75"/>
      <x:c r="G289" s="75"/>
      <x:c r="H289" s="76" t="str">
        <x:f>IF(A289="","",F289-G289)</x:f>
      </x:c>
      <x:c r="I289" s="77" t="str">
        <x:f>IF(A289="","",IF(E289="","기타/불명",IF(IFERROR(SEARCH("급여",E289),0)&gt;0,"인건비",IF(IFERROR(SEARCH("임차",E289),0)&gt;0,"임차·시설",IF(IFERROR(SEARCH("광고",E289),0)&gt;0,"광고·행사",IF(IFERROR(SEARCH("용역",E289),0)&gt;0,"용역·수수료","기타/불명"))))))</x:f>
      </x:c>
      <x:c r="J289" s="77" t="str">
        <x:f>IF(A289="","",IF(I289="기타/불명","확인 필요","결의서명으로 1차 확인"))</x:f>
      </x:c>
      <x:c r="K289" s="78"/>
    </x:row>
    <x:row r="290">
      <x:c r="A290" s="73"/>
      <x:c r="B290" s="73"/>
      <x:c r="C290" s="74"/>
      <x:c r="D290" s="73"/>
      <x:c r="E290" s="73"/>
      <x:c r="F290" s="75"/>
      <x:c r="G290" s="75"/>
      <x:c r="H290" s="76" t="str">
        <x:f>IF(A290="","",F290-G290)</x:f>
      </x:c>
      <x:c r="I290" s="77" t="str">
        <x:f>IF(A290="","",IF(E290="","기타/불명",IF(IFERROR(SEARCH("급여",E290),0)&gt;0,"인건비",IF(IFERROR(SEARCH("임차",E290),0)&gt;0,"임차·시설",IF(IFERROR(SEARCH("광고",E290),0)&gt;0,"광고·행사",IF(IFERROR(SEARCH("용역",E290),0)&gt;0,"용역·수수료","기타/불명"))))))</x:f>
      </x:c>
      <x:c r="J290" s="77" t="str">
        <x:f>IF(A290="","",IF(I290="기타/불명","확인 필요","결의서명으로 1차 확인"))</x:f>
      </x:c>
      <x:c r="K290" s="78"/>
    </x:row>
    <x:row r="291">
      <x:c r="A291" s="73"/>
      <x:c r="B291" s="73"/>
      <x:c r="C291" s="74"/>
      <x:c r="D291" s="73"/>
      <x:c r="E291" s="73"/>
      <x:c r="F291" s="75"/>
      <x:c r="G291" s="75"/>
      <x:c r="H291" s="76" t="str">
        <x:f>IF(A291="","",F291-G291)</x:f>
      </x:c>
      <x:c r="I291" s="77" t="str">
        <x:f>IF(A291="","",IF(E291="","기타/불명",IF(IFERROR(SEARCH("급여",E291),0)&gt;0,"인건비",IF(IFERROR(SEARCH("임차",E291),0)&gt;0,"임차·시설",IF(IFERROR(SEARCH("광고",E291),0)&gt;0,"광고·행사",IF(IFERROR(SEARCH("용역",E291),0)&gt;0,"용역·수수료","기타/불명"))))))</x:f>
      </x:c>
      <x:c r="J291" s="77" t="str">
        <x:f>IF(A291="","",IF(I291="기타/불명","확인 필요","결의서명으로 1차 확인"))</x:f>
      </x:c>
      <x:c r="K291" s="78"/>
    </x:row>
    <x:row r="292">
      <x:c r="A292" s="73"/>
      <x:c r="B292" s="73"/>
      <x:c r="C292" s="74"/>
      <x:c r="D292" s="73"/>
      <x:c r="E292" s="73"/>
      <x:c r="F292" s="75"/>
      <x:c r="G292" s="75"/>
      <x:c r="H292" s="76" t="str">
        <x:f>IF(A292="","",F292-G292)</x:f>
      </x:c>
      <x:c r="I292" s="77" t="str">
        <x:f>IF(A292="","",IF(E292="","기타/불명",IF(IFERROR(SEARCH("급여",E292),0)&gt;0,"인건비",IF(IFERROR(SEARCH("임차",E292),0)&gt;0,"임차·시설",IF(IFERROR(SEARCH("광고",E292),0)&gt;0,"광고·행사",IF(IFERROR(SEARCH("용역",E292),0)&gt;0,"용역·수수료","기타/불명"))))))</x:f>
      </x:c>
      <x:c r="J292" s="77" t="str">
        <x:f>IF(A292="","",IF(I292="기타/불명","확인 필요","결의서명으로 1차 확인"))</x:f>
      </x:c>
      <x:c r="K292" s="78"/>
    </x:row>
    <x:row r="293">
      <x:c r="A293" s="73"/>
      <x:c r="B293" s="73"/>
      <x:c r="C293" s="74"/>
      <x:c r="D293" s="73"/>
      <x:c r="E293" s="73"/>
      <x:c r="F293" s="75"/>
      <x:c r="G293" s="75"/>
      <x:c r="H293" s="76" t="str">
        <x:f>IF(A293="","",F293-G293)</x:f>
      </x:c>
      <x:c r="I293" s="77" t="str">
        <x:f>IF(A293="","",IF(E293="","기타/불명",IF(IFERROR(SEARCH("급여",E293),0)&gt;0,"인건비",IF(IFERROR(SEARCH("임차",E293),0)&gt;0,"임차·시설",IF(IFERROR(SEARCH("광고",E293),0)&gt;0,"광고·행사",IF(IFERROR(SEARCH("용역",E293),0)&gt;0,"용역·수수료","기타/불명"))))))</x:f>
      </x:c>
      <x:c r="J293" s="77" t="str">
        <x:f>IF(A293="","",IF(I293="기타/불명","확인 필요","결의서명으로 1차 확인"))</x:f>
      </x:c>
      <x:c r="K293" s="78"/>
    </x:row>
    <x:row r="294">
      <x:c r="A294" s="73"/>
      <x:c r="B294" s="73"/>
      <x:c r="C294" s="74"/>
      <x:c r="D294" s="73"/>
      <x:c r="E294" s="73"/>
      <x:c r="F294" s="75"/>
      <x:c r="G294" s="75"/>
      <x:c r="H294" s="76" t="str">
        <x:f>IF(A294="","",F294-G294)</x:f>
      </x:c>
      <x:c r="I294" s="77" t="str">
        <x:f>IF(A294="","",IF(E294="","기타/불명",IF(IFERROR(SEARCH("급여",E294),0)&gt;0,"인건비",IF(IFERROR(SEARCH("임차",E294),0)&gt;0,"임차·시설",IF(IFERROR(SEARCH("광고",E294),0)&gt;0,"광고·행사",IF(IFERROR(SEARCH("용역",E294),0)&gt;0,"용역·수수료","기타/불명"))))))</x:f>
      </x:c>
      <x:c r="J294" s="77" t="str">
        <x:f>IF(A294="","",IF(I294="기타/불명","확인 필요","결의서명으로 1차 확인"))</x:f>
      </x:c>
      <x:c r="K294" s="78"/>
    </x:row>
    <x:row r="295">
      <x:c r="A295" s="73"/>
      <x:c r="B295" s="73"/>
      <x:c r="C295" s="74"/>
      <x:c r="D295" s="73"/>
      <x:c r="E295" s="73"/>
      <x:c r="F295" s="75"/>
      <x:c r="G295" s="75"/>
      <x:c r="H295" s="76" t="str">
        <x:f>IF(A295="","",F295-G295)</x:f>
      </x:c>
      <x:c r="I295" s="77" t="str">
        <x:f>IF(A295="","",IF(E295="","기타/불명",IF(IFERROR(SEARCH("급여",E295),0)&gt;0,"인건비",IF(IFERROR(SEARCH("임차",E295),0)&gt;0,"임차·시설",IF(IFERROR(SEARCH("광고",E295),0)&gt;0,"광고·행사",IF(IFERROR(SEARCH("용역",E295),0)&gt;0,"용역·수수료","기타/불명"))))))</x:f>
      </x:c>
      <x:c r="J295" s="77" t="str">
        <x:f>IF(A295="","",IF(I295="기타/불명","확인 필요","결의서명으로 1차 확인"))</x:f>
      </x:c>
      <x:c r="K295" s="78"/>
    </x:row>
    <x:row r="296">
      <x:c r="A296" s="73"/>
      <x:c r="B296" s="73"/>
      <x:c r="C296" s="74"/>
      <x:c r="D296" s="73"/>
      <x:c r="E296" s="73"/>
      <x:c r="F296" s="75"/>
      <x:c r="G296" s="75"/>
      <x:c r="H296" s="76" t="str">
        <x:f>IF(A296="","",F296-G296)</x:f>
      </x:c>
      <x:c r="I296" s="77" t="str">
        <x:f>IF(A296="","",IF(E296="","기타/불명",IF(IFERROR(SEARCH("급여",E296),0)&gt;0,"인건비",IF(IFERROR(SEARCH("임차",E296),0)&gt;0,"임차·시설",IF(IFERROR(SEARCH("광고",E296),0)&gt;0,"광고·행사",IF(IFERROR(SEARCH("용역",E296),0)&gt;0,"용역·수수료","기타/불명"))))))</x:f>
      </x:c>
      <x:c r="J296" s="77" t="str">
        <x:f>IF(A296="","",IF(I296="기타/불명","확인 필요","결의서명으로 1차 확인"))</x:f>
      </x:c>
      <x:c r="K296" s="78"/>
    </x:row>
    <x:row r="297">
      <x:c r="A297" s="73"/>
      <x:c r="B297" s="73"/>
      <x:c r="C297" s="74"/>
      <x:c r="D297" s="73"/>
      <x:c r="E297" s="73"/>
      <x:c r="F297" s="75"/>
      <x:c r="G297" s="75"/>
      <x:c r="H297" s="76" t="str">
        <x:f>IF(A297="","",F297-G297)</x:f>
      </x:c>
      <x:c r="I297" s="77" t="str">
        <x:f>IF(A297="","",IF(E297="","기타/불명",IF(IFERROR(SEARCH("급여",E297),0)&gt;0,"인건비",IF(IFERROR(SEARCH("임차",E297),0)&gt;0,"임차·시설",IF(IFERROR(SEARCH("광고",E297),0)&gt;0,"광고·행사",IF(IFERROR(SEARCH("용역",E297),0)&gt;0,"용역·수수료","기타/불명"))))))</x:f>
      </x:c>
      <x:c r="J297" s="77" t="str">
        <x:f>IF(A297="","",IF(I297="기타/불명","확인 필요","결의서명으로 1차 확인"))</x:f>
      </x:c>
      <x:c r="K297" s="78"/>
    </x:row>
    <x:row r="298">
      <x:c r="A298" s="73"/>
      <x:c r="B298" s="73"/>
      <x:c r="C298" s="74"/>
      <x:c r="D298" s="73"/>
      <x:c r="E298" s="73"/>
      <x:c r="F298" s="75"/>
      <x:c r="G298" s="75"/>
      <x:c r="H298" s="76" t="str">
        <x:f>IF(A298="","",F298-G298)</x:f>
      </x:c>
      <x:c r="I298" s="77" t="str">
        <x:f>IF(A298="","",IF(E298="","기타/불명",IF(IFERROR(SEARCH("급여",E298),0)&gt;0,"인건비",IF(IFERROR(SEARCH("임차",E298),0)&gt;0,"임차·시설",IF(IFERROR(SEARCH("광고",E298),0)&gt;0,"광고·행사",IF(IFERROR(SEARCH("용역",E298),0)&gt;0,"용역·수수료","기타/불명"))))))</x:f>
      </x:c>
      <x:c r="J298" s="77" t="str">
        <x:f>IF(A298="","",IF(I298="기타/불명","확인 필요","결의서명으로 1차 확인"))</x:f>
      </x:c>
      <x:c r="K298" s="78"/>
    </x:row>
    <x:row r="299">
      <x:c r="A299" s="73"/>
      <x:c r="B299" s="73"/>
      <x:c r="C299" s="74"/>
      <x:c r="D299" s="73"/>
      <x:c r="E299" s="73"/>
      <x:c r="F299" s="75"/>
      <x:c r="G299" s="75"/>
      <x:c r="H299" s="76" t="str">
        <x:f>IF(A299="","",F299-G299)</x:f>
      </x:c>
      <x:c r="I299" s="77" t="str">
        <x:f>IF(A299="","",IF(E299="","기타/불명",IF(IFERROR(SEARCH("급여",E299),0)&gt;0,"인건비",IF(IFERROR(SEARCH("임차",E299),0)&gt;0,"임차·시설",IF(IFERROR(SEARCH("광고",E299),0)&gt;0,"광고·행사",IF(IFERROR(SEARCH("용역",E299),0)&gt;0,"용역·수수료","기타/불명"))))))</x:f>
      </x:c>
      <x:c r="J299" s="77" t="str">
        <x:f>IF(A299="","",IF(I299="기타/불명","확인 필요","결의서명으로 1차 확인"))</x:f>
      </x:c>
      <x:c r="K299" s="78"/>
    </x:row>
    <x:row r="300">
      <x:c r="A300" s="73"/>
      <x:c r="B300" s="73"/>
      <x:c r="C300" s="74"/>
      <x:c r="D300" s="73"/>
      <x:c r="E300" s="73"/>
      <x:c r="F300" s="75"/>
      <x:c r="G300" s="75"/>
      <x:c r="H300" s="76" t="str">
        <x:f>IF(A300="","",F300-G300)</x:f>
      </x:c>
      <x:c r="I300" s="77" t="str">
        <x:f>IF(A300="","",IF(E300="","기타/불명",IF(IFERROR(SEARCH("급여",E300),0)&gt;0,"인건비",IF(IFERROR(SEARCH("임차",E300),0)&gt;0,"임차·시설",IF(IFERROR(SEARCH("광고",E300),0)&gt;0,"광고·행사",IF(IFERROR(SEARCH("용역",E300),0)&gt;0,"용역·수수료","기타/불명"))))))</x:f>
      </x:c>
      <x:c r="J300" s="77" t="str">
        <x:f>IF(A300="","",IF(I300="기타/불명","확인 필요","결의서명으로 1차 확인"))</x:f>
      </x:c>
      <x:c r="K300" s="78"/>
    </x:row>
    <x:row r="301">
      <x:c r="A301" s="73"/>
      <x:c r="B301" s="73"/>
      <x:c r="C301" s="74"/>
      <x:c r="D301" s="73"/>
      <x:c r="E301" s="73"/>
      <x:c r="F301" s="75"/>
      <x:c r="G301" s="75"/>
      <x:c r="H301" s="76" t="str">
        <x:f>IF(A301="","",F301-G301)</x:f>
      </x:c>
      <x:c r="I301" s="77" t="str">
        <x:f>IF(A301="","",IF(E301="","기타/불명",IF(IFERROR(SEARCH("급여",E301),0)&gt;0,"인건비",IF(IFERROR(SEARCH("임차",E301),0)&gt;0,"임차·시설",IF(IFERROR(SEARCH("광고",E301),0)&gt;0,"광고·행사",IF(IFERROR(SEARCH("용역",E301),0)&gt;0,"용역·수수료","기타/불명"))))))</x:f>
      </x:c>
      <x:c r="J301" s="77" t="str">
        <x:f>IF(A301="","",IF(I301="기타/불명","확인 필요","결의서명으로 1차 확인"))</x:f>
      </x:c>
      <x:c r="K301" s="78"/>
    </x:row>
    <x:row r="302">
      <x:c r="A302" s="73"/>
      <x:c r="B302" s="73"/>
      <x:c r="C302" s="74"/>
      <x:c r="D302" s="73"/>
      <x:c r="E302" s="73"/>
      <x:c r="F302" s="75"/>
      <x:c r="G302" s="75"/>
      <x:c r="H302" s="76" t="str">
        <x:f>IF(A302="","",F302-G302)</x:f>
      </x:c>
      <x:c r="I302" s="77" t="str">
        <x:f>IF(A302="","",IF(E302="","기타/불명",IF(IFERROR(SEARCH("급여",E302),0)&gt;0,"인건비",IF(IFERROR(SEARCH("임차",E302),0)&gt;0,"임차·시설",IF(IFERROR(SEARCH("광고",E302),0)&gt;0,"광고·행사",IF(IFERROR(SEARCH("용역",E302),0)&gt;0,"용역·수수료","기타/불명"))))))</x:f>
      </x:c>
      <x:c r="J302" s="77" t="str">
        <x:f>IF(A302="","",IF(I302="기타/불명","확인 필요","결의서명으로 1차 확인"))</x:f>
      </x:c>
      <x:c r="K302" s="78"/>
    </x:row>
    <x:row r="303">
      <x:c r="A303" s="73"/>
      <x:c r="B303" s="73"/>
      <x:c r="C303" s="74"/>
      <x:c r="D303" s="73"/>
      <x:c r="E303" s="73"/>
      <x:c r="F303" s="75"/>
      <x:c r="G303" s="75"/>
      <x:c r="H303" s="76" t="str">
        <x:f>IF(A303="","",F303-G303)</x:f>
      </x:c>
      <x:c r="I303" s="77" t="str">
        <x:f>IF(A303="","",IF(E303="","기타/불명",IF(IFERROR(SEARCH("급여",E303),0)&gt;0,"인건비",IF(IFERROR(SEARCH("임차",E303),0)&gt;0,"임차·시설",IF(IFERROR(SEARCH("광고",E303),0)&gt;0,"광고·행사",IF(IFERROR(SEARCH("용역",E303),0)&gt;0,"용역·수수료","기타/불명"))))))</x:f>
      </x:c>
      <x:c r="J303" s="77" t="str">
        <x:f>IF(A303="","",IF(I303="기타/불명","확인 필요","결의서명으로 1차 확인"))</x:f>
      </x:c>
      <x:c r="K303" s="78"/>
    </x:row>
    <x:row r="304">
      <x:c r="A304" s="73"/>
      <x:c r="B304" s="73"/>
      <x:c r="C304" s="74"/>
      <x:c r="D304" s="73"/>
      <x:c r="E304" s="73"/>
      <x:c r="F304" s="75"/>
      <x:c r="G304" s="75"/>
      <x:c r="H304" s="76" t="str">
        <x:f>IF(A304="","",F304-G304)</x:f>
      </x:c>
      <x:c r="I304" s="77" t="str">
        <x:f>IF(A304="","",IF(E304="","기타/불명",IF(IFERROR(SEARCH("급여",E304),0)&gt;0,"인건비",IF(IFERROR(SEARCH("임차",E304),0)&gt;0,"임차·시설",IF(IFERROR(SEARCH("광고",E304),0)&gt;0,"광고·행사",IF(IFERROR(SEARCH("용역",E304),0)&gt;0,"용역·수수료","기타/불명"))))))</x:f>
      </x:c>
      <x:c r="J304" s="77" t="str">
        <x:f>IF(A304="","",IF(I304="기타/불명","확인 필요","결의서명으로 1차 확인"))</x:f>
      </x:c>
      <x:c r="K304" s="78"/>
    </x:row>
    <x:row r="305">
      <x:c r="A305" s="73"/>
      <x:c r="B305" s="73"/>
      <x:c r="C305" s="74"/>
      <x:c r="D305" s="73"/>
      <x:c r="E305" s="73"/>
      <x:c r="F305" s="75"/>
      <x:c r="G305" s="75"/>
      <x:c r="H305" s="76" t="str">
        <x:f>IF(A305="","",F305-G305)</x:f>
      </x:c>
      <x:c r="I305" s="77" t="str">
        <x:f>IF(A305="","",IF(E305="","기타/불명",IF(IFERROR(SEARCH("급여",E305),0)&gt;0,"인건비",IF(IFERROR(SEARCH("임차",E305),0)&gt;0,"임차·시설",IF(IFERROR(SEARCH("광고",E305),0)&gt;0,"광고·행사",IF(IFERROR(SEARCH("용역",E305),0)&gt;0,"용역·수수료","기타/불명"))))))</x:f>
      </x:c>
      <x:c r="J305" s="77" t="str">
        <x:f>IF(A305="","",IF(I305="기타/불명","확인 필요","결의서명으로 1차 확인"))</x:f>
      </x:c>
      <x:c r="K305" s="78"/>
    </x:row>
    <x:row r="306">
      <x:c r="A306" s="73"/>
      <x:c r="B306" s="73"/>
      <x:c r="C306" s="74"/>
      <x:c r="D306" s="73"/>
      <x:c r="E306" s="73"/>
      <x:c r="F306" s="75"/>
      <x:c r="G306" s="75"/>
      <x:c r="H306" s="76" t="str">
        <x:f>IF(A306="","",F306-G306)</x:f>
      </x:c>
      <x:c r="I306" s="77" t="str">
        <x:f>IF(A306="","",IF(E306="","기타/불명",IF(IFERROR(SEARCH("급여",E306),0)&gt;0,"인건비",IF(IFERROR(SEARCH("임차",E306),0)&gt;0,"임차·시설",IF(IFERROR(SEARCH("광고",E306),0)&gt;0,"광고·행사",IF(IFERROR(SEARCH("용역",E306),0)&gt;0,"용역·수수료","기타/불명"))))))</x:f>
      </x:c>
      <x:c r="J306" s="77" t="str">
        <x:f>IF(A306="","",IF(I306="기타/불명","확인 필요","결의서명으로 1차 확인"))</x:f>
      </x:c>
      <x:c r="K306" s="78"/>
    </x:row>
    <x:row r="307">
      <x:c r="A307" s="73"/>
      <x:c r="B307" s="73"/>
      <x:c r="C307" s="74"/>
      <x:c r="D307" s="73"/>
      <x:c r="E307" s="73"/>
      <x:c r="F307" s="75"/>
      <x:c r="G307" s="75"/>
      <x:c r="H307" s="76" t="str">
        <x:f>IF(A307="","",F307-G307)</x:f>
      </x:c>
      <x:c r="I307" s="77" t="str">
        <x:f>IF(A307="","",IF(E307="","기타/불명",IF(IFERROR(SEARCH("급여",E307),0)&gt;0,"인건비",IF(IFERROR(SEARCH("임차",E307),0)&gt;0,"임차·시설",IF(IFERROR(SEARCH("광고",E307),0)&gt;0,"광고·행사",IF(IFERROR(SEARCH("용역",E307),0)&gt;0,"용역·수수료","기타/불명"))))))</x:f>
      </x:c>
      <x:c r="J307" s="77" t="str">
        <x:f>IF(A307="","",IF(I307="기타/불명","확인 필요","결의서명으로 1차 확인"))</x:f>
      </x:c>
      <x:c r="K307" s="78"/>
    </x:row>
    <x:row r="308">
      <x:c r="A308" s="73"/>
      <x:c r="B308" s="73"/>
      <x:c r="C308" s="74"/>
      <x:c r="D308" s="73"/>
      <x:c r="E308" s="73"/>
      <x:c r="F308" s="75"/>
      <x:c r="G308" s="75"/>
      <x:c r="H308" s="76" t="str">
        <x:f>IF(A308="","",F308-G308)</x:f>
      </x:c>
      <x:c r="I308" s="77" t="str">
        <x:f>IF(A308="","",IF(E308="","기타/불명",IF(IFERROR(SEARCH("급여",E308),0)&gt;0,"인건비",IF(IFERROR(SEARCH("임차",E308),0)&gt;0,"임차·시설",IF(IFERROR(SEARCH("광고",E308),0)&gt;0,"광고·행사",IF(IFERROR(SEARCH("용역",E308),0)&gt;0,"용역·수수료","기타/불명"))))))</x:f>
      </x:c>
      <x:c r="J308" s="77" t="str">
        <x:f>IF(A308="","",IF(I308="기타/불명","확인 필요","결의서명으로 1차 확인"))</x:f>
      </x:c>
      <x:c r="K308" s="78"/>
    </x:row>
    <x:row r="309">
      <x:c r="A309" s="73"/>
      <x:c r="B309" s="73"/>
      <x:c r="C309" s="74"/>
      <x:c r="D309" s="73"/>
      <x:c r="E309" s="73"/>
      <x:c r="F309" s="75"/>
      <x:c r="G309" s="75"/>
      <x:c r="H309" s="76" t="str">
        <x:f>IF(A309="","",F309-G309)</x:f>
      </x:c>
      <x:c r="I309" s="77" t="str">
        <x:f>IF(A309="","",IF(E309="","기타/불명",IF(IFERROR(SEARCH("급여",E309),0)&gt;0,"인건비",IF(IFERROR(SEARCH("임차",E309),0)&gt;0,"임차·시설",IF(IFERROR(SEARCH("광고",E309),0)&gt;0,"광고·행사",IF(IFERROR(SEARCH("용역",E309),0)&gt;0,"용역·수수료","기타/불명"))))))</x:f>
      </x:c>
      <x:c r="J309" s="77" t="str">
        <x:f>IF(A309="","",IF(I309="기타/불명","확인 필요","결의서명으로 1차 확인"))</x:f>
      </x:c>
      <x:c r="K309" s="78"/>
    </x:row>
    <x:row r="310">
      <x:c r="A310" s="73"/>
      <x:c r="B310" s="73"/>
      <x:c r="C310" s="74"/>
      <x:c r="D310" s="73"/>
      <x:c r="E310" s="73"/>
      <x:c r="F310" s="75"/>
      <x:c r="G310" s="75"/>
      <x:c r="H310" s="76" t="str">
        <x:f>IF(A310="","",F310-G310)</x:f>
      </x:c>
      <x:c r="I310" s="77" t="str">
        <x:f>IF(A310="","",IF(E310="","기타/불명",IF(IFERROR(SEARCH("급여",E310),0)&gt;0,"인건비",IF(IFERROR(SEARCH("임차",E310),0)&gt;0,"임차·시설",IF(IFERROR(SEARCH("광고",E310),0)&gt;0,"광고·행사",IF(IFERROR(SEARCH("용역",E310),0)&gt;0,"용역·수수료","기타/불명"))))))</x:f>
      </x:c>
      <x:c r="J310" s="77" t="str">
        <x:f>IF(A310="","",IF(I310="기타/불명","확인 필요","결의서명으로 1차 확인"))</x:f>
      </x:c>
      <x:c r="K310" s="78"/>
    </x:row>
    <x:row r="311">
      <x:c r="A311" s="73"/>
      <x:c r="B311" s="73"/>
      <x:c r="C311" s="74"/>
      <x:c r="D311" s="73"/>
      <x:c r="E311" s="73"/>
      <x:c r="F311" s="75"/>
      <x:c r="G311" s="75"/>
      <x:c r="H311" s="76" t="str">
        <x:f>IF(A311="","",F311-G311)</x:f>
      </x:c>
      <x:c r="I311" s="77" t="str">
        <x:f>IF(A311="","",IF(E311="","기타/불명",IF(IFERROR(SEARCH("급여",E311),0)&gt;0,"인건비",IF(IFERROR(SEARCH("임차",E311),0)&gt;0,"임차·시설",IF(IFERROR(SEARCH("광고",E311),0)&gt;0,"광고·행사",IF(IFERROR(SEARCH("용역",E311),0)&gt;0,"용역·수수료","기타/불명"))))))</x:f>
      </x:c>
      <x:c r="J311" s="77" t="str">
        <x:f>IF(A311="","",IF(I311="기타/불명","확인 필요","결의서명으로 1차 확인"))</x:f>
      </x:c>
      <x:c r="K311" s="78"/>
    </x:row>
    <x:row r="312">
      <x:c r="A312" s="73"/>
      <x:c r="B312" s="73"/>
      <x:c r="C312" s="74"/>
      <x:c r="D312" s="73"/>
      <x:c r="E312" s="73"/>
      <x:c r="F312" s="75"/>
      <x:c r="G312" s="75"/>
      <x:c r="H312" s="76" t="str">
        <x:f>IF(A312="","",F312-G312)</x:f>
      </x:c>
      <x:c r="I312" s="77" t="str">
        <x:f>IF(A312="","",IF(E312="","기타/불명",IF(IFERROR(SEARCH("급여",E312),0)&gt;0,"인건비",IF(IFERROR(SEARCH("임차",E312),0)&gt;0,"임차·시설",IF(IFERROR(SEARCH("광고",E312),0)&gt;0,"광고·행사",IF(IFERROR(SEARCH("용역",E312),0)&gt;0,"용역·수수료","기타/불명"))))))</x:f>
      </x:c>
      <x:c r="J312" s="77" t="str">
        <x:f>IF(A312="","",IF(I312="기타/불명","확인 필요","결의서명으로 1차 확인"))</x:f>
      </x:c>
      <x:c r="K312" s="78"/>
    </x:row>
    <x:row r="313">
      <x:c r="A313" s="73"/>
      <x:c r="B313" s="73"/>
      <x:c r="C313" s="74"/>
      <x:c r="D313" s="73"/>
      <x:c r="E313" s="73"/>
      <x:c r="F313" s="75"/>
      <x:c r="G313" s="75"/>
      <x:c r="H313" s="76" t="str">
        <x:f>IF(A313="","",F313-G313)</x:f>
      </x:c>
      <x:c r="I313" s="77" t="str">
        <x:f>IF(A313="","",IF(E313="","기타/불명",IF(IFERROR(SEARCH("급여",E313),0)&gt;0,"인건비",IF(IFERROR(SEARCH("임차",E313),0)&gt;0,"임차·시설",IF(IFERROR(SEARCH("광고",E313),0)&gt;0,"광고·행사",IF(IFERROR(SEARCH("용역",E313),0)&gt;0,"용역·수수료","기타/불명"))))))</x:f>
      </x:c>
      <x:c r="J313" s="77" t="str">
        <x:f>IF(A313="","",IF(I313="기타/불명","확인 필요","결의서명으로 1차 확인"))</x:f>
      </x:c>
      <x:c r="K313" s="78"/>
    </x:row>
    <x:row r="314">
      <x:c r="A314" s="73"/>
      <x:c r="B314" s="73"/>
      <x:c r="C314" s="74"/>
      <x:c r="D314" s="73"/>
      <x:c r="E314" s="73"/>
      <x:c r="F314" s="75"/>
      <x:c r="G314" s="75"/>
      <x:c r="H314" s="76" t="str">
        <x:f>IF(A314="","",F314-G314)</x:f>
      </x:c>
      <x:c r="I314" s="77" t="str">
        <x:f>IF(A314="","",IF(E314="","기타/불명",IF(IFERROR(SEARCH("급여",E314),0)&gt;0,"인건비",IF(IFERROR(SEARCH("임차",E314),0)&gt;0,"임차·시설",IF(IFERROR(SEARCH("광고",E314),0)&gt;0,"광고·행사",IF(IFERROR(SEARCH("용역",E314),0)&gt;0,"용역·수수료","기타/불명"))))))</x:f>
      </x:c>
      <x:c r="J314" s="77" t="str">
        <x:f>IF(A314="","",IF(I314="기타/불명","확인 필요","결의서명으로 1차 확인"))</x:f>
      </x:c>
      <x:c r="K314" s="78"/>
    </x:row>
    <x:row r="315">
      <x:c r="A315" s="73"/>
      <x:c r="B315" s="73"/>
      <x:c r="C315" s="74"/>
      <x:c r="D315" s="73"/>
      <x:c r="E315" s="73"/>
      <x:c r="F315" s="75"/>
      <x:c r="G315" s="75"/>
      <x:c r="H315" s="76" t="str">
        <x:f>IF(A315="","",F315-G315)</x:f>
      </x:c>
      <x:c r="I315" s="77" t="str">
        <x:f>IF(A315="","",IF(E315="","기타/불명",IF(IFERROR(SEARCH("급여",E315),0)&gt;0,"인건비",IF(IFERROR(SEARCH("임차",E315),0)&gt;0,"임차·시설",IF(IFERROR(SEARCH("광고",E315),0)&gt;0,"광고·행사",IF(IFERROR(SEARCH("용역",E315),0)&gt;0,"용역·수수료","기타/불명"))))))</x:f>
      </x:c>
      <x:c r="J315" s="77" t="str">
        <x:f>IF(A315="","",IF(I315="기타/불명","확인 필요","결의서명으로 1차 확인"))</x:f>
      </x:c>
      <x:c r="K315" s="78"/>
    </x:row>
    <x:row r="316">
      <x:c r="A316" s="73"/>
      <x:c r="B316" s="73"/>
      <x:c r="C316" s="74"/>
      <x:c r="D316" s="73"/>
      <x:c r="E316" s="73"/>
      <x:c r="F316" s="75"/>
      <x:c r="G316" s="75"/>
      <x:c r="H316" s="76" t="str">
        <x:f>IF(A316="","",F316-G316)</x:f>
      </x:c>
      <x:c r="I316" s="77" t="str">
        <x:f>IF(A316="","",IF(E316="","기타/불명",IF(IFERROR(SEARCH("급여",E316),0)&gt;0,"인건비",IF(IFERROR(SEARCH("임차",E316),0)&gt;0,"임차·시설",IF(IFERROR(SEARCH("광고",E316),0)&gt;0,"광고·행사",IF(IFERROR(SEARCH("용역",E316),0)&gt;0,"용역·수수료","기타/불명"))))))</x:f>
      </x:c>
      <x:c r="J316" s="77" t="str">
        <x:f>IF(A316="","",IF(I316="기타/불명","확인 필요","결의서명으로 1차 확인"))</x:f>
      </x:c>
      <x:c r="K316" s="78"/>
    </x:row>
    <x:row r="317">
      <x:c r="A317" s="73"/>
      <x:c r="B317" s="73"/>
      <x:c r="C317" s="74"/>
      <x:c r="D317" s="73"/>
      <x:c r="E317" s="73"/>
      <x:c r="F317" s="75"/>
      <x:c r="G317" s="75"/>
      <x:c r="H317" s="76" t="str">
        <x:f>IF(A317="","",F317-G317)</x:f>
      </x:c>
      <x:c r="I317" s="77" t="str">
        <x:f>IF(A317="","",IF(E317="","기타/불명",IF(IFERROR(SEARCH("급여",E317),0)&gt;0,"인건비",IF(IFERROR(SEARCH("임차",E317),0)&gt;0,"임차·시설",IF(IFERROR(SEARCH("광고",E317),0)&gt;0,"광고·행사",IF(IFERROR(SEARCH("용역",E317),0)&gt;0,"용역·수수료","기타/불명"))))))</x:f>
      </x:c>
      <x:c r="J317" s="77" t="str">
        <x:f>IF(A317="","",IF(I317="기타/불명","확인 필요","결의서명으로 1차 확인"))</x:f>
      </x:c>
      <x:c r="K317" s="78"/>
    </x:row>
    <x:row r="318">
      <x:c r="A318" s="73"/>
      <x:c r="B318" s="73"/>
      <x:c r="C318" s="74"/>
      <x:c r="D318" s="73"/>
      <x:c r="E318" s="73"/>
      <x:c r="F318" s="75"/>
      <x:c r="G318" s="75"/>
      <x:c r="H318" s="76" t="str">
        <x:f>IF(A318="","",F318-G318)</x:f>
      </x:c>
      <x:c r="I318" s="77" t="str">
        <x:f>IF(A318="","",IF(E318="","기타/불명",IF(IFERROR(SEARCH("급여",E318),0)&gt;0,"인건비",IF(IFERROR(SEARCH("임차",E318),0)&gt;0,"임차·시설",IF(IFERROR(SEARCH("광고",E318),0)&gt;0,"광고·행사",IF(IFERROR(SEARCH("용역",E318),0)&gt;0,"용역·수수료","기타/불명"))))))</x:f>
      </x:c>
      <x:c r="J318" s="77" t="str">
        <x:f>IF(A318="","",IF(I318="기타/불명","확인 필요","결의서명으로 1차 확인"))</x:f>
      </x:c>
      <x:c r="K318" s="78"/>
    </x:row>
    <x:row r="319">
      <x:c r="A319" s="73"/>
      <x:c r="B319" s="73"/>
      <x:c r="C319" s="74"/>
      <x:c r="D319" s="73"/>
      <x:c r="E319" s="73"/>
      <x:c r="F319" s="75"/>
      <x:c r="G319" s="75"/>
      <x:c r="H319" s="76" t="str">
        <x:f>IF(A319="","",F319-G319)</x:f>
      </x:c>
      <x:c r="I319" s="77" t="str">
        <x:f>IF(A319="","",IF(E319="","기타/불명",IF(IFERROR(SEARCH("급여",E319),0)&gt;0,"인건비",IF(IFERROR(SEARCH("임차",E319),0)&gt;0,"임차·시설",IF(IFERROR(SEARCH("광고",E319),0)&gt;0,"광고·행사",IF(IFERROR(SEARCH("용역",E319),0)&gt;0,"용역·수수료","기타/불명"))))))</x:f>
      </x:c>
      <x:c r="J319" s="77" t="str">
        <x:f>IF(A319="","",IF(I319="기타/불명","확인 필요","결의서명으로 1차 확인"))</x:f>
      </x:c>
      <x:c r="K319" s="78"/>
    </x:row>
    <x:row r="320">
      <x:c r="A320" s="73"/>
      <x:c r="B320" s="73"/>
      <x:c r="C320" s="74"/>
      <x:c r="D320" s="73"/>
      <x:c r="E320" s="73"/>
      <x:c r="F320" s="75"/>
      <x:c r="G320" s="75"/>
      <x:c r="H320" s="76" t="str">
        <x:f>IF(A320="","",F320-G320)</x:f>
      </x:c>
      <x:c r="I320" s="77" t="str">
        <x:f>IF(A320="","",IF(E320="","기타/불명",IF(IFERROR(SEARCH("급여",E320),0)&gt;0,"인건비",IF(IFERROR(SEARCH("임차",E320),0)&gt;0,"임차·시설",IF(IFERROR(SEARCH("광고",E320),0)&gt;0,"광고·행사",IF(IFERROR(SEARCH("용역",E320),0)&gt;0,"용역·수수료","기타/불명"))))))</x:f>
      </x:c>
      <x:c r="J320" s="77" t="str">
        <x:f>IF(A320="","",IF(I320="기타/불명","확인 필요","결의서명으로 1차 확인"))</x:f>
      </x:c>
      <x:c r="K320" s="78"/>
    </x:row>
    <x:row r="321">
      <x:c r="A321" s="73"/>
      <x:c r="B321" s="73"/>
      <x:c r="C321" s="74"/>
      <x:c r="D321" s="73"/>
      <x:c r="E321" s="73"/>
      <x:c r="F321" s="75"/>
      <x:c r="G321" s="75"/>
      <x:c r="H321" s="76" t="str">
        <x:f>IF(A321="","",F321-G321)</x:f>
      </x:c>
      <x:c r="I321" s="77" t="str">
        <x:f>IF(A321="","",IF(E321="","기타/불명",IF(IFERROR(SEARCH("급여",E321),0)&gt;0,"인건비",IF(IFERROR(SEARCH("임차",E321),0)&gt;0,"임차·시설",IF(IFERROR(SEARCH("광고",E321),0)&gt;0,"광고·행사",IF(IFERROR(SEARCH("용역",E321),0)&gt;0,"용역·수수료","기타/불명"))))))</x:f>
      </x:c>
      <x:c r="J321" s="77" t="str">
        <x:f>IF(A321="","",IF(I321="기타/불명","확인 필요","결의서명으로 1차 확인"))</x:f>
      </x:c>
      <x:c r="K321" s="78"/>
    </x:row>
    <x:row r="322">
      <x:c r="A322" s="73"/>
      <x:c r="B322" s="73"/>
      <x:c r="C322" s="74"/>
      <x:c r="D322" s="73"/>
      <x:c r="E322" s="73"/>
      <x:c r="F322" s="75"/>
      <x:c r="G322" s="75"/>
      <x:c r="H322" s="76" t="str">
        <x:f>IF(A322="","",F322-G322)</x:f>
      </x:c>
      <x:c r="I322" s="77" t="str">
        <x:f>IF(A322="","",IF(E322="","기타/불명",IF(IFERROR(SEARCH("급여",E322),0)&gt;0,"인건비",IF(IFERROR(SEARCH("임차",E322),0)&gt;0,"임차·시설",IF(IFERROR(SEARCH("광고",E322),0)&gt;0,"광고·행사",IF(IFERROR(SEARCH("용역",E322),0)&gt;0,"용역·수수료","기타/불명"))))))</x:f>
      </x:c>
      <x:c r="J322" s="77" t="str">
        <x:f>IF(A322="","",IF(I322="기타/불명","확인 필요","결의서명으로 1차 확인"))</x:f>
      </x:c>
      <x:c r="K322" s="78"/>
    </x:row>
    <x:row r="323">
      <x:c r="A323" s="73"/>
      <x:c r="B323" s="73"/>
      <x:c r="C323" s="74"/>
      <x:c r="D323" s="73"/>
      <x:c r="E323" s="73"/>
      <x:c r="F323" s="75"/>
      <x:c r="G323" s="75"/>
      <x:c r="H323" s="76" t="str">
        <x:f>IF(A323="","",F323-G323)</x:f>
      </x:c>
      <x:c r="I323" s="77" t="str">
        <x:f>IF(A323="","",IF(E323="","기타/불명",IF(IFERROR(SEARCH("급여",E323),0)&gt;0,"인건비",IF(IFERROR(SEARCH("임차",E323),0)&gt;0,"임차·시설",IF(IFERROR(SEARCH("광고",E323),0)&gt;0,"광고·행사",IF(IFERROR(SEARCH("용역",E323),0)&gt;0,"용역·수수료","기타/불명"))))))</x:f>
      </x:c>
      <x:c r="J323" s="77" t="str">
        <x:f>IF(A323="","",IF(I323="기타/불명","확인 필요","결의서명으로 1차 확인"))</x:f>
      </x:c>
      <x:c r="K323" s="78"/>
    </x:row>
    <x:row r="324">
      <x:c r="A324" s="73"/>
      <x:c r="B324" s="73"/>
      <x:c r="C324" s="74"/>
      <x:c r="D324" s="73"/>
      <x:c r="E324" s="73"/>
      <x:c r="F324" s="75"/>
      <x:c r="G324" s="75"/>
      <x:c r="H324" s="76" t="str">
        <x:f>IF(A324="","",F324-G324)</x:f>
      </x:c>
      <x:c r="I324" s="77" t="str">
        <x:f>IF(A324="","",IF(E324="","기타/불명",IF(IFERROR(SEARCH("급여",E324),0)&gt;0,"인건비",IF(IFERROR(SEARCH("임차",E324),0)&gt;0,"임차·시설",IF(IFERROR(SEARCH("광고",E324),0)&gt;0,"광고·행사",IF(IFERROR(SEARCH("용역",E324),0)&gt;0,"용역·수수료","기타/불명"))))))</x:f>
      </x:c>
      <x:c r="J324" s="77" t="str">
        <x:f>IF(A324="","",IF(I324="기타/불명","확인 필요","결의서명으로 1차 확인"))</x:f>
      </x:c>
      <x:c r="K324" s="78"/>
    </x:row>
    <x:row r="325">
      <x:c r="A325" s="73"/>
      <x:c r="B325" s="73"/>
      <x:c r="C325" s="74"/>
      <x:c r="D325" s="73"/>
      <x:c r="E325" s="73"/>
      <x:c r="F325" s="75"/>
      <x:c r="G325" s="75"/>
      <x:c r="H325" s="76" t="str">
        <x:f>IF(A325="","",F325-G325)</x:f>
      </x:c>
      <x:c r="I325" s="77" t="str">
        <x:f>IF(A325="","",IF(E325="","기타/불명",IF(IFERROR(SEARCH("급여",E325),0)&gt;0,"인건비",IF(IFERROR(SEARCH("임차",E325),0)&gt;0,"임차·시설",IF(IFERROR(SEARCH("광고",E325),0)&gt;0,"광고·행사",IF(IFERROR(SEARCH("용역",E325),0)&gt;0,"용역·수수료","기타/불명"))))))</x:f>
      </x:c>
      <x:c r="J325" s="77" t="str">
        <x:f>IF(A325="","",IF(I325="기타/불명","확인 필요","결의서명으로 1차 확인"))</x:f>
      </x:c>
      <x:c r="K325" s="78"/>
    </x:row>
    <x:row r="326">
      <x:c r="A326" s="73"/>
      <x:c r="B326" s="73"/>
      <x:c r="C326" s="74"/>
      <x:c r="D326" s="73"/>
      <x:c r="E326" s="73"/>
      <x:c r="F326" s="75"/>
      <x:c r="G326" s="75"/>
      <x:c r="H326" s="76" t="str">
        <x:f>IF(A326="","",F326-G326)</x:f>
      </x:c>
      <x:c r="I326" s="77" t="str">
        <x:f>IF(A326="","",IF(E326="","기타/불명",IF(IFERROR(SEARCH("급여",E326),0)&gt;0,"인건비",IF(IFERROR(SEARCH("임차",E326),0)&gt;0,"임차·시설",IF(IFERROR(SEARCH("광고",E326),0)&gt;0,"광고·행사",IF(IFERROR(SEARCH("용역",E326),0)&gt;0,"용역·수수료","기타/불명"))))))</x:f>
      </x:c>
      <x:c r="J326" s="77" t="str">
        <x:f>IF(A326="","",IF(I326="기타/불명","확인 필요","결의서명으로 1차 확인"))</x:f>
      </x:c>
      <x:c r="K326" s="78"/>
    </x:row>
    <x:row r="327">
      <x:c r="A327" s="73"/>
      <x:c r="B327" s="73"/>
      <x:c r="C327" s="74"/>
      <x:c r="D327" s="73"/>
      <x:c r="E327" s="73"/>
      <x:c r="F327" s="75"/>
      <x:c r="G327" s="75"/>
      <x:c r="H327" s="76" t="str">
        <x:f>IF(A327="","",F327-G327)</x:f>
      </x:c>
      <x:c r="I327" s="77" t="str">
        <x:f>IF(A327="","",IF(E327="","기타/불명",IF(IFERROR(SEARCH("급여",E327),0)&gt;0,"인건비",IF(IFERROR(SEARCH("임차",E327),0)&gt;0,"임차·시설",IF(IFERROR(SEARCH("광고",E327),0)&gt;0,"광고·행사",IF(IFERROR(SEARCH("용역",E327),0)&gt;0,"용역·수수료","기타/불명"))))))</x:f>
      </x:c>
      <x:c r="J327" s="77" t="str">
        <x:f>IF(A327="","",IF(I327="기타/불명","확인 필요","결의서명으로 1차 확인"))</x:f>
      </x:c>
      <x:c r="K327" s="78"/>
    </x:row>
    <x:row r="328">
      <x:c r="A328" s="73"/>
      <x:c r="B328" s="73"/>
      <x:c r="C328" s="74"/>
      <x:c r="D328" s="73"/>
      <x:c r="E328" s="73"/>
      <x:c r="F328" s="75"/>
      <x:c r="G328" s="75"/>
      <x:c r="H328" s="76" t="str">
        <x:f>IF(A328="","",F328-G328)</x:f>
      </x:c>
      <x:c r="I328" s="77" t="str">
        <x:f>IF(A328="","",IF(E328="","기타/불명",IF(IFERROR(SEARCH("급여",E328),0)&gt;0,"인건비",IF(IFERROR(SEARCH("임차",E328),0)&gt;0,"임차·시설",IF(IFERROR(SEARCH("광고",E328),0)&gt;0,"광고·행사",IF(IFERROR(SEARCH("용역",E328),0)&gt;0,"용역·수수료","기타/불명"))))))</x:f>
      </x:c>
      <x:c r="J328" s="77" t="str">
        <x:f>IF(A328="","",IF(I328="기타/불명","확인 필요","결의서명으로 1차 확인"))</x:f>
      </x:c>
      <x:c r="K328" s="78"/>
    </x:row>
    <x:row r="329">
      <x:c r="A329" s="73"/>
      <x:c r="B329" s="73"/>
      <x:c r="C329" s="74"/>
      <x:c r="D329" s="73"/>
      <x:c r="E329" s="73"/>
      <x:c r="F329" s="75"/>
      <x:c r="G329" s="75"/>
      <x:c r="H329" s="76" t="str">
        <x:f>IF(A329="","",F329-G329)</x:f>
      </x:c>
      <x:c r="I329" s="77" t="str">
        <x:f>IF(A329="","",IF(E329="","기타/불명",IF(IFERROR(SEARCH("급여",E329),0)&gt;0,"인건비",IF(IFERROR(SEARCH("임차",E329),0)&gt;0,"임차·시설",IF(IFERROR(SEARCH("광고",E329),0)&gt;0,"광고·행사",IF(IFERROR(SEARCH("용역",E329),0)&gt;0,"용역·수수료","기타/불명"))))))</x:f>
      </x:c>
      <x:c r="J329" s="77" t="str">
        <x:f>IF(A329="","",IF(I329="기타/불명","확인 필요","결의서명으로 1차 확인"))</x:f>
      </x:c>
      <x:c r="K329" s="78"/>
    </x:row>
    <x:row r="330">
      <x:c r="A330" s="73"/>
      <x:c r="B330" s="73"/>
      <x:c r="C330" s="74"/>
      <x:c r="D330" s="73"/>
      <x:c r="E330" s="73"/>
      <x:c r="F330" s="75"/>
      <x:c r="G330" s="75"/>
      <x:c r="H330" s="76" t="str">
        <x:f>IF(A330="","",F330-G330)</x:f>
      </x:c>
      <x:c r="I330" s="77" t="str">
        <x:f>IF(A330="","",IF(E330="","기타/불명",IF(IFERROR(SEARCH("급여",E330),0)&gt;0,"인건비",IF(IFERROR(SEARCH("임차",E330),0)&gt;0,"임차·시설",IF(IFERROR(SEARCH("광고",E330),0)&gt;0,"광고·행사",IF(IFERROR(SEARCH("용역",E330),0)&gt;0,"용역·수수료","기타/불명"))))))</x:f>
      </x:c>
      <x:c r="J330" s="77" t="str">
        <x:f>IF(A330="","",IF(I330="기타/불명","확인 필요","결의서명으로 1차 확인"))</x:f>
      </x:c>
      <x:c r="K330" s="78"/>
    </x:row>
    <x:row r="331">
      <x:c r="A331" s="73"/>
      <x:c r="B331" s="73"/>
      <x:c r="C331" s="74"/>
      <x:c r="D331" s="73"/>
      <x:c r="E331" s="73"/>
      <x:c r="F331" s="75"/>
      <x:c r="G331" s="75"/>
      <x:c r="H331" s="76" t="str">
        <x:f>IF(A331="","",F331-G331)</x:f>
      </x:c>
      <x:c r="I331" s="77" t="str">
        <x:f>IF(A331="","",IF(E331="","기타/불명",IF(IFERROR(SEARCH("급여",E331),0)&gt;0,"인건비",IF(IFERROR(SEARCH("임차",E331),0)&gt;0,"임차·시설",IF(IFERROR(SEARCH("광고",E331),0)&gt;0,"광고·행사",IF(IFERROR(SEARCH("용역",E331),0)&gt;0,"용역·수수료","기타/불명"))))))</x:f>
      </x:c>
      <x:c r="J331" s="77" t="str">
        <x:f>IF(A331="","",IF(I331="기타/불명","확인 필요","결의서명으로 1차 확인"))</x:f>
      </x:c>
      <x:c r="K331" s="78"/>
    </x:row>
    <x:row r="332">
      <x:c r="A332" s="73"/>
      <x:c r="B332" s="73"/>
      <x:c r="C332" s="74"/>
      <x:c r="D332" s="73"/>
      <x:c r="E332" s="73"/>
      <x:c r="F332" s="75"/>
      <x:c r="G332" s="75"/>
      <x:c r="H332" s="76" t="str">
        <x:f>IF(A332="","",F332-G332)</x:f>
      </x:c>
      <x:c r="I332" s="77" t="str">
        <x:f>IF(A332="","",IF(E332="","기타/불명",IF(IFERROR(SEARCH("급여",E332),0)&gt;0,"인건비",IF(IFERROR(SEARCH("임차",E332),0)&gt;0,"임차·시설",IF(IFERROR(SEARCH("광고",E332),0)&gt;0,"광고·행사",IF(IFERROR(SEARCH("용역",E332),0)&gt;0,"용역·수수료","기타/불명"))))))</x:f>
      </x:c>
      <x:c r="J332" s="77" t="str">
        <x:f>IF(A332="","",IF(I332="기타/불명","확인 필요","결의서명으로 1차 확인"))</x:f>
      </x:c>
      <x:c r="K332" s="78"/>
    </x:row>
    <x:row r="333">
      <x:c r="A333" s="73"/>
      <x:c r="B333" s="73"/>
      <x:c r="C333" s="74"/>
      <x:c r="D333" s="73"/>
      <x:c r="E333" s="73"/>
      <x:c r="F333" s="75"/>
      <x:c r="G333" s="75"/>
      <x:c r="H333" s="76" t="str">
        <x:f>IF(A333="","",F333-G333)</x:f>
      </x:c>
      <x:c r="I333" s="77" t="str">
        <x:f>IF(A333="","",IF(E333="","기타/불명",IF(IFERROR(SEARCH("급여",E333),0)&gt;0,"인건비",IF(IFERROR(SEARCH("임차",E333),0)&gt;0,"임차·시설",IF(IFERROR(SEARCH("광고",E333),0)&gt;0,"광고·행사",IF(IFERROR(SEARCH("용역",E333),0)&gt;0,"용역·수수료","기타/불명"))))))</x:f>
      </x:c>
      <x:c r="J333" s="77" t="str">
        <x:f>IF(A333="","",IF(I333="기타/불명","확인 필요","결의서명으로 1차 확인"))</x:f>
      </x:c>
      <x:c r="K333" s="78"/>
    </x:row>
    <x:row r="334">
      <x:c r="A334" s="73"/>
      <x:c r="B334" s="73"/>
      <x:c r="C334" s="74"/>
      <x:c r="D334" s="73"/>
      <x:c r="E334" s="73"/>
      <x:c r="F334" s="75"/>
      <x:c r="G334" s="75"/>
      <x:c r="H334" s="76" t="str">
        <x:f>IF(A334="","",F334-G334)</x:f>
      </x:c>
      <x:c r="I334" s="77" t="str">
        <x:f>IF(A334="","",IF(E334="","기타/불명",IF(IFERROR(SEARCH("급여",E334),0)&gt;0,"인건비",IF(IFERROR(SEARCH("임차",E334),0)&gt;0,"임차·시설",IF(IFERROR(SEARCH("광고",E334),0)&gt;0,"광고·행사",IF(IFERROR(SEARCH("용역",E334),0)&gt;0,"용역·수수료","기타/불명"))))))</x:f>
      </x:c>
      <x:c r="J334" s="77" t="str">
        <x:f>IF(A334="","",IF(I334="기타/불명","확인 필요","결의서명으로 1차 확인"))</x:f>
      </x:c>
      <x:c r="K334" s="78"/>
    </x:row>
    <x:row r="335">
      <x:c r="A335" s="73"/>
      <x:c r="B335" s="73"/>
      <x:c r="C335" s="74"/>
      <x:c r="D335" s="73"/>
      <x:c r="E335" s="73"/>
      <x:c r="F335" s="75"/>
      <x:c r="G335" s="75"/>
      <x:c r="H335" s="76" t="str">
        <x:f>IF(A335="","",F335-G335)</x:f>
      </x:c>
      <x:c r="I335" s="77" t="str">
        <x:f>IF(A335="","",IF(E335="","기타/불명",IF(IFERROR(SEARCH("급여",E335),0)&gt;0,"인건비",IF(IFERROR(SEARCH("임차",E335),0)&gt;0,"임차·시설",IF(IFERROR(SEARCH("광고",E335),0)&gt;0,"광고·행사",IF(IFERROR(SEARCH("용역",E335),0)&gt;0,"용역·수수료","기타/불명"))))))</x:f>
      </x:c>
      <x:c r="J335" s="77" t="str">
        <x:f>IF(A335="","",IF(I335="기타/불명","확인 필요","결의서명으로 1차 확인"))</x:f>
      </x:c>
      <x:c r="K335" s="78"/>
    </x:row>
    <x:row r="336">
      <x:c r="A336" s="73"/>
      <x:c r="B336" s="73"/>
      <x:c r="C336" s="74"/>
      <x:c r="D336" s="73"/>
      <x:c r="E336" s="73"/>
      <x:c r="F336" s="75"/>
      <x:c r="G336" s="75"/>
      <x:c r="H336" s="76" t="str">
        <x:f>IF(A336="","",F336-G336)</x:f>
      </x:c>
      <x:c r="I336" s="77" t="str">
        <x:f>IF(A336="","",IF(E336="","기타/불명",IF(IFERROR(SEARCH("급여",E336),0)&gt;0,"인건비",IF(IFERROR(SEARCH("임차",E336),0)&gt;0,"임차·시설",IF(IFERROR(SEARCH("광고",E336),0)&gt;0,"광고·행사",IF(IFERROR(SEARCH("용역",E336),0)&gt;0,"용역·수수료","기타/불명"))))))</x:f>
      </x:c>
      <x:c r="J336" s="77" t="str">
        <x:f>IF(A336="","",IF(I336="기타/불명","확인 필요","결의서명으로 1차 확인"))</x:f>
      </x:c>
      <x:c r="K336" s="78"/>
    </x:row>
    <x:row r="337">
      <x:c r="A337" s="73"/>
      <x:c r="B337" s="73"/>
      <x:c r="C337" s="74"/>
      <x:c r="D337" s="73"/>
      <x:c r="E337" s="73"/>
      <x:c r="F337" s="75"/>
      <x:c r="G337" s="75"/>
      <x:c r="H337" s="76" t="str">
        <x:f>IF(A337="","",F337-G337)</x:f>
      </x:c>
      <x:c r="I337" s="77" t="str">
        <x:f>IF(A337="","",IF(E337="","기타/불명",IF(IFERROR(SEARCH("급여",E337),0)&gt;0,"인건비",IF(IFERROR(SEARCH("임차",E337),0)&gt;0,"임차·시설",IF(IFERROR(SEARCH("광고",E337),0)&gt;0,"광고·행사",IF(IFERROR(SEARCH("용역",E337),0)&gt;0,"용역·수수료","기타/불명"))))))</x:f>
      </x:c>
      <x:c r="J337" s="77" t="str">
        <x:f>IF(A337="","",IF(I337="기타/불명","확인 필요","결의서명으로 1차 확인"))</x:f>
      </x:c>
      <x:c r="K337" s="78"/>
    </x:row>
    <x:row r="338">
      <x:c r="A338" s="73"/>
      <x:c r="B338" s="73"/>
      <x:c r="C338" s="74"/>
      <x:c r="D338" s="73"/>
      <x:c r="E338" s="73"/>
      <x:c r="F338" s="75"/>
      <x:c r="G338" s="75"/>
      <x:c r="H338" s="76" t="str">
        <x:f>IF(A338="","",F338-G338)</x:f>
      </x:c>
      <x:c r="I338" s="77" t="str">
        <x:f>IF(A338="","",IF(E338="","기타/불명",IF(IFERROR(SEARCH("급여",E338),0)&gt;0,"인건비",IF(IFERROR(SEARCH("임차",E338),0)&gt;0,"임차·시설",IF(IFERROR(SEARCH("광고",E338),0)&gt;0,"광고·행사",IF(IFERROR(SEARCH("용역",E338),0)&gt;0,"용역·수수료","기타/불명"))))))</x:f>
      </x:c>
      <x:c r="J338" s="77" t="str">
        <x:f>IF(A338="","",IF(I338="기타/불명","확인 필요","결의서명으로 1차 확인"))</x:f>
      </x:c>
      <x:c r="K338" s="78"/>
    </x:row>
    <x:row r="339">
      <x:c r="A339" s="73"/>
      <x:c r="B339" s="73"/>
      <x:c r="C339" s="74"/>
      <x:c r="D339" s="73"/>
      <x:c r="E339" s="73"/>
      <x:c r="F339" s="75"/>
      <x:c r="G339" s="75"/>
      <x:c r="H339" s="76" t="str">
        <x:f>IF(A339="","",F339-G339)</x:f>
      </x:c>
      <x:c r="I339" s="77" t="str">
        <x:f>IF(A339="","",IF(E339="","기타/불명",IF(IFERROR(SEARCH("급여",E339),0)&gt;0,"인건비",IF(IFERROR(SEARCH("임차",E339),0)&gt;0,"임차·시설",IF(IFERROR(SEARCH("광고",E339),0)&gt;0,"광고·행사",IF(IFERROR(SEARCH("용역",E339),0)&gt;0,"용역·수수료","기타/불명"))))))</x:f>
      </x:c>
      <x:c r="J339" s="77" t="str">
        <x:f>IF(A339="","",IF(I339="기타/불명","확인 필요","결의서명으로 1차 확인"))</x:f>
      </x:c>
      <x:c r="K339" s="78"/>
    </x:row>
    <x:row r="340">
      <x:c r="A340" s="73"/>
      <x:c r="B340" s="73"/>
      <x:c r="C340" s="74"/>
      <x:c r="D340" s="73"/>
      <x:c r="E340" s="73"/>
      <x:c r="F340" s="75"/>
      <x:c r="G340" s="75"/>
      <x:c r="H340" s="76" t="str">
        <x:f>IF(A340="","",F340-G340)</x:f>
      </x:c>
      <x:c r="I340" s="77" t="str">
        <x:f>IF(A340="","",IF(E340="","기타/불명",IF(IFERROR(SEARCH("급여",E340),0)&gt;0,"인건비",IF(IFERROR(SEARCH("임차",E340),0)&gt;0,"임차·시설",IF(IFERROR(SEARCH("광고",E340),0)&gt;0,"광고·행사",IF(IFERROR(SEARCH("용역",E340),0)&gt;0,"용역·수수료","기타/불명"))))))</x:f>
      </x:c>
      <x:c r="J340" s="77" t="str">
        <x:f>IF(A340="","",IF(I340="기타/불명","확인 필요","결의서명으로 1차 확인"))</x:f>
      </x:c>
      <x:c r="K340" s="78"/>
    </x:row>
    <x:row r="341">
      <x:c r="A341" s="73"/>
      <x:c r="B341" s="73"/>
      <x:c r="C341" s="74"/>
      <x:c r="D341" s="73"/>
      <x:c r="E341" s="73"/>
      <x:c r="F341" s="75"/>
      <x:c r="G341" s="75"/>
      <x:c r="H341" s="76" t="str">
        <x:f>IF(A341="","",F341-G341)</x:f>
      </x:c>
      <x:c r="I341" s="77" t="str">
        <x:f>IF(A341="","",IF(E341="","기타/불명",IF(IFERROR(SEARCH("급여",E341),0)&gt;0,"인건비",IF(IFERROR(SEARCH("임차",E341),0)&gt;0,"임차·시설",IF(IFERROR(SEARCH("광고",E341),0)&gt;0,"광고·행사",IF(IFERROR(SEARCH("용역",E341),0)&gt;0,"용역·수수료","기타/불명"))))))</x:f>
      </x:c>
      <x:c r="J341" s="77" t="str">
        <x:f>IF(A341="","",IF(I341="기타/불명","확인 필요","결의서명으로 1차 확인"))</x:f>
      </x:c>
      <x:c r="K341" s="78"/>
    </x:row>
    <x:row r="342">
      <x:c r="A342" s="73"/>
      <x:c r="B342" s="73"/>
      <x:c r="C342" s="74"/>
      <x:c r="D342" s="73"/>
      <x:c r="E342" s="73"/>
      <x:c r="F342" s="75"/>
      <x:c r="G342" s="75"/>
      <x:c r="H342" s="76" t="str">
        <x:f>IF(A342="","",F342-G342)</x:f>
      </x:c>
      <x:c r="I342" s="77" t="str">
        <x:f>IF(A342="","",IF(E342="","기타/불명",IF(IFERROR(SEARCH("급여",E342),0)&gt;0,"인건비",IF(IFERROR(SEARCH("임차",E342),0)&gt;0,"임차·시설",IF(IFERROR(SEARCH("광고",E342),0)&gt;0,"광고·행사",IF(IFERROR(SEARCH("용역",E342),0)&gt;0,"용역·수수료","기타/불명"))))))</x:f>
      </x:c>
      <x:c r="J342" s="77" t="str">
        <x:f>IF(A342="","",IF(I342="기타/불명","확인 필요","결의서명으로 1차 확인"))</x:f>
      </x:c>
      <x:c r="K342" s="78"/>
    </x:row>
    <x:row r="343">
      <x:c r="A343" s="73"/>
      <x:c r="B343" s="73"/>
      <x:c r="C343" s="74"/>
      <x:c r="D343" s="73"/>
      <x:c r="E343" s="73"/>
      <x:c r="F343" s="75"/>
      <x:c r="G343" s="75"/>
      <x:c r="H343" s="76" t="str">
        <x:f>IF(A343="","",F343-G343)</x:f>
      </x:c>
      <x:c r="I343" s="77" t="str">
        <x:f>IF(A343="","",IF(E343="","기타/불명",IF(IFERROR(SEARCH("급여",E343),0)&gt;0,"인건비",IF(IFERROR(SEARCH("임차",E343),0)&gt;0,"임차·시설",IF(IFERROR(SEARCH("광고",E343),0)&gt;0,"광고·행사",IF(IFERROR(SEARCH("용역",E343),0)&gt;0,"용역·수수료","기타/불명"))))))</x:f>
      </x:c>
      <x:c r="J343" s="77" t="str">
        <x:f>IF(A343="","",IF(I343="기타/불명","확인 필요","결의서명으로 1차 확인"))</x:f>
      </x:c>
      <x:c r="K343" s="78"/>
    </x:row>
    <x:row r="344">
      <x:c r="A344" s="73"/>
      <x:c r="B344" s="73"/>
      <x:c r="C344" s="74"/>
      <x:c r="D344" s="73"/>
      <x:c r="E344" s="73"/>
      <x:c r="F344" s="75"/>
      <x:c r="G344" s="75"/>
      <x:c r="H344" s="76" t="str">
        <x:f>IF(A344="","",F344-G344)</x:f>
      </x:c>
      <x:c r="I344" s="77" t="str">
        <x:f>IF(A344="","",IF(E344="","기타/불명",IF(IFERROR(SEARCH("급여",E344),0)&gt;0,"인건비",IF(IFERROR(SEARCH("임차",E344),0)&gt;0,"임차·시설",IF(IFERROR(SEARCH("광고",E344),0)&gt;0,"광고·행사",IF(IFERROR(SEARCH("용역",E344),0)&gt;0,"용역·수수료","기타/불명"))))))</x:f>
      </x:c>
      <x:c r="J344" s="77" t="str">
        <x:f>IF(A344="","",IF(I344="기타/불명","확인 필요","결의서명으로 1차 확인"))</x:f>
      </x:c>
      <x:c r="K344" s="78"/>
    </x:row>
    <x:row r="345">
      <x:c r="A345" s="73"/>
      <x:c r="B345" s="73"/>
      <x:c r="C345" s="74"/>
      <x:c r="D345" s="73"/>
      <x:c r="E345" s="73"/>
      <x:c r="F345" s="75"/>
      <x:c r="G345" s="75"/>
      <x:c r="H345" s="76" t="str">
        <x:f>IF(A345="","",F345-G345)</x:f>
      </x:c>
      <x:c r="I345" s="77" t="str">
        <x:f>IF(A345="","",IF(E345="","기타/불명",IF(IFERROR(SEARCH("급여",E345),0)&gt;0,"인건비",IF(IFERROR(SEARCH("임차",E345),0)&gt;0,"임차·시설",IF(IFERROR(SEARCH("광고",E345),0)&gt;0,"광고·행사",IF(IFERROR(SEARCH("용역",E345),0)&gt;0,"용역·수수료","기타/불명"))))))</x:f>
      </x:c>
      <x:c r="J345" s="77" t="str">
        <x:f>IF(A345="","",IF(I345="기타/불명","확인 필요","결의서명으로 1차 확인"))</x:f>
      </x:c>
      <x:c r="K345" s="78"/>
    </x:row>
    <x:row r="346">
      <x:c r="A346" s="73"/>
      <x:c r="B346" s="73"/>
      <x:c r="C346" s="74"/>
      <x:c r="D346" s="73"/>
      <x:c r="E346" s="73"/>
      <x:c r="F346" s="75"/>
      <x:c r="G346" s="75"/>
      <x:c r="H346" s="76" t="str">
        <x:f>IF(A346="","",F346-G346)</x:f>
      </x:c>
      <x:c r="I346" s="77" t="str">
        <x:f>IF(A346="","",IF(E346="","기타/불명",IF(IFERROR(SEARCH("급여",E346),0)&gt;0,"인건비",IF(IFERROR(SEARCH("임차",E346),0)&gt;0,"임차·시설",IF(IFERROR(SEARCH("광고",E346),0)&gt;0,"광고·행사",IF(IFERROR(SEARCH("용역",E346),0)&gt;0,"용역·수수료","기타/불명"))))))</x:f>
      </x:c>
      <x:c r="J346" s="77" t="str">
        <x:f>IF(A346="","",IF(I346="기타/불명","확인 필요","결의서명으로 1차 확인"))</x:f>
      </x:c>
      <x:c r="K346" s="78"/>
    </x:row>
    <x:row r="347">
      <x:c r="A347" s="73"/>
      <x:c r="B347" s="73"/>
      <x:c r="C347" s="74"/>
      <x:c r="D347" s="73"/>
      <x:c r="E347" s="73"/>
      <x:c r="F347" s="75"/>
      <x:c r="G347" s="75"/>
      <x:c r="H347" s="76" t="str">
        <x:f>IF(A347="","",F347-G347)</x:f>
      </x:c>
      <x:c r="I347" s="77" t="str">
        <x:f>IF(A347="","",IF(E347="","기타/불명",IF(IFERROR(SEARCH("급여",E347),0)&gt;0,"인건비",IF(IFERROR(SEARCH("임차",E347),0)&gt;0,"임차·시설",IF(IFERROR(SEARCH("광고",E347),0)&gt;0,"광고·행사",IF(IFERROR(SEARCH("용역",E347),0)&gt;0,"용역·수수료","기타/불명"))))))</x:f>
      </x:c>
      <x:c r="J347" s="77" t="str">
        <x:f>IF(A347="","",IF(I347="기타/불명","확인 필요","결의서명으로 1차 확인"))</x:f>
      </x:c>
      <x:c r="K347" s="78"/>
    </x:row>
    <x:row r="348">
      <x:c r="A348" s="73"/>
      <x:c r="B348" s="73"/>
      <x:c r="C348" s="74"/>
      <x:c r="D348" s="73"/>
      <x:c r="E348" s="73"/>
      <x:c r="F348" s="75"/>
      <x:c r="G348" s="75"/>
      <x:c r="H348" s="76" t="str">
        <x:f>IF(A348="","",F348-G348)</x:f>
      </x:c>
      <x:c r="I348" s="77" t="str">
        <x:f>IF(A348="","",IF(E348="","기타/불명",IF(IFERROR(SEARCH("급여",E348),0)&gt;0,"인건비",IF(IFERROR(SEARCH("임차",E348),0)&gt;0,"임차·시설",IF(IFERROR(SEARCH("광고",E348),0)&gt;0,"광고·행사",IF(IFERROR(SEARCH("용역",E348),0)&gt;0,"용역·수수료","기타/불명"))))))</x:f>
      </x:c>
      <x:c r="J348" s="77" t="str">
        <x:f>IF(A348="","",IF(I348="기타/불명","확인 필요","결의서명으로 1차 확인"))</x:f>
      </x:c>
      <x:c r="K348" s="78"/>
    </x:row>
    <x:row r="349">
      <x:c r="A349" s="73"/>
      <x:c r="B349" s="73"/>
      <x:c r="C349" s="74"/>
      <x:c r="D349" s="73"/>
      <x:c r="E349" s="73"/>
      <x:c r="F349" s="75"/>
      <x:c r="G349" s="75"/>
      <x:c r="H349" s="76" t="str">
        <x:f>IF(A349="","",F349-G349)</x:f>
      </x:c>
      <x:c r="I349" s="77" t="str">
        <x:f>IF(A349="","",IF(E349="","기타/불명",IF(IFERROR(SEARCH("급여",E349),0)&gt;0,"인건비",IF(IFERROR(SEARCH("임차",E349),0)&gt;0,"임차·시설",IF(IFERROR(SEARCH("광고",E349),0)&gt;0,"광고·행사",IF(IFERROR(SEARCH("용역",E349),0)&gt;0,"용역·수수료","기타/불명"))))))</x:f>
      </x:c>
      <x:c r="J349" s="77" t="str">
        <x:f>IF(A349="","",IF(I349="기타/불명","확인 필요","결의서명으로 1차 확인"))</x:f>
      </x:c>
      <x:c r="K349" s="78"/>
    </x:row>
    <x:row r="350">
      <x:c r="A350" s="73"/>
      <x:c r="B350" s="73"/>
      <x:c r="C350" s="74"/>
      <x:c r="D350" s="73"/>
      <x:c r="E350" s="73"/>
      <x:c r="F350" s="75"/>
      <x:c r="G350" s="75"/>
      <x:c r="H350" s="76" t="str">
        <x:f>IF(A350="","",F350-G350)</x:f>
      </x:c>
      <x:c r="I350" s="77" t="str">
        <x:f>IF(A350="","",IF(E350="","기타/불명",IF(IFERROR(SEARCH("급여",E350),0)&gt;0,"인건비",IF(IFERROR(SEARCH("임차",E350),0)&gt;0,"임차·시설",IF(IFERROR(SEARCH("광고",E350),0)&gt;0,"광고·행사",IF(IFERROR(SEARCH("용역",E350),0)&gt;0,"용역·수수료","기타/불명"))))))</x:f>
      </x:c>
      <x:c r="J350" s="77" t="str">
        <x:f>IF(A350="","",IF(I350="기타/불명","확인 필요","결의서명으로 1차 확인"))</x:f>
      </x:c>
      <x:c r="K350" s="78"/>
    </x:row>
    <x:row r="351">
      <x:c r="A351" s="73"/>
      <x:c r="B351" s="73"/>
      <x:c r="C351" s="74"/>
      <x:c r="D351" s="73"/>
      <x:c r="E351" s="73"/>
      <x:c r="F351" s="75"/>
      <x:c r="G351" s="75"/>
      <x:c r="H351" s="76" t="str">
        <x:f>IF(A351="","",F351-G351)</x:f>
      </x:c>
      <x:c r="I351" s="77" t="str">
        <x:f>IF(A351="","",IF(E351="","기타/불명",IF(IFERROR(SEARCH("급여",E351),0)&gt;0,"인건비",IF(IFERROR(SEARCH("임차",E351),0)&gt;0,"임차·시설",IF(IFERROR(SEARCH("광고",E351),0)&gt;0,"광고·행사",IF(IFERROR(SEARCH("용역",E351),0)&gt;0,"용역·수수료","기타/불명"))))))</x:f>
      </x:c>
      <x:c r="J351" s="77" t="str">
        <x:f>IF(A351="","",IF(I351="기타/불명","확인 필요","결의서명으로 1차 확인"))</x:f>
      </x:c>
      <x:c r="K351" s="78"/>
    </x:row>
    <x:row r="352">
      <x:c r="A352" s="73"/>
      <x:c r="B352" s="73"/>
      <x:c r="C352" s="74"/>
      <x:c r="D352" s="73"/>
      <x:c r="E352" s="73"/>
      <x:c r="F352" s="75"/>
      <x:c r="G352" s="75"/>
      <x:c r="H352" s="76" t="str">
        <x:f>IF(A352="","",F352-G352)</x:f>
      </x:c>
      <x:c r="I352" s="77" t="str">
        <x:f>IF(A352="","",IF(E352="","기타/불명",IF(IFERROR(SEARCH("급여",E352),0)&gt;0,"인건비",IF(IFERROR(SEARCH("임차",E352),0)&gt;0,"임차·시설",IF(IFERROR(SEARCH("광고",E352),0)&gt;0,"광고·행사",IF(IFERROR(SEARCH("용역",E352),0)&gt;0,"용역·수수료","기타/불명"))))))</x:f>
      </x:c>
      <x:c r="J352" s="77" t="str">
        <x:f>IF(A352="","",IF(I352="기타/불명","확인 필요","결의서명으로 1차 확인"))</x:f>
      </x:c>
      <x:c r="K352" s="78"/>
    </x:row>
    <x:row r="353">
      <x:c r="A353" s="73"/>
      <x:c r="B353" s="73"/>
      <x:c r="C353" s="74"/>
      <x:c r="D353" s="73"/>
      <x:c r="E353" s="73"/>
      <x:c r="F353" s="75"/>
      <x:c r="G353" s="75"/>
      <x:c r="H353" s="76" t="str">
        <x:f>IF(A353="","",F353-G353)</x:f>
      </x:c>
      <x:c r="I353" s="77" t="str">
        <x:f>IF(A353="","",IF(E353="","기타/불명",IF(IFERROR(SEARCH("급여",E353),0)&gt;0,"인건비",IF(IFERROR(SEARCH("임차",E353),0)&gt;0,"임차·시설",IF(IFERROR(SEARCH("광고",E353),0)&gt;0,"광고·행사",IF(IFERROR(SEARCH("용역",E353),0)&gt;0,"용역·수수료","기타/불명"))))))</x:f>
      </x:c>
      <x:c r="J353" s="77" t="str">
        <x:f>IF(A353="","",IF(I353="기타/불명","확인 필요","결의서명으로 1차 확인"))</x:f>
      </x:c>
      <x:c r="K353" s="78"/>
    </x:row>
    <x:row r="354">
      <x:c r="A354" s="73"/>
      <x:c r="B354" s="73"/>
      <x:c r="C354" s="74"/>
      <x:c r="D354" s="73"/>
      <x:c r="E354" s="73"/>
      <x:c r="F354" s="75"/>
      <x:c r="G354" s="75"/>
      <x:c r="H354" s="76" t="str">
        <x:f>IF(A354="","",F354-G354)</x:f>
      </x:c>
      <x:c r="I354" s="77" t="str">
        <x:f>IF(A354="","",IF(E354="","기타/불명",IF(IFERROR(SEARCH("급여",E354),0)&gt;0,"인건비",IF(IFERROR(SEARCH("임차",E354),0)&gt;0,"임차·시설",IF(IFERROR(SEARCH("광고",E354),0)&gt;0,"광고·행사",IF(IFERROR(SEARCH("용역",E354),0)&gt;0,"용역·수수료","기타/불명"))))))</x:f>
      </x:c>
      <x:c r="J354" s="77" t="str">
        <x:f>IF(A354="","",IF(I354="기타/불명","확인 필요","결의서명으로 1차 확인"))</x:f>
      </x:c>
      <x:c r="K354" s="78"/>
    </x:row>
    <x:row r="355">
      <x:c r="A355" s="73"/>
      <x:c r="B355" s="73"/>
      <x:c r="C355" s="74"/>
      <x:c r="D355" s="73"/>
      <x:c r="E355" s="73"/>
      <x:c r="F355" s="75"/>
      <x:c r="G355" s="75"/>
      <x:c r="H355" s="76" t="str">
        <x:f>IF(A355="","",F355-G355)</x:f>
      </x:c>
      <x:c r="I355" s="77" t="str">
        <x:f>IF(A355="","",IF(E355="","기타/불명",IF(IFERROR(SEARCH("급여",E355),0)&gt;0,"인건비",IF(IFERROR(SEARCH("임차",E355),0)&gt;0,"임차·시설",IF(IFERROR(SEARCH("광고",E355),0)&gt;0,"광고·행사",IF(IFERROR(SEARCH("용역",E355),0)&gt;0,"용역·수수료","기타/불명"))))))</x:f>
      </x:c>
      <x:c r="J355" s="77" t="str">
        <x:f>IF(A355="","",IF(I355="기타/불명","확인 필요","결의서명으로 1차 확인"))</x:f>
      </x:c>
      <x:c r="K355" s="78"/>
    </x:row>
    <x:row r="356">
      <x:c r="A356" s="73"/>
      <x:c r="B356" s="73"/>
      <x:c r="C356" s="74"/>
      <x:c r="D356" s="73"/>
      <x:c r="E356" s="73"/>
      <x:c r="F356" s="75"/>
      <x:c r="G356" s="75"/>
      <x:c r="H356" s="76" t="str">
        <x:f>IF(A356="","",F356-G356)</x:f>
      </x:c>
      <x:c r="I356" s="77" t="str">
        <x:f>IF(A356="","",IF(E356="","기타/불명",IF(IFERROR(SEARCH("급여",E356),0)&gt;0,"인건비",IF(IFERROR(SEARCH("임차",E356),0)&gt;0,"임차·시설",IF(IFERROR(SEARCH("광고",E356),0)&gt;0,"광고·행사",IF(IFERROR(SEARCH("용역",E356),0)&gt;0,"용역·수수료","기타/불명"))))))</x:f>
      </x:c>
      <x:c r="J356" s="77" t="str">
        <x:f>IF(A356="","",IF(I356="기타/불명","확인 필요","결의서명으로 1차 확인"))</x:f>
      </x:c>
      <x:c r="K356" s="78"/>
    </x:row>
    <x:row r="357">
      <x:c r="A357" s="73"/>
      <x:c r="B357" s="73"/>
      <x:c r="C357" s="74"/>
      <x:c r="D357" s="73"/>
      <x:c r="E357" s="73"/>
      <x:c r="F357" s="75"/>
      <x:c r="G357" s="75"/>
      <x:c r="H357" s="76" t="str">
        <x:f>IF(A357="","",F357-G357)</x:f>
      </x:c>
      <x:c r="I357" s="77" t="str">
        <x:f>IF(A357="","",IF(E357="","기타/불명",IF(IFERROR(SEARCH("급여",E357),0)&gt;0,"인건비",IF(IFERROR(SEARCH("임차",E357),0)&gt;0,"임차·시설",IF(IFERROR(SEARCH("광고",E357),0)&gt;0,"광고·행사",IF(IFERROR(SEARCH("용역",E357),0)&gt;0,"용역·수수료","기타/불명"))))))</x:f>
      </x:c>
      <x:c r="J357" s="77" t="str">
        <x:f>IF(A357="","",IF(I357="기타/불명","확인 필요","결의서명으로 1차 확인"))</x:f>
      </x:c>
      <x:c r="K357" s="78"/>
    </x:row>
    <x:row r="358">
      <x:c r="A358" s="73"/>
      <x:c r="B358" s="73"/>
      <x:c r="C358" s="74"/>
      <x:c r="D358" s="73"/>
      <x:c r="E358" s="73"/>
      <x:c r="F358" s="75"/>
      <x:c r="G358" s="75"/>
      <x:c r="H358" s="76" t="str">
        <x:f>IF(A358="","",F358-G358)</x:f>
      </x:c>
      <x:c r="I358" s="77" t="str">
        <x:f>IF(A358="","",IF(E358="","기타/불명",IF(IFERROR(SEARCH("급여",E358),0)&gt;0,"인건비",IF(IFERROR(SEARCH("임차",E358),0)&gt;0,"임차·시설",IF(IFERROR(SEARCH("광고",E358),0)&gt;0,"광고·행사",IF(IFERROR(SEARCH("용역",E358),0)&gt;0,"용역·수수료","기타/불명"))))))</x:f>
      </x:c>
      <x:c r="J358" s="77" t="str">
        <x:f>IF(A358="","",IF(I358="기타/불명","확인 필요","결의서명으로 1차 확인"))</x:f>
      </x:c>
      <x:c r="K358" s="78"/>
    </x:row>
    <x:row r="359">
      <x:c r="A359" s="73"/>
      <x:c r="B359" s="73"/>
      <x:c r="C359" s="74"/>
      <x:c r="D359" s="73"/>
      <x:c r="E359" s="73"/>
      <x:c r="F359" s="75"/>
      <x:c r="G359" s="75"/>
      <x:c r="H359" s="76" t="str">
        <x:f>IF(A359="","",F359-G359)</x:f>
      </x:c>
      <x:c r="I359" s="77" t="str">
        <x:f>IF(A359="","",IF(E359="","기타/불명",IF(IFERROR(SEARCH("급여",E359),0)&gt;0,"인건비",IF(IFERROR(SEARCH("임차",E359),0)&gt;0,"임차·시설",IF(IFERROR(SEARCH("광고",E359),0)&gt;0,"광고·행사",IF(IFERROR(SEARCH("용역",E359),0)&gt;0,"용역·수수료","기타/불명"))))))</x:f>
      </x:c>
      <x:c r="J359" s="77" t="str">
        <x:f>IF(A359="","",IF(I359="기타/불명","확인 필요","결의서명으로 1차 확인"))</x:f>
      </x:c>
      <x:c r="K359" s="78"/>
    </x:row>
    <x:row r="360">
      <x:c r="A360" s="73"/>
      <x:c r="B360" s="73"/>
      <x:c r="C360" s="74"/>
      <x:c r="D360" s="73"/>
      <x:c r="E360" s="73"/>
      <x:c r="F360" s="75"/>
      <x:c r="G360" s="75"/>
      <x:c r="H360" s="76" t="str">
        <x:f>IF(A360="","",F360-G360)</x:f>
      </x:c>
      <x:c r="I360" s="77" t="str">
        <x:f>IF(A360="","",IF(E360="","기타/불명",IF(IFERROR(SEARCH("급여",E360),0)&gt;0,"인건비",IF(IFERROR(SEARCH("임차",E360),0)&gt;0,"임차·시설",IF(IFERROR(SEARCH("광고",E360),0)&gt;0,"광고·행사",IF(IFERROR(SEARCH("용역",E360),0)&gt;0,"용역·수수료","기타/불명"))))))</x:f>
      </x:c>
      <x:c r="J360" s="77" t="str">
        <x:f>IF(A360="","",IF(I360="기타/불명","확인 필요","결의서명으로 1차 확인"))</x:f>
      </x:c>
      <x:c r="K360" s="78"/>
    </x:row>
    <x:row r="361">
      <x:c r="A361" s="73"/>
      <x:c r="B361" s="73"/>
      <x:c r="C361" s="74"/>
      <x:c r="D361" s="73"/>
      <x:c r="E361" s="73"/>
      <x:c r="F361" s="75"/>
      <x:c r="G361" s="75"/>
      <x:c r="H361" s="76" t="str">
        <x:f>IF(A361="","",F361-G361)</x:f>
      </x:c>
      <x:c r="I361" s="77" t="str">
        <x:f>IF(A361="","",IF(E361="","기타/불명",IF(IFERROR(SEARCH("급여",E361),0)&gt;0,"인건비",IF(IFERROR(SEARCH("임차",E361),0)&gt;0,"임차·시설",IF(IFERROR(SEARCH("광고",E361),0)&gt;0,"광고·행사",IF(IFERROR(SEARCH("용역",E361),0)&gt;0,"용역·수수료","기타/불명"))))))</x:f>
      </x:c>
      <x:c r="J361" s="77" t="str">
        <x:f>IF(A361="","",IF(I361="기타/불명","확인 필요","결의서명으로 1차 확인"))</x:f>
      </x:c>
      <x:c r="K361" s="78"/>
    </x:row>
    <x:row r="362">
      <x:c r="A362" s="73"/>
      <x:c r="B362" s="73"/>
      <x:c r="C362" s="74"/>
      <x:c r="D362" s="73"/>
      <x:c r="E362" s="73"/>
      <x:c r="F362" s="75"/>
      <x:c r="G362" s="75"/>
      <x:c r="H362" s="76" t="str">
        <x:f>IF(A362="","",F362-G362)</x:f>
      </x:c>
      <x:c r="I362" s="77" t="str">
        <x:f>IF(A362="","",IF(E362="","기타/불명",IF(IFERROR(SEARCH("급여",E362),0)&gt;0,"인건비",IF(IFERROR(SEARCH("임차",E362),0)&gt;0,"임차·시설",IF(IFERROR(SEARCH("광고",E362),0)&gt;0,"광고·행사",IF(IFERROR(SEARCH("용역",E362),0)&gt;0,"용역·수수료","기타/불명"))))))</x:f>
      </x:c>
      <x:c r="J362" s="77" t="str">
        <x:f>IF(A362="","",IF(I362="기타/불명","확인 필요","결의서명으로 1차 확인"))</x:f>
      </x:c>
      <x:c r="K362" s="78"/>
    </x:row>
    <x:row r="363">
      <x:c r="A363" s="73"/>
      <x:c r="B363" s="73"/>
      <x:c r="C363" s="74"/>
      <x:c r="D363" s="73"/>
      <x:c r="E363" s="73"/>
      <x:c r="F363" s="75"/>
      <x:c r="G363" s="75"/>
      <x:c r="H363" s="76" t="str">
        <x:f>IF(A363="","",F363-G363)</x:f>
      </x:c>
      <x:c r="I363" s="77" t="str">
        <x:f>IF(A363="","",IF(E363="","기타/불명",IF(IFERROR(SEARCH("급여",E363),0)&gt;0,"인건비",IF(IFERROR(SEARCH("임차",E363),0)&gt;0,"임차·시설",IF(IFERROR(SEARCH("광고",E363),0)&gt;0,"광고·행사",IF(IFERROR(SEARCH("용역",E363),0)&gt;0,"용역·수수료","기타/불명"))))))</x:f>
      </x:c>
      <x:c r="J363" s="77" t="str">
        <x:f>IF(A363="","",IF(I363="기타/불명","확인 필요","결의서명으로 1차 확인"))</x:f>
      </x:c>
      <x:c r="K363" s="78"/>
    </x:row>
    <x:row r="364">
      <x:c r="A364" s="73"/>
      <x:c r="B364" s="73"/>
      <x:c r="C364" s="74"/>
      <x:c r="D364" s="73"/>
      <x:c r="E364" s="73"/>
      <x:c r="F364" s="75"/>
      <x:c r="G364" s="75"/>
      <x:c r="H364" s="76" t="str">
        <x:f>IF(A364="","",F364-G364)</x:f>
      </x:c>
      <x:c r="I364" s="77" t="str">
        <x:f>IF(A364="","",IF(E364="","기타/불명",IF(IFERROR(SEARCH("급여",E364),0)&gt;0,"인건비",IF(IFERROR(SEARCH("임차",E364),0)&gt;0,"임차·시설",IF(IFERROR(SEARCH("광고",E364),0)&gt;0,"광고·행사",IF(IFERROR(SEARCH("용역",E364),0)&gt;0,"용역·수수료","기타/불명"))))))</x:f>
      </x:c>
      <x:c r="J364" s="77" t="str">
        <x:f>IF(A364="","",IF(I364="기타/불명","확인 필요","결의서명으로 1차 확인"))</x:f>
      </x:c>
      <x:c r="K364" s="78"/>
    </x:row>
    <x:row r="365">
      <x:c r="A365" s="73"/>
      <x:c r="B365" s="73"/>
      <x:c r="C365" s="74"/>
      <x:c r="D365" s="73"/>
      <x:c r="E365" s="73"/>
      <x:c r="F365" s="75"/>
      <x:c r="G365" s="75"/>
      <x:c r="H365" s="76" t="str">
        <x:f>IF(A365="","",F365-G365)</x:f>
      </x:c>
      <x:c r="I365" s="77" t="str">
        <x:f>IF(A365="","",IF(E365="","기타/불명",IF(IFERROR(SEARCH("급여",E365),0)&gt;0,"인건비",IF(IFERROR(SEARCH("임차",E365),0)&gt;0,"임차·시설",IF(IFERROR(SEARCH("광고",E365),0)&gt;0,"광고·행사",IF(IFERROR(SEARCH("용역",E365),0)&gt;0,"용역·수수료","기타/불명"))))))</x:f>
      </x:c>
      <x:c r="J365" s="77" t="str">
        <x:f>IF(A365="","",IF(I365="기타/불명","확인 필요","결의서명으로 1차 확인"))</x:f>
      </x:c>
      <x:c r="K365" s="78"/>
    </x:row>
    <x:row r="366">
      <x:c r="A366" s="73"/>
      <x:c r="B366" s="73"/>
      <x:c r="C366" s="74"/>
      <x:c r="D366" s="73"/>
      <x:c r="E366" s="73"/>
      <x:c r="F366" s="75"/>
      <x:c r="G366" s="75"/>
      <x:c r="H366" s="76" t="str">
        <x:f>IF(A366="","",F366-G366)</x:f>
      </x:c>
      <x:c r="I366" s="77" t="str">
        <x:f>IF(A366="","",IF(E366="","기타/불명",IF(IFERROR(SEARCH("급여",E366),0)&gt;0,"인건비",IF(IFERROR(SEARCH("임차",E366),0)&gt;0,"임차·시설",IF(IFERROR(SEARCH("광고",E366),0)&gt;0,"광고·행사",IF(IFERROR(SEARCH("용역",E366),0)&gt;0,"용역·수수료","기타/불명"))))))</x:f>
      </x:c>
      <x:c r="J366" s="77" t="str">
        <x:f>IF(A366="","",IF(I366="기타/불명","확인 필요","결의서명으로 1차 확인"))</x:f>
      </x:c>
      <x:c r="K366" s="78"/>
    </x:row>
    <x:row r="367">
      <x:c r="A367" s="73"/>
      <x:c r="B367" s="73"/>
      <x:c r="C367" s="74"/>
      <x:c r="D367" s="73"/>
      <x:c r="E367" s="73"/>
      <x:c r="F367" s="75"/>
      <x:c r="G367" s="75"/>
      <x:c r="H367" s="76" t="str">
        <x:f>IF(A367="","",F367-G367)</x:f>
      </x:c>
      <x:c r="I367" s="77" t="str">
        <x:f>IF(A367="","",IF(E367="","기타/불명",IF(IFERROR(SEARCH("급여",E367),0)&gt;0,"인건비",IF(IFERROR(SEARCH("임차",E367),0)&gt;0,"임차·시설",IF(IFERROR(SEARCH("광고",E367),0)&gt;0,"광고·행사",IF(IFERROR(SEARCH("용역",E367),0)&gt;0,"용역·수수료","기타/불명"))))))</x:f>
      </x:c>
      <x:c r="J367" s="77" t="str">
        <x:f>IF(A367="","",IF(I367="기타/불명","확인 필요","결의서명으로 1차 확인"))</x:f>
      </x:c>
      <x:c r="K367" s="78"/>
    </x:row>
    <x:row r="368">
      <x:c r="A368" s="73"/>
      <x:c r="B368" s="73"/>
      <x:c r="C368" s="74"/>
      <x:c r="D368" s="73"/>
      <x:c r="E368" s="73"/>
      <x:c r="F368" s="75"/>
      <x:c r="G368" s="75"/>
      <x:c r="H368" s="76" t="str">
        <x:f>IF(A368="","",F368-G368)</x:f>
      </x:c>
      <x:c r="I368" s="77" t="str">
        <x:f>IF(A368="","",IF(E368="","기타/불명",IF(IFERROR(SEARCH("급여",E368),0)&gt;0,"인건비",IF(IFERROR(SEARCH("임차",E368),0)&gt;0,"임차·시설",IF(IFERROR(SEARCH("광고",E368),0)&gt;0,"광고·행사",IF(IFERROR(SEARCH("용역",E368),0)&gt;0,"용역·수수료","기타/불명"))))))</x:f>
      </x:c>
      <x:c r="J368" s="77" t="str">
        <x:f>IF(A368="","",IF(I368="기타/불명","확인 필요","결의서명으로 1차 확인"))</x:f>
      </x:c>
      <x:c r="K368" s="78"/>
    </x:row>
    <x:row r="369">
      <x:c r="A369" s="73"/>
      <x:c r="B369" s="73"/>
      <x:c r="C369" s="74"/>
      <x:c r="D369" s="73"/>
      <x:c r="E369" s="73"/>
      <x:c r="F369" s="75"/>
      <x:c r="G369" s="75"/>
      <x:c r="H369" s="76" t="str">
        <x:f>IF(A369="","",F369-G369)</x:f>
      </x:c>
      <x:c r="I369" s="77" t="str">
        <x:f>IF(A369="","",IF(E369="","기타/불명",IF(IFERROR(SEARCH("급여",E369),0)&gt;0,"인건비",IF(IFERROR(SEARCH("임차",E369),0)&gt;0,"임차·시설",IF(IFERROR(SEARCH("광고",E369),0)&gt;0,"광고·행사",IF(IFERROR(SEARCH("용역",E369),0)&gt;0,"용역·수수료","기타/불명"))))))</x:f>
      </x:c>
      <x:c r="J369" s="77" t="str">
        <x:f>IF(A369="","",IF(I369="기타/불명","확인 필요","결의서명으로 1차 확인"))</x:f>
      </x:c>
      <x:c r="K369" s="78"/>
    </x:row>
    <x:row r="370">
      <x:c r="A370" s="73"/>
      <x:c r="B370" s="73"/>
      <x:c r="C370" s="74"/>
      <x:c r="D370" s="73"/>
      <x:c r="E370" s="73"/>
      <x:c r="F370" s="75"/>
      <x:c r="G370" s="75"/>
      <x:c r="H370" s="76" t="str">
        <x:f>IF(A370="","",F370-G370)</x:f>
      </x:c>
      <x:c r="I370" s="77" t="str">
        <x:f>IF(A370="","",IF(E370="","기타/불명",IF(IFERROR(SEARCH("급여",E370),0)&gt;0,"인건비",IF(IFERROR(SEARCH("임차",E370),0)&gt;0,"임차·시설",IF(IFERROR(SEARCH("광고",E370),0)&gt;0,"광고·행사",IF(IFERROR(SEARCH("용역",E370),0)&gt;0,"용역·수수료","기타/불명"))))))</x:f>
      </x:c>
      <x:c r="J370" s="77" t="str">
        <x:f>IF(A370="","",IF(I370="기타/불명","확인 필요","결의서명으로 1차 확인"))</x:f>
      </x:c>
      <x:c r="K370" s="78"/>
    </x:row>
    <x:row r="371">
      <x:c r="A371" s="73"/>
      <x:c r="B371" s="73"/>
      <x:c r="C371" s="74"/>
      <x:c r="D371" s="73"/>
      <x:c r="E371" s="73"/>
      <x:c r="F371" s="75"/>
      <x:c r="G371" s="75"/>
      <x:c r="H371" s="76" t="str">
        <x:f>IF(A371="","",F371-G371)</x:f>
      </x:c>
      <x:c r="I371" s="77" t="str">
        <x:f>IF(A371="","",IF(E371="","기타/불명",IF(IFERROR(SEARCH("급여",E371),0)&gt;0,"인건비",IF(IFERROR(SEARCH("임차",E371),0)&gt;0,"임차·시설",IF(IFERROR(SEARCH("광고",E371),0)&gt;0,"광고·행사",IF(IFERROR(SEARCH("용역",E371),0)&gt;0,"용역·수수료","기타/불명"))))))</x:f>
      </x:c>
      <x:c r="J371" s="77" t="str">
        <x:f>IF(A371="","",IF(I371="기타/불명","확인 필요","결의서명으로 1차 확인"))</x:f>
      </x:c>
      <x:c r="K371" s="78"/>
    </x:row>
    <x:row r="372">
      <x:c r="A372" s="73"/>
      <x:c r="B372" s="73"/>
      <x:c r="C372" s="74"/>
      <x:c r="D372" s="73"/>
      <x:c r="E372" s="73"/>
      <x:c r="F372" s="75"/>
      <x:c r="G372" s="75"/>
      <x:c r="H372" s="76" t="str">
        <x:f>IF(A372="","",F372-G372)</x:f>
      </x:c>
      <x:c r="I372" s="77" t="str">
        <x:f>IF(A372="","",IF(E372="","기타/불명",IF(IFERROR(SEARCH("급여",E372),0)&gt;0,"인건비",IF(IFERROR(SEARCH("임차",E372),0)&gt;0,"임차·시설",IF(IFERROR(SEARCH("광고",E372),0)&gt;0,"광고·행사",IF(IFERROR(SEARCH("용역",E372),0)&gt;0,"용역·수수료","기타/불명"))))))</x:f>
      </x:c>
      <x:c r="J372" s="77" t="str">
        <x:f>IF(A372="","",IF(I372="기타/불명","확인 필요","결의서명으로 1차 확인"))</x:f>
      </x:c>
      <x:c r="K372" s="78"/>
    </x:row>
    <x:row r="373">
      <x:c r="A373" s="73"/>
      <x:c r="B373" s="73"/>
      <x:c r="C373" s="74"/>
      <x:c r="D373" s="73"/>
      <x:c r="E373" s="73"/>
      <x:c r="F373" s="75"/>
      <x:c r="G373" s="75"/>
      <x:c r="H373" s="76" t="str">
        <x:f>IF(A373="","",F373-G373)</x:f>
      </x:c>
      <x:c r="I373" s="77" t="str">
        <x:f>IF(A373="","",IF(E373="","기타/불명",IF(IFERROR(SEARCH("급여",E373),0)&gt;0,"인건비",IF(IFERROR(SEARCH("임차",E373),0)&gt;0,"임차·시설",IF(IFERROR(SEARCH("광고",E373),0)&gt;0,"광고·행사",IF(IFERROR(SEARCH("용역",E373),0)&gt;0,"용역·수수료","기타/불명"))))))</x:f>
      </x:c>
      <x:c r="J373" s="77" t="str">
        <x:f>IF(A373="","",IF(I373="기타/불명","확인 필요","결의서명으로 1차 확인"))</x:f>
      </x:c>
      <x:c r="K373" s="78"/>
    </x:row>
    <x:row r="374">
      <x:c r="A374" s="73"/>
      <x:c r="B374" s="73"/>
      <x:c r="C374" s="74"/>
      <x:c r="D374" s="73"/>
      <x:c r="E374" s="73"/>
      <x:c r="F374" s="75"/>
      <x:c r="G374" s="75"/>
      <x:c r="H374" s="76" t="str">
        <x:f>IF(A374="","",F374-G374)</x:f>
      </x:c>
      <x:c r="I374" s="77" t="str">
        <x:f>IF(A374="","",IF(E374="","기타/불명",IF(IFERROR(SEARCH("급여",E374),0)&gt;0,"인건비",IF(IFERROR(SEARCH("임차",E374),0)&gt;0,"임차·시설",IF(IFERROR(SEARCH("광고",E374),0)&gt;0,"광고·행사",IF(IFERROR(SEARCH("용역",E374),0)&gt;0,"용역·수수료","기타/불명"))))))</x:f>
      </x:c>
      <x:c r="J374" s="77" t="str">
        <x:f>IF(A374="","",IF(I374="기타/불명","확인 필요","결의서명으로 1차 확인"))</x:f>
      </x:c>
      <x:c r="K374" s="78"/>
    </x:row>
    <x:row r="375">
      <x:c r="A375" s="73"/>
      <x:c r="B375" s="73"/>
      <x:c r="C375" s="74"/>
      <x:c r="D375" s="73"/>
      <x:c r="E375" s="73"/>
      <x:c r="F375" s="75"/>
      <x:c r="G375" s="75"/>
      <x:c r="H375" s="76" t="str">
        <x:f>IF(A375="","",F375-G375)</x:f>
      </x:c>
      <x:c r="I375" s="77" t="str">
        <x:f>IF(A375="","",IF(E375="","기타/불명",IF(IFERROR(SEARCH("급여",E375),0)&gt;0,"인건비",IF(IFERROR(SEARCH("임차",E375),0)&gt;0,"임차·시설",IF(IFERROR(SEARCH("광고",E375),0)&gt;0,"광고·행사",IF(IFERROR(SEARCH("용역",E375),0)&gt;0,"용역·수수료","기타/불명"))))))</x:f>
      </x:c>
      <x:c r="J375" s="77" t="str">
        <x:f>IF(A375="","",IF(I375="기타/불명","확인 필요","결의서명으로 1차 확인"))</x:f>
      </x:c>
      <x:c r="K375" s="78"/>
    </x:row>
    <x:row r="376">
      <x:c r="A376" s="73"/>
      <x:c r="B376" s="73"/>
      <x:c r="C376" s="74"/>
      <x:c r="D376" s="73"/>
      <x:c r="E376" s="73"/>
      <x:c r="F376" s="75"/>
      <x:c r="G376" s="75"/>
      <x:c r="H376" s="76" t="str">
        <x:f>IF(A376="","",F376-G376)</x:f>
      </x:c>
      <x:c r="I376" s="77" t="str">
        <x:f>IF(A376="","",IF(E376="","기타/불명",IF(IFERROR(SEARCH("급여",E376),0)&gt;0,"인건비",IF(IFERROR(SEARCH("임차",E376),0)&gt;0,"임차·시설",IF(IFERROR(SEARCH("광고",E376),0)&gt;0,"광고·행사",IF(IFERROR(SEARCH("용역",E376),0)&gt;0,"용역·수수료","기타/불명"))))))</x:f>
      </x:c>
      <x:c r="J376" s="77" t="str">
        <x:f>IF(A376="","",IF(I376="기타/불명","확인 필요","결의서명으로 1차 확인"))</x:f>
      </x:c>
      <x:c r="K376" s="78"/>
    </x:row>
    <x:row r="377">
      <x:c r="A377" s="73"/>
      <x:c r="B377" s="73"/>
      <x:c r="C377" s="74"/>
      <x:c r="D377" s="73"/>
      <x:c r="E377" s="73"/>
      <x:c r="F377" s="75"/>
      <x:c r="G377" s="75"/>
      <x:c r="H377" s="76" t="str">
        <x:f>IF(A377="","",F377-G377)</x:f>
      </x:c>
      <x:c r="I377" s="77" t="str">
        <x:f>IF(A377="","",IF(E377="","기타/불명",IF(IFERROR(SEARCH("급여",E377),0)&gt;0,"인건비",IF(IFERROR(SEARCH("임차",E377),0)&gt;0,"임차·시설",IF(IFERROR(SEARCH("광고",E377),0)&gt;0,"광고·행사",IF(IFERROR(SEARCH("용역",E377),0)&gt;0,"용역·수수료","기타/불명"))))))</x:f>
      </x:c>
      <x:c r="J377" s="77" t="str">
        <x:f>IF(A377="","",IF(I377="기타/불명","확인 필요","결의서명으로 1차 확인"))</x:f>
      </x:c>
      <x:c r="K377" s="78"/>
    </x:row>
    <x:row r="378">
      <x:c r="A378" s="73"/>
      <x:c r="B378" s="73"/>
      <x:c r="C378" s="74"/>
      <x:c r="D378" s="73"/>
      <x:c r="E378" s="73"/>
      <x:c r="F378" s="75"/>
      <x:c r="G378" s="75"/>
      <x:c r="H378" s="76" t="str">
        <x:f>IF(A378="","",F378-G378)</x:f>
      </x:c>
      <x:c r="I378" s="77" t="str">
        <x:f>IF(A378="","",IF(E378="","기타/불명",IF(IFERROR(SEARCH("급여",E378),0)&gt;0,"인건비",IF(IFERROR(SEARCH("임차",E378),0)&gt;0,"임차·시설",IF(IFERROR(SEARCH("광고",E378),0)&gt;0,"광고·행사",IF(IFERROR(SEARCH("용역",E378),0)&gt;0,"용역·수수료","기타/불명"))))))</x:f>
      </x:c>
      <x:c r="J378" s="77" t="str">
        <x:f>IF(A378="","",IF(I378="기타/불명","확인 필요","결의서명으로 1차 확인"))</x:f>
      </x:c>
      <x:c r="K378" s="78"/>
    </x:row>
    <x:row r="379">
      <x:c r="A379" s="73"/>
      <x:c r="B379" s="73"/>
      <x:c r="C379" s="74"/>
      <x:c r="D379" s="73"/>
      <x:c r="E379" s="73"/>
      <x:c r="F379" s="75"/>
      <x:c r="G379" s="75"/>
      <x:c r="H379" s="76" t="str">
        <x:f>IF(A379="","",F379-G379)</x:f>
      </x:c>
      <x:c r="I379" s="77" t="str">
        <x:f>IF(A379="","",IF(E379="","기타/불명",IF(IFERROR(SEARCH("급여",E379),0)&gt;0,"인건비",IF(IFERROR(SEARCH("임차",E379),0)&gt;0,"임차·시설",IF(IFERROR(SEARCH("광고",E379),0)&gt;0,"광고·행사",IF(IFERROR(SEARCH("용역",E379),0)&gt;0,"용역·수수료","기타/불명"))))))</x:f>
      </x:c>
      <x:c r="J379" s="77" t="str">
        <x:f>IF(A379="","",IF(I379="기타/불명","확인 필요","결의서명으로 1차 확인"))</x:f>
      </x:c>
      <x:c r="K379" s="78"/>
    </x:row>
    <x:row r="380">
      <x:c r="A380" s="73"/>
      <x:c r="B380" s="73"/>
      <x:c r="C380" s="74"/>
      <x:c r="D380" s="73"/>
      <x:c r="E380" s="73"/>
      <x:c r="F380" s="75"/>
      <x:c r="G380" s="75"/>
      <x:c r="H380" s="76" t="str">
        <x:f>IF(A380="","",F380-G380)</x:f>
      </x:c>
      <x:c r="I380" s="77" t="str">
        <x:f>IF(A380="","",IF(E380="","기타/불명",IF(IFERROR(SEARCH("급여",E380),0)&gt;0,"인건비",IF(IFERROR(SEARCH("임차",E380),0)&gt;0,"임차·시설",IF(IFERROR(SEARCH("광고",E380),0)&gt;0,"광고·행사",IF(IFERROR(SEARCH("용역",E380),0)&gt;0,"용역·수수료","기타/불명"))))))</x:f>
      </x:c>
      <x:c r="J380" s="77" t="str">
        <x:f>IF(A380="","",IF(I380="기타/불명","확인 필요","결의서명으로 1차 확인"))</x:f>
      </x:c>
      <x:c r="K380" s="78"/>
    </x:row>
    <x:row r="381">
      <x:c r="A381" s="73"/>
      <x:c r="B381" s="73"/>
      <x:c r="C381" s="74"/>
      <x:c r="D381" s="73"/>
      <x:c r="E381" s="73"/>
      <x:c r="F381" s="75"/>
      <x:c r="G381" s="75"/>
      <x:c r="H381" s="76" t="str">
        <x:f>IF(A381="","",F381-G381)</x:f>
      </x:c>
      <x:c r="I381" s="77" t="str">
        <x:f>IF(A381="","",IF(E381="","기타/불명",IF(IFERROR(SEARCH("급여",E381),0)&gt;0,"인건비",IF(IFERROR(SEARCH("임차",E381),0)&gt;0,"임차·시설",IF(IFERROR(SEARCH("광고",E381),0)&gt;0,"광고·행사",IF(IFERROR(SEARCH("용역",E381),0)&gt;0,"용역·수수료","기타/불명"))))))</x:f>
      </x:c>
      <x:c r="J381" s="77" t="str">
        <x:f>IF(A381="","",IF(I381="기타/불명","확인 필요","결의서명으로 1차 확인"))</x:f>
      </x:c>
      <x:c r="K381" s="78"/>
    </x:row>
    <x:row r="382">
      <x:c r="A382" s="73"/>
      <x:c r="B382" s="73"/>
      <x:c r="C382" s="74"/>
      <x:c r="D382" s="73"/>
      <x:c r="E382" s="73"/>
      <x:c r="F382" s="75"/>
      <x:c r="G382" s="75"/>
      <x:c r="H382" s="76" t="str">
        <x:f>IF(A382="","",F382-G382)</x:f>
      </x:c>
      <x:c r="I382" s="77" t="str">
        <x:f>IF(A382="","",IF(E382="","기타/불명",IF(IFERROR(SEARCH("급여",E382),0)&gt;0,"인건비",IF(IFERROR(SEARCH("임차",E382),0)&gt;0,"임차·시설",IF(IFERROR(SEARCH("광고",E382),0)&gt;0,"광고·행사",IF(IFERROR(SEARCH("용역",E382),0)&gt;0,"용역·수수료","기타/불명"))))))</x:f>
      </x:c>
      <x:c r="J382" s="77" t="str">
        <x:f>IF(A382="","",IF(I382="기타/불명","확인 필요","결의서명으로 1차 확인"))</x:f>
      </x:c>
      <x:c r="K382" s="78"/>
    </x:row>
    <x:row r="383">
      <x:c r="A383" s="73"/>
      <x:c r="B383" s="73"/>
      <x:c r="C383" s="74"/>
      <x:c r="D383" s="73"/>
      <x:c r="E383" s="73"/>
      <x:c r="F383" s="75"/>
      <x:c r="G383" s="75"/>
      <x:c r="H383" s="76" t="str">
        <x:f>IF(A383="","",F383-G383)</x:f>
      </x:c>
      <x:c r="I383" s="77" t="str">
        <x:f>IF(A383="","",IF(E383="","기타/불명",IF(IFERROR(SEARCH("급여",E383),0)&gt;0,"인건비",IF(IFERROR(SEARCH("임차",E383),0)&gt;0,"임차·시설",IF(IFERROR(SEARCH("광고",E383),0)&gt;0,"광고·행사",IF(IFERROR(SEARCH("용역",E383),0)&gt;0,"용역·수수료","기타/불명"))))))</x:f>
      </x:c>
      <x:c r="J383" s="77" t="str">
        <x:f>IF(A383="","",IF(I383="기타/불명","확인 필요","결의서명으로 1차 확인"))</x:f>
      </x:c>
      <x:c r="K383" s="78"/>
    </x:row>
    <x:row r="384">
      <x:c r="A384" s="73"/>
      <x:c r="B384" s="73"/>
      <x:c r="C384" s="74"/>
      <x:c r="D384" s="73"/>
      <x:c r="E384" s="73"/>
      <x:c r="F384" s="75"/>
      <x:c r="G384" s="75"/>
      <x:c r="H384" s="76" t="str">
        <x:f>IF(A384="","",F384-G384)</x:f>
      </x:c>
      <x:c r="I384" s="77" t="str">
        <x:f>IF(A384="","",IF(E384="","기타/불명",IF(IFERROR(SEARCH("급여",E384),0)&gt;0,"인건비",IF(IFERROR(SEARCH("임차",E384),0)&gt;0,"임차·시설",IF(IFERROR(SEARCH("광고",E384),0)&gt;0,"광고·행사",IF(IFERROR(SEARCH("용역",E384),0)&gt;0,"용역·수수료","기타/불명"))))))</x:f>
      </x:c>
      <x:c r="J384" s="77" t="str">
        <x:f>IF(A384="","",IF(I384="기타/불명","확인 필요","결의서명으로 1차 확인"))</x:f>
      </x:c>
      <x:c r="K384" s="78"/>
    </x:row>
    <x:row r="385">
      <x:c r="A385" s="73"/>
      <x:c r="B385" s="73"/>
      <x:c r="C385" s="74"/>
      <x:c r="D385" s="73"/>
      <x:c r="E385" s="73"/>
      <x:c r="F385" s="75"/>
      <x:c r="G385" s="75"/>
      <x:c r="H385" s="76" t="str">
        <x:f>IF(A385="","",F385-G385)</x:f>
      </x:c>
      <x:c r="I385" s="77" t="str">
        <x:f>IF(A385="","",IF(E385="","기타/불명",IF(IFERROR(SEARCH("급여",E385),0)&gt;0,"인건비",IF(IFERROR(SEARCH("임차",E385),0)&gt;0,"임차·시설",IF(IFERROR(SEARCH("광고",E385),0)&gt;0,"광고·행사",IF(IFERROR(SEARCH("용역",E385),0)&gt;0,"용역·수수료","기타/불명"))))))</x:f>
      </x:c>
      <x:c r="J385" s="77" t="str">
        <x:f>IF(A385="","",IF(I385="기타/불명","확인 필요","결의서명으로 1차 확인"))</x:f>
      </x:c>
      <x:c r="K385" s="78"/>
    </x:row>
    <x:row r="386">
      <x:c r="A386" s="73"/>
      <x:c r="B386" s="73"/>
      <x:c r="C386" s="74"/>
      <x:c r="D386" s="73"/>
      <x:c r="E386" s="73"/>
      <x:c r="F386" s="75"/>
      <x:c r="G386" s="75"/>
      <x:c r="H386" s="76" t="str">
        <x:f>IF(A386="","",F386-G386)</x:f>
      </x:c>
      <x:c r="I386" s="77" t="str">
        <x:f>IF(A386="","",IF(E386="","기타/불명",IF(IFERROR(SEARCH("급여",E386),0)&gt;0,"인건비",IF(IFERROR(SEARCH("임차",E386),0)&gt;0,"임차·시설",IF(IFERROR(SEARCH("광고",E386),0)&gt;0,"광고·행사",IF(IFERROR(SEARCH("용역",E386),0)&gt;0,"용역·수수료","기타/불명"))))))</x:f>
      </x:c>
      <x:c r="J386" s="77" t="str">
        <x:f>IF(A386="","",IF(I386="기타/불명","확인 필요","결의서명으로 1차 확인"))</x:f>
      </x:c>
      <x:c r="K386" s="78"/>
    </x:row>
    <x:row r="387">
      <x:c r="A387" s="73"/>
      <x:c r="B387" s="73"/>
      <x:c r="C387" s="74"/>
      <x:c r="D387" s="73"/>
      <x:c r="E387" s="73"/>
      <x:c r="F387" s="75"/>
      <x:c r="G387" s="75"/>
      <x:c r="H387" s="76" t="str">
        <x:f>IF(A387="","",F387-G387)</x:f>
      </x:c>
      <x:c r="I387" s="77" t="str">
        <x:f>IF(A387="","",IF(E387="","기타/불명",IF(IFERROR(SEARCH("급여",E387),0)&gt;0,"인건비",IF(IFERROR(SEARCH("임차",E387),0)&gt;0,"임차·시설",IF(IFERROR(SEARCH("광고",E387),0)&gt;0,"광고·행사",IF(IFERROR(SEARCH("용역",E387),0)&gt;0,"용역·수수료","기타/불명"))))))</x:f>
      </x:c>
      <x:c r="J387" s="77" t="str">
        <x:f>IF(A387="","",IF(I387="기타/불명","확인 필요","결의서명으로 1차 확인"))</x:f>
      </x:c>
      <x:c r="K387" s="78"/>
    </x:row>
    <x:row r="388">
      <x:c r="A388" s="73"/>
      <x:c r="B388" s="73"/>
      <x:c r="C388" s="74"/>
      <x:c r="D388" s="73"/>
      <x:c r="E388" s="73"/>
      <x:c r="F388" s="75"/>
      <x:c r="G388" s="75"/>
      <x:c r="H388" s="76" t="str">
        <x:f>IF(A388="","",F388-G388)</x:f>
      </x:c>
      <x:c r="I388" s="77" t="str">
        <x:f>IF(A388="","",IF(E388="","기타/불명",IF(IFERROR(SEARCH("급여",E388),0)&gt;0,"인건비",IF(IFERROR(SEARCH("임차",E388),0)&gt;0,"임차·시설",IF(IFERROR(SEARCH("광고",E388),0)&gt;0,"광고·행사",IF(IFERROR(SEARCH("용역",E388),0)&gt;0,"용역·수수료","기타/불명"))))))</x:f>
      </x:c>
      <x:c r="J388" s="77" t="str">
        <x:f>IF(A388="","",IF(I388="기타/불명","확인 필요","결의서명으로 1차 확인"))</x:f>
      </x:c>
      <x:c r="K388" s="78"/>
    </x:row>
    <x:row r="389">
      <x:c r="A389" s="73"/>
      <x:c r="B389" s="73"/>
      <x:c r="C389" s="74"/>
      <x:c r="D389" s="73"/>
      <x:c r="E389" s="73"/>
      <x:c r="F389" s="75"/>
      <x:c r="G389" s="75"/>
      <x:c r="H389" s="76" t="str">
        <x:f>IF(A389="","",F389-G389)</x:f>
      </x:c>
      <x:c r="I389" s="77" t="str">
        <x:f>IF(A389="","",IF(E389="","기타/불명",IF(IFERROR(SEARCH("급여",E389),0)&gt;0,"인건비",IF(IFERROR(SEARCH("임차",E389),0)&gt;0,"임차·시설",IF(IFERROR(SEARCH("광고",E389),0)&gt;0,"광고·행사",IF(IFERROR(SEARCH("용역",E389),0)&gt;0,"용역·수수료","기타/불명"))))))</x:f>
      </x:c>
      <x:c r="J389" s="77" t="str">
        <x:f>IF(A389="","",IF(I389="기타/불명","확인 필요","결의서명으로 1차 확인"))</x:f>
      </x:c>
      <x:c r="K389" s="78"/>
    </x:row>
    <x:row r="390">
      <x:c r="A390" s="73"/>
      <x:c r="B390" s="73"/>
      <x:c r="C390" s="74"/>
      <x:c r="D390" s="73"/>
      <x:c r="E390" s="73"/>
      <x:c r="F390" s="75"/>
      <x:c r="G390" s="75"/>
      <x:c r="H390" s="76" t="str">
        <x:f>IF(A390="","",F390-G390)</x:f>
      </x:c>
      <x:c r="I390" s="77" t="str">
        <x:f>IF(A390="","",IF(E390="","기타/불명",IF(IFERROR(SEARCH("급여",E390),0)&gt;0,"인건비",IF(IFERROR(SEARCH("임차",E390),0)&gt;0,"임차·시설",IF(IFERROR(SEARCH("광고",E390),0)&gt;0,"광고·행사",IF(IFERROR(SEARCH("용역",E390),0)&gt;0,"용역·수수료","기타/불명"))))))</x:f>
      </x:c>
      <x:c r="J390" s="77" t="str">
        <x:f>IF(A390="","",IF(I390="기타/불명","확인 필요","결의서명으로 1차 확인"))</x:f>
      </x:c>
      <x:c r="K390" s="78"/>
    </x:row>
    <x:row r="391">
      <x:c r="A391" s="73"/>
      <x:c r="B391" s="73"/>
      <x:c r="C391" s="74"/>
      <x:c r="D391" s="73"/>
      <x:c r="E391" s="73"/>
      <x:c r="F391" s="75"/>
      <x:c r="G391" s="75"/>
      <x:c r="H391" s="76" t="str">
        <x:f>IF(A391="","",F391-G391)</x:f>
      </x:c>
      <x:c r="I391" s="77" t="str">
        <x:f>IF(A391="","",IF(E391="","기타/불명",IF(IFERROR(SEARCH("급여",E391),0)&gt;0,"인건비",IF(IFERROR(SEARCH("임차",E391),0)&gt;0,"임차·시설",IF(IFERROR(SEARCH("광고",E391),0)&gt;0,"광고·행사",IF(IFERROR(SEARCH("용역",E391),0)&gt;0,"용역·수수료","기타/불명"))))))</x:f>
      </x:c>
      <x:c r="J391" s="77" t="str">
        <x:f>IF(A391="","",IF(I391="기타/불명","확인 필요","결의서명으로 1차 확인"))</x:f>
      </x:c>
      <x:c r="K391" s="78"/>
    </x:row>
    <x:row r="392">
      <x:c r="A392" s="73"/>
      <x:c r="B392" s="73"/>
      <x:c r="C392" s="74"/>
      <x:c r="D392" s="73"/>
      <x:c r="E392" s="73"/>
      <x:c r="F392" s="75"/>
      <x:c r="G392" s="75"/>
      <x:c r="H392" s="76" t="str">
        <x:f>IF(A392="","",F392-G392)</x:f>
      </x:c>
      <x:c r="I392" s="77" t="str">
        <x:f>IF(A392="","",IF(E392="","기타/불명",IF(IFERROR(SEARCH("급여",E392),0)&gt;0,"인건비",IF(IFERROR(SEARCH("임차",E392),0)&gt;0,"임차·시설",IF(IFERROR(SEARCH("광고",E392),0)&gt;0,"광고·행사",IF(IFERROR(SEARCH("용역",E392),0)&gt;0,"용역·수수료","기타/불명"))))))</x:f>
      </x:c>
      <x:c r="J392" s="77" t="str">
        <x:f>IF(A392="","",IF(I392="기타/불명","확인 필요","결의서명으로 1차 확인"))</x:f>
      </x:c>
      <x:c r="K392" s="78"/>
    </x:row>
    <x:row r="393">
      <x:c r="A393" s="73"/>
      <x:c r="B393" s="73"/>
      <x:c r="C393" s="74"/>
      <x:c r="D393" s="73"/>
      <x:c r="E393" s="73"/>
      <x:c r="F393" s="75"/>
      <x:c r="G393" s="75"/>
      <x:c r="H393" s="76" t="str">
        <x:f>IF(A393="","",F393-G393)</x:f>
      </x:c>
      <x:c r="I393" s="77" t="str">
        <x:f>IF(A393="","",IF(E393="","기타/불명",IF(IFERROR(SEARCH("급여",E393),0)&gt;0,"인건비",IF(IFERROR(SEARCH("임차",E393),0)&gt;0,"임차·시설",IF(IFERROR(SEARCH("광고",E393),0)&gt;0,"광고·행사",IF(IFERROR(SEARCH("용역",E393),0)&gt;0,"용역·수수료","기타/불명"))))))</x:f>
      </x:c>
      <x:c r="J393" s="77" t="str">
        <x:f>IF(A393="","",IF(I393="기타/불명","확인 필요","결의서명으로 1차 확인"))</x:f>
      </x:c>
      <x:c r="K393" s="78"/>
    </x:row>
    <x:row r="394">
      <x:c r="A394" s="73"/>
      <x:c r="B394" s="73"/>
      <x:c r="C394" s="74"/>
      <x:c r="D394" s="73"/>
      <x:c r="E394" s="73"/>
      <x:c r="F394" s="75"/>
      <x:c r="G394" s="75"/>
      <x:c r="H394" s="76" t="str">
        <x:f>IF(A394="","",F394-G394)</x:f>
      </x:c>
      <x:c r="I394" s="77" t="str">
        <x:f>IF(A394="","",IF(E394="","기타/불명",IF(IFERROR(SEARCH("급여",E394),0)&gt;0,"인건비",IF(IFERROR(SEARCH("임차",E394),0)&gt;0,"임차·시설",IF(IFERROR(SEARCH("광고",E394),0)&gt;0,"광고·행사",IF(IFERROR(SEARCH("용역",E394),0)&gt;0,"용역·수수료","기타/불명"))))))</x:f>
      </x:c>
      <x:c r="J394" s="77" t="str">
        <x:f>IF(A394="","",IF(I394="기타/불명","확인 필요","결의서명으로 1차 확인"))</x:f>
      </x:c>
      <x:c r="K394" s="78"/>
    </x:row>
    <x:row r="395">
      <x:c r="A395" s="73"/>
      <x:c r="B395" s="73"/>
      <x:c r="C395" s="74"/>
      <x:c r="D395" s="73"/>
      <x:c r="E395" s="73"/>
      <x:c r="F395" s="75"/>
      <x:c r="G395" s="75"/>
      <x:c r="H395" s="76" t="str">
        <x:f>IF(A395="","",F395-G395)</x:f>
      </x:c>
      <x:c r="I395" s="77" t="str">
        <x:f>IF(A395="","",IF(E395="","기타/불명",IF(IFERROR(SEARCH("급여",E395),0)&gt;0,"인건비",IF(IFERROR(SEARCH("임차",E395),0)&gt;0,"임차·시설",IF(IFERROR(SEARCH("광고",E395),0)&gt;0,"광고·행사",IF(IFERROR(SEARCH("용역",E395),0)&gt;0,"용역·수수료","기타/불명"))))))</x:f>
      </x:c>
      <x:c r="J395" s="77" t="str">
        <x:f>IF(A395="","",IF(I395="기타/불명","확인 필요","결의서명으로 1차 확인"))</x:f>
      </x:c>
      <x:c r="K395" s="78"/>
    </x:row>
    <x:row r="396">
      <x:c r="A396" s="73"/>
      <x:c r="B396" s="73"/>
      <x:c r="C396" s="74"/>
      <x:c r="D396" s="73"/>
      <x:c r="E396" s="73"/>
      <x:c r="F396" s="75"/>
      <x:c r="G396" s="75"/>
      <x:c r="H396" s="76" t="str">
        <x:f>IF(A396="","",F396-G396)</x:f>
      </x:c>
      <x:c r="I396" s="77" t="str">
        <x:f>IF(A396="","",IF(E396="","기타/불명",IF(IFERROR(SEARCH("급여",E396),0)&gt;0,"인건비",IF(IFERROR(SEARCH("임차",E396),0)&gt;0,"임차·시설",IF(IFERROR(SEARCH("광고",E396),0)&gt;0,"광고·행사",IF(IFERROR(SEARCH("용역",E396),0)&gt;0,"용역·수수료","기타/불명"))))))</x:f>
      </x:c>
      <x:c r="J396" s="77" t="str">
        <x:f>IF(A396="","",IF(I396="기타/불명","확인 필요","결의서명으로 1차 확인"))</x:f>
      </x:c>
      <x:c r="K396" s="78"/>
    </x:row>
    <x:row r="397">
      <x:c r="A397" s="73"/>
      <x:c r="B397" s="73"/>
      <x:c r="C397" s="74"/>
      <x:c r="D397" s="73"/>
      <x:c r="E397" s="73"/>
      <x:c r="F397" s="75"/>
      <x:c r="G397" s="75"/>
      <x:c r="H397" s="76" t="str">
        <x:f>IF(A397="","",F397-G397)</x:f>
      </x:c>
      <x:c r="I397" s="77" t="str">
        <x:f>IF(A397="","",IF(E397="","기타/불명",IF(IFERROR(SEARCH("급여",E397),0)&gt;0,"인건비",IF(IFERROR(SEARCH("임차",E397),0)&gt;0,"임차·시설",IF(IFERROR(SEARCH("광고",E397),0)&gt;0,"광고·행사",IF(IFERROR(SEARCH("용역",E397),0)&gt;0,"용역·수수료","기타/불명"))))))</x:f>
      </x:c>
      <x:c r="J397" s="77" t="str">
        <x:f>IF(A397="","",IF(I397="기타/불명","확인 필요","결의서명으로 1차 확인"))</x:f>
      </x:c>
      <x:c r="K397" s="78"/>
    </x:row>
    <x:row r="398">
      <x:c r="A398" s="73"/>
      <x:c r="B398" s="73"/>
      <x:c r="C398" s="74"/>
      <x:c r="D398" s="73"/>
      <x:c r="E398" s="73"/>
      <x:c r="F398" s="75"/>
      <x:c r="G398" s="75"/>
      <x:c r="H398" s="76" t="str">
        <x:f>IF(A398="","",F398-G398)</x:f>
      </x:c>
      <x:c r="I398" s="77" t="str">
        <x:f>IF(A398="","",IF(E398="","기타/불명",IF(IFERROR(SEARCH("급여",E398),0)&gt;0,"인건비",IF(IFERROR(SEARCH("임차",E398),0)&gt;0,"임차·시설",IF(IFERROR(SEARCH("광고",E398),0)&gt;0,"광고·행사",IF(IFERROR(SEARCH("용역",E398),0)&gt;0,"용역·수수료","기타/불명"))))))</x:f>
      </x:c>
      <x:c r="J398" s="77" t="str">
        <x:f>IF(A398="","",IF(I398="기타/불명","확인 필요","결의서명으로 1차 확인"))</x:f>
      </x:c>
      <x:c r="K398" s="78"/>
    </x:row>
    <x:row r="399">
      <x:c r="A399" s="73"/>
      <x:c r="B399" s="73"/>
      <x:c r="C399" s="74"/>
      <x:c r="D399" s="73"/>
      <x:c r="E399" s="73"/>
      <x:c r="F399" s="75"/>
      <x:c r="G399" s="75"/>
      <x:c r="H399" s="76" t="str">
        <x:f>IF(A399="","",F399-G399)</x:f>
      </x:c>
      <x:c r="I399" s="77" t="str">
        <x:f>IF(A399="","",IF(E399="","기타/불명",IF(IFERROR(SEARCH("급여",E399),0)&gt;0,"인건비",IF(IFERROR(SEARCH("임차",E399),0)&gt;0,"임차·시설",IF(IFERROR(SEARCH("광고",E399),0)&gt;0,"광고·행사",IF(IFERROR(SEARCH("용역",E399),0)&gt;0,"용역·수수료","기타/불명"))))))</x:f>
      </x:c>
      <x:c r="J399" s="77" t="str">
        <x:f>IF(A399="","",IF(I399="기타/불명","확인 필요","결의서명으로 1차 확인"))</x:f>
      </x:c>
      <x:c r="K399" s="78"/>
    </x:row>
    <x:row r="400">
      <x:c r="A400" s="73"/>
      <x:c r="B400" s="73"/>
      <x:c r="C400" s="74"/>
      <x:c r="D400" s="73"/>
      <x:c r="E400" s="73"/>
      <x:c r="F400" s="75"/>
      <x:c r="G400" s="75"/>
      <x:c r="H400" s="76" t="str">
        <x:f>IF(A400="","",F400-G400)</x:f>
      </x:c>
      <x:c r="I400" s="77" t="str">
        <x:f>IF(A400="","",IF(E400="","기타/불명",IF(IFERROR(SEARCH("급여",E400),0)&gt;0,"인건비",IF(IFERROR(SEARCH("임차",E400),0)&gt;0,"임차·시설",IF(IFERROR(SEARCH("광고",E400),0)&gt;0,"광고·행사",IF(IFERROR(SEARCH("용역",E400),0)&gt;0,"용역·수수료","기타/불명"))))))</x:f>
      </x:c>
      <x:c r="J400" s="77" t="str">
        <x:f>IF(A400="","",IF(I400="기타/불명","확인 필요","결의서명으로 1차 확인"))</x:f>
      </x:c>
      <x:c r="K400" s="78"/>
    </x:row>
    <x:row r="401">
      <x:c r="A401" s="73"/>
      <x:c r="B401" s="73"/>
      <x:c r="C401" s="74"/>
      <x:c r="D401" s="73"/>
      <x:c r="E401" s="73"/>
      <x:c r="F401" s="75"/>
      <x:c r="G401" s="75"/>
      <x:c r="H401" s="76" t="str">
        <x:f>IF(A401="","",F401-G401)</x:f>
      </x:c>
      <x:c r="I401" s="77" t="str">
        <x:f>IF(A401="","",IF(E401="","기타/불명",IF(IFERROR(SEARCH("급여",E401),0)&gt;0,"인건비",IF(IFERROR(SEARCH("임차",E401),0)&gt;0,"임차·시설",IF(IFERROR(SEARCH("광고",E401),0)&gt;0,"광고·행사",IF(IFERROR(SEARCH("용역",E401),0)&gt;0,"용역·수수료","기타/불명"))))))</x:f>
      </x:c>
      <x:c r="J401" s="77" t="str">
        <x:f>IF(A401="","",IF(I401="기타/불명","확인 필요","결의서명으로 1차 확인"))</x:f>
      </x:c>
      <x:c r="K401" s="78"/>
    </x:row>
    <x:row r="402">
      <x:c r="A402" s="73"/>
      <x:c r="B402" s="73"/>
      <x:c r="C402" s="74"/>
      <x:c r="D402" s="73"/>
      <x:c r="E402" s="73"/>
      <x:c r="F402" s="75"/>
      <x:c r="G402" s="75"/>
      <x:c r="H402" s="76" t="str">
        <x:f>IF(A402="","",F402-G402)</x:f>
      </x:c>
      <x:c r="I402" s="77" t="str">
        <x:f>IF(A402="","",IF(E402="","기타/불명",IF(IFERROR(SEARCH("급여",E402),0)&gt;0,"인건비",IF(IFERROR(SEARCH("임차",E402),0)&gt;0,"임차·시설",IF(IFERROR(SEARCH("광고",E402),0)&gt;0,"광고·행사",IF(IFERROR(SEARCH("용역",E402),0)&gt;0,"용역·수수료","기타/불명"))))))</x:f>
      </x:c>
      <x:c r="J402" s="77" t="str">
        <x:f>IF(A402="","",IF(I402="기타/불명","확인 필요","결의서명으로 1차 확인"))</x:f>
      </x:c>
      <x:c r="K402" s="78"/>
    </x:row>
    <x:row r="403">
      <x:c r="A403" s="73"/>
      <x:c r="B403" s="73"/>
      <x:c r="C403" s="74"/>
      <x:c r="D403" s="73"/>
      <x:c r="E403" s="73"/>
      <x:c r="F403" s="75"/>
      <x:c r="G403" s="75"/>
      <x:c r="H403" s="76" t="str">
        <x:f>IF(A403="","",F403-G403)</x:f>
      </x:c>
      <x:c r="I403" s="77" t="str">
        <x:f>IF(A403="","",IF(E403="","기타/불명",IF(IFERROR(SEARCH("급여",E403),0)&gt;0,"인건비",IF(IFERROR(SEARCH("임차",E403),0)&gt;0,"임차·시설",IF(IFERROR(SEARCH("광고",E403),0)&gt;0,"광고·행사",IF(IFERROR(SEARCH("용역",E403),0)&gt;0,"용역·수수료","기타/불명"))))))</x:f>
      </x:c>
      <x:c r="J403" s="77" t="str">
        <x:f>IF(A403="","",IF(I403="기타/불명","확인 필요","결의서명으로 1차 확인"))</x:f>
      </x:c>
      <x:c r="K403" s="78"/>
    </x:row>
    <x:row r="404">
      <x:c r="A404" s="73"/>
      <x:c r="B404" s="73"/>
      <x:c r="C404" s="74"/>
      <x:c r="D404" s="73"/>
      <x:c r="E404" s="73"/>
      <x:c r="F404" s="75"/>
      <x:c r="G404" s="75"/>
      <x:c r="H404" s="76" t="str">
        <x:f>IF(A404="","",F404-G404)</x:f>
      </x:c>
      <x:c r="I404" s="77" t="str">
        <x:f>IF(A404="","",IF(E404="","기타/불명",IF(IFERROR(SEARCH("급여",E404),0)&gt;0,"인건비",IF(IFERROR(SEARCH("임차",E404),0)&gt;0,"임차·시설",IF(IFERROR(SEARCH("광고",E404),0)&gt;0,"광고·행사",IF(IFERROR(SEARCH("용역",E404),0)&gt;0,"용역·수수료","기타/불명"))))))</x:f>
      </x:c>
      <x:c r="J404" s="77" t="str">
        <x:f>IF(A404="","",IF(I404="기타/불명","확인 필요","결의서명으로 1차 확인"))</x:f>
      </x:c>
      <x:c r="K404" s="78"/>
    </x:row>
    <x:row r="405">
      <x:c r="A405" s="73"/>
      <x:c r="B405" s="73"/>
      <x:c r="C405" s="74"/>
      <x:c r="D405" s="73"/>
      <x:c r="E405" s="73"/>
      <x:c r="F405" s="75"/>
      <x:c r="G405" s="75"/>
      <x:c r="H405" s="76" t="str">
        <x:f>IF(A405="","",F405-G405)</x:f>
      </x:c>
      <x:c r="I405" s="77" t="str">
        <x:f>IF(A405="","",IF(E405="","기타/불명",IF(IFERROR(SEARCH("급여",E405),0)&gt;0,"인건비",IF(IFERROR(SEARCH("임차",E405),0)&gt;0,"임차·시설",IF(IFERROR(SEARCH("광고",E405),0)&gt;0,"광고·행사",IF(IFERROR(SEARCH("용역",E405),0)&gt;0,"용역·수수료","기타/불명"))))))</x:f>
      </x:c>
      <x:c r="J405" s="77" t="str">
        <x:f>IF(A405="","",IF(I405="기타/불명","확인 필요","결의서명으로 1차 확인"))</x:f>
      </x:c>
      <x:c r="K405" s="78"/>
    </x:row>
    <x:row r="406">
      <x:c r="A406" s="73"/>
      <x:c r="B406" s="73"/>
      <x:c r="C406" s="74"/>
      <x:c r="D406" s="73"/>
      <x:c r="E406" s="73"/>
      <x:c r="F406" s="75"/>
      <x:c r="G406" s="75"/>
      <x:c r="H406" s="76" t="str">
        <x:f>IF(A406="","",F406-G406)</x:f>
      </x:c>
      <x:c r="I406" s="77" t="str">
        <x:f>IF(A406="","",IF(E406="","기타/불명",IF(IFERROR(SEARCH("급여",E406),0)&gt;0,"인건비",IF(IFERROR(SEARCH("임차",E406),0)&gt;0,"임차·시설",IF(IFERROR(SEARCH("광고",E406),0)&gt;0,"광고·행사",IF(IFERROR(SEARCH("용역",E406),0)&gt;0,"용역·수수료","기타/불명"))))))</x:f>
      </x:c>
      <x:c r="J406" s="77" t="str">
        <x:f>IF(A406="","",IF(I406="기타/불명","확인 필요","결의서명으로 1차 확인"))</x:f>
      </x:c>
      <x:c r="K406" s="78"/>
    </x:row>
    <x:row r="407">
      <x:c r="A407" s="73"/>
      <x:c r="B407" s="73"/>
      <x:c r="C407" s="74"/>
      <x:c r="D407" s="73"/>
      <x:c r="E407" s="73"/>
      <x:c r="F407" s="75"/>
      <x:c r="G407" s="75"/>
      <x:c r="H407" s="76" t="str">
        <x:f>IF(A407="","",F407-G407)</x:f>
      </x:c>
      <x:c r="I407" s="77" t="str">
        <x:f>IF(A407="","",IF(E407="","기타/불명",IF(IFERROR(SEARCH("급여",E407),0)&gt;0,"인건비",IF(IFERROR(SEARCH("임차",E407),0)&gt;0,"임차·시설",IF(IFERROR(SEARCH("광고",E407),0)&gt;0,"광고·행사",IF(IFERROR(SEARCH("용역",E407),0)&gt;0,"용역·수수료","기타/불명"))))))</x:f>
      </x:c>
      <x:c r="J407" s="77" t="str">
        <x:f>IF(A407="","",IF(I407="기타/불명","확인 필요","결의서명으로 1차 확인"))</x:f>
      </x:c>
      <x:c r="K407" s="78"/>
    </x:row>
    <x:row r="408">
      <x:c r="A408" s="73"/>
      <x:c r="B408" s="73"/>
      <x:c r="C408" s="74"/>
      <x:c r="D408" s="73"/>
      <x:c r="E408" s="73"/>
      <x:c r="F408" s="75"/>
      <x:c r="G408" s="75"/>
      <x:c r="H408" s="76" t="str">
        <x:f>IF(A408="","",F408-G408)</x:f>
      </x:c>
      <x:c r="I408" s="77" t="str">
        <x:f>IF(A408="","",IF(E408="","기타/불명",IF(IFERROR(SEARCH("급여",E408),0)&gt;0,"인건비",IF(IFERROR(SEARCH("임차",E408),0)&gt;0,"임차·시설",IF(IFERROR(SEARCH("광고",E408),0)&gt;0,"광고·행사",IF(IFERROR(SEARCH("용역",E408),0)&gt;0,"용역·수수료","기타/불명"))))))</x:f>
      </x:c>
      <x:c r="J408" s="77" t="str">
        <x:f>IF(A408="","",IF(I408="기타/불명","확인 필요","결의서명으로 1차 확인"))</x:f>
      </x:c>
      <x:c r="K408" s="78"/>
    </x:row>
    <x:row r="409">
      <x:c r="A409" s="73"/>
      <x:c r="B409" s="73"/>
      <x:c r="C409" s="74"/>
      <x:c r="D409" s="73"/>
      <x:c r="E409" s="73"/>
      <x:c r="F409" s="75"/>
      <x:c r="G409" s="75"/>
      <x:c r="H409" s="76" t="str">
        <x:f>IF(A409="","",F409-G409)</x:f>
      </x:c>
      <x:c r="I409" s="77" t="str">
        <x:f>IF(A409="","",IF(E409="","기타/불명",IF(IFERROR(SEARCH("급여",E409),0)&gt;0,"인건비",IF(IFERROR(SEARCH("임차",E409),0)&gt;0,"임차·시설",IF(IFERROR(SEARCH("광고",E409),0)&gt;0,"광고·행사",IF(IFERROR(SEARCH("용역",E409),0)&gt;0,"용역·수수료","기타/불명"))))))</x:f>
      </x:c>
      <x:c r="J409" s="77" t="str">
        <x:f>IF(A409="","",IF(I409="기타/불명","확인 필요","결의서명으로 1차 확인"))</x:f>
      </x:c>
      <x:c r="K409" s="78"/>
    </x:row>
    <x:row r="410">
      <x:c r="A410" s="73"/>
      <x:c r="B410" s="73"/>
      <x:c r="C410" s="74"/>
      <x:c r="D410" s="73"/>
      <x:c r="E410" s="73"/>
      <x:c r="F410" s="75"/>
      <x:c r="G410" s="75"/>
      <x:c r="H410" s="76" t="str">
        <x:f>IF(A410="","",F410-G410)</x:f>
      </x:c>
      <x:c r="I410" s="77" t="str">
        <x:f>IF(A410="","",IF(E410="","기타/불명",IF(IFERROR(SEARCH("급여",E410),0)&gt;0,"인건비",IF(IFERROR(SEARCH("임차",E410),0)&gt;0,"임차·시설",IF(IFERROR(SEARCH("광고",E410),0)&gt;0,"광고·행사",IF(IFERROR(SEARCH("용역",E410),0)&gt;0,"용역·수수료","기타/불명"))))))</x:f>
      </x:c>
      <x:c r="J410" s="77" t="str">
        <x:f>IF(A410="","",IF(I410="기타/불명","확인 필요","결의서명으로 1차 확인"))</x:f>
      </x:c>
      <x:c r="K410" s="78"/>
    </x:row>
    <x:row r="411">
      <x:c r="A411" s="73"/>
      <x:c r="B411" s="73"/>
      <x:c r="C411" s="74"/>
      <x:c r="D411" s="73"/>
      <x:c r="E411" s="73"/>
      <x:c r="F411" s="75"/>
      <x:c r="G411" s="75"/>
      <x:c r="H411" s="76" t="str">
        <x:f>IF(A411="","",F411-G411)</x:f>
      </x:c>
      <x:c r="I411" s="77" t="str">
        <x:f>IF(A411="","",IF(E411="","기타/불명",IF(IFERROR(SEARCH("급여",E411),0)&gt;0,"인건비",IF(IFERROR(SEARCH("임차",E411),0)&gt;0,"임차·시설",IF(IFERROR(SEARCH("광고",E411),0)&gt;0,"광고·행사",IF(IFERROR(SEARCH("용역",E411),0)&gt;0,"용역·수수료","기타/불명"))))))</x:f>
      </x:c>
      <x:c r="J411" s="77" t="str">
        <x:f>IF(A411="","",IF(I411="기타/불명","확인 필요","결의서명으로 1차 확인"))</x:f>
      </x:c>
      <x:c r="K411" s="78"/>
    </x:row>
    <x:row r="412">
      <x:c r="A412" s="73"/>
      <x:c r="B412" s="73"/>
      <x:c r="C412" s="74"/>
      <x:c r="D412" s="73"/>
      <x:c r="E412" s="73"/>
      <x:c r="F412" s="75"/>
      <x:c r="G412" s="75"/>
      <x:c r="H412" s="76" t="str">
        <x:f>IF(A412="","",F412-G412)</x:f>
      </x:c>
      <x:c r="I412" s="77" t="str">
        <x:f>IF(A412="","",IF(E412="","기타/불명",IF(IFERROR(SEARCH("급여",E412),0)&gt;0,"인건비",IF(IFERROR(SEARCH("임차",E412),0)&gt;0,"임차·시설",IF(IFERROR(SEARCH("광고",E412),0)&gt;0,"광고·행사",IF(IFERROR(SEARCH("용역",E412),0)&gt;0,"용역·수수료","기타/불명"))))))</x:f>
      </x:c>
      <x:c r="J412" s="77" t="str">
        <x:f>IF(A412="","",IF(I412="기타/불명","확인 필요","결의서명으로 1차 확인"))</x:f>
      </x:c>
      <x:c r="K412" s="78"/>
    </x:row>
    <x:row r="413">
      <x:c r="A413" s="73"/>
      <x:c r="B413" s="73"/>
      <x:c r="C413" s="74"/>
      <x:c r="D413" s="73"/>
      <x:c r="E413" s="73"/>
      <x:c r="F413" s="75"/>
      <x:c r="G413" s="75"/>
      <x:c r="H413" s="76" t="str">
        <x:f>IF(A413="","",F413-G413)</x:f>
      </x:c>
      <x:c r="I413" s="77" t="str">
        <x:f>IF(A413="","",IF(E413="","기타/불명",IF(IFERROR(SEARCH("급여",E413),0)&gt;0,"인건비",IF(IFERROR(SEARCH("임차",E413),0)&gt;0,"임차·시설",IF(IFERROR(SEARCH("광고",E413),0)&gt;0,"광고·행사",IF(IFERROR(SEARCH("용역",E413),0)&gt;0,"용역·수수료","기타/불명"))))))</x:f>
      </x:c>
      <x:c r="J413" s="77" t="str">
        <x:f>IF(A413="","",IF(I413="기타/불명","확인 필요","결의서명으로 1차 확인"))</x:f>
      </x:c>
      <x:c r="K413" s="78"/>
    </x:row>
    <x:row r="414">
      <x:c r="A414" s="73"/>
      <x:c r="B414" s="73"/>
      <x:c r="C414" s="74"/>
      <x:c r="D414" s="73"/>
      <x:c r="E414" s="73"/>
      <x:c r="F414" s="75"/>
      <x:c r="G414" s="75"/>
      <x:c r="H414" s="76" t="str">
        <x:f>IF(A414="","",F414-G414)</x:f>
      </x:c>
      <x:c r="I414" s="77" t="str">
        <x:f>IF(A414="","",IF(E414="","기타/불명",IF(IFERROR(SEARCH("급여",E414),0)&gt;0,"인건비",IF(IFERROR(SEARCH("임차",E414),0)&gt;0,"임차·시설",IF(IFERROR(SEARCH("광고",E414),0)&gt;0,"광고·행사",IF(IFERROR(SEARCH("용역",E414),0)&gt;0,"용역·수수료","기타/불명"))))))</x:f>
      </x:c>
      <x:c r="J414" s="77" t="str">
        <x:f>IF(A414="","",IF(I414="기타/불명","확인 필요","결의서명으로 1차 확인"))</x:f>
      </x:c>
      <x:c r="K414" s="78"/>
    </x:row>
    <x:row r="415">
      <x:c r="A415" s="73"/>
      <x:c r="B415" s="73"/>
      <x:c r="C415" s="74"/>
      <x:c r="D415" s="73"/>
      <x:c r="E415" s="73"/>
      <x:c r="F415" s="75"/>
      <x:c r="G415" s="75"/>
      <x:c r="H415" s="76" t="str">
        <x:f>IF(A415="","",F415-G415)</x:f>
      </x:c>
      <x:c r="I415" s="77" t="str">
        <x:f>IF(A415="","",IF(E415="","기타/불명",IF(IFERROR(SEARCH("급여",E415),0)&gt;0,"인건비",IF(IFERROR(SEARCH("임차",E415),0)&gt;0,"임차·시설",IF(IFERROR(SEARCH("광고",E415),0)&gt;0,"광고·행사",IF(IFERROR(SEARCH("용역",E415),0)&gt;0,"용역·수수료","기타/불명"))))))</x:f>
      </x:c>
      <x:c r="J415" s="77" t="str">
        <x:f>IF(A415="","",IF(I415="기타/불명","확인 필요","결의서명으로 1차 확인"))</x:f>
      </x:c>
      <x:c r="K415" s="78"/>
    </x:row>
    <x:row r="416">
      <x:c r="A416" s="73"/>
      <x:c r="B416" s="73"/>
      <x:c r="C416" s="74"/>
      <x:c r="D416" s="73"/>
      <x:c r="E416" s="73"/>
      <x:c r="F416" s="75"/>
      <x:c r="G416" s="75"/>
      <x:c r="H416" s="76" t="str">
        <x:f>IF(A416="","",F416-G416)</x:f>
      </x:c>
      <x:c r="I416" s="77" t="str">
        <x:f>IF(A416="","",IF(E416="","기타/불명",IF(IFERROR(SEARCH("급여",E416),0)&gt;0,"인건비",IF(IFERROR(SEARCH("임차",E416),0)&gt;0,"임차·시설",IF(IFERROR(SEARCH("광고",E416),0)&gt;0,"광고·행사",IF(IFERROR(SEARCH("용역",E416),0)&gt;0,"용역·수수료","기타/불명"))))))</x:f>
      </x:c>
      <x:c r="J416" s="77" t="str">
        <x:f>IF(A416="","",IF(I416="기타/불명","확인 필요","결의서명으로 1차 확인"))</x:f>
      </x:c>
      <x:c r="K416" s="78"/>
    </x:row>
    <x:row r="417">
      <x:c r="A417" s="73"/>
      <x:c r="B417" s="73"/>
      <x:c r="C417" s="74"/>
      <x:c r="D417" s="73"/>
      <x:c r="E417" s="73"/>
      <x:c r="F417" s="75"/>
      <x:c r="G417" s="75"/>
      <x:c r="H417" s="76" t="str">
        <x:f>IF(A417="","",F417-G417)</x:f>
      </x:c>
      <x:c r="I417" s="77" t="str">
        <x:f>IF(A417="","",IF(E417="","기타/불명",IF(IFERROR(SEARCH("급여",E417),0)&gt;0,"인건비",IF(IFERROR(SEARCH("임차",E417),0)&gt;0,"임차·시설",IF(IFERROR(SEARCH("광고",E417),0)&gt;0,"광고·행사",IF(IFERROR(SEARCH("용역",E417),0)&gt;0,"용역·수수료","기타/불명"))))))</x:f>
      </x:c>
      <x:c r="J417" s="77" t="str">
        <x:f>IF(A417="","",IF(I417="기타/불명","확인 필요","결의서명으로 1차 확인"))</x:f>
      </x:c>
      <x:c r="K417" s="78"/>
    </x:row>
    <x:row r="418">
      <x:c r="A418" s="73"/>
      <x:c r="B418" s="73"/>
      <x:c r="C418" s="74"/>
      <x:c r="D418" s="73"/>
      <x:c r="E418" s="73"/>
      <x:c r="F418" s="75"/>
      <x:c r="G418" s="75"/>
      <x:c r="H418" s="76" t="str">
        <x:f>IF(A418="","",F418-G418)</x:f>
      </x:c>
      <x:c r="I418" s="77" t="str">
        <x:f>IF(A418="","",IF(E418="","기타/불명",IF(IFERROR(SEARCH("급여",E418),0)&gt;0,"인건비",IF(IFERROR(SEARCH("임차",E418),0)&gt;0,"임차·시설",IF(IFERROR(SEARCH("광고",E418),0)&gt;0,"광고·행사",IF(IFERROR(SEARCH("용역",E418),0)&gt;0,"용역·수수료","기타/불명"))))))</x:f>
      </x:c>
      <x:c r="J418" s="77" t="str">
        <x:f>IF(A418="","",IF(I418="기타/불명","확인 필요","결의서명으로 1차 확인"))</x:f>
      </x:c>
      <x:c r="K418" s="78"/>
    </x:row>
    <x:row r="419">
      <x:c r="A419" s="73"/>
      <x:c r="B419" s="73"/>
      <x:c r="C419" s="74"/>
      <x:c r="D419" s="73"/>
      <x:c r="E419" s="73"/>
      <x:c r="F419" s="75"/>
      <x:c r="G419" s="75"/>
      <x:c r="H419" s="76" t="str">
        <x:f>IF(A419="","",F419-G419)</x:f>
      </x:c>
      <x:c r="I419" s="77" t="str">
        <x:f>IF(A419="","",IF(E419="","기타/불명",IF(IFERROR(SEARCH("급여",E419),0)&gt;0,"인건비",IF(IFERROR(SEARCH("임차",E419),0)&gt;0,"임차·시설",IF(IFERROR(SEARCH("광고",E419),0)&gt;0,"광고·행사",IF(IFERROR(SEARCH("용역",E419),0)&gt;0,"용역·수수료","기타/불명"))))))</x:f>
      </x:c>
      <x:c r="J419" s="77" t="str">
        <x:f>IF(A419="","",IF(I419="기타/불명","확인 필요","결의서명으로 1차 확인"))</x:f>
      </x:c>
      <x:c r="K419" s="78"/>
    </x:row>
    <x:row r="420">
      <x:c r="A420" s="73"/>
      <x:c r="B420" s="73"/>
      <x:c r="C420" s="74"/>
      <x:c r="D420" s="73"/>
      <x:c r="E420" s="73"/>
      <x:c r="F420" s="75"/>
      <x:c r="G420" s="75"/>
      <x:c r="H420" s="76" t="str">
        <x:f>IF(A420="","",F420-G420)</x:f>
      </x:c>
      <x:c r="I420" s="77" t="str">
        <x:f>IF(A420="","",IF(E420="","기타/불명",IF(IFERROR(SEARCH("급여",E420),0)&gt;0,"인건비",IF(IFERROR(SEARCH("임차",E420),0)&gt;0,"임차·시설",IF(IFERROR(SEARCH("광고",E420),0)&gt;0,"광고·행사",IF(IFERROR(SEARCH("용역",E420),0)&gt;0,"용역·수수료","기타/불명"))))))</x:f>
      </x:c>
      <x:c r="J420" s="77" t="str">
        <x:f>IF(A420="","",IF(I420="기타/불명","확인 필요","결의서명으로 1차 확인"))</x:f>
      </x:c>
      <x:c r="K420" s="78"/>
    </x:row>
    <x:row r="421">
      <x:c r="A421" s="73"/>
      <x:c r="B421" s="73"/>
      <x:c r="C421" s="74"/>
      <x:c r="D421" s="73"/>
      <x:c r="E421" s="73"/>
      <x:c r="F421" s="75"/>
      <x:c r="G421" s="75"/>
      <x:c r="H421" s="76" t="str">
        <x:f>IF(A421="","",F421-G421)</x:f>
      </x:c>
      <x:c r="I421" s="77" t="str">
        <x:f>IF(A421="","",IF(E421="","기타/불명",IF(IFERROR(SEARCH("급여",E421),0)&gt;0,"인건비",IF(IFERROR(SEARCH("임차",E421),0)&gt;0,"임차·시설",IF(IFERROR(SEARCH("광고",E421),0)&gt;0,"광고·행사",IF(IFERROR(SEARCH("용역",E421),0)&gt;0,"용역·수수료","기타/불명"))))))</x:f>
      </x:c>
      <x:c r="J421" s="77" t="str">
        <x:f>IF(A421="","",IF(I421="기타/불명","확인 필요","결의서명으로 1차 확인"))</x:f>
      </x:c>
      <x:c r="K421" s="78"/>
    </x:row>
    <x:row r="422">
      <x:c r="A422" s="73"/>
      <x:c r="B422" s="73"/>
      <x:c r="C422" s="74"/>
      <x:c r="D422" s="73"/>
      <x:c r="E422" s="73"/>
      <x:c r="F422" s="75"/>
      <x:c r="G422" s="75"/>
      <x:c r="H422" s="76" t="str">
        <x:f>IF(A422="","",F422-G422)</x:f>
      </x:c>
      <x:c r="I422" s="77" t="str">
        <x:f>IF(A422="","",IF(E422="","기타/불명",IF(IFERROR(SEARCH("급여",E422),0)&gt;0,"인건비",IF(IFERROR(SEARCH("임차",E422),0)&gt;0,"임차·시설",IF(IFERROR(SEARCH("광고",E422),0)&gt;0,"광고·행사",IF(IFERROR(SEARCH("용역",E422),0)&gt;0,"용역·수수료","기타/불명"))))))</x:f>
      </x:c>
      <x:c r="J422" s="77" t="str">
        <x:f>IF(A422="","",IF(I422="기타/불명","확인 필요","결의서명으로 1차 확인"))</x:f>
      </x:c>
      <x:c r="K422" s="78"/>
    </x:row>
    <x:row r="423">
      <x:c r="A423" s="73"/>
      <x:c r="B423" s="73"/>
      <x:c r="C423" s="74"/>
      <x:c r="D423" s="73"/>
      <x:c r="E423" s="73"/>
      <x:c r="F423" s="75"/>
      <x:c r="G423" s="75"/>
      <x:c r="H423" s="76" t="str">
        <x:f>IF(A423="","",F423-G423)</x:f>
      </x:c>
      <x:c r="I423" s="77" t="str">
        <x:f>IF(A423="","",IF(E423="","기타/불명",IF(IFERROR(SEARCH("급여",E423),0)&gt;0,"인건비",IF(IFERROR(SEARCH("임차",E423),0)&gt;0,"임차·시설",IF(IFERROR(SEARCH("광고",E423),0)&gt;0,"광고·행사",IF(IFERROR(SEARCH("용역",E423),0)&gt;0,"용역·수수료","기타/불명"))))))</x:f>
      </x:c>
      <x:c r="J423" s="77" t="str">
        <x:f>IF(A423="","",IF(I423="기타/불명","확인 필요","결의서명으로 1차 확인"))</x:f>
      </x:c>
      <x:c r="K423" s="78"/>
    </x:row>
    <x:row r="424">
      <x:c r="A424" s="73"/>
      <x:c r="B424" s="73"/>
      <x:c r="C424" s="74"/>
      <x:c r="D424" s="73"/>
      <x:c r="E424" s="73"/>
      <x:c r="F424" s="75"/>
      <x:c r="G424" s="75"/>
      <x:c r="H424" s="76" t="str">
        <x:f>IF(A424="","",F424-G424)</x:f>
      </x:c>
      <x:c r="I424" s="77" t="str">
        <x:f>IF(A424="","",IF(E424="","기타/불명",IF(IFERROR(SEARCH("급여",E424),0)&gt;0,"인건비",IF(IFERROR(SEARCH("임차",E424),0)&gt;0,"임차·시설",IF(IFERROR(SEARCH("광고",E424),0)&gt;0,"광고·행사",IF(IFERROR(SEARCH("용역",E424),0)&gt;0,"용역·수수료","기타/불명"))))))</x:f>
      </x:c>
      <x:c r="J424" s="77" t="str">
        <x:f>IF(A424="","",IF(I424="기타/불명","확인 필요","결의서명으로 1차 확인"))</x:f>
      </x:c>
      <x:c r="K424" s="78"/>
    </x:row>
    <x:row r="425">
      <x:c r="A425" s="73"/>
      <x:c r="B425" s="73"/>
      <x:c r="C425" s="74"/>
      <x:c r="D425" s="73"/>
      <x:c r="E425" s="73"/>
      <x:c r="F425" s="75"/>
      <x:c r="G425" s="75"/>
      <x:c r="H425" s="76" t="str">
        <x:f>IF(A425="","",F425-G425)</x:f>
      </x:c>
      <x:c r="I425" s="77" t="str">
        <x:f>IF(A425="","",IF(E425="","기타/불명",IF(IFERROR(SEARCH("급여",E425),0)&gt;0,"인건비",IF(IFERROR(SEARCH("임차",E425),0)&gt;0,"임차·시설",IF(IFERROR(SEARCH("광고",E425),0)&gt;0,"광고·행사",IF(IFERROR(SEARCH("용역",E425),0)&gt;0,"용역·수수료","기타/불명"))))))</x:f>
      </x:c>
      <x:c r="J425" s="77" t="str">
        <x:f>IF(A425="","",IF(I425="기타/불명","확인 필요","결의서명으로 1차 확인"))</x:f>
      </x:c>
      <x:c r="K425" s="78"/>
    </x:row>
    <x:row r="426">
      <x:c r="A426" s="73"/>
      <x:c r="B426" s="73"/>
      <x:c r="C426" s="74"/>
      <x:c r="D426" s="73"/>
      <x:c r="E426" s="73"/>
      <x:c r="F426" s="75"/>
      <x:c r="G426" s="75"/>
      <x:c r="H426" s="76" t="str">
        <x:f>IF(A426="","",F426-G426)</x:f>
      </x:c>
      <x:c r="I426" s="77" t="str">
        <x:f>IF(A426="","",IF(E426="","기타/불명",IF(IFERROR(SEARCH("급여",E426),0)&gt;0,"인건비",IF(IFERROR(SEARCH("임차",E426),0)&gt;0,"임차·시설",IF(IFERROR(SEARCH("광고",E426),0)&gt;0,"광고·행사",IF(IFERROR(SEARCH("용역",E426),0)&gt;0,"용역·수수료","기타/불명"))))))</x:f>
      </x:c>
      <x:c r="J426" s="77" t="str">
        <x:f>IF(A426="","",IF(I426="기타/불명","확인 필요","결의서명으로 1차 확인"))</x:f>
      </x:c>
      <x:c r="K426" s="78"/>
    </x:row>
    <x:row r="427">
      <x:c r="A427" s="73"/>
      <x:c r="B427" s="73"/>
      <x:c r="C427" s="74"/>
      <x:c r="D427" s="73"/>
      <x:c r="E427" s="73"/>
      <x:c r="F427" s="75"/>
      <x:c r="G427" s="75"/>
      <x:c r="H427" s="76" t="str">
        <x:f>IF(A427="","",F427-G427)</x:f>
      </x:c>
      <x:c r="I427" s="77" t="str">
        <x:f>IF(A427="","",IF(E427="","기타/불명",IF(IFERROR(SEARCH("급여",E427),0)&gt;0,"인건비",IF(IFERROR(SEARCH("임차",E427),0)&gt;0,"임차·시설",IF(IFERROR(SEARCH("광고",E427),0)&gt;0,"광고·행사",IF(IFERROR(SEARCH("용역",E427),0)&gt;0,"용역·수수료","기타/불명"))))))</x:f>
      </x:c>
      <x:c r="J427" s="77" t="str">
        <x:f>IF(A427="","",IF(I427="기타/불명","확인 필요","결의서명으로 1차 확인"))</x:f>
      </x:c>
      <x:c r="K427" s="78"/>
    </x:row>
    <x:row r="428">
      <x:c r="A428" s="73"/>
      <x:c r="B428" s="73"/>
      <x:c r="C428" s="74"/>
      <x:c r="D428" s="73"/>
      <x:c r="E428" s="73"/>
      <x:c r="F428" s="75"/>
      <x:c r="G428" s="75"/>
      <x:c r="H428" s="76" t="str">
        <x:f>IF(A428="","",F428-G428)</x:f>
      </x:c>
      <x:c r="I428" s="77" t="str">
        <x:f>IF(A428="","",IF(E428="","기타/불명",IF(IFERROR(SEARCH("급여",E428),0)&gt;0,"인건비",IF(IFERROR(SEARCH("임차",E428),0)&gt;0,"임차·시설",IF(IFERROR(SEARCH("광고",E428),0)&gt;0,"광고·행사",IF(IFERROR(SEARCH("용역",E428),0)&gt;0,"용역·수수료","기타/불명"))))))</x:f>
      </x:c>
      <x:c r="J428" s="77" t="str">
        <x:f>IF(A428="","",IF(I428="기타/불명","확인 필요","결의서명으로 1차 확인"))</x:f>
      </x:c>
      <x:c r="K428" s="78"/>
    </x:row>
    <x:row r="429">
      <x:c r="A429" s="73"/>
      <x:c r="B429" s="73"/>
      <x:c r="C429" s="74"/>
      <x:c r="D429" s="73"/>
      <x:c r="E429" s="73"/>
      <x:c r="F429" s="75"/>
      <x:c r="G429" s="75"/>
      <x:c r="H429" s="76" t="str">
        <x:f>IF(A429="","",F429-G429)</x:f>
      </x:c>
      <x:c r="I429" s="77" t="str">
        <x:f>IF(A429="","",IF(E429="","기타/불명",IF(IFERROR(SEARCH("급여",E429),0)&gt;0,"인건비",IF(IFERROR(SEARCH("임차",E429),0)&gt;0,"임차·시설",IF(IFERROR(SEARCH("광고",E429),0)&gt;0,"광고·행사",IF(IFERROR(SEARCH("용역",E429),0)&gt;0,"용역·수수료","기타/불명"))))))</x:f>
      </x:c>
      <x:c r="J429" s="77" t="str">
        <x:f>IF(A429="","",IF(I429="기타/불명","확인 필요","결의서명으로 1차 확인"))</x:f>
      </x:c>
      <x:c r="K429" s="78"/>
    </x:row>
    <x:row r="430">
      <x:c r="A430" s="73"/>
      <x:c r="B430" s="73"/>
      <x:c r="C430" s="74"/>
      <x:c r="D430" s="73"/>
      <x:c r="E430" s="73"/>
      <x:c r="F430" s="75"/>
      <x:c r="G430" s="75"/>
      <x:c r="H430" s="76" t="str">
        <x:f>IF(A430="","",F430-G430)</x:f>
      </x:c>
      <x:c r="I430" s="77" t="str">
        <x:f>IF(A430="","",IF(E430="","기타/불명",IF(IFERROR(SEARCH("급여",E430),0)&gt;0,"인건비",IF(IFERROR(SEARCH("임차",E430),0)&gt;0,"임차·시설",IF(IFERROR(SEARCH("광고",E430),0)&gt;0,"광고·행사",IF(IFERROR(SEARCH("용역",E430),0)&gt;0,"용역·수수료","기타/불명"))))))</x:f>
      </x:c>
      <x:c r="J430" s="77" t="str">
        <x:f>IF(A430="","",IF(I430="기타/불명","확인 필요","결의서명으로 1차 확인"))</x:f>
      </x:c>
      <x:c r="K430" s="78"/>
    </x:row>
    <x:row r="431">
      <x:c r="A431" s="73"/>
      <x:c r="B431" s="73"/>
      <x:c r="C431" s="74"/>
      <x:c r="D431" s="73"/>
      <x:c r="E431" s="73"/>
      <x:c r="F431" s="75"/>
      <x:c r="G431" s="75"/>
      <x:c r="H431" s="76" t="str">
        <x:f>IF(A431="","",F431-G431)</x:f>
      </x:c>
      <x:c r="I431" s="77" t="str">
        <x:f>IF(A431="","",IF(E431="","기타/불명",IF(IFERROR(SEARCH("급여",E431),0)&gt;0,"인건비",IF(IFERROR(SEARCH("임차",E431),0)&gt;0,"임차·시설",IF(IFERROR(SEARCH("광고",E431),0)&gt;0,"광고·행사",IF(IFERROR(SEARCH("용역",E431),0)&gt;0,"용역·수수료","기타/불명"))))))</x:f>
      </x:c>
      <x:c r="J431" s="77" t="str">
        <x:f>IF(A431="","",IF(I431="기타/불명","확인 필요","결의서명으로 1차 확인"))</x:f>
      </x:c>
      <x:c r="K431" s="78"/>
    </x:row>
    <x:row r="432">
      <x:c r="A432" s="73"/>
      <x:c r="B432" s="73"/>
      <x:c r="C432" s="74"/>
      <x:c r="D432" s="73"/>
      <x:c r="E432" s="73"/>
      <x:c r="F432" s="75"/>
      <x:c r="G432" s="75"/>
      <x:c r="H432" s="76" t="str">
        <x:f>IF(A432="","",F432-G432)</x:f>
      </x:c>
      <x:c r="I432" s="77" t="str">
        <x:f>IF(A432="","",IF(E432="","기타/불명",IF(IFERROR(SEARCH("급여",E432),0)&gt;0,"인건비",IF(IFERROR(SEARCH("임차",E432),0)&gt;0,"임차·시설",IF(IFERROR(SEARCH("광고",E432),0)&gt;0,"광고·행사",IF(IFERROR(SEARCH("용역",E432),0)&gt;0,"용역·수수료","기타/불명"))))))</x:f>
      </x:c>
      <x:c r="J432" s="77" t="str">
        <x:f>IF(A432="","",IF(I432="기타/불명","확인 필요","결의서명으로 1차 확인"))</x:f>
      </x:c>
      <x:c r="K432" s="78"/>
    </x:row>
    <x:row r="433">
      <x:c r="A433" s="73"/>
      <x:c r="B433" s="73"/>
      <x:c r="C433" s="74"/>
      <x:c r="D433" s="73"/>
      <x:c r="E433" s="73"/>
      <x:c r="F433" s="75"/>
      <x:c r="G433" s="75"/>
      <x:c r="H433" s="76" t="str">
        <x:f>IF(A433="","",F433-G433)</x:f>
      </x:c>
      <x:c r="I433" s="77" t="str">
        <x:f>IF(A433="","",IF(E433="","기타/불명",IF(IFERROR(SEARCH("급여",E433),0)&gt;0,"인건비",IF(IFERROR(SEARCH("임차",E433),0)&gt;0,"임차·시설",IF(IFERROR(SEARCH("광고",E433),0)&gt;0,"광고·행사",IF(IFERROR(SEARCH("용역",E433),0)&gt;0,"용역·수수료","기타/불명"))))))</x:f>
      </x:c>
      <x:c r="J433" s="77" t="str">
        <x:f>IF(A433="","",IF(I433="기타/불명","확인 필요","결의서명으로 1차 확인"))</x:f>
      </x:c>
      <x:c r="K433" s="78"/>
    </x:row>
    <x:row r="434">
      <x:c r="A434" s="73"/>
      <x:c r="B434" s="73"/>
      <x:c r="C434" s="74"/>
      <x:c r="D434" s="73"/>
      <x:c r="E434" s="73"/>
      <x:c r="F434" s="75"/>
      <x:c r="G434" s="75"/>
      <x:c r="H434" s="76" t="str">
        <x:f>IF(A434="","",F434-G434)</x:f>
      </x:c>
      <x:c r="I434" s="77" t="str">
        <x:f>IF(A434="","",IF(E434="","기타/불명",IF(IFERROR(SEARCH("급여",E434),0)&gt;0,"인건비",IF(IFERROR(SEARCH("임차",E434),0)&gt;0,"임차·시설",IF(IFERROR(SEARCH("광고",E434),0)&gt;0,"광고·행사",IF(IFERROR(SEARCH("용역",E434),0)&gt;0,"용역·수수료","기타/불명"))))))</x:f>
      </x:c>
      <x:c r="J434" s="77" t="str">
        <x:f>IF(A434="","",IF(I434="기타/불명","확인 필요","결의서명으로 1차 확인"))</x:f>
      </x:c>
      <x:c r="K434" s="78"/>
    </x:row>
    <x:row r="435">
      <x:c r="A435" s="73"/>
      <x:c r="B435" s="73"/>
      <x:c r="C435" s="74"/>
      <x:c r="D435" s="73"/>
      <x:c r="E435" s="73"/>
      <x:c r="F435" s="75"/>
      <x:c r="G435" s="75"/>
      <x:c r="H435" s="76" t="str">
        <x:f>IF(A435="","",F435-G435)</x:f>
      </x:c>
      <x:c r="I435" s="77" t="str">
        <x:f>IF(A435="","",IF(E435="","기타/불명",IF(IFERROR(SEARCH("급여",E435),0)&gt;0,"인건비",IF(IFERROR(SEARCH("임차",E435),0)&gt;0,"임차·시설",IF(IFERROR(SEARCH("광고",E435),0)&gt;0,"광고·행사",IF(IFERROR(SEARCH("용역",E435),0)&gt;0,"용역·수수료","기타/불명"))))))</x:f>
      </x:c>
      <x:c r="J435" s="77" t="str">
        <x:f>IF(A435="","",IF(I435="기타/불명","확인 필요","결의서명으로 1차 확인"))</x:f>
      </x:c>
      <x:c r="K435" s="78"/>
    </x:row>
    <x:row r="436">
      <x:c r="A436" s="73"/>
      <x:c r="B436" s="73"/>
      <x:c r="C436" s="74"/>
      <x:c r="D436" s="73"/>
      <x:c r="E436" s="73"/>
      <x:c r="F436" s="75"/>
      <x:c r="G436" s="75"/>
      <x:c r="H436" s="76" t="str">
        <x:f>IF(A436="","",F436-G436)</x:f>
      </x:c>
      <x:c r="I436" s="77" t="str">
        <x:f>IF(A436="","",IF(E436="","기타/불명",IF(IFERROR(SEARCH("급여",E436),0)&gt;0,"인건비",IF(IFERROR(SEARCH("임차",E436),0)&gt;0,"임차·시설",IF(IFERROR(SEARCH("광고",E436),0)&gt;0,"광고·행사",IF(IFERROR(SEARCH("용역",E436),0)&gt;0,"용역·수수료","기타/불명"))))))</x:f>
      </x:c>
      <x:c r="J436" s="77" t="str">
        <x:f>IF(A436="","",IF(I436="기타/불명","확인 필요","결의서명으로 1차 확인"))</x:f>
      </x:c>
      <x:c r="K436" s="78"/>
    </x:row>
    <x:row r="437">
      <x:c r="A437" s="73"/>
      <x:c r="B437" s="73"/>
      <x:c r="C437" s="74"/>
      <x:c r="D437" s="73"/>
      <x:c r="E437" s="73"/>
      <x:c r="F437" s="75"/>
      <x:c r="G437" s="75"/>
      <x:c r="H437" s="76" t="str">
        <x:f>IF(A437="","",F437-G437)</x:f>
      </x:c>
      <x:c r="I437" s="77" t="str">
        <x:f>IF(A437="","",IF(E437="","기타/불명",IF(IFERROR(SEARCH("급여",E437),0)&gt;0,"인건비",IF(IFERROR(SEARCH("임차",E437),0)&gt;0,"임차·시설",IF(IFERROR(SEARCH("광고",E437),0)&gt;0,"광고·행사",IF(IFERROR(SEARCH("용역",E437),0)&gt;0,"용역·수수료","기타/불명"))))))</x:f>
      </x:c>
      <x:c r="J437" s="77" t="str">
        <x:f>IF(A437="","",IF(I437="기타/불명","확인 필요","결의서명으로 1차 확인"))</x:f>
      </x:c>
      <x:c r="K437" s="78"/>
    </x:row>
    <x:row r="438">
      <x:c r="A438" s="73"/>
      <x:c r="B438" s="73"/>
      <x:c r="C438" s="74"/>
      <x:c r="D438" s="73"/>
      <x:c r="E438" s="73"/>
      <x:c r="F438" s="75"/>
      <x:c r="G438" s="75"/>
      <x:c r="H438" s="76" t="str">
        <x:f>IF(A438="","",F438-G438)</x:f>
      </x:c>
      <x:c r="I438" s="77" t="str">
        <x:f>IF(A438="","",IF(E438="","기타/불명",IF(IFERROR(SEARCH("급여",E438),0)&gt;0,"인건비",IF(IFERROR(SEARCH("임차",E438),0)&gt;0,"임차·시설",IF(IFERROR(SEARCH("광고",E438),0)&gt;0,"광고·행사",IF(IFERROR(SEARCH("용역",E438),0)&gt;0,"용역·수수료","기타/불명"))))))</x:f>
      </x:c>
      <x:c r="J438" s="77" t="str">
        <x:f>IF(A438="","",IF(I438="기타/불명","확인 필요","결의서명으로 1차 확인"))</x:f>
      </x:c>
      <x:c r="K438" s="78"/>
    </x:row>
    <x:row r="439">
      <x:c r="A439" s="73"/>
      <x:c r="B439" s="73"/>
      <x:c r="C439" s="74"/>
      <x:c r="D439" s="73"/>
      <x:c r="E439" s="73"/>
      <x:c r="F439" s="75"/>
      <x:c r="G439" s="75"/>
      <x:c r="H439" s="76" t="str">
        <x:f>IF(A439="","",F439-G439)</x:f>
      </x:c>
      <x:c r="I439" s="77" t="str">
        <x:f>IF(A439="","",IF(E439="","기타/불명",IF(IFERROR(SEARCH("급여",E439),0)&gt;0,"인건비",IF(IFERROR(SEARCH("임차",E439),0)&gt;0,"임차·시설",IF(IFERROR(SEARCH("광고",E439),0)&gt;0,"광고·행사",IF(IFERROR(SEARCH("용역",E439),0)&gt;0,"용역·수수료","기타/불명"))))))</x:f>
      </x:c>
      <x:c r="J439" s="77" t="str">
        <x:f>IF(A439="","",IF(I439="기타/불명","확인 필요","결의서명으로 1차 확인"))</x:f>
      </x:c>
      <x:c r="K439" s="78"/>
    </x:row>
    <x:row r="440">
      <x:c r="A440" s="73"/>
      <x:c r="B440" s="73"/>
      <x:c r="C440" s="74"/>
      <x:c r="D440" s="73"/>
      <x:c r="E440" s="73"/>
      <x:c r="F440" s="75"/>
      <x:c r="G440" s="75"/>
      <x:c r="H440" s="76" t="str">
        <x:f>IF(A440="","",F440-G440)</x:f>
      </x:c>
      <x:c r="I440" s="77" t="str">
        <x:f>IF(A440="","",IF(E440="","기타/불명",IF(IFERROR(SEARCH("급여",E440),0)&gt;0,"인건비",IF(IFERROR(SEARCH("임차",E440),0)&gt;0,"임차·시설",IF(IFERROR(SEARCH("광고",E440),0)&gt;0,"광고·행사",IF(IFERROR(SEARCH("용역",E440),0)&gt;0,"용역·수수료","기타/불명"))))))</x:f>
      </x:c>
      <x:c r="J440" s="77" t="str">
        <x:f>IF(A440="","",IF(I440="기타/불명","확인 필요","결의서명으로 1차 확인"))</x:f>
      </x:c>
      <x:c r="K440" s="78"/>
    </x:row>
    <x:row r="441">
      <x:c r="A441" s="73"/>
      <x:c r="B441" s="73"/>
      <x:c r="C441" s="74"/>
      <x:c r="D441" s="73"/>
      <x:c r="E441" s="73"/>
      <x:c r="F441" s="75"/>
      <x:c r="G441" s="75"/>
      <x:c r="H441" s="76" t="str">
        <x:f>IF(A441="","",F441-G441)</x:f>
      </x:c>
      <x:c r="I441" s="77" t="str">
        <x:f>IF(A441="","",IF(E441="","기타/불명",IF(IFERROR(SEARCH("급여",E441),0)&gt;0,"인건비",IF(IFERROR(SEARCH("임차",E441),0)&gt;0,"임차·시설",IF(IFERROR(SEARCH("광고",E441),0)&gt;0,"광고·행사",IF(IFERROR(SEARCH("용역",E441),0)&gt;0,"용역·수수료","기타/불명"))))))</x:f>
      </x:c>
      <x:c r="J441" s="77" t="str">
        <x:f>IF(A441="","",IF(I441="기타/불명","확인 필요","결의서명으로 1차 확인"))</x:f>
      </x:c>
      <x:c r="K441" s="78"/>
    </x:row>
    <x:row r="442">
      <x:c r="A442" s="73"/>
      <x:c r="B442" s="73"/>
      <x:c r="C442" s="74"/>
      <x:c r="D442" s="73"/>
      <x:c r="E442" s="73"/>
      <x:c r="F442" s="75"/>
      <x:c r="G442" s="75"/>
      <x:c r="H442" s="76" t="str">
        <x:f>IF(A442="","",F442-G442)</x:f>
      </x:c>
      <x:c r="I442" s="77" t="str">
        <x:f>IF(A442="","",IF(E442="","기타/불명",IF(IFERROR(SEARCH("급여",E442),0)&gt;0,"인건비",IF(IFERROR(SEARCH("임차",E442),0)&gt;0,"임차·시설",IF(IFERROR(SEARCH("광고",E442),0)&gt;0,"광고·행사",IF(IFERROR(SEARCH("용역",E442),0)&gt;0,"용역·수수료","기타/불명"))))))</x:f>
      </x:c>
      <x:c r="J442" s="77" t="str">
        <x:f>IF(A442="","",IF(I442="기타/불명","확인 필요","결의서명으로 1차 확인"))</x:f>
      </x:c>
      <x:c r="K442" s="78"/>
    </x:row>
    <x:row r="443">
      <x:c r="A443" s="73"/>
      <x:c r="B443" s="73"/>
      <x:c r="C443" s="74"/>
      <x:c r="D443" s="73"/>
      <x:c r="E443" s="73"/>
      <x:c r="F443" s="75"/>
      <x:c r="G443" s="75"/>
      <x:c r="H443" s="76" t="str">
        <x:f>IF(A443="","",F443-G443)</x:f>
      </x:c>
      <x:c r="I443" s="77" t="str">
        <x:f>IF(A443="","",IF(E443="","기타/불명",IF(IFERROR(SEARCH("급여",E443),0)&gt;0,"인건비",IF(IFERROR(SEARCH("임차",E443),0)&gt;0,"임차·시설",IF(IFERROR(SEARCH("광고",E443),0)&gt;0,"광고·행사",IF(IFERROR(SEARCH("용역",E443),0)&gt;0,"용역·수수료","기타/불명"))))))</x:f>
      </x:c>
      <x:c r="J443" s="77" t="str">
        <x:f>IF(A443="","",IF(I443="기타/불명","확인 필요","결의서명으로 1차 확인"))</x:f>
      </x:c>
      <x:c r="K443" s="78"/>
    </x:row>
    <x:row r="444">
      <x:c r="A444" s="73"/>
      <x:c r="B444" s="73"/>
      <x:c r="C444" s="74"/>
      <x:c r="D444" s="73"/>
      <x:c r="E444" s="73"/>
      <x:c r="F444" s="75"/>
      <x:c r="G444" s="75"/>
      <x:c r="H444" s="76" t="str">
        <x:f>IF(A444="","",F444-G444)</x:f>
      </x:c>
      <x:c r="I444" s="77" t="str">
        <x:f>IF(A444="","",IF(E444="","기타/불명",IF(IFERROR(SEARCH("급여",E444),0)&gt;0,"인건비",IF(IFERROR(SEARCH("임차",E444),0)&gt;0,"임차·시설",IF(IFERROR(SEARCH("광고",E444),0)&gt;0,"광고·행사",IF(IFERROR(SEARCH("용역",E444),0)&gt;0,"용역·수수료","기타/불명"))))))</x:f>
      </x:c>
      <x:c r="J444" s="77" t="str">
        <x:f>IF(A444="","",IF(I444="기타/불명","확인 필요","결의서명으로 1차 확인"))</x:f>
      </x:c>
      <x:c r="K444" s="78"/>
    </x:row>
    <x:row r="445">
      <x:c r="A445" s="73"/>
      <x:c r="B445" s="73"/>
      <x:c r="C445" s="74"/>
      <x:c r="D445" s="73"/>
      <x:c r="E445" s="73"/>
      <x:c r="F445" s="75"/>
      <x:c r="G445" s="75"/>
      <x:c r="H445" s="76" t="str">
        <x:f>IF(A445="","",F445-G445)</x:f>
      </x:c>
      <x:c r="I445" s="77" t="str">
        <x:f>IF(A445="","",IF(E445="","기타/불명",IF(IFERROR(SEARCH("급여",E445),0)&gt;0,"인건비",IF(IFERROR(SEARCH("임차",E445),0)&gt;0,"임차·시설",IF(IFERROR(SEARCH("광고",E445),0)&gt;0,"광고·행사",IF(IFERROR(SEARCH("용역",E445),0)&gt;0,"용역·수수료","기타/불명"))))))</x:f>
      </x:c>
      <x:c r="J445" s="77" t="str">
        <x:f>IF(A445="","",IF(I445="기타/불명","확인 필요","결의서명으로 1차 확인"))</x:f>
      </x:c>
      <x:c r="K445" s="78"/>
    </x:row>
    <x:row r="446">
      <x:c r="A446" s="73"/>
      <x:c r="B446" s="73"/>
      <x:c r="C446" s="74"/>
      <x:c r="D446" s="73"/>
      <x:c r="E446" s="73"/>
      <x:c r="F446" s="75"/>
      <x:c r="G446" s="75"/>
      <x:c r="H446" s="76" t="str">
        <x:f>IF(A446="","",F446-G446)</x:f>
      </x:c>
      <x:c r="I446" s="77" t="str">
        <x:f>IF(A446="","",IF(E446="","기타/불명",IF(IFERROR(SEARCH("급여",E446),0)&gt;0,"인건비",IF(IFERROR(SEARCH("임차",E446),0)&gt;0,"임차·시설",IF(IFERROR(SEARCH("광고",E446),0)&gt;0,"광고·행사",IF(IFERROR(SEARCH("용역",E446),0)&gt;0,"용역·수수료","기타/불명"))))))</x:f>
      </x:c>
      <x:c r="J446" s="77" t="str">
        <x:f>IF(A446="","",IF(I446="기타/불명","확인 필요","결의서명으로 1차 확인"))</x:f>
      </x:c>
      <x:c r="K446" s="78"/>
    </x:row>
    <x:row r="447">
      <x:c r="A447" s="73"/>
      <x:c r="B447" s="73"/>
      <x:c r="C447" s="74"/>
      <x:c r="D447" s="73"/>
      <x:c r="E447" s="73"/>
      <x:c r="F447" s="75"/>
      <x:c r="G447" s="75"/>
      <x:c r="H447" s="76" t="str">
        <x:f>IF(A447="","",F447-G447)</x:f>
      </x:c>
      <x:c r="I447" s="77" t="str">
        <x:f>IF(A447="","",IF(E447="","기타/불명",IF(IFERROR(SEARCH("급여",E447),0)&gt;0,"인건비",IF(IFERROR(SEARCH("임차",E447),0)&gt;0,"임차·시설",IF(IFERROR(SEARCH("광고",E447),0)&gt;0,"광고·행사",IF(IFERROR(SEARCH("용역",E447),0)&gt;0,"용역·수수료","기타/불명"))))))</x:f>
      </x:c>
      <x:c r="J447" s="77" t="str">
        <x:f>IF(A447="","",IF(I447="기타/불명","확인 필요","결의서명으로 1차 확인"))</x:f>
      </x:c>
      <x:c r="K447" s="78"/>
    </x:row>
    <x:row r="448">
      <x:c r="A448" s="73"/>
      <x:c r="B448" s="73"/>
      <x:c r="C448" s="74"/>
      <x:c r="D448" s="73"/>
      <x:c r="E448" s="73"/>
      <x:c r="F448" s="75"/>
      <x:c r="G448" s="75"/>
      <x:c r="H448" s="76" t="str">
        <x:f>IF(A448="","",F448-G448)</x:f>
      </x:c>
      <x:c r="I448" s="77" t="str">
        <x:f>IF(A448="","",IF(E448="","기타/불명",IF(IFERROR(SEARCH("급여",E448),0)&gt;0,"인건비",IF(IFERROR(SEARCH("임차",E448),0)&gt;0,"임차·시설",IF(IFERROR(SEARCH("광고",E448),0)&gt;0,"광고·행사",IF(IFERROR(SEARCH("용역",E448),0)&gt;0,"용역·수수료","기타/불명"))))))</x:f>
      </x:c>
      <x:c r="J448" s="77" t="str">
        <x:f>IF(A448="","",IF(I448="기타/불명","확인 필요","결의서명으로 1차 확인"))</x:f>
      </x:c>
      <x:c r="K448" s="78"/>
    </x:row>
    <x:row r="449">
      <x:c r="A449" s="73"/>
      <x:c r="B449" s="73"/>
      <x:c r="C449" s="74"/>
      <x:c r="D449" s="73"/>
      <x:c r="E449" s="73"/>
      <x:c r="F449" s="75"/>
      <x:c r="G449" s="75"/>
      <x:c r="H449" s="76" t="str">
        <x:f>IF(A449="","",F449-G449)</x:f>
      </x:c>
      <x:c r="I449" s="77" t="str">
        <x:f>IF(A449="","",IF(E449="","기타/불명",IF(IFERROR(SEARCH("급여",E449),0)&gt;0,"인건비",IF(IFERROR(SEARCH("임차",E449),0)&gt;0,"임차·시설",IF(IFERROR(SEARCH("광고",E449),0)&gt;0,"광고·행사",IF(IFERROR(SEARCH("용역",E449),0)&gt;0,"용역·수수료","기타/불명"))))))</x:f>
      </x:c>
      <x:c r="J449" s="77" t="str">
        <x:f>IF(A449="","",IF(I449="기타/불명","확인 필요","결의서명으로 1차 확인"))</x:f>
      </x:c>
      <x:c r="K449" s="78"/>
    </x:row>
    <x:row r="450">
      <x:c r="A450" s="73"/>
      <x:c r="B450" s="73"/>
      <x:c r="C450" s="74"/>
      <x:c r="D450" s="73"/>
      <x:c r="E450" s="73"/>
      <x:c r="F450" s="75"/>
      <x:c r="G450" s="75"/>
      <x:c r="H450" s="76" t="str">
        <x:f>IF(A450="","",F450-G450)</x:f>
      </x:c>
      <x:c r="I450" s="77" t="str">
        <x:f>IF(A450="","",IF(E450="","기타/불명",IF(IFERROR(SEARCH("급여",E450),0)&gt;0,"인건비",IF(IFERROR(SEARCH("임차",E450),0)&gt;0,"임차·시설",IF(IFERROR(SEARCH("광고",E450),0)&gt;0,"광고·행사",IF(IFERROR(SEARCH("용역",E450),0)&gt;0,"용역·수수료","기타/불명"))))))</x:f>
      </x:c>
      <x:c r="J450" s="77" t="str">
        <x:f>IF(A450="","",IF(I450="기타/불명","확인 필요","결의서명으로 1차 확인"))</x:f>
      </x:c>
      <x:c r="K450" s="78"/>
    </x:row>
    <x:row r="451">
      <x:c r="A451" s="73"/>
      <x:c r="B451" s="73"/>
      <x:c r="C451" s="74"/>
      <x:c r="D451" s="73"/>
      <x:c r="E451" s="73"/>
      <x:c r="F451" s="75"/>
      <x:c r="G451" s="75"/>
      <x:c r="H451" s="76" t="str">
        <x:f>IF(A451="","",F451-G451)</x:f>
      </x:c>
      <x:c r="I451" s="77" t="str">
        <x:f>IF(A451="","",IF(E451="","기타/불명",IF(IFERROR(SEARCH("급여",E451),0)&gt;0,"인건비",IF(IFERROR(SEARCH("임차",E451),0)&gt;0,"임차·시설",IF(IFERROR(SEARCH("광고",E451),0)&gt;0,"광고·행사",IF(IFERROR(SEARCH("용역",E451),0)&gt;0,"용역·수수료","기타/불명"))))))</x:f>
      </x:c>
      <x:c r="J451" s="77" t="str">
        <x:f>IF(A451="","",IF(I451="기타/불명","확인 필요","결의서명으로 1차 확인"))</x:f>
      </x:c>
      <x:c r="K451" s="78"/>
    </x:row>
    <x:row r="452">
      <x:c r="A452" s="73"/>
      <x:c r="B452" s="73"/>
      <x:c r="C452" s="74"/>
      <x:c r="D452" s="73"/>
      <x:c r="E452" s="73"/>
      <x:c r="F452" s="75"/>
      <x:c r="G452" s="75"/>
      <x:c r="H452" s="76" t="str">
        <x:f>IF(A452="","",F452-G452)</x:f>
      </x:c>
      <x:c r="I452" s="77" t="str">
        <x:f>IF(A452="","",IF(E452="","기타/불명",IF(IFERROR(SEARCH("급여",E452),0)&gt;0,"인건비",IF(IFERROR(SEARCH("임차",E452),0)&gt;0,"임차·시설",IF(IFERROR(SEARCH("광고",E452),0)&gt;0,"광고·행사",IF(IFERROR(SEARCH("용역",E452),0)&gt;0,"용역·수수료","기타/불명"))))))</x:f>
      </x:c>
      <x:c r="J452" s="77" t="str">
        <x:f>IF(A452="","",IF(I452="기타/불명","확인 필요","결의서명으로 1차 확인"))</x:f>
      </x:c>
      <x:c r="K452" s="78"/>
    </x:row>
    <x:row r="453">
      <x:c r="A453" s="73"/>
      <x:c r="B453" s="73"/>
      <x:c r="C453" s="74"/>
      <x:c r="D453" s="73"/>
      <x:c r="E453" s="73"/>
      <x:c r="F453" s="75"/>
      <x:c r="G453" s="75"/>
      <x:c r="H453" s="76" t="str">
        <x:f>IF(A453="","",F453-G453)</x:f>
      </x:c>
      <x:c r="I453" s="77" t="str">
        <x:f>IF(A453="","",IF(E453="","기타/불명",IF(IFERROR(SEARCH("급여",E453),0)&gt;0,"인건비",IF(IFERROR(SEARCH("임차",E453),0)&gt;0,"임차·시설",IF(IFERROR(SEARCH("광고",E453),0)&gt;0,"광고·행사",IF(IFERROR(SEARCH("용역",E453),0)&gt;0,"용역·수수료","기타/불명"))))))</x:f>
      </x:c>
      <x:c r="J453" s="77" t="str">
        <x:f>IF(A453="","",IF(I453="기타/불명","확인 필요","결의서명으로 1차 확인"))</x:f>
      </x:c>
      <x:c r="K453" s="78"/>
    </x:row>
    <x:row r="454">
      <x:c r="A454" s="73"/>
      <x:c r="B454" s="73"/>
      <x:c r="C454" s="74"/>
      <x:c r="D454" s="73"/>
      <x:c r="E454" s="73"/>
      <x:c r="F454" s="75"/>
      <x:c r="G454" s="75"/>
      <x:c r="H454" s="76" t="str">
        <x:f>IF(A454="","",F454-G454)</x:f>
      </x:c>
      <x:c r="I454" s="77" t="str">
        <x:f>IF(A454="","",IF(E454="","기타/불명",IF(IFERROR(SEARCH("급여",E454),0)&gt;0,"인건비",IF(IFERROR(SEARCH("임차",E454),0)&gt;0,"임차·시설",IF(IFERROR(SEARCH("광고",E454),0)&gt;0,"광고·행사",IF(IFERROR(SEARCH("용역",E454),0)&gt;0,"용역·수수료","기타/불명"))))))</x:f>
      </x:c>
      <x:c r="J454" s="77" t="str">
        <x:f>IF(A454="","",IF(I454="기타/불명","확인 필요","결의서명으로 1차 확인"))</x:f>
      </x:c>
      <x:c r="K454" s="78"/>
    </x:row>
    <x:row r="455">
      <x:c r="A455" s="73"/>
      <x:c r="B455" s="73"/>
      <x:c r="C455" s="74"/>
      <x:c r="D455" s="73"/>
      <x:c r="E455" s="73"/>
      <x:c r="F455" s="75"/>
      <x:c r="G455" s="75"/>
      <x:c r="H455" s="76" t="str">
        <x:f>IF(A455="","",F455-G455)</x:f>
      </x:c>
      <x:c r="I455" s="77" t="str">
        <x:f>IF(A455="","",IF(E455="","기타/불명",IF(IFERROR(SEARCH("급여",E455),0)&gt;0,"인건비",IF(IFERROR(SEARCH("임차",E455),0)&gt;0,"임차·시설",IF(IFERROR(SEARCH("광고",E455),0)&gt;0,"광고·행사",IF(IFERROR(SEARCH("용역",E455),0)&gt;0,"용역·수수료","기타/불명"))))))</x:f>
      </x:c>
      <x:c r="J455" s="77" t="str">
        <x:f>IF(A455="","",IF(I455="기타/불명","확인 필요","결의서명으로 1차 확인"))</x:f>
      </x:c>
      <x:c r="K455" s="78"/>
    </x:row>
    <x:row r="456">
      <x:c r="A456" s="73"/>
      <x:c r="B456" s="73"/>
      <x:c r="C456" s="74"/>
      <x:c r="D456" s="73"/>
      <x:c r="E456" s="73"/>
      <x:c r="F456" s="75"/>
      <x:c r="G456" s="75"/>
      <x:c r="H456" s="76" t="str">
        <x:f>IF(A456="","",F456-G456)</x:f>
      </x:c>
      <x:c r="I456" s="77" t="str">
        <x:f>IF(A456="","",IF(E456="","기타/불명",IF(IFERROR(SEARCH("급여",E456),0)&gt;0,"인건비",IF(IFERROR(SEARCH("임차",E456),0)&gt;0,"임차·시설",IF(IFERROR(SEARCH("광고",E456),0)&gt;0,"광고·행사",IF(IFERROR(SEARCH("용역",E456),0)&gt;0,"용역·수수료","기타/불명"))))))</x:f>
      </x:c>
      <x:c r="J456" s="77" t="str">
        <x:f>IF(A456="","",IF(I456="기타/불명","확인 필요","결의서명으로 1차 확인"))</x:f>
      </x:c>
      <x:c r="K456" s="78"/>
    </x:row>
    <x:row r="457">
      <x:c r="A457" s="73"/>
      <x:c r="B457" s="73"/>
      <x:c r="C457" s="74"/>
      <x:c r="D457" s="73"/>
      <x:c r="E457" s="73"/>
      <x:c r="F457" s="75"/>
      <x:c r="G457" s="75"/>
      <x:c r="H457" s="76" t="str">
        <x:f>IF(A457="","",F457-G457)</x:f>
      </x:c>
      <x:c r="I457" s="77" t="str">
        <x:f>IF(A457="","",IF(E457="","기타/불명",IF(IFERROR(SEARCH("급여",E457),0)&gt;0,"인건비",IF(IFERROR(SEARCH("임차",E457),0)&gt;0,"임차·시설",IF(IFERROR(SEARCH("광고",E457),0)&gt;0,"광고·행사",IF(IFERROR(SEARCH("용역",E457),0)&gt;0,"용역·수수료","기타/불명"))))))</x:f>
      </x:c>
      <x:c r="J457" s="77" t="str">
        <x:f>IF(A457="","",IF(I457="기타/불명","확인 필요","결의서명으로 1차 확인"))</x:f>
      </x:c>
      <x:c r="K457" s="78"/>
    </x:row>
    <x:row r="458">
      <x:c r="A458" s="73"/>
      <x:c r="B458" s="73"/>
      <x:c r="C458" s="74"/>
      <x:c r="D458" s="73"/>
      <x:c r="E458" s="73"/>
      <x:c r="F458" s="75"/>
      <x:c r="G458" s="75"/>
      <x:c r="H458" s="76" t="str">
        <x:f>IF(A458="","",F458-G458)</x:f>
      </x:c>
      <x:c r="I458" s="77" t="str">
        <x:f>IF(A458="","",IF(E458="","기타/불명",IF(IFERROR(SEARCH("급여",E458),0)&gt;0,"인건비",IF(IFERROR(SEARCH("임차",E458),0)&gt;0,"임차·시설",IF(IFERROR(SEARCH("광고",E458),0)&gt;0,"광고·행사",IF(IFERROR(SEARCH("용역",E458),0)&gt;0,"용역·수수료","기타/불명"))))))</x:f>
      </x:c>
      <x:c r="J458" s="77" t="str">
        <x:f>IF(A458="","",IF(I458="기타/불명","확인 필요","결의서명으로 1차 확인"))</x:f>
      </x:c>
      <x:c r="K458" s="78"/>
    </x:row>
    <x:row r="459">
      <x:c r="A459" s="73"/>
      <x:c r="B459" s="73"/>
      <x:c r="C459" s="74"/>
      <x:c r="D459" s="73"/>
      <x:c r="E459" s="73"/>
      <x:c r="F459" s="75"/>
      <x:c r="G459" s="75"/>
      <x:c r="H459" s="76" t="str">
        <x:f>IF(A459="","",F459-G459)</x:f>
      </x:c>
      <x:c r="I459" s="77" t="str">
        <x:f>IF(A459="","",IF(E459="","기타/불명",IF(IFERROR(SEARCH("급여",E459),0)&gt;0,"인건비",IF(IFERROR(SEARCH("임차",E459),0)&gt;0,"임차·시설",IF(IFERROR(SEARCH("광고",E459),0)&gt;0,"광고·행사",IF(IFERROR(SEARCH("용역",E459),0)&gt;0,"용역·수수료","기타/불명"))))))</x:f>
      </x:c>
      <x:c r="J459" s="77" t="str">
        <x:f>IF(A459="","",IF(I459="기타/불명","확인 필요","결의서명으로 1차 확인"))</x:f>
      </x:c>
      <x:c r="K459" s="78"/>
    </x:row>
    <x:row r="460">
      <x:c r="A460" s="73"/>
      <x:c r="B460" s="73"/>
      <x:c r="C460" s="74"/>
      <x:c r="D460" s="73"/>
      <x:c r="E460" s="73"/>
      <x:c r="F460" s="75"/>
      <x:c r="G460" s="75"/>
      <x:c r="H460" s="76" t="str">
        <x:f>IF(A460="","",F460-G460)</x:f>
      </x:c>
      <x:c r="I460" s="77" t="str">
        <x:f>IF(A460="","",IF(E460="","기타/불명",IF(IFERROR(SEARCH("급여",E460),0)&gt;0,"인건비",IF(IFERROR(SEARCH("임차",E460),0)&gt;0,"임차·시설",IF(IFERROR(SEARCH("광고",E460),0)&gt;0,"광고·행사",IF(IFERROR(SEARCH("용역",E460),0)&gt;0,"용역·수수료","기타/불명"))))))</x:f>
      </x:c>
      <x:c r="J460" s="77" t="str">
        <x:f>IF(A460="","",IF(I460="기타/불명","확인 필요","결의서명으로 1차 확인"))</x:f>
      </x:c>
      <x:c r="K460" s="78"/>
    </x:row>
    <x:row r="461">
      <x:c r="A461" s="73"/>
      <x:c r="B461" s="73"/>
      <x:c r="C461" s="74"/>
      <x:c r="D461" s="73"/>
      <x:c r="E461" s="73"/>
      <x:c r="F461" s="75"/>
      <x:c r="G461" s="75"/>
      <x:c r="H461" s="76" t="str">
        <x:f>IF(A461="","",F461-G461)</x:f>
      </x:c>
      <x:c r="I461" s="77" t="str">
        <x:f>IF(A461="","",IF(E461="","기타/불명",IF(IFERROR(SEARCH("급여",E461),0)&gt;0,"인건비",IF(IFERROR(SEARCH("임차",E461),0)&gt;0,"임차·시설",IF(IFERROR(SEARCH("광고",E461),0)&gt;0,"광고·행사",IF(IFERROR(SEARCH("용역",E461),0)&gt;0,"용역·수수료","기타/불명"))))))</x:f>
      </x:c>
      <x:c r="J461" s="77" t="str">
        <x:f>IF(A461="","",IF(I461="기타/불명","확인 필요","결의서명으로 1차 확인"))</x:f>
      </x:c>
      <x:c r="K461" s="78"/>
    </x:row>
    <x:row r="462">
      <x:c r="A462" s="73"/>
      <x:c r="B462" s="73"/>
      <x:c r="C462" s="74"/>
      <x:c r="D462" s="73"/>
      <x:c r="E462" s="73"/>
      <x:c r="F462" s="75"/>
      <x:c r="G462" s="75"/>
      <x:c r="H462" s="76" t="str">
        <x:f>IF(A462="","",F462-G462)</x:f>
      </x:c>
      <x:c r="I462" s="77" t="str">
        <x:f>IF(A462="","",IF(E462="","기타/불명",IF(IFERROR(SEARCH("급여",E462),0)&gt;0,"인건비",IF(IFERROR(SEARCH("임차",E462),0)&gt;0,"임차·시설",IF(IFERROR(SEARCH("광고",E462),0)&gt;0,"광고·행사",IF(IFERROR(SEARCH("용역",E462),0)&gt;0,"용역·수수료","기타/불명"))))))</x:f>
      </x:c>
      <x:c r="J462" s="77" t="str">
        <x:f>IF(A462="","",IF(I462="기타/불명","확인 필요","결의서명으로 1차 확인"))</x:f>
      </x:c>
      <x:c r="K462" s="78"/>
    </x:row>
    <x:row r="463">
      <x:c r="A463" s="73"/>
      <x:c r="B463" s="73"/>
      <x:c r="C463" s="74"/>
      <x:c r="D463" s="73"/>
      <x:c r="E463" s="73"/>
      <x:c r="F463" s="75"/>
      <x:c r="G463" s="75"/>
      <x:c r="H463" s="76" t="str">
        <x:f>IF(A463="","",F463-G463)</x:f>
      </x:c>
      <x:c r="I463" s="77" t="str">
        <x:f>IF(A463="","",IF(E463="","기타/불명",IF(IFERROR(SEARCH("급여",E463),0)&gt;0,"인건비",IF(IFERROR(SEARCH("임차",E463),0)&gt;0,"임차·시설",IF(IFERROR(SEARCH("광고",E463),0)&gt;0,"광고·행사",IF(IFERROR(SEARCH("용역",E463),0)&gt;0,"용역·수수료","기타/불명"))))))</x:f>
      </x:c>
      <x:c r="J463" s="77" t="str">
        <x:f>IF(A463="","",IF(I463="기타/불명","확인 필요","결의서명으로 1차 확인"))</x:f>
      </x:c>
      <x:c r="K463" s="78"/>
    </x:row>
    <x:row r="464">
      <x:c r="A464" s="73"/>
      <x:c r="B464" s="73"/>
      <x:c r="C464" s="74"/>
      <x:c r="D464" s="73"/>
      <x:c r="E464" s="73"/>
      <x:c r="F464" s="75"/>
      <x:c r="G464" s="75"/>
      <x:c r="H464" s="76" t="str">
        <x:f>IF(A464="","",F464-G464)</x:f>
      </x:c>
      <x:c r="I464" s="77" t="str">
        <x:f>IF(A464="","",IF(E464="","기타/불명",IF(IFERROR(SEARCH("급여",E464),0)&gt;0,"인건비",IF(IFERROR(SEARCH("임차",E464),0)&gt;0,"임차·시설",IF(IFERROR(SEARCH("광고",E464),0)&gt;0,"광고·행사",IF(IFERROR(SEARCH("용역",E464),0)&gt;0,"용역·수수료","기타/불명"))))))</x:f>
      </x:c>
      <x:c r="J464" s="77" t="str">
        <x:f>IF(A464="","",IF(I464="기타/불명","확인 필요","결의서명으로 1차 확인"))</x:f>
      </x:c>
      <x:c r="K464" s="78"/>
    </x:row>
    <x:row r="465">
      <x:c r="A465" s="73"/>
      <x:c r="B465" s="73"/>
      <x:c r="C465" s="74"/>
      <x:c r="D465" s="73"/>
      <x:c r="E465" s="73"/>
      <x:c r="F465" s="75"/>
      <x:c r="G465" s="75"/>
      <x:c r="H465" s="76" t="str">
        <x:f>IF(A465="","",F465-G465)</x:f>
      </x:c>
      <x:c r="I465" s="77" t="str">
        <x:f>IF(A465="","",IF(E465="","기타/불명",IF(IFERROR(SEARCH("급여",E465),0)&gt;0,"인건비",IF(IFERROR(SEARCH("임차",E465),0)&gt;0,"임차·시설",IF(IFERROR(SEARCH("광고",E465),0)&gt;0,"광고·행사",IF(IFERROR(SEARCH("용역",E465),0)&gt;0,"용역·수수료","기타/불명"))))))</x:f>
      </x:c>
      <x:c r="J465" s="77" t="str">
        <x:f>IF(A465="","",IF(I465="기타/불명","확인 필요","결의서명으로 1차 확인"))</x:f>
      </x:c>
      <x:c r="K465" s="78"/>
    </x:row>
    <x:row r="466">
      <x:c r="A466" s="73"/>
      <x:c r="B466" s="73"/>
      <x:c r="C466" s="74"/>
      <x:c r="D466" s="73"/>
      <x:c r="E466" s="73"/>
      <x:c r="F466" s="75"/>
      <x:c r="G466" s="75"/>
      <x:c r="H466" s="76" t="str">
        <x:f>IF(A466="","",F466-G466)</x:f>
      </x:c>
      <x:c r="I466" s="77" t="str">
        <x:f>IF(A466="","",IF(E466="","기타/불명",IF(IFERROR(SEARCH("급여",E466),0)&gt;0,"인건비",IF(IFERROR(SEARCH("임차",E466),0)&gt;0,"임차·시설",IF(IFERROR(SEARCH("광고",E466),0)&gt;0,"광고·행사",IF(IFERROR(SEARCH("용역",E466),0)&gt;0,"용역·수수료","기타/불명"))))))</x:f>
      </x:c>
      <x:c r="J466" s="77" t="str">
        <x:f>IF(A466="","",IF(I466="기타/불명","확인 필요","결의서명으로 1차 확인"))</x:f>
      </x:c>
      <x:c r="K466" s="78"/>
    </x:row>
    <x:row r="467">
      <x:c r="A467" s="73"/>
      <x:c r="B467" s="73"/>
      <x:c r="C467" s="74"/>
      <x:c r="D467" s="73"/>
      <x:c r="E467" s="73"/>
      <x:c r="F467" s="75"/>
      <x:c r="G467" s="75"/>
      <x:c r="H467" s="76" t="str">
        <x:f>IF(A467="","",F467-G467)</x:f>
      </x:c>
      <x:c r="I467" s="77" t="str">
        <x:f>IF(A467="","",IF(E467="","기타/불명",IF(IFERROR(SEARCH("급여",E467),0)&gt;0,"인건비",IF(IFERROR(SEARCH("임차",E467),0)&gt;0,"임차·시설",IF(IFERROR(SEARCH("광고",E467),0)&gt;0,"광고·행사",IF(IFERROR(SEARCH("용역",E467),0)&gt;0,"용역·수수료","기타/불명"))))))</x:f>
      </x:c>
      <x:c r="J467" s="77" t="str">
        <x:f>IF(A467="","",IF(I467="기타/불명","확인 필요","결의서명으로 1차 확인"))</x:f>
      </x:c>
      <x:c r="K467" s="78"/>
    </x:row>
    <x:row r="468">
      <x:c r="A468" s="73"/>
      <x:c r="B468" s="73"/>
      <x:c r="C468" s="74"/>
      <x:c r="D468" s="73"/>
      <x:c r="E468" s="73"/>
      <x:c r="F468" s="75"/>
      <x:c r="G468" s="75"/>
      <x:c r="H468" s="76" t="str">
        <x:f>IF(A468="","",F468-G468)</x:f>
      </x:c>
      <x:c r="I468" s="77" t="str">
        <x:f>IF(A468="","",IF(E468="","기타/불명",IF(IFERROR(SEARCH("급여",E468),0)&gt;0,"인건비",IF(IFERROR(SEARCH("임차",E468),0)&gt;0,"임차·시설",IF(IFERROR(SEARCH("광고",E468),0)&gt;0,"광고·행사",IF(IFERROR(SEARCH("용역",E468),0)&gt;0,"용역·수수료","기타/불명"))))))</x:f>
      </x:c>
      <x:c r="J468" s="77" t="str">
        <x:f>IF(A468="","",IF(I468="기타/불명","확인 필요","결의서명으로 1차 확인"))</x:f>
      </x:c>
      <x:c r="K468" s="78"/>
    </x:row>
    <x:row r="469">
      <x:c r="A469" s="73"/>
      <x:c r="B469" s="73"/>
      <x:c r="C469" s="74"/>
      <x:c r="D469" s="73"/>
      <x:c r="E469" s="73"/>
      <x:c r="F469" s="75"/>
      <x:c r="G469" s="75"/>
      <x:c r="H469" s="76" t="str">
        <x:f>IF(A469="","",F469-G469)</x:f>
      </x:c>
      <x:c r="I469" s="77" t="str">
        <x:f>IF(A469="","",IF(E469="","기타/불명",IF(IFERROR(SEARCH("급여",E469),0)&gt;0,"인건비",IF(IFERROR(SEARCH("임차",E469),0)&gt;0,"임차·시설",IF(IFERROR(SEARCH("광고",E469),0)&gt;0,"광고·행사",IF(IFERROR(SEARCH("용역",E469),0)&gt;0,"용역·수수료","기타/불명"))))))</x:f>
      </x:c>
      <x:c r="J469" s="77" t="str">
        <x:f>IF(A469="","",IF(I469="기타/불명","확인 필요","결의서명으로 1차 확인"))</x:f>
      </x:c>
      <x:c r="K469" s="78"/>
    </x:row>
    <x:row r="470">
      <x:c r="A470" s="73"/>
      <x:c r="B470" s="73"/>
      <x:c r="C470" s="74"/>
      <x:c r="D470" s="73"/>
      <x:c r="E470" s="73"/>
      <x:c r="F470" s="75"/>
      <x:c r="G470" s="75"/>
      <x:c r="H470" s="76" t="str">
        <x:f>IF(A470="","",F470-G470)</x:f>
      </x:c>
      <x:c r="I470" s="77" t="str">
        <x:f>IF(A470="","",IF(E470="","기타/불명",IF(IFERROR(SEARCH("급여",E470),0)&gt;0,"인건비",IF(IFERROR(SEARCH("임차",E470),0)&gt;0,"임차·시설",IF(IFERROR(SEARCH("광고",E470),0)&gt;0,"광고·행사",IF(IFERROR(SEARCH("용역",E470),0)&gt;0,"용역·수수료","기타/불명"))))))</x:f>
      </x:c>
      <x:c r="J470" s="77" t="str">
        <x:f>IF(A470="","",IF(I470="기타/불명","확인 필요","결의서명으로 1차 확인"))</x:f>
      </x:c>
      <x:c r="K470" s="78"/>
    </x:row>
    <x:row r="471">
      <x:c r="A471" s="73"/>
      <x:c r="B471" s="73"/>
      <x:c r="C471" s="74"/>
      <x:c r="D471" s="73"/>
      <x:c r="E471" s="73"/>
      <x:c r="F471" s="75"/>
      <x:c r="G471" s="75"/>
      <x:c r="H471" s="76" t="str">
        <x:f>IF(A471="","",F471-G471)</x:f>
      </x:c>
      <x:c r="I471" s="77" t="str">
        <x:f>IF(A471="","",IF(E471="","기타/불명",IF(IFERROR(SEARCH("급여",E471),0)&gt;0,"인건비",IF(IFERROR(SEARCH("임차",E471),0)&gt;0,"임차·시설",IF(IFERROR(SEARCH("광고",E471),0)&gt;0,"광고·행사",IF(IFERROR(SEARCH("용역",E471),0)&gt;0,"용역·수수료","기타/불명"))))))</x:f>
      </x:c>
      <x:c r="J471" s="77" t="str">
        <x:f>IF(A471="","",IF(I471="기타/불명","확인 필요","결의서명으로 1차 확인"))</x:f>
      </x:c>
      <x:c r="K471" s="78"/>
    </x:row>
    <x:row r="472">
      <x:c r="A472" s="73"/>
      <x:c r="B472" s="73"/>
      <x:c r="C472" s="74"/>
      <x:c r="D472" s="73"/>
      <x:c r="E472" s="73"/>
      <x:c r="F472" s="75"/>
      <x:c r="G472" s="75"/>
      <x:c r="H472" s="76" t="str">
        <x:f>IF(A472="","",F472-G472)</x:f>
      </x:c>
      <x:c r="I472" s="77" t="str">
        <x:f>IF(A472="","",IF(E472="","기타/불명",IF(IFERROR(SEARCH("급여",E472),0)&gt;0,"인건비",IF(IFERROR(SEARCH("임차",E472),0)&gt;0,"임차·시설",IF(IFERROR(SEARCH("광고",E472),0)&gt;0,"광고·행사",IF(IFERROR(SEARCH("용역",E472),0)&gt;0,"용역·수수료","기타/불명"))))))</x:f>
      </x:c>
      <x:c r="J472" s="77" t="str">
        <x:f>IF(A472="","",IF(I472="기타/불명","확인 필요","결의서명으로 1차 확인"))</x:f>
      </x:c>
      <x:c r="K472" s="78"/>
    </x:row>
    <x:row r="473">
      <x:c r="A473" s="73"/>
      <x:c r="B473" s="73"/>
      <x:c r="C473" s="74"/>
      <x:c r="D473" s="73"/>
      <x:c r="E473" s="73"/>
      <x:c r="F473" s="75"/>
      <x:c r="G473" s="75"/>
      <x:c r="H473" s="76" t="str">
        <x:f>IF(A473="","",F473-G473)</x:f>
      </x:c>
      <x:c r="I473" s="77" t="str">
        <x:f>IF(A473="","",IF(E473="","기타/불명",IF(IFERROR(SEARCH("급여",E473),0)&gt;0,"인건비",IF(IFERROR(SEARCH("임차",E473),0)&gt;0,"임차·시설",IF(IFERROR(SEARCH("광고",E473),0)&gt;0,"광고·행사",IF(IFERROR(SEARCH("용역",E473),0)&gt;0,"용역·수수료","기타/불명"))))))</x:f>
      </x:c>
      <x:c r="J473" s="77" t="str">
        <x:f>IF(A473="","",IF(I473="기타/불명","확인 필요","결의서명으로 1차 확인"))</x:f>
      </x:c>
      <x:c r="K473" s="78"/>
    </x:row>
    <x:row r="474">
      <x:c r="A474" s="73"/>
      <x:c r="B474" s="73"/>
      <x:c r="C474" s="74"/>
      <x:c r="D474" s="73"/>
      <x:c r="E474" s="73"/>
      <x:c r="F474" s="75"/>
      <x:c r="G474" s="75"/>
      <x:c r="H474" s="76" t="str">
        <x:f>IF(A474="","",F474-G474)</x:f>
      </x:c>
      <x:c r="I474" s="77" t="str">
        <x:f>IF(A474="","",IF(E474="","기타/불명",IF(IFERROR(SEARCH("급여",E474),0)&gt;0,"인건비",IF(IFERROR(SEARCH("임차",E474),0)&gt;0,"임차·시설",IF(IFERROR(SEARCH("광고",E474),0)&gt;0,"광고·행사",IF(IFERROR(SEARCH("용역",E474),0)&gt;0,"용역·수수료","기타/불명"))))))</x:f>
      </x:c>
      <x:c r="J474" s="77" t="str">
        <x:f>IF(A474="","",IF(I474="기타/불명","확인 필요","결의서명으로 1차 확인"))</x:f>
      </x:c>
      <x:c r="K474" s="78"/>
    </x:row>
    <x:row r="475">
      <x:c r="A475" s="73"/>
      <x:c r="B475" s="73"/>
      <x:c r="C475" s="74"/>
      <x:c r="D475" s="73"/>
      <x:c r="E475" s="73"/>
      <x:c r="F475" s="75"/>
      <x:c r="G475" s="75"/>
      <x:c r="H475" s="76" t="str">
        <x:f>IF(A475="","",F475-G475)</x:f>
      </x:c>
      <x:c r="I475" s="77" t="str">
        <x:f>IF(A475="","",IF(E475="","기타/불명",IF(IFERROR(SEARCH("급여",E475),0)&gt;0,"인건비",IF(IFERROR(SEARCH("임차",E475),0)&gt;0,"임차·시설",IF(IFERROR(SEARCH("광고",E475),0)&gt;0,"광고·행사",IF(IFERROR(SEARCH("용역",E475),0)&gt;0,"용역·수수료","기타/불명"))))))</x:f>
      </x:c>
      <x:c r="J475" s="77" t="str">
        <x:f>IF(A475="","",IF(I475="기타/불명","확인 필요","결의서명으로 1차 확인"))</x:f>
      </x:c>
      <x:c r="K475" s="78"/>
    </x:row>
    <x:row r="476">
      <x:c r="A476" s="73"/>
      <x:c r="B476" s="73"/>
      <x:c r="C476" s="74"/>
      <x:c r="D476" s="73"/>
      <x:c r="E476" s="73"/>
      <x:c r="F476" s="75"/>
      <x:c r="G476" s="75"/>
      <x:c r="H476" s="76" t="str">
        <x:f>IF(A476="","",F476-G476)</x:f>
      </x:c>
      <x:c r="I476" s="77" t="str">
        <x:f>IF(A476="","",IF(E476="","기타/불명",IF(IFERROR(SEARCH("급여",E476),0)&gt;0,"인건비",IF(IFERROR(SEARCH("임차",E476),0)&gt;0,"임차·시설",IF(IFERROR(SEARCH("광고",E476),0)&gt;0,"광고·행사",IF(IFERROR(SEARCH("용역",E476),0)&gt;0,"용역·수수료","기타/불명"))))))</x:f>
      </x:c>
      <x:c r="J476" s="77" t="str">
        <x:f>IF(A476="","",IF(I476="기타/불명","확인 필요","결의서명으로 1차 확인"))</x:f>
      </x:c>
      <x:c r="K476" s="78"/>
    </x:row>
    <x:row r="477">
      <x:c r="A477" s="73"/>
      <x:c r="B477" s="73"/>
      <x:c r="C477" s="74"/>
      <x:c r="D477" s="73"/>
      <x:c r="E477" s="73"/>
      <x:c r="F477" s="75"/>
      <x:c r="G477" s="75"/>
      <x:c r="H477" s="76" t="str">
        <x:f>IF(A477="","",F477-G477)</x:f>
      </x:c>
      <x:c r="I477" s="77" t="str">
        <x:f>IF(A477="","",IF(E477="","기타/불명",IF(IFERROR(SEARCH("급여",E477),0)&gt;0,"인건비",IF(IFERROR(SEARCH("임차",E477),0)&gt;0,"임차·시설",IF(IFERROR(SEARCH("광고",E477),0)&gt;0,"광고·행사",IF(IFERROR(SEARCH("용역",E477),0)&gt;0,"용역·수수료","기타/불명"))))))</x:f>
      </x:c>
      <x:c r="J477" s="77" t="str">
        <x:f>IF(A477="","",IF(I477="기타/불명","확인 필요","결의서명으로 1차 확인"))</x:f>
      </x:c>
      <x:c r="K477" s="78"/>
    </x:row>
    <x:row r="478">
      <x:c r="A478" s="73"/>
      <x:c r="B478" s="73"/>
      <x:c r="C478" s="74"/>
      <x:c r="D478" s="73"/>
      <x:c r="E478" s="73"/>
      <x:c r="F478" s="75"/>
      <x:c r="G478" s="75"/>
      <x:c r="H478" s="76" t="str">
        <x:f>IF(A478="","",F478-G478)</x:f>
      </x:c>
      <x:c r="I478" s="77" t="str">
        <x:f>IF(A478="","",IF(E478="","기타/불명",IF(IFERROR(SEARCH("급여",E478),0)&gt;0,"인건비",IF(IFERROR(SEARCH("임차",E478),0)&gt;0,"임차·시설",IF(IFERROR(SEARCH("광고",E478),0)&gt;0,"광고·행사",IF(IFERROR(SEARCH("용역",E478),0)&gt;0,"용역·수수료","기타/불명"))))))</x:f>
      </x:c>
      <x:c r="J478" s="77" t="str">
        <x:f>IF(A478="","",IF(I478="기타/불명","확인 필요","결의서명으로 1차 확인"))</x:f>
      </x:c>
      <x:c r="K478" s="78"/>
    </x:row>
    <x:row r="479">
      <x:c r="A479" s="73"/>
      <x:c r="B479" s="73"/>
      <x:c r="C479" s="74"/>
      <x:c r="D479" s="73"/>
      <x:c r="E479" s="73"/>
      <x:c r="F479" s="75"/>
      <x:c r="G479" s="75"/>
      <x:c r="H479" s="76" t="str">
        <x:f>IF(A479="","",F479-G479)</x:f>
      </x:c>
      <x:c r="I479" s="77" t="str">
        <x:f>IF(A479="","",IF(E479="","기타/불명",IF(IFERROR(SEARCH("급여",E479),0)&gt;0,"인건비",IF(IFERROR(SEARCH("임차",E479),0)&gt;0,"임차·시설",IF(IFERROR(SEARCH("광고",E479),0)&gt;0,"광고·행사",IF(IFERROR(SEARCH("용역",E479),0)&gt;0,"용역·수수료","기타/불명"))))))</x:f>
      </x:c>
      <x:c r="J479" s="77" t="str">
        <x:f>IF(A479="","",IF(I479="기타/불명","확인 필요","결의서명으로 1차 확인"))</x:f>
      </x:c>
      <x:c r="K479" s="78"/>
    </x:row>
    <x:row r="480">
      <x:c r="A480" s="73"/>
      <x:c r="B480" s="73"/>
      <x:c r="C480" s="74"/>
      <x:c r="D480" s="73"/>
      <x:c r="E480" s="73"/>
      <x:c r="F480" s="75"/>
      <x:c r="G480" s="75"/>
      <x:c r="H480" s="76" t="str">
        <x:f>IF(A480="","",F480-G480)</x:f>
      </x:c>
      <x:c r="I480" s="77" t="str">
        <x:f>IF(A480="","",IF(E480="","기타/불명",IF(IFERROR(SEARCH("급여",E480),0)&gt;0,"인건비",IF(IFERROR(SEARCH("임차",E480),0)&gt;0,"임차·시설",IF(IFERROR(SEARCH("광고",E480),0)&gt;0,"광고·행사",IF(IFERROR(SEARCH("용역",E480),0)&gt;0,"용역·수수료","기타/불명"))))))</x:f>
      </x:c>
      <x:c r="J480" s="77" t="str">
        <x:f>IF(A480="","",IF(I480="기타/불명","확인 필요","결의서명으로 1차 확인"))</x:f>
      </x:c>
      <x:c r="K480" s="78"/>
    </x:row>
    <x:row r="481">
      <x:c r="A481" s="73"/>
      <x:c r="B481" s="73"/>
      <x:c r="C481" s="74"/>
      <x:c r="D481" s="73"/>
      <x:c r="E481" s="73"/>
      <x:c r="F481" s="75"/>
      <x:c r="G481" s="75"/>
      <x:c r="H481" s="76" t="str">
        <x:f>IF(A481="","",F481-G481)</x:f>
      </x:c>
      <x:c r="I481" s="77" t="str">
        <x:f>IF(A481="","",IF(E481="","기타/불명",IF(IFERROR(SEARCH("급여",E481),0)&gt;0,"인건비",IF(IFERROR(SEARCH("임차",E481),0)&gt;0,"임차·시설",IF(IFERROR(SEARCH("광고",E481),0)&gt;0,"광고·행사",IF(IFERROR(SEARCH("용역",E481),0)&gt;0,"용역·수수료","기타/불명"))))))</x:f>
      </x:c>
      <x:c r="J481" s="77" t="str">
        <x:f>IF(A481="","",IF(I481="기타/불명","확인 필요","결의서명으로 1차 확인"))</x:f>
      </x:c>
      <x:c r="K481" s="78"/>
    </x:row>
    <x:row r="482">
      <x:c r="A482" s="73"/>
      <x:c r="B482" s="73"/>
      <x:c r="C482" s="74"/>
      <x:c r="D482" s="73"/>
      <x:c r="E482" s="73"/>
      <x:c r="F482" s="75"/>
      <x:c r="G482" s="75"/>
      <x:c r="H482" s="76" t="str">
        <x:f>IF(A482="","",F482-G482)</x:f>
      </x:c>
      <x:c r="I482" s="77" t="str">
        <x:f>IF(A482="","",IF(E482="","기타/불명",IF(IFERROR(SEARCH("급여",E482),0)&gt;0,"인건비",IF(IFERROR(SEARCH("임차",E482),0)&gt;0,"임차·시설",IF(IFERROR(SEARCH("광고",E482),0)&gt;0,"광고·행사",IF(IFERROR(SEARCH("용역",E482),0)&gt;0,"용역·수수료","기타/불명"))))))</x:f>
      </x:c>
      <x:c r="J482" s="77" t="str">
        <x:f>IF(A482="","",IF(I482="기타/불명","확인 필요","결의서명으로 1차 확인"))</x:f>
      </x:c>
      <x:c r="K482" s="78"/>
    </x:row>
    <x:row r="483">
      <x:c r="A483" s="73"/>
      <x:c r="B483" s="73"/>
      <x:c r="C483" s="74"/>
      <x:c r="D483" s="73"/>
      <x:c r="E483" s="73"/>
      <x:c r="F483" s="75"/>
      <x:c r="G483" s="75"/>
      <x:c r="H483" s="76" t="str">
        <x:f>IF(A483="","",F483-G483)</x:f>
      </x:c>
      <x:c r="I483" s="77" t="str">
        <x:f>IF(A483="","",IF(E483="","기타/불명",IF(IFERROR(SEARCH("급여",E483),0)&gt;0,"인건비",IF(IFERROR(SEARCH("임차",E483),0)&gt;0,"임차·시설",IF(IFERROR(SEARCH("광고",E483),0)&gt;0,"광고·행사",IF(IFERROR(SEARCH("용역",E483),0)&gt;0,"용역·수수료","기타/불명"))))))</x:f>
      </x:c>
      <x:c r="J483" s="77" t="str">
        <x:f>IF(A483="","",IF(I483="기타/불명","확인 필요","결의서명으로 1차 확인"))</x:f>
      </x:c>
      <x:c r="K483" s="78"/>
    </x:row>
    <x:row r="484">
      <x:c r="A484" s="73"/>
      <x:c r="B484" s="73"/>
      <x:c r="C484" s="74"/>
      <x:c r="D484" s="73"/>
      <x:c r="E484" s="73"/>
      <x:c r="F484" s="75"/>
      <x:c r="G484" s="75"/>
      <x:c r="H484" s="76" t="str">
        <x:f>IF(A484="","",F484-G484)</x:f>
      </x:c>
      <x:c r="I484" s="77" t="str">
        <x:f>IF(A484="","",IF(E484="","기타/불명",IF(IFERROR(SEARCH("급여",E484),0)&gt;0,"인건비",IF(IFERROR(SEARCH("임차",E484),0)&gt;0,"임차·시설",IF(IFERROR(SEARCH("광고",E484),0)&gt;0,"광고·행사",IF(IFERROR(SEARCH("용역",E484),0)&gt;0,"용역·수수료","기타/불명"))))))</x:f>
      </x:c>
      <x:c r="J484" s="77" t="str">
        <x:f>IF(A484="","",IF(I484="기타/불명","확인 필요","결의서명으로 1차 확인"))</x:f>
      </x:c>
      <x:c r="K484" s="78"/>
    </x:row>
    <x:row r="485">
      <x:c r="A485" s="73"/>
      <x:c r="B485" s="73"/>
      <x:c r="C485" s="74"/>
      <x:c r="D485" s="73"/>
      <x:c r="E485" s="73"/>
      <x:c r="F485" s="75"/>
      <x:c r="G485" s="75"/>
      <x:c r="H485" s="76" t="str">
        <x:f>IF(A485="","",F485-G485)</x:f>
      </x:c>
      <x:c r="I485" s="77" t="str">
        <x:f>IF(A485="","",IF(E485="","기타/불명",IF(IFERROR(SEARCH("급여",E485),0)&gt;0,"인건비",IF(IFERROR(SEARCH("임차",E485),0)&gt;0,"임차·시설",IF(IFERROR(SEARCH("광고",E485),0)&gt;0,"광고·행사",IF(IFERROR(SEARCH("용역",E485),0)&gt;0,"용역·수수료","기타/불명"))))))</x:f>
      </x:c>
      <x:c r="J485" s="77" t="str">
        <x:f>IF(A485="","",IF(I485="기타/불명","확인 필요","결의서명으로 1차 확인"))</x:f>
      </x:c>
      <x:c r="K485" s="78"/>
    </x:row>
    <x:row r="486">
      <x:c r="A486" s="73"/>
      <x:c r="B486" s="73"/>
      <x:c r="C486" s="74"/>
      <x:c r="D486" s="73"/>
      <x:c r="E486" s="73"/>
      <x:c r="F486" s="75"/>
      <x:c r="G486" s="75"/>
      <x:c r="H486" s="76" t="str">
        <x:f>IF(A486="","",F486-G486)</x:f>
      </x:c>
      <x:c r="I486" s="77" t="str">
        <x:f>IF(A486="","",IF(E486="","기타/불명",IF(IFERROR(SEARCH("급여",E486),0)&gt;0,"인건비",IF(IFERROR(SEARCH("임차",E486),0)&gt;0,"임차·시설",IF(IFERROR(SEARCH("광고",E486),0)&gt;0,"광고·행사",IF(IFERROR(SEARCH("용역",E486),0)&gt;0,"용역·수수료","기타/불명"))))))</x:f>
      </x:c>
      <x:c r="J486" s="77" t="str">
        <x:f>IF(A486="","",IF(I486="기타/불명","확인 필요","결의서명으로 1차 확인"))</x:f>
      </x:c>
      <x:c r="K486" s="78"/>
    </x:row>
    <x:row r="487">
      <x:c r="A487" s="73"/>
      <x:c r="B487" s="73"/>
      <x:c r="C487" s="74"/>
      <x:c r="D487" s="73"/>
      <x:c r="E487" s="73"/>
      <x:c r="F487" s="75"/>
      <x:c r="G487" s="75"/>
      <x:c r="H487" s="76" t="str">
        <x:f>IF(A487="","",F487-G487)</x:f>
      </x:c>
      <x:c r="I487" s="77" t="str">
        <x:f>IF(A487="","",IF(E487="","기타/불명",IF(IFERROR(SEARCH("급여",E487),0)&gt;0,"인건비",IF(IFERROR(SEARCH("임차",E487),0)&gt;0,"임차·시설",IF(IFERROR(SEARCH("광고",E487),0)&gt;0,"광고·행사",IF(IFERROR(SEARCH("용역",E487),0)&gt;0,"용역·수수료","기타/불명"))))))</x:f>
      </x:c>
      <x:c r="J487" s="77" t="str">
        <x:f>IF(A487="","",IF(I487="기타/불명","확인 필요","결의서명으로 1차 확인"))</x:f>
      </x:c>
      <x:c r="K487" s="78"/>
    </x:row>
    <x:row r="488">
      <x:c r="A488" s="73"/>
      <x:c r="B488" s="73"/>
      <x:c r="C488" s="74"/>
      <x:c r="D488" s="73"/>
      <x:c r="E488" s="73"/>
      <x:c r="F488" s="75"/>
      <x:c r="G488" s="75"/>
      <x:c r="H488" s="76" t="str">
        <x:f>IF(A488="","",F488-G488)</x:f>
      </x:c>
      <x:c r="I488" s="77" t="str">
        <x:f>IF(A488="","",IF(E488="","기타/불명",IF(IFERROR(SEARCH("급여",E488),0)&gt;0,"인건비",IF(IFERROR(SEARCH("임차",E488),0)&gt;0,"임차·시설",IF(IFERROR(SEARCH("광고",E488),0)&gt;0,"광고·행사",IF(IFERROR(SEARCH("용역",E488),0)&gt;0,"용역·수수료","기타/불명"))))))</x:f>
      </x:c>
      <x:c r="J488" s="77" t="str">
        <x:f>IF(A488="","",IF(I488="기타/불명","확인 필요","결의서명으로 1차 확인"))</x:f>
      </x:c>
      <x:c r="K488" s="78"/>
    </x:row>
    <x:row r="489">
      <x:c r="A489" s="73"/>
      <x:c r="B489" s="73"/>
      <x:c r="C489" s="74"/>
      <x:c r="D489" s="73"/>
      <x:c r="E489" s="73"/>
      <x:c r="F489" s="75"/>
      <x:c r="G489" s="75"/>
      <x:c r="H489" s="76" t="str">
        <x:f>IF(A489="","",F489-G489)</x:f>
      </x:c>
      <x:c r="I489" s="77" t="str">
        <x:f>IF(A489="","",IF(E489="","기타/불명",IF(IFERROR(SEARCH("급여",E489),0)&gt;0,"인건비",IF(IFERROR(SEARCH("임차",E489),0)&gt;0,"임차·시설",IF(IFERROR(SEARCH("광고",E489),0)&gt;0,"광고·행사",IF(IFERROR(SEARCH("용역",E489),0)&gt;0,"용역·수수료","기타/불명"))))))</x:f>
      </x:c>
      <x:c r="J489" s="77" t="str">
        <x:f>IF(A489="","",IF(I489="기타/불명","확인 필요","결의서명으로 1차 확인"))</x:f>
      </x:c>
      <x:c r="K489" s="78"/>
    </x:row>
    <x:row r="490">
      <x:c r="A490" s="73"/>
      <x:c r="B490" s="73"/>
      <x:c r="C490" s="74"/>
      <x:c r="D490" s="73"/>
      <x:c r="E490" s="73"/>
      <x:c r="F490" s="75"/>
      <x:c r="G490" s="75"/>
      <x:c r="H490" s="76" t="str">
        <x:f>IF(A490="","",F490-G490)</x:f>
      </x:c>
      <x:c r="I490" s="77" t="str">
        <x:f>IF(A490="","",IF(E490="","기타/불명",IF(IFERROR(SEARCH("급여",E490),0)&gt;0,"인건비",IF(IFERROR(SEARCH("임차",E490),0)&gt;0,"임차·시설",IF(IFERROR(SEARCH("광고",E490),0)&gt;0,"광고·행사",IF(IFERROR(SEARCH("용역",E490),0)&gt;0,"용역·수수료","기타/불명"))))))</x:f>
      </x:c>
      <x:c r="J490" s="77" t="str">
        <x:f>IF(A490="","",IF(I490="기타/불명","확인 필요","결의서명으로 1차 확인"))</x:f>
      </x:c>
      <x:c r="K490" s="78"/>
    </x:row>
    <x:row r="491">
      <x:c r="A491" s="73"/>
      <x:c r="B491" s="73"/>
      <x:c r="C491" s="74"/>
      <x:c r="D491" s="73"/>
      <x:c r="E491" s="73"/>
      <x:c r="F491" s="75"/>
      <x:c r="G491" s="75"/>
      <x:c r="H491" s="76" t="str">
        <x:f>IF(A491="","",F491-G491)</x:f>
      </x:c>
      <x:c r="I491" s="77" t="str">
        <x:f>IF(A491="","",IF(E491="","기타/불명",IF(IFERROR(SEARCH("급여",E491),0)&gt;0,"인건비",IF(IFERROR(SEARCH("임차",E491),0)&gt;0,"임차·시설",IF(IFERROR(SEARCH("광고",E491),0)&gt;0,"광고·행사",IF(IFERROR(SEARCH("용역",E491),0)&gt;0,"용역·수수료","기타/불명"))))))</x:f>
      </x:c>
      <x:c r="J491" s="77" t="str">
        <x:f>IF(A491="","",IF(I491="기타/불명","확인 필요","결의서명으로 1차 확인"))</x:f>
      </x:c>
      <x:c r="K491" s="78"/>
    </x:row>
    <x:row r="492">
      <x:c r="A492" s="73"/>
      <x:c r="B492" s="73"/>
      <x:c r="C492" s="74"/>
      <x:c r="D492" s="73"/>
      <x:c r="E492" s="73"/>
      <x:c r="F492" s="75"/>
      <x:c r="G492" s="75"/>
      <x:c r="H492" s="76" t="str">
        <x:f>IF(A492="","",F492-G492)</x:f>
      </x:c>
      <x:c r="I492" s="77" t="str">
        <x:f>IF(A492="","",IF(E492="","기타/불명",IF(IFERROR(SEARCH("급여",E492),0)&gt;0,"인건비",IF(IFERROR(SEARCH("임차",E492),0)&gt;0,"임차·시설",IF(IFERROR(SEARCH("광고",E492),0)&gt;0,"광고·행사",IF(IFERROR(SEARCH("용역",E492),0)&gt;0,"용역·수수료","기타/불명"))))))</x:f>
      </x:c>
      <x:c r="J492" s="77" t="str">
        <x:f>IF(A492="","",IF(I492="기타/불명","확인 필요","결의서명으로 1차 확인"))</x:f>
      </x:c>
      <x:c r="K492" s="78"/>
    </x:row>
    <x:row r="493">
      <x:c r="A493" s="73"/>
      <x:c r="B493" s="73"/>
      <x:c r="C493" s="74"/>
      <x:c r="D493" s="73"/>
      <x:c r="E493" s="73"/>
      <x:c r="F493" s="75"/>
      <x:c r="G493" s="75"/>
      <x:c r="H493" s="76" t="str">
        <x:f>IF(A493="","",F493-G493)</x:f>
      </x:c>
      <x:c r="I493" s="77" t="str">
        <x:f>IF(A493="","",IF(E493="","기타/불명",IF(IFERROR(SEARCH("급여",E493),0)&gt;0,"인건비",IF(IFERROR(SEARCH("임차",E493),0)&gt;0,"임차·시설",IF(IFERROR(SEARCH("광고",E493),0)&gt;0,"광고·행사",IF(IFERROR(SEARCH("용역",E493),0)&gt;0,"용역·수수료","기타/불명"))))))</x:f>
      </x:c>
      <x:c r="J493" s="77" t="str">
        <x:f>IF(A493="","",IF(I493="기타/불명","확인 필요","결의서명으로 1차 확인"))</x:f>
      </x:c>
      <x:c r="K493" s="78"/>
    </x:row>
    <x:row r="494">
      <x:c r="A494" s="73"/>
      <x:c r="B494" s="73"/>
      <x:c r="C494" s="74"/>
      <x:c r="D494" s="73"/>
      <x:c r="E494" s="73"/>
      <x:c r="F494" s="75"/>
      <x:c r="G494" s="75"/>
      <x:c r="H494" s="76" t="str">
        <x:f>IF(A494="","",F494-G494)</x:f>
      </x:c>
      <x:c r="I494" s="77" t="str">
        <x:f>IF(A494="","",IF(E494="","기타/불명",IF(IFERROR(SEARCH("급여",E494),0)&gt;0,"인건비",IF(IFERROR(SEARCH("임차",E494),0)&gt;0,"임차·시설",IF(IFERROR(SEARCH("광고",E494),0)&gt;0,"광고·행사",IF(IFERROR(SEARCH("용역",E494),0)&gt;0,"용역·수수료","기타/불명"))))))</x:f>
      </x:c>
      <x:c r="J494" s="77" t="str">
        <x:f>IF(A494="","",IF(I494="기타/불명","확인 필요","결의서명으로 1차 확인"))</x:f>
      </x:c>
      <x:c r="K494" s="78"/>
    </x:row>
    <x:row r="495">
      <x:c r="A495" s="73"/>
      <x:c r="B495" s="73"/>
      <x:c r="C495" s="74"/>
      <x:c r="D495" s="73"/>
      <x:c r="E495" s="73"/>
      <x:c r="F495" s="75"/>
      <x:c r="G495" s="75"/>
      <x:c r="H495" s="76" t="str">
        <x:f>IF(A495="","",F495-G495)</x:f>
      </x:c>
      <x:c r="I495" s="77" t="str">
        <x:f>IF(A495="","",IF(E495="","기타/불명",IF(IFERROR(SEARCH("급여",E495),0)&gt;0,"인건비",IF(IFERROR(SEARCH("임차",E495),0)&gt;0,"임차·시설",IF(IFERROR(SEARCH("광고",E495),0)&gt;0,"광고·행사",IF(IFERROR(SEARCH("용역",E495),0)&gt;0,"용역·수수료","기타/불명"))))))</x:f>
      </x:c>
      <x:c r="J495" s="77" t="str">
        <x:f>IF(A495="","",IF(I495="기타/불명","확인 필요","결의서명으로 1차 확인"))</x:f>
      </x:c>
      <x:c r="K495" s="78"/>
    </x:row>
    <x:row r="496">
      <x:c r="A496" s="73"/>
      <x:c r="B496" s="73"/>
      <x:c r="C496" s="74"/>
      <x:c r="D496" s="73"/>
      <x:c r="E496" s="73"/>
      <x:c r="F496" s="75"/>
      <x:c r="G496" s="75"/>
      <x:c r="H496" s="76" t="str">
        <x:f>IF(A496="","",F496-G496)</x:f>
      </x:c>
      <x:c r="I496" s="77" t="str">
        <x:f>IF(A496="","",IF(E496="","기타/불명",IF(IFERROR(SEARCH("급여",E496),0)&gt;0,"인건비",IF(IFERROR(SEARCH("임차",E496),0)&gt;0,"임차·시설",IF(IFERROR(SEARCH("광고",E496),0)&gt;0,"광고·행사",IF(IFERROR(SEARCH("용역",E496),0)&gt;0,"용역·수수료","기타/불명"))))))</x:f>
      </x:c>
      <x:c r="J496" s="77" t="str">
        <x:f>IF(A496="","",IF(I496="기타/불명","확인 필요","결의서명으로 1차 확인"))</x:f>
      </x:c>
      <x:c r="K496" s="78"/>
    </x:row>
    <x:row r="497">
      <x:c r="A497" s="73"/>
      <x:c r="B497" s="73"/>
      <x:c r="C497" s="74"/>
      <x:c r="D497" s="73"/>
      <x:c r="E497" s="73"/>
      <x:c r="F497" s="75"/>
      <x:c r="G497" s="75"/>
      <x:c r="H497" s="76" t="str">
        <x:f>IF(A497="","",F497-G497)</x:f>
      </x:c>
      <x:c r="I497" s="77" t="str">
        <x:f>IF(A497="","",IF(E497="","기타/불명",IF(IFERROR(SEARCH("급여",E497),0)&gt;0,"인건비",IF(IFERROR(SEARCH("임차",E497),0)&gt;0,"임차·시설",IF(IFERROR(SEARCH("광고",E497),0)&gt;0,"광고·행사",IF(IFERROR(SEARCH("용역",E497),0)&gt;0,"용역·수수료","기타/불명"))))))</x:f>
      </x:c>
      <x:c r="J497" s="77" t="str">
        <x:f>IF(A497="","",IF(I497="기타/불명","확인 필요","결의서명으로 1차 확인"))</x:f>
      </x:c>
      <x:c r="K497" s="78"/>
    </x:row>
    <x:row r="498">
      <x:c r="A498" s="73"/>
      <x:c r="B498" s="73"/>
      <x:c r="C498" s="74"/>
      <x:c r="D498" s="73"/>
      <x:c r="E498" s="73"/>
      <x:c r="F498" s="75"/>
      <x:c r="G498" s="75"/>
      <x:c r="H498" s="76" t="str">
        <x:f>IF(A498="","",F498-G498)</x:f>
      </x:c>
      <x:c r="I498" s="77" t="str">
        <x:f>IF(A498="","",IF(E498="","기타/불명",IF(IFERROR(SEARCH("급여",E498),0)&gt;0,"인건비",IF(IFERROR(SEARCH("임차",E498),0)&gt;0,"임차·시설",IF(IFERROR(SEARCH("광고",E498),0)&gt;0,"광고·행사",IF(IFERROR(SEARCH("용역",E498),0)&gt;0,"용역·수수료","기타/불명"))))))</x:f>
      </x:c>
      <x:c r="J498" s="77" t="str">
        <x:f>IF(A498="","",IF(I498="기타/불명","확인 필요","결의서명으로 1차 확인"))</x:f>
      </x:c>
      <x:c r="K498" s="78"/>
    </x:row>
    <x:row r="499">
      <x:c r="A499" s="73"/>
      <x:c r="B499" s="73"/>
      <x:c r="C499" s="74"/>
      <x:c r="D499" s="73"/>
      <x:c r="E499" s="73"/>
      <x:c r="F499" s="75"/>
      <x:c r="G499" s="75"/>
      <x:c r="H499" s="76" t="str">
        <x:f>IF(A499="","",F499-G499)</x:f>
      </x:c>
      <x:c r="I499" s="77" t="str">
        <x:f>IF(A499="","",IF(E499="","기타/불명",IF(IFERROR(SEARCH("급여",E499),0)&gt;0,"인건비",IF(IFERROR(SEARCH("임차",E499),0)&gt;0,"임차·시설",IF(IFERROR(SEARCH("광고",E499),0)&gt;0,"광고·행사",IF(IFERROR(SEARCH("용역",E499),0)&gt;0,"용역·수수료","기타/불명"))))))</x:f>
      </x:c>
      <x:c r="J499" s="77" t="str">
        <x:f>IF(A499="","",IF(I499="기타/불명","확인 필요","결의서명으로 1차 확인"))</x:f>
      </x:c>
      <x:c r="K499" s="78"/>
    </x:row>
    <x:row r="500">
      <x:c r="A500" s="73"/>
      <x:c r="B500" s="73"/>
      <x:c r="C500" s="74"/>
      <x:c r="D500" s="73"/>
      <x:c r="E500" s="73"/>
      <x:c r="F500" s="75"/>
      <x:c r="G500" s="75"/>
      <x:c r="H500" s="76" t="str">
        <x:f>IF(A500="","",F500-G500)</x:f>
      </x:c>
      <x:c r="I500" s="77" t="str">
        <x:f>IF(A500="","",IF(E500="","기타/불명",IF(IFERROR(SEARCH("급여",E500),0)&gt;0,"인건비",IF(IFERROR(SEARCH("임차",E500),0)&gt;0,"임차·시설",IF(IFERROR(SEARCH("광고",E500),0)&gt;0,"광고·행사",IF(IFERROR(SEARCH("용역",E500),0)&gt;0,"용역·수수료","기타/불명"))))))</x:f>
      </x:c>
      <x:c r="J500" s="77" t="str">
        <x:f>IF(A500="","",IF(I500="기타/불명","확인 필요","결의서명으로 1차 확인"))</x:f>
      </x:c>
      <x:c r="K500" s="78"/>
    </x:row>
    <x:row r="501">
      <x:c r="A501" s="73"/>
      <x:c r="B501" s="73"/>
      <x:c r="C501" s="74"/>
      <x:c r="D501" s="73"/>
      <x:c r="E501" s="73"/>
      <x:c r="F501" s="75"/>
      <x:c r="G501" s="75"/>
      <x:c r="H501" s="76" t="str">
        <x:f>IF(A501="","",F501-G501)</x:f>
      </x:c>
      <x:c r="I501" s="77" t="str">
        <x:f>IF(A501="","",IF(E501="","기타/불명",IF(IFERROR(SEARCH("급여",E501),0)&gt;0,"인건비",IF(IFERROR(SEARCH("임차",E501),0)&gt;0,"임차·시설",IF(IFERROR(SEARCH("광고",E501),0)&gt;0,"광고·행사",IF(IFERROR(SEARCH("용역",E501),0)&gt;0,"용역·수수료","기타/불명"))))))</x:f>
      </x:c>
      <x:c r="J501" s="77" t="str">
        <x:f>IF(A501="","",IF(I501="기타/불명","확인 필요","결의서명으로 1차 확인"))</x:f>
      </x:c>
      <x:c r="K501" s="78"/>
    </x:row>
    <x:row r="502">
      <x:c r="A502" s="73"/>
      <x:c r="B502" s="73"/>
      <x:c r="C502" s="74"/>
      <x:c r="D502" s="73"/>
      <x:c r="E502" s="73"/>
      <x:c r="F502" s="75"/>
      <x:c r="G502" s="75"/>
      <x:c r="H502" s="76" t="str">
        <x:f>IF(A502="","",F502-G502)</x:f>
      </x:c>
      <x:c r="I502" s="77" t="str">
        <x:f>IF(A502="","",IF(E502="","기타/불명",IF(IFERROR(SEARCH("급여",E502),0)&gt;0,"인건비",IF(IFERROR(SEARCH("임차",E502),0)&gt;0,"임차·시설",IF(IFERROR(SEARCH("광고",E502),0)&gt;0,"광고·행사",IF(IFERROR(SEARCH("용역",E502),0)&gt;0,"용역·수수료","기타/불명"))))))</x:f>
      </x:c>
      <x:c r="J502" s="77" t="str">
        <x:f>IF(A502="","",IF(I502="기타/불명","확인 필요","결의서명으로 1차 확인"))</x:f>
      </x:c>
      <x:c r="K502" s="78"/>
    </x:row>
    <x:row r="503">
      <x:c r="A503" s="73"/>
      <x:c r="B503" s="73"/>
      <x:c r="C503" s="74"/>
      <x:c r="D503" s="73"/>
      <x:c r="E503" s="73"/>
      <x:c r="F503" s="75"/>
      <x:c r="G503" s="75"/>
      <x:c r="H503" s="76" t="str">
        <x:f>IF(A503="","",F503-G503)</x:f>
      </x:c>
      <x:c r="I503" s="77" t="str">
        <x:f>IF(A503="","",IF(E503="","기타/불명",IF(IFERROR(SEARCH("급여",E503),0)&gt;0,"인건비",IF(IFERROR(SEARCH("임차",E503),0)&gt;0,"임차·시설",IF(IFERROR(SEARCH("광고",E503),0)&gt;0,"광고·행사",IF(IFERROR(SEARCH("용역",E503),0)&gt;0,"용역·수수료","기타/불명"))))))</x:f>
      </x:c>
      <x:c r="J503" s="77" t="str">
        <x:f>IF(A503="","",IF(I503="기타/불명","확인 필요","결의서명으로 1차 확인"))</x:f>
      </x:c>
      <x:c r="K503" s="78"/>
    </x:row>
    <x:row r="504">
      <x:c r="A504" s="73"/>
      <x:c r="B504" s="73"/>
      <x:c r="C504" s="74"/>
      <x:c r="D504" s="73"/>
      <x:c r="E504" s="73"/>
      <x:c r="F504" s="75"/>
      <x:c r="G504" s="75"/>
      <x:c r="H504" s="76" t="str">
        <x:f>IF(A504="","",F504-G504)</x:f>
      </x:c>
      <x:c r="I504" s="77" t="str">
        <x:f>IF(A504="","",IF(E504="","기타/불명",IF(IFERROR(SEARCH("급여",E504),0)&gt;0,"인건비",IF(IFERROR(SEARCH("임차",E504),0)&gt;0,"임차·시설",IF(IFERROR(SEARCH("광고",E504),0)&gt;0,"광고·행사",IF(IFERROR(SEARCH("용역",E504),0)&gt;0,"용역·수수료","기타/불명"))))))</x:f>
      </x:c>
      <x:c r="J504" s="77" t="str">
        <x:f>IF(A504="","",IF(I504="기타/불명","확인 필요","결의서명으로 1차 확인"))</x:f>
      </x:c>
      <x:c r="K504" s="78"/>
    </x:row>
    <x:row r="505">
      <x:c r="A505" s="73"/>
      <x:c r="B505" s="73"/>
      <x:c r="C505" s="74"/>
      <x:c r="D505" s="73"/>
      <x:c r="E505" s="73"/>
      <x:c r="F505" s="75"/>
      <x:c r="G505" s="75"/>
      <x:c r="H505" s="76" t="str">
        <x:f>IF(A505="","",F505-G505)</x:f>
      </x:c>
      <x:c r="I505" s="77" t="str">
        <x:f>IF(A505="","",IF(E505="","기타/불명",IF(IFERROR(SEARCH("급여",E505),0)&gt;0,"인건비",IF(IFERROR(SEARCH("임차",E505),0)&gt;0,"임차·시설",IF(IFERROR(SEARCH("광고",E505),0)&gt;0,"광고·행사",IF(IFERROR(SEARCH("용역",E505),0)&gt;0,"용역·수수료","기타/불명"))))))</x:f>
      </x:c>
      <x:c r="J505" s="77" t="str">
        <x:f>IF(A505="","",IF(I505="기타/불명","확인 필요","결의서명으로 1차 확인"))</x:f>
      </x:c>
      <x:c r="K505" s="78"/>
    </x:row>
    <x:row r="506">
      <x:c r="A506" s="73"/>
      <x:c r="B506" s="73"/>
      <x:c r="C506" s="74"/>
      <x:c r="D506" s="73"/>
      <x:c r="E506" s="73"/>
      <x:c r="F506" s="75"/>
      <x:c r="G506" s="75"/>
      <x:c r="H506" s="76" t="str">
        <x:f>IF(A506="","",F506-G506)</x:f>
      </x:c>
      <x:c r="I506" s="77" t="str">
        <x:f>IF(A506="","",IF(E506="","기타/불명",IF(IFERROR(SEARCH("급여",E506),0)&gt;0,"인건비",IF(IFERROR(SEARCH("임차",E506),0)&gt;0,"임차·시설",IF(IFERROR(SEARCH("광고",E506),0)&gt;0,"광고·행사",IF(IFERROR(SEARCH("용역",E506),0)&gt;0,"용역·수수료","기타/불명"))))))</x:f>
      </x:c>
      <x:c r="J506" s="77" t="str">
        <x:f>IF(A506="","",IF(I506="기타/불명","확인 필요","결의서명으로 1차 확인"))</x:f>
      </x:c>
      <x:c r="K506" s="78"/>
    </x:row>
    <x:row r="507">
      <x:c r="A507" s="73"/>
      <x:c r="B507" s="73"/>
      <x:c r="C507" s="74"/>
      <x:c r="D507" s="73"/>
      <x:c r="E507" s="73"/>
      <x:c r="F507" s="75"/>
      <x:c r="G507" s="75"/>
      <x:c r="H507" s="76" t="str">
        <x:f>IF(A507="","",F507-G507)</x:f>
      </x:c>
      <x:c r="I507" s="77" t="str">
        <x:f>IF(A507="","",IF(E507="","기타/불명",IF(IFERROR(SEARCH("급여",E507),0)&gt;0,"인건비",IF(IFERROR(SEARCH("임차",E507),0)&gt;0,"임차·시설",IF(IFERROR(SEARCH("광고",E507),0)&gt;0,"광고·행사",IF(IFERROR(SEARCH("용역",E507),0)&gt;0,"용역·수수료","기타/불명"))))))</x:f>
      </x:c>
      <x:c r="J507" s="77" t="str">
        <x:f>IF(A507="","",IF(I507="기타/불명","확인 필요","결의서명으로 1차 확인"))</x:f>
      </x:c>
      <x:c r="K507" s="78"/>
    </x:row>
    <x:row r="508">
      <x:c r="A508" s="73"/>
      <x:c r="B508" s="73"/>
      <x:c r="C508" s="74"/>
      <x:c r="D508" s="73"/>
      <x:c r="E508" s="73"/>
      <x:c r="F508" s="75"/>
      <x:c r="G508" s="75"/>
      <x:c r="H508" s="76" t="str">
        <x:f>IF(A508="","",F508-G508)</x:f>
      </x:c>
      <x:c r="I508" s="77" t="str">
        <x:f>IF(A508="","",IF(E508="","기타/불명",IF(IFERROR(SEARCH("급여",E508),0)&gt;0,"인건비",IF(IFERROR(SEARCH("임차",E508),0)&gt;0,"임차·시설",IF(IFERROR(SEARCH("광고",E508),0)&gt;0,"광고·행사",IF(IFERROR(SEARCH("용역",E508),0)&gt;0,"용역·수수료","기타/불명"))))))</x:f>
      </x:c>
      <x:c r="J508" s="77" t="str">
        <x:f>IF(A508="","",IF(I508="기타/불명","확인 필요","결의서명으로 1차 확인"))</x:f>
      </x:c>
      <x:c r="K508" s="78"/>
    </x:row>
    <x:row r="509">
      <x:c r="A509" s="73"/>
      <x:c r="B509" s="73"/>
      <x:c r="C509" s="74"/>
      <x:c r="D509" s="73"/>
      <x:c r="E509" s="73"/>
      <x:c r="F509" s="75"/>
      <x:c r="G509" s="75"/>
      <x:c r="H509" s="76" t="str">
        <x:f>IF(A509="","",F509-G509)</x:f>
      </x:c>
      <x:c r="I509" s="77" t="str">
        <x:f>IF(A509="","",IF(E509="","기타/불명",IF(IFERROR(SEARCH("급여",E509),0)&gt;0,"인건비",IF(IFERROR(SEARCH("임차",E509),0)&gt;0,"임차·시설",IF(IFERROR(SEARCH("광고",E509),0)&gt;0,"광고·행사",IF(IFERROR(SEARCH("용역",E509),0)&gt;0,"용역·수수료","기타/불명"))))))</x:f>
      </x:c>
      <x:c r="J509" s="77" t="str">
        <x:f>IF(A509="","",IF(I509="기타/불명","확인 필요","결의서명으로 1차 확인"))</x:f>
      </x:c>
      <x:c r="K509" s="78"/>
    </x:row>
    <x:row r="510">
      <x:c r="A510" s="73"/>
      <x:c r="B510" s="73"/>
      <x:c r="C510" s="74"/>
      <x:c r="D510" s="73"/>
      <x:c r="E510" s="73"/>
      <x:c r="F510" s="75"/>
      <x:c r="G510" s="75"/>
      <x:c r="H510" s="76" t="str">
        <x:f>IF(A510="","",F510-G510)</x:f>
      </x:c>
      <x:c r="I510" s="77" t="str">
        <x:f>IF(A510="","",IF(E510="","기타/불명",IF(IFERROR(SEARCH("급여",E510),0)&gt;0,"인건비",IF(IFERROR(SEARCH("임차",E510),0)&gt;0,"임차·시설",IF(IFERROR(SEARCH("광고",E510),0)&gt;0,"광고·행사",IF(IFERROR(SEARCH("용역",E510),0)&gt;0,"용역·수수료","기타/불명"))))))</x:f>
      </x:c>
      <x:c r="J510" s="77" t="str">
        <x:f>IF(A510="","",IF(I510="기타/불명","확인 필요","결의서명으로 1차 확인"))</x:f>
      </x:c>
      <x:c r="K510" s="78"/>
    </x:row>
    <x:row r="511">
      <x:c r="A511" s="73"/>
      <x:c r="B511" s="73"/>
      <x:c r="C511" s="74"/>
      <x:c r="D511" s="73"/>
      <x:c r="E511" s="73"/>
      <x:c r="F511" s="75"/>
      <x:c r="G511" s="75"/>
      <x:c r="H511" s="76" t="str">
        <x:f>IF(A511="","",F511-G511)</x:f>
      </x:c>
      <x:c r="I511" s="77" t="str">
        <x:f>IF(A511="","",IF(E511="","기타/불명",IF(IFERROR(SEARCH("급여",E511),0)&gt;0,"인건비",IF(IFERROR(SEARCH("임차",E511),0)&gt;0,"임차·시설",IF(IFERROR(SEARCH("광고",E511),0)&gt;0,"광고·행사",IF(IFERROR(SEARCH("용역",E511),0)&gt;0,"용역·수수료","기타/불명"))))))</x:f>
      </x:c>
      <x:c r="J511" s="77" t="str">
        <x:f>IF(A511="","",IF(I511="기타/불명","확인 필요","결의서명으로 1차 확인"))</x:f>
      </x:c>
      <x:c r="K511" s="78"/>
    </x:row>
    <x:row r="512">
      <x:c r="A512" s="73"/>
      <x:c r="B512" s="73"/>
      <x:c r="C512" s="74"/>
      <x:c r="D512" s="73"/>
      <x:c r="E512" s="73"/>
      <x:c r="F512" s="75"/>
      <x:c r="G512" s="75"/>
      <x:c r="H512" s="76" t="str">
        <x:f>IF(A512="","",F512-G512)</x:f>
      </x:c>
      <x:c r="I512" s="77" t="str">
        <x:f>IF(A512="","",IF(E512="","기타/불명",IF(IFERROR(SEARCH("급여",E512),0)&gt;0,"인건비",IF(IFERROR(SEARCH("임차",E512),0)&gt;0,"임차·시설",IF(IFERROR(SEARCH("광고",E512),0)&gt;0,"광고·행사",IF(IFERROR(SEARCH("용역",E512),0)&gt;0,"용역·수수료","기타/불명"))))))</x:f>
      </x:c>
      <x:c r="J512" s="77" t="str">
        <x:f>IF(A512="","",IF(I512="기타/불명","확인 필요","결의서명으로 1차 확인"))</x:f>
      </x:c>
      <x:c r="K512" s="78"/>
    </x:row>
    <x:row r="513">
      <x:c r="A513" s="73"/>
      <x:c r="B513" s="73"/>
      <x:c r="C513" s="74"/>
      <x:c r="D513" s="73"/>
      <x:c r="E513" s="73"/>
      <x:c r="F513" s="75"/>
      <x:c r="G513" s="75"/>
      <x:c r="H513" s="76" t="str">
        <x:f>IF(A513="","",F513-G513)</x:f>
      </x:c>
      <x:c r="I513" s="77" t="str">
        <x:f>IF(A513="","",IF(E513="","기타/불명",IF(IFERROR(SEARCH("급여",E513),0)&gt;0,"인건비",IF(IFERROR(SEARCH("임차",E513),0)&gt;0,"임차·시설",IF(IFERROR(SEARCH("광고",E513),0)&gt;0,"광고·행사",IF(IFERROR(SEARCH("용역",E513),0)&gt;0,"용역·수수료","기타/불명"))))))</x:f>
      </x:c>
      <x:c r="J513" s="77" t="str">
        <x:f>IF(A513="","",IF(I513="기타/불명","확인 필요","결의서명으로 1차 확인"))</x:f>
      </x:c>
      <x:c r="K513" s="78"/>
    </x:row>
    <x:row r="514">
      <x:c r="A514" s="73"/>
      <x:c r="B514" s="73"/>
      <x:c r="C514" s="74"/>
      <x:c r="D514" s="73"/>
      <x:c r="E514" s="73"/>
      <x:c r="F514" s="75"/>
      <x:c r="G514" s="75"/>
      <x:c r="H514" s="76" t="str">
        <x:f>IF(A514="","",F514-G514)</x:f>
      </x:c>
      <x:c r="I514" s="77" t="str">
        <x:f>IF(A514="","",IF(E514="","기타/불명",IF(IFERROR(SEARCH("급여",E514),0)&gt;0,"인건비",IF(IFERROR(SEARCH("임차",E514),0)&gt;0,"임차·시설",IF(IFERROR(SEARCH("광고",E514),0)&gt;0,"광고·행사",IF(IFERROR(SEARCH("용역",E514),0)&gt;0,"용역·수수료","기타/불명"))))))</x:f>
      </x:c>
      <x:c r="J514" s="77" t="str">
        <x:f>IF(A514="","",IF(I514="기타/불명","확인 필요","결의서명으로 1차 확인"))</x:f>
      </x:c>
      <x:c r="K514" s="78"/>
    </x:row>
    <x:row r="515">
      <x:c r="A515" s="73"/>
      <x:c r="B515" s="73"/>
      <x:c r="C515" s="74"/>
      <x:c r="D515" s="73"/>
      <x:c r="E515" s="73"/>
      <x:c r="F515" s="75"/>
      <x:c r="G515" s="75"/>
      <x:c r="H515" s="76" t="str">
        <x:f>IF(A515="","",F515-G515)</x:f>
      </x:c>
      <x:c r="I515" s="77" t="str">
        <x:f>IF(A515="","",IF(E515="","기타/불명",IF(IFERROR(SEARCH("급여",E515),0)&gt;0,"인건비",IF(IFERROR(SEARCH("임차",E515),0)&gt;0,"임차·시설",IF(IFERROR(SEARCH("광고",E515),0)&gt;0,"광고·행사",IF(IFERROR(SEARCH("용역",E515),0)&gt;0,"용역·수수료","기타/불명"))))))</x:f>
      </x:c>
      <x:c r="J515" s="77" t="str">
        <x:f>IF(A515="","",IF(I515="기타/불명","확인 필요","결의서명으로 1차 확인"))</x:f>
      </x:c>
      <x:c r="K515" s="78"/>
    </x:row>
    <x:row r="516">
      <x:c r="A516" s="73"/>
      <x:c r="B516" s="73"/>
      <x:c r="C516" s="74"/>
      <x:c r="D516" s="73"/>
      <x:c r="E516" s="73"/>
      <x:c r="F516" s="75"/>
      <x:c r="G516" s="75"/>
      <x:c r="H516" s="76" t="str">
        <x:f>IF(A516="","",F516-G516)</x:f>
      </x:c>
      <x:c r="I516" s="77" t="str">
        <x:f>IF(A516="","",IF(E516="","기타/불명",IF(IFERROR(SEARCH("급여",E516),0)&gt;0,"인건비",IF(IFERROR(SEARCH("임차",E516),0)&gt;0,"임차·시설",IF(IFERROR(SEARCH("광고",E516),0)&gt;0,"광고·행사",IF(IFERROR(SEARCH("용역",E516),0)&gt;0,"용역·수수료","기타/불명"))))))</x:f>
      </x:c>
      <x:c r="J516" s="77" t="str">
        <x:f>IF(A516="","",IF(I516="기타/불명","확인 필요","결의서명으로 1차 확인"))</x:f>
      </x:c>
      <x:c r="K516" s="78"/>
    </x:row>
    <x:row r="517">
      <x:c r="A517" s="73"/>
      <x:c r="B517" s="73"/>
      <x:c r="C517" s="74"/>
      <x:c r="D517" s="73"/>
      <x:c r="E517" s="73"/>
      <x:c r="F517" s="75"/>
      <x:c r="G517" s="75"/>
      <x:c r="H517" s="76" t="str">
        <x:f>IF(A517="","",F517-G517)</x:f>
      </x:c>
      <x:c r="I517" s="77" t="str">
        <x:f>IF(A517="","",IF(E517="","기타/불명",IF(IFERROR(SEARCH("급여",E517),0)&gt;0,"인건비",IF(IFERROR(SEARCH("임차",E517),0)&gt;0,"임차·시설",IF(IFERROR(SEARCH("광고",E517),0)&gt;0,"광고·행사",IF(IFERROR(SEARCH("용역",E517),0)&gt;0,"용역·수수료","기타/불명"))))))</x:f>
      </x:c>
      <x:c r="J517" s="77" t="str">
        <x:f>IF(A517="","",IF(I517="기타/불명","확인 필요","결의서명으로 1차 확인"))</x:f>
      </x:c>
      <x:c r="K517" s="78"/>
    </x:row>
    <x:row r="518">
      <x:c r="A518" s="73"/>
      <x:c r="B518" s="73"/>
      <x:c r="C518" s="74"/>
      <x:c r="D518" s="73"/>
      <x:c r="E518" s="73"/>
      <x:c r="F518" s="75"/>
      <x:c r="G518" s="75"/>
      <x:c r="H518" s="76" t="str">
        <x:f>IF(A518="","",F518-G518)</x:f>
      </x:c>
      <x:c r="I518" s="77" t="str">
        <x:f>IF(A518="","",IF(E518="","기타/불명",IF(IFERROR(SEARCH("급여",E518),0)&gt;0,"인건비",IF(IFERROR(SEARCH("임차",E518),0)&gt;0,"임차·시설",IF(IFERROR(SEARCH("광고",E518),0)&gt;0,"광고·행사",IF(IFERROR(SEARCH("용역",E518),0)&gt;0,"용역·수수료","기타/불명"))))))</x:f>
      </x:c>
      <x:c r="J518" s="77" t="str">
        <x:f>IF(A518="","",IF(I518="기타/불명","확인 필요","결의서명으로 1차 확인"))</x:f>
      </x:c>
      <x:c r="K518" s="78"/>
    </x:row>
    <x:row r="519">
      <x:c r="A519" s="73"/>
      <x:c r="B519" s="73"/>
      <x:c r="C519" s="74"/>
      <x:c r="D519" s="73"/>
      <x:c r="E519" s="73"/>
      <x:c r="F519" s="75"/>
      <x:c r="G519" s="75"/>
      <x:c r="H519" s="76" t="str">
        <x:f>IF(A519="","",F519-G519)</x:f>
      </x:c>
      <x:c r="I519" s="77" t="str">
        <x:f>IF(A519="","",IF(E519="","기타/불명",IF(IFERROR(SEARCH("급여",E519),0)&gt;0,"인건비",IF(IFERROR(SEARCH("임차",E519),0)&gt;0,"임차·시설",IF(IFERROR(SEARCH("광고",E519),0)&gt;0,"광고·행사",IF(IFERROR(SEARCH("용역",E519),0)&gt;0,"용역·수수료","기타/불명"))))))</x:f>
      </x:c>
      <x:c r="J519" s="77" t="str">
        <x:f>IF(A519="","",IF(I519="기타/불명","확인 필요","결의서명으로 1차 확인"))</x:f>
      </x:c>
      <x:c r="K519" s="78"/>
    </x:row>
    <x:row r="520">
      <x:c r="A520" s="73"/>
      <x:c r="B520" s="73"/>
      <x:c r="C520" s="74"/>
      <x:c r="D520" s="73"/>
      <x:c r="E520" s="73"/>
      <x:c r="F520" s="75"/>
      <x:c r="G520" s="75"/>
      <x:c r="H520" s="76" t="str">
        <x:f>IF(A520="","",F520-G520)</x:f>
      </x:c>
      <x:c r="I520" s="77" t="str">
        <x:f>IF(A520="","",IF(E520="","기타/불명",IF(IFERROR(SEARCH("급여",E520),0)&gt;0,"인건비",IF(IFERROR(SEARCH("임차",E520),0)&gt;0,"임차·시설",IF(IFERROR(SEARCH("광고",E520),0)&gt;0,"광고·행사",IF(IFERROR(SEARCH("용역",E520),0)&gt;0,"용역·수수료","기타/불명"))))))</x:f>
      </x:c>
      <x:c r="J520" s="77" t="str">
        <x:f>IF(A520="","",IF(I520="기타/불명","확인 필요","결의서명으로 1차 확인"))</x:f>
      </x:c>
      <x:c r="K520" s="78"/>
    </x:row>
    <x:row r="521">
      <x:c r="A521" s="73"/>
      <x:c r="B521" s="73"/>
      <x:c r="C521" s="74"/>
      <x:c r="D521" s="73"/>
      <x:c r="E521" s="73"/>
      <x:c r="F521" s="75"/>
      <x:c r="G521" s="75"/>
      <x:c r="H521" s="76" t="str">
        <x:f>IF(A521="","",F521-G521)</x:f>
      </x:c>
      <x:c r="I521" s="77" t="str">
        <x:f>IF(A521="","",IF(E521="","기타/불명",IF(IFERROR(SEARCH("급여",E521),0)&gt;0,"인건비",IF(IFERROR(SEARCH("임차",E521),0)&gt;0,"임차·시설",IF(IFERROR(SEARCH("광고",E521),0)&gt;0,"광고·행사",IF(IFERROR(SEARCH("용역",E521),0)&gt;0,"용역·수수료","기타/불명"))))))</x:f>
      </x:c>
      <x:c r="J521" s="77" t="str">
        <x:f>IF(A521="","",IF(I521="기타/불명","확인 필요","결의서명으로 1차 확인"))</x:f>
      </x:c>
      <x:c r="K521" s="78"/>
    </x:row>
    <x:row r="522">
      <x:c r="A522" s="73"/>
      <x:c r="B522" s="73"/>
      <x:c r="C522" s="74"/>
      <x:c r="D522" s="73"/>
      <x:c r="E522" s="73"/>
      <x:c r="F522" s="75"/>
      <x:c r="G522" s="75"/>
      <x:c r="H522" s="76" t="str">
        <x:f>IF(A522="","",F522-G522)</x:f>
      </x:c>
      <x:c r="I522" s="77" t="str">
        <x:f>IF(A522="","",IF(E522="","기타/불명",IF(IFERROR(SEARCH("급여",E522),0)&gt;0,"인건비",IF(IFERROR(SEARCH("임차",E522),0)&gt;0,"임차·시설",IF(IFERROR(SEARCH("광고",E522),0)&gt;0,"광고·행사",IF(IFERROR(SEARCH("용역",E522),0)&gt;0,"용역·수수료","기타/불명"))))))</x:f>
      </x:c>
      <x:c r="J522" s="77" t="str">
        <x:f>IF(A522="","",IF(I522="기타/불명","확인 필요","결의서명으로 1차 확인"))</x:f>
      </x:c>
      <x:c r="K522" s="78"/>
    </x:row>
    <x:row r="523">
      <x:c r="A523" s="73"/>
      <x:c r="B523" s="73"/>
      <x:c r="C523" s="74"/>
      <x:c r="D523" s="73"/>
      <x:c r="E523" s="73"/>
      <x:c r="F523" s="75"/>
      <x:c r="G523" s="75"/>
      <x:c r="H523" s="76" t="str">
        <x:f>IF(A523="","",F523-G523)</x:f>
      </x:c>
      <x:c r="I523" s="77" t="str">
        <x:f>IF(A523="","",IF(E523="","기타/불명",IF(IFERROR(SEARCH("급여",E523),0)&gt;0,"인건비",IF(IFERROR(SEARCH("임차",E523),0)&gt;0,"임차·시설",IF(IFERROR(SEARCH("광고",E523),0)&gt;0,"광고·행사",IF(IFERROR(SEARCH("용역",E523),0)&gt;0,"용역·수수료","기타/불명"))))))</x:f>
      </x:c>
      <x:c r="J523" s="77" t="str">
        <x:f>IF(A523="","",IF(I523="기타/불명","확인 필요","결의서명으로 1차 확인"))</x:f>
      </x:c>
      <x:c r="K523" s="78"/>
    </x:row>
    <x:row r="524">
      <x:c r="A524" s="73"/>
      <x:c r="B524" s="73"/>
      <x:c r="C524" s="74"/>
      <x:c r="D524" s="73"/>
      <x:c r="E524" s="73"/>
      <x:c r="F524" s="75"/>
      <x:c r="G524" s="75"/>
      <x:c r="H524" s="76" t="str">
        <x:f>IF(A524="","",F524-G524)</x:f>
      </x:c>
      <x:c r="I524" s="77" t="str">
        <x:f>IF(A524="","",IF(E524="","기타/불명",IF(IFERROR(SEARCH("급여",E524),0)&gt;0,"인건비",IF(IFERROR(SEARCH("임차",E524),0)&gt;0,"임차·시설",IF(IFERROR(SEARCH("광고",E524),0)&gt;0,"광고·행사",IF(IFERROR(SEARCH("용역",E524),0)&gt;0,"용역·수수료","기타/불명"))))))</x:f>
      </x:c>
      <x:c r="J524" s="77" t="str">
        <x:f>IF(A524="","",IF(I524="기타/불명","확인 필요","결의서명으로 1차 확인"))</x:f>
      </x:c>
      <x:c r="K524" s="78"/>
    </x:row>
    <x:row r="525">
      <x:c r="A525" s="73"/>
      <x:c r="B525" s="73"/>
      <x:c r="C525" s="74"/>
      <x:c r="D525" s="73"/>
      <x:c r="E525" s="73"/>
      <x:c r="F525" s="75"/>
      <x:c r="G525" s="75"/>
      <x:c r="H525" s="76" t="str">
        <x:f>IF(A525="","",F525-G525)</x:f>
      </x:c>
      <x:c r="I525" s="77" t="str">
        <x:f>IF(A525="","",IF(E525="","기타/불명",IF(IFERROR(SEARCH("급여",E525),0)&gt;0,"인건비",IF(IFERROR(SEARCH("임차",E525),0)&gt;0,"임차·시설",IF(IFERROR(SEARCH("광고",E525),0)&gt;0,"광고·행사",IF(IFERROR(SEARCH("용역",E525),0)&gt;0,"용역·수수료","기타/불명"))))))</x:f>
      </x:c>
      <x:c r="J525" s="77" t="str">
        <x:f>IF(A525="","",IF(I525="기타/불명","확인 필요","결의서명으로 1차 확인"))</x:f>
      </x:c>
      <x:c r="K525" s="78"/>
    </x:row>
    <x:row r="526">
      <x:c r="A526" s="73"/>
      <x:c r="B526" s="73"/>
      <x:c r="C526" s="74"/>
      <x:c r="D526" s="73"/>
      <x:c r="E526" s="73"/>
      <x:c r="F526" s="75"/>
      <x:c r="G526" s="75"/>
      <x:c r="H526" s="76" t="str">
        <x:f>IF(A526="","",F526-G526)</x:f>
      </x:c>
      <x:c r="I526" s="77" t="str">
        <x:f>IF(A526="","",IF(E526="","기타/불명",IF(IFERROR(SEARCH("급여",E526),0)&gt;0,"인건비",IF(IFERROR(SEARCH("임차",E526),0)&gt;0,"임차·시설",IF(IFERROR(SEARCH("광고",E526),0)&gt;0,"광고·행사",IF(IFERROR(SEARCH("용역",E526),0)&gt;0,"용역·수수료","기타/불명"))))))</x:f>
      </x:c>
      <x:c r="J526" s="77" t="str">
        <x:f>IF(A526="","",IF(I526="기타/불명","확인 필요","결의서명으로 1차 확인"))</x:f>
      </x:c>
      <x:c r="K526" s="78"/>
    </x:row>
    <x:row r="527">
      <x:c r="A527" s="73"/>
      <x:c r="B527" s="73"/>
      <x:c r="C527" s="74"/>
      <x:c r="D527" s="73"/>
      <x:c r="E527" s="73"/>
      <x:c r="F527" s="75"/>
      <x:c r="G527" s="75"/>
      <x:c r="H527" s="76" t="str">
        <x:f>IF(A527="","",F527-G527)</x:f>
      </x:c>
      <x:c r="I527" s="77" t="str">
        <x:f>IF(A527="","",IF(E527="","기타/불명",IF(IFERROR(SEARCH("급여",E527),0)&gt;0,"인건비",IF(IFERROR(SEARCH("임차",E527),0)&gt;0,"임차·시설",IF(IFERROR(SEARCH("광고",E527),0)&gt;0,"광고·행사",IF(IFERROR(SEARCH("용역",E527),0)&gt;0,"용역·수수료","기타/불명"))))))</x:f>
      </x:c>
      <x:c r="J527" s="77" t="str">
        <x:f>IF(A527="","",IF(I527="기타/불명","확인 필요","결의서명으로 1차 확인"))</x:f>
      </x:c>
      <x:c r="K527" s="78"/>
    </x:row>
    <x:row r="528">
      <x:c r="A528" s="73"/>
      <x:c r="B528" s="73"/>
      <x:c r="C528" s="74"/>
      <x:c r="D528" s="73"/>
      <x:c r="E528" s="73"/>
      <x:c r="F528" s="75"/>
      <x:c r="G528" s="75"/>
      <x:c r="H528" s="76" t="str">
        <x:f>IF(A528="","",F528-G528)</x:f>
      </x:c>
      <x:c r="I528" s="77" t="str">
        <x:f>IF(A528="","",IF(E528="","기타/불명",IF(IFERROR(SEARCH("급여",E528),0)&gt;0,"인건비",IF(IFERROR(SEARCH("임차",E528),0)&gt;0,"임차·시설",IF(IFERROR(SEARCH("광고",E528),0)&gt;0,"광고·행사",IF(IFERROR(SEARCH("용역",E528),0)&gt;0,"용역·수수료","기타/불명"))))))</x:f>
      </x:c>
      <x:c r="J528" s="77" t="str">
        <x:f>IF(A528="","",IF(I528="기타/불명","확인 필요","결의서명으로 1차 확인"))</x:f>
      </x:c>
      <x:c r="K528" s="78"/>
    </x:row>
    <x:row r="529">
      <x:c r="A529" s="73"/>
      <x:c r="B529" s="73"/>
      <x:c r="C529" s="74"/>
      <x:c r="D529" s="73"/>
      <x:c r="E529" s="73"/>
      <x:c r="F529" s="75"/>
      <x:c r="G529" s="75"/>
      <x:c r="H529" s="76" t="str">
        <x:f>IF(A529="","",F529-G529)</x:f>
      </x:c>
      <x:c r="I529" s="77" t="str">
        <x:f>IF(A529="","",IF(E529="","기타/불명",IF(IFERROR(SEARCH("급여",E529),0)&gt;0,"인건비",IF(IFERROR(SEARCH("임차",E529),0)&gt;0,"임차·시설",IF(IFERROR(SEARCH("광고",E529),0)&gt;0,"광고·행사",IF(IFERROR(SEARCH("용역",E529),0)&gt;0,"용역·수수료","기타/불명"))))))</x:f>
      </x:c>
      <x:c r="J529" s="77" t="str">
        <x:f>IF(A529="","",IF(I529="기타/불명","확인 필요","결의서명으로 1차 확인"))</x:f>
      </x:c>
      <x:c r="K529" s="78"/>
    </x:row>
    <x:row r="530">
      <x:c r="A530" s="73"/>
      <x:c r="B530" s="73"/>
      <x:c r="C530" s="74"/>
      <x:c r="D530" s="73"/>
      <x:c r="E530" s="73"/>
      <x:c r="F530" s="75"/>
      <x:c r="G530" s="75"/>
      <x:c r="H530" s="76" t="str">
        <x:f>IF(A530="","",F530-G530)</x:f>
      </x:c>
      <x:c r="I530" s="77" t="str">
        <x:f>IF(A530="","",IF(E530="","기타/불명",IF(IFERROR(SEARCH("급여",E530),0)&gt;0,"인건비",IF(IFERROR(SEARCH("임차",E530),0)&gt;0,"임차·시설",IF(IFERROR(SEARCH("광고",E530),0)&gt;0,"광고·행사",IF(IFERROR(SEARCH("용역",E530),0)&gt;0,"용역·수수료","기타/불명"))))))</x:f>
      </x:c>
      <x:c r="J530" s="77" t="str">
        <x:f>IF(A530="","",IF(I530="기타/불명","확인 필요","결의서명으로 1차 확인"))</x:f>
      </x:c>
      <x:c r="K530" s="78"/>
    </x:row>
    <x:row r="531">
      <x:c r="A531" s="73"/>
      <x:c r="B531" s="73"/>
      <x:c r="C531" s="74"/>
      <x:c r="D531" s="73"/>
      <x:c r="E531" s="73"/>
      <x:c r="F531" s="75"/>
      <x:c r="G531" s="75"/>
      <x:c r="H531" s="76" t="str">
        <x:f>IF(A531="","",F531-G531)</x:f>
      </x:c>
      <x:c r="I531" s="77" t="str">
        <x:f>IF(A531="","",IF(E531="","기타/불명",IF(IFERROR(SEARCH("급여",E531),0)&gt;0,"인건비",IF(IFERROR(SEARCH("임차",E531),0)&gt;0,"임차·시설",IF(IFERROR(SEARCH("광고",E531),0)&gt;0,"광고·행사",IF(IFERROR(SEARCH("용역",E531),0)&gt;0,"용역·수수료","기타/불명"))))))</x:f>
      </x:c>
      <x:c r="J531" s="77" t="str">
        <x:f>IF(A531="","",IF(I531="기타/불명","확인 필요","결의서명으로 1차 확인"))</x:f>
      </x:c>
      <x:c r="K531" s="78"/>
    </x:row>
    <x:row r="532">
      <x:c r="A532" s="73"/>
      <x:c r="B532" s="73"/>
      <x:c r="C532" s="74"/>
      <x:c r="D532" s="73"/>
      <x:c r="E532" s="73"/>
      <x:c r="F532" s="75"/>
      <x:c r="G532" s="75"/>
      <x:c r="H532" s="76" t="str">
        <x:f>IF(A532="","",F532-G532)</x:f>
      </x:c>
      <x:c r="I532" s="77" t="str">
        <x:f>IF(A532="","",IF(E532="","기타/불명",IF(IFERROR(SEARCH("급여",E532),0)&gt;0,"인건비",IF(IFERROR(SEARCH("임차",E532),0)&gt;0,"임차·시설",IF(IFERROR(SEARCH("광고",E532),0)&gt;0,"광고·행사",IF(IFERROR(SEARCH("용역",E532),0)&gt;0,"용역·수수료","기타/불명"))))))</x:f>
      </x:c>
      <x:c r="J532" s="77" t="str">
        <x:f>IF(A532="","",IF(I532="기타/불명","확인 필요","결의서명으로 1차 확인"))</x:f>
      </x:c>
      <x:c r="K532" s="78"/>
    </x:row>
    <x:row r="533">
      <x:c r="A533" s="73"/>
      <x:c r="B533" s="73"/>
      <x:c r="C533" s="74"/>
      <x:c r="D533" s="73"/>
      <x:c r="E533" s="73"/>
      <x:c r="F533" s="75"/>
      <x:c r="G533" s="75"/>
      <x:c r="H533" s="76" t="str">
        <x:f>IF(A533="","",F533-G533)</x:f>
      </x:c>
      <x:c r="I533" s="77" t="str">
        <x:f>IF(A533="","",IF(E533="","기타/불명",IF(IFERROR(SEARCH("급여",E533),0)&gt;0,"인건비",IF(IFERROR(SEARCH("임차",E533),0)&gt;0,"임차·시설",IF(IFERROR(SEARCH("광고",E533),0)&gt;0,"광고·행사",IF(IFERROR(SEARCH("용역",E533),0)&gt;0,"용역·수수료","기타/불명"))))))</x:f>
      </x:c>
      <x:c r="J533" s="77" t="str">
        <x:f>IF(A533="","",IF(I533="기타/불명","확인 필요","결의서명으로 1차 확인"))</x:f>
      </x:c>
      <x:c r="K533" s="78"/>
    </x:row>
    <x:row r="534">
      <x:c r="A534" s="73"/>
      <x:c r="B534" s="73"/>
      <x:c r="C534" s="74"/>
      <x:c r="D534" s="73"/>
      <x:c r="E534" s="73"/>
      <x:c r="F534" s="75"/>
      <x:c r="G534" s="75"/>
      <x:c r="H534" s="76" t="str">
        <x:f>IF(A534="","",F534-G534)</x:f>
      </x:c>
      <x:c r="I534" s="77" t="str">
        <x:f>IF(A534="","",IF(E534="","기타/불명",IF(IFERROR(SEARCH("급여",E534),0)&gt;0,"인건비",IF(IFERROR(SEARCH("임차",E534),0)&gt;0,"임차·시설",IF(IFERROR(SEARCH("광고",E534),0)&gt;0,"광고·행사",IF(IFERROR(SEARCH("용역",E534),0)&gt;0,"용역·수수료","기타/불명"))))))</x:f>
      </x:c>
      <x:c r="J534" s="77" t="str">
        <x:f>IF(A534="","",IF(I534="기타/불명","확인 필요","결의서명으로 1차 확인"))</x:f>
      </x:c>
      <x:c r="K534" s="78"/>
    </x:row>
    <x:row r="535">
      <x:c r="A535" s="73"/>
      <x:c r="B535" s="73"/>
      <x:c r="C535" s="74"/>
      <x:c r="D535" s="73"/>
      <x:c r="E535" s="73"/>
      <x:c r="F535" s="75"/>
      <x:c r="G535" s="75"/>
      <x:c r="H535" s="76" t="str">
        <x:f>IF(A535="","",F535-G535)</x:f>
      </x:c>
      <x:c r="I535" s="77" t="str">
        <x:f>IF(A535="","",IF(E535="","기타/불명",IF(IFERROR(SEARCH("급여",E535),0)&gt;0,"인건비",IF(IFERROR(SEARCH("임차",E535),0)&gt;0,"임차·시설",IF(IFERROR(SEARCH("광고",E535),0)&gt;0,"광고·행사",IF(IFERROR(SEARCH("용역",E535),0)&gt;0,"용역·수수료","기타/불명"))))))</x:f>
      </x:c>
      <x:c r="J535" s="77" t="str">
        <x:f>IF(A535="","",IF(I535="기타/불명","확인 필요","결의서명으로 1차 확인"))</x:f>
      </x:c>
      <x:c r="K535" s="78"/>
    </x:row>
    <x:row r="536">
      <x:c r="A536" s="73"/>
      <x:c r="B536" s="73"/>
      <x:c r="C536" s="74"/>
      <x:c r="D536" s="73"/>
      <x:c r="E536" s="73"/>
      <x:c r="F536" s="75"/>
      <x:c r="G536" s="75"/>
      <x:c r="H536" s="76" t="str">
        <x:f>IF(A536="","",F536-G536)</x:f>
      </x:c>
      <x:c r="I536" s="77" t="str">
        <x:f>IF(A536="","",IF(E536="","기타/불명",IF(IFERROR(SEARCH("급여",E536),0)&gt;0,"인건비",IF(IFERROR(SEARCH("임차",E536),0)&gt;0,"임차·시설",IF(IFERROR(SEARCH("광고",E536),0)&gt;0,"광고·행사",IF(IFERROR(SEARCH("용역",E536),0)&gt;0,"용역·수수료","기타/불명"))))))</x:f>
      </x:c>
      <x:c r="J536" s="77" t="str">
        <x:f>IF(A536="","",IF(I536="기타/불명","확인 필요","결의서명으로 1차 확인"))</x:f>
      </x:c>
      <x:c r="K536" s="78"/>
    </x:row>
    <x:row r="537">
      <x:c r="A537" s="73"/>
      <x:c r="B537" s="73"/>
      <x:c r="C537" s="74"/>
      <x:c r="D537" s="73"/>
      <x:c r="E537" s="73"/>
      <x:c r="F537" s="75"/>
      <x:c r="G537" s="75"/>
      <x:c r="H537" s="76" t="str">
        <x:f>IF(A537="","",F537-G537)</x:f>
      </x:c>
      <x:c r="I537" s="77" t="str">
        <x:f>IF(A537="","",IF(E537="","기타/불명",IF(IFERROR(SEARCH("급여",E537),0)&gt;0,"인건비",IF(IFERROR(SEARCH("임차",E537),0)&gt;0,"임차·시설",IF(IFERROR(SEARCH("광고",E537),0)&gt;0,"광고·행사",IF(IFERROR(SEARCH("용역",E537),0)&gt;0,"용역·수수료","기타/불명"))))))</x:f>
      </x:c>
      <x:c r="J537" s="77" t="str">
        <x:f>IF(A537="","",IF(I537="기타/불명","확인 필요","결의서명으로 1차 확인"))</x:f>
      </x:c>
      <x:c r="K537" s="78"/>
    </x:row>
    <x:row r="538">
      <x:c r="A538" s="73"/>
      <x:c r="B538" s="73"/>
      <x:c r="C538" s="74"/>
      <x:c r="D538" s="73"/>
      <x:c r="E538" s="73"/>
      <x:c r="F538" s="75"/>
      <x:c r="G538" s="75"/>
      <x:c r="H538" s="76" t="str">
        <x:f>IF(A538="","",F538-G538)</x:f>
      </x:c>
      <x:c r="I538" s="77" t="str">
        <x:f>IF(A538="","",IF(E538="","기타/불명",IF(IFERROR(SEARCH("급여",E538),0)&gt;0,"인건비",IF(IFERROR(SEARCH("임차",E538),0)&gt;0,"임차·시설",IF(IFERROR(SEARCH("광고",E538),0)&gt;0,"광고·행사",IF(IFERROR(SEARCH("용역",E538),0)&gt;0,"용역·수수료","기타/불명"))))))</x:f>
      </x:c>
      <x:c r="J538" s="77" t="str">
        <x:f>IF(A538="","",IF(I538="기타/불명","확인 필요","결의서명으로 1차 확인"))</x:f>
      </x:c>
      <x:c r="K538" s="78"/>
    </x:row>
    <x:row r="539">
      <x:c r="A539" s="73"/>
      <x:c r="B539" s="73"/>
      <x:c r="C539" s="74"/>
      <x:c r="D539" s="73"/>
      <x:c r="E539" s="73"/>
      <x:c r="F539" s="75"/>
      <x:c r="G539" s="75"/>
      <x:c r="H539" s="76" t="str">
        <x:f>IF(A539="","",F539-G539)</x:f>
      </x:c>
      <x:c r="I539" s="77" t="str">
        <x:f>IF(A539="","",IF(E539="","기타/불명",IF(IFERROR(SEARCH("급여",E539),0)&gt;0,"인건비",IF(IFERROR(SEARCH("임차",E539),0)&gt;0,"임차·시설",IF(IFERROR(SEARCH("광고",E539),0)&gt;0,"광고·행사",IF(IFERROR(SEARCH("용역",E539),0)&gt;0,"용역·수수료","기타/불명"))))))</x:f>
      </x:c>
      <x:c r="J539" s="77" t="str">
        <x:f>IF(A539="","",IF(I539="기타/불명","확인 필요","결의서명으로 1차 확인"))</x:f>
      </x:c>
      <x:c r="K539" s="78"/>
    </x:row>
    <x:row r="540">
      <x:c r="A540" s="73"/>
      <x:c r="B540" s="73"/>
      <x:c r="C540" s="74"/>
      <x:c r="D540" s="73"/>
      <x:c r="E540" s="73"/>
      <x:c r="F540" s="75"/>
      <x:c r="G540" s="75"/>
      <x:c r="H540" s="76" t="str">
        <x:f>IF(A540="","",F540-G540)</x:f>
      </x:c>
      <x:c r="I540" s="77" t="str">
        <x:f>IF(A540="","",IF(E540="","기타/불명",IF(IFERROR(SEARCH("급여",E540),0)&gt;0,"인건비",IF(IFERROR(SEARCH("임차",E540),0)&gt;0,"임차·시설",IF(IFERROR(SEARCH("광고",E540),0)&gt;0,"광고·행사",IF(IFERROR(SEARCH("용역",E540),0)&gt;0,"용역·수수료","기타/불명"))))))</x:f>
      </x:c>
      <x:c r="J540" s="77" t="str">
        <x:f>IF(A540="","",IF(I540="기타/불명","확인 필요","결의서명으로 1차 확인"))</x:f>
      </x:c>
      <x:c r="K540" s="78"/>
    </x:row>
    <x:row r="541">
      <x:c r="A541" s="73"/>
      <x:c r="B541" s="73"/>
      <x:c r="C541" s="74"/>
      <x:c r="D541" s="73"/>
      <x:c r="E541" s="73"/>
      <x:c r="F541" s="75"/>
      <x:c r="G541" s="75"/>
      <x:c r="H541" s="76" t="str">
        <x:f>IF(A541="","",F541-G541)</x:f>
      </x:c>
      <x:c r="I541" s="77" t="str">
        <x:f>IF(A541="","",IF(E541="","기타/불명",IF(IFERROR(SEARCH("급여",E541),0)&gt;0,"인건비",IF(IFERROR(SEARCH("임차",E541),0)&gt;0,"임차·시설",IF(IFERROR(SEARCH("광고",E541),0)&gt;0,"광고·행사",IF(IFERROR(SEARCH("용역",E541),0)&gt;0,"용역·수수료","기타/불명"))))))</x:f>
      </x:c>
      <x:c r="J541" s="77" t="str">
        <x:f>IF(A541="","",IF(I541="기타/불명","확인 필요","결의서명으로 1차 확인"))</x:f>
      </x:c>
      <x:c r="K541" s="78"/>
    </x:row>
    <x:row r="542">
      <x:c r="A542" s="73"/>
      <x:c r="B542" s="73"/>
      <x:c r="C542" s="74"/>
      <x:c r="D542" s="73"/>
      <x:c r="E542" s="73"/>
      <x:c r="F542" s="75"/>
      <x:c r="G542" s="75"/>
      <x:c r="H542" s="76" t="str">
        <x:f>IF(A542="","",F542-G542)</x:f>
      </x:c>
      <x:c r="I542" s="77" t="str">
        <x:f>IF(A542="","",IF(E542="","기타/불명",IF(IFERROR(SEARCH("급여",E542),0)&gt;0,"인건비",IF(IFERROR(SEARCH("임차",E542),0)&gt;0,"임차·시설",IF(IFERROR(SEARCH("광고",E542),0)&gt;0,"광고·행사",IF(IFERROR(SEARCH("용역",E542),0)&gt;0,"용역·수수료","기타/불명"))))))</x:f>
      </x:c>
      <x:c r="J542" s="77" t="str">
        <x:f>IF(A542="","",IF(I542="기타/불명","확인 필요","결의서명으로 1차 확인"))</x:f>
      </x:c>
      <x:c r="K542" s="78"/>
    </x:row>
    <x:row r="543">
      <x:c r="A543" s="73"/>
      <x:c r="B543" s="73"/>
      <x:c r="C543" s="74"/>
      <x:c r="D543" s="73"/>
      <x:c r="E543" s="73"/>
      <x:c r="F543" s="75"/>
      <x:c r="G543" s="75"/>
      <x:c r="H543" s="76" t="str">
        <x:f>IF(A543="","",F543-G543)</x:f>
      </x:c>
      <x:c r="I543" s="77" t="str">
        <x:f>IF(A543="","",IF(E543="","기타/불명",IF(IFERROR(SEARCH("급여",E543),0)&gt;0,"인건비",IF(IFERROR(SEARCH("임차",E543),0)&gt;0,"임차·시설",IF(IFERROR(SEARCH("광고",E543),0)&gt;0,"광고·행사",IF(IFERROR(SEARCH("용역",E543),0)&gt;0,"용역·수수료","기타/불명"))))))</x:f>
      </x:c>
      <x:c r="J543" s="77" t="str">
        <x:f>IF(A543="","",IF(I543="기타/불명","확인 필요","결의서명으로 1차 확인"))</x:f>
      </x:c>
      <x:c r="K543" s="78"/>
    </x:row>
    <x:row r="544">
      <x:c r="A544" s="73"/>
      <x:c r="B544" s="73"/>
      <x:c r="C544" s="74"/>
      <x:c r="D544" s="73"/>
      <x:c r="E544" s="73"/>
      <x:c r="F544" s="75"/>
      <x:c r="G544" s="75"/>
      <x:c r="H544" s="76" t="str">
        <x:f>IF(A544="","",F544-G544)</x:f>
      </x:c>
      <x:c r="I544" s="77" t="str">
        <x:f>IF(A544="","",IF(E544="","기타/불명",IF(IFERROR(SEARCH("급여",E544),0)&gt;0,"인건비",IF(IFERROR(SEARCH("임차",E544),0)&gt;0,"임차·시설",IF(IFERROR(SEARCH("광고",E544),0)&gt;0,"광고·행사",IF(IFERROR(SEARCH("용역",E544),0)&gt;0,"용역·수수료","기타/불명"))))))</x:f>
      </x:c>
      <x:c r="J544" s="77" t="str">
        <x:f>IF(A544="","",IF(I544="기타/불명","확인 필요","결의서명으로 1차 확인"))</x:f>
      </x:c>
      <x:c r="K544" s="78"/>
    </x:row>
    <x:row r="545">
      <x:c r="A545" s="73"/>
      <x:c r="B545" s="73"/>
      <x:c r="C545" s="74"/>
      <x:c r="D545" s="73"/>
      <x:c r="E545" s="73"/>
      <x:c r="F545" s="75"/>
      <x:c r="G545" s="75"/>
      <x:c r="H545" s="76" t="str">
        <x:f>IF(A545="","",F545-G545)</x:f>
      </x:c>
      <x:c r="I545" s="77" t="str">
        <x:f>IF(A545="","",IF(E545="","기타/불명",IF(IFERROR(SEARCH("급여",E545),0)&gt;0,"인건비",IF(IFERROR(SEARCH("임차",E545),0)&gt;0,"임차·시설",IF(IFERROR(SEARCH("광고",E545),0)&gt;0,"광고·행사",IF(IFERROR(SEARCH("용역",E545),0)&gt;0,"용역·수수료","기타/불명"))))))</x:f>
      </x:c>
      <x:c r="J545" s="77" t="str">
        <x:f>IF(A545="","",IF(I545="기타/불명","확인 필요","결의서명으로 1차 확인"))</x:f>
      </x:c>
      <x:c r="K545" s="78"/>
    </x:row>
    <x:row r="546">
      <x:c r="A546" s="73"/>
      <x:c r="B546" s="73"/>
      <x:c r="C546" s="74"/>
      <x:c r="D546" s="73"/>
      <x:c r="E546" s="73"/>
      <x:c r="F546" s="75"/>
      <x:c r="G546" s="75"/>
      <x:c r="H546" s="76" t="str">
        <x:f>IF(A546="","",F546-G546)</x:f>
      </x:c>
      <x:c r="I546" s="77" t="str">
        <x:f>IF(A546="","",IF(E546="","기타/불명",IF(IFERROR(SEARCH("급여",E546),0)&gt;0,"인건비",IF(IFERROR(SEARCH("임차",E546),0)&gt;0,"임차·시설",IF(IFERROR(SEARCH("광고",E546),0)&gt;0,"광고·행사",IF(IFERROR(SEARCH("용역",E546),0)&gt;0,"용역·수수료","기타/불명"))))))</x:f>
      </x:c>
      <x:c r="J546" s="77" t="str">
        <x:f>IF(A546="","",IF(I546="기타/불명","확인 필요","결의서명으로 1차 확인"))</x:f>
      </x:c>
      <x:c r="K546" s="78"/>
    </x:row>
    <x:row r="547">
      <x:c r="A547" s="73"/>
      <x:c r="B547" s="73"/>
      <x:c r="C547" s="74"/>
      <x:c r="D547" s="73"/>
      <x:c r="E547" s="73"/>
      <x:c r="F547" s="75"/>
      <x:c r="G547" s="75"/>
      <x:c r="H547" s="76" t="str">
        <x:f>IF(A547="","",F547-G547)</x:f>
      </x:c>
      <x:c r="I547" s="77" t="str">
        <x:f>IF(A547="","",IF(E547="","기타/불명",IF(IFERROR(SEARCH("급여",E547),0)&gt;0,"인건비",IF(IFERROR(SEARCH("임차",E547),0)&gt;0,"임차·시설",IF(IFERROR(SEARCH("광고",E547),0)&gt;0,"광고·행사",IF(IFERROR(SEARCH("용역",E547),0)&gt;0,"용역·수수료","기타/불명"))))))</x:f>
      </x:c>
      <x:c r="J547" s="77" t="str">
        <x:f>IF(A547="","",IF(I547="기타/불명","확인 필요","결의서명으로 1차 확인"))</x:f>
      </x:c>
      <x:c r="K547" s="78"/>
    </x:row>
    <x:row r="548">
      <x:c r="A548" s="73"/>
      <x:c r="B548" s="73"/>
      <x:c r="C548" s="74"/>
      <x:c r="D548" s="73"/>
      <x:c r="E548" s="73"/>
      <x:c r="F548" s="75"/>
      <x:c r="G548" s="75"/>
      <x:c r="H548" s="76" t="str">
        <x:f>IF(A548="","",F548-G548)</x:f>
      </x:c>
      <x:c r="I548" s="77" t="str">
        <x:f>IF(A548="","",IF(E548="","기타/불명",IF(IFERROR(SEARCH("급여",E548),0)&gt;0,"인건비",IF(IFERROR(SEARCH("임차",E548),0)&gt;0,"임차·시설",IF(IFERROR(SEARCH("광고",E548),0)&gt;0,"광고·행사",IF(IFERROR(SEARCH("용역",E548),0)&gt;0,"용역·수수료","기타/불명"))))))</x:f>
      </x:c>
      <x:c r="J548" s="77" t="str">
        <x:f>IF(A548="","",IF(I548="기타/불명","확인 필요","결의서명으로 1차 확인"))</x:f>
      </x:c>
      <x:c r="K548" s="78"/>
    </x:row>
    <x:row r="549">
      <x:c r="A549" s="73"/>
      <x:c r="B549" s="73"/>
      <x:c r="C549" s="74"/>
      <x:c r="D549" s="73"/>
      <x:c r="E549" s="73"/>
      <x:c r="F549" s="75"/>
      <x:c r="G549" s="75"/>
      <x:c r="H549" s="76" t="str">
        <x:f>IF(A549="","",F549-G549)</x:f>
      </x:c>
      <x:c r="I549" s="77" t="str">
        <x:f>IF(A549="","",IF(E549="","기타/불명",IF(IFERROR(SEARCH("급여",E549),0)&gt;0,"인건비",IF(IFERROR(SEARCH("임차",E549),0)&gt;0,"임차·시설",IF(IFERROR(SEARCH("광고",E549),0)&gt;0,"광고·행사",IF(IFERROR(SEARCH("용역",E549),0)&gt;0,"용역·수수료","기타/불명"))))))</x:f>
      </x:c>
      <x:c r="J549" s="77" t="str">
        <x:f>IF(A549="","",IF(I549="기타/불명","확인 필요","결의서명으로 1차 확인"))</x:f>
      </x:c>
      <x:c r="K549" s="78"/>
    </x:row>
    <x:row r="550">
      <x:c r="A550" s="73"/>
      <x:c r="B550" s="73"/>
      <x:c r="C550" s="74"/>
      <x:c r="D550" s="73"/>
      <x:c r="E550" s="73"/>
      <x:c r="F550" s="75"/>
      <x:c r="G550" s="75"/>
      <x:c r="H550" s="76" t="str">
        <x:f>IF(A550="","",F550-G550)</x:f>
      </x:c>
      <x:c r="I550" s="77" t="str">
        <x:f>IF(A550="","",IF(E550="","기타/불명",IF(IFERROR(SEARCH("급여",E550),0)&gt;0,"인건비",IF(IFERROR(SEARCH("임차",E550),0)&gt;0,"임차·시설",IF(IFERROR(SEARCH("광고",E550),0)&gt;0,"광고·행사",IF(IFERROR(SEARCH("용역",E550),0)&gt;0,"용역·수수료","기타/불명"))))))</x:f>
      </x:c>
      <x:c r="J550" s="77" t="str">
        <x:f>IF(A550="","",IF(I550="기타/불명","확인 필요","결의서명으로 1차 확인"))</x:f>
      </x:c>
      <x:c r="K550" s="78"/>
    </x:row>
    <x:row r="551">
      <x:c r="A551" s="73"/>
      <x:c r="B551" s="73"/>
      <x:c r="C551" s="74"/>
      <x:c r="D551" s="73"/>
      <x:c r="E551" s="73"/>
      <x:c r="F551" s="75"/>
      <x:c r="G551" s="75"/>
      <x:c r="H551" s="76" t="str">
        <x:f>IF(A551="","",F551-G551)</x:f>
      </x:c>
      <x:c r="I551" s="77" t="str">
        <x:f>IF(A551="","",IF(E551="","기타/불명",IF(IFERROR(SEARCH("급여",E551),0)&gt;0,"인건비",IF(IFERROR(SEARCH("임차",E551),0)&gt;0,"임차·시설",IF(IFERROR(SEARCH("광고",E551),0)&gt;0,"광고·행사",IF(IFERROR(SEARCH("용역",E551),0)&gt;0,"용역·수수료","기타/불명"))))))</x:f>
      </x:c>
      <x:c r="J551" s="77" t="str">
        <x:f>IF(A551="","",IF(I551="기타/불명","확인 필요","결의서명으로 1차 확인"))</x:f>
      </x:c>
      <x:c r="K551" s="78"/>
    </x:row>
    <x:row r="552">
      <x:c r="A552" s="73"/>
      <x:c r="B552" s="73"/>
      <x:c r="C552" s="74"/>
      <x:c r="D552" s="73"/>
      <x:c r="E552" s="73"/>
      <x:c r="F552" s="75"/>
      <x:c r="G552" s="75"/>
      <x:c r="H552" s="76" t="str">
        <x:f>IF(A552="","",F552-G552)</x:f>
      </x:c>
      <x:c r="I552" s="77" t="str">
        <x:f>IF(A552="","",IF(E552="","기타/불명",IF(IFERROR(SEARCH("급여",E552),0)&gt;0,"인건비",IF(IFERROR(SEARCH("임차",E552),0)&gt;0,"임차·시설",IF(IFERROR(SEARCH("광고",E552),0)&gt;0,"광고·행사",IF(IFERROR(SEARCH("용역",E552),0)&gt;0,"용역·수수료","기타/불명"))))))</x:f>
      </x:c>
      <x:c r="J552" s="77" t="str">
        <x:f>IF(A552="","",IF(I552="기타/불명","확인 필요","결의서명으로 1차 확인"))</x:f>
      </x:c>
      <x:c r="K552" s="78"/>
    </x:row>
    <x:row r="553">
      <x:c r="A553" s="73"/>
      <x:c r="B553" s="73"/>
      <x:c r="C553" s="74"/>
      <x:c r="D553" s="73"/>
      <x:c r="E553" s="73"/>
      <x:c r="F553" s="75"/>
      <x:c r="G553" s="75"/>
      <x:c r="H553" s="76" t="str">
        <x:f>IF(A553="","",F553-G553)</x:f>
      </x:c>
      <x:c r="I553" s="77" t="str">
        <x:f>IF(A553="","",IF(E553="","기타/불명",IF(IFERROR(SEARCH("급여",E553),0)&gt;0,"인건비",IF(IFERROR(SEARCH("임차",E553),0)&gt;0,"임차·시설",IF(IFERROR(SEARCH("광고",E553),0)&gt;0,"광고·행사",IF(IFERROR(SEARCH("용역",E553),0)&gt;0,"용역·수수료","기타/불명"))))))</x:f>
      </x:c>
      <x:c r="J553" s="77" t="str">
        <x:f>IF(A553="","",IF(I553="기타/불명","확인 필요","결의서명으로 1차 확인"))</x:f>
      </x:c>
      <x:c r="K553" s="78"/>
    </x:row>
    <x:row r="554">
      <x:c r="A554" s="73"/>
      <x:c r="B554" s="73"/>
      <x:c r="C554" s="74"/>
      <x:c r="D554" s="73"/>
      <x:c r="E554" s="73"/>
      <x:c r="F554" s="75"/>
      <x:c r="G554" s="75"/>
      <x:c r="H554" s="76" t="str">
        <x:f>IF(A554="","",F554-G554)</x:f>
      </x:c>
      <x:c r="I554" s="77" t="str">
        <x:f>IF(A554="","",IF(E554="","기타/불명",IF(IFERROR(SEARCH("급여",E554),0)&gt;0,"인건비",IF(IFERROR(SEARCH("임차",E554),0)&gt;0,"임차·시설",IF(IFERROR(SEARCH("광고",E554),0)&gt;0,"광고·행사",IF(IFERROR(SEARCH("용역",E554),0)&gt;0,"용역·수수료","기타/불명"))))))</x:f>
      </x:c>
      <x:c r="J554" s="77" t="str">
        <x:f>IF(A554="","",IF(I554="기타/불명","확인 필요","결의서명으로 1차 확인"))</x:f>
      </x:c>
      <x:c r="K554" s="78"/>
    </x:row>
    <x:row r="555">
      <x:c r="A555" s="73"/>
      <x:c r="B555" s="73"/>
      <x:c r="C555" s="74"/>
      <x:c r="D555" s="73"/>
      <x:c r="E555" s="73"/>
      <x:c r="F555" s="75"/>
      <x:c r="G555" s="75"/>
      <x:c r="H555" s="76" t="str">
        <x:f>IF(A555="","",F555-G555)</x:f>
      </x:c>
      <x:c r="I555" s="77" t="str">
        <x:f>IF(A555="","",IF(E555="","기타/불명",IF(IFERROR(SEARCH("급여",E555),0)&gt;0,"인건비",IF(IFERROR(SEARCH("임차",E555),0)&gt;0,"임차·시설",IF(IFERROR(SEARCH("광고",E555),0)&gt;0,"광고·행사",IF(IFERROR(SEARCH("용역",E555),0)&gt;0,"용역·수수료","기타/불명"))))))</x:f>
      </x:c>
      <x:c r="J555" s="77" t="str">
        <x:f>IF(A555="","",IF(I555="기타/불명","확인 필요","결의서명으로 1차 확인"))</x:f>
      </x:c>
      <x:c r="K555" s="78"/>
    </x:row>
    <x:row r="556">
      <x:c r="A556" s="73"/>
      <x:c r="B556" s="73"/>
      <x:c r="C556" s="74"/>
      <x:c r="D556" s="73"/>
      <x:c r="E556" s="73"/>
      <x:c r="F556" s="75"/>
      <x:c r="G556" s="75"/>
      <x:c r="H556" s="76" t="str">
        <x:f>IF(A556="","",F556-G556)</x:f>
      </x:c>
      <x:c r="I556" s="77" t="str">
        <x:f>IF(A556="","",IF(E556="","기타/불명",IF(IFERROR(SEARCH("급여",E556),0)&gt;0,"인건비",IF(IFERROR(SEARCH("임차",E556),0)&gt;0,"임차·시설",IF(IFERROR(SEARCH("광고",E556),0)&gt;0,"광고·행사",IF(IFERROR(SEARCH("용역",E556),0)&gt;0,"용역·수수료","기타/불명"))))))</x:f>
      </x:c>
      <x:c r="J556" s="77" t="str">
        <x:f>IF(A556="","",IF(I556="기타/불명","확인 필요","결의서명으로 1차 확인"))</x:f>
      </x:c>
      <x:c r="K556" s="78"/>
    </x:row>
    <x:row r="557">
      <x:c r="A557" s="73"/>
      <x:c r="B557" s="73"/>
      <x:c r="C557" s="74"/>
      <x:c r="D557" s="73"/>
      <x:c r="E557" s="73"/>
      <x:c r="F557" s="75"/>
      <x:c r="G557" s="75"/>
      <x:c r="H557" s="76" t="str">
        <x:f>IF(A557="","",F557-G557)</x:f>
      </x:c>
      <x:c r="I557" s="77" t="str">
        <x:f>IF(A557="","",IF(E557="","기타/불명",IF(IFERROR(SEARCH("급여",E557),0)&gt;0,"인건비",IF(IFERROR(SEARCH("임차",E557),0)&gt;0,"임차·시설",IF(IFERROR(SEARCH("광고",E557),0)&gt;0,"광고·행사",IF(IFERROR(SEARCH("용역",E557),0)&gt;0,"용역·수수료","기타/불명"))))))</x:f>
      </x:c>
      <x:c r="J557" s="77" t="str">
        <x:f>IF(A557="","",IF(I557="기타/불명","확인 필요","결의서명으로 1차 확인"))</x:f>
      </x:c>
      <x:c r="K557" s="78"/>
    </x:row>
    <x:row r="558">
      <x:c r="A558" s="73"/>
      <x:c r="B558" s="73"/>
      <x:c r="C558" s="74"/>
      <x:c r="D558" s="73"/>
      <x:c r="E558" s="73"/>
      <x:c r="F558" s="75"/>
      <x:c r="G558" s="75"/>
      <x:c r="H558" s="76" t="str">
        <x:f>IF(A558="","",F558-G558)</x:f>
      </x:c>
      <x:c r="I558" s="77" t="str">
        <x:f>IF(A558="","",IF(E558="","기타/불명",IF(IFERROR(SEARCH("급여",E558),0)&gt;0,"인건비",IF(IFERROR(SEARCH("임차",E558),0)&gt;0,"임차·시설",IF(IFERROR(SEARCH("광고",E558),0)&gt;0,"광고·행사",IF(IFERROR(SEARCH("용역",E558),0)&gt;0,"용역·수수료","기타/불명"))))))</x:f>
      </x:c>
      <x:c r="J558" s="77" t="str">
        <x:f>IF(A558="","",IF(I558="기타/불명","확인 필요","결의서명으로 1차 확인"))</x:f>
      </x:c>
      <x:c r="K558" s="78"/>
    </x:row>
    <x:row r="559">
      <x:c r="A559" s="73"/>
      <x:c r="B559" s="73"/>
      <x:c r="C559" s="74"/>
      <x:c r="D559" s="73"/>
      <x:c r="E559" s="73"/>
      <x:c r="F559" s="75"/>
      <x:c r="G559" s="75"/>
      <x:c r="H559" s="76" t="str">
        <x:f>IF(A559="","",F559-G559)</x:f>
      </x:c>
      <x:c r="I559" s="77" t="str">
        <x:f>IF(A559="","",IF(E559="","기타/불명",IF(IFERROR(SEARCH("급여",E559),0)&gt;0,"인건비",IF(IFERROR(SEARCH("임차",E559),0)&gt;0,"임차·시설",IF(IFERROR(SEARCH("광고",E559),0)&gt;0,"광고·행사",IF(IFERROR(SEARCH("용역",E559),0)&gt;0,"용역·수수료","기타/불명"))))))</x:f>
      </x:c>
      <x:c r="J559" s="77" t="str">
        <x:f>IF(A559="","",IF(I559="기타/불명","확인 필요","결의서명으로 1차 확인"))</x:f>
      </x:c>
      <x:c r="K559" s="78"/>
    </x:row>
    <x:row r="560">
      <x:c r="A560" s="73"/>
      <x:c r="B560" s="73"/>
      <x:c r="C560" s="74"/>
      <x:c r="D560" s="73"/>
      <x:c r="E560" s="73"/>
      <x:c r="F560" s="75"/>
      <x:c r="G560" s="75"/>
      <x:c r="H560" s="76" t="str">
        <x:f>IF(A560="","",F560-G560)</x:f>
      </x:c>
      <x:c r="I560" s="77" t="str">
        <x:f>IF(A560="","",IF(E560="","기타/불명",IF(IFERROR(SEARCH("급여",E560),0)&gt;0,"인건비",IF(IFERROR(SEARCH("임차",E560),0)&gt;0,"임차·시설",IF(IFERROR(SEARCH("광고",E560),0)&gt;0,"광고·행사",IF(IFERROR(SEARCH("용역",E560),0)&gt;0,"용역·수수료","기타/불명"))))))</x:f>
      </x:c>
      <x:c r="J560" s="77" t="str">
        <x:f>IF(A560="","",IF(I560="기타/불명","확인 필요","결의서명으로 1차 확인"))</x:f>
      </x:c>
      <x:c r="K560" s="78"/>
    </x:row>
    <x:row r="561">
      <x:c r="A561" s="73"/>
      <x:c r="B561" s="73"/>
      <x:c r="C561" s="74"/>
      <x:c r="D561" s="73"/>
      <x:c r="E561" s="73"/>
      <x:c r="F561" s="75"/>
      <x:c r="G561" s="75"/>
      <x:c r="H561" s="76" t="str">
        <x:f>IF(A561="","",F561-G561)</x:f>
      </x:c>
      <x:c r="I561" s="77" t="str">
        <x:f>IF(A561="","",IF(E561="","기타/불명",IF(IFERROR(SEARCH("급여",E561),0)&gt;0,"인건비",IF(IFERROR(SEARCH("임차",E561),0)&gt;0,"임차·시설",IF(IFERROR(SEARCH("광고",E561),0)&gt;0,"광고·행사",IF(IFERROR(SEARCH("용역",E561),0)&gt;0,"용역·수수료","기타/불명"))))))</x:f>
      </x:c>
      <x:c r="J561" s="77" t="str">
        <x:f>IF(A561="","",IF(I561="기타/불명","확인 필요","결의서명으로 1차 확인"))</x:f>
      </x:c>
      <x:c r="K561" s="78"/>
    </x:row>
    <x:row r="562">
      <x:c r="A562" s="73"/>
      <x:c r="B562" s="73"/>
      <x:c r="C562" s="74"/>
      <x:c r="D562" s="73"/>
      <x:c r="E562" s="73"/>
      <x:c r="F562" s="75"/>
      <x:c r="G562" s="75"/>
      <x:c r="H562" s="76" t="str">
        <x:f>IF(A562="","",F562-G562)</x:f>
      </x:c>
      <x:c r="I562" s="77" t="str">
        <x:f>IF(A562="","",IF(E562="","기타/불명",IF(IFERROR(SEARCH("급여",E562),0)&gt;0,"인건비",IF(IFERROR(SEARCH("임차",E562),0)&gt;0,"임차·시설",IF(IFERROR(SEARCH("광고",E562),0)&gt;0,"광고·행사",IF(IFERROR(SEARCH("용역",E562),0)&gt;0,"용역·수수료","기타/불명"))))))</x:f>
      </x:c>
      <x:c r="J562" s="77" t="str">
        <x:f>IF(A562="","",IF(I562="기타/불명","확인 필요","결의서명으로 1차 확인"))</x:f>
      </x:c>
      <x:c r="K562" s="78"/>
    </x:row>
    <x:row r="563">
      <x:c r="A563" s="73"/>
      <x:c r="B563" s="73"/>
      <x:c r="C563" s="74"/>
      <x:c r="D563" s="73"/>
      <x:c r="E563" s="73"/>
      <x:c r="F563" s="75"/>
      <x:c r="G563" s="75"/>
      <x:c r="H563" s="76" t="str">
        <x:f>IF(A563="","",F563-G563)</x:f>
      </x:c>
      <x:c r="I563" s="77" t="str">
        <x:f>IF(A563="","",IF(E563="","기타/불명",IF(IFERROR(SEARCH("급여",E563),0)&gt;0,"인건비",IF(IFERROR(SEARCH("임차",E563),0)&gt;0,"임차·시설",IF(IFERROR(SEARCH("광고",E563),0)&gt;0,"광고·행사",IF(IFERROR(SEARCH("용역",E563),0)&gt;0,"용역·수수료","기타/불명"))))))</x:f>
      </x:c>
      <x:c r="J563" s="77" t="str">
        <x:f>IF(A563="","",IF(I563="기타/불명","확인 필요","결의서명으로 1차 확인"))</x:f>
      </x:c>
      <x:c r="K563" s="78"/>
    </x:row>
    <x:row r="564">
      <x:c r="A564" s="73"/>
      <x:c r="B564" s="73"/>
      <x:c r="C564" s="74"/>
      <x:c r="D564" s="73"/>
      <x:c r="E564" s="73"/>
      <x:c r="F564" s="75"/>
      <x:c r="G564" s="75"/>
      <x:c r="H564" s="76" t="str">
        <x:f>IF(A564="","",F564-G564)</x:f>
      </x:c>
      <x:c r="I564" s="77" t="str">
        <x:f>IF(A564="","",IF(E564="","기타/불명",IF(IFERROR(SEARCH("급여",E564),0)&gt;0,"인건비",IF(IFERROR(SEARCH("임차",E564),0)&gt;0,"임차·시설",IF(IFERROR(SEARCH("광고",E564),0)&gt;0,"광고·행사",IF(IFERROR(SEARCH("용역",E564),0)&gt;0,"용역·수수료","기타/불명"))))))</x:f>
      </x:c>
      <x:c r="J564" s="77" t="str">
        <x:f>IF(A564="","",IF(I564="기타/불명","확인 필요","결의서명으로 1차 확인"))</x:f>
      </x:c>
      <x:c r="K564" s="78"/>
    </x:row>
    <x:row r="565">
      <x:c r="A565" s="73"/>
      <x:c r="B565" s="73"/>
      <x:c r="C565" s="74"/>
      <x:c r="D565" s="73"/>
      <x:c r="E565" s="73"/>
      <x:c r="F565" s="75"/>
      <x:c r="G565" s="75"/>
      <x:c r="H565" s="76" t="str">
        <x:f>IF(A565="","",F565-G565)</x:f>
      </x:c>
      <x:c r="I565" s="77" t="str">
        <x:f>IF(A565="","",IF(E565="","기타/불명",IF(IFERROR(SEARCH("급여",E565),0)&gt;0,"인건비",IF(IFERROR(SEARCH("임차",E565),0)&gt;0,"임차·시설",IF(IFERROR(SEARCH("광고",E565),0)&gt;0,"광고·행사",IF(IFERROR(SEARCH("용역",E565),0)&gt;0,"용역·수수료","기타/불명"))))))</x:f>
      </x:c>
      <x:c r="J565" s="77" t="str">
        <x:f>IF(A565="","",IF(I565="기타/불명","확인 필요","결의서명으로 1차 확인"))</x:f>
      </x:c>
      <x:c r="K565" s="78"/>
    </x:row>
    <x:row r="566">
      <x:c r="A566" s="73"/>
      <x:c r="B566" s="73"/>
      <x:c r="C566" s="74"/>
      <x:c r="D566" s="73"/>
      <x:c r="E566" s="73"/>
      <x:c r="F566" s="75"/>
      <x:c r="G566" s="75"/>
      <x:c r="H566" s="76" t="str">
        <x:f>IF(A566="","",F566-G566)</x:f>
      </x:c>
      <x:c r="I566" s="77" t="str">
        <x:f>IF(A566="","",IF(E566="","기타/불명",IF(IFERROR(SEARCH("급여",E566),0)&gt;0,"인건비",IF(IFERROR(SEARCH("임차",E566),0)&gt;0,"임차·시설",IF(IFERROR(SEARCH("광고",E566),0)&gt;0,"광고·행사",IF(IFERROR(SEARCH("용역",E566),0)&gt;0,"용역·수수료","기타/불명"))))))</x:f>
      </x:c>
      <x:c r="J566" s="77" t="str">
        <x:f>IF(A566="","",IF(I566="기타/불명","확인 필요","결의서명으로 1차 확인"))</x:f>
      </x:c>
      <x:c r="K566" s="78"/>
    </x:row>
    <x:row r="567">
      <x:c r="A567" s="73"/>
      <x:c r="B567" s="73"/>
      <x:c r="C567" s="74"/>
      <x:c r="D567" s="73"/>
      <x:c r="E567" s="73"/>
      <x:c r="F567" s="75"/>
      <x:c r="G567" s="75"/>
      <x:c r="H567" s="76" t="str">
        <x:f>IF(A567="","",F567-G567)</x:f>
      </x:c>
      <x:c r="I567" s="77" t="str">
        <x:f>IF(A567="","",IF(E567="","기타/불명",IF(IFERROR(SEARCH("급여",E567),0)&gt;0,"인건비",IF(IFERROR(SEARCH("임차",E567),0)&gt;0,"임차·시설",IF(IFERROR(SEARCH("광고",E567),0)&gt;0,"광고·행사",IF(IFERROR(SEARCH("용역",E567),0)&gt;0,"용역·수수료","기타/불명"))))))</x:f>
      </x:c>
      <x:c r="J567" s="77" t="str">
        <x:f>IF(A567="","",IF(I567="기타/불명","확인 필요","결의서명으로 1차 확인"))</x:f>
      </x:c>
      <x:c r="K567" s="78"/>
    </x:row>
    <x:row r="568">
      <x:c r="A568" s="73"/>
      <x:c r="B568" s="73"/>
      <x:c r="C568" s="74"/>
      <x:c r="D568" s="73"/>
      <x:c r="E568" s="73"/>
      <x:c r="F568" s="75"/>
      <x:c r="G568" s="75"/>
      <x:c r="H568" s="76" t="str">
        <x:f>IF(A568="","",F568-G568)</x:f>
      </x:c>
      <x:c r="I568" s="77" t="str">
        <x:f>IF(A568="","",IF(E568="","기타/불명",IF(IFERROR(SEARCH("급여",E568),0)&gt;0,"인건비",IF(IFERROR(SEARCH("임차",E568),0)&gt;0,"임차·시설",IF(IFERROR(SEARCH("광고",E568),0)&gt;0,"광고·행사",IF(IFERROR(SEARCH("용역",E568),0)&gt;0,"용역·수수료","기타/불명"))))))</x:f>
      </x:c>
      <x:c r="J568" s="77" t="str">
        <x:f>IF(A568="","",IF(I568="기타/불명","확인 필요","결의서명으로 1차 확인"))</x:f>
      </x:c>
      <x:c r="K568" s="78"/>
    </x:row>
    <x:row r="569">
      <x:c r="A569" s="73"/>
      <x:c r="B569" s="73"/>
      <x:c r="C569" s="74"/>
      <x:c r="D569" s="73"/>
      <x:c r="E569" s="73"/>
      <x:c r="F569" s="75"/>
      <x:c r="G569" s="75"/>
      <x:c r="H569" s="76" t="str">
        <x:f>IF(A569="","",F569-G569)</x:f>
      </x:c>
      <x:c r="I569" s="77" t="str">
        <x:f>IF(A569="","",IF(E569="","기타/불명",IF(IFERROR(SEARCH("급여",E569),0)&gt;0,"인건비",IF(IFERROR(SEARCH("임차",E569),0)&gt;0,"임차·시설",IF(IFERROR(SEARCH("광고",E569),0)&gt;0,"광고·행사",IF(IFERROR(SEARCH("용역",E569),0)&gt;0,"용역·수수료","기타/불명"))))))</x:f>
      </x:c>
      <x:c r="J569" s="77" t="str">
        <x:f>IF(A569="","",IF(I569="기타/불명","확인 필요","결의서명으로 1차 확인"))</x:f>
      </x:c>
      <x:c r="K569" s="78"/>
    </x:row>
    <x:row r="570">
      <x:c r="A570" s="73"/>
      <x:c r="B570" s="73"/>
      <x:c r="C570" s="74"/>
      <x:c r="D570" s="73"/>
      <x:c r="E570" s="73"/>
      <x:c r="F570" s="75"/>
      <x:c r="G570" s="75"/>
      <x:c r="H570" s="76" t="str">
        <x:f>IF(A570="","",F570-G570)</x:f>
      </x:c>
      <x:c r="I570" s="77" t="str">
        <x:f>IF(A570="","",IF(E570="","기타/불명",IF(IFERROR(SEARCH("급여",E570),0)&gt;0,"인건비",IF(IFERROR(SEARCH("임차",E570),0)&gt;0,"임차·시설",IF(IFERROR(SEARCH("광고",E570),0)&gt;0,"광고·행사",IF(IFERROR(SEARCH("용역",E570),0)&gt;0,"용역·수수료","기타/불명"))))))</x:f>
      </x:c>
      <x:c r="J570" s="77" t="str">
        <x:f>IF(A570="","",IF(I570="기타/불명","확인 필요","결의서명으로 1차 확인"))</x:f>
      </x:c>
      <x:c r="K570" s="78"/>
    </x:row>
    <x:row r="571">
      <x:c r="A571" s="73"/>
      <x:c r="B571" s="73"/>
      <x:c r="C571" s="74"/>
      <x:c r="D571" s="73"/>
      <x:c r="E571" s="73"/>
      <x:c r="F571" s="75"/>
      <x:c r="G571" s="75"/>
      <x:c r="H571" s="76" t="str">
        <x:f>IF(A571="","",F571-G571)</x:f>
      </x:c>
      <x:c r="I571" s="77" t="str">
        <x:f>IF(A571="","",IF(E571="","기타/불명",IF(IFERROR(SEARCH("급여",E571),0)&gt;0,"인건비",IF(IFERROR(SEARCH("임차",E571),0)&gt;0,"임차·시설",IF(IFERROR(SEARCH("광고",E571),0)&gt;0,"광고·행사",IF(IFERROR(SEARCH("용역",E571),0)&gt;0,"용역·수수료","기타/불명"))))))</x:f>
      </x:c>
      <x:c r="J571" s="77" t="str">
        <x:f>IF(A571="","",IF(I571="기타/불명","확인 필요","결의서명으로 1차 확인"))</x:f>
      </x:c>
      <x:c r="K571" s="78"/>
    </x:row>
    <x:row r="572">
      <x:c r="A572" s="73"/>
      <x:c r="B572" s="73"/>
      <x:c r="C572" s="74"/>
      <x:c r="D572" s="73"/>
      <x:c r="E572" s="73"/>
      <x:c r="F572" s="75"/>
      <x:c r="G572" s="75"/>
      <x:c r="H572" s="76" t="str">
        <x:f>IF(A572="","",F572-G572)</x:f>
      </x:c>
      <x:c r="I572" s="77" t="str">
        <x:f>IF(A572="","",IF(E572="","기타/불명",IF(IFERROR(SEARCH("급여",E572),0)&gt;0,"인건비",IF(IFERROR(SEARCH("임차",E572),0)&gt;0,"임차·시설",IF(IFERROR(SEARCH("광고",E572),0)&gt;0,"광고·행사",IF(IFERROR(SEARCH("용역",E572),0)&gt;0,"용역·수수료","기타/불명"))))))</x:f>
      </x:c>
      <x:c r="J572" s="77" t="str">
        <x:f>IF(A572="","",IF(I572="기타/불명","확인 필요","결의서명으로 1차 확인"))</x:f>
      </x:c>
      <x:c r="K572" s="78"/>
    </x:row>
    <x:row r="573">
      <x:c r="A573" s="73"/>
      <x:c r="B573" s="73"/>
      <x:c r="C573" s="74"/>
      <x:c r="D573" s="73"/>
      <x:c r="E573" s="73"/>
      <x:c r="F573" s="75"/>
      <x:c r="G573" s="75"/>
      <x:c r="H573" s="76" t="str">
        <x:f>IF(A573="","",F573-G573)</x:f>
      </x:c>
      <x:c r="I573" s="77" t="str">
        <x:f>IF(A573="","",IF(E573="","기타/불명",IF(IFERROR(SEARCH("급여",E573),0)&gt;0,"인건비",IF(IFERROR(SEARCH("임차",E573),0)&gt;0,"임차·시설",IF(IFERROR(SEARCH("광고",E573),0)&gt;0,"광고·행사",IF(IFERROR(SEARCH("용역",E573),0)&gt;0,"용역·수수료","기타/불명"))))))</x:f>
      </x:c>
      <x:c r="J573" s="77" t="str">
        <x:f>IF(A573="","",IF(I573="기타/불명","확인 필요","결의서명으로 1차 확인"))</x:f>
      </x:c>
      <x:c r="K573" s="78"/>
    </x:row>
    <x:row r="574">
      <x:c r="A574" s="73"/>
      <x:c r="B574" s="73"/>
      <x:c r="C574" s="74"/>
      <x:c r="D574" s="73"/>
      <x:c r="E574" s="73"/>
      <x:c r="F574" s="75"/>
      <x:c r="G574" s="75"/>
      <x:c r="H574" s="76" t="str">
        <x:f>IF(A574="","",F574-G574)</x:f>
      </x:c>
      <x:c r="I574" s="77" t="str">
        <x:f>IF(A574="","",IF(E574="","기타/불명",IF(IFERROR(SEARCH("급여",E574),0)&gt;0,"인건비",IF(IFERROR(SEARCH("임차",E574),0)&gt;0,"임차·시설",IF(IFERROR(SEARCH("광고",E574),0)&gt;0,"광고·행사",IF(IFERROR(SEARCH("용역",E574),0)&gt;0,"용역·수수료","기타/불명"))))))</x:f>
      </x:c>
      <x:c r="J574" s="77" t="str">
        <x:f>IF(A574="","",IF(I574="기타/불명","확인 필요","결의서명으로 1차 확인"))</x:f>
      </x:c>
      <x:c r="K574" s="78"/>
    </x:row>
    <x:row r="575">
      <x:c r="A575" s="73"/>
      <x:c r="B575" s="73"/>
      <x:c r="C575" s="74"/>
      <x:c r="D575" s="73"/>
      <x:c r="E575" s="73"/>
      <x:c r="F575" s="75"/>
      <x:c r="G575" s="75"/>
      <x:c r="H575" s="76" t="str">
        <x:f>IF(A575="","",F575-G575)</x:f>
      </x:c>
      <x:c r="I575" s="77" t="str">
        <x:f>IF(A575="","",IF(E575="","기타/불명",IF(IFERROR(SEARCH("급여",E575),0)&gt;0,"인건비",IF(IFERROR(SEARCH("임차",E575),0)&gt;0,"임차·시설",IF(IFERROR(SEARCH("광고",E575),0)&gt;0,"광고·행사",IF(IFERROR(SEARCH("용역",E575),0)&gt;0,"용역·수수료","기타/불명"))))))</x:f>
      </x:c>
      <x:c r="J575" s="77" t="str">
        <x:f>IF(A575="","",IF(I575="기타/불명","확인 필요","결의서명으로 1차 확인"))</x:f>
      </x:c>
      <x:c r="K575" s="78"/>
    </x:row>
    <x:row r="576">
      <x:c r="A576" s="73"/>
      <x:c r="B576" s="73"/>
      <x:c r="C576" s="74"/>
      <x:c r="D576" s="73"/>
      <x:c r="E576" s="73"/>
      <x:c r="F576" s="75"/>
      <x:c r="G576" s="75"/>
      <x:c r="H576" s="76" t="str">
        <x:f>IF(A576="","",F576-G576)</x:f>
      </x:c>
      <x:c r="I576" s="77" t="str">
        <x:f>IF(A576="","",IF(E576="","기타/불명",IF(IFERROR(SEARCH("급여",E576),0)&gt;0,"인건비",IF(IFERROR(SEARCH("임차",E576),0)&gt;0,"임차·시설",IF(IFERROR(SEARCH("광고",E576),0)&gt;0,"광고·행사",IF(IFERROR(SEARCH("용역",E576),0)&gt;0,"용역·수수료","기타/불명"))))))</x:f>
      </x:c>
      <x:c r="J576" s="77" t="str">
        <x:f>IF(A576="","",IF(I576="기타/불명","확인 필요","결의서명으로 1차 확인"))</x:f>
      </x:c>
      <x:c r="K576" s="78"/>
    </x:row>
    <x:row r="577">
      <x:c r="A577" s="73"/>
      <x:c r="B577" s="73"/>
      <x:c r="C577" s="74"/>
      <x:c r="D577" s="73"/>
      <x:c r="E577" s="73"/>
      <x:c r="F577" s="75"/>
      <x:c r="G577" s="75"/>
      <x:c r="H577" s="76" t="str">
        <x:f>IF(A577="","",F577-G577)</x:f>
      </x:c>
      <x:c r="I577" s="77" t="str">
        <x:f>IF(A577="","",IF(E577="","기타/불명",IF(IFERROR(SEARCH("급여",E577),0)&gt;0,"인건비",IF(IFERROR(SEARCH("임차",E577),0)&gt;0,"임차·시설",IF(IFERROR(SEARCH("광고",E577),0)&gt;0,"광고·행사",IF(IFERROR(SEARCH("용역",E577),0)&gt;0,"용역·수수료","기타/불명"))))))</x:f>
      </x:c>
      <x:c r="J577" s="77" t="str">
        <x:f>IF(A577="","",IF(I577="기타/불명","확인 필요","결의서명으로 1차 확인"))</x:f>
      </x:c>
      <x:c r="K577" s="78"/>
    </x:row>
    <x:row r="578">
      <x:c r="A578" s="73"/>
      <x:c r="B578" s="73"/>
      <x:c r="C578" s="74"/>
      <x:c r="D578" s="73"/>
      <x:c r="E578" s="73"/>
      <x:c r="F578" s="75"/>
      <x:c r="G578" s="75"/>
      <x:c r="H578" s="76" t="str">
        <x:f>IF(A578="","",F578-G578)</x:f>
      </x:c>
      <x:c r="I578" s="77" t="str">
        <x:f>IF(A578="","",IF(E578="","기타/불명",IF(IFERROR(SEARCH("급여",E578),0)&gt;0,"인건비",IF(IFERROR(SEARCH("임차",E578),0)&gt;0,"임차·시설",IF(IFERROR(SEARCH("광고",E578),0)&gt;0,"광고·행사",IF(IFERROR(SEARCH("용역",E578),0)&gt;0,"용역·수수료","기타/불명"))))))</x:f>
      </x:c>
      <x:c r="J578" s="77" t="str">
        <x:f>IF(A578="","",IF(I578="기타/불명","확인 필요","결의서명으로 1차 확인"))</x:f>
      </x:c>
      <x:c r="K578" s="78"/>
    </x:row>
    <x:row r="579">
      <x:c r="A579" s="73"/>
      <x:c r="B579" s="73"/>
      <x:c r="C579" s="74"/>
      <x:c r="D579" s="73"/>
      <x:c r="E579" s="73"/>
      <x:c r="F579" s="75"/>
      <x:c r="G579" s="75"/>
      <x:c r="H579" s="76" t="str">
        <x:f>IF(A579="","",F579-G579)</x:f>
      </x:c>
      <x:c r="I579" s="77" t="str">
        <x:f>IF(A579="","",IF(E579="","기타/불명",IF(IFERROR(SEARCH("급여",E579),0)&gt;0,"인건비",IF(IFERROR(SEARCH("임차",E579),0)&gt;0,"임차·시설",IF(IFERROR(SEARCH("광고",E579),0)&gt;0,"광고·행사",IF(IFERROR(SEARCH("용역",E579),0)&gt;0,"용역·수수료","기타/불명"))))))</x:f>
      </x:c>
      <x:c r="J579" s="77" t="str">
        <x:f>IF(A579="","",IF(I579="기타/불명","확인 필요","결의서명으로 1차 확인"))</x:f>
      </x:c>
      <x:c r="K579" s="78"/>
    </x:row>
    <x:row r="580">
      <x:c r="A580" s="73"/>
      <x:c r="B580" s="73"/>
      <x:c r="C580" s="74"/>
      <x:c r="D580" s="73"/>
      <x:c r="E580" s="73"/>
      <x:c r="F580" s="75"/>
      <x:c r="G580" s="75"/>
      <x:c r="H580" s="76" t="str">
        <x:f>IF(A580="","",F580-G580)</x:f>
      </x:c>
      <x:c r="I580" s="77" t="str">
        <x:f>IF(A580="","",IF(E580="","기타/불명",IF(IFERROR(SEARCH("급여",E580),0)&gt;0,"인건비",IF(IFERROR(SEARCH("임차",E580),0)&gt;0,"임차·시설",IF(IFERROR(SEARCH("광고",E580),0)&gt;0,"광고·행사",IF(IFERROR(SEARCH("용역",E580),0)&gt;0,"용역·수수료","기타/불명"))))))</x:f>
      </x:c>
      <x:c r="J580" s="77" t="str">
        <x:f>IF(A580="","",IF(I580="기타/불명","확인 필요","결의서명으로 1차 확인"))</x:f>
      </x:c>
      <x:c r="K580" s="78"/>
    </x:row>
    <x:row r="581">
      <x:c r="A581" s="73"/>
      <x:c r="B581" s="73"/>
      <x:c r="C581" s="74"/>
      <x:c r="D581" s="73"/>
      <x:c r="E581" s="73"/>
      <x:c r="F581" s="75"/>
      <x:c r="G581" s="75"/>
      <x:c r="H581" s="76" t="str">
        <x:f>IF(A581="","",F581-G581)</x:f>
      </x:c>
      <x:c r="I581" s="77" t="str">
        <x:f>IF(A581="","",IF(E581="","기타/불명",IF(IFERROR(SEARCH("급여",E581),0)&gt;0,"인건비",IF(IFERROR(SEARCH("임차",E581),0)&gt;0,"임차·시설",IF(IFERROR(SEARCH("광고",E581),0)&gt;0,"광고·행사",IF(IFERROR(SEARCH("용역",E581),0)&gt;0,"용역·수수료","기타/불명"))))))</x:f>
      </x:c>
      <x:c r="J581" s="77" t="str">
        <x:f>IF(A581="","",IF(I581="기타/불명","확인 필요","결의서명으로 1차 확인"))</x:f>
      </x:c>
      <x:c r="K581" s="78"/>
    </x:row>
    <x:row r="582">
      <x:c r="A582" s="73"/>
      <x:c r="B582" s="73"/>
      <x:c r="C582" s="74"/>
      <x:c r="D582" s="73"/>
      <x:c r="E582" s="73"/>
      <x:c r="F582" s="75"/>
      <x:c r="G582" s="75"/>
      <x:c r="H582" s="76" t="str">
        <x:f>IF(A582="","",F582-G582)</x:f>
      </x:c>
      <x:c r="I582" s="77" t="str">
        <x:f>IF(A582="","",IF(E582="","기타/불명",IF(IFERROR(SEARCH("급여",E582),0)&gt;0,"인건비",IF(IFERROR(SEARCH("임차",E582),0)&gt;0,"임차·시설",IF(IFERROR(SEARCH("광고",E582),0)&gt;0,"광고·행사",IF(IFERROR(SEARCH("용역",E582),0)&gt;0,"용역·수수료","기타/불명"))))))</x:f>
      </x:c>
      <x:c r="J582" s="77" t="str">
        <x:f>IF(A582="","",IF(I582="기타/불명","확인 필요","결의서명으로 1차 확인"))</x:f>
      </x:c>
      <x:c r="K582" s="78"/>
    </x:row>
    <x:row r="583">
      <x:c r="A583" s="73"/>
      <x:c r="B583" s="73"/>
      <x:c r="C583" s="74"/>
      <x:c r="D583" s="73"/>
      <x:c r="E583" s="73"/>
      <x:c r="F583" s="75"/>
      <x:c r="G583" s="75"/>
      <x:c r="H583" s="76" t="str">
        <x:f>IF(A583="","",F583-G583)</x:f>
      </x:c>
      <x:c r="I583" s="77" t="str">
        <x:f>IF(A583="","",IF(E583="","기타/불명",IF(IFERROR(SEARCH("급여",E583),0)&gt;0,"인건비",IF(IFERROR(SEARCH("임차",E583),0)&gt;0,"임차·시설",IF(IFERROR(SEARCH("광고",E583),0)&gt;0,"광고·행사",IF(IFERROR(SEARCH("용역",E583),0)&gt;0,"용역·수수료","기타/불명"))))))</x:f>
      </x:c>
      <x:c r="J583" s="77" t="str">
        <x:f>IF(A583="","",IF(I583="기타/불명","확인 필요","결의서명으로 1차 확인"))</x:f>
      </x:c>
      <x:c r="K583" s="78"/>
    </x:row>
    <x:row r="584">
      <x:c r="A584" s="73"/>
      <x:c r="B584" s="73"/>
      <x:c r="C584" s="74"/>
      <x:c r="D584" s="73"/>
      <x:c r="E584" s="73"/>
      <x:c r="F584" s="75"/>
      <x:c r="G584" s="75"/>
      <x:c r="H584" s="76" t="str">
        <x:f>IF(A584="","",F584-G584)</x:f>
      </x:c>
      <x:c r="I584" s="77" t="str">
        <x:f>IF(A584="","",IF(E584="","기타/불명",IF(IFERROR(SEARCH("급여",E584),0)&gt;0,"인건비",IF(IFERROR(SEARCH("임차",E584),0)&gt;0,"임차·시설",IF(IFERROR(SEARCH("광고",E584),0)&gt;0,"광고·행사",IF(IFERROR(SEARCH("용역",E584),0)&gt;0,"용역·수수료","기타/불명"))))))</x:f>
      </x:c>
      <x:c r="J584" s="77" t="str">
        <x:f>IF(A584="","",IF(I584="기타/불명","확인 필요","결의서명으로 1차 확인"))</x:f>
      </x:c>
      <x:c r="K584" s="78"/>
    </x:row>
    <x:row r="585">
      <x:c r="A585" s="73"/>
      <x:c r="B585" s="73"/>
      <x:c r="C585" s="74"/>
      <x:c r="D585" s="73"/>
      <x:c r="E585" s="73"/>
      <x:c r="F585" s="75"/>
      <x:c r="G585" s="75"/>
      <x:c r="H585" s="76" t="str">
        <x:f>IF(A585="","",F585-G585)</x:f>
      </x:c>
      <x:c r="I585" s="77" t="str">
        <x:f>IF(A585="","",IF(E585="","기타/불명",IF(IFERROR(SEARCH("급여",E585),0)&gt;0,"인건비",IF(IFERROR(SEARCH("임차",E585),0)&gt;0,"임차·시설",IF(IFERROR(SEARCH("광고",E585),0)&gt;0,"광고·행사",IF(IFERROR(SEARCH("용역",E585),0)&gt;0,"용역·수수료","기타/불명"))))))</x:f>
      </x:c>
      <x:c r="J585" s="77" t="str">
        <x:f>IF(A585="","",IF(I585="기타/불명","확인 필요","결의서명으로 1차 확인"))</x:f>
      </x:c>
      <x:c r="K585" s="78"/>
    </x:row>
    <x:row r="586">
      <x:c r="A586" s="73"/>
      <x:c r="B586" s="73"/>
      <x:c r="C586" s="74"/>
      <x:c r="D586" s="73"/>
      <x:c r="E586" s="73"/>
      <x:c r="F586" s="75"/>
      <x:c r="G586" s="75"/>
      <x:c r="H586" s="76" t="str">
        <x:f>IF(A586="","",F586-G586)</x:f>
      </x:c>
      <x:c r="I586" s="77" t="str">
        <x:f>IF(A586="","",IF(E586="","기타/불명",IF(IFERROR(SEARCH("급여",E586),0)&gt;0,"인건비",IF(IFERROR(SEARCH("임차",E586),0)&gt;0,"임차·시설",IF(IFERROR(SEARCH("광고",E586),0)&gt;0,"광고·행사",IF(IFERROR(SEARCH("용역",E586),0)&gt;0,"용역·수수료","기타/불명"))))))</x:f>
      </x:c>
      <x:c r="J586" s="77" t="str">
        <x:f>IF(A586="","",IF(I586="기타/불명","확인 필요","결의서명으로 1차 확인"))</x:f>
      </x:c>
      <x:c r="K586" s="78"/>
    </x:row>
    <x:row r="587">
      <x:c r="A587" s="73"/>
      <x:c r="B587" s="73"/>
      <x:c r="C587" s="74"/>
      <x:c r="D587" s="73"/>
      <x:c r="E587" s="73"/>
      <x:c r="F587" s="75"/>
      <x:c r="G587" s="75"/>
      <x:c r="H587" s="76" t="str">
        <x:f>IF(A587="","",F587-G587)</x:f>
      </x:c>
      <x:c r="I587" s="77" t="str">
        <x:f>IF(A587="","",IF(E587="","기타/불명",IF(IFERROR(SEARCH("급여",E587),0)&gt;0,"인건비",IF(IFERROR(SEARCH("임차",E587),0)&gt;0,"임차·시설",IF(IFERROR(SEARCH("광고",E587),0)&gt;0,"광고·행사",IF(IFERROR(SEARCH("용역",E587),0)&gt;0,"용역·수수료","기타/불명"))))))</x:f>
      </x:c>
      <x:c r="J587" s="77" t="str">
        <x:f>IF(A587="","",IF(I587="기타/불명","확인 필요","결의서명으로 1차 확인"))</x:f>
      </x:c>
      <x:c r="K587" s="78"/>
    </x:row>
    <x:row r="588">
      <x:c r="A588" s="73"/>
      <x:c r="B588" s="73"/>
      <x:c r="C588" s="74"/>
      <x:c r="D588" s="73"/>
      <x:c r="E588" s="73"/>
      <x:c r="F588" s="75"/>
      <x:c r="G588" s="75"/>
      <x:c r="H588" s="76" t="str">
        <x:f>IF(A588="","",F588-G588)</x:f>
      </x:c>
      <x:c r="I588" s="77" t="str">
        <x:f>IF(A588="","",IF(E588="","기타/불명",IF(IFERROR(SEARCH("급여",E588),0)&gt;0,"인건비",IF(IFERROR(SEARCH("임차",E588),0)&gt;0,"임차·시설",IF(IFERROR(SEARCH("광고",E588),0)&gt;0,"광고·행사",IF(IFERROR(SEARCH("용역",E588),0)&gt;0,"용역·수수료","기타/불명"))))))</x:f>
      </x:c>
      <x:c r="J588" s="77" t="str">
        <x:f>IF(A588="","",IF(I588="기타/불명","확인 필요","결의서명으로 1차 확인"))</x:f>
      </x:c>
      <x:c r="K588" s="78"/>
    </x:row>
    <x:row r="589">
      <x:c r="A589" s="73"/>
      <x:c r="B589" s="73"/>
      <x:c r="C589" s="74"/>
      <x:c r="D589" s="73"/>
      <x:c r="E589" s="73"/>
      <x:c r="F589" s="75"/>
      <x:c r="G589" s="75"/>
      <x:c r="H589" s="76" t="str">
        <x:f>IF(A589="","",F589-G589)</x:f>
      </x:c>
      <x:c r="I589" s="77" t="str">
        <x:f>IF(A589="","",IF(E589="","기타/불명",IF(IFERROR(SEARCH("급여",E589),0)&gt;0,"인건비",IF(IFERROR(SEARCH("임차",E589),0)&gt;0,"임차·시설",IF(IFERROR(SEARCH("광고",E589),0)&gt;0,"광고·행사",IF(IFERROR(SEARCH("용역",E589),0)&gt;0,"용역·수수료","기타/불명"))))))</x:f>
      </x:c>
      <x:c r="J589" s="77" t="str">
        <x:f>IF(A589="","",IF(I589="기타/불명","확인 필요","결의서명으로 1차 확인"))</x:f>
      </x:c>
      <x:c r="K589" s="78"/>
    </x:row>
    <x:row r="590">
      <x:c r="A590" s="73"/>
      <x:c r="B590" s="73"/>
      <x:c r="C590" s="74"/>
      <x:c r="D590" s="73"/>
      <x:c r="E590" s="73"/>
      <x:c r="F590" s="75"/>
      <x:c r="G590" s="75"/>
      <x:c r="H590" s="76" t="str">
        <x:f>IF(A590="","",F590-G590)</x:f>
      </x:c>
      <x:c r="I590" s="77" t="str">
        <x:f>IF(A590="","",IF(E590="","기타/불명",IF(IFERROR(SEARCH("급여",E590),0)&gt;0,"인건비",IF(IFERROR(SEARCH("임차",E590),0)&gt;0,"임차·시설",IF(IFERROR(SEARCH("광고",E590),0)&gt;0,"광고·행사",IF(IFERROR(SEARCH("용역",E590),0)&gt;0,"용역·수수료","기타/불명"))))))</x:f>
      </x:c>
      <x:c r="J590" s="77" t="str">
        <x:f>IF(A590="","",IF(I590="기타/불명","확인 필요","결의서명으로 1차 확인"))</x:f>
      </x:c>
      <x:c r="K590" s="78"/>
    </x:row>
    <x:row r="591">
      <x:c r="A591" s="73"/>
      <x:c r="B591" s="73"/>
      <x:c r="C591" s="74"/>
      <x:c r="D591" s="73"/>
      <x:c r="E591" s="73"/>
      <x:c r="F591" s="75"/>
      <x:c r="G591" s="75"/>
      <x:c r="H591" s="76" t="str">
        <x:f>IF(A591="","",F591-G591)</x:f>
      </x:c>
      <x:c r="I591" s="77" t="str">
        <x:f>IF(A591="","",IF(E591="","기타/불명",IF(IFERROR(SEARCH("급여",E591),0)&gt;0,"인건비",IF(IFERROR(SEARCH("임차",E591),0)&gt;0,"임차·시설",IF(IFERROR(SEARCH("광고",E591),0)&gt;0,"광고·행사",IF(IFERROR(SEARCH("용역",E591),0)&gt;0,"용역·수수료","기타/불명"))))))</x:f>
      </x:c>
      <x:c r="J591" s="77" t="str">
        <x:f>IF(A591="","",IF(I591="기타/불명","확인 필요","결의서명으로 1차 확인"))</x:f>
      </x:c>
      <x:c r="K591" s="78"/>
    </x:row>
    <x:row r="592">
      <x:c r="A592" s="73"/>
      <x:c r="B592" s="73"/>
      <x:c r="C592" s="74"/>
      <x:c r="D592" s="73"/>
      <x:c r="E592" s="73"/>
      <x:c r="F592" s="75"/>
      <x:c r="G592" s="75"/>
      <x:c r="H592" s="76" t="str">
        <x:f>IF(A592="","",F592-G592)</x:f>
      </x:c>
      <x:c r="I592" s="77" t="str">
        <x:f>IF(A592="","",IF(E592="","기타/불명",IF(IFERROR(SEARCH("급여",E592),0)&gt;0,"인건비",IF(IFERROR(SEARCH("임차",E592),0)&gt;0,"임차·시설",IF(IFERROR(SEARCH("광고",E592),0)&gt;0,"광고·행사",IF(IFERROR(SEARCH("용역",E592),0)&gt;0,"용역·수수료","기타/불명"))))))</x:f>
      </x:c>
      <x:c r="J592" s="77" t="str">
        <x:f>IF(A592="","",IF(I592="기타/불명","확인 필요","결의서명으로 1차 확인"))</x:f>
      </x:c>
      <x:c r="K592" s="78"/>
    </x:row>
    <x:row r="593">
      <x:c r="A593" s="73"/>
      <x:c r="B593" s="73"/>
      <x:c r="C593" s="74"/>
      <x:c r="D593" s="73"/>
      <x:c r="E593" s="73"/>
      <x:c r="F593" s="75"/>
      <x:c r="G593" s="75"/>
      <x:c r="H593" s="76" t="str">
        <x:f>IF(A593="","",F593-G593)</x:f>
      </x:c>
      <x:c r="I593" s="77" t="str">
        <x:f>IF(A593="","",IF(E593="","기타/불명",IF(IFERROR(SEARCH("급여",E593),0)&gt;0,"인건비",IF(IFERROR(SEARCH("임차",E593),0)&gt;0,"임차·시설",IF(IFERROR(SEARCH("광고",E593),0)&gt;0,"광고·행사",IF(IFERROR(SEARCH("용역",E593),0)&gt;0,"용역·수수료","기타/불명"))))))</x:f>
      </x:c>
      <x:c r="J593" s="77" t="str">
        <x:f>IF(A593="","",IF(I593="기타/불명","확인 필요","결의서명으로 1차 확인"))</x:f>
      </x:c>
      <x:c r="K593" s="78"/>
    </x:row>
    <x:row r="594">
      <x:c r="A594" s="73"/>
      <x:c r="B594" s="73"/>
      <x:c r="C594" s="74"/>
      <x:c r="D594" s="73"/>
      <x:c r="E594" s="73"/>
      <x:c r="F594" s="75"/>
      <x:c r="G594" s="75"/>
      <x:c r="H594" s="76" t="str">
        <x:f>IF(A594="","",F594-G594)</x:f>
      </x:c>
      <x:c r="I594" s="77" t="str">
        <x:f>IF(A594="","",IF(E594="","기타/불명",IF(IFERROR(SEARCH("급여",E594),0)&gt;0,"인건비",IF(IFERROR(SEARCH("임차",E594),0)&gt;0,"임차·시설",IF(IFERROR(SEARCH("광고",E594),0)&gt;0,"광고·행사",IF(IFERROR(SEARCH("용역",E594),0)&gt;0,"용역·수수료","기타/불명"))))))</x:f>
      </x:c>
      <x:c r="J594" s="77" t="str">
        <x:f>IF(A594="","",IF(I594="기타/불명","확인 필요","결의서명으로 1차 확인"))</x:f>
      </x:c>
      <x:c r="K594" s="78"/>
    </x:row>
    <x:row r="595">
      <x:c r="A595" s="73"/>
      <x:c r="B595" s="73"/>
      <x:c r="C595" s="74"/>
      <x:c r="D595" s="73"/>
      <x:c r="E595" s="73"/>
      <x:c r="F595" s="75"/>
      <x:c r="G595" s="75"/>
      <x:c r="H595" s="76" t="str">
        <x:f>IF(A595="","",F595-G595)</x:f>
      </x:c>
      <x:c r="I595" s="77" t="str">
        <x:f>IF(A595="","",IF(E595="","기타/불명",IF(IFERROR(SEARCH("급여",E595),0)&gt;0,"인건비",IF(IFERROR(SEARCH("임차",E595),0)&gt;0,"임차·시설",IF(IFERROR(SEARCH("광고",E595),0)&gt;0,"광고·행사",IF(IFERROR(SEARCH("용역",E595),0)&gt;0,"용역·수수료","기타/불명"))))))</x:f>
      </x:c>
      <x:c r="J595" s="77" t="str">
        <x:f>IF(A595="","",IF(I595="기타/불명","확인 필요","결의서명으로 1차 확인"))</x:f>
      </x:c>
      <x:c r="K595" s="78"/>
    </x:row>
    <x:row r="596">
      <x:c r="A596" s="73"/>
      <x:c r="B596" s="73"/>
      <x:c r="C596" s="74"/>
      <x:c r="D596" s="73"/>
      <x:c r="E596" s="73"/>
      <x:c r="F596" s="75"/>
      <x:c r="G596" s="75"/>
      <x:c r="H596" s="76" t="str">
        <x:f>IF(A596="","",F596-G596)</x:f>
      </x:c>
      <x:c r="I596" s="77" t="str">
        <x:f>IF(A596="","",IF(E596="","기타/불명",IF(IFERROR(SEARCH("급여",E596),0)&gt;0,"인건비",IF(IFERROR(SEARCH("임차",E596),0)&gt;0,"임차·시설",IF(IFERROR(SEARCH("광고",E596),0)&gt;0,"광고·행사",IF(IFERROR(SEARCH("용역",E596),0)&gt;0,"용역·수수료","기타/불명"))))))</x:f>
      </x:c>
      <x:c r="J596" s="77" t="str">
        <x:f>IF(A596="","",IF(I596="기타/불명","확인 필요","결의서명으로 1차 확인"))</x:f>
      </x:c>
      <x:c r="K596" s="78"/>
    </x:row>
    <x:row r="597">
      <x:c r="A597" s="73"/>
      <x:c r="B597" s="73"/>
      <x:c r="C597" s="74"/>
      <x:c r="D597" s="73"/>
      <x:c r="E597" s="73"/>
      <x:c r="F597" s="75"/>
      <x:c r="G597" s="75"/>
      <x:c r="H597" s="76" t="str">
        <x:f>IF(A597="","",F597-G597)</x:f>
      </x:c>
      <x:c r="I597" s="77" t="str">
        <x:f>IF(A597="","",IF(E597="","기타/불명",IF(IFERROR(SEARCH("급여",E597),0)&gt;0,"인건비",IF(IFERROR(SEARCH("임차",E597),0)&gt;0,"임차·시설",IF(IFERROR(SEARCH("광고",E597),0)&gt;0,"광고·행사",IF(IFERROR(SEARCH("용역",E597),0)&gt;0,"용역·수수료","기타/불명"))))))</x:f>
      </x:c>
      <x:c r="J597" s="77" t="str">
        <x:f>IF(A597="","",IF(I597="기타/불명","확인 필요","결의서명으로 1차 확인"))</x:f>
      </x:c>
      <x:c r="K597" s="78"/>
    </x:row>
    <x:row r="598">
      <x:c r="A598" s="73"/>
      <x:c r="B598" s="73"/>
      <x:c r="C598" s="74"/>
      <x:c r="D598" s="73"/>
      <x:c r="E598" s="73"/>
      <x:c r="F598" s="75"/>
      <x:c r="G598" s="75"/>
      <x:c r="H598" s="76" t="str">
        <x:f>IF(A598="","",F598-G598)</x:f>
      </x:c>
      <x:c r="I598" s="77" t="str">
        <x:f>IF(A598="","",IF(E598="","기타/불명",IF(IFERROR(SEARCH("급여",E598),0)&gt;0,"인건비",IF(IFERROR(SEARCH("임차",E598),0)&gt;0,"임차·시설",IF(IFERROR(SEARCH("광고",E598),0)&gt;0,"광고·행사",IF(IFERROR(SEARCH("용역",E598),0)&gt;0,"용역·수수료","기타/불명"))))))</x:f>
      </x:c>
      <x:c r="J598" s="77" t="str">
        <x:f>IF(A598="","",IF(I598="기타/불명","확인 필요","결의서명으로 1차 확인"))</x:f>
      </x:c>
      <x:c r="K598" s="78"/>
    </x:row>
    <x:row r="599">
      <x:c r="A599" s="73"/>
      <x:c r="B599" s="73"/>
      <x:c r="C599" s="74"/>
      <x:c r="D599" s="73"/>
      <x:c r="E599" s="73"/>
      <x:c r="F599" s="75"/>
      <x:c r="G599" s="75"/>
      <x:c r="H599" s="76" t="str">
        <x:f>IF(A599="","",F599-G599)</x:f>
      </x:c>
      <x:c r="I599" s="77" t="str">
        <x:f>IF(A599="","",IF(E599="","기타/불명",IF(IFERROR(SEARCH("급여",E599),0)&gt;0,"인건비",IF(IFERROR(SEARCH("임차",E599),0)&gt;0,"임차·시설",IF(IFERROR(SEARCH("광고",E599),0)&gt;0,"광고·행사",IF(IFERROR(SEARCH("용역",E599),0)&gt;0,"용역·수수료","기타/불명"))))))</x:f>
      </x:c>
      <x:c r="J599" s="77" t="str">
        <x:f>IF(A599="","",IF(I599="기타/불명","확인 필요","결의서명으로 1차 확인"))</x:f>
      </x:c>
      <x:c r="K599" s="78"/>
    </x:row>
    <x:row r="600">
      <x:c r="A600" s="73"/>
      <x:c r="B600" s="73"/>
      <x:c r="C600" s="74"/>
      <x:c r="D600" s="73"/>
      <x:c r="E600" s="73"/>
      <x:c r="F600" s="75"/>
      <x:c r="G600" s="75"/>
      <x:c r="H600" s="76" t="str">
        <x:f>IF(A600="","",F600-G600)</x:f>
      </x:c>
      <x:c r="I600" s="77" t="str">
        <x:f>IF(A600="","",IF(E600="","기타/불명",IF(IFERROR(SEARCH("급여",E600),0)&gt;0,"인건비",IF(IFERROR(SEARCH("임차",E600),0)&gt;0,"임차·시설",IF(IFERROR(SEARCH("광고",E600),0)&gt;0,"광고·행사",IF(IFERROR(SEARCH("용역",E600),0)&gt;0,"용역·수수료","기타/불명"))))))</x:f>
      </x:c>
      <x:c r="J600" s="77" t="str">
        <x:f>IF(A600="","",IF(I600="기타/불명","확인 필요","결의서명으로 1차 확인"))</x:f>
      </x:c>
      <x:c r="K600" s="78"/>
    </x:row>
    <x:row r="601">
      <x:c r="A601" s="73"/>
      <x:c r="B601" s="73"/>
      <x:c r="C601" s="74"/>
      <x:c r="D601" s="73"/>
      <x:c r="E601" s="73"/>
      <x:c r="F601" s="75"/>
      <x:c r="G601" s="75"/>
      <x:c r="H601" s="76" t="str">
        <x:f>IF(A601="","",F601-G601)</x:f>
      </x:c>
      <x:c r="I601" s="77" t="str">
        <x:f>IF(A601="","",IF(E601="","기타/불명",IF(IFERROR(SEARCH("급여",E601),0)&gt;0,"인건비",IF(IFERROR(SEARCH("임차",E601),0)&gt;0,"임차·시설",IF(IFERROR(SEARCH("광고",E601),0)&gt;0,"광고·행사",IF(IFERROR(SEARCH("용역",E601),0)&gt;0,"용역·수수료","기타/불명"))))))</x:f>
      </x:c>
      <x:c r="J601" s="77" t="str">
        <x:f>IF(A601="","",IF(I601="기타/불명","확인 필요","결의서명으로 1차 확인"))</x:f>
      </x:c>
      <x:c r="K601" s="78"/>
    </x:row>
    <x:row r="602">
      <x:c r="A602" s="73"/>
      <x:c r="B602" s="73"/>
      <x:c r="C602" s="74"/>
      <x:c r="D602" s="73"/>
      <x:c r="E602" s="73"/>
      <x:c r="F602" s="75"/>
      <x:c r="G602" s="75"/>
      <x:c r="H602" s="76" t="str">
        <x:f>IF(A602="","",F602-G602)</x:f>
      </x:c>
      <x:c r="I602" s="77" t="str">
        <x:f>IF(A602="","",IF(E602="","기타/불명",IF(IFERROR(SEARCH("급여",E602),0)&gt;0,"인건비",IF(IFERROR(SEARCH("임차",E602),0)&gt;0,"임차·시설",IF(IFERROR(SEARCH("광고",E602),0)&gt;0,"광고·행사",IF(IFERROR(SEARCH("용역",E602),0)&gt;0,"용역·수수료","기타/불명"))))))</x:f>
      </x:c>
      <x:c r="J602" s="77" t="str">
        <x:f>IF(A602="","",IF(I602="기타/불명","확인 필요","결의서명으로 1차 확인"))</x:f>
      </x:c>
      <x:c r="K602" s="78"/>
    </x:row>
    <x:row r="603">
      <x:c r="A603" s="73"/>
      <x:c r="B603" s="73"/>
      <x:c r="C603" s="74"/>
      <x:c r="D603" s="73"/>
      <x:c r="E603" s="73"/>
      <x:c r="F603" s="75"/>
      <x:c r="G603" s="75"/>
      <x:c r="H603" s="76" t="str">
        <x:f>IF(A603="","",F603-G603)</x:f>
      </x:c>
      <x:c r="I603" s="77" t="str">
        <x:f>IF(A603="","",IF(E603="","기타/불명",IF(IFERROR(SEARCH("급여",E603),0)&gt;0,"인건비",IF(IFERROR(SEARCH("임차",E603),0)&gt;0,"임차·시설",IF(IFERROR(SEARCH("광고",E603),0)&gt;0,"광고·행사",IF(IFERROR(SEARCH("용역",E603),0)&gt;0,"용역·수수료","기타/불명"))))))</x:f>
      </x:c>
      <x:c r="J603" s="77" t="str">
        <x:f>IF(A603="","",IF(I603="기타/불명","확인 필요","결의서명으로 1차 확인"))</x:f>
      </x:c>
      <x:c r="K603" s="78"/>
    </x:row>
    <x:row r="604">
      <x:c r="A604" s="73"/>
      <x:c r="B604" s="73"/>
      <x:c r="C604" s="74"/>
      <x:c r="D604" s="73"/>
      <x:c r="E604" s="73"/>
      <x:c r="F604" s="75"/>
      <x:c r="G604" s="75"/>
      <x:c r="H604" s="76" t="str">
        <x:f>IF(A604="","",F604-G604)</x:f>
      </x:c>
      <x:c r="I604" s="77" t="str">
        <x:f>IF(A604="","",IF(E604="","기타/불명",IF(IFERROR(SEARCH("급여",E604),0)&gt;0,"인건비",IF(IFERROR(SEARCH("임차",E604),0)&gt;0,"임차·시설",IF(IFERROR(SEARCH("광고",E604),0)&gt;0,"광고·행사",IF(IFERROR(SEARCH("용역",E604),0)&gt;0,"용역·수수료","기타/불명"))))))</x:f>
      </x:c>
      <x:c r="J604" s="77" t="str">
        <x:f>IF(A604="","",IF(I604="기타/불명","확인 필요","결의서명으로 1차 확인"))</x:f>
      </x:c>
      <x:c r="K604" s="78"/>
    </x:row>
    <x:row r="605">
      <x:c r="A605" s="73"/>
      <x:c r="B605" s="73"/>
      <x:c r="C605" s="74"/>
      <x:c r="D605" s="73"/>
      <x:c r="E605" s="73"/>
      <x:c r="F605" s="75"/>
      <x:c r="G605" s="75"/>
      <x:c r="H605" s="76" t="str">
        <x:f>IF(A605="","",F605-G605)</x:f>
      </x:c>
      <x:c r="I605" s="77" t="str">
        <x:f>IF(A605="","",IF(E605="","기타/불명",IF(IFERROR(SEARCH("급여",E605),0)&gt;0,"인건비",IF(IFERROR(SEARCH("임차",E605),0)&gt;0,"임차·시설",IF(IFERROR(SEARCH("광고",E605),0)&gt;0,"광고·행사",IF(IFERROR(SEARCH("용역",E605),0)&gt;0,"용역·수수료","기타/불명"))))))</x:f>
      </x:c>
      <x:c r="J605" s="77" t="str">
        <x:f>IF(A605="","",IF(I605="기타/불명","확인 필요","결의서명으로 1차 확인"))</x:f>
      </x:c>
      <x:c r="K605" s="78"/>
    </x:row>
    <x:row r="606">
      <x:c r="A606" s="73"/>
      <x:c r="B606" s="73"/>
      <x:c r="C606" s="74"/>
      <x:c r="D606" s="73"/>
      <x:c r="E606" s="73"/>
      <x:c r="F606" s="75"/>
      <x:c r="G606" s="75"/>
      <x:c r="H606" s="76" t="str">
        <x:f>IF(A606="","",F606-G606)</x:f>
      </x:c>
      <x:c r="I606" s="77" t="str">
        <x:f>IF(A606="","",IF(E606="","기타/불명",IF(IFERROR(SEARCH("급여",E606),0)&gt;0,"인건비",IF(IFERROR(SEARCH("임차",E606),0)&gt;0,"임차·시설",IF(IFERROR(SEARCH("광고",E606),0)&gt;0,"광고·행사",IF(IFERROR(SEARCH("용역",E606),0)&gt;0,"용역·수수료","기타/불명"))))))</x:f>
      </x:c>
      <x:c r="J606" s="77" t="str">
        <x:f>IF(A606="","",IF(I606="기타/불명","확인 필요","결의서명으로 1차 확인"))</x:f>
      </x:c>
      <x:c r="K606" s="78"/>
    </x:row>
    <x:row r="607">
      <x:c r="A607" s="73"/>
      <x:c r="B607" s="73"/>
      <x:c r="C607" s="74"/>
      <x:c r="D607" s="73"/>
      <x:c r="E607" s="73"/>
      <x:c r="F607" s="75"/>
      <x:c r="G607" s="75"/>
      <x:c r="H607" s="76" t="str">
        <x:f>IF(A607="","",F607-G607)</x:f>
      </x:c>
      <x:c r="I607" s="77" t="str">
        <x:f>IF(A607="","",IF(E607="","기타/불명",IF(IFERROR(SEARCH("급여",E607),0)&gt;0,"인건비",IF(IFERROR(SEARCH("임차",E607),0)&gt;0,"임차·시설",IF(IFERROR(SEARCH("광고",E607),0)&gt;0,"광고·행사",IF(IFERROR(SEARCH("용역",E607),0)&gt;0,"용역·수수료","기타/불명"))))))</x:f>
      </x:c>
      <x:c r="J607" s="77" t="str">
        <x:f>IF(A607="","",IF(I607="기타/불명","확인 필요","결의서명으로 1차 확인"))</x:f>
      </x:c>
      <x:c r="K607" s="78"/>
    </x:row>
    <x:row r="608">
      <x:c r="A608" s="73"/>
      <x:c r="B608" s="73"/>
      <x:c r="C608" s="74"/>
      <x:c r="D608" s="73"/>
      <x:c r="E608" s="73"/>
      <x:c r="F608" s="75"/>
      <x:c r="G608" s="75"/>
      <x:c r="H608" s="76" t="str">
        <x:f>IF(A608="","",F608-G608)</x:f>
      </x:c>
      <x:c r="I608" s="77" t="str">
        <x:f>IF(A608="","",IF(E608="","기타/불명",IF(IFERROR(SEARCH("급여",E608),0)&gt;0,"인건비",IF(IFERROR(SEARCH("임차",E608),0)&gt;0,"임차·시설",IF(IFERROR(SEARCH("광고",E608),0)&gt;0,"광고·행사",IF(IFERROR(SEARCH("용역",E608),0)&gt;0,"용역·수수료","기타/불명"))))))</x:f>
      </x:c>
      <x:c r="J608" s="77" t="str">
        <x:f>IF(A608="","",IF(I608="기타/불명","확인 필요","결의서명으로 1차 확인"))</x:f>
      </x:c>
      <x:c r="K608" s="78"/>
    </x:row>
    <x:row r="609">
      <x:c r="A609" s="73"/>
      <x:c r="B609" s="73"/>
      <x:c r="C609" s="74"/>
      <x:c r="D609" s="73"/>
      <x:c r="E609" s="73"/>
      <x:c r="F609" s="75"/>
      <x:c r="G609" s="75"/>
      <x:c r="H609" s="76" t="str">
        <x:f>IF(A609="","",F609-G609)</x:f>
      </x:c>
      <x:c r="I609" s="77" t="str">
        <x:f>IF(A609="","",IF(E609="","기타/불명",IF(IFERROR(SEARCH("급여",E609),0)&gt;0,"인건비",IF(IFERROR(SEARCH("임차",E609),0)&gt;0,"임차·시설",IF(IFERROR(SEARCH("광고",E609),0)&gt;0,"광고·행사",IF(IFERROR(SEARCH("용역",E609),0)&gt;0,"용역·수수료","기타/불명"))))))</x:f>
      </x:c>
      <x:c r="J609" s="77" t="str">
        <x:f>IF(A609="","",IF(I609="기타/불명","확인 필요","결의서명으로 1차 확인"))</x:f>
      </x:c>
      <x:c r="K609" s="78"/>
    </x:row>
    <x:row r="610">
      <x:c r="A610" s="73"/>
      <x:c r="B610" s="73"/>
      <x:c r="C610" s="74"/>
      <x:c r="D610" s="73"/>
      <x:c r="E610" s="73"/>
      <x:c r="F610" s="75"/>
      <x:c r="G610" s="75"/>
      <x:c r="H610" s="76" t="str">
        <x:f>IF(A610="","",F610-G610)</x:f>
      </x:c>
      <x:c r="I610" s="77" t="str">
        <x:f>IF(A610="","",IF(E610="","기타/불명",IF(IFERROR(SEARCH("급여",E610),0)&gt;0,"인건비",IF(IFERROR(SEARCH("임차",E610),0)&gt;0,"임차·시설",IF(IFERROR(SEARCH("광고",E610),0)&gt;0,"광고·행사",IF(IFERROR(SEARCH("용역",E610),0)&gt;0,"용역·수수료","기타/불명"))))))</x:f>
      </x:c>
      <x:c r="J610" s="77" t="str">
        <x:f>IF(A610="","",IF(I610="기타/불명","확인 필요","결의서명으로 1차 확인"))</x:f>
      </x:c>
      <x:c r="K610" s="78"/>
    </x:row>
    <x:row r="611">
      <x:c r="A611" s="73"/>
      <x:c r="B611" s="73"/>
      <x:c r="C611" s="74"/>
      <x:c r="D611" s="73"/>
      <x:c r="E611" s="73"/>
      <x:c r="F611" s="75"/>
      <x:c r="G611" s="75"/>
      <x:c r="H611" s="76" t="str">
        <x:f>IF(A611="","",F611-G611)</x:f>
      </x:c>
      <x:c r="I611" s="77" t="str">
        <x:f>IF(A611="","",IF(E611="","기타/불명",IF(IFERROR(SEARCH("급여",E611),0)&gt;0,"인건비",IF(IFERROR(SEARCH("임차",E611),0)&gt;0,"임차·시설",IF(IFERROR(SEARCH("광고",E611),0)&gt;0,"광고·행사",IF(IFERROR(SEARCH("용역",E611),0)&gt;0,"용역·수수료","기타/불명"))))))</x:f>
      </x:c>
      <x:c r="J611" s="77" t="str">
        <x:f>IF(A611="","",IF(I611="기타/불명","확인 필요","결의서명으로 1차 확인"))</x:f>
      </x:c>
      <x:c r="K611" s="78"/>
    </x:row>
    <x:row r="612">
      <x:c r="A612" s="73"/>
      <x:c r="B612" s="73"/>
      <x:c r="C612" s="74"/>
      <x:c r="D612" s="73"/>
      <x:c r="E612" s="73"/>
      <x:c r="F612" s="75"/>
      <x:c r="G612" s="75"/>
      <x:c r="H612" s="76" t="str">
        <x:f>IF(A612="","",F612-G612)</x:f>
      </x:c>
      <x:c r="I612" s="77" t="str">
        <x:f>IF(A612="","",IF(E612="","기타/불명",IF(IFERROR(SEARCH("급여",E612),0)&gt;0,"인건비",IF(IFERROR(SEARCH("임차",E612),0)&gt;0,"임차·시설",IF(IFERROR(SEARCH("광고",E612),0)&gt;0,"광고·행사",IF(IFERROR(SEARCH("용역",E612),0)&gt;0,"용역·수수료","기타/불명"))))))</x:f>
      </x:c>
      <x:c r="J612" s="77" t="str">
        <x:f>IF(A612="","",IF(I612="기타/불명","확인 필요","결의서명으로 1차 확인"))</x:f>
      </x:c>
      <x:c r="K612" s="78"/>
    </x:row>
    <x:row r="613">
      <x:c r="A613" s="73"/>
      <x:c r="B613" s="73"/>
      <x:c r="C613" s="74"/>
      <x:c r="D613" s="73"/>
      <x:c r="E613" s="73"/>
      <x:c r="F613" s="75"/>
      <x:c r="G613" s="75"/>
      <x:c r="H613" s="76" t="str">
        <x:f>IF(A613="","",F613-G613)</x:f>
      </x:c>
      <x:c r="I613" s="77" t="str">
        <x:f>IF(A613="","",IF(E613="","기타/불명",IF(IFERROR(SEARCH("급여",E613),0)&gt;0,"인건비",IF(IFERROR(SEARCH("임차",E613),0)&gt;0,"임차·시설",IF(IFERROR(SEARCH("광고",E613),0)&gt;0,"광고·행사",IF(IFERROR(SEARCH("용역",E613),0)&gt;0,"용역·수수료","기타/불명"))))))</x:f>
      </x:c>
      <x:c r="J613" s="77" t="str">
        <x:f>IF(A613="","",IF(I613="기타/불명","확인 필요","결의서명으로 1차 확인"))</x:f>
      </x:c>
      <x:c r="K613" s="78"/>
    </x:row>
    <x:row r="614">
      <x:c r="A614" s="73"/>
      <x:c r="B614" s="73"/>
      <x:c r="C614" s="74"/>
      <x:c r="D614" s="73"/>
      <x:c r="E614" s="73"/>
      <x:c r="F614" s="75"/>
      <x:c r="G614" s="75"/>
      <x:c r="H614" s="76" t="str">
        <x:f>IF(A614="","",F614-G614)</x:f>
      </x:c>
      <x:c r="I614" s="77" t="str">
        <x:f>IF(A614="","",IF(E614="","기타/불명",IF(IFERROR(SEARCH("급여",E614),0)&gt;0,"인건비",IF(IFERROR(SEARCH("임차",E614),0)&gt;0,"임차·시설",IF(IFERROR(SEARCH("광고",E614),0)&gt;0,"광고·행사",IF(IFERROR(SEARCH("용역",E614),0)&gt;0,"용역·수수료","기타/불명"))))))</x:f>
      </x:c>
      <x:c r="J614" s="77" t="str">
        <x:f>IF(A614="","",IF(I614="기타/불명","확인 필요","결의서명으로 1차 확인"))</x:f>
      </x:c>
      <x:c r="K614" s="78"/>
    </x:row>
    <x:row r="615">
      <x:c r="A615" s="73"/>
      <x:c r="B615" s="73"/>
      <x:c r="C615" s="74"/>
      <x:c r="D615" s="73"/>
      <x:c r="E615" s="73"/>
      <x:c r="F615" s="75"/>
      <x:c r="G615" s="75"/>
      <x:c r="H615" s="76" t="str">
        <x:f>IF(A615="","",F615-G615)</x:f>
      </x:c>
      <x:c r="I615" s="77" t="str">
        <x:f>IF(A615="","",IF(E615="","기타/불명",IF(IFERROR(SEARCH("급여",E615),0)&gt;0,"인건비",IF(IFERROR(SEARCH("임차",E615),0)&gt;0,"임차·시설",IF(IFERROR(SEARCH("광고",E615),0)&gt;0,"광고·행사",IF(IFERROR(SEARCH("용역",E615),0)&gt;0,"용역·수수료","기타/불명"))))))</x:f>
      </x:c>
      <x:c r="J615" s="77" t="str">
        <x:f>IF(A615="","",IF(I615="기타/불명","확인 필요","결의서명으로 1차 확인"))</x:f>
      </x:c>
      <x:c r="K615" s="78"/>
    </x:row>
    <x:row r="616">
      <x:c r="A616" s="73"/>
      <x:c r="B616" s="73"/>
      <x:c r="C616" s="74"/>
      <x:c r="D616" s="73"/>
      <x:c r="E616" s="73"/>
      <x:c r="F616" s="75"/>
      <x:c r="G616" s="75"/>
      <x:c r="H616" s="76" t="str">
        <x:f>IF(A616="","",F616-G616)</x:f>
      </x:c>
      <x:c r="I616" s="77" t="str">
        <x:f>IF(A616="","",IF(E616="","기타/불명",IF(IFERROR(SEARCH("급여",E616),0)&gt;0,"인건비",IF(IFERROR(SEARCH("임차",E616),0)&gt;0,"임차·시설",IF(IFERROR(SEARCH("광고",E616),0)&gt;0,"광고·행사",IF(IFERROR(SEARCH("용역",E616),0)&gt;0,"용역·수수료","기타/불명"))))))</x:f>
      </x:c>
      <x:c r="J616" s="77" t="str">
        <x:f>IF(A616="","",IF(I616="기타/불명","확인 필요","결의서명으로 1차 확인"))</x:f>
      </x:c>
      <x:c r="K616" s="78"/>
    </x:row>
    <x:row r="617">
      <x:c r="A617" s="73"/>
      <x:c r="B617" s="73"/>
      <x:c r="C617" s="74"/>
      <x:c r="D617" s="73"/>
      <x:c r="E617" s="73"/>
      <x:c r="F617" s="75"/>
      <x:c r="G617" s="75"/>
      <x:c r="H617" s="76" t="str">
        <x:f>IF(A617="","",F617-G617)</x:f>
      </x:c>
      <x:c r="I617" s="77" t="str">
        <x:f>IF(A617="","",IF(E617="","기타/불명",IF(IFERROR(SEARCH("급여",E617),0)&gt;0,"인건비",IF(IFERROR(SEARCH("임차",E617),0)&gt;0,"임차·시설",IF(IFERROR(SEARCH("광고",E617),0)&gt;0,"광고·행사",IF(IFERROR(SEARCH("용역",E617),0)&gt;0,"용역·수수료","기타/불명"))))))</x:f>
      </x:c>
      <x:c r="J617" s="77" t="str">
        <x:f>IF(A617="","",IF(I617="기타/불명","확인 필요","결의서명으로 1차 확인"))</x:f>
      </x:c>
      <x:c r="K617" s="78"/>
    </x:row>
    <x:row r="618">
      <x:c r="A618" s="73"/>
      <x:c r="B618" s="73"/>
      <x:c r="C618" s="74"/>
      <x:c r="D618" s="73"/>
      <x:c r="E618" s="73"/>
      <x:c r="F618" s="75"/>
      <x:c r="G618" s="75"/>
      <x:c r="H618" s="76" t="str">
        <x:f>IF(A618="","",F618-G618)</x:f>
      </x:c>
      <x:c r="I618" s="77" t="str">
        <x:f>IF(A618="","",IF(E618="","기타/불명",IF(IFERROR(SEARCH("급여",E618),0)&gt;0,"인건비",IF(IFERROR(SEARCH("임차",E618),0)&gt;0,"임차·시설",IF(IFERROR(SEARCH("광고",E618),0)&gt;0,"광고·행사",IF(IFERROR(SEARCH("용역",E618),0)&gt;0,"용역·수수료","기타/불명"))))))</x:f>
      </x:c>
      <x:c r="J618" s="77" t="str">
        <x:f>IF(A618="","",IF(I618="기타/불명","확인 필요","결의서명으로 1차 확인"))</x:f>
      </x:c>
      <x:c r="K618" s="78"/>
    </x:row>
    <x:row r="619">
      <x:c r="A619" s="73"/>
      <x:c r="B619" s="73"/>
      <x:c r="C619" s="74"/>
      <x:c r="D619" s="73"/>
      <x:c r="E619" s="73"/>
      <x:c r="F619" s="75"/>
      <x:c r="G619" s="75"/>
      <x:c r="H619" s="76" t="str">
        <x:f>IF(A619="","",F619-G619)</x:f>
      </x:c>
      <x:c r="I619" s="77" t="str">
        <x:f>IF(A619="","",IF(E619="","기타/불명",IF(IFERROR(SEARCH("급여",E619),0)&gt;0,"인건비",IF(IFERROR(SEARCH("임차",E619),0)&gt;0,"임차·시설",IF(IFERROR(SEARCH("광고",E619),0)&gt;0,"광고·행사",IF(IFERROR(SEARCH("용역",E619),0)&gt;0,"용역·수수료","기타/불명"))))))</x:f>
      </x:c>
      <x:c r="J619" s="77" t="str">
        <x:f>IF(A619="","",IF(I619="기타/불명","확인 필요","결의서명으로 1차 확인"))</x:f>
      </x:c>
      <x:c r="K619" s="78"/>
    </x:row>
    <x:row r="620">
      <x:c r="A620" s="73"/>
      <x:c r="B620" s="73"/>
      <x:c r="C620" s="74"/>
      <x:c r="D620" s="73"/>
      <x:c r="E620" s="73"/>
      <x:c r="F620" s="75"/>
      <x:c r="G620" s="75"/>
      <x:c r="H620" s="76" t="str">
        <x:f>IF(A620="","",F620-G620)</x:f>
      </x:c>
      <x:c r="I620" s="77" t="str">
        <x:f>IF(A620="","",IF(E620="","기타/불명",IF(IFERROR(SEARCH("급여",E620),0)&gt;0,"인건비",IF(IFERROR(SEARCH("임차",E620),0)&gt;0,"임차·시설",IF(IFERROR(SEARCH("광고",E620),0)&gt;0,"광고·행사",IF(IFERROR(SEARCH("용역",E620),0)&gt;0,"용역·수수료","기타/불명"))))))</x:f>
      </x:c>
      <x:c r="J620" s="77" t="str">
        <x:f>IF(A620="","",IF(I620="기타/불명","확인 필요","결의서명으로 1차 확인"))</x:f>
      </x:c>
      <x:c r="K620" s="78"/>
    </x:row>
    <x:row r="621">
      <x:c r="A621" s="73"/>
      <x:c r="B621" s="73"/>
      <x:c r="C621" s="74"/>
      <x:c r="D621" s="73"/>
      <x:c r="E621" s="73"/>
      <x:c r="F621" s="75"/>
      <x:c r="G621" s="75"/>
      <x:c r="H621" s="76" t="str">
        <x:f>IF(A621="","",F621-G621)</x:f>
      </x:c>
      <x:c r="I621" s="77" t="str">
        <x:f>IF(A621="","",IF(E621="","기타/불명",IF(IFERROR(SEARCH("급여",E621),0)&gt;0,"인건비",IF(IFERROR(SEARCH("임차",E621),0)&gt;0,"임차·시설",IF(IFERROR(SEARCH("광고",E621),0)&gt;0,"광고·행사",IF(IFERROR(SEARCH("용역",E621),0)&gt;0,"용역·수수료","기타/불명"))))))</x:f>
      </x:c>
      <x:c r="J621" s="77" t="str">
        <x:f>IF(A621="","",IF(I621="기타/불명","확인 필요","결의서명으로 1차 확인"))</x:f>
      </x:c>
      <x:c r="K621" s="78"/>
    </x:row>
    <x:row r="622">
      <x:c r="A622" s="73"/>
      <x:c r="B622" s="73"/>
      <x:c r="C622" s="74"/>
      <x:c r="D622" s="73"/>
      <x:c r="E622" s="73"/>
      <x:c r="F622" s="75"/>
      <x:c r="G622" s="75"/>
      <x:c r="H622" s="76" t="str">
        <x:f>IF(A622="","",F622-G622)</x:f>
      </x:c>
      <x:c r="I622" s="77" t="str">
        <x:f>IF(A622="","",IF(E622="","기타/불명",IF(IFERROR(SEARCH("급여",E622),0)&gt;0,"인건비",IF(IFERROR(SEARCH("임차",E622),0)&gt;0,"임차·시설",IF(IFERROR(SEARCH("광고",E622),0)&gt;0,"광고·행사",IF(IFERROR(SEARCH("용역",E622),0)&gt;0,"용역·수수료","기타/불명"))))))</x:f>
      </x:c>
      <x:c r="J622" s="77" t="str">
        <x:f>IF(A622="","",IF(I622="기타/불명","확인 필요","결의서명으로 1차 확인"))</x:f>
      </x:c>
      <x:c r="K622" s="78"/>
    </x:row>
    <x:row r="623">
      <x:c r="A623" s="73"/>
      <x:c r="B623" s="73"/>
      <x:c r="C623" s="74"/>
      <x:c r="D623" s="73"/>
      <x:c r="E623" s="73"/>
      <x:c r="F623" s="75"/>
      <x:c r="G623" s="75"/>
      <x:c r="H623" s="76" t="str">
        <x:f>IF(A623="","",F623-G623)</x:f>
      </x:c>
      <x:c r="I623" s="77" t="str">
        <x:f>IF(A623="","",IF(E623="","기타/불명",IF(IFERROR(SEARCH("급여",E623),0)&gt;0,"인건비",IF(IFERROR(SEARCH("임차",E623),0)&gt;0,"임차·시설",IF(IFERROR(SEARCH("광고",E623),0)&gt;0,"광고·행사",IF(IFERROR(SEARCH("용역",E623),0)&gt;0,"용역·수수료","기타/불명"))))))</x:f>
      </x:c>
      <x:c r="J623" s="77" t="str">
        <x:f>IF(A623="","",IF(I623="기타/불명","확인 필요","결의서명으로 1차 확인"))</x:f>
      </x:c>
      <x:c r="K623" s="78"/>
    </x:row>
    <x:row r="624">
      <x:c r="A624" s="73"/>
      <x:c r="B624" s="73"/>
      <x:c r="C624" s="74"/>
      <x:c r="D624" s="73"/>
      <x:c r="E624" s="73"/>
      <x:c r="F624" s="75"/>
      <x:c r="G624" s="75"/>
      <x:c r="H624" s="76" t="str">
        <x:f>IF(A624="","",F624-G624)</x:f>
      </x:c>
      <x:c r="I624" s="77" t="str">
        <x:f>IF(A624="","",IF(E624="","기타/불명",IF(IFERROR(SEARCH("급여",E624),0)&gt;0,"인건비",IF(IFERROR(SEARCH("임차",E624),0)&gt;0,"임차·시설",IF(IFERROR(SEARCH("광고",E624),0)&gt;0,"광고·행사",IF(IFERROR(SEARCH("용역",E624),0)&gt;0,"용역·수수료","기타/불명"))))))</x:f>
      </x:c>
      <x:c r="J624" s="77" t="str">
        <x:f>IF(A624="","",IF(I624="기타/불명","확인 필요","결의서명으로 1차 확인"))</x:f>
      </x:c>
      <x:c r="K624" s="78"/>
    </x:row>
    <x:row r="625">
      <x:c r="A625" s="73"/>
      <x:c r="B625" s="73"/>
      <x:c r="C625" s="74"/>
      <x:c r="D625" s="73"/>
      <x:c r="E625" s="73"/>
      <x:c r="F625" s="75"/>
      <x:c r="G625" s="75"/>
      <x:c r="H625" s="76" t="str">
        <x:f>IF(A625="","",F625-G625)</x:f>
      </x:c>
      <x:c r="I625" s="77" t="str">
        <x:f>IF(A625="","",IF(E625="","기타/불명",IF(IFERROR(SEARCH("급여",E625),0)&gt;0,"인건비",IF(IFERROR(SEARCH("임차",E625),0)&gt;0,"임차·시설",IF(IFERROR(SEARCH("광고",E625),0)&gt;0,"광고·행사",IF(IFERROR(SEARCH("용역",E625),0)&gt;0,"용역·수수료","기타/불명"))))))</x:f>
      </x:c>
      <x:c r="J625" s="77" t="str">
        <x:f>IF(A625="","",IF(I625="기타/불명","확인 필요","결의서명으로 1차 확인"))</x:f>
      </x:c>
      <x:c r="K625" s="78"/>
    </x:row>
    <x:row r="626">
      <x:c r="A626" s="73"/>
      <x:c r="B626" s="73"/>
      <x:c r="C626" s="74"/>
      <x:c r="D626" s="73"/>
      <x:c r="E626" s="73"/>
      <x:c r="F626" s="75"/>
      <x:c r="G626" s="75"/>
      <x:c r="H626" s="76" t="str">
        <x:f>IF(A626="","",F626-G626)</x:f>
      </x:c>
      <x:c r="I626" s="77" t="str">
        <x:f>IF(A626="","",IF(E626="","기타/불명",IF(IFERROR(SEARCH("급여",E626),0)&gt;0,"인건비",IF(IFERROR(SEARCH("임차",E626),0)&gt;0,"임차·시설",IF(IFERROR(SEARCH("광고",E626),0)&gt;0,"광고·행사",IF(IFERROR(SEARCH("용역",E626),0)&gt;0,"용역·수수료","기타/불명"))))))</x:f>
      </x:c>
      <x:c r="J626" s="77" t="str">
        <x:f>IF(A626="","",IF(I626="기타/불명","확인 필요","결의서명으로 1차 확인"))</x:f>
      </x:c>
      <x:c r="K626" s="78"/>
    </x:row>
    <x:row r="627">
      <x:c r="A627" s="73"/>
      <x:c r="B627" s="73"/>
      <x:c r="C627" s="74"/>
      <x:c r="D627" s="73"/>
      <x:c r="E627" s="73"/>
      <x:c r="F627" s="75"/>
      <x:c r="G627" s="75"/>
      <x:c r="H627" s="76" t="str">
        <x:f>IF(A627="","",F627-G627)</x:f>
      </x:c>
      <x:c r="I627" s="77" t="str">
        <x:f>IF(A627="","",IF(E627="","기타/불명",IF(IFERROR(SEARCH("급여",E627),0)&gt;0,"인건비",IF(IFERROR(SEARCH("임차",E627),0)&gt;0,"임차·시설",IF(IFERROR(SEARCH("광고",E627),0)&gt;0,"광고·행사",IF(IFERROR(SEARCH("용역",E627),0)&gt;0,"용역·수수료","기타/불명"))))))</x:f>
      </x:c>
      <x:c r="J627" s="77" t="str">
        <x:f>IF(A627="","",IF(I627="기타/불명","확인 필요","결의서명으로 1차 확인"))</x:f>
      </x:c>
      <x:c r="K627" s="78"/>
    </x:row>
    <x:row r="628">
      <x:c r="A628" s="73"/>
      <x:c r="B628" s="73"/>
      <x:c r="C628" s="74"/>
      <x:c r="D628" s="73"/>
      <x:c r="E628" s="73"/>
      <x:c r="F628" s="75"/>
      <x:c r="G628" s="75"/>
      <x:c r="H628" s="76" t="str">
        <x:f>IF(A628="","",F628-G628)</x:f>
      </x:c>
      <x:c r="I628" s="77" t="str">
        <x:f>IF(A628="","",IF(E628="","기타/불명",IF(IFERROR(SEARCH("급여",E628),0)&gt;0,"인건비",IF(IFERROR(SEARCH("임차",E628),0)&gt;0,"임차·시설",IF(IFERROR(SEARCH("광고",E628),0)&gt;0,"광고·행사",IF(IFERROR(SEARCH("용역",E628),0)&gt;0,"용역·수수료","기타/불명"))))))</x:f>
      </x:c>
      <x:c r="J628" s="77" t="str">
        <x:f>IF(A628="","",IF(I628="기타/불명","확인 필요","결의서명으로 1차 확인"))</x:f>
      </x:c>
      <x:c r="K628" s="78"/>
    </x:row>
    <x:row r="629">
      <x:c r="A629" s="73"/>
      <x:c r="B629" s="73"/>
      <x:c r="C629" s="74"/>
      <x:c r="D629" s="73"/>
      <x:c r="E629" s="73"/>
      <x:c r="F629" s="75"/>
      <x:c r="G629" s="75"/>
      <x:c r="H629" s="76" t="str">
        <x:f>IF(A629="","",F629-G629)</x:f>
      </x:c>
      <x:c r="I629" s="77" t="str">
        <x:f>IF(A629="","",IF(E629="","기타/불명",IF(IFERROR(SEARCH("급여",E629),0)&gt;0,"인건비",IF(IFERROR(SEARCH("임차",E629),0)&gt;0,"임차·시설",IF(IFERROR(SEARCH("광고",E629),0)&gt;0,"광고·행사",IF(IFERROR(SEARCH("용역",E629),0)&gt;0,"용역·수수료","기타/불명"))))))</x:f>
      </x:c>
      <x:c r="J629" s="77" t="str">
        <x:f>IF(A629="","",IF(I629="기타/불명","확인 필요","결의서명으로 1차 확인"))</x:f>
      </x:c>
      <x:c r="K629" s="78"/>
    </x:row>
    <x:row r="630">
      <x:c r="A630" s="73"/>
      <x:c r="B630" s="73"/>
      <x:c r="C630" s="74"/>
      <x:c r="D630" s="73"/>
      <x:c r="E630" s="73"/>
      <x:c r="F630" s="75"/>
      <x:c r="G630" s="75"/>
      <x:c r="H630" s="76" t="str">
        <x:f>IF(A630="","",F630-G630)</x:f>
      </x:c>
      <x:c r="I630" s="77" t="str">
        <x:f>IF(A630="","",IF(E630="","기타/불명",IF(IFERROR(SEARCH("급여",E630),0)&gt;0,"인건비",IF(IFERROR(SEARCH("임차",E630),0)&gt;0,"임차·시설",IF(IFERROR(SEARCH("광고",E630),0)&gt;0,"광고·행사",IF(IFERROR(SEARCH("용역",E630),0)&gt;0,"용역·수수료","기타/불명"))))))</x:f>
      </x:c>
      <x:c r="J630" s="77" t="str">
        <x:f>IF(A630="","",IF(I630="기타/불명","확인 필요","결의서명으로 1차 확인"))</x:f>
      </x:c>
      <x:c r="K630" s="78"/>
    </x:row>
    <x:row r="631">
      <x:c r="A631" s="73"/>
      <x:c r="B631" s="73"/>
      <x:c r="C631" s="74"/>
      <x:c r="D631" s="73"/>
      <x:c r="E631" s="73"/>
      <x:c r="F631" s="75"/>
      <x:c r="G631" s="75"/>
      <x:c r="H631" s="76" t="str">
        <x:f>IF(A631="","",F631-G631)</x:f>
      </x:c>
      <x:c r="I631" s="77" t="str">
        <x:f>IF(A631="","",IF(E631="","기타/불명",IF(IFERROR(SEARCH("급여",E631),0)&gt;0,"인건비",IF(IFERROR(SEARCH("임차",E631),0)&gt;0,"임차·시설",IF(IFERROR(SEARCH("광고",E631),0)&gt;0,"광고·행사",IF(IFERROR(SEARCH("용역",E631),0)&gt;0,"용역·수수료","기타/불명"))))))</x:f>
      </x:c>
      <x:c r="J631" s="77" t="str">
        <x:f>IF(A631="","",IF(I631="기타/불명","확인 필요","결의서명으로 1차 확인"))</x:f>
      </x:c>
      <x:c r="K631" s="78"/>
    </x:row>
    <x:row r="632">
      <x:c r="A632" s="73"/>
      <x:c r="B632" s="73"/>
      <x:c r="C632" s="74"/>
      <x:c r="D632" s="73"/>
      <x:c r="E632" s="73"/>
      <x:c r="F632" s="75"/>
      <x:c r="G632" s="75"/>
      <x:c r="H632" s="76" t="str">
        <x:f>IF(A632="","",F632-G632)</x:f>
      </x:c>
      <x:c r="I632" s="77" t="str">
        <x:f>IF(A632="","",IF(E632="","기타/불명",IF(IFERROR(SEARCH("급여",E632),0)&gt;0,"인건비",IF(IFERROR(SEARCH("임차",E632),0)&gt;0,"임차·시설",IF(IFERROR(SEARCH("광고",E632),0)&gt;0,"광고·행사",IF(IFERROR(SEARCH("용역",E632),0)&gt;0,"용역·수수료","기타/불명"))))))</x:f>
      </x:c>
      <x:c r="J632" s="77" t="str">
        <x:f>IF(A632="","",IF(I632="기타/불명","확인 필요","결의서명으로 1차 확인"))</x:f>
      </x:c>
      <x:c r="K632" s="78"/>
    </x:row>
    <x:row r="633">
      <x:c r="A633" s="73"/>
      <x:c r="B633" s="73"/>
      <x:c r="C633" s="74"/>
      <x:c r="D633" s="73"/>
      <x:c r="E633" s="73"/>
      <x:c r="F633" s="75"/>
      <x:c r="G633" s="75"/>
      <x:c r="H633" s="76" t="str">
        <x:f>IF(A633="","",F633-G633)</x:f>
      </x:c>
      <x:c r="I633" s="77" t="str">
        <x:f>IF(A633="","",IF(E633="","기타/불명",IF(IFERROR(SEARCH("급여",E633),0)&gt;0,"인건비",IF(IFERROR(SEARCH("임차",E633),0)&gt;0,"임차·시설",IF(IFERROR(SEARCH("광고",E633),0)&gt;0,"광고·행사",IF(IFERROR(SEARCH("용역",E633),0)&gt;0,"용역·수수료","기타/불명"))))))</x:f>
      </x:c>
      <x:c r="J633" s="77" t="str">
        <x:f>IF(A633="","",IF(I633="기타/불명","확인 필요","결의서명으로 1차 확인"))</x:f>
      </x:c>
      <x:c r="K633" s="78"/>
    </x:row>
    <x:row r="634">
      <x:c r="A634" s="73"/>
      <x:c r="B634" s="73"/>
      <x:c r="C634" s="74"/>
      <x:c r="D634" s="73"/>
      <x:c r="E634" s="73"/>
      <x:c r="F634" s="75"/>
      <x:c r="G634" s="75"/>
      <x:c r="H634" s="76" t="str">
        <x:f>IF(A634="","",F634-G634)</x:f>
      </x:c>
      <x:c r="I634" s="77" t="str">
        <x:f>IF(A634="","",IF(E634="","기타/불명",IF(IFERROR(SEARCH("급여",E634),0)&gt;0,"인건비",IF(IFERROR(SEARCH("임차",E634),0)&gt;0,"임차·시설",IF(IFERROR(SEARCH("광고",E634),0)&gt;0,"광고·행사",IF(IFERROR(SEARCH("용역",E634),0)&gt;0,"용역·수수료","기타/불명"))))))</x:f>
      </x:c>
      <x:c r="J634" s="77" t="str">
        <x:f>IF(A634="","",IF(I634="기타/불명","확인 필요","결의서명으로 1차 확인"))</x:f>
      </x:c>
      <x:c r="K634" s="78"/>
    </x:row>
    <x:row r="635">
      <x:c r="A635" s="73"/>
      <x:c r="B635" s="73"/>
      <x:c r="C635" s="74"/>
      <x:c r="D635" s="73"/>
      <x:c r="E635" s="73"/>
      <x:c r="F635" s="75"/>
      <x:c r="G635" s="75"/>
      <x:c r="H635" s="76" t="str">
        <x:f>IF(A635="","",F635-G635)</x:f>
      </x:c>
      <x:c r="I635" s="77" t="str">
        <x:f>IF(A635="","",IF(E635="","기타/불명",IF(IFERROR(SEARCH("급여",E635),0)&gt;0,"인건비",IF(IFERROR(SEARCH("임차",E635),0)&gt;0,"임차·시설",IF(IFERROR(SEARCH("광고",E635),0)&gt;0,"광고·행사",IF(IFERROR(SEARCH("용역",E635),0)&gt;0,"용역·수수료","기타/불명"))))))</x:f>
      </x:c>
      <x:c r="J635" s="77" t="str">
        <x:f>IF(A635="","",IF(I635="기타/불명","확인 필요","결의서명으로 1차 확인"))</x:f>
      </x:c>
      <x:c r="K635" s="78"/>
    </x:row>
    <x:row r="636">
      <x:c r="A636" s="73"/>
      <x:c r="B636" s="73"/>
      <x:c r="C636" s="74"/>
      <x:c r="D636" s="73"/>
      <x:c r="E636" s="73"/>
      <x:c r="F636" s="75"/>
      <x:c r="G636" s="75"/>
      <x:c r="H636" s="76" t="str">
        <x:f>IF(A636="","",F636-G636)</x:f>
      </x:c>
      <x:c r="I636" s="77" t="str">
        <x:f>IF(A636="","",IF(E636="","기타/불명",IF(IFERROR(SEARCH("급여",E636),0)&gt;0,"인건비",IF(IFERROR(SEARCH("임차",E636),0)&gt;0,"임차·시설",IF(IFERROR(SEARCH("광고",E636),0)&gt;0,"광고·행사",IF(IFERROR(SEARCH("용역",E636),0)&gt;0,"용역·수수료","기타/불명"))))))</x:f>
      </x:c>
      <x:c r="J636" s="77" t="str">
        <x:f>IF(A636="","",IF(I636="기타/불명","확인 필요","결의서명으로 1차 확인"))</x:f>
      </x:c>
      <x:c r="K636" s="78"/>
    </x:row>
    <x:row r="637">
      <x:c r="A637" s="73"/>
      <x:c r="B637" s="73"/>
      <x:c r="C637" s="74"/>
      <x:c r="D637" s="73"/>
      <x:c r="E637" s="73"/>
      <x:c r="F637" s="75"/>
      <x:c r="G637" s="75"/>
      <x:c r="H637" s="76" t="str">
        <x:f>IF(A637="","",F637-G637)</x:f>
      </x:c>
      <x:c r="I637" s="77" t="str">
        <x:f>IF(A637="","",IF(E637="","기타/불명",IF(IFERROR(SEARCH("급여",E637),0)&gt;0,"인건비",IF(IFERROR(SEARCH("임차",E637),0)&gt;0,"임차·시설",IF(IFERROR(SEARCH("광고",E637),0)&gt;0,"광고·행사",IF(IFERROR(SEARCH("용역",E637),0)&gt;0,"용역·수수료","기타/불명"))))))</x:f>
      </x:c>
      <x:c r="J637" s="77" t="str">
        <x:f>IF(A637="","",IF(I637="기타/불명","확인 필요","결의서명으로 1차 확인"))</x:f>
      </x:c>
      <x:c r="K637" s="78"/>
    </x:row>
    <x:row r="638">
      <x:c r="A638" s="73"/>
      <x:c r="B638" s="73"/>
      <x:c r="C638" s="74"/>
      <x:c r="D638" s="73"/>
      <x:c r="E638" s="73"/>
      <x:c r="F638" s="75"/>
      <x:c r="G638" s="75"/>
      <x:c r="H638" s="76" t="str">
        <x:f>IF(A638="","",F638-G638)</x:f>
      </x:c>
      <x:c r="I638" s="77" t="str">
        <x:f>IF(A638="","",IF(E638="","기타/불명",IF(IFERROR(SEARCH("급여",E638),0)&gt;0,"인건비",IF(IFERROR(SEARCH("임차",E638),0)&gt;0,"임차·시설",IF(IFERROR(SEARCH("광고",E638),0)&gt;0,"광고·행사",IF(IFERROR(SEARCH("용역",E638),0)&gt;0,"용역·수수료","기타/불명"))))))</x:f>
      </x:c>
      <x:c r="J638" s="77" t="str">
        <x:f>IF(A638="","",IF(I638="기타/불명","확인 필요","결의서명으로 1차 확인"))</x:f>
      </x:c>
      <x:c r="K638" s="78"/>
    </x:row>
    <x:row r="639">
      <x:c r="A639" s="73"/>
      <x:c r="B639" s="73"/>
      <x:c r="C639" s="74"/>
      <x:c r="D639" s="73"/>
      <x:c r="E639" s="73"/>
      <x:c r="F639" s="75"/>
      <x:c r="G639" s="75"/>
      <x:c r="H639" s="76" t="str">
        <x:f>IF(A639="","",F639-G639)</x:f>
      </x:c>
      <x:c r="I639" s="77" t="str">
        <x:f>IF(A639="","",IF(E639="","기타/불명",IF(IFERROR(SEARCH("급여",E639),0)&gt;0,"인건비",IF(IFERROR(SEARCH("임차",E639),0)&gt;0,"임차·시설",IF(IFERROR(SEARCH("광고",E639),0)&gt;0,"광고·행사",IF(IFERROR(SEARCH("용역",E639),0)&gt;0,"용역·수수료","기타/불명"))))))</x:f>
      </x:c>
      <x:c r="J639" s="77" t="str">
        <x:f>IF(A639="","",IF(I639="기타/불명","확인 필요","결의서명으로 1차 확인"))</x:f>
      </x:c>
      <x:c r="K639" s="78"/>
    </x:row>
    <x:row r="640">
      <x:c r="A640" s="73"/>
      <x:c r="B640" s="73"/>
      <x:c r="C640" s="74"/>
      <x:c r="D640" s="73"/>
      <x:c r="E640" s="73"/>
      <x:c r="F640" s="75"/>
      <x:c r="G640" s="75"/>
      <x:c r="H640" s="76" t="str">
        <x:f>IF(A640="","",F640-G640)</x:f>
      </x:c>
      <x:c r="I640" s="77" t="str">
        <x:f>IF(A640="","",IF(E640="","기타/불명",IF(IFERROR(SEARCH("급여",E640),0)&gt;0,"인건비",IF(IFERROR(SEARCH("임차",E640),0)&gt;0,"임차·시설",IF(IFERROR(SEARCH("광고",E640),0)&gt;0,"광고·행사",IF(IFERROR(SEARCH("용역",E640),0)&gt;0,"용역·수수료","기타/불명"))))))</x:f>
      </x:c>
      <x:c r="J640" s="77" t="str">
        <x:f>IF(A640="","",IF(I640="기타/불명","확인 필요","결의서명으로 1차 확인"))</x:f>
      </x:c>
      <x:c r="K640" s="78"/>
    </x:row>
    <x:row r="641">
      <x:c r="A641" s="73"/>
      <x:c r="B641" s="73"/>
      <x:c r="C641" s="74"/>
      <x:c r="D641" s="73"/>
      <x:c r="E641" s="73"/>
      <x:c r="F641" s="75"/>
      <x:c r="G641" s="75"/>
      <x:c r="H641" s="76" t="str">
        <x:f>IF(A641="","",F641-G641)</x:f>
      </x:c>
      <x:c r="I641" s="77" t="str">
        <x:f>IF(A641="","",IF(E641="","기타/불명",IF(IFERROR(SEARCH("급여",E641),0)&gt;0,"인건비",IF(IFERROR(SEARCH("임차",E641),0)&gt;0,"임차·시설",IF(IFERROR(SEARCH("광고",E641),0)&gt;0,"광고·행사",IF(IFERROR(SEARCH("용역",E641),0)&gt;0,"용역·수수료","기타/불명"))))))</x:f>
      </x:c>
      <x:c r="J641" s="77" t="str">
        <x:f>IF(A641="","",IF(I641="기타/불명","확인 필요","결의서명으로 1차 확인"))</x:f>
      </x:c>
      <x:c r="K641" s="78"/>
    </x:row>
    <x:row r="642">
      <x:c r="A642" s="73"/>
      <x:c r="B642" s="73"/>
      <x:c r="C642" s="74"/>
      <x:c r="D642" s="73"/>
      <x:c r="E642" s="73"/>
      <x:c r="F642" s="75"/>
      <x:c r="G642" s="75"/>
      <x:c r="H642" s="76" t="str">
        <x:f>IF(A642="","",F642-G642)</x:f>
      </x:c>
      <x:c r="I642" s="77" t="str">
        <x:f>IF(A642="","",IF(E642="","기타/불명",IF(IFERROR(SEARCH("급여",E642),0)&gt;0,"인건비",IF(IFERROR(SEARCH("임차",E642),0)&gt;0,"임차·시설",IF(IFERROR(SEARCH("광고",E642),0)&gt;0,"광고·행사",IF(IFERROR(SEARCH("용역",E642),0)&gt;0,"용역·수수료","기타/불명"))))))</x:f>
      </x:c>
      <x:c r="J642" s="77" t="str">
        <x:f>IF(A642="","",IF(I642="기타/불명","확인 필요","결의서명으로 1차 확인"))</x:f>
      </x:c>
      <x:c r="K642" s="78"/>
    </x:row>
    <x:row r="643">
      <x:c r="A643" s="73"/>
      <x:c r="B643" s="73"/>
      <x:c r="C643" s="74"/>
      <x:c r="D643" s="73"/>
      <x:c r="E643" s="73"/>
      <x:c r="F643" s="75"/>
      <x:c r="G643" s="75"/>
      <x:c r="H643" s="76" t="str">
        <x:f>IF(A643="","",F643-G643)</x:f>
      </x:c>
      <x:c r="I643" s="77" t="str">
        <x:f>IF(A643="","",IF(E643="","기타/불명",IF(IFERROR(SEARCH("급여",E643),0)&gt;0,"인건비",IF(IFERROR(SEARCH("임차",E643),0)&gt;0,"임차·시설",IF(IFERROR(SEARCH("광고",E643),0)&gt;0,"광고·행사",IF(IFERROR(SEARCH("용역",E643),0)&gt;0,"용역·수수료","기타/불명"))))))</x:f>
      </x:c>
      <x:c r="J643" s="77" t="str">
        <x:f>IF(A643="","",IF(I643="기타/불명","확인 필요","결의서명으로 1차 확인"))</x:f>
      </x:c>
      <x:c r="K643" s="78"/>
    </x:row>
    <x:row r="644">
      <x:c r="A644" s="73"/>
      <x:c r="B644" s="73"/>
      <x:c r="C644" s="74"/>
      <x:c r="D644" s="73"/>
      <x:c r="E644" s="73"/>
      <x:c r="F644" s="75"/>
      <x:c r="G644" s="75"/>
      <x:c r="H644" s="76" t="str">
        <x:f>IF(A644="","",F644-G644)</x:f>
      </x:c>
      <x:c r="I644" s="77" t="str">
        <x:f>IF(A644="","",IF(E644="","기타/불명",IF(IFERROR(SEARCH("급여",E644),0)&gt;0,"인건비",IF(IFERROR(SEARCH("임차",E644),0)&gt;0,"임차·시설",IF(IFERROR(SEARCH("광고",E644),0)&gt;0,"광고·행사",IF(IFERROR(SEARCH("용역",E644),0)&gt;0,"용역·수수료","기타/불명"))))))</x:f>
      </x:c>
      <x:c r="J644" s="77" t="str">
        <x:f>IF(A644="","",IF(I644="기타/불명","확인 필요","결의서명으로 1차 확인"))</x:f>
      </x:c>
      <x:c r="K644" s="78"/>
    </x:row>
    <x:row r="645">
      <x:c r="A645" s="73"/>
      <x:c r="B645" s="73"/>
      <x:c r="C645" s="74"/>
      <x:c r="D645" s="73"/>
      <x:c r="E645" s="73"/>
      <x:c r="F645" s="75"/>
      <x:c r="G645" s="75"/>
      <x:c r="H645" s="76" t="str">
        <x:f>IF(A645="","",F645-G645)</x:f>
      </x:c>
      <x:c r="I645" s="77" t="str">
        <x:f>IF(A645="","",IF(E645="","기타/불명",IF(IFERROR(SEARCH("급여",E645),0)&gt;0,"인건비",IF(IFERROR(SEARCH("임차",E645),0)&gt;0,"임차·시설",IF(IFERROR(SEARCH("광고",E645),0)&gt;0,"광고·행사",IF(IFERROR(SEARCH("용역",E645),0)&gt;0,"용역·수수료","기타/불명"))))))</x:f>
      </x:c>
      <x:c r="J645" s="77" t="str">
        <x:f>IF(A645="","",IF(I645="기타/불명","확인 필요","결의서명으로 1차 확인"))</x:f>
      </x:c>
      <x:c r="K645" s="78"/>
    </x:row>
    <x:row r="646">
      <x:c r="A646" s="73"/>
      <x:c r="B646" s="73"/>
      <x:c r="C646" s="74"/>
      <x:c r="D646" s="73"/>
      <x:c r="E646" s="73"/>
      <x:c r="F646" s="75"/>
      <x:c r="G646" s="75"/>
      <x:c r="H646" s="76" t="str">
        <x:f>IF(A646="","",F646-G646)</x:f>
      </x:c>
      <x:c r="I646" s="77" t="str">
        <x:f>IF(A646="","",IF(E646="","기타/불명",IF(IFERROR(SEARCH("급여",E646),0)&gt;0,"인건비",IF(IFERROR(SEARCH("임차",E646),0)&gt;0,"임차·시설",IF(IFERROR(SEARCH("광고",E646),0)&gt;0,"광고·행사",IF(IFERROR(SEARCH("용역",E646),0)&gt;0,"용역·수수료","기타/불명"))))))</x:f>
      </x:c>
      <x:c r="J646" s="77" t="str">
        <x:f>IF(A646="","",IF(I646="기타/불명","확인 필요","결의서명으로 1차 확인"))</x:f>
      </x:c>
      <x:c r="K646" s="78"/>
    </x:row>
    <x:row r="647">
      <x:c r="A647" s="73"/>
      <x:c r="B647" s="73"/>
      <x:c r="C647" s="74"/>
      <x:c r="D647" s="73"/>
      <x:c r="E647" s="73"/>
      <x:c r="F647" s="75"/>
      <x:c r="G647" s="75"/>
      <x:c r="H647" s="76" t="str">
        <x:f>IF(A647="","",F647-G647)</x:f>
      </x:c>
      <x:c r="I647" s="77" t="str">
        <x:f>IF(A647="","",IF(E647="","기타/불명",IF(IFERROR(SEARCH("급여",E647),0)&gt;0,"인건비",IF(IFERROR(SEARCH("임차",E647),0)&gt;0,"임차·시설",IF(IFERROR(SEARCH("광고",E647),0)&gt;0,"광고·행사",IF(IFERROR(SEARCH("용역",E647),0)&gt;0,"용역·수수료","기타/불명"))))))</x:f>
      </x:c>
      <x:c r="J647" s="77" t="str">
        <x:f>IF(A647="","",IF(I647="기타/불명","확인 필요","결의서명으로 1차 확인"))</x:f>
      </x:c>
      <x:c r="K647" s="78"/>
    </x:row>
    <x:row r="648">
      <x:c r="A648" s="73"/>
      <x:c r="B648" s="73"/>
      <x:c r="C648" s="74"/>
      <x:c r="D648" s="73"/>
      <x:c r="E648" s="73"/>
      <x:c r="F648" s="75"/>
      <x:c r="G648" s="75"/>
      <x:c r="H648" s="76" t="str">
        <x:f>IF(A648="","",F648-G648)</x:f>
      </x:c>
      <x:c r="I648" s="77" t="str">
        <x:f>IF(A648="","",IF(E648="","기타/불명",IF(IFERROR(SEARCH("급여",E648),0)&gt;0,"인건비",IF(IFERROR(SEARCH("임차",E648),0)&gt;0,"임차·시설",IF(IFERROR(SEARCH("광고",E648),0)&gt;0,"광고·행사",IF(IFERROR(SEARCH("용역",E648),0)&gt;0,"용역·수수료","기타/불명"))))))</x:f>
      </x:c>
      <x:c r="J648" s="77" t="str">
        <x:f>IF(A648="","",IF(I648="기타/불명","확인 필요","결의서명으로 1차 확인"))</x:f>
      </x:c>
      <x:c r="K648" s="78"/>
    </x:row>
    <x:row r="649">
      <x:c r="A649" s="73"/>
      <x:c r="B649" s="73"/>
      <x:c r="C649" s="74"/>
      <x:c r="D649" s="73"/>
      <x:c r="E649" s="73"/>
      <x:c r="F649" s="75"/>
      <x:c r="G649" s="75"/>
      <x:c r="H649" s="76" t="str">
        <x:f>IF(A649="","",F649-G649)</x:f>
      </x:c>
      <x:c r="I649" s="77" t="str">
        <x:f>IF(A649="","",IF(E649="","기타/불명",IF(IFERROR(SEARCH("급여",E649),0)&gt;0,"인건비",IF(IFERROR(SEARCH("임차",E649),0)&gt;0,"임차·시설",IF(IFERROR(SEARCH("광고",E649),0)&gt;0,"광고·행사",IF(IFERROR(SEARCH("용역",E649),0)&gt;0,"용역·수수료","기타/불명"))))))</x:f>
      </x:c>
      <x:c r="J649" s="77" t="str">
        <x:f>IF(A649="","",IF(I649="기타/불명","확인 필요","결의서명으로 1차 확인"))</x:f>
      </x:c>
      <x:c r="K649" s="78"/>
    </x:row>
    <x:row r="650">
      <x:c r="A650" s="73"/>
      <x:c r="B650" s="73"/>
      <x:c r="C650" s="74"/>
      <x:c r="D650" s="73"/>
      <x:c r="E650" s="73"/>
      <x:c r="F650" s="75"/>
      <x:c r="G650" s="75"/>
      <x:c r="H650" s="76" t="str">
        <x:f>IF(A650="","",F650-G650)</x:f>
      </x:c>
      <x:c r="I650" s="77" t="str">
        <x:f>IF(A650="","",IF(E650="","기타/불명",IF(IFERROR(SEARCH("급여",E650),0)&gt;0,"인건비",IF(IFERROR(SEARCH("임차",E650),0)&gt;0,"임차·시설",IF(IFERROR(SEARCH("광고",E650),0)&gt;0,"광고·행사",IF(IFERROR(SEARCH("용역",E650),0)&gt;0,"용역·수수료","기타/불명"))))))</x:f>
      </x:c>
      <x:c r="J650" s="77" t="str">
        <x:f>IF(A650="","",IF(I650="기타/불명","확인 필요","결의서명으로 1차 확인"))</x:f>
      </x:c>
      <x:c r="K650" s="78"/>
    </x:row>
    <x:row r="651">
      <x:c r="A651" s="73"/>
      <x:c r="B651" s="73"/>
      <x:c r="C651" s="74"/>
      <x:c r="D651" s="73"/>
      <x:c r="E651" s="73"/>
      <x:c r="F651" s="75"/>
      <x:c r="G651" s="75"/>
      <x:c r="H651" s="76" t="str">
        <x:f>IF(A651="","",F651-G651)</x:f>
      </x:c>
      <x:c r="I651" s="77" t="str">
        <x:f>IF(A651="","",IF(E651="","기타/불명",IF(IFERROR(SEARCH("급여",E651),0)&gt;0,"인건비",IF(IFERROR(SEARCH("임차",E651),0)&gt;0,"임차·시설",IF(IFERROR(SEARCH("광고",E651),0)&gt;0,"광고·행사",IF(IFERROR(SEARCH("용역",E651),0)&gt;0,"용역·수수료","기타/불명"))))))</x:f>
      </x:c>
      <x:c r="J651" s="77" t="str">
        <x:f>IF(A651="","",IF(I651="기타/불명","확인 필요","결의서명으로 1차 확인"))</x:f>
      </x:c>
      <x:c r="K651" s="78"/>
    </x:row>
    <x:row r="652">
      <x:c r="A652" s="73"/>
      <x:c r="B652" s="73"/>
      <x:c r="C652" s="74"/>
      <x:c r="D652" s="73"/>
      <x:c r="E652" s="73"/>
      <x:c r="F652" s="75"/>
      <x:c r="G652" s="75"/>
      <x:c r="H652" s="76" t="str">
        <x:f>IF(A652="","",F652-G652)</x:f>
      </x:c>
      <x:c r="I652" s="77" t="str">
        <x:f>IF(A652="","",IF(E652="","기타/불명",IF(IFERROR(SEARCH("급여",E652),0)&gt;0,"인건비",IF(IFERROR(SEARCH("임차",E652),0)&gt;0,"임차·시설",IF(IFERROR(SEARCH("광고",E652),0)&gt;0,"광고·행사",IF(IFERROR(SEARCH("용역",E652),0)&gt;0,"용역·수수료","기타/불명"))))))</x:f>
      </x:c>
      <x:c r="J652" s="77" t="str">
        <x:f>IF(A652="","",IF(I652="기타/불명","확인 필요","결의서명으로 1차 확인"))</x:f>
      </x:c>
      <x:c r="K652" s="78"/>
    </x:row>
    <x:row r="653">
      <x:c r="A653" s="73"/>
      <x:c r="B653" s="73"/>
      <x:c r="C653" s="74"/>
      <x:c r="D653" s="73"/>
      <x:c r="E653" s="73"/>
      <x:c r="F653" s="75"/>
      <x:c r="G653" s="75"/>
      <x:c r="H653" s="76" t="str">
        <x:f>IF(A653="","",F653-G653)</x:f>
      </x:c>
      <x:c r="I653" s="77" t="str">
        <x:f>IF(A653="","",IF(E653="","기타/불명",IF(IFERROR(SEARCH("급여",E653),0)&gt;0,"인건비",IF(IFERROR(SEARCH("임차",E653),0)&gt;0,"임차·시설",IF(IFERROR(SEARCH("광고",E653),0)&gt;0,"광고·행사",IF(IFERROR(SEARCH("용역",E653),0)&gt;0,"용역·수수료","기타/불명"))))))</x:f>
      </x:c>
      <x:c r="J653" s="77" t="str">
        <x:f>IF(A653="","",IF(I653="기타/불명","확인 필요","결의서명으로 1차 확인"))</x:f>
      </x:c>
      <x:c r="K653" s="78"/>
    </x:row>
    <x:row r="654">
      <x:c r="A654" s="73"/>
      <x:c r="B654" s="73"/>
      <x:c r="C654" s="74"/>
      <x:c r="D654" s="73"/>
      <x:c r="E654" s="73"/>
      <x:c r="F654" s="75"/>
      <x:c r="G654" s="75"/>
      <x:c r="H654" s="76" t="str">
        <x:f>IF(A654="","",F654-G654)</x:f>
      </x:c>
      <x:c r="I654" s="77" t="str">
        <x:f>IF(A654="","",IF(E654="","기타/불명",IF(IFERROR(SEARCH("급여",E654),0)&gt;0,"인건비",IF(IFERROR(SEARCH("임차",E654),0)&gt;0,"임차·시설",IF(IFERROR(SEARCH("광고",E654),0)&gt;0,"광고·행사",IF(IFERROR(SEARCH("용역",E654),0)&gt;0,"용역·수수료","기타/불명"))))))</x:f>
      </x:c>
      <x:c r="J654" s="77" t="str">
        <x:f>IF(A654="","",IF(I654="기타/불명","확인 필요","결의서명으로 1차 확인"))</x:f>
      </x:c>
      <x:c r="K654" s="78"/>
    </x:row>
    <x:row r="655">
      <x:c r="A655" s="73"/>
      <x:c r="B655" s="73"/>
      <x:c r="C655" s="74"/>
      <x:c r="D655" s="73"/>
      <x:c r="E655" s="73"/>
      <x:c r="F655" s="75"/>
      <x:c r="G655" s="75"/>
      <x:c r="H655" s="76" t="str">
        <x:f>IF(A655="","",F655-G655)</x:f>
      </x:c>
      <x:c r="I655" s="77" t="str">
        <x:f>IF(A655="","",IF(E655="","기타/불명",IF(IFERROR(SEARCH("급여",E655),0)&gt;0,"인건비",IF(IFERROR(SEARCH("임차",E655),0)&gt;0,"임차·시설",IF(IFERROR(SEARCH("광고",E655),0)&gt;0,"광고·행사",IF(IFERROR(SEARCH("용역",E655),0)&gt;0,"용역·수수료","기타/불명"))))))</x:f>
      </x:c>
      <x:c r="J655" s="77" t="str">
        <x:f>IF(A655="","",IF(I655="기타/불명","확인 필요","결의서명으로 1차 확인"))</x:f>
      </x:c>
      <x:c r="K655" s="78"/>
    </x:row>
    <x:row r="656">
      <x:c r="A656" s="73"/>
      <x:c r="B656" s="73"/>
      <x:c r="C656" s="74"/>
      <x:c r="D656" s="73"/>
      <x:c r="E656" s="73"/>
      <x:c r="F656" s="75"/>
      <x:c r="G656" s="75"/>
      <x:c r="H656" s="76" t="str">
        <x:f>IF(A656="","",F656-G656)</x:f>
      </x:c>
      <x:c r="I656" s="77" t="str">
        <x:f>IF(A656="","",IF(E656="","기타/불명",IF(IFERROR(SEARCH("급여",E656),0)&gt;0,"인건비",IF(IFERROR(SEARCH("임차",E656),0)&gt;0,"임차·시설",IF(IFERROR(SEARCH("광고",E656),0)&gt;0,"광고·행사",IF(IFERROR(SEARCH("용역",E656),0)&gt;0,"용역·수수료","기타/불명"))))))</x:f>
      </x:c>
      <x:c r="J656" s="77" t="str">
        <x:f>IF(A656="","",IF(I656="기타/불명","확인 필요","결의서명으로 1차 확인"))</x:f>
      </x:c>
      <x:c r="K656" s="78"/>
    </x:row>
    <x:row r="657">
      <x:c r="A657" s="73"/>
      <x:c r="B657" s="73"/>
      <x:c r="C657" s="74"/>
      <x:c r="D657" s="73"/>
      <x:c r="E657" s="73"/>
      <x:c r="F657" s="75"/>
      <x:c r="G657" s="75"/>
      <x:c r="H657" s="76" t="str">
        <x:f>IF(A657="","",F657-G657)</x:f>
      </x:c>
      <x:c r="I657" s="77" t="str">
        <x:f>IF(A657="","",IF(E657="","기타/불명",IF(IFERROR(SEARCH("급여",E657),0)&gt;0,"인건비",IF(IFERROR(SEARCH("임차",E657),0)&gt;0,"임차·시설",IF(IFERROR(SEARCH("광고",E657),0)&gt;0,"광고·행사",IF(IFERROR(SEARCH("용역",E657),0)&gt;0,"용역·수수료","기타/불명"))))))</x:f>
      </x:c>
      <x:c r="J657" s="77" t="str">
        <x:f>IF(A657="","",IF(I657="기타/불명","확인 필요","결의서명으로 1차 확인"))</x:f>
      </x:c>
      <x:c r="K657" s="78"/>
    </x:row>
    <x:row r="658">
      <x:c r="A658" s="73"/>
      <x:c r="B658" s="73"/>
      <x:c r="C658" s="74"/>
      <x:c r="D658" s="73"/>
      <x:c r="E658" s="73"/>
      <x:c r="F658" s="75"/>
      <x:c r="G658" s="75"/>
      <x:c r="H658" s="76" t="str">
        <x:f>IF(A658="","",F658-G658)</x:f>
      </x:c>
      <x:c r="I658" s="77" t="str">
        <x:f>IF(A658="","",IF(E658="","기타/불명",IF(IFERROR(SEARCH("급여",E658),0)&gt;0,"인건비",IF(IFERROR(SEARCH("임차",E658),0)&gt;0,"임차·시설",IF(IFERROR(SEARCH("광고",E658),0)&gt;0,"광고·행사",IF(IFERROR(SEARCH("용역",E658),0)&gt;0,"용역·수수료","기타/불명"))))))</x:f>
      </x:c>
      <x:c r="J658" s="77" t="str">
        <x:f>IF(A658="","",IF(I658="기타/불명","확인 필요","결의서명으로 1차 확인"))</x:f>
      </x:c>
      <x:c r="K658" s="78"/>
    </x:row>
    <x:row r="659">
      <x:c r="A659" s="73"/>
      <x:c r="B659" s="73"/>
      <x:c r="C659" s="74"/>
      <x:c r="D659" s="73"/>
      <x:c r="E659" s="73"/>
      <x:c r="F659" s="75"/>
      <x:c r="G659" s="75"/>
      <x:c r="H659" s="76" t="str">
        <x:f>IF(A659="","",F659-G659)</x:f>
      </x:c>
      <x:c r="I659" s="77" t="str">
        <x:f>IF(A659="","",IF(E659="","기타/불명",IF(IFERROR(SEARCH("급여",E659),0)&gt;0,"인건비",IF(IFERROR(SEARCH("임차",E659),0)&gt;0,"임차·시설",IF(IFERROR(SEARCH("광고",E659),0)&gt;0,"광고·행사",IF(IFERROR(SEARCH("용역",E659),0)&gt;0,"용역·수수료","기타/불명"))))))</x:f>
      </x:c>
      <x:c r="J659" s="77" t="str">
        <x:f>IF(A659="","",IF(I659="기타/불명","확인 필요","결의서명으로 1차 확인"))</x:f>
      </x:c>
      <x:c r="K659" s="78"/>
    </x:row>
    <x:row r="660">
      <x:c r="A660" s="73"/>
      <x:c r="B660" s="73"/>
      <x:c r="C660" s="74"/>
      <x:c r="D660" s="73"/>
      <x:c r="E660" s="73"/>
      <x:c r="F660" s="75"/>
      <x:c r="G660" s="75"/>
      <x:c r="H660" s="76" t="str">
        <x:f>IF(A660="","",F660-G660)</x:f>
      </x:c>
      <x:c r="I660" s="77" t="str">
        <x:f>IF(A660="","",IF(E660="","기타/불명",IF(IFERROR(SEARCH("급여",E660),0)&gt;0,"인건비",IF(IFERROR(SEARCH("임차",E660),0)&gt;0,"임차·시설",IF(IFERROR(SEARCH("광고",E660),0)&gt;0,"광고·행사",IF(IFERROR(SEARCH("용역",E660),0)&gt;0,"용역·수수료","기타/불명"))))))</x:f>
      </x:c>
      <x:c r="J660" s="77" t="str">
        <x:f>IF(A660="","",IF(I660="기타/불명","확인 필요","결의서명으로 1차 확인"))</x:f>
      </x:c>
      <x:c r="K660" s="78"/>
    </x:row>
    <x:row r="661">
      <x:c r="A661" s="73"/>
      <x:c r="B661" s="73"/>
      <x:c r="C661" s="74"/>
      <x:c r="D661" s="73"/>
      <x:c r="E661" s="73"/>
      <x:c r="F661" s="75"/>
      <x:c r="G661" s="75"/>
      <x:c r="H661" s="76" t="str">
        <x:f>IF(A661="","",F661-G661)</x:f>
      </x:c>
      <x:c r="I661" s="77" t="str">
        <x:f>IF(A661="","",IF(E661="","기타/불명",IF(IFERROR(SEARCH("급여",E661),0)&gt;0,"인건비",IF(IFERROR(SEARCH("임차",E661),0)&gt;0,"임차·시설",IF(IFERROR(SEARCH("광고",E661),0)&gt;0,"광고·행사",IF(IFERROR(SEARCH("용역",E661),0)&gt;0,"용역·수수료","기타/불명"))))))</x:f>
      </x:c>
      <x:c r="J661" s="77" t="str">
        <x:f>IF(A661="","",IF(I661="기타/불명","확인 필요","결의서명으로 1차 확인"))</x:f>
      </x:c>
      <x:c r="K661" s="78"/>
    </x:row>
    <x:row r="662">
      <x:c r="A662" s="73"/>
      <x:c r="B662" s="73"/>
      <x:c r="C662" s="74"/>
      <x:c r="D662" s="73"/>
      <x:c r="E662" s="73"/>
      <x:c r="F662" s="75"/>
      <x:c r="G662" s="75"/>
      <x:c r="H662" s="76" t="str">
        <x:f>IF(A662="","",F662-G662)</x:f>
      </x:c>
      <x:c r="I662" s="77" t="str">
        <x:f>IF(A662="","",IF(E662="","기타/불명",IF(IFERROR(SEARCH("급여",E662),0)&gt;0,"인건비",IF(IFERROR(SEARCH("임차",E662),0)&gt;0,"임차·시설",IF(IFERROR(SEARCH("광고",E662),0)&gt;0,"광고·행사",IF(IFERROR(SEARCH("용역",E662),0)&gt;0,"용역·수수료","기타/불명"))))))</x:f>
      </x:c>
      <x:c r="J662" s="77" t="str">
        <x:f>IF(A662="","",IF(I662="기타/불명","확인 필요","결의서명으로 1차 확인"))</x:f>
      </x:c>
      <x:c r="K662" s="78"/>
    </x:row>
    <x:row r="663">
      <x:c r="A663" s="73"/>
      <x:c r="B663" s="73"/>
      <x:c r="C663" s="74"/>
      <x:c r="D663" s="73"/>
      <x:c r="E663" s="73"/>
      <x:c r="F663" s="75"/>
      <x:c r="G663" s="75"/>
      <x:c r="H663" s="76" t="str">
        <x:f>IF(A663="","",F663-G663)</x:f>
      </x:c>
      <x:c r="I663" s="77" t="str">
        <x:f>IF(A663="","",IF(E663="","기타/불명",IF(IFERROR(SEARCH("급여",E663),0)&gt;0,"인건비",IF(IFERROR(SEARCH("임차",E663),0)&gt;0,"임차·시설",IF(IFERROR(SEARCH("광고",E663),0)&gt;0,"광고·행사",IF(IFERROR(SEARCH("용역",E663),0)&gt;0,"용역·수수료","기타/불명"))))))</x:f>
      </x:c>
      <x:c r="J663" s="77" t="str">
        <x:f>IF(A663="","",IF(I663="기타/불명","확인 필요","결의서명으로 1차 확인"))</x:f>
      </x:c>
      <x:c r="K663" s="78"/>
    </x:row>
    <x:row r="664">
      <x:c r="A664" s="73"/>
      <x:c r="B664" s="73"/>
      <x:c r="C664" s="74"/>
      <x:c r="D664" s="73"/>
      <x:c r="E664" s="73"/>
      <x:c r="F664" s="75"/>
      <x:c r="G664" s="75"/>
      <x:c r="H664" s="76" t="str">
        <x:f>IF(A664="","",F664-G664)</x:f>
      </x:c>
      <x:c r="I664" s="77" t="str">
        <x:f>IF(A664="","",IF(E664="","기타/불명",IF(IFERROR(SEARCH("급여",E664),0)&gt;0,"인건비",IF(IFERROR(SEARCH("임차",E664),0)&gt;0,"임차·시설",IF(IFERROR(SEARCH("광고",E664),0)&gt;0,"광고·행사",IF(IFERROR(SEARCH("용역",E664),0)&gt;0,"용역·수수료","기타/불명"))))))</x:f>
      </x:c>
      <x:c r="J664" s="77" t="str">
        <x:f>IF(A664="","",IF(I664="기타/불명","확인 필요","결의서명으로 1차 확인"))</x:f>
      </x:c>
      <x:c r="K664" s="78"/>
    </x:row>
    <x:row r="665">
      <x:c r="A665" s="73"/>
      <x:c r="B665" s="73"/>
      <x:c r="C665" s="74"/>
      <x:c r="D665" s="73"/>
      <x:c r="E665" s="73"/>
      <x:c r="F665" s="75"/>
      <x:c r="G665" s="75"/>
      <x:c r="H665" s="76" t="str">
        <x:f>IF(A665="","",F665-G665)</x:f>
      </x:c>
      <x:c r="I665" s="77" t="str">
        <x:f>IF(A665="","",IF(E665="","기타/불명",IF(IFERROR(SEARCH("급여",E665),0)&gt;0,"인건비",IF(IFERROR(SEARCH("임차",E665),0)&gt;0,"임차·시설",IF(IFERROR(SEARCH("광고",E665),0)&gt;0,"광고·행사",IF(IFERROR(SEARCH("용역",E665),0)&gt;0,"용역·수수료","기타/불명"))))))</x:f>
      </x:c>
      <x:c r="J665" s="77" t="str">
        <x:f>IF(A665="","",IF(I665="기타/불명","확인 필요","결의서명으로 1차 확인"))</x:f>
      </x:c>
      <x:c r="K665" s="78"/>
    </x:row>
    <x:row r="666">
      <x:c r="A666" s="73"/>
      <x:c r="B666" s="73"/>
      <x:c r="C666" s="74"/>
      <x:c r="D666" s="73"/>
      <x:c r="E666" s="73"/>
      <x:c r="F666" s="75"/>
      <x:c r="G666" s="75"/>
      <x:c r="H666" s="76" t="str">
        <x:f>IF(A666="","",F666-G666)</x:f>
      </x:c>
      <x:c r="I666" s="77" t="str">
        <x:f>IF(A666="","",IF(E666="","기타/불명",IF(IFERROR(SEARCH("급여",E666),0)&gt;0,"인건비",IF(IFERROR(SEARCH("임차",E666),0)&gt;0,"임차·시설",IF(IFERROR(SEARCH("광고",E666),0)&gt;0,"광고·행사",IF(IFERROR(SEARCH("용역",E666),0)&gt;0,"용역·수수료","기타/불명"))))))</x:f>
      </x:c>
      <x:c r="J666" s="77" t="str">
        <x:f>IF(A666="","",IF(I666="기타/불명","확인 필요","결의서명으로 1차 확인"))</x:f>
      </x:c>
      <x:c r="K666" s="78"/>
    </x:row>
    <x:row r="667">
      <x:c r="A667" s="73"/>
      <x:c r="B667" s="73"/>
      <x:c r="C667" s="74"/>
      <x:c r="D667" s="73"/>
      <x:c r="E667" s="73"/>
      <x:c r="F667" s="75"/>
      <x:c r="G667" s="75"/>
      <x:c r="H667" s="76" t="str">
        <x:f>IF(A667="","",F667-G667)</x:f>
      </x:c>
      <x:c r="I667" s="77" t="str">
        <x:f>IF(A667="","",IF(E667="","기타/불명",IF(IFERROR(SEARCH("급여",E667),0)&gt;0,"인건비",IF(IFERROR(SEARCH("임차",E667),0)&gt;0,"임차·시설",IF(IFERROR(SEARCH("광고",E667),0)&gt;0,"광고·행사",IF(IFERROR(SEARCH("용역",E667),0)&gt;0,"용역·수수료","기타/불명"))))))</x:f>
      </x:c>
      <x:c r="J667" s="77" t="str">
        <x:f>IF(A667="","",IF(I667="기타/불명","확인 필요","결의서명으로 1차 확인"))</x:f>
      </x:c>
      <x:c r="K667" s="78"/>
    </x:row>
    <x:row r="668">
      <x:c r="A668" s="73"/>
      <x:c r="B668" s="73"/>
      <x:c r="C668" s="74"/>
      <x:c r="D668" s="73"/>
      <x:c r="E668" s="73"/>
      <x:c r="F668" s="75"/>
      <x:c r="G668" s="75"/>
      <x:c r="H668" s="76" t="str">
        <x:f>IF(A668="","",F668-G668)</x:f>
      </x:c>
      <x:c r="I668" s="77" t="str">
        <x:f>IF(A668="","",IF(E668="","기타/불명",IF(IFERROR(SEARCH("급여",E668),0)&gt;0,"인건비",IF(IFERROR(SEARCH("임차",E668),0)&gt;0,"임차·시설",IF(IFERROR(SEARCH("광고",E668),0)&gt;0,"광고·행사",IF(IFERROR(SEARCH("용역",E668),0)&gt;0,"용역·수수료","기타/불명"))))))</x:f>
      </x:c>
      <x:c r="J668" s="77" t="str">
        <x:f>IF(A668="","",IF(I668="기타/불명","확인 필요","결의서명으로 1차 확인"))</x:f>
      </x:c>
      <x:c r="K668" s="78"/>
    </x:row>
    <x:row r="669">
      <x:c r="A669" s="73"/>
      <x:c r="B669" s="73"/>
      <x:c r="C669" s="74"/>
      <x:c r="D669" s="73"/>
      <x:c r="E669" s="73"/>
      <x:c r="F669" s="75"/>
      <x:c r="G669" s="75"/>
      <x:c r="H669" s="76" t="str">
        <x:f>IF(A669="","",F669-G669)</x:f>
      </x:c>
      <x:c r="I669" s="77" t="str">
        <x:f>IF(A669="","",IF(E669="","기타/불명",IF(IFERROR(SEARCH("급여",E669),0)&gt;0,"인건비",IF(IFERROR(SEARCH("임차",E669),0)&gt;0,"임차·시설",IF(IFERROR(SEARCH("광고",E669),0)&gt;0,"광고·행사",IF(IFERROR(SEARCH("용역",E669),0)&gt;0,"용역·수수료","기타/불명"))))))</x:f>
      </x:c>
      <x:c r="J669" s="77" t="str">
        <x:f>IF(A669="","",IF(I669="기타/불명","확인 필요","결의서명으로 1차 확인"))</x:f>
      </x:c>
      <x:c r="K669" s="78"/>
    </x:row>
    <x:row r="670">
      <x:c r="A670" s="73"/>
      <x:c r="B670" s="73"/>
      <x:c r="C670" s="74"/>
      <x:c r="D670" s="73"/>
      <x:c r="E670" s="73"/>
      <x:c r="F670" s="75"/>
      <x:c r="G670" s="75"/>
      <x:c r="H670" s="76" t="str">
        <x:f>IF(A670="","",F670-G670)</x:f>
      </x:c>
      <x:c r="I670" s="77" t="str">
        <x:f>IF(A670="","",IF(E670="","기타/불명",IF(IFERROR(SEARCH("급여",E670),0)&gt;0,"인건비",IF(IFERROR(SEARCH("임차",E670),0)&gt;0,"임차·시설",IF(IFERROR(SEARCH("광고",E670),0)&gt;0,"광고·행사",IF(IFERROR(SEARCH("용역",E670),0)&gt;0,"용역·수수료","기타/불명"))))))</x:f>
      </x:c>
      <x:c r="J670" s="77" t="str">
        <x:f>IF(A670="","",IF(I670="기타/불명","확인 필요","결의서명으로 1차 확인"))</x:f>
      </x:c>
      <x:c r="K670" s="78"/>
    </x:row>
    <x:row r="671">
      <x:c r="A671" s="73"/>
      <x:c r="B671" s="73"/>
      <x:c r="C671" s="74"/>
      <x:c r="D671" s="73"/>
      <x:c r="E671" s="73"/>
      <x:c r="F671" s="75"/>
      <x:c r="G671" s="75"/>
      <x:c r="H671" s="76" t="str">
        <x:f>IF(A671="","",F671-G671)</x:f>
      </x:c>
      <x:c r="I671" s="77" t="str">
        <x:f>IF(A671="","",IF(E671="","기타/불명",IF(IFERROR(SEARCH("급여",E671),0)&gt;0,"인건비",IF(IFERROR(SEARCH("임차",E671),0)&gt;0,"임차·시설",IF(IFERROR(SEARCH("광고",E671),0)&gt;0,"광고·행사",IF(IFERROR(SEARCH("용역",E671),0)&gt;0,"용역·수수료","기타/불명"))))))</x:f>
      </x:c>
      <x:c r="J671" s="77" t="str">
        <x:f>IF(A671="","",IF(I671="기타/불명","확인 필요","결의서명으로 1차 확인"))</x:f>
      </x:c>
      <x:c r="K671" s="78"/>
    </x:row>
    <x:row r="672">
      <x:c r="A672" s="73"/>
      <x:c r="B672" s="73"/>
      <x:c r="C672" s="74"/>
      <x:c r="D672" s="73"/>
      <x:c r="E672" s="73"/>
      <x:c r="F672" s="75"/>
      <x:c r="G672" s="75"/>
      <x:c r="H672" s="76" t="str">
        <x:f>IF(A672="","",F672-G672)</x:f>
      </x:c>
      <x:c r="I672" s="77" t="str">
        <x:f>IF(A672="","",IF(E672="","기타/불명",IF(IFERROR(SEARCH("급여",E672),0)&gt;0,"인건비",IF(IFERROR(SEARCH("임차",E672),0)&gt;0,"임차·시설",IF(IFERROR(SEARCH("광고",E672),0)&gt;0,"광고·행사",IF(IFERROR(SEARCH("용역",E672),0)&gt;0,"용역·수수료","기타/불명"))))))</x:f>
      </x:c>
      <x:c r="J672" s="77" t="str">
        <x:f>IF(A672="","",IF(I672="기타/불명","확인 필요","결의서명으로 1차 확인"))</x:f>
      </x:c>
      <x:c r="K672" s="78"/>
    </x:row>
    <x:row r="673">
      <x:c r="A673" s="73"/>
      <x:c r="B673" s="73"/>
      <x:c r="C673" s="74"/>
      <x:c r="D673" s="73"/>
      <x:c r="E673" s="73"/>
      <x:c r="F673" s="75"/>
      <x:c r="G673" s="75"/>
      <x:c r="H673" s="76" t="str">
        <x:f>IF(A673="","",F673-G673)</x:f>
      </x:c>
      <x:c r="I673" s="77" t="str">
        <x:f>IF(A673="","",IF(E673="","기타/불명",IF(IFERROR(SEARCH("급여",E673),0)&gt;0,"인건비",IF(IFERROR(SEARCH("임차",E673),0)&gt;0,"임차·시설",IF(IFERROR(SEARCH("광고",E673),0)&gt;0,"광고·행사",IF(IFERROR(SEARCH("용역",E673),0)&gt;0,"용역·수수료","기타/불명"))))))</x:f>
      </x:c>
      <x:c r="J673" s="77" t="str">
        <x:f>IF(A673="","",IF(I673="기타/불명","확인 필요","결의서명으로 1차 확인"))</x:f>
      </x:c>
      <x:c r="K673" s="78"/>
    </x:row>
    <x:row r="674">
      <x:c r="A674" s="73"/>
      <x:c r="B674" s="73"/>
      <x:c r="C674" s="74"/>
      <x:c r="D674" s="73"/>
      <x:c r="E674" s="73"/>
      <x:c r="F674" s="75"/>
      <x:c r="G674" s="75"/>
      <x:c r="H674" s="76" t="str">
        <x:f>IF(A674="","",F674-G674)</x:f>
      </x:c>
      <x:c r="I674" s="77" t="str">
        <x:f>IF(A674="","",IF(E674="","기타/불명",IF(IFERROR(SEARCH("급여",E674),0)&gt;0,"인건비",IF(IFERROR(SEARCH("임차",E674),0)&gt;0,"임차·시설",IF(IFERROR(SEARCH("광고",E674),0)&gt;0,"광고·행사",IF(IFERROR(SEARCH("용역",E674),0)&gt;0,"용역·수수료","기타/불명"))))))</x:f>
      </x:c>
      <x:c r="J674" s="77" t="str">
        <x:f>IF(A674="","",IF(I674="기타/불명","확인 필요","결의서명으로 1차 확인"))</x:f>
      </x:c>
      <x:c r="K674" s="78"/>
    </x:row>
    <x:row r="675">
      <x:c r="A675" s="73"/>
      <x:c r="B675" s="73"/>
      <x:c r="C675" s="74"/>
      <x:c r="D675" s="73"/>
      <x:c r="E675" s="73"/>
      <x:c r="F675" s="75"/>
      <x:c r="G675" s="75"/>
      <x:c r="H675" s="76" t="str">
        <x:f>IF(A675="","",F675-G675)</x:f>
      </x:c>
      <x:c r="I675" s="77" t="str">
        <x:f>IF(A675="","",IF(E675="","기타/불명",IF(IFERROR(SEARCH("급여",E675),0)&gt;0,"인건비",IF(IFERROR(SEARCH("임차",E675),0)&gt;0,"임차·시설",IF(IFERROR(SEARCH("광고",E675),0)&gt;0,"광고·행사",IF(IFERROR(SEARCH("용역",E675),0)&gt;0,"용역·수수료","기타/불명"))))))</x:f>
      </x:c>
      <x:c r="J675" s="77" t="str">
        <x:f>IF(A675="","",IF(I675="기타/불명","확인 필요","결의서명으로 1차 확인"))</x:f>
      </x:c>
      <x:c r="K675" s="78"/>
    </x:row>
    <x:row r="676">
      <x:c r="A676" s="73"/>
      <x:c r="B676" s="73"/>
      <x:c r="C676" s="74"/>
      <x:c r="D676" s="73"/>
      <x:c r="E676" s="73"/>
      <x:c r="F676" s="75"/>
      <x:c r="G676" s="75"/>
      <x:c r="H676" s="76" t="str">
        <x:f>IF(A676="","",F676-G676)</x:f>
      </x:c>
      <x:c r="I676" s="77" t="str">
        <x:f>IF(A676="","",IF(E676="","기타/불명",IF(IFERROR(SEARCH("급여",E676),0)&gt;0,"인건비",IF(IFERROR(SEARCH("임차",E676),0)&gt;0,"임차·시설",IF(IFERROR(SEARCH("광고",E676),0)&gt;0,"광고·행사",IF(IFERROR(SEARCH("용역",E676),0)&gt;0,"용역·수수료","기타/불명"))))))</x:f>
      </x:c>
      <x:c r="J676" s="77" t="str">
        <x:f>IF(A676="","",IF(I676="기타/불명","확인 필요","결의서명으로 1차 확인"))</x:f>
      </x:c>
      <x:c r="K676" s="78"/>
    </x:row>
    <x:row r="677">
      <x:c r="A677" s="73"/>
      <x:c r="B677" s="73"/>
      <x:c r="C677" s="74"/>
      <x:c r="D677" s="73"/>
      <x:c r="E677" s="73"/>
      <x:c r="F677" s="75"/>
      <x:c r="G677" s="75"/>
      <x:c r="H677" s="76" t="str">
        <x:f>IF(A677="","",F677-G677)</x:f>
      </x:c>
      <x:c r="I677" s="77" t="str">
        <x:f>IF(A677="","",IF(E677="","기타/불명",IF(IFERROR(SEARCH("급여",E677),0)&gt;0,"인건비",IF(IFERROR(SEARCH("임차",E677),0)&gt;0,"임차·시설",IF(IFERROR(SEARCH("광고",E677),0)&gt;0,"광고·행사",IF(IFERROR(SEARCH("용역",E677),0)&gt;0,"용역·수수료","기타/불명"))))))</x:f>
      </x:c>
      <x:c r="J677" s="77" t="str">
        <x:f>IF(A677="","",IF(I677="기타/불명","확인 필요","결의서명으로 1차 확인"))</x:f>
      </x:c>
      <x:c r="K677" s="78"/>
    </x:row>
    <x:row r="678">
      <x:c r="A678" s="73"/>
      <x:c r="B678" s="73"/>
      <x:c r="C678" s="74"/>
      <x:c r="D678" s="73"/>
      <x:c r="E678" s="73"/>
      <x:c r="F678" s="75"/>
      <x:c r="G678" s="75"/>
      <x:c r="H678" s="76" t="str">
        <x:f>IF(A678="","",F678-G678)</x:f>
      </x:c>
      <x:c r="I678" s="77" t="str">
        <x:f>IF(A678="","",IF(E678="","기타/불명",IF(IFERROR(SEARCH("급여",E678),0)&gt;0,"인건비",IF(IFERROR(SEARCH("임차",E678),0)&gt;0,"임차·시설",IF(IFERROR(SEARCH("광고",E678),0)&gt;0,"광고·행사",IF(IFERROR(SEARCH("용역",E678),0)&gt;0,"용역·수수료","기타/불명"))))))</x:f>
      </x:c>
      <x:c r="J678" s="77" t="str">
        <x:f>IF(A678="","",IF(I678="기타/불명","확인 필요","결의서명으로 1차 확인"))</x:f>
      </x:c>
      <x:c r="K678" s="78"/>
    </x:row>
    <x:row r="679">
      <x:c r="A679" s="73"/>
      <x:c r="B679" s="73"/>
      <x:c r="C679" s="74"/>
      <x:c r="D679" s="73"/>
      <x:c r="E679" s="73"/>
      <x:c r="F679" s="75"/>
      <x:c r="G679" s="75"/>
      <x:c r="H679" s="76" t="str">
        <x:f>IF(A679="","",F679-G679)</x:f>
      </x:c>
      <x:c r="I679" s="77" t="str">
        <x:f>IF(A679="","",IF(E679="","기타/불명",IF(IFERROR(SEARCH("급여",E679),0)&gt;0,"인건비",IF(IFERROR(SEARCH("임차",E679),0)&gt;0,"임차·시설",IF(IFERROR(SEARCH("광고",E679),0)&gt;0,"광고·행사",IF(IFERROR(SEARCH("용역",E679),0)&gt;0,"용역·수수료","기타/불명"))))))</x:f>
      </x:c>
      <x:c r="J679" s="77" t="str">
        <x:f>IF(A679="","",IF(I679="기타/불명","확인 필요","결의서명으로 1차 확인"))</x:f>
      </x:c>
      <x:c r="K679" s="78"/>
    </x:row>
    <x:row r="680">
      <x:c r="A680" s="73"/>
      <x:c r="B680" s="73"/>
      <x:c r="C680" s="74"/>
      <x:c r="D680" s="73"/>
      <x:c r="E680" s="73"/>
      <x:c r="F680" s="75"/>
      <x:c r="G680" s="75"/>
      <x:c r="H680" s="76" t="str">
        <x:f>IF(A680="","",F680-G680)</x:f>
      </x:c>
      <x:c r="I680" s="77" t="str">
        <x:f>IF(A680="","",IF(E680="","기타/불명",IF(IFERROR(SEARCH("급여",E680),0)&gt;0,"인건비",IF(IFERROR(SEARCH("임차",E680),0)&gt;0,"임차·시설",IF(IFERROR(SEARCH("광고",E680),0)&gt;0,"광고·행사",IF(IFERROR(SEARCH("용역",E680),0)&gt;0,"용역·수수료","기타/불명"))))))</x:f>
      </x:c>
      <x:c r="J680" s="77" t="str">
        <x:f>IF(A680="","",IF(I680="기타/불명","확인 필요","결의서명으로 1차 확인"))</x:f>
      </x:c>
      <x:c r="K680" s="78"/>
    </x:row>
    <x:row r="681">
      <x:c r="A681" s="73"/>
      <x:c r="B681" s="73"/>
      <x:c r="C681" s="74"/>
      <x:c r="D681" s="73"/>
      <x:c r="E681" s="73"/>
      <x:c r="F681" s="75"/>
      <x:c r="G681" s="75"/>
      <x:c r="H681" s="76" t="str">
        <x:f>IF(A681="","",F681-G681)</x:f>
      </x:c>
      <x:c r="I681" s="77" t="str">
        <x:f>IF(A681="","",IF(E681="","기타/불명",IF(IFERROR(SEARCH("급여",E681),0)&gt;0,"인건비",IF(IFERROR(SEARCH("임차",E681),0)&gt;0,"임차·시설",IF(IFERROR(SEARCH("광고",E681),0)&gt;0,"광고·행사",IF(IFERROR(SEARCH("용역",E681),0)&gt;0,"용역·수수료","기타/불명"))))))</x:f>
      </x:c>
      <x:c r="J681" s="77" t="str">
        <x:f>IF(A681="","",IF(I681="기타/불명","확인 필요","결의서명으로 1차 확인"))</x:f>
      </x:c>
      <x:c r="K681" s="78"/>
    </x:row>
    <x:row r="682">
      <x:c r="A682" s="73"/>
      <x:c r="B682" s="73"/>
      <x:c r="C682" s="74"/>
      <x:c r="D682" s="73"/>
      <x:c r="E682" s="73"/>
      <x:c r="F682" s="75"/>
      <x:c r="G682" s="75"/>
      <x:c r="H682" s="76" t="str">
        <x:f>IF(A682="","",F682-G682)</x:f>
      </x:c>
      <x:c r="I682" s="77" t="str">
        <x:f>IF(A682="","",IF(E682="","기타/불명",IF(IFERROR(SEARCH("급여",E682),0)&gt;0,"인건비",IF(IFERROR(SEARCH("임차",E682),0)&gt;0,"임차·시설",IF(IFERROR(SEARCH("광고",E682),0)&gt;0,"광고·행사",IF(IFERROR(SEARCH("용역",E682),0)&gt;0,"용역·수수료","기타/불명"))))))</x:f>
      </x:c>
      <x:c r="J682" s="77" t="str">
        <x:f>IF(A682="","",IF(I682="기타/불명","확인 필요","결의서명으로 1차 확인"))</x:f>
      </x:c>
      <x:c r="K682" s="78"/>
    </x:row>
    <x:row r="683">
      <x:c r="A683" s="73"/>
      <x:c r="B683" s="73"/>
      <x:c r="C683" s="74"/>
      <x:c r="D683" s="73"/>
      <x:c r="E683" s="73"/>
      <x:c r="F683" s="75"/>
      <x:c r="G683" s="75"/>
      <x:c r="H683" s="76" t="str">
        <x:f>IF(A683="","",F683-G683)</x:f>
      </x:c>
      <x:c r="I683" s="77" t="str">
        <x:f>IF(A683="","",IF(E683="","기타/불명",IF(IFERROR(SEARCH("급여",E683),0)&gt;0,"인건비",IF(IFERROR(SEARCH("임차",E683),0)&gt;0,"임차·시설",IF(IFERROR(SEARCH("광고",E683),0)&gt;0,"광고·행사",IF(IFERROR(SEARCH("용역",E683),0)&gt;0,"용역·수수료","기타/불명"))))))</x:f>
      </x:c>
      <x:c r="J683" s="77" t="str">
        <x:f>IF(A683="","",IF(I683="기타/불명","확인 필요","결의서명으로 1차 확인"))</x:f>
      </x:c>
      <x:c r="K683" s="78"/>
    </x:row>
    <x:row r="684">
      <x:c r="A684" s="73"/>
      <x:c r="B684" s="73"/>
      <x:c r="C684" s="74"/>
      <x:c r="D684" s="73"/>
      <x:c r="E684" s="73"/>
      <x:c r="F684" s="75"/>
      <x:c r="G684" s="75"/>
      <x:c r="H684" s="76" t="str">
        <x:f>IF(A684="","",F684-G684)</x:f>
      </x:c>
      <x:c r="I684" s="77" t="str">
        <x:f>IF(A684="","",IF(E684="","기타/불명",IF(IFERROR(SEARCH("급여",E684),0)&gt;0,"인건비",IF(IFERROR(SEARCH("임차",E684),0)&gt;0,"임차·시설",IF(IFERROR(SEARCH("광고",E684),0)&gt;0,"광고·행사",IF(IFERROR(SEARCH("용역",E684),0)&gt;0,"용역·수수료","기타/불명"))))))</x:f>
      </x:c>
      <x:c r="J684" s="77" t="str">
        <x:f>IF(A684="","",IF(I684="기타/불명","확인 필요","결의서명으로 1차 확인"))</x:f>
      </x:c>
      <x:c r="K684" s="78"/>
    </x:row>
    <x:row r="685">
      <x:c r="A685" s="73"/>
      <x:c r="B685" s="73"/>
      <x:c r="C685" s="74"/>
      <x:c r="D685" s="73"/>
      <x:c r="E685" s="73"/>
      <x:c r="F685" s="75"/>
      <x:c r="G685" s="75"/>
      <x:c r="H685" s="76" t="str">
        <x:f>IF(A685="","",F685-G685)</x:f>
      </x:c>
      <x:c r="I685" s="77" t="str">
        <x:f>IF(A685="","",IF(E685="","기타/불명",IF(IFERROR(SEARCH("급여",E685),0)&gt;0,"인건비",IF(IFERROR(SEARCH("임차",E685),0)&gt;0,"임차·시설",IF(IFERROR(SEARCH("광고",E685),0)&gt;0,"광고·행사",IF(IFERROR(SEARCH("용역",E685),0)&gt;0,"용역·수수료","기타/불명"))))))</x:f>
      </x:c>
      <x:c r="J685" s="77" t="str">
        <x:f>IF(A685="","",IF(I685="기타/불명","확인 필요","결의서명으로 1차 확인"))</x:f>
      </x:c>
      <x:c r="K685" s="78"/>
    </x:row>
    <x:row r="686">
      <x:c r="A686" s="73"/>
      <x:c r="B686" s="73"/>
      <x:c r="C686" s="74"/>
      <x:c r="D686" s="73"/>
      <x:c r="E686" s="73"/>
      <x:c r="F686" s="75"/>
      <x:c r="G686" s="75"/>
      <x:c r="H686" s="76" t="str">
        <x:f>IF(A686="","",F686-G686)</x:f>
      </x:c>
      <x:c r="I686" s="77" t="str">
        <x:f>IF(A686="","",IF(E686="","기타/불명",IF(IFERROR(SEARCH("급여",E686),0)&gt;0,"인건비",IF(IFERROR(SEARCH("임차",E686),0)&gt;0,"임차·시설",IF(IFERROR(SEARCH("광고",E686),0)&gt;0,"광고·행사",IF(IFERROR(SEARCH("용역",E686),0)&gt;0,"용역·수수료","기타/불명"))))))</x:f>
      </x:c>
      <x:c r="J686" s="77" t="str">
        <x:f>IF(A686="","",IF(I686="기타/불명","확인 필요","결의서명으로 1차 확인"))</x:f>
      </x:c>
      <x:c r="K686" s="78"/>
    </x:row>
    <x:row r="687">
      <x:c r="A687" s="73"/>
      <x:c r="B687" s="73"/>
      <x:c r="C687" s="74"/>
      <x:c r="D687" s="73"/>
      <x:c r="E687" s="73"/>
      <x:c r="F687" s="75"/>
      <x:c r="G687" s="75"/>
      <x:c r="H687" s="76" t="str">
        <x:f>IF(A687="","",F687-G687)</x:f>
      </x:c>
      <x:c r="I687" s="77" t="str">
        <x:f>IF(A687="","",IF(E687="","기타/불명",IF(IFERROR(SEARCH("급여",E687),0)&gt;0,"인건비",IF(IFERROR(SEARCH("임차",E687),0)&gt;0,"임차·시설",IF(IFERROR(SEARCH("광고",E687),0)&gt;0,"광고·행사",IF(IFERROR(SEARCH("용역",E687),0)&gt;0,"용역·수수료","기타/불명"))))))</x:f>
      </x:c>
      <x:c r="J687" s="77" t="str">
        <x:f>IF(A687="","",IF(I687="기타/불명","확인 필요","결의서명으로 1차 확인"))</x:f>
      </x:c>
      <x:c r="K687" s="78"/>
    </x:row>
    <x:row r="688">
      <x:c r="A688" s="73"/>
      <x:c r="B688" s="73"/>
      <x:c r="C688" s="74"/>
      <x:c r="D688" s="73"/>
      <x:c r="E688" s="73"/>
      <x:c r="F688" s="75"/>
      <x:c r="G688" s="75"/>
      <x:c r="H688" s="76" t="str">
        <x:f>IF(A688="","",F688-G688)</x:f>
      </x:c>
      <x:c r="I688" s="77" t="str">
        <x:f>IF(A688="","",IF(E688="","기타/불명",IF(IFERROR(SEARCH("급여",E688),0)&gt;0,"인건비",IF(IFERROR(SEARCH("임차",E688),0)&gt;0,"임차·시설",IF(IFERROR(SEARCH("광고",E688),0)&gt;0,"광고·행사",IF(IFERROR(SEARCH("용역",E688),0)&gt;0,"용역·수수료","기타/불명"))))))</x:f>
      </x:c>
      <x:c r="J688" s="77" t="str">
        <x:f>IF(A688="","",IF(I688="기타/불명","확인 필요","결의서명으로 1차 확인"))</x:f>
      </x:c>
      <x:c r="K688" s="78"/>
    </x:row>
    <x:row r="689">
      <x:c r="A689" s="73"/>
      <x:c r="B689" s="73"/>
      <x:c r="C689" s="74"/>
      <x:c r="D689" s="73"/>
      <x:c r="E689" s="73"/>
      <x:c r="F689" s="75"/>
      <x:c r="G689" s="75"/>
      <x:c r="H689" s="76" t="str">
        <x:f>IF(A689="","",F689-G689)</x:f>
      </x:c>
      <x:c r="I689" s="77" t="str">
        <x:f>IF(A689="","",IF(E689="","기타/불명",IF(IFERROR(SEARCH("급여",E689),0)&gt;0,"인건비",IF(IFERROR(SEARCH("임차",E689),0)&gt;0,"임차·시설",IF(IFERROR(SEARCH("광고",E689),0)&gt;0,"광고·행사",IF(IFERROR(SEARCH("용역",E689),0)&gt;0,"용역·수수료","기타/불명"))))))</x:f>
      </x:c>
      <x:c r="J689" s="77" t="str">
        <x:f>IF(A689="","",IF(I689="기타/불명","확인 필요","결의서명으로 1차 확인"))</x:f>
      </x:c>
      <x:c r="K689" s="78"/>
    </x:row>
    <x:row r="690">
      <x:c r="A690" s="73"/>
      <x:c r="B690" s="73"/>
      <x:c r="C690" s="74"/>
      <x:c r="D690" s="73"/>
      <x:c r="E690" s="73"/>
      <x:c r="F690" s="75"/>
      <x:c r="G690" s="75"/>
      <x:c r="H690" s="76" t="str">
        <x:f>IF(A690="","",F690-G690)</x:f>
      </x:c>
      <x:c r="I690" s="77" t="str">
        <x:f>IF(A690="","",IF(E690="","기타/불명",IF(IFERROR(SEARCH("급여",E690),0)&gt;0,"인건비",IF(IFERROR(SEARCH("임차",E690),0)&gt;0,"임차·시설",IF(IFERROR(SEARCH("광고",E690),0)&gt;0,"광고·행사",IF(IFERROR(SEARCH("용역",E690),0)&gt;0,"용역·수수료","기타/불명"))))))</x:f>
      </x:c>
      <x:c r="J690" s="77" t="str">
        <x:f>IF(A690="","",IF(I690="기타/불명","확인 필요","결의서명으로 1차 확인"))</x:f>
      </x:c>
      <x:c r="K690" s="78"/>
    </x:row>
    <x:row r="691">
      <x:c r="A691" s="73"/>
      <x:c r="B691" s="73"/>
      <x:c r="C691" s="74"/>
      <x:c r="D691" s="73"/>
      <x:c r="E691" s="73"/>
      <x:c r="F691" s="75"/>
      <x:c r="G691" s="75"/>
      <x:c r="H691" s="76" t="str">
        <x:f>IF(A691="","",F691-G691)</x:f>
      </x:c>
      <x:c r="I691" s="77" t="str">
        <x:f>IF(A691="","",IF(E691="","기타/불명",IF(IFERROR(SEARCH("급여",E691),0)&gt;0,"인건비",IF(IFERROR(SEARCH("임차",E691),0)&gt;0,"임차·시설",IF(IFERROR(SEARCH("광고",E691),0)&gt;0,"광고·행사",IF(IFERROR(SEARCH("용역",E691),0)&gt;0,"용역·수수료","기타/불명"))))))</x:f>
      </x:c>
      <x:c r="J691" s="77" t="str">
        <x:f>IF(A691="","",IF(I691="기타/불명","확인 필요","결의서명으로 1차 확인"))</x:f>
      </x:c>
      <x:c r="K691" s="78"/>
    </x:row>
    <x:row r="692">
      <x:c r="A692" s="73"/>
      <x:c r="B692" s="73"/>
      <x:c r="C692" s="74"/>
      <x:c r="D692" s="73"/>
      <x:c r="E692" s="73"/>
      <x:c r="F692" s="75"/>
      <x:c r="G692" s="75"/>
      <x:c r="H692" s="76" t="str">
        <x:f>IF(A692="","",F692-G692)</x:f>
      </x:c>
      <x:c r="I692" s="77" t="str">
        <x:f>IF(A692="","",IF(E692="","기타/불명",IF(IFERROR(SEARCH("급여",E692),0)&gt;0,"인건비",IF(IFERROR(SEARCH("임차",E692),0)&gt;0,"임차·시설",IF(IFERROR(SEARCH("광고",E692),0)&gt;0,"광고·행사",IF(IFERROR(SEARCH("용역",E692),0)&gt;0,"용역·수수료","기타/불명"))))))</x:f>
      </x:c>
      <x:c r="J692" s="77" t="str">
        <x:f>IF(A692="","",IF(I692="기타/불명","확인 필요","결의서명으로 1차 확인"))</x:f>
      </x:c>
      <x:c r="K692" s="78"/>
    </x:row>
    <x:row r="693">
      <x:c r="A693" s="73"/>
      <x:c r="B693" s="73"/>
      <x:c r="C693" s="74"/>
      <x:c r="D693" s="73"/>
      <x:c r="E693" s="73"/>
      <x:c r="F693" s="75"/>
      <x:c r="G693" s="75"/>
      <x:c r="H693" s="76" t="str">
        <x:f>IF(A693="","",F693-G693)</x:f>
      </x:c>
      <x:c r="I693" s="77" t="str">
        <x:f>IF(A693="","",IF(E693="","기타/불명",IF(IFERROR(SEARCH("급여",E693),0)&gt;0,"인건비",IF(IFERROR(SEARCH("임차",E693),0)&gt;0,"임차·시설",IF(IFERROR(SEARCH("광고",E693),0)&gt;0,"광고·행사",IF(IFERROR(SEARCH("용역",E693),0)&gt;0,"용역·수수료","기타/불명"))))))</x:f>
      </x:c>
      <x:c r="J693" s="77" t="str">
        <x:f>IF(A693="","",IF(I693="기타/불명","확인 필요","결의서명으로 1차 확인"))</x:f>
      </x:c>
      <x:c r="K693" s="78"/>
    </x:row>
    <x:row r="694">
      <x:c r="A694" s="73"/>
      <x:c r="B694" s="73"/>
      <x:c r="C694" s="74"/>
      <x:c r="D694" s="73"/>
      <x:c r="E694" s="73"/>
      <x:c r="F694" s="75"/>
      <x:c r="G694" s="75"/>
      <x:c r="H694" s="76" t="str">
        <x:f>IF(A694="","",F694-G694)</x:f>
      </x:c>
      <x:c r="I694" s="77" t="str">
        <x:f>IF(A694="","",IF(E694="","기타/불명",IF(IFERROR(SEARCH("급여",E694),0)&gt;0,"인건비",IF(IFERROR(SEARCH("임차",E694),0)&gt;0,"임차·시설",IF(IFERROR(SEARCH("광고",E694),0)&gt;0,"광고·행사",IF(IFERROR(SEARCH("용역",E694),0)&gt;0,"용역·수수료","기타/불명"))))))</x:f>
      </x:c>
      <x:c r="J694" s="77" t="str">
        <x:f>IF(A694="","",IF(I694="기타/불명","확인 필요","결의서명으로 1차 확인"))</x:f>
      </x:c>
      <x:c r="K694" s="78"/>
    </x:row>
    <x:row r="695">
      <x:c r="A695" s="73"/>
      <x:c r="B695" s="73"/>
      <x:c r="C695" s="74"/>
      <x:c r="D695" s="73"/>
      <x:c r="E695" s="73"/>
      <x:c r="F695" s="75"/>
      <x:c r="G695" s="75"/>
      <x:c r="H695" s="76" t="str">
        <x:f>IF(A695="","",F695-G695)</x:f>
      </x:c>
      <x:c r="I695" s="77" t="str">
        <x:f>IF(A695="","",IF(E695="","기타/불명",IF(IFERROR(SEARCH("급여",E695),0)&gt;0,"인건비",IF(IFERROR(SEARCH("임차",E695),0)&gt;0,"임차·시설",IF(IFERROR(SEARCH("광고",E695),0)&gt;0,"광고·행사",IF(IFERROR(SEARCH("용역",E695),0)&gt;0,"용역·수수료","기타/불명"))))))</x:f>
      </x:c>
      <x:c r="J695" s="77" t="str">
        <x:f>IF(A695="","",IF(I695="기타/불명","확인 필요","결의서명으로 1차 확인"))</x:f>
      </x:c>
      <x:c r="K695" s="78"/>
    </x:row>
    <x:row r="696">
      <x:c r="A696" s="73"/>
      <x:c r="B696" s="73"/>
      <x:c r="C696" s="74"/>
      <x:c r="D696" s="73"/>
      <x:c r="E696" s="73"/>
      <x:c r="F696" s="75"/>
      <x:c r="G696" s="75"/>
      <x:c r="H696" s="76" t="str">
        <x:f>IF(A696="","",F696-G696)</x:f>
      </x:c>
      <x:c r="I696" s="77" t="str">
        <x:f>IF(A696="","",IF(E696="","기타/불명",IF(IFERROR(SEARCH("급여",E696),0)&gt;0,"인건비",IF(IFERROR(SEARCH("임차",E696),0)&gt;0,"임차·시설",IF(IFERROR(SEARCH("광고",E696),0)&gt;0,"광고·행사",IF(IFERROR(SEARCH("용역",E696),0)&gt;0,"용역·수수료","기타/불명"))))))</x:f>
      </x:c>
      <x:c r="J696" s="77" t="str">
        <x:f>IF(A696="","",IF(I696="기타/불명","확인 필요","결의서명으로 1차 확인"))</x:f>
      </x:c>
      <x:c r="K696" s="78"/>
    </x:row>
    <x:row r="697">
      <x:c r="A697" s="73"/>
      <x:c r="B697" s="73"/>
      <x:c r="C697" s="74"/>
      <x:c r="D697" s="73"/>
      <x:c r="E697" s="73"/>
      <x:c r="F697" s="75"/>
      <x:c r="G697" s="75"/>
      <x:c r="H697" s="76" t="str">
        <x:f>IF(A697="","",F697-G697)</x:f>
      </x:c>
      <x:c r="I697" s="77" t="str">
        <x:f>IF(A697="","",IF(E697="","기타/불명",IF(IFERROR(SEARCH("급여",E697),0)&gt;0,"인건비",IF(IFERROR(SEARCH("임차",E697),0)&gt;0,"임차·시설",IF(IFERROR(SEARCH("광고",E697),0)&gt;0,"광고·행사",IF(IFERROR(SEARCH("용역",E697),0)&gt;0,"용역·수수료","기타/불명"))))))</x:f>
      </x:c>
      <x:c r="J697" s="77" t="str">
        <x:f>IF(A697="","",IF(I697="기타/불명","확인 필요","결의서명으로 1차 확인"))</x:f>
      </x:c>
      <x:c r="K697" s="78"/>
    </x:row>
    <x:row r="698">
      <x:c r="A698" s="73"/>
      <x:c r="B698" s="73"/>
      <x:c r="C698" s="74"/>
      <x:c r="D698" s="73"/>
      <x:c r="E698" s="73"/>
      <x:c r="F698" s="75"/>
      <x:c r="G698" s="75"/>
      <x:c r="H698" s="76" t="str">
        <x:f>IF(A698="","",F698-G698)</x:f>
      </x:c>
      <x:c r="I698" s="77" t="str">
        <x:f>IF(A698="","",IF(E698="","기타/불명",IF(IFERROR(SEARCH("급여",E698),0)&gt;0,"인건비",IF(IFERROR(SEARCH("임차",E698),0)&gt;0,"임차·시설",IF(IFERROR(SEARCH("광고",E698),0)&gt;0,"광고·행사",IF(IFERROR(SEARCH("용역",E698),0)&gt;0,"용역·수수료","기타/불명"))))))</x:f>
      </x:c>
      <x:c r="J698" s="77" t="str">
        <x:f>IF(A698="","",IF(I698="기타/불명","확인 필요","결의서명으로 1차 확인"))</x:f>
      </x:c>
      <x:c r="K698" s="78"/>
    </x:row>
    <x:row r="699">
      <x:c r="A699" s="73"/>
      <x:c r="B699" s="73"/>
      <x:c r="C699" s="74"/>
      <x:c r="D699" s="73"/>
      <x:c r="E699" s="73"/>
      <x:c r="F699" s="75"/>
      <x:c r="G699" s="75"/>
      <x:c r="H699" s="76" t="str">
        <x:f>IF(A699="","",F699-G699)</x:f>
      </x:c>
      <x:c r="I699" s="77" t="str">
        <x:f>IF(A699="","",IF(E699="","기타/불명",IF(IFERROR(SEARCH("급여",E699),0)&gt;0,"인건비",IF(IFERROR(SEARCH("임차",E699),0)&gt;0,"임차·시설",IF(IFERROR(SEARCH("광고",E699),0)&gt;0,"광고·행사",IF(IFERROR(SEARCH("용역",E699),0)&gt;0,"용역·수수료","기타/불명"))))))</x:f>
      </x:c>
      <x:c r="J699" s="77" t="str">
        <x:f>IF(A699="","",IF(I699="기타/불명","확인 필요","결의서명으로 1차 확인"))</x:f>
      </x:c>
      <x:c r="K699" s="78"/>
    </x:row>
    <x:row r="700">
      <x:c r="A700" s="73"/>
      <x:c r="B700" s="73"/>
      <x:c r="C700" s="74"/>
      <x:c r="D700" s="73"/>
      <x:c r="E700" s="73"/>
      <x:c r="F700" s="75"/>
      <x:c r="G700" s="75"/>
      <x:c r="H700" s="76" t="str">
        <x:f>IF(A700="","",F700-G700)</x:f>
      </x:c>
      <x:c r="I700" s="77" t="str">
        <x:f>IF(A700="","",IF(E700="","기타/불명",IF(IFERROR(SEARCH("급여",E700),0)&gt;0,"인건비",IF(IFERROR(SEARCH("임차",E700),0)&gt;0,"임차·시설",IF(IFERROR(SEARCH("광고",E700),0)&gt;0,"광고·행사",IF(IFERROR(SEARCH("용역",E700),0)&gt;0,"용역·수수료","기타/불명"))))))</x:f>
      </x:c>
      <x:c r="J700" s="77" t="str">
        <x:f>IF(A700="","",IF(I700="기타/불명","확인 필요","결의서명으로 1차 확인"))</x:f>
      </x:c>
      <x:c r="K700" s="78"/>
    </x:row>
    <x:row r="701">
      <x:c r="A701" s="73"/>
      <x:c r="B701" s="73"/>
      <x:c r="C701" s="74"/>
      <x:c r="D701" s="73"/>
      <x:c r="E701" s="73"/>
      <x:c r="F701" s="75"/>
      <x:c r="G701" s="75"/>
      <x:c r="H701" s="76" t="str">
        <x:f>IF(A701="","",F701-G701)</x:f>
      </x:c>
      <x:c r="I701" s="77" t="str">
        <x:f>IF(A701="","",IF(E701="","기타/불명",IF(IFERROR(SEARCH("급여",E701),0)&gt;0,"인건비",IF(IFERROR(SEARCH("임차",E701),0)&gt;0,"임차·시설",IF(IFERROR(SEARCH("광고",E701),0)&gt;0,"광고·행사",IF(IFERROR(SEARCH("용역",E701),0)&gt;0,"용역·수수료","기타/불명"))))))</x:f>
      </x:c>
      <x:c r="J701" s="77" t="str">
        <x:f>IF(A701="","",IF(I701="기타/불명","확인 필요","결의서명으로 1차 확인"))</x:f>
      </x:c>
      <x:c r="K701" s="78"/>
    </x:row>
    <x:row r="702">
      <x:c r="A702" s="73"/>
      <x:c r="B702" s="73"/>
      <x:c r="C702" s="74"/>
      <x:c r="D702" s="73"/>
      <x:c r="E702" s="73"/>
      <x:c r="F702" s="75"/>
      <x:c r="G702" s="75"/>
      <x:c r="H702" s="76" t="str">
        <x:f>IF(A702="","",F702-G702)</x:f>
      </x:c>
      <x:c r="I702" s="77" t="str">
        <x:f>IF(A702="","",IF(E702="","기타/불명",IF(IFERROR(SEARCH("급여",E702),0)&gt;0,"인건비",IF(IFERROR(SEARCH("임차",E702),0)&gt;0,"임차·시설",IF(IFERROR(SEARCH("광고",E702),0)&gt;0,"광고·행사",IF(IFERROR(SEARCH("용역",E702),0)&gt;0,"용역·수수료","기타/불명"))))))</x:f>
      </x:c>
      <x:c r="J702" s="77" t="str">
        <x:f>IF(A702="","",IF(I702="기타/불명","확인 필요","결의서명으로 1차 확인"))</x:f>
      </x:c>
      <x:c r="K702" s="78"/>
    </x:row>
    <x:row r="703">
      <x:c r="A703" s="73"/>
      <x:c r="B703" s="73"/>
      <x:c r="C703" s="74"/>
      <x:c r="D703" s="73"/>
      <x:c r="E703" s="73"/>
      <x:c r="F703" s="75"/>
      <x:c r="G703" s="75"/>
      <x:c r="H703" s="76" t="str">
        <x:f>IF(A703="","",F703-G703)</x:f>
      </x:c>
      <x:c r="I703" s="77" t="str">
        <x:f>IF(A703="","",IF(E703="","기타/불명",IF(IFERROR(SEARCH("급여",E703),0)&gt;0,"인건비",IF(IFERROR(SEARCH("임차",E703),0)&gt;0,"임차·시설",IF(IFERROR(SEARCH("광고",E703),0)&gt;0,"광고·행사",IF(IFERROR(SEARCH("용역",E703),0)&gt;0,"용역·수수료","기타/불명"))))))</x:f>
      </x:c>
      <x:c r="J703" s="77" t="str">
        <x:f>IF(A703="","",IF(I703="기타/불명","확인 필요","결의서명으로 1차 확인"))</x:f>
      </x:c>
      <x:c r="K703" s="78"/>
    </x:row>
    <x:row r="704">
      <x:c r="A704" s="73"/>
      <x:c r="B704" s="73"/>
      <x:c r="C704" s="74"/>
      <x:c r="D704" s="73"/>
      <x:c r="E704" s="73"/>
      <x:c r="F704" s="75"/>
      <x:c r="G704" s="75"/>
      <x:c r="H704" s="76" t="str">
        <x:f>IF(A704="","",F704-G704)</x:f>
      </x:c>
      <x:c r="I704" s="77" t="str">
        <x:f>IF(A704="","",IF(E704="","기타/불명",IF(IFERROR(SEARCH("급여",E704),0)&gt;0,"인건비",IF(IFERROR(SEARCH("임차",E704),0)&gt;0,"임차·시설",IF(IFERROR(SEARCH("광고",E704),0)&gt;0,"광고·행사",IF(IFERROR(SEARCH("용역",E704),0)&gt;0,"용역·수수료","기타/불명"))))))</x:f>
      </x:c>
      <x:c r="J704" s="77" t="str">
        <x:f>IF(A704="","",IF(I704="기타/불명","확인 필요","결의서명으로 1차 확인"))</x:f>
      </x:c>
      <x:c r="K704" s="78"/>
    </x:row>
    <x:row r="705">
      <x:c r="A705" s="73"/>
      <x:c r="B705" s="73"/>
      <x:c r="C705" s="74"/>
      <x:c r="D705" s="73"/>
      <x:c r="E705" s="73"/>
      <x:c r="F705" s="75"/>
      <x:c r="G705" s="75"/>
      <x:c r="H705" s="76" t="str">
        <x:f>IF(A705="","",F705-G705)</x:f>
      </x:c>
      <x:c r="I705" s="77" t="str">
        <x:f>IF(A705="","",IF(E705="","기타/불명",IF(IFERROR(SEARCH("급여",E705),0)&gt;0,"인건비",IF(IFERROR(SEARCH("임차",E705),0)&gt;0,"임차·시설",IF(IFERROR(SEARCH("광고",E705),0)&gt;0,"광고·행사",IF(IFERROR(SEARCH("용역",E705),0)&gt;0,"용역·수수료","기타/불명"))))))</x:f>
      </x:c>
      <x:c r="J705" s="77" t="str">
        <x:f>IF(A705="","",IF(I705="기타/불명","확인 필요","결의서명으로 1차 확인"))</x:f>
      </x:c>
      <x:c r="K705" s="78"/>
    </x:row>
    <x:row r="706">
      <x:c r="A706" s="73"/>
      <x:c r="B706" s="73"/>
      <x:c r="C706" s="74"/>
      <x:c r="D706" s="73"/>
      <x:c r="E706" s="73"/>
      <x:c r="F706" s="75"/>
      <x:c r="G706" s="75"/>
      <x:c r="H706" s="76" t="str">
        <x:f>IF(A706="","",F706-G706)</x:f>
      </x:c>
      <x:c r="I706" s="77" t="str">
        <x:f>IF(A706="","",IF(E706="","기타/불명",IF(IFERROR(SEARCH("급여",E706),0)&gt;0,"인건비",IF(IFERROR(SEARCH("임차",E706),0)&gt;0,"임차·시설",IF(IFERROR(SEARCH("광고",E706),0)&gt;0,"광고·행사",IF(IFERROR(SEARCH("용역",E706),0)&gt;0,"용역·수수료","기타/불명"))))))</x:f>
      </x:c>
      <x:c r="J706" s="77" t="str">
        <x:f>IF(A706="","",IF(I706="기타/불명","확인 필요","결의서명으로 1차 확인"))</x:f>
      </x:c>
      <x:c r="K706" s="78"/>
    </x:row>
    <x:row r="707">
      <x:c r="A707" s="73"/>
      <x:c r="B707" s="73"/>
      <x:c r="C707" s="74"/>
      <x:c r="D707" s="73"/>
      <x:c r="E707" s="73"/>
      <x:c r="F707" s="75"/>
      <x:c r="G707" s="75"/>
      <x:c r="H707" s="76" t="str">
        <x:f>IF(A707="","",F707-G707)</x:f>
      </x:c>
      <x:c r="I707" s="77" t="str">
        <x:f>IF(A707="","",IF(E707="","기타/불명",IF(IFERROR(SEARCH("급여",E707),0)&gt;0,"인건비",IF(IFERROR(SEARCH("임차",E707),0)&gt;0,"임차·시설",IF(IFERROR(SEARCH("광고",E707),0)&gt;0,"광고·행사",IF(IFERROR(SEARCH("용역",E707),0)&gt;0,"용역·수수료","기타/불명"))))))</x:f>
      </x:c>
      <x:c r="J707" s="77" t="str">
        <x:f>IF(A707="","",IF(I707="기타/불명","확인 필요","결의서명으로 1차 확인"))</x:f>
      </x:c>
      <x:c r="K707" s="78"/>
    </x:row>
    <x:row r="708">
      <x:c r="A708" s="73"/>
      <x:c r="B708" s="73"/>
      <x:c r="C708" s="74"/>
      <x:c r="D708" s="73"/>
      <x:c r="E708" s="73"/>
      <x:c r="F708" s="75"/>
      <x:c r="G708" s="75"/>
      <x:c r="H708" s="76" t="str">
        <x:f>IF(A708="","",F708-G708)</x:f>
      </x:c>
      <x:c r="I708" s="77" t="str">
        <x:f>IF(A708="","",IF(E708="","기타/불명",IF(IFERROR(SEARCH("급여",E708),0)&gt;0,"인건비",IF(IFERROR(SEARCH("임차",E708),0)&gt;0,"임차·시설",IF(IFERROR(SEARCH("광고",E708),0)&gt;0,"광고·행사",IF(IFERROR(SEARCH("용역",E708),0)&gt;0,"용역·수수료","기타/불명"))))))</x:f>
      </x:c>
      <x:c r="J708" s="77" t="str">
        <x:f>IF(A708="","",IF(I708="기타/불명","확인 필요","결의서명으로 1차 확인"))</x:f>
      </x:c>
      <x:c r="K708" s="78"/>
    </x:row>
    <x:row r="709">
      <x:c r="A709" s="73"/>
      <x:c r="B709" s="73"/>
      <x:c r="C709" s="74"/>
      <x:c r="D709" s="73"/>
      <x:c r="E709" s="73"/>
      <x:c r="F709" s="75"/>
      <x:c r="G709" s="75"/>
      <x:c r="H709" s="76" t="str">
        <x:f>IF(A709="","",F709-G709)</x:f>
      </x:c>
      <x:c r="I709" s="77" t="str">
        <x:f>IF(A709="","",IF(E709="","기타/불명",IF(IFERROR(SEARCH("급여",E709),0)&gt;0,"인건비",IF(IFERROR(SEARCH("임차",E709),0)&gt;0,"임차·시설",IF(IFERROR(SEARCH("광고",E709),0)&gt;0,"광고·행사",IF(IFERROR(SEARCH("용역",E709),0)&gt;0,"용역·수수료","기타/불명"))))))</x:f>
      </x:c>
      <x:c r="J709" s="77" t="str">
        <x:f>IF(A709="","",IF(I709="기타/불명","확인 필요","결의서명으로 1차 확인"))</x:f>
      </x:c>
      <x:c r="K709" s="78"/>
    </x:row>
    <x:row r="710">
      <x:c r="A710" s="73"/>
      <x:c r="B710" s="73"/>
      <x:c r="C710" s="74"/>
      <x:c r="D710" s="73"/>
      <x:c r="E710" s="73"/>
      <x:c r="F710" s="75"/>
      <x:c r="G710" s="75"/>
      <x:c r="H710" s="76" t="str">
        <x:f>IF(A710="","",F710-G710)</x:f>
      </x:c>
      <x:c r="I710" s="77" t="str">
        <x:f>IF(A710="","",IF(E710="","기타/불명",IF(IFERROR(SEARCH("급여",E710),0)&gt;0,"인건비",IF(IFERROR(SEARCH("임차",E710),0)&gt;0,"임차·시설",IF(IFERROR(SEARCH("광고",E710),0)&gt;0,"광고·행사",IF(IFERROR(SEARCH("용역",E710),0)&gt;0,"용역·수수료","기타/불명"))))))</x:f>
      </x:c>
      <x:c r="J710" s="77" t="str">
        <x:f>IF(A710="","",IF(I710="기타/불명","확인 필요","결의서명으로 1차 확인"))</x:f>
      </x:c>
      <x:c r="K710" s="78"/>
    </x:row>
    <x:row r="711">
      <x:c r="A711" s="73"/>
      <x:c r="B711" s="73"/>
      <x:c r="C711" s="74"/>
      <x:c r="D711" s="73"/>
      <x:c r="E711" s="73"/>
      <x:c r="F711" s="75"/>
      <x:c r="G711" s="75"/>
      <x:c r="H711" s="76" t="str">
        <x:f>IF(A711="","",F711-G711)</x:f>
      </x:c>
      <x:c r="I711" s="77" t="str">
        <x:f>IF(A711="","",IF(E711="","기타/불명",IF(IFERROR(SEARCH("급여",E711),0)&gt;0,"인건비",IF(IFERROR(SEARCH("임차",E711),0)&gt;0,"임차·시설",IF(IFERROR(SEARCH("광고",E711),0)&gt;0,"광고·행사",IF(IFERROR(SEARCH("용역",E711),0)&gt;0,"용역·수수료","기타/불명"))))))</x:f>
      </x:c>
      <x:c r="J711" s="77" t="str">
        <x:f>IF(A711="","",IF(I711="기타/불명","확인 필요","결의서명으로 1차 확인"))</x:f>
      </x:c>
      <x:c r="K711" s="78"/>
    </x:row>
    <x:row r="712">
      <x:c r="A712" s="73"/>
      <x:c r="B712" s="73"/>
      <x:c r="C712" s="74"/>
      <x:c r="D712" s="73"/>
      <x:c r="E712" s="73"/>
      <x:c r="F712" s="75"/>
      <x:c r="G712" s="75"/>
      <x:c r="H712" s="76" t="str">
        <x:f>IF(A712="","",F712-G712)</x:f>
      </x:c>
      <x:c r="I712" s="77" t="str">
        <x:f>IF(A712="","",IF(E712="","기타/불명",IF(IFERROR(SEARCH("급여",E712),0)&gt;0,"인건비",IF(IFERROR(SEARCH("임차",E712),0)&gt;0,"임차·시설",IF(IFERROR(SEARCH("광고",E712),0)&gt;0,"광고·행사",IF(IFERROR(SEARCH("용역",E712),0)&gt;0,"용역·수수료","기타/불명"))))))</x:f>
      </x:c>
      <x:c r="J712" s="77" t="str">
        <x:f>IF(A712="","",IF(I712="기타/불명","확인 필요","결의서명으로 1차 확인"))</x:f>
      </x:c>
      <x:c r="K712" s="78"/>
    </x:row>
    <x:row r="713">
      <x:c r="A713" s="73"/>
      <x:c r="B713" s="73"/>
      <x:c r="C713" s="74"/>
      <x:c r="D713" s="73"/>
      <x:c r="E713" s="73"/>
      <x:c r="F713" s="75"/>
      <x:c r="G713" s="75"/>
      <x:c r="H713" s="76" t="str">
        <x:f>IF(A713="","",F713-G713)</x:f>
      </x:c>
      <x:c r="I713" s="77" t="str">
        <x:f>IF(A713="","",IF(E713="","기타/불명",IF(IFERROR(SEARCH("급여",E713),0)&gt;0,"인건비",IF(IFERROR(SEARCH("임차",E713),0)&gt;0,"임차·시설",IF(IFERROR(SEARCH("광고",E713),0)&gt;0,"광고·행사",IF(IFERROR(SEARCH("용역",E713),0)&gt;0,"용역·수수료","기타/불명"))))))</x:f>
      </x:c>
      <x:c r="J713" s="77" t="str">
        <x:f>IF(A713="","",IF(I713="기타/불명","확인 필요","결의서명으로 1차 확인"))</x:f>
      </x:c>
      <x:c r="K713" s="78"/>
    </x:row>
    <x:row r="714">
      <x:c r="A714" s="73"/>
      <x:c r="B714" s="73"/>
      <x:c r="C714" s="74"/>
      <x:c r="D714" s="73"/>
      <x:c r="E714" s="73"/>
      <x:c r="F714" s="75"/>
      <x:c r="G714" s="75"/>
      <x:c r="H714" s="76" t="str">
        <x:f>IF(A714="","",F714-G714)</x:f>
      </x:c>
      <x:c r="I714" s="77" t="str">
        <x:f>IF(A714="","",IF(E714="","기타/불명",IF(IFERROR(SEARCH("급여",E714),0)&gt;0,"인건비",IF(IFERROR(SEARCH("임차",E714),0)&gt;0,"임차·시설",IF(IFERROR(SEARCH("광고",E714),0)&gt;0,"광고·행사",IF(IFERROR(SEARCH("용역",E714),0)&gt;0,"용역·수수료","기타/불명"))))))</x:f>
      </x:c>
      <x:c r="J714" s="77" t="str">
        <x:f>IF(A714="","",IF(I714="기타/불명","확인 필요","결의서명으로 1차 확인"))</x:f>
      </x:c>
      <x:c r="K714" s="78"/>
    </x:row>
    <x:row r="715">
      <x:c r="A715" s="73"/>
      <x:c r="B715" s="73"/>
      <x:c r="C715" s="74"/>
      <x:c r="D715" s="73"/>
      <x:c r="E715" s="73"/>
      <x:c r="F715" s="75"/>
      <x:c r="G715" s="75"/>
      <x:c r="H715" s="76" t="str">
        <x:f>IF(A715="","",F715-G715)</x:f>
      </x:c>
      <x:c r="I715" s="77" t="str">
        <x:f>IF(A715="","",IF(E715="","기타/불명",IF(IFERROR(SEARCH("급여",E715),0)&gt;0,"인건비",IF(IFERROR(SEARCH("임차",E715),0)&gt;0,"임차·시설",IF(IFERROR(SEARCH("광고",E715),0)&gt;0,"광고·행사",IF(IFERROR(SEARCH("용역",E715),0)&gt;0,"용역·수수료","기타/불명"))))))</x:f>
      </x:c>
      <x:c r="J715" s="77" t="str">
        <x:f>IF(A715="","",IF(I715="기타/불명","확인 필요","결의서명으로 1차 확인"))</x:f>
      </x:c>
      <x:c r="K715" s="78"/>
    </x:row>
    <x:row r="716">
      <x:c r="A716" s="73"/>
      <x:c r="B716" s="73"/>
      <x:c r="C716" s="74"/>
      <x:c r="D716" s="73"/>
      <x:c r="E716" s="73"/>
      <x:c r="F716" s="75"/>
      <x:c r="G716" s="75"/>
      <x:c r="H716" s="76" t="str">
        <x:f>IF(A716="","",F716-G716)</x:f>
      </x:c>
      <x:c r="I716" s="77" t="str">
        <x:f>IF(A716="","",IF(E716="","기타/불명",IF(IFERROR(SEARCH("급여",E716),0)&gt;0,"인건비",IF(IFERROR(SEARCH("임차",E716),0)&gt;0,"임차·시설",IF(IFERROR(SEARCH("광고",E716),0)&gt;0,"광고·행사",IF(IFERROR(SEARCH("용역",E716),0)&gt;0,"용역·수수료","기타/불명"))))))</x:f>
      </x:c>
      <x:c r="J716" s="77" t="str">
        <x:f>IF(A716="","",IF(I716="기타/불명","확인 필요","결의서명으로 1차 확인"))</x:f>
      </x:c>
      <x:c r="K716" s="78"/>
    </x:row>
    <x:row r="717">
      <x:c r="A717" s="73"/>
      <x:c r="B717" s="73"/>
      <x:c r="C717" s="74"/>
      <x:c r="D717" s="73"/>
      <x:c r="E717" s="73"/>
      <x:c r="F717" s="75"/>
      <x:c r="G717" s="75"/>
      <x:c r="H717" s="76" t="str">
        <x:f>IF(A717="","",F717-G717)</x:f>
      </x:c>
      <x:c r="I717" s="77" t="str">
        <x:f>IF(A717="","",IF(E717="","기타/불명",IF(IFERROR(SEARCH("급여",E717),0)&gt;0,"인건비",IF(IFERROR(SEARCH("임차",E717),0)&gt;0,"임차·시설",IF(IFERROR(SEARCH("광고",E717),0)&gt;0,"광고·행사",IF(IFERROR(SEARCH("용역",E717),0)&gt;0,"용역·수수료","기타/불명"))))))</x:f>
      </x:c>
      <x:c r="J717" s="77" t="str">
        <x:f>IF(A717="","",IF(I717="기타/불명","확인 필요","결의서명으로 1차 확인"))</x:f>
      </x:c>
      <x:c r="K717" s="78"/>
    </x:row>
    <x:row r="718">
      <x:c r="A718" s="73"/>
      <x:c r="B718" s="73"/>
      <x:c r="C718" s="74"/>
      <x:c r="D718" s="73"/>
      <x:c r="E718" s="73"/>
      <x:c r="F718" s="75"/>
      <x:c r="G718" s="75"/>
      <x:c r="H718" s="76" t="str">
        <x:f>IF(A718="","",F718-G718)</x:f>
      </x:c>
      <x:c r="I718" s="77" t="str">
        <x:f>IF(A718="","",IF(E718="","기타/불명",IF(IFERROR(SEARCH("급여",E718),0)&gt;0,"인건비",IF(IFERROR(SEARCH("임차",E718),0)&gt;0,"임차·시설",IF(IFERROR(SEARCH("광고",E718),0)&gt;0,"광고·행사",IF(IFERROR(SEARCH("용역",E718),0)&gt;0,"용역·수수료","기타/불명"))))))</x:f>
      </x:c>
      <x:c r="J718" s="77" t="str">
        <x:f>IF(A718="","",IF(I718="기타/불명","확인 필요","결의서명으로 1차 확인"))</x:f>
      </x:c>
      <x:c r="K718" s="78"/>
    </x:row>
    <x:row r="719">
      <x:c r="A719" s="73"/>
      <x:c r="B719" s="73"/>
      <x:c r="C719" s="74"/>
      <x:c r="D719" s="73"/>
      <x:c r="E719" s="73"/>
      <x:c r="F719" s="75"/>
      <x:c r="G719" s="75"/>
      <x:c r="H719" s="76" t="str">
        <x:f>IF(A719="","",F719-G719)</x:f>
      </x:c>
      <x:c r="I719" s="77" t="str">
        <x:f>IF(A719="","",IF(E719="","기타/불명",IF(IFERROR(SEARCH("급여",E719),0)&gt;0,"인건비",IF(IFERROR(SEARCH("임차",E719),0)&gt;0,"임차·시설",IF(IFERROR(SEARCH("광고",E719),0)&gt;0,"광고·행사",IF(IFERROR(SEARCH("용역",E719),0)&gt;0,"용역·수수료","기타/불명"))))))</x:f>
      </x:c>
      <x:c r="J719" s="77" t="str">
        <x:f>IF(A719="","",IF(I719="기타/불명","확인 필요","결의서명으로 1차 확인"))</x:f>
      </x:c>
      <x:c r="K719" s="78"/>
    </x:row>
    <x:row r="720">
      <x:c r="A720" s="73"/>
      <x:c r="B720" s="73"/>
      <x:c r="C720" s="74"/>
      <x:c r="D720" s="73"/>
      <x:c r="E720" s="73"/>
      <x:c r="F720" s="75"/>
      <x:c r="G720" s="75"/>
      <x:c r="H720" s="76" t="str">
        <x:f>IF(A720="","",F720-G720)</x:f>
      </x:c>
      <x:c r="I720" s="77" t="str">
        <x:f>IF(A720="","",IF(E720="","기타/불명",IF(IFERROR(SEARCH("급여",E720),0)&gt;0,"인건비",IF(IFERROR(SEARCH("임차",E720),0)&gt;0,"임차·시설",IF(IFERROR(SEARCH("광고",E720),0)&gt;0,"광고·행사",IF(IFERROR(SEARCH("용역",E720),0)&gt;0,"용역·수수료","기타/불명"))))))</x:f>
      </x:c>
      <x:c r="J720" s="77" t="str">
        <x:f>IF(A720="","",IF(I720="기타/불명","확인 필요","결의서명으로 1차 확인"))</x:f>
      </x:c>
      <x:c r="K720" s="78"/>
    </x:row>
    <x:row r="721">
      <x:c r="A721" s="73"/>
      <x:c r="B721" s="73"/>
      <x:c r="C721" s="74"/>
      <x:c r="D721" s="73"/>
      <x:c r="E721" s="73"/>
      <x:c r="F721" s="75"/>
      <x:c r="G721" s="75"/>
      <x:c r="H721" s="76" t="str">
        <x:f>IF(A721="","",F721-G721)</x:f>
      </x:c>
      <x:c r="I721" s="77" t="str">
        <x:f>IF(A721="","",IF(E721="","기타/불명",IF(IFERROR(SEARCH("급여",E721),0)&gt;0,"인건비",IF(IFERROR(SEARCH("임차",E721),0)&gt;0,"임차·시설",IF(IFERROR(SEARCH("광고",E721),0)&gt;0,"광고·행사",IF(IFERROR(SEARCH("용역",E721),0)&gt;0,"용역·수수료","기타/불명"))))))</x:f>
      </x:c>
      <x:c r="J721" s="77" t="str">
        <x:f>IF(A721="","",IF(I721="기타/불명","확인 필요","결의서명으로 1차 확인"))</x:f>
      </x:c>
      <x:c r="K721" s="78"/>
    </x:row>
    <x:row r="722">
      <x:c r="A722" s="73"/>
      <x:c r="B722" s="73"/>
      <x:c r="C722" s="74"/>
      <x:c r="D722" s="73"/>
      <x:c r="E722" s="73"/>
      <x:c r="F722" s="75"/>
      <x:c r="G722" s="75"/>
      <x:c r="H722" s="76" t="str">
        <x:f>IF(A722="","",F722-G722)</x:f>
      </x:c>
      <x:c r="I722" s="77" t="str">
        <x:f>IF(A722="","",IF(E722="","기타/불명",IF(IFERROR(SEARCH("급여",E722),0)&gt;0,"인건비",IF(IFERROR(SEARCH("임차",E722),0)&gt;0,"임차·시설",IF(IFERROR(SEARCH("광고",E722),0)&gt;0,"광고·행사",IF(IFERROR(SEARCH("용역",E722),0)&gt;0,"용역·수수료","기타/불명"))))))</x:f>
      </x:c>
      <x:c r="J722" s="77" t="str">
        <x:f>IF(A722="","",IF(I722="기타/불명","확인 필요","결의서명으로 1차 확인"))</x:f>
      </x:c>
      <x:c r="K722" s="78"/>
    </x:row>
    <x:row r="723">
      <x:c r="A723" s="73"/>
      <x:c r="B723" s="73"/>
      <x:c r="C723" s="74"/>
      <x:c r="D723" s="73"/>
      <x:c r="E723" s="73"/>
      <x:c r="F723" s="75"/>
      <x:c r="G723" s="75"/>
      <x:c r="H723" s="76" t="str">
        <x:f>IF(A723="","",F723-G723)</x:f>
      </x:c>
      <x:c r="I723" s="77" t="str">
        <x:f>IF(A723="","",IF(E723="","기타/불명",IF(IFERROR(SEARCH("급여",E723),0)&gt;0,"인건비",IF(IFERROR(SEARCH("임차",E723),0)&gt;0,"임차·시설",IF(IFERROR(SEARCH("광고",E723),0)&gt;0,"광고·행사",IF(IFERROR(SEARCH("용역",E723),0)&gt;0,"용역·수수료","기타/불명"))))))</x:f>
      </x:c>
      <x:c r="J723" s="77" t="str">
        <x:f>IF(A723="","",IF(I723="기타/불명","확인 필요","결의서명으로 1차 확인"))</x:f>
      </x:c>
      <x:c r="K723" s="78"/>
    </x:row>
    <x:row r="724">
      <x:c r="A724" s="73"/>
      <x:c r="B724" s="73"/>
      <x:c r="C724" s="74"/>
      <x:c r="D724" s="73"/>
      <x:c r="E724" s="73"/>
      <x:c r="F724" s="75"/>
      <x:c r="G724" s="75"/>
      <x:c r="H724" s="76" t="str">
        <x:f>IF(A724="","",F724-G724)</x:f>
      </x:c>
      <x:c r="I724" s="77" t="str">
        <x:f>IF(A724="","",IF(E724="","기타/불명",IF(IFERROR(SEARCH("급여",E724),0)&gt;0,"인건비",IF(IFERROR(SEARCH("임차",E724),0)&gt;0,"임차·시설",IF(IFERROR(SEARCH("광고",E724),0)&gt;0,"광고·행사",IF(IFERROR(SEARCH("용역",E724),0)&gt;0,"용역·수수료","기타/불명"))))))</x:f>
      </x:c>
      <x:c r="J724" s="77" t="str">
        <x:f>IF(A724="","",IF(I724="기타/불명","확인 필요","결의서명으로 1차 확인"))</x:f>
      </x:c>
      <x:c r="K724" s="78"/>
    </x:row>
    <x:row r="725">
      <x:c r="A725" s="73"/>
      <x:c r="B725" s="73"/>
      <x:c r="C725" s="74"/>
      <x:c r="D725" s="73"/>
      <x:c r="E725" s="73"/>
      <x:c r="F725" s="75"/>
      <x:c r="G725" s="75"/>
      <x:c r="H725" s="76" t="str">
        <x:f>IF(A725="","",F725-G725)</x:f>
      </x:c>
      <x:c r="I725" s="77" t="str">
        <x:f>IF(A725="","",IF(E725="","기타/불명",IF(IFERROR(SEARCH("급여",E725),0)&gt;0,"인건비",IF(IFERROR(SEARCH("임차",E725),0)&gt;0,"임차·시설",IF(IFERROR(SEARCH("광고",E725),0)&gt;0,"광고·행사",IF(IFERROR(SEARCH("용역",E725),0)&gt;0,"용역·수수료","기타/불명"))))))</x:f>
      </x:c>
      <x:c r="J725" s="77" t="str">
        <x:f>IF(A725="","",IF(I725="기타/불명","확인 필요","결의서명으로 1차 확인"))</x:f>
      </x:c>
      <x:c r="K725" s="78"/>
    </x:row>
    <x:row r="726">
      <x:c r="A726" s="73"/>
      <x:c r="B726" s="73"/>
      <x:c r="C726" s="74"/>
      <x:c r="D726" s="73"/>
      <x:c r="E726" s="73"/>
      <x:c r="F726" s="75"/>
      <x:c r="G726" s="75"/>
      <x:c r="H726" s="76" t="str">
        <x:f>IF(A726="","",F726-G726)</x:f>
      </x:c>
      <x:c r="I726" s="77" t="str">
        <x:f>IF(A726="","",IF(E726="","기타/불명",IF(IFERROR(SEARCH("급여",E726),0)&gt;0,"인건비",IF(IFERROR(SEARCH("임차",E726),0)&gt;0,"임차·시설",IF(IFERROR(SEARCH("광고",E726),0)&gt;0,"광고·행사",IF(IFERROR(SEARCH("용역",E726),0)&gt;0,"용역·수수료","기타/불명"))))))</x:f>
      </x:c>
      <x:c r="J726" s="77" t="str">
        <x:f>IF(A726="","",IF(I726="기타/불명","확인 필요","결의서명으로 1차 확인"))</x:f>
      </x:c>
      <x:c r="K726" s="78"/>
    </x:row>
    <x:row r="727">
      <x:c r="A727" s="73"/>
      <x:c r="B727" s="73"/>
      <x:c r="C727" s="74"/>
      <x:c r="D727" s="73"/>
      <x:c r="E727" s="73"/>
      <x:c r="F727" s="75"/>
      <x:c r="G727" s="75"/>
      <x:c r="H727" s="76" t="str">
        <x:f>IF(A727="","",F727-G727)</x:f>
      </x:c>
      <x:c r="I727" s="77" t="str">
        <x:f>IF(A727="","",IF(E727="","기타/불명",IF(IFERROR(SEARCH("급여",E727),0)&gt;0,"인건비",IF(IFERROR(SEARCH("임차",E727),0)&gt;0,"임차·시설",IF(IFERROR(SEARCH("광고",E727),0)&gt;0,"광고·행사",IF(IFERROR(SEARCH("용역",E727),0)&gt;0,"용역·수수료","기타/불명"))))))</x:f>
      </x:c>
      <x:c r="J727" s="77" t="str">
        <x:f>IF(A727="","",IF(I727="기타/불명","확인 필요","결의서명으로 1차 확인"))</x:f>
      </x:c>
      <x:c r="K727" s="78"/>
    </x:row>
    <x:row r="728">
      <x:c r="A728" s="73"/>
      <x:c r="B728" s="73"/>
      <x:c r="C728" s="74"/>
      <x:c r="D728" s="73"/>
      <x:c r="E728" s="73"/>
      <x:c r="F728" s="75"/>
      <x:c r="G728" s="75"/>
      <x:c r="H728" s="76" t="str">
        <x:f>IF(A728="","",F728-G728)</x:f>
      </x:c>
      <x:c r="I728" s="77" t="str">
        <x:f>IF(A728="","",IF(E728="","기타/불명",IF(IFERROR(SEARCH("급여",E728),0)&gt;0,"인건비",IF(IFERROR(SEARCH("임차",E728),0)&gt;0,"임차·시설",IF(IFERROR(SEARCH("광고",E728),0)&gt;0,"광고·행사",IF(IFERROR(SEARCH("용역",E728),0)&gt;0,"용역·수수료","기타/불명"))))))</x:f>
      </x:c>
      <x:c r="J728" s="77" t="str">
        <x:f>IF(A728="","",IF(I728="기타/불명","확인 필요","결의서명으로 1차 확인"))</x:f>
      </x:c>
      <x:c r="K728" s="78"/>
    </x:row>
    <x:row r="729">
      <x:c r="A729" s="73"/>
      <x:c r="B729" s="73"/>
      <x:c r="C729" s="74"/>
      <x:c r="D729" s="73"/>
      <x:c r="E729" s="73"/>
      <x:c r="F729" s="75"/>
      <x:c r="G729" s="75"/>
      <x:c r="H729" s="76" t="str">
        <x:f>IF(A729="","",F729-G729)</x:f>
      </x:c>
      <x:c r="I729" s="77" t="str">
        <x:f>IF(A729="","",IF(E729="","기타/불명",IF(IFERROR(SEARCH("급여",E729),0)&gt;0,"인건비",IF(IFERROR(SEARCH("임차",E729),0)&gt;0,"임차·시설",IF(IFERROR(SEARCH("광고",E729),0)&gt;0,"광고·행사",IF(IFERROR(SEARCH("용역",E729),0)&gt;0,"용역·수수료","기타/불명"))))))</x:f>
      </x:c>
      <x:c r="J729" s="77" t="str">
        <x:f>IF(A729="","",IF(I729="기타/불명","확인 필요","결의서명으로 1차 확인"))</x:f>
      </x:c>
      <x:c r="K729" s="78"/>
    </x:row>
    <x:row r="730">
      <x:c r="A730" s="73"/>
      <x:c r="B730" s="73"/>
      <x:c r="C730" s="74"/>
      <x:c r="D730" s="73"/>
      <x:c r="E730" s="73"/>
      <x:c r="F730" s="75"/>
      <x:c r="G730" s="75"/>
      <x:c r="H730" s="76" t="str">
        <x:f>IF(A730="","",F730-G730)</x:f>
      </x:c>
      <x:c r="I730" s="77" t="str">
        <x:f>IF(A730="","",IF(E730="","기타/불명",IF(IFERROR(SEARCH("급여",E730),0)&gt;0,"인건비",IF(IFERROR(SEARCH("임차",E730),0)&gt;0,"임차·시설",IF(IFERROR(SEARCH("광고",E730),0)&gt;0,"광고·행사",IF(IFERROR(SEARCH("용역",E730),0)&gt;0,"용역·수수료","기타/불명"))))))</x:f>
      </x:c>
      <x:c r="J730" s="77" t="str">
        <x:f>IF(A730="","",IF(I730="기타/불명","확인 필요","결의서명으로 1차 확인"))</x:f>
      </x:c>
      <x:c r="K730" s="78"/>
    </x:row>
    <x:row r="731">
      <x:c r="A731" s="73"/>
      <x:c r="B731" s="73"/>
      <x:c r="C731" s="74"/>
      <x:c r="D731" s="73"/>
      <x:c r="E731" s="73"/>
      <x:c r="F731" s="75"/>
      <x:c r="G731" s="75"/>
      <x:c r="H731" s="76" t="str">
        <x:f>IF(A731="","",F731-G731)</x:f>
      </x:c>
      <x:c r="I731" s="77" t="str">
        <x:f>IF(A731="","",IF(E731="","기타/불명",IF(IFERROR(SEARCH("급여",E731),0)&gt;0,"인건비",IF(IFERROR(SEARCH("임차",E731),0)&gt;0,"임차·시설",IF(IFERROR(SEARCH("광고",E731),0)&gt;0,"광고·행사",IF(IFERROR(SEARCH("용역",E731),0)&gt;0,"용역·수수료","기타/불명"))))))</x:f>
      </x:c>
      <x:c r="J731" s="77" t="str">
        <x:f>IF(A731="","",IF(I731="기타/불명","확인 필요","결의서명으로 1차 확인"))</x:f>
      </x:c>
      <x:c r="K731" s="78"/>
    </x:row>
    <x:row r="732">
      <x:c r="A732" s="73"/>
      <x:c r="B732" s="73"/>
      <x:c r="C732" s="74"/>
      <x:c r="D732" s="73"/>
      <x:c r="E732" s="73"/>
      <x:c r="F732" s="75"/>
      <x:c r="G732" s="75"/>
      <x:c r="H732" s="76" t="str">
        <x:f>IF(A732="","",F732-G732)</x:f>
      </x:c>
      <x:c r="I732" s="77" t="str">
        <x:f>IF(A732="","",IF(E732="","기타/불명",IF(IFERROR(SEARCH("급여",E732),0)&gt;0,"인건비",IF(IFERROR(SEARCH("임차",E732),0)&gt;0,"임차·시설",IF(IFERROR(SEARCH("광고",E732),0)&gt;0,"광고·행사",IF(IFERROR(SEARCH("용역",E732),0)&gt;0,"용역·수수료","기타/불명"))))))</x:f>
      </x:c>
      <x:c r="J732" s="77" t="str">
        <x:f>IF(A732="","",IF(I732="기타/불명","확인 필요","결의서명으로 1차 확인"))</x:f>
      </x:c>
      <x:c r="K732" s="78"/>
    </x:row>
    <x:row r="733">
      <x:c r="A733" s="73"/>
      <x:c r="B733" s="73"/>
      <x:c r="C733" s="74"/>
      <x:c r="D733" s="73"/>
      <x:c r="E733" s="73"/>
      <x:c r="F733" s="75"/>
      <x:c r="G733" s="75"/>
      <x:c r="H733" s="76" t="str">
        <x:f>IF(A733="","",F733-G733)</x:f>
      </x:c>
      <x:c r="I733" s="77" t="str">
        <x:f>IF(A733="","",IF(E733="","기타/불명",IF(IFERROR(SEARCH("급여",E733),0)&gt;0,"인건비",IF(IFERROR(SEARCH("임차",E733),0)&gt;0,"임차·시설",IF(IFERROR(SEARCH("광고",E733),0)&gt;0,"광고·행사",IF(IFERROR(SEARCH("용역",E733),0)&gt;0,"용역·수수료","기타/불명"))))))</x:f>
      </x:c>
      <x:c r="J733" s="77" t="str">
        <x:f>IF(A733="","",IF(I733="기타/불명","확인 필요","결의서명으로 1차 확인"))</x:f>
      </x:c>
      <x:c r="K733" s="78"/>
    </x:row>
    <x:row r="734">
      <x:c r="A734" s="73"/>
      <x:c r="B734" s="73"/>
      <x:c r="C734" s="74"/>
      <x:c r="D734" s="73"/>
      <x:c r="E734" s="73"/>
      <x:c r="F734" s="75"/>
      <x:c r="G734" s="75"/>
      <x:c r="H734" s="76" t="str">
        <x:f>IF(A734="","",F734-G734)</x:f>
      </x:c>
      <x:c r="I734" s="77" t="str">
        <x:f>IF(A734="","",IF(E734="","기타/불명",IF(IFERROR(SEARCH("급여",E734),0)&gt;0,"인건비",IF(IFERROR(SEARCH("임차",E734),0)&gt;0,"임차·시설",IF(IFERROR(SEARCH("광고",E734),0)&gt;0,"광고·행사",IF(IFERROR(SEARCH("용역",E734),0)&gt;0,"용역·수수료","기타/불명"))))))</x:f>
      </x:c>
      <x:c r="J734" s="77" t="str">
        <x:f>IF(A734="","",IF(I734="기타/불명","확인 필요","결의서명으로 1차 확인"))</x:f>
      </x:c>
      <x:c r="K734" s="78"/>
    </x:row>
    <x:row r="735">
      <x:c r="A735" s="73"/>
      <x:c r="B735" s="73"/>
      <x:c r="C735" s="74"/>
      <x:c r="D735" s="73"/>
      <x:c r="E735" s="73"/>
      <x:c r="F735" s="75"/>
      <x:c r="G735" s="75"/>
      <x:c r="H735" s="76" t="str">
        <x:f>IF(A735="","",F735-G735)</x:f>
      </x:c>
      <x:c r="I735" s="77" t="str">
        <x:f>IF(A735="","",IF(E735="","기타/불명",IF(IFERROR(SEARCH("급여",E735),0)&gt;0,"인건비",IF(IFERROR(SEARCH("임차",E735),0)&gt;0,"임차·시설",IF(IFERROR(SEARCH("광고",E735),0)&gt;0,"광고·행사",IF(IFERROR(SEARCH("용역",E735),0)&gt;0,"용역·수수료","기타/불명"))))))</x:f>
      </x:c>
      <x:c r="J735" s="77" t="str">
        <x:f>IF(A735="","",IF(I735="기타/불명","확인 필요","결의서명으로 1차 확인"))</x:f>
      </x:c>
      <x:c r="K735" s="78"/>
    </x:row>
    <x:row r="736">
      <x:c r="A736" s="73"/>
      <x:c r="B736" s="73"/>
      <x:c r="C736" s="74"/>
      <x:c r="D736" s="73"/>
      <x:c r="E736" s="73"/>
      <x:c r="F736" s="75"/>
      <x:c r="G736" s="75"/>
      <x:c r="H736" s="76" t="str">
        <x:f>IF(A736="","",F736-G736)</x:f>
      </x:c>
      <x:c r="I736" s="77" t="str">
        <x:f>IF(A736="","",IF(E736="","기타/불명",IF(IFERROR(SEARCH("급여",E736),0)&gt;0,"인건비",IF(IFERROR(SEARCH("임차",E736),0)&gt;0,"임차·시설",IF(IFERROR(SEARCH("광고",E736),0)&gt;0,"광고·행사",IF(IFERROR(SEARCH("용역",E736),0)&gt;0,"용역·수수료","기타/불명"))))))</x:f>
      </x:c>
      <x:c r="J736" s="77" t="str">
        <x:f>IF(A736="","",IF(I736="기타/불명","확인 필요","결의서명으로 1차 확인"))</x:f>
      </x:c>
      <x:c r="K736" s="78"/>
    </x:row>
    <x:row r="737">
      <x:c r="A737" s="73"/>
      <x:c r="B737" s="73"/>
      <x:c r="C737" s="74"/>
      <x:c r="D737" s="73"/>
      <x:c r="E737" s="73"/>
      <x:c r="F737" s="75"/>
      <x:c r="G737" s="75"/>
      <x:c r="H737" s="76" t="str">
        <x:f>IF(A737="","",F737-G737)</x:f>
      </x:c>
      <x:c r="I737" s="77" t="str">
        <x:f>IF(A737="","",IF(E737="","기타/불명",IF(IFERROR(SEARCH("급여",E737),0)&gt;0,"인건비",IF(IFERROR(SEARCH("임차",E737),0)&gt;0,"임차·시설",IF(IFERROR(SEARCH("광고",E737),0)&gt;0,"광고·행사",IF(IFERROR(SEARCH("용역",E737),0)&gt;0,"용역·수수료","기타/불명"))))))</x:f>
      </x:c>
      <x:c r="J737" s="77" t="str">
        <x:f>IF(A737="","",IF(I737="기타/불명","확인 필요","결의서명으로 1차 확인"))</x:f>
      </x:c>
      <x:c r="K737" s="78"/>
    </x:row>
    <x:row r="738">
      <x:c r="A738" s="73"/>
      <x:c r="B738" s="73"/>
      <x:c r="C738" s="74"/>
      <x:c r="D738" s="73"/>
      <x:c r="E738" s="73"/>
      <x:c r="F738" s="75"/>
      <x:c r="G738" s="75"/>
      <x:c r="H738" s="76" t="str">
        <x:f>IF(A738="","",F738-G738)</x:f>
      </x:c>
      <x:c r="I738" s="77" t="str">
        <x:f>IF(A738="","",IF(E738="","기타/불명",IF(IFERROR(SEARCH("급여",E738),0)&gt;0,"인건비",IF(IFERROR(SEARCH("임차",E738),0)&gt;0,"임차·시설",IF(IFERROR(SEARCH("광고",E738),0)&gt;0,"광고·행사",IF(IFERROR(SEARCH("용역",E738),0)&gt;0,"용역·수수료","기타/불명"))))))</x:f>
      </x:c>
      <x:c r="J738" s="77" t="str">
        <x:f>IF(A738="","",IF(I738="기타/불명","확인 필요","결의서명으로 1차 확인"))</x:f>
      </x:c>
      <x:c r="K738" s="78"/>
    </x:row>
    <x:row r="739">
      <x:c r="A739" s="73"/>
      <x:c r="B739" s="73"/>
      <x:c r="C739" s="74"/>
      <x:c r="D739" s="73"/>
      <x:c r="E739" s="73"/>
      <x:c r="F739" s="75"/>
      <x:c r="G739" s="75"/>
      <x:c r="H739" s="76" t="str">
        <x:f>IF(A739="","",F739-G739)</x:f>
      </x:c>
      <x:c r="I739" s="77" t="str">
        <x:f>IF(A739="","",IF(E739="","기타/불명",IF(IFERROR(SEARCH("급여",E739),0)&gt;0,"인건비",IF(IFERROR(SEARCH("임차",E739),0)&gt;0,"임차·시설",IF(IFERROR(SEARCH("광고",E739),0)&gt;0,"광고·행사",IF(IFERROR(SEARCH("용역",E739),0)&gt;0,"용역·수수료","기타/불명"))))))</x:f>
      </x:c>
      <x:c r="J739" s="77" t="str">
        <x:f>IF(A739="","",IF(I739="기타/불명","확인 필요","결의서명으로 1차 확인"))</x:f>
      </x:c>
      <x:c r="K739" s="78"/>
    </x:row>
    <x:row r="740">
      <x:c r="A740" s="73"/>
      <x:c r="B740" s="73"/>
      <x:c r="C740" s="74"/>
      <x:c r="D740" s="73"/>
      <x:c r="E740" s="73"/>
      <x:c r="F740" s="75"/>
      <x:c r="G740" s="75"/>
      <x:c r="H740" s="76" t="str">
        <x:f>IF(A740="","",F740-G740)</x:f>
      </x:c>
      <x:c r="I740" s="77" t="str">
        <x:f>IF(A740="","",IF(E740="","기타/불명",IF(IFERROR(SEARCH("급여",E740),0)&gt;0,"인건비",IF(IFERROR(SEARCH("임차",E740),0)&gt;0,"임차·시설",IF(IFERROR(SEARCH("광고",E740),0)&gt;0,"광고·행사",IF(IFERROR(SEARCH("용역",E740),0)&gt;0,"용역·수수료","기타/불명"))))))</x:f>
      </x:c>
      <x:c r="J740" s="77" t="str">
        <x:f>IF(A740="","",IF(I740="기타/불명","확인 필요","결의서명으로 1차 확인"))</x:f>
      </x:c>
      <x:c r="K740" s="78"/>
    </x:row>
    <x:row r="741">
      <x:c r="A741" s="73"/>
      <x:c r="B741" s="73"/>
      <x:c r="C741" s="74"/>
      <x:c r="D741" s="73"/>
      <x:c r="E741" s="73"/>
      <x:c r="F741" s="75"/>
      <x:c r="G741" s="75"/>
      <x:c r="H741" s="76" t="str">
        <x:f>IF(A741="","",F741-G741)</x:f>
      </x:c>
      <x:c r="I741" s="77" t="str">
        <x:f>IF(A741="","",IF(E741="","기타/불명",IF(IFERROR(SEARCH("급여",E741),0)&gt;0,"인건비",IF(IFERROR(SEARCH("임차",E741),0)&gt;0,"임차·시설",IF(IFERROR(SEARCH("광고",E741),0)&gt;0,"광고·행사",IF(IFERROR(SEARCH("용역",E741),0)&gt;0,"용역·수수료","기타/불명"))))))</x:f>
      </x:c>
      <x:c r="J741" s="77" t="str">
        <x:f>IF(A741="","",IF(I741="기타/불명","확인 필요","결의서명으로 1차 확인"))</x:f>
      </x:c>
      <x:c r="K741" s="78"/>
    </x:row>
    <x:row r="742">
      <x:c r="A742" s="73"/>
      <x:c r="B742" s="73"/>
      <x:c r="C742" s="74"/>
      <x:c r="D742" s="73"/>
      <x:c r="E742" s="73"/>
      <x:c r="F742" s="75"/>
      <x:c r="G742" s="75"/>
      <x:c r="H742" s="76" t="str">
        <x:f>IF(A742="","",F742-G742)</x:f>
      </x:c>
      <x:c r="I742" s="77" t="str">
        <x:f>IF(A742="","",IF(E742="","기타/불명",IF(IFERROR(SEARCH("급여",E742),0)&gt;0,"인건비",IF(IFERROR(SEARCH("임차",E742),0)&gt;0,"임차·시설",IF(IFERROR(SEARCH("광고",E742),0)&gt;0,"광고·행사",IF(IFERROR(SEARCH("용역",E742),0)&gt;0,"용역·수수료","기타/불명"))))))</x:f>
      </x:c>
      <x:c r="J742" s="77" t="str">
        <x:f>IF(A742="","",IF(I742="기타/불명","확인 필요","결의서명으로 1차 확인"))</x:f>
      </x:c>
      <x:c r="K742" s="78"/>
    </x:row>
    <x:row r="743">
      <x:c r="A743" s="73"/>
      <x:c r="B743" s="73"/>
      <x:c r="C743" s="74"/>
      <x:c r="D743" s="73"/>
      <x:c r="E743" s="73"/>
      <x:c r="F743" s="75"/>
      <x:c r="G743" s="75"/>
      <x:c r="H743" s="76" t="str">
        <x:f>IF(A743="","",F743-G743)</x:f>
      </x:c>
      <x:c r="I743" s="77" t="str">
        <x:f>IF(A743="","",IF(E743="","기타/불명",IF(IFERROR(SEARCH("급여",E743),0)&gt;0,"인건비",IF(IFERROR(SEARCH("임차",E743),0)&gt;0,"임차·시설",IF(IFERROR(SEARCH("광고",E743),0)&gt;0,"광고·행사",IF(IFERROR(SEARCH("용역",E743),0)&gt;0,"용역·수수료","기타/불명"))))))</x:f>
      </x:c>
      <x:c r="J743" s="77" t="str">
        <x:f>IF(A743="","",IF(I743="기타/불명","확인 필요","결의서명으로 1차 확인"))</x:f>
      </x:c>
      <x:c r="K743" s="78"/>
    </x:row>
    <x:row r="744">
      <x:c r="A744" s="73"/>
      <x:c r="B744" s="73"/>
      <x:c r="C744" s="74"/>
      <x:c r="D744" s="73"/>
      <x:c r="E744" s="73"/>
      <x:c r="F744" s="75"/>
      <x:c r="G744" s="75"/>
      <x:c r="H744" s="76" t="str">
        <x:f>IF(A744="","",F744-G744)</x:f>
      </x:c>
      <x:c r="I744" s="77" t="str">
        <x:f>IF(A744="","",IF(E744="","기타/불명",IF(IFERROR(SEARCH("급여",E744),0)&gt;0,"인건비",IF(IFERROR(SEARCH("임차",E744),0)&gt;0,"임차·시설",IF(IFERROR(SEARCH("광고",E744),0)&gt;0,"광고·행사",IF(IFERROR(SEARCH("용역",E744),0)&gt;0,"용역·수수료","기타/불명"))))))</x:f>
      </x:c>
      <x:c r="J744" s="77" t="str">
        <x:f>IF(A744="","",IF(I744="기타/불명","확인 필요","결의서명으로 1차 확인"))</x:f>
      </x:c>
      <x:c r="K744" s="78"/>
    </x:row>
    <x:row r="745">
      <x:c r="A745" s="73"/>
      <x:c r="B745" s="73"/>
      <x:c r="C745" s="74"/>
      <x:c r="D745" s="73"/>
      <x:c r="E745" s="73"/>
      <x:c r="F745" s="75"/>
      <x:c r="G745" s="75"/>
      <x:c r="H745" s="76" t="str">
        <x:f>IF(A745="","",F745-G745)</x:f>
      </x:c>
      <x:c r="I745" s="77" t="str">
        <x:f>IF(A745="","",IF(E745="","기타/불명",IF(IFERROR(SEARCH("급여",E745),0)&gt;0,"인건비",IF(IFERROR(SEARCH("임차",E745),0)&gt;0,"임차·시설",IF(IFERROR(SEARCH("광고",E745),0)&gt;0,"광고·행사",IF(IFERROR(SEARCH("용역",E745),0)&gt;0,"용역·수수료","기타/불명"))))))</x:f>
      </x:c>
      <x:c r="J745" s="77" t="str">
        <x:f>IF(A745="","",IF(I745="기타/불명","확인 필요","결의서명으로 1차 확인"))</x:f>
      </x:c>
      <x:c r="K745" s="78"/>
    </x:row>
    <x:row r="746">
      <x:c r="A746" s="73"/>
      <x:c r="B746" s="73"/>
      <x:c r="C746" s="74"/>
      <x:c r="D746" s="73"/>
      <x:c r="E746" s="73"/>
      <x:c r="F746" s="75"/>
      <x:c r="G746" s="75"/>
      <x:c r="H746" s="76" t="str">
        <x:f>IF(A746="","",F746-G746)</x:f>
      </x:c>
      <x:c r="I746" s="77" t="str">
        <x:f>IF(A746="","",IF(E746="","기타/불명",IF(IFERROR(SEARCH("급여",E746),0)&gt;0,"인건비",IF(IFERROR(SEARCH("임차",E746),0)&gt;0,"임차·시설",IF(IFERROR(SEARCH("광고",E746),0)&gt;0,"광고·행사",IF(IFERROR(SEARCH("용역",E746),0)&gt;0,"용역·수수료","기타/불명"))))))</x:f>
      </x:c>
      <x:c r="J746" s="77" t="str">
        <x:f>IF(A746="","",IF(I746="기타/불명","확인 필요","결의서명으로 1차 확인"))</x:f>
      </x:c>
      <x:c r="K746" s="78"/>
    </x:row>
    <x:row r="747">
      <x:c r="A747" s="73"/>
      <x:c r="B747" s="73"/>
      <x:c r="C747" s="74"/>
      <x:c r="D747" s="73"/>
      <x:c r="E747" s="73"/>
      <x:c r="F747" s="75"/>
      <x:c r="G747" s="75"/>
      <x:c r="H747" s="76" t="str">
        <x:f>IF(A747="","",F747-G747)</x:f>
      </x:c>
      <x:c r="I747" s="77" t="str">
        <x:f>IF(A747="","",IF(E747="","기타/불명",IF(IFERROR(SEARCH("급여",E747),0)&gt;0,"인건비",IF(IFERROR(SEARCH("임차",E747),0)&gt;0,"임차·시설",IF(IFERROR(SEARCH("광고",E747),0)&gt;0,"광고·행사",IF(IFERROR(SEARCH("용역",E747),0)&gt;0,"용역·수수료","기타/불명"))))))</x:f>
      </x:c>
      <x:c r="J747" s="77" t="str">
        <x:f>IF(A747="","",IF(I747="기타/불명","확인 필요","결의서명으로 1차 확인"))</x:f>
      </x:c>
      <x:c r="K747" s="78"/>
    </x:row>
    <x:row r="748">
      <x:c r="A748" s="73"/>
      <x:c r="B748" s="73"/>
      <x:c r="C748" s="74"/>
      <x:c r="D748" s="73"/>
      <x:c r="E748" s="73"/>
      <x:c r="F748" s="75"/>
      <x:c r="G748" s="75"/>
      <x:c r="H748" s="76" t="str">
        <x:f>IF(A748="","",F748-G748)</x:f>
      </x:c>
      <x:c r="I748" s="77" t="str">
        <x:f>IF(A748="","",IF(E748="","기타/불명",IF(IFERROR(SEARCH("급여",E748),0)&gt;0,"인건비",IF(IFERROR(SEARCH("임차",E748),0)&gt;0,"임차·시설",IF(IFERROR(SEARCH("광고",E748),0)&gt;0,"광고·행사",IF(IFERROR(SEARCH("용역",E748),0)&gt;0,"용역·수수료","기타/불명"))))))</x:f>
      </x:c>
      <x:c r="J748" s="77" t="str">
        <x:f>IF(A748="","",IF(I748="기타/불명","확인 필요","결의서명으로 1차 확인"))</x:f>
      </x:c>
      <x:c r="K748" s="78"/>
    </x:row>
    <x:row r="749">
      <x:c r="A749" s="73"/>
      <x:c r="B749" s="73"/>
      <x:c r="C749" s="74"/>
      <x:c r="D749" s="73"/>
      <x:c r="E749" s="73"/>
      <x:c r="F749" s="75"/>
      <x:c r="G749" s="75"/>
      <x:c r="H749" s="76" t="str">
        <x:f>IF(A749="","",F749-G749)</x:f>
      </x:c>
      <x:c r="I749" s="77" t="str">
        <x:f>IF(A749="","",IF(E749="","기타/불명",IF(IFERROR(SEARCH("급여",E749),0)&gt;0,"인건비",IF(IFERROR(SEARCH("임차",E749),0)&gt;0,"임차·시설",IF(IFERROR(SEARCH("광고",E749),0)&gt;0,"광고·행사",IF(IFERROR(SEARCH("용역",E749),0)&gt;0,"용역·수수료","기타/불명"))))))</x:f>
      </x:c>
      <x:c r="J749" s="77" t="str">
        <x:f>IF(A749="","",IF(I749="기타/불명","확인 필요","결의서명으로 1차 확인"))</x:f>
      </x:c>
      <x:c r="K749" s="78"/>
    </x:row>
    <x:row r="750">
      <x:c r="A750" s="73"/>
      <x:c r="B750" s="73"/>
      <x:c r="C750" s="74"/>
      <x:c r="D750" s="73"/>
      <x:c r="E750" s="73"/>
      <x:c r="F750" s="75"/>
      <x:c r="G750" s="75"/>
      <x:c r="H750" s="76" t="str">
        <x:f>IF(A750="","",F750-G750)</x:f>
      </x:c>
      <x:c r="I750" s="77" t="str">
        <x:f>IF(A750="","",IF(E750="","기타/불명",IF(IFERROR(SEARCH("급여",E750),0)&gt;0,"인건비",IF(IFERROR(SEARCH("임차",E750),0)&gt;0,"임차·시설",IF(IFERROR(SEARCH("광고",E750),0)&gt;0,"광고·행사",IF(IFERROR(SEARCH("용역",E750),0)&gt;0,"용역·수수료","기타/불명"))))))</x:f>
      </x:c>
      <x:c r="J750" s="77" t="str">
        <x:f>IF(A750="","",IF(I750="기타/불명","확인 필요","결의서명으로 1차 확인"))</x:f>
      </x:c>
      <x:c r="K750" s="78"/>
    </x:row>
    <x:row r="751">
      <x:c r="A751" s="73"/>
      <x:c r="B751" s="73"/>
      <x:c r="C751" s="74"/>
      <x:c r="D751" s="73"/>
      <x:c r="E751" s="73"/>
      <x:c r="F751" s="75"/>
      <x:c r="G751" s="75"/>
      <x:c r="H751" s="76" t="str">
        <x:f>IF(A751="","",F751-G751)</x:f>
      </x:c>
      <x:c r="I751" s="77" t="str">
        <x:f>IF(A751="","",IF(E751="","기타/불명",IF(IFERROR(SEARCH("급여",E751),0)&gt;0,"인건비",IF(IFERROR(SEARCH("임차",E751),0)&gt;0,"임차·시설",IF(IFERROR(SEARCH("광고",E751),0)&gt;0,"광고·행사",IF(IFERROR(SEARCH("용역",E751),0)&gt;0,"용역·수수료","기타/불명"))))))</x:f>
      </x:c>
      <x:c r="J751" s="77" t="str">
        <x:f>IF(A751="","",IF(I751="기타/불명","확인 필요","결의서명으로 1차 확인"))</x:f>
      </x:c>
      <x:c r="K751" s="78"/>
    </x:row>
    <x:row r="752">
      <x:c r="A752" s="73"/>
      <x:c r="B752" s="73"/>
      <x:c r="C752" s="74"/>
      <x:c r="D752" s="73"/>
      <x:c r="E752" s="73"/>
      <x:c r="F752" s="75"/>
      <x:c r="G752" s="75"/>
      <x:c r="H752" s="76" t="str">
        <x:f>IF(A752="","",F752-G752)</x:f>
      </x:c>
      <x:c r="I752" s="77" t="str">
        <x:f>IF(A752="","",IF(E752="","기타/불명",IF(IFERROR(SEARCH("급여",E752),0)&gt;0,"인건비",IF(IFERROR(SEARCH("임차",E752),0)&gt;0,"임차·시설",IF(IFERROR(SEARCH("광고",E752),0)&gt;0,"광고·행사",IF(IFERROR(SEARCH("용역",E752),0)&gt;0,"용역·수수료","기타/불명"))))))</x:f>
      </x:c>
      <x:c r="J752" s="77" t="str">
        <x:f>IF(A752="","",IF(I752="기타/불명","확인 필요","결의서명으로 1차 확인"))</x:f>
      </x:c>
      <x:c r="K752" s="78"/>
    </x:row>
    <x:row r="753">
      <x:c r="A753" s="73"/>
      <x:c r="B753" s="73"/>
      <x:c r="C753" s="74"/>
      <x:c r="D753" s="73"/>
      <x:c r="E753" s="73"/>
      <x:c r="F753" s="75"/>
      <x:c r="G753" s="75"/>
      <x:c r="H753" s="76" t="str">
        <x:f>IF(A753="","",F753-G753)</x:f>
      </x:c>
      <x:c r="I753" s="77" t="str">
        <x:f>IF(A753="","",IF(E753="","기타/불명",IF(IFERROR(SEARCH("급여",E753),0)&gt;0,"인건비",IF(IFERROR(SEARCH("임차",E753),0)&gt;0,"임차·시설",IF(IFERROR(SEARCH("광고",E753),0)&gt;0,"광고·행사",IF(IFERROR(SEARCH("용역",E753),0)&gt;0,"용역·수수료","기타/불명"))))))</x:f>
      </x:c>
      <x:c r="J753" s="77" t="str">
        <x:f>IF(A753="","",IF(I753="기타/불명","확인 필요","결의서명으로 1차 확인"))</x:f>
      </x:c>
      <x:c r="K753" s="78"/>
    </x:row>
    <x:row r="754">
      <x:c r="A754" s="73"/>
      <x:c r="B754" s="73"/>
      <x:c r="C754" s="74"/>
      <x:c r="D754" s="73"/>
      <x:c r="E754" s="73"/>
      <x:c r="F754" s="75"/>
      <x:c r="G754" s="75"/>
      <x:c r="H754" s="76" t="str">
        <x:f>IF(A754="","",F754-G754)</x:f>
      </x:c>
      <x:c r="I754" s="77" t="str">
        <x:f>IF(A754="","",IF(E754="","기타/불명",IF(IFERROR(SEARCH("급여",E754),0)&gt;0,"인건비",IF(IFERROR(SEARCH("임차",E754),0)&gt;0,"임차·시설",IF(IFERROR(SEARCH("광고",E754),0)&gt;0,"광고·행사",IF(IFERROR(SEARCH("용역",E754),0)&gt;0,"용역·수수료","기타/불명"))))))</x:f>
      </x:c>
      <x:c r="J754" s="77" t="str">
        <x:f>IF(A754="","",IF(I754="기타/불명","확인 필요","결의서명으로 1차 확인"))</x:f>
      </x:c>
      <x:c r="K754" s="78"/>
    </x:row>
    <x:row r="755">
      <x:c r="A755" s="73"/>
      <x:c r="B755" s="73"/>
      <x:c r="C755" s="74"/>
      <x:c r="D755" s="73"/>
      <x:c r="E755" s="73"/>
      <x:c r="F755" s="75"/>
      <x:c r="G755" s="75"/>
      <x:c r="H755" s="76" t="str">
        <x:f>IF(A755="","",F755-G755)</x:f>
      </x:c>
      <x:c r="I755" s="77" t="str">
        <x:f>IF(A755="","",IF(E755="","기타/불명",IF(IFERROR(SEARCH("급여",E755),0)&gt;0,"인건비",IF(IFERROR(SEARCH("임차",E755),0)&gt;0,"임차·시설",IF(IFERROR(SEARCH("광고",E755),0)&gt;0,"광고·행사",IF(IFERROR(SEARCH("용역",E755),0)&gt;0,"용역·수수료","기타/불명"))))))</x:f>
      </x:c>
      <x:c r="J755" s="77" t="str">
        <x:f>IF(A755="","",IF(I755="기타/불명","확인 필요","결의서명으로 1차 확인"))</x:f>
      </x:c>
      <x:c r="K755" s="78"/>
    </x:row>
    <x:row r="756">
      <x:c r="A756" s="73"/>
      <x:c r="B756" s="73"/>
      <x:c r="C756" s="74"/>
      <x:c r="D756" s="73"/>
      <x:c r="E756" s="73"/>
      <x:c r="F756" s="75"/>
      <x:c r="G756" s="75"/>
      <x:c r="H756" s="76" t="str">
        <x:f>IF(A756="","",F756-G756)</x:f>
      </x:c>
      <x:c r="I756" s="77" t="str">
        <x:f>IF(A756="","",IF(E756="","기타/불명",IF(IFERROR(SEARCH("급여",E756),0)&gt;0,"인건비",IF(IFERROR(SEARCH("임차",E756),0)&gt;0,"임차·시설",IF(IFERROR(SEARCH("광고",E756),0)&gt;0,"광고·행사",IF(IFERROR(SEARCH("용역",E756),0)&gt;0,"용역·수수료","기타/불명"))))))</x:f>
      </x:c>
      <x:c r="J756" s="77" t="str">
        <x:f>IF(A756="","",IF(I756="기타/불명","확인 필요","결의서명으로 1차 확인"))</x:f>
      </x:c>
      <x:c r="K756" s="78"/>
    </x:row>
    <x:row r="757">
      <x:c r="A757" s="73"/>
      <x:c r="B757" s="73"/>
      <x:c r="C757" s="74"/>
      <x:c r="D757" s="73"/>
      <x:c r="E757" s="73"/>
      <x:c r="F757" s="75"/>
      <x:c r="G757" s="75"/>
      <x:c r="H757" s="76" t="str">
        <x:f>IF(A757="","",F757-G757)</x:f>
      </x:c>
      <x:c r="I757" s="77" t="str">
        <x:f>IF(A757="","",IF(E757="","기타/불명",IF(IFERROR(SEARCH("급여",E757),0)&gt;0,"인건비",IF(IFERROR(SEARCH("임차",E757),0)&gt;0,"임차·시설",IF(IFERROR(SEARCH("광고",E757),0)&gt;0,"광고·행사",IF(IFERROR(SEARCH("용역",E757),0)&gt;0,"용역·수수료","기타/불명"))))))</x:f>
      </x:c>
      <x:c r="J757" s="77" t="str">
        <x:f>IF(A757="","",IF(I757="기타/불명","확인 필요","결의서명으로 1차 확인"))</x:f>
      </x:c>
      <x:c r="K757" s="78"/>
    </x:row>
    <x:row r="758">
      <x:c r="A758" s="73"/>
      <x:c r="B758" s="73"/>
      <x:c r="C758" s="74"/>
      <x:c r="D758" s="73"/>
      <x:c r="E758" s="73"/>
      <x:c r="F758" s="75"/>
      <x:c r="G758" s="75"/>
      <x:c r="H758" s="76" t="str">
        <x:f>IF(A758="","",F758-G758)</x:f>
      </x:c>
      <x:c r="I758" s="77" t="str">
        <x:f>IF(A758="","",IF(E758="","기타/불명",IF(IFERROR(SEARCH("급여",E758),0)&gt;0,"인건비",IF(IFERROR(SEARCH("임차",E758),0)&gt;0,"임차·시설",IF(IFERROR(SEARCH("광고",E758),0)&gt;0,"광고·행사",IF(IFERROR(SEARCH("용역",E758),0)&gt;0,"용역·수수료","기타/불명"))))))</x:f>
      </x:c>
      <x:c r="J758" s="77" t="str">
        <x:f>IF(A758="","",IF(I758="기타/불명","확인 필요","결의서명으로 1차 확인"))</x:f>
      </x:c>
      <x:c r="K758" s="78"/>
    </x:row>
    <x:row r="759">
      <x:c r="A759" s="73"/>
      <x:c r="B759" s="73"/>
      <x:c r="C759" s="74"/>
      <x:c r="D759" s="73"/>
      <x:c r="E759" s="73"/>
      <x:c r="F759" s="75"/>
      <x:c r="G759" s="75"/>
      <x:c r="H759" s="76" t="str">
        <x:f>IF(A759="","",F759-G759)</x:f>
      </x:c>
      <x:c r="I759" s="77" t="str">
        <x:f>IF(A759="","",IF(E759="","기타/불명",IF(IFERROR(SEARCH("급여",E759),0)&gt;0,"인건비",IF(IFERROR(SEARCH("임차",E759),0)&gt;0,"임차·시설",IF(IFERROR(SEARCH("광고",E759),0)&gt;0,"광고·행사",IF(IFERROR(SEARCH("용역",E759),0)&gt;0,"용역·수수료","기타/불명"))))))</x:f>
      </x:c>
      <x:c r="J759" s="77" t="str">
        <x:f>IF(A759="","",IF(I759="기타/불명","확인 필요","결의서명으로 1차 확인"))</x:f>
      </x:c>
      <x:c r="K759" s="78"/>
    </x:row>
    <x:row r="760">
      <x:c r="A760" s="73"/>
      <x:c r="B760" s="73"/>
      <x:c r="C760" s="74"/>
      <x:c r="D760" s="73"/>
      <x:c r="E760" s="73"/>
      <x:c r="F760" s="75"/>
      <x:c r="G760" s="75"/>
      <x:c r="H760" s="76" t="str">
        <x:f>IF(A760="","",F760-G760)</x:f>
      </x:c>
      <x:c r="I760" s="77" t="str">
        <x:f>IF(A760="","",IF(E760="","기타/불명",IF(IFERROR(SEARCH("급여",E760),0)&gt;0,"인건비",IF(IFERROR(SEARCH("임차",E760),0)&gt;0,"임차·시설",IF(IFERROR(SEARCH("광고",E760),0)&gt;0,"광고·행사",IF(IFERROR(SEARCH("용역",E760),0)&gt;0,"용역·수수료","기타/불명"))))))</x:f>
      </x:c>
      <x:c r="J760" s="77" t="str">
        <x:f>IF(A760="","",IF(I760="기타/불명","확인 필요","결의서명으로 1차 확인"))</x:f>
      </x:c>
      <x:c r="K760" s="78"/>
    </x:row>
    <x:row r="761">
      <x:c r="A761" s="73"/>
      <x:c r="B761" s="73"/>
      <x:c r="C761" s="74"/>
      <x:c r="D761" s="73"/>
      <x:c r="E761" s="73"/>
      <x:c r="F761" s="75"/>
      <x:c r="G761" s="75"/>
      <x:c r="H761" s="76" t="str">
        <x:f>IF(A761="","",F761-G761)</x:f>
      </x:c>
      <x:c r="I761" s="77" t="str">
        <x:f>IF(A761="","",IF(E761="","기타/불명",IF(IFERROR(SEARCH("급여",E761),0)&gt;0,"인건비",IF(IFERROR(SEARCH("임차",E761),0)&gt;0,"임차·시설",IF(IFERROR(SEARCH("광고",E761),0)&gt;0,"광고·행사",IF(IFERROR(SEARCH("용역",E761),0)&gt;0,"용역·수수료","기타/불명"))))))</x:f>
      </x:c>
      <x:c r="J761" s="77" t="str">
        <x:f>IF(A761="","",IF(I761="기타/불명","확인 필요","결의서명으로 1차 확인"))</x:f>
      </x:c>
      <x:c r="K761" s="78"/>
    </x:row>
    <x:row r="762">
      <x:c r="A762" s="73"/>
      <x:c r="B762" s="73"/>
      <x:c r="C762" s="74"/>
      <x:c r="D762" s="73"/>
      <x:c r="E762" s="73"/>
      <x:c r="F762" s="75"/>
      <x:c r="G762" s="75"/>
      <x:c r="H762" s="76" t="str">
        <x:f>IF(A762="","",F762-G762)</x:f>
      </x:c>
      <x:c r="I762" s="77" t="str">
        <x:f>IF(A762="","",IF(E762="","기타/불명",IF(IFERROR(SEARCH("급여",E762),0)&gt;0,"인건비",IF(IFERROR(SEARCH("임차",E762),0)&gt;0,"임차·시설",IF(IFERROR(SEARCH("광고",E762),0)&gt;0,"광고·행사",IF(IFERROR(SEARCH("용역",E762),0)&gt;0,"용역·수수료","기타/불명"))))))</x:f>
      </x:c>
      <x:c r="J762" s="77" t="str">
        <x:f>IF(A762="","",IF(I762="기타/불명","확인 필요","결의서명으로 1차 확인"))</x:f>
      </x:c>
      <x:c r="K762" s="78"/>
    </x:row>
    <x:row r="763">
      <x:c r="A763" s="73"/>
      <x:c r="B763" s="73"/>
      <x:c r="C763" s="74"/>
      <x:c r="D763" s="73"/>
      <x:c r="E763" s="73"/>
      <x:c r="F763" s="75"/>
      <x:c r="G763" s="75"/>
      <x:c r="H763" s="76" t="str">
        <x:f>IF(A763="","",F763-G763)</x:f>
      </x:c>
      <x:c r="I763" s="77" t="str">
        <x:f>IF(A763="","",IF(E763="","기타/불명",IF(IFERROR(SEARCH("급여",E763),0)&gt;0,"인건비",IF(IFERROR(SEARCH("임차",E763),0)&gt;0,"임차·시설",IF(IFERROR(SEARCH("광고",E763),0)&gt;0,"광고·행사",IF(IFERROR(SEARCH("용역",E763),0)&gt;0,"용역·수수료","기타/불명"))))))</x:f>
      </x:c>
      <x:c r="J763" s="77" t="str">
        <x:f>IF(A763="","",IF(I763="기타/불명","확인 필요","결의서명으로 1차 확인"))</x:f>
      </x:c>
      <x:c r="K763" s="78"/>
    </x:row>
    <x:row r="764">
      <x:c r="A764" s="73"/>
      <x:c r="B764" s="73"/>
      <x:c r="C764" s="74"/>
      <x:c r="D764" s="73"/>
      <x:c r="E764" s="73"/>
      <x:c r="F764" s="75"/>
      <x:c r="G764" s="75"/>
      <x:c r="H764" s="76" t="str">
        <x:f>IF(A764="","",F764-G764)</x:f>
      </x:c>
      <x:c r="I764" s="77" t="str">
        <x:f>IF(A764="","",IF(E764="","기타/불명",IF(IFERROR(SEARCH("급여",E764),0)&gt;0,"인건비",IF(IFERROR(SEARCH("임차",E764),0)&gt;0,"임차·시설",IF(IFERROR(SEARCH("광고",E764),0)&gt;0,"광고·행사",IF(IFERROR(SEARCH("용역",E764),0)&gt;0,"용역·수수료","기타/불명"))))))</x:f>
      </x:c>
      <x:c r="J764" s="77" t="str">
        <x:f>IF(A764="","",IF(I764="기타/불명","확인 필요","결의서명으로 1차 확인"))</x:f>
      </x:c>
      <x:c r="K764" s="78"/>
    </x:row>
    <x:row r="765">
      <x:c r="A765" s="73"/>
      <x:c r="B765" s="73"/>
      <x:c r="C765" s="74"/>
      <x:c r="D765" s="73"/>
      <x:c r="E765" s="73"/>
      <x:c r="F765" s="75"/>
      <x:c r="G765" s="75"/>
      <x:c r="H765" s="76" t="str">
        <x:f>IF(A765="","",F765-G765)</x:f>
      </x:c>
      <x:c r="I765" s="77" t="str">
        <x:f>IF(A765="","",IF(E765="","기타/불명",IF(IFERROR(SEARCH("급여",E765),0)&gt;0,"인건비",IF(IFERROR(SEARCH("임차",E765),0)&gt;0,"임차·시설",IF(IFERROR(SEARCH("광고",E765),0)&gt;0,"광고·행사",IF(IFERROR(SEARCH("용역",E765),0)&gt;0,"용역·수수료","기타/불명"))))))</x:f>
      </x:c>
      <x:c r="J765" s="77" t="str">
        <x:f>IF(A765="","",IF(I765="기타/불명","확인 필요","결의서명으로 1차 확인"))</x:f>
      </x:c>
      <x:c r="K765" s="78"/>
    </x:row>
    <x:row r="766">
      <x:c r="A766" s="73"/>
      <x:c r="B766" s="73"/>
      <x:c r="C766" s="74"/>
      <x:c r="D766" s="73"/>
      <x:c r="E766" s="73"/>
      <x:c r="F766" s="75"/>
      <x:c r="G766" s="75"/>
      <x:c r="H766" s="76" t="str">
        <x:f>IF(A766="","",F766-G766)</x:f>
      </x:c>
      <x:c r="I766" s="77" t="str">
        <x:f>IF(A766="","",IF(E766="","기타/불명",IF(IFERROR(SEARCH("급여",E766),0)&gt;0,"인건비",IF(IFERROR(SEARCH("임차",E766),0)&gt;0,"임차·시설",IF(IFERROR(SEARCH("광고",E766),0)&gt;0,"광고·행사",IF(IFERROR(SEARCH("용역",E766),0)&gt;0,"용역·수수료","기타/불명"))))))</x:f>
      </x:c>
      <x:c r="J766" s="77" t="str">
        <x:f>IF(A766="","",IF(I766="기타/불명","확인 필요","결의서명으로 1차 확인"))</x:f>
      </x:c>
      <x:c r="K766" s="78"/>
    </x:row>
    <x:row r="767">
      <x:c r="A767" s="73"/>
      <x:c r="B767" s="73"/>
      <x:c r="C767" s="74"/>
      <x:c r="D767" s="73"/>
      <x:c r="E767" s="73"/>
      <x:c r="F767" s="75"/>
      <x:c r="G767" s="75"/>
      <x:c r="H767" s="76" t="str">
        <x:f>IF(A767="","",F767-G767)</x:f>
      </x:c>
      <x:c r="I767" s="77" t="str">
        <x:f>IF(A767="","",IF(E767="","기타/불명",IF(IFERROR(SEARCH("급여",E767),0)&gt;0,"인건비",IF(IFERROR(SEARCH("임차",E767),0)&gt;0,"임차·시설",IF(IFERROR(SEARCH("광고",E767),0)&gt;0,"광고·행사",IF(IFERROR(SEARCH("용역",E767),0)&gt;0,"용역·수수료","기타/불명"))))))</x:f>
      </x:c>
      <x:c r="J767" s="77" t="str">
        <x:f>IF(A767="","",IF(I767="기타/불명","확인 필요","결의서명으로 1차 확인"))</x:f>
      </x:c>
      <x:c r="K767" s="78"/>
    </x:row>
    <x:row r="768">
      <x:c r="A768" s="73"/>
      <x:c r="B768" s="73"/>
      <x:c r="C768" s="74"/>
      <x:c r="D768" s="73"/>
      <x:c r="E768" s="73"/>
      <x:c r="F768" s="75"/>
      <x:c r="G768" s="75"/>
      <x:c r="H768" s="76" t="str">
        <x:f>IF(A768="","",F768-G768)</x:f>
      </x:c>
      <x:c r="I768" s="77" t="str">
        <x:f>IF(A768="","",IF(E768="","기타/불명",IF(IFERROR(SEARCH("급여",E768),0)&gt;0,"인건비",IF(IFERROR(SEARCH("임차",E768),0)&gt;0,"임차·시설",IF(IFERROR(SEARCH("광고",E768),0)&gt;0,"광고·행사",IF(IFERROR(SEARCH("용역",E768),0)&gt;0,"용역·수수료","기타/불명"))))))</x:f>
      </x:c>
      <x:c r="J768" s="77" t="str">
        <x:f>IF(A768="","",IF(I768="기타/불명","확인 필요","결의서명으로 1차 확인"))</x:f>
      </x:c>
      <x:c r="K768" s="78"/>
    </x:row>
    <x:row r="769">
      <x:c r="A769" s="73"/>
      <x:c r="B769" s="73"/>
      <x:c r="C769" s="74"/>
      <x:c r="D769" s="73"/>
      <x:c r="E769" s="73"/>
      <x:c r="F769" s="75"/>
      <x:c r="G769" s="75"/>
      <x:c r="H769" s="76" t="str">
        <x:f>IF(A769="","",F769-G769)</x:f>
      </x:c>
      <x:c r="I769" s="77" t="str">
        <x:f>IF(A769="","",IF(E769="","기타/불명",IF(IFERROR(SEARCH("급여",E769),0)&gt;0,"인건비",IF(IFERROR(SEARCH("임차",E769),0)&gt;0,"임차·시설",IF(IFERROR(SEARCH("광고",E769),0)&gt;0,"광고·행사",IF(IFERROR(SEARCH("용역",E769),0)&gt;0,"용역·수수료","기타/불명"))))))</x:f>
      </x:c>
      <x:c r="J769" s="77" t="str">
        <x:f>IF(A769="","",IF(I769="기타/불명","확인 필요","결의서명으로 1차 확인"))</x:f>
      </x:c>
      <x:c r="K769" s="78"/>
    </x:row>
    <x:row r="770">
      <x:c r="A770" s="73"/>
      <x:c r="B770" s="73"/>
      <x:c r="C770" s="74"/>
      <x:c r="D770" s="73"/>
      <x:c r="E770" s="73"/>
      <x:c r="F770" s="75"/>
      <x:c r="G770" s="75"/>
      <x:c r="H770" s="76" t="str">
        <x:f>IF(A770="","",F770-G770)</x:f>
      </x:c>
      <x:c r="I770" s="77" t="str">
        <x:f>IF(A770="","",IF(E770="","기타/불명",IF(IFERROR(SEARCH("급여",E770),0)&gt;0,"인건비",IF(IFERROR(SEARCH("임차",E770),0)&gt;0,"임차·시설",IF(IFERROR(SEARCH("광고",E770),0)&gt;0,"광고·행사",IF(IFERROR(SEARCH("용역",E770),0)&gt;0,"용역·수수료","기타/불명"))))))</x:f>
      </x:c>
      <x:c r="J770" s="77" t="str">
        <x:f>IF(A770="","",IF(I770="기타/불명","확인 필요","결의서명으로 1차 확인"))</x:f>
      </x:c>
      <x:c r="K770" s="78"/>
    </x:row>
    <x:row r="771">
      <x:c r="A771" s="73"/>
      <x:c r="B771" s="73"/>
      <x:c r="C771" s="74"/>
      <x:c r="D771" s="73"/>
      <x:c r="E771" s="73"/>
      <x:c r="F771" s="75"/>
      <x:c r="G771" s="75"/>
      <x:c r="H771" s="76" t="str">
        <x:f>IF(A771="","",F771-G771)</x:f>
      </x:c>
      <x:c r="I771" s="77" t="str">
        <x:f>IF(A771="","",IF(E771="","기타/불명",IF(IFERROR(SEARCH("급여",E771),0)&gt;0,"인건비",IF(IFERROR(SEARCH("임차",E771),0)&gt;0,"임차·시설",IF(IFERROR(SEARCH("광고",E771),0)&gt;0,"광고·행사",IF(IFERROR(SEARCH("용역",E771),0)&gt;0,"용역·수수료","기타/불명"))))))</x:f>
      </x:c>
      <x:c r="J771" s="77" t="str">
        <x:f>IF(A771="","",IF(I771="기타/불명","확인 필요","결의서명으로 1차 확인"))</x:f>
      </x:c>
      <x:c r="K771" s="78"/>
    </x:row>
    <x:row r="772">
      <x:c r="A772" s="73"/>
      <x:c r="B772" s="73"/>
      <x:c r="C772" s="74"/>
      <x:c r="D772" s="73"/>
      <x:c r="E772" s="73"/>
      <x:c r="F772" s="75"/>
      <x:c r="G772" s="75"/>
      <x:c r="H772" s="76" t="str">
        <x:f>IF(A772="","",F772-G772)</x:f>
      </x:c>
      <x:c r="I772" s="77" t="str">
        <x:f>IF(A772="","",IF(E772="","기타/불명",IF(IFERROR(SEARCH("급여",E772),0)&gt;0,"인건비",IF(IFERROR(SEARCH("임차",E772),0)&gt;0,"임차·시설",IF(IFERROR(SEARCH("광고",E772),0)&gt;0,"광고·행사",IF(IFERROR(SEARCH("용역",E772),0)&gt;0,"용역·수수료","기타/불명"))))))</x:f>
      </x:c>
      <x:c r="J772" s="77" t="str">
        <x:f>IF(A772="","",IF(I772="기타/불명","확인 필요","결의서명으로 1차 확인"))</x:f>
      </x:c>
      <x:c r="K772" s="78"/>
    </x:row>
    <x:row r="773">
      <x:c r="A773" s="73"/>
      <x:c r="B773" s="73"/>
      <x:c r="C773" s="74"/>
      <x:c r="D773" s="73"/>
      <x:c r="E773" s="73"/>
      <x:c r="F773" s="75"/>
      <x:c r="G773" s="75"/>
      <x:c r="H773" s="76" t="str">
        <x:f>IF(A773="","",F773-G773)</x:f>
      </x:c>
      <x:c r="I773" s="77" t="str">
        <x:f>IF(A773="","",IF(E773="","기타/불명",IF(IFERROR(SEARCH("급여",E773),0)&gt;0,"인건비",IF(IFERROR(SEARCH("임차",E773),0)&gt;0,"임차·시설",IF(IFERROR(SEARCH("광고",E773),0)&gt;0,"광고·행사",IF(IFERROR(SEARCH("용역",E773),0)&gt;0,"용역·수수료","기타/불명"))))))</x:f>
      </x:c>
      <x:c r="J773" s="77" t="str">
        <x:f>IF(A773="","",IF(I773="기타/불명","확인 필요","결의서명으로 1차 확인"))</x:f>
      </x:c>
      <x:c r="K773" s="78"/>
    </x:row>
    <x:row r="774">
      <x:c r="A774" s="73"/>
      <x:c r="B774" s="73"/>
      <x:c r="C774" s="74"/>
      <x:c r="D774" s="73"/>
      <x:c r="E774" s="73"/>
      <x:c r="F774" s="75"/>
      <x:c r="G774" s="75"/>
      <x:c r="H774" s="76" t="str">
        <x:f>IF(A774="","",F774-G774)</x:f>
      </x:c>
      <x:c r="I774" s="77" t="str">
        <x:f>IF(A774="","",IF(E774="","기타/불명",IF(IFERROR(SEARCH("급여",E774),0)&gt;0,"인건비",IF(IFERROR(SEARCH("임차",E774),0)&gt;0,"임차·시설",IF(IFERROR(SEARCH("광고",E774),0)&gt;0,"광고·행사",IF(IFERROR(SEARCH("용역",E774),0)&gt;0,"용역·수수료","기타/불명"))))))</x:f>
      </x:c>
      <x:c r="J774" s="77" t="str">
        <x:f>IF(A774="","",IF(I774="기타/불명","확인 필요","결의서명으로 1차 확인"))</x:f>
      </x:c>
      <x:c r="K774" s="78"/>
    </x:row>
    <x:row r="775">
      <x:c r="A775" s="73"/>
      <x:c r="B775" s="73"/>
      <x:c r="C775" s="74"/>
      <x:c r="D775" s="73"/>
      <x:c r="E775" s="73"/>
      <x:c r="F775" s="75"/>
      <x:c r="G775" s="75"/>
      <x:c r="H775" s="76" t="str">
        <x:f>IF(A775="","",F775-G775)</x:f>
      </x:c>
      <x:c r="I775" s="77" t="str">
        <x:f>IF(A775="","",IF(E775="","기타/불명",IF(IFERROR(SEARCH("급여",E775),0)&gt;0,"인건비",IF(IFERROR(SEARCH("임차",E775),0)&gt;0,"임차·시설",IF(IFERROR(SEARCH("광고",E775),0)&gt;0,"광고·행사",IF(IFERROR(SEARCH("용역",E775),0)&gt;0,"용역·수수료","기타/불명"))))))</x:f>
      </x:c>
      <x:c r="J775" s="77" t="str">
        <x:f>IF(A775="","",IF(I775="기타/불명","확인 필요","결의서명으로 1차 확인"))</x:f>
      </x:c>
      <x:c r="K775" s="78"/>
    </x:row>
    <x:row r="776">
      <x:c r="A776" s="73"/>
      <x:c r="B776" s="73"/>
      <x:c r="C776" s="74"/>
      <x:c r="D776" s="73"/>
      <x:c r="E776" s="73"/>
      <x:c r="F776" s="75"/>
      <x:c r="G776" s="75"/>
      <x:c r="H776" s="76" t="str">
        <x:f>IF(A776="","",F776-G776)</x:f>
      </x:c>
      <x:c r="I776" s="77" t="str">
        <x:f>IF(A776="","",IF(E776="","기타/불명",IF(IFERROR(SEARCH("급여",E776),0)&gt;0,"인건비",IF(IFERROR(SEARCH("임차",E776),0)&gt;0,"임차·시설",IF(IFERROR(SEARCH("광고",E776),0)&gt;0,"광고·행사",IF(IFERROR(SEARCH("용역",E776),0)&gt;0,"용역·수수료","기타/불명"))))))</x:f>
      </x:c>
      <x:c r="J776" s="77" t="str">
        <x:f>IF(A776="","",IF(I776="기타/불명","확인 필요","결의서명으로 1차 확인"))</x:f>
      </x:c>
      <x:c r="K776" s="78"/>
    </x:row>
    <x:row r="777">
      <x:c r="A777" s="73"/>
      <x:c r="B777" s="73"/>
      <x:c r="C777" s="74"/>
      <x:c r="D777" s="73"/>
      <x:c r="E777" s="73"/>
      <x:c r="F777" s="75"/>
      <x:c r="G777" s="75"/>
      <x:c r="H777" s="76" t="str">
        <x:f>IF(A777="","",F777-G777)</x:f>
      </x:c>
      <x:c r="I777" s="77" t="str">
        <x:f>IF(A777="","",IF(E777="","기타/불명",IF(IFERROR(SEARCH("급여",E777),0)&gt;0,"인건비",IF(IFERROR(SEARCH("임차",E777),0)&gt;0,"임차·시설",IF(IFERROR(SEARCH("광고",E777),0)&gt;0,"광고·행사",IF(IFERROR(SEARCH("용역",E777),0)&gt;0,"용역·수수료","기타/불명"))))))</x:f>
      </x:c>
      <x:c r="J777" s="77" t="str">
        <x:f>IF(A777="","",IF(I777="기타/불명","확인 필요","결의서명으로 1차 확인"))</x:f>
      </x:c>
      <x:c r="K777" s="78"/>
    </x:row>
    <x:row r="778">
      <x:c r="A778" s="73"/>
      <x:c r="B778" s="73"/>
      <x:c r="C778" s="74"/>
      <x:c r="D778" s="73"/>
      <x:c r="E778" s="73"/>
      <x:c r="F778" s="75"/>
      <x:c r="G778" s="75"/>
      <x:c r="H778" s="76" t="str">
        <x:f>IF(A778="","",F778-G778)</x:f>
      </x:c>
      <x:c r="I778" s="77" t="str">
        <x:f>IF(A778="","",IF(E778="","기타/불명",IF(IFERROR(SEARCH("급여",E778),0)&gt;0,"인건비",IF(IFERROR(SEARCH("임차",E778),0)&gt;0,"임차·시설",IF(IFERROR(SEARCH("광고",E778),0)&gt;0,"광고·행사",IF(IFERROR(SEARCH("용역",E778),0)&gt;0,"용역·수수료","기타/불명"))))))</x:f>
      </x:c>
      <x:c r="J778" s="77" t="str">
        <x:f>IF(A778="","",IF(I778="기타/불명","확인 필요","결의서명으로 1차 확인"))</x:f>
      </x:c>
      <x:c r="K778" s="78"/>
    </x:row>
    <x:row r="779">
      <x:c r="A779" s="73"/>
      <x:c r="B779" s="73"/>
      <x:c r="C779" s="74"/>
      <x:c r="D779" s="73"/>
      <x:c r="E779" s="73"/>
      <x:c r="F779" s="75"/>
      <x:c r="G779" s="75"/>
      <x:c r="H779" s="76" t="str">
        <x:f>IF(A779="","",F779-G779)</x:f>
      </x:c>
      <x:c r="I779" s="77" t="str">
        <x:f>IF(A779="","",IF(E779="","기타/불명",IF(IFERROR(SEARCH("급여",E779),0)&gt;0,"인건비",IF(IFERROR(SEARCH("임차",E779),0)&gt;0,"임차·시설",IF(IFERROR(SEARCH("광고",E779),0)&gt;0,"광고·행사",IF(IFERROR(SEARCH("용역",E779),0)&gt;0,"용역·수수료","기타/불명"))))))</x:f>
      </x:c>
      <x:c r="J779" s="77" t="str">
        <x:f>IF(A779="","",IF(I779="기타/불명","확인 필요","결의서명으로 1차 확인"))</x:f>
      </x:c>
      <x:c r="K779" s="78"/>
    </x:row>
    <x:row r="780">
      <x:c r="A780" s="73"/>
      <x:c r="B780" s="73"/>
      <x:c r="C780" s="74"/>
      <x:c r="D780" s="73"/>
      <x:c r="E780" s="73"/>
      <x:c r="F780" s="75"/>
      <x:c r="G780" s="75"/>
      <x:c r="H780" s="76" t="str">
        <x:f>IF(A780="","",F780-G780)</x:f>
      </x:c>
      <x:c r="I780" s="77" t="str">
        <x:f>IF(A780="","",IF(E780="","기타/불명",IF(IFERROR(SEARCH("급여",E780),0)&gt;0,"인건비",IF(IFERROR(SEARCH("임차",E780),0)&gt;0,"임차·시설",IF(IFERROR(SEARCH("광고",E780),0)&gt;0,"광고·행사",IF(IFERROR(SEARCH("용역",E780),0)&gt;0,"용역·수수료","기타/불명"))))))</x:f>
      </x:c>
      <x:c r="J780" s="77" t="str">
        <x:f>IF(A780="","",IF(I780="기타/불명","확인 필요","결의서명으로 1차 확인"))</x:f>
      </x:c>
      <x:c r="K780" s="78"/>
    </x:row>
    <x:row r="781">
      <x:c r="A781" s="73"/>
      <x:c r="B781" s="73"/>
      <x:c r="C781" s="74"/>
      <x:c r="D781" s="73"/>
      <x:c r="E781" s="73"/>
      <x:c r="F781" s="75"/>
      <x:c r="G781" s="75"/>
      <x:c r="H781" s="76" t="str">
        <x:f>IF(A781="","",F781-G781)</x:f>
      </x:c>
      <x:c r="I781" s="77" t="str">
        <x:f>IF(A781="","",IF(E781="","기타/불명",IF(IFERROR(SEARCH("급여",E781),0)&gt;0,"인건비",IF(IFERROR(SEARCH("임차",E781),0)&gt;0,"임차·시설",IF(IFERROR(SEARCH("광고",E781),0)&gt;0,"광고·행사",IF(IFERROR(SEARCH("용역",E781),0)&gt;0,"용역·수수료","기타/불명"))))))</x:f>
      </x:c>
      <x:c r="J781" s="77" t="str">
        <x:f>IF(A781="","",IF(I781="기타/불명","확인 필요","결의서명으로 1차 확인"))</x:f>
      </x:c>
      <x:c r="K781" s="78"/>
    </x:row>
    <x:row r="782">
      <x:c r="A782" s="73"/>
      <x:c r="B782" s="73"/>
      <x:c r="C782" s="74"/>
      <x:c r="D782" s="73"/>
      <x:c r="E782" s="73"/>
      <x:c r="F782" s="75"/>
      <x:c r="G782" s="75"/>
      <x:c r="H782" s="76" t="str">
        <x:f>IF(A782="","",F782-G782)</x:f>
      </x:c>
      <x:c r="I782" s="77" t="str">
        <x:f>IF(A782="","",IF(E782="","기타/불명",IF(IFERROR(SEARCH("급여",E782),0)&gt;0,"인건비",IF(IFERROR(SEARCH("임차",E782),0)&gt;0,"임차·시설",IF(IFERROR(SEARCH("광고",E782),0)&gt;0,"광고·행사",IF(IFERROR(SEARCH("용역",E782),0)&gt;0,"용역·수수료","기타/불명"))))))</x:f>
      </x:c>
      <x:c r="J782" s="77" t="str">
        <x:f>IF(A782="","",IF(I782="기타/불명","확인 필요","결의서명으로 1차 확인"))</x:f>
      </x:c>
      <x:c r="K782" s="78"/>
    </x:row>
    <x:row r="783">
      <x:c r="A783" s="73"/>
      <x:c r="B783" s="73"/>
      <x:c r="C783" s="74"/>
      <x:c r="D783" s="73"/>
      <x:c r="E783" s="73"/>
      <x:c r="F783" s="75"/>
      <x:c r="G783" s="75"/>
      <x:c r="H783" s="76" t="str">
        <x:f>IF(A783="","",F783-G783)</x:f>
      </x:c>
      <x:c r="I783" s="77" t="str">
        <x:f>IF(A783="","",IF(E783="","기타/불명",IF(IFERROR(SEARCH("급여",E783),0)&gt;0,"인건비",IF(IFERROR(SEARCH("임차",E783),0)&gt;0,"임차·시설",IF(IFERROR(SEARCH("광고",E783),0)&gt;0,"광고·행사",IF(IFERROR(SEARCH("용역",E783),0)&gt;0,"용역·수수료","기타/불명"))))))</x:f>
      </x:c>
      <x:c r="J783" s="77" t="str">
        <x:f>IF(A783="","",IF(I783="기타/불명","확인 필요","결의서명으로 1차 확인"))</x:f>
      </x:c>
      <x:c r="K783" s="78"/>
    </x:row>
    <x:row r="784">
      <x:c r="A784" s="73"/>
      <x:c r="B784" s="73"/>
      <x:c r="C784" s="74"/>
      <x:c r="D784" s="73"/>
      <x:c r="E784" s="73"/>
      <x:c r="F784" s="75"/>
      <x:c r="G784" s="75"/>
      <x:c r="H784" s="76" t="str">
        <x:f>IF(A784="","",F784-G784)</x:f>
      </x:c>
      <x:c r="I784" s="77" t="str">
        <x:f>IF(A784="","",IF(E784="","기타/불명",IF(IFERROR(SEARCH("급여",E784),0)&gt;0,"인건비",IF(IFERROR(SEARCH("임차",E784),0)&gt;0,"임차·시설",IF(IFERROR(SEARCH("광고",E784),0)&gt;0,"광고·행사",IF(IFERROR(SEARCH("용역",E784),0)&gt;0,"용역·수수료","기타/불명"))))))</x:f>
      </x:c>
      <x:c r="J784" s="77" t="str">
        <x:f>IF(A784="","",IF(I784="기타/불명","확인 필요","결의서명으로 1차 확인"))</x:f>
      </x:c>
      <x:c r="K784" s="78"/>
    </x:row>
    <x:row r="785">
      <x:c r="A785" s="73"/>
      <x:c r="B785" s="73"/>
      <x:c r="C785" s="74"/>
      <x:c r="D785" s="73"/>
      <x:c r="E785" s="73"/>
      <x:c r="F785" s="75"/>
      <x:c r="G785" s="75"/>
      <x:c r="H785" s="76" t="str">
        <x:f>IF(A785="","",F785-G785)</x:f>
      </x:c>
      <x:c r="I785" s="77" t="str">
        <x:f>IF(A785="","",IF(E785="","기타/불명",IF(IFERROR(SEARCH("급여",E785),0)&gt;0,"인건비",IF(IFERROR(SEARCH("임차",E785),0)&gt;0,"임차·시설",IF(IFERROR(SEARCH("광고",E785),0)&gt;0,"광고·행사",IF(IFERROR(SEARCH("용역",E785),0)&gt;0,"용역·수수료","기타/불명"))))))</x:f>
      </x:c>
      <x:c r="J785" s="77" t="str">
        <x:f>IF(A785="","",IF(I785="기타/불명","확인 필요","결의서명으로 1차 확인"))</x:f>
      </x:c>
      <x:c r="K785" s="78"/>
    </x:row>
    <x:row r="786">
      <x:c r="A786" s="73"/>
      <x:c r="B786" s="73"/>
      <x:c r="C786" s="74"/>
      <x:c r="D786" s="73"/>
      <x:c r="E786" s="73"/>
      <x:c r="F786" s="75"/>
      <x:c r="G786" s="75"/>
      <x:c r="H786" s="76" t="str">
        <x:f>IF(A786="","",F786-G786)</x:f>
      </x:c>
      <x:c r="I786" s="77" t="str">
        <x:f>IF(A786="","",IF(E786="","기타/불명",IF(IFERROR(SEARCH("급여",E786),0)&gt;0,"인건비",IF(IFERROR(SEARCH("임차",E786),0)&gt;0,"임차·시설",IF(IFERROR(SEARCH("광고",E786),0)&gt;0,"광고·행사",IF(IFERROR(SEARCH("용역",E786),0)&gt;0,"용역·수수료","기타/불명"))))))</x:f>
      </x:c>
      <x:c r="J786" s="77" t="str">
        <x:f>IF(A786="","",IF(I786="기타/불명","확인 필요","결의서명으로 1차 확인"))</x:f>
      </x:c>
      <x:c r="K786" s="78"/>
    </x:row>
    <x:row r="787">
      <x:c r="A787" s="73"/>
      <x:c r="B787" s="73"/>
      <x:c r="C787" s="74"/>
      <x:c r="D787" s="73"/>
      <x:c r="E787" s="73"/>
      <x:c r="F787" s="75"/>
      <x:c r="G787" s="75"/>
      <x:c r="H787" s="76" t="str">
        <x:f>IF(A787="","",F787-G787)</x:f>
      </x:c>
      <x:c r="I787" s="77" t="str">
        <x:f>IF(A787="","",IF(E787="","기타/불명",IF(IFERROR(SEARCH("급여",E787),0)&gt;0,"인건비",IF(IFERROR(SEARCH("임차",E787),0)&gt;0,"임차·시설",IF(IFERROR(SEARCH("광고",E787),0)&gt;0,"광고·행사",IF(IFERROR(SEARCH("용역",E787),0)&gt;0,"용역·수수료","기타/불명"))))))</x:f>
      </x:c>
      <x:c r="J787" s="77" t="str">
        <x:f>IF(A787="","",IF(I787="기타/불명","확인 필요","결의서명으로 1차 확인"))</x:f>
      </x:c>
      <x:c r="K787" s="78"/>
    </x:row>
    <x:row r="788">
      <x:c r="A788" s="73"/>
      <x:c r="B788" s="73"/>
      <x:c r="C788" s="74"/>
      <x:c r="D788" s="73"/>
      <x:c r="E788" s="73"/>
      <x:c r="F788" s="75"/>
      <x:c r="G788" s="75"/>
      <x:c r="H788" s="76" t="str">
        <x:f>IF(A788="","",F788-G788)</x:f>
      </x:c>
      <x:c r="I788" s="77" t="str">
        <x:f>IF(A788="","",IF(E788="","기타/불명",IF(IFERROR(SEARCH("급여",E788),0)&gt;0,"인건비",IF(IFERROR(SEARCH("임차",E788),0)&gt;0,"임차·시설",IF(IFERROR(SEARCH("광고",E788),0)&gt;0,"광고·행사",IF(IFERROR(SEARCH("용역",E788),0)&gt;0,"용역·수수료","기타/불명"))))))</x:f>
      </x:c>
      <x:c r="J788" s="77" t="str">
        <x:f>IF(A788="","",IF(I788="기타/불명","확인 필요","결의서명으로 1차 확인"))</x:f>
      </x:c>
      <x:c r="K788" s="78"/>
    </x:row>
    <x:row r="789">
      <x:c r="A789" s="73"/>
      <x:c r="B789" s="73"/>
      <x:c r="C789" s="74"/>
      <x:c r="D789" s="73"/>
      <x:c r="E789" s="73"/>
      <x:c r="F789" s="75"/>
      <x:c r="G789" s="75"/>
      <x:c r="H789" s="76" t="str">
        <x:f>IF(A789="","",F789-G789)</x:f>
      </x:c>
      <x:c r="I789" s="77" t="str">
        <x:f>IF(A789="","",IF(E789="","기타/불명",IF(IFERROR(SEARCH("급여",E789),0)&gt;0,"인건비",IF(IFERROR(SEARCH("임차",E789),0)&gt;0,"임차·시설",IF(IFERROR(SEARCH("광고",E789),0)&gt;0,"광고·행사",IF(IFERROR(SEARCH("용역",E789),0)&gt;0,"용역·수수료","기타/불명"))))))</x:f>
      </x:c>
      <x:c r="J789" s="77" t="str">
        <x:f>IF(A789="","",IF(I789="기타/불명","확인 필요","결의서명으로 1차 확인"))</x:f>
      </x:c>
      <x:c r="K789" s="78"/>
    </x:row>
    <x:row r="790">
      <x:c r="A790" s="73"/>
      <x:c r="B790" s="73"/>
      <x:c r="C790" s="74"/>
      <x:c r="D790" s="73"/>
      <x:c r="E790" s="73"/>
      <x:c r="F790" s="75"/>
      <x:c r="G790" s="75"/>
      <x:c r="H790" s="76" t="str">
        <x:f>IF(A790="","",F790-G790)</x:f>
      </x:c>
      <x:c r="I790" s="77" t="str">
        <x:f>IF(A790="","",IF(E790="","기타/불명",IF(IFERROR(SEARCH("급여",E790),0)&gt;0,"인건비",IF(IFERROR(SEARCH("임차",E790),0)&gt;0,"임차·시설",IF(IFERROR(SEARCH("광고",E790),0)&gt;0,"광고·행사",IF(IFERROR(SEARCH("용역",E790),0)&gt;0,"용역·수수료","기타/불명"))))))</x:f>
      </x:c>
      <x:c r="J790" s="77" t="str">
        <x:f>IF(A790="","",IF(I790="기타/불명","확인 필요","결의서명으로 1차 확인"))</x:f>
      </x:c>
      <x:c r="K790" s="78"/>
    </x:row>
    <x:row r="791">
      <x:c r="A791" s="73"/>
      <x:c r="B791" s="73"/>
      <x:c r="C791" s="74"/>
      <x:c r="D791" s="73"/>
      <x:c r="E791" s="73"/>
      <x:c r="F791" s="75"/>
      <x:c r="G791" s="75"/>
      <x:c r="H791" s="76" t="str">
        <x:f>IF(A791="","",F791-G791)</x:f>
      </x:c>
      <x:c r="I791" s="77" t="str">
        <x:f>IF(A791="","",IF(E791="","기타/불명",IF(IFERROR(SEARCH("급여",E791),0)&gt;0,"인건비",IF(IFERROR(SEARCH("임차",E791),0)&gt;0,"임차·시설",IF(IFERROR(SEARCH("광고",E791),0)&gt;0,"광고·행사",IF(IFERROR(SEARCH("용역",E791),0)&gt;0,"용역·수수료","기타/불명"))))))</x:f>
      </x:c>
      <x:c r="J791" s="77" t="str">
        <x:f>IF(A791="","",IF(I791="기타/불명","확인 필요","결의서명으로 1차 확인"))</x:f>
      </x:c>
      <x:c r="K791" s="78"/>
    </x:row>
    <x:row r="792">
      <x:c r="A792" s="73"/>
      <x:c r="B792" s="73"/>
      <x:c r="C792" s="74"/>
      <x:c r="D792" s="73"/>
      <x:c r="E792" s="73"/>
      <x:c r="F792" s="75"/>
      <x:c r="G792" s="75"/>
      <x:c r="H792" s="76" t="str">
        <x:f>IF(A792="","",F792-G792)</x:f>
      </x:c>
      <x:c r="I792" s="77" t="str">
        <x:f>IF(A792="","",IF(E792="","기타/불명",IF(IFERROR(SEARCH("급여",E792),0)&gt;0,"인건비",IF(IFERROR(SEARCH("임차",E792),0)&gt;0,"임차·시설",IF(IFERROR(SEARCH("광고",E792),0)&gt;0,"광고·행사",IF(IFERROR(SEARCH("용역",E792),0)&gt;0,"용역·수수료","기타/불명"))))))</x:f>
      </x:c>
      <x:c r="J792" s="77" t="str">
        <x:f>IF(A792="","",IF(I792="기타/불명","확인 필요","결의서명으로 1차 확인"))</x:f>
      </x:c>
      <x:c r="K792" s="78"/>
    </x:row>
    <x:row r="793">
      <x:c r="A793" s="73"/>
      <x:c r="B793" s="73"/>
      <x:c r="C793" s="74"/>
      <x:c r="D793" s="73"/>
      <x:c r="E793" s="73"/>
      <x:c r="F793" s="75"/>
      <x:c r="G793" s="75"/>
      <x:c r="H793" s="76" t="str">
        <x:f>IF(A793="","",F793-G793)</x:f>
      </x:c>
      <x:c r="I793" s="77" t="str">
        <x:f>IF(A793="","",IF(E793="","기타/불명",IF(IFERROR(SEARCH("급여",E793),0)&gt;0,"인건비",IF(IFERROR(SEARCH("임차",E793),0)&gt;0,"임차·시설",IF(IFERROR(SEARCH("광고",E793),0)&gt;0,"광고·행사",IF(IFERROR(SEARCH("용역",E793),0)&gt;0,"용역·수수료","기타/불명"))))))</x:f>
      </x:c>
      <x:c r="J793" s="77" t="str">
        <x:f>IF(A793="","",IF(I793="기타/불명","확인 필요","결의서명으로 1차 확인"))</x:f>
      </x:c>
      <x:c r="K793" s="78"/>
    </x:row>
    <x:row r="794">
      <x:c r="A794" s="73"/>
      <x:c r="B794" s="73"/>
      <x:c r="C794" s="74"/>
      <x:c r="D794" s="73"/>
      <x:c r="E794" s="73"/>
      <x:c r="F794" s="75"/>
      <x:c r="G794" s="75"/>
      <x:c r="H794" s="76" t="str">
        <x:f>IF(A794="","",F794-G794)</x:f>
      </x:c>
      <x:c r="I794" s="77" t="str">
        <x:f>IF(A794="","",IF(E794="","기타/불명",IF(IFERROR(SEARCH("급여",E794),0)&gt;0,"인건비",IF(IFERROR(SEARCH("임차",E794),0)&gt;0,"임차·시설",IF(IFERROR(SEARCH("광고",E794),0)&gt;0,"광고·행사",IF(IFERROR(SEARCH("용역",E794),0)&gt;0,"용역·수수료","기타/불명"))))))</x:f>
      </x:c>
      <x:c r="J794" s="77" t="str">
        <x:f>IF(A794="","",IF(I794="기타/불명","확인 필요","결의서명으로 1차 확인"))</x:f>
      </x:c>
      <x:c r="K794" s="78"/>
    </x:row>
    <x:row r="795">
      <x:c r="A795" s="73"/>
      <x:c r="B795" s="73"/>
      <x:c r="C795" s="74"/>
      <x:c r="D795" s="73"/>
      <x:c r="E795" s="73"/>
      <x:c r="F795" s="75"/>
      <x:c r="G795" s="75"/>
      <x:c r="H795" s="76" t="str">
        <x:f>IF(A795="","",F795-G795)</x:f>
      </x:c>
      <x:c r="I795" s="77" t="str">
        <x:f>IF(A795="","",IF(E795="","기타/불명",IF(IFERROR(SEARCH("급여",E795),0)&gt;0,"인건비",IF(IFERROR(SEARCH("임차",E795),0)&gt;0,"임차·시설",IF(IFERROR(SEARCH("광고",E795),0)&gt;0,"광고·행사",IF(IFERROR(SEARCH("용역",E795),0)&gt;0,"용역·수수료","기타/불명"))))))</x:f>
      </x:c>
      <x:c r="J795" s="77" t="str">
        <x:f>IF(A795="","",IF(I795="기타/불명","확인 필요","결의서명으로 1차 확인"))</x:f>
      </x:c>
      <x:c r="K795" s="78"/>
    </x:row>
    <x:row r="796">
      <x:c r="A796" s="73"/>
      <x:c r="B796" s="73"/>
      <x:c r="C796" s="74"/>
      <x:c r="D796" s="73"/>
      <x:c r="E796" s="73"/>
      <x:c r="F796" s="75"/>
      <x:c r="G796" s="75"/>
      <x:c r="H796" s="76" t="str">
        <x:f>IF(A796="","",F796-G796)</x:f>
      </x:c>
      <x:c r="I796" s="77" t="str">
        <x:f>IF(A796="","",IF(E796="","기타/불명",IF(IFERROR(SEARCH("급여",E796),0)&gt;0,"인건비",IF(IFERROR(SEARCH("임차",E796),0)&gt;0,"임차·시설",IF(IFERROR(SEARCH("광고",E796),0)&gt;0,"광고·행사",IF(IFERROR(SEARCH("용역",E796),0)&gt;0,"용역·수수료","기타/불명"))))))</x:f>
      </x:c>
      <x:c r="J796" s="77" t="str">
        <x:f>IF(A796="","",IF(I796="기타/불명","확인 필요","결의서명으로 1차 확인"))</x:f>
      </x:c>
      <x:c r="K796" s="78"/>
    </x:row>
    <x:row r="797">
      <x:c r="A797" s="73"/>
      <x:c r="B797" s="73"/>
      <x:c r="C797" s="74"/>
      <x:c r="D797" s="73"/>
      <x:c r="E797" s="73"/>
      <x:c r="F797" s="75"/>
      <x:c r="G797" s="75"/>
      <x:c r="H797" s="76" t="str">
        <x:f>IF(A797="","",F797-G797)</x:f>
      </x:c>
      <x:c r="I797" s="77" t="str">
        <x:f>IF(A797="","",IF(E797="","기타/불명",IF(IFERROR(SEARCH("급여",E797),0)&gt;0,"인건비",IF(IFERROR(SEARCH("임차",E797),0)&gt;0,"임차·시설",IF(IFERROR(SEARCH("광고",E797),0)&gt;0,"광고·행사",IF(IFERROR(SEARCH("용역",E797),0)&gt;0,"용역·수수료","기타/불명"))))))</x:f>
      </x:c>
      <x:c r="J797" s="77" t="str">
        <x:f>IF(A797="","",IF(I797="기타/불명","확인 필요","결의서명으로 1차 확인"))</x:f>
      </x:c>
      <x:c r="K797" s="78"/>
    </x:row>
    <x:row r="798">
      <x:c r="A798" s="73"/>
      <x:c r="B798" s="73"/>
      <x:c r="C798" s="74"/>
      <x:c r="D798" s="73"/>
      <x:c r="E798" s="73"/>
      <x:c r="F798" s="75"/>
      <x:c r="G798" s="75"/>
      <x:c r="H798" s="76" t="str">
        <x:f>IF(A798="","",F798-G798)</x:f>
      </x:c>
      <x:c r="I798" s="77" t="str">
        <x:f>IF(A798="","",IF(E798="","기타/불명",IF(IFERROR(SEARCH("급여",E798),0)&gt;0,"인건비",IF(IFERROR(SEARCH("임차",E798),0)&gt;0,"임차·시설",IF(IFERROR(SEARCH("광고",E798),0)&gt;0,"광고·행사",IF(IFERROR(SEARCH("용역",E798),0)&gt;0,"용역·수수료","기타/불명"))))))</x:f>
      </x:c>
      <x:c r="J798" s="77" t="str">
        <x:f>IF(A798="","",IF(I798="기타/불명","확인 필요","결의서명으로 1차 확인"))</x:f>
      </x:c>
      <x:c r="K798" s="78"/>
    </x:row>
    <x:row r="799">
      <x:c r="A799" s="73"/>
      <x:c r="B799" s="73"/>
      <x:c r="C799" s="74"/>
      <x:c r="D799" s="73"/>
      <x:c r="E799" s="73"/>
      <x:c r="F799" s="75"/>
      <x:c r="G799" s="75"/>
      <x:c r="H799" s="76" t="str">
        <x:f>IF(A799="","",F799-G799)</x:f>
      </x:c>
      <x:c r="I799" s="77" t="str">
        <x:f>IF(A799="","",IF(E799="","기타/불명",IF(IFERROR(SEARCH("급여",E799),0)&gt;0,"인건비",IF(IFERROR(SEARCH("임차",E799),0)&gt;0,"임차·시설",IF(IFERROR(SEARCH("광고",E799),0)&gt;0,"광고·행사",IF(IFERROR(SEARCH("용역",E799),0)&gt;0,"용역·수수료","기타/불명"))))))</x:f>
      </x:c>
      <x:c r="J799" s="77" t="str">
        <x:f>IF(A799="","",IF(I799="기타/불명","확인 필요","결의서명으로 1차 확인"))</x:f>
      </x:c>
      <x:c r="K799" s="78"/>
    </x:row>
    <x:row r="800">
      <x:c r="A800" s="73"/>
      <x:c r="B800" s="73"/>
      <x:c r="C800" s="74"/>
      <x:c r="D800" s="73"/>
      <x:c r="E800" s="73"/>
      <x:c r="F800" s="75"/>
      <x:c r="G800" s="75"/>
      <x:c r="H800" s="76" t="str">
        <x:f>IF(A800="","",F800-G800)</x:f>
      </x:c>
      <x:c r="I800" s="77" t="str">
        <x:f>IF(A800="","",IF(E800="","기타/불명",IF(IFERROR(SEARCH("급여",E800),0)&gt;0,"인건비",IF(IFERROR(SEARCH("임차",E800),0)&gt;0,"임차·시설",IF(IFERROR(SEARCH("광고",E800),0)&gt;0,"광고·행사",IF(IFERROR(SEARCH("용역",E800),0)&gt;0,"용역·수수료","기타/불명"))))))</x:f>
      </x:c>
      <x:c r="J800" s="77" t="str">
        <x:f>IF(A800="","",IF(I800="기타/불명","확인 필요","결의서명으로 1차 확인"))</x:f>
      </x:c>
      <x:c r="K800" s="78"/>
    </x:row>
    <x:row r="801">
      <x:c r="A801" s="73"/>
      <x:c r="B801" s="73"/>
      <x:c r="C801" s="74"/>
      <x:c r="D801" s="73"/>
      <x:c r="E801" s="73"/>
      <x:c r="F801" s="75"/>
      <x:c r="G801" s="75"/>
      <x:c r="H801" s="76" t="str">
        <x:f>IF(A801="","",F801-G801)</x:f>
      </x:c>
      <x:c r="I801" s="77" t="str">
        <x:f>IF(A801="","",IF(E801="","기타/불명",IF(IFERROR(SEARCH("급여",E801),0)&gt;0,"인건비",IF(IFERROR(SEARCH("임차",E801),0)&gt;0,"임차·시설",IF(IFERROR(SEARCH("광고",E801),0)&gt;0,"광고·행사",IF(IFERROR(SEARCH("용역",E801),0)&gt;0,"용역·수수료","기타/불명"))))))</x:f>
      </x:c>
      <x:c r="J801" s="77" t="str">
        <x:f>IF(A801="","",IF(I801="기타/불명","확인 필요","결의서명으로 1차 확인"))</x:f>
      </x:c>
      <x:c r="K801" s="78"/>
    </x:row>
    <x:row r="802">
      <x:c r="A802" s="73"/>
      <x:c r="B802" s="73"/>
      <x:c r="C802" s="74"/>
      <x:c r="D802" s="73"/>
      <x:c r="E802" s="73"/>
      <x:c r="F802" s="75"/>
      <x:c r="G802" s="75"/>
      <x:c r="H802" s="76" t="str">
        <x:f>IF(A802="","",F802-G802)</x:f>
      </x:c>
      <x:c r="I802" s="77" t="str">
        <x:f>IF(A802="","",IF(E802="","기타/불명",IF(IFERROR(SEARCH("급여",E802),0)&gt;0,"인건비",IF(IFERROR(SEARCH("임차",E802),0)&gt;0,"임차·시설",IF(IFERROR(SEARCH("광고",E802),0)&gt;0,"광고·행사",IF(IFERROR(SEARCH("용역",E802),0)&gt;0,"용역·수수료","기타/불명"))))))</x:f>
      </x:c>
      <x:c r="J802" s="77" t="str">
        <x:f>IF(A802="","",IF(I802="기타/불명","확인 필요","결의서명으로 1차 확인"))</x:f>
      </x:c>
      <x:c r="K802" s="78"/>
    </x:row>
    <x:row r="803">
      <x:c r="A803" s="73"/>
      <x:c r="B803" s="73"/>
      <x:c r="C803" s="74"/>
      <x:c r="D803" s="73"/>
      <x:c r="E803" s="73"/>
      <x:c r="F803" s="75"/>
      <x:c r="G803" s="75"/>
      <x:c r="H803" s="76" t="str">
        <x:f>IF(A803="","",F803-G803)</x:f>
      </x:c>
      <x:c r="I803" s="77" t="str">
        <x:f>IF(A803="","",IF(E803="","기타/불명",IF(IFERROR(SEARCH("급여",E803),0)&gt;0,"인건비",IF(IFERROR(SEARCH("임차",E803),0)&gt;0,"임차·시설",IF(IFERROR(SEARCH("광고",E803),0)&gt;0,"광고·행사",IF(IFERROR(SEARCH("용역",E803),0)&gt;0,"용역·수수료","기타/불명"))))))</x:f>
      </x:c>
      <x:c r="J803" s="77" t="str">
        <x:f>IF(A803="","",IF(I803="기타/불명","확인 필요","결의서명으로 1차 확인"))</x:f>
      </x:c>
      <x:c r="K803" s="78"/>
    </x:row>
    <x:row r="804">
      <x:c r="A804" s="73"/>
      <x:c r="B804" s="73"/>
      <x:c r="C804" s="74"/>
      <x:c r="D804" s="73"/>
      <x:c r="E804" s="73"/>
      <x:c r="F804" s="75"/>
      <x:c r="G804" s="75"/>
      <x:c r="H804" s="76" t="str">
        <x:f>IF(A804="","",F804-G804)</x:f>
      </x:c>
      <x:c r="I804" s="77" t="str">
        <x:f>IF(A804="","",IF(E804="","기타/불명",IF(IFERROR(SEARCH("급여",E804),0)&gt;0,"인건비",IF(IFERROR(SEARCH("임차",E804),0)&gt;0,"임차·시설",IF(IFERROR(SEARCH("광고",E804),0)&gt;0,"광고·행사",IF(IFERROR(SEARCH("용역",E804),0)&gt;0,"용역·수수료","기타/불명"))))))</x:f>
      </x:c>
      <x:c r="J804" s="77" t="str">
        <x:f>IF(A804="","",IF(I804="기타/불명","확인 필요","결의서명으로 1차 확인"))</x:f>
      </x:c>
      <x:c r="K804" s="78"/>
    </x:row>
    <x:row r="805">
      <x:c r="A805" s="73"/>
      <x:c r="B805" s="73"/>
      <x:c r="C805" s="74"/>
      <x:c r="D805" s="73"/>
      <x:c r="E805" s="73"/>
      <x:c r="F805" s="75"/>
      <x:c r="G805" s="75"/>
      <x:c r="H805" s="76" t="str">
        <x:f>IF(A805="","",F805-G805)</x:f>
      </x:c>
      <x:c r="I805" s="77" t="str">
        <x:f>IF(A805="","",IF(E805="","기타/불명",IF(IFERROR(SEARCH("급여",E805),0)&gt;0,"인건비",IF(IFERROR(SEARCH("임차",E805),0)&gt;0,"임차·시설",IF(IFERROR(SEARCH("광고",E805),0)&gt;0,"광고·행사",IF(IFERROR(SEARCH("용역",E805),0)&gt;0,"용역·수수료","기타/불명"))))))</x:f>
      </x:c>
      <x:c r="J805" s="77" t="str">
        <x:f>IF(A805="","",IF(I805="기타/불명","확인 필요","결의서명으로 1차 확인"))</x:f>
      </x:c>
      <x:c r="K805" s="78"/>
    </x:row>
    <x:row r="806">
      <x:c r="A806" s="73"/>
      <x:c r="B806" s="73"/>
      <x:c r="C806" s="74"/>
      <x:c r="D806" s="73"/>
      <x:c r="E806" s="73"/>
      <x:c r="F806" s="75"/>
      <x:c r="G806" s="75"/>
      <x:c r="H806" s="76" t="str">
        <x:f>IF(A806="","",F806-G806)</x:f>
      </x:c>
      <x:c r="I806" s="77" t="str">
        <x:f>IF(A806="","",IF(E806="","기타/불명",IF(IFERROR(SEARCH("급여",E806),0)&gt;0,"인건비",IF(IFERROR(SEARCH("임차",E806),0)&gt;0,"임차·시설",IF(IFERROR(SEARCH("광고",E806),0)&gt;0,"광고·행사",IF(IFERROR(SEARCH("용역",E806),0)&gt;0,"용역·수수료","기타/불명"))))))</x:f>
      </x:c>
      <x:c r="J806" s="77" t="str">
        <x:f>IF(A806="","",IF(I806="기타/불명","확인 필요","결의서명으로 1차 확인"))</x:f>
      </x:c>
      <x:c r="K806" s="78"/>
    </x:row>
    <x:row r="807">
      <x:c r="A807" s="73"/>
      <x:c r="B807" s="73"/>
      <x:c r="C807" s="74"/>
      <x:c r="D807" s="73"/>
      <x:c r="E807" s="73"/>
      <x:c r="F807" s="75"/>
      <x:c r="G807" s="75"/>
      <x:c r="H807" s="76" t="str">
        <x:f>IF(A807="","",F807-G807)</x:f>
      </x:c>
      <x:c r="I807" s="77" t="str">
        <x:f>IF(A807="","",IF(E807="","기타/불명",IF(IFERROR(SEARCH("급여",E807),0)&gt;0,"인건비",IF(IFERROR(SEARCH("임차",E807),0)&gt;0,"임차·시설",IF(IFERROR(SEARCH("광고",E807),0)&gt;0,"광고·행사",IF(IFERROR(SEARCH("용역",E807),0)&gt;0,"용역·수수료","기타/불명"))))))</x:f>
      </x:c>
      <x:c r="J807" s="77" t="str">
        <x:f>IF(A807="","",IF(I807="기타/불명","확인 필요","결의서명으로 1차 확인"))</x:f>
      </x:c>
      <x:c r="K807" s="78"/>
    </x:row>
    <x:row r="808">
      <x:c r="A808" s="73"/>
      <x:c r="B808" s="73"/>
      <x:c r="C808" s="74"/>
      <x:c r="D808" s="73"/>
      <x:c r="E808" s="73"/>
      <x:c r="F808" s="75"/>
      <x:c r="G808" s="75"/>
      <x:c r="H808" s="76" t="str">
        <x:f>IF(A808="","",F808-G808)</x:f>
      </x:c>
      <x:c r="I808" s="77" t="str">
        <x:f>IF(A808="","",IF(E808="","기타/불명",IF(IFERROR(SEARCH("급여",E808),0)&gt;0,"인건비",IF(IFERROR(SEARCH("임차",E808),0)&gt;0,"임차·시설",IF(IFERROR(SEARCH("광고",E808),0)&gt;0,"광고·행사",IF(IFERROR(SEARCH("용역",E808),0)&gt;0,"용역·수수료","기타/불명"))))))</x:f>
      </x:c>
      <x:c r="J808" s="77" t="str">
        <x:f>IF(A808="","",IF(I808="기타/불명","확인 필요","결의서명으로 1차 확인"))</x:f>
      </x:c>
      <x:c r="K808" s="78"/>
    </x:row>
    <x:row r="809">
      <x:c r="A809" s="73"/>
      <x:c r="B809" s="73"/>
      <x:c r="C809" s="74"/>
      <x:c r="D809" s="73"/>
      <x:c r="E809" s="73"/>
      <x:c r="F809" s="75"/>
      <x:c r="G809" s="75"/>
      <x:c r="H809" s="76" t="str">
        <x:f>IF(A809="","",F809-G809)</x:f>
      </x:c>
      <x:c r="I809" s="77" t="str">
        <x:f>IF(A809="","",IF(E809="","기타/불명",IF(IFERROR(SEARCH("급여",E809),0)&gt;0,"인건비",IF(IFERROR(SEARCH("임차",E809),0)&gt;0,"임차·시설",IF(IFERROR(SEARCH("광고",E809),0)&gt;0,"광고·행사",IF(IFERROR(SEARCH("용역",E809),0)&gt;0,"용역·수수료","기타/불명"))))))</x:f>
      </x:c>
      <x:c r="J809" s="77" t="str">
        <x:f>IF(A809="","",IF(I809="기타/불명","확인 필요","결의서명으로 1차 확인"))</x:f>
      </x:c>
      <x:c r="K809" s="78"/>
    </x:row>
    <x:row r="810">
      <x:c r="A810" s="73"/>
      <x:c r="B810" s="73"/>
      <x:c r="C810" s="74"/>
      <x:c r="D810" s="73"/>
      <x:c r="E810" s="73"/>
      <x:c r="F810" s="75"/>
      <x:c r="G810" s="75"/>
      <x:c r="H810" s="76" t="str">
        <x:f>IF(A810="","",F810-G810)</x:f>
      </x:c>
      <x:c r="I810" s="77" t="str">
        <x:f>IF(A810="","",IF(E810="","기타/불명",IF(IFERROR(SEARCH("급여",E810),0)&gt;0,"인건비",IF(IFERROR(SEARCH("임차",E810),0)&gt;0,"임차·시설",IF(IFERROR(SEARCH("광고",E810),0)&gt;0,"광고·행사",IF(IFERROR(SEARCH("용역",E810),0)&gt;0,"용역·수수료","기타/불명"))))))</x:f>
      </x:c>
      <x:c r="J810" s="77" t="str">
        <x:f>IF(A810="","",IF(I810="기타/불명","확인 필요","결의서명으로 1차 확인"))</x:f>
      </x:c>
      <x:c r="K810" s="78"/>
    </x:row>
    <x:row r="811">
      <x:c r="A811" s="73"/>
      <x:c r="B811" s="73"/>
      <x:c r="C811" s="74"/>
      <x:c r="D811" s="73"/>
      <x:c r="E811" s="73"/>
      <x:c r="F811" s="75"/>
      <x:c r="G811" s="75"/>
      <x:c r="H811" s="76" t="str">
        <x:f>IF(A811="","",F811-G811)</x:f>
      </x:c>
      <x:c r="I811" s="77" t="str">
        <x:f>IF(A811="","",IF(E811="","기타/불명",IF(IFERROR(SEARCH("급여",E811),0)&gt;0,"인건비",IF(IFERROR(SEARCH("임차",E811),0)&gt;0,"임차·시설",IF(IFERROR(SEARCH("광고",E811),0)&gt;0,"광고·행사",IF(IFERROR(SEARCH("용역",E811),0)&gt;0,"용역·수수료","기타/불명"))))))</x:f>
      </x:c>
      <x:c r="J811" s="77" t="str">
        <x:f>IF(A811="","",IF(I811="기타/불명","확인 필요","결의서명으로 1차 확인"))</x:f>
      </x:c>
      <x:c r="K811" s="78"/>
    </x:row>
    <x:row r="812">
      <x:c r="A812" s="73"/>
      <x:c r="B812" s="73"/>
      <x:c r="C812" s="74"/>
      <x:c r="D812" s="73"/>
      <x:c r="E812" s="73"/>
      <x:c r="F812" s="75"/>
      <x:c r="G812" s="75"/>
      <x:c r="H812" s="76" t="str">
        <x:f>IF(A812="","",F812-G812)</x:f>
      </x:c>
      <x:c r="I812" s="77" t="str">
        <x:f>IF(A812="","",IF(E812="","기타/불명",IF(IFERROR(SEARCH("급여",E812),0)&gt;0,"인건비",IF(IFERROR(SEARCH("임차",E812),0)&gt;0,"임차·시설",IF(IFERROR(SEARCH("광고",E812),0)&gt;0,"광고·행사",IF(IFERROR(SEARCH("용역",E812),0)&gt;0,"용역·수수료","기타/불명"))))))</x:f>
      </x:c>
      <x:c r="J812" s="77" t="str">
        <x:f>IF(A812="","",IF(I812="기타/불명","확인 필요","결의서명으로 1차 확인"))</x:f>
      </x:c>
      <x:c r="K812" s="78"/>
    </x:row>
    <x:row r="813">
      <x:c r="A813" s="73"/>
      <x:c r="B813" s="73"/>
      <x:c r="C813" s="74"/>
      <x:c r="D813" s="73"/>
      <x:c r="E813" s="73"/>
      <x:c r="F813" s="75"/>
      <x:c r="G813" s="75"/>
      <x:c r="H813" s="76" t="str">
        <x:f>IF(A813="","",F813-G813)</x:f>
      </x:c>
      <x:c r="I813" s="77" t="str">
        <x:f>IF(A813="","",IF(E813="","기타/불명",IF(IFERROR(SEARCH("급여",E813),0)&gt;0,"인건비",IF(IFERROR(SEARCH("임차",E813),0)&gt;0,"임차·시설",IF(IFERROR(SEARCH("광고",E813),0)&gt;0,"광고·행사",IF(IFERROR(SEARCH("용역",E813),0)&gt;0,"용역·수수료","기타/불명"))))))</x:f>
      </x:c>
      <x:c r="J813" s="77" t="str">
        <x:f>IF(A813="","",IF(I813="기타/불명","확인 필요","결의서명으로 1차 확인"))</x:f>
      </x:c>
      <x:c r="K813" s="78"/>
    </x:row>
    <x:row r="814">
      <x:c r="A814" s="73"/>
      <x:c r="B814" s="73"/>
      <x:c r="C814" s="74"/>
      <x:c r="D814" s="73"/>
      <x:c r="E814" s="73"/>
      <x:c r="F814" s="75"/>
      <x:c r="G814" s="75"/>
      <x:c r="H814" s="76" t="str">
        <x:f>IF(A814="","",F814-G814)</x:f>
      </x:c>
      <x:c r="I814" s="77" t="str">
        <x:f>IF(A814="","",IF(E814="","기타/불명",IF(IFERROR(SEARCH("급여",E814),0)&gt;0,"인건비",IF(IFERROR(SEARCH("임차",E814),0)&gt;0,"임차·시설",IF(IFERROR(SEARCH("광고",E814),0)&gt;0,"광고·행사",IF(IFERROR(SEARCH("용역",E814),0)&gt;0,"용역·수수료","기타/불명"))))))</x:f>
      </x:c>
      <x:c r="J814" s="77" t="str">
        <x:f>IF(A814="","",IF(I814="기타/불명","확인 필요","결의서명으로 1차 확인"))</x:f>
      </x:c>
      <x:c r="K814" s="78"/>
    </x:row>
    <x:row r="815">
      <x:c r="A815" s="73"/>
      <x:c r="B815" s="73"/>
      <x:c r="C815" s="74"/>
      <x:c r="D815" s="73"/>
      <x:c r="E815" s="73"/>
      <x:c r="F815" s="75"/>
      <x:c r="G815" s="75"/>
      <x:c r="H815" s="76" t="str">
        <x:f>IF(A815="","",F815-G815)</x:f>
      </x:c>
      <x:c r="I815" s="77" t="str">
        <x:f>IF(A815="","",IF(E815="","기타/불명",IF(IFERROR(SEARCH("급여",E815),0)&gt;0,"인건비",IF(IFERROR(SEARCH("임차",E815),0)&gt;0,"임차·시설",IF(IFERROR(SEARCH("광고",E815),0)&gt;0,"광고·행사",IF(IFERROR(SEARCH("용역",E815),0)&gt;0,"용역·수수료","기타/불명"))))))</x:f>
      </x:c>
      <x:c r="J815" s="77" t="str">
        <x:f>IF(A815="","",IF(I815="기타/불명","확인 필요","결의서명으로 1차 확인"))</x:f>
      </x:c>
      <x:c r="K815" s="78"/>
    </x:row>
    <x:row r="816">
      <x:c r="A816" s="73"/>
      <x:c r="B816" s="73"/>
      <x:c r="C816" s="74"/>
      <x:c r="D816" s="73"/>
      <x:c r="E816" s="73"/>
      <x:c r="F816" s="75"/>
      <x:c r="G816" s="75"/>
      <x:c r="H816" s="76" t="str">
        <x:f>IF(A816="","",F816-G816)</x:f>
      </x:c>
      <x:c r="I816" s="77" t="str">
        <x:f>IF(A816="","",IF(E816="","기타/불명",IF(IFERROR(SEARCH("급여",E816),0)&gt;0,"인건비",IF(IFERROR(SEARCH("임차",E816),0)&gt;0,"임차·시설",IF(IFERROR(SEARCH("광고",E816),0)&gt;0,"광고·행사",IF(IFERROR(SEARCH("용역",E816),0)&gt;0,"용역·수수료","기타/불명"))))))</x:f>
      </x:c>
      <x:c r="J816" s="77" t="str">
        <x:f>IF(A816="","",IF(I816="기타/불명","확인 필요","결의서명으로 1차 확인"))</x:f>
      </x:c>
      <x:c r="K816" s="78"/>
    </x:row>
    <x:row r="817">
      <x:c r="A817" s="73"/>
      <x:c r="B817" s="73"/>
      <x:c r="C817" s="74"/>
      <x:c r="D817" s="73"/>
      <x:c r="E817" s="73"/>
      <x:c r="F817" s="75"/>
      <x:c r="G817" s="75"/>
      <x:c r="H817" s="76" t="str">
        <x:f>IF(A817="","",F817-G817)</x:f>
      </x:c>
      <x:c r="I817" s="77" t="str">
        <x:f>IF(A817="","",IF(E817="","기타/불명",IF(IFERROR(SEARCH("급여",E817),0)&gt;0,"인건비",IF(IFERROR(SEARCH("임차",E817),0)&gt;0,"임차·시설",IF(IFERROR(SEARCH("광고",E817),0)&gt;0,"광고·행사",IF(IFERROR(SEARCH("용역",E817),0)&gt;0,"용역·수수료","기타/불명"))))))</x:f>
      </x:c>
      <x:c r="J817" s="77" t="str">
        <x:f>IF(A817="","",IF(I817="기타/불명","확인 필요","결의서명으로 1차 확인"))</x:f>
      </x:c>
      <x:c r="K817" s="78"/>
    </x:row>
    <x:row r="818">
      <x:c r="A818" s="73"/>
      <x:c r="B818" s="73"/>
      <x:c r="C818" s="74"/>
      <x:c r="D818" s="73"/>
      <x:c r="E818" s="73"/>
      <x:c r="F818" s="75"/>
      <x:c r="G818" s="75"/>
      <x:c r="H818" s="76" t="str">
        <x:f>IF(A818="","",F818-G818)</x:f>
      </x:c>
      <x:c r="I818" s="77" t="str">
        <x:f>IF(A818="","",IF(E818="","기타/불명",IF(IFERROR(SEARCH("급여",E818),0)&gt;0,"인건비",IF(IFERROR(SEARCH("임차",E818),0)&gt;0,"임차·시설",IF(IFERROR(SEARCH("광고",E818),0)&gt;0,"광고·행사",IF(IFERROR(SEARCH("용역",E818),0)&gt;0,"용역·수수료","기타/불명"))))))</x:f>
      </x:c>
      <x:c r="J818" s="77" t="str">
        <x:f>IF(A818="","",IF(I818="기타/불명","확인 필요","결의서명으로 1차 확인"))</x:f>
      </x:c>
      <x:c r="K818" s="78"/>
    </x:row>
    <x:row r="819">
      <x:c r="A819" s="73"/>
      <x:c r="B819" s="73"/>
      <x:c r="C819" s="74"/>
      <x:c r="D819" s="73"/>
      <x:c r="E819" s="73"/>
      <x:c r="F819" s="75"/>
      <x:c r="G819" s="75"/>
      <x:c r="H819" s="76" t="str">
        <x:f>IF(A819="","",F819-G819)</x:f>
      </x:c>
      <x:c r="I819" s="77" t="str">
        <x:f>IF(A819="","",IF(E819="","기타/불명",IF(IFERROR(SEARCH("급여",E819),0)&gt;0,"인건비",IF(IFERROR(SEARCH("임차",E819),0)&gt;0,"임차·시설",IF(IFERROR(SEARCH("광고",E819),0)&gt;0,"광고·행사",IF(IFERROR(SEARCH("용역",E819),0)&gt;0,"용역·수수료","기타/불명"))))))</x:f>
      </x:c>
      <x:c r="J819" s="77" t="str">
        <x:f>IF(A819="","",IF(I819="기타/불명","확인 필요","결의서명으로 1차 확인"))</x:f>
      </x:c>
      <x:c r="K819" s="78"/>
    </x:row>
    <x:row r="820">
      <x:c r="A820" s="73"/>
      <x:c r="B820" s="73"/>
      <x:c r="C820" s="74"/>
      <x:c r="D820" s="73"/>
      <x:c r="E820" s="73"/>
      <x:c r="F820" s="75"/>
      <x:c r="G820" s="75"/>
      <x:c r="H820" s="76" t="str">
        <x:f>IF(A820="","",F820-G820)</x:f>
      </x:c>
      <x:c r="I820" s="77" t="str">
        <x:f>IF(A820="","",IF(E820="","기타/불명",IF(IFERROR(SEARCH("급여",E820),0)&gt;0,"인건비",IF(IFERROR(SEARCH("임차",E820),0)&gt;0,"임차·시설",IF(IFERROR(SEARCH("광고",E820),0)&gt;0,"광고·행사",IF(IFERROR(SEARCH("용역",E820),0)&gt;0,"용역·수수료","기타/불명"))))))</x:f>
      </x:c>
      <x:c r="J820" s="77" t="str">
        <x:f>IF(A820="","",IF(I820="기타/불명","확인 필요","결의서명으로 1차 확인"))</x:f>
      </x:c>
      <x:c r="K820" s="78"/>
    </x:row>
    <x:row r="821">
      <x:c r="A821" s="73"/>
      <x:c r="B821" s="73"/>
      <x:c r="C821" s="74"/>
      <x:c r="D821" s="73"/>
      <x:c r="E821" s="73"/>
      <x:c r="F821" s="75"/>
      <x:c r="G821" s="75"/>
      <x:c r="H821" s="76" t="str">
        <x:f>IF(A821="","",F821-G821)</x:f>
      </x:c>
      <x:c r="I821" s="77" t="str">
        <x:f>IF(A821="","",IF(E821="","기타/불명",IF(IFERROR(SEARCH("급여",E821),0)&gt;0,"인건비",IF(IFERROR(SEARCH("임차",E821),0)&gt;0,"임차·시설",IF(IFERROR(SEARCH("광고",E821),0)&gt;0,"광고·행사",IF(IFERROR(SEARCH("용역",E821),0)&gt;0,"용역·수수료","기타/불명"))))))</x:f>
      </x:c>
      <x:c r="J821" s="77" t="str">
        <x:f>IF(A821="","",IF(I821="기타/불명","확인 필요","결의서명으로 1차 확인"))</x:f>
      </x:c>
      <x:c r="K821" s="78"/>
    </x:row>
    <x:row r="822">
      <x:c r="A822" s="73"/>
      <x:c r="B822" s="73"/>
      <x:c r="C822" s="74"/>
      <x:c r="D822" s="73"/>
      <x:c r="E822" s="73"/>
      <x:c r="F822" s="75"/>
      <x:c r="G822" s="75"/>
      <x:c r="H822" s="76" t="str">
        <x:f>IF(A822="","",F822-G822)</x:f>
      </x:c>
      <x:c r="I822" s="77" t="str">
        <x:f>IF(A822="","",IF(E822="","기타/불명",IF(IFERROR(SEARCH("급여",E822),0)&gt;0,"인건비",IF(IFERROR(SEARCH("임차",E822),0)&gt;0,"임차·시설",IF(IFERROR(SEARCH("광고",E822),0)&gt;0,"광고·행사",IF(IFERROR(SEARCH("용역",E822),0)&gt;0,"용역·수수료","기타/불명"))))))</x:f>
      </x:c>
      <x:c r="J822" s="77" t="str">
        <x:f>IF(A822="","",IF(I822="기타/불명","확인 필요","결의서명으로 1차 확인"))</x:f>
      </x:c>
      <x:c r="K822" s="78"/>
    </x:row>
    <x:row r="823">
      <x:c r="A823" s="73"/>
      <x:c r="B823" s="73"/>
      <x:c r="C823" s="74"/>
      <x:c r="D823" s="73"/>
      <x:c r="E823" s="73"/>
      <x:c r="F823" s="75"/>
      <x:c r="G823" s="75"/>
      <x:c r="H823" s="76" t="str">
        <x:f>IF(A823="","",F823-G823)</x:f>
      </x:c>
      <x:c r="I823" s="77" t="str">
        <x:f>IF(A823="","",IF(E823="","기타/불명",IF(IFERROR(SEARCH("급여",E823),0)&gt;0,"인건비",IF(IFERROR(SEARCH("임차",E823),0)&gt;0,"임차·시설",IF(IFERROR(SEARCH("광고",E823),0)&gt;0,"광고·행사",IF(IFERROR(SEARCH("용역",E823),0)&gt;0,"용역·수수료","기타/불명"))))))</x:f>
      </x:c>
      <x:c r="J823" s="77" t="str">
        <x:f>IF(A823="","",IF(I823="기타/불명","확인 필요","결의서명으로 1차 확인"))</x:f>
      </x:c>
      <x:c r="K823" s="78"/>
    </x:row>
    <x:row r="824">
      <x:c r="A824" s="73"/>
      <x:c r="B824" s="73"/>
      <x:c r="C824" s="74"/>
      <x:c r="D824" s="73"/>
      <x:c r="E824" s="73"/>
      <x:c r="F824" s="75"/>
      <x:c r="G824" s="75"/>
      <x:c r="H824" s="76" t="str">
        <x:f>IF(A824="","",F824-G824)</x:f>
      </x:c>
      <x:c r="I824" s="77" t="str">
        <x:f>IF(A824="","",IF(E824="","기타/불명",IF(IFERROR(SEARCH("급여",E824),0)&gt;0,"인건비",IF(IFERROR(SEARCH("임차",E824),0)&gt;0,"임차·시설",IF(IFERROR(SEARCH("광고",E824),0)&gt;0,"광고·행사",IF(IFERROR(SEARCH("용역",E824),0)&gt;0,"용역·수수료","기타/불명"))))))</x:f>
      </x:c>
      <x:c r="J824" s="77" t="str">
        <x:f>IF(A824="","",IF(I824="기타/불명","확인 필요","결의서명으로 1차 확인"))</x:f>
      </x:c>
      <x:c r="K824" s="78"/>
    </x:row>
    <x:row r="825">
      <x:c r="A825" s="73"/>
      <x:c r="B825" s="73"/>
      <x:c r="C825" s="74"/>
      <x:c r="D825" s="73"/>
      <x:c r="E825" s="73"/>
      <x:c r="F825" s="75"/>
      <x:c r="G825" s="75"/>
      <x:c r="H825" s="76" t="str">
        <x:f>IF(A825="","",F825-G825)</x:f>
      </x:c>
      <x:c r="I825" s="77" t="str">
        <x:f>IF(A825="","",IF(E825="","기타/불명",IF(IFERROR(SEARCH("급여",E825),0)&gt;0,"인건비",IF(IFERROR(SEARCH("임차",E825),0)&gt;0,"임차·시설",IF(IFERROR(SEARCH("광고",E825),0)&gt;0,"광고·행사",IF(IFERROR(SEARCH("용역",E825),0)&gt;0,"용역·수수료","기타/불명"))))))</x:f>
      </x:c>
      <x:c r="J825" s="77" t="str">
        <x:f>IF(A825="","",IF(I825="기타/불명","확인 필요","결의서명으로 1차 확인"))</x:f>
      </x:c>
      <x:c r="K825" s="78"/>
    </x:row>
    <x:row r="826">
      <x:c r="A826" s="73"/>
      <x:c r="B826" s="73"/>
      <x:c r="C826" s="74"/>
      <x:c r="D826" s="73"/>
      <x:c r="E826" s="73"/>
      <x:c r="F826" s="75"/>
      <x:c r="G826" s="75"/>
      <x:c r="H826" s="76" t="str">
        <x:f>IF(A826="","",F826-G826)</x:f>
      </x:c>
      <x:c r="I826" s="77" t="str">
        <x:f>IF(A826="","",IF(E826="","기타/불명",IF(IFERROR(SEARCH("급여",E826),0)&gt;0,"인건비",IF(IFERROR(SEARCH("임차",E826),0)&gt;0,"임차·시설",IF(IFERROR(SEARCH("광고",E826),0)&gt;0,"광고·행사",IF(IFERROR(SEARCH("용역",E826),0)&gt;0,"용역·수수료","기타/불명"))))))</x:f>
      </x:c>
      <x:c r="J826" s="77" t="str">
        <x:f>IF(A826="","",IF(I826="기타/불명","확인 필요","결의서명으로 1차 확인"))</x:f>
      </x:c>
      <x:c r="K826" s="78"/>
    </x:row>
    <x:row r="827">
      <x:c r="A827" s="73"/>
      <x:c r="B827" s="73"/>
      <x:c r="C827" s="74"/>
      <x:c r="D827" s="73"/>
      <x:c r="E827" s="73"/>
      <x:c r="F827" s="75"/>
      <x:c r="G827" s="75"/>
      <x:c r="H827" s="76" t="str">
        <x:f>IF(A827="","",F827-G827)</x:f>
      </x:c>
      <x:c r="I827" s="77" t="str">
        <x:f>IF(A827="","",IF(E827="","기타/불명",IF(IFERROR(SEARCH("급여",E827),0)&gt;0,"인건비",IF(IFERROR(SEARCH("임차",E827),0)&gt;0,"임차·시설",IF(IFERROR(SEARCH("광고",E827),0)&gt;0,"광고·행사",IF(IFERROR(SEARCH("용역",E827),0)&gt;0,"용역·수수료","기타/불명"))))))</x:f>
      </x:c>
      <x:c r="J827" s="77" t="str">
        <x:f>IF(A827="","",IF(I827="기타/불명","확인 필요","결의서명으로 1차 확인"))</x:f>
      </x:c>
      <x:c r="K827" s="78"/>
    </x:row>
    <x:row r="828">
      <x:c r="A828" s="73"/>
      <x:c r="B828" s="73"/>
      <x:c r="C828" s="74"/>
      <x:c r="D828" s="73"/>
      <x:c r="E828" s="73"/>
      <x:c r="F828" s="75"/>
      <x:c r="G828" s="75"/>
      <x:c r="H828" s="76" t="str">
        <x:f>IF(A828="","",F828-G828)</x:f>
      </x:c>
      <x:c r="I828" s="77" t="str">
        <x:f>IF(A828="","",IF(E828="","기타/불명",IF(IFERROR(SEARCH("급여",E828),0)&gt;0,"인건비",IF(IFERROR(SEARCH("임차",E828),0)&gt;0,"임차·시설",IF(IFERROR(SEARCH("광고",E828),0)&gt;0,"광고·행사",IF(IFERROR(SEARCH("용역",E828),0)&gt;0,"용역·수수료","기타/불명"))))))</x:f>
      </x:c>
      <x:c r="J828" s="77" t="str">
        <x:f>IF(A828="","",IF(I828="기타/불명","확인 필요","결의서명으로 1차 확인"))</x:f>
      </x:c>
      <x:c r="K828" s="78"/>
    </x:row>
    <x:row r="829">
      <x:c r="A829" s="73"/>
      <x:c r="B829" s="73"/>
      <x:c r="C829" s="74"/>
      <x:c r="D829" s="73"/>
      <x:c r="E829" s="73"/>
      <x:c r="F829" s="75"/>
      <x:c r="G829" s="75"/>
      <x:c r="H829" s="76" t="str">
        <x:f>IF(A829="","",F829-G829)</x:f>
      </x:c>
      <x:c r="I829" s="77" t="str">
        <x:f>IF(A829="","",IF(E829="","기타/불명",IF(IFERROR(SEARCH("급여",E829),0)&gt;0,"인건비",IF(IFERROR(SEARCH("임차",E829),0)&gt;0,"임차·시설",IF(IFERROR(SEARCH("광고",E829),0)&gt;0,"광고·행사",IF(IFERROR(SEARCH("용역",E829),0)&gt;0,"용역·수수료","기타/불명"))))))</x:f>
      </x:c>
      <x:c r="J829" s="77" t="str">
        <x:f>IF(A829="","",IF(I829="기타/불명","확인 필요","결의서명으로 1차 확인"))</x:f>
      </x:c>
      <x:c r="K829" s="78"/>
    </x:row>
    <x:row r="830">
      <x:c r="A830" s="73"/>
      <x:c r="B830" s="73"/>
      <x:c r="C830" s="74"/>
      <x:c r="D830" s="73"/>
      <x:c r="E830" s="73"/>
      <x:c r="F830" s="75"/>
      <x:c r="G830" s="75"/>
      <x:c r="H830" s="76" t="str">
        <x:f>IF(A830="","",F830-G830)</x:f>
      </x:c>
      <x:c r="I830" s="77" t="str">
        <x:f>IF(A830="","",IF(E830="","기타/불명",IF(IFERROR(SEARCH("급여",E830),0)&gt;0,"인건비",IF(IFERROR(SEARCH("임차",E830),0)&gt;0,"임차·시설",IF(IFERROR(SEARCH("광고",E830),0)&gt;0,"광고·행사",IF(IFERROR(SEARCH("용역",E830),0)&gt;0,"용역·수수료","기타/불명"))))))</x:f>
      </x:c>
      <x:c r="J830" s="77" t="str">
        <x:f>IF(A830="","",IF(I830="기타/불명","확인 필요","결의서명으로 1차 확인"))</x:f>
      </x:c>
      <x:c r="K830" s="78"/>
    </x:row>
    <x:row r="831">
      <x:c r="A831" s="73"/>
      <x:c r="B831" s="73"/>
      <x:c r="C831" s="74"/>
      <x:c r="D831" s="73"/>
      <x:c r="E831" s="73"/>
      <x:c r="F831" s="75"/>
      <x:c r="G831" s="75"/>
      <x:c r="H831" s="76" t="str">
        <x:f>IF(A831="","",F831-G831)</x:f>
      </x:c>
      <x:c r="I831" s="77" t="str">
        <x:f>IF(A831="","",IF(E831="","기타/불명",IF(IFERROR(SEARCH("급여",E831),0)&gt;0,"인건비",IF(IFERROR(SEARCH("임차",E831),0)&gt;0,"임차·시설",IF(IFERROR(SEARCH("광고",E831),0)&gt;0,"광고·행사",IF(IFERROR(SEARCH("용역",E831),0)&gt;0,"용역·수수료","기타/불명"))))))</x:f>
      </x:c>
      <x:c r="J831" s="77" t="str">
        <x:f>IF(A831="","",IF(I831="기타/불명","확인 필요","결의서명으로 1차 확인"))</x:f>
      </x:c>
      <x:c r="K831" s="78"/>
    </x:row>
    <x:row r="832">
      <x:c r="A832" s="73"/>
      <x:c r="B832" s="73"/>
      <x:c r="C832" s="74"/>
      <x:c r="D832" s="73"/>
      <x:c r="E832" s="73"/>
      <x:c r="F832" s="75"/>
      <x:c r="G832" s="75"/>
      <x:c r="H832" s="76" t="str">
        <x:f>IF(A832="","",F832-G832)</x:f>
      </x:c>
      <x:c r="I832" s="77" t="str">
        <x:f>IF(A832="","",IF(E832="","기타/불명",IF(IFERROR(SEARCH("급여",E832),0)&gt;0,"인건비",IF(IFERROR(SEARCH("임차",E832),0)&gt;0,"임차·시설",IF(IFERROR(SEARCH("광고",E832),0)&gt;0,"광고·행사",IF(IFERROR(SEARCH("용역",E832),0)&gt;0,"용역·수수료","기타/불명"))))))</x:f>
      </x:c>
      <x:c r="J832" s="77" t="str">
        <x:f>IF(A832="","",IF(I832="기타/불명","확인 필요","결의서명으로 1차 확인"))</x:f>
      </x:c>
      <x:c r="K832" s="78"/>
    </x:row>
    <x:row r="833">
      <x:c r="A833" s="73"/>
      <x:c r="B833" s="73"/>
      <x:c r="C833" s="74"/>
      <x:c r="D833" s="73"/>
      <x:c r="E833" s="73"/>
      <x:c r="F833" s="75"/>
      <x:c r="G833" s="75"/>
      <x:c r="H833" s="76" t="str">
        <x:f>IF(A833="","",F833-G833)</x:f>
      </x:c>
      <x:c r="I833" s="77" t="str">
        <x:f>IF(A833="","",IF(E833="","기타/불명",IF(IFERROR(SEARCH("급여",E833),0)&gt;0,"인건비",IF(IFERROR(SEARCH("임차",E833),0)&gt;0,"임차·시설",IF(IFERROR(SEARCH("광고",E833),0)&gt;0,"광고·행사",IF(IFERROR(SEARCH("용역",E833),0)&gt;0,"용역·수수료","기타/불명"))))))</x:f>
      </x:c>
      <x:c r="J833" s="77" t="str">
        <x:f>IF(A833="","",IF(I833="기타/불명","확인 필요","결의서명으로 1차 확인"))</x:f>
      </x:c>
      <x:c r="K833" s="78"/>
    </x:row>
    <x:row r="834">
      <x:c r="A834" s="73"/>
      <x:c r="B834" s="73"/>
      <x:c r="C834" s="74"/>
      <x:c r="D834" s="73"/>
      <x:c r="E834" s="73"/>
      <x:c r="F834" s="75"/>
      <x:c r="G834" s="75"/>
      <x:c r="H834" s="76" t="str">
        <x:f>IF(A834="","",F834-G834)</x:f>
      </x:c>
      <x:c r="I834" s="77" t="str">
        <x:f>IF(A834="","",IF(E834="","기타/불명",IF(IFERROR(SEARCH("급여",E834),0)&gt;0,"인건비",IF(IFERROR(SEARCH("임차",E834),0)&gt;0,"임차·시설",IF(IFERROR(SEARCH("광고",E834),0)&gt;0,"광고·행사",IF(IFERROR(SEARCH("용역",E834),0)&gt;0,"용역·수수료","기타/불명"))))))</x:f>
      </x:c>
      <x:c r="J834" s="77" t="str">
        <x:f>IF(A834="","",IF(I834="기타/불명","확인 필요","결의서명으로 1차 확인"))</x:f>
      </x:c>
      <x:c r="K834" s="78"/>
    </x:row>
    <x:row r="835">
      <x:c r="A835" s="73"/>
      <x:c r="B835" s="73"/>
      <x:c r="C835" s="74"/>
      <x:c r="D835" s="73"/>
      <x:c r="E835" s="73"/>
      <x:c r="F835" s="75"/>
      <x:c r="G835" s="75"/>
      <x:c r="H835" s="76" t="str">
        <x:f>IF(A835="","",F835-G835)</x:f>
      </x:c>
      <x:c r="I835" s="77" t="str">
        <x:f>IF(A835="","",IF(E835="","기타/불명",IF(IFERROR(SEARCH("급여",E835),0)&gt;0,"인건비",IF(IFERROR(SEARCH("임차",E835),0)&gt;0,"임차·시설",IF(IFERROR(SEARCH("광고",E835),0)&gt;0,"광고·행사",IF(IFERROR(SEARCH("용역",E835),0)&gt;0,"용역·수수료","기타/불명"))))))</x:f>
      </x:c>
      <x:c r="J835" s="77" t="str">
        <x:f>IF(A835="","",IF(I835="기타/불명","확인 필요","결의서명으로 1차 확인"))</x:f>
      </x:c>
      <x:c r="K835" s="78"/>
    </x:row>
    <x:row r="836">
      <x:c r="A836" s="73"/>
      <x:c r="B836" s="73"/>
      <x:c r="C836" s="74"/>
      <x:c r="D836" s="73"/>
      <x:c r="E836" s="73"/>
      <x:c r="F836" s="75"/>
      <x:c r="G836" s="75"/>
      <x:c r="H836" s="76" t="str">
        <x:f>IF(A836="","",F836-G836)</x:f>
      </x:c>
      <x:c r="I836" s="77" t="str">
        <x:f>IF(A836="","",IF(E836="","기타/불명",IF(IFERROR(SEARCH("급여",E836),0)&gt;0,"인건비",IF(IFERROR(SEARCH("임차",E836),0)&gt;0,"임차·시설",IF(IFERROR(SEARCH("광고",E836),0)&gt;0,"광고·행사",IF(IFERROR(SEARCH("용역",E836),0)&gt;0,"용역·수수료","기타/불명"))))))</x:f>
      </x:c>
      <x:c r="J836" s="77" t="str">
        <x:f>IF(A836="","",IF(I836="기타/불명","확인 필요","결의서명으로 1차 확인"))</x:f>
      </x:c>
      <x:c r="K836" s="78"/>
    </x:row>
    <x:row r="837">
      <x:c r="A837" s="73"/>
      <x:c r="B837" s="73"/>
      <x:c r="C837" s="74"/>
      <x:c r="D837" s="73"/>
      <x:c r="E837" s="73"/>
      <x:c r="F837" s="75"/>
      <x:c r="G837" s="75"/>
      <x:c r="H837" s="76" t="str">
        <x:f>IF(A837="","",F837-G837)</x:f>
      </x:c>
      <x:c r="I837" s="77" t="str">
        <x:f>IF(A837="","",IF(E837="","기타/불명",IF(IFERROR(SEARCH("급여",E837),0)&gt;0,"인건비",IF(IFERROR(SEARCH("임차",E837),0)&gt;0,"임차·시설",IF(IFERROR(SEARCH("광고",E837),0)&gt;0,"광고·행사",IF(IFERROR(SEARCH("용역",E837),0)&gt;0,"용역·수수료","기타/불명"))))))</x:f>
      </x:c>
      <x:c r="J837" s="77" t="str">
        <x:f>IF(A837="","",IF(I837="기타/불명","확인 필요","결의서명으로 1차 확인"))</x:f>
      </x:c>
      <x:c r="K837" s="78"/>
    </x:row>
    <x:row r="838">
      <x:c r="A838" s="73"/>
      <x:c r="B838" s="73"/>
      <x:c r="C838" s="74"/>
      <x:c r="D838" s="73"/>
      <x:c r="E838" s="73"/>
      <x:c r="F838" s="75"/>
      <x:c r="G838" s="75"/>
      <x:c r="H838" s="76" t="str">
        <x:f>IF(A838="","",F838-G838)</x:f>
      </x:c>
      <x:c r="I838" s="77" t="str">
        <x:f>IF(A838="","",IF(E838="","기타/불명",IF(IFERROR(SEARCH("급여",E838),0)&gt;0,"인건비",IF(IFERROR(SEARCH("임차",E838),0)&gt;0,"임차·시설",IF(IFERROR(SEARCH("광고",E838),0)&gt;0,"광고·행사",IF(IFERROR(SEARCH("용역",E838),0)&gt;0,"용역·수수료","기타/불명"))))))</x:f>
      </x:c>
      <x:c r="J838" s="77" t="str">
        <x:f>IF(A838="","",IF(I838="기타/불명","확인 필요","결의서명으로 1차 확인"))</x:f>
      </x:c>
      <x:c r="K838" s="78"/>
    </x:row>
    <x:row r="839">
      <x:c r="A839" s="73"/>
      <x:c r="B839" s="73"/>
      <x:c r="C839" s="74"/>
      <x:c r="D839" s="73"/>
      <x:c r="E839" s="73"/>
      <x:c r="F839" s="75"/>
      <x:c r="G839" s="75"/>
      <x:c r="H839" s="76" t="str">
        <x:f>IF(A839="","",F839-G839)</x:f>
      </x:c>
      <x:c r="I839" s="77" t="str">
        <x:f>IF(A839="","",IF(E839="","기타/불명",IF(IFERROR(SEARCH("급여",E839),0)&gt;0,"인건비",IF(IFERROR(SEARCH("임차",E839),0)&gt;0,"임차·시설",IF(IFERROR(SEARCH("광고",E839),0)&gt;0,"광고·행사",IF(IFERROR(SEARCH("용역",E839),0)&gt;0,"용역·수수료","기타/불명"))))))</x:f>
      </x:c>
      <x:c r="J839" s="77" t="str">
        <x:f>IF(A839="","",IF(I839="기타/불명","확인 필요","결의서명으로 1차 확인"))</x:f>
      </x:c>
      <x:c r="K839" s="78"/>
    </x:row>
    <x:row r="840">
      <x:c r="A840" s="73"/>
      <x:c r="B840" s="73"/>
      <x:c r="C840" s="74"/>
      <x:c r="D840" s="73"/>
      <x:c r="E840" s="73"/>
      <x:c r="F840" s="75"/>
      <x:c r="G840" s="75"/>
      <x:c r="H840" s="76" t="str">
        <x:f>IF(A840="","",F840-G840)</x:f>
      </x:c>
      <x:c r="I840" s="77" t="str">
        <x:f>IF(A840="","",IF(E840="","기타/불명",IF(IFERROR(SEARCH("급여",E840),0)&gt;0,"인건비",IF(IFERROR(SEARCH("임차",E840),0)&gt;0,"임차·시설",IF(IFERROR(SEARCH("광고",E840),0)&gt;0,"광고·행사",IF(IFERROR(SEARCH("용역",E840),0)&gt;0,"용역·수수료","기타/불명"))))))</x:f>
      </x:c>
      <x:c r="J840" s="77" t="str">
        <x:f>IF(A840="","",IF(I840="기타/불명","확인 필요","결의서명으로 1차 확인"))</x:f>
      </x:c>
      <x:c r="K840" s="78"/>
    </x:row>
    <x:row r="841">
      <x:c r="A841" s="73"/>
      <x:c r="B841" s="73"/>
      <x:c r="C841" s="74"/>
      <x:c r="D841" s="73"/>
      <x:c r="E841" s="73"/>
      <x:c r="F841" s="75"/>
      <x:c r="G841" s="75"/>
      <x:c r="H841" s="76" t="str">
        <x:f>IF(A841="","",F841-G841)</x:f>
      </x:c>
      <x:c r="I841" s="77" t="str">
        <x:f>IF(A841="","",IF(E841="","기타/불명",IF(IFERROR(SEARCH("급여",E841),0)&gt;0,"인건비",IF(IFERROR(SEARCH("임차",E841),0)&gt;0,"임차·시설",IF(IFERROR(SEARCH("광고",E841),0)&gt;0,"광고·행사",IF(IFERROR(SEARCH("용역",E841),0)&gt;0,"용역·수수료","기타/불명"))))))</x:f>
      </x:c>
      <x:c r="J841" s="77" t="str">
        <x:f>IF(A841="","",IF(I841="기타/불명","확인 필요","결의서명으로 1차 확인"))</x:f>
      </x:c>
      <x:c r="K841" s="78"/>
    </x:row>
    <x:row r="842">
      <x:c r="A842" s="73"/>
      <x:c r="B842" s="73"/>
      <x:c r="C842" s="74"/>
      <x:c r="D842" s="73"/>
      <x:c r="E842" s="73"/>
      <x:c r="F842" s="75"/>
      <x:c r="G842" s="75"/>
      <x:c r="H842" s="76" t="str">
        <x:f>IF(A842="","",F842-G842)</x:f>
      </x:c>
      <x:c r="I842" s="77" t="str">
        <x:f>IF(A842="","",IF(E842="","기타/불명",IF(IFERROR(SEARCH("급여",E842),0)&gt;0,"인건비",IF(IFERROR(SEARCH("임차",E842),0)&gt;0,"임차·시설",IF(IFERROR(SEARCH("광고",E842),0)&gt;0,"광고·행사",IF(IFERROR(SEARCH("용역",E842),0)&gt;0,"용역·수수료","기타/불명"))))))</x:f>
      </x:c>
      <x:c r="J842" s="77" t="str">
        <x:f>IF(A842="","",IF(I842="기타/불명","확인 필요","결의서명으로 1차 확인"))</x:f>
      </x:c>
      <x:c r="K842" s="78"/>
    </x:row>
    <x:row r="843">
      <x:c r="A843" s="73"/>
      <x:c r="B843" s="73"/>
      <x:c r="C843" s="74"/>
      <x:c r="D843" s="73"/>
      <x:c r="E843" s="73"/>
      <x:c r="F843" s="75"/>
      <x:c r="G843" s="75"/>
      <x:c r="H843" s="76" t="str">
        <x:f>IF(A843="","",F843-G843)</x:f>
      </x:c>
      <x:c r="I843" s="77" t="str">
        <x:f>IF(A843="","",IF(E843="","기타/불명",IF(IFERROR(SEARCH("급여",E843),0)&gt;0,"인건비",IF(IFERROR(SEARCH("임차",E843),0)&gt;0,"임차·시설",IF(IFERROR(SEARCH("광고",E843),0)&gt;0,"광고·행사",IF(IFERROR(SEARCH("용역",E843),0)&gt;0,"용역·수수료","기타/불명"))))))</x:f>
      </x:c>
      <x:c r="J843" s="77" t="str">
        <x:f>IF(A843="","",IF(I843="기타/불명","확인 필요","결의서명으로 1차 확인"))</x:f>
      </x:c>
      <x:c r="K843" s="78"/>
    </x:row>
    <x:row r="844">
      <x:c r="A844" s="73"/>
      <x:c r="B844" s="73"/>
      <x:c r="C844" s="74"/>
      <x:c r="D844" s="73"/>
      <x:c r="E844" s="73"/>
      <x:c r="F844" s="75"/>
      <x:c r="G844" s="75"/>
      <x:c r="H844" s="76" t="str">
        <x:f>IF(A844="","",F844-G844)</x:f>
      </x:c>
      <x:c r="I844" s="77" t="str">
        <x:f>IF(A844="","",IF(E844="","기타/불명",IF(IFERROR(SEARCH("급여",E844),0)&gt;0,"인건비",IF(IFERROR(SEARCH("임차",E844),0)&gt;0,"임차·시설",IF(IFERROR(SEARCH("광고",E844),0)&gt;0,"광고·행사",IF(IFERROR(SEARCH("용역",E844),0)&gt;0,"용역·수수료","기타/불명"))))))</x:f>
      </x:c>
      <x:c r="J844" s="77" t="str">
        <x:f>IF(A844="","",IF(I844="기타/불명","확인 필요","결의서명으로 1차 확인"))</x:f>
      </x:c>
      <x:c r="K844" s="78"/>
    </x:row>
    <x:row r="845">
      <x:c r="A845" s="73"/>
      <x:c r="B845" s="73"/>
      <x:c r="C845" s="74"/>
      <x:c r="D845" s="73"/>
      <x:c r="E845" s="73"/>
      <x:c r="F845" s="75"/>
      <x:c r="G845" s="75"/>
      <x:c r="H845" s="76" t="str">
        <x:f>IF(A845="","",F845-G845)</x:f>
      </x:c>
      <x:c r="I845" s="77" t="str">
        <x:f>IF(A845="","",IF(E845="","기타/불명",IF(IFERROR(SEARCH("급여",E845),0)&gt;0,"인건비",IF(IFERROR(SEARCH("임차",E845),0)&gt;0,"임차·시설",IF(IFERROR(SEARCH("광고",E845),0)&gt;0,"광고·행사",IF(IFERROR(SEARCH("용역",E845),0)&gt;0,"용역·수수료","기타/불명"))))))</x:f>
      </x:c>
      <x:c r="J845" s="77" t="str">
        <x:f>IF(A845="","",IF(I845="기타/불명","확인 필요","결의서명으로 1차 확인"))</x:f>
      </x:c>
      <x:c r="K845" s="78"/>
    </x:row>
    <x:row r="846">
      <x:c r="A846" s="73"/>
      <x:c r="B846" s="73"/>
      <x:c r="C846" s="74"/>
      <x:c r="D846" s="73"/>
      <x:c r="E846" s="73"/>
      <x:c r="F846" s="75"/>
      <x:c r="G846" s="75"/>
      <x:c r="H846" s="76" t="str">
        <x:f>IF(A846="","",F846-G846)</x:f>
      </x:c>
      <x:c r="I846" s="77" t="str">
        <x:f>IF(A846="","",IF(E846="","기타/불명",IF(IFERROR(SEARCH("급여",E846),0)&gt;0,"인건비",IF(IFERROR(SEARCH("임차",E846),0)&gt;0,"임차·시설",IF(IFERROR(SEARCH("광고",E846),0)&gt;0,"광고·행사",IF(IFERROR(SEARCH("용역",E846),0)&gt;0,"용역·수수료","기타/불명"))))))</x:f>
      </x:c>
      <x:c r="J846" s="77" t="str">
        <x:f>IF(A846="","",IF(I846="기타/불명","확인 필요","결의서명으로 1차 확인"))</x:f>
      </x:c>
      <x:c r="K846" s="78"/>
    </x:row>
    <x:row r="847">
      <x:c r="A847" s="73"/>
      <x:c r="B847" s="73"/>
      <x:c r="C847" s="74"/>
      <x:c r="D847" s="73"/>
      <x:c r="E847" s="73"/>
      <x:c r="F847" s="75"/>
      <x:c r="G847" s="75"/>
      <x:c r="H847" s="76" t="str">
        <x:f>IF(A847="","",F847-G847)</x:f>
      </x:c>
      <x:c r="I847" s="77" t="str">
        <x:f>IF(A847="","",IF(E847="","기타/불명",IF(IFERROR(SEARCH("급여",E847),0)&gt;0,"인건비",IF(IFERROR(SEARCH("임차",E847),0)&gt;0,"임차·시설",IF(IFERROR(SEARCH("광고",E847),0)&gt;0,"광고·행사",IF(IFERROR(SEARCH("용역",E847),0)&gt;0,"용역·수수료","기타/불명"))))))</x:f>
      </x:c>
      <x:c r="J847" s="77" t="str">
        <x:f>IF(A847="","",IF(I847="기타/불명","확인 필요","결의서명으로 1차 확인"))</x:f>
      </x:c>
      <x:c r="K847" s="78"/>
    </x:row>
    <x:row r="848">
      <x:c r="A848" s="73"/>
      <x:c r="B848" s="73"/>
      <x:c r="C848" s="74"/>
      <x:c r="D848" s="73"/>
      <x:c r="E848" s="73"/>
      <x:c r="F848" s="75"/>
      <x:c r="G848" s="75"/>
      <x:c r="H848" s="76" t="str">
        <x:f>IF(A848="","",F848-G848)</x:f>
      </x:c>
      <x:c r="I848" s="77" t="str">
        <x:f>IF(A848="","",IF(E848="","기타/불명",IF(IFERROR(SEARCH("급여",E848),0)&gt;0,"인건비",IF(IFERROR(SEARCH("임차",E848),0)&gt;0,"임차·시설",IF(IFERROR(SEARCH("광고",E848),0)&gt;0,"광고·행사",IF(IFERROR(SEARCH("용역",E848),0)&gt;0,"용역·수수료","기타/불명"))))))</x:f>
      </x:c>
      <x:c r="J848" s="77" t="str">
        <x:f>IF(A848="","",IF(I848="기타/불명","확인 필요","결의서명으로 1차 확인"))</x:f>
      </x:c>
      <x:c r="K848" s="78"/>
    </x:row>
    <x:row r="849">
      <x:c r="A849" s="73"/>
      <x:c r="B849" s="73"/>
      <x:c r="C849" s="74"/>
      <x:c r="D849" s="73"/>
      <x:c r="E849" s="73"/>
      <x:c r="F849" s="75"/>
      <x:c r="G849" s="75"/>
      <x:c r="H849" s="76" t="str">
        <x:f>IF(A849="","",F849-G849)</x:f>
      </x:c>
      <x:c r="I849" s="77" t="str">
        <x:f>IF(A849="","",IF(E849="","기타/불명",IF(IFERROR(SEARCH("급여",E849),0)&gt;0,"인건비",IF(IFERROR(SEARCH("임차",E849),0)&gt;0,"임차·시설",IF(IFERROR(SEARCH("광고",E849),0)&gt;0,"광고·행사",IF(IFERROR(SEARCH("용역",E849),0)&gt;0,"용역·수수료","기타/불명"))))))</x:f>
      </x:c>
      <x:c r="J849" s="77" t="str">
        <x:f>IF(A849="","",IF(I849="기타/불명","확인 필요","결의서명으로 1차 확인"))</x:f>
      </x:c>
      <x:c r="K849" s="78"/>
    </x:row>
    <x:row r="850">
      <x:c r="A850" s="73"/>
      <x:c r="B850" s="73"/>
      <x:c r="C850" s="74"/>
      <x:c r="D850" s="73"/>
      <x:c r="E850" s="73"/>
      <x:c r="F850" s="75"/>
      <x:c r="G850" s="75"/>
      <x:c r="H850" s="76" t="str">
        <x:f>IF(A850="","",F850-G850)</x:f>
      </x:c>
      <x:c r="I850" s="77" t="str">
        <x:f>IF(A850="","",IF(E850="","기타/불명",IF(IFERROR(SEARCH("급여",E850),0)&gt;0,"인건비",IF(IFERROR(SEARCH("임차",E850),0)&gt;0,"임차·시설",IF(IFERROR(SEARCH("광고",E850),0)&gt;0,"광고·행사",IF(IFERROR(SEARCH("용역",E850),0)&gt;0,"용역·수수료","기타/불명"))))))</x:f>
      </x:c>
      <x:c r="J850" s="77" t="str">
        <x:f>IF(A850="","",IF(I850="기타/불명","확인 필요","결의서명으로 1차 확인"))</x:f>
      </x:c>
      <x:c r="K850" s="78"/>
    </x:row>
    <x:row r="851">
      <x:c r="A851" s="73"/>
      <x:c r="B851" s="73"/>
      <x:c r="C851" s="74"/>
      <x:c r="D851" s="73"/>
      <x:c r="E851" s="73"/>
      <x:c r="F851" s="75"/>
      <x:c r="G851" s="75"/>
      <x:c r="H851" s="76" t="str">
        <x:f>IF(A851="","",F851-G851)</x:f>
      </x:c>
      <x:c r="I851" s="77" t="str">
        <x:f>IF(A851="","",IF(E851="","기타/불명",IF(IFERROR(SEARCH("급여",E851),0)&gt;0,"인건비",IF(IFERROR(SEARCH("임차",E851),0)&gt;0,"임차·시설",IF(IFERROR(SEARCH("광고",E851),0)&gt;0,"광고·행사",IF(IFERROR(SEARCH("용역",E851),0)&gt;0,"용역·수수료","기타/불명"))))))</x:f>
      </x:c>
      <x:c r="J851" s="77" t="str">
        <x:f>IF(A851="","",IF(I851="기타/불명","확인 필요","결의서명으로 1차 확인"))</x:f>
      </x:c>
      <x:c r="K851" s="78"/>
    </x:row>
    <x:row r="852">
      <x:c r="A852" s="73"/>
      <x:c r="B852" s="73"/>
      <x:c r="C852" s="74"/>
      <x:c r="D852" s="73"/>
      <x:c r="E852" s="73"/>
      <x:c r="F852" s="75"/>
      <x:c r="G852" s="75"/>
      <x:c r="H852" s="76" t="str">
        <x:f>IF(A852="","",F852-G852)</x:f>
      </x:c>
      <x:c r="I852" s="77" t="str">
        <x:f>IF(A852="","",IF(E852="","기타/불명",IF(IFERROR(SEARCH("급여",E852),0)&gt;0,"인건비",IF(IFERROR(SEARCH("임차",E852),0)&gt;0,"임차·시설",IF(IFERROR(SEARCH("광고",E852),0)&gt;0,"광고·행사",IF(IFERROR(SEARCH("용역",E852),0)&gt;0,"용역·수수료","기타/불명"))))))</x:f>
      </x:c>
      <x:c r="J852" s="77" t="str">
        <x:f>IF(A852="","",IF(I852="기타/불명","확인 필요","결의서명으로 1차 확인"))</x:f>
      </x:c>
      <x:c r="K852" s="78"/>
    </x:row>
    <x:row r="853">
      <x:c r="A853" s="73"/>
      <x:c r="B853" s="73"/>
      <x:c r="C853" s="74"/>
      <x:c r="D853" s="73"/>
      <x:c r="E853" s="73"/>
      <x:c r="F853" s="75"/>
      <x:c r="G853" s="75"/>
      <x:c r="H853" s="76" t="str">
        <x:f>IF(A853="","",F853-G853)</x:f>
      </x:c>
      <x:c r="I853" s="77" t="str">
        <x:f>IF(A853="","",IF(E853="","기타/불명",IF(IFERROR(SEARCH("급여",E853),0)&gt;0,"인건비",IF(IFERROR(SEARCH("임차",E853),0)&gt;0,"임차·시설",IF(IFERROR(SEARCH("광고",E853),0)&gt;0,"광고·행사",IF(IFERROR(SEARCH("용역",E853),0)&gt;0,"용역·수수료","기타/불명"))))))</x:f>
      </x:c>
      <x:c r="J853" s="77" t="str">
        <x:f>IF(A853="","",IF(I853="기타/불명","확인 필요","결의서명으로 1차 확인"))</x:f>
      </x:c>
      <x:c r="K853" s="78"/>
    </x:row>
    <x:row r="854">
      <x:c r="A854" s="73"/>
      <x:c r="B854" s="73"/>
      <x:c r="C854" s="74"/>
      <x:c r="D854" s="73"/>
      <x:c r="E854" s="73"/>
      <x:c r="F854" s="75"/>
      <x:c r="G854" s="75"/>
      <x:c r="H854" s="76" t="str">
        <x:f>IF(A854="","",F854-G854)</x:f>
      </x:c>
      <x:c r="I854" s="77" t="str">
        <x:f>IF(A854="","",IF(E854="","기타/불명",IF(IFERROR(SEARCH("급여",E854),0)&gt;0,"인건비",IF(IFERROR(SEARCH("임차",E854),0)&gt;0,"임차·시설",IF(IFERROR(SEARCH("광고",E854),0)&gt;0,"광고·행사",IF(IFERROR(SEARCH("용역",E854),0)&gt;0,"용역·수수료","기타/불명"))))))</x:f>
      </x:c>
      <x:c r="J854" s="77" t="str">
        <x:f>IF(A854="","",IF(I854="기타/불명","확인 필요","결의서명으로 1차 확인"))</x:f>
      </x:c>
      <x:c r="K854" s="78"/>
    </x:row>
    <x:row r="855">
      <x:c r="A855" s="73"/>
      <x:c r="B855" s="73"/>
      <x:c r="C855" s="74"/>
      <x:c r="D855" s="73"/>
      <x:c r="E855" s="73"/>
      <x:c r="F855" s="75"/>
      <x:c r="G855" s="75"/>
      <x:c r="H855" s="76" t="str">
        <x:f>IF(A855="","",F855-G855)</x:f>
      </x:c>
      <x:c r="I855" s="77" t="str">
        <x:f>IF(A855="","",IF(E855="","기타/불명",IF(IFERROR(SEARCH("급여",E855),0)&gt;0,"인건비",IF(IFERROR(SEARCH("임차",E855),0)&gt;0,"임차·시설",IF(IFERROR(SEARCH("광고",E855),0)&gt;0,"광고·행사",IF(IFERROR(SEARCH("용역",E855),0)&gt;0,"용역·수수료","기타/불명"))))))</x:f>
      </x:c>
      <x:c r="J855" s="77" t="str">
        <x:f>IF(A855="","",IF(I855="기타/불명","확인 필요","결의서명으로 1차 확인"))</x:f>
      </x:c>
      <x:c r="K855" s="78"/>
    </x:row>
    <x:row r="856">
      <x:c r="A856" s="73"/>
      <x:c r="B856" s="73"/>
      <x:c r="C856" s="74"/>
      <x:c r="D856" s="73"/>
      <x:c r="E856" s="73"/>
      <x:c r="F856" s="75"/>
      <x:c r="G856" s="75"/>
      <x:c r="H856" s="76" t="str">
        <x:f>IF(A856="","",F856-G856)</x:f>
      </x:c>
      <x:c r="I856" s="77" t="str">
        <x:f>IF(A856="","",IF(E856="","기타/불명",IF(IFERROR(SEARCH("급여",E856),0)&gt;0,"인건비",IF(IFERROR(SEARCH("임차",E856),0)&gt;0,"임차·시설",IF(IFERROR(SEARCH("광고",E856),0)&gt;0,"광고·행사",IF(IFERROR(SEARCH("용역",E856),0)&gt;0,"용역·수수료","기타/불명"))))))</x:f>
      </x:c>
      <x:c r="J856" s="77" t="str">
        <x:f>IF(A856="","",IF(I856="기타/불명","확인 필요","결의서명으로 1차 확인"))</x:f>
      </x:c>
      <x:c r="K856" s="78"/>
    </x:row>
    <x:row r="857">
      <x:c r="A857" s="73"/>
      <x:c r="B857" s="73"/>
      <x:c r="C857" s="74"/>
      <x:c r="D857" s="73"/>
      <x:c r="E857" s="73"/>
      <x:c r="F857" s="75"/>
      <x:c r="G857" s="75"/>
      <x:c r="H857" s="76" t="str">
        <x:f>IF(A857="","",F857-G857)</x:f>
      </x:c>
      <x:c r="I857" s="77" t="str">
        <x:f>IF(A857="","",IF(E857="","기타/불명",IF(IFERROR(SEARCH("급여",E857),0)&gt;0,"인건비",IF(IFERROR(SEARCH("임차",E857),0)&gt;0,"임차·시설",IF(IFERROR(SEARCH("광고",E857),0)&gt;0,"광고·행사",IF(IFERROR(SEARCH("용역",E857),0)&gt;0,"용역·수수료","기타/불명"))))))</x:f>
      </x:c>
      <x:c r="J857" s="77" t="str">
        <x:f>IF(A857="","",IF(I857="기타/불명","확인 필요","결의서명으로 1차 확인"))</x:f>
      </x:c>
      <x:c r="K857" s="78"/>
    </x:row>
    <x:row r="858">
      <x:c r="A858" s="73"/>
      <x:c r="B858" s="73"/>
      <x:c r="C858" s="74"/>
      <x:c r="D858" s="73"/>
      <x:c r="E858" s="73"/>
      <x:c r="F858" s="75"/>
      <x:c r="G858" s="75"/>
      <x:c r="H858" s="76" t="str">
        <x:f>IF(A858="","",F858-G858)</x:f>
      </x:c>
      <x:c r="I858" s="77" t="str">
        <x:f>IF(A858="","",IF(E858="","기타/불명",IF(IFERROR(SEARCH("급여",E858),0)&gt;0,"인건비",IF(IFERROR(SEARCH("임차",E858),0)&gt;0,"임차·시설",IF(IFERROR(SEARCH("광고",E858),0)&gt;0,"광고·행사",IF(IFERROR(SEARCH("용역",E858),0)&gt;0,"용역·수수료","기타/불명"))))))</x:f>
      </x:c>
      <x:c r="J858" s="77" t="str">
        <x:f>IF(A858="","",IF(I858="기타/불명","확인 필요","결의서명으로 1차 확인"))</x:f>
      </x:c>
      <x:c r="K858" s="78"/>
    </x:row>
    <x:row r="859">
      <x:c r="A859" s="73"/>
      <x:c r="B859" s="73"/>
      <x:c r="C859" s="74"/>
      <x:c r="D859" s="73"/>
      <x:c r="E859" s="73"/>
      <x:c r="F859" s="75"/>
      <x:c r="G859" s="75"/>
      <x:c r="H859" s="76" t="str">
        <x:f>IF(A859="","",F859-G859)</x:f>
      </x:c>
      <x:c r="I859" s="77" t="str">
        <x:f>IF(A859="","",IF(E859="","기타/불명",IF(IFERROR(SEARCH("급여",E859),0)&gt;0,"인건비",IF(IFERROR(SEARCH("임차",E859),0)&gt;0,"임차·시설",IF(IFERROR(SEARCH("광고",E859),0)&gt;0,"광고·행사",IF(IFERROR(SEARCH("용역",E859),0)&gt;0,"용역·수수료","기타/불명"))))))</x:f>
      </x:c>
      <x:c r="J859" s="77" t="str">
        <x:f>IF(A859="","",IF(I859="기타/불명","확인 필요","결의서명으로 1차 확인"))</x:f>
      </x:c>
      <x:c r="K859" s="78"/>
    </x:row>
    <x:row r="860">
      <x:c r="A860" s="73"/>
      <x:c r="B860" s="73"/>
      <x:c r="C860" s="74"/>
      <x:c r="D860" s="73"/>
      <x:c r="E860" s="73"/>
      <x:c r="F860" s="75"/>
      <x:c r="G860" s="75"/>
      <x:c r="H860" s="76" t="str">
        <x:f>IF(A860="","",F860-G860)</x:f>
      </x:c>
      <x:c r="I860" s="77" t="str">
        <x:f>IF(A860="","",IF(E860="","기타/불명",IF(IFERROR(SEARCH("급여",E860),0)&gt;0,"인건비",IF(IFERROR(SEARCH("임차",E860),0)&gt;0,"임차·시설",IF(IFERROR(SEARCH("광고",E860),0)&gt;0,"광고·행사",IF(IFERROR(SEARCH("용역",E860),0)&gt;0,"용역·수수료","기타/불명"))))))</x:f>
      </x:c>
      <x:c r="J860" s="77" t="str">
        <x:f>IF(A860="","",IF(I860="기타/불명","확인 필요","결의서명으로 1차 확인"))</x:f>
      </x:c>
      <x:c r="K860" s="78"/>
    </x:row>
    <x:row r="861">
      <x:c r="A861" s="73"/>
      <x:c r="B861" s="73"/>
      <x:c r="C861" s="74"/>
      <x:c r="D861" s="73"/>
      <x:c r="E861" s="73"/>
      <x:c r="F861" s="75"/>
      <x:c r="G861" s="75"/>
      <x:c r="H861" s="76" t="str">
        <x:f>IF(A861="","",F861-G861)</x:f>
      </x:c>
      <x:c r="I861" s="77" t="str">
        <x:f>IF(A861="","",IF(E861="","기타/불명",IF(IFERROR(SEARCH("급여",E861),0)&gt;0,"인건비",IF(IFERROR(SEARCH("임차",E861),0)&gt;0,"임차·시설",IF(IFERROR(SEARCH("광고",E861),0)&gt;0,"광고·행사",IF(IFERROR(SEARCH("용역",E861),0)&gt;0,"용역·수수료","기타/불명"))))))</x:f>
      </x:c>
      <x:c r="J861" s="77" t="str">
        <x:f>IF(A861="","",IF(I861="기타/불명","확인 필요","결의서명으로 1차 확인"))</x:f>
      </x:c>
      <x:c r="K861" s="78"/>
    </x:row>
    <x:row r="862">
      <x:c r="A862" s="73"/>
      <x:c r="B862" s="73"/>
      <x:c r="C862" s="74"/>
      <x:c r="D862" s="73"/>
      <x:c r="E862" s="73"/>
      <x:c r="F862" s="75"/>
      <x:c r="G862" s="75"/>
      <x:c r="H862" s="76" t="str">
        <x:f>IF(A862="","",F862-G862)</x:f>
      </x:c>
      <x:c r="I862" s="77" t="str">
        <x:f>IF(A862="","",IF(E862="","기타/불명",IF(IFERROR(SEARCH("급여",E862),0)&gt;0,"인건비",IF(IFERROR(SEARCH("임차",E862),0)&gt;0,"임차·시설",IF(IFERROR(SEARCH("광고",E862),0)&gt;0,"광고·행사",IF(IFERROR(SEARCH("용역",E862),0)&gt;0,"용역·수수료","기타/불명"))))))</x:f>
      </x:c>
      <x:c r="J862" s="77" t="str">
        <x:f>IF(A862="","",IF(I862="기타/불명","확인 필요","결의서명으로 1차 확인"))</x:f>
      </x:c>
      <x:c r="K862" s="78"/>
    </x:row>
    <x:row r="863">
      <x:c r="A863" s="73"/>
      <x:c r="B863" s="73"/>
      <x:c r="C863" s="74"/>
      <x:c r="D863" s="73"/>
      <x:c r="E863" s="73"/>
      <x:c r="F863" s="75"/>
      <x:c r="G863" s="75"/>
      <x:c r="H863" s="76" t="str">
        <x:f>IF(A863="","",F863-G863)</x:f>
      </x:c>
      <x:c r="I863" s="77" t="str">
        <x:f>IF(A863="","",IF(E863="","기타/불명",IF(IFERROR(SEARCH("급여",E863),0)&gt;0,"인건비",IF(IFERROR(SEARCH("임차",E863),0)&gt;0,"임차·시설",IF(IFERROR(SEARCH("광고",E863),0)&gt;0,"광고·행사",IF(IFERROR(SEARCH("용역",E863),0)&gt;0,"용역·수수료","기타/불명"))))))</x:f>
      </x:c>
      <x:c r="J863" s="77" t="str">
        <x:f>IF(A863="","",IF(I863="기타/불명","확인 필요","결의서명으로 1차 확인"))</x:f>
      </x:c>
      <x:c r="K863" s="78"/>
    </x:row>
    <x:row r="864">
      <x:c r="A864" s="73"/>
      <x:c r="B864" s="73"/>
      <x:c r="C864" s="74"/>
      <x:c r="D864" s="73"/>
      <x:c r="E864" s="73"/>
      <x:c r="F864" s="75"/>
      <x:c r="G864" s="75"/>
      <x:c r="H864" s="76" t="str">
        <x:f>IF(A864="","",F864-G864)</x:f>
      </x:c>
      <x:c r="I864" s="77" t="str">
        <x:f>IF(A864="","",IF(E864="","기타/불명",IF(IFERROR(SEARCH("급여",E864),0)&gt;0,"인건비",IF(IFERROR(SEARCH("임차",E864),0)&gt;0,"임차·시설",IF(IFERROR(SEARCH("광고",E864),0)&gt;0,"광고·행사",IF(IFERROR(SEARCH("용역",E864),0)&gt;0,"용역·수수료","기타/불명"))))))</x:f>
      </x:c>
      <x:c r="J864" s="77" t="str">
        <x:f>IF(A864="","",IF(I864="기타/불명","확인 필요","결의서명으로 1차 확인"))</x:f>
      </x:c>
      <x:c r="K864" s="78"/>
    </x:row>
    <x:row r="865">
      <x:c r="A865" s="73"/>
      <x:c r="B865" s="73"/>
      <x:c r="C865" s="74"/>
      <x:c r="D865" s="73"/>
      <x:c r="E865" s="73"/>
      <x:c r="F865" s="75"/>
      <x:c r="G865" s="75"/>
      <x:c r="H865" s="76" t="str">
        <x:f>IF(A865="","",F865-G865)</x:f>
      </x:c>
      <x:c r="I865" s="77" t="str">
        <x:f>IF(A865="","",IF(E865="","기타/불명",IF(IFERROR(SEARCH("급여",E865),0)&gt;0,"인건비",IF(IFERROR(SEARCH("임차",E865),0)&gt;0,"임차·시설",IF(IFERROR(SEARCH("광고",E865),0)&gt;0,"광고·행사",IF(IFERROR(SEARCH("용역",E865),0)&gt;0,"용역·수수료","기타/불명"))))))</x:f>
      </x:c>
      <x:c r="J865" s="77" t="str">
        <x:f>IF(A865="","",IF(I865="기타/불명","확인 필요","결의서명으로 1차 확인"))</x:f>
      </x:c>
      <x:c r="K865" s="78"/>
    </x:row>
    <x:row r="866">
      <x:c r="A866" s="73"/>
      <x:c r="B866" s="73"/>
      <x:c r="C866" s="74"/>
      <x:c r="D866" s="73"/>
      <x:c r="E866" s="73"/>
      <x:c r="F866" s="75"/>
      <x:c r="G866" s="75"/>
      <x:c r="H866" s="76" t="str">
        <x:f>IF(A866="","",F866-G866)</x:f>
      </x:c>
      <x:c r="I866" s="77" t="str">
        <x:f>IF(A866="","",IF(E866="","기타/불명",IF(IFERROR(SEARCH("급여",E866),0)&gt;0,"인건비",IF(IFERROR(SEARCH("임차",E866),0)&gt;0,"임차·시설",IF(IFERROR(SEARCH("광고",E866),0)&gt;0,"광고·행사",IF(IFERROR(SEARCH("용역",E866),0)&gt;0,"용역·수수료","기타/불명"))))))</x:f>
      </x:c>
      <x:c r="J866" s="77" t="str">
        <x:f>IF(A866="","",IF(I866="기타/불명","확인 필요","결의서명으로 1차 확인"))</x:f>
      </x:c>
      <x:c r="K866" s="78"/>
    </x:row>
    <x:row r="867">
      <x:c r="A867" s="73"/>
      <x:c r="B867" s="73"/>
      <x:c r="C867" s="74"/>
      <x:c r="D867" s="73"/>
      <x:c r="E867" s="73"/>
      <x:c r="F867" s="75"/>
      <x:c r="G867" s="75"/>
      <x:c r="H867" s="76" t="str">
        <x:f>IF(A867="","",F867-G867)</x:f>
      </x:c>
      <x:c r="I867" s="77" t="str">
        <x:f>IF(A867="","",IF(E867="","기타/불명",IF(IFERROR(SEARCH("급여",E867),0)&gt;0,"인건비",IF(IFERROR(SEARCH("임차",E867),0)&gt;0,"임차·시설",IF(IFERROR(SEARCH("광고",E867),0)&gt;0,"광고·행사",IF(IFERROR(SEARCH("용역",E867),0)&gt;0,"용역·수수료","기타/불명"))))))</x:f>
      </x:c>
      <x:c r="J867" s="77" t="str">
        <x:f>IF(A867="","",IF(I867="기타/불명","확인 필요","결의서명으로 1차 확인"))</x:f>
      </x:c>
      <x:c r="K867" s="78"/>
    </x:row>
    <x:row r="868">
      <x:c r="A868" s="73"/>
      <x:c r="B868" s="73"/>
      <x:c r="C868" s="74"/>
      <x:c r="D868" s="73"/>
      <x:c r="E868" s="73"/>
      <x:c r="F868" s="75"/>
      <x:c r="G868" s="75"/>
      <x:c r="H868" s="76" t="str">
        <x:f>IF(A868="","",F868-G868)</x:f>
      </x:c>
      <x:c r="I868" s="77" t="str">
        <x:f>IF(A868="","",IF(E868="","기타/불명",IF(IFERROR(SEARCH("급여",E868),0)&gt;0,"인건비",IF(IFERROR(SEARCH("임차",E868),0)&gt;0,"임차·시설",IF(IFERROR(SEARCH("광고",E868),0)&gt;0,"광고·행사",IF(IFERROR(SEARCH("용역",E868),0)&gt;0,"용역·수수료","기타/불명"))))))</x:f>
      </x:c>
      <x:c r="J868" s="77" t="str">
        <x:f>IF(A868="","",IF(I868="기타/불명","확인 필요","결의서명으로 1차 확인"))</x:f>
      </x:c>
      <x:c r="K868" s="78"/>
    </x:row>
    <x:row r="869">
      <x:c r="A869" s="73"/>
      <x:c r="B869" s="73"/>
      <x:c r="C869" s="74"/>
      <x:c r="D869" s="73"/>
      <x:c r="E869" s="73"/>
      <x:c r="F869" s="75"/>
      <x:c r="G869" s="75"/>
      <x:c r="H869" s="76" t="str">
        <x:f>IF(A869="","",F869-G869)</x:f>
      </x:c>
      <x:c r="I869" s="77" t="str">
        <x:f>IF(A869="","",IF(E869="","기타/불명",IF(IFERROR(SEARCH("급여",E869),0)&gt;0,"인건비",IF(IFERROR(SEARCH("임차",E869),0)&gt;0,"임차·시설",IF(IFERROR(SEARCH("광고",E869),0)&gt;0,"광고·행사",IF(IFERROR(SEARCH("용역",E869),0)&gt;0,"용역·수수료","기타/불명"))))))</x:f>
      </x:c>
      <x:c r="J869" s="77" t="str">
        <x:f>IF(A869="","",IF(I869="기타/불명","확인 필요","결의서명으로 1차 확인"))</x:f>
      </x:c>
      <x:c r="K869" s="78"/>
    </x:row>
    <x:row r="870">
      <x:c r="A870" s="73"/>
      <x:c r="B870" s="73"/>
      <x:c r="C870" s="74"/>
      <x:c r="D870" s="73"/>
      <x:c r="E870" s="73"/>
      <x:c r="F870" s="75"/>
      <x:c r="G870" s="75"/>
      <x:c r="H870" s="76" t="str">
        <x:f>IF(A870="","",F870-G870)</x:f>
      </x:c>
      <x:c r="I870" s="77" t="str">
        <x:f>IF(A870="","",IF(E870="","기타/불명",IF(IFERROR(SEARCH("급여",E870),0)&gt;0,"인건비",IF(IFERROR(SEARCH("임차",E870),0)&gt;0,"임차·시설",IF(IFERROR(SEARCH("광고",E870),0)&gt;0,"광고·행사",IF(IFERROR(SEARCH("용역",E870),0)&gt;0,"용역·수수료","기타/불명"))))))</x:f>
      </x:c>
      <x:c r="J870" s="77" t="str">
        <x:f>IF(A870="","",IF(I870="기타/불명","확인 필요","결의서명으로 1차 확인"))</x:f>
      </x:c>
      <x:c r="K870" s="78"/>
    </x:row>
    <x:row r="871">
      <x:c r="A871" s="73"/>
      <x:c r="B871" s="73"/>
      <x:c r="C871" s="74"/>
      <x:c r="D871" s="73"/>
      <x:c r="E871" s="73"/>
      <x:c r="F871" s="75"/>
      <x:c r="G871" s="75"/>
      <x:c r="H871" s="76" t="str">
        <x:f>IF(A871="","",F871-G871)</x:f>
      </x:c>
      <x:c r="I871" s="77" t="str">
        <x:f>IF(A871="","",IF(E871="","기타/불명",IF(IFERROR(SEARCH("급여",E871),0)&gt;0,"인건비",IF(IFERROR(SEARCH("임차",E871),0)&gt;0,"임차·시설",IF(IFERROR(SEARCH("광고",E871),0)&gt;0,"광고·행사",IF(IFERROR(SEARCH("용역",E871),0)&gt;0,"용역·수수료","기타/불명"))))))</x:f>
      </x:c>
      <x:c r="J871" s="77" t="str">
        <x:f>IF(A871="","",IF(I871="기타/불명","확인 필요","결의서명으로 1차 확인"))</x:f>
      </x:c>
      <x:c r="K871" s="78"/>
    </x:row>
    <x:row r="872">
      <x:c r="A872" s="73"/>
      <x:c r="B872" s="73"/>
      <x:c r="C872" s="74"/>
      <x:c r="D872" s="73"/>
      <x:c r="E872" s="73"/>
      <x:c r="F872" s="75"/>
      <x:c r="G872" s="75"/>
      <x:c r="H872" s="76" t="str">
        <x:f>IF(A872="","",F872-G872)</x:f>
      </x:c>
      <x:c r="I872" s="77" t="str">
        <x:f>IF(A872="","",IF(E872="","기타/불명",IF(IFERROR(SEARCH("급여",E872),0)&gt;0,"인건비",IF(IFERROR(SEARCH("임차",E872),0)&gt;0,"임차·시설",IF(IFERROR(SEARCH("광고",E872),0)&gt;0,"광고·행사",IF(IFERROR(SEARCH("용역",E872),0)&gt;0,"용역·수수료","기타/불명"))))))</x:f>
      </x:c>
      <x:c r="J872" s="77" t="str">
        <x:f>IF(A872="","",IF(I872="기타/불명","확인 필요","결의서명으로 1차 확인"))</x:f>
      </x:c>
      <x:c r="K872" s="78"/>
    </x:row>
    <x:row r="873">
      <x:c r="A873" s="73"/>
      <x:c r="B873" s="73"/>
      <x:c r="C873" s="74"/>
      <x:c r="D873" s="73"/>
      <x:c r="E873" s="73"/>
      <x:c r="F873" s="75"/>
      <x:c r="G873" s="75"/>
      <x:c r="H873" s="76" t="str">
        <x:f>IF(A873="","",F873-G873)</x:f>
      </x:c>
      <x:c r="I873" s="77" t="str">
        <x:f>IF(A873="","",IF(E873="","기타/불명",IF(IFERROR(SEARCH("급여",E873),0)&gt;0,"인건비",IF(IFERROR(SEARCH("임차",E873),0)&gt;0,"임차·시설",IF(IFERROR(SEARCH("광고",E873),0)&gt;0,"광고·행사",IF(IFERROR(SEARCH("용역",E873),0)&gt;0,"용역·수수료","기타/불명"))))))</x:f>
      </x:c>
      <x:c r="J873" s="77" t="str">
        <x:f>IF(A873="","",IF(I873="기타/불명","확인 필요","결의서명으로 1차 확인"))</x:f>
      </x:c>
      <x:c r="K873" s="78"/>
    </x:row>
    <x:row r="874">
      <x:c r="A874" s="73"/>
      <x:c r="B874" s="73"/>
      <x:c r="C874" s="74"/>
      <x:c r="D874" s="73"/>
      <x:c r="E874" s="73"/>
      <x:c r="F874" s="75"/>
      <x:c r="G874" s="75"/>
      <x:c r="H874" s="76" t="str">
        <x:f>IF(A874="","",F874-G874)</x:f>
      </x:c>
      <x:c r="I874" s="77" t="str">
        <x:f>IF(A874="","",IF(E874="","기타/불명",IF(IFERROR(SEARCH("급여",E874),0)&gt;0,"인건비",IF(IFERROR(SEARCH("임차",E874),0)&gt;0,"임차·시설",IF(IFERROR(SEARCH("광고",E874),0)&gt;0,"광고·행사",IF(IFERROR(SEARCH("용역",E874),0)&gt;0,"용역·수수료","기타/불명"))))))</x:f>
      </x:c>
      <x:c r="J874" s="77" t="str">
        <x:f>IF(A874="","",IF(I874="기타/불명","확인 필요","결의서명으로 1차 확인"))</x:f>
      </x:c>
      <x:c r="K874" s="78"/>
    </x:row>
    <x:row r="875">
      <x:c r="A875" s="73"/>
      <x:c r="B875" s="73"/>
      <x:c r="C875" s="74"/>
      <x:c r="D875" s="73"/>
      <x:c r="E875" s="73"/>
      <x:c r="F875" s="75"/>
      <x:c r="G875" s="75"/>
      <x:c r="H875" s="76" t="str">
        <x:f>IF(A875="","",F875-G875)</x:f>
      </x:c>
      <x:c r="I875" s="77" t="str">
        <x:f>IF(A875="","",IF(E875="","기타/불명",IF(IFERROR(SEARCH("급여",E875),0)&gt;0,"인건비",IF(IFERROR(SEARCH("임차",E875),0)&gt;0,"임차·시설",IF(IFERROR(SEARCH("광고",E875),0)&gt;0,"광고·행사",IF(IFERROR(SEARCH("용역",E875),0)&gt;0,"용역·수수료","기타/불명"))))))</x:f>
      </x:c>
      <x:c r="J875" s="77" t="str">
        <x:f>IF(A875="","",IF(I875="기타/불명","확인 필요","결의서명으로 1차 확인"))</x:f>
      </x:c>
      <x:c r="K875" s="78"/>
    </x:row>
    <x:row r="876">
      <x:c r="A876" s="73"/>
      <x:c r="B876" s="73"/>
      <x:c r="C876" s="74"/>
      <x:c r="D876" s="73"/>
      <x:c r="E876" s="73"/>
      <x:c r="F876" s="75"/>
      <x:c r="G876" s="75"/>
      <x:c r="H876" s="76" t="str">
        <x:f>IF(A876="","",F876-G876)</x:f>
      </x:c>
      <x:c r="I876" s="77" t="str">
        <x:f>IF(A876="","",IF(E876="","기타/불명",IF(IFERROR(SEARCH("급여",E876),0)&gt;0,"인건비",IF(IFERROR(SEARCH("임차",E876),0)&gt;0,"임차·시설",IF(IFERROR(SEARCH("광고",E876),0)&gt;0,"광고·행사",IF(IFERROR(SEARCH("용역",E876),0)&gt;0,"용역·수수료","기타/불명"))))))</x:f>
      </x:c>
      <x:c r="J876" s="77" t="str">
        <x:f>IF(A876="","",IF(I876="기타/불명","확인 필요","결의서명으로 1차 확인"))</x:f>
      </x:c>
      <x:c r="K876" s="78"/>
    </x:row>
    <x:row r="877">
      <x:c r="A877" s="73"/>
      <x:c r="B877" s="73"/>
      <x:c r="C877" s="74"/>
      <x:c r="D877" s="73"/>
      <x:c r="E877" s="73"/>
      <x:c r="F877" s="75"/>
      <x:c r="G877" s="75"/>
      <x:c r="H877" s="76" t="str">
        <x:f>IF(A877="","",F877-G877)</x:f>
      </x:c>
      <x:c r="I877" s="77" t="str">
        <x:f>IF(A877="","",IF(E877="","기타/불명",IF(IFERROR(SEARCH("급여",E877),0)&gt;0,"인건비",IF(IFERROR(SEARCH("임차",E877),0)&gt;0,"임차·시설",IF(IFERROR(SEARCH("광고",E877),0)&gt;0,"광고·행사",IF(IFERROR(SEARCH("용역",E877),0)&gt;0,"용역·수수료","기타/불명"))))))</x:f>
      </x:c>
      <x:c r="J877" s="77" t="str">
        <x:f>IF(A877="","",IF(I877="기타/불명","확인 필요","결의서명으로 1차 확인"))</x:f>
      </x:c>
      <x:c r="K877" s="78"/>
    </x:row>
    <x:row r="878">
      <x:c r="A878" s="73"/>
      <x:c r="B878" s="73"/>
      <x:c r="C878" s="74"/>
      <x:c r="D878" s="73"/>
      <x:c r="E878" s="73"/>
      <x:c r="F878" s="75"/>
      <x:c r="G878" s="75"/>
      <x:c r="H878" s="76" t="str">
        <x:f>IF(A878="","",F878-G878)</x:f>
      </x:c>
      <x:c r="I878" s="77" t="str">
        <x:f>IF(A878="","",IF(E878="","기타/불명",IF(IFERROR(SEARCH("급여",E878),0)&gt;0,"인건비",IF(IFERROR(SEARCH("임차",E878),0)&gt;0,"임차·시설",IF(IFERROR(SEARCH("광고",E878),0)&gt;0,"광고·행사",IF(IFERROR(SEARCH("용역",E878),0)&gt;0,"용역·수수료","기타/불명"))))))</x:f>
      </x:c>
      <x:c r="J878" s="77" t="str">
        <x:f>IF(A878="","",IF(I878="기타/불명","확인 필요","결의서명으로 1차 확인"))</x:f>
      </x:c>
      <x:c r="K878" s="78"/>
    </x:row>
    <x:row r="879">
      <x:c r="A879" s="73"/>
      <x:c r="B879" s="73"/>
      <x:c r="C879" s="74"/>
      <x:c r="D879" s="73"/>
      <x:c r="E879" s="73"/>
      <x:c r="F879" s="75"/>
      <x:c r="G879" s="75"/>
      <x:c r="H879" s="76" t="str">
        <x:f>IF(A879="","",F879-G879)</x:f>
      </x:c>
      <x:c r="I879" s="77" t="str">
        <x:f>IF(A879="","",IF(E879="","기타/불명",IF(IFERROR(SEARCH("급여",E879),0)&gt;0,"인건비",IF(IFERROR(SEARCH("임차",E879),0)&gt;0,"임차·시설",IF(IFERROR(SEARCH("광고",E879),0)&gt;0,"광고·행사",IF(IFERROR(SEARCH("용역",E879),0)&gt;0,"용역·수수료","기타/불명"))))))</x:f>
      </x:c>
      <x:c r="J879" s="77" t="str">
        <x:f>IF(A879="","",IF(I879="기타/불명","확인 필요","결의서명으로 1차 확인"))</x:f>
      </x:c>
      <x:c r="K879" s="78"/>
    </x:row>
    <x:row r="880">
      <x:c r="A880" s="73"/>
      <x:c r="B880" s="73"/>
      <x:c r="C880" s="74"/>
      <x:c r="D880" s="73"/>
      <x:c r="E880" s="73"/>
      <x:c r="F880" s="75"/>
      <x:c r="G880" s="75"/>
      <x:c r="H880" s="76" t="str">
        <x:f>IF(A880="","",F880-G880)</x:f>
      </x:c>
      <x:c r="I880" s="77" t="str">
        <x:f>IF(A880="","",IF(E880="","기타/불명",IF(IFERROR(SEARCH("급여",E880),0)&gt;0,"인건비",IF(IFERROR(SEARCH("임차",E880),0)&gt;0,"임차·시설",IF(IFERROR(SEARCH("광고",E880),0)&gt;0,"광고·행사",IF(IFERROR(SEARCH("용역",E880),0)&gt;0,"용역·수수료","기타/불명"))))))</x:f>
      </x:c>
      <x:c r="J880" s="77" t="str">
        <x:f>IF(A880="","",IF(I880="기타/불명","확인 필요","결의서명으로 1차 확인"))</x:f>
      </x:c>
      <x:c r="K880" s="78"/>
    </x:row>
    <x:row r="881">
      <x:c r="A881" s="73"/>
      <x:c r="B881" s="73"/>
      <x:c r="C881" s="74"/>
      <x:c r="D881" s="73"/>
      <x:c r="E881" s="73"/>
      <x:c r="F881" s="75"/>
      <x:c r="G881" s="75"/>
      <x:c r="H881" s="76" t="str">
        <x:f>IF(A881="","",F881-G881)</x:f>
      </x:c>
      <x:c r="I881" s="77" t="str">
        <x:f>IF(A881="","",IF(E881="","기타/불명",IF(IFERROR(SEARCH("급여",E881),0)&gt;0,"인건비",IF(IFERROR(SEARCH("임차",E881),0)&gt;0,"임차·시설",IF(IFERROR(SEARCH("광고",E881),0)&gt;0,"광고·행사",IF(IFERROR(SEARCH("용역",E881),0)&gt;0,"용역·수수료","기타/불명"))))))</x:f>
      </x:c>
      <x:c r="J881" s="77" t="str">
        <x:f>IF(A881="","",IF(I881="기타/불명","확인 필요","결의서명으로 1차 확인"))</x:f>
      </x:c>
      <x:c r="K881" s="78"/>
    </x:row>
    <x:row r="882">
      <x:c r="A882" s="73"/>
      <x:c r="B882" s="73"/>
      <x:c r="C882" s="74"/>
      <x:c r="D882" s="73"/>
      <x:c r="E882" s="73"/>
      <x:c r="F882" s="75"/>
      <x:c r="G882" s="75"/>
      <x:c r="H882" s="76" t="str">
        <x:f>IF(A882="","",F882-G882)</x:f>
      </x:c>
      <x:c r="I882" s="77" t="str">
        <x:f>IF(A882="","",IF(E882="","기타/불명",IF(IFERROR(SEARCH("급여",E882),0)&gt;0,"인건비",IF(IFERROR(SEARCH("임차",E882),0)&gt;0,"임차·시설",IF(IFERROR(SEARCH("광고",E882),0)&gt;0,"광고·행사",IF(IFERROR(SEARCH("용역",E882),0)&gt;0,"용역·수수료","기타/불명"))))))</x:f>
      </x:c>
      <x:c r="J882" s="77" t="str">
        <x:f>IF(A882="","",IF(I882="기타/불명","확인 필요","결의서명으로 1차 확인"))</x:f>
      </x:c>
      <x:c r="K882" s="78"/>
    </x:row>
    <x:row r="883">
      <x:c r="A883" s="73"/>
      <x:c r="B883" s="73"/>
      <x:c r="C883" s="74"/>
      <x:c r="D883" s="73"/>
      <x:c r="E883" s="73"/>
      <x:c r="F883" s="75"/>
      <x:c r="G883" s="75"/>
      <x:c r="H883" s="76" t="str">
        <x:f>IF(A883="","",F883-G883)</x:f>
      </x:c>
      <x:c r="I883" s="77" t="str">
        <x:f>IF(A883="","",IF(E883="","기타/불명",IF(IFERROR(SEARCH("급여",E883),0)&gt;0,"인건비",IF(IFERROR(SEARCH("임차",E883),0)&gt;0,"임차·시설",IF(IFERROR(SEARCH("광고",E883),0)&gt;0,"광고·행사",IF(IFERROR(SEARCH("용역",E883),0)&gt;0,"용역·수수료","기타/불명"))))))</x:f>
      </x:c>
      <x:c r="J883" s="77" t="str">
        <x:f>IF(A883="","",IF(I883="기타/불명","확인 필요","결의서명으로 1차 확인"))</x:f>
      </x:c>
      <x:c r="K883" s="78"/>
    </x:row>
    <x:row r="884">
      <x:c r="A884" s="73"/>
      <x:c r="B884" s="73"/>
      <x:c r="C884" s="74"/>
      <x:c r="D884" s="73"/>
      <x:c r="E884" s="73"/>
      <x:c r="F884" s="75"/>
      <x:c r="G884" s="75"/>
      <x:c r="H884" s="76" t="str">
        <x:f>IF(A884="","",F884-G884)</x:f>
      </x:c>
      <x:c r="I884" s="77" t="str">
        <x:f>IF(A884="","",IF(E884="","기타/불명",IF(IFERROR(SEARCH("급여",E884),0)&gt;0,"인건비",IF(IFERROR(SEARCH("임차",E884),0)&gt;0,"임차·시설",IF(IFERROR(SEARCH("광고",E884),0)&gt;0,"광고·행사",IF(IFERROR(SEARCH("용역",E884),0)&gt;0,"용역·수수료","기타/불명"))))))</x:f>
      </x:c>
      <x:c r="J884" s="77" t="str">
        <x:f>IF(A884="","",IF(I884="기타/불명","확인 필요","결의서명으로 1차 확인"))</x:f>
      </x:c>
      <x:c r="K884" s="78"/>
    </x:row>
    <x:row r="885">
      <x:c r="A885" s="73"/>
      <x:c r="B885" s="73"/>
      <x:c r="C885" s="74"/>
      <x:c r="D885" s="73"/>
      <x:c r="E885" s="73"/>
      <x:c r="F885" s="75"/>
      <x:c r="G885" s="75"/>
      <x:c r="H885" s="76" t="str">
        <x:f>IF(A885="","",F885-G885)</x:f>
      </x:c>
      <x:c r="I885" s="77" t="str">
        <x:f>IF(A885="","",IF(E885="","기타/불명",IF(IFERROR(SEARCH("급여",E885),0)&gt;0,"인건비",IF(IFERROR(SEARCH("임차",E885),0)&gt;0,"임차·시설",IF(IFERROR(SEARCH("광고",E885),0)&gt;0,"광고·행사",IF(IFERROR(SEARCH("용역",E885),0)&gt;0,"용역·수수료","기타/불명"))))))</x:f>
      </x:c>
      <x:c r="J885" s="77" t="str">
        <x:f>IF(A885="","",IF(I885="기타/불명","확인 필요","결의서명으로 1차 확인"))</x:f>
      </x:c>
      <x:c r="K885" s="78"/>
    </x:row>
    <x:row r="886">
      <x:c r="A886" s="73"/>
      <x:c r="B886" s="73"/>
      <x:c r="C886" s="74"/>
      <x:c r="D886" s="73"/>
      <x:c r="E886" s="73"/>
      <x:c r="F886" s="75"/>
      <x:c r="G886" s="75"/>
      <x:c r="H886" s="76" t="str">
        <x:f>IF(A886="","",F886-G886)</x:f>
      </x:c>
      <x:c r="I886" s="77" t="str">
        <x:f>IF(A886="","",IF(E886="","기타/불명",IF(IFERROR(SEARCH("급여",E886),0)&gt;0,"인건비",IF(IFERROR(SEARCH("임차",E886),0)&gt;0,"임차·시설",IF(IFERROR(SEARCH("광고",E886),0)&gt;0,"광고·행사",IF(IFERROR(SEARCH("용역",E886),0)&gt;0,"용역·수수료","기타/불명"))))))</x:f>
      </x:c>
      <x:c r="J886" s="77" t="str">
        <x:f>IF(A886="","",IF(I886="기타/불명","확인 필요","결의서명으로 1차 확인"))</x:f>
      </x:c>
      <x:c r="K886" s="78"/>
    </x:row>
    <x:row r="887">
      <x:c r="A887" s="73"/>
      <x:c r="B887" s="73"/>
      <x:c r="C887" s="74"/>
      <x:c r="D887" s="73"/>
      <x:c r="E887" s="73"/>
      <x:c r="F887" s="75"/>
      <x:c r="G887" s="75"/>
      <x:c r="H887" s="76" t="str">
        <x:f>IF(A887="","",F887-G887)</x:f>
      </x:c>
      <x:c r="I887" s="77" t="str">
        <x:f>IF(A887="","",IF(E887="","기타/불명",IF(IFERROR(SEARCH("급여",E887),0)&gt;0,"인건비",IF(IFERROR(SEARCH("임차",E887),0)&gt;0,"임차·시설",IF(IFERROR(SEARCH("광고",E887),0)&gt;0,"광고·행사",IF(IFERROR(SEARCH("용역",E887),0)&gt;0,"용역·수수료","기타/불명"))))))</x:f>
      </x:c>
      <x:c r="J887" s="77" t="str">
        <x:f>IF(A887="","",IF(I887="기타/불명","확인 필요","결의서명으로 1차 확인"))</x:f>
      </x:c>
      <x:c r="K887" s="78"/>
    </x:row>
    <x:row r="888">
      <x:c r="A888" s="73"/>
      <x:c r="B888" s="73"/>
      <x:c r="C888" s="74"/>
      <x:c r="D888" s="73"/>
      <x:c r="E888" s="73"/>
      <x:c r="F888" s="75"/>
      <x:c r="G888" s="75"/>
      <x:c r="H888" s="76" t="str">
        <x:f>IF(A888="","",F888-G888)</x:f>
      </x:c>
      <x:c r="I888" s="77" t="str">
        <x:f>IF(A888="","",IF(E888="","기타/불명",IF(IFERROR(SEARCH("급여",E888),0)&gt;0,"인건비",IF(IFERROR(SEARCH("임차",E888),0)&gt;0,"임차·시설",IF(IFERROR(SEARCH("광고",E888),0)&gt;0,"광고·행사",IF(IFERROR(SEARCH("용역",E888),0)&gt;0,"용역·수수료","기타/불명"))))))</x:f>
      </x:c>
      <x:c r="J888" s="77" t="str">
        <x:f>IF(A888="","",IF(I888="기타/불명","확인 필요","결의서명으로 1차 확인"))</x:f>
      </x:c>
      <x:c r="K888" s="78"/>
    </x:row>
    <x:row r="889">
      <x:c r="A889" s="73"/>
      <x:c r="B889" s="73"/>
      <x:c r="C889" s="74"/>
      <x:c r="D889" s="73"/>
      <x:c r="E889" s="73"/>
      <x:c r="F889" s="75"/>
      <x:c r="G889" s="75"/>
      <x:c r="H889" s="76" t="str">
        <x:f>IF(A889="","",F889-G889)</x:f>
      </x:c>
      <x:c r="I889" s="77" t="str">
        <x:f>IF(A889="","",IF(E889="","기타/불명",IF(IFERROR(SEARCH("급여",E889),0)&gt;0,"인건비",IF(IFERROR(SEARCH("임차",E889),0)&gt;0,"임차·시설",IF(IFERROR(SEARCH("광고",E889),0)&gt;0,"광고·행사",IF(IFERROR(SEARCH("용역",E889),0)&gt;0,"용역·수수료","기타/불명"))))))</x:f>
      </x:c>
      <x:c r="J889" s="77" t="str">
        <x:f>IF(A889="","",IF(I889="기타/불명","확인 필요","결의서명으로 1차 확인"))</x:f>
      </x:c>
      <x:c r="K889" s="78"/>
    </x:row>
    <x:row r="890">
      <x:c r="A890" s="73"/>
      <x:c r="B890" s="73"/>
      <x:c r="C890" s="74"/>
      <x:c r="D890" s="73"/>
      <x:c r="E890" s="73"/>
      <x:c r="F890" s="75"/>
      <x:c r="G890" s="75"/>
      <x:c r="H890" s="76" t="str">
        <x:f>IF(A890="","",F890-G890)</x:f>
      </x:c>
      <x:c r="I890" s="77" t="str">
        <x:f>IF(A890="","",IF(E890="","기타/불명",IF(IFERROR(SEARCH("급여",E890),0)&gt;0,"인건비",IF(IFERROR(SEARCH("임차",E890),0)&gt;0,"임차·시설",IF(IFERROR(SEARCH("광고",E890),0)&gt;0,"광고·행사",IF(IFERROR(SEARCH("용역",E890),0)&gt;0,"용역·수수료","기타/불명"))))))</x:f>
      </x:c>
      <x:c r="J890" s="77" t="str">
        <x:f>IF(A890="","",IF(I890="기타/불명","확인 필요","결의서명으로 1차 확인"))</x:f>
      </x:c>
      <x:c r="K890" s="78"/>
    </x:row>
    <x:row r="891">
      <x:c r="A891" s="73"/>
      <x:c r="B891" s="73"/>
      <x:c r="C891" s="74"/>
      <x:c r="D891" s="73"/>
      <x:c r="E891" s="73"/>
      <x:c r="F891" s="75"/>
      <x:c r="G891" s="75"/>
      <x:c r="H891" s="76" t="str">
        <x:f>IF(A891="","",F891-G891)</x:f>
      </x:c>
      <x:c r="I891" s="77" t="str">
        <x:f>IF(A891="","",IF(E891="","기타/불명",IF(IFERROR(SEARCH("급여",E891),0)&gt;0,"인건비",IF(IFERROR(SEARCH("임차",E891),0)&gt;0,"임차·시설",IF(IFERROR(SEARCH("광고",E891),0)&gt;0,"광고·행사",IF(IFERROR(SEARCH("용역",E891),0)&gt;0,"용역·수수료","기타/불명"))))))</x:f>
      </x:c>
      <x:c r="J891" s="77" t="str">
        <x:f>IF(A891="","",IF(I891="기타/불명","확인 필요","결의서명으로 1차 확인"))</x:f>
      </x:c>
      <x:c r="K891" s="78"/>
    </x:row>
    <x:row r="892">
      <x:c r="A892" s="73"/>
      <x:c r="B892" s="73"/>
      <x:c r="C892" s="74"/>
      <x:c r="D892" s="73"/>
      <x:c r="E892" s="73"/>
      <x:c r="F892" s="75"/>
      <x:c r="G892" s="75"/>
      <x:c r="H892" s="76" t="str">
        <x:f>IF(A892="","",F892-G892)</x:f>
      </x:c>
      <x:c r="I892" s="77" t="str">
        <x:f>IF(A892="","",IF(E892="","기타/불명",IF(IFERROR(SEARCH("급여",E892),0)&gt;0,"인건비",IF(IFERROR(SEARCH("임차",E892),0)&gt;0,"임차·시설",IF(IFERROR(SEARCH("광고",E892),0)&gt;0,"광고·행사",IF(IFERROR(SEARCH("용역",E892),0)&gt;0,"용역·수수료","기타/불명"))))))</x:f>
      </x:c>
      <x:c r="J892" s="77" t="str">
        <x:f>IF(A892="","",IF(I892="기타/불명","확인 필요","결의서명으로 1차 확인"))</x:f>
      </x:c>
      <x:c r="K892" s="78"/>
    </x:row>
    <x:row r="893">
      <x:c r="A893" s="73"/>
      <x:c r="B893" s="73"/>
      <x:c r="C893" s="74"/>
      <x:c r="D893" s="73"/>
      <x:c r="E893" s="73"/>
      <x:c r="F893" s="75"/>
      <x:c r="G893" s="75"/>
      <x:c r="H893" s="76" t="str">
        <x:f>IF(A893="","",F893-G893)</x:f>
      </x:c>
      <x:c r="I893" s="77" t="str">
        <x:f>IF(A893="","",IF(E893="","기타/불명",IF(IFERROR(SEARCH("급여",E893),0)&gt;0,"인건비",IF(IFERROR(SEARCH("임차",E893),0)&gt;0,"임차·시설",IF(IFERROR(SEARCH("광고",E893),0)&gt;0,"광고·행사",IF(IFERROR(SEARCH("용역",E893),0)&gt;0,"용역·수수료","기타/불명"))))))</x:f>
      </x:c>
      <x:c r="J893" s="77" t="str">
        <x:f>IF(A893="","",IF(I893="기타/불명","확인 필요","결의서명으로 1차 확인"))</x:f>
      </x:c>
      <x:c r="K893" s="78"/>
    </x:row>
    <x:row r="894">
      <x:c r="A894" s="73"/>
      <x:c r="B894" s="73"/>
      <x:c r="C894" s="74"/>
      <x:c r="D894" s="73"/>
      <x:c r="E894" s="73"/>
      <x:c r="F894" s="75"/>
      <x:c r="G894" s="75"/>
      <x:c r="H894" s="76" t="str">
        <x:f>IF(A894="","",F894-G894)</x:f>
      </x:c>
      <x:c r="I894" s="77" t="str">
        <x:f>IF(A894="","",IF(E894="","기타/불명",IF(IFERROR(SEARCH("급여",E894),0)&gt;0,"인건비",IF(IFERROR(SEARCH("임차",E894),0)&gt;0,"임차·시설",IF(IFERROR(SEARCH("광고",E894),0)&gt;0,"광고·행사",IF(IFERROR(SEARCH("용역",E894),0)&gt;0,"용역·수수료","기타/불명"))))))</x:f>
      </x:c>
      <x:c r="J894" s="77" t="str">
        <x:f>IF(A894="","",IF(I894="기타/불명","확인 필요","결의서명으로 1차 확인"))</x:f>
      </x:c>
      <x:c r="K894" s="78"/>
    </x:row>
    <x:row r="895">
      <x:c r="A895" s="73"/>
      <x:c r="B895" s="73"/>
      <x:c r="C895" s="74"/>
      <x:c r="D895" s="73"/>
      <x:c r="E895" s="73"/>
      <x:c r="F895" s="75"/>
      <x:c r="G895" s="75"/>
      <x:c r="H895" s="76" t="str">
        <x:f>IF(A895="","",F895-G895)</x:f>
      </x:c>
      <x:c r="I895" s="77" t="str">
        <x:f>IF(A895="","",IF(E895="","기타/불명",IF(IFERROR(SEARCH("급여",E895),0)&gt;0,"인건비",IF(IFERROR(SEARCH("임차",E895),0)&gt;0,"임차·시설",IF(IFERROR(SEARCH("광고",E895),0)&gt;0,"광고·행사",IF(IFERROR(SEARCH("용역",E895),0)&gt;0,"용역·수수료","기타/불명"))))))</x:f>
      </x:c>
      <x:c r="J895" s="77" t="str">
        <x:f>IF(A895="","",IF(I895="기타/불명","확인 필요","결의서명으로 1차 확인"))</x:f>
      </x:c>
      <x:c r="K895" s="78"/>
    </x:row>
    <x:row r="896">
      <x:c r="A896" s="73"/>
      <x:c r="B896" s="73"/>
      <x:c r="C896" s="74"/>
      <x:c r="D896" s="73"/>
      <x:c r="E896" s="73"/>
      <x:c r="F896" s="75"/>
      <x:c r="G896" s="75"/>
      <x:c r="H896" s="76" t="str">
        <x:f>IF(A896="","",F896-G896)</x:f>
      </x:c>
      <x:c r="I896" s="77" t="str">
        <x:f>IF(A896="","",IF(E896="","기타/불명",IF(IFERROR(SEARCH("급여",E896),0)&gt;0,"인건비",IF(IFERROR(SEARCH("임차",E896),0)&gt;0,"임차·시설",IF(IFERROR(SEARCH("광고",E896),0)&gt;0,"광고·행사",IF(IFERROR(SEARCH("용역",E896),0)&gt;0,"용역·수수료","기타/불명"))))))</x:f>
      </x:c>
      <x:c r="J896" s="77" t="str">
        <x:f>IF(A896="","",IF(I896="기타/불명","확인 필요","결의서명으로 1차 확인"))</x:f>
      </x:c>
      <x:c r="K896" s="78"/>
    </x:row>
    <x:row r="897">
      <x:c r="A897" s="73"/>
      <x:c r="B897" s="73"/>
      <x:c r="C897" s="74"/>
      <x:c r="D897" s="73"/>
      <x:c r="E897" s="73"/>
      <x:c r="F897" s="75"/>
      <x:c r="G897" s="75"/>
      <x:c r="H897" s="76" t="str">
        <x:f>IF(A897="","",F897-G897)</x:f>
      </x:c>
      <x:c r="I897" s="77" t="str">
        <x:f>IF(A897="","",IF(E897="","기타/불명",IF(IFERROR(SEARCH("급여",E897),0)&gt;0,"인건비",IF(IFERROR(SEARCH("임차",E897),0)&gt;0,"임차·시설",IF(IFERROR(SEARCH("광고",E897),0)&gt;0,"광고·행사",IF(IFERROR(SEARCH("용역",E897),0)&gt;0,"용역·수수료","기타/불명"))))))</x:f>
      </x:c>
      <x:c r="J897" s="77" t="str">
        <x:f>IF(A897="","",IF(I897="기타/불명","확인 필요","결의서명으로 1차 확인"))</x:f>
      </x:c>
      <x:c r="K897" s="78"/>
    </x:row>
    <x:row r="898">
      <x:c r="A898" s="73"/>
      <x:c r="B898" s="73"/>
      <x:c r="C898" s="74"/>
      <x:c r="D898" s="73"/>
      <x:c r="E898" s="73"/>
      <x:c r="F898" s="75"/>
      <x:c r="G898" s="75"/>
      <x:c r="H898" s="76" t="str">
        <x:f>IF(A898="","",F898-G898)</x:f>
      </x:c>
      <x:c r="I898" s="77" t="str">
        <x:f>IF(A898="","",IF(E898="","기타/불명",IF(IFERROR(SEARCH("급여",E898),0)&gt;0,"인건비",IF(IFERROR(SEARCH("임차",E898),0)&gt;0,"임차·시설",IF(IFERROR(SEARCH("광고",E898),0)&gt;0,"광고·행사",IF(IFERROR(SEARCH("용역",E898),0)&gt;0,"용역·수수료","기타/불명"))))))</x:f>
      </x:c>
      <x:c r="J898" s="77" t="str">
        <x:f>IF(A898="","",IF(I898="기타/불명","확인 필요","결의서명으로 1차 확인"))</x:f>
      </x:c>
      <x:c r="K898" s="78"/>
    </x:row>
    <x:row r="899">
      <x:c r="A899" s="73"/>
      <x:c r="B899" s="73"/>
      <x:c r="C899" s="74"/>
      <x:c r="D899" s="73"/>
      <x:c r="E899" s="73"/>
      <x:c r="F899" s="75"/>
      <x:c r="G899" s="75"/>
      <x:c r="H899" s="76" t="str">
        <x:f>IF(A899="","",F899-G899)</x:f>
      </x:c>
      <x:c r="I899" s="77" t="str">
        <x:f>IF(A899="","",IF(E899="","기타/불명",IF(IFERROR(SEARCH("급여",E899),0)&gt;0,"인건비",IF(IFERROR(SEARCH("임차",E899),0)&gt;0,"임차·시설",IF(IFERROR(SEARCH("광고",E899),0)&gt;0,"광고·행사",IF(IFERROR(SEARCH("용역",E899),0)&gt;0,"용역·수수료","기타/불명"))))))</x:f>
      </x:c>
      <x:c r="J899" s="77" t="str">
        <x:f>IF(A899="","",IF(I899="기타/불명","확인 필요","결의서명으로 1차 확인"))</x:f>
      </x:c>
      <x:c r="K899" s="78"/>
    </x:row>
    <x:row r="900">
      <x:c r="A900" s="73"/>
      <x:c r="B900" s="73"/>
      <x:c r="C900" s="74"/>
      <x:c r="D900" s="73"/>
      <x:c r="E900" s="73"/>
      <x:c r="F900" s="75"/>
      <x:c r="G900" s="75"/>
      <x:c r="H900" s="76" t="str">
        <x:f>IF(A900="","",F900-G900)</x:f>
      </x:c>
      <x:c r="I900" s="77" t="str">
        <x:f>IF(A900="","",IF(E900="","기타/불명",IF(IFERROR(SEARCH("급여",E900),0)&gt;0,"인건비",IF(IFERROR(SEARCH("임차",E900),0)&gt;0,"임차·시설",IF(IFERROR(SEARCH("광고",E900),0)&gt;0,"광고·행사",IF(IFERROR(SEARCH("용역",E900),0)&gt;0,"용역·수수료","기타/불명"))))))</x:f>
      </x:c>
      <x:c r="J900" s="77" t="str">
        <x:f>IF(A900="","",IF(I900="기타/불명","확인 필요","결의서명으로 1차 확인"))</x:f>
      </x:c>
      <x:c r="K900" s="78"/>
    </x:row>
    <x:row r="901">
      <x:c r="A901" s="73"/>
      <x:c r="B901" s="73"/>
      <x:c r="C901" s="74"/>
      <x:c r="D901" s="73"/>
      <x:c r="E901" s="73"/>
      <x:c r="F901" s="75"/>
      <x:c r="G901" s="75"/>
      <x:c r="H901" s="76" t="str">
        <x:f>IF(A901="","",F901-G901)</x:f>
      </x:c>
      <x:c r="I901" s="77" t="str">
        <x:f>IF(A901="","",IF(E901="","기타/불명",IF(IFERROR(SEARCH("급여",E901),0)&gt;0,"인건비",IF(IFERROR(SEARCH("임차",E901),0)&gt;0,"임차·시설",IF(IFERROR(SEARCH("광고",E901),0)&gt;0,"광고·행사",IF(IFERROR(SEARCH("용역",E901),0)&gt;0,"용역·수수료","기타/불명"))))))</x:f>
      </x:c>
      <x:c r="J901" s="77" t="str">
        <x:f>IF(A901="","",IF(I901="기타/불명","확인 필요","결의서명으로 1차 확인"))</x:f>
      </x:c>
      <x:c r="K901" s="78"/>
    </x:row>
    <x:row r="902">
      <x:c r="A902" s="73"/>
      <x:c r="B902" s="73"/>
      <x:c r="C902" s="74"/>
      <x:c r="D902" s="73"/>
      <x:c r="E902" s="73"/>
      <x:c r="F902" s="75"/>
      <x:c r="G902" s="75"/>
      <x:c r="H902" s="76" t="str">
        <x:f>IF(A902="","",F902-G902)</x:f>
      </x:c>
      <x:c r="I902" s="77" t="str">
        <x:f>IF(A902="","",IF(E902="","기타/불명",IF(IFERROR(SEARCH("급여",E902),0)&gt;0,"인건비",IF(IFERROR(SEARCH("임차",E902),0)&gt;0,"임차·시설",IF(IFERROR(SEARCH("광고",E902),0)&gt;0,"광고·행사",IF(IFERROR(SEARCH("용역",E902),0)&gt;0,"용역·수수료","기타/불명"))))))</x:f>
      </x:c>
      <x:c r="J902" s="77" t="str">
        <x:f>IF(A902="","",IF(I902="기타/불명","확인 필요","결의서명으로 1차 확인"))</x:f>
      </x:c>
      <x:c r="K902" s="78"/>
    </x:row>
    <x:row r="903">
      <x:c r="A903" s="73"/>
      <x:c r="B903" s="73"/>
      <x:c r="C903" s="74"/>
      <x:c r="D903" s="73"/>
      <x:c r="E903" s="73"/>
      <x:c r="F903" s="75"/>
      <x:c r="G903" s="75"/>
      <x:c r="H903" s="76" t="str">
        <x:f>IF(A903="","",F903-G903)</x:f>
      </x:c>
      <x:c r="I903" s="77" t="str">
        <x:f>IF(A903="","",IF(E903="","기타/불명",IF(IFERROR(SEARCH("급여",E903),0)&gt;0,"인건비",IF(IFERROR(SEARCH("임차",E903),0)&gt;0,"임차·시설",IF(IFERROR(SEARCH("광고",E903),0)&gt;0,"광고·행사",IF(IFERROR(SEARCH("용역",E903),0)&gt;0,"용역·수수료","기타/불명"))))))</x:f>
      </x:c>
      <x:c r="J903" s="77" t="str">
        <x:f>IF(A903="","",IF(I903="기타/불명","확인 필요","결의서명으로 1차 확인"))</x:f>
      </x:c>
      <x:c r="K903" s="78"/>
    </x:row>
    <x:row r="904">
      <x:c r="A904" s="73"/>
      <x:c r="B904" s="73"/>
      <x:c r="C904" s="74"/>
      <x:c r="D904" s="73"/>
      <x:c r="E904" s="73"/>
      <x:c r="F904" s="75"/>
      <x:c r="G904" s="75"/>
      <x:c r="H904" s="76" t="str">
        <x:f>IF(A904="","",F904-G904)</x:f>
      </x:c>
      <x:c r="I904" s="77" t="str">
        <x:f>IF(A904="","",IF(E904="","기타/불명",IF(IFERROR(SEARCH("급여",E904),0)&gt;0,"인건비",IF(IFERROR(SEARCH("임차",E904),0)&gt;0,"임차·시설",IF(IFERROR(SEARCH("광고",E904),0)&gt;0,"광고·행사",IF(IFERROR(SEARCH("용역",E904),0)&gt;0,"용역·수수료","기타/불명"))))))</x:f>
      </x:c>
      <x:c r="J904" s="77" t="str">
        <x:f>IF(A904="","",IF(I904="기타/불명","확인 필요","결의서명으로 1차 확인"))</x:f>
      </x:c>
      <x:c r="K904" s="78"/>
    </x:row>
    <x:row r="905">
      <x:c r="A905" s="73"/>
      <x:c r="B905" s="73"/>
      <x:c r="C905" s="74"/>
      <x:c r="D905" s="73"/>
      <x:c r="E905" s="73"/>
      <x:c r="F905" s="75"/>
      <x:c r="G905" s="75"/>
      <x:c r="H905" s="76" t="str">
        <x:f>IF(A905="","",F905-G905)</x:f>
      </x:c>
      <x:c r="I905" s="77" t="str">
        <x:f>IF(A905="","",IF(E905="","기타/불명",IF(IFERROR(SEARCH("급여",E905),0)&gt;0,"인건비",IF(IFERROR(SEARCH("임차",E905),0)&gt;0,"임차·시설",IF(IFERROR(SEARCH("광고",E905),0)&gt;0,"광고·행사",IF(IFERROR(SEARCH("용역",E905),0)&gt;0,"용역·수수료","기타/불명"))))))</x:f>
      </x:c>
      <x:c r="J905" s="77" t="str">
        <x:f>IF(A905="","",IF(I905="기타/불명","확인 필요","결의서명으로 1차 확인"))</x:f>
      </x:c>
      <x:c r="K905" s="78"/>
    </x:row>
    <x:row r="906">
      <x:c r="A906" s="73"/>
      <x:c r="B906" s="73"/>
      <x:c r="C906" s="74"/>
      <x:c r="D906" s="73"/>
      <x:c r="E906" s="73"/>
      <x:c r="F906" s="75"/>
      <x:c r="G906" s="75"/>
      <x:c r="H906" s="76" t="str">
        <x:f>IF(A906="","",F906-G906)</x:f>
      </x:c>
      <x:c r="I906" s="77" t="str">
        <x:f>IF(A906="","",IF(E906="","기타/불명",IF(IFERROR(SEARCH("급여",E906),0)&gt;0,"인건비",IF(IFERROR(SEARCH("임차",E906),0)&gt;0,"임차·시설",IF(IFERROR(SEARCH("광고",E906),0)&gt;0,"광고·행사",IF(IFERROR(SEARCH("용역",E906),0)&gt;0,"용역·수수료","기타/불명"))))))</x:f>
      </x:c>
      <x:c r="J906" s="77" t="str">
        <x:f>IF(A906="","",IF(I906="기타/불명","확인 필요","결의서명으로 1차 확인"))</x:f>
      </x:c>
      <x:c r="K906" s="78"/>
    </x:row>
    <x:row r="907">
      <x:c r="A907" s="73"/>
      <x:c r="B907" s="73"/>
      <x:c r="C907" s="74"/>
      <x:c r="D907" s="73"/>
      <x:c r="E907" s="73"/>
      <x:c r="F907" s="75"/>
      <x:c r="G907" s="75"/>
      <x:c r="H907" s="76" t="str">
        <x:f>IF(A907="","",F907-G907)</x:f>
      </x:c>
      <x:c r="I907" s="77" t="str">
        <x:f>IF(A907="","",IF(E907="","기타/불명",IF(IFERROR(SEARCH("급여",E907),0)&gt;0,"인건비",IF(IFERROR(SEARCH("임차",E907),0)&gt;0,"임차·시설",IF(IFERROR(SEARCH("광고",E907),0)&gt;0,"광고·행사",IF(IFERROR(SEARCH("용역",E907),0)&gt;0,"용역·수수료","기타/불명"))))))</x:f>
      </x:c>
      <x:c r="J907" s="77" t="str">
        <x:f>IF(A907="","",IF(I907="기타/불명","확인 필요","결의서명으로 1차 확인"))</x:f>
      </x:c>
      <x:c r="K907" s="78"/>
    </x:row>
    <x:row r="908">
      <x:c r="A908" s="73"/>
      <x:c r="B908" s="73"/>
      <x:c r="C908" s="74"/>
      <x:c r="D908" s="73"/>
      <x:c r="E908" s="73"/>
      <x:c r="F908" s="75"/>
      <x:c r="G908" s="75"/>
      <x:c r="H908" s="76" t="str">
        <x:f>IF(A908="","",F908-G908)</x:f>
      </x:c>
      <x:c r="I908" s="77" t="str">
        <x:f>IF(A908="","",IF(E908="","기타/불명",IF(IFERROR(SEARCH("급여",E908),0)&gt;0,"인건비",IF(IFERROR(SEARCH("임차",E908),0)&gt;0,"임차·시설",IF(IFERROR(SEARCH("광고",E908),0)&gt;0,"광고·행사",IF(IFERROR(SEARCH("용역",E908),0)&gt;0,"용역·수수료","기타/불명"))))))</x:f>
      </x:c>
      <x:c r="J908" s="77" t="str">
        <x:f>IF(A908="","",IF(I908="기타/불명","확인 필요","결의서명으로 1차 확인"))</x:f>
      </x:c>
      <x:c r="K908" s="78"/>
    </x:row>
    <x:row r="909">
      <x:c r="A909" s="73"/>
      <x:c r="B909" s="73"/>
      <x:c r="C909" s="74"/>
      <x:c r="D909" s="73"/>
      <x:c r="E909" s="73"/>
      <x:c r="F909" s="75"/>
      <x:c r="G909" s="75"/>
      <x:c r="H909" s="76" t="str">
        <x:f>IF(A909="","",F909-G909)</x:f>
      </x:c>
      <x:c r="I909" s="77" t="str">
        <x:f>IF(A909="","",IF(E909="","기타/불명",IF(IFERROR(SEARCH("급여",E909),0)&gt;0,"인건비",IF(IFERROR(SEARCH("임차",E909),0)&gt;0,"임차·시설",IF(IFERROR(SEARCH("광고",E909),0)&gt;0,"광고·행사",IF(IFERROR(SEARCH("용역",E909),0)&gt;0,"용역·수수료","기타/불명"))))))</x:f>
      </x:c>
      <x:c r="J909" s="77" t="str">
        <x:f>IF(A909="","",IF(I909="기타/불명","확인 필요","결의서명으로 1차 확인"))</x:f>
      </x:c>
      <x:c r="K909" s="78"/>
    </x:row>
    <x:row r="910">
      <x:c r="A910" s="73"/>
      <x:c r="B910" s="73"/>
      <x:c r="C910" s="74"/>
      <x:c r="D910" s="73"/>
      <x:c r="E910" s="73"/>
      <x:c r="F910" s="75"/>
      <x:c r="G910" s="75"/>
      <x:c r="H910" s="76" t="str">
        <x:f>IF(A910="","",F910-G910)</x:f>
      </x:c>
      <x:c r="I910" s="77" t="str">
        <x:f>IF(A910="","",IF(E910="","기타/불명",IF(IFERROR(SEARCH("급여",E910),0)&gt;0,"인건비",IF(IFERROR(SEARCH("임차",E910),0)&gt;0,"임차·시설",IF(IFERROR(SEARCH("광고",E910),0)&gt;0,"광고·행사",IF(IFERROR(SEARCH("용역",E910),0)&gt;0,"용역·수수료","기타/불명"))))))</x:f>
      </x:c>
      <x:c r="J910" s="77" t="str">
        <x:f>IF(A910="","",IF(I910="기타/불명","확인 필요","결의서명으로 1차 확인"))</x:f>
      </x:c>
      <x:c r="K910" s="78"/>
    </x:row>
    <x:row r="911">
      <x:c r="A911" s="73"/>
      <x:c r="B911" s="73"/>
      <x:c r="C911" s="74"/>
      <x:c r="D911" s="73"/>
      <x:c r="E911" s="73"/>
      <x:c r="F911" s="75"/>
      <x:c r="G911" s="75"/>
      <x:c r="H911" s="76" t="str">
        <x:f>IF(A911="","",F911-G911)</x:f>
      </x:c>
      <x:c r="I911" s="77" t="str">
        <x:f>IF(A911="","",IF(E911="","기타/불명",IF(IFERROR(SEARCH("급여",E911),0)&gt;0,"인건비",IF(IFERROR(SEARCH("임차",E911),0)&gt;0,"임차·시설",IF(IFERROR(SEARCH("광고",E911),0)&gt;0,"광고·행사",IF(IFERROR(SEARCH("용역",E911),0)&gt;0,"용역·수수료","기타/불명"))))))</x:f>
      </x:c>
      <x:c r="J911" s="77" t="str">
        <x:f>IF(A911="","",IF(I911="기타/불명","확인 필요","결의서명으로 1차 확인"))</x:f>
      </x:c>
      <x:c r="K911" s="78"/>
    </x:row>
    <x:row r="912">
      <x:c r="A912" s="73"/>
      <x:c r="B912" s="73"/>
      <x:c r="C912" s="74"/>
      <x:c r="D912" s="73"/>
      <x:c r="E912" s="73"/>
      <x:c r="F912" s="75"/>
      <x:c r="G912" s="75"/>
      <x:c r="H912" s="76" t="str">
        <x:f>IF(A912="","",F912-G912)</x:f>
      </x:c>
      <x:c r="I912" s="77" t="str">
        <x:f>IF(A912="","",IF(E912="","기타/불명",IF(IFERROR(SEARCH("급여",E912),0)&gt;0,"인건비",IF(IFERROR(SEARCH("임차",E912),0)&gt;0,"임차·시설",IF(IFERROR(SEARCH("광고",E912),0)&gt;0,"광고·행사",IF(IFERROR(SEARCH("용역",E912),0)&gt;0,"용역·수수료","기타/불명"))))))</x:f>
      </x:c>
      <x:c r="J912" s="77" t="str">
        <x:f>IF(A912="","",IF(I912="기타/불명","확인 필요","결의서명으로 1차 확인"))</x:f>
      </x:c>
      <x:c r="K912" s="78"/>
    </x:row>
    <x:row r="913">
      <x:c r="A913" s="73"/>
      <x:c r="B913" s="73"/>
      <x:c r="C913" s="74"/>
      <x:c r="D913" s="73"/>
      <x:c r="E913" s="73"/>
      <x:c r="F913" s="75"/>
      <x:c r="G913" s="75"/>
      <x:c r="H913" s="76" t="str">
        <x:f>IF(A913="","",F913-G913)</x:f>
      </x:c>
      <x:c r="I913" s="77" t="str">
        <x:f>IF(A913="","",IF(E913="","기타/불명",IF(IFERROR(SEARCH("급여",E913),0)&gt;0,"인건비",IF(IFERROR(SEARCH("임차",E913),0)&gt;0,"임차·시설",IF(IFERROR(SEARCH("광고",E913),0)&gt;0,"광고·행사",IF(IFERROR(SEARCH("용역",E913),0)&gt;0,"용역·수수료","기타/불명"))))))</x:f>
      </x:c>
      <x:c r="J913" s="77" t="str">
        <x:f>IF(A913="","",IF(I913="기타/불명","확인 필요","결의서명으로 1차 확인"))</x:f>
      </x:c>
      <x:c r="K913" s="78"/>
    </x:row>
    <x:row r="914">
      <x:c r="A914" s="73"/>
      <x:c r="B914" s="73"/>
      <x:c r="C914" s="74"/>
      <x:c r="D914" s="73"/>
      <x:c r="E914" s="73"/>
      <x:c r="F914" s="75"/>
      <x:c r="G914" s="75"/>
      <x:c r="H914" s="76" t="str">
        <x:f>IF(A914="","",F914-G914)</x:f>
      </x:c>
      <x:c r="I914" s="77" t="str">
        <x:f>IF(A914="","",IF(E914="","기타/불명",IF(IFERROR(SEARCH("급여",E914),0)&gt;0,"인건비",IF(IFERROR(SEARCH("임차",E914),0)&gt;0,"임차·시설",IF(IFERROR(SEARCH("광고",E914),0)&gt;0,"광고·행사",IF(IFERROR(SEARCH("용역",E914),0)&gt;0,"용역·수수료","기타/불명"))))))</x:f>
      </x:c>
      <x:c r="J914" s="77" t="str">
        <x:f>IF(A914="","",IF(I914="기타/불명","확인 필요","결의서명으로 1차 확인"))</x:f>
      </x:c>
      <x:c r="K914" s="78"/>
    </x:row>
    <x:row r="915">
      <x:c r="A915" s="73"/>
      <x:c r="B915" s="73"/>
      <x:c r="C915" s="74"/>
      <x:c r="D915" s="73"/>
      <x:c r="E915" s="73"/>
      <x:c r="F915" s="75"/>
      <x:c r="G915" s="75"/>
      <x:c r="H915" s="76" t="str">
        <x:f>IF(A915="","",F915-G915)</x:f>
      </x:c>
      <x:c r="I915" s="77" t="str">
        <x:f>IF(A915="","",IF(E915="","기타/불명",IF(IFERROR(SEARCH("급여",E915),0)&gt;0,"인건비",IF(IFERROR(SEARCH("임차",E915),0)&gt;0,"임차·시설",IF(IFERROR(SEARCH("광고",E915),0)&gt;0,"광고·행사",IF(IFERROR(SEARCH("용역",E915),0)&gt;0,"용역·수수료","기타/불명"))))))</x:f>
      </x:c>
      <x:c r="J915" s="77" t="str">
        <x:f>IF(A915="","",IF(I915="기타/불명","확인 필요","결의서명으로 1차 확인"))</x:f>
      </x:c>
      <x:c r="K915" s="78"/>
    </x:row>
    <x:row r="916">
      <x:c r="A916" s="73"/>
      <x:c r="B916" s="73"/>
      <x:c r="C916" s="74"/>
      <x:c r="D916" s="73"/>
      <x:c r="E916" s="73"/>
      <x:c r="F916" s="75"/>
      <x:c r="G916" s="75"/>
      <x:c r="H916" s="76" t="str">
        <x:f>IF(A916="","",F916-G916)</x:f>
      </x:c>
      <x:c r="I916" s="77" t="str">
        <x:f>IF(A916="","",IF(E916="","기타/불명",IF(IFERROR(SEARCH("급여",E916),0)&gt;0,"인건비",IF(IFERROR(SEARCH("임차",E916),0)&gt;0,"임차·시설",IF(IFERROR(SEARCH("광고",E916),0)&gt;0,"광고·행사",IF(IFERROR(SEARCH("용역",E916),0)&gt;0,"용역·수수료","기타/불명"))))))</x:f>
      </x:c>
      <x:c r="J916" s="77" t="str">
        <x:f>IF(A916="","",IF(I916="기타/불명","확인 필요","결의서명으로 1차 확인"))</x:f>
      </x:c>
      <x:c r="K916" s="78"/>
    </x:row>
    <x:row r="917">
      <x:c r="A917" s="73"/>
      <x:c r="B917" s="73"/>
      <x:c r="C917" s="74"/>
      <x:c r="D917" s="73"/>
      <x:c r="E917" s="73"/>
      <x:c r="F917" s="75"/>
      <x:c r="G917" s="75"/>
      <x:c r="H917" s="76" t="str">
        <x:f>IF(A917="","",F917-G917)</x:f>
      </x:c>
      <x:c r="I917" s="77" t="str">
        <x:f>IF(A917="","",IF(E917="","기타/불명",IF(IFERROR(SEARCH("급여",E917),0)&gt;0,"인건비",IF(IFERROR(SEARCH("임차",E917),0)&gt;0,"임차·시설",IF(IFERROR(SEARCH("광고",E917),0)&gt;0,"광고·행사",IF(IFERROR(SEARCH("용역",E917),0)&gt;0,"용역·수수료","기타/불명"))))))</x:f>
      </x:c>
      <x:c r="J917" s="77" t="str">
        <x:f>IF(A917="","",IF(I917="기타/불명","확인 필요","결의서명으로 1차 확인"))</x:f>
      </x:c>
      <x:c r="K917" s="78"/>
    </x:row>
    <x:row r="918">
      <x:c r="A918" s="73"/>
      <x:c r="B918" s="73"/>
      <x:c r="C918" s="74"/>
      <x:c r="D918" s="73"/>
      <x:c r="E918" s="73"/>
      <x:c r="F918" s="75"/>
      <x:c r="G918" s="75"/>
      <x:c r="H918" s="76" t="str">
        <x:f>IF(A918="","",F918-G918)</x:f>
      </x:c>
      <x:c r="I918" s="77" t="str">
        <x:f>IF(A918="","",IF(E918="","기타/불명",IF(IFERROR(SEARCH("급여",E918),0)&gt;0,"인건비",IF(IFERROR(SEARCH("임차",E918),0)&gt;0,"임차·시설",IF(IFERROR(SEARCH("광고",E918),0)&gt;0,"광고·행사",IF(IFERROR(SEARCH("용역",E918),0)&gt;0,"용역·수수료","기타/불명"))))))</x:f>
      </x:c>
      <x:c r="J918" s="77" t="str">
        <x:f>IF(A918="","",IF(I918="기타/불명","확인 필요","결의서명으로 1차 확인"))</x:f>
      </x:c>
      <x:c r="K918" s="78"/>
    </x:row>
    <x:row r="919">
      <x:c r="A919" s="73"/>
      <x:c r="B919" s="73"/>
      <x:c r="C919" s="74"/>
      <x:c r="D919" s="73"/>
      <x:c r="E919" s="73"/>
      <x:c r="F919" s="75"/>
      <x:c r="G919" s="75"/>
      <x:c r="H919" s="76" t="str">
        <x:f>IF(A919="","",F919-G919)</x:f>
      </x:c>
      <x:c r="I919" s="77" t="str">
        <x:f>IF(A919="","",IF(E919="","기타/불명",IF(IFERROR(SEARCH("급여",E919),0)&gt;0,"인건비",IF(IFERROR(SEARCH("임차",E919),0)&gt;0,"임차·시설",IF(IFERROR(SEARCH("광고",E919),0)&gt;0,"광고·행사",IF(IFERROR(SEARCH("용역",E919),0)&gt;0,"용역·수수료","기타/불명"))))))</x:f>
      </x:c>
      <x:c r="J919" s="77" t="str">
        <x:f>IF(A919="","",IF(I919="기타/불명","확인 필요","결의서명으로 1차 확인"))</x:f>
      </x:c>
      <x:c r="K919" s="78"/>
    </x:row>
    <x:row r="920">
      <x:c r="A920" s="73"/>
      <x:c r="B920" s="73"/>
      <x:c r="C920" s="74"/>
      <x:c r="D920" s="73"/>
      <x:c r="E920" s="73"/>
      <x:c r="F920" s="75"/>
      <x:c r="G920" s="75"/>
      <x:c r="H920" s="76" t="str">
        <x:f>IF(A920="","",F920-G920)</x:f>
      </x:c>
      <x:c r="I920" s="77" t="str">
        <x:f>IF(A920="","",IF(E920="","기타/불명",IF(IFERROR(SEARCH("급여",E920),0)&gt;0,"인건비",IF(IFERROR(SEARCH("임차",E920),0)&gt;0,"임차·시설",IF(IFERROR(SEARCH("광고",E920),0)&gt;0,"광고·행사",IF(IFERROR(SEARCH("용역",E920),0)&gt;0,"용역·수수료","기타/불명"))))))</x:f>
      </x:c>
      <x:c r="J920" s="77" t="str">
        <x:f>IF(A920="","",IF(I920="기타/불명","확인 필요","결의서명으로 1차 확인"))</x:f>
      </x:c>
      <x:c r="K920" s="78"/>
    </x:row>
    <x:row r="921">
      <x:c r="A921" s="73"/>
      <x:c r="B921" s="73"/>
      <x:c r="C921" s="74"/>
      <x:c r="D921" s="73"/>
      <x:c r="E921" s="73"/>
      <x:c r="F921" s="75"/>
      <x:c r="G921" s="75"/>
      <x:c r="H921" s="76" t="str">
        <x:f>IF(A921="","",F921-G921)</x:f>
      </x:c>
      <x:c r="I921" s="77" t="str">
        <x:f>IF(A921="","",IF(E921="","기타/불명",IF(IFERROR(SEARCH("급여",E921),0)&gt;0,"인건비",IF(IFERROR(SEARCH("임차",E921),0)&gt;0,"임차·시설",IF(IFERROR(SEARCH("광고",E921),0)&gt;0,"광고·행사",IF(IFERROR(SEARCH("용역",E921),0)&gt;0,"용역·수수료","기타/불명"))))))</x:f>
      </x:c>
      <x:c r="J921" s="77" t="str">
        <x:f>IF(A921="","",IF(I921="기타/불명","확인 필요","결의서명으로 1차 확인"))</x:f>
      </x:c>
      <x:c r="K921" s="78"/>
    </x:row>
    <x:row r="922">
      <x:c r="A922" s="73"/>
      <x:c r="B922" s="73"/>
      <x:c r="C922" s="74"/>
      <x:c r="D922" s="73"/>
      <x:c r="E922" s="73"/>
      <x:c r="F922" s="75"/>
      <x:c r="G922" s="75"/>
      <x:c r="H922" s="76" t="str">
        <x:f>IF(A922="","",F922-G922)</x:f>
      </x:c>
      <x:c r="I922" s="77" t="str">
        <x:f>IF(A922="","",IF(E922="","기타/불명",IF(IFERROR(SEARCH("급여",E922),0)&gt;0,"인건비",IF(IFERROR(SEARCH("임차",E922),0)&gt;0,"임차·시설",IF(IFERROR(SEARCH("광고",E922),0)&gt;0,"광고·행사",IF(IFERROR(SEARCH("용역",E922),0)&gt;0,"용역·수수료","기타/불명"))))))</x:f>
      </x:c>
      <x:c r="J922" s="77" t="str">
        <x:f>IF(A922="","",IF(I922="기타/불명","확인 필요","결의서명으로 1차 확인"))</x:f>
      </x:c>
      <x:c r="K922" s="78"/>
    </x:row>
    <x:row r="923">
      <x:c r="A923" s="73"/>
      <x:c r="B923" s="73"/>
      <x:c r="C923" s="74"/>
      <x:c r="D923" s="73"/>
      <x:c r="E923" s="73"/>
      <x:c r="F923" s="75"/>
      <x:c r="G923" s="75"/>
      <x:c r="H923" s="76" t="str">
        <x:f>IF(A923="","",F923-G923)</x:f>
      </x:c>
      <x:c r="I923" s="77" t="str">
        <x:f>IF(A923="","",IF(E923="","기타/불명",IF(IFERROR(SEARCH("급여",E923),0)&gt;0,"인건비",IF(IFERROR(SEARCH("임차",E923),0)&gt;0,"임차·시설",IF(IFERROR(SEARCH("광고",E923),0)&gt;0,"광고·행사",IF(IFERROR(SEARCH("용역",E923),0)&gt;0,"용역·수수료","기타/불명"))))))</x:f>
      </x:c>
      <x:c r="J923" s="77" t="str">
        <x:f>IF(A923="","",IF(I923="기타/불명","확인 필요","결의서명으로 1차 확인"))</x:f>
      </x:c>
      <x:c r="K923" s="78"/>
    </x:row>
    <x:row r="924">
      <x:c r="A924" s="73"/>
      <x:c r="B924" s="73"/>
      <x:c r="C924" s="74"/>
      <x:c r="D924" s="73"/>
      <x:c r="E924" s="73"/>
      <x:c r="F924" s="75"/>
      <x:c r="G924" s="75"/>
      <x:c r="H924" s="76" t="str">
        <x:f>IF(A924="","",F924-G924)</x:f>
      </x:c>
      <x:c r="I924" s="77" t="str">
        <x:f>IF(A924="","",IF(E924="","기타/불명",IF(IFERROR(SEARCH("급여",E924),0)&gt;0,"인건비",IF(IFERROR(SEARCH("임차",E924),0)&gt;0,"임차·시설",IF(IFERROR(SEARCH("광고",E924),0)&gt;0,"광고·행사",IF(IFERROR(SEARCH("용역",E924),0)&gt;0,"용역·수수료","기타/불명"))))))</x:f>
      </x:c>
      <x:c r="J924" s="77" t="str">
        <x:f>IF(A924="","",IF(I924="기타/불명","확인 필요","결의서명으로 1차 확인"))</x:f>
      </x:c>
      <x:c r="K924" s="78"/>
    </x:row>
    <x:row r="925">
      <x:c r="A925" s="73"/>
      <x:c r="B925" s="73"/>
      <x:c r="C925" s="74"/>
      <x:c r="D925" s="73"/>
      <x:c r="E925" s="73"/>
      <x:c r="F925" s="75"/>
      <x:c r="G925" s="75"/>
      <x:c r="H925" s="76" t="str">
        <x:f>IF(A925="","",F925-G925)</x:f>
      </x:c>
      <x:c r="I925" s="77" t="str">
        <x:f>IF(A925="","",IF(E925="","기타/불명",IF(IFERROR(SEARCH("급여",E925),0)&gt;0,"인건비",IF(IFERROR(SEARCH("임차",E925),0)&gt;0,"임차·시설",IF(IFERROR(SEARCH("광고",E925),0)&gt;0,"광고·행사",IF(IFERROR(SEARCH("용역",E925),0)&gt;0,"용역·수수료","기타/불명"))))))</x:f>
      </x:c>
      <x:c r="J925" s="77" t="str">
        <x:f>IF(A925="","",IF(I925="기타/불명","확인 필요","결의서명으로 1차 확인"))</x:f>
      </x:c>
      <x:c r="K925" s="78"/>
    </x:row>
    <x:row r="926">
      <x:c r="A926" s="73"/>
      <x:c r="B926" s="73"/>
      <x:c r="C926" s="74"/>
      <x:c r="D926" s="73"/>
      <x:c r="E926" s="73"/>
      <x:c r="F926" s="75"/>
      <x:c r="G926" s="75"/>
      <x:c r="H926" s="76" t="str">
        <x:f>IF(A926="","",F926-G926)</x:f>
      </x:c>
      <x:c r="I926" s="77" t="str">
        <x:f>IF(A926="","",IF(E926="","기타/불명",IF(IFERROR(SEARCH("급여",E926),0)&gt;0,"인건비",IF(IFERROR(SEARCH("임차",E926),0)&gt;0,"임차·시설",IF(IFERROR(SEARCH("광고",E926),0)&gt;0,"광고·행사",IF(IFERROR(SEARCH("용역",E926),0)&gt;0,"용역·수수료","기타/불명"))))))</x:f>
      </x:c>
      <x:c r="J926" s="77" t="str">
        <x:f>IF(A926="","",IF(I926="기타/불명","확인 필요","결의서명으로 1차 확인"))</x:f>
      </x:c>
      <x:c r="K926" s="78"/>
    </x:row>
    <x:row r="927">
      <x:c r="A927" s="73"/>
      <x:c r="B927" s="73"/>
      <x:c r="C927" s="74"/>
      <x:c r="D927" s="73"/>
      <x:c r="E927" s="73"/>
      <x:c r="F927" s="75"/>
      <x:c r="G927" s="75"/>
      <x:c r="H927" s="76" t="str">
        <x:f>IF(A927="","",F927-G927)</x:f>
      </x:c>
      <x:c r="I927" s="77" t="str">
        <x:f>IF(A927="","",IF(E927="","기타/불명",IF(IFERROR(SEARCH("급여",E927),0)&gt;0,"인건비",IF(IFERROR(SEARCH("임차",E927),0)&gt;0,"임차·시설",IF(IFERROR(SEARCH("광고",E927),0)&gt;0,"광고·행사",IF(IFERROR(SEARCH("용역",E927),0)&gt;0,"용역·수수료","기타/불명"))))))</x:f>
      </x:c>
      <x:c r="J927" s="77" t="str">
        <x:f>IF(A927="","",IF(I927="기타/불명","확인 필요","결의서명으로 1차 확인"))</x:f>
      </x:c>
      <x:c r="K927" s="78"/>
    </x:row>
    <x:row r="928">
      <x:c r="A928" s="73"/>
      <x:c r="B928" s="73"/>
      <x:c r="C928" s="74"/>
      <x:c r="D928" s="73"/>
      <x:c r="E928" s="73"/>
      <x:c r="F928" s="75"/>
      <x:c r="G928" s="75"/>
      <x:c r="H928" s="76" t="str">
        <x:f>IF(A928="","",F928-G928)</x:f>
      </x:c>
      <x:c r="I928" s="77" t="str">
        <x:f>IF(A928="","",IF(E928="","기타/불명",IF(IFERROR(SEARCH("급여",E928),0)&gt;0,"인건비",IF(IFERROR(SEARCH("임차",E928),0)&gt;0,"임차·시설",IF(IFERROR(SEARCH("광고",E928),0)&gt;0,"광고·행사",IF(IFERROR(SEARCH("용역",E928),0)&gt;0,"용역·수수료","기타/불명"))))))</x:f>
      </x:c>
      <x:c r="J928" s="77" t="str">
        <x:f>IF(A928="","",IF(I928="기타/불명","확인 필요","결의서명으로 1차 확인"))</x:f>
      </x:c>
      <x:c r="K928" s="78"/>
    </x:row>
    <x:row r="929">
      <x:c r="A929" s="73"/>
      <x:c r="B929" s="73"/>
      <x:c r="C929" s="74"/>
      <x:c r="D929" s="73"/>
      <x:c r="E929" s="73"/>
      <x:c r="F929" s="75"/>
      <x:c r="G929" s="75"/>
      <x:c r="H929" s="76" t="str">
        <x:f>IF(A929="","",F929-G929)</x:f>
      </x:c>
      <x:c r="I929" s="77" t="str">
        <x:f>IF(A929="","",IF(E929="","기타/불명",IF(IFERROR(SEARCH("급여",E929),0)&gt;0,"인건비",IF(IFERROR(SEARCH("임차",E929),0)&gt;0,"임차·시설",IF(IFERROR(SEARCH("광고",E929),0)&gt;0,"광고·행사",IF(IFERROR(SEARCH("용역",E929),0)&gt;0,"용역·수수료","기타/불명"))))))</x:f>
      </x:c>
      <x:c r="J929" s="77" t="str">
        <x:f>IF(A929="","",IF(I929="기타/불명","확인 필요","결의서명으로 1차 확인"))</x:f>
      </x:c>
      <x:c r="K929" s="78"/>
    </x:row>
    <x:row r="930">
      <x:c r="A930" s="73"/>
      <x:c r="B930" s="73"/>
      <x:c r="C930" s="74"/>
      <x:c r="D930" s="73"/>
      <x:c r="E930" s="73"/>
      <x:c r="F930" s="75"/>
      <x:c r="G930" s="75"/>
      <x:c r="H930" s="76" t="str">
        <x:f>IF(A930="","",F930-G930)</x:f>
      </x:c>
      <x:c r="I930" s="77" t="str">
        <x:f>IF(A930="","",IF(E930="","기타/불명",IF(IFERROR(SEARCH("급여",E930),0)&gt;0,"인건비",IF(IFERROR(SEARCH("임차",E930),0)&gt;0,"임차·시설",IF(IFERROR(SEARCH("광고",E930),0)&gt;0,"광고·행사",IF(IFERROR(SEARCH("용역",E930),0)&gt;0,"용역·수수료","기타/불명"))))))</x:f>
      </x:c>
      <x:c r="J930" s="77" t="str">
        <x:f>IF(A930="","",IF(I930="기타/불명","확인 필요","결의서명으로 1차 확인"))</x:f>
      </x:c>
      <x:c r="K930" s="78"/>
    </x:row>
    <x:row r="931">
      <x:c r="A931" s="73"/>
      <x:c r="B931" s="73"/>
      <x:c r="C931" s="74"/>
      <x:c r="D931" s="73"/>
      <x:c r="E931" s="73"/>
      <x:c r="F931" s="75"/>
      <x:c r="G931" s="75"/>
      <x:c r="H931" s="76" t="str">
        <x:f>IF(A931="","",F931-G931)</x:f>
      </x:c>
      <x:c r="I931" s="77" t="str">
        <x:f>IF(A931="","",IF(E931="","기타/불명",IF(IFERROR(SEARCH("급여",E931),0)&gt;0,"인건비",IF(IFERROR(SEARCH("임차",E931),0)&gt;0,"임차·시설",IF(IFERROR(SEARCH("광고",E931),0)&gt;0,"광고·행사",IF(IFERROR(SEARCH("용역",E931),0)&gt;0,"용역·수수료","기타/불명"))))))</x:f>
      </x:c>
      <x:c r="J931" s="77" t="str">
        <x:f>IF(A931="","",IF(I931="기타/불명","확인 필요","결의서명으로 1차 확인"))</x:f>
      </x:c>
      <x:c r="K931" s="78"/>
    </x:row>
    <x:row r="932">
      <x:c r="A932" s="73"/>
      <x:c r="B932" s="73"/>
      <x:c r="C932" s="74"/>
      <x:c r="D932" s="73"/>
      <x:c r="E932" s="73"/>
      <x:c r="F932" s="75"/>
      <x:c r="G932" s="75"/>
      <x:c r="H932" s="76" t="str">
        <x:f>IF(A932="","",F932-G932)</x:f>
      </x:c>
      <x:c r="I932" s="77" t="str">
        <x:f>IF(A932="","",IF(E932="","기타/불명",IF(IFERROR(SEARCH("급여",E932),0)&gt;0,"인건비",IF(IFERROR(SEARCH("임차",E932),0)&gt;0,"임차·시설",IF(IFERROR(SEARCH("광고",E932),0)&gt;0,"광고·행사",IF(IFERROR(SEARCH("용역",E932),0)&gt;0,"용역·수수료","기타/불명"))))))</x:f>
      </x:c>
      <x:c r="J932" s="77" t="str">
        <x:f>IF(A932="","",IF(I932="기타/불명","확인 필요","결의서명으로 1차 확인"))</x:f>
      </x:c>
      <x:c r="K932" s="78"/>
    </x:row>
    <x:row r="933">
      <x:c r="A933" s="73"/>
      <x:c r="B933" s="73"/>
      <x:c r="C933" s="74"/>
      <x:c r="D933" s="73"/>
      <x:c r="E933" s="73"/>
      <x:c r="F933" s="75"/>
      <x:c r="G933" s="75"/>
      <x:c r="H933" s="76" t="str">
        <x:f>IF(A933="","",F933-G933)</x:f>
      </x:c>
      <x:c r="I933" s="77" t="str">
        <x:f>IF(A933="","",IF(E933="","기타/불명",IF(IFERROR(SEARCH("급여",E933),0)&gt;0,"인건비",IF(IFERROR(SEARCH("임차",E933),0)&gt;0,"임차·시설",IF(IFERROR(SEARCH("광고",E933),0)&gt;0,"광고·행사",IF(IFERROR(SEARCH("용역",E933),0)&gt;0,"용역·수수료","기타/불명"))))))</x:f>
      </x:c>
      <x:c r="J933" s="77" t="str">
        <x:f>IF(A933="","",IF(I933="기타/불명","확인 필요","결의서명으로 1차 확인"))</x:f>
      </x:c>
      <x:c r="K933" s="78"/>
    </x:row>
    <x:row r="934">
      <x:c r="A934" s="73"/>
      <x:c r="B934" s="73"/>
      <x:c r="C934" s="74"/>
      <x:c r="D934" s="73"/>
      <x:c r="E934" s="73"/>
      <x:c r="F934" s="75"/>
      <x:c r="G934" s="75"/>
      <x:c r="H934" s="76" t="str">
        <x:f>IF(A934="","",F934-G934)</x:f>
      </x:c>
      <x:c r="I934" s="77" t="str">
        <x:f>IF(A934="","",IF(E934="","기타/불명",IF(IFERROR(SEARCH("급여",E934),0)&gt;0,"인건비",IF(IFERROR(SEARCH("임차",E934),0)&gt;0,"임차·시설",IF(IFERROR(SEARCH("광고",E934),0)&gt;0,"광고·행사",IF(IFERROR(SEARCH("용역",E934),0)&gt;0,"용역·수수료","기타/불명"))))))</x:f>
      </x:c>
      <x:c r="J934" s="77" t="str">
        <x:f>IF(A934="","",IF(I934="기타/불명","확인 필요","결의서명으로 1차 확인"))</x:f>
      </x:c>
      <x:c r="K934" s="78"/>
    </x:row>
    <x:row r="935">
      <x:c r="A935" s="73"/>
      <x:c r="B935" s="73"/>
      <x:c r="C935" s="74"/>
      <x:c r="D935" s="73"/>
      <x:c r="E935" s="73"/>
      <x:c r="F935" s="75"/>
      <x:c r="G935" s="75"/>
      <x:c r="H935" s="76" t="str">
        <x:f>IF(A935="","",F935-G935)</x:f>
      </x:c>
      <x:c r="I935" s="77" t="str">
        <x:f>IF(A935="","",IF(E935="","기타/불명",IF(IFERROR(SEARCH("급여",E935),0)&gt;0,"인건비",IF(IFERROR(SEARCH("임차",E935),0)&gt;0,"임차·시설",IF(IFERROR(SEARCH("광고",E935),0)&gt;0,"광고·행사",IF(IFERROR(SEARCH("용역",E935),0)&gt;0,"용역·수수료","기타/불명"))))))</x:f>
      </x:c>
      <x:c r="J935" s="77" t="str">
        <x:f>IF(A935="","",IF(I935="기타/불명","확인 필요","결의서명으로 1차 확인"))</x:f>
      </x:c>
      <x:c r="K935" s="78"/>
    </x:row>
    <x:row r="936">
      <x:c r="A936" s="73"/>
      <x:c r="B936" s="73"/>
      <x:c r="C936" s="74"/>
      <x:c r="D936" s="73"/>
      <x:c r="E936" s="73"/>
      <x:c r="F936" s="75"/>
      <x:c r="G936" s="75"/>
      <x:c r="H936" s="76" t="str">
        <x:f>IF(A936="","",F936-G936)</x:f>
      </x:c>
      <x:c r="I936" s="77" t="str">
        <x:f>IF(A936="","",IF(E936="","기타/불명",IF(IFERROR(SEARCH("급여",E936),0)&gt;0,"인건비",IF(IFERROR(SEARCH("임차",E936),0)&gt;0,"임차·시설",IF(IFERROR(SEARCH("광고",E936),0)&gt;0,"광고·행사",IF(IFERROR(SEARCH("용역",E936),0)&gt;0,"용역·수수료","기타/불명"))))))</x:f>
      </x:c>
      <x:c r="J936" s="77" t="str">
        <x:f>IF(A936="","",IF(I936="기타/불명","확인 필요","결의서명으로 1차 확인"))</x:f>
      </x:c>
      <x:c r="K936" s="78"/>
    </x:row>
    <x:row r="937">
      <x:c r="A937" s="73"/>
      <x:c r="B937" s="73"/>
      <x:c r="C937" s="74"/>
      <x:c r="D937" s="73"/>
      <x:c r="E937" s="73"/>
      <x:c r="F937" s="75"/>
      <x:c r="G937" s="75"/>
      <x:c r="H937" s="76" t="str">
        <x:f>IF(A937="","",F937-G937)</x:f>
      </x:c>
      <x:c r="I937" s="77" t="str">
        <x:f>IF(A937="","",IF(E937="","기타/불명",IF(IFERROR(SEARCH("급여",E937),0)&gt;0,"인건비",IF(IFERROR(SEARCH("임차",E937),0)&gt;0,"임차·시설",IF(IFERROR(SEARCH("광고",E937),0)&gt;0,"광고·행사",IF(IFERROR(SEARCH("용역",E937),0)&gt;0,"용역·수수료","기타/불명"))))))</x:f>
      </x:c>
      <x:c r="J937" s="77" t="str">
        <x:f>IF(A937="","",IF(I937="기타/불명","확인 필요","결의서명으로 1차 확인"))</x:f>
      </x:c>
      <x:c r="K937" s="78"/>
    </x:row>
    <x:row r="938">
      <x:c r="A938" s="73"/>
      <x:c r="B938" s="73"/>
      <x:c r="C938" s="74"/>
      <x:c r="D938" s="73"/>
      <x:c r="E938" s="73"/>
      <x:c r="F938" s="75"/>
      <x:c r="G938" s="75"/>
      <x:c r="H938" s="76" t="str">
        <x:f>IF(A938="","",F938-G938)</x:f>
      </x:c>
      <x:c r="I938" s="77" t="str">
        <x:f>IF(A938="","",IF(E938="","기타/불명",IF(IFERROR(SEARCH("급여",E938),0)&gt;0,"인건비",IF(IFERROR(SEARCH("임차",E938),0)&gt;0,"임차·시설",IF(IFERROR(SEARCH("광고",E938),0)&gt;0,"광고·행사",IF(IFERROR(SEARCH("용역",E938),0)&gt;0,"용역·수수료","기타/불명"))))))</x:f>
      </x:c>
      <x:c r="J938" s="77" t="str">
        <x:f>IF(A938="","",IF(I938="기타/불명","확인 필요","결의서명으로 1차 확인"))</x:f>
      </x:c>
      <x:c r="K938" s="78"/>
    </x:row>
    <x:row r="939">
      <x:c r="A939" s="73"/>
      <x:c r="B939" s="73"/>
      <x:c r="C939" s="74"/>
      <x:c r="D939" s="73"/>
      <x:c r="E939" s="73"/>
      <x:c r="F939" s="75"/>
      <x:c r="G939" s="75"/>
      <x:c r="H939" s="76" t="str">
        <x:f>IF(A939="","",F939-G939)</x:f>
      </x:c>
      <x:c r="I939" s="77" t="str">
        <x:f>IF(A939="","",IF(E939="","기타/불명",IF(IFERROR(SEARCH("급여",E939),0)&gt;0,"인건비",IF(IFERROR(SEARCH("임차",E939),0)&gt;0,"임차·시설",IF(IFERROR(SEARCH("광고",E939),0)&gt;0,"광고·행사",IF(IFERROR(SEARCH("용역",E939),0)&gt;0,"용역·수수료","기타/불명"))))))</x:f>
      </x:c>
      <x:c r="J939" s="77" t="str">
        <x:f>IF(A939="","",IF(I939="기타/불명","확인 필요","결의서명으로 1차 확인"))</x:f>
      </x:c>
      <x:c r="K939" s="78"/>
    </x:row>
    <x:row r="940">
      <x:c r="A940" s="73"/>
      <x:c r="B940" s="73"/>
      <x:c r="C940" s="74"/>
      <x:c r="D940" s="73"/>
      <x:c r="E940" s="73"/>
      <x:c r="F940" s="75"/>
      <x:c r="G940" s="75"/>
      <x:c r="H940" s="76" t="str">
        <x:f>IF(A940="","",F940-G940)</x:f>
      </x:c>
      <x:c r="I940" s="77" t="str">
        <x:f>IF(A940="","",IF(E940="","기타/불명",IF(IFERROR(SEARCH("급여",E940),0)&gt;0,"인건비",IF(IFERROR(SEARCH("임차",E940),0)&gt;0,"임차·시설",IF(IFERROR(SEARCH("광고",E940),0)&gt;0,"광고·행사",IF(IFERROR(SEARCH("용역",E940),0)&gt;0,"용역·수수료","기타/불명"))))))</x:f>
      </x:c>
      <x:c r="J940" s="77" t="str">
        <x:f>IF(A940="","",IF(I940="기타/불명","확인 필요","결의서명으로 1차 확인"))</x:f>
      </x:c>
      <x:c r="K940" s="78"/>
    </x:row>
    <x:row r="941">
      <x:c r="A941" s="73"/>
      <x:c r="B941" s="73"/>
      <x:c r="C941" s="74"/>
      <x:c r="D941" s="73"/>
      <x:c r="E941" s="73"/>
      <x:c r="F941" s="75"/>
      <x:c r="G941" s="75"/>
      <x:c r="H941" s="76" t="str">
        <x:f>IF(A941="","",F941-G941)</x:f>
      </x:c>
      <x:c r="I941" s="77" t="str">
        <x:f>IF(A941="","",IF(E941="","기타/불명",IF(IFERROR(SEARCH("급여",E941),0)&gt;0,"인건비",IF(IFERROR(SEARCH("임차",E941),0)&gt;0,"임차·시설",IF(IFERROR(SEARCH("광고",E941),0)&gt;0,"광고·행사",IF(IFERROR(SEARCH("용역",E941),0)&gt;0,"용역·수수료","기타/불명"))))))</x:f>
      </x:c>
      <x:c r="J941" s="77" t="str">
        <x:f>IF(A941="","",IF(I941="기타/불명","확인 필요","결의서명으로 1차 확인"))</x:f>
      </x:c>
      <x:c r="K941" s="78"/>
    </x:row>
    <x:row r="942">
      <x:c r="A942" s="73"/>
      <x:c r="B942" s="73"/>
      <x:c r="C942" s="74"/>
      <x:c r="D942" s="73"/>
      <x:c r="E942" s="73"/>
      <x:c r="F942" s="75"/>
      <x:c r="G942" s="75"/>
      <x:c r="H942" s="76" t="str">
        <x:f>IF(A942="","",F942-G942)</x:f>
      </x:c>
      <x:c r="I942" s="77" t="str">
        <x:f>IF(A942="","",IF(E942="","기타/불명",IF(IFERROR(SEARCH("급여",E942),0)&gt;0,"인건비",IF(IFERROR(SEARCH("임차",E942),0)&gt;0,"임차·시설",IF(IFERROR(SEARCH("광고",E942),0)&gt;0,"광고·행사",IF(IFERROR(SEARCH("용역",E942),0)&gt;0,"용역·수수료","기타/불명"))))))</x:f>
      </x:c>
      <x:c r="J942" s="77" t="str">
        <x:f>IF(A942="","",IF(I942="기타/불명","확인 필요","결의서명으로 1차 확인"))</x:f>
      </x:c>
      <x:c r="K942" s="78"/>
    </x:row>
    <x:row r="943">
      <x:c r="A943" s="73"/>
      <x:c r="B943" s="73"/>
      <x:c r="C943" s="74"/>
      <x:c r="D943" s="73"/>
      <x:c r="E943" s="73"/>
      <x:c r="F943" s="75"/>
      <x:c r="G943" s="75"/>
      <x:c r="H943" s="76" t="str">
        <x:f>IF(A943="","",F943-G943)</x:f>
      </x:c>
      <x:c r="I943" s="77" t="str">
        <x:f>IF(A943="","",IF(E943="","기타/불명",IF(IFERROR(SEARCH("급여",E943),0)&gt;0,"인건비",IF(IFERROR(SEARCH("임차",E943),0)&gt;0,"임차·시설",IF(IFERROR(SEARCH("광고",E943),0)&gt;0,"광고·행사",IF(IFERROR(SEARCH("용역",E943),0)&gt;0,"용역·수수료","기타/불명"))))))</x:f>
      </x:c>
      <x:c r="J943" s="77" t="str">
        <x:f>IF(A943="","",IF(I943="기타/불명","확인 필요","결의서명으로 1차 확인"))</x:f>
      </x:c>
      <x:c r="K943" s="78"/>
    </x:row>
    <x:row r="944">
      <x:c r="A944" s="73"/>
      <x:c r="B944" s="73"/>
      <x:c r="C944" s="74"/>
      <x:c r="D944" s="73"/>
      <x:c r="E944" s="73"/>
      <x:c r="F944" s="75"/>
      <x:c r="G944" s="75"/>
      <x:c r="H944" s="76" t="str">
        <x:f>IF(A944="","",F944-G944)</x:f>
      </x:c>
      <x:c r="I944" s="77" t="str">
        <x:f>IF(A944="","",IF(E944="","기타/불명",IF(IFERROR(SEARCH("급여",E944),0)&gt;0,"인건비",IF(IFERROR(SEARCH("임차",E944),0)&gt;0,"임차·시설",IF(IFERROR(SEARCH("광고",E944),0)&gt;0,"광고·행사",IF(IFERROR(SEARCH("용역",E944),0)&gt;0,"용역·수수료","기타/불명"))))))</x:f>
      </x:c>
      <x:c r="J944" s="77" t="str">
        <x:f>IF(A944="","",IF(I944="기타/불명","확인 필요","결의서명으로 1차 확인"))</x:f>
      </x:c>
      <x:c r="K944" s="78"/>
    </x:row>
    <x:row r="945">
      <x:c r="A945" s="73"/>
      <x:c r="B945" s="73"/>
      <x:c r="C945" s="74"/>
      <x:c r="D945" s="73"/>
      <x:c r="E945" s="73"/>
      <x:c r="F945" s="75"/>
      <x:c r="G945" s="75"/>
      <x:c r="H945" s="76" t="str">
        <x:f>IF(A945="","",F945-G945)</x:f>
      </x:c>
      <x:c r="I945" s="77" t="str">
        <x:f>IF(A945="","",IF(E945="","기타/불명",IF(IFERROR(SEARCH("급여",E945),0)&gt;0,"인건비",IF(IFERROR(SEARCH("임차",E945),0)&gt;0,"임차·시설",IF(IFERROR(SEARCH("광고",E945),0)&gt;0,"광고·행사",IF(IFERROR(SEARCH("용역",E945),0)&gt;0,"용역·수수료","기타/불명"))))))</x:f>
      </x:c>
      <x:c r="J945" s="77" t="str">
        <x:f>IF(A945="","",IF(I945="기타/불명","확인 필요","결의서명으로 1차 확인"))</x:f>
      </x:c>
      <x:c r="K945" s="78"/>
    </x:row>
    <x:row r="946">
      <x:c r="A946" s="73"/>
      <x:c r="B946" s="73"/>
      <x:c r="C946" s="74"/>
      <x:c r="D946" s="73"/>
      <x:c r="E946" s="73"/>
      <x:c r="F946" s="75"/>
      <x:c r="G946" s="75"/>
      <x:c r="H946" s="76" t="str">
        <x:f>IF(A946="","",F946-G946)</x:f>
      </x:c>
      <x:c r="I946" s="77" t="str">
        <x:f>IF(A946="","",IF(E946="","기타/불명",IF(IFERROR(SEARCH("급여",E946),0)&gt;0,"인건비",IF(IFERROR(SEARCH("임차",E946),0)&gt;0,"임차·시설",IF(IFERROR(SEARCH("광고",E946),0)&gt;0,"광고·행사",IF(IFERROR(SEARCH("용역",E946),0)&gt;0,"용역·수수료","기타/불명"))))))</x:f>
      </x:c>
      <x:c r="J946" s="77" t="str">
        <x:f>IF(A946="","",IF(I946="기타/불명","확인 필요","결의서명으로 1차 확인"))</x:f>
      </x:c>
      <x:c r="K946" s="78"/>
    </x:row>
    <x:row r="947">
      <x:c r="A947" s="73"/>
      <x:c r="B947" s="73"/>
      <x:c r="C947" s="74"/>
      <x:c r="D947" s="73"/>
      <x:c r="E947" s="73"/>
      <x:c r="F947" s="75"/>
      <x:c r="G947" s="75"/>
      <x:c r="H947" s="76" t="str">
        <x:f>IF(A947="","",F947-G947)</x:f>
      </x:c>
      <x:c r="I947" s="77" t="str">
        <x:f>IF(A947="","",IF(E947="","기타/불명",IF(IFERROR(SEARCH("급여",E947),0)&gt;0,"인건비",IF(IFERROR(SEARCH("임차",E947),0)&gt;0,"임차·시설",IF(IFERROR(SEARCH("광고",E947),0)&gt;0,"광고·행사",IF(IFERROR(SEARCH("용역",E947),0)&gt;0,"용역·수수료","기타/불명"))))))</x:f>
      </x:c>
      <x:c r="J947" s="77" t="str">
        <x:f>IF(A947="","",IF(I947="기타/불명","확인 필요","결의서명으로 1차 확인"))</x:f>
      </x:c>
      <x:c r="K947" s="78"/>
    </x:row>
    <x:row r="948">
      <x:c r="A948" s="73"/>
      <x:c r="B948" s="73"/>
      <x:c r="C948" s="74"/>
      <x:c r="D948" s="73"/>
      <x:c r="E948" s="73"/>
      <x:c r="F948" s="75"/>
      <x:c r="G948" s="75"/>
      <x:c r="H948" s="76" t="str">
        <x:f>IF(A948="","",F948-G948)</x:f>
      </x:c>
      <x:c r="I948" s="77" t="str">
        <x:f>IF(A948="","",IF(E948="","기타/불명",IF(IFERROR(SEARCH("급여",E948),0)&gt;0,"인건비",IF(IFERROR(SEARCH("임차",E948),0)&gt;0,"임차·시설",IF(IFERROR(SEARCH("광고",E948),0)&gt;0,"광고·행사",IF(IFERROR(SEARCH("용역",E948),0)&gt;0,"용역·수수료","기타/불명"))))))</x:f>
      </x:c>
      <x:c r="J948" s="77" t="str">
        <x:f>IF(A948="","",IF(I948="기타/불명","확인 필요","결의서명으로 1차 확인"))</x:f>
      </x:c>
      <x:c r="K948" s="78"/>
    </x:row>
    <x:row r="949">
      <x:c r="A949" s="73"/>
      <x:c r="B949" s="73"/>
      <x:c r="C949" s="74"/>
      <x:c r="D949" s="73"/>
      <x:c r="E949" s="73"/>
      <x:c r="F949" s="75"/>
      <x:c r="G949" s="75"/>
      <x:c r="H949" s="76" t="str">
        <x:f>IF(A949="","",F949-G949)</x:f>
      </x:c>
      <x:c r="I949" s="77" t="str">
        <x:f>IF(A949="","",IF(E949="","기타/불명",IF(IFERROR(SEARCH("급여",E949),0)&gt;0,"인건비",IF(IFERROR(SEARCH("임차",E949),0)&gt;0,"임차·시설",IF(IFERROR(SEARCH("광고",E949),0)&gt;0,"광고·행사",IF(IFERROR(SEARCH("용역",E949),0)&gt;0,"용역·수수료","기타/불명"))))))</x:f>
      </x:c>
      <x:c r="J949" s="77" t="str">
        <x:f>IF(A949="","",IF(I949="기타/불명","확인 필요","결의서명으로 1차 확인"))</x:f>
      </x:c>
      <x:c r="K949" s="78"/>
    </x:row>
    <x:row r="950">
      <x:c r="A950" s="73"/>
      <x:c r="B950" s="73"/>
      <x:c r="C950" s="74"/>
      <x:c r="D950" s="73"/>
      <x:c r="E950" s="73"/>
      <x:c r="F950" s="75"/>
      <x:c r="G950" s="75"/>
      <x:c r="H950" s="76" t="str">
        <x:f>IF(A950="","",F950-G950)</x:f>
      </x:c>
      <x:c r="I950" s="77" t="str">
        <x:f>IF(A950="","",IF(E950="","기타/불명",IF(IFERROR(SEARCH("급여",E950),0)&gt;0,"인건비",IF(IFERROR(SEARCH("임차",E950),0)&gt;0,"임차·시설",IF(IFERROR(SEARCH("광고",E950),0)&gt;0,"광고·행사",IF(IFERROR(SEARCH("용역",E950),0)&gt;0,"용역·수수료","기타/불명"))))))</x:f>
      </x:c>
      <x:c r="J950" s="77" t="str">
        <x:f>IF(A950="","",IF(I950="기타/불명","확인 필요","결의서명으로 1차 확인"))</x:f>
      </x:c>
      <x:c r="K950" s="78"/>
    </x:row>
    <x:row r="951">
      <x:c r="A951" s="73"/>
      <x:c r="B951" s="73"/>
      <x:c r="C951" s="74"/>
      <x:c r="D951" s="73"/>
      <x:c r="E951" s="73"/>
      <x:c r="F951" s="75"/>
      <x:c r="G951" s="75"/>
      <x:c r="H951" s="76" t="str">
        <x:f>IF(A951="","",F951-G951)</x:f>
      </x:c>
      <x:c r="I951" s="77" t="str">
        <x:f>IF(A951="","",IF(E951="","기타/불명",IF(IFERROR(SEARCH("급여",E951),0)&gt;0,"인건비",IF(IFERROR(SEARCH("임차",E951),0)&gt;0,"임차·시설",IF(IFERROR(SEARCH("광고",E951),0)&gt;0,"광고·행사",IF(IFERROR(SEARCH("용역",E951),0)&gt;0,"용역·수수료","기타/불명"))))))</x:f>
      </x:c>
      <x:c r="J951" s="77" t="str">
        <x:f>IF(A951="","",IF(I951="기타/불명","확인 필요","결의서명으로 1차 확인"))</x:f>
      </x:c>
      <x:c r="K951" s="78"/>
    </x:row>
    <x:row r="952">
      <x:c r="A952" s="73"/>
      <x:c r="B952" s="73"/>
      <x:c r="C952" s="74"/>
      <x:c r="D952" s="73"/>
      <x:c r="E952" s="73"/>
      <x:c r="F952" s="75"/>
      <x:c r="G952" s="75"/>
      <x:c r="H952" s="76" t="str">
        <x:f>IF(A952="","",F952-G952)</x:f>
      </x:c>
      <x:c r="I952" s="77" t="str">
        <x:f>IF(A952="","",IF(E952="","기타/불명",IF(IFERROR(SEARCH("급여",E952),0)&gt;0,"인건비",IF(IFERROR(SEARCH("임차",E952),0)&gt;0,"임차·시설",IF(IFERROR(SEARCH("광고",E952),0)&gt;0,"광고·행사",IF(IFERROR(SEARCH("용역",E952),0)&gt;0,"용역·수수료","기타/불명"))))))</x:f>
      </x:c>
      <x:c r="J952" s="77" t="str">
        <x:f>IF(A952="","",IF(I952="기타/불명","확인 필요","결의서명으로 1차 확인"))</x:f>
      </x:c>
      <x:c r="K952" s="78"/>
    </x:row>
    <x:row r="953">
      <x:c r="A953" s="73"/>
      <x:c r="B953" s="73"/>
      <x:c r="C953" s="74"/>
      <x:c r="D953" s="73"/>
      <x:c r="E953" s="73"/>
      <x:c r="F953" s="75"/>
      <x:c r="G953" s="75"/>
      <x:c r="H953" s="76" t="str">
        <x:f>IF(A953="","",F953-G953)</x:f>
      </x:c>
      <x:c r="I953" s="77" t="str">
        <x:f>IF(A953="","",IF(E953="","기타/불명",IF(IFERROR(SEARCH("급여",E953),0)&gt;0,"인건비",IF(IFERROR(SEARCH("임차",E953),0)&gt;0,"임차·시설",IF(IFERROR(SEARCH("광고",E953),0)&gt;0,"광고·행사",IF(IFERROR(SEARCH("용역",E953),0)&gt;0,"용역·수수료","기타/불명"))))))</x:f>
      </x:c>
      <x:c r="J953" s="77" t="str">
        <x:f>IF(A953="","",IF(I953="기타/불명","확인 필요","결의서명으로 1차 확인"))</x:f>
      </x:c>
      <x:c r="K953" s="78"/>
    </x:row>
    <x:row r="954">
      <x:c r="A954" s="73"/>
      <x:c r="B954" s="73"/>
      <x:c r="C954" s="74"/>
      <x:c r="D954" s="73"/>
      <x:c r="E954" s="73"/>
      <x:c r="F954" s="75"/>
      <x:c r="G954" s="75"/>
      <x:c r="H954" s="76" t="str">
        <x:f>IF(A954="","",F954-G954)</x:f>
      </x:c>
      <x:c r="I954" s="77" t="str">
        <x:f>IF(A954="","",IF(E954="","기타/불명",IF(IFERROR(SEARCH("급여",E954),0)&gt;0,"인건비",IF(IFERROR(SEARCH("임차",E954),0)&gt;0,"임차·시설",IF(IFERROR(SEARCH("광고",E954),0)&gt;0,"광고·행사",IF(IFERROR(SEARCH("용역",E954),0)&gt;0,"용역·수수료","기타/불명"))))))</x:f>
      </x:c>
      <x:c r="J954" s="77" t="str">
        <x:f>IF(A954="","",IF(I954="기타/불명","확인 필요","결의서명으로 1차 확인"))</x:f>
      </x:c>
      <x:c r="K954" s="78"/>
    </x:row>
    <x:row r="955">
      <x:c r="A955" s="73"/>
      <x:c r="B955" s="73"/>
      <x:c r="C955" s="74"/>
      <x:c r="D955" s="73"/>
      <x:c r="E955" s="73"/>
      <x:c r="F955" s="75"/>
      <x:c r="G955" s="75"/>
      <x:c r="H955" s="76" t="str">
        <x:f>IF(A955="","",F955-G955)</x:f>
      </x:c>
      <x:c r="I955" s="77" t="str">
        <x:f>IF(A955="","",IF(E955="","기타/불명",IF(IFERROR(SEARCH("급여",E955),0)&gt;0,"인건비",IF(IFERROR(SEARCH("임차",E955),0)&gt;0,"임차·시설",IF(IFERROR(SEARCH("광고",E955),0)&gt;0,"광고·행사",IF(IFERROR(SEARCH("용역",E955),0)&gt;0,"용역·수수료","기타/불명"))))))</x:f>
      </x:c>
      <x:c r="J955" s="77" t="str">
        <x:f>IF(A955="","",IF(I955="기타/불명","확인 필요","결의서명으로 1차 확인"))</x:f>
      </x:c>
      <x:c r="K955" s="78"/>
    </x:row>
    <x:row r="956">
      <x:c r="A956" s="73"/>
      <x:c r="B956" s="73"/>
      <x:c r="C956" s="74"/>
      <x:c r="D956" s="73"/>
      <x:c r="E956" s="73"/>
      <x:c r="F956" s="75"/>
      <x:c r="G956" s="75"/>
      <x:c r="H956" s="76" t="str">
        <x:f>IF(A956="","",F956-G956)</x:f>
      </x:c>
      <x:c r="I956" s="77" t="str">
        <x:f>IF(A956="","",IF(E956="","기타/불명",IF(IFERROR(SEARCH("급여",E956),0)&gt;0,"인건비",IF(IFERROR(SEARCH("임차",E956),0)&gt;0,"임차·시설",IF(IFERROR(SEARCH("광고",E956),0)&gt;0,"광고·행사",IF(IFERROR(SEARCH("용역",E956),0)&gt;0,"용역·수수료","기타/불명"))))))</x:f>
      </x:c>
      <x:c r="J956" s="77" t="str">
        <x:f>IF(A956="","",IF(I956="기타/불명","확인 필요","결의서명으로 1차 확인"))</x:f>
      </x:c>
      <x:c r="K956" s="78"/>
    </x:row>
    <x:row r="957">
      <x:c r="A957" s="73"/>
      <x:c r="B957" s="73"/>
      <x:c r="C957" s="74"/>
      <x:c r="D957" s="73"/>
      <x:c r="E957" s="73"/>
      <x:c r="F957" s="75"/>
      <x:c r="G957" s="75"/>
      <x:c r="H957" s="76" t="str">
        <x:f>IF(A957="","",F957-G957)</x:f>
      </x:c>
      <x:c r="I957" s="77" t="str">
        <x:f>IF(A957="","",IF(E957="","기타/불명",IF(IFERROR(SEARCH("급여",E957),0)&gt;0,"인건비",IF(IFERROR(SEARCH("임차",E957),0)&gt;0,"임차·시설",IF(IFERROR(SEARCH("광고",E957),0)&gt;0,"광고·행사",IF(IFERROR(SEARCH("용역",E957),0)&gt;0,"용역·수수료","기타/불명"))))))</x:f>
      </x:c>
      <x:c r="J957" s="77" t="str">
        <x:f>IF(A957="","",IF(I957="기타/불명","확인 필요","결의서명으로 1차 확인"))</x:f>
      </x:c>
      <x:c r="K957" s="78"/>
    </x:row>
    <x:row r="958">
      <x:c r="A958" s="73"/>
      <x:c r="B958" s="73"/>
      <x:c r="C958" s="74"/>
      <x:c r="D958" s="73"/>
      <x:c r="E958" s="73"/>
      <x:c r="F958" s="75"/>
      <x:c r="G958" s="75"/>
      <x:c r="H958" s="76" t="str">
        <x:f>IF(A958="","",F958-G958)</x:f>
      </x:c>
      <x:c r="I958" s="77" t="str">
        <x:f>IF(A958="","",IF(E958="","기타/불명",IF(IFERROR(SEARCH("급여",E958),0)&gt;0,"인건비",IF(IFERROR(SEARCH("임차",E958),0)&gt;0,"임차·시설",IF(IFERROR(SEARCH("광고",E958),0)&gt;0,"광고·행사",IF(IFERROR(SEARCH("용역",E958),0)&gt;0,"용역·수수료","기타/불명"))))))</x:f>
      </x:c>
      <x:c r="J958" s="77" t="str">
        <x:f>IF(A958="","",IF(I958="기타/불명","확인 필요","결의서명으로 1차 확인"))</x:f>
      </x:c>
      <x:c r="K958" s="78"/>
    </x:row>
    <x:row r="959">
      <x:c r="A959" s="73"/>
      <x:c r="B959" s="73"/>
      <x:c r="C959" s="74"/>
      <x:c r="D959" s="73"/>
      <x:c r="E959" s="73"/>
      <x:c r="F959" s="75"/>
      <x:c r="G959" s="75"/>
      <x:c r="H959" s="76" t="str">
        <x:f>IF(A959="","",F959-G959)</x:f>
      </x:c>
      <x:c r="I959" s="77" t="str">
        <x:f>IF(A959="","",IF(E959="","기타/불명",IF(IFERROR(SEARCH("급여",E959),0)&gt;0,"인건비",IF(IFERROR(SEARCH("임차",E959),0)&gt;0,"임차·시설",IF(IFERROR(SEARCH("광고",E959),0)&gt;0,"광고·행사",IF(IFERROR(SEARCH("용역",E959),0)&gt;0,"용역·수수료","기타/불명"))))))</x:f>
      </x:c>
      <x:c r="J959" s="77" t="str">
        <x:f>IF(A959="","",IF(I959="기타/불명","확인 필요","결의서명으로 1차 확인"))</x:f>
      </x:c>
      <x:c r="K959" s="78"/>
    </x:row>
    <x:row r="960">
      <x:c r="A960" s="73"/>
      <x:c r="B960" s="73"/>
      <x:c r="C960" s="74"/>
      <x:c r="D960" s="73"/>
      <x:c r="E960" s="73"/>
      <x:c r="F960" s="75"/>
      <x:c r="G960" s="75"/>
      <x:c r="H960" s="76" t="str">
        <x:f>IF(A960="","",F960-G960)</x:f>
      </x:c>
      <x:c r="I960" s="77" t="str">
        <x:f>IF(A960="","",IF(E960="","기타/불명",IF(IFERROR(SEARCH("급여",E960),0)&gt;0,"인건비",IF(IFERROR(SEARCH("임차",E960),0)&gt;0,"임차·시설",IF(IFERROR(SEARCH("광고",E960),0)&gt;0,"광고·행사",IF(IFERROR(SEARCH("용역",E960),0)&gt;0,"용역·수수료","기타/불명"))))))</x:f>
      </x:c>
      <x:c r="J960" s="77" t="str">
        <x:f>IF(A960="","",IF(I960="기타/불명","확인 필요","결의서명으로 1차 확인"))</x:f>
      </x:c>
      <x:c r="K960" s="78"/>
    </x:row>
    <x:row r="961">
      <x:c r="A961" s="73"/>
      <x:c r="B961" s="73"/>
      <x:c r="C961" s="74"/>
      <x:c r="D961" s="73"/>
      <x:c r="E961" s="73"/>
      <x:c r="F961" s="75"/>
      <x:c r="G961" s="75"/>
      <x:c r="H961" s="76" t="str">
        <x:f>IF(A961="","",F961-G961)</x:f>
      </x:c>
      <x:c r="I961" s="77" t="str">
        <x:f>IF(A961="","",IF(E961="","기타/불명",IF(IFERROR(SEARCH("급여",E961),0)&gt;0,"인건비",IF(IFERROR(SEARCH("임차",E961),0)&gt;0,"임차·시설",IF(IFERROR(SEARCH("광고",E961),0)&gt;0,"광고·행사",IF(IFERROR(SEARCH("용역",E961),0)&gt;0,"용역·수수료","기타/불명"))))))</x:f>
      </x:c>
      <x:c r="J961" s="77" t="str">
        <x:f>IF(A961="","",IF(I961="기타/불명","확인 필요","결의서명으로 1차 확인"))</x:f>
      </x:c>
      <x:c r="K961" s="78"/>
    </x:row>
    <x:row r="962">
      <x:c r="A962" s="73"/>
      <x:c r="B962" s="73"/>
      <x:c r="C962" s="74"/>
      <x:c r="D962" s="73"/>
      <x:c r="E962" s="73"/>
      <x:c r="F962" s="75"/>
      <x:c r="G962" s="75"/>
      <x:c r="H962" s="76" t="str">
        <x:f>IF(A962="","",F962-G962)</x:f>
      </x:c>
      <x:c r="I962" s="77" t="str">
        <x:f>IF(A962="","",IF(E962="","기타/불명",IF(IFERROR(SEARCH("급여",E962),0)&gt;0,"인건비",IF(IFERROR(SEARCH("임차",E962),0)&gt;0,"임차·시설",IF(IFERROR(SEARCH("광고",E962),0)&gt;0,"광고·행사",IF(IFERROR(SEARCH("용역",E962),0)&gt;0,"용역·수수료","기타/불명"))))))</x:f>
      </x:c>
      <x:c r="J962" s="77" t="str">
        <x:f>IF(A962="","",IF(I962="기타/불명","확인 필요","결의서명으로 1차 확인"))</x:f>
      </x:c>
      <x:c r="K962" s="78"/>
    </x:row>
    <x:row r="963">
      <x:c r="A963" s="73"/>
      <x:c r="B963" s="73"/>
      <x:c r="C963" s="74"/>
      <x:c r="D963" s="73"/>
      <x:c r="E963" s="73"/>
      <x:c r="F963" s="75"/>
      <x:c r="G963" s="75"/>
      <x:c r="H963" s="76" t="str">
        <x:f>IF(A963="","",F963-G963)</x:f>
      </x:c>
      <x:c r="I963" s="77" t="str">
        <x:f>IF(A963="","",IF(E963="","기타/불명",IF(IFERROR(SEARCH("급여",E963),0)&gt;0,"인건비",IF(IFERROR(SEARCH("임차",E963),0)&gt;0,"임차·시설",IF(IFERROR(SEARCH("광고",E963),0)&gt;0,"광고·행사",IF(IFERROR(SEARCH("용역",E963),0)&gt;0,"용역·수수료","기타/불명"))))))</x:f>
      </x:c>
      <x:c r="J963" s="77" t="str">
        <x:f>IF(A963="","",IF(I963="기타/불명","확인 필요","결의서명으로 1차 확인"))</x:f>
      </x:c>
      <x:c r="K963" s="78"/>
    </x:row>
    <x:row r="964">
      <x:c r="A964" s="73"/>
      <x:c r="B964" s="73"/>
      <x:c r="C964" s="74"/>
      <x:c r="D964" s="73"/>
      <x:c r="E964" s="73"/>
      <x:c r="F964" s="75"/>
      <x:c r="G964" s="75"/>
      <x:c r="H964" s="76" t="str">
        <x:f>IF(A964="","",F964-G964)</x:f>
      </x:c>
      <x:c r="I964" s="77" t="str">
        <x:f>IF(A964="","",IF(E964="","기타/불명",IF(IFERROR(SEARCH("급여",E964),0)&gt;0,"인건비",IF(IFERROR(SEARCH("임차",E964),0)&gt;0,"임차·시설",IF(IFERROR(SEARCH("광고",E964),0)&gt;0,"광고·행사",IF(IFERROR(SEARCH("용역",E964),0)&gt;0,"용역·수수료","기타/불명"))))))</x:f>
      </x:c>
      <x:c r="J964" s="77" t="str">
        <x:f>IF(A964="","",IF(I964="기타/불명","확인 필요","결의서명으로 1차 확인"))</x:f>
      </x:c>
      <x:c r="K964" s="78"/>
    </x:row>
    <x:row r="965">
      <x:c r="A965" s="73"/>
      <x:c r="B965" s="73"/>
      <x:c r="C965" s="74"/>
      <x:c r="D965" s="73"/>
      <x:c r="E965" s="73"/>
      <x:c r="F965" s="75"/>
      <x:c r="G965" s="75"/>
      <x:c r="H965" s="76" t="str">
        <x:f>IF(A965="","",F965-G965)</x:f>
      </x:c>
      <x:c r="I965" s="77" t="str">
        <x:f>IF(A965="","",IF(E965="","기타/불명",IF(IFERROR(SEARCH("급여",E965),0)&gt;0,"인건비",IF(IFERROR(SEARCH("임차",E965),0)&gt;0,"임차·시설",IF(IFERROR(SEARCH("광고",E965),0)&gt;0,"광고·행사",IF(IFERROR(SEARCH("용역",E965),0)&gt;0,"용역·수수료","기타/불명"))))))</x:f>
      </x:c>
      <x:c r="J965" s="77" t="str">
        <x:f>IF(A965="","",IF(I965="기타/불명","확인 필요","결의서명으로 1차 확인"))</x:f>
      </x:c>
      <x:c r="K965" s="78"/>
    </x:row>
    <x:row r="966">
      <x:c r="A966" s="73"/>
      <x:c r="B966" s="73"/>
      <x:c r="C966" s="74"/>
      <x:c r="D966" s="73"/>
      <x:c r="E966" s="73"/>
      <x:c r="F966" s="75"/>
      <x:c r="G966" s="75"/>
      <x:c r="H966" s="76" t="str">
        <x:f>IF(A966="","",F966-G966)</x:f>
      </x:c>
      <x:c r="I966" s="77" t="str">
        <x:f>IF(A966="","",IF(E966="","기타/불명",IF(IFERROR(SEARCH("급여",E966),0)&gt;0,"인건비",IF(IFERROR(SEARCH("임차",E966),0)&gt;0,"임차·시설",IF(IFERROR(SEARCH("광고",E966),0)&gt;0,"광고·행사",IF(IFERROR(SEARCH("용역",E966),0)&gt;0,"용역·수수료","기타/불명"))))))</x:f>
      </x:c>
      <x:c r="J966" s="77" t="str">
        <x:f>IF(A966="","",IF(I966="기타/불명","확인 필요","결의서명으로 1차 확인"))</x:f>
      </x:c>
      <x:c r="K966" s="78"/>
    </x:row>
    <x:row r="967">
      <x:c r="A967" s="73"/>
      <x:c r="B967" s="73"/>
      <x:c r="C967" s="74"/>
      <x:c r="D967" s="73"/>
      <x:c r="E967" s="73"/>
      <x:c r="F967" s="75"/>
      <x:c r="G967" s="75"/>
      <x:c r="H967" s="76" t="str">
        <x:f>IF(A967="","",F967-G967)</x:f>
      </x:c>
      <x:c r="I967" s="77" t="str">
        <x:f>IF(A967="","",IF(E967="","기타/불명",IF(IFERROR(SEARCH("급여",E967),0)&gt;0,"인건비",IF(IFERROR(SEARCH("임차",E967),0)&gt;0,"임차·시설",IF(IFERROR(SEARCH("광고",E967),0)&gt;0,"광고·행사",IF(IFERROR(SEARCH("용역",E967),0)&gt;0,"용역·수수료","기타/불명"))))))</x:f>
      </x:c>
      <x:c r="J967" s="77" t="str">
        <x:f>IF(A967="","",IF(I967="기타/불명","확인 필요","결의서명으로 1차 확인"))</x:f>
      </x:c>
      <x:c r="K967" s="78"/>
    </x:row>
    <x:row r="968">
      <x:c r="A968" s="73"/>
      <x:c r="B968" s="73"/>
      <x:c r="C968" s="74"/>
      <x:c r="D968" s="73"/>
      <x:c r="E968" s="73"/>
      <x:c r="F968" s="75"/>
      <x:c r="G968" s="75"/>
      <x:c r="H968" s="76" t="str">
        <x:f>IF(A968="","",F968-G968)</x:f>
      </x:c>
      <x:c r="I968" s="77" t="str">
        <x:f>IF(A968="","",IF(E968="","기타/불명",IF(IFERROR(SEARCH("급여",E968),0)&gt;0,"인건비",IF(IFERROR(SEARCH("임차",E968),0)&gt;0,"임차·시설",IF(IFERROR(SEARCH("광고",E968),0)&gt;0,"광고·행사",IF(IFERROR(SEARCH("용역",E968),0)&gt;0,"용역·수수료","기타/불명"))))))</x:f>
      </x:c>
      <x:c r="J968" s="77" t="str">
        <x:f>IF(A968="","",IF(I968="기타/불명","확인 필요","결의서명으로 1차 확인"))</x:f>
      </x:c>
      <x:c r="K968" s="78"/>
    </x:row>
    <x:row r="969">
      <x:c r="A969" s="73"/>
      <x:c r="B969" s="73"/>
      <x:c r="C969" s="74"/>
      <x:c r="D969" s="73"/>
      <x:c r="E969" s="73"/>
      <x:c r="F969" s="75"/>
      <x:c r="G969" s="75"/>
      <x:c r="H969" s="76" t="str">
        <x:f>IF(A969="","",F969-G969)</x:f>
      </x:c>
      <x:c r="I969" s="77" t="str">
        <x:f>IF(A969="","",IF(E969="","기타/불명",IF(IFERROR(SEARCH("급여",E969),0)&gt;0,"인건비",IF(IFERROR(SEARCH("임차",E969),0)&gt;0,"임차·시설",IF(IFERROR(SEARCH("광고",E969),0)&gt;0,"광고·행사",IF(IFERROR(SEARCH("용역",E969),0)&gt;0,"용역·수수료","기타/불명"))))))</x:f>
      </x:c>
      <x:c r="J969" s="77" t="str">
        <x:f>IF(A969="","",IF(I969="기타/불명","확인 필요","결의서명으로 1차 확인"))</x:f>
      </x:c>
      <x:c r="K969" s="78"/>
    </x:row>
    <x:row r="970">
      <x:c r="A970" s="73"/>
      <x:c r="B970" s="73"/>
      <x:c r="C970" s="74"/>
      <x:c r="D970" s="73"/>
      <x:c r="E970" s="73"/>
      <x:c r="F970" s="75"/>
      <x:c r="G970" s="75"/>
      <x:c r="H970" s="76" t="str">
        <x:f>IF(A970="","",F970-G970)</x:f>
      </x:c>
      <x:c r="I970" s="77" t="str">
        <x:f>IF(A970="","",IF(E970="","기타/불명",IF(IFERROR(SEARCH("급여",E970),0)&gt;0,"인건비",IF(IFERROR(SEARCH("임차",E970),0)&gt;0,"임차·시설",IF(IFERROR(SEARCH("광고",E970),0)&gt;0,"광고·행사",IF(IFERROR(SEARCH("용역",E970),0)&gt;0,"용역·수수료","기타/불명"))))))</x:f>
      </x:c>
      <x:c r="J970" s="77" t="str">
        <x:f>IF(A970="","",IF(I970="기타/불명","확인 필요","결의서명으로 1차 확인"))</x:f>
      </x:c>
      <x:c r="K970" s="78"/>
    </x:row>
    <x:row r="971">
      <x:c r="A971" s="73"/>
      <x:c r="B971" s="73"/>
      <x:c r="C971" s="74"/>
      <x:c r="D971" s="73"/>
      <x:c r="E971" s="73"/>
      <x:c r="F971" s="75"/>
      <x:c r="G971" s="75"/>
      <x:c r="H971" s="76" t="str">
        <x:f>IF(A971="","",F971-G971)</x:f>
      </x:c>
      <x:c r="I971" s="77" t="str">
        <x:f>IF(A971="","",IF(E971="","기타/불명",IF(IFERROR(SEARCH("급여",E971),0)&gt;0,"인건비",IF(IFERROR(SEARCH("임차",E971),0)&gt;0,"임차·시설",IF(IFERROR(SEARCH("광고",E971),0)&gt;0,"광고·행사",IF(IFERROR(SEARCH("용역",E971),0)&gt;0,"용역·수수료","기타/불명"))))))</x:f>
      </x:c>
      <x:c r="J971" s="77" t="str">
        <x:f>IF(A971="","",IF(I971="기타/불명","확인 필요","결의서명으로 1차 확인"))</x:f>
      </x:c>
      <x:c r="K971" s="78"/>
    </x:row>
    <x:row r="972">
      <x:c r="A972" s="73"/>
      <x:c r="B972" s="73"/>
      <x:c r="C972" s="74"/>
      <x:c r="D972" s="73"/>
      <x:c r="E972" s="73"/>
      <x:c r="F972" s="75"/>
      <x:c r="G972" s="75"/>
      <x:c r="H972" s="76" t="str">
        <x:f>IF(A972="","",F972-G972)</x:f>
      </x:c>
      <x:c r="I972" s="77" t="str">
        <x:f>IF(A972="","",IF(E972="","기타/불명",IF(IFERROR(SEARCH("급여",E972),0)&gt;0,"인건비",IF(IFERROR(SEARCH("임차",E972),0)&gt;0,"임차·시설",IF(IFERROR(SEARCH("광고",E972),0)&gt;0,"광고·행사",IF(IFERROR(SEARCH("용역",E972),0)&gt;0,"용역·수수료","기타/불명"))))))</x:f>
      </x:c>
      <x:c r="J972" s="77" t="str">
        <x:f>IF(A972="","",IF(I972="기타/불명","확인 필요","결의서명으로 1차 확인"))</x:f>
      </x:c>
      <x:c r="K972" s="78"/>
    </x:row>
    <x:row r="973">
      <x:c r="A973" s="73"/>
      <x:c r="B973" s="73"/>
      <x:c r="C973" s="74"/>
      <x:c r="D973" s="73"/>
      <x:c r="E973" s="73"/>
      <x:c r="F973" s="75"/>
      <x:c r="G973" s="75"/>
      <x:c r="H973" s="76" t="str">
        <x:f>IF(A973="","",F973-G973)</x:f>
      </x:c>
      <x:c r="I973" s="77" t="str">
        <x:f>IF(A973="","",IF(E973="","기타/불명",IF(IFERROR(SEARCH("급여",E973),0)&gt;0,"인건비",IF(IFERROR(SEARCH("임차",E973),0)&gt;0,"임차·시설",IF(IFERROR(SEARCH("광고",E973),0)&gt;0,"광고·행사",IF(IFERROR(SEARCH("용역",E973),0)&gt;0,"용역·수수료","기타/불명"))))))</x:f>
      </x:c>
      <x:c r="J973" s="77" t="str">
        <x:f>IF(A973="","",IF(I973="기타/불명","확인 필요","결의서명으로 1차 확인"))</x:f>
      </x:c>
      <x:c r="K973" s="78"/>
    </x:row>
    <x:row r="974">
      <x:c r="A974" s="73"/>
      <x:c r="B974" s="73"/>
      <x:c r="C974" s="74"/>
      <x:c r="D974" s="73"/>
      <x:c r="E974" s="73"/>
      <x:c r="F974" s="75"/>
      <x:c r="G974" s="75"/>
      <x:c r="H974" s="76" t="str">
        <x:f>IF(A974="","",F974-G974)</x:f>
      </x:c>
      <x:c r="I974" s="77" t="str">
        <x:f>IF(A974="","",IF(E974="","기타/불명",IF(IFERROR(SEARCH("급여",E974),0)&gt;0,"인건비",IF(IFERROR(SEARCH("임차",E974),0)&gt;0,"임차·시설",IF(IFERROR(SEARCH("광고",E974),0)&gt;0,"광고·행사",IF(IFERROR(SEARCH("용역",E974),0)&gt;0,"용역·수수료","기타/불명"))))))</x:f>
      </x:c>
      <x:c r="J974" s="77" t="str">
        <x:f>IF(A974="","",IF(I974="기타/불명","확인 필요","결의서명으로 1차 확인"))</x:f>
      </x:c>
      <x:c r="K974" s="78"/>
    </x:row>
    <x:row r="975">
      <x:c r="A975" s="73"/>
      <x:c r="B975" s="73"/>
      <x:c r="C975" s="74"/>
      <x:c r="D975" s="73"/>
      <x:c r="E975" s="73"/>
      <x:c r="F975" s="75"/>
      <x:c r="G975" s="75"/>
      <x:c r="H975" s="76" t="str">
        <x:f>IF(A975="","",F975-G975)</x:f>
      </x:c>
      <x:c r="I975" s="77" t="str">
        <x:f>IF(A975="","",IF(E975="","기타/불명",IF(IFERROR(SEARCH("급여",E975),0)&gt;0,"인건비",IF(IFERROR(SEARCH("임차",E975),0)&gt;0,"임차·시설",IF(IFERROR(SEARCH("광고",E975),0)&gt;0,"광고·행사",IF(IFERROR(SEARCH("용역",E975),0)&gt;0,"용역·수수료","기타/불명"))))))</x:f>
      </x:c>
      <x:c r="J975" s="77" t="str">
        <x:f>IF(A975="","",IF(I975="기타/불명","확인 필요","결의서명으로 1차 확인"))</x:f>
      </x:c>
      <x:c r="K975" s="78"/>
    </x:row>
    <x:row r="976">
      <x:c r="A976" s="73"/>
      <x:c r="B976" s="73"/>
      <x:c r="C976" s="74"/>
      <x:c r="D976" s="73"/>
      <x:c r="E976" s="73"/>
      <x:c r="F976" s="75"/>
      <x:c r="G976" s="75"/>
      <x:c r="H976" s="76" t="str">
        <x:f>IF(A976="","",F976-G976)</x:f>
      </x:c>
      <x:c r="I976" s="77" t="str">
        <x:f>IF(A976="","",IF(E976="","기타/불명",IF(IFERROR(SEARCH("급여",E976),0)&gt;0,"인건비",IF(IFERROR(SEARCH("임차",E976),0)&gt;0,"임차·시설",IF(IFERROR(SEARCH("광고",E976),0)&gt;0,"광고·행사",IF(IFERROR(SEARCH("용역",E976),0)&gt;0,"용역·수수료","기타/불명"))))))</x:f>
      </x:c>
      <x:c r="J976" s="77" t="str">
        <x:f>IF(A976="","",IF(I976="기타/불명","확인 필요","결의서명으로 1차 확인"))</x:f>
      </x:c>
      <x:c r="K976" s="78"/>
    </x:row>
    <x:row r="977">
      <x:c r="A977" s="73"/>
      <x:c r="B977" s="73"/>
      <x:c r="C977" s="74"/>
      <x:c r="D977" s="73"/>
      <x:c r="E977" s="73"/>
      <x:c r="F977" s="75"/>
      <x:c r="G977" s="75"/>
      <x:c r="H977" s="76" t="str">
        <x:f>IF(A977="","",F977-G977)</x:f>
      </x:c>
      <x:c r="I977" s="77" t="str">
        <x:f>IF(A977="","",IF(E977="","기타/불명",IF(IFERROR(SEARCH("급여",E977),0)&gt;0,"인건비",IF(IFERROR(SEARCH("임차",E977),0)&gt;0,"임차·시설",IF(IFERROR(SEARCH("광고",E977),0)&gt;0,"광고·행사",IF(IFERROR(SEARCH("용역",E977),0)&gt;0,"용역·수수료","기타/불명"))))))</x:f>
      </x:c>
      <x:c r="J977" s="77" t="str">
        <x:f>IF(A977="","",IF(I977="기타/불명","확인 필요","결의서명으로 1차 확인"))</x:f>
      </x:c>
      <x:c r="K977" s="78"/>
    </x:row>
    <x:row r="978">
      <x:c r="A978" s="73"/>
      <x:c r="B978" s="73"/>
      <x:c r="C978" s="74"/>
      <x:c r="D978" s="73"/>
      <x:c r="E978" s="73"/>
      <x:c r="F978" s="75"/>
      <x:c r="G978" s="75"/>
      <x:c r="H978" s="76" t="str">
        <x:f>IF(A978="","",F978-G978)</x:f>
      </x:c>
      <x:c r="I978" s="77" t="str">
        <x:f>IF(A978="","",IF(E978="","기타/불명",IF(IFERROR(SEARCH("급여",E978),0)&gt;0,"인건비",IF(IFERROR(SEARCH("임차",E978),0)&gt;0,"임차·시설",IF(IFERROR(SEARCH("광고",E978),0)&gt;0,"광고·행사",IF(IFERROR(SEARCH("용역",E978),0)&gt;0,"용역·수수료","기타/불명"))))))</x:f>
      </x:c>
      <x:c r="J978" s="77" t="str">
        <x:f>IF(A978="","",IF(I978="기타/불명","확인 필요","결의서명으로 1차 확인"))</x:f>
      </x:c>
      <x:c r="K978" s="78"/>
    </x:row>
    <x:row r="979">
      <x:c r="A979" s="73"/>
      <x:c r="B979" s="73"/>
      <x:c r="C979" s="74"/>
      <x:c r="D979" s="73"/>
      <x:c r="E979" s="73"/>
      <x:c r="F979" s="75"/>
      <x:c r="G979" s="75"/>
      <x:c r="H979" s="76" t="str">
        <x:f>IF(A979="","",F979-G979)</x:f>
      </x:c>
      <x:c r="I979" s="77" t="str">
        <x:f>IF(A979="","",IF(E979="","기타/불명",IF(IFERROR(SEARCH("급여",E979),0)&gt;0,"인건비",IF(IFERROR(SEARCH("임차",E979),0)&gt;0,"임차·시설",IF(IFERROR(SEARCH("광고",E979),0)&gt;0,"광고·행사",IF(IFERROR(SEARCH("용역",E979),0)&gt;0,"용역·수수료","기타/불명"))))))</x:f>
      </x:c>
      <x:c r="J979" s="77" t="str">
        <x:f>IF(A979="","",IF(I979="기타/불명","확인 필요","결의서명으로 1차 확인"))</x:f>
      </x:c>
      <x:c r="K979" s="78"/>
    </x:row>
    <x:row r="980">
      <x:c r="A980" s="73"/>
      <x:c r="B980" s="73"/>
      <x:c r="C980" s="74"/>
      <x:c r="D980" s="73"/>
      <x:c r="E980" s="73"/>
      <x:c r="F980" s="75"/>
      <x:c r="G980" s="75"/>
      <x:c r="H980" s="76" t="str">
        <x:f>IF(A980="","",F980-G980)</x:f>
      </x:c>
      <x:c r="I980" s="77" t="str">
        <x:f>IF(A980="","",IF(E980="","기타/불명",IF(IFERROR(SEARCH("급여",E980),0)&gt;0,"인건비",IF(IFERROR(SEARCH("임차",E980),0)&gt;0,"임차·시설",IF(IFERROR(SEARCH("광고",E980),0)&gt;0,"광고·행사",IF(IFERROR(SEARCH("용역",E980),0)&gt;0,"용역·수수료","기타/불명"))))))</x:f>
      </x:c>
      <x:c r="J980" s="77" t="str">
        <x:f>IF(A980="","",IF(I980="기타/불명","확인 필요","결의서명으로 1차 확인"))</x:f>
      </x:c>
      <x:c r="K980" s="78"/>
    </x:row>
    <x:row r="981">
      <x:c r="A981" s="73"/>
      <x:c r="B981" s="73"/>
      <x:c r="C981" s="74"/>
      <x:c r="D981" s="73"/>
      <x:c r="E981" s="73"/>
      <x:c r="F981" s="75"/>
      <x:c r="G981" s="75"/>
      <x:c r="H981" s="76" t="str">
        <x:f>IF(A981="","",F981-G981)</x:f>
      </x:c>
      <x:c r="I981" s="77" t="str">
        <x:f>IF(A981="","",IF(E981="","기타/불명",IF(IFERROR(SEARCH("급여",E981),0)&gt;0,"인건비",IF(IFERROR(SEARCH("임차",E981),0)&gt;0,"임차·시설",IF(IFERROR(SEARCH("광고",E981),0)&gt;0,"광고·행사",IF(IFERROR(SEARCH("용역",E981),0)&gt;0,"용역·수수료","기타/불명"))))))</x:f>
      </x:c>
      <x:c r="J981" s="77" t="str">
        <x:f>IF(A981="","",IF(I981="기타/불명","확인 필요","결의서명으로 1차 확인"))</x:f>
      </x:c>
      <x:c r="K981" s="78"/>
    </x:row>
    <x:row r="982">
      <x:c r="A982" s="73"/>
      <x:c r="B982" s="73"/>
      <x:c r="C982" s="74"/>
      <x:c r="D982" s="73"/>
      <x:c r="E982" s="73"/>
      <x:c r="F982" s="75"/>
      <x:c r="G982" s="75"/>
      <x:c r="H982" s="76" t="str">
        <x:f>IF(A982="","",F982-G982)</x:f>
      </x:c>
      <x:c r="I982" s="77" t="str">
        <x:f>IF(A982="","",IF(E982="","기타/불명",IF(IFERROR(SEARCH("급여",E982),0)&gt;0,"인건비",IF(IFERROR(SEARCH("임차",E982),0)&gt;0,"임차·시설",IF(IFERROR(SEARCH("광고",E982),0)&gt;0,"광고·행사",IF(IFERROR(SEARCH("용역",E982),0)&gt;0,"용역·수수료","기타/불명"))))))</x:f>
      </x:c>
      <x:c r="J982" s="77" t="str">
        <x:f>IF(A982="","",IF(I982="기타/불명","확인 필요","결의서명으로 1차 확인"))</x:f>
      </x:c>
      <x:c r="K982" s="78"/>
    </x:row>
    <x:row r="983">
      <x:c r="A983" s="73"/>
      <x:c r="B983" s="73"/>
      <x:c r="C983" s="74"/>
      <x:c r="D983" s="73"/>
      <x:c r="E983" s="73"/>
      <x:c r="F983" s="75"/>
      <x:c r="G983" s="75"/>
      <x:c r="H983" s="76" t="str">
        <x:f>IF(A983="","",F983-G983)</x:f>
      </x:c>
      <x:c r="I983" s="77" t="str">
        <x:f>IF(A983="","",IF(E983="","기타/불명",IF(IFERROR(SEARCH("급여",E983),0)&gt;0,"인건비",IF(IFERROR(SEARCH("임차",E983),0)&gt;0,"임차·시설",IF(IFERROR(SEARCH("광고",E983),0)&gt;0,"광고·행사",IF(IFERROR(SEARCH("용역",E983),0)&gt;0,"용역·수수료","기타/불명"))))))</x:f>
      </x:c>
      <x:c r="J983" s="77" t="str">
        <x:f>IF(A983="","",IF(I983="기타/불명","확인 필요","결의서명으로 1차 확인"))</x:f>
      </x:c>
      <x:c r="K983" s="78"/>
    </x:row>
    <x:row r="984">
      <x:c r="A984" s="73"/>
      <x:c r="B984" s="73"/>
      <x:c r="C984" s="74"/>
      <x:c r="D984" s="73"/>
      <x:c r="E984" s="73"/>
      <x:c r="F984" s="75"/>
      <x:c r="G984" s="75"/>
      <x:c r="H984" s="76" t="str">
        <x:f>IF(A984="","",F984-G984)</x:f>
      </x:c>
      <x:c r="I984" s="77" t="str">
        <x:f>IF(A984="","",IF(E984="","기타/불명",IF(IFERROR(SEARCH("급여",E984),0)&gt;0,"인건비",IF(IFERROR(SEARCH("임차",E984),0)&gt;0,"임차·시설",IF(IFERROR(SEARCH("광고",E984),0)&gt;0,"광고·행사",IF(IFERROR(SEARCH("용역",E984),0)&gt;0,"용역·수수료","기타/불명"))))))</x:f>
      </x:c>
      <x:c r="J984" s="77" t="str">
        <x:f>IF(A984="","",IF(I984="기타/불명","확인 필요","결의서명으로 1차 확인"))</x:f>
      </x:c>
      <x:c r="K984" s="78"/>
    </x:row>
    <x:row r="985">
      <x:c r="A985" s="73"/>
      <x:c r="B985" s="73"/>
      <x:c r="C985" s="74"/>
      <x:c r="D985" s="73"/>
      <x:c r="E985" s="73"/>
      <x:c r="F985" s="75"/>
      <x:c r="G985" s="75"/>
      <x:c r="H985" s="76" t="str">
        <x:f>IF(A985="","",F985-G985)</x:f>
      </x:c>
      <x:c r="I985" s="77" t="str">
        <x:f>IF(A985="","",IF(E985="","기타/불명",IF(IFERROR(SEARCH("급여",E985),0)&gt;0,"인건비",IF(IFERROR(SEARCH("임차",E985),0)&gt;0,"임차·시설",IF(IFERROR(SEARCH("광고",E985),0)&gt;0,"광고·행사",IF(IFERROR(SEARCH("용역",E985),0)&gt;0,"용역·수수료","기타/불명"))))))</x:f>
      </x:c>
      <x:c r="J985" s="77" t="str">
        <x:f>IF(A985="","",IF(I985="기타/불명","확인 필요","결의서명으로 1차 확인"))</x:f>
      </x:c>
      <x:c r="K985" s="78"/>
    </x:row>
    <x:row r="986">
      <x:c r="A986" s="73"/>
      <x:c r="B986" s="73"/>
      <x:c r="C986" s="74"/>
      <x:c r="D986" s="73"/>
      <x:c r="E986" s="73"/>
      <x:c r="F986" s="75"/>
      <x:c r="G986" s="75"/>
      <x:c r="H986" s="76" t="str">
        <x:f>IF(A986="","",F986-G986)</x:f>
      </x:c>
      <x:c r="I986" s="77" t="str">
        <x:f>IF(A986="","",IF(E986="","기타/불명",IF(IFERROR(SEARCH("급여",E986),0)&gt;0,"인건비",IF(IFERROR(SEARCH("임차",E986),0)&gt;0,"임차·시설",IF(IFERROR(SEARCH("광고",E986),0)&gt;0,"광고·행사",IF(IFERROR(SEARCH("용역",E986),0)&gt;0,"용역·수수료","기타/불명"))))))</x:f>
      </x:c>
      <x:c r="J986" s="77" t="str">
        <x:f>IF(A986="","",IF(I986="기타/불명","확인 필요","결의서명으로 1차 확인"))</x:f>
      </x:c>
      <x:c r="K986" s="78"/>
    </x:row>
    <x:row r="987">
      <x:c r="A987" s="73"/>
      <x:c r="B987" s="73"/>
      <x:c r="C987" s="74"/>
      <x:c r="D987" s="73"/>
      <x:c r="E987" s="73"/>
      <x:c r="F987" s="75"/>
      <x:c r="G987" s="75"/>
      <x:c r="H987" s="76" t="str">
        <x:f>IF(A987="","",F987-G987)</x:f>
      </x:c>
      <x:c r="I987" s="77" t="str">
        <x:f>IF(A987="","",IF(E987="","기타/불명",IF(IFERROR(SEARCH("급여",E987),0)&gt;0,"인건비",IF(IFERROR(SEARCH("임차",E987),0)&gt;0,"임차·시설",IF(IFERROR(SEARCH("광고",E987),0)&gt;0,"광고·행사",IF(IFERROR(SEARCH("용역",E987),0)&gt;0,"용역·수수료","기타/불명"))))))</x:f>
      </x:c>
      <x:c r="J987" s="77" t="str">
        <x:f>IF(A987="","",IF(I987="기타/불명","확인 필요","결의서명으로 1차 확인"))</x:f>
      </x:c>
      <x:c r="K987" s="78"/>
    </x:row>
    <x:row r="988">
      <x:c r="A988" s="73"/>
      <x:c r="B988" s="73"/>
      <x:c r="C988" s="74"/>
      <x:c r="D988" s="73"/>
      <x:c r="E988" s="73"/>
      <x:c r="F988" s="75"/>
      <x:c r="G988" s="75"/>
      <x:c r="H988" s="76" t="str">
        <x:f>IF(A988="","",F988-G988)</x:f>
      </x:c>
      <x:c r="I988" s="77" t="str">
        <x:f>IF(A988="","",IF(E988="","기타/불명",IF(IFERROR(SEARCH("급여",E988),0)&gt;0,"인건비",IF(IFERROR(SEARCH("임차",E988),0)&gt;0,"임차·시설",IF(IFERROR(SEARCH("광고",E988),0)&gt;0,"광고·행사",IF(IFERROR(SEARCH("용역",E988),0)&gt;0,"용역·수수료","기타/불명"))))))</x:f>
      </x:c>
      <x:c r="J988" s="77" t="str">
        <x:f>IF(A988="","",IF(I988="기타/불명","확인 필요","결의서명으로 1차 확인"))</x:f>
      </x:c>
      <x:c r="K988" s="78"/>
    </x:row>
    <x:row r="989">
      <x:c r="A989" s="73"/>
      <x:c r="B989" s="73"/>
      <x:c r="C989" s="74"/>
      <x:c r="D989" s="73"/>
      <x:c r="E989" s="73"/>
      <x:c r="F989" s="75"/>
      <x:c r="G989" s="75"/>
      <x:c r="H989" s="76" t="str">
        <x:f>IF(A989="","",F989-G989)</x:f>
      </x:c>
      <x:c r="I989" s="77" t="str">
        <x:f>IF(A989="","",IF(E989="","기타/불명",IF(IFERROR(SEARCH("급여",E989),0)&gt;0,"인건비",IF(IFERROR(SEARCH("임차",E989),0)&gt;0,"임차·시설",IF(IFERROR(SEARCH("광고",E989),0)&gt;0,"광고·행사",IF(IFERROR(SEARCH("용역",E989),0)&gt;0,"용역·수수료","기타/불명"))))))</x:f>
      </x:c>
      <x:c r="J989" s="77" t="str">
        <x:f>IF(A989="","",IF(I989="기타/불명","확인 필요","결의서명으로 1차 확인"))</x:f>
      </x:c>
      <x:c r="K989" s="78"/>
    </x:row>
    <x:row r="990">
      <x:c r="A990" s="73"/>
      <x:c r="B990" s="73"/>
      <x:c r="C990" s="74"/>
      <x:c r="D990" s="73"/>
      <x:c r="E990" s="73"/>
      <x:c r="F990" s="75"/>
      <x:c r="G990" s="75"/>
      <x:c r="H990" s="76" t="str">
        <x:f>IF(A990="","",F990-G990)</x:f>
      </x:c>
      <x:c r="I990" s="77" t="str">
        <x:f>IF(A990="","",IF(E990="","기타/불명",IF(IFERROR(SEARCH("급여",E990),0)&gt;0,"인건비",IF(IFERROR(SEARCH("임차",E990),0)&gt;0,"임차·시설",IF(IFERROR(SEARCH("광고",E990),0)&gt;0,"광고·행사",IF(IFERROR(SEARCH("용역",E990),0)&gt;0,"용역·수수료","기타/불명"))))))</x:f>
      </x:c>
      <x:c r="J990" s="77" t="str">
        <x:f>IF(A990="","",IF(I990="기타/불명","확인 필요","결의서명으로 1차 확인"))</x:f>
      </x:c>
      <x:c r="K990" s="78"/>
    </x:row>
    <x:row r="991">
      <x:c r="A991" s="73"/>
      <x:c r="B991" s="73"/>
      <x:c r="C991" s="74"/>
      <x:c r="D991" s="73"/>
      <x:c r="E991" s="73"/>
      <x:c r="F991" s="75"/>
      <x:c r="G991" s="75"/>
      <x:c r="H991" s="76" t="str">
        <x:f>IF(A991="","",F991-G991)</x:f>
      </x:c>
      <x:c r="I991" s="77" t="str">
        <x:f>IF(A991="","",IF(E991="","기타/불명",IF(IFERROR(SEARCH("급여",E991),0)&gt;0,"인건비",IF(IFERROR(SEARCH("임차",E991),0)&gt;0,"임차·시설",IF(IFERROR(SEARCH("광고",E991),0)&gt;0,"광고·행사",IF(IFERROR(SEARCH("용역",E991),0)&gt;0,"용역·수수료","기타/불명"))))))</x:f>
      </x:c>
      <x:c r="J991" s="77" t="str">
        <x:f>IF(A991="","",IF(I991="기타/불명","확인 필요","결의서명으로 1차 확인"))</x:f>
      </x:c>
      <x:c r="K991" s="78"/>
    </x:row>
    <x:row r="992">
      <x:c r="A992" s="73"/>
      <x:c r="B992" s="73"/>
      <x:c r="C992" s="74"/>
      <x:c r="D992" s="73"/>
      <x:c r="E992" s="73"/>
      <x:c r="F992" s="75"/>
      <x:c r="G992" s="75"/>
      <x:c r="H992" s="76" t="str">
        <x:f>IF(A992="","",F992-G992)</x:f>
      </x:c>
      <x:c r="I992" s="77" t="str">
        <x:f>IF(A992="","",IF(E992="","기타/불명",IF(IFERROR(SEARCH("급여",E992),0)&gt;0,"인건비",IF(IFERROR(SEARCH("임차",E992),0)&gt;0,"임차·시설",IF(IFERROR(SEARCH("광고",E992),0)&gt;0,"광고·행사",IF(IFERROR(SEARCH("용역",E992),0)&gt;0,"용역·수수료","기타/불명"))))))</x:f>
      </x:c>
      <x:c r="J992" s="77" t="str">
        <x:f>IF(A992="","",IF(I992="기타/불명","확인 필요","결의서명으로 1차 확인"))</x:f>
      </x:c>
      <x:c r="K992" s="78"/>
    </x:row>
    <x:row r="993">
      <x:c r="A993" s="73"/>
      <x:c r="B993" s="73"/>
      <x:c r="C993" s="74"/>
      <x:c r="D993" s="73"/>
      <x:c r="E993" s="73"/>
      <x:c r="F993" s="75"/>
      <x:c r="G993" s="75"/>
      <x:c r="H993" s="76" t="str">
        <x:f>IF(A993="","",F993-G993)</x:f>
      </x:c>
      <x:c r="I993" s="77" t="str">
        <x:f>IF(A993="","",IF(E993="","기타/불명",IF(IFERROR(SEARCH("급여",E993),0)&gt;0,"인건비",IF(IFERROR(SEARCH("임차",E993),0)&gt;0,"임차·시설",IF(IFERROR(SEARCH("광고",E993),0)&gt;0,"광고·행사",IF(IFERROR(SEARCH("용역",E993),0)&gt;0,"용역·수수료","기타/불명"))))))</x:f>
      </x:c>
      <x:c r="J993" s="77" t="str">
        <x:f>IF(A993="","",IF(I993="기타/불명","확인 필요","결의서명으로 1차 확인"))</x:f>
      </x:c>
      <x:c r="K993" s="78"/>
    </x:row>
    <x:row r="994">
      <x:c r="A994" s="73"/>
      <x:c r="B994" s="73"/>
      <x:c r="C994" s="74"/>
      <x:c r="D994" s="73"/>
      <x:c r="E994" s="73"/>
      <x:c r="F994" s="75"/>
      <x:c r="G994" s="75"/>
      <x:c r="H994" s="76" t="str">
        <x:f>IF(A994="","",F994-G994)</x:f>
      </x:c>
      <x:c r="I994" s="77" t="str">
        <x:f>IF(A994="","",IF(E994="","기타/불명",IF(IFERROR(SEARCH("급여",E994),0)&gt;0,"인건비",IF(IFERROR(SEARCH("임차",E994),0)&gt;0,"임차·시설",IF(IFERROR(SEARCH("광고",E994),0)&gt;0,"광고·행사",IF(IFERROR(SEARCH("용역",E994),0)&gt;0,"용역·수수료","기타/불명"))))))</x:f>
      </x:c>
      <x:c r="J994" s="77" t="str">
        <x:f>IF(A994="","",IF(I994="기타/불명","확인 필요","결의서명으로 1차 확인"))</x:f>
      </x:c>
      <x:c r="K994" s="78"/>
    </x:row>
    <x:row r="995">
      <x:c r="A995" s="73"/>
      <x:c r="B995" s="73"/>
      <x:c r="C995" s="74"/>
      <x:c r="D995" s="73"/>
      <x:c r="E995" s="73"/>
      <x:c r="F995" s="75"/>
      <x:c r="G995" s="75"/>
      <x:c r="H995" s="76" t="str">
        <x:f>IF(A995="","",F995-G995)</x:f>
      </x:c>
      <x:c r="I995" s="77" t="str">
        <x:f>IF(A995="","",IF(E995="","기타/불명",IF(IFERROR(SEARCH("급여",E995),0)&gt;0,"인건비",IF(IFERROR(SEARCH("임차",E995),0)&gt;0,"임차·시설",IF(IFERROR(SEARCH("광고",E995),0)&gt;0,"광고·행사",IF(IFERROR(SEARCH("용역",E995),0)&gt;0,"용역·수수료","기타/불명"))))))</x:f>
      </x:c>
      <x:c r="J995" s="77" t="str">
        <x:f>IF(A995="","",IF(I995="기타/불명","확인 필요","결의서명으로 1차 확인"))</x:f>
      </x:c>
      <x:c r="K995" s="78"/>
    </x:row>
    <x:row r="996">
      <x:c r="A996" s="73"/>
      <x:c r="B996" s="73"/>
      <x:c r="C996" s="74"/>
      <x:c r="D996" s="73"/>
      <x:c r="E996" s="73"/>
      <x:c r="F996" s="75"/>
      <x:c r="G996" s="75"/>
      <x:c r="H996" s="76" t="str">
        <x:f>IF(A996="","",F996-G996)</x:f>
      </x:c>
      <x:c r="I996" s="77" t="str">
        <x:f>IF(A996="","",IF(E996="","기타/불명",IF(IFERROR(SEARCH("급여",E996),0)&gt;0,"인건비",IF(IFERROR(SEARCH("임차",E996),0)&gt;0,"임차·시설",IF(IFERROR(SEARCH("광고",E996),0)&gt;0,"광고·행사",IF(IFERROR(SEARCH("용역",E996),0)&gt;0,"용역·수수료","기타/불명"))))))</x:f>
      </x:c>
      <x:c r="J996" s="77" t="str">
        <x:f>IF(A996="","",IF(I996="기타/불명","확인 필요","결의서명으로 1차 확인"))</x:f>
      </x:c>
      <x:c r="K996" s="78"/>
    </x:row>
    <x:row r="997">
      <x:c r="A997" s="73"/>
      <x:c r="B997" s="73"/>
      <x:c r="C997" s="74"/>
      <x:c r="D997" s="73"/>
      <x:c r="E997" s="73"/>
      <x:c r="F997" s="75"/>
      <x:c r="G997" s="75"/>
      <x:c r="H997" s="76" t="str">
        <x:f>IF(A997="","",F997-G997)</x:f>
      </x:c>
      <x:c r="I997" s="77" t="str">
        <x:f>IF(A997="","",IF(E997="","기타/불명",IF(IFERROR(SEARCH("급여",E997),0)&gt;0,"인건비",IF(IFERROR(SEARCH("임차",E997),0)&gt;0,"임차·시설",IF(IFERROR(SEARCH("광고",E997),0)&gt;0,"광고·행사",IF(IFERROR(SEARCH("용역",E997),0)&gt;0,"용역·수수료","기타/불명"))))))</x:f>
      </x:c>
      <x:c r="J997" s="77" t="str">
        <x:f>IF(A997="","",IF(I997="기타/불명","확인 필요","결의서명으로 1차 확인"))</x:f>
      </x:c>
      <x:c r="K997" s="78"/>
    </x:row>
    <x:row r="998">
      <x:c r="A998" s="73"/>
      <x:c r="B998" s="73"/>
      <x:c r="C998" s="74"/>
      <x:c r="D998" s="73"/>
      <x:c r="E998" s="73"/>
      <x:c r="F998" s="75"/>
      <x:c r="G998" s="75"/>
      <x:c r="H998" s="76" t="str">
        <x:f>IF(A998="","",F998-G998)</x:f>
      </x:c>
      <x:c r="I998" s="77" t="str">
        <x:f>IF(A998="","",IF(E998="","기타/불명",IF(IFERROR(SEARCH("급여",E998),0)&gt;0,"인건비",IF(IFERROR(SEARCH("임차",E998),0)&gt;0,"임차·시설",IF(IFERROR(SEARCH("광고",E998),0)&gt;0,"광고·행사",IF(IFERROR(SEARCH("용역",E998),0)&gt;0,"용역·수수료","기타/불명"))))))</x:f>
      </x:c>
      <x:c r="J998" s="77" t="str">
        <x:f>IF(A998="","",IF(I998="기타/불명","확인 필요","결의서명으로 1차 확인"))</x:f>
      </x:c>
      <x:c r="K998" s="78"/>
    </x:row>
    <x:row r="999">
      <x:c r="A999" s="73"/>
      <x:c r="B999" s="73"/>
      <x:c r="C999" s="74"/>
      <x:c r="D999" s="73"/>
      <x:c r="E999" s="73"/>
      <x:c r="F999" s="75"/>
      <x:c r="G999" s="75"/>
      <x:c r="H999" s="76" t="str">
        <x:f>IF(A999="","",F999-G999)</x:f>
      </x:c>
      <x:c r="I999" s="77" t="str">
        <x:f>IF(A999="","",IF(E999="","기타/불명",IF(IFERROR(SEARCH("급여",E999),0)&gt;0,"인건비",IF(IFERROR(SEARCH("임차",E999),0)&gt;0,"임차·시설",IF(IFERROR(SEARCH("광고",E999),0)&gt;0,"광고·행사",IF(IFERROR(SEARCH("용역",E999),0)&gt;0,"용역·수수료","기타/불명"))))))</x:f>
      </x:c>
      <x:c r="J999" s="77" t="str">
        <x:f>IF(A999="","",IF(I999="기타/불명","확인 필요","결의서명으로 1차 확인"))</x:f>
      </x:c>
      <x:c r="K999" s="78"/>
    </x:row>
    <x:row r="1000">
      <x:c r="A1000" s="73"/>
      <x:c r="B1000" s="73"/>
      <x:c r="C1000" s="74"/>
      <x:c r="D1000" s="73"/>
      <x:c r="E1000" s="73"/>
      <x:c r="F1000" s="75"/>
      <x:c r="G1000" s="75"/>
      <x:c r="H1000" s="76" t="str">
        <x:f>IF(A1000="","",F1000-G1000)</x:f>
      </x:c>
      <x:c r="I1000" s="77" t="str">
        <x:f>IF(A1000="","",IF(E1000="","기타/불명",IF(IFERROR(SEARCH("급여",E1000),0)&gt;0,"인건비",IF(IFERROR(SEARCH("임차",E1000),0)&gt;0,"임차·시설",IF(IFERROR(SEARCH("광고",E1000),0)&gt;0,"광고·행사",IF(IFERROR(SEARCH("용역",E1000),0)&gt;0,"용역·수수료","기타/불명"))))))</x:f>
      </x:c>
      <x:c r="J1000" s="77" t="str">
        <x:f>IF(A1000="","",IF(I1000="기타/불명","확인 필요","결의서명으로 1차 확인"))</x:f>
      </x:c>
      <x:c r="K1000" s="78"/>
    </x:row>
    <x:row r="1001">
      <x:c r="A1001" s="73"/>
      <x:c r="B1001" s="73"/>
      <x:c r="C1001" s="74"/>
      <x:c r="D1001" s="73"/>
      <x:c r="E1001" s="73"/>
      <x:c r="F1001" s="75"/>
      <x:c r="G1001" s="75"/>
      <x:c r="H1001" s="76" t="str">
        <x:f>IF(A1001="","",F1001-G1001)</x:f>
      </x:c>
      <x:c r="I1001" s="77" t="str">
        <x:f>IF(A1001="","",IF(E1001="","기타/불명",IF(IFERROR(SEARCH("급여",E1001),0)&gt;0,"인건비",IF(IFERROR(SEARCH("임차",E1001),0)&gt;0,"임차·시설",IF(IFERROR(SEARCH("광고",E1001),0)&gt;0,"광고·행사",IF(IFERROR(SEARCH("용역",E1001),0)&gt;0,"용역·수수료","기타/불명"))))))</x:f>
      </x:c>
      <x:c r="J1001" s="77" t="str">
        <x:f>IF(A1001="","",IF(I1001="기타/불명","확인 필요","결의서명으로 1차 확인"))</x:f>
      </x:c>
      <x:c r="K1001" s="78"/>
    </x:row>
    <x:row r="1002">
      <x:c r="A1002" s="73"/>
      <x:c r="B1002" s="73"/>
      <x:c r="C1002" s="74"/>
      <x:c r="D1002" s="73"/>
      <x:c r="E1002" s="73"/>
      <x:c r="F1002" s="75"/>
      <x:c r="G1002" s="75"/>
      <x:c r="H1002" s="76" t="str">
        <x:f>IF(A1002="","",F1002-G1002)</x:f>
      </x:c>
      <x:c r="I1002" s="77" t="str">
        <x:f>IF(A1002="","",IF(E1002="","기타/불명",IF(IFERROR(SEARCH("급여",E1002),0)&gt;0,"인건비",IF(IFERROR(SEARCH("임차",E1002),0)&gt;0,"임차·시설",IF(IFERROR(SEARCH("광고",E1002),0)&gt;0,"광고·행사",IF(IFERROR(SEARCH("용역",E1002),0)&gt;0,"용역·수수료","기타/불명"))))))</x:f>
      </x:c>
      <x:c r="J1002" s="77" t="str">
        <x:f>IF(A1002="","",IF(I1002="기타/불명","확인 필요","결의서명으로 1차 확인"))</x:f>
      </x:c>
      <x:c r="K1002" s="78"/>
    </x:row>
    <x:row r="1003">
      <x:c r="A1003" s="73"/>
      <x:c r="B1003" s="73"/>
      <x:c r="C1003" s="74"/>
      <x:c r="D1003" s="73"/>
      <x:c r="E1003" s="73"/>
      <x:c r="F1003" s="75"/>
      <x:c r="G1003" s="75"/>
      <x:c r="H1003" s="76" t="str">
        <x:f>IF(A1003="","",F1003-G1003)</x:f>
      </x:c>
      <x:c r="I1003" s="77" t="str">
        <x:f>IF(A1003="","",IF(E1003="","기타/불명",IF(IFERROR(SEARCH("급여",E1003),0)&gt;0,"인건비",IF(IFERROR(SEARCH("임차",E1003),0)&gt;0,"임차·시설",IF(IFERROR(SEARCH("광고",E1003),0)&gt;0,"광고·행사",IF(IFERROR(SEARCH("용역",E1003),0)&gt;0,"용역·수수료","기타/불명"))))))</x:f>
      </x:c>
      <x:c r="J1003" s="77" t="str">
        <x:f>IF(A1003="","",IF(I1003="기타/불명","확인 필요","결의서명으로 1차 확인"))</x:f>
      </x:c>
      <x:c r="K1003" s="78"/>
    </x:row>
    <x:row r="1004">
      <x:c r="A1004" s="79"/>
      <x:c r="B1004" s="79"/>
      <x:c r="C1004" s="80"/>
      <x:c r="D1004" s="79"/>
      <x:c r="E1004" s="79"/>
      <x:c r="F1004" s="81"/>
      <x:c r="G1004" s="81"/>
      <x:c r="H1004" s="82" t="str">
        <x:f>IF(A1004="","",F1004-G1004)</x:f>
      </x:c>
      <x:c r="I1004" s="83" t="str">
        <x:f>IF(A1004="","",IF(E1004="","기타/불명",IF(IFERROR(SEARCH("급여",E1004),0)&gt;0,"인건비",IF(IFERROR(SEARCH("임차",E1004),0)&gt;0,"임차·시설",IF(IFERROR(SEARCH("광고",E1004),0)&gt;0,"광고·행사",IF(IFERROR(SEARCH("용역",E1004),0)&gt;0,"용역·수수료","기타/불명"))))))</x:f>
      </x:c>
      <x:c r="J1004" s="83" t="str">
        <x:f>IF(A1004="","",IF(I1004="기타/불명","확인 필요","결의서명으로 1차 확인"))</x:f>
      </x:c>
      <x:c r="K1004" s="84"/>
    </x:row>
  </x:sheetData>
  <x:mergeCells>
    <x:mergeCell ref="A1:K1"/>
  </x:mergeCells>
  <x:conditionalFormatting sqref="J5:J1004">
    <x:cfRule type="containsText" dxfId="1" priority="1" operator="containsText" text="확인 필요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2" hidden="0" customWidth="1"/>
    <x:col min="7" max="7" width="17" hidden="0" customWidth="1"/>
    <x:col min="8" max="8" width="17" hidden="0" customWidth="1"/>
    <x:col min="9" max="9" width="35" hidden="0" customWidth="1"/>
    <x:col min="10" max="10" width="17" hidden="0" customWidth="1"/>
    <x:col min="11" max="11" width="34" hidden="0" customWidth="1"/>
  </x:cols>
  <x:sheetData>
    <x:row r="1" ht="34" customHeight="1">
      <x:c r="A1" s="4" t="str">
        <x:v>계정별 증감 비교</x:v>
      </x:c>
      <x:c r="B1" s="4" t="str">
        <x:v>계정별 증감 비교</x:v>
      </x:c>
      <x:c r="C1" s="4" t="str">
        <x:v>계정별 증감 비교</x:v>
      </x:c>
      <x:c r="D1" s="4" t="str">
        <x:v>계정별 증감 비교</x:v>
      </x:c>
      <x:c r="E1" s="4" t="str">
        <x:v>계정별 증감 비교</x:v>
      </x:c>
      <x:c r="F1" s="4" t="str">
        <x:v>계정별 증감 비교</x:v>
      </x:c>
      <x:c r="G1" s="4" t="str">
        <x:v>계정별 증감 비교</x:v>
      </x:c>
      <x:c r="H1" s="4" t="str">
        <x:v>계정별 증감 비교</x:v>
      </x:c>
      <x:c r="I1" s="4" t="str">
        <x:v>계정별 증감 비교</x:v>
      </x:c>
      <x:c r="J1" s="4" t="str">
        <x:v>계정별 증감 비교</x:v>
      </x:c>
      <x:c r="K1" s="4" t="str">
        <x:v>계정별 증감 비교</x:v>
      </x:c>
    </x:row>
    <x:row r="2">
      <x:c r="A2" s="5" t="str">
        <x:v>전기·당기 계정코드의 합집합을 기준으로 신규·소멸·금액변동을 판정합니다.</x:v>
      </x:c>
    </x:row>
    <x:row r="4" ht="30" customHeight="1">
      <x:c r="A4" s="71" t="str">
        <x:v>계정코드</x:v>
      </x:c>
      <x:c r="B4" s="72" t="str">
        <x:v>계정명</x:v>
      </x:c>
      <x:c r="C4" s="72" t="str">
        <x:v>전기 순액</x:v>
      </x:c>
      <x:c r="D4" s="72" t="str">
        <x:v>당기 순액</x:v>
      </x:c>
      <x:c r="E4" s="72" t="str">
        <x:v>증감액</x:v>
      </x:c>
      <x:c r="F4" s="72" t="str">
        <x:v>증감률</x:v>
      </x:c>
      <x:c r="G4" s="72" t="str">
        <x:v>변동유형</x:v>
      </x:c>
      <x:c r="H4" s="72" t="str">
        <x:v>판정</x:v>
      </x:c>
      <x:c r="I4" s="72" t="str">
        <x:v>검토 안내</x:v>
      </x:c>
      <x:c r="J4" s="72" t="str">
        <x:v>붙임 확인 필요 건수</x:v>
      </x:c>
      <x:c r="K4" s="72" t="str">
        <x:v>원인분석 메모</x:v>
      </x:c>
    </x:row>
    <x:row r="5">
      <x:c r="A5" s="73" t="n" cm="1">
        <x:f t="array" ref="A5:A9">_xlfn._xlws.SORT(_xlfn.UNIQUE(VSTACK(_xlfn._xlws.FILTER('전기원장'!$A$5:$A$1004,'전기원장'!$A$5:$A$1004&lt;&gt;""),_xlfn._xlws.FILTER('당기원장'!$A$5:$A$1004,'당기원장'!$A$5:$A$1004&lt;&gt;""))))</x:f>
        <x:v>510100</x:v>
      </x:c>
      <x:c r="B5" s="73" t="str">
        <x:f>IF(A5="","",IFERROR(XLOOKUP(A5,'당기원장'!$A$5:$A$1004,'당기원장'!$B$5:$B$1004),XLOOKUP(A5,'전기원장'!$A$5:$A$1004,'전기원장'!$B$5:$B$1004,"")))</x:f>
        <x:v>급여</x:v>
      </x:c>
      <x:c r="C5" s="75" t="n">
        <x:f>IF(A5="","",SUMIF('전기원장'!$A$5:$A$1004,A5,'전기원장'!$H$5:$H$1004))</x:f>
        <x:v>350000000</x:v>
      </x:c>
      <x:c r="D5" s="75" t="n">
        <x:f>IF(A5="","",SUMIF('당기원장'!$A$5:$A$1004,A5,'당기원장'!$H$5:$H$1004))</x:f>
        <x:v>470000000</x:v>
      </x:c>
      <x:c r="E5" s="75" t="n">
        <x:f>IF(A5="","",D5-C5)</x:f>
        <x:v>120000000</x:v>
      </x:c>
      <x:c r="F5" s="86" t="n">
        <x:f>IF(A5="","",IF(C5=0,IF(D5=0,0,1),ABS(E5)/ABS(C5)))</x:f>
        <x:v>0.34285714285714286</x:v>
      </x:c>
      <x:c r="G5" s="73" t="str">
        <x:f>IF(A5="","",IF(AND(C5=0,D5&lt;&gt;0),"신규",IF(AND(C5&lt;&gt;0,D5=0),"소멸",IF(E5=0,"변동없음","금액변동"))))</x:f>
        <x:v>금액변동</x:v>
      </x:c>
      <x:c r="H5" s="73" t="str">
        <x:f>IF(A5="","",IF(AND(ABS(E5)&gt;='기준설정'!$B$6,OR(G5="신규",G5="소멸",F5&gt;='기준설정'!$B$5)),"원인분석 대상","일반"))</x:f>
        <x:v>원인분석 대상</x:v>
      </x:c>
      <x:c r="I5" s="73" t="str">
        <x:f>IF(A5="","",IF(H5="원인분석 대상","세부원인분석 시트에서 거래별 원인을 검토","-"))</x:f>
        <x:v>세부원인분석 시트에서 거래별 원인을 검토</x:v>
      </x:c>
      <x:c r="J5" s="73" t="n">
        <x:f>IF(A5="","",COUNTIFS('전기원장'!$A$5:$A$1004,A5,'전기원장'!$J$5:$J$1004,"확인 필요")+COUNTIFS('당기원장'!$A$5:$A$1004,A5,'당기원장'!$J$5:$J$1004,"확인 필요"))</x:f>
        <x:v>0</x:v>
      </x:c>
      <x:c r="K5" s="87" t="str">
        <x:f>IF(A5="","",IF(H5&lt;&gt;"원인분석 대상","",IF(J5&gt;0,"붙임 문서 확인 후 원인 확정 필요","결의서명 기반 원인분류 검토")))</x:f>
        <x:v>결의서명 기반 원인분류 검토</x:v>
      </x:c>
    </x:row>
    <x:row r="6">
      <x:c r="A6" s="73" t="n">
        <x:v>520300</x:v>
      </x:c>
      <x:c r="B6" s="73" t="str">
        <x:f>IF(A6="","",IFERROR(XLOOKUP(A6,'당기원장'!$A$5:$A$1004,'당기원장'!$B$5:$B$1004),XLOOKUP(A6,'전기원장'!$A$5:$A$1004,'전기원장'!$B$5:$B$1004,"")))</x:f>
        <x:v>광고선전비</x:v>
      </x:c>
      <x:c r="C6" s="75" t="n">
        <x:f>IF(A6="","",SUMIF('전기원장'!$A$5:$A$1004,A6,'전기원장'!$H$5:$H$1004))</x:f>
        <x:v>120000000</x:v>
      </x:c>
      <x:c r="D6" s="75" t="n">
        <x:f>IF(A6="","",SUMIF('당기원장'!$A$5:$A$1004,A6,'당기원장'!$H$5:$H$1004))</x:f>
        <x:v>260000000</x:v>
      </x:c>
      <x:c r="E6" s="75" t="n">
        <x:f>IF(A6="","",D6-C6)</x:f>
        <x:v>140000000</x:v>
      </x:c>
      <x:c r="F6" s="86" t="n">
        <x:f>IF(A6="","",IF(C6=0,IF(D6=0,0,1),ABS(E6)/ABS(C6)))</x:f>
        <x:v>1.1666666666666667</x:v>
      </x:c>
      <x:c r="G6" s="73" t="str">
        <x:f>IF(A6="","",IF(AND(C6=0,D6&lt;&gt;0),"신규",IF(AND(C6&lt;&gt;0,D6=0),"소멸",IF(E6=0,"변동없음","금액변동"))))</x:f>
        <x:v>금액변동</x:v>
      </x:c>
      <x:c r="H6" s="73" t="str">
        <x:f>IF(A6="","",IF(AND(ABS(E6)&gt;='기준설정'!$B$6,OR(G6="신규",G6="소멸",F6&gt;='기준설정'!$B$5)),"원인분석 대상","일반"))</x:f>
        <x:v>원인분석 대상</x:v>
      </x:c>
      <x:c r="I6" s="73" t="str">
        <x:f>IF(A6="","",IF(H6="원인분석 대상","세부원인분석 시트에서 거래별 원인을 검토","-"))</x:f>
        <x:v>세부원인분석 시트에서 거래별 원인을 검토</x:v>
      </x:c>
      <x:c r="J6" s="73" t="n">
        <x:f>IF(A6="","",COUNTIFS('전기원장'!$A$5:$A$1004,A6,'전기원장'!$J$5:$J$1004,"확인 필요")+COUNTIFS('당기원장'!$A$5:$A$1004,A6,'당기원장'!$J$5:$J$1004,"확인 필요"))</x:f>
        <x:v>0</x:v>
      </x:c>
      <x:c r="K6" s="87" t="str">
        <x:f>IF(A6="","",IF(H6&lt;&gt;"원인분석 대상","",IF(J6&gt;0,"붙임 문서 확인 후 원인 확정 필요","결의서명 기반 원인분류 검토")))</x:f>
        <x:v>결의서명 기반 원인분류 검토</x:v>
      </x:c>
    </x:row>
    <x:row r="7">
      <x:c r="A7" s="73" t="n">
        <x:v>530100</x:v>
      </x:c>
      <x:c r="B7" s="73" t="str">
        <x:f>IF(A7="","",IFERROR(XLOOKUP(A7,'당기원장'!$A$5:$A$1004,'당기원장'!$B$5:$B$1004),XLOOKUP(A7,'전기원장'!$A$5:$A$1004,'전기원장'!$B$5:$B$1004,"")))</x:f>
        <x:v>임차료</x:v>
      </x:c>
      <x:c r="C7" s="75" t="n">
        <x:f>IF(A7="","",SUMIF('전기원장'!$A$5:$A$1004,A7,'전기원장'!$H$5:$H$1004))</x:f>
        <x:v>240000000</x:v>
      </x:c>
      <x:c r="D7" s="75" t="n">
        <x:f>IF(A7="","",SUMIF('당기원장'!$A$5:$A$1004,A7,'당기원장'!$H$5:$H$1004))</x:f>
        <x:v>240000000</x:v>
      </x:c>
      <x:c r="E7" s="75" t="n">
        <x:f>IF(A7="","",D7-C7)</x:f>
        <x:v>0</x:v>
      </x:c>
      <x:c r="F7" s="86" t="n">
        <x:f>IF(A7="","",IF(C7=0,IF(D7=0,0,1),ABS(E7)/ABS(C7)))</x:f>
        <x:v>0</x:v>
      </x:c>
      <x:c r="G7" s="73" t="str">
        <x:f>IF(A7="","",IF(AND(C7=0,D7&lt;&gt;0),"신규",IF(AND(C7&lt;&gt;0,D7=0),"소멸",IF(E7=0,"변동없음","금액변동"))))</x:f>
        <x:v>변동없음</x:v>
      </x:c>
      <x:c r="H7" s="73" t="str">
        <x:f>IF(A7="","",IF(AND(ABS(E7)&gt;='기준설정'!$B$6,OR(G7="신규",G7="소멸",F7&gt;='기준설정'!$B$5)),"원인분석 대상","일반"))</x:f>
        <x:v>일반</x:v>
      </x:c>
      <x:c r="I7" s="73" t="str">
        <x:f>IF(A7="","",IF(H7="원인분석 대상","세부원인분석 시트에서 거래별 원인을 검토","-"))</x:f>
        <x:v>-</x:v>
      </x:c>
      <x:c r="J7" s="73" t="n">
        <x:f>IF(A7="","",COUNTIFS('전기원장'!$A$5:$A$1004,A7,'전기원장'!$J$5:$J$1004,"확인 필요")+COUNTIFS('당기원장'!$A$5:$A$1004,A7,'당기원장'!$J$5:$J$1004,"확인 필요"))</x:f>
        <x:v>0</x:v>
      </x:c>
      <x:c r="K7" s="87" t="str">
        <x:f>IF(A7="","",IF(H7&lt;&gt;"원인분석 대상","",IF(J7&gt;0,"붙임 문서 확인 후 원인 확정 필요","결의서명 기반 원인분류 검토")))</x:f>
      </x:c>
    </x:row>
    <x:row r="8">
      <x:c r="A8" s="73" t="n">
        <x:v>540200</x:v>
      </x:c>
      <x:c r="B8" s="73" t="str">
        <x:f>IF(A8="","",IFERROR(XLOOKUP(A8,'당기원장'!$A$5:$A$1004,'당기원장'!$B$5:$B$1004),XLOOKUP(A8,'전기원장'!$A$5:$A$1004,'전기원장'!$B$5:$B$1004,"")))</x:f>
        <x:v>지급수수료</x:v>
      </x:c>
      <x:c r="C8" s="75" t="n">
        <x:f>IF(A8="","",SUMIF('전기원장'!$A$5:$A$1004,A8,'전기원장'!$H$5:$H$1004))</x:f>
        <x:v>150000000</x:v>
      </x:c>
      <x:c r="D8" s="75" t="n">
        <x:f>IF(A8="","",SUMIF('당기원장'!$A$5:$A$1004,A8,'당기원장'!$H$5:$H$1004))</x:f>
        <x:v>0</x:v>
      </x:c>
      <x:c r="E8" s="75" t="n">
        <x:f>IF(A8="","",D8-C8)</x:f>
        <x:v>-150000000</x:v>
      </x:c>
      <x:c r="F8" s="86" t="n">
        <x:f>IF(A8="","",IF(C8=0,IF(D8=0,0,1),ABS(E8)/ABS(C8)))</x:f>
        <x:v>1</x:v>
      </x:c>
      <x:c r="G8" s="73" t="str">
        <x:f>IF(A8="","",IF(AND(C8=0,D8&lt;&gt;0),"신규",IF(AND(C8&lt;&gt;0,D8=0),"소멸",IF(E8=0,"변동없음","금액변동"))))</x:f>
        <x:v>소멸</x:v>
      </x:c>
      <x:c r="H8" s="73" t="str">
        <x:f>IF(A8="","",IF(AND(ABS(E8)&gt;='기준설정'!$B$6,OR(G8="신규",G8="소멸",F8&gt;='기준설정'!$B$5)),"원인분석 대상","일반"))</x:f>
        <x:v>원인분석 대상</x:v>
      </x:c>
      <x:c r="I8" s="73" t="str">
        <x:f>IF(A8="","",IF(H8="원인분석 대상","세부원인분석 시트에서 거래별 원인을 검토","-"))</x:f>
        <x:v>세부원인분석 시트에서 거래별 원인을 검토</x:v>
      </x:c>
      <x:c r="J8" s="73" t="n">
        <x:f>IF(A8="","",COUNTIFS('전기원장'!$A$5:$A$1004,A8,'전기원장'!$J$5:$J$1004,"확인 필요")+COUNTIFS('당기원장'!$A$5:$A$1004,A8,'당기원장'!$J$5:$J$1004,"확인 필요"))</x:f>
        <x:v>1</x:v>
      </x:c>
      <x:c r="K8" s="87" t="str">
        <x:f>IF(A8="","",IF(H8&lt;&gt;"원인분석 대상","",IF(J8&gt;0,"붙임 문서 확인 후 원인 확정 필요","결의서명 기반 원인분류 검토")))</x:f>
        <x:v>붙임 문서 확인 후 원인 확정 필요</x:v>
      </x:c>
    </x:row>
    <x:row r="9">
      <x:c r="A9" s="73" t="n">
        <x:v>550500</x:v>
      </x:c>
      <x:c r="B9" s="73" t="str">
        <x:f>IF(A9="","",IFERROR(XLOOKUP(A9,'당기원장'!$A$5:$A$1004,'당기원장'!$B$5:$B$1004),XLOOKUP(A9,'전기원장'!$A$5:$A$1004,'전기원장'!$B$5:$B$1004,"")))</x:f>
        <x:v>소프트웨어</x:v>
      </x:c>
      <x:c r="C9" s="75" t="n">
        <x:f>IF(A9="","",SUMIF('전기원장'!$A$5:$A$1004,A9,'전기원장'!$H$5:$H$1004))</x:f>
        <x:v>0</x:v>
      </x:c>
      <x:c r="D9" s="75" t="n">
        <x:f>IF(A9="","",SUMIF('당기원장'!$A$5:$A$1004,A9,'당기원장'!$H$5:$H$1004))</x:f>
        <x:v>180000000</x:v>
      </x:c>
      <x:c r="E9" s="75" t="n">
        <x:f>IF(A9="","",D9-C9)</x:f>
        <x:v>180000000</x:v>
      </x:c>
      <x:c r="F9" s="86" t="n">
        <x:f>IF(A9="","",IF(C9=0,IF(D9=0,0,1),ABS(E9)/ABS(C9)))</x:f>
        <x:v>1</x:v>
      </x:c>
      <x:c r="G9" s="73" t="str">
        <x:f>IF(A9="","",IF(AND(C9=0,D9&lt;&gt;0),"신규",IF(AND(C9&lt;&gt;0,D9=0),"소멸",IF(E9=0,"변동없음","금액변동"))))</x:f>
        <x:v>신규</x:v>
      </x:c>
      <x:c r="H9" s="73" t="str">
        <x:f>IF(A9="","",IF(AND(ABS(E9)&gt;='기준설정'!$B$6,OR(G9="신규",G9="소멸",F9&gt;='기준설정'!$B$5)),"원인분석 대상","일반"))</x:f>
        <x:v>원인분석 대상</x:v>
      </x:c>
      <x:c r="I9" s="73" t="str">
        <x:f>IF(A9="","",IF(H9="원인분석 대상","세부원인분석 시트에서 거래별 원인을 검토","-"))</x:f>
        <x:v>세부원인분석 시트에서 거래별 원인을 검토</x:v>
      </x:c>
      <x:c r="J9" s="73" t="n">
        <x:f>IF(A9="","",COUNTIFS('전기원장'!$A$5:$A$1004,A9,'전기원장'!$J$5:$J$1004,"확인 필요")+COUNTIFS('당기원장'!$A$5:$A$1004,A9,'당기원장'!$J$5:$J$1004,"확인 필요"))</x:f>
        <x:v>0</x:v>
      </x:c>
      <x:c r="K9" s="87" t="str">
        <x:f>IF(A9="","",IF(H9&lt;&gt;"원인분석 대상","",IF(J9&gt;0,"붙임 문서 확인 후 원인 확정 필요","결의서명 기반 원인분류 검토")))</x:f>
        <x:v>결의서명 기반 원인분류 검토</x:v>
      </x:c>
    </x:row>
    <x:row r="10">
      <x:c r="A10" s="73"/>
      <x:c r="B10" s="73" t="str">
        <x:f>IF(A10="","",IFERROR(XLOOKUP(A10,'당기원장'!$A$5:$A$1004,'당기원장'!$B$5:$B$1004),XLOOKUP(A10,'전기원장'!$A$5:$A$1004,'전기원장'!$B$5:$B$1004,"")))</x:f>
      </x:c>
      <x:c r="C10" s="75" t="str">
        <x:f>IF(A10="","",SUMIF('전기원장'!$A$5:$A$1004,A10,'전기원장'!$H$5:$H$1004))</x:f>
      </x:c>
      <x:c r="D10" s="75" t="str">
        <x:f>IF(A10="","",SUMIF('당기원장'!$A$5:$A$1004,A10,'당기원장'!$H$5:$H$1004))</x:f>
      </x:c>
      <x:c r="E10" s="75" t="str">
        <x:f>IF(A10="","",D10-C10)</x:f>
      </x:c>
      <x:c r="F10" s="86" t="str">
        <x:f>IF(A10="","",IF(C10=0,IF(D10=0,0,1),ABS(E10)/ABS(C10)))</x:f>
      </x:c>
      <x:c r="G10" s="73" t="str">
        <x:f>IF(A10="","",IF(AND(C10=0,D10&lt;&gt;0),"신규",IF(AND(C10&lt;&gt;0,D10=0),"소멸",IF(E10=0,"변동없음","금액변동"))))</x:f>
      </x:c>
      <x:c r="H10" s="73" t="str">
        <x:f>IF(A10="","",IF(AND(ABS(E10)&gt;='기준설정'!$B$6,OR(G10="신규",G10="소멸",F10&gt;='기준설정'!$B$5)),"원인분석 대상","일반"))</x:f>
      </x:c>
      <x:c r="I10" s="73" t="str">
        <x:f>IF(A10="","",IF(H10="원인분석 대상","세부원인분석 시트에서 거래별 원인을 검토","-"))</x:f>
      </x:c>
      <x:c r="J10" s="73" t="str">
        <x:f>IF(A10="","",COUNTIFS('전기원장'!$A$5:$A$1004,A10,'전기원장'!$J$5:$J$1004,"확인 필요")+COUNTIFS('당기원장'!$A$5:$A$1004,A10,'당기원장'!$J$5:$J$1004,"확인 필요"))</x:f>
      </x:c>
      <x:c r="K10" s="87" t="str">
        <x:f>IF(A10="","",IF(H10&lt;&gt;"원인분석 대상","",IF(J10&gt;0,"붙임 문서 확인 후 원인 확정 필요","결의서명 기반 원인분류 검토")))</x:f>
      </x:c>
    </x:row>
    <x:row r="11">
      <x:c r="A11" s="73"/>
      <x:c r="B11" s="73" t="str">
        <x:f>IF(A11="","",IFERROR(XLOOKUP(A11,'당기원장'!$A$5:$A$1004,'당기원장'!$B$5:$B$1004),XLOOKUP(A11,'전기원장'!$A$5:$A$1004,'전기원장'!$B$5:$B$1004,"")))</x:f>
      </x:c>
      <x:c r="C11" s="75" t="str">
        <x:f>IF(A11="","",SUMIF('전기원장'!$A$5:$A$1004,A11,'전기원장'!$H$5:$H$1004))</x:f>
      </x:c>
      <x:c r="D11" s="75" t="str">
        <x:f>IF(A11="","",SUMIF('당기원장'!$A$5:$A$1004,A11,'당기원장'!$H$5:$H$1004))</x:f>
      </x:c>
      <x:c r="E11" s="75" t="str">
        <x:f>IF(A11="","",D11-C11)</x:f>
      </x:c>
      <x:c r="F11" s="86" t="str">
        <x:f>IF(A11="","",IF(C11=0,IF(D11=0,0,1),ABS(E11)/ABS(C11)))</x:f>
      </x:c>
      <x:c r="G11" s="73" t="str">
        <x:f>IF(A11="","",IF(AND(C11=0,D11&lt;&gt;0),"신규",IF(AND(C11&lt;&gt;0,D11=0),"소멸",IF(E11=0,"변동없음","금액변동"))))</x:f>
      </x:c>
      <x:c r="H11" s="73" t="str">
        <x:f>IF(A11="","",IF(AND(ABS(E11)&gt;='기준설정'!$B$6,OR(G11="신규",G11="소멸",F11&gt;='기준설정'!$B$5)),"원인분석 대상","일반"))</x:f>
      </x:c>
      <x:c r="I11" s="73" t="str">
        <x:f>IF(A11="","",IF(H11="원인분석 대상","세부원인분석 시트에서 거래별 원인을 검토","-"))</x:f>
      </x:c>
      <x:c r="J11" s="73" t="str">
        <x:f>IF(A11="","",COUNTIFS('전기원장'!$A$5:$A$1004,A11,'전기원장'!$J$5:$J$1004,"확인 필요")+COUNTIFS('당기원장'!$A$5:$A$1004,A11,'당기원장'!$J$5:$J$1004,"확인 필요"))</x:f>
      </x:c>
      <x:c r="K11" s="87" t="str">
        <x:f>IF(A11="","",IF(H11&lt;&gt;"원인분석 대상","",IF(J11&gt;0,"붙임 문서 확인 후 원인 확정 필요","결의서명 기반 원인분류 검토")))</x:f>
      </x:c>
    </x:row>
    <x:row r="12">
      <x:c r="A12" s="73"/>
      <x:c r="B12" s="73" t="str">
        <x:f>IF(A12="","",IFERROR(XLOOKUP(A12,'당기원장'!$A$5:$A$1004,'당기원장'!$B$5:$B$1004),XLOOKUP(A12,'전기원장'!$A$5:$A$1004,'전기원장'!$B$5:$B$1004,"")))</x:f>
      </x:c>
      <x:c r="C12" s="75" t="str">
        <x:f>IF(A12="","",SUMIF('전기원장'!$A$5:$A$1004,A12,'전기원장'!$H$5:$H$1004))</x:f>
      </x:c>
      <x:c r="D12" s="75" t="str">
        <x:f>IF(A12="","",SUMIF('당기원장'!$A$5:$A$1004,A12,'당기원장'!$H$5:$H$1004))</x:f>
      </x:c>
      <x:c r="E12" s="75" t="str">
        <x:f>IF(A12="","",D12-C12)</x:f>
      </x:c>
      <x:c r="F12" s="86" t="str">
        <x:f>IF(A12="","",IF(C12=0,IF(D12=0,0,1),ABS(E12)/ABS(C12)))</x:f>
      </x:c>
      <x:c r="G12" s="73" t="str">
        <x:f>IF(A12="","",IF(AND(C12=0,D12&lt;&gt;0),"신규",IF(AND(C12&lt;&gt;0,D12=0),"소멸",IF(E12=0,"변동없음","금액변동"))))</x:f>
      </x:c>
      <x:c r="H12" s="73" t="str">
        <x:f>IF(A12="","",IF(AND(ABS(E12)&gt;='기준설정'!$B$6,OR(G12="신규",G12="소멸",F12&gt;='기준설정'!$B$5)),"원인분석 대상","일반"))</x:f>
      </x:c>
      <x:c r="I12" s="73" t="str">
        <x:f>IF(A12="","",IF(H12="원인분석 대상","세부원인분석 시트에서 거래별 원인을 검토","-"))</x:f>
      </x:c>
      <x:c r="J12" s="73" t="str">
        <x:f>IF(A12="","",COUNTIFS('전기원장'!$A$5:$A$1004,A12,'전기원장'!$J$5:$J$1004,"확인 필요")+COUNTIFS('당기원장'!$A$5:$A$1004,A12,'당기원장'!$J$5:$J$1004,"확인 필요"))</x:f>
      </x:c>
      <x:c r="K12" s="87" t="str">
        <x:f>IF(A12="","",IF(H12&lt;&gt;"원인분석 대상","",IF(J12&gt;0,"붙임 문서 확인 후 원인 확정 필요","결의서명 기반 원인분류 검토")))</x:f>
      </x:c>
    </x:row>
    <x:row r="13">
      <x:c r="A13" s="73"/>
      <x:c r="B13" s="73" t="str">
        <x:f>IF(A13="","",IFERROR(XLOOKUP(A13,'당기원장'!$A$5:$A$1004,'당기원장'!$B$5:$B$1004),XLOOKUP(A13,'전기원장'!$A$5:$A$1004,'전기원장'!$B$5:$B$1004,"")))</x:f>
      </x:c>
      <x:c r="C13" s="75" t="str">
        <x:f>IF(A13="","",SUMIF('전기원장'!$A$5:$A$1004,A13,'전기원장'!$H$5:$H$1004))</x:f>
      </x:c>
      <x:c r="D13" s="75" t="str">
        <x:f>IF(A13="","",SUMIF('당기원장'!$A$5:$A$1004,A13,'당기원장'!$H$5:$H$1004))</x:f>
      </x:c>
      <x:c r="E13" s="75" t="str">
        <x:f>IF(A13="","",D13-C13)</x:f>
      </x:c>
      <x:c r="F13" s="86" t="str">
        <x:f>IF(A13="","",IF(C13=0,IF(D13=0,0,1),ABS(E13)/ABS(C13)))</x:f>
      </x:c>
      <x:c r="G13" s="73" t="str">
        <x:f>IF(A13="","",IF(AND(C13=0,D13&lt;&gt;0),"신규",IF(AND(C13&lt;&gt;0,D13=0),"소멸",IF(E13=0,"변동없음","금액변동"))))</x:f>
      </x:c>
      <x:c r="H13" s="73" t="str">
        <x:f>IF(A13="","",IF(AND(ABS(E13)&gt;='기준설정'!$B$6,OR(G13="신규",G13="소멸",F13&gt;='기준설정'!$B$5)),"원인분석 대상","일반"))</x:f>
      </x:c>
      <x:c r="I13" s="73" t="str">
        <x:f>IF(A13="","",IF(H13="원인분석 대상","세부원인분석 시트에서 거래별 원인을 검토","-"))</x:f>
      </x:c>
      <x:c r="J13" s="73" t="str">
        <x:f>IF(A13="","",COUNTIFS('전기원장'!$A$5:$A$1004,A13,'전기원장'!$J$5:$J$1004,"확인 필요")+COUNTIFS('당기원장'!$A$5:$A$1004,A13,'당기원장'!$J$5:$J$1004,"확인 필요"))</x:f>
      </x:c>
      <x:c r="K13" s="87" t="str">
        <x:f>IF(A13="","",IF(H13&lt;&gt;"원인분석 대상","",IF(J13&gt;0,"붙임 문서 확인 후 원인 확정 필요","결의서명 기반 원인분류 검토")))</x:f>
      </x:c>
    </x:row>
    <x:row r="14">
      <x:c r="A14" s="73"/>
      <x:c r="B14" s="73" t="str">
        <x:f>IF(A14="","",IFERROR(XLOOKUP(A14,'당기원장'!$A$5:$A$1004,'당기원장'!$B$5:$B$1004),XLOOKUP(A14,'전기원장'!$A$5:$A$1004,'전기원장'!$B$5:$B$1004,"")))</x:f>
      </x:c>
      <x:c r="C14" s="75" t="str">
        <x:f>IF(A14="","",SUMIF('전기원장'!$A$5:$A$1004,A14,'전기원장'!$H$5:$H$1004))</x:f>
      </x:c>
      <x:c r="D14" s="75" t="str">
        <x:f>IF(A14="","",SUMIF('당기원장'!$A$5:$A$1004,A14,'당기원장'!$H$5:$H$1004))</x:f>
      </x:c>
      <x:c r="E14" s="75" t="str">
        <x:f>IF(A14="","",D14-C14)</x:f>
      </x:c>
      <x:c r="F14" s="86" t="str">
        <x:f>IF(A14="","",IF(C14=0,IF(D14=0,0,1),ABS(E14)/ABS(C14)))</x:f>
      </x:c>
      <x:c r="G14" s="73" t="str">
        <x:f>IF(A14="","",IF(AND(C14=0,D14&lt;&gt;0),"신규",IF(AND(C14&lt;&gt;0,D14=0),"소멸",IF(E14=0,"변동없음","금액변동"))))</x:f>
      </x:c>
      <x:c r="H14" s="73" t="str">
        <x:f>IF(A14="","",IF(AND(ABS(E14)&gt;='기준설정'!$B$6,OR(G14="신규",G14="소멸",F14&gt;='기준설정'!$B$5)),"원인분석 대상","일반"))</x:f>
      </x:c>
      <x:c r="I14" s="73" t="str">
        <x:f>IF(A14="","",IF(H14="원인분석 대상","세부원인분석 시트에서 거래별 원인을 검토","-"))</x:f>
      </x:c>
      <x:c r="J14" s="73" t="str">
        <x:f>IF(A14="","",COUNTIFS('전기원장'!$A$5:$A$1004,A14,'전기원장'!$J$5:$J$1004,"확인 필요")+COUNTIFS('당기원장'!$A$5:$A$1004,A14,'당기원장'!$J$5:$J$1004,"확인 필요"))</x:f>
      </x:c>
      <x:c r="K14" s="87" t="str">
        <x:f>IF(A14="","",IF(H14&lt;&gt;"원인분석 대상","",IF(J14&gt;0,"붙임 문서 확인 후 원인 확정 필요","결의서명 기반 원인분류 검토")))</x:f>
      </x:c>
    </x:row>
    <x:row r="15">
      <x:c r="A15" s="73"/>
      <x:c r="B15" s="73" t="str">
        <x:f>IF(A15="","",IFERROR(XLOOKUP(A15,'당기원장'!$A$5:$A$1004,'당기원장'!$B$5:$B$1004),XLOOKUP(A15,'전기원장'!$A$5:$A$1004,'전기원장'!$B$5:$B$1004,"")))</x:f>
      </x:c>
      <x:c r="C15" s="75" t="str">
        <x:f>IF(A15="","",SUMIF('전기원장'!$A$5:$A$1004,A15,'전기원장'!$H$5:$H$1004))</x:f>
      </x:c>
      <x:c r="D15" s="75" t="str">
        <x:f>IF(A15="","",SUMIF('당기원장'!$A$5:$A$1004,A15,'당기원장'!$H$5:$H$1004))</x:f>
      </x:c>
      <x:c r="E15" s="75" t="str">
        <x:f>IF(A15="","",D15-C15)</x:f>
      </x:c>
      <x:c r="F15" s="86" t="str">
        <x:f>IF(A15="","",IF(C15=0,IF(D15=0,0,1),ABS(E15)/ABS(C15)))</x:f>
      </x:c>
      <x:c r="G15" s="73" t="str">
        <x:f>IF(A15="","",IF(AND(C15=0,D15&lt;&gt;0),"신규",IF(AND(C15&lt;&gt;0,D15=0),"소멸",IF(E15=0,"변동없음","금액변동"))))</x:f>
      </x:c>
      <x:c r="H15" s="73" t="str">
        <x:f>IF(A15="","",IF(AND(ABS(E15)&gt;='기준설정'!$B$6,OR(G15="신규",G15="소멸",F15&gt;='기준설정'!$B$5)),"원인분석 대상","일반"))</x:f>
      </x:c>
      <x:c r="I15" s="73" t="str">
        <x:f>IF(A15="","",IF(H15="원인분석 대상","세부원인분석 시트에서 거래별 원인을 검토","-"))</x:f>
      </x:c>
      <x:c r="J15" s="73" t="str">
        <x:f>IF(A15="","",COUNTIFS('전기원장'!$A$5:$A$1004,A15,'전기원장'!$J$5:$J$1004,"확인 필요")+COUNTIFS('당기원장'!$A$5:$A$1004,A15,'당기원장'!$J$5:$J$1004,"확인 필요"))</x:f>
      </x:c>
      <x:c r="K15" s="87" t="str">
        <x:f>IF(A15="","",IF(H15&lt;&gt;"원인분석 대상","",IF(J15&gt;0,"붙임 문서 확인 후 원인 확정 필요","결의서명 기반 원인분류 검토")))</x:f>
      </x:c>
    </x:row>
    <x:row r="16">
      <x:c r="A16" s="73"/>
      <x:c r="B16" s="73" t="str">
        <x:f>IF(A16="","",IFERROR(XLOOKUP(A16,'당기원장'!$A$5:$A$1004,'당기원장'!$B$5:$B$1004),XLOOKUP(A16,'전기원장'!$A$5:$A$1004,'전기원장'!$B$5:$B$1004,"")))</x:f>
      </x:c>
      <x:c r="C16" s="75" t="str">
        <x:f>IF(A16="","",SUMIF('전기원장'!$A$5:$A$1004,A16,'전기원장'!$H$5:$H$1004))</x:f>
      </x:c>
      <x:c r="D16" s="75" t="str">
        <x:f>IF(A16="","",SUMIF('당기원장'!$A$5:$A$1004,A16,'당기원장'!$H$5:$H$1004))</x:f>
      </x:c>
      <x:c r="E16" s="75" t="str">
        <x:f>IF(A16="","",D16-C16)</x:f>
      </x:c>
      <x:c r="F16" s="86" t="str">
        <x:f>IF(A16="","",IF(C16=0,IF(D16=0,0,1),ABS(E16)/ABS(C16)))</x:f>
      </x:c>
      <x:c r="G16" s="73" t="str">
        <x:f>IF(A16="","",IF(AND(C16=0,D16&lt;&gt;0),"신규",IF(AND(C16&lt;&gt;0,D16=0),"소멸",IF(E16=0,"변동없음","금액변동"))))</x:f>
      </x:c>
      <x:c r="H16" s="73" t="str">
        <x:f>IF(A16="","",IF(AND(ABS(E16)&gt;='기준설정'!$B$6,OR(G16="신규",G16="소멸",F16&gt;='기준설정'!$B$5)),"원인분석 대상","일반"))</x:f>
      </x:c>
      <x:c r="I16" s="73" t="str">
        <x:f>IF(A16="","",IF(H16="원인분석 대상","세부원인분석 시트에서 거래별 원인을 검토","-"))</x:f>
      </x:c>
      <x:c r="J16" s="73" t="str">
        <x:f>IF(A16="","",COUNTIFS('전기원장'!$A$5:$A$1004,A16,'전기원장'!$J$5:$J$1004,"확인 필요")+COUNTIFS('당기원장'!$A$5:$A$1004,A16,'당기원장'!$J$5:$J$1004,"확인 필요"))</x:f>
      </x:c>
      <x:c r="K16" s="87" t="str">
        <x:f>IF(A16="","",IF(H16&lt;&gt;"원인분석 대상","",IF(J16&gt;0,"붙임 문서 확인 후 원인 확정 필요","결의서명 기반 원인분류 검토")))</x:f>
      </x:c>
    </x:row>
    <x:row r="17">
      <x:c r="A17" s="73"/>
      <x:c r="B17" s="73" t="str">
        <x:f>IF(A17="","",IFERROR(XLOOKUP(A17,'당기원장'!$A$5:$A$1004,'당기원장'!$B$5:$B$1004),XLOOKUP(A17,'전기원장'!$A$5:$A$1004,'전기원장'!$B$5:$B$1004,"")))</x:f>
      </x:c>
      <x:c r="C17" s="75" t="str">
        <x:f>IF(A17="","",SUMIF('전기원장'!$A$5:$A$1004,A17,'전기원장'!$H$5:$H$1004))</x:f>
      </x:c>
      <x:c r="D17" s="75" t="str">
        <x:f>IF(A17="","",SUMIF('당기원장'!$A$5:$A$1004,A17,'당기원장'!$H$5:$H$1004))</x:f>
      </x:c>
      <x:c r="E17" s="75" t="str">
        <x:f>IF(A17="","",D17-C17)</x:f>
      </x:c>
      <x:c r="F17" s="86" t="str">
        <x:f>IF(A17="","",IF(C17=0,IF(D17=0,0,1),ABS(E17)/ABS(C17)))</x:f>
      </x:c>
      <x:c r="G17" s="73" t="str">
        <x:f>IF(A17="","",IF(AND(C17=0,D17&lt;&gt;0),"신규",IF(AND(C17&lt;&gt;0,D17=0),"소멸",IF(E17=0,"변동없음","금액변동"))))</x:f>
      </x:c>
      <x:c r="H17" s="73" t="str">
        <x:f>IF(A17="","",IF(AND(ABS(E17)&gt;='기준설정'!$B$6,OR(G17="신규",G17="소멸",F17&gt;='기준설정'!$B$5)),"원인분석 대상","일반"))</x:f>
      </x:c>
      <x:c r="I17" s="73" t="str">
        <x:f>IF(A17="","",IF(H17="원인분석 대상","세부원인분석 시트에서 거래별 원인을 검토","-"))</x:f>
      </x:c>
      <x:c r="J17" s="73" t="str">
        <x:f>IF(A17="","",COUNTIFS('전기원장'!$A$5:$A$1004,A17,'전기원장'!$J$5:$J$1004,"확인 필요")+COUNTIFS('당기원장'!$A$5:$A$1004,A17,'당기원장'!$J$5:$J$1004,"확인 필요"))</x:f>
      </x:c>
      <x:c r="K17" s="87" t="str">
        <x:f>IF(A17="","",IF(H17&lt;&gt;"원인분석 대상","",IF(J17&gt;0,"붙임 문서 확인 후 원인 확정 필요","결의서명 기반 원인분류 검토")))</x:f>
      </x:c>
    </x:row>
    <x:row r="18">
      <x:c r="A18" s="73"/>
      <x:c r="B18" s="73" t="str">
        <x:f>IF(A18="","",IFERROR(XLOOKUP(A18,'당기원장'!$A$5:$A$1004,'당기원장'!$B$5:$B$1004),XLOOKUP(A18,'전기원장'!$A$5:$A$1004,'전기원장'!$B$5:$B$1004,"")))</x:f>
      </x:c>
      <x:c r="C18" s="75" t="str">
        <x:f>IF(A18="","",SUMIF('전기원장'!$A$5:$A$1004,A18,'전기원장'!$H$5:$H$1004))</x:f>
      </x:c>
      <x:c r="D18" s="75" t="str">
        <x:f>IF(A18="","",SUMIF('당기원장'!$A$5:$A$1004,A18,'당기원장'!$H$5:$H$1004))</x:f>
      </x:c>
      <x:c r="E18" s="75" t="str">
        <x:f>IF(A18="","",D18-C18)</x:f>
      </x:c>
      <x:c r="F18" s="86" t="str">
        <x:f>IF(A18="","",IF(C18=0,IF(D18=0,0,1),ABS(E18)/ABS(C18)))</x:f>
      </x:c>
      <x:c r="G18" s="73" t="str">
        <x:f>IF(A18="","",IF(AND(C18=0,D18&lt;&gt;0),"신규",IF(AND(C18&lt;&gt;0,D18=0),"소멸",IF(E18=0,"변동없음","금액변동"))))</x:f>
      </x:c>
      <x:c r="H18" s="73" t="str">
        <x:f>IF(A18="","",IF(AND(ABS(E18)&gt;='기준설정'!$B$6,OR(G18="신규",G18="소멸",F18&gt;='기준설정'!$B$5)),"원인분석 대상","일반"))</x:f>
      </x:c>
      <x:c r="I18" s="73" t="str">
        <x:f>IF(A18="","",IF(H18="원인분석 대상","세부원인분석 시트에서 거래별 원인을 검토","-"))</x:f>
      </x:c>
      <x:c r="J18" s="73" t="str">
        <x:f>IF(A18="","",COUNTIFS('전기원장'!$A$5:$A$1004,A18,'전기원장'!$J$5:$J$1004,"확인 필요")+COUNTIFS('당기원장'!$A$5:$A$1004,A18,'당기원장'!$J$5:$J$1004,"확인 필요"))</x:f>
      </x:c>
      <x:c r="K18" s="87" t="str">
        <x:f>IF(A18="","",IF(H18&lt;&gt;"원인분석 대상","",IF(J18&gt;0,"붙임 문서 확인 후 원인 확정 필요","결의서명 기반 원인분류 검토")))</x:f>
      </x:c>
    </x:row>
    <x:row r="19">
      <x:c r="A19" s="73"/>
      <x:c r="B19" s="73" t="str">
        <x:f>IF(A19="","",IFERROR(XLOOKUP(A19,'당기원장'!$A$5:$A$1004,'당기원장'!$B$5:$B$1004),XLOOKUP(A19,'전기원장'!$A$5:$A$1004,'전기원장'!$B$5:$B$1004,"")))</x:f>
      </x:c>
      <x:c r="C19" s="75" t="str">
        <x:f>IF(A19="","",SUMIF('전기원장'!$A$5:$A$1004,A19,'전기원장'!$H$5:$H$1004))</x:f>
      </x:c>
      <x:c r="D19" s="75" t="str">
        <x:f>IF(A19="","",SUMIF('당기원장'!$A$5:$A$1004,A19,'당기원장'!$H$5:$H$1004))</x:f>
      </x:c>
      <x:c r="E19" s="75" t="str">
        <x:f>IF(A19="","",D19-C19)</x:f>
      </x:c>
      <x:c r="F19" s="86" t="str">
        <x:f>IF(A19="","",IF(C19=0,IF(D19=0,0,1),ABS(E19)/ABS(C19)))</x:f>
      </x:c>
      <x:c r="G19" s="73" t="str">
        <x:f>IF(A19="","",IF(AND(C19=0,D19&lt;&gt;0),"신규",IF(AND(C19&lt;&gt;0,D19=0),"소멸",IF(E19=0,"변동없음","금액변동"))))</x:f>
      </x:c>
      <x:c r="H19" s="73" t="str">
        <x:f>IF(A19="","",IF(AND(ABS(E19)&gt;='기준설정'!$B$6,OR(G19="신규",G19="소멸",F19&gt;='기준설정'!$B$5)),"원인분석 대상","일반"))</x:f>
      </x:c>
      <x:c r="I19" s="73" t="str">
        <x:f>IF(A19="","",IF(H19="원인분석 대상","세부원인분석 시트에서 거래별 원인을 검토","-"))</x:f>
      </x:c>
      <x:c r="J19" s="73" t="str">
        <x:f>IF(A19="","",COUNTIFS('전기원장'!$A$5:$A$1004,A19,'전기원장'!$J$5:$J$1004,"확인 필요")+COUNTIFS('당기원장'!$A$5:$A$1004,A19,'당기원장'!$J$5:$J$1004,"확인 필요"))</x:f>
      </x:c>
      <x:c r="K19" s="87" t="str">
        <x:f>IF(A19="","",IF(H19&lt;&gt;"원인분석 대상","",IF(J19&gt;0,"붙임 문서 확인 후 원인 확정 필요","결의서명 기반 원인분류 검토")))</x:f>
      </x:c>
    </x:row>
    <x:row r="20">
      <x:c r="A20" s="73"/>
      <x:c r="B20" s="73" t="str">
        <x:f>IF(A20="","",IFERROR(XLOOKUP(A20,'당기원장'!$A$5:$A$1004,'당기원장'!$B$5:$B$1004),XLOOKUP(A20,'전기원장'!$A$5:$A$1004,'전기원장'!$B$5:$B$1004,"")))</x:f>
      </x:c>
      <x:c r="C20" s="75" t="str">
        <x:f>IF(A20="","",SUMIF('전기원장'!$A$5:$A$1004,A20,'전기원장'!$H$5:$H$1004))</x:f>
      </x:c>
      <x:c r="D20" s="75" t="str">
        <x:f>IF(A20="","",SUMIF('당기원장'!$A$5:$A$1004,A20,'당기원장'!$H$5:$H$1004))</x:f>
      </x:c>
      <x:c r="E20" s="75" t="str">
        <x:f>IF(A20="","",D20-C20)</x:f>
      </x:c>
      <x:c r="F20" s="86" t="str">
        <x:f>IF(A20="","",IF(C20=0,IF(D20=0,0,1),ABS(E20)/ABS(C20)))</x:f>
      </x:c>
      <x:c r="G20" s="73" t="str">
        <x:f>IF(A20="","",IF(AND(C20=0,D20&lt;&gt;0),"신규",IF(AND(C20&lt;&gt;0,D20=0),"소멸",IF(E20=0,"변동없음","금액변동"))))</x:f>
      </x:c>
      <x:c r="H20" s="73" t="str">
        <x:f>IF(A20="","",IF(AND(ABS(E20)&gt;='기준설정'!$B$6,OR(G20="신규",G20="소멸",F20&gt;='기준설정'!$B$5)),"원인분석 대상","일반"))</x:f>
      </x:c>
      <x:c r="I20" s="73" t="str">
        <x:f>IF(A20="","",IF(H20="원인분석 대상","세부원인분석 시트에서 거래별 원인을 검토","-"))</x:f>
      </x:c>
      <x:c r="J20" s="73" t="str">
        <x:f>IF(A20="","",COUNTIFS('전기원장'!$A$5:$A$1004,A20,'전기원장'!$J$5:$J$1004,"확인 필요")+COUNTIFS('당기원장'!$A$5:$A$1004,A20,'당기원장'!$J$5:$J$1004,"확인 필요"))</x:f>
      </x:c>
      <x:c r="K20" s="87" t="str">
        <x:f>IF(A20="","",IF(H20&lt;&gt;"원인분석 대상","",IF(J20&gt;0,"붙임 문서 확인 후 원인 확정 필요","결의서명 기반 원인분류 검토")))</x:f>
      </x:c>
    </x:row>
    <x:row r="21">
      <x:c r="A21" s="73"/>
      <x:c r="B21" s="73" t="str">
        <x:f>IF(A21="","",IFERROR(XLOOKUP(A21,'당기원장'!$A$5:$A$1004,'당기원장'!$B$5:$B$1004),XLOOKUP(A21,'전기원장'!$A$5:$A$1004,'전기원장'!$B$5:$B$1004,"")))</x:f>
      </x:c>
      <x:c r="C21" s="75" t="str">
        <x:f>IF(A21="","",SUMIF('전기원장'!$A$5:$A$1004,A21,'전기원장'!$H$5:$H$1004))</x:f>
      </x:c>
      <x:c r="D21" s="75" t="str">
        <x:f>IF(A21="","",SUMIF('당기원장'!$A$5:$A$1004,A21,'당기원장'!$H$5:$H$1004))</x:f>
      </x:c>
      <x:c r="E21" s="75" t="str">
        <x:f>IF(A21="","",D21-C21)</x:f>
      </x:c>
      <x:c r="F21" s="86" t="str">
        <x:f>IF(A21="","",IF(C21=0,IF(D21=0,0,1),ABS(E21)/ABS(C21)))</x:f>
      </x:c>
      <x:c r="G21" s="73" t="str">
        <x:f>IF(A21="","",IF(AND(C21=0,D21&lt;&gt;0),"신규",IF(AND(C21&lt;&gt;0,D21=0),"소멸",IF(E21=0,"변동없음","금액변동"))))</x:f>
      </x:c>
      <x:c r="H21" s="73" t="str">
        <x:f>IF(A21="","",IF(AND(ABS(E21)&gt;='기준설정'!$B$6,OR(G21="신규",G21="소멸",F21&gt;='기준설정'!$B$5)),"원인분석 대상","일반"))</x:f>
      </x:c>
      <x:c r="I21" s="73" t="str">
        <x:f>IF(A21="","",IF(H21="원인분석 대상","세부원인분석 시트에서 거래별 원인을 검토","-"))</x:f>
      </x:c>
      <x:c r="J21" s="73" t="str">
        <x:f>IF(A21="","",COUNTIFS('전기원장'!$A$5:$A$1004,A21,'전기원장'!$J$5:$J$1004,"확인 필요")+COUNTIFS('당기원장'!$A$5:$A$1004,A21,'당기원장'!$J$5:$J$1004,"확인 필요"))</x:f>
      </x:c>
      <x:c r="K21" s="87" t="str">
        <x:f>IF(A21="","",IF(H21&lt;&gt;"원인분석 대상","",IF(J21&gt;0,"붙임 문서 확인 후 원인 확정 필요","결의서명 기반 원인분류 검토")))</x:f>
      </x:c>
    </x:row>
    <x:row r="22">
      <x:c r="A22" s="73"/>
      <x:c r="B22" s="73" t="str">
        <x:f>IF(A22="","",IFERROR(XLOOKUP(A22,'당기원장'!$A$5:$A$1004,'당기원장'!$B$5:$B$1004),XLOOKUP(A22,'전기원장'!$A$5:$A$1004,'전기원장'!$B$5:$B$1004,"")))</x:f>
      </x:c>
      <x:c r="C22" s="75" t="str">
        <x:f>IF(A22="","",SUMIF('전기원장'!$A$5:$A$1004,A22,'전기원장'!$H$5:$H$1004))</x:f>
      </x:c>
      <x:c r="D22" s="75" t="str">
        <x:f>IF(A22="","",SUMIF('당기원장'!$A$5:$A$1004,A22,'당기원장'!$H$5:$H$1004))</x:f>
      </x:c>
      <x:c r="E22" s="75" t="str">
        <x:f>IF(A22="","",D22-C22)</x:f>
      </x:c>
      <x:c r="F22" s="86" t="str">
        <x:f>IF(A22="","",IF(C22=0,IF(D22=0,0,1),ABS(E22)/ABS(C22)))</x:f>
      </x:c>
      <x:c r="G22" s="73" t="str">
        <x:f>IF(A22="","",IF(AND(C22=0,D22&lt;&gt;0),"신규",IF(AND(C22&lt;&gt;0,D22=0),"소멸",IF(E22=0,"변동없음","금액변동"))))</x:f>
      </x:c>
      <x:c r="H22" s="73" t="str">
        <x:f>IF(A22="","",IF(AND(ABS(E22)&gt;='기준설정'!$B$6,OR(G22="신규",G22="소멸",F22&gt;='기준설정'!$B$5)),"원인분석 대상","일반"))</x:f>
      </x:c>
      <x:c r="I22" s="73" t="str">
        <x:f>IF(A22="","",IF(H22="원인분석 대상","세부원인분석 시트에서 거래별 원인을 검토","-"))</x:f>
      </x:c>
      <x:c r="J22" s="73" t="str">
        <x:f>IF(A22="","",COUNTIFS('전기원장'!$A$5:$A$1004,A22,'전기원장'!$J$5:$J$1004,"확인 필요")+COUNTIFS('당기원장'!$A$5:$A$1004,A22,'당기원장'!$J$5:$J$1004,"확인 필요"))</x:f>
      </x:c>
      <x:c r="K22" s="87" t="str">
        <x:f>IF(A22="","",IF(H22&lt;&gt;"원인분석 대상","",IF(J22&gt;0,"붙임 문서 확인 후 원인 확정 필요","결의서명 기반 원인분류 검토")))</x:f>
      </x:c>
    </x:row>
    <x:row r="23">
      <x:c r="A23" s="73"/>
      <x:c r="B23" s="73" t="str">
        <x:f>IF(A23="","",IFERROR(XLOOKUP(A23,'당기원장'!$A$5:$A$1004,'당기원장'!$B$5:$B$1004),XLOOKUP(A23,'전기원장'!$A$5:$A$1004,'전기원장'!$B$5:$B$1004,"")))</x:f>
      </x:c>
      <x:c r="C23" s="75" t="str">
        <x:f>IF(A23="","",SUMIF('전기원장'!$A$5:$A$1004,A23,'전기원장'!$H$5:$H$1004))</x:f>
      </x:c>
      <x:c r="D23" s="75" t="str">
        <x:f>IF(A23="","",SUMIF('당기원장'!$A$5:$A$1004,A23,'당기원장'!$H$5:$H$1004))</x:f>
      </x:c>
      <x:c r="E23" s="75" t="str">
        <x:f>IF(A23="","",D23-C23)</x:f>
      </x:c>
      <x:c r="F23" s="86" t="str">
        <x:f>IF(A23="","",IF(C23=0,IF(D23=0,0,1),ABS(E23)/ABS(C23)))</x:f>
      </x:c>
      <x:c r="G23" s="73" t="str">
        <x:f>IF(A23="","",IF(AND(C23=0,D23&lt;&gt;0),"신규",IF(AND(C23&lt;&gt;0,D23=0),"소멸",IF(E23=0,"변동없음","금액변동"))))</x:f>
      </x:c>
      <x:c r="H23" s="73" t="str">
        <x:f>IF(A23="","",IF(AND(ABS(E23)&gt;='기준설정'!$B$6,OR(G23="신규",G23="소멸",F23&gt;='기준설정'!$B$5)),"원인분석 대상","일반"))</x:f>
      </x:c>
      <x:c r="I23" s="73" t="str">
        <x:f>IF(A23="","",IF(H23="원인분석 대상","세부원인분석 시트에서 거래별 원인을 검토","-"))</x:f>
      </x:c>
      <x:c r="J23" s="73" t="str">
        <x:f>IF(A23="","",COUNTIFS('전기원장'!$A$5:$A$1004,A23,'전기원장'!$J$5:$J$1004,"확인 필요")+COUNTIFS('당기원장'!$A$5:$A$1004,A23,'당기원장'!$J$5:$J$1004,"확인 필요"))</x:f>
      </x:c>
      <x:c r="K23" s="87" t="str">
        <x:f>IF(A23="","",IF(H23&lt;&gt;"원인분석 대상","",IF(J23&gt;0,"붙임 문서 확인 후 원인 확정 필요","결의서명 기반 원인분류 검토")))</x:f>
      </x:c>
    </x:row>
    <x:row r="24">
      <x:c r="A24" s="73"/>
      <x:c r="B24" s="73" t="str">
        <x:f>IF(A24="","",IFERROR(XLOOKUP(A24,'당기원장'!$A$5:$A$1004,'당기원장'!$B$5:$B$1004),XLOOKUP(A24,'전기원장'!$A$5:$A$1004,'전기원장'!$B$5:$B$1004,"")))</x:f>
      </x:c>
      <x:c r="C24" s="75" t="str">
        <x:f>IF(A24="","",SUMIF('전기원장'!$A$5:$A$1004,A24,'전기원장'!$H$5:$H$1004))</x:f>
      </x:c>
      <x:c r="D24" s="75" t="str">
        <x:f>IF(A24="","",SUMIF('당기원장'!$A$5:$A$1004,A24,'당기원장'!$H$5:$H$1004))</x:f>
      </x:c>
      <x:c r="E24" s="75" t="str">
        <x:f>IF(A24="","",D24-C24)</x:f>
      </x:c>
      <x:c r="F24" s="86" t="str">
        <x:f>IF(A24="","",IF(C24=0,IF(D24=0,0,1),ABS(E24)/ABS(C24)))</x:f>
      </x:c>
      <x:c r="G24" s="73" t="str">
        <x:f>IF(A24="","",IF(AND(C24=0,D24&lt;&gt;0),"신규",IF(AND(C24&lt;&gt;0,D24=0),"소멸",IF(E24=0,"변동없음","금액변동"))))</x:f>
      </x:c>
      <x:c r="H24" s="73" t="str">
        <x:f>IF(A24="","",IF(AND(ABS(E24)&gt;='기준설정'!$B$6,OR(G24="신규",G24="소멸",F24&gt;='기준설정'!$B$5)),"원인분석 대상","일반"))</x:f>
      </x:c>
      <x:c r="I24" s="73" t="str">
        <x:f>IF(A24="","",IF(H24="원인분석 대상","세부원인분석 시트에서 거래별 원인을 검토","-"))</x:f>
      </x:c>
      <x:c r="J24" s="73" t="str">
        <x:f>IF(A24="","",COUNTIFS('전기원장'!$A$5:$A$1004,A24,'전기원장'!$J$5:$J$1004,"확인 필요")+COUNTIFS('당기원장'!$A$5:$A$1004,A24,'당기원장'!$J$5:$J$1004,"확인 필요"))</x:f>
      </x:c>
      <x:c r="K24" s="87" t="str">
        <x:f>IF(A24="","",IF(H24&lt;&gt;"원인분석 대상","",IF(J24&gt;0,"붙임 문서 확인 후 원인 확정 필요","결의서명 기반 원인분류 검토")))</x:f>
      </x:c>
    </x:row>
    <x:row r="25">
      <x:c r="A25" s="73"/>
      <x:c r="B25" s="73" t="str">
        <x:f>IF(A25="","",IFERROR(XLOOKUP(A25,'당기원장'!$A$5:$A$1004,'당기원장'!$B$5:$B$1004),XLOOKUP(A25,'전기원장'!$A$5:$A$1004,'전기원장'!$B$5:$B$1004,"")))</x:f>
      </x:c>
      <x:c r="C25" s="75" t="str">
        <x:f>IF(A25="","",SUMIF('전기원장'!$A$5:$A$1004,A25,'전기원장'!$H$5:$H$1004))</x:f>
      </x:c>
      <x:c r="D25" s="75" t="str">
        <x:f>IF(A25="","",SUMIF('당기원장'!$A$5:$A$1004,A25,'당기원장'!$H$5:$H$1004))</x:f>
      </x:c>
      <x:c r="E25" s="75" t="str">
        <x:f>IF(A25="","",D25-C25)</x:f>
      </x:c>
      <x:c r="F25" s="86" t="str">
        <x:f>IF(A25="","",IF(C25=0,IF(D25=0,0,1),ABS(E25)/ABS(C25)))</x:f>
      </x:c>
      <x:c r="G25" s="73" t="str">
        <x:f>IF(A25="","",IF(AND(C25=0,D25&lt;&gt;0),"신규",IF(AND(C25&lt;&gt;0,D25=0),"소멸",IF(E25=0,"변동없음","금액변동"))))</x:f>
      </x:c>
      <x:c r="H25" s="73" t="str">
        <x:f>IF(A25="","",IF(AND(ABS(E25)&gt;='기준설정'!$B$6,OR(G25="신규",G25="소멸",F25&gt;='기준설정'!$B$5)),"원인분석 대상","일반"))</x:f>
      </x:c>
      <x:c r="I25" s="73" t="str">
        <x:f>IF(A25="","",IF(H25="원인분석 대상","세부원인분석 시트에서 거래별 원인을 검토","-"))</x:f>
      </x:c>
      <x:c r="J25" s="73" t="str">
        <x:f>IF(A25="","",COUNTIFS('전기원장'!$A$5:$A$1004,A25,'전기원장'!$J$5:$J$1004,"확인 필요")+COUNTIFS('당기원장'!$A$5:$A$1004,A25,'당기원장'!$J$5:$J$1004,"확인 필요"))</x:f>
      </x:c>
      <x:c r="K25" s="87" t="str">
        <x:f>IF(A25="","",IF(H25&lt;&gt;"원인분석 대상","",IF(J25&gt;0,"붙임 문서 확인 후 원인 확정 필요","결의서명 기반 원인분류 검토")))</x:f>
      </x:c>
    </x:row>
    <x:row r="26">
      <x:c r="A26" s="73"/>
      <x:c r="B26" s="73" t="str">
        <x:f>IF(A26="","",IFERROR(XLOOKUP(A26,'당기원장'!$A$5:$A$1004,'당기원장'!$B$5:$B$1004),XLOOKUP(A26,'전기원장'!$A$5:$A$1004,'전기원장'!$B$5:$B$1004,"")))</x:f>
      </x:c>
      <x:c r="C26" s="75" t="str">
        <x:f>IF(A26="","",SUMIF('전기원장'!$A$5:$A$1004,A26,'전기원장'!$H$5:$H$1004))</x:f>
      </x:c>
      <x:c r="D26" s="75" t="str">
        <x:f>IF(A26="","",SUMIF('당기원장'!$A$5:$A$1004,A26,'당기원장'!$H$5:$H$1004))</x:f>
      </x:c>
      <x:c r="E26" s="75" t="str">
        <x:f>IF(A26="","",D26-C26)</x:f>
      </x:c>
      <x:c r="F26" s="86" t="str">
        <x:f>IF(A26="","",IF(C26=0,IF(D26=0,0,1),ABS(E26)/ABS(C26)))</x:f>
      </x:c>
      <x:c r="G26" s="73" t="str">
        <x:f>IF(A26="","",IF(AND(C26=0,D26&lt;&gt;0),"신규",IF(AND(C26&lt;&gt;0,D26=0),"소멸",IF(E26=0,"변동없음","금액변동"))))</x:f>
      </x:c>
      <x:c r="H26" s="73" t="str">
        <x:f>IF(A26="","",IF(AND(ABS(E26)&gt;='기준설정'!$B$6,OR(G26="신규",G26="소멸",F26&gt;='기준설정'!$B$5)),"원인분석 대상","일반"))</x:f>
      </x:c>
      <x:c r="I26" s="73" t="str">
        <x:f>IF(A26="","",IF(H26="원인분석 대상","세부원인분석 시트에서 거래별 원인을 검토","-"))</x:f>
      </x:c>
      <x:c r="J26" s="73" t="str">
        <x:f>IF(A26="","",COUNTIFS('전기원장'!$A$5:$A$1004,A26,'전기원장'!$J$5:$J$1004,"확인 필요")+COUNTIFS('당기원장'!$A$5:$A$1004,A26,'당기원장'!$J$5:$J$1004,"확인 필요"))</x:f>
      </x:c>
      <x:c r="K26" s="87" t="str">
        <x:f>IF(A26="","",IF(H26&lt;&gt;"원인분석 대상","",IF(J26&gt;0,"붙임 문서 확인 후 원인 확정 필요","결의서명 기반 원인분류 검토")))</x:f>
      </x:c>
    </x:row>
    <x:row r="27">
      <x:c r="A27" s="73"/>
      <x:c r="B27" s="73" t="str">
        <x:f>IF(A27="","",IFERROR(XLOOKUP(A27,'당기원장'!$A$5:$A$1004,'당기원장'!$B$5:$B$1004),XLOOKUP(A27,'전기원장'!$A$5:$A$1004,'전기원장'!$B$5:$B$1004,"")))</x:f>
      </x:c>
      <x:c r="C27" s="75" t="str">
        <x:f>IF(A27="","",SUMIF('전기원장'!$A$5:$A$1004,A27,'전기원장'!$H$5:$H$1004))</x:f>
      </x:c>
      <x:c r="D27" s="75" t="str">
        <x:f>IF(A27="","",SUMIF('당기원장'!$A$5:$A$1004,A27,'당기원장'!$H$5:$H$1004))</x:f>
      </x:c>
      <x:c r="E27" s="75" t="str">
        <x:f>IF(A27="","",D27-C27)</x:f>
      </x:c>
      <x:c r="F27" s="86" t="str">
        <x:f>IF(A27="","",IF(C27=0,IF(D27=0,0,1),ABS(E27)/ABS(C27)))</x:f>
      </x:c>
      <x:c r="G27" s="73" t="str">
        <x:f>IF(A27="","",IF(AND(C27=0,D27&lt;&gt;0),"신규",IF(AND(C27&lt;&gt;0,D27=0),"소멸",IF(E27=0,"변동없음","금액변동"))))</x:f>
      </x:c>
      <x:c r="H27" s="73" t="str">
        <x:f>IF(A27="","",IF(AND(ABS(E27)&gt;='기준설정'!$B$6,OR(G27="신규",G27="소멸",F27&gt;='기준설정'!$B$5)),"원인분석 대상","일반"))</x:f>
      </x:c>
      <x:c r="I27" s="73" t="str">
        <x:f>IF(A27="","",IF(H27="원인분석 대상","세부원인분석 시트에서 거래별 원인을 검토","-"))</x:f>
      </x:c>
      <x:c r="J27" s="73" t="str">
        <x:f>IF(A27="","",COUNTIFS('전기원장'!$A$5:$A$1004,A27,'전기원장'!$J$5:$J$1004,"확인 필요")+COUNTIFS('당기원장'!$A$5:$A$1004,A27,'당기원장'!$J$5:$J$1004,"확인 필요"))</x:f>
      </x:c>
      <x:c r="K27" s="87" t="str">
        <x:f>IF(A27="","",IF(H27&lt;&gt;"원인분석 대상","",IF(J27&gt;0,"붙임 문서 확인 후 원인 확정 필요","결의서명 기반 원인분류 검토")))</x:f>
      </x:c>
    </x:row>
    <x:row r="28">
      <x:c r="A28" s="73"/>
      <x:c r="B28" s="73" t="str">
        <x:f>IF(A28="","",IFERROR(XLOOKUP(A28,'당기원장'!$A$5:$A$1004,'당기원장'!$B$5:$B$1004),XLOOKUP(A28,'전기원장'!$A$5:$A$1004,'전기원장'!$B$5:$B$1004,"")))</x:f>
      </x:c>
      <x:c r="C28" s="75" t="str">
        <x:f>IF(A28="","",SUMIF('전기원장'!$A$5:$A$1004,A28,'전기원장'!$H$5:$H$1004))</x:f>
      </x:c>
      <x:c r="D28" s="75" t="str">
        <x:f>IF(A28="","",SUMIF('당기원장'!$A$5:$A$1004,A28,'당기원장'!$H$5:$H$1004))</x:f>
      </x:c>
      <x:c r="E28" s="75" t="str">
        <x:f>IF(A28="","",D28-C28)</x:f>
      </x:c>
      <x:c r="F28" s="86" t="str">
        <x:f>IF(A28="","",IF(C28=0,IF(D28=0,0,1),ABS(E28)/ABS(C28)))</x:f>
      </x:c>
      <x:c r="G28" s="73" t="str">
        <x:f>IF(A28="","",IF(AND(C28=0,D28&lt;&gt;0),"신규",IF(AND(C28&lt;&gt;0,D28=0),"소멸",IF(E28=0,"변동없음","금액변동"))))</x:f>
      </x:c>
      <x:c r="H28" s="73" t="str">
        <x:f>IF(A28="","",IF(AND(ABS(E28)&gt;='기준설정'!$B$6,OR(G28="신규",G28="소멸",F28&gt;='기준설정'!$B$5)),"원인분석 대상","일반"))</x:f>
      </x:c>
      <x:c r="I28" s="73" t="str">
        <x:f>IF(A28="","",IF(H28="원인분석 대상","세부원인분석 시트에서 거래별 원인을 검토","-"))</x:f>
      </x:c>
      <x:c r="J28" s="73" t="str">
        <x:f>IF(A28="","",COUNTIFS('전기원장'!$A$5:$A$1004,A28,'전기원장'!$J$5:$J$1004,"확인 필요")+COUNTIFS('당기원장'!$A$5:$A$1004,A28,'당기원장'!$J$5:$J$1004,"확인 필요"))</x:f>
      </x:c>
      <x:c r="K28" s="87" t="str">
        <x:f>IF(A28="","",IF(H28&lt;&gt;"원인분석 대상","",IF(J28&gt;0,"붙임 문서 확인 후 원인 확정 필요","결의서명 기반 원인분류 검토")))</x:f>
      </x:c>
    </x:row>
    <x:row r="29">
      <x:c r="A29" s="73"/>
      <x:c r="B29" s="73" t="str">
        <x:f>IF(A29="","",IFERROR(XLOOKUP(A29,'당기원장'!$A$5:$A$1004,'당기원장'!$B$5:$B$1004),XLOOKUP(A29,'전기원장'!$A$5:$A$1004,'전기원장'!$B$5:$B$1004,"")))</x:f>
      </x:c>
      <x:c r="C29" s="75" t="str">
        <x:f>IF(A29="","",SUMIF('전기원장'!$A$5:$A$1004,A29,'전기원장'!$H$5:$H$1004))</x:f>
      </x:c>
      <x:c r="D29" s="75" t="str">
        <x:f>IF(A29="","",SUMIF('당기원장'!$A$5:$A$1004,A29,'당기원장'!$H$5:$H$1004))</x:f>
      </x:c>
      <x:c r="E29" s="75" t="str">
        <x:f>IF(A29="","",D29-C29)</x:f>
      </x:c>
      <x:c r="F29" s="86" t="str">
        <x:f>IF(A29="","",IF(C29=0,IF(D29=0,0,1),ABS(E29)/ABS(C29)))</x:f>
      </x:c>
      <x:c r="G29" s="73" t="str">
        <x:f>IF(A29="","",IF(AND(C29=0,D29&lt;&gt;0),"신규",IF(AND(C29&lt;&gt;0,D29=0),"소멸",IF(E29=0,"변동없음","금액변동"))))</x:f>
      </x:c>
      <x:c r="H29" s="73" t="str">
        <x:f>IF(A29="","",IF(AND(ABS(E29)&gt;='기준설정'!$B$6,OR(G29="신규",G29="소멸",F29&gt;='기준설정'!$B$5)),"원인분석 대상","일반"))</x:f>
      </x:c>
      <x:c r="I29" s="73" t="str">
        <x:f>IF(A29="","",IF(H29="원인분석 대상","세부원인분석 시트에서 거래별 원인을 검토","-"))</x:f>
      </x:c>
      <x:c r="J29" s="73" t="str">
        <x:f>IF(A29="","",COUNTIFS('전기원장'!$A$5:$A$1004,A29,'전기원장'!$J$5:$J$1004,"확인 필요")+COUNTIFS('당기원장'!$A$5:$A$1004,A29,'당기원장'!$J$5:$J$1004,"확인 필요"))</x:f>
      </x:c>
      <x:c r="K29" s="87" t="str">
        <x:f>IF(A29="","",IF(H29&lt;&gt;"원인분석 대상","",IF(J29&gt;0,"붙임 문서 확인 후 원인 확정 필요","결의서명 기반 원인분류 검토")))</x:f>
      </x:c>
    </x:row>
    <x:row r="30">
      <x:c r="A30" s="73"/>
      <x:c r="B30" s="73" t="str">
        <x:f>IF(A30="","",IFERROR(XLOOKUP(A30,'당기원장'!$A$5:$A$1004,'당기원장'!$B$5:$B$1004),XLOOKUP(A30,'전기원장'!$A$5:$A$1004,'전기원장'!$B$5:$B$1004,"")))</x:f>
      </x:c>
      <x:c r="C30" s="75" t="str">
        <x:f>IF(A30="","",SUMIF('전기원장'!$A$5:$A$1004,A30,'전기원장'!$H$5:$H$1004))</x:f>
      </x:c>
      <x:c r="D30" s="75" t="str">
        <x:f>IF(A30="","",SUMIF('당기원장'!$A$5:$A$1004,A30,'당기원장'!$H$5:$H$1004))</x:f>
      </x:c>
      <x:c r="E30" s="75" t="str">
        <x:f>IF(A30="","",D30-C30)</x:f>
      </x:c>
      <x:c r="F30" s="86" t="str">
        <x:f>IF(A30="","",IF(C30=0,IF(D30=0,0,1),ABS(E30)/ABS(C30)))</x:f>
      </x:c>
      <x:c r="G30" s="73" t="str">
        <x:f>IF(A30="","",IF(AND(C30=0,D30&lt;&gt;0),"신규",IF(AND(C30&lt;&gt;0,D30=0),"소멸",IF(E30=0,"변동없음","금액변동"))))</x:f>
      </x:c>
      <x:c r="H30" s="73" t="str">
        <x:f>IF(A30="","",IF(AND(ABS(E30)&gt;='기준설정'!$B$6,OR(G30="신규",G30="소멸",F30&gt;='기준설정'!$B$5)),"원인분석 대상","일반"))</x:f>
      </x:c>
      <x:c r="I30" s="73" t="str">
        <x:f>IF(A30="","",IF(H30="원인분석 대상","세부원인분석 시트에서 거래별 원인을 검토","-"))</x:f>
      </x:c>
      <x:c r="J30" s="73" t="str">
        <x:f>IF(A30="","",COUNTIFS('전기원장'!$A$5:$A$1004,A30,'전기원장'!$J$5:$J$1004,"확인 필요")+COUNTIFS('당기원장'!$A$5:$A$1004,A30,'당기원장'!$J$5:$J$1004,"확인 필요"))</x:f>
      </x:c>
      <x:c r="K30" s="87" t="str">
        <x:f>IF(A30="","",IF(H30&lt;&gt;"원인분석 대상","",IF(J30&gt;0,"붙임 문서 확인 후 원인 확정 필요","결의서명 기반 원인분류 검토")))</x:f>
      </x:c>
    </x:row>
    <x:row r="31">
      <x:c r="A31" s="73"/>
      <x:c r="B31" s="73" t="str">
        <x:f>IF(A31="","",IFERROR(XLOOKUP(A31,'당기원장'!$A$5:$A$1004,'당기원장'!$B$5:$B$1004),XLOOKUP(A31,'전기원장'!$A$5:$A$1004,'전기원장'!$B$5:$B$1004,"")))</x:f>
      </x:c>
      <x:c r="C31" s="75" t="str">
        <x:f>IF(A31="","",SUMIF('전기원장'!$A$5:$A$1004,A31,'전기원장'!$H$5:$H$1004))</x:f>
      </x:c>
      <x:c r="D31" s="75" t="str">
        <x:f>IF(A31="","",SUMIF('당기원장'!$A$5:$A$1004,A31,'당기원장'!$H$5:$H$1004))</x:f>
      </x:c>
      <x:c r="E31" s="75" t="str">
        <x:f>IF(A31="","",D31-C31)</x:f>
      </x:c>
      <x:c r="F31" s="86" t="str">
        <x:f>IF(A31="","",IF(C31=0,IF(D31=0,0,1),ABS(E31)/ABS(C31)))</x:f>
      </x:c>
      <x:c r="G31" s="73" t="str">
        <x:f>IF(A31="","",IF(AND(C31=0,D31&lt;&gt;0),"신규",IF(AND(C31&lt;&gt;0,D31=0),"소멸",IF(E31=0,"변동없음","금액변동"))))</x:f>
      </x:c>
      <x:c r="H31" s="73" t="str">
        <x:f>IF(A31="","",IF(AND(ABS(E31)&gt;='기준설정'!$B$6,OR(G31="신규",G31="소멸",F31&gt;='기준설정'!$B$5)),"원인분석 대상","일반"))</x:f>
      </x:c>
      <x:c r="I31" s="73" t="str">
        <x:f>IF(A31="","",IF(H31="원인분석 대상","세부원인분석 시트에서 거래별 원인을 검토","-"))</x:f>
      </x:c>
      <x:c r="J31" s="73" t="str">
        <x:f>IF(A31="","",COUNTIFS('전기원장'!$A$5:$A$1004,A31,'전기원장'!$J$5:$J$1004,"확인 필요")+COUNTIFS('당기원장'!$A$5:$A$1004,A31,'당기원장'!$J$5:$J$1004,"확인 필요"))</x:f>
      </x:c>
      <x:c r="K31" s="87" t="str">
        <x:f>IF(A31="","",IF(H31&lt;&gt;"원인분석 대상","",IF(J31&gt;0,"붙임 문서 확인 후 원인 확정 필요","결의서명 기반 원인분류 검토")))</x:f>
      </x:c>
    </x:row>
    <x:row r="32">
      <x:c r="A32" s="73"/>
      <x:c r="B32" s="73" t="str">
        <x:f>IF(A32="","",IFERROR(XLOOKUP(A32,'당기원장'!$A$5:$A$1004,'당기원장'!$B$5:$B$1004),XLOOKUP(A32,'전기원장'!$A$5:$A$1004,'전기원장'!$B$5:$B$1004,"")))</x:f>
      </x:c>
      <x:c r="C32" s="75" t="str">
        <x:f>IF(A32="","",SUMIF('전기원장'!$A$5:$A$1004,A32,'전기원장'!$H$5:$H$1004))</x:f>
      </x:c>
      <x:c r="D32" s="75" t="str">
        <x:f>IF(A32="","",SUMIF('당기원장'!$A$5:$A$1004,A32,'당기원장'!$H$5:$H$1004))</x:f>
      </x:c>
      <x:c r="E32" s="75" t="str">
        <x:f>IF(A32="","",D32-C32)</x:f>
      </x:c>
      <x:c r="F32" s="86" t="str">
        <x:f>IF(A32="","",IF(C32=0,IF(D32=0,0,1),ABS(E32)/ABS(C32)))</x:f>
      </x:c>
      <x:c r="G32" s="73" t="str">
        <x:f>IF(A32="","",IF(AND(C32=0,D32&lt;&gt;0),"신규",IF(AND(C32&lt;&gt;0,D32=0),"소멸",IF(E32=0,"변동없음","금액변동"))))</x:f>
      </x:c>
      <x:c r="H32" s="73" t="str">
        <x:f>IF(A32="","",IF(AND(ABS(E32)&gt;='기준설정'!$B$6,OR(G32="신규",G32="소멸",F32&gt;='기준설정'!$B$5)),"원인분석 대상","일반"))</x:f>
      </x:c>
      <x:c r="I32" s="73" t="str">
        <x:f>IF(A32="","",IF(H32="원인분석 대상","세부원인분석 시트에서 거래별 원인을 검토","-"))</x:f>
      </x:c>
      <x:c r="J32" s="73" t="str">
        <x:f>IF(A32="","",COUNTIFS('전기원장'!$A$5:$A$1004,A32,'전기원장'!$J$5:$J$1004,"확인 필요")+COUNTIFS('당기원장'!$A$5:$A$1004,A32,'당기원장'!$J$5:$J$1004,"확인 필요"))</x:f>
      </x:c>
      <x:c r="K32" s="87" t="str">
        <x:f>IF(A32="","",IF(H32&lt;&gt;"원인분석 대상","",IF(J32&gt;0,"붙임 문서 확인 후 원인 확정 필요","결의서명 기반 원인분류 검토")))</x:f>
      </x:c>
    </x:row>
    <x:row r="33">
      <x:c r="A33" s="73"/>
      <x:c r="B33" s="73" t="str">
        <x:f>IF(A33="","",IFERROR(XLOOKUP(A33,'당기원장'!$A$5:$A$1004,'당기원장'!$B$5:$B$1004),XLOOKUP(A33,'전기원장'!$A$5:$A$1004,'전기원장'!$B$5:$B$1004,"")))</x:f>
      </x:c>
      <x:c r="C33" s="75" t="str">
        <x:f>IF(A33="","",SUMIF('전기원장'!$A$5:$A$1004,A33,'전기원장'!$H$5:$H$1004))</x:f>
      </x:c>
      <x:c r="D33" s="75" t="str">
        <x:f>IF(A33="","",SUMIF('당기원장'!$A$5:$A$1004,A33,'당기원장'!$H$5:$H$1004))</x:f>
      </x:c>
      <x:c r="E33" s="75" t="str">
        <x:f>IF(A33="","",D33-C33)</x:f>
      </x:c>
      <x:c r="F33" s="86" t="str">
        <x:f>IF(A33="","",IF(C33=0,IF(D33=0,0,1),ABS(E33)/ABS(C33)))</x:f>
      </x:c>
      <x:c r="G33" s="73" t="str">
        <x:f>IF(A33="","",IF(AND(C33=0,D33&lt;&gt;0),"신규",IF(AND(C33&lt;&gt;0,D33=0),"소멸",IF(E33=0,"변동없음","금액변동"))))</x:f>
      </x:c>
      <x:c r="H33" s="73" t="str">
        <x:f>IF(A33="","",IF(AND(ABS(E33)&gt;='기준설정'!$B$6,OR(G33="신규",G33="소멸",F33&gt;='기준설정'!$B$5)),"원인분석 대상","일반"))</x:f>
      </x:c>
      <x:c r="I33" s="73" t="str">
        <x:f>IF(A33="","",IF(H33="원인분석 대상","세부원인분석 시트에서 거래별 원인을 검토","-"))</x:f>
      </x:c>
      <x:c r="J33" s="73" t="str">
        <x:f>IF(A33="","",COUNTIFS('전기원장'!$A$5:$A$1004,A33,'전기원장'!$J$5:$J$1004,"확인 필요")+COUNTIFS('당기원장'!$A$5:$A$1004,A33,'당기원장'!$J$5:$J$1004,"확인 필요"))</x:f>
      </x:c>
      <x:c r="K33" s="87" t="str">
        <x:f>IF(A33="","",IF(H33&lt;&gt;"원인분석 대상","",IF(J33&gt;0,"붙임 문서 확인 후 원인 확정 필요","결의서명 기반 원인분류 검토")))</x:f>
      </x:c>
    </x:row>
    <x:row r="34">
      <x:c r="A34" s="73"/>
      <x:c r="B34" s="73" t="str">
        <x:f>IF(A34="","",IFERROR(XLOOKUP(A34,'당기원장'!$A$5:$A$1004,'당기원장'!$B$5:$B$1004),XLOOKUP(A34,'전기원장'!$A$5:$A$1004,'전기원장'!$B$5:$B$1004,"")))</x:f>
      </x:c>
      <x:c r="C34" s="75" t="str">
        <x:f>IF(A34="","",SUMIF('전기원장'!$A$5:$A$1004,A34,'전기원장'!$H$5:$H$1004))</x:f>
      </x:c>
      <x:c r="D34" s="75" t="str">
        <x:f>IF(A34="","",SUMIF('당기원장'!$A$5:$A$1004,A34,'당기원장'!$H$5:$H$1004))</x:f>
      </x:c>
      <x:c r="E34" s="75" t="str">
        <x:f>IF(A34="","",D34-C34)</x:f>
      </x:c>
      <x:c r="F34" s="86" t="str">
        <x:f>IF(A34="","",IF(C34=0,IF(D34=0,0,1),ABS(E34)/ABS(C34)))</x:f>
      </x:c>
      <x:c r="G34" s="73" t="str">
        <x:f>IF(A34="","",IF(AND(C34=0,D34&lt;&gt;0),"신규",IF(AND(C34&lt;&gt;0,D34=0),"소멸",IF(E34=0,"변동없음","금액변동"))))</x:f>
      </x:c>
      <x:c r="H34" s="73" t="str">
        <x:f>IF(A34="","",IF(AND(ABS(E34)&gt;='기준설정'!$B$6,OR(G34="신규",G34="소멸",F34&gt;='기준설정'!$B$5)),"원인분석 대상","일반"))</x:f>
      </x:c>
      <x:c r="I34" s="73" t="str">
        <x:f>IF(A34="","",IF(H34="원인분석 대상","세부원인분석 시트에서 거래별 원인을 검토","-"))</x:f>
      </x:c>
      <x:c r="J34" s="73" t="str">
        <x:f>IF(A34="","",COUNTIFS('전기원장'!$A$5:$A$1004,A34,'전기원장'!$J$5:$J$1004,"확인 필요")+COUNTIFS('당기원장'!$A$5:$A$1004,A34,'당기원장'!$J$5:$J$1004,"확인 필요"))</x:f>
      </x:c>
      <x:c r="K34" s="87" t="str">
        <x:f>IF(A34="","",IF(H34&lt;&gt;"원인분석 대상","",IF(J34&gt;0,"붙임 문서 확인 후 원인 확정 필요","결의서명 기반 원인분류 검토")))</x:f>
      </x:c>
    </x:row>
    <x:row r="35">
      <x:c r="A35" s="73"/>
      <x:c r="B35" s="73" t="str">
        <x:f>IF(A35="","",IFERROR(XLOOKUP(A35,'당기원장'!$A$5:$A$1004,'당기원장'!$B$5:$B$1004),XLOOKUP(A35,'전기원장'!$A$5:$A$1004,'전기원장'!$B$5:$B$1004,"")))</x:f>
      </x:c>
      <x:c r="C35" s="75" t="str">
        <x:f>IF(A35="","",SUMIF('전기원장'!$A$5:$A$1004,A35,'전기원장'!$H$5:$H$1004))</x:f>
      </x:c>
      <x:c r="D35" s="75" t="str">
        <x:f>IF(A35="","",SUMIF('당기원장'!$A$5:$A$1004,A35,'당기원장'!$H$5:$H$1004))</x:f>
      </x:c>
      <x:c r="E35" s="75" t="str">
        <x:f>IF(A35="","",D35-C35)</x:f>
      </x:c>
      <x:c r="F35" s="86" t="str">
        <x:f>IF(A35="","",IF(C35=0,IF(D35=0,0,1),ABS(E35)/ABS(C35)))</x:f>
      </x:c>
      <x:c r="G35" s="73" t="str">
        <x:f>IF(A35="","",IF(AND(C35=0,D35&lt;&gt;0),"신규",IF(AND(C35&lt;&gt;0,D35=0),"소멸",IF(E35=0,"변동없음","금액변동"))))</x:f>
      </x:c>
      <x:c r="H35" s="73" t="str">
        <x:f>IF(A35="","",IF(AND(ABS(E35)&gt;='기준설정'!$B$6,OR(G35="신규",G35="소멸",F35&gt;='기준설정'!$B$5)),"원인분석 대상","일반"))</x:f>
      </x:c>
      <x:c r="I35" s="73" t="str">
        <x:f>IF(A35="","",IF(H35="원인분석 대상","세부원인분석 시트에서 거래별 원인을 검토","-"))</x:f>
      </x:c>
      <x:c r="J35" s="73" t="str">
        <x:f>IF(A35="","",COUNTIFS('전기원장'!$A$5:$A$1004,A35,'전기원장'!$J$5:$J$1004,"확인 필요")+COUNTIFS('당기원장'!$A$5:$A$1004,A35,'당기원장'!$J$5:$J$1004,"확인 필요"))</x:f>
      </x:c>
      <x:c r="K35" s="87" t="str">
        <x:f>IF(A35="","",IF(H35&lt;&gt;"원인분석 대상","",IF(J35&gt;0,"붙임 문서 확인 후 원인 확정 필요","결의서명 기반 원인분류 검토")))</x:f>
      </x:c>
    </x:row>
    <x:row r="36">
      <x:c r="A36" s="73"/>
      <x:c r="B36" s="73" t="str">
        <x:f>IF(A36="","",IFERROR(XLOOKUP(A36,'당기원장'!$A$5:$A$1004,'당기원장'!$B$5:$B$1004),XLOOKUP(A36,'전기원장'!$A$5:$A$1004,'전기원장'!$B$5:$B$1004,"")))</x:f>
      </x:c>
      <x:c r="C36" s="75" t="str">
        <x:f>IF(A36="","",SUMIF('전기원장'!$A$5:$A$1004,A36,'전기원장'!$H$5:$H$1004))</x:f>
      </x:c>
      <x:c r="D36" s="75" t="str">
        <x:f>IF(A36="","",SUMIF('당기원장'!$A$5:$A$1004,A36,'당기원장'!$H$5:$H$1004))</x:f>
      </x:c>
      <x:c r="E36" s="75" t="str">
        <x:f>IF(A36="","",D36-C36)</x:f>
      </x:c>
      <x:c r="F36" s="86" t="str">
        <x:f>IF(A36="","",IF(C36=0,IF(D36=0,0,1),ABS(E36)/ABS(C36)))</x:f>
      </x:c>
      <x:c r="G36" s="73" t="str">
        <x:f>IF(A36="","",IF(AND(C36=0,D36&lt;&gt;0),"신규",IF(AND(C36&lt;&gt;0,D36=0),"소멸",IF(E36=0,"변동없음","금액변동"))))</x:f>
      </x:c>
      <x:c r="H36" s="73" t="str">
        <x:f>IF(A36="","",IF(AND(ABS(E36)&gt;='기준설정'!$B$6,OR(G36="신규",G36="소멸",F36&gt;='기준설정'!$B$5)),"원인분석 대상","일반"))</x:f>
      </x:c>
      <x:c r="I36" s="73" t="str">
        <x:f>IF(A36="","",IF(H36="원인분석 대상","세부원인분석 시트에서 거래별 원인을 검토","-"))</x:f>
      </x:c>
      <x:c r="J36" s="73" t="str">
        <x:f>IF(A36="","",COUNTIFS('전기원장'!$A$5:$A$1004,A36,'전기원장'!$J$5:$J$1004,"확인 필요")+COUNTIFS('당기원장'!$A$5:$A$1004,A36,'당기원장'!$J$5:$J$1004,"확인 필요"))</x:f>
      </x:c>
      <x:c r="K36" s="87" t="str">
        <x:f>IF(A36="","",IF(H36&lt;&gt;"원인분석 대상","",IF(J36&gt;0,"붙임 문서 확인 후 원인 확정 필요","결의서명 기반 원인분류 검토")))</x:f>
      </x:c>
    </x:row>
    <x:row r="37">
      <x:c r="A37" s="73"/>
      <x:c r="B37" s="73" t="str">
        <x:f>IF(A37="","",IFERROR(XLOOKUP(A37,'당기원장'!$A$5:$A$1004,'당기원장'!$B$5:$B$1004),XLOOKUP(A37,'전기원장'!$A$5:$A$1004,'전기원장'!$B$5:$B$1004,"")))</x:f>
      </x:c>
      <x:c r="C37" s="75" t="str">
        <x:f>IF(A37="","",SUMIF('전기원장'!$A$5:$A$1004,A37,'전기원장'!$H$5:$H$1004))</x:f>
      </x:c>
      <x:c r="D37" s="75" t="str">
        <x:f>IF(A37="","",SUMIF('당기원장'!$A$5:$A$1004,A37,'당기원장'!$H$5:$H$1004))</x:f>
      </x:c>
      <x:c r="E37" s="75" t="str">
        <x:f>IF(A37="","",D37-C37)</x:f>
      </x:c>
      <x:c r="F37" s="86" t="str">
        <x:f>IF(A37="","",IF(C37=0,IF(D37=0,0,1),ABS(E37)/ABS(C37)))</x:f>
      </x:c>
      <x:c r="G37" s="73" t="str">
        <x:f>IF(A37="","",IF(AND(C37=0,D37&lt;&gt;0),"신규",IF(AND(C37&lt;&gt;0,D37=0),"소멸",IF(E37=0,"변동없음","금액변동"))))</x:f>
      </x:c>
      <x:c r="H37" s="73" t="str">
        <x:f>IF(A37="","",IF(AND(ABS(E37)&gt;='기준설정'!$B$6,OR(G37="신규",G37="소멸",F37&gt;='기준설정'!$B$5)),"원인분석 대상","일반"))</x:f>
      </x:c>
      <x:c r="I37" s="73" t="str">
        <x:f>IF(A37="","",IF(H37="원인분석 대상","세부원인분석 시트에서 거래별 원인을 검토","-"))</x:f>
      </x:c>
      <x:c r="J37" s="73" t="str">
        <x:f>IF(A37="","",COUNTIFS('전기원장'!$A$5:$A$1004,A37,'전기원장'!$J$5:$J$1004,"확인 필요")+COUNTIFS('당기원장'!$A$5:$A$1004,A37,'당기원장'!$J$5:$J$1004,"확인 필요"))</x:f>
      </x:c>
      <x:c r="K37" s="87" t="str">
        <x:f>IF(A37="","",IF(H37&lt;&gt;"원인분석 대상","",IF(J37&gt;0,"붙임 문서 확인 후 원인 확정 필요","결의서명 기반 원인분류 검토")))</x:f>
      </x:c>
    </x:row>
    <x:row r="38">
      <x:c r="A38" s="73"/>
      <x:c r="B38" s="73" t="str">
        <x:f>IF(A38="","",IFERROR(XLOOKUP(A38,'당기원장'!$A$5:$A$1004,'당기원장'!$B$5:$B$1004),XLOOKUP(A38,'전기원장'!$A$5:$A$1004,'전기원장'!$B$5:$B$1004,"")))</x:f>
      </x:c>
      <x:c r="C38" s="75" t="str">
        <x:f>IF(A38="","",SUMIF('전기원장'!$A$5:$A$1004,A38,'전기원장'!$H$5:$H$1004))</x:f>
      </x:c>
      <x:c r="D38" s="75" t="str">
        <x:f>IF(A38="","",SUMIF('당기원장'!$A$5:$A$1004,A38,'당기원장'!$H$5:$H$1004))</x:f>
      </x:c>
      <x:c r="E38" s="75" t="str">
        <x:f>IF(A38="","",D38-C38)</x:f>
      </x:c>
      <x:c r="F38" s="86" t="str">
        <x:f>IF(A38="","",IF(C38=0,IF(D38=0,0,1),ABS(E38)/ABS(C38)))</x:f>
      </x:c>
      <x:c r="G38" s="73" t="str">
        <x:f>IF(A38="","",IF(AND(C38=0,D38&lt;&gt;0),"신규",IF(AND(C38&lt;&gt;0,D38=0),"소멸",IF(E38=0,"변동없음","금액변동"))))</x:f>
      </x:c>
      <x:c r="H38" s="73" t="str">
        <x:f>IF(A38="","",IF(AND(ABS(E38)&gt;='기준설정'!$B$6,OR(G38="신규",G38="소멸",F38&gt;='기준설정'!$B$5)),"원인분석 대상","일반"))</x:f>
      </x:c>
      <x:c r="I38" s="73" t="str">
        <x:f>IF(A38="","",IF(H38="원인분석 대상","세부원인분석 시트에서 거래별 원인을 검토","-"))</x:f>
      </x:c>
      <x:c r="J38" s="73" t="str">
        <x:f>IF(A38="","",COUNTIFS('전기원장'!$A$5:$A$1004,A38,'전기원장'!$J$5:$J$1004,"확인 필요")+COUNTIFS('당기원장'!$A$5:$A$1004,A38,'당기원장'!$J$5:$J$1004,"확인 필요"))</x:f>
      </x:c>
      <x:c r="K38" s="87" t="str">
        <x:f>IF(A38="","",IF(H38&lt;&gt;"원인분석 대상","",IF(J38&gt;0,"붙임 문서 확인 후 원인 확정 필요","결의서명 기반 원인분류 검토")))</x:f>
      </x:c>
    </x:row>
    <x:row r="39">
      <x:c r="A39" s="73"/>
      <x:c r="B39" s="73" t="str">
        <x:f>IF(A39="","",IFERROR(XLOOKUP(A39,'당기원장'!$A$5:$A$1004,'당기원장'!$B$5:$B$1004),XLOOKUP(A39,'전기원장'!$A$5:$A$1004,'전기원장'!$B$5:$B$1004,"")))</x:f>
      </x:c>
      <x:c r="C39" s="75" t="str">
        <x:f>IF(A39="","",SUMIF('전기원장'!$A$5:$A$1004,A39,'전기원장'!$H$5:$H$1004))</x:f>
      </x:c>
      <x:c r="D39" s="75" t="str">
        <x:f>IF(A39="","",SUMIF('당기원장'!$A$5:$A$1004,A39,'당기원장'!$H$5:$H$1004))</x:f>
      </x:c>
      <x:c r="E39" s="75" t="str">
        <x:f>IF(A39="","",D39-C39)</x:f>
      </x:c>
      <x:c r="F39" s="86" t="str">
        <x:f>IF(A39="","",IF(C39=0,IF(D39=0,0,1),ABS(E39)/ABS(C39)))</x:f>
      </x:c>
      <x:c r="G39" s="73" t="str">
        <x:f>IF(A39="","",IF(AND(C39=0,D39&lt;&gt;0),"신규",IF(AND(C39&lt;&gt;0,D39=0),"소멸",IF(E39=0,"변동없음","금액변동"))))</x:f>
      </x:c>
      <x:c r="H39" s="73" t="str">
        <x:f>IF(A39="","",IF(AND(ABS(E39)&gt;='기준설정'!$B$6,OR(G39="신규",G39="소멸",F39&gt;='기준설정'!$B$5)),"원인분석 대상","일반"))</x:f>
      </x:c>
      <x:c r="I39" s="73" t="str">
        <x:f>IF(A39="","",IF(H39="원인분석 대상","세부원인분석 시트에서 거래별 원인을 검토","-"))</x:f>
      </x:c>
      <x:c r="J39" s="73" t="str">
        <x:f>IF(A39="","",COUNTIFS('전기원장'!$A$5:$A$1004,A39,'전기원장'!$J$5:$J$1004,"확인 필요")+COUNTIFS('당기원장'!$A$5:$A$1004,A39,'당기원장'!$J$5:$J$1004,"확인 필요"))</x:f>
      </x:c>
      <x:c r="K39" s="87" t="str">
        <x:f>IF(A39="","",IF(H39&lt;&gt;"원인분석 대상","",IF(J39&gt;0,"붙임 문서 확인 후 원인 확정 필요","결의서명 기반 원인분류 검토")))</x:f>
      </x:c>
    </x:row>
    <x:row r="40">
      <x:c r="A40" s="73"/>
      <x:c r="B40" s="73" t="str">
        <x:f>IF(A40="","",IFERROR(XLOOKUP(A40,'당기원장'!$A$5:$A$1004,'당기원장'!$B$5:$B$1004),XLOOKUP(A40,'전기원장'!$A$5:$A$1004,'전기원장'!$B$5:$B$1004,"")))</x:f>
      </x:c>
      <x:c r="C40" s="75" t="str">
        <x:f>IF(A40="","",SUMIF('전기원장'!$A$5:$A$1004,A40,'전기원장'!$H$5:$H$1004))</x:f>
      </x:c>
      <x:c r="D40" s="75" t="str">
        <x:f>IF(A40="","",SUMIF('당기원장'!$A$5:$A$1004,A40,'당기원장'!$H$5:$H$1004))</x:f>
      </x:c>
      <x:c r="E40" s="75" t="str">
        <x:f>IF(A40="","",D40-C40)</x:f>
      </x:c>
      <x:c r="F40" s="86" t="str">
        <x:f>IF(A40="","",IF(C40=0,IF(D40=0,0,1),ABS(E40)/ABS(C40)))</x:f>
      </x:c>
      <x:c r="G40" s="73" t="str">
        <x:f>IF(A40="","",IF(AND(C40=0,D40&lt;&gt;0),"신규",IF(AND(C40&lt;&gt;0,D40=0),"소멸",IF(E40=0,"변동없음","금액변동"))))</x:f>
      </x:c>
      <x:c r="H40" s="73" t="str">
        <x:f>IF(A40="","",IF(AND(ABS(E40)&gt;='기준설정'!$B$6,OR(G40="신규",G40="소멸",F40&gt;='기준설정'!$B$5)),"원인분석 대상","일반"))</x:f>
      </x:c>
      <x:c r="I40" s="73" t="str">
        <x:f>IF(A40="","",IF(H40="원인분석 대상","세부원인분석 시트에서 거래별 원인을 검토","-"))</x:f>
      </x:c>
      <x:c r="J40" s="73" t="str">
        <x:f>IF(A40="","",COUNTIFS('전기원장'!$A$5:$A$1004,A40,'전기원장'!$J$5:$J$1004,"확인 필요")+COUNTIFS('당기원장'!$A$5:$A$1004,A40,'당기원장'!$J$5:$J$1004,"확인 필요"))</x:f>
      </x:c>
      <x:c r="K40" s="87" t="str">
        <x:f>IF(A40="","",IF(H40&lt;&gt;"원인분석 대상","",IF(J40&gt;0,"붙임 문서 확인 후 원인 확정 필요","결의서명 기반 원인분류 검토")))</x:f>
      </x:c>
    </x:row>
    <x:row r="41">
      <x:c r="A41" s="73"/>
      <x:c r="B41" s="73" t="str">
        <x:f>IF(A41="","",IFERROR(XLOOKUP(A41,'당기원장'!$A$5:$A$1004,'당기원장'!$B$5:$B$1004),XLOOKUP(A41,'전기원장'!$A$5:$A$1004,'전기원장'!$B$5:$B$1004,"")))</x:f>
      </x:c>
      <x:c r="C41" s="75" t="str">
        <x:f>IF(A41="","",SUMIF('전기원장'!$A$5:$A$1004,A41,'전기원장'!$H$5:$H$1004))</x:f>
      </x:c>
      <x:c r="D41" s="75" t="str">
        <x:f>IF(A41="","",SUMIF('당기원장'!$A$5:$A$1004,A41,'당기원장'!$H$5:$H$1004))</x:f>
      </x:c>
      <x:c r="E41" s="75" t="str">
        <x:f>IF(A41="","",D41-C41)</x:f>
      </x:c>
      <x:c r="F41" s="86" t="str">
        <x:f>IF(A41="","",IF(C41=0,IF(D41=0,0,1),ABS(E41)/ABS(C41)))</x:f>
      </x:c>
      <x:c r="G41" s="73" t="str">
        <x:f>IF(A41="","",IF(AND(C41=0,D41&lt;&gt;0),"신규",IF(AND(C41&lt;&gt;0,D41=0),"소멸",IF(E41=0,"변동없음","금액변동"))))</x:f>
      </x:c>
      <x:c r="H41" s="73" t="str">
        <x:f>IF(A41="","",IF(AND(ABS(E41)&gt;='기준설정'!$B$6,OR(G41="신규",G41="소멸",F41&gt;='기준설정'!$B$5)),"원인분석 대상","일반"))</x:f>
      </x:c>
      <x:c r="I41" s="73" t="str">
        <x:f>IF(A41="","",IF(H41="원인분석 대상","세부원인분석 시트에서 거래별 원인을 검토","-"))</x:f>
      </x:c>
      <x:c r="J41" s="73" t="str">
        <x:f>IF(A41="","",COUNTIFS('전기원장'!$A$5:$A$1004,A41,'전기원장'!$J$5:$J$1004,"확인 필요")+COUNTIFS('당기원장'!$A$5:$A$1004,A41,'당기원장'!$J$5:$J$1004,"확인 필요"))</x:f>
      </x:c>
      <x:c r="K41" s="87" t="str">
        <x:f>IF(A41="","",IF(H41&lt;&gt;"원인분석 대상","",IF(J41&gt;0,"붙임 문서 확인 후 원인 확정 필요","결의서명 기반 원인분류 검토")))</x:f>
      </x:c>
    </x:row>
    <x:row r="42">
      <x:c r="A42" s="73"/>
      <x:c r="B42" s="73" t="str">
        <x:f>IF(A42="","",IFERROR(XLOOKUP(A42,'당기원장'!$A$5:$A$1004,'당기원장'!$B$5:$B$1004),XLOOKUP(A42,'전기원장'!$A$5:$A$1004,'전기원장'!$B$5:$B$1004,"")))</x:f>
      </x:c>
      <x:c r="C42" s="75" t="str">
        <x:f>IF(A42="","",SUMIF('전기원장'!$A$5:$A$1004,A42,'전기원장'!$H$5:$H$1004))</x:f>
      </x:c>
      <x:c r="D42" s="75" t="str">
        <x:f>IF(A42="","",SUMIF('당기원장'!$A$5:$A$1004,A42,'당기원장'!$H$5:$H$1004))</x:f>
      </x:c>
      <x:c r="E42" s="75" t="str">
        <x:f>IF(A42="","",D42-C42)</x:f>
      </x:c>
      <x:c r="F42" s="86" t="str">
        <x:f>IF(A42="","",IF(C42=0,IF(D42=0,0,1),ABS(E42)/ABS(C42)))</x:f>
      </x:c>
      <x:c r="G42" s="73" t="str">
        <x:f>IF(A42="","",IF(AND(C42=0,D42&lt;&gt;0),"신규",IF(AND(C42&lt;&gt;0,D42=0),"소멸",IF(E42=0,"변동없음","금액변동"))))</x:f>
      </x:c>
      <x:c r="H42" s="73" t="str">
        <x:f>IF(A42="","",IF(AND(ABS(E42)&gt;='기준설정'!$B$6,OR(G42="신규",G42="소멸",F42&gt;='기준설정'!$B$5)),"원인분석 대상","일반"))</x:f>
      </x:c>
      <x:c r="I42" s="73" t="str">
        <x:f>IF(A42="","",IF(H42="원인분석 대상","세부원인분석 시트에서 거래별 원인을 검토","-"))</x:f>
      </x:c>
      <x:c r="J42" s="73" t="str">
        <x:f>IF(A42="","",COUNTIFS('전기원장'!$A$5:$A$1004,A42,'전기원장'!$J$5:$J$1004,"확인 필요")+COUNTIFS('당기원장'!$A$5:$A$1004,A42,'당기원장'!$J$5:$J$1004,"확인 필요"))</x:f>
      </x:c>
      <x:c r="K42" s="87" t="str">
        <x:f>IF(A42="","",IF(H42&lt;&gt;"원인분석 대상","",IF(J42&gt;0,"붙임 문서 확인 후 원인 확정 필요","결의서명 기반 원인분류 검토")))</x:f>
      </x:c>
    </x:row>
    <x:row r="43">
      <x:c r="A43" s="73"/>
      <x:c r="B43" s="73" t="str">
        <x:f>IF(A43="","",IFERROR(XLOOKUP(A43,'당기원장'!$A$5:$A$1004,'당기원장'!$B$5:$B$1004),XLOOKUP(A43,'전기원장'!$A$5:$A$1004,'전기원장'!$B$5:$B$1004,"")))</x:f>
      </x:c>
      <x:c r="C43" s="75" t="str">
        <x:f>IF(A43="","",SUMIF('전기원장'!$A$5:$A$1004,A43,'전기원장'!$H$5:$H$1004))</x:f>
      </x:c>
      <x:c r="D43" s="75" t="str">
        <x:f>IF(A43="","",SUMIF('당기원장'!$A$5:$A$1004,A43,'당기원장'!$H$5:$H$1004))</x:f>
      </x:c>
      <x:c r="E43" s="75" t="str">
        <x:f>IF(A43="","",D43-C43)</x:f>
      </x:c>
      <x:c r="F43" s="86" t="str">
        <x:f>IF(A43="","",IF(C43=0,IF(D43=0,0,1),ABS(E43)/ABS(C43)))</x:f>
      </x:c>
      <x:c r="G43" s="73" t="str">
        <x:f>IF(A43="","",IF(AND(C43=0,D43&lt;&gt;0),"신규",IF(AND(C43&lt;&gt;0,D43=0),"소멸",IF(E43=0,"변동없음","금액변동"))))</x:f>
      </x:c>
      <x:c r="H43" s="73" t="str">
        <x:f>IF(A43="","",IF(AND(ABS(E43)&gt;='기준설정'!$B$6,OR(G43="신규",G43="소멸",F43&gt;='기준설정'!$B$5)),"원인분석 대상","일반"))</x:f>
      </x:c>
      <x:c r="I43" s="73" t="str">
        <x:f>IF(A43="","",IF(H43="원인분석 대상","세부원인분석 시트에서 거래별 원인을 검토","-"))</x:f>
      </x:c>
      <x:c r="J43" s="73" t="str">
        <x:f>IF(A43="","",COUNTIFS('전기원장'!$A$5:$A$1004,A43,'전기원장'!$J$5:$J$1004,"확인 필요")+COUNTIFS('당기원장'!$A$5:$A$1004,A43,'당기원장'!$J$5:$J$1004,"확인 필요"))</x:f>
      </x:c>
      <x:c r="K43" s="87" t="str">
        <x:f>IF(A43="","",IF(H43&lt;&gt;"원인분석 대상","",IF(J43&gt;0,"붙임 문서 확인 후 원인 확정 필요","결의서명 기반 원인분류 검토")))</x:f>
      </x:c>
    </x:row>
    <x:row r="44">
      <x:c r="A44" s="73"/>
      <x:c r="B44" s="73" t="str">
        <x:f>IF(A44="","",IFERROR(XLOOKUP(A44,'당기원장'!$A$5:$A$1004,'당기원장'!$B$5:$B$1004),XLOOKUP(A44,'전기원장'!$A$5:$A$1004,'전기원장'!$B$5:$B$1004,"")))</x:f>
      </x:c>
      <x:c r="C44" s="75" t="str">
        <x:f>IF(A44="","",SUMIF('전기원장'!$A$5:$A$1004,A44,'전기원장'!$H$5:$H$1004))</x:f>
      </x:c>
      <x:c r="D44" s="75" t="str">
        <x:f>IF(A44="","",SUMIF('당기원장'!$A$5:$A$1004,A44,'당기원장'!$H$5:$H$1004))</x:f>
      </x:c>
      <x:c r="E44" s="75" t="str">
        <x:f>IF(A44="","",D44-C44)</x:f>
      </x:c>
      <x:c r="F44" s="86" t="str">
        <x:f>IF(A44="","",IF(C44=0,IF(D44=0,0,1),ABS(E44)/ABS(C44)))</x:f>
      </x:c>
      <x:c r="G44" s="73" t="str">
        <x:f>IF(A44="","",IF(AND(C44=0,D44&lt;&gt;0),"신규",IF(AND(C44&lt;&gt;0,D44=0),"소멸",IF(E44=0,"변동없음","금액변동"))))</x:f>
      </x:c>
      <x:c r="H44" s="73" t="str">
        <x:f>IF(A44="","",IF(AND(ABS(E44)&gt;='기준설정'!$B$6,OR(G44="신규",G44="소멸",F44&gt;='기준설정'!$B$5)),"원인분석 대상","일반"))</x:f>
      </x:c>
      <x:c r="I44" s="73" t="str">
        <x:f>IF(A44="","",IF(H44="원인분석 대상","세부원인분석 시트에서 거래별 원인을 검토","-"))</x:f>
      </x:c>
      <x:c r="J44" s="73" t="str">
        <x:f>IF(A44="","",COUNTIFS('전기원장'!$A$5:$A$1004,A44,'전기원장'!$J$5:$J$1004,"확인 필요")+COUNTIFS('당기원장'!$A$5:$A$1004,A44,'당기원장'!$J$5:$J$1004,"확인 필요"))</x:f>
      </x:c>
      <x:c r="K44" s="87" t="str">
        <x:f>IF(A44="","",IF(H44&lt;&gt;"원인분석 대상","",IF(J44&gt;0,"붙임 문서 확인 후 원인 확정 필요","결의서명 기반 원인분류 검토")))</x:f>
      </x:c>
    </x:row>
    <x:row r="45">
      <x:c r="A45" s="73"/>
      <x:c r="B45" s="73" t="str">
        <x:f>IF(A45="","",IFERROR(XLOOKUP(A45,'당기원장'!$A$5:$A$1004,'당기원장'!$B$5:$B$1004),XLOOKUP(A45,'전기원장'!$A$5:$A$1004,'전기원장'!$B$5:$B$1004,"")))</x:f>
      </x:c>
      <x:c r="C45" s="75" t="str">
        <x:f>IF(A45="","",SUMIF('전기원장'!$A$5:$A$1004,A45,'전기원장'!$H$5:$H$1004))</x:f>
      </x:c>
      <x:c r="D45" s="75" t="str">
        <x:f>IF(A45="","",SUMIF('당기원장'!$A$5:$A$1004,A45,'당기원장'!$H$5:$H$1004))</x:f>
      </x:c>
      <x:c r="E45" s="75" t="str">
        <x:f>IF(A45="","",D45-C45)</x:f>
      </x:c>
      <x:c r="F45" s="86" t="str">
        <x:f>IF(A45="","",IF(C45=0,IF(D45=0,0,1),ABS(E45)/ABS(C45)))</x:f>
      </x:c>
      <x:c r="G45" s="73" t="str">
        <x:f>IF(A45="","",IF(AND(C45=0,D45&lt;&gt;0),"신규",IF(AND(C45&lt;&gt;0,D45=0),"소멸",IF(E45=0,"변동없음","금액변동"))))</x:f>
      </x:c>
      <x:c r="H45" s="73" t="str">
        <x:f>IF(A45="","",IF(AND(ABS(E45)&gt;='기준설정'!$B$6,OR(G45="신규",G45="소멸",F45&gt;='기준설정'!$B$5)),"원인분석 대상","일반"))</x:f>
      </x:c>
      <x:c r="I45" s="73" t="str">
        <x:f>IF(A45="","",IF(H45="원인분석 대상","세부원인분석 시트에서 거래별 원인을 검토","-"))</x:f>
      </x:c>
      <x:c r="J45" s="73" t="str">
        <x:f>IF(A45="","",COUNTIFS('전기원장'!$A$5:$A$1004,A45,'전기원장'!$J$5:$J$1004,"확인 필요")+COUNTIFS('당기원장'!$A$5:$A$1004,A45,'당기원장'!$J$5:$J$1004,"확인 필요"))</x:f>
      </x:c>
      <x:c r="K45" s="87" t="str">
        <x:f>IF(A45="","",IF(H45&lt;&gt;"원인분석 대상","",IF(J45&gt;0,"붙임 문서 확인 후 원인 확정 필요","결의서명 기반 원인분류 검토")))</x:f>
      </x:c>
    </x:row>
    <x:row r="46">
      <x:c r="A46" s="73"/>
      <x:c r="B46" s="73" t="str">
        <x:f>IF(A46="","",IFERROR(XLOOKUP(A46,'당기원장'!$A$5:$A$1004,'당기원장'!$B$5:$B$1004),XLOOKUP(A46,'전기원장'!$A$5:$A$1004,'전기원장'!$B$5:$B$1004,"")))</x:f>
      </x:c>
      <x:c r="C46" s="75" t="str">
        <x:f>IF(A46="","",SUMIF('전기원장'!$A$5:$A$1004,A46,'전기원장'!$H$5:$H$1004))</x:f>
      </x:c>
      <x:c r="D46" s="75" t="str">
        <x:f>IF(A46="","",SUMIF('당기원장'!$A$5:$A$1004,A46,'당기원장'!$H$5:$H$1004))</x:f>
      </x:c>
      <x:c r="E46" s="75" t="str">
        <x:f>IF(A46="","",D46-C46)</x:f>
      </x:c>
      <x:c r="F46" s="86" t="str">
        <x:f>IF(A46="","",IF(C46=0,IF(D46=0,0,1),ABS(E46)/ABS(C46)))</x:f>
      </x:c>
      <x:c r="G46" s="73" t="str">
        <x:f>IF(A46="","",IF(AND(C46=0,D46&lt;&gt;0),"신규",IF(AND(C46&lt;&gt;0,D46=0),"소멸",IF(E46=0,"변동없음","금액변동"))))</x:f>
      </x:c>
      <x:c r="H46" s="73" t="str">
        <x:f>IF(A46="","",IF(AND(ABS(E46)&gt;='기준설정'!$B$6,OR(G46="신규",G46="소멸",F46&gt;='기준설정'!$B$5)),"원인분석 대상","일반"))</x:f>
      </x:c>
      <x:c r="I46" s="73" t="str">
        <x:f>IF(A46="","",IF(H46="원인분석 대상","세부원인분석 시트에서 거래별 원인을 검토","-"))</x:f>
      </x:c>
      <x:c r="J46" s="73" t="str">
        <x:f>IF(A46="","",COUNTIFS('전기원장'!$A$5:$A$1004,A46,'전기원장'!$J$5:$J$1004,"확인 필요")+COUNTIFS('당기원장'!$A$5:$A$1004,A46,'당기원장'!$J$5:$J$1004,"확인 필요"))</x:f>
      </x:c>
      <x:c r="K46" s="87" t="str">
        <x:f>IF(A46="","",IF(H46&lt;&gt;"원인분석 대상","",IF(J46&gt;0,"붙임 문서 확인 후 원인 확정 필요","결의서명 기반 원인분류 검토")))</x:f>
      </x:c>
    </x:row>
    <x:row r="47">
      <x:c r="A47" s="73"/>
      <x:c r="B47" s="73" t="str">
        <x:f>IF(A47="","",IFERROR(XLOOKUP(A47,'당기원장'!$A$5:$A$1004,'당기원장'!$B$5:$B$1004),XLOOKUP(A47,'전기원장'!$A$5:$A$1004,'전기원장'!$B$5:$B$1004,"")))</x:f>
      </x:c>
      <x:c r="C47" s="75" t="str">
        <x:f>IF(A47="","",SUMIF('전기원장'!$A$5:$A$1004,A47,'전기원장'!$H$5:$H$1004))</x:f>
      </x:c>
      <x:c r="D47" s="75" t="str">
        <x:f>IF(A47="","",SUMIF('당기원장'!$A$5:$A$1004,A47,'당기원장'!$H$5:$H$1004))</x:f>
      </x:c>
      <x:c r="E47" s="75" t="str">
        <x:f>IF(A47="","",D47-C47)</x:f>
      </x:c>
      <x:c r="F47" s="86" t="str">
        <x:f>IF(A47="","",IF(C47=0,IF(D47=0,0,1),ABS(E47)/ABS(C47)))</x:f>
      </x:c>
      <x:c r="G47" s="73" t="str">
        <x:f>IF(A47="","",IF(AND(C47=0,D47&lt;&gt;0),"신규",IF(AND(C47&lt;&gt;0,D47=0),"소멸",IF(E47=0,"변동없음","금액변동"))))</x:f>
      </x:c>
      <x:c r="H47" s="73" t="str">
        <x:f>IF(A47="","",IF(AND(ABS(E47)&gt;='기준설정'!$B$6,OR(G47="신규",G47="소멸",F47&gt;='기준설정'!$B$5)),"원인분석 대상","일반"))</x:f>
      </x:c>
      <x:c r="I47" s="73" t="str">
        <x:f>IF(A47="","",IF(H47="원인분석 대상","세부원인분석 시트에서 거래별 원인을 검토","-"))</x:f>
      </x:c>
      <x:c r="J47" s="73" t="str">
        <x:f>IF(A47="","",COUNTIFS('전기원장'!$A$5:$A$1004,A47,'전기원장'!$J$5:$J$1004,"확인 필요")+COUNTIFS('당기원장'!$A$5:$A$1004,A47,'당기원장'!$J$5:$J$1004,"확인 필요"))</x:f>
      </x:c>
      <x:c r="K47" s="87" t="str">
        <x:f>IF(A47="","",IF(H47&lt;&gt;"원인분석 대상","",IF(J47&gt;0,"붙임 문서 확인 후 원인 확정 필요","결의서명 기반 원인분류 검토")))</x:f>
      </x:c>
    </x:row>
    <x:row r="48">
      <x:c r="A48" s="73"/>
      <x:c r="B48" s="73" t="str">
        <x:f>IF(A48="","",IFERROR(XLOOKUP(A48,'당기원장'!$A$5:$A$1004,'당기원장'!$B$5:$B$1004),XLOOKUP(A48,'전기원장'!$A$5:$A$1004,'전기원장'!$B$5:$B$1004,"")))</x:f>
      </x:c>
      <x:c r="C48" s="75" t="str">
        <x:f>IF(A48="","",SUMIF('전기원장'!$A$5:$A$1004,A48,'전기원장'!$H$5:$H$1004))</x:f>
      </x:c>
      <x:c r="D48" s="75" t="str">
        <x:f>IF(A48="","",SUMIF('당기원장'!$A$5:$A$1004,A48,'당기원장'!$H$5:$H$1004))</x:f>
      </x:c>
      <x:c r="E48" s="75" t="str">
        <x:f>IF(A48="","",D48-C48)</x:f>
      </x:c>
      <x:c r="F48" s="86" t="str">
        <x:f>IF(A48="","",IF(C48=0,IF(D48=0,0,1),ABS(E48)/ABS(C48)))</x:f>
      </x:c>
      <x:c r="G48" s="73" t="str">
        <x:f>IF(A48="","",IF(AND(C48=0,D48&lt;&gt;0),"신규",IF(AND(C48&lt;&gt;0,D48=0),"소멸",IF(E48=0,"변동없음","금액변동"))))</x:f>
      </x:c>
      <x:c r="H48" s="73" t="str">
        <x:f>IF(A48="","",IF(AND(ABS(E48)&gt;='기준설정'!$B$6,OR(G48="신규",G48="소멸",F48&gt;='기준설정'!$B$5)),"원인분석 대상","일반"))</x:f>
      </x:c>
      <x:c r="I48" s="73" t="str">
        <x:f>IF(A48="","",IF(H48="원인분석 대상","세부원인분석 시트에서 거래별 원인을 검토","-"))</x:f>
      </x:c>
      <x:c r="J48" s="73" t="str">
        <x:f>IF(A48="","",COUNTIFS('전기원장'!$A$5:$A$1004,A48,'전기원장'!$J$5:$J$1004,"확인 필요")+COUNTIFS('당기원장'!$A$5:$A$1004,A48,'당기원장'!$J$5:$J$1004,"확인 필요"))</x:f>
      </x:c>
      <x:c r="K48" s="87" t="str">
        <x:f>IF(A48="","",IF(H48&lt;&gt;"원인분석 대상","",IF(J48&gt;0,"붙임 문서 확인 후 원인 확정 필요","결의서명 기반 원인분류 검토")))</x:f>
      </x:c>
    </x:row>
    <x:row r="49">
      <x:c r="A49" s="73"/>
      <x:c r="B49" s="73" t="str">
        <x:f>IF(A49="","",IFERROR(XLOOKUP(A49,'당기원장'!$A$5:$A$1004,'당기원장'!$B$5:$B$1004),XLOOKUP(A49,'전기원장'!$A$5:$A$1004,'전기원장'!$B$5:$B$1004,"")))</x:f>
      </x:c>
      <x:c r="C49" s="75" t="str">
        <x:f>IF(A49="","",SUMIF('전기원장'!$A$5:$A$1004,A49,'전기원장'!$H$5:$H$1004))</x:f>
      </x:c>
      <x:c r="D49" s="75" t="str">
        <x:f>IF(A49="","",SUMIF('당기원장'!$A$5:$A$1004,A49,'당기원장'!$H$5:$H$1004))</x:f>
      </x:c>
      <x:c r="E49" s="75" t="str">
        <x:f>IF(A49="","",D49-C49)</x:f>
      </x:c>
      <x:c r="F49" s="86" t="str">
        <x:f>IF(A49="","",IF(C49=0,IF(D49=0,0,1),ABS(E49)/ABS(C49)))</x:f>
      </x:c>
      <x:c r="G49" s="73" t="str">
        <x:f>IF(A49="","",IF(AND(C49=0,D49&lt;&gt;0),"신규",IF(AND(C49&lt;&gt;0,D49=0),"소멸",IF(E49=0,"변동없음","금액변동"))))</x:f>
      </x:c>
      <x:c r="H49" s="73" t="str">
        <x:f>IF(A49="","",IF(AND(ABS(E49)&gt;='기준설정'!$B$6,OR(G49="신규",G49="소멸",F49&gt;='기준설정'!$B$5)),"원인분석 대상","일반"))</x:f>
      </x:c>
      <x:c r="I49" s="73" t="str">
        <x:f>IF(A49="","",IF(H49="원인분석 대상","세부원인분석 시트에서 거래별 원인을 검토","-"))</x:f>
      </x:c>
      <x:c r="J49" s="73" t="str">
        <x:f>IF(A49="","",COUNTIFS('전기원장'!$A$5:$A$1004,A49,'전기원장'!$J$5:$J$1004,"확인 필요")+COUNTIFS('당기원장'!$A$5:$A$1004,A49,'당기원장'!$J$5:$J$1004,"확인 필요"))</x:f>
      </x:c>
      <x:c r="K49" s="87" t="str">
        <x:f>IF(A49="","",IF(H49&lt;&gt;"원인분석 대상","",IF(J49&gt;0,"붙임 문서 확인 후 원인 확정 필요","결의서명 기반 원인분류 검토")))</x:f>
      </x:c>
    </x:row>
    <x:row r="50">
      <x:c r="A50" s="73"/>
      <x:c r="B50" s="73" t="str">
        <x:f>IF(A50="","",IFERROR(XLOOKUP(A50,'당기원장'!$A$5:$A$1004,'당기원장'!$B$5:$B$1004),XLOOKUP(A50,'전기원장'!$A$5:$A$1004,'전기원장'!$B$5:$B$1004,"")))</x:f>
      </x:c>
      <x:c r="C50" s="75" t="str">
        <x:f>IF(A50="","",SUMIF('전기원장'!$A$5:$A$1004,A50,'전기원장'!$H$5:$H$1004))</x:f>
      </x:c>
      <x:c r="D50" s="75" t="str">
        <x:f>IF(A50="","",SUMIF('당기원장'!$A$5:$A$1004,A50,'당기원장'!$H$5:$H$1004))</x:f>
      </x:c>
      <x:c r="E50" s="75" t="str">
        <x:f>IF(A50="","",D50-C50)</x:f>
      </x:c>
      <x:c r="F50" s="86" t="str">
        <x:f>IF(A50="","",IF(C50=0,IF(D50=0,0,1),ABS(E50)/ABS(C50)))</x:f>
      </x:c>
      <x:c r="G50" s="73" t="str">
        <x:f>IF(A50="","",IF(AND(C50=0,D50&lt;&gt;0),"신규",IF(AND(C50&lt;&gt;0,D50=0),"소멸",IF(E50=0,"변동없음","금액변동"))))</x:f>
      </x:c>
      <x:c r="H50" s="73" t="str">
        <x:f>IF(A50="","",IF(AND(ABS(E50)&gt;='기준설정'!$B$6,OR(G50="신규",G50="소멸",F50&gt;='기준설정'!$B$5)),"원인분석 대상","일반"))</x:f>
      </x:c>
      <x:c r="I50" s="73" t="str">
        <x:f>IF(A50="","",IF(H50="원인분석 대상","세부원인분석 시트에서 거래별 원인을 검토","-"))</x:f>
      </x:c>
      <x:c r="J50" s="73" t="str">
        <x:f>IF(A50="","",COUNTIFS('전기원장'!$A$5:$A$1004,A50,'전기원장'!$J$5:$J$1004,"확인 필요")+COUNTIFS('당기원장'!$A$5:$A$1004,A50,'당기원장'!$J$5:$J$1004,"확인 필요"))</x:f>
      </x:c>
      <x:c r="K50" s="87" t="str">
        <x:f>IF(A50="","",IF(H50&lt;&gt;"원인분석 대상","",IF(J50&gt;0,"붙임 문서 확인 후 원인 확정 필요","결의서명 기반 원인분류 검토")))</x:f>
      </x:c>
    </x:row>
    <x:row r="51">
      <x:c r="A51" s="73"/>
      <x:c r="B51" s="73" t="str">
        <x:f>IF(A51="","",IFERROR(XLOOKUP(A51,'당기원장'!$A$5:$A$1004,'당기원장'!$B$5:$B$1004),XLOOKUP(A51,'전기원장'!$A$5:$A$1004,'전기원장'!$B$5:$B$1004,"")))</x:f>
      </x:c>
      <x:c r="C51" s="75" t="str">
        <x:f>IF(A51="","",SUMIF('전기원장'!$A$5:$A$1004,A51,'전기원장'!$H$5:$H$1004))</x:f>
      </x:c>
      <x:c r="D51" s="75" t="str">
        <x:f>IF(A51="","",SUMIF('당기원장'!$A$5:$A$1004,A51,'당기원장'!$H$5:$H$1004))</x:f>
      </x:c>
      <x:c r="E51" s="75" t="str">
        <x:f>IF(A51="","",D51-C51)</x:f>
      </x:c>
      <x:c r="F51" s="86" t="str">
        <x:f>IF(A51="","",IF(C51=0,IF(D51=0,0,1),ABS(E51)/ABS(C51)))</x:f>
      </x:c>
      <x:c r="G51" s="73" t="str">
        <x:f>IF(A51="","",IF(AND(C51=0,D51&lt;&gt;0),"신규",IF(AND(C51&lt;&gt;0,D51=0),"소멸",IF(E51=0,"변동없음","금액변동"))))</x:f>
      </x:c>
      <x:c r="H51" s="73" t="str">
        <x:f>IF(A51="","",IF(AND(ABS(E51)&gt;='기준설정'!$B$6,OR(G51="신규",G51="소멸",F51&gt;='기준설정'!$B$5)),"원인분석 대상","일반"))</x:f>
      </x:c>
      <x:c r="I51" s="73" t="str">
        <x:f>IF(A51="","",IF(H51="원인분석 대상","세부원인분석 시트에서 거래별 원인을 검토","-"))</x:f>
      </x:c>
      <x:c r="J51" s="73" t="str">
        <x:f>IF(A51="","",COUNTIFS('전기원장'!$A$5:$A$1004,A51,'전기원장'!$J$5:$J$1004,"확인 필요")+COUNTIFS('당기원장'!$A$5:$A$1004,A51,'당기원장'!$J$5:$J$1004,"확인 필요"))</x:f>
      </x:c>
      <x:c r="K51" s="87" t="str">
        <x:f>IF(A51="","",IF(H51&lt;&gt;"원인분석 대상","",IF(J51&gt;0,"붙임 문서 확인 후 원인 확정 필요","결의서명 기반 원인분류 검토")))</x:f>
      </x:c>
    </x:row>
    <x:row r="52">
      <x:c r="A52" s="73"/>
      <x:c r="B52" s="73" t="str">
        <x:f>IF(A52="","",IFERROR(XLOOKUP(A52,'당기원장'!$A$5:$A$1004,'당기원장'!$B$5:$B$1004),XLOOKUP(A52,'전기원장'!$A$5:$A$1004,'전기원장'!$B$5:$B$1004,"")))</x:f>
      </x:c>
      <x:c r="C52" s="75" t="str">
        <x:f>IF(A52="","",SUMIF('전기원장'!$A$5:$A$1004,A52,'전기원장'!$H$5:$H$1004))</x:f>
      </x:c>
      <x:c r="D52" s="75" t="str">
        <x:f>IF(A52="","",SUMIF('당기원장'!$A$5:$A$1004,A52,'당기원장'!$H$5:$H$1004))</x:f>
      </x:c>
      <x:c r="E52" s="75" t="str">
        <x:f>IF(A52="","",D52-C52)</x:f>
      </x:c>
      <x:c r="F52" s="86" t="str">
        <x:f>IF(A52="","",IF(C52=0,IF(D52=0,0,1),ABS(E52)/ABS(C52)))</x:f>
      </x:c>
      <x:c r="G52" s="73" t="str">
        <x:f>IF(A52="","",IF(AND(C52=0,D52&lt;&gt;0),"신규",IF(AND(C52&lt;&gt;0,D52=0),"소멸",IF(E52=0,"변동없음","금액변동"))))</x:f>
      </x:c>
      <x:c r="H52" s="73" t="str">
        <x:f>IF(A52="","",IF(AND(ABS(E52)&gt;='기준설정'!$B$6,OR(G52="신규",G52="소멸",F52&gt;='기준설정'!$B$5)),"원인분석 대상","일반"))</x:f>
      </x:c>
      <x:c r="I52" s="73" t="str">
        <x:f>IF(A52="","",IF(H52="원인분석 대상","세부원인분석 시트에서 거래별 원인을 검토","-"))</x:f>
      </x:c>
      <x:c r="J52" s="73" t="str">
        <x:f>IF(A52="","",COUNTIFS('전기원장'!$A$5:$A$1004,A52,'전기원장'!$J$5:$J$1004,"확인 필요")+COUNTIFS('당기원장'!$A$5:$A$1004,A52,'당기원장'!$J$5:$J$1004,"확인 필요"))</x:f>
      </x:c>
      <x:c r="K52" s="87" t="str">
        <x:f>IF(A52="","",IF(H52&lt;&gt;"원인분석 대상","",IF(J52&gt;0,"붙임 문서 확인 후 원인 확정 필요","결의서명 기반 원인분류 검토")))</x:f>
      </x:c>
    </x:row>
    <x:row r="53">
      <x:c r="A53" s="73"/>
      <x:c r="B53" s="73" t="str">
        <x:f>IF(A53="","",IFERROR(XLOOKUP(A53,'당기원장'!$A$5:$A$1004,'당기원장'!$B$5:$B$1004),XLOOKUP(A53,'전기원장'!$A$5:$A$1004,'전기원장'!$B$5:$B$1004,"")))</x:f>
      </x:c>
      <x:c r="C53" s="75" t="str">
        <x:f>IF(A53="","",SUMIF('전기원장'!$A$5:$A$1004,A53,'전기원장'!$H$5:$H$1004))</x:f>
      </x:c>
      <x:c r="D53" s="75" t="str">
        <x:f>IF(A53="","",SUMIF('당기원장'!$A$5:$A$1004,A53,'당기원장'!$H$5:$H$1004))</x:f>
      </x:c>
      <x:c r="E53" s="75" t="str">
        <x:f>IF(A53="","",D53-C53)</x:f>
      </x:c>
      <x:c r="F53" s="86" t="str">
        <x:f>IF(A53="","",IF(C53=0,IF(D53=0,0,1),ABS(E53)/ABS(C53)))</x:f>
      </x:c>
      <x:c r="G53" s="73" t="str">
        <x:f>IF(A53="","",IF(AND(C53=0,D53&lt;&gt;0),"신규",IF(AND(C53&lt;&gt;0,D53=0),"소멸",IF(E53=0,"변동없음","금액변동"))))</x:f>
      </x:c>
      <x:c r="H53" s="73" t="str">
        <x:f>IF(A53="","",IF(AND(ABS(E53)&gt;='기준설정'!$B$6,OR(G53="신규",G53="소멸",F53&gt;='기준설정'!$B$5)),"원인분석 대상","일반"))</x:f>
      </x:c>
      <x:c r="I53" s="73" t="str">
        <x:f>IF(A53="","",IF(H53="원인분석 대상","세부원인분석 시트에서 거래별 원인을 검토","-"))</x:f>
      </x:c>
      <x:c r="J53" s="73" t="str">
        <x:f>IF(A53="","",COUNTIFS('전기원장'!$A$5:$A$1004,A53,'전기원장'!$J$5:$J$1004,"확인 필요")+COUNTIFS('당기원장'!$A$5:$A$1004,A53,'당기원장'!$J$5:$J$1004,"확인 필요"))</x:f>
      </x:c>
      <x:c r="K53" s="87" t="str">
        <x:f>IF(A53="","",IF(H53&lt;&gt;"원인분석 대상","",IF(J53&gt;0,"붙임 문서 확인 후 원인 확정 필요","결의서명 기반 원인분류 검토")))</x:f>
      </x:c>
    </x:row>
    <x:row r="54">
      <x:c r="A54" s="73"/>
      <x:c r="B54" s="73" t="str">
        <x:f>IF(A54="","",IFERROR(XLOOKUP(A54,'당기원장'!$A$5:$A$1004,'당기원장'!$B$5:$B$1004),XLOOKUP(A54,'전기원장'!$A$5:$A$1004,'전기원장'!$B$5:$B$1004,"")))</x:f>
      </x:c>
      <x:c r="C54" s="75" t="str">
        <x:f>IF(A54="","",SUMIF('전기원장'!$A$5:$A$1004,A54,'전기원장'!$H$5:$H$1004))</x:f>
      </x:c>
      <x:c r="D54" s="75" t="str">
        <x:f>IF(A54="","",SUMIF('당기원장'!$A$5:$A$1004,A54,'당기원장'!$H$5:$H$1004))</x:f>
      </x:c>
      <x:c r="E54" s="75" t="str">
        <x:f>IF(A54="","",D54-C54)</x:f>
      </x:c>
      <x:c r="F54" s="86" t="str">
        <x:f>IF(A54="","",IF(C54=0,IF(D54=0,0,1),ABS(E54)/ABS(C54)))</x:f>
      </x:c>
      <x:c r="G54" s="73" t="str">
        <x:f>IF(A54="","",IF(AND(C54=0,D54&lt;&gt;0),"신규",IF(AND(C54&lt;&gt;0,D54=0),"소멸",IF(E54=0,"변동없음","금액변동"))))</x:f>
      </x:c>
      <x:c r="H54" s="73" t="str">
        <x:f>IF(A54="","",IF(AND(ABS(E54)&gt;='기준설정'!$B$6,OR(G54="신규",G54="소멸",F54&gt;='기준설정'!$B$5)),"원인분석 대상","일반"))</x:f>
      </x:c>
      <x:c r="I54" s="73" t="str">
        <x:f>IF(A54="","",IF(H54="원인분석 대상","세부원인분석 시트에서 거래별 원인을 검토","-"))</x:f>
      </x:c>
      <x:c r="J54" s="73" t="str">
        <x:f>IF(A54="","",COUNTIFS('전기원장'!$A$5:$A$1004,A54,'전기원장'!$J$5:$J$1004,"확인 필요")+COUNTIFS('당기원장'!$A$5:$A$1004,A54,'당기원장'!$J$5:$J$1004,"확인 필요"))</x:f>
      </x:c>
      <x:c r="K54" s="87" t="str">
        <x:f>IF(A54="","",IF(H54&lt;&gt;"원인분석 대상","",IF(J54&gt;0,"붙임 문서 확인 후 원인 확정 필요","결의서명 기반 원인분류 검토")))</x:f>
      </x:c>
    </x:row>
    <x:row r="55">
      <x:c r="A55" s="73"/>
      <x:c r="B55" s="73" t="str">
        <x:f>IF(A55="","",IFERROR(XLOOKUP(A55,'당기원장'!$A$5:$A$1004,'당기원장'!$B$5:$B$1004),XLOOKUP(A55,'전기원장'!$A$5:$A$1004,'전기원장'!$B$5:$B$1004,"")))</x:f>
      </x:c>
      <x:c r="C55" s="75" t="str">
        <x:f>IF(A55="","",SUMIF('전기원장'!$A$5:$A$1004,A55,'전기원장'!$H$5:$H$1004))</x:f>
      </x:c>
      <x:c r="D55" s="75" t="str">
        <x:f>IF(A55="","",SUMIF('당기원장'!$A$5:$A$1004,A55,'당기원장'!$H$5:$H$1004))</x:f>
      </x:c>
      <x:c r="E55" s="75" t="str">
        <x:f>IF(A55="","",D55-C55)</x:f>
      </x:c>
      <x:c r="F55" s="86" t="str">
        <x:f>IF(A55="","",IF(C55=0,IF(D55=0,0,1),ABS(E55)/ABS(C55)))</x:f>
      </x:c>
      <x:c r="G55" s="73" t="str">
        <x:f>IF(A55="","",IF(AND(C55=0,D55&lt;&gt;0),"신규",IF(AND(C55&lt;&gt;0,D55=0),"소멸",IF(E55=0,"변동없음","금액변동"))))</x:f>
      </x:c>
      <x:c r="H55" s="73" t="str">
        <x:f>IF(A55="","",IF(AND(ABS(E55)&gt;='기준설정'!$B$6,OR(G55="신규",G55="소멸",F55&gt;='기준설정'!$B$5)),"원인분석 대상","일반"))</x:f>
      </x:c>
      <x:c r="I55" s="73" t="str">
        <x:f>IF(A55="","",IF(H55="원인분석 대상","세부원인분석 시트에서 거래별 원인을 검토","-"))</x:f>
      </x:c>
      <x:c r="J55" s="73" t="str">
        <x:f>IF(A55="","",COUNTIFS('전기원장'!$A$5:$A$1004,A55,'전기원장'!$J$5:$J$1004,"확인 필요")+COUNTIFS('당기원장'!$A$5:$A$1004,A55,'당기원장'!$J$5:$J$1004,"확인 필요"))</x:f>
      </x:c>
      <x:c r="K55" s="87" t="str">
        <x:f>IF(A55="","",IF(H55&lt;&gt;"원인분석 대상","",IF(J55&gt;0,"붙임 문서 확인 후 원인 확정 필요","결의서명 기반 원인분류 검토")))</x:f>
      </x:c>
    </x:row>
    <x:row r="56">
      <x:c r="A56" s="73"/>
      <x:c r="B56" s="73" t="str">
        <x:f>IF(A56="","",IFERROR(XLOOKUP(A56,'당기원장'!$A$5:$A$1004,'당기원장'!$B$5:$B$1004),XLOOKUP(A56,'전기원장'!$A$5:$A$1004,'전기원장'!$B$5:$B$1004,"")))</x:f>
      </x:c>
      <x:c r="C56" s="75" t="str">
        <x:f>IF(A56="","",SUMIF('전기원장'!$A$5:$A$1004,A56,'전기원장'!$H$5:$H$1004))</x:f>
      </x:c>
      <x:c r="D56" s="75" t="str">
        <x:f>IF(A56="","",SUMIF('당기원장'!$A$5:$A$1004,A56,'당기원장'!$H$5:$H$1004))</x:f>
      </x:c>
      <x:c r="E56" s="75" t="str">
        <x:f>IF(A56="","",D56-C56)</x:f>
      </x:c>
      <x:c r="F56" s="86" t="str">
        <x:f>IF(A56="","",IF(C56=0,IF(D56=0,0,1),ABS(E56)/ABS(C56)))</x:f>
      </x:c>
      <x:c r="G56" s="73" t="str">
        <x:f>IF(A56="","",IF(AND(C56=0,D56&lt;&gt;0),"신규",IF(AND(C56&lt;&gt;0,D56=0),"소멸",IF(E56=0,"변동없음","금액변동"))))</x:f>
      </x:c>
      <x:c r="H56" s="73" t="str">
        <x:f>IF(A56="","",IF(AND(ABS(E56)&gt;='기준설정'!$B$6,OR(G56="신규",G56="소멸",F56&gt;='기준설정'!$B$5)),"원인분석 대상","일반"))</x:f>
      </x:c>
      <x:c r="I56" s="73" t="str">
        <x:f>IF(A56="","",IF(H56="원인분석 대상","세부원인분석 시트에서 거래별 원인을 검토","-"))</x:f>
      </x:c>
      <x:c r="J56" s="73" t="str">
        <x:f>IF(A56="","",COUNTIFS('전기원장'!$A$5:$A$1004,A56,'전기원장'!$J$5:$J$1004,"확인 필요")+COUNTIFS('당기원장'!$A$5:$A$1004,A56,'당기원장'!$J$5:$J$1004,"확인 필요"))</x:f>
      </x:c>
      <x:c r="K56" s="87" t="str">
        <x:f>IF(A56="","",IF(H56&lt;&gt;"원인분석 대상","",IF(J56&gt;0,"붙임 문서 확인 후 원인 확정 필요","결의서명 기반 원인분류 검토")))</x:f>
      </x:c>
    </x:row>
    <x:row r="57">
      <x:c r="A57" s="73"/>
      <x:c r="B57" s="73" t="str">
        <x:f>IF(A57="","",IFERROR(XLOOKUP(A57,'당기원장'!$A$5:$A$1004,'당기원장'!$B$5:$B$1004),XLOOKUP(A57,'전기원장'!$A$5:$A$1004,'전기원장'!$B$5:$B$1004,"")))</x:f>
      </x:c>
      <x:c r="C57" s="75" t="str">
        <x:f>IF(A57="","",SUMIF('전기원장'!$A$5:$A$1004,A57,'전기원장'!$H$5:$H$1004))</x:f>
      </x:c>
      <x:c r="D57" s="75" t="str">
        <x:f>IF(A57="","",SUMIF('당기원장'!$A$5:$A$1004,A57,'당기원장'!$H$5:$H$1004))</x:f>
      </x:c>
      <x:c r="E57" s="75" t="str">
        <x:f>IF(A57="","",D57-C57)</x:f>
      </x:c>
      <x:c r="F57" s="86" t="str">
        <x:f>IF(A57="","",IF(C57=0,IF(D57=0,0,1),ABS(E57)/ABS(C57)))</x:f>
      </x:c>
      <x:c r="G57" s="73" t="str">
        <x:f>IF(A57="","",IF(AND(C57=0,D57&lt;&gt;0),"신규",IF(AND(C57&lt;&gt;0,D57=0),"소멸",IF(E57=0,"변동없음","금액변동"))))</x:f>
      </x:c>
      <x:c r="H57" s="73" t="str">
        <x:f>IF(A57="","",IF(AND(ABS(E57)&gt;='기준설정'!$B$6,OR(G57="신규",G57="소멸",F57&gt;='기준설정'!$B$5)),"원인분석 대상","일반"))</x:f>
      </x:c>
      <x:c r="I57" s="73" t="str">
        <x:f>IF(A57="","",IF(H57="원인분석 대상","세부원인분석 시트에서 거래별 원인을 검토","-"))</x:f>
      </x:c>
      <x:c r="J57" s="73" t="str">
        <x:f>IF(A57="","",COUNTIFS('전기원장'!$A$5:$A$1004,A57,'전기원장'!$J$5:$J$1004,"확인 필요")+COUNTIFS('당기원장'!$A$5:$A$1004,A57,'당기원장'!$J$5:$J$1004,"확인 필요"))</x:f>
      </x:c>
      <x:c r="K57" s="87" t="str">
        <x:f>IF(A57="","",IF(H57&lt;&gt;"원인분석 대상","",IF(J57&gt;0,"붙임 문서 확인 후 원인 확정 필요","결의서명 기반 원인분류 검토")))</x:f>
      </x:c>
    </x:row>
    <x:row r="58">
      <x:c r="A58" s="73"/>
      <x:c r="B58" s="73" t="str">
        <x:f>IF(A58="","",IFERROR(XLOOKUP(A58,'당기원장'!$A$5:$A$1004,'당기원장'!$B$5:$B$1004),XLOOKUP(A58,'전기원장'!$A$5:$A$1004,'전기원장'!$B$5:$B$1004,"")))</x:f>
      </x:c>
      <x:c r="C58" s="75" t="str">
        <x:f>IF(A58="","",SUMIF('전기원장'!$A$5:$A$1004,A58,'전기원장'!$H$5:$H$1004))</x:f>
      </x:c>
      <x:c r="D58" s="75" t="str">
        <x:f>IF(A58="","",SUMIF('당기원장'!$A$5:$A$1004,A58,'당기원장'!$H$5:$H$1004))</x:f>
      </x:c>
      <x:c r="E58" s="75" t="str">
        <x:f>IF(A58="","",D58-C58)</x:f>
      </x:c>
      <x:c r="F58" s="86" t="str">
        <x:f>IF(A58="","",IF(C58=0,IF(D58=0,0,1),ABS(E58)/ABS(C58)))</x:f>
      </x:c>
      <x:c r="G58" s="73" t="str">
        <x:f>IF(A58="","",IF(AND(C58=0,D58&lt;&gt;0),"신규",IF(AND(C58&lt;&gt;0,D58=0),"소멸",IF(E58=0,"변동없음","금액변동"))))</x:f>
      </x:c>
      <x:c r="H58" s="73" t="str">
        <x:f>IF(A58="","",IF(AND(ABS(E58)&gt;='기준설정'!$B$6,OR(G58="신규",G58="소멸",F58&gt;='기준설정'!$B$5)),"원인분석 대상","일반"))</x:f>
      </x:c>
      <x:c r="I58" s="73" t="str">
        <x:f>IF(A58="","",IF(H58="원인분석 대상","세부원인분석 시트에서 거래별 원인을 검토","-"))</x:f>
      </x:c>
      <x:c r="J58" s="73" t="str">
        <x:f>IF(A58="","",COUNTIFS('전기원장'!$A$5:$A$1004,A58,'전기원장'!$J$5:$J$1004,"확인 필요")+COUNTIFS('당기원장'!$A$5:$A$1004,A58,'당기원장'!$J$5:$J$1004,"확인 필요"))</x:f>
      </x:c>
      <x:c r="K58" s="87" t="str">
        <x:f>IF(A58="","",IF(H58&lt;&gt;"원인분석 대상","",IF(J58&gt;0,"붙임 문서 확인 후 원인 확정 필요","결의서명 기반 원인분류 검토")))</x:f>
      </x:c>
    </x:row>
    <x:row r="59">
      <x:c r="A59" s="73"/>
      <x:c r="B59" s="73" t="str">
        <x:f>IF(A59="","",IFERROR(XLOOKUP(A59,'당기원장'!$A$5:$A$1004,'당기원장'!$B$5:$B$1004),XLOOKUP(A59,'전기원장'!$A$5:$A$1004,'전기원장'!$B$5:$B$1004,"")))</x:f>
      </x:c>
      <x:c r="C59" s="75" t="str">
        <x:f>IF(A59="","",SUMIF('전기원장'!$A$5:$A$1004,A59,'전기원장'!$H$5:$H$1004))</x:f>
      </x:c>
      <x:c r="D59" s="75" t="str">
        <x:f>IF(A59="","",SUMIF('당기원장'!$A$5:$A$1004,A59,'당기원장'!$H$5:$H$1004))</x:f>
      </x:c>
      <x:c r="E59" s="75" t="str">
        <x:f>IF(A59="","",D59-C59)</x:f>
      </x:c>
      <x:c r="F59" s="86" t="str">
        <x:f>IF(A59="","",IF(C59=0,IF(D59=0,0,1),ABS(E59)/ABS(C59)))</x:f>
      </x:c>
      <x:c r="G59" s="73" t="str">
        <x:f>IF(A59="","",IF(AND(C59=0,D59&lt;&gt;0),"신규",IF(AND(C59&lt;&gt;0,D59=0),"소멸",IF(E59=0,"변동없음","금액변동"))))</x:f>
      </x:c>
      <x:c r="H59" s="73" t="str">
        <x:f>IF(A59="","",IF(AND(ABS(E59)&gt;='기준설정'!$B$6,OR(G59="신규",G59="소멸",F59&gt;='기준설정'!$B$5)),"원인분석 대상","일반"))</x:f>
      </x:c>
      <x:c r="I59" s="73" t="str">
        <x:f>IF(A59="","",IF(H59="원인분석 대상","세부원인분석 시트에서 거래별 원인을 검토","-"))</x:f>
      </x:c>
      <x:c r="J59" s="73" t="str">
        <x:f>IF(A59="","",COUNTIFS('전기원장'!$A$5:$A$1004,A59,'전기원장'!$J$5:$J$1004,"확인 필요")+COUNTIFS('당기원장'!$A$5:$A$1004,A59,'당기원장'!$J$5:$J$1004,"확인 필요"))</x:f>
      </x:c>
      <x:c r="K59" s="87" t="str">
        <x:f>IF(A59="","",IF(H59&lt;&gt;"원인분석 대상","",IF(J59&gt;0,"붙임 문서 확인 후 원인 확정 필요","결의서명 기반 원인분류 검토")))</x:f>
      </x:c>
    </x:row>
    <x:row r="60">
      <x:c r="A60" s="73"/>
      <x:c r="B60" s="73" t="str">
        <x:f>IF(A60="","",IFERROR(XLOOKUP(A60,'당기원장'!$A$5:$A$1004,'당기원장'!$B$5:$B$1004),XLOOKUP(A60,'전기원장'!$A$5:$A$1004,'전기원장'!$B$5:$B$1004,"")))</x:f>
      </x:c>
      <x:c r="C60" s="75" t="str">
        <x:f>IF(A60="","",SUMIF('전기원장'!$A$5:$A$1004,A60,'전기원장'!$H$5:$H$1004))</x:f>
      </x:c>
      <x:c r="D60" s="75" t="str">
        <x:f>IF(A60="","",SUMIF('당기원장'!$A$5:$A$1004,A60,'당기원장'!$H$5:$H$1004))</x:f>
      </x:c>
      <x:c r="E60" s="75" t="str">
        <x:f>IF(A60="","",D60-C60)</x:f>
      </x:c>
      <x:c r="F60" s="86" t="str">
        <x:f>IF(A60="","",IF(C60=0,IF(D60=0,0,1),ABS(E60)/ABS(C60)))</x:f>
      </x:c>
      <x:c r="G60" s="73" t="str">
        <x:f>IF(A60="","",IF(AND(C60=0,D60&lt;&gt;0),"신규",IF(AND(C60&lt;&gt;0,D60=0),"소멸",IF(E60=0,"변동없음","금액변동"))))</x:f>
      </x:c>
      <x:c r="H60" s="73" t="str">
        <x:f>IF(A60="","",IF(AND(ABS(E60)&gt;='기준설정'!$B$6,OR(G60="신규",G60="소멸",F60&gt;='기준설정'!$B$5)),"원인분석 대상","일반"))</x:f>
      </x:c>
      <x:c r="I60" s="73" t="str">
        <x:f>IF(A60="","",IF(H60="원인분석 대상","세부원인분석 시트에서 거래별 원인을 검토","-"))</x:f>
      </x:c>
      <x:c r="J60" s="73" t="str">
        <x:f>IF(A60="","",COUNTIFS('전기원장'!$A$5:$A$1004,A60,'전기원장'!$J$5:$J$1004,"확인 필요")+COUNTIFS('당기원장'!$A$5:$A$1004,A60,'당기원장'!$J$5:$J$1004,"확인 필요"))</x:f>
      </x:c>
      <x:c r="K60" s="87" t="str">
        <x:f>IF(A60="","",IF(H60&lt;&gt;"원인분석 대상","",IF(J60&gt;0,"붙임 문서 확인 후 원인 확정 필요","결의서명 기반 원인분류 검토")))</x:f>
      </x:c>
    </x:row>
    <x:row r="61">
      <x:c r="A61" s="73"/>
      <x:c r="B61" s="73" t="str">
        <x:f>IF(A61="","",IFERROR(XLOOKUP(A61,'당기원장'!$A$5:$A$1004,'당기원장'!$B$5:$B$1004),XLOOKUP(A61,'전기원장'!$A$5:$A$1004,'전기원장'!$B$5:$B$1004,"")))</x:f>
      </x:c>
      <x:c r="C61" s="75" t="str">
        <x:f>IF(A61="","",SUMIF('전기원장'!$A$5:$A$1004,A61,'전기원장'!$H$5:$H$1004))</x:f>
      </x:c>
      <x:c r="D61" s="75" t="str">
        <x:f>IF(A61="","",SUMIF('당기원장'!$A$5:$A$1004,A61,'당기원장'!$H$5:$H$1004))</x:f>
      </x:c>
      <x:c r="E61" s="75" t="str">
        <x:f>IF(A61="","",D61-C61)</x:f>
      </x:c>
      <x:c r="F61" s="86" t="str">
        <x:f>IF(A61="","",IF(C61=0,IF(D61=0,0,1),ABS(E61)/ABS(C61)))</x:f>
      </x:c>
      <x:c r="G61" s="73" t="str">
        <x:f>IF(A61="","",IF(AND(C61=0,D61&lt;&gt;0),"신규",IF(AND(C61&lt;&gt;0,D61=0),"소멸",IF(E61=0,"변동없음","금액변동"))))</x:f>
      </x:c>
      <x:c r="H61" s="73" t="str">
        <x:f>IF(A61="","",IF(AND(ABS(E61)&gt;='기준설정'!$B$6,OR(G61="신규",G61="소멸",F61&gt;='기준설정'!$B$5)),"원인분석 대상","일반"))</x:f>
      </x:c>
      <x:c r="I61" s="73" t="str">
        <x:f>IF(A61="","",IF(H61="원인분석 대상","세부원인분석 시트에서 거래별 원인을 검토","-"))</x:f>
      </x:c>
      <x:c r="J61" s="73" t="str">
        <x:f>IF(A61="","",COUNTIFS('전기원장'!$A$5:$A$1004,A61,'전기원장'!$J$5:$J$1004,"확인 필요")+COUNTIFS('당기원장'!$A$5:$A$1004,A61,'당기원장'!$J$5:$J$1004,"확인 필요"))</x:f>
      </x:c>
      <x:c r="K61" s="87" t="str">
        <x:f>IF(A61="","",IF(H61&lt;&gt;"원인분석 대상","",IF(J61&gt;0,"붙임 문서 확인 후 원인 확정 필요","결의서명 기반 원인분류 검토")))</x:f>
      </x:c>
    </x:row>
    <x:row r="62">
      <x:c r="A62" s="73"/>
      <x:c r="B62" s="73" t="str">
        <x:f>IF(A62="","",IFERROR(XLOOKUP(A62,'당기원장'!$A$5:$A$1004,'당기원장'!$B$5:$B$1004),XLOOKUP(A62,'전기원장'!$A$5:$A$1004,'전기원장'!$B$5:$B$1004,"")))</x:f>
      </x:c>
      <x:c r="C62" s="75" t="str">
        <x:f>IF(A62="","",SUMIF('전기원장'!$A$5:$A$1004,A62,'전기원장'!$H$5:$H$1004))</x:f>
      </x:c>
      <x:c r="D62" s="75" t="str">
        <x:f>IF(A62="","",SUMIF('당기원장'!$A$5:$A$1004,A62,'당기원장'!$H$5:$H$1004))</x:f>
      </x:c>
      <x:c r="E62" s="75" t="str">
        <x:f>IF(A62="","",D62-C62)</x:f>
      </x:c>
      <x:c r="F62" s="86" t="str">
        <x:f>IF(A62="","",IF(C62=0,IF(D62=0,0,1),ABS(E62)/ABS(C62)))</x:f>
      </x:c>
      <x:c r="G62" s="73" t="str">
        <x:f>IF(A62="","",IF(AND(C62=0,D62&lt;&gt;0),"신규",IF(AND(C62&lt;&gt;0,D62=0),"소멸",IF(E62=0,"변동없음","금액변동"))))</x:f>
      </x:c>
      <x:c r="H62" s="73" t="str">
        <x:f>IF(A62="","",IF(AND(ABS(E62)&gt;='기준설정'!$B$6,OR(G62="신규",G62="소멸",F62&gt;='기준설정'!$B$5)),"원인분석 대상","일반"))</x:f>
      </x:c>
      <x:c r="I62" s="73" t="str">
        <x:f>IF(A62="","",IF(H62="원인분석 대상","세부원인분석 시트에서 거래별 원인을 검토","-"))</x:f>
      </x:c>
      <x:c r="J62" s="73" t="str">
        <x:f>IF(A62="","",COUNTIFS('전기원장'!$A$5:$A$1004,A62,'전기원장'!$J$5:$J$1004,"확인 필요")+COUNTIFS('당기원장'!$A$5:$A$1004,A62,'당기원장'!$J$5:$J$1004,"확인 필요"))</x:f>
      </x:c>
      <x:c r="K62" s="87" t="str">
        <x:f>IF(A62="","",IF(H62&lt;&gt;"원인분석 대상","",IF(J62&gt;0,"붙임 문서 확인 후 원인 확정 필요","결의서명 기반 원인분류 검토")))</x:f>
      </x:c>
    </x:row>
    <x:row r="63">
      <x:c r="A63" s="73"/>
      <x:c r="B63" s="73" t="str">
        <x:f>IF(A63="","",IFERROR(XLOOKUP(A63,'당기원장'!$A$5:$A$1004,'당기원장'!$B$5:$B$1004),XLOOKUP(A63,'전기원장'!$A$5:$A$1004,'전기원장'!$B$5:$B$1004,"")))</x:f>
      </x:c>
      <x:c r="C63" s="75" t="str">
        <x:f>IF(A63="","",SUMIF('전기원장'!$A$5:$A$1004,A63,'전기원장'!$H$5:$H$1004))</x:f>
      </x:c>
      <x:c r="D63" s="75" t="str">
        <x:f>IF(A63="","",SUMIF('당기원장'!$A$5:$A$1004,A63,'당기원장'!$H$5:$H$1004))</x:f>
      </x:c>
      <x:c r="E63" s="75" t="str">
        <x:f>IF(A63="","",D63-C63)</x:f>
      </x:c>
      <x:c r="F63" s="86" t="str">
        <x:f>IF(A63="","",IF(C63=0,IF(D63=0,0,1),ABS(E63)/ABS(C63)))</x:f>
      </x:c>
      <x:c r="G63" s="73" t="str">
        <x:f>IF(A63="","",IF(AND(C63=0,D63&lt;&gt;0),"신규",IF(AND(C63&lt;&gt;0,D63=0),"소멸",IF(E63=0,"변동없음","금액변동"))))</x:f>
      </x:c>
      <x:c r="H63" s="73" t="str">
        <x:f>IF(A63="","",IF(AND(ABS(E63)&gt;='기준설정'!$B$6,OR(G63="신규",G63="소멸",F63&gt;='기준설정'!$B$5)),"원인분석 대상","일반"))</x:f>
      </x:c>
      <x:c r="I63" s="73" t="str">
        <x:f>IF(A63="","",IF(H63="원인분석 대상","세부원인분석 시트에서 거래별 원인을 검토","-"))</x:f>
      </x:c>
      <x:c r="J63" s="73" t="str">
        <x:f>IF(A63="","",COUNTIFS('전기원장'!$A$5:$A$1004,A63,'전기원장'!$J$5:$J$1004,"확인 필요")+COUNTIFS('당기원장'!$A$5:$A$1004,A63,'당기원장'!$J$5:$J$1004,"확인 필요"))</x:f>
      </x:c>
      <x:c r="K63" s="87" t="str">
        <x:f>IF(A63="","",IF(H63&lt;&gt;"원인분석 대상","",IF(J63&gt;0,"붙임 문서 확인 후 원인 확정 필요","결의서명 기반 원인분류 검토")))</x:f>
      </x:c>
    </x:row>
    <x:row r="64">
      <x:c r="A64" s="73"/>
      <x:c r="B64" s="73" t="str">
        <x:f>IF(A64="","",IFERROR(XLOOKUP(A64,'당기원장'!$A$5:$A$1004,'당기원장'!$B$5:$B$1004),XLOOKUP(A64,'전기원장'!$A$5:$A$1004,'전기원장'!$B$5:$B$1004,"")))</x:f>
      </x:c>
      <x:c r="C64" s="75" t="str">
        <x:f>IF(A64="","",SUMIF('전기원장'!$A$5:$A$1004,A64,'전기원장'!$H$5:$H$1004))</x:f>
      </x:c>
      <x:c r="D64" s="75" t="str">
        <x:f>IF(A64="","",SUMIF('당기원장'!$A$5:$A$1004,A64,'당기원장'!$H$5:$H$1004))</x:f>
      </x:c>
      <x:c r="E64" s="75" t="str">
        <x:f>IF(A64="","",D64-C64)</x:f>
      </x:c>
      <x:c r="F64" s="86" t="str">
        <x:f>IF(A64="","",IF(C64=0,IF(D64=0,0,1),ABS(E64)/ABS(C64)))</x:f>
      </x:c>
      <x:c r="G64" s="73" t="str">
        <x:f>IF(A64="","",IF(AND(C64=0,D64&lt;&gt;0),"신규",IF(AND(C64&lt;&gt;0,D64=0),"소멸",IF(E64=0,"변동없음","금액변동"))))</x:f>
      </x:c>
      <x:c r="H64" s="73" t="str">
        <x:f>IF(A64="","",IF(AND(ABS(E64)&gt;='기준설정'!$B$6,OR(G64="신규",G64="소멸",F64&gt;='기준설정'!$B$5)),"원인분석 대상","일반"))</x:f>
      </x:c>
      <x:c r="I64" s="73" t="str">
        <x:f>IF(A64="","",IF(H64="원인분석 대상","세부원인분석 시트에서 거래별 원인을 검토","-"))</x:f>
      </x:c>
      <x:c r="J64" s="73" t="str">
        <x:f>IF(A64="","",COUNTIFS('전기원장'!$A$5:$A$1004,A64,'전기원장'!$J$5:$J$1004,"확인 필요")+COUNTIFS('당기원장'!$A$5:$A$1004,A64,'당기원장'!$J$5:$J$1004,"확인 필요"))</x:f>
      </x:c>
      <x:c r="K64" s="87" t="str">
        <x:f>IF(A64="","",IF(H64&lt;&gt;"원인분석 대상","",IF(J64&gt;0,"붙임 문서 확인 후 원인 확정 필요","결의서명 기반 원인분류 검토")))</x:f>
      </x:c>
    </x:row>
    <x:row r="65">
      <x:c r="A65" s="73"/>
      <x:c r="B65" s="73" t="str">
        <x:f>IF(A65="","",IFERROR(XLOOKUP(A65,'당기원장'!$A$5:$A$1004,'당기원장'!$B$5:$B$1004),XLOOKUP(A65,'전기원장'!$A$5:$A$1004,'전기원장'!$B$5:$B$1004,"")))</x:f>
      </x:c>
      <x:c r="C65" s="75" t="str">
        <x:f>IF(A65="","",SUMIF('전기원장'!$A$5:$A$1004,A65,'전기원장'!$H$5:$H$1004))</x:f>
      </x:c>
      <x:c r="D65" s="75" t="str">
        <x:f>IF(A65="","",SUMIF('당기원장'!$A$5:$A$1004,A65,'당기원장'!$H$5:$H$1004))</x:f>
      </x:c>
      <x:c r="E65" s="75" t="str">
        <x:f>IF(A65="","",D65-C65)</x:f>
      </x:c>
      <x:c r="F65" s="86" t="str">
        <x:f>IF(A65="","",IF(C65=0,IF(D65=0,0,1),ABS(E65)/ABS(C65)))</x:f>
      </x:c>
      <x:c r="G65" s="73" t="str">
        <x:f>IF(A65="","",IF(AND(C65=0,D65&lt;&gt;0),"신규",IF(AND(C65&lt;&gt;0,D65=0),"소멸",IF(E65=0,"변동없음","금액변동"))))</x:f>
      </x:c>
      <x:c r="H65" s="73" t="str">
        <x:f>IF(A65="","",IF(AND(ABS(E65)&gt;='기준설정'!$B$6,OR(G65="신규",G65="소멸",F65&gt;='기준설정'!$B$5)),"원인분석 대상","일반"))</x:f>
      </x:c>
      <x:c r="I65" s="73" t="str">
        <x:f>IF(A65="","",IF(H65="원인분석 대상","세부원인분석 시트에서 거래별 원인을 검토","-"))</x:f>
      </x:c>
      <x:c r="J65" s="73" t="str">
        <x:f>IF(A65="","",COUNTIFS('전기원장'!$A$5:$A$1004,A65,'전기원장'!$J$5:$J$1004,"확인 필요")+COUNTIFS('당기원장'!$A$5:$A$1004,A65,'당기원장'!$J$5:$J$1004,"확인 필요"))</x:f>
      </x:c>
      <x:c r="K65" s="87" t="str">
        <x:f>IF(A65="","",IF(H65&lt;&gt;"원인분석 대상","",IF(J65&gt;0,"붙임 문서 확인 후 원인 확정 필요","결의서명 기반 원인분류 검토")))</x:f>
      </x:c>
    </x:row>
    <x:row r="66">
      <x:c r="A66" s="73"/>
      <x:c r="B66" s="73" t="str">
        <x:f>IF(A66="","",IFERROR(XLOOKUP(A66,'당기원장'!$A$5:$A$1004,'당기원장'!$B$5:$B$1004),XLOOKUP(A66,'전기원장'!$A$5:$A$1004,'전기원장'!$B$5:$B$1004,"")))</x:f>
      </x:c>
      <x:c r="C66" s="75" t="str">
        <x:f>IF(A66="","",SUMIF('전기원장'!$A$5:$A$1004,A66,'전기원장'!$H$5:$H$1004))</x:f>
      </x:c>
      <x:c r="D66" s="75" t="str">
        <x:f>IF(A66="","",SUMIF('당기원장'!$A$5:$A$1004,A66,'당기원장'!$H$5:$H$1004))</x:f>
      </x:c>
      <x:c r="E66" s="75" t="str">
        <x:f>IF(A66="","",D66-C66)</x:f>
      </x:c>
      <x:c r="F66" s="86" t="str">
        <x:f>IF(A66="","",IF(C66=0,IF(D66=0,0,1),ABS(E66)/ABS(C66)))</x:f>
      </x:c>
      <x:c r="G66" s="73" t="str">
        <x:f>IF(A66="","",IF(AND(C66=0,D66&lt;&gt;0),"신규",IF(AND(C66&lt;&gt;0,D66=0),"소멸",IF(E66=0,"변동없음","금액변동"))))</x:f>
      </x:c>
      <x:c r="H66" s="73" t="str">
        <x:f>IF(A66="","",IF(AND(ABS(E66)&gt;='기준설정'!$B$6,OR(G66="신규",G66="소멸",F66&gt;='기준설정'!$B$5)),"원인분석 대상","일반"))</x:f>
      </x:c>
      <x:c r="I66" s="73" t="str">
        <x:f>IF(A66="","",IF(H66="원인분석 대상","세부원인분석 시트에서 거래별 원인을 검토","-"))</x:f>
      </x:c>
      <x:c r="J66" s="73" t="str">
        <x:f>IF(A66="","",COUNTIFS('전기원장'!$A$5:$A$1004,A66,'전기원장'!$J$5:$J$1004,"확인 필요")+COUNTIFS('당기원장'!$A$5:$A$1004,A66,'당기원장'!$J$5:$J$1004,"확인 필요"))</x:f>
      </x:c>
      <x:c r="K66" s="87" t="str">
        <x:f>IF(A66="","",IF(H66&lt;&gt;"원인분석 대상","",IF(J66&gt;0,"붙임 문서 확인 후 원인 확정 필요","결의서명 기반 원인분류 검토")))</x:f>
      </x:c>
    </x:row>
    <x:row r="67">
      <x:c r="A67" s="73"/>
      <x:c r="B67" s="73" t="str">
        <x:f>IF(A67="","",IFERROR(XLOOKUP(A67,'당기원장'!$A$5:$A$1004,'당기원장'!$B$5:$B$1004),XLOOKUP(A67,'전기원장'!$A$5:$A$1004,'전기원장'!$B$5:$B$1004,"")))</x:f>
      </x:c>
      <x:c r="C67" s="75" t="str">
        <x:f>IF(A67="","",SUMIF('전기원장'!$A$5:$A$1004,A67,'전기원장'!$H$5:$H$1004))</x:f>
      </x:c>
      <x:c r="D67" s="75" t="str">
        <x:f>IF(A67="","",SUMIF('당기원장'!$A$5:$A$1004,A67,'당기원장'!$H$5:$H$1004))</x:f>
      </x:c>
      <x:c r="E67" s="75" t="str">
        <x:f>IF(A67="","",D67-C67)</x:f>
      </x:c>
      <x:c r="F67" s="86" t="str">
        <x:f>IF(A67="","",IF(C67=0,IF(D67=0,0,1),ABS(E67)/ABS(C67)))</x:f>
      </x:c>
      <x:c r="G67" s="73" t="str">
        <x:f>IF(A67="","",IF(AND(C67=0,D67&lt;&gt;0),"신규",IF(AND(C67&lt;&gt;0,D67=0),"소멸",IF(E67=0,"변동없음","금액변동"))))</x:f>
      </x:c>
      <x:c r="H67" s="73" t="str">
        <x:f>IF(A67="","",IF(AND(ABS(E67)&gt;='기준설정'!$B$6,OR(G67="신규",G67="소멸",F67&gt;='기준설정'!$B$5)),"원인분석 대상","일반"))</x:f>
      </x:c>
      <x:c r="I67" s="73" t="str">
        <x:f>IF(A67="","",IF(H67="원인분석 대상","세부원인분석 시트에서 거래별 원인을 검토","-"))</x:f>
      </x:c>
      <x:c r="J67" s="73" t="str">
        <x:f>IF(A67="","",COUNTIFS('전기원장'!$A$5:$A$1004,A67,'전기원장'!$J$5:$J$1004,"확인 필요")+COUNTIFS('당기원장'!$A$5:$A$1004,A67,'당기원장'!$J$5:$J$1004,"확인 필요"))</x:f>
      </x:c>
      <x:c r="K67" s="87" t="str">
        <x:f>IF(A67="","",IF(H67&lt;&gt;"원인분석 대상","",IF(J67&gt;0,"붙임 문서 확인 후 원인 확정 필요","결의서명 기반 원인분류 검토")))</x:f>
      </x:c>
    </x:row>
    <x:row r="68">
      <x:c r="A68" s="73"/>
      <x:c r="B68" s="73" t="str">
        <x:f>IF(A68="","",IFERROR(XLOOKUP(A68,'당기원장'!$A$5:$A$1004,'당기원장'!$B$5:$B$1004),XLOOKUP(A68,'전기원장'!$A$5:$A$1004,'전기원장'!$B$5:$B$1004,"")))</x:f>
      </x:c>
      <x:c r="C68" s="75" t="str">
        <x:f>IF(A68="","",SUMIF('전기원장'!$A$5:$A$1004,A68,'전기원장'!$H$5:$H$1004))</x:f>
      </x:c>
      <x:c r="D68" s="75" t="str">
        <x:f>IF(A68="","",SUMIF('당기원장'!$A$5:$A$1004,A68,'당기원장'!$H$5:$H$1004))</x:f>
      </x:c>
      <x:c r="E68" s="75" t="str">
        <x:f>IF(A68="","",D68-C68)</x:f>
      </x:c>
      <x:c r="F68" s="86" t="str">
        <x:f>IF(A68="","",IF(C68=0,IF(D68=0,0,1),ABS(E68)/ABS(C68)))</x:f>
      </x:c>
      <x:c r="G68" s="73" t="str">
        <x:f>IF(A68="","",IF(AND(C68=0,D68&lt;&gt;0),"신규",IF(AND(C68&lt;&gt;0,D68=0),"소멸",IF(E68=0,"변동없음","금액변동"))))</x:f>
      </x:c>
      <x:c r="H68" s="73" t="str">
        <x:f>IF(A68="","",IF(AND(ABS(E68)&gt;='기준설정'!$B$6,OR(G68="신규",G68="소멸",F68&gt;='기준설정'!$B$5)),"원인분석 대상","일반"))</x:f>
      </x:c>
      <x:c r="I68" s="73" t="str">
        <x:f>IF(A68="","",IF(H68="원인분석 대상","세부원인분석 시트에서 거래별 원인을 검토","-"))</x:f>
      </x:c>
      <x:c r="J68" s="73" t="str">
        <x:f>IF(A68="","",COUNTIFS('전기원장'!$A$5:$A$1004,A68,'전기원장'!$J$5:$J$1004,"확인 필요")+COUNTIFS('당기원장'!$A$5:$A$1004,A68,'당기원장'!$J$5:$J$1004,"확인 필요"))</x:f>
      </x:c>
      <x:c r="K68" s="87" t="str">
        <x:f>IF(A68="","",IF(H68&lt;&gt;"원인분석 대상","",IF(J68&gt;0,"붙임 문서 확인 후 원인 확정 필요","결의서명 기반 원인분류 검토")))</x:f>
      </x:c>
    </x:row>
    <x:row r="69">
      <x:c r="A69" s="73"/>
      <x:c r="B69" s="73" t="str">
        <x:f>IF(A69="","",IFERROR(XLOOKUP(A69,'당기원장'!$A$5:$A$1004,'당기원장'!$B$5:$B$1004),XLOOKUP(A69,'전기원장'!$A$5:$A$1004,'전기원장'!$B$5:$B$1004,"")))</x:f>
      </x:c>
      <x:c r="C69" s="75" t="str">
        <x:f>IF(A69="","",SUMIF('전기원장'!$A$5:$A$1004,A69,'전기원장'!$H$5:$H$1004))</x:f>
      </x:c>
      <x:c r="D69" s="75" t="str">
        <x:f>IF(A69="","",SUMIF('당기원장'!$A$5:$A$1004,A69,'당기원장'!$H$5:$H$1004))</x:f>
      </x:c>
      <x:c r="E69" s="75" t="str">
        <x:f>IF(A69="","",D69-C69)</x:f>
      </x:c>
      <x:c r="F69" s="86" t="str">
        <x:f>IF(A69="","",IF(C69=0,IF(D69=0,0,1),ABS(E69)/ABS(C69)))</x:f>
      </x:c>
      <x:c r="G69" s="73" t="str">
        <x:f>IF(A69="","",IF(AND(C69=0,D69&lt;&gt;0),"신규",IF(AND(C69&lt;&gt;0,D69=0),"소멸",IF(E69=0,"변동없음","금액변동"))))</x:f>
      </x:c>
      <x:c r="H69" s="73" t="str">
        <x:f>IF(A69="","",IF(AND(ABS(E69)&gt;='기준설정'!$B$6,OR(G69="신규",G69="소멸",F69&gt;='기준설정'!$B$5)),"원인분석 대상","일반"))</x:f>
      </x:c>
      <x:c r="I69" s="73" t="str">
        <x:f>IF(A69="","",IF(H69="원인분석 대상","세부원인분석 시트에서 거래별 원인을 검토","-"))</x:f>
      </x:c>
      <x:c r="J69" s="73" t="str">
        <x:f>IF(A69="","",COUNTIFS('전기원장'!$A$5:$A$1004,A69,'전기원장'!$J$5:$J$1004,"확인 필요")+COUNTIFS('당기원장'!$A$5:$A$1004,A69,'당기원장'!$J$5:$J$1004,"확인 필요"))</x:f>
      </x:c>
      <x:c r="K69" s="87" t="str">
        <x:f>IF(A69="","",IF(H69&lt;&gt;"원인분석 대상","",IF(J69&gt;0,"붙임 문서 확인 후 원인 확정 필요","결의서명 기반 원인분류 검토")))</x:f>
      </x:c>
    </x:row>
    <x:row r="70">
      <x:c r="A70" s="73"/>
      <x:c r="B70" s="73" t="str">
        <x:f>IF(A70="","",IFERROR(XLOOKUP(A70,'당기원장'!$A$5:$A$1004,'당기원장'!$B$5:$B$1004),XLOOKUP(A70,'전기원장'!$A$5:$A$1004,'전기원장'!$B$5:$B$1004,"")))</x:f>
      </x:c>
      <x:c r="C70" s="75" t="str">
        <x:f>IF(A70="","",SUMIF('전기원장'!$A$5:$A$1004,A70,'전기원장'!$H$5:$H$1004))</x:f>
      </x:c>
      <x:c r="D70" s="75" t="str">
        <x:f>IF(A70="","",SUMIF('당기원장'!$A$5:$A$1004,A70,'당기원장'!$H$5:$H$1004))</x:f>
      </x:c>
      <x:c r="E70" s="75" t="str">
        <x:f>IF(A70="","",D70-C70)</x:f>
      </x:c>
      <x:c r="F70" s="86" t="str">
        <x:f>IF(A70="","",IF(C70=0,IF(D70=0,0,1),ABS(E70)/ABS(C70)))</x:f>
      </x:c>
      <x:c r="G70" s="73" t="str">
        <x:f>IF(A70="","",IF(AND(C70=0,D70&lt;&gt;0),"신규",IF(AND(C70&lt;&gt;0,D70=0),"소멸",IF(E70=0,"변동없음","금액변동"))))</x:f>
      </x:c>
      <x:c r="H70" s="73" t="str">
        <x:f>IF(A70="","",IF(AND(ABS(E70)&gt;='기준설정'!$B$6,OR(G70="신규",G70="소멸",F70&gt;='기준설정'!$B$5)),"원인분석 대상","일반"))</x:f>
      </x:c>
      <x:c r="I70" s="73" t="str">
        <x:f>IF(A70="","",IF(H70="원인분석 대상","세부원인분석 시트에서 거래별 원인을 검토","-"))</x:f>
      </x:c>
      <x:c r="J70" s="73" t="str">
        <x:f>IF(A70="","",COUNTIFS('전기원장'!$A$5:$A$1004,A70,'전기원장'!$J$5:$J$1004,"확인 필요")+COUNTIFS('당기원장'!$A$5:$A$1004,A70,'당기원장'!$J$5:$J$1004,"확인 필요"))</x:f>
      </x:c>
      <x:c r="K70" s="87" t="str">
        <x:f>IF(A70="","",IF(H70&lt;&gt;"원인분석 대상","",IF(J70&gt;0,"붙임 문서 확인 후 원인 확정 필요","결의서명 기반 원인분류 검토")))</x:f>
      </x:c>
    </x:row>
    <x:row r="71">
      <x:c r="A71" s="73"/>
      <x:c r="B71" s="73" t="str">
        <x:f>IF(A71="","",IFERROR(XLOOKUP(A71,'당기원장'!$A$5:$A$1004,'당기원장'!$B$5:$B$1004),XLOOKUP(A71,'전기원장'!$A$5:$A$1004,'전기원장'!$B$5:$B$1004,"")))</x:f>
      </x:c>
      <x:c r="C71" s="75" t="str">
        <x:f>IF(A71="","",SUMIF('전기원장'!$A$5:$A$1004,A71,'전기원장'!$H$5:$H$1004))</x:f>
      </x:c>
      <x:c r="D71" s="75" t="str">
        <x:f>IF(A71="","",SUMIF('당기원장'!$A$5:$A$1004,A71,'당기원장'!$H$5:$H$1004))</x:f>
      </x:c>
      <x:c r="E71" s="75" t="str">
        <x:f>IF(A71="","",D71-C71)</x:f>
      </x:c>
      <x:c r="F71" s="86" t="str">
        <x:f>IF(A71="","",IF(C71=0,IF(D71=0,0,1),ABS(E71)/ABS(C71)))</x:f>
      </x:c>
      <x:c r="G71" s="73" t="str">
        <x:f>IF(A71="","",IF(AND(C71=0,D71&lt;&gt;0),"신규",IF(AND(C71&lt;&gt;0,D71=0),"소멸",IF(E71=0,"변동없음","금액변동"))))</x:f>
      </x:c>
      <x:c r="H71" s="73" t="str">
        <x:f>IF(A71="","",IF(AND(ABS(E71)&gt;='기준설정'!$B$6,OR(G71="신규",G71="소멸",F71&gt;='기준설정'!$B$5)),"원인분석 대상","일반"))</x:f>
      </x:c>
      <x:c r="I71" s="73" t="str">
        <x:f>IF(A71="","",IF(H71="원인분석 대상","세부원인분석 시트에서 거래별 원인을 검토","-"))</x:f>
      </x:c>
      <x:c r="J71" s="73" t="str">
        <x:f>IF(A71="","",COUNTIFS('전기원장'!$A$5:$A$1004,A71,'전기원장'!$J$5:$J$1004,"확인 필요")+COUNTIFS('당기원장'!$A$5:$A$1004,A71,'당기원장'!$J$5:$J$1004,"확인 필요"))</x:f>
      </x:c>
      <x:c r="K71" s="87" t="str">
        <x:f>IF(A71="","",IF(H71&lt;&gt;"원인분석 대상","",IF(J71&gt;0,"붙임 문서 확인 후 원인 확정 필요","결의서명 기반 원인분류 검토")))</x:f>
      </x:c>
    </x:row>
    <x:row r="72">
      <x:c r="A72" s="73"/>
      <x:c r="B72" s="73" t="str">
        <x:f>IF(A72="","",IFERROR(XLOOKUP(A72,'당기원장'!$A$5:$A$1004,'당기원장'!$B$5:$B$1004),XLOOKUP(A72,'전기원장'!$A$5:$A$1004,'전기원장'!$B$5:$B$1004,"")))</x:f>
      </x:c>
      <x:c r="C72" s="75" t="str">
        <x:f>IF(A72="","",SUMIF('전기원장'!$A$5:$A$1004,A72,'전기원장'!$H$5:$H$1004))</x:f>
      </x:c>
      <x:c r="D72" s="75" t="str">
        <x:f>IF(A72="","",SUMIF('당기원장'!$A$5:$A$1004,A72,'당기원장'!$H$5:$H$1004))</x:f>
      </x:c>
      <x:c r="E72" s="75" t="str">
        <x:f>IF(A72="","",D72-C72)</x:f>
      </x:c>
      <x:c r="F72" s="86" t="str">
        <x:f>IF(A72="","",IF(C72=0,IF(D72=0,0,1),ABS(E72)/ABS(C72)))</x:f>
      </x:c>
      <x:c r="G72" s="73" t="str">
        <x:f>IF(A72="","",IF(AND(C72=0,D72&lt;&gt;0),"신규",IF(AND(C72&lt;&gt;0,D72=0),"소멸",IF(E72=0,"변동없음","금액변동"))))</x:f>
      </x:c>
      <x:c r="H72" s="73" t="str">
        <x:f>IF(A72="","",IF(AND(ABS(E72)&gt;='기준설정'!$B$6,OR(G72="신규",G72="소멸",F72&gt;='기준설정'!$B$5)),"원인분석 대상","일반"))</x:f>
      </x:c>
      <x:c r="I72" s="73" t="str">
        <x:f>IF(A72="","",IF(H72="원인분석 대상","세부원인분석 시트에서 거래별 원인을 검토","-"))</x:f>
      </x:c>
      <x:c r="J72" s="73" t="str">
        <x:f>IF(A72="","",COUNTIFS('전기원장'!$A$5:$A$1004,A72,'전기원장'!$J$5:$J$1004,"확인 필요")+COUNTIFS('당기원장'!$A$5:$A$1004,A72,'당기원장'!$J$5:$J$1004,"확인 필요"))</x:f>
      </x:c>
      <x:c r="K72" s="87" t="str">
        <x:f>IF(A72="","",IF(H72&lt;&gt;"원인분석 대상","",IF(J72&gt;0,"붙임 문서 확인 후 원인 확정 필요","결의서명 기반 원인분류 검토")))</x:f>
      </x:c>
    </x:row>
    <x:row r="73">
      <x:c r="A73" s="73"/>
      <x:c r="B73" s="73" t="str">
        <x:f>IF(A73="","",IFERROR(XLOOKUP(A73,'당기원장'!$A$5:$A$1004,'당기원장'!$B$5:$B$1004),XLOOKUP(A73,'전기원장'!$A$5:$A$1004,'전기원장'!$B$5:$B$1004,"")))</x:f>
      </x:c>
      <x:c r="C73" s="75" t="str">
        <x:f>IF(A73="","",SUMIF('전기원장'!$A$5:$A$1004,A73,'전기원장'!$H$5:$H$1004))</x:f>
      </x:c>
      <x:c r="D73" s="75" t="str">
        <x:f>IF(A73="","",SUMIF('당기원장'!$A$5:$A$1004,A73,'당기원장'!$H$5:$H$1004))</x:f>
      </x:c>
      <x:c r="E73" s="75" t="str">
        <x:f>IF(A73="","",D73-C73)</x:f>
      </x:c>
      <x:c r="F73" s="86" t="str">
        <x:f>IF(A73="","",IF(C73=0,IF(D73=0,0,1),ABS(E73)/ABS(C73)))</x:f>
      </x:c>
      <x:c r="G73" s="73" t="str">
        <x:f>IF(A73="","",IF(AND(C73=0,D73&lt;&gt;0),"신규",IF(AND(C73&lt;&gt;0,D73=0),"소멸",IF(E73=0,"변동없음","금액변동"))))</x:f>
      </x:c>
      <x:c r="H73" s="73" t="str">
        <x:f>IF(A73="","",IF(AND(ABS(E73)&gt;='기준설정'!$B$6,OR(G73="신규",G73="소멸",F73&gt;='기준설정'!$B$5)),"원인분석 대상","일반"))</x:f>
      </x:c>
      <x:c r="I73" s="73" t="str">
        <x:f>IF(A73="","",IF(H73="원인분석 대상","세부원인분석 시트에서 거래별 원인을 검토","-"))</x:f>
      </x:c>
      <x:c r="J73" s="73" t="str">
        <x:f>IF(A73="","",COUNTIFS('전기원장'!$A$5:$A$1004,A73,'전기원장'!$J$5:$J$1004,"확인 필요")+COUNTIFS('당기원장'!$A$5:$A$1004,A73,'당기원장'!$J$5:$J$1004,"확인 필요"))</x:f>
      </x:c>
      <x:c r="K73" s="87" t="str">
        <x:f>IF(A73="","",IF(H73&lt;&gt;"원인분석 대상","",IF(J73&gt;0,"붙임 문서 확인 후 원인 확정 필요","결의서명 기반 원인분류 검토")))</x:f>
      </x:c>
    </x:row>
    <x:row r="74">
      <x:c r="A74" s="73"/>
      <x:c r="B74" s="73" t="str">
        <x:f>IF(A74="","",IFERROR(XLOOKUP(A74,'당기원장'!$A$5:$A$1004,'당기원장'!$B$5:$B$1004),XLOOKUP(A74,'전기원장'!$A$5:$A$1004,'전기원장'!$B$5:$B$1004,"")))</x:f>
      </x:c>
      <x:c r="C74" s="75" t="str">
        <x:f>IF(A74="","",SUMIF('전기원장'!$A$5:$A$1004,A74,'전기원장'!$H$5:$H$1004))</x:f>
      </x:c>
      <x:c r="D74" s="75" t="str">
        <x:f>IF(A74="","",SUMIF('당기원장'!$A$5:$A$1004,A74,'당기원장'!$H$5:$H$1004))</x:f>
      </x:c>
      <x:c r="E74" s="75" t="str">
        <x:f>IF(A74="","",D74-C74)</x:f>
      </x:c>
      <x:c r="F74" s="86" t="str">
        <x:f>IF(A74="","",IF(C74=0,IF(D74=0,0,1),ABS(E74)/ABS(C74)))</x:f>
      </x:c>
      <x:c r="G74" s="73" t="str">
        <x:f>IF(A74="","",IF(AND(C74=0,D74&lt;&gt;0),"신규",IF(AND(C74&lt;&gt;0,D74=0),"소멸",IF(E74=0,"변동없음","금액변동"))))</x:f>
      </x:c>
      <x:c r="H74" s="73" t="str">
        <x:f>IF(A74="","",IF(AND(ABS(E74)&gt;='기준설정'!$B$6,OR(G74="신규",G74="소멸",F74&gt;='기준설정'!$B$5)),"원인분석 대상","일반"))</x:f>
      </x:c>
      <x:c r="I74" s="73" t="str">
        <x:f>IF(A74="","",IF(H74="원인분석 대상","세부원인분석 시트에서 거래별 원인을 검토","-"))</x:f>
      </x:c>
      <x:c r="J74" s="73" t="str">
        <x:f>IF(A74="","",COUNTIFS('전기원장'!$A$5:$A$1004,A74,'전기원장'!$J$5:$J$1004,"확인 필요")+COUNTIFS('당기원장'!$A$5:$A$1004,A74,'당기원장'!$J$5:$J$1004,"확인 필요"))</x:f>
      </x:c>
      <x:c r="K74" s="87" t="str">
        <x:f>IF(A74="","",IF(H74&lt;&gt;"원인분석 대상","",IF(J74&gt;0,"붙임 문서 확인 후 원인 확정 필요","결의서명 기반 원인분류 검토")))</x:f>
      </x:c>
    </x:row>
    <x:row r="75">
      <x:c r="A75" s="73"/>
      <x:c r="B75" s="73" t="str">
        <x:f>IF(A75="","",IFERROR(XLOOKUP(A75,'당기원장'!$A$5:$A$1004,'당기원장'!$B$5:$B$1004),XLOOKUP(A75,'전기원장'!$A$5:$A$1004,'전기원장'!$B$5:$B$1004,"")))</x:f>
      </x:c>
      <x:c r="C75" s="75" t="str">
        <x:f>IF(A75="","",SUMIF('전기원장'!$A$5:$A$1004,A75,'전기원장'!$H$5:$H$1004))</x:f>
      </x:c>
      <x:c r="D75" s="75" t="str">
        <x:f>IF(A75="","",SUMIF('당기원장'!$A$5:$A$1004,A75,'당기원장'!$H$5:$H$1004))</x:f>
      </x:c>
      <x:c r="E75" s="75" t="str">
        <x:f>IF(A75="","",D75-C75)</x:f>
      </x:c>
      <x:c r="F75" s="86" t="str">
        <x:f>IF(A75="","",IF(C75=0,IF(D75=0,0,1),ABS(E75)/ABS(C75)))</x:f>
      </x:c>
      <x:c r="G75" s="73" t="str">
        <x:f>IF(A75="","",IF(AND(C75=0,D75&lt;&gt;0),"신규",IF(AND(C75&lt;&gt;0,D75=0),"소멸",IF(E75=0,"변동없음","금액변동"))))</x:f>
      </x:c>
      <x:c r="H75" s="73" t="str">
        <x:f>IF(A75="","",IF(AND(ABS(E75)&gt;='기준설정'!$B$6,OR(G75="신규",G75="소멸",F75&gt;='기준설정'!$B$5)),"원인분석 대상","일반"))</x:f>
      </x:c>
      <x:c r="I75" s="73" t="str">
        <x:f>IF(A75="","",IF(H75="원인분석 대상","세부원인분석 시트에서 거래별 원인을 검토","-"))</x:f>
      </x:c>
      <x:c r="J75" s="73" t="str">
        <x:f>IF(A75="","",COUNTIFS('전기원장'!$A$5:$A$1004,A75,'전기원장'!$J$5:$J$1004,"확인 필요")+COUNTIFS('당기원장'!$A$5:$A$1004,A75,'당기원장'!$J$5:$J$1004,"확인 필요"))</x:f>
      </x:c>
      <x:c r="K75" s="87" t="str">
        <x:f>IF(A75="","",IF(H75&lt;&gt;"원인분석 대상","",IF(J75&gt;0,"붙임 문서 확인 후 원인 확정 필요","결의서명 기반 원인분류 검토")))</x:f>
      </x:c>
    </x:row>
    <x:row r="76">
      <x:c r="A76" s="73"/>
      <x:c r="B76" s="73" t="str">
        <x:f>IF(A76="","",IFERROR(XLOOKUP(A76,'당기원장'!$A$5:$A$1004,'당기원장'!$B$5:$B$1004),XLOOKUP(A76,'전기원장'!$A$5:$A$1004,'전기원장'!$B$5:$B$1004,"")))</x:f>
      </x:c>
      <x:c r="C76" s="75" t="str">
        <x:f>IF(A76="","",SUMIF('전기원장'!$A$5:$A$1004,A76,'전기원장'!$H$5:$H$1004))</x:f>
      </x:c>
      <x:c r="D76" s="75" t="str">
        <x:f>IF(A76="","",SUMIF('당기원장'!$A$5:$A$1004,A76,'당기원장'!$H$5:$H$1004))</x:f>
      </x:c>
      <x:c r="E76" s="75" t="str">
        <x:f>IF(A76="","",D76-C76)</x:f>
      </x:c>
      <x:c r="F76" s="86" t="str">
        <x:f>IF(A76="","",IF(C76=0,IF(D76=0,0,1),ABS(E76)/ABS(C76)))</x:f>
      </x:c>
      <x:c r="G76" s="73" t="str">
        <x:f>IF(A76="","",IF(AND(C76=0,D76&lt;&gt;0),"신규",IF(AND(C76&lt;&gt;0,D76=0),"소멸",IF(E76=0,"변동없음","금액변동"))))</x:f>
      </x:c>
      <x:c r="H76" s="73" t="str">
        <x:f>IF(A76="","",IF(AND(ABS(E76)&gt;='기준설정'!$B$6,OR(G76="신규",G76="소멸",F76&gt;='기준설정'!$B$5)),"원인분석 대상","일반"))</x:f>
      </x:c>
      <x:c r="I76" s="73" t="str">
        <x:f>IF(A76="","",IF(H76="원인분석 대상","세부원인분석 시트에서 거래별 원인을 검토","-"))</x:f>
      </x:c>
      <x:c r="J76" s="73" t="str">
        <x:f>IF(A76="","",COUNTIFS('전기원장'!$A$5:$A$1004,A76,'전기원장'!$J$5:$J$1004,"확인 필요")+COUNTIFS('당기원장'!$A$5:$A$1004,A76,'당기원장'!$J$5:$J$1004,"확인 필요"))</x:f>
      </x:c>
      <x:c r="K76" s="87" t="str">
        <x:f>IF(A76="","",IF(H76&lt;&gt;"원인분석 대상","",IF(J76&gt;0,"붙임 문서 확인 후 원인 확정 필요","결의서명 기반 원인분류 검토")))</x:f>
      </x:c>
    </x:row>
    <x:row r="77">
      <x:c r="A77" s="73"/>
      <x:c r="B77" s="73" t="str">
        <x:f>IF(A77="","",IFERROR(XLOOKUP(A77,'당기원장'!$A$5:$A$1004,'당기원장'!$B$5:$B$1004),XLOOKUP(A77,'전기원장'!$A$5:$A$1004,'전기원장'!$B$5:$B$1004,"")))</x:f>
      </x:c>
      <x:c r="C77" s="75" t="str">
        <x:f>IF(A77="","",SUMIF('전기원장'!$A$5:$A$1004,A77,'전기원장'!$H$5:$H$1004))</x:f>
      </x:c>
      <x:c r="D77" s="75" t="str">
        <x:f>IF(A77="","",SUMIF('당기원장'!$A$5:$A$1004,A77,'당기원장'!$H$5:$H$1004))</x:f>
      </x:c>
      <x:c r="E77" s="75" t="str">
        <x:f>IF(A77="","",D77-C77)</x:f>
      </x:c>
      <x:c r="F77" s="86" t="str">
        <x:f>IF(A77="","",IF(C77=0,IF(D77=0,0,1),ABS(E77)/ABS(C77)))</x:f>
      </x:c>
      <x:c r="G77" s="73" t="str">
        <x:f>IF(A77="","",IF(AND(C77=0,D77&lt;&gt;0),"신규",IF(AND(C77&lt;&gt;0,D77=0),"소멸",IF(E77=0,"변동없음","금액변동"))))</x:f>
      </x:c>
      <x:c r="H77" s="73" t="str">
        <x:f>IF(A77="","",IF(AND(ABS(E77)&gt;='기준설정'!$B$6,OR(G77="신규",G77="소멸",F77&gt;='기준설정'!$B$5)),"원인분석 대상","일반"))</x:f>
      </x:c>
      <x:c r="I77" s="73" t="str">
        <x:f>IF(A77="","",IF(H77="원인분석 대상","세부원인분석 시트에서 거래별 원인을 검토","-"))</x:f>
      </x:c>
      <x:c r="J77" s="73" t="str">
        <x:f>IF(A77="","",COUNTIFS('전기원장'!$A$5:$A$1004,A77,'전기원장'!$J$5:$J$1004,"확인 필요")+COUNTIFS('당기원장'!$A$5:$A$1004,A77,'당기원장'!$J$5:$J$1004,"확인 필요"))</x:f>
      </x:c>
      <x:c r="K77" s="87" t="str">
        <x:f>IF(A77="","",IF(H77&lt;&gt;"원인분석 대상","",IF(J77&gt;0,"붙임 문서 확인 후 원인 확정 필요","결의서명 기반 원인분류 검토")))</x:f>
      </x:c>
    </x:row>
    <x:row r="78">
      <x:c r="A78" s="73"/>
      <x:c r="B78" s="73" t="str">
        <x:f>IF(A78="","",IFERROR(XLOOKUP(A78,'당기원장'!$A$5:$A$1004,'당기원장'!$B$5:$B$1004),XLOOKUP(A78,'전기원장'!$A$5:$A$1004,'전기원장'!$B$5:$B$1004,"")))</x:f>
      </x:c>
      <x:c r="C78" s="75" t="str">
        <x:f>IF(A78="","",SUMIF('전기원장'!$A$5:$A$1004,A78,'전기원장'!$H$5:$H$1004))</x:f>
      </x:c>
      <x:c r="D78" s="75" t="str">
        <x:f>IF(A78="","",SUMIF('당기원장'!$A$5:$A$1004,A78,'당기원장'!$H$5:$H$1004))</x:f>
      </x:c>
      <x:c r="E78" s="75" t="str">
        <x:f>IF(A78="","",D78-C78)</x:f>
      </x:c>
      <x:c r="F78" s="86" t="str">
        <x:f>IF(A78="","",IF(C78=0,IF(D78=0,0,1),ABS(E78)/ABS(C78)))</x:f>
      </x:c>
      <x:c r="G78" s="73" t="str">
        <x:f>IF(A78="","",IF(AND(C78=0,D78&lt;&gt;0),"신규",IF(AND(C78&lt;&gt;0,D78=0),"소멸",IF(E78=0,"변동없음","금액변동"))))</x:f>
      </x:c>
      <x:c r="H78" s="73" t="str">
        <x:f>IF(A78="","",IF(AND(ABS(E78)&gt;='기준설정'!$B$6,OR(G78="신규",G78="소멸",F78&gt;='기준설정'!$B$5)),"원인분석 대상","일반"))</x:f>
      </x:c>
      <x:c r="I78" s="73" t="str">
        <x:f>IF(A78="","",IF(H78="원인분석 대상","세부원인분석 시트에서 거래별 원인을 검토","-"))</x:f>
      </x:c>
      <x:c r="J78" s="73" t="str">
        <x:f>IF(A78="","",COUNTIFS('전기원장'!$A$5:$A$1004,A78,'전기원장'!$J$5:$J$1004,"확인 필요")+COUNTIFS('당기원장'!$A$5:$A$1004,A78,'당기원장'!$J$5:$J$1004,"확인 필요"))</x:f>
      </x:c>
      <x:c r="K78" s="87" t="str">
        <x:f>IF(A78="","",IF(H78&lt;&gt;"원인분석 대상","",IF(J78&gt;0,"붙임 문서 확인 후 원인 확정 필요","결의서명 기반 원인분류 검토")))</x:f>
      </x:c>
    </x:row>
    <x:row r="79">
      <x:c r="A79" s="73"/>
      <x:c r="B79" s="73" t="str">
        <x:f>IF(A79="","",IFERROR(XLOOKUP(A79,'당기원장'!$A$5:$A$1004,'당기원장'!$B$5:$B$1004),XLOOKUP(A79,'전기원장'!$A$5:$A$1004,'전기원장'!$B$5:$B$1004,"")))</x:f>
      </x:c>
      <x:c r="C79" s="75" t="str">
        <x:f>IF(A79="","",SUMIF('전기원장'!$A$5:$A$1004,A79,'전기원장'!$H$5:$H$1004))</x:f>
      </x:c>
      <x:c r="D79" s="75" t="str">
        <x:f>IF(A79="","",SUMIF('당기원장'!$A$5:$A$1004,A79,'당기원장'!$H$5:$H$1004))</x:f>
      </x:c>
      <x:c r="E79" s="75" t="str">
        <x:f>IF(A79="","",D79-C79)</x:f>
      </x:c>
      <x:c r="F79" s="86" t="str">
        <x:f>IF(A79="","",IF(C79=0,IF(D79=0,0,1),ABS(E79)/ABS(C79)))</x:f>
      </x:c>
      <x:c r="G79" s="73" t="str">
        <x:f>IF(A79="","",IF(AND(C79=0,D79&lt;&gt;0),"신규",IF(AND(C79&lt;&gt;0,D79=0),"소멸",IF(E79=0,"변동없음","금액변동"))))</x:f>
      </x:c>
      <x:c r="H79" s="73" t="str">
        <x:f>IF(A79="","",IF(AND(ABS(E79)&gt;='기준설정'!$B$6,OR(G79="신규",G79="소멸",F79&gt;='기준설정'!$B$5)),"원인분석 대상","일반"))</x:f>
      </x:c>
      <x:c r="I79" s="73" t="str">
        <x:f>IF(A79="","",IF(H79="원인분석 대상","세부원인분석 시트에서 거래별 원인을 검토","-"))</x:f>
      </x:c>
      <x:c r="J79" s="73" t="str">
        <x:f>IF(A79="","",COUNTIFS('전기원장'!$A$5:$A$1004,A79,'전기원장'!$J$5:$J$1004,"확인 필요")+COUNTIFS('당기원장'!$A$5:$A$1004,A79,'당기원장'!$J$5:$J$1004,"확인 필요"))</x:f>
      </x:c>
      <x:c r="K79" s="87" t="str">
        <x:f>IF(A79="","",IF(H79&lt;&gt;"원인분석 대상","",IF(J79&gt;0,"붙임 문서 확인 후 원인 확정 필요","결의서명 기반 원인분류 검토")))</x:f>
      </x:c>
    </x:row>
    <x:row r="80">
      <x:c r="A80" s="73"/>
      <x:c r="B80" s="73" t="str">
        <x:f>IF(A80="","",IFERROR(XLOOKUP(A80,'당기원장'!$A$5:$A$1004,'당기원장'!$B$5:$B$1004),XLOOKUP(A80,'전기원장'!$A$5:$A$1004,'전기원장'!$B$5:$B$1004,"")))</x:f>
      </x:c>
      <x:c r="C80" s="75" t="str">
        <x:f>IF(A80="","",SUMIF('전기원장'!$A$5:$A$1004,A80,'전기원장'!$H$5:$H$1004))</x:f>
      </x:c>
      <x:c r="D80" s="75" t="str">
        <x:f>IF(A80="","",SUMIF('당기원장'!$A$5:$A$1004,A80,'당기원장'!$H$5:$H$1004))</x:f>
      </x:c>
      <x:c r="E80" s="75" t="str">
        <x:f>IF(A80="","",D80-C80)</x:f>
      </x:c>
      <x:c r="F80" s="86" t="str">
        <x:f>IF(A80="","",IF(C80=0,IF(D80=0,0,1),ABS(E80)/ABS(C80)))</x:f>
      </x:c>
      <x:c r="G80" s="73" t="str">
        <x:f>IF(A80="","",IF(AND(C80=0,D80&lt;&gt;0),"신규",IF(AND(C80&lt;&gt;0,D80=0),"소멸",IF(E80=0,"변동없음","금액변동"))))</x:f>
      </x:c>
      <x:c r="H80" s="73" t="str">
        <x:f>IF(A80="","",IF(AND(ABS(E80)&gt;='기준설정'!$B$6,OR(G80="신규",G80="소멸",F80&gt;='기준설정'!$B$5)),"원인분석 대상","일반"))</x:f>
      </x:c>
      <x:c r="I80" s="73" t="str">
        <x:f>IF(A80="","",IF(H80="원인분석 대상","세부원인분석 시트에서 거래별 원인을 검토","-"))</x:f>
      </x:c>
      <x:c r="J80" s="73" t="str">
        <x:f>IF(A80="","",COUNTIFS('전기원장'!$A$5:$A$1004,A80,'전기원장'!$J$5:$J$1004,"확인 필요")+COUNTIFS('당기원장'!$A$5:$A$1004,A80,'당기원장'!$J$5:$J$1004,"확인 필요"))</x:f>
      </x:c>
      <x:c r="K80" s="87" t="str">
        <x:f>IF(A80="","",IF(H80&lt;&gt;"원인분석 대상","",IF(J80&gt;0,"붙임 문서 확인 후 원인 확정 필요","결의서명 기반 원인분류 검토")))</x:f>
      </x:c>
    </x:row>
    <x:row r="81">
      <x:c r="A81" s="73"/>
      <x:c r="B81" s="73" t="str">
        <x:f>IF(A81="","",IFERROR(XLOOKUP(A81,'당기원장'!$A$5:$A$1004,'당기원장'!$B$5:$B$1004),XLOOKUP(A81,'전기원장'!$A$5:$A$1004,'전기원장'!$B$5:$B$1004,"")))</x:f>
      </x:c>
      <x:c r="C81" s="75" t="str">
        <x:f>IF(A81="","",SUMIF('전기원장'!$A$5:$A$1004,A81,'전기원장'!$H$5:$H$1004))</x:f>
      </x:c>
      <x:c r="D81" s="75" t="str">
        <x:f>IF(A81="","",SUMIF('당기원장'!$A$5:$A$1004,A81,'당기원장'!$H$5:$H$1004))</x:f>
      </x:c>
      <x:c r="E81" s="75" t="str">
        <x:f>IF(A81="","",D81-C81)</x:f>
      </x:c>
      <x:c r="F81" s="86" t="str">
        <x:f>IF(A81="","",IF(C81=0,IF(D81=0,0,1),ABS(E81)/ABS(C81)))</x:f>
      </x:c>
      <x:c r="G81" s="73" t="str">
        <x:f>IF(A81="","",IF(AND(C81=0,D81&lt;&gt;0),"신규",IF(AND(C81&lt;&gt;0,D81=0),"소멸",IF(E81=0,"변동없음","금액변동"))))</x:f>
      </x:c>
      <x:c r="H81" s="73" t="str">
        <x:f>IF(A81="","",IF(AND(ABS(E81)&gt;='기준설정'!$B$6,OR(G81="신규",G81="소멸",F81&gt;='기준설정'!$B$5)),"원인분석 대상","일반"))</x:f>
      </x:c>
      <x:c r="I81" s="73" t="str">
        <x:f>IF(A81="","",IF(H81="원인분석 대상","세부원인분석 시트에서 거래별 원인을 검토","-"))</x:f>
      </x:c>
      <x:c r="J81" s="73" t="str">
        <x:f>IF(A81="","",COUNTIFS('전기원장'!$A$5:$A$1004,A81,'전기원장'!$J$5:$J$1004,"확인 필요")+COUNTIFS('당기원장'!$A$5:$A$1004,A81,'당기원장'!$J$5:$J$1004,"확인 필요"))</x:f>
      </x:c>
      <x:c r="K81" s="87" t="str">
        <x:f>IF(A81="","",IF(H81&lt;&gt;"원인분석 대상","",IF(J81&gt;0,"붙임 문서 확인 후 원인 확정 필요","결의서명 기반 원인분류 검토")))</x:f>
      </x:c>
    </x:row>
    <x:row r="82">
      <x:c r="A82" s="73"/>
      <x:c r="B82" s="73" t="str">
        <x:f>IF(A82="","",IFERROR(XLOOKUP(A82,'당기원장'!$A$5:$A$1004,'당기원장'!$B$5:$B$1004),XLOOKUP(A82,'전기원장'!$A$5:$A$1004,'전기원장'!$B$5:$B$1004,"")))</x:f>
      </x:c>
      <x:c r="C82" s="75" t="str">
        <x:f>IF(A82="","",SUMIF('전기원장'!$A$5:$A$1004,A82,'전기원장'!$H$5:$H$1004))</x:f>
      </x:c>
      <x:c r="D82" s="75" t="str">
        <x:f>IF(A82="","",SUMIF('당기원장'!$A$5:$A$1004,A82,'당기원장'!$H$5:$H$1004))</x:f>
      </x:c>
      <x:c r="E82" s="75" t="str">
        <x:f>IF(A82="","",D82-C82)</x:f>
      </x:c>
      <x:c r="F82" s="86" t="str">
        <x:f>IF(A82="","",IF(C82=0,IF(D82=0,0,1),ABS(E82)/ABS(C82)))</x:f>
      </x:c>
      <x:c r="G82" s="73" t="str">
        <x:f>IF(A82="","",IF(AND(C82=0,D82&lt;&gt;0),"신규",IF(AND(C82&lt;&gt;0,D82=0),"소멸",IF(E82=0,"변동없음","금액변동"))))</x:f>
      </x:c>
      <x:c r="H82" s="73" t="str">
        <x:f>IF(A82="","",IF(AND(ABS(E82)&gt;='기준설정'!$B$6,OR(G82="신규",G82="소멸",F82&gt;='기준설정'!$B$5)),"원인분석 대상","일반"))</x:f>
      </x:c>
      <x:c r="I82" s="73" t="str">
        <x:f>IF(A82="","",IF(H82="원인분석 대상","세부원인분석 시트에서 거래별 원인을 검토","-"))</x:f>
      </x:c>
      <x:c r="J82" s="73" t="str">
        <x:f>IF(A82="","",COUNTIFS('전기원장'!$A$5:$A$1004,A82,'전기원장'!$J$5:$J$1004,"확인 필요")+COUNTIFS('당기원장'!$A$5:$A$1004,A82,'당기원장'!$J$5:$J$1004,"확인 필요"))</x:f>
      </x:c>
      <x:c r="K82" s="87" t="str">
        <x:f>IF(A82="","",IF(H82&lt;&gt;"원인분석 대상","",IF(J82&gt;0,"붙임 문서 확인 후 원인 확정 필요","결의서명 기반 원인분류 검토")))</x:f>
      </x:c>
    </x:row>
    <x:row r="83">
      <x:c r="A83" s="73"/>
      <x:c r="B83" s="73" t="str">
        <x:f>IF(A83="","",IFERROR(XLOOKUP(A83,'당기원장'!$A$5:$A$1004,'당기원장'!$B$5:$B$1004),XLOOKUP(A83,'전기원장'!$A$5:$A$1004,'전기원장'!$B$5:$B$1004,"")))</x:f>
      </x:c>
      <x:c r="C83" s="75" t="str">
        <x:f>IF(A83="","",SUMIF('전기원장'!$A$5:$A$1004,A83,'전기원장'!$H$5:$H$1004))</x:f>
      </x:c>
      <x:c r="D83" s="75" t="str">
        <x:f>IF(A83="","",SUMIF('당기원장'!$A$5:$A$1004,A83,'당기원장'!$H$5:$H$1004))</x:f>
      </x:c>
      <x:c r="E83" s="75" t="str">
        <x:f>IF(A83="","",D83-C83)</x:f>
      </x:c>
      <x:c r="F83" s="86" t="str">
        <x:f>IF(A83="","",IF(C83=0,IF(D83=0,0,1),ABS(E83)/ABS(C83)))</x:f>
      </x:c>
      <x:c r="G83" s="73" t="str">
        <x:f>IF(A83="","",IF(AND(C83=0,D83&lt;&gt;0),"신규",IF(AND(C83&lt;&gt;0,D83=0),"소멸",IF(E83=0,"변동없음","금액변동"))))</x:f>
      </x:c>
      <x:c r="H83" s="73" t="str">
        <x:f>IF(A83="","",IF(AND(ABS(E83)&gt;='기준설정'!$B$6,OR(G83="신규",G83="소멸",F83&gt;='기준설정'!$B$5)),"원인분석 대상","일반"))</x:f>
      </x:c>
      <x:c r="I83" s="73" t="str">
        <x:f>IF(A83="","",IF(H83="원인분석 대상","세부원인분석 시트에서 거래별 원인을 검토","-"))</x:f>
      </x:c>
      <x:c r="J83" s="73" t="str">
        <x:f>IF(A83="","",COUNTIFS('전기원장'!$A$5:$A$1004,A83,'전기원장'!$J$5:$J$1004,"확인 필요")+COUNTIFS('당기원장'!$A$5:$A$1004,A83,'당기원장'!$J$5:$J$1004,"확인 필요"))</x:f>
      </x:c>
      <x:c r="K83" s="87" t="str">
        <x:f>IF(A83="","",IF(H83&lt;&gt;"원인분석 대상","",IF(J83&gt;0,"붙임 문서 확인 후 원인 확정 필요","결의서명 기반 원인분류 검토")))</x:f>
      </x:c>
    </x:row>
    <x:row r="84">
      <x:c r="A84" s="73"/>
      <x:c r="B84" s="73" t="str">
        <x:f>IF(A84="","",IFERROR(XLOOKUP(A84,'당기원장'!$A$5:$A$1004,'당기원장'!$B$5:$B$1004),XLOOKUP(A84,'전기원장'!$A$5:$A$1004,'전기원장'!$B$5:$B$1004,"")))</x:f>
      </x:c>
      <x:c r="C84" s="75" t="str">
        <x:f>IF(A84="","",SUMIF('전기원장'!$A$5:$A$1004,A84,'전기원장'!$H$5:$H$1004))</x:f>
      </x:c>
      <x:c r="D84" s="75" t="str">
        <x:f>IF(A84="","",SUMIF('당기원장'!$A$5:$A$1004,A84,'당기원장'!$H$5:$H$1004))</x:f>
      </x:c>
      <x:c r="E84" s="75" t="str">
        <x:f>IF(A84="","",D84-C84)</x:f>
      </x:c>
      <x:c r="F84" s="86" t="str">
        <x:f>IF(A84="","",IF(C84=0,IF(D84=0,0,1),ABS(E84)/ABS(C84)))</x:f>
      </x:c>
      <x:c r="G84" s="73" t="str">
        <x:f>IF(A84="","",IF(AND(C84=0,D84&lt;&gt;0),"신규",IF(AND(C84&lt;&gt;0,D84=0),"소멸",IF(E84=0,"변동없음","금액변동"))))</x:f>
      </x:c>
      <x:c r="H84" s="73" t="str">
        <x:f>IF(A84="","",IF(AND(ABS(E84)&gt;='기준설정'!$B$6,OR(G84="신규",G84="소멸",F84&gt;='기준설정'!$B$5)),"원인분석 대상","일반"))</x:f>
      </x:c>
      <x:c r="I84" s="73" t="str">
        <x:f>IF(A84="","",IF(H84="원인분석 대상","세부원인분석 시트에서 거래별 원인을 검토","-"))</x:f>
      </x:c>
      <x:c r="J84" s="73" t="str">
        <x:f>IF(A84="","",COUNTIFS('전기원장'!$A$5:$A$1004,A84,'전기원장'!$J$5:$J$1004,"확인 필요")+COUNTIFS('당기원장'!$A$5:$A$1004,A84,'당기원장'!$J$5:$J$1004,"확인 필요"))</x:f>
      </x:c>
      <x:c r="K84" s="87" t="str">
        <x:f>IF(A84="","",IF(H84&lt;&gt;"원인분석 대상","",IF(J84&gt;0,"붙임 문서 확인 후 원인 확정 필요","결의서명 기반 원인분류 검토")))</x:f>
      </x:c>
    </x:row>
    <x:row r="85">
      <x:c r="A85" s="73"/>
      <x:c r="B85" s="73" t="str">
        <x:f>IF(A85="","",IFERROR(XLOOKUP(A85,'당기원장'!$A$5:$A$1004,'당기원장'!$B$5:$B$1004),XLOOKUP(A85,'전기원장'!$A$5:$A$1004,'전기원장'!$B$5:$B$1004,"")))</x:f>
      </x:c>
      <x:c r="C85" s="75" t="str">
        <x:f>IF(A85="","",SUMIF('전기원장'!$A$5:$A$1004,A85,'전기원장'!$H$5:$H$1004))</x:f>
      </x:c>
      <x:c r="D85" s="75" t="str">
        <x:f>IF(A85="","",SUMIF('당기원장'!$A$5:$A$1004,A85,'당기원장'!$H$5:$H$1004))</x:f>
      </x:c>
      <x:c r="E85" s="75" t="str">
        <x:f>IF(A85="","",D85-C85)</x:f>
      </x:c>
      <x:c r="F85" s="86" t="str">
        <x:f>IF(A85="","",IF(C85=0,IF(D85=0,0,1),ABS(E85)/ABS(C85)))</x:f>
      </x:c>
      <x:c r="G85" s="73" t="str">
        <x:f>IF(A85="","",IF(AND(C85=0,D85&lt;&gt;0),"신규",IF(AND(C85&lt;&gt;0,D85=0),"소멸",IF(E85=0,"변동없음","금액변동"))))</x:f>
      </x:c>
      <x:c r="H85" s="73" t="str">
        <x:f>IF(A85="","",IF(AND(ABS(E85)&gt;='기준설정'!$B$6,OR(G85="신규",G85="소멸",F85&gt;='기준설정'!$B$5)),"원인분석 대상","일반"))</x:f>
      </x:c>
      <x:c r="I85" s="73" t="str">
        <x:f>IF(A85="","",IF(H85="원인분석 대상","세부원인분석 시트에서 거래별 원인을 검토","-"))</x:f>
      </x:c>
      <x:c r="J85" s="73" t="str">
        <x:f>IF(A85="","",COUNTIFS('전기원장'!$A$5:$A$1004,A85,'전기원장'!$J$5:$J$1004,"확인 필요")+COUNTIFS('당기원장'!$A$5:$A$1004,A85,'당기원장'!$J$5:$J$1004,"확인 필요"))</x:f>
      </x:c>
      <x:c r="K85" s="87" t="str">
        <x:f>IF(A85="","",IF(H85&lt;&gt;"원인분석 대상","",IF(J85&gt;0,"붙임 문서 확인 후 원인 확정 필요","결의서명 기반 원인분류 검토")))</x:f>
      </x:c>
    </x:row>
    <x:row r="86">
      <x:c r="A86" s="73"/>
      <x:c r="B86" s="73" t="str">
        <x:f>IF(A86="","",IFERROR(XLOOKUP(A86,'당기원장'!$A$5:$A$1004,'당기원장'!$B$5:$B$1004),XLOOKUP(A86,'전기원장'!$A$5:$A$1004,'전기원장'!$B$5:$B$1004,"")))</x:f>
      </x:c>
      <x:c r="C86" s="75" t="str">
        <x:f>IF(A86="","",SUMIF('전기원장'!$A$5:$A$1004,A86,'전기원장'!$H$5:$H$1004))</x:f>
      </x:c>
      <x:c r="D86" s="75" t="str">
        <x:f>IF(A86="","",SUMIF('당기원장'!$A$5:$A$1004,A86,'당기원장'!$H$5:$H$1004))</x:f>
      </x:c>
      <x:c r="E86" s="75" t="str">
        <x:f>IF(A86="","",D86-C86)</x:f>
      </x:c>
      <x:c r="F86" s="86" t="str">
        <x:f>IF(A86="","",IF(C86=0,IF(D86=0,0,1),ABS(E86)/ABS(C86)))</x:f>
      </x:c>
      <x:c r="G86" s="73" t="str">
        <x:f>IF(A86="","",IF(AND(C86=0,D86&lt;&gt;0),"신규",IF(AND(C86&lt;&gt;0,D86=0),"소멸",IF(E86=0,"변동없음","금액변동"))))</x:f>
      </x:c>
      <x:c r="H86" s="73" t="str">
        <x:f>IF(A86="","",IF(AND(ABS(E86)&gt;='기준설정'!$B$6,OR(G86="신규",G86="소멸",F86&gt;='기준설정'!$B$5)),"원인분석 대상","일반"))</x:f>
      </x:c>
      <x:c r="I86" s="73" t="str">
        <x:f>IF(A86="","",IF(H86="원인분석 대상","세부원인분석 시트에서 거래별 원인을 검토","-"))</x:f>
      </x:c>
      <x:c r="J86" s="73" t="str">
        <x:f>IF(A86="","",COUNTIFS('전기원장'!$A$5:$A$1004,A86,'전기원장'!$J$5:$J$1004,"확인 필요")+COUNTIFS('당기원장'!$A$5:$A$1004,A86,'당기원장'!$J$5:$J$1004,"확인 필요"))</x:f>
      </x:c>
      <x:c r="K86" s="87" t="str">
        <x:f>IF(A86="","",IF(H86&lt;&gt;"원인분석 대상","",IF(J86&gt;0,"붙임 문서 확인 후 원인 확정 필요","결의서명 기반 원인분류 검토")))</x:f>
      </x:c>
    </x:row>
    <x:row r="87">
      <x:c r="A87" s="73"/>
      <x:c r="B87" s="73" t="str">
        <x:f>IF(A87="","",IFERROR(XLOOKUP(A87,'당기원장'!$A$5:$A$1004,'당기원장'!$B$5:$B$1004),XLOOKUP(A87,'전기원장'!$A$5:$A$1004,'전기원장'!$B$5:$B$1004,"")))</x:f>
      </x:c>
      <x:c r="C87" s="75" t="str">
        <x:f>IF(A87="","",SUMIF('전기원장'!$A$5:$A$1004,A87,'전기원장'!$H$5:$H$1004))</x:f>
      </x:c>
      <x:c r="D87" s="75" t="str">
        <x:f>IF(A87="","",SUMIF('당기원장'!$A$5:$A$1004,A87,'당기원장'!$H$5:$H$1004))</x:f>
      </x:c>
      <x:c r="E87" s="75" t="str">
        <x:f>IF(A87="","",D87-C87)</x:f>
      </x:c>
      <x:c r="F87" s="86" t="str">
        <x:f>IF(A87="","",IF(C87=0,IF(D87=0,0,1),ABS(E87)/ABS(C87)))</x:f>
      </x:c>
      <x:c r="G87" s="73" t="str">
        <x:f>IF(A87="","",IF(AND(C87=0,D87&lt;&gt;0),"신규",IF(AND(C87&lt;&gt;0,D87=0),"소멸",IF(E87=0,"변동없음","금액변동"))))</x:f>
      </x:c>
      <x:c r="H87" s="73" t="str">
        <x:f>IF(A87="","",IF(AND(ABS(E87)&gt;='기준설정'!$B$6,OR(G87="신규",G87="소멸",F87&gt;='기준설정'!$B$5)),"원인분석 대상","일반"))</x:f>
      </x:c>
      <x:c r="I87" s="73" t="str">
        <x:f>IF(A87="","",IF(H87="원인분석 대상","세부원인분석 시트에서 거래별 원인을 검토","-"))</x:f>
      </x:c>
      <x:c r="J87" s="73" t="str">
        <x:f>IF(A87="","",COUNTIFS('전기원장'!$A$5:$A$1004,A87,'전기원장'!$J$5:$J$1004,"확인 필요")+COUNTIFS('당기원장'!$A$5:$A$1004,A87,'당기원장'!$J$5:$J$1004,"확인 필요"))</x:f>
      </x:c>
      <x:c r="K87" s="87" t="str">
        <x:f>IF(A87="","",IF(H87&lt;&gt;"원인분석 대상","",IF(J87&gt;0,"붙임 문서 확인 후 원인 확정 필요","결의서명 기반 원인분류 검토")))</x:f>
      </x:c>
    </x:row>
    <x:row r="88">
      <x:c r="A88" s="73"/>
      <x:c r="B88" s="73" t="str">
        <x:f>IF(A88="","",IFERROR(XLOOKUP(A88,'당기원장'!$A$5:$A$1004,'당기원장'!$B$5:$B$1004),XLOOKUP(A88,'전기원장'!$A$5:$A$1004,'전기원장'!$B$5:$B$1004,"")))</x:f>
      </x:c>
      <x:c r="C88" s="75" t="str">
        <x:f>IF(A88="","",SUMIF('전기원장'!$A$5:$A$1004,A88,'전기원장'!$H$5:$H$1004))</x:f>
      </x:c>
      <x:c r="D88" s="75" t="str">
        <x:f>IF(A88="","",SUMIF('당기원장'!$A$5:$A$1004,A88,'당기원장'!$H$5:$H$1004))</x:f>
      </x:c>
      <x:c r="E88" s="75" t="str">
        <x:f>IF(A88="","",D88-C88)</x:f>
      </x:c>
      <x:c r="F88" s="86" t="str">
        <x:f>IF(A88="","",IF(C88=0,IF(D88=0,0,1),ABS(E88)/ABS(C88)))</x:f>
      </x:c>
      <x:c r="G88" s="73" t="str">
        <x:f>IF(A88="","",IF(AND(C88=0,D88&lt;&gt;0),"신규",IF(AND(C88&lt;&gt;0,D88=0),"소멸",IF(E88=0,"변동없음","금액변동"))))</x:f>
      </x:c>
      <x:c r="H88" s="73" t="str">
        <x:f>IF(A88="","",IF(AND(ABS(E88)&gt;='기준설정'!$B$6,OR(G88="신규",G88="소멸",F88&gt;='기준설정'!$B$5)),"원인분석 대상","일반"))</x:f>
      </x:c>
      <x:c r="I88" s="73" t="str">
        <x:f>IF(A88="","",IF(H88="원인분석 대상","세부원인분석 시트에서 거래별 원인을 검토","-"))</x:f>
      </x:c>
      <x:c r="J88" s="73" t="str">
        <x:f>IF(A88="","",COUNTIFS('전기원장'!$A$5:$A$1004,A88,'전기원장'!$J$5:$J$1004,"확인 필요")+COUNTIFS('당기원장'!$A$5:$A$1004,A88,'당기원장'!$J$5:$J$1004,"확인 필요"))</x:f>
      </x:c>
      <x:c r="K88" s="87" t="str">
        <x:f>IF(A88="","",IF(H88&lt;&gt;"원인분석 대상","",IF(J88&gt;0,"붙임 문서 확인 후 원인 확정 필요","결의서명 기반 원인분류 검토")))</x:f>
      </x:c>
    </x:row>
    <x:row r="89">
      <x:c r="A89" s="73"/>
      <x:c r="B89" s="73" t="str">
        <x:f>IF(A89="","",IFERROR(XLOOKUP(A89,'당기원장'!$A$5:$A$1004,'당기원장'!$B$5:$B$1004),XLOOKUP(A89,'전기원장'!$A$5:$A$1004,'전기원장'!$B$5:$B$1004,"")))</x:f>
      </x:c>
      <x:c r="C89" s="75" t="str">
        <x:f>IF(A89="","",SUMIF('전기원장'!$A$5:$A$1004,A89,'전기원장'!$H$5:$H$1004))</x:f>
      </x:c>
      <x:c r="D89" s="75" t="str">
        <x:f>IF(A89="","",SUMIF('당기원장'!$A$5:$A$1004,A89,'당기원장'!$H$5:$H$1004))</x:f>
      </x:c>
      <x:c r="E89" s="75" t="str">
        <x:f>IF(A89="","",D89-C89)</x:f>
      </x:c>
      <x:c r="F89" s="86" t="str">
        <x:f>IF(A89="","",IF(C89=0,IF(D89=0,0,1),ABS(E89)/ABS(C89)))</x:f>
      </x:c>
      <x:c r="G89" s="73" t="str">
        <x:f>IF(A89="","",IF(AND(C89=0,D89&lt;&gt;0),"신규",IF(AND(C89&lt;&gt;0,D89=0),"소멸",IF(E89=0,"변동없음","금액변동"))))</x:f>
      </x:c>
      <x:c r="H89" s="73" t="str">
        <x:f>IF(A89="","",IF(AND(ABS(E89)&gt;='기준설정'!$B$6,OR(G89="신규",G89="소멸",F89&gt;='기준설정'!$B$5)),"원인분석 대상","일반"))</x:f>
      </x:c>
      <x:c r="I89" s="73" t="str">
        <x:f>IF(A89="","",IF(H89="원인분석 대상","세부원인분석 시트에서 거래별 원인을 검토","-"))</x:f>
      </x:c>
      <x:c r="J89" s="73" t="str">
        <x:f>IF(A89="","",COUNTIFS('전기원장'!$A$5:$A$1004,A89,'전기원장'!$J$5:$J$1004,"확인 필요")+COUNTIFS('당기원장'!$A$5:$A$1004,A89,'당기원장'!$J$5:$J$1004,"확인 필요"))</x:f>
      </x:c>
      <x:c r="K89" s="87" t="str">
        <x:f>IF(A89="","",IF(H89&lt;&gt;"원인분석 대상","",IF(J89&gt;0,"붙임 문서 확인 후 원인 확정 필요","결의서명 기반 원인분류 검토")))</x:f>
      </x:c>
    </x:row>
    <x:row r="90">
      <x:c r="A90" s="73"/>
      <x:c r="B90" s="73" t="str">
        <x:f>IF(A90="","",IFERROR(XLOOKUP(A90,'당기원장'!$A$5:$A$1004,'당기원장'!$B$5:$B$1004),XLOOKUP(A90,'전기원장'!$A$5:$A$1004,'전기원장'!$B$5:$B$1004,"")))</x:f>
      </x:c>
      <x:c r="C90" s="75" t="str">
        <x:f>IF(A90="","",SUMIF('전기원장'!$A$5:$A$1004,A90,'전기원장'!$H$5:$H$1004))</x:f>
      </x:c>
      <x:c r="D90" s="75" t="str">
        <x:f>IF(A90="","",SUMIF('당기원장'!$A$5:$A$1004,A90,'당기원장'!$H$5:$H$1004))</x:f>
      </x:c>
      <x:c r="E90" s="75" t="str">
        <x:f>IF(A90="","",D90-C90)</x:f>
      </x:c>
      <x:c r="F90" s="86" t="str">
        <x:f>IF(A90="","",IF(C90=0,IF(D90=0,0,1),ABS(E90)/ABS(C90)))</x:f>
      </x:c>
      <x:c r="G90" s="73" t="str">
        <x:f>IF(A90="","",IF(AND(C90=0,D90&lt;&gt;0),"신규",IF(AND(C90&lt;&gt;0,D90=0),"소멸",IF(E90=0,"변동없음","금액변동"))))</x:f>
      </x:c>
      <x:c r="H90" s="73" t="str">
        <x:f>IF(A90="","",IF(AND(ABS(E90)&gt;='기준설정'!$B$6,OR(G90="신규",G90="소멸",F90&gt;='기준설정'!$B$5)),"원인분석 대상","일반"))</x:f>
      </x:c>
      <x:c r="I90" s="73" t="str">
        <x:f>IF(A90="","",IF(H90="원인분석 대상","세부원인분석 시트에서 거래별 원인을 검토","-"))</x:f>
      </x:c>
      <x:c r="J90" s="73" t="str">
        <x:f>IF(A90="","",COUNTIFS('전기원장'!$A$5:$A$1004,A90,'전기원장'!$J$5:$J$1004,"확인 필요")+COUNTIFS('당기원장'!$A$5:$A$1004,A90,'당기원장'!$J$5:$J$1004,"확인 필요"))</x:f>
      </x:c>
      <x:c r="K90" s="87" t="str">
        <x:f>IF(A90="","",IF(H90&lt;&gt;"원인분석 대상","",IF(J90&gt;0,"붙임 문서 확인 후 원인 확정 필요","결의서명 기반 원인분류 검토")))</x:f>
      </x:c>
    </x:row>
    <x:row r="91">
      <x:c r="A91" s="73"/>
      <x:c r="B91" s="73" t="str">
        <x:f>IF(A91="","",IFERROR(XLOOKUP(A91,'당기원장'!$A$5:$A$1004,'당기원장'!$B$5:$B$1004),XLOOKUP(A91,'전기원장'!$A$5:$A$1004,'전기원장'!$B$5:$B$1004,"")))</x:f>
      </x:c>
      <x:c r="C91" s="75" t="str">
        <x:f>IF(A91="","",SUMIF('전기원장'!$A$5:$A$1004,A91,'전기원장'!$H$5:$H$1004))</x:f>
      </x:c>
      <x:c r="D91" s="75" t="str">
        <x:f>IF(A91="","",SUMIF('당기원장'!$A$5:$A$1004,A91,'당기원장'!$H$5:$H$1004))</x:f>
      </x:c>
      <x:c r="E91" s="75" t="str">
        <x:f>IF(A91="","",D91-C91)</x:f>
      </x:c>
      <x:c r="F91" s="86" t="str">
        <x:f>IF(A91="","",IF(C91=0,IF(D91=0,0,1),ABS(E91)/ABS(C91)))</x:f>
      </x:c>
      <x:c r="G91" s="73" t="str">
        <x:f>IF(A91="","",IF(AND(C91=0,D91&lt;&gt;0),"신규",IF(AND(C91&lt;&gt;0,D91=0),"소멸",IF(E91=0,"변동없음","금액변동"))))</x:f>
      </x:c>
      <x:c r="H91" s="73" t="str">
        <x:f>IF(A91="","",IF(AND(ABS(E91)&gt;='기준설정'!$B$6,OR(G91="신규",G91="소멸",F91&gt;='기준설정'!$B$5)),"원인분석 대상","일반"))</x:f>
      </x:c>
      <x:c r="I91" s="73" t="str">
        <x:f>IF(A91="","",IF(H91="원인분석 대상","세부원인분석 시트에서 거래별 원인을 검토","-"))</x:f>
      </x:c>
      <x:c r="J91" s="73" t="str">
        <x:f>IF(A91="","",COUNTIFS('전기원장'!$A$5:$A$1004,A91,'전기원장'!$J$5:$J$1004,"확인 필요")+COUNTIFS('당기원장'!$A$5:$A$1004,A91,'당기원장'!$J$5:$J$1004,"확인 필요"))</x:f>
      </x:c>
      <x:c r="K91" s="87" t="str">
        <x:f>IF(A91="","",IF(H91&lt;&gt;"원인분석 대상","",IF(J91&gt;0,"붙임 문서 확인 후 원인 확정 필요","결의서명 기반 원인분류 검토")))</x:f>
      </x:c>
    </x:row>
    <x:row r="92">
      <x:c r="A92" s="73"/>
      <x:c r="B92" s="73" t="str">
        <x:f>IF(A92="","",IFERROR(XLOOKUP(A92,'당기원장'!$A$5:$A$1004,'당기원장'!$B$5:$B$1004),XLOOKUP(A92,'전기원장'!$A$5:$A$1004,'전기원장'!$B$5:$B$1004,"")))</x:f>
      </x:c>
      <x:c r="C92" s="75" t="str">
        <x:f>IF(A92="","",SUMIF('전기원장'!$A$5:$A$1004,A92,'전기원장'!$H$5:$H$1004))</x:f>
      </x:c>
      <x:c r="D92" s="75" t="str">
        <x:f>IF(A92="","",SUMIF('당기원장'!$A$5:$A$1004,A92,'당기원장'!$H$5:$H$1004))</x:f>
      </x:c>
      <x:c r="E92" s="75" t="str">
        <x:f>IF(A92="","",D92-C92)</x:f>
      </x:c>
      <x:c r="F92" s="86" t="str">
        <x:f>IF(A92="","",IF(C92=0,IF(D92=0,0,1),ABS(E92)/ABS(C92)))</x:f>
      </x:c>
      <x:c r="G92" s="73" t="str">
        <x:f>IF(A92="","",IF(AND(C92=0,D92&lt;&gt;0),"신규",IF(AND(C92&lt;&gt;0,D92=0),"소멸",IF(E92=0,"변동없음","금액변동"))))</x:f>
      </x:c>
      <x:c r="H92" s="73" t="str">
        <x:f>IF(A92="","",IF(AND(ABS(E92)&gt;='기준설정'!$B$6,OR(G92="신규",G92="소멸",F92&gt;='기준설정'!$B$5)),"원인분석 대상","일반"))</x:f>
      </x:c>
      <x:c r="I92" s="73" t="str">
        <x:f>IF(A92="","",IF(H92="원인분석 대상","세부원인분석 시트에서 거래별 원인을 검토","-"))</x:f>
      </x:c>
      <x:c r="J92" s="73" t="str">
        <x:f>IF(A92="","",COUNTIFS('전기원장'!$A$5:$A$1004,A92,'전기원장'!$J$5:$J$1004,"확인 필요")+COUNTIFS('당기원장'!$A$5:$A$1004,A92,'당기원장'!$J$5:$J$1004,"확인 필요"))</x:f>
      </x:c>
      <x:c r="K92" s="87" t="str">
        <x:f>IF(A92="","",IF(H92&lt;&gt;"원인분석 대상","",IF(J92&gt;0,"붙임 문서 확인 후 원인 확정 필요","결의서명 기반 원인분류 검토")))</x:f>
      </x:c>
    </x:row>
    <x:row r="93">
      <x:c r="A93" s="73"/>
      <x:c r="B93" s="73" t="str">
        <x:f>IF(A93="","",IFERROR(XLOOKUP(A93,'당기원장'!$A$5:$A$1004,'당기원장'!$B$5:$B$1004),XLOOKUP(A93,'전기원장'!$A$5:$A$1004,'전기원장'!$B$5:$B$1004,"")))</x:f>
      </x:c>
      <x:c r="C93" s="75" t="str">
        <x:f>IF(A93="","",SUMIF('전기원장'!$A$5:$A$1004,A93,'전기원장'!$H$5:$H$1004))</x:f>
      </x:c>
      <x:c r="D93" s="75" t="str">
        <x:f>IF(A93="","",SUMIF('당기원장'!$A$5:$A$1004,A93,'당기원장'!$H$5:$H$1004))</x:f>
      </x:c>
      <x:c r="E93" s="75" t="str">
        <x:f>IF(A93="","",D93-C93)</x:f>
      </x:c>
      <x:c r="F93" s="86" t="str">
        <x:f>IF(A93="","",IF(C93=0,IF(D93=0,0,1),ABS(E93)/ABS(C93)))</x:f>
      </x:c>
      <x:c r="G93" s="73" t="str">
        <x:f>IF(A93="","",IF(AND(C93=0,D93&lt;&gt;0),"신규",IF(AND(C93&lt;&gt;0,D93=0),"소멸",IF(E93=0,"변동없음","금액변동"))))</x:f>
      </x:c>
      <x:c r="H93" s="73" t="str">
        <x:f>IF(A93="","",IF(AND(ABS(E93)&gt;='기준설정'!$B$6,OR(G93="신규",G93="소멸",F93&gt;='기준설정'!$B$5)),"원인분석 대상","일반"))</x:f>
      </x:c>
      <x:c r="I93" s="73" t="str">
        <x:f>IF(A93="","",IF(H93="원인분석 대상","세부원인분석 시트에서 거래별 원인을 검토","-"))</x:f>
      </x:c>
      <x:c r="J93" s="73" t="str">
        <x:f>IF(A93="","",COUNTIFS('전기원장'!$A$5:$A$1004,A93,'전기원장'!$J$5:$J$1004,"확인 필요")+COUNTIFS('당기원장'!$A$5:$A$1004,A93,'당기원장'!$J$5:$J$1004,"확인 필요"))</x:f>
      </x:c>
      <x:c r="K93" s="87" t="str">
        <x:f>IF(A93="","",IF(H93&lt;&gt;"원인분석 대상","",IF(J93&gt;0,"붙임 문서 확인 후 원인 확정 필요","결의서명 기반 원인분류 검토")))</x:f>
      </x:c>
    </x:row>
    <x:row r="94">
      <x:c r="A94" s="73"/>
      <x:c r="B94" s="73" t="str">
        <x:f>IF(A94="","",IFERROR(XLOOKUP(A94,'당기원장'!$A$5:$A$1004,'당기원장'!$B$5:$B$1004),XLOOKUP(A94,'전기원장'!$A$5:$A$1004,'전기원장'!$B$5:$B$1004,"")))</x:f>
      </x:c>
      <x:c r="C94" s="75" t="str">
        <x:f>IF(A94="","",SUMIF('전기원장'!$A$5:$A$1004,A94,'전기원장'!$H$5:$H$1004))</x:f>
      </x:c>
      <x:c r="D94" s="75" t="str">
        <x:f>IF(A94="","",SUMIF('당기원장'!$A$5:$A$1004,A94,'당기원장'!$H$5:$H$1004))</x:f>
      </x:c>
      <x:c r="E94" s="75" t="str">
        <x:f>IF(A94="","",D94-C94)</x:f>
      </x:c>
      <x:c r="F94" s="86" t="str">
        <x:f>IF(A94="","",IF(C94=0,IF(D94=0,0,1),ABS(E94)/ABS(C94)))</x:f>
      </x:c>
      <x:c r="G94" s="73" t="str">
        <x:f>IF(A94="","",IF(AND(C94=0,D94&lt;&gt;0),"신규",IF(AND(C94&lt;&gt;0,D94=0),"소멸",IF(E94=0,"변동없음","금액변동"))))</x:f>
      </x:c>
      <x:c r="H94" s="73" t="str">
        <x:f>IF(A94="","",IF(AND(ABS(E94)&gt;='기준설정'!$B$6,OR(G94="신규",G94="소멸",F94&gt;='기준설정'!$B$5)),"원인분석 대상","일반"))</x:f>
      </x:c>
      <x:c r="I94" s="73" t="str">
        <x:f>IF(A94="","",IF(H94="원인분석 대상","세부원인분석 시트에서 거래별 원인을 검토","-"))</x:f>
      </x:c>
      <x:c r="J94" s="73" t="str">
        <x:f>IF(A94="","",COUNTIFS('전기원장'!$A$5:$A$1004,A94,'전기원장'!$J$5:$J$1004,"확인 필요")+COUNTIFS('당기원장'!$A$5:$A$1004,A94,'당기원장'!$J$5:$J$1004,"확인 필요"))</x:f>
      </x:c>
      <x:c r="K94" s="87" t="str">
        <x:f>IF(A94="","",IF(H94&lt;&gt;"원인분석 대상","",IF(J94&gt;0,"붙임 문서 확인 후 원인 확정 필요","결의서명 기반 원인분류 검토")))</x:f>
      </x:c>
    </x:row>
    <x:row r="95">
      <x:c r="A95" s="73"/>
      <x:c r="B95" s="73" t="str">
        <x:f>IF(A95="","",IFERROR(XLOOKUP(A95,'당기원장'!$A$5:$A$1004,'당기원장'!$B$5:$B$1004),XLOOKUP(A95,'전기원장'!$A$5:$A$1004,'전기원장'!$B$5:$B$1004,"")))</x:f>
      </x:c>
      <x:c r="C95" s="75" t="str">
        <x:f>IF(A95="","",SUMIF('전기원장'!$A$5:$A$1004,A95,'전기원장'!$H$5:$H$1004))</x:f>
      </x:c>
      <x:c r="D95" s="75" t="str">
        <x:f>IF(A95="","",SUMIF('당기원장'!$A$5:$A$1004,A95,'당기원장'!$H$5:$H$1004))</x:f>
      </x:c>
      <x:c r="E95" s="75" t="str">
        <x:f>IF(A95="","",D95-C95)</x:f>
      </x:c>
      <x:c r="F95" s="86" t="str">
        <x:f>IF(A95="","",IF(C95=0,IF(D95=0,0,1),ABS(E95)/ABS(C95)))</x:f>
      </x:c>
      <x:c r="G95" s="73" t="str">
        <x:f>IF(A95="","",IF(AND(C95=0,D95&lt;&gt;0),"신규",IF(AND(C95&lt;&gt;0,D95=0),"소멸",IF(E95=0,"변동없음","금액변동"))))</x:f>
      </x:c>
      <x:c r="H95" s="73" t="str">
        <x:f>IF(A95="","",IF(AND(ABS(E95)&gt;='기준설정'!$B$6,OR(G95="신규",G95="소멸",F95&gt;='기준설정'!$B$5)),"원인분석 대상","일반"))</x:f>
      </x:c>
      <x:c r="I95" s="73" t="str">
        <x:f>IF(A95="","",IF(H95="원인분석 대상","세부원인분석 시트에서 거래별 원인을 검토","-"))</x:f>
      </x:c>
      <x:c r="J95" s="73" t="str">
        <x:f>IF(A95="","",COUNTIFS('전기원장'!$A$5:$A$1004,A95,'전기원장'!$J$5:$J$1004,"확인 필요")+COUNTIFS('당기원장'!$A$5:$A$1004,A95,'당기원장'!$J$5:$J$1004,"확인 필요"))</x:f>
      </x:c>
      <x:c r="K95" s="87" t="str">
        <x:f>IF(A95="","",IF(H95&lt;&gt;"원인분석 대상","",IF(J95&gt;0,"붙임 문서 확인 후 원인 확정 필요","결의서명 기반 원인분류 검토")))</x:f>
      </x:c>
    </x:row>
    <x:row r="96">
      <x:c r="A96" s="73"/>
      <x:c r="B96" s="73" t="str">
        <x:f>IF(A96="","",IFERROR(XLOOKUP(A96,'당기원장'!$A$5:$A$1004,'당기원장'!$B$5:$B$1004),XLOOKUP(A96,'전기원장'!$A$5:$A$1004,'전기원장'!$B$5:$B$1004,"")))</x:f>
      </x:c>
      <x:c r="C96" s="75" t="str">
        <x:f>IF(A96="","",SUMIF('전기원장'!$A$5:$A$1004,A96,'전기원장'!$H$5:$H$1004))</x:f>
      </x:c>
      <x:c r="D96" s="75" t="str">
        <x:f>IF(A96="","",SUMIF('당기원장'!$A$5:$A$1004,A96,'당기원장'!$H$5:$H$1004))</x:f>
      </x:c>
      <x:c r="E96" s="75" t="str">
        <x:f>IF(A96="","",D96-C96)</x:f>
      </x:c>
      <x:c r="F96" s="86" t="str">
        <x:f>IF(A96="","",IF(C96=0,IF(D96=0,0,1),ABS(E96)/ABS(C96)))</x:f>
      </x:c>
      <x:c r="G96" s="73" t="str">
        <x:f>IF(A96="","",IF(AND(C96=0,D96&lt;&gt;0),"신규",IF(AND(C96&lt;&gt;0,D96=0),"소멸",IF(E96=0,"변동없음","금액변동"))))</x:f>
      </x:c>
      <x:c r="H96" s="73" t="str">
        <x:f>IF(A96="","",IF(AND(ABS(E96)&gt;='기준설정'!$B$6,OR(G96="신규",G96="소멸",F96&gt;='기준설정'!$B$5)),"원인분석 대상","일반"))</x:f>
      </x:c>
      <x:c r="I96" s="73" t="str">
        <x:f>IF(A96="","",IF(H96="원인분석 대상","세부원인분석 시트에서 거래별 원인을 검토","-"))</x:f>
      </x:c>
      <x:c r="J96" s="73" t="str">
        <x:f>IF(A96="","",COUNTIFS('전기원장'!$A$5:$A$1004,A96,'전기원장'!$J$5:$J$1004,"확인 필요")+COUNTIFS('당기원장'!$A$5:$A$1004,A96,'당기원장'!$J$5:$J$1004,"확인 필요"))</x:f>
      </x:c>
      <x:c r="K96" s="87" t="str">
        <x:f>IF(A96="","",IF(H96&lt;&gt;"원인분석 대상","",IF(J96&gt;0,"붙임 문서 확인 후 원인 확정 필요","결의서명 기반 원인분류 검토")))</x:f>
      </x:c>
    </x:row>
    <x:row r="97">
      <x:c r="A97" s="73"/>
      <x:c r="B97" s="73" t="str">
        <x:f>IF(A97="","",IFERROR(XLOOKUP(A97,'당기원장'!$A$5:$A$1004,'당기원장'!$B$5:$B$1004),XLOOKUP(A97,'전기원장'!$A$5:$A$1004,'전기원장'!$B$5:$B$1004,"")))</x:f>
      </x:c>
      <x:c r="C97" s="75" t="str">
        <x:f>IF(A97="","",SUMIF('전기원장'!$A$5:$A$1004,A97,'전기원장'!$H$5:$H$1004))</x:f>
      </x:c>
      <x:c r="D97" s="75" t="str">
        <x:f>IF(A97="","",SUMIF('당기원장'!$A$5:$A$1004,A97,'당기원장'!$H$5:$H$1004))</x:f>
      </x:c>
      <x:c r="E97" s="75" t="str">
        <x:f>IF(A97="","",D97-C97)</x:f>
      </x:c>
      <x:c r="F97" s="86" t="str">
        <x:f>IF(A97="","",IF(C97=0,IF(D97=0,0,1),ABS(E97)/ABS(C97)))</x:f>
      </x:c>
      <x:c r="G97" s="73" t="str">
        <x:f>IF(A97="","",IF(AND(C97=0,D97&lt;&gt;0),"신규",IF(AND(C97&lt;&gt;0,D97=0),"소멸",IF(E97=0,"변동없음","금액변동"))))</x:f>
      </x:c>
      <x:c r="H97" s="73" t="str">
        <x:f>IF(A97="","",IF(AND(ABS(E97)&gt;='기준설정'!$B$6,OR(G97="신규",G97="소멸",F97&gt;='기준설정'!$B$5)),"원인분석 대상","일반"))</x:f>
      </x:c>
      <x:c r="I97" s="73" t="str">
        <x:f>IF(A97="","",IF(H97="원인분석 대상","세부원인분석 시트에서 거래별 원인을 검토","-"))</x:f>
      </x:c>
      <x:c r="J97" s="73" t="str">
        <x:f>IF(A97="","",COUNTIFS('전기원장'!$A$5:$A$1004,A97,'전기원장'!$J$5:$J$1004,"확인 필요")+COUNTIFS('당기원장'!$A$5:$A$1004,A97,'당기원장'!$J$5:$J$1004,"확인 필요"))</x:f>
      </x:c>
      <x:c r="K97" s="87" t="str">
        <x:f>IF(A97="","",IF(H97&lt;&gt;"원인분석 대상","",IF(J97&gt;0,"붙임 문서 확인 후 원인 확정 필요","결의서명 기반 원인분류 검토")))</x:f>
      </x:c>
    </x:row>
    <x:row r="98">
      <x:c r="A98" s="73"/>
      <x:c r="B98" s="73" t="str">
        <x:f>IF(A98="","",IFERROR(XLOOKUP(A98,'당기원장'!$A$5:$A$1004,'당기원장'!$B$5:$B$1004),XLOOKUP(A98,'전기원장'!$A$5:$A$1004,'전기원장'!$B$5:$B$1004,"")))</x:f>
      </x:c>
      <x:c r="C98" s="75" t="str">
        <x:f>IF(A98="","",SUMIF('전기원장'!$A$5:$A$1004,A98,'전기원장'!$H$5:$H$1004))</x:f>
      </x:c>
      <x:c r="D98" s="75" t="str">
        <x:f>IF(A98="","",SUMIF('당기원장'!$A$5:$A$1004,A98,'당기원장'!$H$5:$H$1004))</x:f>
      </x:c>
      <x:c r="E98" s="75" t="str">
        <x:f>IF(A98="","",D98-C98)</x:f>
      </x:c>
      <x:c r="F98" s="86" t="str">
        <x:f>IF(A98="","",IF(C98=0,IF(D98=0,0,1),ABS(E98)/ABS(C98)))</x:f>
      </x:c>
      <x:c r="G98" s="73" t="str">
        <x:f>IF(A98="","",IF(AND(C98=0,D98&lt;&gt;0),"신규",IF(AND(C98&lt;&gt;0,D98=0),"소멸",IF(E98=0,"변동없음","금액변동"))))</x:f>
      </x:c>
      <x:c r="H98" s="73" t="str">
        <x:f>IF(A98="","",IF(AND(ABS(E98)&gt;='기준설정'!$B$6,OR(G98="신규",G98="소멸",F98&gt;='기준설정'!$B$5)),"원인분석 대상","일반"))</x:f>
      </x:c>
      <x:c r="I98" s="73" t="str">
        <x:f>IF(A98="","",IF(H98="원인분석 대상","세부원인분석 시트에서 거래별 원인을 검토","-"))</x:f>
      </x:c>
      <x:c r="J98" s="73" t="str">
        <x:f>IF(A98="","",COUNTIFS('전기원장'!$A$5:$A$1004,A98,'전기원장'!$J$5:$J$1004,"확인 필요")+COUNTIFS('당기원장'!$A$5:$A$1004,A98,'당기원장'!$J$5:$J$1004,"확인 필요"))</x:f>
      </x:c>
      <x:c r="K98" s="87" t="str">
        <x:f>IF(A98="","",IF(H98&lt;&gt;"원인분석 대상","",IF(J98&gt;0,"붙임 문서 확인 후 원인 확정 필요","결의서명 기반 원인분류 검토")))</x:f>
      </x:c>
    </x:row>
    <x:row r="99">
      <x:c r="A99" s="73"/>
      <x:c r="B99" s="73" t="str">
        <x:f>IF(A99="","",IFERROR(XLOOKUP(A99,'당기원장'!$A$5:$A$1004,'당기원장'!$B$5:$B$1004),XLOOKUP(A99,'전기원장'!$A$5:$A$1004,'전기원장'!$B$5:$B$1004,"")))</x:f>
      </x:c>
      <x:c r="C99" s="75" t="str">
        <x:f>IF(A99="","",SUMIF('전기원장'!$A$5:$A$1004,A99,'전기원장'!$H$5:$H$1004))</x:f>
      </x:c>
      <x:c r="D99" s="75" t="str">
        <x:f>IF(A99="","",SUMIF('당기원장'!$A$5:$A$1004,A99,'당기원장'!$H$5:$H$1004))</x:f>
      </x:c>
      <x:c r="E99" s="75" t="str">
        <x:f>IF(A99="","",D99-C99)</x:f>
      </x:c>
      <x:c r="F99" s="86" t="str">
        <x:f>IF(A99="","",IF(C99=0,IF(D99=0,0,1),ABS(E99)/ABS(C99)))</x:f>
      </x:c>
      <x:c r="G99" s="73" t="str">
        <x:f>IF(A99="","",IF(AND(C99=0,D99&lt;&gt;0),"신규",IF(AND(C99&lt;&gt;0,D99=0),"소멸",IF(E99=0,"변동없음","금액변동"))))</x:f>
      </x:c>
      <x:c r="H99" s="73" t="str">
        <x:f>IF(A99="","",IF(AND(ABS(E99)&gt;='기준설정'!$B$6,OR(G99="신규",G99="소멸",F99&gt;='기준설정'!$B$5)),"원인분석 대상","일반"))</x:f>
      </x:c>
      <x:c r="I99" s="73" t="str">
        <x:f>IF(A99="","",IF(H99="원인분석 대상","세부원인분석 시트에서 거래별 원인을 검토","-"))</x:f>
      </x:c>
      <x:c r="J99" s="73" t="str">
        <x:f>IF(A99="","",COUNTIFS('전기원장'!$A$5:$A$1004,A99,'전기원장'!$J$5:$J$1004,"확인 필요")+COUNTIFS('당기원장'!$A$5:$A$1004,A99,'당기원장'!$J$5:$J$1004,"확인 필요"))</x:f>
      </x:c>
      <x:c r="K99" s="87" t="str">
        <x:f>IF(A99="","",IF(H99&lt;&gt;"원인분석 대상","",IF(J99&gt;0,"붙임 문서 확인 후 원인 확정 필요","결의서명 기반 원인분류 검토")))</x:f>
      </x:c>
    </x:row>
    <x:row r="100">
      <x:c r="A100" s="73"/>
      <x:c r="B100" s="73" t="str">
        <x:f>IF(A100="","",IFERROR(XLOOKUP(A100,'당기원장'!$A$5:$A$1004,'당기원장'!$B$5:$B$1004),XLOOKUP(A100,'전기원장'!$A$5:$A$1004,'전기원장'!$B$5:$B$1004,"")))</x:f>
      </x:c>
      <x:c r="C100" s="75" t="str">
        <x:f>IF(A100="","",SUMIF('전기원장'!$A$5:$A$1004,A100,'전기원장'!$H$5:$H$1004))</x:f>
      </x:c>
      <x:c r="D100" s="75" t="str">
        <x:f>IF(A100="","",SUMIF('당기원장'!$A$5:$A$1004,A100,'당기원장'!$H$5:$H$1004))</x:f>
      </x:c>
      <x:c r="E100" s="75" t="str">
        <x:f>IF(A100="","",D100-C100)</x:f>
      </x:c>
      <x:c r="F100" s="86" t="str">
        <x:f>IF(A100="","",IF(C100=0,IF(D100=0,0,1),ABS(E100)/ABS(C100)))</x:f>
      </x:c>
      <x:c r="G100" s="73" t="str">
        <x:f>IF(A100="","",IF(AND(C100=0,D100&lt;&gt;0),"신규",IF(AND(C100&lt;&gt;0,D100=0),"소멸",IF(E100=0,"변동없음","금액변동"))))</x:f>
      </x:c>
      <x:c r="H100" s="73" t="str">
        <x:f>IF(A100="","",IF(AND(ABS(E100)&gt;='기준설정'!$B$6,OR(G100="신규",G100="소멸",F100&gt;='기준설정'!$B$5)),"원인분석 대상","일반"))</x:f>
      </x:c>
      <x:c r="I100" s="73" t="str">
        <x:f>IF(A100="","",IF(H100="원인분석 대상","세부원인분석 시트에서 거래별 원인을 검토","-"))</x:f>
      </x:c>
      <x:c r="J100" s="73" t="str">
        <x:f>IF(A100="","",COUNTIFS('전기원장'!$A$5:$A$1004,A100,'전기원장'!$J$5:$J$1004,"확인 필요")+COUNTIFS('당기원장'!$A$5:$A$1004,A100,'당기원장'!$J$5:$J$1004,"확인 필요"))</x:f>
      </x:c>
      <x:c r="K100" s="87" t="str">
        <x:f>IF(A100="","",IF(H100&lt;&gt;"원인분석 대상","",IF(J100&gt;0,"붙임 문서 확인 후 원인 확정 필요","결의서명 기반 원인분류 검토")))</x:f>
      </x:c>
    </x:row>
    <x:row r="101">
      <x:c r="A101" s="73"/>
      <x:c r="B101" s="73" t="str">
        <x:f>IF(A101="","",IFERROR(XLOOKUP(A101,'당기원장'!$A$5:$A$1004,'당기원장'!$B$5:$B$1004),XLOOKUP(A101,'전기원장'!$A$5:$A$1004,'전기원장'!$B$5:$B$1004,"")))</x:f>
      </x:c>
      <x:c r="C101" s="75" t="str">
        <x:f>IF(A101="","",SUMIF('전기원장'!$A$5:$A$1004,A101,'전기원장'!$H$5:$H$1004))</x:f>
      </x:c>
      <x:c r="D101" s="75" t="str">
        <x:f>IF(A101="","",SUMIF('당기원장'!$A$5:$A$1004,A101,'당기원장'!$H$5:$H$1004))</x:f>
      </x:c>
      <x:c r="E101" s="75" t="str">
        <x:f>IF(A101="","",D101-C101)</x:f>
      </x:c>
      <x:c r="F101" s="86" t="str">
        <x:f>IF(A101="","",IF(C101=0,IF(D101=0,0,1),ABS(E101)/ABS(C101)))</x:f>
      </x:c>
      <x:c r="G101" s="73" t="str">
        <x:f>IF(A101="","",IF(AND(C101=0,D101&lt;&gt;0),"신규",IF(AND(C101&lt;&gt;0,D101=0),"소멸",IF(E101=0,"변동없음","금액변동"))))</x:f>
      </x:c>
      <x:c r="H101" s="73" t="str">
        <x:f>IF(A101="","",IF(AND(ABS(E101)&gt;='기준설정'!$B$6,OR(G101="신규",G101="소멸",F101&gt;='기준설정'!$B$5)),"원인분석 대상","일반"))</x:f>
      </x:c>
      <x:c r="I101" s="73" t="str">
        <x:f>IF(A101="","",IF(H101="원인분석 대상","세부원인분석 시트에서 거래별 원인을 검토","-"))</x:f>
      </x:c>
      <x:c r="J101" s="73" t="str">
        <x:f>IF(A101="","",COUNTIFS('전기원장'!$A$5:$A$1004,A101,'전기원장'!$J$5:$J$1004,"확인 필요")+COUNTIFS('당기원장'!$A$5:$A$1004,A101,'당기원장'!$J$5:$J$1004,"확인 필요"))</x:f>
      </x:c>
      <x:c r="K101" s="87" t="str">
        <x:f>IF(A101="","",IF(H101&lt;&gt;"원인분석 대상","",IF(J101&gt;0,"붙임 문서 확인 후 원인 확정 필요","결의서명 기반 원인분류 검토")))</x:f>
      </x:c>
    </x:row>
    <x:row r="102">
      <x:c r="A102" s="73"/>
      <x:c r="B102" s="73" t="str">
        <x:f>IF(A102="","",IFERROR(XLOOKUP(A102,'당기원장'!$A$5:$A$1004,'당기원장'!$B$5:$B$1004),XLOOKUP(A102,'전기원장'!$A$5:$A$1004,'전기원장'!$B$5:$B$1004,"")))</x:f>
      </x:c>
      <x:c r="C102" s="75" t="str">
        <x:f>IF(A102="","",SUMIF('전기원장'!$A$5:$A$1004,A102,'전기원장'!$H$5:$H$1004))</x:f>
      </x:c>
      <x:c r="D102" s="75" t="str">
        <x:f>IF(A102="","",SUMIF('당기원장'!$A$5:$A$1004,A102,'당기원장'!$H$5:$H$1004))</x:f>
      </x:c>
      <x:c r="E102" s="75" t="str">
        <x:f>IF(A102="","",D102-C102)</x:f>
      </x:c>
      <x:c r="F102" s="86" t="str">
        <x:f>IF(A102="","",IF(C102=0,IF(D102=0,0,1),ABS(E102)/ABS(C102)))</x:f>
      </x:c>
      <x:c r="G102" s="73" t="str">
        <x:f>IF(A102="","",IF(AND(C102=0,D102&lt;&gt;0),"신규",IF(AND(C102&lt;&gt;0,D102=0),"소멸",IF(E102=0,"변동없음","금액변동"))))</x:f>
      </x:c>
      <x:c r="H102" s="73" t="str">
        <x:f>IF(A102="","",IF(AND(ABS(E102)&gt;='기준설정'!$B$6,OR(G102="신규",G102="소멸",F102&gt;='기준설정'!$B$5)),"원인분석 대상","일반"))</x:f>
      </x:c>
      <x:c r="I102" s="73" t="str">
        <x:f>IF(A102="","",IF(H102="원인분석 대상","세부원인분석 시트에서 거래별 원인을 검토","-"))</x:f>
      </x:c>
      <x:c r="J102" s="73" t="str">
        <x:f>IF(A102="","",COUNTIFS('전기원장'!$A$5:$A$1004,A102,'전기원장'!$J$5:$J$1004,"확인 필요")+COUNTIFS('당기원장'!$A$5:$A$1004,A102,'당기원장'!$J$5:$J$1004,"확인 필요"))</x:f>
      </x:c>
      <x:c r="K102" s="87" t="str">
        <x:f>IF(A102="","",IF(H102&lt;&gt;"원인분석 대상","",IF(J102&gt;0,"붙임 문서 확인 후 원인 확정 필요","결의서명 기반 원인분류 검토")))</x:f>
      </x:c>
    </x:row>
    <x:row r="103">
      <x:c r="A103" s="73"/>
      <x:c r="B103" s="73" t="str">
        <x:f>IF(A103="","",IFERROR(XLOOKUP(A103,'당기원장'!$A$5:$A$1004,'당기원장'!$B$5:$B$1004),XLOOKUP(A103,'전기원장'!$A$5:$A$1004,'전기원장'!$B$5:$B$1004,"")))</x:f>
      </x:c>
      <x:c r="C103" s="75" t="str">
        <x:f>IF(A103="","",SUMIF('전기원장'!$A$5:$A$1004,A103,'전기원장'!$H$5:$H$1004))</x:f>
      </x:c>
      <x:c r="D103" s="75" t="str">
        <x:f>IF(A103="","",SUMIF('당기원장'!$A$5:$A$1004,A103,'당기원장'!$H$5:$H$1004))</x:f>
      </x:c>
      <x:c r="E103" s="75" t="str">
        <x:f>IF(A103="","",D103-C103)</x:f>
      </x:c>
      <x:c r="F103" s="86" t="str">
        <x:f>IF(A103="","",IF(C103=0,IF(D103=0,0,1),ABS(E103)/ABS(C103)))</x:f>
      </x:c>
      <x:c r="G103" s="73" t="str">
        <x:f>IF(A103="","",IF(AND(C103=0,D103&lt;&gt;0),"신규",IF(AND(C103&lt;&gt;0,D103=0),"소멸",IF(E103=0,"변동없음","금액변동"))))</x:f>
      </x:c>
      <x:c r="H103" s="73" t="str">
        <x:f>IF(A103="","",IF(AND(ABS(E103)&gt;='기준설정'!$B$6,OR(G103="신규",G103="소멸",F103&gt;='기준설정'!$B$5)),"원인분석 대상","일반"))</x:f>
      </x:c>
      <x:c r="I103" s="73" t="str">
        <x:f>IF(A103="","",IF(H103="원인분석 대상","세부원인분석 시트에서 거래별 원인을 검토","-"))</x:f>
      </x:c>
      <x:c r="J103" s="73" t="str">
        <x:f>IF(A103="","",COUNTIFS('전기원장'!$A$5:$A$1004,A103,'전기원장'!$J$5:$J$1004,"확인 필요")+COUNTIFS('당기원장'!$A$5:$A$1004,A103,'당기원장'!$J$5:$J$1004,"확인 필요"))</x:f>
      </x:c>
      <x:c r="K103" s="87" t="str">
        <x:f>IF(A103="","",IF(H103&lt;&gt;"원인분석 대상","",IF(J103&gt;0,"붙임 문서 확인 후 원인 확정 필요","결의서명 기반 원인분류 검토")))</x:f>
      </x:c>
    </x:row>
    <x:row r="104">
      <x:c r="A104" s="73"/>
      <x:c r="B104" s="73" t="str">
        <x:f>IF(A104="","",IFERROR(XLOOKUP(A104,'당기원장'!$A$5:$A$1004,'당기원장'!$B$5:$B$1004),XLOOKUP(A104,'전기원장'!$A$5:$A$1004,'전기원장'!$B$5:$B$1004,"")))</x:f>
      </x:c>
      <x:c r="C104" s="75" t="str">
        <x:f>IF(A104="","",SUMIF('전기원장'!$A$5:$A$1004,A104,'전기원장'!$H$5:$H$1004))</x:f>
      </x:c>
      <x:c r="D104" s="75" t="str">
        <x:f>IF(A104="","",SUMIF('당기원장'!$A$5:$A$1004,A104,'당기원장'!$H$5:$H$1004))</x:f>
      </x:c>
      <x:c r="E104" s="75" t="str">
        <x:f>IF(A104="","",D104-C104)</x:f>
      </x:c>
      <x:c r="F104" s="86" t="str">
        <x:f>IF(A104="","",IF(C104=0,IF(D104=0,0,1),ABS(E104)/ABS(C104)))</x:f>
      </x:c>
      <x:c r="G104" s="73" t="str">
        <x:f>IF(A104="","",IF(AND(C104=0,D104&lt;&gt;0),"신규",IF(AND(C104&lt;&gt;0,D104=0),"소멸",IF(E104=0,"변동없음","금액변동"))))</x:f>
      </x:c>
      <x:c r="H104" s="73" t="str">
        <x:f>IF(A104="","",IF(AND(ABS(E104)&gt;='기준설정'!$B$6,OR(G104="신규",G104="소멸",F104&gt;='기준설정'!$B$5)),"원인분석 대상","일반"))</x:f>
      </x:c>
      <x:c r="I104" s="73" t="str">
        <x:f>IF(A104="","",IF(H104="원인분석 대상","세부원인분석 시트에서 거래별 원인을 검토","-"))</x:f>
      </x:c>
      <x:c r="J104" s="73" t="str">
        <x:f>IF(A104="","",COUNTIFS('전기원장'!$A$5:$A$1004,A104,'전기원장'!$J$5:$J$1004,"확인 필요")+COUNTIFS('당기원장'!$A$5:$A$1004,A104,'당기원장'!$J$5:$J$1004,"확인 필요"))</x:f>
      </x:c>
      <x:c r="K104" s="87" t="str">
        <x:f>IF(A104="","",IF(H104&lt;&gt;"원인분석 대상","",IF(J104&gt;0,"붙임 문서 확인 후 원인 확정 필요","결의서명 기반 원인분류 검토")))</x:f>
      </x:c>
    </x:row>
    <x:row r="105">
      <x:c r="A105" s="73"/>
      <x:c r="B105" s="73" t="str">
        <x:f>IF(A105="","",IFERROR(XLOOKUP(A105,'당기원장'!$A$5:$A$1004,'당기원장'!$B$5:$B$1004),XLOOKUP(A105,'전기원장'!$A$5:$A$1004,'전기원장'!$B$5:$B$1004,"")))</x:f>
      </x:c>
      <x:c r="C105" s="75" t="str">
        <x:f>IF(A105="","",SUMIF('전기원장'!$A$5:$A$1004,A105,'전기원장'!$H$5:$H$1004))</x:f>
      </x:c>
      <x:c r="D105" s="75" t="str">
        <x:f>IF(A105="","",SUMIF('당기원장'!$A$5:$A$1004,A105,'당기원장'!$H$5:$H$1004))</x:f>
      </x:c>
      <x:c r="E105" s="75" t="str">
        <x:f>IF(A105="","",D105-C105)</x:f>
      </x:c>
      <x:c r="F105" s="86" t="str">
        <x:f>IF(A105="","",IF(C105=0,IF(D105=0,0,1),ABS(E105)/ABS(C105)))</x:f>
      </x:c>
      <x:c r="G105" s="73" t="str">
        <x:f>IF(A105="","",IF(AND(C105=0,D105&lt;&gt;0),"신규",IF(AND(C105&lt;&gt;0,D105=0),"소멸",IF(E105=0,"변동없음","금액변동"))))</x:f>
      </x:c>
      <x:c r="H105" s="73" t="str">
        <x:f>IF(A105="","",IF(AND(ABS(E105)&gt;='기준설정'!$B$6,OR(G105="신규",G105="소멸",F105&gt;='기준설정'!$B$5)),"원인분석 대상","일반"))</x:f>
      </x:c>
      <x:c r="I105" s="73" t="str">
        <x:f>IF(A105="","",IF(H105="원인분석 대상","세부원인분석 시트에서 거래별 원인을 검토","-"))</x:f>
      </x:c>
      <x:c r="J105" s="73" t="str">
        <x:f>IF(A105="","",COUNTIFS('전기원장'!$A$5:$A$1004,A105,'전기원장'!$J$5:$J$1004,"확인 필요")+COUNTIFS('당기원장'!$A$5:$A$1004,A105,'당기원장'!$J$5:$J$1004,"확인 필요"))</x:f>
      </x:c>
      <x:c r="K105" s="87" t="str">
        <x:f>IF(A105="","",IF(H105&lt;&gt;"원인분석 대상","",IF(J105&gt;0,"붙임 문서 확인 후 원인 확정 필요","결의서명 기반 원인분류 검토")))</x:f>
      </x:c>
    </x:row>
    <x:row r="106">
      <x:c r="A106" s="73"/>
      <x:c r="B106" s="73" t="str">
        <x:f>IF(A106="","",IFERROR(XLOOKUP(A106,'당기원장'!$A$5:$A$1004,'당기원장'!$B$5:$B$1004),XLOOKUP(A106,'전기원장'!$A$5:$A$1004,'전기원장'!$B$5:$B$1004,"")))</x:f>
      </x:c>
      <x:c r="C106" s="75" t="str">
        <x:f>IF(A106="","",SUMIF('전기원장'!$A$5:$A$1004,A106,'전기원장'!$H$5:$H$1004))</x:f>
      </x:c>
      <x:c r="D106" s="75" t="str">
        <x:f>IF(A106="","",SUMIF('당기원장'!$A$5:$A$1004,A106,'당기원장'!$H$5:$H$1004))</x:f>
      </x:c>
      <x:c r="E106" s="75" t="str">
        <x:f>IF(A106="","",D106-C106)</x:f>
      </x:c>
      <x:c r="F106" s="86" t="str">
        <x:f>IF(A106="","",IF(C106=0,IF(D106=0,0,1),ABS(E106)/ABS(C106)))</x:f>
      </x:c>
      <x:c r="G106" s="73" t="str">
        <x:f>IF(A106="","",IF(AND(C106=0,D106&lt;&gt;0),"신규",IF(AND(C106&lt;&gt;0,D106=0),"소멸",IF(E106=0,"변동없음","금액변동"))))</x:f>
      </x:c>
      <x:c r="H106" s="73" t="str">
        <x:f>IF(A106="","",IF(AND(ABS(E106)&gt;='기준설정'!$B$6,OR(G106="신규",G106="소멸",F106&gt;='기준설정'!$B$5)),"원인분석 대상","일반"))</x:f>
      </x:c>
      <x:c r="I106" s="73" t="str">
        <x:f>IF(A106="","",IF(H106="원인분석 대상","세부원인분석 시트에서 거래별 원인을 검토","-"))</x:f>
      </x:c>
      <x:c r="J106" s="73" t="str">
        <x:f>IF(A106="","",COUNTIFS('전기원장'!$A$5:$A$1004,A106,'전기원장'!$J$5:$J$1004,"확인 필요")+COUNTIFS('당기원장'!$A$5:$A$1004,A106,'당기원장'!$J$5:$J$1004,"확인 필요"))</x:f>
      </x:c>
      <x:c r="K106" s="87" t="str">
        <x:f>IF(A106="","",IF(H106&lt;&gt;"원인분석 대상","",IF(J106&gt;0,"붙임 문서 확인 후 원인 확정 필요","결의서명 기반 원인분류 검토")))</x:f>
      </x:c>
    </x:row>
    <x:row r="107">
      <x:c r="A107" s="73"/>
      <x:c r="B107" s="73" t="str">
        <x:f>IF(A107="","",IFERROR(XLOOKUP(A107,'당기원장'!$A$5:$A$1004,'당기원장'!$B$5:$B$1004),XLOOKUP(A107,'전기원장'!$A$5:$A$1004,'전기원장'!$B$5:$B$1004,"")))</x:f>
      </x:c>
      <x:c r="C107" s="75" t="str">
        <x:f>IF(A107="","",SUMIF('전기원장'!$A$5:$A$1004,A107,'전기원장'!$H$5:$H$1004))</x:f>
      </x:c>
      <x:c r="D107" s="75" t="str">
        <x:f>IF(A107="","",SUMIF('당기원장'!$A$5:$A$1004,A107,'당기원장'!$H$5:$H$1004))</x:f>
      </x:c>
      <x:c r="E107" s="75" t="str">
        <x:f>IF(A107="","",D107-C107)</x:f>
      </x:c>
      <x:c r="F107" s="86" t="str">
        <x:f>IF(A107="","",IF(C107=0,IF(D107=0,0,1),ABS(E107)/ABS(C107)))</x:f>
      </x:c>
      <x:c r="G107" s="73" t="str">
        <x:f>IF(A107="","",IF(AND(C107=0,D107&lt;&gt;0),"신규",IF(AND(C107&lt;&gt;0,D107=0),"소멸",IF(E107=0,"변동없음","금액변동"))))</x:f>
      </x:c>
      <x:c r="H107" s="73" t="str">
        <x:f>IF(A107="","",IF(AND(ABS(E107)&gt;='기준설정'!$B$6,OR(G107="신규",G107="소멸",F107&gt;='기준설정'!$B$5)),"원인분석 대상","일반"))</x:f>
      </x:c>
      <x:c r="I107" s="73" t="str">
        <x:f>IF(A107="","",IF(H107="원인분석 대상","세부원인분석 시트에서 거래별 원인을 검토","-"))</x:f>
      </x:c>
      <x:c r="J107" s="73" t="str">
        <x:f>IF(A107="","",COUNTIFS('전기원장'!$A$5:$A$1004,A107,'전기원장'!$J$5:$J$1004,"확인 필요")+COUNTIFS('당기원장'!$A$5:$A$1004,A107,'당기원장'!$J$5:$J$1004,"확인 필요"))</x:f>
      </x:c>
      <x:c r="K107" s="87" t="str">
        <x:f>IF(A107="","",IF(H107&lt;&gt;"원인분석 대상","",IF(J107&gt;0,"붙임 문서 확인 후 원인 확정 필요","결의서명 기반 원인분류 검토")))</x:f>
      </x:c>
    </x:row>
    <x:row r="108">
      <x:c r="A108" s="73"/>
      <x:c r="B108" s="73" t="str">
        <x:f>IF(A108="","",IFERROR(XLOOKUP(A108,'당기원장'!$A$5:$A$1004,'당기원장'!$B$5:$B$1004),XLOOKUP(A108,'전기원장'!$A$5:$A$1004,'전기원장'!$B$5:$B$1004,"")))</x:f>
      </x:c>
      <x:c r="C108" s="75" t="str">
        <x:f>IF(A108="","",SUMIF('전기원장'!$A$5:$A$1004,A108,'전기원장'!$H$5:$H$1004))</x:f>
      </x:c>
      <x:c r="D108" s="75" t="str">
        <x:f>IF(A108="","",SUMIF('당기원장'!$A$5:$A$1004,A108,'당기원장'!$H$5:$H$1004))</x:f>
      </x:c>
      <x:c r="E108" s="75" t="str">
        <x:f>IF(A108="","",D108-C108)</x:f>
      </x:c>
      <x:c r="F108" s="86" t="str">
        <x:f>IF(A108="","",IF(C108=0,IF(D108=0,0,1),ABS(E108)/ABS(C108)))</x:f>
      </x:c>
      <x:c r="G108" s="73" t="str">
        <x:f>IF(A108="","",IF(AND(C108=0,D108&lt;&gt;0),"신규",IF(AND(C108&lt;&gt;0,D108=0),"소멸",IF(E108=0,"변동없음","금액변동"))))</x:f>
      </x:c>
      <x:c r="H108" s="73" t="str">
        <x:f>IF(A108="","",IF(AND(ABS(E108)&gt;='기준설정'!$B$6,OR(G108="신규",G108="소멸",F108&gt;='기준설정'!$B$5)),"원인분석 대상","일반"))</x:f>
      </x:c>
      <x:c r="I108" s="73" t="str">
        <x:f>IF(A108="","",IF(H108="원인분석 대상","세부원인분석 시트에서 거래별 원인을 검토","-"))</x:f>
      </x:c>
      <x:c r="J108" s="73" t="str">
        <x:f>IF(A108="","",COUNTIFS('전기원장'!$A$5:$A$1004,A108,'전기원장'!$J$5:$J$1004,"확인 필요")+COUNTIFS('당기원장'!$A$5:$A$1004,A108,'당기원장'!$J$5:$J$1004,"확인 필요"))</x:f>
      </x:c>
      <x:c r="K108" s="87" t="str">
        <x:f>IF(A108="","",IF(H108&lt;&gt;"원인분석 대상","",IF(J108&gt;0,"붙임 문서 확인 후 원인 확정 필요","결의서명 기반 원인분류 검토")))</x:f>
      </x:c>
    </x:row>
    <x:row r="109">
      <x:c r="A109" s="73"/>
      <x:c r="B109" s="73" t="str">
        <x:f>IF(A109="","",IFERROR(XLOOKUP(A109,'당기원장'!$A$5:$A$1004,'당기원장'!$B$5:$B$1004),XLOOKUP(A109,'전기원장'!$A$5:$A$1004,'전기원장'!$B$5:$B$1004,"")))</x:f>
      </x:c>
      <x:c r="C109" s="75" t="str">
        <x:f>IF(A109="","",SUMIF('전기원장'!$A$5:$A$1004,A109,'전기원장'!$H$5:$H$1004))</x:f>
      </x:c>
      <x:c r="D109" s="75" t="str">
        <x:f>IF(A109="","",SUMIF('당기원장'!$A$5:$A$1004,A109,'당기원장'!$H$5:$H$1004))</x:f>
      </x:c>
      <x:c r="E109" s="75" t="str">
        <x:f>IF(A109="","",D109-C109)</x:f>
      </x:c>
      <x:c r="F109" s="86" t="str">
        <x:f>IF(A109="","",IF(C109=0,IF(D109=0,0,1),ABS(E109)/ABS(C109)))</x:f>
      </x:c>
      <x:c r="G109" s="73" t="str">
        <x:f>IF(A109="","",IF(AND(C109=0,D109&lt;&gt;0),"신규",IF(AND(C109&lt;&gt;0,D109=0),"소멸",IF(E109=0,"변동없음","금액변동"))))</x:f>
      </x:c>
      <x:c r="H109" s="73" t="str">
        <x:f>IF(A109="","",IF(AND(ABS(E109)&gt;='기준설정'!$B$6,OR(G109="신규",G109="소멸",F109&gt;='기준설정'!$B$5)),"원인분석 대상","일반"))</x:f>
      </x:c>
      <x:c r="I109" s="73" t="str">
        <x:f>IF(A109="","",IF(H109="원인분석 대상","세부원인분석 시트에서 거래별 원인을 검토","-"))</x:f>
      </x:c>
      <x:c r="J109" s="73" t="str">
        <x:f>IF(A109="","",COUNTIFS('전기원장'!$A$5:$A$1004,A109,'전기원장'!$J$5:$J$1004,"확인 필요")+COUNTIFS('당기원장'!$A$5:$A$1004,A109,'당기원장'!$J$5:$J$1004,"확인 필요"))</x:f>
      </x:c>
      <x:c r="K109" s="87" t="str">
        <x:f>IF(A109="","",IF(H109&lt;&gt;"원인분석 대상","",IF(J109&gt;0,"붙임 문서 확인 후 원인 확정 필요","결의서명 기반 원인분류 검토")))</x:f>
      </x:c>
    </x:row>
    <x:row r="110">
      <x:c r="A110" s="73"/>
      <x:c r="B110" s="73" t="str">
        <x:f>IF(A110="","",IFERROR(XLOOKUP(A110,'당기원장'!$A$5:$A$1004,'당기원장'!$B$5:$B$1004),XLOOKUP(A110,'전기원장'!$A$5:$A$1004,'전기원장'!$B$5:$B$1004,"")))</x:f>
      </x:c>
      <x:c r="C110" s="75" t="str">
        <x:f>IF(A110="","",SUMIF('전기원장'!$A$5:$A$1004,A110,'전기원장'!$H$5:$H$1004))</x:f>
      </x:c>
      <x:c r="D110" s="75" t="str">
        <x:f>IF(A110="","",SUMIF('당기원장'!$A$5:$A$1004,A110,'당기원장'!$H$5:$H$1004))</x:f>
      </x:c>
      <x:c r="E110" s="75" t="str">
        <x:f>IF(A110="","",D110-C110)</x:f>
      </x:c>
      <x:c r="F110" s="86" t="str">
        <x:f>IF(A110="","",IF(C110=0,IF(D110=0,0,1),ABS(E110)/ABS(C110)))</x:f>
      </x:c>
      <x:c r="G110" s="73" t="str">
        <x:f>IF(A110="","",IF(AND(C110=0,D110&lt;&gt;0),"신규",IF(AND(C110&lt;&gt;0,D110=0),"소멸",IF(E110=0,"변동없음","금액변동"))))</x:f>
      </x:c>
      <x:c r="H110" s="73" t="str">
        <x:f>IF(A110="","",IF(AND(ABS(E110)&gt;='기준설정'!$B$6,OR(G110="신규",G110="소멸",F110&gt;='기준설정'!$B$5)),"원인분석 대상","일반"))</x:f>
      </x:c>
      <x:c r="I110" s="73" t="str">
        <x:f>IF(A110="","",IF(H110="원인분석 대상","세부원인분석 시트에서 거래별 원인을 검토","-"))</x:f>
      </x:c>
      <x:c r="J110" s="73" t="str">
        <x:f>IF(A110="","",COUNTIFS('전기원장'!$A$5:$A$1004,A110,'전기원장'!$J$5:$J$1004,"확인 필요")+COUNTIFS('당기원장'!$A$5:$A$1004,A110,'당기원장'!$J$5:$J$1004,"확인 필요"))</x:f>
      </x:c>
      <x:c r="K110" s="87" t="str">
        <x:f>IF(A110="","",IF(H110&lt;&gt;"원인분석 대상","",IF(J110&gt;0,"붙임 문서 확인 후 원인 확정 필요","결의서명 기반 원인분류 검토")))</x:f>
      </x:c>
    </x:row>
    <x:row r="111">
      <x:c r="A111" s="73"/>
      <x:c r="B111" s="73" t="str">
        <x:f>IF(A111="","",IFERROR(XLOOKUP(A111,'당기원장'!$A$5:$A$1004,'당기원장'!$B$5:$B$1004),XLOOKUP(A111,'전기원장'!$A$5:$A$1004,'전기원장'!$B$5:$B$1004,"")))</x:f>
      </x:c>
      <x:c r="C111" s="75" t="str">
        <x:f>IF(A111="","",SUMIF('전기원장'!$A$5:$A$1004,A111,'전기원장'!$H$5:$H$1004))</x:f>
      </x:c>
      <x:c r="D111" s="75" t="str">
        <x:f>IF(A111="","",SUMIF('당기원장'!$A$5:$A$1004,A111,'당기원장'!$H$5:$H$1004))</x:f>
      </x:c>
      <x:c r="E111" s="75" t="str">
        <x:f>IF(A111="","",D111-C111)</x:f>
      </x:c>
      <x:c r="F111" s="86" t="str">
        <x:f>IF(A111="","",IF(C111=0,IF(D111=0,0,1),ABS(E111)/ABS(C111)))</x:f>
      </x:c>
      <x:c r="G111" s="73" t="str">
        <x:f>IF(A111="","",IF(AND(C111=0,D111&lt;&gt;0),"신규",IF(AND(C111&lt;&gt;0,D111=0),"소멸",IF(E111=0,"변동없음","금액변동"))))</x:f>
      </x:c>
      <x:c r="H111" s="73" t="str">
        <x:f>IF(A111="","",IF(AND(ABS(E111)&gt;='기준설정'!$B$6,OR(G111="신규",G111="소멸",F111&gt;='기준설정'!$B$5)),"원인분석 대상","일반"))</x:f>
      </x:c>
      <x:c r="I111" s="73" t="str">
        <x:f>IF(A111="","",IF(H111="원인분석 대상","세부원인분석 시트에서 거래별 원인을 검토","-"))</x:f>
      </x:c>
      <x:c r="J111" s="73" t="str">
        <x:f>IF(A111="","",COUNTIFS('전기원장'!$A$5:$A$1004,A111,'전기원장'!$J$5:$J$1004,"확인 필요")+COUNTIFS('당기원장'!$A$5:$A$1004,A111,'당기원장'!$J$5:$J$1004,"확인 필요"))</x:f>
      </x:c>
      <x:c r="K111" s="87" t="str">
        <x:f>IF(A111="","",IF(H111&lt;&gt;"원인분석 대상","",IF(J111&gt;0,"붙임 문서 확인 후 원인 확정 필요","결의서명 기반 원인분류 검토")))</x:f>
      </x:c>
    </x:row>
    <x:row r="112">
      <x:c r="A112" s="73"/>
      <x:c r="B112" s="73" t="str">
        <x:f>IF(A112="","",IFERROR(XLOOKUP(A112,'당기원장'!$A$5:$A$1004,'당기원장'!$B$5:$B$1004),XLOOKUP(A112,'전기원장'!$A$5:$A$1004,'전기원장'!$B$5:$B$1004,"")))</x:f>
      </x:c>
      <x:c r="C112" s="75" t="str">
        <x:f>IF(A112="","",SUMIF('전기원장'!$A$5:$A$1004,A112,'전기원장'!$H$5:$H$1004))</x:f>
      </x:c>
      <x:c r="D112" s="75" t="str">
        <x:f>IF(A112="","",SUMIF('당기원장'!$A$5:$A$1004,A112,'당기원장'!$H$5:$H$1004))</x:f>
      </x:c>
      <x:c r="E112" s="75" t="str">
        <x:f>IF(A112="","",D112-C112)</x:f>
      </x:c>
      <x:c r="F112" s="86" t="str">
        <x:f>IF(A112="","",IF(C112=0,IF(D112=0,0,1),ABS(E112)/ABS(C112)))</x:f>
      </x:c>
      <x:c r="G112" s="73" t="str">
        <x:f>IF(A112="","",IF(AND(C112=0,D112&lt;&gt;0),"신규",IF(AND(C112&lt;&gt;0,D112=0),"소멸",IF(E112=0,"변동없음","금액변동"))))</x:f>
      </x:c>
      <x:c r="H112" s="73" t="str">
        <x:f>IF(A112="","",IF(AND(ABS(E112)&gt;='기준설정'!$B$6,OR(G112="신규",G112="소멸",F112&gt;='기준설정'!$B$5)),"원인분석 대상","일반"))</x:f>
      </x:c>
      <x:c r="I112" s="73" t="str">
        <x:f>IF(A112="","",IF(H112="원인분석 대상","세부원인분석 시트에서 거래별 원인을 검토","-"))</x:f>
      </x:c>
      <x:c r="J112" s="73" t="str">
        <x:f>IF(A112="","",COUNTIFS('전기원장'!$A$5:$A$1004,A112,'전기원장'!$J$5:$J$1004,"확인 필요")+COUNTIFS('당기원장'!$A$5:$A$1004,A112,'당기원장'!$J$5:$J$1004,"확인 필요"))</x:f>
      </x:c>
      <x:c r="K112" s="87" t="str">
        <x:f>IF(A112="","",IF(H112&lt;&gt;"원인분석 대상","",IF(J112&gt;0,"붙임 문서 확인 후 원인 확정 필요","결의서명 기반 원인분류 검토")))</x:f>
      </x:c>
    </x:row>
    <x:row r="113">
      <x:c r="A113" s="73"/>
      <x:c r="B113" s="73" t="str">
        <x:f>IF(A113="","",IFERROR(XLOOKUP(A113,'당기원장'!$A$5:$A$1004,'당기원장'!$B$5:$B$1004),XLOOKUP(A113,'전기원장'!$A$5:$A$1004,'전기원장'!$B$5:$B$1004,"")))</x:f>
      </x:c>
      <x:c r="C113" s="75" t="str">
        <x:f>IF(A113="","",SUMIF('전기원장'!$A$5:$A$1004,A113,'전기원장'!$H$5:$H$1004))</x:f>
      </x:c>
      <x:c r="D113" s="75" t="str">
        <x:f>IF(A113="","",SUMIF('당기원장'!$A$5:$A$1004,A113,'당기원장'!$H$5:$H$1004))</x:f>
      </x:c>
      <x:c r="E113" s="75" t="str">
        <x:f>IF(A113="","",D113-C113)</x:f>
      </x:c>
      <x:c r="F113" s="86" t="str">
        <x:f>IF(A113="","",IF(C113=0,IF(D113=0,0,1),ABS(E113)/ABS(C113)))</x:f>
      </x:c>
      <x:c r="G113" s="73" t="str">
        <x:f>IF(A113="","",IF(AND(C113=0,D113&lt;&gt;0),"신규",IF(AND(C113&lt;&gt;0,D113=0),"소멸",IF(E113=0,"변동없음","금액변동"))))</x:f>
      </x:c>
      <x:c r="H113" s="73" t="str">
        <x:f>IF(A113="","",IF(AND(ABS(E113)&gt;='기준설정'!$B$6,OR(G113="신규",G113="소멸",F113&gt;='기준설정'!$B$5)),"원인분석 대상","일반"))</x:f>
      </x:c>
      <x:c r="I113" s="73" t="str">
        <x:f>IF(A113="","",IF(H113="원인분석 대상","세부원인분석 시트에서 거래별 원인을 검토","-"))</x:f>
      </x:c>
      <x:c r="J113" s="73" t="str">
        <x:f>IF(A113="","",COUNTIFS('전기원장'!$A$5:$A$1004,A113,'전기원장'!$J$5:$J$1004,"확인 필요")+COUNTIFS('당기원장'!$A$5:$A$1004,A113,'당기원장'!$J$5:$J$1004,"확인 필요"))</x:f>
      </x:c>
      <x:c r="K113" s="87" t="str">
        <x:f>IF(A113="","",IF(H113&lt;&gt;"원인분석 대상","",IF(J113&gt;0,"붙임 문서 확인 후 원인 확정 필요","결의서명 기반 원인분류 검토")))</x:f>
      </x:c>
    </x:row>
    <x:row r="114">
      <x:c r="A114" s="73"/>
      <x:c r="B114" s="73" t="str">
        <x:f>IF(A114="","",IFERROR(XLOOKUP(A114,'당기원장'!$A$5:$A$1004,'당기원장'!$B$5:$B$1004),XLOOKUP(A114,'전기원장'!$A$5:$A$1004,'전기원장'!$B$5:$B$1004,"")))</x:f>
      </x:c>
      <x:c r="C114" s="75" t="str">
        <x:f>IF(A114="","",SUMIF('전기원장'!$A$5:$A$1004,A114,'전기원장'!$H$5:$H$1004))</x:f>
      </x:c>
      <x:c r="D114" s="75" t="str">
        <x:f>IF(A114="","",SUMIF('당기원장'!$A$5:$A$1004,A114,'당기원장'!$H$5:$H$1004))</x:f>
      </x:c>
      <x:c r="E114" s="75" t="str">
        <x:f>IF(A114="","",D114-C114)</x:f>
      </x:c>
      <x:c r="F114" s="86" t="str">
        <x:f>IF(A114="","",IF(C114=0,IF(D114=0,0,1),ABS(E114)/ABS(C114)))</x:f>
      </x:c>
      <x:c r="G114" s="73" t="str">
        <x:f>IF(A114="","",IF(AND(C114=0,D114&lt;&gt;0),"신규",IF(AND(C114&lt;&gt;0,D114=0),"소멸",IF(E114=0,"변동없음","금액변동"))))</x:f>
      </x:c>
      <x:c r="H114" s="73" t="str">
        <x:f>IF(A114="","",IF(AND(ABS(E114)&gt;='기준설정'!$B$6,OR(G114="신규",G114="소멸",F114&gt;='기준설정'!$B$5)),"원인분석 대상","일반"))</x:f>
      </x:c>
      <x:c r="I114" s="73" t="str">
        <x:f>IF(A114="","",IF(H114="원인분석 대상","세부원인분석 시트에서 거래별 원인을 검토","-"))</x:f>
      </x:c>
      <x:c r="J114" s="73" t="str">
        <x:f>IF(A114="","",COUNTIFS('전기원장'!$A$5:$A$1004,A114,'전기원장'!$J$5:$J$1004,"확인 필요")+COUNTIFS('당기원장'!$A$5:$A$1004,A114,'당기원장'!$J$5:$J$1004,"확인 필요"))</x:f>
      </x:c>
      <x:c r="K114" s="87" t="str">
        <x:f>IF(A114="","",IF(H114&lt;&gt;"원인분석 대상","",IF(J114&gt;0,"붙임 문서 확인 후 원인 확정 필요","결의서명 기반 원인분류 검토")))</x:f>
      </x:c>
    </x:row>
    <x:row r="115">
      <x:c r="A115" s="73"/>
      <x:c r="B115" s="73" t="str">
        <x:f>IF(A115="","",IFERROR(XLOOKUP(A115,'당기원장'!$A$5:$A$1004,'당기원장'!$B$5:$B$1004),XLOOKUP(A115,'전기원장'!$A$5:$A$1004,'전기원장'!$B$5:$B$1004,"")))</x:f>
      </x:c>
      <x:c r="C115" s="75" t="str">
        <x:f>IF(A115="","",SUMIF('전기원장'!$A$5:$A$1004,A115,'전기원장'!$H$5:$H$1004))</x:f>
      </x:c>
      <x:c r="D115" s="75" t="str">
        <x:f>IF(A115="","",SUMIF('당기원장'!$A$5:$A$1004,A115,'당기원장'!$H$5:$H$1004))</x:f>
      </x:c>
      <x:c r="E115" s="75" t="str">
        <x:f>IF(A115="","",D115-C115)</x:f>
      </x:c>
      <x:c r="F115" s="86" t="str">
        <x:f>IF(A115="","",IF(C115=0,IF(D115=0,0,1),ABS(E115)/ABS(C115)))</x:f>
      </x:c>
      <x:c r="G115" s="73" t="str">
        <x:f>IF(A115="","",IF(AND(C115=0,D115&lt;&gt;0),"신규",IF(AND(C115&lt;&gt;0,D115=0),"소멸",IF(E115=0,"변동없음","금액변동"))))</x:f>
      </x:c>
      <x:c r="H115" s="73" t="str">
        <x:f>IF(A115="","",IF(AND(ABS(E115)&gt;='기준설정'!$B$6,OR(G115="신규",G115="소멸",F115&gt;='기준설정'!$B$5)),"원인분석 대상","일반"))</x:f>
      </x:c>
      <x:c r="I115" s="73" t="str">
        <x:f>IF(A115="","",IF(H115="원인분석 대상","세부원인분석 시트에서 거래별 원인을 검토","-"))</x:f>
      </x:c>
      <x:c r="J115" s="73" t="str">
        <x:f>IF(A115="","",COUNTIFS('전기원장'!$A$5:$A$1004,A115,'전기원장'!$J$5:$J$1004,"확인 필요")+COUNTIFS('당기원장'!$A$5:$A$1004,A115,'당기원장'!$J$5:$J$1004,"확인 필요"))</x:f>
      </x:c>
      <x:c r="K115" s="87" t="str">
        <x:f>IF(A115="","",IF(H115&lt;&gt;"원인분석 대상","",IF(J115&gt;0,"붙임 문서 확인 후 원인 확정 필요","결의서명 기반 원인분류 검토")))</x:f>
      </x:c>
    </x:row>
    <x:row r="116">
      <x:c r="A116" s="73"/>
      <x:c r="B116" s="73" t="str">
        <x:f>IF(A116="","",IFERROR(XLOOKUP(A116,'당기원장'!$A$5:$A$1004,'당기원장'!$B$5:$B$1004),XLOOKUP(A116,'전기원장'!$A$5:$A$1004,'전기원장'!$B$5:$B$1004,"")))</x:f>
      </x:c>
      <x:c r="C116" s="75" t="str">
        <x:f>IF(A116="","",SUMIF('전기원장'!$A$5:$A$1004,A116,'전기원장'!$H$5:$H$1004))</x:f>
      </x:c>
      <x:c r="D116" s="75" t="str">
        <x:f>IF(A116="","",SUMIF('당기원장'!$A$5:$A$1004,A116,'당기원장'!$H$5:$H$1004))</x:f>
      </x:c>
      <x:c r="E116" s="75" t="str">
        <x:f>IF(A116="","",D116-C116)</x:f>
      </x:c>
      <x:c r="F116" s="86" t="str">
        <x:f>IF(A116="","",IF(C116=0,IF(D116=0,0,1),ABS(E116)/ABS(C116)))</x:f>
      </x:c>
      <x:c r="G116" s="73" t="str">
        <x:f>IF(A116="","",IF(AND(C116=0,D116&lt;&gt;0),"신규",IF(AND(C116&lt;&gt;0,D116=0),"소멸",IF(E116=0,"변동없음","금액변동"))))</x:f>
      </x:c>
      <x:c r="H116" s="73" t="str">
        <x:f>IF(A116="","",IF(AND(ABS(E116)&gt;='기준설정'!$B$6,OR(G116="신규",G116="소멸",F116&gt;='기준설정'!$B$5)),"원인분석 대상","일반"))</x:f>
      </x:c>
      <x:c r="I116" s="73" t="str">
        <x:f>IF(A116="","",IF(H116="원인분석 대상","세부원인분석 시트에서 거래별 원인을 검토","-"))</x:f>
      </x:c>
      <x:c r="J116" s="73" t="str">
        <x:f>IF(A116="","",COUNTIFS('전기원장'!$A$5:$A$1004,A116,'전기원장'!$J$5:$J$1004,"확인 필요")+COUNTIFS('당기원장'!$A$5:$A$1004,A116,'당기원장'!$J$5:$J$1004,"확인 필요"))</x:f>
      </x:c>
      <x:c r="K116" s="87" t="str">
        <x:f>IF(A116="","",IF(H116&lt;&gt;"원인분석 대상","",IF(J116&gt;0,"붙임 문서 확인 후 원인 확정 필요","결의서명 기반 원인분류 검토")))</x:f>
      </x:c>
    </x:row>
    <x:row r="117">
      <x:c r="A117" s="73"/>
      <x:c r="B117" s="73" t="str">
        <x:f>IF(A117="","",IFERROR(XLOOKUP(A117,'당기원장'!$A$5:$A$1004,'당기원장'!$B$5:$B$1004),XLOOKUP(A117,'전기원장'!$A$5:$A$1004,'전기원장'!$B$5:$B$1004,"")))</x:f>
      </x:c>
      <x:c r="C117" s="75" t="str">
        <x:f>IF(A117="","",SUMIF('전기원장'!$A$5:$A$1004,A117,'전기원장'!$H$5:$H$1004))</x:f>
      </x:c>
      <x:c r="D117" s="75" t="str">
        <x:f>IF(A117="","",SUMIF('당기원장'!$A$5:$A$1004,A117,'당기원장'!$H$5:$H$1004))</x:f>
      </x:c>
      <x:c r="E117" s="75" t="str">
        <x:f>IF(A117="","",D117-C117)</x:f>
      </x:c>
      <x:c r="F117" s="86" t="str">
        <x:f>IF(A117="","",IF(C117=0,IF(D117=0,0,1),ABS(E117)/ABS(C117)))</x:f>
      </x:c>
      <x:c r="G117" s="73" t="str">
        <x:f>IF(A117="","",IF(AND(C117=0,D117&lt;&gt;0),"신규",IF(AND(C117&lt;&gt;0,D117=0),"소멸",IF(E117=0,"변동없음","금액변동"))))</x:f>
      </x:c>
      <x:c r="H117" s="73" t="str">
        <x:f>IF(A117="","",IF(AND(ABS(E117)&gt;='기준설정'!$B$6,OR(G117="신규",G117="소멸",F117&gt;='기준설정'!$B$5)),"원인분석 대상","일반"))</x:f>
      </x:c>
      <x:c r="I117" s="73" t="str">
        <x:f>IF(A117="","",IF(H117="원인분석 대상","세부원인분석 시트에서 거래별 원인을 검토","-"))</x:f>
      </x:c>
      <x:c r="J117" s="73" t="str">
        <x:f>IF(A117="","",COUNTIFS('전기원장'!$A$5:$A$1004,A117,'전기원장'!$J$5:$J$1004,"확인 필요")+COUNTIFS('당기원장'!$A$5:$A$1004,A117,'당기원장'!$J$5:$J$1004,"확인 필요"))</x:f>
      </x:c>
      <x:c r="K117" s="87" t="str">
        <x:f>IF(A117="","",IF(H117&lt;&gt;"원인분석 대상","",IF(J117&gt;0,"붙임 문서 확인 후 원인 확정 필요","결의서명 기반 원인분류 검토")))</x:f>
      </x:c>
    </x:row>
    <x:row r="118">
      <x:c r="A118" s="73"/>
      <x:c r="B118" s="73" t="str">
        <x:f>IF(A118="","",IFERROR(XLOOKUP(A118,'당기원장'!$A$5:$A$1004,'당기원장'!$B$5:$B$1004),XLOOKUP(A118,'전기원장'!$A$5:$A$1004,'전기원장'!$B$5:$B$1004,"")))</x:f>
      </x:c>
      <x:c r="C118" s="75" t="str">
        <x:f>IF(A118="","",SUMIF('전기원장'!$A$5:$A$1004,A118,'전기원장'!$H$5:$H$1004))</x:f>
      </x:c>
      <x:c r="D118" s="75" t="str">
        <x:f>IF(A118="","",SUMIF('당기원장'!$A$5:$A$1004,A118,'당기원장'!$H$5:$H$1004))</x:f>
      </x:c>
      <x:c r="E118" s="75" t="str">
        <x:f>IF(A118="","",D118-C118)</x:f>
      </x:c>
      <x:c r="F118" s="86" t="str">
        <x:f>IF(A118="","",IF(C118=0,IF(D118=0,0,1),ABS(E118)/ABS(C118)))</x:f>
      </x:c>
      <x:c r="G118" s="73" t="str">
        <x:f>IF(A118="","",IF(AND(C118=0,D118&lt;&gt;0),"신규",IF(AND(C118&lt;&gt;0,D118=0),"소멸",IF(E118=0,"변동없음","금액변동"))))</x:f>
      </x:c>
      <x:c r="H118" s="73" t="str">
        <x:f>IF(A118="","",IF(AND(ABS(E118)&gt;='기준설정'!$B$6,OR(G118="신규",G118="소멸",F118&gt;='기준설정'!$B$5)),"원인분석 대상","일반"))</x:f>
      </x:c>
      <x:c r="I118" s="73" t="str">
        <x:f>IF(A118="","",IF(H118="원인분석 대상","세부원인분석 시트에서 거래별 원인을 검토","-"))</x:f>
      </x:c>
      <x:c r="J118" s="73" t="str">
        <x:f>IF(A118="","",COUNTIFS('전기원장'!$A$5:$A$1004,A118,'전기원장'!$J$5:$J$1004,"확인 필요")+COUNTIFS('당기원장'!$A$5:$A$1004,A118,'당기원장'!$J$5:$J$1004,"확인 필요"))</x:f>
      </x:c>
      <x:c r="K118" s="87" t="str">
        <x:f>IF(A118="","",IF(H118&lt;&gt;"원인분석 대상","",IF(J118&gt;0,"붙임 문서 확인 후 원인 확정 필요","결의서명 기반 원인분류 검토")))</x:f>
      </x:c>
    </x:row>
    <x:row r="119">
      <x:c r="A119" s="73"/>
      <x:c r="B119" s="73" t="str">
        <x:f>IF(A119="","",IFERROR(XLOOKUP(A119,'당기원장'!$A$5:$A$1004,'당기원장'!$B$5:$B$1004),XLOOKUP(A119,'전기원장'!$A$5:$A$1004,'전기원장'!$B$5:$B$1004,"")))</x:f>
      </x:c>
      <x:c r="C119" s="75" t="str">
        <x:f>IF(A119="","",SUMIF('전기원장'!$A$5:$A$1004,A119,'전기원장'!$H$5:$H$1004))</x:f>
      </x:c>
      <x:c r="D119" s="75" t="str">
        <x:f>IF(A119="","",SUMIF('당기원장'!$A$5:$A$1004,A119,'당기원장'!$H$5:$H$1004))</x:f>
      </x:c>
      <x:c r="E119" s="75" t="str">
        <x:f>IF(A119="","",D119-C119)</x:f>
      </x:c>
      <x:c r="F119" s="86" t="str">
        <x:f>IF(A119="","",IF(C119=0,IF(D119=0,0,1),ABS(E119)/ABS(C119)))</x:f>
      </x:c>
      <x:c r="G119" s="73" t="str">
        <x:f>IF(A119="","",IF(AND(C119=0,D119&lt;&gt;0),"신규",IF(AND(C119&lt;&gt;0,D119=0),"소멸",IF(E119=0,"변동없음","금액변동"))))</x:f>
      </x:c>
      <x:c r="H119" s="73" t="str">
        <x:f>IF(A119="","",IF(AND(ABS(E119)&gt;='기준설정'!$B$6,OR(G119="신규",G119="소멸",F119&gt;='기준설정'!$B$5)),"원인분석 대상","일반"))</x:f>
      </x:c>
      <x:c r="I119" s="73" t="str">
        <x:f>IF(A119="","",IF(H119="원인분석 대상","세부원인분석 시트에서 거래별 원인을 검토","-"))</x:f>
      </x:c>
      <x:c r="J119" s="73" t="str">
        <x:f>IF(A119="","",COUNTIFS('전기원장'!$A$5:$A$1004,A119,'전기원장'!$J$5:$J$1004,"확인 필요")+COUNTIFS('당기원장'!$A$5:$A$1004,A119,'당기원장'!$J$5:$J$1004,"확인 필요"))</x:f>
      </x:c>
      <x:c r="K119" s="87" t="str">
        <x:f>IF(A119="","",IF(H119&lt;&gt;"원인분석 대상","",IF(J119&gt;0,"붙임 문서 확인 후 원인 확정 필요","결의서명 기반 원인분류 검토")))</x:f>
      </x:c>
    </x:row>
    <x:row r="120">
      <x:c r="A120" s="73"/>
      <x:c r="B120" s="73" t="str">
        <x:f>IF(A120="","",IFERROR(XLOOKUP(A120,'당기원장'!$A$5:$A$1004,'당기원장'!$B$5:$B$1004),XLOOKUP(A120,'전기원장'!$A$5:$A$1004,'전기원장'!$B$5:$B$1004,"")))</x:f>
      </x:c>
      <x:c r="C120" s="75" t="str">
        <x:f>IF(A120="","",SUMIF('전기원장'!$A$5:$A$1004,A120,'전기원장'!$H$5:$H$1004))</x:f>
      </x:c>
      <x:c r="D120" s="75" t="str">
        <x:f>IF(A120="","",SUMIF('당기원장'!$A$5:$A$1004,A120,'당기원장'!$H$5:$H$1004))</x:f>
      </x:c>
      <x:c r="E120" s="75" t="str">
        <x:f>IF(A120="","",D120-C120)</x:f>
      </x:c>
      <x:c r="F120" s="86" t="str">
        <x:f>IF(A120="","",IF(C120=0,IF(D120=0,0,1),ABS(E120)/ABS(C120)))</x:f>
      </x:c>
      <x:c r="G120" s="73" t="str">
        <x:f>IF(A120="","",IF(AND(C120=0,D120&lt;&gt;0),"신규",IF(AND(C120&lt;&gt;0,D120=0),"소멸",IF(E120=0,"변동없음","금액변동"))))</x:f>
      </x:c>
      <x:c r="H120" s="73" t="str">
        <x:f>IF(A120="","",IF(AND(ABS(E120)&gt;='기준설정'!$B$6,OR(G120="신규",G120="소멸",F120&gt;='기준설정'!$B$5)),"원인분석 대상","일반"))</x:f>
      </x:c>
      <x:c r="I120" s="73" t="str">
        <x:f>IF(A120="","",IF(H120="원인분석 대상","세부원인분석 시트에서 거래별 원인을 검토","-"))</x:f>
      </x:c>
      <x:c r="J120" s="73" t="str">
        <x:f>IF(A120="","",COUNTIFS('전기원장'!$A$5:$A$1004,A120,'전기원장'!$J$5:$J$1004,"확인 필요")+COUNTIFS('당기원장'!$A$5:$A$1004,A120,'당기원장'!$J$5:$J$1004,"확인 필요"))</x:f>
      </x:c>
      <x:c r="K120" s="87" t="str">
        <x:f>IF(A120="","",IF(H120&lt;&gt;"원인분석 대상","",IF(J120&gt;0,"붙임 문서 확인 후 원인 확정 필요","결의서명 기반 원인분류 검토")))</x:f>
      </x:c>
    </x:row>
    <x:row r="121">
      <x:c r="A121" s="73"/>
      <x:c r="B121" s="73" t="str">
        <x:f>IF(A121="","",IFERROR(XLOOKUP(A121,'당기원장'!$A$5:$A$1004,'당기원장'!$B$5:$B$1004),XLOOKUP(A121,'전기원장'!$A$5:$A$1004,'전기원장'!$B$5:$B$1004,"")))</x:f>
      </x:c>
      <x:c r="C121" s="75" t="str">
        <x:f>IF(A121="","",SUMIF('전기원장'!$A$5:$A$1004,A121,'전기원장'!$H$5:$H$1004))</x:f>
      </x:c>
      <x:c r="D121" s="75" t="str">
        <x:f>IF(A121="","",SUMIF('당기원장'!$A$5:$A$1004,A121,'당기원장'!$H$5:$H$1004))</x:f>
      </x:c>
      <x:c r="E121" s="75" t="str">
        <x:f>IF(A121="","",D121-C121)</x:f>
      </x:c>
      <x:c r="F121" s="86" t="str">
        <x:f>IF(A121="","",IF(C121=0,IF(D121=0,0,1),ABS(E121)/ABS(C121)))</x:f>
      </x:c>
      <x:c r="G121" s="73" t="str">
        <x:f>IF(A121="","",IF(AND(C121=0,D121&lt;&gt;0),"신규",IF(AND(C121&lt;&gt;0,D121=0),"소멸",IF(E121=0,"변동없음","금액변동"))))</x:f>
      </x:c>
      <x:c r="H121" s="73" t="str">
        <x:f>IF(A121="","",IF(AND(ABS(E121)&gt;='기준설정'!$B$6,OR(G121="신규",G121="소멸",F121&gt;='기준설정'!$B$5)),"원인분석 대상","일반"))</x:f>
      </x:c>
      <x:c r="I121" s="73" t="str">
        <x:f>IF(A121="","",IF(H121="원인분석 대상","세부원인분석 시트에서 거래별 원인을 검토","-"))</x:f>
      </x:c>
      <x:c r="J121" s="73" t="str">
        <x:f>IF(A121="","",COUNTIFS('전기원장'!$A$5:$A$1004,A121,'전기원장'!$J$5:$J$1004,"확인 필요")+COUNTIFS('당기원장'!$A$5:$A$1004,A121,'당기원장'!$J$5:$J$1004,"확인 필요"))</x:f>
      </x:c>
      <x:c r="K121" s="87" t="str">
        <x:f>IF(A121="","",IF(H121&lt;&gt;"원인분석 대상","",IF(J121&gt;0,"붙임 문서 확인 후 원인 확정 필요","결의서명 기반 원인분류 검토")))</x:f>
      </x:c>
    </x:row>
    <x:row r="122">
      <x:c r="A122" s="73"/>
      <x:c r="B122" s="73" t="str">
        <x:f>IF(A122="","",IFERROR(XLOOKUP(A122,'당기원장'!$A$5:$A$1004,'당기원장'!$B$5:$B$1004),XLOOKUP(A122,'전기원장'!$A$5:$A$1004,'전기원장'!$B$5:$B$1004,"")))</x:f>
      </x:c>
      <x:c r="C122" s="75" t="str">
        <x:f>IF(A122="","",SUMIF('전기원장'!$A$5:$A$1004,A122,'전기원장'!$H$5:$H$1004))</x:f>
      </x:c>
      <x:c r="D122" s="75" t="str">
        <x:f>IF(A122="","",SUMIF('당기원장'!$A$5:$A$1004,A122,'당기원장'!$H$5:$H$1004))</x:f>
      </x:c>
      <x:c r="E122" s="75" t="str">
        <x:f>IF(A122="","",D122-C122)</x:f>
      </x:c>
      <x:c r="F122" s="86" t="str">
        <x:f>IF(A122="","",IF(C122=0,IF(D122=0,0,1),ABS(E122)/ABS(C122)))</x:f>
      </x:c>
      <x:c r="G122" s="73" t="str">
        <x:f>IF(A122="","",IF(AND(C122=0,D122&lt;&gt;0),"신규",IF(AND(C122&lt;&gt;0,D122=0),"소멸",IF(E122=0,"변동없음","금액변동"))))</x:f>
      </x:c>
      <x:c r="H122" s="73" t="str">
        <x:f>IF(A122="","",IF(AND(ABS(E122)&gt;='기준설정'!$B$6,OR(G122="신규",G122="소멸",F122&gt;='기준설정'!$B$5)),"원인분석 대상","일반"))</x:f>
      </x:c>
      <x:c r="I122" s="73" t="str">
        <x:f>IF(A122="","",IF(H122="원인분석 대상","세부원인분석 시트에서 거래별 원인을 검토","-"))</x:f>
      </x:c>
      <x:c r="J122" s="73" t="str">
        <x:f>IF(A122="","",COUNTIFS('전기원장'!$A$5:$A$1004,A122,'전기원장'!$J$5:$J$1004,"확인 필요")+COUNTIFS('당기원장'!$A$5:$A$1004,A122,'당기원장'!$J$5:$J$1004,"확인 필요"))</x:f>
      </x:c>
      <x:c r="K122" s="87" t="str">
        <x:f>IF(A122="","",IF(H122&lt;&gt;"원인분석 대상","",IF(J122&gt;0,"붙임 문서 확인 후 원인 확정 필요","결의서명 기반 원인분류 검토")))</x:f>
      </x:c>
    </x:row>
    <x:row r="123">
      <x:c r="A123" s="73"/>
      <x:c r="B123" s="73" t="str">
        <x:f>IF(A123="","",IFERROR(XLOOKUP(A123,'당기원장'!$A$5:$A$1004,'당기원장'!$B$5:$B$1004),XLOOKUP(A123,'전기원장'!$A$5:$A$1004,'전기원장'!$B$5:$B$1004,"")))</x:f>
      </x:c>
      <x:c r="C123" s="75" t="str">
        <x:f>IF(A123="","",SUMIF('전기원장'!$A$5:$A$1004,A123,'전기원장'!$H$5:$H$1004))</x:f>
      </x:c>
      <x:c r="D123" s="75" t="str">
        <x:f>IF(A123="","",SUMIF('당기원장'!$A$5:$A$1004,A123,'당기원장'!$H$5:$H$1004))</x:f>
      </x:c>
      <x:c r="E123" s="75" t="str">
        <x:f>IF(A123="","",D123-C123)</x:f>
      </x:c>
      <x:c r="F123" s="86" t="str">
        <x:f>IF(A123="","",IF(C123=0,IF(D123=0,0,1),ABS(E123)/ABS(C123)))</x:f>
      </x:c>
      <x:c r="G123" s="73" t="str">
        <x:f>IF(A123="","",IF(AND(C123=0,D123&lt;&gt;0),"신규",IF(AND(C123&lt;&gt;0,D123=0),"소멸",IF(E123=0,"변동없음","금액변동"))))</x:f>
      </x:c>
      <x:c r="H123" s="73" t="str">
        <x:f>IF(A123="","",IF(AND(ABS(E123)&gt;='기준설정'!$B$6,OR(G123="신규",G123="소멸",F123&gt;='기준설정'!$B$5)),"원인분석 대상","일반"))</x:f>
      </x:c>
      <x:c r="I123" s="73" t="str">
        <x:f>IF(A123="","",IF(H123="원인분석 대상","세부원인분석 시트에서 거래별 원인을 검토","-"))</x:f>
      </x:c>
      <x:c r="J123" s="73" t="str">
        <x:f>IF(A123="","",COUNTIFS('전기원장'!$A$5:$A$1004,A123,'전기원장'!$J$5:$J$1004,"확인 필요")+COUNTIFS('당기원장'!$A$5:$A$1004,A123,'당기원장'!$J$5:$J$1004,"확인 필요"))</x:f>
      </x:c>
      <x:c r="K123" s="87" t="str">
        <x:f>IF(A123="","",IF(H123&lt;&gt;"원인분석 대상","",IF(J123&gt;0,"붙임 문서 확인 후 원인 확정 필요","결의서명 기반 원인분류 검토")))</x:f>
      </x:c>
    </x:row>
    <x:row r="124">
      <x:c r="A124" s="73"/>
      <x:c r="B124" s="73" t="str">
        <x:f>IF(A124="","",IFERROR(XLOOKUP(A124,'당기원장'!$A$5:$A$1004,'당기원장'!$B$5:$B$1004),XLOOKUP(A124,'전기원장'!$A$5:$A$1004,'전기원장'!$B$5:$B$1004,"")))</x:f>
      </x:c>
      <x:c r="C124" s="75" t="str">
        <x:f>IF(A124="","",SUMIF('전기원장'!$A$5:$A$1004,A124,'전기원장'!$H$5:$H$1004))</x:f>
      </x:c>
      <x:c r="D124" s="75" t="str">
        <x:f>IF(A124="","",SUMIF('당기원장'!$A$5:$A$1004,A124,'당기원장'!$H$5:$H$1004))</x:f>
      </x:c>
      <x:c r="E124" s="75" t="str">
        <x:f>IF(A124="","",D124-C124)</x:f>
      </x:c>
      <x:c r="F124" s="86" t="str">
        <x:f>IF(A124="","",IF(C124=0,IF(D124=0,0,1),ABS(E124)/ABS(C124)))</x:f>
      </x:c>
      <x:c r="G124" s="73" t="str">
        <x:f>IF(A124="","",IF(AND(C124=0,D124&lt;&gt;0),"신규",IF(AND(C124&lt;&gt;0,D124=0),"소멸",IF(E124=0,"변동없음","금액변동"))))</x:f>
      </x:c>
      <x:c r="H124" s="73" t="str">
        <x:f>IF(A124="","",IF(AND(ABS(E124)&gt;='기준설정'!$B$6,OR(G124="신규",G124="소멸",F124&gt;='기준설정'!$B$5)),"원인분석 대상","일반"))</x:f>
      </x:c>
      <x:c r="I124" s="73" t="str">
        <x:f>IF(A124="","",IF(H124="원인분석 대상","세부원인분석 시트에서 거래별 원인을 검토","-"))</x:f>
      </x:c>
      <x:c r="J124" s="73" t="str">
        <x:f>IF(A124="","",COUNTIFS('전기원장'!$A$5:$A$1004,A124,'전기원장'!$J$5:$J$1004,"확인 필요")+COUNTIFS('당기원장'!$A$5:$A$1004,A124,'당기원장'!$J$5:$J$1004,"확인 필요"))</x:f>
      </x:c>
      <x:c r="K124" s="87" t="str">
        <x:f>IF(A124="","",IF(H124&lt;&gt;"원인분석 대상","",IF(J124&gt;0,"붙임 문서 확인 후 원인 확정 필요","결의서명 기반 원인분류 검토")))</x:f>
      </x:c>
    </x:row>
    <x:row r="125">
      <x:c r="A125" s="73"/>
      <x:c r="B125" s="73" t="str">
        <x:f>IF(A125="","",IFERROR(XLOOKUP(A125,'당기원장'!$A$5:$A$1004,'당기원장'!$B$5:$B$1004),XLOOKUP(A125,'전기원장'!$A$5:$A$1004,'전기원장'!$B$5:$B$1004,"")))</x:f>
      </x:c>
      <x:c r="C125" s="75" t="str">
        <x:f>IF(A125="","",SUMIF('전기원장'!$A$5:$A$1004,A125,'전기원장'!$H$5:$H$1004))</x:f>
      </x:c>
      <x:c r="D125" s="75" t="str">
        <x:f>IF(A125="","",SUMIF('당기원장'!$A$5:$A$1004,A125,'당기원장'!$H$5:$H$1004))</x:f>
      </x:c>
      <x:c r="E125" s="75" t="str">
        <x:f>IF(A125="","",D125-C125)</x:f>
      </x:c>
      <x:c r="F125" s="86" t="str">
        <x:f>IF(A125="","",IF(C125=0,IF(D125=0,0,1),ABS(E125)/ABS(C125)))</x:f>
      </x:c>
      <x:c r="G125" s="73" t="str">
        <x:f>IF(A125="","",IF(AND(C125=0,D125&lt;&gt;0),"신규",IF(AND(C125&lt;&gt;0,D125=0),"소멸",IF(E125=0,"변동없음","금액변동"))))</x:f>
      </x:c>
      <x:c r="H125" s="73" t="str">
        <x:f>IF(A125="","",IF(AND(ABS(E125)&gt;='기준설정'!$B$6,OR(G125="신규",G125="소멸",F125&gt;='기준설정'!$B$5)),"원인분석 대상","일반"))</x:f>
      </x:c>
      <x:c r="I125" s="73" t="str">
        <x:f>IF(A125="","",IF(H125="원인분석 대상","세부원인분석 시트에서 거래별 원인을 검토","-"))</x:f>
      </x:c>
      <x:c r="J125" s="73" t="str">
        <x:f>IF(A125="","",COUNTIFS('전기원장'!$A$5:$A$1004,A125,'전기원장'!$J$5:$J$1004,"확인 필요")+COUNTIFS('당기원장'!$A$5:$A$1004,A125,'당기원장'!$J$5:$J$1004,"확인 필요"))</x:f>
      </x:c>
      <x:c r="K125" s="87" t="str">
        <x:f>IF(A125="","",IF(H125&lt;&gt;"원인분석 대상","",IF(J125&gt;0,"붙임 문서 확인 후 원인 확정 필요","결의서명 기반 원인분류 검토")))</x:f>
      </x:c>
    </x:row>
    <x:row r="126">
      <x:c r="A126" s="73"/>
      <x:c r="B126" s="73" t="str">
        <x:f>IF(A126="","",IFERROR(XLOOKUP(A126,'당기원장'!$A$5:$A$1004,'당기원장'!$B$5:$B$1004),XLOOKUP(A126,'전기원장'!$A$5:$A$1004,'전기원장'!$B$5:$B$1004,"")))</x:f>
      </x:c>
      <x:c r="C126" s="75" t="str">
        <x:f>IF(A126="","",SUMIF('전기원장'!$A$5:$A$1004,A126,'전기원장'!$H$5:$H$1004))</x:f>
      </x:c>
      <x:c r="D126" s="75" t="str">
        <x:f>IF(A126="","",SUMIF('당기원장'!$A$5:$A$1004,A126,'당기원장'!$H$5:$H$1004))</x:f>
      </x:c>
      <x:c r="E126" s="75" t="str">
        <x:f>IF(A126="","",D126-C126)</x:f>
      </x:c>
      <x:c r="F126" s="86" t="str">
        <x:f>IF(A126="","",IF(C126=0,IF(D126=0,0,1),ABS(E126)/ABS(C126)))</x:f>
      </x:c>
      <x:c r="G126" s="73" t="str">
        <x:f>IF(A126="","",IF(AND(C126=0,D126&lt;&gt;0),"신규",IF(AND(C126&lt;&gt;0,D126=0),"소멸",IF(E126=0,"변동없음","금액변동"))))</x:f>
      </x:c>
      <x:c r="H126" s="73" t="str">
        <x:f>IF(A126="","",IF(AND(ABS(E126)&gt;='기준설정'!$B$6,OR(G126="신규",G126="소멸",F126&gt;='기준설정'!$B$5)),"원인분석 대상","일반"))</x:f>
      </x:c>
      <x:c r="I126" s="73" t="str">
        <x:f>IF(A126="","",IF(H126="원인분석 대상","세부원인분석 시트에서 거래별 원인을 검토","-"))</x:f>
      </x:c>
      <x:c r="J126" s="73" t="str">
        <x:f>IF(A126="","",COUNTIFS('전기원장'!$A$5:$A$1004,A126,'전기원장'!$J$5:$J$1004,"확인 필요")+COUNTIFS('당기원장'!$A$5:$A$1004,A126,'당기원장'!$J$5:$J$1004,"확인 필요"))</x:f>
      </x:c>
      <x:c r="K126" s="87" t="str">
        <x:f>IF(A126="","",IF(H126&lt;&gt;"원인분석 대상","",IF(J126&gt;0,"붙임 문서 확인 후 원인 확정 필요","결의서명 기반 원인분류 검토")))</x:f>
      </x:c>
    </x:row>
    <x:row r="127">
      <x:c r="A127" s="73"/>
      <x:c r="B127" s="73" t="str">
        <x:f>IF(A127="","",IFERROR(XLOOKUP(A127,'당기원장'!$A$5:$A$1004,'당기원장'!$B$5:$B$1004),XLOOKUP(A127,'전기원장'!$A$5:$A$1004,'전기원장'!$B$5:$B$1004,"")))</x:f>
      </x:c>
      <x:c r="C127" s="75" t="str">
        <x:f>IF(A127="","",SUMIF('전기원장'!$A$5:$A$1004,A127,'전기원장'!$H$5:$H$1004))</x:f>
      </x:c>
      <x:c r="D127" s="75" t="str">
        <x:f>IF(A127="","",SUMIF('당기원장'!$A$5:$A$1004,A127,'당기원장'!$H$5:$H$1004))</x:f>
      </x:c>
      <x:c r="E127" s="75" t="str">
        <x:f>IF(A127="","",D127-C127)</x:f>
      </x:c>
      <x:c r="F127" s="86" t="str">
        <x:f>IF(A127="","",IF(C127=0,IF(D127=0,0,1),ABS(E127)/ABS(C127)))</x:f>
      </x:c>
      <x:c r="G127" s="73" t="str">
        <x:f>IF(A127="","",IF(AND(C127=0,D127&lt;&gt;0),"신규",IF(AND(C127&lt;&gt;0,D127=0),"소멸",IF(E127=0,"변동없음","금액변동"))))</x:f>
      </x:c>
      <x:c r="H127" s="73" t="str">
        <x:f>IF(A127="","",IF(AND(ABS(E127)&gt;='기준설정'!$B$6,OR(G127="신규",G127="소멸",F127&gt;='기준설정'!$B$5)),"원인분석 대상","일반"))</x:f>
      </x:c>
      <x:c r="I127" s="73" t="str">
        <x:f>IF(A127="","",IF(H127="원인분석 대상","세부원인분석 시트에서 거래별 원인을 검토","-"))</x:f>
      </x:c>
      <x:c r="J127" s="73" t="str">
        <x:f>IF(A127="","",COUNTIFS('전기원장'!$A$5:$A$1004,A127,'전기원장'!$J$5:$J$1004,"확인 필요")+COUNTIFS('당기원장'!$A$5:$A$1004,A127,'당기원장'!$J$5:$J$1004,"확인 필요"))</x:f>
      </x:c>
      <x:c r="K127" s="87" t="str">
        <x:f>IF(A127="","",IF(H127&lt;&gt;"원인분석 대상","",IF(J127&gt;0,"붙임 문서 확인 후 원인 확정 필요","결의서명 기반 원인분류 검토")))</x:f>
      </x:c>
    </x:row>
    <x:row r="128">
      <x:c r="A128" s="73"/>
      <x:c r="B128" s="73" t="str">
        <x:f>IF(A128="","",IFERROR(XLOOKUP(A128,'당기원장'!$A$5:$A$1004,'당기원장'!$B$5:$B$1004),XLOOKUP(A128,'전기원장'!$A$5:$A$1004,'전기원장'!$B$5:$B$1004,"")))</x:f>
      </x:c>
      <x:c r="C128" s="75" t="str">
        <x:f>IF(A128="","",SUMIF('전기원장'!$A$5:$A$1004,A128,'전기원장'!$H$5:$H$1004))</x:f>
      </x:c>
      <x:c r="D128" s="75" t="str">
        <x:f>IF(A128="","",SUMIF('당기원장'!$A$5:$A$1004,A128,'당기원장'!$H$5:$H$1004))</x:f>
      </x:c>
      <x:c r="E128" s="75" t="str">
        <x:f>IF(A128="","",D128-C128)</x:f>
      </x:c>
      <x:c r="F128" s="86" t="str">
        <x:f>IF(A128="","",IF(C128=0,IF(D128=0,0,1),ABS(E128)/ABS(C128)))</x:f>
      </x:c>
      <x:c r="G128" s="73" t="str">
        <x:f>IF(A128="","",IF(AND(C128=0,D128&lt;&gt;0),"신규",IF(AND(C128&lt;&gt;0,D128=0),"소멸",IF(E128=0,"변동없음","금액변동"))))</x:f>
      </x:c>
      <x:c r="H128" s="73" t="str">
        <x:f>IF(A128="","",IF(AND(ABS(E128)&gt;='기준설정'!$B$6,OR(G128="신규",G128="소멸",F128&gt;='기준설정'!$B$5)),"원인분석 대상","일반"))</x:f>
      </x:c>
      <x:c r="I128" s="73" t="str">
        <x:f>IF(A128="","",IF(H128="원인분석 대상","세부원인분석 시트에서 거래별 원인을 검토","-"))</x:f>
      </x:c>
      <x:c r="J128" s="73" t="str">
        <x:f>IF(A128="","",COUNTIFS('전기원장'!$A$5:$A$1004,A128,'전기원장'!$J$5:$J$1004,"확인 필요")+COUNTIFS('당기원장'!$A$5:$A$1004,A128,'당기원장'!$J$5:$J$1004,"확인 필요"))</x:f>
      </x:c>
      <x:c r="K128" s="87" t="str">
        <x:f>IF(A128="","",IF(H128&lt;&gt;"원인분석 대상","",IF(J128&gt;0,"붙임 문서 확인 후 원인 확정 필요","결의서명 기반 원인분류 검토")))</x:f>
      </x:c>
    </x:row>
    <x:row r="129">
      <x:c r="A129" s="73"/>
      <x:c r="B129" s="73" t="str">
        <x:f>IF(A129="","",IFERROR(XLOOKUP(A129,'당기원장'!$A$5:$A$1004,'당기원장'!$B$5:$B$1004),XLOOKUP(A129,'전기원장'!$A$5:$A$1004,'전기원장'!$B$5:$B$1004,"")))</x:f>
      </x:c>
      <x:c r="C129" s="75" t="str">
        <x:f>IF(A129="","",SUMIF('전기원장'!$A$5:$A$1004,A129,'전기원장'!$H$5:$H$1004))</x:f>
      </x:c>
      <x:c r="D129" s="75" t="str">
        <x:f>IF(A129="","",SUMIF('당기원장'!$A$5:$A$1004,A129,'당기원장'!$H$5:$H$1004))</x:f>
      </x:c>
      <x:c r="E129" s="75" t="str">
        <x:f>IF(A129="","",D129-C129)</x:f>
      </x:c>
      <x:c r="F129" s="86" t="str">
        <x:f>IF(A129="","",IF(C129=0,IF(D129=0,0,1),ABS(E129)/ABS(C129)))</x:f>
      </x:c>
      <x:c r="G129" s="73" t="str">
        <x:f>IF(A129="","",IF(AND(C129=0,D129&lt;&gt;0),"신규",IF(AND(C129&lt;&gt;0,D129=0),"소멸",IF(E129=0,"변동없음","금액변동"))))</x:f>
      </x:c>
      <x:c r="H129" s="73" t="str">
        <x:f>IF(A129="","",IF(AND(ABS(E129)&gt;='기준설정'!$B$6,OR(G129="신규",G129="소멸",F129&gt;='기준설정'!$B$5)),"원인분석 대상","일반"))</x:f>
      </x:c>
      <x:c r="I129" s="73" t="str">
        <x:f>IF(A129="","",IF(H129="원인분석 대상","세부원인분석 시트에서 거래별 원인을 검토","-"))</x:f>
      </x:c>
      <x:c r="J129" s="73" t="str">
        <x:f>IF(A129="","",COUNTIFS('전기원장'!$A$5:$A$1004,A129,'전기원장'!$J$5:$J$1004,"확인 필요")+COUNTIFS('당기원장'!$A$5:$A$1004,A129,'당기원장'!$J$5:$J$1004,"확인 필요"))</x:f>
      </x:c>
      <x:c r="K129" s="87" t="str">
        <x:f>IF(A129="","",IF(H129&lt;&gt;"원인분석 대상","",IF(J129&gt;0,"붙임 문서 확인 후 원인 확정 필요","결의서명 기반 원인분류 검토")))</x:f>
      </x:c>
    </x:row>
    <x:row r="130">
      <x:c r="A130" s="73"/>
      <x:c r="B130" s="73" t="str">
        <x:f>IF(A130="","",IFERROR(XLOOKUP(A130,'당기원장'!$A$5:$A$1004,'당기원장'!$B$5:$B$1004),XLOOKUP(A130,'전기원장'!$A$5:$A$1004,'전기원장'!$B$5:$B$1004,"")))</x:f>
      </x:c>
      <x:c r="C130" s="75" t="str">
        <x:f>IF(A130="","",SUMIF('전기원장'!$A$5:$A$1004,A130,'전기원장'!$H$5:$H$1004))</x:f>
      </x:c>
      <x:c r="D130" s="75" t="str">
        <x:f>IF(A130="","",SUMIF('당기원장'!$A$5:$A$1004,A130,'당기원장'!$H$5:$H$1004))</x:f>
      </x:c>
      <x:c r="E130" s="75" t="str">
        <x:f>IF(A130="","",D130-C130)</x:f>
      </x:c>
      <x:c r="F130" s="86" t="str">
        <x:f>IF(A130="","",IF(C130=0,IF(D130=0,0,1),ABS(E130)/ABS(C130)))</x:f>
      </x:c>
      <x:c r="G130" s="73" t="str">
        <x:f>IF(A130="","",IF(AND(C130=0,D130&lt;&gt;0),"신규",IF(AND(C130&lt;&gt;0,D130=0),"소멸",IF(E130=0,"변동없음","금액변동"))))</x:f>
      </x:c>
      <x:c r="H130" s="73" t="str">
        <x:f>IF(A130="","",IF(AND(ABS(E130)&gt;='기준설정'!$B$6,OR(G130="신규",G130="소멸",F130&gt;='기준설정'!$B$5)),"원인분석 대상","일반"))</x:f>
      </x:c>
      <x:c r="I130" s="73" t="str">
        <x:f>IF(A130="","",IF(H130="원인분석 대상","세부원인분석 시트에서 거래별 원인을 검토","-"))</x:f>
      </x:c>
      <x:c r="J130" s="73" t="str">
        <x:f>IF(A130="","",COUNTIFS('전기원장'!$A$5:$A$1004,A130,'전기원장'!$J$5:$J$1004,"확인 필요")+COUNTIFS('당기원장'!$A$5:$A$1004,A130,'당기원장'!$J$5:$J$1004,"확인 필요"))</x:f>
      </x:c>
      <x:c r="K130" s="87" t="str">
        <x:f>IF(A130="","",IF(H130&lt;&gt;"원인분석 대상","",IF(J130&gt;0,"붙임 문서 확인 후 원인 확정 필요","결의서명 기반 원인분류 검토")))</x:f>
      </x:c>
    </x:row>
    <x:row r="131">
      <x:c r="A131" s="73"/>
      <x:c r="B131" s="73" t="str">
        <x:f>IF(A131="","",IFERROR(XLOOKUP(A131,'당기원장'!$A$5:$A$1004,'당기원장'!$B$5:$B$1004),XLOOKUP(A131,'전기원장'!$A$5:$A$1004,'전기원장'!$B$5:$B$1004,"")))</x:f>
      </x:c>
      <x:c r="C131" s="75" t="str">
        <x:f>IF(A131="","",SUMIF('전기원장'!$A$5:$A$1004,A131,'전기원장'!$H$5:$H$1004))</x:f>
      </x:c>
      <x:c r="D131" s="75" t="str">
        <x:f>IF(A131="","",SUMIF('당기원장'!$A$5:$A$1004,A131,'당기원장'!$H$5:$H$1004))</x:f>
      </x:c>
      <x:c r="E131" s="75" t="str">
        <x:f>IF(A131="","",D131-C131)</x:f>
      </x:c>
      <x:c r="F131" s="86" t="str">
        <x:f>IF(A131="","",IF(C131=0,IF(D131=0,0,1),ABS(E131)/ABS(C131)))</x:f>
      </x:c>
      <x:c r="G131" s="73" t="str">
        <x:f>IF(A131="","",IF(AND(C131=0,D131&lt;&gt;0),"신규",IF(AND(C131&lt;&gt;0,D131=0),"소멸",IF(E131=0,"변동없음","금액변동"))))</x:f>
      </x:c>
      <x:c r="H131" s="73" t="str">
        <x:f>IF(A131="","",IF(AND(ABS(E131)&gt;='기준설정'!$B$6,OR(G131="신규",G131="소멸",F131&gt;='기준설정'!$B$5)),"원인분석 대상","일반"))</x:f>
      </x:c>
      <x:c r="I131" s="73" t="str">
        <x:f>IF(A131="","",IF(H131="원인분석 대상","세부원인분석 시트에서 거래별 원인을 검토","-"))</x:f>
      </x:c>
      <x:c r="J131" s="73" t="str">
        <x:f>IF(A131="","",COUNTIFS('전기원장'!$A$5:$A$1004,A131,'전기원장'!$J$5:$J$1004,"확인 필요")+COUNTIFS('당기원장'!$A$5:$A$1004,A131,'당기원장'!$J$5:$J$1004,"확인 필요"))</x:f>
      </x:c>
      <x:c r="K131" s="87" t="str">
        <x:f>IF(A131="","",IF(H131&lt;&gt;"원인분석 대상","",IF(J131&gt;0,"붙임 문서 확인 후 원인 확정 필요","결의서명 기반 원인분류 검토")))</x:f>
      </x:c>
    </x:row>
    <x:row r="132">
      <x:c r="A132" s="73"/>
      <x:c r="B132" s="73" t="str">
        <x:f>IF(A132="","",IFERROR(XLOOKUP(A132,'당기원장'!$A$5:$A$1004,'당기원장'!$B$5:$B$1004),XLOOKUP(A132,'전기원장'!$A$5:$A$1004,'전기원장'!$B$5:$B$1004,"")))</x:f>
      </x:c>
      <x:c r="C132" s="75" t="str">
        <x:f>IF(A132="","",SUMIF('전기원장'!$A$5:$A$1004,A132,'전기원장'!$H$5:$H$1004))</x:f>
      </x:c>
      <x:c r="D132" s="75" t="str">
        <x:f>IF(A132="","",SUMIF('당기원장'!$A$5:$A$1004,A132,'당기원장'!$H$5:$H$1004))</x:f>
      </x:c>
      <x:c r="E132" s="75" t="str">
        <x:f>IF(A132="","",D132-C132)</x:f>
      </x:c>
      <x:c r="F132" s="86" t="str">
        <x:f>IF(A132="","",IF(C132=0,IF(D132=0,0,1),ABS(E132)/ABS(C132)))</x:f>
      </x:c>
      <x:c r="G132" s="73" t="str">
        <x:f>IF(A132="","",IF(AND(C132=0,D132&lt;&gt;0),"신규",IF(AND(C132&lt;&gt;0,D132=0),"소멸",IF(E132=0,"변동없음","금액변동"))))</x:f>
      </x:c>
      <x:c r="H132" s="73" t="str">
        <x:f>IF(A132="","",IF(AND(ABS(E132)&gt;='기준설정'!$B$6,OR(G132="신규",G132="소멸",F132&gt;='기준설정'!$B$5)),"원인분석 대상","일반"))</x:f>
      </x:c>
      <x:c r="I132" s="73" t="str">
        <x:f>IF(A132="","",IF(H132="원인분석 대상","세부원인분석 시트에서 거래별 원인을 검토","-"))</x:f>
      </x:c>
      <x:c r="J132" s="73" t="str">
        <x:f>IF(A132="","",COUNTIFS('전기원장'!$A$5:$A$1004,A132,'전기원장'!$J$5:$J$1004,"확인 필요")+COUNTIFS('당기원장'!$A$5:$A$1004,A132,'당기원장'!$J$5:$J$1004,"확인 필요"))</x:f>
      </x:c>
      <x:c r="K132" s="87" t="str">
        <x:f>IF(A132="","",IF(H132&lt;&gt;"원인분석 대상","",IF(J132&gt;0,"붙임 문서 확인 후 원인 확정 필요","결의서명 기반 원인분류 검토")))</x:f>
      </x:c>
    </x:row>
    <x:row r="133">
      <x:c r="A133" s="73"/>
      <x:c r="B133" s="73" t="str">
        <x:f>IF(A133="","",IFERROR(XLOOKUP(A133,'당기원장'!$A$5:$A$1004,'당기원장'!$B$5:$B$1004),XLOOKUP(A133,'전기원장'!$A$5:$A$1004,'전기원장'!$B$5:$B$1004,"")))</x:f>
      </x:c>
      <x:c r="C133" s="75" t="str">
        <x:f>IF(A133="","",SUMIF('전기원장'!$A$5:$A$1004,A133,'전기원장'!$H$5:$H$1004))</x:f>
      </x:c>
      <x:c r="D133" s="75" t="str">
        <x:f>IF(A133="","",SUMIF('당기원장'!$A$5:$A$1004,A133,'당기원장'!$H$5:$H$1004))</x:f>
      </x:c>
      <x:c r="E133" s="75" t="str">
        <x:f>IF(A133="","",D133-C133)</x:f>
      </x:c>
      <x:c r="F133" s="86" t="str">
        <x:f>IF(A133="","",IF(C133=0,IF(D133=0,0,1),ABS(E133)/ABS(C133)))</x:f>
      </x:c>
      <x:c r="G133" s="73" t="str">
        <x:f>IF(A133="","",IF(AND(C133=0,D133&lt;&gt;0),"신규",IF(AND(C133&lt;&gt;0,D133=0),"소멸",IF(E133=0,"변동없음","금액변동"))))</x:f>
      </x:c>
      <x:c r="H133" s="73" t="str">
        <x:f>IF(A133="","",IF(AND(ABS(E133)&gt;='기준설정'!$B$6,OR(G133="신규",G133="소멸",F133&gt;='기준설정'!$B$5)),"원인분석 대상","일반"))</x:f>
      </x:c>
      <x:c r="I133" s="73" t="str">
        <x:f>IF(A133="","",IF(H133="원인분석 대상","세부원인분석 시트에서 거래별 원인을 검토","-"))</x:f>
      </x:c>
      <x:c r="J133" s="73" t="str">
        <x:f>IF(A133="","",COUNTIFS('전기원장'!$A$5:$A$1004,A133,'전기원장'!$J$5:$J$1004,"확인 필요")+COUNTIFS('당기원장'!$A$5:$A$1004,A133,'당기원장'!$J$5:$J$1004,"확인 필요"))</x:f>
      </x:c>
      <x:c r="K133" s="87" t="str">
        <x:f>IF(A133="","",IF(H133&lt;&gt;"원인분석 대상","",IF(J133&gt;0,"붙임 문서 확인 후 원인 확정 필요","결의서명 기반 원인분류 검토")))</x:f>
      </x:c>
    </x:row>
    <x:row r="134">
      <x:c r="A134" s="73"/>
      <x:c r="B134" s="73" t="str">
        <x:f>IF(A134="","",IFERROR(XLOOKUP(A134,'당기원장'!$A$5:$A$1004,'당기원장'!$B$5:$B$1004),XLOOKUP(A134,'전기원장'!$A$5:$A$1004,'전기원장'!$B$5:$B$1004,"")))</x:f>
      </x:c>
      <x:c r="C134" s="75" t="str">
        <x:f>IF(A134="","",SUMIF('전기원장'!$A$5:$A$1004,A134,'전기원장'!$H$5:$H$1004))</x:f>
      </x:c>
      <x:c r="D134" s="75" t="str">
        <x:f>IF(A134="","",SUMIF('당기원장'!$A$5:$A$1004,A134,'당기원장'!$H$5:$H$1004))</x:f>
      </x:c>
      <x:c r="E134" s="75" t="str">
        <x:f>IF(A134="","",D134-C134)</x:f>
      </x:c>
      <x:c r="F134" s="86" t="str">
        <x:f>IF(A134="","",IF(C134=0,IF(D134=0,0,1),ABS(E134)/ABS(C134)))</x:f>
      </x:c>
      <x:c r="G134" s="73" t="str">
        <x:f>IF(A134="","",IF(AND(C134=0,D134&lt;&gt;0),"신규",IF(AND(C134&lt;&gt;0,D134=0),"소멸",IF(E134=0,"변동없음","금액변동"))))</x:f>
      </x:c>
      <x:c r="H134" s="73" t="str">
        <x:f>IF(A134="","",IF(AND(ABS(E134)&gt;='기준설정'!$B$6,OR(G134="신규",G134="소멸",F134&gt;='기준설정'!$B$5)),"원인분석 대상","일반"))</x:f>
      </x:c>
      <x:c r="I134" s="73" t="str">
        <x:f>IF(A134="","",IF(H134="원인분석 대상","세부원인분석 시트에서 거래별 원인을 검토","-"))</x:f>
      </x:c>
      <x:c r="J134" s="73" t="str">
        <x:f>IF(A134="","",COUNTIFS('전기원장'!$A$5:$A$1004,A134,'전기원장'!$J$5:$J$1004,"확인 필요")+COUNTIFS('당기원장'!$A$5:$A$1004,A134,'당기원장'!$J$5:$J$1004,"확인 필요"))</x:f>
      </x:c>
      <x:c r="K134" s="87" t="str">
        <x:f>IF(A134="","",IF(H134&lt;&gt;"원인분석 대상","",IF(J134&gt;0,"붙임 문서 확인 후 원인 확정 필요","결의서명 기반 원인분류 검토")))</x:f>
      </x:c>
    </x:row>
    <x:row r="135">
      <x:c r="A135" s="73"/>
      <x:c r="B135" s="73" t="str">
        <x:f>IF(A135="","",IFERROR(XLOOKUP(A135,'당기원장'!$A$5:$A$1004,'당기원장'!$B$5:$B$1004),XLOOKUP(A135,'전기원장'!$A$5:$A$1004,'전기원장'!$B$5:$B$1004,"")))</x:f>
      </x:c>
      <x:c r="C135" s="75" t="str">
        <x:f>IF(A135="","",SUMIF('전기원장'!$A$5:$A$1004,A135,'전기원장'!$H$5:$H$1004))</x:f>
      </x:c>
      <x:c r="D135" s="75" t="str">
        <x:f>IF(A135="","",SUMIF('당기원장'!$A$5:$A$1004,A135,'당기원장'!$H$5:$H$1004))</x:f>
      </x:c>
      <x:c r="E135" s="75" t="str">
        <x:f>IF(A135="","",D135-C135)</x:f>
      </x:c>
      <x:c r="F135" s="86" t="str">
        <x:f>IF(A135="","",IF(C135=0,IF(D135=0,0,1),ABS(E135)/ABS(C135)))</x:f>
      </x:c>
      <x:c r="G135" s="73" t="str">
        <x:f>IF(A135="","",IF(AND(C135=0,D135&lt;&gt;0),"신규",IF(AND(C135&lt;&gt;0,D135=0),"소멸",IF(E135=0,"변동없음","금액변동"))))</x:f>
      </x:c>
      <x:c r="H135" s="73" t="str">
        <x:f>IF(A135="","",IF(AND(ABS(E135)&gt;='기준설정'!$B$6,OR(G135="신규",G135="소멸",F135&gt;='기준설정'!$B$5)),"원인분석 대상","일반"))</x:f>
      </x:c>
      <x:c r="I135" s="73" t="str">
        <x:f>IF(A135="","",IF(H135="원인분석 대상","세부원인분석 시트에서 거래별 원인을 검토","-"))</x:f>
      </x:c>
      <x:c r="J135" s="73" t="str">
        <x:f>IF(A135="","",COUNTIFS('전기원장'!$A$5:$A$1004,A135,'전기원장'!$J$5:$J$1004,"확인 필요")+COUNTIFS('당기원장'!$A$5:$A$1004,A135,'당기원장'!$J$5:$J$1004,"확인 필요"))</x:f>
      </x:c>
      <x:c r="K135" s="87" t="str">
        <x:f>IF(A135="","",IF(H135&lt;&gt;"원인분석 대상","",IF(J135&gt;0,"붙임 문서 확인 후 원인 확정 필요","결의서명 기반 원인분류 검토")))</x:f>
      </x:c>
    </x:row>
    <x:row r="136">
      <x:c r="A136" s="73"/>
      <x:c r="B136" s="73" t="str">
        <x:f>IF(A136="","",IFERROR(XLOOKUP(A136,'당기원장'!$A$5:$A$1004,'당기원장'!$B$5:$B$1004),XLOOKUP(A136,'전기원장'!$A$5:$A$1004,'전기원장'!$B$5:$B$1004,"")))</x:f>
      </x:c>
      <x:c r="C136" s="75" t="str">
        <x:f>IF(A136="","",SUMIF('전기원장'!$A$5:$A$1004,A136,'전기원장'!$H$5:$H$1004))</x:f>
      </x:c>
      <x:c r="D136" s="75" t="str">
        <x:f>IF(A136="","",SUMIF('당기원장'!$A$5:$A$1004,A136,'당기원장'!$H$5:$H$1004))</x:f>
      </x:c>
      <x:c r="E136" s="75" t="str">
        <x:f>IF(A136="","",D136-C136)</x:f>
      </x:c>
      <x:c r="F136" s="86" t="str">
        <x:f>IF(A136="","",IF(C136=0,IF(D136=0,0,1),ABS(E136)/ABS(C136)))</x:f>
      </x:c>
      <x:c r="G136" s="73" t="str">
        <x:f>IF(A136="","",IF(AND(C136=0,D136&lt;&gt;0),"신규",IF(AND(C136&lt;&gt;0,D136=0),"소멸",IF(E136=0,"변동없음","금액변동"))))</x:f>
      </x:c>
      <x:c r="H136" s="73" t="str">
        <x:f>IF(A136="","",IF(AND(ABS(E136)&gt;='기준설정'!$B$6,OR(G136="신규",G136="소멸",F136&gt;='기준설정'!$B$5)),"원인분석 대상","일반"))</x:f>
      </x:c>
      <x:c r="I136" s="73" t="str">
        <x:f>IF(A136="","",IF(H136="원인분석 대상","세부원인분석 시트에서 거래별 원인을 검토","-"))</x:f>
      </x:c>
      <x:c r="J136" s="73" t="str">
        <x:f>IF(A136="","",COUNTIFS('전기원장'!$A$5:$A$1004,A136,'전기원장'!$J$5:$J$1004,"확인 필요")+COUNTIFS('당기원장'!$A$5:$A$1004,A136,'당기원장'!$J$5:$J$1004,"확인 필요"))</x:f>
      </x:c>
      <x:c r="K136" s="87" t="str">
        <x:f>IF(A136="","",IF(H136&lt;&gt;"원인분석 대상","",IF(J136&gt;0,"붙임 문서 확인 후 원인 확정 필요","결의서명 기반 원인분류 검토")))</x:f>
      </x:c>
    </x:row>
    <x:row r="137">
      <x:c r="A137" s="73"/>
      <x:c r="B137" s="73" t="str">
        <x:f>IF(A137="","",IFERROR(XLOOKUP(A137,'당기원장'!$A$5:$A$1004,'당기원장'!$B$5:$B$1004),XLOOKUP(A137,'전기원장'!$A$5:$A$1004,'전기원장'!$B$5:$B$1004,"")))</x:f>
      </x:c>
      <x:c r="C137" s="75" t="str">
        <x:f>IF(A137="","",SUMIF('전기원장'!$A$5:$A$1004,A137,'전기원장'!$H$5:$H$1004))</x:f>
      </x:c>
      <x:c r="D137" s="75" t="str">
        <x:f>IF(A137="","",SUMIF('당기원장'!$A$5:$A$1004,A137,'당기원장'!$H$5:$H$1004))</x:f>
      </x:c>
      <x:c r="E137" s="75" t="str">
        <x:f>IF(A137="","",D137-C137)</x:f>
      </x:c>
      <x:c r="F137" s="86" t="str">
        <x:f>IF(A137="","",IF(C137=0,IF(D137=0,0,1),ABS(E137)/ABS(C137)))</x:f>
      </x:c>
      <x:c r="G137" s="73" t="str">
        <x:f>IF(A137="","",IF(AND(C137=0,D137&lt;&gt;0),"신규",IF(AND(C137&lt;&gt;0,D137=0),"소멸",IF(E137=0,"변동없음","금액변동"))))</x:f>
      </x:c>
      <x:c r="H137" s="73" t="str">
        <x:f>IF(A137="","",IF(AND(ABS(E137)&gt;='기준설정'!$B$6,OR(G137="신규",G137="소멸",F137&gt;='기준설정'!$B$5)),"원인분석 대상","일반"))</x:f>
      </x:c>
      <x:c r="I137" s="73" t="str">
        <x:f>IF(A137="","",IF(H137="원인분석 대상","세부원인분석 시트에서 거래별 원인을 검토","-"))</x:f>
      </x:c>
      <x:c r="J137" s="73" t="str">
        <x:f>IF(A137="","",COUNTIFS('전기원장'!$A$5:$A$1004,A137,'전기원장'!$J$5:$J$1004,"확인 필요")+COUNTIFS('당기원장'!$A$5:$A$1004,A137,'당기원장'!$J$5:$J$1004,"확인 필요"))</x:f>
      </x:c>
      <x:c r="K137" s="87" t="str">
        <x:f>IF(A137="","",IF(H137&lt;&gt;"원인분석 대상","",IF(J137&gt;0,"붙임 문서 확인 후 원인 확정 필요","결의서명 기반 원인분류 검토")))</x:f>
      </x:c>
    </x:row>
    <x:row r="138">
      <x:c r="A138" s="73"/>
      <x:c r="B138" s="73" t="str">
        <x:f>IF(A138="","",IFERROR(XLOOKUP(A138,'당기원장'!$A$5:$A$1004,'당기원장'!$B$5:$B$1004),XLOOKUP(A138,'전기원장'!$A$5:$A$1004,'전기원장'!$B$5:$B$1004,"")))</x:f>
      </x:c>
      <x:c r="C138" s="75" t="str">
        <x:f>IF(A138="","",SUMIF('전기원장'!$A$5:$A$1004,A138,'전기원장'!$H$5:$H$1004))</x:f>
      </x:c>
      <x:c r="D138" s="75" t="str">
        <x:f>IF(A138="","",SUMIF('당기원장'!$A$5:$A$1004,A138,'당기원장'!$H$5:$H$1004))</x:f>
      </x:c>
      <x:c r="E138" s="75" t="str">
        <x:f>IF(A138="","",D138-C138)</x:f>
      </x:c>
      <x:c r="F138" s="86" t="str">
        <x:f>IF(A138="","",IF(C138=0,IF(D138=0,0,1),ABS(E138)/ABS(C138)))</x:f>
      </x:c>
      <x:c r="G138" s="73" t="str">
        <x:f>IF(A138="","",IF(AND(C138=0,D138&lt;&gt;0),"신규",IF(AND(C138&lt;&gt;0,D138=0),"소멸",IF(E138=0,"변동없음","금액변동"))))</x:f>
      </x:c>
      <x:c r="H138" s="73" t="str">
        <x:f>IF(A138="","",IF(AND(ABS(E138)&gt;='기준설정'!$B$6,OR(G138="신규",G138="소멸",F138&gt;='기준설정'!$B$5)),"원인분석 대상","일반"))</x:f>
      </x:c>
      <x:c r="I138" s="73" t="str">
        <x:f>IF(A138="","",IF(H138="원인분석 대상","세부원인분석 시트에서 거래별 원인을 검토","-"))</x:f>
      </x:c>
      <x:c r="J138" s="73" t="str">
        <x:f>IF(A138="","",COUNTIFS('전기원장'!$A$5:$A$1004,A138,'전기원장'!$J$5:$J$1004,"확인 필요")+COUNTIFS('당기원장'!$A$5:$A$1004,A138,'당기원장'!$J$5:$J$1004,"확인 필요"))</x:f>
      </x:c>
      <x:c r="K138" s="87" t="str">
        <x:f>IF(A138="","",IF(H138&lt;&gt;"원인분석 대상","",IF(J138&gt;0,"붙임 문서 확인 후 원인 확정 필요","결의서명 기반 원인분류 검토")))</x:f>
      </x:c>
    </x:row>
    <x:row r="139">
      <x:c r="A139" s="73"/>
      <x:c r="B139" s="73" t="str">
        <x:f>IF(A139="","",IFERROR(XLOOKUP(A139,'당기원장'!$A$5:$A$1004,'당기원장'!$B$5:$B$1004),XLOOKUP(A139,'전기원장'!$A$5:$A$1004,'전기원장'!$B$5:$B$1004,"")))</x:f>
      </x:c>
      <x:c r="C139" s="75" t="str">
        <x:f>IF(A139="","",SUMIF('전기원장'!$A$5:$A$1004,A139,'전기원장'!$H$5:$H$1004))</x:f>
      </x:c>
      <x:c r="D139" s="75" t="str">
        <x:f>IF(A139="","",SUMIF('당기원장'!$A$5:$A$1004,A139,'당기원장'!$H$5:$H$1004))</x:f>
      </x:c>
      <x:c r="E139" s="75" t="str">
        <x:f>IF(A139="","",D139-C139)</x:f>
      </x:c>
      <x:c r="F139" s="86" t="str">
        <x:f>IF(A139="","",IF(C139=0,IF(D139=0,0,1),ABS(E139)/ABS(C139)))</x:f>
      </x:c>
      <x:c r="G139" s="73" t="str">
        <x:f>IF(A139="","",IF(AND(C139=0,D139&lt;&gt;0),"신규",IF(AND(C139&lt;&gt;0,D139=0),"소멸",IF(E139=0,"변동없음","금액변동"))))</x:f>
      </x:c>
      <x:c r="H139" s="73" t="str">
        <x:f>IF(A139="","",IF(AND(ABS(E139)&gt;='기준설정'!$B$6,OR(G139="신규",G139="소멸",F139&gt;='기준설정'!$B$5)),"원인분석 대상","일반"))</x:f>
      </x:c>
      <x:c r="I139" s="73" t="str">
        <x:f>IF(A139="","",IF(H139="원인분석 대상","세부원인분석 시트에서 거래별 원인을 검토","-"))</x:f>
      </x:c>
      <x:c r="J139" s="73" t="str">
        <x:f>IF(A139="","",COUNTIFS('전기원장'!$A$5:$A$1004,A139,'전기원장'!$J$5:$J$1004,"확인 필요")+COUNTIFS('당기원장'!$A$5:$A$1004,A139,'당기원장'!$J$5:$J$1004,"확인 필요"))</x:f>
      </x:c>
      <x:c r="K139" s="87" t="str">
        <x:f>IF(A139="","",IF(H139&lt;&gt;"원인분석 대상","",IF(J139&gt;0,"붙임 문서 확인 후 원인 확정 필요","결의서명 기반 원인분류 검토")))</x:f>
      </x:c>
    </x:row>
    <x:row r="140">
      <x:c r="A140" s="73"/>
      <x:c r="B140" s="73" t="str">
        <x:f>IF(A140="","",IFERROR(XLOOKUP(A140,'당기원장'!$A$5:$A$1004,'당기원장'!$B$5:$B$1004),XLOOKUP(A140,'전기원장'!$A$5:$A$1004,'전기원장'!$B$5:$B$1004,"")))</x:f>
      </x:c>
      <x:c r="C140" s="75" t="str">
        <x:f>IF(A140="","",SUMIF('전기원장'!$A$5:$A$1004,A140,'전기원장'!$H$5:$H$1004))</x:f>
      </x:c>
      <x:c r="D140" s="75" t="str">
        <x:f>IF(A140="","",SUMIF('당기원장'!$A$5:$A$1004,A140,'당기원장'!$H$5:$H$1004))</x:f>
      </x:c>
      <x:c r="E140" s="75" t="str">
        <x:f>IF(A140="","",D140-C140)</x:f>
      </x:c>
      <x:c r="F140" s="86" t="str">
        <x:f>IF(A140="","",IF(C140=0,IF(D140=0,0,1),ABS(E140)/ABS(C140)))</x:f>
      </x:c>
      <x:c r="G140" s="73" t="str">
        <x:f>IF(A140="","",IF(AND(C140=0,D140&lt;&gt;0),"신규",IF(AND(C140&lt;&gt;0,D140=0),"소멸",IF(E140=0,"변동없음","금액변동"))))</x:f>
      </x:c>
      <x:c r="H140" s="73" t="str">
        <x:f>IF(A140="","",IF(AND(ABS(E140)&gt;='기준설정'!$B$6,OR(G140="신규",G140="소멸",F140&gt;='기준설정'!$B$5)),"원인분석 대상","일반"))</x:f>
      </x:c>
      <x:c r="I140" s="73" t="str">
        <x:f>IF(A140="","",IF(H140="원인분석 대상","세부원인분석 시트에서 거래별 원인을 검토","-"))</x:f>
      </x:c>
      <x:c r="J140" s="73" t="str">
        <x:f>IF(A140="","",COUNTIFS('전기원장'!$A$5:$A$1004,A140,'전기원장'!$J$5:$J$1004,"확인 필요")+COUNTIFS('당기원장'!$A$5:$A$1004,A140,'당기원장'!$J$5:$J$1004,"확인 필요"))</x:f>
      </x:c>
      <x:c r="K140" s="87" t="str">
        <x:f>IF(A140="","",IF(H140&lt;&gt;"원인분석 대상","",IF(J140&gt;0,"붙임 문서 확인 후 원인 확정 필요","결의서명 기반 원인분류 검토")))</x:f>
      </x:c>
    </x:row>
    <x:row r="141">
      <x:c r="A141" s="73"/>
      <x:c r="B141" s="73" t="str">
        <x:f>IF(A141="","",IFERROR(XLOOKUP(A141,'당기원장'!$A$5:$A$1004,'당기원장'!$B$5:$B$1004),XLOOKUP(A141,'전기원장'!$A$5:$A$1004,'전기원장'!$B$5:$B$1004,"")))</x:f>
      </x:c>
      <x:c r="C141" s="75" t="str">
        <x:f>IF(A141="","",SUMIF('전기원장'!$A$5:$A$1004,A141,'전기원장'!$H$5:$H$1004))</x:f>
      </x:c>
      <x:c r="D141" s="75" t="str">
        <x:f>IF(A141="","",SUMIF('당기원장'!$A$5:$A$1004,A141,'당기원장'!$H$5:$H$1004))</x:f>
      </x:c>
      <x:c r="E141" s="75" t="str">
        <x:f>IF(A141="","",D141-C141)</x:f>
      </x:c>
      <x:c r="F141" s="86" t="str">
        <x:f>IF(A141="","",IF(C141=0,IF(D141=0,0,1),ABS(E141)/ABS(C141)))</x:f>
      </x:c>
      <x:c r="G141" s="73" t="str">
        <x:f>IF(A141="","",IF(AND(C141=0,D141&lt;&gt;0),"신규",IF(AND(C141&lt;&gt;0,D141=0),"소멸",IF(E141=0,"변동없음","금액변동"))))</x:f>
      </x:c>
      <x:c r="H141" s="73" t="str">
        <x:f>IF(A141="","",IF(AND(ABS(E141)&gt;='기준설정'!$B$6,OR(G141="신규",G141="소멸",F141&gt;='기준설정'!$B$5)),"원인분석 대상","일반"))</x:f>
      </x:c>
      <x:c r="I141" s="73" t="str">
        <x:f>IF(A141="","",IF(H141="원인분석 대상","세부원인분석 시트에서 거래별 원인을 검토","-"))</x:f>
      </x:c>
      <x:c r="J141" s="73" t="str">
        <x:f>IF(A141="","",COUNTIFS('전기원장'!$A$5:$A$1004,A141,'전기원장'!$J$5:$J$1004,"확인 필요")+COUNTIFS('당기원장'!$A$5:$A$1004,A141,'당기원장'!$J$5:$J$1004,"확인 필요"))</x:f>
      </x:c>
      <x:c r="K141" s="87" t="str">
        <x:f>IF(A141="","",IF(H141&lt;&gt;"원인분석 대상","",IF(J141&gt;0,"붙임 문서 확인 후 원인 확정 필요","결의서명 기반 원인분류 검토")))</x:f>
      </x:c>
    </x:row>
    <x:row r="142">
      <x:c r="A142" s="73"/>
      <x:c r="B142" s="73" t="str">
        <x:f>IF(A142="","",IFERROR(XLOOKUP(A142,'당기원장'!$A$5:$A$1004,'당기원장'!$B$5:$B$1004),XLOOKUP(A142,'전기원장'!$A$5:$A$1004,'전기원장'!$B$5:$B$1004,"")))</x:f>
      </x:c>
      <x:c r="C142" s="75" t="str">
        <x:f>IF(A142="","",SUMIF('전기원장'!$A$5:$A$1004,A142,'전기원장'!$H$5:$H$1004))</x:f>
      </x:c>
      <x:c r="D142" s="75" t="str">
        <x:f>IF(A142="","",SUMIF('당기원장'!$A$5:$A$1004,A142,'당기원장'!$H$5:$H$1004))</x:f>
      </x:c>
      <x:c r="E142" s="75" t="str">
        <x:f>IF(A142="","",D142-C142)</x:f>
      </x:c>
      <x:c r="F142" s="86" t="str">
        <x:f>IF(A142="","",IF(C142=0,IF(D142=0,0,1),ABS(E142)/ABS(C142)))</x:f>
      </x:c>
      <x:c r="G142" s="73" t="str">
        <x:f>IF(A142="","",IF(AND(C142=0,D142&lt;&gt;0),"신규",IF(AND(C142&lt;&gt;0,D142=0),"소멸",IF(E142=0,"변동없음","금액변동"))))</x:f>
      </x:c>
      <x:c r="H142" s="73" t="str">
        <x:f>IF(A142="","",IF(AND(ABS(E142)&gt;='기준설정'!$B$6,OR(G142="신규",G142="소멸",F142&gt;='기준설정'!$B$5)),"원인분석 대상","일반"))</x:f>
      </x:c>
      <x:c r="I142" s="73" t="str">
        <x:f>IF(A142="","",IF(H142="원인분석 대상","세부원인분석 시트에서 거래별 원인을 검토","-"))</x:f>
      </x:c>
      <x:c r="J142" s="73" t="str">
        <x:f>IF(A142="","",COUNTIFS('전기원장'!$A$5:$A$1004,A142,'전기원장'!$J$5:$J$1004,"확인 필요")+COUNTIFS('당기원장'!$A$5:$A$1004,A142,'당기원장'!$J$5:$J$1004,"확인 필요"))</x:f>
      </x:c>
      <x:c r="K142" s="87" t="str">
        <x:f>IF(A142="","",IF(H142&lt;&gt;"원인분석 대상","",IF(J142&gt;0,"붙임 문서 확인 후 원인 확정 필요","결의서명 기반 원인분류 검토")))</x:f>
      </x:c>
    </x:row>
    <x:row r="143">
      <x:c r="A143" s="73"/>
      <x:c r="B143" s="73" t="str">
        <x:f>IF(A143="","",IFERROR(XLOOKUP(A143,'당기원장'!$A$5:$A$1004,'당기원장'!$B$5:$B$1004),XLOOKUP(A143,'전기원장'!$A$5:$A$1004,'전기원장'!$B$5:$B$1004,"")))</x:f>
      </x:c>
      <x:c r="C143" s="75" t="str">
        <x:f>IF(A143="","",SUMIF('전기원장'!$A$5:$A$1004,A143,'전기원장'!$H$5:$H$1004))</x:f>
      </x:c>
      <x:c r="D143" s="75" t="str">
        <x:f>IF(A143="","",SUMIF('당기원장'!$A$5:$A$1004,A143,'당기원장'!$H$5:$H$1004))</x:f>
      </x:c>
      <x:c r="E143" s="75" t="str">
        <x:f>IF(A143="","",D143-C143)</x:f>
      </x:c>
      <x:c r="F143" s="86" t="str">
        <x:f>IF(A143="","",IF(C143=0,IF(D143=0,0,1),ABS(E143)/ABS(C143)))</x:f>
      </x:c>
      <x:c r="G143" s="73" t="str">
        <x:f>IF(A143="","",IF(AND(C143=0,D143&lt;&gt;0),"신규",IF(AND(C143&lt;&gt;0,D143=0),"소멸",IF(E143=0,"변동없음","금액변동"))))</x:f>
      </x:c>
      <x:c r="H143" s="73" t="str">
        <x:f>IF(A143="","",IF(AND(ABS(E143)&gt;='기준설정'!$B$6,OR(G143="신규",G143="소멸",F143&gt;='기준설정'!$B$5)),"원인분석 대상","일반"))</x:f>
      </x:c>
      <x:c r="I143" s="73" t="str">
        <x:f>IF(A143="","",IF(H143="원인분석 대상","세부원인분석 시트에서 거래별 원인을 검토","-"))</x:f>
      </x:c>
      <x:c r="J143" s="73" t="str">
        <x:f>IF(A143="","",COUNTIFS('전기원장'!$A$5:$A$1004,A143,'전기원장'!$J$5:$J$1004,"확인 필요")+COUNTIFS('당기원장'!$A$5:$A$1004,A143,'당기원장'!$J$5:$J$1004,"확인 필요"))</x:f>
      </x:c>
      <x:c r="K143" s="87" t="str">
        <x:f>IF(A143="","",IF(H143&lt;&gt;"원인분석 대상","",IF(J143&gt;0,"붙임 문서 확인 후 원인 확정 필요","결의서명 기반 원인분류 검토")))</x:f>
      </x:c>
    </x:row>
    <x:row r="144">
      <x:c r="A144" s="73"/>
      <x:c r="B144" s="73" t="str">
        <x:f>IF(A144="","",IFERROR(XLOOKUP(A144,'당기원장'!$A$5:$A$1004,'당기원장'!$B$5:$B$1004),XLOOKUP(A144,'전기원장'!$A$5:$A$1004,'전기원장'!$B$5:$B$1004,"")))</x:f>
      </x:c>
      <x:c r="C144" s="75" t="str">
        <x:f>IF(A144="","",SUMIF('전기원장'!$A$5:$A$1004,A144,'전기원장'!$H$5:$H$1004))</x:f>
      </x:c>
      <x:c r="D144" s="75" t="str">
        <x:f>IF(A144="","",SUMIF('당기원장'!$A$5:$A$1004,A144,'당기원장'!$H$5:$H$1004))</x:f>
      </x:c>
      <x:c r="E144" s="75" t="str">
        <x:f>IF(A144="","",D144-C144)</x:f>
      </x:c>
      <x:c r="F144" s="86" t="str">
        <x:f>IF(A144="","",IF(C144=0,IF(D144=0,0,1),ABS(E144)/ABS(C144)))</x:f>
      </x:c>
      <x:c r="G144" s="73" t="str">
        <x:f>IF(A144="","",IF(AND(C144=0,D144&lt;&gt;0),"신규",IF(AND(C144&lt;&gt;0,D144=0),"소멸",IF(E144=0,"변동없음","금액변동"))))</x:f>
      </x:c>
      <x:c r="H144" s="73" t="str">
        <x:f>IF(A144="","",IF(AND(ABS(E144)&gt;='기준설정'!$B$6,OR(G144="신규",G144="소멸",F144&gt;='기준설정'!$B$5)),"원인분석 대상","일반"))</x:f>
      </x:c>
      <x:c r="I144" s="73" t="str">
        <x:f>IF(A144="","",IF(H144="원인분석 대상","세부원인분석 시트에서 거래별 원인을 검토","-"))</x:f>
      </x:c>
      <x:c r="J144" s="73" t="str">
        <x:f>IF(A144="","",COUNTIFS('전기원장'!$A$5:$A$1004,A144,'전기원장'!$J$5:$J$1004,"확인 필요")+COUNTIFS('당기원장'!$A$5:$A$1004,A144,'당기원장'!$J$5:$J$1004,"확인 필요"))</x:f>
      </x:c>
      <x:c r="K144" s="87" t="str">
        <x:f>IF(A144="","",IF(H144&lt;&gt;"원인분석 대상","",IF(J144&gt;0,"붙임 문서 확인 후 원인 확정 필요","결의서명 기반 원인분류 검토")))</x:f>
      </x:c>
    </x:row>
    <x:row r="145">
      <x:c r="A145" s="73"/>
      <x:c r="B145" s="73" t="str">
        <x:f>IF(A145="","",IFERROR(XLOOKUP(A145,'당기원장'!$A$5:$A$1004,'당기원장'!$B$5:$B$1004),XLOOKUP(A145,'전기원장'!$A$5:$A$1004,'전기원장'!$B$5:$B$1004,"")))</x:f>
      </x:c>
      <x:c r="C145" s="75" t="str">
        <x:f>IF(A145="","",SUMIF('전기원장'!$A$5:$A$1004,A145,'전기원장'!$H$5:$H$1004))</x:f>
      </x:c>
      <x:c r="D145" s="75" t="str">
        <x:f>IF(A145="","",SUMIF('당기원장'!$A$5:$A$1004,A145,'당기원장'!$H$5:$H$1004))</x:f>
      </x:c>
      <x:c r="E145" s="75" t="str">
        <x:f>IF(A145="","",D145-C145)</x:f>
      </x:c>
      <x:c r="F145" s="86" t="str">
        <x:f>IF(A145="","",IF(C145=0,IF(D145=0,0,1),ABS(E145)/ABS(C145)))</x:f>
      </x:c>
      <x:c r="G145" s="73" t="str">
        <x:f>IF(A145="","",IF(AND(C145=0,D145&lt;&gt;0),"신규",IF(AND(C145&lt;&gt;0,D145=0),"소멸",IF(E145=0,"변동없음","금액변동"))))</x:f>
      </x:c>
      <x:c r="H145" s="73" t="str">
        <x:f>IF(A145="","",IF(AND(ABS(E145)&gt;='기준설정'!$B$6,OR(G145="신규",G145="소멸",F145&gt;='기준설정'!$B$5)),"원인분석 대상","일반"))</x:f>
      </x:c>
      <x:c r="I145" s="73" t="str">
        <x:f>IF(A145="","",IF(H145="원인분석 대상","세부원인분석 시트에서 거래별 원인을 검토","-"))</x:f>
      </x:c>
      <x:c r="J145" s="73" t="str">
        <x:f>IF(A145="","",COUNTIFS('전기원장'!$A$5:$A$1004,A145,'전기원장'!$J$5:$J$1004,"확인 필요")+COUNTIFS('당기원장'!$A$5:$A$1004,A145,'당기원장'!$J$5:$J$1004,"확인 필요"))</x:f>
      </x:c>
      <x:c r="K145" s="87" t="str">
        <x:f>IF(A145="","",IF(H145&lt;&gt;"원인분석 대상","",IF(J145&gt;0,"붙임 문서 확인 후 원인 확정 필요","결의서명 기반 원인분류 검토")))</x:f>
      </x:c>
    </x:row>
    <x:row r="146">
      <x:c r="A146" s="73"/>
      <x:c r="B146" s="73" t="str">
        <x:f>IF(A146="","",IFERROR(XLOOKUP(A146,'당기원장'!$A$5:$A$1004,'당기원장'!$B$5:$B$1004),XLOOKUP(A146,'전기원장'!$A$5:$A$1004,'전기원장'!$B$5:$B$1004,"")))</x:f>
      </x:c>
      <x:c r="C146" s="75" t="str">
        <x:f>IF(A146="","",SUMIF('전기원장'!$A$5:$A$1004,A146,'전기원장'!$H$5:$H$1004))</x:f>
      </x:c>
      <x:c r="D146" s="75" t="str">
        <x:f>IF(A146="","",SUMIF('당기원장'!$A$5:$A$1004,A146,'당기원장'!$H$5:$H$1004))</x:f>
      </x:c>
      <x:c r="E146" s="75" t="str">
        <x:f>IF(A146="","",D146-C146)</x:f>
      </x:c>
      <x:c r="F146" s="86" t="str">
        <x:f>IF(A146="","",IF(C146=0,IF(D146=0,0,1),ABS(E146)/ABS(C146)))</x:f>
      </x:c>
      <x:c r="G146" s="73" t="str">
        <x:f>IF(A146="","",IF(AND(C146=0,D146&lt;&gt;0),"신규",IF(AND(C146&lt;&gt;0,D146=0),"소멸",IF(E146=0,"변동없음","금액변동"))))</x:f>
      </x:c>
      <x:c r="H146" s="73" t="str">
        <x:f>IF(A146="","",IF(AND(ABS(E146)&gt;='기준설정'!$B$6,OR(G146="신규",G146="소멸",F146&gt;='기준설정'!$B$5)),"원인분석 대상","일반"))</x:f>
      </x:c>
      <x:c r="I146" s="73" t="str">
        <x:f>IF(A146="","",IF(H146="원인분석 대상","세부원인분석 시트에서 거래별 원인을 검토","-"))</x:f>
      </x:c>
      <x:c r="J146" s="73" t="str">
        <x:f>IF(A146="","",COUNTIFS('전기원장'!$A$5:$A$1004,A146,'전기원장'!$J$5:$J$1004,"확인 필요")+COUNTIFS('당기원장'!$A$5:$A$1004,A146,'당기원장'!$J$5:$J$1004,"확인 필요"))</x:f>
      </x:c>
      <x:c r="K146" s="87" t="str">
        <x:f>IF(A146="","",IF(H146&lt;&gt;"원인분석 대상","",IF(J146&gt;0,"붙임 문서 확인 후 원인 확정 필요","결의서명 기반 원인분류 검토")))</x:f>
      </x:c>
    </x:row>
    <x:row r="147">
      <x:c r="A147" s="73"/>
      <x:c r="B147" s="73" t="str">
        <x:f>IF(A147="","",IFERROR(XLOOKUP(A147,'당기원장'!$A$5:$A$1004,'당기원장'!$B$5:$B$1004),XLOOKUP(A147,'전기원장'!$A$5:$A$1004,'전기원장'!$B$5:$B$1004,"")))</x:f>
      </x:c>
      <x:c r="C147" s="75" t="str">
        <x:f>IF(A147="","",SUMIF('전기원장'!$A$5:$A$1004,A147,'전기원장'!$H$5:$H$1004))</x:f>
      </x:c>
      <x:c r="D147" s="75" t="str">
        <x:f>IF(A147="","",SUMIF('당기원장'!$A$5:$A$1004,A147,'당기원장'!$H$5:$H$1004))</x:f>
      </x:c>
      <x:c r="E147" s="75" t="str">
        <x:f>IF(A147="","",D147-C147)</x:f>
      </x:c>
      <x:c r="F147" s="86" t="str">
        <x:f>IF(A147="","",IF(C147=0,IF(D147=0,0,1),ABS(E147)/ABS(C147)))</x:f>
      </x:c>
      <x:c r="G147" s="73" t="str">
        <x:f>IF(A147="","",IF(AND(C147=0,D147&lt;&gt;0),"신규",IF(AND(C147&lt;&gt;0,D147=0),"소멸",IF(E147=0,"변동없음","금액변동"))))</x:f>
      </x:c>
      <x:c r="H147" s="73" t="str">
        <x:f>IF(A147="","",IF(AND(ABS(E147)&gt;='기준설정'!$B$6,OR(G147="신규",G147="소멸",F147&gt;='기준설정'!$B$5)),"원인분석 대상","일반"))</x:f>
      </x:c>
      <x:c r="I147" s="73" t="str">
        <x:f>IF(A147="","",IF(H147="원인분석 대상","세부원인분석 시트에서 거래별 원인을 검토","-"))</x:f>
      </x:c>
      <x:c r="J147" s="73" t="str">
        <x:f>IF(A147="","",COUNTIFS('전기원장'!$A$5:$A$1004,A147,'전기원장'!$J$5:$J$1004,"확인 필요")+COUNTIFS('당기원장'!$A$5:$A$1004,A147,'당기원장'!$J$5:$J$1004,"확인 필요"))</x:f>
      </x:c>
      <x:c r="K147" s="87" t="str">
        <x:f>IF(A147="","",IF(H147&lt;&gt;"원인분석 대상","",IF(J147&gt;0,"붙임 문서 확인 후 원인 확정 필요","결의서명 기반 원인분류 검토")))</x:f>
      </x:c>
    </x:row>
    <x:row r="148">
      <x:c r="A148" s="73"/>
      <x:c r="B148" s="73" t="str">
        <x:f>IF(A148="","",IFERROR(XLOOKUP(A148,'당기원장'!$A$5:$A$1004,'당기원장'!$B$5:$B$1004),XLOOKUP(A148,'전기원장'!$A$5:$A$1004,'전기원장'!$B$5:$B$1004,"")))</x:f>
      </x:c>
      <x:c r="C148" s="75" t="str">
        <x:f>IF(A148="","",SUMIF('전기원장'!$A$5:$A$1004,A148,'전기원장'!$H$5:$H$1004))</x:f>
      </x:c>
      <x:c r="D148" s="75" t="str">
        <x:f>IF(A148="","",SUMIF('당기원장'!$A$5:$A$1004,A148,'당기원장'!$H$5:$H$1004))</x:f>
      </x:c>
      <x:c r="E148" s="75" t="str">
        <x:f>IF(A148="","",D148-C148)</x:f>
      </x:c>
      <x:c r="F148" s="86" t="str">
        <x:f>IF(A148="","",IF(C148=0,IF(D148=0,0,1),ABS(E148)/ABS(C148)))</x:f>
      </x:c>
      <x:c r="G148" s="73" t="str">
        <x:f>IF(A148="","",IF(AND(C148=0,D148&lt;&gt;0),"신규",IF(AND(C148&lt;&gt;0,D148=0),"소멸",IF(E148=0,"변동없음","금액변동"))))</x:f>
      </x:c>
      <x:c r="H148" s="73" t="str">
        <x:f>IF(A148="","",IF(AND(ABS(E148)&gt;='기준설정'!$B$6,OR(G148="신규",G148="소멸",F148&gt;='기준설정'!$B$5)),"원인분석 대상","일반"))</x:f>
      </x:c>
      <x:c r="I148" s="73" t="str">
        <x:f>IF(A148="","",IF(H148="원인분석 대상","세부원인분석 시트에서 거래별 원인을 검토","-"))</x:f>
      </x:c>
      <x:c r="J148" s="73" t="str">
        <x:f>IF(A148="","",COUNTIFS('전기원장'!$A$5:$A$1004,A148,'전기원장'!$J$5:$J$1004,"확인 필요")+COUNTIFS('당기원장'!$A$5:$A$1004,A148,'당기원장'!$J$5:$J$1004,"확인 필요"))</x:f>
      </x:c>
      <x:c r="K148" s="87" t="str">
        <x:f>IF(A148="","",IF(H148&lt;&gt;"원인분석 대상","",IF(J148&gt;0,"붙임 문서 확인 후 원인 확정 필요","결의서명 기반 원인분류 검토")))</x:f>
      </x:c>
    </x:row>
    <x:row r="149">
      <x:c r="A149" s="73"/>
      <x:c r="B149" s="73" t="str">
        <x:f>IF(A149="","",IFERROR(XLOOKUP(A149,'당기원장'!$A$5:$A$1004,'당기원장'!$B$5:$B$1004),XLOOKUP(A149,'전기원장'!$A$5:$A$1004,'전기원장'!$B$5:$B$1004,"")))</x:f>
      </x:c>
      <x:c r="C149" s="75" t="str">
        <x:f>IF(A149="","",SUMIF('전기원장'!$A$5:$A$1004,A149,'전기원장'!$H$5:$H$1004))</x:f>
      </x:c>
      <x:c r="D149" s="75" t="str">
        <x:f>IF(A149="","",SUMIF('당기원장'!$A$5:$A$1004,A149,'당기원장'!$H$5:$H$1004))</x:f>
      </x:c>
      <x:c r="E149" s="75" t="str">
        <x:f>IF(A149="","",D149-C149)</x:f>
      </x:c>
      <x:c r="F149" s="86" t="str">
        <x:f>IF(A149="","",IF(C149=0,IF(D149=0,0,1),ABS(E149)/ABS(C149)))</x:f>
      </x:c>
      <x:c r="G149" s="73" t="str">
        <x:f>IF(A149="","",IF(AND(C149=0,D149&lt;&gt;0),"신규",IF(AND(C149&lt;&gt;0,D149=0),"소멸",IF(E149=0,"변동없음","금액변동"))))</x:f>
      </x:c>
      <x:c r="H149" s="73" t="str">
        <x:f>IF(A149="","",IF(AND(ABS(E149)&gt;='기준설정'!$B$6,OR(G149="신규",G149="소멸",F149&gt;='기준설정'!$B$5)),"원인분석 대상","일반"))</x:f>
      </x:c>
      <x:c r="I149" s="73" t="str">
        <x:f>IF(A149="","",IF(H149="원인분석 대상","세부원인분석 시트에서 거래별 원인을 검토","-"))</x:f>
      </x:c>
      <x:c r="J149" s="73" t="str">
        <x:f>IF(A149="","",COUNTIFS('전기원장'!$A$5:$A$1004,A149,'전기원장'!$J$5:$J$1004,"확인 필요")+COUNTIFS('당기원장'!$A$5:$A$1004,A149,'당기원장'!$J$5:$J$1004,"확인 필요"))</x:f>
      </x:c>
      <x:c r="K149" s="87" t="str">
        <x:f>IF(A149="","",IF(H149&lt;&gt;"원인분석 대상","",IF(J149&gt;0,"붙임 문서 확인 후 원인 확정 필요","결의서명 기반 원인분류 검토")))</x:f>
      </x:c>
    </x:row>
    <x:row r="150">
      <x:c r="A150" s="73"/>
      <x:c r="B150" s="73" t="str">
        <x:f>IF(A150="","",IFERROR(XLOOKUP(A150,'당기원장'!$A$5:$A$1004,'당기원장'!$B$5:$B$1004),XLOOKUP(A150,'전기원장'!$A$5:$A$1004,'전기원장'!$B$5:$B$1004,"")))</x:f>
      </x:c>
      <x:c r="C150" s="75" t="str">
        <x:f>IF(A150="","",SUMIF('전기원장'!$A$5:$A$1004,A150,'전기원장'!$H$5:$H$1004))</x:f>
      </x:c>
      <x:c r="D150" s="75" t="str">
        <x:f>IF(A150="","",SUMIF('당기원장'!$A$5:$A$1004,A150,'당기원장'!$H$5:$H$1004))</x:f>
      </x:c>
      <x:c r="E150" s="75" t="str">
        <x:f>IF(A150="","",D150-C150)</x:f>
      </x:c>
      <x:c r="F150" s="86" t="str">
        <x:f>IF(A150="","",IF(C150=0,IF(D150=0,0,1),ABS(E150)/ABS(C150)))</x:f>
      </x:c>
      <x:c r="G150" s="73" t="str">
        <x:f>IF(A150="","",IF(AND(C150=0,D150&lt;&gt;0),"신규",IF(AND(C150&lt;&gt;0,D150=0),"소멸",IF(E150=0,"변동없음","금액변동"))))</x:f>
      </x:c>
      <x:c r="H150" s="73" t="str">
        <x:f>IF(A150="","",IF(AND(ABS(E150)&gt;='기준설정'!$B$6,OR(G150="신규",G150="소멸",F150&gt;='기준설정'!$B$5)),"원인분석 대상","일반"))</x:f>
      </x:c>
      <x:c r="I150" s="73" t="str">
        <x:f>IF(A150="","",IF(H150="원인분석 대상","세부원인분석 시트에서 거래별 원인을 검토","-"))</x:f>
      </x:c>
      <x:c r="J150" s="73" t="str">
        <x:f>IF(A150="","",COUNTIFS('전기원장'!$A$5:$A$1004,A150,'전기원장'!$J$5:$J$1004,"확인 필요")+COUNTIFS('당기원장'!$A$5:$A$1004,A150,'당기원장'!$J$5:$J$1004,"확인 필요"))</x:f>
      </x:c>
      <x:c r="K150" s="87" t="str">
        <x:f>IF(A150="","",IF(H150&lt;&gt;"원인분석 대상","",IF(J150&gt;0,"붙임 문서 확인 후 원인 확정 필요","결의서명 기반 원인분류 검토")))</x:f>
      </x:c>
    </x:row>
    <x:row r="151">
      <x:c r="A151" s="73"/>
      <x:c r="B151" s="73" t="str">
        <x:f>IF(A151="","",IFERROR(XLOOKUP(A151,'당기원장'!$A$5:$A$1004,'당기원장'!$B$5:$B$1004),XLOOKUP(A151,'전기원장'!$A$5:$A$1004,'전기원장'!$B$5:$B$1004,"")))</x:f>
      </x:c>
      <x:c r="C151" s="75" t="str">
        <x:f>IF(A151="","",SUMIF('전기원장'!$A$5:$A$1004,A151,'전기원장'!$H$5:$H$1004))</x:f>
      </x:c>
      <x:c r="D151" s="75" t="str">
        <x:f>IF(A151="","",SUMIF('당기원장'!$A$5:$A$1004,A151,'당기원장'!$H$5:$H$1004))</x:f>
      </x:c>
      <x:c r="E151" s="75" t="str">
        <x:f>IF(A151="","",D151-C151)</x:f>
      </x:c>
      <x:c r="F151" s="86" t="str">
        <x:f>IF(A151="","",IF(C151=0,IF(D151=0,0,1),ABS(E151)/ABS(C151)))</x:f>
      </x:c>
      <x:c r="G151" s="73" t="str">
        <x:f>IF(A151="","",IF(AND(C151=0,D151&lt;&gt;0),"신규",IF(AND(C151&lt;&gt;0,D151=0),"소멸",IF(E151=0,"변동없음","금액변동"))))</x:f>
      </x:c>
      <x:c r="H151" s="73" t="str">
        <x:f>IF(A151="","",IF(AND(ABS(E151)&gt;='기준설정'!$B$6,OR(G151="신규",G151="소멸",F151&gt;='기준설정'!$B$5)),"원인분석 대상","일반"))</x:f>
      </x:c>
      <x:c r="I151" s="73" t="str">
        <x:f>IF(A151="","",IF(H151="원인분석 대상","세부원인분석 시트에서 거래별 원인을 검토","-"))</x:f>
      </x:c>
      <x:c r="J151" s="73" t="str">
        <x:f>IF(A151="","",COUNTIFS('전기원장'!$A$5:$A$1004,A151,'전기원장'!$J$5:$J$1004,"확인 필요")+COUNTIFS('당기원장'!$A$5:$A$1004,A151,'당기원장'!$J$5:$J$1004,"확인 필요"))</x:f>
      </x:c>
      <x:c r="K151" s="87" t="str">
        <x:f>IF(A151="","",IF(H151&lt;&gt;"원인분석 대상","",IF(J151&gt;0,"붙임 문서 확인 후 원인 확정 필요","결의서명 기반 원인분류 검토")))</x:f>
      </x:c>
    </x:row>
    <x:row r="152">
      <x:c r="A152" s="73"/>
      <x:c r="B152" s="73" t="str">
        <x:f>IF(A152="","",IFERROR(XLOOKUP(A152,'당기원장'!$A$5:$A$1004,'당기원장'!$B$5:$B$1004),XLOOKUP(A152,'전기원장'!$A$5:$A$1004,'전기원장'!$B$5:$B$1004,"")))</x:f>
      </x:c>
      <x:c r="C152" s="75" t="str">
        <x:f>IF(A152="","",SUMIF('전기원장'!$A$5:$A$1004,A152,'전기원장'!$H$5:$H$1004))</x:f>
      </x:c>
      <x:c r="D152" s="75" t="str">
        <x:f>IF(A152="","",SUMIF('당기원장'!$A$5:$A$1004,A152,'당기원장'!$H$5:$H$1004))</x:f>
      </x:c>
      <x:c r="E152" s="75" t="str">
        <x:f>IF(A152="","",D152-C152)</x:f>
      </x:c>
      <x:c r="F152" s="86" t="str">
        <x:f>IF(A152="","",IF(C152=0,IF(D152=0,0,1),ABS(E152)/ABS(C152)))</x:f>
      </x:c>
      <x:c r="G152" s="73" t="str">
        <x:f>IF(A152="","",IF(AND(C152=0,D152&lt;&gt;0),"신규",IF(AND(C152&lt;&gt;0,D152=0),"소멸",IF(E152=0,"변동없음","금액변동"))))</x:f>
      </x:c>
      <x:c r="H152" s="73" t="str">
        <x:f>IF(A152="","",IF(AND(ABS(E152)&gt;='기준설정'!$B$6,OR(G152="신규",G152="소멸",F152&gt;='기준설정'!$B$5)),"원인분석 대상","일반"))</x:f>
      </x:c>
      <x:c r="I152" s="73" t="str">
        <x:f>IF(A152="","",IF(H152="원인분석 대상","세부원인분석 시트에서 거래별 원인을 검토","-"))</x:f>
      </x:c>
      <x:c r="J152" s="73" t="str">
        <x:f>IF(A152="","",COUNTIFS('전기원장'!$A$5:$A$1004,A152,'전기원장'!$J$5:$J$1004,"확인 필요")+COUNTIFS('당기원장'!$A$5:$A$1004,A152,'당기원장'!$J$5:$J$1004,"확인 필요"))</x:f>
      </x:c>
      <x:c r="K152" s="87" t="str">
        <x:f>IF(A152="","",IF(H152&lt;&gt;"원인분석 대상","",IF(J152&gt;0,"붙임 문서 확인 후 원인 확정 필요","결의서명 기반 원인분류 검토")))</x:f>
      </x:c>
    </x:row>
    <x:row r="153">
      <x:c r="A153" s="73"/>
      <x:c r="B153" s="73" t="str">
        <x:f>IF(A153="","",IFERROR(XLOOKUP(A153,'당기원장'!$A$5:$A$1004,'당기원장'!$B$5:$B$1004),XLOOKUP(A153,'전기원장'!$A$5:$A$1004,'전기원장'!$B$5:$B$1004,"")))</x:f>
      </x:c>
      <x:c r="C153" s="75" t="str">
        <x:f>IF(A153="","",SUMIF('전기원장'!$A$5:$A$1004,A153,'전기원장'!$H$5:$H$1004))</x:f>
      </x:c>
      <x:c r="D153" s="75" t="str">
        <x:f>IF(A153="","",SUMIF('당기원장'!$A$5:$A$1004,A153,'당기원장'!$H$5:$H$1004))</x:f>
      </x:c>
      <x:c r="E153" s="75" t="str">
        <x:f>IF(A153="","",D153-C153)</x:f>
      </x:c>
      <x:c r="F153" s="86" t="str">
        <x:f>IF(A153="","",IF(C153=0,IF(D153=0,0,1),ABS(E153)/ABS(C153)))</x:f>
      </x:c>
      <x:c r="G153" s="73" t="str">
        <x:f>IF(A153="","",IF(AND(C153=0,D153&lt;&gt;0),"신규",IF(AND(C153&lt;&gt;0,D153=0),"소멸",IF(E153=0,"변동없음","금액변동"))))</x:f>
      </x:c>
      <x:c r="H153" s="73" t="str">
        <x:f>IF(A153="","",IF(AND(ABS(E153)&gt;='기준설정'!$B$6,OR(G153="신규",G153="소멸",F153&gt;='기준설정'!$B$5)),"원인분석 대상","일반"))</x:f>
      </x:c>
      <x:c r="I153" s="73" t="str">
        <x:f>IF(A153="","",IF(H153="원인분석 대상","세부원인분석 시트에서 거래별 원인을 검토","-"))</x:f>
      </x:c>
      <x:c r="J153" s="73" t="str">
        <x:f>IF(A153="","",COUNTIFS('전기원장'!$A$5:$A$1004,A153,'전기원장'!$J$5:$J$1004,"확인 필요")+COUNTIFS('당기원장'!$A$5:$A$1004,A153,'당기원장'!$J$5:$J$1004,"확인 필요"))</x:f>
      </x:c>
      <x:c r="K153" s="87" t="str">
        <x:f>IF(A153="","",IF(H153&lt;&gt;"원인분석 대상","",IF(J153&gt;0,"붙임 문서 확인 후 원인 확정 필요","결의서명 기반 원인분류 검토")))</x:f>
      </x:c>
    </x:row>
    <x:row r="154">
      <x:c r="A154" s="73"/>
      <x:c r="B154" s="73" t="str">
        <x:f>IF(A154="","",IFERROR(XLOOKUP(A154,'당기원장'!$A$5:$A$1004,'당기원장'!$B$5:$B$1004),XLOOKUP(A154,'전기원장'!$A$5:$A$1004,'전기원장'!$B$5:$B$1004,"")))</x:f>
      </x:c>
      <x:c r="C154" s="75" t="str">
        <x:f>IF(A154="","",SUMIF('전기원장'!$A$5:$A$1004,A154,'전기원장'!$H$5:$H$1004))</x:f>
      </x:c>
      <x:c r="D154" s="75" t="str">
        <x:f>IF(A154="","",SUMIF('당기원장'!$A$5:$A$1004,A154,'당기원장'!$H$5:$H$1004))</x:f>
      </x:c>
      <x:c r="E154" s="75" t="str">
        <x:f>IF(A154="","",D154-C154)</x:f>
      </x:c>
      <x:c r="F154" s="86" t="str">
        <x:f>IF(A154="","",IF(C154=0,IF(D154=0,0,1),ABS(E154)/ABS(C154)))</x:f>
      </x:c>
      <x:c r="G154" s="73" t="str">
        <x:f>IF(A154="","",IF(AND(C154=0,D154&lt;&gt;0),"신규",IF(AND(C154&lt;&gt;0,D154=0),"소멸",IF(E154=0,"변동없음","금액변동"))))</x:f>
      </x:c>
      <x:c r="H154" s="73" t="str">
        <x:f>IF(A154="","",IF(AND(ABS(E154)&gt;='기준설정'!$B$6,OR(G154="신규",G154="소멸",F154&gt;='기준설정'!$B$5)),"원인분석 대상","일반"))</x:f>
      </x:c>
      <x:c r="I154" s="73" t="str">
        <x:f>IF(A154="","",IF(H154="원인분석 대상","세부원인분석 시트에서 거래별 원인을 검토","-"))</x:f>
      </x:c>
      <x:c r="J154" s="73" t="str">
        <x:f>IF(A154="","",COUNTIFS('전기원장'!$A$5:$A$1004,A154,'전기원장'!$J$5:$J$1004,"확인 필요")+COUNTIFS('당기원장'!$A$5:$A$1004,A154,'당기원장'!$J$5:$J$1004,"확인 필요"))</x:f>
      </x:c>
      <x:c r="K154" s="87" t="str">
        <x:f>IF(A154="","",IF(H154&lt;&gt;"원인분석 대상","",IF(J154&gt;0,"붙임 문서 확인 후 원인 확정 필요","결의서명 기반 원인분류 검토")))</x:f>
      </x:c>
    </x:row>
    <x:row r="155">
      <x:c r="A155" s="73"/>
      <x:c r="B155" s="73" t="str">
        <x:f>IF(A155="","",IFERROR(XLOOKUP(A155,'당기원장'!$A$5:$A$1004,'당기원장'!$B$5:$B$1004),XLOOKUP(A155,'전기원장'!$A$5:$A$1004,'전기원장'!$B$5:$B$1004,"")))</x:f>
      </x:c>
      <x:c r="C155" s="75" t="str">
        <x:f>IF(A155="","",SUMIF('전기원장'!$A$5:$A$1004,A155,'전기원장'!$H$5:$H$1004))</x:f>
      </x:c>
      <x:c r="D155" s="75" t="str">
        <x:f>IF(A155="","",SUMIF('당기원장'!$A$5:$A$1004,A155,'당기원장'!$H$5:$H$1004))</x:f>
      </x:c>
      <x:c r="E155" s="75" t="str">
        <x:f>IF(A155="","",D155-C155)</x:f>
      </x:c>
      <x:c r="F155" s="86" t="str">
        <x:f>IF(A155="","",IF(C155=0,IF(D155=0,0,1),ABS(E155)/ABS(C155)))</x:f>
      </x:c>
      <x:c r="G155" s="73" t="str">
        <x:f>IF(A155="","",IF(AND(C155=0,D155&lt;&gt;0),"신규",IF(AND(C155&lt;&gt;0,D155=0),"소멸",IF(E155=0,"변동없음","금액변동"))))</x:f>
      </x:c>
      <x:c r="H155" s="73" t="str">
        <x:f>IF(A155="","",IF(AND(ABS(E155)&gt;='기준설정'!$B$6,OR(G155="신규",G155="소멸",F155&gt;='기준설정'!$B$5)),"원인분석 대상","일반"))</x:f>
      </x:c>
      <x:c r="I155" s="73" t="str">
        <x:f>IF(A155="","",IF(H155="원인분석 대상","세부원인분석 시트에서 거래별 원인을 검토","-"))</x:f>
      </x:c>
      <x:c r="J155" s="73" t="str">
        <x:f>IF(A155="","",COUNTIFS('전기원장'!$A$5:$A$1004,A155,'전기원장'!$J$5:$J$1004,"확인 필요")+COUNTIFS('당기원장'!$A$5:$A$1004,A155,'당기원장'!$J$5:$J$1004,"확인 필요"))</x:f>
      </x:c>
      <x:c r="K155" s="87" t="str">
        <x:f>IF(A155="","",IF(H155&lt;&gt;"원인분석 대상","",IF(J155&gt;0,"붙임 문서 확인 후 원인 확정 필요","결의서명 기반 원인분류 검토")))</x:f>
      </x:c>
    </x:row>
    <x:row r="156">
      <x:c r="A156" s="73"/>
      <x:c r="B156" s="73" t="str">
        <x:f>IF(A156="","",IFERROR(XLOOKUP(A156,'당기원장'!$A$5:$A$1004,'당기원장'!$B$5:$B$1004),XLOOKUP(A156,'전기원장'!$A$5:$A$1004,'전기원장'!$B$5:$B$1004,"")))</x:f>
      </x:c>
      <x:c r="C156" s="75" t="str">
        <x:f>IF(A156="","",SUMIF('전기원장'!$A$5:$A$1004,A156,'전기원장'!$H$5:$H$1004))</x:f>
      </x:c>
      <x:c r="D156" s="75" t="str">
        <x:f>IF(A156="","",SUMIF('당기원장'!$A$5:$A$1004,A156,'당기원장'!$H$5:$H$1004))</x:f>
      </x:c>
      <x:c r="E156" s="75" t="str">
        <x:f>IF(A156="","",D156-C156)</x:f>
      </x:c>
      <x:c r="F156" s="86" t="str">
        <x:f>IF(A156="","",IF(C156=0,IF(D156=0,0,1),ABS(E156)/ABS(C156)))</x:f>
      </x:c>
      <x:c r="G156" s="73" t="str">
        <x:f>IF(A156="","",IF(AND(C156=0,D156&lt;&gt;0),"신규",IF(AND(C156&lt;&gt;0,D156=0),"소멸",IF(E156=0,"변동없음","금액변동"))))</x:f>
      </x:c>
      <x:c r="H156" s="73" t="str">
        <x:f>IF(A156="","",IF(AND(ABS(E156)&gt;='기준설정'!$B$6,OR(G156="신규",G156="소멸",F156&gt;='기준설정'!$B$5)),"원인분석 대상","일반"))</x:f>
      </x:c>
      <x:c r="I156" s="73" t="str">
        <x:f>IF(A156="","",IF(H156="원인분석 대상","세부원인분석 시트에서 거래별 원인을 검토","-"))</x:f>
      </x:c>
      <x:c r="J156" s="73" t="str">
        <x:f>IF(A156="","",COUNTIFS('전기원장'!$A$5:$A$1004,A156,'전기원장'!$J$5:$J$1004,"확인 필요")+COUNTIFS('당기원장'!$A$5:$A$1004,A156,'당기원장'!$J$5:$J$1004,"확인 필요"))</x:f>
      </x:c>
      <x:c r="K156" s="87" t="str">
        <x:f>IF(A156="","",IF(H156&lt;&gt;"원인분석 대상","",IF(J156&gt;0,"붙임 문서 확인 후 원인 확정 필요","결의서명 기반 원인분류 검토")))</x:f>
      </x:c>
    </x:row>
    <x:row r="157">
      <x:c r="A157" s="73"/>
      <x:c r="B157" s="73" t="str">
        <x:f>IF(A157="","",IFERROR(XLOOKUP(A157,'당기원장'!$A$5:$A$1004,'당기원장'!$B$5:$B$1004),XLOOKUP(A157,'전기원장'!$A$5:$A$1004,'전기원장'!$B$5:$B$1004,"")))</x:f>
      </x:c>
      <x:c r="C157" s="75" t="str">
        <x:f>IF(A157="","",SUMIF('전기원장'!$A$5:$A$1004,A157,'전기원장'!$H$5:$H$1004))</x:f>
      </x:c>
      <x:c r="D157" s="75" t="str">
        <x:f>IF(A157="","",SUMIF('당기원장'!$A$5:$A$1004,A157,'당기원장'!$H$5:$H$1004))</x:f>
      </x:c>
      <x:c r="E157" s="75" t="str">
        <x:f>IF(A157="","",D157-C157)</x:f>
      </x:c>
      <x:c r="F157" s="86" t="str">
        <x:f>IF(A157="","",IF(C157=0,IF(D157=0,0,1),ABS(E157)/ABS(C157)))</x:f>
      </x:c>
      <x:c r="G157" s="73" t="str">
        <x:f>IF(A157="","",IF(AND(C157=0,D157&lt;&gt;0),"신규",IF(AND(C157&lt;&gt;0,D157=0),"소멸",IF(E157=0,"변동없음","금액변동"))))</x:f>
      </x:c>
      <x:c r="H157" s="73" t="str">
        <x:f>IF(A157="","",IF(AND(ABS(E157)&gt;='기준설정'!$B$6,OR(G157="신규",G157="소멸",F157&gt;='기준설정'!$B$5)),"원인분석 대상","일반"))</x:f>
      </x:c>
      <x:c r="I157" s="73" t="str">
        <x:f>IF(A157="","",IF(H157="원인분석 대상","세부원인분석 시트에서 거래별 원인을 검토","-"))</x:f>
      </x:c>
      <x:c r="J157" s="73" t="str">
        <x:f>IF(A157="","",COUNTIFS('전기원장'!$A$5:$A$1004,A157,'전기원장'!$J$5:$J$1004,"확인 필요")+COUNTIFS('당기원장'!$A$5:$A$1004,A157,'당기원장'!$J$5:$J$1004,"확인 필요"))</x:f>
      </x:c>
      <x:c r="K157" s="87" t="str">
        <x:f>IF(A157="","",IF(H157&lt;&gt;"원인분석 대상","",IF(J157&gt;0,"붙임 문서 확인 후 원인 확정 필요","결의서명 기반 원인분류 검토")))</x:f>
      </x:c>
    </x:row>
    <x:row r="158">
      <x:c r="A158" s="73"/>
      <x:c r="B158" s="73" t="str">
        <x:f>IF(A158="","",IFERROR(XLOOKUP(A158,'당기원장'!$A$5:$A$1004,'당기원장'!$B$5:$B$1004),XLOOKUP(A158,'전기원장'!$A$5:$A$1004,'전기원장'!$B$5:$B$1004,"")))</x:f>
      </x:c>
      <x:c r="C158" s="75" t="str">
        <x:f>IF(A158="","",SUMIF('전기원장'!$A$5:$A$1004,A158,'전기원장'!$H$5:$H$1004))</x:f>
      </x:c>
      <x:c r="D158" s="75" t="str">
        <x:f>IF(A158="","",SUMIF('당기원장'!$A$5:$A$1004,A158,'당기원장'!$H$5:$H$1004))</x:f>
      </x:c>
      <x:c r="E158" s="75" t="str">
        <x:f>IF(A158="","",D158-C158)</x:f>
      </x:c>
      <x:c r="F158" s="86" t="str">
        <x:f>IF(A158="","",IF(C158=0,IF(D158=0,0,1),ABS(E158)/ABS(C158)))</x:f>
      </x:c>
      <x:c r="G158" s="73" t="str">
        <x:f>IF(A158="","",IF(AND(C158=0,D158&lt;&gt;0),"신규",IF(AND(C158&lt;&gt;0,D158=0),"소멸",IF(E158=0,"변동없음","금액변동"))))</x:f>
      </x:c>
      <x:c r="H158" s="73" t="str">
        <x:f>IF(A158="","",IF(AND(ABS(E158)&gt;='기준설정'!$B$6,OR(G158="신규",G158="소멸",F158&gt;='기준설정'!$B$5)),"원인분석 대상","일반"))</x:f>
      </x:c>
      <x:c r="I158" s="73" t="str">
        <x:f>IF(A158="","",IF(H158="원인분석 대상","세부원인분석 시트에서 거래별 원인을 검토","-"))</x:f>
      </x:c>
      <x:c r="J158" s="73" t="str">
        <x:f>IF(A158="","",COUNTIFS('전기원장'!$A$5:$A$1004,A158,'전기원장'!$J$5:$J$1004,"확인 필요")+COUNTIFS('당기원장'!$A$5:$A$1004,A158,'당기원장'!$J$5:$J$1004,"확인 필요"))</x:f>
      </x:c>
      <x:c r="K158" s="87" t="str">
        <x:f>IF(A158="","",IF(H158&lt;&gt;"원인분석 대상","",IF(J158&gt;0,"붙임 문서 확인 후 원인 확정 필요","결의서명 기반 원인분류 검토")))</x:f>
      </x:c>
    </x:row>
    <x:row r="159">
      <x:c r="A159" s="73"/>
      <x:c r="B159" s="73" t="str">
        <x:f>IF(A159="","",IFERROR(XLOOKUP(A159,'당기원장'!$A$5:$A$1004,'당기원장'!$B$5:$B$1004),XLOOKUP(A159,'전기원장'!$A$5:$A$1004,'전기원장'!$B$5:$B$1004,"")))</x:f>
      </x:c>
      <x:c r="C159" s="75" t="str">
        <x:f>IF(A159="","",SUMIF('전기원장'!$A$5:$A$1004,A159,'전기원장'!$H$5:$H$1004))</x:f>
      </x:c>
      <x:c r="D159" s="75" t="str">
        <x:f>IF(A159="","",SUMIF('당기원장'!$A$5:$A$1004,A159,'당기원장'!$H$5:$H$1004))</x:f>
      </x:c>
      <x:c r="E159" s="75" t="str">
        <x:f>IF(A159="","",D159-C159)</x:f>
      </x:c>
      <x:c r="F159" s="86" t="str">
        <x:f>IF(A159="","",IF(C159=0,IF(D159=0,0,1),ABS(E159)/ABS(C159)))</x:f>
      </x:c>
      <x:c r="G159" s="73" t="str">
        <x:f>IF(A159="","",IF(AND(C159=0,D159&lt;&gt;0),"신규",IF(AND(C159&lt;&gt;0,D159=0),"소멸",IF(E159=0,"변동없음","금액변동"))))</x:f>
      </x:c>
      <x:c r="H159" s="73" t="str">
        <x:f>IF(A159="","",IF(AND(ABS(E159)&gt;='기준설정'!$B$6,OR(G159="신규",G159="소멸",F159&gt;='기준설정'!$B$5)),"원인분석 대상","일반"))</x:f>
      </x:c>
      <x:c r="I159" s="73" t="str">
        <x:f>IF(A159="","",IF(H159="원인분석 대상","세부원인분석 시트에서 거래별 원인을 검토","-"))</x:f>
      </x:c>
      <x:c r="J159" s="73" t="str">
        <x:f>IF(A159="","",COUNTIFS('전기원장'!$A$5:$A$1004,A159,'전기원장'!$J$5:$J$1004,"확인 필요")+COUNTIFS('당기원장'!$A$5:$A$1004,A159,'당기원장'!$J$5:$J$1004,"확인 필요"))</x:f>
      </x:c>
      <x:c r="K159" s="87" t="str">
        <x:f>IF(A159="","",IF(H159&lt;&gt;"원인분석 대상","",IF(J159&gt;0,"붙임 문서 확인 후 원인 확정 필요","결의서명 기반 원인분류 검토")))</x:f>
      </x:c>
    </x:row>
    <x:row r="160">
      <x:c r="A160" s="73"/>
      <x:c r="B160" s="73" t="str">
        <x:f>IF(A160="","",IFERROR(XLOOKUP(A160,'당기원장'!$A$5:$A$1004,'당기원장'!$B$5:$B$1004),XLOOKUP(A160,'전기원장'!$A$5:$A$1004,'전기원장'!$B$5:$B$1004,"")))</x:f>
      </x:c>
      <x:c r="C160" s="75" t="str">
        <x:f>IF(A160="","",SUMIF('전기원장'!$A$5:$A$1004,A160,'전기원장'!$H$5:$H$1004))</x:f>
      </x:c>
      <x:c r="D160" s="75" t="str">
        <x:f>IF(A160="","",SUMIF('당기원장'!$A$5:$A$1004,A160,'당기원장'!$H$5:$H$1004))</x:f>
      </x:c>
      <x:c r="E160" s="75" t="str">
        <x:f>IF(A160="","",D160-C160)</x:f>
      </x:c>
      <x:c r="F160" s="86" t="str">
        <x:f>IF(A160="","",IF(C160=0,IF(D160=0,0,1),ABS(E160)/ABS(C160)))</x:f>
      </x:c>
      <x:c r="G160" s="73" t="str">
        <x:f>IF(A160="","",IF(AND(C160=0,D160&lt;&gt;0),"신규",IF(AND(C160&lt;&gt;0,D160=0),"소멸",IF(E160=0,"변동없음","금액변동"))))</x:f>
      </x:c>
      <x:c r="H160" s="73" t="str">
        <x:f>IF(A160="","",IF(AND(ABS(E160)&gt;='기준설정'!$B$6,OR(G160="신규",G160="소멸",F160&gt;='기준설정'!$B$5)),"원인분석 대상","일반"))</x:f>
      </x:c>
      <x:c r="I160" s="73" t="str">
        <x:f>IF(A160="","",IF(H160="원인분석 대상","세부원인분석 시트에서 거래별 원인을 검토","-"))</x:f>
      </x:c>
      <x:c r="J160" s="73" t="str">
        <x:f>IF(A160="","",COUNTIFS('전기원장'!$A$5:$A$1004,A160,'전기원장'!$J$5:$J$1004,"확인 필요")+COUNTIFS('당기원장'!$A$5:$A$1004,A160,'당기원장'!$J$5:$J$1004,"확인 필요"))</x:f>
      </x:c>
      <x:c r="K160" s="87" t="str">
        <x:f>IF(A160="","",IF(H160&lt;&gt;"원인분석 대상","",IF(J160&gt;0,"붙임 문서 확인 후 원인 확정 필요","결의서명 기반 원인분류 검토")))</x:f>
      </x:c>
    </x:row>
    <x:row r="161">
      <x:c r="A161" s="73"/>
      <x:c r="B161" s="73" t="str">
        <x:f>IF(A161="","",IFERROR(XLOOKUP(A161,'당기원장'!$A$5:$A$1004,'당기원장'!$B$5:$B$1004),XLOOKUP(A161,'전기원장'!$A$5:$A$1004,'전기원장'!$B$5:$B$1004,"")))</x:f>
      </x:c>
      <x:c r="C161" s="75" t="str">
        <x:f>IF(A161="","",SUMIF('전기원장'!$A$5:$A$1004,A161,'전기원장'!$H$5:$H$1004))</x:f>
      </x:c>
      <x:c r="D161" s="75" t="str">
        <x:f>IF(A161="","",SUMIF('당기원장'!$A$5:$A$1004,A161,'당기원장'!$H$5:$H$1004))</x:f>
      </x:c>
      <x:c r="E161" s="75" t="str">
        <x:f>IF(A161="","",D161-C161)</x:f>
      </x:c>
      <x:c r="F161" s="86" t="str">
        <x:f>IF(A161="","",IF(C161=0,IF(D161=0,0,1),ABS(E161)/ABS(C161)))</x:f>
      </x:c>
      <x:c r="G161" s="73" t="str">
        <x:f>IF(A161="","",IF(AND(C161=0,D161&lt;&gt;0),"신규",IF(AND(C161&lt;&gt;0,D161=0),"소멸",IF(E161=0,"변동없음","금액변동"))))</x:f>
      </x:c>
      <x:c r="H161" s="73" t="str">
        <x:f>IF(A161="","",IF(AND(ABS(E161)&gt;='기준설정'!$B$6,OR(G161="신규",G161="소멸",F161&gt;='기준설정'!$B$5)),"원인분석 대상","일반"))</x:f>
      </x:c>
      <x:c r="I161" s="73" t="str">
        <x:f>IF(A161="","",IF(H161="원인분석 대상","세부원인분석 시트에서 거래별 원인을 검토","-"))</x:f>
      </x:c>
      <x:c r="J161" s="73" t="str">
        <x:f>IF(A161="","",COUNTIFS('전기원장'!$A$5:$A$1004,A161,'전기원장'!$J$5:$J$1004,"확인 필요")+COUNTIFS('당기원장'!$A$5:$A$1004,A161,'당기원장'!$J$5:$J$1004,"확인 필요"))</x:f>
      </x:c>
      <x:c r="K161" s="87" t="str">
        <x:f>IF(A161="","",IF(H161&lt;&gt;"원인분석 대상","",IF(J161&gt;0,"붙임 문서 확인 후 원인 확정 필요","결의서명 기반 원인분류 검토")))</x:f>
      </x:c>
    </x:row>
    <x:row r="162">
      <x:c r="A162" s="73"/>
      <x:c r="B162" s="73" t="str">
        <x:f>IF(A162="","",IFERROR(XLOOKUP(A162,'당기원장'!$A$5:$A$1004,'당기원장'!$B$5:$B$1004),XLOOKUP(A162,'전기원장'!$A$5:$A$1004,'전기원장'!$B$5:$B$1004,"")))</x:f>
      </x:c>
      <x:c r="C162" s="75" t="str">
        <x:f>IF(A162="","",SUMIF('전기원장'!$A$5:$A$1004,A162,'전기원장'!$H$5:$H$1004))</x:f>
      </x:c>
      <x:c r="D162" s="75" t="str">
        <x:f>IF(A162="","",SUMIF('당기원장'!$A$5:$A$1004,A162,'당기원장'!$H$5:$H$1004))</x:f>
      </x:c>
      <x:c r="E162" s="75" t="str">
        <x:f>IF(A162="","",D162-C162)</x:f>
      </x:c>
      <x:c r="F162" s="86" t="str">
        <x:f>IF(A162="","",IF(C162=0,IF(D162=0,0,1),ABS(E162)/ABS(C162)))</x:f>
      </x:c>
      <x:c r="G162" s="73" t="str">
        <x:f>IF(A162="","",IF(AND(C162=0,D162&lt;&gt;0),"신규",IF(AND(C162&lt;&gt;0,D162=0),"소멸",IF(E162=0,"변동없음","금액변동"))))</x:f>
      </x:c>
      <x:c r="H162" s="73" t="str">
        <x:f>IF(A162="","",IF(AND(ABS(E162)&gt;='기준설정'!$B$6,OR(G162="신규",G162="소멸",F162&gt;='기준설정'!$B$5)),"원인분석 대상","일반"))</x:f>
      </x:c>
      <x:c r="I162" s="73" t="str">
        <x:f>IF(A162="","",IF(H162="원인분석 대상","세부원인분석 시트에서 거래별 원인을 검토","-"))</x:f>
      </x:c>
      <x:c r="J162" s="73" t="str">
        <x:f>IF(A162="","",COUNTIFS('전기원장'!$A$5:$A$1004,A162,'전기원장'!$J$5:$J$1004,"확인 필요")+COUNTIFS('당기원장'!$A$5:$A$1004,A162,'당기원장'!$J$5:$J$1004,"확인 필요"))</x:f>
      </x:c>
      <x:c r="K162" s="87" t="str">
        <x:f>IF(A162="","",IF(H162&lt;&gt;"원인분석 대상","",IF(J162&gt;0,"붙임 문서 확인 후 원인 확정 필요","결의서명 기반 원인분류 검토")))</x:f>
      </x:c>
    </x:row>
    <x:row r="163">
      <x:c r="A163" s="73"/>
      <x:c r="B163" s="73" t="str">
        <x:f>IF(A163="","",IFERROR(XLOOKUP(A163,'당기원장'!$A$5:$A$1004,'당기원장'!$B$5:$B$1004),XLOOKUP(A163,'전기원장'!$A$5:$A$1004,'전기원장'!$B$5:$B$1004,"")))</x:f>
      </x:c>
      <x:c r="C163" s="75" t="str">
        <x:f>IF(A163="","",SUMIF('전기원장'!$A$5:$A$1004,A163,'전기원장'!$H$5:$H$1004))</x:f>
      </x:c>
      <x:c r="D163" s="75" t="str">
        <x:f>IF(A163="","",SUMIF('당기원장'!$A$5:$A$1004,A163,'당기원장'!$H$5:$H$1004))</x:f>
      </x:c>
      <x:c r="E163" s="75" t="str">
        <x:f>IF(A163="","",D163-C163)</x:f>
      </x:c>
      <x:c r="F163" s="86" t="str">
        <x:f>IF(A163="","",IF(C163=0,IF(D163=0,0,1),ABS(E163)/ABS(C163)))</x:f>
      </x:c>
      <x:c r="G163" s="73" t="str">
        <x:f>IF(A163="","",IF(AND(C163=0,D163&lt;&gt;0),"신규",IF(AND(C163&lt;&gt;0,D163=0),"소멸",IF(E163=0,"변동없음","금액변동"))))</x:f>
      </x:c>
      <x:c r="H163" s="73" t="str">
        <x:f>IF(A163="","",IF(AND(ABS(E163)&gt;='기준설정'!$B$6,OR(G163="신규",G163="소멸",F163&gt;='기준설정'!$B$5)),"원인분석 대상","일반"))</x:f>
      </x:c>
      <x:c r="I163" s="73" t="str">
        <x:f>IF(A163="","",IF(H163="원인분석 대상","세부원인분석 시트에서 거래별 원인을 검토","-"))</x:f>
      </x:c>
      <x:c r="J163" s="73" t="str">
        <x:f>IF(A163="","",COUNTIFS('전기원장'!$A$5:$A$1004,A163,'전기원장'!$J$5:$J$1004,"확인 필요")+COUNTIFS('당기원장'!$A$5:$A$1004,A163,'당기원장'!$J$5:$J$1004,"확인 필요"))</x:f>
      </x:c>
      <x:c r="K163" s="87" t="str">
        <x:f>IF(A163="","",IF(H163&lt;&gt;"원인분석 대상","",IF(J163&gt;0,"붙임 문서 확인 후 원인 확정 필요","결의서명 기반 원인분류 검토")))</x:f>
      </x:c>
    </x:row>
    <x:row r="164">
      <x:c r="A164" s="73"/>
      <x:c r="B164" s="73" t="str">
        <x:f>IF(A164="","",IFERROR(XLOOKUP(A164,'당기원장'!$A$5:$A$1004,'당기원장'!$B$5:$B$1004),XLOOKUP(A164,'전기원장'!$A$5:$A$1004,'전기원장'!$B$5:$B$1004,"")))</x:f>
      </x:c>
      <x:c r="C164" s="75" t="str">
        <x:f>IF(A164="","",SUMIF('전기원장'!$A$5:$A$1004,A164,'전기원장'!$H$5:$H$1004))</x:f>
      </x:c>
      <x:c r="D164" s="75" t="str">
        <x:f>IF(A164="","",SUMIF('당기원장'!$A$5:$A$1004,A164,'당기원장'!$H$5:$H$1004))</x:f>
      </x:c>
      <x:c r="E164" s="75" t="str">
        <x:f>IF(A164="","",D164-C164)</x:f>
      </x:c>
      <x:c r="F164" s="86" t="str">
        <x:f>IF(A164="","",IF(C164=0,IF(D164=0,0,1),ABS(E164)/ABS(C164)))</x:f>
      </x:c>
      <x:c r="G164" s="73" t="str">
        <x:f>IF(A164="","",IF(AND(C164=0,D164&lt;&gt;0),"신규",IF(AND(C164&lt;&gt;0,D164=0),"소멸",IF(E164=0,"변동없음","금액변동"))))</x:f>
      </x:c>
      <x:c r="H164" s="73" t="str">
        <x:f>IF(A164="","",IF(AND(ABS(E164)&gt;='기준설정'!$B$6,OR(G164="신규",G164="소멸",F164&gt;='기준설정'!$B$5)),"원인분석 대상","일반"))</x:f>
      </x:c>
      <x:c r="I164" s="73" t="str">
        <x:f>IF(A164="","",IF(H164="원인분석 대상","세부원인분석 시트에서 거래별 원인을 검토","-"))</x:f>
      </x:c>
      <x:c r="J164" s="73" t="str">
        <x:f>IF(A164="","",COUNTIFS('전기원장'!$A$5:$A$1004,A164,'전기원장'!$J$5:$J$1004,"확인 필요")+COUNTIFS('당기원장'!$A$5:$A$1004,A164,'당기원장'!$J$5:$J$1004,"확인 필요"))</x:f>
      </x:c>
      <x:c r="K164" s="87" t="str">
        <x:f>IF(A164="","",IF(H164&lt;&gt;"원인분석 대상","",IF(J164&gt;0,"붙임 문서 확인 후 원인 확정 필요","결의서명 기반 원인분류 검토")))</x:f>
      </x:c>
    </x:row>
    <x:row r="165">
      <x:c r="A165" s="73"/>
      <x:c r="B165" s="73" t="str">
        <x:f>IF(A165="","",IFERROR(XLOOKUP(A165,'당기원장'!$A$5:$A$1004,'당기원장'!$B$5:$B$1004),XLOOKUP(A165,'전기원장'!$A$5:$A$1004,'전기원장'!$B$5:$B$1004,"")))</x:f>
      </x:c>
      <x:c r="C165" s="75" t="str">
        <x:f>IF(A165="","",SUMIF('전기원장'!$A$5:$A$1004,A165,'전기원장'!$H$5:$H$1004))</x:f>
      </x:c>
      <x:c r="D165" s="75" t="str">
        <x:f>IF(A165="","",SUMIF('당기원장'!$A$5:$A$1004,A165,'당기원장'!$H$5:$H$1004))</x:f>
      </x:c>
      <x:c r="E165" s="75" t="str">
        <x:f>IF(A165="","",D165-C165)</x:f>
      </x:c>
      <x:c r="F165" s="86" t="str">
        <x:f>IF(A165="","",IF(C165=0,IF(D165=0,0,1),ABS(E165)/ABS(C165)))</x:f>
      </x:c>
      <x:c r="G165" s="73" t="str">
        <x:f>IF(A165="","",IF(AND(C165=0,D165&lt;&gt;0),"신규",IF(AND(C165&lt;&gt;0,D165=0),"소멸",IF(E165=0,"변동없음","금액변동"))))</x:f>
      </x:c>
      <x:c r="H165" s="73" t="str">
        <x:f>IF(A165="","",IF(AND(ABS(E165)&gt;='기준설정'!$B$6,OR(G165="신규",G165="소멸",F165&gt;='기준설정'!$B$5)),"원인분석 대상","일반"))</x:f>
      </x:c>
      <x:c r="I165" s="73" t="str">
        <x:f>IF(A165="","",IF(H165="원인분석 대상","세부원인분석 시트에서 거래별 원인을 검토","-"))</x:f>
      </x:c>
      <x:c r="J165" s="73" t="str">
        <x:f>IF(A165="","",COUNTIFS('전기원장'!$A$5:$A$1004,A165,'전기원장'!$J$5:$J$1004,"확인 필요")+COUNTIFS('당기원장'!$A$5:$A$1004,A165,'당기원장'!$J$5:$J$1004,"확인 필요"))</x:f>
      </x:c>
      <x:c r="K165" s="87" t="str">
        <x:f>IF(A165="","",IF(H165&lt;&gt;"원인분석 대상","",IF(J165&gt;0,"붙임 문서 확인 후 원인 확정 필요","결의서명 기반 원인분류 검토")))</x:f>
      </x:c>
    </x:row>
    <x:row r="166">
      <x:c r="A166" s="73"/>
      <x:c r="B166" s="73" t="str">
        <x:f>IF(A166="","",IFERROR(XLOOKUP(A166,'당기원장'!$A$5:$A$1004,'당기원장'!$B$5:$B$1004),XLOOKUP(A166,'전기원장'!$A$5:$A$1004,'전기원장'!$B$5:$B$1004,"")))</x:f>
      </x:c>
      <x:c r="C166" s="75" t="str">
        <x:f>IF(A166="","",SUMIF('전기원장'!$A$5:$A$1004,A166,'전기원장'!$H$5:$H$1004))</x:f>
      </x:c>
      <x:c r="D166" s="75" t="str">
        <x:f>IF(A166="","",SUMIF('당기원장'!$A$5:$A$1004,A166,'당기원장'!$H$5:$H$1004))</x:f>
      </x:c>
      <x:c r="E166" s="75" t="str">
        <x:f>IF(A166="","",D166-C166)</x:f>
      </x:c>
      <x:c r="F166" s="86" t="str">
        <x:f>IF(A166="","",IF(C166=0,IF(D166=0,0,1),ABS(E166)/ABS(C166)))</x:f>
      </x:c>
      <x:c r="G166" s="73" t="str">
        <x:f>IF(A166="","",IF(AND(C166=0,D166&lt;&gt;0),"신규",IF(AND(C166&lt;&gt;0,D166=0),"소멸",IF(E166=0,"변동없음","금액변동"))))</x:f>
      </x:c>
      <x:c r="H166" s="73" t="str">
        <x:f>IF(A166="","",IF(AND(ABS(E166)&gt;='기준설정'!$B$6,OR(G166="신규",G166="소멸",F166&gt;='기준설정'!$B$5)),"원인분석 대상","일반"))</x:f>
      </x:c>
      <x:c r="I166" s="73" t="str">
        <x:f>IF(A166="","",IF(H166="원인분석 대상","세부원인분석 시트에서 거래별 원인을 검토","-"))</x:f>
      </x:c>
      <x:c r="J166" s="73" t="str">
        <x:f>IF(A166="","",COUNTIFS('전기원장'!$A$5:$A$1004,A166,'전기원장'!$J$5:$J$1004,"확인 필요")+COUNTIFS('당기원장'!$A$5:$A$1004,A166,'당기원장'!$J$5:$J$1004,"확인 필요"))</x:f>
      </x:c>
      <x:c r="K166" s="87" t="str">
        <x:f>IF(A166="","",IF(H166&lt;&gt;"원인분석 대상","",IF(J166&gt;0,"붙임 문서 확인 후 원인 확정 필요","결의서명 기반 원인분류 검토")))</x:f>
      </x:c>
    </x:row>
    <x:row r="167">
      <x:c r="A167" s="73"/>
      <x:c r="B167" s="73" t="str">
        <x:f>IF(A167="","",IFERROR(XLOOKUP(A167,'당기원장'!$A$5:$A$1004,'당기원장'!$B$5:$B$1004),XLOOKUP(A167,'전기원장'!$A$5:$A$1004,'전기원장'!$B$5:$B$1004,"")))</x:f>
      </x:c>
      <x:c r="C167" s="75" t="str">
        <x:f>IF(A167="","",SUMIF('전기원장'!$A$5:$A$1004,A167,'전기원장'!$H$5:$H$1004))</x:f>
      </x:c>
      <x:c r="D167" s="75" t="str">
        <x:f>IF(A167="","",SUMIF('당기원장'!$A$5:$A$1004,A167,'당기원장'!$H$5:$H$1004))</x:f>
      </x:c>
      <x:c r="E167" s="75" t="str">
        <x:f>IF(A167="","",D167-C167)</x:f>
      </x:c>
      <x:c r="F167" s="86" t="str">
        <x:f>IF(A167="","",IF(C167=0,IF(D167=0,0,1),ABS(E167)/ABS(C167)))</x:f>
      </x:c>
      <x:c r="G167" s="73" t="str">
        <x:f>IF(A167="","",IF(AND(C167=0,D167&lt;&gt;0),"신규",IF(AND(C167&lt;&gt;0,D167=0),"소멸",IF(E167=0,"변동없음","금액변동"))))</x:f>
      </x:c>
      <x:c r="H167" s="73" t="str">
        <x:f>IF(A167="","",IF(AND(ABS(E167)&gt;='기준설정'!$B$6,OR(G167="신규",G167="소멸",F167&gt;='기준설정'!$B$5)),"원인분석 대상","일반"))</x:f>
      </x:c>
      <x:c r="I167" s="73" t="str">
        <x:f>IF(A167="","",IF(H167="원인분석 대상","세부원인분석 시트에서 거래별 원인을 검토","-"))</x:f>
      </x:c>
      <x:c r="J167" s="73" t="str">
        <x:f>IF(A167="","",COUNTIFS('전기원장'!$A$5:$A$1004,A167,'전기원장'!$J$5:$J$1004,"확인 필요")+COUNTIFS('당기원장'!$A$5:$A$1004,A167,'당기원장'!$J$5:$J$1004,"확인 필요"))</x:f>
      </x:c>
      <x:c r="K167" s="87" t="str">
        <x:f>IF(A167="","",IF(H167&lt;&gt;"원인분석 대상","",IF(J167&gt;0,"붙임 문서 확인 후 원인 확정 필요","결의서명 기반 원인분류 검토")))</x:f>
      </x:c>
    </x:row>
    <x:row r="168">
      <x:c r="A168" s="73"/>
      <x:c r="B168" s="73" t="str">
        <x:f>IF(A168="","",IFERROR(XLOOKUP(A168,'당기원장'!$A$5:$A$1004,'당기원장'!$B$5:$B$1004),XLOOKUP(A168,'전기원장'!$A$5:$A$1004,'전기원장'!$B$5:$B$1004,"")))</x:f>
      </x:c>
      <x:c r="C168" s="75" t="str">
        <x:f>IF(A168="","",SUMIF('전기원장'!$A$5:$A$1004,A168,'전기원장'!$H$5:$H$1004))</x:f>
      </x:c>
      <x:c r="D168" s="75" t="str">
        <x:f>IF(A168="","",SUMIF('당기원장'!$A$5:$A$1004,A168,'당기원장'!$H$5:$H$1004))</x:f>
      </x:c>
      <x:c r="E168" s="75" t="str">
        <x:f>IF(A168="","",D168-C168)</x:f>
      </x:c>
      <x:c r="F168" s="86" t="str">
        <x:f>IF(A168="","",IF(C168=0,IF(D168=0,0,1),ABS(E168)/ABS(C168)))</x:f>
      </x:c>
      <x:c r="G168" s="73" t="str">
        <x:f>IF(A168="","",IF(AND(C168=0,D168&lt;&gt;0),"신규",IF(AND(C168&lt;&gt;0,D168=0),"소멸",IF(E168=0,"변동없음","금액변동"))))</x:f>
      </x:c>
      <x:c r="H168" s="73" t="str">
        <x:f>IF(A168="","",IF(AND(ABS(E168)&gt;='기준설정'!$B$6,OR(G168="신규",G168="소멸",F168&gt;='기준설정'!$B$5)),"원인분석 대상","일반"))</x:f>
      </x:c>
      <x:c r="I168" s="73" t="str">
        <x:f>IF(A168="","",IF(H168="원인분석 대상","세부원인분석 시트에서 거래별 원인을 검토","-"))</x:f>
      </x:c>
      <x:c r="J168" s="73" t="str">
        <x:f>IF(A168="","",COUNTIFS('전기원장'!$A$5:$A$1004,A168,'전기원장'!$J$5:$J$1004,"확인 필요")+COUNTIFS('당기원장'!$A$5:$A$1004,A168,'당기원장'!$J$5:$J$1004,"확인 필요"))</x:f>
      </x:c>
      <x:c r="K168" s="87" t="str">
        <x:f>IF(A168="","",IF(H168&lt;&gt;"원인분석 대상","",IF(J168&gt;0,"붙임 문서 확인 후 원인 확정 필요","결의서명 기반 원인분류 검토")))</x:f>
      </x:c>
    </x:row>
    <x:row r="169">
      <x:c r="A169" s="73"/>
      <x:c r="B169" s="73" t="str">
        <x:f>IF(A169="","",IFERROR(XLOOKUP(A169,'당기원장'!$A$5:$A$1004,'당기원장'!$B$5:$B$1004),XLOOKUP(A169,'전기원장'!$A$5:$A$1004,'전기원장'!$B$5:$B$1004,"")))</x:f>
      </x:c>
      <x:c r="C169" s="75" t="str">
        <x:f>IF(A169="","",SUMIF('전기원장'!$A$5:$A$1004,A169,'전기원장'!$H$5:$H$1004))</x:f>
      </x:c>
      <x:c r="D169" s="75" t="str">
        <x:f>IF(A169="","",SUMIF('당기원장'!$A$5:$A$1004,A169,'당기원장'!$H$5:$H$1004))</x:f>
      </x:c>
      <x:c r="E169" s="75" t="str">
        <x:f>IF(A169="","",D169-C169)</x:f>
      </x:c>
      <x:c r="F169" s="86" t="str">
        <x:f>IF(A169="","",IF(C169=0,IF(D169=0,0,1),ABS(E169)/ABS(C169)))</x:f>
      </x:c>
      <x:c r="G169" s="73" t="str">
        <x:f>IF(A169="","",IF(AND(C169=0,D169&lt;&gt;0),"신규",IF(AND(C169&lt;&gt;0,D169=0),"소멸",IF(E169=0,"변동없음","금액변동"))))</x:f>
      </x:c>
      <x:c r="H169" s="73" t="str">
        <x:f>IF(A169="","",IF(AND(ABS(E169)&gt;='기준설정'!$B$6,OR(G169="신규",G169="소멸",F169&gt;='기준설정'!$B$5)),"원인분석 대상","일반"))</x:f>
      </x:c>
      <x:c r="I169" s="73" t="str">
        <x:f>IF(A169="","",IF(H169="원인분석 대상","세부원인분석 시트에서 거래별 원인을 검토","-"))</x:f>
      </x:c>
      <x:c r="J169" s="73" t="str">
        <x:f>IF(A169="","",COUNTIFS('전기원장'!$A$5:$A$1004,A169,'전기원장'!$J$5:$J$1004,"확인 필요")+COUNTIFS('당기원장'!$A$5:$A$1004,A169,'당기원장'!$J$5:$J$1004,"확인 필요"))</x:f>
      </x:c>
      <x:c r="K169" s="87" t="str">
        <x:f>IF(A169="","",IF(H169&lt;&gt;"원인분석 대상","",IF(J169&gt;0,"붙임 문서 확인 후 원인 확정 필요","결의서명 기반 원인분류 검토")))</x:f>
      </x:c>
    </x:row>
    <x:row r="170">
      <x:c r="A170" s="73"/>
      <x:c r="B170" s="73" t="str">
        <x:f>IF(A170="","",IFERROR(XLOOKUP(A170,'당기원장'!$A$5:$A$1004,'당기원장'!$B$5:$B$1004),XLOOKUP(A170,'전기원장'!$A$5:$A$1004,'전기원장'!$B$5:$B$1004,"")))</x:f>
      </x:c>
      <x:c r="C170" s="75" t="str">
        <x:f>IF(A170="","",SUMIF('전기원장'!$A$5:$A$1004,A170,'전기원장'!$H$5:$H$1004))</x:f>
      </x:c>
      <x:c r="D170" s="75" t="str">
        <x:f>IF(A170="","",SUMIF('당기원장'!$A$5:$A$1004,A170,'당기원장'!$H$5:$H$1004))</x:f>
      </x:c>
      <x:c r="E170" s="75" t="str">
        <x:f>IF(A170="","",D170-C170)</x:f>
      </x:c>
      <x:c r="F170" s="86" t="str">
        <x:f>IF(A170="","",IF(C170=0,IF(D170=0,0,1),ABS(E170)/ABS(C170)))</x:f>
      </x:c>
      <x:c r="G170" s="73" t="str">
        <x:f>IF(A170="","",IF(AND(C170=0,D170&lt;&gt;0),"신규",IF(AND(C170&lt;&gt;0,D170=0),"소멸",IF(E170=0,"변동없음","금액변동"))))</x:f>
      </x:c>
      <x:c r="H170" s="73" t="str">
        <x:f>IF(A170="","",IF(AND(ABS(E170)&gt;='기준설정'!$B$6,OR(G170="신규",G170="소멸",F170&gt;='기준설정'!$B$5)),"원인분석 대상","일반"))</x:f>
      </x:c>
      <x:c r="I170" s="73" t="str">
        <x:f>IF(A170="","",IF(H170="원인분석 대상","세부원인분석 시트에서 거래별 원인을 검토","-"))</x:f>
      </x:c>
      <x:c r="J170" s="73" t="str">
        <x:f>IF(A170="","",COUNTIFS('전기원장'!$A$5:$A$1004,A170,'전기원장'!$J$5:$J$1004,"확인 필요")+COUNTIFS('당기원장'!$A$5:$A$1004,A170,'당기원장'!$J$5:$J$1004,"확인 필요"))</x:f>
      </x:c>
      <x:c r="K170" s="87" t="str">
        <x:f>IF(A170="","",IF(H170&lt;&gt;"원인분석 대상","",IF(J170&gt;0,"붙임 문서 확인 후 원인 확정 필요","결의서명 기반 원인분류 검토")))</x:f>
      </x:c>
    </x:row>
    <x:row r="171">
      <x:c r="A171" s="73"/>
      <x:c r="B171" s="73" t="str">
        <x:f>IF(A171="","",IFERROR(XLOOKUP(A171,'당기원장'!$A$5:$A$1004,'당기원장'!$B$5:$B$1004),XLOOKUP(A171,'전기원장'!$A$5:$A$1004,'전기원장'!$B$5:$B$1004,"")))</x:f>
      </x:c>
      <x:c r="C171" s="75" t="str">
        <x:f>IF(A171="","",SUMIF('전기원장'!$A$5:$A$1004,A171,'전기원장'!$H$5:$H$1004))</x:f>
      </x:c>
      <x:c r="D171" s="75" t="str">
        <x:f>IF(A171="","",SUMIF('당기원장'!$A$5:$A$1004,A171,'당기원장'!$H$5:$H$1004))</x:f>
      </x:c>
      <x:c r="E171" s="75" t="str">
        <x:f>IF(A171="","",D171-C171)</x:f>
      </x:c>
      <x:c r="F171" s="86" t="str">
        <x:f>IF(A171="","",IF(C171=0,IF(D171=0,0,1),ABS(E171)/ABS(C171)))</x:f>
      </x:c>
      <x:c r="G171" s="73" t="str">
        <x:f>IF(A171="","",IF(AND(C171=0,D171&lt;&gt;0),"신규",IF(AND(C171&lt;&gt;0,D171=0),"소멸",IF(E171=0,"변동없음","금액변동"))))</x:f>
      </x:c>
      <x:c r="H171" s="73" t="str">
        <x:f>IF(A171="","",IF(AND(ABS(E171)&gt;='기준설정'!$B$6,OR(G171="신규",G171="소멸",F171&gt;='기준설정'!$B$5)),"원인분석 대상","일반"))</x:f>
      </x:c>
      <x:c r="I171" s="73" t="str">
        <x:f>IF(A171="","",IF(H171="원인분석 대상","세부원인분석 시트에서 거래별 원인을 검토","-"))</x:f>
      </x:c>
      <x:c r="J171" s="73" t="str">
        <x:f>IF(A171="","",COUNTIFS('전기원장'!$A$5:$A$1004,A171,'전기원장'!$J$5:$J$1004,"확인 필요")+COUNTIFS('당기원장'!$A$5:$A$1004,A171,'당기원장'!$J$5:$J$1004,"확인 필요"))</x:f>
      </x:c>
      <x:c r="K171" s="87" t="str">
        <x:f>IF(A171="","",IF(H171&lt;&gt;"원인분석 대상","",IF(J171&gt;0,"붙임 문서 확인 후 원인 확정 필요","결의서명 기반 원인분류 검토")))</x:f>
      </x:c>
    </x:row>
    <x:row r="172">
      <x:c r="A172" s="73"/>
      <x:c r="B172" s="73" t="str">
        <x:f>IF(A172="","",IFERROR(XLOOKUP(A172,'당기원장'!$A$5:$A$1004,'당기원장'!$B$5:$B$1004),XLOOKUP(A172,'전기원장'!$A$5:$A$1004,'전기원장'!$B$5:$B$1004,"")))</x:f>
      </x:c>
      <x:c r="C172" s="75" t="str">
        <x:f>IF(A172="","",SUMIF('전기원장'!$A$5:$A$1004,A172,'전기원장'!$H$5:$H$1004))</x:f>
      </x:c>
      <x:c r="D172" s="75" t="str">
        <x:f>IF(A172="","",SUMIF('당기원장'!$A$5:$A$1004,A172,'당기원장'!$H$5:$H$1004))</x:f>
      </x:c>
      <x:c r="E172" s="75" t="str">
        <x:f>IF(A172="","",D172-C172)</x:f>
      </x:c>
      <x:c r="F172" s="86" t="str">
        <x:f>IF(A172="","",IF(C172=0,IF(D172=0,0,1),ABS(E172)/ABS(C172)))</x:f>
      </x:c>
      <x:c r="G172" s="73" t="str">
        <x:f>IF(A172="","",IF(AND(C172=0,D172&lt;&gt;0),"신규",IF(AND(C172&lt;&gt;0,D172=0),"소멸",IF(E172=0,"변동없음","금액변동"))))</x:f>
      </x:c>
      <x:c r="H172" s="73" t="str">
        <x:f>IF(A172="","",IF(AND(ABS(E172)&gt;='기준설정'!$B$6,OR(G172="신규",G172="소멸",F172&gt;='기준설정'!$B$5)),"원인분석 대상","일반"))</x:f>
      </x:c>
      <x:c r="I172" s="73" t="str">
        <x:f>IF(A172="","",IF(H172="원인분석 대상","세부원인분석 시트에서 거래별 원인을 검토","-"))</x:f>
      </x:c>
      <x:c r="J172" s="73" t="str">
        <x:f>IF(A172="","",COUNTIFS('전기원장'!$A$5:$A$1004,A172,'전기원장'!$J$5:$J$1004,"확인 필요")+COUNTIFS('당기원장'!$A$5:$A$1004,A172,'당기원장'!$J$5:$J$1004,"확인 필요"))</x:f>
      </x:c>
      <x:c r="K172" s="87" t="str">
        <x:f>IF(A172="","",IF(H172&lt;&gt;"원인분석 대상","",IF(J172&gt;0,"붙임 문서 확인 후 원인 확정 필요","결의서명 기반 원인분류 검토")))</x:f>
      </x:c>
    </x:row>
    <x:row r="173">
      <x:c r="A173" s="73"/>
      <x:c r="B173" s="73" t="str">
        <x:f>IF(A173="","",IFERROR(XLOOKUP(A173,'당기원장'!$A$5:$A$1004,'당기원장'!$B$5:$B$1004),XLOOKUP(A173,'전기원장'!$A$5:$A$1004,'전기원장'!$B$5:$B$1004,"")))</x:f>
      </x:c>
      <x:c r="C173" s="75" t="str">
        <x:f>IF(A173="","",SUMIF('전기원장'!$A$5:$A$1004,A173,'전기원장'!$H$5:$H$1004))</x:f>
      </x:c>
      <x:c r="D173" s="75" t="str">
        <x:f>IF(A173="","",SUMIF('당기원장'!$A$5:$A$1004,A173,'당기원장'!$H$5:$H$1004))</x:f>
      </x:c>
      <x:c r="E173" s="75" t="str">
        <x:f>IF(A173="","",D173-C173)</x:f>
      </x:c>
      <x:c r="F173" s="86" t="str">
        <x:f>IF(A173="","",IF(C173=0,IF(D173=0,0,1),ABS(E173)/ABS(C173)))</x:f>
      </x:c>
      <x:c r="G173" s="73" t="str">
        <x:f>IF(A173="","",IF(AND(C173=0,D173&lt;&gt;0),"신규",IF(AND(C173&lt;&gt;0,D173=0),"소멸",IF(E173=0,"변동없음","금액변동"))))</x:f>
      </x:c>
      <x:c r="H173" s="73" t="str">
        <x:f>IF(A173="","",IF(AND(ABS(E173)&gt;='기준설정'!$B$6,OR(G173="신규",G173="소멸",F173&gt;='기준설정'!$B$5)),"원인분석 대상","일반"))</x:f>
      </x:c>
      <x:c r="I173" s="73" t="str">
        <x:f>IF(A173="","",IF(H173="원인분석 대상","세부원인분석 시트에서 거래별 원인을 검토","-"))</x:f>
      </x:c>
      <x:c r="J173" s="73" t="str">
        <x:f>IF(A173="","",COUNTIFS('전기원장'!$A$5:$A$1004,A173,'전기원장'!$J$5:$J$1004,"확인 필요")+COUNTIFS('당기원장'!$A$5:$A$1004,A173,'당기원장'!$J$5:$J$1004,"확인 필요"))</x:f>
      </x:c>
      <x:c r="K173" s="87" t="str">
        <x:f>IF(A173="","",IF(H173&lt;&gt;"원인분석 대상","",IF(J173&gt;0,"붙임 문서 확인 후 원인 확정 필요","결의서명 기반 원인분류 검토")))</x:f>
      </x:c>
    </x:row>
    <x:row r="174">
      <x:c r="A174" s="73"/>
      <x:c r="B174" s="73" t="str">
        <x:f>IF(A174="","",IFERROR(XLOOKUP(A174,'당기원장'!$A$5:$A$1004,'당기원장'!$B$5:$B$1004),XLOOKUP(A174,'전기원장'!$A$5:$A$1004,'전기원장'!$B$5:$B$1004,"")))</x:f>
      </x:c>
      <x:c r="C174" s="75" t="str">
        <x:f>IF(A174="","",SUMIF('전기원장'!$A$5:$A$1004,A174,'전기원장'!$H$5:$H$1004))</x:f>
      </x:c>
      <x:c r="D174" s="75" t="str">
        <x:f>IF(A174="","",SUMIF('당기원장'!$A$5:$A$1004,A174,'당기원장'!$H$5:$H$1004))</x:f>
      </x:c>
      <x:c r="E174" s="75" t="str">
        <x:f>IF(A174="","",D174-C174)</x:f>
      </x:c>
      <x:c r="F174" s="86" t="str">
        <x:f>IF(A174="","",IF(C174=0,IF(D174=0,0,1),ABS(E174)/ABS(C174)))</x:f>
      </x:c>
      <x:c r="G174" s="73" t="str">
        <x:f>IF(A174="","",IF(AND(C174=0,D174&lt;&gt;0),"신규",IF(AND(C174&lt;&gt;0,D174=0),"소멸",IF(E174=0,"변동없음","금액변동"))))</x:f>
      </x:c>
      <x:c r="H174" s="73" t="str">
        <x:f>IF(A174="","",IF(AND(ABS(E174)&gt;='기준설정'!$B$6,OR(G174="신규",G174="소멸",F174&gt;='기준설정'!$B$5)),"원인분석 대상","일반"))</x:f>
      </x:c>
      <x:c r="I174" s="73" t="str">
        <x:f>IF(A174="","",IF(H174="원인분석 대상","세부원인분석 시트에서 거래별 원인을 검토","-"))</x:f>
      </x:c>
      <x:c r="J174" s="73" t="str">
        <x:f>IF(A174="","",COUNTIFS('전기원장'!$A$5:$A$1004,A174,'전기원장'!$J$5:$J$1004,"확인 필요")+COUNTIFS('당기원장'!$A$5:$A$1004,A174,'당기원장'!$J$5:$J$1004,"확인 필요"))</x:f>
      </x:c>
      <x:c r="K174" s="87" t="str">
        <x:f>IF(A174="","",IF(H174&lt;&gt;"원인분석 대상","",IF(J174&gt;0,"붙임 문서 확인 후 원인 확정 필요","결의서명 기반 원인분류 검토")))</x:f>
      </x:c>
    </x:row>
    <x:row r="175">
      <x:c r="A175" s="73"/>
      <x:c r="B175" s="73" t="str">
        <x:f>IF(A175="","",IFERROR(XLOOKUP(A175,'당기원장'!$A$5:$A$1004,'당기원장'!$B$5:$B$1004),XLOOKUP(A175,'전기원장'!$A$5:$A$1004,'전기원장'!$B$5:$B$1004,"")))</x:f>
      </x:c>
      <x:c r="C175" s="75" t="str">
        <x:f>IF(A175="","",SUMIF('전기원장'!$A$5:$A$1004,A175,'전기원장'!$H$5:$H$1004))</x:f>
      </x:c>
      <x:c r="D175" s="75" t="str">
        <x:f>IF(A175="","",SUMIF('당기원장'!$A$5:$A$1004,A175,'당기원장'!$H$5:$H$1004))</x:f>
      </x:c>
      <x:c r="E175" s="75" t="str">
        <x:f>IF(A175="","",D175-C175)</x:f>
      </x:c>
      <x:c r="F175" s="86" t="str">
        <x:f>IF(A175="","",IF(C175=0,IF(D175=0,0,1),ABS(E175)/ABS(C175)))</x:f>
      </x:c>
      <x:c r="G175" s="73" t="str">
        <x:f>IF(A175="","",IF(AND(C175=0,D175&lt;&gt;0),"신규",IF(AND(C175&lt;&gt;0,D175=0),"소멸",IF(E175=0,"변동없음","금액변동"))))</x:f>
      </x:c>
      <x:c r="H175" s="73" t="str">
        <x:f>IF(A175="","",IF(AND(ABS(E175)&gt;='기준설정'!$B$6,OR(G175="신규",G175="소멸",F175&gt;='기준설정'!$B$5)),"원인분석 대상","일반"))</x:f>
      </x:c>
      <x:c r="I175" s="73" t="str">
        <x:f>IF(A175="","",IF(H175="원인분석 대상","세부원인분석 시트에서 거래별 원인을 검토","-"))</x:f>
      </x:c>
      <x:c r="J175" s="73" t="str">
        <x:f>IF(A175="","",COUNTIFS('전기원장'!$A$5:$A$1004,A175,'전기원장'!$J$5:$J$1004,"확인 필요")+COUNTIFS('당기원장'!$A$5:$A$1004,A175,'당기원장'!$J$5:$J$1004,"확인 필요"))</x:f>
      </x:c>
      <x:c r="K175" s="87" t="str">
        <x:f>IF(A175="","",IF(H175&lt;&gt;"원인분석 대상","",IF(J175&gt;0,"붙임 문서 확인 후 원인 확정 필요","결의서명 기반 원인분류 검토")))</x:f>
      </x:c>
    </x:row>
    <x:row r="176">
      <x:c r="A176" s="73"/>
      <x:c r="B176" s="73" t="str">
        <x:f>IF(A176="","",IFERROR(XLOOKUP(A176,'당기원장'!$A$5:$A$1004,'당기원장'!$B$5:$B$1004),XLOOKUP(A176,'전기원장'!$A$5:$A$1004,'전기원장'!$B$5:$B$1004,"")))</x:f>
      </x:c>
      <x:c r="C176" s="75" t="str">
        <x:f>IF(A176="","",SUMIF('전기원장'!$A$5:$A$1004,A176,'전기원장'!$H$5:$H$1004))</x:f>
      </x:c>
      <x:c r="D176" s="75" t="str">
        <x:f>IF(A176="","",SUMIF('당기원장'!$A$5:$A$1004,A176,'당기원장'!$H$5:$H$1004))</x:f>
      </x:c>
      <x:c r="E176" s="75" t="str">
        <x:f>IF(A176="","",D176-C176)</x:f>
      </x:c>
      <x:c r="F176" s="86" t="str">
        <x:f>IF(A176="","",IF(C176=0,IF(D176=0,0,1),ABS(E176)/ABS(C176)))</x:f>
      </x:c>
      <x:c r="G176" s="73" t="str">
        <x:f>IF(A176="","",IF(AND(C176=0,D176&lt;&gt;0),"신규",IF(AND(C176&lt;&gt;0,D176=0),"소멸",IF(E176=0,"변동없음","금액변동"))))</x:f>
      </x:c>
      <x:c r="H176" s="73" t="str">
        <x:f>IF(A176="","",IF(AND(ABS(E176)&gt;='기준설정'!$B$6,OR(G176="신규",G176="소멸",F176&gt;='기준설정'!$B$5)),"원인분석 대상","일반"))</x:f>
      </x:c>
      <x:c r="I176" s="73" t="str">
        <x:f>IF(A176="","",IF(H176="원인분석 대상","세부원인분석 시트에서 거래별 원인을 검토","-"))</x:f>
      </x:c>
      <x:c r="J176" s="73" t="str">
        <x:f>IF(A176="","",COUNTIFS('전기원장'!$A$5:$A$1004,A176,'전기원장'!$J$5:$J$1004,"확인 필요")+COUNTIFS('당기원장'!$A$5:$A$1004,A176,'당기원장'!$J$5:$J$1004,"확인 필요"))</x:f>
      </x:c>
      <x:c r="K176" s="87" t="str">
        <x:f>IF(A176="","",IF(H176&lt;&gt;"원인분석 대상","",IF(J176&gt;0,"붙임 문서 확인 후 원인 확정 필요","결의서명 기반 원인분류 검토")))</x:f>
      </x:c>
    </x:row>
    <x:row r="177">
      <x:c r="A177" s="73"/>
      <x:c r="B177" s="73" t="str">
        <x:f>IF(A177="","",IFERROR(XLOOKUP(A177,'당기원장'!$A$5:$A$1004,'당기원장'!$B$5:$B$1004),XLOOKUP(A177,'전기원장'!$A$5:$A$1004,'전기원장'!$B$5:$B$1004,"")))</x:f>
      </x:c>
      <x:c r="C177" s="75" t="str">
        <x:f>IF(A177="","",SUMIF('전기원장'!$A$5:$A$1004,A177,'전기원장'!$H$5:$H$1004))</x:f>
      </x:c>
      <x:c r="D177" s="75" t="str">
        <x:f>IF(A177="","",SUMIF('당기원장'!$A$5:$A$1004,A177,'당기원장'!$H$5:$H$1004))</x:f>
      </x:c>
      <x:c r="E177" s="75" t="str">
        <x:f>IF(A177="","",D177-C177)</x:f>
      </x:c>
      <x:c r="F177" s="86" t="str">
        <x:f>IF(A177="","",IF(C177=0,IF(D177=0,0,1),ABS(E177)/ABS(C177)))</x:f>
      </x:c>
      <x:c r="G177" s="73" t="str">
        <x:f>IF(A177="","",IF(AND(C177=0,D177&lt;&gt;0),"신규",IF(AND(C177&lt;&gt;0,D177=0),"소멸",IF(E177=0,"변동없음","금액변동"))))</x:f>
      </x:c>
      <x:c r="H177" s="73" t="str">
        <x:f>IF(A177="","",IF(AND(ABS(E177)&gt;='기준설정'!$B$6,OR(G177="신규",G177="소멸",F177&gt;='기준설정'!$B$5)),"원인분석 대상","일반"))</x:f>
      </x:c>
      <x:c r="I177" s="73" t="str">
        <x:f>IF(A177="","",IF(H177="원인분석 대상","세부원인분석 시트에서 거래별 원인을 검토","-"))</x:f>
      </x:c>
      <x:c r="J177" s="73" t="str">
        <x:f>IF(A177="","",COUNTIFS('전기원장'!$A$5:$A$1004,A177,'전기원장'!$J$5:$J$1004,"확인 필요")+COUNTIFS('당기원장'!$A$5:$A$1004,A177,'당기원장'!$J$5:$J$1004,"확인 필요"))</x:f>
      </x:c>
      <x:c r="K177" s="87" t="str">
        <x:f>IF(A177="","",IF(H177&lt;&gt;"원인분석 대상","",IF(J177&gt;0,"붙임 문서 확인 후 원인 확정 필요","결의서명 기반 원인분류 검토")))</x:f>
      </x:c>
    </x:row>
    <x:row r="178">
      <x:c r="A178" s="73"/>
      <x:c r="B178" s="73" t="str">
        <x:f>IF(A178="","",IFERROR(XLOOKUP(A178,'당기원장'!$A$5:$A$1004,'당기원장'!$B$5:$B$1004),XLOOKUP(A178,'전기원장'!$A$5:$A$1004,'전기원장'!$B$5:$B$1004,"")))</x:f>
      </x:c>
      <x:c r="C178" s="75" t="str">
        <x:f>IF(A178="","",SUMIF('전기원장'!$A$5:$A$1004,A178,'전기원장'!$H$5:$H$1004))</x:f>
      </x:c>
      <x:c r="D178" s="75" t="str">
        <x:f>IF(A178="","",SUMIF('당기원장'!$A$5:$A$1004,A178,'당기원장'!$H$5:$H$1004))</x:f>
      </x:c>
      <x:c r="E178" s="75" t="str">
        <x:f>IF(A178="","",D178-C178)</x:f>
      </x:c>
      <x:c r="F178" s="86" t="str">
        <x:f>IF(A178="","",IF(C178=0,IF(D178=0,0,1),ABS(E178)/ABS(C178)))</x:f>
      </x:c>
      <x:c r="G178" s="73" t="str">
        <x:f>IF(A178="","",IF(AND(C178=0,D178&lt;&gt;0),"신규",IF(AND(C178&lt;&gt;0,D178=0),"소멸",IF(E178=0,"변동없음","금액변동"))))</x:f>
      </x:c>
      <x:c r="H178" s="73" t="str">
        <x:f>IF(A178="","",IF(AND(ABS(E178)&gt;='기준설정'!$B$6,OR(G178="신규",G178="소멸",F178&gt;='기준설정'!$B$5)),"원인분석 대상","일반"))</x:f>
      </x:c>
      <x:c r="I178" s="73" t="str">
        <x:f>IF(A178="","",IF(H178="원인분석 대상","세부원인분석 시트에서 거래별 원인을 검토","-"))</x:f>
      </x:c>
      <x:c r="J178" s="73" t="str">
        <x:f>IF(A178="","",COUNTIFS('전기원장'!$A$5:$A$1004,A178,'전기원장'!$J$5:$J$1004,"확인 필요")+COUNTIFS('당기원장'!$A$5:$A$1004,A178,'당기원장'!$J$5:$J$1004,"확인 필요"))</x:f>
      </x:c>
      <x:c r="K178" s="87" t="str">
        <x:f>IF(A178="","",IF(H178&lt;&gt;"원인분석 대상","",IF(J178&gt;0,"붙임 문서 확인 후 원인 확정 필요","결의서명 기반 원인분류 검토")))</x:f>
      </x:c>
    </x:row>
    <x:row r="179">
      <x:c r="A179" s="73"/>
      <x:c r="B179" s="73" t="str">
        <x:f>IF(A179="","",IFERROR(XLOOKUP(A179,'당기원장'!$A$5:$A$1004,'당기원장'!$B$5:$B$1004),XLOOKUP(A179,'전기원장'!$A$5:$A$1004,'전기원장'!$B$5:$B$1004,"")))</x:f>
      </x:c>
      <x:c r="C179" s="75" t="str">
        <x:f>IF(A179="","",SUMIF('전기원장'!$A$5:$A$1004,A179,'전기원장'!$H$5:$H$1004))</x:f>
      </x:c>
      <x:c r="D179" s="75" t="str">
        <x:f>IF(A179="","",SUMIF('당기원장'!$A$5:$A$1004,A179,'당기원장'!$H$5:$H$1004))</x:f>
      </x:c>
      <x:c r="E179" s="75" t="str">
        <x:f>IF(A179="","",D179-C179)</x:f>
      </x:c>
      <x:c r="F179" s="86" t="str">
        <x:f>IF(A179="","",IF(C179=0,IF(D179=0,0,1),ABS(E179)/ABS(C179)))</x:f>
      </x:c>
      <x:c r="G179" s="73" t="str">
        <x:f>IF(A179="","",IF(AND(C179=0,D179&lt;&gt;0),"신규",IF(AND(C179&lt;&gt;0,D179=0),"소멸",IF(E179=0,"변동없음","금액변동"))))</x:f>
      </x:c>
      <x:c r="H179" s="73" t="str">
        <x:f>IF(A179="","",IF(AND(ABS(E179)&gt;='기준설정'!$B$6,OR(G179="신규",G179="소멸",F179&gt;='기준설정'!$B$5)),"원인분석 대상","일반"))</x:f>
      </x:c>
      <x:c r="I179" s="73" t="str">
        <x:f>IF(A179="","",IF(H179="원인분석 대상","세부원인분석 시트에서 거래별 원인을 검토","-"))</x:f>
      </x:c>
      <x:c r="J179" s="73" t="str">
        <x:f>IF(A179="","",COUNTIFS('전기원장'!$A$5:$A$1004,A179,'전기원장'!$J$5:$J$1004,"확인 필요")+COUNTIFS('당기원장'!$A$5:$A$1004,A179,'당기원장'!$J$5:$J$1004,"확인 필요"))</x:f>
      </x:c>
      <x:c r="K179" s="87" t="str">
        <x:f>IF(A179="","",IF(H179&lt;&gt;"원인분석 대상","",IF(J179&gt;0,"붙임 문서 확인 후 원인 확정 필요","결의서명 기반 원인분류 검토")))</x:f>
      </x:c>
    </x:row>
    <x:row r="180">
      <x:c r="A180" s="73"/>
      <x:c r="B180" s="73" t="str">
        <x:f>IF(A180="","",IFERROR(XLOOKUP(A180,'당기원장'!$A$5:$A$1004,'당기원장'!$B$5:$B$1004),XLOOKUP(A180,'전기원장'!$A$5:$A$1004,'전기원장'!$B$5:$B$1004,"")))</x:f>
      </x:c>
      <x:c r="C180" s="75" t="str">
        <x:f>IF(A180="","",SUMIF('전기원장'!$A$5:$A$1004,A180,'전기원장'!$H$5:$H$1004))</x:f>
      </x:c>
      <x:c r="D180" s="75" t="str">
        <x:f>IF(A180="","",SUMIF('당기원장'!$A$5:$A$1004,A180,'당기원장'!$H$5:$H$1004))</x:f>
      </x:c>
      <x:c r="E180" s="75" t="str">
        <x:f>IF(A180="","",D180-C180)</x:f>
      </x:c>
      <x:c r="F180" s="86" t="str">
        <x:f>IF(A180="","",IF(C180=0,IF(D180=0,0,1),ABS(E180)/ABS(C180)))</x:f>
      </x:c>
      <x:c r="G180" s="73" t="str">
        <x:f>IF(A180="","",IF(AND(C180=0,D180&lt;&gt;0),"신규",IF(AND(C180&lt;&gt;0,D180=0),"소멸",IF(E180=0,"변동없음","금액변동"))))</x:f>
      </x:c>
      <x:c r="H180" s="73" t="str">
        <x:f>IF(A180="","",IF(AND(ABS(E180)&gt;='기준설정'!$B$6,OR(G180="신규",G180="소멸",F180&gt;='기준설정'!$B$5)),"원인분석 대상","일반"))</x:f>
      </x:c>
      <x:c r="I180" s="73" t="str">
        <x:f>IF(A180="","",IF(H180="원인분석 대상","세부원인분석 시트에서 거래별 원인을 검토","-"))</x:f>
      </x:c>
      <x:c r="J180" s="73" t="str">
        <x:f>IF(A180="","",COUNTIFS('전기원장'!$A$5:$A$1004,A180,'전기원장'!$J$5:$J$1004,"확인 필요")+COUNTIFS('당기원장'!$A$5:$A$1004,A180,'당기원장'!$J$5:$J$1004,"확인 필요"))</x:f>
      </x:c>
      <x:c r="K180" s="87" t="str">
        <x:f>IF(A180="","",IF(H180&lt;&gt;"원인분석 대상","",IF(J180&gt;0,"붙임 문서 확인 후 원인 확정 필요","결의서명 기반 원인분류 검토")))</x:f>
      </x:c>
    </x:row>
    <x:row r="181">
      <x:c r="A181" s="73"/>
      <x:c r="B181" s="73" t="str">
        <x:f>IF(A181="","",IFERROR(XLOOKUP(A181,'당기원장'!$A$5:$A$1004,'당기원장'!$B$5:$B$1004),XLOOKUP(A181,'전기원장'!$A$5:$A$1004,'전기원장'!$B$5:$B$1004,"")))</x:f>
      </x:c>
      <x:c r="C181" s="75" t="str">
        <x:f>IF(A181="","",SUMIF('전기원장'!$A$5:$A$1004,A181,'전기원장'!$H$5:$H$1004))</x:f>
      </x:c>
      <x:c r="D181" s="75" t="str">
        <x:f>IF(A181="","",SUMIF('당기원장'!$A$5:$A$1004,A181,'당기원장'!$H$5:$H$1004))</x:f>
      </x:c>
      <x:c r="E181" s="75" t="str">
        <x:f>IF(A181="","",D181-C181)</x:f>
      </x:c>
      <x:c r="F181" s="86" t="str">
        <x:f>IF(A181="","",IF(C181=0,IF(D181=0,0,1),ABS(E181)/ABS(C181)))</x:f>
      </x:c>
      <x:c r="G181" s="73" t="str">
        <x:f>IF(A181="","",IF(AND(C181=0,D181&lt;&gt;0),"신규",IF(AND(C181&lt;&gt;0,D181=0),"소멸",IF(E181=0,"변동없음","금액변동"))))</x:f>
      </x:c>
      <x:c r="H181" s="73" t="str">
        <x:f>IF(A181="","",IF(AND(ABS(E181)&gt;='기준설정'!$B$6,OR(G181="신규",G181="소멸",F181&gt;='기준설정'!$B$5)),"원인분석 대상","일반"))</x:f>
      </x:c>
      <x:c r="I181" s="73" t="str">
        <x:f>IF(A181="","",IF(H181="원인분석 대상","세부원인분석 시트에서 거래별 원인을 검토","-"))</x:f>
      </x:c>
      <x:c r="J181" s="73" t="str">
        <x:f>IF(A181="","",COUNTIFS('전기원장'!$A$5:$A$1004,A181,'전기원장'!$J$5:$J$1004,"확인 필요")+COUNTIFS('당기원장'!$A$5:$A$1004,A181,'당기원장'!$J$5:$J$1004,"확인 필요"))</x:f>
      </x:c>
      <x:c r="K181" s="87" t="str">
        <x:f>IF(A181="","",IF(H181&lt;&gt;"원인분석 대상","",IF(J181&gt;0,"붙임 문서 확인 후 원인 확정 필요","결의서명 기반 원인분류 검토")))</x:f>
      </x:c>
    </x:row>
    <x:row r="182">
      <x:c r="A182" s="73"/>
      <x:c r="B182" s="73" t="str">
        <x:f>IF(A182="","",IFERROR(XLOOKUP(A182,'당기원장'!$A$5:$A$1004,'당기원장'!$B$5:$B$1004),XLOOKUP(A182,'전기원장'!$A$5:$A$1004,'전기원장'!$B$5:$B$1004,"")))</x:f>
      </x:c>
      <x:c r="C182" s="75" t="str">
        <x:f>IF(A182="","",SUMIF('전기원장'!$A$5:$A$1004,A182,'전기원장'!$H$5:$H$1004))</x:f>
      </x:c>
      <x:c r="D182" s="75" t="str">
        <x:f>IF(A182="","",SUMIF('당기원장'!$A$5:$A$1004,A182,'당기원장'!$H$5:$H$1004))</x:f>
      </x:c>
      <x:c r="E182" s="75" t="str">
        <x:f>IF(A182="","",D182-C182)</x:f>
      </x:c>
      <x:c r="F182" s="86" t="str">
        <x:f>IF(A182="","",IF(C182=0,IF(D182=0,0,1),ABS(E182)/ABS(C182)))</x:f>
      </x:c>
      <x:c r="G182" s="73" t="str">
        <x:f>IF(A182="","",IF(AND(C182=0,D182&lt;&gt;0),"신규",IF(AND(C182&lt;&gt;0,D182=0),"소멸",IF(E182=0,"변동없음","금액변동"))))</x:f>
      </x:c>
      <x:c r="H182" s="73" t="str">
        <x:f>IF(A182="","",IF(AND(ABS(E182)&gt;='기준설정'!$B$6,OR(G182="신규",G182="소멸",F182&gt;='기준설정'!$B$5)),"원인분석 대상","일반"))</x:f>
      </x:c>
      <x:c r="I182" s="73" t="str">
        <x:f>IF(A182="","",IF(H182="원인분석 대상","세부원인분석 시트에서 거래별 원인을 검토","-"))</x:f>
      </x:c>
      <x:c r="J182" s="73" t="str">
        <x:f>IF(A182="","",COUNTIFS('전기원장'!$A$5:$A$1004,A182,'전기원장'!$J$5:$J$1004,"확인 필요")+COUNTIFS('당기원장'!$A$5:$A$1004,A182,'당기원장'!$J$5:$J$1004,"확인 필요"))</x:f>
      </x:c>
      <x:c r="K182" s="87" t="str">
        <x:f>IF(A182="","",IF(H182&lt;&gt;"원인분석 대상","",IF(J182&gt;0,"붙임 문서 확인 후 원인 확정 필요","결의서명 기반 원인분류 검토")))</x:f>
      </x:c>
    </x:row>
    <x:row r="183">
      <x:c r="A183" s="73"/>
      <x:c r="B183" s="73" t="str">
        <x:f>IF(A183="","",IFERROR(XLOOKUP(A183,'당기원장'!$A$5:$A$1004,'당기원장'!$B$5:$B$1004),XLOOKUP(A183,'전기원장'!$A$5:$A$1004,'전기원장'!$B$5:$B$1004,"")))</x:f>
      </x:c>
      <x:c r="C183" s="75" t="str">
        <x:f>IF(A183="","",SUMIF('전기원장'!$A$5:$A$1004,A183,'전기원장'!$H$5:$H$1004))</x:f>
      </x:c>
      <x:c r="D183" s="75" t="str">
        <x:f>IF(A183="","",SUMIF('당기원장'!$A$5:$A$1004,A183,'당기원장'!$H$5:$H$1004))</x:f>
      </x:c>
      <x:c r="E183" s="75" t="str">
        <x:f>IF(A183="","",D183-C183)</x:f>
      </x:c>
      <x:c r="F183" s="86" t="str">
        <x:f>IF(A183="","",IF(C183=0,IF(D183=0,0,1),ABS(E183)/ABS(C183)))</x:f>
      </x:c>
      <x:c r="G183" s="73" t="str">
        <x:f>IF(A183="","",IF(AND(C183=0,D183&lt;&gt;0),"신규",IF(AND(C183&lt;&gt;0,D183=0),"소멸",IF(E183=0,"변동없음","금액변동"))))</x:f>
      </x:c>
      <x:c r="H183" s="73" t="str">
        <x:f>IF(A183="","",IF(AND(ABS(E183)&gt;='기준설정'!$B$6,OR(G183="신규",G183="소멸",F183&gt;='기준설정'!$B$5)),"원인분석 대상","일반"))</x:f>
      </x:c>
      <x:c r="I183" s="73" t="str">
        <x:f>IF(A183="","",IF(H183="원인분석 대상","세부원인분석 시트에서 거래별 원인을 검토","-"))</x:f>
      </x:c>
      <x:c r="J183" s="73" t="str">
        <x:f>IF(A183="","",COUNTIFS('전기원장'!$A$5:$A$1004,A183,'전기원장'!$J$5:$J$1004,"확인 필요")+COUNTIFS('당기원장'!$A$5:$A$1004,A183,'당기원장'!$J$5:$J$1004,"확인 필요"))</x:f>
      </x:c>
      <x:c r="K183" s="87" t="str">
        <x:f>IF(A183="","",IF(H183&lt;&gt;"원인분석 대상","",IF(J183&gt;0,"붙임 문서 확인 후 원인 확정 필요","결의서명 기반 원인분류 검토")))</x:f>
      </x:c>
    </x:row>
    <x:row r="184">
      <x:c r="A184" s="73"/>
      <x:c r="B184" s="73" t="str">
        <x:f>IF(A184="","",IFERROR(XLOOKUP(A184,'당기원장'!$A$5:$A$1004,'당기원장'!$B$5:$B$1004),XLOOKUP(A184,'전기원장'!$A$5:$A$1004,'전기원장'!$B$5:$B$1004,"")))</x:f>
      </x:c>
      <x:c r="C184" s="75" t="str">
        <x:f>IF(A184="","",SUMIF('전기원장'!$A$5:$A$1004,A184,'전기원장'!$H$5:$H$1004))</x:f>
      </x:c>
      <x:c r="D184" s="75" t="str">
        <x:f>IF(A184="","",SUMIF('당기원장'!$A$5:$A$1004,A184,'당기원장'!$H$5:$H$1004))</x:f>
      </x:c>
      <x:c r="E184" s="75" t="str">
        <x:f>IF(A184="","",D184-C184)</x:f>
      </x:c>
      <x:c r="F184" s="86" t="str">
        <x:f>IF(A184="","",IF(C184=0,IF(D184=0,0,1),ABS(E184)/ABS(C184)))</x:f>
      </x:c>
      <x:c r="G184" s="73" t="str">
        <x:f>IF(A184="","",IF(AND(C184=0,D184&lt;&gt;0),"신규",IF(AND(C184&lt;&gt;0,D184=0),"소멸",IF(E184=0,"변동없음","금액변동"))))</x:f>
      </x:c>
      <x:c r="H184" s="73" t="str">
        <x:f>IF(A184="","",IF(AND(ABS(E184)&gt;='기준설정'!$B$6,OR(G184="신규",G184="소멸",F184&gt;='기준설정'!$B$5)),"원인분석 대상","일반"))</x:f>
      </x:c>
      <x:c r="I184" s="73" t="str">
        <x:f>IF(A184="","",IF(H184="원인분석 대상","세부원인분석 시트에서 거래별 원인을 검토","-"))</x:f>
      </x:c>
      <x:c r="J184" s="73" t="str">
        <x:f>IF(A184="","",COUNTIFS('전기원장'!$A$5:$A$1004,A184,'전기원장'!$J$5:$J$1004,"확인 필요")+COUNTIFS('당기원장'!$A$5:$A$1004,A184,'당기원장'!$J$5:$J$1004,"확인 필요"))</x:f>
      </x:c>
      <x:c r="K184" s="87" t="str">
        <x:f>IF(A184="","",IF(H184&lt;&gt;"원인분석 대상","",IF(J184&gt;0,"붙임 문서 확인 후 원인 확정 필요","결의서명 기반 원인분류 검토")))</x:f>
      </x:c>
    </x:row>
    <x:row r="185">
      <x:c r="A185" s="73"/>
      <x:c r="B185" s="73" t="str">
        <x:f>IF(A185="","",IFERROR(XLOOKUP(A185,'당기원장'!$A$5:$A$1004,'당기원장'!$B$5:$B$1004),XLOOKUP(A185,'전기원장'!$A$5:$A$1004,'전기원장'!$B$5:$B$1004,"")))</x:f>
      </x:c>
      <x:c r="C185" s="75" t="str">
        <x:f>IF(A185="","",SUMIF('전기원장'!$A$5:$A$1004,A185,'전기원장'!$H$5:$H$1004))</x:f>
      </x:c>
      <x:c r="D185" s="75" t="str">
        <x:f>IF(A185="","",SUMIF('당기원장'!$A$5:$A$1004,A185,'당기원장'!$H$5:$H$1004))</x:f>
      </x:c>
      <x:c r="E185" s="75" t="str">
        <x:f>IF(A185="","",D185-C185)</x:f>
      </x:c>
      <x:c r="F185" s="86" t="str">
        <x:f>IF(A185="","",IF(C185=0,IF(D185=0,0,1),ABS(E185)/ABS(C185)))</x:f>
      </x:c>
      <x:c r="G185" s="73" t="str">
        <x:f>IF(A185="","",IF(AND(C185=0,D185&lt;&gt;0),"신규",IF(AND(C185&lt;&gt;0,D185=0),"소멸",IF(E185=0,"변동없음","금액변동"))))</x:f>
      </x:c>
      <x:c r="H185" s="73" t="str">
        <x:f>IF(A185="","",IF(AND(ABS(E185)&gt;='기준설정'!$B$6,OR(G185="신규",G185="소멸",F185&gt;='기준설정'!$B$5)),"원인분석 대상","일반"))</x:f>
      </x:c>
      <x:c r="I185" s="73" t="str">
        <x:f>IF(A185="","",IF(H185="원인분석 대상","세부원인분석 시트에서 거래별 원인을 검토","-"))</x:f>
      </x:c>
      <x:c r="J185" s="73" t="str">
        <x:f>IF(A185="","",COUNTIFS('전기원장'!$A$5:$A$1004,A185,'전기원장'!$J$5:$J$1004,"확인 필요")+COUNTIFS('당기원장'!$A$5:$A$1004,A185,'당기원장'!$J$5:$J$1004,"확인 필요"))</x:f>
      </x:c>
      <x:c r="K185" s="87" t="str">
        <x:f>IF(A185="","",IF(H185&lt;&gt;"원인분석 대상","",IF(J185&gt;0,"붙임 문서 확인 후 원인 확정 필요","결의서명 기반 원인분류 검토")))</x:f>
      </x:c>
    </x:row>
    <x:row r="186">
      <x:c r="A186" s="73"/>
      <x:c r="B186" s="73" t="str">
        <x:f>IF(A186="","",IFERROR(XLOOKUP(A186,'당기원장'!$A$5:$A$1004,'당기원장'!$B$5:$B$1004),XLOOKUP(A186,'전기원장'!$A$5:$A$1004,'전기원장'!$B$5:$B$1004,"")))</x:f>
      </x:c>
      <x:c r="C186" s="75" t="str">
        <x:f>IF(A186="","",SUMIF('전기원장'!$A$5:$A$1004,A186,'전기원장'!$H$5:$H$1004))</x:f>
      </x:c>
      <x:c r="D186" s="75" t="str">
        <x:f>IF(A186="","",SUMIF('당기원장'!$A$5:$A$1004,A186,'당기원장'!$H$5:$H$1004))</x:f>
      </x:c>
      <x:c r="E186" s="75" t="str">
        <x:f>IF(A186="","",D186-C186)</x:f>
      </x:c>
      <x:c r="F186" s="86" t="str">
        <x:f>IF(A186="","",IF(C186=0,IF(D186=0,0,1),ABS(E186)/ABS(C186)))</x:f>
      </x:c>
      <x:c r="G186" s="73" t="str">
        <x:f>IF(A186="","",IF(AND(C186=0,D186&lt;&gt;0),"신규",IF(AND(C186&lt;&gt;0,D186=0),"소멸",IF(E186=0,"변동없음","금액변동"))))</x:f>
      </x:c>
      <x:c r="H186" s="73" t="str">
        <x:f>IF(A186="","",IF(AND(ABS(E186)&gt;='기준설정'!$B$6,OR(G186="신규",G186="소멸",F186&gt;='기준설정'!$B$5)),"원인분석 대상","일반"))</x:f>
      </x:c>
      <x:c r="I186" s="73" t="str">
        <x:f>IF(A186="","",IF(H186="원인분석 대상","세부원인분석 시트에서 거래별 원인을 검토","-"))</x:f>
      </x:c>
      <x:c r="J186" s="73" t="str">
        <x:f>IF(A186="","",COUNTIFS('전기원장'!$A$5:$A$1004,A186,'전기원장'!$J$5:$J$1004,"확인 필요")+COUNTIFS('당기원장'!$A$5:$A$1004,A186,'당기원장'!$J$5:$J$1004,"확인 필요"))</x:f>
      </x:c>
      <x:c r="K186" s="87" t="str">
        <x:f>IF(A186="","",IF(H186&lt;&gt;"원인분석 대상","",IF(J186&gt;0,"붙임 문서 확인 후 원인 확정 필요","결의서명 기반 원인분류 검토")))</x:f>
      </x:c>
    </x:row>
    <x:row r="187">
      <x:c r="A187" s="73"/>
      <x:c r="B187" s="73" t="str">
        <x:f>IF(A187="","",IFERROR(XLOOKUP(A187,'당기원장'!$A$5:$A$1004,'당기원장'!$B$5:$B$1004),XLOOKUP(A187,'전기원장'!$A$5:$A$1004,'전기원장'!$B$5:$B$1004,"")))</x:f>
      </x:c>
      <x:c r="C187" s="75" t="str">
        <x:f>IF(A187="","",SUMIF('전기원장'!$A$5:$A$1004,A187,'전기원장'!$H$5:$H$1004))</x:f>
      </x:c>
      <x:c r="D187" s="75" t="str">
        <x:f>IF(A187="","",SUMIF('당기원장'!$A$5:$A$1004,A187,'당기원장'!$H$5:$H$1004))</x:f>
      </x:c>
      <x:c r="E187" s="75" t="str">
        <x:f>IF(A187="","",D187-C187)</x:f>
      </x:c>
      <x:c r="F187" s="86" t="str">
        <x:f>IF(A187="","",IF(C187=0,IF(D187=0,0,1),ABS(E187)/ABS(C187)))</x:f>
      </x:c>
      <x:c r="G187" s="73" t="str">
        <x:f>IF(A187="","",IF(AND(C187=0,D187&lt;&gt;0),"신규",IF(AND(C187&lt;&gt;0,D187=0),"소멸",IF(E187=0,"변동없음","금액변동"))))</x:f>
      </x:c>
      <x:c r="H187" s="73" t="str">
        <x:f>IF(A187="","",IF(AND(ABS(E187)&gt;='기준설정'!$B$6,OR(G187="신규",G187="소멸",F187&gt;='기준설정'!$B$5)),"원인분석 대상","일반"))</x:f>
      </x:c>
      <x:c r="I187" s="73" t="str">
        <x:f>IF(A187="","",IF(H187="원인분석 대상","세부원인분석 시트에서 거래별 원인을 검토","-"))</x:f>
      </x:c>
      <x:c r="J187" s="73" t="str">
        <x:f>IF(A187="","",COUNTIFS('전기원장'!$A$5:$A$1004,A187,'전기원장'!$J$5:$J$1004,"확인 필요")+COUNTIFS('당기원장'!$A$5:$A$1004,A187,'당기원장'!$J$5:$J$1004,"확인 필요"))</x:f>
      </x:c>
      <x:c r="K187" s="87" t="str">
        <x:f>IF(A187="","",IF(H187&lt;&gt;"원인분석 대상","",IF(J187&gt;0,"붙임 문서 확인 후 원인 확정 필요","결의서명 기반 원인분류 검토")))</x:f>
      </x:c>
    </x:row>
    <x:row r="188">
      <x:c r="A188" s="73"/>
      <x:c r="B188" s="73" t="str">
        <x:f>IF(A188="","",IFERROR(XLOOKUP(A188,'당기원장'!$A$5:$A$1004,'당기원장'!$B$5:$B$1004),XLOOKUP(A188,'전기원장'!$A$5:$A$1004,'전기원장'!$B$5:$B$1004,"")))</x:f>
      </x:c>
      <x:c r="C188" s="75" t="str">
        <x:f>IF(A188="","",SUMIF('전기원장'!$A$5:$A$1004,A188,'전기원장'!$H$5:$H$1004))</x:f>
      </x:c>
      <x:c r="D188" s="75" t="str">
        <x:f>IF(A188="","",SUMIF('당기원장'!$A$5:$A$1004,A188,'당기원장'!$H$5:$H$1004))</x:f>
      </x:c>
      <x:c r="E188" s="75" t="str">
        <x:f>IF(A188="","",D188-C188)</x:f>
      </x:c>
      <x:c r="F188" s="86" t="str">
        <x:f>IF(A188="","",IF(C188=0,IF(D188=0,0,1),ABS(E188)/ABS(C188)))</x:f>
      </x:c>
      <x:c r="G188" s="73" t="str">
        <x:f>IF(A188="","",IF(AND(C188=0,D188&lt;&gt;0),"신규",IF(AND(C188&lt;&gt;0,D188=0),"소멸",IF(E188=0,"변동없음","금액변동"))))</x:f>
      </x:c>
      <x:c r="H188" s="73" t="str">
        <x:f>IF(A188="","",IF(AND(ABS(E188)&gt;='기준설정'!$B$6,OR(G188="신규",G188="소멸",F188&gt;='기준설정'!$B$5)),"원인분석 대상","일반"))</x:f>
      </x:c>
      <x:c r="I188" s="73" t="str">
        <x:f>IF(A188="","",IF(H188="원인분석 대상","세부원인분석 시트에서 거래별 원인을 검토","-"))</x:f>
      </x:c>
      <x:c r="J188" s="73" t="str">
        <x:f>IF(A188="","",COUNTIFS('전기원장'!$A$5:$A$1004,A188,'전기원장'!$J$5:$J$1004,"확인 필요")+COUNTIFS('당기원장'!$A$5:$A$1004,A188,'당기원장'!$J$5:$J$1004,"확인 필요"))</x:f>
      </x:c>
      <x:c r="K188" s="87" t="str">
        <x:f>IF(A188="","",IF(H188&lt;&gt;"원인분석 대상","",IF(J188&gt;0,"붙임 문서 확인 후 원인 확정 필요","결의서명 기반 원인분류 검토")))</x:f>
      </x:c>
    </x:row>
    <x:row r="189">
      <x:c r="A189" s="73"/>
      <x:c r="B189" s="73" t="str">
        <x:f>IF(A189="","",IFERROR(XLOOKUP(A189,'당기원장'!$A$5:$A$1004,'당기원장'!$B$5:$B$1004),XLOOKUP(A189,'전기원장'!$A$5:$A$1004,'전기원장'!$B$5:$B$1004,"")))</x:f>
      </x:c>
      <x:c r="C189" s="75" t="str">
        <x:f>IF(A189="","",SUMIF('전기원장'!$A$5:$A$1004,A189,'전기원장'!$H$5:$H$1004))</x:f>
      </x:c>
      <x:c r="D189" s="75" t="str">
        <x:f>IF(A189="","",SUMIF('당기원장'!$A$5:$A$1004,A189,'당기원장'!$H$5:$H$1004))</x:f>
      </x:c>
      <x:c r="E189" s="75" t="str">
        <x:f>IF(A189="","",D189-C189)</x:f>
      </x:c>
      <x:c r="F189" s="86" t="str">
        <x:f>IF(A189="","",IF(C189=0,IF(D189=0,0,1),ABS(E189)/ABS(C189)))</x:f>
      </x:c>
      <x:c r="G189" s="73" t="str">
        <x:f>IF(A189="","",IF(AND(C189=0,D189&lt;&gt;0),"신규",IF(AND(C189&lt;&gt;0,D189=0),"소멸",IF(E189=0,"변동없음","금액변동"))))</x:f>
      </x:c>
      <x:c r="H189" s="73" t="str">
        <x:f>IF(A189="","",IF(AND(ABS(E189)&gt;='기준설정'!$B$6,OR(G189="신규",G189="소멸",F189&gt;='기준설정'!$B$5)),"원인분석 대상","일반"))</x:f>
      </x:c>
      <x:c r="I189" s="73" t="str">
        <x:f>IF(A189="","",IF(H189="원인분석 대상","세부원인분석 시트에서 거래별 원인을 검토","-"))</x:f>
      </x:c>
      <x:c r="J189" s="73" t="str">
        <x:f>IF(A189="","",COUNTIFS('전기원장'!$A$5:$A$1004,A189,'전기원장'!$J$5:$J$1004,"확인 필요")+COUNTIFS('당기원장'!$A$5:$A$1004,A189,'당기원장'!$J$5:$J$1004,"확인 필요"))</x:f>
      </x:c>
      <x:c r="K189" s="87" t="str">
        <x:f>IF(A189="","",IF(H189&lt;&gt;"원인분석 대상","",IF(J189&gt;0,"붙임 문서 확인 후 원인 확정 필요","결의서명 기반 원인분류 검토")))</x:f>
      </x:c>
    </x:row>
    <x:row r="190">
      <x:c r="A190" s="73"/>
      <x:c r="B190" s="73" t="str">
        <x:f>IF(A190="","",IFERROR(XLOOKUP(A190,'당기원장'!$A$5:$A$1004,'당기원장'!$B$5:$B$1004),XLOOKUP(A190,'전기원장'!$A$5:$A$1004,'전기원장'!$B$5:$B$1004,"")))</x:f>
      </x:c>
      <x:c r="C190" s="75" t="str">
        <x:f>IF(A190="","",SUMIF('전기원장'!$A$5:$A$1004,A190,'전기원장'!$H$5:$H$1004))</x:f>
      </x:c>
      <x:c r="D190" s="75" t="str">
        <x:f>IF(A190="","",SUMIF('당기원장'!$A$5:$A$1004,A190,'당기원장'!$H$5:$H$1004))</x:f>
      </x:c>
      <x:c r="E190" s="75" t="str">
        <x:f>IF(A190="","",D190-C190)</x:f>
      </x:c>
      <x:c r="F190" s="86" t="str">
        <x:f>IF(A190="","",IF(C190=0,IF(D190=0,0,1),ABS(E190)/ABS(C190)))</x:f>
      </x:c>
      <x:c r="G190" s="73" t="str">
        <x:f>IF(A190="","",IF(AND(C190=0,D190&lt;&gt;0),"신규",IF(AND(C190&lt;&gt;0,D190=0),"소멸",IF(E190=0,"변동없음","금액변동"))))</x:f>
      </x:c>
      <x:c r="H190" s="73" t="str">
        <x:f>IF(A190="","",IF(AND(ABS(E190)&gt;='기준설정'!$B$6,OR(G190="신규",G190="소멸",F190&gt;='기준설정'!$B$5)),"원인분석 대상","일반"))</x:f>
      </x:c>
      <x:c r="I190" s="73" t="str">
        <x:f>IF(A190="","",IF(H190="원인분석 대상","세부원인분석 시트에서 거래별 원인을 검토","-"))</x:f>
      </x:c>
      <x:c r="J190" s="73" t="str">
        <x:f>IF(A190="","",COUNTIFS('전기원장'!$A$5:$A$1004,A190,'전기원장'!$J$5:$J$1004,"확인 필요")+COUNTIFS('당기원장'!$A$5:$A$1004,A190,'당기원장'!$J$5:$J$1004,"확인 필요"))</x:f>
      </x:c>
      <x:c r="K190" s="87" t="str">
        <x:f>IF(A190="","",IF(H190&lt;&gt;"원인분석 대상","",IF(J190&gt;0,"붙임 문서 확인 후 원인 확정 필요","결의서명 기반 원인분류 검토")))</x:f>
      </x:c>
    </x:row>
    <x:row r="191">
      <x:c r="A191" s="73"/>
      <x:c r="B191" s="73" t="str">
        <x:f>IF(A191="","",IFERROR(XLOOKUP(A191,'당기원장'!$A$5:$A$1004,'당기원장'!$B$5:$B$1004),XLOOKUP(A191,'전기원장'!$A$5:$A$1004,'전기원장'!$B$5:$B$1004,"")))</x:f>
      </x:c>
      <x:c r="C191" s="75" t="str">
        <x:f>IF(A191="","",SUMIF('전기원장'!$A$5:$A$1004,A191,'전기원장'!$H$5:$H$1004))</x:f>
      </x:c>
      <x:c r="D191" s="75" t="str">
        <x:f>IF(A191="","",SUMIF('당기원장'!$A$5:$A$1004,A191,'당기원장'!$H$5:$H$1004))</x:f>
      </x:c>
      <x:c r="E191" s="75" t="str">
        <x:f>IF(A191="","",D191-C191)</x:f>
      </x:c>
      <x:c r="F191" s="86" t="str">
        <x:f>IF(A191="","",IF(C191=0,IF(D191=0,0,1),ABS(E191)/ABS(C191)))</x:f>
      </x:c>
      <x:c r="G191" s="73" t="str">
        <x:f>IF(A191="","",IF(AND(C191=0,D191&lt;&gt;0),"신규",IF(AND(C191&lt;&gt;0,D191=0),"소멸",IF(E191=0,"변동없음","금액변동"))))</x:f>
      </x:c>
      <x:c r="H191" s="73" t="str">
        <x:f>IF(A191="","",IF(AND(ABS(E191)&gt;='기준설정'!$B$6,OR(G191="신규",G191="소멸",F191&gt;='기준설정'!$B$5)),"원인분석 대상","일반"))</x:f>
      </x:c>
      <x:c r="I191" s="73" t="str">
        <x:f>IF(A191="","",IF(H191="원인분석 대상","세부원인분석 시트에서 거래별 원인을 검토","-"))</x:f>
      </x:c>
      <x:c r="J191" s="73" t="str">
        <x:f>IF(A191="","",COUNTIFS('전기원장'!$A$5:$A$1004,A191,'전기원장'!$J$5:$J$1004,"확인 필요")+COUNTIFS('당기원장'!$A$5:$A$1004,A191,'당기원장'!$J$5:$J$1004,"확인 필요"))</x:f>
      </x:c>
      <x:c r="K191" s="87" t="str">
        <x:f>IF(A191="","",IF(H191&lt;&gt;"원인분석 대상","",IF(J191&gt;0,"붙임 문서 확인 후 원인 확정 필요","결의서명 기반 원인분류 검토")))</x:f>
      </x:c>
    </x:row>
    <x:row r="192">
      <x:c r="A192" s="73"/>
      <x:c r="B192" s="73" t="str">
        <x:f>IF(A192="","",IFERROR(XLOOKUP(A192,'당기원장'!$A$5:$A$1004,'당기원장'!$B$5:$B$1004),XLOOKUP(A192,'전기원장'!$A$5:$A$1004,'전기원장'!$B$5:$B$1004,"")))</x:f>
      </x:c>
      <x:c r="C192" s="75" t="str">
        <x:f>IF(A192="","",SUMIF('전기원장'!$A$5:$A$1004,A192,'전기원장'!$H$5:$H$1004))</x:f>
      </x:c>
      <x:c r="D192" s="75" t="str">
        <x:f>IF(A192="","",SUMIF('당기원장'!$A$5:$A$1004,A192,'당기원장'!$H$5:$H$1004))</x:f>
      </x:c>
      <x:c r="E192" s="75" t="str">
        <x:f>IF(A192="","",D192-C192)</x:f>
      </x:c>
      <x:c r="F192" s="86" t="str">
        <x:f>IF(A192="","",IF(C192=0,IF(D192=0,0,1),ABS(E192)/ABS(C192)))</x:f>
      </x:c>
      <x:c r="G192" s="73" t="str">
        <x:f>IF(A192="","",IF(AND(C192=0,D192&lt;&gt;0),"신규",IF(AND(C192&lt;&gt;0,D192=0),"소멸",IF(E192=0,"변동없음","금액변동"))))</x:f>
      </x:c>
      <x:c r="H192" s="73" t="str">
        <x:f>IF(A192="","",IF(AND(ABS(E192)&gt;='기준설정'!$B$6,OR(G192="신규",G192="소멸",F192&gt;='기준설정'!$B$5)),"원인분석 대상","일반"))</x:f>
      </x:c>
      <x:c r="I192" s="73" t="str">
        <x:f>IF(A192="","",IF(H192="원인분석 대상","세부원인분석 시트에서 거래별 원인을 검토","-"))</x:f>
      </x:c>
      <x:c r="J192" s="73" t="str">
        <x:f>IF(A192="","",COUNTIFS('전기원장'!$A$5:$A$1004,A192,'전기원장'!$J$5:$J$1004,"확인 필요")+COUNTIFS('당기원장'!$A$5:$A$1004,A192,'당기원장'!$J$5:$J$1004,"확인 필요"))</x:f>
      </x:c>
      <x:c r="K192" s="87" t="str">
        <x:f>IF(A192="","",IF(H192&lt;&gt;"원인분석 대상","",IF(J192&gt;0,"붙임 문서 확인 후 원인 확정 필요","결의서명 기반 원인분류 검토")))</x:f>
      </x:c>
    </x:row>
    <x:row r="193">
      <x:c r="A193" s="73"/>
      <x:c r="B193" s="73" t="str">
        <x:f>IF(A193="","",IFERROR(XLOOKUP(A193,'당기원장'!$A$5:$A$1004,'당기원장'!$B$5:$B$1004),XLOOKUP(A193,'전기원장'!$A$5:$A$1004,'전기원장'!$B$5:$B$1004,"")))</x:f>
      </x:c>
      <x:c r="C193" s="75" t="str">
        <x:f>IF(A193="","",SUMIF('전기원장'!$A$5:$A$1004,A193,'전기원장'!$H$5:$H$1004))</x:f>
      </x:c>
      <x:c r="D193" s="75" t="str">
        <x:f>IF(A193="","",SUMIF('당기원장'!$A$5:$A$1004,A193,'당기원장'!$H$5:$H$1004))</x:f>
      </x:c>
      <x:c r="E193" s="75" t="str">
        <x:f>IF(A193="","",D193-C193)</x:f>
      </x:c>
      <x:c r="F193" s="86" t="str">
        <x:f>IF(A193="","",IF(C193=0,IF(D193=0,0,1),ABS(E193)/ABS(C193)))</x:f>
      </x:c>
      <x:c r="G193" s="73" t="str">
        <x:f>IF(A193="","",IF(AND(C193=0,D193&lt;&gt;0),"신규",IF(AND(C193&lt;&gt;0,D193=0),"소멸",IF(E193=0,"변동없음","금액변동"))))</x:f>
      </x:c>
      <x:c r="H193" s="73" t="str">
        <x:f>IF(A193="","",IF(AND(ABS(E193)&gt;='기준설정'!$B$6,OR(G193="신규",G193="소멸",F193&gt;='기준설정'!$B$5)),"원인분석 대상","일반"))</x:f>
      </x:c>
      <x:c r="I193" s="73" t="str">
        <x:f>IF(A193="","",IF(H193="원인분석 대상","세부원인분석 시트에서 거래별 원인을 검토","-"))</x:f>
      </x:c>
      <x:c r="J193" s="73" t="str">
        <x:f>IF(A193="","",COUNTIFS('전기원장'!$A$5:$A$1004,A193,'전기원장'!$J$5:$J$1004,"확인 필요")+COUNTIFS('당기원장'!$A$5:$A$1004,A193,'당기원장'!$J$5:$J$1004,"확인 필요"))</x:f>
      </x:c>
      <x:c r="K193" s="87" t="str">
        <x:f>IF(A193="","",IF(H193&lt;&gt;"원인분석 대상","",IF(J193&gt;0,"붙임 문서 확인 후 원인 확정 필요","결의서명 기반 원인분류 검토")))</x:f>
      </x:c>
    </x:row>
    <x:row r="194">
      <x:c r="A194" s="73"/>
      <x:c r="B194" s="73" t="str">
        <x:f>IF(A194="","",IFERROR(XLOOKUP(A194,'당기원장'!$A$5:$A$1004,'당기원장'!$B$5:$B$1004),XLOOKUP(A194,'전기원장'!$A$5:$A$1004,'전기원장'!$B$5:$B$1004,"")))</x:f>
      </x:c>
      <x:c r="C194" s="75" t="str">
        <x:f>IF(A194="","",SUMIF('전기원장'!$A$5:$A$1004,A194,'전기원장'!$H$5:$H$1004))</x:f>
      </x:c>
      <x:c r="D194" s="75" t="str">
        <x:f>IF(A194="","",SUMIF('당기원장'!$A$5:$A$1004,A194,'당기원장'!$H$5:$H$1004))</x:f>
      </x:c>
      <x:c r="E194" s="75" t="str">
        <x:f>IF(A194="","",D194-C194)</x:f>
      </x:c>
      <x:c r="F194" s="86" t="str">
        <x:f>IF(A194="","",IF(C194=0,IF(D194=0,0,1),ABS(E194)/ABS(C194)))</x:f>
      </x:c>
      <x:c r="G194" s="73" t="str">
        <x:f>IF(A194="","",IF(AND(C194=0,D194&lt;&gt;0),"신규",IF(AND(C194&lt;&gt;0,D194=0),"소멸",IF(E194=0,"변동없음","금액변동"))))</x:f>
      </x:c>
      <x:c r="H194" s="73" t="str">
        <x:f>IF(A194="","",IF(AND(ABS(E194)&gt;='기준설정'!$B$6,OR(G194="신규",G194="소멸",F194&gt;='기준설정'!$B$5)),"원인분석 대상","일반"))</x:f>
      </x:c>
      <x:c r="I194" s="73" t="str">
        <x:f>IF(A194="","",IF(H194="원인분석 대상","세부원인분석 시트에서 거래별 원인을 검토","-"))</x:f>
      </x:c>
      <x:c r="J194" s="73" t="str">
        <x:f>IF(A194="","",COUNTIFS('전기원장'!$A$5:$A$1004,A194,'전기원장'!$J$5:$J$1004,"확인 필요")+COUNTIFS('당기원장'!$A$5:$A$1004,A194,'당기원장'!$J$5:$J$1004,"확인 필요"))</x:f>
      </x:c>
      <x:c r="K194" s="87" t="str">
        <x:f>IF(A194="","",IF(H194&lt;&gt;"원인분석 대상","",IF(J194&gt;0,"붙임 문서 확인 후 원인 확정 필요","결의서명 기반 원인분류 검토")))</x:f>
      </x:c>
    </x:row>
    <x:row r="195">
      <x:c r="A195" s="73"/>
      <x:c r="B195" s="73" t="str">
        <x:f>IF(A195="","",IFERROR(XLOOKUP(A195,'당기원장'!$A$5:$A$1004,'당기원장'!$B$5:$B$1004),XLOOKUP(A195,'전기원장'!$A$5:$A$1004,'전기원장'!$B$5:$B$1004,"")))</x:f>
      </x:c>
      <x:c r="C195" s="75" t="str">
        <x:f>IF(A195="","",SUMIF('전기원장'!$A$5:$A$1004,A195,'전기원장'!$H$5:$H$1004))</x:f>
      </x:c>
      <x:c r="D195" s="75" t="str">
        <x:f>IF(A195="","",SUMIF('당기원장'!$A$5:$A$1004,A195,'당기원장'!$H$5:$H$1004))</x:f>
      </x:c>
      <x:c r="E195" s="75" t="str">
        <x:f>IF(A195="","",D195-C195)</x:f>
      </x:c>
      <x:c r="F195" s="86" t="str">
        <x:f>IF(A195="","",IF(C195=0,IF(D195=0,0,1),ABS(E195)/ABS(C195)))</x:f>
      </x:c>
      <x:c r="G195" s="73" t="str">
        <x:f>IF(A195="","",IF(AND(C195=0,D195&lt;&gt;0),"신규",IF(AND(C195&lt;&gt;0,D195=0),"소멸",IF(E195=0,"변동없음","금액변동"))))</x:f>
      </x:c>
      <x:c r="H195" s="73" t="str">
        <x:f>IF(A195="","",IF(AND(ABS(E195)&gt;='기준설정'!$B$6,OR(G195="신규",G195="소멸",F195&gt;='기준설정'!$B$5)),"원인분석 대상","일반"))</x:f>
      </x:c>
      <x:c r="I195" s="73" t="str">
        <x:f>IF(A195="","",IF(H195="원인분석 대상","세부원인분석 시트에서 거래별 원인을 검토","-"))</x:f>
      </x:c>
      <x:c r="J195" s="73" t="str">
        <x:f>IF(A195="","",COUNTIFS('전기원장'!$A$5:$A$1004,A195,'전기원장'!$J$5:$J$1004,"확인 필요")+COUNTIFS('당기원장'!$A$5:$A$1004,A195,'당기원장'!$J$5:$J$1004,"확인 필요"))</x:f>
      </x:c>
      <x:c r="K195" s="87" t="str">
        <x:f>IF(A195="","",IF(H195&lt;&gt;"원인분석 대상","",IF(J195&gt;0,"붙임 문서 확인 후 원인 확정 필요","결의서명 기반 원인분류 검토")))</x:f>
      </x:c>
    </x:row>
    <x:row r="196">
      <x:c r="A196" s="73"/>
      <x:c r="B196" s="73" t="str">
        <x:f>IF(A196="","",IFERROR(XLOOKUP(A196,'당기원장'!$A$5:$A$1004,'당기원장'!$B$5:$B$1004),XLOOKUP(A196,'전기원장'!$A$5:$A$1004,'전기원장'!$B$5:$B$1004,"")))</x:f>
      </x:c>
      <x:c r="C196" s="75" t="str">
        <x:f>IF(A196="","",SUMIF('전기원장'!$A$5:$A$1004,A196,'전기원장'!$H$5:$H$1004))</x:f>
      </x:c>
      <x:c r="D196" s="75" t="str">
        <x:f>IF(A196="","",SUMIF('당기원장'!$A$5:$A$1004,A196,'당기원장'!$H$5:$H$1004))</x:f>
      </x:c>
      <x:c r="E196" s="75" t="str">
        <x:f>IF(A196="","",D196-C196)</x:f>
      </x:c>
      <x:c r="F196" s="86" t="str">
        <x:f>IF(A196="","",IF(C196=0,IF(D196=0,0,1),ABS(E196)/ABS(C196)))</x:f>
      </x:c>
      <x:c r="G196" s="73" t="str">
        <x:f>IF(A196="","",IF(AND(C196=0,D196&lt;&gt;0),"신규",IF(AND(C196&lt;&gt;0,D196=0),"소멸",IF(E196=0,"변동없음","금액변동"))))</x:f>
      </x:c>
      <x:c r="H196" s="73" t="str">
        <x:f>IF(A196="","",IF(AND(ABS(E196)&gt;='기준설정'!$B$6,OR(G196="신규",G196="소멸",F196&gt;='기준설정'!$B$5)),"원인분석 대상","일반"))</x:f>
      </x:c>
      <x:c r="I196" s="73" t="str">
        <x:f>IF(A196="","",IF(H196="원인분석 대상","세부원인분석 시트에서 거래별 원인을 검토","-"))</x:f>
      </x:c>
      <x:c r="J196" s="73" t="str">
        <x:f>IF(A196="","",COUNTIFS('전기원장'!$A$5:$A$1004,A196,'전기원장'!$J$5:$J$1004,"확인 필요")+COUNTIFS('당기원장'!$A$5:$A$1004,A196,'당기원장'!$J$5:$J$1004,"확인 필요"))</x:f>
      </x:c>
      <x:c r="K196" s="87" t="str">
        <x:f>IF(A196="","",IF(H196&lt;&gt;"원인분석 대상","",IF(J196&gt;0,"붙임 문서 확인 후 원인 확정 필요","결의서명 기반 원인분류 검토")))</x:f>
      </x:c>
    </x:row>
    <x:row r="197">
      <x:c r="A197" s="73"/>
      <x:c r="B197" s="73" t="str">
        <x:f>IF(A197="","",IFERROR(XLOOKUP(A197,'당기원장'!$A$5:$A$1004,'당기원장'!$B$5:$B$1004),XLOOKUP(A197,'전기원장'!$A$5:$A$1004,'전기원장'!$B$5:$B$1004,"")))</x:f>
      </x:c>
      <x:c r="C197" s="75" t="str">
        <x:f>IF(A197="","",SUMIF('전기원장'!$A$5:$A$1004,A197,'전기원장'!$H$5:$H$1004))</x:f>
      </x:c>
      <x:c r="D197" s="75" t="str">
        <x:f>IF(A197="","",SUMIF('당기원장'!$A$5:$A$1004,A197,'당기원장'!$H$5:$H$1004))</x:f>
      </x:c>
      <x:c r="E197" s="75" t="str">
        <x:f>IF(A197="","",D197-C197)</x:f>
      </x:c>
      <x:c r="F197" s="86" t="str">
        <x:f>IF(A197="","",IF(C197=0,IF(D197=0,0,1),ABS(E197)/ABS(C197)))</x:f>
      </x:c>
      <x:c r="G197" s="73" t="str">
        <x:f>IF(A197="","",IF(AND(C197=0,D197&lt;&gt;0),"신규",IF(AND(C197&lt;&gt;0,D197=0),"소멸",IF(E197=0,"변동없음","금액변동"))))</x:f>
      </x:c>
      <x:c r="H197" s="73" t="str">
        <x:f>IF(A197="","",IF(AND(ABS(E197)&gt;='기준설정'!$B$6,OR(G197="신규",G197="소멸",F197&gt;='기준설정'!$B$5)),"원인분석 대상","일반"))</x:f>
      </x:c>
      <x:c r="I197" s="73" t="str">
        <x:f>IF(A197="","",IF(H197="원인분석 대상","세부원인분석 시트에서 거래별 원인을 검토","-"))</x:f>
      </x:c>
      <x:c r="J197" s="73" t="str">
        <x:f>IF(A197="","",COUNTIFS('전기원장'!$A$5:$A$1004,A197,'전기원장'!$J$5:$J$1004,"확인 필요")+COUNTIFS('당기원장'!$A$5:$A$1004,A197,'당기원장'!$J$5:$J$1004,"확인 필요"))</x:f>
      </x:c>
      <x:c r="K197" s="87" t="str">
        <x:f>IF(A197="","",IF(H197&lt;&gt;"원인분석 대상","",IF(J197&gt;0,"붙임 문서 확인 후 원인 확정 필요","결의서명 기반 원인분류 검토")))</x:f>
      </x:c>
    </x:row>
    <x:row r="198">
      <x:c r="A198" s="73"/>
      <x:c r="B198" s="73" t="str">
        <x:f>IF(A198="","",IFERROR(XLOOKUP(A198,'당기원장'!$A$5:$A$1004,'당기원장'!$B$5:$B$1004),XLOOKUP(A198,'전기원장'!$A$5:$A$1004,'전기원장'!$B$5:$B$1004,"")))</x:f>
      </x:c>
      <x:c r="C198" s="75" t="str">
        <x:f>IF(A198="","",SUMIF('전기원장'!$A$5:$A$1004,A198,'전기원장'!$H$5:$H$1004))</x:f>
      </x:c>
      <x:c r="D198" s="75" t="str">
        <x:f>IF(A198="","",SUMIF('당기원장'!$A$5:$A$1004,A198,'당기원장'!$H$5:$H$1004))</x:f>
      </x:c>
      <x:c r="E198" s="75" t="str">
        <x:f>IF(A198="","",D198-C198)</x:f>
      </x:c>
      <x:c r="F198" s="86" t="str">
        <x:f>IF(A198="","",IF(C198=0,IF(D198=0,0,1),ABS(E198)/ABS(C198)))</x:f>
      </x:c>
      <x:c r="G198" s="73" t="str">
        <x:f>IF(A198="","",IF(AND(C198=0,D198&lt;&gt;0),"신규",IF(AND(C198&lt;&gt;0,D198=0),"소멸",IF(E198=0,"변동없음","금액변동"))))</x:f>
      </x:c>
      <x:c r="H198" s="73" t="str">
        <x:f>IF(A198="","",IF(AND(ABS(E198)&gt;='기준설정'!$B$6,OR(G198="신규",G198="소멸",F198&gt;='기준설정'!$B$5)),"원인분석 대상","일반"))</x:f>
      </x:c>
      <x:c r="I198" s="73" t="str">
        <x:f>IF(A198="","",IF(H198="원인분석 대상","세부원인분석 시트에서 거래별 원인을 검토","-"))</x:f>
      </x:c>
      <x:c r="J198" s="73" t="str">
        <x:f>IF(A198="","",COUNTIFS('전기원장'!$A$5:$A$1004,A198,'전기원장'!$J$5:$J$1004,"확인 필요")+COUNTIFS('당기원장'!$A$5:$A$1004,A198,'당기원장'!$J$5:$J$1004,"확인 필요"))</x:f>
      </x:c>
      <x:c r="K198" s="87" t="str">
        <x:f>IF(A198="","",IF(H198&lt;&gt;"원인분석 대상","",IF(J198&gt;0,"붙임 문서 확인 후 원인 확정 필요","결의서명 기반 원인분류 검토")))</x:f>
      </x:c>
    </x:row>
    <x:row r="199">
      <x:c r="A199" s="73"/>
      <x:c r="B199" s="73" t="str">
        <x:f>IF(A199="","",IFERROR(XLOOKUP(A199,'당기원장'!$A$5:$A$1004,'당기원장'!$B$5:$B$1004),XLOOKUP(A199,'전기원장'!$A$5:$A$1004,'전기원장'!$B$5:$B$1004,"")))</x:f>
      </x:c>
      <x:c r="C199" s="75" t="str">
        <x:f>IF(A199="","",SUMIF('전기원장'!$A$5:$A$1004,A199,'전기원장'!$H$5:$H$1004))</x:f>
      </x:c>
      <x:c r="D199" s="75" t="str">
        <x:f>IF(A199="","",SUMIF('당기원장'!$A$5:$A$1004,A199,'당기원장'!$H$5:$H$1004))</x:f>
      </x:c>
      <x:c r="E199" s="75" t="str">
        <x:f>IF(A199="","",D199-C199)</x:f>
      </x:c>
      <x:c r="F199" s="86" t="str">
        <x:f>IF(A199="","",IF(C199=0,IF(D199=0,0,1),ABS(E199)/ABS(C199)))</x:f>
      </x:c>
      <x:c r="G199" s="73" t="str">
        <x:f>IF(A199="","",IF(AND(C199=0,D199&lt;&gt;0),"신규",IF(AND(C199&lt;&gt;0,D199=0),"소멸",IF(E199=0,"변동없음","금액변동"))))</x:f>
      </x:c>
      <x:c r="H199" s="73" t="str">
        <x:f>IF(A199="","",IF(AND(ABS(E199)&gt;='기준설정'!$B$6,OR(G199="신규",G199="소멸",F199&gt;='기준설정'!$B$5)),"원인분석 대상","일반"))</x:f>
      </x:c>
      <x:c r="I199" s="73" t="str">
        <x:f>IF(A199="","",IF(H199="원인분석 대상","세부원인분석 시트에서 거래별 원인을 검토","-"))</x:f>
      </x:c>
      <x:c r="J199" s="73" t="str">
        <x:f>IF(A199="","",COUNTIFS('전기원장'!$A$5:$A$1004,A199,'전기원장'!$J$5:$J$1004,"확인 필요")+COUNTIFS('당기원장'!$A$5:$A$1004,A199,'당기원장'!$J$5:$J$1004,"확인 필요"))</x:f>
      </x:c>
      <x:c r="K199" s="87" t="str">
        <x:f>IF(A199="","",IF(H199&lt;&gt;"원인분석 대상","",IF(J199&gt;0,"붙임 문서 확인 후 원인 확정 필요","결의서명 기반 원인분류 검토")))</x:f>
      </x:c>
    </x:row>
    <x:row r="200">
      <x:c r="A200" s="73"/>
      <x:c r="B200" s="73" t="str">
        <x:f>IF(A200="","",IFERROR(XLOOKUP(A200,'당기원장'!$A$5:$A$1004,'당기원장'!$B$5:$B$1004),XLOOKUP(A200,'전기원장'!$A$5:$A$1004,'전기원장'!$B$5:$B$1004,"")))</x:f>
      </x:c>
      <x:c r="C200" s="75" t="str">
        <x:f>IF(A200="","",SUMIF('전기원장'!$A$5:$A$1004,A200,'전기원장'!$H$5:$H$1004))</x:f>
      </x:c>
      <x:c r="D200" s="75" t="str">
        <x:f>IF(A200="","",SUMIF('당기원장'!$A$5:$A$1004,A200,'당기원장'!$H$5:$H$1004))</x:f>
      </x:c>
      <x:c r="E200" s="75" t="str">
        <x:f>IF(A200="","",D200-C200)</x:f>
      </x:c>
      <x:c r="F200" s="86" t="str">
        <x:f>IF(A200="","",IF(C200=0,IF(D200=0,0,1),ABS(E200)/ABS(C200)))</x:f>
      </x:c>
      <x:c r="G200" s="73" t="str">
        <x:f>IF(A200="","",IF(AND(C200=0,D200&lt;&gt;0),"신규",IF(AND(C200&lt;&gt;0,D200=0),"소멸",IF(E200=0,"변동없음","금액변동"))))</x:f>
      </x:c>
      <x:c r="H200" s="73" t="str">
        <x:f>IF(A200="","",IF(AND(ABS(E200)&gt;='기준설정'!$B$6,OR(G200="신규",G200="소멸",F200&gt;='기준설정'!$B$5)),"원인분석 대상","일반"))</x:f>
      </x:c>
      <x:c r="I200" s="73" t="str">
        <x:f>IF(A200="","",IF(H200="원인분석 대상","세부원인분석 시트에서 거래별 원인을 검토","-"))</x:f>
      </x:c>
      <x:c r="J200" s="73" t="str">
        <x:f>IF(A200="","",COUNTIFS('전기원장'!$A$5:$A$1004,A200,'전기원장'!$J$5:$J$1004,"확인 필요")+COUNTIFS('당기원장'!$A$5:$A$1004,A200,'당기원장'!$J$5:$J$1004,"확인 필요"))</x:f>
      </x:c>
      <x:c r="K200" s="87" t="str">
        <x:f>IF(A200="","",IF(H200&lt;&gt;"원인분석 대상","",IF(J200&gt;0,"붙임 문서 확인 후 원인 확정 필요","결의서명 기반 원인분류 검토")))</x:f>
      </x:c>
    </x:row>
    <x:row r="201">
      <x:c r="A201" s="73"/>
      <x:c r="B201" s="73" t="str">
        <x:f>IF(A201="","",IFERROR(XLOOKUP(A201,'당기원장'!$A$5:$A$1004,'당기원장'!$B$5:$B$1004),XLOOKUP(A201,'전기원장'!$A$5:$A$1004,'전기원장'!$B$5:$B$1004,"")))</x:f>
      </x:c>
      <x:c r="C201" s="75" t="str">
        <x:f>IF(A201="","",SUMIF('전기원장'!$A$5:$A$1004,A201,'전기원장'!$H$5:$H$1004))</x:f>
      </x:c>
      <x:c r="D201" s="75" t="str">
        <x:f>IF(A201="","",SUMIF('당기원장'!$A$5:$A$1004,A201,'당기원장'!$H$5:$H$1004))</x:f>
      </x:c>
      <x:c r="E201" s="75" t="str">
        <x:f>IF(A201="","",D201-C201)</x:f>
      </x:c>
      <x:c r="F201" s="86" t="str">
        <x:f>IF(A201="","",IF(C201=0,IF(D201=0,0,1),ABS(E201)/ABS(C201)))</x:f>
      </x:c>
      <x:c r="G201" s="73" t="str">
        <x:f>IF(A201="","",IF(AND(C201=0,D201&lt;&gt;0),"신규",IF(AND(C201&lt;&gt;0,D201=0),"소멸",IF(E201=0,"변동없음","금액변동"))))</x:f>
      </x:c>
      <x:c r="H201" s="73" t="str">
        <x:f>IF(A201="","",IF(AND(ABS(E201)&gt;='기준설정'!$B$6,OR(G201="신규",G201="소멸",F201&gt;='기준설정'!$B$5)),"원인분석 대상","일반"))</x:f>
      </x:c>
      <x:c r="I201" s="73" t="str">
        <x:f>IF(A201="","",IF(H201="원인분석 대상","세부원인분석 시트에서 거래별 원인을 검토","-"))</x:f>
      </x:c>
      <x:c r="J201" s="73" t="str">
        <x:f>IF(A201="","",COUNTIFS('전기원장'!$A$5:$A$1004,A201,'전기원장'!$J$5:$J$1004,"확인 필요")+COUNTIFS('당기원장'!$A$5:$A$1004,A201,'당기원장'!$J$5:$J$1004,"확인 필요"))</x:f>
      </x:c>
      <x:c r="K201" s="87" t="str">
        <x:f>IF(A201="","",IF(H201&lt;&gt;"원인분석 대상","",IF(J201&gt;0,"붙임 문서 확인 후 원인 확정 필요","결의서명 기반 원인분류 검토")))</x:f>
      </x:c>
    </x:row>
    <x:row r="202">
      <x:c r="A202" s="73"/>
      <x:c r="B202" s="73" t="str">
        <x:f>IF(A202="","",IFERROR(XLOOKUP(A202,'당기원장'!$A$5:$A$1004,'당기원장'!$B$5:$B$1004),XLOOKUP(A202,'전기원장'!$A$5:$A$1004,'전기원장'!$B$5:$B$1004,"")))</x:f>
      </x:c>
      <x:c r="C202" s="75" t="str">
        <x:f>IF(A202="","",SUMIF('전기원장'!$A$5:$A$1004,A202,'전기원장'!$H$5:$H$1004))</x:f>
      </x:c>
      <x:c r="D202" s="75" t="str">
        <x:f>IF(A202="","",SUMIF('당기원장'!$A$5:$A$1004,A202,'당기원장'!$H$5:$H$1004))</x:f>
      </x:c>
      <x:c r="E202" s="75" t="str">
        <x:f>IF(A202="","",D202-C202)</x:f>
      </x:c>
      <x:c r="F202" s="86" t="str">
        <x:f>IF(A202="","",IF(C202=0,IF(D202=0,0,1),ABS(E202)/ABS(C202)))</x:f>
      </x:c>
      <x:c r="G202" s="73" t="str">
        <x:f>IF(A202="","",IF(AND(C202=0,D202&lt;&gt;0),"신규",IF(AND(C202&lt;&gt;0,D202=0),"소멸",IF(E202=0,"변동없음","금액변동"))))</x:f>
      </x:c>
      <x:c r="H202" s="73" t="str">
        <x:f>IF(A202="","",IF(AND(ABS(E202)&gt;='기준설정'!$B$6,OR(G202="신규",G202="소멸",F202&gt;='기준설정'!$B$5)),"원인분석 대상","일반"))</x:f>
      </x:c>
      <x:c r="I202" s="73" t="str">
        <x:f>IF(A202="","",IF(H202="원인분석 대상","세부원인분석 시트에서 거래별 원인을 검토","-"))</x:f>
      </x:c>
      <x:c r="J202" s="73" t="str">
        <x:f>IF(A202="","",COUNTIFS('전기원장'!$A$5:$A$1004,A202,'전기원장'!$J$5:$J$1004,"확인 필요")+COUNTIFS('당기원장'!$A$5:$A$1004,A202,'당기원장'!$J$5:$J$1004,"확인 필요"))</x:f>
      </x:c>
      <x:c r="K202" s="87" t="str">
        <x:f>IF(A202="","",IF(H202&lt;&gt;"원인분석 대상","",IF(J202&gt;0,"붙임 문서 확인 후 원인 확정 필요","결의서명 기반 원인분류 검토")))</x:f>
      </x:c>
    </x:row>
    <x:row r="203">
      <x:c r="A203" s="73"/>
      <x:c r="B203" s="73" t="str">
        <x:f>IF(A203="","",IFERROR(XLOOKUP(A203,'당기원장'!$A$5:$A$1004,'당기원장'!$B$5:$B$1004),XLOOKUP(A203,'전기원장'!$A$5:$A$1004,'전기원장'!$B$5:$B$1004,"")))</x:f>
      </x:c>
      <x:c r="C203" s="75" t="str">
        <x:f>IF(A203="","",SUMIF('전기원장'!$A$5:$A$1004,A203,'전기원장'!$H$5:$H$1004))</x:f>
      </x:c>
      <x:c r="D203" s="75" t="str">
        <x:f>IF(A203="","",SUMIF('당기원장'!$A$5:$A$1004,A203,'당기원장'!$H$5:$H$1004))</x:f>
      </x:c>
      <x:c r="E203" s="75" t="str">
        <x:f>IF(A203="","",D203-C203)</x:f>
      </x:c>
      <x:c r="F203" s="86" t="str">
        <x:f>IF(A203="","",IF(C203=0,IF(D203=0,0,1),ABS(E203)/ABS(C203)))</x:f>
      </x:c>
      <x:c r="G203" s="73" t="str">
        <x:f>IF(A203="","",IF(AND(C203=0,D203&lt;&gt;0),"신규",IF(AND(C203&lt;&gt;0,D203=0),"소멸",IF(E203=0,"변동없음","금액변동"))))</x:f>
      </x:c>
      <x:c r="H203" s="73" t="str">
        <x:f>IF(A203="","",IF(AND(ABS(E203)&gt;='기준설정'!$B$6,OR(G203="신규",G203="소멸",F203&gt;='기준설정'!$B$5)),"원인분석 대상","일반"))</x:f>
      </x:c>
      <x:c r="I203" s="73" t="str">
        <x:f>IF(A203="","",IF(H203="원인분석 대상","세부원인분석 시트에서 거래별 원인을 검토","-"))</x:f>
      </x:c>
      <x:c r="J203" s="73" t="str">
        <x:f>IF(A203="","",COUNTIFS('전기원장'!$A$5:$A$1004,A203,'전기원장'!$J$5:$J$1004,"확인 필요")+COUNTIFS('당기원장'!$A$5:$A$1004,A203,'당기원장'!$J$5:$J$1004,"확인 필요"))</x:f>
      </x:c>
      <x:c r="K203" s="87" t="str">
        <x:f>IF(A203="","",IF(H203&lt;&gt;"원인분석 대상","",IF(J203&gt;0,"붙임 문서 확인 후 원인 확정 필요","결의서명 기반 원인분류 검토")))</x:f>
      </x:c>
    </x:row>
    <x:row r="204">
      <x:c r="A204" s="79"/>
      <x:c r="B204" s="79" t="str">
        <x:f>IF(A204="","",IFERROR(XLOOKUP(A204,'당기원장'!$A$5:$A$1004,'당기원장'!$B$5:$B$1004),XLOOKUP(A204,'전기원장'!$A$5:$A$1004,'전기원장'!$B$5:$B$1004,"")))</x:f>
      </x:c>
      <x:c r="C204" s="81" t="str">
        <x:f>IF(A204="","",SUMIF('전기원장'!$A$5:$A$1004,A204,'전기원장'!$H$5:$H$1004))</x:f>
      </x:c>
      <x:c r="D204" s="81" t="str">
        <x:f>IF(A204="","",SUMIF('당기원장'!$A$5:$A$1004,A204,'당기원장'!$H$5:$H$1004))</x:f>
      </x:c>
      <x:c r="E204" s="81" t="str">
        <x:f>IF(A204="","",D204-C204)</x:f>
      </x:c>
      <x:c r="F204" s="88" t="str">
        <x:f>IF(A204="","",IF(C204=0,IF(D204=0,0,1),ABS(E204)/ABS(C204)))</x:f>
      </x:c>
      <x:c r="G204" s="79" t="str">
        <x:f>IF(A204="","",IF(AND(C204=0,D204&lt;&gt;0),"신규",IF(AND(C204&lt;&gt;0,D204=0),"소멸",IF(E204=0,"변동없음","금액변동"))))</x:f>
      </x:c>
      <x:c r="H204" s="79" t="str">
        <x:f>IF(A204="","",IF(AND(ABS(E204)&gt;='기준설정'!$B$6,OR(G204="신규",G204="소멸",F204&gt;='기준설정'!$B$5)),"원인분석 대상","일반"))</x:f>
      </x:c>
      <x:c r="I204" s="79" t="str">
        <x:f>IF(A204="","",IF(H204="원인분석 대상","세부원인분석 시트에서 거래별 원인을 검토","-"))</x:f>
      </x:c>
      <x:c r="J204" s="79" t="str">
        <x:f>IF(A204="","",COUNTIFS('전기원장'!$A$5:$A$1004,A204,'전기원장'!$J$5:$J$1004,"확인 필요")+COUNTIFS('당기원장'!$A$5:$A$1004,A204,'당기원장'!$J$5:$J$1004,"확인 필요"))</x:f>
      </x:c>
      <x:c r="K204" s="89" t="str">
        <x:f>IF(A204="","",IF(H204&lt;&gt;"원인분석 대상","",IF(J204&gt;0,"붙임 문서 확인 후 원인 확정 필요","결의서명 기반 원인분류 검토")))</x:f>
      </x:c>
    </x:row>
  </x:sheetData>
  <x:mergeCells>
    <x:mergeCell ref="A1:K1"/>
  </x:mergeCells>
  <x:conditionalFormatting sqref="H5:H204">
    <x:cfRule type="containsText" dxfId="2" priority="1" operator="containsText" text="원인분석 대상"/>
  </x:conditionalFormatting>
  <x:conditionalFormatting sqref="J5:J204"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0" hidden="0" customWidth="1"/>
    <x:col min="4" max="4" width="13" hidden="0" customWidth="1"/>
    <x:col min="5" max="5" width="16" hidden="0" customWidth="1"/>
    <x:col min="6" max="6" width="38" hidden="0" customWidth="1"/>
    <x:col min="7" max="7" width="17" hidden="0" customWidth="1"/>
    <x:col min="8" max="8" width="18" hidden="0" customWidth="1"/>
    <x:col min="9" max="9" width="22" hidden="0" customWidth="1"/>
    <x:col min="10" max="10" width="34" hidden="0" customWidth="1"/>
    <x:col min="11" max="11" width="52" hidden="0" customWidth="1"/>
  </x:cols>
  <x:sheetData>
    <x:row r="1" ht="34" customHeight="1">
      <x:c r="A1" s="4" t="str">
        <x:v>세부 원인분석</x:v>
      </x:c>
      <x:c r="B1" s="4" t="str">
        <x:v>세부 원인분석</x:v>
      </x:c>
      <x:c r="C1" s="4" t="str">
        <x:v>세부 원인분석</x:v>
      </x:c>
      <x:c r="D1" s="4" t="str">
        <x:v>세부 원인분석</x:v>
      </x:c>
      <x:c r="E1" s="4" t="str">
        <x:v>세부 원인분석</x:v>
      </x:c>
      <x:c r="F1" s="4" t="str">
        <x:v>세부 원인분석</x:v>
      </x:c>
      <x:c r="G1" s="4" t="str">
        <x:v>세부 원인분석</x:v>
      </x:c>
      <x:c r="H1" s="4" t="str">
        <x:v>세부 원인분석</x:v>
      </x:c>
      <x:c r="I1" s="4" t="str">
        <x:v>세부 원인분석</x:v>
      </x:c>
      <x:c r="J1" s="4" t="str">
        <x:v>세부 원인분석</x:v>
      </x:c>
      <x:c r="K1" s="4" t="str">
        <x:v>세부 원인분석</x:v>
      </x:c>
    </x:row>
    <x:row r="2">
      <x:c r="A2" s="5" t="str">
        <x:v>원인분석 대상 계정의 전기·당기 거래를 함께 표시합니다.</x:v>
      </x:c>
    </x:row>
    <x:row r="3">
      <x:c r="A3" s="91" t="str">
        <x:v>※ '확인 필요' 거래는 결의서명만으로 판단하지 말고 붙임 문서(계약서·정산서·세금계산서 등)를 확인한 후 원인분석 메모를 확정하십시오.</x:v>
      </x:c>
      <x:c r="B3" s="91" t="str">
        <x:v>※ '확인 필요' 거래는 결의서명만으로 판단하지 말고 붙임 문서(계약서·정산서·세금계산서 등)를 확인한 후 원인분석 메모를 확정하십시오.</x:v>
      </x:c>
      <x:c r="C3" s="91" t="str">
        <x:v>※ '확인 필요' 거래는 결의서명만으로 판단하지 말고 붙임 문서(계약서·정산서·세금계산서 등)를 확인한 후 원인분석 메모를 확정하십시오.</x:v>
      </x:c>
      <x:c r="D3" s="91" t="str">
        <x:v>※ '확인 필요' 거래는 결의서명만으로 판단하지 말고 붙임 문서(계약서·정산서·세금계산서 등)를 확인한 후 원인분석 메모를 확정하십시오.</x:v>
      </x:c>
      <x:c r="E3" s="91" t="str">
        <x:v>※ '확인 필요' 거래는 결의서명만으로 판단하지 말고 붙임 문서(계약서·정산서·세금계산서 등)를 확인한 후 원인분석 메모를 확정하십시오.</x:v>
      </x:c>
      <x:c r="F3" s="91" t="str">
        <x:v>※ '확인 필요' 거래는 결의서명만으로 판단하지 말고 붙임 문서(계약서·정산서·세금계산서 등)를 확인한 후 원인분석 메모를 확정하십시오.</x:v>
      </x:c>
      <x:c r="G3" s="91" t="str">
        <x:v>※ '확인 필요' 거래는 결의서명만으로 판단하지 말고 붙임 문서(계약서·정산서·세금계산서 등)를 확인한 후 원인분석 메모를 확정하십시오.</x:v>
      </x:c>
      <x:c r="H3" s="91" t="str">
        <x:v>※ '확인 필요' 거래는 결의서명만으로 판단하지 말고 붙임 문서(계약서·정산서·세금계산서 등)를 확인한 후 원인분석 메모를 확정하십시오.</x:v>
      </x:c>
      <x:c r="I3" s="91" t="str">
        <x:v>※ '확인 필요' 거래는 결의서명만으로 판단하지 말고 붙임 문서(계약서·정산서·세금계산서 등)를 확인한 후 원인분석 메모를 확정하십시오.</x:v>
      </x:c>
      <x:c r="J3" s="91" t="str">
        <x:v>※ '확인 필요' 거래는 결의서명만으로 판단하지 말고 붙임 문서(계약서·정산서·세금계산서 등)를 확인한 후 원인분석 메모를 확정하십시오.</x:v>
      </x:c>
      <x:c r="K3" s="91" t="str">
        <x:v>※ '확인 필요' 거래는 결의서명만으로 판단하지 말고 붙임 문서(계약서·정산서·세금계산서 등)를 확인한 후 원인분석 메모를 확정하십시오.</x:v>
      </x:c>
    </x:row>
    <x:row r="5" ht="30" customHeight="1">
      <x:c r="A5" s="29" t="str">
        <x:v>기간</x:v>
      </x:c>
      <x:c r="B5" s="30" t="str">
        <x:v>계정코드</x:v>
      </x:c>
      <x:c r="C5" s="30" t="str">
        <x:v>계정명</x:v>
      </x:c>
      <x:c r="D5" s="30" t="str">
        <x:v>전표일자</x:v>
      </x:c>
      <x:c r="E5" s="30" t="str">
        <x:v>결의서번호</x:v>
      </x:c>
      <x:c r="F5" s="30" t="str">
        <x:v>결의서명</x:v>
      </x:c>
      <x:c r="G5" s="30" t="str">
        <x:v>순액</x:v>
      </x:c>
      <x:c r="H5" s="30" t="str">
        <x:v>1차 원인분류</x:v>
      </x:c>
      <x:c r="I5" s="30" t="str">
        <x:v>붙임 확인</x:v>
      </x:c>
      <x:c r="J5" s="30" t="str">
        <x:v>검토메모/붙임경로</x:v>
      </x:c>
      <x:c r="K5" s="31" t="str">
        <x:v>분석 포인트</x:v>
      </x:c>
    </x:row>
    <x:row r="6">
      <x:c r="A6" t="str">
        <x:f>IF(B6="","",IF(COUNTIFS('전기원장'!$A$5:$A$1004,B6,'전기원장'!$D$5:$D$1004,E6)&gt;0,"전기","당기"))</x:f>
        <x:v>전기</x:v>
      </x:c>
      <x:c r="B6" t="n" cm="1">
        <x:f t="array" ref="B6:J13">LET(t,VSTACK(HSTACK('전기원장'!$A$5:$A$1004,'전기원장'!$B$5:$B$1004,'전기원장'!$C$5:$C$1004,'전기원장'!$D$5:$D$1004,'전기원장'!$E$5:$E$1004,'전기원장'!$H$5:$H$1004,'전기원장'!$I$5:$I$1004,'전기원장'!$J$5:$J$1004,'전기원장'!$K$5:$K$1004),HSTACK('당기원장'!$A$5:$A$1004,'당기원장'!$B$5:$B$1004,'당기원장'!$C$5:$C$1004,'당기원장'!$D$5:$D$1004,'당기원장'!$E$5:$E$1004,'당기원장'!$H$5:$H$1004,'당기원장'!$I$5:$I$1004,'당기원장'!$J$5:$J$1004,'당기원장'!$K$5:$K$1004)),_xlfn._xlws.FILTER(t,(CHOOSECOLS(t,1)&lt;&gt;"")*ISNUMBER(XMATCH(CHOOSECOLS(t,1),_xlfn._xlws.FILTER('계정비교'!$A$5:$A$204,'계정비교'!$H$5:$H$204="원인분석 대상"))),"대상 없음"))</x:f>
        <x:v>510100</x:v>
      </x:c>
      <x:c r="C6" t="str">
        <x:v>급여</x:v>
      </x:c>
      <x:c r="D6" s="67" t="n">
        <x:v>45688</x:v>
      </x:c>
      <x:c r="E6" t="str">
        <x:v>P-001</x:v>
      </x:c>
      <x:c r="F6" t="str">
        <x:v>1월 정규직 급여 지급</x:v>
      </x:c>
      <x:c r="G6" s="68" t="n">
        <x:v>350000000</x:v>
      </x:c>
      <x:c r="H6" t="str">
        <x:v>인건비</x:v>
      </x:c>
      <x:c r="I6" t="str">
        <x:v>결의서명으로 1차 확인</x:v>
      </x:c>
      <x:c r="J6" t="str"/>
      <x:c r="K6" t="str">
        <x:f>IF(B6="","",IF(I6="확인 필요","붙임 문서 확인 후 거래 성격·기간·상대방·일회성 여부 확인","결의서명과 전기 대비 발생 건수·단가·시점 차이 검토"))</x:f>
        <x:v>결의서명과 전기 대비 발생 건수·단가·시점 차이 검토</x:v>
      </x:c>
    </x:row>
    <x:row r="7">
      <x:c r="A7" t="str">
        <x:f>IF(B7="","",IF(COUNTIFS('전기원장'!$A$5:$A$1004,B7,'전기원장'!$D$5:$D$1004,E7)&gt;0,"전기","당기"))</x:f>
        <x:v>전기</x:v>
      </x:c>
      <x:c r="B7" t="n">
        <x:v>520300</x:v>
      </x:c>
      <x:c r="C7" t="str">
        <x:v>광고선전비</x:v>
      </x:c>
      <x:c r="D7" s="67" t="n">
        <x:v>45736</x:v>
      </x:c>
      <x:c r="E7" t="str">
        <x:v>P-032</x:v>
      </x:c>
      <x:c r="F7" t="str">
        <x:v>브랜드 캠페인 광고 용역</x:v>
      </x:c>
      <x:c r="G7" s="68" t="n">
        <x:v>120000000</x:v>
      </x:c>
      <x:c r="H7" t="str">
        <x:v>광고·행사</x:v>
      </x:c>
      <x:c r="I7" t="str">
        <x:v>결의서명으로 1차 확인</x:v>
      </x:c>
      <x:c r="J7" t="str"/>
      <x:c r="K7" t="str">
        <x:f>IF(B7="","",IF(I7="확인 필요","붙임 문서 확인 후 거래 성격·기간·상대방·일회성 여부 확인","결의서명과 전기 대비 발생 건수·단가·시점 차이 검토"))</x:f>
        <x:v>결의서명과 전기 대비 발생 건수·단가·시점 차이 검토</x:v>
      </x:c>
    </x:row>
    <x:row r="8">
      <x:c r="A8" t="str">
        <x:f>IF(B8="","",IF(COUNTIFS('전기원장'!$A$5:$A$1004,B8,'전기원장'!$D$5:$D$1004,E8)&gt;0,"전기","당기"))</x:f>
        <x:v>전기</x:v>
      </x:c>
      <x:c r="B8" t="n">
        <x:v>530100</x:v>
      </x:c>
      <x:c r="C8" t="str">
        <x:v>임차료</x:v>
      </x:c>
      <x:c r="D8" s="67" t="n">
        <x:v>45698</x:v>
      </x:c>
      <x:c r="E8" t="str">
        <x:v>P-020</x:v>
      </x:c>
      <x:c r="F8" t="str">
        <x:v>본사 사무실 임차료</x:v>
      </x:c>
      <x:c r="G8" s="68" t="n">
        <x:v>240000000</x:v>
      </x:c>
      <x:c r="H8" t="str">
        <x:v>임차·시설</x:v>
      </x:c>
      <x:c r="I8" t="str">
        <x:v>결의서명으로 1차 확인</x:v>
      </x:c>
      <x:c r="J8" t="str"/>
      <x:c r="K8" t="str">
        <x:f>IF(B8="","",IF(I8="확인 필요","붙임 문서 확인 후 거래 성격·기간·상대방·일회성 여부 확인","결의서명과 전기 대비 발생 건수·단가·시점 차이 검토"))</x:f>
        <x:v>결의서명과 전기 대비 발생 건수·단가·시점 차이 검토</x:v>
      </x:c>
    </x:row>
    <x:row r="9">
      <x:c r="A9" t="str">
        <x:f>IF(B9="","",IF(COUNTIFS('전기원장'!$A$5:$A$1004,B9,'전기원장'!$D$5:$D$1004,E9)&gt;0,"전기","당기"))</x:f>
        <x:v>전기</x:v>
      </x:c>
      <x:c r="B9" t="n">
        <x:v>540200</x:v>
      </x:c>
      <x:c r="C9" t="str">
        <x:v>지급수수료</x:v>
      </x:c>
      <x:c r="D9" s="67" t="n">
        <x:v>45792</x:v>
      </x:c>
      <x:c r="E9" t="str">
        <x:v>P-088</x:v>
      </x:c>
      <x:c r="F9" t="str">
        <x:v>기타 정산</x:v>
      </x:c>
      <x:c r="G9" s="68" t="n">
        <x:v>150000000</x:v>
      </x:c>
      <x:c r="H9" t="str">
        <x:v>기타/불명</x:v>
      </x:c>
      <x:c r="I9" t="str">
        <x:v>확인 필요</x:v>
      </x:c>
      <x:c r="J9" t="str"/>
      <x:c r="K9" t="str">
        <x:f>IF(B9="","",IF(I9="확인 필요","붙임 문서 확인 후 거래 성격·기간·상대방·일회성 여부 확인","결의서명과 전기 대비 발생 건수·단가·시점 차이 검토"))</x:f>
        <x:v>붙임 문서 확인 후 거래 성격·기간·상대방·일회성 여부 확인</x:v>
      </x:c>
    </x:row>
    <x:row r="10">
      <x:c r="A10" t="str">
        <x:f>IF(B10="","",IF(COUNTIFS('전기원장'!$A$5:$A$1004,B10,'전기원장'!$D$5:$D$1004,E10)&gt;0,"전기","당기"))</x:f>
        <x:v>당기</x:v>
      </x:c>
      <x:c r="B10" t="n">
        <x:v>510100</x:v>
      </x:c>
      <x:c r="C10" t="str">
        <x:v>급여</x:v>
      </x:c>
      <x:c r="D10" s="67" t="n">
        <x:v>46053</x:v>
      </x:c>
      <x:c r="E10" t="str">
        <x:v>C-001</x:v>
      </x:c>
      <x:c r="F10" t="str">
        <x:v>1월 정규직 급여 및 신규채용 반영</x:v>
      </x:c>
      <x:c r="G10" s="68" t="n">
        <x:v>470000000</x:v>
      </x:c>
      <x:c r="H10" t="str">
        <x:v>인건비</x:v>
      </x:c>
      <x:c r="I10" t="str">
        <x:v>결의서명으로 1차 확인</x:v>
      </x:c>
      <x:c r="J10" t="str"/>
      <x:c r="K10" t="str">
        <x:f>IF(B10="","",IF(I10="확인 필요","붙임 문서 확인 후 거래 성격·기간·상대방·일회성 여부 확인","결의서명과 전기 대비 발생 건수·단가·시점 차이 검토"))</x:f>
        <x:v>결의서명과 전기 대비 발생 건수·단가·시점 차이 검토</x:v>
      </x:c>
    </x:row>
    <x:row r="11">
      <x:c r="A11" t="str">
        <x:f>IF(B11="","",IF(COUNTIFS('전기원장'!$A$5:$A$1004,B11,'전기원장'!$D$5:$D$1004,E11)&gt;0,"전기","당기"))</x:f>
        <x:v>당기</x:v>
      </x:c>
      <x:c r="B11" t="n">
        <x:v>520300</x:v>
      </x:c>
      <x:c r="C11" t="str">
        <x:v>광고선전비</x:v>
      </x:c>
      <x:c r="D11" s="67" t="n">
        <x:v>46103</x:v>
      </x:c>
      <x:c r="E11" t="str">
        <x:v>C-041</x:v>
      </x:c>
      <x:c r="F11" t="str">
        <x:v>신제품 출시 광고 캠페인</x:v>
      </x:c>
      <x:c r="G11" s="68" t="n">
        <x:v>260000000</x:v>
      </x:c>
      <x:c r="H11" t="str">
        <x:v>광고·행사</x:v>
      </x:c>
      <x:c r="I11" t="str">
        <x:v>결의서명으로 1차 확인</x:v>
      </x:c>
      <x:c r="J11" t="str"/>
      <x:c r="K11" t="str">
        <x:f>IF(B11="","",IF(I11="확인 필요","붙임 문서 확인 후 거래 성격·기간·상대방·일회성 여부 확인","결의서명과 전기 대비 발생 건수·단가·시점 차이 검토"))</x:f>
        <x:v>결의서명과 전기 대비 발생 건수·단가·시점 차이 검토</x:v>
      </x:c>
    </x:row>
    <x:row r="12">
      <x:c r="A12" t="str">
        <x:f>IF(B12="","",IF(COUNTIFS('전기원장'!$A$5:$A$1004,B12,'전기원장'!$D$5:$D$1004,E12)&gt;0,"전기","당기"))</x:f>
        <x:v>당기</x:v>
      </x:c>
      <x:c r="B12" t="n">
        <x:v>530100</x:v>
      </x:c>
      <x:c r="C12" t="str">
        <x:v>임차료</x:v>
      </x:c>
      <x:c r="D12" s="67" t="n">
        <x:v>46063</x:v>
      </x:c>
      <x:c r="E12" t="str">
        <x:v>C-022</x:v>
      </x:c>
      <x:c r="F12" t="str">
        <x:v>본사 사무실 임차료</x:v>
      </x:c>
      <x:c r="G12" s="68" t="n">
        <x:v>240000000</x:v>
      </x:c>
      <x:c r="H12" t="str">
        <x:v>임차·시설</x:v>
      </x:c>
      <x:c r="I12" t="str">
        <x:v>결의서명으로 1차 확인</x:v>
      </x:c>
      <x:c r="J12" t="str"/>
      <x:c r="K12" t="str">
        <x:f>IF(B12="","",IF(I12="확인 필요","붙임 문서 확인 후 거래 성격·기간·상대방·일회성 여부 확인","결의서명과 전기 대비 발생 건수·단가·시점 차이 검토"))</x:f>
        <x:v>결의서명과 전기 대비 발생 건수·단가·시점 차이 검토</x:v>
      </x:c>
    </x:row>
    <x:row r="13">
      <x:c r="A13" t="str">
        <x:f>IF(B13="","",IF(COUNTIFS('전기원장'!$A$5:$A$1004,B13,'전기원장'!$D$5:$D$1004,E13)&gt;0,"전기","당기"))</x:f>
        <x:v>당기</x:v>
      </x:c>
      <x:c r="B13" t="n">
        <x:v>550500</x:v>
      </x:c>
      <x:c r="C13" t="str">
        <x:v>소프트웨어</x:v>
      </x:c>
      <x:c r="D13" s="67" t="n">
        <x:v>46113</x:v>
      </x:c>
      <x:c r="E13" t="str">
        <x:v>C-067</x:v>
      </x:c>
      <x:c r="F13" t="str">
        <x:v>ERP 시스템 구축 용역</x:v>
      </x:c>
      <x:c r="G13" s="68" t="n">
        <x:v>180000000</x:v>
      </x:c>
      <x:c r="H13" t="str">
        <x:v>용역·수수료</x:v>
      </x:c>
      <x:c r="I13" t="str">
        <x:v>결의서명으로 1차 확인</x:v>
      </x:c>
      <x:c r="J13" t="str"/>
      <x:c r="K13" t="str">
        <x:f>IF(B13="","",IF(I13="확인 필요","붙임 문서 확인 후 거래 성격·기간·상대방·일회성 여부 확인","결의서명과 전기 대비 발생 건수·단가·시점 차이 검토"))</x:f>
        <x:v>결의서명과 전기 대비 발생 건수·단가·시점 차이 검토</x:v>
      </x:c>
    </x:row>
    <x:row r="14">
      <x:c r="A14" t="str">
        <x:f>IF(B14="","",IF(COUNTIFS('전기원장'!$A$5:$A$1004,B14,'전기원장'!$D$5:$D$1004,E14)&gt;0,"전기","당기"))</x:f>
      </x:c>
      <x:c r="D14" s="67"/>
      <x:c r="G14" s="68"/>
      <x:c r="K14" t="str">
        <x:f>IF(B14="","",IF(I14="확인 필요","붙임 문서 확인 후 거래 성격·기간·상대방·일회성 여부 확인","결의서명과 전기 대비 발생 건수·단가·시점 차이 검토"))</x:f>
      </x:c>
    </x:row>
    <x:row r="15">
      <x:c r="A15" t="str">
        <x:f>IF(B15="","",IF(COUNTIFS('전기원장'!$A$5:$A$1004,B15,'전기원장'!$D$5:$D$1004,E15)&gt;0,"전기","당기"))</x:f>
      </x:c>
      <x:c r="D15" s="67"/>
      <x:c r="G15" s="68"/>
      <x:c r="K15" t="str">
        <x:f>IF(B15="","",IF(I15="확인 필요","붙임 문서 확인 후 거래 성격·기간·상대방·일회성 여부 확인","결의서명과 전기 대비 발생 건수·단가·시점 차이 검토"))</x:f>
      </x:c>
    </x:row>
    <x:row r="16">
      <x:c r="A16" t="str">
        <x:f>IF(B16="","",IF(COUNTIFS('전기원장'!$A$5:$A$1004,B16,'전기원장'!$D$5:$D$1004,E16)&gt;0,"전기","당기"))</x:f>
      </x:c>
      <x:c r="D16" s="67"/>
      <x:c r="G16" s="68"/>
      <x:c r="K16" t="str">
        <x:f>IF(B16="","",IF(I16="확인 필요","붙임 문서 확인 후 거래 성격·기간·상대방·일회성 여부 확인","결의서명과 전기 대비 발생 건수·단가·시점 차이 검토"))</x:f>
      </x:c>
    </x:row>
    <x:row r="17">
      <x:c r="A17" t="str">
        <x:f>IF(B17="","",IF(COUNTIFS('전기원장'!$A$5:$A$1004,B17,'전기원장'!$D$5:$D$1004,E17)&gt;0,"전기","당기"))</x:f>
      </x:c>
      <x:c r="D17" s="67"/>
      <x:c r="G17" s="68"/>
      <x:c r="K17" t="str">
        <x:f>IF(B17="","",IF(I17="확인 필요","붙임 문서 확인 후 거래 성격·기간·상대방·일회성 여부 확인","결의서명과 전기 대비 발생 건수·단가·시점 차이 검토"))</x:f>
      </x:c>
    </x:row>
    <x:row r="18">
      <x:c r="A18" t="str">
        <x:f>IF(B18="","",IF(COUNTIFS('전기원장'!$A$5:$A$1004,B18,'전기원장'!$D$5:$D$1004,E18)&gt;0,"전기","당기"))</x:f>
      </x:c>
      <x:c r="D18" s="67"/>
      <x:c r="G18" s="68"/>
      <x:c r="K18" t="str">
        <x:f>IF(B18="","",IF(I18="확인 필요","붙임 문서 확인 후 거래 성격·기간·상대방·일회성 여부 확인","결의서명과 전기 대비 발생 건수·단가·시점 차이 검토"))</x:f>
      </x:c>
    </x:row>
    <x:row r="19">
      <x:c r="A19" t="str">
        <x:f>IF(B19="","",IF(COUNTIFS('전기원장'!$A$5:$A$1004,B19,'전기원장'!$D$5:$D$1004,E19)&gt;0,"전기","당기"))</x:f>
      </x:c>
      <x:c r="D19" s="67"/>
      <x:c r="G19" s="68"/>
      <x:c r="K19" t="str">
        <x:f>IF(B19="","",IF(I19="확인 필요","붙임 문서 확인 후 거래 성격·기간·상대방·일회성 여부 확인","결의서명과 전기 대비 발생 건수·단가·시점 차이 검토"))</x:f>
      </x:c>
    </x:row>
    <x:row r="20">
      <x:c r="A20" t="str">
        <x:f>IF(B20="","",IF(COUNTIFS('전기원장'!$A$5:$A$1004,B20,'전기원장'!$D$5:$D$1004,E20)&gt;0,"전기","당기"))</x:f>
      </x:c>
      <x:c r="D20" s="67"/>
      <x:c r="G20" s="68"/>
      <x:c r="K20" t="str">
        <x:f>IF(B20="","",IF(I20="확인 필요","붙임 문서 확인 후 거래 성격·기간·상대방·일회성 여부 확인","결의서명과 전기 대비 발생 건수·단가·시점 차이 검토"))</x:f>
      </x:c>
    </x:row>
    <x:row r="21">
      <x:c r="A21" t="str">
        <x:f>IF(B21="","",IF(COUNTIFS('전기원장'!$A$5:$A$1004,B21,'전기원장'!$D$5:$D$1004,E21)&gt;0,"전기","당기"))</x:f>
      </x:c>
      <x:c r="D21" s="67"/>
      <x:c r="G21" s="68"/>
      <x:c r="K21" t="str">
        <x:f>IF(B21="","",IF(I21="확인 필요","붙임 문서 확인 후 거래 성격·기간·상대방·일회성 여부 확인","결의서명과 전기 대비 발생 건수·단가·시점 차이 검토"))</x:f>
      </x:c>
    </x:row>
    <x:row r="22">
      <x:c r="A22" t="str">
        <x:f>IF(B22="","",IF(COUNTIFS('전기원장'!$A$5:$A$1004,B22,'전기원장'!$D$5:$D$1004,E22)&gt;0,"전기","당기"))</x:f>
      </x:c>
      <x:c r="D22" s="67"/>
      <x:c r="G22" s="68"/>
      <x:c r="K22" t="str">
        <x:f>IF(B22="","",IF(I22="확인 필요","붙임 문서 확인 후 거래 성격·기간·상대방·일회성 여부 확인","결의서명과 전기 대비 발생 건수·단가·시점 차이 검토"))</x:f>
      </x:c>
    </x:row>
    <x:row r="23">
      <x:c r="A23" t="str">
        <x:f>IF(B23="","",IF(COUNTIFS('전기원장'!$A$5:$A$1004,B23,'전기원장'!$D$5:$D$1004,E23)&gt;0,"전기","당기"))</x:f>
      </x:c>
      <x:c r="D23" s="67"/>
      <x:c r="G23" s="68"/>
      <x:c r="K23" t="str">
        <x:f>IF(B23="","",IF(I23="확인 필요","붙임 문서 확인 후 거래 성격·기간·상대방·일회성 여부 확인","결의서명과 전기 대비 발생 건수·단가·시점 차이 검토"))</x:f>
      </x:c>
    </x:row>
    <x:row r="24">
      <x:c r="A24" t="str">
        <x:f>IF(B24="","",IF(COUNTIFS('전기원장'!$A$5:$A$1004,B24,'전기원장'!$D$5:$D$1004,E24)&gt;0,"전기","당기"))</x:f>
      </x:c>
      <x:c r="D24" s="67"/>
      <x:c r="G24" s="68"/>
      <x:c r="K24" t="str">
        <x:f>IF(B24="","",IF(I24="확인 필요","붙임 문서 확인 후 거래 성격·기간·상대방·일회성 여부 확인","결의서명과 전기 대비 발생 건수·단가·시점 차이 검토"))</x:f>
      </x:c>
    </x:row>
    <x:row r="25">
      <x:c r="A25" t="str">
        <x:f>IF(B25="","",IF(COUNTIFS('전기원장'!$A$5:$A$1004,B25,'전기원장'!$D$5:$D$1004,E25)&gt;0,"전기","당기"))</x:f>
      </x:c>
      <x:c r="D25" s="67"/>
      <x:c r="G25" s="68"/>
      <x:c r="K25" t="str">
        <x:f>IF(B25="","",IF(I25="확인 필요","붙임 문서 확인 후 거래 성격·기간·상대방·일회성 여부 확인","결의서명과 전기 대비 발생 건수·단가·시점 차이 검토"))</x:f>
      </x:c>
    </x:row>
    <x:row r="26">
      <x:c r="A26" t="str">
        <x:f>IF(B26="","",IF(COUNTIFS('전기원장'!$A$5:$A$1004,B26,'전기원장'!$D$5:$D$1004,E26)&gt;0,"전기","당기"))</x:f>
      </x:c>
      <x:c r="D26" s="67"/>
      <x:c r="G26" s="68"/>
      <x:c r="K26" t="str">
        <x:f>IF(B26="","",IF(I26="확인 필요","붙임 문서 확인 후 거래 성격·기간·상대방·일회성 여부 확인","결의서명과 전기 대비 발생 건수·단가·시점 차이 검토"))</x:f>
      </x:c>
    </x:row>
    <x:row r="27">
      <x:c r="A27" t="str">
        <x:f>IF(B27="","",IF(COUNTIFS('전기원장'!$A$5:$A$1004,B27,'전기원장'!$D$5:$D$1004,E27)&gt;0,"전기","당기"))</x:f>
      </x:c>
      <x:c r="D27" s="67"/>
      <x:c r="G27" s="68"/>
      <x:c r="K27" t="str">
        <x:f>IF(B27="","",IF(I27="확인 필요","붙임 문서 확인 후 거래 성격·기간·상대방·일회성 여부 확인","결의서명과 전기 대비 발생 건수·단가·시점 차이 검토"))</x:f>
      </x:c>
    </x:row>
    <x:row r="28">
      <x:c r="A28" t="str">
        <x:f>IF(B28="","",IF(COUNTIFS('전기원장'!$A$5:$A$1004,B28,'전기원장'!$D$5:$D$1004,E28)&gt;0,"전기","당기"))</x:f>
      </x:c>
      <x:c r="D28" s="67"/>
      <x:c r="G28" s="68"/>
      <x:c r="K28" t="str">
        <x:f>IF(B28="","",IF(I28="확인 필요","붙임 문서 확인 후 거래 성격·기간·상대방·일회성 여부 확인","결의서명과 전기 대비 발생 건수·단가·시점 차이 검토"))</x:f>
      </x:c>
    </x:row>
    <x:row r="29">
      <x:c r="A29" t="str">
        <x:f>IF(B29="","",IF(COUNTIFS('전기원장'!$A$5:$A$1004,B29,'전기원장'!$D$5:$D$1004,E29)&gt;0,"전기","당기"))</x:f>
      </x:c>
      <x:c r="D29" s="67"/>
      <x:c r="G29" s="68"/>
      <x:c r="K29" t="str">
        <x:f>IF(B29="","",IF(I29="확인 필요","붙임 문서 확인 후 거래 성격·기간·상대방·일회성 여부 확인","결의서명과 전기 대비 발생 건수·단가·시점 차이 검토"))</x:f>
      </x:c>
    </x:row>
    <x:row r="30">
      <x:c r="A30" t="str">
        <x:f>IF(B30="","",IF(COUNTIFS('전기원장'!$A$5:$A$1004,B30,'전기원장'!$D$5:$D$1004,E30)&gt;0,"전기","당기"))</x:f>
      </x:c>
      <x:c r="D30" s="67"/>
      <x:c r="G30" s="68"/>
      <x:c r="K30" t="str">
        <x:f>IF(B30="","",IF(I30="확인 필요","붙임 문서 확인 후 거래 성격·기간·상대방·일회성 여부 확인","결의서명과 전기 대비 발생 건수·단가·시점 차이 검토"))</x:f>
      </x:c>
    </x:row>
    <x:row r="31">
      <x:c r="A31" t="str">
        <x:f>IF(B31="","",IF(COUNTIFS('전기원장'!$A$5:$A$1004,B31,'전기원장'!$D$5:$D$1004,E31)&gt;0,"전기","당기"))</x:f>
      </x:c>
      <x:c r="D31" s="67"/>
      <x:c r="G31" s="68"/>
      <x:c r="K31" t="str">
        <x:f>IF(B31="","",IF(I31="확인 필요","붙임 문서 확인 후 거래 성격·기간·상대방·일회성 여부 확인","결의서명과 전기 대비 발생 건수·단가·시점 차이 검토"))</x:f>
      </x:c>
    </x:row>
    <x:row r="32">
      <x:c r="A32" t="str">
        <x:f>IF(B32="","",IF(COUNTIFS('전기원장'!$A$5:$A$1004,B32,'전기원장'!$D$5:$D$1004,E32)&gt;0,"전기","당기"))</x:f>
      </x:c>
      <x:c r="D32" s="67"/>
      <x:c r="G32" s="68"/>
      <x:c r="K32" t="str">
        <x:f>IF(B32="","",IF(I32="확인 필요","붙임 문서 확인 후 거래 성격·기간·상대방·일회성 여부 확인","결의서명과 전기 대비 발생 건수·단가·시점 차이 검토"))</x:f>
      </x:c>
    </x:row>
    <x:row r="33">
      <x:c r="A33" t="str">
        <x:f>IF(B33="","",IF(COUNTIFS('전기원장'!$A$5:$A$1004,B33,'전기원장'!$D$5:$D$1004,E33)&gt;0,"전기","당기"))</x:f>
      </x:c>
      <x:c r="D33" s="67"/>
      <x:c r="G33" s="68"/>
      <x:c r="K33" t="str">
        <x:f>IF(B33="","",IF(I33="확인 필요","붙임 문서 확인 후 거래 성격·기간·상대방·일회성 여부 확인","결의서명과 전기 대비 발생 건수·단가·시점 차이 검토"))</x:f>
      </x:c>
    </x:row>
    <x:row r="34">
      <x:c r="A34" t="str">
        <x:f>IF(B34="","",IF(COUNTIFS('전기원장'!$A$5:$A$1004,B34,'전기원장'!$D$5:$D$1004,E34)&gt;0,"전기","당기"))</x:f>
      </x:c>
      <x:c r="D34" s="67"/>
      <x:c r="G34" s="68"/>
      <x:c r="K34" t="str">
        <x:f>IF(B34="","",IF(I34="확인 필요","붙임 문서 확인 후 거래 성격·기간·상대방·일회성 여부 확인","결의서명과 전기 대비 발생 건수·단가·시점 차이 검토"))</x:f>
      </x:c>
    </x:row>
    <x:row r="35">
      <x:c r="A35" t="str">
        <x:f>IF(B35="","",IF(COUNTIFS('전기원장'!$A$5:$A$1004,B35,'전기원장'!$D$5:$D$1004,E35)&gt;0,"전기","당기"))</x:f>
      </x:c>
      <x:c r="D35" s="67"/>
      <x:c r="G35" s="68"/>
      <x:c r="K35" t="str">
        <x:f>IF(B35="","",IF(I35="확인 필요","붙임 문서 확인 후 거래 성격·기간·상대방·일회성 여부 확인","결의서명과 전기 대비 발생 건수·단가·시점 차이 검토"))</x:f>
      </x:c>
    </x:row>
    <x:row r="36">
      <x:c r="A36" t="str">
        <x:f>IF(B36="","",IF(COUNTIFS('전기원장'!$A$5:$A$1004,B36,'전기원장'!$D$5:$D$1004,E36)&gt;0,"전기","당기"))</x:f>
      </x:c>
      <x:c r="D36" s="67"/>
      <x:c r="G36" s="68"/>
      <x:c r="K36" t="str">
        <x:f>IF(B36="","",IF(I36="확인 필요","붙임 문서 확인 후 거래 성격·기간·상대방·일회성 여부 확인","결의서명과 전기 대비 발생 건수·단가·시점 차이 검토"))</x:f>
      </x:c>
    </x:row>
    <x:row r="37">
      <x:c r="A37" t="str">
        <x:f>IF(B37="","",IF(COUNTIFS('전기원장'!$A$5:$A$1004,B37,'전기원장'!$D$5:$D$1004,E37)&gt;0,"전기","당기"))</x:f>
      </x:c>
      <x:c r="D37" s="67"/>
      <x:c r="G37" s="68"/>
      <x:c r="K37" t="str">
        <x:f>IF(B37="","",IF(I37="확인 필요","붙임 문서 확인 후 거래 성격·기간·상대방·일회성 여부 확인","결의서명과 전기 대비 발생 건수·단가·시점 차이 검토"))</x:f>
      </x:c>
    </x:row>
    <x:row r="38">
      <x:c r="A38" t="str">
        <x:f>IF(B38="","",IF(COUNTIFS('전기원장'!$A$5:$A$1004,B38,'전기원장'!$D$5:$D$1004,E38)&gt;0,"전기","당기"))</x:f>
      </x:c>
      <x:c r="D38" s="67"/>
      <x:c r="G38" s="68"/>
      <x:c r="K38" t="str">
        <x:f>IF(B38="","",IF(I38="확인 필요","붙임 문서 확인 후 거래 성격·기간·상대방·일회성 여부 확인","결의서명과 전기 대비 발생 건수·단가·시점 차이 검토"))</x:f>
      </x:c>
    </x:row>
    <x:row r="39">
      <x:c r="A39" t="str">
        <x:f>IF(B39="","",IF(COUNTIFS('전기원장'!$A$5:$A$1004,B39,'전기원장'!$D$5:$D$1004,E39)&gt;0,"전기","당기"))</x:f>
      </x:c>
      <x:c r="D39" s="67"/>
      <x:c r="G39" s="68"/>
      <x:c r="K39" t="str">
        <x:f>IF(B39="","",IF(I39="확인 필요","붙임 문서 확인 후 거래 성격·기간·상대방·일회성 여부 확인","결의서명과 전기 대비 발생 건수·단가·시점 차이 검토"))</x:f>
      </x:c>
    </x:row>
    <x:row r="40">
      <x:c r="A40" t="str">
        <x:f>IF(B40="","",IF(COUNTIFS('전기원장'!$A$5:$A$1004,B40,'전기원장'!$D$5:$D$1004,E40)&gt;0,"전기","당기"))</x:f>
      </x:c>
      <x:c r="D40" s="67"/>
      <x:c r="G40" s="68"/>
      <x:c r="K40" t="str">
        <x:f>IF(B40="","",IF(I40="확인 필요","붙임 문서 확인 후 거래 성격·기간·상대방·일회성 여부 확인","결의서명과 전기 대비 발생 건수·단가·시점 차이 검토"))</x:f>
      </x:c>
    </x:row>
    <x:row r="41">
      <x:c r="A41" t="str">
        <x:f>IF(B41="","",IF(COUNTIFS('전기원장'!$A$5:$A$1004,B41,'전기원장'!$D$5:$D$1004,E41)&gt;0,"전기","당기"))</x:f>
      </x:c>
      <x:c r="D41" s="67"/>
      <x:c r="G41" s="68"/>
      <x:c r="K41" t="str">
        <x:f>IF(B41="","",IF(I41="확인 필요","붙임 문서 확인 후 거래 성격·기간·상대방·일회성 여부 확인","결의서명과 전기 대비 발생 건수·단가·시점 차이 검토"))</x:f>
      </x:c>
    </x:row>
    <x:row r="42">
      <x:c r="A42" t="str">
        <x:f>IF(B42="","",IF(COUNTIFS('전기원장'!$A$5:$A$1004,B42,'전기원장'!$D$5:$D$1004,E42)&gt;0,"전기","당기"))</x:f>
      </x:c>
      <x:c r="D42" s="67"/>
      <x:c r="G42" s="68"/>
      <x:c r="K42" t="str">
        <x:f>IF(B42="","",IF(I42="확인 필요","붙임 문서 확인 후 거래 성격·기간·상대방·일회성 여부 확인","결의서명과 전기 대비 발생 건수·단가·시점 차이 검토"))</x:f>
      </x:c>
    </x:row>
    <x:row r="43">
      <x:c r="A43" t="str">
        <x:f>IF(B43="","",IF(COUNTIFS('전기원장'!$A$5:$A$1004,B43,'전기원장'!$D$5:$D$1004,E43)&gt;0,"전기","당기"))</x:f>
      </x:c>
      <x:c r="D43" s="67"/>
      <x:c r="G43" s="68"/>
      <x:c r="K43" t="str">
        <x:f>IF(B43="","",IF(I43="확인 필요","붙임 문서 확인 후 거래 성격·기간·상대방·일회성 여부 확인","결의서명과 전기 대비 발생 건수·단가·시점 차이 검토"))</x:f>
      </x:c>
    </x:row>
    <x:row r="44">
      <x:c r="A44" t="str">
        <x:f>IF(B44="","",IF(COUNTIFS('전기원장'!$A$5:$A$1004,B44,'전기원장'!$D$5:$D$1004,E44)&gt;0,"전기","당기"))</x:f>
      </x:c>
      <x:c r="D44" s="67"/>
      <x:c r="G44" s="68"/>
      <x:c r="K44" t="str">
        <x:f>IF(B44="","",IF(I44="확인 필요","붙임 문서 확인 후 거래 성격·기간·상대방·일회성 여부 확인","결의서명과 전기 대비 발생 건수·단가·시점 차이 검토"))</x:f>
      </x:c>
    </x:row>
    <x:row r="45">
      <x:c r="A45" t="str">
        <x:f>IF(B45="","",IF(COUNTIFS('전기원장'!$A$5:$A$1004,B45,'전기원장'!$D$5:$D$1004,E45)&gt;0,"전기","당기"))</x:f>
      </x:c>
      <x:c r="D45" s="67"/>
      <x:c r="G45" s="68"/>
      <x:c r="K45" t="str">
        <x:f>IF(B45="","",IF(I45="확인 필요","붙임 문서 확인 후 거래 성격·기간·상대방·일회성 여부 확인","결의서명과 전기 대비 발생 건수·단가·시점 차이 검토"))</x:f>
      </x:c>
    </x:row>
    <x:row r="46">
      <x:c r="A46" t="str">
        <x:f>IF(B46="","",IF(COUNTIFS('전기원장'!$A$5:$A$1004,B46,'전기원장'!$D$5:$D$1004,E46)&gt;0,"전기","당기"))</x:f>
      </x:c>
      <x:c r="D46" s="67"/>
      <x:c r="G46" s="68"/>
      <x:c r="K46" t="str">
        <x:f>IF(B46="","",IF(I46="확인 필요","붙임 문서 확인 후 거래 성격·기간·상대방·일회성 여부 확인","결의서명과 전기 대비 발생 건수·단가·시점 차이 검토"))</x:f>
      </x:c>
    </x:row>
    <x:row r="47">
      <x:c r="A47" t="str">
        <x:f>IF(B47="","",IF(COUNTIFS('전기원장'!$A$5:$A$1004,B47,'전기원장'!$D$5:$D$1004,E47)&gt;0,"전기","당기"))</x:f>
      </x:c>
      <x:c r="D47" s="67"/>
      <x:c r="G47" s="68"/>
      <x:c r="K47" t="str">
        <x:f>IF(B47="","",IF(I47="확인 필요","붙임 문서 확인 후 거래 성격·기간·상대방·일회성 여부 확인","결의서명과 전기 대비 발생 건수·단가·시점 차이 검토"))</x:f>
      </x:c>
    </x:row>
    <x:row r="48">
      <x:c r="A48" t="str">
        <x:f>IF(B48="","",IF(COUNTIFS('전기원장'!$A$5:$A$1004,B48,'전기원장'!$D$5:$D$1004,E48)&gt;0,"전기","당기"))</x:f>
      </x:c>
      <x:c r="D48" s="67"/>
      <x:c r="G48" s="68"/>
      <x:c r="K48" t="str">
        <x:f>IF(B48="","",IF(I48="확인 필요","붙임 문서 확인 후 거래 성격·기간·상대방·일회성 여부 확인","결의서명과 전기 대비 발생 건수·단가·시점 차이 검토"))</x:f>
      </x:c>
    </x:row>
    <x:row r="49">
      <x:c r="A49" t="str">
        <x:f>IF(B49="","",IF(COUNTIFS('전기원장'!$A$5:$A$1004,B49,'전기원장'!$D$5:$D$1004,E49)&gt;0,"전기","당기"))</x:f>
      </x:c>
      <x:c r="D49" s="67"/>
      <x:c r="G49" s="68"/>
      <x:c r="K49" t="str">
        <x:f>IF(B49="","",IF(I49="확인 필요","붙임 문서 확인 후 거래 성격·기간·상대방·일회성 여부 확인","결의서명과 전기 대비 발생 건수·단가·시점 차이 검토"))</x:f>
      </x:c>
    </x:row>
    <x:row r="50">
      <x:c r="A50" t="str">
        <x:f>IF(B50="","",IF(COUNTIFS('전기원장'!$A$5:$A$1004,B50,'전기원장'!$D$5:$D$1004,E50)&gt;0,"전기","당기"))</x:f>
      </x:c>
      <x:c r="D50" s="67"/>
      <x:c r="G50" s="68"/>
      <x:c r="K50" t="str">
        <x:f>IF(B50="","",IF(I50="확인 필요","붙임 문서 확인 후 거래 성격·기간·상대방·일회성 여부 확인","결의서명과 전기 대비 발생 건수·단가·시점 차이 검토"))</x:f>
      </x:c>
    </x:row>
    <x:row r="51">
      <x:c r="A51" t="str">
        <x:f>IF(B51="","",IF(COUNTIFS('전기원장'!$A$5:$A$1004,B51,'전기원장'!$D$5:$D$1004,E51)&gt;0,"전기","당기"))</x:f>
      </x:c>
      <x:c r="D51" s="67"/>
      <x:c r="G51" s="68"/>
      <x:c r="K51" t="str">
        <x:f>IF(B51="","",IF(I51="확인 필요","붙임 문서 확인 후 거래 성격·기간·상대방·일회성 여부 확인","결의서명과 전기 대비 발생 건수·단가·시점 차이 검토"))</x:f>
      </x:c>
    </x:row>
    <x:row r="52">
      <x:c r="A52" t="str">
        <x:f>IF(B52="","",IF(COUNTIFS('전기원장'!$A$5:$A$1004,B52,'전기원장'!$D$5:$D$1004,E52)&gt;0,"전기","당기"))</x:f>
      </x:c>
      <x:c r="D52" s="67"/>
      <x:c r="G52" s="68"/>
      <x:c r="K52" t="str">
        <x:f>IF(B52="","",IF(I52="확인 필요","붙임 문서 확인 후 거래 성격·기간·상대방·일회성 여부 확인","결의서명과 전기 대비 발생 건수·단가·시점 차이 검토"))</x:f>
      </x:c>
    </x:row>
    <x:row r="53">
      <x:c r="A53" t="str">
        <x:f>IF(B53="","",IF(COUNTIFS('전기원장'!$A$5:$A$1004,B53,'전기원장'!$D$5:$D$1004,E53)&gt;0,"전기","당기"))</x:f>
      </x:c>
      <x:c r="D53" s="67"/>
      <x:c r="G53" s="68"/>
      <x:c r="K53" t="str">
        <x:f>IF(B53="","",IF(I53="확인 필요","붙임 문서 확인 후 거래 성격·기간·상대방·일회성 여부 확인","결의서명과 전기 대비 발생 건수·단가·시점 차이 검토"))</x:f>
      </x:c>
    </x:row>
    <x:row r="54">
      <x:c r="A54" t="str">
        <x:f>IF(B54="","",IF(COUNTIFS('전기원장'!$A$5:$A$1004,B54,'전기원장'!$D$5:$D$1004,E54)&gt;0,"전기","당기"))</x:f>
      </x:c>
      <x:c r="D54" s="67"/>
      <x:c r="G54" s="68"/>
      <x:c r="K54" t="str">
        <x:f>IF(B54="","",IF(I54="확인 필요","붙임 문서 확인 후 거래 성격·기간·상대방·일회성 여부 확인","결의서명과 전기 대비 발생 건수·단가·시점 차이 검토"))</x:f>
      </x:c>
    </x:row>
    <x:row r="55">
      <x:c r="A55" t="str">
        <x:f>IF(B55="","",IF(COUNTIFS('전기원장'!$A$5:$A$1004,B55,'전기원장'!$D$5:$D$1004,E55)&gt;0,"전기","당기"))</x:f>
      </x:c>
      <x:c r="D55" s="67"/>
      <x:c r="G55" s="68"/>
      <x:c r="K55" t="str">
        <x:f>IF(B55="","",IF(I55="확인 필요","붙임 문서 확인 후 거래 성격·기간·상대방·일회성 여부 확인","결의서명과 전기 대비 발생 건수·단가·시점 차이 검토"))</x:f>
      </x:c>
    </x:row>
    <x:row r="56">
      <x:c r="A56" t="str">
        <x:f>IF(B56="","",IF(COUNTIFS('전기원장'!$A$5:$A$1004,B56,'전기원장'!$D$5:$D$1004,E56)&gt;0,"전기","당기"))</x:f>
      </x:c>
      <x:c r="D56" s="67"/>
      <x:c r="G56" s="68"/>
      <x:c r="K56" t="str">
        <x:f>IF(B56="","",IF(I56="확인 필요","붙임 문서 확인 후 거래 성격·기간·상대방·일회성 여부 확인","결의서명과 전기 대비 발생 건수·단가·시점 차이 검토"))</x:f>
      </x:c>
    </x:row>
    <x:row r="57">
      <x:c r="A57" t="str">
        <x:f>IF(B57="","",IF(COUNTIFS('전기원장'!$A$5:$A$1004,B57,'전기원장'!$D$5:$D$1004,E57)&gt;0,"전기","당기"))</x:f>
      </x:c>
      <x:c r="D57" s="67"/>
      <x:c r="G57" s="68"/>
      <x:c r="K57" t="str">
        <x:f>IF(B57="","",IF(I57="확인 필요","붙임 문서 확인 후 거래 성격·기간·상대방·일회성 여부 확인","결의서명과 전기 대비 발생 건수·단가·시점 차이 검토"))</x:f>
      </x:c>
    </x:row>
    <x:row r="58">
      <x:c r="A58" t="str">
        <x:f>IF(B58="","",IF(COUNTIFS('전기원장'!$A$5:$A$1004,B58,'전기원장'!$D$5:$D$1004,E58)&gt;0,"전기","당기"))</x:f>
      </x:c>
      <x:c r="D58" s="67"/>
      <x:c r="G58" s="68"/>
      <x:c r="K58" t="str">
        <x:f>IF(B58="","",IF(I58="확인 필요","붙임 문서 확인 후 거래 성격·기간·상대방·일회성 여부 확인","결의서명과 전기 대비 발생 건수·단가·시점 차이 검토"))</x:f>
      </x:c>
    </x:row>
    <x:row r="59">
      <x:c r="A59" t="str">
        <x:f>IF(B59="","",IF(COUNTIFS('전기원장'!$A$5:$A$1004,B59,'전기원장'!$D$5:$D$1004,E59)&gt;0,"전기","당기"))</x:f>
      </x:c>
      <x:c r="D59" s="67"/>
      <x:c r="G59" s="68"/>
      <x:c r="K59" t="str">
        <x:f>IF(B59="","",IF(I59="확인 필요","붙임 문서 확인 후 거래 성격·기간·상대방·일회성 여부 확인","결의서명과 전기 대비 발생 건수·단가·시점 차이 검토"))</x:f>
      </x:c>
    </x:row>
    <x:row r="60">
      <x:c r="A60" t="str">
        <x:f>IF(B60="","",IF(COUNTIFS('전기원장'!$A$5:$A$1004,B60,'전기원장'!$D$5:$D$1004,E60)&gt;0,"전기","당기"))</x:f>
      </x:c>
      <x:c r="D60" s="67"/>
      <x:c r="G60" s="68"/>
      <x:c r="K60" t="str">
        <x:f>IF(B60="","",IF(I60="확인 필요","붙임 문서 확인 후 거래 성격·기간·상대방·일회성 여부 확인","결의서명과 전기 대비 발생 건수·단가·시점 차이 검토"))</x:f>
      </x:c>
    </x:row>
    <x:row r="61">
      <x:c r="A61" t="str">
        <x:f>IF(B61="","",IF(COUNTIFS('전기원장'!$A$5:$A$1004,B61,'전기원장'!$D$5:$D$1004,E61)&gt;0,"전기","당기"))</x:f>
      </x:c>
      <x:c r="D61" s="67"/>
      <x:c r="G61" s="68"/>
      <x:c r="K61" t="str">
        <x:f>IF(B61="","",IF(I61="확인 필요","붙임 문서 확인 후 거래 성격·기간·상대방·일회성 여부 확인","결의서명과 전기 대비 발생 건수·단가·시점 차이 검토"))</x:f>
      </x:c>
    </x:row>
    <x:row r="62">
      <x:c r="A62" t="str">
        <x:f>IF(B62="","",IF(COUNTIFS('전기원장'!$A$5:$A$1004,B62,'전기원장'!$D$5:$D$1004,E62)&gt;0,"전기","당기"))</x:f>
      </x:c>
      <x:c r="D62" s="67"/>
      <x:c r="G62" s="68"/>
      <x:c r="K62" t="str">
        <x:f>IF(B62="","",IF(I62="확인 필요","붙임 문서 확인 후 거래 성격·기간·상대방·일회성 여부 확인","결의서명과 전기 대비 발생 건수·단가·시점 차이 검토"))</x:f>
      </x:c>
    </x:row>
    <x:row r="63">
      <x:c r="A63" t="str">
        <x:f>IF(B63="","",IF(COUNTIFS('전기원장'!$A$5:$A$1004,B63,'전기원장'!$D$5:$D$1004,E63)&gt;0,"전기","당기"))</x:f>
      </x:c>
      <x:c r="D63" s="67"/>
      <x:c r="G63" s="68"/>
      <x:c r="K63" t="str">
        <x:f>IF(B63="","",IF(I63="확인 필요","붙임 문서 확인 후 거래 성격·기간·상대방·일회성 여부 확인","결의서명과 전기 대비 발생 건수·단가·시점 차이 검토"))</x:f>
      </x:c>
    </x:row>
    <x:row r="64">
      <x:c r="A64" t="str">
        <x:f>IF(B64="","",IF(COUNTIFS('전기원장'!$A$5:$A$1004,B64,'전기원장'!$D$5:$D$1004,E64)&gt;0,"전기","당기"))</x:f>
      </x:c>
      <x:c r="D64" s="67"/>
      <x:c r="G64" s="68"/>
      <x:c r="K64" t="str">
        <x:f>IF(B64="","",IF(I64="확인 필요","붙임 문서 확인 후 거래 성격·기간·상대방·일회성 여부 확인","결의서명과 전기 대비 발생 건수·단가·시점 차이 검토"))</x:f>
      </x:c>
    </x:row>
    <x:row r="65">
      <x:c r="A65" t="str">
        <x:f>IF(B65="","",IF(COUNTIFS('전기원장'!$A$5:$A$1004,B65,'전기원장'!$D$5:$D$1004,E65)&gt;0,"전기","당기"))</x:f>
      </x:c>
      <x:c r="D65" s="67"/>
      <x:c r="G65" s="68"/>
      <x:c r="K65" t="str">
        <x:f>IF(B65="","",IF(I65="확인 필요","붙임 문서 확인 후 거래 성격·기간·상대방·일회성 여부 확인","결의서명과 전기 대비 발생 건수·단가·시점 차이 검토"))</x:f>
      </x:c>
    </x:row>
    <x:row r="66">
      <x:c r="A66" t="str">
        <x:f>IF(B66="","",IF(COUNTIFS('전기원장'!$A$5:$A$1004,B66,'전기원장'!$D$5:$D$1004,E66)&gt;0,"전기","당기"))</x:f>
      </x:c>
      <x:c r="D66" s="67"/>
      <x:c r="G66" s="68"/>
      <x:c r="K66" t="str">
        <x:f>IF(B66="","",IF(I66="확인 필요","붙임 문서 확인 후 거래 성격·기간·상대방·일회성 여부 확인","결의서명과 전기 대비 발생 건수·단가·시점 차이 검토"))</x:f>
      </x:c>
    </x:row>
    <x:row r="67">
      <x:c r="A67" t="str">
        <x:f>IF(B67="","",IF(COUNTIFS('전기원장'!$A$5:$A$1004,B67,'전기원장'!$D$5:$D$1004,E67)&gt;0,"전기","당기"))</x:f>
      </x:c>
      <x:c r="D67" s="67"/>
      <x:c r="G67" s="68"/>
      <x:c r="K67" t="str">
        <x:f>IF(B67="","",IF(I67="확인 필요","붙임 문서 확인 후 거래 성격·기간·상대방·일회성 여부 확인","결의서명과 전기 대비 발생 건수·단가·시점 차이 검토"))</x:f>
      </x:c>
    </x:row>
    <x:row r="68">
      <x:c r="A68" t="str">
        <x:f>IF(B68="","",IF(COUNTIFS('전기원장'!$A$5:$A$1004,B68,'전기원장'!$D$5:$D$1004,E68)&gt;0,"전기","당기"))</x:f>
      </x:c>
      <x:c r="D68" s="67"/>
      <x:c r="G68" s="68"/>
      <x:c r="K68" t="str">
        <x:f>IF(B68="","",IF(I68="확인 필요","붙임 문서 확인 후 거래 성격·기간·상대방·일회성 여부 확인","결의서명과 전기 대비 발생 건수·단가·시점 차이 검토"))</x:f>
      </x:c>
    </x:row>
    <x:row r="69">
      <x:c r="A69" t="str">
        <x:f>IF(B69="","",IF(COUNTIFS('전기원장'!$A$5:$A$1004,B69,'전기원장'!$D$5:$D$1004,E69)&gt;0,"전기","당기"))</x:f>
      </x:c>
      <x:c r="D69" s="67"/>
      <x:c r="G69" s="68"/>
      <x:c r="K69" t="str">
        <x:f>IF(B69="","",IF(I69="확인 필요","붙임 문서 확인 후 거래 성격·기간·상대방·일회성 여부 확인","결의서명과 전기 대비 발생 건수·단가·시점 차이 검토"))</x:f>
      </x:c>
    </x:row>
    <x:row r="70">
      <x:c r="A70" t="str">
        <x:f>IF(B70="","",IF(COUNTIFS('전기원장'!$A$5:$A$1004,B70,'전기원장'!$D$5:$D$1004,E70)&gt;0,"전기","당기"))</x:f>
      </x:c>
      <x:c r="D70" s="67"/>
      <x:c r="G70" s="68"/>
      <x:c r="K70" t="str">
        <x:f>IF(B70="","",IF(I70="확인 필요","붙임 문서 확인 후 거래 성격·기간·상대방·일회성 여부 확인","결의서명과 전기 대비 발생 건수·단가·시점 차이 검토"))</x:f>
      </x:c>
    </x:row>
    <x:row r="71">
      <x:c r="A71" t="str">
        <x:f>IF(B71="","",IF(COUNTIFS('전기원장'!$A$5:$A$1004,B71,'전기원장'!$D$5:$D$1004,E71)&gt;0,"전기","당기"))</x:f>
      </x:c>
      <x:c r="D71" s="67"/>
      <x:c r="G71" s="68"/>
      <x:c r="K71" t="str">
        <x:f>IF(B71="","",IF(I71="확인 필요","붙임 문서 확인 후 거래 성격·기간·상대방·일회성 여부 확인","결의서명과 전기 대비 발생 건수·단가·시점 차이 검토"))</x:f>
      </x:c>
    </x:row>
    <x:row r="72">
      <x:c r="A72" t="str">
        <x:f>IF(B72="","",IF(COUNTIFS('전기원장'!$A$5:$A$1004,B72,'전기원장'!$D$5:$D$1004,E72)&gt;0,"전기","당기"))</x:f>
      </x:c>
      <x:c r="D72" s="67"/>
      <x:c r="G72" s="68"/>
      <x:c r="K72" t="str">
        <x:f>IF(B72="","",IF(I72="확인 필요","붙임 문서 확인 후 거래 성격·기간·상대방·일회성 여부 확인","결의서명과 전기 대비 발생 건수·단가·시점 차이 검토"))</x:f>
      </x:c>
    </x:row>
    <x:row r="73">
      <x:c r="A73" t="str">
        <x:f>IF(B73="","",IF(COUNTIFS('전기원장'!$A$5:$A$1004,B73,'전기원장'!$D$5:$D$1004,E73)&gt;0,"전기","당기"))</x:f>
      </x:c>
      <x:c r="D73" s="67"/>
      <x:c r="G73" s="68"/>
      <x:c r="K73" t="str">
        <x:f>IF(B73="","",IF(I73="확인 필요","붙임 문서 확인 후 거래 성격·기간·상대방·일회성 여부 확인","결의서명과 전기 대비 발생 건수·단가·시점 차이 검토"))</x:f>
      </x:c>
    </x:row>
    <x:row r="74">
      <x:c r="A74" t="str">
        <x:f>IF(B74="","",IF(COUNTIFS('전기원장'!$A$5:$A$1004,B74,'전기원장'!$D$5:$D$1004,E74)&gt;0,"전기","당기"))</x:f>
      </x:c>
      <x:c r="D74" s="67"/>
      <x:c r="G74" s="68"/>
      <x:c r="K74" t="str">
        <x:f>IF(B74="","",IF(I74="확인 필요","붙임 문서 확인 후 거래 성격·기간·상대방·일회성 여부 확인","결의서명과 전기 대비 발생 건수·단가·시점 차이 검토"))</x:f>
      </x:c>
    </x:row>
    <x:row r="75">
      <x:c r="A75" t="str">
        <x:f>IF(B75="","",IF(COUNTIFS('전기원장'!$A$5:$A$1004,B75,'전기원장'!$D$5:$D$1004,E75)&gt;0,"전기","당기"))</x:f>
      </x:c>
      <x:c r="D75" s="67"/>
      <x:c r="G75" s="68"/>
      <x:c r="K75" t="str">
        <x:f>IF(B75="","",IF(I75="확인 필요","붙임 문서 확인 후 거래 성격·기간·상대방·일회성 여부 확인","결의서명과 전기 대비 발생 건수·단가·시점 차이 검토"))</x:f>
      </x:c>
    </x:row>
    <x:row r="76">
      <x:c r="A76" t="str">
        <x:f>IF(B76="","",IF(COUNTIFS('전기원장'!$A$5:$A$1004,B76,'전기원장'!$D$5:$D$1004,E76)&gt;0,"전기","당기"))</x:f>
      </x:c>
      <x:c r="D76" s="67"/>
      <x:c r="G76" s="68"/>
      <x:c r="K76" t="str">
        <x:f>IF(B76="","",IF(I76="확인 필요","붙임 문서 확인 후 거래 성격·기간·상대방·일회성 여부 확인","결의서명과 전기 대비 발생 건수·단가·시점 차이 검토"))</x:f>
      </x:c>
    </x:row>
    <x:row r="77">
      <x:c r="A77" t="str">
        <x:f>IF(B77="","",IF(COUNTIFS('전기원장'!$A$5:$A$1004,B77,'전기원장'!$D$5:$D$1004,E77)&gt;0,"전기","당기"))</x:f>
      </x:c>
      <x:c r="D77" s="67"/>
      <x:c r="G77" s="68"/>
      <x:c r="K77" t="str">
        <x:f>IF(B77="","",IF(I77="확인 필요","붙임 문서 확인 후 거래 성격·기간·상대방·일회성 여부 확인","결의서명과 전기 대비 발생 건수·단가·시점 차이 검토"))</x:f>
      </x:c>
    </x:row>
    <x:row r="78">
      <x:c r="A78" t="str">
        <x:f>IF(B78="","",IF(COUNTIFS('전기원장'!$A$5:$A$1004,B78,'전기원장'!$D$5:$D$1004,E78)&gt;0,"전기","당기"))</x:f>
      </x:c>
      <x:c r="D78" s="67"/>
      <x:c r="G78" s="68"/>
      <x:c r="K78" t="str">
        <x:f>IF(B78="","",IF(I78="확인 필요","붙임 문서 확인 후 거래 성격·기간·상대방·일회성 여부 확인","결의서명과 전기 대비 발생 건수·단가·시점 차이 검토"))</x:f>
      </x:c>
    </x:row>
    <x:row r="79">
      <x:c r="A79" t="str">
        <x:f>IF(B79="","",IF(COUNTIFS('전기원장'!$A$5:$A$1004,B79,'전기원장'!$D$5:$D$1004,E79)&gt;0,"전기","당기"))</x:f>
      </x:c>
      <x:c r="D79" s="67"/>
      <x:c r="G79" s="68"/>
      <x:c r="K79" t="str">
        <x:f>IF(B79="","",IF(I79="확인 필요","붙임 문서 확인 후 거래 성격·기간·상대방·일회성 여부 확인","결의서명과 전기 대비 발생 건수·단가·시점 차이 검토"))</x:f>
      </x:c>
    </x:row>
    <x:row r="80">
      <x:c r="A80" t="str">
        <x:f>IF(B80="","",IF(COUNTIFS('전기원장'!$A$5:$A$1004,B80,'전기원장'!$D$5:$D$1004,E80)&gt;0,"전기","당기"))</x:f>
      </x:c>
      <x:c r="D80" s="67"/>
      <x:c r="G80" s="68"/>
      <x:c r="K80" t="str">
        <x:f>IF(B80="","",IF(I80="확인 필요","붙임 문서 확인 후 거래 성격·기간·상대방·일회성 여부 확인","결의서명과 전기 대비 발생 건수·단가·시점 차이 검토"))</x:f>
      </x:c>
    </x:row>
    <x:row r="81">
      <x:c r="A81" t="str">
        <x:f>IF(B81="","",IF(COUNTIFS('전기원장'!$A$5:$A$1004,B81,'전기원장'!$D$5:$D$1004,E81)&gt;0,"전기","당기"))</x:f>
      </x:c>
      <x:c r="D81" s="67"/>
      <x:c r="G81" s="68"/>
      <x:c r="K81" t="str">
        <x:f>IF(B81="","",IF(I81="확인 필요","붙임 문서 확인 후 거래 성격·기간·상대방·일회성 여부 확인","결의서명과 전기 대비 발생 건수·단가·시점 차이 검토"))</x:f>
      </x:c>
    </x:row>
    <x:row r="82">
      <x:c r="A82" t="str">
        <x:f>IF(B82="","",IF(COUNTIFS('전기원장'!$A$5:$A$1004,B82,'전기원장'!$D$5:$D$1004,E82)&gt;0,"전기","당기"))</x:f>
      </x:c>
      <x:c r="D82" s="67"/>
      <x:c r="G82" s="68"/>
      <x:c r="K82" t="str">
        <x:f>IF(B82="","",IF(I82="확인 필요","붙임 문서 확인 후 거래 성격·기간·상대방·일회성 여부 확인","결의서명과 전기 대비 발생 건수·단가·시점 차이 검토"))</x:f>
      </x:c>
    </x:row>
    <x:row r="83">
      <x:c r="A83" t="str">
        <x:f>IF(B83="","",IF(COUNTIFS('전기원장'!$A$5:$A$1004,B83,'전기원장'!$D$5:$D$1004,E83)&gt;0,"전기","당기"))</x:f>
      </x:c>
      <x:c r="D83" s="67"/>
      <x:c r="G83" s="68"/>
      <x:c r="K83" t="str">
        <x:f>IF(B83="","",IF(I83="확인 필요","붙임 문서 확인 후 거래 성격·기간·상대방·일회성 여부 확인","결의서명과 전기 대비 발생 건수·단가·시점 차이 검토"))</x:f>
      </x:c>
    </x:row>
    <x:row r="84">
      <x:c r="A84" t="str">
        <x:f>IF(B84="","",IF(COUNTIFS('전기원장'!$A$5:$A$1004,B84,'전기원장'!$D$5:$D$1004,E84)&gt;0,"전기","당기"))</x:f>
      </x:c>
      <x:c r="D84" s="67"/>
      <x:c r="G84" s="68"/>
      <x:c r="K84" t="str">
        <x:f>IF(B84="","",IF(I84="확인 필요","붙임 문서 확인 후 거래 성격·기간·상대방·일회성 여부 확인","결의서명과 전기 대비 발생 건수·단가·시점 차이 검토"))</x:f>
      </x:c>
    </x:row>
    <x:row r="85">
      <x:c r="A85" t="str">
        <x:f>IF(B85="","",IF(COUNTIFS('전기원장'!$A$5:$A$1004,B85,'전기원장'!$D$5:$D$1004,E85)&gt;0,"전기","당기"))</x:f>
      </x:c>
      <x:c r="D85" s="67"/>
      <x:c r="G85" s="68"/>
      <x:c r="K85" t="str">
        <x:f>IF(B85="","",IF(I85="확인 필요","붙임 문서 확인 후 거래 성격·기간·상대방·일회성 여부 확인","결의서명과 전기 대비 발생 건수·단가·시점 차이 검토"))</x:f>
      </x:c>
    </x:row>
    <x:row r="86">
      <x:c r="A86" t="str">
        <x:f>IF(B86="","",IF(COUNTIFS('전기원장'!$A$5:$A$1004,B86,'전기원장'!$D$5:$D$1004,E86)&gt;0,"전기","당기"))</x:f>
      </x:c>
      <x:c r="D86" s="67"/>
      <x:c r="G86" s="68"/>
      <x:c r="K86" t="str">
        <x:f>IF(B86="","",IF(I86="확인 필요","붙임 문서 확인 후 거래 성격·기간·상대방·일회성 여부 확인","결의서명과 전기 대비 발생 건수·단가·시점 차이 검토"))</x:f>
      </x:c>
    </x:row>
    <x:row r="87">
      <x:c r="A87" t="str">
        <x:f>IF(B87="","",IF(COUNTIFS('전기원장'!$A$5:$A$1004,B87,'전기원장'!$D$5:$D$1004,E87)&gt;0,"전기","당기"))</x:f>
      </x:c>
      <x:c r="D87" s="67"/>
      <x:c r="G87" s="68"/>
      <x:c r="K87" t="str">
        <x:f>IF(B87="","",IF(I87="확인 필요","붙임 문서 확인 후 거래 성격·기간·상대방·일회성 여부 확인","결의서명과 전기 대비 발생 건수·단가·시점 차이 검토"))</x:f>
      </x:c>
    </x:row>
    <x:row r="88">
      <x:c r="A88" t="str">
        <x:f>IF(B88="","",IF(COUNTIFS('전기원장'!$A$5:$A$1004,B88,'전기원장'!$D$5:$D$1004,E88)&gt;0,"전기","당기"))</x:f>
      </x:c>
      <x:c r="D88" s="67"/>
      <x:c r="G88" s="68"/>
      <x:c r="K88" t="str">
        <x:f>IF(B88="","",IF(I88="확인 필요","붙임 문서 확인 후 거래 성격·기간·상대방·일회성 여부 확인","결의서명과 전기 대비 발생 건수·단가·시점 차이 검토"))</x:f>
      </x:c>
    </x:row>
    <x:row r="89">
      <x:c r="A89" t="str">
        <x:f>IF(B89="","",IF(COUNTIFS('전기원장'!$A$5:$A$1004,B89,'전기원장'!$D$5:$D$1004,E89)&gt;0,"전기","당기"))</x:f>
      </x:c>
      <x:c r="D89" s="67"/>
      <x:c r="G89" s="68"/>
      <x:c r="K89" t="str">
        <x:f>IF(B89="","",IF(I89="확인 필요","붙임 문서 확인 후 거래 성격·기간·상대방·일회성 여부 확인","결의서명과 전기 대비 발생 건수·단가·시점 차이 검토"))</x:f>
      </x:c>
    </x:row>
    <x:row r="90">
      <x:c r="A90" t="str">
        <x:f>IF(B90="","",IF(COUNTIFS('전기원장'!$A$5:$A$1004,B90,'전기원장'!$D$5:$D$1004,E90)&gt;0,"전기","당기"))</x:f>
      </x:c>
      <x:c r="D90" s="67"/>
      <x:c r="G90" s="68"/>
      <x:c r="K90" t="str">
        <x:f>IF(B90="","",IF(I90="확인 필요","붙임 문서 확인 후 거래 성격·기간·상대방·일회성 여부 확인","결의서명과 전기 대비 발생 건수·단가·시점 차이 검토"))</x:f>
      </x:c>
    </x:row>
    <x:row r="91">
      <x:c r="A91" t="str">
        <x:f>IF(B91="","",IF(COUNTIFS('전기원장'!$A$5:$A$1004,B91,'전기원장'!$D$5:$D$1004,E91)&gt;0,"전기","당기"))</x:f>
      </x:c>
      <x:c r="D91" s="67"/>
      <x:c r="G91" s="68"/>
      <x:c r="K91" t="str">
        <x:f>IF(B91="","",IF(I91="확인 필요","붙임 문서 확인 후 거래 성격·기간·상대방·일회성 여부 확인","결의서명과 전기 대비 발생 건수·단가·시점 차이 검토"))</x:f>
      </x:c>
    </x:row>
    <x:row r="92">
      <x:c r="A92" t="str">
        <x:f>IF(B92="","",IF(COUNTIFS('전기원장'!$A$5:$A$1004,B92,'전기원장'!$D$5:$D$1004,E92)&gt;0,"전기","당기"))</x:f>
      </x:c>
      <x:c r="D92" s="67"/>
      <x:c r="G92" s="68"/>
      <x:c r="K92" t="str">
        <x:f>IF(B92="","",IF(I92="확인 필요","붙임 문서 확인 후 거래 성격·기간·상대방·일회성 여부 확인","결의서명과 전기 대비 발생 건수·단가·시점 차이 검토"))</x:f>
      </x:c>
    </x:row>
    <x:row r="93">
      <x:c r="A93" t="str">
        <x:f>IF(B93="","",IF(COUNTIFS('전기원장'!$A$5:$A$1004,B93,'전기원장'!$D$5:$D$1004,E93)&gt;0,"전기","당기"))</x:f>
      </x:c>
      <x:c r="D93" s="67"/>
      <x:c r="G93" s="68"/>
      <x:c r="K93" t="str">
        <x:f>IF(B93="","",IF(I93="확인 필요","붙임 문서 확인 후 거래 성격·기간·상대방·일회성 여부 확인","결의서명과 전기 대비 발생 건수·단가·시점 차이 검토"))</x:f>
      </x:c>
    </x:row>
    <x:row r="94">
      <x:c r="A94" t="str">
        <x:f>IF(B94="","",IF(COUNTIFS('전기원장'!$A$5:$A$1004,B94,'전기원장'!$D$5:$D$1004,E94)&gt;0,"전기","당기"))</x:f>
      </x:c>
      <x:c r="D94" s="67"/>
      <x:c r="G94" s="68"/>
      <x:c r="K94" t="str">
        <x:f>IF(B94="","",IF(I94="확인 필요","붙임 문서 확인 후 거래 성격·기간·상대방·일회성 여부 확인","결의서명과 전기 대비 발생 건수·단가·시점 차이 검토"))</x:f>
      </x:c>
    </x:row>
    <x:row r="95">
      <x:c r="A95" t="str">
        <x:f>IF(B95="","",IF(COUNTIFS('전기원장'!$A$5:$A$1004,B95,'전기원장'!$D$5:$D$1004,E95)&gt;0,"전기","당기"))</x:f>
      </x:c>
      <x:c r="D95" s="67"/>
      <x:c r="G95" s="68"/>
      <x:c r="K95" t="str">
        <x:f>IF(B95="","",IF(I95="확인 필요","붙임 문서 확인 후 거래 성격·기간·상대방·일회성 여부 확인","결의서명과 전기 대비 발생 건수·단가·시점 차이 검토"))</x:f>
      </x:c>
    </x:row>
    <x:row r="96">
      <x:c r="A96" t="str">
        <x:f>IF(B96="","",IF(COUNTIFS('전기원장'!$A$5:$A$1004,B96,'전기원장'!$D$5:$D$1004,E96)&gt;0,"전기","당기"))</x:f>
      </x:c>
      <x:c r="D96" s="67"/>
      <x:c r="G96" s="68"/>
      <x:c r="K96" t="str">
        <x:f>IF(B96="","",IF(I96="확인 필요","붙임 문서 확인 후 거래 성격·기간·상대방·일회성 여부 확인","결의서명과 전기 대비 발생 건수·단가·시점 차이 검토"))</x:f>
      </x:c>
    </x:row>
    <x:row r="97">
      <x:c r="A97" t="str">
        <x:f>IF(B97="","",IF(COUNTIFS('전기원장'!$A$5:$A$1004,B97,'전기원장'!$D$5:$D$1004,E97)&gt;0,"전기","당기"))</x:f>
      </x:c>
      <x:c r="D97" s="67"/>
      <x:c r="G97" s="68"/>
      <x:c r="K97" t="str">
        <x:f>IF(B97="","",IF(I97="확인 필요","붙임 문서 확인 후 거래 성격·기간·상대방·일회성 여부 확인","결의서명과 전기 대비 발생 건수·단가·시점 차이 검토"))</x:f>
      </x:c>
    </x:row>
    <x:row r="98">
      <x:c r="A98" t="str">
        <x:f>IF(B98="","",IF(COUNTIFS('전기원장'!$A$5:$A$1004,B98,'전기원장'!$D$5:$D$1004,E98)&gt;0,"전기","당기"))</x:f>
      </x:c>
      <x:c r="D98" s="67"/>
      <x:c r="G98" s="68"/>
      <x:c r="K98" t="str">
        <x:f>IF(B98="","",IF(I98="확인 필요","붙임 문서 확인 후 거래 성격·기간·상대방·일회성 여부 확인","결의서명과 전기 대비 발생 건수·단가·시점 차이 검토"))</x:f>
      </x:c>
    </x:row>
    <x:row r="99">
      <x:c r="A99" t="str">
        <x:f>IF(B99="","",IF(COUNTIFS('전기원장'!$A$5:$A$1004,B99,'전기원장'!$D$5:$D$1004,E99)&gt;0,"전기","당기"))</x:f>
      </x:c>
      <x:c r="D99" s="67"/>
      <x:c r="G99" s="68"/>
      <x:c r="K99" t="str">
        <x:f>IF(B99="","",IF(I99="확인 필요","붙임 문서 확인 후 거래 성격·기간·상대방·일회성 여부 확인","결의서명과 전기 대비 발생 건수·단가·시점 차이 검토"))</x:f>
      </x:c>
    </x:row>
    <x:row r="100">
      <x:c r="A100" t="str">
        <x:f>IF(B100="","",IF(COUNTIFS('전기원장'!$A$5:$A$1004,B100,'전기원장'!$D$5:$D$1004,E100)&gt;0,"전기","당기"))</x:f>
      </x:c>
      <x:c r="D100" s="67"/>
      <x:c r="G100" s="68"/>
      <x:c r="K100" t="str">
        <x:f>IF(B100="","",IF(I100="확인 필요","붙임 문서 확인 후 거래 성격·기간·상대방·일회성 여부 확인","결의서명과 전기 대비 발생 건수·단가·시점 차이 검토"))</x:f>
      </x:c>
    </x:row>
    <x:row r="101">
      <x:c r="A101" t="str">
        <x:f>IF(B101="","",IF(COUNTIFS('전기원장'!$A$5:$A$1004,B101,'전기원장'!$D$5:$D$1004,E101)&gt;0,"전기","당기"))</x:f>
      </x:c>
      <x:c r="D101" s="67"/>
      <x:c r="G101" s="68"/>
      <x:c r="K101" t="str">
        <x:f>IF(B101="","",IF(I101="확인 필요","붙임 문서 확인 후 거래 성격·기간·상대방·일회성 여부 확인","결의서명과 전기 대비 발생 건수·단가·시점 차이 검토"))</x:f>
      </x:c>
    </x:row>
    <x:row r="102">
      <x:c r="A102" t="str">
        <x:f>IF(B102="","",IF(COUNTIFS('전기원장'!$A$5:$A$1004,B102,'전기원장'!$D$5:$D$1004,E102)&gt;0,"전기","당기"))</x:f>
      </x:c>
      <x:c r="D102" s="67"/>
      <x:c r="G102" s="68"/>
      <x:c r="K102" t="str">
        <x:f>IF(B102="","",IF(I102="확인 필요","붙임 문서 확인 후 거래 성격·기간·상대방·일회성 여부 확인","결의서명과 전기 대비 발생 건수·단가·시점 차이 검토"))</x:f>
      </x:c>
    </x:row>
    <x:row r="103">
      <x:c r="A103" t="str">
        <x:f>IF(B103="","",IF(COUNTIFS('전기원장'!$A$5:$A$1004,B103,'전기원장'!$D$5:$D$1004,E103)&gt;0,"전기","당기"))</x:f>
      </x:c>
      <x:c r="D103" s="67"/>
      <x:c r="G103" s="68"/>
      <x:c r="K103" t="str">
        <x:f>IF(B103="","",IF(I103="확인 필요","붙임 문서 확인 후 거래 성격·기간·상대방·일회성 여부 확인","결의서명과 전기 대비 발생 건수·단가·시점 차이 검토"))</x:f>
      </x:c>
    </x:row>
    <x:row r="104">
      <x:c r="A104" t="str">
        <x:f>IF(B104="","",IF(COUNTIFS('전기원장'!$A$5:$A$1004,B104,'전기원장'!$D$5:$D$1004,E104)&gt;0,"전기","당기"))</x:f>
      </x:c>
      <x:c r="D104" s="67"/>
      <x:c r="G104" s="68"/>
      <x:c r="K104" t="str">
        <x:f>IF(B104="","",IF(I104="확인 필요","붙임 문서 확인 후 거래 성격·기간·상대방·일회성 여부 확인","결의서명과 전기 대비 발생 건수·단가·시점 차이 검토"))</x:f>
      </x:c>
    </x:row>
    <x:row r="105">
      <x:c r="A105" t="str">
        <x:f>IF(B105="","",IF(COUNTIFS('전기원장'!$A$5:$A$1004,B105,'전기원장'!$D$5:$D$1004,E105)&gt;0,"전기","당기"))</x:f>
      </x:c>
      <x:c r="D105" s="67"/>
      <x:c r="G105" s="68"/>
      <x:c r="K105" t="str">
        <x:f>IF(B105="","",IF(I105="확인 필요","붙임 문서 확인 후 거래 성격·기간·상대방·일회성 여부 확인","결의서명과 전기 대비 발생 건수·단가·시점 차이 검토"))</x:f>
      </x:c>
    </x:row>
    <x:row r="106">
      <x:c r="A106" t="str">
        <x:f>IF(B106="","",IF(COUNTIFS('전기원장'!$A$5:$A$1004,B106,'전기원장'!$D$5:$D$1004,E106)&gt;0,"전기","당기"))</x:f>
      </x:c>
      <x:c r="D106" s="67"/>
      <x:c r="G106" s="68"/>
      <x:c r="K106" t="str">
        <x:f>IF(B106="","",IF(I106="확인 필요","붙임 문서 확인 후 거래 성격·기간·상대방·일회성 여부 확인","결의서명과 전기 대비 발생 건수·단가·시점 차이 검토"))</x:f>
      </x:c>
    </x:row>
    <x:row r="107">
      <x:c r="A107" t="str">
        <x:f>IF(B107="","",IF(COUNTIFS('전기원장'!$A$5:$A$1004,B107,'전기원장'!$D$5:$D$1004,E107)&gt;0,"전기","당기"))</x:f>
      </x:c>
      <x:c r="D107" s="67"/>
      <x:c r="G107" s="68"/>
      <x:c r="K107" t="str">
        <x:f>IF(B107="","",IF(I107="확인 필요","붙임 문서 확인 후 거래 성격·기간·상대방·일회성 여부 확인","결의서명과 전기 대비 발생 건수·단가·시점 차이 검토"))</x:f>
      </x:c>
    </x:row>
    <x:row r="108">
      <x:c r="A108" t="str">
        <x:f>IF(B108="","",IF(COUNTIFS('전기원장'!$A$5:$A$1004,B108,'전기원장'!$D$5:$D$1004,E108)&gt;0,"전기","당기"))</x:f>
      </x:c>
      <x:c r="D108" s="67"/>
      <x:c r="G108" s="68"/>
      <x:c r="K108" t="str">
        <x:f>IF(B108="","",IF(I108="확인 필요","붙임 문서 확인 후 거래 성격·기간·상대방·일회성 여부 확인","결의서명과 전기 대비 발생 건수·단가·시점 차이 검토"))</x:f>
      </x:c>
    </x:row>
    <x:row r="109">
      <x:c r="A109" t="str">
        <x:f>IF(B109="","",IF(COUNTIFS('전기원장'!$A$5:$A$1004,B109,'전기원장'!$D$5:$D$1004,E109)&gt;0,"전기","당기"))</x:f>
      </x:c>
      <x:c r="D109" s="67"/>
      <x:c r="G109" s="68"/>
      <x:c r="K109" t="str">
        <x:f>IF(B109="","",IF(I109="확인 필요","붙임 문서 확인 후 거래 성격·기간·상대방·일회성 여부 확인","결의서명과 전기 대비 발생 건수·단가·시점 차이 검토"))</x:f>
      </x:c>
    </x:row>
    <x:row r="110">
      <x:c r="A110" t="str">
        <x:f>IF(B110="","",IF(COUNTIFS('전기원장'!$A$5:$A$1004,B110,'전기원장'!$D$5:$D$1004,E110)&gt;0,"전기","당기"))</x:f>
      </x:c>
      <x:c r="D110" s="67"/>
      <x:c r="G110" s="68"/>
      <x:c r="K110" t="str">
        <x:f>IF(B110="","",IF(I110="확인 필요","붙임 문서 확인 후 거래 성격·기간·상대방·일회성 여부 확인","결의서명과 전기 대비 발생 건수·단가·시점 차이 검토"))</x:f>
      </x:c>
    </x:row>
    <x:row r="111">
      <x:c r="A111" t="str">
        <x:f>IF(B111="","",IF(COUNTIFS('전기원장'!$A$5:$A$1004,B111,'전기원장'!$D$5:$D$1004,E111)&gt;0,"전기","당기"))</x:f>
      </x:c>
      <x:c r="D111" s="67"/>
      <x:c r="G111" s="68"/>
      <x:c r="K111" t="str">
        <x:f>IF(B111="","",IF(I111="확인 필요","붙임 문서 확인 후 거래 성격·기간·상대방·일회성 여부 확인","결의서명과 전기 대비 발생 건수·단가·시점 차이 검토"))</x:f>
      </x:c>
    </x:row>
    <x:row r="112">
      <x:c r="A112" t="str">
        <x:f>IF(B112="","",IF(COUNTIFS('전기원장'!$A$5:$A$1004,B112,'전기원장'!$D$5:$D$1004,E112)&gt;0,"전기","당기"))</x:f>
      </x:c>
      <x:c r="D112" s="67"/>
      <x:c r="G112" s="68"/>
      <x:c r="K112" t="str">
        <x:f>IF(B112="","",IF(I112="확인 필요","붙임 문서 확인 후 거래 성격·기간·상대방·일회성 여부 확인","결의서명과 전기 대비 발생 건수·단가·시점 차이 검토"))</x:f>
      </x:c>
    </x:row>
    <x:row r="113">
      <x:c r="A113" t="str">
        <x:f>IF(B113="","",IF(COUNTIFS('전기원장'!$A$5:$A$1004,B113,'전기원장'!$D$5:$D$1004,E113)&gt;0,"전기","당기"))</x:f>
      </x:c>
      <x:c r="D113" s="67"/>
      <x:c r="G113" s="68"/>
      <x:c r="K113" t="str">
        <x:f>IF(B113="","",IF(I113="확인 필요","붙임 문서 확인 후 거래 성격·기간·상대방·일회성 여부 확인","결의서명과 전기 대비 발생 건수·단가·시점 차이 검토"))</x:f>
      </x:c>
    </x:row>
    <x:row r="114">
      <x:c r="A114" t="str">
        <x:f>IF(B114="","",IF(COUNTIFS('전기원장'!$A$5:$A$1004,B114,'전기원장'!$D$5:$D$1004,E114)&gt;0,"전기","당기"))</x:f>
      </x:c>
      <x:c r="D114" s="67"/>
      <x:c r="G114" s="68"/>
      <x:c r="K114" t="str">
        <x:f>IF(B114="","",IF(I114="확인 필요","붙임 문서 확인 후 거래 성격·기간·상대방·일회성 여부 확인","결의서명과 전기 대비 발생 건수·단가·시점 차이 검토"))</x:f>
      </x:c>
    </x:row>
    <x:row r="115">
      <x:c r="A115" t="str">
        <x:f>IF(B115="","",IF(COUNTIFS('전기원장'!$A$5:$A$1004,B115,'전기원장'!$D$5:$D$1004,E115)&gt;0,"전기","당기"))</x:f>
      </x:c>
      <x:c r="D115" s="67"/>
      <x:c r="G115" s="68"/>
      <x:c r="K115" t="str">
        <x:f>IF(B115="","",IF(I115="확인 필요","붙임 문서 확인 후 거래 성격·기간·상대방·일회성 여부 확인","결의서명과 전기 대비 발생 건수·단가·시점 차이 검토"))</x:f>
      </x:c>
    </x:row>
    <x:row r="116">
      <x:c r="A116" t="str">
        <x:f>IF(B116="","",IF(COUNTIFS('전기원장'!$A$5:$A$1004,B116,'전기원장'!$D$5:$D$1004,E116)&gt;0,"전기","당기"))</x:f>
      </x:c>
      <x:c r="D116" s="67"/>
      <x:c r="G116" s="68"/>
      <x:c r="K116" t="str">
        <x:f>IF(B116="","",IF(I116="확인 필요","붙임 문서 확인 후 거래 성격·기간·상대방·일회성 여부 확인","결의서명과 전기 대비 발생 건수·단가·시점 차이 검토"))</x:f>
      </x:c>
    </x:row>
    <x:row r="117">
      <x:c r="A117" t="str">
        <x:f>IF(B117="","",IF(COUNTIFS('전기원장'!$A$5:$A$1004,B117,'전기원장'!$D$5:$D$1004,E117)&gt;0,"전기","당기"))</x:f>
      </x:c>
      <x:c r="D117" s="67"/>
      <x:c r="G117" s="68"/>
      <x:c r="K117" t="str">
        <x:f>IF(B117="","",IF(I117="확인 필요","붙임 문서 확인 후 거래 성격·기간·상대방·일회성 여부 확인","결의서명과 전기 대비 발생 건수·단가·시점 차이 검토"))</x:f>
      </x:c>
    </x:row>
    <x:row r="118">
      <x:c r="A118" t="str">
        <x:f>IF(B118="","",IF(COUNTIFS('전기원장'!$A$5:$A$1004,B118,'전기원장'!$D$5:$D$1004,E118)&gt;0,"전기","당기"))</x:f>
      </x:c>
      <x:c r="D118" s="67"/>
      <x:c r="G118" s="68"/>
      <x:c r="K118" t="str">
        <x:f>IF(B118="","",IF(I118="확인 필요","붙임 문서 확인 후 거래 성격·기간·상대방·일회성 여부 확인","결의서명과 전기 대비 발생 건수·단가·시점 차이 검토"))</x:f>
      </x:c>
    </x:row>
    <x:row r="119">
      <x:c r="A119" t="str">
        <x:f>IF(B119="","",IF(COUNTIFS('전기원장'!$A$5:$A$1004,B119,'전기원장'!$D$5:$D$1004,E119)&gt;0,"전기","당기"))</x:f>
      </x:c>
      <x:c r="D119" s="67"/>
      <x:c r="G119" s="68"/>
      <x:c r="K119" t="str">
        <x:f>IF(B119="","",IF(I119="확인 필요","붙임 문서 확인 후 거래 성격·기간·상대방·일회성 여부 확인","결의서명과 전기 대비 발생 건수·단가·시점 차이 검토"))</x:f>
      </x:c>
    </x:row>
    <x:row r="120">
      <x:c r="A120" t="str">
        <x:f>IF(B120="","",IF(COUNTIFS('전기원장'!$A$5:$A$1004,B120,'전기원장'!$D$5:$D$1004,E120)&gt;0,"전기","당기"))</x:f>
      </x:c>
      <x:c r="D120" s="67"/>
      <x:c r="G120" s="68"/>
      <x:c r="K120" t="str">
        <x:f>IF(B120="","",IF(I120="확인 필요","붙임 문서 확인 후 거래 성격·기간·상대방·일회성 여부 확인","결의서명과 전기 대비 발생 건수·단가·시점 차이 검토"))</x:f>
      </x:c>
    </x:row>
    <x:row r="121">
      <x:c r="A121" t="str">
        <x:f>IF(B121="","",IF(COUNTIFS('전기원장'!$A$5:$A$1004,B121,'전기원장'!$D$5:$D$1004,E121)&gt;0,"전기","당기"))</x:f>
      </x:c>
      <x:c r="D121" s="67"/>
      <x:c r="G121" s="68"/>
      <x:c r="K121" t="str">
        <x:f>IF(B121="","",IF(I121="확인 필요","붙임 문서 확인 후 거래 성격·기간·상대방·일회성 여부 확인","결의서명과 전기 대비 발생 건수·단가·시점 차이 검토"))</x:f>
      </x:c>
    </x:row>
    <x:row r="122">
      <x:c r="A122" t="str">
        <x:f>IF(B122="","",IF(COUNTIFS('전기원장'!$A$5:$A$1004,B122,'전기원장'!$D$5:$D$1004,E122)&gt;0,"전기","당기"))</x:f>
      </x:c>
      <x:c r="D122" s="67"/>
      <x:c r="G122" s="68"/>
      <x:c r="K122" t="str">
        <x:f>IF(B122="","",IF(I122="확인 필요","붙임 문서 확인 후 거래 성격·기간·상대방·일회성 여부 확인","결의서명과 전기 대비 발생 건수·단가·시점 차이 검토"))</x:f>
      </x:c>
    </x:row>
    <x:row r="123">
      <x:c r="A123" t="str">
        <x:f>IF(B123="","",IF(COUNTIFS('전기원장'!$A$5:$A$1004,B123,'전기원장'!$D$5:$D$1004,E123)&gt;0,"전기","당기"))</x:f>
      </x:c>
      <x:c r="D123" s="67"/>
      <x:c r="G123" s="68"/>
      <x:c r="K123" t="str">
        <x:f>IF(B123="","",IF(I123="확인 필요","붙임 문서 확인 후 거래 성격·기간·상대방·일회성 여부 확인","결의서명과 전기 대비 발생 건수·단가·시점 차이 검토"))</x:f>
      </x:c>
    </x:row>
    <x:row r="124">
      <x:c r="A124" t="str">
        <x:f>IF(B124="","",IF(COUNTIFS('전기원장'!$A$5:$A$1004,B124,'전기원장'!$D$5:$D$1004,E124)&gt;0,"전기","당기"))</x:f>
      </x:c>
      <x:c r="D124" s="67"/>
      <x:c r="G124" s="68"/>
      <x:c r="K124" t="str">
        <x:f>IF(B124="","",IF(I124="확인 필요","붙임 문서 확인 후 거래 성격·기간·상대방·일회성 여부 확인","결의서명과 전기 대비 발생 건수·단가·시점 차이 검토"))</x:f>
      </x:c>
    </x:row>
    <x:row r="125">
      <x:c r="A125" t="str">
        <x:f>IF(B125="","",IF(COUNTIFS('전기원장'!$A$5:$A$1004,B125,'전기원장'!$D$5:$D$1004,E125)&gt;0,"전기","당기"))</x:f>
      </x:c>
      <x:c r="D125" s="67"/>
      <x:c r="G125" s="68"/>
      <x:c r="K125" t="str">
        <x:f>IF(B125="","",IF(I125="확인 필요","붙임 문서 확인 후 거래 성격·기간·상대방·일회성 여부 확인","결의서명과 전기 대비 발생 건수·단가·시점 차이 검토"))</x:f>
      </x:c>
    </x:row>
    <x:row r="126">
      <x:c r="A126" t="str">
        <x:f>IF(B126="","",IF(COUNTIFS('전기원장'!$A$5:$A$1004,B126,'전기원장'!$D$5:$D$1004,E126)&gt;0,"전기","당기"))</x:f>
      </x:c>
      <x:c r="D126" s="67"/>
      <x:c r="G126" s="68"/>
      <x:c r="K126" t="str">
        <x:f>IF(B126="","",IF(I126="확인 필요","붙임 문서 확인 후 거래 성격·기간·상대방·일회성 여부 확인","결의서명과 전기 대비 발생 건수·단가·시점 차이 검토"))</x:f>
      </x:c>
    </x:row>
    <x:row r="127">
      <x:c r="A127" t="str">
        <x:f>IF(B127="","",IF(COUNTIFS('전기원장'!$A$5:$A$1004,B127,'전기원장'!$D$5:$D$1004,E127)&gt;0,"전기","당기"))</x:f>
      </x:c>
      <x:c r="D127" s="67"/>
      <x:c r="G127" s="68"/>
      <x:c r="K127" t="str">
        <x:f>IF(B127="","",IF(I127="확인 필요","붙임 문서 확인 후 거래 성격·기간·상대방·일회성 여부 확인","결의서명과 전기 대비 발생 건수·단가·시점 차이 검토"))</x:f>
      </x:c>
    </x:row>
    <x:row r="128">
      <x:c r="A128" t="str">
        <x:f>IF(B128="","",IF(COUNTIFS('전기원장'!$A$5:$A$1004,B128,'전기원장'!$D$5:$D$1004,E128)&gt;0,"전기","당기"))</x:f>
      </x:c>
      <x:c r="D128" s="67"/>
      <x:c r="G128" s="68"/>
      <x:c r="K128" t="str">
        <x:f>IF(B128="","",IF(I128="확인 필요","붙임 문서 확인 후 거래 성격·기간·상대방·일회성 여부 확인","결의서명과 전기 대비 발생 건수·단가·시점 차이 검토"))</x:f>
      </x:c>
    </x:row>
    <x:row r="129">
      <x:c r="A129" t="str">
        <x:f>IF(B129="","",IF(COUNTIFS('전기원장'!$A$5:$A$1004,B129,'전기원장'!$D$5:$D$1004,E129)&gt;0,"전기","당기"))</x:f>
      </x:c>
      <x:c r="D129" s="67"/>
      <x:c r="G129" s="68"/>
      <x:c r="K129" t="str">
        <x:f>IF(B129="","",IF(I129="확인 필요","붙임 문서 확인 후 거래 성격·기간·상대방·일회성 여부 확인","결의서명과 전기 대비 발생 건수·단가·시점 차이 검토"))</x:f>
      </x:c>
    </x:row>
    <x:row r="130">
      <x:c r="A130" t="str">
        <x:f>IF(B130="","",IF(COUNTIFS('전기원장'!$A$5:$A$1004,B130,'전기원장'!$D$5:$D$1004,E130)&gt;0,"전기","당기"))</x:f>
      </x:c>
      <x:c r="D130" s="67"/>
      <x:c r="G130" s="68"/>
      <x:c r="K130" t="str">
        <x:f>IF(B130="","",IF(I130="확인 필요","붙임 문서 확인 후 거래 성격·기간·상대방·일회성 여부 확인","결의서명과 전기 대비 발생 건수·단가·시점 차이 검토"))</x:f>
      </x:c>
    </x:row>
    <x:row r="131">
      <x:c r="A131" t="str">
        <x:f>IF(B131="","",IF(COUNTIFS('전기원장'!$A$5:$A$1004,B131,'전기원장'!$D$5:$D$1004,E131)&gt;0,"전기","당기"))</x:f>
      </x:c>
      <x:c r="D131" s="67"/>
      <x:c r="G131" s="68"/>
      <x:c r="K131" t="str">
        <x:f>IF(B131="","",IF(I131="확인 필요","붙임 문서 확인 후 거래 성격·기간·상대방·일회성 여부 확인","결의서명과 전기 대비 발생 건수·단가·시점 차이 검토"))</x:f>
      </x:c>
    </x:row>
    <x:row r="132">
      <x:c r="A132" t="str">
        <x:f>IF(B132="","",IF(COUNTIFS('전기원장'!$A$5:$A$1004,B132,'전기원장'!$D$5:$D$1004,E132)&gt;0,"전기","당기"))</x:f>
      </x:c>
      <x:c r="D132" s="67"/>
      <x:c r="G132" s="68"/>
      <x:c r="K132" t="str">
        <x:f>IF(B132="","",IF(I132="확인 필요","붙임 문서 확인 후 거래 성격·기간·상대방·일회성 여부 확인","결의서명과 전기 대비 발생 건수·단가·시점 차이 검토"))</x:f>
      </x:c>
    </x:row>
    <x:row r="133">
      <x:c r="A133" t="str">
        <x:f>IF(B133="","",IF(COUNTIFS('전기원장'!$A$5:$A$1004,B133,'전기원장'!$D$5:$D$1004,E133)&gt;0,"전기","당기"))</x:f>
      </x:c>
      <x:c r="D133" s="67"/>
      <x:c r="G133" s="68"/>
      <x:c r="K133" t="str">
        <x:f>IF(B133="","",IF(I133="확인 필요","붙임 문서 확인 후 거래 성격·기간·상대방·일회성 여부 확인","결의서명과 전기 대비 발생 건수·단가·시점 차이 검토"))</x:f>
      </x:c>
    </x:row>
    <x:row r="134">
      <x:c r="A134" t="str">
        <x:f>IF(B134="","",IF(COUNTIFS('전기원장'!$A$5:$A$1004,B134,'전기원장'!$D$5:$D$1004,E134)&gt;0,"전기","당기"))</x:f>
      </x:c>
      <x:c r="D134" s="67"/>
      <x:c r="G134" s="68"/>
      <x:c r="K134" t="str">
        <x:f>IF(B134="","",IF(I134="확인 필요","붙임 문서 확인 후 거래 성격·기간·상대방·일회성 여부 확인","결의서명과 전기 대비 발생 건수·단가·시점 차이 검토"))</x:f>
      </x:c>
    </x:row>
    <x:row r="135">
      <x:c r="A135" t="str">
        <x:f>IF(B135="","",IF(COUNTIFS('전기원장'!$A$5:$A$1004,B135,'전기원장'!$D$5:$D$1004,E135)&gt;0,"전기","당기"))</x:f>
      </x:c>
      <x:c r="D135" s="67"/>
      <x:c r="G135" s="68"/>
      <x:c r="K135" t="str">
        <x:f>IF(B135="","",IF(I135="확인 필요","붙임 문서 확인 후 거래 성격·기간·상대방·일회성 여부 확인","결의서명과 전기 대비 발생 건수·단가·시점 차이 검토"))</x:f>
      </x:c>
    </x:row>
    <x:row r="136">
      <x:c r="A136" t="str">
        <x:f>IF(B136="","",IF(COUNTIFS('전기원장'!$A$5:$A$1004,B136,'전기원장'!$D$5:$D$1004,E136)&gt;0,"전기","당기"))</x:f>
      </x:c>
      <x:c r="D136" s="67"/>
      <x:c r="G136" s="68"/>
      <x:c r="K136" t="str">
        <x:f>IF(B136="","",IF(I136="확인 필요","붙임 문서 확인 후 거래 성격·기간·상대방·일회성 여부 확인","결의서명과 전기 대비 발생 건수·단가·시점 차이 검토"))</x:f>
      </x:c>
    </x:row>
    <x:row r="137">
      <x:c r="A137" t="str">
        <x:f>IF(B137="","",IF(COUNTIFS('전기원장'!$A$5:$A$1004,B137,'전기원장'!$D$5:$D$1004,E137)&gt;0,"전기","당기"))</x:f>
      </x:c>
      <x:c r="D137" s="67"/>
      <x:c r="G137" s="68"/>
      <x:c r="K137" t="str">
        <x:f>IF(B137="","",IF(I137="확인 필요","붙임 문서 확인 후 거래 성격·기간·상대방·일회성 여부 확인","결의서명과 전기 대비 발생 건수·단가·시점 차이 검토"))</x:f>
      </x:c>
    </x:row>
    <x:row r="138">
      <x:c r="A138" t="str">
        <x:f>IF(B138="","",IF(COUNTIFS('전기원장'!$A$5:$A$1004,B138,'전기원장'!$D$5:$D$1004,E138)&gt;0,"전기","당기"))</x:f>
      </x:c>
      <x:c r="D138" s="67"/>
      <x:c r="G138" s="68"/>
      <x:c r="K138" t="str">
        <x:f>IF(B138="","",IF(I138="확인 필요","붙임 문서 확인 후 거래 성격·기간·상대방·일회성 여부 확인","결의서명과 전기 대비 발생 건수·단가·시점 차이 검토"))</x:f>
      </x:c>
    </x:row>
    <x:row r="139">
      <x:c r="A139" t="str">
        <x:f>IF(B139="","",IF(COUNTIFS('전기원장'!$A$5:$A$1004,B139,'전기원장'!$D$5:$D$1004,E139)&gt;0,"전기","당기"))</x:f>
      </x:c>
      <x:c r="D139" s="67"/>
      <x:c r="G139" s="68"/>
      <x:c r="K139" t="str">
        <x:f>IF(B139="","",IF(I139="확인 필요","붙임 문서 확인 후 거래 성격·기간·상대방·일회성 여부 확인","결의서명과 전기 대비 발생 건수·단가·시점 차이 검토"))</x:f>
      </x:c>
    </x:row>
    <x:row r="140">
      <x:c r="A140" t="str">
        <x:f>IF(B140="","",IF(COUNTIFS('전기원장'!$A$5:$A$1004,B140,'전기원장'!$D$5:$D$1004,E140)&gt;0,"전기","당기"))</x:f>
      </x:c>
      <x:c r="D140" s="67"/>
      <x:c r="G140" s="68"/>
      <x:c r="K140" t="str">
        <x:f>IF(B140="","",IF(I140="확인 필요","붙임 문서 확인 후 거래 성격·기간·상대방·일회성 여부 확인","결의서명과 전기 대비 발생 건수·단가·시점 차이 검토"))</x:f>
      </x:c>
    </x:row>
    <x:row r="141">
      <x:c r="A141" t="str">
        <x:f>IF(B141="","",IF(COUNTIFS('전기원장'!$A$5:$A$1004,B141,'전기원장'!$D$5:$D$1004,E141)&gt;0,"전기","당기"))</x:f>
      </x:c>
      <x:c r="D141" s="67"/>
      <x:c r="G141" s="68"/>
      <x:c r="K141" t="str">
        <x:f>IF(B141="","",IF(I141="확인 필요","붙임 문서 확인 후 거래 성격·기간·상대방·일회성 여부 확인","결의서명과 전기 대비 발생 건수·단가·시점 차이 검토"))</x:f>
      </x:c>
    </x:row>
    <x:row r="142">
      <x:c r="A142" t="str">
        <x:f>IF(B142="","",IF(COUNTIFS('전기원장'!$A$5:$A$1004,B142,'전기원장'!$D$5:$D$1004,E142)&gt;0,"전기","당기"))</x:f>
      </x:c>
      <x:c r="D142" s="67"/>
      <x:c r="G142" s="68"/>
      <x:c r="K142" t="str">
        <x:f>IF(B142="","",IF(I142="확인 필요","붙임 문서 확인 후 거래 성격·기간·상대방·일회성 여부 확인","결의서명과 전기 대비 발생 건수·단가·시점 차이 검토"))</x:f>
      </x:c>
    </x:row>
    <x:row r="143">
      <x:c r="A143" t="str">
        <x:f>IF(B143="","",IF(COUNTIFS('전기원장'!$A$5:$A$1004,B143,'전기원장'!$D$5:$D$1004,E143)&gt;0,"전기","당기"))</x:f>
      </x:c>
      <x:c r="D143" s="67"/>
      <x:c r="G143" s="68"/>
      <x:c r="K143" t="str">
        <x:f>IF(B143="","",IF(I143="확인 필요","붙임 문서 확인 후 거래 성격·기간·상대방·일회성 여부 확인","결의서명과 전기 대비 발생 건수·단가·시점 차이 검토"))</x:f>
      </x:c>
    </x:row>
    <x:row r="144">
      <x:c r="A144" t="str">
        <x:f>IF(B144="","",IF(COUNTIFS('전기원장'!$A$5:$A$1004,B144,'전기원장'!$D$5:$D$1004,E144)&gt;0,"전기","당기"))</x:f>
      </x:c>
      <x:c r="D144" s="67"/>
      <x:c r="G144" s="68"/>
      <x:c r="K144" t="str">
        <x:f>IF(B144="","",IF(I144="확인 필요","붙임 문서 확인 후 거래 성격·기간·상대방·일회성 여부 확인","결의서명과 전기 대비 발생 건수·단가·시점 차이 검토"))</x:f>
      </x:c>
    </x:row>
    <x:row r="145">
      <x:c r="A145" t="str">
        <x:f>IF(B145="","",IF(COUNTIFS('전기원장'!$A$5:$A$1004,B145,'전기원장'!$D$5:$D$1004,E145)&gt;0,"전기","당기"))</x:f>
      </x:c>
      <x:c r="D145" s="67"/>
      <x:c r="G145" s="68"/>
      <x:c r="K145" t="str">
        <x:f>IF(B145="","",IF(I145="확인 필요","붙임 문서 확인 후 거래 성격·기간·상대방·일회성 여부 확인","결의서명과 전기 대비 발생 건수·단가·시점 차이 검토"))</x:f>
      </x:c>
    </x:row>
    <x:row r="146">
      <x:c r="A146" t="str">
        <x:f>IF(B146="","",IF(COUNTIFS('전기원장'!$A$5:$A$1004,B146,'전기원장'!$D$5:$D$1004,E146)&gt;0,"전기","당기"))</x:f>
      </x:c>
      <x:c r="D146" s="67"/>
      <x:c r="G146" s="68"/>
      <x:c r="K146" t="str">
        <x:f>IF(B146="","",IF(I146="확인 필요","붙임 문서 확인 후 거래 성격·기간·상대방·일회성 여부 확인","결의서명과 전기 대비 발생 건수·단가·시점 차이 검토"))</x:f>
      </x:c>
    </x:row>
    <x:row r="147">
      <x:c r="A147" t="str">
        <x:f>IF(B147="","",IF(COUNTIFS('전기원장'!$A$5:$A$1004,B147,'전기원장'!$D$5:$D$1004,E147)&gt;0,"전기","당기"))</x:f>
      </x:c>
      <x:c r="D147" s="67"/>
      <x:c r="G147" s="68"/>
      <x:c r="K147" t="str">
        <x:f>IF(B147="","",IF(I147="확인 필요","붙임 문서 확인 후 거래 성격·기간·상대방·일회성 여부 확인","결의서명과 전기 대비 발생 건수·단가·시점 차이 검토"))</x:f>
      </x:c>
    </x:row>
    <x:row r="148">
      <x:c r="A148" t="str">
        <x:f>IF(B148="","",IF(COUNTIFS('전기원장'!$A$5:$A$1004,B148,'전기원장'!$D$5:$D$1004,E148)&gt;0,"전기","당기"))</x:f>
      </x:c>
      <x:c r="D148" s="67"/>
      <x:c r="G148" s="68"/>
      <x:c r="K148" t="str">
        <x:f>IF(B148="","",IF(I148="확인 필요","붙임 문서 확인 후 거래 성격·기간·상대방·일회성 여부 확인","결의서명과 전기 대비 발생 건수·단가·시점 차이 검토"))</x:f>
      </x:c>
    </x:row>
    <x:row r="149">
      <x:c r="A149" t="str">
        <x:f>IF(B149="","",IF(COUNTIFS('전기원장'!$A$5:$A$1004,B149,'전기원장'!$D$5:$D$1004,E149)&gt;0,"전기","당기"))</x:f>
      </x:c>
      <x:c r="D149" s="67"/>
      <x:c r="G149" s="68"/>
      <x:c r="K149" t="str">
        <x:f>IF(B149="","",IF(I149="확인 필요","붙임 문서 확인 후 거래 성격·기간·상대방·일회성 여부 확인","결의서명과 전기 대비 발생 건수·단가·시점 차이 검토"))</x:f>
      </x:c>
    </x:row>
    <x:row r="150">
      <x:c r="A150" t="str">
        <x:f>IF(B150="","",IF(COUNTIFS('전기원장'!$A$5:$A$1004,B150,'전기원장'!$D$5:$D$1004,E150)&gt;0,"전기","당기"))</x:f>
      </x:c>
      <x:c r="D150" s="67"/>
      <x:c r="G150" s="68"/>
      <x:c r="K150" t="str">
        <x:f>IF(B150="","",IF(I150="확인 필요","붙임 문서 확인 후 거래 성격·기간·상대방·일회성 여부 확인","결의서명과 전기 대비 발생 건수·단가·시점 차이 검토"))</x:f>
      </x:c>
    </x:row>
    <x:row r="151">
      <x:c r="A151" t="str">
        <x:f>IF(B151="","",IF(COUNTIFS('전기원장'!$A$5:$A$1004,B151,'전기원장'!$D$5:$D$1004,E151)&gt;0,"전기","당기"))</x:f>
      </x:c>
      <x:c r="D151" s="67"/>
      <x:c r="G151" s="68"/>
      <x:c r="K151" t="str">
        <x:f>IF(B151="","",IF(I151="확인 필요","붙임 문서 확인 후 거래 성격·기간·상대방·일회성 여부 확인","결의서명과 전기 대비 발생 건수·단가·시점 차이 검토"))</x:f>
      </x:c>
    </x:row>
    <x:row r="152">
      <x:c r="A152" t="str">
        <x:f>IF(B152="","",IF(COUNTIFS('전기원장'!$A$5:$A$1004,B152,'전기원장'!$D$5:$D$1004,E152)&gt;0,"전기","당기"))</x:f>
      </x:c>
      <x:c r="D152" s="67"/>
      <x:c r="G152" s="68"/>
      <x:c r="K152" t="str">
        <x:f>IF(B152="","",IF(I152="확인 필요","붙임 문서 확인 후 거래 성격·기간·상대방·일회성 여부 확인","결의서명과 전기 대비 발생 건수·단가·시점 차이 검토"))</x:f>
      </x:c>
    </x:row>
    <x:row r="153">
      <x:c r="A153" t="str">
        <x:f>IF(B153="","",IF(COUNTIFS('전기원장'!$A$5:$A$1004,B153,'전기원장'!$D$5:$D$1004,E153)&gt;0,"전기","당기"))</x:f>
      </x:c>
      <x:c r="D153" s="67"/>
      <x:c r="G153" s="68"/>
      <x:c r="K153" t="str">
        <x:f>IF(B153="","",IF(I153="확인 필요","붙임 문서 확인 후 거래 성격·기간·상대방·일회성 여부 확인","결의서명과 전기 대비 발생 건수·단가·시점 차이 검토"))</x:f>
      </x:c>
    </x:row>
    <x:row r="154">
      <x:c r="A154" t="str">
        <x:f>IF(B154="","",IF(COUNTIFS('전기원장'!$A$5:$A$1004,B154,'전기원장'!$D$5:$D$1004,E154)&gt;0,"전기","당기"))</x:f>
      </x:c>
      <x:c r="D154" s="67"/>
      <x:c r="G154" s="68"/>
      <x:c r="K154" t="str">
        <x:f>IF(B154="","",IF(I154="확인 필요","붙임 문서 확인 후 거래 성격·기간·상대방·일회성 여부 확인","결의서명과 전기 대비 발생 건수·단가·시점 차이 검토"))</x:f>
      </x:c>
    </x:row>
    <x:row r="155">
      <x:c r="A155" t="str">
        <x:f>IF(B155="","",IF(COUNTIFS('전기원장'!$A$5:$A$1004,B155,'전기원장'!$D$5:$D$1004,E155)&gt;0,"전기","당기"))</x:f>
      </x:c>
      <x:c r="D155" s="67"/>
      <x:c r="G155" s="68"/>
      <x:c r="K155" t="str">
        <x:f>IF(B155="","",IF(I155="확인 필요","붙임 문서 확인 후 거래 성격·기간·상대방·일회성 여부 확인","결의서명과 전기 대비 발생 건수·단가·시점 차이 검토"))</x:f>
      </x:c>
    </x:row>
    <x:row r="156">
      <x:c r="A156" t="str">
        <x:f>IF(B156="","",IF(COUNTIFS('전기원장'!$A$5:$A$1004,B156,'전기원장'!$D$5:$D$1004,E156)&gt;0,"전기","당기"))</x:f>
      </x:c>
      <x:c r="D156" s="67"/>
      <x:c r="G156" s="68"/>
      <x:c r="K156" t="str">
        <x:f>IF(B156="","",IF(I156="확인 필요","붙임 문서 확인 후 거래 성격·기간·상대방·일회성 여부 확인","결의서명과 전기 대비 발생 건수·단가·시점 차이 검토"))</x:f>
      </x:c>
    </x:row>
    <x:row r="157">
      <x:c r="A157" t="str">
        <x:f>IF(B157="","",IF(COUNTIFS('전기원장'!$A$5:$A$1004,B157,'전기원장'!$D$5:$D$1004,E157)&gt;0,"전기","당기"))</x:f>
      </x:c>
      <x:c r="D157" s="67"/>
      <x:c r="G157" s="68"/>
      <x:c r="K157" t="str">
        <x:f>IF(B157="","",IF(I157="확인 필요","붙임 문서 확인 후 거래 성격·기간·상대방·일회성 여부 확인","결의서명과 전기 대비 발생 건수·단가·시점 차이 검토"))</x:f>
      </x:c>
    </x:row>
    <x:row r="158">
      <x:c r="A158" t="str">
        <x:f>IF(B158="","",IF(COUNTIFS('전기원장'!$A$5:$A$1004,B158,'전기원장'!$D$5:$D$1004,E158)&gt;0,"전기","당기"))</x:f>
      </x:c>
      <x:c r="D158" s="67"/>
      <x:c r="G158" s="68"/>
      <x:c r="K158" t="str">
        <x:f>IF(B158="","",IF(I158="확인 필요","붙임 문서 확인 후 거래 성격·기간·상대방·일회성 여부 확인","결의서명과 전기 대비 발생 건수·단가·시점 차이 검토"))</x:f>
      </x:c>
    </x:row>
    <x:row r="159">
      <x:c r="A159" t="str">
        <x:f>IF(B159="","",IF(COUNTIFS('전기원장'!$A$5:$A$1004,B159,'전기원장'!$D$5:$D$1004,E159)&gt;0,"전기","당기"))</x:f>
      </x:c>
      <x:c r="D159" s="67"/>
      <x:c r="G159" s="68"/>
      <x:c r="K159" t="str">
        <x:f>IF(B159="","",IF(I159="확인 필요","붙임 문서 확인 후 거래 성격·기간·상대방·일회성 여부 확인","결의서명과 전기 대비 발생 건수·단가·시점 차이 검토"))</x:f>
      </x:c>
    </x:row>
    <x:row r="160">
      <x:c r="A160" t="str">
        <x:f>IF(B160="","",IF(COUNTIFS('전기원장'!$A$5:$A$1004,B160,'전기원장'!$D$5:$D$1004,E160)&gt;0,"전기","당기"))</x:f>
      </x:c>
      <x:c r="D160" s="67"/>
      <x:c r="G160" s="68"/>
      <x:c r="K160" t="str">
        <x:f>IF(B160="","",IF(I160="확인 필요","붙임 문서 확인 후 거래 성격·기간·상대방·일회성 여부 확인","결의서명과 전기 대비 발생 건수·단가·시점 차이 검토"))</x:f>
      </x:c>
    </x:row>
    <x:row r="161">
      <x:c r="A161" t="str">
        <x:f>IF(B161="","",IF(COUNTIFS('전기원장'!$A$5:$A$1004,B161,'전기원장'!$D$5:$D$1004,E161)&gt;0,"전기","당기"))</x:f>
      </x:c>
      <x:c r="D161" s="67"/>
      <x:c r="G161" s="68"/>
      <x:c r="K161" t="str">
        <x:f>IF(B161="","",IF(I161="확인 필요","붙임 문서 확인 후 거래 성격·기간·상대방·일회성 여부 확인","결의서명과 전기 대비 발생 건수·단가·시점 차이 검토"))</x:f>
      </x:c>
    </x:row>
    <x:row r="162">
      <x:c r="A162" t="str">
        <x:f>IF(B162="","",IF(COUNTIFS('전기원장'!$A$5:$A$1004,B162,'전기원장'!$D$5:$D$1004,E162)&gt;0,"전기","당기"))</x:f>
      </x:c>
      <x:c r="D162" s="67"/>
      <x:c r="G162" s="68"/>
      <x:c r="K162" t="str">
        <x:f>IF(B162="","",IF(I162="확인 필요","붙임 문서 확인 후 거래 성격·기간·상대방·일회성 여부 확인","결의서명과 전기 대비 발생 건수·단가·시점 차이 검토"))</x:f>
      </x:c>
    </x:row>
    <x:row r="163">
      <x:c r="A163" t="str">
        <x:f>IF(B163="","",IF(COUNTIFS('전기원장'!$A$5:$A$1004,B163,'전기원장'!$D$5:$D$1004,E163)&gt;0,"전기","당기"))</x:f>
      </x:c>
      <x:c r="D163" s="67"/>
      <x:c r="G163" s="68"/>
      <x:c r="K163" t="str">
        <x:f>IF(B163="","",IF(I163="확인 필요","붙임 문서 확인 후 거래 성격·기간·상대방·일회성 여부 확인","결의서명과 전기 대비 발생 건수·단가·시점 차이 검토"))</x:f>
      </x:c>
    </x:row>
    <x:row r="164">
      <x:c r="A164" t="str">
        <x:f>IF(B164="","",IF(COUNTIFS('전기원장'!$A$5:$A$1004,B164,'전기원장'!$D$5:$D$1004,E164)&gt;0,"전기","당기"))</x:f>
      </x:c>
      <x:c r="D164" s="67"/>
      <x:c r="G164" s="68"/>
      <x:c r="K164" t="str">
        <x:f>IF(B164="","",IF(I164="확인 필요","붙임 문서 확인 후 거래 성격·기간·상대방·일회성 여부 확인","결의서명과 전기 대비 발생 건수·단가·시점 차이 검토"))</x:f>
      </x:c>
    </x:row>
    <x:row r="165">
      <x:c r="A165" t="str">
        <x:f>IF(B165="","",IF(COUNTIFS('전기원장'!$A$5:$A$1004,B165,'전기원장'!$D$5:$D$1004,E165)&gt;0,"전기","당기"))</x:f>
      </x:c>
      <x:c r="D165" s="67"/>
      <x:c r="G165" s="68"/>
      <x:c r="K165" t="str">
        <x:f>IF(B165="","",IF(I165="확인 필요","붙임 문서 확인 후 거래 성격·기간·상대방·일회성 여부 확인","결의서명과 전기 대비 발생 건수·단가·시점 차이 검토"))</x:f>
      </x:c>
    </x:row>
    <x:row r="166">
      <x:c r="A166" t="str">
        <x:f>IF(B166="","",IF(COUNTIFS('전기원장'!$A$5:$A$1004,B166,'전기원장'!$D$5:$D$1004,E166)&gt;0,"전기","당기"))</x:f>
      </x:c>
      <x:c r="D166" s="67"/>
      <x:c r="G166" s="68"/>
      <x:c r="K166" t="str">
        <x:f>IF(B166="","",IF(I166="확인 필요","붙임 문서 확인 후 거래 성격·기간·상대방·일회성 여부 확인","결의서명과 전기 대비 발생 건수·단가·시점 차이 검토"))</x:f>
      </x:c>
    </x:row>
    <x:row r="167">
      <x:c r="A167" t="str">
        <x:f>IF(B167="","",IF(COUNTIFS('전기원장'!$A$5:$A$1004,B167,'전기원장'!$D$5:$D$1004,E167)&gt;0,"전기","당기"))</x:f>
      </x:c>
      <x:c r="D167" s="67"/>
      <x:c r="G167" s="68"/>
      <x:c r="K167" t="str">
        <x:f>IF(B167="","",IF(I167="확인 필요","붙임 문서 확인 후 거래 성격·기간·상대방·일회성 여부 확인","결의서명과 전기 대비 발생 건수·단가·시점 차이 검토"))</x:f>
      </x:c>
    </x:row>
    <x:row r="168">
      <x:c r="A168" t="str">
        <x:f>IF(B168="","",IF(COUNTIFS('전기원장'!$A$5:$A$1004,B168,'전기원장'!$D$5:$D$1004,E168)&gt;0,"전기","당기"))</x:f>
      </x:c>
      <x:c r="D168" s="67"/>
      <x:c r="G168" s="68"/>
      <x:c r="K168" t="str">
        <x:f>IF(B168="","",IF(I168="확인 필요","붙임 문서 확인 후 거래 성격·기간·상대방·일회성 여부 확인","결의서명과 전기 대비 발생 건수·단가·시점 차이 검토"))</x:f>
      </x:c>
    </x:row>
    <x:row r="169">
      <x:c r="A169" t="str">
        <x:f>IF(B169="","",IF(COUNTIFS('전기원장'!$A$5:$A$1004,B169,'전기원장'!$D$5:$D$1004,E169)&gt;0,"전기","당기"))</x:f>
      </x:c>
      <x:c r="D169" s="67"/>
      <x:c r="G169" s="68"/>
      <x:c r="K169" t="str">
        <x:f>IF(B169="","",IF(I169="확인 필요","붙임 문서 확인 후 거래 성격·기간·상대방·일회성 여부 확인","결의서명과 전기 대비 발생 건수·단가·시점 차이 검토"))</x:f>
      </x:c>
    </x:row>
    <x:row r="170">
      <x:c r="A170" t="str">
        <x:f>IF(B170="","",IF(COUNTIFS('전기원장'!$A$5:$A$1004,B170,'전기원장'!$D$5:$D$1004,E170)&gt;0,"전기","당기"))</x:f>
      </x:c>
      <x:c r="D170" s="67"/>
      <x:c r="G170" s="68"/>
      <x:c r="K170" t="str">
        <x:f>IF(B170="","",IF(I170="확인 필요","붙임 문서 확인 후 거래 성격·기간·상대방·일회성 여부 확인","결의서명과 전기 대비 발생 건수·단가·시점 차이 검토"))</x:f>
      </x:c>
    </x:row>
    <x:row r="171">
      <x:c r="A171" t="str">
        <x:f>IF(B171="","",IF(COUNTIFS('전기원장'!$A$5:$A$1004,B171,'전기원장'!$D$5:$D$1004,E171)&gt;0,"전기","당기"))</x:f>
      </x:c>
      <x:c r="D171" s="67"/>
      <x:c r="G171" s="68"/>
      <x:c r="K171" t="str">
        <x:f>IF(B171="","",IF(I171="확인 필요","붙임 문서 확인 후 거래 성격·기간·상대방·일회성 여부 확인","결의서명과 전기 대비 발생 건수·단가·시점 차이 검토"))</x:f>
      </x:c>
    </x:row>
    <x:row r="172">
      <x:c r="A172" t="str">
        <x:f>IF(B172="","",IF(COUNTIFS('전기원장'!$A$5:$A$1004,B172,'전기원장'!$D$5:$D$1004,E172)&gt;0,"전기","당기"))</x:f>
      </x:c>
      <x:c r="D172" s="67"/>
      <x:c r="G172" s="68"/>
      <x:c r="K172" t="str">
        <x:f>IF(B172="","",IF(I172="확인 필요","붙임 문서 확인 후 거래 성격·기간·상대방·일회성 여부 확인","결의서명과 전기 대비 발생 건수·단가·시점 차이 검토"))</x:f>
      </x:c>
    </x:row>
    <x:row r="173">
      <x:c r="A173" t="str">
        <x:f>IF(B173="","",IF(COUNTIFS('전기원장'!$A$5:$A$1004,B173,'전기원장'!$D$5:$D$1004,E173)&gt;0,"전기","당기"))</x:f>
      </x:c>
      <x:c r="D173" s="67"/>
      <x:c r="G173" s="68"/>
      <x:c r="K173" t="str">
        <x:f>IF(B173="","",IF(I173="확인 필요","붙임 문서 확인 후 거래 성격·기간·상대방·일회성 여부 확인","결의서명과 전기 대비 발생 건수·단가·시점 차이 검토"))</x:f>
      </x:c>
    </x:row>
    <x:row r="174">
      <x:c r="A174" t="str">
        <x:f>IF(B174="","",IF(COUNTIFS('전기원장'!$A$5:$A$1004,B174,'전기원장'!$D$5:$D$1004,E174)&gt;0,"전기","당기"))</x:f>
      </x:c>
      <x:c r="D174" s="67"/>
      <x:c r="G174" s="68"/>
      <x:c r="K174" t="str">
        <x:f>IF(B174="","",IF(I174="확인 필요","붙임 문서 확인 후 거래 성격·기간·상대방·일회성 여부 확인","결의서명과 전기 대비 발생 건수·단가·시점 차이 검토"))</x:f>
      </x:c>
    </x:row>
    <x:row r="175">
      <x:c r="A175" t="str">
        <x:f>IF(B175="","",IF(COUNTIFS('전기원장'!$A$5:$A$1004,B175,'전기원장'!$D$5:$D$1004,E175)&gt;0,"전기","당기"))</x:f>
      </x:c>
      <x:c r="D175" s="67"/>
      <x:c r="G175" s="68"/>
      <x:c r="K175" t="str">
        <x:f>IF(B175="","",IF(I175="확인 필요","붙임 문서 확인 후 거래 성격·기간·상대방·일회성 여부 확인","결의서명과 전기 대비 발생 건수·단가·시점 차이 검토"))</x:f>
      </x:c>
    </x:row>
    <x:row r="176">
      <x:c r="A176" t="str">
        <x:f>IF(B176="","",IF(COUNTIFS('전기원장'!$A$5:$A$1004,B176,'전기원장'!$D$5:$D$1004,E176)&gt;0,"전기","당기"))</x:f>
      </x:c>
      <x:c r="D176" s="67"/>
      <x:c r="G176" s="68"/>
      <x:c r="K176" t="str">
        <x:f>IF(B176="","",IF(I176="확인 필요","붙임 문서 확인 후 거래 성격·기간·상대방·일회성 여부 확인","결의서명과 전기 대비 발생 건수·단가·시점 차이 검토"))</x:f>
      </x:c>
    </x:row>
    <x:row r="177">
      <x:c r="A177" t="str">
        <x:f>IF(B177="","",IF(COUNTIFS('전기원장'!$A$5:$A$1004,B177,'전기원장'!$D$5:$D$1004,E177)&gt;0,"전기","당기"))</x:f>
      </x:c>
      <x:c r="D177" s="67"/>
      <x:c r="G177" s="68"/>
      <x:c r="K177" t="str">
        <x:f>IF(B177="","",IF(I177="확인 필요","붙임 문서 확인 후 거래 성격·기간·상대방·일회성 여부 확인","결의서명과 전기 대비 발생 건수·단가·시점 차이 검토"))</x:f>
      </x:c>
    </x:row>
    <x:row r="178">
      <x:c r="A178" t="str">
        <x:f>IF(B178="","",IF(COUNTIFS('전기원장'!$A$5:$A$1004,B178,'전기원장'!$D$5:$D$1004,E178)&gt;0,"전기","당기"))</x:f>
      </x:c>
      <x:c r="D178" s="67"/>
      <x:c r="G178" s="68"/>
      <x:c r="K178" t="str">
        <x:f>IF(B178="","",IF(I178="확인 필요","붙임 문서 확인 후 거래 성격·기간·상대방·일회성 여부 확인","결의서명과 전기 대비 발생 건수·단가·시점 차이 검토"))</x:f>
      </x:c>
    </x:row>
    <x:row r="179">
      <x:c r="A179" t="str">
        <x:f>IF(B179="","",IF(COUNTIFS('전기원장'!$A$5:$A$1004,B179,'전기원장'!$D$5:$D$1004,E179)&gt;0,"전기","당기"))</x:f>
      </x:c>
      <x:c r="D179" s="67"/>
      <x:c r="G179" s="68"/>
      <x:c r="K179" t="str">
        <x:f>IF(B179="","",IF(I179="확인 필요","붙임 문서 확인 후 거래 성격·기간·상대방·일회성 여부 확인","결의서명과 전기 대비 발생 건수·단가·시점 차이 검토"))</x:f>
      </x:c>
    </x:row>
    <x:row r="180">
      <x:c r="A180" t="str">
        <x:f>IF(B180="","",IF(COUNTIFS('전기원장'!$A$5:$A$1004,B180,'전기원장'!$D$5:$D$1004,E180)&gt;0,"전기","당기"))</x:f>
      </x:c>
      <x:c r="D180" s="67"/>
      <x:c r="G180" s="68"/>
      <x:c r="K180" t="str">
        <x:f>IF(B180="","",IF(I180="확인 필요","붙임 문서 확인 후 거래 성격·기간·상대방·일회성 여부 확인","결의서명과 전기 대비 발생 건수·단가·시점 차이 검토"))</x:f>
      </x:c>
    </x:row>
    <x:row r="181">
      <x:c r="A181" t="str">
        <x:f>IF(B181="","",IF(COUNTIFS('전기원장'!$A$5:$A$1004,B181,'전기원장'!$D$5:$D$1004,E181)&gt;0,"전기","당기"))</x:f>
      </x:c>
      <x:c r="D181" s="67"/>
      <x:c r="G181" s="68"/>
      <x:c r="K181" t="str">
        <x:f>IF(B181="","",IF(I181="확인 필요","붙임 문서 확인 후 거래 성격·기간·상대방·일회성 여부 확인","결의서명과 전기 대비 발생 건수·단가·시점 차이 검토"))</x:f>
      </x:c>
    </x:row>
    <x:row r="182">
      <x:c r="A182" t="str">
        <x:f>IF(B182="","",IF(COUNTIFS('전기원장'!$A$5:$A$1004,B182,'전기원장'!$D$5:$D$1004,E182)&gt;0,"전기","당기"))</x:f>
      </x:c>
      <x:c r="D182" s="67"/>
      <x:c r="G182" s="68"/>
      <x:c r="K182" t="str">
        <x:f>IF(B182="","",IF(I182="확인 필요","붙임 문서 확인 후 거래 성격·기간·상대방·일회성 여부 확인","결의서명과 전기 대비 발생 건수·단가·시점 차이 검토"))</x:f>
      </x:c>
    </x:row>
    <x:row r="183">
      <x:c r="A183" t="str">
        <x:f>IF(B183="","",IF(COUNTIFS('전기원장'!$A$5:$A$1004,B183,'전기원장'!$D$5:$D$1004,E183)&gt;0,"전기","당기"))</x:f>
      </x:c>
      <x:c r="D183" s="67"/>
      <x:c r="G183" s="68"/>
      <x:c r="K183" t="str">
        <x:f>IF(B183="","",IF(I183="확인 필요","붙임 문서 확인 후 거래 성격·기간·상대방·일회성 여부 확인","결의서명과 전기 대비 발생 건수·단가·시점 차이 검토"))</x:f>
      </x:c>
    </x:row>
    <x:row r="184">
      <x:c r="A184" t="str">
        <x:f>IF(B184="","",IF(COUNTIFS('전기원장'!$A$5:$A$1004,B184,'전기원장'!$D$5:$D$1004,E184)&gt;0,"전기","당기"))</x:f>
      </x:c>
      <x:c r="D184" s="67"/>
      <x:c r="G184" s="68"/>
      <x:c r="K184" t="str">
        <x:f>IF(B184="","",IF(I184="확인 필요","붙임 문서 확인 후 거래 성격·기간·상대방·일회성 여부 확인","결의서명과 전기 대비 발생 건수·단가·시점 차이 검토"))</x:f>
      </x:c>
    </x:row>
    <x:row r="185">
      <x:c r="A185" t="str">
        <x:f>IF(B185="","",IF(COUNTIFS('전기원장'!$A$5:$A$1004,B185,'전기원장'!$D$5:$D$1004,E185)&gt;0,"전기","당기"))</x:f>
      </x:c>
      <x:c r="D185" s="67"/>
      <x:c r="G185" s="68"/>
      <x:c r="K185" t="str">
        <x:f>IF(B185="","",IF(I185="확인 필요","붙임 문서 확인 후 거래 성격·기간·상대방·일회성 여부 확인","결의서명과 전기 대비 발생 건수·단가·시점 차이 검토"))</x:f>
      </x:c>
    </x:row>
    <x:row r="186">
      <x:c r="A186" t="str">
        <x:f>IF(B186="","",IF(COUNTIFS('전기원장'!$A$5:$A$1004,B186,'전기원장'!$D$5:$D$1004,E186)&gt;0,"전기","당기"))</x:f>
      </x:c>
      <x:c r="D186" s="67"/>
      <x:c r="G186" s="68"/>
      <x:c r="K186" t="str">
        <x:f>IF(B186="","",IF(I186="확인 필요","붙임 문서 확인 후 거래 성격·기간·상대방·일회성 여부 확인","결의서명과 전기 대비 발생 건수·단가·시점 차이 검토"))</x:f>
      </x:c>
    </x:row>
    <x:row r="187">
      <x:c r="A187" t="str">
        <x:f>IF(B187="","",IF(COUNTIFS('전기원장'!$A$5:$A$1004,B187,'전기원장'!$D$5:$D$1004,E187)&gt;0,"전기","당기"))</x:f>
      </x:c>
      <x:c r="D187" s="67"/>
      <x:c r="G187" s="68"/>
      <x:c r="K187" t="str">
        <x:f>IF(B187="","",IF(I187="확인 필요","붙임 문서 확인 후 거래 성격·기간·상대방·일회성 여부 확인","결의서명과 전기 대비 발생 건수·단가·시점 차이 검토"))</x:f>
      </x:c>
    </x:row>
    <x:row r="188">
      <x:c r="A188" t="str">
        <x:f>IF(B188="","",IF(COUNTIFS('전기원장'!$A$5:$A$1004,B188,'전기원장'!$D$5:$D$1004,E188)&gt;0,"전기","당기"))</x:f>
      </x:c>
      <x:c r="D188" s="67"/>
      <x:c r="G188" s="68"/>
      <x:c r="K188" t="str">
        <x:f>IF(B188="","",IF(I188="확인 필요","붙임 문서 확인 후 거래 성격·기간·상대방·일회성 여부 확인","결의서명과 전기 대비 발생 건수·단가·시점 차이 검토"))</x:f>
      </x:c>
    </x:row>
    <x:row r="189">
      <x:c r="A189" t="str">
        <x:f>IF(B189="","",IF(COUNTIFS('전기원장'!$A$5:$A$1004,B189,'전기원장'!$D$5:$D$1004,E189)&gt;0,"전기","당기"))</x:f>
      </x:c>
      <x:c r="D189" s="67"/>
      <x:c r="G189" s="68"/>
      <x:c r="K189" t="str">
        <x:f>IF(B189="","",IF(I189="확인 필요","붙임 문서 확인 후 거래 성격·기간·상대방·일회성 여부 확인","결의서명과 전기 대비 발생 건수·단가·시점 차이 검토"))</x:f>
      </x:c>
    </x:row>
    <x:row r="190">
      <x:c r="A190" t="str">
        <x:f>IF(B190="","",IF(COUNTIFS('전기원장'!$A$5:$A$1004,B190,'전기원장'!$D$5:$D$1004,E190)&gt;0,"전기","당기"))</x:f>
      </x:c>
      <x:c r="D190" s="67"/>
      <x:c r="G190" s="68"/>
      <x:c r="K190" t="str">
        <x:f>IF(B190="","",IF(I190="확인 필요","붙임 문서 확인 후 거래 성격·기간·상대방·일회성 여부 확인","결의서명과 전기 대비 발생 건수·단가·시점 차이 검토"))</x:f>
      </x:c>
    </x:row>
    <x:row r="191">
      <x:c r="A191" t="str">
        <x:f>IF(B191="","",IF(COUNTIFS('전기원장'!$A$5:$A$1004,B191,'전기원장'!$D$5:$D$1004,E191)&gt;0,"전기","당기"))</x:f>
      </x:c>
      <x:c r="D191" s="67"/>
      <x:c r="G191" s="68"/>
      <x:c r="K191" t="str">
        <x:f>IF(B191="","",IF(I191="확인 필요","붙임 문서 확인 후 거래 성격·기간·상대방·일회성 여부 확인","결의서명과 전기 대비 발생 건수·단가·시점 차이 검토"))</x:f>
      </x:c>
    </x:row>
    <x:row r="192">
      <x:c r="A192" t="str">
        <x:f>IF(B192="","",IF(COUNTIFS('전기원장'!$A$5:$A$1004,B192,'전기원장'!$D$5:$D$1004,E192)&gt;0,"전기","당기"))</x:f>
      </x:c>
      <x:c r="D192" s="67"/>
      <x:c r="G192" s="68"/>
      <x:c r="K192" t="str">
        <x:f>IF(B192="","",IF(I192="확인 필요","붙임 문서 확인 후 거래 성격·기간·상대방·일회성 여부 확인","결의서명과 전기 대비 발생 건수·단가·시점 차이 검토"))</x:f>
      </x:c>
    </x:row>
    <x:row r="193">
      <x:c r="A193" t="str">
        <x:f>IF(B193="","",IF(COUNTIFS('전기원장'!$A$5:$A$1004,B193,'전기원장'!$D$5:$D$1004,E193)&gt;0,"전기","당기"))</x:f>
      </x:c>
      <x:c r="D193" s="67"/>
      <x:c r="G193" s="68"/>
      <x:c r="K193" t="str">
        <x:f>IF(B193="","",IF(I193="확인 필요","붙임 문서 확인 후 거래 성격·기간·상대방·일회성 여부 확인","결의서명과 전기 대비 발생 건수·단가·시점 차이 검토"))</x:f>
      </x:c>
    </x:row>
    <x:row r="194">
      <x:c r="A194" t="str">
        <x:f>IF(B194="","",IF(COUNTIFS('전기원장'!$A$5:$A$1004,B194,'전기원장'!$D$5:$D$1004,E194)&gt;0,"전기","당기"))</x:f>
      </x:c>
      <x:c r="D194" s="67"/>
      <x:c r="G194" s="68"/>
      <x:c r="K194" t="str">
        <x:f>IF(B194="","",IF(I194="확인 필요","붙임 문서 확인 후 거래 성격·기간·상대방·일회성 여부 확인","결의서명과 전기 대비 발생 건수·단가·시점 차이 검토"))</x:f>
      </x:c>
    </x:row>
    <x:row r="195">
      <x:c r="A195" t="str">
        <x:f>IF(B195="","",IF(COUNTIFS('전기원장'!$A$5:$A$1004,B195,'전기원장'!$D$5:$D$1004,E195)&gt;0,"전기","당기"))</x:f>
      </x:c>
      <x:c r="D195" s="67"/>
      <x:c r="G195" s="68"/>
      <x:c r="K195" t="str">
        <x:f>IF(B195="","",IF(I195="확인 필요","붙임 문서 확인 후 거래 성격·기간·상대방·일회성 여부 확인","결의서명과 전기 대비 발생 건수·단가·시점 차이 검토"))</x:f>
      </x:c>
    </x:row>
    <x:row r="196">
      <x:c r="A196" t="str">
        <x:f>IF(B196="","",IF(COUNTIFS('전기원장'!$A$5:$A$1004,B196,'전기원장'!$D$5:$D$1004,E196)&gt;0,"전기","당기"))</x:f>
      </x:c>
      <x:c r="D196" s="67"/>
      <x:c r="G196" s="68"/>
      <x:c r="K196" t="str">
        <x:f>IF(B196="","",IF(I196="확인 필요","붙임 문서 확인 후 거래 성격·기간·상대방·일회성 여부 확인","결의서명과 전기 대비 발생 건수·단가·시점 차이 검토"))</x:f>
      </x:c>
    </x:row>
    <x:row r="197">
      <x:c r="A197" t="str">
        <x:f>IF(B197="","",IF(COUNTIFS('전기원장'!$A$5:$A$1004,B197,'전기원장'!$D$5:$D$1004,E197)&gt;0,"전기","당기"))</x:f>
      </x:c>
      <x:c r="D197" s="67"/>
      <x:c r="G197" s="68"/>
      <x:c r="K197" t="str">
        <x:f>IF(B197="","",IF(I197="확인 필요","붙임 문서 확인 후 거래 성격·기간·상대방·일회성 여부 확인","결의서명과 전기 대비 발생 건수·단가·시점 차이 검토"))</x:f>
      </x:c>
    </x:row>
    <x:row r="198">
      <x:c r="A198" t="str">
        <x:f>IF(B198="","",IF(COUNTIFS('전기원장'!$A$5:$A$1004,B198,'전기원장'!$D$5:$D$1004,E198)&gt;0,"전기","당기"))</x:f>
      </x:c>
      <x:c r="D198" s="67"/>
      <x:c r="G198" s="68"/>
      <x:c r="K198" t="str">
        <x:f>IF(B198="","",IF(I198="확인 필요","붙임 문서 확인 후 거래 성격·기간·상대방·일회성 여부 확인","결의서명과 전기 대비 발생 건수·단가·시점 차이 검토"))</x:f>
      </x:c>
    </x:row>
    <x:row r="199">
      <x:c r="A199" t="str">
        <x:f>IF(B199="","",IF(COUNTIFS('전기원장'!$A$5:$A$1004,B199,'전기원장'!$D$5:$D$1004,E199)&gt;0,"전기","당기"))</x:f>
      </x:c>
      <x:c r="D199" s="67"/>
      <x:c r="G199" s="68"/>
      <x:c r="K199" t="str">
        <x:f>IF(B199="","",IF(I199="확인 필요","붙임 문서 확인 후 거래 성격·기간·상대방·일회성 여부 확인","결의서명과 전기 대비 발생 건수·단가·시점 차이 검토"))</x:f>
      </x:c>
    </x:row>
    <x:row r="200">
      <x:c r="A200" t="str">
        <x:f>IF(B200="","",IF(COUNTIFS('전기원장'!$A$5:$A$1004,B200,'전기원장'!$D$5:$D$1004,E200)&gt;0,"전기","당기"))</x:f>
      </x:c>
      <x:c r="D200" s="67"/>
      <x:c r="G200" s="68"/>
      <x:c r="K200" t="str">
        <x:f>IF(B200="","",IF(I200="확인 필요","붙임 문서 확인 후 거래 성격·기간·상대방·일회성 여부 확인","결의서명과 전기 대비 발생 건수·단가·시점 차이 검토"))</x:f>
      </x:c>
    </x:row>
    <x:row r="201">
      <x:c r="A201" t="str">
        <x:f>IF(B201="","",IF(COUNTIFS('전기원장'!$A$5:$A$1004,B201,'전기원장'!$D$5:$D$1004,E201)&gt;0,"전기","당기"))</x:f>
      </x:c>
      <x:c r="D201" s="67"/>
      <x:c r="G201" s="68"/>
      <x:c r="K201" t="str">
        <x:f>IF(B201="","",IF(I201="확인 필요","붙임 문서 확인 후 거래 성격·기간·상대방·일회성 여부 확인","결의서명과 전기 대비 발생 건수·단가·시점 차이 검토"))</x:f>
      </x:c>
    </x:row>
    <x:row r="202">
      <x:c r="A202" t="str">
        <x:f>IF(B202="","",IF(COUNTIFS('전기원장'!$A$5:$A$1004,B202,'전기원장'!$D$5:$D$1004,E202)&gt;0,"전기","당기"))</x:f>
      </x:c>
      <x:c r="D202" s="67"/>
      <x:c r="G202" s="68"/>
      <x:c r="K202" t="str">
        <x:f>IF(B202="","",IF(I202="확인 필요","붙임 문서 확인 후 거래 성격·기간·상대방·일회성 여부 확인","결의서명과 전기 대비 발생 건수·단가·시점 차이 검토"))</x:f>
      </x:c>
    </x:row>
    <x:row r="203">
      <x:c r="A203" t="str">
        <x:f>IF(B203="","",IF(COUNTIFS('전기원장'!$A$5:$A$1004,B203,'전기원장'!$D$5:$D$1004,E203)&gt;0,"전기","당기"))</x:f>
      </x:c>
      <x:c r="D203" s="67"/>
      <x:c r="G203" s="68"/>
      <x:c r="K203" t="str">
        <x:f>IF(B203="","",IF(I203="확인 필요","붙임 문서 확인 후 거래 성격·기간·상대방·일회성 여부 확인","결의서명과 전기 대비 발생 건수·단가·시점 차이 검토"))</x:f>
      </x:c>
    </x:row>
    <x:row r="204">
      <x:c r="A204" t="str">
        <x:f>IF(B204="","",IF(COUNTIFS('전기원장'!$A$5:$A$1004,B204,'전기원장'!$D$5:$D$1004,E204)&gt;0,"전기","당기"))</x:f>
      </x:c>
      <x:c r="D204" s="67"/>
      <x:c r="G204" s="68"/>
      <x:c r="K204" t="str">
        <x:f>IF(B204="","",IF(I204="확인 필요","붙임 문서 확인 후 거래 성격·기간·상대방·일회성 여부 확인","결의서명과 전기 대비 발생 건수·단가·시점 차이 검토"))</x:f>
      </x:c>
    </x:row>
    <x:row r="205">
      <x:c r="A205" t="str">
        <x:f>IF(B205="","",IF(COUNTIFS('전기원장'!$A$5:$A$1004,B205,'전기원장'!$D$5:$D$1004,E205)&gt;0,"전기","당기"))</x:f>
      </x:c>
      <x:c r="D205" s="67"/>
      <x:c r="G205" s="68"/>
      <x:c r="K205" t="str">
        <x:f>IF(B205="","",IF(I205="확인 필요","붙임 문서 확인 후 거래 성격·기간·상대방·일회성 여부 확인","결의서명과 전기 대비 발생 건수·단가·시점 차이 검토"))</x:f>
      </x:c>
    </x:row>
    <x:row r="206">
      <x:c r="A206" t="str">
        <x:f>IF(B206="","",IF(COUNTIFS('전기원장'!$A$5:$A$1004,B206,'전기원장'!$D$5:$D$1004,E206)&gt;0,"전기","당기"))</x:f>
      </x:c>
      <x:c r="D206" s="67"/>
      <x:c r="G206" s="68"/>
      <x:c r="K206" t="str">
        <x:f>IF(B206="","",IF(I206="확인 필요","붙임 문서 확인 후 거래 성격·기간·상대방·일회성 여부 확인","결의서명과 전기 대비 발생 건수·단가·시점 차이 검토"))</x:f>
      </x:c>
    </x:row>
    <x:row r="207">
      <x:c r="A207" t="str">
        <x:f>IF(B207="","",IF(COUNTIFS('전기원장'!$A$5:$A$1004,B207,'전기원장'!$D$5:$D$1004,E207)&gt;0,"전기","당기"))</x:f>
      </x:c>
      <x:c r="D207" s="67"/>
      <x:c r="G207" s="68"/>
      <x:c r="K207" t="str">
        <x:f>IF(B207="","",IF(I207="확인 필요","붙임 문서 확인 후 거래 성격·기간·상대방·일회성 여부 확인","결의서명과 전기 대비 발생 건수·단가·시점 차이 검토"))</x:f>
      </x:c>
    </x:row>
    <x:row r="208">
      <x:c r="A208" t="str">
        <x:f>IF(B208="","",IF(COUNTIFS('전기원장'!$A$5:$A$1004,B208,'전기원장'!$D$5:$D$1004,E208)&gt;0,"전기","당기"))</x:f>
      </x:c>
      <x:c r="D208" s="67"/>
      <x:c r="G208" s="68"/>
      <x:c r="K208" t="str">
        <x:f>IF(B208="","",IF(I208="확인 필요","붙임 문서 확인 후 거래 성격·기간·상대방·일회성 여부 확인","결의서명과 전기 대비 발생 건수·단가·시점 차이 검토"))</x:f>
      </x:c>
    </x:row>
    <x:row r="209">
      <x:c r="A209" t="str">
        <x:f>IF(B209="","",IF(COUNTIFS('전기원장'!$A$5:$A$1004,B209,'전기원장'!$D$5:$D$1004,E209)&gt;0,"전기","당기"))</x:f>
      </x:c>
      <x:c r="D209" s="67"/>
      <x:c r="G209" s="68"/>
      <x:c r="K209" t="str">
        <x:f>IF(B209="","",IF(I209="확인 필요","붙임 문서 확인 후 거래 성격·기간·상대방·일회성 여부 확인","결의서명과 전기 대비 발생 건수·단가·시점 차이 검토"))</x:f>
      </x:c>
    </x:row>
    <x:row r="210">
      <x:c r="A210" t="str">
        <x:f>IF(B210="","",IF(COUNTIFS('전기원장'!$A$5:$A$1004,B210,'전기원장'!$D$5:$D$1004,E210)&gt;0,"전기","당기"))</x:f>
      </x:c>
      <x:c r="D210" s="67"/>
      <x:c r="G210" s="68"/>
      <x:c r="K210" t="str">
        <x:f>IF(B210="","",IF(I210="확인 필요","붙임 문서 확인 후 거래 성격·기간·상대방·일회성 여부 확인","결의서명과 전기 대비 발생 건수·단가·시점 차이 검토"))</x:f>
      </x:c>
    </x:row>
    <x:row r="211">
      <x:c r="A211" t="str">
        <x:f>IF(B211="","",IF(COUNTIFS('전기원장'!$A$5:$A$1004,B211,'전기원장'!$D$5:$D$1004,E211)&gt;0,"전기","당기"))</x:f>
      </x:c>
      <x:c r="D211" s="67"/>
      <x:c r="G211" s="68"/>
      <x:c r="K211" t="str">
        <x:f>IF(B211="","",IF(I211="확인 필요","붙임 문서 확인 후 거래 성격·기간·상대방·일회성 여부 확인","결의서명과 전기 대비 발생 건수·단가·시점 차이 검토"))</x:f>
      </x:c>
    </x:row>
    <x:row r="212">
      <x:c r="A212" t="str">
        <x:f>IF(B212="","",IF(COUNTIFS('전기원장'!$A$5:$A$1004,B212,'전기원장'!$D$5:$D$1004,E212)&gt;0,"전기","당기"))</x:f>
      </x:c>
      <x:c r="D212" s="67"/>
      <x:c r="G212" s="68"/>
      <x:c r="K212" t="str">
        <x:f>IF(B212="","",IF(I212="확인 필요","붙임 문서 확인 후 거래 성격·기간·상대방·일회성 여부 확인","결의서명과 전기 대비 발생 건수·단가·시점 차이 검토"))</x:f>
      </x:c>
    </x:row>
    <x:row r="213">
      <x:c r="A213" t="str">
        <x:f>IF(B213="","",IF(COUNTIFS('전기원장'!$A$5:$A$1004,B213,'전기원장'!$D$5:$D$1004,E213)&gt;0,"전기","당기"))</x:f>
      </x:c>
      <x:c r="D213" s="67"/>
      <x:c r="G213" s="68"/>
      <x:c r="K213" t="str">
        <x:f>IF(B213="","",IF(I213="확인 필요","붙임 문서 확인 후 거래 성격·기간·상대방·일회성 여부 확인","결의서명과 전기 대비 발생 건수·단가·시점 차이 검토"))</x:f>
      </x:c>
    </x:row>
    <x:row r="214">
      <x:c r="A214" t="str">
        <x:f>IF(B214="","",IF(COUNTIFS('전기원장'!$A$5:$A$1004,B214,'전기원장'!$D$5:$D$1004,E214)&gt;0,"전기","당기"))</x:f>
      </x:c>
      <x:c r="D214" s="67"/>
      <x:c r="G214" s="68"/>
      <x:c r="K214" t="str">
        <x:f>IF(B214="","",IF(I214="확인 필요","붙임 문서 확인 후 거래 성격·기간·상대방·일회성 여부 확인","결의서명과 전기 대비 발생 건수·단가·시점 차이 검토"))</x:f>
      </x:c>
    </x:row>
    <x:row r="215">
      <x:c r="A215" t="str">
        <x:f>IF(B215="","",IF(COUNTIFS('전기원장'!$A$5:$A$1004,B215,'전기원장'!$D$5:$D$1004,E215)&gt;0,"전기","당기"))</x:f>
      </x:c>
      <x:c r="D215" s="67"/>
      <x:c r="G215" s="68"/>
      <x:c r="K215" t="str">
        <x:f>IF(B215="","",IF(I215="확인 필요","붙임 문서 확인 후 거래 성격·기간·상대방·일회성 여부 확인","결의서명과 전기 대비 발생 건수·단가·시점 차이 검토"))</x:f>
      </x:c>
    </x:row>
    <x:row r="216">
      <x:c r="A216" t="str">
        <x:f>IF(B216="","",IF(COUNTIFS('전기원장'!$A$5:$A$1004,B216,'전기원장'!$D$5:$D$1004,E216)&gt;0,"전기","당기"))</x:f>
      </x:c>
      <x:c r="D216" s="67"/>
      <x:c r="G216" s="68"/>
      <x:c r="K216" t="str">
        <x:f>IF(B216="","",IF(I216="확인 필요","붙임 문서 확인 후 거래 성격·기간·상대방·일회성 여부 확인","결의서명과 전기 대비 발생 건수·단가·시점 차이 검토"))</x:f>
      </x:c>
    </x:row>
    <x:row r="217">
      <x:c r="A217" t="str">
        <x:f>IF(B217="","",IF(COUNTIFS('전기원장'!$A$5:$A$1004,B217,'전기원장'!$D$5:$D$1004,E217)&gt;0,"전기","당기"))</x:f>
      </x:c>
      <x:c r="D217" s="67"/>
      <x:c r="G217" s="68"/>
      <x:c r="K217" t="str">
        <x:f>IF(B217="","",IF(I217="확인 필요","붙임 문서 확인 후 거래 성격·기간·상대방·일회성 여부 확인","결의서명과 전기 대비 발생 건수·단가·시점 차이 검토"))</x:f>
      </x:c>
    </x:row>
    <x:row r="218">
      <x:c r="A218" t="str">
        <x:f>IF(B218="","",IF(COUNTIFS('전기원장'!$A$5:$A$1004,B218,'전기원장'!$D$5:$D$1004,E218)&gt;0,"전기","당기"))</x:f>
      </x:c>
      <x:c r="D218" s="67"/>
      <x:c r="G218" s="68"/>
      <x:c r="K218" t="str">
        <x:f>IF(B218="","",IF(I218="확인 필요","붙임 문서 확인 후 거래 성격·기간·상대방·일회성 여부 확인","결의서명과 전기 대비 발생 건수·단가·시점 차이 검토"))</x:f>
      </x:c>
    </x:row>
    <x:row r="219">
      <x:c r="A219" t="str">
        <x:f>IF(B219="","",IF(COUNTIFS('전기원장'!$A$5:$A$1004,B219,'전기원장'!$D$5:$D$1004,E219)&gt;0,"전기","당기"))</x:f>
      </x:c>
      <x:c r="D219" s="67"/>
      <x:c r="G219" s="68"/>
      <x:c r="K219" t="str">
        <x:f>IF(B219="","",IF(I219="확인 필요","붙임 문서 확인 후 거래 성격·기간·상대방·일회성 여부 확인","결의서명과 전기 대비 발생 건수·단가·시점 차이 검토"))</x:f>
      </x:c>
    </x:row>
    <x:row r="220">
      <x:c r="A220" t="str">
        <x:f>IF(B220="","",IF(COUNTIFS('전기원장'!$A$5:$A$1004,B220,'전기원장'!$D$5:$D$1004,E220)&gt;0,"전기","당기"))</x:f>
      </x:c>
      <x:c r="D220" s="67"/>
      <x:c r="G220" s="68"/>
      <x:c r="K220" t="str">
        <x:f>IF(B220="","",IF(I220="확인 필요","붙임 문서 확인 후 거래 성격·기간·상대방·일회성 여부 확인","결의서명과 전기 대비 발생 건수·단가·시점 차이 검토"))</x:f>
      </x:c>
    </x:row>
    <x:row r="221">
      <x:c r="A221" t="str">
        <x:f>IF(B221="","",IF(COUNTIFS('전기원장'!$A$5:$A$1004,B221,'전기원장'!$D$5:$D$1004,E221)&gt;0,"전기","당기"))</x:f>
      </x:c>
      <x:c r="D221" s="67"/>
      <x:c r="G221" s="68"/>
      <x:c r="K221" t="str">
        <x:f>IF(B221="","",IF(I221="확인 필요","붙임 문서 확인 후 거래 성격·기간·상대방·일회성 여부 확인","결의서명과 전기 대비 발생 건수·단가·시점 차이 검토"))</x:f>
      </x:c>
    </x:row>
    <x:row r="222">
      <x:c r="A222" t="str">
        <x:f>IF(B222="","",IF(COUNTIFS('전기원장'!$A$5:$A$1004,B222,'전기원장'!$D$5:$D$1004,E222)&gt;0,"전기","당기"))</x:f>
      </x:c>
      <x:c r="D222" s="67"/>
      <x:c r="G222" s="68"/>
      <x:c r="K222" t="str">
        <x:f>IF(B222="","",IF(I222="확인 필요","붙임 문서 확인 후 거래 성격·기간·상대방·일회성 여부 확인","결의서명과 전기 대비 발생 건수·단가·시점 차이 검토"))</x:f>
      </x:c>
    </x:row>
    <x:row r="223">
      <x:c r="A223" t="str">
        <x:f>IF(B223="","",IF(COUNTIFS('전기원장'!$A$5:$A$1004,B223,'전기원장'!$D$5:$D$1004,E223)&gt;0,"전기","당기"))</x:f>
      </x:c>
      <x:c r="D223" s="67"/>
      <x:c r="G223" s="68"/>
      <x:c r="K223" t="str">
        <x:f>IF(B223="","",IF(I223="확인 필요","붙임 문서 확인 후 거래 성격·기간·상대방·일회성 여부 확인","결의서명과 전기 대비 발생 건수·단가·시점 차이 검토"))</x:f>
      </x:c>
    </x:row>
    <x:row r="224">
      <x:c r="A224" t="str">
        <x:f>IF(B224="","",IF(COUNTIFS('전기원장'!$A$5:$A$1004,B224,'전기원장'!$D$5:$D$1004,E224)&gt;0,"전기","당기"))</x:f>
      </x:c>
      <x:c r="D224" s="67"/>
      <x:c r="G224" s="68"/>
      <x:c r="K224" t="str">
        <x:f>IF(B224="","",IF(I224="확인 필요","붙임 문서 확인 후 거래 성격·기간·상대방·일회성 여부 확인","결의서명과 전기 대비 발생 건수·단가·시점 차이 검토"))</x:f>
      </x:c>
    </x:row>
    <x:row r="225">
      <x:c r="A225" t="str">
        <x:f>IF(B225="","",IF(COUNTIFS('전기원장'!$A$5:$A$1004,B225,'전기원장'!$D$5:$D$1004,E225)&gt;0,"전기","당기"))</x:f>
      </x:c>
      <x:c r="D225" s="67"/>
      <x:c r="G225" s="68"/>
      <x:c r="K225" t="str">
        <x:f>IF(B225="","",IF(I225="확인 필요","붙임 문서 확인 후 거래 성격·기간·상대방·일회성 여부 확인","결의서명과 전기 대비 발생 건수·단가·시점 차이 검토"))</x:f>
      </x:c>
    </x:row>
    <x:row r="226">
      <x:c r="A226" t="str">
        <x:f>IF(B226="","",IF(COUNTIFS('전기원장'!$A$5:$A$1004,B226,'전기원장'!$D$5:$D$1004,E226)&gt;0,"전기","당기"))</x:f>
      </x:c>
      <x:c r="D226" s="67"/>
      <x:c r="G226" s="68"/>
      <x:c r="K226" t="str">
        <x:f>IF(B226="","",IF(I226="확인 필요","붙임 문서 확인 후 거래 성격·기간·상대방·일회성 여부 확인","결의서명과 전기 대비 발생 건수·단가·시점 차이 검토"))</x:f>
      </x:c>
    </x:row>
    <x:row r="227">
      <x:c r="A227" t="str">
        <x:f>IF(B227="","",IF(COUNTIFS('전기원장'!$A$5:$A$1004,B227,'전기원장'!$D$5:$D$1004,E227)&gt;0,"전기","당기"))</x:f>
      </x:c>
      <x:c r="D227" s="67"/>
      <x:c r="G227" s="68"/>
      <x:c r="K227" t="str">
        <x:f>IF(B227="","",IF(I227="확인 필요","붙임 문서 확인 후 거래 성격·기간·상대방·일회성 여부 확인","결의서명과 전기 대비 발생 건수·단가·시점 차이 검토"))</x:f>
      </x:c>
    </x:row>
    <x:row r="228">
      <x:c r="A228" t="str">
        <x:f>IF(B228="","",IF(COUNTIFS('전기원장'!$A$5:$A$1004,B228,'전기원장'!$D$5:$D$1004,E228)&gt;0,"전기","당기"))</x:f>
      </x:c>
      <x:c r="D228" s="67"/>
      <x:c r="G228" s="68"/>
      <x:c r="K228" t="str">
        <x:f>IF(B228="","",IF(I228="확인 필요","붙임 문서 확인 후 거래 성격·기간·상대방·일회성 여부 확인","결의서명과 전기 대비 발생 건수·단가·시점 차이 검토"))</x:f>
      </x:c>
    </x:row>
    <x:row r="229">
      <x:c r="A229" t="str">
        <x:f>IF(B229="","",IF(COUNTIFS('전기원장'!$A$5:$A$1004,B229,'전기원장'!$D$5:$D$1004,E229)&gt;0,"전기","당기"))</x:f>
      </x:c>
      <x:c r="D229" s="67"/>
      <x:c r="G229" s="68"/>
      <x:c r="K229" t="str">
        <x:f>IF(B229="","",IF(I229="확인 필요","붙임 문서 확인 후 거래 성격·기간·상대방·일회성 여부 확인","결의서명과 전기 대비 발생 건수·단가·시점 차이 검토"))</x:f>
      </x:c>
    </x:row>
    <x:row r="230">
      <x:c r="A230" t="str">
        <x:f>IF(B230="","",IF(COUNTIFS('전기원장'!$A$5:$A$1004,B230,'전기원장'!$D$5:$D$1004,E230)&gt;0,"전기","당기"))</x:f>
      </x:c>
      <x:c r="D230" s="67"/>
      <x:c r="G230" s="68"/>
      <x:c r="K230" t="str">
        <x:f>IF(B230="","",IF(I230="확인 필요","붙임 문서 확인 후 거래 성격·기간·상대방·일회성 여부 확인","결의서명과 전기 대비 발생 건수·단가·시점 차이 검토"))</x:f>
      </x:c>
    </x:row>
    <x:row r="231">
      <x:c r="A231" t="str">
        <x:f>IF(B231="","",IF(COUNTIFS('전기원장'!$A$5:$A$1004,B231,'전기원장'!$D$5:$D$1004,E231)&gt;0,"전기","당기"))</x:f>
      </x:c>
      <x:c r="D231" s="67"/>
      <x:c r="G231" s="68"/>
      <x:c r="K231" t="str">
        <x:f>IF(B231="","",IF(I231="확인 필요","붙임 문서 확인 후 거래 성격·기간·상대방·일회성 여부 확인","결의서명과 전기 대비 발생 건수·단가·시점 차이 검토"))</x:f>
      </x:c>
    </x:row>
    <x:row r="232">
      <x:c r="A232" t="str">
        <x:f>IF(B232="","",IF(COUNTIFS('전기원장'!$A$5:$A$1004,B232,'전기원장'!$D$5:$D$1004,E232)&gt;0,"전기","당기"))</x:f>
      </x:c>
      <x:c r="D232" s="67"/>
      <x:c r="G232" s="68"/>
      <x:c r="K232" t="str">
        <x:f>IF(B232="","",IF(I232="확인 필요","붙임 문서 확인 후 거래 성격·기간·상대방·일회성 여부 확인","결의서명과 전기 대비 발생 건수·단가·시점 차이 검토"))</x:f>
      </x:c>
    </x:row>
    <x:row r="233">
      <x:c r="A233" t="str">
        <x:f>IF(B233="","",IF(COUNTIFS('전기원장'!$A$5:$A$1004,B233,'전기원장'!$D$5:$D$1004,E233)&gt;0,"전기","당기"))</x:f>
      </x:c>
      <x:c r="D233" s="67"/>
      <x:c r="G233" s="68"/>
      <x:c r="K233" t="str">
        <x:f>IF(B233="","",IF(I233="확인 필요","붙임 문서 확인 후 거래 성격·기간·상대방·일회성 여부 확인","결의서명과 전기 대비 발생 건수·단가·시점 차이 검토"))</x:f>
      </x:c>
    </x:row>
    <x:row r="234">
      <x:c r="A234" t="str">
        <x:f>IF(B234="","",IF(COUNTIFS('전기원장'!$A$5:$A$1004,B234,'전기원장'!$D$5:$D$1004,E234)&gt;0,"전기","당기"))</x:f>
      </x:c>
      <x:c r="D234" s="67"/>
      <x:c r="G234" s="68"/>
      <x:c r="K234" t="str">
        <x:f>IF(B234="","",IF(I234="확인 필요","붙임 문서 확인 후 거래 성격·기간·상대방·일회성 여부 확인","결의서명과 전기 대비 발생 건수·단가·시점 차이 검토"))</x:f>
      </x:c>
    </x:row>
    <x:row r="235">
      <x:c r="A235" t="str">
        <x:f>IF(B235="","",IF(COUNTIFS('전기원장'!$A$5:$A$1004,B235,'전기원장'!$D$5:$D$1004,E235)&gt;0,"전기","당기"))</x:f>
      </x:c>
      <x:c r="D235" s="67"/>
      <x:c r="G235" s="68"/>
      <x:c r="K235" t="str">
        <x:f>IF(B235="","",IF(I235="확인 필요","붙임 문서 확인 후 거래 성격·기간·상대방·일회성 여부 확인","결의서명과 전기 대비 발생 건수·단가·시점 차이 검토"))</x:f>
      </x:c>
    </x:row>
    <x:row r="236">
      <x:c r="A236" t="str">
        <x:f>IF(B236="","",IF(COUNTIFS('전기원장'!$A$5:$A$1004,B236,'전기원장'!$D$5:$D$1004,E236)&gt;0,"전기","당기"))</x:f>
      </x:c>
      <x:c r="D236" s="67"/>
      <x:c r="G236" s="68"/>
      <x:c r="K236" t="str">
        <x:f>IF(B236="","",IF(I236="확인 필요","붙임 문서 확인 후 거래 성격·기간·상대방·일회성 여부 확인","결의서명과 전기 대비 발생 건수·단가·시점 차이 검토"))</x:f>
      </x:c>
    </x:row>
    <x:row r="237">
      <x:c r="A237" t="str">
        <x:f>IF(B237="","",IF(COUNTIFS('전기원장'!$A$5:$A$1004,B237,'전기원장'!$D$5:$D$1004,E237)&gt;0,"전기","당기"))</x:f>
      </x:c>
      <x:c r="D237" s="67"/>
      <x:c r="G237" s="68"/>
      <x:c r="K237" t="str">
        <x:f>IF(B237="","",IF(I237="확인 필요","붙임 문서 확인 후 거래 성격·기간·상대방·일회성 여부 확인","결의서명과 전기 대비 발생 건수·단가·시점 차이 검토"))</x:f>
      </x:c>
    </x:row>
    <x:row r="238">
      <x:c r="A238" t="str">
        <x:f>IF(B238="","",IF(COUNTIFS('전기원장'!$A$5:$A$1004,B238,'전기원장'!$D$5:$D$1004,E238)&gt;0,"전기","당기"))</x:f>
      </x:c>
      <x:c r="D238" s="67"/>
      <x:c r="G238" s="68"/>
      <x:c r="K238" t="str">
        <x:f>IF(B238="","",IF(I238="확인 필요","붙임 문서 확인 후 거래 성격·기간·상대방·일회성 여부 확인","결의서명과 전기 대비 발생 건수·단가·시점 차이 검토"))</x:f>
      </x:c>
    </x:row>
    <x:row r="239">
      <x:c r="A239" t="str">
        <x:f>IF(B239="","",IF(COUNTIFS('전기원장'!$A$5:$A$1004,B239,'전기원장'!$D$5:$D$1004,E239)&gt;0,"전기","당기"))</x:f>
      </x:c>
      <x:c r="D239" s="67"/>
      <x:c r="G239" s="68"/>
      <x:c r="K239" t="str">
        <x:f>IF(B239="","",IF(I239="확인 필요","붙임 문서 확인 후 거래 성격·기간·상대방·일회성 여부 확인","결의서명과 전기 대비 발생 건수·단가·시점 차이 검토"))</x:f>
      </x:c>
    </x:row>
    <x:row r="240">
      <x:c r="A240" t="str">
        <x:f>IF(B240="","",IF(COUNTIFS('전기원장'!$A$5:$A$1004,B240,'전기원장'!$D$5:$D$1004,E240)&gt;0,"전기","당기"))</x:f>
      </x:c>
      <x:c r="D240" s="67"/>
      <x:c r="G240" s="68"/>
      <x:c r="K240" t="str">
        <x:f>IF(B240="","",IF(I240="확인 필요","붙임 문서 확인 후 거래 성격·기간·상대방·일회성 여부 확인","결의서명과 전기 대비 발생 건수·단가·시점 차이 검토"))</x:f>
      </x:c>
    </x:row>
    <x:row r="241">
      <x:c r="A241" t="str">
        <x:f>IF(B241="","",IF(COUNTIFS('전기원장'!$A$5:$A$1004,B241,'전기원장'!$D$5:$D$1004,E241)&gt;0,"전기","당기"))</x:f>
      </x:c>
      <x:c r="D241" s="67"/>
      <x:c r="G241" s="68"/>
      <x:c r="K241" t="str">
        <x:f>IF(B241="","",IF(I241="확인 필요","붙임 문서 확인 후 거래 성격·기간·상대방·일회성 여부 확인","결의서명과 전기 대비 발생 건수·단가·시점 차이 검토"))</x:f>
      </x:c>
    </x:row>
    <x:row r="242">
      <x:c r="A242" t="str">
        <x:f>IF(B242="","",IF(COUNTIFS('전기원장'!$A$5:$A$1004,B242,'전기원장'!$D$5:$D$1004,E242)&gt;0,"전기","당기"))</x:f>
      </x:c>
      <x:c r="D242" s="67"/>
      <x:c r="G242" s="68"/>
      <x:c r="K242" t="str">
        <x:f>IF(B242="","",IF(I242="확인 필요","붙임 문서 확인 후 거래 성격·기간·상대방·일회성 여부 확인","결의서명과 전기 대비 발생 건수·단가·시점 차이 검토"))</x:f>
      </x:c>
    </x:row>
    <x:row r="243">
      <x:c r="A243" t="str">
        <x:f>IF(B243="","",IF(COUNTIFS('전기원장'!$A$5:$A$1004,B243,'전기원장'!$D$5:$D$1004,E243)&gt;0,"전기","당기"))</x:f>
      </x:c>
      <x:c r="D243" s="67"/>
      <x:c r="G243" s="68"/>
      <x:c r="K243" t="str">
        <x:f>IF(B243="","",IF(I243="확인 필요","붙임 문서 확인 후 거래 성격·기간·상대방·일회성 여부 확인","결의서명과 전기 대비 발생 건수·단가·시점 차이 검토"))</x:f>
      </x:c>
    </x:row>
    <x:row r="244">
      <x:c r="A244" t="str">
        <x:f>IF(B244="","",IF(COUNTIFS('전기원장'!$A$5:$A$1004,B244,'전기원장'!$D$5:$D$1004,E244)&gt;0,"전기","당기"))</x:f>
      </x:c>
      <x:c r="D244" s="67"/>
      <x:c r="G244" s="68"/>
      <x:c r="K244" t="str">
        <x:f>IF(B244="","",IF(I244="확인 필요","붙임 문서 확인 후 거래 성격·기간·상대방·일회성 여부 확인","결의서명과 전기 대비 발생 건수·단가·시점 차이 검토"))</x:f>
      </x:c>
    </x:row>
    <x:row r="245">
      <x:c r="A245" t="str">
        <x:f>IF(B245="","",IF(COUNTIFS('전기원장'!$A$5:$A$1004,B245,'전기원장'!$D$5:$D$1004,E245)&gt;0,"전기","당기"))</x:f>
      </x:c>
      <x:c r="D245" s="67"/>
      <x:c r="G245" s="68"/>
      <x:c r="K245" t="str">
        <x:f>IF(B245="","",IF(I245="확인 필요","붙임 문서 확인 후 거래 성격·기간·상대방·일회성 여부 확인","결의서명과 전기 대비 발생 건수·단가·시점 차이 검토"))</x:f>
      </x:c>
    </x:row>
    <x:row r="246">
      <x:c r="A246" t="str">
        <x:f>IF(B246="","",IF(COUNTIFS('전기원장'!$A$5:$A$1004,B246,'전기원장'!$D$5:$D$1004,E246)&gt;0,"전기","당기"))</x:f>
      </x:c>
      <x:c r="D246" s="67"/>
      <x:c r="G246" s="68"/>
      <x:c r="K246" t="str">
        <x:f>IF(B246="","",IF(I246="확인 필요","붙임 문서 확인 후 거래 성격·기간·상대방·일회성 여부 확인","결의서명과 전기 대비 발생 건수·단가·시점 차이 검토"))</x:f>
      </x:c>
    </x:row>
    <x:row r="247">
      <x:c r="A247" t="str">
        <x:f>IF(B247="","",IF(COUNTIFS('전기원장'!$A$5:$A$1004,B247,'전기원장'!$D$5:$D$1004,E247)&gt;0,"전기","당기"))</x:f>
      </x:c>
      <x:c r="D247" s="67"/>
      <x:c r="G247" s="68"/>
      <x:c r="K247" t="str">
        <x:f>IF(B247="","",IF(I247="확인 필요","붙임 문서 확인 후 거래 성격·기간·상대방·일회성 여부 확인","결의서명과 전기 대비 발생 건수·단가·시점 차이 검토"))</x:f>
      </x:c>
    </x:row>
    <x:row r="248">
      <x:c r="A248" t="str">
        <x:f>IF(B248="","",IF(COUNTIFS('전기원장'!$A$5:$A$1004,B248,'전기원장'!$D$5:$D$1004,E248)&gt;0,"전기","당기"))</x:f>
      </x:c>
      <x:c r="D248" s="67"/>
      <x:c r="G248" s="68"/>
      <x:c r="K248" t="str">
        <x:f>IF(B248="","",IF(I248="확인 필요","붙임 문서 확인 후 거래 성격·기간·상대방·일회성 여부 확인","결의서명과 전기 대비 발생 건수·단가·시점 차이 검토"))</x:f>
      </x:c>
    </x:row>
    <x:row r="249">
      <x:c r="A249" t="str">
        <x:f>IF(B249="","",IF(COUNTIFS('전기원장'!$A$5:$A$1004,B249,'전기원장'!$D$5:$D$1004,E249)&gt;0,"전기","당기"))</x:f>
      </x:c>
      <x:c r="D249" s="67"/>
      <x:c r="G249" s="68"/>
      <x:c r="K249" t="str">
        <x:f>IF(B249="","",IF(I249="확인 필요","붙임 문서 확인 후 거래 성격·기간·상대방·일회성 여부 확인","결의서명과 전기 대비 발생 건수·단가·시점 차이 검토"))</x:f>
      </x:c>
    </x:row>
    <x:row r="250">
      <x:c r="A250" t="str">
        <x:f>IF(B250="","",IF(COUNTIFS('전기원장'!$A$5:$A$1004,B250,'전기원장'!$D$5:$D$1004,E250)&gt;0,"전기","당기"))</x:f>
      </x:c>
      <x:c r="D250" s="67"/>
      <x:c r="G250" s="68"/>
      <x:c r="K250" t="str">
        <x:f>IF(B250="","",IF(I250="확인 필요","붙임 문서 확인 후 거래 성격·기간·상대방·일회성 여부 확인","결의서명과 전기 대비 발생 건수·단가·시점 차이 검토"))</x:f>
      </x:c>
    </x:row>
    <x:row r="251">
      <x:c r="A251" t="str">
        <x:f>IF(B251="","",IF(COUNTIFS('전기원장'!$A$5:$A$1004,B251,'전기원장'!$D$5:$D$1004,E251)&gt;0,"전기","당기"))</x:f>
      </x:c>
      <x:c r="D251" s="67"/>
      <x:c r="G251" s="68"/>
      <x:c r="K251" t="str">
        <x:f>IF(B251="","",IF(I251="확인 필요","붙임 문서 확인 후 거래 성격·기간·상대방·일회성 여부 확인","결의서명과 전기 대비 발생 건수·단가·시점 차이 검토"))</x:f>
      </x:c>
    </x:row>
    <x:row r="252">
      <x:c r="A252" t="str">
        <x:f>IF(B252="","",IF(COUNTIFS('전기원장'!$A$5:$A$1004,B252,'전기원장'!$D$5:$D$1004,E252)&gt;0,"전기","당기"))</x:f>
      </x:c>
      <x:c r="D252" s="67"/>
      <x:c r="G252" s="68"/>
      <x:c r="K252" t="str">
        <x:f>IF(B252="","",IF(I252="확인 필요","붙임 문서 확인 후 거래 성격·기간·상대방·일회성 여부 확인","결의서명과 전기 대비 발생 건수·단가·시점 차이 검토"))</x:f>
      </x:c>
    </x:row>
    <x:row r="253">
      <x:c r="A253" t="str">
        <x:f>IF(B253="","",IF(COUNTIFS('전기원장'!$A$5:$A$1004,B253,'전기원장'!$D$5:$D$1004,E253)&gt;0,"전기","당기"))</x:f>
      </x:c>
      <x:c r="D253" s="67"/>
      <x:c r="G253" s="68"/>
      <x:c r="K253" t="str">
        <x:f>IF(B253="","",IF(I253="확인 필요","붙임 문서 확인 후 거래 성격·기간·상대방·일회성 여부 확인","결의서명과 전기 대비 발생 건수·단가·시점 차이 검토"))</x:f>
      </x:c>
    </x:row>
    <x:row r="254">
      <x:c r="A254" t="str">
        <x:f>IF(B254="","",IF(COUNTIFS('전기원장'!$A$5:$A$1004,B254,'전기원장'!$D$5:$D$1004,E254)&gt;0,"전기","당기"))</x:f>
      </x:c>
      <x:c r="D254" s="67"/>
      <x:c r="G254" s="68"/>
      <x:c r="K254" t="str">
        <x:f>IF(B254="","",IF(I254="확인 필요","붙임 문서 확인 후 거래 성격·기간·상대방·일회성 여부 확인","결의서명과 전기 대비 발생 건수·단가·시점 차이 검토"))</x:f>
      </x:c>
    </x:row>
    <x:row r="255">
      <x:c r="A255" t="str">
        <x:f>IF(B255="","",IF(COUNTIFS('전기원장'!$A$5:$A$1004,B255,'전기원장'!$D$5:$D$1004,E255)&gt;0,"전기","당기"))</x:f>
      </x:c>
      <x:c r="D255" s="67"/>
      <x:c r="G255" s="68"/>
      <x:c r="K255" t="str">
        <x:f>IF(B255="","",IF(I255="확인 필요","붙임 문서 확인 후 거래 성격·기간·상대방·일회성 여부 확인","결의서명과 전기 대비 발생 건수·단가·시점 차이 검토"))</x:f>
      </x:c>
    </x:row>
    <x:row r="256">
      <x:c r="A256" t="str">
        <x:f>IF(B256="","",IF(COUNTIFS('전기원장'!$A$5:$A$1004,B256,'전기원장'!$D$5:$D$1004,E256)&gt;0,"전기","당기"))</x:f>
      </x:c>
      <x:c r="D256" s="67"/>
      <x:c r="G256" s="68"/>
      <x:c r="K256" t="str">
        <x:f>IF(B256="","",IF(I256="확인 필요","붙임 문서 확인 후 거래 성격·기간·상대방·일회성 여부 확인","결의서명과 전기 대비 발생 건수·단가·시점 차이 검토"))</x:f>
      </x:c>
    </x:row>
    <x:row r="257">
      <x:c r="A257" t="str">
        <x:f>IF(B257="","",IF(COUNTIFS('전기원장'!$A$5:$A$1004,B257,'전기원장'!$D$5:$D$1004,E257)&gt;0,"전기","당기"))</x:f>
      </x:c>
      <x:c r="D257" s="67"/>
      <x:c r="G257" s="68"/>
      <x:c r="K257" t="str">
        <x:f>IF(B257="","",IF(I257="확인 필요","붙임 문서 확인 후 거래 성격·기간·상대방·일회성 여부 확인","결의서명과 전기 대비 발생 건수·단가·시점 차이 검토"))</x:f>
      </x:c>
    </x:row>
    <x:row r="258">
      <x:c r="A258" t="str">
        <x:f>IF(B258="","",IF(COUNTIFS('전기원장'!$A$5:$A$1004,B258,'전기원장'!$D$5:$D$1004,E258)&gt;0,"전기","당기"))</x:f>
      </x:c>
      <x:c r="D258" s="67"/>
      <x:c r="G258" s="68"/>
      <x:c r="K258" t="str">
        <x:f>IF(B258="","",IF(I258="확인 필요","붙임 문서 확인 후 거래 성격·기간·상대방·일회성 여부 확인","결의서명과 전기 대비 발생 건수·단가·시점 차이 검토"))</x:f>
      </x:c>
    </x:row>
    <x:row r="259">
      <x:c r="A259" t="str">
        <x:f>IF(B259="","",IF(COUNTIFS('전기원장'!$A$5:$A$1004,B259,'전기원장'!$D$5:$D$1004,E259)&gt;0,"전기","당기"))</x:f>
      </x:c>
      <x:c r="D259" s="67"/>
      <x:c r="G259" s="68"/>
      <x:c r="K259" t="str">
        <x:f>IF(B259="","",IF(I259="확인 필요","붙임 문서 확인 후 거래 성격·기간·상대방·일회성 여부 확인","결의서명과 전기 대비 발생 건수·단가·시점 차이 검토"))</x:f>
      </x:c>
    </x:row>
    <x:row r="260">
      <x:c r="A260" t="str">
        <x:f>IF(B260="","",IF(COUNTIFS('전기원장'!$A$5:$A$1004,B260,'전기원장'!$D$5:$D$1004,E260)&gt;0,"전기","당기"))</x:f>
      </x:c>
      <x:c r="D260" s="67"/>
      <x:c r="G260" s="68"/>
      <x:c r="K260" t="str">
        <x:f>IF(B260="","",IF(I260="확인 필요","붙임 문서 확인 후 거래 성격·기간·상대방·일회성 여부 확인","결의서명과 전기 대비 발생 건수·단가·시점 차이 검토"))</x:f>
      </x:c>
    </x:row>
    <x:row r="261">
      <x:c r="A261" t="str">
        <x:f>IF(B261="","",IF(COUNTIFS('전기원장'!$A$5:$A$1004,B261,'전기원장'!$D$5:$D$1004,E261)&gt;0,"전기","당기"))</x:f>
      </x:c>
      <x:c r="D261" s="67"/>
      <x:c r="G261" s="68"/>
      <x:c r="K261" t="str">
        <x:f>IF(B261="","",IF(I261="확인 필요","붙임 문서 확인 후 거래 성격·기간·상대방·일회성 여부 확인","결의서명과 전기 대비 발생 건수·단가·시점 차이 검토"))</x:f>
      </x:c>
    </x:row>
    <x:row r="262">
      <x:c r="A262" t="str">
        <x:f>IF(B262="","",IF(COUNTIFS('전기원장'!$A$5:$A$1004,B262,'전기원장'!$D$5:$D$1004,E262)&gt;0,"전기","당기"))</x:f>
      </x:c>
      <x:c r="D262" s="67"/>
      <x:c r="G262" s="68"/>
      <x:c r="K262" t="str">
        <x:f>IF(B262="","",IF(I262="확인 필요","붙임 문서 확인 후 거래 성격·기간·상대방·일회성 여부 확인","결의서명과 전기 대비 발생 건수·단가·시점 차이 검토"))</x:f>
      </x:c>
    </x:row>
    <x:row r="263">
      <x:c r="A263" t="str">
        <x:f>IF(B263="","",IF(COUNTIFS('전기원장'!$A$5:$A$1004,B263,'전기원장'!$D$5:$D$1004,E263)&gt;0,"전기","당기"))</x:f>
      </x:c>
      <x:c r="D263" s="67"/>
      <x:c r="G263" s="68"/>
      <x:c r="K263" t="str">
        <x:f>IF(B263="","",IF(I263="확인 필요","붙임 문서 확인 후 거래 성격·기간·상대방·일회성 여부 확인","결의서명과 전기 대비 발생 건수·단가·시점 차이 검토"))</x:f>
      </x:c>
    </x:row>
    <x:row r="264">
      <x:c r="A264" t="str">
        <x:f>IF(B264="","",IF(COUNTIFS('전기원장'!$A$5:$A$1004,B264,'전기원장'!$D$5:$D$1004,E264)&gt;0,"전기","당기"))</x:f>
      </x:c>
      <x:c r="D264" s="67"/>
      <x:c r="G264" s="68"/>
      <x:c r="K264" t="str">
        <x:f>IF(B264="","",IF(I264="확인 필요","붙임 문서 확인 후 거래 성격·기간·상대방·일회성 여부 확인","결의서명과 전기 대비 발생 건수·단가·시점 차이 검토"))</x:f>
      </x:c>
    </x:row>
    <x:row r="265">
      <x:c r="A265" t="str">
        <x:f>IF(B265="","",IF(COUNTIFS('전기원장'!$A$5:$A$1004,B265,'전기원장'!$D$5:$D$1004,E265)&gt;0,"전기","당기"))</x:f>
      </x:c>
      <x:c r="D265" s="67"/>
      <x:c r="G265" s="68"/>
      <x:c r="K265" t="str">
        <x:f>IF(B265="","",IF(I265="확인 필요","붙임 문서 확인 후 거래 성격·기간·상대방·일회성 여부 확인","결의서명과 전기 대비 발생 건수·단가·시점 차이 검토"))</x:f>
      </x:c>
    </x:row>
    <x:row r="266">
      <x:c r="A266" t="str">
        <x:f>IF(B266="","",IF(COUNTIFS('전기원장'!$A$5:$A$1004,B266,'전기원장'!$D$5:$D$1004,E266)&gt;0,"전기","당기"))</x:f>
      </x:c>
      <x:c r="D266" s="67"/>
      <x:c r="G266" s="68"/>
      <x:c r="K266" t="str">
        <x:f>IF(B266="","",IF(I266="확인 필요","붙임 문서 확인 후 거래 성격·기간·상대방·일회성 여부 확인","결의서명과 전기 대비 발생 건수·단가·시점 차이 검토"))</x:f>
      </x:c>
    </x:row>
    <x:row r="267">
      <x:c r="A267" t="str">
        <x:f>IF(B267="","",IF(COUNTIFS('전기원장'!$A$5:$A$1004,B267,'전기원장'!$D$5:$D$1004,E267)&gt;0,"전기","당기"))</x:f>
      </x:c>
      <x:c r="D267" s="67"/>
      <x:c r="G267" s="68"/>
      <x:c r="K267" t="str">
        <x:f>IF(B267="","",IF(I267="확인 필요","붙임 문서 확인 후 거래 성격·기간·상대방·일회성 여부 확인","결의서명과 전기 대비 발생 건수·단가·시점 차이 검토"))</x:f>
      </x:c>
    </x:row>
    <x:row r="268">
      <x:c r="A268" t="str">
        <x:f>IF(B268="","",IF(COUNTIFS('전기원장'!$A$5:$A$1004,B268,'전기원장'!$D$5:$D$1004,E268)&gt;0,"전기","당기"))</x:f>
      </x:c>
      <x:c r="D268" s="67"/>
      <x:c r="G268" s="68"/>
      <x:c r="K268" t="str">
        <x:f>IF(B268="","",IF(I268="확인 필요","붙임 문서 확인 후 거래 성격·기간·상대방·일회성 여부 확인","결의서명과 전기 대비 발생 건수·단가·시점 차이 검토"))</x:f>
      </x:c>
    </x:row>
    <x:row r="269">
      <x:c r="A269" t="str">
        <x:f>IF(B269="","",IF(COUNTIFS('전기원장'!$A$5:$A$1004,B269,'전기원장'!$D$5:$D$1004,E269)&gt;0,"전기","당기"))</x:f>
      </x:c>
      <x:c r="D269" s="67"/>
      <x:c r="G269" s="68"/>
      <x:c r="K269" t="str">
        <x:f>IF(B269="","",IF(I269="확인 필요","붙임 문서 확인 후 거래 성격·기간·상대방·일회성 여부 확인","결의서명과 전기 대비 발생 건수·단가·시점 차이 검토"))</x:f>
      </x:c>
    </x:row>
    <x:row r="270">
      <x:c r="A270" t="str">
        <x:f>IF(B270="","",IF(COUNTIFS('전기원장'!$A$5:$A$1004,B270,'전기원장'!$D$5:$D$1004,E270)&gt;0,"전기","당기"))</x:f>
      </x:c>
      <x:c r="D270" s="67"/>
      <x:c r="G270" s="68"/>
      <x:c r="K270" t="str">
        <x:f>IF(B270="","",IF(I270="확인 필요","붙임 문서 확인 후 거래 성격·기간·상대방·일회성 여부 확인","결의서명과 전기 대비 발생 건수·단가·시점 차이 검토"))</x:f>
      </x:c>
    </x:row>
    <x:row r="271">
      <x:c r="A271" t="str">
        <x:f>IF(B271="","",IF(COUNTIFS('전기원장'!$A$5:$A$1004,B271,'전기원장'!$D$5:$D$1004,E271)&gt;0,"전기","당기"))</x:f>
      </x:c>
      <x:c r="D271" s="67"/>
      <x:c r="G271" s="68"/>
      <x:c r="K271" t="str">
        <x:f>IF(B271="","",IF(I271="확인 필요","붙임 문서 확인 후 거래 성격·기간·상대방·일회성 여부 확인","결의서명과 전기 대비 발생 건수·단가·시점 차이 검토"))</x:f>
      </x:c>
    </x:row>
    <x:row r="272">
      <x:c r="A272" t="str">
        <x:f>IF(B272="","",IF(COUNTIFS('전기원장'!$A$5:$A$1004,B272,'전기원장'!$D$5:$D$1004,E272)&gt;0,"전기","당기"))</x:f>
      </x:c>
      <x:c r="D272" s="67"/>
      <x:c r="G272" s="68"/>
      <x:c r="K272" t="str">
        <x:f>IF(B272="","",IF(I272="확인 필요","붙임 문서 확인 후 거래 성격·기간·상대방·일회성 여부 확인","결의서명과 전기 대비 발생 건수·단가·시점 차이 검토"))</x:f>
      </x:c>
    </x:row>
    <x:row r="273">
      <x:c r="A273" t="str">
        <x:f>IF(B273="","",IF(COUNTIFS('전기원장'!$A$5:$A$1004,B273,'전기원장'!$D$5:$D$1004,E273)&gt;0,"전기","당기"))</x:f>
      </x:c>
      <x:c r="D273" s="67"/>
      <x:c r="G273" s="68"/>
      <x:c r="K273" t="str">
        <x:f>IF(B273="","",IF(I273="확인 필요","붙임 문서 확인 후 거래 성격·기간·상대방·일회성 여부 확인","결의서명과 전기 대비 발생 건수·단가·시점 차이 검토"))</x:f>
      </x:c>
    </x:row>
    <x:row r="274">
      <x:c r="A274" t="str">
        <x:f>IF(B274="","",IF(COUNTIFS('전기원장'!$A$5:$A$1004,B274,'전기원장'!$D$5:$D$1004,E274)&gt;0,"전기","당기"))</x:f>
      </x:c>
      <x:c r="D274" s="67"/>
      <x:c r="G274" s="68"/>
      <x:c r="K274" t="str">
        <x:f>IF(B274="","",IF(I274="확인 필요","붙임 문서 확인 후 거래 성격·기간·상대방·일회성 여부 확인","결의서명과 전기 대비 발생 건수·단가·시점 차이 검토"))</x:f>
      </x:c>
    </x:row>
    <x:row r="275">
      <x:c r="A275" t="str">
        <x:f>IF(B275="","",IF(COUNTIFS('전기원장'!$A$5:$A$1004,B275,'전기원장'!$D$5:$D$1004,E275)&gt;0,"전기","당기"))</x:f>
      </x:c>
      <x:c r="D275" s="67"/>
      <x:c r="G275" s="68"/>
      <x:c r="K275" t="str">
        <x:f>IF(B275="","",IF(I275="확인 필요","붙임 문서 확인 후 거래 성격·기간·상대방·일회성 여부 확인","결의서명과 전기 대비 발생 건수·단가·시점 차이 검토"))</x:f>
      </x:c>
    </x:row>
    <x:row r="276">
      <x:c r="A276" t="str">
        <x:f>IF(B276="","",IF(COUNTIFS('전기원장'!$A$5:$A$1004,B276,'전기원장'!$D$5:$D$1004,E276)&gt;0,"전기","당기"))</x:f>
      </x:c>
      <x:c r="D276" s="67"/>
      <x:c r="G276" s="68"/>
      <x:c r="K276" t="str">
        <x:f>IF(B276="","",IF(I276="확인 필요","붙임 문서 확인 후 거래 성격·기간·상대방·일회성 여부 확인","결의서명과 전기 대비 발생 건수·단가·시점 차이 검토"))</x:f>
      </x:c>
    </x:row>
    <x:row r="277">
      <x:c r="A277" t="str">
        <x:f>IF(B277="","",IF(COUNTIFS('전기원장'!$A$5:$A$1004,B277,'전기원장'!$D$5:$D$1004,E277)&gt;0,"전기","당기"))</x:f>
      </x:c>
      <x:c r="D277" s="67"/>
      <x:c r="G277" s="68"/>
      <x:c r="K277" t="str">
        <x:f>IF(B277="","",IF(I277="확인 필요","붙임 문서 확인 후 거래 성격·기간·상대방·일회성 여부 확인","결의서명과 전기 대비 발생 건수·단가·시점 차이 검토"))</x:f>
      </x:c>
    </x:row>
    <x:row r="278">
      <x:c r="A278" t="str">
        <x:f>IF(B278="","",IF(COUNTIFS('전기원장'!$A$5:$A$1004,B278,'전기원장'!$D$5:$D$1004,E278)&gt;0,"전기","당기"))</x:f>
      </x:c>
      <x:c r="D278" s="67"/>
      <x:c r="G278" s="68"/>
      <x:c r="K278" t="str">
        <x:f>IF(B278="","",IF(I278="확인 필요","붙임 문서 확인 후 거래 성격·기간·상대방·일회성 여부 확인","결의서명과 전기 대비 발생 건수·단가·시점 차이 검토"))</x:f>
      </x:c>
    </x:row>
    <x:row r="279">
      <x:c r="A279" t="str">
        <x:f>IF(B279="","",IF(COUNTIFS('전기원장'!$A$5:$A$1004,B279,'전기원장'!$D$5:$D$1004,E279)&gt;0,"전기","당기"))</x:f>
      </x:c>
      <x:c r="D279" s="67"/>
      <x:c r="G279" s="68"/>
      <x:c r="K279" t="str">
        <x:f>IF(B279="","",IF(I279="확인 필요","붙임 문서 확인 후 거래 성격·기간·상대방·일회성 여부 확인","결의서명과 전기 대비 발생 건수·단가·시점 차이 검토"))</x:f>
      </x:c>
    </x:row>
    <x:row r="280">
      <x:c r="A280" t="str">
        <x:f>IF(B280="","",IF(COUNTIFS('전기원장'!$A$5:$A$1004,B280,'전기원장'!$D$5:$D$1004,E280)&gt;0,"전기","당기"))</x:f>
      </x:c>
      <x:c r="D280" s="67"/>
      <x:c r="G280" s="68"/>
      <x:c r="K280" t="str">
        <x:f>IF(B280="","",IF(I280="확인 필요","붙임 문서 확인 후 거래 성격·기간·상대방·일회성 여부 확인","결의서명과 전기 대비 발생 건수·단가·시점 차이 검토"))</x:f>
      </x:c>
    </x:row>
    <x:row r="281">
      <x:c r="A281" t="str">
        <x:f>IF(B281="","",IF(COUNTIFS('전기원장'!$A$5:$A$1004,B281,'전기원장'!$D$5:$D$1004,E281)&gt;0,"전기","당기"))</x:f>
      </x:c>
      <x:c r="D281" s="67"/>
      <x:c r="G281" s="68"/>
      <x:c r="K281" t="str">
        <x:f>IF(B281="","",IF(I281="확인 필요","붙임 문서 확인 후 거래 성격·기간·상대방·일회성 여부 확인","결의서명과 전기 대비 발생 건수·단가·시점 차이 검토"))</x:f>
      </x:c>
    </x:row>
    <x:row r="282">
      <x:c r="A282" t="str">
        <x:f>IF(B282="","",IF(COUNTIFS('전기원장'!$A$5:$A$1004,B282,'전기원장'!$D$5:$D$1004,E282)&gt;0,"전기","당기"))</x:f>
      </x:c>
      <x:c r="D282" s="67"/>
      <x:c r="G282" s="68"/>
      <x:c r="K282" t="str">
        <x:f>IF(B282="","",IF(I282="확인 필요","붙임 문서 확인 후 거래 성격·기간·상대방·일회성 여부 확인","결의서명과 전기 대비 발생 건수·단가·시점 차이 검토"))</x:f>
      </x:c>
    </x:row>
    <x:row r="283">
      <x:c r="A283" t="str">
        <x:f>IF(B283="","",IF(COUNTIFS('전기원장'!$A$5:$A$1004,B283,'전기원장'!$D$5:$D$1004,E283)&gt;0,"전기","당기"))</x:f>
      </x:c>
      <x:c r="D283" s="67"/>
      <x:c r="G283" s="68"/>
      <x:c r="K283" t="str">
        <x:f>IF(B283="","",IF(I283="확인 필요","붙임 문서 확인 후 거래 성격·기간·상대방·일회성 여부 확인","결의서명과 전기 대비 발생 건수·단가·시점 차이 검토"))</x:f>
      </x:c>
    </x:row>
    <x:row r="284">
      <x:c r="A284" t="str">
        <x:f>IF(B284="","",IF(COUNTIFS('전기원장'!$A$5:$A$1004,B284,'전기원장'!$D$5:$D$1004,E284)&gt;0,"전기","당기"))</x:f>
      </x:c>
      <x:c r="D284" s="67"/>
      <x:c r="G284" s="68"/>
      <x:c r="K284" t="str">
        <x:f>IF(B284="","",IF(I284="확인 필요","붙임 문서 확인 후 거래 성격·기간·상대방·일회성 여부 확인","결의서명과 전기 대비 발생 건수·단가·시점 차이 검토"))</x:f>
      </x:c>
    </x:row>
    <x:row r="285">
      <x:c r="A285" t="str">
        <x:f>IF(B285="","",IF(COUNTIFS('전기원장'!$A$5:$A$1004,B285,'전기원장'!$D$5:$D$1004,E285)&gt;0,"전기","당기"))</x:f>
      </x:c>
      <x:c r="D285" s="67"/>
      <x:c r="G285" s="68"/>
      <x:c r="K285" t="str">
        <x:f>IF(B285="","",IF(I285="확인 필요","붙임 문서 확인 후 거래 성격·기간·상대방·일회성 여부 확인","결의서명과 전기 대비 발생 건수·단가·시점 차이 검토"))</x:f>
      </x:c>
    </x:row>
    <x:row r="286">
      <x:c r="A286" t="str">
        <x:f>IF(B286="","",IF(COUNTIFS('전기원장'!$A$5:$A$1004,B286,'전기원장'!$D$5:$D$1004,E286)&gt;0,"전기","당기"))</x:f>
      </x:c>
      <x:c r="D286" s="67"/>
      <x:c r="G286" s="68"/>
      <x:c r="K286" t="str">
        <x:f>IF(B286="","",IF(I286="확인 필요","붙임 문서 확인 후 거래 성격·기간·상대방·일회성 여부 확인","결의서명과 전기 대비 발생 건수·단가·시점 차이 검토"))</x:f>
      </x:c>
    </x:row>
    <x:row r="287">
      <x:c r="A287" t="str">
        <x:f>IF(B287="","",IF(COUNTIFS('전기원장'!$A$5:$A$1004,B287,'전기원장'!$D$5:$D$1004,E287)&gt;0,"전기","당기"))</x:f>
      </x:c>
      <x:c r="D287" s="67"/>
      <x:c r="G287" s="68"/>
      <x:c r="K287" t="str">
        <x:f>IF(B287="","",IF(I287="확인 필요","붙임 문서 확인 후 거래 성격·기간·상대방·일회성 여부 확인","결의서명과 전기 대비 발생 건수·단가·시점 차이 검토"))</x:f>
      </x:c>
    </x:row>
    <x:row r="288">
      <x:c r="A288" t="str">
        <x:f>IF(B288="","",IF(COUNTIFS('전기원장'!$A$5:$A$1004,B288,'전기원장'!$D$5:$D$1004,E288)&gt;0,"전기","당기"))</x:f>
      </x:c>
      <x:c r="D288" s="67"/>
      <x:c r="G288" s="68"/>
      <x:c r="K288" t="str">
        <x:f>IF(B288="","",IF(I288="확인 필요","붙임 문서 확인 후 거래 성격·기간·상대방·일회성 여부 확인","결의서명과 전기 대비 발생 건수·단가·시점 차이 검토"))</x:f>
      </x:c>
    </x:row>
    <x:row r="289">
      <x:c r="A289" t="str">
        <x:f>IF(B289="","",IF(COUNTIFS('전기원장'!$A$5:$A$1004,B289,'전기원장'!$D$5:$D$1004,E289)&gt;0,"전기","당기"))</x:f>
      </x:c>
      <x:c r="D289" s="67"/>
      <x:c r="G289" s="68"/>
      <x:c r="K289" t="str">
        <x:f>IF(B289="","",IF(I289="확인 필요","붙임 문서 확인 후 거래 성격·기간·상대방·일회성 여부 확인","결의서명과 전기 대비 발생 건수·단가·시점 차이 검토"))</x:f>
      </x:c>
    </x:row>
    <x:row r="290">
      <x:c r="A290" t="str">
        <x:f>IF(B290="","",IF(COUNTIFS('전기원장'!$A$5:$A$1004,B290,'전기원장'!$D$5:$D$1004,E290)&gt;0,"전기","당기"))</x:f>
      </x:c>
      <x:c r="D290" s="67"/>
      <x:c r="G290" s="68"/>
      <x:c r="K290" t="str">
        <x:f>IF(B290="","",IF(I290="확인 필요","붙임 문서 확인 후 거래 성격·기간·상대방·일회성 여부 확인","결의서명과 전기 대비 발생 건수·단가·시점 차이 검토"))</x:f>
      </x:c>
    </x:row>
    <x:row r="291">
      <x:c r="A291" t="str">
        <x:f>IF(B291="","",IF(COUNTIFS('전기원장'!$A$5:$A$1004,B291,'전기원장'!$D$5:$D$1004,E291)&gt;0,"전기","당기"))</x:f>
      </x:c>
      <x:c r="D291" s="67"/>
      <x:c r="G291" s="68"/>
      <x:c r="K291" t="str">
        <x:f>IF(B291="","",IF(I291="확인 필요","붙임 문서 확인 후 거래 성격·기간·상대방·일회성 여부 확인","결의서명과 전기 대비 발생 건수·단가·시점 차이 검토"))</x:f>
      </x:c>
    </x:row>
    <x:row r="292">
      <x:c r="A292" t="str">
        <x:f>IF(B292="","",IF(COUNTIFS('전기원장'!$A$5:$A$1004,B292,'전기원장'!$D$5:$D$1004,E292)&gt;0,"전기","당기"))</x:f>
      </x:c>
      <x:c r="D292" s="67"/>
      <x:c r="G292" s="68"/>
      <x:c r="K292" t="str">
        <x:f>IF(B292="","",IF(I292="확인 필요","붙임 문서 확인 후 거래 성격·기간·상대방·일회성 여부 확인","결의서명과 전기 대비 발생 건수·단가·시점 차이 검토"))</x:f>
      </x:c>
    </x:row>
    <x:row r="293">
      <x:c r="A293" t="str">
        <x:f>IF(B293="","",IF(COUNTIFS('전기원장'!$A$5:$A$1004,B293,'전기원장'!$D$5:$D$1004,E293)&gt;0,"전기","당기"))</x:f>
      </x:c>
      <x:c r="D293" s="67"/>
      <x:c r="G293" s="68"/>
      <x:c r="K293" t="str">
        <x:f>IF(B293="","",IF(I293="확인 필요","붙임 문서 확인 후 거래 성격·기간·상대방·일회성 여부 확인","결의서명과 전기 대비 발생 건수·단가·시점 차이 검토"))</x:f>
      </x:c>
    </x:row>
    <x:row r="294">
      <x:c r="A294" t="str">
        <x:f>IF(B294="","",IF(COUNTIFS('전기원장'!$A$5:$A$1004,B294,'전기원장'!$D$5:$D$1004,E294)&gt;0,"전기","당기"))</x:f>
      </x:c>
      <x:c r="D294" s="67"/>
      <x:c r="G294" s="68"/>
      <x:c r="K294" t="str">
        <x:f>IF(B294="","",IF(I294="확인 필요","붙임 문서 확인 후 거래 성격·기간·상대방·일회성 여부 확인","결의서명과 전기 대비 발생 건수·단가·시점 차이 검토"))</x:f>
      </x:c>
    </x:row>
    <x:row r="295">
      <x:c r="A295" t="str">
        <x:f>IF(B295="","",IF(COUNTIFS('전기원장'!$A$5:$A$1004,B295,'전기원장'!$D$5:$D$1004,E295)&gt;0,"전기","당기"))</x:f>
      </x:c>
      <x:c r="D295" s="67"/>
      <x:c r="G295" s="68"/>
      <x:c r="K295" t="str">
        <x:f>IF(B295="","",IF(I295="확인 필요","붙임 문서 확인 후 거래 성격·기간·상대방·일회성 여부 확인","결의서명과 전기 대비 발생 건수·단가·시점 차이 검토"))</x:f>
      </x:c>
    </x:row>
    <x:row r="296">
      <x:c r="A296" t="str">
        <x:f>IF(B296="","",IF(COUNTIFS('전기원장'!$A$5:$A$1004,B296,'전기원장'!$D$5:$D$1004,E296)&gt;0,"전기","당기"))</x:f>
      </x:c>
      <x:c r="D296" s="67"/>
      <x:c r="G296" s="68"/>
      <x:c r="K296" t="str">
        <x:f>IF(B296="","",IF(I296="확인 필요","붙임 문서 확인 후 거래 성격·기간·상대방·일회성 여부 확인","결의서명과 전기 대비 발생 건수·단가·시점 차이 검토"))</x:f>
      </x:c>
    </x:row>
    <x:row r="297">
      <x:c r="A297" t="str">
        <x:f>IF(B297="","",IF(COUNTIFS('전기원장'!$A$5:$A$1004,B297,'전기원장'!$D$5:$D$1004,E297)&gt;0,"전기","당기"))</x:f>
      </x:c>
      <x:c r="D297" s="67"/>
      <x:c r="G297" s="68"/>
      <x:c r="K297" t="str">
        <x:f>IF(B297="","",IF(I297="확인 필요","붙임 문서 확인 후 거래 성격·기간·상대방·일회성 여부 확인","결의서명과 전기 대비 발생 건수·단가·시점 차이 검토"))</x:f>
      </x:c>
    </x:row>
    <x:row r="298">
      <x:c r="A298" t="str">
        <x:f>IF(B298="","",IF(COUNTIFS('전기원장'!$A$5:$A$1004,B298,'전기원장'!$D$5:$D$1004,E298)&gt;0,"전기","당기"))</x:f>
      </x:c>
      <x:c r="D298" s="67"/>
      <x:c r="G298" s="68"/>
      <x:c r="K298" t="str">
        <x:f>IF(B298="","",IF(I298="확인 필요","붙임 문서 확인 후 거래 성격·기간·상대방·일회성 여부 확인","결의서명과 전기 대비 발생 건수·단가·시점 차이 검토"))</x:f>
      </x:c>
    </x:row>
    <x:row r="299">
      <x:c r="A299" t="str">
        <x:f>IF(B299="","",IF(COUNTIFS('전기원장'!$A$5:$A$1004,B299,'전기원장'!$D$5:$D$1004,E299)&gt;0,"전기","당기"))</x:f>
      </x:c>
      <x:c r="D299" s="67"/>
      <x:c r="G299" s="68"/>
      <x:c r="K299" t="str">
        <x:f>IF(B299="","",IF(I299="확인 필요","붙임 문서 확인 후 거래 성격·기간·상대방·일회성 여부 확인","결의서명과 전기 대비 발생 건수·단가·시점 차이 검토"))</x:f>
      </x:c>
    </x:row>
    <x:row r="300">
      <x:c r="A300" t="str">
        <x:f>IF(B300="","",IF(COUNTIFS('전기원장'!$A$5:$A$1004,B300,'전기원장'!$D$5:$D$1004,E300)&gt;0,"전기","당기"))</x:f>
      </x:c>
      <x:c r="D300" s="67"/>
      <x:c r="G300" s="68"/>
      <x:c r="K300" t="str">
        <x:f>IF(B300="","",IF(I300="확인 필요","붙임 문서 확인 후 거래 성격·기간·상대방·일회성 여부 확인","결의서명과 전기 대비 발생 건수·단가·시점 차이 검토"))</x:f>
      </x:c>
    </x:row>
    <x:row r="301">
      <x:c r="A301" t="str">
        <x:f>IF(B301="","",IF(COUNTIFS('전기원장'!$A$5:$A$1004,B301,'전기원장'!$D$5:$D$1004,E301)&gt;0,"전기","당기"))</x:f>
      </x:c>
      <x:c r="D301" s="67"/>
      <x:c r="G301" s="68"/>
      <x:c r="K301" t="str">
        <x:f>IF(B301="","",IF(I301="확인 필요","붙임 문서 확인 후 거래 성격·기간·상대방·일회성 여부 확인","결의서명과 전기 대비 발생 건수·단가·시점 차이 검토"))</x:f>
      </x:c>
    </x:row>
    <x:row r="302">
      <x:c r="A302" t="str">
        <x:f>IF(B302="","",IF(COUNTIFS('전기원장'!$A$5:$A$1004,B302,'전기원장'!$D$5:$D$1004,E302)&gt;0,"전기","당기"))</x:f>
      </x:c>
      <x:c r="D302" s="67"/>
      <x:c r="G302" s="68"/>
      <x:c r="K302" t="str">
        <x:f>IF(B302="","",IF(I302="확인 필요","붙임 문서 확인 후 거래 성격·기간·상대방·일회성 여부 확인","결의서명과 전기 대비 발생 건수·단가·시점 차이 검토"))</x:f>
      </x:c>
    </x:row>
    <x:row r="303">
      <x:c r="A303" t="str">
        <x:f>IF(B303="","",IF(COUNTIFS('전기원장'!$A$5:$A$1004,B303,'전기원장'!$D$5:$D$1004,E303)&gt;0,"전기","당기"))</x:f>
      </x:c>
      <x:c r="D303" s="67"/>
      <x:c r="G303" s="68"/>
      <x:c r="K303" t="str">
        <x:f>IF(B303="","",IF(I303="확인 필요","붙임 문서 확인 후 거래 성격·기간·상대방·일회성 여부 확인","결의서명과 전기 대비 발생 건수·단가·시점 차이 검토"))</x:f>
      </x:c>
    </x:row>
    <x:row r="304">
      <x:c r="A304" t="str">
        <x:f>IF(B304="","",IF(COUNTIFS('전기원장'!$A$5:$A$1004,B304,'전기원장'!$D$5:$D$1004,E304)&gt;0,"전기","당기"))</x:f>
      </x:c>
      <x:c r="D304" s="67"/>
      <x:c r="G304" s="68"/>
      <x:c r="K304" t="str">
        <x:f>IF(B304="","",IF(I304="확인 필요","붙임 문서 확인 후 거래 성격·기간·상대방·일회성 여부 확인","결의서명과 전기 대비 발생 건수·단가·시점 차이 검토"))</x:f>
      </x:c>
    </x:row>
    <x:row r="305">
      <x:c r="A305" t="str">
        <x:f>IF(B305="","",IF(COUNTIFS('전기원장'!$A$5:$A$1004,B305,'전기원장'!$D$5:$D$1004,E305)&gt;0,"전기","당기"))</x:f>
      </x:c>
      <x:c r="D305" s="67"/>
      <x:c r="G305" s="68"/>
      <x:c r="K305" t="str">
        <x:f>IF(B305="","",IF(I305="확인 필요","붙임 문서 확인 후 거래 성격·기간·상대방·일회성 여부 확인","결의서명과 전기 대비 발생 건수·단가·시점 차이 검토"))</x:f>
      </x:c>
    </x:row>
    <x:row r="306">
      <x:c r="A306" t="str">
        <x:f>IF(B306="","",IF(COUNTIFS('전기원장'!$A$5:$A$1004,B306,'전기원장'!$D$5:$D$1004,E306)&gt;0,"전기","당기"))</x:f>
      </x:c>
      <x:c r="D306" s="67"/>
      <x:c r="G306" s="68"/>
      <x:c r="K306" t="str">
        <x:f>IF(B306="","",IF(I306="확인 필요","붙임 문서 확인 후 거래 성격·기간·상대방·일회성 여부 확인","결의서명과 전기 대비 발생 건수·단가·시점 차이 검토"))</x:f>
      </x:c>
    </x:row>
    <x:row r="307">
      <x:c r="A307" t="str">
        <x:f>IF(B307="","",IF(COUNTIFS('전기원장'!$A$5:$A$1004,B307,'전기원장'!$D$5:$D$1004,E307)&gt;0,"전기","당기"))</x:f>
      </x:c>
      <x:c r="D307" s="67"/>
      <x:c r="G307" s="68"/>
      <x:c r="K307" t="str">
        <x:f>IF(B307="","",IF(I307="확인 필요","붙임 문서 확인 후 거래 성격·기간·상대방·일회성 여부 확인","결의서명과 전기 대비 발생 건수·단가·시점 차이 검토"))</x:f>
      </x:c>
    </x:row>
    <x:row r="308">
      <x:c r="A308" t="str">
        <x:f>IF(B308="","",IF(COUNTIFS('전기원장'!$A$5:$A$1004,B308,'전기원장'!$D$5:$D$1004,E308)&gt;0,"전기","당기"))</x:f>
      </x:c>
      <x:c r="D308" s="67"/>
      <x:c r="G308" s="68"/>
      <x:c r="K308" t="str">
        <x:f>IF(B308="","",IF(I308="확인 필요","붙임 문서 확인 후 거래 성격·기간·상대방·일회성 여부 확인","결의서명과 전기 대비 발생 건수·단가·시점 차이 검토"))</x:f>
      </x:c>
    </x:row>
    <x:row r="309">
      <x:c r="A309" t="str">
        <x:f>IF(B309="","",IF(COUNTIFS('전기원장'!$A$5:$A$1004,B309,'전기원장'!$D$5:$D$1004,E309)&gt;0,"전기","당기"))</x:f>
      </x:c>
      <x:c r="D309" s="67"/>
      <x:c r="G309" s="68"/>
      <x:c r="K309" t="str">
        <x:f>IF(B309="","",IF(I309="확인 필요","붙임 문서 확인 후 거래 성격·기간·상대방·일회성 여부 확인","결의서명과 전기 대비 발생 건수·단가·시점 차이 검토"))</x:f>
      </x:c>
    </x:row>
    <x:row r="310">
      <x:c r="A310" t="str">
        <x:f>IF(B310="","",IF(COUNTIFS('전기원장'!$A$5:$A$1004,B310,'전기원장'!$D$5:$D$1004,E310)&gt;0,"전기","당기"))</x:f>
      </x:c>
      <x:c r="D310" s="67"/>
      <x:c r="G310" s="68"/>
      <x:c r="K310" t="str">
        <x:f>IF(B310="","",IF(I310="확인 필요","붙임 문서 확인 후 거래 성격·기간·상대방·일회성 여부 확인","결의서명과 전기 대비 발생 건수·단가·시점 차이 검토"))</x:f>
      </x:c>
    </x:row>
    <x:row r="311">
      <x:c r="A311" t="str">
        <x:f>IF(B311="","",IF(COUNTIFS('전기원장'!$A$5:$A$1004,B311,'전기원장'!$D$5:$D$1004,E311)&gt;0,"전기","당기"))</x:f>
      </x:c>
      <x:c r="D311" s="67"/>
      <x:c r="G311" s="68"/>
      <x:c r="K311" t="str">
        <x:f>IF(B311="","",IF(I311="확인 필요","붙임 문서 확인 후 거래 성격·기간·상대방·일회성 여부 확인","결의서명과 전기 대비 발생 건수·단가·시점 차이 검토"))</x:f>
      </x:c>
    </x:row>
    <x:row r="312">
      <x:c r="A312" t="str">
        <x:f>IF(B312="","",IF(COUNTIFS('전기원장'!$A$5:$A$1004,B312,'전기원장'!$D$5:$D$1004,E312)&gt;0,"전기","당기"))</x:f>
      </x:c>
      <x:c r="D312" s="67"/>
      <x:c r="G312" s="68"/>
      <x:c r="K312" t="str">
        <x:f>IF(B312="","",IF(I312="확인 필요","붙임 문서 확인 후 거래 성격·기간·상대방·일회성 여부 확인","결의서명과 전기 대비 발생 건수·단가·시점 차이 검토"))</x:f>
      </x:c>
    </x:row>
    <x:row r="313">
      <x:c r="A313" t="str">
        <x:f>IF(B313="","",IF(COUNTIFS('전기원장'!$A$5:$A$1004,B313,'전기원장'!$D$5:$D$1004,E313)&gt;0,"전기","당기"))</x:f>
      </x:c>
      <x:c r="D313" s="67"/>
      <x:c r="G313" s="68"/>
      <x:c r="K313" t="str">
        <x:f>IF(B313="","",IF(I313="확인 필요","붙임 문서 확인 후 거래 성격·기간·상대방·일회성 여부 확인","결의서명과 전기 대비 발생 건수·단가·시점 차이 검토"))</x:f>
      </x:c>
    </x:row>
    <x:row r="314">
      <x:c r="A314" t="str">
        <x:f>IF(B314="","",IF(COUNTIFS('전기원장'!$A$5:$A$1004,B314,'전기원장'!$D$5:$D$1004,E314)&gt;0,"전기","당기"))</x:f>
      </x:c>
      <x:c r="D314" s="67"/>
      <x:c r="G314" s="68"/>
      <x:c r="K314" t="str">
        <x:f>IF(B314="","",IF(I314="확인 필요","붙임 문서 확인 후 거래 성격·기간·상대방·일회성 여부 확인","결의서명과 전기 대비 발생 건수·단가·시점 차이 검토"))</x:f>
      </x:c>
    </x:row>
    <x:row r="315">
      <x:c r="A315" t="str">
        <x:f>IF(B315="","",IF(COUNTIFS('전기원장'!$A$5:$A$1004,B315,'전기원장'!$D$5:$D$1004,E315)&gt;0,"전기","당기"))</x:f>
      </x:c>
      <x:c r="D315" s="67"/>
      <x:c r="G315" s="68"/>
      <x:c r="K315" t="str">
        <x:f>IF(B315="","",IF(I315="확인 필요","붙임 문서 확인 후 거래 성격·기간·상대방·일회성 여부 확인","결의서명과 전기 대비 발생 건수·단가·시점 차이 검토"))</x:f>
      </x:c>
    </x:row>
    <x:row r="316">
      <x:c r="A316" t="str">
        <x:f>IF(B316="","",IF(COUNTIFS('전기원장'!$A$5:$A$1004,B316,'전기원장'!$D$5:$D$1004,E316)&gt;0,"전기","당기"))</x:f>
      </x:c>
      <x:c r="D316" s="67"/>
      <x:c r="G316" s="68"/>
      <x:c r="K316" t="str">
        <x:f>IF(B316="","",IF(I316="확인 필요","붙임 문서 확인 후 거래 성격·기간·상대방·일회성 여부 확인","결의서명과 전기 대비 발생 건수·단가·시점 차이 검토"))</x:f>
      </x:c>
    </x:row>
    <x:row r="317">
      <x:c r="A317" t="str">
        <x:f>IF(B317="","",IF(COUNTIFS('전기원장'!$A$5:$A$1004,B317,'전기원장'!$D$5:$D$1004,E317)&gt;0,"전기","당기"))</x:f>
      </x:c>
      <x:c r="D317" s="67"/>
      <x:c r="G317" s="68"/>
      <x:c r="K317" t="str">
        <x:f>IF(B317="","",IF(I317="확인 필요","붙임 문서 확인 후 거래 성격·기간·상대방·일회성 여부 확인","결의서명과 전기 대비 발생 건수·단가·시점 차이 검토"))</x:f>
      </x:c>
    </x:row>
    <x:row r="318">
      <x:c r="A318" t="str">
        <x:f>IF(B318="","",IF(COUNTIFS('전기원장'!$A$5:$A$1004,B318,'전기원장'!$D$5:$D$1004,E318)&gt;0,"전기","당기"))</x:f>
      </x:c>
      <x:c r="D318" s="67"/>
      <x:c r="G318" s="68"/>
      <x:c r="K318" t="str">
        <x:f>IF(B318="","",IF(I318="확인 필요","붙임 문서 확인 후 거래 성격·기간·상대방·일회성 여부 확인","결의서명과 전기 대비 발생 건수·단가·시점 차이 검토"))</x:f>
      </x:c>
    </x:row>
    <x:row r="319">
      <x:c r="A319" t="str">
        <x:f>IF(B319="","",IF(COUNTIFS('전기원장'!$A$5:$A$1004,B319,'전기원장'!$D$5:$D$1004,E319)&gt;0,"전기","당기"))</x:f>
      </x:c>
      <x:c r="D319" s="67"/>
      <x:c r="G319" s="68"/>
      <x:c r="K319" t="str">
        <x:f>IF(B319="","",IF(I319="확인 필요","붙임 문서 확인 후 거래 성격·기간·상대방·일회성 여부 확인","결의서명과 전기 대비 발생 건수·단가·시점 차이 검토"))</x:f>
      </x:c>
    </x:row>
    <x:row r="320">
      <x:c r="A320" t="str">
        <x:f>IF(B320="","",IF(COUNTIFS('전기원장'!$A$5:$A$1004,B320,'전기원장'!$D$5:$D$1004,E320)&gt;0,"전기","당기"))</x:f>
      </x:c>
      <x:c r="D320" s="67"/>
      <x:c r="G320" s="68"/>
      <x:c r="K320" t="str">
        <x:f>IF(B320="","",IF(I320="확인 필요","붙임 문서 확인 후 거래 성격·기간·상대방·일회성 여부 확인","결의서명과 전기 대비 발생 건수·단가·시점 차이 검토"))</x:f>
      </x:c>
    </x:row>
    <x:row r="321">
      <x:c r="A321" t="str">
        <x:f>IF(B321="","",IF(COUNTIFS('전기원장'!$A$5:$A$1004,B321,'전기원장'!$D$5:$D$1004,E321)&gt;0,"전기","당기"))</x:f>
      </x:c>
      <x:c r="D321" s="67"/>
      <x:c r="G321" s="68"/>
      <x:c r="K321" t="str">
        <x:f>IF(B321="","",IF(I321="확인 필요","붙임 문서 확인 후 거래 성격·기간·상대방·일회성 여부 확인","결의서명과 전기 대비 발생 건수·단가·시점 차이 검토"))</x:f>
      </x:c>
    </x:row>
    <x:row r="322">
      <x:c r="A322" t="str">
        <x:f>IF(B322="","",IF(COUNTIFS('전기원장'!$A$5:$A$1004,B322,'전기원장'!$D$5:$D$1004,E322)&gt;0,"전기","당기"))</x:f>
      </x:c>
      <x:c r="D322" s="67"/>
      <x:c r="G322" s="68"/>
      <x:c r="K322" t="str">
        <x:f>IF(B322="","",IF(I322="확인 필요","붙임 문서 확인 후 거래 성격·기간·상대방·일회성 여부 확인","결의서명과 전기 대비 발생 건수·단가·시점 차이 검토"))</x:f>
      </x:c>
    </x:row>
    <x:row r="323">
      <x:c r="A323" t="str">
        <x:f>IF(B323="","",IF(COUNTIFS('전기원장'!$A$5:$A$1004,B323,'전기원장'!$D$5:$D$1004,E323)&gt;0,"전기","당기"))</x:f>
      </x:c>
      <x:c r="D323" s="67"/>
      <x:c r="G323" s="68"/>
      <x:c r="K323" t="str">
        <x:f>IF(B323="","",IF(I323="확인 필요","붙임 문서 확인 후 거래 성격·기간·상대방·일회성 여부 확인","결의서명과 전기 대비 발생 건수·단가·시점 차이 검토"))</x:f>
      </x:c>
    </x:row>
    <x:row r="324">
      <x:c r="A324" t="str">
        <x:f>IF(B324="","",IF(COUNTIFS('전기원장'!$A$5:$A$1004,B324,'전기원장'!$D$5:$D$1004,E324)&gt;0,"전기","당기"))</x:f>
      </x:c>
      <x:c r="D324" s="67"/>
      <x:c r="G324" s="68"/>
      <x:c r="K324" t="str">
        <x:f>IF(B324="","",IF(I324="확인 필요","붙임 문서 확인 후 거래 성격·기간·상대방·일회성 여부 확인","결의서명과 전기 대비 발생 건수·단가·시점 차이 검토"))</x:f>
      </x:c>
    </x:row>
    <x:row r="325">
      <x:c r="A325" t="str">
        <x:f>IF(B325="","",IF(COUNTIFS('전기원장'!$A$5:$A$1004,B325,'전기원장'!$D$5:$D$1004,E325)&gt;0,"전기","당기"))</x:f>
      </x:c>
      <x:c r="D325" s="67"/>
      <x:c r="G325" s="68"/>
      <x:c r="K325" t="str">
        <x:f>IF(B325="","",IF(I325="확인 필요","붙임 문서 확인 후 거래 성격·기간·상대방·일회성 여부 확인","결의서명과 전기 대비 발생 건수·단가·시점 차이 검토"))</x:f>
      </x:c>
    </x:row>
    <x:row r="326">
      <x:c r="A326" t="str">
        <x:f>IF(B326="","",IF(COUNTIFS('전기원장'!$A$5:$A$1004,B326,'전기원장'!$D$5:$D$1004,E326)&gt;0,"전기","당기"))</x:f>
      </x:c>
      <x:c r="D326" s="67"/>
      <x:c r="G326" s="68"/>
      <x:c r="K326" t="str">
        <x:f>IF(B326="","",IF(I326="확인 필요","붙임 문서 확인 후 거래 성격·기간·상대방·일회성 여부 확인","결의서명과 전기 대비 발생 건수·단가·시점 차이 검토"))</x:f>
      </x:c>
    </x:row>
    <x:row r="327">
      <x:c r="A327" t="str">
        <x:f>IF(B327="","",IF(COUNTIFS('전기원장'!$A$5:$A$1004,B327,'전기원장'!$D$5:$D$1004,E327)&gt;0,"전기","당기"))</x:f>
      </x:c>
      <x:c r="D327" s="67"/>
      <x:c r="G327" s="68"/>
      <x:c r="K327" t="str">
        <x:f>IF(B327="","",IF(I327="확인 필요","붙임 문서 확인 후 거래 성격·기간·상대방·일회성 여부 확인","결의서명과 전기 대비 발생 건수·단가·시점 차이 검토"))</x:f>
      </x:c>
    </x:row>
    <x:row r="328">
      <x:c r="A328" t="str">
        <x:f>IF(B328="","",IF(COUNTIFS('전기원장'!$A$5:$A$1004,B328,'전기원장'!$D$5:$D$1004,E328)&gt;0,"전기","당기"))</x:f>
      </x:c>
      <x:c r="D328" s="67"/>
      <x:c r="G328" s="68"/>
      <x:c r="K328" t="str">
        <x:f>IF(B328="","",IF(I328="확인 필요","붙임 문서 확인 후 거래 성격·기간·상대방·일회성 여부 확인","결의서명과 전기 대비 발생 건수·단가·시점 차이 검토"))</x:f>
      </x:c>
    </x:row>
    <x:row r="329">
      <x:c r="A329" t="str">
        <x:f>IF(B329="","",IF(COUNTIFS('전기원장'!$A$5:$A$1004,B329,'전기원장'!$D$5:$D$1004,E329)&gt;0,"전기","당기"))</x:f>
      </x:c>
      <x:c r="D329" s="67"/>
      <x:c r="G329" s="68"/>
      <x:c r="K329" t="str">
        <x:f>IF(B329="","",IF(I329="확인 필요","붙임 문서 확인 후 거래 성격·기간·상대방·일회성 여부 확인","결의서명과 전기 대비 발생 건수·단가·시점 차이 검토"))</x:f>
      </x:c>
    </x:row>
    <x:row r="330">
      <x:c r="A330" t="str">
        <x:f>IF(B330="","",IF(COUNTIFS('전기원장'!$A$5:$A$1004,B330,'전기원장'!$D$5:$D$1004,E330)&gt;0,"전기","당기"))</x:f>
      </x:c>
      <x:c r="D330" s="67"/>
      <x:c r="G330" s="68"/>
      <x:c r="K330" t="str">
        <x:f>IF(B330="","",IF(I330="확인 필요","붙임 문서 확인 후 거래 성격·기간·상대방·일회성 여부 확인","결의서명과 전기 대비 발생 건수·단가·시점 차이 검토"))</x:f>
      </x:c>
    </x:row>
    <x:row r="331">
      <x:c r="A331" t="str">
        <x:f>IF(B331="","",IF(COUNTIFS('전기원장'!$A$5:$A$1004,B331,'전기원장'!$D$5:$D$1004,E331)&gt;0,"전기","당기"))</x:f>
      </x:c>
      <x:c r="D331" s="67"/>
      <x:c r="G331" s="68"/>
      <x:c r="K331" t="str">
        <x:f>IF(B331="","",IF(I331="확인 필요","붙임 문서 확인 후 거래 성격·기간·상대방·일회성 여부 확인","결의서명과 전기 대비 발생 건수·단가·시점 차이 검토"))</x:f>
      </x:c>
    </x:row>
    <x:row r="332">
      <x:c r="A332" t="str">
        <x:f>IF(B332="","",IF(COUNTIFS('전기원장'!$A$5:$A$1004,B332,'전기원장'!$D$5:$D$1004,E332)&gt;0,"전기","당기"))</x:f>
      </x:c>
      <x:c r="D332" s="67"/>
      <x:c r="G332" s="68"/>
      <x:c r="K332" t="str">
        <x:f>IF(B332="","",IF(I332="확인 필요","붙임 문서 확인 후 거래 성격·기간·상대방·일회성 여부 확인","결의서명과 전기 대비 발생 건수·단가·시점 차이 검토"))</x:f>
      </x:c>
    </x:row>
    <x:row r="333">
      <x:c r="A333" t="str">
        <x:f>IF(B333="","",IF(COUNTIFS('전기원장'!$A$5:$A$1004,B333,'전기원장'!$D$5:$D$1004,E333)&gt;0,"전기","당기"))</x:f>
      </x:c>
      <x:c r="D333" s="67"/>
      <x:c r="G333" s="68"/>
      <x:c r="K333" t="str">
        <x:f>IF(B333="","",IF(I333="확인 필요","붙임 문서 확인 후 거래 성격·기간·상대방·일회성 여부 확인","결의서명과 전기 대비 발생 건수·단가·시점 차이 검토"))</x:f>
      </x:c>
    </x:row>
    <x:row r="334">
      <x:c r="A334" t="str">
        <x:f>IF(B334="","",IF(COUNTIFS('전기원장'!$A$5:$A$1004,B334,'전기원장'!$D$5:$D$1004,E334)&gt;0,"전기","당기"))</x:f>
      </x:c>
      <x:c r="D334" s="67"/>
      <x:c r="G334" s="68"/>
      <x:c r="K334" t="str">
        <x:f>IF(B334="","",IF(I334="확인 필요","붙임 문서 확인 후 거래 성격·기간·상대방·일회성 여부 확인","결의서명과 전기 대비 발생 건수·단가·시점 차이 검토"))</x:f>
      </x:c>
    </x:row>
    <x:row r="335">
      <x:c r="A335" t="str">
        <x:f>IF(B335="","",IF(COUNTIFS('전기원장'!$A$5:$A$1004,B335,'전기원장'!$D$5:$D$1004,E335)&gt;0,"전기","당기"))</x:f>
      </x:c>
      <x:c r="D335" s="67"/>
      <x:c r="G335" s="68"/>
      <x:c r="K335" t="str">
        <x:f>IF(B335="","",IF(I335="확인 필요","붙임 문서 확인 후 거래 성격·기간·상대방·일회성 여부 확인","결의서명과 전기 대비 발생 건수·단가·시점 차이 검토"))</x:f>
      </x:c>
    </x:row>
    <x:row r="336">
      <x:c r="A336" t="str">
        <x:f>IF(B336="","",IF(COUNTIFS('전기원장'!$A$5:$A$1004,B336,'전기원장'!$D$5:$D$1004,E336)&gt;0,"전기","당기"))</x:f>
      </x:c>
      <x:c r="D336" s="67"/>
      <x:c r="G336" s="68"/>
      <x:c r="K336" t="str">
        <x:f>IF(B336="","",IF(I336="확인 필요","붙임 문서 확인 후 거래 성격·기간·상대방·일회성 여부 확인","결의서명과 전기 대비 발생 건수·단가·시점 차이 검토"))</x:f>
      </x:c>
    </x:row>
    <x:row r="337">
      <x:c r="A337" t="str">
        <x:f>IF(B337="","",IF(COUNTIFS('전기원장'!$A$5:$A$1004,B337,'전기원장'!$D$5:$D$1004,E337)&gt;0,"전기","당기"))</x:f>
      </x:c>
      <x:c r="D337" s="67"/>
      <x:c r="G337" s="68"/>
      <x:c r="K337" t="str">
        <x:f>IF(B337="","",IF(I337="확인 필요","붙임 문서 확인 후 거래 성격·기간·상대방·일회성 여부 확인","결의서명과 전기 대비 발생 건수·단가·시점 차이 검토"))</x:f>
      </x:c>
    </x:row>
    <x:row r="338">
      <x:c r="A338" t="str">
        <x:f>IF(B338="","",IF(COUNTIFS('전기원장'!$A$5:$A$1004,B338,'전기원장'!$D$5:$D$1004,E338)&gt;0,"전기","당기"))</x:f>
      </x:c>
      <x:c r="D338" s="67"/>
      <x:c r="G338" s="68"/>
      <x:c r="K338" t="str">
        <x:f>IF(B338="","",IF(I338="확인 필요","붙임 문서 확인 후 거래 성격·기간·상대방·일회성 여부 확인","결의서명과 전기 대비 발생 건수·단가·시점 차이 검토"))</x:f>
      </x:c>
    </x:row>
    <x:row r="339">
      <x:c r="A339" t="str">
        <x:f>IF(B339="","",IF(COUNTIFS('전기원장'!$A$5:$A$1004,B339,'전기원장'!$D$5:$D$1004,E339)&gt;0,"전기","당기"))</x:f>
      </x:c>
      <x:c r="D339" s="67"/>
      <x:c r="G339" s="68"/>
      <x:c r="K339" t="str">
        <x:f>IF(B339="","",IF(I339="확인 필요","붙임 문서 확인 후 거래 성격·기간·상대방·일회성 여부 확인","결의서명과 전기 대비 발생 건수·단가·시점 차이 검토"))</x:f>
      </x:c>
    </x:row>
    <x:row r="340">
      <x:c r="A340" t="str">
        <x:f>IF(B340="","",IF(COUNTIFS('전기원장'!$A$5:$A$1004,B340,'전기원장'!$D$5:$D$1004,E340)&gt;0,"전기","당기"))</x:f>
      </x:c>
      <x:c r="D340" s="67"/>
      <x:c r="G340" s="68"/>
      <x:c r="K340" t="str">
        <x:f>IF(B340="","",IF(I340="확인 필요","붙임 문서 확인 후 거래 성격·기간·상대방·일회성 여부 확인","결의서명과 전기 대비 발생 건수·단가·시점 차이 검토"))</x:f>
      </x:c>
    </x:row>
    <x:row r="341">
      <x:c r="A341" t="str">
        <x:f>IF(B341="","",IF(COUNTIFS('전기원장'!$A$5:$A$1004,B341,'전기원장'!$D$5:$D$1004,E341)&gt;0,"전기","당기"))</x:f>
      </x:c>
      <x:c r="D341" s="67"/>
      <x:c r="G341" s="68"/>
      <x:c r="K341" t="str">
        <x:f>IF(B341="","",IF(I341="확인 필요","붙임 문서 확인 후 거래 성격·기간·상대방·일회성 여부 확인","결의서명과 전기 대비 발생 건수·단가·시점 차이 검토"))</x:f>
      </x:c>
    </x:row>
    <x:row r="342">
      <x:c r="A342" t="str">
        <x:f>IF(B342="","",IF(COUNTIFS('전기원장'!$A$5:$A$1004,B342,'전기원장'!$D$5:$D$1004,E342)&gt;0,"전기","당기"))</x:f>
      </x:c>
      <x:c r="D342" s="67"/>
      <x:c r="G342" s="68"/>
      <x:c r="K342" t="str">
        <x:f>IF(B342="","",IF(I342="확인 필요","붙임 문서 확인 후 거래 성격·기간·상대방·일회성 여부 확인","결의서명과 전기 대비 발생 건수·단가·시점 차이 검토"))</x:f>
      </x:c>
    </x:row>
    <x:row r="343">
      <x:c r="A343" t="str">
        <x:f>IF(B343="","",IF(COUNTIFS('전기원장'!$A$5:$A$1004,B343,'전기원장'!$D$5:$D$1004,E343)&gt;0,"전기","당기"))</x:f>
      </x:c>
      <x:c r="D343" s="67"/>
      <x:c r="G343" s="68"/>
      <x:c r="K343" t="str">
        <x:f>IF(B343="","",IF(I343="확인 필요","붙임 문서 확인 후 거래 성격·기간·상대방·일회성 여부 확인","결의서명과 전기 대비 발생 건수·단가·시점 차이 검토"))</x:f>
      </x:c>
    </x:row>
    <x:row r="344">
      <x:c r="A344" t="str">
        <x:f>IF(B344="","",IF(COUNTIFS('전기원장'!$A$5:$A$1004,B344,'전기원장'!$D$5:$D$1004,E344)&gt;0,"전기","당기"))</x:f>
      </x:c>
      <x:c r="D344" s="67"/>
      <x:c r="G344" s="68"/>
      <x:c r="K344" t="str">
        <x:f>IF(B344="","",IF(I344="확인 필요","붙임 문서 확인 후 거래 성격·기간·상대방·일회성 여부 확인","결의서명과 전기 대비 발생 건수·단가·시점 차이 검토"))</x:f>
      </x:c>
    </x:row>
    <x:row r="345">
      <x:c r="A345" t="str">
        <x:f>IF(B345="","",IF(COUNTIFS('전기원장'!$A$5:$A$1004,B345,'전기원장'!$D$5:$D$1004,E345)&gt;0,"전기","당기"))</x:f>
      </x:c>
      <x:c r="D345" s="67"/>
      <x:c r="G345" s="68"/>
      <x:c r="K345" t="str">
        <x:f>IF(B345="","",IF(I345="확인 필요","붙임 문서 확인 후 거래 성격·기간·상대방·일회성 여부 확인","결의서명과 전기 대비 발생 건수·단가·시점 차이 검토"))</x:f>
      </x:c>
    </x:row>
    <x:row r="346">
      <x:c r="A346" t="str">
        <x:f>IF(B346="","",IF(COUNTIFS('전기원장'!$A$5:$A$1004,B346,'전기원장'!$D$5:$D$1004,E346)&gt;0,"전기","당기"))</x:f>
      </x:c>
      <x:c r="D346" s="67"/>
      <x:c r="G346" s="68"/>
      <x:c r="K346" t="str">
        <x:f>IF(B346="","",IF(I346="확인 필요","붙임 문서 확인 후 거래 성격·기간·상대방·일회성 여부 확인","결의서명과 전기 대비 발생 건수·단가·시점 차이 검토"))</x:f>
      </x:c>
    </x:row>
    <x:row r="347">
      <x:c r="A347" t="str">
        <x:f>IF(B347="","",IF(COUNTIFS('전기원장'!$A$5:$A$1004,B347,'전기원장'!$D$5:$D$1004,E347)&gt;0,"전기","당기"))</x:f>
      </x:c>
      <x:c r="D347" s="67"/>
      <x:c r="G347" s="68"/>
      <x:c r="K347" t="str">
        <x:f>IF(B347="","",IF(I347="확인 필요","붙임 문서 확인 후 거래 성격·기간·상대방·일회성 여부 확인","결의서명과 전기 대비 발생 건수·단가·시점 차이 검토"))</x:f>
      </x:c>
    </x:row>
    <x:row r="348">
      <x:c r="A348" t="str">
        <x:f>IF(B348="","",IF(COUNTIFS('전기원장'!$A$5:$A$1004,B348,'전기원장'!$D$5:$D$1004,E348)&gt;0,"전기","당기"))</x:f>
      </x:c>
      <x:c r="D348" s="67"/>
      <x:c r="G348" s="68"/>
      <x:c r="K348" t="str">
        <x:f>IF(B348="","",IF(I348="확인 필요","붙임 문서 확인 후 거래 성격·기간·상대방·일회성 여부 확인","결의서명과 전기 대비 발생 건수·단가·시점 차이 검토"))</x:f>
      </x:c>
    </x:row>
    <x:row r="349">
      <x:c r="A349" t="str">
        <x:f>IF(B349="","",IF(COUNTIFS('전기원장'!$A$5:$A$1004,B349,'전기원장'!$D$5:$D$1004,E349)&gt;0,"전기","당기"))</x:f>
      </x:c>
      <x:c r="D349" s="67"/>
      <x:c r="G349" s="68"/>
      <x:c r="K349" t="str">
        <x:f>IF(B349="","",IF(I349="확인 필요","붙임 문서 확인 후 거래 성격·기간·상대방·일회성 여부 확인","결의서명과 전기 대비 발생 건수·단가·시점 차이 검토"))</x:f>
      </x:c>
    </x:row>
    <x:row r="350">
      <x:c r="A350" t="str">
        <x:f>IF(B350="","",IF(COUNTIFS('전기원장'!$A$5:$A$1004,B350,'전기원장'!$D$5:$D$1004,E350)&gt;0,"전기","당기"))</x:f>
      </x:c>
      <x:c r="D350" s="67"/>
      <x:c r="G350" s="68"/>
      <x:c r="K350" t="str">
        <x:f>IF(B350="","",IF(I350="확인 필요","붙임 문서 확인 후 거래 성격·기간·상대방·일회성 여부 확인","결의서명과 전기 대비 발생 건수·단가·시점 차이 검토"))</x:f>
      </x:c>
    </x:row>
    <x:row r="351">
      <x:c r="A351" t="str">
        <x:f>IF(B351="","",IF(COUNTIFS('전기원장'!$A$5:$A$1004,B351,'전기원장'!$D$5:$D$1004,E351)&gt;0,"전기","당기"))</x:f>
      </x:c>
      <x:c r="D351" s="67"/>
      <x:c r="G351" s="68"/>
      <x:c r="K351" t="str">
        <x:f>IF(B351="","",IF(I351="확인 필요","붙임 문서 확인 후 거래 성격·기간·상대방·일회성 여부 확인","결의서명과 전기 대비 발생 건수·단가·시점 차이 검토"))</x:f>
      </x:c>
    </x:row>
    <x:row r="352">
      <x:c r="A352" t="str">
        <x:f>IF(B352="","",IF(COUNTIFS('전기원장'!$A$5:$A$1004,B352,'전기원장'!$D$5:$D$1004,E352)&gt;0,"전기","당기"))</x:f>
      </x:c>
      <x:c r="D352" s="67"/>
      <x:c r="G352" s="68"/>
      <x:c r="K352" t="str">
        <x:f>IF(B352="","",IF(I352="확인 필요","붙임 문서 확인 후 거래 성격·기간·상대방·일회성 여부 확인","결의서명과 전기 대비 발생 건수·단가·시점 차이 검토"))</x:f>
      </x:c>
    </x:row>
    <x:row r="353">
      <x:c r="A353" t="str">
        <x:f>IF(B353="","",IF(COUNTIFS('전기원장'!$A$5:$A$1004,B353,'전기원장'!$D$5:$D$1004,E353)&gt;0,"전기","당기"))</x:f>
      </x:c>
      <x:c r="D353" s="67"/>
      <x:c r="G353" s="68"/>
      <x:c r="K353" t="str">
        <x:f>IF(B353="","",IF(I353="확인 필요","붙임 문서 확인 후 거래 성격·기간·상대방·일회성 여부 확인","결의서명과 전기 대비 발생 건수·단가·시점 차이 검토"))</x:f>
      </x:c>
    </x:row>
    <x:row r="354">
      <x:c r="A354" t="str">
        <x:f>IF(B354="","",IF(COUNTIFS('전기원장'!$A$5:$A$1004,B354,'전기원장'!$D$5:$D$1004,E354)&gt;0,"전기","당기"))</x:f>
      </x:c>
      <x:c r="D354" s="67"/>
      <x:c r="G354" s="68"/>
      <x:c r="K354" t="str">
        <x:f>IF(B354="","",IF(I354="확인 필요","붙임 문서 확인 후 거래 성격·기간·상대방·일회성 여부 확인","결의서명과 전기 대비 발생 건수·단가·시점 차이 검토"))</x:f>
      </x:c>
    </x:row>
    <x:row r="355">
      <x:c r="A355" t="str">
        <x:f>IF(B355="","",IF(COUNTIFS('전기원장'!$A$5:$A$1004,B355,'전기원장'!$D$5:$D$1004,E355)&gt;0,"전기","당기"))</x:f>
      </x:c>
      <x:c r="D355" s="67"/>
      <x:c r="G355" s="68"/>
      <x:c r="K355" t="str">
        <x:f>IF(B355="","",IF(I355="확인 필요","붙임 문서 확인 후 거래 성격·기간·상대방·일회성 여부 확인","결의서명과 전기 대비 발생 건수·단가·시점 차이 검토"))</x:f>
      </x:c>
    </x:row>
    <x:row r="356">
      <x:c r="A356" t="str">
        <x:f>IF(B356="","",IF(COUNTIFS('전기원장'!$A$5:$A$1004,B356,'전기원장'!$D$5:$D$1004,E356)&gt;0,"전기","당기"))</x:f>
      </x:c>
      <x:c r="D356" s="67"/>
      <x:c r="G356" s="68"/>
      <x:c r="K356" t="str">
        <x:f>IF(B356="","",IF(I356="확인 필요","붙임 문서 확인 후 거래 성격·기간·상대방·일회성 여부 확인","결의서명과 전기 대비 발생 건수·단가·시점 차이 검토"))</x:f>
      </x:c>
    </x:row>
    <x:row r="357">
      <x:c r="A357" t="str">
        <x:f>IF(B357="","",IF(COUNTIFS('전기원장'!$A$5:$A$1004,B357,'전기원장'!$D$5:$D$1004,E357)&gt;0,"전기","당기"))</x:f>
      </x:c>
      <x:c r="D357" s="67"/>
      <x:c r="G357" s="68"/>
      <x:c r="K357" t="str">
        <x:f>IF(B357="","",IF(I357="확인 필요","붙임 문서 확인 후 거래 성격·기간·상대방·일회성 여부 확인","결의서명과 전기 대비 발생 건수·단가·시점 차이 검토"))</x:f>
      </x:c>
    </x:row>
    <x:row r="358">
      <x:c r="A358" t="str">
        <x:f>IF(B358="","",IF(COUNTIFS('전기원장'!$A$5:$A$1004,B358,'전기원장'!$D$5:$D$1004,E358)&gt;0,"전기","당기"))</x:f>
      </x:c>
      <x:c r="D358" s="67"/>
      <x:c r="G358" s="68"/>
      <x:c r="K358" t="str">
        <x:f>IF(B358="","",IF(I358="확인 필요","붙임 문서 확인 후 거래 성격·기간·상대방·일회성 여부 확인","결의서명과 전기 대비 발생 건수·단가·시점 차이 검토"))</x:f>
      </x:c>
    </x:row>
    <x:row r="359">
      <x:c r="A359" t="str">
        <x:f>IF(B359="","",IF(COUNTIFS('전기원장'!$A$5:$A$1004,B359,'전기원장'!$D$5:$D$1004,E359)&gt;0,"전기","당기"))</x:f>
      </x:c>
      <x:c r="D359" s="67"/>
      <x:c r="G359" s="68"/>
      <x:c r="K359" t="str">
        <x:f>IF(B359="","",IF(I359="확인 필요","붙임 문서 확인 후 거래 성격·기간·상대방·일회성 여부 확인","결의서명과 전기 대비 발생 건수·단가·시점 차이 검토"))</x:f>
      </x:c>
    </x:row>
    <x:row r="360">
      <x:c r="A360" t="str">
        <x:f>IF(B360="","",IF(COUNTIFS('전기원장'!$A$5:$A$1004,B360,'전기원장'!$D$5:$D$1004,E360)&gt;0,"전기","당기"))</x:f>
      </x:c>
      <x:c r="D360" s="67"/>
      <x:c r="G360" s="68"/>
      <x:c r="K360" t="str">
        <x:f>IF(B360="","",IF(I360="확인 필요","붙임 문서 확인 후 거래 성격·기간·상대방·일회성 여부 확인","결의서명과 전기 대비 발생 건수·단가·시점 차이 검토"))</x:f>
      </x:c>
    </x:row>
    <x:row r="361">
      <x:c r="A361" t="str">
        <x:f>IF(B361="","",IF(COUNTIFS('전기원장'!$A$5:$A$1004,B361,'전기원장'!$D$5:$D$1004,E361)&gt;0,"전기","당기"))</x:f>
      </x:c>
      <x:c r="D361" s="67"/>
      <x:c r="G361" s="68"/>
      <x:c r="K361" t="str">
        <x:f>IF(B361="","",IF(I361="확인 필요","붙임 문서 확인 후 거래 성격·기간·상대방·일회성 여부 확인","결의서명과 전기 대비 발생 건수·단가·시점 차이 검토"))</x:f>
      </x:c>
    </x:row>
    <x:row r="362">
      <x:c r="A362" t="str">
        <x:f>IF(B362="","",IF(COUNTIFS('전기원장'!$A$5:$A$1004,B362,'전기원장'!$D$5:$D$1004,E362)&gt;0,"전기","당기"))</x:f>
      </x:c>
      <x:c r="D362" s="67"/>
      <x:c r="G362" s="68"/>
      <x:c r="K362" t="str">
        <x:f>IF(B362="","",IF(I362="확인 필요","붙임 문서 확인 후 거래 성격·기간·상대방·일회성 여부 확인","결의서명과 전기 대비 발생 건수·단가·시점 차이 검토"))</x:f>
      </x:c>
    </x:row>
    <x:row r="363">
      <x:c r="A363" t="str">
        <x:f>IF(B363="","",IF(COUNTIFS('전기원장'!$A$5:$A$1004,B363,'전기원장'!$D$5:$D$1004,E363)&gt;0,"전기","당기"))</x:f>
      </x:c>
      <x:c r="D363" s="67"/>
      <x:c r="G363" s="68"/>
      <x:c r="K363" t="str">
        <x:f>IF(B363="","",IF(I363="확인 필요","붙임 문서 확인 후 거래 성격·기간·상대방·일회성 여부 확인","결의서명과 전기 대비 발생 건수·단가·시점 차이 검토"))</x:f>
      </x:c>
    </x:row>
    <x:row r="364">
      <x:c r="A364" t="str">
        <x:f>IF(B364="","",IF(COUNTIFS('전기원장'!$A$5:$A$1004,B364,'전기원장'!$D$5:$D$1004,E364)&gt;0,"전기","당기"))</x:f>
      </x:c>
      <x:c r="D364" s="67"/>
      <x:c r="G364" s="68"/>
      <x:c r="K364" t="str">
        <x:f>IF(B364="","",IF(I364="확인 필요","붙임 문서 확인 후 거래 성격·기간·상대방·일회성 여부 확인","결의서명과 전기 대비 발생 건수·단가·시점 차이 검토"))</x:f>
      </x:c>
    </x:row>
    <x:row r="365">
      <x:c r="A365" t="str">
        <x:f>IF(B365="","",IF(COUNTIFS('전기원장'!$A$5:$A$1004,B365,'전기원장'!$D$5:$D$1004,E365)&gt;0,"전기","당기"))</x:f>
      </x:c>
      <x:c r="D365" s="67"/>
      <x:c r="G365" s="68"/>
      <x:c r="K365" t="str">
        <x:f>IF(B365="","",IF(I365="확인 필요","붙임 문서 확인 후 거래 성격·기간·상대방·일회성 여부 확인","결의서명과 전기 대비 발생 건수·단가·시점 차이 검토"))</x:f>
      </x:c>
    </x:row>
    <x:row r="366">
      <x:c r="A366" t="str">
        <x:f>IF(B366="","",IF(COUNTIFS('전기원장'!$A$5:$A$1004,B366,'전기원장'!$D$5:$D$1004,E366)&gt;0,"전기","당기"))</x:f>
      </x:c>
      <x:c r="D366" s="67"/>
      <x:c r="G366" s="68"/>
      <x:c r="K366" t="str">
        <x:f>IF(B366="","",IF(I366="확인 필요","붙임 문서 확인 후 거래 성격·기간·상대방·일회성 여부 확인","결의서명과 전기 대비 발생 건수·단가·시점 차이 검토"))</x:f>
      </x:c>
    </x:row>
    <x:row r="367">
      <x:c r="A367" t="str">
        <x:f>IF(B367="","",IF(COUNTIFS('전기원장'!$A$5:$A$1004,B367,'전기원장'!$D$5:$D$1004,E367)&gt;0,"전기","당기"))</x:f>
      </x:c>
      <x:c r="D367" s="67"/>
      <x:c r="G367" s="68"/>
      <x:c r="K367" t="str">
        <x:f>IF(B367="","",IF(I367="확인 필요","붙임 문서 확인 후 거래 성격·기간·상대방·일회성 여부 확인","결의서명과 전기 대비 발생 건수·단가·시점 차이 검토"))</x:f>
      </x:c>
    </x:row>
    <x:row r="368">
      <x:c r="A368" t="str">
        <x:f>IF(B368="","",IF(COUNTIFS('전기원장'!$A$5:$A$1004,B368,'전기원장'!$D$5:$D$1004,E368)&gt;0,"전기","당기"))</x:f>
      </x:c>
      <x:c r="D368" s="67"/>
      <x:c r="G368" s="68"/>
      <x:c r="K368" t="str">
        <x:f>IF(B368="","",IF(I368="확인 필요","붙임 문서 확인 후 거래 성격·기간·상대방·일회성 여부 확인","결의서명과 전기 대비 발생 건수·단가·시점 차이 검토"))</x:f>
      </x:c>
    </x:row>
    <x:row r="369">
      <x:c r="A369" t="str">
        <x:f>IF(B369="","",IF(COUNTIFS('전기원장'!$A$5:$A$1004,B369,'전기원장'!$D$5:$D$1004,E369)&gt;0,"전기","당기"))</x:f>
      </x:c>
      <x:c r="D369" s="67"/>
      <x:c r="G369" s="68"/>
      <x:c r="K369" t="str">
        <x:f>IF(B369="","",IF(I369="확인 필요","붙임 문서 확인 후 거래 성격·기간·상대방·일회성 여부 확인","결의서명과 전기 대비 발생 건수·단가·시점 차이 검토"))</x:f>
      </x:c>
    </x:row>
    <x:row r="370">
      <x:c r="A370" t="str">
        <x:f>IF(B370="","",IF(COUNTIFS('전기원장'!$A$5:$A$1004,B370,'전기원장'!$D$5:$D$1004,E370)&gt;0,"전기","당기"))</x:f>
      </x:c>
      <x:c r="D370" s="67"/>
      <x:c r="G370" s="68"/>
      <x:c r="K370" t="str">
        <x:f>IF(B370="","",IF(I370="확인 필요","붙임 문서 확인 후 거래 성격·기간·상대방·일회성 여부 확인","결의서명과 전기 대비 발생 건수·단가·시점 차이 검토"))</x:f>
      </x:c>
    </x:row>
    <x:row r="371">
      <x:c r="A371" t="str">
        <x:f>IF(B371="","",IF(COUNTIFS('전기원장'!$A$5:$A$1004,B371,'전기원장'!$D$5:$D$1004,E371)&gt;0,"전기","당기"))</x:f>
      </x:c>
      <x:c r="D371" s="67"/>
      <x:c r="G371" s="68"/>
      <x:c r="K371" t="str">
        <x:f>IF(B371="","",IF(I371="확인 필요","붙임 문서 확인 후 거래 성격·기간·상대방·일회성 여부 확인","결의서명과 전기 대비 발생 건수·단가·시점 차이 검토"))</x:f>
      </x:c>
    </x:row>
    <x:row r="372">
      <x:c r="A372" t="str">
        <x:f>IF(B372="","",IF(COUNTIFS('전기원장'!$A$5:$A$1004,B372,'전기원장'!$D$5:$D$1004,E372)&gt;0,"전기","당기"))</x:f>
      </x:c>
      <x:c r="D372" s="67"/>
      <x:c r="G372" s="68"/>
      <x:c r="K372" t="str">
        <x:f>IF(B372="","",IF(I372="확인 필요","붙임 문서 확인 후 거래 성격·기간·상대방·일회성 여부 확인","결의서명과 전기 대비 발생 건수·단가·시점 차이 검토"))</x:f>
      </x:c>
    </x:row>
    <x:row r="373">
      <x:c r="A373" t="str">
        <x:f>IF(B373="","",IF(COUNTIFS('전기원장'!$A$5:$A$1004,B373,'전기원장'!$D$5:$D$1004,E373)&gt;0,"전기","당기"))</x:f>
      </x:c>
      <x:c r="D373" s="67"/>
      <x:c r="G373" s="68"/>
      <x:c r="K373" t="str">
        <x:f>IF(B373="","",IF(I373="확인 필요","붙임 문서 확인 후 거래 성격·기간·상대방·일회성 여부 확인","결의서명과 전기 대비 발생 건수·단가·시점 차이 검토"))</x:f>
      </x:c>
    </x:row>
    <x:row r="374">
      <x:c r="A374" t="str">
        <x:f>IF(B374="","",IF(COUNTIFS('전기원장'!$A$5:$A$1004,B374,'전기원장'!$D$5:$D$1004,E374)&gt;0,"전기","당기"))</x:f>
      </x:c>
      <x:c r="D374" s="67"/>
      <x:c r="G374" s="68"/>
      <x:c r="K374" t="str">
        <x:f>IF(B374="","",IF(I374="확인 필요","붙임 문서 확인 후 거래 성격·기간·상대방·일회성 여부 확인","결의서명과 전기 대비 발생 건수·단가·시점 차이 검토"))</x:f>
      </x:c>
    </x:row>
    <x:row r="375">
      <x:c r="A375" t="str">
        <x:f>IF(B375="","",IF(COUNTIFS('전기원장'!$A$5:$A$1004,B375,'전기원장'!$D$5:$D$1004,E375)&gt;0,"전기","당기"))</x:f>
      </x:c>
      <x:c r="D375" s="67"/>
      <x:c r="G375" s="68"/>
      <x:c r="K375" t="str">
        <x:f>IF(B375="","",IF(I375="확인 필요","붙임 문서 확인 후 거래 성격·기간·상대방·일회성 여부 확인","결의서명과 전기 대비 발생 건수·단가·시점 차이 검토"))</x:f>
      </x:c>
    </x:row>
    <x:row r="376">
      <x:c r="A376" t="str">
        <x:f>IF(B376="","",IF(COUNTIFS('전기원장'!$A$5:$A$1004,B376,'전기원장'!$D$5:$D$1004,E376)&gt;0,"전기","당기"))</x:f>
      </x:c>
      <x:c r="D376" s="67"/>
      <x:c r="G376" s="68"/>
      <x:c r="K376" t="str">
        <x:f>IF(B376="","",IF(I376="확인 필요","붙임 문서 확인 후 거래 성격·기간·상대방·일회성 여부 확인","결의서명과 전기 대비 발생 건수·단가·시점 차이 검토"))</x:f>
      </x:c>
    </x:row>
    <x:row r="377">
      <x:c r="A377" t="str">
        <x:f>IF(B377="","",IF(COUNTIFS('전기원장'!$A$5:$A$1004,B377,'전기원장'!$D$5:$D$1004,E377)&gt;0,"전기","당기"))</x:f>
      </x:c>
      <x:c r="D377" s="67"/>
      <x:c r="G377" s="68"/>
      <x:c r="K377" t="str">
        <x:f>IF(B377="","",IF(I377="확인 필요","붙임 문서 확인 후 거래 성격·기간·상대방·일회성 여부 확인","결의서명과 전기 대비 발생 건수·단가·시점 차이 검토"))</x:f>
      </x:c>
    </x:row>
    <x:row r="378">
      <x:c r="A378" t="str">
        <x:f>IF(B378="","",IF(COUNTIFS('전기원장'!$A$5:$A$1004,B378,'전기원장'!$D$5:$D$1004,E378)&gt;0,"전기","당기"))</x:f>
      </x:c>
      <x:c r="D378" s="67"/>
      <x:c r="G378" s="68"/>
      <x:c r="K378" t="str">
        <x:f>IF(B378="","",IF(I378="확인 필요","붙임 문서 확인 후 거래 성격·기간·상대방·일회성 여부 확인","결의서명과 전기 대비 발생 건수·단가·시점 차이 검토"))</x:f>
      </x:c>
    </x:row>
    <x:row r="379">
      <x:c r="A379" t="str">
        <x:f>IF(B379="","",IF(COUNTIFS('전기원장'!$A$5:$A$1004,B379,'전기원장'!$D$5:$D$1004,E379)&gt;0,"전기","당기"))</x:f>
      </x:c>
      <x:c r="D379" s="67"/>
      <x:c r="G379" s="68"/>
      <x:c r="K379" t="str">
        <x:f>IF(B379="","",IF(I379="확인 필요","붙임 문서 확인 후 거래 성격·기간·상대방·일회성 여부 확인","결의서명과 전기 대비 발생 건수·단가·시점 차이 검토"))</x:f>
      </x:c>
    </x:row>
    <x:row r="380">
      <x:c r="A380" t="str">
        <x:f>IF(B380="","",IF(COUNTIFS('전기원장'!$A$5:$A$1004,B380,'전기원장'!$D$5:$D$1004,E380)&gt;0,"전기","당기"))</x:f>
      </x:c>
      <x:c r="D380" s="67"/>
      <x:c r="G380" s="68"/>
      <x:c r="K380" t="str">
        <x:f>IF(B380="","",IF(I380="확인 필요","붙임 문서 확인 후 거래 성격·기간·상대방·일회성 여부 확인","결의서명과 전기 대비 발생 건수·단가·시점 차이 검토"))</x:f>
      </x:c>
    </x:row>
    <x:row r="381">
      <x:c r="A381" t="str">
        <x:f>IF(B381="","",IF(COUNTIFS('전기원장'!$A$5:$A$1004,B381,'전기원장'!$D$5:$D$1004,E381)&gt;0,"전기","당기"))</x:f>
      </x:c>
      <x:c r="D381" s="67"/>
      <x:c r="G381" s="68"/>
      <x:c r="K381" t="str">
        <x:f>IF(B381="","",IF(I381="확인 필요","붙임 문서 확인 후 거래 성격·기간·상대방·일회성 여부 확인","결의서명과 전기 대비 발생 건수·단가·시점 차이 검토"))</x:f>
      </x:c>
    </x:row>
    <x:row r="382">
      <x:c r="A382" t="str">
        <x:f>IF(B382="","",IF(COUNTIFS('전기원장'!$A$5:$A$1004,B382,'전기원장'!$D$5:$D$1004,E382)&gt;0,"전기","당기"))</x:f>
      </x:c>
      <x:c r="D382" s="67"/>
      <x:c r="G382" s="68"/>
      <x:c r="K382" t="str">
        <x:f>IF(B382="","",IF(I382="확인 필요","붙임 문서 확인 후 거래 성격·기간·상대방·일회성 여부 확인","결의서명과 전기 대비 발생 건수·단가·시점 차이 검토"))</x:f>
      </x:c>
    </x:row>
    <x:row r="383">
      <x:c r="A383" t="str">
        <x:f>IF(B383="","",IF(COUNTIFS('전기원장'!$A$5:$A$1004,B383,'전기원장'!$D$5:$D$1004,E383)&gt;0,"전기","당기"))</x:f>
      </x:c>
      <x:c r="D383" s="67"/>
      <x:c r="G383" s="68"/>
      <x:c r="K383" t="str">
        <x:f>IF(B383="","",IF(I383="확인 필요","붙임 문서 확인 후 거래 성격·기간·상대방·일회성 여부 확인","결의서명과 전기 대비 발생 건수·단가·시점 차이 검토"))</x:f>
      </x:c>
    </x:row>
    <x:row r="384">
      <x:c r="A384" t="str">
        <x:f>IF(B384="","",IF(COUNTIFS('전기원장'!$A$5:$A$1004,B384,'전기원장'!$D$5:$D$1004,E384)&gt;0,"전기","당기"))</x:f>
      </x:c>
      <x:c r="D384" s="67"/>
      <x:c r="G384" s="68"/>
      <x:c r="K384" t="str">
        <x:f>IF(B384="","",IF(I384="확인 필요","붙임 문서 확인 후 거래 성격·기간·상대방·일회성 여부 확인","결의서명과 전기 대비 발생 건수·단가·시점 차이 검토"))</x:f>
      </x:c>
    </x:row>
    <x:row r="385">
      <x:c r="A385" t="str">
        <x:f>IF(B385="","",IF(COUNTIFS('전기원장'!$A$5:$A$1004,B385,'전기원장'!$D$5:$D$1004,E385)&gt;0,"전기","당기"))</x:f>
      </x:c>
      <x:c r="D385" s="67"/>
      <x:c r="G385" s="68"/>
      <x:c r="K385" t="str">
        <x:f>IF(B385="","",IF(I385="확인 필요","붙임 문서 확인 후 거래 성격·기간·상대방·일회성 여부 확인","결의서명과 전기 대비 발생 건수·단가·시점 차이 검토"))</x:f>
      </x:c>
    </x:row>
    <x:row r="386">
      <x:c r="A386" t="str">
        <x:f>IF(B386="","",IF(COUNTIFS('전기원장'!$A$5:$A$1004,B386,'전기원장'!$D$5:$D$1004,E386)&gt;0,"전기","당기"))</x:f>
      </x:c>
      <x:c r="D386" s="67"/>
      <x:c r="G386" s="68"/>
      <x:c r="K386" t="str">
        <x:f>IF(B386="","",IF(I386="확인 필요","붙임 문서 확인 후 거래 성격·기간·상대방·일회성 여부 확인","결의서명과 전기 대비 발생 건수·단가·시점 차이 검토"))</x:f>
      </x:c>
    </x:row>
    <x:row r="387">
      <x:c r="A387" t="str">
        <x:f>IF(B387="","",IF(COUNTIFS('전기원장'!$A$5:$A$1004,B387,'전기원장'!$D$5:$D$1004,E387)&gt;0,"전기","당기"))</x:f>
      </x:c>
      <x:c r="D387" s="67"/>
      <x:c r="G387" s="68"/>
      <x:c r="K387" t="str">
        <x:f>IF(B387="","",IF(I387="확인 필요","붙임 문서 확인 후 거래 성격·기간·상대방·일회성 여부 확인","결의서명과 전기 대비 발생 건수·단가·시점 차이 검토"))</x:f>
      </x:c>
    </x:row>
    <x:row r="388">
      <x:c r="A388" t="str">
        <x:f>IF(B388="","",IF(COUNTIFS('전기원장'!$A$5:$A$1004,B388,'전기원장'!$D$5:$D$1004,E388)&gt;0,"전기","당기"))</x:f>
      </x:c>
      <x:c r="D388" s="67"/>
      <x:c r="G388" s="68"/>
      <x:c r="K388" t="str">
        <x:f>IF(B388="","",IF(I388="확인 필요","붙임 문서 확인 후 거래 성격·기간·상대방·일회성 여부 확인","결의서명과 전기 대비 발생 건수·단가·시점 차이 검토"))</x:f>
      </x:c>
    </x:row>
    <x:row r="389">
      <x:c r="A389" t="str">
        <x:f>IF(B389="","",IF(COUNTIFS('전기원장'!$A$5:$A$1004,B389,'전기원장'!$D$5:$D$1004,E389)&gt;0,"전기","당기"))</x:f>
      </x:c>
      <x:c r="D389" s="67"/>
      <x:c r="G389" s="68"/>
      <x:c r="K389" t="str">
        <x:f>IF(B389="","",IF(I389="확인 필요","붙임 문서 확인 후 거래 성격·기간·상대방·일회성 여부 확인","결의서명과 전기 대비 발생 건수·단가·시점 차이 검토"))</x:f>
      </x:c>
    </x:row>
    <x:row r="390">
      <x:c r="A390" t="str">
        <x:f>IF(B390="","",IF(COUNTIFS('전기원장'!$A$5:$A$1004,B390,'전기원장'!$D$5:$D$1004,E390)&gt;0,"전기","당기"))</x:f>
      </x:c>
      <x:c r="D390" s="67"/>
      <x:c r="G390" s="68"/>
      <x:c r="K390" t="str">
        <x:f>IF(B390="","",IF(I390="확인 필요","붙임 문서 확인 후 거래 성격·기간·상대방·일회성 여부 확인","결의서명과 전기 대비 발생 건수·단가·시점 차이 검토"))</x:f>
      </x:c>
    </x:row>
    <x:row r="391">
      <x:c r="A391" t="str">
        <x:f>IF(B391="","",IF(COUNTIFS('전기원장'!$A$5:$A$1004,B391,'전기원장'!$D$5:$D$1004,E391)&gt;0,"전기","당기"))</x:f>
      </x:c>
      <x:c r="D391" s="67"/>
      <x:c r="G391" s="68"/>
      <x:c r="K391" t="str">
        <x:f>IF(B391="","",IF(I391="확인 필요","붙임 문서 확인 후 거래 성격·기간·상대방·일회성 여부 확인","결의서명과 전기 대비 발생 건수·단가·시점 차이 검토"))</x:f>
      </x:c>
    </x:row>
    <x:row r="392">
      <x:c r="A392" t="str">
        <x:f>IF(B392="","",IF(COUNTIFS('전기원장'!$A$5:$A$1004,B392,'전기원장'!$D$5:$D$1004,E392)&gt;0,"전기","당기"))</x:f>
      </x:c>
      <x:c r="D392" s="67"/>
      <x:c r="G392" s="68"/>
      <x:c r="K392" t="str">
        <x:f>IF(B392="","",IF(I392="확인 필요","붙임 문서 확인 후 거래 성격·기간·상대방·일회성 여부 확인","결의서명과 전기 대비 발생 건수·단가·시점 차이 검토"))</x:f>
      </x:c>
    </x:row>
    <x:row r="393">
      <x:c r="A393" t="str">
        <x:f>IF(B393="","",IF(COUNTIFS('전기원장'!$A$5:$A$1004,B393,'전기원장'!$D$5:$D$1004,E393)&gt;0,"전기","당기"))</x:f>
      </x:c>
      <x:c r="D393" s="67"/>
      <x:c r="G393" s="68"/>
      <x:c r="K393" t="str">
        <x:f>IF(B393="","",IF(I393="확인 필요","붙임 문서 확인 후 거래 성격·기간·상대방·일회성 여부 확인","결의서명과 전기 대비 발생 건수·단가·시점 차이 검토"))</x:f>
      </x:c>
    </x:row>
    <x:row r="394">
      <x:c r="A394" t="str">
        <x:f>IF(B394="","",IF(COUNTIFS('전기원장'!$A$5:$A$1004,B394,'전기원장'!$D$5:$D$1004,E394)&gt;0,"전기","당기"))</x:f>
      </x:c>
      <x:c r="D394" s="67"/>
      <x:c r="G394" s="68"/>
      <x:c r="K394" t="str">
        <x:f>IF(B394="","",IF(I394="확인 필요","붙임 문서 확인 후 거래 성격·기간·상대방·일회성 여부 확인","결의서명과 전기 대비 발생 건수·단가·시점 차이 검토"))</x:f>
      </x:c>
    </x:row>
    <x:row r="395">
      <x:c r="A395" t="str">
        <x:f>IF(B395="","",IF(COUNTIFS('전기원장'!$A$5:$A$1004,B395,'전기원장'!$D$5:$D$1004,E395)&gt;0,"전기","당기"))</x:f>
      </x:c>
      <x:c r="D395" s="67"/>
      <x:c r="G395" s="68"/>
      <x:c r="K395" t="str">
        <x:f>IF(B395="","",IF(I395="확인 필요","붙임 문서 확인 후 거래 성격·기간·상대방·일회성 여부 확인","결의서명과 전기 대비 발생 건수·단가·시점 차이 검토"))</x:f>
      </x:c>
    </x:row>
    <x:row r="396">
      <x:c r="A396" t="str">
        <x:f>IF(B396="","",IF(COUNTIFS('전기원장'!$A$5:$A$1004,B396,'전기원장'!$D$5:$D$1004,E396)&gt;0,"전기","당기"))</x:f>
      </x:c>
      <x:c r="D396" s="67"/>
      <x:c r="G396" s="68"/>
      <x:c r="K396" t="str">
        <x:f>IF(B396="","",IF(I396="확인 필요","붙임 문서 확인 후 거래 성격·기간·상대방·일회성 여부 확인","결의서명과 전기 대비 발생 건수·단가·시점 차이 검토"))</x:f>
      </x:c>
    </x:row>
    <x:row r="397">
      <x:c r="A397" t="str">
        <x:f>IF(B397="","",IF(COUNTIFS('전기원장'!$A$5:$A$1004,B397,'전기원장'!$D$5:$D$1004,E397)&gt;0,"전기","당기"))</x:f>
      </x:c>
      <x:c r="D397" s="67"/>
      <x:c r="G397" s="68"/>
      <x:c r="K397" t="str">
        <x:f>IF(B397="","",IF(I397="확인 필요","붙임 문서 확인 후 거래 성격·기간·상대방·일회성 여부 확인","결의서명과 전기 대비 발생 건수·단가·시점 차이 검토"))</x:f>
      </x:c>
    </x:row>
    <x:row r="398">
      <x:c r="A398" t="str">
        <x:f>IF(B398="","",IF(COUNTIFS('전기원장'!$A$5:$A$1004,B398,'전기원장'!$D$5:$D$1004,E398)&gt;0,"전기","당기"))</x:f>
      </x:c>
      <x:c r="D398" s="67"/>
      <x:c r="G398" s="68"/>
      <x:c r="K398" t="str">
        <x:f>IF(B398="","",IF(I398="확인 필요","붙임 문서 확인 후 거래 성격·기간·상대방·일회성 여부 확인","결의서명과 전기 대비 발생 건수·단가·시점 차이 검토"))</x:f>
      </x:c>
    </x:row>
    <x:row r="399">
      <x:c r="A399" t="str">
        <x:f>IF(B399="","",IF(COUNTIFS('전기원장'!$A$5:$A$1004,B399,'전기원장'!$D$5:$D$1004,E399)&gt;0,"전기","당기"))</x:f>
      </x:c>
      <x:c r="D399" s="67"/>
      <x:c r="G399" s="68"/>
      <x:c r="K399" t="str">
        <x:f>IF(B399="","",IF(I399="확인 필요","붙임 문서 확인 후 거래 성격·기간·상대방·일회성 여부 확인","결의서명과 전기 대비 발생 건수·단가·시점 차이 검토"))</x:f>
      </x:c>
    </x:row>
    <x:row r="400">
      <x:c r="A400" t="str">
        <x:f>IF(B400="","",IF(COUNTIFS('전기원장'!$A$5:$A$1004,B400,'전기원장'!$D$5:$D$1004,E400)&gt;0,"전기","당기"))</x:f>
      </x:c>
      <x:c r="D400" s="67"/>
      <x:c r="G400" s="68"/>
      <x:c r="K400" t="str">
        <x:f>IF(B400="","",IF(I400="확인 필요","붙임 문서 확인 후 거래 성격·기간·상대방·일회성 여부 확인","결의서명과 전기 대비 발생 건수·단가·시점 차이 검토"))</x:f>
      </x:c>
    </x:row>
    <x:row r="401">
      <x:c r="A401" t="str">
        <x:f>IF(B401="","",IF(COUNTIFS('전기원장'!$A$5:$A$1004,B401,'전기원장'!$D$5:$D$1004,E401)&gt;0,"전기","당기"))</x:f>
      </x:c>
      <x:c r="D401" s="67"/>
      <x:c r="G401" s="68"/>
      <x:c r="K401" t="str">
        <x:f>IF(B401="","",IF(I401="확인 필요","붙임 문서 확인 후 거래 성격·기간·상대방·일회성 여부 확인","결의서명과 전기 대비 발생 건수·단가·시점 차이 검토"))</x:f>
      </x:c>
    </x:row>
    <x:row r="402">
      <x:c r="A402" t="str">
        <x:f>IF(B402="","",IF(COUNTIFS('전기원장'!$A$5:$A$1004,B402,'전기원장'!$D$5:$D$1004,E402)&gt;0,"전기","당기"))</x:f>
      </x:c>
      <x:c r="D402" s="67"/>
      <x:c r="G402" s="68"/>
      <x:c r="K402" t="str">
        <x:f>IF(B402="","",IF(I402="확인 필요","붙임 문서 확인 후 거래 성격·기간·상대방·일회성 여부 확인","결의서명과 전기 대비 발생 건수·단가·시점 차이 검토"))</x:f>
      </x:c>
    </x:row>
    <x:row r="403">
      <x:c r="A403" t="str">
        <x:f>IF(B403="","",IF(COUNTIFS('전기원장'!$A$5:$A$1004,B403,'전기원장'!$D$5:$D$1004,E403)&gt;0,"전기","당기"))</x:f>
      </x:c>
      <x:c r="D403" s="67"/>
      <x:c r="G403" s="68"/>
      <x:c r="K403" t="str">
        <x:f>IF(B403="","",IF(I403="확인 필요","붙임 문서 확인 후 거래 성격·기간·상대방·일회성 여부 확인","결의서명과 전기 대비 발생 건수·단가·시점 차이 검토"))</x:f>
      </x:c>
    </x:row>
    <x:row r="404">
      <x:c r="A404" t="str">
        <x:f>IF(B404="","",IF(COUNTIFS('전기원장'!$A$5:$A$1004,B404,'전기원장'!$D$5:$D$1004,E404)&gt;0,"전기","당기"))</x:f>
      </x:c>
      <x:c r="D404" s="67"/>
      <x:c r="G404" s="68"/>
      <x:c r="K404" t="str">
        <x:f>IF(B404="","",IF(I404="확인 필요","붙임 문서 확인 후 거래 성격·기간·상대방·일회성 여부 확인","결의서명과 전기 대비 발생 건수·단가·시점 차이 검토"))</x:f>
      </x:c>
    </x:row>
    <x:row r="405">
      <x:c r="A405" t="str">
        <x:f>IF(B405="","",IF(COUNTIFS('전기원장'!$A$5:$A$1004,B405,'전기원장'!$D$5:$D$1004,E405)&gt;0,"전기","당기"))</x:f>
      </x:c>
      <x:c r="D405" s="67"/>
      <x:c r="G405" s="68"/>
      <x:c r="K405" t="str">
        <x:f>IF(B405="","",IF(I405="확인 필요","붙임 문서 확인 후 거래 성격·기간·상대방·일회성 여부 확인","결의서명과 전기 대비 발생 건수·단가·시점 차이 검토"))</x:f>
      </x:c>
    </x:row>
    <x:row r="406">
      <x:c r="A406" t="str">
        <x:f>IF(B406="","",IF(COUNTIFS('전기원장'!$A$5:$A$1004,B406,'전기원장'!$D$5:$D$1004,E406)&gt;0,"전기","당기"))</x:f>
      </x:c>
      <x:c r="D406" s="67"/>
      <x:c r="G406" s="68"/>
      <x:c r="K406" t="str">
        <x:f>IF(B406="","",IF(I406="확인 필요","붙임 문서 확인 후 거래 성격·기간·상대방·일회성 여부 확인","결의서명과 전기 대비 발생 건수·단가·시점 차이 검토"))</x:f>
      </x:c>
    </x:row>
    <x:row r="407">
      <x:c r="A407" t="str">
        <x:f>IF(B407="","",IF(COUNTIFS('전기원장'!$A$5:$A$1004,B407,'전기원장'!$D$5:$D$1004,E407)&gt;0,"전기","당기"))</x:f>
      </x:c>
      <x:c r="D407" s="67"/>
      <x:c r="G407" s="68"/>
      <x:c r="K407" t="str">
        <x:f>IF(B407="","",IF(I407="확인 필요","붙임 문서 확인 후 거래 성격·기간·상대방·일회성 여부 확인","결의서명과 전기 대비 발생 건수·단가·시점 차이 검토"))</x:f>
      </x:c>
    </x:row>
    <x:row r="408">
      <x:c r="A408" t="str">
        <x:f>IF(B408="","",IF(COUNTIFS('전기원장'!$A$5:$A$1004,B408,'전기원장'!$D$5:$D$1004,E408)&gt;0,"전기","당기"))</x:f>
      </x:c>
      <x:c r="D408" s="67"/>
      <x:c r="G408" s="68"/>
      <x:c r="K408" t="str">
        <x:f>IF(B408="","",IF(I408="확인 필요","붙임 문서 확인 후 거래 성격·기간·상대방·일회성 여부 확인","결의서명과 전기 대비 발생 건수·단가·시점 차이 검토"))</x:f>
      </x:c>
    </x:row>
    <x:row r="409">
      <x:c r="A409" t="str">
        <x:f>IF(B409="","",IF(COUNTIFS('전기원장'!$A$5:$A$1004,B409,'전기원장'!$D$5:$D$1004,E409)&gt;0,"전기","당기"))</x:f>
      </x:c>
      <x:c r="D409" s="67"/>
      <x:c r="G409" s="68"/>
      <x:c r="K409" t="str">
        <x:f>IF(B409="","",IF(I409="확인 필요","붙임 문서 확인 후 거래 성격·기간·상대방·일회성 여부 확인","결의서명과 전기 대비 발생 건수·단가·시점 차이 검토"))</x:f>
      </x:c>
    </x:row>
    <x:row r="410">
      <x:c r="A410" t="str">
        <x:f>IF(B410="","",IF(COUNTIFS('전기원장'!$A$5:$A$1004,B410,'전기원장'!$D$5:$D$1004,E410)&gt;0,"전기","당기"))</x:f>
      </x:c>
      <x:c r="D410" s="67"/>
      <x:c r="G410" s="68"/>
      <x:c r="K410" t="str">
        <x:f>IF(B410="","",IF(I410="확인 필요","붙임 문서 확인 후 거래 성격·기간·상대방·일회성 여부 확인","결의서명과 전기 대비 발생 건수·단가·시점 차이 검토"))</x:f>
      </x:c>
    </x:row>
    <x:row r="411">
      <x:c r="A411" t="str">
        <x:f>IF(B411="","",IF(COUNTIFS('전기원장'!$A$5:$A$1004,B411,'전기원장'!$D$5:$D$1004,E411)&gt;0,"전기","당기"))</x:f>
      </x:c>
      <x:c r="D411" s="67"/>
      <x:c r="G411" s="68"/>
      <x:c r="K411" t="str">
        <x:f>IF(B411="","",IF(I411="확인 필요","붙임 문서 확인 후 거래 성격·기간·상대방·일회성 여부 확인","결의서명과 전기 대비 발생 건수·단가·시점 차이 검토"))</x:f>
      </x:c>
    </x:row>
    <x:row r="412">
      <x:c r="A412" t="str">
        <x:f>IF(B412="","",IF(COUNTIFS('전기원장'!$A$5:$A$1004,B412,'전기원장'!$D$5:$D$1004,E412)&gt;0,"전기","당기"))</x:f>
      </x:c>
      <x:c r="D412" s="67"/>
      <x:c r="G412" s="68"/>
      <x:c r="K412" t="str">
        <x:f>IF(B412="","",IF(I412="확인 필요","붙임 문서 확인 후 거래 성격·기간·상대방·일회성 여부 확인","결의서명과 전기 대비 발생 건수·단가·시점 차이 검토"))</x:f>
      </x:c>
    </x:row>
    <x:row r="413">
      <x:c r="A413" t="str">
        <x:f>IF(B413="","",IF(COUNTIFS('전기원장'!$A$5:$A$1004,B413,'전기원장'!$D$5:$D$1004,E413)&gt;0,"전기","당기"))</x:f>
      </x:c>
      <x:c r="D413" s="67"/>
      <x:c r="G413" s="68"/>
      <x:c r="K413" t="str">
        <x:f>IF(B413="","",IF(I413="확인 필요","붙임 문서 확인 후 거래 성격·기간·상대방·일회성 여부 확인","결의서명과 전기 대비 발생 건수·단가·시점 차이 검토"))</x:f>
      </x:c>
    </x:row>
    <x:row r="414">
      <x:c r="A414" t="str">
        <x:f>IF(B414="","",IF(COUNTIFS('전기원장'!$A$5:$A$1004,B414,'전기원장'!$D$5:$D$1004,E414)&gt;0,"전기","당기"))</x:f>
      </x:c>
      <x:c r="D414" s="67"/>
      <x:c r="G414" s="68"/>
      <x:c r="K414" t="str">
        <x:f>IF(B414="","",IF(I414="확인 필요","붙임 문서 확인 후 거래 성격·기간·상대방·일회성 여부 확인","결의서명과 전기 대비 발생 건수·단가·시점 차이 검토"))</x:f>
      </x:c>
    </x:row>
    <x:row r="415">
      <x:c r="A415" t="str">
        <x:f>IF(B415="","",IF(COUNTIFS('전기원장'!$A$5:$A$1004,B415,'전기원장'!$D$5:$D$1004,E415)&gt;0,"전기","당기"))</x:f>
      </x:c>
      <x:c r="D415" s="67"/>
      <x:c r="G415" s="68"/>
      <x:c r="K415" t="str">
        <x:f>IF(B415="","",IF(I415="확인 필요","붙임 문서 확인 후 거래 성격·기간·상대방·일회성 여부 확인","결의서명과 전기 대비 발생 건수·단가·시점 차이 검토"))</x:f>
      </x:c>
    </x:row>
    <x:row r="416">
      <x:c r="A416" t="str">
        <x:f>IF(B416="","",IF(COUNTIFS('전기원장'!$A$5:$A$1004,B416,'전기원장'!$D$5:$D$1004,E416)&gt;0,"전기","당기"))</x:f>
      </x:c>
      <x:c r="D416" s="67"/>
      <x:c r="G416" s="68"/>
      <x:c r="K416" t="str">
        <x:f>IF(B416="","",IF(I416="확인 필요","붙임 문서 확인 후 거래 성격·기간·상대방·일회성 여부 확인","결의서명과 전기 대비 발생 건수·단가·시점 차이 검토"))</x:f>
      </x:c>
    </x:row>
    <x:row r="417">
      <x:c r="A417" t="str">
        <x:f>IF(B417="","",IF(COUNTIFS('전기원장'!$A$5:$A$1004,B417,'전기원장'!$D$5:$D$1004,E417)&gt;0,"전기","당기"))</x:f>
      </x:c>
      <x:c r="D417" s="67"/>
      <x:c r="G417" s="68"/>
      <x:c r="K417" t="str">
        <x:f>IF(B417="","",IF(I417="확인 필요","붙임 문서 확인 후 거래 성격·기간·상대방·일회성 여부 확인","결의서명과 전기 대비 발생 건수·단가·시점 차이 검토"))</x:f>
      </x:c>
    </x:row>
    <x:row r="418">
      <x:c r="A418" t="str">
        <x:f>IF(B418="","",IF(COUNTIFS('전기원장'!$A$5:$A$1004,B418,'전기원장'!$D$5:$D$1004,E418)&gt;0,"전기","당기"))</x:f>
      </x:c>
      <x:c r="D418" s="67"/>
      <x:c r="G418" s="68"/>
      <x:c r="K418" t="str">
        <x:f>IF(B418="","",IF(I418="확인 필요","붙임 문서 확인 후 거래 성격·기간·상대방·일회성 여부 확인","결의서명과 전기 대비 발생 건수·단가·시점 차이 검토"))</x:f>
      </x:c>
    </x:row>
    <x:row r="419">
      <x:c r="A419" t="str">
        <x:f>IF(B419="","",IF(COUNTIFS('전기원장'!$A$5:$A$1004,B419,'전기원장'!$D$5:$D$1004,E419)&gt;0,"전기","당기"))</x:f>
      </x:c>
      <x:c r="D419" s="67"/>
      <x:c r="G419" s="68"/>
      <x:c r="K419" t="str">
        <x:f>IF(B419="","",IF(I419="확인 필요","붙임 문서 확인 후 거래 성격·기간·상대방·일회성 여부 확인","결의서명과 전기 대비 발생 건수·단가·시점 차이 검토"))</x:f>
      </x:c>
    </x:row>
    <x:row r="420">
      <x:c r="A420" t="str">
        <x:f>IF(B420="","",IF(COUNTIFS('전기원장'!$A$5:$A$1004,B420,'전기원장'!$D$5:$D$1004,E420)&gt;0,"전기","당기"))</x:f>
      </x:c>
      <x:c r="D420" s="67"/>
      <x:c r="G420" s="68"/>
      <x:c r="K420" t="str">
        <x:f>IF(B420="","",IF(I420="확인 필요","붙임 문서 확인 후 거래 성격·기간·상대방·일회성 여부 확인","결의서명과 전기 대비 발생 건수·단가·시점 차이 검토"))</x:f>
      </x:c>
    </x:row>
    <x:row r="421">
      <x:c r="A421" t="str">
        <x:f>IF(B421="","",IF(COUNTIFS('전기원장'!$A$5:$A$1004,B421,'전기원장'!$D$5:$D$1004,E421)&gt;0,"전기","당기"))</x:f>
      </x:c>
      <x:c r="D421" s="67"/>
      <x:c r="G421" s="68"/>
      <x:c r="K421" t="str">
        <x:f>IF(B421="","",IF(I421="확인 필요","붙임 문서 확인 후 거래 성격·기간·상대방·일회성 여부 확인","결의서명과 전기 대비 발생 건수·단가·시점 차이 검토"))</x:f>
      </x:c>
    </x:row>
    <x:row r="422">
      <x:c r="A422" t="str">
        <x:f>IF(B422="","",IF(COUNTIFS('전기원장'!$A$5:$A$1004,B422,'전기원장'!$D$5:$D$1004,E422)&gt;0,"전기","당기"))</x:f>
      </x:c>
      <x:c r="D422" s="67"/>
      <x:c r="G422" s="68"/>
      <x:c r="K422" t="str">
        <x:f>IF(B422="","",IF(I422="확인 필요","붙임 문서 확인 후 거래 성격·기간·상대방·일회성 여부 확인","결의서명과 전기 대비 발생 건수·단가·시점 차이 검토"))</x:f>
      </x:c>
    </x:row>
    <x:row r="423">
      <x:c r="A423" t="str">
        <x:f>IF(B423="","",IF(COUNTIFS('전기원장'!$A$5:$A$1004,B423,'전기원장'!$D$5:$D$1004,E423)&gt;0,"전기","당기"))</x:f>
      </x:c>
      <x:c r="D423" s="67"/>
      <x:c r="G423" s="68"/>
      <x:c r="K423" t="str">
        <x:f>IF(B423="","",IF(I423="확인 필요","붙임 문서 확인 후 거래 성격·기간·상대방·일회성 여부 확인","결의서명과 전기 대비 발생 건수·단가·시점 차이 검토"))</x:f>
      </x:c>
    </x:row>
    <x:row r="424">
      <x:c r="A424" t="str">
        <x:f>IF(B424="","",IF(COUNTIFS('전기원장'!$A$5:$A$1004,B424,'전기원장'!$D$5:$D$1004,E424)&gt;0,"전기","당기"))</x:f>
      </x:c>
      <x:c r="D424" s="67"/>
      <x:c r="G424" s="68"/>
      <x:c r="K424" t="str">
        <x:f>IF(B424="","",IF(I424="확인 필요","붙임 문서 확인 후 거래 성격·기간·상대방·일회성 여부 확인","결의서명과 전기 대비 발생 건수·단가·시점 차이 검토"))</x:f>
      </x:c>
    </x:row>
    <x:row r="425">
      <x:c r="A425" t="str">
        <x:f>IF(B425="","",IF(COUNTIFS('전기원장'!$A$5:$A$1004,B425,'전기원장'!$D$5:$D$1004,E425)&gt;0,"전기","당기"))</x:f>
      </x:c>
      <x:c r="D425" s="67"/>
      <x:c r="G425" s="68"/>
      <x:c r="K425" t="str">
        <x:f>IF(B425="","",IF(I425="확인 필요","붙임 문서 확인 후 거래 성격·기간·상대방·일회성 여부 확인","결의서명과 전기 대비 발생 건수·단가·시점 차이 검토"))</x:f>
      </x:c>
    </x:row>
    <x:row r="426">
      <x:c r="A426" t="str">
        <x:f>IF(B426="","",IF(COUNTIFS('전기원장'!$A$5:$A$1004,B426,'전기원장'!$D$5:$D$1004,E426)&gt;0,"전기","당기"))</x:f>
      </x:c>
      <x:c r="D426" s="67"/>
      <x:c r="G426" s="68"/>
      <x:c r="K426" t="str">
        <x:f>IF(B426="","",IF(I426="확인 필요","붙임 문서 확인 후 거래 성격·기간·상대방·일회성 여부 확인","결의서명과 전기 대비 발생 건수·단가·시점 차이 검토"))</x:f>
      </x:c>
    </x:row>
    <x:row r="427">
      <x:c r="A427" t="str">
        <x:f>IF(B427="","",IF(COUNTIFS('전기원장'!$A$5:$A$1004,B427,'전기원장'!$D$5:$D$1004,E427)&gt;0,"전기","당기"))</x:f>
      </x:c>
      <x:c r="D427" s="67"/>
      <x:c r="G427" s="68"/>
      <x:c r="K427" t="str">
        <x:f>IF(B427="","",IF(I427="확인 필요","붙임 문서 확인 후 거래 성격·기간·상대방·일회성 여부 확인","결의서명과 전기 대비 발생 건수·단가·시점 차이 검토"))</x:f>
      </x:c>
    </x:row>
    <x:row r="428">
      <x:c r="A428" t="str">
        <x:f>IF(B428="","",IF(COUNTIFS('전기원장'!$A$5:$A$1004,B428,'전기원장'!$D$5:$D$1004,E428)&gt;0,"전기","당기"))</x:f>
      </x:c>
      <x:c r="D428" s="67"/>
      <x:c r="G428" s="68"/>
      <x:c r="K428" t="str">
        <x:f>IF(B428="","",IF(I428="확인 필요","붙임 문서 확인 후 거래 성격·기간·상대방·일회성 여부 확인","결의서명과 전기 대비 발생 건수·단가·시점 차이 검토"))</x:f>
      </x:c>
    </x:row>
    <x:row r="429">
      <x:c r="A429" t="str">
        <x:f>IF(B429="","",IF(COUNTIFS('전기원장'!$A$5:$A$1004,B429,'전기원장'!$D$5:$D$1004,E429)&gt;0,"전기","당기"))</x:f>
      </x:c>
      <x:c r="D429" s="67"/>
      <x:c r="G429" s="68"/>
      <x:c r="K429" t="str">
        <x:f>IF(B429="","",IF(I429="확인 필요","붙임 문서 확인 후 거래 성격·기간·상대방·일회성 여부 확인","결의서명과 전기 대비 발생 건수·단가·시점 차이 검토"))</x:f>
      </x:c>
    </x:row>
    <x:row r="430">
      <x:c r="A430" t="str">
        <x:f>IF(B430="","",IF(COUNTIFS('전기원장'!$A$5:$A$1004,B430,'전기원장'!$D$5:$D$1004,E430)&gt;0,"전기","당기"))</x:f>
      </x:c>
      <x:c r="D430" s="67"/>
      <x:c r="G430" s="68"/>
      <x:c r="K430" t="str">
        <x:f>IF(B430="","",IF(I430="확인 필요","붙임 문서 확인 후 거래 성격·기간·상대방·일회성 여부 확인","결의서명과 전기 대비 발생 건수·단가·시점 차이 검토"))</x:f>
      </x:c>
    </x:row>
    <x:row r="431">
      <x:c r="A431" t="str">
        <x:f>IF(B431="","",IF(COUNTIFS('전기원장'!$A$5:$A$1004,B431,'전기원장'!$D$5:$D$1004,E431)&gt;0,"전기","당기"))</x:f>
      </x:c>
      <x:c r="D431" s="67"/>
      <x:c r="G431" s="68"/>
      <x:c r="K431" t="str">
        <x:f>IF(B431="","",IF(I431="확인 필요","붙임 문서 확인 후 거래 성격·기간·상대방·일회성 여부 확인","결의서명과 전기 대비 발생 건수·단가·시점 차이 검토"))</x:f>
      </x:c>
    </x:row>
    <x:row r="432">
      <x:c r="A432" t="str">
        <x:f>IF(B432="","",IF(COUNTIFS('전기원장'!$A$5:$A$1004,B432,'전기원장'!$D$5:$D$1004,E432)&gt;0,"전기","당기"))</x:f>
      </x:c>
      <x:c r="D432" s="67"/>
      <x:c r="G432" s="68"/>
      <x:c r="K432" t="str">
        <x:f>IF(B432="","",IF(I432="확인 필요","붙임 문서 확인 후 거래 성격·기간·상대방·일회성 여부 확인","결의서명과 전기 대비 발생 건수·단가·시점 차이 검토"))</x:f>
      </x:c>
    </x:row>
    <x:row r="433">
      <x:c r="A433" t="str">
        <x:f>IF(B433="","",IF(COUNTIFS('전기원장'!$A$5:$A$1004,B433,'전기원장'!$D$5:$D$1004,E433)&gt;0,"전기","당기"))</x:f>
      </x:c>
      <x:c r="D433" s="67"/>
      <x:c r="G433" s="68"/>
      <x:c r="K433" t="str">
        <x:f>IF(B433="","",IF(I433="확인 필요","붙임 문서 확인 후 거래 성격·기간·상대방·일회성 여부 확인","결의서명과 전기 대비 발생 건수·단가·시점 차이 검토"))</x:f>
      </x:c>
    </x:row>
    <x:row r="434">
      <x:c r="A434" t="str">
        <x:f>IF(B434="","",IF(COUNTIFS('전기원장'!$A$5:$A$1004,B434,'전기원장'!$D$5:$D$1004,E434)&gt;0,"전기","당기"))</x:f>
      </x:c>
      <x:c r="D434" s="67"/>
      <x:c r="G434" s="68"/>
      <x:c r="K434" t="str">
        <x:f>IF(B434="","",IF(I434="확인 필요","붙임 문서 확인 후 거래 성격·기간·상대방·일회성 여부 확인","결의서명과 전기 대비 발생 건수·단가·시점 차이 검토"))</x:f>
      </x:c>
    </x:row>
    <x:row r="435">
      <x:c r="A435" t="str">
        <x:f>IF(B435="","",IF(COUNTIFS('전기원장'!$A$5:$A$1004,B435,'전기원장'!$D$5:$D$1004,E435)&gt;0,"전기","당기"))</x:f>
      </x:c>
      <x:c r="D435" s="67"/>
      <x:c r="G435" s="68"/>
      <x:c r="K435" t="str">
        <x:f>IF(B435="","",IF(I435="확인 필요","붙임 문서 확인 후 거래 성격·기간·상대방·일회성 여부 확인","결의서명과 전기 대비 발생 건수·단가·시점 차이 검토"))</x:f>
      </x:c>
    </x:row>
    <x:row r="436">
      <x:c r="A436" t="str">
        <x:f>IF(B436="","",IF(COUNTIFS('전기원장'!$A$5:$A$1004,B436,'전기원장'!$D$5:$D$1004,E436)&gt;0,"전기","당기"))</x:f>
      </x:c>
      <x:c r="D436" s="67"/>
      <x:c r="G436" s="68"/>
      <x:c r="K436" t="str">
        <x:f>IF(B436="","",IF(I436="확인 필요","붙임 문서 확인 후 거래 성격·기간·상대방·일회성 여부 확인","결의서명과 전기 대비 발생 건수·단가·시점 차이 검토"))</x:f>
      </x:c>
    </x:row>
    <x:row r="437">
      <x:c r="A437" t="str">
        <x:f>IF(B437="","",IF(COUNTIFS('전기원장'!$A$5:$A$1004,B437,'전기원장'!$D$5:$D$1004,E437)&gt;0,"전기","당기"))</x:f>
      </x:c>
      <x:c r="D437" s="67"/>
      <x:c r="G437" s="68"/>
      <x:c r="K437" t="str">
        <x:f>IF(B437="","",IF(I437="확인 필요","붙임 문서 확인 후 거래 성격·기간·상대방·일회성 여부 확인","결의서명과 전기 대비 발생 건수·단가·시점 차이 검토"))</x:f>
      </x:c>
    </x:row>
    <x:row r="438">
      <x:c r="A438" t="str">
        <x:f>IF(B438="","",IF(COUNTIFS('전기원장'!$A$5:$A$1004,B438,'전기원장'!$D$5:$D$1004,E438)&gt;0,"전기","당기"))</x:f>
      </x:c>
      <x:c r="D438" s="67"/>
      <x:c r="G438" s="68"/>
      <x:c r="K438" t="str">
        <x:f>IF(B438="","",IF(I438="확인 필요","붙임 문서 확인 후 거래 성격·기간·상대방·일회성 여부 확인","결의서명과 전기 대비 발생 건수·단가·시점 차이 검토"))</x:f>
      </x:c>
    </x:row>
    <x:row r="439">
      <x:c r="A439" t="str">
        <x:f>IF(B439="","",IF(COUNTIFS('전기원장'!$A$5:$A$1004,B439,'전기원장'!$D$5:$D$1004,E439)&gt;0,"전기","당기"))</x:f>
      </x:c>
      <x:c r="D439" s="67"/>
      <x:c r="G439" s="68"/>
      <x:c r="K439" t="str">
        <x:f>IF(B439="","",IF(I439="확인 필요","붙임 문서 확인 후 거래 성격·기간·상대방·일회성 여부 확인","결의서명과 전기 대비 발생 건수·단가·시점 차이 검토"))</x:f>
      </x:c>
    </x:row>
    <x:row r="440">
      <x:c r="A440" t="str">
        <x:f>IF(B440="","",IF(COUNTIFS('전기원장'!$A$5:$A$1004,B440,'전기원장'!$D$5:$D$1004,E440)&gt;0,"전기","당기"))</x:f>
      </x:c>
      <x:c r="D440" s="67"/>
      <x:c r="G440" s="68"/>
      <x:c r="K440" t="str">
        <x:f>IF(B440="","",IF(I440="확인 필요","붙임 문서 확인 후 거래 성격·기간·상대방·일회성 여부 확인","결의서명과 전기 대비 발생 건수·단가·시점 차이 검토"))</x:f>
      </x:c>
    </x:row>
    <x:row r="441">
      <x:c r="A441" t="str">
        <x:f>IF(B441="","",IF(COUNTIFS('전기원장'!$A$5:$A$1004,B441,'전기원장'!$D$5:$D$1004,E441)&gt;0,"전기","당기"))</x:f>
      </x:c>
      <x:c r="D441" s="67"/>
      <x:c r="G441" s="68"/>
      <x:c r="K441" t="str">
        <x:f>IF(B441="","",IF(I441="확인 필요","붙임 문서 확인 후 거래 성격·기간·상대방·일회성 여부 확인","결의서명과 전기 대비 발생 건수·단가·시점 차이 검토"))</x:f>
      </x:c>
    </x:row>
    <x:row r="442">
      <x:c r="A442" t="str">
        <x:f>IF(B442="","",IF(COUNTIFS('전기원장'!$A$5:$A$1004,B442,'전기원장'!$D$5:$D$1004,E442)&gt;0,"전기","당기"))</x:f>
      </x:c>
      <x:c r="D442" s="67"/>
      <x:c r="G442" s="68"/>
      <x:c r="K442" t="str">
        <x:f>IF(B442="","",IF(I442="확인 필요","붙임 문서 확인 후 거래 성격·기간·상대방·일회성 여부 확인","결의서명과 전기 대비 발생 건수·단가·시점 차이 검토"))</x:f>
      </x:c>
    </x:row>
    <x:row r="443">
      <x:c r="A443" t="str">
        <x:f>IF(B443="","",IF(COUNTIFS('전기원장'!$A$5:$A$1004,B443,'전기원장'!$D$5:$D$1004,E443)&gt;0,"전기","당기"))</x:f>
      </x:c>
      <x:c r="D443" s="67"/>
      <x:c r="G443" s="68"/>
      <x:c r="K443" t="str">
        <x:f>IF(B443="","",IF(I443="확인 필요","붙임 문서 확인 후 거래 성격·기간·상대방·일회성 여부 확인","결의서명과 전기 대비 발생 건수·단가·시점 차이 검토"))</x:f>
      </x:c>
    </x:row>
    <x:row r="444">
      <x:c r="A444" t="str">
        <x:f>IF(B444="","",IF(COUNTIFS('전기원장'!$A$5:$A$1004,B444,'전기원장'!$D$5:$D$1004,E444)&gt;0,"전기","당기"))</x:f>
      </x:c>
      <x:c r="D444" s="67"/>
      <x:c r="G444" s="68"/>
      <x:c r="K444" t="str">
        <x:f>IF(B444="","",IF(I444="확인 필요","붙임 문서 확인 후 거래 성격·기간·상대방·일회성 여부 확인","결의서명과 전기 대비 발생 건수·단가·시점 차이 검토"))</x:f>
      </x:c>
    </x:row>
    <x:row r="445">
      <x:c r="A445" t="str">
        <x:f>IF(B445="","",IF(COUNTIFS('전기원장'!$A$5:$A$1004,B445,'전기원장'!$D$5:$D$1004,E445)&gt;0,"전기","당기"))</x:f>
      </x:c>
      <x:c r="D445" s="67"/>
      <x:c r="G445" s="68"/>
      <x:c r="K445" t="str">
        <x:f>IF(B445="","",IF(I445="확인 필요","붙임 문서 확인 후 거래 성격·기간·상대방·일회성 여부 확인","결의서명과 전기 대비 발생 건수·단가·시점 차이 검토"))</x:f>
      </x:c>
    </x:row>
    <x:row r="446">
      <x:c r="A446" t="str">
        <x:f>IF(B446="","",IF(COUNTIFS('전기원장'!$A$5:$A$1004,B446,'전기원장'!$D$5:$D$1004,E446)&gt;0,"전기","당기"))</x:f>
      </x:c>
      <x:c r="D446" s="67"/>
      <x:c r="G446" s="68"/>
      <x:c r="K446" t="str">
        <x:f>IF(B446="","",IF(I446="확인 필요","붙임 문서 확인 후 거래 성격·기간·상대방·일회성 여부 확인","결의서명과 전기 대비 발생 건수·단가·시점 차이 검토"))</x:f>
      </x:c>
    </x:row>
    <x:row r="447">
      <x:c r="A447" t="str">
        <x:f>IF(B447="","",IF(COUNTIFS('전기원장'!$A$5:$A$1004,B447,'전기원장'!$D$5:$D$1004,E447)&gt;0,"전기","당기"))</x:f>
      </x:c>
      <x:c r="D447" s="67"/>
      <x:c r="G447" s="68"/>
      <x:c r="K447" t="str">
        <x:f>IF(B447="","",IF(I447="확인 필요","붙임 문서 확인 후 거래 성격·기간·상대방·일회성 여부 확인","결의서명과 전기 대비 발생 건수·단가·시점 차이 검토"))</x:f>
      </x:c>
    </x:row>
    <x:row r="448">
      <x:c r="A448" t="str">
        <x:f>IF(B448="","",IF(COUNTIFS('전기원장'!$A$5:$A$1004,B448,'전기원장'!$D$5:$D$1004,E448)&gt;0,"전기","당기"))</x:f>
      </x:c>
      <x:c r="D448" s="67"/>
      <x:c r="G448" s="68"/>
      <x:c r="K448" t="str">
        <x:f>IF(B448="","",IF(I448="확인 필요","붙임 문서 확인 후 거래 성격·기간·상대방·일회성 여부 확인","결의서명과 전기 대비 발생 건수·단가·시점 차이 검토"))</x:f>
      </x:c>
    </x:row>
    <x:row r="449">
      <x:c r="A449" t="str">
        <x:f>IF(B449="","",IF(COUNTIFS('전기원장'!$A$5:$A$1004,B449,'전기원장'!$D$5:$D$1004,E449)&gt;0,"전기","당기"))</x:f>
      </x:c>
      <x:c r="D449" s="67"/>
      <x:c r="G449" s="68"/>
      <x:c r="K449" t="str">
        <x:f>IF(B449="","",IF(I449="확인 필요","붙임 문서 확인 후 거래 성격·기간·상대방·일회성 여부 확인","결의서명과 전기 대비 발생 건수·단가·시점 차이 검토"))</x:f>
      </x:c>
    </x:row>
    <x:row r="450">
      <x:c r="A450" t="str">
        <x:f>IF(B450="","",IF(COUNTIFS('전기원장'!$A$5:$A$1004,B450,'전기원장'!$D$5:$D$1004,E450)&gt;0,"전기","당기"))</x:f>
      </x:c>
      <x:c r="D450" s="67"/>
      <x:c r="G450" s="68"/>
      <x:c r="K450" t="str">
        <x:f>IF(B450="","",IF(I450="확인 필요","붙임 문서 확인 후 거래 성격·기간·상대방·일회성 여부 확인","결의서명과 전기 대비 발생 건수·단가·시점 차이 검토"))</x:f>
      </x:c>
    </x:row>
    <x:row r="451">
      <x:c r="A451" t="str">
        <x:f>IF(B451="","",IF(COUNTIFS('전기원장'!$A$5:$A$1004,B451,'전기원장'!$D$5:$D$1004,E451)&gt;0,"전기","당기"))</x:f>
      </x:c>
      <x:c r="D451" s="67"/>
      <x:c r="G451" s="68"/>
      <x:c r="K451" t="str">
        <x:f>IF(B451="","",IF(I451="확인 필요","붙임 문서 확인 후 거래 성격·기간·상대방·일회성 여부 확인","결의서명과 전기 대비 발생 건수·단가·시점 차이 검토"))</x:f>
      </x:c>
    </x:row>
    <x:row r="452">
      <x:c r="A452" t="str">
        <x:f>IF(B452="","",IF(COUNTIFS('전기원장'!$A$5:$A$1004,B452,'전기원장'!$D$5:$D$1004,E452)&gt;0,"전기","당기"))</x:f>
      </x:c>
      <x:c r="D452" s="67"/>
      <x:c r="G452" s="68"/>
      <x:c r="K452" t="str">
        <x:f>IF(B452="","",IF(I452="확인 필요","붙임 문서 확인 후 거래 성격·기간·상대방·일회성 여부 확인","결의서명과 전기 대비 발생 건수·단가·시점 차이 검토"))</x:f>
      </x:c>
    </x:row>
    <x:row r="453">
      <x:c r="A453" t="str">
        <x:f>IF(B453="","",IF(COUNTIFS('전기원장'!$A$5:$A$1004,B453,'전기원장'!$D$5:$D$1004,E453)&gt;0,"전기","당기"))</x:f>
      </x:c>
      <x:c r="D453" s="67"/>
      <x:c r="G453" s="68"/>
      <x:c r="K453" t="str">
        <x:f>IF(B453="","",IF(I453="확인 필요","붙임 문서 확인 후 거래 성격·기간·상대방·일회성 여부 확인","결의서명과 전기 대비 발생 건수·단가·시점 차이 검토"))</x:f>
      </x:c>
    </x:row>
    <x:row r="454">
      <x:c r="A454" t="str">
        <x:f>IF(B454="","",IF(COUNTIFS('전기원장'!$A$5:$A$1004,B454,'전기원장'!$D$5:$D$1004,E454)&gt;0,"전기","당기"))</x:f>
      </x:c>
      <x:c r="D454" s="67"/>
      <x:c r="G454" s="68"/>
      <x:c r="K454" t="str">
        <x:f>IF(B454="","",IF(I454="확인 필요","붙임 문서 확인 후 거래 성격·기간·상대방·일회성 여부 확인","결의서명과 전기 대비 발생 건수·단가·시점 차이 검토"))</x:f>
      </x:c>
    </x:row>
    <x:row r="455">
      <x:c r="A455" t="str">
        <x:f>IF(B455="","",IF(COUNTIFS('전기원장'!$A$5:$A$1004,B455,'전기원장'!$D$5:$D$1004,E455)&gt;0,"전기","당기"))</x:f>
      </x:c>
      <x:c r="D455" s="67"/>
      <x:c r="G455" s="68"/>
      <x:c r="K455" t="str">
        <x:f>IF(B455="","",IF(I455="확인 필요","붙임 문서 확인 후 거래 성격·기간·상대방·일회성 여부 확인","결의서명과 전기 대비 발생 건수·단가·시점 차이 검토"))</x:f>
      </x:c>
    </x:row>
    <x:row r="456">
      <x:c r="A456" t="str">
        <x:f>IF(B456="","",IF(COUNTIFS('전기원장'!$A$5:$A$1004,B456,'전기원장'!$D$5:$D$1004,E456)&gt;0,"전기","당기"))</x:f>
      </x:c>
      <x:c r="D456" s="67"/>
      <x:c r="G456" s="68"/>
      <x:c r="K456" t="str">
        <x:f>IF(B456="","",IF(I456="확인 필요","붙임 문서 확인 후 거래 성격·기간·상대방·일회성 여부 확인","결의서명과 전기 대비 발생 건수·단가·시점 차이 검토"))</x:f>
      </x:c>
    </x:row>
    <x:row r="457">
      <x:c r="A457" t="str">
        <x:f>IF(B457="","",IF(COUNTIFS('전기원장'!$A$5:$A$1004,B457,'전기원장'!$D$5:$D$1004,E457)&gt;0,"전기","당기"))</x:f>
      </x:c>
      <x:c r="D457" s="67"/>
      <x:c r="G457" s="68"/>
      <x:c r="K457" t="str">
        <x:f>IF(B457="","",IF(I457="확인 필요","붙임 문서 확인 후 거래 성격·기간·상대방·일회성 여부 확인","결의서명과 전기 대비 발생 건수·단가·시점 차이 검토"))</x:f>
      </x:c>
    </x:row>
    <x:row r="458">
      <x:c r="A458" t="str">
        <x:f>IF(B458="","",IF(COUNTIFS('전기원장'!$A$5:$A$1004,B458,'전기원장'!$D$5:$D$1004,E458)&gt;0,"전기","당기"))</x:f>
      </x:c>
      <x:c r="D458" s="67"/>
      <x:c r="G458" s="68"/>
      <x:c r="K458" t="str">
        <x:f>IF(B458="","",IF(I458="확인 필요","붙임 문서 확인 후 거래 성격·기간·상대방·일회성 여부 확인","결의서명과 전기 대비 발생 건수·단가·시점 차이 검토"))</x:f>
      </x:c>
    </x:row>
    <x:row r="459">
      <x:c r="A459" t="str">
        <x:f>IF(B459="","",IF(COUNTIFS('전기원장'!$A$5:$A$1004,B459,'전기원장'!$D$5:$D$1004,E459)&gt;0,"전기","당기"))</x:f>
      </x:c>
      <x:c r="D459" s="67"/>
      <x:c r="G459" s="68"/>
      <x:c r="K459" t="str">
        <x:f>IF(B459="","",IF(I459="확인 필요","붙임 문서 확인 후 거래 성격·기간·상대방·일회성 여부 확인","결의서명과 전기 대비 발생 건수·단가·시점 차이 검토"))</x:f>
      </x:c>
    </x:row>
    <x:row r="460">
      <x:c r="A460" t="str">
        <x:f>IF(B460="","",IF(COUNTIFS('전기원장'!$A$5:$A$1004,B460,'전기원장'!$D$5:$D$1004,E460)&gt;0,"전기","당기"))</x:f>
      </x:c>
      <x:c r="D460" s="67"/>
      <x:c r="G460" s="68"/>
      <x:c r="K460" t="str">
        <x:f>IF(B460="","",IF(I460="확인 필요","붙임 문서 확인 후 거래 성격·기간·상대방·일회성 여부 확인","결의서명과 전기 대비 발생 건수·단가·시점 차이 검토"))</x:f>
      </x:c>
    </x:row>
    <x:row r="461">
      <x:c r="A461" t="str">
        <x:f>IF(B461="","",IF(COUNTIFS('전기원장'!$A$5:$A$1004,B461,'전기원장'!$D$5:$D$1004,E461)&gt;0,"전기","당기"))</x:f>
      </x:c>
      <x:c r="D461" s="67"/>
      <x:c r="G461" s="68"/>
      <x:c r="K461" t="str">
        <x:f>IF(B461="","",IF(I461="확인 필요","붙임 문서 확인 후 거래 성격·기간·상대방·일회성 여부 확인","결의서명과 전기 대비 발생 건수·단가·시점 차이 검토"))</x:f>
      </x:c>
    </x:row>
    <x:row r="462">
      <x:c r="A462" t="str">
        <x:f>IF(B462="","",IF(COUNTIFS('전기원장'!$A$5:$A$1004,B462,'전기원장'!$D$5:$D$1004,E462)&gt;0,"전기","당기"))</x:f>
      </x:c>
      <x:c r="D462" s="67"/>
      <x:c r="G462" s="68"/>
      <x:c r="K462" t="str">
        <x:f>IF(B462="","",IF(I462="확인 필요","붙임 문서 확인 후 거래 성격·기간·상대방·일회성 여부 확인","결의서명과 전기 대비 발생 건수·단가·시점 차이 검토"))</x:f>
      </x:c>
    </x:row>
    <x:row r="463">
      <x:c r="A463" t="str">
        <x:f>IF(B463="","",IF(COUNTIFS('전기원장'!$A$5:$A$1004,B463,'전기원장'!$D$5:$D$1004,E463)&gt;0,"전기","당기"))</x:f>
      </x:c>
      <x:c r="D463" s="67"/>
      <x:c r="G463" s="68"/>
      <x:c r="K463" t="str">
        <x:f>IF(B463="","",IF(I463="확인 필요","붙임 문서 확인 후 거래 성격·기간·상대방·일회성 여부 확인","결의서명과 전기 대비 발생 건수·단가·시점 차이 검토"))</x:f>
      </x:c>
    </x:row>
    <x:row r="464">
      <x:c r="A464" t="str">
        <x:f>IF(B464="","",IF(COUNTIFS('전기원장'!$A$5:$A$1004,B464,'전기원장'!$D$5:$D$1004,E464)&gt;0,"전기","당기"))</x:f>
      </x:c>
      <x:c r="D464" s="67"/>
      <x:c r="G464" s="68"/>
      <x:c r="K464" t="str">
        <x:f>IF(B464="","",IF(I464="확인 필요","붙임 문서 확인 후 거래 성격·기간·상대방·일회성 여부 확인","결의서명과 전기 대비 발생 건수·단가·시점 차이 검토"))</x:f>
      </x:c>
    </x:row>
    <x:row r="465">
      <x:c r="A465" t="str">
        <x:f>IF(B465="","",IF(COUNTIFS('전기원장'!$A$5:$A$1004,B465,'전기원장'!$D$5:$D$1004,E465)&gt;0,"전기","당기"))</x:f>
      </x:c>
      <x:c r="D465" s="67"/>
      <x:c r="G465" s="68"/>
      <x:c r="K465" t="str">
        <x:f>IF(B465="","",IF(I465="확인 필요","붙임 문서 확인 후 거래 성격·기간·상대방·일회성 여부 확인","결의서명과 전기 대비 발생 건수·단가·시점 차이 검토"))</x:f>
      </x:c>
    </x:row>
    <x:row r="466">
      <x:c r="A466" t="str">
        <x:f>IF(B466="","",IF(COUNTIFS('전기원장'!$A$5:$A$1004,B466,'전기원장'!$D$5:$D$1004,E466)&gt;0,"전기","당기"))</x:f>
      </x:c>
      <x:c r="D466" s="67"/>
      <x:c r="G466" s="68"/>
      <x:c r="K466" t="str">
        <x:f>IF(B466="","",IF(I466="확인 필요","붙임 문서 확인 후 거래 성격·기간·상대방·일회성 여부 확인","결의서명과 전기 대비 발생 건수·단가·시점 차이 검토"))</x:f>
      </x:c>
    </x:row>
    <x:row r="467">
      <x:c r="A467" t="str">
        <x:f>IF(B467="","",IF(COUNTIFS('전기원장'!$A$5:$A$1004,B467,'전기원장'!$D$5:$D$1004,E467)&gt;0,"전기","당기"))</x:f>
      </x:c>
      <x:c r="D467" s="67"/>
      <x:c r="G467" s="68"/>
      <x:c r="K467" t="str">
        <x:f>IF(B467="","",IF(I467="확인 필요","붙임 문서 확인 후 거래 성격·기간·상대방·일회성 여부 확인","결의서명과 전기 대비 발생 건수·단가·시점 차이 검토"))</x:f>
      </x:c>
    </x:row>
    <x:row r="468">
      <x:c r="A468" t="str">
        <x:f>IF(B468="","",IF(COUNTIFS('전기원장'!$A$5:$A$1004,B468,'전기원장'!$D$5:$D$1004,E468)&gt;0,"전기","당기"))</x:f>
      </x:c>
      <x:c r="D468" s="67"/>
      <x:c r="G468" s="68"/>
      <x:c r="K468" t="str">
        <x:f>IF(B468="","",IF(I468="확인 필요","붙임 문서 확인 후 거래 성격·기간·상대방·일회성 여부 확인","결의서명과 전기 대비 발생 건수·단가·시점 차이 검토"))</x:f>
      </x:c>
    </x:row>
    <x:row r="469">
      <x:c r="A469" t="str">
        <x:f>IF(B469="","",IF(COUNTIFS('전기원장'!$A$5:$A$1004,B469,'전기원장'!$D$5:$D$1004,E469)&gt;0,"전기","당기"))</x:f>
      </x:c>
      <x:c r="D469" s="67"/>
      <x:c r="G469" s="68"/>
      <x:c r="K469" t="str">
        <x:f>IF(B469="","",IF(I469="확인 필요","붙임 문서 확인 후 거래 성격·기간·상대방·일회성 여부 확인","결의서명과 전기 대비 발생 건수·단가·시점 차이 검토"))</x:f>
      </x:c>
    </x:row>
    <x:row r="470">
      <x:c r="A470" t="str">
        <x:f>IF(B470="","",IF(COUNTIFS('전기원장'!$A$5:$A$1004,B470,'전기원장'!$D$5:$D$1004,E470)&gt;0,"전기","당기"))</x:f>
      </x:c>
      <x:c r="D470" s="67"/>
      <x:c r="G470" s="68"/>
      <x:c r="K470" t="str">
        <x:f>IF(B470="","",IF(I470="확인 필요","붙임 문서 확인 후 거래 성격·기간·상대방·일회성 여부 확인","결의서명과 전기 대비 발생 건수·단가·시점 차이 검토"))</x:f>
      </x:c>
    </x:row>
    <x:row r="471">
      <x:c r="A471" t="str">
        <x:f>IF(B471="","",IF(COUNTIFS('전기원장'!$A$5:$A$1004,B471,'전기원장'!$D$5:$D$1004,E471)&gt;0,"전기","당기"))</x:f>
      </x:c>
      <x:c r="D471" s="67"/>
      <x:c r="G471" s="68"/>
      <x:c r="K471" t="str">
        <x:f>IF(B471="","",IF(I471="확인 필요","붙임 문서 확인 후 거래 성격·기간·상대방·일회성 여부 확인","결의서명과 전기 대비 발생 건수·단가·시점 차이 검토"))</x:f>
      </x:c>
    </x:row>
    <x:row r="472">
      <x:c r="A472" t="str">
        <x:f>IF(B472="","",IF(COUNTIFS('전기원장'!$A$5:$A$1004,B472,'전기원장'!$D$5:$D$1004,E472)&gt;0,"전기","당기"))</x:f>
      </x:c>
      <x:c r="D472" s="67"/>
      <x:c r="G472" s="68"/>
      <x:c r="K472" t="str">
        <x:f>IF(B472="","",IF(I472="확인 필요","붙임 문서 확인 후 거래 성격·기간·상대방·일회성 여부 확인","결의서명과 전기 대비 발생 건수·단가·시점 차이 검토"))</x:f>
      </x:c>
    </x:row>
    <x:row r="473">
      <x:c r="A473" t="str">
        <x:f>IF(B473="","",IF(COUNTIFS('전기원장'!$A$5:$A$1004,B473,'전기원장'!$D$5:$D$1004,E473)&gt;0,"전기","당기"))</x:f>
      </x:c>
      <x:c r="D473" s="67"/>
      <x:c r="G473" s="68"/>
      <x:c r="K473" t="str">
        <x:f>IF(B473="","",IF(I473="확인 필요","붙임 문서 확인 후 거래 성격·기간·상대방·일회성 여부 확인","결의서명과 전기 대비 발생 건수·단가·시점 차이 검토"))</x:f>
      </x:c>
    </x:row>
    <x:row r="474">
      <x:c r="A474" t="str">
        <x:f>IF(B474="","",IF(COUNTIFS('전기원장'!$A$5:$A$1004,B474,'전기원장'!$D$5:$D$1004,E474)&gt;0,"전기","당기"))</x:f>
      </x:c>
      <x:c r="D474" s="67"/>
      <x:c r="G474" s="68"/>
      <x:c r="K474" t="str">
        <x:f>IF(B474="","",IF(I474="확인 필요","붙임 문서 확인 후 거래 성격·기간·상대방·일회성 여부 확인","결의서명과 전기 대비 발생 건수·단가·시점 차이 검토"))</x:f>
      </x:c>
    </x:row>
    <x:row r="475">
      <x:c r="A475" t="str">
        <x:f>IF(B475="","",IF(COUNTIFS('전기원장'!$A$5:$A$1004,B475,'전기원장'!$D$5:$D$1004,E475)&gt;0,"전기","당기"))</x:f>
      </x:c>
      <x:c r="D475" s="67"/>
      <x:c r="G475" s="68"/>
      <x:c r="K475" t="str">
        <x:f>IF(B475="","",IF(I475="확인 필요","붙임 문서 확인 후 거래 성격·기간·상대방·일회성 여부 확인","결의서명과 전기 대비 발생 건수·단가·시점 차이 검토"))</x:f>
      </x:c>
    </x:row>
    <x:row r="476">
      <x:c r="A476" t="str">
        <x:f>IF(B476="","",IF(COUNTIFS('전기원장'!$A$5:$A$1004,B476,'전기원장'!$D$5:$D$1004,E476)&gt;0,"전기","당기"))</x:f>
      </x:c>
      <x:c r="D476" s="67"/>
      <x:c r="G476" s="68"/>
      <x:c r="K476" t="str">
        <x:f>IF(B476="","",IF(I476="확인 필요","붙임 문서 확인 후 거래 성격·기간·상대방·일회성 여부 확인","결의서명과 전기 대비 발생 건수·단가·시점 차이 검토"))</x:f>
      </x:c>
    </x:row>
    <x:row r="477">
      <x:c r="A477" t="str">
        <x:f>IF(B477="","",IF(COUNTIFS('전기원장'!$A$5:$A$1004,B477,'전기원장'!$D$5:$D$1004,E477)&gt;0,"전기","당기"))</x:f>
      </x:c>
      <x:c r="D477" s="67"/>
      <x:c r="G477" s="68"/>
      <x:c r="K477" t="str">
        <x:f>IF(B477="","",IF(I477="확인 필요","붙임 문서 확인 후 거래 성격·기간·상대방·일회성 여부 확인","결의서명과 전기 대비 발생 건수·단가·시점 차이 검토"))</x:f>
      </x:c>
    </x:row>
    <x:row r="478">
      <x:c r="A478" t="str">
        <x:f>IF(B478="","",IF(COUNTIFS('전기원장'!$A$5:$A$1004,B478,'전기원장'!$D$5:$D$1004,E478)&gt;0,"전기","당기"))</x:f>
      </x:c>
      <x:c r="D478" s="67"/>
      <x:c r="G478" s="68"/>
      <x:c r="K478" t="str">
        <x:f>IF(B478="","",IF(I478="확인 필요","붙임 문서 확인 후 거래 성격·기간·상대방·일회성 여부 확인","결의서명과 전기 대비 발생 건수·단가·시점 차이 검토"))</x:f>
      </x:c>
    </x:row>
    <x:row r="479">
      <x:c r="A479" t="str">
        <x:f>IF(B479="","",IF(COUNTIFS('전기원장'!$A$5:$A$1004,B479,'전기원장'!$D$5:$D$1004,E479)&gt;0,"전기","당기"))</x:f>
      </x:c>
      <x:c r="D479" s="67"/>
      <x:c r="G479" s="68"/>
      <x:c r="K479" t="str">
        <x:f>IF(B479="","",IF(I479="확인 필요","붙임 문서 확인 후 거래 성격·기간·상대방·일회성 여부 확인","결의서명과 전기 대비 발생 건수·단가·시점 차이 검토"))</x:f>
      </x:c>
    </x:row>
    <x:row r="480">
      <x:c r="A480" t="str">
        <x:f>IF(B480="","",IF(COUNTIFS('전기원장'!$A$5:$A$1004,B480,'전기원장'!$D$5:$D$1004,E480)&gt;0,"전기","당기"))</x:f>
      </x:c>
      <x:c r="D480" s="67"/>
      <x:c r="G480" s="68"/>
      <x:c r="K480" t="str">
        <x:f>IF(B480="","",IF(I480="확인 필요","붙임 문서 확인 후 거래 성격·기간·상대방·일회성 여부 확인","결의서명과 전기 대비 발생 건수·단가·시점 차이 검토"))</x:f>
      </x:c>
    </x:row>
    <x:row r="481">
      <x:c r="A481" t="str">
        <x:f>IF(B481="","",IF(COUNTIFS('전기원장'!$A$5:$A$1004,B481,'전기원장'!$D$5:$D$1004,E481)&gt;0,"전기","당기"))</x:f>
      </x:c>
      <x:c r="D481" s="67"/>
      <x:c r="G481" s="68"/>
      <x:c r="K481" t="str">
        <x:f>IF(B481="","",IF(I481="확인 필요","붙임 문서 확인 후 거래 성격·기간·상대방·일회성 여부 확인","결의서명과 전기 대비 발생 건수·단가·시점 차이 검토"))</x:f>
      </x:c>
    </x:row>
    <x:row r="482">
      <x:c r="A482" t="str">
        <x:f>IF(B482="","",IF(COUNTIFS('전기원장'!$A$5:$A$1004,B482,'전기원장'!$D$5:$D$1004,E482)&gt;0,"전기","당기"))</x:f>
      </x:c>
      <x:c r="D482" s="67"/>
      <x:c r="G482" s="68"/>
      <x:c r="K482" t="str">
        <x:f>IF(B482="","",IF(I482="확인 필요","붙임 문서 확인 후 거래 성격·기간·상대방·일회성 여부 확인","결의서명과 전기 대비 발생 건수·단가·시점 차이 검토"))</x:f>
      </x:c>
    </x:row>
    <x:row r="483">
      <x:c r="A483" t="str">
        <x:f>IF(B483="","",IF(COUNTIFS('전기원장'!$A$5:$A$1004,B483,'전기원장'!$D$5:$D$1004,E483)&gt;0,"전기","당기"))</x:f>
      </x:c>
      <x:c r="D483" s="67"/>
      <x:c r="G483" s="68"/>
      <x:c r="K483" t="str">
        <x:f>IF(B483="","",IF(I483="확인 필요","붙임 문서 확인 후 거래 성격·기간·상대방·일회성 여부 확인","결의서명과 전기 대비 발생 건수·단가·시점 차이 검토"))</x:f>
      </x:c>
    </x:row>
    <x:row r="484">
      <x:c r="A484" t="str">
        <x:f>IF(B484="","",IF(COUNTIFS('전기원장'!$A$5:$A$1004,B484,'전기원장'!$D$5:$D$1004,E484)&gt;0,"전기","당기"))</x:f>
      </x:c>
      <x:c r="D484" s="67"/>
      <x:c r="G484" s="68"/>
      <x:c r="K484" t="str">
        <x:f>IF(B484="","",IF(I484="확인 필요","붙임 문서 확인 후 거래 성격·기간·상대방·일회성 여부 확인","결의서명과 전기 대비 발생 건수·단가·시점 차이 검토"))</x:f>
      </x:c>
    </x:row>
    <x:row r="485">
      <x:c r="A485" t="str">
        <x:f>IF(B485="","",IF(COUNTIFS('전기원장'!$A$5:$A$1004,B485,'전기원장'!$D$5:$D$1004,E485)&gt;0,"전기","당기"))</x:f>
      </x:c>
      <x:c r="D485" s="67"/>
      <x:c r="G485" s="68"/>
      <x:c r="K485" t="str">
        <x:f>IF(B485="","",IF(I485="확인 필요","붙임 문서 확인 후 거래 성격·기간·상대방·일회성 여부 확인","결의서명과 전기 대비 발생 건수·단가·시점 차이 검토"))</x:f>
      </x:c>
    </x:row>
    <x:row r="486">
      <x:c r="A486" t="str">
        <x:f>IF(B486="","",IF(COUNTIFS('전기원장'!$A$5:$A$1004,B486,'전기원장'!$D$5:$D$1004,E486)&gt;0,"전기","당기"))</x:f>
      </x:c>
      <x:c r="D486" s="67"/>
      <x:c r="G486" s="68"/>
      <x:c r="K486" t="str">
        <x:f>IF(B486="","",IF(I486="확인 필요","붙임 문서 확인 후 거래 성격·기간·상대방·일회성 여부 확인","결의서명과 전기 대비 발생 건수·단가·시점 차이 검토"))</x:f>
      </x:c>
    </x:row>
    <x:row r="487">
      <x:c r="A487" t="str">
        <x:f>IF(B487="","",IF(COUNTIFS('전기원장'!$A$5:$A$1004,B487,'전기원장'!$D$5:$D$1004,E487)&gt;0,"전기","당기"))</x:f>
      </x:c>
      <x:c r="D487" s="67"/>
      <x:c r="G487" s="68"/>
      <x:c r="K487" t="str">
        <x:f>IF(B487="","",IF(I487="확인 필요","붙임 문서 확인 후 거래 성격·기간·상대방·일회성 여부 확인","결의서명과 전기 대비 발생 건수·단가·시점 차이 검토"))</x:f>
      </x:c>
    </x:row>
    <x:row r="488">
      <x:c r="A488" t="str">
        <x:f>IF(B488="","",IF(COUNTIFS('전기원장'!$A$5:$A$1004,B488,'전기원장'!$D$5:$D$1004,E488)&gt;0,"전기","당기"))</x:f>
      </x:c>
      <x:c r="D488" s="67"/>
      <x:c r="G488" s="68"/>
      <x:c r="K488" t="str">
        <x:f>IF(B488="","",IF(I488="확인 필요","붙임 문서 확인 후 거래 성격·기간·상대방·일회성 여부 확인","결의서명과 전기 대비 발생 건수·단가·시점 차이 검토"))</x:f>
      </x:c>
    </x:row>
    <x:row r="489">
      <x:c r="A489" t="str">
        <x:f>IF(B489="","",IF(COUNTIFS('전기원장'!$A$5:$A$1004,B489,'전기원장'!$D$5:$D$1004,E489)&gt;0,"전기","당기"))</x:f>
      </x:c>
      <x:c r="D489" s="67"/>
      <x:c r="G489" s="68"/>
      <x:c r="K489" t="str">
        <x:f>IF(B489="","",IF(I489="확인 필요","붙임 문서 확인 후 거래 성격·기간·상대방·일회성 여부 확인","결의서명과 전기 대비 발생 건수·단가·시점 차이 검토"))</x:f>
      </x:c>
    </x:row>
    <x:row r="490">
      <x:c r="A490" t="str">
        <x:f>IF(B490="","",IF(COUNTIFS('전기원장'!$A$5:$A$1004,B490,'전기원장'!$D$5:$D$1004,E490)&gt;0,"전기","당기"))</x:f>
      </x:c>
      <x:c r="D490" s="67"/>
      <x:c r="G490" s="68"/>
      <x:c r="K490" t="str">
        <x:f>IF(B490="","",IF(I490="확인 필요","붙임 문서 확인 후 거래 성격·기간·상대방·일회성 여부 확인","결의서명과 전기 대비 발생 건수·단가·시점 차이 검토"))</x:f>
      </x:c>
    </x:row>
    <x:row r="491">
      <x:c r="A491" t="str">
        <x:f>IF(B491="","",IF(COUNTIFS('전기원장'!$A$5:$A$1004,B491,'전기원장'!$D$5:$D$1004,E491)&gt;0,"전기","당기"))</x:f>
      </x:c>
      <x:c r="D491" s="67"/>
      <x:c r="G491" s="68"/>
      <x:c r="K491" t="str">
        <x:f>IF(B491="","",IF(I491="확인 필요","붙임 문서 확인 후 거래 성격·기간·상대방·일회성 여부 확인","결의서명과 전기 대비 발생 건수·단가·시점 차이 검토"))</x:f>
      </x:c>
    </x:row>
    <x:row r="492">
      <x:c r="A492" t="str">
        <x:f>IF(B492="","",IF(COUNTIFS('전기원장'!$A$5:$A$1004,B492,'전기원장'!$D$5:$D$1004,E492)&gt;0,"전기","당기"))</x:f>
      </x:c>
      <x:c r="D492" s="67"/>
      <x:c r="G492" s="68"/>
      <x:c r="K492" t="str">
        <x:f>IF(B492="","",IF(I492="확인 필요","붙임 문서 확인 후 거래 성격·기간·상대방·일회성 여부 확인","결의서명과 전기 대비 발생 건수·단가·시점 차이 검토"))</x:f>
      </x:c>
    </x:row>
    <x:row r="493">
      <x:c r="A493" t="str">
        <x:f>IF(B493="","",IF(COUNTIFS('전기원장'!$A$5:$A$1004,B493,'전기원장'!$D$5:$D$1004,E493)&gt;0,"전기","당기"))</x:f>
      </x:c>
      <x:c r="D493" s="67"/>
      <x:c r="G493" s="68"/>
      <x:c r="K493" t="str">
        <x:f>IF(B493="","",IF(I493="확인 필요","붙임 문서 확인 후 거래 성격·기간·상대방·일회성 여부 확인","결의서명과 전기 대비 발생 건수·단가·시점 차이 검토"))</x:f>
      </x:c>
    </x:row>
    <x:row r="494">
      <x:c r="A494" t="str">
        <x:f>IF(B494="","",IF(COUNTIFS('전기원장'!$A$5:$A$1004,B494,'전기원장'!$D$5:$D$1004,E494)&gt;0,"전기","당기"))</x:f>
      </x:c>
      <x:c r="D494" s="67"/>
      <x:c r="G494" s="68"/>
      <x:c r="K494" t="str">
        <x:f>IF(B494="","",IF(I494="확인 필요","붙임 문서 확인 후 거래 성격·기간·상대방·일회성 여부 확인","결의서명과 전기 대비 발생 건수·단가·시점 차이 검토"))</x:f>
      </x:c>
    </x:row>
    <x:row r="495">
      <x:c r="A495" t="str">
        <x:f>IF(B495="","",IF(COUNTIFS('전기원장'!$A$5:$A$1004,B495,'전기원장'!$D$5:$D$1004,E495)&gt;0,"전기","당기"))</x:f>
      </x:c>
      <x:c r="D495" s="67"/>
      <x:c r="G495" s="68"/>
      <x:c r="K495" t="str">
        <x:f>IF(B495="","",IF(I495="확인 필요","붙임 문서 확인 후 거래 성격·기간·상대방·일회성 여부 확인","결의서명과 전기 대비 발생 건수·단가·시점 차이 검토"))</x:f>
      </x:c>
    </x:row>
    <x:row r="496">
      <x:c r="A496" t="str">
        <x:f>IF(B496="","",IF(COUNTIFS('전기원장'!$A$5:$A$1004,B496,'전기원장'!$D$5:$D$1004,E496)&gt;0,"전기","당기"))</x:f>
      </x:c>
      <x:c r="D496" s="67"/>
      <x:c r="G496" s="68"/>
      <x:c r="K496" t="str">
        <x:f>IF(B496="","",IF(I496="확인 필요","붙임 문서 확인 후 거래 성격·기간·상대방·일회성 여부 확인","결의서명과 전기 대비 발생 건수·단가·시점 차이 검토"))</x:f>
      </x:c>
    </x:row>
    <x:row r="497">
      <x:c r="A497" t="str">
        <x:f>IF(B497="","",IF(COUNTIFS('전기원장'!$A$5:$A$1004,B497,'전기원장'!$D$5:$D$1004,E497)&gt;0,"전기","당기"))</x:f>
      </x:c>
      <x:c r="D497" s="67"/>
      <x:c r="G497" s="68"/>
      <x:c r="K497" t="str">
        <x:f>IF(B497="","",IF(I497="확인 필요","붙임 문서 확인 후 거래 성격·기간·상대방·일회성 여부 확인","결의서명과 전기 대비 발생 건수·단가·시점 차이 검토"))</x:f>
      </x:c>
    </x:row>
    <x:row r="498">
      <x:c r="A498" t="str">
        <x:f>IF(B498="","",IF(COUNTIFS('전기원장'!$A$5:$A$1004,B498,'전기원장'!$D$5:$D$1004,E498)&gt;0,"전기","당기"))</x:f>
      </x:c>
      <x:c r="D498" s="67"/>
      <x:c r="G498" s="68"/>
      <x:c r="K498" t="str">
        <x:f>IF(B498="","",IF(I498="확인 필요","붙임 문서 확인 후 거래 성격·기간·상대방·일회성 여부 확인","결의서명과 전기 대비 발생 건수·단가·시점 차이 검토"))</x:f>
      </x:c>
    </x:row>
    <x:row r="499">
      <x:c r="A499" t="str">
        <x:f>IF(B499="","",IF(COUNTIFS('전기원장'!$A$5:$A$1004,B499,'전기원장'!$D$5:$D$1004,E499)&gt;0,"전기","당기"))</x:f>
      </x:c>
      <x:c r="D499" s="67"/>
      <x:c r="G499" s="68"/>
      <x:c r="K499" t="str">
        <x:f>IF(B499="","",IF(I499="확인 필요","붙임 문서 확인 후 거래 성격·기간·상대방·일회성 여부 확인","결의서명과 전기 대비 발생 건수·단가·시점 차이 검토"))</x:f>
      </x:c>
    </x:row>
    <x:row r="500">
      <x:c r="A500" t="str">
        <x:f>IF(B500="","",IF(COUNTIFS('전기원장'!$A$5:$A$1004,B500,'전기원장'!$D$5:$D$1004,E500)&gt;0,"전기","당기"))</x:f>
      </x:c>
      <x:c r="D500" s="67"/>
      <x:c r="G500" s="68"/>
      <x:c r="K500" t="str">
        <x:f>IF(B500="","",IF(I500="확인 필요","붙임 문서 확인 후 거래 성격·기간·상대방·일회성 여부 확인","결의서명과 전기 대비 발생 건수·단가·시점 차이 검토"))</x:f>
      </x:c>
    </x:row>
    <x:row r="501">
      <x:c r="A501" t="str">
        <x:f>IF(B501="","",IF(COUNTIFS('전기원장'!$A$5:$A$1004,B501,'전기원장'!$D$5:$D$1004,E501)&gt;0,"전기","당기"))</x:f>
      </x:c>
      <x:c r="D501" s="67"/>
      <x:c r="G501" s="68"/>
      <x:c r="K501" t="str">
        <x:f>IF(B501="","",IF(I501="확인 필요","붙임 문서 확인 후 거래 성격·기간·상대방·일회성 여부 확인","결의서명과 전기 대비 발생 건수·단가·시점 차이 검토"))</x:f>
      </x:c>
    </x:row>
    <x:row r="502">
      <x:c r="A502" t="str">
        <x:f>IF(B502="","",IF(COUNTIFS('전기원장'!$A$5:$A$1004,B502,'전기원장'!$D$5:$D$1004,E502)&gt;0,"전기","당기"))</x:f>
      </x:c>
      <x:c r="D502" s="67"/>
      <x:c r="G502" s="68"/>
      <x:c r="K502" t="str">
        <x:f>IF(B502="","",IF(I502="확인 필요","붙임 문서 확인 후 거래 성격·기간·상대방·일회성 여부 확인","결의서명과 전기 대비 발생 건수·단가·시점 차이 검토"))</x:f>
      </x:c>
    </x:row>
    <x:row r="503">
      <x:c r="A503" t="str">
        <x:f>IF(B503="","",IF(COUNTIFS('전기원장'!$A$5:$A$1004,B503,'전기원장'!$D$5:$D$1004,E503)&gt;0,"전기","당기"))</x:f>
      </x:c>
      <x:c r="D503" s="67"/>
      <x:c r="G503" s="68"/>
      <x:c r="K503" t="str">
        <x:f>IF(B503="","",IF(I503="확인 필요","붙임 문서 확인 후 거래 성격·기간·상대방·일회성 여부 확인","결의서명과 전기 대비 발생 건수·단가·시점 차이 검토"))</x:f>
      </x:c>
    </x:row>
    <x:row r="504">
      <x:c r="A504" t="str">
        <x:f>IF(B504="","",IF(COUNTIFS('전기원장'!$A$5:$A$1004,B504,'전기원장'!$D$5:$D$1004,E504)&gt;0,"전기","당기"))</x:f>
      </x:c>
      <x:c r="D504" s="67"/>
      <x:c r="G504" s="68"/>
      <x:c r="K504" t="str">
        <x:f>IF(B504="","",IF(I504="확인 필요","붙임 문서 확인 후 거래 성격·기간·상대방·일회성 여부 확인","결의서명과 전기 대비 발생 건수·단가·시점 차이 검토"))</x:f>
      </x:c>
    </x:row>
    <x:row r="505">
      <x:c r="A505" t="str">
        <x:f>IF(B505="","",IF(COUNTIFS('전기원장'!$A$5:$A$1004,B505,'전기원장'!$D$5:$D$1004,E505)&gt;0,"전기","당기"))</x:f>
      </x:c>
      <x:c r="D505" s="67"/>
      <x:c r="G505" s="68"/>
      <x:c r="K505" t="str">
        <x:f>IF(B505="","",IF(I505="확인 필요","붙임 문서 확인 후 거래 성격·기간·상대방·일회성 여부 확인","결의서명과 전기 대비 발생 건수·단가·시점 차이 검토"))</x:f>
      </x:c>
    </x:row>
    <x:row r="506">
      <x:c r="A506" t="str">
        <x:f>IF(B506="","",IF(COUNTIFS('전기원장'!$A$5:$A$1004,B506,'전기원장'!$D$5:$D$1004,E506)&gt;0,"전기","당기"))</x:f>
      </x:c>
      <x:c r="D506" s="67"/>
      <x:c r="G506" s="68"/>
      <x:c r="K506" t="str">
        <x:f>IF(B506="","",IF(I506="확인 필요","붙임 문서 확인 후 거래 성격·기간·상대방·일회성 여부 확인","결의서명과 전기 대비 발생 건수·단가·시점 차이 검토"))</x:f>
      </x:c>
    </x:row>
    <x:row r="507">
      <x:c r="A507" t="str">
        <x:f>IF(B507="","",IF(COUNTIFS('전기원장'!$A$5:$A$1004,B507,'전기원장'!$D$5:$D$1004,E507)&gt;0,"전기","당기"))</x:f>
      </x:c>
      <x:c r="D507" s="67"/>
      <x:c r="G507" s="68"/>
      <x:c r="K507" t="str">
        <x:f>IF(B507="","",IF(I507="확인 필요","붙임 문서 확인 후 거래 성격·기간·상대방·일회성 여부 확인","결의서명과 전기 대비 발생 건수·단가·시점 차이 검토"))</x:f>
      </x:c>
    </x:row>
    <x:row r="508">
      <x:c r="A508" t="str">
        <x:f>IF(B508="","",IF(COUNTIFS('전기원장'!$A$5:$A$1004,B508,'전기원장'!$D$5:$D$1004,E508)&gt;0,"전기","당기"))</x:f>
      </x:c>
      <x:c r="D508" s="67"/>
      <x:c r="G508" s="68"/>
      <x:c r="K508" t="str">
        <x:f>IF(B508="","",IF(I508="확인 필요","붙임 문서 확인 후 거래 성격·기간·상대방·일회성 여부 확인","결의서명과 전기 대비 발생 건수·단가·시점 차이 검토"))</x:f>
      </x:c>
    </x:row>
    <x:row r="509">
      <x:c r="A509" t="str">
        <x:f>IF(B509="","",IF(COUNTIFS('전기원장'!$A$5:$A$1004,B509,'전기원장'!$D$5:$D$1004,E509)&gt;0,"전기","당기"))</x:f>
      </x:c>
      <x:c r="D509" s="67"/>
      <x:c r="G509" s="68"/>
      <x:c r="K509" t="str">
        <x:f>IF(B509="","",IF(I509="확인 필요","붙임 문서 확인 후 거래 성격·기간·상대방·일회성 여부 확인","결의서명과 전기 대비 발생 건수·단가·시점 차이 검토"))</x:f>
      </x:c>
    </x:row>
    <x:row r="510">
      <x:c r="A510" t="str">
        <x:f>IF(B510="","",IF(COUNTIFS('전기원장'!$A$5:$A$1004,B510,'전기원장'!$D$5:$D$1004,E510)&gt;0,"전기","당기"))</x:f>
      </x:c>
      <x:c r="D510" s="67"/>
      <x:c r="G510" s="68"/>
      <x:c r="K510" t="str">
        <x:f>IF(B510="","",IF(I510="확인 필요","붙임 문서 확인 후 거래 성격·기간·상대방·일회성 여부 확인","결의서명과 전기 대비 발생 건수·단가·시점 차이 검토"))</x:f>
      </x:c>
    </x:row>
    <x:row r="511">
      <x:c r="A511" t="str">
        <x:f>IF(B511="","",IF(COUNTIFS('전기원장'!$A$5:$A$1004,B511,'전기원장'!$D$5:$D$1004,E511)&gt;0,"전기","당기"))</x:f>
      </x:c>
      <x:c r="D511" s="67"/>
      <x:c r="G511" s="68"/>
      <x:c r="K511" t="str">
        <x:f>IF(B511="","",IF(I511="확인 필요","붙임 문서 확인 후 거래 성격·기간·상대방·일회성 여부 확인","결의서명과 전기 대비 발생 건수·단가·시점 차이 검토"))</x:f>
      </x:c>
    </x:row>
    <x:row r="512">
      <x:c r="A512" t="str">
        <x:f>IF(B512="","",IF(COUNTIFS('전기원장'!$A$5:$A$1004,B512,'전기원장'!$D$5:$D$1004,E512)&gt;0,"전기","당기"))</x:f>
      </x:c>
      <x:c r="D512" s="67"/>
      <x:c r="G512" s="68"/>
      <x:c r="K512" t="str">
        <x:f>IF(B512="","",IF(I512="확인 필요","붙임 문서 확인 후 거래 성격·기간·상대방·일회성 여부 확인","결의서명과 전기 대비 발생 건수·단가·시점 차이 검토"))</x:f>
      </x:c>
    </x:row>
    <x:row r="513">
      <x:c r="A513" t="str">
        <x:f>IF(B513="","",IF(COUNTIFS('전기원장'!$A$5:$A$1004,B513,'전기원장'!$D$5:$D$1004,E513)&gt;0,"전기","당기"))</x:f>
      </x:c>
      <x:c r="D513" s="67"/>
      <x:c r="G513" s="68"/>
      <x:c r="K513" t="str">
        <x:f>IF(B513="","",IF(I513="확인 필요","붙임 문서 확인 후 거래 성격·기간·상대방·일회성 여부 확인","결의서명과 전기 대비 발생 건수·단가·시점 차이 검토"))</x:f>
      </x:c>
    </x:row>
    <x:row r="514">
      <x:c r="A514" t="str">
        <x:f>IF(B514="","",IF(COUNTIFS('전기원장'!$A$5:$A$1004,B514,'전기원장'!$D$5:$D$1004,E514)&gt;0,"전기","당기"))</x:f>
      </x:c>
      <x:c r="D514" s="67"/>
      <x:c r="G514" s="68"/>
      <x:c r="K514" t="str">
        <x:f>IF(B514="","",IF(I514="확인 필요","붙임 문서 확인 후 거래 성격·기간·상대방·일회성 여부 확인","결의서명과 전기 대비 발생 건수·단가·시점 차이 검토"))</x:f>
      </x:c>
    </x:row>
    <x:row r="515">
      <x:c r="A515" t="str">
        <x:f>IF(B515="","",IF(COUNTIFS('전기원장'!$A$5:$A$1004,B515,'전기원장'!$D$5:$D$1004,E515)&gt;0,"전기","당기"))</x:f>
      </x:c>
      <x:c r="D515" s="67"/>
      <x:c r="G515" s="68"/>
      <x:c r="K515" t="str">
        <x:f>IF(B515="","",IF(I515="확인 필요","붙임 문서 확인 후 거래 성격·기간·상대방·일회성 여부 확인","결의서명과 전기 대비 발생 건수·단가·시점 차이 검토"))</x:f>
      </x:c>
    </x:row>
    <x:row r="516">
      <x:c r="A516" t="str">
        <x:f>IF(B516="","",IF(COUNTIFS('전기원장'!$A$5:$A$1004,B516,'전기원장'!$D$5:$D$1004,E516)&gt;0,"전기","당기"))</x:f>
      </x:c>
      <x:c r="D516" s="67"/>
      <x:c r="G516" s="68"/>
      <x:c r="K516" t="str">
        <x:f>IF(B516="","",IF(I516="확인 필요","붙임 문서 확인 후 거래 성격·기간·상대방·일회성 여부 확인","결의서명과 전기 대비 발생 건수·단가·시점 차이 검토"))</x:f>
      </x:c>
    </x:row>
    <x:row r="517">
      <x:c r="A517" t="str">
        <x:f>IF(B517="","",IF(COUNTIFS('전기원장'!$A$5:$A$1004,B517,'전기원장'!$D$5:$D$1004,E517)&gt;0,"전기","당기"))</x:f>
      </x:c>
      <x:c r="D517" s="67"/>
      <x:c r="G517" s="68"/>
      <x:c r="K517" t="str">
        <x:f>IF(B517="","",IF(I517="확인 필요","붙임 문서 확인 후 거래 성격·기간·상대방·일회성 여부 확인","결의서명과 전기 대비 발생 건수·단가·시점 차이 검토"))</x:f>
      </x:c>
    </x:row>
    <x:row r="518">
      <x:c r="A518" t="str">
        <x:f>IF(B518="","",IF(COUNTIFS('전기원장'!$A$5:$A$1004,B518,'전기원장'!$D$5:$D$1004,E518)&gt;0,"전기","당기"))</x:f>
      </x:c>
      <x:c r="D518" s="67"/>
      <x:c r="G518" s="68"/>
      <x:c r="K518" t="str">
        <x:f>IF(B518="","",IF(I518="확인 필요","붙임 문서 확인 후 거래 성격·기간·상대방·일회성 여부 확인","결의서명과 전기 대비 발생 건수·단가·시점 차이 검토"))</x:f>
      </x:c>
    </x:row>
    <x:row r="519">
      <x:c r="A519" t="str">
        <x:f>IF(B519="","",IF(COUNTIFS('전기원장'!$A$5:$A$1004,B519,'전기원장'!$D$5:$D$1004,E519)&gt;0,"전기","당기"))</x:f>
      </x:c>
      <x:c r="D519" s="67"/>
      <x:c r="G519" s="68"/>
      <x:c r="K519" t="str">
        <x:f>IF(B519="","",IF(I519="확인 필요","붙임 문서 확인 후 거래 성격·기간·상대방·일회성 여부 확인","결의서명과 전기 대비 발생 건수·단가·시점 차이 검토"))</x:f>
      </x:c>
    </x:row>
    <x:row r="520">
      <x:c r="A520" t="str">
        <x:f>IF(B520="","",IF(COUNTIFS('전기원장'!$A$5:$A$1004,B520,'전기원장'!$D$5:$D$1004,E520)&gt;0,"전기","당기"))</x:f>
      </x:c>
      <x:c r="D520" s="67"/>
      <x:c r="G520" s="68"/>
      <x:c r="K520" t="str">
        <x:f>IF(B520="","",IF(I520="확인 필요","붙임 문서 확인 후 거래 성격·기간·상대방·일회성 여부 확인","결의서명과 전기 대비 발생 건수·단가·시점 차이 검토"))</x:f>
      </x:c>
    </x:row>
    <x:row r="521">
      <x:c r="A521" t="str">
        <x:f>IF(B521="","",IF(COUNTIFS('전기원장'!$A$5:$A$1004,B521,'전기원장'!$D$5:$D$1004,E521)&gt;0,"전기","당기"))</x:f>
      </x:c>
      <x:c r="D521" s="67"/>
      <x:c r="G521" s="68"/>
      <x:c r="K521" t="str">
        <x:f>IF(B521="","",IF(I521="확인 필요","붙임 문서 확인 후 거래 성격·기간·상대방·일회성 여부 확인","결의서명과 전기 대비 발생 건수·단가·시점 차이 검토"))</x:f>
      </x:c>
    </x:row>
    <x:row r="522">
      <x:c r="A522" t="str">
        <x:f>IF(B522="","",IF(COUNTIFS('전기원장'!$A$5:$A$1004,B522,'전기원장'!$D$5:$D$1004,E522)&gt;0,"전기","당기"))</x:f>
      </x:c>
      <x:c r="D522" s="67"/>
      <x:c r="G522" s="68"/>
      <x:c r="K522" t="str">
        <x:f>IF(B522="","",IF(I522="확인 필요","붙임 문서 확인 후 거래 성격·기간·상대방·일회성 여부 확인","결의서명과 전기 대비 발생 건수·단가·시점 차이 검토"))</x:f>
      </x:c>
    </x:row>
    <x:row r="523">
      <x:c r="A523" t="str">
        <x:f>IF(B523="","",IF(COUNTIFS('전기원장'!$A$5:$A$1004,B523,'전기원장'!$D$5:$D$1004,E523)&gt;0,"전기","당기"))</x:f>
      </x:c>
      <x:c r="D523" s="67"/>
      <x:c r="G523" s="68"/>
      <x:c r="K523" t="str">
        <x:f>IF(B523="","",IF(I523="확인 필요","붙임 문서 확인 후 거래 성격·기간·상대방·일회성 여부 확인","결의서명과 전기 대비 발생 건수·단가·시점 차이 검토"))</x:f>
      </x:c>
    </x:row>
    <x:row r="524">
      <x:c r="A524" t="str">
        <x:f>IF(B524="","",IF(COUNTIFS('전기원장'!$A$5:$A$1004,B524,'전기원장'!$D$5:$D$1004,E524)&gt;0,"전기","당기"))</x:f>
      </x:c>
      <x:c r="D524" s="67"/>
      <x:c r="G524" s="68"/>
      <x:c r="K524" t="str">
        <x:f>IF(B524="","",IF(I524="확인 필요","붙임 문서 확인 후 거래 성격·기간·상대방·일회성 여부 확인","결의서명과 전기 대비 발생 건수·단가·시점 차이 검토"))</x:f>
      </x:c>
    </x:row>
    <x:row r="525">
      <x:c r="A525" t="str">
        <x:f>IF(B525="","",IF(COUNTIFS('전기원장'!$A$5:$A$1004,B525,'전기원장'!$D$5:$D$1004,E525)&gt;0,"전기","당기"))</x:f>
      </x:c>
      <x:c r="D525" s="67"/>
      <x:c r="G525" s="68"/>
      <x:c r="K525" t="str">
        <x:f>IF(B525="","",IF(I525="확인 필요","붙임 문서 확인 후 거래 성격·기간·상대방·일회성 여부 확인","결의서명과 전기 대비 발생 건수·단가·시점 차이 검토"))</x:f>
      </x:c>
    </x:row>
    <x:row r="526">
      <x:c r="A526" t="str">
        <x:f>IF(B526="","",IF(COUNTIFS('전기원장'!$A$5:$A$1004,B526,'전기원장'!$D$5:$D$1004,E526)&gt;0,"전기","당기"))</x:f>
      </x:c>
      <x:c r="D526" s="67"/>
      <x:c r="G526" s="68"/>
      <x:c r="K526" t="str">
        <x:f>IF(B526="","",IF(I526="확인 필요","붙임 문서 확인 후 거래 성격·기간·상대방·일회성 여부 확인","결의서명과 전기 대비 발생 건수·단가·시점 차이 검토"))</x:f>
      </x:c>
    </x:row>
    <x:row r="527">
      <x:c r="A527" t="str">
        <x:f>IF(B527="","",IF(COUNTIFS('전기원장'!$A$5:$A$1004,B527,'전기원장'!$D$5:$D$1004,E527)&gt;0,"전기","당기"))</x:f>
      </x:c>
      <x:c r="D527" s="67"/>
      <x:c r="G527" s="68"/>
      <x:c r="K527" t="str">
        <x:f>IF(B527="","",IF(I527="확인 필요","붙임 문서 확인 후 거래 성격·기간·상대방·일회성 여부 확인","결의서명과 전기 대비 발생 건수·단가·시점 차이 검토"))</x:f>
      </x:c>
    </x:row>
    <x:row r="528">
      <x:c r="A528" t="str">
        <x:f>IF(B528="","",IF(COUNTIFS('전기원장'!$A$5:$A$1004,B528,'전기원장'!$D$5:$D$1004,E528)&gt;0,"전기","당기"))</x:f>
      </x:c>
      <x:c r="D528" s="67"/>
      <x:c r="G528" s="68"/>
      <x:c r="K528" t="str">
        <x:f>IF(B528="","",IF(I528="확인 필요","붙임 문서 확인 후 거래 성격·기간·상대방·일회성 여부 확인","결의서명과 전기 대비 발생 건수·단가·시점 차이 검토"))</x:f>
      </x:c>
    </x:row>
    <x:row r="529">
      <x:c r="A529" t="str">
        <x:f>IF(B529="","",IF(COUNTIFS('전기원장'!$A$5:$A$1004,B529,'전기원장'!$D$5:$D$1004,E529)&gt;0,"전기","당기"))</x:f>
      </x:c>
      <x:c r="D529" s="67"/>
      <x:c r="G529" s="68"/>
      <x:c r="K529" t="str">
        <x:f>IF(B529="","",IF(I529="확인 필요","붙임 문서 확인 후 거래 성격·기간·상대방·일회성 여부 확인","결의서명과 전기 대비 발생 건수·단가·시점 차이 검토"))</x:f>
      </x:c>
    </x:row>
    <x:row r="530">
      <x:c r="A530" t="str">
        <x:f>IF(B530="","",IF(COUNTIFS('전기원장'!$A$5:$A$1004,B530,'전기원장'!$D$5:$D$1004,E530)&gt;0,"전기","당기"))</x:f>
      </x:c>
      <x:c r="D530" s="67"/>
      <x:c r="G530" s="68"/>
      <x:c r="K530" t="str">
        <x:f>IF(B530="","",IF(I530="확인 필요","붙임 문서 확인 후 거래 성격·기간·상대방·일회성 여부 확인","결의서명과 전기 대비 발생 건수·단가·시점 차이 검토"))</x:f>
      </x:c>
    </x:row>
    <x:row r="531">
      <x:c r="A531" t="str">
        <x:f>IF(B531="","",IF(COUNTIFS('전기원장'!$A$5:$A$1004,B531,'전기원장'!$D$5:$D$1004,E531)&gt;0,"전기","당기"))</x:f>
      </x:c>
      <x:c r="D531" s="67"/>
      <x:c r="G531" s="68"/>
      <x:c r="K531" t="str">
        <x:f>IF(B531="","",IF(I531="확인 필요","붙임 문서 확인 후 거래 성격·기간·상대방·일회성 여부 확인","결의서명과 전기 대비 발생 건수·단가·시점 차이 검토"))</x:f>
      </x:c>
    </x:row>
    <x:row r="532">
      <x:c r="A532" t="str">
        <x:f>IF(B532="","",IF(COUNTIFS('전기원장'!$A$5:$A$1004,B532,'전기원장'!$D$5:$D$1004,E532)&gt;0,"전기","당기"))</x:f>
      </x:c>
      <x:c r="D532" s="67"/>
      <x:c r="G532" s="68"/>
      <x:c r="K532" t="str">
        <x:f>IF(B532="","",IF(I532="확인 필요","붙임 문서 확인 후 거래 성격·기간·상대방·일회성 여부 확인","결의서명과 전기 대비 발생 건수·단가·시점 차이 검토"))</x:f>
      </x:c>
    </x:row>
    <x:row r="533">
      <x:c r="A533" t="str">
        <x:f>IF(B533="","",IF(COUNTIFS('전기원장'!$A$5:$A$1004,B533,'전기원장'!$D$5:$D$1004,E533)&gt;0,"전기","당기"))</x:f>
      </x:c>
      <x:c r="D533" s="67"/>
      <x:c r="G533" s="68"/>
      <x:c r="K533" t="str">
        <x:f>IF(B533="","",IF(I533="확인 필요","붙임 문서 확인 후 거래 성격·기간·상대방·일회성 여부 확인","결의서명과 전기 대비 발생 건수·단가·시점 차이 검토"))</x:f>
      </x:c>
    </x:row>
    <x:row r="534">
      <x:c r="A534" t="str">
        <x:f>IF(B534="","",IF(COUNTIFS('전기원장'!$A$5:$A$1004,B534,'전기원장'!$D$5:$D$1004,E534)&gt;0,"전기","당기"))</x:f>
      </x:c>
      <x:c r="D534" s="67"/>
      <x:c r="G534" s="68"/>
      <x:c r="K534" t="str">
        <x:f>IF(B534="","",IF(I534="확인 필요","붙임 문서 확인 후 거래 성격·기간·상대방·일회성 여부 확인","결의서명과 전기 대비 발생 건수·단가·시점 차이 검토"))</x:f>
      </x:c>
    </x:row>
    <x:row r="535">
      <x:c r="A535" t="str">
        <x:f>IF(B535="","",IF(COUNTIFS('전기원장'!$A$5:$A$1004,B535,'전기원장'!$D$5:$D$1004,E535)&gt;0,"전기","당기"))</x:f>
      </x:c>
      <x:c r="D535" s="67"/>
      <x:c r="G535" s="68"/>
      <x:c r="K535" t="str">
        <x:f>IF(B535="","",IF(I535="확인 필요","붙임 문서 확인 후 거래 성격·기간·상대방·일회성 여부 확인","결의서명과 전기 대비 발생 건수·단가·시점 차이 검토"))</x:f>
      </x:c>
    </x:row>
    <x:row r="536">
      <x:c r="A536" t="str">
        <x:f>IF(B536="","",IF(COUNTIFS('전기원장'!$A$5:$A$1004,B536,'전기원장'!$D$5:$D$1004,E536)&gt;0,"전기","당기"))</x:f>
      </x:c>
      <x:c r="D536" s="67"/>
      <x:c r="G536" s="68"/>
      <x:c r="K536" t="str">
        <x:f>IF(B536="","",IF(I536="확인 필요","붙임 문서 확인 후 거래 성격·기간·상대방·일회성 여부 확인","결의서명과 전기 대비 발생 건수·단가·시점 차이 검토"))</x:f>
      </x:c>
    </x:row>
    <x:row r="537">
      <x:c r="A537" t="str">
        <x:f>IF(B537="","",IF(COUNTIFS('전기원장'!$A$5:$A$1004,B537,'전기원장'!$D$5:$D$1004,E537)&gt;0,"전기","당기"))</x:f>
      </x:c>
      <x:c r="D537" s="67"/>
      <x:c r="G537" s="68"/>
      <x:c r="K537" t="str">
        <x:f>IF(B537="","",IF(I537="확인 필요","붙임 문서 확인 후 거래 성격·기간·상대방·일회성 여부 확인","결의서명과 전기 대비 발생 건수·단가·시점 차이 검토"))</x:f>
      </x:c>
    </x:row>
    <x:row r="538">
      <x:c r="A538" t="str">
        <x:f>IF(B538="","",IF(COUNTIFS('전기원장'!$A$5:$A$1004,B538,'전기원장'!$D$5:$D$1004,E538)&gt;0,"전기","당기"))</x:f>
      </x:c>
      <x:c r="D538" s="67"/>
      <x:c r="G538" s="68"/>
      <x:c r="K538" t="str">
        <x:f>IF(B538="","",IF(I538="확인 필요","붙임 문서 확인 후 거래 성격·기간·상대방·일회성 여부 확인","결의서명과 전기 대비 발생 건수·단가·시점 차이 검토"))</x:f>
      </x:c>
    </x:row>
    <x:row r="539">
      <x:c r="A539" t="str">
        <x:f>IF(B539="","",IF(COUNTIFS('전기원장'!$A$5:$A$1004,B539,'전기원장'!$D$5:$D$1004,E539)&gt;0,"전기","당기"))</x:f>
      </x:c>
      <x:c r="D539" s="67"/>
      <x:c r="G539" s="68"/>
      <x:c r="K539" t="str">
        <x:f>IF(B539="","",IF(I539="확인 필요","붙임 문서 확인 후 거래 성격·기간·상대방·일회성 여부 확인","결의서명과 전기 대비 발생 건수·단가·시점 차이 검토"))</x:f>
      </x:c>
    </x:row>
    <x:row r="540">
      <x:c r="A540" t="str">
        <x:f>IF(B540="","",IF(COUNTIFS('전기원장'!$A$5:$A$1004,B540,'전기원장'!$D$5:$D$1004,E540)&gt;0,"전기","당기"))</x:f>
      </x:c>
      <x:c r="D540" s="67"/>
      <x:c r="G540" s="68"/>
      <x:c r="K540" t="str">
        <x:f>IF(B540="","",IF(I540="확인 필요","붙임 문서 확인 후 거래 성격·기간·상대방·일회성 여부 확인","결의서명과 전기 대비 발생 건수·단가·시점 차이 검토"))</x:f>
      </x:c>
    </x:row>
    <x:row r="541">
      <x:c r="A541" t="str">
        <x:f>IF(B541="","",IF(COUNTIFS('전기원장'!$A$5:$A$1004,B541,'전기원장'!$D$5:$D$1004,E541)&gt;0,"전기","당기"))</x:f>
      </x:c>
      <x:c r="D541" s="67"/>
      <x:c r="G541" s="68"/>
      <x:c r="K541" t="str">
        <x:f>IF(B541="","",IF(I541="확인 필요","붙임 문서 확인 후 거래 성격·기간·상대방·일회성 여부 확인","결의서명과 전기 대비 발생 건수·단가·시점 차이 검토"))</x:f>
      </x:c>
    </x:row>
    <x:row r="542">
      <x:c r="A542" t="str">
        <x:f>IF(B542="","",IF(COUNTIFS('전기원장'!$A$5:$A$1004,B542,'전기원장'!$D$5:$D$1004,E542)&gt;0,"전기","당기"))</x:f>
      </x:c>
      <x:c r="D542" s="67"/>
      <x:c r="G542" s="68"/>
      <x:c r="K542" t="str">
        <x:f>IF(B542="","",IF(I542="확인 필요","붙임 문서 확인 후 거래 성격·기간·상대방·일회성 여부 확인","결의서명과 전기 대비 발생 건수·단가·시점 차이 검토"))</x:f>
      </x:c>
    </x:row>
    <x:row r="543">
      <x:c r="A543" t="str">
        <x:f>IF(B543="","",IF(COUNTIFS('전기원장'!$A$5:$A$1004,B543,'전기원장'!$D$5:$D$1004,E543)&gt;0,"전기","당기"))</x:f>
      </x:c>
      <x:c r="D543" s="67"/>
      <x:c r="G543" s="68"/>
      <x:c r="K543" t="str">
        <x:f>IF(B543="","",IF(I543="확인 필요","붙임 문서 확인 후 거래 성격·기간·상대방·일회성 여부 확인","결의서명과 전기 대비 발생 건수·단가·시점 차이 검토"))</x:f>
      </x:c>
    </x:row>
    <x:row r="544">
      <x:c r="A544" t="str">
        <x:f>IF(B544="","",IF(COUNTIFS('전기원장'!$A$5:$A$1004,B544,'전기원장'!$D$5:$D$1004,E544)&gt;0,"전기","당기"))</x:f>
      </x:c>
      <x:c r="D544" s="67"/>
      <x:c r="G544" s="68"/>
      <x:c r="K544" t="str">
        <x:f>IF(B544="","",IF(I544="확인 필요","붙임 문서 확인 후 거래 성격·기간·상대방·일회성 여부 확인","결의서명과 전기 대비 발생 건수·단가·시점 차이 검토"))</x:f>
      </x:c>
    </x:row>
    <x:row r="545">
      <x:c r="A545" t="str">
        <x:f>IF(B545="","",IF(COUNTIFS('전기원장'!$A$5:$A$1004,B545,'전기원장'!$D$5:$D$1004,E545)&gt;0,"전기","당기"))</x:f>
      </x:c>
      <x:c r="D545" s="67"/>
      <x:c r="G545" s="68"/>
      <x:c r="K545" t="str">
        <x:f>IF(B545="","",IF(I545="확인 필요","붙임 문서 확인 후 거래 성격·기간·상대방·일회성 여부 확인","결의서명과 전기 대비 발생 건수·단가·시점 차이 검토"))</x:f>
      </x:c>
    </x:row>
    <x:row r="546">
      <x:c r="A546" t="str">
        <x:f>IF(B546="","",IF(COUNTIFS('전기원장'!$A$5:$A$1004,B546,'전기원장'!$D$5:$D$1004,E546)&gt;0,"전기","당기"))</x:f>
      </x:c>
      <x:c r="D546" s="67"/>
      <x:c r="G546" s="68"/>
      <x:c r="K546" t="str">
        <x:f>IF(B546="","",IF(I546="확인 필요","붙임 문서 확인 후 거래 성격·기간·상대방·일회성 여부 확인","결의서명과 전기 대비 발생 건수·단가·시점 차이 검토"))</x:f>
      </x:c>
    </x:row>
    <x:row r="547">
      <x:c r="A547" t="str">
        <x:f>IF(B547="","",IF(COUNTIFS('전기원장'!$A$5:$A$1004,B547,'전기원장'!$D$5:$D$1004,E547)&gt;0,"전기","당기"))</x:f>
      </x:c>
      <x:c r="D547" s="67"/>
      <x:c r="G547" s="68"/>
      <x:c r="K547" t="str">
        <x:f>IF(B547="","",IF(I547="확인 필요","붙임 문서 확인 후 거래 성격·기간·상대방·일회성 여부 확인","결의서명과 전기 대비 발생 건수·단가·시점 차이 검토"))</x:f>
      </x:c>
    </x:row>
    <x:row r="548">
      <x:c r="A548" t="str">
        <x:f>IF(B548="","",IF(COUNTIFS('전기원장'!$A$5:$A$1004,B548,'전기원장'!$D$5:$D$1004,E548)&gt;0,"전기","당기"))</x:f>
      </x:c>
      <x:c r="D548" s="67"/>
      <x:c r="G548" s="68"/>
      <x:c r="K548" t="str">
        <x:f>IF(B548="","",IF(I548="확인 필요","붙임 문서 확인 후 거래 성격·기간·상대방·일회성 여부 확인","결의서명과 전기 대비 발생 건수·단가·시점 차이 검토"))</x:f>
      </x:c>
    </x:row>
    <x:row r="549">
      <x:c r="A549" t="str">
        <x:f>IF(B549="","",IF(COUNTIFS('전기원장'!$A$5:$A$1004,B549,'전기원장'!$D$5:$D$1004,E549)&gt;0,"전기","당기"))</x:f>
      </x:c>
      <x:c r="D549" s="67"/>
      <x:c r="G549" s="68"/>
      <x:c r="K549" t="str">
        <x:f>IF(B549="","",IF(I549="확인 필요","붙임 문서 확인 후 거래 성격·기간·상대방·일회성 여부 확인","결의서명과 전기 대비 발생 건수·단가·시점 차이 검토"))</x:f>
      </x:c>
    </x:row>
    <x:row r="550">
      <x:c r="A550" t="str">
        <x:f>IF(B550="","",IF(COUNTIFS('전기원장'!$A$5:$A$1004,B550,'전기원장'!$D$5:$D$1004,E550)&gt;0,"전기","당기"))</x:f>
      </x:c>
      <x:c r="D550" s="67"/>
      <x:c r="G550" s="68"/>
      <x:c r="K550" t="str">
        <x:f>IF(B550="","",IF(I550="확인 필요","붙임 문서 확인 후 거래 성격·기간·상대방·일회성 여부 확인","결의서명과 전기 대비 발생 건수·단가·시점 차이 검토"))</x:f>
      </x:c>
    </x:row>
    <x:row r="551">
      <x:c r="A551" t="str">
        <x:f>IF(B551="","",IF(COUNTIFS('전기원장'!$A$5:$A$1004,B551,'전기원장'!$D$5:$D$1004,E551)&gt;0,"전기","당기"))</x:f>
      </x:c>
      <x:c r="D551" s="67"/>
      <x:c r="G551" s="68"/>
      <x:c r="K551" t="str">
        <x:f>IF(B551="","",IF(I551="확인 필요","붙임 문서 확인 후 거래 성격·기간·상대방·일회성 여부 확인","결의서명과 전기 대비 발생 건수·단가·시점 차이 검토"))</x:f>
      </x:c>
    </x:row>
    <x:row r="552">
      <x:c r="A552" t="str">
        <x:f>IF(B552="","",IF(COUNTIFS('전기원장'!$A$5:$A$1004,B552,'전기원장'!$D$5:$D$1004,E552)&gt;0,"전기","당기"))</x:f>
      </x:c>
      <x:c r="D552" s="67"/>
      <x:c r="G552" s="68"/>
      <x:c r="K552" t="str">
        <x:f>IF(B552="","",IF(I552="확인 필요","붙임 문서 확인 후 거래 성격·기간·상대방·일회성 여부 확인","결의서명과 전기 대비 발생 건수·단가·시점 차이 검토"))</x:f>
      </x:c>
    </x:row>
    <x:row r="553">
      <x:c r="A553" t="str">
        <x:f>IF(B553="","",IF(COUNTIFS('전기원장'!$A$5:$A$1004,B553,'전기원장'!$D$5:$D$1004,E553)&gt;0,"전기","당기"))</x:f>
      </x:c>
      <x:c r="D553" s="67"/>
      <x:c r="G553" s="68"/>
      <x:c r="K553" t="str">
        <x:f>IF(B553="","",IF(I553="확인 필요","붙임 문서 확인 후 거래 성격·기간·상대방·일회성 여부 확인","결의서명과 전기 대비 발생 건수·단가·시점 차이 검토"))</x:f>
      </x:c>
    </x:row>
    <x:row r="554">
      <x:c r="A554" t="str">
        <x:f>IF(B554="","",IF(COUNTIFS('전기원장'!$A$5:$A$1004,B554,'전기원장'!$D$5:$D$1004,E554)&gt;0,"전기","당기"))</x:f>
      </x:c>
      <x:c r="D554" s="67"/>
      <x:c r="G554" s="68"/>
      <x:c r="K554" t="str">
        <x:f>IF(B554="","",IF(I554="확인 필요","붙임 문서 확인 후 거래 성격·기간·상대방·일회성 여부 확인","결의서명과 전기 대비 발생 건수·단가·시점 차이 검토"))</x:f>
      </x:c>
    </x:row>
    <x:row r="555">
      <x:c r="A555" t="str">
        <x:f>IF(B555="","",IF(COUNTIFS('전기원장'!$A$5:$A$1004,B555,'전기원장'!$D$5:$D$1004,E555)&gt;0,"전기","당기"))</x:f>
      </x:c>
      <x:c r="D555" s="67"/>
      <x:c r="G555" s="68"/>
      <x:c r="K555" t="str">
        <x:f>IF(B555="","",IF(I555="확인 필요","붙임 문서 확인 후 거래 성격·기간·상대방·일회성 여부 확인","결의서명과 전기 대비 발생 건수·단가·시점 차이 검토"))</x:f>
      </x:c>
    </x:row>
    <x:row r="556">
      <x:c r="A556" t="str">
        <x:f>IF(B556="","",IF(COUNTIFS('전기원장'!$A$5:$A$1004,B556,'전기원장'!$D$5:$D$1004,E556)&gt;0,"전기","당기"))</x:f>
      </x:c>
      <x:c r="D556" s="67"/>
      <x:c r="G556" s="68"/>
      <x:c r="K556" t="str">
        <x:f>IF(B556="","",IF(I556="확인 필요","붙임 문서 확인 후 거래 성격·기간·상대방·일회성 여부 확인","결의서명과 전기 대비 발생 건수·단가·시점 차이 검토"))</x:f>
      </x:c>
    </x:row>
    <x:row r="557">
      <x:c r="A557" t="str">
        <x:f>IF(B557="","",IF(COUNTIFS('전기원장'!$A$5:$A$1004,B557,'전기원장'!$D$5:$D$1004,E557)&gt;0,"전기","당기"))</x:f>
      </x:c>
      <x:c r="D557" s="67"/>
      <x:c r="G557" s="68"/>
      <x:c r="K557" t="str">
        <x:f>IF(B557="","",IF(I557="확인 필요","붙임 문서 확인 후 거래 성격·기간·상대방·일회성 여부 확인","결의서명과 전기 대비 발생 건수·단가·시점 차이 검토"))</x:f>
      </x:c>
    </x:row>
    <x:row r="558">
      <x:c r="A558" t="str">
        <x:f>IF(B558="","",IF(COUNTIFS('전기원장'!$A$5:$A$1004,B558,'전기원장'!$D$5:$D$1004,E558)&gt;0,"전기","당기"))</x:f>
      </x:c>
      <x:c r="D558" s="67"/>
      <x:c r="G558" s="68"/>
      <x:c r="K558" t="str">
        <x:f>IF(B558="","",IF(I558="확인 필요","붙임 문서 확인 후 거래 성격·기간·상대방·일회성 여부 확인","결의서명과 전기 대비 발생 건수·단가·시점 차이 검토"))</x:f>
      </x:c>
    </x:row>
    <x:row r="559">
      <x:c r="A559" t="str">
        <x:f>IF(B559="","",IF(COUNTIFS('전기원장'!$A$5:$A$1004,B559,'전기원장'!$D$5:$D$1004,E559)&gt;0,"전기","당기"))</x:f>
      </x:c>
      <x:c r="D559" s="67"/>
      <x:c r="G559" s="68"/>
      <x:c r="K559" t="str">
        <x:f>IF(B559="","",IF(I559="확인 필요","붙임 문서 확인 후 거래 성격·기간·상대방·일회성 여부 확인","결의서명과 전기 대비 발생 건수·단가·시점 차이 검토"))</x:f>
      </x:c>
    </x:row>
    <x:row r="560">
      <x:c r="A560" t="str">
        <x:f>IF(B560="","",IF(COUNTIFS('전기원장'!$A$5:$A$1004,B560,'전기원장'!$D$5:$D$1004,E560)&gt;0,"전기","당기"))</x:f>
      </x:c>
      <x:c r="D560" s="67"/>
      <x:c r="G560" s="68"/>
      <x:c r="K560" t="str">
        <x:f>IF(B560="","",IF(I560="확인 필요","붙임 문서 확인 후 거래 성격·기간·상대방·일회성 여부 확인","결의서명과 전기 대비 발생 건수·단가·시점 차이 검토"))</x:f>
      </x:c>
    </x:row>
    <x:row r="561">
      <x:c r="A561" t="str">
        <x:f>IF(B561="","",IF(COUNTIFS('전기원장'!$A$5:$A$1004,B561,'전기원장'!$D$5:$D$1004,E561)&gt;0,"전기","당기"))</x:f>
      </x:c>
      <x:c r="D561" s="67"/>
      <x:c r="G561" s="68"/>
      <x:c r="K561" t="str">
        <x:f>IF(B561="","",IF(I561="확인 필요","붙임 문서 확인 후 거래 성격·기간·상대방·일회성 여부 확인","결의서명과 전기 대비 발생 건수·단가·시점 차이 검토"))</x:f>
      </x:c>
    </x:row>
    <x:row r="562">
      <x:c r="A562" t="str">
        <x:f>IF(B562="","",IF(COUNTIFS('전기원장'!$A$5:$A$1004,B562,'전기원장'!$D$5:$D$1004,E562)&gt;0,"전기","당기"))</x:f>
      </x:c>
      <x:c r="D562" s="67"/>
      <x:c r="G562" s="68"/>
      <x:c r="K562" t="str">
        <x:f>IF(B562="","",IF(I562="확인 필요","붙임 문서 확인 후 거래 성격·기간·상대방·일회성 여부 확인","결의서명과 전기 대비 발생 건수·단가·시점 차이 검토"))</x:f>
      </x:c>
    </x:row>
    <x:row r="563">
      <x:c r="A563" t="str">
        <x:f>IF(B563="","",IF(COUNTIFS('전기원장'!$A$5:$A$1004,B563,'전기원장'!$D$5:$D$1004,E563)&gt;0,"전기","당기"))</x:f>
      </x:c>
      <x:c r="D563" s="67"/>
      <x:c r="G563" s="68"/>
      <x:c r="K563" t="str">
        <x:f>IF(B563="","",IF(I563="확인 필요","붙임 문서 확인 후 거래 성격·기간·상대방·일회성 여부 확인","결의서명과 전기 대비 발생 건수·단가·시점 차이 검토"))</x:f>
      </x:c>
    </x:row>
    <x:row r="564">
      <x:c r="A564" t="str">
        <x:f>IF(B564="","",IF(COUNTIFS('전기원장'!$A$5:$A$1004,B564,'전기원장'!$D$5:$D$1004,E564)&gt;0,"전기","당기"))</x:f>
      </x:c>
      <x:c r="D564" s="67"/>
      <x:c r="G564" s="68"/>
      <x:c r="K564" t="str">
        <x:f>IF(B564="","",IF(I564="확인 필요","붙임 문서 확인 후 거래 성격·기간·상대방·일회성 여부 확인","결의서명과 전기 대비 발생 건수·단가·시점 차이 검토"))</x:f>
      </x:c>
    </x:row>
    <x:row r="565">
      <x:c r="A565" t="str">
        <x:f>IF(B565="","",IF(COUNTIFS('전기원장'!$A$5:$A$1004,B565,'전기원장'!$D$5:$D$1004,E565)&gt;0,"전기","당기"))</x:f>
      </x:c>
      <x:c r="D565" s="67"/>
      <x:c r="G565" s="68"/>
      <x:c r="K565" t="str">
        <x:f>IF(B565="","",IF(I565="확인 필요","붙임 문서 확인 후 거래 성격·기간·상대방·일회성 여부 확인","결의서명과 전기 대비 발생 건수·단가·시점 차이 검토"))</x:f>
      </x:c>
    </x:row>
    <x:row r="566">
      <x:c r="A566" t="str">
        <x:f>IF(B566="","",IF(COUNTIFS('전기원장'!$A$5:$A$1004,B566,'전기원장'!$D$5:$D$1004,E566)&gt;0,"전기","당기"))</x:f>
      </x:c>
      <x:c r="D566" s="67"/>
      <x:c r="G566" s="68"/>
      <x:c r="K566" t="str">
        <x:f>IF(B566="","",IF(I566="확인 필요","붙임 문서 확인 후 거래 성격·기간·상대방·일회성 여부 확인","결의서명과 전기 대비 발생 건수·단가·시점 차이 검토"))</x:f>
      </x:c>
    </x:row>
    <x:row r="567">
      <x:c r="A567" t="str">
        <x:f>IF(B567="","",IF(COUNTIFS('전기원장'!$A$5:$A$1004,B567,'전기원장'!$D$5:$D$1004,E567)&gt;0,"전기","당기"))</x:f>
      </x:c>
      <x:c r="D567" s="67"/>
      <x:c r="G567" s="68"/>
      <x:c r="K567" t="str">
        <x:f>IF(B567="","",IF(I567="확인 필요","붙임 문서 확인 후 거래 성격·기간·상대방·일회성 여부 확인","결의서명과 전기 대비 발생 건수·단가·시점 차이 검토"))</x:f>
      </x:c>
    </x:row>
    <x:row r="568">
      <x:c r="A568" t="str">
        <x:f>IF(B568="","",IF(COUNTIFS('전기원장'!$A$5:$A$1004,B568,'전기원장'!$D$5:$D$1004,E568)&gt;0,"전기","당기"))</x:f>
      </x:c>
      <x:c r="D568" s="67"/>
      <x:c r="G568" s="68"/>
      <x:c r="K568" t="str">
        <x:f>IF(B568="","",IF(I568="확인 필요","붙임 문서 확인 후 거래 성격·기간·상대방·일회성 여부 확인","결의서명과 전기 대비 발생 건수·단가·시점 차이 검토"))</x:f>
      </x:c>
    </x:row>
    <x:row r="569">
      <x:c r="A569" t="str">
        <x:f>IF(B569="","",IF(COUNTIFS('전기원장'!$A$5:$A$1004,B569,'전기원장'!$D$5:$D$1004,E569)&gt;0,"전기","당기"))</x:f>
      </x:c>
      <x:c r="D569" s="67"/>
      <x:c r="G569" s="68"/>
      <x:c r="K569" t="str">
        <x:f>IF(B569="","",IF(I569="확인 필요","붙임 문서 확인 후 거래 성격·기간·상대방·일회성 여부 확인","결의서명과 전기 대비 발생 건수·단가·시점 차이 검토"))</x:f>
      </x:c>
    </x:row>
    <x:row r="570">
      <x:c r="A570" t="str">
        <x:f>IF(B570="","",IF(COUNTIFS('전기원장'!$A$5:$A$1004,B570,'전기원장'!$D$5:$D$1004,E570)&gt;0,"전기","당기"))</x:f>
      </x:c>
      <x:c r="D570" s="67"/>
      <x:c r="G570" s="68"/>
      <x:c r="K570" t="str">
        <x:f>IF(B570="","",IF(I570="확인 필요","붙임 문서 확인 후 거래 성격·기간·상대방·일회성 여부 확인","결의서명과 전기 대비 발생 건수·단가·시점 차이 검토"))</x:f>
      </x:c>
    </x:row>
    <x:row r="571">
      <x:c r="A571" t="str">
        <x:f>IF(B571="","",IF(COUNTIFS('전기원장'!$A$5:$A$1004,B571,'전기원장'!$D$5:$D$1004,E571)&gt;0,"전기","당기"))</x:f>
      </x:c>
      <x:c r="D571" s="67"/>
      <x:c r="G571" s="68"/>
      <x:c r="K571" t="str">
        <x:f>IF(B571="","",IF(I571="확인 필요","붙임 문서 확인 후 거래 성격·기간·상대방·일회성 여부 확인","결의서명과 전기 대비 발생 건수·단가·시점 차이 검토"))</x:f>
      </x:c>
    </x:row>
    <x:row r="572">
      <x:c r="A572" t="str">
        <x:f>IF(B572="","",IF(COUNTIFS('전기원장'!$A$5:$A$1004,B572,'전기원장'!$D$5:$D$1004,E572)&gt;0,"전기","당기"))</x:f>
      </x:c>
      <x:c r="D572" s="67"/>
      <x:c r="G572" s="68"/>
      <x:c r="K572" t="str">
        <x:f>IF(B572="","",IF(I572="확인 필요","붙임 문서 확인 후 거래 성격·기간·상대방·일회성 여부 확인","결의서명과 전기 대비 발생 건수·단가·시점 차이 검토"))</x:f>
      </x:c>
    </x:row>
    <x:row r="573">
      <x:c r="A573" t="str">
        <x:f>IF(B573="","",IF(COUNTIFS('전기원장'!$A$5:$A$1004,B573,'전기원장'!$D$5:$D$1004,E573)&gt;0,"전기","당기"))</x:f>
      </x:c>
      <x:c r="D573" s="67"/>
      <x:c r="G573" s="68"/>
      <x:c r="K573" t="str">
        <x:f>IF(B573="","",IF(I573="확인 필요","붙임 문서 확인 후 거래 성격·기간·상대방·일회성 여부 확인","결의서명과 전기 대비 발생 건수·단가·시점 차이 검토"))</x:f>
      </x:c>
    </x:row>
    <x:row r="574">
      <x:c r="A574" t="str">
        <x:f>IF(B574="","",IF(COUNTIFS('전기원장'!$A$5:$A$1004,B574,'전기원장'!$D$5:$D$1004,E574)&gt;0,"전기","당기"))</x:f>
      </x:c>
      <x:c r="D574" s="67"/>
      <x:c r="G574" s="68"/>
      <x:c r="K574" t="str">
        <x:f>IF(B574="","",IF(I574="확인 필요","붙임 문서 확인 후 거래 성격·기간·상대방·일회성 여부 확인","결의서명과 전기 대비 발생 건수·단가·시점 차이 검토"))</x:f>
      </x:c>
    </x:row>
    <x:row r="575">
      <x:c r="A575" t="str">
        <x:f>IF(B575="","",IF(COUNTIFS('전기원장'!$A$5:$A$1004,B575,'전기원장'!$D$5:$D$1004,E575)&gt;0,"전기","당기"))</x:f>
      </x:c>
      <x:c r="D575" s="67"/>
      <x:c r="G575" s="68"/>
      <x:c r="K575" t="str">
        <x:f>IF(B575="","",IF(I575="확인 필요","붙임 문서 확인 후 거래 성격·기간·상대방·일회성 여부 확인","결의서명과 전기 대비 발생 건수·단가·시점 차이 검토"))</x:f>
      </x:c>
    </x:row>
    <x:row r="576">
      <x:c r="A576" t="str">
        <x:f>IF(B576="","",IF(COUNTIFS('전기원장'!$A$5:$A$1004,B576,'전기원장'!$D$5:$D$1004,E576)&gt;0,"전기","당기"))</x:f>
      </x:c>
      <x:c r="D576" s="67"/>
      <x:c r="G576" s="68"/>
      <x:c r="K576" t="str">
        <x:f>IF(B576="","",IF(I576="확인 필요","붙임 문서 확인 후 거래 성격·기간·상대방·일회성 여부 확인","결의서명과 전기 대비 발생 건수·단가·시점 차이 검토"))</x:f>
      </x:c>
    </x:row>
    <x:row r="577">
      <x:c r="A577" t="str">
        <x:f>IF(B577="","",IF(COUNTIFS('전기원장'!$A$5:$A$1004,B577,'전기원장'!$D$5:$D$1004,E577)&gt;0,"전기","당기"))</x:f>
      </x:c>
      <x:c r="D577" s="67"/>
      <x:c r="G577" s="68"/>
      <x:c r="K577" t="str">
        <x:f>IF(B577="","",IF(I577="확인 필요","붙임 문서 확인 후 거래 성격·기간·상대방·일회성 여부 확인","결의서명과 전기 대비 발생 건수·단가·시점 차이 검토"))</x:f>
      </x:c>
    </x:row>
    <x:row r="578">
      <x:c r="A578" t="str">
        <x:f>IF(B578="","",IF(COUNTIFS('전기원장'!$A$5:$A$1004,B578,'전기원장'!$D$5:$D$1004,E578)&gt;0,"전기","당기"))</x:f>
      </x:c>
      <x:c r="D578" s="67"/>
      <x:c r="G578" s="68"/>
      <x:c r="K578" t="str">
        <x:f>IF(B578="","",IF(I578="확인 필요","붙임 문서 확인 후 거래 성격·기간·상대방·일회성 여부 확인","결의서명과 전기 대비 발생 건수·단가·시점 차이 검토"))</x:f>
      </x:c>
    </x:row>
    <x:row r="579">
      <x:c r="A579" t="str">
        <x:f>IF(B579="","",IF(COUNTIFS('전기원장'!$A$5:$A$1004,B579,'전기원장'!$D$5:$D$1004,E579)&gt;0,"전기","당기"))</x:f>
      </x:c>
      <x:c r="D579" s="67"/>
      <x:c r="G579" s="68"/>
      <x:c r="K579" t="str">
        <x:f>IF(B579="","",IF(I579="확인 필요","붙임 문서 확인 후 거래 성격·기간·상대방·일회성 여부 확인","결의서명과 전기 대비 발생 건수·단가·시점 차이 검토"))</x:f>
      </x:c>
    </x:row>
    <x:row r="580">
      <x:c r="A580" t="str">
        <x:f>IF(B580="","",IF(COUNTIFS('전기원장'!$A$5:$A$1004,B580,'전기원장'!$D$5:$D$1004,E580)&gt;0,"전기","당기"))</x:f>
      </x:c>
      <x:c r="D580" s="67"/>
      <x:c r="G580" s="68"/>
      <x:c r="K580" t="str">
        <x:f>IF(B580="","",IF(I580="확인 필요","붙임 문서 확인 후 거래 성격·기간·상대방·일회성 여부 확인","결의서명과 전기 대비 발생 건수·단가·시점 차이 검토"))</x:f>
      </x:c>
    </x:row>
    <x:row r="581">
      <x:c r="A581" t="str">
        <x:f>IF(B581="","",IF(COUNTIFS('전기원장'!$A$5:$A$1004,B581,'전기원장'!$D$5:$D$1004,E581)&gt;0,"전기","당기"))</x:f>
      </x:c>
      <x:c r="D581" s="67"/>
      <x:c r="G581" s="68"/>
      <x:c r="K581" t="str">
        <x:f>IF(B581="","",IF(I581="확인 필요","붙임 문서 확인 후 거래 성격·기간·상대방·일회성 여부 확인","결의서명과 전기 대비 발생 건수·단가·시점 차이 검토"))</x:f>
      </x:c>
    </x:row>
    <x:row r="582">
      <x:c r="A582" t="str">
        <x:f>IF(B582="","",IF(COUNTIFS('전기원장'!$A$5:$A$1004,B582,'전기원장'!$D$5:$D$1004,E582)&gt;0,"전기","당기"))</x:f>
      </x:c>
      <x:c r="D582" s="67"/>
      <x:c r="G582" s="68"/>
      <x:c r="K582" t="str">
        <x:f>IF(B582="","",IF(I582="확인 필요","붙임 문서 확인 후 거래 성격·기간·상대방·일회성 여부 확인","결의서명과 전기 대비 발생 건수·단가·시점 차이 검토"))</x:f>
      </x:c>
    </x:row>
    <x:row r="583">
      <x:c r="A583" t="str">
        <x:f>IF(B583="","",IF(COUNTIFS('전기원장'!$A$5:$A$1004,B583,'전기원장'!$D$5:$D$1004,E583)&gt;0,"전기","당기"))</x:f>
      </x:c>
      <x:c r="D583" s="67"/>
      <x:c r="G583" s="68"/>
      <x:c r="K583" t="str">
        <x:f>IF(B583="","",IF(I583="확인 필요","붙임 문서 확인 후 거래 성격·기간·상대방·일회성 여부 확인","결의서명과 전기 대비 발생 건수·단가·시점 차이 검토"))</x:f>
      </x:c>
    </x:row>
    <x:row r="584">
      <x:c r="A584" t="str">
        <x:f>IF(B584="","",IF(COUNTIFS('전기원장'!$A$5:$A$1004,B584,'전기원장'!$D$5:$D$1004,E584)&gt;0,"전기","당기"))</x:f>
      </x:c>
      <x:c r="D584" s="67"/>
      <x:c r="G584" s="68"/>
      <x:c r="K584" t="str">
        <x:f>IF(B584="","",IF(I584="확인 필요","붙임 문서 확인 후 거래 성격·기간·상대방·일회성 여부 확인","결의서명과 전기 대비 발생 건수·단가·시점 차이 검토"))</x:f>
      </x:c>
    </x:row>
    <x:row r="585">
      <x:c r="A585" t="str">
        <x:f>IF(B585="","",IF(COUNTIFS('전기원장'!$A$5:$A$1004,B585,'전기원장'!$D$5:$D$1004,E585)&gt;0,"전기","당기"))</x:f>
      </x:c>
      <x:c r="D585" s="67"/>
      <x:c r="G585" s="68"/>
      <x:c r="K585" t="str">
        <x:f>IF(B585="","",IF(I585="확인 필요","붙임 문서 확인 후 거래 성격·기간·상대방·일회성 여부 확인","결의서명과 전기 대비 발생 건수·단가·시점 차이 검토"))</x:f>
      </x:c>
    </x:row>
    <x:row r="586">
      <x:c r="A586" t="str">
        <x:f>IF(B586="","",IF(COUNTIFS('전기원장'!$A$5:$A$1004,B586,'전기원장'!$D$5:$D$1004,E586)&gt;0,"전기","당기"))</x:f>
      </x:c>
      <x:c r="D586" s="67"/>
      <x:c r="G586" s="68"/>
      <x:c r="K586" t="str">
        <x:f>IF(B586="","",IF(I586="확인 필요","붙임 문서 확인 후 거래 성격·기간·상대방·일회성 여부 확인","결의서명과 전기 대비 발생 건수·단가·시점 차이 검토"))</x:f>
      </x:c>
    </x:row>
    <x:row r="587">
      <x:c r="A587" t="str">
        <x:f>IF(B587="","",IF(COUNTIFS('전기원장'!$A$5:$A$1004,B587,'전기원장'!$D$5:$D$1004,E587)&gt;0,"전기","당기"))</x:f>
      </x:c>
      <x:c r="D587" s="67"/>
      <x:c r="G587" s="68"/>
      <x:c r="K587" t="str">
        <x:f>IF(B587="","",IF(I587="확인 필요","붙임 문서 확인 후 거래 성격·기간·상대방·일회성 여부 확인","결의서명과 전기 대비 발생 건수·단가·시점 차이 검토"))</x:f>
      </x:c>
    </x:row>
    <x:row r="588">
      <x:c r="A588" t="str">
        <x:f>IF(B588="","",IF(COUNTIFS('전기원장'!$A$5:$A$1004,B588,'전기원장'!$D$5:$D$1004,E588)&gt;0,"전기","당기"))</x:f>
      </x:c>
      <x:c r="D588" s="67"/>
      <x:c r="G588" s="68"/>
      <x:c r="K588" t="str">
        <x:f>IF(B588="","",IF(I588="확인 필요","붙임 문서 확인 후 거래 성격·기간·상대방·일회성 여부 확인","결의서명과 전기 대비 발생 건수·단가·시점 차이 검토"))</x:f>
      </x:c>
    </x:row>
    <x:row r="589">
      <x:c r="A589" t="str">
        <x:f>IF(B589="","",IF(COUNTIFS('전기원장'!$A$5:$A$1004,B589,'전기원장'!$D$5:$D$1004,E589)&gt;0,"전기","당기"))</x:f>
      </x:c>
      <x:c r="D589" s="67"/>
      <x:c r="G589" s="68"/>
      <x:c r="K589" t="str">
        <x:f>IF(B589="","",IF(I589="확인 필요","붙임 문서 확인 후 거래 성격·기간·상대방·일회성 여부 확인","결의서명과 전기 대비 발생 건수·단가·시점 차이 검토"))</x:f>
      </x:c>
    </x:row>
    <x:row r="590">
      <x:c r="A590" t="str">
        <x:f>IF(B590="","",IF(COUNTIFS('전기원장'!$A$5:$A$1004,B590,'전기원장'!$D$5:$D$1004,E590)&gt;0,"전기","당기"))</x:f>
      </x:c>
      <x:c r="D590" s="67"/>
      <x:c r="G590" s="68"/>
      <x:c r="K590" t="str">
        <x:f>IF(B590="","",IF(I590="확인 필요","붙임 문서 확인 후 거래 성격·기간·상대방·일회성 여부 확인","결의서명과 전기 대비 발생 건수·단가·시점 차이 검토"))</x:f>
      </x:c>
    </x:row>
    <x:row r="591">
      <x:c r="A591" t="str">
        <x:f>IF(B591="","",IF(COUNTIFS('전기원장'!$A$5:$A$1004,B591,'전기원장'!$D$5:$D$1004,E591)&gt;0,"전기","당기"))</x:f>
      </x:c>
      <x:c r="D591" s="67"/>
      <x:c r="G591" s="68"/>
      <x:c r="K591" t="str">
        <x:f>IF(B591="","",IF(I591="확인 필요","붙임 문서 확인 후 거래 성격·기간·상대방·일회성 여부 확인","결의서명과 전기 대비 발생 건수·단가·시점 차이 검토"))</x:f>
      </x:c>
    </x:row>
    <x:row r="592">
      <x:c r="A592" t="str">
        <x:f>IF(B592="","",IF(COUNTIFS('전기원장'!$A$5:$A$1004,B592,'전기원장'!$D$5:$D$1004,E592)&gt;0,"전기","당기"))</x:f>
      </x:c>
      <x:c r="D592" s="67"/>
      <x:c r="G592" s="68"/>
      <x:c r="K592" t="str">
        <x:f>IF(B592="","",IF(I592="확인 필요","붙임 문서 확인 후 거래 성격·기간·상대방·일회성 여부 확인","결의서명과 전기 대비 발생 건수·단가·시점 차이 검토"))</x:f>
      </x:c>
    </x:row>
    <x:row r="593">
      <x:c r="A593" t="str">
        <x:f>IF(B593="","",IF(COUNTIFS('전기원장'!$A$5:$A$1004,B593,'전기원장'!$D$5:$D$1004,E593)&gt;0,"전기","당기"))</x:f>
      </x:c>
      <x:c r="D593" s="67"/>
      <x:c r="G593" s="68"/>
      <x:c r="K593" t="str">
        <x:f>IF(B593="","",IF(I593="확인 필요","붙임 문서 확인 후 거래 성격·기간·상대방·일회성 여부 확인","결의서명과 전기 대비 발생 건수·단가·시점 차이 검토"))</x:f>
      </x:c>
    </x:row>
    <x:row r="594">
      <x:c r="A594" t="str">
        <x:f>IF(B594="","",IF(COUNTIFS('전기원장'!$A$5:$A$1004,B594,'전기원장'!$D$5:$D$1004,E594)&gt;0,"전기","당기"))</x:f>
      </x:c>
      <x:c r="D594" s="67"/>
      <x:c r="G594" s="68"/>
      <x:c r="K594" t="str">
        <x:f>IF(B594="","",IF(I594="확인 필요","붙임 문서 확인 후 거래 성격·기간·상대방·일회성 여부 확인","결의서명과 전기 대비 발생 건수·단가·시점 차이 검토"))</x:f>
      </x:c>
    </x:row>
    <x:row r="595">
      <x:c r="A595" t="str">
        <x:f>IF(B595="","",IF(COUNTIFS('전기원장'!$A$5:$A$1004,B595,'전기원장'!$D$5:$D$1004,E595)&gt;0,"전기","당기"))</x:f>
      </x:c>
      <x:c r="D595" s="67"/>
      <x:c r="G595" s="68"/>
      <x:c r="K595" t="str">
        <x:f>IF(B595="","",IF(I595="확인 필요","붙임 문서 확인 후 거래 성격·기간·상대방·일회성 여부 확인","결의서명과 전기 대비 발생 건수·단가·시점 차이 검토"))</x:f>
      </x:c>
    </x:row>
    <x:row r="596">
      <x:c r="A596" t="str">
        <x:f>IF(B596="","",IF(COUNTIFS('전기원장'!$A$5:$A$1004,B596,'전기원장'!$D$5:$D$1004,E596)&gt;0,"전기","당기"))</x:f>
      </x:c>
      <x:c r="D596" s="67"/>
      <x:c r="G596" s="68"/>
      <x:c r="K596" t="str">
        <x:f>IF(B596="","",IF(I596="확인 필요","붙임 문서 확인 후 거래 성격·기간·상대방·일회성 여부 확인","결의서명과 전기 대비 발생 건수·단가·시점 차이 검토"))</x:f>
      </x:c>
    </x:row>
    <x:row r="597">
      <x:c r="A597" t="str">
        <x:f>IF(B597="","",IF(COUNTIFS('전기원장'!$A$5:$A$1004,B597,'전기원장'!$D$5:$D$1004,E597)&gt;0,"전기","당기"))</x:f>
      </x:c>
      <x:c r="D597" s="67"/>
      <x:c r="G597" s="68"/>
      <x:c r="K597" t="str">
        <x:f>IF(B597="","",IF(I597="확인 필요","붙임 문서 확인 후 거래 성격·기간·상대방·일회성 여부 확인","결의서명과 전기 대비 발생 건수·단가·시점 차이 검토"))</x:f>
      </x:c>
    </x:row>
    <x:row r="598">
      <x:c r="A598" t="str">
        <x:f>IF(B598="","",IF(COUNTIFS('전기원장'!$A$5:$A$1004,B598,'전기원장'!$D$5:$D$1004,E598)&gt;0,"전기","당기"))</x:f>
      </x:c>
      <x:c r="D598" s="67"/>
      <x:c r="G598" s="68"/>
      <x:c r="K598" t="str">
        <x:f>IF(B598="","",IF(I598="확인 필요","붙임 문서 확인 후 거래 성격·기간·상대방·일회성 여부 확인","결의서명과 전기 대비 발생 건수·단가·시점 차이 검토"))</x:f>
      </x:c>
    </x:row>
    <x:row r="599">
      <x:c r="A599" t="str">
        <x:f>IF(B599="","",IF(COUNTIFS('전기원장'!$A$5:$A$1004,B599,'전기원장'!$D$5:$D$1004,E599)&gt;0,"전기","당기"))</x:f>
      </x:c>
      <x:c r="D599" s="67"/>
      <x:c r="G599" s="68"/>
      <x:c r="K599" t="str">
        <x:f>IF(B599="","",IF(I599="확인 필요","붙임 문서 확인 후 거래 성격·기간·상대방·일회성 여부 확인","결의서명과 전기 대비 발생 건수·단가·시점 차이 검토"))</x:f>
      </x:c>
    </x:row>
    <x:row r="600">
      <x:c r="A600" t="str">
        <x:f>IF(B600="","",IF(COUNTIFS('전기원장'!$A$5:$A$1004,B600,'전기원장'!$D$5:$D$1004,E600)&gt;0,"전기","당기"))</x:f>
      </x:c>
      <x:c r="D600" s="67"/>
      <x:c r="G600" s="68"/>
      <x:c r="K600" t="str">
        <x:f>IF(B600="","",IF(I600="확인 필요","붙임 문서 확인 후 거래 성격·기간·상대방·일회성 여부 확인","결의서명과 전기 대비 발생 건수·단가·시점 차이 검토"))</x:f>
      </x:c>
    </x:row>
    <x:row r="601">
      <x:c r="A601" t="str">
        <x:f>IF(B601="","",IF(COUNTIFS('전기원장'!$A$5:$A$1004,B601,'전기원장'!$D$5:$D$1004,E601)&gt;0,"전기","당기"))</x:f>
      </x:c>
      <x:c r="D601" s="67"/>
      <x:c r="G601" s="68"/>
      <x:c r="K601" t="str">
        <x:f>IF(B601="","",IF(I601="확인 필요","붙임 문서 확인 후 거래 성격·기간·상대방·일회성 여부 확인","결의서명과 전기 대비 발생 건수·단가·시점 차이 검토"))</x:f>
      </x:c>
    </x:row>
    <x:row r="602">
      <x:c r="A602" t="str">
        <x:f>IF(B602="","",IF(COUNTIFS('전기원장'!$A$5:$A$1004,B602,'전기원장'!$D$5:$D$1004,E602)&gt;0,"전기","당기"))</x:f>
      </x:c>
      <x:c r="D602" s="67"/>
      <x:c r="G602" s="68"/>
      <x:c r="K602" t="str">
        <x:f>IF(B602="","",IF(I602="확인 필요","붙임 문서 확인 후 거래 성격·기간·상대방·일회성 여부 확인","결의서명과 전기 대비 발생 건수·단가·시점 차이 검토"))</x:f>
      </x:c>
    </x:row>
    <x:row r="603">
      <x:c r="A603" t="str">
        <x:f>IF(B603="","",IF(COUNTIFS('전기원장'!$A$5:$A$1004,B603,'전기원장'!$D$5:$D$1004,E603)&gt;0,"전기","당기"))</x:f>
      </x:c>
      <x:c r="D603" s="67"/>
      <x:c r="G603" s="68"/>
      <x:c r="K603" t="str">
        <x:f>IF(B603="","",IF(I603="확인 필요","붙임 문서 확인 후 거래 성격·기간·상대방·일회성 여부 확인","결의서명과 전기 대비 발생 건수·단가·시점 차이 검토"))</x:f>
      </x:c>
    </x:row>
    <x:row r="604">
      <x:c r="A604" t="str">
        <x:f>IF(B604="","",IF(COUNTIFS('전기원장'!$A$5:$A$1004,B604,'전기원장'!$D$5:$D$1004,E604)&gt;0,"전기","당기"))</x:f>
      </x:c>
      <x:c r="D604" s="67"/>
      <x:c r="G604" s="68"/>
      <x:c r="K604" t="str">
        <x:f>IF(B604="","",IF(I604="확인 필요","붙임 문서 확인 후 거래 성격·기간·상대방·일회성 여부 확인","결의서명과 전기 대비 발생 건수·단가·시점 차이 검토"))</x:f>
      </x:c>
    </x:row>
    <x:row r="605">
      <x:c r="A605" t="str">
        <x:f>IF(B605="","",IF(COUNTIFS('전기원장'!$A$5:$A$1004,B605,'전기원장'!$D$5:$D$1004,E605)&gt;0,"전기","당기"))</x:f>
      </x:c>
      <x:c r="D605" s="67"/>
      <x:c r="G605" s="68"/>
      <x:c r="K605" t="str">
        <x:f>IF(B605="","",IF(I605="확인 필요","붙임 문서 확인 후 거래 성격·기간·상대방·일회성 여부 확인","결의서명과 전기 대비 발생 건수·단가·시점 차이 검토"))</x:f>
      </x:c>
    </x:row>
    <x:row r="606">
      <x:c r="A606" t="str">
        <x:f>IF(B606="","",IF(COUNTIFS('전기원장'!$A$5:$A$1004,B606,'전기원장'!$D$5:$D$1004,E606)&gt;0,"전기","당기"))</x:f>
      </x:c>
      <x:c r="D606" s="67"/>
      <x:c r="G606" s="68"/>
      <x:c r="K606" t="str">
        <x:f>IF(B606="","",IF(I606="확인 필요","붙임 문서 확인 후 거래 성격·기간·상대방·일회성 여부 확인","결의서명과 전기 대비 발생 건수·단가·시점 차이 검토"))</x:f>
      </x:c>
    </x:row>
    <x:row r="607">
      <x:c r="A607" t="str">
        <x:f>IF(B607="","",IF(COUNTIFS('전기원장'!$A$5:$A$1004,B607,'전기원장'!$D$5:$D$1004,E607)&gt;0,"전기","당기"))</x:f>
      </x:c>
      <x:c r="D607" s="67"/>
      <x:c r="G607" s="68"/>
      <x:c r="K607" t="str">
        <x:f>IF(B607="","",IF(I607="확인 필요","붙임 문서 확인 후 거래 성격·기간·상대방·일회성 여부 확인","결의서명과 전기 대비 발생 건수·단가·시점 차이 검토"))</x:f>
      </x:c>
    </x:row>
    <x:row r="608">
      <x:c r="A608" t="str">
        <x:f>IF(B608="","",IF(COUNTIFS('전기원장'!$A$5:$A$1004,B608,'전기원장'!$D$5:$D$1004,E608)&gt;0,"전기","당기"))</x:f>
      </x:c>
      <x:c r="D608" s="67"/>
      <x:c r="G608" s="68"/>
      <x:c r="K608" t="str">
        <x:f>IF(B608="","",IF(I608="확인 필요","붙임 문서 확인 후 거래 성격·기간·상대방·일회성 여부 확인","결의서명과 전기 대비 발생 건수·단가·시점 차이 검토"))</x:f>
      </x:c>
    </x:row>
    <x:row r="609">
      <x:c r="A609" t="str">
        <x:f>IF(B609="","",IF(COUNTIFS('전기원장'!$A$5:$A$1004,B609,'전기원장'!$D$5:$D$1004,E609)&gt;0,"전기","당기"))</x:f>
      </x:c>
      <x:c r="D609" s="67"/>
      <x:c r="G609" s="68"/>
      <x:c r="K609" t="str">
        <x:f>IF(B609="","",IF(I609="확인 필요","붙임 문서 확인 후 거래 성격·기간·상대방·일회성 여부 확인","결의서명과 전기 대비 발생 건수·단가·시점 차이 검토"))</x:f>
      </x:c>
    </x:row>
    <x:row r="610">
      <x:c r="A610" t="str">
        <x:f>IF(B610="","",IF(COUNTIFS('전기원장'!$A$5:$A$1004,B610,'전기원장'!$D$5:$D$1004,E610)&gt;0,"전기","당기"))</x:f>
      </x:c>
      <x:c r="D610" s="67"/>
      <x:c r="G610" s="68"/>
      <x:c r="K610" t="str">
        <x:f>IF(B610="","",IF(I610="확인 필요","붙임 문서 확인 후 거래 성격·기간·상대방·일회성 여부 확인","결의서명과 전기 대비 발생 건수·단가·시점 차이 검토"))</x:f>
      </x:c>
    </x:row>
    <x:row r="611">
      <x:c r="A611" t="str">
        <x:f>IF(B611="","",IF(COUNTIFS('전기원장'!$A$5:$A$1004,B611,'전기원장'!$D$5:$D$1004,E611)&gt;0,"전기","당기"))</x:f>
      </x:c>
      <x:c r="D611" s="67"/>
      <x:c r="G611" s="68"/>
      <x:c r="K611" t="str">
        <x:f>IF(B611="","",IF(I611="확인 필요","붙임 문서 확인 후 거래 성격·기간·상대방·일회성 여부 확인","결의서명과 전기 대비 발생 건수·단가·시점 차이 검토"))</x:f>
      </x:c>
    </x:row>
    <x:row r="612">
      <x:c r="A612" t="str">
        <x:f>IF(B612="","",IF(COUNTIFS('전기원장'!$A$5:$A$1004,B612,'전기원장'!$D$5:$D$1004,E612)&gt;0,"전기","당기"))</x:f>
      </x:c>
      <x:c r="D612" s="67"/>
      <x:c r="G612" s="68"/>
      <x:c r="K612" t="str">
        <x:f>IF(B612="","",IF(I612="확인 필요","붙임 문서 확인 후 거래 성격·기간·상대방·일회성 여부 확인","결의서명과 전기 대비 발생 건수·단가·시점 차이 검토"))</x:f>
      </x:c>
    </x:row>
    <x:row r="613">
      <x:c r="A613" t="str">
        <x:f>IF(B613="","",IF(COUNTIFS('전기원장'!$A$5:$A$1004,B613,'전기원장'!$D$5:$D$1004,E613)&gt;0,"전기","당기"))</x:f>
      </x:c>
      <x:c r="D613" s="67"/>
      <x:c r="G613" s="68"/>
      <x:c r="K613" t="str">
        <x:f>IF(B613="","",IF(I613="확인 필요","붙임 문서 확인 후 거래 성격·기간·상대방·일회성 여부 확인","결의서명과 전기 대비 발생 건수·단가·시점 차이 검토"))</x:f>
      </x:c>
    </x:row>
    <x:row r="614">
      <x:c r="A614" t="str">
        <x:f>IF(B614="","",IF(COUNTIFS('전기원장'!$A$5:$A$1004,B614,'전기원장'!$D$5:$D$1004,E614)&gt;0,"전기","당기"))</x:f>
      </x:c>
      <x:c r="D614" s="67"/>
      <x:c r="G614" s="68"/>
      <x:c r="K614" t="str">
        <x:f>IF(B614="","",IF(I614="확인 필요","붙임 문서 확인 후 거래 성격·기간·상대방·일회성 여부 확인","결의서명과 전기 대비 발생 건수·단가·시점 차이 검토"))</x:f>
      </x:c>
    </x:row>
    <x:row r="615">
      <x:c r="A615" t="str">
        <x:f>IF(B615="","",IF(COUNTIFS('전기원장'!$A$5:$A$1004,B615,'전기원장'!$D$5:$D$1004,E615)&gt;0,"전기","당기"))</x:f>
      </x:c>
      <x:c r="D615" s="67"/>
      <x:c r="G615" s="68"/>
      <x:c r="K615" t="str">
        <x:f>IF(B615="","",IF(I615="확인 필요","붙임 문서 확인 후 거래 성격·기간·상대방·일회성 여부 확인","결의서명과 전기 대비 발생 건수·단가·시점 차이 검토"))</x:f>
      </x:c>
    </x:row>
    <x:row r="616">
      <x:c r="A616" t="str">
        <x:f>IF(B616="","",IF(COUNTIFS('전기원장'!$A$5:$A$1004,B616,'전기원장'!$D$5:$D$1004,E616)&gt;0,"전기","당기"))</x:f>
      </x:c>
      <x:c r="D616" s="67"/>
      <x:c r="G616" s="68"/>
      <x:c r="K616" t="str">
        <x:f>IF(B616="","",IF(I616="확인 필요","붙임 문서 확인 후 거래 성격·기간·상대방·일회성 여부 확인","결의서명과 전기 대비 발생 건수·단가·시점 차이 검토"))</x:f>
      </x:c>
    </x:row>
    <x:row r="617">
      <x:c r="A617" t="str">
        <x:f>IF(B617="","",IF(COUNTIFS('전기원장'!$A$5:$A$1004,B617,'전기원장'!$D$5:$D$1004,E617)&gt;0,"전기","당기"))</x:f>
      </x:c>
      <x:c r="D617" s="67"/>
      <x:c r="G617" s="68"/>
      <x:c r="K617" t="str">
        <x:f>IF(B617="","",IF(I617="확인 필요","붙임 문서 확인 후 거래 성격·기간·상대방·일회성 여부 확인","결의서명과 전기 대비 발생 건수·단가·시점 차이 검토"))</x:f>
      </x:c>
    </x:row>
    <x:row r="618">
      <x:c r="A618" t="str">
        <x:f>IF(B618="","",IF(COUNTIFS('전기원장'!$A$5:$A$1004,B618,'전기원장'!$D$5:$D$1004,E618)&gt;0,"전기","당기"))</x:f>
      </x:c>
      <x:c r="D618" s="67"/>
      <x:c r="G618" s="68"/>
      <x:c r="K618" t="str">
        <x:f>IF(B618="","",IF(I618="확인 필요","붙임 문서 확인 후 거래 성격·기간·상대방·일회성 여부 확인","결의서명과 전기 대비 발생 건수·단가·시점 차이 검토"))</x:f>
      </x:c>
    </x:row>
    <x:row r="619">
      <x:c r="A619" t="str">
        <x:f>IF(B619="","",IF(COUNTIFS('전기원장'!$A$5:$A$1004,B619,'전기원장'!$D$5:$D$1004,E619)&gt;0,"전기","당기"))</x:f>
      </x:c>
      <x:c r="D619" s="67"/>
      <x:c r="G619" s="68"/>
      <x:c r="K619" t="str">
        <x:f>IF(B619="","",IF(I619="확인 필요","붙임 문서 확인 후 거래 성격·기간·상대방·일회성 여부 확인","결의서명과 전기 대비 발생 건수·단가·시점 차이 검토"))</x:f>
      </x:c>
    </x:row>
    <x:row r="620">
      <x:c r="A620" t="str">
        <x:f>IF(B620="","",IF(COUNTIFS('전기원장'!$A$5:$A$1004,B620,'전기원장'!$D$5:$D$1004,E620)&gt;0,"전기","당기"))</x:f>
      </x:c>
      <x:c r="D620" s="67"/>
      <x:c r="G620" s="68"/>
      <x:c r="K620" t="str">
        <x:f>IF(B620="","",IF(I620="확인 필요","붙임 문서 확인 후 거래 성격·기간·상대방·일회성 여부 확인","결의서명과 전기 대비 발생 건수·단가·시점 차이 검토"))</x:f>
      </x:c>
    </x:row>
    <x:row r="621">
      <x:c r="A621" t="str">
        <x:f>IF(B621="","",IF(COUNTIFS('전기원장'!$A$5:$A$1004,B621,'전기원장'!$D$5:$D$1004,E621)&gt;0,"전기","당기"))</x:f>
      </x:c>
      <x:c r="D621" s="67"/>
      <x:c r="G621" s="68"/>
      <x:c r="K621" t="str">
        <x:f>IF(B621="","",IF(I621="확인 필요","붙임 문서 확인 후 거래 성격·기간·상대방·일회성 여부 확인","결의서명과 전기 대비 발생 건수·단가·시점 차이 검토"))</x:f>
      </x:c>
    </x:row>
    <x:row r="622">
      <x:c r="A622" t="str">
        <x:f>IF(B622="","",IF(COUNTIFS('전기원장'!$A$5:$A$1004,B622,'전기원장'!$D$5:$D$1004,E622)&gt;0,"전기","당기"))</x:f>
      </x:c>
      <x:c r="D622" s="67"/>
      <x:c r="G622" s="68"/>
      <x:c r="K622" t="str">
        <x:f>IF(B622="","",IF(I622="확인 필요","붙임 문서 확인 후 거래 성격·기간·상대방·일회성 여부 확인","결의서명과 전기 대비 발생 건수·단가·시점 차이 검토"))</x:f>
      </x:c>
    </x:row>
    <x:row r="623">
      <x:c r="A623" t="str">
        <x:f>IF(B623="","",IF(COUNTIFS('전기원장'!$A$5:$A$1004,B623,'전기원장'!$D$5:$D$1004,E623)&gt;0,"전기","당기"))</x:f>
      </x:c>
      <x:c r="D623" s="67"/>
      <x:c r="G623" s="68"/>
      <x:c r="K623" t="str">
        <x:f>IF(B623="","",IF(I623="확인 필요","붙임 문서 확인 후 거래 성격·기간·상대방·일회성 여부 확인","결의서명과 전기 대비 발생 건수·단가·시점 차이 검토"))</x:f>
      </x:c>
    </x:row>
    <x:row r="624">
      <x:c r="A624" t="str">
        <x:f>IF(B624="","",IF(COUNTIFS('전기원장'!$A$5:$A$1004,B624,'전기원장'!$D$5:$D$1004,E624)&gt;0,"전기","당기"))</x:f>
      </x:c>
      <x:c r="D624" s="67"/>
      <x:c r="G624" s="68"/>
      <x:c r="K624" t="str">
        <x:f>IF(B624="","",IF(I624="확인 필요","붙임 문서 확인 후 거래 성격·기간·상대방·일회성 여부 확인","결의서명과 전기 대비 발생 건수·단가·시점 차이 검토"))</x:f>
      </x:c>
    </x:row>
    <x:row r="625">
      <x:c r="A625" t="str">
        <x:f>IF(B625="","",IF(COUNTIFS('전기원장'!$A$5:$A$1004,B625,'전기원장'!$D$5:$D$1004,E625)&gt;0,"전기","당기"))</x:f>
      </x:c>
      <x:c r="D625" s="67"/>
      <x:c r="G625" s="68"/>
      <x:c r="K625" t="str">
        <x:f>IF(B625="","",IF(I625="확인 필요","붙임 문서 확인 후 거래 성격·기간·상대방·일회성 여부 확인","결의서명과 전기 대비 발생 건수·단가·시점 차이 검토"))</x:f>
      </x:c>
    </x:row>
    <x:row r="626">
      <x:c r="A626" t="str">
        <x:f>IF(B626="","",IF(COUNTIFS('전기원장'!$A$5:$A$1004,B626,'전기원장'!$D$5:$D$1004,E626)&gt;0,"전기","당기"))</x:f>
      </x:c>
      <x:c r="D626" s="67"/>
      <x:c r="G626" s="68"/>
      <x:c r="K626" t="str">
        <x:f>IF(B626="","",IF(I626="확인 필요","붙임 문서 확인 후 거래 성격·기간·상대방·일회성 여부 확인","결의서명과 전기 대비 발생 건수·단가·시점 차이 검토"))</x:f>
      </x:c>
    </x:row>
    <x:row r="627">
      <x:c r="A627" t="str">
        <x:f>IF(B627="","",IF(COUNTIFS('전기원장'!$A$5:$A$1004,B627,'전기원장'!$D$5:$D$1004,E627)&gt;0,"전기","당기"))</x:f>
      </x:c>
      <x:c r="D627" s="67"/>
      <x:c r="G627" s="68"/>
      <x:c r="K627" t="str">
        <x:f>IF(B627="","",IF(I627="확인 필요","붙임 문서 확인 후 거래 성격·기간·상대방·일회성 여부 확인","결의서명과 전기 대비 발생 건수·단가·시점 차이 검토"))</x:f>
      </x:c>
    </x:row>
    <x:row r="628">
      <x:c r="A628" t="str">
        <x:f>IF(B628="","",IF(COUNTIFS('전기원장'!$A$5:$A$1004,B628,'전기원장'!$D$5:$D$1004,E628)&gt;0,"전기","당기"))</x:f>
      </x:c>
      <x:c r="D628" s="67"/>
      <x:c r="G628" s="68"/>
      <x:c r="K628" t="str">
        <x:f>IF(B628="","",IF(I628="확인 필요","붙임 문서 확인 후 거래 성격·기간·상대방·일회성 여부 확인","결의서명과 전기 대비 발생 건수·단가·시점 차이 검토"))</x:f>
      </x:c>
    </x:row>
    <x:row r="629">
      <x:c r="A629" t="str">
        <x:f>IF(B629="","",IF(COUNTIFS('전기원장'!$A$5:$A$1004,B629,'전기원장'!$D$5:$D$1004,E629)&gt;0,"전기","당기"))</x:f>
      </x:c>
      <x:c r="D629" s="67"/>
      <x:c r="G629" s="68"/>
      <x:c r="K629" t="str">
        <x:f>IF(B629="","",IF(I629="확인 필요","붙임 문서 확인 후 거래 성격·기간·상대방·일회성 여부 확인","결의서명과 전기 대비 발생 건수·단가·시점 차이 검토"))</x:f>
      </x:c>
    </x:row>
    <x:row r="630">
      <x:c r="A630" t="str">
        <x:f>IF(B630="","",IF(COUNTIFS('전기원장'!$A$5:$A$1004,B630,'전기원장'!$D$5:$D$1004,E630)&gt;0,"전기","당기"))</x:f>
      </x:c>
      <x:c r="D630" s="67"/>
      <x:c r="G630" s="68"/>
      <x:c r="K630" t="str">
        <x:f>IF(B630="","",IF(I630="확인 필요","붙임 문서 확인 후 거래 성격·기간·상대방·일회성 여부 확인","결의서명과 전기 대비 발생 건수·단가·시점 차이 검토"))</x:f>
      </x:c>
    </x:row>
    <x:row r="631">
      <x:c r="A631" t="str">
        <x:f>IF(B631="","",IF(COUNTIFS('전기원장'!$A$5:$A$1004,B631,'전기원장'!$D$5:$D$1004,E631)&gt;0,"전기","당기"))</x:f>
      </x:c>
      <x:c r="D631" s="67"/>
      <x:c r="G631" s="68"/>
      <x:c r="K631" t="str">
        <x:f>IF(B631="","",IF(I631="확인 필요","붙임 문서 확인 후 거래 성격·기간·상대방·일회성 여부 확인","결의서명과 전기 대비 발생 건수·단가·시점 차이 검토"))</x:f>
      </x:c>
    </x:row>
    <x:row r="632">
      <x:c r="A632" t="str">
        <x:f>IF(B632="","",IF(COUNTIFS('전기원장'!$A$5:$A$1004,B632,'전기원장'!$D$5:$D$1004,E632)&gt;0,"전기","당기"))</x:f>
      </x:c>
      <x:c r="D632" s="67"/>
      <x:c r="G632" s="68"/>
      <x:c r="K632" t="str">
        <x:f>IF(B632="","",IF(I632="확인 필요","붙임 문서 확인 후 거래 성격·기간·상대방·일회성 여부 확인","결의서명과 전기 대비 발생 건수·단가·시점 차이 검토"))</x:f>
      </x:c>
    </x:row>
    <x:row r="633">
      <x:c r="A633" t="str">
        <x:f>IF(B633="","",IF(COUNTIFS('전기원장'!$A$5:$A$1004,B633,'전기원장'!$D$5:$D$1004,E633)&gt;0,"전기","당기"))</x:f>
      </x:c>
      <x:c r="D633" s="67"/>
      <x:c r="G633" s="68"/>
      <x:c r="K633" t="str">
        <x:f>IF(B633="","",IF(I633="확인 필요","붙임 문서 확인 후 거래 성격·기간·상대방·일회성 여부 확인","결의서명과 전기 대비 발생 건수·단가·시점 차이 검토"))</x:f>
      </x:c>
    </x:row>
    <x:row r="634">
      <x:c r="A634" t="str">
        <x:f>IF(B634="","",IF(COUNTIFS('전기원장'!$A$5:$A$1004,B634,'전기원장'!$D$5:$D$1004,E634)&gt;0,"전기","당기"))</x:f>
      </x:c>
      <x:c r="D634" s="67"/>
      <x:c r="G634" s="68"/>
      <x:c r="K634" t="str">
        <x:f>IF(B634="","",IF(I634="확인 필요","붙임 문서 확인 후 거래 성격·기간·상대방·일회성 여부 확인","결의서명과 전기 대비 발생 건수·단가·시점 차이 검토"))</x:f>
      </x:c>
    </x:row>
    <x:row r="635">
      <x:c r="A635" t="str">
        <x:f>IF(B635="","",IF(COUNTIFS('전기원장'!$A$5:$A$1004,B635,'전기원장'!$D$5:$D$1004,E635)&gt;0,"전기","당기"))</x:f>
      </x:c>
      <x:c r="D635" s="67"/>
      <x:c r="G635" s="68"/>
      <x:c r="K635" t="str">
        <x:f>IF(B635="","",IF(I635="확인 필요","붙임 문서 확인 후 거래 성격·기간·상대방·일회성 여부 확인","결의서명과 전기 대비 발생 건수·단가·시점 차이 검토"))</x:f>
      </x:c>
    </x:row>
    <x:row r="636">
      <x:c r="A636" t="str">
        <x:f>IF(B636="","",IF(COUNTIFS('전기원장'!$A$5:$A$1004,B636,'전기원장'!$D$5:$D$1004,E636)&gt;0,"전기","당기"))</x:f>
      </x:c>
      <x:c r="D636" s="67"/>
      <x:c r="G636" s="68"/>
      <x:c r="K636" t="str">
        <x:f>IF(B636="","",IF(I636="확인 필요","붙임 문서 확인 후 거래 성격·기간·상대방·일회성 여부 확인","결의서명과 전기 대비 발생 건수·단가·시점 차이 검토"))</x:f>
      </x:c>
    </x:row>
    <x:row r="637">
      <x:c r="A637" t="str">
        <x:f>IF(B637="","",IF(COUNTIFS('전기원장'!$A$5:$A$1004,B637,'전기원장'!$D$5:$D$1004,E637)&gt;0,"전기","당기"))</x:f>
      </x:c>
      <x:c r="D637" s="67"/>
      <x:c r="G637" s="68"/>
      <x:c r="K637" t="str">
        <x:f>IF(B637="","",IF(I637="확인 필요","붙임 문서 확인 후 거래 성격·기간·상대방·일회성 여부 확인","결의서명과 전기 대비 발생 건수·단가·시점 차이 검토"))</x:f>
      </x:c>
    </x:row>
    <x:row r="638">
      <x:c r="A638" t="str">
        <x:f>IF(B638="","",IF(COUNTIFS('전기원장'!$A$5:$A$1004,B638,'전기원장'!$D$5:$D$1004,E638)&gt;0,"전기","당기"))</x:f>
      </x:c>
      <x:c r="D638" s="67"/>
      <x:c r="G638" s="68"/>
      <x:c r="K638" t="str">
        <x:f>IF(B638="","",IF(I638="확인 필요","붙임 문서 확인 후 거래 성격·기간·상대방·일회성 여부 확인","결의서명과 전기 대비 발생 건수·단가·시점 차이 검토"))</x:f>
      </x:c>
    </x:row>
    <x:row r="639">
      <x:c r="A639" t="str">
        <x:f>IF(B639="","",IF(COUNTIFS('전기원장'!$A$5:$A$1004,B639,'전기원장'!$D$5:$D$1004,E639)&gt;0,"전기","당기"))</x:f>
      </x:c>
      <x:c r="D639" s="67"/>
      <x:c r="G639" s="68"/>
      <x:c r="K639" t="str">
        <x:f>IF(B639="","",IF(I639="확인 필요","붙임 문서 확인 후 거래 성격·기간·상대방·일회성 여부 확인","결의서명과 전기 대비 발생 건수·단가·시점 차이 검토"))</x:f>
      </x:c>
    </x:row>
    <x:row r="640">
      <x:c r="A640" t="str">
        <x:f>IF(B640="","",IF(COUNTIFS('전기원장'!$A$5:$A$1004,B640,'전기원장'!$D$5:$D$1004,E640)&gt;0,"전기","당기"))</x:f>
      </x:c>
      <x:c r="D640" s="67"/>
      <x:c r="G640" s="68"/>
      <x:c r="K640" t="str">
        <x:f>IF(B640="","",IF(I640="확인 필요","붙임 문서 확인 후 거래 성격·기간·상대방·일회성 여부 확인","결의서명과 전기 대비 발생 건수·단가·시점 차이 검토"))</x:f>
      </x:c>
    </x:row>
    <x:row r="641">
      <x:c r="A641" t="str">
        <x:f>IF(B641="","",IF(COUNTIFS('전기원장'!$A$5:$A$1004,B641,'전기원장'!$D$5:$D$1004,E641)&gt;0,"전기","당기"))</x:f>
      </x:c>
      <x:c r="D641" s="67"/>
      <x:c r="G641" s="68"/>
      <x:c r="K641" t="str">
        <x:f>IF(B641="","",IF(I641="확인 필요","붙임 문서 확인 후 거래 성격·기간·상대방·일회성 여부 확인","결의서명과 전기 대비 발생 건수·단가·시점 차이 검토"))</x:f>
      </x:c>
    </x:row>
    <x:row r="642">
      <x:c r="A642" t="str">
        <x:f>IF(B642="","",IF(COUNTIFS('전기원장'!$A$5:$A$1004,B642,'전기원장'!$D$5:$D$1004,E642)&gt;0,"전기","당기"))</x:f>
      </x:c>
      <x:c r="D642" s="67"/>
      <x:c r="G642" s="68"/>
      <x:c r="K642" t="str">
        <x:f>IF(B642="","",IF(I642="확인 필요","붙임 문서 확인 후 거래 성격·기간·상대방·일회성 여부 확인","결의서명과 전기 대비 발생 건수·단가·시점 차이 검토"))</x:f>
      </x:c>
    </x:row>
    <x:row r="643">
      <x:c r="A643" t="str">
        <x:f>IF(B643="","",IF(COUNTIFS('전기원장'!$A$5:$A$1004,B643,'전기원장'!$D$5:$D$1004,E643)&gt;0,"전기","당기"))</x:f>
      </x:c>
      <x:c r="D643" s="67"/>
      <x:c r="G643" s="68"/>
      <x:c r="K643" t="str">
        <x:f>IF(B643="","",IF(I643="확인 필요","붙임 문서 확인 후 거래 성격·기간·상대방·일회성 여부 확인","결의서명과 전기 대비 발생 건수·단가·시점 차이 검토"))</x:f>
      </x:c>
    </x:row>
    <x:row r="644">
      <x:c r="A644" t="str">
        <x:f>IF(B644="","",IF(COUNTIFS('전기원장'!$A$5:$A$1004,B644,'전기원장'!$D$5:$D$1004,E644)&gt;0,"전기","당기"))</x:f>
      </x:c>
      <x:c r="D644" s="67"/>
      <x:c r="G644" s="68"/>
      <x:c r="K644" t="str">
        <x:f>IF(B644="","",IF(I644="확인 필요","붙임 문서 확인 후 거래 성격·기간·상대방·일회성 여부 확인","결의서명과 전기 대비 발생 건수·단가·시점 차이 검토"))</x:f>
      </x:c>
    </x:row>
    <x:row r="645">
      <x:c r="A645" t="str">
        <x:f>IF(B645="","",IF(COUNTIFS('전기원장'!$A$5:$A$1004,B645,'전기원장'!$D$5:$D$1004,E645)&gt;0,"전기","당기"))</x:f>
      </x:c>
      <x:c r="D645" s="67"/>
      <x:c r="G645" s="68"/>
      <x:c r="K645" t="str">
        <x:f>IF(B645="","",IF(I645="확인 필요","붙임 문서 확인 후 거래 성격·기간·상대방·일회성 여부 확인","결의서명과 전기 대비 발생 건수·단가·시점 차이 검토"))</x:f>
      </x:c>
    </x:row>
    <x:row r="646">
      <x:c r="A646" t="str">
        <x:f>IF(B646="","",IF(COUNTIFS('전기원장'!$A$5:$A$1004,B646,'전기원장'!$D$5:$D$1004,E646)&gt;0,"전기","당기"))</x:f>
      </x:c>
      <x:c r="D646" s="67"/>
      <x:c r="G646" s="68"/>
      <x:c r="K646" t="str">
        <x:f>IF(B646="","",IF(I646="확인 필요","붙임 문서 확인 후 거래 성격·기간·상대방·일회성 여부 확인","결의서명과 전기 대비 발생 건수·단가·시점 차이 검토"))</x:f>
      </x:c>
    </x:row>
    <x:row r="647">
      <x:c r="A647" t="str">
        <x:f>IF(B647="","",IF(COUNTIFS('전기원장'!$A$5:$A$1004,B647,'전기원장'!$D$5:$D$1004,E647)&gt;0,"전기","당기"))</x:f>
      </x:c>
      <x:c r="D647" s="67"/>
      <x:c r="G647" s="68"/>
      <x:c r="K647" t="str">
        <x:f>IF(B647="","",IF(I647="확인 필요","붙임 문서 확인 후 거래 성격·기간·상대방·일회성 여부 확인","결의서명과 전기 대비 발생 건수·단가·시점 차이 검토"))</x:f>
      </x:c>
    </x:row>
    <x:row r="648">
      <x:c r="A648" t="str">
        <x:f>IF(B648="","",IF(COUNTIFS('전기원장'!$A$5:$A$1004,B648,'전기원장'!$D$5:$D$1004,E648)&gt;0,"전기","당기"))</x:f>
      </x:c>
      <x:c r="D648" s="67"/>
      <x:c r="G648" s="68"/>
      <x:c r="K648" t="str">
        <x:f>IF(B648="","",IF(I648="확인 필요","붙임 문서 확인 후 거래 성격·기간·상대방·일회성 여부 확인","결의서명과 전기 대비 발생 건수·단가·시점 차이 검토"))</x:f>
      </x:c>
    </x:row>
    <x:row r="649">
      <x:c r="A649" t="str">
        <x:f>IF(B649="","",IF(COUNTIFS('전기원장'!$A$5:$A$1004,B649,'전기원장'!$D$5:$D$1004,E649)&gt;0,"전기","당기"))</x:f>
      </x:c>
      <x:c r="D649" s="67"/>
      <x:c r="G649" s="68"/>
      <x:c r="K649" t="str">
        <x:f>IF(B649="","",IF(I649="확인 필요","붙임 문서 확인 후 거래 성격·기간·상대방·일회성 여부 확인","결의서명과 전기 대비 발생 건수·단가·시점 차이 검토"))</x:f>
      </x:c>
    </x:row>
    <x:row r="650">
      <x:c r="A650" t="str">
        <x:f>IF(B650="","",IF(COUNTIFS('전기원장'!$A$5:$A$1004,B650,'전기원장'!$D$5:$D$1004,E650)&gt;0,"전기","당기"))</x:f>
      </x:c>
      <x:c r="D650" s="67"/>
      <x:c r="G650" s="68"/>
      <x:c r="K650" t="str">
        <x:f>IF(B650="","",IF(I650="확인 필요","붙임 문서 확인 후 거래 성격·기간·상대방·일회성 여부 확인","결의서명과 전기 대비 발생 건수·단가·시점 차이 검토"))</x:f>
      </x:c>
    </x:row>
    <x:row r="651">
      <x:c r="A651" t="str">
        <x:f>IF(B651="","",IF(COUNTIFS('전기원장'!$A$5:$A$1004,B651,'전기원장'!$D$5:$D$1004,E651)&gt;0,"전기","당기"))</x:f>
      </x:c>
      <x:c r="D651" s="67"/>
      <x:c r="G651" s="68"/>
      <x:c r="K651" t="str">
        <x:f>IF(B651="","",IF(I651="확인 필요","붙임 문서 확인 후 거래 성격·기간·상대방·일회성 여부 확인","결의서명과 전기 대비 발생 건수·단가·시점 차이 검토"))</x:f>
      </x:c>
    </x:row>
    <x:row r="652">
      <x:c r="A652" t="str">
        <x:f>IF(B652="","",IF(COUNTIFS('전기원장'!$A$5:$A$1004,B652,'전기원장'!$D$5:$D$1004,E652)&gt;0,"전기","당기"))</x:f>
      </x:c>
      <x:c r="D652" s="67"/>
      <x:c r="G652" s="68"/>
      <x:c r="K652" t="str">
        <x:f>IF(B652="","",IF(I652="확인 필요","붙임 문서 확인 후 거래 성격·기간·상대방·일회성 여부 확인","결의서명과 전기 대비 발생 건수·단가·시점 차이 검토"))</x:f>
      </x:c>
    </x:row>
    <x:row r="653">
      <x:c r="A653" t="str">
        <x:f>IF(B653="","",IF(COUNTIFS('전기원장'!$A$5:$A$1004,B653,'전기원장'!$D$5:$D$1004,E653)&gt;0,"전기","당기"))</x:f>
      </x:c>
      <x:c r="D653" s="67"/>
      <x:c r="G653" s="68"/>
      <x:c r="K653" t="str">
        <x:f>IF(B653="","",IF(I653="확인 필요","붙임 문서 확인 후 거래 성격·기간·상대방·일회성 여부 확인","결의서명과 전기 대비 발생 건수·단가·시점 차이 검토"))</x:f>
      </x:c>
    </x:row>
    <x:row r="654">
      <x:c r="A654" t="str">
        <x:f>IF(B654="","",IF(COUNTIFS('전기원장'!$A$5:$A$1004,B654,'전기원장'!$D$5:$D$1004,E654)&gt;0,"전기","당기"))</x:f>
      </x:c>
      <x:c r="D654" s="67"/>
      <x:c r="G654" s="68"/>
      <x:c r="K654" t="str">
        <x:f>IF(B654="","",IF(I654="확인 필요","붙임 문서 확인 후 거래 성격·기간·상대방·일회성 여부 확인","결의서명과 전기 대비 발생 건수·단가·시점 차이 검토"))</x:f>
      </x:c>
    </x:row>
    <x:row r="655">
      <x:c r="A655" t="str">
        <x:f>IF(B655="","",IF(COUNTIFS('전기원장'!$A$5:$A$1004,B655,'전기원장'!$D$5:$D$1004,E655)&gt;0,"전기","당기"))</x:f>
      </x:c>
      <x:c r="D655" s="67"/>
      <x:c r="G655" s="68"/>
      <x:c r="K655" t="str">
        <x:f>IF(B655="","",IF(I655="확인 필요","붙임 문서 확인 후 거래 성격·기간·상대방·일회성 여부 확인","결의서명과 전기 대비 발생 건수·단가·시점 차이 검토"))</x:f>
      </x:c>
    </x:row>
    <x:row r="656">
      <x:c r="A656" t="str">
        <x:f>IF(B656="","",IF(COUNTIFS('전기원장'!$A$5:$A$1004,B656,'전기원장'!$D$5:$D$1004,E656)&gt;0,"전기","당기"))</x:f>
      </x:c>
      <x:c r="D656" s="67"/>
      <x:c r="G656" s="68"/>
      <x:c r="K656" t="str">
        <x:f>IF(B656="","",IF(I656="확인 필요","붙임 문서 확인 후 거래 성격·기간·상대방·일회성 여부 확인","결의서명과 전기 대비 발생 건수·단가·시점 차이 검토"))</x:f>
      </x:c>
    </x:row>
    <x:row r="657">
      <x:c r="A657" t="str">
        <x:f>IF(B657="","",IF(COUNTIFS('전기원장'!$A$5:$A$1004,B657,'전기원장'!$D$5:$D$1004,E657)&gt;0,"전기","당기"))</x:f>
      </x:c>
      <x:c r="D657" s="67"/>
      <x:c r="G657" s="68"/>
      <x:c r="K657" t="str">
        <x:f>IF(B657="","",IF(I657="확인 필요","붙임 문서 확인 후 거래 성격·기간·상대방·일회성 여부 확인","결의서명과 전기 대비 발생 건수·단가·시점 차이 검토"))</x:f>
      </x:c>
    </x:row>
    <x:row r="658">
      <x:c r="A658" t="str">
        <x:f>IF(B658="","",IF(COUNTIFS('전기원장'!$A$5:$A$1004,B658,'전기원장'!$D$5:$D$1004,E658)&gt;0,"전기","당기"))</x:f>
      </x:c>
      <x:c r="D658" s="67"/>
      <x:c r="G658" s="68"/>
      <x:c r="K658" t="str">
        <x:f>IF(B658="","",IF(I658="확인 필요","붙임 문서 확인 후 거래 성격·기간·상대방·일회성 여부 확인","결의서명과 전기 대비 발생 건수·단가·시점 차이 검토"))</x:f>
      </x:c>
    </x:row>
    <x:row r="659">
      <x:c r="A659" t="str">
        <x:f>IF(B659="","",IF(COUNTIFS('전기원장'!$A$5:$A$1004,B659,'전기원장'!$D$5:$D$1004,E659)&gt;0,"전기","당기"))</x:f>
      </x:c>
      <x:c r="D659" s="67"/>
      <x:c r="G659" s="68"/>
      <x:c r="K659" t="str">
        <x:f>IF(B659="","",IF(I659="확인 필요","붙임 문서 확인 후 거래 성격·기간·상대방·일회성 여부 확인","결의서명과 전기 대비 발생 건수·단가·시점 차이 검토"))</x:f>
      </x:c>
    </x:row>
    <x:row r="660">
      <x:c r="A660" t="str">
        <x:f>IF(B660="","",IF(COUNTIFS('전기원장'!$A$5:$A$1004,B660,'전기원장'!$D$5:$D$1004,E660)&gt;0,"전기","당기"))</x:f>
      </x:c>
      <x:c r="D660" s="67"/>
      <x:c r="G660" s="68"/>
      <x:c r="K660" t="str">
        <x:f>IF(B660="","",IF(I660="확인 필요","붙임 문서 확인 후 거래 성격·기간·상대방·일회성 여부 확인","결의서명과 전기 대비 발생 건수·단가·시점 차이 검토"))</x:f>
      </x:c>
    </x:row>
    <x:row r="661">
      <x:c r="A661" t="str">
        <x:f>IF(B661="","",IF(COUNTIFS('전기원장'!$A$5:$A$1004,B661,'전기원장'!$D$5:$D$1004,E661)&gt;0,"전기","당기"))</x:f>
      </x:c>
      <x:c r="D661" s="67"/>
      <x:c r="G661" s="68"/>
      <x:c r="K661" t="str">
        <x:f>IF(B661="","",IF(I661="확인 필요","붙임 문서 확인 후 거래 성격·기간·상대방·일회성 여부 확인","결의서명과 전기 대비 발생 건수·단가·시점 차이 검토"))</x:f>
      </x:c>
    </x:row>
    <x:row r="662">
      <x:c r="A662" t="str">
        <x:f>IF(B662="","",IF(COUNTIFS('전기원장'!$A$5:$A$1004,B662,'전기원장'!$D$5:$D$1004,E662)&gt;0,"전기","당기"))</x:f>
      </x:c>
      <x:c r="D662" s="67"/>
      <x:c r="G662" s="68"/>
      <x:c r="K662" t="str">
        <x:f>IF(B662="","",IF(I662="확인 필요","붙임 문서 확인 후 거래 성격·기간·상대방·일회성 여부 확인","결의서명과 전기 대비 발생 건수·단가·시점 차이 검토"))</x:f>
      </x:c>
    </x:row>
    <x:row r="663">
      <x:c r="A663" t="str">
        <x:f>IF(B663="","",IF(COUNTIFS('전기원장'!$A$5:$A$1004,B663,'전기원장'!$D$5:$D$1004,E663)&gt;0,"전기","당기"))</x:f>
      </x:c>
      <x:c r="D663" s="67"/>
      <x:c r="G663" s="68"/>
      <x:c r="K663" t="str">
        <x:f>IF(B663="","",IF(I663="확인 필요","붙임 문서 확인 후 거래 성격·기간·상대방·일회성 여부 확인","결의서명과 전기 대비 발생 건수·단가·시점 차이 검토"))</x:f>
      </x:c>
    </x:row>
    <x:row r="664">
      <x:c r="A664" t="str">
        <x:f>IF(B664="","",IF(COUNTIFS('전기원장'!$A$5:$A$1004,B664,'전기원장'!$D$5:$D$1004,E664)&gt;0,"전기","당기"))</x:f>
      </x:c>
      <x:c r="D664" s="67"/>
      <x:c r="G664" s="68"/>
      <x:c r="K664" t="str">
        <x:f>IF(B664="","",IF(I664="확인 필요","붙임 문서 확인 후 거래 성격·기간·상대방·일회성 여부 확인","결의서명과 전기 대비 발생 건수·단가·시점 차이 검토"))</x:f>
      </x:c>
    </x:row>
    <x:row r="665">
      <x:c r="A665" t="str">
        <x:f>IF(B665="","",IF(COUNTIFS('전기원장'!$A$5:$A$1004,B665,'전기원장'!$D$5:$D$1004,E665)&gt;0,"전기","당기"))</x:f>
      </x:c>
      <x:c r="D665" s="67"/>
      <x:c r="G665" s="68"/>
      <x:c r="K665" t="str">
        <x:f>IF(B665="","",IF(I665="확인 필요","붙임 문서 확인 후 거래 성격·기간·상대방·일회성 여부 확인","결의서명과 전기 대비 발생 건수·단가·시점 차이 검토"))</x:f>
      </x:c>
    </x:row>
    <x:row r="666">
      <x:c r="A666" t="str">
        <x:f>IF(B666="","",IF(COUNTIFS('전기원장'!$A$5:$A$1004,B666,'전기원장'!$D$5:$D$1004,E666)&gt;0,"전기","당기"))</x:f>
      </x:c>
      <x:c r="D666" s="67"/>
      <x:c r="G666" s="68"/>
      <x:c r="K666" t="str">
        <x:f>IF(B666="","",IF(I666="확인 필요","붙임 문서 확인 후 거래 성격·기간·상대방·일회성 여부 확인","결의서명과 전기 대비 발생 건수·단가·시점 차이 검토"))</x:f>
      </x:c>
    </x:row>
    <x:row r="667">
      <x:c r="A667" t="str">
        <x:f>IF(B667="","",IF(COUNTIFS('전기원장'!$A$5:$A$1004,B667,'전기원장'!$D$5:$D$1004,E667)&gt;0,"전기","당기"))</x:f>
      </x:c>
      <x:c r="D667" s="67"/>
      <x:c r="G667" s="68"/>
      <x:c r="K667" t="str">
        <x:f>IF(B667="","",IF(I667="확인 필요","붙임 문서 확인 후 거래 성격·기간·상대방·일회성 여부 확인","결의서명과 전기 대비 발생 건수·단가·시점 차이 검토"))</x:f>
      </x:c>
    </x:row>
    <x:row r="668">
      <x:c r="A668" t="str">
        <x:f>IF(B668="","",IF(COUNTIFS('전기원장'!$A$5:$A$1004,B668,'전기원장'!$D$5:$D$1004,E668)&gt;0,"전기","당기"))</x:f>
      </x:c>
      <x:c r="D668" s="67"/>
      <x:c r="G668" s="68"/>
      <x:c r="K668" t="str">
        <x:f>IF(B668="","",IF(I668="확인 필요","붙임 문서 확인 후 거래 성격·기간·상대방·일회성 여부 확인","결의서명과 전기 대비 발생 건수·단가·시점 차이 검토"))</x:f>
      </x:c>
    </x:row>
    <x:row r="669">
      <x:c r="A669" t="str">
        <x:f>IF(B669="","",IF(COUNTIFS('전기원장'!$A$5:$A$1004,B669,'전기원장'!$D$5:$D$1004,E669)&gt;0,"전기","당기"))</x:f>
      </x:c>
      <x:c r="D669" s="67"/>
      <x:c r="G669" s="68"/>
      <x:c r="K669" t="str">
        <x:f>IF(B669="","",IF(I669="확인 필요","붙임 문서 확인 후 거래 성격·기간·상대방·일회성 여부 확인","결의서명과 전기 대비 발생 건수·단가·시점 차이 검토"))</x:f>
      </x:c>
    </x:row>
    <x:row r="670">
      <x:c r="A670" t="str">
        <x:f>IF(B670="","",IF(COUNTIFS('전기원장'!$A$5:$A$1004,B670,'전기원장'!$D$5:$D$1004,E670)&gt;0,"전기","당기"))</x:f>
      </x:c>
      <x:c r="D670" s="67"/>
      <x:c r="G670" s="68"/>
      <x:c r="K670" t="str">
        <x:f>IF(B670="","",IF(I670="확인 필요","붙임 문서 확인 후 거래 성격·기간·상대방·일회성 여부 확인","결의서명과 전기 대비 발생 건수·단가·시점 차이 검토"))</x:f>
      </x:c>
    </x:row>
    <x:row r="671">
      <x:c r="A671" t="str">
        <x:f>IF(B671="","",IF(COUNTIFS('전기원장'!$A$5:$A$1004,B671,'전기원장'!$D$5:$D$1004,E671)&gt;0,"전기","당기"))</x:f>
      </x:c>
      <x:c r="D671" s="67"/>
      <x:c r="G671" s="68"/>
      <x:c r="K671" t="str">
        <x:f>IF(B671="","",IF(I671="확인 필요","붙임 문서 확인 후 거래 성격·기간·상대방·일회성 여부 확인","결의서명과 전기 대비 발생 건수·단가·시점 차이 검토"))</x:f>
      </x:c>
    </x:row>
    <x:row r="672">
      <x:c r="A672" t="str">
        <x:f>IF(B672="","",IF(COUNTIFS('전기원장'!$A$5:$A$1004,B672,'전기원장'!$D$5:$D$1004,E672)&gt;0,"전기","당기"))</x:f>
      </x:c>
      <x:c r="D672" s="67"/>
      <x:c r="G672" s="68"/>
      <x:c r="K672" t="str">
        <x:f>IF(B672="","",IF(I672="확인 필요","붙임 문서 확인 후 거래 성격·기간·상대방·일회성 여부 확인","결의서명과 전기 대비 발생 건수·단가·시점 차이 검토"))</x:f>
      </x:c>
    </x:row>
    <x:row r="673">
      <x:c r="A673" t="str">
        <x:f>IF(B673="","",IF(COUNTIFS('전기원장'!$A$5:$A$1004,B673,'전기원장'!$D$5:$D$1004,E673)&gt;0,"전기","당기"))</x:f>
      </x:c>
      <x:c r="D673" s="67"/>
      <x:c r="G673" s="68"/>
      <x:c r="K673" t="str">
        <x:f>IF(B673="","",IF(I673="확인 필요","붙임 문서 확인 후 거래 성격·기간·상대방·일회성 여부 확인","결의서명과 전기 대비 발생 건수·단가·시점 차이 검토"))</x:f>
      </x:c>
    </x:row>
    <x:row r="674">
      <x:c r="A674" t="str">
        <x:f>IF(B674="","",IF(COUNTIFS('전기원장'!$A$5:$A$1004,B674,'전기원장'!$D$5:$D$1004,E674)&gt;0,"전기","당기"))</x:f>
      </x:c>
      <x:c r="D674" s="67"/>
      <x:c r="G674" s="68"/>
      <x:c r="K674" t="str">
        <x:f>IF(B674="","",IF(I674="확인 필요","붙임 문서 확인 후 거래 성격·기간·상대방·일회성 여부 확인","결의서명과 전기 대비 발생 건수·단가·시점 차이 검토"))</x:f>
      </x:c>
    </x:row>
    <x:row r="675">
      <x:c r="A675" t="str">
        <x:f>IF(B675="","",IF(COUNTIFS('전기원장'!$A$5:$A$1004,B675,'전기원장'!$D$5:$D$1004,E675)&gt;0,"전기","당기"))</x:f>
      </x:c>
      <x:c r="D675" s="67"/>
      <x:c r="G675" s="68"/>
      <x:c r="K675" t="str">
        <x:f>IF(B675="","",IF(I675="확인 필요","붙임 문서 확인 후 거래 성격·기간·상대방·일회성 여부 확인","결의서명과 전기 대비 발생 건수·단가·시점 차이 검토"))</x:f>
      </x:c>
    </x:row>
    <x:row r="676">
      <x:c r="A676" t="str">
        <x:f>IF(B676="","",IF(COUNTIFS('전기원장'!$A$5:$A$1004,B676,'전기원장'!$D$5:$D$1004,E676)&gt;0,"전기","당기"))</x:f>
      </x:c>
      <x:c r="D676" s="67"/>
      <x:c r="G676" s="68"/>
      <x:c r="K676" t="str">
        <x:f>IF(B676="","",IF(I676="확인 필요","붙임 문서 확인 후 거래 성격·기간·상대방·일회성 여부 확인","결의서명과 전기 대비 발생 건수·단가·시점 차이 검토"))</x:f>
      </x:c>
    </x:row>
    <x:row r="677">
      <x:c r="A677" t="str">
        <x:f>IF(B677="","",IF(COUNTIFS('전기원장'!$A$5:$A$1004,B677,'전기원장'!$D$5:$D$1004,E677)&gt;0,"전기","당기"))</x:f>
      </x:c>
      <x:c r="D677" s="67"/>
      <x:c r="G677" s="68"/>
      <x:c r="K677" t="str">
        <x:f>IF(B677="","",IF(I677="확인 필요","붙임 문서 확인 후 거래 성격·기간·상대방·일회성 여부 확인","결의서명과 전기 대비 발생 건수·단가·시점 차이 검토"))</x:f>
      </x:c>
    </x:row>
    <x:row r="678">
      <x:c r="A678" t="str">
        <x:f>IF(B678="","",IF(COUNTIFS('전기원장'!$A$5:$A$1004,B678,'전기원장'!$D$5:$D$1004,E678)&gt;0,"전기","당기"))</x:f>
      </x:c>
      <x:c r="D678" s="67"/>
      <x:c r="G678" s="68"/>
      <x:c r="K678" t="str">
        <x:f>IF(B678="","",IF(I678="확인 필요","붙임 문서 확인 후 거래 성격·기간·상대방·일회성 여부 확인","결의서명과 전기 대비 발생 건수·단가·시점 차이 검토"))</x:f>
      </x:c>
    </x:row>
    <x:row r="679">
      <x:c r="A679" t="str">
        <x:f>IF(B679="","",IF(COUNTIFS('전기원장'!$A$5:$A$1004,B679,'전기원장'!$D$5:$D$1004,E679)&gt;0,"전기","당기"))</x:f>
      </x:c>
      <x:c r="D679" s="67"/>
      <x:c r="G679" s="68"/>
      <x:c r="K679" t="str">
        <x:f>IF(B679="","",IF(I679="확인 필요","붙임 문서 확인 후 거래 성격·기간·상대방·일회성 여부 확인","결의서명과 전기 대비 발생 건수·단가·시점 차이 검토"))</x:f>
      </x:c>
    </x:row>
    <x:row r="680">
      <x:c r="A680" t="str">
        <x:f>IF(B680="","",IF(COUNTIFS('전기원장'!$A$5:$A$1004,B680,'전기원장'!$D$5:$D$1004,E680)&gt;0,"전기","당기"))</x:f>
      </x:c>
      <x:c r="D680" s="67"/>
      <x:c r="G680" s="68"/>
      <x:c r="K680" t="str">
        <x:f>IF(B680="","",IF(I680="확인 필요","붙임 문서 확인 후 거래 성격·기간·상대방·일회성 여부 확인","결의서명과 전기 대비 발생 건수·단가·시점 차이 검토"))</x:f>
      </x:c>
    </x:row>
    <x:row r="681">
      <x:c r="A681" t="str">
        <x:f>IF(B681="","",IF(COUNTIFS('전기원장'!$A$5:$A$1004,B681,'전기원장'!$D$5:$D$1004,E681)&gt;0,"전기","당기"))</x:f>
      </x:c>
      <x:c r="D681" s="67"/>
      <x:c r="G681" s="68"/>
      <x:c r="K681" t="str">
        <x:f>IF(B681="","",IF(I681="확인 필요","붙임 문서 확인 후 거래 성격·기간·상대방·일회성 여부 확인","결의서명과 전기 대비 발생 건수·단가·시점 차이 검토"))</x:f>
      </x:c>
    </x:row>
    <x:row r="682">
      <x:c r="A682" t="str">
        <x:f>IF(B682="","",IF(COUNTIFS('전기원장'!$A$5:$A$1004,B682,'전기원장'!$D$5:$D$1004,E682)&gt;0,"전기","당기"))</x:f>
      </x:c>
      <x:c r="D682" s="67"/>
      <x:c r="G682" s="68"/>
      <x:c r="K682" t="str">
        <x:f>IF(B682="","",IF(I682="확인 필요","붙임 문서 확인 후 거래 성격·기간·상대방·일회성 여부 확인","결의서명과 전기 대비 발생 건수·단가·시점 차이 검토"))</x:f>
      </x:c>
    </x:row>
    <x:row r="683">
      <x:c r="A683" t="str">
        <x:f>IF(B683="","",IF(COUNTIFS('전기원장'!$A$5:$A$1004,B683,'전기원장'!$D$5:$D$1004,E683)&gt;0,"전기","당기"))</x:f>
      </x:c>
      <x:c r="D683" s="67"/>
      <x:c r="G683" s="68"/>
      <x:c r="K683" t="str">
        <x:f>IF(B683="","",IF(I683="확인 필요","붙임 문서 확인 후 거래 성격·기간·상대방·일회성 여부 확인","결의서명과 전기 대비 발생 건수·단가·시점 차이 검토"))</x:f>
      </x:c>
    </x:row>
    <x:row r="684">
      <x:c r="A684" t="str">
        <x:f>IF(B684="","",IF(COUNTIFS('전기원장'!$A$5:$A$1004,B684,'전기원장'!$D$5:$D$1004,E684)&gt;0,"전기","당기"))</x:f>
      </x:c>
      <x:c r="D684" s="67"/>
      <x:c r="G684" s="68"/>
      <x:c r="K684" t="str">
        <x:f>IF(B684="","",IF(I684="확인 필요","붙임 문서 확인 후 거래 성격·기간·상대방·일회성 여부 확인","결의서명과 전기 대비 발생 건수·단가·시점 차이 검토"))</x:f>
      </x:c>
    </x:row>
    <x:row r="685">
      <x:c r="A685" t="str">
        <x:f>IF(B685="","",IF(COUNTIFS('전기원장'!$A$5:$A$1004,B685,'전기원장'!$D$5:$D$1004,E685)&gt;0,"전기","당기"))</x:f>
      </x:c>
      <x:c r="D685" s="67"/>
      <x:c r="G685" s="68"/>
      <x:c r="K685" t="str">
        <x:f>IF(B685="","",IF(I685="확인 필요","붙임 문서 확인 후 거래 성격·기간·상대방·일회성 여부 확인","결의서명과 전기 대비 발생 건수·단가·시점 차이 검토"))</x:f>
      </x:c>
    </x:row>
    <x:row r="686">
      <x:c r="A686" t="str">
        <x:f>IF(B686="","",IF(COUNTIFS('전기원장'!$A$5:$A$1004,B686,'전기원장'!$D$5:$D$1004,E686)&gt;0,"전기","당기"))</x:f>
      </x:c>
      <x:c r="D686" s="67"/>
      <x:c r="G686" s="68"/>
      <x:c r="K686" t="str">
        <x:f>IF(B686="","",IF(I686="확인 필요","붙임 문서 확인 후 거래 성격·기간·상대방·일회성 여부 확인","결의서명과 전기 대비 발생 건수·단가·시점 차이 검토"))</x:f>
      </x:c>
    </x:row>
    <x:row r="687">
      <x:c r="A687" t="str">
        <x:f>IF(B687="","",IF(COUNTIFS('전기원장'!$A$5:$A$1004,B687,'전기원장'!$D$5:$D$1004,E687)&gt;0,"전기","당기"))</x:f>
      </x:c>
      <x:c r="D687" s="67"/>
      <x:c r="G687" s="68"/>
      <x:c r="K687" t="str">
        <x:f>IF(B687="","",IF(I687="확인 필요","붙임 문서 확인 후 거래 성격·기간·상대방·일회성 여부 확인","결의서명과 전기 대비 발생 건수·단가·시점 차이 검토"))</x:f>
      </x:c>
    </x:row>
    <x:row r="688">
      <x:c r="A688" t="str">
        <x:f>IF(B688="","",IF(COUNTIFS('전기원장'!$A$5:$A$1004,B688,'전기원장'!$D$5:$D$1004,E688)&gt;0,"전기","당기"))</x:f>
      </x:c>
      <x:c r="D688" s="67"/>
      <x:c r="G688" s="68"/>
      <x:c r="K688" t="str">
        <x:f>IF(B688="","",IF(I688="확인 필요","붙임 문서 확인 후 거래 성격·기간·상대방·일회성 여부 확인","결의서명과 전기 대비 발생 건수·단가·시점 차이 검토"))</x:f>
      </x:c>
    </x:row>
    <x:row r="689">
      <x:c r="A689" t="str">
        <x:f>IF(B689="","",IF(COUNTIFS('전기원장'!$A$5:$A$1004,B689,'전기원장'!$D$5:$D$1004,E689)&gt;0,"전기","당기"))</x:f>
      </x:c>
      <x:c r="D689" s="67"/>
      <x:c r="G689" s="68"/>
      <x:c r="K689" t="str">
        <x:f>IF(B689="","",IF(I689="확인 필요","붙임 문서 확인 후 거래 성격·기간·상대방·일회성 여부 확인","결의서명과 전기 대비 발생 건수·단가·시점 차이 검토"))</x:f>
      </x:c>
    </x:row>
    <x:row r="690">
      <x:c r="A690" t="str">
        <x:f>IF(B690="","",IF(COUNTIFS('전기원장'!$A$5:$A$1004,B690,'전기원장'!$D$5:$D$1004,E690)&gt;0,"전기","당기"))</x:f>
      </x:c>
      <x:c r="D690" s="67"/>
      <x:c r="G690" s="68"/>
      <x:c r="K690" t="str">
        <x:f>IF(B690="","",IF(I690="확인 필요","붙임 문서 확인 후 거래 성격·기간·상대방·일회성 여부 확인","결의서명과 전기 대비 발생 건수·단가·시점 차이 검토"))</x:f>
      </x:c>
    </x:row>
    <x:row r="691">
      <x:c r="A691" t="str">
        <x:f>IF(B691="","",IF(COUNTIFS('전기원장'!$A$5:$A$1004,B691,'전기원장'!$D$5:$D$1004,E691)&gt;0,"전기","당기"))</x:f>
      </x:c>
      <x:c r="D691" s="67"/>
      <x:c r="G691" s="68"/>
      <x:c r="K691" t="str">
        <x:f>IF(B691="","",IF(I691="확인 필요","붙임 문서 확인 후 거래 성격·기간·상대방·일회성 여부 확인","결의서명과 전기 대비 발생 건수·단가·시점 차이 검토"))</x:f>
      </x:c>
    </x:row>
    <x:row r="692">
      <x:c r="A692" t="str">
        <x:f>IF(B692="","",IF(COUNTIFS('전기원장'!$A$5:$A$1004,B692,'전기원장'!$D$5:$D$1004,E692)&gt;0,"전기","당기"))</x:f>
      </x:c>
      <x:c r="D692" s="67"/>
      <x:c r="G692" s="68"/>
      <x:c r="K692" t="str">
        <x:f>IF(B692="","",IF(I692="확인 필요","붙임 문서 확인 후 거래 성격·기간·상대방·일회성 여부 확인","결의서명과 전기 대비 발생 건수·단가·시점 차이 검토"))</x:f>
      </x:c>
    </x:row>
    <x:row r="693">
      <x:c r="A693" t="str">
        <x:f>IF(B693="","",IF(COUNTIFS('전기원장'!$A$5:$A$1004,B693,'전기원장'!$D$5:$D$1004,E693)&gt;0,"전기","당기"))</x:f>
      </x:c>
      <x:c r="D693" s="67"/>
      <x:c r="G693" s="68"/>
      <x:c r="K693" t="str">
        <x:f>IF(B693="","",IF(I693="확인 필요","붙임 문서 확인 후 거래 성격·기간·상대방·일회성 여부 확인","결의서명과 전기 대비 발생 건수·단가·시점 차이 검토"))</x:f>
      </x:c>
    </x:row>
    <x:row r="694">
      <x:c r="A694" t="str">
        <x:f>IF(B694="","",IF(COUNTIFS('전기원장'!$A$5:$A$1004,B694,'전기원장'!$D$5:$D$1004,E694)&gt;0,"전기","당기"))</x:f>
      </x:c>
      <x:c r="D694" s="67"/>
      <x:c r="G694" s="68"/>
      <x:c r="K694" t="str">
        <x:f>IF(B694="","",IF(I694="확인 필요","붙임 문서 확인 후 거래 성격·기간·상대방·일회성 여부 확인","결의서명과 전기 대비 발생 건수·단가·시점 차이 검토"))</x:f>
      </x:c>
    </x:row>
    <x:row r="695">
      <x:c r="A695" t="str">
        <x:f>IF(B695="","",IF(COUNTIFS('전기원장'!$A$5:$A$1004,B695,'전기원장'!$D$5:$D$1004,E695)&gt;0,"전기","당기"))</x:f>
      </x:c>
      <x:c r="D695" s="67"/>
      <x:c r="G695" s="68"/>
      <x:c r="K695" t="str">
        <x:f>IF(B695="","",IF(I695="확인 필요","붙임 문서 확인 후 거래 성격·기간·상대방·일회성 여부 확인","결의서명과 전기 대비 발생 건수·단가·시점 차이 검토"))</x:f>
      </x:c>
    </x:row>
    <x:row r="696">
      <x:c r="A696" t="str">
        <x:f>IF(B696="","",IF(COUNTIFS('전기원장'!$A$5:$A$1004,B696,'전기원장'!$D$5:$D$1004,E696)&gt;0,"전기","당기"))</x:f>
      </x:c>
      <x:c r="D696" s="67"/>
      <x:c r="G696" s="68"/>
      <x:c r="K696" t="str">
        <x:f>IF(B696="","",IF(I696="확인 필요","붙임 문서 확인 후 거래 성격·기간·상대방·일회성 여부 확인","결의서명과 전기 대비 발생 건수·단가·시점 차이 검토"))</x:f>
      </x:c>
    </x:row>
    <x:row r="697">
      <x:c r="A697" t="str">
        <x:f>IF(B697="","",IF(COUNTIFS('전기원장'!$A$5:$A$1004,B697,'전기원장'!$D$5:$D$1004,E697)&gt;0,"전기","당기"))</x:f>
      </x:c>
      <x:c r="D697" s="67"/>
      <x:c r="G697" s="68"/>
      <x:c r="K697" t="str">
        <x:f>IF(B697="","",IF(I697="확인 필요","붙임 문서 확인 후 거래 성격·기간·상대방·일회성 여부 확인","결의서명과 전기 대비 발생 건수·단가·시점 차이 검토"))</x:f>
      </x:c>
    </x:row>
    <x:row r="698">
      <x:c r="A698" t="str">
        <x:f>IF(B698="","",IF(COUNTIFS('전기원장'!$A$5:$A$1004,B698,'전기원장'!$D$5:$D$1004,E698)&gt;0,"전기","당기"))</x:f>
      </x:c>
      <x:c r="D698" s="67"/>
      <x:c r="G698" s="68"/>
      <x:c r="K698" t="str">
        <x:f>IF(B698="","",IF(I698="확인 필요","붙임 문서 확인 후 거래 성격·기간·상대방·일회성 여부 확인","결의서명과 전기 대비 발생 건수·단가·시점 차이 검토"))</x:f>
      </x:c>
    </x:row>
    <x:row r="699">
      <x:c r="A699" t="str">
        <x:f>IF(B699="","",IF(COUNTIFS('전기원장'!$A$5:$A$1004,B699,'전기원장'!$D$5:$D$1004,E699)&gt;0,"전기","당기"))</x:f>
      </x:c>
      <x:c r="D699" s="67"/>
      <x:c r="G699" s="68"/>
      <x:c r="K699" t="str">
        <x:f>IF(B699="","",IF(I699="확인 필요","붙임 문서 확인 후 거래 성격·기간·상대방·일회성 여부 확인","결의서명과 전기 대비 발생 건수·단가·시점 차이 검토"))</x:f>
      </x:c>
    </x:row>
    <x:row r="700">
      <x:c r="A700" t="str">
        <x:f>IF(B700="","",IF(COUNTIFS('전기원장'!$A$5:$A$1004,B700,'전기원장'!$D$5:$D$1004,E700)&gt;0,"전기","당기"))</x:f>
      </x:c>
      <x:c r="D700" s="67"/>
      <x:c r="G700" s="68"/>
      <x:c r="K700" t="str">
        <x:f>IF(B700="","",IF(I700="확인 필요","붙임 문서 확인 후 거래 성격·기간·상대방·일회성 여부 확인","결의서명과 전기 대비 발생 건수·단가·시점 차이 검토"))</x:f>
      </x:c>
    </x:row>
    <x:row r="701">
      <x:c r="A701" t="str">
        <x:f>IF(B701="","",IF(COUNTIFS('전기원장'!$A$5:$A$1004,B701,'전기원장'!$D$5:$D$1004,E701)&gt;0,"전기","당기"))</x:f>
      </x:c>
      <x:c r="D701" s="67"/>
      <x:c r="G701" s="68"/>
      <x:c r="K701" t="str">
        <x:f>IF(B701="","",IF(I701="확인 필요","붙임 문서 확인 후 거래 성격·기간·상대방·일회성 여부 확인","결의서명과 전기 대비 발생 건수·단가·시점 차이 검토"))</x:f>
      </x:c>
    </x:row>
    <x:row r="702">
      <x:c r="A702" t="str">
        <x:f>IF(B702="","",IF(COUNTIFS('전기원장'!$A$5:$A$1004,B702,'전기원장'!$D$5:$D$1004,E702)&gt;0,"전기","당기"))</x:f>
      </x:c>
      <x:c r="D702" s="67"/>
      <x:c r="G702" s="68"/>
      <x:c r="K702" t="str">
        <x:f>IF(B702="","",IF(I702="확인 필요","붙임 문서 확인 후 거래 성격·기간·상대방·일회성 여부 확인","결의서명과 전기 대비 발생 건수·단가·시점 차이 검토"))</x:f>
      </x:c>
    </x:row>
    <x:row r="703">
      <x:c r="A703" t="str">
        <x:f>IF(B703="","",IF(COUNTIFS('전기원장'!$A$5:$A$1004,B703,'전기원장'!$D$5:$D$1004,E703)&gt;0,"전기","당기"))</x:f>
      </x:c>
      <x:c r="D703" s="67"/>
      <x:c r="G703" s="68"/>
      <x:c r="K703" t="str">
        <x:f>IF(B703="","",IF(I703="확인 필요","붙임 문서 확인 후 거래 성격·기간·상대방·일회성 여부 확인","결의서명과 전기 대비 발생 건수·단가·시점 차이 검토"))</x:f>
      </x:c>
    </x:row>
    <x:row r="704">
      <x:c r="A704" t="str">
        <x:f>IF(B704="","",IF(COUNTIFS('전기원장'!$A$5:$A$1004,B704,'전기원장'!$D$5:$D$1004,E704)&gt;0,"전기","당기"))</x:f>
      </x:c>
      <x:c r="D704" s="67"/>
      <x:c r="G704" s="68"/>
      <x:c r="K704" t="str">
        <x:f>IF(B704="","",IF(I704="확인 필요","붙임 문서 확인 후 거래 성격·기간·상대방·일회성 여부 확인","결의서명과 전기 대비 발생 건수·단가·시점 차이 검토"))</x:f>
      </x:c>
    </x:row>
    <x:row r="705">
      <x:c r="A705" t="str">
        <x:f>IF(B705="","",IF(COUNTIFS('전기원장'!$A$5:$A$1004,B705,'전기원장'!$D$5:$D$1004,E705)&gt;0,"전기","당기"))</x:f>
      </x:c>
      <x:c r="D705" s="67"/>
      <x:c r="G705" s="68"/>
      <x:c r="K705" t="str">
        <x:f>IF(B705="","",IF(I705="확인 필요","붙임 문서 확인 후 거래 성격·기간·상대방·일회성 여부 확인","결의서명과 전기 대비 발생 건수·단가·시점 차이 검토"))</x:f>
      </x:c>
    </x:row>
    <x:row r="706">
      <x:c r="A706" t="str">
        <x:f>IF(B706="","",IF(COUNTIFS('전기원장'!$A$5:$A$1004,B706,'전기원장'!$D$5:$D$1004,E706)&gt;0,"전기","당기"))</x:f>
      </x:c>
      <x:c r="D706" s="67"/>
      <x:c r="G706" s="68"/>
      <x:c r="K706" t="str">
        <x:f>IF(B706="","",IF(I706="확인 필요","붙임 문서 확인 후 거래 성격·기간·상대방·일회성 여부 확인","결의서명과 전기 대비 발생 건수·단가·시점 차이 검토"))</x:f>
      </x:c>
    </x:row>
    <x:row r="707">
      <x:c r="A707" t="str">
        <x:f>IF(B707="","",IF(COUNTIFS('전기원장'!$A$5:$A$1004,B707,'전기원장'!$D$5:$D$1004,E707)&gt;0,"전기","당기"))</x:f>
      </x:c>
      <x:c r="D707" s="67"/>
      <x:c r="G707" s="68"/>
      <x:c r="K707" t="str">
        <x:f>IF(B707="","",IF(I707="확인 필요","붙임 문서 확인 후 거래 성격·기간·상대방·일회성 여부 확인","결의서명과 전기 대비 발생 건수·단가·시점 차이 검토"))</x:f>
      </x:c>
    </x:row>
    <x:row r="708">
      <x:c r="A708" t="str">
        <x:f>IF(B708="","",IF(COUNTIFS('전기원장'!$A$5:$A$1004,B708,'전기원장'!$D$5:$D$1004,E708)&gt;0,"전기","당기"))</x:f>
      </x:c>
      <x:c r="D708" s="67"/>
      <x:c r="G708" s="68"/>
      <x:c r="K708" t="str">
        <x:f>IF(B708="","",IF(I708="확인 필요","붙임 문서 확인 후 거래 성격·기간·상대방·일회성 여부 확인","결의서명과 전기 대비 발생 건수·단가·시점 차이 검토"))</x:f>
      </x:c>
    </x:row>
    <x:row r="709">
      <x:c r="A709" t="str">
        <x:f>IF(B709="","",IF(COUNTIFS('전기원장'!$A$5:$A$1004,B709,'전기원장'!$D$5:$D$1004,E709)&gt;0,"전기","당기"))</x:f>
      </x:c>
      <x:c r="D709" s="67"/>
      <x:c r="G709" s="68"/>
      <x:c r="K709" t="str">
        <x:f>IF(B709="","",IF(I709="확인 필요","붙임 문서 확인 후 거래 성격·기간·상대방·일회성 여부 확인","결의서명과 전기 대비 발생 건수·단가·시점 차이 검토"))</x:f>
      </x:c>
    </x:row>
    <x:row r="710">
      <x:c r="A710" t="str">
        <x:f>IF(B710="","",IF(COUNTIFS('전기원장'!$A$5:$A$1004,B710,'전기원장'!$D$5:$D$1004,E710)&gt;0,"전기","당기"))</x:f>
      </x:c>
      <x:c r="D710" s="67"/>
      <x:c r="G710" s="68"/>
      <x:c r="K710" t="str">
        <x:f>IF(B710="","",IF(I710="확인 필요","붙임 문서 확인 후 거래 성격·기간·상대방·일회성 여부 확인","결의서명과 전기 대비 발생 건수·단가·시점 차이 검토"))</x:f>
      </x:c>
    </x:row>
    <x:row r="711">
      <x:c r="A711" t="str">
        <x:f>IF(B711="","",IF(COUNTIFS('전기원장'!$A$5:$A$1004,B711,'전기원장'!$D$5:$D$1004,E711)&gt;0,"전기","당기"))</x:f>
      </x:c>
      <x:c r="D711" s="67"/>
      <x:c r="G711" s="68"/>
      <x:c r="K711" t="str">
        <x:f>IF(B711="","",IF(I711="확인 필요","붙임 문서 확인 후 거래 성격·기간·상대방·일회성 여부 확인","결의서명과 전기 대비 발생 건수·단가·시점 차이 검토"))</x:f>
      </x:c>
    </x:row>
    <x:row r="712">
      <x:c r="A712" t="str">
        <x:f>IF(B712="","",IF(COUNTIFS('전기원장'!$A$5:$A$1004,B712,'전기원장'!$D$5:$D$1004,E712)&gt;0,"전기","당기"))</x:f>
      </x:c>
      <x:c r="D712" s="67"/>
      <x:c r="G712" s="68"/>
      <x:c r="K712" t="str">
        <x:f>IF(B712="","",IF(I712="확인 필요","붙임 문서 확인 후 거래 성격·기간·상대방·일회성 여부 확인","결의서명과 전기 대비 발생 건수·단가·시점 차이 검토"))</x:f>
      </x:c>
    </x:row>
    <x:row r="713">
      <x:c r="A713" t="str">
        <x:f>IF(B713="","",IF(COUNTIFS('전기원장'!$A$5:$A$1004,B713,'전기원장'!$D$5:$D$1004,E713)&gt;0,"전기","당기"))</x:f>
      </x:c>
      <x:c r="D713" s="67"/>
      <x:c r="G713" s="68"/>
      <x:c r="K713" t="str">
        <x:f>IF(B713="","",IF(I713="확인 필요","붙임 문서 확인 후 거래 성격·기간·상대방·일회성 여부 확인","결의서명과 전기 대비 발생 건수·단가·시점 차이 검토"))</x:f>
      </x:c>
    </x:row>
    <x:row r="714">
      <x:c r="A714" t="str">
        <x:f>IF(B714="","",IF(COUNTIFS('전기원장'!$A$5:$A$1004,B714,'전기원장'!$D$5:$D$1004,E714)&gt;0,"전기","당기"))</x:f>
      </x:c>
      <x:c r="D714" s="67"/>
      <x:c r="G714" s="68"/>
      <x:c r="K714" t="str">
        <x:f>IF(B714="","",IF(I714="확인 필요","붙임 문서 확인 후 거래 성격·기간·상대방·일회성 여부 확인","결의서명과 전기 대비 발생 건수·단가·시점 차이 검토"))</x:f>
      </x:c>
    </x:row>
    <x:row r="715">
      <x:c r="A715" t="str">
        <x:f>IF(B715="","",IF(COUNTIFS('전기원장'!$A$5:$A$1004,B715,'전기원장'!$D$5:$D$1004,E715)&gt;0,"전기","당기"))</x:f>
      </x:c>
      <x:c r="D715" s="67"/>
      <x:c r="G715" s="68"/>
      <x:c r="K715" t="str">
        <x:f>IF(B715="","",IF(I715="확인 필요","붙임 문서 확인 후 거래 성격·기간·상대방·일회성 여부 확인","결의서명과 전기 대비 발생 건수·단가·시점 차이 검토"))</x:f>
      </x:c>
    </x:row>
    <x:row r="716">
      <x:c r="A716" t="str">
        <x:f>IF(B716="","",IF(COUNTIFS('전기원장'!$A$5:$A$1004,B716,'전기원장'!$D$5:$D$1004,E716)&gt;0,"전기","당기"))</x:f>
      </x:c>
      <x:c r="D716" s="67"/>
      <x:c r="G716" s="68"/>
      <x:c r="K716" t="str">
        <x:f>IF(B716="","",IF(I716="확인 필요","붙임 문서 확인 후 거래 성격·기간·상대방·일회성 여부 확인","결의서명과 전기 대비 발생 건수·단가·시점 차이 검토"))</x:f>
      </x:c>
    </x:row>
    <x:row r="717">
      <x:c r="A717" t="str">
        <x:f>IF(B717="","",IF(COUNTIFS('전기원장'!$A$5:$A$1004,B717,'전기원장'!$D$5:$D$1004,E717)&gt;0,"전기","당기"))</x:f>
      </x:c>
      <x:c r="D717" s="67"/>
      <x:c r="G717" s="68"/>
      <x:c r="K717" t="str">
        <x:f>IF(B717="","",IF(I717="확인 필요","붙임 문서 확인 후 거래 성격·기간·상대방·일회성 여부 확인","결의서명과 전기 대비 발생 건수·단가·시점 차이 검토"))</x:f>
      </x:c>
    </x:row>
    <x:row r="718">
      <x:c r="A718" t="str">
        <x:f>IF(B718="","",IF(COUNTIFS('전기원장'!$A$5:$A$1004,B718,'전기원장'!$D$5:$D$1004,E718)&gt;0,"전기","당기"))</x:f>
      </x:c>
      <x:c r="D718" s="67"/>
      <x:c r="G718" s="68"/>
      <x:c r="K718" t="str">
        <x:f>IF(B718="","",IF(I718="확인 필요","붙임 문서 확인 후 거래 성격·기간·상대방·일회성 여부 확인","결의서명과 전기 대비 발생 건수·단가·시점 차이 검토"))</x:f>
      </x:c>
    </x:row>
    <x:row r="719">
      <x:c r="A719" t="str">
        <x:f>IF(B719="","",IF(COUNTIFS('전기원장'!$A$5:$A$1004,B719,'전기원장'!$D$5:$D$1004,E719)&gt;0,"전기","당기"))</x:f>
      </x:c>
      <x:c r="D719" s="67"/>
      <x:c r="G719" s="68"/>
      <x:c r="K719" t="str">
        <x:f>IF(B719="","",IF(I719="확인 필요","붙임 문서 확인 후 거래 성격·기간·상대방·일회성 여부 확인","결의서명과 전기 대비 발생 건수·단가·시점 차이 검토"))</x:f>
      </x:c>
    </x:row>
    <x:row r="720">
      <x:c r="A720" t="str">
        <x:f>IF(B720="","",IF(COUNTIFS('전기원장'!$A$5:$A$1004,B720,'전기원장'!$D$5:$D$1004,E720)&gt;0,"전기","당기"))</x:f>
      </x:c>
      <x:c r="D720" s="67"/>
      <x:c r="G720" s="68"/>
      <x:c r="K720" t="str">
        <x:f>IF(B720="","",IF(I720="확인 필요","붙임 문서 확인 후 거래 성격·기간·상대방·일회성 여부 확인","결의서명과 전기 대비 발생 건수·단가·시점 차이 검토"))</x:f>
      </x:c>
    </x:row>
    <x:row r="721">
      <x:c r="A721" t="str">
        <x:f>IF(B721="","",IF(COUNTIFS('전기원장'!$A$5:$A$1004,B721,'전기원장'!$D$5:$D$1004,E721)&gt;0,"전기","당기"))</x:f>
      </x:c>
      <x:c r="D721" s="67"/>
      <x:c r="G721" s="68"/>
      <x:c r="K721" t="str">
        <x:f>IF(B721="","",IF(I721="확인 필요","붙임 문서 확인 후 거래 성격·기간·상대방·일회성 여부 확인","결의서명과 전기 대비 발생 건수·단가·시점 차이 검토"))</x:f>
      </x:c>
    </x:row>
    <x:row r="722">
      <x:c r="A722" t="str">
        <x:f>IF(B722="","",IF(COUNTIFS('전기원장'!$A$5:$A$1004,B722,'전기원장'!$D$5:$D$1004,E722)&gt;0,"전기","당기"))</x:f>
      </x:c>
      <x:c r="D722" s="67"/>
      <x:c r="G722" s="68"/>
      <x:c r="K722" t="str">
        <x:f>IF(B722="","",IF(I722="확인 필요","붙임 문서 확인 후 거래 성격·기간·상대방·일회성 여부 확인","결의서명과 전기 대비 발생 건수·단가·시점 차이 검토"))</x:f>
      </x:c>
    </x:row>
    <x:row r="723">
      <x:c r="A723" t="str">
        <x:f>IF(B723="","",IF(COUNTIFS('전기원장'!$A$5:$A$1004,B723,'전기원장'!$D$5:$D$1004,E723)&gt;0,"전기","당기"))</x:f>
      </x:c>
      <x:c r="D723" s="67"/>
      <x:c r="G723" s="68"/>
      <x:c r="K723" t="str">
        <x:f>IF(B723="","",IF(I723="확인 필요","붙임 문서 확인 후 거래 성격·기간·상대방·일회성 여부 확인","결의서명과 전기 대비 발생 건수·단가·시점 차이 검토"))</x:f>
      </x:c>
    </x:row>
    <x:row r="724">
      <x:c r="A724" t="str">
        <x:f>IF(B724="","",IF(COUNTIFS('전기원장'!$A$5:$A$1004,B724,'전기원장'!$D$5:$D$1004,E724)&gt;0,"전기","당기"))</x:f>
      </x:c>
      <x:c r="D724" s="67"/>
      <x:c r="G724" s="68"/>
      <x:c r="K724" t="str">
        <x:f>IF(B724="","",IF(I724="확인 필요","붙임 문서 확인 후 거래 성격·기간·상대방·일회성 여부 확인","결의서명과 전기 대비 발생 건수·단가·시점 차이 검토"))</x:f>
      </x:c>
    </x:row>
    <x:row r="725">
      <x:c r="A725" t="str">
        <x:f>IF(B725="","",IF(COUNTIFS('전기원장'!$A$5:$A$1004,B725,'전기원장'!$D$5:$D$1004,E725)&gt;0,"전기","당기"))</x:f>
      </x:c>
      <x:c r="D725" s="67"/>
      <x:c r="G725" s="68"/>
      <x:c r="K725" t="str">
        <x:f>IF(B725="","",IF(I725="확인 필요","붙임 문서 확인 후 거래 성격·기간·상대방·일회성 여부 확인","결의서명과 전기 대비 발생 건수·단가·시점 차이 검토"))</x:f>
      </x:c>
    </x:row>
    <x:row r="726">
      <x:c r="A726" t="str">
        <x:f>IF(B726="","",IF(COUNTIFS('전기원장'!$A$5:$A$1004,B726,'전기원장'!$D$5:$D$1004,E726)&gt;0,"전기","당기"))</x:f>
      </x:c>
      <x:c r="D726" s="67"/>
      <x:c r="G726" s="68"/>
      <x:c r="K726" t="str">
        <x:f>IF(B726="","",IF(I726="확인 필요","붙임 문서 확인 후 거래 성격·기간·상대방·일회성 여부 확인","결의서명과 전기 대비 발생 건수·단가·시점 차이 검토"))</x:f>
      </x:c>
    </x:row>
    <x:row r="727">
      <x:c r="A727" t="str">
        <x:f>IF(B727="","",IF(COUNTIFS('전기원장'!$A$5:$A$1004,B727,'전기원장'!$D$5:$D$1004,E727)&gt;0,"전기","당기"))</x:f>
      </x:c>
      <x:c r="D727" s="67"/>
      <x:c r="G727" s="68"/>
      <x:c r="K727" t="str">
        <x:f>IF(B727="","",IF(I727="확인 필요","붙임 문서 확인 후 거래 성격·기간·상대방·일회성 여부 확인","결의서명과 전기 대비 발생 건수·단가·시점 차이 검토"))</x:f>
      </x:c>
    </x:row>
    <x:row r="728">
      <x:c r="A728" t="str">
        <x:f>IF(B728="","",IF(COUNTIFS('전기원장'!$A$5:$A$1004,B728,'전기원장'!$D$5:$D$1004,E728)&gt;0,"전기","당기"))</x:f>
      </x:c>
      <x:c r="D728" s="67"/>
      <x:c r="G728" s="68"/>
      <x:c r="K728" t="str">
        <x:f>IF(B728="","",IF(I728="확인 필요","붙임 문서 확인 후 거래 성격·기간·상대방·일회성 여부 확인","결의서명과 전기 대비 발생 건수·단가·시점 차이 검토"))</x:f>
      </x:c>
    </x:row>
    <x:row r="729">
      <x:c r="A729" t="str">
        <x:f>IF(B729="","",IF(COUNTIFS('전기원장'!$A$5:$A$1004,B729,'전기원장'!$D$5:$D$1004,E729)&gt;0,"전기","당기"))</x:f>
      </x:c>
      <x:c r="D729" s="67"/>
      <x:c r="G729" s="68"/>
      <x:c r="K729" t="str">
        <x:f>IF(B729="","",IF(I729="확인 필요","붙임 문서 확인 후 거래 성격·기간·상대방·일회성 여부 확인","결의서명과 전기 대비 발생 건수·단가·시점 차이 검토"))</x:f>
      </x:c>
    </x:row>
    <x:row r="730">
      <x:c r="A730" t="str">
        <x:f>IF(B730="","",IF(COUNTIFS('전기원장'!$A$5:$A$1004,B730,'전기원장'!$D$5:$D$1004,E730)&gt;0,"전기","당기"))</x:f>
      </x:c>
      <x:c r="D730" s="67"/>
      <x:c r="G730" s="68"/>
      <x:c r="K730" t="str">
        <x:f>IF(B730="","",IF(I730="확인 필요","붙임 문서 확인 후 거래 성격·기간·상대방·일회성 여부 확인","결의서명과 전기 대비 발생 건수·단가·시점 차이 검토"))</x:f>
      </x:c>
    </x:row>
    <x:row r="731">
      <x:c r="A731" t="str">
        <x:f>IF(B731="","",IF(COUNTIFS('전기원장'!$A$5:$A$1004,B731,'전기원장'!$D$5:$D$1004,E731)&gt;0,"전기","당기"))</x:f>
      </x:c>
      <x:c r="D731" s="67"/>
      <x:c r="G731" s="68"/>
      <x:c r="K731" t="str">
        <x:f>IF(B731="","",IF(I731="확인 필요","붙임 문서 확인 후 거래 성격·기간·상대방·일회성 여부 확인","결의서명과 전기 대비 발생 건수·단가·시점 차이 검토"))</x:f>
      </x:c>
    </x:row>
    <x:row r="732">
      <x:c r="A732" t="str">
        <x:f>IF(B732="","",IF(COUNTIFS('전기원장'!$A$5:$A$1004,B732,'전기원장'!$D$5:$D$1004,E732)&gt;0,"전기","당기"))</x:f>
      </x:c>
      <x:c r="D732" s="67"/>
      <x:c r="G732" s="68"/>
      <x:c r="K732" t="str">
        <x:f>IF(B732="","",IF(I732="확인 필요","붙임 문서 확인 후 거래 성격·기간·상대방·일회성 여부 확인","결의서명과 전기 대비 발생 건수·단가·시점 차이 검토"))</x:f>
      </x:c>
    </x:row>
    <x:row r="733">
      <x:c r="A733" t="str">
        <x:f>IF(B733="","",IF(COUNTIFS('전기원장'!$A$5:$A$1004,B733,'전기원장'!$D$5:$D$1004,E733)&gt;0,"전기","당기"))</x:f>
      </x:c>
      <x:c r="D733" s="67"/>
      <x:c r="G733" s="68"/>
      <x:c r="K733" t="str">
        <x:f>IF(B733="","",IF(I733="확인 필요","붙임 문서 확인 후 거래 성격·기간·상대방·일회성 여부 확인","결의서명과 전기 대비 발생 건수·단가·시점 차이 검토"))</x:f>
      </x:c>
    </x:row>
    <x:row r="734">
      <x:c r="A734" t="str">
        <x:f>IF(B734="","",IF(COUNTIFS('전기원장'!$A$5:$A$1004,B734,'전기원장'!$D$5:$D$1004,E734)&gt;0,"전기","당기"))</x:f>
      </x:c>
      <x:c r="D734" s="67"/>
      <x:c r="G734" s="68"/>
      <x:c r="K734" t="str">
        <x:f>IF(B734="","",IF(I734="확인 필요","붙임 문서 확인 후 거래 성격·기간·상대방·일회성 여부 확인","결의서명과 전기 대비 발생 건수·단가·시점 차이 검토"))</x:f>
      </x:c>
    </x:row>
    <x:row r="735">
      <x:c r="A735" t="str">
        <x:f>IF(B735="","",IF(COUNTIFS('전기원장'!$A$5:$A$1004,B735,'전기원장'!$D$5:$D$1004,E735)&gt;0,"전기","당기"))</x:f>
      </x:c>
      <x:c r="D735" s="67"/>
      <x:c r="G735" s="68"/>
      <x:c r="K735" t="str">
        <x:f>IF(B735="","",IF(I735="확인 필요","붙임 문서 확인 후 거래 성격·기간·상대방·일회성 여부 확인","결의서명과 전기 대비 발생 건수·단가·시점 차이 검토"))</x:f>
      </x:c>
    </x:row>
    <x:row r="736">
      <x:c r="A736" t="str">
        <x:f>IF(B736="","",IF(COUNTIFS('전기원장'!$A$5:$A$1004,B736,'전기원장'!$D$5:$D$1004,E736)&gt;0,"전기","당기"))</x:f>
      </x:c>
      <x:c r="D736" s="67"/>
      <x:c r="G736" s="68"/>
      <x:c r="K736" t="str">
        <x:f>IF(B736="","",IF(I736="확인 필요","붙임 문서 확인 후 거래 성격·기간·상대방·일회성 여부 확인","결의서명과 전기 대비 발생 건수·단가·시점 차이 검토"))</x:f>
      </x:c>
    </x:row>
    <x:row r="737">
      <x:c r="A737" t="str">
        <x:f>IF(B737="","",IF(COUNTIFS('전기원장'!$A$5:$A$1004,B737,'전기원장'!$D$5:$D$1004,E737)&gt;0,"전기","당기"))</x:f>
      </x:c>
      <x:c r="D737" s="67"/>
      <x:c r="G737" s="68"/>
      <x:c r="K737" t="str">
        <x:f>IF(B737="","",IF(I737="확인 필요","붙임 문서 확인 후 거래 성격·기간·상대방·일회성 여부 확인","결의서명과 전기 대비 발생 건수·단가·시점 차이 검토"))</x:f>
      </x:c>
    </x:row>
    <x:row r="738">
      <x:c r="A738" t="str">
        <x:f>IF(B738="","",IF(COUNTIFS('전기원장'!$A$5:$A$1004,B738,'전기원장'!$D$5:$D$1004,E738)&gt;0,"전기","당기"))</x:f>
      </x:c>
      <x:c r="D738" s="67"/>
      <x:c r="G738" s="68"/>
      <x:c r="K738" t="str">
        <x:f>IF(B738="","",IF(I738="확인 필요","붙임 문서 확인 후 거래 성격·기간·상대방·일회성 여부 확인","결의서명과 전기 대비 발생 건수·단가·시점 차이 검토"))</x:f>
      </x:c>
    </x:row>
    <x:row r="739">
      <x:c r="A739" t="str">
        <x:f>IF(B739="","",IF(COUNTIFS('전기원장'!$A$5:$A$1004,B739,'전기원장'!$D$5:$D$1004,E739)&gt;0,"전기","당기"))</x:f>
      </x:c>
      <x:c r="D739" s="67"/>
      <x:c r="G739" s="68"/>
      <x:c r="K739" t="str">
        <x:f>IF(B739="","",IF(I739="확인 필요","붙임 문서 확인 후 거래 성격·기간·상대방·일회성 여부 확인","결의서명과 전기 대비 발생 건수·단가·시점 차이 검토"))</x:f>
      </x:c>
    </x:row>
    <x:row r="740">
      <x:c r="A740" t="str">
        <x:f>IF(B740="","",IF(COUNTIFS('전기원장'!$A$5:$A$1004,B740,'전기원장'!$D$5:$D$1004,E740)&gt;0,"전기","당기"))</x:f>
      </x:c>
      <x:c r="D740" s="67"/>
      <x:c r="G740" s="68"/>
      <x:c r="K740" t="str">
        <x:f>IF(B740="","",IF(I740="확인 필요","붙임 문서 확인 후 거래 성격·기간·상대방·일회성 여부 확인","결의서명과 전기 대비 발생 건수·단가·시점 차이 검토"))</x:f>
      </x:c>
    </x:row>
    <x:row r="741">
      <x:c r="A741" t="str">
        <x:f>IF(B741="","",IF(COUNTIFS('전기원장'!$A$5:$A$1004,B741,'전기원장'!$D$5:$D$1004,E741)&gt;0,"전기","당기"))</x:f>
      </x:c>
      <x:c r="D741" s="67"/>
      <x:c r="G741" s="68"/>
      <x:c r="K741" t="str">
        <x:f>IF(B741="","",IF(I741="확인 필요","붙임 문서 확인 후 거래 성격·기간·상대방·일회성 여부 확인","결의서명과 전기 대비 발생 건수·단가·시점 차이 검토"))</x:f>
      </x:c>
    </x:row>
    <x:row r="742">
      <x:c r="A742" t="str">
        <x:f>IF(B742="","",IF(COUNTIFS('전기원장'!$A$5:$A$1004,B742,'전기원장'!$D$5:$D$1004,E742)&gt;0,"전기","당기"))</x:f>
      </x:c>
      <x:c r="D742" s="67"/>
      <x:c r="G742" s="68"/>
      <x:c r="K742" t="str">
        <x:f>IF(B742="","",IF(I742="확인 필요","붙임 문서 확인 후 거래 성격·기간·상대방·일회성 여부 확인","결의서명과 전기 대비 발생 건수·단가·시점 차이 검토"))</x:f>
      </x:c>
    </x:row>
    <x:row r="743">
      <x:c r="A743" t="str">
        <x:f>IF(B743="","",IF(COUNTIFS('전기원장'!$A$5:$A$1004,B743,'전기원장'!$D$5:$D$1004,E743)&gt;0,"전기","당기"))</x:f>
      </x:c>
      <x:c r="D743" s="67"/>
      <x:c r="G743" s="68"/>
      <x:c r="K743" t="str">
        <x:f>IF(B743="","",IF(I743="확인 필요","붙임 문서 확인 후 거래 성격·기간·상대방·일회성 여부 확인","결의서명과 전기 대비 발생 건수·단가·시점 차이 검토"))</x:f>
      </x:c>
    </x:row>
    <x:row r="744">
      <x:c r="A744" t="str">
        <x:f>IF(B744="","",IF(COUNTIFS('전기원장'!$A$5:$A$1004,B744,'전기원장'!$D$5:$D$1004,E744)&gt;0,"전기","당기"))</x:f>
      </x:c>
      <x:c r="D744" s="67"/>
      <x:c r="G744" s="68"/>
      <x:c r="K744" t="str">
        <x:f>IF(B744="","",IF(I744="확인 필요","붙임 문서 확인 후 거래 성격·기간·상대방·일회성 여부 확인","결의서명과 전기 대비 발생 건수·단가·시점 차이 검토"))</x:f>
      </x:c>
    </x:row>
    <x:row r="745">
      <x:c r="A745" t="str">
        <x:f>IF(B745="","",IF(COUNTIFS('전기원장'!$A$5:$A$1004,B745,'전기원장'!$D$5:$D$1004,E745)&gt;0,"전기","당기"))</x:f>
      </x:c>
      <x:c r="D745" s="67"/>
      <x:c r="G745" s="68"/>
      <x:c r="K745" t="str">
        <x:f>IF(B745="","",IF(I745="확인 필요","붙임 문서 확인 후 거래 성격·기간·상대방·일회성 여부 확인","결의서명과 전기 대비 발생 건수·단가·시점 차이 검토"))</x:f>
      </x:c>
    </x:row>
    <x:row r="746">
      <x:c r="A746" t="str">
        <x:f>IF(B746="","",IF(COUNTIFS('전기원장'!$A$5:$A$1004,B746,'전기원장'!$D$5:$D$1004,E746)&gt;0,"전기","당기"))</x:f>
      </x:c>
      <x:c r="D746" s="67"/>
      <x:c r="G746" s="68"/>
      <x:c r="K746" t="str">
        <x:f>IF(B746="","",IF(I746="확인 필요","붙임 문서 확인 후 거래 성격·기간·상대방·일회성 여부 확인","결의서명과 전기 대비 발생 건수·단가·시점 차이 검토"))</x:f>
      </x:c>
    </x:row>
    <x:row r="747">
      <x:c r="A747" t="str">
        <x:f>IF(B747="","",IF(COUNTIFS('전기원장'!$A$5:$A$1004,B747,'전기원장'!$D$5:$D$1004,E747)&gt;0,"전기","당기"))</x:f>
      </x:c>
      <x:c r="D747" s="67"/>
      <x:c r="G747" s="68"/>
      <x:c r="K747" t="str">
        <x:f>IF(B747="","",IF(I747="확인 필요","붙임 문서 확인 후 거래 성격·기간·상대방·일회성 여부 확인","결의서명과 전기 대비 발생 건수·단가·시점 차이 검토"))</x:f>
      </x:c>
    </x:row>
    <x:row r="748">
      <x:c r="A748" t="str">
        <x:f>IF(B748="","",IF(COUNTIFS('전기원장'!$A$5:$A$1004,B748,'전기원장'!$D$5:$D$1004,E748)&gt;0,"전기","당기"))</x:f>
      </x:c>
      <x:c r="D748" s="67"/>
      <x:c r="G748" s="68"/>
      <x:c r="K748" t="str">
        <x:f>IF(B748="","",IF(I748="확인 필요","붙임 문서 확인 후 거래 성격·기간·상대방·일회성 여부 확인","결의서명과 전기 대비 발생 건수·단가·시점 차이 검토"))</x:f>
      </x:c>
    </x:row>
    <x:row r="749">
      <x:c r="A749" t="str">
        <x:f>IF(B749="","",IF(COUNTIFS('전기원장'!$A$5:$A$1004,B749,'전기원장'!$D$5:$D$1004,E749)&gt;0,"전기","당기"))</x:f>
      </x:c>
      <x:c r="D749" s="67"/>
      <x:c r="G749" s="68"/>
      <x:c r="K749" t="str">
        <x:f>IF(B749="","",IF(I749="확인 필요","붙임 문서 확인 후 거래 성격·기간·상대방·일회성 여부 확인","결의서명과 전기 대비 발생 건수·단가·시점 차이 검토"))</x:f>
      </x:c>
    </x:row>
    <x:row r="750">
      <x:c r="A750" t="str">
        <x:f>IF(B750="","",IF(COUNTIFS('전기원장'!$A$5:$A$1004,B750,'전기원장'!$D$5:$D$1004,E750)&gt;0,"전기","당기"))</x:f>
      </x:c>
      <x:c r="D750" s="67"/>
      <x:c r="G750" s="68"/>
      <x:c r="K750" t="str">
        <x:f>IF(B750="","",IF(I750="확인 필요","붙임 문서 확인 후 거래 성격·기간·상대방·일회성 여부 확인","결의서명과 전기 대비 발생 건수·단가·시점 차이 검토"))</x:f>
      </x:c>
    </x:row>
    <x:row r="751">
      <x:c r="A751" t="str">
        <x:f>IF(B751="","",IF(COUNTIFS('전기원장'!$A$5:$A$1004,B751,'전기원장'!$D$5:$D$1004,E751)&gt;0,"전기","당기"))</x:f>
      </x:c>
      <x:c r="D751" s="67"/>
      <x:c r="G751" s="68"/>
      <x:c r="K751" t="str">
        <x:f>IF(B751="","",IF(I751="확인 필요","붙임 문서 확인 후 거래 성격·기간·상대방·일회성 여부 확인","결의서명과 전기 대비 발생 건수·단가·시점 차이 검토"))</x:f>
      </x:c>
    </x:row>
    <x:row r="752">
      <x:c r="A752" t="str">
        <x:f>IF(B752="","",IF(COUNTIFS('전기원장'!$A$5:$A$1004,B752,'전기원장'!$D$5:$D$1004,E752)&gt;0,"전기","당기"))</x:f>
      </x:c>
      <x:c r="D752" s="67"/>
      <x:c r="G752" s="68"/>
      <x:c r="K752" t="str">
        <x:f>IF(B752="","",IF(I752="확인 필요","붙임 문서 확인 후 거래 성격·기간·상대방·일회성 여부 확인","결의서명과 전기 대비 발생 건수·단가·시점 차이 검토"))</x:f>
      </x:c>
    </x:row>
    <x:row r="753">
      <x:c r="A753" t="str">
        <x:f>IF(B753="","",IF(COUNTIFS('전기원장'!$A$5:$A$1004,B753,'전기원장'!$D$5:$D$1004,E753)&gt;0,"전기","당기"))</x:f>
      </x:c>
      <x:c r="D753" s="67"/>
      <x:c r="G753" s="68"/>
      <x:c r="K753" t="str">
        <x:f>IF(B753="","",IF(I753="확인 필요","붙임 문서 확인 후 거래 성격·기간·상대방·일회성 여부 확인","결의서명과 전기 대비 발생 건수·단가·시점 차이 검토"))</x:f>
      </x:c>
    </x:row>
    <x:row r="754">
      <x:c r="A754" t="str">
        <x:f>IF(B754="","",IF(COUNTIFS('전기원장'!$A$5:$A$1004,B754,'전기원장'!$D$5:$D$1004,E754)&gt;0,"전기","당기"))</x:f>
      </x:c>
      <x:c r="D754" s="67"/>
      <x:c r="G754" s="68"/>
      <x:c r="K754" t="str">
        <x:f>IF(B754="","",IF(I754="확인 필요","붙임 문서 확인 후 거래 성격·기간·상대방·일회성 여부 확인","결의서명과 전기 대비 발생 건수·단가·시점 차이 검토"))</x:f>
      </x:c>
    </x:row>
    <x:row r="755">
      <x:c r="A755" t="str">
        <x:f>IF(B755="","",IF(COUNTIFS('전기원장'!$A$5:$A$1004,B755,'전기원장'!$D$5:$D$1004,E755)&gt;0,"전기","당기"))</x:f>
      </x:c>
      <x:c r="D755" s="67"/>
      <x:c r="G755" s="68"/>
      <x:c r="K755" t="str">
        <x:f>IF(B755="","",IF(I755="확인 필요","붙임 문서 확인 후 거래 성격·기간·상대방·일회성 여부 확인","결의서명과 전기 대비 발생 건수·단가·시점 차이 검토"))</x:f>
      </x:c>
    </x:row>
    <x:row r="756">
      <x:c r="A756" t="str">
        <x:f>IF(B756="","",IF(COUNTIFS('전기원장'!$A$5:$A$1004,B756,'전기원장'!$D$5:$D$1004,E756)&gt;0,"전기","당기"))</x:f>
      </x:c>
      <x:c r="D756" s="67"/>
      <x:c r="G756" s="68"/>
      <x:c r="K756" t="str">
        <x:f>IF(B756="","",IF(I756="확인 필요","붙임 문서 확인 후 거래 성격·기간·상대방·일회성 여부 확인","결의서명과 전기 대비 발생 건수·단가·시점 차이 검토"))</x:f>
      </x:c>
    </x:row>
    <x:row r="757">
      <x:c r="A757" t="str">
        <x:f>IF(B757="","",IF(COUNTIFS('전기원장'!$A$5:$A$1004,B757,'전기원장'!$D$5:$D$1004,E757)&gt;0,"전기","당기"))</x:f>
      </x:c>
      <x:c r="D757" s="67"/>
      <x:c r="G757" s="68"/>
      <x:c r="K757" t="str">
        <x:f>IF(B757="","",IF(I757="확인 필요","붙임 문서 확인 후 거래 성격·기간·상대방·일회성 여부 확인","결의서명과 전기 대비 발생 건수·단가·시점 차이 검토"))</x:f>
      </x:c>
    </x:row>
    <x:row r="758">
      <x:c r="A758" t="str">
        <x:f>IF(B758="","",IF(COUNTIFS('전기원장'!$A$5:$A$1004,B758,'전기원장'!$D$5:$D$1004,E758)&gt;0,"전기","당기"))</x:f>
      </x:c>
      <x:c r="D758" s="67"/>
      <x:c r="G758" s="68"/>
      <x:c r="K758" t="str">
        <x:f>IF(B758="","",IF(I758="확인 필요","붙임 문서 확인 후 거래 성격·기간·상대방·일회성 여부 확인","결의서명과 전기 대비 발생 건수·단가·시점 차이 검토"))</x:f>
      </x:c>
    </x:row>
    <x:row r="759">
      <x:c r="A759" t="str">
        <x:f>IF(B759="","",IF(COUNTIFS('전기원장'!$A$5:$A$1004,B759,'전기원장'!$D$5:$D$1004,E759)&gt;0,"전기","당기"))</x:f>
      </x:c>
      <x:c r="D759" s="67"/>
      <x:c r="G759" s="68"/>
      <x:c r="K759" t="str">
        <x:f>IF(B759="","",IF(I759="확인 필요","붙임 문서 확인 후 거래 성격·기간·상대방·일회성 여부 확인","결의서명과 전기 대비 발생 건수·단가·시점 차이 검토"))</x:f>
      </x:c>
    </x:row>
    <x:row r="760">
      <x:c r="A760" t="str">
        <x:f>IF(B760="","",IF(COUNTIFS('전기원장'!$A$5:$A$1004,B760,'전기원장'!$D$5:$D$1004,E760)&gt;0,"전기","당기"))</x:f>
      </x:c>
      <x:c r="D760" s="67"/>
      <x:c r="G760" s="68"/>
      <x:c r="K760" t="str">
        <x:f>IF(B760="","",IF(I760="확인 필요","붙임 문서 확인 후 거래 성격·기간·상대방·일회성 여부 확인","결의서명과 전기 대비 발생 건수·단가·시점 차이 검토"))</x:f>
      </x:c>
    </x:row>
    <x:row r="761">
      <x:c r="A761" t="str">
        <x:f>IF(B761="","",IF(COUNTIFS('전기원장'!$A$5:$A$1004,B761,'전기원장'!$D$5:$D$1004,E761)&gt;0,"전기","당기"))</x:f>
      </x:c>
      <x:c r="D761" s="67"/>
      <x:c r="G761" s="68"/>
      <x:c r="K761" t="str">
        <x:f>IF(B761="","",IF(I761="확인 필요","붙임 문서 확인 후 거래 성격·기간·상대방·일회성 여부 확인","결의서명과 전기 대비 발생 건수·단가·시점 차이 검토"))</x:f>
      </x:c>
    </x:row>
    <x:row r="762">
      <x:c r="A762" t="str">
        <x:f>IF(B762="","",IF(COUNTIFS('전기원장'!$A$5:$A$1004,B762,'전기원장'!$D$5:$D$1004,E762)&gt;0,"전기","당기"))</x:f>
      </x:c>
      <x:c r="D762" s="67"/>
      <x:c r="G762" s="68"/>
      <x:c r="K762" t="str">
        <x:f>IF(B762="","",IF(I762="확인 필요","붙임 문서 확인 후 거래 성격·기간·상대방·일회성 여부 확인","결의서명과 전기 대비 발생 건수·단가·시점 차이 검토"))</x:f>
      </x:c>
    </x:row>
    <x:row r="763">
      <x:c r="A763" t="str">
        <x:f>IF(B763="","",IF(COUNTIFS('전기원장'!$A$5:$A$1004,B763,'전기원장'!$D$5:$D$1004,E763)&gt;0,"전기","당기"))</x:f>
      </x:c>
      <x:c r="D763" s="67"/>
      <x:c r="G763" s="68"/>
      <x:c r="K763" t="str">
        <x:f>IF(B763="","",IF(I763="확인 필요","붙임 문서 확인 후 거래 성격·기간·상대방·일회성 여부 확인","결의서명과 전기 대비 발생 건수·단가·시점 차이 검토"))</x:f>
      </x:c>
    </x:row>
    <x:row r="764">
      <x:c r="A764" t="str">
        <x:f>IF(B764="","",IF(COUNTIFS('전기원장'!$A$5:$A$1004,B764,'전기원장'!$D$5:$D$1004,E764)&gt;0,"전기","당기"))</x:f>
      </x:c>
      <x:c r="D764" s="67"/>
      <x:c r="G764" s="68"/>
      <x:c r="K764" t="str">
        <x:f>IF(B764="","",IF(I764="확인 필요","붙임 문서 확인 후 거래 성격·기간·상대방·일회성 여부 확인","결의서명과 전기 대비 발생 건수·단가·시점 차이 검토"))</x:f>
      </x:c>
    </x:row>
    <x:row r="765">
      <x:c r="A765" t="str">
        <x:f>IF(B765="","",IF(COUNTIFS('전기원장'!$A$5:$A$1004,B765,'전기원장'!$D$5:$D$1004,E765)&gt;0,"전기","당기"))</x:f>
      </x:c>
      <x:c r="D765" s="67"/>
      <x:c r="G765" s="68"/>
      <x:c r="K765" t="str">
        <x:f>IF(B765="","",IF(I765="확인 필요","붙임 문서 확인 후 거래 성격·기간·상대방·일회성 여부 확인","결의서명과 전기 대비 발생 건수·단가·시점 차이 검토"))</x:f>
      </x:c>
    </x:row>
    <x:row r="766">
      <x:c r="A766" t="str">
        <x:f>IF(B766="","",IF(COUNTIFS('전기원장'!$A$5:$A$1004,B766,'전기원장'!$D$5:$D$1004,E766)&gt;0,"전기","당기"))</x:f>
      </x:c>
      <x:c r="D766" s="67"/>
      <x:c r="G766" s="68"/>
      <x:c r="K766" t="str">
        <x:f>IF(B766="","",IF(I766="확인 필요","붙임 문서 확인 후 거래 성격·기간·상대방·일회성 여부 확인","결의서명과 전기 대비 발생 건수·단가·시점 차이 검토"))</x:f>
      </x:c>
    </x:row>
    <x:row r="767">
      <x:c r="A767" t="str">
        <x:f>IF(B767="","",IF(COUNTIFS('전기원장'!$A$5:$A$1004,B767,'전기원장'!$D$5:$D$1004,E767)&gt;0,"전기","당기"))</x:f>
      </x:c>
      <x:c r="D767" s="67"/>
      <x:c r="G767" s="68"/>
      <x:c r="K767" t="str">
        <x:f>IF(B767="","",IF(I767="확인 필요","붙임 문서 확인 후 거래 성격·기간·상대방·일회성 여부 확인","결의서명과 전기 대비 발생 건수·단가·시점 차이 검토"))</x:f>
      </x:c>
    </x:row>
    <x:row r="768">
      <x:c r="A768" t="str">
        <x:f>IF(B768="","",IF(COUNTIFS('전기원장'!$A$5:$A$1004,B768,'전기원장'!$D$5:$D$1004,E768)&gt;0,"전기","당기"))</x:f>
      </x:c>
      <x:c r="D768" s="67"/>
      <x:c r="G768" s="68"/>
      <x:c r="K768" t="str">
        <x:f>IF(B768="","",IF(I768="확인 필요","붙임 문서 확인 후 거래 성격·기간·상대방·일회성 여부 확인","결의서명과 전기 대비 발생 건수·단가·시점 차이 검토"))</x:f>
      </x:c>
    </x:row>
    <x:row r="769">
      <x:c r="A769" t="str">
        <x:f>IF(B769="","",IF(COUNTIFS('전기원장'!$A$5:$A$1004,B769,'전기원장'!$D$5:$D$1004,E769)&gt;0,"전기","당기"))</x:f>
      </x:c>
      <x:c r="D769" s="67"/>
      <x:c r="G769" s="68"/>
      <x:c r="K769" t="str">
        <x:f>IF(B769="","",IF(I769="확인 필요","붙임 문서 확인 후 거래 성격·기간·상대방·일회성 여부 확인","결의서명과 전기 대비 발생 건수·단가·시점 차이 검토"))</x:f>
      </x:c>
    </x:row>
    <x:row r="770">
      <x:c r="A770" t="str">
        <x:f>IF(B770="","",IF(COUNTIFS('전기원장'!$A$5:$A$1004,B770,'전기원장'!$D$5:$D$1004,E770)&gt;0,"전기","당기"))</x:f>
      </x:c>
      <x:c r="D770" s="67"/>
      <x:c r="G770" s="68"/>
      <x:c r="K770" t="str">
        <x:f>IF(B770="","",IF(I770="확인 필요","붙임 문서 확인 후 거래 성격·기간·상대방·일회성 여부 확인","결의서명과 전기 대비 발생 건수·단가·시점 차이 검토"))</x:f>
      </x:c>
    </x:row>
    <x:row r="771">
      <x:c r="A771" t="str">
        <x:f>IF(B771="","",IF(COUNTIFS('전기원장'!$A$5:$A$1004,B771,'전기원장'!$D$5:$D$1004,E771)&gt;0,"전기","당기"))</x:f>
      </x:c>
      <x:c r="D771" s="67"/>
      <x:c r="G771" s="68"/>
      <x:c r="K771" t="str">
        <x:f>IF(B771="","",IF(I771="확인 필요","붙임 문서 확인 후 거래 성격·기간·상대방·일회성 여부 확인","결의서명과 전기 대비 발생 건수·단가·시점 차이 검토"))</x:f>
      </x:c>
    </x:row>
    <x:row r="772">
      <x:c r="A772" t="str">
        <x:f>IF(B772="","",IF(COUNTIFS('전기원장'!$A$5:$A$1004,B772,'전기원장'!$D$5:$D$1004,E772)&gt;0,"전기","당기"))</x:f>
      </x:c>
      <x:c r="D772" s="67"/>
      <x:c r="G772" s="68"/>
      <x:c r="K772" t="str">
        <x:f>IF(B772="","",IF(I772="확인 필요","붙임 문서 확인 후 거래 성격·기간·상대방·일회성 여부 확인","결의서명과 전기 대비 발생 건수·단가·시점 차이 검토"))</x:f>
      </x:c>
    </x:row>
    <x:row r="773">
      <x:c r="A773" t="str">
        <x:f>IF(B773="","",IF(COUNTIFS('전기원장'!$A$5:$A$1004,B773,'전기원장'!$D$5:$D$1004,E773)&gt;0,"전기","당기"))</x:f>
      </x:c>
      <x:c r="D773" s="67"/>
      <x:c r="G773" s="68"/>
      <x:c r="K773" t="str">
        <x:f>IF(B773="","",IF(I773="확인 필요","붙임 문서 확인 후 거래 성격·기간·상대방·일회성 여부 확인","결의서명과 전기 대비 발생 건수·단가·시점 차이 검토"))</x:f>
      </x:c>
    </x:row>
    <x:row r="774">
      <x:c r="A774" t="str">
        <x:f>IF(B774="","",IF(COUNTIFS('전기원장'!$A$5:$A$1004,B774,'전기원장'!$D$5:$D$1004,E774)&gt;0,"전기","당기"))</x:f>
      </x:c>
      <x:c r="D774" s="67"/>
      <x:c r="G774" s="68"/>
      <x:c r="K774" t="str">
        <x:f>IF(B774="","",IF(I774="확인 필요","붙임 문서 확인 후 거래 성격·기간·상대방·일회성 여부 확인","결의서명과 전기 대비 발생 건수·단가·시점 차이 검토"))</x:f>
      </x:c>
    </x:row>
    <x:row r="775">
      <x:c r="A775" t="str">
        <x:f>IF(B775="","",IF(COUNTIFS('전기원장'!$A$5:$A$1004,B775,'전기원장'!$D$5:$D$1004,E775)&gt;0,"전기","당기"))</x:f>
      </x:c>
      <x:c r="D775" s="67"/>
      <x:c r="G775" s="68"/>
      <x:c r="K775" t="str">
        <x:f>IF(B775="","",IF(I775="확인 필요","붙임 문서 확인 후 거래 성격·기간·상대방·일회성 여부 확인","결의서명과 전기 대비 발생 건수·단가·시점 차이 검토"))</x:f>
      </x:c>
    </x:row>
    <x:row r="776">
      <x:c r="A776" t="str">
        <x:f>IF(B776="","",IF(COUNTIFS('전기원장'!$A$5:$A$1004,B776,'전기원장'!$D$5:$D$1004,E776)&gt;0,"전기","당기"))</x:f>
      </x:c>
      <x:c r="D776" s="67"/>
      <x:c r="G776" s="68"/>
      <x:c r="K776" t="str">
        <x:f>IF(B776="","",IF(I776="확인 필요","붙임 문서 확인 후 거래 성격·기간·상대방·일회성 여부 확인","결의서명과 전기 대비 발생 건수·단가·시점 차이 검토"))</x:f>
      </x:c>
    </x:row>
    <x:row r="777">
      <x:c r="A777" t="str">
        <x:f>IF(B777="","",IF(COUNTIFS('전기원장'!$A$5:$A$1004,B777,'전기원장'!$D$5:$D$1004,E777)&gt;0,"전기","당기"))</x:f>
      </x:c>
      <x:c r="D777" s="67"/>
      <x:c r="G777" s="68"/>
      <x:c r="K777" t="str">
        <x:f>IF(B777="","",IF(I777="확인 필요","붙임 문서 확인 후 거래 성격·기간·상대방·일회성 여부 확인","결의서명과 전기 대비 발생 건수·단가·시점 차이 검토"))</x:f>
      </x:c>
    </x:row>
    <x:row r="778">
      <x:c r="A778" t="str">
        <x:f>IF(B778="","",IF(COUNTIFS('전기원장'!$A$5:$A$1004,B778,'전기원장'!$D$5:$D$1004,E778)&gt;0,"전기","당기"))</x:f>
      </x:c>
      <x:c r="D778" s="67"/>
      <x:c r="G778" s="68"/>
      <x:c r="K778" t="str">
        <x:f>IF(B778="","",IF(I778="확인 필요","붙임 문서 확인 후 거래 성격·기간·상대방·일회성 여부 확인","결의서명과 전기 대비 발생 건수·단가·시점 차이 검토"))</x:f>
      </x:c>
    </x:row>
    <x:row r="779">
      <x:c r="A779" t="str">
        <x:f>IF(B779="","",IF(COUNTIFS('전기원장'!$A$5:$A$1004,B779,'전기원장'!$D$5:$D$1004,E779)&gt;0,"전기","당기"))</x:f>
      </x:c>
      <x:c r="D779" s="67"/>
      <x:c r="G779" s="68"/>
      <x:c r="K779" t="str">
        <x:f>IF(B779="","",IF(I779="확인 필요","붙임 문서 확인 후 거래 성격·기간·상대방·일회성 여부 확인","결의서명과 전기 대비 발생 건수·단가·시점 차이 검토"))</x:f>
      </x:c>
    </x:row>
    <x:row r="780">
      <x:c r="A780" t="str">
        <x:f>IF(B780="","",IF(COUNTIFS('전기원장'!$A$5:$A$1004,B780,'전기원장'!$D$5:$D$1004,E780)&gt;0,"전기","당기"))</x:f>
      </x:c>
      <x:c r="D780" s="67"/>
      <x:c r="G780" s="68"/>
      <x:c r="K780" t="str">
        <x:f>IF(B780="","",IF(I780="확인 필요","붙임 문서 확인 후 거래 성격·기간·상대방·일회성 여부 확인","결의서명과 전기 대비 발생 건수·단가·시점 차이 검토"))</x:f>
      </x:c>
    </x:row>
    <x:row r="781">
      <x:c r="A781" t="str">
        <x:f>IF(B781="","",IF(COUNTIFS('전기원장'!$A$5:$A$1004,B781,'전기원장'!$D$5:$D$1004,E781)&gt;0,"전기","당기"))</x:f>
      </x:c>
      <x:c r="D781" s="67"/>
      <x:c r="G781" s="68"/>
      <x:c r="K781" t="str">
        <x:f>IF(B781="","",IF(I781="확인 필요","붙임 문서 확인 후 거래 성격·기간·상대방·일회성 여부 확인","결의서명과 전기 대비 발생 건수·단가·시점 차이 검토"))</x:f>
      </x:c>
    </x:row>
    <x:row r="782">
      <x:c r="A782" t="str">
        <x:f>IF(B782="","",IF(COUNTIFS('전기원장'!$A$5:$A$1004,B782,'전기원장'!$D$5:$D$1004,E782)&gt;0,"전기","당기"))</x:f>
      </x:c>
      <x:c r="D782" s="67"/>
      <x:c r="G782" s="68"/>
      <x:c r="K782" t="str">
        <x:f>IF(B782="","",IF(I782="확인 필요","붙임 문서 확인 후 거래 성격·기간·상대방·일회성 여부 확인","결의서명과 전기 대비 발생 건수·단가·시점 차이 검토"))</x:f>
      </x:c>
    </x:row>
    <x:row r="783">
      <x:c r="A783" t="str">
        <x:f>IF(B783="","",IF(COUNTIFS('전기원장'!$A$5:$A$1004,B783,'전기원장'!$D$5:$D$1004,E783)&gt;0,"전기","당기"))</x:f>
      </x:c>
      <x:c r="D783" s="67"/>
      <x:c r="G783" s="68"/>
      <x:c r="K783" t="str">
        <x:f>IF(B783="","",IF(I783="확인 필요","붙임 문서 확인 후 거래 성격·기간·상대방·일회성 여부 확인","결의서명과 전기 대비 발생 건수·단가·시점 차이 검토"))</x:f>
      </x:c>
    </x:row>
    <x:row r="784">
      <x:c r="A784" t="str">
        <x:f>IF(B784="","",IF(COUNTIFS('전기원장'!$A$5:$A$1004,B784,'전기원장'!$D$5:$D$1004,E784)&gt;0,"전기","당기"))</x:f>
      </x:c>
      <x:c r="D784" s="67"/>
      <x:c r="G784" s="68"/>
      <x:c r="K784" t="str">
        <x:f>IF(B784="","",IF(I784="확인 필요","붙임 문서 확인 후 거래 성격·기간·상대방·일회성 여부 확인","결의서명과 전기 대비 발생 건수·단가·시점 차이 검토"))</x:f>
      </x:c>
    </x:row>
    <x:row r="785">
      <x:c r="A785" t="str">
        <x:f>IF(B785="","",IF(COUNTIFS('전기원장'!$A$5:$A$1004,B785,'전기원장'!$D$5:$D$1004,E785)&gt;0,"전기","당기"))</x:f>
      </x:c>
      <x:c r="D785" s="67"/>
      <x:c r="G785" s="68"/>
      <x:c r="K785" t="str">
        <x:f>IF(B785="","",IF(I785="확인 필요","붙임 문서 확인 후 거래 성격·기간·상대방·일회성 여부 확인","결의서명과 전기 대비 발생 건수·단가·시점 차이 검토"))</x:f>
      </x:c>
    </x:row>
    <x:row r="786">
      <x:c r="A786" t="str">
        <x:f>IF(B786="","",IF(COUNTIFS('전기원장'!$A$5:$A$1004,B786,'전기원장'!$D$5:$D$1004,E786)&gt;0,"전기","당기"))</x:f>
      </x:c>
      <x:c r="D786" s="67"/>
      <x:c r="G786" s="68"/>
      <x:c r="K786" t="str">
        <x:f>IF(B786="","",IF(I786="확인 필요","붙임 문서 확인 후 거래 성격·기간·상대방·일회성 여부 확인","결의서명과 전기 대비 발생 건수·단가·시점 차이 검토"))</x:f>
      </x:c>
    </x:row>
    <x:row r="787">
      <x:c r="A787" t="str">
        <x:f>IF(B787="","",IF(COUNTIFS('전기원장'!$A$5:$A$1004,B787,'전기원장'!$D$5:$D$1004,E787)&gt;0,"전기","당기"))</x:f>
      </x:c>
      <x:c r="D787" s="67"/>
      <x:c r="G787" s="68"/>
      <x:c r="K787" t="str">
        <x:f>IF(B787="","",IF(I787="확인 필요","붙임 문서 확인 후 거래 성격·기간·상대방·일회성 여부 확인","결의서명과 전기 대비 발생 건수·단가·시점 차이 검토"))</x:f>
      </x:c>
    </x:row>
    <x:row r="788">
      <x:c r="A788" t="str">
        <x:f>IF(B788="","",IF(COUNTIFS('전기원장'!$A$5:$A$1004,B788,'전기원장'!$D$5:$D$1004,E788)&gt;0,"전기","당기"))</x:f>
      </x:c>
      <x:c r="D788" s="67"/>
      <x:c r="G788" s="68"/>
      <x:c r="K788" t="str">
        <x:f>IF(B788="","",IF(I788="확인 필요","붙임 문서 확인 후 거래 성격·기간·상대방·일회성 여부 확인","결의서명과 전기 대비 발생 건수·단가·시점 차이 검토"))</x:f>
      </x:c>
    </x:row>
    <x:row r="789">
      <x:c r="A789" t="str">
        <x:f>IF(B789="","",IF(COUNTIFS('전기원장'!$A$5:$A$1004,B789,'전기원장'!$D$5:$D$1004,E789)&gt;0,"전기","당기"))</x:f>
      </x:c>
      <x:c r="D789" s="67"/>
      <x:c r="G789" s="68"/>
      <x:c r="K789" t="str">
        <x:f>IF(B789="","",IF(I789="확인 필요","붙임 문서 확인 후 거래 성격·기간·상대방·일회성 여부 확인","결의서명과 전기 대비 발생 건수·단가·시점 차이 검토"))</x:f>
      </x:c>
    </x:row>
    <x:row r="790">
      <x:c r="A790" t="str">
        <x:f>IF(B790="","",IF(COUNTIFS('전기원장'!$A$5:$A$1004,B790,'전기원장'!$D$5:$D$1004,E790)&gt;0,"전기","당기"))</x:f>
      </x:c>
      <x:c r="D790" s="67"/>
      <x:c r="G790" s="68"/>
      <x:c r="K790" t="str">
        <x:f>IF(B790="","",IF(I790="확인 필요","붙임 문서 확인 후 거래 성격·기간·상대방·일회성 여부 확인","결의서명과 전기 대비 발생 건수·단가·시점 차이 검토"))</x:f>
      </x:c>
    </x:row>
    <x:row r="791">
      <x:c r="A791" t="str">
        <x:f>IF(B791="","",IF(COUNTIFS('전기원장'!$A$5:$A$1004,B791,'전기원장'!$D$5:$D$1004,E791)&gt;0,"전기","당기"))</x:f>
      </x:c>
      <x:c r="D791" s="67"/>
      <x:c r="G791" s="68"/>
      <x:c r="K791" t="str">
        <x:f>IF(B791="","",IF(I791="확인 필요","붙임 문서 확인 후 거래 성격·기간·상대방·일회성 여부 확인","결의서명과 전기 대비 발생 건수·단가·시점 차이 검토"))</x:f>
      </x:c>
    </x:row>
    <x:row r="792">
      <x:c r="A792" t="str">
        <x:f>IF(B792="","",IF(COUNTIFS('전기원장'!$A$5:$A$1004,B792,'전기원장'!$D$5:$D$1004,E792)&gt;0,"전기","당기"))</x:f>
      </x:c>
      <x:c r="D792" s="67"/>
      <x:c r="G792" s="68"/>
      <x:c r="K792" t="str">
        <x:f>IF(B792="","",IF(I792="확인 필요","붙임 문서 확인 후 거래 성격·기간·상대방·일회성 여부 확인","결의서명과 전기 대비 발생 건수·단가·시점 차이 검토"))</x:f>
      </x:c>
    </x:row>
    <x:row r="793">
      <x:c r="A793" t="str">
        <x:f>IF(B793="","",IF(COUNTIFS('전기원장'!$A$5:$A$1004,B793,'전기원장'!$D$5:$D$1004,E793)&gt;0,"전기","당기"))</x:f>
      </x:c>
      <x:c r="D793" s="67"/>
      <x:c r="G793" s="68"/>
      <x:c r="K793" t="str">
        <x:f>IF(B793="","",IF(I793="확인 필요","붙임 문서 확인 후 거래 성격·기간·상대방·일회성 여부 확인","결의서명과 전기 대비 발생 건수·단가·시점 차이 검토"))</x:f>
      </x:c>
    </x:row>
    <x:row r="794">
      <x:c r="A794" t="str">
        <x:f>IF(B794="","",IF(COUNTIFS('전기원장'!$A$5:$A$1004,B794,'전기원장'!$D$5:$D$1004,E794)&gt;0,"전기","당기"))</x:f>
      </x:c>
      <x:c r="D794" s="67"/>
      <x:c r="G794" s="68"/>
      <x:c r="K794" t="str">
        <x:f>IF(B794="","",IF(I794="확인 필요","붙임 문서 확인 후 거래 성격·기간·상대방·일회성 여부 확인","결의서명과 전기 대비 발생 건수·단가·시점 차이 검토"))</x:f>
      </x:c>
    </x:row>
    <x:row r="795">
      <x:c r="A795" t="str">
        <x:f>IF(B795="","",IF(COUNTIFS('전기원장'!$A$5:$A$1004,B795,'전기원장'!$D$5:$D$1004,E795)&gt;0,"전기","당기"))</x:f>
      </x:c>
      <x:c r="D795" s="67"/>
      <x:c r="G795" s="68"/>
      <x:c r="K795" t="str">
        <x:f>IF(B795="","",IF(I795="확인 필요","붙임 문서 확인 후 거래 성격·기간·상대방·일회성 여부 확인","결의서명과 전기 대비 발생 건수·단가·시점 차이 검토"))</x:f>
      </x:c>
    </x:row>
    <x:row r="796">
      <x:c r="A796" t="str">
        <x:f>IF(B796="","",IF(COUNTIFS('전기원장'!$A$5:$A$1004,B796,'전기원장'!$D$5:$D$1004,E796)&gt;0,"전기","당기"))</x:f>
      </x:c>
      <x:c r="D796" s="67"/>
      <x:c r="G796" s="68"/>
      <x:c r="K796" t="str">
        <x:f>IF(B796="","",IF(I796="확인 필요","붙임 문서 확인 후 거래 성격·기간·상대방·일회성 여부 확인","결의서명과 전기 대비 발생 건수·단가·시점 차이 검토"))</x:f>
      </x:c>
    </x:row>
    <x:row r="797">
      <x:c r="A797" t="str">
        <x:f>IF(B797="","",IF(COUNTIFS('전기원장'!$A$5:$A$1004,B797,'전기원장'!$D$5:$D$1004,E797)&gt;0,"전기","당기"))</x:f>
      </x:c>
      <x:c r="D797" s="67"/>
      <x:c r="G797" s="68"/>
      <x:c r="K797" t="str">
        <x:f>IF(B797="","",IF(I797="확인 필요","붙임 문서 확인 후 거래 성격·기간·상대방·일회성 여부 확인","결의서명과 전기 대비 발생 건수·단가·시점 차이 검토"))</x:f>
      </x:c>
    </x:row>
    <x:row r="798">
      <x:c r="A798" t="str">
        <x:f>IF(B798="","",IF(COUNTIFS('전기원장'!$A$5:$A$1004,B798,'전기원장'!$D$5:$D$1004,E798)&gt;0,"전기","당기"))</x:f>
      </x:c>
      <x:c r="D798" s="67"/>
      <x:c r="G798" s="68"/>
      <x:c r="K798" t="str">
        <x:f>IF(B798="","",IF(I798="확인 필요","붙임 문서 확인 후 거래 성격·기간·상대방·일회성 여부 확인","결의서명과 전기 대비 발생 건수·단가·시점 차이 검토"))</x:f>
      </x:c>
    </x:row>
    <x:row r="799">
      <x:c r="A799" t="str">
        <x:f>IF(B799="","",IF(COUNTIFS('전기원장'!$A$5:$A$1004,B799,'전기원장'!$D$5:$D$1004,E799)&gt;0,"전기","당기"))</x:f>
      </x:c>
      <x:c r="D799" s="67"/>
      <x:c r="G799" s="68"/>
      <x:c r="K799" t="str">
        <x:f>IF(B799="","",IF(I799="확인 필요","붙임 문서 확인 후 거래 성격·기간·상대방·일회성 여부 확인","결의서명과 전기 대비 발생 건수·단가·시점 차이 검토"))</x:f>
      </x:c>
    </x:row>
    <x:row r="800">
      <x:c r="A800" t="str">
        <x:f>IF(B800="","",IF(COUNTIFS('전기원장'!$A$5:$A$1004,B800,'전기원장'!$D$5:$D$1004,E800)&gt;0,"전기","당기"))</x:f>
      </x:c>
      <x:c r="D800" s="67"/>
      <x:c r="G800" s="68"/>
      <x:c r="K800" t="str">
        <x:f>IF(B800="","",IF(I800="확인 필요","붙임 문서 확인 후 거래 성격·기간·상대방·일회성 여부 확인","결의서명과 전기 대비 발생 건수·단가·시점 차이 검토"))</x:f>
      </x:c>
    </x:row>
    <x:row r="801">
      <x:c r="A801" t="str">
        <x:f>IF(B801="","",IF(COUNTIFS('전기원장'!$A$5:$A$1004,B801,'전기원장'!$D$5:$D$1004,E801)&gt;0,"전기","당기"))</x:f>
      </x:c>
      <x:c r="D801" s="67"/>
      <x:c r="G801" s="68"/>
      <x:c r="K801" t="str">
        <x:f>IF(B801="","",IF(I801="확인 필요","붙임 문서 확인 후 거래 성격·기간·상대방·일회성 여부 확인","결의서명과 전기 대비 발생 건수·단가·시점 차이 검토"))</x:f>
      </x:c>
    </x:row>
    <x:row r="802">
      <x:c r="A802" t="str">
        <x:f>IF(B802="","",IF(COUNTIFS('전기원장'!$A$5:$A$1004,B802,'전기원장'!$D$5:$D$1004,E802)&gt;0,"전기","당기"))</x:f>
      </x:c>
      <x:c r="D802" s="67"/>
      <x:c r="G802" s="68"/>
      <x:c r="K802" t="str">
        <x:f>IF(B802="","",IF(I802="확인 필요","붙임 문서 확인 후 거래 성격·기간·상대방·일회성 여부 확인","결의서명과 전기 대비 발생 건수·단가·시점 차이 검토"))</x:f>
      </x:c>
    </x:row>
    <x:row r="803">
      <x:c r="A803" t="str">
        <x:f>IF(B803="","",IF(COUNTIFS('전기원장'!$A$5:$A$1004,B803,'전기원장'!$D$5:$D$1004,E803)&gt;0,"전기","당기"))</x:f>
      </x:c>
      <x:c r="D803" s="67"/>
      <x:c r="G803" s="68"/>
      <x:c r="K803" t="str">
        <x:f>IF(B803="","",IF(I803="확인 필요","붙임 문서 확인 후 거래 성격·기간·상대방·일회성 여부 확인","결의서명과 전기 대비 발생 건수·단가·시점 차이 검토"))</x:f>
      </x:c>
    </x:row>
    <x:row r="804">
      <x:c r="A804" t="str">
        <x:f>IF(B804="","",IF(COUNTIFS('전기원장'!$A$5:$A$1004,B804,'전기원장'!$D$5:$D$1004,E804)&gt;0,"전기","당기"))</x:f>
      </x:c>
      <x:c r="D804" s="67"/>
      <x:c r="G804" s="68"/>
      <x:c r="K804" t="str">
        <x:f>IF(B804="","",IF(I804="확인 필요","붙임 문서 확인 후 거래 성격·기간·상대방·일회성 여부 확인","결의서명과 전기 대비 발생 건수·단가·시점 차이 검토"))</x:f>
      </x:c>
    </x:row>
    <x:row r="805">
      <x:c r="A805" t="str">
        <x:f>IF(B805="","",IF(COUNTIFS('전기원장'!$A$5:$A$1004,B805,'전기원장'!$D$5:$D$1004,E805)&gt;0,"전기","당기"))</x:f>
      </x:c>
      <x:c r="D805" s="67"/>
      <x:c r="G805" s="68"/>
      <x:c r="K805" t="str">
        <x:f>IF(B805="","",IF(I805="확인 필요","붙임 문서 확인 후 거래 성격·기간·상대방·일회성 여부 확인","결의서명과 전기 대비 발생 건수·단가·시점 차이 검토"))</x:f>
      </x:c>
    </x:row>
    <x:row r="806">
      <x:c r="A806" t="str">
        <x:f>IF(B806="","",IF(COUNTIFS('전기원장'!$A$5:$A$1004,B806,'전기원장'!$D$5:$D$1004,E806)&gt;0,"전기","당기"))</x:f>
      </x:c>
      <x:c r="D806" s="67"/>
      <x:c r="G806" s="68"/>
      <x:c r="K806" t="str">
        <x:f>IF(B806="","",IF(I806="확인 필요","붙임 문서 확인 후 거래 성격·기간·상대방·일회성 여부 확인","결의서명과 전기 대비 발생 건수·단가·시점 차이 검토"))</x:f>
      </x:c>
    </x:row>
    <x:row r="807">
      <x:c r="A807" t="str">
        <x:f>IF(B807="","",IF(COUNTIFS('전기원장'!$A$5:$A$1004,B807,'전기원장'!$D$5:$D$1004,E807)&gt;0,"전기","당기"))</x:f>
      </x:c>
      <x:c r="D807" s="67"/>
      <x:c r="G807" s="68"/>
      <x:c r="K807" t="str">
        <x:f>IF(B807="","",IF(I807="확인 필요","붙임 문서 확인 후 거래 성격·기간·상대방·일회성 여부 확인","결의서명과 전기 대비 발생 건수·단가·시점 차이 검토"))</x:f>
      </x:c>
    </x:row>
    <x:row r="808">
      <x:c r="A808" t="str">
        <x:f>IF(B808="","",IF(COUNTIFS('전기원장'!$A$5:$A$1004,B808,'전기원장'!$D$5:$D$1004,E808)&gt;0,"전기","당기"))</x:f>
      </x:c>
      <x:c r="D808" s="67"/>
      <x:c r="G808" s="68"/>
      <x:c r="K808" t="str">
        <x:f>IF(B808="","",IF(I808="확인 필요","붙임 문서 확인 후 거래 성격·기간·상대방·일회성 여부 확인","결의서명과 전기 대비 발생 건수·단가·시점 차이 검토"))</x:f>
      </x:c>
    </x:row>
    <x:row r="809">
      <x:c r="A809" t="str">
        <x:f>IF(B809="","",IF(COUNTIFS('전기원장'!$A$5:$A$1004,B809,'전기원장'!$D$5:$D$1004,E809)&gt;0,"전기","당기"))</x:f>
      </x:c>
      <x:c r="D809" s="67"/>
      <x:c r="G809" s="68"/>
      <x:c r="K809" t="str">
        <x:f>IF(B809="","",IF(I809="확인 필요","붙임 문서 확인 후 거래 성격·기간·상대방·일회성 여부 확인","결의서명과 전기 대비 발생 건수·단가·시점 차이 검토"))</x:f>
      </x:c>
    </x:row>
    <x:row r="810">
      <x:c r="A810" t="str">
        <x:f>IF(B810="","",IF(COUNTIFS('전기원장'!$A$5:$A$1004,B810,'전기원장'!$D$5:$D$1004,E810)&gt;0,"전기","당기"))</x:f>
      </x:c>
      <x:c r="D810" s="67"/>
      <x:c r="G810" s="68"/>
      <x:c r="K810" t="str">
        <x:f>IF(B810="","",IF(I810="확인 필요","붙임 문서 확인 후 거래 성격·기간·상대방·일회성 여부 확인","결의서명과 전기 대비 발생 건수·단가·시점 차이 검토"))</x:f>
      </x:c>
    </x:row>
    <x:row r="811">
      <x:c r="A811" t="str">
        <x:f>IF(B811="","",IF(COUNTIFS('전기원장'!$A$5:$A$1004,B811,'전기원장'!$D$5:$D$1004,E811)&gt;0,"전기","당기"))</x:f>
      </x:c>
      <x:c r="D811" s="67"/>
      <x:c r="G811" s="68"/>
      <x:c r="K811" t="str">
        <x:f>IF(B811="","",IF(I811="확인 필요","붙임 문서 확인 후 거래 성격·기간·상대방·일회성 여부 확인","결의서명과 전기 대비 발생 건수·단가·시점 차이 검토"))</x:f>
      </x:c>
    </x:row>
    <x:row r="812">
      <x:c r="A812" t="str">
        <x:f>IF(B812="","",IF(COUNTIFS('전기원장'!$A$5:$A$1004,B812,'전기원장'!$D$5:$D$1004,E812)&gt;0,"전기","당기"))</x:f>
      </x:c>
      <x:c r="D812" s="67"/>
      <x:c r="G812" s="68"/>
      <x:c r="K812" t="str">
        <x:f>IF(B812="","",IF(I812="확인 필요","붙임 문서 확인 후 거래 성격·기간·상대방·일회성 여부 확인","결의서명과 전기 대비 발생 건수·단가·시점 차이 검토"))</x:f>
      </x:c>
    </x:row>
    <x:row r="813">
      <x:c r="A813" t="str">
        <x:f>IF(B813="","",IF(COUNTIFS('전기원장'!$A$5:$A$1004,B813,'전기원장'!$D$5:$D$1004,E813)&gt;0,"전기","당기"))</x:f>
      </x:c>
      <x:c r="D813" s="67"/>
      <x:c r="G813" s="68"/>
      <x:c r="K813" t="str">
        <x:f>IF(B813="","",IF(I813="확인 필요","붙임 문서 확인 후 거래 성격·기간·상대방·일회성 여부 확인","결의서명과 전기 대비 발생 건수·단가·시점 차이 검토"))</x:f>
      </x:c>
    </x:row>
    <x:row r="814">
      <x:c r="A814" t="str">
        <x:f>IF(B814="","",IF(COUNTIFS('전기원장'!$A$5:$A$1004,B814,'전기원장'!$D$5:$D$1004,E814)&gt;0,"전기","당기"))</x:f>
      </x:c>
      <x:c r="D814" s="67"/>
      <x:c r="G814" s="68"/>
      <x:c r="K814" t="str">
        <x:f>IF(B814="","",IF(I814="확인 필요","붙임 문서 확인 후 거래 성격·기간·상대방·일회성 여부 확인","결의서명과 전기 대비 발생 건수·단가·시점 차이 검토"))</x:f>
      </x:c>
    </x:row>
    <x:row r="815">
      <x:c r="A815" t="str">
        <x:f>IF(B815="","",IF(COUNTIFS('전기원장'!$A$5:$A$1004,B815,'전기원장'!$D$5:$D$1004,E815)&gt;0,"전기","당기"))</x:f>
      </x:c>
      <x:c r="D815" s="67"/>
      <x:c r="G815" s="68"/>
      <x:c r="K815" t="str">
        <x:f>IF(B815="","",IF(I815="확인 필요","붙임 문서 확인 후 거래 성격·기간·상대방·일회성 여부 확인","결의서명과 전기 대비 발생 건수·단가·시점 차이 검토"))</x:f>
      </x:c>
    </x:row>
    <x:row r="816">
      <x:c r="A816" t="str">
        <x:f>IF(B816="","",IF(COUNTIFS('전기원장'!$A$5:$A$1004,B816,'전기원장'!$D$5:$D$1004,E816)&gt;0,"전기","당기"))</x:f>
      </x:c>
      <x:c r="D816" s="67"/>
      <x:c r="G816" s="68"/>
      <x:c r="K816" t="str">
        <x:f>IF(B816="","",IF(I816="확인 필요","붙임 문서 확인 후 거래 성격·기간·상대방·일회성 여부 확인","결의서명과 전기 대비 발생 건수·단가·시점 차이 검토"))</x:f>
      </x:c>
    </x:row>
    <x:row r="817">
      <x:c r="A817" t="str">
        <x:f>IF(B817="","",IF(COUNTIFS('전기원장'!$A$5:$A$1004,B817,'전기원장'!$D$5:$D$1004,E817)&gt;0,"전기","당기"))</x:f>
      </x:c>
      <x:c r="D817" s="67"/>
      <x:c r="G817" s="68"/>
      <x:c r="K817" t="str">
        <x:f>IF(B817="","",IF(I817="확인 필요","붙임 문서 확인 후 거래 성격·기간·상대방·일회성 여부 확인","결의서명과 전기 대비 발생 건수·단가·시점 차이 검토"))</x:f>
      </x:c>
    </x:row>
    <x:row r="818">
      <x:c r="A818" t="str">
        <x:f>IF(B818="","",IF(COUNTIFS('전기원장'!$A$5:$A$1004,B818,'전기원장'!$D$5:$D$1004,E818)&gt;0,"전기","당기"))</x:f>
      </x:c>
      <x:c r="D818" s="67"/>
      <x:c r="G818" s="68"/>
      <x:c r="K818" t="str">
        <x:f>IF(B818="","",IF(I818="확인 필요","붙임 문서 확인 후 거래 성격·기간·상대방·일회성 여부 확인","결의서명과 전기 대비 발생 건수·단가·시점 차이 검토"))</x:f>
      </x:c>
    </x:row>
    <x:row r="819">
      <x:c r="A819" t="str">
        <x:f>IF(B819="","",IF(COUNTIFS('전기원장'!$A$5:$A$1004,B819,'전기원장'!$D$5:$D$1004,E819)&gt;0,"전기","당기"))</x:f>
      </x:c>
      <x:c r="D819" s="67"/>
      <x:c r="G819" s="68"/>
      <x:c r="K819" t="str">
        <x:f>IF(B819="","",IF(I819="확인 필요","붙임 문서 확인 후 거래 성격·기간·상대방·일회성 여부 확인","결의서명과 전기 대비 발생 건수·단가·시점 차이 검토"))</x:f>
      </x:c>
    </x:row>
    <x:row r="820">
      <x:c r="A820" t="str">
        <x:f>IF(B820="","",IF(COUNTIFS('전기원장'!$A$5:$A$1004,B820,'전기원장'!$D$5:$D$1004,E820)&gt;0,"전기","당기"))</x:f>
      </x:c>
      <x:c r="D820" s="67"/>
      <x:c r="G820" s="68"/>
      <x:c r="K820" t="str">
        <x:f>IF(B820="","",IF(I820="확인 필요","붙임 문서 확인 후 거래 성격·기간·상대방·일회성 여부 확인","결의서명과 전기 대비 발생 건수·단가·시점 차이 검토"))</x:f>
      </x:c>
    </x:row>
    <x:row r="821">
      <x:c r="A821" t="str">
        <x:f>IF(B821="","",IF(COUNTIFS('전기원장'!$A$5:$A$1004,B821,'전기원장'!$D$5:$D$1004,E821)&gt;0,"전기","당기"))</x:f>
      </x:c>
      <x:c r="D821" s="67"/>
      <x:c r="G821" s="68"/>
      <x:c r="K821" t="str">
        <x:f>IF(B821="","",IF(I821="확인 필요","붙임 문서 확인 후 거래 성격·기간·상대방·일회성 여부 확인","결의서명과 전기 대비 발생 건수·단가·시점 차이 검토"))</x:f>
      </x:c>
    </x:row>
    <x:row r="822">
      <x:c r="A822" t="str">
        <x:f>IF(B822="","",IF(COUNTIFS('전기원장'!$A$5:$A$1004,B822,'전기원장'!$D$5:$D$1004,E822)&gt;0,"전기","당기"))</x:f>
      </x:c>
      <x:c r="D822" s="67"/>
      <x:c r="G822" s="68"/>
      <x:c r="K822" t="str">
        <x:f>IF(B822="","",IF(I822="확인 필요","붙임 문서 확인 후 거래 성격·기간·상대방·일회성 여부 확인","결의서명과 전기 대비 발생 건수·단가·시점 차이 검토"))</x:f>
      </x:c>
    </x:row>
    <x:row r="823">
      <x:c r="A823" t="str">
        <x:f>IF(B823="","",IF(COUNTIFS('전기원장'!$A$5:$A$1004,B823,'전기원장'!$D$5:$D$1004,E823)&gt;0,"전기","당기"))</x:f>
      </x:c>
      <x:c r="D823" s="67"/>
      <x:c r="G823" s="68"/>
      <x:c r="K823" t="str">
        <x:f>IF(B823="","",IF(I823="확인 필요","붙임 문서 확인 후 거래 성격·기간·상대방·일회성 여부 확인","결의서명과 전기 대비 발생 건수·단가·시점 차이 검토"))</x:f>
      </x:c>
    </x:row>
    <x:row r="824">
      <x:c r="A824" t="str">
        <x:f>IF(B824="","",IF(COUNTIFS('전기원장'!$A$5:$A$1004,B824,'전기원장'!$D$5:$D$1004,E824)&gt;0,"전기","당기"))</x:f>
      </x:c>
      <x:c r="D824" s="67"/>
      <x:c r="G824" s="68"/>
      <x:c r="K824" t="str">
        <x:f>IF(B824="","",IF(I824="확인 필요","붙임 문서 확인 후 거래 성격·기간·상대방·일회성 여부 확인","결의서명과 전기 대비 발생 건수·단가·시점 차이 검토"))</x:f>
      </x:c>
    </x:row>
    <x:row r="825">
      <x:c r="A825" t="str">
        <x:f>IF(B825="","",IF(COUNTIFS('전기원장'!$A$5:$A$1004,B825,'전기원장'!$D$5:$D$1004,E825)&gt;0,"전기","당기"))</x:f>
      </x:c>
      <x:c r="D825" s="67"/>
      <x:c r="G825" s="68"/>
      <x:c r="K825" t="str">
        <x:f>IF(B825="","",IF(I825="확인 필요","붙임 문서 확인 후 거래 성격·기간·상대방·일회성 여부 확인","결의서명과 전기 대비 발생 건수·단가·시점 차이 검토"))</x:f>
      </x:c>
    </x:row>
    <x:row r="826">
      <x:c r="A826" t="str">
        <x:f>IF(B826="","",IF(COUNTIFS('전기원장'!$A$5:$A$1004,B826,'전기원장'!$D$5:$D$1004,E826)&gt;0,"전기","당기"))</x:f>
      </x:c>
      <x:c r="D826" s="67"/>
      <x:c r="G826" s="68"/>
      <x:c r="K826" t="str">
        <x:f>IF(B826="","",IF(I826="확인 필요","붙임 문서 확인 후 거래 성격·기간·상대방·일회성 여부 확인","결의서명과 전기 대비 발생 건수·단가·시점 차이 검토"))</x:f>
      </x:c>
    </x:row>
    <x:row r="827">
      <x:c r="A827" t="str">
        <x:f>IF(B827="","",IF(COUNTIFS('전기원장'!$A$5:$A$1004,B827,'전기원장'!$D$5:$D$1004,E827)&gt;0,"전기","당기"))</x:f>
      </x:c>
      <x:c r="D827" s="67"/>
      <x:c r="G827" s="68"/>
      <x:c r="K827" t="str">
        <x:f>IF(B827="","",IF(I827="확인 필요","붙임 문서 확인 후 거래 성격·기간·상대방·일회성 여부 확인","결의서명과 전기 대비 발생 건수·단가·시점 차이 검토"))</x:f>
      </x:c>
    </x:row>
    <x:row r="828">
      <x:c r="A828" t="str">
        <x:f>IF(B828="","",IF(COUNTIFS('전기원장'!$A$5:$A$1004,B828,'전기원장'!$D$5:$D$1004,E828)&gt;0,"전기","당기"))</x:f>
      </x:c>
      <x:c r="D828" s="67"/>
      <x:c r="G828" s="68"/>
      <x:c r="K828" t="str">
        <x:f>IF(B828="","",IF(I828="확인 필요","붙임 문서 확인 후 거래 성격·기간·상대방·일회성 여부 확인","결의서명과 전기 대비 발생 건수·단가·시점 차이 검토"))</x:f>
      </x:c>
    </x:row>
    <x:row r="829">
      <x:c r="A829" t="str">
        <x:f>IF(B829="","",IF(COUNTIFS('전기원장'!$A$5:$A$1004,B829,'전기원장'!$D$5:$D$1004,E829)&gt;0,"전기","당기"))</x:f>
      </x:c>
      <x:c r="D829" s="67"/>
      <x:c r="G829" s="68"/>
      <x:c r="K829" t="str">
        <x:f>IF(B829="","",IF(I829="확인 필요","붙임 문서 확인 후 거래 성격·기간·상대방·일회성 여부 확인","결의서명과 전기 대비 발생 건수·단가·시점 차이 검토"))</x:f>
      </x:c>
    </x:row>
    <x:row r="830">
      <x:c r="A830" t="str">
        <x:f>IF(B830="","",IF(COUNTIFS('전기원장'!$A$5:$A$1004,B830,'전기원장'!$D$5:$D$1004,E830)&gt;0,"전기","당기"))</x:f>
      </x:c>
      <x:c r="D830" s="67"/>
      <x:c r="G830" s="68"/>
      <x:c r="K830" t="str">
        <x:f>IF(B830="","",IF(I830="확인 필요","붙임 문서 확인 후 거래 성격·기간·상대방·일회성 여부 확인","결의서명과 전기 대비 발생 건수·단가·시점 차이 검토"))</x:f>
      </x:c>
    </x:row>
    <x:row r="831">
      <x:c r="A831" t="str">
        <x:f>IF(B831="","",IF(COUNTIFS('전기원장'!$A$5:$A$1004,B831,'전기원장'!$D$5:$D$1004,E831)&gt;0,"전기","당기"))</x:f>
      </x:c>
      <x:c r="D831" s="67"/>
      <x:c r="G831" s="68"/>
      <x:c r="K831" t="str">
        <x:f>IF(B831="","",IF(I831="확인 필요","붙임 문서 확인 후 거래 성격·기간·상대방·일회성 여부 확인","결의서명과 전기 대비 발생 건수·단가·시점 차이 검토"))</x:f>
      </x:c>
    </x:row>
    <x:row r="832">
      <x:c r="A832" t="str">
        <x:f>IF(B832="","",IF(COUNTIFS('전기원장'!$A$5:$A$1004,B832,'전기원장'!$D$5:$D$1004,E832)&gt;0,"전기","당기"))</x:f>
      </x:c>
      <x:c r="D832" s="67"/>
      <x:c r="G832" s="68"/>
      <x:c r="K832" t="str">
        <x:f>IF(B832="","",IF(I832="확인 필요","붙임 문서 확인 후 거래 성격·기간·상대방·일회성 여부 확인","결의서명과 전기 대비 발생 건수·단가·시점 차이 검토"))</x:f>
      </x:c>
    </x:row>
    <x:row r="833">
      <x:c r="A833" t="str">
        <x:f>IF(B833="","",IF(COUNTIFS('전기원장'!$A$5:$A$1004,B833,'전기원장'!$D$5:$D$1004,E833)&gt;0,"전기","당기"))</x:f>
      </x:c>
      <x:c r="D833" s="67"/>
      <x:c r="G833" s="68"/>
      <x:c r="K833" t="str">
        <x:f>IF(B833="","",IF(I833="확인 필요","붙임 문서 확인 후 거래 성격·기간·상대방·일회성 여부 확인","결의서명과 전기 대비 발생 건수·단가·시점 차이 검토"))</x:f>
      </x:c>
    </x:row>
    <x:row r="834">
      <x:c r="A834" t="str">
        <x:f>IF(B834="","",IF(COUNTIFS('전기원장'!$A$5:$A$1004,B834,'전기원장'!$D$5:$D$1004,E834)&gt;0,"전기","당기"))</x:f>
      </x:c>
      <x:c r="D834" s="67"/>
      <x:c r="G834" s="68"/>
      <x:c r="K834" t="str">
        <x:f>IF(B834="","",IF(I834="확인 필요","붙임 문서 확인 후 거래 성격·기간·상대방·일회성 여부 확인","결의서명과 전기 대비 발생 건수·단가·시점 차이 검토"))</x:f>
      </x:c>
    </x:row>
    <x:row r="835">
      <x:c r="A835" t="str">
        <x:f>IF(B835="","",IF(COUNTIFS('전기원장'!$A$5:$A$1004,B835,'전기원장'!$D$5:$D$1004,E835)&gt;0,"전기","당기"))</x:f>
      </x:c>
      <x:c r="D835" s="67"/>
      <x:c r="G835" s="68"/>
      <x:c r="K835" t="str">
        <x:f>IF(B835="","",IF(I835="확인 필요","붙임 문서 확인 후 거래 성격·기간·상대방·일회성 여부 확인","결의서명과 전기 대비 발생 건수·단가·시점 차이 검토"))</x:f>
      </x:c>
    </x:row>
    <x:row r="836">
      <x:c r="A836" t="str">
        <x:f>IF(B836="","",IF(COUNTIFS('전기원장'!$A$5:$A$1004,B836,'전기원장'!$D$5:$D$1004,E836)&gt;0,"전기","당기"))</x:f>
      </x:c>
      <x:c r="D836" s="67"/>
      <x:c r="G836" s="68"/>
      <x:c r="K836" t="str">
        <x:f>IF(B836="","",IF(I836="확인 필요","붙임 문서 확인 후 거래 성격·기간·상대방·일회성 여부 확인","결의서명과 전기 대비 발생 건수·단가·시점 차이 검토"))</x:f>
      </x:c>
    </x:row>
    <x:row r="837">
      <x:c r="A837" t="str">
        <x:f>IF(B837="","",IF(COUNTIFS('전기원장'!$A$5:$A$1004,B837,'전기원장'!$D$5:$D$1004,E837)&gt;0,"전기","당기"))</x:f>
      </x:c>
      <x:c r="D837" s="67"/>
      <x:c r="G837" s="68"/>
      <x:c r="K837" t="str">
        <x:f>IF(B837="","",IF(I837="확인 필요","붙임 문서 확인 후 거래 성격·기간·상대방·일회성 여부 확인","결의서명과 전기 대비 발생 건수·단가·시점 차이 검토"))</x:f>
      </x:c>
    </x:row>
    <x:row r="838">
      <x:c r="A838" t="str">
        <x:f>IF(B838="","",IF(COUNTIFS('전기원장'!$A$5:$A$1004,B838,'전기원장'!$D$5:$D$1004,E838)&gt;0,"전기","당기"))</x:f>
      </x:c>
      <x:c r="D838" s="67"/>
      <x:c r="G838" s="68"/>
      <x:c r="K838" t="str">
        <x:f>IF(B838="","",IF(I838="확인 필요","붙임 문서 확인 후 거래 성격·기간·상대방·일회성 여부 확인","결의서명과 전기 대비 발생 건수·단가·시점 차이 검토"))</x:f>
      </x:c>
    </x:row>
    <x:row r="839">
      <x:c r="A839" t="str">
        <x:f>IF(B839="","",IF(COUNTIFS('전기원장'!$A$5:$A$1004,B839,'전기원장'!$D$5:$D$1004,E839)&gt;0,"전기","당기"))</x:f>
      </x:c>
      <x:c r="D839" s="67"/>
      <x:c r="G839" s="68"/>
      <x:c r="K839" t="str">
        <x:f>IF(B839="","",IF(I839="확인 필요","붙임 문서 확인 후 거래 성격·기간·상대방·일회성 여부 확인","결의서명과 전기 대비 발생 건수·단가·시점 차이 검토"))</x:f>
      </x:c>
    </x:row>
    <x:row r="840">
      <x:c r="A840" t="str">
        <x:f>IF(B840="","",IF(COUNTIFS('전기원장'!$A$5:$A$1004,B840,'전기원장'!$D$5:$D$1004,E840)&gt;0,"전기","당기"))</x:f>
      </x:c>
      <x:c r="D840" s="67"/>
      <x:c r="G840" s="68"/>
      <x:c r="K840" t="str">
        <x:f>IF(B840="","",IF(I840="확인 필요","붙임 문서 확인 후 거래 성격·기간·상대방·일회성 여부 확인","결의서명과 전기 대비 발생 건수·단가·시점 차이 검토"))</x:f>
      </x:c>
    </x:row>
    <x:row r="841">
      <x:c r="A841" t="str">
        <x:f>IF(B841="","",IF(COUNTIFS('전기원장'!$A$5:$A$1004,B841,'전기원장'!$D$5:$D$1004,E841)&gt;0,"전기","당기"))</x:f>
      </x:c>
      <x:c r="D841" s="67"/>
      <x:c r="G841" s="68"/>
      <x:c r="K841" t="str">
        <x:f>IF(B841="","",IF(I841="확인 필요","붙임 문서 확인 후 거래 성격·기간·상대방·일회성 여부 확인","결의서명과 전기 대비 발생 건수·단가·시점 차이 검토"))</x:f>
      </x:c>
    </x:row>
    <x:row r="842">
      <x:c r="A842" t="str">
        <x:f>IF(B842="","",IF(COUNTIFS('전기원장'!$A$5:$A$1004,B842,'전기원장'!$D$5:$D$1004,E842)&gt;0,"전기","당기"))</x:f>
      </x:c>
      <x:c r="D842" s="67"/>
      <x:c r="G842" s="68"/>
      <x:c r="K842" t="str">
        <x:f>IF(B842="","",IF(I842="확인 필요","붙임 문서 확인 후 거래 성격·기간·상대방·일회성 여부 확인","결의서명과 전기 대비 발생 건수·단가·시점 차이 검토"))</x:f>
      </x:c>
    </x:row>
    <x:row r="843">
      <x:c r="A843" t="str">
        <x:f>IF(B843="","",IF(COUNTIFS('전기원장'!$A$5:$A$1004,B843,'전기원장'!$D$5:$D$1004,E843)&gt;0,"전기","당기"))</x:f>
      </x:c>
      <x:c r="D843" s="67"/>
      <x:c r="G843" s="68"/>
      <x:c r="K843" t="str">
        <x:f>IF(B843="","",IF(I843="확인 필요","붙임 문서 확인 후 거래 성격·기간·상대방·일회성 여부 확인","결의서명과 전기 대비 발생 건수·단가·시점 차이 검토"))</x:f>
      </x:c>
    </x:row>
    <x:row r="844">
      <x:c r="A844" t="str">
        <x:f>IF(B844="","",IF(COUNTIFS('전기원장'!$A$5:$A$1004,B844,'전기원장'!$D$5:$D$1004,E844)&gt;0,"전기","당기"))</x:f>
      </x:c>
      <x:c r="D844" s="67"/>
      <x:c r="G844" s="68"/>
      <x:c r="K844" t="str">
        <x:f>IF(B844="","",IF(I844="확인 필요","붙임 문서 확인 후 거래 성격·기간·상대방·일회성 여부 확인","결의서명과 전기 대비 발생 건수·단가·시점 차이 검토"))</x:f>
      </x:c>
    </x:row>
    <x:row r="845">
      <x:c r="A845" t="str">
        <x:f>IF(B845="","",IF(COUNTIFS('전기원장'!$A$5:$A$1004,B845,'전기원장'!$D$5:$D$1004,E845)&gt;0,"전기","당기"))</x:f>
      </x:c>
      <x:c r="D845" s="67"/>
      <x:c r="G845" s="68"/>
      <x:c r="K845" t="str">
        <x:f>IF(B845="","",IF(I845="확인 필요","붙임 문서 확인 후 거래 성격·기간·상대방·일회성 여부 확인","결의서명과 전기 대비 발생 건수·단가·시점 차이 검토"))</x:f>
      </x:c>
    </x:row>
    <x:row r="846">
      <x:c r="A846" t="str">
        <x:f>IF(B846="","",IF(COUNTIFS('전기원장'!$A$5:$A$1004,B846,'전기원장'!$D$5:$D$1004,E846)&gt;0,"전기","당기"))</x:f>
      </x:c>
      <x:c r="D846" s="67"/>
      <x:c r="G846" s="68"/>
      <x:c r="K846" t="str">
        <x:f>IF(B846="","",IF(I846="확인 필요","붙임 문서 확인 후 거래 성격·기간·상대방·일회성 여부 확인","결의서명과 전기 대비 발생 건수·단가·시점 차이 검토"))</x:f>
      </x:c>
    </x:row>
    <x:row r="847">
      <x:c r="A847" t="str">
        <x:f>IF(B847="","",IF(COUNTIFS('전기원장'!$A$5:$A$1004,B847,'전기원장'!$D$5:$D$1004,E847)&gt;0,"전기","당기"))</x:f>
      </x:c>
      <x:c r="D847" s="67"/>
      <x:c r="G847" s="68"/>
      <x:c r="K847" t="str">
        <x:f>IF(B847="","",IF(I847="확인 필요","붙임 문서 확인 후 거래 성격·기간·상대방·일회성 여부 확인","결의서명과 전기 대비 발생 건수·단가·시점 차이 검토"))</x:f>
      </x:c>
    </x:row>
    <x:row r="848">
      <x:c r="A848" t="str">
        <x:f>IF(B848="","",IF(COUNTIFS('전기원장'!$A$5:$A$1004,B848,'전기원장'!$D$5:$D$1004,E848)&gt;0,"전기","당기"))</x:f>
      </x:c>
      <x:c r="D848" s="67"/>
      <x:c r="G848" s="68"/>
      <x:c r="K848" t="str">
        <x:f>IF(B848="","",IF(I848="확인 필요","붙임 문서 확인 후 거래 성격·기간·상대방·일회성 여부 확인","결의서명과 전기 대비 발생 건수·단가·시점 차이 검토"))</x:f>
      </x:c>
    </x:row>
    <x:row r="849">
      <x:c r="A849" t="str">
        <x:f>IF(B849="","",IF(COUNTIFS('전기원장'!$A$5:$A$1004,B849,'전기원장'!$D$5:$D$1004,E849)&gt;0,"전기","당기"))</x:f>
      </x:c>
      <x:c r="D849" s="67"/>
      <x:c r="G849" s="68"/>
      <x:c r="K849" t="str">
        <x:f>IF(B849="","",IF(I849="확인 필요","붙임 문서 확인 후 거래 성격·기간·상대방·일회성 여부 확인","결의서명과 전기 대비 발생 건수·단가·시점 차이 검토"))</x:f>
      </x:c>
    </x:row>
    <x:row r="850">
      <x:c r="A850" t="str">
        <x:f>IF(B850="","",IF(COUNTIFS('전기원장'!$A$5:$A$1004,B850,'전기원장'!$D$5:$D$1004,E850)&gt;0,"전기","당기"))</x:f>
      </x:c>
      <x:c r="D850" s="67"/>
      <x:c r="G850" s="68"/>
      <x:c r="K850" t="str">
        <x:f>IF(B850="","",IF(I850="확인 필요","붙임 문서 확인 후 거래 성격·기간·상대방·일회성 여부 확인","결의서명과 전기 대비 발생 건수·단가·시점 차이 검토"))</x:f>
      </x:c>
    </x:row>
    <x:row r="851">
      <x:c r="A851" t="str">
        <x:f>IF(B851="","",IF(COUNTIFS('전기원장'!$A$5:$A$1004,B851,'전기원장'!$D$5:$D$1004,E851)&gt;0,"전기","당기"))</x:f>
      </x:c>
      <x:c r="D851" s="67"/>
      <x:c r="G851" s="68"/>
      <x:c r="K851" t="str">
        <x:f>IF(B851="","",IF(I851="확인 필요","붙임 문서 확인 후 거래 성격·기간·상대방·일회성 여부 확인","결의서명과 전기 대비 발생 건수·단가·시점 차이 검토"))</x:f>
      </x:c>
    </x:row>
    <x:row r="852">
      <x:c r="A852" t="str">
        <x:f>IF(B852="","",IF(COUNTIFS('전기원장'!$A$5:$A$1004,B852,'전기원장'!$D$5:$D$1004,E852)&gt;0,"전기","당기"))</x:f>
      </x:c>
      <x:c r="D852" s="67"/>
      <x:c r="G852" s="68"/>
      <x:c r="K852" t="str">
        <x:f>IF(B852="","",IF(I852="확인 필요","붙임 문서 확인 후 거래 성격·기간·상대방·일회성 여부 확인","결의서명과 전기 대비 발생 건수·단가·시점 차이 검토"))</x:f>
      </x:c>
    </x:row>
    <x:row r="853">
      <x:c r="A853" t="str">
        <x:f>IF(B853="","",IF(COUNTIFS('전기원장'!$A$5:$A$1004,B853,'전기원장'!$D$5:$D$1004,E853)&gt;0,"전기","당기"))</x:f>
      </x:c>
      <x:c r="D853" s="67"/>
      <x:c r="G853" s="68"/>
      <x:c r="K853" t="str">
        <x:f>IF(B853="","",IF(I853="확인 필요","붙임 문서 확인 후 거래 성격·기간·상대방·일회성 여부 확인","결의서명과 전기 대비 발생 건수·단가·시점 차이 검토"))</x:f>
      </x:c>
    </x:row>
    <x:row r="854">
      <x:c r="A854" t="str">
        <x:f>IF(B854="","",IF(COUNTIFS('전기원장'!$A$5:$A$1004,B854,'전기원장'!$D$5:$D$1004,E854)&gt;0,"전기","당기"))</x:f>
      </x:c>
      <x:c r="D854" s="67"/>
      <x:c r="G854" s="68"/>
      <x:c r="K854" t="str">
        <x:f>IF(B854="","",IF(I854="확인 필요","붙임 문서 확인 후 거래 성격·기간·상대방·일회성 여부 확인","결의서명과 전기 대비 발생 건수·단가·시점 차이 검토"))</x:f>
      </x:c>
    </x:row>
    <x:row r="855">
      <x:c r="A855" t="str">
        <x:f>IF(B855="","",IF(COUNTIFS('전기원장'!$A$5:$A$1004,B855,'전기원장'!$D$5:$D$1004,E855)&gt;0,"전기","당기"))</x:f>
      </x:c>
      <x:c r="D855" s="67"/>
      <x:c r="G855" s="68"/>
      <x:c r="K855" t="str">
        <x:f>IF(B855="","",IF(I855="확인 필요","붙임 문서 확인 후 거래 성격·기간·상대방·일회성 여부 확인","결의서명과 전기 대비 발생 건수·단가·시점 차이 검토"))</x:f>
      </x:c>
    </x:row>
    <x:row r="856">
      <x:c r="A856" t="str">
        <x:f>IF(B856="","",IF(COUNTIFS('전기원장'!$A$5:$A$1004,B856,'전기원장'!$D$5:$D$1004,E856)&gt;0,"전기","당기"))</x:f>
      </x:c>
      <x:c r="D856" s="67"/>
      <x:c r="G856" s="68"/>
      <x:c r="K856" t="str">
        <x:f>IF(B856="","",IF(I856="확인 필요","붙임 문서 확인 후 거래 성격·기간·상대방·일회성 여부 확인","결의서명과 전기 대비 발생 건수·단가·시점 차이 검토"))</x:f>
      </x:c>
    </x:row>
    <x:row r="857">
      <x:c r="A857" t="str">
        <x:f>IF(B857="","",IF(COUNTIFS('전기원장'!$A$5:$A$1004,B857,'전기원장'!$D$5:$D$1004,E857)&gt;0,"전기","당기"))</x:f>
      </x:c>
      <x:c r="D857" s="67"/>
      <x:c r="G857" s="68"/>
      <x:c r="K857" t="str">
        <x:f>IF(B857="","",IF(I857="확인 필요","붙임 문서 확인 후 거래 성격·기간·상대방·일회성 여부 확인","결의서명과 전기 대비 발생 건수·단가·시점 차이 검토"))</x:f>
      </x:c>
    </x:row>
    <x:row r="858">
      <x:c r="A858" t="str">
        <x:f>IF(B858="","",IF(COUNTIFS('전기원장'!$A$5:$A$1004,B858,'전기원장'!$D$5:$D$1004,E858)&gt;0,"전기","당기"))</x:f>
      </x:c>
      <x:c r="D858" s="67"/>
      <x:c r="G858" s="68"/>
      <x:c r="K858" t="str">
        <x:f>IF(B858="","",IF(I858="확인 필요","붙임 문서 확인 후 거래 성격·기간·상대방·일회성 여부 확인","결의서명과 전기 대비 발생 건수·단가·시점 차이 검토"))</x:f>
      </x:c>
    </x:row>
    <x:row r="859">
      <x:c r="A859" t="str">
        <x:f>IF(B859="","",IF(COUNTIFS('전기원장'!$A$5:$A$1004,B859,'전기원장'!$D$5:$D$1004,E859)&gt;0,"전기","당기"))</x:f>
      </x:c>
      <x:c r="D859" s="67"/>
      <x:c r="G859" s="68"/>
      <x:c r="K859" t="str">
        <x:f>IF(B859="","",IF(I859="확인 필요","붙임 문서 확인 후 거래 성격·기간·상대방·일회성 여부 확인","결의서명과 전기 대비 발생 건수·단가·시점 차이 검토"))</x:f>
      </x:c>
    </x:row>
    <x:row r="860">
      <x:c r="A860" t="str">
        <x:f>IF(B860="","",IF(COUNTIFS('전기원장'!$A$5:$A$1004,B860,'전기원장'!$D$5:$D$1004,E860)&gt;0,"전기","당기"))</x:f>
      </x:c>
      <x:c r="D860" s="67"/>
      <x:c r="G860" s="68"/>
      <x:c r="K860" t="str">
        <x:f>IF(B860="","",IF(I860="확인 필요","붙임 문서 확인 후 거래 성격·기간·상대방·일회성 여부 확인","결의서명과 전기 대비 발생 건수·단가·시점 차이 검토"))</x:f>
      </x:c>
    </x:row>
    <x:row r="861">
      <x:c r="A861" t="str">
        <x:f>IF(B861="","",IF(COUNTIFS('전기원장'!$A$5:$A$1004,B861,'전기원장'!$D$5:$D$1004,E861)&gt;0,"전기","당기"))</x:f>
      </x:c>
      <x:c r="D861" s="67"/>
      <x:c r="G861" s="68"/>
      <x:c r="K861" t="str">
        <x:f>IF(B861="","",IF(I861="확인 필요","붙임 문서 확인 후 거래 성격·기간·상대방·일회성 여부 확인","결의서명과 전기 대비 발생 건수·단가·시점 차이 검토"))</x:f>
      </x:c>
    </x:row>
    <x:row r="862">
      <x:c r="A862" t="str">
        <x:f>IF(B862="","",IF(COUNTIFS('전기원장'!$A$5:$A$1004,B862,'전기원장'!$D$5:$D$1004,E862)&gt;0,"전기","당기"))</x:f>
      </x:c>
      <x:c r="D862" s="67"/>
      <x:c r="G862" s="68"/>
      <x:c r="K862" t="str">
        <x:f>IF(B862="","",IF(I862="확인 필요","붙임 문서 확인 후 거래 성격·기간·상대방·일회성 여부 확인","결의서명과 전기 대비 발생 건수·단가·시점 차이 검토"))</x:f>
      </x:c>
    </x:row>
    <x:row r="863">
      <x:c r="A863" t="str">
        <x:f>IF(B863="","",IF(COUNTIFS('전기원장'!$A$5:$A$1004,B863,'전기원장'!$D$5:$D$1004,E863)&gt;0,"전기","당기"))</x:f>
      </x:c>
      <x:c r="D863" s="67"/>
      <x:c r="G863" s="68"/>
      <x:c r="K863" t="str">
        <x:f>IF(B863="","",IF(I863="확인 필요","붙임 문서 확인 후 거래 성격·기간·상대방·일회성 여부 확인","결의서명과 전기 대비 발생 건수·단가·시점 차이 검토"))</x:f>
      </x:c>
    </x:row>
    <x:row r="864">
      <x:c r="A864" t="str">
        <x:f>IF(B864="","",IF(COUNTIFS('전기원장'!$A$5:$A$1004,B864,'전기원장'!$D$5:$D$1004,E864)&gt;0,"전기","당기"))</x:f>
      </x:c>
      <x:c r="D864" s="67"/>
      <x:c r="G864" s="68"/>
      <x:c r="K864" t="str">
        <x:f>IF(B864="","",IF(I864="확인 필요","붙임 문서 확인 후 거래 성격·기간·상대방·일회성 여부 확인","결의서명과 전기 대비 발생 건수·단가·시점 차이 검토"))</x:f>
      </x:c>
    </x:row>
    <x:row r="865">
      <x:c r="A865" t="str">
        <x:f>IF(B865="","",IF(COUNTIFS('전기원장'!$A$5:$A$1004,B865,'전기원장'!$D$5:$D$1004,E865)&gt;0,"전기","당기"))</x:f>
      </x:c>
      <x:c r="D865" s="67"/>
      <x:c r="G865" s="68"/>
      <x:c r="K865" t="str">
        <x:f>IF(B865="","",IF(I865="확인 필요","붙임 문서 확인 후 거래 성격·기간·상대방·일회성 여부 확인","결의서명과 전기 대비 발생 건수·단가·시점 차이 검토"))</x:f>
      </x:c>
    </x:row>
    <x:row r="866">
      <x:c r="A866" t="str">
        <x:f>IF(B866="","",IF(COUNTIFS('전기원장'!$A$5:$A$1004,B866,'전기원장'!$D$5:$D$1004,E866)&gt;0,"전기","당기"))</x:f>
      </x:c>
      <x:c r="D866" s="67"/>
      <x:c r="G866" s="68"/>
      <x:c r="K866" t="str">
        <x:f>IF(B866="","",IF(I866="확인 필요","붙임 문서 확인 후 거래 성격·기간·상대방·일회성 여부 확인","결의서명과 전기 대비 발생 건수·단가·시점 차이 검토"))</x:f>
      </x:c>
    </x:row>
    <x:row r="867">
      <x:c r="A867" t="str">
        <x:f>IF(B867="","",IF(COUNTIFS('전기원장'!$A$5:$A$1004,B867,'전기원장'!$D$5:$D$1004,E867)&gt;0,"전기","당기"))</x:f>
      </x:c>
      <x:c r="D867" s="67"/>
      <x:c r="G867" s="68"/>
      <x:c r="K867" t="str">
        <x:f>IF(B867="","",IF(I867="확인 필요","붙임 문서 확인 후 거래 성격·기간·상대방·일회성 여부 확인","결의서명과 전기 대비 발생 건수·단가·시점 차이 검토"))</x:f>
      </x:c>
    </x:row>
    <x:row r="868">
      <x:c r="A868" t="str">
        <x:f>IF(B868="","",IF(COUNTIFS('전기원장'!$A$5:$A$1004,B868,'전기원장'!$D$5:$D$1004,E868)&gt;0,"전기","당기"))</x:f>
      </x:c>
      <x:c r="D868" s="67"/>
      <x:c r="G868" s="68"/>
      <x:c r="K868" t="str">
        <x:f>IF(B868="","",IF(I868="확인 필요","붙임 문서 확인 후 거래 성격·기간·상대방·일회성 여부 확인","결의서명과 전기 대비 발생 건수·단가·시점 차이 검토"))</x:f>
      </x:c>
    </x:row>
    <x:row r="869">
      <x:c r="A869" t="str">
        <x:f>IF(B869="","",IF(COUNTIFS('전기원장'!$A$5:$A$1004,B869,'전기원장'!$D$5:$D$1004,E869)&gt;0,"전기","당기"))</x:f>
      </x:c>
      <x:c r="D869" s="67"/>
      <x:c r="G869" s="68"/>
      <x:c r="K869" t="str">
        <x:f>IF(B869="","",IF(I869="확인 필요","붙임 문서 확인 후 거래 성격·기간·상대방·일회성 여부 확인","결의서명과 전기 대비 발생 건수·단가·시점 차이 검토"))</x:f>
      </x:c>
    </x:row>
    <x:row r="870">
      <x:c r="A870" t="str">
        <x:f>IF(B870="","",IF(COUNTIFS('전기원장'!$A$5:$A$1004,B870,'전기원장'!$D$5:$D$1004,E870)&gt;0,"전기","당기"))</x:f>
      </x:c>
      <x:c r="D870" s="67"/>
      <x:c r="G870" s="68"/>
      <x:c r="K870" t="str">
        <x:f>IF(B870="","",IF(I870="확인 필요","붙임 문서 확인 후 거래 성격·기간·상대방·일회성 여부 확인","결의서명과 전기 대비 발생 건수·단가·시점 차이 검토"))</x:f>
      </x:c>
    </x:row>
    <x:row r="871">
      <x:c r="A871" t="str">
        <x:f>IF(B871="","",IF(COUNTIFS('전기원장'!$A$5:$A$1004,B871,'전기원장'!$D$5:$D$1004,E871)&gt;0,"전기","당기"))</x:f>
      </x:c>
      <x:c r="D871" s="67"/>
      <x:c r="G871" s="68"/>
      <x:c r="K871" t="str">
        <x:f>IF(B871="","",IF(I871="확인 필요","붙임 문서 확인 후 거래 성격·기간·상대방·일회성 여부 확인","결의서명과 전기 대비 발생 건수·단가·시점 차이 검토"))</x:f>
      </x:c>
    </x:row>
    <x:row r="872">
      <x:c r="A872" t="str">
        <x:f>IF(B872="","",IF(COUNTIFS('전기원장'!$A$5:$A$1004,B872,'전기원장'!$D$5:$D$1004,E872)&gt;0,"전기","당기"))</x:f>
      </x:c>
      <x:c r="D872" s="67"/>
      <x:c r="G872" s="68"/>
      <x:c r="K872" t="str">
        <x:f>IF(B872="","",IF(I872="확인 필요","붙임 문서 확인 후 거래 성격·기간·상대방·일회성 여부 확인","결의서명과 전기 대비 발생 건수·단가·시점 차이 검토"))</x:f>
      </x:c>
    </x:row>
    <x:row r="873">
      <x:c r="A873" t="str">
        <x:f>IF(B873="","",IF(COUNTIFS('전기원장'!$A$5:$A$1004,B873,'전기원장'!$D$5:$D$1004,E873)&gt;0,"전기","당기"))</x:f>
      </x:c>
      <x:c r="D873" s="67"/>
      <x:c r="G873" s="68"/>
      <x:c r="K873" t="str">
        <x:f>IF(B873="","",IF(I873="확인 필요","붙임 문서 확인 후 거래 성격·기간·상대방·일회성 여부 확인","결의서명과 전기 대비 발생 건수·단가·시점 차이 검토"))</x:f>
      </x:c>
    </x:row>
    <x:row r="874">
      <x:c r="A874" t="str">
        <x:f>IF(B874="","",IF(COUNTIFS('전기원장'!$A$5:$A$1004,B874,'전기원장'!$D$5:$D$1004,E874)&gt;0,"전기","당기"))</x:f>
      </x:c>
      <x:c r="D874" s="67"/>
      <x:c r="G874" s="68"/>
      <x:c r="K874" t="str">
        <x:f>IF(B874="","",IF(I874="확인 필요","붙임 문서 확인 후 거래 성격·기간·상대방·일회성 여부 확인","결의서명과 전기 대비 발생 건수·단가·시점 차이 검토"))</x:f>
      </x:c>
    </x:row>
    <x:row r="875">
      <x:c r="A875" t="str">
        <x:f>IF(B875="","",IF(COUNTIFS('전기원장'!$A$5:$A$1004,B875,'전기원장'!$D$5:$D$1004,E875)&gt;0,"전기","당기"))</x:f>
      </x:c>
      <x:c r="D875" s="67"/>
      <x:c r="G875" s="68"/>
      <x:c r="K875" t="str">
        <x:f>IF(B875="","",IF(I875="확인 필요","붙임 문서 확인 후 거래 성격·기간·상대방·일회성 여부 확인","결의서명과 전기 대비 발생 건수·단가·시점 차이 검토"))</x:f>
      </x:c>
    </x:row>
    <x:row r="876">
      <x:c r="A876" t="str">
        <x:f>IF(B876="","",IF(COUNTIFS('전기원장'!$A$5:$A$1004,B876,'전기원장'!$D$5:$D$1004,E876)&gt;0,"전기","당기"))</x:f>
      </x:c>
      <x:c r="D876" s="67"/>
      <x:c r="G876" s="68"/>
      <x:c r="K876" t="str">
        <x:f>IF(B876="","",IF(I876="확인 필요","붙임 문서 확인 후 거래 성격·기간·상대방·일회성 여부 확인","결의서명과 전기 대비 발생 건수·단가·시점 차이 검토"))</x:f>
      </x:c>
    </x:row>
    <x:row r="877">
      <x:c r="A877" t="str">
        <x:f>IF(B877="","",IF(COUNTIFS('전기원장'!$A$5:$A$1004,B877,'전기원장'!$D$5:$D$1004,E877)&gt;0,"전기","당기"))</x:f>
      </x:c>
      <x:c r="D877" s="67"/>
      <x:c r="G877" s="68"/>
      <x:c r="K877" t="str">
        <x:f>IF(B877="","",IF(I877="확인 필요","붙임 문서 확인 후 거래 성격·기간·상대방·일회성 여부 확인","결의서명과 전기 대비 발생 건수·단가·시점 차이 검토"))</x:f>
      </x:c>
    </x:row>
    <x:row r="878">
      <x:c r="A878" t="str">
        <x:f>IF(B878="","",IF(COUNTIFS('전기원장'!$A$5:$A$1004,B878,'전기원장'!$D$5:$D$1004,E878)&gt;0,"전기","당기"))</x:f>
      </x:c>
      <x:c r="D878" s="67"/>
      <x:c r="G878" s="68"/>
      <x:c r="K878" t="str">
        <x:f>IF(B878="","",IF(I878="확인 필요","붙임 문서 확인 후 거래 성격·기간·상대방·일회성 여부 확인","결의서명과 전기 대비 발생 건수·단가·시점 차이 검토"))</x:f>
      </x:c>
    </x:row>
    <x:row r="879">
      <x:c r="A879" t="str">
        <x:f>IF(B879="","",IF(COUNTIFS('전기원장'!$A$5:$A$1004,B879,'전기원장'!$D$5:$D$1004,E879)&gt;0,"전기","당기"))</x:f>
      </x:c>
      <x:c r="D879" s="67"/>
      <x:c r="G879" s="68"/>
      <x:c r="K879" t="str">
        <x:f>IF(B879="","",IF(I879="확인 필요","붙임 문서 확인 후 거래 성격·기간·상대방·일회성 여부 확인","결의서명과 전기 대비 발생 건수·단가·시점 차이 검토"))</x:f>
      </x:c>
    </x:row>
    <x:row r="880">
      <x:c r="A880" t="str">
        <x:f>IF(B880="","",IF(COUNTIFS('전기원장'!$A$5:$A$1004,B880,'전기원장'!$D$5:$D$1004,E880)&gt;0,"전기","당기"))</x:f>
      </x:c>
      <x:c r="D880" s="67"/>
      <x:c r="G880" s="68"/>
      <x:c r="K880" t="str">
        <x:f>IF(B880="","",IF(I880="확인 필요","붙임 문서 확인 후 거래 성격·기간·상대방·일회성 여부 확인","결의서명과 전기 대비 발생 건수·단가·시점 차이 검토"))</x:f>
      </x:c>
    </x:row>
    <x:row r="881">
      <x:c r="A881" t="str">
        <x:f>IF(B881="","",IF(COUNTIFS('전기원장'!$A$5:$A$1004,B881,'전기원장'!$D$5:$D$1004,E881)&gt;0,"전기","당기"))</x:f>
      </x:c>
      <x:c r="D881" s="67"/>
      <x:c r="G881" s="68"/>
      <x:c r="K881" t="str">
        <x:f>IF(B881="","",IF(I881="확인 필요","붙임 문서 확인 후 거래 성격·기간·상대방·일회성 여부 확인","결의서명과 전기 대비 발생 건수·단가·시점 차이 검토"))</x:f>
      </x:c>
    </x:row>
    <x:row r="882">
      <x:c r="A882" t="str">
        <x:f>IF(B882="","",IF(COUNTIFS('전기원장'!$A$5:$A$1004,B882,'전기원장'!$D$5:$D$1004,E882)&gt;0,"전기","당기"))</x:f>
      </x:c>
      <x:c r="D882" s="67"/>
      <x:c r="G882" s="68"/>
      <x:c r="K882" t="str">
        <x:f>IF(B882="","",IF(I882="확인 필요","붙임 문서 확인 후 거래 성격·기간·상대방·일회성 여부 확인","결의서명과 전기 대비 발생 건수·단가·시점 차이 검토"))</x:f>
      </x:c>
    </x:row>
    <x:row r="883">
      <x:c r="A883" t="str">
        <x:f>IF(B883="","",IF(COUNTIFS('전기원장'!$A$5:$A$1004,B883,'전기원장'!$D$5:$D$1004,E883)&gt;0,"전기","당기"))</x:f>
      </x:c>
      <x:c r="D883" s="67"/>
      <x:c r="G883" s="68"/>
      <x:c r="K883" t="str">
        <x:f>IF(B883="","",IF(I883="확인 필요","붙임 문서 확인 후 거래 성격·기간·상대방·일회성 여부 확인","결의서명과 전기 대비 발생 건수·단가·시점 차이 검토"))</x:f>
      </x:c>
    </x:row>
    <x:row r="884">
      <x:c r="A884" t="str">
        <x:f>IF(B884="","",IF(COUNTIFS('전기원장'!$A$5:$A$1004,B884,'전기원장'!$D$5:$D$1004,E884)&gt;0,"전기","당기"))</x:f>
      </x:c>
      <x:c r="D884" s="67"/>
      <x:c r="G884" s="68"/>
      <x:c r="K884" t="str">
        <x:f>IF(B884="","",IF(I884="확인 필요","붙임 문서 확인 후 거래 성격·기간·상대방·일회성 여부 확인","결의서명과 전기 대비 발생 건수·단가·시점 차이 검토"))</x:f>
      </x:c>
    </x:row>
    <x:row r="885">
      <x:c r="A885" t="str">
        <x:f>IF(B885="","",IF(COUNTIFS('전기원장'!$A$5:$A$1004,B885,'전기원장'!$D$5:$D$1004,E885)&gt;0,"전기","당기"))</x:f>
      </x:c>
      <x:c r="D885" s="67"/>
      <x:c r="G885" s="68"/>
      <x:c r="K885" t="str">
        <x:f>IF(B885="","",IF(I885="확인 필요","붙임 문서 확인 후 거래 성격·기간·상대방·일회성 여부 확인","결의서명과 전기 대비 발생 건수·단가·시점 차이 검토"))</x:f>
      </x:c>
    </x:row>
    <x:row r="886">
      <x:c r="A886" t="str">
        <x:f>IF(B886="","",IF(COUNTIFS('전기원장'!$A$5:$A$1004,B886,'전기원장'!$D$5:$D$1004,E886)&gt;0,"전기","당기"))</x:f>
      </x:c>
      <x:c r="D886" s="67"/>
      <x:c r="G886" s="68"/>
      <x:c r="K886" t="str">
        <x:f>IF(B886="","",IF(I886="확인 필요","붙임 문서 확인 후 거래 성격·기간·상대방·일회성 여부 확인","결의서명과 전기 대비 발생 건수·단가·시점 차이 검토"))</x:f>
      </x:c>
    </x:row>
    <x:row r="887">
      <x:c r="A887" t="str">
        <x:f>IF(B887="","",IF(COUNTIFS('전기원장'!$A$5:$A$1004,B887,'전기원장'!$D$5:$D$1004,E887)&gt;0,"전기","당기"))</x:f>
      </x:c>
      <x:c r="D887" s="67"/>
      <x:c r="G887" s="68"/>
      <x:c r="K887" t="str">
        <x:f>IF(B887="","",IF(I887="확인 필요","붙임 문서 확인 후 거래 성격·기간·상대방·일회성 여부 확인","결의서명과 전기 대비 발생 건수·단가·시점 차이 검토"))</x:f>
      </x:c>
    </x:row>
    <x:row r="888">
      <x:c r="A888" t="str">
        <x:f>IF(B888="","",IF(COUNTIFS('전기원장'!$A$5:$A$1004,B888,'전기원장'!$D$5:$D$1004,E888)&gt;0,"전기","당기"))</x:f>
      </x:c>
      <x:c r="D888" s="67"/>
      <x:c r="G888" s="68"/>
      <x:c r="K888" t="str">
        <x:f>IF(B888="","",IF(I888="확인 필요","붙임 문서 확인 후 거래 성격·기간·상대방·일회성 여부 확인","결의서명과 전기 대비 발생 건수·단가·시점 차이 검토"))</x:f>
      </x:c>
    </x:row>
    <x:row r="889">
      <x:c r="A889" t="str">
        <x:f>IF(B889="","",IF(COUNTIFS('전기원장'!$A$5:$A$1004,B889,'전기원장'!$D$5:$D$1004,E889)&gt;0,"전기","당기"))</x:f>
      </x:c>
      <x:c r="D889" s="67"/>
      <x:c r="G889" s="68"/>
      <x:c r="K889" t="str">
        <x:f>IF(B889="","",IF(I889="확인 필요","붙임 문서 확인 후 거래 성격·기간·상대방·일회성 여부 확인","결의서명과 전기 대비 발생 건수·단가·시점 차이 검토"))</x:f>
      </x:c>
    </x:row>
    <x:row r="890">
      <x:c r="A890" t="str">
        <x:f>IF(B890="","",IF(COUNTIFS('전기원장'!$A$5:$A$1004,B890,'전기원장'!$D$5:$D$1004,E890)&gt;0,"전기","당기"))</x:f>
      </x:c>
      <x:c r="D890" s="67"/>
      <x:c r="G890" s="68"/>
      <x:c r="K890" t="str">
        <x:f>IF(B890="","",IF(I890="확인 필요","붙임 문서 확인 후 거래 성격·기간·상대방·일회성 여부 확인","결의서명과 전기 대비 발생 건수·단가·시점 차이 검토"))</x:f>
      </x:c>
    </x:row>
    <x:row r="891">
      <x:c r="A891" t="str">
        <x:f>IF(B891="","",IF(COUNTIFS('전기원장'!$A$5:$A$1004,B891,'전기원장'!$D$5:$D$1004,E891)&gt;0,"전기","당기"))</x:f>
      </x:c>
      <x:c r="D891" s="67"/>
      <x:c r="G891" s="68"/>
      <x:c r="K891" t="str">
        <x:f>IF(B891="","",IF(I891="확인 필요","붙임 문서 확인 후 거래 성격·기간·상대방·일회성 여부 확인","결의서명과 전기 대비 발생 건수·단가·시점 차이 검토"))</x:f>
      </x:c>
    </x:row>
    <x:row r="892">
      <x:c r="A892" t="str">
        <x:f>IF(B892="","",IF(COUNTIFS('전기원장'!$A$5:$A$1004,B892,'전기원장'!$D$5:$D$1004,E892)&gt;0,"전기","당기"))</x:f>
      </x:c>
      <x:c r="D892" s="67"/>
      <x:c r="G892" s="68"/>
      <x:c r="K892" t="str">
        <x:f>IF(B892="","",IF(I892="확인 필요","붙임 문서 확인 후 거래 성격·기간·상대방·일회성 여부 확인","결의서명과 전기 대비 발생 건수·단가·시점 차이 검토"))</x:f>
      </x:c>
    </x:row>
    <x:row r="893">
      <x:c r="A893" t="str">
        <x:f>IF(B893="","",IF(COUNTIFS('전기원장'!$A$5:$A$1004,B893,'전기원장'!$D$5:$D$1004,E893)&gt;0,"전기","당기"))</x:f>
      </x:c>
      <x:c r="D893" s="67"/>
      <x:c r="G893" s="68"/>
      <x:c r="K893" t="str">
        <x:f>IF(B893="","",IF(I893="확인 필요","붙임 문서 확인 후 거래 성격·기간·상대방·일회성 여부 확인","결의서명과 전기 대비 발생 건수·단가·시점 차이 검토"))</x:f>
      </x:c>
    </x:row>
    <x:row r="894">
      <x:c r="A894" t="str">
        <x:f>IF(B894="","",IF(COUNTIFS('전기원장'!$A$5:$A$1004,B894,'전기원장'!$D$5:$D$1004,E894)&gt;0,"전기","당기"))</x:f>
      </x:c>
      <x:c r="D894" s="67"/>
      <x:c r="G894" s="68"/>
      <x:c r="K894" t="str">
        <x:f>IF(B894="","",IF(I894="확인 필요","붙임 문서 확인 후 거래 성격·기간·상대방·일회성 여부 확인","결의서명과 전기 대비 발생 건수·단가·시점 차이 검토"))</x:f>
      </x:c>
    </x:row>
    <x:row r="895">
      <x:c r="A895" t="str">
        <x:f>IF(B895="","",IF(COUNTIFS('전기원장'!$A$5:$A$1004,B895,'전기원장'!$D$5:$D$1004,E895)&gt;0,"전기","당기"))</x:f>
      </x:c>
      <x:c r="D895" s="67"/>
      <x:c r="G895" s="68"/>
      <x:c r="K895" t="str">
        <x:f>IF(B895="","",IF(I895="확인 필요","붙임 문서 확인 후 거래 성격·기간·상대방·일회성 여부 확인","결의서명과 전기 대비 발생 건수·단가·시점 차이 검토"))</x:f>
      </x:c>
    </x:row>
    <x:row r="896">
      <x:c r="A896" t="str">
        <x:f>IF(B896="","",IF(COUNTIFS('전기원장'!$A$5:$A$1004,B896,'전기원장'!$D$5:$D$1004,E896)&gt;0,"전기","당기"))</x:f>
      </x:c>
      <x:c r="D896" s="67"/>
      <x:c r="G896" s="68"/>
      <x:c r="K896" t="str">
        <x:f>IF(B896="","",IF(I896="확인 필요","붙임 문서 확인 후 거래 성격·기간·상대방·일회성 여부 확인","결의서명과 전기 대비 발생 건수·단가·시점 차이 검토"))</x:f>
      </x:c>
    </x:row>
    <x:row r="897">
      <x:c r="A897" t="str">
        <x:f>IF(B897="","",IF(COUNTIFS('전기원장'!$A$5:$A$1004,B897,'전기원장'!$D$5:$D$1004,E897)&gt;0,"전기","당기"))</x:f>
      </x:c>
      <x:c r="D897" s="67"/>
      <x:c r="G897" s="68"/>
      <x:c r="K897" t="str">
        <x:f>IF(B897="","",IF(I897="확인 필요","붙임 문서 확인 후 거래 성격·기간·상대방·일회성 여부 확인","결의서명과 전기 대비 발생 건수·단가·시점 차이 검토"))</x:f>
      </x:c>
    </x:row>
    <x:row r="898">
      <x:c r="A898" t="str">
        <x:f>IF(B898="","",IF(COUNTIFS('전기원장'!$A$5:$A$1004,B898,'전기원장'!$D$5:$D$1004,E898)&gt;0,"전기","당기"))</x:f>
      </x:c>
      <x:c r="D898" s="67"/>
      <x:c r="G898" s="68"/>
      <x:c r="K898" t="str">
        <x:f>IF(B898="","",IF(I898="확인 필요","붙임 문서 확인 후 거래 성격·기간·상대방·일회성 여부 확인","결의서명과 전기 대비 발생 건수·단가·시점 차이 검토"))</x:f>
      </x:c>
    </x:row>
    <x:row r="899">
      <x:c r="A899" t="str">
        <x:f>IF(B899="","",IF(COUNTIFS('전기원장'!$A$5:$A$1004,B899,'전기원장'!$D$5:$D$1004,E899)&gt;0,"전기","당기"))</x:f>
      </x:c>
      <x:c r="D899" s="67"/>
      <x:c r="G899" s="68"/>
      <x:c r="K899" t="str">
        <x:f>IF(B899="","",IF(I899="확인 필요","붙임 문서 확인 후 거래 성격·기간·상대방·일회성 여부 확인","결의서명과 전기 대비 발생 건수·단가·시점 차이 검토"))</x:f>
      </x:c>
    </x:row>
    <x:row r="900">
      <x:c r="A900" t="str">
        <x:f>IF(B900="","",IF(COUNTIFS('전기원장'!$A$5:$A$1004,B900,'전기원장'!$D$5:$D$1004,E900)&gt;0,"전기","당기"))</x:f>
      </x:c>
      <x:c r="D900" s="67"/>
      <x:c r="G900" s="68"/>
      <x:c r="K900" t="str">
        <x:f>IF(B900="","",IF(I900="확인 필요","붙임 문서 확인 후 거래 성격·기간·상대방·일회성 여부 확인","결의서명과 전기 대비 발생 건수·단가·시점 차이 검토"))</x:f>
      </x:c>
    </x:row>
    <x:row r="901">
      <x:c r="A901" t="str">
        <x:f>IF(B901="","",IF(COUNTIFS('전기원장'!$A$5:$A$1004,B901,'전기원장'!$D$5:$D$1004,E901)&gt;0,"전기","당기"))</x:f>
      </x:c>
      <x:c r="D901" s="67"/>
      <x:c r="G901" s="68"/>
      <x:c r="K901" t="str">
        <x:f>IF(B901="","",IF(I901="확인 필요","붙임 문서 확인 후 거래 성격·기간·상대방·일회성 여부 확인","결의서명과 전기 대비 발생 건수·단가·시점 차이 검토"))</x:f>
      </x:c>
    </x:row>
    <x:row r="902">
      <x:c r="A902" t="str">
        <x:f>IF(B902="","",IF(COUNTIFS('전기원장'!$A$5:$A$1004,B902,'전기원장'!$D$5:$D$1004,E902)&gt;0,"전기","당기"))</x:f>
      </x:c>
      <x:c r="D902" s="67"/>
      <x:c r="G902" s="68"/>
      <x:c r="K902" t="str">
        <x:f>IF(B902="","",IF(I902="확인 필요","붙임 문서 확인 후 거래 성격·기간·상대방·일회성 여부 확인","결의서명과 전기 대비 발생 건수·단가·시점 차이 검토"))</x:f>
      </x:c>
    </x:row>
    <x:row r="903">
      <x:c r="A903" t="str">
        <x:f>IF(B903="","",IF(COUNTIFS('전기원장'!$A$5:$A$1004,B903,'전기원장'!$D$5:$D$1004,E903)&gt;0,"전기","당기"))</x:f>
      </x:c>
      <x:c r="D903" s="67"/>
      <x:c r="G903" s="68"/>
      <x:c r="K903" t="str">
        <x:f>IF(B903="","",IF(I903="확인 필요","붙임 문서 확인 후 거래 성격·기간·상대방·일회성 여부 확인","결의서명과 전기 대비 발생 건수·단가·시점 차이 검토"))</x:f>
      </x:c>
    </x:row>
    <x:row r="904">
      <x:c r="A904" t="str">
        <x:f>IF(B904="","",IF(COUNTIFS('전기원장'!$A$5:$A$1004,B904,'전기원장'!$D$5:$D$1004,E904)&gt;0,"전기","당기"))</x:f>
      </x:c>
      <x:c r="D904" s="67"/>
      <x:c r="G904" s="68"/>
      <x:c r="K904" t="str">
        <x:f>IF(B904="","",IF(I904="확인 필요","붙임 문서 확인 후 거래 성격·기간·상대방·일회성 여부 확인","결의서명과 전기 대비 발생 건수·단가·시점 차이 검토"))</x:f>
      </x:c>
    </x:row>
    <x:row r="905">
      <x:c r="A905" t="str">
        <x:f>IF(B905="","",IF(COUNTIFS('전기원장'!$A$5:$A$1004,B905,'전기원장'!$D$5:$D$1004,E905)&gt;0,"전기","당기"))</x:f>
      </x:c>
      <x:c r="D905" s="67"/>
      <x:c r="G905" s="68"/>
      <x:c r="K905" t="str">
        <x:f>IF(B905="","",IF(I905="확인 필요","붙임 문서 확인 후 거래 성격·기간·상대방·일회성 여부 확인","결의서명과 전기 대비 발생 건수·단가·시점 차이 검토"))</x:f>
      </x:c>
    </x:row>
    <x:row r="906">
      <x:c r="A906" t="str">
        <x:f>IF(B906="","",IF(COUNTIFS('전기원장'!$A$5:$A$1004,B906,'전기원장'!$D$5:$D$1004,E906)&gt;0,"전기","당기"))</x:f>
      </x:c>
      <x:c r="D906" s="67"/>
      <x:c r="G906" s="68"/>
      <x:c r="K906" t="str">
        <x:f>IF(B906="","",IF(I906="확인 필요","붙임 문서 확인 후 거래 성격·기간·상대방·일회성 여부 확인","결의서명과 전기 대비 발생 건수·단가·시점 차이 검토"))</x:f>
      </x:c>
    </x:row>
    <x:row r="907">
      <x:c r="A907" t="str">
        <x:f>IF(B907="","",IF(COUNTIFS('전기원장'!$A$5:$A$1004,B907,'전기원장'!$D$5:$D$1004,E907)&gt;0,"전기","당기"))</x:f>
      </x:c>
      <x:c r="D907" s="67"/>
      <x:c r="G907" s="68"/>
      <x:c r="K907" t="str">
        <x:f>IF(B907="","",IF(I907="확인 필요","붙임 문서 확인 후 거래 성격·기간·상대방·일회성 여부 확인","결의서명과 전기 대비 발생 건수·단가·시점 차이 검토"))</x:f>
      </x:c>
    </x:row>
    <x:row r="908">
      <x:c r="A908" t="str">
        <x:f>IF(B908="","",IF(COUNTIFS('전기원장'!$A$5:$A$1004,B908,'전기원장'!$D$5:$D$1004,E908)&gt;0,"전기","당기"))</x:f>
      </x:c>
      <x:c r="D908" s="67"/>
      <x:c r="G908" s="68"/>
      <x:c r="K908" t="str">
        <x:f>IF(B908="","",IF(I908="확인 필요","붙임 문서 확인 후 거래 성격·기간·상대방·일회성 여부 확인","결의서명과 전기 대비 발생 건수·단가·시점 차이 검토"))</x:f>
      </x:c>
    </x:row>
    <x:row r="909">
      <x:c r="A909" t="str">
        <x:f>IF(B909="","",IF(COUNTIFS('전기원장'!$A$5:$A$1004,B909,'전기원장'!$D$5:$D$1004,E909)&gt;0,"전기","당기"))</x:f>
      </x:c>
      <x:c r="D909" s="67"/>
      <x:c r="G909" s="68"/>
      <x:c r="K909" t="str">
        <x:f>IF(B909="","",IF(I909="확인 필요","붙임 문서 확인 후 거래 성격·기간·상대방·일회성 여부 확인","결의서명과 전기 대비 발생 건수·단가·시점 차이 검토"))</x:f>
      </x:c>
    </x:row>
    <x:row r="910">
      <x:c r="A910" t="str">
        <x:f>IF(B910="","",IF(COUNTIFS('전기원장'!$A$5:$A$1004,B910,'전기원장'!$D$5:$D$1004,E910)&gt;0,"전기","당기"))</x:f>
      </x:c>
      <x:c r="D910" s="67"/>
      <x:c r="G910" s="68"/>
      <x:c r="K910" t="str">
        <x:f>IF(B910="","",IF(I910="확인 필요","붙임 문서 확인 후 거래 성격·기간·상대방·일회성 여부 확인","결의서명과 전기 대비 발생 건수·단가·시점 차이 검토"))</x:f>
      </x:c>
    </x:row>
    <x:row r="911">
      <x:c r="A911" t="str">
        <x:f>IF(B911="","",IF(COUNTIFS('전기원장'!$A$5:$A$1004,B911,'전기원장'!$D$5:$D$1004,E911)&gt;0,"전기","당기"))</x:f>
      </x:c>
      <x:c r="D911" s="67"/>
      <x:c r="G911" s="68"/>
      <x:c r="K911" t="str">
        <x:f>IF(B911="","",IF(I911="확인 필요","붙임 문서 확인 후 거래 성격·기간·상대방·일회성 여부 확인","결의서명과 전기 대비 발생 건수·단가·시점 차이 검토"))</x:f>
      </x:c>
    </x:row>
    <x:row r="912">
      <x:c r="A912" t="str">
        <x:f>IF(B912="","",IF(COUNTIFS('전기원장'!$A$5:$A$1004,B912,'전기원장'!$D$5:$D$1004,E912)&gt;0,"전기","당기"))</x:f>
      </x:c>
      <x:c r="D912" s="67"/>
      <x:c r="G912" s="68"/>
      <x:c r="K912" t="str">
        <x:f>IF(B912="","",IF(I912="확인 필요","붙임 문서 확인 후 거래 성격·기간·상대방·일회성 여부 확인","결의서명과 전기 대비 발생 건수·단가·시점 차이 검토"))</x:f>
      </x:c>
    </x:row>
    <x:row r="913">
      <x:c r="A913" t="str">
        <x:f>IF(B913="","",IF(COUNTIFS('전기원장'!$A$5:$A$1004,B913,'전기원장'!$D$5:$D$1004,E913)&gt;0,"전기","당기"))</x:f>
      </x:c>
      <x:c r="D913" s="67"/>
      <x:c r="G913" s="68"/>
      <x:c r="K913" t="str">
        <x:f>IF(B913="","",IF(I913="확인 필요","붙임 문서 확인 후 거래 성격·기간·상대방·일회성 여부 확인","결의서명과 전기 대비 발생 건수·단가·시점 차이 검토"))</x:f>
      </x:c>
    </x:row>
    <x:row r="914">
      <x:c r="A914" t="str">
        <x:f>IF(B914="","",IF(COUNTIFS('전기원장'!$A$5:$A$1004,B914,'전기원장'!$D$5:$D$1004,E914)&gt;0,"전기","당기"))</x:f>
      </x:c>
      <x:c r="D914" s="67"/>
      <x:c r="G914" s="68"/>
      <x:c r="K914" t="str">
        <x:f>IF(B914="","",IF(I914="확인 필요","붙임 문서 확인 후 거래 성격·기간·상대방·일회성 여부 확인","결의서명과 전기 대비 발생 건수·단가·시점 차이 검토"))</x:f>
      </x:c>
    </x:row>
    <x:row r="915">
      <x:c r="A915" t="str">
        <x:f>IF(B915="","",IF(COUNTIFS('전기원장'!$A$5:$A$1004,B915,'전기원장'!$D$5:$D$1004,E915)&gt;0,"전기","당기"))</x:f>
      </x:c>
      <x:c r="D915" s="67"/>
      <x:c r="G915" s="68"/>
      <x:c r="K915" t="str">
        <x:f>IF(B915="","",IF(I915="확인 필요","붙임 문서 확인 후 거래 성격·기간·상대방·일회성 여부 확인","결의서명과 전기 대비 발생 건수·단가·시점 차이 검토"))</x:f>
      </x:c>
    </x:row>
    <x:row r="916">
      <x:c r="A916" t="str">
        <x:f>IF(B916="","",IF(COUNTIFS('전기원장'!$A$5:$A$1004,B916,'전기원장'!$D$5:$D$1004,E916)&gt;0,"전기","당기"))</x:f>
      </x:c>
      <x:c r="D916" s="67"/>
      <x:c r="G916" s="68"/>
      <x:c r="K916" t="str">
        <x:f>IF(B916="","",IF(I916="확인 필요","붙임 문서 확인 후 거래 성격·기간·상대방·일회성 여부 확인","결의서명과 전기 대비 발생 건수·단가·시점 차이 검토"))</x:f>
      </x:c>
    </x:row>
    <x:row r="917">
      <x:c r="A917" t="str">
        <x:f>IF(B917="","",IF(COUNTIFS('전기원장'!$A$5:$A$1004,B917,'전기원장'!$D$5:$D$1004,E917)&gt;0,"전기","당기"))</x:f>
      </x:c>
      <x:c r="D917" s="67"/>
      <x:c r="G917" s="68"/>
      <x:c r="K917" t="str">
        <x:f>IF(B917="","",IF(I917="확인 필요","붙임 문서 확인 후 거래 성격·기간·상대방·일회성 여부 확인","결의서명과 전기 대비 발생 건수·단가·시점 차이 검토"))</x:f>
      </x:c>
    </x:row>
    <x:row r="918">
      <x:c r="A918" t="str">
        <x:f>IF(B918="","",IF(COUNTIFS('전기원장'!$A$5:$A$1004,B918,'전기원장'!$D$5:$D$1004,E918)&gt;0,"전기","당기"))</x:f>
      </x:c>
      <x:c r="D918" s="67"/>
      <x:c r="G918" s="68"/>
      <x:c r="K918" t="str">
        <x:f>IF(B918="","",IF(I918="확인 필요","붙임 문서 확인 후 거래 성격·기간·상대방·일회성 여부 확인","결의서명과 전기 대비 발생 건수·단가·시점 차이 검토"))</x:f>
      </x:c>
    </x:row>
    <x:row r="919">
      <x:c r="A919" t="str">
        <x:f>IF(B919="","",IF(COUNTIFS('전기원장'!$A$5:$A$1004,B919,'전기원장'!$D$5:$D$1004,E919)&gt;0,"전기","당기"))</x:f>
      </x:c>
      <x:c r="D919" s="67"/>
      <x:c r="G919" s="68"/>
      <x:c r="K919" t="str">
        <x:f>IF(B919="","",IF(I919="확인 필요","붙임 문서 확인 후 거래 성격·기간·상대방·일회성 여부 확인","결의서명과 전기 대비 발생 건수·단가·시점 차이 검토"))</x:f>
      </x:c>
    </x:row>
    <x:row r="920">
      <x:c r="A920" t="str">
        <x:f>IF(B920="","",IF(COUNTIFS('전기원장'!$A$5:$A$1004,B920,'전기원장'!$D$5:$D$1004,E920)&gt;0,"전기","당기"))</x:f>
      </x:c>
      <x:c r="D920" s="67"/>
      <x:c r="G920" s="68"/>
      <x:c r="K920" t="str">
        <x:f>IF(B920="","",IF(I920="확인 필요","붙임 문서 확인 후 거래 성격·기간·상대방·일회성 여부 확인","결의서명과 전기 대비 발생 건수·단가·시점 차이 검토"))</x:f>
      </x:c>
    </x:row>
    <x:row r="921">
      <x:c r="A921" t="str">
        <x:f>IF(B921="","",IF(COUNTIFS('전기원장'!$A$5:$A$1004,B921,'전기원장'!$D$5:$D$1004,E921)&gt;0,"전기","당기"))</x:f>
      </x:c>
      <x:c r="D921" s="67"/>
      <x:c r="G921" s="68"/>
      <x:c r="K921" t="str">
        <x:f>IF(B921="","",IF(I921="확인 필요","붙임 문서 확인 후 거래 성격·기간·상대방·일회성 여부 확인","결의서명과 전기 대비 발생 건수·단가·시점 차이 검토"))</x:f>
      </x:c>
    </x:row>
    <x:row r="922">
      <x:c r="A922" t="str">
        <x:f>IF(B922="","",IF(COUNTIFS('전기원장'!$A$5:$A$1004,B922,'전기원장'!$D$5:$D$1004,E922)&gt;0,"전기","당기"))</x:f>
      </x:c>
      <x:c r="D922" s="67"/>
      <x:c r="G922" s="68"/>
      <x:c r="K922" t="str">
        <x:f>IF(B922="","",IF(I922="확인 필요","붙임 문서 확인 후 거래 성격·기간·상대방·일회성 여부 확인","결의서명과 전기 대비 발생 건수·단가·시점 차이 검토"))</x:f>
      </x:c>
    </x:row>
    <x:row r="923">
      <x:c r="A923" t="str">
        <x:f>IF(B923="","",IF(COUNTIFS('전기원장'!$A$5:$A$1004,B923,'전기원장'!$D$5:$D$1004,E923)&gt;0,"전기","당기"))</x:f>
      </x:c>
      <x:c r="D923" s="67"/>
      <x:c r="G923" s="68"/>
      <x:c r="K923" t="str">
        <x:f>IF(B923="","",IF(I923="확인 필요","붙임 문서 확인 후 거래 성격·기간·상대방·일회성 여부 확인","결의서명과 전기 대비 발생 건수·단가·시점 차이 검토"))</x:f>
      </x:c>
    </x:row>
    <x:row r="924">
      <x:c r="A924" t="str">
        <x:f>IF(B924="","",IF(COUNTIFS('전기원장'!$A$5:$A$1004,B924,'전기원장'!$D$5:$D$1004,E924)&gt;0,"전기","당기"))</x:f>
      </x:c>
      <x:c r="D924" s="67"/>
      <x:c r="G924" s="68"/>
      <x:c r="K924" t="str">
        <x:f>IF(B924="","",IF(I924="확인 필요","붙임 문서 확인 후 거래 성격·기간·상대방·일회성 여부 확인","결의서명과 전기 대비 발생 건수·단가·시점 차이 검토"))</x:f>
      </x:c>
    </x:row>
    <x:row r="925">
      <x:c r="A925" t="str">
        <x:f>IF(B925="","",IF(COUNTIFS('전기원장'!$A$5:$A$1004,B925,'전기원장'!$D$5:$D$1004,E925)&gt;0,"전기","당기"))</x:f>
      </x:c>
      <x:c r="D925" s="67"/>
      <x:c r="G925" s="68"/>
      <x:c r="K925" t="str">
        <x:f>IF(B925="","",IF(I925="확인 필요","붙임 문서 확인 후 거래 성격·기간·상대방·일회성 여부 확인","결의서명과 전기 대비 발생 건수·단가·시점 차이 검토"))</x:f>
      </x:c>
    </x:row>
    <x:row r="926">
      <x:c r="A926" t="str">
        <x:f>IF(B926="","",IF(COUNTIFS('전기원장'!$A$5:$A$1004,B926,'전기원장'!$D$5:$D$1004,E926)&gt;0,"전기","당기"))</x:f>
      </x:c>
      <x:c r="D926" s="67"/>
      <x:c r="G926" s="68"/>
      <x:c r="K926" t="str">
        <x:f>IF(B926="","",IF(I926="확인 필요","붙임 문서 확인 후 거래 성격·기간·상대방·일회성 여부 확인","결의서명과 전기 대비 발생 건수·단가·시점 차이 검토"))</x:f>
      </x:c>
    </x:row>
    <x:row r="927">
      <x:c r="A927" t="str">
        <x:f>IF(B927="","",IF(COUNTIFS('전기원장'!$A$5:$A$1004,B927,'전기원장'!$D$5:$D$1004,E927)&gt;0,"전기","당기"))</x:f>
      </x:c>
      <x:c r="D927" s="67"/>
      <x:c r="G927" s="68"/>
      <x:c r="K927" t="str">
        <x:f>IF(B927="","",IF(I927="확인 필요","붙임 문서 확인 후 거래 성격·기간·상대방·일회성 여부 확인","결의서명과 전기 대비 발생 건수·단가·시점 차이 검토"))</x:f>
      </x:c>
    </x:row>
    <x:row r="928">
      <x:c r="A928" t="str">
        <x:f>IF(B928="","",IF(COUNTIFS('전기원장'!$A$5:$A$1004,B928,'전기원장'!$D$5:$D$1004,E928)&gt;0,"전기","당기"))</x:f>
      </x:c>
      <x:c r="D928" s="67"/>
      <x:c r="G928" s="68"/>
      <x:c r="K928" t="str">
        <x:f>IF(B928="","",IF(I928="확인 필요","붙임 문서 확인 후 거래 성격·기간·상대방·일회성 여부 확인","결의서명과 전기 대비 발생 건수·단가·시점 차이 검토"))</x:f>
      </x:c>
    </x:row>
    <x:row r="929">
      <x:c r="A929" t="str">
        <x:f>IF(B929="","",IF(COUNTIFS('전기원장'!$A$5:$A$1004,B929,'전기원장'!$D$5:$D$1004,E929)&gt;0,"전기","당기"))</x:f>
      </x:c>
      <x:c r="D929" s="67"/>
      <x:c r="G929" s="68"/>
      <x:c r="K929" t="str">
        <x:f>IF(B929="","",IF(I929="확인 필요","붙임 문서 확인 후 거래 성격·기간·상대방·일회성 여부 확인","결의서명과 전기 대비 발생 건수·단가·시점 차이 검토"))</x:f>
      </x:c>
    </x:row>
    <x:row r="930">
      <x:c r="A930" t="str">
        <x:f>IF(B930="","",IF(COUNTIFS('전기원장'!$A$5:$A$1004,B930,'전기원장'!$D$5:$D$1004,E930)&gt;0,"전기","당기"))</x:f>
      </x:c>
      <x:c r="D930" s="67"/>
      <x:c r="G930" s="68"/>
      <x:c r="K930" t="str">
        <x:f>IF(B930="","",IF(I930="확인 필요","붙임 문서 확인 후 거래 성격·기간·상대방·일회성 여부 확인","결의서명과 전기 대비 발생 건수·단가·시점 차이 검토"))</x:f>
      </x:c>
    </x:row>
    <x:row r="931">
      <x:c r="A931" t="str">
        <x:f>IF(B931="","",IF(COUNTIFS('전기원장'!$A$5:$A$1004,B931,'전기원장'!$D$5:$D$1004,E931)&gt;0,"전기","당기"))</x:f>
      </x:c>
      <x:c r="D931" s="67"/>
      <x:c r="G931" s="68"/>
      <x:c r="K931" t="str">
        <x:f>IF(B931="","",IF(I931="확인 필요","붙임 문서 확인 후 거래 성격·기간·상대방·일회성 여부 확인","결의서명과 전기 대비 발생 건수·단가·시점 차이 검토"))</x:f>
      </x:c>
    </x:row>
    <x:row r="932">
      <x:c r="A932" t="str">
        <x:f>IF(B932="","",IF(COUNTIFS('전기원장'!$A$5:$A$1004,B932,'전기원장'!$D$5:$D$1004,E932)&gt;0,"전기","당기"))</x:f>
      </x:c>
      <x:c r="D932" s="67"/>
      <x:c r="G932" s="68"/>
      <x:c r="K932" t="str">
        <x:f>IF(B932="","",IF(I932="확인 필요","붙임 문서 확인 후 거래 성격·기간·상대방·일회성 여부 확인","결의서명과 전기 대비 발생 건수·단가·시점 차이 검토"))</x:f>
      </x:c>
    </x:row>
    <x:row r="933">
      <x:c r="A933" t="str">
        <x:f>IF(B933="","",IF(COUNTIFS('전기원장'!$A$5:$A$1004,B933,'전기원장'!$D$5:$D$1004,E933)&gt;0,"전기","당기"))</x:f>
      </x:c>
      <x:c r="D933" s="67"/>
      <x:c r="G933" s="68"/>
      <x:c r="K933" t="str">
        <x:f>IF(B933="","",IF(I933="확인 필요","붙임 문서 확인 후 거래 성격·기간·상대방·일회성 여부 확인","결의서명과 전기 대비 발생 건수·단가·시점 차이 검토"))</x:f>
      </x:c>
    </x:row>
    <x:row r="934">
      <x:c r="A934" t="str">
        <x:f>IF(B934="","",IF(COUNTIFS('전기원장'!$A$5:$A$1004,B934,'전기원장'!$D$5:$D$1004,E934)&gt;0,"전기","당기"))</x:f>
      </x:c>
      <x:c r="D934" s="67"/>
      <x:c r="G934" s="68"/>
      <x:c r="K934" t="str">
        <x:f>IF(B934="","",IF(I934="확인 필요","붙임 문서 확인 후 거래 성격·기간·상대방·일회성 여부 확인","결의서명과 전기 대비 발생 건수·단가·시점 차이 검토"))</x:f>
      </x:c>
    </x:row>
    <x:row r="935">
      <x:c r="A935" t="str">
        <x:f>IF(B935="","",IF(COUNTIFS('전기원장'!$A$5:$A$1004,B935,'전기원장'!$D$5:$D$1004,E935)&gt;0,"전기","당기"))</x:f>
      </x:c>
      <x:c r="D935" s="67"/>
      <x:c r="G935" s="68"/>
      <x:c r="K935" t="str">
        <x:f>IF(B935="","",IF(I935="확인 필요","붙임 문서 확인 후 거래 성격·기간·상대방·일회성 여부 확인","결의서명과 전기 대비 발생 건수·단가·시점 차이 검토"))</x:f>
      </x:c>
    </x:row>
    <x:row r="936">
      <x:c r="A936" t="str">
        <x:f>IF(B936="","",IF(COUNTIFS('전기원장'!$A$5:$A$1004,B936,'전기원장'!$D$5:$D$1004,E936)&gt;0,"전기","당기"))</x:f>
      </x:c>
      <x:c r="D936" s="67"/>
      <x:c r="G936" s="68"/>
      <x:c r="K936" t="str">
        <x:f>IF(B936="","",IF(I936="확인 필요","붙임 문서 확인 후 거래 성격·기간·상대방·일회성 여부 확인","결의서명과 전기 대비 발생 건수·단가·시점 차이 검토"))</x:f>
      </x:c>
    </x:row>
    <x:row r="937">
      <x:c r="A937" t="str">
        <x:f>IF(B937="","",IF(COUNTIFS('전기원장'!$A$5:$A$1004,B937,'전기원장'!$D$5:$D$1004,E937)&gt;0,"전기","당기"))</x:f>
      </x:c>
      <x:c r="D937" s="67"/>
      <x:c r="G937" s="68"/>
      <x:c r="K937" t="str">
        <x:f>IF(B937="","",IF(I937="확인 필요","붙임 문서 확인 후 거래 성격·기간·상대방·일회성 여부 확인","결의서명과 전기 대비 발생 건수·단가·시점 차이 검토"))</x:f>
      </x:c>
    </x:row>
    <x:row r="938">
      <x:c r="A938" t="str">
        <x:f>IF(B938="","",IF(COUNTIFS('전기원장'!$A$5:$A$1004,B938,'전기원장'!$D$5:$D$1004,E938)&gt;0,"전기","당기"))</x:f>
      </x:c>
      <x:c r="D938" s="67"/>
      <x:c r="G938" s="68"/>
      <x:c r="K938" t="str">
        <x:f>IF(B938="","",IF(I938="확인 필요","붙임 문서 확인 후 거래 성격·기간·상대방·일회성 여부 확인","결의서명과 전기 대비 발생 건수·단가·시점 차이 검토"))</x:f>
      </x:c>
    </x:row>
    <x:row r="939">
      <x:c r="A939" t="str">
        <x:f>IF(B939="","",IF(COUNTIFS('전기원장'!$A$5:$A$1004,B939,'전기원장'!$D$5:$D$1004,E939)&gt;0,"전기","당기"))</x:f>
      </x:c>
      <x:c r="D939" s="67"/>
      <x:c r="G939" s="68"/>
      <x:c r="K939" t="str">
        <x:f>IF(B939="","",IF(I939="확인 필요","붙임 문서 확인 후 거래 성격·기간·상대방·일회성 여부 확인","결의서명과 전기 대비 발생 건수·단가·시점 차이 검토"))</x:f>
      </x:c>
    </x:row>
    <x:row r="940">
      <x:c r="A940" t="str">
        <x:f>IF(B940="","",IF(COUNTIFS('전기원장'!$A$5:$A$1004,B940,'전기원장'!$D$5:$D$1004,E940)&gt;0,"전기","당기"))</x:f>
      </x:c>
      <x:c r="D940" s="67"/>
      <x:c r="G940" s="68"/>
      <x:c r="K940" t="str">
        <x:f>IF(B940="","",IF(I940="확인 필요","붙임 문서 확인 후 거래 성격·기간·상대방·일회성 여부 확인","결의서명과 전기 대비 발생 건수·단가·시점 차이 검토"))</x:f>
      </x:c>
    </x:row>
    <x:row r="941">
      <x:c r="A941" t="str">
        <x:f>IF(B941="","",IF(COUNTIFS('전기원장'!$A$5:$A$1004,B941,'전기원장'!$D$5:$D$1004,E941)&gt;0,"전기","당기"))</x:f>
      </x:c>
      <x:c r="D941" s="67"/>
      <x:c r="G941" s="68"/>
      <x:c r="K941" t="str">
        <x:f>IF(B941="","",IF(I941="확인 필요","붙임 문서 확인 후 거래 성격·기간·상대방·일회성 여부 확인","결의서명과 전기 대비 발생 건수·단가·시점 차이 검토"))</x:f>
      </x:c>
    </x:row>
    <x:row r="942">
      <x:c r="A942" t="str">
        <x:f>IF(B942="","",IF(COUNTIFS('전기원장'!$A$5:$A$1004,B942,'전기원장'!$D$5:$D$1004,E942)&gt;0,"전기","당기"))</x:f>
      </x:c>
      <x:c r="D942" s="67"/>
      <x:c r="G942" s="68"/>
      <x:c r="K942" t="str">
        <x:f>IF(B942="","",IF(I942="확인 필요","붙임 문서 확인 후 거래 성격·기간·상대방·일회성 여부 확인","결의서명과 전기 대비 발생 건수·단가·시점 차이 검토"))</x:f>
      </x:c>
    </x:row>
    <x:row r="943">
      <x:c r="A943" t="str">
        <x:f>IF(B943="","",IF(COUNTIFS('전기원장'!$A$5:$A$1004,B943,'전기원장'!$D$5:$D$1004,E943)&gt;0,"전기","당기"))</x:f>
      </x:c>
      <x:c r="D943" s="67"/>
      <x:c r="G943" s="68"/>
      <x:c r="K943" t="str">
        <x:f>IF(B943="","",IF(I943="확인 필요","붙임 문서 확인 후 거래 성격·기간·상대방·일회성 여부 확인","결의서명과 전기 대비 발생 건수·단가·시점 차이 검토"))</x:f>
      </x:c>
    </x:row>
    <x:row r="944">
      <x:c r="A944" t="str">
        <x:f>IF(B944="","",IF(COUNTIFS('전기원장'!$A$5:$A$1004,B944,'전기원장'!$D$5:$D$1004,E944)&gt;0,"전기","당기"))</x:f>
      </x:c>
      <x:c r="D944" s="67"/>
      <x:c r="G944" s="68"/>
      <x:c r="K944" t="str">
        <x:f>IF(B944="","",IF(I944="확인 필요","붙임 문서 확인 후 거래 성격·기간·상대방·일회성 여부 확인","결의서명과 전기 대비 발생 건수·단가·시점 차이 검토"))</x:f>
      </x:c>
    </x:row>
    <x:row r="945">
      <x:c r="A945" t="str">
        <x:f>IF(B945="","",IF(COUNTIFS('전기원장'!$A$5:$A$1004,B945,'전기원장'!$D$5:$D$1004,E945)&gt;0,"전기","당기"))</x:f>
      </x:c>
      <x:c r="D945" s="67"/>
      <x:c r="G945" s="68"/>
      <x:c r="K945" t="str">
        <x:f>IF(B945="","",IF(I945="확인 필요","붙임 문서 확인 후 거래 성격·기간·상대방·일회성 여부 확인","결의서명과 전기 대비 발생 건수·단가·시점 차이 검토"))</x:f>
      </x:c>
    </x:row>
    <x:row r="946">
      <x:c r="A946" t="str">
        <x:f>IF(B946="","",IF(COUNTIFS('전기원장'!$A$5:$A$1004,B946,'전기원장'!$D$5:$D$1004,E946)&gt;0,"전기","당기"))</x:f>
      </x:c>
      <x:c r="D946" s="67"/>
      <x:c r="G946" s="68"/>
      <x:c r="K946" t="str">
        <x:f>IF(B946="","",IF(I946="확인 필요","붙임 문서 확인 후 거래 성격·기간·상대방·일회성 여부 확인","결의서명과 전기 대비 발생 건수·단가·시점 차이 검토"))</x:f>
      </x:c>
    </x:row>
    <x:row r="947">
      <x:c r="A947" t="str">
        <x:f>IF(B947="","",IF(COUNTIFS('전기원장'!$A$5:$A$1004,B947,'전기원장'!$D$5:$D$1004,E947)&gt;0,"전기","당기"))</x:f>
      </x:c>
      <x:c r="D947" s="67"/>
      <x:c r="G947" s="68"/>
      <x:c r="K947" t="str">
        <x:f>IF(B947="","",IF(I947="확인 필요","붙임 문서 확인 후 거래 성격·기간·상대방·일회성 여부 확인","결의서명과 전기 대비 발생 건수·단가·시점 차이 검토"))</x:f>
      </x:c>
    </x:row>
    <x:row r="948">
      <x:c r="A948" t="str">
        <x:f>IF(B948="","",IF(COUNTIFS('전기원장'!$A$5:$A$1004,B948,'전기원장'!$D$5:$D$1004,E948)&gt;0,"전기","당기"))</x:f>
      </x:c>
      <x:c r="D948" s="67"/>
      <x:c r="G948" s="68"/>
      <x:c r="K948" t="str">
        <x:f>IF(B948="","",IF(I948="확인 필요","붙임 문서 확인 후 거래 성격·기간·상대방·일회성 여부 확인","결의서명과 전기 대비 발생 건수·단가·시점 차이 검토"))</x:f>
      </x:c>
    </x:row>
    <x:row r="949">
      <x:c r="A949" t="str">
        <x:f>IF(B949="","",IF(COUNTIFS('전기원장'!$A$5:$A$1004,B949,'전기원장'!$D$5:$D$1004,E949)&gt;0,"전기","당기"))</x:f>
      </x:c>
      <x:c r="D949" s="67"/>
      <x:c r="G949" s="68"/>
      <x:c r="K949" t="str">
        <x:f>IF(B949="","",IF(I949="확인 필요","붙임 문서 확인 후 거래 성격·기간·상대방·일회성 여부 확인","결의서명과 전기 대비 발생 건수·단가·시점 차이 검토"))</x:f>
      </x:c>
    </x:row>
    <x:row r="950">
      <x:c r="A950" t="str">
        <x:f>IF(B950="","",IF(COUNTIFS('전기원장'!$A$5:$A$1004,B950,'전기원장'!$D$5:$D$1004,E950)&gt;0,"전기","당기"))</x:f>
      </x:c>
      <x:c r="D950" s="67"/>
      <x:c r="G950" s="68"/>
      <x:c r="K950" t="str">
        <x:f>IF(B950="","",IF(I950="확인 필요","붙임 문서 확인 후 거래 성격·기간·상대방·일회성 여부 확인","결의서명과 전기 대비 발생 건수·단가·시점 차이 검토"))</x:f>
      </x:c>
    </x:row>
    <x:row r="951">
      <x:c r="A951" t="str">
        <x:f>IF(B951="","",IF(COUNTIFS('전기원장'!$A$5:$A$1004,B951,'전기원장'!$D$5:$D$1004,E951)&gt;0,"전기","당기"))</x:f>
      </x:c>
      <x:c r="D951" s="67"/>
      <x:c r="G951" s="68"/>
      <x:c r="K951" t="str">
        <x:f>IF(B951="","",IF(I951="확인 필요","붙임 문서 확인 후 거래 성격·기간·상대방·일회성 여부 확인","결의서명과 전기 대비 발생 건수·단가·시점 차이 검토"))</x:f>
      </x:c>
    </x:row>
    <x:row r="952">
      <x:c r="A952" t="str">
        <x:f>IF(B952="","",IF(COUNTIFS('전기원장'!$A$5:$A$1004,B952,'전기원장'!$D$5:$D$1004,E952)&gt;0,"전기","당기"))</x:f>
      </x:c>
      <x:c r="D952" s="67"/>
      <x:c r="G952" s="68"/>
      <x:c r="K952" t="str">
        <x:f>IF(B952="","",IF(I952="확인 필요","붙임 문서 확인 후 거래 성격·기간·상대방·일회성 여부 확인","결의서명과 전기 대비 발생 건수·단가·시점 차이 검토"))</x:f>
      </x:c>
    </x:row>
    <x:row r="953">
      <x:c r="A953" t="str">
        <x:f>IF(B953="","",IF(COUNTIFS('전기원장'!$A$5:$A$1004,B953,'전기원장'!$D$5:$D$1004,E953)&gt;0,"전기","당기"))</x:f>
      </x:c>
      <x:c r="D953" s="67"/>
      <x:c r="G953" s="68"/>
      <x:c r="K953" t="str">
        <x:f>IF(B953="","",IF(I953="확인 필요","붙임 문서 확인 후 거래 성격·기간·상대방·일회성 여부 확인","결의서명과 전기 대비 발생 건수·단가·시점 차이 검토"))</x:f>
      </x:c>
    </x:row>
    <x:row r="954">
      <x:c r="A954" t="str">
        <x:f>IF(B954="","",IF(COUNTIFS('전기원장'!$A$5:$A$1004,B954,'전기원장'!$D$5:$D$1004,E954)&gt;0,"전기","당기"))</x:f>
      </x:c>
      <x:c r="D954" s="67"/>
      <x:c r="G954" s="68"/>
      <x:c r="K954" t="str">
        <x:f>IF(B954="","",IF(I954="확인 필요","붙임 문서 확인 후 거래 성격·기간·상대방·일회성 여부 확인","결의서명과 전기 대비 발생 건수·단가·시점 차이 검토"))</x:f>
      </x:c>
    </x:row>
    <x:row r="955">
      <x:c r="A955" t="str">
        <x:f>IF(B955="","",IF(COUNTIFS('전기원장'!$A$5:$A$1004,B955,'전기원장'!$D$5:$D$1004,E955)&gt;0,"전기","당기"))</x:f>
      </x:c>
      <x:c r="D955" s="67"/>
      <x:c r="G955" s="68"/>
      <x:c r="K955" t="str">
        <x:f>IF(B955="","",IF(I955="확인 필요","붙임 문서 확인 후 거래 성격·기간·상대방·일회성 여부 확인","결의서명과 전기 대비 발생 건수·단가·시점 차이 검토"))</x:f>
      </x:c>
    </x:row>
    <x:row r="956">
      <x:c r="A956" t="str">
        <x:f>IF(B956="","",IF(COUNTIFS('전기원장'!$A$5:$A$1004,B956,'전기원장'!$D$5:$D$1004,E956)&gt;0,"전기","당기"))</x:f>
      </x:c>
      <x:c r="D956" s="67"/>
      <x:c r="G956" s="68"/>
      <x:c r="K956" t="str">
        <x:f>IF(B956="","",IF(I956="확인 필요","붙임 문서 확인 후 거래 성격·기간·상대방·일회성 여부 확인","결의서명과 전기 대비 발생 건수·단가·시점 차이 검토"))</x:f>
      </x:c>
    </x:row>
    <x:row r="957">
      <x:c r="A957" t="str">
        <x:f>IF(B957="","",IF(COUNTIFS('전기원장'!$A$5:$A$1004,B957,'전기원장'!$D$5:$D$1004,E957)&gt;0,"전기","당기"))</x:f>
      </x:c>
      <x:c r="D957" s="67"/>
      <x:c r="G957" s="68"/>
      <x:c r="K957" t="str">
        <x:f>IF(B957="","",IF(I957="확인 필요","붙임 문서 확인 후 거래 성격·기간·상대방·일회성 여부 확인","결의서명과 전기 대비 발생 건수·단가·시점 차이 검토"))</x:f>
      </x:c>
    </x:row>
    <x:row r="958">
      <x:c r="A958" t="str">
        <x:f>IF(B958="","",IF(COUNTIFS('전기원장'!$A$5:$A$1004,B958,'전기원장'!$D$5:$D$1004,E958)&gt;0,"전기","당기"))</x:f>
      </x:c>
      <x:c r="D958" s="67"/>
      <x:c r="G958" s="68"/>
      <x:c r="K958" t="str">
        <x:f>IF(B958="","",IF(I958="확인 필요","붙임 문서 확인 후 거래 성격·기간·상대방·일회성 여부 확인","결의서명과 전기 대비 발생 건수·단가·시점 차이 검토"))</x:f>
      </x:c>
    </x:row>
    <x:row r="959">
      <x:c r="A959" t="str">
        <x:f>IF(B959="","",IF(COUNTIFS('전기원장'!$A$5:$A$1004,B959,'전기원장'!$D$5:$D$1004,E959)&gt;0,"전기","당기"))</x:f>
      </x:c>
      <x:c r="D959" s="67"/>
      <x:c r="G959" s="68"/>
      <x:c r="K959" t="str">
        <x:f>IF(B959="","",IF(I959="확인 필요","붙임 문서 확인 후 거래 성격·기간·상대방·일회성 여부 확인","결의서명과 전기 대비 발생 건수·단가·시점 차이 검토"))</x:f>
      </x:c>
    </x:row>
    <x:row r="960">
      <x:c r="A960" t="str">
        <x:f>IF(B960="","",IF(COUNTIFS('전기원장'!$A$5:$A$1004,B960,'전기원장'!$D$5:$D$1004,E960)&gt;0,"전기","당기"))</x:f>
      </x:c>
      <x:c r="D960" s="67"/>
      <x:c r="G960" s="68"/>
      <x:c r="K960" t="str">
        <x:f>IF(B960="","",IF(I960="확인 필요","붙임 문서 확인 후 거래 성격·기간·상대방·일회성 여부 확인","결의서명과 전기 대비 발생 건수·단가·시점 차이 검토"))</x:f>
      </x:c>
    </x:row>
    <x:row r="961">
      <x:c r="A961" t="str">
        <x:f>IF(B961="","",IF(COUNTIFS('전기원장'!$A$5:$A$1004,B961,'전기원장'!$D$5:$D$1004,E961)&gt;0,"전기","당기"))</x:f>
      </x:c>
      <x:c r="D961" s="67"/>
      <x:c r="G961" s="68"/>
      <x:c r="K961" t="str">
        <x:f>IF(B961="","",IF(I961="확인 필요","붙임 문서 확인 후 거래 성격·기간·상대방·일회성 여부 확인","결의서명과 전기 대비 발생 건수·단가·시점 차이 검토"))</x:f>
      </x:c>
    </x:row>
    <x:row r="962">
      <x:c r="A962" t="str">
        <x:f>IF(B962="","",IF(COUNTIFS('전기원장'!$A$5:$A$1004,B962,'전기원장'!$D$5:$D$1004,E962)&gt;0,"전기","당기"))</x:f>
      </x:c>
      <x:c r="D962" s="67"/>
      <x:c r="G962" s="68"/>
      <x:c r="K962" t="str">
        <x:f>IF(B962="","",IF(I962="확인 필요","붙임 문서 확인 후 거래 성격·기간·상대방·일회성 여부 확인","결의서명과 전기 대비 발생 건수·단가·시점 차이 검토"))</x:f>
      </x:c>
    </x:row>
    <x:row r="963">
      <x:c r="A963" t="str">
        <x:f>IF(B963="","",IF(COUNTIFS('전기원장'!$A$5:$A$1004,B963,'전기원장'!$D$5:$D$1004,E963)&gt;0,"전기","당기"))</x:f>
      </x:c>
      <x:c r="D963" s="67"/>
      <x:c r="G963" s="68"/>
      <x:c r="K963" t="str">
        <x:f>IF(B963="","",IF(I963="확인 필요","붙임 문서 확인 후 거래 성격·기간·상대방·일회성 여부 확인","결의서명과 전기 대비 발생 건수·단가·시점 차이 검토"))</x:f>
      </x:c>
    </x:row>
    <x:row r="964">
      <x:c r="A964" t="str">
        <x:f>IF(B964="","",IF(COUNTIFS('전기원장'!$A$5:$A$1004,B964,'전기원장'!$D$5:$D$1004,E964)&gt;0,"전기","당기"))</x:f>
      </x:c>
      <x:c r="D964" s="67"/>
      <x:c r="G964" s="68"/>
      <x:c r="K964" t="str">
        <x:f>IF(B964="","",IF(I964="확인 필요","붙임 문서 확인 후 거래 성격·기간·상대방·일회성 여부 확인","결의서명과 전기 대비 발생 건수·단가·시점 차이 검토"))</x:f>
      </x:c>
    </x:row>
    <x:row r="965">
      <x:c r="A965" t="str">
        <x:f>IF(B965="","",IF(COUNTIFS('전기원장'!$A$5:$A$1004,B965,'전기원장'!$D$5:$D$1004,E965)&gt;0,"전기","당기"))</x:f>
      </x:c>
      <x:c r="D965" s="67"/>
      <x:c r="G965" s="68"/>
      <x:c r="K965" t="str">
        <x:f>IF(B965="","",IF(I965="확인 필요","붙임 문서 확인 후 거래 성격·기간·상대방·일회성 여부 확인","결의서명과 전기 대비 발생 건수·단가·시점 차이 검토"))</x:f>
      </x:c>
    </x:row>
    <x:row r="966">
      <x:c r="A966" t="str">
        <x:f>IF(B966="","",IF(COUNTIFS('전기원장'!$A$5:$A$1004,B966,'전기원장'!$D$5:$D$1004,E966)&gt;0,"전기","당기"))</x:f>
      </x:c>
      <x:c r="D966" s="67"/>
      <x:c r="G966" s="68"/>
      <x:c r="K966" t="str">
        <x:f>IF(B966="","",IF(I966="확인 필요","붙임 문서 확인 후 거래 성격·기간·상대방·일회성 여부 확인","결의서명과 전기 대비 발생 건수·단가·시점 차이 검토"))</x:f>
      </x:c>
    </x:row>
    <x:row r="967">
      <x:c r="A967" t="str">
        <x:f>IF(B967="","",IF(COUNTIFS('전기원장'!$A$5:$A$1004,B967,'전기원장'!$D$5:$D$1004,E967)&gt;0,"전기","당기"))</x:f>
      </x:c>
      <x:c r="D967" s="67"/>
      <x:c r="G967" s="68"/>
      <x:c r="K967" t="str">
        <x:f>IF(B967="","",IF(I967="확인 필요","붙임 문서 확인 후 거래 성격·기간·상대방·일회성 여부 확인","결의서명과 전기 대비 발생 건수·단가·시점 차이 검토"))</x:f>
      </x:c>
    </x:row>
    <x:row r="968">
      <x:c r="A968" t="str">
        <x:f>IF(B968="","",IF(COUNTIFS('전기원장'!$A$5:$A$1004,B968,'전기원장'!$D$5:$D$1004,E968)&gt;0,"전기","당기"))</x:f>
      </x:c>
      <x:c r="D968" s="67"/>
      <x:c r="G968" s="68"/>
      <x:c r="K968" t="str">
        <x:f>IF(B968="","",IF(I968="확인 필요","붙임 문서 확인 후 거래 성격·기간·상대방·일회성 여부 확인","결의서명과 전기 대비 발생 건수·단가·시점 차이 검토"))</x:f>
      </x:c>
    </x:row>
    <x:row r="969">
      <x:c r="A969" t="str">
        <x:f>IF(B969="","",IF(COUNTIFS('전기원장'!$A$5:$A$1004,B969,'전기원장'!$D$5:$D$1004,E969)&gt;0,"전기","당기"))</x:f>
      </x:c>
      <x:c r="D969" s="67"/>
      <x:c r="G969" s="68"/>
      <x:c r="K969" t="str">
        <x:f>IF(B969="","",IF(I969="확인 필요","붙임 문서 확인 후 거래 성격·기간·상대방·일회성 여부 확인","결의서명과 전기 대비 발생 건수·단가·시점 차이 검토"))</x:f>
      </x:c>
    </x:row>
    <x:row r="970">
      <x:c r="A970" t="str">
        <x:f>IF(B970="","",IF(COUNTIFS('전기원장'!$A$5:$A$1004,B970,'전기원장'!$D$5:$D$1004,E970)&gt;0,"전기","당기"))</x:f>
      </x:c>
      <x:c r="D970" s="67"/>
      <x:c r="G970" s="68"/>
      <x:c r="K970" t="str">
        <x:f>IF(B970="","",IF(I970="확인 필요","붙임 문서 확인 후 거래 성격·기간·상대방·일회성 여부 확인","결의서명과 전기 대비 발생 건수·단가·시점 차이 검토"))</x:f>
      </x:c>
    </x:row>
    <x:row r="971">
      <x:c r="A971" t="str">
        <x:f>IF(B971="","",IF(COUNTIFS('전기원장'!$A$5:$A$1004,B971,'전기원장'!$D$5:$D$1004,E971)&gt;0,"전기","당기"))</x:f>
      </x:c>
      <x:c r="D971" s="67"/>
      <x:c r="G971" s="68"/>
      <x:c r="K971" t="str">
        <x:f>IF(B971="","",IF(I971="확인 필요","붙임 문서 확인 후 거래 성격·기간·상대방·일회성 여부 확인","결의서명과 전기 대비 발생 건수·단가·시점 차이 검토"))</x:f>
      </x:c>
    </x:row>
    <x:row r="972">
      <x:c r="A972" t="str">
        <x:f>IF(B972="","",IF(COUNTIFS('전기원장'!$A$5:$A$1004,B972,'전기원장'!$D$5:$D$1004,E972)&gt;0,"전기","당기"))</x:f>
      </x:c>
      <x:c r="D972" s="67"/>
      <x:c r="G972" s="68"/>
      <x:c r="K972" t="str">
        <x:f>IF(B972="","",IF(I972="확인 필요","붙임 문서 확인 후 거래 성격·기간·상대방·일회성 여부 확인","결의서명과 전기 대비 발생 건수·단가·시점 차이 검토"))</x:f>
      </x:c>
    </x:row>
    <x:row r="973">
      <x:c r="A973" t="str">
        <x:f>IF(B973="","",IF(COUNTIFS('전기원장'!$A$5:$A$1004,B973,'전기원장'!$D$5:$D$1004,E973)&gt;0,"전기","당기"))</x:f>
      </x:c>
      <x:c r="D973" s="67"/>
      <x:c r="G973" s="68"/>
      <x:c r="K973" t="str">
        <x:f>IF(B973="","",IF(I973="확인 필요","붙임 문서 확인 후 거래 성격·기간·상대방·일회성 여부 확인","결의서명과 전기 대비 발생 건수·단가·시점 차이 검토"))</x:f>
      </x:c>
    </x:row>
    <x:row r="974">
      <x:c r="A974" t="str">
        <x:f>IF(B974="","",IF(COUNTIFS('전기원장'!$A$5:$A$1004,B974,'전기원장'!$D$5:$D$1004,E974)&gt;0,"전기","당기"))</x:f>
      </x:c>
      <x:c r="D974" s="67"/>
      <x:c r="G974" s="68"/>
      <x:c r="K974" t="str">
        <x:f>IF(B974="","",IF(I974="확인 필요","붙임 문서 확인 후 거래 성격·기간·상대방·일회성 여부 확인","결의서명과 전기 대비 발생 건수·단가·시점 차이 검토"))</x:f>
      </x:c>
    </x:row>
    <x:row r="975">
      <x:c r="A975" t="str">
        <x:f>IF(B975="","",IF(COUNTIFS('전기원장'!$A$5:$A$1004,B975,'전기원장'!$D$5:$D$1004,E975)&gt;0,"전기","당기"))</x:f>
      </x:c>
      <x:c r="D975" s="67"/>
      <x:c r="G975" s="68"/>
      <x:c r="K975" t="str">
        <x:f>IF(B975="","",IF(I975="확인 필요","붙임 문서 확인 후 거래 성격·기간·상대방·일회성 여부 확인","결의서명과 전기 대비 발생 건수·단가·시점 차이 검토"))</x:f>
      </x:c>
    </x:row>
    <x:row r="976">
      <x:c r="A976" t="str">
        <x:f>IF(B976="","",IF(COUNTIFS('전기원장'!$A$5:$A$1004,B976,'전기원장'!$D$5:$D$1004,E976)&gt;0,"전기","당기"))</x:f>
      </x:c>
      <x:c r="D976" s="67"/>
      <x:c r="G976" s="68"/>
      <x:c r="K976" t="str">
        <x:f>IF(B976="","",IF(I976="확인 필요","붙임 문서 확인 후 거래 성격·기간·상대방·일회성 여부 확인","결의서명과 전기 대비 발생 건수·단가·시점 차이 검토"))</x:f>
      </x:c>
    </x:row>
    <x:row r="977">
      <x:c r="A977" t="str">
        <x:f>IF(B977="","",IF(COUNTIFS('전기원장'!$A$5:$A$1004,B977,'전기원장'!$D$5:$D$1004,E977)&gt;0,"전기","당기"))</x:f>
      </x:c>
      <x:c r="D977" s="67"/>
      <x:c r="G977" s="68"/>
      <x:c r="K977" t="str">
        <x:f>IF(B977="","",IF(I977="확인 필요","붙임 문서 확인 후 거래 성격·기간·상대방·일회성 여부 확인","결의서명과 전기 대비 발생 건수·단가·시점 차이 검토"))</x:f>
      </x:c>
    </x:row>
    <x:row r="978">
      <x:c r="A978" t="str">
        <x:f>IF(B978="","",IF(COUNTIFS('전기원장'!$A$5:$A$1004,B978,'전기원장'!$D$5:$D$1004,E978)&gt;0,"전기","당기"))</x:f>
      </x:c>
      <x:c r="D978" s="67"/>
      <x:c r="G978" s="68"/>
      <x:c r="K978" t="str">
        <x:f>IF(B978="","",IF(I978="확인 필요","붙임 문서 확인 후 거래 성격·기간·상대방·일회성 여부 확인","결의서명과 전기 대비 발생 건수·단가·시점 차이 검토"))</x:f>
      </x:c>
    </x:row>
    <x:row r="979">
      <x:c r="A979" t="str">
        <x:f>IF(B979="","",IF(COUNTIFS('전기원장'!$A$5:$A$1004,B979,'전기원장'!$D$5:$D$1004,E979)&gt;0,"전기","당기"))</x:f>
      </x:c>
      <x:c r="D979" s="67"/>
      <x:c r="G979" s="68"/>
      <x:c r="K979" t="str">
        <x:f>IF(B979="","",IF(I979="확인 필요","붙임 문서 확인 후 거래 성격·기간·상대방·일회성 여부 확인","결의서명과 전기 대비 발생 건수·단가·시점 차이 검토"))</x:f>
      </x:c>
    </x:row>
    <x:row r="980">
      <x:c r="A980" t="str">
        <x:f>IF(B980="","",IF(COUNTIFS('전기원장'!$A$5:$A$1004,B980,'전기원장'!$D$5:$D$1004,E980)&gt;0,"전기","당기"))</x:f>
      </x:c>
      <x:c r="D980" s="67"/>
      <x:c r="G980" s="68"/>
      <x:c r="K980" t="str">
        <x:f>IF(B980="","",IF(I980="확인 필요","붙임 문서 확인 후 거래 성격·기간·상대방·일회성 여부 확인","결의서명과 전기 대비 발생 건수·단가·시점 차이 검토"))</x:f>
      </x:c>
    </x:row>
    <x:row r="981">
      <x:c r="A981" t="str">
        <x:f>IF(B981="","",IF(COUNTIFS('전기원장'!$A$5:$A$1004,B981,'전기원장'!$D$5:$D$1004,E981)&gt;0,"전기","당기"))</x:f>
      </x:c>
      <x:c r="D981" s="67"/>
      <x:c r="G981" s="68"/>
      <x:c r="K981" t="str">
        <x:f>IF(B981="","",IF(I981="확인 필요","붙임 문서 확인 후 거래 성격·기간·상대방·일회성 여부 확인","결의서명과 전기 대비 발생 건수·단가·시점 차이 검토"))</x:f>
      </x:c>
    </x:row>
    <x:row r="982">
      <x:c r="A982" t="str">
        <x:f>IF(B982="","",IF(COUNTIFS('전기원장'!$A$5:$A$1004,B982,'전기원장'!$D$5:$D$1004,E982)&gt;0,"전기","당기"))</x:f>
      </x:c>
      <x:c r="D982" s="67"/>
      <x:c r="G982" s="68"/>
      <x:c r="K982" t="str">
        <x:f>IF(B982="","",IF(I982="확인 필요","붙임 문서 확인 후 거래 성격·기간·상대방·일회성 여부 확인","결의서명과 전기 대비 발생 건수·단가·시점 차이 검토"))</x:f>
      </x:c>
    </x:row>
    <x:row r="983">
      <x:c r="A983" t="str">
        <x:f>IF(B983="","",IF(COUNTIFS('전기원장'!$A$5:$A$1004,B983,'전기원장'!$D$5:$D$1004,E983)&gt;0,"전기","당기"))</x:f>
      </x:c>
      <x:c r="D983" s="67"/>
      <x:c r="G983" s="68"/>
      <x:c r="K983" t="str">
        <x:f>IF(B983="","",IF(I983="확인 필요","붙임 문서 확인 후 거래 성격·기간·상대방·일회성 여부 확인","결의서명과 전기 대비 발생 건수·단가·시점 차이 검토"))</x:f>
      </x:c>
    </x:row>
    <x:row r="984">
      <x:c r="A984" t="str">
        <x:f>IF(B984="","",IF(COUNTIFS('전기원장'!$A$5:$A$1004,B984,'전기원장'!$D$5:$D$1004,E984)&gt;0,"전기","당기"))</x:f>
      </x:c>
      <x:c r="D984" s="67"/>
      <x:c r="G984" s="68"/>
      <x:c r="K984" t="str">
        <x:f>IF(B984="","",IF(I984="확인 필요","붙임 문서 확인 후 거래 성격·기간·상대방·일회성 여부 확인","결의서명과 전기 대비 발생 건수·단가·시점 차이 검토"))</x:f>
      </x:c>
    </x:row>
    <x:row r="985">
      <x:c r="A985" t="str">
        <x:f>IF(B985="","",IF(COUNTIFS('전기원장'!$A$5:$A$1004,B985,'전기원장'!$D$5:$D$1004,E985)&gt;0,"전기","당기"))</x:f>
      </x:c>
      <x:c r="D985" s="67"/>
      <x:c r="G985" s="68"/>
      <x:c r="K985" t="str">
        <x:f>IF(B985="","",IF(I985="확인 필요","붙임 문서 확인 후 거래 성격·기간·상대방·일회성 여부 확인","결의서명과 전기 대비 발생 건수·단가·시점 차이 검토"))</x:f>
      </x:c>
    </x:row>
    <x:row r="986">
      <x:c r="A986" t="str">
        <x:f>IF(B986="","",IF(COUNTIFS('전기원장'!$A$5:$A$1004,B986,'전기원장'!$D$5:$D$1004,E986)&gt;0,"전기","당기"))</x:f>
      </x:c>
      <x:c r="D986" s="67"/>
      <x:c r="G986" s="68"/>
      <x:c r="K986" t="str">
        <x:f>IF(B986="","",IF(I986="확인 필요","붙임 문서 확인 후 거래 성격·기간·상대방·일회성 여부 확인","결의서명과 전기 대비 발생 건수·단가·시점 차이 검토"))</x:f>
      </x:c>
    </x:row>
    <x:row r="987">
      <x:c r="A987" t="str">
        <x:f>IF(B987="","",IF(COUNTIFS('전기원장'!$A$5:$A$1004,B987,'전기원장'!$D$5:$D$1004,E987)&gt;0,"전기","당기"))</x:f>
      </x:c>
      <x:c r="D987" s="67"/>
      <x:c r="G987" s="68"/>
      <x:c r="K987" t="str">
        <x:f>IF(B987="","",IF(I987="확인 필요","붙임 문서 확인 후 거래 성격·기간·상대방·일회성 여부 확인","결의서명과 전기 대비 발생 건수·단가·시점 차이 검토"))</x:f>
      </x:c>
    </x:row>
    <x:row r="988">
      <x:c r="A988" t="str">
        <x:f>IF(B988="","",IF(COUNTIFS('전기원장'!$A$5:$A$1004,B988,'전기원장'!$D$5:$D$1004,E988)&gt;0,"전기","당기"))</x:f>
      </x:c>
      <x:c r="D988" s="67"/>
      <x:c r="G988" s="68"/>
      <x:c r="K988" t="str">
        <x:f>IF(B988="","",IF(I988="확인 필요","붙임 문서 확인 후 거래 성격·기간·상대방·일회성 여부 확인","결의서명과 전기 대비 발생 건수·단가·시점 차이 검토"))</x:f>
      </x:c>
    </x:row>
    <x:row r="989">
      <x:c r="A989" t="str">
        <x:f>IF(B989="","",IF(COUNTIFS('전기원장'!$A$5:$A$1004,B989,'전기원장'!$D$5:$D$1004,E989)&gt;0,"전기","당기"))</x:f>
      </x:c>
      <x:c r="D989" s="67"/>
      <x:c r="G989" s="68"/>
      <x:c r="K989" t="str">
        <x:f>IF(B989="","",IF(I989="확인 필요","붙임 문서 확인 후 거래 성격·기간·상대방·일회성 여부 확인","결의서명과 전기 대비 발생 건수·단가·시점 차이 검토"))</x:f>
      </x:c>
    </x:row>
    <x:row r="990">
      <x:c r="A990" t="str">
        <x:f>IF(B990="","",IF(COUNTIFS('전기원장'!$A$5:$A$1004,B990,'전기원장'!$D$5:$D$1004,E990)&gt;0,"전기","당기"))</x:f>
      </x:c>
      <x:c r="D990" s="67"/>
      <x:c r="G990" s="68"/>
      <x:c r="K990" t="str">
        <x:f>IF(B990="","",IF(I990="확인 필요","붙임 문서 확인 후 거래 성격·기간·상대방·일회성 여부 확인","결의서명과 전기 대비 발생 건수·단가·시점 차이 검토"))</x:f>
      </x:c>
    </x:row>
    <x:row r="991">
      <x:c r="A991" t="str">
        <x:f>IF(B991="","",IF(COUNTIFS('전기원장'!$A$5:$A$1004,B991,'전기원장'!$D$5:$D$1004,E991)&gt;0,"전기","당기"))</x:f>
      </x:c>
      <x:c r="D991" s="67"/>
      <x:c r="G991" s="68"/>
      <x:c r="K991" t="str">
        <x:f>IF(B991="","",IF(I991="확인 필요","붙임 문서 확인 후 거래 성격·기간·상대방·일회성 여부 확인","결의서명과 전기 대비 발생 건수·단가·시점 차이 검토"))</x:f>
      </x:c>
    </x:row>
    <x:row r="992">
      <x:c r="A992" t="str">
        <x:f>IF(B992="","",IF(COUNTIFS('전기원장'!$A$5:$A$1004,B992,'전기원장'!$D$5:$D$1004,E992)&gt;0,"전기","당기"))</x:f>
      </x:c>
      <x:c r="D992" s="67"/>
      <x:c r="G992" s="68"/>
      <x:c r="K992" t="str">
        <x:f>IF(B992="","",IF(I992="확인 필요","붙임 문서 확인 후 거래 성격·기간·상대방·일회성 여부 확인","결의서명과 전기 대비 발생 건수·단가·시점 차이 검토"))</x:f>
      </x:c>
    </x:row>
    <x:row r="993">
      <x:c r="A993" t="str">
        <x:f>IF(B993="","",IF(COUNTIFS('전기원장'!$A$5:$A$1004,B993,'전기원장'!$D$5:$D$1004,E993)&gt;0,"전기","당기"))</x:f>
      </x:c>
      <x:c r="D993" s="67"/>
      <x:c r="G993" s="68"/>
      <x:c r="K993" t="str">
        <x:f>IF(B993="","",IF(I993="확인 필요","붙임 문서 확인 후 거래 성격·기간·상대방·일회성 여부 확인","결의서명과 전기 대비 발생 건수·단가·시점 차이 검토"))</x:f>
      </x:c>
    </x:row>
    <x:row r="994">
      <x:c r="A994" t="str">
        <x:f>IF(B994="","",IF(COUNTIFS('전기원장'!$A$5:$A$1004,B994,'전기원장'!$D$5:$D$1004,E994)&gt;0,"전기","당기"))</x:f>
      </x:c>
      <x:c r="D994" s="67"/>
      <x:c r="G994" s="68"/>
      <x:c r="K994" t="str">
        <x:f>IF(B994="","",IF(I994="확인 필요","붙임 문서 확인 후 거래 성격·기간·상대방·일회성 여부 확인","결의서명과 전기 대비 발생 건수·단가·시점 차이 검토"))</x:f>
      </x:c>
    </x:row>
    <x:row r="995">
      <x:c r="A995" t="str">
        <x:f>IF(B995="","",IF(COUNTIFS('전기원장'!$A$5:$A$1004,B995,'전기원장'!$D$5:$D$1004,E995)&gt;0,"전기","당기"))</x:f>
      </x:c>
      <x:c r="D995" s="67"/>
      <x:c r="G995" s="68"/>
      <x:c r="K995" t="str">
        <x:f>IF(B995="","",IF(I995="확인 필요","붙임 문서 확인 후 거래 성격·기간·상대방·일회성 여부 확인","결의서명과 전기 대비 발생 건수·단가·시점 차이 검토"))</x:f>
      </x:c>
    </x:row>
    <x:row r="996">
      <x:c r="A996" t="str">
        <x:f>IF(B996="","",IF(COUNTIFS('전기원장'!$A$5:$A$1004,B996,'전기원장'!$D$5:$D$1004,E996)&gt;0,"전기","당기"))</x:f>
      </x:c>
      <x:c r="D996" s="67"/>
      <x:c r="G996" s="68"/>
      <x:c r="K996" t="str">
        <x:f>IF(B996="","",IF(I996="확인 필요","붙임 문서 확인 후 거래 성격·기간·상대방·일회성 여부 확인","결의서명과 전기 대비 발생 건수·단가·시점 차이 검토"))</x:f>
      </x:c>
    </x:row>
    <x:row r="997">
      <x:c r="A997" t="str">
        <x:f>IF(B997="","",IF(COUNTIFS('전기원장'!$A$5:$A$1004,B997,'전기원장'!$D$5:$D$1004,E997)&gt;0,"전기","당기"))</x:f>
      </x:c>
      <x:c r="D997" s="67"/>
      <x:c r="G997" s="68"/>
      <x:c r="K997" t="str">
        <x:f>IF(B997="","",IF(I997="확인 필요","붙임 문서 확인 후 거래 성격·기간·상대방·일회성 여부 확인","결의서명과 전기 대비 발생 건수·단가·시점 차이 검토"))</x:f>
      </x:c>
    </x:row>
    <x:row r="998">
      <x:c r="A998" t="str">
        <x:f>IF(B998="","",IF(COUNTIFS('전기원장'!$A$5:$A$1004,B998,'전기원장'!$D$5:$D$1004,E998)&gt;0,"전기","당기"))</x:f>
      </x:c>
      <x:c r="D998" s="67"/>
      <x:c r="G998" s="68"/>
      <x:c r="K998" t="str">
        <x:f>IF(B998="","",IF(I998="확인 필요","붙임 문서 확인 후 거래 성격·기간·상대방·일회성 여부 확인","결의서명과 전기 대비 발생 건수·단가·시점 차이 검토"))</x:f>
      </x:c>
    </x:row>
    <x:row r="999">
      <x:c r="A999" t="str">
        <x:f>IF(B999="","",IF(COUNTIFS('전기원장'!$A$5:$A$1004,B999,'전기원장'!$D$5:$D$1004,E999)&gt;0,"전기","당기"))</x:f>
      </x:c>
      <x:c r="D999" s="67"/>
      <x:c r="G999" s="68"/>
      <x:c r="K999" t="str">
        <x:f>IF(B999="","",IF(I999="확인 필요","붙임 문서 확인 후 거래 성격·기간·상대방·일회성 여부 확인","결의서명과 전기 대비 발생 건수·단가·시점 차이 검토"))</x:f>
      </x:c>
    </x:row>
    <x:row r="1000">
      <x:c r="A1000" t="str">
        <x:f>IF(B1000="","",IF(COUNTIFS('전기원장'!$A$5:$A$1004,B1000,'전기원장'!$D$5:$D$1004,E1000)&gt;0,"전기","당기"))</x:f>
      </x:c>
      <x:c r="D1000" s="67"/>
      <x:c r="G1000" s="68"/>
      <x:c r="K1000" t="str">
        <x:f>IF(B1000="","",IF(I1000="확인 필요","붙임 문서 확인 후 거래 성격·기간·상대방·일회성 여부 확인","결의서명과 전기 대비 발생 건수·단가·시점 차이 검토"))</x:f>
      </x:c>
    </x:row>
    <x:row r="1001">
      <x:c r="A1001" t="str">
        <x:f>IF(B1001="","",IF(COUNTIFS('전기원장'!$A$5:$A$1004,B1001,'전기원장'!$D$5:$D$1004,E1001)&gt;0,"전기","당기"))</x:f>
      </x:c>
      <x:c r="D1001" s="67"/>
      <x:c r="G1001" s="68"/>
      <x:c r="K1001" t="str">
        <x:f>IF(B1001="","",IF(I1001="확인 필요","붙임 문서 확인 후 거래 성격·기간·상대방·일회성 여부 확인","결의서명과 전기 대비 발생 건수·단가·시점 차이 검토"))</x:f>
      </x:c>
    </x:row>
    <x:row r="1002">
      <x:c r="A1002" t="str">
        <x:f>IF(B1002="","",IF(COUNTIFS('전기원장'!$A$5:$A$1004,B1002,'전기원장'!$D$5:$D$1004,E1002)&gt;0,"전기","당기"))</x:f>
      </x:c>
      <x:c r="D1002" s="67"/>
      <x:c r="G1002" s="68"/>
      <x:c r="K1002" t="str">
        <x:f>IF(B1002="","",IF(I1002="확인 필요","붙임 문서 확인 후 거래 성격·기간·상대방·일회성 여부 확인","결의서명과 전기 대비 발생 건수·단가·시점 차이 검토"))</x:f>
      </x:c>
    </x:row>
    <x:row r="1003">
      <x:c r="A1003" t="str">
        <x:f>IF(B1003="","",IF(COUNTIFS('전기원장'!$A$5:$A$1004,B1003,'전기원장'!$D$5:$D$1004,E1003)&gt;0,"전기","당기"))</x:f>
      </x:c>
      <x:c r="D1003" s="67"/>
      <x:c r="G1003" s="68"/>
      <x:c r="K1003" t="str">
        <x:f>IF(B1003="","",IF(I1003="확인 필요","붙임 문서 확인 후 거래 성격·기간·상대방·일회성 여부 확인","결의서명과 전기 대비 발생 건수·단가·시점 차이 검토"))</x:f>
      </x:c>
    </x:row>
    <x:row r="1004">
      <x:c r="A1004" t="str">
        <x:f>IF(B1004="","",IF(COUNTIFS('전기원장'!$A$5:$A$1004,B1004,'전기원장'!$D$5:$D$1004,E1004)&gt;0,"전기","당기"))</x:f>
      </x:c>
      <x:c r="D1004" s="67"/>
      <x:c r="G1004" s="68"/>
      <x:c r="K1004" t="str">
        <x:f>IF(B1004="","",IF(I1004="확인 필요","붙임 문서 확인 후 거래 성격·기간·상대방·일회성 여부 확인","결의서명과 전기 대비 발생 건수·단가·시점 차이 검토"))</x:f>
      </x:c>
    </x:row>
    <x:row r="1005">
      <x:c r="A1005" t="str">
        <x:f>IF(B1005="","",IF(COUNTIFS('전기원장'!$A$5:$A$1004,B1005,'전기원장'!$D$5:$D$1004,E1005)&gt;0,"전기","당기"))</x:f>
      </x:c>
      <x:c r="D1005" s="67"/>
      <x:c r="G1005" s="68"/>
      <x:c r="K1005" t="str">
        <x:f>IF(B1005="","",IF(I1005="확인 필요","붙임 문서 확인 후 거래 성격·기간·상대방·일회성 여부 확인","결의서명과 전기 대비 발생 건수·단가·시점 차이 검토"))</x:f>
      </x:c>
    </x:row>
    <x:row r="1006">
      <x:c r="A1006" t="str">
        <x:f>IF(B1006="","",IF(COUNTIFS('전기원장'!$A$5:$A$1004,B1006,'전기원장'!$D$5:$D$1004,E1006)&gt;0,"전기","당기"))</x:f>
      </x:c>
      <x:c r="D1006" s="67"/>
      <x:c r="G1006" s="68"/>
      <x:c r="K1006" t="str">
        <x:f>IF(B1006="","",IF(I1006="확인 필요","붙임 문서 확인 후 거래 성격·기간·상대방·일회성 여부 확인","결의서명과 전기 대비 발생 건수·단가·시점 차이 검토"))</x:f>
      </x:c>
    </x:row>
    <x:row r="1007">
      <x:c r="A1007" t="str">
        <x:f>IF(B1007="","",IF(COUNTIFS('전기원장'!$A$5:$A$1004,B1007,'전기원장'!$D$5:$D$1004,E1007)&gt;0,"전기","당기"))</x:f>
      </x:c>
      <x:c r="D1007" s="67"/>
      <x:c r="G1007" s="68"/>
      <x:c r="K1007" t="str">
        <x:f>IF(B1007="","",IF(I1007="확인 필요","붙임 문서 확인 후 거래 성격·기간·상대방·일회성 여부 확인","결의서명과 전기 대비 발생 건수·단가·시점 차이 검토"))</x:f>
      </x:c>
    </x:row>
    <x:row r="1008">
      <x:c r="A1008" t="str">
        <x:f>IF(B1008="","",IF(COUNTIFS('전기원장'!$A$5:$A$1004,B1008,'전기원장'!$D$5:$D$1004,E1008)&gt;0,"전기","당기"))</x:f>
      </x:c>
      <x:c r="D1008" s="67"/>
      <x:c r="G1008" s="68"/>
      <x:c r="K1008" t="str">
        <x:f>IF(B1008="","",IF(I1008="확인 필요","붙임 문서 확인 후 거래 성격·기간·상대방·일회성 여부 확인","결의서명과 전기 대비 발생 건수·단가·시점 차이 검토"))</x:f>
      </x:c>
    </x:row>
    <x:row r="1009">
      <x:c r="A1009" t="str">
        <x:f>IF(B1009="","",IF(COUNTIFS('전기원장'!$A$5:$A$1004,B1009,'전기원장'!$D$5:$D$1004,E1009)&gt;0,"전기","당기"))</x:f>
      </x:c>
      <x:c r="D1009" s="67"/>
      <x:c r="G1009" s="68"/>
      <x:c r="K1009" t="str">
        <x:f>IF(B1009="","",IF(I1009="확인 필요","붙임 문서 확인 후 거래 성격·기간·상대방·일회성 여부 확인","결의서명과 전기 대비 발생 건수·단가·시점 차이 검토"))</x:f>
      </x:c>
    </x:row>
    <x:row r="1010">
      <x:c r="A1010" t="str">
        <x:f>IF(B1010="","",IF(COUNTIFS('전기원장'!$A$5:$A$1004,B1010,'전기원장'!$D$5:$D$1004,E1010)&gt;0,"전기","당기"))</x:f>
      </x:c>
      <x:c r="D1010" s="67"/>
      <x:c r="G1010" s="68"/>
      <x:c r="K1010" t="str">
        <x:f>IF(B1010="","",IF(I1010="확인 필요","붙임 문서 확인 후 거래 성격·기간·상대방·일회성 여부 확인","결의서명과 전기 대비 발생 건수·단가·시점 차이 검토"))</x:f>
      </x:c>
    </x:row>
    <x:row r="1011">
      <x:c r="A1011" t="str">
        <x:f>IF(B1011="","",IF(COUNTIFS('전기원장'!$A$5:$A$1004,B1011,'전기원장'!$D$5:$D$1004,E1011)&gt;0,"전기","당기"))</x:f>
      </x:c>
      <x:c r="D1011" s="67"/>
      <x:c r="G1011" s="68"/>
      <x:c r="K1011" t="str">
        <x:f>IF(B1011="","",IF(I1011="확인 필요","붙임 문서 확인 후 거래 성격·기간·상대방·일회성 여부 확인","결의서명과 전기 대비 발생 건수·단가·시점 차이 검토"))</x:f>
      </x:c>
    </x:row>
    <x:row r="1012">
      <x:c r="A1012" t="str">
        <x:f>IF(B1012="","",IF(COUNTIFS('전기원장'!$A$5:$A$1004,B1012,'전기원장'!$D$5:$D$1004,E1012)&gt;0,"전기","당기"))</x:f>
      </x:c>
      <x:c r="D1012" s="67"/>
      <x:c r="G1012" s="68"/>
      <x:c r="K1012" t="str">
        <x:f>IF(B1012="","",IF(I1012="확인 필요","붙임 문서 확인 후 거래 성격·기간·상대방·일회성 여부 확인","결의서명과 전기 대비 발생 건수·단가·시점 차이 검토"))</x:f>
      </x:c>
    </x:row>
    <x:row r="1013">
      <x:c r="A1013" t="str">
        <x:f>IF(B1013="","",IF(COUNTIFS('전기원장'!$A$5:$A$1004,B1013,'전기원장'!$D$5:$D$1004,E1013)&gt;0,"전기","당기"))</x:f>
      </x:c>
      <x:c r="D1013" s="67"/>
      <x:c r="G1013" s="68"/>
      <x:c r="K1013" t="str">
        <x:f>IF(B1013="","",IF(I1013="확인 필요","붙임 문서 확인 후 거래 성격·기간·상대방·일회성 여부 확인","결의서명과 전기 대비 발생 건수·단가·시점 차이 검토"))</x:f>
      </x:c>
    </x:row>
    <x:row r="1014">
      <x:c r="A1014" t="str">
        <x:f>IF(B1014="","",IF(COUNTIFS('전기원장'!$A$5:$A$1004,B1014,'전기원장'!$D$5:$D$1004,E1014)&gt;0,"전기","당기"))</x:f>
      </x:c>
      <x:c r="D1014" s="67"/>
      <x:c r="G1014" s="68"/>
      <x:c r="K1014" t="str">
        <x:f>IF(B1014="","",IF(I1014="확인 필요","붙임 문서 확인 후 거래 성격·기간·상대방·일회성 여부 확인","결의서명과 전기 대비 발생 건수·단가·시점 차이 검토"))</x:f>
      </x:c>
    </x:row>
    <x:row r="1015">
      <x:c r="A1015" t="str">
        <x:f>IF(B1015="","",IF(COUNTIFS('전기원장'!$A$5:$A$1004,B1015,'전기원장'!$D$5:$D$1004,E1015)&gt;0,"전기","당기"))</x:f>
      </x:c>
      <x:c r="D1015" s="67"/>
      <x:c r="G1015" s="68"/>
      <x:c r="K1015" t="str">
        <x:f>IF(B1015="","",IF(I1015="확인 필요","붙임 문서 확인 후 거래 성격·기간·상대방·일회성 여부 확인","결의서명과 전기 대비 발생 건수·단가·시점 차이 검토"))</x:f>
      </x:c>
    </x:row>
    <x:row r="1016">
      <x:c r="A1016" t="str">
        <x:f>IF(B1016="","",IF(COUNTIFS('전기원장'!$A$5:$A$1004,B1016,'전기원장'!$D$5:$D$1004,E1016)&gt;0,"전기","당기"))</x:f>
      </x:c>
      <x:c r="D1016" s="67"/>
      <x:c r="G1016" s="68"/>
      <x:c r="K1016" t="str">
        <x:f>IF(B1016="","",IF(I1016="확인 필요","붙임 문서 확인 후 거래 성격·기간·상대방·일회성 여부 확인","결의서명과 전기 대비 발생 건수·단가·시점 차이 검토"))</x:f>
      </x:c>
    </x:row>
    <x:row r="1017">
      <x:c r="A1017" t="str">
        <x:f>IF(B1017="","",IF(COUNTIFS('전기원장'!$A$5:$A$1004,B1017,'전기원장'!$D$5:$D$1004,E1017)&gt;0,"전기","당기"))</x:f>
      </x:c>
      <x:c r="D1017" s="67"/>
      <x:c r="G1017" s="68"/>
      <x:c r="K1017" t="str">
        <x:f>IF(B1017="","",IF(I1017="확인 필요","붙임 문서 확인 후 거래 성격·기간·상대방·일회성 여부 확인","결의서명과 전기 대비 발생 건수·단가·시점 차이 검토"))</x:f>
      </x:c>
    </x:row>
    <x:row r="1018">
      <x:c r="A1018" t="str">
        <x:f>IF(B1018="","",IF(COUNTIFS('전기원장'!$A$5:$A$1004,B1018,'전기원장'!$D$5:$D$1004,E1018)&gt;0,"전기","당기"))</x:f>
      </x:c>
      <x:c r="D1018" s="67"/>
      <x:c r="G1018" s="68"/>
      <x:c r="K1018" t="str">
        <x:f>IF(B1018="","",IF(I1018="확인 필요","붙임 문서 확인 후 거래 성격·기간·상대방·일회성 여부 확인","결의서명과 전기 대비 발생 건수·단가·시점 차이 검토"))</x:f>
      </x:c>
    </x:row>
    <x:row r="1019">
      <x:c r="A1019" t="str">
        <x:f>IF(B1019="","",IF(COUNTIFS('전기원장'!$A$5:$A$1004,B1019,'전기원장'!$D$5:$D$1004,E1019)&gt;0,"전기","당기"))</x:f>
      </x:c>
      <x:c r="D1019" s="67"/>
      <x:c r="G1019" s="68"/>
      <x:c r="K1019" t="str">
        <x:f>IF(B1019="","",IF(I1019="확인 필요","붙임 문서 확인 후 거래 성격·기간·상대방·일회성 여부 확인","결의서명과 전기 대비 발생 건수·단가·시점 차이 검토"))</x:f>
      </x:c>
    </x:row>
    <x:row r="1020">
      <x:c r="A1020" t="str">
        <x:f>IF(B1020="","",IF(COUNTIFS('전기원장'!$A$5:$A$1004,B1020,'전기원장'!$D$5:$D$1004,E1020)&gt;0,"전기","당기"))</x:f>
      </x:c>
      <x:c r="D1020" s="67"/>
      <x:c r="G1020" s="68"/>
      <x:c r="K1020" t="str">
        <x:f>IF(B1020="","",IF(I1020="확인 필요","붙임 문서 확인 후 거래 성격·기간·상대방·일회성 여부 확인","결의서명과 전기 대비 발생 건수·단가·시점 차이 검토"))</x:f>
      </x:c>
    </x:row>
    <x:row r="1021">
      <x:c r="A1021" t="str">
        <x:f>IF(B1021="","",IF(COUNTIFS('전기원장'!$A$5:$A$1004,B1021,'전기원장'!$D$5:$D$1004,E1021)&gt;0,"전기","당기"))</x:f>
      </x:c>
      <x:c r="D1021" s="67"/>
      <x:c r="G1021" s="68"/>
      <x:c r="K1021" t="str">
        <x:f>IF(B1021="","",IF(I1021="확인 필요","붙임 문서 확인 후 거래 성격·기간·상대방·일회성 여부 확인","결의서명과 전기 대비 발생 건수·단가·시점 차이 검토"))</x:f>
      </x:c>
    </x:row>
    <x:row r="1022">
      <x:c r="A1022" t="str">
        <x:f>IF(B1022="","",IF(COUNTIFS('전기원장'!$A$5:$A$1004,B1022,'전기원장'!$D$5:$D$1004,E1022)&gt;0,"전기","당기"))</x:f>
      </x:c>
      <x:c r="D1022" s="67"/>
      <x:c r="G1022" s="68"/>
      <x:c r="K1022" t="str">
        <x:f>IF(B1022="","",IF(I1022="확인 필요","붙임 문서 확인 후 거래 성격·기간·상대방·일회성 여부 확인","결의서명과 전기 대비 발생 건수·단가·시점 차이 검토"))</x:f>
      </x:c>
    </x:row>
    <x:row r="1023">
      <x:c r="A1023" t="str">
        <x:f>IF(B1023="","",IF(COUNTIFS('전기원장'!$A$5:$A$1004,B1023,'전기원장'!$D$5:$D$1004,E1023)&gt;0,"전기","당기"))</x:f>
      </x:c>
      <x:c r="D1023" s="67"/>
      <x:c r="G1023" s="68"/>
      <x:c r="K1023" t="str">
        <x:f>IF(B1023="","",IF(I1023="확인 필요","붙임 문서 확인 후 거래 성격·기간·상대방·일회성 여부 확인","결의서명과 전기 대비 발생 건수·단가·시점 차이 검토"))</x:f>
      </x:c>
    </x:row>
    <x:row r="1024">
      <x:c r="A1024" t="str">
        <x:f>IF(B1024="","",IF(COUNTIFS('전기원장'!$A$5:$A$1004,B1024,'전기원장'!$D$5:$D$1004,E1024)&gt;0,"전기","당기"))</x:f>
      </x:c>
      <x:c r="D1024" s="67"/>
      <x:c r="G1024" s="68"/>
      <x:c r="K1024" t="str">
        <x:f>IF(B1024="","",IF(I1024="확인 필요","붙임 문서 확인 후 거래 성격·기간·상대방·일회성 여부 확인","결의서명과 전기 대비 발생 건수·단가·시점 차이 검토"))</x:f>
      </x:c>
    </x:row>
    <x:row r="1025">
      <x:c r="A1025" t="str">
        <x:f>IF(B1025="","",IF(COUNTIFS('전기원장'!$A$5:$A$1004,B1025,'전기원장'!$D$5:$D$1004,E1025)&gt;0,"전기","당기"))</x:f>
      </x:c>
      <x:c r="D1025" s="67"/>
      <x:c r="G1025" s="68"/>
      <x:c r="K1025" t="str">
        <x:f>IF(B1025="","",IF(I1025="확인 필요","붙임 문서 확인 후 거래 성격·기간·상대방·일회성 여부 확인","결의서명과 전기 대비 발생 건수·단가·시점 차이 검토"))</x:f>
      </x:c>
    </x:row>
    <x:row r="1026">
      <x:c r="A1026" t="str">
        <x:f>IF(B1026="","",IF(COUNTIFS('전기원장'!$A$5:$A$1004,B1026,'전기원장'!$D$5:$D$1004,E1026)&gt;0,"전기","당기"))</x:f>
      </x:c>
      <x:c r="D1026" s="67"/>
      <x:c r="G1026" s="68"/>
      <x:c r="K1026" t="str">
        <x:f>IF(B1026="","",IF(I1026="확인 필요","붙임 문서 확인 후 거래 성격·기간·상대방·일회성 여부 확인","결의서명과 전기 대비 발생 건수·단가·시점 차이 검토"))</x:f>
      </x:c>
    </x:row>
    <x:row r="1027">
      <x:c r="A1027" t="str">
        <x:f>IF(B1027="","",IF(COUNTIFS('전기원장'!$A$5:$A$1004,B1027,'전기원장'!$D$5:$D$1004,E1027)&gt;0,"전기","당기"))</x:f>
      </x:c>
      <x:c r="D1027" s="67"/>
      <x:c r="G1027" s="68"/>
      <x:c r="K1027" t="str">
        <x:f>IF(B1027="","",IF(I1027="확인 필요","붙임 문서 확인 후 거래 성격·기간·상대방·일회성 여부 확인","결의서명과 전기 대비 발생 건수·단가·시점 차이 검토"))</x:f>
      </x:c>
    </x:row>
    <x:row r="1028">
      <x:c r="A1028" t="str">
        <x:f>IF(B1028="","",IF(COUNTIFS('전기원장'!$A$5:$A$1004,B1028,'전기원장'!$D$5:$D$1004,E1028)&gt;0,"전기","당기"))</x:f>
      </x:c>
      <x:c r="D1028" s="67"/>
      <x:c r="G1028" s="68"/>
      <x:c r="K1028" t="str">
        <x:f>IF(B1028="","",IF(I1028="확인 필요","붙임 문서 확인 후 거래 성격·기간·상대방·일회성 여부 확인","결의서명과 전기 대비 발생 건수·단가·시점 차이 검토"))</x:f>
      </x:c>
    </x:row>
    <x:row r="1029">
      <x:c r="A1029" t="str">
        <x:f>IF(B1029="","",IF(COUNTIFS('전기원장'!$A$5:$A$1004,B1029,'전기원장'!$D$5:$D$1004,E1029)&gt;0,"전기","당기"))</x:f>
      </x:c>
      <x:c r="D1029" s="67"/>
      <x:c r="G1029" s="68"/>
      <x:c r="K1029" t="str">
        <x:f>IF(B1029="","",IF(I1029="확인 필요","붙임 문서 확인 후 거래 성격·기간·상대방·일회성 여부 확인","결의서명과 전기 대비 발생 건수·단가·시점 차이 검토"))</x:f>
      </x:c>
    </x:row>
    <x:row r="1030">
      <x:c r="A1030" t="str">
        <x:f>IF(B1030="","",IF(COUNTIFS('전기원장'!$A$5:$A$1004,B1030,'전기원장'!$D$5:$D$1004,E1030)&gt;0,"전기","당기"))</x:f>
      </x:c>
      <x:c r="D1030" s="67"/>
      <x:c r="G1030" s="68"/>
      <x:c r="K1030" t="str">
        <x:f>IF(B1030="","",IF(I1030="확인 필요","붙임 문서 확인 후 거래 성격·기간·상대방·일회성 여부 확인","결의서명과 전기 대비 발생 건수·단가·시점 차이 검토"))</x:f>
      </x:c>
    </x:row>
    <x:row r="1031">
      <x:c r="A1031" t="str">
        <x:f>IF(B1031="","",IF(COUNTIFS('전기원장'!$A$5:$A$1004,B1031,'전기원장'!$D$5:$D$1004,E1031)&gt;0,"전기","당기"))</x:f>
      </x:c>
      <x:c r="D1031" s="67"/>
      <x:c r="G1031" s="68"/>
      <x:c r="K1031" t="str">
        <x:f>IF(B1031="","",IF(I1031="확인 필요","붙임 문서 확인 후 거래 성격·기간·상대방·일회성 여부 확인","결의서명과 전기 대비 발생 건수·단가·시점 차이 검토"))</x:f>
      </x:c>
    </x:row>
    <x:row r="1032">
      <x:c r="A1032" t="str">
        <x:f>IF(B1032="","",IF(COUNTIFS('전기원장'!$A$5:$A$1004,B1032,'전기원장'!$D$5:$D$1004,E1032)&gt;0,"전기","당기"))</x:f>
      </x:c>
      <x:c r="D1032" s="67"/>
      <x:c r="G1032" s="68"/>
      <x:c r="K1032" t="str">
        <x:f>IF(B1032="","",IF(I1032="확인 필요","붙임 문서 확인 후 거래 성격·기간·상대방·일회성 여부 확인","결의서명과 전기 대비 발생 건수·단가·시점 차이 검토"))</x:f>
      </x:c>
    </x:row>
    <x:row r="1033">
      <x:c r="A1033" t="str">
        <x:f>IF(B1033="","",IF(COUNTIFS('전기원장'!$A$5:$A$1004,B1033,'전기원장'!$D$5:$D$1004,E1033)&gt;0,"전기","당기"))</x:f>
      </x:c>
      <x:c r="D1033" s="67"/>
      <x:c r="G1033" s="68"/>
      <x:c r="K1033" t="str">
        <x:f>IF(B1033="","",IF(I1033="확인 필요","붙임 문서 확인 후 거래 성격·기간·상대방·일회성 여부 확인","결의서명과 전기 대비 발생 건수·단가·시점 차이 검토"))</x:f>
      </x:c>
    </x:row>
    <x:row r="1034">
      <x:c r="A1034" t="str">
        <x:f>IF(B1034="","",IF(COUNTIFS('전기원장'!$A$5:$A$1004,B1034,'전기원장'!$D$5:$D$1004,E1034)&gt;0,"전기","당기"))</x:f>
      </x:c>
      <x:c r="D1034" s="67"/>
      <x:c r="G1034" s="68"/>
      <x:c r="K1034" t="str">
        <x:f>IF(B1034="","",IF(I1034="확인 필요","붙임 문서 확인 후 거래 성격·기간·상대방·일회성 여부 확인","결의서명과 전기 대비 발생 건수·단가·시점 차이 검토"))</x:f>
      </x:c>
    </x:row>
    <x:row r="1035">
      <x:c r="A1035" t="str">
        <x:f>IF(B1035="","",IF(COUNTIFS('전기원장'!$A$5:$A$1004,B1035,'전기원장'!$D$5:$D$1004,E1035)&gt;0,"전기","당기"))</x:f>
      </x:c>
      <x:c r="D1035" s="67"/>
      <x:c r="G1035" s="68"/>
      <x:c r="K1035" t="str">
        <x:f>IF(B1035="","",IF(I1035="확인 필요","붙임 문서 확인 후 거래 성격·기간·상대방·일회성 여부 확인","결의서명과 전기 대비 발생 건수·단가·시점 차이 검토"))</x:f>
      </x:c>
    </x:row>
    <x:row r="1036">
      <x:c r="A1036" t="str">
        <x:f>IF(B1036="","",IF(COUNTIFS('전기원장'!$A$5:$A$1004,B1036,'전기원장'!$D$5:$D$1004,E1036)&gt;0,"전기","당기"))</x:f>
      </x:c>
      <x:c r="D1036" s="67"/>
      <x:c r="G1036" s="68"/>
      <x:c r="K1036" t="str">
        <x:f>IF(B1036="","",IF(I1036="확인 필요","붙임 문서 확인 후 거래 성격·기간·상대방·일회성 여부 확인","결의서명과 전기 대비 발생 건수·단가·시점 차이 검토"))</x:f>
      </x:c>
    </x:row>
    <x:row r="1037">
      <x:c r="A1037" t="str">
        <x:f>IF(B1037="","",IF(COUNTIFS('전기원장'!$A$5:$A$1004,B1037,'전기원장'!$D$5:$D$1004,E1037)&gt;0,"전기","당기"))</x:f>
      </x:c>
      <x:c r="D1037" s="67"/>
      <x:c r="G1037" s="68"/>
      <x:c r="K1037" t="str">
        <x:f>IF(B1037="","",IF(I1037="확인 필요","붙임 문서 확인 후 거래 성격·기간·상대방·일회성 여부 확인","결의서명과 전기 대비 발생 건수·단가·시점 차이 검토"))</x:f>
      </x:c>
    </x:row>
    <x:row r="1038">
      <x:c r="A1038" t="str">
        <x:f>IF(B1038="","",IF(COUNTIFS('전기원장'!$A$5:$A$1004,B1038,'전기원장'!$D$5:$D$1004,E1038)&gt;0,"전기","당기"))</x:f>
      </x:c>
      <x:c r="D1038" s="67"/>
      <x:c r="G1038" s="68"/>
      <x:c r="K1038" t="str">
        <x:f>IF(B1038="","",IF(I1038="확인 필요","붙임 문서 확인 후 거래 성격·기간·상대방·일회성 여부 확인","결의서명과 전기 대비 발생 건수·단가·시점 차이 검토"))</x:f>
      </x:c>
    </x:row>
    <x:row r="1039">
      <x:c r="A1039" t="str">
        <x:f>IF(B1039="","",IF(COUNTIFS('전기원장'!$A$5:$A$1004,B1039,'전기원장'!$D$5:$D$1004,E1039)&gt;0,"전기","당기"))</x:f>
      </x:c>
      <x:c r="D1039" s="67"/>
      <x:c r="G1039" s="68"/>
      <x:c r="K1039" t="str">
        <x:f>IF(B1039="","",IF(I1039="확인 필요","붙임 문서 확인 후 거래 성격·기간·상대방·일회성 여부 확인","결의서명과 전기 대비 발생 건수·단가·시점 차이 검토"))</x:f>
      </x:c>
    </x:row>
    <x:row r="1040">
      <x:c r="A1040" t="str">
        <x:f>IF(B1040="","",IF(COUNTIFS('전기원장'!$A$5:$A$1004,B1040,'전기원장'!$D$5:$D$1004,E1040)&gt;0,"전기","당기"))</x:f>
      </x:c>
      <x:c r="D1040" s="67"/>
      <x:c r="G1040" s="68"/>
      <x:c r="K1040" t="str">
        <x:f>IF(B1040="","",IF(I1040="확인 필요","붙임 문서 확인 후 거래 성격·기간·상대방·일회성 여부 확인","결의서명과 전기 대비 발생 건수·단가·시점 차이 검토"))</x:f>
      </x:c>
    </x:row>
    <x:row r="1041">
      <x:c r="A1041" t="str">
        <x:f>IF(B1041="","",IF(COUNTIFS('전기원장'!$A$5:$A$1004,B1041,'전기원장'!$D$5:$D$1004,E1041)&gt;0,"전기","당기"))</x:f>
      </x:c>
      <x:c r="D1041" s="67"/>
      <x:c r="G1041" s="68"/>
      <x:c r="K1041" t="str">
        <x:f>IF(B1041="","",IF(I1041="확인 필요","붙임 문서 확인 후 거래 성격·기간·상대방·일회성 여부 확인","결의서명과 전기 대비 발생 건수·단가·시점 차이 검토"))</x:f>
      </x:c>
    </x:row>
    <x:row r="1042">
      <x:c r="A1042" t="str">
        <x:f>IF(B1042="","",IF(COUNTIFS('전기원장'!$A$5:$A$1004,B1042,'전기원장'!$D$5:$D$1004,E1042)&gt;0,"전기","당기"))</x:f>
      </x:c>
      <x:c r="D1042" s="67"/>
      <x:c r="G1042" s="68"/>
      <x:c r="K1042" t="str">
        <x:f>IF(B1042="","",IF(I1042="확인 필요","붙임 문서 확인 후 거래 성격·기간·상대방·일회성 여부 확인","결의서명과 전기 대비 발생 건수·단가·시점 차이 검토"))</x:f>
      </x:c>
    </x:row>
    <x:row r="1043">
      <x:c r="A1043" t="str">
        <x:f>IF(B1043="","",IF(COUNTIFS('전기원장'!$A$5:$A$1004,B1043,'전기원장'!$D$5:$D$1004,E1043)&gt;0,"전기","당기"))</x:f>
      </x:c>
      <x:c r="D1043" s="67"/>
      <x:c r="G1043" s="68"/>
      <x:c r="K1043" t="str">
        <x:f>IF(B1043="","",IF(I1043="확인 필요","붙임 문서 확인 후 거래 성격·기간·상대방·일회성 여부 확인","결의서명과 전기 대비 발생 건수·단가·시점 차이 검토"))</x:f>
      </x:c>
    </x:row>
    <x:row r="1044">
      <x:c r="A1044" t="str">
        <x:f>IF(B1044="","",IF(COUNTIFS('전기원장'!$A$5:$A$1004,B1044,'전기원장'!$D$5:$D$1004,E1044)&gt;0,"전기","당기"))</x:f>
      </x:c>
      <x:c r="D1044" s="67"/>
      <x:c r="G1044" s="68"/>
      <x:c r="K1044" t="str">
        <x:f>IF(B1044="","",IF(I1044="확인 필요","붙임 문서 확인 후 거래 성격·기간·상대방·일회성 여부 확인","결의서명과 전기 대비 발생 건수·단가·시점 차이 검토"))</x:f>
      </x:c>
    </x:row>
    <x:row r="1045">
      <x:c r="A1045" t="str">
        <x:f>IF(B1045="","",IF(COUNTIFS('전기원장'!$A$5:$A$1004,B1045,'전기원장'!$D$5:$D$1004,E1045)&gt;0,"전기","당기"))</x:f>
      </x:c>
      <x:c r="D1045" s="67"/>
      <x:c r="G1045" s="68"/>
      <x:c r="K1045" t="str">
        <x:f>IF(B1045="","",IF(I1045="확인 필요","붙임 문서 확인 후 거래 성격·기간·상대방·일회성 여부 확인","결의서명과 전기 대비 발생 건수·단가·시점 차이 검토"))</x:f>
      </x:c>
    </x:row>
    <x:row r="1046">
      <x:c r="A1046" t="str">
        <x:f>IF(B1046="","",IF(COUNTIFS('전기원장'!$A$5:$A$1004,B1046,'전기원장'!$D$5:$D$1004,E1046)&gt;0,"전기","당기"))</x:f>
      </x:c>
      <x:c r="D1046" s="67"/>
      <x:c r="G1046" s="68"/>
      <x:c r="K1046" t="str">
        <x:f>IF(B1046="","",IF(I1046="확인 필요","붙임 문서 확인 후 거래 성격·기간·상대방·일회성 여부 확인","결의서명과 전기 대비 발생 건수·단가·시점 차이 검토"))</x:f>
      </x:c>
    </x:row>
    <x:row r="1047">
      <x:c r="A1047" t="str">
        <x:f>IF(B1047="","",IF(COUNTIFS('전기원장'!$A$5:$A$1004,B1047,'전기원장'!$D$5:$D$1004,E1047)&gt;0,"전기","당기"))</x:f>
      </x:c>
      <x:c r="D1047" s="67"/>
      <x:c r="G1047" s="68"/>
      <x:c r="K1047" t="str">
        <x:f>IF(B1047="","",IF(I1047="확인 필요","붙임 문서 확인 후 거래 성격·기간·상대방·일회성 여부 확인","결의서명과 전기 대비 발생 건수·단가·시점 차이 검토"))</x:f>
      </x:c>
    </x:row>
    <x:row r="1048">
      <x:c r="A1048" t="str">
        <x:f>IF(B1048="","",IF(COUNTIFS('전기원장'!$A$5:$A$1004,B1048,'전기원장'!$D$5:$D$1004,E1048)&gt;0,"전기","당기"))</x:f>
      </x:c>
      <x:c r="D1048" s="67"/>
      <x:c r="G1048" s="68"/>
      <x:c r="K1048" t="str">
        <x:f>IF(B1048="","",IF(I1048="확인 필요","붙임 문서 확인 후 거래 성격·기간·상대방·일회성 여부 확인","결의서명과 전기 대비 발생 건수·단가·시점 차이 검토"))</x:f>
      </x:c>
    </x:row>
    <x:row r="1049">
      <x:c r="A1049" t="str">
        <x:f>IF(B1049="","",IF(COUNTIFS('전기원장'!$A$5:$A$1004,B1049,'전기원장'!$D$5:$D$1004,E1049)&gt;0,"전기","당기"))</x:f>
      </x:c>
      <x:c r="D1049" s="67"/>
      <x:c r="G1049" s="68"/>
      <x:c r="K1049" t="str">
        <x:f>IF(B1049="","",IF(I1049="확인 필요","붙임 문서 확인 후 거래 성격·기간·상대방·일회성 여부 확인","결의서명과 전기 대비 발생 건수·단가·시점 차이 검토"))</x:f>
      </x:c>
    </x:row>
    <x:row r="1050">
      <x:c r="A1050" t="str">
        <x:f>IF(B1050="","",IF(COUNTIFS('전기원장'!$A$5:$A$1004,B1050,'전기원장'!$D$5:$D$1004,E1050)&gt;0,"전기","당기"))</x:f>
      </x:c>
      <x:c r="D1050" s="67"/>
      <x:c r="G1050" s="68"/>
      <x:c r="K1050" t="str">
        <x:f>IF(B1050="","",IF(I1050="확인 필요","붙임 문서 확인 후 거래 성격·기간·상대방·일회성 여부 확인","결의서명과 전기 대비 발생 건수·단가·시점 차이 검토"))</x:f>
      </x:c>
    </x:row>
    <x:row r="1051">
      <x:c r="A1051" t="str">
        <x:f>IF(B1051="","",IF(COUNTIFS('전기원장'!$A$5:$A$1004,B1051,'전기원장'!$D$5:$D$1004,E1051)&gt;0,"전기","당기"))</x:f>
      </x:c>
      <x:c r="D1051" s="67"/>
      <x:c r="G1051" s="68"/>
      <x:c r="K1051" t="str">
        <x:f>IF(B1051="","",IF(I1051="확인 필요","붙임 문서 확인 후 거래 성격·기간·상대방·일회성 여부 확인","결의서명과 전기 대비 발생 건수·단가·시점 차이 검토"))</x:f>
      </x:c>
    </x:row>
    <x:row r="1052">
      <x:c r="A1052" t="str">
        <x:f>IF(B1052="","",IF(COUNTIFS('전기원장'!$A$5:$A$1004,B1052,'전기원장'!$D$5:$D$1004,E1052)&gt;0,"전기","당기"))</x:f>
      </x:c>
      <x:c r="D1052" s="67"/>
      <x:c r="G1052" s="68"/>
      <x:c r="K1052" t="str">
        <x:f>IF(B1052="","",IF(I1052="확인 필요","붙임 문서 확인 후 거래 성격·기간·상대방·일회성 여부 확인","결의서명과 전기 대비 발생 건수·단가·시점 차이 검토"))</x:f>
      </x:c>
    </x:row>
    <x:row r="1053">
      <x:c r="A1053" t="str">
        <x:f>IF(B1053="","",IF(COUNTIFS('전기원장'!$A$5:$A$1004,B1053,'전기원장'!$D$5:$D$1004,E1053)&gt;0,"전기","당기"))</x:f>
      </x:c>
      <x:c r="D1053" s="67"/>
      <x:c r="G1053" s="68"/>
      <x:c r="K1053" t="str">
        <x:f>IF(B1053="","",IF(I1053="확인 필요","붙임 문서 확인 후 거래 성격·기간·상대방·일회성 여부 확인","결의서명과 전기 대비 발생 건수·단가·시점 차이 검토"))</x:f>
      </x:c>
    </x:row>
    <x:row r="1054">
      <x:c r="A1054" t="str">
        <x:f>IF(B1054="","",IF(COUNTIFS('전기원장'!$A$5:$A$1004,B1054,'전기원장'!$D$5:$D$1004,E1054)&gt;0,"전기","당기"))</x:f>
      </x:c>
      <x:c r="D1054" s="67"/>
      <x:c r="G1054" s="68"/>
      <x:c r="K1054" t="str">
        <x:f>IF(B1054="","",IF(I1054="확인 필요","붙임 문서 확인 후 거래 성격·기간·상대방·일회성 여부 확인","결의서명과 전기 대비 발생 건수·단가·시점 차이 검토"))</x:f>
      </x:c>
    </x:row>
    <x:row r="1055">
      <x:c r="A1055" t="str">
        <x:f>IF(B1055="","",IF(COUNTIFS('전기원장'!$A$5:$A$1004,B1055,'전기원장'!$D$5:$D$1004,E1055)&gt;0,"전기","당기"))</x:f>
      </x:c>
      <x:c r="D1055" s="67"/>
      <x:c r="G1055" s="68"/>
      <x:c r="K1055" t="str">
        <x:f>IF(B1055="","",IF(I1055="확인 필요","붙임 문서 확인 후 거래 성격·기간·상대방·일회성 여부 확인","결의서명과 전기 대비 발생 건수·단가·시점 차이 검토"))</x:f>
      </x:c>
    </x:row>
    <x:row r="1056">
      <x:c r="A1056" t="str">
        <x:f>IF(B1056="","",IF(COUNTIFS('전기원장'!$A$5:$A$1004,B1056,'전기원장'!$D$5:$D$1004,E1056)&gt;0,"전기","당기"))</x:f>
      </x:c>
      <x:c r="D1056" s="67"/>
      <x:c r="G1056" s="68"/>
      <x:c r="K1056" t="str">
        <x:f>IF(B1056="","",IF(I1056="확인 필요","붙임 문서 확인 후 거래 성격·기간·상대방·일회성 여부 확인","결의서명과 전기 대비 발생 건수·단가·시점 차이 검토"))</x:f>
      </x:c>
    </x:row>
    <x:row r="1057">
      <x:c r="A1057" t="str">
        <x:f>IF(B1057="","",IF(COUNTIFS('전기원장'!$A$5:$A$1004,B1057,'전기원장'!$D$5:$D$1004,E1057)&gt;0,"전기","당기"))</x:f>
      </x:c>
      <x:c r="D1057" s="67"/>
      <x:c r="G1057" s="68"/>
      <x:c r="K1057" t="str">
        <x:f>IF(B1057="","",IF(I1057="확인 필요","붙임 문서 확인 후 거래 성격·기간·상대방·일회성 여부 확인","결의서명과 전기 대비 발생 건수·단가·시점 차이 검토"))</x:f>
      </x:c>
    </x:row>
    <x:row r="1058">
      <x:c r="A1058" t="str">
        <x:f>IF(B1058="","",IF(COUNTIFS('전기원장'!$A$5:$A$1004,B1058,'전기원장'!$D$5:$D$1004,E1058)&gt;0,"전기","당기"))</x:f>
      </x:c>
      <x:c r="D1058" s="67"/>
      <x:c r="G1058" s="68"/>
      <x:c r="K1058" t="str">
        <x:f>IF(B1058="","",IF(I1058="확인 필요","붙임 문서 확인 후 거래 성격·기간·상대방·일회성 여부 확인","결의서명과 전기 대비 발생 건수·단가·시점 차이 검토"))</x:f>
      </x:c>
    </x:row>
    <x:row r="1059">
      <x:c r="A1059" t="str">
        <x:f>IF(B1059="","",IF(COUNTIFS('전기원장'!$A$5:$A$1004,B1059,'전기원장'!$D$5:$D$1004,E1059)&gt;0,"전기","당기"))</x:f>
      </x:c>
      <x:c r="D1059" s="67"/>
      <x:c r="G1059" s="68"/>
      <x:c r="K1059" t="str">
        <x:f>IF(B1059="","",IF(I1059="확인 필요","붙임 문서 확인 후 거래 성격·기간·상대방·일회성 여부 확인","결의서명과 전기 대비 발생 건수·단가·시점 차이 검토"))</x:f>
      </x:c>
    </x:row>
    <x:row r="1060">
      <x:c r="A1060" t="str">
        <x:f>IF(B1060="","",IF(COUNTIFS('전기원장'!$A$5:$A$1004,B1060,'전기원장'!$D$5:$D$1004,E1060)&gt;0,"전기","당기"))</x:f>
      </x:c>
      <x:c r="D1060" s="67"/>
      <x:c r="G1060" s="68"/>
      <x:c r="K1060" t="str">
        <x:f>IF(B1060="","",IF(I1060="확인 필요","붙임 문서 확인 후 거래 성격·기간·상대방·일회성 여부 확인","결의서명과 전기 대비 발생 건수·단가·시점 차이 검토"))</x:f>
      </x:c>
    </x:row>
    <x:row r="1061">
      <x:c r="A1061" t="str">
        <x:f>IF(B1061="","",IF(COUNTIFS('전기원장'!$A$5:$A$1004,B1061,'전기원장'!$D$5:$D$1004,E1061)&gt;0,"전기","당기"))</x:f>
      </x:c>
      <x:c r="D1061" s="67"/>
      <x:c r="G1061" s="68"/>
      <x:c r="K1061" t="str">
        <x:f>IF(B1061="","",IF(I1061="확인 필요","붙임 문서 확인 후 거래 성격·기간·상대방·일회성 여부 확인","결의서명과 전기 대비 발생 건수·단가·시점 차이 검토"))</x:f>
      </x:c>
    </x:row>
    <x:row r="1062">
      <x:c r="A1062" t="str">
        <x:f>IF(B1062="","",IF(COUNTIFS('전기원장'!$A$5:$A$1004,B1062,'전기원장'!$D$5:$D$1004,E1062)&gt;0,"전기","당기"))</x:f>
      </x:c>
      <x:c r="D1062" s="67"/>
      <x:c r="G1062" s="68"/>
      <x:c r="K1062" t="str">
        <x:f>IF(B1062="","",IF(I1062="확인 필요","붙임 문서 확인 후 거래 성격·기간·상대방·일회성 여부 확인","결의서명과 전기 대비 발생 건수·단가·시점 차이 검토"))</x:f>
      </x:c>
    </x:row>
    <x:row r="1063">
      <x:c r="A1063" t="str">
        <x:f>IF(B1063="","",IF(COUNTIFS('전기원장'!$A$5:$A$1004,B1063,'전기원장'!$D$5:$D$1004,E1063)&gt;0,"전기","당기"))</x:f>
      </x:c>
      <x:c r="D1063" s="67"/>
      <x:c r="G1063" s="68"/>
      <x:c r="K1063" t="str">
        <x:f>IF(B1063="","",IF(I1063="확인 필요","붙임 문서 확인 후 거래 성격·기간·상대방·일회성 여부 확인","결의서명과 전기 대비 발생 건수·단가·시점 차이 검토"))</x:f>
      </x:c>
    </x:row>
    <x:row r="1064">
      <x:c r="A1064" t="str">
        <x:f>IF(B1064="","",IF(COUNTIFS('전기원장'!$A$5:$A$1004,B1064,'전기원장'!$D$5:$D$1004,E1064)&gt;0,"전기","당기"))</x:f>
      </x:c>
      <x:c r="D1064" s="67"/>
      <x:c r="G1064" s="68"/>
      <x:c r="K1064" t="str">
        <x:f>IF(B1064="","",IF(I1064="확인 필요","붙임 문서 확인 후 거래 성격·기간·상대방·일회성 여부 확인","결의서명과 전기 대비 발생 건수·단가·시점 차이 검토"))</x:f>
      </x:c>
    </x:row>
    <x:row r="1065">
      <x:c r="A1065" t="str">
        <x:f>IF(B1065="","",IF(COUNTIFS('전기원장'!$A$5:$A$1004,B1065,'전기원장'!$D$5:$D$1004,E1065)&gt;0,"전기","당기"))</x:f>
      </x:c>
      <x:c r="D1065" s="67"/>
      <x:c r="G1065" s="68"/>
      <x:c r="K1065" t="str">
        <x:f>IF(B1065="","",IF(I1065="확인 필요","붙임 문서 확인 후 거래 성격·기간·상대방·일회성 여부 확인","결의서명과 전기 대비 발생 건수·단가·시점 차이 검토"))</x:f>
      </x:c>
    </x:row>
    <x:row r="1066">
      <x:c r="A1066" t="str">
        <x:f>IF(B1066="","",IF(COUNTIFS('전기원장'!$A$5:$A$1004,B1066,'전기원장'!$D$5:$D$1004,E1066)&gt;0,"전기","당기"))</x:f>
      </x:c>
      <x:c r="D1066" s="67"/>
      <x:c r="G1066" s="68"/>
      <x:c r="K1066" t="str">
        <x:f>IF(B1066="","",IF(I1066="확인 필요","붙임 문서 확인 후 거래 성격·기간·상대방·일회성 여부 확인","결의서명과 전기 대비 발생 건수·단가·시점 차이 검토"))</x:f>
      </x:c>
    </x:row>
    <x:row r="1067">
      <x:c r="A1067" t="str">
        <x:f>IF(B1067="","",IF(COUNTIFS('전기원장'!$A$5:$A$1004,B1067,'전기원장'!$D$5:$D$1004,E1067)&gt;0,"전기","당기"))</x:f>
      </x:c>
      <x:c r="D1067" s="67"/>
      <x:c r="G1067" s="68"/>
      <x:c r="K1067" t="str">
        <x:f>IF(B1067="","",IF(I1067="확인 필요","붙임 문서 확인 후 거래 성격·기간·상대방·일회성 여부 확인","결의서명과 전기 대비 발생 건수·단가·시점 차이 검토"))</x:f>
      </x:c>
    </x:row>
    <x:row r="1068">
      <x:c r="A1068" t="str">
        <x:f>IF(B1068="","",IF(COUNTIFS('전기원장'!$A$5:$A$1004,B1068,'전기원장'!$D$5:$D$1004,E1068)&gt;0,"전기","당기"))</x:f>
      </x:c>
      <x:c r="D1068" s="67"/>
      <x:c r="G1068" s="68"/>
      <x:c r="K1068" t="str">
        <x:f>IF(B1068="","",IF(I1068="확인 필요","붙임 문서 확인 후 거래 성격·기간·상대방·일회성 여부 확인","결의서명과 전기 대비 발생 건수·단가·시점 차이 검토"))</x:f>
      </x:c>
    </x:row>
    <x:row r="1069">
      <x:c r="A1069" t="str">
        <x:f>IF(B1069="","",IF(COUNTIFS('전기원장'!$A$5:$A$1004,B1069,'전기원장'!$D$5:$D$1004,E1069)&gt;0,"전기","당기"))</x:f>
      </x:c>
      <x:c r="D1069" s="67"/>
      <x:c r="G1069" s="68"/>
      <x:c r="K1069" t="str">
        <x:f>IF(B1069="","",IF(I1069="확인 필요","붙임 문서 확인 후 거래 성격·기간·상대방·일회성 여부 확인","결의서명과 전기 대비 발생 건수·단가·시점 차이 검토"))</x:f>
      </x:c>
    </x:row>
    <x:row r="1070">
      <x:c r="A1070" t="str">
        <x:f>IF(B1070="","",IF(COUNTIFS('전기원장'!$A$5:$A$1004,B1070,'전기원장'!$D$5:$D$1004,E1070)&gt;0,"전기","당기"))</x:f>
      </x:c>
      <x:c r="D1070" s="67"/>
      <x:c r="G1070" s="68"/>
      <x:c r="K1070" t="str">
        <x:f>IF(B1070="","",IF(I1070="확인 필요","붙임 문서 확인 후 거래 성격·기간·상대방·일회성 여부 확인","결의서명과 전기 대비 발생 건수·단가·시점 차이 검토"))</x:f>
      </x:c>
    </x:row>
    <x:row r="1071">
      <x:c r="A1071" t="str">
        <x:f>IF(B1071="","",IF(COUNTIFS('전기원장'!$A$5:$A$1004,B1071,'전기원장'!$D$5:$D$1004,E1071)&gt;0,"전기","당기"))</x:f>
      </x:c>
      <x:c r="D1071" s="67"/>
      <x:c r="G1071" s="68"/>
      <x:c r="K1071" t="str">
        <x:f>IF(B1071="","",IF(I1071="확인 필요","붙임 문서 확인 후 거래 성격·기간·상대방·일회성 여부 확인","결의서명과 전기 대비 발생 건수·단가·시점 차이 검토"))</x:f>
      </x:c>
    </x:row>
    <x:row r="1072">
      <x:c r="A1072" t="str">
        <x:f>IF(B1072="","",IF(COUNTIFS('전기원장'!$A$5:$A$1004,B1072,'전기원장'!$D$5:$D$1004,E1072)&gt;0,"전기","당기"))</x:f>
      </x:c>
      <x:c r="D1072" s="67"/>
      <x:c r="G1072" s="68"/>
      <x:c r="K1072" t="str">
        <x:f>IF(B1072="","",IF(I1072="확인 필요","붙임 문서 확인 후 거래 성격·기간·상대방·일회성 여부 확인","결의서명과 전기 대비 발생 건수·단가·시점 차이 검토"))</x:f>
      </x:c>
    </x:row>
    <x:row r="1073">
      <x:c r="A1073" t="str">
        <x:f>IF(B1073="","",IF(COUNTIFS('전기원장'!$A$5:$A$1004,B1073,'전기원장'!$D$5:$D$1004,E1073)&gt;0,"전기","당기"))</x:f>
      </x:c>
      <x:c r="D1073" s="67"/>
      <x:c r="G1073" s="68"/>
      <x:c r="K1073" t="str">
        <x:f>IF(B1073="","",IF(I1073="확인 필요","붙임 문서 확인 후 거래 성격·기간·상대방·일회성 여부 확인","결의서명과 전기 대비 발생 건수·단가·시점 차이 검토"))</x:f>
      </x:c>
    </x:row>
    <x:row r="1074">
      <x:c r="A1074" t="str">
        <x:f>IF(B1074="","",IF(COUNTIFS('전기원장'!$A$5:$A$1004,B1074,'전기원장'!$D$5:$D$1004,E1074)&gt;0,"전기","당기"))</x:f>
      </x:c>
      <x:c r="D1074" s="67"/>
      <x:c r="G1074" s="68"/>
      <x:c r="K1074" t="str">
        <x:f>IF(B1074="","",IF(I1074="확인 필요","붙임 문서 확인 후 거래 성격·기간·상대방·일회성 여부 확인","결의서명과 전기 대비 발생 건수·단가·시점 차이 검토"))</x:f>
      </x:c>
    </x:row>
    <x:row r="1075">
      <x:c r="A1075" t="str">
        <x:f>IF(B1075="","",IF(COUNTIFS('전기원장'!$A$5:$A$1004,B1075,'전기원장'!$D$5:$D$1004,E1075)&gt;0,"전기","당기"))</x:f>
      </x:c>
      <x:c r="D1075" s="67"/>
      <x:c r="G1075" s="68"/>
      <x:c r="K1075" t="str">
        <x:f>IF(B1075="","",IF(I1075="확인 필요","붙임 문서 확인 후 거래 성격·기간·상대방·일회성 여부 확인","결의서명과 전기 대비 발생 건수·단가·시점 차이 검토"))</x:f>
      </x:c>
    </x:row>
    <x:row r="1076">
      <x:c r="A1076" t="str">
        <x:f>IF(B1076="","",IF(COUNTIFS('전기원장'!$A$5:$A$1004,B1076,'전기원장'!$D$5:$D$1004,E1076)&gt;0,"전기","당기"))</x:f>
      </x:c>
      <x:c r="D1076" s="67"/>
      <x:c r="G1076" s="68"/>
      <x:c r="K1076" t="str">
        <x:f>IF(B1076="","",IF(I1076="확인 필요","붙임 문서 확인 후 거래 성격·기간·상대방·일회성 여부 확인","결의서명과 전기 대비 발생 건수·단가·시점 차이 검토"))</x:f>
      </x:c>
    </x:row>
    <x:row r="1077">
      <x:c r="A1077" t="str">
        <x:f>IF(B1077="","",IF(COUNTIFS('전기원장'!$A$5:$A$1004,B1077,'전기원장'!$D$5:$D$1004,E1077)&gt;0,"전기","당기"))</x:f>
      </x:c>
      <x:c r="D1077" s="67"/>
      <x:c r="G1077" s="68"/>
      <x:c r="K1077" t="str">
        <x:f>IF(B1077="","",IF(I1077="확인 필요","붙임 문서 확인 후 거래 성격·기간·상대방·일회성 여부 확인","결의서명과 전기 대비 발생 건수·단가·시점 차이 검토"))</x:f>
      </x:c>
    </x:row>
    <x:row r="1078">
      <x:c r="A1078" t="str">
        <x:f>IF(B1078="","",IF(COUNTIFS('전기원장'!$A$5:$A$1004,B1078,'전기원장'!$D$5:$D$1004,E1078)&gt;0,"전기","당기"))</x:f>
      </x:c>
      <x:c r="D1078" s="67"/>
      <x:c r="G1078" s="68"/>
      <x:c r="K1078" t="str">
        <x:f>IF(B1078="","",IF(I1078="확인 필요","붙임 문서 확인 후 거래 성격·기간·상대방·일회성 여부 확인","결의서명과 전기 대비 발생 건수·단가·시점 차이 검토"))</x:f>
      </x:c>
    </x:row>
    <x:row r="1079">
      <x:c r="A1079" t="str">
        <x:f>IF(B1079="","",IF(COUNTIFS('전기원장'!$A$5:$A$1004,B1079,'전기원장'!$D$5:$D$1004,E1079)&gt;0,"전기","당기"))</x:f>
      </x:c>
      <x:c r="D1079" s="67"/>
      <x:c r="G1079" s="68"/>
      <x:c r="K1079" t="str">
        <x:f>IF(B1079="","",IF(I1079="확인 필요","붙임 문서 확인 후 거래 성격·기간·상대방·일회성 여부 확인","결의서명과 전기 대비 발생 건수·단가·시점 차이 검토"))</x:f>
      </x:c>
    </x:row>
    <x:row r="1080">
      <x:c r="A1080" t="str">
        <x:f>IF(B1080="","",IF(COUNTIFS('전기원장'!$A$5:$A$1004,B1080,'전기원장'!$D$5:$D$1004,E1080)&gt;0,"전기","당기"))</x:f>
      </x:c>
      <x:c r="D1080" s="67"/>
      <x:c r="G1080" s="68"/>
      <x:c r="K1080" t="str">
        <x:f>IF(B1080="","",IF(I1080="확인 필요","붙임 문서 확인 후 거래 성격·기간·상대방·일회성 여부 확인","결의서명과 전기 대비 발생 건수·단가·시점 차이 검토"))</x:f>
      </x:c>
    </x:row>
    <x:row r="1081">
      <x:c r="A1081" t="str">
        <x:f>IF(B1081="","",IF(COUNTIFS('전기원장'!$A$5:$A$1004,B1081,'전기원장'!$D$5:$D$1004,E1081)&gt;0,"전기","당기"))</x:f>
      </x:c>
      <x:c r="D1081" s="67"/>
      <x:c r="G1081" s="68"/>
      <x:c r="K1081" t="str">
        <x:f>IF(B1081="","",IF(I1081="확인 필요","붙임 문서 확인 후 거래 성격·기간·상대방·일회성 여부 확인","결의서명과 전기 대비 발생 건수·단가·시점 차이 검토"))</x:f>
      </x:c>
    </x:row>
    <x:row r="1082">
      <x:c r="A1082" t="str">
        <x:f>IF(B1082="","",IF(COUNTIFS('전기원장'!$A$5:$A$1004,B1082,'전기원장'!$D$5:$D$1004,E1082)&gt;0,"전기","당기"))</x:f>
      </x:c>
      <x:c r="D1082" s="67"/>
      <x:c r="G1082" s="68"/>
      <x:c r="K1082" t="str">
        <x:f>IF(B1082="","",IF(I1082="확인 필요","붙임 문서 확인 후 거래 성격·기간·상대방·일회성 여부 확인","결의서명과 전기 대비 발생 건수·단가·시점 차이 검토"))</x:f>
      </x:c>
    </x:row>
    <x:row r="1083">
      <x:c r="A1083" t="str">
        <x:f>IF(B1083="","",IF(COUNTIFS('전기원장'!$A$5:$A$1004,B1083,'전기원장'!$D$5:$D$1004,E1083)&gt;0,"전기","당기"))</x:f>
      </x:c>
      <x:c r="D1083" s="67"/>
      <x:c r="G1083" s="68"/>
      <x:c r="K1083" t="str">
        <x:f>IF(B1083="","",IF(I1083="확인 필요","붙임 문서 확인 후 거래 성격·기간·상대방·일회성 여부 확인","결의서명과 전기 대비 발생 건수·단가·시점 차이 검토"))</x:f>
      </x:c>
    </x:row>
    <x:row r="1084">
      <x:c r="A1084" t="str">
        <x:f>IF(B1084="","",IF(COUNTIFS('전기원장'!$A$5:$A$1004,B1084,'전기원장'!$D$5:$D$1004,E1084)&gt;0,"전기","당기"))</x:f>
      </x:c>
      <x:c r="D1084" s="67"/>
      <x:c r="G1084" s="68"/>
      <x:c r="K1084" t="str">
        <x:f>IF(B1084="","",IF(I1084="확인 필요","붙임 문서 확인 후 거래 성격·기간·상대방·일회성 여부 확인","결의서명과 전기 대비 발생 건수·단가·시점 차이 검토"))</x:f>
      </x:c>
    </x:row>
    <x:row r="1085">
      <x:c r="A1085" t="str">
        <x:f>IF(B1085="","",IF(COUNTIFS('전기원장'!$A$5:$A$1004,B1085,'전기원장'!$D$5:$D$1004,E1085)&gt;0,"전기","당기"))</x:f>
      </x:c>
      <x:c r="D1085" s="67"/>
      <x:c r="G1085" s="68"/>
      <x:c r="K1085" t="str">
        <x:f>IF(B1085="","",IF(I1085="확인 필요","붙임 문서 확인 후 거래 성격·기간·상대방·일회성 여부 확인","결의서명과 전기 대비 발생 건수·단가·시점 차이 검토"))</x:f>
      </x:c>
    </x:row>
    <x:row r="1086">
      <x:c r="A1086" t="str">
        <x:f>IF(B1086="","",IF(COUNTIFS('전기원장'!$A$5:$A$1004,B1086,'전기원장'!$D$5:$D$1004,E1086)&gt;0,"전기","당기"))</x:f>
      </x:c>
      <x:c r="D1086" s="67"/>
      <x:c r="G1086" s="68"/>
      <x:c r="K1086" t="str">
        <x:f>IF(B1086="","",IF(I1086="확인 필요","붙임 문서 확인 후 거래 성격·기간·상대방·일회성 여부 확인","결의서명과 전기 대비 발생 건수·단가·시점 차이 검토"))</x:f>
      </x:c>
    </x:row>
    <x:row r="1087">
      <x:c r="A1087" t="str">
        <x:f>IF(B1087="","",IF(COUNTIFS('전기원장'!$A$5:$A$1004,B1087,'전기원장'!$D$5:$D$1004,E1087)&gt;0,"전기","당기"))</x:f>
      </x:c>
      <x:c r="D1087" s="67"/>
      <x:c r="G1087" s="68"/>
      <x:c r="K1087" t="str">
        <x:f>IF(B1087="","",IF(I1087="확인 필요","붙임 문서 확인 후 거래 성격·기간·상대방·일회성 여부 확인","결의서명과 전기 대비 발생 건수·단가·시점 차이 검토"))</x:f>
      </x:c>
    </x:row>
    <x:row r="1088">
      <x:c r="A1088" t="str">
        <x:f>IF(B1088="","",IF(COUNTIFS('전기원장'!$A$5:$A$1004,B1088,'전기원장'!$D$5:$D$1004,E1088)&gt;0,"전기","당기"))</x:f>
      </x:c>
      <x:c r="D1088" s="67"/>
      <x:c r="G1088" s="68"/>
      <x:c r="K1088" t="str">
        <x:f>IF(B1088="","",IF(I1088="확인 필요","붙임 문서 확인 후 거래 성격·기간·상대방·일회성 여부 확인","결의서명과 전기 대비 발생 건수·단가·시점 차이 검토"))</x:f>
      </x:c>
    </x:row>
    <x:row r="1089">
      <x:c r="A1089" t="str">
        <x:f>IF(B1089="","",IF(COUNTIFS('전기원장'!$A$5:$A$1004,B1089,'전기원장'!$D$5:$D$1004,E1089)&gt;0,"전기","당기"))</x:f>
      </x:c>
      <x:c r="D1089" s="67"/>
      <x:c r="G1089" s="68"/>
      <x:c r="K1089" t="str">
        <x:f>IF(B1089="","",IF(I1089="확인 필요","붙임 문서 확인 후 거래 성격·기간·상대방·일회성 여부 확인","결의서명과 전기 대비 발생 건수·단가·시점 차이 검토"))</x:f>
      </x:c>
    </x:row>
    <x:row r="1090">
      <x:c r="A1090" t="str">
        <x:f>IF(B1090="","",IF(COUNTIFS('전기원장'!$A$5:$A$1004,B1090,'전기원장'!$D$5:$D$1004,E1090)&gt;0,"전기","당기"))</x:f>
      </x:c>
      <x:c r="D1090" s="67"/>
      <x:c r="G1090" s="68"/>
      <x:c r="K1090" t="str">
        <x:f>IF(B1090="","",IF(I1090="확인 필요","붙임 문서 확인 후 거래 성격·기간·상대방·일회성 여부 확인","결의서명과 전기 대비 발생 건수·단가·시점 차이 검토"))</x:f>
      </x:c>
    </x:row>
    <x:row r="1091">
      <x:c r="A1091" t="str">
        <x:f>IF(B1091="","",IF(COUNTIFS('전기원장'!$A$5:$A$1004,B1091,'전기원장'!$D$5:$D$1004,E1091)&gt;0,"전기","당기"))</x:f>
      </x:c>
      <x:c r="D1091" s="67"/>
      <x:c r="G1091" s="68"/>
      <x:c r="K1091" t="str">
        <x:f>IF(B1091="","",IF(I1091="확인 필요","붙임 문서 확인 후 거래 성격·기간·상대방·일회성 여부 확인","결의서명과 전기 대비 발생 건수·단가·시점 차이 검토"))</x:f>
      </x:c>
    </x:row>
    <x:row r="1092">
      <x:c r="A1092" t="str">
        <x:f>IF(B1092="","",IF(COUNTIFS('전기원장'!$A$5:$A$1004,B1092,'전기원장'!$D$5:$D$1004,E1092)&gt;0,"전기","당기"))</x:f>
      </x:c>
      <x:c r="D1092" s="67"/>
      <x:c r="G1092" s="68"/>
      <x:c r="K1092" t="str">
        <x:f>IF(B1092="","",IF(I1092="확인 필요","붙임 문서 확인 후 거래 성격·기간·상대방·일회성 여부 확인","결의서명과 전기 대비 발생 건수·단가·시점 차이 검토"))</x:f>
      </x:c>
    </x:row>
    <x:row r="1093">
      <x:c r="A1093" t="str">
        <x:f>IF(B1093="","",IF(COUNTIFS('전기원장'!$A$5:$A$1004,B1093,'전기원장'!$D$5:$D$1004,E1093)&gt;0,"전기","당기"))</x:f>
      </x:c>
      <x:c r="D1093" s="67"/>
      <x:c r="G1093" s="68"/>
      <x:c r="K1093" t="str">
        <x:f>IF(B1093="","",IF(I1093="확인 필요","붙임 문서 확인 후 거래 성격·기간·상대방·일회성 여부 확인","결의서명과 전기 대비 발생 건수·단가·시점 차이 검토"))</x:f>
      </x:c>
    </x:row>
    <x:row r="1094">
      <x:c r="A1094" t="str">
        <x:f>IF(B1094="","",IF(COUNTIFS('전기원장'!$A$5:$A$1004,B1094,'전기원장'!$D$5:$D$1004,E1094)&gt;0,"전기","당기"))</x:f>
      </x:c>
      <x:c r="D1094" s="67"/>
      <x:c r="G1094" s="68"/>
      <x:c r="K1094" t="str">
        <x:f>IF(B1094="","",IF(I1094="확인 필요","붙임 문서 확인 후 거래 성격·기간·상대방·일회성 여부 확인","결의서명과 전기 대비 발생 건수·단가·시점 차이 검토"))</x:f>
      </x:c>
    </x:row>
    <x:row r="1095">
      <x:c r="A1095" t="str">
        <x:f>IF(B1095="","",IF(COUNTIFS('전기원장'!$A$5:$A$1004,B1095,'전기원장'!$D$5:$D$1004,E1095)&gt;0,"전기","당기"))</x:f>
      </x:c>
      <x:c r="D1095" s="67"/>
      <x:c r="G1095" s="68"/>
      <x:c r="K1095" t="str">
        <x:f>IF(B1095="","",IF(I1095="확인 필요","붙임 문서 확인 후 거래 성격·기간·상대방·일회성 여부 확인","결의서명과 전기 대비 발생 건수·단가·시점 차이 검토"))</x:f>
      </x:c>
    </x:row>
    <x:row r="1096">
      <x:c r="A1096" t="str">
        <x:f>IF(B1096="","",IF(COUNTIFS('전기원장'!$A$5:$A$1004,B1096,'전기원장'!$D$5:$D$1004,E1096)&gt;0,"전기","당기"))</x:f>
      </x:c>
      <x:c r="D1096" s="67"/>
      <x:c r="G1096" s="68"/>
      <x:c r="K1096" t="str">
        <x:f>IF(B1096="","",IF(I1096="확인 필요","붙임 문서 확인 후 거래 성격·기간·상대방·일회성 여부 확인","결의서명과 전기 대비 발생 건수·단가·시점 차이 검토"))</x:f>
      </x:c>
    </x:row>
    <x:row r="1097">
      <x:c r="A1097" t="str">
        <x:f>IF(B1097="","",IF(COUNTIFS('전기원장'!$A$5:$A$1004,B1097,'전기원장'!$D$5:$D$1004,E1097)&gt;0,"전기","당기"))</x:f>
      </x:c>
      <x:c r="D1097" s="67"/>
      <x:c r="G1097" s="68"/>
      <x:c r="K1097" t="str">
        <x:f>IF(B1097="","",IF(I1097="확인 필요","붙임 문서 확인 후 거래 성격·기간·상대방·일회성 여부 확인","결의서명과 전기 대비 발생 건수·단가·시점 차이 검토"))</x:f>
      </x:c>
    </x:row>
    <x:row r="1098">
      <x:c r="A1098" t="str">
        <x:f>IF(B1098="","",IF(COUNTIFS('전기원장'!$A$5:$A$1004,B1098,'전기원장'!$D$5:$D$1004,E1098)&gt;0,"전기","당기"))</x:f>
      </x:c>
      <x:c r="D1098" s="67"/>
      <x:c r="G1098" s="68"/>
      <x:c r="K1098" t="str">
        <x:f>IF(B1098="","",IF(I1098="확인 필요","붙임 문서 확인 후 거래 성격·기간·상대방·일회성 여부 확인","결의서명과 전기 대비 발생 건수·단가·시점 차이 검토"))</x:f>
      </x:c>
    </x:row>
    <x:row r="1099">
      <x:c r="A1099" t="str">
        <x:f>IF(B1099="","",IF(COUNTIFS('전기원장'!$A$5:$A$1004,B1099,'전기원장'!$D$5:$D$1004,E1099)&gt;0,"전기","당기"))</x:f>
      </x:c>
      <x:c r="D1099" s="67"/>
      <x:c r="G1099" s="68"/>
      <x:c r="K1099" t="str">
        <x:f>IF(B1099="","",IF(I1099="확인 필요","붙임 문서 확인 후 거래 성격·기간·상대방·일회성 여부 확인","결의서명과 전기 대비 발생 건수·단가·시점 차이 검토"))</x:f>
      </x:c>
    </x:row>
    <x:row r="1100">
      <x:c r="A1100" t="str">
        <x:f>IF(B1100="","",IF(COUNTIFS('전기원장'!$A$5:$A$1004,B1100,'전기원장'!$D$5:$D$1004,E1100)&gt;0,"전기","당기"))</x:f>
      </x:c>
      <x:c r="D1100" s="67"/>
      <x:c r="G1100" s="68"/>
      <x:c r="K1100" t="str">
        <x:f>IF(B1100="","",IF(I1100="확인 필요","붙임 문서 확인 후 거래 성격·기간·상대방·일회성 여부 확인","결의서명과 전기 대비 발생 건수·단가·시점 차이 검토"))</x:f>
      </x:c>
    </x:row>
    <x:row r="1101">
      <x:c r="A1101" t="str">
        <x:f>IF(B1101="","",IF(COUNTIFS('전기원장'!$A$5:$A$1004,B1101,'전기원장'!$D$5:$D$1004,E1101)&gt;0,"전기","당기"))</x:f>
      </x:c>
      <x:c r="D1101" s="67"/>
      <x:c r="G1101" s="68"/>
      <x:c r="K1101" t="str">
        <x:f>IF(B1101="","",IF(I1101="확인 필요","붙임 문서 확인 후 거래 성격·기간·상대방·일회성 여부 확인","결의서명과 전기 대비 발생 건수·단가·시점 차이 검토"))</x:f>
      </x:c>
    </x:row>
    <x:row r="1102">
      <x:c r="A1102" t="str">
        <x:f>IF(B1102="","",IF(COUNTIFS('전기원장'!$A$5:$A$1004,B1102,'전기원장'!$D$5:$D$1004,E1102)&gt;0,"전기","당기"))</x:f>
      </x:c>
      <x:c r="D1102" s="67"/>
      <x:c r="G1102" s="68"/>
      <x:c r="K1102" t="str">
        <x:f>IF(B1102="","",IF(I1102="확인 필요","붙임 문서 확인 후 거래 성격·기간·상대방·일회성 여부 확인","결의서명과 전기 대비 발생 건수·단가·시점 차이 검토"))</x:f>
      </x:c>
    </x:row>
    <x:row r="1103">
      <x:c r="A1103" t="str">
        <x:f>IF(B1103="","",IF(COUNTIFS('전기원장'!$A$5:$A$1004,B1103,'전기원장'!$D$5:$D$1004,E1103)&gt;0,"전기","당기"))</x:f>
      </x:c>
      <x:c r="D1103" s="67"/>
      <x:c r="G1103" s="68"/>
      <x:c r="K1103" t="str">
        <x:f>IF(B1103="","",IF(I1103="확인 필요","붙임 문서 확인 후 거래 성격·기간·상대방·일회성 여부 확인","결의서명과 전기 대비 발생 건수·단가·시점 차이 검토"))</x:f>
      </x:c>
    </x:row>
    <x:row r="1104">
      <x:c r="A1104" t="str">
        <x:f>IF(B1104="","",IF(COUNTIFS('전기원장'!$A$5:$A$1004,B1104,'전기원장'!$D$5:$D$1004,E1104)&gt;0,"전기","당기"))</x:f>
      </x:c>
      <x:c r="D1104" s="67"/>
      <x:c r="G1104" s="68"/>
      <x:c r="K1104" t="str">
        <x:f>IF(B1104="","",IF(I1104="확인 필요","붙임 문서 확인 후 거래 성격·기간·상대방·일회성 여부 확인","결의서명과 전기 대비 발생 건수·단가·시점 차이 검토"))</x:f>
      </x:c>
    </x:row>
    <x:row r="1105">
      <x:c r="A1105" t="str">
        <x:f>IF(B1105="","",IF(COUNTIFS('전기원장'!$A$5:$A$1004,B1105,'전기원장'!$D$5:$D$1004,E1105)&gt;0,"전기","당기"))</x:f>
      </x:c>
      <x:c r="D1105" s="67"/>
      <x:c r="G1105" s="68"/>
      <x:c r="K1105" t="str">
        <x:f>IF(B1105="","",IF(I1105="확인 필요","붙임 문서 확인 후 거래 성격·기간·상대방·일회성 여부 확인","결의서명과 전기 대비 발생 건수·단가·시점 차이 검토"))</x:f>
      </x:c>
    </x:row>
    <x:row r="1106">
      <x:c r="A1106" t="str">
        <x:f>IF(B1106="","",IF(COUNTIFS('전기원장'!$A$5:$A$1004,B1106,'전기원장'!$D$5:$D$1004,E1106)&gt;0,"전기","당기"))</x:f>
      </x:c>
      <x:c r="D1106" s="67"/>
      <x:c r="G1106" s="68"/>
      <x:c r="K1106" t="str">
        <x:f>IF(B1106="","",IF(I1106="확인 필요","붙임 문서 확인 후 거래 성격·기간·상대방·일회성 여부 확인","결의서명과 전기 대비 발생 건수·단가·시점 차이 검토"))</x:f>
      </x:c>
    </x:row>
    <x:row r="1107">
      <x:c r="A1107" t="str">
        <x:f>IF(B1107="","",IF(COUNTIFS('전기원장'!$A$5:$A$1004,B1107,'전기원장'!$D$5:$D$1004,E1107)&gt;0,"전기","당기"))</x:f>
      </x:c>
      <x:c r="D1107" s="67"/>
      <x:c r="G1107" s="68"/>
      <x:c r="K1107" t="str">
        <x:f>IF(B1107="","",IF(I1107="확인 필요","붙임 문서 확인 후 거래 성격·기간·상대방·일회성 여부 확인","결의서명과 전기 대비 발생 건수·단가·시점 차이 검토"))</x:f>
      </x:c>
    </x:row>
    <x:row r="1108">
      <x:c r="A1108" t="str">
        <x:f>IF(B1108="","",IF(COUNTIFS('전기원장'!$A$5:$A$1004,B1108,'전기원장'!$D$5:$D$1004,E1108)&gt;0,"전기","당기"))</x:f>
      </x:c>
      <x:c r="D1108" s="67"/>
      <x:c r="G1108" s="68"/>
      <x:c r="K1108" t="str">
        <x:f>IF(B1108="","",IF(I1108="확인 필요","붙임 문서 확인 후 거래 성격·기간·상대방·일회성 여부 확인","결의서명과 전기 대비 발생 건수·단가·시점 차이 검토"))</x:f>
      </x:c>
    </x:row>
    <x:row r="1109">
      <x:c r="A1109" t="str">
        <x:f>IF(B1109="","",IF(COUNTIFS('전기원장'!$A$5:$A$1004,B1109,'전기원장'!$D$5:$D$1004,E1109)&gt;0,"전기","당기"))</x:f>
      </x:c>
      <x:c r="D1109" s="67"/>
      <x:c r="G1109" s="68"/>
      <x:c r="K1109" t="str">
        <x:f>IF(B1109="","",IF(I1109="확인 필요","붙임 문서 확인 후 거래 성격·기간·상대방·일회성 여부 확인","결의서명과 전기 대비 발생 건수·단가·시점 차이 검토"))</x:f>
      </x:c>
    </x:row>
    <x:row r="1110">
      <x:c r="A1110" t="str">
        <x:f>IF(B1110="","",IF(COUNTIFS('전기원장'!$A$5:$A$1004,B1110,'전기원장'!$D$5:$D$1004,E1110)&gt;0,"전기","당기"))</x:f>
      </x:c>
      <x:c r="D1110" s="67"/>
      <x:c r="G1110" s="68"/>
      <x:c r="K1110" t="str">
        <x:f>IF(B1110="","",IF(I1110="확인 필요","붙임 문서 확인 후 거래 성격·기간·상대방·일회성 여부 확인","결의서명과 전기 대비 발생 건수·단가·시점 차이 검토"))</x:f>
      </x:c>
    </x:row>
    <x:row r="1111">
      <x:c r="A1111" t="str">
        <x:f>IF(B1111="","",IF(COUNTIFS('전기원장'!$A$5:$A$1004,B1111,'전기원장'!$D$5:$D$1004,E1111)&gt;0,"전기","당기"))</x:f>
      </x:c>
      <x:c r="D1111" s="67"/>
      <x:c r="G1111" s="68"/>
      <x:c r="K1111" t="str">
        <x:f>IF(B1111="","",IF(I1111="확인 필요","붙임 문서 확인 후 거래 성격·기간·상대방·일회성 여부 확인","결의서명과 전기 대비 발생 건수·단가·시점 차이 검토"))</x:f>
      </x:c>
    </x:row>
    <x:row r="1112">
      <x:c r="A1112" t="str">
        <x:f>IF(B1112="","",IF(COUNTIFS('전기원장'!$A$5:$A$1004,B1112,'전기원장'!$D$5:$D$1004,E1112)&gt;0,"전기","당기"))</x:f>
      </x:c>
      <x:c r="D1112" s="67"/>
      <x:c r="G1112" s="68"/>
      <x:c r="K1112" t="str">
        <x:f>IF(B1112="","",IF(I1112="확인 필요","붙임 문서 확인 후 거래 성격·기간·상대방·일회성 여부 확인","결의서명과 전기 대비 발생 건수·단가·시점 차이 검토"))</x:f>
      </x:c>
    </x:row>
    <x:row r="1113">
      <x:c r="A1113" t="str">
        <x:f>IF(B1113="","",IF(COUNTIFS('전기원장'!$A$5:$A$1004,B1113,'전기원장'!$D$5:$D$1004,E1113)&gt;0,"전기","당기"))</x:f>
      </x:c>
      <x:c r="D1113" s="67"/>
      <x:c r="G1113" s="68"/>
      <x:c r="K1113" t="str">
        <x:f>IF(B1113="","",IF(I1113="확인 필요","붙임 문서 확인 후 거래 성격·기간·상대방·일회성 여부 확인","결의서명과 전기 대비 발생 건수·단가·시점 차이 검토"))</x:f>
      </x:c>
    </x:row>
    <x:row r="1114">
      <x:c r="A1114" t="str">
        <x:f>IF(B1114="","",IF(COUNTIFS('전기원장'!$A$5:$A$1004,B1114,'전기원장'!$D$5:$D$1004,E1114)&gt;0,"전기","당기"))</x:f>
      </x:c>
      <x:c r="D1114" s="67"/>
      <x:c r="G1114" s="68"/>
      <x:c r="K1114" t="str">
        <x:f>IF(B1114="","",IF(I1114="확인 필요","붙임 문서 확인 후 거래 성격·기간·상대방·일회성 여부 확인","결의서명과 전기 대비 발생 건수·단가·시점 차이 검토"))</x:f>
      </x:c>
    </x:row>
    <x:row r="1115">
      <x:c r="A1115" t="str">
        <x:f>IF(B1115="","",IF(COUNTIFS('전기원장'!$A$5:$A$1004,B1115,'전기원장'!$D$5:$D$1004,E1115)&gt;0,"전기","당기"))</x:f>
      </x:c>
      <x:c r="D1115" s="67"/>
      <x:c r="G1115" s="68"/>
      <x:c r="K1115" t="str">
        <x:f>IF(B1115="","",IF(I1115="확인 필요","붙임 문서 확인 후 거래 성격·기간·상대방·일회성 여부 확인","결의서명과 전기 대비 발생 건수·단가·시점 차이 검토"))</x:f>
      </x:c>
    </x:row>
    <x:row r="1116">
      <x:c r="A1116" t="str">
        <x:f>IF(B1116="","",IF(COUNTIFS('전기원장'!$A$5:$A$1004,B1116,'전기원장'!$D$5:$D$1004,E1116)&gt;0,"전기","당기"))</x:f>
      </x:c>
      <x:c r="D1116" s="67"/>
      <x:c r="G1116" s="68"/>
      <x:c r="K1116" t="str">
        <x:f>IF(B1116="","",IF(I1116="확인 필요","붙임 문서 확인 후 거래 성격·기간·상대방·일회성 여부 확인","결의서명과 전기 대비 발생 건수·단가·시점 차이 검토"))</x:f>
      </x:c>
    </x:row>
    <x:row r="1117">
      <x:c r="A1117" t="str">
        <x:f>IF(B1117="","",IF(COUNTIFS('전기원장'!$A$5:$A$1004,B1117,'전기원장'!$D$5:$D$1004,E1117)&gt;0,"전기","당기"))</x:f>
      </x:c>
      <x:c r="D1117" s="67"/>
      <x:c r="G1117" s="68"/>
      <x:c r="K1117" t="str">
        <x:f>IF(B1117="","",IF(I1117="확인 필요","붙임 문서 확인 후 거래 성격·기간·상대방·일회성 여부 확인","결의서명과 전기 대비 발생 건수·단가·시점 차이 검토"))</x:f>
      </x:c>
    </x:row>
    <x:row r="1118">
      <x:c r="A1118" t="str">
        <x:f>IF(B1118="","",IF(COUNTIFS('전기원장'!$A$5:$A$1004,B1118,'전기원장'!$D$5:$D$1004,E1118)&gt;0,"전기","당기"))</x:f>
      </x:c>
      <x:c r="D1118" s="67"/>
      <x:c r="G1118" s="68"/>
      <x:c r="K1118" t="str">
        <x:f>IF(B1118="","",IF(I1118="확인 필요","붙임 문서 확인 후 거래 성격·기간·상대방·일회성 여부 확인","결의서명과 전기 대비 발생 건수·단가·시점 차이 검토"))</x:f>
      </x:c>
    </x:row>
    <x:row r="1119">
      <x:c r="A1119" t="str">
        <x:f>IF(B1119="","",IF(COUNTIFS('전기원장'!$A$5:$A$1004,B1119,'전기원장'!$D$5:$D$1004,E1119)&gt;0,"전기","당기"))</x:f>
      </x:c>
      <x:c r="D1119" s="67"/>
      <x:c r="G1119" s="68"/>
      <x:c r="K1119" t="str">
        <x:f>IF(B1119="","",IF(I1119="확인 필요","붙임 문서 확인 후 거래 성격·기간·상대방·일회성 여부 확인","결의서명과 전기 대비 발생 건수·단가·시점 차이 검토"))</x:f>
      </x:c>
    </x:row>
    <x:row r="1120">
      <x:c r="A1120" t="str">
        <x:f>IF(B1120="","",IF(COUNTIFS('전기원장'!$A$5:$A$1004,B1120,'전기원장'!$D$5:$D$1004,E1120)&gt;0,"전기","당기"))</x:f>
      </x:c>
      <x:c r="D1120" s="67"/>
      <x:c r="G1120" s="68"/>
      <x:c r="K1120" t="str">
        <x:f>IF(B1120="","",IF(I1120="확인 필요","붙임 문서 확인 후 거래 성격·기간·상대방·일회성 여부 확인","결의서명과 전기 대비 발생 건수·단가·시점 차이 검토"))</x:f>
      </x:c>
    </x:row>
    <x:row r="1121">
      <x:c r="A1121" t="str">
        <x:f>IF(B1121="","",IF(COUNTIFS('전기원장'!$A$5:$A$1004,B1121,'전기원장'!$D$5:$D$1004,E1121)&gt;0,"전기","당기"))</x:f>
      </x:c>
      <x:c r="D1121" s="67"/>
      <x:c r="G1121" s="68"/>
      <x:c r="K1121" t="str">
        <x:f>IF(B1121="","",IF(I1121="확인 필요","붙임 문서 확인 후 거래 성격·기간·상대방·일회성 여부 확인","결의서명과 전기 대비 발생 건수·단가·시점 차이 검토"))</x:f>
      </x:c>
    </x:row>
    <x:row r="1122">
      <x:c r="A1122" t="str">
        <x:f>IF(B1122="","",IF(COUNTIFS('전기원장'!$A$5:$A$1004,B1122,'전기원장'!$D$5:$D$1004,E1122)&gt;0,"전기","당기"))</x:f>
      </x:c>
      <x:c r="D1122" s="67"/>
      <x:c r="G1122" s="68"/>
      <x:c r="K1122" t="str">
        <x:f>IF(B1122="","",IF(I1122="확인 필요","붙임 문서 확인 후 거래 성격·기간·상대방·일회성 여부 확인","결의서명과 전기 대비 발생 건수·단가·시점 차이 검토"))</x:f>
      </x:c>
    </x:row>
    <x:row r="1123">
      <x:c r="A1123" t="str">
        <x:f>IF(B1123="","",IF(COUNTIFS('전기원장'!$A$5:$A$1004,B1123,'전기원장'!$D$5:$D$1004,E1123)&gt;0,"전기","당기"))</x:f>
      </x:c>
      <x:c r="D1123" s="67"/>
      <x:c r="G1123" s="68"/>
      <x:c r="K1123" t="str">
        <x:f>IF(B1123="","",IF(I1123="확인 필요","붙임 문서 확인 후 거래 성격·기간·상대방·일회성 여부 확인","결의서명과 전기 대비 발생 건수·단가·시점 차이 검토"))</x:f>
      </x:c>
    </x:row>
    <x:row r="1124">
      <x:c r="A1124" t="str">
        <x:f>IF(B1124="","",IF(COUNTIFS('전기원장'!$A$5:$A$1004,B1124,'전기원장'!$D$5:$D$1004,E1124)&gt;0,"전기","당기"))</x:f>
      </x:c>
      <x:c r="D1124" s="67"/>
      <x:c r="G1124" s="68"/>
      <x:c r="K1124" t="str">
        <x:f>IF(B1124="","",IF(I1124="확인 필요","붙임 문서 확인 후 거래 성격·기간·상대방·일회성 여부 확인","결의서명과 전기 대비 발생 건수·단가·시점 차이 검토"))</x:f>
      </x:c>
    </x:row>
    <x:row r="1125">
      <x:c r="A1125" t="str">
        <x:f>IF(B1125="","",IF(COUNTIFS('전기원장'!$A$5:$A$1004,B1125,'전기원장'!$D$5:$D$1004,E1125)&gt;0,"전기","당기"))</x:f>
      </x:c>
      <x:c r="D1125" s="67"/>
      <x:c r="G1125" s="68"/>
      <x:c r="K1125" t="str">
        <x:f>IF(B1125="","",IF(I1125="확인 필요","붙임 문서 확인 후 거래 성격·기간·상대방·일회성 여부 확인","결의서명과 전기 대비 발생 건수·단가·시점 차이 검토"))</x:f>
      </x:c>
    </x:row>
    <x:row r="1126">
      <x:c r="A1126" t="str">
        <x:f>IF(B1126="","",IF(COUNTIFS('전기원장'!$A$5:$A$1004,B1126,'전기원장'!$D$5:$D$1004,E1126)&gt;0,"전기","당기"))</x:f>
      </x:c>
      <x:c r="D1126" s="67"/>
      <x:c r="G1126" s="68"/>
      <x:c r="K1126" t="str">
        <x:f>IF(B1126="","",IF(I1126="확인 필요","붙임 문서 확인 후 거래 성격·기간·상대방·일회성 여부 확인","결의서명과 전기 대비 발생 건수·단가·시점 차이 검토"))</x:f>
      </x:c>
    </x:row>
    <x:row r="1127">
      <x:c r="A1127" t="str">
        <x:f>IF(B1127="","",IF(COUNTIFS('전기원장'!$A$5:$A$1004,B1127,'전기원장'!$D$5:$D$1004,E1127)&gt;0,"전기","당기"))</x:f>
      </x:c>
      <x:c r="D1127" s="67"/>
      <x:c r="G1127" s="68"/>
      <x:c r="K1127" t="str">
        <x:f>IF(B1127="","",IF(I1127="확인 필요","붙임 문서 확인 후 거래 성격·기간·상대방·일회성 여부 확인","결의서명과 전기 대비 발생 건수·단가·시점 차이 검토"))</x:f>
      </x:c>
    </x:row>
    <x:row r="1128">
      <x:c r="A1128" t="str">
        <x:f>IF(B1128="","",IF(COUNTIFS('전기원장'!$A$5:$A$1004,B1128,'전기원장'!$D$5:$D$1004,E1128)&gt;0,"전기","당기"))</x:f>
      </x:c>
      <x:c r="D1128" s="67"/>
      <x:c r="G1128" s="68"/>
      <x:c r="K1128" t="str">
        <x:f>IF(B1128="","",IF(I1128="확인 필요","붙임 문서 확인 후 거래 성격·기간·상대방·일회성 여부 확인","결의서명과 전기 대비 발생 건수·단가·시점 차이 검토"))</x:f>
      </x:c>
    </x:row>
    <x:row r="1129">
      <x:c r="A1129" t="str">
        <x:f>IF(B1129="","",IF(COUNTIFS('전기원장'!$A$5:$A$1004,B1129,'전기원장'!$D$5:$D$1004,E1129)&gt;0,"전기","당기"))</x:f>
      </x:c>
      <x:c r="D1129" s="67"/>
      <x:c r="G1129" s="68"/>
      <x:c r="K1129" t="str">
        <x:f>IF(B1129="","",IF(I1129="확인 필요","붙임 문서 확인 후 거래 성격·기간·상대방·일회성 여부 확인","결의서명과 전기 대비 발생 건수·단가·시점 차이 검토"))</x:f>
      </x:c>
    </x:row>
    <x:row r="1130">
      <x:c r="A1130" t="str">
        <x:f>IF(B1130="","",IF(COUNTIFS('전기원장'!$A$5:$A$1004,B1130,'전기원장'!$D$5:$D$1004,E1130)&gt;0,"전기","당기"))</x:f>
      </x:c>
      <x:c r="D1130" s="67"/>
      <x:c r="G1130" s="68"/>
      <x:c r="K1130" t="str">
        <x:f>IF(B1130="","",IF(I1130="확인 필요","붙임 문서 확인 후 거래 성격·기간·상대방·일회성 여부 확인","결의서명과 전기 대비 발생 건수·단가·시점 차이 검토"))</x:f>
      </x:c>
    </x:row>
    <x:row r="1131">
      <x:c r="A1131" t="str">
        <x:f>IF(B1131="","",IF(COUNTIFS('전기원장'!$A$5:$A$1004,B1131,'전기원장'!$D$5:$D$1004,E1131)&gt;0,"전기","당기"))</x:f>
      </x:c>
      <x:c r="D1131" s="67"/>
      <x:c r="G1131" s="68"/>
      <x:c r="K1131" t="str">
        <x:f>IF(B1131="","",IF(I1131="확인 필요","붙임 문서 확인 후 거래 성격·기간·상대방·일회성 여부 확인","결의서명과 전기 대비 발생 건수·단가·시점 차이 검토"))</x:f>
      </x:c>
    </x:row>
    <x:row r="1132">
      <x:c r="A1132" t="str">
        <x:f>IF(B1132="","",IF(COUNTIFS('전기원장'!$A$5:$A$1004,B1132,'전기원장'!$D$5:$D$1004,E1132)&gt;0,"전기","당기"))</x:f>
      </x:c>
      <x:c r="D1132" s="67"/>
      <x:c r="G1132" s="68"/>
      <x:c r="K1132" t="str">
        <x:f>IF(B1132="","",IF(I1132="확인 필요","붙임 문서 확인 후 거래 성격·기간·상대방·일회성 여부 확인","결의서명과 전기 대비 발생 건수·단가·시점 차이 검토"))</x:f>
      </x:c>
    </x:row>
    <x:row r="1133">
      <x:c r="A1133" t="str">
        <x:f>IF(B1133="","",IF(COUNTIFS('전기원장'!$A$5:$A$1004,B1133,'전기원장'!$D$5:$D$1004,E1133)&gt;0,"전기","당기"))</x:f>
      </x:c>
      <x:c r="D1133" s="67"/>
      <x:c r="G1133" s="68"/>
      <x:c r="K1133" t="str">
        <x:f>IF(B1133="","",IF(I1133="확인 필요","붙임 문서 확인 후 거래 성격·기간·상대방·일회성 여부 확인","결의서명과 전기 대비 발생 건수·단가·시점 차이 검토"))</x:f>
      </x:c>
    </x:row>
    <x:row r="1134">
      <x:c r="A1134" t="str">
        <x:f>IF(B1134="","",IF(COUNTIFS('전기원장'!$A$5:$A$1004,B1134,'전기원장'!$D$5:$D$1004,E1134)&gt;0,"전기","당기"))</x:f>
      </x:c>
      <x:c r="D1134" s="67"/>
      <x:c r="G1134" s="68"/>
      <x:c r="K1134" t="str">
        <x:f>IF(B1134="","",IF(I1134="확인 필요","붙임 문서 확인 후 거래 성격·기간·상대방·일회성 여부 확인","결의서명과 전기 대비 발생 건수·단가·시점 차이 검토"))</x:f>
      </x:c>
    </x:row>
    <x:row r="1135">
      <x:c r="A1135" t="str">
        <x:f>IF(B1135="","",IF(COUNTIFS('전기원장'!$A$5:$A$1004,B1135,'전기원장'!$D$5:$D$1004,E1135)&gt;0,"전기","당기"))</x:f>
      </x:c>
      <x:c r="D1135" s="67"/>
      <x:c r="G1135" s="68"/>
      <x:c r="K1135" t="str">
        <x:f>IF(B1135="","",IF(I1135="확인 필요","붙임 문서 확인 후 거래 성격·기간·상대방·일회성 여부 확인","결의서명과 전기 대비 발생 건수·단가·시점 차이 검토"))</x:f>
      </x:c>
    </x:row>
    <x:row r="1136">
      <x:c r="A1136" t="str">
        <x:f>IF(B1136="","",IF(COUNTIFS('전기원장'!$A$5:$A$1004,B1136,'전기원장'!$D$5:$D$1004,E1136)&gt;0,"전기","당기"))</x:f>
      </x:c>
      <x:c r="D1136" s="67"/>
      <x:c r="G1136" s="68"/>
      <x:c r="K1136" t="str">
        <x:f>IF(B1136="","",IF(I1136="확인 필요","붙임 문서 확인 후 거래 성격·기간·상대방·일회성 여부 확인","결의서명과 전기 대비 발생 건수·단가·시점 차이 검토"))</x:f>
      </x:c>
    </x:row>
    <x:row r="1137">
      <x:c r="A1137" t="str">
        <x:f>IF(B1137="","",IF(COUNTIFS('전기원장'!$A$5:$A$1004,B1137,'전기원장'!$D$5:$D$1004,E1137)&gt;0,"전기","당기"))</x:f>
      </x:c>
      <x:c r="D1137" s="67"/>
      <x:c r="G1137" s="68"/>
      <x:c r="K1137" t="str">
        <x:f>IF(B1137="","",IF(I1137="확인 필요","붙임 문서 확인 후 거래 성격·기간·상대방·일회성 여부 확인","결의서명과 전기 대비 발생 건수·단가·시점 차이 검토"))</x:f>
      </x:c>
    </x:row>
    <x:row r="1138">
      <x:c r="A1138" t="str">
        <x:f>IF(B1138="","",IF(COUNTIFS('전기원장'!$A$5:$A$1004,B1138,'전기원장'!$D$5:$D$1004,E1138)&gt;0,"전기","당기"))</x:f>
      </x:c>
      <x:c r="D1138" s="67"/>
      <x:c r="G1138" s="68"/>
      <x:c r="K1138" t="str">
        <x:f>IF(B1138="","",IF(I1138="확인 필요","붙임 문서 확인 후 거래 성격·기간·상대방·일회성 여부 확인","결의서명과 전기 대비 발생 건수·단가·시점 차이 검토"))</x:f>
      </x:c>
    </x:row>
    <x:row r="1139">
      <x:c r="A1139" t="str">
        <x:f>IF(B1139="","",IF(COUNTIFS('전기원장'!$A$5:$A$1004,B1139,'전기원장'!$D$5:$D$1004,E1139)&gt;0,"전기","당기"))</x:f>
      </x:c>
      <x:c r="D1139" s="67"/>
      <x:c r="G1139" s="68"/>
      <x:c r="K1139" t="str">
        <x:f>IF(B1139="","",IF(I1139="확인 필요","붙임 문서 확인 후 거래 성격·기간·상대방·일회성 여부 확인","결의서명과 전기 대비 발생 건수·단가·시점 차이 검토"))</x:f>
      </x:c>
    </x:row>
    <x:row r="1140">
      <x:c r="A1140" t="str">
        <x:f>IF(B1140="","",IF(COUNTIFS('전기원장'!$A$5:$A$1004,B1140,'전기원장'!$D$5:$D$1004,E1140)&gt;0,"전기","당기"))</x:f>
      </x:c>
      <x:c r="D1140" s="67"/>
      <x:c r="G1140" s="68"/>
      <x:c r="K1140" t="str">
        <x:f>IF(B1140="","",IF(I1140="확인 필요","붙임 문서 확인 후 거래 성격·기간·상대방·일회성 여부 확인","결의서명과 전기 대비 발생 건수·단가·시점 차이 검토"))</x:f>
      </x:c>
    </x:row>
    <x:row r="1141">
      <x:c r="A1141" t="str">
        <x:f>IF(B1141="","",IF(COUNTIFS('전기원장'!$A$5:$A$1004,B1141,'전기원장'!$D$5:$D$1004,E1141)&gt;0,"전기","당기"))</x:f>
      </x:c>
      <x:c r="D1141" s="67"/>
      <x:c r="G1141" s="68"/>
      <x:c r="K1141" t="str">
        <x:f>IF(B1141="","",IF(I1141="확인 필요","붙임 문서 확인 후 거래 성격·기간·상대방·일회성 여부 확인","결의서명과 전기 대비 발생 건수·단가·시점 차이 검토"))</x:f>
      </x:c>
    </x:row>
    <x:row r="1142">
      <x:c r="A1142" t="str">
        <x:f>IF(B1142="","",IF(COUNTIFS('전기원장'!$A$5:$A$1004,B1142,'전기원장'!$D$5:$D$1004,E1142)&gt;0,"전기","당기"))</x:f>
      </x:c>
      <x:c r="D1142" s="67"/>
      <x:c r="G1142" s="68"/>
      <x:c r="K1142" t="str">
        <x:f>IF(B1142="","",IF(I1142="확인 필요","붙임 문서 확인 후 거래 성격·기간·상대방·일회성 여부 확인","결의서명과 전기 대비 발생 건수·단가·시점 차이 검토"))</x:f>
      </x:c>
    </x:row>
    <x:row r="1143">
      <x:c r="A1143" t="str">
        <x:f>IF(B1143="","",IF(COUNTIFS('전기원장'!$A$5:$A$1004,B1143,'전기원장'!$D$5:$D$1004,E1143)&gt;0,"전기","당기"))</x:f>
      </x:c>
      <x:c r="D1143" s="67"/>
      <x:c r="G1143" s="68"/>
      <x:c r="K1143" t="str">
        <x:f>IF(B1143="","",IF(I1143="확인 필요","붙임 문서 확인 후 거래 성격·기간·상대방·일회성 여부 확인","결의서명과 전기 대비 발생 건수·단가·시점 차이 검토"))</x:f>
      </x:c>
    </x:row>
    <x:row r="1144">
      <x:c r="A1144" t="str">
        <x:f>IF(B1144="","",IF(COUNTIFS('전기원장'!$A$5:$A$1004,B1144,'전기원장'!$D$5:$D$1004,E1144)&gt;0,"전기","당기"))</x:f>
      </x:c>
      <x:c r="D1144" s="67"/>
      <x:c r="G1144" s="68"/>
      <x:c r="K1144" t="str">
        <x:f>IF(B1144="","",IF(I1144="확인 필요","붙임 문서 확인 후 거래 성격·기간·상대방·일회성 여부 확인","결의서명과 전기 대비 발생 건수·단가·시점 차이 검토"))</x:f>
      </x:c>
    </x:row>
    <x:row r="1145">
      <x:c r="A1145" t="str">
        <x:f>IF(B1145="","",IF(COUNTIFS('전기원장'!$A$5:$A$1004,B1145,'전기원장'!$D$5:$D$1004,E1145)&gt;0,"전기","당기"))</x:f>
      </x:c>
      <x:c r="D1145" s="67"/>
      <x:c r="G1145" s="68"/>
      <x:c r="K1145" t="str">
        <x:f>IF(B1145="","",IF(I1145="확인 필요","붙임 문서 확인 후 거래 성격·기간·상대방·일회성 여부 확인","결의서명과 전기 대비 발생 건수·단가·시점 차이 검토"))</x:f>
      </x:c>
    </x:row>
    <x:row r="1146">
      <x:c r="A1146" t="str">
        <x:f>IF(B1146="","",IF(COUNTIFS('전기원장'!$A$5:$A$1004,B1146,'전기원장'!$D$5:$D$1004,E1146)&gt;0,"전기","당기"))</x:f>
      </x:c>
      <x:c r="D1146" s="67"/>
      <x:c r="G1146" s="68"/>
      <x:c r="K1146" t="str">
        <x:f>IF(B1146="","",IF(I1146="확인 필요","붙임 문서 확인 후 거래 성격·기간·상대방·일회성 여부 확인","결의서명과 전기 대비 발생 건수·단가·시점 차이 검토"))</x:f>
      </x:c>
    </x:row>
    <x:row r="1147">
      <x:c r="A1147" t="str">
        <x:f>IF(B1147="","",IF(COUNTIFS('전기원장'!$A$5:$A$1004,B1147,'전기원장'!$D$5:$D$1004,E1147)&gt;0,"전기","당기"))</x:f>
      </x:c>
      <x:c r="D1147" s="67"/>
      <x:c r="G1147" s="68"/>
      <x:c r="K1147" t="str">
        <x:f>IF(B1147="","",IF(I1147="확인 필요","붙임 문서 확인 후 거래 성격·기간·상대방·일회성 여부 확인","결의서명과 전기 대비 발생 건수·단가·시점 차이 검토"))</x:f>
      </x:c>
    </x:row>
    <x:row r="1148">
      <x:c r="A1148" t="str">
        <x:f>IF(B1148="","",IF(COUNTIFS('전기원장'!$A$5:$A$1004,B1148,'전기원장'!$D$5:$D$1004,E1148)&gt;0,"전기","당기"))</x:f>
      </x:c>
      <x:c r="D1148" s="67"/>
      <x:c r="G1148" s="68"/>
      <x:c r="K1148" t="str">
        <x:f>IF(B1148="","",IF(I1148="확인 필요","붙임 문서 확인 후 거래 성격·기간·상대방·일회성 여부 확인","결의서명과 전기 대비 발생 건수·단가·시점 차이 검토"))</x:f>
      </x:c>
    </x:row>
    <x:row r="1149">
      <x:c r="A1149" t="str">
        <x:f>IF(B1149="","",IF(COUNTIFS('전기원장'!$A$5:$A$1004,B1149,'전기원장'!$D$5:$D$1004,E1149)&gt;0,"전기","당기"))</x:f>
      </x:c>
      <x:c r="D1149" s="67"/>
      <x:c r="G1149" s="68"/>
      <x:c r="K1149" t="str">
        <x:f>IF(B1149="","",IF(I1149="확인 필요","붙임 문서 확인 후 거래 성격·기간·상대방·일회성 여부 확인","결의서명과 전기 대비 발생 건수·단가·시점 차이 검토"))</x:f>
      </x:c>
    </x:row>
    <x:row r="1150">
      <x:c r="A1150" t="str">
        <x:f>IF(B1150="","",IF(COUNTIFS('전기원장'!$A$5:$A$1004,B1150,'전기원장'!$D$5:$D$1004,E1150)&gt;0,"전기","당기"))</x:f>
      </x:c>
      <x:c r="D1150" s="67"/>
      <x:c r="G1150" s="68"/>
      <x:c r="K1150" t="str">
        <x:f>IF(B1150="","",IF(I1150="확인 필요","붙임 문서 확인 후 거래 성격·기간·상대방·일회성 여부 확인","결의서명과 전기 대비 발생 건수·단가·시점 차이 검토"))</x:f>
      </x:c>
    </x:row>
    <x:row r="1151">
      <x:c r="A1151" t="str">
        <x:f>IF(B1151="","",IF(COUNTIFS('전기원장'!$A$5:$A$1004,B1151,'전기원장'!$D$5:$D$1004,E1151)&gt;0,"전기","당기"))</x:f>
      </x:c>
      <x:c r="D1151" s="67"/>
      <x:c r="G1151" s="68"/>
      <x:c r="K1151" t="str">
        <x:f>IF(B1151="","",IF(I1151="확인 필요","붙임 문서 확인 후 거래 성격·기간·상대방·일회성 여부 확인","결의서명과 전기 대비 발생 건수·단가·시점 차이 검토"))</x:f>
      </x:c>
    </x:row>
    <x:row r="1152">
      <x:c r="A1152" t="str">
        <x:f>IF(B1152="","",IF(COUNTIFS('전기원장'!$A$5:$A$1004,B1152,'전기원장'!$D$5:$D$1004,E1152)&gt;0,"전기","당기"))</x:f>
      </x:c>
      <x:c r="D1152" s="67"/>
      <x:c r="G1152" s="68"/>
      <x:c r="K1152" t="str">
        <x:f>IF(B1152="","",IF(I1152="확인 필요","붙임 문서 확인 후 거래 성격·기간·상대방·일회성 여부 확인","결의서명과 전기 대비 발생 건수·단가·시점 차이 검토"))</x:f>
      </x:c>
    </x:row>
    <x:row r="1153">
      <x:c r="A1153" t="str">
        <x:f>IF(B1153="","",IF(COUNTIFS('전기원장'!$A$5:$A$1004,B1153,'전기원장'!$D$5:$D$1004,E1153)&gt;0,"전기","당기"))</x:f>
      </x:c>
      <x:c r="D1153" s="67"/>
      <x:c r="G1153" s="68"/>
      <x:c r="K1153" t="str">
        <x:f>IF(B1153="","",IF(I1153="확인 필요","붙임 문서 확인 후 거래 성격·기간·상대방·일회성 여부 확인","결의서명과 전기 대비 발생 건수·단가·시점 차이 검토"))</x:f>
      </x:c>
    </x:row>
    <x:row r="1154">
      <x:c r="A1154" t="str">
        <x:f>IF(B1154="","",IF(COUNTIFS('전기원장'!$A$5:$A$1004,B1154,'전기원장'!$D$5:$D$1004,E1154)&gt;0,"전기","당기"))</x:f>
      </x:c>
      <x:c r="D1154" s="67"/>
      <x:c r="G1154" s="68"/>
      <x:c r="K1154" t="str">
        <x:f>IF(B1154="","",IF(I1154="확인 필요","붙임 문서 확인 후 거래 성격·기간·상대방·일회성 여부 확인","결의서명과 전기 대비 발생 건수·단가·시점 차이 검토"))</x:f>
      </x:c>
    </x:row>
    <x:row r="1155">
      <x:c r="A1155" t="str">
        <x:f>IF(B1155="","",IF(COUNTIFS('전기원장'!$A$5:$A$1004,B1155,'전기원장'!$D$5:$D$1004,E1155)&gt;0,"전기","당기"))</x:f>
      </x:c>
      <x:c r="D1155" s="67"/>
      <x:c r="G1155" s="68"/>
      <x:c r="K1155" t="str">
        <x:f>IF(B1155="","",IF(I1155="확인 필요","붙임 문서 확인 후 거래 성격·기간·상대방·일회성 여부 확인","결의서명과 전기 대비 발생 건수·단가·시점 차이 검토"))</x:f>
      </x:c>
    </x:row>
    <x:row r="1156">
      <x:c r="A1156" t="str">
        <x:f>IF(B1156="","",IF(COUNTIFS('전기원장'!$A$5:$A$1004,B1156,'전기원장'!$D$5:$D$1004,E1156)&gt;0,"전기","당기"))</x:f>
      </x:c>
      <x:c r="D1156" s="67"/>
      <x:c r="G1156" s="68"/>
      <x:c r="K1156" t="str">
        <x:f>IF(B1156="","",IF(I1156="확인 필요","붙임 문서 확인 후 거래 성격·기간·상대방·일회성 여부 확인","결의서명과 전기 대비 발생 건수·단가·시점 차이 검토"))</x:f>
      </x:c>
    </x:row>
    <x:row r="1157">
      <x:c r="A1157" t="str">
        <x:f>IF(B1157="","",IF(COUNTIFS('전기원장'!$A$5:$A$1004,B1157,'전기원장'!$D$5:$D$1004,E1157)&gt;0,"전기","당기"))</x:f>
      </x:c>
      <x:c r="D1157" s="67"/>
      <x:c r="G1157" s="68"/>
      <x:c r="K1157" t="str">
        <x:f>IF(B1157="","",IF(I1157="확인 필요","붙임 문서 확인 후 거래 성격·기간·상대방·일회성 여부 확인","결의서명과 전기 대비 발생 건수·단가·시점 차이 검토"))</x:f>
      </x:c>
    </x:row>
    <x:row r="1158">
      <x:c r="A1158" t="str">
        <x:f>IF(B1158="","",IF(COUNTIFS('전기원장'!$A$5:$A$1004,B1158,'전기원장'!$D$5:$D$1004,E1158)&gt;0,"전기","당기"))</x:f>
      </x:c>
      <x:c r="D1158" s="67"/>
      <x:c r="G1158" s="68"/>
      <x:c r="K1158" t="str">
        <x:f>IF(B1158="","",IF(I1158="확인 필요","붙임 문서 확인 후 거래 성격·기간·상대방·일회성 여부 확인","결의서명과 전기 대비 발생 건수·단가·시점 차이 검토"))</x:f>
      </x:c>
    </x:row>
    <x:row r="1159">
      <x:c r="A1159" t="str">
        <x:f>IF(B1159="","",IF(COUNTIFS('전기원장'!$A$5:$A$1004,B1159,'전기원장'!$D$5:$D$1004,E1159)&gt;0,"전기","당기"))</x:f>
      </x:c>
      <x:c r="D1159" s="67"/>
      <x:c r="G1159" s="68"/>
      <x:c r="K1159" t="str">
        <x:f>IF(B1159="","",IF(I1159="확인 필요","붙임 문서 확인 후 거래 성격·기간·상대방·일회성 여부 확인","결의서명과 전기 대비 발생 건수·단가·시점 차이 검토"))</x:f>
      </x:c>
    </x:row>
    <x:row r="1160">
      <x:c r="A1160" t="str">
        <x:f>IF(B1160="","",IF(COUNTIFS('전기원장'!$A$5:$A$1004,B1160,'전기원장'!$D$5:$D$1004,E1160)&gt;0,"전기","당기"))</x:f>
      </x:c>
      <x:c r="D1160" s="67"/>
      <x:c r="G1160" s="68"/>
      <x:c r="K1160" t="str">
        <x:f>IF(B1160="","",IF(I1160="확인 필요","붙임 문서 확인 후 거래 성격·기간·상대방·일회성 여부 확인","결의서명과 전기 대비 발생 건수·단가·시점 차이 검토"))</x:f>
      </x:c>
    </x:row>
    <x:row r="1161">
      <x:c r="A1161" t="str">
        <x:f>IF(B1161="","",IF(COUNTIFS('전기원장'!$A$5:$A$1004,B1161,'전기원장'!$D$5:$D$1004,E1161)&gt;0,"전기","당기"))</x:f>
      </x:c>
      <x:c r="D1161" s="67"/>
      <x:c r="G1161" s="68"/>
      <x:c r="K1161" t="str">
        <x:f>IF(B1161="","",IF(I1161="확인 필요","붙임 문서 확인 후 거래 성격·기간·상대방·일회성 여부 확인","결의서명과 전기 대비 발생 건수·단가·시점 차이 검토"))</x:f>
      </x:c>
    </x:row>
    <x:row r="1162">
      <x:c r="A1162" t="str">
        <x:f>IF(B1162="","",IF(COUNTIFS('전기원장'!$A$5:$A$1004,B1162,'전기원장'!$D$5:$D$1004,E1162)&gt;0,"전기","당기"))</x:f>
      </x:c>
      <x:c r="D1162" s="67"/>
      <x:c r="G1162" s="68"/>
      <x:c r="K1162" t="str">
        <x:f>IF(B1162="","",IF(I1162="확인 필요","붙임 문서 확인 후 거래 성격·기간·상대방·일회성 여부 확인","결의서명과 전기 대비 발생 건수·단가·시점 차이 검토"))</x:f>
      </x:c>
    </x:row>
    <x:row r="1163">
      <x:c r="A1163" t="str">
        <x:f>IF(B1163="","",IF(COUNTIFS('전기원장'!$A$5:$A$1004,B1163,'전기원장'!$D$5:$D$1004,E1163)&gt;0,"전기","당기"))</x:f>
      </x:c>
      <x:c r="D1163" s="67"/>
      <x:c r="G1163" s="68"/>
      <x:c r="K1163" t="str">
        <x:f>IF(B1163="","",IF(I1163="확인 필요","붙임 문서 확인 후 거래 성격·기간·상대방·일회성 여부 확인","결의서명과 전기 대비 발생 건수·단가·시점 차이 검토"))</x:f>
      </x:c>
    </x:row>
    <x:row r="1164">
      <x:c r="A1164" t="str">
        <x:f>IF(B1164="","",IF(COUNTIFS('전기원장'!$A$5:$A$1004,B1164,'전기원장'!$D$5:$D$1004,E1164)&gt;0,"전기","당기"))</x:f>
      </x:c>
      <x:c r="D1164" s="67"/>
      <x:c r="G1164" s="68"/>
      <x:c r="K1164" t="str">
        <x:f>IF(B1164="","",IF(I1164="확인 필요","붙임 문서 확인 후 거래 성격·기간·상대방·일회성 여부 확인","결의서명과 전기 대비 발생 건수·단가·시점 차이 검토"))</x:f>
      </x:c>
    </x:row>
    <x:row r="1165">
      <x:c r="A1165" t="str">
        <x:f>IF(B1165="","",IF(COUNTIFS('전기원장'!$A$5:$A$1004,B1165,'전기원장'!$D$5:$D$1004,E1165)&gt;0,"전기","당기"))</x:f>
      </x:c>
      <x:c r="D1165" s="67"/>
      <x:c r="G1165" s="68"/>
      <x:c r="K1165" t="str">
        <x:f>IF(B1165="","",IF(I1165="확인 필요","붙임 문서 확인 후 거래 성격·기간·상대방·일회성 여부 확인","결의서명과 전기 대비 발생 건수·단가·시점 차이 검토"))</x:f>
      </x:c>
    </x:row>
    <x:row r="1166">
      <x:c r="A1166" t="str">
        <x:f>IF(B1166="","",IF(COUNTIFS('전기원장'!$A$5:$A$1004,B1166,'전기원장'!$D$5:$D$1004,E1166)&gt;0,"전기","당기"))</x:f>
      </x:c>
      <x:c r="D1166" s="67"/>
      <x:c r="G1166" s="68"/>
      <x:c r="K1166" t="str">
        <x:f>IF(B1166="","",IF(I1166="확인 필요","붙임 문서 확인 후 거래 성격·기간·상대방·일회성 여부 확인","결의서명과 전기 대비 발생 건수·단가·시점 차이 검토"))</x:f>
      </x:c>
    </x:row>
    <x:row r="1167">
      <x:c r="A1167" t="str">
        <x:f>IF(B1167="","",IF(COUNTIFS('전기원장'!$A$5:$A$1004,B1167,'전기원장'!$D$5:$D$1004,E1167)&gt;0,"전기","당기"))</x:f>
      </x:c>
      <x:c r="D1167" s="67"/>
      <x:c r="G1167" s="68"/>
      <x:c r="K1167" t="str">
        <x:f>IF(B1167="","",IF(I1167="확인 필요","붙임 문서 확인 후 거래 성격·기간·상대방·일회성 여부 확인","결의서명과 전기 대비 발생 건수·단가·시점 차이 검토"))</x:f>
      </x:c>
    </x:row>
    <x:row r="1168">
      <x:c r="A1168" t="str">
        <x:f>IF(B1168="","",IF(COUNTIFS('전기원장'!$A$5:$A$1004,B1168,'전기원장'!$D$5:$D$1004,E1168)&gt;0,"전기","당기"))</x:f>
      </x:c>
      <x:c r="D1168" s="67"/>
      <x:c r="G1168" s="68"/>
      <x:c r="K1168" t="str">
        <x:f>IF(B1168="","",IF(I1168="확인 필요","붙임 문서 확인 후 거래 성격·기간·상대방·일회성 여부 확인","결의서명과 전기 대비 발생 건수·단가·시점 차이 검토"))</x:f>
      </x:c>
    </x:row>
    <x:row r="1169">
      <x:c r="A1169" t="str">
        <x:f>IF(B1169="","",IF(COUNTIFS('전기원장'!$A$5:$A$1004,B1169,'전기원장'!$D$5:$D$1004,E1169)&gt;0,"전기","당기"))</x:f>
      </x:c>
      <x:c r="D1169" s="67"/>
      <x:c r="G1169" s="68"/>
      <x:c r="K1169" t="str">
        <x:f>IF(B1169="","",IF(I1169="확인 필요","붙임 문서 확인 후 거래 성격·기간·상대방·일회성 여부 확인","결의서명과 전기 대비 발생 건수·단가·시점 차이 검토"))</x:f>
      </x:c>
    </x:row>
    <x:row r="1170">
      <x:c r="A1170" t="str">
        <x:f>IF(B1170="","",IF(COUNTIFS('전기원장'!$A$5:$A$1004,B1170,'전기원장'!$D$5:$D$1004,E1170)&gt;0,"전기","당기"))</x:f>
      </x:c>
      <x:c r="D1170" s="67"/>
      <x:c r="G1170" s="68"/>
      <x:c r="K1170" t="str">
        <x:f>IF(B1170="","",IF(I1170="확인 필요","붙임 문서 확인 후 거래 성격·기간·상대방·일회성 여부 확인","결의서명과 전기 대비 발생 건수·단가·시점 차이 검토"))</x:f>
      </x:c>
    </x:row>
    <x:row r="1171">
      <x:c r="A1171" t="str">
        <x:f>IF(B1171="","",IF(COUNTIFS('전기원장'!$A$5:$A$1004,B1171,'전기원장'!$D$5:$D$1004,E1171)&gt;0,"전기","당기"))</x:f>
      </x:c>
      <x:c r="D1171" s="67"/>
      <x:c r="G1171" s="68"/>
      <x:c r="K1171" t="str">
        <x:f>IF(B1171="","",IF(I1171="확인 필요","붙임 문서 확인 후 거래 성격·기간·상대방·일회성 여부 확인","결의서명과 전기 대비 발생 건수·단가·시점 차이 검토"))</x:f>
      </x:c>
    </x:row>
    <x:row r="1172">
      <x:c r="A1172" t="str">
        <x:f>IF(B1172="","",IF(COUNTIFS('전기원장'!$A$5:$A$1004,B1172,'전기원장'!$D$5:$D$1004,E1172)&gt;0,"전기","당기"))</x:f>
      </x:c>
      <x:c r="D1172" s="67"/>
      <x:c r="G1172" s="68"/>
      <x:c r="K1172" t="str">
        <x:f>IF(B1172="","",IF(I1172="확인 필요","붙임 문서 확인 후 거래 성격·기간·상대방·일회성 여부 확인","결의서명과 전기 대비 발생 건수·단가·시점 차이 검토"))</x:f>
      </x:c>
    </x:row>
    <x:row r="1173">
      <x:c r="A1173" t="str">
        <x:f>IF(B1173="","",IF(COUNTIFS('전기원장'!$A$5:$A$1004,B1173,'전기원장'!$D$5:$D$1004,E1173)&gt;0,"전기","당기"))</x:f>
      </x:c>
      <x:c r="D1173" s="67"/>
      <x:c r="G1173" s="68"/>
      <x:c r="K1173" t="str">
        <x:f>IF(B1173="","",IF(I1173="확인 필요","붙임 문서 확인 후 거래 성격·기간·상대방·일회성 여부 확인","결의서명과 전기 대비 발생 건수·단가·시점 차이 검토"))</x:f>
      </x:c>
    </x:row>
    <x:row r="1174">
      <x:c r="A1174" t="str">
        <x:f>IF(B1174="","",IF(COUNTIFS('전기원장'!$A$5:$A$1004,B1174,'전기원장'!$D$5:$D$1004,E1174)&gt;0,"전기","당기"))</x:f>
      </x:c>
      <x:c r="D1174" s="67"/>
      <x:c r="G1174" s="68"/>
      <x:c r="K1174" t="str">
        <x:f>IF(B1174="","",IF(I1174="확인 필요","붙임 문서 확인 후 거래 성격·기간·상대방·일회성 여부 확인","결의서명과 전기 대비 발생 건수·단가·시점 차이 검토"))</x:f>
      </x:c>
    </x:row>
    <x:row r="1175">
      <x:c r="A1175" t="str">
        <x:f>IF(B1175="","",IF(COUNTIFS('전기원장'!$A$5:$A$1004,B1175,'전기원장'!$D$5:$D$1004,E1175)&gt;0,"전기","당기"))</x:f>
      </x:c>
      <x:c r="D1175" s="67"/>
      <x:c r="G1175" s="68"/>
      <x:c r="K1175" t="str">
        <x:f>IF(B1175="","",IF(I1175="확인 필요","붙임 문서 확인 후 거래 성격·기간·상대방·일회성 여부 확인","결의서명과 전기 대비 발생 건수·단가·시점 차이 검토"))</x:f>
      </x:c>
    </x:row>
    <x:row r="1176">
      <x:c r="A1176" t="str">
        <x:f>IF(B1176="","",IF(COUNTIFS('전기원장'!$A$5:$A$1004,B1176,'전기원장'!$D$5:$D$1004,E1176)&gt;0,"전기","당기"))</x:f>
      </x:c>
      <x:c r="D1176" s="67"/>
      <x:c r="G1176" s="68"/>
      <x:c r="K1176" t="str">
        <x:f>IF(B1176="","",IF(I1176="확인 필요","붙임 문서 확인 후 거래 성격·기간·상대방·일회성 여부 확인","결의서명과 전기 대비 발생 건수·단가·시점 차이 검토"))</x:f>
      </x:c>
    </x:row>
    <x:row r="1177">
      <x:c r="A1177" t="str">
        <x:f>IF(B1177="","",IF(COUNTIFS('전기원장'!$A$5:$A$1004,B1177,'전기원장'!$D$5:$D$1004,E1177)&gt;0,"전기","당기"))</x:f>
      </x:c>
      <x:c r="D1177" s="67"/>
      <x:c r="G1177" s="68"/>
      <x:c r="K1177" t="str">
        <x:f>IF(B1177="","",IF(I1177="확인 필요","붙임 문서 확인 후 거래 성격·기간·상대방·일회성 여부 확인","결의서명과 전기 대비 발생 건수·단가·시점 차이 검토"))</x:f>
      </x:c>
    </x:row>
    <x:row r="1178">
      <x:c r="A1178" t="str">
        <x:f>IF(B1178="","",IF(COUNTIFS('전기원장'!$A$5:$A$1004,B1178,'전기원장'!$D$5:$D$1004,E1178)&gt;0,"전기","당기"))</x:f>
      </x:c>
      <x:c r="D1178" s="67"/>
      <x:c r="G1178" s="68"/>
      <x:c r="K1178" t="str">
        <x:f>IF(B1178="","",IF(I1178="확인 필요","붙임 문서 확인 후 거래 성격·기간·상대방·일회성 여부 확인","결의서명과 전기 대비 발생 건수·단가·시점 차이 검토"))</x:f>
      </x:c>
    </x:row>
    <x:row r="1179">
      <x:c r="A1179" t="str">
        <x:f>IF(B1179="","",IF(COUNTIFS('전기원장'!$A$5:$A$1004,B1179,'전기원장'!$D$5:$D$1004,E1179)&gt;0,"전기","당기"))</x:f>
      </x:c>
      <x:c r="D1179" s="67"/>
      <x:c r="G1179" s="68"/>
      <x:c r="K1179" t="str">
        <x:f>IF(B1179="","",IF(I1179="확인 필요","붙임 문서 확인 후 거래 성격·기간·상대방·일회성 여부 확인","결의서명과 전기 대비 발생 건수·단가·시점 차이 검토"))</x:f>
      </x:c>
    </x:row>
    <x:row r="1180">
      <x:c r="A1180" t="str">
        <x:f>IF(B1180="","",IF(COUNTIFS('전기원장'!$A$5:$A$1004,B1180,'전기원장'!$D$5:$D$1004,E1180)&gt;0,"전기","당기"))</x:f>
      </x:c>
      <x:c r="D1180" s="67"/>
      <x:c r="G1180" s="68"/>
      <x:c r="K1180" t="str">
        <x:f>IF(B1180="","",IF(I1180="확인 필요","붙임 문서 확인 후 거래 성격·기간·상대방·일회성 여부 확인","결의서명과 전기 대비 발생 건수·단가·시점 차이 검토"))</x:f>
      </x:c>
    </x:row>
    <x:row r="1181">
      <x:c r="A1181" t="str">
        <x:f>IF(B1181="","",IF(COUNTIFS('전기원장'!$A$5:$A$1004,B1181,'전기원장'!$D$5:$D$1004,E1181)&gt;0,"전기","당기"))</x:f>
      </x:c>
      <x:c r="D1181" s="67"/>
      <x:c r="G1181" s="68"/>
      <x:c r="K1181" t="str">
        <x:f>IF(B1181="","",IF(I1181="확인 필요","붙임 문서 확인 후 거래 성격·기간·상대방·일회성 여부 확인","결의서명과 전기 대비 발생 건수·단가·시점 차이 검토"))</x:f>
      </x:c>
    </x:row>
    <x:row r="1182">
      <x:c r="A1182" t="str">
        <x:f>IF(B1182="","",IF(COUNTIFS('전기원장'!$A$5:$A$1004,B1182,'전기원장'!$D$5:$D$1004,E1182)&gt;0,"전기","당기"))</x:f>
      </x:c>
      <x:c r="D1182" s="67"/>
      <x:c r="G1182" s="68"/>
      <x:c r="K1182" t="str">
        <x:f>IF(B1182="","",IF(I1182="확인 필요","붙임 문서 확인 후 거래 성격·기간·상대방·일회성 여부 확인","결의서명과 전기 대비 발생 건수·단가·시점 차이 검토"))</x:f>
      </x:c>
    </x:row>
    <x:row r="1183">
      <x:c r="A1183" t="str">
        <x:f>IF(B1183="","",IF(COUNTIFS('전기원장'!$A$5:$A$1004,B1183,'전기원장'!$D$5:$D$1004,E1183)&gt;0,"전기","당기"))</x:f>
      </x:c>
      <x:c r="D1183" s="67"/>
      <x:c r="G1183" s="68"/>
      <x:c r="K1183" t="str">
        <x:f>IF(B1183="","",IF(I1183="확인 필요","붙임 문서 확인 후 거래 성격·기간·상대방·일회성 여부 확인","결의서명과 전기 대비 발생 건수·단가·시점 차이 검토"))</x:f>
      </x:c>
    </x:row>
    <x:row r="1184">
      <x:c r="A1184" t="str">
        <x:f>IF(B1184="","",IF(COUNTIFS('전기원장'!$A$5:$A$1004,B1184,'전기원장'!$D$5:$D$1004,E1184)&gt;0,"전기","당기"))</x:f>
      </x:c>
      <x:c r="D1184" s="67"/>
      <x:c r="G1184" s="68"/>
      <x:c r="K1184" t="str">
        <x:f>IF(B1184="","",IF(I1184="확인 필요","붙임 문서 확인 후 거래 성격·기간·상대방·일회성 여부 확인","결의서명과 전기 대비 발생 건수·단가·시점 차이 검토"))</x:f>
      </x:c>
    </x:row>
    <x:row r="1185">
      <x:c r="A1185" t="str">
        <x:f>IF(B1185="","",IF(COUNTIFS('전기원장'!$A$5:$A$1004,B1185,'전기원장'!$D$5:$D$1004,E1185)&gt;0,"전기","당기"))</x:f>
      </x:c>
      <x:c r="D1185" s="67"/>
      <x:c r="G1185" s="68"/>
      <x:c r="K1185" t="str">
        <x:f>IF(B1185="","",IF(I1185="확인 필요","붙임 문서 확인 후 거래 성격·기간·상대방·일회성 여부 확인","결의서명과 전기 대비 발생 건수·단가·시점 차이 검토"))</x:f>
      </x:c>
    </x:row>
    <x:row r="1186">
      <x:c r="A1186" t="str">
        <x:f>IF(B1186="","",IF(COUNTIFS('전기원장'!$A$5:$A$1004,B1186,'전기원장'!$D$5:$D$1004,E1186)&gt;0,"전기","당기"))</x:f>
      </x:c>
      <x:c r="D1186" s="67"/>
      <x:c r="G1186" s="68"/>
      <x:c r="K1186" t="str">
        <x:f>IF(B1186="","",IF(I1186="확인 필요","붙임 문서 확인 후 거래 성격·기간·상대방·일회성 여부 확인","결의서명과 전기 대비 발생 건수·단가·시점 차이 검토"))</x:f>
      </x:c>
    </x:row>
    <x:row r="1187">
      <x:c r="A1187" t="str">
        <x:f>IF(B1187="","",IF(COUNTIFS('전기원장'!$A$5:$A$1004,B1187,'전기원장'!$D$5:$D$1004,E1187)&gt;0,"전기","당기"))</x:f>
      </x:c>
      <x:c r="D1187" s="67"/>
      <x:c r="G1187" s="68"/>
      <x:c r="K1187" t="str">
        <x:f>IF(B1187="","",IF(I1187="확인 필요","붙임 문서 확인 후 거래 성격·기간·상대방·일회성 여부 확인","결의서명과 전기 대비 발생 건수·단가·시점 차이 검토"))</x:f>
      </x:c>
    </x:row>
    <x:row r="1188">
      <x:c r="A1188" t="str">
        <x:f>IF(B1188="","",IF(COUNTIFS('전기원장'!$A$5:$A$1004,B1188,'전기원장'!$D$5:$D$1004,E1188)&gt;0,"전기","당기"))</x:f>
      </x:c>
      <x:c r="D1188" s="67"/>
      <x:c r="G1188" s="68"/>
      <x:c r="K1188" t="str">
        <x:f>IF(B1188="","",IF(I1188="확인 필요","붙임 문서 확인 후 거래 성격·기간·상대방·일회성 여부 확인","결의서명과 전기 대비 발생 건수·단가·시점 차이 검토"))</x:f>
      </x:c>
    </x:row>
    <x:row r="1189">
      <x:c r="A1189" t="str">
        <x:f>IF(B1189="","",IF(COUNTIFS('전기원장'!$A$5:$A$1004,B1189,'전기원장'!$D$5:$D$1004,E1189)&gt;0,"전기","당기"))</x:f>
      </x:c>
      <x:c r="D1189" s="67"/>
      <x:c r="G1189" s="68"/>
      <x:c r="K1189" t="str">
        <x:f>IF(B1189="","",IF(I1189="확인 필요","붙임 문서 확인 후 거래 성격·기간·상대방·일회성 여부 확인","결의서명과 전기 대비 발생 건수·단가·시점 차이 검토"))</x:f>
      </x:c>
    </x:row>
    <x:row r="1190">
      <x:c r="A1190" t="str">
        <x:f>IF(B1190="","",IF(COUNTIFS('전기원장'!$A$5:$A$1004,B1190,'전기원장'!$D$5:$D$1004,E1190)&gt;0,"전기","당기"))</x:f>
      </x:c>
      <x:c r="D1190" s="67"/>
      <x:c r="G1190" s="68"/>
      <x:c r="K1190" t="str">
        <x:f>IF(B1190="","",IF(I1190="확인 필요","붙임 문서 확인 후 거래 성격·기간·상대방·일회성 여부 확인","결의서명과 전기 대비 발생 건수·단가·시점 차이 검토"))</x:f>
      </x:c>
    </x:row>
    <x:row r="1191">
      <x:c r="A1191" t="str">
        <x:f>IF(B1191="","",IF(COUNTIFS('전기원장'!$A$5:$A$1004,B1191,'전기원장'!$D$5:$D$1004,E1191)&gt;0,"전기","당기"))</x:f>
      </x:c>
      <x:c r="D1191" s="67"/>
      <x:c r="G1191" s="68"/>
      <x:c r="K1191" t="str">
        <x:f>IF(B1191="","",IF(I1191="확인 필요","붙임 문서 확인 후 거래 성격·기간·상대방·일회성 여부 확인","결의서명과 전기 대비 발생 건수·단가·시점 차이 검토"))</x:f>
      </x:c>
    </x:row>
    <x:row r="1192">
      <x:c r="A1192" t="str">
        <x:f>IF(B1192="","",IF(COUNTIFS('전기원장'!$A$5:$A$1004,B1192,'전기원장'!$D$5:$D$1004,E1192)&gt;0,"전기","당기"))</x:f>
      </x:c>
      <x:c r="D1192" s="67"/>
      <x:c r="G1192" s="68"/>
      <x:c r="K1192" t="str">
        <x:f>IF(B1192="","",IF(I1192="확인 필요","붙임 문서 확인 후 거래 성격·기간·상대방·일회성 여부 확인","결의서명과 전기 대비 발생 건수·단가·시점 차이 검토"))</x:f>
      </x:c>
    </x:row>
    <x:row r="1193">
      <x:c r="A1193" t="str">
        <x:f>IF(B1193="","",IF(COUNTIFS('전기원장'!$A$5:$A$1004,B1193,'전기원장'!$D$5:$D$1004,E1193)&gt;0,"전기","당기"))</x:f>
      </x:c>
      <x:c r="D1193" s="67"/>
      <x:c r="G1193" s="68"/>
      <x:c r="K1193" t="str">
        <x:f>IF(B1193="","",IF(I1193="확인 필요","붙임 문서 확인 후 거래 성격·기간·상대방·일회성 여부 확인","결의서명과 전기 대비 발생 건수·단가·시점 차이 검토"))</x:f>
      </x:c>
    </x:row>
    <x:row r="1194">
      <x:c r="A1194" t="str">
        <x:f>IF(B1194="","",IF(COUNTIFS('전기원장'!$A$5:$A$1004,B1194,'전기원장'!$D$5:$D$1004,E1194)&gt;0,"전기","당기"))</x:f>
      </x:c>
      <x:c r="D1194" s="67"/>
      <x:c r="G1194" s="68"/>
      <x:c r="K1194" t="str">
        <x:f>IF(B1194="","",IF(I1194="확인 필요","붙임 문서 확인 후 거래 성격·기간·상대방·일회성 여부 확인","결의서명과 전기 대비 발생 건수·단가·시점 차이 검토"))</x:f>
      </x:c>
    </x:row>
    <x:row r="1195">
      <x:c r="A1195" t="str">
        <x:f>IF(B1195="","",IF(COUNTIFS('전기원장'!$A$5:$A$1004,B1195,'전기원장'!$D$5:$D$1004,E1195)&gt;0,"전기","당기"))</x:f>
      </x:c>
      <x:c r="D1195" s="67"/>
      <x:c r="G1195" s="68"/>
      <x:c r="K1195" t="str">
        <x:f>IF(B1195="","",IF(I1195="확인 필요","붙임 문서 확인 후 거래 성격·기간·상대방·일회성 여부 확인","결의서명과 전기 대비 발생 건수·단가·시점 차이 검토"))</x:f>
      </x:c>
    </x:row>
    <x:row r="1196">
      <x:c r="A1196" t="str">
        <x:f>IF(B1196="","",IF(COUNTIFS('전기원장'!$A$5:$A$1004,B1196,'전기원장'!$D$5:$D$1004,E1196)&gt;0,"전기","당기"))</x:f>
      </x:c>
      <x:c r="D1196" s="67"/>
      <x:c r="G1196" s="68"/>
      <x:c r="K1196" t="str">
        <x:f>IF(B1196="","",IF(I1196="확인 필요","붙임 문서 확인 후 거래 성격·기간·상대방·일회성 여부 확인","결의서명과 전기 대비 발생 건수·단가·시점 차이 검토"))</x:f>
      </x:c>
    </x:row>
    <x:row r="1197">
      <x:c r="A1197" t="str">
        <x:f>IF(B1197="","",IF(COUNTIFS('전기원장'!$A$5:$A$1004,B1197,'전기원장'!$D$5:$D$1004,E1197)&gt;0,"전기","당기"))</x:f>
      </x:c>
      <x:c r="D1197" s="67"/>
      <x:c r="G1197" s="68"/>
      <x:c r="K1197" t="str">
        <x:f>IF(B1197="","",IF(I1197="확인 필요","붙임 문서 확인 후 거래 성격·기간·상대방·일회성 여부 확인","결의서명과 전기 대비 발생 건수·단가·시점 차이 검토"))</x:f>
      </x:c>
    </x:row>
    <x:row r="1198">
      <x:c r="A1198" t="str">
        <x:f>IF(B1198="","",IF(COUNTIFS('전기원장'!$A$5:$A$1004,B1198,'전기원장'!$D$5:$D$1004,E1198)&gt;0,"전기","당기"))</x:f>
      </x:c>
      <x:c r="D1198" s="67"/>
      <x:c r="G1198" s="68"/>
      <x:c r="K1198" t="str">
        <x:f>IF(B1198="","",IF(I1198="확인 필요","붙임 문서 확인 후 거래 성격·기간·상대방·일회성 여부 확인","결의서명과 전기 대비 발생 건수·단가·시점 차이 검토"))</x:f>
      </x:c>
    </x:row>
    <x:row r="1199">
      <x:c r="A1199" t="str">
        <x:f>IF(B1199="","",IF(COUNTIFS('전기원장'!$A$5:$A$1004,B1199,'전기원장'!$D$5:$D$1004,E1199)&gt;0,"전기","당기"))</x:f>
      </x:c>
      <x:c r="D1199" s="67"/>
      <x:c r="G1199" s="68"/>
      <x:c r="K1199" t="str">
        <x:f>IF(B1199="","",IF(I1199="확인 필요","붙임 문서 확인 후 거래 성격·기간·상대방·일회성 여부 확인","결의서명과 전기 대비 발생 건수·단가·시점 차이 검토"))</x:f>
      </x:c>
    </x:row>
    <x:row r="1200">
      <x:c r="A1200" t="str">
        <x:f>IF(B1200="","",IF(COUNTIFS('전기원장'!$A$5:$A$1004,B1200,'전기원장'!$D$5:$D$1004,E1200)&gt;0,"전기","당기"))</x:f>
      </x:c>
      <x:c r="D1200" s="67"/>
      <x:c r="G1200" s="68"/>
      <x:c r="K1200" t="str">
        <x:f>IF(B1200="","",IF(I1200="확인 필요","붙임 문서 확인 후 거래 성격·기간·상대방·일회성 여부 확인","결의서명과 전기 대비 발생 건수·단가·시점 차이 검토"))</x:f>
      </x:c>
    </x:row>
    <x:row r="1201">
      <x:c r="A1201" t="str">
        <x:f>IF(B1201="","",IF(COUNTIFS('전기원장'!$A$5:$A$1004,B1201,'전기원장'!$D$5:$D$1004,E1201)&gt;0,"전기","당기"))</x:f>
      </x:c>
      <x:c r="D1201" s="67"/>
      <x:c r="G1201" s="68"/>
      <x:c r="K1201" t="str">
        <x:f>IF(B1201="","",IF(I1201="확인 필요","붙임 문서 확인 후 거래 성격·기간·상대방·일회성 여부 확인","결의서명과 전기 대비 발생 건수·단가·시점 차이 검토"))</x:f>
      </x:c>
    </x:row>
    <x:row r="1202">
      <x:c r="A1202" t="str">
        <x:f>IF(B1202="","",IF(COUNTIFS('전기원장'!$A$5:$A$1004,B1202,'전기원장'!$D$5:$D$1004,E1202)&gt;0,"전기","당기"))</x:f>
      </x:c>
      <x:c r="D1202" s="67"/>
      <x:c r="G1202" s="68"/>
      <x:c r="K1202" t="str">
        <x:f>IF(B1202="","",IF(I1202="확인 필요","붙임 문서 확인 후 거래 성격·기간·상대방·일회성 여부 확인","결의서명과 전기 대비 발생 건수·단가·시점 차이 검토"))</x:f>
      </x:c>
    </x:row>
    <x:row r="1203">
      <x:c r="A1203" t="str">
        <x:f>IF(B1203="","",IF(COUNTIFS('전기원장'!$A$5:$A$1004,B1203,'전기원장'!$D$5:$D$1004,E1203)&gt;0,"전기","당기"))</x:f>
      </x:c>
      <x:c r="D1203" s="67"/>
      <x:c r="G1203" s="68"/>
      <x:c r="K1203" t="str">
        <x:f>IF(B1203="","",IF(I1203="확인 필요","붙임 문서 확인 후 거래 성격·기간·상대방·일회성 여부 확인","결의서명과 전기 대비 발생 건수·단가·시점 차이 검토"))</x:f>
      </x:c>
    </x:row>
    <x:row r="1204">
      <x:c r="A1204" t="str">
        <x:f>IF(B1204="","",IF(COUNTIFS('전기원장'!$A$5:$A$1004,B1204,'전기원장'!$D$5:$D$1004,E1204)&gt;0,"전기","당기"))</x:f>
      </x:c>
      <x:c r="D1204" s="67"/>
      <x:c r="G1204" s="68"/>
      <x:c r="K1204" t="str">
        <x:f>IF(B1204="","",IF(I1204="확인 필요","붙임 문서 확인 후 거래 성격·기간·상대방·일회성 여부 확인","결의서명과 전기 대비 발생 건수·단가·시점 차이 검토"))</x:f>
      </x:c>
    </x:row>
    <x:row r="1205">
      <x:c r="A1205" t="str">
        <x:f>IF(B1205="","",IF(COUNTIFS('전기원장'!$A$5:$A$1004,B1205,'전기원장'!$D$5:$D$1004,E1205)&gt;0,"전기","당기"))</x:f>
      </x:c>
      <x:c r="D1205" s="67"/>
      <x:c r="G1205" s="68"/>
      <x:c r="K1205" t="str">
        <x:f>IF(B1205="","",IF(I1205="확인 필요","붙임 문서 확인 후 거래 성격·기간·상대방·일회성 여부 확인","결의서명과 전기 대비 발생 건수·단가·시점 차이 검토"))</x:f>
      </x:c>
    </x:row>
    <x:row r="1206">
      <x:c r="A1206" t="str">
        <x:f>IF(B1206="","",IF(COUNTIFS('전기원장'!$A$5:$A$1004,B1206,'전기원장'!$D$5:$D$1004,E1206)&gt;0,"전기","당기"))</x:f>
      </x:c>
      <x:c r="D1206" s="67"/>
      <x:c r="G1206" s="68"/>
      <x:c r="K1206" t="str">
        <x:f>IF(B1206="","",IF(I1206="확인 필요","붙임 문서 확인 후 거래 성격·기간·상대방·일회성 여부 확인","결의서명과 전기 대비 발생 건수·단가·시점 차이 검토"))</x:f>
      </x:c>
    </x:row>
    <x:row r="1207">
      <x:c r="A1207" t="str">
        <x:f>IF(B1207="","",IF(COUNTIFS('전기원장'!$A$5:$A$1004,B1207,'전기원장'!$D$5:$D$1004,E1207)&gt;0,"전기","당기"))</x:f>
      </x:c>
      <x:c r="D1207" s="67"/>
      <x:c r="G1207" s="68"/>
      <x:c r="K1207" t="str">
        <x:f>IF(B1207="","",IF(I1207="확인 필요","붙임 문서 확인 후 거래 성격·기간·상대방·일회성 여부 확인","결의서명과 전기 대비 발생 건수·단가·시점 차이 검토"))</x:f>
      </x:c>
    </x:row>
    <x:row r="1208">
      <x:c r="A1208" t="str">
        <x:f>IF(B1208="","",IF(COUNTIFS('전기원장'!$A$5:$A$1004,B1208,'전기원장'!$D$5:$D$1004,E1208)&gt;0,"전기","당기"))</x:f>
      </x:c>
      <x:c r="D1208" s="67"/>
      <x:c r="G1208" s="68"/>
      <x:c r="K1208" t="str">
        <x:f>IF(B1208="","",IF(I1208="확인 필요","붙임 문서 확인 후 거래 성격·기간·상대방·일회성 여부 확인","결의서명과 전기 대비 발생 건수·단가·시점 차이 검토"))</x:f>
      </x:c>
    </x:row>
    <x:row r="1209">
      <x:c r="A1209" t="str">
        <x:f>IF(B1209="","",IF(COUNTIFS('전기원장'!$A$5:$A$1004,B1209,'전기원장'!$D$5:$D$1004,E1209)&gt;0,"전기","당기"))</x:f>
      </x:c>
      <x:c r="D1209" s="67"/>
      <x:c r="G1209" s="68"/>
      <x:c r="K1209" t="str">
        <x:f>IF(B1209="","",IF(I1209="확인 필요","붙임 문서 확인 후 거래 성격·기간·상대방·일회성 여부 확인","결의서명과 전기 대비 발생 건수·단가·시점 차이 검토"))</x:f>
      </x:c>
    </x:row>
    <x:row r="1210">
      <x:c r="A1210" t="str">
        <x:f>IF(B1210="","",IF(COUNTIFS('전기원장'!$A$5:$A$1004,B1210,'전기원장'!$D$5:$D$1004,E1210)&gt;0,"전기","당기"))</x:f>
      </x:c>
      <x:c r="D1210" s="67"/>
      <x:c r="G1210" s="68"/>
      <x:c r="K1210" t="str">
        <x:f>IF(B1210="","",IF(I1210="확인 필요","붙임 문서 확인 후 거래 성격·기간·상대방·일회성 여부 확인","결의서명과 전기 대비 발생 건수·단가·시점 차이 검토"))</x:f>
      </x:c>
    </x:row>
    <x:row r="1211">
      <x:c r="A1211" t="str">
        <x:f>IF(B1211="","",IF(COUNTIFS('전기원장'!$A$5:$A$1004,B1211,'전기원장'!$D$5:$D$1004,E1211)&gt;0,"전기","당기"))</x:f>
      </x:c>
      <x:c r="D1211" s="67"/>
      <x:c r="G1211" s="68"/>
      <x:c r="K1211" t="str">
        <x:f>IF(B1211="","",IF(I1211="확인 필요","붙임 문서 확인 후 거래 성격·기간·상대방·일회성 여부 확인","결의서명과 전기 대비 발생 건수·단가·시점 차이 검토"))</x:f>
      </x:c>
    </x:row>
    <x:row r="1212">
      <x:c r="A1212" t="str">
        <x:f>IF(B1212="","",IF(COUNTIFS('전기원장'!$A$5:$A$1004,B1212,'전기원장'!$D$5:$D$1004,E1212)&gt;0,"전기","당기"))</x:f>
      </x:c>
      <x:c r="D1212" s="67"/>
      <x:c r="G1212" s="68"/>
      <x:c r="K1212" t="str">
        <x:f>IF(B1212="","",IF(I1212="확인 필요","붙임 문서 확인 후 거래 성격·기간·상대방·일회성 여부 확인","결의서명과 전기 대비 발생 건수·단가·시점 차이 검토"))</x:f>
      </x:c>
    </x:row>
    <x:row r="1213">
      <x:c r="A1213" t="str">
        <x:f>IF(B1213="","",IF(COUNTIFS('전기원장'!$A$5:$A$1004,B1213,'전기원장'!$D$5:$D$1004,E1213)&gt;0,"전기","당기"))</x:f>
      </x:c>
      <x:c r="D1213" s="67"/>
      <x:c r="G1213" s="68"/>
      <x:c r="K1213" t="str">
        <x:f>IF(B1213="","",IF(I1213="확인 필요","붙임 문서 확인 후 거래 성격·기간·상대방·일회성 여부 확인","결의서명과 전기 대비 발생 건수·단가·시점 차이 검토"))</x:f>
      </x:c>
    </x:row>
    <x:row r="1214">
      <x:c r="A1214" t="str">
        <x:f>IF(B1214="","",IF(COUNTIFS('전기원장'!$A$5:$A$1004,B1214,'전기원장'!$D$5:$D$1004,E1214)&gt;0,"전기","당기"))</x:f>
      </x:c>
      <x:c r="D1214" s="67"/>
      <x:c r="G1214" s="68"/>
      <x:c r="K1214" t="str">
        <x:f>IF(B1214="","",IF(I1214="확인 필요","붙임 문서 확인 후 거래 성격·기간·상대방·일회성 여부 확인","결의서명과 전기 대비 발생 건수·단가·시점 차이 검토"))</x:f>
      </x:c>
    </x:row>
    <x:row r="1215">
      <x:c r="A1215" t="str">
        <x:f>IF(B1215="","",IF(COUNTIFS('전기원장'!$A$5:$A$1004,B1215,'전기원장'!$D$5:$D$1004,E1215)&gt;0,"전기","당기"))</x:f>
      </x:c>
      <x:c r="D1215" s="67"/>
      <x:c r="G1215" s="68"/>
      <x:c r="K1215" t="str">
        <x:f>IF(B1215="","",IF(I1215="확인 필요","붙임 문서 확인 후 거래 성격·기간·상대방·일회성 여부 확인","결의서명과 전기 대비 발생 건수·단가·시점 차이 검토"))</x:f>
      </x:c>
    </x:row>
    <x:row r="1216">
      <x:c r="A1216" t="str">
        <x:f>IF(B1216="","",IF(COUNTIFS('전기원장'!$A$5:$A$1004,B1216,'전기원장'!$D$5:$D$1004,E1216)&gt;0,"전기","당기"))</x:f>
      </x:c>
      <x:c r="D1216" s="67"/>
      <x:c r="G1216" s="68"/>
      <x:c r="K1216" t="str">
        <x:f>IF(B1216="","",IF(I1216="확인 필요","붙임 문서 확인 후 거래 성격·기간·상대방·일회성 여부 확인","결의서명과 전기 대비 발생 건수·단가·시점 차이 검토"))</x:f>
      </x:c>
    </x:row>
    <x:row r="1217">
      <x:c r="A1217" t="str">
        <x:f>IF(B1217="","",IF(COUNTIFS('전기원장'!$A$5:$A$1004,B1217,'전기원장'!$D$5:$D$1004,E1217)&gt;0,"전기","당기"))</x:f>
      </x:c>
      <x:c r="D1217" s="67"/>
      <x:c r="G1217" s="68"/>
      <x:c r="K1217" t="str">
        <x:f>IF(B1217="","",IF(I1217="확인 필요","붙임 문서 확인 후 거래 성격·기간·상대방·일회성 여부 확인","결의서명과 전기 대비 발생 건수·단가·시점 차이 검토"))</x:f>
      </x:c>
    </x:row>
    <x:row r="1218">
      <x:c r="A1218" t="str">
        <x:f>IF(B1218="","",IF(COUNTIFS('전기원장'!$A$5:$A$1004,B1218,'전기원장'!$D$5:$D$1004,E1218)&gt;0,"전기","당기"))</x:f>
      </x:c>
      <x:c r="D1218" s="67"/>
      <x:c r="G1218" s="68"/>
      <x:c r="K1218" t="str">
        <x:f>IF(B1218="","",IF(I1218="확인 필요","붙임 문서 확인 후 거래 성격·기간·상대방·일회성 여부 확인","결의서명과 전기 대비 발생 건수·단가·시점 차이 검토"))</x:f>
      </x:c>
    </x:row>
    <x:row r="1219">
      <x:c r="A1219" t="str">
        <x:f>IF(B1219="","",IF(COUNTIFS('전기원장'!$A$5:$A$1004,B1219,'전기원장'!$D$5:$D$1004,E1219)&gt;0,"전기","당기"))</x:f>
      </x:c>
      <x:c r="D1219" s="67"/>
      <x:c r="G1219" s="68"/>
      <x:c r="K1219" t="str">
        <x:f>IF(B1219="","",IF(I1219="확인 필요","붙임 문서 확인 후 거래 성격·기간·상대방·일회성 여부 확인","결의서명과 전기 대비 발생 건수·단가·시점 차이 검토"))</x:f>
      </x:c>
    </x:row>
    <x:row r="1220">
      <x:c r="A1220" t="str">
        <x:f>IF(B1220="","",IF(COUNTIFS('전기원장'!$A$5:$A$1004,B1220,'전기원장'!$D$5:$D$1004,E1220)&gt;0,"전기","당기"))</x:f>
      </x:c>
      <x:c r="D1220" s="67"/>
      <x:c r="G1220" s="68"/>
      <x:c r="K1220" t="str">
        <x:f>IF(B1220="","",IF(I1220="확인 필요","붙임 문서 확인 후 거래 성격·기간·상대방·일회성 여부 확인","결의서명과 전기 대비 발생 건수·단가·시점 차이 검토"))</x:f>
      </x:c>
    </x:row>
    <x:row r="1221">
      <x:c r="A1221" t="str">
        <x:f>IF(B1221="","",IF(COUNTIFS('전기원장'!$A$5:$A$1004,B1221,'전기원장'!$D$5:$D$1004,E1221)&gt;0,"전기","당기"))</x:f>
      </x:c>
      <x:c r="D1221" s="67"/>
      <x:c r="G1221" s="68"/>
      <x:c r="K1221" t="str">
        <x:f>IF(B1221="","",IF(I1221="확인 필요","붙임 문서 확인 후 거래 성격·기간·상대방·일회성 여부 확인","결의서명과 전기 대비 발생 건수·단가·시점 차이 검토"))</x:f>
      </x:c>
    </x:row>
    <x:row r="1222">
      <x:c r="A1222" t="str">
        <x:f>IF(B1222="","",IF(COUNTIFS('전기원장'!$A$5:$A$1004,B1222,'전기원장'!$D$5:$D$1004,E1222)&gt;0,"전기","당기"))</x:f>
      </x:c>
      <x:c r="D1222" s="67"/>
      <x:c r="G1222" s="68"/>
      <x:c r="K1222" t="str">
        <x:f>IF(B1222="","",IF(I1222="확인 필요","붙임 문서 확인 후 거래 성격·기간·상대방·일회성 여부 확인","결의서명과 전기 대비 발생 건수·단가·시점 차이 검토"))</x:f>
      </x:c>
    </x:row>
    <x:row r="1223">
      <x:c r="A1223" t="str">
        <x:f>IF(B1223="","",IF(COUNTIFS('전기원장'!$A$5:$A$1004,B1223,'전기원장'!$D$5:$D$1004,E1223)&gt;0,"전기","당기"))</x:f>
      </x:c>
      <x:c r="D1223" s="67"/>
      <x:c r="G1223" s="68"/>
      <x:c r="K1223" t="str">
        <x:f>IF(B1223="","",IF(I1223="확인 필요","붙임 문서 확인 후 거래 성격·기간·상대방·일회성 여부 확인","결의서명과 전기 대비 발생 건수·단가·시점 차이 검토"))</x:f>
      </x:c>
    </x:row>
    <x:row r="1224">
      <x:c r="A1224" t="str">
        <x:f>IF(B1224="","",IF(COUNTIFS('전기원장'!$A$5:$A$1004,B1224,'전기원장'!$D$5:$D$1004,E1224)&gt;0,"전기","당기"))</x:f>
      </x:c>
      <x:c r="D1224" s="67"/>
      <x:c r="G1224" s="68"/>
      <x:c r="K1224" t="str">
        <x:f>IF(B1224="","",IF(I1224="확인 필요","붙임 문서 확인 후 거래 성격·기간·상대방·일회성 여부 확인","결의서명과 전기 대비 발생 건수·단가·시점 차이 검토"))</x:f>
      </x:c>
    </x:row>
    <x:row r="1225">
      <x:c r="A1225" t="str">
        <x:f>IF(B1225="","",IF(COUNTIFS('전기원장'!$A$5:$A$1004,B1225,'전기원장'!$D$5:$D$1004,E1225)&gt;0,"전기","당기"))</x:f>
      </x:c>
      <x:c r="D1225" s="67"/>
      <x:c r="G1225" s="68"/>
      <x:c r="K1225" t="str">
        <x:f>IF(B1225="","",IF(I1225="확인 필요","붙임 문서 확인 후 거래 성격·기간·상대방·일회성 여부 확인","결의서명과 전기 대비 발생 건수·단가·시점 차이 검토"))</x:f>
      </x:c>
    </x:row>
    <x:row r="1226">
      <x:c r="A1226" t="str">
        <x:f>IF(B1226="","",IF(COUNTIFS('전기원장'!$A$5:$A$1004,B1226,'전기원장'!$D$5:$D$1004,E1226)&gt;0,"전기","당기"))</x:f>
      </x:c>
      <x:c r="D1226" s="67"/>
      <x:c r="G1226" s="68"/>
      <x:c r="K1226" t="str">
        <x:f>IF(B1226="","",IF(I1226="확인 필요","붙임 문서 확인 후 거래 성격·기간·상대방·일회성 여부 확인","결의서명과 전기 대비 발생 건수·단가·시점 차이 검토"))</x:f>
      </x:c>
    </x:row>
    <x:row r="1227">
      <x:c r="A1227" t="str">
        <x:f>IF(B1227="","",IF(COUNTIFS('전기원장'!$A$5:$A$1004,B1227,'전기원장'!$D$5:$D$1004,E1227)&gt;0,"전기","당기"))</x:f>
      </x:c>
      <x:c r="D1227" s="67"/>
      <x:c r="G1227" s="68"/>
      <x:c r="K1227" t="str">
        <x:f>IF(B1227="","",IF(I1227="확인 필요","붙임 문서 확인 후 거래 성격·기간·상대방·일회성 여부 확인","결의서명과 전기 대비 발생 건수·단가·시점 차이 검토"))</x:f>
      </x:c>
    </x:row>
    <x:row r="1228">
      <x:c r="A1228" t="str">
        <x:f>IF(B1228="","",IF(COUNTIFS('전기원장'!$A$5:$A$1004,B1228,'전기원장'!$D$5:$D$1004,E1228)&gt;0,"전기","당기"))</x:f>
      </x:c>
      <x:c r="D1228" s="67"/>
      <x:c r="G1228" s="68"/>
      <x:c r="K1228" t="str">
        <x:f>IF(B1228="","",IF(I1228="확인 필요","붙임 문서 확인 후 거래 성격·기간·상대방·일회성 여부 확인","결의서명과 전기 대비 발생 건수·단가·시점 차이 검토"))</x:f>
      </x:c>
    </x:row>
    <x:row r="1229">
      <x:c r="A1229" t="str">
        <x:f>IF(B1229="","",IF(COUNTIFS('전기원장'!$A$5:$A$1004,B1229,'전기원장'!$D$5:$D$1004,E1229)&gt;0,"전기","당기"))</x:f>
      </x:c>
      <x:c r="D1229" s="67"/>
      <x:c r="G1229" s="68"/>
      <x:c r="K1229" t="str">
        <x:f>IF(B1229="","",IF(I1229="확인 필요","붙임 문서 확인 후 거래 성격·기간·상대방·일회성 여부 확인","결의서명과 전기 대비 발생 건수·단가·시점 차이 검토"))</x:f>
      </x:c>
    </x:row>
    <x:row r="1230">
      <x:c r="A1230" t="str">
        <x:f>IF(B1230="","",IF(COUNTIFS('전기원장'!$A$5:$A$1004,B1230,'전기원장'!$D$5:$D$1004,E1230)&gt;0,"전기","당기"))</x:f>
      </x:c>
      <x:c r="D1230" s="67"/>
      <x:c r="G1230" s="68"/>
      <x:c r="K1230" t="str">
        <x:f>IF(B1230="","",IF(I1230="확인 필요","붙임 문서 확인 후 거래 성격·기간·상대방·일회성 여부 확인","결의서명과 전기 대비 발생 건수·단가·시점 차이 검토"))</x:f>
      </x:c>
    </x:row>
    <x:row r="1231">
      <x:c r="A1231" t="str">
        <x:f>IF(B1231="","",IF(COUNTIFS('전기원장'!$A$5:$A$1004,B1231,'전기원장'!$D$5:$D$1004,E1231)&gt;0,"전기","당기"))</x:f>
      </x:c>
      <x:c r="D1231" s="67"/>
      <x:c r="G1231" s="68"/>
      <x:c r="K1231" t="str">
        <x:f>IF(B1231="","",IF(I1231="확인 필요","붙임 문서 확인 후 거래 성격·기간·상대방·일회성 여부 확인","결의서명과 전기 대비 발생 건수·단가·시점 차이 검토"))</x:f>
      </x:c>
    </x:row>
    <x:row r="1232">
      <x:c r="A1232" t="str">
        <x:f>IF(B1232="","",IF(COUNTIFS('전기원장'!$A$5:$A$1004,B1232,'전기원장'!$D$5:$D$1004,E1232)&gt;0,"전기","당기"))</x:f>
      </x:c>
      <x:c r="D1232" s="67"/>
      <x:c r="G1232" s="68"/>
      <x:c r="K1232" t="str">
        <x:f>IF(B1232="","",IF(I1232="확인 필요","붙임 문서 확인 후 거래 성격·기간·상대방·일회성 여부 확인","결의서명과 전기 대비 발생 건수·단가·시점 차이 검토"))</x:f>
      </x:c>
    </x:row>
    <x:row r="1233">
      <x:c r="A1233" t="str">
        <x:f>IF(B1233="","",IF(COUNTIFS('전기원장'!$A$5:$A$1004,B1233,'전기원장'!$D$5:$D$1004,E1233)&gt;0,"전기","당기"))</x:f>
      </x:c>
      <x:c r="D1233" s="67"/>
      <x:c r="G1233" s="68"/>
      <x:c r="K1233" t="str">
        <x:f>IF(B1233="","",IF(I1233="확인 필요","붙임 문서 확인 후 거래 성격·기간·상대방·일회성 여부 확인","결의서명과 전기 대비 발생 건수·단가·시점 차이 검토"))</x:f>
      </x:c>
    </x:row>
    <x:row r="1234">
      <x:c r="A1234" t="str">
        <x:f>IF(B1234="","",IF(COUNTIFS('전기원장'!$A$5:$A$1004,B1234,'전기원장'!$D$5:$D$1004,E1234)&gt;0,"전기","당기"))</x:f>
      </x:c>
      <x:c r="D1234" s="67"/>
      <x:c r="G1234" s="68"/>
      <x:c r="K1234" t="str">
        <x:f>IF(B1234="","",IF(I1234="확인 필요","붙임 문서 확인 후 거래 성격·기간·상대방·일회성 여부 확인","결의서명과 전기 대비 발생 건수·단가·시점 차이 검토"))</x:f>
      </x:c>
    </x:row>
    <x:row r="1235">
      <x:c r="A1235" t="str">
        <x:f>IF(B1235="","",IF(COUNTIFS('전기원장'!$A$5:$A$1004,B1235,'전기원장'!$D$5:$D$1004,E1235)&gt;0,"전기","당기"))</x:f>
      </x:c>
      <x:c r="D1235" s="67"/>
      <x:c r="G1235" s="68"/>
      <x:c r="K1235" t="str">
        <x:f>IF(B1235="","",IF(I1235="확인 필요","붙임 문서 확인 후 거래 성격·기간·상대방·일회성 여부 확인","결의서명과 전기 대비 발생 건수·단가·시점 차이 검토"))</x:f>
      </x:c>
    </x:row>
    <x:row r="1236">
      <x:c r="A1236" t="str">
        <x:f>IF(B1236="","",IF(COUNTIFS('전기원장'!$A$5:$A$1004,B1236,'전기원장'!$D$5:$D$1004,E1236)&gt;0,"전기","당기"))</x:f>
      </x:c>
      <x:c r="D1236" s="67"/>
      <x:c r="G1236" s="68"/>
      <x:c r="K1236" t="str">
        <x:f>IF(B1236="","",IF(I1236="확인 필요","붙임 문서 확인 후 거래 성격·기간·상대방·일회성 여부 확인","결의서명과 전기 대비 발생 건수·단가·시점 차이 검토"))</x:f>
      </x:c>
    </x:row>
    <x:row r="1237">
      <x:c r="A1237" t="str">
        <x:f>IF(B1237="","",IF(COUNTIFS('전기원장'!$A$5:$A$1004,B1237,'전기원장'!$D$5:$D$1004,E1237)&gt;0,"전기","당기"))</x:f>
      </x:c>
      <x:c r="D1237" s="67"/>
      <x:c r="G1237" s="68"/>
      <x:c r="K1237" t="str">
        <x:f>IF(B1237="","",IF(I1237="확인 필요","붙임 문서 확인 후 거래 성격·기간·상대방·일회성 여부 확인","결의서명과 전기 대비 발생 건수·단가·시점 차이 검토"))</x:f>
      </x:c>
    </x:row>
    <x:row r="1238">
      <x:c r="A1238" t="str">
        <x:f>IF(B1238="","",IF(COUNTIFS('전기원장'!$A$5:$A$1004,B1238,'전기원장'!$D$5:$D$1004,E1238)&gt;0,"전기","당기"))</x:f>
      </x:c>
      <x:c r="D1238" s="67"/>
      <x:c r="G1238" s="68"/>
      <x:c r="K1238" t="str">
        <x:f>IF(B1238="","",IF(I1238="확인 필요","붙임 문서 확인 후 거래 성격·기간·상대방·일회성 여부 확인","결의서명과 전기 대비 발생 건수·단가·시점 차이 검토"))</x:f>
      </x:c>
    </x:row>
    <x:row r="1239">
      <x:c r="A1239" t="str">
        <x:f>IF(B1239="","",IF(COUNTIFS('전기원장'!$A$5:$A$1004,B1239,'전기원장'!$D$5:$D$1004,E1239)&gt;0,"전기","당기"))</x:f>
      </x:c>
      <x:c r="D1239" s="67"/>
      <x:c r="G1239" s="68"/>
      <x:c r="K1239" t="str">
        <x:f>IF(B1239="","",IF(I1239="확인 필요","붙임 문서 확인 후 거래 성격·기간·상대방·일회성 여부 확인","결의서명과 전기 대비 발생 건수·단가·시점 차이 검토"))</x:f>
      </x:c>
    </x:row>
    <x:row r="1240">
      <x:c r="A1240" t="str">
        <x:f>IF(B1240="","",IF(COUNTIFS('전기원장'!$A$5:$A$1004,B1240,'전기원장'!$D$5:$D$1004,E1240)&gt;0,"전기","당기"))</x:f>
      </x:c>
      <x:c r="D1240" s="67"/>
      <x:c r="G1240" s="68"/>
      <x:c r="K1240" t="str">
        <x:f>IF(B1240="","",IF(I1240="확인 필요","붙임 문서 확인 후 거래 성격·기간·상대방·일회성 여부 확인","결의서명과 전기 대비 발생 건수·단가·시점 차이 검토"))</x:f>
      </x:c>
    </x:row>
    <x:row r="1241">
      <x:c r="A1241" t="str">
        <x:f>IF(B1241="","",IF(COUNTIFS('전기원장'!$A$5:$A$1004,B1241,'전기원장'!$D$5:$D$1004,E1241)&gt;0,"전기","당기"))</x:f>
      </x:c>
      <x:c r="D1241" s="67"/>
      <x:c r="G1241" s="68"/>
      <x:c r="K1241" t="str">
        <x:f>IF(B1241="","",IF(I1241="확인 필요","붙임 문서 확인 후 거래 성격·기간·상대방·일회성 여부 확인","결의서명과 전기 대비 발생 건수·단가·시점 차이 검토"))</x:f>
      </x:c>
    </x:row>
    <x:row r="1242">
      <x:c r="A1242" t="str">
        <x:f>IF(B1242="","",IF(COUNTIFS('전기원장'!$A$5:$A$1004,B1242,'전기원장'!$D$5:$D$1004,E1242)&gt;0,"전기","당기"))</x:f>
      </x:c>
      <x:c r="D1242" s="67"/>
      <x:c r="G1242" s="68"/>
      <x:c r="K1242" t="str">
        <x:f>IF(B1242="","",IF(I1242="확인 필요","붙임 문서 확인 후 거래 성격·기간·상대방·일회성 여부 확인","결의서명과 전기 대비 발생 건수·단가·시점 차이 검토"))</x:f>
      </x:c>
    </x:row>
    <x:row r="1243">
      <x:c r="A1243" t="str">
        <x:f>IF(B1243="","",IF(COUNTIFS('전기원장'!$A$5:$A$1004,B1243,'전기원장'!$D$5:$D$1004,E1243)&gt;0,"전기","당기"))</x:f>
      </x:c>
      <x:c r="D1243" s="67"/>
      <x:c r="G1243" s="68"/>
      <x:c r="K1243" t="str">
        <x:f>IF(B1243="","",IF(I1243="확인 필요","붙임 문서 확인 후 거래 성격·기간·상대방·일회성 여부 확인","결의서명과 전기 대비 발생 건수·단가·시점 차이 검토"))</x:f>
      </x:c>
    </x:row>
    <x:row r="1244">
      <x:c r="A1244" t="str">
        <x:f>IF(B1244="","",IF(COUNTIFS('전기원장'!$A$5:$A$1004,B1244,'전기원장'!$D$5:$D$1004,E1244)&gt;0,"전기","당기"))</x:f>
      </x:c>
      <x:c r="D1244" s="67"/>
      <x:c r="G1244" s="68"/>
      <x:c r="K1244" t="str">
        <x:f>IF(B1244="","",IF(I1244="확인 필요","붙임 문서 확인 후 거래 성격·기간·상대방·일회성 여부 확인","결의서명과 전기 대비 발생 건수·단가·시점 차이 검토"))</x:f>
      </x:c>
    </x:row>
    <x:row r="1245">
      <x:c r="A1245" t="str">
        <x:f>IF(B1245="","",IF(COUNTIFS('전기원장'!$A$5:$A$1004,B1245,'전기원장'!$D$5:$D$1004,E1245)&gt;0,"전기","당기"))</x:f>
      </x:c>
      <x:c r="D1245" s="67"/>
      <x:c r="G1245" s="68"/>
      <x:c r="K1245" t="str">
        <x:f>IF(B1245="","",IF(I1245="확인 필요","붙임 문서 확인 후 거래 성격·기간·상대방·일회성 여부 확인","결의서명과 전기 대비 발생 건수·단가·시점 차이 검토"))</x:f>
      </x:c>
    </x:row>
    <x:row r="1246">
      <x:c r="A1246" t="str">
        <x:f>IF(B1246="","",IF(COUNTIFS('전기원장'!$A$5:$A$1004,B1246,'전기원장'!$D$5:$D$1004,E1246)&gt;0,"전기","당기"))</x:f>
      </x:c>
      <x:c r="D1246" s="67"/>
      <x:c r="G1246" s="68"/>
      <x:c r="K1246" t="str">
        <x:f>IF(B1246="","",IF(I1246="확인 필요","붙임 문서 확인 후 거래 성격·기간·상대방·일회성 여부 확인","결의서명과 전기 대비 발생 건수·단가·시점 차이 검토"))</x:f>
      </x:c>
    </x:row>
    <x:row r="1247">
      <x:c r="A1247" t="str">
        <x:f>IF(B1247="","",IF(COUNTIFS('전기원장'!$A$5:$A$1004,B1247,'전기원장'!$D$5:$D$1004,E1247)&gt;0,"전기","당기"))</x:f>
      </x:c>
      <x:c r="D1247" s="67"/>
      <x:c r="G1247" s="68"/>
      <x:c r="K1247" t="str">
        <x:f>IF(B1247="","",IF(I1247="확인 필요","붙임 문서 확인 후 거래 성격·기간·상대방·일회성 여부 확인","결의서명과 전기 대비 발생 건수·단가·시점 차이 검토"))</x:f>
      </x:c>
    </x:row>
    <x:row r="1248">
      <x:c r="A1248" t="str">
        <x:f>IF(B1248="","",IF(COUNTIFS('전기원장'!$A$5:$A$1004,B1248,'전기원장'!$D$5:$D$1004,E1248)&gt;0,"전기","당기"))</x:f>
      </x:c>
      <x:c r="D1248" s="67"/>
      <x:c r="G1248" s="68"/>
      <x:c r="K1248" t="str">
        <x:f>IF(B1248="","",IF(I1248="확인 필요","붙임 문서 확인 후 거래 성격·기간·상대방·일회성 여부 확인","결의서명과 전기 대비 발생 건수·단가·시점 차이 검토"))</x:f>
      </x:c>
    </x:row>
    <x:row r="1249">
      <x:c r="A1249" t="str">
        <x:f>IF(B1249="","",IF(COUNTIFS('전기원장'!$A$5:$A$1004,B1249,'전기원장'!$D$5:$D$1004,E1249)&gt;0,"전기","당기"))</x:f>
      </x:c>
      <x:c r="D1249" s="67"/>
      <x:c r="G1249" s="68"/>
      <x:c r="K1249" t="str">
        <x:f>IF(B1249="","",IF(I1249="확인 필요","붙임 문서 확인 후 거래 성격·기간·상대방·일회성 여부 확인","결의서명과 전기 대비 발생 건수·단가·시점 차이 검토"))</x:f>
      </x:c>
    </x:row>
    <x:row r="1250">
      <x:c r="A1250" t="str">
        <x:f>IF(B1250="","",IF(COUNTIFS('전기원장'!$A$5:$A$1004,B1250,'전기원장'!$D$5:$D$1004,E1250)&gt;0,"전기","당기"))</x:f>
      </x:c>
      <x:c r="D1250" s="67"/>
      <x:c r="G1250" s="68"/>
      <x:c r="K1250" t="str">
        <x:f>IF(B1250="","",IF(I1250="확인 필요","붙임 문서 확인 후 거래 성격·기간·상대방·일회성 여부 확인","결의서명과 전기 대비 발생 건수·단가·시점 차이 검토"))</x:f>
      </x:c>
    </x:row>
    <x:row r="1251">
      <x:c r="A1251" t="str">
        <x:f>IF(B1251="","",IF(COUNTIFS('전기원장'!$A$5:$A$1004,B1251,'전기원장'!$D$5:$D$1004,E1251)&gt;0,"전기","당기"))</x:f>
      </x:c>
      <x:c r="D1251" s="67"/>
      <x:c r="G1251" s="68"/>
      <x:c r="K1251" t="str">
        <x:f>IF(B1251="","",IF(I1251="확인 필요","붙임 문서 확인 후 거래 성격·기간·상대방·일회성 여부 확인","결의서명과 전기 대비 발생 건수·단가·시점 차이 검토"))</x:f>
      </x:c>
    </x:row>
    <x:row r="1252">
      <x:c r="A1252" t="str">
        <x:f>IF(B1252="","",IF(COUNTIFS('전기원장'!$A$5:$A$1004,B1252,'전기원장'!$D$5:$D$1004,E1252)&gt;0,"전기","당기"))</x:f>
      </x:c>
      <x:c r="D1252" s="67"/>
      <x:c r="G1252" s="68"/>
      <x:c r="K1252" t="str">
        <x:f>IF(B1252="","",IF(I1252="확인 필요","붙임 문서 확인 후 거래 성격·기간·상대방·일회성 여부 확인","결의서명과 전기 대비 발생 건수·단가·시점 차이 검토"))</x:f>
      </x:c>
    </x:row>
    <x:row r="1253">
      <x:c r="A1253" t="str">
        <x:f>IF(B1253="","",IF(COUNTIFS('전기원장'!$A$5:$A$1004,B1253,'전기원장'!$D$5:$D$1004,E1253)&gt;0,"전기","당기"))</x:f>
      </x:c>
      <x:c r="D1253" s="67"/>
      <x:c r="G1253" s="68"/>
      <x:c r="K1253" t="str">
        <x:f>IF(B1253="","",IF(I1253="확인 필요","붙임 문서 확인 후 거래 성격·기간·상대방·일회성 여부 확인","결의서명과 전기 대비 발생 건수·단가·시점 차이 검토"))</x:f>
      </x:c>
    </x:row>
    <x:row r="1254">
      <x:c r="A1254" t="str">
        <x:f>IF(B1254="","",IF(COUNTIFS('전기원장'!$A$5:$A$1004,B1254,'전기원장'!$D$5:$D$1004,E1254)&gt;0,"전기","당기"))</x:f>
      </x:c>
      <x:c r="D1254" s="67"/>
      <x:c r="G1254" s="68"/>
      <x:c r="K1254" t="str">
        <x:f>IF(B1254="","",IF(I1254="확인 필요","붙임 문서 확인 후 거래 성격·기간·상대방·일회성 여부 확인","결의서명과 전기 대비 발생 건수·단가·시점 차이 검토"))</x:f>
      </x:c>
    </x:row>
    <x:row r="1255">
      <x:c r="A1255" t="str">
        <x:f>IF(B1255="","",IF(COUNTIFS('전기원장'!$A$5:$A$1004,B1255,'전기원장'!$D$5:$D$1004,E1255)&gt;0,"전기","당기"))</x:f>
      </x:c>
      <x:c r="D1255" s="67"/>
      <x:c r="G1255" s="68"/>
      <x:c r="K1255" t="str">
        <x:f>IF(B1255="","",IF(I1255="확인 필요","붙임 문서 확인 후 거래 성격·기간·상대방·일회성 여부 확인","결의서명과 전기 대비 발생 건수·단가·시점 차이 검토"))</x:f>
      </x:c>
    </x:row>
    <x:row r="1256">
      <x:c r="A1256" t="str">
        <x:f>IF(B1256="","",IF(COUNTIFS('전기원장'!$A$5:$A$1004,B1256,'전기원장'!$D$5:$D$1004,E1256)&gt;0,"전기","당기"))</x:f>
      </x:c>
      <x:c r="D1256" s="67"/>
      <x:c r="G1256" s="68"/>
      <x:c r="K1256" t="str">
        <x:f>IF(B1256="","",IF(I1256="확인 필요","붙임 문서 확인 후 거래 성격·기간·상대방·일회성 여부 확인","결의서명과 전기 대비 발생 건수·단가·시점 차이 검토"))</x:f>
      </x:c>
    </x:row>
    <x:row r="1257">
      <x:c r="A1257" t="str">
        <x:f>IF(B1257="","",IF(COUNTIFS('전기원장'!$A$5:$A$1004,B1257,'전기원장'!$D$5:$D$1004,E1257)&gt;0,"전기","당기"))</x:f>
      </x:c>
      <x:c r="D1257" s="67"/>
      <x:c r="G1257" s="68"/>
      <x:c r="K1257" t="str">
        <x:f>IF(B1257="","",IF(I1257="확인 필요","붙임 문서 확인 후 거래 성격·기간·상대방·일회성 여부 확인","결의서명과 전기 대비 발생 건수·단가·시점 차이 검토"))</x:f>
      </x:c>
    </x:row>
    <x:row r="1258">
      <x:c r="A1258" t="str">
        <x:f>IF(B1258="","",IF(COUNTIFS('전기원장'!$A$5:$A$1004,B1258,'전기원장'!$D$5:$D$1004,E1258)&gt;0,"전기","당기"))</x:f>
      </x:c>
      <x:c r="D1258" s="67"/>
      <x:c r="G1258" s="68"/>
      <x:c r="K1258" t="str">
        <x:f>IF(B1258="","",IF(I1258="확인 필요","붙임 문서 확인 후 거래 성격·기간·상대방·일회성 여부 확인","결의서명과 전기 대비 발생 건수·단가·시점 차이 검토"))</x:f>
      </x:c>
    </x:row>
    <x:row r="1259">
      <x:c r="A1259" t="str">
        <x:f>IF(B1259="","",IF(COUNTIFS('전기원장'!$A$5:$A$1004,B1259,'전기원장'!$D$5:$D$1004,E1259)&gt;0,"전기","당기"))</x:f>
      </x:c>
      <x:c r="D1259" s="67"/>
      <x:c r="G1259" s="68"/>
      <x:c r="K1259" t="str">
        <x:f>IF(B1259="","",IF(I1259="확인 필요","붙임 문서 확인 후 거래 성격·기간·상대방·일회성 여부 확인","결의서명과 전기 대비 발생 건수·단가·시점 차이 검토"))</x:f>
      </x:c>
    </x:row>
    <x:row r="1260">
      <x:c r="A1260" t="str">
        <x:f>IF(B1260="","",IF(COUNTIFS('전기원장'!$A$5:$A$1004,B1260,'전기원장'!$D$5:$D$1004,E1260)&gt;0,"전기","당기"))</x:f>
      </x:c>
      <x:c r="D1260" s="67"/>
      <x:c r="G1260" s="68"/>
      <x:c r="K1260" t="str">
        <x:f>IF(B1260="","",IF(I1260="확인 필요","붙임 문서 확인 후 거래 성격·기간·상대방·일회성 여부 확인","결의서명과 전기 대비 발생 건수·단가·시점 차이 검토"))</x:f>
      </x:c>
    </x:row>
    <x:row r="1261">
      <x:c r="A1261" t="str">
        <x:f>IF(B1261="","",IF(COUNTIFS('전기원장'!$A$5:$A$1004,B1261,'전기원장'!$D$5:$D$1004,E1261)&gt;0,"전기","당기"))</x:f>
      </x:c>
      <x:c r="D1261" s="67"/>
      <x:c r="G1261" s="68"/>
      <x:c r="K1261" t="str">
        <x:f>IF(B1261="","",IF(I1261="확인 필요","붙임 문서 확인 후 거래 성격·기간·상대방·일회성 여부 확인","결의서명과 전기 대비 발생 건수·단가·시점 차이 검토"))</x:f>
      </x:c>
    </x:row>
    <x:row r="1262">
      <x:c r="A1262" t="str">
        <x:f>IF(B1262="","",IF(COUNTIFS('전기원장'!$A$5:$A$1004,B1262,'전기원장'!$D$5:$D$1004,E1262)&gt;0,"전기","당기"))</x:f>
      </x:c>
      <x:c r="D1262" s="67"/>
      <x:c r="G1262" s="68"/>
      <x:c r="K1262" t="str">
        <x:f>IF(B1262="","",IF(I1262="확인 필요","붙임 문서 확인 후 거래 성격·기간·상대방·일회성 여부 확인","결의서명과 전기 대비 발생 건수·단가·시점 차이 검토"))</x:f>
      </x:c>
    </x:row>
    <x:row r="1263">
      <x:c r="A1263" t="str">
        <x:f>IF(B1263="","",IF(COUNTIFS('전기원장'!$A$5:$A$1004,B1263,'전기원장'!$D$5:$D$1004,E1263)&gt;0,"전기","당기"))</x:f>
      </x:c>
      <x:c r="D1263" s="67"/>
      <x:c r="G1263" s="68"/>
      <x:c r="K1263" t="str">
        <x:f>IF(B1263="","",IF(I1263="확인 필요","붙임 문서 확인 후 거래 성격·기간·상대방·일회성 여부 확인","결의서명과 전기 대비 발생 건수·단가·시점 차이 검토"))</x:f>
      </x:c>
    </x:row>
    <x:row r="1264">
      <x:c r="A1264" t="str">
        <x:f>IF(B1264="","",IF(COUNTIFS('전기원장'!$A$5:$A$1004,B1264,'전기원장'!$D$5:$D$1004,E1264)&gt;0,"전기","당기"))</x:f>
      </x:c>
      <x:c r="D1264" s="67"/>
      <x:c r="G1264" s="68"/>
      <x:c r="K1264" t="str">
        <x:f>IF(B1264="","",IF(I1264="확인 필요","붙임 문서 확인 후 거래 성격·기간·상대방·일회성 여부 확인","결의서명과 전기 대비 발생 건수·단가·시점 차이 검토"))</x:f>
      </x:c>
    </x:row>
    <x:row r="1265">
      <x:c r="A1265" t="str">
        <x:f>IF(B1265="","",IF(COUNTIFS('전기원장'!$A$5:$A$1004,B1265,'전기원장'!$D$5:$D$1004,E1265)&gt;0,"전기","당기"))</x:f>
      </x:c>
      <x:c r="D1265" s="67"/>
      <x:c r="G1265" s="68"/>
      <x:c r="K1265" t="str">
        <x:f>IF(B1265="","",IF(I1265="확인 필요","붙임 문서 확인 후 거래 성격·기간·상대방·일회성 여부 확인","결의서명과 전기 대비 발생 건수·단가·시점 차이 검토"))</x:f>
      </x:c>
    </x:row>
    <x:row r="1266">
      <x:c r="A1266" t="str">
        <x:f>IF(B1266="","",IF(COUNTIFS('전기원장'!$A$5:$A$1004,B1266,'전기원장'!$D$5:$D$1004,E1266)&gt;0,"전기","당기"))</x:f>
      </x:c>
      <x:c r="D1266" s="67"/>
      <x:c r="G1266" s="68"/>
      <x:c r="K1266" t="str">
        <x:f>IF(B1266="","",IF(I1266="확인 필요","붙임 문서 확인 후 거래 성격·기간·상대방·일회성 여부 확인","결의서명과 전기 대비 발생 건수·단가·시점 차이 검토"))</x:f>
      </x:c>
    </x:row>
    <x:row r="1267">
      <x:c r="A1267" t="str">
        <x:f>IF(B1267="","",IF(COUNTIFS('전기원장'!$A$5:$A$1004,B1267,'전기원장'!$D$5:$D$1004,E1267)&gt;0,"전기","당기"))</x:f>
      </x:c>
      <x:c r="D1267" s="67"/>
      <x:c r="G1267" s="68"/>
      <x:c r="K1267" t="str">
        <x:f>IF(B1267="","",IF(I1267="확인 필요","붙임 문서 확인 후 거래 성격·기간·상대방·일회성 여부 확인","결의서명과 전기 대비 발생 건수·단가·시점 차이 검토"))</x:f>
      </x:c>
    </x:row>
    <x:row r="1268">
      <x:c r="A1268" t="str">
        <x:f>IF(B1268="","",IF(COUNTIFS('전기원장'!$A$5:$A$1004,B1268,'전기원장'!$D$5:$D$1004,E1268)&gt;0,"전기","당기"))</x:f>
      </x:c>
      <x:c r="D1268" s="67"/>
      <x:c r="G1268" s="68"/>
      <x:c r="K1268" t="str">
        <x:f>IF(B1268="","",IF(I1268="확인 필요","붙임 문서 확인 후 거래 성격·기간·상대방·일회성 여부 확인","결의서명과 전기 대비 발생 건수·단가·시점 차이 검토"))</x:f>
      </x:c>
    </x:row>
    <x:row r="1269">
      <x:c r="A1269" t="str">
        <x:f>IF(B1269="","",IF(COUNTIFS('전기원장'!$A$5:$A$1004,B1269,'전기원장'!$D$5:$D$1004,E1269)&gt;0,"전기","당기"))</x:f>
      </x:c>
      <x:c r="D1269" s="67"/>
      <x:c r="G1269" s="68"/>
      <x:c r="K1269" t="str">
        <x:f>IF(B1269="","",IF(I1269="확인 필요","붙임 문서 확인 후 거래 성격·기간·상대방·일회성 여부 확인","결의서명과 전기 대비 발생 건수·단가·시점 차이 검토"))</x:f>
      </x:c>
    </x:row>
    <x:row r="1270">
      <x:c r="A1270" t="str">
        <x:f>IF(B1270="","",IF(COUNTIFS('전기원장'!$A$5:$A$1004,B1270,'전기원장'!$D$5:$D$1004,E1270)&gt;0,"전기","당기"))</x:f>
      </x:c>
      <x:c r="D1270" s="67"/>
      <x:c r="G1270" s="68"/>
      <x:c r="K1270" t="str">
        <x:f>IF(B1270="","",IF(I1270="확인 필요","붙임 문서 확인 후 거래 성격·기간·상대방·일회성 여부 확인","결의서명과 전기 대비 발생 건수·단가·시점 차이 검토"))</x:f>
      </x:c>
    </x:row>
    <x:row r="1271">
      <x:c r="A1271" t="str">
        <x:f>IF(B1271="","",IF(COUNTIFS('전기원장'!$A$5:$A$1004,B1271,'전기원장'!$D$5:$D$1004,E1271)&gt;0,"전기","당기"))</x:f>
      </x:c>
      <x:c r="D1271" s="67"/>
      <x:c r="G1271" s="68"/>
      <x:c r="K1271" t="str">
        <x:f>IF(B1271="","",IF(I1271="확인 필요","붙임 문서 확인 후 거래 성격·기간·상대방·일회성 여부 확인","결의서명과 전기 대비 발생 건수·단가·시점 차이 검토"))</x:f>
      </x:c>
    </x:row>
    <x:row r="1272">
      <x:c r="A1272" t="str">
        <x:f>IF(B1272="","",IF(COUNTIFS('전기원장'!$A$5:$A$1004,B1272,'전기원장'!$D$5:$D$1004,E1272)&gt;0,"전기","당기"))</x:f>
      </x:c>
      <x:c r="D1272" s="67"/>
      <x:c r="G1272" s="68"/>
      <x:c r="K1272" t="str">
        <x:f>IF(B1272="","",IF(I1272="확인 필요","붙임 문서 확인 후 거래 성격·기간·상대방·일회성 여부 확인","결의서명과 전기 대비 발생 건수·단가·시점 차이 검토"))</x:f>
      </x:c>
    </x:row>
    <x:row r="1273">
      <x:c r="A1273" t="str">
        <x:f>IF(B1273="","",IF(COUNTIFS('전기원장'!$A$5:$A$1004,B1273,'전기원장'!$D$5:$D$1004,E1273)&gt;0,"전기","당기"))</x:f>
      </x:c>
      <x:c r="D1273" s="67"/>
      <x:c r="G1273" s="68"/>
      <x:c r="K1273" t="str">
        <x:f>IF(B1273="","",IF(I1273="확인 필요","붙임 문서 확인 후 거래 성격·기간·상대방·일회성 여부 확인","결의서명과 전기 대비 발생 건수·단가·시점 차이 검토"))</x:f>
      </x:c>
    </x:row>
    <x:row r="1274">
      <x:c r="A1274" t="str">
        <x:f>IF(B1274="","",IF(COUNTIFS('전기원장'!$A$5:$A$1004,B1274,'전기원장'!$D$5:$D$1004,E1274)&gt;0,"전기","당기"))</x:f>
      </x:c>
      <x:c r="D1274" s="67"/>
      <x:c r="G1274" s="68"/>
      <x:c r="K1274" t="str">
        <x:f>IF(B1274="","",IF(I1274="확인 필요","붙임 문서 확인 후 거래 성격·기간·상대방·일회성 여부 확인","결의서명과 전기 대비 발생 건수·단가·시점 차이 검토"))</x:f>
      </x:c>
    </x:row>
    <x:row r="1275">
      <x:c r="A1275" t="str">
        <x:f>IF(B1275="","",IF(COUNTIFS('전기원장'!$A$5:$A$1004,B1275,'전기원장'!$D$5:$D$1004,E1275)&gt;0,"전기","당기"))</x:f>
      </x:c>
      <x:c r="D1275" s="67"/>
      <x:c r="G1275" s="68"/>
      <x:c r="K1275" t="str">
        <x:f>IF(B1275="","",IF(I1275="확인 필요","붙임 문서 확인 후 거래 성격·기간·상대방·일회성 여부 확인","결의서명과 전기 대비 발생 건수·단가·시점 차이 검토"))</x:f>
      </x:c>
    </x:row>
    <x:row r="1276">
      <x:c r="A1276" t="str">
        <x:f>IF(B1276="","",IF(COUNTIFS('전기원장'!$A$5:$A$1004,B1276,'전기원장'!$D$5:$D$1004,E1276)&gt;0,"전기","당기"))</x:f>
      </x:c>
      <x:c r="D1276" s="67"/>
      <x:c r="G1276" s="68"/>
      <x:c r="K1276" t="str">
        <x:f>IF(B1276="","",IF(I1276="확인 필요","붙임 문서 확인 후 거래 성격·기간·상대방·일회성 여부 확인","결의서명과 전기 대비 발생 건수·단가·시점 차이 검토"))</x:f>
      </x:c>
    </x:row>
    <x:row r="1277">
      <x:c r="A1277" t="str">
        <x:f>IF(B1277="","",IF(COUNTIFS('전기원장'!$A$5:$A$1004,B1277,'전기원장'!$D$5:$D$1004,E1277)&gt;0,"전기","당기"))</x:f>
      </x:c>
      <x:c r="D1277" s="67"/>
      <x:c r="G1277" s="68"/>
      <x:c r="K1277" t="str">
        <x:f>IF(B1277="","",IF(I1277="확인 필요","붙임 문서 확인 후 거래 성격·기간·상대방·일회성 여부 확인","결의서명과 전기 대비 발생 건수·단가·시점 차이 검토"))</x:f>
      </x:c>
    </x:row>
    <x:row r="1278">
      <x:c r="A1278" t="str">
        <x:f>IF(B1278="","",IF(COUNTIFS('전기원장'!$A$5:$A$1004,B1278,'전기원장'!$D$5:$D$1004,E1278)&gt;0,"전기","당기"))</x:f>
      </x:c>
      <x:c r="D1278" s="67"/>
      <x:c r="G1278" s="68"/>
      <x:c r="K1278" t="str">
        <x:f>IF(B1278="","",IF(I1278="확인 필요","붙임 문서 확인 후 거래 성격·기간·상대방·일회성 여부 확인","결의서명과 전기 대비 발생 건수·단가·시점 차이 검토"))</x:f>
      </x:c>
    </x:row>
    <x:row r="1279">
      <x:c r="A1279" t="str">
        <x:f>IF(B1279="","",IF(COUNTIFS('전기원장'!$A$5:$A$1004,B1279,'전기원장'!$D$5:$D$1004,E1279)&gt;0,"전기","당기"))</x:f>
      </x:c>
      <x:c r="D1279" s="67"/>
      <x:c r="G1279" s="68"/>
      <x:c r="K1279" t="str">
        <x:f>IF(B1279="","",IF(I1279="확인 필요","붙임 문서 확인 후 거래 성격·기간·상대방·일회성 여부 확인","결의서명과 전기 대비 발생 건수·단가·시점 차이 검토"))</x:f>
      </x:c>
    </x:row>
    <x:row r="1280">
      <x:c r="A1280" t="str">
        <x:f>IF(B1280="","",IF(COUNTIFS('전기원장'!$A$5:$A$1004,B1280,'전기원장'!$D$5:$D$1004,E1280)&gt;0,"전기","당기"))</x:f>
      </x:c>
      <x:c r="D1280" s="67"/>
      <x:c r="G1280" s="68"/>
      <x:c r="K1280" t="str">
        <x:f>IF(B1280="","",IF(I1280="확인 필요","붙임 문서 확인 후 거래 성격·기간·상대방·일회성 여부 확인","결의서명과 전기 대비 발생 건수·단가·시점 차이 검토"))</x:f>
      </x:c>
    </x:row>
    <x:row r="1281">
      <x:c r="A1281" t="str">
        <x:f>IF(B1281="","",IF(COUNTIFS('전기원장'!$A$5:$A$1004,B1281,'전기원장'!$D$5:$D$1004,E1281)&gt;0,"전기","당기"))</x:f>
      </x:c>
      <x:c r="D1281" s="67"/>
      <x:c r="G1281" s="68"/>
      <x:c r="K1281" t="str">
        <x:f>IF(B1281="","",IF(I1281="확인 필요","붙임 문서 확인 후 거래 성격·기간·상대방·일회성 여부 확인","결의서명과 전기 대비 발생 건수·단가·시점 차이 검토"))</x:f>
      </x:c>
    </x:row>
    <x:row r="1282">
      <x:c r="A1282" t="str">
        <x:f>IF(B1282="","",IF(COUNTIFS('전기원장'!$A$5:$A$1004,B1282,'전기원장'!$D$5:$D$1004,E1282)&gt;0,"전기","당기"))</x:f>
      </x:c>
      <x:c r="D1282" s="67"/>
      <x:c r="G1282" s="68"/>
      <x:c r="K1282" t="str">
        <x:f>IF(B1282="","",IF(I1282="확인 필요","붙임 문서 확인 후 거래 성격·기간·상대방·일회성 여부 확인","결의서명과 전기 대비 발생 건수·단가·시점 차이 검토"))</x:f>
      </x:c>
    </x:row>
    <x:row r="1283">
      <x:c r="A1283" t="str">
        <x:f>IF(B1283="","",IF(COUNTIFS('전기원장'!$A$5:$A$1004,B1283,'전기원장'!$D$5:$D$1004,E1283)&gt;0,"전기","당기"))</x:f>
      </x:c>
      <x:c r="D1283" s="67"/>
      <x:c r="G1283" s="68"/>
      <x:c r="K1283" t="str">
        <x:f>IF(B1283="","",IF(I1283="확인 필요","붙임 문서 확인 후 거래 성격·기간·상대방·일회성 여부 확인","결의서명과 전기 대비 발생 건수·단가·시점 차이 검토"))</x:f>
      </x:c>
    </x:row>
    <x:row r="1284">
      <x:c r="A1284" t="str">
        <x:f>IF(B1284="","",IF(COUNTIFS('전기원장'!$A$5:$A$1004,B1284,'전기원장'!$D$5:$D$1004,E1284)&gt;0,"전기","당기"))</x:f>
      </x:c>
      <x:c r="D1284" s="67"/>
      <x:c r="G1284" s="68"/>
      <x:c r="K1284" t="str">
        <x:f>IF(B1284="","",IF(I1284="확인 필요","붙임 문서 확인 후 거래 성격·기간·상대방·일회성 여부 확인","결의서명과 전기 대비 발생 건수·단가·시점 차이 검토"))</x:f>
      </x:c>
    </x:row>
    <x:row r="1285">
      <x:c r="A1285" t="str">
        <x:f>IF(B1285="","",IF(COUNTIFS('전기원장'!$A$5:$A$1004,B1285,'전기원장'!$D$5:$D$1004,E1285)&gt;0,"전기","당기"))</x:f>
      </x:c>
      <x:c r="D1285" s="67"/>
      <x:c r="G1285" s="68"/>
      <x:c r="K1285" t="str">
        <x:f>IF(B1285="","",IF(I1285="확인 필요","붙임 문서 확인 후 거래 성격·기간·상대방·일회성 여부 확인","결의서명과 전기 대비 발생 건수·단가·시점 차이 검토"))</x:f>
      </x:c>
    </x:row>
    <x:row r="1286">
      <x:c r="A1286" t="str">
        <x:f>IF(B1286="","",IF(COUNTIFS('전기원장'!$A$5:$A$1004,B1286,'전기원장'!$D$5:$D$1004,E1286)&gt;0,"전기","당기"))</x:f>
      </x:c>
      <x:c r="D1286" s="67"/>
      <x:c r="G1286" s="68"/>
      <x:c r="K1286" t="str">
        <x:f>IF(B1286="","",IF(I1286="확인 필요","붙임 문서 확인 후 거래 성격·기간·상대방·일회성 여부 확인","결의서명과 전기 대비 발생 건수·단가·시점 차이 검토"))</x:f>
      </x:c>
    </x:row>
    <x:row r="1287">
      <x:c r="A1287" t="str">
        <x:f>IF(B1287="","",IF(COUNTIFS('전기원장'!$A$5:$A$1004,B1287,'전기원장'!$D$5:$D$1004,E1287)&gt;0,"전기","당기"))</x:f>
      </x:c>
      <x:c r="D1287" s="67"/>
      <x:c r="G1287" s="68"/>
      <x:c r="K1287" t="str">
        <x:f>IF(B1287="","",IF(I1287="확인 필요","붙임 문서 확인 후 거래 성격·기간·상대방·일회성 여부 확인","결의서명과 전기 대비 발생 건수·단가·시점 차이 검토"))</x:f>
      </x:c>
    </x:row>
    <x:row r="1288">
      <x:c r="A1288" t="str">
        <x:f>IF(B1288="","",IF(COUNTIFS('전기원장'!$A$5:$A$1004,B1288,'전기원장'!$D$5:$D$1004,E1288)&gt;0,"전기","당기"))</x:f>
      </x:c>
      <x:c r="D1288" s="67"/>
      <x:c r="G1288" s="68"/>
      <x:c r="K1288" t="str">
        <x:f>IF(B1288="","",IF(I1288="확인 필요","붙임 문서 확인 후 거래 성격·기간·상대방·일회성 여부 확인","결의서명과 전기 대비 발생 건수·단가·시점 차이 검토"))</x:f>
      </x:c>
    </x:row>
    <x:row r="1289">
      <x:c r="A1289" t="str">
        <x:f>IF(B1289="","",IF(COUNTIFS('전기원장'!$A$5:$A$1004,B1289,'전기원장'!$D$5:$D$1004,E1289)&gt;0,"전기","당기"))</x:f>
      </x:c>
      <x:c r="D1289" s="67"/>
      <x:c r="G1289" s="68"/>
      <x:c r="K1289" t="str">
        <x:f>IF(B1289="","",IF(I1289="확인 필요","붙임 문서 확인 후 거래 성격·기간·상대방·일회성 여부 확인","결의서명과 전기 대비 발생 건수·단가·시점 차이 검토"))</x:f>
      </x:c>
    </x:row>
    <x:row r="1290">
      <x:c r="A1290" t="str">
        <x:f>IF(B1290="","",IF(COUNTIFS('전기원장'!$A$5:$A$1004,B1290,'전기원장'!$D$5:$D$1004,E1290)&gt;0,"전기","당기"))</x:f>
      </x:c>
      <x:c r="D1290" s="67"/>
      <x:c r="G1290" s="68"/>
      <x:c r="K1290" t="str">
        <x:f>IF(B1290="","",IF(I1290="확인 필요","붙임 문서 확인 후 거래 성격·기간·상대방·일회성 여부 확인","결의서명과 전기 대비 발생 건수·단가·시점 차이 검토"))</x:f>
      </x:c>
    </x:row>
    <x:row r="1291">
      <x:c r="A1291" t="str">
        <x:f>IF(B1291="","",IF(COUNTIFS('전기원장'!$A$5:$A$1004,B1291,'전기원장'!$D$5:$D$1004,E1291)&gt;0,"전기","당기"))</x:f>
      </x:c>
      <x:c r="D1291" s="67"/>
      <x:c r="G1291" s="68"/>
      <x:c r="K1291" t="str">
        <x:f>IF(B1291="","",IF(I1291="확인 필요","붙임 문서 확인 후 거래 성격·기간·상대방·일회성 여부 확인","결의서명과 전기 대비 발생 건수·단가·시점 차이 검토"))</x:f>
      </x:c>
    </x:row>
    <x:row r="1292">
      <x:c r="A1292" t="str">
        <x:f>IF(B1292="","",IF(COUNTIFS('전기원장'!$A$5:$A$1004,B1292,'전기원장'!$D$5:$D$1004,E1292)&gt;0,"전기","당기"))</x:f>
      </x:c>
      <x:c r="D1292" s="67"/>
      <x:c r="G1292" s="68"/>
      <x:c r="K1292" t="str">
        <x:f>IF(B1292="","",IF(I1292="확인 필요","붙임 문서 확인 후 거래 성격·기간·상대방·일회성 여부 확인","결의서명과 전기 대비 발생 건수·단가·시점 차이 검토"))</x:f>
      </x:c>
    </x:row>
    <x:row r="1293">
      <x:c r="A1293" t="str">
        <x:f>IF(B1293="","",IF(COUNTIFS('전기원장'!$A$5:$A$1004,B1293,'전기원장'!$D$5:$D$1004,E1293)&gt;0,"전기","당기"))</x:f>
      </x:c>
      <x:c r="D1293" s="67"/>
      <x:c r="G1293" s="68"/>
      <x:c r="K1293" t="str">
        <x:f>IF(B1293="","",IF(I1293="확인 필요","붙임 문서 확인 후 거래 성격·기간·상대방·일회성 여부 확인","결의서명과 전기 대비 발생 건수·단가·시점 차이 검토"))</x:f>
      </x:c>
    </x:row>
    <x:row r="1294">
      <x:c r="A1294" t="str">
        <x:f>IF(B1294="","",IF(COUNTIFS('전기원장'!$A$5:$A$1004,B1294,'전기원장'!$D$5:$D$1004,E1294)&gt;0,"전기","당기"))</x:f>
      </x:c>
      <x:c r="D1294" s="67"/>
      <x:c r="G1294" s="68"/>
      <x:c r="K1294" t="str">
        <x:f>IF(B1294="","",IF(I1294="확인 필요","붙임 문서 확인 후 거래 성격·기간·상대방·일회성 여부 확인","결의서명과 전기 대비 발생 건수·단가·시점 차이 검토"))</x:f>
      </x:c>
    </x:row>
    <x:row r="1295">
      <x:c r="A1295" t="str">
        <x:f>IF(B1295="","",IF(COUNTIFS('전기원장'!$A$5:$A$1004,B1295,'전기원장'!$D$5:$D$1004,E1295)&gt;0,"전기","당기"))</x:f>
      </x:c>
      <x:c r="D1295" s="67"/>
      <x:c r="G1295" s="68"/>
      <x:c r="K1295" t="str">
        <x:f>IF(B1295="","",IF(I1295="확인 필요","붙임 문서 확인 후 거래 성격·기간·상대방·일회성 여부 확인","결의서명과 전기 대비 발생 건수·단가·시점 차이 검토"))</x:f>
      </x:c>
    </x:row>
    <x:row r="1296">
      <x:c r="A1296" t="str">
        <x:f>IF(B1296="","",IF(COUNTIFS('전기원장'!$A$5:$A$1004,B1296,'전기원장'!$D$5:$D$1004,E1296)&gt;0,"전기","당기"))</x:f>
      </x:c>
      <x:c r="D1296" s="67"/>
      <x:c r="G1296" s="68"/>
      <x:c r="K1296" t="str">
        <x:f>IF(B1296="","",IF(I1296="확인 필요","붙임 문서 확인 후 거래 성격·기간·상대방·일회성 여부 확인","결의서명과 전기 대비 발생 건수·단가·시점 차이 검토"))</x:f>
      </x:c>
    </x:row>
    <x:row r="1297">
      <x:c r="A1297" t="str">
        <x:f>IF(B1297="","",IF(COUNTIFS('전기원장'!$A$5:$A$1004,B1297,'전기원장'!$D$5:$D$1004,E1297)&gt;0,"전기","당기"))</x:f>
      </x:c>
      <x:c r="D1297" s="67"/>
      <x:c r="G1297" s="68"/>
      <x:c r="K1297" t="str">
        <x:f>IF(B1297="","",IF(I1297="확인 필요","붙임 문서 확인 후 거래 성격·기간·상대방·일회성 여부 확인","결의서명과 전기 대비 발생 건수·단가·시점 차이 검토"))</x:f>
      </x:c>
    </x:row>
    <x:row r="1298">
      <x:c r="A1298" t="str">
        <x:f>IF(B1298="","",IF(COUNTIFS('전기원장'!$A$5:$A$1004,B1298,'전기원장'!$D$5:$D$1004,E1298)&gt;0,"전기","당기"))</x:f>
      </x:c>
      <x:c r="D1298" s="67"/>
      <x:c r="G1298" s="68"/>
      <x:c r="K1298" t="str">
        <x:f>IF(B1298="","",IF(I1298="확인 필요","붙임 문서 확인 후 거래 성격·기간·상대방·일회성 여부 확인","결의서명과 전기 대비 발생 건수·단가·시점 차이 검토"))</x:f>
      </x:c>
    </x:row>
    <x:row r="1299">
      <x:c r="A1299" t="str">
        <x:f>IF(B1299="","",IF(COUNTIFS('전기원장'!$A$5:$A$1004,B1299,'전기원장'!$D$5:$D$1004,E1299)&gt;0,"전기","당기"))</x:f>
      </x:c>
      <x:c r="D1299" s="67"/>
      <x:c r="G1299" s="68"/>
      <x:c r="K1299" t="str">
        <x:f>IF(B1299="","",IF(I1299="확인 필요","붙임 문서 확인 후 거래 성격·기간·상대방·일회성 여부 확인","결의서명과 전기 대비 발생 건수·단가·시점 차이 검토"))</x:f>
      </x:c>
    </x:row>
    <x:row r="1300">
      <x:c r="A1300" t="str">
        <x:f>IF(B1300="","",IF(COUNTIFS('전기원장'!$A$5:$A$1004,B1300,'전기원장'!$D$5:$D$1004,E1300)&gt;0,"전기","당기"))</x:f>
      </x:c>
      <x:c r="D1300" s="67"/>
      <x:c r="G1300" s="68"/>
      <x:c r="K1300" t="str">
        <x:f>IF(B1300="","",IF(I1300="확인 필요","붙임 문서 확인 후 거래 성격·기간·상대방·일회성 여부 확인","결의서명과 전기 대비 발생 건수·단가·시점 차이 검토"))</x:f>
      </x:c>
    </x:row>
    <x:row r="1301">
      <x:c r="A1301" t="str">
        <x:f>IF(B1301="","",IF(COUNTIFS('전기원장'!$A$5:$A$1004,B1301,'전기원장'!$D$5:$D$1004,E1301)&gt;0,"전기","당기"))</x:f>
      </x:c>
      <x:c r="D1301" s="67"/>
      <x:c r="G1301" s="68"/>
      <x:c r="K1301" t="str">
        <x:f>IF(B1301="","",IF(I1301="확인 필요","붙임 문서 확인 후 거래 성격·기간·상대방·일회성 여부 확인","결의서명과 전기 대비 발생 건수·단가·시점 차이 검토"))</x:f>
      </x:c>
    </x:row>
    <x:row r="1302">
      <x:c r="A1302" t="str">
        <x:f>IF(B1302="","",IF(COUNTIFS('전기원장'!$A$5:$A$1004,B1302,'전기원장'!$D$5:$D$1004,E1302)&gt;0,"전기","당기"))</x:f>
      </x:c>
      <x:c r="D1302" s="67"/>
      <x:c r="G1302" s="68"/>
      <x:c r="K1302" t="str">
        <x:f>IF(B1302="","",IF(I1302="확인 필요","붙임 문서 확인 후 거래 성격·기간·상대방·일회성 여부 확인","결의서명과 전기 대비 발생 건수·단가·시점 차이 검토"))</x:f>
      </x:c>
    </x:row>
    <x:row r="1303">
      <x:c r="A1303" t="str">
        <x:f>IF(B1303="","",IF(COUNTIFS('전기원장'!$A$5:$A$1004,B1303,'전기원장'!$D$5:$D$1004,E1303)&gt;0,"전기","당기"))</x:f>
      </x:c>
      <x:c r="D1303" s="67"/>
      <x:c r="G1303" s="68"/>
      <x:c r="K1303" t="str">
        <x:f>IF(B1303="","",IF(I1303="확인 필요","붙임 문서 확인 후 거래 성격·기간·상대방·일회성 여부 확인","결의서명과 전기 대비 발생 건수·단가·시점 차이 검토"))</x:f>
      </x:c>
    </x:row>
    <x:row r="1304">
      <x:c r="A1304" t="str">
        <x:f>IF(B1304="","",IF(COUNTIFS('전기원장'!$A$5:$A$1004,B1304,'전기원장'!$D$5:$D$1004,E1304)&gt;0,"전기","당기"))</x:f>
      </x:c>
      <x:c r="D1304" s="67"/>
      <x:c r="G1304" s="68"/>
      <x:c r="K1304" t="str">
        <x:f>IF(B1304="","",IF(I1304="확인 필요","붙임 문서 확인 후 거래 성격·기간·상대방·일회성 여부 확인","결의서명과 전기 대비 발생 건수·단가·시점 차이 검토"))</x:f>
      </x:c>
    </x:row>
    <x:row r="1305">
      <x:c r="A1305" t="str">
        <x:f>IF(B1305="","",IF(COUNTIFS('전기원장'!$A$5:$A$1004,B1305,'전기원장'!$D$5:$D$1004,E1305)&gt;0,"전기","당기"))</x:f>
      </x:c>
      <x:c r="D1305" s="67"/>
      <x:c r="G1305" s="68"/>
      <x:c r="K1305" t="str">
        <x:f>IF(B1305="","",IF(I1305="확인 필요","붙임 문서 확인 후 거래 성격·기간·상대방·일회성 여부 확인","결의서명과 전기 대비 발생 건수·단가·시점 차이 검토"))</x:f>
      </x:c>
    </x:row>
    <x:row r="1306">
      <x:c r="A1306" t="str">
        <x:f>IF(B1306="","",IF(COUNTIFS('전기원장'!$A$5:$A$1004,B1306,'전기원장'!$D$5:$D$1004,E1306)&gt;0,"전기","당기"))</x:f>
      </x:c>
      <x:c r="D1306" s="67"/>
      <x:c r="G1306" s="68"/>
      <x:c r="K1306" t="str">
        <x:f>IF(B1306="","",IF(I1306="확인 필요","붙임 문서 확인 후 거래 성격·기간·상대방·일회성 여부 확인","결의서명과 전기 대비 발생 건수·단가·시점 차이 검토"))</x:f>
      </x:c>
    </x:row>
    <x:row r="1307">
      <x:c r="A1307" t="str">
        <x:f>IF(B1307="","",IF(COUNTIFS('전기원장'!$A$5:$A$1004,B1307,'전기원장'!$D$5:$D$1004,E1307)&gt;0,"전기","당기"))</x:f>
      </x:c>
      <x:c r="D1307" s="67"/>
      <x:c r="G1307" s="68"/>
      <x:c r="K1307" t="str">
        <x:f>IF(B1307="","",IF(I1307="확인 필요","붙임 문서 확인 후 거래 성격·기간·상대방·일회성 여부 확인","결의서명과 전기 대비 발생 건수·단가·시점 차이 검토"))</x:f>
      </x:c>
    </x:row>
    <x:row r="1308">
      <x:c r="A1308" t="str">
        <x:f>IF(B1308="","",IF(COUNTIFS('전기원장'!$A$5:$A$1004,B1308,'전기원장'!$D$5:$D$1004,E1308)&gt;0,"전기","당기"))</x:f>
      </x:c>
      <x:c r="D1308" s="67"/>
      <x:c r="G1308" s="68"/>
      <x:c r="K1308" t="str">
        <x:f>IF(B1308="","",IF(I1308="확인 필요","붙임 문서 확인 후 거래 성격·기간·상대방·일회성 여부 확인","결의서명과 전기 대비 발생 건수·단가·시점 차이 검토"))</x:f>
      </x:c>
    </x:row>
    <x:row r="1309">
      <x:c r="A1309" t="str">
        <x:f>IF(B1309="","",IF(COUNTIFS('전기원장'!$A$5:$A$1004,B1309,'전기원장'!$D$5:$D$1004,E1309)&gt;0,"전기","당기"))</x:f>
      </x:c>
      <x:c r="D1309" s="67"/>
      <x:c r="G1309" s="68"/>
      <x:c r="K1309" t="str">
        <x:f>IF(B1309="","",IF(I1309="확인 필요","붙임 문서 확인 후 거래 성격·기간·상대방·일회성 여부 확인","결의서명과 전기 대비 발생 건수·단가·시점 차이 검토"))</x:f>
      </x:c>
    </x:row>
    <x:row r="1310">
      <x:c r="A1310" t="str">
        <x:f>IF(B1310="","",IF(COUNTIFS('전기원장'!$A$5:$A$1004,B1310,'전기원장'!$D$5:$D$1004,E1310)&gt;0,"전기","당기"))</x:f>
      </x:c>
      <x:c r="D1310" s="67"/>
      <x:c r="G1310" s="68"/>
      <x:c r="K1310" t="str">
        <x:f>IF(B1310="","",IF(I1310="확인 필요","붙임 문서 확인 후 거래 성격·기간·상대방·일회성 여부 확인","결의서명과 전기 대비 발생 건수·단가·시점 차이 검토"))</x:f>
      </x:c>
    </x:row>
    <x:row r="1311">
      <x:c r="A1311" t="str">
        <x:f>IF(B1311="","",IF(COUNTIFS('전기원장'!$A$5:$A$1004,B1311,'전기원장'!$D$5:$D$1004,E1311)&gt;0,"전기","당기"))</x:f>
      </x:c>
      <x:c r="D1311" s="67"/>
      <x:c r="G1311" s="68"/>
      <x:c r="K1311" t="str">
        <x:f>IF(B1311="","",IF(I1311="확인 필요","붙임 문서 확인 후 거래 성격·기간·상대방·일회성 여부 확인","결의서명과 전기 대비 발생 건수·단가·시점 차이 검토"))</x:f>
      </x:c>
    </x:row>
    <x:row r="1312">
      <x:c r="A1312" t="str">
        <x:f>IF(B1312="","",IF(COUNTIFS('전기원장'!$A$5:$A$1004,B1312,'전기원장'!$D$5:$D$1004,E1312)&gt;0,"전기","당기"))</x:f>
      </x:c>
      <x:c r="D1312" s="67"/>
      <x:c r="G1312" s="68"/>
      <x:c r="K1312" t="str">
        <x:f>IF(B1312="","",IF(I1312="확인 필요","붙임 문서 확인 후 거래 성격·기간·상대방·일회성 여부 확인","결의서명과 전기 대비 발생 건수·단가·시점 차이 검토"))</x:f>
      </x:c>
    </x:row>
    <x:row r="1313">
      <x:c r="A1313" t="str">
        <x:f>IF(B1313="","",IF(COUNTIFS('전기원장'!$A$5:$A$1004,B1313,'전기원장'!$D$5:$D$1004,E1313)&gt;0,"전기","당기"))</x:f>
      </x:c>
      <x:c r="D1313" s="67"/>
      <x:c r="G1313" s="68"/>
      <x:c r="K1313" t="str">
        <x:f>IF(B1313="","",IF(I1313="확인 필요","붙임 문서 확인 후 거래 성격·기간·상대방·일회성 여부 확인","결의서명과 전기 대비 발생 건수·단가·시점 차이 검토"))</x:f>
      </x:c>
    </x:row>
    <x:row r="1314">
      <x:c r="A1314" t="str">
        <x:f>IF(B1314="","",IF(COUNTIFS('전기원장'!$A$5:$A$1004,B1314,'전기원장'!$D$5:$D$1004,E1314)&gt;0,"전기","당기"))</x:f>
      </x:c>
      <x:c r="D1314" s="67"/>
      <x:c r="G1314" s="68"/>
      <x:c r="K1314" t="str">
        <x:f>IF(B1314="","",IF(I1314="확인 필요","붙임 문서 확인 후 거래 성격·기간·상대방·일회성 여부 확인","결의서명과 전기 대비 발생 건수·단가·시점 차이 검토"))</x:f>
      </x:c>
    </x:row>
    <x:row r="1315">
      <x:c r="A1315" t="str">
        <x:f>IF(B1315="","",IF(COUNTIFS('전기원장'!$A$5:$A$1004,B1315,'전기원장'!$D$5:$D$1004,E1315)&gt;0,"전기","당기"))</x:f>
      </x:c>
      <x:c r="D1315" s="67"/>
      <x:c r="G1315" s="68"/>
      <x:c r="K1315" t="str">
        <x:f>IF(B1315="","",IF(I1315="확인 필요","붙임 문서 확인 후 거래 성격·기간·상대방·일회성 여부 확인","결의서명과 전기 대비 발생 건수·단가·시점 차이 검토"))</x:f>
      </x:c>
    </x:row>
    <x:row r="1316">
      <x:c r="A1316" t="str">
        <x:f>IF(B1316="","",IF(COUNTIFS('전기원장'!$A$5:$A$1004,B1316,'전기원장'!$D$5:$D$1004,E1316)&gt;0,"전기","당기"))</x:f>
      </x:c>
      <x:c r="D1316" s="67"/>
      <x:c r="G1316" s="68"/>
      <x:c r="K1316" t="str">
        <x:f>IF(B1316="","",IF(I1316="확인 필요","붙임 문서 확인 후 거래 성격·기간·상대방·일회성 여부 확인","결의서명과 전기 대비 발생 건수·단가·시점 차이 검토"))</x:f>
      </x:c>
    </x:row>
    <x:row r="1317">
      <x:c r="A1317" t="str">
        <x:f>IF(B1317="","",IF(COUNTIFS('전기원장'!$A$5:$A$1004,B1317,'전기원장'!$D$5:$D$1004,E1317)&gt;0,"전기","당기"))</x:f>
      </x:c>
      <x:c r="D1317" s="67"/>
      <x:c r="G1317" s="68"/>
      <x:c r="K1317" t="str">
        <x:f>IF(B1317="","",IF(I1317="확인 필요","붙임 문서 확인 후 거래 성격·기간·상대방·일회성 여부 확인","결의서명과 전기 대비 발생 건수·단가·시점 차이 검토"))</x:f>
      </x:c>
    </x:row>
    <x:row r="1318">
      <x:c r="A1318" t="str">
        <x:f>IF(B1318="","",IF(COUNTIFS('전기원장'!$A$5:$A$1004,B1318,'전기원장'!$D$5:$D$1004,E1318)&gt;0,"전기","당기"))</x:f>
      </x:c>
      <x:c r="D1318" s="67"/>
      <x:c r="G1318" s="68"/>
      <x:c r="K1318" t="str">
        <x:f>IF(B1318="","",IF(I1318="확인 필요","붙임 문서 확인 후 거래 성격·기간·상대방·일회성 여부 확인","결의서명과 전기 대비 발생 건수·단가·시점 차이 검토"))</x:f>
      </x:c>
    </x:row>
    <x:row r="1319">
      <x:c r="A1319" t="str">
        <x:f>IF(B1319="","",IF(COUNTIFS('전기원장'!$A$5:$A$1004,B1319,'전기원장'!$D$5:$D$1004,E1319)&gt;0,"전기","당기"))</x:f>
      </x:c>
      <x:c r="D1319" s="67"/>
      <x:c r="G1319" s="68"/>
      <x:c r="K1319" t="str">
        <x:f>IF(B1319="","",IF(I1319="확인 필요","붙임 문서 확인 후 거래 성격·기간·상대방·일회성 여부 확인","결의서명과 전기 대비 발생 건수·단가·시점 차이 검토"))</x:f>
      </x:c>
    </x:row>
    <x:row r="1320">
      <x:c r="A1320" t="str">
        <x:f>IF(B1320="","",IF(COUNTIFS('전기원장'!$A$5:$A$1004,B1320,'전기원장'!$D$5:$D$1004,E1320)&gt;0,"전기","당기"))</x:f>
      </x:c>
      <x:c r="D1320" s="67"/>
      <x:c r="G1320" s="68"/>
      <x:c r="K1320" t="str">
        <x:f>IF(B1320="","",IF(I1320="확인 필요","붙임 문서 확인 후 거래 성격·기간·상대방·일회성 여부 확인","결의서명과 전기 대비 발생 건수·단가·시점 차이 검토"))</x:f>
      </x:c>
    </x:row>
    <x:row r="1321">
      <x:c r="A1321" t="str">
        <x:f>IF(B1321="","",IF(COUNTIFS('전기원장'!$A$5:$A$1004,B1321,'전기원장'!$D$5:$D$1004,E1321)&gt;0,"전기","당기"))</x:f>
      </x:c>
      <x:c r="D1321" s="67"/>
      <x:c r="G1321" s="68"/>
      <x:c r="K1321" t="str">
        <x:f>IF(B1321="","",IF(I1321="확인 필요","붙임 문서 확인 후 거래 성격·기간·상대방·일회성 여부 확인","결의서명과 전기 대비 발생 건수·단가·시점 차이 검토"))</x:f>
      </x:c>
    </x:row>
    <x:row r="1322">
      <x:c r="A1322" t="str">
        <x:f>IF(B1322="","",IF(COUNTIFS('전기원장'!$A$5:$A$1004,B1322,'전기원장'!$D$5:$D$1004,E1322)&gt;0,"전기","당기"))</x:f>
      </x:c>
      <x:c r="D1322" s="67"/>
      <x:c r="G1322" s="68"/>
      <x:c r="K1322" t="str">
        <x:f>IF(B1322="","",IF(I1322="확인 필요","붙임 문서 확인 후 거래 성격·기간·상대방·일회성 여부 확인","결의서명과 전기 대비 발생 건수·단가·시점 차이 검토"))</x:f>
      </x:c>
    </x:row>
    <x:row r="1323">
      <x:c r="A1323" t="str">
        <x:f>IF(B1323="","",IF(COUNTIFS('전기원장'!$A$5:$A$1004,B1323,'전기원장'!$D$5:$D$1004,E1323)&gt;0,"전기","당기"))</x:f>
      </x:c>
      <x:c r="D1323" s="67"/>
      <x:c r="G1323" s="68"/>
      <x:c r="K1323" t="str">
        <x:f>IF(B1323="","",IF(I1323="확인 필요","붙임 문서 확인 후 거래 성격·기간·상대방·일회성 여부 확인","결의서명과 전기 대비 발생 건수·단가·시점 차이 검토"))</x:f>
      </x:c>
    </x:row>
    <x:row r="1324">
      <x:c r="A1324" t="str">
        <x:f>IF(B1324="","",IF(COUNTIFS('전기원장'!$A$5:$A$1004,B1324,'전기원장'!$D$5:$D$1004,E1324)&gt;0,"전기","당기"))</x:f>
      </x:c>
      <x:c r="D1324" s="67"/>
      <x:c r="G1324" s="68"/>
      <x:c r="K1324" t="str">
        <x:f>IF(B1324="","",IF(I1324="확인 필요","붙임 문서 확인 후 거래 성격·기간·상대방·일회성 여부 확인","결의서명과 전기 대비 발생 건수·단가·시점 차이 검토"))</x:f>
      </x:c>
    </x:row>
    <x:row r="1325">
      <x:c r="A1325" t="str">
        <x:f>IF(B1325="","",IF(COUNTIFS('전기원장'!$A$5:$A$1004,B1325,'전기원장'!$D$5:$D$1004,E1325)&gt;0,"전기","당기"))</x:f>
      </x:c>
      <x:c r="D1325" s="67"/>
      <x:c r="G1325" s="68"/>
      <x:c r="K1325" t="str">
        <x:f>IF(B1325="","",IF(I1325="확인 필요","붙임 문서 확인 후 거래 성격·기간·상대방·일회성 여부 확인","결의서명과 전기 대비 발생 건수·단가·시점 차이 검토"))</x:f>
      </x:c>
    </x:row>
    <x:row r="1326">
      <x:c r="A1326" t="str">
        <x:f>IF(B1326="","",IF(COUNTIFS('전기원장'!$A$5:$A$1004,B1326,'전기원장'!$D$5:$D$1004,E1326)&gt;0,"전기","당기"))</x:f>
      </x:c>
      <x:c r="D1326" s="67"/>
      <x:c r="G1326" s="68"/>
      <x:c r="K1326" t="str">
        <x:f>IF(B1326="","",IF(I1326="확인 필요","붙임 문서 확인 후 거래 성격·기간·상대방·일회성 여부 확인","결의서명과 전기 대비 발생 건수·단가·시점 차이 검토"))</x:f>
      </x:c>
    </x:row>
    <x:row r="1327">
      <x:c r="A1327" t="str">
        <x:f>IF(B1327="","",IF(COUNTIFS('전기원장'!$A$5:$A$1004,B1327,'전기원장'!$D$5:$D$1004,E1327)&gt;0,"전기","당기"))</x:f>
      </x:c>
      <x:c r="D1327" s="67"/>
      <x:c r="G1327" s="68"/>
      <x:c r="K1327" t="str">
        <x:f>IF(B1327="","",IF(I1327="확인 필요","붙임 문서 확인 후 거래 성격·기간·상대방·일회성 여부 확인","결의서명과 전기 대비 발생 건수·단가·시점 차이 검토"))</x:f>
      </x:c>
    </x:row>
    <x:row r="1328">
      <x:c r="A1328" t="str">
        <x:f>IF(B1328="","",IF(COUNTIFS('전기원장'!$A$5:$A$1004,B1328,'전기원장'!$D$5:$D$1004,E1328)&gt;0,"전기","당기"))</x:f>
      </x:c>
      <x:c r="D1328" s="67"/>
      <x:c r="G1328" s="68"/>
      <x:c r="K1328" t="str">
        <x:f>IF(B1328="","",IF(I1328="확인 필요","붙임 문서 확인 후 거래 성격·기간·상대방·일회성 여부 확인","결의서명과 전기 대비 발생 건수·단가·시점 차이 검토"))</x:f>
      </x:c>
    </x:row>
    <x:row r="1329">
      <x:c r="A1329" t="str">
        <x:f>IF(B1329="","",IF(COUNTIFS('전기원장'!$A$5:$A$1004,B1329,'전기원장'!$D$5:$D$1004,E1329)&gt;0,"전기","당기"))</x:f>
      </x:c>
      <x:c r="D1329" s="67"/>
      <x:c r="G1329" s="68"/>
      <x:c r="K1329" t="str">
        <x:f>IF(B1329="","",IF(I1329="확인 필요","붙임 문서 확인 후 거래 성격·기간·상대방·일회성 여부 확인","결의서명과 전기 대비 발생 건수·단가·시점 차이 검토"))</x:f>
      </x:c>
    </x:row>
    <x:row r="1330">
      <x:c r="A1330" t="str">
        <x:f>IF(B1330="","",IF(COUNTIFS('전기원장'!$A$5:$A$1004,B1330,'전기원장'!$D$5:$D$1004,E1330)&gt;0,"전기","당기"))</x:f>
      </x:c>
      <x:c r="D1330" s="67"/>
      <x:c r="G1330" s="68"/>
      <x:c r="K1330" t="str">
        <x:f>IF(B1330="","",IF(I1330="확인 필요","붙임 문서 확인 후 거래 성격·기간·상대방·일회성 여부 확인","결의서명과 전기 대비 발생 건수·단가·시점 차이 검토"))</x:f>
      </x:c>
    </x:row>
    <x:row r="1331">
      <x:c r="A1331" t="str">
        <x:f>IF(B1331="","",IF(COUNTIFS('전기원장'!$A$5:$A$1004,B1331,'전기원장'!$D$5:$D$1004,E1331)&gt;0,"전기","당기"))</x:f>
      </x:c>
      <x:c r="D1331" s="67"/>
      <x:c r="G1331" s="68"/>
      <x:c r="K1331" t="str">
        <x:f>IF(B1331="","",IF(I1331="확인 필요","붙임 문서 확인 후 거래 성격·기간·상대방·일회성 여부 확인","결의서명과 전기 대비 발생 건수·단가·시점 차이 검토"))</x:f>
      </x:c>
    </x:row>
    <x:row r="1332">
      <x:c r="A1332" t="str">
        <x:f>IF(B1332="","",IF(COUNTIFS('전기원장'!$A$5:$A$1004,B1332,'전기원장'!$D$5:$D$1004,E1332)&gt;0,"전기","당기"))</x:f>
      </x:c>
      <x:c r="D1332" s="67"/>
      <x:c r="G1332" s="68"/>
      <x:c r="K1332" t="str">
        <x:f>IF(B1332="","",IF(I1332="확인 필요","붙임 문서 확인 후 거래 성격·기간·상대방·일회성 여부 확인","결의서명과 전기 대비 발생 건수·단가·시점 차이 검토"))</x:f>
      </x:c>
    </x:row>
    <x:row r="1333">
      <x:c r="A1333" t="str">
        <x:f>IF(B1333="","",IF(COUNTIFS('전기원장'!$A$5:$A$1004,B1333,'전기원장'!$D$5:$D$1004,E1333)&gt;0,"전기","당기"))</x:f>
      </x:c>
      <x:c r="D1333" s="67"/>
      <x:c r="G1333" s="68"/>
      <x:c r="K1333" t="str">
        <x:f>IF(B1333="","",IF(I1333="확인 필요","붙임 문서 확인 후 거래 성격·기간·상대방·일회성 여부 확인","결의서명과 전기 대비 발생 건수·단가·시점 차이 검토"))</x:f>
      </x:c>
    </x:row>
    <x:row r="1334">
      <x:c r="A1334" t="str">
        <x:f>IF(B1334="","",IF(COUNTIFS('전기원장'!$A$5:$A$1004,B1334,'전기원장'!$D$5:$D$1004,E1334)&gt;0,"전기","당기"))</x:f>
      </x:c>
      <x:c r="D1334" s="67"/>
      <x:c r="G1334" s="68"/>
      <x:c r="K1334" t="str">
        <x:f>IF(B1334="","",IF(I1334="확인 필요","붙임 문서 확인 후 거래 성격·기간·상대방·일회성 여부 확인","결의서명과 전기 대비 발생 건수·단가·시점 차이 검토"))</x:f>
      </x:c>
    </x:row>
    <x:row r="1335">
      <x:c r="A1335" t="str">
        <x:f>IF(B1335="","",IF(COUNTIFS('전기원장'!$A$5:$A$1004,B1335,'전기원장'!$D$5:$D$1004,E1335)&gt;0,"전기","당기"))</x:f>
      </x:c>
      <x:c r="D1335" s="67"/>
      <x:c r="G1335" s="68"/>
      <x:c r="K1335" t="str">
        <x:f>IF(B1335="","",IF(I1335="확인 필요","붙임 문서 확인 후 거래 성격·기간·상대방·일회성 여부 확인","결의서명과 전기 대비 발생 건수·단가·시점 차이 검토"))</x:f>
      </x:c>
    </x:row>
    <x:row r="1336">
      <x:c r="A1336" t="str">
        <x:f>IF(B1336="","",IF(COUNTIFS('전기원장'!$A$5:$A$1004,B1336,'전기원장'!$D$5:$D$1004,E1336)&gt;0,"전기","당기"))</x:f>
      </x:c>
      <x:c r="D1336" s="67"/>
      <x:c r="G1336" s="68"/>
      <x:c r="K1336" t="str">
        <x:f>IF(B1336="","",IF(I1336="확인 필요","붙임 문서 확인 후 거래 성격·기간·상대방·일회성 여부 확인","결의서명과 전기 대비 발생 건수·단가·시점 차이 검토"))</x:f>
      </x:c>
    </x:row>
    <x:row r="1337">
      <x:c r="A1337" t="str">
        <x:f>IF(B1337="","",IF(COUNTIFS('전기원장'!$A$5:$A$1004,B1337,'전기원장'!$D$5:$D$1004,E1337)&gt;0,"전기","당기"))</x:f>
      </x:c>
      <x:c r="D1337" s="67"/>
      <x:c r="G1337" s="68"/>
      <x:c r="K1337" t="str">
        <x:f>IF(B1337="","",IF(I1337="확인 필요","붙임 문서 확인 후 거래 성격·기간·상대방·일회성 여부 확인","결의서명과 전기 대비 발생 건수·단가·시점 차이 검토"))</x:f>
      </x:c>
    </x:row>
    <x:row r="1338">
      <x:c r="A1338" t="str">
        <x:f>IF(B1338="","",IF(COUNTIFS('전기원장'!$A$5:$A$1004,B1338,'전기원장'!$D$5:$D$1004,E1338)&gt;0,"전기","당기"))</x:f>
      </x:c>
      <x:c r="D1338" s="67"/>
      <x:c r="G1338" s="68"/>
      <x:c r="K1338" t="str">
        <x:f>IF(B1338="","",IF(I1338="확인 필요","붙임 문서 확인 후 거래 성격·기간·상대방·일회성 여부 확인","결의서명과 전기 대비 발생 건수·단가·시점 차이 검토"))</x:f>
      </x:c>
    </x:row>
    <x:row r="1339">
      <x:c r="A1339" t="str">
        <x:f>IF(B1339="","",IF(COUNTIFS('전기원장'!$A$5:$A$1004,B1339,'전기원장'!$D$5:$D$1004,E1339)&gt;0,"전기","당기"))</x:f>
      </x:c>
      <x:c r="D1339" s="67"/>
      <x:c r="G1339" s="68"/>
      <x:c r="K1339" t="str">
        <x:f>IF(B1339="","",IF(I1339="확인 필요","붙임 문서 확인 후 거래 성격·기간·상대방·일회성 여부 확인","결의서명과 전기 대비 발생 건수·단가·시점 차이 검토"))</x:f>
      </x:c>
    </x:row>
    <x:row r="1340">
      <x:c r="A1340" t="str">
        <x:f>IF(B1340="","",IF(COUNTIFS('전기원장'!$A$5:$A$1004,B1340,'전기원장'!$D$5:$D$1004,E1340)&gt;0,"전기","당기"))</x:f>
      </x:c>
      <x:c r="D1340" s="67"/>
      <x:c r="G1340" s="68"/>
      <x:c r="K1340" t="str">
        <x:f>IF(B1340="","",IF(I1340="확인 필요","붙임 문서 확인 후 거래 성격·기간·상대방·일회성 여부 확인","결의서명과 전기 대비 발생 건수·단가·시점 차이 검토"))</x:f>
      </x:c>
    </x:row>
    <x:row r="1341">
      <x:c r="A1341" t="str">
        <x:f>IF(B1341="","",IF(COUNTIFS('전기원장'!$A$5:$A$1004,B1341,'전기원장'!$D$5:$D$1004,E1341)&gt;0,"전기","당기"))</x:f>
      </x:c>
      <x:c r="D1341" s="67"/>
      <x:c r="G1341" s="68"/>
      <x:c r="K1341" t="str">
        <x:f>IF(B1341="","",IF(I1341="확인 필요","붙임 문서 확인 후 거래 성격·기간·상대방·일회성 여부 확인","결의서명과 전기 대비 발생 건수·단가·시점 차이 검토"))</x:f>
      </x:c>
    </x:row>
    <x:row r="1342">
      <x:c r="A1342" t="str">
        <x:f>IF(B1342="","",IF(COUNTIFS('전기원장'!$A$5:$A$1004,B1342,'전기원장'!$D$5:$D$1004,E1342)&gt;0,"전기","당기"))</x:f>
      </x:c>
      <x:c r="D1342" s="67"/>
      <x:c r="G1342" s="68"/>
      <x:c r="K1342" t="str">
        <x:f>IF(B1342="","",IF(I1342="확인 필요","붙임 문서 확인 후 거래 성격·기간·상대방·일회성 여부 확인","결의서명과 전기 대비 발생 건수·단가·시점 차이 검토"))</x:f>
      </x:c>
    </x:row>
    <x:row r="1343">
      <x:c r="A1343" t="str">
        <x:f>IF(B1343="","",IF(COUNTIFS('전기원장'!$A$5:$A$1004,B1343,'전기원장'!$D$5:$D$1004,E1343)&gt;0,"전기","당기"))</x:f>
      </x:c>
      <x:c r="D1343" s="67"/>
      <x:c r="G1343" s="68"/>
      <x:c r="K1343" t="str">
        <x:f>IF(B1343="","",IF(I1343="확인 필요","붙임 문서 확인 후 거래 성격·기간·상대방·일회성 여부 확인","결의서명과 전기 대비 발생 건수·단가·시점 차이 검토"))</x:f>
      </x:c>
    </x:row>
    <x:row r="1344">
      <x:c r="A1344" t="str">
        <x:f>IF(B1344="","",IF(COUNTIFS('전기원장'!$A$5:$A$1004,B1344,'전기원장'!$D$5:$D$1004,E1344)&gt;0,"전기","당기"))</x:f>
      </x:c>
      <x:c r="D1344" s="67"/>
      <x:c r="G1344" s="68"/>
      <x:c r="K1344" t="str">
        <x:f>IF(B1344="","",IF(I1344="확인 필요","붙임 문서 확인 후 거래 성격·기간·상대방·일회성 여부 확인","결의서명과 전기 대비 발생 건수·단가·시점 차이 검토"))</x:f>
      </x:c>
    </x:row>
    <x:row r="1345">
      <x:c r="A1345" t="str">
        <x:f>IF(B1345="","",IF(COUNTIFS('전기원장'!$A$5:$A$1004,B1345,'전기원장'!$D$5:$D$1004,E1345)&gt;0,"전기","당기"))</x:f>
      </x:c>
      <x:c r="D1345" s="67"/>
      <x:c r="G1345" s="68"/>
      <x:c r="K1345" t="str">
        <x:f>IF(B1345="","",IF(I1345="확인 필요","붙임 문서 확인 후 거래 성격·기간·상대방·일회성 여부 확인","결의서명과 전기 대비 발생 건수·단가·시점 차이 검토"))</x:f>
      </x:c>
    </x:row>
    <x:row r="1346">
      <x:c r="A1346" t="str">
        <x:f>IF(B1346="","",IF(COUNTIFS('전기원장'!$A$5:$A$1004,B1346,'전기원장'!$D$5:$D$1004,E1346)&gt;0,"전기","당기"))</x:f>
      </x:c>
      <x:c r="D1346" s="67"/>
      <x:c r="G1346" s="68"/>
      <x:c r="K1346" t="str">
        <x:f>IF(B1346="","",IF(I1346="확인 필요","붙임 문서 확인 후 거래 성격·기간·상대방·일회성 여부 확인","결의서명과 전기 대비 발생 건수·단가·시점 차이 검토"))</x:f>
      </x:c>
    </x:row>
    <x:row r="1347">
      <x:c r="A1347" t="str">
        <x:f>IF(B1347="","",IF(COUNTIFS('전기원장'!$A$5:$A$1004,B1347,'전기원장'!$D$5:$D$1004,E1347)&gt;0,"전기","당기"))</x:f>
      </x:c>
      <x:c r="D1347" s="67"/>
      <x:c r="G1347" s="68"/>
      <x:c r="K1347" t="str">
        <x:f>IF(B1347="","",IF(I1347="확인 필요","붙임 문서 확인 후 거래 성격·기간·상대방·일회성 여부 확인","결의서명과 전기 대비 발생 건수·단가·시점 차이 검토"))</x:f>
      </x:c>
    </x:row>
    <x:row r="1348">
      <x:c r="A1348" t="str">
        <x:f>IF(B1348="","",IF(COUNTIFS('전기원장'!$A$5:$A$1004,B1348,'전기원장'!$D$5:$D$1004,E1348)&gt;0,"전기","당기"))</x:f>
      </x:c>
      <x:c r="D1348" s="67"/>
      <x:c r="G1348" s="68"/>
      <x:c r="K1348" t="str">
        <x:f>IF(B1348="","",IF(I1348="확인 필요","붙임 문서 확인 후 거래 성격·기간·상대방·일회성 여부 확인","결의서명과 전기 대비 발생 건수·단가·시점 차이 검토"))</x:f>
      </x:c>
    </x:row>
    <x:row r="1349">
      <x:c r="A1349" t="str">
        <x:f>IF(B1349="","",IF(COUNTIFS('전기원장'!$A$5:$A$1004,B1349,'전기원장'!$D$5:$D$1004,E1349)&gt;0,"전기","당기"))</x:f>
      </x:c>
      <x:c r="D1349" s="67"/>
      <x:c r="G1349" s="68"/>
      <x:c r="K1349" t="str">
        <x:f>IF(B1349="","",IF(I1349="확인 필요","붙임 문서 확인 후 거래 성격·기간·상대방·일회성 여부 확인","결의서명과 전기 대비 발생 건수·단가·시점 차이 검토"))</x:f>
      </x:c>
    </x:row>
    <x:row r="1350">
      <x:c r="A1350" t="str">
        <x:f>IF(B1350="","",IF(COUNTIFS('전기원장'!$A$5:$A$1004,B1350,'전기원장'!$D$5:$D$1004,E1350)&gt;0,"전기","당기"))</x:f>
      </x:c>
      <x:c r="D1350" s="67"/>
      <x:c r="G1350" s="68"/>
      <x:c r="K1350" t="str">
        <x:f>IF(B1350="","",IF(I1350="확인 필요","붙임 문서 확인 후 거래 성격·기간·상대방·일회성 여부 확인","결의서명과 전기 대비 발생 건수·단가·시점 차이 검토"))</x:f>
      </x:c>
    </x:row>
    <x:row r="1351">
      <x:c r="A1351" t="str">
        <x:f>IF(B1351="","",IF(COUNTIFS('전기원장'!$A$5:$A$1004,B1351,'전기원장'!$D$5:$D$1004,E1351)&gt;0,"전기","당기"))</x:f>
      </x:c>
      <x:c r="D1351" s="67"/>
      <x:c r="G1351" s="68"/>
      <x:c r="K1351" t="str">
        <x:f>IF(B1351="","",IF(I1351="확인 필요","붙임 문서 확인 후 거래 성격·기간·상대방·일회성 여부 확인","결의서명과 전기 대비 발생 건수·단가·시점 차이 검토"))</x:f>
      </x:c>
    </x:row>
    <x:row r="1352">
      <x:c r="A1352" t="str">
        <x:f>IF(B1352="","",IF(COUNTIFS('전기원장'!$A$5:$A$1004,B1352,'전기원장'!$D$5:$D$1004,E1352)&gt;0,"전기","당기"))</x:f>
      </x:c>
      <x:c r="D1352" s="67"/>
      <x:c r="G1352" s="68"/>
      <x:c r="K1352" t="str">
        <x:f>IF(B1352="","",IF(I1352="확인 필요","붙임 문서 확인 후 거래 성격·기간·상대방·일회성 여부 확인","결의서명과 전기 대비 발생 건수·단가·시점 차이 검토"))</x:f>
      </x:c>
    </x:row>
    <x:row r="1353">
      <x:c r="A1353" t="str">
        <x:f>IF(B1353="","",IF(COUNTIFS('전기원장'!$A$5:$A$1004,B1353,'전기원장'!$D$5:$D$1004,E1353)&gt;0,"전기","당기"))</x:f>
      </x:c>
      <x:c r="D1353" s="67"/>
      <x:c r="G1353" s="68"/>
      <x:c r="K1353" t="str">
        <x:f>IF(B1353="","",IF(I1353="확인 필요","붙임 문서 확인 후 거래 성격·기간·상대방·일회성 여부 확인","결의서명과 전기 대비 발생 건수·단가·시점 차이 검토"))</x:f>
      </x:c>
    </x:row>
    <x:row r="1354">
      <x:c r="A1354" t="str">
        <x:f>IF(B1354="","",IF(COUNTIFS('전기원장'!$A$5:$A$1004,B1354,'전기원장'!$D$5:$D$1004,E1354)&gt;0,"전기","당기"))</x:f>
      </x:c>
      <x:c r="D1354" s="67"/>
      <x:c r="G1354" s="68"/>
      <x:c r="K1354" t="str">
        <x:f>IF(B1354="","",IF(I1354="확인 필요","붙임 문서 확인 후 거래 성격·기간·상대방·일회성 여부 확인","결의서명과 전기 대비 발생 건수·단가·시점 차이 검토"))</x:f>
      </x:c>
    </x:row>
    <x:row r="1355">
      <x:c r="A1355" t="str">
        <x:f>IF(B1355="","",IF(COUNTIFS('전기원장'!$A$5:$A$1004,B1355,'전기원장'!$D$5:$D$1004,E1355)&gt;0,"전기","당기"))</x:f>
      </x:c>
      <x:c r="D1355" s="67"/>
      <x:c r="G1355" s="68"/>
      <x:c r="K1355" t="str">
        <x:f>IF(B1355="","",IF(I1355="확인 필요","붙임 문서 확인 후 거래 성격·기간·상대방·일회성 여부 확인","결의서명과 전기 대비 발생 건수·단가·시점 차이 검토"))</x:f>
      </x:c>
    </x:row>
    <x:row r="1356">
      <x:c r="A1356" t="str">
        <x:f>IF(B1356="","",IF(COUNTIFS('전기원장'!$A$5:$A$1004,B1356,'전기원장'!$D$5:$D$1004,E1356)&gt;0,"전기","당기"))</x:f>
      </x:c>
      <x:c r="D1356" s="67"/>
      <x:c r="G1356" s="68"/>
      <x:c r="K1356" t="str">
        <x:f>IF(B1356="","",IF(I1356="확인 필요","붙임 문서 확인 후 거래 성격·기간·상대방·일회성 여부 확인","결의서명과 전기 대비 발생 건수·단가·시점 차이 검토"))</x:f>
      </x:c>
    </x:row>
    <x:row r="1357">
      <x:c r="A1357" t="str">
        <x:f>IF(B1357="","",IF(COUNTIFS('전기원장'!$A$5:$A$1004,B1357,'전기원장'!$D$5:$D$1004,E1357)&gt;0,"전기","당기"))</x:f>
      </x:c>
      <x:c r="D1357" s="67"/>
      <x:c r="G1357" s="68"/>
      <x:c r="K1357" t="str">
        <x:f>IF(B1357="","",IF(I1357="확인 필요","붙임 문서 확인 후 거래 성격·기간·상대방·일회성 여부 확인","결의서명과 전기 대비 발생 건수·단가·시점 차이 검토"))</x:f>
      </x:c>
    </x:row>
    <x:row r="1358">
      <x:c r="A1358" t="str">
        <x:f>IF(B1358="","",IF(COUNTIFS('전기원장'!$A$5:$A$1004,B1358,'전기원장'!$D$5:$D$1004,E1358)&gt;0,"전기","당기"))</x:f>
      </x:c>
      <x:c r="D1358" s="67"/>
      <x:c r="G1358" s="68"/>
      <x:c r="K1358" t="str">
        <x:f>IF(B1358="","",IF(I1358="확인 필요","붙임 문서 확인 후 거래 성격·기간·상대방·일회성 여부 확인","결의서명과 전기 대비 발생 건수·단가·시점 차이 검토"))</x:f>
      </x:c>
    </x:row>
    <x:row r="1359">
      <x:c r="A1359" t="str">
        <x:f>IF(B1359="","",IF(COUNTIFS('전기원장'!$A$5:$A$1004,B1359,'전기원장'!$D$5:$D$1004,E1359)&gt;0,"전기","당기"))</x:f>
      </x:c>
      <x:c r="D1359" s="67"/>
      <x:c r="G1359" s="68"/>
      <x:c r="K1359" t="str">
        <x:f>IF(B1359="","",IF(I1359="확인 필요","붙임 문서 확인 후 거래 성격·기간·상대방·일회성 여부 확인","결의서명과 전기 대비 발생 건수·단가·시점 차이 검토"))</x:f>
      </x:c>
    </x:row>
    <x:row r="1360">
      <x:c r="A1360" t="str">
        <x:f>IF(B1360="","",IF(COUNTIFS('전기원장'!$A$5:$A$1004,B1360,'전기원장'!$D$5:$D$1004,E1360)&gt;0,"전기","당기"))</x:f>
      </x:c>
      <x:c r="D1360" s="67"/>
      <x:c r="G1360" s="68"/>
      <x:c r="K1360" t="str">
        <x:f>IF(B1360="","",IF(I1360="확인 필요","붙임 문서 확인 후 거래 성격·기간·상대방·일회성 여부 확인","결의서명과 전기 대비 발생 건수·단가·시점 차이 검토"))</x:f>
      </x:c>
    </x:row>
    <x:row r="1361">
      <x:c r="A1361" t="str">
        <x:f>IF(B1361="","",IF(COUNTIFS('전기원장'!$A$5:$A$1004,B1361,'전기원장'!$D$5:$D$1004,E1361)&gt;0,"전기","당기"))</x:f>
      </x:c>
      <x:c r="D1361" s="67"/>
      <x:c r="G1361" s="68"/>
      <x:c r="K1361" t="str">
        <x:f>IF(B1361="","",IF(I1361="확인 필요","붙임 문서 확인 후 거래 성격·기간·상대방·일회성 여부 확인","결의서명과 전기 대비 발생 건수·단가·시점 차이 검토"))</x:f>
      </x:c>
    </x:row>
    <x:row r="1362">
      <x:c r="A1362" t="str">
        <x:f>IF(B1362="","",IF(COUNTIFS('전기원장'!$A$5:$A$1004,B1362,'전기원장'!$D$5:$D$1004,E1362)&gt;0,"전기","당기"))</x:f>
      </x:c>
      <x:c r="D1362" s="67"/>
      <x:c r="G1362" s="68"/>
      <x:c r="K1362" t="str">
        <x:f>IF(B1362="","",IF(I1362="확인 필요","붙임 문서 확인 후 거래 성격·기간·상대방·일회성 여부 확인","결의서명과 전기 대비 발생 건수·단가·시점 차이 검토"))</x:f>
      </x:c>
    </x:row>
    <x:row r="1363">
      <x:c r="A1363" t="str">
        <x:f>IF(B1363="","",IF(COUNTIFS('전기원장'!$A$5:$A$1004,B1363,'전기원장'!$D$5:$D$1004,E1363)&gt;0,"전기","당기"))</x:f>
      </x:c>
      <x:c r="D1363" s="67"/>
      <x:c r="G1363" s="68"/>
      <x:c r="K1363" t="str">
        <x:f>IF(B1363="","",IF(I1363="확인 필요","붙임 문서 확인 후 거래 성격·기간·상대방·일회성 여부 확인","결의서명과 전기 대비 발생 건수·단가·시점 차이 검토"))</x:f>
      </x:c>
    </x:row>
    <x:row r="1364">
      <x:c r="A1364" t="str">
        <x:f>IF(B1364="","",IF(COUNTIFS('전기원장'!$A$5:$A$1004,B1364,'전기원장'!$D$5:$D$1004,E1364)&gt;0,"전기","당기"))</x:f>
      </x:c>
      <x:c r="D1364" s="67"/>
      <x:c r="G1364" s="68"/>
      <x:c r="K1364" t="str">
        <x:f>IF(B1364="","",IF(I1364="확인 필요","붙임 문서 확인 후 거래 성격·기간·상대방·일회성 여부 확인","결의서명과 전기 대비 발생 건수·단가·시점 차이 검토"))</x:f>
      </x:c>
    </x:row>
    <x:row r="1365">
      <x:c r="A1365" t="str">
        <x:f>IF(B1365="","",IF(COUNTIFS('전기원장'!$A$5:$A$1004,B1365,'전기원장'!$D$5:$D$1004,E1365)&gt;0,"전기","당기"))</x:f>
      </x:c>
      <x:c r="D1365" s="67"/>
      <x:c r="G1365" s="68"/>
      <x:c r="K1365" t="str">
        <x:f>IF(B1365="","",IF(I1365="확인 필요","붙임 문서 확인 후 거래 성격·기간·상대방·일회성 여부 확인","결의서명과 전기 대비 발생 건수·단가·시점 차이 검토"))</x:f>
      </x:c>
    </x:row>
    <x:row r="1366">
      <x:c r="A1366" t="str">
        <x:f>IF(B1366="","",IF(COUNTIFS('전기원장'!$A$5:$A$1004,B1366,'전기원장'!$D$5:$D$1004,E1366)&gt;0,"전기","당기"))</x:f>
      </x:c>
      <x:c r="D1366" s="67"/>
      <x:c r="G1366" s="68"/>
      <x:c r="K1366" t="str">
        <x:f>IF(B1366="","",IF(I1366="확인 필요","붙임 문서 확인 후 거래 성격·기간·상대방·일회성 여부 확인","결의서명과 전기 대비 발생 건수·단가·시점 차이 검토"))</x:f>
      </x:c>
    </x:row>
    <x:row r="1367">
      <x:c r="A1367" t="str">
        <x:f>IF(B1367="","",IF(COUNTIFS('전기원장'!$A$5:$A$1004,B1367,'전기원장'!$D$5:$D$1004,E1367)&gt;0,"전기","당기"))</x:f>
      </x:c>
      <x:c r="D1367" s="67"/>
      <x:c r="G1367" s="68"/>
      <x:c r="K1367" t="str">
        <x:f>IF(B1367="","",IF(I1367="확인 필요","붙임 문서 확인 후 거래 성격·기간·상대방·일회성 여부 확인","결의서명과 전기 대비 발생 건수·단가·시점 차이 검토"))</x:f>
      </x:c>
    </x:row>
    <x:row r="1368">
      <x:c r="A1368" t="str">
        <x:f>IF(B1368="","",IF(COUNTIFS('전기원장'!$A$5:$A$1004,B1368,'전기원장'!$D$5:$D$1004,E1368)&gt;0,"전기","당기"))</x:f>
      </x:c>
      <x:c r="D1368" s="67"/>
      <x:c r="G1368" s="68"/>
      <x:c r="K1368" t="str">
        <x:f>IF(B1368="","",IF(I1368="확인 필요","붙임 문서 확인 후 거래 성격·기간·상대방·일회성 여부 확인","결의서명과 전기 대비 발생 건수·단가·시점 차이 검토"))</x:f>
      </x:c>
    </x:row>
    <x:row r="1369">
      <x:c r="A1369" t="str">
        <x:f>IF(B1369="","",IF(COUNTIFS('전기원장'!$A$5:$A$1004,B1369,'전기원장'!$D$5:$D$1004,E1369)&gt;0,"전기","당기"))</x:f>
      </x:c>
      <x:c r="D1369" s="67"/>
      <x:c r="G1369" s="68"/>
      <x:c r="K1369" t="str">
        <x:f>IF(B1369="","",IF(I1369="확인 필요","붙임 문서 확인 후 거래 성격·기간·상대방·일회성 여부 확인","결의서명과 전기 대비 발생 건수·단가·시점 차이 검토"))</x:f>
      </x:c>
    </x:row>
    <x:row r="1370">
      <x:c r="A1370" t="str">
        <x:f>IF(B1370="","",IF(COUNTIFS('전기원장'!$A$5:$A$1004,B1370,'전기원장'!$D$5:$D$1004,E1370)&gt;0,"전기","당기"))</x:f>
      </x:c>
      <x:c r="D1370" s="67"/>
      <x:c r="G1370" s="68"/>
      <x:c r="K1370" t="str">
        <x:f>IF(B1370="","",IF(I1370="확인 필요","붙임 문서 확인 후 거래 성격·기간·상대방·일회성 여부 확인","결의서명과 전기 대비 발생 건수·단가·시점 차이 검토"))</x:f>
      </x:c>
    </x:row>
    <x:row r="1371">
      <x:c r="A1371" t="str">
        <x:f>IF(B1371="","",IF(COUNTIFS('전기원장'!$A$5:$A$1004,B1371,'전기원장'!$D$5:$D$1004,E1371)&gt;0,"전기","당기"))</x:f>
      </x:c>
      <x:c r="D1371" s="67"/>
      <x:c r="G1371" s="68"/>
      <x:c r="K1371" t="str">
        <x:f>IF(B1371="","",IF(I1371="확인 필요","붙임 문서 확인 후 거래 성격·기간·상대방·일회성 여부 확인","결의서명과 전기 대비 발생 건수·단가·시점 차이 검토"))</x:f>
      </x:c>
    </x:row>
    <x:row r="1372">
      <x:c r="A1372" t="str">
        <x:f>IF(B1372="","",IF(COUNTIFS('전기원장'!$A$5:$A$1004,B1372,'전기원장'!$D$5:$D$1004,E1372)&gt;0,"전기","당기"))</x:f>
      </x:c>
      <x:c r="D1372" s="67"/>
      <x:c r="G1372" s="68"/>
      <x:c r="K1372" t="str">
        <x:f>IF(B1372="","",IF(I1372="확인 필요","붙임 문서 확인 후 거래 성격·기간·상대방·일회성 여부 확인","결의서명과 전기 대비 발생 건수·단가·시점 차이 검토"))</x:f>
      </x:c>
    </x:row>
    <x:row r="1373">
      <x:c r="A1373" t="str">
        <x:f>IF(B1373="","",IF(COUNTIFS('전기원장'!$A$5:$A$1004,B1373,'전기원장'!$D$5:$D$1004,E1373)&gt;0,"전기","당기"))</x:f>
      </x:c>
      <x:c r="D1373" s="67"/>
      <x:c r="G1373" s="68"/>
      <x:c r="K1373" t="str">
        <x:f>IF(B1373="","",IF(I1373="확인 필요","붙임 문서 확인 후 거래 성격·기간·상대방·일회성 여부 확인","결의서명과 전기 대비 발생 건수·단가·시점 차이 검토"))</x:f>
      </x:c>
    </x:row>
    <x:row r="1374">
      <x:c r="A1374" t="str">
        <x:f>IF(B1374="","",IF(COUNTIFS('전기원장'!$A$5:$A$1004,B1374,'전기원장'!$D$5:$D$1004,E1374)&gt;0,"전기","당기"))</x:f>
      </x:c>
      <x:c r="D1374" s="67"/>
      <x:c r="G1374" s="68"/>
      <x:c r="K1374" t="str">
        <x:f>IF(B1374="","",IF(I1374="확인 필요","붙임 문서 확인 후 거래 성격·기간·상대방·일회성 여부 확인","결의서명과 전기 대비 발생 건수·단가·시점 차이 검토"))</x:f>
      </x:c>
    </x:row>
    <x:row r="1375">
      <x:c r="A1375" t="str">
        <x:f>IF(B1375="","",IF(COUNTIFS('전기원장'!$A$5:$A$1004,B1375,'전기원장'!$D$5:$D$1004,E1375)&gt;0,"전기","당기"))</x:f>
      </x:c>
      <x:c r="D1375" s="67"/>
      <x:c r="G1375" s="68"/>
      <x:c r="K1375" t="str">
        <x:f>IF(B1375="","",IF(I1375="확인 필요","붙임 문서 확인 후 거래 성격·기간·상대방·일회성 여부 확인","결의서명과 전기 대비 발생 건수·단가·시점 차이 검토"))</x:f>
      </x:c>
    </x:row>
    <x:row r="1376">
      <x:c r="A1376" t="str">
        <x:f>IF(B1376="","",IF(COUNTIFS('전기원장'!$A$5:$A$1004,B1376,'전기원장'!$D$5:$D$1004,E1376)&gt;0,"전기","당기"))</x:f>
      </x:c>
      <x:c r="D1376" s="67"/>
      <x:c r="G1376" s="68"/>
      <x:c r="K1376" t="str">
        <x:f>IF(B1376="","",IF(I1376="확인 필요","붙임 문서 확인 후 거래 성격·기간·상대방·일회성 여부 확인","결의서명과 전기 대비 발생 건수·단가·시점 차이 검토"))</x:f>
      </x:c>
    </x:row>
    <x:row r="1377">
      <x:c r="A1377" t="str">
        <x:f>IF(B1377="","",IF(COUNTIFS('전기원장'!$A$5:$A$1004,B1377,'전기원장'!$D$5:$D$1004,E1377)&gt;0,"전기","당기"))</x:f>
      </x:c>
      <x:c r="D1377" s="67"/>
      <x:c r="G1377" s="68"/>
      <x:c r="K1377" t="str">
        <x:f>IF(B1377="","",IF(I1377="확인 필요","붙임 문서 확인 후 거래 성격·기간·상대방·일회성 여부 확인","결의서명과 전기 대비 발생 건수·단가·시점 차이 검토"))</x:f>
      </x:c>
    </x:row>
    <x:row r="1378">
      <x:c r="A1378" t="str">
        <x:f>IF(B1378="","",IF(COUNTIFS('전기원장'!$A$5:$A$1004,B1378,'전기원장'!$D$5:$D$1004,E1378)&gt;0,"전기","당기"))</x:f>
      </x:c>
      <x:c r="D1378" s="67"/>
      <x:c r="G1378" s="68"/>
      <x:c r="K1378" t="str">
        <x:f>IF(B1378="","",IF(I1378="확인 필요","붙임 문서 확인 후 거래 성격·기간·상대방·일회성 여부 확인","결의서명과 전기 대비 발생 건수·단가·시점 차이 검토"))</x:f>
      </x:c>
    </x:row>
    <x:row r="1379">
      <x:c r="A1379" t="str">
        <x:f>IF(B1379="","",IF(COUNTIFS('전기원장'!$A$5:$A$1004,B1379,'전기원장'!$D$5:$D$1004,E1379)&gt;0,"전기","당기"))</x:f>
      </x:c>
      <x:c r="D1379" s="67"/>
      <x:c r="G1379" s="68"/>
      <x:c r="K1379" t="str">
        <x:f>IF(B1379="","",IF(I1379="확인 필요","붙임 문서 확인 후 거래 성격·기간·상대방·일회성 여부 확인","결의서명과 전기 대비 발생 건수·단가·시점 차이 검토"))</x:f>
      </x:c>
    </x:row>
    <x:row r="1380">
      <x:c r="A1380" t="str">
        <x:f>IF(B1380="","",IF(COUNTIFS('전기원장'!$A$5:$A$1004,B1380,'전기원장'!$D$5:$D$1004,E1380)&gt;0,"전기","당기"))</x:f>
      </x:c>
      <x:c r="D1380" s="67"/>
      <x:c r="G1380" s="68"/>
      <x:c r="K1380" t="str">
        <x:f>IF(B1380="","",IF(I1380="확인 필요","붙임 문서 확인 후 거래 성격·기간·상대방·일회성 여부 확인","결의서명과 전기 대비 발생 건수·단가·시점 차이 검토"))</x:f>
      </x:c>
    </x:row>
    <x:row r="1381">
      <x:c r="A1381" t="str">
        <x:f>IF(B1381="","",IF(COUNTIFS('전기원장'!$A$5:$A$1004,B1381,'전기원장'!$D$5:$D$1004,E1381)&gt;0,"전기","당기"))</x:f>
      </x:c>
      <x:c r="D1381" s="67"/>
      <x:c r="G1381" s="68"/>
      <x:c r="K1381" t="str">
        <x:f>IF(B1381="","",IF(I1381="확인 필요","붙임 문서 확인 후 거래 성격·기간·상대방·일회성 여부 확인","결의서명과 전기 대비 발생 건수·단가·시점 차이 검토"))</x:f>
      </x:c>
    </x:row>
    <x:row r="1382">
      <x:c r="A1382" t="str">
        <x:f>IF(B1382="","",IF(COUNTIFS('전기원장'!$A$5:$A$1004,B1382,'전기원장'!$D$5:$D$1004,E1382)&gt;0,"전기","당기"))</x:f>
      </x:c>
      <x:c r="D1382" s="67"/>
      <x:c r="G1382" s="68"/>
      <x:c r="K1382" t="str">
        <x:f>IF(B1382="","",IF(I1382="확인 필요","붙임 문서 확인 후 거래 성격·기간·상대방·일회성 여부 확인","결의서명과 전기 대비 발생 건수·단가·시점 차이 검토"))</x:f>
      </x:c>
    </x:row>
    <x:row r="1383">
      <x:c r="A1383" t="str">
        <x:f>IF(B1383="","",IF(COUNTIFS('전기원장'!$A$5:$A$1004,B1383,'전기원장'!$D$5:$D$1004,E1383)&gt;0,"전기","당기"))</x:f>
      </x:c>
      <x:c r="D1383" s="67"/>
      <x:c r="G1383" s="68"/>
      <x:c r="K1383" t="str">
        <x:f>IF(B1383="","",IF(I1383="확인 필요","붙임 문서 확인 후 거래 성격·기간·상대방·일회성 여부 확인","결의서명과 전기 대비 발생 건수·단가·시점 차이 검토"))</x:f>
      </x:c>
    </x:row>
    <x:row r="1384">
      <x:c r="A1384" t="str">
        <x:f>IF(B1384="","",IF(COUNTIFS('전기원장'!$A$5:$A$1004,B1384,'전기원장'!$D$5:$D$1004,E1384)&gt;0,"전기","당기"))</x:f>
      </x:c>
      <x:c r="D1384" s="67"/>
      <x:c r="G1384" s="68"/>
      <x:c r="K1384" t="str">
        <x:f>IF(B1384="","",IF(I1384="확인 필요","붙임 문서 확인 후 거래 성격·기간·상대방·일회성 여부 확인","결의서명과 전기 대비 발생 건수·단가·시점 차이 검토"))</x:f>
      </x:c>
    </x:row>
    <x:row r="1385">
      <x:c r="A1385" t="str">
        <x:f>IF(B1385="","",IF(COUNTIFS('전기원장'!$A$5:$A$1004,B1385,'전기원장'!$D$5:$D$1004,E1385)&gt;0,"전기","당기"))</x:f>
      </x:c>
      <x:c r="D1385" s="67"/>
      <x:c r="G1385" s="68"/>
      <x:c r="K1385" t="str">
        <x:f>IF(B1385="","",IF(I1385="확인 필요","붙임 문서 확인 후 거래 성격·기간·상대방·일회성 여부 확인","결의서명과 전기 대비 발생 건수·단가·시점 차이 검토"))</x:f>
      </x:c>
    </x:row>
    <x:row r="1386">
      <x:c r="A1386" t="str">
        <x:f>IF(B1386="","",IF(COUNTIFS('전기원장'!$A$5:$A$1004,B1386,'전기원장'!$D$5:$D$1004,E1386)&gt;0,"전기","당기"))</x:f>
      </x:c>
      <x:c r="D1386" s="67"/>
      <x:c r="G1386" s="68"/>
      <x:c r="K1386" t="str">
        <x:f>IF(B1386="","",IF(I1386="확인 필요","붙임 문서 확인 후 거래 성격·기간·상대방·일회성 여부 확인","결의서명과 전기 대비 발생 건수·단가·시점 차이 검토"))</x:f>
      </x:c>
    </x:row>
    <x:row r="1387">
      <x:c r="A1387" t="str">
        <x:f>IF(B1387="","",IF(COUNTIFS('전기원장'!$A$5:$A$1004,B1387,'전기원장'!$D$5:$D$1004,E1387)&gt;0,"전기","당기"))</x:f>
      </x:c>
      <x:c r="D1387" s="67"/>
      <x:c r="G1387" s="68"/>
      <x:c r="K1387" t="str">
        <x:f>IF(B1387="","",IF(I1387="확인 필요","붙임 문서 확인 후 거래 성격·기간·상대방·일회성 여부 확인","결의서명과 전기 대비 발생 건수·단가·시점 차이 검토"))</x:f>
      </x:c>
    </x:row>
    <x:row r="1388">
      <x:c r="A1388" t="str">
        <x:f>IF(B1388="","",IF(COUNTIFS('전기원장'!$A$5:$A$1004,B1388,'전기원장'!$D$5:$D$1004,E1388)&gt;0,"전기","당기"))</x:f>
      </x:c>
      <x:c r="D1388" s="67"/>
      <x:c r="G1388" s="68"/>
      <x:c r="K1388" t="str">
        <x:f>IF(B1388="","",IF(I1388="확인 필요","붙임 문서 확인 후 거래 성격·기간·상대방·일회성 여부 확인","결의서명과 전기 대비 발생 건수·단가·시점 차이 검토"))</x:f>
      </x:c>
    </x:row>
    <x:row r="1389">
      <x:c r="A1389" t="str">
        <x:f>IF(B1389="","",IF(COUNTIFS('전기원장'!$A$5:$A$1004,B1389,'전기원장'!$D$5:$D$1004,E1389)&gt;0,"전기","당기"))</x:f>
      </x:c>
      <x:c r="D1389" s="67"/>
      <x:c r="G1389" s="68"/>
      <x:c r="K1389" t="str">
        <x:f>IF(B1389="","",IF(I1389="확인 필요","붙임 문서 확인 후 거래 성격·기간·상대방·일회성 여부 확인","결의서명과 전기 대비 발생 건수·단가·시점 차이 검토"))</x:f>
      </x:c>
    </x:row>
    <x:row r="1390">
      <x:c r="A1390" t="str">
        <x:f>IF(B1390="","",IF(COUNTIFS('전기원장'!$A$5:$A$1004,B1390,'전기원장'!$D$5:$D$1004,E1390)&gt;0,"전기","당기"))</x:f>
      </x:c>
      <x:c r="D1390" s="67"/>
      <x:c r="G1390" s="68"/>
      <x:c r="K1390" t="str">
        <x:f>IF(B1390="","",IF(I1390="확인 필요","붙임 문서 확인 후 거래 성격·기간·상대방·일회성 여부 확인","결의서명과 전기 대비 발생 건수·단가·시점 차이 검토"))</x:f>
      </x:c>
    </x:row>
    <x:row r="1391">
      <x:c r="A1391" t="str">
        <x:f>IF(B1391="","",IF(COUNTIFS('전기원장'!$A$5:$A$1004,B1391,'전기원장'!$D$5:$D$1004,E1391)&gt;0,"전기","당기"))</x:f>
      </x:c>
      <x:c r="D1391" s="67"/>
      <x:c r="G1391" s="68"/>
      <x:c r="K1391" t="str">
        <x:f>IF(B1391="","",IF(I1391="확인 필요","붙임 문서 확인 후 거래 성격·기간·상대방·일회성 여부 확인","결의서명과 전기 대비 발생 건수·단가·시점 차이 검토"))</x:f>
      </x:c>
    </x:row>
    <x:row r="1392">
      <x:c r="A1392" t="str">
        <x:f>IF(B1392="","",IF(COUNTIFS('전기원장'!$A$5:$A$1004,B1392,'전기원장'!$D$5:$D$1004,E1392)&gt;0,"전기","당기"))</x:f>
      </x:c>
      <x:c r="D1392" s="67"/>
      <x:c r="G1392" s="68"/>
      <x:c r="K1392" t="str">
        <x:f>IF(B1392="","",IF(I1392="확인 필요","붙임 문서 확인 후 거래 성격·기간·상대방·일회성 여부 확인","결의서명과 전기 대비 발생 건수·단가·시점 차이 검토"))</x:f>
      </x:c>
    </x:row>
    <x:row r="1393">
      <x:c r="A1393" t="str">
        <x:f>IF(B1393="","",IF(COUNTIFS('전기원장'!$A$5:$A$1004,B1393,'전기원장'!$D$5:$D$1004,E1393)&gt;0,"전기","당기"))</x:f>
      </x:c>
      <x:c r="D1393" s="67"/>
      <x:c r="G1393" s="68"/>
      <x:c r="K1393" t="str">
        <x:f>IF(B1393="","",IF(I1393="확인 필요","붙임 문서 확인 후 거래 성격·기간·상대방·일회성 여부 확인","결의서명과 전기 대비 발생 건수·단가·시점 차이 검토"))</x:f>
      </x:c>
    </x:row>
    <x:row r="1394">
      <x:c r="A1394" t="str">
        <x:f>IF(B1394="","",IF(COUNTIFS('전기원장'!$A$5:$A$1004,B1394,'전기원장'!$D$5:$D$1004,E1394)&gt;0,"전기","당기"))</x:f>
      </x:c>
      <x:c r="D1394" s="67"/>
      <x:c r="G1394" s="68"/>
      <x:c r="K1394" t="str">
        <x:f>IF(B1394="","",IF(I1394="확인 필요","붙임 문서 확인 후 거래 성격·기간·상대방·일회성 여부 확인","결의서명과 전기 대비 발생 건수·단가·시점 차이 검토"))</x:f>
      </x:c>
    </x:row>
    <x:row r="1395">
      <x:c r="A1395" t="str">
        <x:f>IF(B1395="","",IF(COUNTIFS('전기원장'!$A$5:$A$1004,B1395,'전기원장'!$D$5:$D$1004,E1395)&gt;0,"전기","당기"))</x:f>
      </x:c>
      <x:c r="D1395" s="67"/>
      <x:c r="G1395" s="68"/>
      <x:c r="K1395" t="str">
        <x:f>IF(B1395="","",IF(I1395="확인 필요","붙임 문서 확인 후 거래 성격·기간·상대방·일회성 여부 확인","결의서명과 전기 대비 발생 건수·단가·시점 차이 검토"))</x:f>
      </x:c>
    </x:row>
    <x:row r="1396">
      <x:c r="A1396" t="str">
        <x:f>IF(B1396="","",IF(COUNTIFS('전기원장'!$A$5:$A$1004,B1396,'전기원장'!$D$5:$D$1004,E1396)&gt;0,"전기","당기"))</x:f>
      </x:c>
      <x:c r="D1396" s="67"/>
      <x:c r="G1396" s="68"/>
      <x:c r="K1396" t="str">
        <x:f>IF(B1396="","",IF(I1396="확인 필요","붙임 문서 확인 후 거래 성격·기간·상대방·일회성 여부 확인","결의서명과 전기 대비 발생 건수·단가·시점 차이 검토"))</x:f>
      </x:c>
    </x:row>
    <x:row r="1397">
      <x:c r="A1397" t="str">
        <x:f>IF(B1397="","",IF(COUNTIFS('전기원장'!$A$5:$A$1004,B1397,'전기원장'!$D$5:$D$1004,E1397)&gt;0,"전기","당기"))</x:f>
      </x:c>
      <x:c r="D1397" s="67"/>
      <x:c r="G1397" s="68"/>
      <x:c r="K1397" t="str">
        <x:f>IF(B1397="","",IF(I1397="확인 필요","붙임 문서 확인 후 거래 성격·기간·상대방·일회성 여부 확인","결의서명과 전기 대비 발생 건수·단가·시점 차이 검토"))</x:f>
      </x:c>
    </x:row>
    <x:row r="1398">
      <x:c r="A1398" t="str">
        <x:f>IF(B1398="","",IF(COUNTIFS('전기원장'!$A$5:$A$1004,B1398,'전기원장'!$D$5:$D$1004,E1398)&gt;0,"전기","당기"))</x:f>
      </x:c>
      <x:c r="D1398" s="67"/>
      <x:c r="G1398" s="68"/>
      <x:c r="K1398" t="str">
        <x:f>IF(B1398="","",IF(I1398="확인 필요","붙임 문서 확인 후 거래 성격·기간·상대방·일회성 여부 확인","결의서명과 전기 대비 발생 건수·단가·시점 차이 검토"))</x:f>
      </x:c>
    </x:row>
    <x:row r="1399">
      <x:c r="A1399" t="str">
        <x:f>IF(B1399="","",IF(COUNTIFS('전기원장'!$A$5:$A$1004,B1399,'전기원장'!$D$5:$D$1004,E1399)&gt;0,"전기","당기"))</x:f>
      </x:c>
      <x:c r="D1399" s="67"/>
      <x:c r="G1399" s="68"/>
      <x:c r="K1399" t="str">
        <x:f>IF(B1399="","",IF(I1399="확인 필요","붙임 문서 확인 후 거래 성격·기간·상대방·일회성 여부 확인","결의서명과 전기 대비 발생 건수·단가·시점 차이 검토"))</x:f>
      </x:c>
    </x:row>
    <x:row r="1400">
      <x:c r="A1400" t="str">
        <x:f>IF(B1400="","",IF(COUNTIFS('전기원장'!$A$5:$A$1004,B1400,'전기원장'!$D$5:$D$1004,E1400)&gt;0,"전기","당기"))</x:f>
      </x:c>
      <x:c r="D1400" s="67"/>
      <x:c r="G1400" s="68"/>
      <x:c r="K1400" t="str">
        <x:f>IF(B1400="","",IF(I1400="확인 필요","붙임 문서 확인 후 거래 성격·기간·상대방·일회성 여부 확인","결의서명과 전기 대비 발생 건수·단가·시점 차이 검토"))</x:f>
      </x:c>
    </x:row>
    <x:row r="1401">
      <x:c r="A1401" t="str">
        <x:f>IF(B1401="","",IF(COUNTIFS('전기원장'!$A$5:$A$1004,B1401,'전기원장'!$D$5:$D$1004,E1401)&gt;0,"전기","당기"))</x:f>
      </x:c>
      <x:c r="D1401" s="67"/>
      <x:c r="G1401" s="68"/>
      <x:c r="K1401" t="str">
        <x:f>IF(B1401="","",IF(I1401="확인 필요","붙임 문서 확인 후 거래 성격·기간·상대방·일회성 여부 확인","결의서명과 전기 대비 발생 건수·단가·시점 차이 검토"))</x:f>
      </x:c>
    </x:row>
    <x:row r="1402">
      <x:c r="A1402" t="str">
        <x:f>IF(B1402="","",IF(COUNTIFS('전기원장'!$A$5:$A$1004,B1402,'전기원장'!$D$5:$D$1004,E1402)&gt;0,"전기","당기"))</x:f>
      </x:c>
      <x:c r="D1402" s="67"/>
      <x:c r="G1402" s="68"/>
      <x:c r="K1402" t="str">
        <x:f>IF(B1402="","",IF(I1402="확인 필요","붙임 문서 확인 후 거래 성격·기간·상대방·일회성 여부 확인","결의서명과 전기 대비 발생 건수·단가·시점 차이 검토"))</x:f>
      </x:c>
    </x:row>
    <x:row r="1403">
      <x:c r="A1403" t="str">
        <x:f>IF(B1403="","",IF(COUNTIFS('전기원장'!$A$5:$A$1004,B1403,'전기원장'!$D$5:$D$1004,E1403)&gt;0,"전기","당기"))</x:f>
      </x:c>
      <x:c r="D1403" s="67"/>
      <x:c r="G1403" s="68"/>
      <x:c r="K1403" t="str">
        <x:f>IF(B1403="","",IF(I1403="확인 필요","붙임 문서 확인 후 거래 성격·기간·상대방·일회성 여부 확인","결의서명과 전기 대비 발생 건수·단가·시점 차이 검토"))</x:f>
      </x:c>
    </x:row>
    <x:row r="1404">
      <x:c r="A1404" t="str">
        <x:f>IF(B1404="","",IF(COUNTIFS('전기원장'!$A$5:$A$1004,B1404,'전기원장'!$D$5:$D$1004,E1404)&gt;0,"전기","당기"))</x:f>
      </x:c>
      <x:c r="D1404" s="67"/>
      <x:c r="G1404" s="68"/>
      <x:c r="K1404" t="str">
        <x:f>IF(B1404="","",IF(I1404="확인 필요","붙임 문서 확인 후 거래 성격·기간·상대방·일회성 여부 확인","결의서명과 전기 대비 발생 건수·단가·시점 차이 검토"))</x:f>
      </x:c>
    </x:row>
    <x:row r="1405">
      <x:c r="A1405" t="str">
        <x:f>IF(B1405="","",IF(COUNTIFS('전기원장'!$A$5:$A$1004,B1405,'전기원장'!$D$5:$D$1004,E1405)&gt;0,"전기","당기"))</x:f>
      </x:c>
      <x:c r="D1405" s="67"/>
      <x:c r="G1405" s="68"/>
      <x:c r="K1405" t="str">
        <x:f>IF(B1405="","",IF(I1405="확인 필요","붙임 문서 확인 후 거래 성격·기간·상대방·일회성 여부 확인","결의서명과 전기 대비 발생 건수·단가·시점 차이 검토"))</x:f>
      </x:c>
    </x:row>
    <x:row r="1406">
      <x:c r="A1406" t="str">
        <x:f>IF(B1406="","",IF(COUNTIFS('전기원장'!$A$5:$A$1004,B1406,'전기원장'!$D$5:$D$1004,E1406)&gt;0,"전기","당기"))</x:f>
      </x:c>
      <x:c r="D1406" s="67"/>
      <x:c r="G1406" s="68"/>
      <x:c r="K1406" t="str">
        <x:f>IF(B1406="","",IF(I1406="확인 필요","붙임 문서 확인 후 거래 성격·기간·상대방·일회성 여부 확인","결의서명과 전기 대비 발생 건수·단가·시점 차이 검토"))</x:f>
      </x:c>
    </x:row>
    <x:row r="1407">
      <x:c r="A1407" t="str">
        <x:f>IF(B1407="","",IF(COUNTIFS('전기원장'!$A$5:$A$1004,B1407,'전기원장'!$D$5:$D$1004,E1407)&gt;0,"전기","당기"))</x:f>
      </x:c>
      <x:c r="D1407" s="67"/>
      <x:c r="G1407" s="68"/>
      <x:c r="K1407" t="str">
        <x:f>IF(B1407="","",IF(I1407="확인 필요","붙임 문서 확인 후 거래 성격·기간·상대방·일회성 여부 확인","결의서명과 전기 대비 발생 건수·단가·시점 차이 검토"))</x:f>
      </x:c>
    </x:row>
    <x:row r="1408">
      <x:c r="A1408" t="str">
        <x:f>IF(B1408="","",IF(COUNTIFS('전기원장'!$A$5:$A$1004,B1408,'전기원장'!$D$5:$D$1004,E1408)&gt;0,"전기","당기"))</x:f>
      </x:c>
      <x:c r="D1408" s="67"/>
      <x:c r="G1408" s="68"/>
      <x:c r="K1408" t="str">
        <x:f>IF(B1408="","",IF(I1408="확인 필요","붙임 문서 확인 후 거래 성격·기간·상대방·일회성 여부 확인","결의서명과 전기 대비 발생 건수·단가·시점 차이 검토"))</x:f>
      </x:c>
    </x:row>
    <x:row r="1409">
      <x:c r="A1409" t="str">
        <x:f>IF(B1409="","",IF(COUNTIFS('전기원장'!$A$5:$A$1004,B1409,'전기원장'!$D$5:$D$1004,E1409)&gt;0,"전기","당기"))</x:f>
      </x:c>
      <x:c r="D1409" s="67"/>
      <x:c r="G1409" s="68"/>
      <x:c r="K1409" t="str">
        <x:f>IF(B1409="","",IF(I1409="확인 필요","붙임 문서 확인 후 거래 성격·기간·상대방·일회성 여부 확인","결의서명과 전기 대비 발생 건수·단가·시점 차이 검토"))</x:f>
      </x:c>
    </x:row>
    <x:row r="1410">
      <x:c r="A1410" t="str">
        <x:f>IF(B1410="","",IF(COUNTIFS('전기원장'!$A$5:$A$1004,B1410,'전기원장'!$D$5:$D$1004,E1410)&gt;0,"전기","당기"))</x:f>
      </x:c>
      <x:c r="D1410" s="67"/>
      <x:c r="G1410" s="68"/>
      <x:c r="K1410" t="str">
        <x:f>IF(B1410="","",IF(I1410="확인 필요","붙임 문서 확인 후 거래 성격·기간·상대방·일회성 여부 확인","결의서명과 전기 대비 발생 건수·단가·시점 차이 검토"))</x:f>
      </x:c>
    </x:row>
    <x:row r="1411">
      <x:c r="A1411" t="str">
        <x:f>IF(B1411="","",IF(COUNTIFS('전기원장'!$A$5:$A$1004,B1411,'전기원장'!$D$5:$D$1004,E1411)&gt;0,"전기","당기"))</x:f>
      </x:c>
      <x:c r="D1411" s="67"/>
      <x:c r="G1411" s="68"/>
      <x:c r="K1411" t="str">
        <x:f>IF(B1411="","",IF(I1411="확인 필요","붙임 문서 확인 후 거래 성격·기간·상대방·일회성 여부 확인","결의서명과 전기 대비 발생 건수·단가·시점 차이 검토"))</x:f>
      </x:c>
    </x:row>
    <x:row r="1412">
      <x:c r="A1412" t="str">
        <x:f>IF(B1412="","",IF(COUNTIFS('전기원장'!$A$5:$A$1004,B1412,'전기원장'!$D$5:$D$1004,E1412)&gt;0,"전기","당기"))</x:f>
      </x:c>
      <x:c r="D1412" s="67"/>
      <x:c r="G1412" s="68"/>
      <x:c r="K1412" t="str">
        <x:f>IF(B1412="","",IF(I1412="확인 필요","붙임 문서 확인 후 거래 성격·기간·상대방·일회성 여부 확인","결의서명과 전기 대비 발생 건수·단가·시점 차이 검토"))</x:f>
      </x:c>
    </x:row>
    <x:row r="1413">
      <x:c r="A1413" t="str">
        <x:f>IF(B1413="","",IF(COUNTIFS('전기원장'!$A$5:$A$1004,B1413,'전기원장'!$D$5:$D$1004,E1413)&gt;0,"전기","당기"))</x:f>
      </x:c>
      <x:c r="D1413" s="67"/>
      <x:c r="G1413" s="68"/>
      <x:c r="K1413" t="str">
        <x:f>IF(B1413="","",IF(I1413="확인 필요","붙임 문서 확인 후 거래 성격·기간·상대방·일회성 여부 확인","결의서명과 전기 대비 발생 건수·단가·시점 차이 검토"))</x:f>
      </x:c>
    </x:row>
    <x:row r="1414">
      <x:c r="A1414" t="str">
        <x:f>IF(B1414="","",IF(COUNTIFS('전기원장'!$A$5:$A$1004,B1414,'전기원장'!$D$5:$D$1004,E1414)&gt;0,"전기","당기"))</x:f>
      </x:c>
      <x:c r="D1414" s="67"/>
      <x:c r="G1414" s="68"/>
      <x:c r="K1414" t="str">
        <x:f>IF(B1414="","",IF(I1414="확인 필요","붙임 문서 확인 후 거래 성격·기간·상대방·일회성 여부 확인","결의서명과 전기 대비 발생 건수·단가·시점 차이 검토"))</x:f>
      </x:c>
    </x:row>
    <x:row r="1415">
      <x:c r="A1415" t="str">
        <x:f>IF(B1415="","",IF(COUNTIFS('전기원장'!$A$5:$A$1004,B1415,'전기원장'!$D$5:$D$1004,E1415)&gt;0,"전기","당기"))</x:f>
      </x:c>
      <x:c r="D1415" s="67"/>
      <x:c r="G1415" s="68"/>
      <x:c r="K1415" t="str">
        <x:f>IF(B1415="","",IF(I1415="확인 필요","붙임 문서 확인 후 거래 성격·기간·상대방·일회성 여부 확인","결의서명과 전기 대비 발생 건수·단가·시점 차이 검토"))</x:f>
      </x:c>
    </x:row>
    <x:row r="1416">
      <x:c r="A1416" t="str">
        <x:f>IF(B1416="","",IF(COUNTIFS('전기원장'!$A$5:$A$1004,B1416,'전기원장'!$D$5:$D$1004,E1416)&gt;0,"전기","당기"))</x:f>
      </x:c>
      <x:c r="D1416" s="67"/>
      <x:c r="G1416" s="68"/>
      <x:c r="K1416" t="str">
        <x:f>IF(B1416="","",IF(I1416="확인 필요","붙임 문서 확인 후 거래 성격·기간·상대방·일회성 여부 확인","결의서명과 전기 대비 발생 건수·단가·시점 차이 검토"))</x:f>
      </x:c>
    </x:row>
    <x:row r="1417">
      <x:c r="A1417" t="str">
        <x:f>IF(B1417="","",IF(COUNTIFS('전기원장'!$A$5:$A$1004,B1417,'전기원장'!$D$5:$D$1004,E1417)&gt;0,"전기","당기"))</x:f>
      </x:c>
      <x:c r="D1417" s="67"/>
      <x:c r="G1417" s="68"/>
      <x:c r="K1417" t="str">
        <x:f>IF(B1417="","",IF(I1417="확인 필요","붙임 문서 확인 후 거래 성격·기간·상대방·일회성 여부 확인","결의서명과 전기 대비 발생 건수·단가·시점 차이 검토"))</x:f>
      </x:c>
    </x:row>
    <x:row r="1418">
      <x:c r="A1418" t="str">
        <x:f>IF(B1418="","",IF(COUNTIFS('전기원장'!$A$5:$A$1004,B1418,'전기원장'!$D$5:$D$1004,E1418)&gt;0,"전기","당기"))</x:f>
      </x:c>
      <x:c r="D1418" s="67"/>
      <x:c r="G1418" s="68"/>
      <x:c r="K1418" t="str">
        <x:f>IF(B1418="","",IF(I1418="확인 필요","붙임 문서 확인 후 거래 성격·기간·상대방·일회성 여부 확인","결의서명과 전기 대비 발생 건수·단가·시점 차이 검토"))</x:f>
      </x:c>
    </x:row>
    <x:row r="1419">
      <x:c r="A1419" t="str">
        <x:f>IF(B1419="","",IF(COUNTIFS('전기원장'!$A$5:$A$1004,B1419,'전기원장'!$D$5:$D$1004,E1419)&gt;0,"전기","당기"))</x:f>
      </x:c>
      <x:c r="D1419" s="67"/>
      <x:c r="G1419" s="68"/>
      <x:c r="K1419" t="str">
        <x:f>IF(B1419="","",IF(I1419="확인 필요","붙임 문서 확인 후 거래 성격·기간·상대방·일회성 여부 확인","결의서명과 전기 대비 발생 건수·단가·시점 차이 검토"))</x:f>
      </x:c>
    </x:row>
    <x:row r="1420">
      <x:c r="A1420" t="str">
        <x:f>IF(B1420="","",IF(COUNTIFS('전기원장'!$A$5:$A$1004,B1420,'전기원장'!$D$5:$D$1004,E1420)&gt;0,"전기","당기"))</x:f>
      </x:c>
      <x:c r="D1420" s="67"/>
      <x:c r="G1420" s="68"/>
      <x:c r="K1420" t="str">
        <x:f>IF(B1420="","",IF(I1420="확인 필요","붙임 문서 확인 후 거래 성격·기간·상대방·일회성 여부 확인","결의서명과 전기 대비 발생 건수·단가·시점 차이 검토"))</x:f>
      </x:c>
    </x:row>
    <x:row r="1421">
      <x:c r="A1421" t="str">
        <x:f>IF(B1421="","",IF(COUNTIFS('전기원장'!$A$5:$A$1004,B1421,'전기원장'!$D$5:$D$1004,E1421)&gt;0,"전기","당기"))</x:f>
      </x:c>
      <x:c r="D1421" s="67"/>
      <x:c r="G1421" s="68"/>
      <x:c r="K1421" t="str">
        <x:f>IF(B1421="","",IF(I1421="확인 필요","붙임 문서 확인 후 거래 성격·기간·상대방·일회성 여부 확인","결의서명과 전기 대비 발생 건수·단가·시점 차이 검토"))</x:f>
      </x:c>
    </x:row>
    <x:row r="1422">
      <x:c r="A1422" t="str">
        <x:f>IF(B1422="","",IF(COUNTIFS('전기원장'!$A$5:$A$1004,B1422,'전기원장'!$D$5:$D$1004,E1422)&gt;0,"전기","당기"))</x:f>
      </x:c>
      <x:c r="D1422" s="67"/>
      <x:c r="G1422" s="68"/>
      <x:c r="K1422" t="str">
        <x:f>IF(B1422="","",IF(I1422="확인 필요","붙임 문서 확인 후 거래 성격·기간·상대방·일회성 여부 확인","결의서명과 전기 대비 발생 건수·단가·시점 차이 검토"))</x:f>
      </x:c>
    </x:row>
    <x:row r="1423">
      <x:c r="A1423" t="str">
        <x:f>IF(B1423="","",IF(COUNTIFS('전기원장'!$A$5:$A$1004,B1423,'전기원장'!$D$5:$D$1004,E1423)&gt;0,"전기","당기"))</x:f>
      </x:c>
      <x:c r="D1423" s="67"/>
      <x:c r="G1423" s="68"/>
      <x:c r="K1423" t="str">
        <x:f>IF(B1423="","",IF(I1423="확인 필요","붙임 문서 확인 후 거래 성격·기간·상대방·일회성 여부 확인","결의서명과 전기 대비 발생 건수·단가·시점 차이 검토"))</x:f>
      </x:c>
    </x:row>
    <x:row r="1424">
      <x:c r="A1424" t="str">
        <x:f>IF(B1424="","",IF(COUNTIFS('전기원장'!$A$5:$A$1004,B1424,'전기원장'!$D$5:$D$1004,E1424)&gt;0,"전기","당기"))</x:f>
      </x:c>
      <x:c r="D1424" s="67"/>
      <x:c r="G1424" s="68"/>
      <x:c r="K1424" t="str">
        <x:f>IF(B1424="","",IF(I1424="확인 필요","붙임 문서 확인 후 거래 성격·기간·상대방·일회성 여부 확인","결의서명과 전기 대비 발생 건수·단가·시점 차이 검토"))</x:f>
      </x:c>
    </x:row>
    <x:row r="1425">
      <x:c r="A1425" t="str">
        <x:f>IF(B1425="","",IF(COUNTIFS('전기원장'!$A$5:$A$1004,B1425,'전기원장'!$D$5:$D$1004,E1425)&gt;0,"전기","당기"))</x:f>
      </x:c>
      <x:c r="D1425" s="67"/>
      <x:c r="G1425" s="68"/>
      <x:c r="K1425" t="str">
        <x:f>IF(B1425="","",IF(I1425="확인 필요","붙임 문서 확인 후 거래 성격·기간·상대방·일회성 여부 확인","결의서명과 전기 대비 발생 건수·단가·시점 차이 검토"))</x:f>
      </x:c>
    </x:row>
    <x:row r="1426">
      <x:c r="A1426" t="str">
        <x:f>IF(B1426="","",IF(COUNTIFS('전기원장'!$A$5:$A$1004,B1426,'전기원장'!$D$5:$D$1004,E1426)&gt;0,"전기","당기"))</x:f>
      </x:c>
      <x:c r="D1426" s="67"/>
      <x:c r="G1426" s="68"/>
      <x:c r="K1426" t="str">
        <x:f>IF(B1426="","",IF(I1426="확인 필요","붙임 문서 확인 후 거래 성격·기간·상대방·일회성 여부 확인","결의서명과 전기 대비 발생 건수·단가·시점 차이 검토"))</x:f>
      </x:c>
    </x:row>
    <x:row r="1427">
      <x:c r="A1427" t="str">
        <x:f>IF(B1427="","",IF(COUNTIFS('전기원장'!$A$5:$A$1004,B1427,'전기원장'!$D$5:$D$1004,E1427)&gt;0,"전기","당기"))</x:f>
      </x:c>
      <x:c r="D1427" s="67"/>
      <x:c r="G1427" s="68"/>
      <x:c r="K1427" t="str">
        <x:f>IF(B1427="","",IF(I1427="확인 필요","붙임 문서 확인 후 거래 성격·기간·상대방·일회성 여부 확인","결의서명과 전기 대비 발생 건수·단가·시점 차이 검토"))</x:f>
      </x:c>
    </x:row>
    <x:row r="1428">
      <x:c r="A1428" t="str">
        <x:f>IF(B1428="","",IF(COUNTIFS('전기원장'!$A$5:$A$1004,B1428,'전기원장'!$D$5:$D$1004,E1428)&gt;0,"전기","당기"))</x:f>
      </x:c>
      <x:c r="D1428" s="67"/>
      <x:c r="G1428" s="68"/>
      <x:c r="K1428" t="str">
        <x:f>IF(B1428="","",IF(I1428="확인 필요","붙임 문서 확인 후 거래 성격·기간·상대방·일회성 여부 확인","결의서명과 전기 대비 발생 건수·단가·시점 차이 검토"))</x:f>
      </x:c>
    </x:row>
    <x:row r="1429">
      <x:c r="A1429" t="str">
        <x:f>IF(B1429="","",IF(COUNTIFS('전기원장'!$A$5:$A$1004,B1429,'전기원장'!$D$5:$D$1004,E1429)&gt;0,"전기","당기"))</x:f>
      </x:c>
      <x:c r="D1429" s="67"/>
      <x:c r="G1429" s="68"/>
      <x:c r="K1429" t="str">
        <x:f>IF(B1429="","",IF(I1429="확인 필요","붙임 문서 확인 후 거래 성격·기간·상대방·일회성 여부 확인","결의서명과 전기 대비 발생 건수·단가·시점 차이 검토"))</x:f>
      </x:c>
    </x:row>
    <x:row r="1430">
      <x:c r="A1430" t="str">
        <x:f>IF(B1430="","",IF(COUNTIFS('전기원장'!$A$5:$A$1004,B1430,'전기원장'!$D$5:$D$1004,E1430)&gt;0,"전기","당기"))</x:f>
      </x:c>
      <x:c r="D1430" s="67"/>
      <x:c r="G1430" s="68"/>
      <x:c r="K1430" t="str">
        <x:f>IF(B1430="","",IF(I1430="확인 필요","붙임 문서 확인 후 거래 성격·기간·상대방·일회성 여부 확인","결의서명과 전기 대비 발생 건수·단가·시점 차이 검토"))</x:f>
      </x:c>
    </x:row>
    <x:row r="1431">
      <x:c r="A1431" t="str">
        <x:f>IF(B1431="","",IF(COUNTIFS('전기원장'!$A$5:$A$1004,B1431,'전기원장'!$D$5:$D$1004,E1431)&gt;0,"전기","당기"))</x:f>
      </x:c>
      <x:c r="D1431" s="67"/>
      <x:c r="G1431" s="68"/>
      <x:c r="K1431" t="str">
        <x:f>IF(B1431="","",IF(I1431="확인 필요","붙임 문서 확인 후 거래 성격·기간·상대방·일회성 여부 확인","결의서명과 전기 대비 발생 건수·단가·시점 차이 검토"))</x:f>
      </x:c>
    </x:row>
    <x:row r="1432">
      <x:c r="A1432" t="str">
        <x:f>IF(B1432="","",IF(COUNTIFS('전기원장'!$A$5:$A$1004,B1432,'전기원장'!$D$5:$D$1004,E1432)&gt;0,"전기","당기"))</x:f>
      </x:c>
      <x:c r="D1432" s="67"/>
      <x:c r="G1432" s="68"/>
      <x:c r="K1432" t="str">
        <x:f>IF(B1432="","",IF(I1432="확인 필요","붙임 문서 확인 후 거래 성격·기간·상대방·일회성 여부 확인","결의서명과 전기 대비 발생 건수·단가·시점 차이 검토"))</x:f>
      </x:c>
    </x:row>
    <x:row r="1433">
      <x:c r="A1433" t="str">
        <x:f>IF(B1433="","",IF(COUNTIFS('전기원장'!$A$5:$A$1004,B1433,'전기원장'!$D$5:$D$1004,E1433)&gt;0,"전기","당기"))</x:f>
      </x:c>
      <x:c r="D1433" s="67"/>
      <x:c r="G1433" s="68"/>
      <x:c r="K1433" t="str">
        <x:f>IF(B1433="","",IF(I1433="확인 필요","붙임 문서 확인 후 거래 성격·기간·상대방·일회성 여부 확인","결의서명과 전기 대비 발생 건수·단가·시점 차이 검토"))</x:f>
      </x:c>
    </x:row>
    <x:row r="1434">
      <x:c r="A1434" t="str">
        <x:f>IF(B1434="","",IF(COUNTIFS('전기원장'!$A$5:$A$1004,B1434,'전기원장'!$D$5:$D$1004,E1434)&gt;0,"전기","당기"))</x:f>
      </x:c>
      <x:c r="D1434" s="67"/>
      <x:c r="G1434" s="68"/>
      <x:c r="K1434" t="str">
        <x:f>IF(B1434="","",IF(I1434="확인 필요","붙임 문서 확인 후 거래 성격·기간·상대방·일회성 여부 확인","결의서명과 전기 대비 발생 건수·단가·시점 차이 검토"))</x:f>
      </x:c>
    </x:row>
    <x:row r="1435">
      <x:c r="A1435" t="str">
        <x:f>IF(B1435="","",IF(COUNTIFS('전기원장'!$A$5:$A$1004,B1435,'전기원장'!$D$5:$D$1004,E1435)&gt;0,"전기","당기"))</x:f>
      </x:c>
      <x:c r="D1435" s="67"/>
      <x:c r="G1435" s="68"/>
      <x:c r="K1435" t="str">
        <x:f>IF(B1435="","",IF(I1435="확인 필요","붙임 문서 확인 후 거래 성격·기간·상대방·일회성 여부 확인","결의서명과 전기 대비 발생 건수·단가·시점 차이 검토"))</x:f>
      </x:c>
    </x:row>
    <x:row r="1436">
      <x:c r="A1436" t="str">
        <x:f>IF(B1436="","",IF(COUNTIFS('전기원장'!$A$5:$A$1004,B1436,'전기원장'!$D$5:$D$1004,E1436)&gt;0,"전기","당기"))</x:f>
      </x:c>
      <x:c r="D1436" s="67"/>
      <x:c r="G1436" s="68"/>
      <x:c r="K1436" t="str">
        <x:f>IF(B1436="","",IF(I1436="확인 필요","붙임 문서 확인 후 거래 성격·기간·상대방·일회성 여부 확인","결의서명과 전기 대비 발생 건수·단가·시점 차이 검토"))</x:f>
      </x:c>
    </x:row>
    <x:row r="1437">
      <x:c r="A1437" t="str">
        <x:f>IF(B1437="","",IF(COUNTIFS('전기원장'!$A$5:$A$1004,B1437,'전기원장'!$D$5:$D$1004,E1437)&gt;0,"전기","당기"))</x:f>
      </x:c>
      <x:c r="D1437" s="67"/>
      <x:c r="G1437" s="68"/>
      <x:c r="K1437" t="str">
        <x:f>IF(B1437="","",IF(I1437="확인 필요","붙임 문서 확인 후 거래 성격·기간·상대방·일회성 여부 확인","결의서명과 전기 대비 발생 건수·단가·시점 차이 검토"))</x:f>
      </x:c>
    </x:row>
    <x:row r="1438">
      <x:c r="A1438" t="str">
        <x:f>IF(B1438="","",IF(COUNTIFS('전기원장'!$A$5:$A$1004,B1438,'전기원장'!$D$5:$D$1004,E1438)&gt;0,"전기","당기"))</x:f>
      </x:c>
      <x:c r="D1438" s="67"/>
      <x:c r="G1438" s="68"/>
      <x:c r="K1438" t="str">
        <x:f>IF(B1438="","",IF(I1438="확인 필요","붙임 문서 확인 후 거래 성격·기간·상대방·일회성 여부 확인","결의서명과 전기 대비 발생 건수·단가·시점 차이 검토"))</x:f>
      </x:c>
    </x:row>
    <x:row r="1439">
      <x:c r="A1439" t="str">
        <x:f>IF(B1439="","",IF(COUNTIFS('전기원장'!$A$5:$A$1004,B1439,'전기원장'!$D$5:$D$1004,E1439)&gt;0,"전기","당기"))</x:f>
      </x:c>
      <x:c r="D1439" s="67"/>
      <x:c r="G1439" s="68"/>
      <x:c r="K1439" t="str">
        <x:f>IF(B1439="","",IF(I1439="확인 필요","붙임 문서 확인 후 거래 성격·기간·상대방·일회성 여부 확인","결의서명과 전기 대비 발생 건수·단가·시점 차이 검토"))</x:f>
      </x:c>
    </x:row>
    <x:row r="1440">
      <x:c r="A1440" t="str">
        <x:f>IF(B1440="","",IF(COUNTIFS('전기원장'!$A$5:$A$1004,B1440,'전기원장'!$D$5:$D$1004,E1440)&gt;0,"전기","당기"))</x:f>
      </x:c>
      <x:c r="D1440" s="67"/>
      <x:c r="G1440" s="68"/>
      <x:c r="K1440" t="str">
        <x:f>IF(B1440="","",IF(I1440="확인 필요","붙임 문서 확인 후 거래 성격·기간·상대방·일회성 여부 확인","결의서명과 전기 대비 발생 건수·단가·시점 차이 검토"))</x:f>
      </x:c>
    </x:row>
    <x:row r="1441">
      <x:c r="A1441" t="str">
        <x:f>IF(B1441="","",IF(COUNTIFS('전기원장'!$A$5:$A$1004,B1441,'전기원장'!$D$5:$D$1004,E1441)&gt;0,"전기","당기"))</x:f>
      </x:c>
      <x:c r="D1441" s="67"/>
      <x:c r="G1441" s="68"/>
      <x:c r="K1441" t="str">
        <x:f>IF(B1441="","",IF(I1441="확인 필요","붙임 문서 확인 후 거래 성격·기간·상대방·일회성 여부 확인","결의서명과 전기 대비 발생 건수·단가·시점 차이 검토"))</x:f>
      </x:c>
    </x:row>
    <x:row r="1442">
      <x:c r="A1442" t="str">
        <x:f>IF(B1442="","",IF(COUNTIFS('전기원장'!$A$5:$A$1004,B1442,'전기원장'!$D$5:$D$1004,E1442)&gt;0,"전기","당기"))</x:f>
      </x:c>
      <x:c r="D1442" s="67"/>
      <x:c r="G1442" s="68"/>
      <x:c r="K1442" t="str">
        <x:f>IF(B1442="","",IF(I1442="확인 필요","붙임 문서 확인 후 거래 성격·기간·상대방·일회성 여부 확인","결의서명과 전기 대비 발생 건수·단가·시점 차이 검토"))</x:f>
      </x:c>
    </x:row>
    <x:row r="1443">
      <x:c r="A1443" t="str">
        <x:f>IF(B1443="","",IF(COUNTIFS('전기원장'!$A$5:$A$1004,B1443,'전기원장'!$D$5:$D$1004,E1443)&gt;0,"전기","당기"))</x:f>
      </x:c>
      <x:c r="D1443" s="67"/>
      <x:c r="G1443" s="68"/>
      <x:c r="K1443" t="str">
        <x:f>IF(B1443="","",IF(I1443="확인 필요","붙임 문서 확인 후 거래 성격·기간·상대방·일회성 여부 확인","결의서명과 전기 대비 발생 건수·단가·시점 차이 검토"))</x:f>
      </x:c>
    </x:row>
    <x:row r="1444">
      <x:c r="A1444" t="str">
        <x:f>IF(B1444="","",IF(COUNTIFS('전기원장'!$A$5:$A$1004,B1444,'전기원장'!$D$5:$D$1004,E1444)&gt;0,"전기","당기"))</x:f>
      </x:c>
      <x:c r="D1444" s="67"/>
      <x:c r="G1444" s="68"/>
      <x:c r="K1444" t="str">
        <x:f>IF(B1444="","",IF(I1444="확인 필요","붙임 문서 확인 후 거래 성격·기간·상대방·일회성 여부 확인","결의서명과 전기 대비 발생 건수·단가·시점 차이 검토"))</x:f>
      </x:c>
    </x:row>
    <x:row r="1445">
      <x:c r="A1445" t="str">
        <x:f>IF(B1445="","",IF(COUNTIFS('전기원장'!$A$5:$A$1004,B1445,'전기원장'!$D$5:$D$1004,E1445)&gt;0,"전기","당기"))</x:f>
      </x:c>
      <x:c r="D1445" s="67"/>
      <x:c r="G1445" s="68"/>
      <x:c r="K1445" t="str">
        <x:f>IF(B1445="","",IF(I1445="확인 필요","붙임 문서 확인 후 거래 성격·기간·상대방·일회성 여부 확인","결의서명과 전기 대비 발생 건수·단가·시점 차이 검토"))</x:f>
      </x:c>
    </x:row>
    <x:row r="1446">
      <x:c r="A1446" t="str">
        <x:f>IF(B1446="","",IF(COUNTIFS('전기원장'!$A$5:$A$1004,B1446,'전기원장'!$D$5:$D$1004,E1446)&gt;0,"전기","당기"))</x:f>
      </x:c>
      <x:c r="D1446" s="67"/>
      <x:c r="G1446" s="68"/>
      <x:c r="K1446" t="str">
        <x:f>IF(B1446="","",IF(I1446="확인 필요","붙임 문서 확인 후 거래 성격·기간·상대방·일회성 여부 확인","결의서명과 전기 대비 발생 건수·단가·시점 차이 검토"))</x:f>
      </x:c>
    </x:row>
    <x:row r="1447">
      <x:c r="A1447" t="str">
        <x:f>IF(B1447="","",IF(COUNTIFS('전기원장'!$A$5:$A$1004,B1447,'전기원장'!$D$5:$D$1004,E1447)&gt;0,"전기","당기"))</x:f>
      </x:c>
      <x:c r="D1447" s="67"/>
      <x:c r="G1447" s="68"/>
      <x:c r="K1447" t="str">
        <x:f>IF(B1447="","",IF(I1447="확인 필요","붙임 문서 확인 후 거래 성격·기간·상대방·일회성 여부 확인","결의서명과 전기 대비 발생 건수·단가·시점 차이 검토"))</x:f>
      </x:c>
    </x:row>
    <x:row r="1448">
      <x:c r="A1448" t="str">
        <x:f>IF(B1448="","",IF(COUNTIFS('전기원장'!$A$5:$A$1004,B1448,'전기원장'!$D$5:$D$1004,E1448)&gt;0,"전기","당기"))</x:f>
      </x:c>
      <x:c r="D1448" s="67"/>
      <x:c r="G1448" s="68"/>
      <x:c r="K1448" t="str">
        <x:f>IF(B1448="","",IF(I1448="확인 필요","붙임 문서 확인 후 거래 성격·기간·상대방·일회성 여부 확인","결의서명과 전기 대비 발생 건수·단가·시점 차이 검토"))</x:f>
      </x:c>
    </x:row>
    <x:row r="1449">
      <x:c r="A1449" t="str">
        <x:f>IF(B1449="","",IF(COUNTIFS('전기원장'!$A$5:$A$1004,B1449,'전기원장'!$D$5:$D$1004,E1449)&gt;0,"전기","당기"))</x:f>
      </x:c>
      <x:c r="D1449" s="67"/>
      <x:c r="G1449" s="68"/>
      <x:c r="K1449" t="str">
        <x:f>IF(B1449="","",IF(I1449="확인 필요","붙임 문서 확인 후 거래 성격·기간·상대방·일회성 여부 확인","결의서명과 전기 대비 발생 건수·단가·시점 차이 검토"))</x:f>
      </x:c>
    </x:row>
    <x:row r="1450">
      <x:c r="A1450" t="str">
        <x:f>IF(B1450="","",IF(COUNTIFS('전기원장'!$A$5:$A$1004,B1450,'전기원장'!$D$5:$D$1004,E1450)&gt;0,"전기","당기"))</x:f>
      </x:c>
      <x:c r="D1450" s="67"/>
      <x:c r="G1450" s="68"/>
      <x:c r="K1450" t="str">
        <x:f>IF(B1450="","",IF(I1450="확인 필요","붙임 문서 확인 후 거래 성격·기간·상대방·일회성 여부 확인","결의서명과 전기 대비 발생 건수·단가·시점 차이 검토"))</x:f>
      </x:c>
    </x:row>
    <x:row r="1451">
      <x:c r="A1451" t="str">
        <x:f>IF(B1451="","",IF(COUNTIFS('전기원장'!$A$5:$A$1004,B1451,'전기원장'!$D$5:$D$1004,E1451)&gt;0,"전기","당기"))</x:f>
      </x:c>
      <x:c r="D1451" s="67"/>
      <x:c r="G1451" s="68"/>
      <x:c r="K1451" t="str">
        <x:f>IF(B1451="","",IF(I1451="확인 필요","붙임 문서 확인 후 거래 성격·기간·상대방·일회성 여부 확인","결의서명과 전기 대비 발생 건수·단가·시점 차이 검토"))</x:f>
      </x:c>
    </x:row>
    <x:row r="1452">
      <x:c r="A1452" t="str">
        <x:f>IF(B1452="","",IF(COUNTIFS('전기원장'!$A$5:$A$1004,B1452,'전기원장'!$D$5:$D$1004,E1452)&gt;0,"전기","당기"))</x:f>
      </x:c>
      <x:c r="D1452" s="67"/>
      <x:c r="G1452" s="68"/>
      <x:c r="K1452" t="str">
        <x:f>IF(B1452="","",IF(I1452="확인 필요","붙임 문서 확인 후 거래 성격·기간·상대방·일회성 여부 확인","결의서명과 전기 대비 발생 건수·단가·시점 차이 검토"))</x:f>
      </x:c>
    </x:row>
    <x:row r="1453">
      <x:c r="A1453" t="str">
        <x:f>IF(B1453="","",IF(COUNTIFS('전기원장'!$A$5:$A$1004,B1453,'전기원장'!$D$5:$D$1004,E1453)&gt;0,"전기","당기"))</x:f>
      </x:c>
      <x:c r="D1453" s="67"/>
      <x:c r="G1453" s="68"/>
      <x:c r="K1453" t="str">
        <x:f>IF(B1453="","",IF(I1453="확인 필요","붙임 문서 확인 후 거래 성격·기간·상대방·일회성 여부 확인","결의서명과 전기 대비 발생 건수·단가·시점 차이 검토"))</x:f>
      </x:c>
    </x:row>
    <x:row r="1454">
      <x:c r="A1454" t="str">
        <x:f>IF(B1454="","",IF(COUNTIFS('전기원장'!$A$5:$A$1004,B1454,'전기원장'!$D$5:$D$1004,E1454)&gt;0,"전기","당기"))</x:f>
      </x:c>
      <x:c r="D1454" s="67"/>
      <x:c r="G1454" s="68"/>
      <x:c r="K1454" t="str">
        <x:f>IF(B1454="","",IF(I1454="확인 필요","붙임 문서 확인 후 거래 성격·기간·상대방·일회성 여부 확인","결의서명과 전기 대비 발생 건수·단가·시점 차이 검토"))</x:f>
      </x:c>
    </x:row>
    <x:row r="1455">
      <x:c r="A1455" t="str">
        <x:f>IF(B1455="","",IF(COUNTIFS('전기원장'!$A$5:$A$1004,B1455,'전기원장'!$D$5:$D$1004,E1455)&gt;0,"전기","당기"))</x:f>
      </x:c>
      <x:c r="D1455" s="67"/>
      <x:c r="G1455" s="68"/>
      <x:c r="K1455" t="str">
        <x:f>IF(B1455="","",IF(I1455="확인 필요","붙임 문서 확인 후 거래 성격·기간·상대방·일회성 여부 확인","결의서명과 전기 대비 발생 건수·단가·시점 차이 검토"))</x:f>
      </x:c>
    </x:row>
    <x:row r="1456">
      <x:c r="A1456" t="str">
        <x:f>IF(B1456="","",IF(COUNTIFS('전기원장'!$A$5:$A$1004,B1456,'전기원장'!$D$5:$D$1004,E1456)&gt;0,"전기","당기"))</x:f>
      </x:c>
      <x:c r="D1456" s="67"/>
      <x:c r="G1456" s="68"/>
      <x:c r="K1456" t="str">
        <x:f>IF(B1456="","",IF(I1456="확인 필요","붙임 문서 확인 후 거래 성격·기간·상대방·일회성 여부 확인","결의서명과 전기 대비 발생 건수·단가·시점 차이 검토"))</x:f>
      </x:c>
    </x:row>
    <x:row r="1457">
      <x:c r="A1457" t="str">
        <x:f>IF(B1457="","",IF(COUNTIFS('전기원장'!$A$5:$A$1004,B1457,'전기원장'!$D$5:$D$1004,E1457)&gt;0,"전기","당기"))</x:f>
      </x:c>
      <x:c r="D1457" s="67"/>
      <x:c r="G1457" s="68"/>
      <x:c r="K1457" t="str">
        <x:f>IF(B1457="","",IF(I1457="확인 필요","붙임 문서 확인 후 거래 성격·기간·상대방·일회성 여부 확인","결의서명과 전기 대비 발생 건수·단가·시점 차이 검토"))</x:f>
      </x:c>
    </x:row>
    <x:row r="1458">
      <x:c r="A1458" t="str">
        <x:f>IF(B1458="","",IF(COUNTIFS('전기원장'!$A$5:$A$1004,B1458,'전기원장'!$D$5:$D$1004,E1458)&gt;0,"전기","당기"))</x:f>
      </x:c>
      <x:c r="D1458" s="67"/>
      <x:c r="G1458" s="68"/>
      <x:c r="K1458" t="str">
        <x:f>IF(B1458="","",IF(I1458="확인 필요","붙임 문서 확인 후 거래 성격·기간·상대방·일회성 여부 확인","결의서명과 전기 대비 발생 건수·단가·시점 차이 검토"))</x:f>
      </x:c>
    </x:row>
    <x:row r="1459">
      <x:c r="A1459" t="str">
        <x:f>IF(B1459="","",IF(COUNTIFS('전기원장'!$A$5:$A$1004,B1459,'전기원장'!$D$5:$D$1004,E1459)&gt;0,"전기","당기"))</x:f>
      </x:c>
      <x:c r="D1459" s="67"/>
      <x:c r="G1459" s="68"/>
      <x:c r="K1459" t="str">
        <x:f>IF(B1459="","",IF(I1459="확인 필요","붙임 문서 확인 후 거래 성격·기간·상대방·일회성 여부 확인","결의서명과 전기 대비 발생 건수·단가·시점 차이 검토"))</x:f>
      </x:c>
    </x:row>
    <x:row r="1460">
      <x:c r="A1460" t="str">
        <x:f>IF(B1460="","",IF(COUNTIFS('전기원장'!$A$5:$A$1004,B1460,'전기원장'!$D$5:$D$1004,E1460)&gt;0,"전기","당기"))</x:f>
      </x:c>
      <x:c r="D1460" s="67"/>
      <x:c r="G1460" s="68"/>
      <x:c r="K1460" t="str">
        <x:f>IF(B1460="","",IF(I1460="확인 필요","붙임 문서 확인 후 거래 성격·기간·상대방·일회성 여부 확인","결의서명과 전기 대비 발생 건수·단가·시점 차이 검토"))</x:f>
      </x:c>
    </x:row>
    <x:row r="1461">
      <x:c r="A1461" t="str">
        <x:f>IF(B1461="","",IF(COUNTIFS('전기원장'!$A$5:$A$1004,B1461,'전기원장'!$D$5:$D$1004,E1461)&gt;0,"전기","당기"))</x:f>
      </x:c>
      <x:c r="D1461" s="67"/>
      <x:c r="G1461" s="68"/>
      <x:c r="K1461" t="str">
        <x:f>IF(B1461="","",IF(I1461="확인 필요","붙임 문서 확인 후 거래 성격·기간·상대방·일회성 여부 확인","결의서명과 전기 대비 발생 건수·단가·시점 차이 검토"))</x:f>
      </x:c>
    </x:row>
    <x:row r="1462">
      <x:c r="A1462" t="str">
        <x:f>IF(B1462="","",IF(COUNTIFS('전기원장'!$A$5:$A$1004,B1462,'전기원장'!$D$5:$D$1004,E1462)&gt;0,"전기","당기"))</x:f>
      </x:c>
      <x:c r="D1462" s="67"/>
      <x:c r="G1462" s="68"/>
      <x:c r="K1462" t="str">
        <x:f>IF(B1462="","",IF(I1462="확인 필요","붙임 문서 확인 후 거래 성격·기간·상대방·일회성 여부 확인","결의서명과 전기 대비 발생 건수·단가·시점 차이 검토"))</x:f>
      </x:c>
    </x:row>
    <x:row r="1463">
      <x:c r="A1463" t="str">
        <x:f>IF(B1463="","",IF(COUNTIFS('전기원장'!$A$5:$A$1004,B1463,'전기원장'!$D$5:$D$1004,E1463)&gt;0,"전기","당기"))</x:f>
      </x:c>
      <x:c r="D1463" s="67"/>
      <x:c r="G1463" s="68"/>
      <x:c r="K1463" t="str">
        <x:f>IF(B1463="","",IF(I1463="확인 필요","붙임 문서 확인 후 거래 성격·기간·상대방·일회성 여부 확인","결의서명과 전기 대비 발생 건수·단가·시점 차이 검토"))</x:f>
      </x:c>
    </x:row>
    <x:row r="1464">
      <x:c r="A1464" t="str">
        <x:f>IF(B1464="","",IF(COUNTIFS('전기원장'!$A$5:$A$1004,B1464,'전기원장'!$D$5:$D$1004,E1464)&gt;0,"전기","당기"))</x:f>
      </x:c>
      <x:c r="D1464" s="67"/>
      <x:c r="G1464" s="68"/>
      <x:c r="K1464" t="str">
        <x:f>IF(B1464="","",IF(I1464="확인 필요","붙임 문서 확인 후 거래 성격·기간·상대방·일회성 여부 확인","결의서명과 전기 대비 발생 건수·단가·시점 차이 검토"))</x:f>
      </x:c>
    </x:row>
    <x:row r="1465">
      <x:c r="A1465" t="str">
        <x:f>IF(B1465="","",IF(COUNTIFS('전기원장'!$A$5:$A$1004,B1465,'전기원장'!$D$5:$D$1004,E1465)&gt;0,"전기","당기"))</x:f>
      </x:c>
      <x:c r="D1465" s="67"/>
      <x:c r="G1465" s="68"/>
      <x:c r="K1465" t="str">
        <x:f>IF(B1465="","",IF(I1465="확인 필요","붙임 문서 확인 후 거래 성격·기간·상대방·일회성 여부 확인","결의서명과 전기 대비 발생 건수·단가·시점 차이 검토"))</x:f>
      </x:c>
    </x:row>
    <x:row r="1466">
      <x:c r="A1466" t="str">
        <x:f>IF(B1466="","",IF(COUNTIFS('전기원장'!$A$5:$A$1004,B1466,'전기원장'!$D$5:$D$1004,E1466)&gt;0,"전기","당기"))</x:f>
      </x:c>
      <x:c r="D1466" s="67"/>
      <x:c r="G1466" s="68"/>
      <x:c r="K1466" t="str">
        <x:f>IF(B1466="","",IF(I1466="확인 필요","붙임 문서 확인 후 거래 성격·기간·상대방·일회성 여부 확인","결의서명과 전기 대비 발생 건수·단가·시점 차이 검토"))</x:f>
      </x:c>
    </x:row>
    <x:row r="1467">
      <x:c r="A1467" t="str">
        <x:f>IF(B1467="","",IF(COUNTIFS('전기원장'!$A$5:$A$1004,B1467,'전기원장'!$D$5:$D$1004,E1467)&gt;0,"전기","당기"))</x:f>
      </x:c>
      <x:c r="D1467" s="67"/>
      <x:c r="G1467" s="68"/>
      <x:c r="K1467" t="str">
        <x:f>IF(B1467="","",IF(I1467="확인 필요","붙임 문서 확인 후 거래 성격·기간·상대방·일회성 여부 확인","결의서명과 전기 대비 발생 건수·단가·시점 차이 검토"))</x:f>
      </x:c>
    </x:row>
    <x:row r="1468">
      <x:c r="A1468" t="str">
        <x:f>IF(B1468="","",IF(COUNTIFS('전기원장'!$A$5:$A$1004,B1468,'전기원장'!$D$5:$D$1004,E1468)&gt;0,"전기","당기"))</x:f>
      </x:c>
      <x:c r="D1468" s="67"/>
      <x:c r="G1468" s="68"/>
      <x:c r="K1468" t="str">
        <x:f>IF(B1468="","",IF(I1468="확인 필요","붙임 문서 확인 후 거래 성격·기간·상대방·일회성 여부 확인","결의서명과 전기 대비 발생 건수·단가·시점 차이 검토"))</x:f>
      </x:c>
    </x:row>
    <x:row r="1469">
      <x:c r="A1469" t="str">
        <x:f>IF(B1469="","",IF(COUNTIFS('전기원장'!$A$5:$A$1004,B1469,'전기원장'!$D$5:$D$1004,E1469)&gt;0,"전기","당기"))</x:f>
      </x:c>
      <x:c r="D1469" s="67"/>
      <x:c r="G1469" s="68"/>
      <x:c r="K1469" t="str">
        <x:f>IF(B1469="","",IF(I1469="확인 필요","붙임 문서 확인 후 거래 성격·기간·상대방·일회성 여부 확인","결의서명과 전기 대비 발생 건수·단가·시점 차이 검토"))</x:f>
      </x:c>
    </x:row>
    <x:row r="1470">
      <x:c r="A1470" t="str">
        <x:f>IF(B1470="","",IF(COUNTIFS('전기원장'!$A$5:$A$1004,B1470,'전기원장'!$D$5:$D$1004,E1470)&gt;0,"전기","당기"))</x:f>
      </x:c>
      <x:c r="D1470" s="67"/>
      <x:c r="G1470" s="68"/>
      <x:c r="K1470" t="str">
        <x:f>IF(B1470="","",IF(I1470="확인 필요","붙임 문서 확인 후 거래 성격·기간·상대방·일회성 여부 확인","결의서명과 전기 대비 발생 건수·단가·시점 차이 검토"))</x:f>
      </x:c>
    </x:row>
    <x:row r="1471">
      <x:c r="A1471" t="str">
        <x:f>IF(B1471="","",IF(COUNTIFS('전기원장'!$A$5:$A$1004,B1471,'전기원장'!$D$5:$D$1004,E1471)&gt;0,"전기","당기"))</x:f>
      </x:c>
      <x:c r="D1471" s="67"/>
      <x:c r="G1471" s="68"/>
      <x:c r="K1471" t="str">
        <x:f>IF(B1471="","",IF(I1471="확인 필요","붙임 문서 확인 후 거래 성격·기간·상대방·일회성 여부 확인","결의서명과 전기 대비 발생 건수·단가·시점 차이 검토"))</x:f>
      </x:c>
    </x:row>
    <x:row r="1472">
      <x:c r="A1472" t="str">
        <x:f>IF(B1472="","",IF(COUNTIFS('전기원장'!$A$5:$A$1004,B1472,'전기원장'!$D$5:$D$1004,E1472)&gt;0,"전기","당기"))</x:f>
      </x:c>
      <x:c r="D1472" s="67"/>
      <x:c r="G1472" s="68"/>
      <x:c r="K1472" t="str">
        <x:f>IF(B1472="","",IF(I1472="확인 필요","붙임 문서 확인 후 거래 성격·기간·상대방·일회성 여부 확인","결의서명과 전기 대비 발생 건수·단가·시점 차이 검토"))</x:f>
      </x:c>
    </x:row>
    <x:row r="1473">
      <x:c r="A1473" t="str">
        <x:f>IF(B1473="","",IF(COUNTIFS('전기원장'!$A$5:$A$1004,B1473,'전기원장'!$D$5:$D$1004,E1473)&gt;0,"전기","당기"))</x:f>
      </x:c>
      <x:c r="D1473" s="67"/>
      <x:c r="G1473" s="68"/>
      <x:c r="K1473" t="str">
        <x:f>IF(B1473="","",IF(I1473="확인 필요","붙임 문서 확인 후 거래 성격·기간·상대방·일회성 여부 확인","결의서명과 전기 대비 발생 건수·단가·시점 차이 검토"))</x:f>
      </x:c>
    </x:row>
    <x:row r="1474">
      <x:c r="A1474" t="str">
        <x:f>IF(B1474="","",IF(COUNTIFS('전기원장'!$A$5:$A$1004,B1474,'전기원장'!$D$5:$D$1004,E1474)&gt;0,"전기","당기"))</x:f>
      </x:c>
      <x:c r="D1474" s="67"/>
      <x:c r="G1474" s="68"/>
      <x:c r="K1474" t="str">
        <x:f>IF(B1474="","",IF(I1474="확인 필요","붙임 문서 확인 후 거래 성격·기간·상대방·일회성 여부 확인","결의서명과 전기 대비 발생 건수·단가·시점 차이 검토"))</x:f>
      </x:c>
    </x:row>
    <x:row r="1475">
      <x:c r="A1475" t="str">
        <x:f>IF(B1475="","",IF(COUNTIFS('전기원장'!$A$5:$A$1004,B1475,'전기원장'!$D$5:$D$1004,E1475)&gt;0,"전기","당기"))</x:f>
      </x:c>
      <x:c r="D1475" s="67"/>
      <x:c r="G1475" s="68"/>
      <x:c r="K1475" t="str">
        <x:f>IF(B1475="","",IF(I1475="확인 필요","붙임 문서 확인 후 거래 성격·기간·상대방·일회성 여부 확인","결의서명과 전기 대비 발생 건수·단가·시점 차이 검토"))</x:f>
      </x:c>
    </x:row>
    <x:row r="1476">
      <x:c r="A1476" t="str">
        <x:f>IF(B1476="","",IF(COUNTIFS('전기원장'!$A$5:$A$1004,B1476,'전기원장'!$D$5:$D$1004,E1476)&gt;0,"전기","당기"))</x:f>
      </x:c>
      <x:c r="D1476" s="67"/>
      <x:c r="G1476" s="68"/>
      <x:c r="K1476" t="str">
        <x:f>IF(B1476="","",IF(I1476="확인 필요","붙임 문서 확인 후 거래 성격·기간·상대방·일회성 여부 확인","결의서명과 전기 대비 발생 건수·단가·시점 차이 검토"))</x:f>
      </x:c>
    </x:row>
    <x:row r="1477">
      <x:c r="A1477" t="str">
        <x:f>IF(B1477="","",IF(COUNTIFS('전기원장'!$A$5:$A$1004,B1477,'전기원장'!$D$5:$D$1004,E1477)&gt;0,"전기","당기"))</x:f>
      </x:c>
      <x:c r="D1477" s="67"/>
      <x:c r="G1477" s="68"/>
      <x:c r="K1477" t="str">
        <x:f>IF(B1477="","",IF(I1477="확인 필요","붙임 문서 확인 후 거래 성격·기간·상대방·일회성 여부 확인","결의서명과 전기 대비 발생 건수·단가·시점 차이 검토"))</x:f>
      </x:c>
    </x:row>
    <x:row r="1478">
      <x:c r="A1478" t="str">
        <x:f>IF(B1478="","",IF(COUNTIFS('전기원장'!$A$5:$A$1004,B1478,'전기원장'!$D$5:$D$1004,E1478)&gt;0,"전기","당기"))</x:f>
      </x:c>
      <x:c r="D1478" s="67"/>
      <x:c r="G1478" s="68"/>
      <x:c r="K1478" t="str">
        <x:f>IF(B1478="","",IF(I1478="확인 필요","붙임 문서 확인 후 거래 성격·기간·상대방·일회성 여부 확인","결의서명과 전기 대비 발생 건수·단가·시점 차이 검토"))</x:f>
      </x:c>
    </x:row>
    <x:row r="1479">
      <x:c r="A1479" t="str">
        <x:f>IF(B1479="","",IF(COUNTIFS('전기원장'!$A$5:$A$1004,B1479,'전기원장'!$D$5:$D$1004,E1479)&gt;0,"전기","당기"))</x:f>
      </x:c>
      <x:c r="D1479" s="67"/>
      <x:c r="G1479" s="68"/>
      <x:c r="K1479" t="str">
        <x:f>IF(B1479="","",IF(I1479="확인 필요","붙임 문서 확인 후 거래 성격·기간·상대방·일회성 여부 확인","결의서명과 전기 대비 발생 건수·단가·시점 차이 검토"))</x:f>
      </x:c>
    </x:row>
    <x:row r="1480">
      <x:c r="A1480" t="str">
        <x:f>IF(B1480="","",IF(COUNTIFS('전기원장'!$A$5:$A$1004,B1480,'전기원장'!$D$5:$D$1004,E1480)&gt;0,"전기","당기"))</x:f>
      </x:c>
      <x:c r="D1480" s="67"/>
      <x:c r="G1480" s="68"/>
      <x:c r="K1480" t="str">
        <x:f>IF(B1480="","",IF(I1480="확인 필요","붙임 문서 확인 후 거래 성격·기간·상대방·일회성 여부 확인","결의서명과 전기 대비 발생 건수·단가·시점 차이 검토"))</x:f>
      </x:c>
    </x:row>
    <x:row r="1481">
      <x:c r="A1481" t="str">
        <x:f>IF(B1481="","",IF(COUNTIFS('전기원장'!$A$5:$A$1004,B1481,'전기원장'!$D$5:$D$1004,E1481)&gt;0,"전기","당기"))</x:f>
      </x:c>
      <x:c r="D1481" s="67"/>
      <x:c r="G1481" s="68"/>
      <x:c r="K1481" t="str">
        <x:f>IF(B1481="","",IF(I1481="확인 필요","붙임 문서 확인 후 거래 성격·기간·상대방·일회성 여부 확인","결의서명과 전기 대비 발생 건수·단가·시점 차이 검토"))</x:f>
      </x:c>
    </x:row>
    <x:row r="1482">
      <x:c r="A1482" t="str">
        <x:f>IF(B1482="","",IF(COUNTIFS('전기원장'!$A$5:$A$1004,B1482,'전기원장'!$D$5:$D$1004,E1482)&gt;0,"전기","당기"))</x:f>
      </x:c>
      <x:c r="D1482" s="67"/>
      <x:c r="G1482" s="68"/>
      <x:c r="K1482" t="str">
        <x:f>IF(B1482="","",IF(I1482="확인 필요","붙임 문서 확인 후 거래 성격·기간·상대방·일회성 여부 확인","결의서명과 전기 대비 발생 건수·단가·시점 차이 검토"))</x:f>
      </x:c>
    </x:row>
    <x:row r="1483">
      <x:c r="A1483" t="str">
        <x:f>IF(B1483="","",IF(COUNTIFS('전기원장'!$A$5:$A$1004,B1483,'전기원장'!$D$5:$D$1004,E1483)&gt;0,"전기","당기"))</x:f>
      </x:c>
      <x:c r="D1483" s="67"/>
      <x:c r="G1483" s="68"/>
      <x:c r="K1483" t="str">
        <x:f>IF(B1483="","",IF(I1483="확인 필요","붙임 문서 확인 후 거래 성격·기간·상대방·일회성 여부 확인","결의서명과 전기 대비 발생 건수·단가·시점 차이 검토"))</x:f>
      </x:c>
    </x:row>
    <x:row r="1484">
      <x:c r="A1484" t="str">
        <x:f>IF(B1484="","",IF(COUNTIFS('전기원장'!$A$5:$A$1004,B1484,'전기원장'!$D$5:$D$1004,E1484)&gt;0,"전기","당기"))</x:f>
      </x:c>
      <x:c r="D1484" s="67"/>
      <x:c r="G1484" s="68"/>
      <x:c r="K1484" t="str">
        <x:f>IF(B1484="","",IF(I1484="확인 필요","붙임 문서 확인 후 거래 성격·기간·상대방·일회성 여부 확인","결의서명과 전기 대비 발생 건수·단가·시점 차이 검토"))</x:f>
      </x:c>
    </x:row>
    <x:row r="1485">
      <x:c r="A1485" t="str">
        <x:f>IF(B1485="","",IF(COUNTIFS('전기원장'!$A$5:$A$1004,B1485,'전기원장'!$D$5:$D$1004,E1485)&gt;0,"전기","당기"))</x:f>
      </x:c>
      <x:c r="D1485" s="67"/>
      <x:c r="G1485" s="68"/>
      <x:c r="K1485" t="str">
        <x:f>IF(B1485="","",IF(I1485="확인 필요","붙임 문서 확인 후 거래 성격·기간·상대방·일회성 여부 확인","결의서명과 전기 대비 발생 건수·단가·시점 차이 검토"))</x:f>
      </x:c>
    </x:row>
    <x:row r="1486">
      <x:c r="A1486" t="str">
        <x:f>IF(B1486="","",IF(COUNTIFS('전기원장'!$A$5:$A$1004,B1486,'전기원장'!$D$5:$D$1004,E1486)&gt;0,"전기","당기"))</x:f>
      </x:c>
      <x:c r="D1486" s="67"/>
      <x:c r="G1486" s="68"/>
      <x:c r="K1486" t="str">
        <x:f>IF(B1486="","",IF(I1486="확인 필요","붙임 문서 확인 후 거래 성격·기간·상대방·일회성 여부 확인","결의서명과 전기 대비 발생 건수·단가·시점 차이 검토"))</x:f>
      </x:c>
    </x:row>
    <x:row r="1487">
      <x:c r="A1487" t="str">
        <x:f>IF(B1487="","",IF(COUNTIFS('전기원장'!$A$5:$A$1004,B1487,'전기원장'!$D$5:$D$1004,E1487)&gt;0,"전기","당기"))</x:f>
      </x:c>
      <x:c r="D1487" s="67"/>
      <x:c r="G1487" s="68"/>
      <x:c r="K1487" t="str">
        <x:f>IF(B1487="","",IF(I1487="확인 필요","붙임 문서 확인 후 거래 성격·기간·상대방·일회성 여부 확인","결의서명과 전기 대비 발생 건수·단가·시점 차이 검토"))</x:f>
      </x:c>
    </x:row>
    <x:row r="1488">
      <x:c r="A1488" t="str">
        <x:f>IF(B1488="","",IF(COUNTIFS('전기원장'!$A$5:$A$1004,B1488,'전기원장'!$D$5:$D$1004,E1488)&gt;0,"전기","당기"))</x:f>
      </x:c>
      <x:c r="D1488" s="67"/>
      <x:c r="G1488" s="68"/>
      <x:c r="K1488" t="str">
        <x:f>IF(B1488="","",IF(I1488="확인 필요","붙임 문서 확인 후 거래 성격·기간·상대방·일회성 여부 확인","결의서명과 전기 대비 발생 건수·단가·시점 차이 검토"))</x:f>
      </x:c>
    </x:row>
    <x:row r="1489">
      <x:c r="A1489" t="str">
        <x:f>IF(B1489="","",IF(COUNTIFS('전기원장'!$A$5:$A$1004,B1489,'전기원장'!$D$5:$D$1004,E1489)&gt;0,"전기","당기"))</x:f>
      </x:c>
      <x:c r="D1489" s="67"/>
      <x:c r="G1489" s="68"/>
      <x:c r="K1489" t="str">
        <x:f>IF(B1489="","",IF(I1489="확인 필요","붙임 문서 확인 후 거래 성격·기간·상대방·일회성 여부 확인","결의서명과 전기 대비 발생 건수·단가·시점 차이 검토"))</x:f>
      </x:c>
    </x:row>
    <x:row r="1490">
      <x:c r="A1490" t="str">
        <x:f>IF(B1490="","",IF(COUNTIFS('전기원장'!$A$5:$A$1004,B1490,'전기원장'!$D$5:$D$1004,E1490)&gt;0,"전기","당기"))</x:f>
      </x:c>
      <x:c r="D1490" s="67"/>
      <x:c r="G1490" s="68"/>
      <x:c r="K1490" t="str">
        <x:f>IF(B1490="","",IF(I1490="확인 필요","붙임 문서 확인 후 거래 성격·기간·상대방·일회성 여부 확인","결의서명과 전기 대비 발생 건수·단가·시점 차이 검토"))</x:f>
      </x:c>
    </x:row>
    <x:row r="1491">
      <x:c r="A1491" t="str">
        <x:f>IF(B1491="","",IF(COUNTIFS('전기원장'!$A$5:$A$1004,B1491,'전기원장'!$D$5:$D$1004,E1491)&gt;0,"전기","당기"))</x:f>
      </x:c>
      <x:c r="D1491" s="67"/>
      <x:c r="G1491" s="68"/>
      <x:c r="K1491" t="str">
        <x:f>IF(B1491="","",IF(I1491="확인 필요","붙임 문서 확인 후 거래 성격·기간·상대방·일회성 여부 확인","결의서명과 전기 대비 발생 건수·단가·시점 차이 검토"))</x:f>
      </x:c>
    </x:row>
    <x:row r="1492">
      <x:c r="A1492" t="str">
        <x:f>IF(B1492="","",IF(COUNTIFS('전기원장'!$A$5:$A$1004,B1492,'전기원장'!$D$5:$D$1004,E1492)&gt;0,"전기","당기"))</x:f>
      </x:c>
      <x:c r="D1492" s="67"/>
      <x:c r="G1492" s="68"/>
      <x:c r="K1492" t="str">
        <x:f>IF(B1492="","",IF(I1492="확인 필요","붙임 문서 확인 후 거래 성격·기간·상대방·일회성 여부 확인","결의서명과 전기 대비 발생 건수·단가·시점 차이 검토"))</x:f>
      </x:c>
    </x:row>
    <x:row r="1493">
      <x:c r="A1493" t="str">
        <x:f>IF(B1493="","",IF(COUNTIFS('전기원장'!$A$5:$A$1004,B1493,'전기원장'!$D$5:$D$1004,E1493)&gt;0,"전기","당기"))</x:f>
      </x:c>
      <x:c r="D1493" s="67"/>
      <x:c r="G1493" s="68"/>
      <x:c r="K1493" t="str">
        <x:f>IF(B1493="","",IF(I1493="확인 필요","붙임 문서 확인 후 거래 성격·기간·상대방·일회성 여부 확인","결의서명과 전기 대비 발생 건수·단가·시점 차이 검토"))</x:f>
      </x:c>
    </x:row>
    <x:row r="1494">
      <x:c r="A1494" t="str">
        <x:f>IF(B1494="","",IF(COUNTIFS('전기원장'!$A$5:$A$1004,B1494,'전기원장'!$D$5:$D$1004,E1494)&gt;0,"전기","당기"))</x:f>
      </x:c>
      <x:c r="D1494" s="67"/>
      <x:c r="G1494" s="68"/>
      <x:c r="K1494" t="str">
        <x:f>IF(B1494="","",IF(I1494="확인 필요","붙임 문서 확인 후 거래 성격·기간·상대방·일회성 여부 확인","결의서명과 전기 대비 발생 건수·단가·시점 차이 검토"))</x:f>
      </x:c>
    </x:row>
    <x:row r="1495">
      <x:c r="A1495" t="str">
        <x:f>IF(B1495="","",IF(COUNTIFS('전기원장'!$A$5:$A$1004,B1495,'전기원장'!$D$5:$D$1004,E1495)&gt;0,"전기","당기"))</x:f>
      </x:c>
      <x:c r="D1495" s="67"/>
      <x:c r="G1495" s="68"/>
      <x:c r="K1495" t="str">
        <x:f>IF(B1495="","",IF(I1495="확인 필요","붙임 문서 확인 후 거래 성격·기간·상대방·일회성 여부 확인","결의서명과 전기 대비 발생 건수·단가·시점 차이 검토"))</x:f>
      </x:c>
    </x:row>
    <x:row r="1496">
      <x:c r="A1496" t="str">
        <x:f>IF(B1496="","",IF(COUNTIFS('전기원장'!$A$5:$A$1004,B1496,'전기원장'!$D$5:$D$1004,E1496)&gt;0,"전기","당기"))</x:f>
      </x:c>
      <x:c r="D1496" s="67"/>
      <x:c r="G1496" s="68"/>
      <x:c r="K1496" t="str">
        <x:f>IF(B1496="","",IF(I1496="확인 필요","붙임 문서 확인 후 거래 성격·기간·상대방·일회성 여부 확인","결의서명과 전기 대비 발생 건수·단가·시점 차이 검토"))</x:f>
      </x:c>
    </x:row>
    <x:row r="1497">
      <x:c r="A1497" t="str">
        <x:f>IF(B1497="","",IF(COUNTIFS('전기원장'!$A$5:$A$1004,B1497,'전기원장'!$D$5:$D$1004,E1497)&gt;0,"전기","당기"))</x:f>
      </x:c>
      <x:c r="D1497" s="67"/>
      <x:c r="G1497" s="68"/>
      <x:c r="K1497" t="str">
        <x:f>IF(B1497="","",IF(I1497="확인 필요","붙임 문서 확인 후 거래 성격·기간·상대방·일회성 여부 확인","결의서명과 전기 대비 발생 건수·단가·시점 차이 검토"))</x:f>
      </x:c>
    </x:row>
    <x:row r="1498">
      <x:c r="A1498" t="str">
        <x:f>IF(B1498="","",IF(COUNTIFS('전기원장'!$A$5:$A$1004,B1498,'전기원장'!$D$5:$D$1004,E1498)&gt;0,"전기","당기"))</x:f>
      </x:c>
      <x:c r="D1498" s="67"/>
      <x:c r="G1498" s="68"/>
      <x:c r="K1498" t="str">
        <x:f>IF(B1498="","",IF(I1498="확인 필요","붙임 문서 확인 후 거래 성격·기간·상대방·일회성 여부 확인","결의서명과 전기 대비 발생 건수·단가·시점 차이 검토"))</x:f>
      </x:c>
    </x:row>
    <x:row r="1499">
      <x:c r="A1499" t="str">
        <x:f>IF(B1499="","",IF(COUNTIFS('전기원장'!$A$5:$A$1004,B1499,'전기원장'!$D$5:$D$1004,E1499)&gt;0,"전기","당기"))</x:f>
      </x:c>
      <x:c r="D1499" s="67"/>
      <x:c r="G1499" s="68"/>
      <x:c r="K1499" t="str">
        <x:f>IF(B1499="","",IF(I1499="확인 필요","붙임 문서 확인 후 거래 성격·기간·상대방·일회성 여부 확인","결의서명과 전기 대비 발생 건수·단가·시점 차이 검토"))</x:f>
      </x:c>
    </x:row>
    <x:row r="1500">
      <x:c r="A1500" t="str">
        <x:f>IF(B1500="","",IF(COUNTIFS('전기원장'!$A$5:$A$1004,B1500,'전기원장'!$D$5:$D$1004,E1500)&gt;0,"전기","당기"))</x:f>
      </x:c>
      <x:c r="D1500" s="67"/>
      <x:c r="G1500" s="68"/>
      <x:c r="K1500" t="str">
        <x:f>IF(B1500="","",IF(I1500="확인 필요","붙임 문서 확인 후 거래 성격·기간·상대방·일회성 여부 확인","결의서명과 전기 대비 발생 건수·단가·시점 차이 검토"))</x:f>
      </x:c>
    </x:row>
    <x:row r="1501">
      <x:c r="A1501" t="str">
        <x:f>IF(B1501="","",IF(COUNTIFS('전기원장'!$A$5:$A$1004,B1501,'전기원장'!$D$5:$D$1004,E1501)&gt;0,"전기","당기"))</x:f>
      </x:c>
      <x:c r="D1501" s="67"/>
      <x:c r="G1501" s="68"/>
      <x:c r="K1501" t="str">
        <x:f>IF(B1501="","",IF(I1501="확인 필요","붙임 문서 확인 후 거래 성격·기간·상대방·일회성 여부 확인","결의서명과 전기 대비 발생 건수·단가·시점 차이 검토"))</x:f>
      </x:c>
    </x:row>
    <x:row r="1502">
      <x:c r="A1502" t="str">
        <x:f>IF(B1502="","",IF(COUNTIFS('전기원장'!$A$5:$A$1004,B1502,'전기원장'!$D$5:$D$1004,E1502)&gt;0,"전기","당기"))</x:f>
      </x:c>
      <x:c r="D1502" s="67"/>
      <x:c r="G1502" s="68"/>
      <x:c r="K1502" t="str">
        <x:f>IF(B1502="","",IF(I1502="확인 필요","붙임 문서 확인 후 거래 성격·기간·상대방·일회성 여부 확인","결의서명과 전기 대비 발생 건수·단가·시점 차이 검토"))</x:f>
      </x:c>
    </x:row>
    <x:row r="1503">
      <x:c r="A1503" t="str">
        <x:f>IF(B1503="","",IF(COUNTIFS('전기원장'!$A$5:$A$1004,B1503,'전기원장'!$D$5:$D$1004,E1503)&gt;0,"전기","당기"))</x:f>
      </x:c>
      <x:c r="D1503" s="67"/>
      <x:c r="G1503" s="68"/>
      <x:c r="K1503" t="str">
        <x:f>IF(B1503="","",IF(I1503="확인 필요","붙임 문서 확인 후 거래 성격·기간·상대방·일회성 여부 확인","결의서명과 전기 대비 발생 건수·단가·시점 차이 검토"))</x:f>
      </x:c>
    </x:row>
    <x:row r="1504">
      <x:c r="A1504" t="str">
        <x:f>IF(B1504="","",IF(COUNTIFS('전기원장'!$A$5:$A$1004,B1504,'전기원장'!$D$5:$D$1004,E1504)&gt;0,"전기","당기"))</x:f>
      </x:c>
      <x:c r="D1504" s="67"/>
      <x:c r="G1504" s="68"/>
      <x:c r="K1504" t="str">
        <x:f>IF(B1504="","",IF(I1504="확인 필요","붙임 문서 확인 후 거래 성격·기간·상대방·일회성 여부 확인","결의서명과 전기 대비 발생 건수·단가·시점 차이 검토"))</x:f>
      </x:c>
    </x:row>
    <x:row r="1505">
      <x:c r="A1505" t="str">
        <x:f>IF(B1505="","",IF(COUNTIFS('전기원장'!$A$5:$A$1004,B1505,'전기원장'!$D$5:$D$1004,E1505)&gt;0,"전기","당기"))</x:f>
      </x:c>
      <x:c r="D1505" s="67"/>
      <x:c r="G1505" s="68"/>
      <x:c r="K1505" t="str">
        <x:f>IF(B1505="","",IF(I1505="확인 필요","붙임 문서 확인 후 거래 성격·기간·상대방·일회성 여부 확인","결의서명과 전기 대비 발생 건수·단가·시점 차이 검토"))</x:f>
      </x:c>
    </x:row>
    <x:row r="1506">
      <x:c r="A1506" t="str">
        <x:f>IF(B1506="","",IF(COUNTIFS('전기원장'!$A$5:$A$1004,B1506,'전기원장'!$D$5:$D$1004,E1506)&gt;0,"전기","당기"))</x:f>
      </x:c>
      <x:c r="D1506" s="67"/>
      <x:c r="G1506" s="68"/>
      <x:c r="K1506" t="str">
        <x:f>IF(B1506="","",IF(I1506="확인 필요","붙임 문서 확인 후 거래 성격·기간·상대방·일회성 여부 확인","결의서명과 전기 대비 발생 건수·단가·시점 차이 검토"))</x:f>
      </x:c>
    </x:row>
    <x:row r="1507">
      <x:c r="A1507" t="str">
        <x:f>IF(B1507="","",IF(COUNTIFS('전기원장'!$A$5:$A$1004,B1507,'전기원장'!$D$5:$D$1004,E1507)&gt;0,"전기","당기"))</x:f>
      </x:c>
      <x:c r="D1507" s="67"/>
      <x:c r="G1507" s="68"/>
      <x:c r="K1507" t="str">
        <x:f>IF(B1507="","",IF(I1507="확인 필요","붙임 문서 확인 후 거래 성격·기간·상대방·일회성 여부 확인","결의서명과 전기 대비 발생 건수·단가·시점 차이 검토"))</x:f>
      </x:c>
    </x:row>
    <x:row r="1508">
      <x:c r="A1508" t="str">
        <x:f>IF(B1508="","",IF(COUNTIFS('전기원장'!$A$5:$A$1004,B1508,'전기원장'!$D$5:$D$1004,E1508)&gt;0,"전기","당기"))</x:f>
      </x:c>
      <x:c r="D1508" s="67"/>
      <x:c r="G1508" s="68"/>
      <x:c r="K1508" t="str">
        <x:f>IF(B1508="","",IF(I1508="확인 필요","붙임 문서 확인 후 거래 성격·기간·상대방·일회성 여부 확인","결의서명과 전기 대비 발생 건수·단가·시점 차이 검토"))</x:f>
      </x:c>
    </x:row>
    <x:row r="1509">
      <x:c r="A1509" t="str">
        <x:f>IF(B1509="","",IF(COUNTIFS('전기원장'!$A$5:$A$1004,B1509,'전기원장'!$D$5:$D$1004,E1509)&gt;0,"전기","당기"))</x:f>
      </x:c>
      <x:c r="D1509" s="67"/>
      <x:c r="G1509" s="68"/>
      <x:c r="K1509" t="str">
        <x:f>IF(B1509="","",IF(I1509="확인 필요","붙임 문서 확인 후 거래 성격·기간·상대방·일회성 여부 확인","결의서명과 전기 대비 발생 건수·단가·시점 차이 검토"))</x:f>
      </x:c>
    </x:row>
    <x:row r="1510">
      <x:c r="A1510" t="str">
        <x:f>IF(B1510="","",IF(COUNTIFS('전기원장'!$A$5:$A$1004,B1510,'전기원장'!$D$5:$D$1004,E1510)&gt;0,"전기","당기"))</x:f>
      </x:c>
      <x:c r="D1510" s="67"/>
      <x:c r="G1510" s="68"/>
      <x:c r="K1510" t="str">
        <x:f>IF(B1510="","",IF(I1510="확인 필요","붙임 문서 확인 후 거래 성격·기간·상대방·일회성 여부 확인","결의서명과 전기 대비 발생 건수·단가·시점 차이 검토"))</x:f>
      </x:c>
    </x:row>
    <x:row r="1511">
      <x:c r="A1511" t="str">
        <x:f>IF(B1511="","",IF(COUNTIFS('전기원장'!$A$5:$A$1004,B1511,'전기원장'!$D$5:$D$1004,E1511)&gt;0,"전기","당기"))</x:f>
      </x:c>
      <x:c r="D1511" s="67"/>
      <x:c r="G1511" s="68"/>
      <x:c r="K1511" t="str">
        <x:f>IF(B1511="","",IF(I1511="확인 필요","붙임 문서 확인 후 거래 성격·기간·상대방·일회성 여부 확인","결의서명과 전기 대비 발생 건수·단가·시점 차이 검토"))</x:f>
      </x:c>
    </x:row>
    <x:row r="1512">
      <x:c r="A1512" t="str">
        <x:f>IF(B1512="","",IF(COUNTIFS('전기원장'!$A$5:$A$1004,B1512,'전기원장'!$D$5:$D$1004,E1512)&gt;0,"전기","당기"))</x:f>
      </x:c>
      <x:c r="D1512" s="67"/>
      <x:c r="G1512" s="68"/>
      <x:c r="K1512" t="str">
        <x:f>IF(B1512="","",IF(I1512="확인 필요","붙임 문서 확인 후 거래 성격·기간·상대방·일회성 여부 확인","결의서명과 전기 대비 발생 건수·단가·시점 차이 검토"))</x:f>
      </x:c>
    </x:row>
    <x:row r="1513">
      <x:c r="A1513" t="str">
        <x:f>IF(B1513="","",IF(COUNTIFS('전기원장'!$A$5:$A$1004,B1513,'전기원장'!$D$5:$D$1004,E1513)&gt;0,"전기","당기"))</x:f>
      </x:c>
      <x:c r="D1513" s="67"/>
      <x:c r="G1513" s="68"/>
      <x:c r="K1513" t="str">
        <x:f>IF(B1513="","",IF(I1513="확인 필요","붙임 문서 확인 후 거래 성격·기간·상대방·일회성 여부 확인","결의서명과 전기 대비 발생 건수·단가·시점 차이 검토"))</x:f>
      </x:c>
    </x:row>
    <x:row r="1514">
      <x:c r="A1514" t="str">
        <x:f>IF(B1514="","",IF(COUNTIFS('전기원장'!$A$5:$A$1004,B1514,'전기원장'!$D$5:$D$1004,E1514)&gt;0,"전기","당기"))</x:f>
      </x:c>
      <x:c r="D1514" s="67"/>
      <x:c r="G1514" s="68"/>
      <x:c r="K1514" t="str">
        <x:f>IF(B1514="","",IF(I1514="확인 필요","붙임 문서 확인 후 거래 성격·기간·상대방·일회성 여부 확인","결의서명과 전기 대비 발생 건수·단가·시점 차이 검토"))</x:f>
      </x:c>
    </x:row>
    <x:row r="1515">
      <x:c r="A1515" t="str">
        <x:f>IF(B1515="","",IF(COUNTIFS('전기원장'!$A$5:$A$1004,B1515,'전기원장'!$D$5:$D$1004,E1515)&gt;0,"전기","당기"))</x:f>
      </x:c>
      <x:c r="D1515" s="67"/>
      <x:c r="G1515" s="68"/>
      <x:c r="K1515" t="str">
        <x:f>IF(B1515="","",IF(I1515="확인 필요","붙임 문서 확인 후 거래 성격·기간·상대방·일회성 여부 확인","결의서명과 전기 대비 발생 건수·단가·시점 차이 검토"))</x:f>
      </x:c>
    </x:row>
    <x:row r="1516">
      <x:c r="A1516" t="str">
        <x:f>IF(B1516="","",IF(COUNTIFS('전기원장'!$A$5:$A$1004,B1516,'전기원장'!$D$5:$D$1004,E1516)&gt;0,"전기","당기"))</x:f>
      </x:c>
      <x:c r="D1516" s="67"/>
      <x:c r="G1516" s="68"/>
      <x:c r="K1516" t="str">
        <x:f>IF(B1516="","",IF(I1516="확인 필요","붙임 문서 확인 후 거래 성격·기간·상대방·일회성 여부 확인","결의서명과 전기 대비 발생 건수·단가·시점 차이 검토"))</x:f>
      </x:c>
    </x:row>
    <x:row r="1517">
      <x:c r="A1517" t="str">
        <x:f>IF(B1517="","",IF(COUNTIFS('전기원장'!$A$5:$A$1004,B1517,'전기원장'!$D$5:$D$1004,E1517)&gt;0,"전기","당기"))</x:f>
      </x:c>
      <x:c r="D1517" s="67"/>
      <x:c r="G1517" s="68"/>
      <x:c r="K1517" t="str">
        <x:f>IF(B1517="","",IF(I1517="확인 필요","붙임 문서 확인 후 거래 성격·기간·상대방·일회성 여부 확인","결의서명과 전기 대비 발생 건수·단가·시점 차이 검토"))</x:f>
      </x:c>
    </x:row>
    <x:row r="1518">
      <x:c r="A1518" t="str">
        <x:f>IF(B1518="","",IF(COUNTIFS('전기원장'!$A$5:$A$1004,B1518,'전기원장'!$D$5:$D$1004,E1518)&gt;0,"전기","당기"))</x:f>
      </x:c>
      <x:c r="D1518" s="67"/>
      <x:c r="G1518" s="68"/>
      <x:c r="K1518" t="str">
        <x:f>IF(B1518="","",IF(I1518="확인 필요","붙임 문서 확인 후 거래 성격·기간·상대방·일회성 여부 확인","결의서명과 전기 대비 발생 건수·단가·시점 차이 검토"))</x:f>
      </x:c>
    </x:row>
    <x:row r="1519">
      <x:c r="A1519" t="str">
        <x:f>IF(B1519="","",IF(COUNTIFS('전기원장'!$A$5:$A$1004,B1519,'전기원장'!$D$5:$D$1004,E1519)&gt;0,"전기","당기"))</x:f>
      </x:c>
      <x:c r="D1519" s="67"/>
      <x:c r="G1519" s="68"/>
      <x:c r="K1519" t="str">
        <x:f>IF(B1519="","",IF(I1519="확인 필요","붙임 문서 확인 후 거래 성격·기간·상대방·일회성 여부 확인","결의서명과 전기 대비 발생 건수·단가·시점 차이 검토"))</x:f>
      </x:c>
    </x:row>
    <x:row r="1520">
      <x:c r="A1520" t="str">
        <x:f>IF(B1520="","",IF(COUNTIFS('전기원장'!$A$5:$A$1004,B1520,'전기원장'!$D$5:$D$1004,E1520)&gt;0,"전기","당기"))</x:f>
      </x:c>
      <x:c r="D1520" s="67"/>
      <x:c r="G1520" s="68"/>
      <x:c r="K1520" t="str">
        <x:f>IF(B1520="","",IF(I1520="확인 필요","붙임 문서 확인 후 거래 성격·기간·상대방·일회성 여부 확인","결의서명과 전기 대비 발생 건수·단가·시점 차이 검토"))</x:f>
      </x:c>
    </x:row>
    <x:row r="1521">
      <x:c r="A1521" t="str">
        <x:f>IF(B1521="","",IF(COUNTIFS('전기원장'!$A$5:$A$1004,B1521,'전기원장'!$D$5:$D$1004,E1521)&gt;0,"전기","당기"))</x:f>
      </x:c>
      <x:c r="D1521" s="67"/>
      <x:c r="G1521" s="68"/>
      <x:c r="K1521" t="str">
        <x:f>IF(B1521="","",IF(I1521="확인 필요","붙임 문서 확인 후 거래 성격·기간·상대방·일회성 여부 확인","결의서명과 전기 대비 발생 건수·단가·시점 차이 검토"))</x:f>
      </x:c>
    </x:row>
    <x:row r="1522">
      <x:c r="A1522" t="str">
        <x:f>IF(B1522="","",IF(COUNTIFS('전기원장'!$A$5:$A$1004,B1522,'전기원장'!$D$5:$D$1004,E1522)&gt;0,"전기","당기"))</x:f>
      </x:c>
      <x:c r="D1522" s="67"/>
      <x:c r="G1522" s="68"/>
      <x:c r="K1522" t="str">
        <x:f>IF(B1522="","",IF(I1522="확인 필요","붙임 문서 확인 후 거래 성격·기간·상대방·일회성 여부 확인","결의서명과 전기 대비 발생 건수·단가·시점 차이 검토"))</x:f>
      </x:c>
    </x:row>
    <x:row r="1523">
      <x:c r="A1523" t="str">
        <x:f>IF(B1523="","",IF(COUNTIFS('전기원장'!$A$5:$A$1004,B1523,'전기원장'!$D$5:$D$1004,E1523)&gt;0,"전기","당기"))</x:f>
      </x:c>
      <x:c r="D1523" s="67"/>
      <x:c r="G1523" s="68"/>
      <x:c r="K1523" t="str">
        <x:f>IF(B1523="","",IF(I1523="확인 필요","붙임 문서 확인 후 거래 성격·기간·상대방·일회성 여부 확인","결의서명과 전기 대비 발생 건수·단가·시점 차이 검토"))</x:f>
      </x:c>
    </x:row>
    <x:row r="1524">
      <x:c r="A1524" t="str">
        <x:f>IF(B1524="","",IF(COUNTIFS('전기원장'!$A$5:$A$1004,B1524,'전기원장'!$D$5:$D$1004,E1524)&gt;0,"전기","당기"))</x:f>
      </x:c>
      <x:c r="D1524" s="67"/>
      <x:c r="G1524" s="68"/>
      <x:c r="K1524" t="str">
        <x:f>IF(B1524="","",IF(I1524="확인 필요","붙임 문서 확인 후 거래 성격·기간·상대방·일회성 여부 확인","결의서명과 전기 대비 발생 건수·단가·시점 차이 검토"))</x:f>
      </x:c>
    </x:row>
    <x:row r="1525">
      <x:c r="A1525" t="str">
        <x:f>IF(B1525="","",IF(COUNTIFS('전기원장'!$A$5:$A$1004,B1525,'전기원장'!$D$5:$D$1004,E1525)&gt;0,"전기","당기"))</x:f>
      </x:c>
      <x:c r="D1525" s="67"/>
      <x:c r="G1525" s="68"/>
      <x:c r="K1525" t="str">
        <x:f>IF(B1525="","",IF(I1525="확인 필요","붙임 문서 확인 후 거래 성격·기간·상대방·일회성 여부 확인","결의서명과 전기 대비 발생 건수·단가·시점 차이 검토"))</x:f>
      </x:c>
    </x:row>
    <x:row r="1526">
      <x:c r="A1526" t="str">
        <x:f>IF(B1526="","",IF(COUNTIFS('전기원장'!$A$5:$A$1004,B1526,'전기원장'!$D$5:$D$1004,E1526)&gt;0,"전기","당기"))</x:f>
      </x:c>
      <x:c r="D1526" s="67"/>
      <x:c r="G1526" s="68"/>
      <x:c r="K1526" t="str">
        <x:f>IF(B1526="","",IF(I1526="확인 필요","붙임 문서 확인 후 거래 성격·기간·상대방·일회성 여부 확인","결의서명과 전기 대비 발생 건수·단가·시점 차이 검토"))</x:f>
      </x:c>
    </x:row>
    <x:row r="1527">
      <x:c r="A1527" t="str">
        <x:f>IF(B1527="","",IF(COUNTIFS('전기원장'!$A$5:$A$1004,B1527,'전기원장'!$D$5:$D$1004,E1527)&gt;0,"전기","당기"))</x:f>
      </x:c>
      <x:c r="D1527" s="67"/>
      <x:c r="G1527" s="68"/>
      <x:c r="K1527" t="str">
        <x:f>IF(B1527="","",IF(I1527="확인 필요","붙임 문서 확인 후 거래 성격·기간·상대방·일회성 여부 확인","결의서명과 전기 대비 발생 건수·단가·시점 차이 검토"))</x:f>
      </x:c>
    </x:row>
    <x:row r="1528">
      <x:c r="A1528" t="str">
        <x:f>IF(B1528="","",IF(COUNTIFS('전기원장'!$A$5:$A$1004,B1528,'전기원장'!$D$5:$D$1004,E1528)&gt;0,"전기","당기"))</x:f>
      </x:c>
      <x:c r="D1528" s="67"/>
      <x:c r="G1528" s="68"/>
      <x:c r="K1528" t="str">
        <x:f>IF(B1528="","",IF(I1528="확인 필요","붙임 문서 확인 후 거래 성격·기간·상대방·일회성 여부 확인","결의서명과 전기 대비 발생 건수·단가·시점 차이 검토"))</x:f>
      </x:c>
    </x:row>
    <x:row r="1529">
      <x:c r="A1529" t="str">
        <x:f>IF(B1529="","",IF(COUNTIFS('전기원장'!$A$5:$A$1004,B1529,'전기원장'!$D$5:$D$1004,E1529)&gt;0,"전기","당기"))</x:f>
      </x:c>
      <x:c r="D1529" s="67"/>
      <x:c r="G1529" s="68"/>
      <x:c r="K1529" t="str">
        <x:f>IF(B1529="","",IF(I1529="확인 필요","붙임 문서 확인 후 거래 성격·기간·상대방·일회성 여부 확인","결의서명과 전기 대비 발생 건수·단가·시점 차이 검토"))</x:f>
      </x:c>
    </x:row>
    <x:row r="1530">
      <x:c r="A1530" t="str">
        <x:f>IF(B1530="","",IF(COUNTIFS('전기원장'!$A$5:$A$1004,B1530,'전기원장'!$D$5:$D$1004,E1530)&gt;0,"전기","당기"))</x:f>
      </x:c>
      <x:c r="D1530" s="67"/>
      <x:c r="G1530" s="68"/>
      <x:c r="K1530" t="str">
        <x:f>IF(B1530="","",IF(I1530="확인 필요","붙임 문서 확인 후 거래 성격·기간·상대방·일회성 여부 확인","결의서명과 전기 대비 발생 건수·단가·시점 차이 검토"))</x:f>
      </x:c>
    </x:row>
    <x:row r="1531">
      <x:c r="A1531" t="str">
        <x:f>IF(B1531="","",IF(COUNTIFS('전기원장'!$A$5:$A$1004,B1531,'전기원장'!$D$5:$D$1004,E1531)&gt;0,"전기","당기"))</x:f>
      </x:c>
      <x:c r="D1531" s="67"/>
      <x:c r="G1531" s="68"/>
      <x:c r="K1531" t="str">
        <x:f>IF(B1531="","",IF(I1531="확인 필요","붙임 문서 확인 후 거래 성격·기간·상대방·일회성 여부 확인","결의서명과 전기 대비 발생 건수·단가·시점 차이 검토"))</x:f>
      </x:c>
    </x:row>
    <x:row r="1532">
      <x:c r="A1532" t="str">
        <x:f>IF(B1532="","",IF(COUNTIFS('전기원장'!$A$5:$A$1004,B1532,'전기원장'!$D$5:$D$1004,E1532)&gt;0,"전기","당기"))</x:f>
      </x:c>
      <x:c r="D1532" s="67"/>
      <x:c r="G1532" s="68"/>
      <x:c r="K1532" t="str">
        <x:f>IF(B1532="","",IF(I1532="확인 필요","붙임 문서 확인 후 거래 성격·기간·상대방·일회성 여부 확인","결의서명과 전기 대비 발생 건수·단가·시점 차이 검토"))</x:f>
      </x:c>
    </x:row>
    <x:row r="1533">
      <x:c r="A1533" t="str">
        <x:f>IF(B1533="","",IF(COUNTIFS('전기원장'!$A$5:$A$1004,B1533,'전기원장'!$D$5:$D$1004,E1533)&gt;0,"전기","당기"))</x:f>
      </x:c>
      <x:c r="D1533" s="67"/>
      <x:c r="G1533" s="68"/>
      <x:c r="K1533" t="str">
        <x:f>IF(B1533="","",IF(I1533="확인 필요","붙임 문서 확인 후 거래 성격·기간·상대방·일회성 여부 확인","결의서명과 전기 대비 발생 건수·단가·시점 차이 검토"))</x:f>
      </x:c>
    </x:row>
    <x:row r="1534">
      <x:c r="A1534" t="str">
        <x:f>IF(B1534="","",IF(COUNTIFS('전기원장'!$A$5:$A$1004,B1534,'전기원장'!$D$5:$D$1004,E1534)&gt;0,"전기","당기"))</x:f>
      </x:c>
      <x:c r="D1534" s="67"/>
      <x:c r="G1534" s="68"/>
      <x:c r="K1534" t="str">
        <x:f>IF(B1534="","",IF(I1534="확인 필요","붙임 문서 확인 후 거래 성격·기간·상대방·일회성 여부 확인","결의서명과 전기 대비 발생 건수·단가·시점 차이 검토"))</x:f>
      </x:c>
    </x:row>
    <x:row r="1535">
      <x:c r="A1535" t="str">
        <x:f>IF(B1535="","",IF(COUNTIFS('전기원장'!$A$5:$A$1004,B1535,'전기원장'!$D$5:$D$1004,E1535)&gt;0,"전기","당기"))</x:f>
      </x:c>
      <x:c r="D1535" s="67"/>
      <x:c r="G1535" s="68"/>
      <x:c r="K1535" t="str">
        <x:f>IF(B1535="","",IF(I1535="확인 필요","붙임 문서 확인 후 거래 성격·기간·상대방·일회성 여부 확인","결의서명과 전기 대비 발생 건수·단가·시점 차이 검토"))</x:f>
      </x:c>
    </x:row>
    <x:row r="1536">
      <x:c r="A1536" t="str">
        <x:f>IF(B1536="","",IF(COUNTIFS('전기원장'!$A$5:$A$1004,B1536,'전기원장'!$D$5:$D$1004,E1536)&gt;0,"전기","당기"))</x:f>
      </x:c>
      <x:c r="D1536" s="67"/>
      <x:c r="G1536" s="68"/>
      <x:c r="K1536" t="str">
        <x:f>IF(B1536="","",IF(I1536="확인 필요","붙임 문서 확인 후 거래 성격·기간·상대방·일회성 여부 확인","결의서명과 전기 대비 발생 건수·단가·시점 차이 검토"))</x:f>
      </x:c>
    </x:row>
    <x:row r="1537">
      <x:c r="A1537" t="str">
        <x:f>IF(B1537="","",IF(COUNTIFS('전기원장'!$A$5:$A$1004,B1537,'전기원장'!$D$5:$D$1004,E1537)&gt;0,"전기","당기"))</x:f>
      </x:c>
      <x:c r="D1537" s="67"/>
      <x:c r="G1537" s="68"/>
      <x:c r="K1537" t="str">
        <x:f>IF(B1537="","",IF(I1537="확인 필요","붙임 문서 확인 후 거래 성격·기간·상대방·일회성 여부 확인","결의서명과 전기 대비 발생 건수·단가·시점 차이 검토"))</x:f>
      </x:c>
    </x:row>
    <x:row r="1538">
      <x:c r="A1538" t="str">
        <x:f>IF(B1538="","",IF(COUNTIFS('전기원장'!$A$5:$A$1004,B1538,'전기원장'!$D$5:$D$1004,E1538)&gt;0,"전기","당기"))</x:f>
      </x:c>
      <x:c r="D1538" s="67"/>
      <x:c r="G1538" s="68"/>
      <x:c r="K1538" t="str">
        <x:f>IF(B1538="","",IF(I1538="확인 필요","붙임 문서 확인 후 거래 성격·기간·상대방·일회성 여부 확인","결의서명과 전기 대비 발생 건수·단가·시점 차이 검토"))</x:f>
      </x:c>
    </x:row>
    <x:row r="1539">
      <x:c r="A1539" t="str">
        <x:f>IF(B1539="","",IF(COUNTIFS('전기원장'!$A$5:$A$1004,B1539,'전기원장'!$D$5:$D$1004,E1539)&gt;0,"전기","당기"))</x:f>
      </x:c>
      <x:c r="D1539" s="67"/>
      <x:c r="G1539" s="68"/>
      <x:c r="K1539" t="str">
        <x:f>IF(B1539="","",IF(I1539="확인 필요","붙임 문서 확인 후 거래 성격·기간·상대방·일회성 여부 확인","결의서명과 전기 대비 발생 건수·단가·시점 차이 검토"))</x:f>
      </x:c>
    </x:row>
    <x:row r="1540">
      <x:c r="A1540" t="str">
        <x:f>IF(B1540="","",IF(COUNTIFS('전기원장'!$A$5:$A$1004,B1540,'전기원장'!$D$5:$D$1004,E1540)&gt;0,"전기","당기"))</x:f>
      </x:c>
      <x:c r="D1540" s="67"/>
      <x:c r="G1540" s="68"/>
      <x:c r="K1540" t="str">
        <x:f>IF(B1540="","",IF(I1540="확인 필요","붙임 문서 확인 후 거래 성격·기간·상대방·일회성 여부 확인","결의서명과 전기 대비 발생 건수·단가·시점 차이 검토"))</x:f>
      </x:c>
    </x:row>
    <x:row r="1541">
      <x:c r="A1541" t="str">
        <x:f>IF(B1541="","",IF(COUNTIFS('전기원장'!$A$5:$A$1004,B1541,'전기원장'!$D$5:$D$1004,E1541)&gt;0,"전기","당기"))</x:f>
      </x:c>
      <x:c r="D1541" s="67"/>
      <x:c r="G1541" s="68"/>
      <x:c r="K1541" t="str">
        <x:f>IF(B1541="","",IF(I1541="확인 필요","붙임 문서 확인 후 거래 성격·기간·상대방·일회성 여부 확인","결의서명과 전기 대비 발생 건수·단가·시점 차이 검토"))</x:f>
      </x:c>
    </x:row>
    <x:row r="1542">
      <x:c r="A1542" t="str">
        <x:f>IF(B1542="","",IF(COUNTIFS('전기원장'!$A$5:$A$1004,B1542,'전기원장'!$D$5:$D$1004,E1542)&gt;0,"전기","당기"))</x:f>
      </x:c>
      <x:c r="D1542" s="67"/>
      <x:c r="G1542" s="68"/>
      <x:c r="K1542" t="str">
        <x:f>IF(B1542="","",IF(I1542="확인 필요","붙임 문서 확인 후 거래 성격·기간·상대방·일회성 여부 확인","결의서명과 전기 대비 발생 건수·단가·시점 차이 검토"))</x:f>
      </x:c>
    </x:row>
    <x:row r="1543">
      <x:c r="A1543" t="str">
        <x:f>IF(B1543="","",IF(COUNTIFS('전기원장'!$A$5:$A$1004,B1543,'전기원장'!$D$5:$D$1004,E1543)&gt;0,"전기","당기"))</x:f>
      </x:c>
      <x:c r="D1543" s="67"/>
      <x:c r="G1543" s="68"/>
      <x:c r="K1543" t="str">
        <x:f>IF(B1543="","",IF(I1543="확인 필요","붙임 문서 확인 후 거래 성격·기간·상대방·일회성 여부 확인","결의서명과 전기 대비 발생 건수·단가·시점 차이 검토"))</x:f>
      </x:c>
    </x:row>
    <x:row r="1544">
      <x:c r="A1544" t="str">
        <x:f>IF(B1544="","",IF(COUNTIFS('전기원장'!$A$5:$A$1004,B1544,'전기원장'!$D$5:$D$1004,E1544)&gt;0,"전기","당기"))</x:f>
      </x:c>
      <x:c r="D1544" s="67"/>
      <x:c r="G1544" s="68"/>
      <x:c r="K1544" t="str">
        <x:f>IF(B1544="","",IF(I1544="확인 필요","붙임 문서 확인 후 거래 성격·기간·상대방·일회성 여부 확인","결의서명과 전기 대비 발생 건수·단가·시점 차이 검토"))</x:f>
      </x:c>
    </x:row>
    <x:row r="1545">
      <x:c r="A1545" t="str">
        <x:f>IF(B1545="","",IF(COUNTIFS('전기원장'!$A$5:$A$1004,B1545,'전기원장'!$D$5:$D$1004,E1545)&gt;0,"전기","당기"))</x:f>
      </x:c>
      <x:c r="D1545" s="67"/>
      <x:c r="G1545" s="68"/>
      <x:c r="K1545" t="str">
        <x:f>IF(B1545="","",IF(I1545="확인 필요","붙임 문서 확인 후 거래 성격·기간·상대방·일회성 여부 확인","결의서명과 전기 대비 발생 건수·단가·시점 차이 검토"))</x:f>
      </x:c>
    </x:row>
    <x:row r="1546">
      <x:c r="A1546" t="str">
        <x:f>IF(B1546="","",IF(COUNTIFS('전기원장'!$A$5:$A$1004,B1546,'전기원장'!$D$5:$D$1004,E1546)&gt;0,"전기","당기"))</x:f>
      </x:c>
      <x:c r="D1546" s="67"/>
      <x:c r="G1546" s="68"/>
      <x:c r="K1546" t="str">
        <x:f>IF(B1546="","",IF(I1546="확인 필요","붙임 문서 확인 후 거래 성격·기간·상대방·일회성 여부 확인","결의서명과 전기 대비 발생 건수·단가·시점 차이 검토"))</x:f>
      </x:c>
    </x:row>
    <x:row r="1547">
      <x:c r="A1547" t="str">
        <x:f>IF(B1547="","",IF(COUNTIFS('전기원장'!$A$5:$A$1004,B1547,'전기원장'!$D$5:$D$1004,E1547)&gt;0,"전기","당기"))</x:f>
      </x:c>
      <x:c r="D1547" s="67"/>
      <x:c r="G1547" s="68"/>
      <x:c r="K1547" t="str">
        <x:f>IF(B1547="","",IF(I1547="확인 필요","붙임 문서 확인 후 거래 성격·기간·상대방·일회성 여부 확인","결의서명과 전기 대비 발생 건수·단가·시점 차이 검토"))</x:f>
      </x:c>
    </x:row>
    <x:row r="1548">
      <x:c r="A1548" t="str">
        <x:f>IF(B1548="","",IF(COUNTIFS('전기원장'!$A$5:$A$1004,B1548,'전기원장'!$D$5:$D$1004,E1548)&gt;0,"전기","당기"))</x:f>
      </x:c>
      <x:c r="D1548" s="67"/>
      <x:c r="G1548" s="68"/>
      <x:c r="K1548" t="str">
        <x:f>IF(B1548="","",IF(I1548="확인 필요","붙임 문서 확인 후 거래 성격·기간·상대방·일회성 여부 확인","결의서명과 전기 대비 발생 건수·단가·시점 차이 검토"))</x:f>
      </x:c>
    </x:row>
    <x:row r="1549">
      <x:c r="A1549" t="str">
        <x:f>IF(B1549="","",IF(COUNTIFS('전기원장'!$A$5:$A$1004,B1549,'전기원장'!$D$5:$D$1004,E1549)&gt;0,"전기","당기"))</x:f>
      </x:c>
      <x:c r="D1549" s="67"/>
      <x:c r="G1549" s="68"/>
      <x:c r="K1549" t="str">
        <x:f>IF(B1549="","",IF(I1549="확인 필요","붙임 문서 확인 후 거래 성격·기간·상대방·일회성 여부 확인","결의서명과 전기 대비 발생 건수·단가·시점 차이 검토"))</x:f>
      </x:c>
    </x:row>
    <x:row r="1550">
      <x:c r="A1550" t="str">
        <x:f>IF(B1550="","",IF(COUNTIFS('전기원장'!$A$5:$A$1004,B1550,'전기원장'!$D$5:$D$1004,E1550)&gt;0,"전기","당기"))</x:f>
      </x:c>
      <x:c r="D1550" s="67"/>
      <x:c r="G1550" s="68"/>
      <x:c r="K1550" t="str">
        <x:f>IF(B1550="","",IF(I1550="확인 필요","붙임 문서 확인 후 거래 성격·기간·상대방·일회성 여부 확인","결의서명과 전기 대비 발생 건수·단가·시점 차이 검토"))</x:f>
      </x:c>
    </x:row>
    <x:row r="1551">
      <x:c r="A1551" t="str">
        <x:f>IF(B1551="","",IF(COUNTIFS('전기원장'!$A$5:$A$1004,B1551,'전기원장'!$D$5:$D$1004,E1551)&gt;0,"전기","당기"))</x:f>
      </x:c>
      <x:c r="D1551" s="67"/>
      <x:c r="G1551" s="68"/>
      <x:c r="K1551" t="str">
        <x:f>IF(B1551="","",IF(I1551="확인 필요","붙임 문서 확인 후 거래 성격·기간·상대방·일회성 여부 확인","결의서명과 전기 대비 발생 건수·단가·시점 차이 검토"))</x:f>
      </x:c>
    </x:row>
    <x:row r="1552">
      <x:c r="A1552" t="str">
        <x:f>IF(B1552="","",IF(COUNTIFS('전기원장'!$A$5:$A$1004,B1552,'전기원장'!$D$5:$D$1004,E1552)&gt;0,"전기","당기"))</x:f>
      </x:c>
      <x:c r="D1552" s="67"/>
      <x:c r="G1552" s="68"/>
      <x:c r="K1552" t="str">
        <x:f>IF(B1552="","",IF(I1552="확인 필요","붙임 문서 확인 후 거래 성격·기간·상대방·일회성 여부 확인","결의서명과 전기 대비 발생 건수·단가·시점 차이 검토"))</x:f>
      </x:c>
    </x:row>
    <x:row r="1553">
      <x:c r="A1553" t="str">
        <x:f>IF(B1553="","",IF(COUNTIFS('전기원장'!$A$5:$A$1004,B1553,'전기원장'!$D$5:$D$1004,E1553)&gt;0,"전기","당기"))</x:f>
      </x:c>
      <x:c r="D1553" s="67"/>
      <x:c r="G1553" s="68"/>
      <x:c r="K1553" t="str">
        <x:f>IF(B1553="","",IF(I1553="확인 필요","붙임 문서 확인 후 거래 성격·기간·상대방·일회성 여부 확인","결의서명과 전기 대비 발생 건수·단가·시점 차이 검토"))</x:f>
      </x:c>
    </x:row>
    <x:row r="1554">
      <x:c r="A1554" t="str">
        <x:f>IF(B1554="","",IF(COUNTIFS('전기원장'!$A$5:$A$1004,B1554,'전기원장'!$D$5:$D$1004,E1554)&gt;0,"전기","당기"))</x:f>
      </x:c>
      <x:c r="D1554" s="67"/>
      <x:c r="G1554" s="68"/>
      <x:c r="K1554" t="str">
        <x:f>IF(B1554="","",IF(I1554="확인 필요","붙임 문서 확인 후 거래 성격·기간·상대방·일회성 여부 확인","결의서명과 전기 대비 발생 건수·단가·시점 차이 검토"))</x:f>
      </x:c>
    </x:row>
    <x:row r="1555">
      <x:c r="A1555" t="str">
        <x:f>IF(B1555="","",IF(COUNTIFS('전기원장'!$A$5:$A$1004,B1555,'전기원장'!$D$5:$D$1004,E1555)&gt;0,"전기","당기"))</x:f>
      </x:c>
      <x:c r="D1555" s="67"/>
      <x:c r="G1555" s="68"/>
      <x:c r="K1555" t="str">
        <x:f>IF(B1555="","",IF(I1555="확인 필요","붙임 문서 확인 후 거래 성격·기간·상대방·일회성 여부 확인","결의서명과 전기 대비 발생 건수·단가·시점 차이 검토"))</x:f>
      </x:c>
    </x:row>
    <x:row r="1556">
      <x:c r="A1556" t="str">
        <x:f>IF(B1556="","",IF(COUNTIFS('전기원장'!$A$5:$A$1004,B1556,'전기원장'!$D$5:$D$1004,E1556)&gt;0,"전기","당기"))</x:f>
      </x:c>
      <x:c r="D1556" s="67"/>
      <x:c r="G1556" s="68"/>
      <x:c r="K1556" t="str">
        <x:f>IF(B1556="","",IF(I1556="확인 필요","붙임 문서 확인 후 거래 성격·기간·상대방·일회성 여부 확인","결의서명과 전기 대비 발생 건수·단가·시점 차이 검토"))</x:f>
      </x:c>
    </x:row>
    <x:row r="1557">
      <x:c r="A1557" t="str">
        <x:f>IF(B1557="","",IF(COUNTIFS('전기원장'!$A$5:$A$1004,B1557,'전기원장'!$D$5:$D$1004,E1557)&gt;0,"전기","당기"))</x:f>
      </x:c>
      <x:c r="D1557" s="67"/>
      <x:c r="G1557" s="68"/>
      <x:c r="K1557" t="str">
        <x:f>IF(B1557="","",IF(I1557="확인 필요","붙임 문서 확인 후 거래 성격·기간·상대방·일회성 여부 확인","결의서명과 전기 대비 발생 건수·단가·시점 차이 검토"))</x:f>
      </x:c>
    </x:row>
    <x:row r="1558">
      <x:c r="A1558" t="str">
        <x:f>IF(B1558="","",IF(COUNTIFS('전기원장'!$A$5:$A$1004,B1558,'전기원장'!$D$5:$D$1004,E1558)&gt;0,"전기","당기"))</x:f>
      </x:c>
      <x:c r="D1558" s="67"/>
      <x:c r="G1558" s="68"/>
      <x:c r="K1558" t="str">
        <x:f>IF(B1558="","",IF(I1558="확인 필요","붙임 문서 확인 후 거래 성격·기간·상대방·일회성 여부 확인","결의서명과 전기 대비 발생 건수·단가·시점 차이 검토"))</x:f>
      </x:c>
    </x:row>
    <x:row r="1559">
      <x:c r="A1559" t="str">
        <x:f>IF(B1559="","",IF(COUNTIFS('전기원장'!$A$5:$A$1004,B1559,'전기원장'!$D$5:$D$1004,E1559)&gt;0,"전기","당기"))</x:f>
      </x:c>
      <x:c r="D1559" s="67"/>
      <x:c r="G1559" s="68"/>
      <x:c r="K1559" t="str">
        <x:f>IF(B1559="","",IF(I1559="확인 필요","붙임 문서 확인 후 거래 성격·기간·상대방·일회성 여부 확인","결의서명과 전기 대비 발생 건수·단가·시점 차이 검토"))</x:f>
      </x:c>
    </x:row>
    <x:row r="1560">
      <x:c r="A1560" t="str">
        <x:f>IF(B1560="","",IF(COUNTIFS('전기원장'!$A$5:$A$1004,B1560,'전기원장'!$D$5:$D$1004,E1560)&gt;0,"전기","당기"))</x:f>
      </x:c>
      <x:c r="D1560" s="67"/>
      <x:c r="G1560" s="68"/>
      <x:c r="K1560" t="str">
        <x:f>IF(B1560="","",IF(I1560="확인 필요","붙임 문서 확인 후 거래 성격·기간·상대방·일회성 여부 확인","결의서명과 전기 대비 발생 건수·단가·시점 차이 검토"))</x:f>
      </x:c>
    </x:row>
    <x:row r="1561">
      <x:c r="A1561" t="str">
        <x:f>IF(B1561="","",IF(COUNTIFS('전기원장'!$A$5:$A$1004,B1561,'전기원장'!$D$5:$D$1004,E1561)&gt;0,"전기","당기"))</x:f>
      </x:c>
      <x:c r="D1561" s="67"/>
      <x:c r="G1561" s="68"/>
      <x:c r="K1561" t="str">
        <x:f>IF(B1561="","",IF(I1561="확인 필요","붙임 문서 확인 후 거래 성격·기간·상대방·일회성 여부 확인","결의서명과 전기 대비 발생 건수·단가·시점 차이 검토"))</x:f>
      </x:c>
    </x:row>
    <x:row r="1562">
      <x:c r="A1562" t="str">
        <x:f>IF(B1562="","",IF(COUNTIFS('전기원장'!$A$5:$A$1004,B1562,'전기원장'!$D$5:$D$1004,E1562)&gt;0,"전기","당기"))</x:f>
      </x:c>
      <x:c r="D1562" s="67"/>
      <x:c r="G1562" s="68"/>
      <x:c r="K1562" t="str">
        <x:f>IF(B1562="","",IF(I1562="확인 필요","붙임 문서 확인 후 거래 성격·기간·상대방·일회성 여부 확인","결의서명과 전기 대비 발생 건수·단가·시점 차이 검토"))</x:f>
      </x:c>
    </x:row>
    <x:row r="1563">
      <x:c r="A1563" t="str">
        <x:f>IF(B1563="","",IF(COUNTIFS('전기원장'!$A$5:$A$1004,B1563,'전기원장'!$D$5:$D$1004,E1563)&gt;0,"전기","당기"))</x:f>
      </x:c>
      <x:c r="D1563" s="67"/>
      <x:c r="G1563" s="68"/>
      <x:c r="K1563" t="str">
        <x:f>IF(B1563="","",IF(I1563="확인 필요","붙임 문서 확인 후 거래 성격·기간·상대방·일회성 여부 확인","결의서명과 전기 대비 발생 건수·단가·시점 차이 검토"))</x:f>
      </x:c>
    </x:row>
    <x:row r="1564">
      <x:c r="A1564" t="str">
        <x:f>IF(B1564="","",IF(COUNTIFS('전기원장'!$A$5:$A$1004,B1564,'전기원장'!$D$5:$D$1004,E1564)&gt;0,"전기","당기"))</x:f>
      </x:c>
      <x:c r="D1564" s="67"/>
      <x:c r="G1564" s="68"/>
      <x:c r="K1564" t="str">
        <x:f>IF(B1564="","",IF(I1564="확인 필요","붙임 문서 확인 후 거래 성격·기간·상대방·일회성 여부 확인","결의서명과 전기 대비 발생 건수·단가·시점 차이 검토"))</x:f>
      </x:c>
    </x:row>
    <x:row r="1565">
      <x:c r="A1565" t="str">
        <x:f>IF(B1565="","",IF(COUNTIFS('전기원장'!$A$5:$A$1004,B1565,'전기원장'!$D$5:$D$1004,E1565)&gt;0,"전기","당기"))</x:f>
      </x:c>
      <x:c r="D1565" s="67"/>
      <x:c r="G1565" s="68"/>
      <x:c r="K1565" t="str">
        <x:f>IF(B1565="","",IF(I1565="확인 필요","붙임 문서 확인 후 거래 성격·기간·상대방·일회성 여부 확인","결의서명과 전기 대비 발생 건수·단가·시점 차이 검토"))</x:f>
      </x:c>
    </x:row>
    <x:row r="1566">
      <x:c r="A1566" t="str">
        <x:f>IF(B1566="","",IF(COUNTIFS('전기원장'!$A$5:$A$1004,B1566,'전기원장'!$D$5:$D$1004,E1566)&gt;0,"전기","당기"))</x:f>
      </x:c>
      <x:c r="D1566" s="67"/>
      <x:c r="G1566" s="68"/>
      <x:c r="K1566" t="str">
        <x:f>IF(B1566="","",IF(I1566="확인 필요","붙임 문서 확인 후 거래 성격·기간·상대방·일회성 여부 확인","결의서명과 전기 대비 발생 건수·단가·시점 차이 검토"))</x:f>
      </x:c>
    </x:row>
    <x:row r="1567">
      <x:c r="A1567" t="str">
        <x:f>IF(B1567="","",IF(COUNTIFS('전기원장'!$A$5:$A$1004,B1567,'전기원장'!$D$5:$D$1004,E1567)&gt;0,"전기","당기"))</x:f>
      </x:c>
      <x:c r="D1567" s="67"/>
      <x:c r="G1567" s="68"/>
      <x:c r="K1567" t="str">
        <x:f>IF(B1567="","",IF(I1567="확인 필요","붙임 문서 확인 후 거래 성격·기간·상대방·일회성 여부 확인","결의서명과 전기 대비 발생 건수·단가·시점 차이 검토"))</x:f>
      </x:c>
    </x:row>
    <x:row r="1568">
      <x:c r="A1568" t="str">
        <x:f>IF(B1568="","",IF(COUNTIFS('전기원장'!$A$5:$A$1004,B1568,'전기원장'!$D$5:$D$1004,E1568)&gt;0,"전기","당기"))</x:f>
      </x:c>
      <x:c r="D1568" s="67"/>
      <x:c r="G1568" s="68"/>
      <x:c r="K1568" t="str">
        <x:f>IF(B1568="","",IF(I1568="확인 필요","붙임 문서 확인 후 거래 성격·기간·상대방·일회성 여부 확인","결의서명과 전기 대비 발생 건수·단가·시점 차이 검토"))</x:f>
      </x:c>
    </x:row>
    <x:row r="1569">
      <x:c r="A1569" t="str">
        <x:f>IF(B1569="","",IF(COUNTIFS('전기원장'!$A$5:$A$1004,B1569,'전기원장'!$D$5:$D$1004,E1569)&gt;0,"전기","당기"))</x:f>
      </x:c>
      <x:c r="D1569" s="67"/>
      <x:c r="G1569" s="68"/>
      <x:c r="K1569" t="str">
        <x:f>IF(B1569="","",IF(I1569="확인 필요","붙임 문서 확인 후 거래 성격·기간·상대방·일회성 여부 확인","결의서명과 전기 대비 발생 건수·단가·시점 차이 검토"))</x:f>
      </x:c>
    </x:row>
    <x:row r="1570">
      <x:c r="A1570" t="str">
        <x:f>IF(B1570="","",IF(COUNTIFS('전기원장'!$A$5:$A$1004,B1570,'전기원장'!$D$5:$D$1004,E1570)&gt;0,"전기","당기"))</x:f>
      </x:c>
      <x:c r="D1570" s="67"/>
      <x:c r="G1570" s="68"/>
      <x:c r="K1570" t="str">
        <x:f>IF(B1570="","",IF(I1570="확인 필요","붙임 문서 확인 후 거래 성격·기간·상대방·일회성 여부 확인","결의서명과 전기 대비 발생 건수·단가·시점 차이 검토"))</x:f>
      </x:c>
    </x:row>
    <x:row r="1571">
      <x:c r="A1571" t="str">
        <x:f>IF(B1571="","",IF(COUNTIFS('전기원장'!$A$5:$A$1004,B1571,'전기원장'!$D$5:$D$1004,E1571)&gt;0,"전기","당기"))</x:f>
      </x:c>
      <x:c r="D1571" s="67"/>
      <x:c r="G1571" s="68"/>
      <x:c r="K1571" t="str">
        <x:f>IF(B1571="","",IF(I1571="확인 필요","붙임 문서 확인 후 거래 성격·기간·상대방·일회성 여부 확인","결의서명과 전기 대비 발생 건수·단가·시점 차이 검토"))</x:f>
      </x:c>
    </x:row>
    <x:row r="1572">
      <x:c r="A1572" t="str">
        <x:f>IF(B1572="","",IF(COUNTIFS('전기원장'!$A$5:$A$1004,B1572,'전기원장'!$D$5:$D$1004,E1572)&gt;0,"전기","당기"))</x:f>
      </x:c>
      <x:c r="D1572" s="67"/>
      <x:c r="G1572" s="68"/>
      <x:c r="K1572" t="str">
        <x:f>IF(B1572="","",IF(I1572="확인 필요","붙임 문서 확인 후 거래 성격·기간·상대방·일회성 여부 확인","결의서명과 전기 대비 발생 건수·단가·시점 차이 검토"))</x:f>
      </x:c>
    </x:row>
    <x:row r="1573">
      <x:c r="A1573" t="str">
        <x:f>IF(B1573="","",IF(COUNTIFS('전기원장'!$A$5:$A$1004,B1573,'전기원장'!$D$5:$D$1004,E1573)&gt;0,"전기","당기"))</x:f>
      </x:c>
      <x:c r="D1573" s="67"/>
      <x:c r="G1573" s="68"/>
      <x:c r="K1573" t="str">
        <x:f>IF(B1573="","",IF(I1573="확인 필요","붙임 문서 확인 후 거래 성격·기간·상대방·일회성 여부 확인","결의서명과 전기 대비 발생 건수·단가·시점 차이 검토"))</x:f>
      </x:c>
    </x:row>
    <x:row r="1574">
      <x:c r="A1574" t="str">
        <x:f>IF(B1574="","",IF(COUNTIFS('전기원장'!$A$5:$A$1004,B1574,'전기원장'!$D$5:$D$1004,E1574)&gt;0,"전기","당기"))</x:f>
      </x:c>
      <x:c r="D1574" s="67"/>
      <x:c r="G1574" s="68"/>
      <x:c r="K1574" t="str">
        <x:f>IF(B1574="","",IF(I1574="확인 필요","붙임 문서 확인 후 거래 성격·기간·상대방·일회성 여부 확인","결의서명과 전기 대비 발생 건수·단가·시점 차이 검토"))</x:f>
      </x:c>
    </x:row>
    <x:row r="1575">
      <x:c r="A1575" t="str">
        <x:f>IF(B1575="","",IF(COUNTIFS('전기원장'!$A$5:$A$1004,B1575,'전기원장'!$D$5:$D$1004,E1575)&gt;0,"전기","당기"))</x:f>
      </x:c>
      <x:c r="D1575" s="67"/>
      <x:c r="G1575" s="68"/>
      <x:c r="K1575" t="str">
        <x:f>IF(B1575="","",IF(I1575="확인 필요","붙임 문서 확인 후 거래 성격·기간·상대방·일회성 여부 확인","결의서명과 전기 대비 발생 건수·단가·시점 차이 검토"))</x:f>
      </x:c>
    </x:row>
    <x:row r="1576">
      <x:c r="A1576" t="str">
        <x:f>IF(B1576="","",IF(COUNTIFS('전기원장'!$A$5:$A$1004,B1576,'전기원장'!$D$5:$D$1004,E1576)&gt;0,"전기","당기"))</x:f>
      </x:c>
      <x:c r="D1576" s="67"/>
      <x:c r="G1576" s="68"/>
      <x:c r="K1576" t="str">
        <x:f>IF(B1576="","",IF(I1576="확인 필요","붙임 문서 확인 후 거래 성격·기간·상대방·일회성 여부 확인","결의서명과 전기 대비 발생 건수·단가·시점 차이 검토"))</x:f>
      </x:c>
    </x:row>
    <x:row r="1577">
      <x:c r="A1577" t="str">
        <x:f>IF(B1577="","",IF(COUNTIFS('전기원장'!$A$5:$A$1004,B1577,'전기원장'!$D$5:$D$1004,E1577)&gt;0,"전기","당기"))</x:f>
      </x:c>
      <x:c r="D1577" s="67"/>
      <x:c r="G1577" s="68"/>
      <x:c r="K1577" t="str">
        <x:f>IF(B1577="","",IF(I1577="확인 필요","붙임 문서 확인 후 거래 성격·기간·상대방·일회성 여부 확인","결의서명과 전기 대비 발생 건수·단가·시점 차이 검토"))</x:f>
      </x:c>
    </x:row>
    <x:row r="1578">
      <x:c r="A1578" t="str">
        <x:f>IF(B1578="","",IF(COUNTIFS('전기원장'!$A$5:$A$1004,B1578,'전기원장'!$D$5:$D$1004,E1578)&gt;0,"전기","당기"))</x:f>
      </x:c>
      <x:c r="D1578" s="67"/>
      <x:c r="G1578" s="68"/>
      <x:c r="K1578" t="str">
        <x:f>IF(B1578="","",IF(I1578="확인 필요","붙임 문서 확인 후 거래 성격·기간·상대방·일회성 여부 확인","결의서명과 전기 대비 발생 건수·단가·시점 차이 검토"))</x:f>
      </x:c>
    </x:row>
    <x:row r="1579">
      <x:c r="A1579" t="str">
        <x:f>IF(B1579="","",IF(COUNTIFS('전기원장'!$A$5:$A$1004,B1579,'전기원장'!$D$5:$D$1004,E1579)&gt;0,"전기","당기"))</x:f>
      </x:c>
      <x:c r="D1579" s="67"/>
      <x:c r="G1579" s="68"/>
      <x:c r="K1579" t="str">
        <x:f>IF(B1579="","",IF(I1579="확인 필요","붙임 문서 확인 후 거래 성격·기간·상대방·일회성 여부 확인","결의서명과 전기 대비 발생 건수·단가·시점 차이 검토"))</x:f>
      </x:c>
    </x:row>
    <x:row r="1580">
      <x:c r="A1580" t="str">
        <x:f>IF(B1580="","",IF(COUNTIFS('전기원장'!$A$5:$A$1004,B1580,'전기원장'!$D$5:$D$1004,E1580)&gt;0,"전기","당기"))</x:f>
      </x:c>
      <x:c r="D1580" s="67"/>
      <x:c r="G1580" s="68"/>
      <x:c r="K1580" t="str">
        <x:f>IF(B1580="","",IF(I1580="확인 필요","붙임 문서 확인 후 거래 성격·기간·상대방·일회성 여부 확인","결의서명과 전기 대비 발생 건수·단가·시점 차이 검토"))</x:f>
      </x:c>
    </x:row>
    <x:row r="1581">
      <x:c r="A1581" t="str">
        <x:f>IF(B1581="","",IF(COUNTIFS('전기원장'!$A$5:$A$1004,B1581,'전기원장'!$D$5:$D$1004,E1581)&gt;0,"전기","당기"))</x:f>
      </x:c>
      <x:c r="D1581" s="67"/>
      <x:c r="G1581" s="68"/>
      <x:c r="K1581" t="str">
        <x:f>IF(B1581="","",IF(I1581="확인 필요","붙임 문서 확인 후 거래 성격·기간·상대방·일회성 여부 확인","결의서명과 전기 대비 발생 건수·단가·시점 차이 검토"))</x:f>
      </x:c>
    </x:row>
    <x:row r="1582">
      <x:c r="A1582" t="str">
        <x:f>IF(B1582="","",IF(COUNTIFS('전기원장'!$A$5:$A$1004,B1582,'전기원장'!$D$5:$D$1004,E1582)&gt;0,"전기","당기"))</x:f>
      </x:c>
      <x:c r="D1582" s="67"/>
      <x:c r="G1582" s="68"/>
      <x:c r="K1582" t="str">
        <x:f>IF(B1582="","",IF(I1582="확인 필요","붙임 문서 확인 후 거래 성격·기간·상대방·일회성 여부 확인","결의서명과 전기 대비 발생 건수·단가·시점 차이 검토"))</x:f>
      </x:c>
    </x:row>
    <x:row r="1583">
      <x:c r="A1583" t="str">
        <x:f>IF(B1583="","",IF(COUNTIFS('전기원장'!$A$5:$A$1004,B1583,'전기원장'!$D$5:$D$1004,E1583)&gt;0,"전기","당기"))</x:f>
      </x:c>
      <x:c r="D1583" s="67"/>
      <x:c r="G1583" s="68"/>
      <x:c r="K1583" t="str">
        <x:f>IF(B1583="","",IF(I1583="확인 필요","붙임 문서 확인 후 거래 성격·기간·상대방·일회성 여부 확인","결의서명과 전기 대비 발생 건수·단가·시점 차이 검토"))</x:f>
      </x:c>
    </x:row>
    <x:row r="1584">
      <x:c r="A1584" t="str">
        <x:f>IF(B1584="","",IF(COUNTIFS('전기원장'!$A$5:$A$1004,B1584,'전기원장'!$D$5:$D$1004,E1584)&gt;0,"전기","당기"))</x:f>
      </x:c>
      <x:c r="D1584" s="67"/>
      <x:c r="G1584" s="68"/>
      <x:c r="K1584" t="str">
        <x:f>IF(B1584="","",IF(I1584="확인 필요","붙임 문서 확인 후 거래 성격·기간·상대방·일회성 여부 확인","결의서명과 전기 대비 발생 건수·단가·시점 차이 검토"))</x:f>
      </x:c>
    </x:row>
    <x:row r="1585">
      <x:c r="A1585" t="str">
        <x:f>IF(B1585="","",IF(COUNTIFS('전기원장'!$A$5:$A$1004,B1585,'전기원장'!$D$5:$D$1004,E1585)&gt;0,"전기","당기"))</x:f>
      </x:c>
      <x:c r="D1585" s="67"/>
      <x:c r="G1585" s="68"/>
      <x:c r="K1585" t="str">
        <x:f>IF(B1585="","",IF(I1585="확인 필요","붙임 문서 확인 후 거래 성격·기간·상대방·일회성 여부 확인","결의서명과 전기 대비 발생 건수·단가·시점 차이 검토"))</x:f>
      </x:c>
    </x:row>
    <x:row r="1586">
      <x:c r="A1586" t="str">
        <x:f>IF(B1586="","",IF(COUNTIFS('전기원장'!$A$5:$A$1004,B1586,'전기원장'!$D$5:$D$1004,E1586)&gt;0,"전기","당기"))</x:f>
      </x:c>
      <x:c r="D1586" s="67"/>
      <x:c r="G1586" s="68"/>
      <x:c r="K1586" t="str">
        <x:f>IF(B1586="","",IF(I1586="확인 필요","붙임 문서 확인 후 거래 성격·기간·상대방·일회성 여부 확인","결의서명과 전기 대비 발생 건수·단가·시점 차이 검토"))</x:f>
      </x:c>
    </x:row>
    <x:row r="1587">
      <x:c r="A1587" t="str">
        <x:f>IF(B1587="","",IF(COUNTIFS('전기원장'!$A$5:$A$1004,B1587,'전기원장'!$D$5:$D$1004,E1587)&gt;0,"전기","당기"))</x:f>
      </x:c>
      <x:c r="D1587" s="67"/>
      <x:c r="G1587" s="68"/>
      <x:c r="K1587" t="str">
        <x:f>IF(B1587="","",IF(I1587="확인 필요","붙임 문서 확인 후 거래 성격·기간·상대방·일회성 여부 확인","결의서명과 전기 대비 발생 건수·단가·시점 차이 검토"))</x:f>
      </x:c>
    </x:row>
    <x:row r="1588">
      <x:c r="A1588" t="str">
        <x:f>IF(B1588="","",IF(COUNTIFS('전기원장'!$A$5:$A$1004,B1588,'전기원장'!$D$5:$D$1004,E1588)&gt;0,"전기","당기"))</x:f>
      </x:c>
      <x:c r="D1588" s="67"/>
      <x:c r="G1588" s="68"/>
      <x:c r="K1588" t="str">
        <x:f>IF(B1588="","",IF(I1588="확인 필요","붙임 문서 확인 후 거래 성격·기간·상대방·일회성 여부 확인","결의서명과 전기 대비 발생 건수·단가·시점 차이 검토"))</x:f>
      </x:c>
    </x:row>
    <x:row r="1589">
      <x:c r="A1589" t="str">
        <x:f>IF(B1589="","",IF(COUNTIFS('전기원장'!$A$5:$A$1004,B1589,'전기원장'!$D$5:$D$1004,E1589)&gt;0,"전기","당기"))</x:f>
      </x:c>
      <x:c r="D1589" s="67"/>
      <x:c r="G1589" s="68"/>
      <x:c r="K1589" t="str">
        <x:f>IF(B1589="","",IF(I1589="확인 필요","붙임 문서 확인 후 거래 성격·기간·상대방·일회성 여부 확인","결의서명과 전기 대비 발생 건수·단가·시점 차이 검토"))</x:f>
      </x:c>
    </x:row>
    <x:row r="1590">
      <x:c r="A1590" t="str">
        <x:f>IF(B1590="","",IF(COUNTIFS('전기원장'!$A$5:$A$1004,B1590,'전기원장'!$D$5:$D$1004,E1590)&gt;0,"전기","당기"))</x:f>
      </x:c>
      <x:c r="D1590" s="67"/>
      <x:c r="G1590" s="68"/>
      <x:c r="K1590" t="str">
        <x:f>IF(B1590="","",IF(I1590="확인 필요","붙임 문서 확인 후 거래 성격·기간·상대방·일회성 여부 확인","결의서명과 전기 대비 발생 건수·단가·시점 차이 검토"))</x:f>
      </x:c>
    </x:row>
    <x:row r="1591">
      <x:c r="A1591" t="str">
        <x:f>IF(B1591="","",IF(COUNTIFS('전기원장'!$A$5:$A$1004,B1591,'전기원장'!$D$5:$D$1004,E1591)&gt;0,"전기","당기"))</x:f>
      </x:c>
      <x:c r="D1591" s="67"/>
      <x:c r="G1591" s="68"/>
      <x:c r="K1591" t="str">
        <x:f>IF(B1591="","",IF(I1591="확인 필요","붙임 문서 확인 후 거래 성격·기간·상대방·일회성 여부 확인","결의서명과 전기 대비 발생 건수·단가·시점 차이 검토"))</x:f>
      </x:c>
    </x:row>
    <x:row r="1592">
      <x:c r="A1592" t="str">
        <x:f>IF(B1592="","",IF(COUNTIFS('전기원장'!$A$5:$A$1004,B1592,'전기원장'!$D$5:$D$1004,E1592)&gt;0,"전기","당기"))</x:f>
      </x:c>
      <x:c r="D1592" s="67"/>
      <x:c r="G1592" s="68"/>
      <x:c r="K1592" t="str">
        <x:f>IF(B1592="","",IF(I1592="확인 필요","붙임 문서 확인 후 거래 성격·기간·상대방·일회성 여부 확인","결의서명과 전기 대비 발생 건수·단가·시점 차이 검토"))</x:f>
      </x:c>
    </x:row>
    <x:row r="1593">
      <x:c r="A1593" t="str">
        <x:f>IF(B1593="","",IF(COUNTIFS('전기원장'!$A$5:$A$1004,B1593,'전기원장'!$D$5:$D$1004,E1593)&gt;0,"전기","당기"))</x:f>
      </x:c>
      <x:c r="D1593" s="67"/>
      <x:c r="G1593" s="68"/>
      <x:c r="K1593" t="str">
        <x:f>IF(B1593="","",IF(I1593="확인 필요","붙임 문서 확인 후 거래 성격·기간·상대방·일회성 여부 확인","결의서명과 전기 대비 발생 건수·단가·시점 차이 검토"))</x:f>
      </x:c>
    </x:row>
    <x:row r="1594">
      <x:c r="A1594" t="str">
        <x:f>IF(B1594="","",IF(COUNTIFS('전기원장'!$A$5:$A$1004,B1594,'전기원장'!$D$5:$D$1004,E1594)&gt;0,"전기","당기"))</x:f>
      </x:c>
      <x:c r="D1594" s="67"/>
      <x:c r="G1594" s="68"/>
      <x:c r="K1594" t="str">
        <x:f>IF(B1594="","",IF(I1594="확인 필요","붙임 문서 확인 후 거래 성격·기간·상대방·일회성 여부 확인","결의서명과 전기 대비 발생 건수·단가·시점 차이 검토"))</x:f>
      </x:c>
    </x:row>
    <x:row r="1595">
      <x:c r="A1595" t="str">
        <x:f>IF(B1595="","",IF(COUNTIFS('전기원장'!$A$5:$A$1004,B1595,'전기원장'!$D$5:$D$1004,E1595)&gt;0,"전기","당기"))</x:f>
      </x:c>
      <x:c r="D1595" s="67"/>
      <x:c r="G1595" s="68"/>
      <x:c r="K1595" t="str">
        <x:f>IF(B1595="","",IF(I1595="확인 필요","붙임 문서 확인 후 거래 성격·기간·상대방·일회성 여부 확인","결의서명과 전기 대비 발생 건수·단가·시점 차이 검토"))</x:f>
      </x:c>
    </x:row>
    <x:row r="1596">
      <x:c r="A1596" t="str">
        <x:f>IF(B1596="","",IF(COUNTIFS('전기원장'!$A$5:$A$1004,B1596,'전기원장'!$D$5:$D$1004,E1596)&gt;0,"전기","당기"))</x:f>
      </x:c>
      <x:c r="D1596" s="67"/>
      <x:c r="G1596" s="68"/>
      <x:c r="K1596" t="str">
        <x:f>IF(B1596="","",IF(I1596="확인 필요","붙임 문서 확인 후 거래 성격·기간·상대방·일회성 여부 확인","결의서명과 전기 대비 발생 건수·단가·시점 차이 검토"))</x:f>
      </x:c>
    </x:row>
    <x:row r="1597">
      <x:c r="A1597" t="str">
        <x:f>IF(B1597="","",IF(COUNTIFS('전기원장'!$A$5:$A$1004,B1597,'전기원장'!$D$5:$D$1004,E1597)&gt;0,"전기","당기"))</x:f>
      </x:c>
      <x:c r="D1597" s="67"/>
      <x:c r="G1597" s="68"/>
      <x:c r="K1597" t="str">
        <x:f>IF(B1597="","",IF(I1597="확인 필요","붙임 문서 확인 후 거래 성격·기간·상대방·일회성 여부 확인","결의서명과 전기 대비 발생 건수·단가·시점 차이 검토"))</x:f>
      </x:c>
    </x:row>
    <x:row r="1598">
      <x:c r="A1598" t="str">
        <x:f>IF(B1598="","",IF(COUNTIFS('전기원장'!$A$5:$A$1004,B1598,'전기원장'!$D$5:$D$1004,E1598)&gt;0,"전기","당기"))</x:f>
      </x:c>
      <x:c r="D1598" s="67"/>
      <x:c r="G1598" s="68"/>
      <x:c r="K1598" t="str">
        <x:f>IF(B1598="","",IF(I1598="확인 필요","붙임 문서 확인 후 거래 성격·기간·상대방·일회성 여부 확인","결의서명과 전기 대비 발생 건수·단가·시점 차이 검토"))</x:f>
      </x:c>
    </x:row>
    <x:row r="1599">
      <x:c r="A1599" t="str">
        <x:f>IF(B1599="","",IF(COUNTIFS('전기원장'!$A$5:$A$1004,B1599,'전기원장'!$D$5:$D$1004,E1599)&gt;0,"전기","당기"))</x:f>
      </x:c>
      <x:c r="D1599" s="67"/>
      <x:c r="G1599" s="68"/>
      <x:c r="K1599" t="str">
        <x:f>IF(B1599="","",IF(I1599="확인 필요","붙임 문서 확인 후 거래 성격·기간·상대방·일회성 여부 확인","결의서명과 전기 대비 발생 건수·단가·시점 차이 검토"))</x:f>
      </x:c>
    </x:row>
    <x:row r="1600">
      <x:c r="A1600" t="str">
        <x:f>IF(B1600="","",IF(COUNTIFS('전기원장'!$A$5:$A$1004,B1600,'전기원장'!$D$5:$D$1004,E1600)&gt;0,"전기","당기"))</x:f>
      </x:c>
      <x:c r="D1600" s="67"/>
      <x:c r="G1600" s="68"/>
      <x:c r="K1600" t="str">
        <x:f>IF(B1600="","",IF(I1600="확인 필요","붙임 문서 확인 후 거래 성격·기간·상대방·일회성 여부 확인","결의서명과 전기 대비 발생 건수·단가·시점 차이 검토"))</x:f>
      </x:c>
    </x:row>
    <x:row r="1601">
      <x:c r="A1601" t="str">
        <x:f>IF(B1601="","",IF(COUNTIFS('전기원장'!$A$5:$A$1004,B1601,'전기원장'!$D$5:$D$1004,E1601)&gt;0,"전기","당기"))</x:f>
      </x:c>
      <x:c r="D1601" s="67"/>
      <x:c r="G1601" s="68"/>
      <x:c r="K1601" t="str">
        <x:f>IF(B1601="","",IF(I1601="확인 필요","붙임 문서 확인 후 거래 성격·기간·상대방·일회성 여부 확인","결의서명과 전기 대비 발생 건수·단가·시점 차이 검토"))</x:f>
      </x:c>
    </x:row>
    <x:row r="1602">
      <x:c r="A1602" t="str">
        <x:f>IF(B1602="","",IF(COUNTIFS('전기원장'!$A$5:$A$1004,B1602,'전기원장'!$D$5:$D$1004,E1602)&gt;0,"전기","당기"))</x:f>
      </x:c>
      <x:c r="D1602" s="67"/>
      <x:c r="G1602" s="68"/>
      <x:c r="K1602" t="str">
        <x:f>IF(B1602="","",IF(I1602="확인 필요","붙임 문서 확인 후 거래 성격·기간·상대방·일회성 여부 확인","결의서명과 전기 대비 발생 건수·단가·시점 차이 검토"))</x:f>
      </x:c>
    </x:row>
    <x:row r="1603">
      <x:c r="A1603" t="str">
        <x:f>IF(B1603="","",IF(COUNTIFS('전기원장'!$A$5:$A$1004,B1603,'전기원장'!$D$5:$D$1004,E1603)&gt;0,"전기","당기"))</x:f>
      </x:c>
      <x:c r="D1603" s="67"/>
      <x:c r="G1603" s="68"/>
      <x:c r="K1603" t="str">
        <x:f>IF(B1603="","",IF(I1603="확인 필요","붙임 문서 확인 후 거래 성격·기간·상대방·일회성 여부 확인","결의서명과 전기 대비 발생 건수·단가·시점 차이 검토"))</x:f>
      </x:c>
    </x:row>
    <x:row r="1604">
      <x:c r="A1604" t="str">
        <x:f>IF(B1604="","",IF(COUNTIFS('전기원장'!$A$5:$A$1004,B1604,'전기원장'!$D$5:$D$1004,E1604)&gt;0,"전기","당기"))</x:f>
      </x:c>
      <x:c r="D1604" s="67"/>
      <x:c r="G1604" s="68"/>
      <x:c r="K1604" t="str">
        <x:f>IF(B1604="","",IF(I1604="확인 필요","붙임 문서 확인 후 거래 성격·기간·상대방·일회성 여부 확인","결의서명과 전기 대비 발생 건수·단가·시점 차이 검토"))</x:f>
      </x:c>
    </x:row>
    <x:row r="1605">
      <x:c r="A1605" t="str">
        <x:f>IF(B1605="","",IF(COUNTIFS('전기원장'!$A$5:$A$1004,B1605,'전기원장'!$D$5:$D$1004,E1605)&gt;0,"전기","당기"))</x:f>
      </x:c>
      <x:c r="D1605" s="67"/>
      <x:c r="G1605" s="68"/>
      <x:c r="K1605" t="str">
        <x:f>IF(B1605="","",IF(I1605="확인 필요","붙임 문서 확인 후 거래 성격·기간·상대방·일회성 여부 확인","결의서명과 전기 대비 발생 건수·단가·시점 차이 검토"))</x:f>
      </x:c>
    </x:row>
    <x:row r="1606">
      <x:c r="A1606" t="str">
        <x:f>IF(B1606="","",IF(COUNTIFS('전기원장'!$A$5:$A$1004,B1606,'전기원장'!$D$5:$D$1004,E1606)&gt;0,"전기","당기"))</x:f>
      </x:c>
      <x:c r="D1606" s="67"/>
      <x:c r="G1606" s="68"/>
      <x:c r="K1606" t="str">
        <x:f>IF(B1606="","",IF(I1606="확인 필요","붙임 문서 확인 후 거래 성격·기간·상대방·일회성 여부 확인","결의서명과 전기 대비 발생 건수·단가·시점 차이 검토"))</x:f>
      </x:c>
    </x:row>
    <x:row r="1607">
      <x:c r="A1607" t="str">
        <x:f>IF(B1607="","",IF(COUNTIFS('전기원장'!$A$5:$A$1004,B1607,'전기원장'!$D$5:$D$1004,E1607)&gt;0,"전기","당기"))</x:f>
      </x:c>
      <x:c r="D1607" s="67"/>
      <x:c r="G1607" s="68"/>
      <x:c r="K1607" t="str">
        <x:f>IF(B1607="","",IF(I1607="확인 필요","붙임 문서 확인 후 거래 성격·기간·상대방·일회성 여부 확인","결의서명과 전기 대비 발생 건수·단가·시점 차이 검토"))</x:f>
      </x:c>
    </x:row>
    <x:row r="1608">
      <x:c r="A1608" t="str">
        <x:f>IF(B1608="","",IF(COUNTIFS('전기원장'!$A$5:$A$1004,B1608,'전기원장'!$D$5:$D$1004,E1608)&gt;0,"전기","당기"))</x:f>
      </x:c>
      <x:c r="D1608" s="67"/>
      <x:c r="G1608" s="68"/>
      <x:c r="K1608" t="str">
        <x:f>IF(B1608="","",IF(I1608="확인 필요","붙임 문서 확인 후 거래 성격·기간·상대방·일회성 여부 확인","결의서명과 전기 대비 발생 건수·단가·시점 차이 검토"))</x:f>
      </x:c>
    </x:row>
    <x:row r="1609">
      <x:c r="A1609" t="str">
        <x:f>IF(B1609="","",IF(COUNTIFS('전기원장'!$A$5:$A$1004,B1609,'전기원장'!$D$5:$D$1004,E1609)&gt;0,"전기","당기"))</x:f>
      </x:c>
      <x:c r="D1609" s="67"/>
      <x:c r="G1609" s="68"/>
      <x:c r="K1609" t="str">
        <x:f>IF(B1609="","",IF(I1609="확인 필요","붙임 문서 확인 후 거래 성격·기간·상대방·일회성 여부 확인","결의서명과 전기 대비 발생 건수·단가·시점 차이 검토"))</x:f>
      </x:c>
    </x:row>
    <x:row r="1610">
      <x:c r="A1610" t="str">
        <x:f>IF(B1610="","",IF(COUNTIFS('전기원장'!$A$5:$A$1004,B1610,'전기원장'!$D$5:$D$1004,E1610)&gt;0,"전기","당기"))</x:f>
      </x:c>
      <x:c r="D1610" s="67"/>
      <x:c r="G1610" s="68"/>
      <x:c r="K1610" t="str">
        <x:f>IF(B1610="","",IF(I1610="확인 필요","붙임 문서 확인 후 거래 성격·기간·상대방·일회성 여부 확인","결의서명과 전기 대비 발생 건수·단가·시점 차이 검토"))</x:f>
      </x:c>
    </x:row>
    <x:row r="1611">
      <x:c r="A1611" t="str">
        <x:f>IF(B1611="","",IF(COUNTIFS('전기원장'!$A$5:$A$1004,B1611,'전기원장'!$D$5:$D$1004,E1611)&gt;0,"전기","당기"))</x:f>
      </x:c>
      <x:c r="D1611" s="67"/>
      <x:c r="G1611" s="68"/>
      <x:c r="K1611" t="str">
        <x:f>IF(B1611="","",IF(I1611="확인 필요","붙임 문서 확인 후 거래 성격·기간·상대방·일회성 여부 확인","결의서명과 전기 대비 발생 건수·단가·시점 차이 검토"))</x:f>
      </x:c>
    </x:row>
    <x:row r="1612">
      <x:c r="A1612" t="str">
        <x:f>IF(B1612="","",IF(COUNTIFS('전기원장'!$A$5:$A$1004,B1612,'전기원장'!$D$5:$D$1004,E1612)&gt;0,"전기","당기"))</x:f>
      </x:c>
      <x:c r="D1612" s="67"/>
      <x:c r="G1612" s="68"/>
      <x:c r="K1612" t="str">
        <x:f>IF(B1612="","",IF(I1612="확인 필요","붙임 문서 확인 후 거래 성격·기간·상대방·일회성 여부 확인","결의서명과 전기 대비 발생 건수·단가·시점 차이 검토"))</x:f>
      </x:c>
    </x:row>
    <x:row r="1613">
      <x:c r="A1613" t="str">
        <x:f>IF(B1613="","",IF(COUNTIFS('전기원장'!$A$5:$A$1004,B1613,'전기원장'!$D$5:$D$1004,E1613)&gt;0,"전기","당기"))</x:f>
      </x:c>
      <x:c r="D1613" s="67"/>
      <x:c r="G1613" s="68"/>
      <x:c r="K1613" t="str">
        <x:f>IF(B1613="","",IF(I1613="확인 필요","붙임 문서 확인 후 거래 성격·기간·상대방·일회성 여부 확인","결의서명과 전기 대비 발생 건수·단가·시점 차이 검토"))</x:f>
      </x:c>
    </x:row>
    <x:row r="1614">
      <x:c r="A1614" t="str">
        <x:f>IF(B1614="","",IF(COUNTIFS('전기원장'!$A$5:$A$1004,B1614,'전기원장'!$D$5:$D$1004,E1614)&gt;0,"전기","당기"))</x:f>
      </x:c>
      <x:c r="D1614" s="67"/>
      <x:c r="G1614" s="68"/>
      <x:c r="K1614" t="str">
        <x:f>IF(B1614="","",IF(I1614="확인 필요","붙임 문서 확인 후 거래 성격·기간·상대방·일회성 여부 확인","결의서명과 전기 대비 발생 건수·단가·시점 차이 검토"))</x:f>
      </x:c>
    </x:row>
    <x:row r="1615">
      <x:c r="A1615" t="str">
        <x:f>IF(B1615="","",IF(COUNTIFS('전기원장'!$A$5:$A$1004,B1615,'전기원장'!$D$5:$D$1004,E1615)&gt;0,"전기","당기"))</x:f>
      </x:c>
      <x:c r="D1615" s="67"/>
      <x:c r="G1615" s="68"/>
      <x:c r="K1615" t="str">
        <x:f>IF(B1615="","",IF(I1615="확인 필요","붙임 문서 확인 후 거래 성격·기간·상대방·일회성 여부 확인","결의서명과 전기 대비 발생 건수·단가·시점 차이 검토"))</x:f>
      </x:c>
    </x:row>
    <x:row r="1616">
      <x:c r="A1616" t="str">
        <x:f>IF(B1616="","",IF(COUNTIFS('전기원장'!$A$5:$A$1004,B1616,'전기원장'!$D$5:$D$1004,E1616)&gt;0,"전기","당기"))</x:f>
      </x:c>
      <x:c r="D1616" s="67"/>
      <x:c r="G1616" s="68"/>
      <x:c r="K1616" t="str">
        <x:f>IF(B1616="","",IF(I1616="확인 필요","붙임 문서 확인 후 거래 성격·기간·상대방·일회성 여부 확인","결의서명과 전기 대비 발생 건수·단가·시점 차이 검토"))</x:f>
      </x:c>
    </x:row>
    <x:row r="1617">
      <x:c r="A1617" t="str">
        <x:f>IF(B1617="","",IF(COUNTIFS('전기원장'!$A$5:$A$1004,B1617,'전기원장'!$D$5:$D$1004,E1617)&gt;0,"전기","당기"))</x:f>
      </x:c>
      <x:c r="D1617" s="67"/>
      <x:c r="G1617" s="68"/>
      <x:c r="K1617" t="str">
        <x:f>IF(B1617="","",IF(I1617="확인 필요","붙임 문서 확인 후 거래 성격·기간·상대방·일회성 여부 확인","결의서명과 전기 대비 발생 건수·단가·시점 차이 검토"))</x:f>
      </x:c>
    </x:row>
    <x:row r="1618">
      <x:c r="A1618" t="str">
        <x:f>IF(B1618="","",IF(COUNTIFS('전기원장'!$A$5:$A$1004,B1618,'전기원장'!$D$5:$D$1004,E1618)&gt;0,"전기","당기"))</x:f>
      </x:c>
      <x:c r="D1618" s="67"/>
      <x:c r="G1618" s="68"/>
      <x:c r="K1618" t="str">
        <x:f>IF(B1618="","",IF(I1618="확인 필요","붙임 문서 확인 후 거래 성격·기간·상대방·일회성 여부 확인","결의서명과 전기 대비 발생 건수·단가·시점 차이 검토"))</x:f>
      </x:c>
    </x:row>
    <x:row r="1619">
      <x:c r="A1619" t="str">
        <x:f>IF(B1619="","",IF(COUNTIFS('전기원장'!$A$5:$A$1004,B1619,'전기원장'!$D$5:$D$1004,E1619)&gt;0,"전기","당기"))</x:f>
      </x:c>
      <x:c r="D1619" s="67"/>
      <x:c r="G1619" s="68"/>
      <x:c r="K1619" t="str">
        <x:f>IF(B1619="","",IF(I1619="확인 필요","붙임 문서 확인 후 거래 성격·기간·상대방·일회성 여부 확인","결의서명과 전기 대비 발생 건수·단가·시점 차이 검토"))</x:f>
      </x:c>
    </x:row>
    <x:row r="1620">
      <x:c r="A1620" t="str">
        <x:f>IF(B1620="","",IF(COUNTIFS('전기원장'!$A$5:$A$1004,B1620,'전기원장'!$D$5:$D$1004,E1620)&gt;0,"전기","당기"))</x:f>
      </x:c>
      <x:c r="D1620" s="67"/>
      <x:c r="G1620" s="68"/>
      <x:c r="K1620" t="str">
        <x:f>IF(B1620="","",IF(I1620="확인 필요","붙임 문서 확인 후 거래 성격·기간·상대방·일회성 여부 확인","결의서명과 전기 대비 발생 건수·단가·시점 차이 검토"))</x:f>
      </x:c>
    </x:row>
    <x:row r="1621">
      <x:c r="A1621" t="str">
        <x:f>IF(B1621="","",IF(COUNTIFS('전기원장'!$A$5:$A$1004,B1621,'전기원장'!$D$5:$D$1004,E1621)&gt;0,"전기","당기"))</x:f>
      </x:c>
      <x:c r="D1621" s="67"/>
      <x:c r="G1621" s="68"/>
      <x:c r="K1621" t="str">
        <x:f>IF(B1621="","",IF(I1621="확인 필요","붙임 문서 확인 후 거래 성격·기간·상대방·일회성 여부 확인","결의서명과 전기 대비 발생 건수·단가·시점 차이 검토"))</x:f>
      </x:c>
    </x:row>
    <x:row r="1622">
      <x:c r="A1622" t="str">
        <x:f>IF(B1622="","",IF(COUNTIFS('전기원장'!$A$5:$A$1004,B1622,'전기원장'!$D$5:$D$1004,E1622)&gt;0,"전기","당기"))</x:f>
      </x:c>
      <x:c r="D1622" s="67"/>
      <x:c r="G1622" s="68"/>
      <x:c r="K1622" t="str">
        <x:f>IF(B1622="","",IF(I1622="확인 필요","붙임 문서 확인 후 거래 성격·기간·상대방·일회성 여부 확인","결의서명과 전기 대비 발생 건수·단가·시점 차이 검토"))</x:f>
      </x:c>
    </x:row>
    <x:row r="1623">
      <x:c r="A1623" t="str">
        <x:f>IF(B1623="","",IF(COUNTIFS('전기원장'!$A$5:$A$1004,B1623,'전기원장'!$D$5:$D$1004,E1623)&gt;0,"전기","당기"))</x:f>
      </x:c>
      <x:c r="D1623" s="67"/>
      <x:c r="G1623" s="68"/>
      <x:c r="K1623" t="str">
        <x:f>IF(B1623="","",IF(I1623="확인 필요","붙임 문서 확인 후 거래 성격·기간·상대방·일회성 여부 확인","결의서명과 전기 대비 발생 건수·단가·시점 차이 검토"))</x:f>
      </x:c>
    </x:row>
    <x:row r="1624">
      <x:c r="A1624" t="str">
        <x:f>IF(B1624="","",IF(COUNTIFS('전기원장'!$A$5:$A$1004,B1624,'전기원장'!$D$5:$D$1004,E1624)&gt;0,"전기","당기"))</x:f>
      </x:c>
      <x:c r="D1624" s="67"/>
      <x:c r="G1624" s="68"/>
      <x:c r="K1624" t="str">
        <x:f>IF(B1624="","",IF(I1624="확인 필요","붙임 문서 확인 후 거래 성격·기간·상대방·일회성 여부 확인","결의서명과 전기 대비 발생 건수·단가·시점 차이 검토"))</x:f>
      </x:c>
    </x:row>
    <x:row r="1625">
      <x:c r="A1625" t="str">
        <x:f>IF(B1625="","",IF(COUNTIFS('전기원장'!$A$5:$A$1004,B1625,'전기원장'!$D$5:$D$1004,E1625)&gt;0,"전기","당기"))</x:f>
      </x:c>
      <x:c r="D1625" s="67"/>
      <x:c r="G1625" s="68"/>
      <x:c r="K1625" t="str">
        <x:f>IF(B1625="","",IF(I1625="확인 필요","붙임 문서 확인 후 거래 성격·기간·상대방·일회성 여부 확인","결의서명과 전기 대비 발생 건수·단가·시점 차이 검토"))</x:f>
      </x:c>
    </x:row>
    <x:row r="1626">
      <x:c r="A1626" t="str">
        <x:f>IF(B1626="","",IF(COUNTIFS('전기원장'!$A$5:$A$1004,B1626,'전기원장'!$D$5:$D$1004,E1626)&gt;0,"전기","당기"))</x:f>
      </x:c>
      <x:c r="D1626" s="67"/>
      <x:c r="G1626" s="68"/>
      <x:c r="K1626" t="str">
        <x:f>IF(B1626="","",IF(I1626="확인 필요","붙임 문서 확인 후 거래 성격·기간·상대방·일회성 여부 확인","결의서명과 전기 대비 발생 건수·단가·시점 차이 검토"))</x:f>
      </x:c>
    </x:row>
    <x:row r="1627">
      <x:c r="A1627" t="str">
        <x:f>IF(B1627="","",IF(COUNTIFS('전기원장'!$A$5:$A$1004,B1627,'전기원장'!$D$5:$D$1004,E1627)&gt;0,"전기","당기"))</x:f>
      </x:c>
      <x:c r="D1627" s="67"/>
      <x:c r="G1627" s="68"/>
      <x:c r="K1627" t="str">
        <x:f>IF(B1627="","",IF(I1627="확인 필요","붙임 문서 확인 후 거래 성격·기간·상대방·일회성 여부 확인","결의서명과 전기 대비 발생 건수·단가·시점 차이 검토"))</x:f>
      </x:c>
    </x:row>
    <x:row r="1628">
      <x:c r="A1628" t="str">
        <x:f>IF(B1628="","",IF(COUNTIFS('전기원장'!$A$5:$A$1004,B1628,'전기원장'!$D$5:$D$1004,E1628)&gt;0,"전기","당기"))</x:f>
      </x:c>
      <x:c r="D1628" s="67"/>
      <x:c r="G1628" s="68"/>
      <x:c r="K1628" t="str">
        <x:f>IF(B1628="","",IF(I1628="확인 필요","붙임 문서 확인 후 거래 성격·기간·상대방·일회성 여부 확인","결의서명과 전기 대비 발생 건수·단가·시점 차이 검토"))</x:f>
      </x:c>
    </x:row>
    <x:row r="1629">
      <x:c r="A1629" t="str">
        <x:f>IF(B1629="","",IF(COUNTIFS('전기원장'!$A$5:$A$1004,B1629,'전기원장'!$D$5:$D$1004,E1629)&gt;0,"전기","당기"))</x:f>
      </x:c>
      <x:c r="D1629" s="67"/>
      <x:c r="G1629" s="68"/>
      <x:c r="K1629" t="str">
        <x:f>IF(B1629="","",IF(I1629="확인 필요","붙임 문서 확인 후 거래 성격·기간·상대방·일회성 여부 확인","결의서명과 전기 대비 발생 건수·단가·시점 차이 검토"))</x:f>
      </x:c>
    </x:row>
    <x:row r="1630">
      <x:c r="A1630" t="str">
        <x:f>IF(B1630="","",IF(COUNTIFS('전기원장'!$A$5:$A$1004,B1630,'전기원장'!$D$5:$D$1004,E1630)&gt;0,"전기","당기"))</x:f>
      </x:c>
      <x:c r="D1630" s="67"/>
      <x:c r="G1630" s="68"/>
      <x:c r="K1630" t="str">
        <x:f>IF(B1630="","",IF(I1630="확인 필요","붙임 문서 확인 후 거래 성격·기간·상대방·일회성 여부 확인","결의서명과 전기 대비 발생 건수·단가·시점 차이 검토"))</x:f>
      </x:c>
    </x:row>
    <x:row r="1631">
      <x:c r="A1631" t="str">
        <x:f>IF(B1631="","",IF(COUNTIFS('전기원장'!$A$5:$A$1004,B1631,'전기원장'!$D$5:$D$1004,E1631)&gt;0,"전기","당기"))</x:f>
      </x:c>
      <x:c r="D1631" s="67"/>
      <x:c r="G1631" s="68"/>
      <x:c r="K1631" t="str">
        <x:f>IF(B1631="","",IF(I1631="확인 필요","붙임 문서 확인 후 거래 성격·기간·상대방·일회성 여부 확인","결의서명과 전기 대비 발생 건수·단가·시점 차이 검토"))</x:f>
      </x:c>
    </x:row>
    <x:row r="1632">
      <x:c r="A1632" t="str">
        <x:f>IF(B1632="","",IF(COUNTIFS('전기원장'!$A$5:$A$1004,B1632,'전기원장'!$D$5:$D$1004,E1632)&gt;0,"전기","당기"))</x:f>
      </x:c>
      <x:c r="D1632" s="67"/>
      <x:c r="G1632" s="68"/>
      <x:c r="K1632" t="str">
        <x:f>IF(B1632="","",IF(I1632="확인 필요","붙임 문서 확인 후 거래 성격·기간·상대방·일회성 여부 확인","결의서명과 전기 대비 발생 건수·단가·시점 차이 검토"))</x:f>
      </x:c>
    </x:row>
    <x:row r="1633">
      <x:c r="A1633" t="str">
        <x:f>IF(B1633="","",IF(COUNTIFS('전기원장'!$A$5:$A$1004,B1633,'전기원장'!$D$5:$D$1004,E1633)&gt;0,"전기","당기"))</x:f>
      </x:c>
      <x:c r="D1633" s="67"/>
      <x:c r="G1633" s="68"/>
      <x:c r="K1633" t="str">
        <x:f>IF(B1633="","",IF(I1633="확인 필요","붙임 문서 확인 후 거래 성격·기간·상대방·일회성 여부 확인","결의서명과 전기 대비 발생 건수·단가·시점 차이 검토"))</x:f>
      </x:c>
    </x:row>
    <x:row r="1634">
      <x:c r="A1634" t="str">
        <x:f>IF(B1634="","",IF(COUNTIFS('전기원장'!$A$5:$A$1004,B1634,'전기원장'!$D$5:$D$1004,E1634)&gt;0,"전기","당기"))</x:f>
      </x:c>
      <x:c r="D1634" s="67"/>
      <x:c r="G1634" s="68"/>
      <x:c r="K1634" t="str">
        <x:f>IF(B1634="","",IF(I1634="확인 필요","붙임 문서 확인 후 거래 성격·기간·상대방·일회성 여부 확인","결의서명과 전기 대비 발생 건수·단가·시점 차이 검토"))</x:f>
      </x:c>
    </x:row>
    <x:row r="1635">
      <x:c r="A1635" t="str">
        <x:f>IF(B1635="","",IF(COUNTIFS('전기원장'!$A$5:$A$1004,B1635,'전기원장'!$D$5:$D$1004,E1635)&gt;0,"전기","당기"))</x:f>
      </x:c>
      <x:c r="D1635" s="67"/>
      <x:c r="G1635" s="68"/>
      <x:c r="K1635" t="str">
        <x:f>IF(B1635="","",IF(I1635="확인 필요","붙임 문서 확인 후 거래 성격·기간·상대방·일회성 여부 확인","결의서명과 전기 대비 발생 건수·단가·시점 차이 검토"))</x:f>
      </x:c>
    </x:row>
    <x:row r="1636">
      <x:c r="A1636" t="str">
        <x:f>IF(B1636="","",IF(COUNTIFS('전기원장'!$A$5:$A$1004,B1636,'전기원장'!$D$5:$D$1004,E1636)&gt;0,"전기","당기"))</x:f>
      </x:c>
      <x:c r="D1636" s="67"/>
      <x:c r="G1636" s="68"/>
      <x:c r="K1636" t="str">
        <x:f>IF(B1636="","",IF(I1636="확인 필요","붙임 문서 확인 후 거래 성격·기간·상대방·일회성 여부 확인","결의서명과 전기 대비 발생 건수·단가·시점 차이 검토"))</x:f>
      </x:c>
    </x:row>
    <x:row r="1637">
      <x:c r="A1637" t="str">
        <x:f>IF(B1637="","",IF(COUNTIFS('전기원장'!$A$5:$A$1004,B1637,'전기원장'!$D$5:$D$1004,E1637)&gt;0,"전기","당기"))</x:f>
      </x:c>
      <x:c r="D1637" s="67"/>
      <x:c r="G1637" s="68"/>
      <x:c r="K1637" t="str">
        <x:f>IF(B1637="","",IF(I1637="확인 필요","붙임 문서 확인 후 거래 성격·기간·상대방·일회성 여부 확인","결의서명과 전기 대비 발생 건수·단가·시점 차이 검토"))</x:f>
      </x:c>
    </x:row>
    <x:row r="1638">
      <x:c r="A1638" t="str">
        <x:f>IF(B1638="","",IF(COUNTIFS('전기원장'!$A$5:$A$1004,B1638,'전기원장'!$D$5:$D$1004,E1638)&gt;0,"전기","당기"))</x:f>
      </x:c>
      <x:c r="D1638" s="67"/>
      <x:c r="G1638" s="68"/>
      <x:c r="K1638" t="str">
        <x:f>IF(B1638="","",IF(I1638="확인 필요","붙임 문서 확인 후 거래 성격·기간·상대방·일회성 여부 확인","결의서명과 전기 대비 발생 건수·단가·시점 차이 검토"))</x:f>
      </x:c>
    </x:row>
    <x:row r="1639">
      <x:c r="A1639" t="str">
        <x:f>IF(B1639="","",IF(COUNTIFS('전기원장'!$A$5:$A$1004,B1639,'전기원장'!$D$5:$D$1004,E1639)&gt;0,"전기","당기"))</x:f>
      </x:c>
      <x:c r="D1639" s="67"/>
      <x:c r="G1639" s="68"/>
      <x:c r="K1639" t="str">
        <x:f>IF(B1639="","",IF(I1639="확인 필요","붙임 문서 확인 후 거래 성격·기간·상대방·일회성 여부 확인","결의서명과 전기 대비 발생 건수·단가·시점 차이 검토"))</x:f>
      </x:c>
    </x:row>
    <x:row r="1640">
      <x:c r="A1640" t="str">
        <x:f>IF(B1640="","",IF(COUNTIFS('전기원장'!$A$5:$A$1004,B1640,'전기원장'!$D$5:$D$1004,E1640)&gt;0,"전기","당기"))</x:f>
      </x:c>
      <x:c r="D1640" s="67"/>
      <x:c r="G1640" s="68"/>
      <x:c r="K1640" t="str">
        <x:f>IF(B1640="","",IF(I1640="확인 필요","붙임 문서 확인 후 거래 성격·기간·상대방·일회성 여부 확인","결의서명과 전기 대비 발생 건수·단가·시점 차이 검토"))</x:f>
      </x:c>
    </x:row>
    <x:row r="1641">
      <x:c r="A1641" t="str">
        <x:f>IF(B1641="","",IF(COUNTIFS('전기원장'!$A$5:$A$1004,B1641,'전기원장'!$D$5:$D$1004,E1641)&gt;0,"전기","당기"))</x:f>
      </x:c>
      <x:c r="D1641" s="67"/>
      <x:c r="G1641" s="68"/>
      <x:c r="K1641" t="str">
        <x:f>IF(B1641="","",IF(I1641="확인 필요","붙임 문서 확인 후 거래 성격·기간·상대방·일회성 여부 확인","결의서명과 전기 대비 발생 건수·단가·시점 차이 검토"))</x:f>
      </x:c>
    </x:row>
    <x:row r="1642">
      <x:c r="A1642" t="str">
        <x:f>IF(B1642="","",IF(COUNTIFS('전기원장'!$A$5:$A$1004,B1642,'전기원장'!$D$5:$D$1004,E1642)&gt;0,"전기","당기"))</x:f>
      </x:c>
      <x:c r="D1642" s="67"/>
      <x:c r="G1642" s="68"/>
      <x:c r="K1642" t="str">
        <x:f>IF(B1642="","",IF(I1642="확인 필요","붙임 문서 확인 후 거래 성격·기간·상대방·일회성 여부 확인","결의서명과 전기 대비 발생 건수·단가·시점 차이 검토"))</x:f>
      </x:c>
    </x:row>
    <x:row r="1643">
      <x:c r="A1643" t="str">
        <x:f>IF(B1643="","",IF(COUNTIFS('전기원장'!$A$5:$A$1004,B1643,'전기원장'!$D$5:$D$1004,E1643)&gt;0,"전기","당기"))</x:f>
      </x:c>
      <x:c r="D1643" s="67"/>
      <x:c r="G1643" s="68"/>
      <x:c r="K1643" t="str">
        <x:f>IF(B1643="","",IF(I1643="확인 필요","붙임 문서 확인 후 거래 성격·기간·상대방·일회성 여부 확인","결의서명과 전기 대비 발생 건수·단가·시점 차이 검토"))</x:f>
      </x:c>
    </x:row>
    <x:row r="1644">
      <x:c r="A1644" t="str">
        <x:f>IF(B1644="","",IF(COUNTIFS('전기원장'!$A$5:$A$1004,B1644,'전기원장'!$D$5:$D$1004,E1644)&gt;0,"전기","당기"))</x:f>
      </x:c>
      <x:c r="D1644" s="67"/>
      <x:c r="G1644" s="68"/>
      <x:c r="K1644" t="str">
        <x:f>IF(B1644="","",IF(I1644="확인 필요","붙임 문서 확인 후 거래 성격·기간·상대방·일회성 여부 확인","결의서명과 전기 대비 발생 건수·단가·시점 차이 검토"))</x:f>
      </x:c>
    </x:row>
    <x:row r="1645">
      <x:c r="A1645" t="str">
        <x:f>IF(B1645="","",IF(COUNTIFS('전기원장'!$A$5:$A$1004,B1645,'전기원장'!$D$5:$D$1004,E1645)&gt;0,"전기","당기"))</x:f>
      </x:c>
      <x:c r="D1645" s="67"/>
      <x:c r="G1645" s="68"/>
      <x:c r="K1645" t="str">
        <x:f>IF(B1645="","",IF(I1645="확인 필요","붙임 문서 확인 후 거래 성격·기간·상대방·일회성 여부 확인","결의서명과 전기 대비 발생 건수·단가·시점 차이 검토"))</x:f>
      </x:c>
    </x:row>
    <x:row r="1646">
      <x:c r="A1646" t="str">
        <x:f>IF(B1646="","",IF(COUNTIFS('전기원장'!$A$5:$A$1004,B1646,'전기원장'!$D$5:$D$1004,E1646)&gt;0,"전기","당기"))</x:f>
      </x:c>
      <x:c r="D1646" s="67"/>
      <x:c r="G1646" s="68"/>
      <x:c r="K1646" t="str">
        <x:f>IF(B1646="","",IF(I1646="확인 필요","붙임 문서 확인 후 거래 성격·기간·상대방·일회성 여부 확인","결의서명과 전기 대비 발생 건수·단가·시점 차이 검토"))</x:f>
      </x:c>
    </x:row>
    <x:row r="1647">
      <x:c r="A1647" t="str">
        <x:f>IF(B1647="","",IF(COUNTIFS('전기원장'!$A$5:$A$1004,B1647,'전기원장'!$D$5:$D$1004,E1647)&gt;0,"전기","당기"))</x:f>
      </x:c>
      <x:c r="D1647" s="67"/>
      <x:c r="G1647" s="68"/>
      <x:c r="K1647" t="str">
        <x:f>IF(B1647="","",IF(I1647="확인 필요","붙임 문서 확인 후 거래 성격·기간·상대방·일회성 여부 확인","결의서명과 전기 대비 발생 건수·단가·시점 차이 검토"))</x:f>
      </x:c>
    </x:row>
    <x:row r="1648">
      <x:c r="A1648" t="str">
        <x:f>IF(B1648="","",IF(COUNTIFS('전기원장'!$A$5:$A$1004,B1648,'전기원장'!$D$5:$D$1004,E1648)&gt;0,"전기","당기"))</x:f>
      </x:c>
      <x:c r="D1648" s="67"/>
      <x:c r="G1648" s="68"/>
      <x:c r="K1648" t="str">
        <x:f>IF(B1648="","",IF(I1648="확인 필요","붙임 문서 확인 후 거래 성격·기간·상대방·일회성 여부 확인","결의서명과 전기 대비 발생 건수·단가·시점 차이 검토"))</x:f>
      </x:c>
    </x:row>
    <x:row r="1649">
      <x:c r="A1649" t="str">
        <x:f>IF(B1649="","",IF(COUNTIFS('전기원장'!$A$5:$A$1004,B1649,'전기원장'!$D$5:$D$1004,E1649)&gt;0,"전기","당기"))</x:f>
      </x:c>
      <x:c r="D1649" s="67"/>
      <x:c r="G1649" s="68"/>
      <x:c r="K1649" t="str">
        <x:f>IF(B1649="","",IF(I1649="확인 필요","붙임 문서 확인 후 거래 성격·기간·상대방·일회성 여부 확인","결의서명과 전기 대비 발생 건수·단가·시점 차이 검토"))</x:f>
      </x:c>
    </x:row>
    <x:row r="1650">
      <x:c r="A1650" t="str">
        <x:f>IF(B1650="","",IF(COUNTIFS('전기원장'!$A$5:$A$1004,B1650,'전기원장'!$D$5:$D$1004,E1650)&gt;0,"전기","당기"))</x:f>
      </x:c>
      <x:c r="D1650" s="67"/>
      <x:c r="G1650" s="68"/>
      <x:c r="K1650" t="str">
        <x:f>IF(B1650="","",IF(I1650="확인 필요","붙임 문서 확인 후 거래 성격·기간·상대방·일회성 여부 확인","결의서명과 전기 대비 발생 건수·단가·시점 차이 검토"))</x:f>
      </x:c>
    </x:row>
    <x:row r="1651">
      <x:c r="A1651" t="str">
        <x:f>IF(B1651="","",IF(COUNTIFS('전기원장'!$A$5:$A$1004,B1651,'전기원장'!$D$5:$D$1004,E1651)&gt;0,"전기","당기"))</x:f>
      </x:c>
      <x:c r="D1651" s="67"/>
      <x:c r="G1651" s="68"/>
      <x:c r="K1651" t="str">
        <x:f>IF(B1651="","",IF(I1651="확인 필요","붙임 문서 확인 후 거래 성격·기간·상대방·일회성 여부 확인","결의서명과 전기 대비 발생 건수·단가·시점 차이 검토"))</x:f>
      </x:c>
    </x:row>
    <x:row r="1652">
      <x:c r="A1652" t="str">
        <x:f>IF(B1652="","",IF(COUNTIFS('전기원장'!$A$5:$A$1004,B1652,'전기원장'!$D$5:$D$1004,E1652)&gt;0,"전기","당기"))</x:f>
      </x:c>
      <x:c r="D1652" s="67"/>
      <x:c r="G1652" s="68"/>
      <x:c r="K1652" t="str">
        <x:f>IF(B1652="","",IF(I1652="확인 필요","붙임 문서 확인 후 거래 성격·기간·상대방·일회성 여부 확인","결의서명과 전기 대비 발생 건수·단가·시점 차이 검토"))</x:f>
      </x:c>
    </x:row>
    <x:row r="1653">
      <x:c r="A1653" t="str">
        <x:f>IF(B1653="","",IF(COUNTIFS('전기원장'!$A$5:$A$1004,B1653,'전기원장'!$D$5:$D$1004,E1653)&gt;0,"전기","당기"))</x:f>
      </x:c>
      <x:c r="D1653" s="67"/>
      <x:c r="G1653" s="68"/>
      <x:c r="K1653" t="str">
        <x:f>IF(B1653="","",IF(I1653="확인 필요","붙임 문서 확인 후 거래 성격·기간·상대방·일회성 여부 확인","결의서명과 전기 대비 발생 건수·단가·시점 차이 검토"))</x:f>
      </x:c>
    </x:row>
    <x:row r="1654">
      <x:c r="A1654" t="str">
        <x:f>IF(B1654="","",IF(COUNTIFS('전기원장'!$A$5:$A$1004,B1654,'전기원장'!$D$5:$D$1004,E1654)&gt;0,"전기","당기"))</x:f>
      </x:c>
      <x:c r="D1654" s="67"/>
      <x:c r="G1654" s="68"/>
      <x:c r="K1654" t="str">
        <x:f>IF(B1654="","",IF(I1654="확인 필요","붙임 문서 확인 후 거래 성격·기간·상대방·일회성 여부 확인","결의서명과 전기 대비 발생 건수·단가·시점 차이 검토"))</x:f>
      </x:c>
    </x:row>
    <x:row r="1655">
      <x:c r="A1655" t="str">
        <x:f>IF(B1655="","",IF(COUNTIFS('전기원장'!$A$5:$A$1004,B1655,'전기원장'!$D$5:$D$1004,E1655)&gt;0,"전기","당기"))</x:f>
      </x:c>
      <x:c r="D1655" s="67"/>
      <x:c r="G1655" s="68"/>
      <x:c r="K1655" t="str">
        <x:f>IF(B1655="","",IF(I1655="확인 필요","붙임 문서 확인 후 거래 성격·기간·상대방·일회성 여부 확인","결의서명과 전기 대비 발생 건수·단가·시점 차이 검토"))</x:f>
      </x:c>
    </x:row>
    <x:row r="1656">
      <x:c r="A1656" t="str">
        <x:f>IF(B1656="","",IF(COUNTIFS('전기원장'!$A$5:$A$1004,B1656,'전기원장'!$D$5:$D$1004,E1656)&gt;0,"전기","당기"))</x:f>
      </x:c>
      <x:c r="D1656" s="67"/>
      <x:c r="G1656" s="68"/>
      <x:c r="K1656" t="str">
        <x:f>IF(B1656="","",IF(I1656="확인 필요","붙임 문서 확인 후 거래 성격·기간·상대방·일회성 여부 확인","결의서명과 전기 대비 발생 건수·단가·시점 차이 검토"))</x:f>
      </x:c>
    </x:row>
    <x:row r="1657">
      <x:c r="A1657" t="str">
        <x:f>IF(B1657="","",IF(COUNTIFS('전기원장'!$A$5:$A$1004,B1657,'전기원장'!$D$5:$D$1004,E1657)&gt;0,"전기","당기"))</x:f>
      </x:c>
      <x:c r="D1657" s="67"/>
      <x:c r="G1657" s="68"/>
      <x:c r="K1657" t="str">
        <x:f>IF(B1657="","",IF(I1657="확인 필요","붙임 문서 확인 후 거래 성격·기간·상대방·일회성 여부 확인","결의서명과 전기 대비 발생 건수·단가·시점 차이 검토"))</x:f>
      </x:c>
    </x:row>
    <x:row r="1658">
      <x:c r="A1658" t="str">
        <x:f>IF(B1658="","",IF(COUNTIFS('전기원장'!$A$5:$A$1004,B1658,'전기원장'!$D$5:$D$1004,E1658)&gt;0,"전기","당기"))</x:f>
      </x:c>
      <x:c r="D1658" s="67"/>
      <x:c r="G1658" s="68"/>
      <x:c r="K1658" t="str">
        <x:f>IF(B1658="","",IF(I1658="확인 필요","붙임 문서 확인 후 거래 성격·기간·상대방·일회성 여부 확인","결의서명과 전기 대비 발생 건수·단가·시점 차이 검토"))</x:f>
      </x:c>
    </x:row>
    <x:row r="1659">
      <x:c r="A1659" t="str">
        <x:f>IF(B1659="","",IF(COUNTIFS('전기원장'!$A$5:$A$1004,B1659,'전기원장'!$D$5:$D$1004,E1659)&gt;0,"전기","당기"))</x:f>
      </x:c>
      <x:c r="D1659" s="67"/>
      <x:c r="G1659" s="68"/>
      <x:c r="K1659" t="str">
        <x:f>IF(B1659="","",IF(I1659="확인 필요","붙임 문서 확인 후 거래 성격·기간·상대방·일회성 여부 확인","결의서명과 전기 대비 발생 건수·단가·시점 차이 검토"))</x:f>
      </x:c>
    </x:row>
    <x:row r="1660">
      <x:c r="A1660" t="str">
        <x:f>IF(B1660="","",IF(COUNTIFS('전기원장'!$A$5:$A$1004,B1660,'전기원장'!$D$5:$D$1004,E1660)&gt;0,"전기","당기"))</x:f>
      </x:c>
      <x:c r="D1660" s="67"/>
      <x:c r="G1660" s="68"/>
      <x:c r="K1660" t="str">
        <x:f>IF(B1660="","",IF(I1660="확인 필요","붙임 문서 확인 후 거래 성격·기간·상대방·일회성 여부 확인","결의서명과 전기 대비 발생 건수·단가·시점 차이 검토"))</x:f>
      </x:c>
    </x:row>
    <x:row r="1661">
      <x:c r="A1661" t="str">
        <x:f>IF(B1661="","",IF(COUNTIFS('전기원장'!$A$5:$A$1004,B1661,'전기원장'!$D$5:$D$1004,E1661)&gt;0,"전기","당기"))</x:f>
      </x:c>
      <x:c r="D1661" s="67"/>
      <x:c r="G1661" s="68"/>
      <x:c r="K1661" t="str">
        <x:f>IF(B1661="","",IF(I1661="확인 필요","붙임 문서 확인 후 거래 성격·기간·상대방·일회성 여부 확인","결의서명과 전기 대비 발생 건수·단가·시점 차이 검토"))</x:f>
      </x:c>
    </x:row>
    <x:row r="1662">
      <x:c r="A1662" t="str">
        <x:f>IF(B1662="","",IF(COUNTIFS('전기원장'!$A$5:$A$1004,B1662,'전기원장'!$D$5:$D$1004,E1662)&gt;0,"전기","당기"))</x:f>
      </x:c>
      <x:c r="D1662" s="67"/>
      <x:c r="G1662" s="68"/>
      <x:c r="K1662" t="str">
        <x:f>IF(B1662="","",IF(I1662="확인 필요","붙임 문서 확인 후 거래 성격·기간·상대방·일회성 여부 확인","결의서명과 전기 대비 발생 건수·단가·시점 차이 검토"))</x:f>
      </x:c>
    </x:row>
    <x:row r="1663">
      <x:c r="A1663" t="str">
        <x:f>IF(B1663="","",IF(COUNTIFS('전기원장'!$A$5:$A$1004,B1663,'전기원장'!$D$5:$D$1004,E1663)&gt;0,"전기","당기"))</x:f>
      </x:c>
      <x:c r="D1663" s="67"/>
      <x:c r="G1663" s="68"/>
      <x:c r="K1663" t="str">
        <x:f>IF(B1663="","",IF(I1663="확인 필요","붙임 문서 확인 후 거래 성격·기간·상대방·일회성 여부 확인","결의서명과 전기 대비 발생 건수·단가·시점 차이 검토"))</x:f>
      </x:c>
    </x:row>
    <x:row r="1664">
      <x:c r="A1664" t="str">
        <x:f>IF(B1664="","",IF(COUNTIFS('전기원장'!$A$5:$A$1004,B1664,'전기원장'!$D$5:$D$1004,E1664)&gt;0,"전기","당기"))</x:f>
      </x:c>
      <x:c r="D1664" s="67"/>
      <x:c r="G1664" s="68"/>
      <x:c r="K1664" t="str">
        <x:f>IF(B1664="","",IF(I1664="확인 필요","붙임 문서 확인 후 거래 성격·기간·상대방·일회성 여부 확인","결의서명과 전기 대비 발생 건수·단가·시점 차이 검토"))</x:f>
      </x:c>
    </x:row>
    <x:row r="1665">
      <x:c r="A1665" t="str">
        <x:f>IF(B1665="","",IF(COUNTIFS('전기원장'!$A$5:$A$1004,B1665,'전기원장'!$D$5:$D$1004,E1665)&gt;0,"전기","당기"))</x:f>
      </x:c>
      <x:c r="D1665" s="67"/>
      <x:c r="G1665" s="68"/>
      <x:c r="K1665" t="str">
        <x:f>IF(B1665="","",IF(I1665="확인 필요","붙임 문서 확인 후 거래 성격·기간·상대방·일회성 여부 확인","결의서명과 전기 대비 발생 건수·단가·시점 차이 검토"))</x:f>
      </x:c>
    </x:row>
    <x:row r="1666">
      <x:c r="A1666" t="str">
        <x:f>IF(B1666="","",IF(COUNTIFS('전기원장'!$A$5:$A$1004,B1666,'전기원장'!$D$5:$D$1004,E1666)&gt;0,"전기","당기"))</x:f>
      </x:c>
      <x:c r="D1666" s="67"/>
      <x:c r="G1666" s="68"/>
      <x:c r="K1666" t="str">
        <x:f>IF(B1666="","",IF(I1666="확인 필요","붙임 문서 확인 후 거래 성격·기간·상대방·일회성 여부 확인","결의서명과 전기 대비 발생 건수·단가·시점 차이 검토"))</x:f>
      </x:c>
    </x:row>
    <x:row r="1667">
      <x:c r="A1667" t="str">
        <x:f>IF(B1667="","",IF(COUNTIFS('전기원장'!$A$5:$A$1004,B1667,'전기원장'!$D$5:$D$1004,E1667)&gt;0,"전기","당기"))</x:f>
      </x:c>
      <x:c r="D1667" s="67"/>
      <x:c r="G1667" s="68"/>
      <x:c r="K1667" t="str">
        <x:f>IF(B1667="","",IF(I1667="확인 필요","붙임 문서 확인 후 거래 성격·기간·상대방·일회성 여부 확인","결의서명과 전기 대비 발생 건수·단가·시점 차이 검토"))</x:f>
      </x:c>
    </x:row>
    <x:row r="1668">
      <x:c r="A1668" t="str">
        <x:f>IF(B1668="","",IF(COUNTIFS('전기원장'!$A$5:$A$1004,B1668,'전기원장'!$D$5:$D$1004,E1668)&gt;0,"전기","당기"))</x:f>
      </x:c>
      <x:c r="D1668" s="67"/>
      <x:c r="G1668" s="68"/>
      <x:c r="K1668" t="str">
        <x:f>IF(B1668="","",IF(I1668="확인 필요","붙임 문서 확인 후 거래 성격·기간·상대방·일회성 여부 확인","결의서명과 전기 대비 발생 건수·단가·시점 차이 검토"))</x:f>
      </x:c>
    </x:row>
    <x:row r="1669">
      <x:c r="A1669" t="str">
        <x:f>IF(B1669="","",IF(COUNTIFS('전기원장'!$A$5:$A$1004,B1669,'전기원장'!$D$5:$D$1004,E1669)&gt;0,"전기","당기"))</x:f>
      </x:c>
      <x:c r="D1669" s="67"/>
      <x:c r="G1669" s="68"/>
      <x:c r="K1669" t="str">
        <x:f>IF(B1669="","",IF(I1669="확인 필요","붙임 문서 확인 후 거래 성격·기간·상대방·일회성 여부 확인","결의서명과 전기 대비 발생 건수·단가·시점 차이 검토"))</x:f>
      </x:c>
    </x:row>
    <x:row r="1670">
      <x:c r="A1670" t="str">
        <x:f>IF(B1670="","",IF(COUNTIFS('전기원장'!$A$5:$A$1004,B1670,'전기원장'!$D$5:$D$1004,E1670)&gt;0,"전기","당기"))</x:f>
      </x:c>
      <x:c r="D1670" s="67"/>
      <x:c r="G1670" s="68"/>
      <x:c r="K1670" t="str">
        <x:f>IF(B1670="","",IF(I1670="확인 필요","붙임 문서 확인 후 거래 성격·기간·상대방·일회성 여부 확인","결의서명과 전기 대비 발생 건수·단가·시점 차이 검토"))</x:f>
      </x:c>
    </x:row>
    <x:row r="1671">
      <x:c r="A1671" t="str">
        <x:f>IF(B1671="","",IF(COUNTIFS('전기원장'!$A$5:$A$1004,B1671,'전기원장'!$D$5:$D$1004,E1671)&gt;0,"전기","당기"))</x:f>
      </x:c>
      <x:c r="D1671" s="67"/>
      <x:c r="G1671" s="68"/>
      <x:c r="K1671" t="str">
        <x:f>IF(B1671="","",IF(I1671="확인 필요","붙임 문서 확인 후 거래 성격·기간·상대방·일회성 여부 확인","결의서명과 전기 대비 발생 건수·단가·시점 차이 검토"))</x:f>
      </x:c>
    </x:row>
    <x:row r="1672">
      <x:c r="A1672" t="str">
        <x:f>IF(B1672="","",IF(COUNTIFS('전기원장'!$A$5:$A$1004,B1672,'전기원장'!$D$5:$D$1004,E1672)&gt;0,"전기","당기"))</x:f>
      </x:c>
      <x:c r="D1672" s="67"/>
      <x:c r="G1672" s="68"/>
      <x:c r="K1672" t="str">
        <x:f>IF(B1672="","",IF(I1672="확인 필요","붙임 문서 확인 후 거래 성격·기간·상대방·일회성 여부 확인","결의서명과 전기 대비 발생 건수·단가·시점 차이 검토"))</x:f>
      </x:c>
    </x:row>
    <x:row r="1673">
      <x:c r="A1673" t="str">
        <x:f>IF(B1673="","",IF(COUNTIFS('전기원장'!$A$5:$A$1004,B1673,'전기원장'!$D$5:$D$1004,E1673)&gt;0,"전기","당기"))</x:f>
      </x:c>
      <x:c r="D1673" s="67"/>
      <x:c r="G1673" s="68"/>
      <x:c r="K1673" t="str">
        <x:f>IF(B1673="","",IF(I1673="확인 필요","붙임 문서 확인 후 거래 성격·기간·상대방·일회성 여부 확인","결의서명과 전기 대비 발생 건수·단가·시점 차이 검토"))</x:f>
      </x:c>
    </x:row>
    <x:row r="1674">
      <x:c r="A1674" t="str">
        <x:f>IF(B1674="","",IF(COUNTIFS('전기원장'!$A$5:$A$1004,B1674,'전기원장'!$D$5:$D$1004,E1674)&gt;0,"전기","당기"))</x:f>
      </x:c>
      <x:c r="D1674" s="67"/>
      <x:c r="G1674" s="68"/>
      <x:c r="K1674" t="str">
        <x:f>IF(B1674="","",IF(I1674="확인 필요","붙임 문서 확인 후 거래 성격·기간·상대방·일회성 여부 확인","결의서명과 전기 대비 발생 건수·단가·시점 차이 검토"))</x:f>
      </x:c>
    </x:row>
    <x:row r="1675">
      <x:c r="A1675" t="str">
        <x:f>IF(B1675="","",IF(COUNTIFS('전기원장'!$A$5:$A$1004,B1675,'전기원장'!$D$5:$D$1004,E1675)&gt;0,"전기","당기"))</x:f>
      </x:c>
      <x:c r="D1675" s="67"/>
      <x:c r="G1675" s="68"/>
      <x:c r="K1675" t="str">
        <x:f>IF(B1675="","",IF(I1675="확인 필요","붙임 문서 확인 후 거래 성격·기간·상대방·일회성 여부 확인","결의서명과 전기 대비 발생 건수·단가·시점 차이 검토"))</x:f>
      </x:c>
    </x:row>
    <x:row r="1676">
      <x:c r="A1676" t="str">
        <x:f>IF(B1676="","",IF(COUNTIFS('전기원장'!$A$5:$A$1004,B1676,'전기원장'!$D$5:$D$1004,E1676)&gt;0,"전기","당기"))</x:f>
      </x:c>
      <x:c r="D1676" s="67"/>
      <x:c r="G1676" s="68"/>
      <x:c r="K1676" t="str">
        <x:f>IF(B1676="","",IF(I1676="확인 필요","붙임 문서 확인 후 거래 성격·기간·상대방·일회성 여부 확인","결의서명과 전기 대비 발생 건수·단가·시점 차이 검토"))</x:f>
      </x:c>
    </x:row>
    <x:row r="1677">
      <x:c r="A1677" t="str">
        <x:f>IF(B1677="","",IF(COUNTIFS('전기원장'!$A$5:$A$1004,B1677,'전기원장'!$D$5:$D$1004,E1677)&gt;0,"전기","당기"))</x:f>
      </x:c>
      <x:c r="D1677" s="67"/>
      <x:c r="G1677" s="68"/>
      <x:c r="K1677" t="str">
        <x:f>IF(B1677="","",IF(I1677="확인 필요","붙임 문서 확인 후 거래 성격·기간·상대방·일회성 여부 확인","결의서명과 전기 대비 발생 건수·단가·시점 차이 검토"))</x:f>
      </x:c>
    </x:row>
    <x:row r="1678">
      <x:c r="A1678" t="str">
        <x:f>IF(B1678="","",IF(COUNTIFS('전기원장'!$A$5:$A$1004,B1678,'전기원장'!$D$5:$D$1004,E1678)&gt;0,"전기","당기"))</x:f>
      </x:c>
      <x:c r="D1678" s="67"/>
      <x:c r="G1678" s="68"/>
      <x:c r="K1678" t="str">
        <x:f>IF(B1678="","",IF(I1678="확인 필요","붙임 문서 확인 후 거래 성격·기간·상대방·일회성 여부 확인","결의서명과 전기 대비 발생 건수·단가·시점 차이 검토"))</x:f>
      </x:c>
    </x:row>
    <x:row r="1679">
      <x:c r="A1679" t="str">
        <x:f>IF(B1679="","",IF(COUNTIFS('전기원장'!$A$5:$A$1004,B1679,'전기원장'!$D$5:$D$1004,E1679)&gt;0,"전기","당기"))</x:f>
      </x:c>
      <x:c r="D1679" s="67"/>
      <x:c r="G1679" s="68"/>
      <x:c r="K1679" t="str">
        <x:f>IF(B1679="","",IF(I1679="확인 필요","붙임 문서 확인 후 거래 성격·기간·상대방·일회성 여부 확인","결의서명과 전기 대비 발생 건수·단가·시점 차이 검토"))</x:f>
      </x:c>
    </x:row>
    <x:row r="1680">
      <x:c r="A1680" t="str">
        <x:f>IF(B1680="","",IF(COUNTIFS('전기원장'!$A$5:$A$1004,B1680,'전기원장'!$D$5:$D$1004,E1680)&gt;0,"전기","당기"))</x:f>
      </x:c>
      <x:c r="D1680" s="67"/>
      <x:c r="G1680" s="68"/>
      <x:c r="K1680" t="str">
        <x:f>IF(B1680="","",IF(I1680="확인 필요","붙임 문서 확인 후 거래 성격·기간·상대방·일회성 여부 확인","결의서명과 전기 대비 발생 건수·단가·시점 차이 검토"))</x:f>
      </x:c>
    </x:row>
    <x:row r="1681">
      <x:c r="A1681" t="str">
        <x:f>IF(B1681="","",IF(COUNTIFS('전기원장'!$A$5:$A$1004,B1681,'전기원장'!$D$5:$D$1004,E1681)&gt;0,"전기","당기"))</x:f>
      </x:c>
      <x:c r="D1681" s="67"/>
      <x:c r="G1681" s="68"/>
      <x:c r="K1681" t="str">
        <x:f>IF(B1681="","",IF(I1681="확인 필요","붙임 문서 확인 후 거래 성격·기간·상대방·일회성 여부 확인","결의서명과 전기 대비 발생 건수·단가·시점 차이 검토"))</x:f>
      </x:c>
    </x:row>
    <x:row r="1682">
      <x:c r="A1682" t="str">
        <x:f>IF(B1682="","",IF(COUNTIFS('전기원장'!$A$5:$A$1004,B1682,'전기원장'!$D$5:$D$1004,E1682)&gt;0,"전기","당기"))</x:f>
      </x:c>
      <x:c r="D1682" s="67"/>
      <x:c r="G1682" s="68"/>
      <x:c r="K1682" t="str">
        <x:f>IF(B1682="","",IF(I1682="확인 필요","붙임 문서 확인 후 거래 성격·기간·상대방·일회성 여부 확인","결의서명과 전기 대비 발생 건수·단가·시점 차이 검토"))</x:f>
      </x:c>
    </x:row>
    <x:row r="1683">
      <x:c r="A1683" t="str">
        <x:f>IF(B1683="","",IF(COUNTIFS('전기원장'!$A$5:$A$1004,B1683,'전기원장'!$D$5:$D$1004,E1683)&gt;0,"전기","당기"))</x:f>
      </x:c>
      <x:c r="D1683" s="67"/>
      <x:c r="G1683" s="68"/>
      <x:c r="K1683" t="str">
        <x:f>IF(B1683="","",IF(I1683="확인 필요","붙임 문서 확인 후 거래 성격·기간·상대방·일회성 여부 확인","결의서명과 전기 대비 발생 건수·단가·시점 차이 검토"))</x:f>
      </x:c>
    </x:row>
    <x:row r="1684">
      <x:c r="A1684" t="str">
        <x:f>IF(B1684="","",IF(COUNTIFS('전기원장'!$A$5:$A$1004,B1684,'전기원장'!$D$5:$D$1004,E1684)&gt;0,"전기","당기"))</x:f>
      </x:c>
      <x:c r="D1684" s="67"/>
      <x:c r="G1684" s="68"/>
      <x:c r="K1684" t="str">
        <x:f>IF(B1684="","",IF(I1684="확인 필요","붙임 문서 확인 후 거래 성격·기간·상대방·일회성 여부 확인","결의서명과 전기 대비 발생 건수·단가·시점 차이 검토"))</x:f>
      </x:c>
    </x:row>
    <x:row r="1685">
      <x:c r="A1685" t="str">
        <x:f>IF(B1685="","",IF(COUNTIFS('전기원장'!$A$5:$A$1004,B1685,'전기원장'!$D$5:$D$1004,E1685)&gt;0,"전기","당기"))</x:f>
      </x:c>
      <x:c r="D1685" s="67"/>
      <x:c r="G1685" s="68"/>
      <x:c r="K1685" t="str">
        <x:f>IF(B1685="","",IF(I1685="확인 필요","붙임 문서 확인 후 거래 성격·기간·상대방·일회성 여부 확인","결의서명과 전기 대비 발생 건수·단가·시점 차이 검토"))</x:f>
      </x:c>
    </x:row>
    <x:row r="1686">
      <x:c r="A1686" t="str">
        <x:f>IF(B1686="","",IF(COUNTIFS('전기원장'!$A$5:$A$1004,B1686,'전기원장'!$D$5:$D$1004,E1686)&gt;0,"전기","당기"))</x:f>
      </x:c>
      <x:c r="D1686" s="67"/>
      <x:c r="G1686" s="68"/>
      <x:c r="K1686" t="str">
        <x:f>IF(B1686="","",IF(I1686="확인 필요","붙임 문서 확인 후 거래 성격·기간·상대방·일회성 여부 확인","결의서명과 전기 대비 발생 건수·단가·시점 차이 검토"))</x:f>
      </x:c>
    </x:row>
    <x:row r="1687">
      <x:c r="A1687" t="str">
        <x:f>IF(B1687="","",IF(COUNTIFS('전기원장'!$A$5:$A$1004,B1687,'전기원장'!$D$5:$D$1004,E1687)&gt;0,"전기","당기"))</x:f>
      </x:c>
      <x:c r="D1687" s="67"/>
      <x:c r="G1687" s="68"/>
      <x:c r="K1687" t="str">
        <x:f>IF(B1687="","",IF(I1687="확인 필요","붙임 문서 확인 후 거래 성격·기간·상대방·일회성 여부 확인","결의서명과 전기 대비 발생 건수·단가·시점 차이 검토"))</x:f>
      </x:c>
    </x:row>
    <x:row r="1688">
      <x:c r="A1688" t="str">
        <x:f>IF(B1688="","",IF(COUNTIFS('전기원장'!$A$5:$A$1004,B1688,'전기원장'!$D$5:$D$1004,E1688)&gt;0,"전기","당기"))</x:f>
      </x:c>
      <x:c r="D1688" s="67"/>
      <x:c r="G1688" s="68"/>
      <x:c r="K1688" t="str">
        <x:f>IF(B1688="","",IF(I1688="확인 필요","붙임 문서 확인 후 거래 성격·기간·상대방·일회성 여부 확인","결의서명과 전기 대비 발생 건수·단가·시점 차이 검토"))</x:f>
      </x:c>
    </x:row>
    <x:row r="1689">
      <x:c r="A1689" t="str">
        <x:f>IF(B1689="","",IF(COUNTIFS('전기원장'!$A$5:$A$1004,B1689,'전기원장'!$D$5:$D$1004,E1689)&gt;0,"전기","당기"))</x:f>
      </x:c>
      <x:c r="D1689" s="67"/>
      <x:c r="G1689" s="68"/>
      <x:c r="K1689" t="str">
        <x:f>IF(B1689="","",IF(I1689="확인 필요","붙임 문서 확인 후 거래 성격·기간·상대방·일회성 여부 확인","결의서명과 전기 대비 발생 건수·단가·시점 차이 검토"))</x:f>
      </x:c>
    </x:row>
    <x:row r="1690">
      <x:c r="A1690" t="str">
        <x:f>IF(B1690="","",IF(COUNTIFS('전기원장'!$A$5:$A$1004,B1690,'전기원장'!$D$5:$D$1004,E1690)&gt;0,"전기","당기"))</x:f>
      </x:c>
      <x:c r="D1690" s="67"/>
      <x:c r="G1690" s="68"/>
      <x:c r="K1690" t="str">
        <x:f>IF(B1690="","",IF(I1690="확인 필요","붙임 문서 확인 후 거래 성격·기간·상대방·일회성 여부 확인","결의서명과 전기 대비 발생 건수·단가·시점 차이 검토"))</x:f>
      </x:c>
    </x:row>
    <x:row r="1691">
      <x:c r="A1691" t="str">
        <x:f>IF(B1691="","",IF(COUNTIFS('전기원장'!$A$5:$A$1004,B1691,'전기원장'!$D$5:$D$1004,E1691)&gt;0,"전기","당기"))</x:f>
      </x:c>
      <x:c r="D1691" s="67"/>
      <x:c r="G1691" s="68"/>
      <x:c r="K1691" t="str">
        <x:f>IF(B1691="","",IF(I1691="확인 필요","붙임 문서 확인 후 거래 성격·기간·상대방·일회성 여부 확인","결의서명과 전기 대비 발생 건수·단가·시점 차이 검토"))</x:f>
      </x:c>
    </x:row>
    <x:row r="1692">
      <x:c r="A1692" t="str">
        <x:f>IF(B1692="","",IF(COUNTIFS('전기원장'!$A$5:$A$1004,B1692,'전기원장'!$D$5:$D$1004,E1692)&gt;0,"전기","당기"))</x:f>
      </x:c>
      <x:c r="D1692" s="67"/>
      <x:c r="G1692" s="68"/>
      <x:c r="K1692" t="str">
        <x:f>IF(B1692="","",IF(I1692="확인 필요","붙임 문서 확인 후 거래 성격·기간·상대방·일회성 여부 확인","결의서명과 전기 대비 발생 건수·단가·시점 차이 검토"))</x:f>
      </x:c>
    </x:row>
    <x:row r="1693">
      <x:c r="A1693" t="str">
        <x:f>IF(B1693="","",IF(COUNTIFS('전기원장'!$A$5:$A$1004,B1693,'전기원장'!$D$5:$D$1004,E1693)&gt;0,"전기","당기"))</x:f>
      </x:c>
      <x:c r="D1693" s="67"/>
      <x:c r="G1693" s="68"/>
      <x:c r="K1693" t="str">
        <x:f>IF(B1693="","",IF(I1693="확인 필요","붙임 문서 확인 후 거래 성격·기간·상대방·일회성 여부 확인","결의서명과 전기 대비 발생 건수·단가·시점 차이 검토"))</x:f>
      </x:c>
    </x:row>
    <x:row r="1694">
      <x:c r="A1694" t="str">
        <x:f>IF(B1694="","",IF(COUNTIFS('전기원장'!$A$5:$A$1004,B1694,'전기원장'!$D$5:$D$1004,E1694)&gt;0,"전기","당기"))</x:f>
      </x:c>
      <x:c r="D1694" s="67"/>
      <x:c r="G1694" s="68"/>
      <x:c r="K1694" t="str">
        <x:f>IF(B1694="","",IF(I1694="확인 필요","붙임 문서 확인 후 거래 성격·기간·상대방·일회성 여부 확인","결의서명과 전기 대비 발생 건수·단가·시점 차이 검토"))</x:f>
      </x:c>
    </x:row>
    <x:row r="1695">
      <x:c r="A1695" t="str">
        <x:f>IF(B1695="","",IF(COUNTIFS('전기원장'!$A$5:$A$1004,B1695,'전기원장'!$D$5:$D$1004,E1695)&gt;0,"전기","당기"))</x:f>
      </x:c>
      <x:c r="D1695" s="67"/>
      <x:c r="G1695" s="68"/>
      <x:c r="K1695" t="str">
        <x:f>IF(B1695="","",IF(I1695="확인 필요","붙임 문서 확인 후 거래 성격·기간·상대방·일회성 여부 확인","결의서명과 전기 대비 발생 건수·단가·시점 차이 검토"))</x:f>
      </x:c>
    </x:row>
    <x:row r="1696">
      <x:c r="A1696" t="str">
        <x:f>IF(B1696="","",IF(COUNTIFS('전기원장'!$A$5:$A$1004,B1696,'전기원장'!$D$5:$D$1004,E1696)&gt;0,"전기","당기"))</x:f>
      </x:c>
      <x:c r="D1696" s="67"/>
      <x:c r="G1696" s="68"/>
      <x:c r="K1696" t="str">
        <x:f>IF(B1696="","",IF(I1696="확인 필요","붙임 문서 확인 후 거래 성격·기간·상대방·일회성 여부 확인","결의서명과 전기 대비 발생 건수·단가·시점 차이 검토"))</x:f>
      </x:c>
    </x:row>
    <x:row r="1697">
      <x:c r="A1697" t="str">
        <x:f>IF(B1697="","",IF(COUNTIFS('전기원장'!$A$5:$A$1004,B1697,'전기원장'!$D$5:$D$1004,E1697)&gt;0,"전기","당기"))</x:f>
      </x:c>
      <x:c r="D1697" s="67"/>
      <x:c r="G1697" s="68"/>
      <x:c r="K1697" t="str">
        <x:f>IF(B1697="","",IF(I1697="확인 필요","붙임 문서 확인 후 거래 성격·기간·상대방·일회성 여부 확인","결의서명과 전기 대비 발생 건수·단가·시점 차이 검토"))</x:f>
      </x:c>
    </x:row>
    <x:row r="1698">
      <x:c r="A1698" t="str">
        <x:f>IF(B1698="","",IF(COUNTIFS('전기원장'!$A$5:$A$1004,B1698,'전기원장'!$D$5:$D$1004,E1698)&gt;0,"전기","당기"))</x:f>
      </x:c>
      <x:c r="D1698" s="67"/>
      <x:c r="G1698" s="68"/>
      <x:c r="K1698" t="str">
        <x:f>IF(B1698="","",IF(I1698="확인 필요","붙임 문서 확인 후 거래 성격·기간·상대방·일회성 여부 확인","결의서명과 전기 대비 발생 건수·단가·시점 차이 검토"))</x:f>
      </x:c>
    </x:row>
    <x:row r="1699">
      <x:c r="A1699" t="str">
        <x:f>IF(B1699="","",IF(COUNTIFS('전기원장'!$A$5:$A$1004,B1699,'전기원장'!$D$5:$D$1004,E1699)&gt;0,"전기","당기"))</x:f>
      </x:c>
      <x:c r="D1699" s="67"/>
      <x:c r="G1699" s="68"/>
      <x:c r="K1699" t="str">
        <x:f>IF(B1699="","",IF(I1699="확인 필요","붙임 문서 확인 후 거래 성격·기간·상대방·일회성 여부 확인","결의서명과 전기 대비 발생 건수·단가·시점 차이 검토"))</x:f>
      </x:c>
    </x:row>
    <x:row r="1700">
      <x:c r="A1700" t="str">
        <x:f>IF(B1700="","",IF(COUNTIFS('전기원장'!$A$5:$A$1004,B1700,'전기원장'!$D$5:$D$1004,E1700)&gt;0,"전기","당기"))</x:f>
      </x:c>
      <x:c r="D1700" s="67"/>
      <x:c r="G1700" s="68"/>
      <x:c r="K1700" t="str">
        <x:f>IF(B1700="","",IF(I1700="확인 필요","붙임 문서 확인 후 거래 성격·기간·상대방·일회성 여부 확인","결의서명과 전기 대비 발생 건수·단가·시점 차이 검토"))</x:f>
      </x:c>
    </x:row>
    <x:row r="1701">
      <x:c r="A1701" t="str">
        <x:f>IF(B1701="","",IF(COUNTIFS('전기원장'!$A$5:$A$1004,B1701,'전기원장'!$D$5:$D$1004,E1701)&gt;0,"전기","당기"))</x:f>
      </x:c>
      <x:c r="D1701" s="67"/>
      <x:c r="G1701" s="68"/>
      <x:c r="K1701" t="str">
        <x:f>IF(B1701="","",IF(I1701="확인 필요","붙임 문서 확인 후 거래 성격·기간·상대방·일회성 여부 확인","결의서명과 전기 대비 발생 건수·단가·시점 차이 검토"))</x:f>
      </x:c>
    </x:row>
    <x:row r="1702">
      <x:c r="A1702" t="str">
        <x:f>IF(B1702="","",IF(COUNTIFS('전기원장'!$A$5:$A$1004,B1702,'전기원장'!$D$5:$D$1004,E1702)&gt;0,"전기","당기"))</x:f>
      </x:c>
      <x:c r="D1702" s="67"/>
      <x:c r="G1702" s="68"/>
      <x:c r="K1702" t="str">
        <x:f>IF(B1702="","",IF(I1702="확인 필요","붙임 문서 확인 후 거래 성격·기간·상대방·일회성 여부 확인","결의서명과 전기 대비 발생 건수·단가·시점 차이 검토"))</x:f>
      </x:c>
    </x:row>
    <x:row r="1703">
      <x:c r="A1703" t="str">
        <x:f>IF(B1703="","",IF(COUNTIFS('전기원장'!$A$5:$A$1004,B1703,'전기원장'!$D$5:$D$1004,E1703)&gt;0,"전기","당기"))</x:f>
      </x:c>
      <x:c r="D1703" s="67"/>
      <x:c r="G1703" s="68"/>
      <x:c r="K1703" t="str">
        <x:f>IF(B1703="","",IF(I1703="확인 필요","붙임 문서 확인 후 거래 성격·기간·상대방·일회성 여부 확인","결의서명과 전기 대비 발생 건수·단가·시점 차이 검토"))</x:f>
      </x:c>
    </x:row>
    <x:row r="1704">
      <x:c r="A1704" t="str">
        <x:f>IF(B1704="","",IF(COUNTIFS('전기원장'!$A$5:$A$1004,B1704,'전기원장'!$D$5:$D$1004,E1704)&gt;0,"전기","당기"))</x:f>
      </x:c>
      <x:c r="D1704" s="67"/>
      <x:c r="G1704" s="68"/>
      <x:c r="K1704" t="str">
        <x:f>IF(B1704="","",IF(I1704="확인 필요","붙임 문서 확인 후 거래 성격·기간·상대방·일회성 여부 확인","결의서명과 전기 대비 발생 건수·단가·시점 차이 검토"))</x:f>
      </x:c>
    </x:row>
    <x:row r="1705">
      <x:c r="A1705" t="str">
        <x:f>IF(B1705="","",IF(COUNTIFS('전기원장'!$A$5:$A$1004,B1705,'전기원장'!$D$5:$D$1004,E1705)&gt;0,"전기","당기"))</x:f>
      </x:c>
      <x:c r="D1705" s="67"/>
      <x:c r="G1705" s="68"/>
      <x:c r="K1705" t="str">
        <x:f>IF(B1705="","",IF(I1705="확인 필요","붙임 문서 확인 후 거래 성격·기간·상대방·일회성 여부 확인","결의서명과 전기 대비 발생 건수·단가·시점 차이 검토"))</x:f>
      </x:c>
    </x:row>
    <x:row r="1706">
      <x:c r="A1706" t="str">
        <x:f>IF(B1706="","",IF(COUNTIFS('전기원장'!$A$5:$A$1004,B1706,'전기원장'!$D$5:$D$1004,E1706)&gt;0,"전기","당기"))</x:f>
      </x:c>
      <x:c r="D1706" s="67"/>
      <x:c r="G1706" s="68"/>
      <x:c r="K1706" t="str">
        <x:f>IF(B1706="","",IF(I1706="확인 필요","붙임 문서 확인 후 거래 성격·기간·상대방·일회성 여부 확인","결의서명과 전기 대비 발생 건수·단가·시점 차이 검토"))</x:f>
      </x:c>
    </x:row>
    <x:row r="1707">
      <x:c r="A1707" t="str">
        <x:f>IF(B1707="","",IF(COUNTIFS('전기원장'!$A$5:$A$1004,B1707,'전기원장'!$D$5:$D$1004,E1707)&gt;0,"전기","당기"))</x:f>
      </x:c>
      <x:c r="D1707" s="67"/>
      <x:c r="G1707" s="68"/>
      <x:c r="K1707" t="str">
        <x:f>IF(B1707="","",IF(I1707="확인 필요","붙임 문서 확인 후 거래 성격·기간·상대방·일회성 여부 확인","결의서명과 전기 대비 발생 건수·단가·시점 차이 검토"))</x:f>
      </x:c>
    </x:row>
    <x:row r="1708">
      <x:c r="A1708" t="str">
        <x:f>IF(B1708="","",IF(COUNTIFS('전기원장'!$A$5:$A$1004,B1708,'전기원장'!$D$5:$D$1004,E1708)&gt;0,"전기","당기"))</x:f>
      </x:c>
      <x:c r="D1708" s="67"/>
      <x:c r="G1708" s="68"/>
      <x:c r="K1708" t="str">
        <x:f>IF(B1708="","",IF(I1708="확인 필요","붙임 문서 확인 후 거래 성격·기간·상대방·일회성 여부 확인","결의서명과 전기 대비 발생 건수·단가·시점 차이 검토"))</x:f>
      </x:c>
    </x:row>
    <x:row r="1709">
      <x:c r="A1709" t="str">
        <x:f>IF(B1709="","",IF(COUNTIFS('전기원장'!$A$5:$A$1004,B1709,'전기원장'!$D$5:$D$1004,E1709)&gt;0,"전기","당기"))</x:f>
      </x:c>
      <x:c r="D1709" s="67"/>
      <x:c r="G1709" s="68"/>
      <x:c r="K1709" t="str">
        <x:f>IF(B1709="","",IF(I1709="확인 필요","붙임 문서 확인 후 거래 성격·기간·상대방·일회성 여부 확인","결의서명과 전기 대비 발생 건수·단가·시점 차이 검토"))</x:f>
      </x:c>
    </x:row>
    <x:row r="1710">
      <x:c r="A1710" t="str">
        <x:f>IF(B1710="","",IF(COUNTIFS('전기원장'!$A$5:$A$1004,B1710,'전기원장'!$D$5:$D$1004,E1710)&gt;0,"전기","당기"))</x:f>
      </x:c>
      <x:c r="D1710" s="67"/>
      <x:c r="G1710" s="68"/>
      <x:c r="K1710" t="str">
        <x:f>IF(B1710="","",IF(I1710="확인 필요","붙임 문서 확인 후 거래 성격·기간·상대방·일회성 여부 확인","결의서명과 전기 대비 발생 건수·단가·시점 차이 검토"))</x:f>
      </x:c>
    </x:row>
    <x:row r="1711">
      <x:c r="A1711" t="str">
        <x:f>IF(B1711="","",IF(COUNTIFS('전기원장'!$A$5:$A$1004,B1711,'전기원장'!$D$5:$D$1004,E1711)&gt;0,"전기","당기"))</x:f>
      </x:c>
      <x:c r="D1711" s="67"/>
      <x:c r="G1711" s="68"/>
      <x:c r="K1711" t="str">
        <x:f>IF(B1711="","",IF(I1711="확인 필요","붙임 문서 확인 후 거래 성격·기간·상대방·일회성 여부 확인","결의서명과 전기 대비 발생 건수·단가·시점 차이 검토"))</x:f>
      </x:c>
    </x:row>
    <x:row r="1712">
      <x:c r="A1712" t="str">
        <x:f>IF(B1712="","",IF(COUNTIFS('전기원장'!$A$5:$A$1004,B1712,'전기원장'!$D$5:$D$1004,E1712)&gt;0,"전기","당기"))</x:f>
      </x:c>
      <x:c r="D1712" s="67"/>
      <x:c r="G1712" s="68"/>
      <x:c r="K1712" t="str">
        <x:f>IF(B1712="","",IF(I1712="확인 필요","붙임 문서 확인 후 거래 성격·기간·상대방·일회성 여부 확인","결의서명과 전기 대비 발생 건수·단가·시점 차이 검토"))</x:f>
      </x:c>
    </x:row>
    <x:row r="1713">
      <x:c r="A1713" t="str">
        <x:f>IF(B1713="","",IF(COUNTIFS('전기원장'!$A$5:$A$1004,B1713,'전기원장'!$D$5:$D$1004,E1713)&gt;0,"전기","당기"))</x:f>
      </x:c>
      <x:c r="D1713" s="67"/>
      <x:c r="G1713" s="68"/>
      <x:c r="K1713" t="str">
        <x:f>IF(B1713="","",IF(I1713="확인 필요","붙임 문서 확인 후 거래 성격·기간·상대방·일회성 여부 확인","결의서명과 전기 대비 발생 건수·단가·시점 차이 검토"))</x:f>
      </x:c>
    </x:row>
    <x:row r="1714">
      <x:c r="A1714" t="str">
        <x:f>IF(B1714="","",IF(COUNTIFS('전기원장'!$A$5:$A$1004,B1714,'전기원장'!$D$5:$D$1004,E1714)&gt;0,"전기","당기"))</x:f>
      </x:c>
      <x:c r="D1714" s="67"/>
      <x:c r="G1714" s="68"/>
      <x:c r="K1714" t="str">
        <x:f>IF(B1714="","",IF(I1714="확인 필요","붙임 문서 확인 후 거래 성격·기간·상대방·일회성 여부 확인","결의서명과 전기 대비 발생 건수·단가·시점 차이 검토"))</x:f>
      </x:c>
    </x:row>
    <x:row r="1715">
      <x:c r="A1715" t="str">
        <x:f>IF(B1715="","",IF(COUNTIFS('전기원장'!$A$5:$A$1004,B1715,'전기원장'!$D$5:$D$1004,E1715)&gt;0,"전기","당기"))</x:f>
      </x:c>
      <x:c r="D1715" s="67"/>
      <x:c r="G1715" s="68"/>
      <x:c r="K1715" t="str">
        <x:f>IF(B1715="","",IF(I1715="확인 필요","붙임 문서 확인 후 거래 성격·기간·상대방·일회성 여부 확인","결의서명과 전기 대비 발생 건수·단가·시점 차이 검토"))</x:f>
      </x:c>
    </x:row>
    <x:row r="1716">
      <x:c r="A1716" t="str">
        <x:f>IF(B1716="","",IF(COUNTIFS('전기원장'!$A$5:$A$1004,B1716,'전기원장'!$D$5:$D$1004,E1716)&gt;0,"전기","당기"))</x:f>
      </x:c>
      <x:c r="D1716" s="67"/>
      <x:c r="G1716" s="68"/>
      <x:c r="K1716" t="str">
        <x:f>IF(B1716="","",IF(I1716="확인 필요","붙임 문서 확인 후 거래 성격·기간·상대방·일회성 여부 확인","결의서명과 전기 대비 발생 건수·단가·시점 차이 검토"))</x:f>
      </x:c>
    </x:row>
    <x:row r="1717">
      <x:c r="A1717" t="str">
        <x:f>IF(B1717="","",IF(COUNTIFS('전기원장'!$A$5:$A$1004,B1717,'전기원장'!$D$5:$D$1004,E1717)&gt;0,"전기","당기"))</x:f>
      </x:c>
      <x:c r="D1717" s="67"/>
      <x:c r="G1717" s="68"/>
      <x:c r="K1717" t="str">
        <x:f>IF(B1717="","",IF(I1717="확인 필요","붙임 문서 확인 후 거래 성격·기간·상대방·일회성 여부 확인","결의서명과 전기 대비 발생 건수·단가·시점 차이 검토"))</x:f>
      </x:c>
    </x:row>
    <x:row r="1718">
      <x:c r="A1718" t="str">
        <x:f>IF(B1718="","",IF(COUNTIFS('전기원장'!$A$5:$A$1004,B1718,'전기원장'!$D$5:$D$1004,E1718)&gt;0,"전기","당기"))</x:f>
      </x:c>
      <x:c r="D1718" s="67"/>
      <x:c r="G1718" s="68"/>
      <x:c r="K1718" t="str">
        <x:f>IF(B1718="","",IF(I1718="확인 필요","붙임 문서 확인 후 거래 성격·기간·상대방·일회성 여부 확인","결의서명과 전기 대비 발생 건수·단가·시점 차이 검토"))</x:f>
      </x:c>
    </x:row>
    <x:row r="1719">
      <x:c r="A1719" t="str">
        <x:f>IF(B1719="","",IF(COUNTIFS('전기원장'!$A$5:$A$1004,B1719,'전기원장'!$D$5:$D$1004,E1719)&gt;0,"전기","당기"))</x:f>
      </x:c>
      <x:c r="D1719" s="67"/>
      <x:c r="G1719" s="68"/>
      <x:c r="K1719" t="str">
        <x:f>IF(B1719="","",IF(I1719="확인 필요","붙임 문서 확인 후 거래 성격·기간·상대방·일회성 여부 확인","결의서명과 전기 대비 발생 건수·단가·시점 차이 검토"))</x:f>
      </x:c>
    </x:row>
    <x:row r="1720">
      <x:c r="A1720" t="str">
        <x:f>IF(B1720="","",IF(COUNTIFS('전기원장'!$A$5:$A$1004,B1720,'전기원장'!$D$5:$D$1004,E1720)&gt;0,"전기","당기"))</x:f>
      </x:c>
      <x:c r="D1720" s="67"/>
      <x:c r="G1720" s="68"/>
      <x:c r="K1720" t="str">
        <x:f>IF(B1720="","",IF(I1720="확인 필요","붙임 문서 확인 후 거래 성격·기간·상대방·일회성 여부 확인","결의서명과 전기 대비 발생 건수·단가·시점 차이 검토"))</x:f>
      </x:c>
    </x:row>
    <x:row r="1721">
      <x:c r="A1721" t="str">
        <x:f>IF(B1721="","",IF(COUNTIFS('전기원장'!$A$5:$A$1004,B1721,'전기원장'!$D$5:$D$1004,E1721)&gt;0,"전기","당기"))</x:f>
      </x:c>
      <x:c r="D1721" s="67"/>
      <x:c r="G1721" s="68"/>
      <x:c r="K1721" t="str">
        <x:f>IF(B1721="","",IF(I1721="확인 필요","붙임 문서 확인 후 거래 성격·기간·상대방·일회성 여부 확인","결의서명과 전기 대비 발생 건수·단가·시점 차이 검토"))</x:f>
      </x:c>
    </x:row>
    <x:row r="1722">
      <x:c r="A1722" t="str">
        <x:f>IF(B1722="","",IF(COUNTIFS('전기원장'!$A$5:$A$1004,B1722,'전기원장'!$D$5:$D$1004,E1722)&gt;0,"전기","당기"))</x:f>
      </x:c>
      <x:c r="D1722" s="67"/>
      <x:c r="G1722" s="68"/>
      <x:c r="K1722" t="str">
        <x:f>IF(B1722="","",IF(I1722="확인 필요","붙임 문서 확인 후 거래 성격·기간·상대방·일회성 여부 확인","결의서명과 전기 대비 발생 건수·단가·시점 차이 검토"))</x:f>
      </x:c>
    </x:row>
    <x:row r="1723">
      <x:c r="A1723" t="str">
        <x:f>IF(B1723="","",IF(COUNTIFS('전기원장'!$A$5:$A$1004,B1723,'전기원장'!$D$5:$D$1004,E1723)&gt;0,"전기","당기"))</x:f>
      </x:c>
      <x:c r="D1723" s="67"/>
      <x:c r="G1723" s="68"/>
      <x:c r="K1723" t="str">
        <x:f>IF(B1723="","",IF(I1723="확인 필요","붙임 문서 확인 후 거래 성격·기간·상대방·일회성 여부 확인","결의서명과 전기 대비 발생 건수·단가·시점 차이 검토"))</x:f>
      </x:c>
    </x:row>
    <x:row r="1724">
      <x:c r="A1724" t="str">
        <x:f>IF(B1724="","",IF(COUNTIFS('전기원장'!$A$5:$A$1004,B1724,'전기원장'!$D$5:$D$1004,E1724)&gt;0,"전기","당기"))</x:f>
      </x:c>
      <x:c r="D1724" s="67"/>
      <x:c r="G1724" s="68"/>
      <x:c r="K1724" t="str">
        <x:f>IF(B1724="","",IF(I1724="확인 필요","붙임 문서 확인 후 거래 성격·기간·상대방·일회성 여부 확인","결의서명과 전기 대비 발생 건수·단가·시점 차이 검토"))</x:f>
      </x:c>
    </x:row>
    <x:row r="1725">
      <x:c r="A1725" t="str">
        <x:f>IF(B1725="","",IF(COUNTIFS('전기원장'!$A$5:$A$1004,B1725,'전기원장'!$D$5:$D$1004,E1725)&gt;0,"전기","당기"))</x:f>
      </x:c>
      <x:c r="D1725" s="67"/>
      <x:c r="G1725" s="68"/>
      <x:c r="K1725" t="str">
        <x:f>IF(B1725="","",IF(I1725="확인 필요","붙임 문서 확인 후 거래 성격·기간·상대방·일회성 여부 확인","결의서명과 전기 대비 발생 건수·단가·시점 차이 검토"))</x:f>
      </x:c>
    </x:row>
    <x:row r="1726">
      <x:c r="A1726" t="str">
        <x:f>IF(B1726="","",IF(COUNTIFS('전기원장'!$A$5:$A$1004,B1726,'전기원장'!$D$5:$D$1004,E1726)&gt;0,"전기","당기"))</x:f>
      </x:c>
      <x:c r="D1726" s="67"/>
      <x:c r="G1726" s="68"/>
      <x:c r="K1726" t="str">
        <x:f>IF(B1726="","",IF(I1726="확인 필요","붙임 문서 확인 후 거래 성격·기간·상대방·일회성 여부 확인","결의서명과 전기 대비 발생 건수·단가·시점 차이 검토"))</x:f>
      </x:c>
    </x:row>
    <x:row r="1727">
      <x:c r="A1727" t="str">
        <x:f>IF(B1727="","",IF(COUNTIFS('전기원장'!$A$5:$A$1004,B1727,'전기원장'!$D$5:$D$1004,E1727)&gt;0,"전기","당기"))</x:f>
      </x:c>
      <x:c r="D1727" s="67"/>
      <x:c r="G1727" s="68"/>
      <x:c r="K1727" t="str">
        <x:f>IF(B1727="","",IF(I1727="확인 필요","붙임 문서 확인 후 거래 성격·기간·상대방·일회성 여부 확인","결의서명과 전기 대비 발생 건수·단가·시점 차이 검토"))</x:f>
      </x:c>
    </x:row>
    <x:row r="1728">
      <x:c r="A1728" t="str">
        <x:f>IF(B1728="","",IF(COUNTIFS('전기원장'!$A$5:$A$1004,B1728,'전기원장'!$D$5:$D$1004,E1728)&gt;0,"전기","당기"))</x:f>
      </x:c>
      <x:c r="D1728" s="67"/>
      <x:c r="G1728" s="68"/>
      <x:c r="K1728" t="str">
        <x:f>IF(B1728="","",IF(I1728="확인 필요","붙임 문서 확인 후 거래 성격·기간·상대방·일회성 여부 확인","결의서명과 전기 대비 발생 건수·단가·시점 차이 검토"))</x:f>
      </x:c>
    </x:row>
    <x:row r="1729">
      <x:c r="A1729" t="str">
        <x:f>IF(B1729="","",IF(COUNTIFS('전기원장'!$A$5:$A$1004,B1729,'전기원장'!$D$5:$D$1004,E1729)&gt;0,"전기","당기"))</x:f>
      </x:c>
      <x:c r="D1729" s="67"/>
      <x:c r="G1729" s="68"/>
      <x:c r="K1729" t="str">
        <x:f>IF(B1729="","",IF(I1729="확인 필요","붙임 문서 확인 후 거래 성격·기간·상대방·일회성 여부 확인","결의서명과 전기 대비 발생 건수·단가·시점 차이 검토"))</x:f>
      </x:c>
    </x:row>
    <x:row r="1730">
      <x:c r="A1730" t="str">
        <x:f>IF(B1730="","",IF(COUNTIFS('전기원장'!$A$5:$A$1004,B1730,'전기원장'!$D$5:$D$1004,E1730)&gt;0,"전기","당기"))</x:f>
      </x:c>
      <x:c r="D1730" s="67"/>
      <x:c r="G1730" s="68"/>
      <x:c r="K1730" t="str">
        <x:f>IF(B1730="","",IF(I1730="확인 필요","붙임 문서 확인 후 거래 성격·기간·상대방·일회성 여부 확인","결의서명과 전기 대비 발생 건수·단가·시점 차이 검토"))</x:f>
      </x:c>
    </x:row>
    <x:row r="1731">
      <x:c r="A1731" t="str">
        <x:f>IF(B1731="","",IF(COUNTIFS('전기원장'!$A$5:$A$1004,B1731,'전기원장'!$D$5:$D$1004,E1731)&gt;0,"전기","당기"))</x:f>
      </x:c>
      <x:c r="D1731" s="67"/>
      <x:c r="G1731" s="68"/>
      <x:c r="K1731" t="str">
        <x:f>IF(B1731="","",IF(I1731="확인 필요","붙임 문서 확인 후 거래 성격·기간·상대방·일회성 여부 확인","결의서명과 전기 대비 발생 건수·단가·시점 차이 검토"))</x:f>
      </x:c>
    </x:row>
    <x:row r="1732">
      <x:c r="A1732" t="str">
        <x:f>IF(B1732="","",IF(COUNTIFS('전기원장'!$A$5:$A$1004,B1732,'전기원장'!$D$5:$D$1004,E1732)&gt;0,"전기","당기"))</x:f>
      </x:c>
      <x:c r="D1732" s="67"/>
      <x:c r="G1732" s="68"/>
      <x:c r="K1732" t="str">
        <x:f>IF(B1732="","",IF(I1732="확인 필요","붙임 문서 확인 후 거래 성격·기간·상대방·일회성 여부 확인","결의서명과 전기 대비 발생 건수·단가·시점 차이 검토"))</x:f>
      </x:c>
    </x:row>
    <x:row r="1733">
      <x:c r="A1733" t="str">
        <x:f>IF(B1733="","",IF(COUNTIFS('전기원장'!$A$5:$A$1004,B1733,'전기원장'!$D$5:$D$1004,E1733)&gt;0,"전기","당기"))</x:f>
      </x:c>
      <x:c r="D1733" s="67"/>
      <x:c r="G1733" s="68"/>
      <x:c r="K1733" t="str">
        <x:f>IF(B1733="","",IF(I1733="확인 필요","붙임 문서 확인 후 거래 성격·기간·상대방·일회성 여부 확인","결의서명과 전기 대비 발생 건수·단가·시점 차이 검토"))</x:f>
      </x:c>
    </x:row>
    <x:row r="1734">
      <x:c r="A1734" t="str">
        <x:f>IF(B1734="","",IF(COUNTIFS('전기원장'!$A$5:$A$1004,B1734,'전기원장'!$D$5:$D$1004,E1734)&gt;0,"전기","당기"))</x:f>
      </x:c>
      <x:c r="D1734" s="67"/>
      <x:c r="G1734" s="68"/>
      <x:c r="K1734" t="str">
        <x:f>IF(B1734="","",IF(I1734="확인 필요","붙임 문서 확인 후 거래 성격·기간·상대방·일회성 여부 확인","결의서명과 전기 대비 발생 건수·단가·시점 차이 검토"))</x:f>
      </x:c>
    </x:row>
    <x:row r="1735">
      <x:c r="A1735" t="str">
        <x:f>IF(B1735="","",IF(COUNTIFS('전기원장'!$A$5:$A$1004,B1735,'전기원장'!$D$5:$D$1004,E1735)&gt;0,"전기","당기"))</x:f>
      </x:c>
      <x:c r="D1735" s="67"/>
      <x:c r="G1735" s="68"/>
      <x:c r="K1735" t="str">
        <x:f>IF(B1735="","",IF(I1735="확인 필요","붙임 문서 확인 후 거래 성격·기간·상대방·일회성 여부 확인","결의서명과 전기 대비 발생 건수·단가·시점 차이 검토"))</x:f>
      </x:c>
    </x:row>
    <x:row r="1736">
      <x:c r="A1736" t="str">
        <x:f>IF(B1736="","",IF(COUNTIFS('전기원장'!$A$5:$A$1004,B1736,'전기원장'!$D$5:$D$1004,E1736)&gt;0,"전기","당기"))</x:f>
      </x:c>
      <x:c r="D1736" s="67"/>
      <x:c r="G1736" s="68"/>
      <x:c r="K1736" t="str">
        <x:f>IF(B1736="","",IF(I1736="확인 필요","붙임 문서 확인 후 거래 성격·기간·상대방·일회성 여부 확인","결의서명과 전기 대비 발생 건수·단가·시점 차이 검토"))</x:f>
      </x:c>
    </x:row>
    <x:row r="1737">
      <x:c r="A1737" t="str">
        <x:f>IF(B1737="","",IF(COUNTIFS('전기원장'!$A$5:$A$1004,B1737,'전기원장'!$D$5:$D$1004,E1737)&gt;0,"전기","당기"))</x:f>
      </x:c>
      <x:c r="D1737" s="67"/>
      <x:c r="G1737" s="68"/>
      <x:c r="K1737" t="str">
        <x:f>IF(B1737="","",IF(I1737="확인 필요","붙임 문서 확인 후 거래 성격·기간·상대방·일회성 여부 확인","결의서명과 전기 대비 발생 건수·단가·시점 차이 검토"))</x:f>
      </x:c>
    </x:row>
    <x:row r="1738">
      <x:c r="A1738" t="str">
        <x:f>IF(B1738="","",IF(COUNTIFS('전기원장'!$A$5:$A$1004,B1738,'전기원장'!$D$5:$D$1004,E1738)&gt;0,"전기","당기"))</x:f>
      </x:c>
      <x:c r="D1738" s="67"/>
      <x:c r="G1738" s="68"/>
      <x:c r="K1738" t="str">
        <x:f>IF(B1738="","",IF(I1738="확인 필요","붙임 문서 확인 후 거래 성격·기간·상대방·일회성 여부 확인","결의서명과 전기 대비 발생 건수·단가·시점 차이 검토"))</x:f>
      </x:c>
    </x:row>
    <x:row r="1739">
      <x:c r="A1739" t="str">
        <x:f>IF(B1739="","",IF(COUNTIFS('전기원장'!$A$5:$A$1004,B1739,'전기원장'!$D$5:$D$1004,E1739)&gt;0,"전기","당기"))</x:f>
      </x:c>
      <x:c r="D1739" s="67"/>
      <x:c r="G1739" s="68"/>
      <x:c r="K1739" t="str">
        <x:f>IF(B1739="","",IF(I1739="확인 필요","붙임 문서 확인 후 거래 성격·기간·상대방·일회성 여부 확인","결의서명과 전기 대비 발생 건수·단가·시점 차이 검토"))</x:f>
      </x:c>
    </x:row>
    <x:row r="1740">
      <x:c r="A1740" t="str">
        <x:f>IF(B1740="","",IF(COUNTIFS('전기원장'!$A$5:$A$1004,B1740,'전기원장'!$D$5:$D$1004,E1740)&gt;0,"전기","당기"))</x:f>
      </x:c>
      <x:c r="D1740" s="67"/>
      <x:c r="G1740" s="68"/>
      <x:c r="K1740" t="str">
        <x:f>IF(B1740="","",IF(I1740="확인 필요","붙임 문서 확인 후 거래 성격·기간·상대방·일회성 여부 확인","결의서명과 전기 대비 발생 건수·단가·시점 차이 검토"))</x:f>
      </x:c>
    </x:row>
    <x:row r="1741">
      <x:c r="A1741" t="str">
        <x:f>IF(B1741="","",IF(COUNTIFS('전기원장'!$A$5:$A$1004,B1741,'전기원장'!$D$5:$D$1004,E1741)&gt;0,"전기","당기"))</x:f>
      </x:c>
      <x:c r="D1741" s="67"/>
      <x:c r="G1741" s="68"/>
      <x:c r="K1741" t="str">
        <x:f>IF(B1741="","",IF(I1741="확인 필요","붙임 문서 확인 후 거래 성격·기간·상대방·일회성 여부 확인","결의서명과 전기 대비 발생 건수·단가·시점 차이 검토"))</x:f>
      </x:c>
    </x:row>
    <x:row r="1742">
      <x:c r="A1742" t="str">
        <x:f>IF(B1742="","",IF(COUNTIFS('전기원장'!$A$5:$A$1004,B1742,'전기원장'!$D$5:$D$1004,E1742)&gt;0,"전기","당기"))</x:f>
      </x:c>
      <x:c r="D1742" s="67"/>
      <x:c r="G1742" s="68"/>
      <x:c r="K1742" t="str">
        <x:f>IF(B1742="","",IF(I1742="확인 필요","붙임 문서 확인 후 거래 성격·기간·상대방·일회성 여부 확인","결의서명과 전기 대비 발생 건수·단가·시점 차이 검토"))</x:f>
      </x:c>
    </x:row>
    <x:row r="1743">
      <x:c r="A1743" t="str">
        <x:f>IF(B1743="","",IF(COUNTIFS('전기원장'!$A$5:$A$1004,B1743,'전기원장'!$D$5:$D$1004,E1743)&gt;0,"전기","당기"))</x:f>
      </x:c>
      <x:c r="D1743" s="67"/>
      <x:c r="G1743" s="68"/>
      <x:c r="K1743" t="str">
        <x:f>IF(B1743="","",IF(I1743="확인 필요","붙임 문서 확인 후 거래 성격·기간·상대방·일회성 여부 확인","결의서명과 전기 대비 발생 건수·단가·시점 차이 검토"))</x:f>
      </x:c>
    </x:row>
    <x:row r="1744">
      <x:c r="A1744" t="str">
        <x:f>IF(B1744="","",IF(COUNTIFS('전기원장'!$A$5:$A$1004,B1744,'전기원장'!$D$5:$D$1004,E1744)&gt;0,"전기","당기"))</x:f>
      </x:c>
      <x:c r="D1744" s="67"/>
      <x:c r="G1744" s="68"/>
      <x:c r="K1744" t="str">
        <x:f>IF(B1744="","",IF(I1744="확인 필요","붙임 문서 확인 후 거래 성격·기간·상대방·일회성 여부 확인","결의서명과 전기 대비 발생 건수·단가·시점 차이 검토"))</x:f>
      </x:c>
    </x:row>
    <x:row r="1745">
      <x:c r="A1745" t="str">
        <x:f>IF(B1745="","",IF(COUNTIFS('전기원장'!$A$5:$A$1004,B1745,'전기원장'!$D$5:$D$1004,E1745)&gt;0,"전기","당기"))</x:f>
      </x:c>
      <x:c r="D1745" s="67"/>
      <x:c r="G1745" s="68"/>
      <x:c r="K1745" t="str">
        <x:f>IF(B1745="","",IF(I1745="확인 필요","붙임 문서 확인 후 거래 성격·기간·상대방·일회성 여부 확인","결의서명과 전기 대비 발생 건수·단가·시점 차이 검토"))</x:f>
      </x:c>
    </x:row>
    <x:row r="1746">
      <x:c r="A1746" t="str">
        <x:f>IF(B1746="","",IF(COUNTIFS('전기원장'!$A$5:$A$1004,B1746,'전기원장'!$D$5:$D$1004,E1746)&gt;0,"전기","당기"))</x:f>
      </x:c>
      <x:c r="D1746" s="67"/>
      <x:c r="G1746" s="68"/>
      <x:c r="K1746" t="str">
        <x:f>IF(B1746="","",IF(I1746="확인 필요","붙임 문서 확인 후 거래 성격·기간·상대방·일회성 여부 확인","결의서명과 전기 대비 발생 건수·단가·시점 차이 검토"))</x:f>
      </x:c>
    </x:row>
    <x:row r="1747">
      <x:c r="A1747" t="str">
        <x:f>IF(B1747="","",IF(COUNTIFS('전기원장'!$A$5:$A$1004,B1747,'전기원장'!$D$5:$D$1004,E1747)&gt;0,"전기","당기"))</x:f>
      </x:c>
      <x:c r="D1747" s="67"/>
      <x:c r="G1747" s="68"/>
      <x:c r="K1747" t="str">
        <x:f>IF(B1747="","",IF(I1747="확인 필요","붙임 문서 확인 후 거래 성격·기간·상대방·일회성 여부 확인","결의서명과 전기 대비 발생 건수·단가·시점 차이 검토"))</x:f>
      </x:c>
    </x:row>
    <x:row r="1748">
      <x:c r="A1748" t="str">
        <x:f>IF(B1748="","",IF(COUNTIFS('전기원장'!$A$5:$A$1004,B1748,'전기원장'!$D$5:$D$1004,E1748)&gt;0,"전기","당기"))</x:f>
      </x:c>
      <x:c r="D1748" s="67"/>
      <x:c r="G1748" s="68"/>
      <x:c r="K1748" t="str">
        <x:f>IF(B1748="","",IF(I1748="확인 필요","붙임 문서 확인 후 거래 성격·기간·상대방·일회성 여부 확인","결의서명과 전기 대비 발생 건수·단가·시점 차이 검토"))</x:f>
      </x:c>
    </x:row>
    <x:row r="1749">
      <x:c r="A1749" t="str">
        <x:f>IF(B1749="","",IF(COUNTIFS('전기원장'!$A$5:$A$1004,B1749,'전기원장'!$D$5:$D$1004,E1749)&gt;0,"전기","당기"))</x:f>
      </x:c>
      <x:c r="D1749" s="67"/>
      <x:c r="G1749" s="68"/>
      <x:c r="K1749" t="str">
        <x:f>IF(B1749="","",IF(I1749="확인 필요","붙임 문서 확인 후 거래 성격·기간·상대방·일회성 여부 확인","결의서명과 전기 대비 발생 건수·단가·시점 차이 검토"))</x:f>
      </x:c>
    </x:row>
    <x:row r="1750">
      <x:c r="A1750" t="str">
        <x:f>IF(B1750="","",IF(COUNTIFS('전기원장'!$A$5:$A$1004,B1750,'전기원장'!$D$5:$D$1004,E1750)&gt;0,"전기","당기"))</x:f>
      </x:c>
      <x:c r="D1750" s="67"/>
      <x:c r="G1750" s="68"/>
      <x:c r="K1750" t="str">
        <x:f>IF(B1750="","",IF(I1750="확인 필요","붙임 문서 확인 후 거래 성격·기간·상대방·일회성 여부 확인","결의서명과 전기 대비 발생 건수·단가·시점 차이 검토"))</x:f>
      </x:c>
    </x:row>
    <x:row r="1751">
      <x:c r="A1751" t="str">
        <x:f>IF(B1751="","",IF(COUNTIFS('전기원장'!$A$5:$A$1004,B1751,'전기원장'!$D$5:$D$1004,E1751)&gt;0,"전기","당기"))</x:f>
      </x:c>
      <x:c r="D1751" s="67"/>
      <x:c r="G1751" s="68"/>
      <x:c r="K1751" t="str">
        <x:f>IF(B1751="","",IF(I1751="확인 필요","붙임 문서 확인 후 거래 성격·기간·상대방·일회성 여부 확인","결의서명과 전기 대비 발생 건수·단가·시점 차이 검토"))</x:f>
      </x:c>
    </x:row>
    <x:row r="1752">
      <x:c r="A1752" t="str">
        <x:f>IF(B1752="","",IF(COUNTIFS('전기원장'!$A$5:$A$1004,B1752,'전기원장'!$D$5:$D$1004,E1752)&gt;0,"전기","당기"))</x:f>
      </x:c>
      <x:c r="D1752" s="67"/>
      <x:c r="G1752" s="68"/>
      <x:c r="K1752" t="str">
        <x:f>IF(B1752="","",IF(I1752="확인 필요","붙임 문서 확인 후 거래 성격·기간·상대방·일회성 여부 확인","결의서명과 전기 대비 발생 건수·단가·시점 차이 검토"))</x:f>
      </x:c>
    </x:row>
    <x:row r="1753">
      <x:c r="A1753" t="str">
        <x:f>IF(B1753="","",IF(COUNTIFS('전기원장'!$A$5:$A$1004,B1753,'전기원장'!$D$5:$D$1004,E1753)&gt;0,"전기","당기"))</x:f>
      </x:c>
      <x:c r="D1753" s="67"/>
      <x:c r="G1753" s="68"/>
      <x:c r="K1753" t="str">
        <x:f>IF(B1753="","",IF(I1753="확인 필요","붙임 문서 확인 후 거래 성격·기간·상대방·일회성 여부 확인","결의서명과 전기 대비 발생 건수·단가·시점 차이 검토"))</x:f>
      </x:c>
    </x:row>
    <x:row r="1754">
      <x:c r="A1754" t="str">
        <x:f>IF(B1754="","",IF(COUNTIFS('전기원장'!$A$5:$A$1004,B1754,'전기원장'!$D$5:$D$1004,E1754)&gt;0,"전기","당기"))</x:f>
      </x:c>
      <x:c r="D1754" s="67"/>
      <x:c r="G1754" s="68"/>
      <x:c r="K1754" t="str">
        <x:f>IF(B1754="","",IF(I1754="확인 필요","붙임 문서 확인 후 거래 성격·기간·상대방·일회성 여부 확인","결의서명과 전기 대비 발생 건수·단가·시점 차이 검토"))</x:f>
      </x:c>
    </x:row>
    <x:row r="1755">
      <x:c r="A1755" t="str">
        <x:f>IF(B1755="","",IF(COUNTIFS('전기원장'!$A$5:$A$1004,B1755,'전기원장'!$D$5:$D$1004,E1755)&gt;0,"전기","당기"))</x:f>
      </x:c>
      <x:c r="D1755" s="67"/>
      <x:c r="G1755" s="68"/>
      <x:c r="K1755" t="str">
        <x:f>IF(B1755="","",IF(I1755="확인 필요","붙임 문서 확인 후 거래 성격·기간·상대방·일회성 여부 확인","결의서명과 전기 대비 발생 건수·단가·시점 차이 검토"))</x:f>
      </x:c>
    </x:row>
    <x:row r="1756">
      <x:c r="A1756" t="str">
        <x:f>IF(B1756="","",IF(COUNTIFS('전기원장'!$A$5:$A$1004,B1756,'전기원장'!$D$5:$D$1004,E1756)&gt;0,"전기","당기"))</x:f>
      </x:c>
      <x:c r="D1756" s="67"/>
      <x:c r="G1756" s="68"/>
      <x:c r="K1756" t="str">
        <x:f>IF(B1756="","",IF(I1756="확인 필요","붙임 문서 확인 후 거래 성격·기간·상대방·일회성 여부 확인","결의서명과 전기 대비 발생 건수·단가·시점 차이 검토"))</x:f>
      </x:c>
    </x:row>
    <x:row r="1757">
      <x:c r="A1757" t="str">
        <x:f>IF(B1757="","",IF(COUNTIFS('전기원장'!$A$5:$A$1004,B1757,'전기원장'!$D$5:$D$1004,E1757)&gt;0,"전기","당기"))</x:f>
      </x:c>
      <x:c r="D1757" s="67"/>
      <x:c r="G1757" s="68"/>
      <x:c r="K1757" t="str">
        <x:f>IF(B1757="","",IF(I1757="확인 필요","붙임 문서 확인 후 거래 성격·기간·상대방·일회성 여부 확인","결의서명과 전기 대비 발생 건수·단가·시점 차이 검토"))</x:f>
      </x:c>
    </x:row>
    <x:row r="1758">
      <x:c r="A1758" t="str">
        <x:f>IF(B1758="","",IF(COUNTIFS('전기원장'!$A$5:$A$1004,B1758,'전기원장'!$D$5:$D$1004,E1758)&gt;0,"전기","당기"))</x:f>
      </x:c>
      <x:c r="D1758" s="67"/>
      <x:c r="G1758" s="68"/>
      <x:c r="K1758" t="str">
        <x:f>IF(B1758="","",IF(I1758="확인 필요","붙임 문서 확인 후 거래 성격·기간·상대방·일회성 여부 확인","결의서명과 전기 대비 발생 건수·단가·시점 차이 검토"))</x:f>
      </x:c>
    </x:row>
    <x:row r="1759">
      <x:c r="A1759" t="str">
        <x:f>IF(B1759="","",IF(COUNTIFS('전기원장'!$A$5:$A$1004,B1759,'전기원장'!$D$5:$D$1004,E1759)&gt;0,"전기","당기"))</x:f>
      </x:c>
      <x:c r="D1759" s="67"/>
      <x:c r="G1759" s="68"/>
      <x:c r="K1759" t="str">
        <x:f>IF(B1759="","",IF(I1759="확인 필요","붙임 문서 확인 후 거래 성격·기간·상대방·일회성 여부 확인","결의서명과 전기 대비 발생 건수·단가·시점 차이 검토"))</x:f>
      </x:c>
    </x:row>
    <x:row r="1760">
      <x:c r="A1760" t="str">
        <x:f>IF(B1760="","",IF(COUNTIFS('전기원장'!$A$5:$A$1004,B1760,'전기원장'!$D$5:$D$1004,E1760)&gt;0,"전기","당기"))</x:f>
      </x:c>
      <x:c r="D1760" s="67"/>
      <x:c r="G1760" s="68"/>
      <x:c r="K1760" t="str">
        <x:f>IF(B1760="","",IF(I1760="확인 필요","붙임 문서 확인 후 거래 성격·기간·상대방·일회성 여부 확인","결의서명과 전기 대비 발생 건수·단가·시점 차이 검토"))</x:f>
      </x:c>
    </x:row>
    <x:row r="1761">
      <x:c r="A1761" t="str">
        <x:f>IF(B1761="","",IF(COUNTIFS('전기원장'!$A$5:$A$1004,B1761,'전기원장'!$D$5:$D$1004,E1761)&gt;0,"전기","당기"))</x:f>
      </x:c>
      <x:c r="D1761" s="67"/>
      <x:c r="G1761" s="68"/>
      <x:c r="K1761" t="str">
        <x:f>IF(B1761="","",IF(I1761="확인 필요","붙임 문서 확인 후 거래 성격·기간·상대방·일회성 여부 확인","결의서명과 전기 대비 발생 건수·단가·시점 차이 검토"))</x:f>
      </x:c>
    </x:row>
    <x:row r="1762">
      <x:c r="A1762" t="str">
        <x:f>IF(B1762="","",IF(COUNTIFS('전기원장'!$A$5:$A$1004,B1762,'전기원장'!$D$5:$D$1004,E1762)&gt;0,"전기","당기"))</x:f>
      </x:c>
      <x:c r="D1762" s="67"/>
      <x:c r="G1762" s="68"/>
      <x:c r="K1762" t="str">
        <x:f>IF(B1762="","",IF(I1762="확인 필요","붙임 문서 확인 후 거래 성격·기간·상대방·일회성 여부 확인","결의서명과 전기 대비 발생 건수·단가·시점 차이 검토"))</x:f>
      </x:c>
    </x:row>
    <x:row r="1763">
      <x:c r="A1763" t="str">
        <x:f>IF(B1763="","",IF(COUNTIFS('전기원장'!$A$5:$A$1004,B1763,'전기원장'!$D$5:$D$1004,E1763)&gt;0,"전기","당기"))</x:f>
      </x:c>
      <x:c r="D1763" s="67"/>
      <x:c r="G1763" s="68"/>
      <x:c r="K1763" t="str">
        <x:f>IF(B1763="","",IF(I1763="확인 필요","붙임 문서 확인 후 거래 성격·기간·상대방·일회성 여부 확인","결의서명과 전기 대비 발생 건수·단가·시점 차이 검토"))</x:f>
      </x:c>
    </x:row>
    <x:row r="1764">
      <x:c r="A1764" t="str">
        <x:f>IF(B1764="","",IF(COUNTIFS('전기원장'!$A$5:$A$1004,B1764,'전기원장'!$D$5:$D$1004,E1764)&gt;0,"전기","당기"))</x:f>
      </x:c>
      <x:c r="D1764" s="67"/>
      <x:c r="G1764" s="68"/>
      <x:c r="K1764" t="str">
        <x:f>IF(B1764="","",IF(I1764="확인 필요","붙임 문서 확인 후 거래 성격·기간·상대방·일회성 여부 확인","결의서명과 전기 대비 발생 건수·단가·시점 차이 검토"))</x:f>
      </x:c>
    </x:row>
    <x:row r="1765">
      <x:c r="A1765" t="str">
        <x:f>IF(B1765="","",IF(COUNTIFS('전기원장'!$A$5:$A$1004,B1765,'전기원장'!$D$5:$D$1004,E1765)&gt;0,"전기","당기"))</x:f>
      </x:c>
      <x:c r="D1765" s="67"/>
      <x:c r="G1765" s="68"/>
      <x:c r="K1765" t="str">
        <x:f>IF(B1765="","",IF(I1765="확인 필요","붙임 문서 확인 후 거래 성격·기간·상대방·일회성 여부 확인","결의서명과 전기 대비 발생 건수·단가·시점 차이 검토"))</x:f>
      </x:c>
    </x:row>
    <x:row r="1766">
      <x:c r="A1766" t="str">
        <x:f>IF(B1766="","",IF(COUNTIFS('전기원장'!$A$5:$A$1004,B1766,'전기원장'!$D$5:$D$1004,E1766)&gt;0,"전기","당기"))</x:f>
      </x:c>
      <x:c r="D1766" s="67"/>
      <x:c r="G1766" s="68"/>
      <x:c r="K1766" t="str">
        <x:f>IF(B1766="","",IF(I1766="확인 필요","붙임 문서 확인 후 거래 성격·기간·상대방·일회성 여부 확인","결의서명과 전기 대비 발생 건수·단가·시점 차이 검토"))</x:f>
      </x:c>
    </x:row>
    <x:row r="1767">
      <x:c r="A1767" t="str">
        <x:f>IF(B1767="","",IF(COUNTIFS('전기원장'!$A$5:$A$1004,B1767,'전기원장'!$D$5:$D$1004,E1767)&gt;0,"전기","당기"))</x:f>
      </x:c>
      <x:c r="D1767" s="67"/>
      <x:c r="G1767" s="68"/>
      <x:c r="K1767" t="str">
        <x:f>IF(B1767="","",IF(I1767="확인 필요","붙임 문서 확인 후 거래 성격·기간·상대방·일회성 여부 확인","결의서명과 전기 대비 발생 건수·단가·시점 차이 검토"))</x:f>
      </x:c>
    </x:row>
    <x:row r="1768">
      <x:c r="A1768" t="str">
        <x:f>IF(B1768="","",IF(COUNTIFS('전기원장'!$A$5:$A$1004,B1768,'전기원장'!$D$5:$D$1004,E1768)&gt;0,"전기","당기"))</x:f>
      </x:c>
      <x:c r="D1768" s="67"/>
      <x:c r="G1768" s="68"/>
      <x:c r="K1768" t="str">
        <x:f>IF(B1768="","",IF(I1768="확인 필요","붙임 문서 확인 후 거래 성격·기간·상대방·일회성 여부 확인","결의서명과 전기 대비 발생 건수·단가·시점 차이 검토"))</x:f>
      </x:c>
    </x:row>
    <x:row r="1769">
      <x:c r="A1769" t="str">
        <x:f>IF(B1769="","",IF(COUNTIFS('전기원장'!$A$5:$A$1004,B1769,'전기원장'!$D$5:$D$1004,E1769)&gt;0,"전기","당기"))</x:f>
      </x:c>
      <x:c r="D1769" s="67"/>
      <x:c r="G1769" s="68"/>
      <x:c r="K1769" t="str">
        <x:f>IF(B1769="","",IF(I1769="확인 필요","붙임 문서 확인 후 거래 성격·기간·상대방·일회성 여부 확인","결의서명과 전기 대비 발생 건수·단가·시점 차이 검토"))</x:f>
      </x:c>
    </x:row>
    <x:row r="1770">
      <x:c r="A1770" t="str">
        <x:f>IF(B1770="","",IF(COUNTIFS('전기원장'!$A$5:$A$1004,B1770,'전기원장'!$D$5:$D$1004,E1770)&gt;0,"전기","당기"))</x:f>
      </x:c>
      <x:c r="D1770" s="67"/>
      <x:c r="G1770" s="68"/>
      <x:c r="K1770" t="str">
        <x:f>IF(B1770="","",IF(I1770="확인 필요","붙임 문서 확인 후 거래 성격·기간·상대방·일회성 여부 확인","결의서명과 전기 대비 발생 건수·단가·시점 차이 검토"))</x:f>
      </x:c>
    </x:row>
    <x:row r="1771">
      <x:c r="A1771" t="str">
        <x:f>IF(B1771="","",IF(COUNTIFS('전기원장'!$A$5:$A$1004,B1771,'전기원장'!$D$5:$D$1004,E1771)&gt;0,"전기","당기"))</x:f>
      </x:c>
      <x:c r="D1771" s="67"/>
      <x:c r="G1771" s="68"/>
      <x:c r="K1771" t="str">
        <x:f>IF(B1771="","",IF(I1771="확인 필요","붙임 문서 확인 후 거래 성격·기간·상대방·일회성 여부 확인","결의서명과 전기 대비 발생 건수·단가·시점 차이 검토"))</x:f>
      </x:c>
    </x:row>
    <x:row r="1772">
      <x:c r="A1772" t="str">
        <x:f>IF(B1772="","",IF(COUNTIFS('전기원장'!$A$5:$A$1004,B1772,'전기원장'!$D$5:$D$1004,E1772)&gt;0,"전기","당기"))</x:f>
      </x:c>
      <x:c r="D1772" s="67"/>
      <x:c r="G1772" s="68"/>
      <x:c r="K1772" t="str">
        <x:f>IF(B1772="","",IF(I1772="확인 필요","붙임 문서 확인 후 거래 성격·기간·상대방·일회성 여부 확인","결의서명과 전기 대비 발생 건수·단가·시점 차이 검토"))</x:f>
      </x:c>
    </x:row>
    <x:row r="1773">
      <x:c r="A1773" t="str">
        <x:f>IF(B1773="","",IF(COUNTIFS('전기원장'!$A$5:$A$1004,B1773,'전기원장'!$D$5:$D$1004,E1773)&gt;0,"전기","당기"))</x:f>
      </x:c>
      <x:c r="D1773" s="67"/>
      <x:c r="G1773" s="68"/>
      <x:c r="K1773" t="str">
        <x:f>IF(B1773="","",IF(I1773="확인 필요","붙임 문서 확인 후 거래 성격·기간·상대방·일회성 여부 확인","결의서명과 전기 대비 발생 건수·단가·시점 차이 검토"))</x:f>
      </x:c>
    </x:row>
    <x:row r="1774">
      <x:c r="A1774" t="str">
        <x:f>IF(B1774="","",IF(COUNTIFS('전기원장'!$A$5:$A$1004,B1774,'전기원장'!$D$5:$D$1004,E1774)&gt;0,"전기","당기"))</x:f>
      </x:c>
      <x:c r="D1774" s="67"/>
      <x:c r="G1774" s="68"/>
      <x:c r="K1774" t="str">
        <x:f>IF(B1774="","",IF(I1774="확인 필요","붙임 문서 확인 후 거래 성격·기간·상대방·일회성 여부 확인","결의서명과 전기 대비 발생 건수·단가·시점 차이 검토"))</x:f>
      </x:c>
    </x:row>
    <x:row r="1775">
      <x:c r="A1775" t="str">
        <x:f>IF(B1775="","",IF(COUNTIFS('전기원장'!$A$5:$A$1004,B1775,'전기원장'!$D$5:$D$1004,E1775)&gt;0,"전기","당기"))</x:f>
      </x:c>
      <x:c r="D1775" s="67"/>
      <x:c r="G1775" s="68"/>
      <x:c r="K1775" t="str">
        <x:f>IF(B1775="","",IF(I1775="확인 필요","붙임 문서 확인 후 거래 성격·기간·상대방·일회성 여부 확인","결의서명과 전기 대비 발생 건수·단가·시점 차이 검토"))</x:f>
      </x:c>
    </x:row>
    <x:row r="1776">
      <x:c r="A1776" t="str">
        <x:f>IF(B1776="","",IF(COUNTIFS('전기원장'!$A$5:$A$1004,B1776,'전기원장'!$D$5:$D$1004,E1776)&gt;0,"전기","당기"))</x:f>
      </x:c>
      <x:c r="D1776" s="67"/>
      <x:c r="G1776" s="68"/>
      <x:c r="K1776" t="str">
        <x:f>IF(B1776="","",IF(I1776="확인 필요","붙임 문서 확인 후 거래 성격·기간·상대방·일회성 여부 확인","결의서명과 전기 대비 발생 건수·단가·시점 차이 검토"))</x:f>
      </x:c>
    </x:row>
    <x:row r="1777">
      <x:c r="A1777" t="str">
        <x:f>IF(B1777="","",IF(COUNTIFS('전기원장'!$A$5:$A$1004,B1777,'전기원장'!$D$5:$D$1004,E1777)&gt;0,"전기","당기"))</x:f>
      </x:c>
      <x:c r="D1777" s="67"/>
      <x:c r="G1777" s="68"/>
      <x:c r="K1777" t="str">
        <x:f>IF(B1777="","",IF(I1777="확인 필요","붙임 문서 확인 후 거래 성격·기간·상대방·일회성 여부 확인","결의서명과 전기 대비 발생 건수·단가·시점 차이 검토"))</x:f>
      </x:c>
    </x:row>
    <x:row r="1778">
      <x:c r="A1778" t="str">
        <x:f>IF(B1778="","",IF(COUNTIFS('전기원장'!$A$5:$A$1004,B1778,'전기원장'!$D$5:$D$1004,E1778)&gt;0,"전기","당기"))</x:f>
      </x:c>
      <x:c r="D1778" s="67"/>
      <x:c r="G1778" s="68"/>
      <x:c r="K1778" t="str">
        <x:f>IF(B1778="","",IF(I1778="확인 필요","붙임 문서 확인 후 거래 성격·기간·상대방·일회성 여부 확인","결의서명과 전기 대비 발생 건수·단가·시점 차이 검토"))</x:f>
      </x:c>
    </x:row>
    <x:row r="1779">
      <x:c r="A1779" t="str">
        <x:f>IF(B1779="","",IF(COUNTIFS('전기원장'!$A$5:$A$1004,B1779,'전기원장'!$D$5:$D$1004,E1779)&gt;0,"전기","당기"))</x:f>
      </x:c>
      <x:c r="D1779" s="67"/>
      <x:c r="G1779" s="68"/>
      <x:c r="K1779" t="str">
        <x:f>IF(B1779="","",IF(I1779="확인 필요","붙임 문서 확인 후 거래 성격·기간·상대방·일회성 여부 확인","결의서명과 전기 대비 발생 건수·단가·시점 차이 검토"))</x:f>
      </x:c>
    </x:row>
    <x:row r="1780">
      <x:c r="A1780" t="str">
        <x:f>IF(B1780="","",IF(COUNTIFS('전기원장'!$A$5:$A$1004,B1780,'전기원장'!$D$5:$D$1004,E1780)&gt;0,"전기","당기"))</x:f>
      </x:c>
      <x:c r="D1780" s="67"/>
      <x:c r="G1780" s="68"/>
      <x:c r="K1780" t="str">
        <x:f>IF(B1780="","",IF(I1780="확인 필요","붙임 문서 확인 후 거래 성격·기간·상대방·일회성 여부 확인","결의서명과 전기 대비 발생 건수·단가·시점 차이 검토"))</x:f>
      </x:c>
    </x:row>
    <x:row r="1781">
      <x:c r="A1781" t="str">
        <x:f>IF(B1781="","",IF(COUNTIFS('전기원장'!$A$5:$A$1004,B1781,'전기원장'!$D$5:$D$1004,E1781)&gt;0,"전기","당기"))</x:f>
      </x:c>
      <x:c r="D1781" s="67"/>
      <x:c r="G1781" s="68"/>
      <x:c r="K1781" t="str">
        <x:f>IF(B1781="","",IF(I1781="확인 필요","붙임 문서 확인 후 거래 성격·기간·상대방·일회성 여부 확인","결의서명과 전기 대비 발생 건수·단가·시점 차이 검토"))</x:f>
      </x:c>
    </x:row>
    <x:row r="1782">
      <x:c r="A1782" t="str">
        <x:f>IF(B1782="","",IF(COUNTIFS('전기원장'!$A$5:$A$1004,B1782,'전기원장'!$D$5:$D$1004,E1782)&gt;0,"전기","당기"))</x:f>
      </x:c>
      <x:c r="D1782" s="67"/>
      <x:c r="G1782" s="68"/>
      <x:c r="K1782" t="str">
        <x:f>IF(B1782="","",IF(I1782="확인 필요","붙임 문서 확인 후 거래 성격·기간·상대방·일회성 여부 확인","결의서명과 전기 대비 발생 건수·단가·시점 차이 검토"))</x:f>
      </x:c>
    </x:row>
    <x:row r="1783">
      <x:c r="A1783" t="str">
        <x:f>IF(B1783="","",IF(COUNTIFS('전기원장'!$A$5:$A$1004,B1783,'전기원장'!$D$5:$D$1004,E1783)&gt;0,"전기","당기"))</x:f>
      </x:c>
      <x:c r="D1783" s="67"/>
      <x:c r="G1783" s="68"/>
      <x:c r="K1783" t="str">
        <x:f>IF(B1783="","",IF(I1783="확인 필요","붙임 문서 확인 후 거래 성격·기간·상대방·일회성 여부 확인","결의서명과 전기 대비 발생 건수·단가·시점 차이 검토"))</x:f>
      </x:c>
    </x:row>
    <x:row r="1784">
      <x:c r="A1784" t="str">
        <x:f>IF(B1784="","",IF(COUNTIFS('전기원장'!$A$5:$A$1004,B1784,'전기원장'!$D$5:$D$1004,E1784)&gt;0,"전기","당기"))</x:f>
      </x:c>
      <x:c r="D1784" s="67"/>
      <x:c r="G1784" s="68"/>
      <x:c r="K1784" t="str">
        <x:f>IF(B1784="","",IF(I1784="확인 필요","붙임 문서 확인 후 거래 성격·기간·상대방·일회성 여부 확인","결의서명과 전기 대비 발생 건수·단가·시점 차이 검토"))</x:f>
      </x:c>
    </x:row>
    <x:row r="1785">
      <x:c r="A1785" t="str">
        <x:f>IF(B1785="","",IF(COUNTIFS('전기원장'!$A$5:$A$1004,B1785,'전기원장'!$D$5:$D$1004,E1785)&gt;0,"전기","당기"))</x:f>
      </x:c>
      <x:c r="D1785" s="67"/>
      <x:c r="G1785" s="68"/>
      <x:c r="K1785" t="str">
        <x:f>IF(B1785="","",IF(I1785="확인 필요","붙임 문서 확인 후 거래 성격·기간·상대방·일회성 여부 확인","결의서명과 전기 대비 발생 건수·단가·시점 차이 검토"))</x:f>
      </x:c>
    </x:row>
    <x:row r="1786">
      <x:c r="A1786" t="str">
        <x:f>IF(B1786="","",IF(COUNTIFS('전기원장'!$A$5:$A$1004,B1786,'전기원장'!$D$5:$D$1004,E1786)&gt;0,"전기","당기"))</x:f>
      </x:c>
      <x:c r="D1786" s="67"/>
      <x:c r="G1786" s="68"/>
      <x:c r="K1786" t="str">
        <x:f>IF(B1786="","",IF(I1786="확인 필요","붙임 문서 확인 후 거래 성격·기간·상대방·일회성 여부 확인","결의서명과 전기 대비 발생 건수·단가·시점 차이 검토"))</x:f>
      </x:c>
    </x:row>
    <x:row r="1787">
      <x:c r="A1787" t="str">
        <x:f>IF(B1787="","",IF(COUNTIFS('전기원장'!$A$5:$A$1004,B1787,'전기원장'!$D$5:$D$1004,E1787)&gt;0,"전기","당기"))</x:f>
      </x:c>
      <x:c r="D1787" s="67"/>
      <x:c r="G1787" s="68"/>
      <x:c r="K1787" t="str">
        <x:f>IF(B1787="","",IF(I1787="확인 필요","붙임 문서 확인 후 거래 성격·기간·상대방·일회성 여부 확인","결의서명과 전기 대비 발생 건수·단가·시점 차이 검토"))</x:f>
      </x:c>
    </x:row>
    <x:row r="1788">
      <x:c r="A1788" t="str">
        <x:f>IF(B1788="","",IF(COUNTIFS('전기원장'!$A$5:$A$1004,B1788,'전기원장'!$D$5:$D$1004,E1788)&gt;0,"전기","당기"))</x:f>
      </x:c>
      <x:c r="D1788" s="67"/>
      <x:c r="G1788" s="68"/>
      <x:c r="K1788" t="str">
        <x:f>IF(B1788="","",IF(I1788="확인 필요","붙임 문서 확인 후 거래 성격·기간·상대방·일회성 여부 확인","결의서명과 전기 대비 발생 건수·단가·시점 차이 검토"))</x:f>
      </x:c>
    </x:row>
    <x:row r="1789">
      <x:c r="A1789" t="str">
        <x:f>IF(B1789="","",IF(COUNTIFS('전기원장'!$A$5:$A$1004,B1789,'전기원장'!$D$5:$D$1004,E1789)&gt;0,"전기","당기"))</x:f>
      </x:c>
      <x:c r="D1789" s="67"/>
      <x:c r="G1789" s="68"/>
      <x:c r="K1789" t="str">
        <x:f>IF(B1789="","",IF(I1789="확인 필요","붙임 문서 확인 후 거래 성격·기간·상대방·일회성 여부 확인","결의서명과 전기 대비 발생 건수·단가·시점 차이 검토"))</x:f>
      </x:c>
    </x:row>
    <x:row r="1790">
      <x:c r="A1790" t="str">
        <x:f>IF(B1790="","",IF(COUNTIFS('전기원장'!$A$5:$A$1004,B1790,'전기원장'!$D$5:$D$1004,E1790)&gt;0,"전기","당기"))</x:f>
      </x:c>
      <x:c r="D1790" s="67"/>
      <x:c r="G1790" s="68"/>
      <x:c r="K1790" t="str">
        <x:f>IF(B1790="","",IF(I1790="확인 필요","붙임 문서 확인 후 거래 성격·기간·상대방·일회성 여부 확인","결의서명과 전기 대비 발생 건수·단가·시점 차이 검토"))</x:f>
      </x:c>
    </x:row>
    <x:row r="1791">
      <x:c r="A1791" t="str">
        <x:f>IF(B1791="","",IF(COUNTIFS('전기원장'!$A$5:$A$1004,B1791,'전기원장'!$D$5:$D$1004,E1791)&gt;0,"전기","당기"))</x:f>
      </x:c>
      <x:c r="D1791" s="67"/>
      <x:c r="G1791" s="68"/>
      <x:c r="K1791" t="str">
        <x:f>IF(B1791="","",IF(I1791="확인 필요","붙임 문서 확인 후 거래 성격·기간·상대방·일회성 여부 확인","결의서명과 전기 대비 발생 건수·단가·시점 차이 검토"))</x:f>
      </x:c>
    </x:row>
    <x:row r="1792">
      <x:c r="A1792" t="str">
        <x:f>IF(B1792="","",IF(COUNTIFS('전기원장'!$A$5:$A$1004,B1792,'전기원장'!$D$5:$D$1004,E1792)&gt;0,"전기","당기"))</x:f>
      </x:c>
      <x:c r="D1792" s="67"/>
      <x:c r="G1792" s="68"/>
      <x:c r="K1792" t="str">
        <x:f>IF(B1792="","",IF(I1792="확인 필요","붙임 문서 확인 후 거래 성격·기간·상대방·일회성 여부 확인","결의서명과 전기 대비 발생 건수·단가·시점 차이 검토"))</x:f>
      </x:c>
    </x:row>
    <x:row r="1793">
      <x:c r="A1793" t="str">
        <x:f>IF(B1793="","",IF(COUNTIFS('전기원장'!$A$5:$A$1004,B1793,'전기원장'!$D$5:$D$1004,E1793)&gt;0,"전기","당기"))</x:f>
      </x:c>
      <x:c r="D1793" s="67"/>
      <x:c r="G1793" s="68"/>
      <x:c r="K1793" t="str">
        <x:f>IF(B1793="","",IF(I1793="확인 필요","붙임 문서 확인 후 거래 성격·기간·상대방·일회성 여부 확인","결의서명과 전기 대비 발생 건수·단가·시점 차이 검토"))</x:f>
      </x:c>
    </x:row>
    <x:row r="1794">
      <x:c r="A1794" t="str">
        <x:f>IF(B1794="","",IF(COUNTIFS('전기원장'!$A$5:$A$1004,B1794,'전기원장'!$D$5:$D$1004,E1794)&gt;0,"전기","당기"))</x:f>
      </x:c>
      <x:c r="D1794" s="67"/>
      <x:c r="G1794" s="68"/>
      <x:c r="K1794" t="str">
        <x:f>IF(B1794="","",IF(I1794="확인 필요","붙임 문서 확인 후 거래 성격·기간·상대방·일회성 여부 확인","결의서명과 전기 대비 발생 건수·단가·시점 차이 검토"))</x:f>
      </x:c>
    </x:row>
    <x:row r="1795">
      <x:c r="A1795" t="str">
        <x:f>IF(B1795="","",IF(COUNTIFS('전기원장'!$A$5:$A$1004,B1795,'전기원장'!$D$5:$D$1004,E1795)&gt;0,"전기","당기"))</x:f>
      </x:c>
      <x:c r="D1795" s="67"/>
      <x:c r="G1795" s="68"/>
      <x:c r="K1795" t="str">
        <x:f>IF(B1795="","",IF(I1795="확인 필요","붙임 문서 확인 후 거래 성격·기간·상대방·일회성 여부 확인","결의서명과 전기 대비 발생 건수·단가·시점 차이 검토"))</x:f>
      </x:c>
    </x:row>
    <x:row r="1796">
      <x:c r="A1796" t="str">
        <x:f>IF(B1796="","",IF(COUNTIFS('전기원장'!$A$5:$A$1004,B1796,'전기원장'!$D$5:$D$1004,E1796)&gt;0,"전기","당기"))</x:f>
      </x:c>
      <x:c r="D1796" s="67"/>
      <x:c r="G1796" s="68"/>
      <x:c r="K1796" t="str">
        <x:f>IF(B1796="","",IF(I1796="확인 필요","붙임 문서 확인 후 거래 성격·기간·상대방·일회성 여부 확인","결의서명과 전기 대비 발생 건수·단가·시점 차이 검토"))</x:f>
      </x:c>
    </x:row>
    <x:row r="1797">
      <x:c r="A1797" t="str">
        <x:f>IF(B1797="","",IF(COUNTIFS('전기원장'!$A$5:$A$1004,B1797,'전기원장'!$D$5:$D$1004,E1797)&gt;0,"전기","당기"))</x:f>
      </x:c>
      <x:c r="D1797" s="67"/>
      <x:c r="G1797" s="68"/>
      <x:c r="K1797" t="str">
        <x:f>IF(B1797="","",IF(I1797="확인 필요","붙임 문서 확인 후 거래 성격·기간·상대방·일회성 여부 확인","결의서명과 전기 대비 발생 건수·단가·시점 차이 검토"))</x:f>
      </x:c>
    </x:row>
    <x:row r="1798">
      <x:c r="A1798" t="str">
        <x:f>IF(B1798="","",IF(COUNTIFS('전기원장'!$A$5:$A$1004,B1798,'전기원장'!$D$5:$D$1004,E1798)&gt;0,"전기","당기"))</x:f>
      </x:c>
      <x:c r="D1798" s="67"/>
      <x:c r="G1798" s="68"/>
      <x:c r="K1798" t="str">
        <x:f>IF(B1798="","",IF(I1798="확인 필요","붙임 문서 확인 후 거래 성격·기간·상대방·일회성 여부 확인","결의서명과 전기 대비 발생 건수·단가·시점 차이 검토"))</x:f>
      </x:c>
    </x:row>
    <x:row r="1799">
      <x:c r="A1799" t="str">
        <x:f>IF(B1799="","",IF(COUNTIFS('전기원장'!$A$5:$A$1004,B1799,'전기원장'!$D$5:$D$1004,E1799)&gt;0,"전기","당기"))</x:f>
      </x:c>
      <x:c r="D1799" s="67"/>
      <x:c r="G1799" s="68"/>
      <x:c r="K1799" t="str">
        <x:f>IF(B1799="","",IF(I1799="확인 필요","붙임 문서 확인 후 거래 성격·기간·상대방·일회성 여부 확인","결의서명과 전기 대비 발생 건수·단가·시점 차이 검토"))</x:f>
      </x:c>
    </x:row>
    <x:row r="1800">
      <x:c r="A1800" t="str">
        <x:f>IF(B1800="","",IF(COUNTIFS('전기원장'!$A$5:$A$1004,B1800,'전기원장'!$D$5:$D$1004,E1800)&gt;0,"전기","당기"))</x:f>
      </x:c>
      <x:c r="D1800" s="67"/>
      <x:c r="G1800" s="68"/>
      <x:c r="K1800" t="str">
        <x:f>IF(B1800="","",IF(I1800="확인 필요","붙임 문서 확인 후 거래 성격·기간·상대방·일회성 여부 확인","결의서명과 전기 대비 발생 건수·단가·시점 차이 검토"))</x:f>
      </x:c>
    </x:row>
    <x:row r="1801">
      <x:c r="A1801" t="str">
        <x:f>IF(B1801="","",IF(COUNTIFS('전기원장'!$A$5:$A$1004,B1801,'전기원장'!$D$5:$D$1004,E1801)&gt;0,"전기","당기"))</x:f>
      </x:c>
      <x:c r="D1801" s="67"/>
      <x:c r="G1801" s="68"/>
      <x:c r="K1801" t="str">
        <x:f>IF(B1801="","",IF(I1801="확인 필요","붙임 문서 확인 후 거래 성격·기간·상대방·일회성 여부 확인","결의서명과 전기 대비 발생 건수·단가·시점 차이 검토"))</x:f>
      </x:c>
    </x:row>
    <x:row r="1802">
      <x:c r="A1802" t="str">
        <x:f>IF(B1802="","",IF(COUNTIFS('전기원장'!$A$5:$A$1004,B1802,'전기원장'!$D$5:$D$1004,E1802)&gt;0,"전기","당기"))</x:f>
      </x:c>
      <x:c r="D1802" s="67"/>
      <x:c r="G1802" s="68"/>
      <x:c r="K1802" t="str">
        <x:f>IF(B1802="","",IF(I1802="확인 필요","붙임 문서 확인 후 거래 성격·기간·상대방·일회성 여부 확인","결의서명과 전기 대비 발생 건수·단가·시점 차이 검토"))</x:f>
      </x:c>
    </x:row>
    <x:row r="1803">
      <x:c r="A1803" t="str">
        <x:f>IF(B1803="","",IF(COUNTIFS('전기원장'!$A$5:$A$1004,B1803,'전기원장'!$D$5:$D$1004,E1803)&gt;0,"전기","당기"))</x:f>
      </x:c>
      <x:c r="D1803" s="67"/>
      <x:c r="G1803" s="68"/>
      <x:c r="K1803" t="str">
        <x:f>IF(B1803="","",IF(I1803="확인 필요","붙임 문서 확인 후 거래 성격·기간·상대방·일회성 여부 확인","결의서명과 전기 대비 발생 건수·단가·시점 차이 검토"))</x:f>
      </x:c>
    </x:row>
    <x:row r="1804">
      <x:c r="A1804" t="str">
        <x:f>IF(B1804="","",IF(COUNTIFS('전기원장'!$A$5:$A$1004,B1804,'전기원장'!$D$5:$D$1004,E1804)&gt;0,"전기","당기"))</x:f>
      </x:c>
      <x:c r="D1804" s="67"/>
      <x:c r="G1804" s="68"/>
      <x:c r="K1804" t="str">
        <x:f>IF(B1804="","",IF(I1804="확인 필요","붙임 문서 확인 후 거래 성격·기간·상대방·일회성 여부 확인","결의서명과 전기 대비 발생 건수·단가·시점 차이 검토"))</x:f>
      </x:c>
    </x:row>
    <x:row r="1805">
      <x:c r="A1805" t="str">
        <x:f>IF(B1805="","",IF(COUNTIFS('전기원장'!$A$5:$A$1004,B1805,'전기원장'!$D$5:$D$1004,E1805)&gt;0,"전기","당기"))</x:f>
      </x:c>
      <x:c r="D1805" s="67"/>
      <x:c r="G1805" s="68"/>
      <x:c r="K1805" t="str">
        <x:f>IF(B1805="","",IF(I1805="확인 필요","붙임 문서 확인 후 거래 성격·기간·상대방·일회성 여부 확인","결의서명과 전기 대비 발생 건수·단가·시점 차이 검토"))</x:f>
      </x:c>
    </x:row>
    <x:row r="1806">
      <x:c r="A1806" t="str">
        <x:f>IF(B1806="","",IF(COUNTIFS('전기원장'!$A$5:$A$1004,B1806,'전기원장'!$D$5:$D$1004,E1806)&gt;0,"전기","당기"))</x:f>
      </x:c>
      <x:c r="D1806" s="67"/>
      <x:c r="G1806" s="68"/>
      <x:c r="K1806" t="str">
        <x:f>IF(B1806="","",IF(I1806="확인 필요","붙임 문서 확인 후 거래 성격·기간·상대방·일회성 여부 확인","결의서명과 전기 대비 발생 건수·단가·시점 차이 검토"))</x:f>
      </x:c>
    </x:row>
    <x:row r="1807">
      <x:c r="A1807" t="str">
        <x:f>IF(B1807="","",IF(COUNTIFS('전기원장'!$A$5:$A$1004,B1807,'전기원장'!$D$5:$D$1004,E1807)&gt;0,"전기","당기"))</x:f>
      </x:c>
      <x:c r="D1807" s="67"/>
      <x:c r="G1807" s="68"/>
      <x:c r="K1807" t="str">
        <x:f>IF(B1807="","",IF(I1807="확인 필요","붙임 문서 확인 후 거래 성격·기간·상대방·일회성 여부 확인","결의서명과 전기 대비 발생 건수·단가·시점 차이 검토"))</x:f>
      </x:c>
    </x:row>
    <x:row r="1808">
      <x:c r="A1808" t="str">
        <x:f>IF(B1808="","",IF(COUNTIFS('전기원장'!$A$5:$A$1004,B1808,'전기원장'!$D$5:$D$1004,E1808)&gt;0,"전기","당기"))</x:f>
      </x:c>
      <x:c r="D1808" s="67"/>
      <x:c r="G1808" s="68"/>
      <x:c r="K1808" t="str">
        <x:f>IF(B1808="","",IF(I1808="확인 필요","붙임 문서 확인 후 거래 성격·기간·상대방·일회성 여부 확인","결의서명과 전기 대비 발생 건수·단가·시점 차이 검토"))</x:f>
      </x:c>
    </x:row>
    <x:row r="1809">
      <x:c r="A1809" t="str">
        <x:f>IF(B1809="","",IF(COUNTIFS('전기원장'!$A$5:$A$1004,B1809,'전기원장'!$D$5:$D$1004,E1809)&gt;0,"전기","당기"))</x:f>
      </x:c>
      <x:c r="D1809" s="67"/>
      <x:c r="G1809" s="68"/>
      <x:c r="K1809" t="str">
        <x:f>IF(B1809="","",IF(I1809="확인 필요","붙임 문서 확인 후 거래 성격·기간·상대방·일회성 여부 확인","결의서명과 전기 대비 발생 건수·단가·시점 차이 검토"))</x:f>
      </x:c>
    </x:row>
    <x:row r="1810">
      <x:c r="A1810" t="str">
        <x:f>IF(B1810="","",IF(COUNTIFS('전기원장'!$A$5:$A$1004,B1810,'전기원장'!$D$5:$D$1004,E1810)&gt;0,"전기","당기"))</x:f>
      </x:c>
      <x:c r="D1810" s="67"/>
      <x:c r="G1810" s="68"/>
      <x:c r="K1810" t="str">
        <x:f>IF(B1810="","",IF(I1810="확인 필요","붙임 문서 확인 후 거래 성격·기간·상대방·일회성 여부 확인","결의서명과 전기 대비 발생 건수·단가·시점 차이 검토"))</x:f>
      </x:c>
    </x:row>
    <x:row r="1811">
      <x:c r="A1811" t="str">
        <x:f>IF(B1811="","",IF(COUNTIFS('전기원장'!$A$5:$A$1004,B1811,'전기원장'!$D$5:$D$1004,E1811)&gt;0,"전기","당기"))</x:f>
      </x:c>
      <x:c r="D1811" s="67"/>
      <x:c r="G1811" s="68"/>
      <x:c r="K1811" t="str">
        <x:f>IF(B1811="","",IF(I1811="확인 필요","붙임 문서 확인 후 거래 성격·기간·상대방·일회성 여부 확인","결의서명과 전기 대비 발생 건수·단가·시점 차이 검토"))</x:f>
      </x:c>
    </x:row>
    <x:row r="1812">
      <x:c r="A1812" t="str">
        <x:f>IF(B1812="","",IF(COUNTIFS('전기원장'!$A$5:$A$1004,B1812,'전기원장'!$D$5:$D$1004,E1812)&gt;0,"전기","당기"))</x:f>
      </x:c>
      <x:c r="D1812" s="67"/>
      <x:c r="G1812" s="68"/>
      <x:c r="K1812" t="str">
        <x:f>IF(B1812="","",IF(I1812="확인 필요","붙임 문서 확인 후 거래 성격·기간·상대방·일회성 여부 확인","결의서명과 전기 대비 발생 건수·단가·시점 차이 검토"))</x:f>
      </x:c>
    </x:row>
    <x:row r="1813">
      <x:c r="A1813" t="str">
        <x:f>IF(B1813="","",IF(COUNTIFS('전기원장'!$A$5:$A$1004,B1813,'전기원장'!$D$5:$D$1004,E1813)&gt;0,"전기","당기"))</x:f>
      </x:c>
      <x:c r="D1813" s="67"/>
      <x:c r="G1813" s="68"/>
      <x:c r="K1813" t="str">
        <x:f>IF(B1813="","",IF(I1813="확인 필요","붙임 문서 확인 후 거래 성격·기간·상대방·일회성 여부 확인","결의서명과 전기 대비 발생 건수·단가·시점 차이 검토"))</x:f>
      </x:c>
    </x:row>
    <x:row r="1814">
      <x:c r="A1814" t="str">
        <x:f>IF(B1814="","",IF(COUNTIFS('전기원장'!$A$5:$A$1004,B1814,'전기원장'!$D$5:$D$1004,E1814)&gt;0,"전기","당기"))</x:f>
      </x:c>
      <x:c r="D1814" s="67"/>
      <x:c r="G1814" s="68"/>
      <x:c r="K1814" t="str">
        <x:f>IF(B1814="","",IF(I1814="확인 필요","붙임 문서 확인 후 거래 성격·기간·상대방·일회성 여부 확인","결의서명과 전기 대비 발생 건수·단가·시점 차이 검토"))</x:f>
      </x:c>
    </x:row>
    <x:row r="1815">
      <x:c r="A1815" t="str">
        <x:f>IF(B1815="","",IF(COUNTIFS('전기원장'!$A$5:$A$1004,B1815,'전기원장'!$D$5:$D$1004,E1815)&gt;0,"전기","당기"))</x:f>
      </x:c>
      <x:c r="D1815" s="67"/>
      <x:c r="G1815" s="68"/>
      <x:c r="K1815" t="str">
        <x:f>IF(B1815="","",IF(I1815="확인 필요","붙임 문서 확인 후 거래 성격·기간·상대방·일회성 여부 확인","결의서명과 전기 대비 발생 건수·단가·시점 차이 검토"))</x:f>
      </x:c>
    </x:row>
    <x:row r="1816">
      <x:c r="A1816" t="str">
        <x:f>IF(B1816="","",IF(COUNTIFS('전기원장'!$A$5:$A$1004,B1816,'전기원장'!$D$5:$D$1004,E1816)&gt;0,"전기","당기"))</x:f>
      </x:c>
      <x:c r="D1816" s="67"/>
      <x:c r="G1816" s="68"/>
      <x:c r="K1816" t="str">
        <x:f>IF(B1816="","",IF(I1816="확인 필요","붙임 문서 확인 후 거래 성격·기간·상대방·일회성 여부 확인","결의서명과 전기 대비 발생 건수·단가·시점 차이 검토"))</x:f>
      </x:c>
    </x:row>
    <x:row r="1817">
      <x:c r="A1817" t="str">
        <x:f>IF(B1817="","",IF(COUNTIFS('전기원장'!$A$5:$A$1004,B1817,'전기원장'!$D$5:$D$1004,E1817)&gt;0,"전기","당기"))</x:f>
      </x:c>
      <x:c r="D1817" s="67"/>
      <x:c r="G1817" s="68"/>
      <x:c r="K1817" t="str">
        <x:f>IF(B1817="","",IF(I1817="확인 필요","붙임 문서 확인 후 거래 성격·기간·상대방·일회성 여부 확인","결의서명과 전기 대비 발생 건수·단가·시점 차이 검토"))</x:f>
      </x:c>
    </x:row>
    <x:row r="1818">
      <x:c r="A1818" t="str">
        <x:f>IF(B1818="","",IF(COUNTIFS('전기원장'!$A$5:$A$1004,B1818,'전기원장'!$D$5:$D$1004,E1818)&gt;0,"전기","당기"))</x:f>
      </x:c>
      <x:c r="D1818" s="67"/>
      <x:c r="G1818" s="68"/>
      <x:c r="K1818" t="str">
        <x:f>IF(B1818="","",IF(I1818="확인 필요","붙임 문서 확인 후 거래 성격·기간·상대방·일회성 여부 확인","결의서명과 전기 대비 발생 건수·단가·시점 차이 검토"))</x:f>
      </x:c>
    </x:row>
    <x:row r="1819">
      <x:c r="A1819" t="str">
        <x:f>IF(B1819="","",IF(COUNTIFS('전기원장'!$A$5:$A$1004,B1819,'전기원장'!$D$5:$D$1004,E1819)&gt;0,"전기","당기"))</x:f>
      </x:c>
      <x:c r="D1819" s="67"/>
      <x:c r="G1819" s="68"/>
      <x:c r="K1819" t="str">
        <x:f>IF(B1819="","",IF(I1819="확인 필요","붙임 문서 확인 후 거래 성격·기간·상대방·일회성 여부 확인","결의서명과 전기 대비 발생 건수·단가·시점 차이 검토"))</x:f>
      </x:c>
    </x:row>
    <x:row r="1820">
      <x:c r="A1820" t="str">
        <x:f>IF(B1820="","",IF(COUNTIFS('전기원장'!$A$5:$A$1004,B1820,'전기원장'!$D$5:$D$1004,E1820)&gt;0,"전기","당기"))</x:f>
      </x:c>
      <x:c r="D1820" s="67"/>
      <x:c r="G1820" s="68"/>
      <x:c r="K1820" t="str">
        <x:f>IF(B1820="","",IF(I1820="확인 필요","붙임 문서 확인 후 거래 성격·기간·상대방·일회성 여부 확인","결의서명과 전기 대비 발생 건수·단가·시점 차이 검토"))</x:f>
      </x:c>
    </x:row>
    <x:row r="1821">
      <x:c r="A1821" t="str">
        <x:f>IF(B1821="","",IF(COUNTIFS('전기원장'!$A$5:$A$1004,B1821,'전기원장'!$D$5:$D$1004,E1821)&gt;0,"전기","당기"))</x:f>
      </x:c>
      <x:c r="D1821" s="67"/>
      <x:c r="G1821" s="68"/>
      <x:c r="K1821" t="str">
        <x:f>IF(B1821="","",IF(I1821="확인 필요","붙임 문서 확인 후 거래 성격·기간·상대방·일회성 여부 확인","결의서명과 전기 대비 발생 건수·단가·시점 차이 검토"))</x:f>
      </x:c>
    </x:row>
    <x:row r="1822">
      <x:c r="A1822" t="str">
        <x:f>IF(B1822="","",IF(COUNTIFS('전기원장'!$A$5:$A$1004,B1822,'전기원장'!$D$5:$D$1004,E1822)&gt;0,"전기","당기"))</x:f>
      </x:c>
      <x:c r="D1822" s="67"/>
      <x:c r="G1822" s="68"/>
      <x:c r="K1822" t="str">
        <x:f>IF(B1822="","",IF(I1822="확인 필요","붙임 문서 확인 후 거래 성격·기간·상대방·일회성 여부 확인","결의서명과 전기 대비 발생 건수·단가·시점 차이 검토"))</x:f>
      </x:c>
    </x:row>
    <x:row r="1823">
      <x:c r="A1823" t="str">
        <x:f>IF(B1823="","",IF(COUNTIFS('전기원장'!$A$5:$A$1004,B1823,'전기원장'!$D$5:$D$1004,E1823)&gt;0,"전기","당기"))</x:f>
      </x:c>
      <x:c r="D1823" s="67"/>
      <x:c r="G1823" s="68"/>
      <x:c r="K1823" t="str">
        <x:f>IF(B1823="","",IF(I1823="확인 필요","붙임 문서 확인 후 거래 성격·기간·상대방·일회성 여부 확인","결의서명과 전기 대비 발생 건수·단가·시점 차이 검토"))</x:f>
      </x:c>
    </x:row>
    <x:row r="1824">
      <x:c r="A1824" t="str">
        <x:f>IF(B1824="","",IF(COUNTIFS('전기원장'!$A$5:$A$1004,B1824,'전기원장'!$D$5:$D$1004,E1824)&gt;0,"전기","당기"))</x:f>
      </x:c>
      <x:c r="D1824" s="67"/>
      <x:c r="G1824" s="68"/>
      <x:c r="K1824" t="str">
        <x:f>IF(B1824="","",IF(I1824="확인 필요","붙임 문서 확인 후 거래 성격·기간·상대방·일회성 여부 확인","결의서명과 전기 대비 발생 건수·단가·시점 차이 검토"))</x:f>
      </x:c>
    </x:row>
    <x:row r="1825">
      <x:c r="A1825" t="str">
        <x:f>IF(B1825="","",IF(COUNTIFS('전기원장'!$A$5:$A$1004,B1825,'전기원장'!$D$5:$D$1004,E1825)&gt;0,"전기","당기"))</x:f>
      </x:c>
      <x:c r="D1825" s="67"/>
      <x:c r="G1825" s="68"/>
      <x:c r="K1825" t="str">
        <x:f>IF(B1825="","",IF(I1825="확인 필요","붙임 문서 확인 후 거래 성격·기간·상대방·일회성 여부 확인","결의서명과 전기 대비 발생 건수·단가·시점 차이 검토"))</x:f>
      </x:c>
    </x:row>
    <x:row r="1826">
      <x:c r="A1826" t="str">
        <x:f>IF(B1826="","",IF(COUNTIFS('전기원장'!$A$5:$A$1004,B1826,'전기원장'!$D$5:$D$1004,E1826)&gt;0,"전기","당기"))</x:f>
      </x:c>
      <x:c r="D1826" s="67"/>
      <x:c r="G1826" s="68"/>
      <x:c r="K1826" t="str">
        <x:f>IF(B1826="","",IF(I1826="확인 필요","붙임 문서 확인 후 거래 성격·기간·상대방·일회성 여부 확인","결의서명과 전기 대비 발생 건수·단가·시점 차이 검토"))</x:f>
      </x:c>
    </x:row>
    <x:row r="1827">
      <x:c r="A1827" t="str">
        <x:f>IF(B1827="","",IF(COUNTIFS('전기원장'!$A$5:$A$1004,B1827,'전기원장'!$D$5:$D$1004,E1827)&gt;0,"전기","당기"))</x:f>
      </x:c>
      <x:c r="D1827" s="67"/>
      <x:c r="G1827" s="68"/>
      <x:c r="K1827" t="str">
        <x:f>IF(B1827="","",IF(I1827="확인 필요","붙임 문서 확인 후 거래 성격·기간·상대방·일회성 여부 확인","결의서명과 전기 대비 발생 건수·단가·시점 차이 검토"))</x:f>
      </x:c>
    </x:row>
    <x:row r="1828">
      <x:c r="A1828" t="str">
        <x:f>IF(B1828="","",IF(COUNTIFS('전기원장'!$A$5:$A$1004,B1828,'전기원장'!$D$5:$D$1004,E1828)&gt;0,"전기","당기"))</x:f>
      </x:c>
      <x:c r="D1828" s="67"/>
      <x:c r="G1828" s="68"/>
      <x:c r="K1828" t="str">
        <x:f>IF(B1828="","",IF(I1828="확인 필요","붙임 문서 확인 후 거래 성격·기간·상대방·일회성 여부 확인","결의서명과 전기 대비 발생 건수·단가·시점 차이 검토"))</x:f>
      </x:c>
    </x:row>
    <x:row r="1829">
      <x:c r="A1829" t="str">
        <x:f>IF(B1829="","",IF(COUNTIFS('전기원장'!$A$5:$A$1004,B1829,'전기원장'!$D$5:$D$1004,E1829)&gt;0,"전기","당기"))</x:f>
      </x:c>
      <x:c r="D1829" s="67"/>
      <x:c r="G1829" s="68"/>
      <x:c r="K1829" t="str">
        <x:f>IF(B1829="","",IF(I1829="확인 필요","붙임 문서 확인 후 거래 성격·기간·상대방·일회성 여부 확인","결의서명과 전기 대비 발생 건수·단가·시점 차이 검토"))</x:f>
      </x:c>
    </x:row>
    <x:row r="1830">
      <x:c r="A1830" t="str">
        <x:f>IF(B1830="","",IF(COUNTIFS('전기원장'!$A$5:$A$1004,B1830,'전기원장'!$D$5:$D$1004,E1830)&gt;0,"전기","당기"))</x:f>
      </x:c>
      <x:c r="D1830" s="67"/>
      <x:c r="G1830" s="68"/>
      <x:c r="K1830" t="str">
        <x:f>IF(B1830="","",IF(I1830="확인 필요","붙임 문서 확인 후 거래 성격·기간·상대방·일회성 여부 확인","결의서명과 전기 대비 발생 건수·단가·시점 차이 검토"))</x:f>
      </x:c>
    </x:row>
    <x:row r="1831">
      <x:c r="A1831" t="str">
        <x:f>IF(B1831="","",IF(COUNTIFS('전기원장'!$A$5:$A$1004,B1831,'전기원장'!$D$5:$D$1004,E1831)&gt;0,"전기","당기"))</x:f>
      </x:c>
      <x:c r="D1831" s="67"/>
      <x:c r="G1831" s="68"/>
      <x:c r="K1831" t="str">
        <x:f>IF(B1831="","",IF(I1831="확인 필요","붙임 문서 확인 후 거래 성격·기간·상대방·일회성 여부 확인","결의서명과 전기 대비 발생 건수·단가·시점 차이 검토"))</x:f>
      </x:c>
    </x:row>
    <x:row r="1832">
      <x:c r="A1832" t="str">
        <x:f>IF(B1832="","",IF(COUNTIFS('전기원장'!$A$5:$A$1004,B1832,'전기원장'!$D$5:$D$1004,E1832)&gt;0,"전기","당기"))</x:f>
      </x:c>
      <x:c r="D1832" s="67"/>
      <x:c r="G1832" s="68"/>
      <x:c r="K1832" t="str">
        <x:f>IF(B1832="","",IF(I1832="확인 필요","붙임 문서 확인 후 거래 성격·기간·상대방·일회성 여부 확인","결의서명과 전기 대비 발생 건수·단가·시점 차이 검토"))</x:f>
      </x:c>
    </x:row>
    <x:row r="1833">
      <x:c r="A1833" t="str">
        <x:f>IF(B1833="","",IF(COUNTIFS('전기원장'!$A$5:$A$1004,B1833,'전기원장'!$D$5:$D$1004,E1833)&gt;0,"전기","당기"))</x:f>
      </x:c>
      <x:c r="D1833" s="67"/>
      <x:c r="G1833" s="68"/>
      <x:c r="K1833" t="str">
        <x:f>IF(B1833="","",IF(I1833="확인 필요","붙임 문서 확인 후 거래 성격·기간·상대방·일회성 여부 확인","결의서명과 전기 대비 발생 건수·단가·시점 차이 검토"))</x:f>
      </x:c>
    </x:row>
    <x:row r="1834">
      <x:c r="A1834" t="str">
        <x:f>IF(B1834="","",IF(COUNTIFS('전기원장'!$A$5:$A$1004,B1834,'전기원장'!$D$5:$D$1004,E1834)&gt;0,"전기","당기"))</x:f>
      </x:c>
      <x:c r="D1834" s="67"/>
      <x:c r="G1834" s="68"/>
      <x:c r="K1834" t="str">
        <x:f>IF(B1834="","",IF(I1834="확인 필요","붙임 문서 확인 후 거래 성격·기간·상대방·일회성 여부 확인","결의서명과 전기 대비 발생 건수·단가·시점 차이 검토"))</x:f>
      </x:c>
    </x:row>
    <x:row r="1835">
      <x:c r="A1835" t="str">
        <x:f>IF(B1835="","",IF(COUNTIFS('전기원장'!$A$5:$A$1004,B1835,'전기원장'!$D$5:$D$1004,E1835)&gt;0,"전기","당기"))</x:f>
      </x:c>
      <x:c r="D1835" s="67"/>
      <x:c r="G1835" s="68"/>
      <x:c r="K1835" t="str">
        <x:f>IF(B1835="","",IF(I1835="확인 필요","붙임 문서 확인 후 거래 성격·기간·상대방·일회성 여부 확인","결의서명과 전기 대비 발생 건수·단가·시점 차이 검토"))</x:f>
      </x:c>
    </x:row>
    <x:row r="1836">
      <x:c r="A1836" t="str">
        <x:f>IF(B1836="","",IF(COUNTIFS('전기원장'!$A$5:$A$1004,B1836,'전기원장'!$D$5:$D$1004,E1836)&gt;0,"전기","당기"))</x:f>
      </x:c>
      <x:c r="D1836" s="67"/>
      <x:c r="G1836" s="68"/>
      <x:c r="K1836" t="str">
        <x:f>IF(B1836="","",IF(I1836="확인 필요","붙임 문서 확인 후 거래 성격·기간·상대방·일회성 여부 확인","결의서명과 전기 대비 발생 건수·단가·시점 차이 검토"))</x:f>
      </x:c>
    </x:row>
    <x:row r="1837">
      <x:c r="A1837" t="str">
        <x:f>IF(B1837="","",IF(COUNTIFS('전기원장'!$A$5:$A$1004,B1837,'전기원장'!$D$5:$D$1004,E1837)&gt;0,"전기","당기"))</x:f>
      </x:c>
      <x:c r="D1837" s="67"/>
      <x:c r="G1837" s="68"/>
      <x:c r="K1837" t="str">
        <x:f>IF(B1837="","",IF(I1837="확인 필요","붙임 문서 확인 후 거래 성격·기간·상대방·일회성 여부 확인","결의서명과 전기 대비 발생 건수·단가·시점 차이 검토"))</x:f>
      </x:c>
    </x:row>
    <x:row r="1838">
      <x:c r="A1838" t="str">
        <x:f>IF(B1838="","",IF(COUNTIFS('전기원장'!$A$5:$A$1004,B1838,'전기원장'!$D$5:$D$1004,E1838)&gt;0,"전기","당기"))</x:f>
      </x:c>
      <x:c r="D1838" s="67"/>
      <x:c r="G1838" s="68"/>
      <x:c r="K1838" t="str">
        <x:f>IF(B1838="","",IF(I1838="확인 필요","붙임 문서 확인 후 거래 성격·기간·상대방·일회성 여부 확인","결의서명과 전기 대비 발생 건수·단가·시점 차이 검토"))</x:f>
      </x:c>
    </x:row>
    <x:row r="1839">
      <x:c r="A1839" t="str">
        <x:f>IF(B1839="","",IF(COUNTIFS('전기원장'!$A$5:$A$1004,B1839,'전기원장'!$D$5:$D$1004,E1839)&gt;0,"전기","당기"))</x:f>
      </x:c>
      <x:c r="D1839" s="67"/>
      <x:c r="G1839" s="68"/>
      <x:c r="K1839" t="str">
        <x:f>IF(B1839="","",IF(I1839="확인 필요","붙임 문서 확인 후 거래 성격·기간·상대방·일회성 여부 확인","결의서명과 전기 대비 발생 건수·단가·시점 차이 검토"))</x:f>
      </x:c>
    </x:row>
    <x:row r="1840">
      <x:c r="A1840" t="str">
        <x:f>IF(B1840="","",IF(COUNTIFS('전기원장'!$A$5:$A$1004,B1840,'전기원장'!$D$5:$D$1004,E1840)&gt;0,"전기","당기"))</x:f>
      </x:c>
      <x:c r="D1840" s="67"/>
      <x:c r="G1840" s="68"/>
      <x:c r="K1840" t="str">
        <x:f>IF(B1840="","",IF(I1840="확인 필요","붙임 문서 확인 후 거래 성격·기간·상대방·일회성 여부 확인","결의서명과 전기 대비 발생 건수·단가·시점 차이 검토"))</x:f>
      </x:c>
    </x:row>
    <x:row r="1841">
      <x:c r="A1841" t="str">
        <x:f>IF(B1841="","",IF(COUNTIFS('전기원장'!$A$5:$A$1004,B1841,'전기원장'!$D$5:$D$1004,E1841)&gt;0,"전기","당기"))</x:f>
      </x:c>
      <x:c r="D1841" s="67"/>
      <x:c r="G1841" s="68"/>
      <x:c r="K1841" t="str">
        <x:f>IF(B1841="","",IF(I1841="확인 필요","붙임 문서 확인 후 거래 성격·기간·상대방·일회성 여부 확인","결의서명과 전기 대비 발생 건수·단가·시점 차이 검토"))</x:f>
      </x:c>
    </x:row>
    <x:row r="1842">
      <x:c r="A1842" t="str">
        <x:f>IF(B1842="","",IF(COUNTIFS('전기원장'!$A$5:$A$1004,B1842,'전기원장'!$D$5:$D$1004,E1842)&gt;0,"전기","당기"))</x:f>
      </x:c>
      <x:c r="D1842" s="67"/>
      <x:c r="G1842" s="68"/>
      <x:c r="K1842" t="str">
        <x:f>IF(B1842="","",IF(I1842="확인 필요","붙임 문서 확인 후 거래 성격·기간·상대방·일회성 여부 확인","결의서명과 전기 대비 발생 건수·단가·시점 차이 검토"))</x:f>
      </x:c>
    </x:row>
    <x:row r="1843">
      <x:c r="A1843" t="str">
        <x:f>IF(B1843="","",IF(COUNTIFS('전기원장'!$A$5:$A$1004,B1843,'전기원장'!$D$5:$D$1004,E1843)&gt;0,"전기","당기"))</x:f>
      </x:c>
      <x:c r="D1843" s="67"/>
      <x:c r="G1843" s="68"/>
      <x:c r="K1843" t="str">
        <x:f>IF(B1843="","",IF(I1843="확인 필요","붙임 문서 확인 후 거래 성격·기간·상대방·일회성 여부 확인","결의서명과 전기 대비 발생 건수·단가·시점 차이 검토"))</x:f>
      </x:c>
    </x:row>
    <x:row r="1844">
      <x:c r="A1844" t="str">
        <x:f>IF(B1844="","",IF(COUNTIFS('전기원장'!$A$5:$A$1004,B1844,'전기원장'!$D$5:$D$1004,E1844)&gt;0,"전기","당기"))</x:f>
      </x:c>
      <x:c r="D1844" s="67"/>
      <x:c r="G1844" s="68"/>
      <x:c r="K1844" t="str">
        <x:f>IF(B1844="","",IF(I1844="확인 필요","붙임 문서 확인 후 거래 성격·기간·상대방·일회성 여부 확인","결의서명과 전기 대비 발생 건수·단가·시점 차이 검토"))</x:f>
      </x:c>
    </x:row>
    <x:row r="1845">
      <x:c r="A1845" t="str">
        <x:f>IF(B1845="","",IF(COUNTIFS('전기원장'!$A$5:$A$1004,B1845,'전기원장'!$D$5:$D$1004,E1845)&gt;0,"전기","당기"))</x:f>
      </x:c>
      <x:c r="D1845" s="67"/>
      <x:c r="G1845" s="68"/>
      <x:c r="K1845" t="str">
        <x:f>IF(B1845="","",IF(I1845="확인 필요","붙임 문서 확인 후 거래 성격·기간·상대방·일회성 여부 확인","결의서명과 전기 대비 발생 건수·단가·시점 차이 검토"))</x:f>
      </x:c>
    </x:row>
    <x:row r="1846">
      <x:c r="A1846" t="str">
        <x:f>IF(B1846="","",IF(COUNTIFS('전기원장'!$A$5:$A$1004,B1846,'전기원장'!$D$5:$D$1004,E1846)&gt;0,"전기","당기"))</x:f>
      </x:c>
      <x:c r="D1846" s="67"/>
      <x:c r="G1846" s="68"/>
      <x:c r="K1846" t="str">
        <x:f>IF(B1846="","",IF(I1846="확인 필요","붙임 문서 확인 후 거래 성격·기간·상대방·일회성 여부 확인","결의서명과 전기 대비 발생 건수·단가·시점 차이 검토"))</x:f>
      </x:c>
    </x:row>
    <x:row r="1847">
      <x:c r="A1847" t="str">
        <x:f>IF(B1847="","",IF(COUNTIFS('전기원장'!$A$5:$A$1004,B1847,'전기원장'!$D$5:$D$1004,E1847)&gt;0,"전기","당기"))</x:f>
      </x:c>
      <x:c r="D1847" s="67"/>
      <x:c r="G1847" s="68"/>
      <x:c r="K1847" t="str">
        <x:f>IF(B1847="","",IF(I1847="확인 필요","붙임 문서 확인 후 거래 성격·기간·상대방·일회성 여부 확인","결의서명과 전기 대비 발생 건수·단가·시점 차이 검토"))</x:f>
      </x:c>
    </x:row>
    <x:row r="1848">
      <x:c r="A1848" t="str">
        <x:f>IF(B1848="","",IF(COUNTIFS('전기원장'!$A$5:$A$1004,B1848,'전기원장'!$D$5:$D$1004,E1848)&gt;0,"전기","당기"))</x:f>
      </x:c>
      <x:c r="D1848" s="67"/>
      <x:c r="G1848" s="68"/>
      <x:c r="K1848" t="str">
        <x:f>IF(B1848="","",IF(I1848="확인 필요","붙임 문서 확인 후 거래 성격·기간·상대방·일회성 여부 확인","결의서명과 전기 대비 발생 건수·단가·시점 차이 검토"))</x:f>
      </x:c>
    </x:row>
    <x:row r="1849">
      <x:c r="A1849" t="str">
        <x:f>IF(B1849="","",IF(COUNTIFS('전기원장'!$A$5:$A$1004,B1849,'전기원장'!$D$5:$D$1004,E1849)&gt;0,"전기","당기"))</x:f>
      </x:c>
      <x:c r="D1849" s="67"/>
      <x:c r="G1849" s="68"/>
      <x:c r="K1849" t="str">
        <x:f>IF(B1849="","",IF(I1849="확인 필요","붙임 문서 확인 후 거래 성격·기간·상대방·일회성 여부 확인","결의서명과 전기 대비 발생 건수·단가·시점 차이 검토"))</x:f>
      </x:c>
    </x:row>
    <x:row r="1850">
      <x:c r="A1850" t="str">
        <x:f>IF(B1850="","",IF(COUNTIFS('전기원장'!$A$5:$A$1004,B1850,'전기원장'!$D$5:$D$1004,E1850)&gt;0,"전기","당기"))</x:f>
      </x:c>
      <x:c r="D1850" s="67"/>
      <x:c r="G1850" s="68"/>
      <x:c r="K1850" t="str">
        <x:f>IF(B1850="","",IF(I1850="확인 필요","붙임 문서 확인 후 거래 성격·기간·상대방·일회성 여부 확인","결의서명과 전기 대비 발생 건수·단가·시점 차이 검토"))</x:f>
      </x:c>
    </x:row>
    <x:row r="1851">
      <x:c r="A1851" t="str">
        <x:f>IF(B1851="","",IF(COUNTIFS('전기원장'!$A$5:$A$1004,B1851,'전기원장'!$D$5:$D$1004,E1851)&gt;0,"전기","당기"))</x:f>
      </x:c>
      <x:c r="D1851" s="67"/>
      <x:c r="G1851" s="68"/>
      <x:c r="K1851" t="str">
        <x:f>IF(B1851="","",IF(I1851="확인 필요","붙임 문서 확인 후 거래 성격·기간·상대방·일회성 여부 확인","결의서명과 전기 대비 발생 건수·단가·시점 차이 검토"))</x:f>
      </x:c>
    </x:row>
    <x:row r="1852">
      <x:c r="A1852" t="str">
        <x:f>IF(B1852="","",IF(COUNTIFS('전기원장'!$A$5:$A$1004,B1852,'전기원장'!$D$5:$D$1004,E1852)&gt;0,"전기","당기"))</x:f>
      </x:c>
      <x:c r="D1852" s="67"/>
      <x:c r="G1852" s="68"/>
      <x:c r="K1852" t="str">
        <x:f>IF(B1852="","",IF(I1852="확인 필요","붙임 문서 확인 후 거래 성격·기간·상대방·일회성 여부 확인","결의서명과 전기 대비 발생 건수·단가·시점 차이 검토"))</x:f>
      </x:c>
    </x:row>
    <x:row r="1853">
      <x:c r="A1853" t="str">
        <x:f>IF(B1853="","",IF(COUNTIFS('전기원장'!$A$5:$A$1004,B1853,'전기원장'!$D$5:$D$1004,E1853)&gt;0,"전기","당기"))</x:f>
      </x:c>
      <x:c r="D1853" s="67"/>
      <x:c r="G1853" s="68"/>
      <x:c r="K1853" t="str">
        <x:f>IF(B1853="","",IF(I1853="확인 필요","붙임 문서 확인 후 거래 성격·기간·상대방·일회성 여부 확인","결의서명과 전기 대비 발생 건수·단가·시점 차이 검토"))</x:f>
      </x:c>
    </x:row>
    <x:row r="1854">
      <x:c r="A1854" t="str">
        <x:f>IF(B1854="","",IF(COUNTIFS('전기원장'!$A$5:$A$1004,B1854,'전기원장'!$D$5:$D$1004,E1854)&gt;0,"전기","당기"))</x:f>
      </x:c>
      <x:c r="D1854" s="67"/>
      <x:c r="G1854" s="68"/>
      <x:c r="K1854" t="str">
        <x:f>IF(B1854="","",IF(I1854="확인 필요","붙임 문서 확인 후 거래 성격·기간·상대방·일회성 여부 확인","결의서명과 전기 대비 발생 건수·단가·시점 차이 검토"))</x:f>
      </x:c>
    </x:row>
    <x:row r="1855">
      <x:c r="A1855" t="str">
        <x:f>IF(B1855="","",IF(COUNTIFS('전기원장'!$A$5:$A$1004,B1855,'전기원장'!$D$5:$D$1004,E1855)&gt;0,"전기","당기"))</x:f>
      </x:c>
      <x:c r="D1855" s="67"/>
      <x:c r="G1855" s="68"/>
      <x:c r="K1855" t="str">
        <x:f>IF(B1855="","",IF(I1855="확인 필요","붙임 문서 확인 후 거래 성격·기간·상대방·일회성 여부 확인","결의서명과 전기 대비 발생 건수·단가·시점 차이 검토"))</x:f>
      </x:c>
    </x:row>
    <x:row r="1856">
      <x:c r="A1856" t="str">
        <x:f>IF(B1856="","",IF(COUNTIFS('전기원장'!$A$5:$A$1004,B1856,'전기원장'!$D$5:$D$1004,E1856)&gt;0,"전기","당기"))</x:f>
      </x:c>
      <x:c r="D1856" s="67"/>
      <x:c r="G1856" s="68"/>
      <x:c r="K1856" t="str">
        <x:f>IF(B1856="","",IF(I1856="확인 필요","붙임 문서 확인 후 거래 성격·기간·상대방·일회성 여부 확인","결의서명과 전기 대비 발생 건수·단가·시점 차이 검토"))</x:f>
      </x:c>
    </x:row>
    <x:row r="1857">
      <x:c r="A1857" t="str">
        <x:f>IF(B1857="","",IF(COUNTIFS('전기원장'!$A$5:$A$1004,B1857,'전기원장'!$D$5:$D$1004,E1857)&gt;0,"전기","당기"))</x:f>
      </x:c>
      <x:c r="D1857" s="67"/>
      <x:c r="G1857" s="68"/>
      <x:c r="K1857" t="str">
        <x:f>IF(B1857="","",IF(I1857="확인 필요","붙임 문서 확인 후 거래 성격·기간·상대방·일회성 여부 확인","결의서명과 전기 대비 발생 건수·단가·시점 차이 검토"))</x:f>
      </x:c>
    </x:row>
    <x:row r="1858">
      <x:c r="A1858" t="str">
        <x:f>IF(B1858="","",IF(COUNTIFS('전기원장'!$A$5:$A$1004,B1858,'전기원장'!$D$5:$D$1004,E1858)&gt;0,"전기","당기"))</x:f>
      </x:c>
      <x:c r="D1858" s="67"/>
      <x:c r="G1858" s="68"/>
      <x:c r="K1858" t="str">
        <x:f>IF(B1858="","",IF(I1858="확인 필요","붙임 문서 확인 후 거래 성격·기간·상대방·일회성 여부 확인","결의서명과 전기 대비 발생 건수·단가·시점 차이 검토"))</x:f>
      </x:c>
    </x:row>
    <x:row r="1859">
      <x:c r="A1859" t="str">
        <x:f>IF(B1859="","",IF(COUNTIFS('전기원장'!$A$5:$A$1004,B1859,'전기원장'!$D$5:$D$1004,E1859)&gt;0,"전기","당기"))</x:f>
      </x:c>
      <x:c r="D1859" s="67"/>
      <x:c r="G1859" s="68"/>
      <x:c r="K1859" t="str">
        <x:f>IF(B1859="","",IF(I1859="확인 필요","붙임 문서 확인 후 거래 성격·기간·상대방·일회성 여부 확인","결의서명과 전기 대비 발생 건수·단가·시점 차이 검토"))</x:f>
      </x:c>
    </x:row>
    <x:row r="1860">
      <x:c r="A1860" t="str">
        <x:f>IF(B1860="","",IF(COUNTIFS('전기원장'!$A$5:$A$1004,B1860,'전기원장'!$D$5:$D$1004,E1860)&gt;0,"전기","당기"))</x:f>
      </x:c>
      <x:c r="D1860" s="67"/>
      <x:c r="G1860" s="68"/>
      <x:c r="K1860" t="str">
        <x:f>IF(B1860="","",IF(I1860="확인 필요","붙임 문서 확인 후 거래 성격·기간·상대방·일회성 여부 확인","결의서명과 전기 대비 발생 건수·단가·시점 차이 검토"))</x:f>
      </x:c>
    </x:row>
    <x:row r="1861">
      <x:c r="A1861" t="str">
        <x:f>IF(B1861="","",IF(COUNTIFS('전기원장'!$A$5:$A$1004,B1861,'전기원장'!$D$5:$D$1004,E1861)&gt;0,"전기","당기"))</x:f>
      </x:c>
      <x:c r="D1861" s="67"/>
      <x:c r="G1861" s="68"/>
      <x:c r="K1861" t="str">
        <x:f>IF(B1861="","",IF(I1861="확인 필요","붙임 문서 확인 후 거래 성격·기간·상대방·일회성 여부 확인","결의서명과 전기 대비 발생 건수·단가·시점 차이 검토"))</x:f>
      </x:c>
    </x:row>
    <x:row r="1862">
      <x:c r="A1862" t="str">
        <x:f>IF(B1862="","",IF(COUNTIFS('전기원장'!$A$5:$A$1004,B1862,'전기원장'!$D$5:$D$1004,E1862)&gt;0,"전기","당기"))</x:f>
      </x:c>
      <x:c r="D1862" s="67"/>
      <x:c r="G1862" s="68"/>
      <x:c r="K1862" t="str">
        <x:f>IF(B1862="","",IF(I1862="확인 필요","붙임 문서 확인 후 거래 성격·기간·상대방·일회성 여부 확인","결의서명과 전기 대비 발생 건수·단가·시점 차이 검토"))</x:f>
      </x:c>
    </x:row>
    <x:row r="1863">
      <x:c r="A1863" t="str">
        <x:f>IF(B1863="","",IF(COUNTIFS('전기원장'!$A$5:$A$1004,B1863,'전기원장'!$D$5:$D$1004,E1863)&gt;0,"전기","당기"))</x:f>
      </x:c>
      <x:c r="D1863" s="67"/>
      <x:c r="G1863" s="68"/>
      <x:c r="K1863" t="str">
        <x:f>IF(B1863="","",IF(I1863="확인 필요","붙임 문서 확인 후 거래 성격·기간·상대방·일회성 여부 확인","결의서명과 전기 대비 발생 건수·단가·시점 차이 검토"))</x:f>
      </x:c>
    </x:row>
    <x:row r="1864">
      <x:c r="A1864" t="str">
        <x:f>IF(B1864="","",IF(COUNTIFS('전기원장'!$A$5:$A$1004,B1864,'전기원장'!$D$5:$D$1004,E1864)&gt;0,"전기","당기"))</x:f>
      </x:c>
      <x:c r="D1864" s="67"/>
      <x:c r="G1864" s="68"/>
      <x:c r="K1864" t="str">
        <x:f>IF(B1864="","",IF(I1864="확인 필요","붙임 문서 확인 후 거래 성격·기간·상대방·일회성 여부 확인","결의서명과 전기 대비 발생 건수·단가·시점 차이 검토"))</x:f>
      </x:c>
    </x:row>
    <x:row r="1865">
      <x:c r="A1865" t="str">
        <x:f>IF(B1865="","",IF(COUNTIFS('전기원장'!$A$5:$A$1004,B1865,'전기원장'!$D$5:$D$1004,E1865)&gt;0,"전기","당기"))</x:f>
      </x:c>
      <x:c r="D1865" s="67"/>
      <x:c r="G1865" s="68"/>
      <x:c r="K1865" t="str">
        <x:f>IF(B1865="","",IF(I1865="확인 필요","붙임 문서 확인 후 거래 성격·기간·상대방·일회성 여부 확인","결의서명과 전기 대비 발생 건수·단가·시점 차이 검토"))</x:f>
      </x:c>
    </x:row>
    <x:row r="1866">
      <x:c r="A1866" t="str">
        <x:f>IF(B1866="","",IF(COUNTIFS('전기원장'!$A$5:$A$1004,B1866,'전기원장'!$D$5:$D$1004,E1866)&gt;0,"전기","당기"))</x:f>
      </x:c>
      <x:c r="D1866" s="67"/>
      <x:c r="G1866" s="68"/>
      <x:c r="K1866" t="str">
        <x:f>IF(B1866="","",IF(I1866="확인 필요","붙임 문서 확인 후 거래 성격·기간·상대방·일회성 여부 확인","결의서명과 전기 대비 발생 건수·단가·시점 차이 검토"))</x:f>
      </x:c>
    </x:row>
    <x:row r="1867">
      <x:c r="A1867" t="str">
        <x:f>IF(B1867="","",IF(COUNTIFS('전기원장'!$A$5:$A$1004,B1867,'전기원장'!$D$5:$D$1004,E1867)&gt;0,"전기","당기"))</x:f>
      </x:c>
      <x:c r="D1867" s="67"/>
      <x:c r="G1867" s="68"/>
      <x:c r="K1867" t="str">
        <x:f>IF(B1867="","",IF(I1867="확인 필요","붙임 문서 확인 후 거래 성격·기간·상대방·일회성 여부 확인","결의서명과 전기 대비 발생 건수·단가·시점 차이 검토"))</x:f>
      </x:c>
    </x:row>
    <x:row r="1868">
      <x:c r="A1868" t="str">
        <x:f>IF(B1868="","",IF(COUNTIFS('전기원장'!$A$5:$A$1004,B1868,'전기원장'!$D$5:$D$1004,E1868)&gt;0,"전기","당기"))</x:f>
      </x:c>
      <x:c r="D1868" s="67"/>
      <x:c r="G1868" s="68"/>
      <x:c r="K1868" t="str">
        <x:f>IF(B1868="","",IF(I1868="확인 필요","붙임 문서 확인 후 거래 성격·기간·상대방·일회성 여부 확인","결의서명과 전기 대비 발생 건수·단가·시점 차이 검토"))</x:f>
      </x:c>
    </x:row>
    <x:row r="1869">
      <x:c r="A1869" t="str">
        <x:f>IF(B1869="","",IF(COUNTIFS('전기원장'!$A$5:$A$1004,B1869,'전기원장'!$D$5:$D$1004,E1869)&gt;0,"전기","당기"))</x:f>
      </x:c>
      <x:c r="D1869" s="67"/>
      <x:c r="G1869" s="68"/>
      <x:c r="K1869" t="str">
        <x:f>IF(B1869="","",IF(I1869="확인 필요","붙임 문서 확인 후 거래 성격·기간·상대방·일회성 여부 확인","결의서명과 전기 대비 발생 건수·단가·시점 차이 검토"))</x:f>
      </x:c>
    </x:row>
    <x:row r="1870">
      <x:c r="A1870" t="str">
        <x:f>IF(B1870="","",IF(COUNTIFS('전기원장'!$A$5:$A$1004,B1870,'전기원장'!$D$5:$D$1004,E1870)&gt;0,"전기","당기"))</x:f>
      </x:c>
      <x:c r="D1870" s="67"/>
      <x:c r="G1870" s="68"/>
      <x:c r="K1870" t="str">
        <x:f>IF(B1870="","",IF(I1870="확인 필요","붙임 문서 확인 후 거래 성격·기간·상대방·일회성 여부 확인","결의서명과 전기 대비 발생 건수·단가·시점 차이 검토"))</x:f>
      </x:c>
    </x:row>
    <x:row r="1871">
      <x:c r="A1871" t="str">
        <x:f>IF(B1871="","",IF(COUNTIFS('전기원장'!$A$5:$A$1004,B1871,'전기원장'!$D$5:$D$1004,E1871)&gt;0,"전기","당기"))</x:f>
      </x:c>
      <x:c r="D1871" s="67"/>
      <x:c r="G1871" s="68"/>
      <x:c r="K1871" t="str">
        <x:f>IF(B1871="","",IF(I1871="확인 필요","붙임 문서 확인 후 거래 성격·기간·상대방·일회성 여부 확인","결의서명과 전기 대비 발생 건수·단가·시점 차이 검토"))</x:f>
      </x:c>
    </x:row>
    <x:row r="1872">
      <x:c r="A1872" t="str">
        <x:f>IF(B1872="","",IF(COUNTIFS('전기원장'!$A$5:$A$1004,B1872,'전기원장'!$D$5:$D$1004,E1872)&gt;0,"전기","당기"))</x:f>
      </x:c>
      <x:c r="D1872" s="67"/>
      <x:c r="G1872" s="68"/>
      <x:c r="K1872" t="str">
        <x:f>IF(B1872="","",IF(I1872="확인 필요","붙임 문서 확인 후 거래 성격·기간·상대방·일회성 여부 확인","결의서명과 전기 대비 발생 건수·단가·시점 차이 검토"))</x:f>
      </x:c>
    </x:row>
    <x:row r="1873">
      <x:c r="A1873" t="str">
        <x:f>IF(B1873="","",IF(COUNTIFS('전기원장'!$A$5:$A$1004,B1873,'전기원장'!$D$5:$D$1004,E1873)&gt;0,"전기","당기"))</x:f>
      </x:c>
      <x:c r="D1873" s="67"/>
      <x:c r="G1873" s="68"/>
      <x:c r="K1873" t="str">
        <x:f>IF(B1873="","",IF(I1873="확인 필요","붙임 문서 확인 후 거래 성격·기간·상대방·일회성 여부 확인","결의서명과 전기 대비 발생 건수·단가·시점 차이 검토"))</x:f>
      </x:c>
    </x:row>
    <x:row r="1874">
      <x:c r="A1874" t="str">
        <x:f>IF(B1874="","",IF(COUNTIFS('전기원장'!$A$5:$A$1004,B1874,'전기원장'!$D$5:$D$1004,E1874)&gt;0,"전기","당기"))</x:f>
      </x:c>
      <x:c r="D1874" s="67"/>
      <x:c r="G1874" s="68"/>
      <x:c r="K1874" t="str">
        <x:f>IF(B1874="","",IF(I1874="확인 필요","붙임 문서 확인 후 거래 성격·기간·상대방·일회성 여부 확인","결의서명과 전기 대비 발생 건수·단가·시점 차이 검토"))</x:f>
      </x:c>
    </x:row>
    <x:row r="1875">
      <x:c r="A1875" t="str">
        <x:f>IF(B1875="","",IF(COUNTIFS('전기원장'!$A$5:$A$1004,B1875,'전기원장'!$D$5:$D$1004,E1875)&gt;0,"전기","당기"))</x:f>
      </x:c>
      <x:c r="D1875" s="67"/>
      <x:c r="G1875" s="68"/>
      <x:c r="K1875" t="str">
        <x:f>IF(B1875="","",IF(I1875="확인 필요","붙임 문서 확인 후 거래 성격·기간·상대방·일회성 여부 확인","결의서명과 전기 대비 발생 건수·단가·시점 차이 검토"))</x:f>
      </x:c>
    </x:row>
    <x:row r="1876">
      <x:c r="A1876" t="str">
        <x:f>IF(B1876="","",IF(COUNTIFS('전기원장'!$A$5:$A$1004,B1876,'전기원장'!$D$5:$D$1004,E1876)&gt;0,"전기","당기"))</x:f>
      </x:c>
      <x:c r="D1876" s="67"/>
      <x:c r="G1876" s="68"/>
      <x:c r="K1876" t="str">
        <x:f>IF(B1876="","",IF(I1876="확인 필요","붙임 문서 확인 후 거래 성격·기간·상대방·일회성 여부 확인","결의서명과 전기 대비 발생 건수·단가·시점 차이 검토"))</x:f>
      </x:c>
    </x:row>
    <x:row r="1877">
      <x:c r="A1877" t="str">
        <x:f>IF(B1877="","",IF(COUNTIFS('전기원장'!$A$5:$A$1004,B1877,'전기원장'!$D$5:$D$1004,E1877)&gt;0,"전기","당기"))</x:f>
      </x:c>
      <x:c r="D1877" s="67"/>
      <x:c r="G1877" s="68"/>
      <x:c r="K1877" t="str">
        <x:f>IF(B1877="","",IF(I1877="확인 필요","붙임 문서 확인 후 거래 성격·기간·상대방·일회성 여부 확인","결의서명과 전기 대비 발생 건수·단가·시점 차이 검토"))</x:f>
      </x:c>
    </x:row>
    <x:row r="1878">
      <x:c r="A1878" t="str">
        <x:f>IF(B1878="","",IF(COUNTIFS('전기원장'!$A$5:$A$1004,B1878,'전기원장'!$D$5:$D$1004,E1878)&gt;0,"전기","당기"))</x:f>
      </x:c>
      <x:c r="D1878" s="67"/>
      <x:c r="G1878" s="68"/>
      <x:c r="K1878" t="str">
        <x:f>IF(B1878="","",IF(I1878="확인 필요","붙임 문서 확인 후 거래 성격·기간·상대방·일회성 여부 확인","결의서명과 전기 대비 발생 건수·단가·시점 차이 검토"))</x:f>
      </x:c>
    </x:row>
    <x:row r="1879">
      <x:c r="A1879" t="str">
        <x:f>IF(B1879="","",IF(COUNTIFS('전기원장'!$A$5:$A$1004,B1879,'전기원장'!$D$5:$D$1004,E1879)&gt;0,"전기","당기"))</x:f>
      </x:c>
      <x:c r="D1879" s="67"/>
      <x:c r="G1879" s="68"/>
      <x:c r="K1879" t="str">
        <x:f>IF(B1879="","",IF(I1879="확인 필요","붙임 문서 확인 후 거래 성격·기간·상대방·일회성 여부 확인","결의서명과 전기 대비 발생 건수·단가·시점 차이 검토"))</x:f>
      </x:c>
    </x:row>
    <x:row r="1880">
      <x:c r="A1880" t="str">
        <x:f>IF(B1880="","",IF(COUNTIFS('전기원장'!$A$5:$A$1004,B1880,'전기원장'!$D$5:$D$1004,E1880)&gt;0,"전기","당기"))</x:f>
      </x:c>
      <x:c r="D1880" s="67"/>
      <x:c r="G1880" s="68"/>
      <x:c r="K1880" t="str">
        <x:f>IF(B1880="","",IF(I1880="확인 필요","붙임 문서 확인 후 거래 성격·기간·상대방·일회성 여부 확인","결의서명과 전기 대비 발생 건수·단가·시점 차이 검토"))</x:f>
      </x:c>
    </x:row>
    <x:row r="1881">
      <x:c r="A1881" t="str">
        <x:f>IF(B1881="","",IF(COUNTIFS('전기원장'!$A$5:$A$1004,B1881,'전기원장'!$D$5:$D$1004,E1881)&gt;0,"전기","당기"))</x:f>
      </x:c>
      <x:c r="D1881" s="67"/>
      <x:c r="G1881" s="68"/>
      <x:c r="K1881" t="str">
        <x:f>IF(B1881="","",IF(I1881="확인 필요","붙임 문서 확인 후 거래 성격·기간·상대방·일회성 여부 확인","결의서명과 전기 대비 발생 건수·단가·시점 차이 검토"))</x:f>
      </x:c>
    </x:row>
    <x:row r="1882">
      <x:c r="A1882" t="str">
        <x:f>IF(B1882="","",IF(COUNTIFS('전기원장'!$A$5:$A$1004,B1882,'전기원장'!$D$5:$D$1004,E1882)&gt;0,"전기","당기"))</x:f>
      </x:c>
      <x:c r="D1882" s="67"/>
      <x:c r="G1882" s="68"/>
      <x:c r="K1882" t="str">
        <x:f>IF(B1882="","",IF(I1882="확인 필요","붙임 문서 확인 후 거래 성격·기간·상대방·일회성 여부 확인","결의서명과 전기 대비 발생 건수·단가·시점 차이 검토"))</x:f>
      </x:c>
    </x:row>
    <x:row r="1883">
      <x:c r="A1883" t="str">
        <x:f>IF(B1883="","",IF(COUNTIFS('전기원장'!$A$5:$A$1004,B1883,'전기원장'!$D$5:$D$1004,E1883)&gt;0,"전기","당기"))</x:f>
      </x:c>
      <x:c r="D1883" s="67"/>
      <x:c r="G1883" s="68"/>
      <x:c r="K1883" t="str">
        <x:f>IF(B1883="","",IF(I1883="확인 필요","붙임 문서 확인 후 거래 성격·기간·상대방·일회성 여부 확인","결의서명과 전기 대비 발생 건수·단가·시점 차이 검토"))</x:f>
      </x:c>
    </x:row>
    <x:row r="1884">
      <x:c r="A1884" t="str">
        <x:f>IF(B1884="","",IF(COUNTIFS('전기원장'!$A$5:$A$1004,B1884,'전기원장'!$D$5:$D$1004,E1884)&gt;0,"전기","당기"))</x:f>
      </x:c>
      <x:c r="D1884" s="67"/>
      <x:c r="G1884" s="68"/>
      <x:c r="K1884" t="str">
        <x:f>IF(B1884="","",IF(I1884="확인 필요","붙임 문서 확인 후 거래 성격·기간·상대방·일회성 여부 확인","결의서명과 전기 대비 발생 건수·단가·시점 차이 검토"))</x:f>
      </x:c>
    </x:row>
    <x:row r="1885">
      <x:c r="A1885" t="str">
        <x:f>IF(B1885="","",IF(COUNTIFS('전기원장'!$A$5:$A$1004,B1885,'전기원장'!$D$5:$D$1004,E1885)&gt;0,"전기","당기"))</x:f>
      </x:c>
      <x:c r="D1885" s="67"/>
      <x:c r="G1885" s="68"/>
      <x:c r="K1885" t="str">
        <x:f>IF(B1885="","",IF(I1885="확인 필요","붙임 문서 확인 후 거래 성격·기간·상대방·일회성 여부 확인","결의서명과 전기 대비 발생 건수·단가·시점 차이 검토"))</x:f>
      </x:c>
    </x:row>
    <x:row r="1886">
      <x:c r="A1886" t="str">
        <x:f>IF(B1886="","",IF(COUNTIFS('전기원장'!$A$5:$A$1004,B1886,'전기원장'!$D$5:$D$1004,E1886)&gt;0,"전기","당기"))</x:f>
      </x:c>
      <x:c r="D1886" s="67"/>
      <x:c r="G1886" s="68"/>
      <x:c r="K1886" t="str">
        <x:f>IF(B1886="","",IF(I1886="확인 필요","붙임 문서 확인 후 거래 성격·기간·상대방·일회성 여부 확인","결의서명과 전기 대비 발생 건수·단가·시점 차이 검토"))</x:f>
      </x:c>
    </x:row>
    <x:row r="1887">
      <x:c r="A1887" t="str">
        <x:f>IF(B1887="","",IF(COUNTIFS('전기원장'!$A$5:$A$1004,B1887,'전기원장'!$D$5:$D$1004,E1887)&gt;0,"전기","당기"))</x:f>
      </x:c>
      <x:c r="D1887" s="67"/>
      <x:c r="G1887" s="68"/>
      <x:c r="K1887" t="str">
        <x:f>IF(B1887="","",IF(I1887="확인 필요","붙임 문서 확인 후 거래 성격·기간·상대방·일회성 여부 확인","결의서명과 전기 대비 발생 건수·단가·시점 차이 검토"))</x:f>
      </x:c>
    </x:row>
    <x:row r="1888">
      <x:c r="A1888" t="str">
        <x:f>IF(B1888="","",IF(COUNTIFS('전기원장'!$A$5:$A$1004,B1888,'전기원장'!$D$5:$D$1004,E1888)&gt;0,"전기","당기"))</x:f>
      </x:c>
      <x:c r="D1888" s="67"/>
      <x:c r="G1888" s="68"/>
      <x:c r="K1888" t="str">
        <x:f>IF(B1888="","",IF(I1888="확인 필요","붙임 문서 확인 후 거래 성격·기간·상대방·일회성 여부 확인","결의서명과 전기 대비 발생 건수·단가·시점 차이 검토"))</x:f>
      </x:c>
    </x:row>
    <x:row r="1889">
      <x:c r="A1889" t="str">
        <x:f>IF(B1889="","",IF(COUNTIFS('전기원장'!$A$5:$A$1004,B1889,'전기원장'!$D$5:$D$1004,E1889)&gt;0,"전기","당기"))</x:f>
      </x:c>
      <x:c r="D1889" s="67"/>
      <x:c r="G1889" s="68"/>
      <x:c r="K1889" t="str">
        <x:f>IF(B1889="","",IF(I1889="확인 필요","붙임 문서 확인 후 거래 성격·기간·상대방·일회성 여부 확인","결의서명과 전기 대비 발생 건수·단가·시점 차이 검토"))</x:f>
      </x:c>
    </x:row>
    <x:row r="1890">
      <x:c r="A1890" t="str">
        <x:f>IF(B1890="","",IF(COUNTIFS('전기원장'!$A$5:$A$1004,B1890,'전기원장'!$D$5:$D$1004,E1890)&gt;0,"전기","당기"))</x:f>
      </x:c>
      <x:c r="D1890" s="67"/>
      <x:c r="G1890" s="68"/>
      <x:c r="K1890" t="str">
        <x:f>IF(B1890="","",IF(I1890="확인 필요","붙임 문서 확인 후 거래 성격·기간·상대방·일회성 여부 확인","결의서명과 전기 대비 발생 건수·단가·시점 차이 검토"))</x:f>
      </x:c>
    </x:row>
    <x:row r="1891">
      <x:c r="A1891" t="str">
        <x:f>IF(B1891="","",IF(COUNTIFS('전기원장'!$A$5:$A$1004,B1891,'전기원장'!$D$5:$D$1004,E1891)&gt;0,"전기","당기"))</x:f>
      </x:c>
      <x:c r="D1891" s="67"/>
      <x:c r="G1891" s="68"/>
      <x:c r="K1891" t="str">
        <x:f>IF(B1891="","",IF(I1891="확인 필요","붙임 문서 확인 후 거래 성격·기간·상대방·일회성 여부 확인","결의서명과 전기 대비 발생 건수·단가·시점 차이 검토"))</x:f>
      </x:c>
    </x:row>
    <x:row r="1892">
      <x:c r="A1892" t="str">
        <x:f>IF(B1892="","",IF(COUNTIFS('전기원장'!$A$5:$A$1004,B1892,'전기원장'!$D$5:$D$1004,E1892)&gt;0,"전기","당기"))</x:f>
      </x:c>
      <x:c r="D1892" s="67"/>
      <x:c r="G1892" s="68"/>
      <x:c r="K1892" t="str">
        <x:f>IF(B1892="","",IF(I1892="확인 필요","붙임 문서 확인 후 거래 성격·기간·상대방·일회성 여부 확인","결의서명과 전기 대비 발생 건수·단가·시점 차이 검토"))</x:f>
      </x:c>
    </x:row>
    <x:row r="1893">
      <x:c r="A1893" t="str">
        <x:f>IF(B1893="","",IF(COUNTIFS('전기원장'!$A$5:$A$1004,B1893,'전기원장'!$D$5:$D$1004,E1893)&gt;0,"전기","당기"))</x:f>
      </x:c>
      <x:c r="D1893" s="67"/>
      <x:c r="G1893" s="68"/>
      <x:c r="K1893" t="str">
        <x:f>IF(B1893="","",IF(I1893="확인 필요","붙임 문서 확인 후 거래 성격·기간·상대방·일회성 여부 확인","결의서명과 전기 대비 발생 건수·단가·시점 차이 검토"))</x:f>
      </x:c>
    </x:row>
    <x:row r="1894">
      <x:c r="A1894" t="str">
        <x:f>IF(B1894="","",IF(COUNTIFS('전기원장'!$A$5:$A$1004,B1894,'전기원장'!$D$5:$D$1004,E1894)&gt;0,"전기","당기"))</x:f>
      </x:c>
      <x:c r="D1894" s="67"/>
      <x:c r="G1894" s="68"/>
      <x:c r="K1894" t="str">
        <x:f>IF(B1894="","",IF(I1894="확인 필요","붙임 문서 확인 후 거래 성격·기간·상대방·일회성 여부 확인","결의서명과 전기 대비 발생 건수·단가·시점 차이 검토"))</x:f>
      </x:c>
    </x:row>
    <x:row r="1895">
      <x:c r="A1895" t="str">
        <x:f>IF(B1895="","",IF(COUNTIFS('전기원장'!$A$5:$A$1004,B1895,'전기원장'!$D$5:$D$1004,E1895)&gt;0,"전기","당기"))</x:f>
      </x:c>
      <x:c r="D1895" s="67"/>
      <x:c r="G1895" s="68"/>
      <x:c r="K1895" t="str">
        <x:f>IF(B1895="","",IF(I1895="확인 필요","붙임 문서 확인 후 거래 성격·기간·상대방·일회성 여부 확인","결의서명과 전기 대비 발생 건수·단가·시점 차이 검토"))</x:f>
      </x:c>
    </x:row>
    <x:row r="1896">
      <x:c r="A1896" t="str">
        <x:f>IF(B1896="","",IF(COUNTIFS('전기원장'!$A$5:$A$1004,B1896,'전기원장'!$D$5:$D$1004,E1896)&gt;0,"전기","당기"))</x:f>
      </x:c>
      <x:c r="D1896" s="67"/>
      <x:c r="G1896" s="68"/>
      <x:c r="K1896" t="str">
        <x:f>IF(B1896="","",IF(I1896="확인 필요","붙임 문서 확인 후 거래 성격·기간·상대방·일회성 여부 확인","결의서명과 전기 대비 발생 건수·단가·시점 차이 검토"))</x:f>
      </x:c>
    </x:row>
    <x:row r="1897">
      <x:c r="A1897" t="str">
        <x:f>IF(B1897="","",IF(COUNTIFS('전기원장'!$A$5:$A$1004,B1897,'전기원장'!$D$5:$D$1004,E1897)&gt;0,"전기","당기"))</x:f>
      </x:c>
      <x:c r="D1897" s="67"/>
      <x:c r="G1897" s="68"/>
      <x:c r="K1897" t="str">
        <x:f>IF(B1897="","",IF(I1897="확인 필요","붙임 문서 확인 후 거래 성격·기간·상대방·일회성 여부 확인","결의서명과 전기 대비 발생 건수·단가·시점 차이 검토"))</x:f>
      </x:c>
    </x:row>
    <x:row r="1898">
      <x:c r="A1898" t="str">
        <x:f>IF(B1898="","",IF(COUNTIFS('전기원장'!$A$5:$A$1004,B1898,'전기원장'!$D$5:$D$1004,E1898)&gt;0,"전기","당기"))</x:f>
      </x:c>
      <x:c r="D1898" s="67"/>
      <x:c r="G1898" s="68"/>
      <x:c r="K1898" t="str">
        <x:f>IF(B1898="","",IF(I1898="확인 필요","붙임 문서 확인 후 거래 성격·기간·상대방·일회성 여부 확인","결의서명과 전기 대비 발생 건수·단가·시점 차이 검토"))</x:f>
      </x:c>
    </x:row>
    <x:row r="1899">
      <x:c r="A1899" t="str">
        <x:f>IF(B1899="","",IF(COUNTIFS('전기원장'!$A$5:$A$1004,B1899,'전기원장'!$D$5:$D$1004,E1899)&gt;0,"전기","당기"))</x:f>
      </x:c>
      <x:c r="D1899" s="67"/>
      <x:c r="G1899" s="68"/>
      <x:c r="K1899" t="str">
        <x:f>IF(B1899="","",IF(I1899="확인 필요","붙임 문서 확인 후 거래 성격·기간·상대방·일회성 여부 확인","결의서명과 전기 대비 발생 건수·단가·시점 차이 검토"))</x:f>
      </x:c>
    </x:row>
    <x:row r="1900">
      <x:c r="A1900" t="str">
        <x:f>IF(B1900="","",IF(COUNTIFS('전기원장'!$A$5:$A$1004,B1900,'전기원장'!$D$5:$D$1004,E1900)&gt;0,"전기","당기"))</x:f>
      </x:c>
      <x:c r="D1900" s="67"/>
      <x:c r="G1900" s="68"/>
      <x:c r="K1900" t="str">
        <x:f>IF(B1900="","",IF(I1900="확인 필요","붙임 문서 확인 후 거래 성격·기간·상대방·일회성 여부 확인","결의서명과 전기 대비 발생 건수·단가·시점 차이 검토"))</x:f>
      </x:c>
    </x:row>
    <x:row r="1901">
      <x:c r="A1901" t="str">
        <x:f>IF(B1901="","",IF(COUNTIFS('전기원장'!$A$5:$A$1004,B1901,'전기원장'!$D$5:$D$1004,E1901)&gt;0,"전기","당기"))</x:f>
      </x:c>
      <x:c r="D1901" s="67"/>
      <x:c r="G1901" s="68"/>
      <x:c r="K1901" t="str">
        <x:f>IF(B1901="","",IF(I1901="확인 필요","붙임 문서 확인 후 거래 성격·기간·상대방·일회성 여부 확인","결의서명과 전기 대비 발생 건수·단가·시점 차이 검토"))</x:f>
      </x:c>
    </x:row>
    <x:row r="1902">
      <x:c r="A1902" t="str">
        <x:f>IF(B1902="","",IF(COUNTIFS('전기원장'!$A$5:$A$1004,B1902,'전기원장'!$D$5:$D$1004,E1902)&gt;0,"전기","당기"))</x:f>
      </x:c>
      <x:c r="D1902" s="67"/>
      <x:c r="G1902" s="68"/>
      <x:c r="K1902" t="str">
        <x:f>IF(B1902="","",IF(I1902="확인 필요","붙임 문서 확인 후 거래 성격·기간·상대방·일회성 여부 확인","결의서명과 전기 대비 발생 건수·단가·시점 차이 검토"))</x:f>
      </x:c>
    </x:row>
    <x:row r="1903">
      <x:c r="A1903" t="str">
        <x:f>IF(B1903="","",IF(COUNTIFS('전기원장'!$A$5:$A$1004,B1903,'전기원장'!$D$5:$D$1004,E1903)&gt;0,"전기","당기"))</x:f>
      </x:c>
      <x:c r="D1903" s="67"/>
      <x:c r="G1903" s="68"/>
      <x:c r="K1903" t="str">
        <x:f>IF(B1903="","",IF(I1903="확인 필요","붙임 문서 확인 후 거래 성격·기간·상대방·일회성 여부 확인","결의서명과 전기 대비 발생 건수·단가·시점 차이 검토"))</x:f>
      </x:c>
    </x:row>
    <x:row r="1904">
      <x:c r="A1904" t="str">
        <x:f>IF(B1904="","",IF(COUNTIFS('전기원장'!$A$5:$A$1004,B1904,'전기원장'!$D$5:$D$1004,E1904)&gt;0,"전기","당기"))</x:f>
      </x:c>
      <x:c r="D1904" s="67"/>
      <x:c r="G1904" s="68"/>
      <x:c r="K1904" t="str">
        <x:f>IF(B1904="","",IF(I1904="확인 필요","붙임 문서 확인 후 거래 성격·기간·상대방·일회성 여부 확인","결의서명과 전기 대비 발생 건수·단가·시점 차이 검토"))</x:f>
      </x:c>
    </x:row>
    <x:row r="1905">
      <x:c r="A1905" t="str">
        <x:f>IF(B1905="","",IF(COUNTIFS('전기원장'!$A$5:$A$1004,B1905,'전기원장'!$D$5:$D$1004,E1905)&gt;0,"전기","당기"))</x:f>
      </x:c>
      <x:c r="D1905" s="67"/>
      <x:c r="G1905" s="68"/>
      <x:c r="K1905" t="str">
        <x:f>IF(B1905="","",IF(I1905="확인 필요","붙임 문서 확인 후 거래 성격·기간·상대방·일회성 여부 확인","결의서명과 전기 대비 발생 건수·단가·시점 차이 검토"))</x:f>
      </x:c>
    </x:row>
    <x:row r="1906">
      <x:c r="A1906" t="str">
        <x:f>IF(B1906="","",IF(COUNTIFS('전기원장'!$A$5:$A$1004,B1906,'전기원장'!$D$5:$D$1004,E1906)&gt;0,"전기","당기"))</x:f>
      </x:c>
      <x:c r="D1906" s="67"/>
      <x:c r="G1906" s="68"/>
      <x:c r="K1906" t="str">
        <x:f>IF(B1906="","",IF(I1906="확인 필요","붙임 문서 확인 후 거래 성격·기간·상대방·일회성 여부 확인","결의서명과 전기 대비 발생 건수·단가·시점 차이 검토"))</x:f>
      </x:c>
    </x:row>
    <x:row r="1907">
      <x:c r="A1907" t="str">
        <x:f>IF(B1907="","",IF(COUNTIFS('전기원장'!$A$5:$A$1004,B1907,'전기원장'!$D$5:$D$1004,E1907)&gt;0,"전기","당기"))</x:f>
      </x:c>
      <x:c r="D1907" s="67"/>
      <x:c r="G1907" s="68"/>
      <x:c r="K1907" t="str">
        <x:f>IF(B1907="","",IF(I1907="확인 필요","붙임 문서 확인 후 거래 성격·기간·상대방·일회성 여부 확인","결의서명과 전기 대비 발생 건수·단가·시점 차이 검토"))</x:f>
      </x:c>
    </x:row>
    <x:row r="1908">
      <x:c r="A1908" t="str">
        <x:f>IF(B1908="","",IF(COUNTIFS('전기원장'!$A$5:$A$1004,B1908,'전기원장'!$D$5:$D$1004,E1908)&gt;0,"전기","당기"))</x:f>
      </x:c>
      <x:c r="D1908" s="67"/>
      <x:c r="G1908" s="68"/>
      <x:c r="K1908" t="str">
        <x:f>IF(B1908="","",IF(I1908="확인 필요","붙임 문서 확인 후 거래 성격·기간·상대방·일회성 여부 확인","결의서명과 전기 대비 발생 건수·단가·시점 차이 검토"))</x:f>
      </x:c>
    </x:row>
    <x:row r="1909">
      <x:c r="A1909" t="str">
        <x:f>IF(B1909="","",IF(COUNTIFS('전기원장'!$A$5:$A$1004,B1909,'전기원장'!$D$5:$D$1004,E1909)&gt;0,"전기","당기"))</x:f>
      </x:c>
      <x:c r="D1909" s="67"/>
      <x:c r="G1909" s="68"/>
      <x:c r="K1909" t="str">
        <x:f>IF(B1909="","",IF(I1909="확인 필요","붙임 문서 확인 후 거래 성격·기간·상대방·일회성 여부 확인","결의서명과 전기 대비 발생 건수·단가·시점 차이 검토"))</x:f>
      </x:c>
    </x:row>
    <x:row r="1910">
      <x:c r="A1910" t="str">
        <x:f>IF(B1910="","",IF(COUNTIFS('전기원장'!$A$5:$A$1004,B1910,'전기원장'!$D$5:$D$1004,E1910)&gt;0,"전기","당기"))</x:f>
      </x:c>
      <x:c r="D1910" s="67"/>
      <x:c r="G1910" s="68"/>
      <x:c r="K1910" t="str">
        <x:f>IF(B1910="","",IF(I1910="확인 필요","붙임 문서 확인 후 거래 성격·기간·상대방·일회성 여부 확인","결의서명과 전기 대비 발생 건수·단가·시점 차이 검토"))</x:f>
      </x:c>
    </x:row>
    <x:row r="1911">
      <x:c r="A1911" t="str">
        <x:f>IF(B1911="","",IF(COUNTIFS('전기원장'!$A$5:$A$1004,B1911,'전기원장'!$D$5:$D$1004,E1911)&gt;0,"전기","당기"))</x:f>
      </x:c>
      <x:c r="D1911" s="67"/>
      <x:c r="G1911" s="68"/>
      <x:c r="K1911" t="str">
        <x:f>IF(B1911="","",IF(I1911="확인 필요","붙임 문서 확인 후 거래 성격·기간·상대방·일회성 여부 확인","결의서명과 전기 대비 발생 건수·단가·시점 차이 검토"))</x:f>
      </x:c>
    </x:row>
    <x:row r="1912">
      <x:c r="A1912" t="str">
        <x:f>IF(B1912="","",IF(COUNTIFS('전기원장'!$A$5:$A$1004,B1912,'전기원장'!$D$5:$D$1004,E1912)&gt;0,"전기","당기"))</x:f>
      </x:c>
      <x:c r="D1912" s="67"/>
      <x:c r="G1912" s="68"/>
      <x:c r="K1912" t="str">
        <x:f>IF(B1912="","",IF(I1912="확인 필요","붙임 문서 확인 후 거래 성격·기간·상대방·일회성 여부 확인","결의서명과 전기 대비 발생 건수·단가·시점 차이 검토"))</x:f>
      </x:c>
    </x:row>
    <x:row r="1913">
      <x:c r="A1913" t="str">
        <x:f>IF(B1913="","",IF(COUNTIFS('전기원장'!$A$5:$A$1004,B1913,'전기원장'!$D$5:$D$1004,E1913)&gt;0,"전기","당기"))</x:f>
      </x:c>
      <x:c r="D1913" s="67"/>
      <x:c r="G1913" s="68"/>
      <x:c r="K1913" t="str">
        <x:f>IF(B1913="","",IF(I1913="확인 필요","붙임 문서 확인 후 거래 성격·기간·상대방·일회성 여부 확인","결의서명과 전기 대비 발생 건수·단가·시점 차이 검토"))</x:f>
      </x:c>
    </x:row>
    <x:row r="1914">
      <x:c r="A1914" t="str">
        <x:f>IF(B1914="","",IF(COUNTIFS('전기원장'!$A$5:$A$1004,B1914,'전기원장'!$D$5:$D$1004,E1914)&gt;0,"전기","당기"))</x:f>
      </x:c>
      <x:c r="D1914" s="67"/>
      <x:c r="G1914" s="68"/>
      <x:c r="K1914" t="str">
        <x:f>IF(B1914="","",IF(I1914="확인 필요","붙임 문서 확인 후 거래 성격·기간·상대방·일회성 여부 확인","결의서명과 전기 대비 발생 건수·단가·시점 차이 검토"))</x:f>
      </x:c>
    </x:row>
    <x:row r="1915">
      <x:c r="A1915" t="str">
        <x:f>IF(B1915="","",IF(COUNTIFS('전기원장'!$A$5:$A$1004,B1915,'전기원장'!$D$5:$D$1004,E1915)&gt;0,"전기","당기"))</x:f>
      </x:c>
      <x:c r="D1915" s="67"/>
      <x:c r="G1915" s="68"/>
      <x:c r="K1915" t="str">
        <x:f>IF(B1915="","",IF(I1915="확인 필요","붙임 문서 확인 후 거래 성격·기간·상대방·일회성 여부 확인","결의서명과 전기 대비 발생 건수·단가·시점 차이 검토"))</x:f>
      </x:c>
    </x:row>
    <x:row r="1916">
      <x:c r="A1916" t="str">
        <x:f>IF(B1916="","",IF(COUNTIFS('전기원장'!$A$5:$A$1004,B1916,'전기원장'!$D$5:$D$1004,E1916)&gt;0,"전기","당기"))</x:f>
      </x:c>
      <x:c r="D1916" s="67"/>
      <x:c r="G1916" s="68"/>
      <x:c r="K1916" t="str">
        <x:f>IF(B1916="","",IF(I1916="확인 필요","붙임 문서 확인 후 거래 성격·기간·상대방·일회성 여부 확인","결의서명과 전기 대비 발생 건수·단가·시점 차이 검토"))</x:f>
      </x:c>
    </x:row>
    <x:row r="1917">
      <x:c r="A1917" t="str">
        <x:f>IF(B1917="","",IF(COUNTIFS('전기원장'!$A$5:$A$1004,B1917,'전기원장'!$D$5:$D$1004,E1917)&gt;0,"전기","당기"))</x:f>
      </x:c>
      <x:c r="D1917" s="67"/>
      <x:c r="G1917" s="68"/>
      <x:c r="K1917" t="str">
        <x:f>IF(B1917="","",IF(I1917="확인 필요","붙임 문서 확인 후 거래 성격·기간·상대방·일회성 여부 확인","결의서명과 전기 대비 발생 건수·단가·시점 차이 검토"))</x:f>
      </x:c>
    </x:row>
    <x:row r="1918">
      <x:c r="A1918" t="str">
        <x:f>IF(B1918="","",IF(COUNTIFS('전기원장'!$A$5:$A$1004,B1918,'전기원장'!$D$5:$D$1004,E1918)&gt;0,"전기","당기"))</x:f>
      </x:c>
      <x:c r="D1918" s="67"/>
      <x:c r="G1918" s="68"/>
      <x:c r="K1918" t="str">
        <x:f>IF(B1918="","",IF(I1918="확인 필요","붙임 문서 확인 후 거래 성격·기간·상대방·일회성 여부 확인","결의서명과 전기 대비 발생 건수·단가·시점 차이 검토"))</x:f>
      </x:c>
    </x:row>
    <x:row r="1919">
      <x:c r="A1919" t="str">
        <x:f>IF(B1919="","",IF(COUNTIFS('전기원장'!$A$5:$A$1004,B1919,'전기원장'!$D$5:$D$1004,E1919)&gt;0,"전기","당기"))</x:f>
      </x:c>
      <x:c r="D1919" s="67"/>
      <x:c r="G1919" s="68"/>
      <x:c r="K1919" t="str">
        <x:f>IF(B1919="","",IF(I1919="확인 필요","붙임 문서 확인 후 거래 성격·기간·상대방·일회성 여부 확인","결의서명과 전기 대비 발생 건수·단가·시점 차이 검토"))</x:f>
      </x:c>
    </x:row>
    <x:row r="1920">
      <x:c r="A1920" t="str">
        <x:f>IF(B1920="","",IF(COUNTIFS('전기원장'!$A$5:$A$1004,B1920,'전기원장'!$D$5:$D$1004,E1920)&gt;0,"전기","당기"))</x:f>
      </x:c>
      <x:c r="D1920" s="67"/>
      <x:c r="G1920" s="68"/>
      <x:c r="K1920" t="str">
        <x:f>IF(B1920="","",IF(I1920="확인 필요","붙임 문서 확인 후 거래 성격·기간·상대방·일회성 여부 확인","결의서명과 전기 대비 발생 건수·단가·시점 차이 검토"))</x:f>
      </x:c>
    </x:row>
    <x:row r="1921">
      <x:c r="A1921" t="str">
        <x:f>IF(B1921="","",IF(COUNTIFS('전기원장'!$A$5:$A$1004,B1921,'전기원장'!$D$5:$D$1004,E1921)&gt;0,"전기","당기"))</x:f>
      </x:c>
      <x:c r="D1921" s="67"/>
      <x:c r="G1921" s="68"/>
      <x:c r="K1921" t="str">
        <x:f>IF(B1921="","",IF(I1921="확인 필요","붙임 문서 확인 후 거래 성격·기간·상대방·일회성 여부 확인","결의서명과 전기 대비 발생 건수·단가·시점 차이 검토"))</x:f>
      </x:c>
    </x:row>
    <x:row r="1922">
      <x:c r="A1922" t="str">
        <x:f>IF(B1922="","",IF(COUNTIFS('전기원장'!$A$5:$A$1004,B1922,'전기원장'!$D$5:$D$1004,E1922)&gt;0,"전기","당기"))</x:f>
      </x:c>
      <x:c r="D1922" s="67"/>
      <x:c r="G1922" s="68"/>
      <x:c r="K1922" t="str">
        <x:f>IF(B1922="","",IF(I1922="확인 필요","붙임 문서 확인 후 거래 성격·기간·상대방·일회성 여부 확인","결의서명과 전기 대비 발생 건수·단가·시점 차이 검토"))</x:f>
      </x:c>
    </x:row>
    <x:row r="1923">
      <x:c r="A1923" t="str">
        <x:f>IF(B1923="","",IF(COUNTIFS('전기원장'!$A$5:$A$1004,B1923,'전기원장'!$D$5:$D$1004,E1923)&gt;0,"전기","당기"))</x:f>
      </x:c>
      <x:c r="D1923" s="67"/>
      <x:c r="G1923" s="68"/>
      <x:c r="K1923" t="str">
        <x:f>IF(B1923="","",IF(I1923="확인 필요","붙임 문서 확인 후 거래 성격·기간·상대방·일회성 여부 확인","결의서명과 전기 대비 발생 건수·단가·시점 차이 검토"))</x:f>
      </x:c>
    </x:row>
    <x:row r="1924">
      <x:c r="A1924" t="str">
        <x:f>IF(B1924="","",IF(COUNTIFS('전기원장'!$A$5:$A$1004,B1924,'전기원장'!$D$5:$D$1004,E1924)&gt;0,"전기","당기"))</x:f>
      </x:c>
      <x:c r="D1924" s="67"/>
      <x:c r="G1924" s="68"/>
      <x:c r="K1924" t="str">
        <x:f>IF(B1924="","",IF(I1924="확인 필요","붙임 문서 확인 후 거래 성격·기간·상대방·일회성 여부 확인","결의서명과 전기 대비 발생 건수·단가·시점 차이 검토"))</x:f>
      </x:c>
    </x:row>
    <x:row r="1925">
      <x:c r="A1925" t="str">
        <x:f>IF(B1925="","",IF(COUNTIFS('전기원장'!$A$5:$A$1004,B1925,'전기원장'!$D$5:$D$1004,E1925)&gt;0,"전기","당기"))</x:f>
      </x:c>
      <x:c r="D1925" s="67"/>
      <x:c r="G1925" s="68"/>
      <x:c r="K1925" t="str">
        <x:f>IF(B1925="","",IF(I1925="확인 필요","붙임 문서 확인 후 거래 성격·기간·상대방·일회성 여부 확인","결의서명과 전기 대비 발생 건수·단가·시점 차이 검토"))</x:f>
      </x:c>
    </x:row>
    <x:row r="1926">
      <x:c r="A1926" t="str">
        <x:f>IF(B1926="","",IF(COUNTIFS('전기원장'!$A$5:$A$1004,B1926,'전기원장'!$D$5:$D$1004,E1926)&gt;0,"전기","당기"))</x:f>
      </x:c>
      <x:c r="D1926" s="67"/>
      <x:c r="G1926" s="68"/>
      <x:c r="K1926" t="str">
        <x:f>IF(B1926="","",IF(I1926="확인 필요","붙임 문서 확인 후 거래 성격·기간·상대방·일회성 여부 확인","결의서명과 전기 대비 발생 건수·단가·시점 차이 검토"))</x:f>
      </x:c>
    </x:row>
    <x:row r="1927">
      <x:c r="A1927" t="str">
        <x:f>IF(B1927="","",IF(COUNTIFS('전기원장'!$A$5:$A$1004,B1927,'전기원장'!$D$5:$D$1004,E1927)&gt;0,"전기","당기"))</x:f>
      </x:c>
      <x:c r="D1927" s="67"/>
      <x:c r="G1927" s="68"/>
      <x:c r="K1927" t="str">
        <x:f>IF(B1927="","",IF(I1927="확인 필요","붙임 문서 확인 후 거래 성격·기간·상대방·일회성 여부 확인","결의서명과 전기 대비 발생 건수·단가·시점 차이 검토"))</x:f>
      </x:c>
    </x:row>
    <x:row r="1928">
      <x:c r="A1928" t="str">
        <x:f>IF(B1928="","",IF(COUNTIFS('전기원장'!$A$5:$A$1004,B1928,'전기원장'!$D$5:$D$1004,E1928)&gt;0,"전기","당기"))</x:f>
      </x:c>
      <x:c r="D1928" s="67"/>
      <x:c r="G1928" s="68"/>
      <x:c r="K1928" t="str">
        <x:f>IF(B1928="","",IF(I1928="확인 필요","붙임 문서 확인 후 거래 성격·기간·상대방·일회성 여부 확인","결의서명과 전기 대비 발생 건수·단가·시점 차이 검토"))</x:f>
      </x:c>
    </x:row>
    <x:row r="1929">
      <x:c r="A1929" t="str">
        <x:f>IF(B1929="","",IF(COUNTIFS('전기원장'!$A$5:$A$1004,B1929,'전기원장'!$D$5:$D$1004,E1929)&gt;0,"전기","당기"))</x:f>
      </x:c>
      <x:c r="D1929" s="67"/>
      <x:c r="G1929" s="68"/>
      <x:c r="K1929" t="str">
        <x:f>IF(B1929="","",IF(I1929="확인 필요","붙임 문서 확인 후 거래 성격·기간·상대방·일회성 여부 확인","결의서명과 전기 대비 발생 건수·단가·시점 차이 검토"))</x:f>
      </x:c>
    </x:row>
    <x:row r="1930">
      <x:c r="A1930" t="str">
        <x:f>IF(B1930="","",IF(COUNTIFS('전기원장'!$A$5:$A$1004,B1930,'전기원장'!$D$5:$D$1004,E1930)&gt;0,"전기","당기"))</x:f>
      </x:c>
      <x:c r="D1930" s="67"/>
      <x:c r="G1930" s="68"/>
      <x:c r="K1930" t="str">
        <x:f>IF(B1930="","",IF(I1930="확인 필요","붙임 문서 확인 후 거래 성격·기간·상대방·일회성 여부 확인","결의서명과 전기 대비 발생 건수·단가·시점 차이 검토"))</x:f>
      </x:c>
    </x:row>
    <x:row r="1931">
      <x:c r="A1931" t="str">
        <x:f>IF(B1931="","",IF(COUNTIFS('전기원장'!$A$5:$A$1004,B1931,'전기원장'!$D$5:$D$1004,E1931)&gt;0,"전기","당기"))</x:f>
      </x:c>
      <x:c r="D1931" s="67"/>
      <x:c r="G1931" s="68"/>
      <x:c r="K1931" t="str">
        <x:f>IF(B1931="","",IF(I1931="확인 필요","붙임 문서 확인 후 거래 성격·기간·상대방·일회성 여부 확인","결의서명과 전기 대비 발생 건수·단가·시점 차이 검토"))</x:f>
      </x:c>
    </x:row>
    <x:row r="1932">
      <x:c r="A1932" t="str">
        <x:f>IF(B1932="","",IF(COUNTIFS('전기원장'!$A$5:$A$1004,B1932,'전기원장'!$D$5:$D$1004,E1932)&gt;0,"전기","당기"))</x:f>
      </x:c>
      <x:c r="D1932" s="67"/>
      <x:c r="G1932" s="68"/>
      <x:c r="K1932" t="str">
        <x:f>IF(B1932="","",IF(I1932="확인 필요","붙임 문서 확인 후 거래 성격·기간·상대방·일회성 여부 확인","결의서명과 전기 대비 발생 건수·단가·시점 차이 검토"))</x:f>
      </x:c>
    </x:row>
    <x:row r="1933">
      <x:c r="A1933" t="str">
        <x:f>IF(B1933="","",IF(COUNTIFS('전기원장'!$A$5:$A$1004,B1933,'전기원장'!$D$5:$D$1004,E1933)&gt;0,"전기","당기"))</x:f>
      </x:c>
      <x:c r="D1933" s="67"/>
      <x:c r="G1933" s="68"/>
      <x:c r="K1933" t="str">
        <x:f>IF(B1933="","",IF(I1933="확인 필요","붙임 문서 확인 후 거래 성격·기간·상대방·일회성 여부 확인","결의서명과 전기 대비 발생 건수·단가·시점 차이 검토"))</x:f>
      </x:c>
    </x:row>
    <x:row r="1934">
      <x:c r="A1934" t="str">
        <x:f>IF(B1934="","",IF(COUNTIFS('전기원장'!$A$5:$A$1004,B1934,'전기원장'!$D$5:$D$1004,E1934)&gt;0,"전기","당기"))</x:f>
      </x:c>
      <x:c r="D1934" s="67"/>
      <x:c r="G1934" s="68"/>
      <x:c r="K1934" t="str">
        <x:f>IF(B1934="","",IF(I1934="확인 필요","붙임 문서 확인 후 거래 성격·기간·상대방·일회성 여부 확인","결의서명과 전기 대비 발생 건수·단가·시점 차이 검토"))</x:f>
      </x:c>
    </x:row>
    <x:row r="1935">
      <x:c r="A1935" t="str">
        <x:f>IF(B1935="","",IF(COUNTIFS('전기원장'!$A$5:$A$1004,B1935,'전기원장'!$D$5:$D$1004,E1935)&gt;0,"전기","당기"))</x:f>
      </x:c>
      <x:c r="D1935" s="67"/>
      <x:c r="G1935" s="68"/>
      <x:c r="K1935" t="str">
        <x:f>IF(B1935="","",IF(I1935="확인 필요","붙임 문서 확인 후 거래 성격·기간·상대방·일회성 여부 확인","결의서명과 전기 대비 발생 건수·단가·시점 차이 검토"))</x:f>
      </x:c>
    </x:row>
    <x:row r="1936">
      <x:c r="A1936" t="str">
        <x:f>IF(B1936="","",IF(COUNTIFS('전기원장'!$A$5:$A$1004,B1936,'전기원장'!$D$5:$D$1004,E1936)&gt;0,"전기","당기"))</x:f>
      </x:c>
      <x:c r="D1936" s="67"/>
      <x:c r="G1936" s="68"/>
      <x:c r="K1936" t="str">
        <x:f>IF(B1936="","",IF(I1936="확인 필요","붙임 문서 확인 후 거래 성격·기간·상대방·일회성 여부 확인","결의서명과 전기 대비 발생 건수·단가·시점 차이 검토"))</x:f>
      </x:c>
    </x:row>
    <x:row r="1937">
      <x:c r="A1937" t="str">
        <x:f>IF(B1937="","",IF(COUNTIFS('전기원장'!$A$5:$A$1004,B1937,'전기원장'!$D$5:$D$1004,E1937)&gt;0,"전기","당기"))</x:f>
      </x:c>
      <x:c r="D1937" s="67"/>
      <x:c r="G1937" s="68"/>
      <x:c r="K1937" t="str">
        <x:f>IF(B1937="","",IF(I1937="확인 필요","붙임 문서 확인 후 거래 성격·기간·상대방·일회성 여부 확인","결의서명과 전기 대비 발생 건수·단가·시점 차이 검토"))</x:f>
      </x:c>
    </x:row>
    <x:row r="1938">
      <x:c r="A1938" t="str">
        <x:f>IF(B1938="","",IF(COUNTIFS('전기원장'!$A$5:$A$1004,B1938,'전기원장'!$D$5:$D$1004,E1938)&gt;0,"전기","당기"))</x:f>
      </x:c>
      <x:c r="D1938" s="67"/>
      <x:c r="G1938" s="68"/>
      <x:c r="K1938" t="str">
        <x:f>IF(B1938="","",IF(I1938="확인 필요","붙임 문서 확인 후 거래 성격·기간·상대방·일회성 여부 확인","결의서명과 전기 대비 발생 건수·단가·시점 차이 검토"))</x:f>
      </x:c>
    </x:row>
    <x:row r="1939">
      <x:c r="A1939" t="str">
        <x:f>IF(B1939="","",IF(COUNTIFS('전기원장'!$A$5:$A$1004,B1939,'전기원장'!$D$5:$D$1004,E1939)&gt;0,"전기","당기"))</x:f>
      </x:c>
      <x:c r="D1939" s="67"/>
      <x:c r="G1939" s="68"/>
      <x:c r="K1939" t="str">
        <x:f>IF(B1939="","",IF(I1939="확인 필요","붙임 문서 확인 후 거래 성격·기간·상대방·일회성 여부 확인","결의서명과 전기 대비 발생 건수·단가·시점 차이 검토"))</x:f>
      </x:c>
    </x:row>
    <x:row r="1940">
      <x:c r="A1940" t="str">
        <x:f>IF(B1940="","",IF(COUNTIFS('전기원장'!$A$5:$A$1004,B1940,'전기원장'!$D$5:$D$1004,E1940)&gt;0,"전기","당기"))</x:f>
      </x:c>
      <x:c r="D1940" s="67"/>
      <x:c r="G1940" s="68"/>
      <x:c r="K1940" t="str">
        <x:f>IF(B1940="","",IF(I1940="확인 필요","붙임 문서 확인 후 거래 성격·기간·상대방·일회성 여부 확인","결의서명과 전기 대비 발생 건수·단가·시점 차이 검토"))</x:f>
      </x:c>
    </x:row>
    <x:row r="1941">
      <x:c r="A1941" t="str">
        <x:f>IF(B1941="","",IF(COUNTIFS('전기원장'!$A$5:$A$1004,B1941,'전기원장'!$D$5:$D$1004,E1941)&gt;0,"전기","당기"))</x:f>
      </x:c>
      <x:c r="D1941" s="67"/>
      <x:c r="G1941" s="68"/>
      <x:c r="K1941" t="str">
        <x:f>IF(B1941="","",IF(I1941="확인 필요","붙임 문서 확인 후 거래 성격·기간·상대방·일회성 여부 확인","결의서명과 전기 대비 발생 건수·단가·시점 차이 검토"))</x:f>
      </x:c>
    </x:row>
    <x:row r="1942">
      <x:c r="A1942" t="str">
        <x:f>IF(B1942="","",IF(COUNTIFS('전기원장'!$A$5:$A$1004,B1942,'전기원장'!$D$5:$D$1004,E1942)&gt;0,"전기","당기"))</x:f>
      </x:c>
      <x:c r="D1942" s="67"/>
      <x:c r="G1942" s="68"/>
      <x:c r="K1942" t="str">
        <x:f>IF(B1942="","",IF(I1942="확인 필요","붙임 문서 확인 후 거래 성격·기간·상대방·일회성 여부 확인","결의서명과 전기 대비 발생 건수·단가·시점 차이 검토"))</x:f>
      </x:c>
    </x:row>
    <x:row r="1943">
      <x:c r="A1943" t="str">
        <x:f>IF(B1943="","",IF(COUNTIFS('전기원장'!$A$5:$A$1004,B1943,'전기원장'!$D$5:$D$1004,E1943)&gt;0,"전기","당기"))</x:f>
      </x:c>
      <x:c r="D1943" s="67"/>
      <x:c r="G1943" s="68"/>
      <x:c r="K1943" t="str">
        <x:f>IF(B1943="","",IF(I1943="확인 필요","붙임 문서 확인 후 거래 성격·기간·상대방·일회성 여부 확인","결의서명과 전기 대비 발생 건수·단가·시점 차이 검토"))</x:f>
      </x:c>
    </x:row>
    <x:row r="1944">
      <x:c r="A1944" t="str">
        <x:f>IF(B1944="","",IF(COUNTIFS('전기원장'!$A$5:$A$1004,B1944,'전기원장'!$D$5:$D$1004,E1944)&gt;0,"전기","당기"))</x:f>
      </x:c>
      <x:c r="D1944" s="67"/>
      <x:c r="G1944" s="68"/>
      <x:c r="K1944" t="str">
        <x:f>IF(B1944="","",IF(I1944="확인 필요","붙임 문서 확인 후 거래 성격·기간·상대방·일회성 여부 확인","결의서명과 전기 대비 발생 건수·단가·시점 차이 검토"))</x:f>
      </x:c>
    </x:row>
    <x:row r="1945">
      <x:c r="A1945" t="str">
        <x:f>IF(B1945="","",IF(COUNTIFS('전기원장'!$A$5:$A$1004,B1945,'전기원장'!$D$5:$D$1004,E1945)&gt;0,"전기","당기"))</x:f>
      </x:c>
      <x:c r="D1945" s="67"/>
      <x:c r="G1945" s="68"/>
      <x:c r="K1945" t="str">
        <x:f>IF(B1945="","",IF(I1945="확인 필요","붙임 문서 확인 후 거래 성격·기간·상대방·일회성 여부 확인","결의서명과 전기 대비 발생 건수·단가·시점 차이 검토"))</x:f>
      </x:c>
    </x:row>
    <x:row r="1946">
      <x:c r="A1946" t="str">
        <x:f>IF(B1946="","",IF(COUNTIFS('전기원장'!$A$5:$A$1004,B1946,'전기원장'!$D$5:$D$1004,E1946)&gt;0,"전기","당기"))</x:f>
      </x:c>
      <x:c r="D1946" s="67"/>
      <x:c r="G1946" s="68"/>
      <x:c r="K1946" t="str">
        <x:f>IF(B1946="","",IF(I1946="확인 필요","붙임 문서 확인 후 거래 성격·기간·상대방·일회성 여부 확인","결의서명과 전기 대비 발생 건수·단가·시점 차이 검토"))</x:f>
      </x:c>
    </x:row>
    <x:row r="1947">
      <x:c r="A1947" t="str">
        <x:f>IF(B1947="","",IF(COUNTIFS('전기원장'!$A$5:$A$1004,B1947,'전기원장'!$D$5:$D$1004,E1947)&gt;0,"전기","당기"))</x:f>
      </x:c>
      <x:c r="D1947" s="67"/>
      <x:c r="G1947" s="68"/>
      <x:c r="K1947" t="str">
        <x:f>IF(B1947="","",IF(I1947="확인 필요","붙임 문서 확인 후 거래 성격·기간·상대방·일회성 여부 확인","결의서명과 전기 대비 발생 건수·단가·시점 차이 검토"))</x:f>
      </x:c>
    </x:row>
    <x:row r="1948">
      <x:c r="A1948" t="str">
        <x:f>IF(B1948="","",IF(COUNTIFS('전기원장'!$A$5:$A$1004,B1948,'전기원장'!$D$5:$D$1004,E1948)&gt;0,"전기","당기"))</x:f>
      </x:c>
      <x:c r="D1948" s="67"/>
      <x:c r="G1948" s="68"/>
      <x:c r="K1948" t="str">
        <x:f>IF(B1948="","",IF(I1948="확인 필요","붙임 문서 확인 후 거래 성격·기간·상대방·일회성 여부 확인","결의서명과 전기 대비 발생 건수·단가·시점 차이 검토"))</x:f>
      </x:c>
    </x:row>
    <x:row r="1949">
      <x:c r="A1949" t="str">
        <x:f>IF(B1949="","",IF(COUNTIFS('전기원장'!$A$5:$A$1004,B1949,'전기원장'!$D$5:$D$1004,E1949)&gt;0,"전기","당기"))</x:f>
      </x:c>
      <x:c r="D1949" s="67"/>
      <x:c r="G1949" s="68"/>
      <x:c r="K1949" t="str">
        <x:f>IF(B1949="","",IF(I1949="확인 필요","붙임 문서 확인 후 거래 성격·기간·상대방·일회성 여부 확인","결의서명과 전기 대비 발생 건수·단가·시점 차이 검토"))</x:f>
      </x:c>
    </x:row>
    <x:row r="1950">
      <x:c r="A1950" t="str">
        <x:f>IF(B1950="","",IF(COUNTIFS('전기원장'!$A$5:$A$1004,B1950,'전기원장'!$D$5:$D$1004,E1950)&gt;0,"전기","당기"))</x:f>
      </x:c>
      <x:c r="D1950" s="67"/>
      <x:c r="G1950" s="68"/>
      <x:c r="K1950" t="str">
        <x:f>IF(B1950="","",IF(I1950="확인 필요","붙임 문서 확인 후 거래 성격·기간·상대방·일회성 여부 확인","결의서명과 전기 대비 발생 건수·단가·시점 차이 검토"))</x:f>
      </x:c>
    </x:row>
    <x:row r="1951">
      <x:c r="A1951" t="str">
        <x:f>IF(B1951="","",IF(COUNTIFS('전기원장'!$A$5:$A$1004,B1951,'전기원장'!$D$5:$D$1004,E1951)&gt;0,"전기","당기"))</x:f>
      </x:c>
      <x:c r="D1951" s="67"/>
      <x:c r="G1951" s="68"/>
      <x:c r="K1951" t="str">
        <x:f>IF(B1951="","",IF(I1951="확인 필요","붙임 문서 확인 후 거래 성격·기간·상대방·일회성 여부 확인","결의서명과 전기 대비 발생 건수·단가·시점 차이 검토"))</x:f>
      </x:c>
    </x:row>
    <x:row r="1952">
      <x:c r="A1952" t="str">
        <x:f>IF(B1952="","",IF(COUNTIFS('전기원장'!$A$5:$A$1004,B1952,'전기원장'!$D$5:$D$1004,E1952)&gt;0,"전기","당기"))</x:f>
      </x:c>
      <x:c r="D1952" s="67"/>
      <x:c r="G1952" s="68"/>
      <x:c r="K1952" t="str">
        <x:f>IF(B1952="","",IF(I1952="확인 필요","붙임 문서 확인 후 거래 성격·기간·상대방·일회성 여부 확인","결의서명과 전기 대비 발생 건수·단가·시점 차이 검토"))</x:f>
      </x:c>
    </x:row>
    <x:row r="1953">
      <x:c r="A1953" t="str">
        <x:f>IF(B1953="","",IF(COUNTIFS('전기원장'!$A$5:$A$1004,B1953,'전기원장'!$D$5:$D$1004,E1953)&gt;0,"전기","당기"))</x:f>
      </x:c>
      <x:c r="D1953" s="67"/>
      <x:c r="G1953" s="68"/>
      <x:c r="K1953" t="str">
        <x:f>IF(B1953="","",IF(I1953="확인 필요","붙임 문서 확인 후 거래 성격·기간·상대방·일회성 여부 확인","결의서명과 전기 대비 발생 건수·단가·시점 차이 검토"))</x:f>
      </x:c>
    </x:row>
    <x:row r="1954">
      <x:c r="A1954" t="str">
        <x:f>IF(B1954="","",IF(COUNTIFS('전기원장'!$A$5:$A$1004,B1954,'전기원장'!$D$5:$D$1004,E1954)&gt;0,"전기","당기"))</x:f>
      </x:c>
      <x:c r="D1954" s="67"/>
      <x:c r="G1954" s="68"/>
      <x:c r="K1954" t="str">
        <x:f>IF(B1954="","",IF(I1954="확인 필요","붙임 문서 확인 후 거래 성격·기간·상대방·일회성 여부 확인","결의서명과 전기 대비 발생 건수·단가·시점 차이 검토"))</x:f>
      </x:c>
    </x:row>
    <x:row r="1955">
      <x:c r="A1955" t="str">
        <x:f>IF(B1955="","",IF(COUNTIFS('전기원장'!$A$5:$A$1004,B1955,'전기원장'!$D$5:$D$1004,E1955)&gt;0,"전기","당기"))</x:f>
      </x:c>
      <x:c r="D1955" s="67"/>
      <x:c r="G1955" s="68"/>
      <x:c r="K1955" t="str">
        <x:f>IF(B1955="","",IF(I1955="확인 필요","붙임 문서 확인 후 거래 성격·기간·상대방·일회성 여부 확인","결의서명과 전기 대비 발생 건수·단가·시점 차이 검토"))</x:f>
      </x:c>
    </x:row>
    <x:row r="1956">
      <x:c r="A1956" t="str">
        <x:f>IF(B1956="","",IF(COUNTIFS('전기원장'!$A$5:$A$1004,B1956,'전기원장'!$D$5:$D$1004,E1956)&gt;0,"전기","당기"))</x:f>
      </x:c>
      <x:c r="D1956" s="67"/>
      <x:c r="G1956" s="68"/>
      <x:c r="K1956" t="str">
        <x:f>IF(B1956="","",IF(I1956="확인 필요","붙임 문서 확인 후 거래 성격·기간·상대방·일회성 여부 확인","결의서명과 전기 대비 발생 건수·단가·시점 차이 검토"))</x:f>
      </x:c>
    </x:row>
    <x:row r="1957">
      <x:c r="A1957" t="str">
        <x:f>IF(B1957="","",IF(COUNTIFS('전기원장'!$A$5:$A$1004,B1957,'전기원장'!$D$5:$D$1004,E1957)&gt;0,"전기","당기"))</x:f>
      </x:c>
      <x:c r="D1957" s="67"/>
      <x:c r="G1957" s="68"/>
      <x:c r="K1957" t="str">
        <x:f>IF(B1957="","",IF(I1957="확인 필요","붙임 문서 확인 후 거래 성격·기간·상대방·일회성 여부 확인","결의서명과 전기 대비 발생 건수·단가·시점 차이 검토"))</x:f>
      </x:c>
    </x:row>
    <x:row r="1958">
      <x:c r="A1958" t="str">
        <x:f>IF(B1958="","",IF(COUNTIFS('전기원장'!$A$5:$A$1004,B1958,'전기원장'!$D$5:$D$1004,E1958)&gt;0,"전기","당기"))</x:f>
      </x:c>
      <x:c r="D1958" s="67"/>
      <x:c r="G1958" s="68"/>
      <x:c r="K1958" t="str">
        <x:f>IF(B1958="","",IF(I1958="확인 필요","붙임 문서 확인 후 거래 성격·기간·상대방·일회성 여부 확인","결의서명과 전기 대비 발생 건수·단가·시점 차이 검토"))</x:f>
      </x:c>
    </x:row>
    <x:row r="1959">
      <x:c r="A1959" t="str">
        <x:f>IF(B1959="","",IF(COUNTIFS('전기원장'!$A$5:$A$1004,B1959,'전기원장'!$D$5:$D$1004,E1959)&gt;0,"전기","당기"))</x:f>
      </x:c>
      <x:c r="D1959" s="67"/>
      <x:c r="G1959" s="68"/>
      <x:c r="K1959" t="str">
        <x:f>IF(B1959="","",IF(I1959="확인 필요","붙임 문서 확인 후 거래 성격·기간·상대방·일회성 여부 확인","결의서명과 전기 대비 발생 건수·단가·시점 차이 검토"))</x:f>
      </x:c>
    </x:row>
    <x:row r="1960">
      <x:c r="A1960" t="str">
        <x:f>IF(B1960="","",IF(COUNTIFS('전기원장'!$A$5:$A$1004,B1960,'전기원장'!$D$5:$D$1004,E1960)&gt;0,"전기","당기"))</x:f>
      </x:c>
      <x:c r="D1960" s="67"/>
      <x:c r="G1960" s="68"/>
      <x:c r="K1960" t="str">
        <x:f>IF(B1960="","",IF(I1960="확인 필요","붙임 문서 확인 후 거래 성격·기간·상대방·일회성 여부 확인","결의서명과 전기 대비 발생 건수·단가·시점 차이 검토"))</x:f>
      </x:c>
    </x:row>
    <x:row r="1961">
      <x:c r="A1961" t="str">
        <x:f>IF(B1961="","",IF(COUNTIFS('전기원장'!$A$5:$A$1004,B1961,'전기원장'!$D$5:$D$1004,E1961)&gt;0,"전기","당기"))</x:f>
      </x:c>
      <x:c r="D1961" s="67"/>
      <x:c r="G1961" s="68"/>
      <x:c r="K1961" t="str">
        <x:f>IF(B1961="","",IF(I1961="확인 필요","붙임 문서 확인 후 거래 성격·기간·상대방·일회성 여부 확인","결의서명과 전기 대비 발생 건수·단가·시점 차이 검토"))</x:f>
      </x:c>
    </x:row>
    <x:row r="1962">
      <x:c r="A1962" t="str">
        <x:f>IF(B1962="","",IF(COUNTIFS('전기원장'!$A$5:$A$1004,B1962,'전기원장'!$D$5:$D$1004,E1962)&gt;0,"전기","당기"))</x:f>
      </x:c>
      <x:c r="D1962" s="67"/>
      <x:c r="G1962" s="68"/>
      <x:c r="K1962" t="str">
        <x:f>IF(B1962="","",IF(I1962="확인 필요","붙임 문서 확인 후 거래 성격·기간·상대방·일회성 여부 확인","결의서명과 전기 대비 발생 건수·단가·시점 차이 검토"))</x:f>
      </x:c>
    </x:row>
    <x:row r="1963">
      <x:c r="A1963" t="str">
        <x:f>IF(B1963="","",IF(COUNTIFS('전기원장'!$A$5:$A$1004,B1963,'전기원장'!$D$5:$D$1004,E1963)&gt;0,"전기","당기"))</x:f>
      </x:c>
      <x:c r="D1963" s="67"/>
      <x:c r="G1963" s="68"/>
      <x:c r="K1963" t="str">
        <x:f>IF(B1963="","",IF(I1963="확인 필요","붙임 문서 확인 후 거래 성격·기간·상대방·일회성 여부 확인","결의서명과 전기 대비 발생 건수·단가·시점 차이 검토"))</x:f>
      </x:c>
    </x:row>
    <x:row r="1964">
      <x:c r="A1964" t="str">
        <x:f>IF(B1964="","",IF(COUNTIFS('전기원장'!$A$5:$A$1004,B1964,'전기원장'!$D$5:$D$1004,E1964)&gt;0,"전기","당기"))</x:f>
      </x:c>
      <x:c r="D1964" s="67"/>
      <x:c r="G1964" s="68"/>
      <x:c r="K1964" t="str">
        <x:f>IF(B1964="","",IF(I1964="확인 필요","붙임 문서 확인 후 거래 성격·기간·상대방·일회성 여부 확인","결의서명과 전기 대비 발생 건수·단가·시점 차이 검토"))</x:f>
      </x:c>
    </x:row>
    <x:row r="1965">
      <x:c r="A1965" t="str">
        <x:f>IF(B1965="","",IF(COUNTIFS('전기원장'!$A$5:$A$1004,B1965,'전기원장'!$D$5:$D$1004,E1965)&gt;0,"전기","당기"))</x:f>
      </x:c>
      <x:c r="D1965" s="67"/>
      <x:c r="G1965" s="68"/>
      <x:c r="K1965" t="str">
        <x:f>IF(B1965="","",IF(I1965="확인 필요","붙임 문서 확인 후 거래 성격·기간·상대방·일회성 여부 확인","결의서명과 전기 대비 발생 건수·단가·시점 차이 검토"))</x:f>
      </x:c>
    </x:row>
    <x:row r="1966">
      <x:c r="A1966" t="str">
        <x:f>IF(B1966="","",IF(COUNTIFS('전기원장'!$A$5:$A$1004,B1966,'전기원장'!$D$5:$D$1004,E1966)&gt;0,"전기","당기"))</x:f>
      </x:c>
      <x:c r="D1966" s="67"/>
      <x:c r="G1966" s="68"/>
      <x:c r="K1966" t="str">
        <x:f>IF(B1966="","",IF(I1966="확인 필요","붙임 문서 확인 후 거래 성격·기간·상대방·일회성 여부 확인","결의서명과 전기 대비 발생 건수·단가·시점 차이 검토"))</x:f>
      </x:c>
    </x:row>
    <x:row r="1967">
      <x:c r="A1967" t="str">
        <x:f>IF(B1967="","",IF(COUNTIFS('전기원장'!$A$5:$A$1004,B1967,'전기원장'!$D$5:$D$1004,E1967)&gt;0,"전기","당기"))</x:f>
      </x:c>
      <x:c r="D1967" s="67"/>
      <x:c r="G1967" s="68"/>
      <x:c r="K1967" t="str">
        <x:f>IF(B1967="","",IF(I1967="확인 필요","붙임 문서 확인 후 거래 성격·기간·상대방·일회성 여부 확인","결의서명과 전기 대비 발생 건수·단가·시점 차이 검토"))</x:f>
      </x:c>
    </x:row>
    <x:row r="1968">
      <x:c r="A1968" t="str">
        <x:f>IF(B1968="","",IF(COUNTIFS('전기원장'!$A$5:$A$1004,B1968,'전기원장'!$D$5:$D$1004,E1968)&gt;0,"전기","당기"))</x:f>
      </x:c>
      <x:c r="D1968" s="67"/>
      <x:c r="G1968" s="68"/>
      <x:c r="K1968" t="str">
        <x:f>IF(B1968="","",IF(I1968="확인 필요","붙임 문서 확인 후 거래 성격·기간·상대방·일회성 여부 확인","결의서명과 전기 대비 발생 건수·단가·시점 차이 검토"))</x:f>
      </x:c>
    </x:row>
    <x:row r="1969">
      <x:c r="A1969" t="str">
        <x:f>IF(B1969="","",IF(COUNTIFS('전기원장'!$A$5:$A$1004,B1969,'전기원장'!$D$5:$D$1004,E1969)&gt;0,"전기","당기"))</x:f>
      </x:c>
      <x:c r="D1969" s="67"/>
      <x:c r="G1969" s="68"/>
      <x:c r="K1969" t="str">
        <x:f>IF(B1969="","",IF(I1969="확인 필요","붙임 문서 확인 후 거래 성격·기간·상대방·일회성 여부 확인","결의서명과 전기 대비 발생 건수·단가·시점 차이 검토"))</x:f>
      </x:c>
    </x:row>
    <x:row r="1970">
      <x:c r="A1970" t="str">
        <x:f>IF(B1970="","",IF(COUNTIFS('전기원장'!$A$5:$A$1004,B1970,'전기원장'!$D$5:$D$1004,E1970)&gt;0,"전기","당기"))</x:f>
      </x:c>
      <x:c r="D1970" s="67"/>
      <x:c r="G1970" s="68"/>
      <x:c r="K1970" t="str">
        <x:f>IF(B1970="","",IF(I1970="확인 필요","붙임 문서 확인 후 거래 성격·기간·상대방·일회성 여부 확인","결의서명과 전기 대비 발생 건수·단가·시점 차이 검토"))</x:f>
      </x:c>
    </x:row>
    <x:row r="1971">
      <x:c r="A1971" t="str">
        <x:f>IF(B1971="","",IF(COUNTIFS('전기원장'!$A$5:$A$1004,B1971,'전기원장'!$D$5:$D$1004,E1971)&gt;0,"전기","당기"))</x:f>
      </x:c>
      <x:c r="D1971" s="67"/>
      <x:c r="G1971" s="68"/>
      <x:c r="K1971" t="str">
        <x:f>IF(B1971="","",IF(I1971="확인 필요","붙임 문서 확인 후 거래 성격·기간·상대방·일회성 여부 확인","결의서명과 전기 대비 발생 건수·단가·시점 차이 검토"))</x:f>
      </x:c>
    </x:row>
    <x:row r="1972">
      <x:c r="A1972" t="str">
        <x:f>IF(B1972="","",IF(COUNTIFS('전기원장'!$A$5:$A$1004,B1972,'전기원장'!$D$5:$D$1004,E1972)&gt;0,"전기","당기"))</x:f>
      </x:c>
      <x:c r="D1972" s="67"/>
      <x:c r="G1972" s="68"/>
      <x:c r="K1972" t="str">
        <x:f>IF(B1972="","",IF(I1972="확인 필요","붙임 문서 확인 후 거래 성격·기간·상대방·일회성 여부 확인","결의서명과 전기 대비 발생 건수·단가·시점 차이 검토"))</x:f>
      </x:c>
    </x:row>
    <x:row r="1973">
      <x:c r="A1973" t="str">
        <x:f>IF(B1973="","",IF(COUNTIFS('전기원장'!$A$5:$A$1004,B1973,'전기원장'!$D$5:$D$1004,E1973)&gt;0,"전기","당기"))</x:f>
      </x:c>
      <x:c r="D1973" s="67"/>
      <x:c r="G1973" s="68"/>
      <x:c r="K1973" t="str">
        <x:f>IF(B1973="","",IF(I1973="확인 필요","붙임 문서 확인 후 거래 성격·기간·상대방·일회성 여부 확인","결의서명과 전기 대비 발생 건수·단가·시점 차이 검토"))</x:f>
      </x:c>
    </x:row>
    <x:row r="1974">
      <x:c r="A1974" t="str">
        <x:f>IF(B1974="","",IF(COUNTIFS('전기원장'!$A$5:$A$1004,B1974,'전기원장'!$D$5:$D$1004,E1974)&gt;0,"전기","당기"))</x:f>
      </x:c>
      <x:c r="D1974" s="67"/>
      <x:c r="G1974" s="68"/>
      <x:c r="K1974" t="str">
        <x:f>IF(B1974="","",IF(I1974="확인 필요","붙임 문서 확인 후 거래 성격·기간·상대방·일회성 여부 확인","결의서명과 전기 대비 발생 건수·단가·시점 차이 검토"))</x:f>
      </x:c>
    </x:row>
    <x:row r="1975">
      <x:c r="A1975" t="str">
        <x:f>IF(B1975="","",IF(COUNTIFS('전기원장'!$A$5:$A$1004,B1975,'전기원장'!$D$5:$D$1004,E1975)&gt;0,"전기","당기"))</x:f>
      </x:c>
      <x:c r="D1975" s="67"/>
      <x:c r="G1975" s="68"/>
      <x:c r="K1975" t="str">
        <x:f>IF(B1975="","",IF(I1975="확인 필요","붙임 문서 확인 후 거래 성격·기간·상대방·일회성 여부 확인","결의서명과 전기 대비 발생 건수·단가·시점 차이 검토"))</x:f>
      </x:c>
    </x:row>
    <x:row r="1976">
      <x:c r="A1976" t="str">
        <x:f>IF(B1976="","",IF(COUNTIFS('전기원장'!$A$5:$A$1004,B1976,'전기원장'!$D$5:$D$1004,E1976)&gt;0,"전기","당기"))</x:f>
      </x:c>
      <x:c r="D1976" s="67"/>
      <x:c r="G1976" s="68"/>
      <x:c r="K1976" t="str">
        <x:f>IF(B1976="","",IF(I1976="확인 필요","붙임 문서 확인 후 거래 성격·기간·상대방·일회성 여부 확인","결의서명과 전기 대비 발생 건수·단가·시점 차이 검토"))</x:f>
      </x:c>
    </x:row>
    <x:row r="1977">
      <x:c r="A1977" t="str">
        <x:f>IF(B1977="","",IF(COUNTIFS('전기원장'!$A$5:$A$1004,B1977,'전기원장'!$D$5:$D$1004,E1977)&gt;0,"전기","당기"))</x:f>
      </x:c>
      <x:c r="D1977" s="67"/>
      <x:c r="G1977" s="68"/>
      <x:c r="K1977" t="str">
        <x:f>IF(B1977="","",IF(I1977="확인 필요","붙임 문서 확인 후 거래 성격·기간·상대방·일회성 여부 확인","결의서명과 전기 대비 발생 건수·단가·시점 차이 검토"))</x:f>
      </x:c>
    </x:row>
    <x:row r="1978">
      <x:c r="A1978" t="str">
        <x:f>IF(B1978="","",IF(COUNTIFS('전기원장'!$A$5:$A$1004,B1978,'전기원장'!$D$5:$D$1004,E1978)&gt;0,"전기","당기"))</x:f>
      </x:c>
      <x:c r="D1978" s="67"/>
      <x:c r="G1978" s="68"/>
      <x:c r="K1978" t="str">
        <x:f>IF(B1978="","",IF(I1978="확인 필요","붙임 문서 확인 후 거래 성격·기간·상대방·일회성 여부 확인","결의서명과 전기 대비 발생 건수·단가·시점 차이 검토"))</x:f>
      </x:c>
    </x:row>
    <x:row r="1979">
      <x:c r="A1979" t="str">
        <x:f>IF(B1979="","",IF(COUNTIFS('전기원장'!$A$5:$A$1004,B1979,'전기원장'!$D$5:$D$1004,E1979)&gt;0,"전기","당기"))</x:f>
      </x:c>
      <x:c r="D1979" s="67"/>
      <x:c r="G1979" s="68"/>
      <x:c r="K1979" t="str">
        <x:f>IF(B1979="","",IF(I1979="확인 필요","붙임 문서 확인 후 거래 성격·기간·상대방·일회성 여부 확인","결의서명과 전기 대비 발생 건수·단가·시점 차이 검토"))</x:f>
      </x:c>
    </x:row>
    <x:row r="1980">
      <x:c r="A1980" t="str">
        <x:f>IF(B1980="","",IF(COUNTIFS('전기원장'!$A$5:$A$1004,B1980,'전기원장'!$D$5:$D$1004,E1980)&gt;0,"전기","당기"))</x:f>
      </x:c>
      <x:c r="D1980" s="67"/>
      <x:c r="G1980" s="68"/>
      <x:c r="K1980" t="str">
        <x:f>IF(B1980="","",IF(I1980="확인 필요","붙임 문서 확인 후 거래 성격·기간·상대방·일회성 여부 확인","결의서명과 전기 대비 발생 건수·단가·시점 차이 검토"))</x:f>
      </x:c>
    </x:row>
    <x:row r="1981">
      <x:c r="A1981" t="str">
        <x:f>IF(B1981="","",IF(COUNTIFS('전기원장'!$A$5:$A$1004,B1981,'전기원장'!$D$5:$D$1004,E1981)&gt;0,"전기","당기"))</x:f>
      </x:c>
      <x:c r="D1981" s="67"/>
      <x:c r="G1981" s="68"/>
      <x:c r="K1981" t="str">
        <x:f>IF(B1981="","",IF(I1981="확인 필요","붙임 문서 확인 후 거래 성격·기간·상대방·일회성 여부 확인","결의서명과 전기 대비 발생 건수·단가·시점 차이 검토"))</x:f>
      </x:c>
    </x:row>
    <x:row r="1982">
      <x:c r="A1982" t="str">
        <x:f>IF(B1982="","",IF(COUNTIFS('전기원장'!$A$5:$A$1004,B1982,'전기원장'!$D$5:$D$1004,E1982)&gt;0,"전기","당기"))</x:f>
      </x:c>
      <x:c r="D1982" s="67"/>
      <x:c r="G1982" s="68"/>
      <x:c r="K1982" t="str">
        <x:f>IF(B1982="","",IF(I1982="확인 필요","붙임 문서 확인 후 거래 성격·기간·상대방·일회성 여부 확인","결의서명과 전기 대비 발생 건수·단가·시점 차이 검토"))</x:f>
      </x:c>
    </x:row>
    <x:row r="1983">
      <x:c r="A1983" t="str">
        <x:f>IF(B1983="","",IF(COUNTIFS('전기원장'!$A$5:$A$1004,B1983,'전기원장'!$D$5:$D$1004,E1983)&gt;0,"전기","당기"))</x:f>
      </x:c>
      <x:c r="D1983" s="67"/>
      <x:c r="G1983" s="68"/>
      <x:c r="K1983" t="str">
        <x:f>IF(B1983="","",IF(I1983="확인 필요","붙임 문서 확인 후 거래 성격·기간·상대방·일회성 여부 확인","결의서명과 전기 대비 발생 건수·단가·시점 차이 검토"))</x:f>
      </x:c>
    </x:row>
    <x:row r="1984">
      <x:c r="A1984" t="str">
        <x:f>IF(B1984="","",IF(COUNTIFS('전기원장'!$A$5:$A$1004,B1984,'전기원장'!$D$5:$D$1004,E1984)&gt;0,"전기","당기"))</x:f>
      </x:c>
      <x:c r="D1984" s="67"/>
      <x:c r="G1984" s="68"/>
      <x:c r="K1984" t="str">
        <x:f>IF(B1984="","",IF(I1984="확인 필요","붙임 문서 확인 후 거래 성격·기간·상대방·일회성 여부 확인","결의서명과 전기 대비 발생 건수·단가·시점 차이 검토"))</x:f>
      </x:c>
    </x:row>
    <x:row r="1985">
      <x:c r="A1985" t="str">
        <x:f>IF(B1985="","",IF(COUNTIFS('전기원장'!$A$5:$A$1004,B1985,'전기원장'!$D$5:$D$1004,E1985)&gt;0,"전기","당기"))</x:f>
      </x:c>
      <x:c r="D1985" s="67"/>
      <x:c r="G1985" s="68"/>
      <x:c r="K1985" t="str">
        <x:f>IF(B1985="","",IF(I1985="확인 필요","붙임 문서 확인 후 거래 성격·기간·상대방·일회성 여부 확인","결의서명과 전기 대비 발생 건수·단가·시점 차이 검토"))</x:f>
      </x:c>
    </x:row>
    <x:row r="1986">
      <x:c r="A1986" t="str">
        <x:f>IF(B1986="","",IF(COUNTIFS('전기원장'!$A$5:$A$1004,B1986,'전기원장'!$D$5:$D$1004,E1986)&gt;0,"전기","당기"))</x:f>
      </x:c>
      <x:c r="D1986" s="67"/>
      <x:c r="G1986" s="68"/>
      <x:c r="K1986" t="str">
        <x:f>IF(B1986="","",IF(I1986="확인 필요","붙임 문서 확인 후 거래 성격·기간·상대방·일회성 여부 확인","결의서명과 전기 대비 발생 건수·단가·시점 차이 검토"))</x:f>
      </x:c>
    </x:row>
    <x:row r="1987">
      <x:c r="A1987" t="str">
        <x:f>IF(B1987="","",IF(COUNTIFS('전기원장'!$A$5:$A$1004,B1987,'전기원장'!$D$5:$D$1004,E1987)&gt;0,"전기","당기"))</x:f>
      </x:c>
      <x:c r="D1987" s="67"/>
      <x:c r="G1987" s="68"/>
      <x:c r="K1987" t="str">
        <x:f>IF(B1987="","",IF(I1987="확인 필요","붙임 문서 확인 후 거래 성격·기간·상대방·일회성 여부 확인","결의서명과 전기 대비 발생 건수·단가·시점 차이 검토"))</x:f>
      </x:c>
    </x:row>
    <x:row r="1988">
      <x:c r="A1988" t="str">
        <x:f>IF(B1988="","",IF(COUNTIFS('전기원장'!$A$5:$A$1004,B1988,'전기원장'!$D$5:$D$1004,E1988)&gt;0,"전기","당기"))</x:f>
      </x:c>
      <x:c r="D1988" s="67"/>
      <x:c r="G1988" s="68"/>
      <x:c r="K1988" t="str">
        <x:f>IF(B1988="","",IF(I1988="확인 필요","붙임 문서 확인 후 거래 성격·기간·상대방·일회성 여부 확인","결의서명과 전기 대비 발생 건수·단가·시점 차이 검토"))</x:f>
      </x:c>
    </x:row>
    <x:row r="1989">
      <x:c r="A1989" t="str">
        <x:f>IF(B1989="","",IF(COUNTIFS('전기원장'!$A$5:$A$1004,B1989,'전기원장'!$D$5:$D$1004,E1989)&gt;0,"전기","당기"))</x:f>
      </x:c>
      <x:c r="D1989" s="67"/>
      <x:c r="G1989" s="68"/>
      <x:c r="K1989" t="str">
        <x:f>IF(B1989="","",IF(I1989="확인 필요","붙임 문서 확인 후 거래 성격·기간·상대방·일회성 여부 확인","결의서명과 전기 대비 발생 건수·단가·시점 차이 검토"))</x:f>
      </x:c>
    </x:row>
    <x:row r="1990">
      <x:c r="A1990" t="str">
        <x:f>IF(B1990="","",IF(COUNTIFS('전기원장'!$A$5:$A$1004,B1990,'전기원장'!$D$5:$D$1004,E1990)&gt;0,"전기","당기"))</x:f>
      </x:c>
      <x:c r="D1990" s="67"/>
      <x:c r="G1990" s="68"/>
      <x:c r="K1990" t="str">
        <x:f>IF(B1990="","",IF(I1990="확인 필요","붙임 문서 확인 후 거래 성격·기간·상대방·일회성 여부 확인","결의서명과 전기 대비 발생 건수·단가·시점 차이 검토"))</x:f>
      </x:c>
    </x:row>
    <x:row r="1991">
      <x:c r="A1991" t="str">
        <x:f>IF(B1991="","",IF(COUNTIFS('전기원장'!$A$5:$A$1004,B1991,'전기원장'!$D$5:$D$1004,E1991)&gt;0,"전기","당기"))</x:f>
      </x:c>
      <x:c r="D1991" s="67"/>
      <x:c r="G1991" s="68"/>
      <x:c r="K1991" t="str">
        <x:f>IF(B1991="","",IF(I1991="확인 필요","붙임 문서 확인 후 거래 성격·기간·상대방·일회성 여부 확인","결의서명과 전기 대비 발생 건수·단가·시점 차이 검토"))</x:f>
      </x:c>
    </x:row>
    <x:row r="1992">
      <x:c r="A1992" t="str">
        <x:f>IF(B1992="","",IF(COUNTIFS('전기원장'!$A$5:$A$1004,B1992,'전기원장'!$D$5:$D$1004,E1992)&gt;0,"전기","당기"))</x:f>
      </x:c>
      <x:c r="D1992" s="67"/>
      <x:c r="G1992" s="68"/>
      <x:c r="K1992" t="str">
        <x:f>IF(B1992="","",IF(I1992="확인 필요","붙임 문서 확인 후 거래 성격·기간·상대방·일회성 여부 확인","결의서명과 전기 대비 발생 건수·단가·시점 차이 검토"))</x:f>
      </x:c>
    </x:row>
    <x:row r="1993">
      <x:c r="A1993" t="str">
        <x:f>IF(B1993="","",IF(COUNTIFS('전기원장'!$A$5:$A$1004,B1993,'전기원장'!$D$5:$D$1004,E1993)&gt;0,"전기","당기"))</x:f>
      </x:c>
      <x:c r="D1993" s="67"/>
      <x:c r="G1993" s="68"/>
      <x:c r="K1993" t="str">
        <x:f>IF(B1993="","",IF(I1993="확인 필요","붙임 문서 확인 후 거래 성격·기간·상대방·일회성 여부 확인","결의서명과 전기 대비 발생 건수·단가·시점 차이 검토"))</x:f>
      </x:c>
    </x:row>
    <x:row r="1994">
      <x:c r="A1994" t="str">
        <x:f>IF(B1994="","",IF(COUNTIFS('전기원장'!$A$5:$A$1004,B1994,'전기원장'!$D$5:$D$1004,E1994)&gt;0,"전기","당기"))</x:f>
      </x:c>
      <x:c r="D1994" s="67"/>
      <x:c r="G1994" s="68"/>
      <x:c r="K1994" t="str">
        <x:f>IF(B1994="","",IF(I1994="확인 필요","붙임 문서 확인 후 거래 성격·기간·상대방·일회성 여부 확인","결의서명과 전기 대비 발생 건수·단가·시점 차이 검토"))</x:f>
      </x:c>
    </x:row>
    <x:row r="1995">
      <x:c r="A1995" t="str">
        <x:f>IF(B1995="","",IF(COUNTIFS('전기원장'!$A$5:$A$1004,B1995,'전기원장'!$D$5:$D$1004,E1995)&gt;0,"전기","당기"))</x:f>
      </x:c>
      <x:c r="D1995" s="67"/>
      <x:c r="G1995" s="68"/>
      <x:c r="K1995" t="str">
        <x:f>IF(B1995="","",IF(I1995="확인 필요","붙임 문서 확인 후 거래 성격·기간·상대방·일회성 여부 확인","결의서명과 전기 대비 발생 건수·단가·시점 차이 검토"))</x:f>
      </x:c>
    </x:row>
    <x:row r="1996">
      <x:c r="A1996" t="str">
        <x:f>IF(B1996="","",IF(COUNTIFS('전기원장'!$A$5:$A$1004,B1996,'전기원장'!$D$5:$D$1004,E1996)&gt;0,"전기","당기"))</x:f>
      </x:c>
      <x:c r="D1996" s="67"/>
      <x:c r="G1996" s="68"/>
      <x:c r="K1996" t="str">
        <x:f>IF(B1996="","",IF(I1996="확인 필요","붙임 문서 확인 후 거래 성격·기간·상대방·일회성 여부 확인","결의서명과 전기 대비 발생 건수·단가·시점 차이 검토"))</x:f>
      </x:c>
    </x:row>
    <x:row r="1997">
      <x:c r="A1997" t="str">
        <x:f>IF(B1997="","",IF(COUNTIFS('전기원장'!$A$5:$A$1004,B1997,'전기원장'!$D$5:$D$1004,E1997)&gt;0,"전기","당기"))</x:f>
      </x:c>
      <x:c r="D1997" s="67"/>
      <x:c r="G1997" s="68"/>
      <x:c r="K1997" t="str">
        <x:f>IF(B1997="","",IF(I1997="확인 필요","붙임 문서 확인 후 거래 성격·기간·상대방·일회성 여부 확인","결의서명과 전기 대비 발생 건수·단가·시점 차이 검토"))</x:f>
      </x:c>
    </x:row>
    <x:row r="1998">
      <x:c r="A1998" t="str">
        <x:f>IF(B1998="","",IF(COUNTIFS('전기원장'!$A$5:$A$1004,B1998,'전기원장'!$D$5:$D$1004,E1998)&gt;0,"전기","당기"))</x:f>
      </x:c>
      <x:c r="D1998" s="67"/>
      <x:c r="G1998" s="68"/>
      <x:c r="K1998" t="str">
        <x:f>IF(B1998="","",IF(I1998="확인 필요","붙임 문서 확인 후 거래 성격·기간·상대방·일회성 여부 확인","결의서명과 전기 대비 발생 건수·단가·시점 차이 검토"))</x:f>
      </x:c>
    </x:row>
    <x:row r="1999">
      <x:c r="A1999" t="str">
        <x:f>IF(B1999="","",IF(COUNTIFS('전기원장'!$A$5:$A$1004,B1999,'전기원장'!$D$5:$D$1004,E1999)&gt;0,"전기","당기"))</x:f>
      </x:c>
      <x:c r="D1999" s="67"/>
      <x:c r="G1999" s="68"/>
      <x:c r="K1999" t="str">
        <x:f>IF(B1999="","",IF(I1999="확인 필요","붙임 문서 확인 후 거래 성격·기간·상대방·일회성 여부 확인","결의서명과 전기 대비 발생 건수·단가·시점 차이 검토"))</x:f>
      </x:c>
    </x:row>
    <x:row r="2000">
      <x:c r="A2000" t="str">
        <x:f>IF(B2000="","",IF(COUNTIFS('전기원장'!$A$5:$A$1004,B2000,'전기원장'!$D$5:$D$1004,E2000)&gt;0,"전기","당기"))</x:f>
      </x:c>
      <x:c r="D2000" s="67"/>
      <x:c r="G2000" s="68"/>
      <x:c r="K2000" t="str">
        <x:f>IF(B2000="","",IF(I2000="확인 필요","붙임 문서 확인 후 거래 성격·기간·상대방·일회성 여부 확인","결의서명과 전기 대비 발생 건수·단가·시점 차이 검토"))</x:f>
      </x:c>
    </x:row>
    <x:row r="2001">
      <x:c r="A2001" t="str">
        <x:f>IF(B2001="","",IF(COUNTIFS('전기원장'!$A$5:$A$1004,B2001,'전기원장'!$D$5:$D$1004,E2001)&gt;0,"전기","당기"))</x:f>
      </x:c>
      <x:c r="D2001" s="67"/>
      <x:c r="G2001" s="68"/>
      <x:c r="K2001" t="str">
        <x:f>IF(B2001="","",IF(I2001="확인 필요","붙임 문서 확인 후 거래 성격·기간·상대방·일회성 여부 확인","결의서명과 전기 대비 발생 건수·단가·시점 차이 검토"))</x:f>
      </x:c>
    </x:row>
    <x:row r="2002">
      <x:c r="A2002" t="str">
        <x:f>IF(B2002="","",IF(COUNTIFS('전기원장'!$A$5:$A$1004,B2002,'전기원장'!$D$5:$D$1004,E2002)&gt;0,"전기","당기"))</x:f>
      </x:c>
      <x:c r="D2002" s="67"/>
      <x:c r="G2002" s="68"/>
      <x:c r="K2002" t="str">
        <x:f>IF(B2002="","",IF(I2002="확인 필요","붙임 문서 확인 후 거래 성격·기간·상대방·일회성 여부 확인","결의서명과 전기 대비 발생 건수·단가·시점 차이 검토"))</x:f>
      </x:c>
    </x:row>
    <x:row r="2003">
      <x:c r="A2003" t="str">
        <x:f>IF(B2003="","",IF(COUNTIFS('전기원장'!$A$5:$A$1004,B2003,'전기원장'!$D$5:$D$1004,E2003)&gt;0,"전기","당기"))</x:f>
      </x:c>
      <x:c r="D2003" s="67"/>
      <x:c r="G2003" s="68"/>
      <x:c r="K2003" t="str">
        <x:f>IF(B2003="","",IF(I2003="확인 필요","붙임 문서 확인 후 거래 성격·기간·상대방·일회성 여부 확인","결의서명과 전기 대비 발생 건수·단가·시점 차이 검토"))</x:f>
      </x:c>
    </x:row>
    <x:row r="2004">
      <x:c r="A2004" t="str">
        <x:f>IF(B2004="","",IF(COUNTIFS('전기원장'!$A$5:$A$1004,B2004,'전기원장'!$D$5:$D$1004,E2004)&gt;0,"전기","당기"))</x:f>
      </x:c>
      <x:c r="D2004" s="67"/>
      <x:c r="G2004" s="68"/>
      <x:c r="K2004" t="str">
        <x:f>IF(B2004="","",IF(I2004="확인 필요","붙임 문서 확인 후 거래 성격·기간·상대방·일회성 여부 확인","결의서명과 전기 대비 발생 건수·단가·시점 차이 검토"))</x:f>
      </x:c>
    </x:row>
    <x:row r="2005">
      <x:c r="A2005" t="str">
        <x:f>IF(B2005="","",IF(COUNTIFS('전기원장'!$A$5:$A$1004,B2005,'전기원장'!$D$5:$D$1004,E2005)&gt;0,"전기","당기"))</x:f>
      </x:c>
      <x:c r="D2005" s="67"/>
      <x:c r="G2005" s="68"/>
      <x:c r="K2005" t="str">
        <x:f>IF(B2005="","",IF(I2005="확인 필요","붙임 문서 확인 후 거래 성격·기간·상대방·일회성 여부 확인","결의서명과 전기 대비 발생 건수·단가·시점 차이 검토"))</x:f>
      </x:c>
    </x:row>
  </x:sheetData>
  <x:mergeCells>
    <x:mergeCell ref="A1:K1"/>
    <x:mergeCell ref="A3:K3"/>
  </x:mergeCells>
  <x:conditionalFormatting sqref="I6:I2005">
    <x:cfRule type="containsText" dxfId="4" priority="1" operator="containsText" text="확인 필요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5" hidden="0" customWidth="1"/>
    <x:col min="4" max="4" width="44" hidden="0" customWidth="1"/>
  </x:cols>
  <x:sheetData>
    <x:row r="1" ht="34" customHeight="1">
      <x:c r="A1" s="4" t="str">
        <x:v>점검 및 통제</x:v>
      </x:c>
      <x:c r="B1" s="4" t="str">
        <x:v>점검 및 통제</x:v>
      </x:c>
      <x:c r="C1" s="4" t="str">
        <x:v>점검 및 통제</x:v>
      </x:c>
      <x:c r="D1" s="4" t="str">
        <x:v>점검 및 통제</x:v>
      </x:c>
      <x:c r="E1" s="4" t="str">
        <x:v>점검 및 통제</x:v>
      </x:c>
      <x:c r="F1" s="4" t="str">
        <x:v>점검 및 통제</x:v>
      </x:c>
    </x:row>
    <x:row r="2">
      <x:c r="A2" s="5" t="str">
        <x:v>분석 결과를 사용하기 전에 아래 상태가 PASS인지 확인하십시오.</x:v>
      </x:c>
    </x:row>
    <x:row r="4">
      <x:c r="A4" s="19" t="str">
        <x:v>MODEL STATUS</x:v>
      </x:c>
      <x:c r="B4" s="94" t="str">
        <x:f>IF(COUNTIF(B8:B13,"FAIL")=0,"PASS","FAIL")</x:f>
        <x:v>FAIL</x:v>
      </x:c>
    </x:row>
    <x:row r="7" ht="30" customHeight="1">
      <x:c r="A7" s="58" t="str">
        <x:v>점검항목</x:v>
      </x:c>
      <x:c r="B7" s="59" t="str">
        <x:v>상태</x:v>
      </x:c>
      <x:c r="C7" s="59" t="str">
        <x:v>수치</x:v>
      </x:c>
      <x:c r="D7" s="60" t="str">
        <x:v>조치</x:v>
      </x:c>
    </x:row>
    <x:row r="8">
      <x:c r="A8" s="35" t="str">
        <x:v>전기 원장 입력 건수</x:v>
      </x:c>
      <x:c r="B8" s="36" t="str">
        <x:f>IF(C8&gt;0,"PASS","FAIL")</x:f>
        <x:v>PASS</x:v>
      </x:c>
      <x:c r="C8" s="36" t="n">
        <x:f>COUNTIF('전기원장'!$A$5:$A$1004,"&lt;&gt;")</x:f>
        <x:v>4</x:v>
      </x:c>
      <x:c r="D8" s="62" t="str">
        <x:v>0건이면 전기원장을 확인</x:v>
      </x:c>
    </x:row>
    <x:row r="9">
      <x:c r="A9" s="35" t="str">
        <x:v>당기 원장 입력 건수</x:v>
      </x:c>
      <x:c r="B9" s="36" t="str">
        <x:f>IF(C9&gt;0,"PASS","FAIL")</x:f>
        <x:v>PASS</x:v>
      </x:c>
      <x:c r="C9" s="36" t="n">
        <x:f>COUNTIF('당기원장'!$A$5:$A$1004,"&lt;&gt;")</x:f>
        <x:v>4</x:v>
      </x:c>
      <x:c r="D9" s="62" t="str">
        <x:v>0건이면 당기원장을 확인</x:v>
      </x:c>
    </x:row>
    <x:row r="10">
      <x:c r="A10" s="35" t="str">
        <x:v>원인분석 대상 계정 수</x:v>
      </x:c>
      <x:c r="B10" s="36" t="str">
        <x:f>IF(C10&gt;=0,"PASS","FAIL")</x:f>
        <x:v>PASS</x:v>
      </x:c>
      <x:c r="C10" s="36" t="n">
        <x:f>COUNTIF('계정비교'!$H$5:$H$204,"원인분석 대상")</x:f>
        <x:v>4</x:v>
      </x:c>
      <x:c r="D10" s="62" t="str">
        <x:v>대상 계정의 원인 메모 검토</x:v>
      </x:c>
    </x:row>
    <x:row r="11">
      <x:c r="A11" s="35" t="str">
        <x:v>붙임 확인 필요 거래 수</x:v>
      </x:c>
      <x:c r="B11" s="36" t="str">
        <x:f>IF(C11=0,"PASS","FAIL")</x:f>
        <x:v>FAIL</x:v>
      </x:c>
      <x:c r="C11" s="36" t="n">
        <x:f>COUNTIF('전기원장'!$J$5:$J$1004,"확인 필요")+COUNTIF('당기원장'!$J$5:$J$1004,"확인 필요")</x:f>
        <x:v>1</x:v>
      </x:c>
      <x:c r="D11" s="62" t="str">
        <x:v>붙임 문서 확인 후 메모 입력</x:v>
      </x:c>
    </x:row>
    <x:row r="12">
      <x:c r="A12" s="35" t="str">
        <x:v>계정코드 누락 거래</x:v>
      </x:c>
      <x:c r="B12" s="36" t="str">
        <x:f>IF(C12=0,"PASS","FAIL")</x:f>
        <x:v>PASS</x:v>
      </x:c>
      <x:c r="C12" s="36" t="n">
        <x:f>COUNTIFS('전기원장'!$B$5:$B$1004,"&lt;&gt;",'전기원장'!$A$5:$A$1004,"")+COUNTIFS('당기원장'!$B$5:$B$1004,"&lt;&gt;",'당기원장'!$A$5:$A$1004,"")</x:f>
        <x:v>0</x:v>
      </x:c>
      <x:c r="D12" s="62" t="str">
        <x:v>A열 계정코드 보완</x:v>
      </x:c>
    </x:row>
    <x:row r="13">
      <x:c r="A13" s="38" t="str">
        <x:v>계정명 누락 거래</x:v>
      </x:c>
      <x:c r="B13" s="39" t="str">
        <x:f>IF(C13=0,"PASS","FAIL")</x:f>
        <x:v>PASS</x:v>
      </x:c>
      <x:c r="C13" s="39" t="n">
        <x:f>COUNTIFS('전기원장'!$A$5:$A$1004,"&lt;&gt;",'전기원장'!$B$5:$B$1004,"")+COUNTIFS('당기원장'!$A$5:$A$1004,"&lt;&gt;",'당기원장'!$B$5:$B$1004,"")</x:f>
        <x:v>0</x:v>
      </x:c>
      <x:c r="D13" s="65" t="str">
        <x:v>B열 계정명 보완</x:v>
      </x:c>
    </x:row>
  </x:sheetData>
  <x:mergeCells>
    <x:mergeCell ref="A1:F1"/>
  </x:mergeCells>
  <x:conditionalFormatting sqref="B4:B4">
    <x:cfRule type="containsText" dxfId="5" priority="1" operator="containsText" text="FAIL"/>
    <x:cfRule type="containsText" dxfId="6" priority="2" operator="containsText" text="PASS"/>
  </x:conditionalFormatting>
  <x:conditionalFormatting sqref="B8:B13">
    <x:cfRule type="containsText" dxfId="7" priority="3" operator="containsText" text="FAIL"/>
    <x:cfRule type="containsText" dxfId="8" priority="4" operator="containsText" text="PASS"/>
  </x:conditionalFormatting>
  <x:pageMargins left="0.7" right="0.7" top="0.75" bottom="0.75" header="0.3" footer="0.3"/>
</x:worksheet>
</file>