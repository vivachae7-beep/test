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b3ea01ace04f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안내" sheetId="1" r:id="R0c73ab43f53e4133"/>
    <x:sheet xmlns:r="http://schemas.openxmlformats.org/officeDocument/2006/relationships" name="기준설정" sheetId="2" r:id="Ra9550755f74f4286"/>
    <x:sheet xmlns:r="http://schemas.openxmlformats.org/officeDocument/2006/relationships" name="전기원장" sheetId="3" r:id="R8815ca1ca3e24326"/>
    <x:sheet xmlns:r="http://schemas.openxmlformats.org/officeDocument/2006/relationships" name="당기원장" sheetId="4" r:id="R8279bb93b0ce470c"/>
    <x:sheet xmlns:r="http://schemas.openxmlformats.org/officeDocument/2006/relationships" name="계산도우미" sheetId="5" r:id="Ra3c8708ea6124cce"/>
    <x:sheet xmlns:r="http://schemas.openxmlformats.org/officeDocument/2006/relationships" name="계정비교" sheetId="6" r:id="Rf4f35d81f74648fe"/>
    <x:sheet xmlns:r="http://schemas.openxmlformats.org/officeDocument/2006/relationships" name="세부원인분석" sheetId="7" r:id="R93c9b8ef33fd45b5"/>
    <x:sheet xmlns:r="http://schemas.openxmlformats.org/officeDocument/2006/relationships" name="점검" sheetId="8" r:id="R85182382673042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#,##0"/>
    <x:numFmt numFmtId="202" formatCode="yyyy-mm-dd"/>
    <x:numFmt numFmtId="203" formatCode="#,##0;[Red](#,##0);-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B6573"/>
      <x:name val="Carlito"/>
    </x:font>
    <x:font>
      <x:b/>
      <x:sz val="13"/>
      <x:color rgb="FF1F2937"/>
      <x:name val="Carlito"/>
    </x:font>
    <x:font>
      <x:b/>
      <x:sz val="11"/>
      <x:color rgb="FFC65911"/>
      <x:name val="Carlito"/>
    </x:font>
    <x:font>
      <x:b/>
      <x:sz val="11"/>
      <x:color rgb="FFFFFFFF"/>
      <x:name val="Carlito"/>
    </x:font>
    <x:font>
      <x:sz val="11"/>
      <x:color rgb="FF9C5700"/>
      <x:name val="Carlito"/>
    </x:font>
    <x:font>
      <x:b/>
      <x:sz val="11"/>
      <x:color rgb="FF0070C0"/>
      <x:name val="Carlito"/>
    </x:font>
    <x:font>
      <x:b/>
      <x:sz val="11"/>
      <x:color rgb="FF1F2937"/>
      <x:name val="Carlito"/>
    </x:font>
    <x:font>
      <x:b/>
      <x:sz val="11"/>
      <x:color rgb="FF9C5700"/>
      <x:name val="Carlito"/>
    </x:font>
    <x:font>
      <x:b/>
      <x:sz val="14"/>
      <x:color rgb="FF1F293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FFF4EC"/>
      </x:patternFill>
    </x:fill>
    <x:fill>
      <x:patternFill patternType="solid">
        <x:fgColor rgb="FFEEF5FB"/>
      </x:patternFill>
    </x:fill>
    <x:fill>
      <x:patternFill patternType="solid">
        <x:fgColor rgb="FFF2F2F2"/>
      </x:patternFill>
    </x:fill>
    <x:fill>
      <x:patternFill patternType="solid">
        <x:fgColor rgb="FFE7E6E6"/>
      </x:patternFill>
    </x:fill>
  </x:fills>
  <x:borders count="22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B4C7E7"/>
      </x:right>
    </x:border>
    <x:border>
      <x:left style="thin">
        <x:color rgb="FFB4C7E7"/>
      </x:left>
      <x:right style="thin">
        <x:color rgb="FFB4C7E7"/>
      </x:right>
    </x:border>
    <x:border>
      <x:left style="thin">
        <x:color rgb="FFB4C7E7"/>
      </x:left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B4C7E7"/>
      </x:right>
      <x:bottom style="thin">
        <x:color rgb="FFD9E2F3"/>
      </x:bottom>
    </x:border>
    <x:border>
      <x:left style="thin">
        <x:color rgb="FFD9E2F3"/>
      </x:left>
      <x:right style="thin">
        <x:color rgb="FFB4C7E7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B4C7E7"/>
      </x:right>
      <x:top style="thin">
        <x:color rgb="FFD9E2F3"/>
      </x:top>
    </x:border>
    <x:border>
      <x:right style="thin">
        <x:color rgb="FFB4C7E7"/>
      </x:right>
      <x:bottom style="hair">
        <x:color rgb="FFE7E6E6"/>
      </x:bottom>
    </x:border>
    <x:border>
      <x:left style="thin">
        <x:color rgb="FFB4C7E7"/>
      </x:left>
      <x:right style="thin">
        <x:color rgb="FFB4C7E7"/>
      </x:right>
      <x:bottom style="hair">
        <x:color rgb="FFE7E6E6"/>
      </x:bottom>
    </x:border>
    <x:border>
      <x:top style="hair">
        <x:color rgb="FFE7E6E6"/>
      </x:top>
      <x:bottom style="hair">
        <x:color rgb="FFE7E6E6"/>
      </x:bottom>
    </x:border>
    <x:border>
      <x:right style="thin">
        <x:color rgb="FFB4C7E7"/>
      </x:right>
      <x:top style="hair">
        <x:color rgb="FFE7E6E6"/>
      </x:top>
      <x:bottom style="hair">
        <x:color rgb="FFE7E6E6"/>
      </x:bottom>
    </x:border>
    <x:border>
      <x:top style="hair">
        <x:color rgb="FFE7E6E6"/>
      </x:top>
    </x:border>
    <x:border>
      <x:right style="thin">
        <x:color rgb="FFB4C7E7"/>
      </x:right>
      <x:top style="hair">
        <x:color rgb="FFE7E6E6"/>
      </x:top>
    </x:border>
  </x:borders>
  <x:cellStyleXfs count="1">
    <x:xf numFmtId="0" fontId="0" fillId="0" borderId="0"/>
  </x:cellStyleXfs>
  <x:cellXfs count="9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vertical="center" wrapText="1"/>
    </x:xf>
    <x:xf numFmtId="0" fontId="4" fillId="4" borderId="5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7" xfId="0" applyNumberFormat="1" applyFont="1" applyFill="1" applyBorder="1"/>
    <x:xf numFmtId="0" fontId="5" fillId="2" borderId="8" xfId="0" applyNumberFormat="1" applyFont="1" applyFill="1" applyBorder="1"/>
    <x:xf numFmtId="0" fontId="5" fillId="2" borderId="9" xfId="0" applyNumberFormat="1" applyFont="1" applyFill="1" applyBorder="1"/>
    <x:xf numFmtId="0" fontId="5" fillId="2" borderId="7" xfId="0" applyNumberFormat="1" applyFont="1" applyFill="1" applyBorder="1" applyAlignment="1">
      <x:alignment wrapText="1"/>
    </x:xf>
    <x:xf numFmtId="0" fontId="5" fillId="2" borderId="8" xfId="0" applyNumberFormat="1" applyFont="1" applyFill="1" applyBorder="1" applyAlignment="1">
      <x:alignment wrapText="1"/>
    </x:xf>
    <x:xf numFmtId="0" fontId="5" fillId="2" borderId="9" xfId="0" applyNumberFormat="1" applyFont="1" applyFill="1" applyBorder="1" applyAlignment="1">
      <x:alignment wrapText="1"/>
    </x:xf>
    <x:xf numFmtId="0" fontId="5" fillId="2" borderId="7" xfId="0" applyNumberFormat="1" applyFont="1" applyFill="1" applyBorder="1" applyAlignment="1">
      <x:alignment horizontal="center" wrapText="1"/>
    </x:xf>
    <x:xf numFmtId="0" fontId="5" fillId="2" borderId="8" xfId="0" applyNumberFormat="1" applyFont="1" applyFill="1" applyBorder="1" applyAlignment="1">
      <x:alignment horizontal="center" wrapText="1"/>
    </x:xf>
    <x:xf numFmtId="0" fontId="5" fillId="2" borderId="9" xfId="0" applyNumberFormat="1" applyFont="1" applyFill="1" applyBorder="1" applyAlignment="1">
      <x:alignment horizontal="center" wrapText="1"/>
    </x:xf>
    <x:xf numFmtId="0" fontId="5" fillId="2" borderId="7" xfId="0" applyNumberFormat="1" applyFont="1" applyFill="1" applyBorder="1" applyAlignment="1">
      <x:alignment horizontal="center" vertical="center" wrapText="1"/>
    </x:xf>
    <x:xf numFmtId="0" fontId="5" fillId="2" borderId="8" xfId="0" applyNumberFormat="1" applyFont="1" applyFill="1" applyBorder="1" applyAlignment="1">
      <x:alignment horizontal="center" vertical="center" wrapText="1"/>
    </x:xf>
    <x:xf numFmtId="0" fontId="5" fillId="2" borderId="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1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12" xfId="0" applyNumberFormat="1" applyFont="1" applyFill="1" applyBorder="1"/>
    <x:xf numFmtId="0" fontId="0" fillId="0" borderId="6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200" fontId="7" fillId="6" borderId="0" xfId="0" applyNumberFormat="1" applyFont="1" applyFill="1" applyBorder="1"/>
    <x:xf numFmtId="201" fontId="7" fillId="6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10" xfId="0" applyNumberFormat="1" applyFont="1" applyFill="1" applyBorder="1" applyAlignment="1">
      <x:alignment horizontal="center" vertical="center" wrapText="1"/>
    </x:xf>
    <x:xf numFmtId="0" fontId="5" fillId="2" borderId="13" xfId="0" applyNumberFormat="1" applyFont="1" applyFill="1" applyBorder="1" applyAlignment="1">
      <x:alignment horizontal="center" vertical="center" wrapText="1"/>
    </x:xf>
    <x:xf numFmtId="200" fontId="7" fillId="6" borderId="11" xfId="0" applyNumberFormat="1" applyFont="1" applyFill="1" applyBorder="1"/>
    <x:xf numFmtId="0" fontId="0" fillId="0" borderId="14" xfId="0" applyNumberFormat="1" applyFont="1" applyFill="1" applyBorder="1"/>
    <x:xf numFmtId="201" fontId="7" fillId="6" borderId="11" xfId="0" applyNumberFormat="1" applyFont="1" applyFill="1" applyBorder="1"/>
    <x:xf numFmtId="201" fontId="7" fillId="6" borderId="12" xfId="0" applyNumberFormat="1" applyFont="1" applyFill="1" applyBorder="1"/>
    <x:xf numFmtId="0" fontId="0" fillId="0" borderId="15" xfId="0" applyNumberFormat="1" applyFont="1" applyFill="1" applyBorder="1"/>
    <x:xf numFmtId="0" fontId="8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0" fillId="7" borderId="0" xfId="0" applyNumberFormat="1" applyFont="1" applyFill="1" applyBorder="1"/>
    <x:xf numFmtId="0" fontId="0" fillId="7" borderId="0" xfId="0" applyNumberFormat="1" applyFont="1" applyFill="1" applyBorder="1"/>
    <x:xf numFmtId="0" fontId="5" fillId="2" borderId="16" xfId="0" applyNumberFormat="1" applyFont="1" applyFill="1" applyBorder="1" applyAlignment="1">
      <x:alignment horizontal="center" vertical="center" wrapText="1"/>
    </x:xf>
    <x:xf numFmtId="0" fontId="5" fillId="2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202" fontId="0" fillId="0" borderId="18" xfId="0" applyNumberFormat="1" applyFont="1" applyFill="1" applyBorder="1"/>
    <x:xf numFmtId="203" fontId="0" fillId="0" borderId="18" xfId="0" applyNumberFormat="1" applyFont="1" applyFill="1" applyBorder="1"/>
    <x:xf numFmtId="203" fontId="0" fillId="7" borderId="18" xfId="0" applyNumberFormat="1" applyFont="1" applyFill="1" applyBorder="1"/>
    <x:xf numFmtId="0" fontId="0" fillId="7" borderId="18" xfId="0" applyNumberFormat="1" applyFont="1" applyFill="1" applyBorder="1"/>
    <x:xf numFmtId="0" fontId="0" fillId="6" borderId="19" xfId="0" applyNumberFormat="1" applyFont="1" applyFill="1" applyBorder="1"/>
    <x:xf numFmtId="0" fontId="0" fillId="0" borderId="20" xfId="0" applyNumberFormat="1" applyFont="1" applyFill="1" applyBorder="1"/>
    <x:xf numFmtId="202" fontId="0" fillId="0" borderId="20" xfId="0" applyNumberFormat="1" applyFont="1" applyFill="1" applyBorder="1"/>
    <x:xf numFmtId="203" fontId="0" fillId="0" borderId="20" xfId="0" applyNumberFormat="1" applyFont="1" applyFill="1" applyBorder="1"/>
    <x:xf numFmtId="203" fontId="0" fillId="7" borderId="20" xfId="0" applyNumberFormat="1" applyFont="1" applyFill="1" applyBorder="1"/>
    <x:xf numFmtId="0" fontId="0" fillId="7" borderId="20" xfId="0" applyNumberFormat="1" applyFont="1" applyFill="1" applyBorder="1"/>
    <x:xf numFmtId="0" fontId="0" fillId="6" borderId="21" xfId="0" applyNumberFormat="1" applyFont="1" applyFill="1" applyBorder="1"/>
    <x:xf numFmtId="0" fontId="0" fillId="0" borderId="19" xfId="0" applyNumberFormat="1" applyFont="1" applyFill="1" applyBorder="1"/>
    <x:xf numFmtId="0" fontId="0" fillId="0" borderId="21" xfId="0" applyNumberFormat="1" applyFont="1" applyFill="1" applyBorder="1"/>
    <x:xf numFmtId="200" fontId="0" fillId="0" borderId="0" xfId="0" applyNumberFormat="1" applyFont="1" applyFill="1" applyBorder="1"/>
    <x:xf numFmtId="200" fontId="0" fillId="0" borderId="18" xfId="0" applyNumberFormat="1" applyFont="1" applyFill="1" applyBorder="1"/>
    <x:xf numFmtId="200" fontId="0" fillId="0" borderId="2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9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C65911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233c128eb2447a" /><Relationship Type="http://schemas.openxmlformats.org/officeDocument/2006/relationships/theme" Target="/xl/theme/theme1.xml" Id="R899fb34714a744ac" /><Relationship Type="http://schemas.openxmlformats.org/officeDocument/2006/relationships/sharedStrings" Target="/xl/sharedStrings.xml" Id="Racf13d3effef4f48" /><Relationship Type="http://schemas.openxmlformats.org/officeDocument/2006/relationships/worksheet" Target="/xl/worksheets/sheet1.xml" Id="R0c73ab43f53e4133" /><Relationship Type="http://schemas.openxmlformats.org/officeDocument/2006/relationships/worksheet" Target="/xl/worksheets/sheet2.xml" Id="Ra9550755f74f4286" /><Relationship Type="http://schemas.openxmlformats.org/officeDocument/2006/relationships/worksheet" Target="/xl/worksheets/sheet3.xml" Id="R8815ca1ca3e24326" /><Relationship Type="http://schemas.openxmlformats.org/officeDocument/2006/relationships/worksheet" Target="/xl/worksheets/sheet4.xml" Id="R8279bb93b0ce470c" /><Relationship Type="http://schemas.openxmlformats.org/officeDocument/2006/relationships/worksheet" Target="/xl/worksheets/sheet5.xml" Id="Ra3c8708ea6124cce" /><Relationship Type="http://schemas.openxmlformats.org/officeDocument/2006/relationships/worksheet" Target="/xl/worksheets/sheet6.xml" Id="Rf4f35d81f74648fe" /><Relationship Type="http://schemas.openxmlformats.org/officeDocument/2006/relationships/worksheet" Target="/xl/worksheets/sheet7.xml" Id="R93c9b8ef33fd45b5" /><Relationship Type="http://schemas.openxmlformats.org/officeDocument/2006/relationships/worksheet" Target="/xl/worksheets/sheet8.xml" Id="R851823826730421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82" hidden="0" customWidth="1"/>
    <x:col min="3" max="3" width="4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4" t="str">
        <x:v>당기·전기 계정원장 비교분석</x:v>
      </x:c>
      <x:c r="B1" s="4" t="str">
        <x:v>당기·전기 계정원장 비교분석</x:v>
      </x:c>
      <x:c r="C1" s="4" t="str">
        <x:v>당기·전기 계정원장 비교분석</x:v>
      </x:c>
      <x:c r="D1" s="4" t="str">
        <x:v>당기·전기 계정원장 비교분석</x:v>
      </x:c>
      <x:c r="E1" s="4" t="str">
        <x:v>당기·전기 계정원장 비교분석</x:v>
      </x:c>
      <x:c r="F1" s="4" t="str">
        <x:v>당기·전기 계정원장 비교분석</x:v>
      </x:c>
      <x:c r="G1" s="4" t="str">
        <x:v>당기·전기 계정원장 비교분석</x:v>
      </x:c>
      <x:c r="H1" s="4" t="str">
        <x:v>당기·전기 계정원장 비교분석</x:v>
      </x:c>
    </x:row>
    <x:row r="2">
      <x:c r="A2" s="5" t="str">
        <x:v>계정별 증감과 중요 변동의 원인을 검토하는 재사용형 템플릿</x:v>
      </x:c>
    </x:row>
    <x:row r="4">
      <x:c r="A4" s="7" t="str">
        <x:v>사용 순서</x:v>
      </x:c>
      <x:c r="B4" s="7" t="str">
        <x:v>사용 순서</x:v>
      </x:c>
      <x:c r="C4" s="7" t="str">
        <x:v>사용 순서</x:v>
      </x:c>
      <x:c r="D4" s="7" t="str">
        <x:v>사용 순서</x:v>
      </x:c>
      <x:c r="E4" s="7" t="str">
        <x:v>사용 순서</x:v>
      </x:c>
      <x:c r="F4" s="7" t="str">
        <x:v>사용 순서</x:v>
      </x:c>
      <x:c r="G4" s="7" t="str">
        <x:v>사용 순서</x:v>
      </x:c>
      <x:c r="H4" s="7" t="str">
        <x:v>사용 순서</x:v>
      </x:c>
    </x:row>
    <x:row r="6">
      <x:c r="A6" s="13" t="str">
        <x:v>1</x:v>
      </x:c>
      <x:c r="B6" s="14" t="str">
        <x:v>기준설정 시트에서 증감률·증감액 기준을 확인합니다. 기본값은 20%, 100,000,000원입니다.</x:v>
      </x:c>
    </x:row>
    <x:row r="7">
      <x:c r="A7" s="15" t="str">
        <x:v>2</x:v>
      </x:c>
      <x:c r="B7" s="16" t="str">
        <x:v>전기원장·당기원장 시트의 예시값만 A:G 범위에서 지운 뒤 데이터를 붙여 넣습니다. 행 전체나 H:K 계산 수식은 삭제하지 마십시오.</x:v>
      </x:c>
    </x:row>
    <x:row r="8">
      <x:c r="A8" s="15" t="str">
        <x:v>3</x:v>
      </x:c>
      <x:c r="B8" s="16" t="str">
        <x:v>A 계정코드, B 계정명, C 전표일자, D 결의서번호, E 결의서명, F 차변, G 대변 순서를 유지합니다.</x:v>
      </x:c>
    </x:row>
    <x:row r="9">
      <x:c r="A9" s="15" t="str">
        <x:v>4</x:v>
      </x:c>
      <x:c r="B9" s="16" t="str">
        <x:v>H:J 열은 계산 열입니다. 1,000건을 초과하면 마지막 행의 수식을 아래로 복사합니다.</x:v>
      </x:c>
    </x:row>
    <x:row r="10">
      <x:c r="A10" s="15" t="str">
        <x:v>5</x:v>
      </x:c>
      <x:c r="B10" s="16" t="str">
        <x:v>계정비교 시트에서 신규·소멸·금액변동과 원인분석 대상을 확인합니다.</x:v>
      </x:c>
    </x:row>
    <x:row r="11">
      <x:c r="A11" s="15" t="str">
        <x:v>6</x:v>
      </x:c>
      <x:c r="B11" s="16" t="str">
        <x:v>세부원인분석 시트에서 대상 계정의 결의서명·원인분류·붙임 확인 여부를 검토합니다.</x:v>
      </x:c>
    </x:row>
    <x:row r="12">
      <x:c r="A12" s="17" t="str">
        <x:v>7</x:v>
      </x:c>
      <x:c r="B12" s="18" t="str">
        <x:v>결의서명만으로 원인이 명확하지 않은 거래는 붙임 문서를 확인하고 검토메모를 남깁니다.</x:v>
      </x:c>
    </x:row>
    <x:row r="15">
      <x:c r="A15" s="7" t="str">
        <x:v>판정 로직</x:v>
      </x:c>
      <x:c r="B15" s="7" t="str">
        <x:v>판정 로직</x:v>
      </x:c>
      <x:c r="C15" s="7" t="str">
        <x:v>판정 로직</x:v>
      </x:c>
      <x:c r="D15" s="7" t="str">
        <x:v>판정 로직</x:v>
      </x:c>
      <x:c r="E15" s="7" t="str">
        <x:v>판정 로직</x:v>
      </x:c>
      <x:c r="F15" s="7" t="str">
        <x:v>판정 로직</x:v>
      </x:c>
      <x:c r="G15" s="7" t="str">
        <x:v>판정 로직</x:v>
      </x:c>
      <x:c r="H15" s="7" t="str">
        <x:v>판정 로직</x:v>
      </x:c>
    </x:row>
    <x:row r="17" ht="30" customHeight="1">
      <x:c r="A17" s="29" t="str">
        <x:v>유형</x:v>
      </x:c>
      <x:c r="B17" s="30" t="str">
        <x:v>정의</x:v>
      </x:c>
      <x:c r="C17" s="31" t="str">
        <x:v>원인분석 대상 판정</x:v>
      </x:c>
    </x:row>
    <x:row r="18">
      <x:c r="A18" s="41" t="str">
        <x:v>신규</x:v>
      </x:c>
      <x:c r="B18" s="42" t="str">
        <x:v>전기 금액 0, 당기 금액 존재</x:v>
      </x:c>
      <x:c r="C18" s="43" t="str">
        <x:v>증감액 절대값이 기준 이상이면 대상</x:v>
      </x:c>
    </x:row>
    <x:row r="19">
      <x:c r="A19" s="44" t="str">
        <x:v>소멸</x:v>
      </x:c>
      <x:c r="B19" s="45" t="str">
        <x:v>전기 금액 존재, 당기 금액 0</x:v>
      </x:c>
      <x:c r="C19" s="46" t="str">
        <x:v>증감액 절대값이 기준 이상이면 대상</x:v>
      </x:c>
    </x:row>
    <x:row r="20">
      <x:c r="A20" s="44" t="str">
        <x:v>금액변동</x:v>
      </x:c>
      <x:c r="B20" s="45" t="str">
        <x:v>전기·당기 모두 금액 존재</x:v>
      </x:c>
      <x:c r="C20" s="46" t="str">
        <x:v>증감률과 증감액 절대값이 모두 기준 이상이면 대상</x:v>
      </x:c>
    </x:row>
    <x:row r="21">
      <x:c r="A21" s="47" t="str">
        <x:v>변동없음</x:v>
      </x:c>
      <x:c r="B21" s="48" t="str">
        <x:v>전기와 당기 순액이 동일</x:v>
      </x:c>
      <x:c r="C21" s="49" t="str">
        <x:v>일반</x:v>
      </x:c>
    </x:row>
    <x:row r="24">
      <x:c r="A24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B24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C24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D24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E24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F24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G24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H24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</x:row>
    <x:row r="25">
      <x:c r="A25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B25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C25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D25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E25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F25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G25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H25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</x:row>
    <x:row r="26">
      <x:c r="A26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B26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C26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D26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E26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F26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G26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  <x:c r="H26" s="53" t="str">
        <x:v>주의: 증감률은 |당기-전기| ÷ |전기|로 계산합니다. 전기 금액이 0인 신규 계정과 당기 금액이 0인 소멸 계정은 증감률 대신 유형으로 판정합니다. 차변-대변 순액 기준이 회사의 원장 부호 체계와 다르면 H열 수식을 조정하십시오.</x:v>
      </x:c>
    </x:row>
  </x:sheetData>
  <x:mergeCells>
    <x:mergeCell ref="A1:H1"/>
    <x:mergeCell ref="A4:H4"/>
    <x:mergeCell ref="A15:H15"/>
    <x:mergeCell ref="A24:H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44" hidden="0" customWidth="1"/>
  </x:cols>
  <x:sheetData>
    <x:row r="1" ht="34" customHeight="1">
      <x:c r="A1" s="4" t="str">
        <x:v>기준설정</x:v>
      </x:c>
      <x:c r="B1" s="4" t="str">
        <x:v>기준설정</x:v>
      </x:c>
      <x:c r="C1" s="4" t="str">
        <x:v>기준설정</x:v>
      </x:c>
      <x:c r="D1" s="4" t="str">
        <x:v>기준설정</x:v>
      </x:c>
      <x:c r="E1" s="4" t="str">
        <x:v>기준설정</x:v>
      </x:c>
      <x:c r="F1" s="4" t="str">
        <x:v>기준설정</x:v>
      </x:c>
    </x:row>
    <x:row r="2">
      <x:c r="A2" s="5" t="str">
        <x:v>파란색 입력 셀은 사용자가 변경할 수 있습니다.</x:v>
      </x:c>
    </x:row>
    <x:row r="4" ht="30" customHeight="1">
      <x:c r="A4" s="58" t="str">
        <x:v>항목</x:v>
      </x:c>
      <x:c r="B4" s="59" t="str">
        <x:v>입력값</x:v>
      </x:c>
      <x:c r="C4" s="60" t="str">
        <x:v>설명</x:v>
      </x:c>
    </x:row>
    <x:row r="5">
      <x:c r="A5" s="35" t="str">
        <x:v>증감률 기준</x:v>
      </x:c>
      <x:c r="B5" s="61" t="n">
        <x:v>0.2</x:v>
      </x:c>
      <x:c r="C5" s="62" t="str">
        <x:v>전기 대비 절대 증감률</x:v>
      </x:c>
    </x:row>
    <x:row r="6">
      <x:c r="A6" s="35" t="str">
        <x:v>증감액 기준(원)</x:v>
      </x:c>
      <x:c r="B6" s="63" t="n">
        <x:v>100000000</x:v>
      </x:c>
      <x:c r="C6" s="62" t="str">
        <x:v>절대 증감액</x:v>
      </x:c>
    </x:row>
    <x:row r="7">
      <x:c r="A7" s="38" t="str">
        <x:v>원장 입력 최대행</x:v>
      </x:c>
      <x:c r="B7" s="64" t="n">
        <x:v>1000</x:v>
      </x:c>
      <x:c r="C7" s="65" t="str">
        <x:v>기본 수식이 준비된 거래행 수</x:v>
      </x:c>
    </x:row>
    <x:row r="10">
      <x:c r="A10" s="66" t="str">
        <x:v>결의서명 기반 1차 원인분류 키워드</x:v>
      </x:c>
      <x:c r="B10" s="66" t="str">
        <x:v>결의서명 기반 1차 원인분류 키워드</x:v>
      </x:c>
      <x:c r="C10" s="66" t="str">
        <x:v>결의서명 기반 1차 원인분류 키워드</x:v>
      </x:c>
      <x:c r="D10" s="66" t="str">
        <x:v>결의서명 기반 1차 원인분류 키워드</x:v>
      </x:c>
      <x:c r="E10" s="66" t="str">
        <x:v>결의서명 기반 1차 원인분류 키워드</x:v>
      </x:c>
      <x:c r="F10" s="66" t="str">
        <x:v>결의서명 기반 1차 원인분류 키워드</x:v>
      </x:c>
    </x:row>
    <x:row r="12" ht="30" customHeight="1">
      <x:c r="A12" s="29" t="str">
        <x:v>원인분류</x:v>
      </x:c>
      <x:c r="B12" s="31" t="str">
        <x:v>결의서명 포함 키워드 예시</x:v>
      </x:c>
    </x:row>
    <x:row r="13">
      <x:c r="A13" s="41" t="str">
        <x:v>인건비</x:v>
      </x:c>
      <x:c r="B13" s="43" t="str">
        <x:v>급여</x:v>
      </x:c>
    </x:row>
    <x:row r="14">
      <x:c r="A14" s="44" t="str">
        <x:v>임차·시설</x:v>
      </x:c>
      <x:c r="B14" s="46" t="str">
        <x:v>임차</x:v>
      </x:c>
    </x:row>
    <x:row r="15">
      <x:c r="A15" s="44" t="str">
        <x:v>광고·행사</x:v>
      </x:c>
      <x:c r="B15" s="46" t="str">
        <x:v>광고</x:v>
      </x:c>
    </x:row>
    <x:row r="16">
      <x:c r="A16" s="44" t="str">
        <x:v>용역·수수료</x:v>
      </x:c>
      <x:c r="B16" s="46" t="str">
        <x:v>용역</x:v>
      </x:c>
    </x:row>
    <x:row r="17">
      <x:c r="A17" s="47" t="str">
        <x:v>기타/불명</x:v>
      </x:c>
      <x:c r="B17" s="49" t="str">
        <x:v>위 키워드에 해당하지 않거나 명칭이 불충분한 경우 — 붙임 확인</x:v>
      </x:c>
    </x:row>
  </x:sheetData>
  <x:mergeCells>
    <x:mergeCell ref="A1:F1"/>
    <x:mergeCell ref="A10:F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13" hidden="0" customWidth="1"/>
    <x:col min="4" max="4" width="16" hidden="0" customWidth="1"/>
    <x:col min="5" max="5" width="38" hidden="0" customWidth="1"/>
    <x:col min="6" max="6" width="17" hidden="0" customWidth="1"/>
    <x:col min="7" max="7" width="17" hidden="0" customWidth="1"/>
    <x:col min="8" max="8" width="17" hidden="0" customWidth="1"/>
    <x:col min="9" max="9" width="18" hidden="0" customWidth="1"/>
    <x:col min="10" max="10" width="22" hidden="0" customWidth="1"/>
    <x:col min="11" max="11" width="34" hidden="0" customWidth="1"/>
  </x:cols>
  <x:sheetData>
    <x:row r="1" ht="34" customHeight="1">
      <x:c r="A1" s="4" t="str">
        <x:v>전기 계정원장</x:v>
      </x:c>
      <x:c r="B1" s="4" t="str">
        <x:v>전기 계정원장</x:v>
      </x:c>
      <x:c r="C1" s="4" t="str">
        <x:v>전기 계정원장</x:v>
      </x:c>
      <x:c r="D1" s="4" t="str">
        <x:v>전기 계정원장</x:v>
      </x:c>
      <x:c r="E1" s="4" t="str">
        <x:v>전기 계정원장</x:v>
      </x:c>
      <x:c r="F1" s="4" t="str">
        <x:v>전기 계정원장</x:v>
      </x:c>
      <x:c r="G1" s="4" t="str">
        <x:v>전기 계정원장</x:v>
      </x:c>
      <x:c r="H1" s="4" t="str">
        <x:v>전기 계정원장</x:v>
      </x:c>
      <x:c r="I1" s="4" t="str">
        <x:v>전기 계정원장</x:v>
      </x:c>
      <x:c r="J1" s="4" t="str">
        <x:v>전기 계정원장</x:v>
      </x:c>
      <x:c r="K1" s="4" t="str">
        <x:v>전기 계정원장</x:v>
      </x:c>
    </x:row>
    <x:row r="2">
      <x:c r="A2" s="5" t="str">
        <x:v>A:G 입력 / H:J 자동계산 / K 검토자 입력</x:v>
      </x:c>
    </x:row>
    <x:row r="4" ht="30" customHeight="1">
      <x:c r="A4" s="71" t="str">
        <x:v>계정코드</x:v>
      </x:c>
      <x:c r="B4" s="72" t="str">
        <x:v>계정명</x:v>
      </x:c>
      <x:c r="C4" s="72" t="str">
        <x:v>전표일자</x:v>
      </x:c>
      <x:c r="D4" s="72" t="str">
        <x:v>결의서번호</x:v>
      </x:c>
      <x:c r="E4" s="72" t="str">
        <x:v>결의서명</x:v>
      </x:c>
      <x:c r="F4" s="72" t="str">
        <x:v>차변</x:v>
      </x:c>
      <x:c r="G4" s="72" t="str">
        <x:v>대변</x:v>
      </x:c>
      <x:c r="H4" s="72" t="str">
        <x:v>순액(차변-대변)</x:v>
      </x:c>
      <x:c r="I4" s="72" t="str">
        <x:v>1차 원인분류</x:v>
      </x:c>
      <x:c r="J4" s="72" t="str">
        <x:v>붙임 확인</x:v>
      </x:c>
      <x:c r="K4" s="72" t="str">
        <x:v>검토메모/붙임경로</x:v>
      </x:c>
    </x:row>
    <x:row r="5">
      <x:c r="A5" s="73" t="str">
        <x:v>510100</x:v>
      </x:c>
      <x:c r="B5" s="73" t="str">
        <x:v>급여</x:v>
      </x:c>
      <x:c r="C5" s="74" t="n">
        <x:v>45688</x:v>
      </x:c>
      <x:c r="D5" s="73" t="str">
        <x:v>P-001</x:v>
      </x:c>
      <x:c r="E5" s="73" t="str">
        <x:v>1월 정규직 급여 지급</x:v>
      </x:c>
      <x:c r="F5" s="75" t="n">
        <x:v>350000000</x:v>
      </x:c>
      <x:c r="G5" s="75" t="n">
        <x:v>0</x:v>
      </x:c>
      <x:c r="H5" s="76" t="n">
        <x:f>IF(A5="","",F5-G5)</x:f>
        <x:v>350000000</x:v>
      </x:c>
      <x:c r="I5" s="77" t="str">
        <x:f>IF(A5="","",IF(E5="","기타/불명",IF(IFERROR(SEARCH("급여",E5),0)&gt;0,"인건비",IF(IFERROR(SEARCH("임차",E5),0)&gt;0,"임차·시설",IF(IFERROR(SEARCH("광고",E5),0)&gt;0,"광고·행사",IF(IFERROR(SEARCH("용역",E5),0)&gt;0,"용역·수수료","기타/불명"))))))</x:f>
        <x:v>인건비</x:v>
      </x:c>
      <x:c r="J5" s="77" t="str">
        <x:f>IF(A5="","",IF(I5="기타/불명","확인 필요","결의서명으로 1차 확인"))</x:f>
        <x:v>결의서명으로 1차 확인</x:v>
      </x:c>
      <x:c r="K5" s="78" t="str"/>
    </x:row>
    <x:row r="6">
      <x:c r="A6" s="73" t="str">
        <x:v>520300</x:v>
      </x:c>
      <x:c r="B6" s="73" t="str">
        <x:v>광고선전비</x:v>
      </x:c>
      <x:c r="C6" s="74" t="n">
        <x:v>45736</x:v>
      </x:c>
      <x:c r="D6" s="73" t="str">
        <x:v>P-032</x:v>
      </x:c>
      <x:c r="E6" s="73" t="str">
        <x:v>브랜드 캠페인 광고 용역</x:v>
      </x:c>
      <x:c r="F6" s="75" t="n">
        <x:v>120000000</x:v>
      </x:c>
      <x:c r="G6" s="75" t="n">
        <x:v>0</x:v>
      </x:c>
      <x:c r="H6" s="76" t="n">
        <x:f>IF(A6="","",F6-G6)</x:f>
        <x:v>120000000</x:v>
      </x:c>
      <x:c r="I6" s="77" t="str">
        <x:f>IF(A6="","",IF(E6="","기타/불명",IF(IFERROR(SEARCH("급여",E6),0)&gt;0,"인건비",IF(IFERROR(SEARCH("임차",E6),0)&gt;0,"임차·시설",IF(IFERROR(SEARCH("광고",E6),0)&gt;0,"광고·행사",IF(IFERROR(SEARCH("용역",E6),0)&gt;0,"용역·수수료","기타/불명"))))))</x:f>
        <x:v>광고·행사</x:v>
      </x:c>
      <x:c r="J6" s="77" t="str">
        <x:f>IF(A6="","",IF(I6="기타/불명","확인 필요","결의서명으로 1차 확인"))</x:f>
        <x:v>결의서명으로 1차 확인</x:v>
      </x:c>
      <x:c r="K6" s="78" t="str"/>
    </x:row>
    <x:row r="7">
      <x:c r="A7" s="73" t="str">
        <x:v>530100</x:v>
      </x:c>
      <x:c r="B7" s="73" t="str">
        <x:v>임차료</x:v>
      </x:c>
      <x:c r="C7" s="74" t="n">
        <x:v>45698</x:v>
      </x:c>
      <x:c r="D7" s="73" t="str">
        <x:v>P-020</x:v>
      </x:c>
      <x:c r="E7" s="73" t="str">
        <x:v>본사 사무실 임차료</x:v>
      </x:c>
      <x:c r="F7" s="75" t="n">
        <x:v>240000000</x:v>
      </x:c>
      <x:c r="G7" s="75" t="n">
        <x:v>0</x:v>
      </x:c>
      <x:c r="H7" s="76" t="n">
        <x:f>IF(A7="","",F7-G7)</x:f>
        <x:v>240000000</x:v>
      </x:c>
      <x:c r="I7" s="77" t="str">
        <x:f>IF(A7="","",IF(E7="","기타/불명",IF(IFERROR(SEARCH("급여",E7),0)&gt;0,"인건비",IF(IFERROR(SEARCH("임차",E7),0)&gt;0,"임차·시설",IF(IFERROR(SEARCH("광고",E7),0)&gt;0,"광고·행사",IF(IFERROR(SEARCH("용역",E7),0)&gt;0,"용역·수수료","기타/불명"))))))</x:f>
        <x:v>임차·시설</x:v>
      </x:c>
      <x:c r="J7" s="77" t="str">
        <x:f>IF(A7="","",IF(I7="기타/불명","확인 필요","결의서명으로 1차 확인"))</x:f>
        <x:v>결의서명으로 1차 확인</x:v>
      </x:c>
      <x:c r="K7" s="78" t="str"/>
    </x:row>
    <x:row r="8">
      <x:c r="A8" s="73" t="str">
        <x:v>540200</x:v>
      </x:c>
      <x:c r="B8" s="73" t="str">
        <x:v>지급수수료</x:v>
      </x:c>
      <x:c r="C8" s="74" t="n">
        <x:v>45792</x:v>
      </x:c>
      <x:c r="D8" s="73" t="str">
        <x:v>P-088</x:v>
      </x:c>
      <x:c r="E8" s="73" t="str">
        <x:v>기타 정산</x:v>
      </x:c>
      <x:c r="F8" s="75" t="n">
        <x:v>150000000</x:v>
      </x:c>
      <x:c r="G8" s="75" t="n">
        <x:v>0</x:v>
      </x:c>
      <x:c r="H8" s="76" t="n">
        <x:f>IF(A8="","",F8-G8)</x:f>
        <x:v>150000000</x:v>
      </x:c>
      <x:c r="I8" s="77" t="str">
        <x:f>IF(A8="","",IF(E8="","기타/불명",IF(IFERROR(SEARCH("급여",E8),0)&gt;0,"인건비",IF(IFERROR(SEARCH("임차",E8),0)&gt;0,"임차·시설",IF(IFERROR(SEARCH("광고",E8),0)&gt;0,"광고·행사",IF(IFERROR(SEARCH("용역",E8),0)&gt;0,"용역·수수료","기타/불명"))))))</x:f>
        <x:v>기타/불명</x:v>
      </x:c>
      <x:c r="J8" s="77" t="str">
        <x:f>IF(A8="","",IF(I8="기타/불명","확인 필요","결의서명으로 1차 확인"))</x:f>
        <x:v>확인 필요</x:v>
      </x:c>
      <x:c r="K8" s="78" t="str"/>
    </x:row>
    <x:row r="9">
      <x:c r="A9" s="73"/>
      <x:c r="B9" s="73"/>
      <x:c r="C9" s="74"/>
      <x:c r="D9" s="73"/>
      <x:c r="E9" s="73"/>
      <x:c r="F9" s="75"/>
      <x:c r="G9" s="75"/>
      <x:c r="H9" s="76" t="str">
        <x:f>IF(A9="","",F9-G9)</x:f>
      </x:c>
      <x:c r="I9" s="77" t="str">
        <x:f>IF(A9="","",IF(E9="","기타/불명",IF(IFERROR(SEARCH("급여",E9),0)&gt;0,"인건비",IF(IFERROR(SEARCH("임차",E9),0)&gt;0,"임차·시설",IF(IFERROR(SEARCH("광고",E9),0)&gt;0,"광고·행사",IF(IFERROR(SEARCH("용역",E9),0)&gt;0,"용역·수수료","기타/불명"))))))</x:f>
      </x:c>
      <x:c r="J9" s="77" t="str">
        <x:f>IF(A9="","",IF(I9="기타/불명","확인 필요","결의서명으로 1차 확인"))</x:f>
      </x:c>
      <x:c r="K9" s="78"/>
    </x:row>
    <x:row r="10">
      <x:c r="A10" s="73"/>
      <x:c r="B10" s="73"/>
      <x:c r="C10" s="74"/>
      <x:c r="D10" s="73"/>
      <x:c r="E10" s="73"/>
      <x:c r="F10" s="75"/>
      <x:c r="G10" s="75"/>
      <x:c r="H10" s="76" t="str">
        <x:f>IF(A10="","",F10-G10)</x:f>
      </x:c>
      <x:c r="I10" s="77" t="str">
        <x:f>IF(A10="","",IF(E10="","기타/불명",IF(IFERROR(SEARCH("급여",E10),0)&gt;0,"인건비",IF(IFERROR(SEARCH("임차",E10),0)&gt;0,"임차·시설",IF(IFERROR(SEARCH("광고",E10),0)&gt;0,"광고·행사",IF(IFERROR(SEARCH("용역",E10),0)&gt;0,"용역·수수료","기타/불명"))))))</x:f>
      </x:c>
      <x:c r="J10" s="77" t="str">
        <x:f>IF(A10="","",IF(I10="기타/불명","확인 필요","결의서명으로 1차 확인"))</x:f>
      </x:c>
      <x:c r="K10" s="78"/>
    </x:row>
    <x:row r="11">
      <x:c r="A11" s="73"/>
      <x:c r="B11" s="73"/>
      <x:c r="C11" s="74"/>
      <x:c r="D11" s="73"/>
      <x:c r="E11" s="73"/>
      <x:c r="F11" s="75"/>
      <x:c r="G11" s="75"/>
      <x:c r="H11" s="76" t="str">
        <x:f>IF(A11="","",F11-G11)</x:f>
      </x:c>
      <x:c r="I11" s="77" t="str">
        <x:f>IF(A11="","",IF(E11="","기타/불명",IF(IFERROR(SEARCH("급여",E11),0)&gt;0,"인건비",IF(IFERROR(SEARCH("임차",E11),0)&gt;0,"임차·시설",IF(IFERROR(SEARCH("광고",E11),0)&gt;0,"광고·행사",IF(IFERROR(SEARCH("용역",E11),0)&gt;0,"용역·수수료","기타/불명"))))))</x:f>
      </x:c>
      <x:c r="J11" s="77" t="str">
        <x:f>IF(A11="","",IF(I11="기타/불명","확인 필요","결의서명으로 1차 확인"))</x:f>
      </x:c>
      <x:c r="K11" s="78"/>
    </x:row>
    <x:row r="12">
      <x:c r="A12" s="73"/>
      <x:c r="B12" s="73"/>
      <x:c r="C12" s="74"/>
      <x:c r="D12" s="73"/>
      <x:c r="E12" s="73"/>
      <x:c r="F12" s="75"/>
      <x:c r="G12" s="75"/>
      <x:c r="H12" s="76" t="str">
        <x:f>IF(A12="","",F12-G12)</x:f>
      </x:c>
      <x:c r="I12" s="77" t="str">
        <x:f>IF(A12="","",IF(E12="","기타/불명",IF(IFERROR(SEARCH("급여",E12),0)&gt;0,"인건비",IF(IFERROR(SEARCH("임차",E12),0)&gt;0,"임차·시설",IF(IFERROR(SEARCH("광고",E12),0)&gt;0,"광고·행사",IF(IFERROR(SEARCH("용역",E12),0)&gt;0,"용역·수수료","기타/불명"))))))</x:f>
      </x:c>
      <x:c r="J12" s="77" t="str">
        <x:f>IF(A12="","",IF(I12="기타/불명","확인 필요","결의서명으로 1차 확인"))</x:f>
      </x:c>
      <x:c r="K12" s="78"/>
    </x:row>
    <x:row r="13">
      <x:c r="A13" s="73"/>
      <x:c r="B13" s="73"/>
      <x:c r="C13" s="74"/>
      <x:c r="D13" s="73"/>
      <x:c r="E13" s="73"/>
      <x:c r="F13" s="75"/>
      <x:c r="G13" s="75"/>
      <x:c r="H13" s="76" t="str">
        <x:f>IF(A13="","",F13-G13)</x:f>
      </x:c>
      <x:c r="I13" s="77" t="str">
        <x:f>IF(A13="","",IF(E13="","기타/불명",IF(IFERROR(SEARCH("급여",E13),0)&gt;0,"인건비",IF(IFERROR(SEARCH("임차",E13),0)&gt;0,"임차·시설",IF(IFERROR(SEARCH("광고",E13),0)&gt;0,"광고·행사",IF(IFERROR(SEARCH("용역",E13),0)&gt;0,"용역·수수료","기타/불명"))))))</x:f>
      </x:c>
      <x:c r="J13" s="77" t="str">
        <x:f>IF(A13="","",IF(I13="기타/불명","확인 필요","결의서명으로 1차 확인"))</x:f>
      </x:c>
      <x:c r="K13" s="78"/>
    </x:row>
    <x:row r="14">
      <x:c r="A14" s="73"/>
      <x:c r="B14" s="73"/>
      <x:c r="C14" s="74"/>
      <x:c r="D14" s="73"/>
      <x:c r="E14" s="73"/>
      <x:c r="F14" s="75"/>
      <x:c r="G14" s="75"/>
      <x:c r="H14" s="76" t="str">
        <x:f>IF(A14="","",F14-G14)</x:f>
      </x:c>
      <x:c r="I14" s="77" t="str">
        <x:f>IF(A14="","",IF(E14="","기타/불명",IF(IFERROR(SEARCH("급여",E14),0)&gt;0,"인건비",IF(IFERROR(SEARCH("임차",E14),0)&gt;0,"임차·시설",IF(IFERROR(SEARCH("광고",E14),0)&gt;0,"광고·행사",IF(IFERROR(SEARCH("용역",E14),0)&gt;0,"용역·수수료","기타/불명"))))))</x:f>
      </x:c>
      <x:c r="J14" s="77" t="str">
        <x:f>IF(A14="","",IF(I14="기타/불명","확인 필요","결의서명으로 1차 확인"))</x:f>
      </x:c>
      <x:c r="K14" s="78"/>
    </x:row>
    <x:row r="15">
      <x:c r="A15" s="73"/>
      <x:c r="B15" s="73"/>
      <x:c r="C15" s="74"/>
      <x:c r="D15" s="73"/>
      <x:c r="E15" s="73"/>
      <x:c r="F15" s="75"/>
      <x:c r="G15" s="75"/>
      <x:c r="H15" s="76" t="str">
        <x:f>IF(A15="","",F15-G15)</x:f>
      </x:c>
      <x:c r="I15" s="77" t="str">
        <x:f>IF(A15="","",IF(E15="","기타/불명",IF(IFERROR(SEARCH("급여",E15),0)&gt;0,"인건비",IF(IFERROR(SEARCH("임차",E15),0)&gt;0,"임차·시설",IF(IFERROR(SEARCH("광고",E15),0)&gt;0,"광고·행사",IF(IFERROR(SEARCH("용역",E15),0)&gt;0,"용역·수수료","기타/불명"))))))</x:f>
      </x:c>
      <x:c r="J15" s="77" t="str">
        <x:f>IF(A15="","",IF(I15="기타/불명","확인 필요","결의서명으로 1차 확인"))</x:f>
      </x:c>
      <x:c r="K15" s="78"/>
    </x:row>
    <x:row r="16">
      <x:c r="A16" s="73"/>
      <x:c r="B16" s="73"/>
      <x:c r="C16" s="74"/>
      <x:c r="D16" s="73"/>
      <x:c r="E16" s="73"/>
      <x:c r="F16" s="75"/>
      <x:c r="G16" s="75"/>
      <x:c r="H16" s="76" t="str">
        <x:f>IF(A16="","",F16-G16)</x:f>
      </x:c>
      <x:c r="I16" s="77" t="str">
        <x:f>IF(A16="","",IF(E16="","기타/불명",IF(IFERROR(SEARCH("급여",E16),0)&gt;0,"인건비",IF(IFERROR(SEARCH("임차",E16),0)&gt;0,"임차·시설",IF(IFERROR(SEARCH("광고",E16),0)&gt;0,"광고·행사",IF(IFERROR(SEARCH("용역",E16),0)&gt;0,"용역·수수료","기타/불명"))))))</x:f>
      </x:c>
      <x:c r="J16" s="77" t="str">
        <x:f>IF(A16="","",IF(I16="기타/불명","확인 필요","결의서명으로 1차 확인"))</x:f>
      </x:c>
      <x:c r="K16" s="78"/>
    </x:row>
    <x:row r="17">
      <x:c r="A17" s="73"/>
      <x:c r="B17" s="73"/>
      <x:c r="C17" s="74"/>
      <x:c r="D17" s="73"/>
      <x:c r="E17" s="73"/>
      <x:c r="F17" s="75"/>
      <x:c r="G17" s="75"/>
      <x:c r="H17" s="76" t="str">
        <x:f>IF(A17="","",F17-G17)</x:f>
      </x:c>
      <x:c r="I17" s="77" t="str">
        <x:f>IF(A17="","",IF(E17="","기타/불명",IF(IFERROR(SEARCH("급여",E17),0)&gt;0,"인건비",IF(IFERROR(SEARCH("임차",E17),0)&gt;0,"임차·시설",IF(IFERROR(SEARCH("광고",E17),0)&gt;0,"광고·행사",IF(IFERROR(SEARCH("용역",E17),0)&gt;0,"용역·수수료","기타/불명"))))))</x:f>
      </x:c>
      <x:c r="J17" s="77" t="str">
        <x:f>IF(A17="","",IF(I17="기타/불명","확인 필요","결의서명으로 1차 확인"))</x:f>
      </x:c>
      <x:c r="K17" s="78"/>
    </x:row>
    <x:row r="18">
      <x:c r="A18" s="73"/>
      <x:c r="B18" s="73"/>
      <x:c r="C18" s="74"/>
      <x:c r="D18" s="73"/>
      <x:c r="E18" s="73"/>
      <x:c r="F18" s="75"/>
      <x:c r="G18" s="75"/>
      <x:c r="H18" s="76" t="str">
        <x:f>IF(A18="","",F18-G18)</x:f>
      </x:c>
      <x:c r="I18" s="77" t="str">
        <x:f>IF(A18="","",IF(E18="","기타/불명",IF(IFERROR(SEARCH("급여",E18),0)&gt;0,"인건비",IF(IFERROR(SEARCH("임차",E18),0)&gt;0,"임차·시설",IF(IFERROR(SEARCH("광고",E18),0)&gt;0,"광고·행사",IF(IFERROR(SEARCH("용역",E18),0)&gt;0,"용역·수수료","기타/불명"))))))</x:f>
      </x:c>
      <x:c r="J18" s="77" t="str">
        <x:f>IF(A18="","",IF(I18="기타/불명","확인 필요","결의서명으로 1차 확인"))</x:f>
      </x:c>
      <x:c r="K18" s="78"/>
    </x:row>
    <x:row r="19">
      <x:c r="A19" s="73"/>
      <x:c r="B19" s="73"/>
      <x:c r="C19" s="74"/>
      <x:c r="D19" s="73"/>
      <x:c r="E19" s="73"/>
      <x:c r="F19" s="75"/>
      <x:c r="G19" s="75"/>
      <x:c r="H19" s="76" t="str">
        <x:f>IF(A19="","",F19-G19)</x:f>
      </x:c>
      <x:c r="I19" s="77" t="str">
        <x:f>IF(A19="","",IF(E19="","기타/불명",IF(IFERROR(SEARCH("급여",E19),0)&gt;0,"인건비",IF(IFERROR(SEARCH("임차",E19),0)&gt;0,"임차·시설",IF(IFERROR(SEARCH("광고",E19),0)&gt;0,"광고·행사",IF(IFERROR(SEARCH("용역",E19),0)&gt;0,"용역·수수료","기타/불명"))))))</x:f>
      </x:c>
      <x:c r="J19" s="77" t="str">
        <x:f>IF(A19="","",IF(I19="기타/불명","확인 필요","결의서명으로 1차 확인"))</x:f>
      </x:c>
      <x:c r="K19" s="78"/>
    </x:row>
    <x:row r="20">
      <x:c r="A20" s="73"/>
      <x:c r="B20" s="73"/>
      <x:c r="C20" s="74"/>
      <x:c r="D20" s="73"/>
      <x:c r="E20" s="73"/>
      <x:c r="F20" s="75"/>
      <x:c r="G20" s="75"/>
      <x:c r="H20" s="76" t="str">
        <x:f>IF(A20="","",F20-G20)</x:f>
      </x:c>
      <x:c r="I20" s="77" t="str">
        <x:f>IF(A20="","",IF(E20="","기타/불명",IF(IFERROR(SEARCH("급여",E20),0)&gt;0,"인건비",IF(IFERROR(SEARCH("임차",E20),0)&gt;0,"임차·시설",IF(IFERROR(SEARCH("광고",E20),0)&gt;0,"광고·행사",IF(IFERROR(SEARCH("용역",E20),0)&gt;0,"용역·수수료","기타/불명"))))))</x:f>
      </x:c>
      <x:c r="J20" s="77" t="str">
        <x:f>IF(A20="","",IF(I20="기타/불명","확인 필요","결의서명으로 1차 확인"))</x:f>
      </x:c>
      <x:c r="K20" s="78"/>
    </x:row>
    <x:row r="21">
      <x:c r="A21" s="73"/>
      <x:c r="B21" s="73"/>
      <x:c r="C21" s="74"/>
      <x:c r="D21" s="73"/>
      <x:c r="E21" s="73"/>
      <x:c r="F21" s="75"/>
      <x:c r="G21" s="75"/>
      <x:c r="H21" s="76" t="str">
        <x:f>IF(A21="","",F21-G21)</x:f>
      </x:c>
      <x:c r="I21" s="77" t="str">
        <x:f>IF(A21="","",IF(E21="","기타/불명",IF(IFERROR(SEARCH("급여",E21),0)&gt;0,"인건비",IF(IFERROR(SEARCH("임차",E21),0)&gt;0,"임차·시설",IF(IFERROR(SEARCH("광고",E21),0)&gt;0,"광고·행사",IF(IFERROR(SEARCH("용역",E21),0)&gt;0,"용역·수수료","기타/불명"))))))</x:f>
      </x:c>
      <x:c r="J21" s="77" t="str">
        <x:f>IF(A21="","",IF(I21="기타/불명","확인 필요","결의서명으로 1차 확인"))</x:f>
      </x:c>
      <x:c r="K21" s="78"/>
    </x:row>
    <x:row r="22">
      <x:c r="A22" s="73"/>
      <x:c r="B22" s="73"/>
      <x:c r="C22" s="74"/>
      <x:c r="D22" s="73"/>
      <x:c r="E22" s="73"/>
      <x:c r="F22" s="75"/>
      <x:c r="G22" s="75"/>
      <x:c r="H22" s="76" t="str">
        <x:f>IF(A22="","",F22-G22)</x:f>
      </x:c>
      <x:c r="I22" s="77" t="str">
        <x:f>IF(A22="","",IF(E22="","기타/불명",IF(IFERROR(SEARCH("급여",E22),0)&gt;0,"인건비",IF(IFERROR(SEARCH("임차",E22),0)&gt;0,"임차·시설",IF(IFERROR(SEARCH("광고",E22),0)&gt;0,"광고·행사",IF(IFERROR(SEARCH("용역",E22),0)&gt;0,"용역·수수료","기타/불명"))))))</x:f>
      </x:c>
      <x:c r="J22" s="77" t="str">
        <x:f>IF(A22="","",IF(I22="기타/불명","확인 필요","결의서명으로 1차 확인"))</x:f>
      </x:c>
      <x:c r="K22" s="78"/>
    </x:row>
    <x:row r="23">
      <x:c r="A23" s="73"/>
      <x:c r="B23" s="73"/>
      <x:c r="C23" s="74"/>
      <x:c r="D23" s="73"/>
      <x:c r="E23" s="73"/>
      <x:c r="F23" s="75"/>
      <x:c r="G23" s="75"/>
      <x:c r="H23" s="76" t="str">
        <x:f>IF(A23="","",F23-G23)</x:f>
      </x:c>
      <x:c r="I23" s="77" t="str">
        <x:f>IF(A23="","",IF(E23="","기타/불명",IF(IFERROR(SEARCH("급여",E23),0)&gt;0,"인건비",IF(IFERROR(SEARCH("임차",E23),0)&gt;0,"임차·시설",IF(IFERROR(SEARCH("광고",E23),0)&gt;0,"광고·행사",IF(IFERROR(SEARCH("용역",E23),0)&gt;0,"용역·수수료","기타/불명"))))))</x:f>
      </x:c>
      <x:c r="J23" s="77" t="str">
        <x:f>IF(A23="","",IF(I23="기타/불명","확인 필요","결의서명으로 1차 확인"))</x:f>
      </x:c>
      <x:c r="K23" s="78"/>
    </x:row>
    <x:row r="24">
      <x:c r="A24" s="73"/>
      <x:c r="B24" s="73"/>
      <x:c r="C24" s="74"/>
      <x:c r="D24" s="73"/>
      <x:c r="E24" s="73"/>
      <x:c r="F24" s="75"/>
      <x:c r="G24" s="75"/>
      <x:c r="H24" s="76" t="str">
        <x:f>IF(A24="","",F24-G24)</x:f>
      </x:c>
      <x:c r="I24" s="77" t="str">
        <x:f>IF(A24="","",IF(E24="","기타/불명",IF(IFERROR(SEARCH("급여",E24),0)&gt;0,"인건비",IF(IFERROR(SEARCH("임차",E24),0)&gt;0,"임차·시설",IF(IFERROR(SEARCH("광고",E24),0)&gt;0,"광고·행사",IF(IFERROR(SEARCH("용역",E24),0)&gt;0,"용역·수수료","기타/불명"))))))</x:f>
      </x:c>
      <x:c r="J24" s="77" t="str">
        <x:f>IF(A24="","",IF(I24="기타/불명","확인 필요","결의서명으로 1차 확인"))</x:f>
      </x:c>
      <x:c r="K24" s="78"/>
    </x:row>
    <x:row r="25">
      <x:c r="A25" s="73"/>
      <x:c r="B25" s="73"/>
      <x:c r="C25" s="74"/>
      <x:c r="D25" s="73"/>
      <x:c r="E25" s="73"/>
      <x:c r="F25" s="75"/>
      <x:c r="G25" s="75"/>
      <x:c r="H25" s="76" t="str">
        <x:f>IF(A25="","",F25-G25)</x:f>
      </x:c>
      <x:c r="I25" s="77" t="str">
        <x:f>IF(A25="","",IF(E25="","기타/불명",IF(IFERROR(SEARCH("급여",E25),0)&gt;0,"인건비",IF(IFERROR(SEARCH("임차",E25),0)&gt;0,"임차·시설",IF(IFERROR(SEARCH("광고",E25),0)&gt;0,"광고·행사",IF(IFERROR(SEARCH("용역",E25),0)&gt;0,"용역·수수료","기타/불명"))))))</x:f>
      </x:c>
      <x:c r="J25" s="77" t="str">
        <x:f>IF(A25="","",IF(I25="기타/불명","확인 필요","결의서명으로 1차 확인"))</x:f>
      </x:c>
      <x:c r="K25" s="78"/>
    </x:row>
    <x:row r="26">
      <x:c r="A26" s="73"/>
      <x:c r="B26" s="73"/>
      <x:c r="C26" s="74"/>
      <x:c r="D26" s="73"/>
      <x:c r="E26" s="73"/>
      <x:c r="F26" s="75"/>
      <x:c r="G26" s="75"/>
      <x:c r="H26" s="76" t="str">
        <x:f>IF(A26="","",F26-G26)</x:f>
      </x:c>
      <x:c r="I26" s="77" t="str">
        <x:f>IF(A26="","",IF(E26="","기타/불명",IF(IFERROR(SEARCH("급여",E26),0)&gt;0,"인건비",IF(IFERROR(SEARCH("임차",E26),0)&gt;0,"임차·시설",IF(IFERROR(SEARCH("광고",E26),0)&gt;0,"광고·행사",IF(IFERROR(SEARCH("용역",E26),0)&gt;0,"용역·수수료","기타/불명"))))))</x:f>
      </x:c>
      <x:c r="J26" s="77" t="str">
        <x:f>IF(A26="","",IF(I26="기타/불명","확인 필요","결의서명으로 1차 확인"))</x:f>
      </x:c>
      <x:c r="K26" s="78"/>
    </x:row>
    <x:row r="27">
      <x:c r="A27" s="73"/>
      <x:c r="B27" s="73"/>
      <x:c r="C27" s="74"/>
      <x:c r="D27" s="73"/>
      <x:c r="E27" s="73"/>
      <x:c r="F27" s="75"/>
      <x:c r="G27" s="75"/>
      <x:c r="H27" s="76" t="str">
        <x:f>IF(A27="","",F27-G27)</x:f>
      </x:c>
      <x:c r="I27" s="77" t="str">
        <x:f>IF(A27="","",IF(E27="","기타/불명",IF(IFERROR(SEARCH("급여",E27),0)&gt;0,"인건비",IF(IFERROR(SEARCH("임차",E27),0)&gt;0,"임차·시설",IF(IFERROR(SEARCH("광고",E27),0)&gt;0,"광고·행사",IF(IFERROR(SEARCH("용역",E27),0)&gt;0,"용역·수수료","기타/불명"))))))</x:f>
      </x:c>
      <x:c r="J27" s="77" t="str">
        <x:f>IF(A27="","",IF(I27="기타/불명","확인 필요","결의서명으로 1차 확인"))</x:f>
      </x:c>
      <x:c r="K27" s="78"/>
    </x:row>
    <x:row r="28">
      <x:c r="A28" s="73"/>
      <x:c r="B28" s="73"/>
      <x:c r="C28" s="74"/>
      <x:c r="D28" s="73"/>
      <x:c r="E28" s="73"/>
      <x:c r="F28" s="75"/>
      <x:c r="G28" s="75"/>
      <x:c r="H28" s="76" t="str">
        <x:f>IF(A28="","",F28-G28)</x:f>
      </x:c>
      <x:c r="I28" s="77" t="str">
        <x:f>IF(A28="","",IF(E28="","기타/불명",IF(IFERROR(SEARCH("급여",E28),0)&gt;0,"인건비",IF(IFERROR(SEARCH("임차",E28),0)&gt;0,"임차·시설",IF(IFERROR(SEARCH("광고",E28),0)&gt;0,"광고·행사",IF(IFERROR(SEARCH("용역",E28),0)&gt;0,"용역·수수료","기타/불명"))))))</x:f>
      </x:c>
      <x:c r="J28" s="77" t="str">
        <x:f>IF(A28="","",IF(I28="기타/불명","확인 필요","결의서명으로 1차 확인"))</x:f>
      </x:c>
      <x:c r="K28" s="78"/>
    </x:row>
    <x:row r="29">
      <x:c r="A29" s="73"/>
      <x:c r="B29" s="73"/>
      <x:c r="C29" s="74"/>
      <x:c r="D29" s="73"/>
      <x:c r="E29" s="73"/>
      <x:c r="F29" s="75"/>
      <x:c r="G29" s="75"/>
      <x:c r="H29" s="76" t="str">
        <x:f>IF(A29="","",F29-G29)</x:f>
      </x:c>
      <x:c r="I29" s="77" t="str">
        <x:f>IF(A29="","",IF(E29="","기타/불명",IF(IFERROR(SEARCH("급여",E29),0)&gt;0,"인건비",IF(IFERROR(SEARCH("임차",E29),0)&gt;0,"임차·시설",IF(IFERROR(SEARCH("광고",E29),0)&gt;0,"광고·행사",IF(IFERROR(SEARCH("용역",E29),0)&gt;0,"용역·수수료","기타/불명"))))))</x:f>
      </x:c>
      <x:c r="J29" s="77" t="str">
        <x:f>IF(A29="","",IF(I29="기타/불명","확인 필요","결의서명으로 1차 확인"))</x:f>
      </x:c>
      <x:c r="K29" s="78"/>
    </x:row>
    <x:row r="30">
      <x:c r="A30" s="73"/>
      <x:c r="B30" s="73"/>
      <x:c r="C30" s="74"/>
      <x:c r="D30" s="73"/>
      <x:c r="E30" s="73"/>
      <x:c r="F30" s="75"/>
      <x:c r="G30" s="75"/>
      <x:c r="H30" s="76" t="str">
        <x:f>IF(A30="","",F30-G30)</x:f>
      </x:c>
      <x:c r="I30" s="77" t="str">
        <x:f>IF(A30="","",IF(E30="","기타/불명",IF(IFERROR(SEARCH("급여",E30),0)&gt;0,"인건비",IF(IFERROR(SEARCH("임차",E30),0)&gt;0,"임차·시설",IF(IFERROR(SEARCH("광고",E30),0)&gt;0,"광고·행사",IF(IFERROR(SEARCH("용역",E30),0)&gt;0,"용역·수수료","기타/불명"))))))</x:f>
      </x:c>
      <x:c r="J30" s="77" t="str">
        <x:f>IF(A30="","",IF(I30="기타/불명","확인 필요","결의서명으로 1차 확인"))</x:f>
      </x:c>
      <x:c r="K30" s="78"/>
    </x:row>
    <x:row r="31">
      <x:c r="A31" s="73"/>
      <x:c r="B31" s="73"/>
      <x:c r="C31" s="74"/>
      <x:c r="D31" s="73"/>
      <x:c r="E31" s="73"/>
      <x:c r="F31" s="75"/>
      <x:c r="G31" s="75"/>
      <x:c r="H31" s="76" t="str">
        <x:f>IF(A31="","",F31-G31)</x:f>
      </x:c>
      <x:c r="I31" s="77" t="str">
        <x:f>IF(A31="","",IF(E31="","기타/불명",IF(IFERROR(SEARCH("급여",E31),0)&gt;0,"인건비",IF(IFERROR(SEARCH("임차",E31),0)&gt;0,"임차·시설",IF(IFERROR(SEARCH("광고",E31),0)&gt;0,"광고·행사",IF(IFERROR(SEARCH("용역",E31),0)&gt;0,"용역·수수료","기타/불명"))))))</x:f>
      </x:c>
      <x:c r="J31" s="77" t="str">
        <x:f>IF(A31="","",IF(I31="기타/불명","확인 필요","결의서명으로 1차 확인"))</x:f>
      </x:c>
      <x:c r="K31" s="78"/>
    </x:row>
    <x:row r="32">
      <x:c r="A32" s="73"/>
      <x:c r="B32" s="73"/>
      <x:c r="C32" s="74"/>
      <x:c r="D32" s="73"/>
      <x:c r="E32" s="73"/>
      <x:c r="F32" s="75"/>
      <x:c r="G32" s="75"/>
      <x:c r="H32" s="76" t="str">
        <x:f>IF(A32="","",F32-G32)</x:f>
      </x:c>
      <x:c r="I32" s="77" t="str">
        <x:f>IF(A32="","",IF(E32="","기타/불명",IF(IFERROR(SEARCH("급여",E32),0)&gt;0,"인건비",IF(IFERROR(SEARCH("임차",E32),0)&gt;0,"임차·시설",IF(IFERROR(SEARCH("광고",E32),0)&gt;0,"광고·행사",IF(IFERROR(SEARCH("용역",E32),0)&gt;0,"용역·수수료","기타/불명"))))))</x:f>
      </x:c>
      <x:c r="J32" s="77" t="str">
        <x:f>IF(A32="","",IF(I32="기타/불명","확인 필요","결의서명으로 1차 확인"))</x:f>
      </x:c>
      <x:c r="K32" s="78"/>
    </x:row>
    <x:row r="33">
      <x:c r="A33" s="73"/>
      <x:c r="B33" s="73"/>
      <x:c r="C33" s="74"/>
      <x:c r="D33" s="73"/>
      <x:c r="E33" s="73"/>
      <x:c r="F33" s="75"/>
      <x:c r="G33" s="75"/>
      <x:c r="H33" s="76" t="str">
        <x:f>IF(A33="","",F33-G33)</x:f>
      </x:c>
      <x:c r="I33" s="77" t="str">
        <x:f>IF(A33="","",IF(E33="","기타/불명",IF(IFERROR(SEARCH("급여",E33),0)&gt;0,"인건비",IF(IFERROR(SEARCH("임차",E33),0)&gt;0,"임차·시설",IF(IFERROR(SEARCH("광고",E33),0)&gt;0,"광고·행사",IF(IFERROR(SEARCH("용역",E33),0)&gt;0,"용역·수수료","기타/불명"))))))</x:f>
      </x:c>
      <x:c r="J33" s="77" t="str">
        <x:f>IF(A33="","",IF(I33="기타/불명","확인 필요","결의서명으로 1차 확인"))</x:f>
      </x:c>
      <x:c r="K33" s="78"/>
    </x:row>
    <x:row r="34">
      <x:c r="A34" s="73"/>
      <x:c r="B34" s="73"/>
      <x:c r="C34" s="74"/>
      <x:c r="D34" s="73"/>
      <x:c r="E34" s="73"/>
      <x:c r="F34" s="75"/>
      <x:c r="G34" s="75"/>
      <x:c r="H34" s="76" t="str">
        <x:f>IF(A34="","",F34-G34)</x:f>
      </x:c>
      <x:c r="I34" s="77" t="str">
        <x:f>IF(A34="","",IF(E34="","기타/불명",IF(IFERROR(SEARCH("급여",E34),0)&gt;0,"인건비",IF(IFERROR(SEARCH("임차",E34),0)&gt;0,"임차·시설",IF(IFERROR(SEARCH("광고",E34),0)&gt;0,"광고·행사",IF(IFERROR(SEARCH("용역",E34),0)&gt;0,"용역·수수료","기타/불명"))))))</x:f>
      </x:c>
      <x:c r="J34" s="77" t="str">
        <x:f>IF(A34="","",IF(I34="기타/불명","확인 필요","결의서명으로 1차 확인"))</x:f>
      </x:c>
      <x:c r="K34" s="78"/>
    </x:row>
    <x:row r="35">
      <x:c r="A35" s="73"/>
      <x:c r="B35" s="73"/>
      <x:c r="C35" s="74"/>
      <x:c r="D35" s="73"/>
      <x:c r="E35" s="73"/>
      <x:c r="F35" s="75"/>
      <x:c r="G35" s="75"/>
      <x:c r="H35" s="76" t="str">
        <x:f>IF(A35="","",F35-G35)</x:f>
      </x:c>
      <x:c r="I35" s="77" t="str">
        <x:f>IF(A35="","",IF(E35="","기타/불명",IF(IFERROR(SEARCH("급여",E35),0)&gt;0,"인건비",IF(IFERROR(SEARCH("임차",E35),0)&gt;0,"임차·시설",IF(IFERROR(SEARCH("광고",E35),0)&gt;0,"광고·행사",IF(IFERROR(SEARCH("용역",E35),0)&gt;0,"용역·수수료","기타/불명"))))))</x:f>
      </x:c>
      <x:c r="J35" s="77" t="str">
        <x:f>IF(A35="","",IF(I35="기타/불명","확인 필요","결의서명으로 1차 확인"))</x:f>
      </x:c>
      <x:c r="K35" s="78"/>
    </x:row>
    <x:row r="36">
      <x:c r="A36" s="73"/>
      <x:c r="B36" s="73"/>
      <x:c r="C36" s="74"/>
      <x:c r="D36" s="73"/>
      <x:c r="E36" s="73"/>
      <x:c r="F36" s="75"/>
      <x:c r="G36" s="75"/>
      <x:c r="H36" s="76" t="str">
        <x:f>IF(A36="","",F36-G36)</x:f>
      </x:c>
      <x:c r="I36" s="77" t="str">
        <x:f>IF(A36="","",IF(E36="","기타/불명",IF(IFERROR(SEARCH("급여",E36),0)&gt;0,"인건비",IF(IFERROR(SEARCH("임차",E36),0)&gt;0,"임차·시설",IF(IFERROR(SEARCH("광고",E36),0)&gt;0,"광고·행사",IF(IFERROR(SEARCH("용역",E36),0)&gt;0,"용역·수수료","기타/불명"))))))</x:f>
      </x:c>
      <x:c r="J36" s="77" t="str">
        <x:f>IF(A36="","",IF(I36="기타/불명","확인 필요","결의서명으로 1차 확인"))</x:f>
      </x:c>
      <x:c r="K36" s="78"/>
    </x:row>
    <x:row r="37">
      <x:c r="A37" s="73"/>
      <x:c r="B37" s="73"/>
      <x:c r="C37" s="74"/>
      <x:c r="D37" s="73"/>
      <x:c r="E37" s="73"/>
      <x:c r="F37" s="75"/>
      <x:c r="G37" s="75"/>
      <x:c r="H37" s="76" t="str">
        <x:f>IF(A37="","",F37-G37)</x:f>
      </x:c>
      <x:c r="I37" s="77" t="str">
        <x:f>IF(A37="","",IF(E37="","기타/불명",IF(IFERROR(SEARCH("급여",E37),0)&gt;0,"인건비",IF(IFERROR(SEARCH("임차",E37),0)&gt;0,"임차·시설",IF(IFERROR(SEARCH("광고",E37),0)&gt;0,"광고·행사",IF(IFERROR(SEARCH("용역",E37),0)&gt;0,"용역·수수료","기타/불명"))))))</x:f>
      </x:c>
      <x:c r="J37" s="77" t="str">
        <x:f>IF(A37="","",IF(I37="기타/불명","확인 필요","결의서명으로 1차 확인"))</x:f>
      </x:c>
      <x:c r="K37" s="78"/>
    </x:row>
    <x:row r="38">
      <x:c r="A38" s="73"/>
      <x:c r="B38" s="73"/>
      <x:c r="C38" s="74"/>
      <x:c r="D38" s="73"/>
      <x:c r="E38" s="73"/>
      <x:c r="F38" s="75"/>
      <x:c r="G38" s="75"/>
      <x:c r="H38" s="76" t="str">
        <x:f>IF(A38="","",F38-G38)</x:f>
      </x:c>
      <x:c r="I38" s="77" t="str">
        <x:f>IF(A38="","",IF(E38="","기타/불명",IF(IFERROR(SEARCH("급여",E38),0)&gt;0,"인건비",IF(IFERROR(SEARCH("임차",E38),0)&gt;0,"임차·시설",IF(IFERROR(SEARCH("광고",E38),0)&gt;0,"광고·행사",IF(IFERROR(SEARCH("용역",E38),0)&gt;0,"용역·수수료","기타/불명"))))))</x:f>
      </x:c>
      <x:c r="J38" s="77" t="str">
        <x:f>IF(A38="","",IF(I38="기타/불명","확인 필요","결의서명으로 1차 확인"))</x:f>
      </x:c>
      <x:c r="K38" s="78"/>
    </x:row>
    <x:row r="39">
      <x:c r="A39" s="73"/>
      <x:c r="B39" s="73"/>
      <x:c r="C39" s="74"/>
      <x:c r="D39" s="73"/>
      <x:c r="E39" s="73"/>
      <x:c r="F39" s="75"/>
      <x:c r="G39" s="75"/>
      <x:c r="H39" s="76" t="str">
        <x:f>IF(A39="","",F39-G39)</x:f>
      </x:c>
      <x:c r="I39" s="77" t="str">
        <x:f>IF(A39="","",IF(E39="","기타/불명",IF(IFERROR(SEARCH("급여",E39),0)&gt;0,"인건비",IF(IFERROR(SEARCH("임차",E39),0)&gt;0,"임차·시설",IF(IFERROR(SEARCH("광고",E39),0)&gt;0,"광고·행사",IF(IFERROR(SEARCH("용역",E39),0)&gt;0,"용역·수수료","기타/불명"))))))</x:f>
      </x:c>
      <x:c r="J39" s="77" t="str">
        <x:f>IF(A39="","",IF(I39="기타/불명","확인 필요","결의서명으로 1차 확인"))</x:f>
      </x:c>
      <x:c r="K39" s="78"/>
    </x:row>
    <x:row r="40">
      <x:c r="A40" s="73"/>
      <x:c r="B40" s="73"/>
      <x:c r="C40" s="74"/>
      <x:c r="D40" s="73"/>
      <x:c r="E40" s="73"/>
      <x:c r="F40" s="75"/>
      <x:c r="G40" s="75"/>
      <x:c r="H40" s="76" t="str">
        <x:f>IF(A40="","",F40-G40)</x:f>
      </x:c>
      <x:c r="I40" s="77" t="str">
        <x:f>IF(A40="","",IF(E40="","기타/불명",IF(IFERROR(SEARCH("급여",E40),0)&gt;0,"인건비",IF(IFERROR(SEARCH("임차",E40),0)&gt;0,"임차·시설",IF(IFERROR(SEARCH("광고",E40),0)&gt;0,"광고·행사",IF(IFERROR(SEARCH("용역",E40),0)&gt;0,"용역·수수료","기타/불명"))))))</x:f>
      </x:c>
      <x:c r="J40" s="77" t="str">
        <x:f>IF(A40="","",IF(I40="기타/불명","확인 필요","결의서명으로 1차 확인"))</x:f>
      </x:c>
      <x:c r="K40" s="78"/>
    </x:row>
    <x:row r="41">
      <x:c r="A41" s="73"/>
      <x:c r="B41" s="73"/>
      <x:c r="C41" s="74"/>
      <x:c r="D41" s="73"/>
      <x:c r="E41" s="73"/>
      <x:c r="F41" s="75"/>
      <x:c r="G41" s="75"/>
      <x:c r="H41" s="76" t="str">
        <x:f>IF(A41="","",F41-G41)</x:f>
      </x:c>
      <x:c r="I41" s="77" t="str">
        <x:f>IF(A41="","",IF(E41="","기타/불명",IF(IFERROR(SEARCH("급여",E41),0)&gt;0,"인건비",IF(IFERROR(SEARCH("임차",E41),0)&gt;0,"임차·시설",IF(IFERROR(SEARCH("광고",E41),0)&gt;0,"광고·행사",IF(IFERROR(SEARCH("용역",E41),0)&gt;0,"용역·수수료","기타/불명"))))))</x:f>
      </x:c>
      <x:c r="J41" s="77" t="str">
        <x:f>IF(A41="","",IF(I41="기타/불명","확인 필요","결의서명으로 1차 확인"))</x:f>
      </x:c>
      <x:c r="K41" s="78"/>
    </x:row>
    <x:row r="42">
      <x:c r="A42" s="73"/>
      <x:c r="B42" s="73"/>
      <x:c r="C42" s="74"/>
      <x:c r="D42" s="73"/>
      <x:c r="E42" s="73"/>
      <x:c r="F42" s="75"/>
      <x:c r="G42" s="75"/>
      <x:c r="H42" s="76" t="str">
        <x:f>IF(A42="","",F42-G42)</x:f>
      </x:c>
      <x:c r="I42" s="77" t="str">
        <x:f>IF(A42="","",IF(E42="","기타/불명",IF(IFERROR(SEARCH("급여",E42),0)&gt;0,"인건비",IF(IFERROR(SEARCH("임차",E42),0)&gt;0,"임차·시설",IF(IFERROR(SEARCH("광고",E42),0)&gt;0,"광고·행사",IF(IFERROR(SEARCH("용역",E42),0)&gt;0,"용역·수수료","기타/불명"))))))</x:f>
      </x:c>
      <x:c r="J42" s="77" t="str">
        <x:f>IF(A42="","",IF(I42="기타/불명","확인 필요","결의서명으로 1차 확인"))</x:f>
      </x:c>
      <x:c r="K42" s="78"/>
    </x:row>
    <x:row r="43">
      <x:c r="A43" s="73"/>
      <x:c r="B43" s="73"/>
      <x:c r="C43" s="74"/>
      <x:c r="D43" s="73"/>
      <x:c r="E43" s="73"/>
      <x:c r="F43" s="75"/>
      <x:c r="G43" s="75"/>
      <x:c r="H43" s="76" t="str">
        <x:f>IF(A43="","",F43-G43)</x:f>
      </x:c>
      <x:c r="I43" s="77" t="str">
        <x:f>IF(A43="","",IF(E43="","기타/불명",IF(IFERROR(SEARCH("급여",E43),0)&gt;0,"인건비",IF(IFERROR(SEARCH("임차",E43),0)&gt;0,"임차·시설",IF(IFERROR(SEARCH("광고",E43),0)&gt;0,"광고·행사",IF(IFERROR(SEARCH("용역",E43),0)&gt;0,"용역·수수료","기타/불명"))))))</x:f>
      </x:c>
      <x:c r="J43" s="77" t="str">
        <x:f>IF(A43="","",IF(I43="기타/불명","확인 필요","결의서명으로 1차 확인"))</x:f>
      </x:c>
      <x:c r="K43" s="78"/>
    </x:row>
    <x:row r="44">
      <x:c r="A44" s="73"/>
      <x:c r="B44" s="73"/>
      <x:c r="C44" s="74"/>
      <x:c r="D44" s="73"/>
      <x:c r="E44" s="73"/>
      <x:c r="F44" s="75"/>
      <x:c r="G44" s="75"/>
      <x:c r="H44" s="76" t="str">
        <x:f>IF(A44="","",F44-G44)</x:f>
      </x:c>
      <x:c r="I44" s="77" t="str">
        <x:f>IF(A44="","",IF(E44="","기타/불명",IF(IFERROR(SEARCH("급여",E44),0)&gt;0,"인건비",IF(IFERROR(SEARCH("임차",E44),0)&gt;0,"임차·시설",IF(IFERROR(SEARCH("광고",E44),0)&gt;0,"광고·행사",IF(IFERROR(SEARCH("용역",E44),0)&gt;0,"용역·수수료","기타/불명"))))))</x:f>
      </x:c>
      <x:c r="J44" s="77" t="str">
        <x:f>IF(A44="","",IF(I44="기타/불명","확인 필요","결의서명으로 1차 확인"))</x:f>
      </x:c>
      <x:c r="K44" s="78"/>
    </x:row>
    <x:row r="45">
      <x:c r="A45" s="73"/>
      <x:c r="B45" s="73"/>
      <x:c r="C45" s="74"/>
      <x:c r="D45" s="73"/>
      <x:c r="E45" s="73"/>
      <x:c r="F45" s="75"/>
      <x:c r="G45" s="75"/>
      <x:c r="H45" s="76" t="str">
        <x:f>IF(A45="","",F45-G45)</x:f>
      </x:c>
      <x:c r="I45" s="77" t="str">
        <x:f>IF(A45="","",IF(E45="","기타/불명",IF(IFERROR(SEARCH("급여",E45),0)&gt;0,"인건비",IF(IFERROR(SEARCH("임차",E45),0)&gt;0,"임차·시설",IF(IFERROR(SEARCH("광고",E45),0)&gt;0,"광고·행사",IF(IFERROR(SEARCH("용역",E45),0)&gt;0,"용역·수수료","기타/불명"))))))</x:f>
      </x:c>
      <x:c r="J45" s="77" t="str">
        <x:f>IF(A45="","",IF(I45="기타/불명","확인 필요","결의서명으로 1차 확인"))</x:f>
      </x:c>
      <x:c r="K45" s="78"/>
    </x:row>
    <x:row r="46">
      <x:c r="A46" s="73"/>
      <x:c r="B46" s="73"/>
      <x:c r="C46" s="74"/>
      <x:c r="D46" s="73"/>
      <x:c r="E46" s="73"/>
      <x:c r="F46" s="75"/>
      <x:c r="G46" s="75"/>
      <x:c r="H46" s="76" t="str">
        <x:f>IF(A46="","",F46-G46)</x:f>
      </x:c>
      <x:c r="I46" s="77" t="str">
        <x:f>IF(A46="","",IF(E46="","기타/불명",IF(IFERROR(SEARCH("급여",E46),0)&gt;0,"인건비",IF(IFERROR(SEARCH("임차",E46),0)&gt;0,"임차·시설",IF(IFERROR(SEARCH("광고",E46),0)&gt;0,"광고·행사",IF(IFERROR(SEARCH("용역",E46),0)&gt;0,"용역·수수료","기타/불명"))))))</x:f>
      </x:c>
      <x:c r="J46" s="77" t="str">
        <x:f>IF(A46="","",IF(I46="기타/불명","확인 필요","결의서명으로 1차 확인"))</x:f>
      </x:c>
      <x:c r="K46" s="78"/>
    </x:row>
    <x:row r="47">
      <x:c r="A47" s="73"/>
      <x:c r="B47" s="73"/>
      <x:c r="C47" s="74"/>
      <x:c r="D47" s="73"/>
      <x:c r="E47" s="73"/>
      <x:c r="F47" s="75"/>
      <x:c r="G47" s="75"/>
      <x:c r="H47" s="76" t="str">
        <x:f>IF(A47="","",F47-G47)</x:f>
      </x:c>
      <x:c r="I47" s="77" t="str">
        <x:f>IF(A47="","",IF(E47="","기타/불명",IF(IFERROR(SEARCH("급여",E47),0)&gt;0,"인건비",IF(IFERROR(SEARCH("임차",E47),0)&gt;0,"임차·시설",IF(IFERROR(SEARCH("광고",E47),0)&gt;0,"광고·행사",IF(IFERROR(SEARCH("용역",E47),0)&gt;0,"용역·수수료","기타/불명"))))))</x:f>
      </x:c>
      <x:c r="J47" s="77" t="str">
        <x:f>IF(A47="","",IF(I47="기타/불명","확인 필요","결의서명으로 1차 확인"))</x:f>
      </x:c>
      <x:c r="K47" s="78"/>
    </x:row>
    <x:row r="48">
      <x:c r="A48" s="73"/>
      <x:c r="B48" s="73"/>
      <x:c r="C48" s="74"/>
      <x:c r="D48" s="73"/>
      <x:c r="E48" s="73"/>
      <x:c r="F48" s="75"/>
      <x:c r="G48" s="75"/>
      <x:c r="H48" s="76" t="str">
        <x:f>IF(A48="","",F48-G48)</x:f>
      </x:c>
      <x:c r="I48" s="77" t="str">
        <x:f>IF(A48="","",IF(E48="","기타/불명",IF(IFERROR(SEARCH("급여",E48),0)&gt;0,"인건비",IF(IFERROR(SEARCH("임차",E48),0)&gt;0,"임차·시설",IF(IFERROR(SEARCH("광고",E48),0)&gt;0,"광고·행사",IF(IFERROR(SEARCH("용역",E48),0)&gt;0,"용역·수수료","기타/불명"))))))</x:f>
      </x:c>
      <x:c r="J48" s="77" t="str">
        <x:f>IF(A48="","",IF(I48="기타/불명","확인 필요","결의서명으로 1차 확인"))</x:f>
      </x:c>
      <x:c r="K48" s="78"/>
    </x:row>
    <x:row r="49">
      <x:c r="A49" s="73"/>
      <x:c r="B49" s="73"/>
      <x:c r="C49" s="74"/>
      <x:c r="D49" s="73"/>
      <x:c r="E49" s="73"/>
      <x:c r="F49" s="75"/>
      <x:c r="G49" s="75"/>
      <x:c r="H49" s="76" t="str">
        <x:f>IF(A49="","",F49-G49)</x:f>
      </x:c>
      <x:c r="I49" s="77" t="str">
        <x:f>IF(A49="","",IF(E49="","기타/불명",IF(IFERROR(SEARCH("급여",E49),0)&gt;0,"인건비",IF(IFERROR(SEARCH("임차",E49),0)&gt;0,"임차·시설",IF(IFERROR(SEARCH("광고",E49),0)&gt;0,"광고·행사",IF(IFERROR(SEARCH("용역",E49),0)&gt;0,"용역·수수료","기타/불명"))))))</x:f>
      </x:c>
      <x:c r="J49" s="77" t="str">
        <x:f>IF(A49="","",IF(I49="기타/불명","확인 필요","결의서명으로 1차 확인"))</x:f>
      </x:c>
      <x:c r="K49" s="78"/>
    </x:row>
    <x:row r="50">
      <x:c r="A50" s="73"/>
      <x:c r="B50" s="73"/>
      <x:c r="C50" s="74"/>
      <x:c r="D50" s="73"/>
      <x:c r="E50" s="73"/>
      <x:c r="F50" s="75"/>
      <x:c r="G50" s="75"/>
      <x:c r="H50" s="76" t="str">
        <x:f>IF(A50="","",F50-G50)</x:f>
      </x:c>
      <x:c r="I50" s="77" t="str">
        <x:f>IF(A50="","",IF(E50="","기타/불명",IF(IFERROR(SEARCH("급여",E50),0)&gt;0,"인건비",IF(IFERROR(SEARCH("임차",E50),0)&gt;0,"임차·시설",IF(IFERROR(SEARCH("광고",E50),0)&gt;0,"광고·행사",IF(IFERROR(SEARCH("용역",E50),0)&gt;0,"용역·수수료","기타/불명"))))))</x:f>
      </x:c>
      <x:c r="J50" s="77" t="str">
        <x:f>IF(A50="","",IF(I50="기타/불명","확인 필요","결의서명으로 1차 확인"))</x:f>
      </x:c>
      <x:c r="K50" s="78"/>
    </x:row>
    <x:row r="51">
      <x:c r="A51" s="73"/>
      <x:c r="B51" s="73"/>
      <x:c r="C51" s="74"/>
      <x:c r="D51" s="73"/>
      <x:c r="E51" s="73"/>
      <x:c r="F51" s="75"/>
      <x:c r="G51" s="75"/>
      <x:c r="H51" s="76" t="str">
        <x:f>IF(A51="","",F51-G51)</x:f>
      </x:c>
      <x:c r="I51" s="77" t="str">
        <x:f>IF(A51="","",IF(E51="","기타/불명",IF(IFERROR(SEARCH("급여",E51),0)&gt;0,"인건비",IF(IFERROR(SEARCH("임차",E51),0)&gt;0,"임차·시설",IF(IFERROR(SEARCH("광고",E51),0)&gt;0,"광고·행사",IF(IFERROR(SEARCH("용역",E51),0)&gt;0,"용역·수수료","기타/불명"))))))</x:f>
      </x:c>
      <x:c r="J51" s="77" t="str">
        <x:f>IF(A51="","",IF(I51="기타/불명","확인 필요","결의서명으로 1차 확인"))</x:f>
      </x:c>
      <x:c r="K51" s="78"/>
    </x:row>
    <x:row r="52">
      <x:c r="A52" s="73"/>
      <x:c r="B52" s="73"/>
      <x:c r="C52" s="74"/>
      <x:c r="D52" s="73"/>
      <x:c r="E52" s="73"/>
      <x:c r="F52" s="75"/>
      <x:c r="G52" s="75"/>
      <x:c r="H52" s="76" t="str">
        <x:f>IF(A52="","",F52-G52)</x:f>
      </x:c>
      <x:c r="I52" s="77" t="str">
        <x:f>IF(A52="","",IF(E52="","기타/불명",IF(IFERROR(SEARCH("급여",E52),0)&gt;0,"인건비",IF(IFERROR(SEARCH("임차",E52),0)&gt;0,"임차·시설",IF(IFERROR(SEARCH("광고",E52),0)&gt;0,"광고·행사",IF(IFERROR(SEARCH("용역",E52),0)&gt;0,"용역·수수료","기타/불명"))))))</x:f>
      </x:c>
      <x:c r="J52" s="77" t="str">
        <x:f>IF(A52="","",IF(I52="기타/불명","확인 필요","결의서명으로 1차 확인"))</x:f>
      </x:c>
      <x:c r="K52" s="78"/>
    </x:row>
    <x:row r="53">
      <x:c r="A53" s="73"/>
      <x:c r="B53" s="73"/>
      <x:c r="C53" s="74"/>
      <x:c r="D53" s="73"/>
      <x:c r="E53" s="73"/>
      <x:c r="F53" s="75"/>
      <x:c r="G53" s="75"/>
      <x:c r="H53" s="76" t="str">
        <x:f>IF(A53="","",F53-G53)</x:f>
      </x:c>
      <x:c r="I53" s="77" t="str">
        <x:f>IF(A53="","",IF(E53="","기타/불명",IF(IFERROR(SEARCH("급여",E53),0)&gt;0,"인건비",IF(IFERROR(SEARCH("임차",E53),0)&gt;0,"임차·시설",IF(IFERROR(SEARCH("광고",E53),0)&gt;0,"광고·행사",IF(IFERROR(SEARCH("용역",E53),0)&gt;0,"용역·수수료","기타/불명"))))))</x:f>
      </x:c>
      <x:c r="J53" s="77" t="str">
        <x:f>IF(A53="","",IF(I53="기타/불명","확인 필요","결의서명으로 1차 확인"))</x:f>
      </x:c>
      <x:c r="K53" s="78"/>
    </x:row>
    <x:row r="54">
      <x:c r="A54" s="73"/>
      <x:c r="B54" s="73"/>
      <x:c r="C54" s="74"/>
      <x:c r="D54" s="73"/>
      <x:c r="E54" s="73"/>
      <x:c r="F54" s="75"/>
      <x:c r="G54" s="75"/>
      <x:c r="H54" s="76" t="str">
        <x:f>IF(A54="","",F54-G54)</x:f>
      </x:c>
      <x:c r="I54" s="77" t="str">
        <x:f>IF(A54="","",IF(E54="","기타/불명",IF(IFERROR(SEARCH("급여",E54),0)&gt;0,"인건비",IF(IFERROR(SEARCH("임차",E54),0)&gt;0,"임차·시설",IF(IFERROR(SEARCH("광고",E54),0)&gt;0,"광고·행사",IF(IFERROR(SEARCH("용역",E54),0)&gt;0,"용역·수수료","기타/불명"))))))</x:f>
      </x:c>
      <x:c r="J54" s="77" t="str">
        <x:f>IF(A54="","",IF(I54="기타/불명","확인 필요","결의서명으로 1차 확인"))</x:f>
      </x:c>
      <x:c r="K54" s="78"/>
    </x:row>
    <x:row r="55">
      <x:c r="A55" s="73"/>
      <x:c r="B55" s="73"/>
      <x:c r="C55" s="74"/>
      <x:c r="D55" s="73"/>
      <x:c r="E55" s="73"/>
      <x:c r="F55" s="75"/>
      <x:c r="G55" s="75"/>
      <x:c r="H55" s="76" t="str">
        <x:f>IF(A55="","",F55-G55)</x:f>
      </x:c>
      <x:c r="I55" s="77" t="str">
        <x:f>IF(A55="","",IF(E55="","기타/불명",IF(IFERROR(SEARCH("급여",E55),0)&gt;0,"인건비",IF(IFERROR(SEARCH("임차",E55),0)&gt;0,"임차·시설",IF(IFERROR(SEARCH("광고",E55),0)&gt;0,"광고·행사",IF(IFERROR(SEARCH("용역",E55),0)&gt;0,"용역·수수료","기타/불명"))))))</x:f>
      </x:c>
      <x:c r="J55" s="77" t="str">
        <x:f>IF(A55="","",IF(I55="기타/불명","확인 필요","결의서명으로 1차 확인"))</x:f>
      </x:c>
      <x:c r="K55" s="78"/>
    </x:row>
    <x:row r="56">
      <x:c r="A56" s="73"/>
      <x:c r="B56" s="73"/>
      <x:c r="C56" s="74"/>
      <x:c r="D56" s="73"/>
      <x:c r="E56" s="73"/>
      <x:c r="F56" s="75"/>
      <x:c r="G56" s="75"/>
      <x:c r="H56" s="76" t="str">
        <x:f>IF(A56="","",F56-G56)</x:f>
      </x:c>
      <x:c r="I56" s="77" t="str">
        <x:f>IF(A56="","",IF(E56="","기타/불명",IF(IFERROR(SEARCH("급여",E56),0)&gt;0,"인건비",IF(IFERROR(SEARCH("임차",E56),0)&gt;0,"임차·시설",IF(IFERROR(SEARCH("광고",E56),0)&gt;0,"광고·행사",IF(IFERROR(SEARCH("용역",E56),0)&gt;0,"용역·수수료","기타/불명"))))))</x:f>
      </x:c>
      <x:c r="J56" s="77" t="str">
        <x:f>IF(A56="","",IF(I56="기타/불명","확인 필요","결의서명으로 1차 확인"))</x:f>
      </x:c>
      <x:c r="K56" s="78"/>
    </x:row>
    <x:row r="57">
      <x:c r="A57" s="73"/>
      <x:c r="B57" s="73"/>
      <x:c r="C57" s="74"/>
      <x:c r="D57" s="73"/>
      <x:c r="E57" s="73"/>
      <x:c r="F57" s="75"/>
      <x:c r="G57" s="75"/>
      <x:c r="H57" s="76" t="str">
        <x:f>IF(A57="","",F57-G57)</x:f>
      </x:c>
      <x:c r="I57" s="77" t="str">
        <x:f>IF(A57="","",IF(E57="","기타/불명",IF(IFERROR(SEARCH("급여",E57),0)&gt;0,"인건비",IF(IFERROR(SEARCH("임차",E57),0)&gt;0,"임차·시설",IF(IFERROR(SEARCH("광고",E57),0)&gt;0,"광고·행사",IF(IFERROR(SEARCH("용역",E57),0)&gt;0,"용역·수수료","기타/불명"))))))</x:f>
      </x:c>
      <x:c r="J57" s="77" t="str">
        <x:f>IF(A57="","",IF(I57="기타/불명","확인 필요","결의서명으로 1차 확인"))</x:f>
      </x:c>
      <x:c r="K57" s="78"/>
    </x:row>
    <x:row r="58">
      <x:c r="A58" s="73"/>
      <x:c r="B58" s="73"/>
      <x:c r="C58" s="74"/>
      <x:c r="D58" s="73"/>
      <x:c r="E58" s="73"/>
      <x:c r="F58" s="75"/>
      <x:c r="G58" s="75"/>
      <x:c r="H58" s="76" t="str">
        <x:f>IF(A58="","",F58-G58)</x:f>
      </x:c>
      <x:c r="I58" s="77" t="str">
        <x:f>IF(A58="","",IF(E58="","기타/불명",IF(IFERROR(SEARCH("급여",E58),0)&gt;0,"인건비",IF(IFERROR(SEARCH("임차",E58),0)&gt;0,"임차·시설",IF(IFERROR(SEARCH("광고",E58),0)&gt;0,"광고·행사",IF(IFERROR(SEARCH("용역",E58),0)&gt;0,"용역·수수료","기타/불명"))))))</x:f>
      </x:c>
      <x:c r="J58" s="77" t="str">
        <x:f>IF(A58="","",IF(I58="기타/불명","확인 필요","결의서명으로 1차 확인"))</x:f>
      </x:c>
      <x:c r="K58" s="78"/>
    </x:row>
    <x:row r="59">
      <x:c r="A59" s="73"/>
      <x:c r="B59" s="73"/>
      <x:c r="C59" s="74"/>
      <x:c r="D59" s="73"/>
      <x:c r="E59" s="73"/>
      <x:c r="F59" s="75"/>
      <x:c r="G59" s="75"/>
      <x:c r="H59" s="76" t="str">
        <x:f>IF(A59="","",F59-G59)</x:f>
      </x:c>
      <x:c r="I59" s="77" t="str">
        <x:f>IF(A59="","",IF(E59="","기타/불명",IF(IFERROR(SEARCH("급여",E59),0)&gt;0,"인건비",IF(IFERROR(SEARCH("임차",E59),0)&gt;0,"임차·시설",IF(IFERROR(SEARCH("광고",E59),0)&gt;0,"광고·행사",IF(IFERROR(SEARCH("용역",E59),0)&gt;0,"용역·수수료","기타/불명"))))))</x:f>
      </x:c>
      <x:c r="J59" s="77" t="str">
        <x:f>IF(A59="","",IF(I59="기타/불명","확인 필요","결의서명으로 1차 확인"))</x:f>
      </x:c>
      <x:c r="K59" s="78"/>
    </x:row>
    <x:row r="60">
      <x:c r="A60" s="73"/>
      <x:c r="B60" s="73"/>
      <x:c r="C60" s="74"/>
      <x:c r="D60" s="73"/>
      <x:c r="E60" s="73"/>
      <x:c r="F60" s="75"/>
      <x:c r="G60" s="75"/>
      <x:c r="H60" s="76" t="str">
        <x:f>IF(A60="","",F60-G60)</x:f>
      </x:c>
      <x:c r="I60" s="77" t="str">
        <x:f>IF(A60="","",IF(E60="","기타/불명",IF(IFERROR(SEARCH("급여",E60),0)&gt;0,"인건비",IF(IFERROR(SEARCH("임차",E60),0)&gt;0,"임차·시설",IF(IFERROR(SEARCH("광고",E60),0)&gt;0,"광고·행사",IF(IFERROR(SEARCH("용역",E60),0)&gt;0,"용역·수수료","기타/불명"))))))</x:f>
      </x:c>
      <x:c r="J60" s="77" t="str">
        <x:f>IF(A60="","",IF(I60="기타/불명","확인 필요","결의서명으로 1차 확인"))</x:f>
      </x:c>
      <x:c r="K60" s="78"/>
    </x:row>
    <x:row r="61">
      <x:c r="A61" s="73"/>
      <x:c r="B61" s="73"/>
      <x:c r="C61" s="74"/>
      <x:c r="D61" s="73"/>
      <x:c r="E61" s="73"/>
      <x:c r="F61" s="75"/>
      <x:c r="G61" s="75"/>
      <x:c r="H61" s="76" t="str">
        <x:f>IF(A61="","",F61-G61)</x:f>
      </x:c>
      <x:c r="I61" s="77" t="str">
        <x:f>IF(A61="","",IF(E61="","기타/불명",IF(IFERROR(SEARCH("급여",E61),0)&gt;0,"인건비",IF(IFERROR(SEARCH("임차",E61),0)&gt;0,"임차·시설",IF(IFERROR(SEARCH("광고",E61),0)&gt;0,"광고·행사",IF(IFERROR(SEARCH("용역",E61),0)&gt;0,"용역·수수료","기타/불명"))))))</x:f>
      </x:c>
      <x:c r="J61" s="77" t="str">
        <x:f>IF(A61="","",IF(I61="기타/불명","확인 필요","결의서명으로 1차 확인"))</x:f>
      </x:c>
      <x:c r="K61" s="78"/>
    </x:row>
    <x:row r="62">
      <x:c r="A62" s="73"/>
      <x:c r="B62" s="73"/>
      <x:c r="C62" s="74"/>
      <x:c r="D62" s="73"/>
      <x:c r="E62" s="73"/>
      <x:c r="F62" s="75"/>
      <x:c r="G62" s="75"/>
      <x:c r="H62" s="76" t="str">
        <x:f>IF(A62="","",F62-G62)</x:f>
      </x:c>
      <x:c r="I62" s="77" t="str">
        <x:f>IF(A62="","",IF(E62="","기타/불명",IF(IFERROR(SEARCH("급여",E62),0)&gt;0,"인건비",IF(IFERROR(SEARCH("임차",E62),0)&gt;0,"임차·시설",IF(IFERROR(SEARCH("광고",E62),0)&gt;0,"광고·행사",IF(IFERROR(SEARCH("용역",E62),0)&gt;0,"용역·수수료","기타/불명"))))))</x:f>
      </x:c>
      <x:c r="J62" s="77" t="str">
        <x:f>IF(A62="","",IF(I62="기타/불명","확인 필요","결의서명으로 1차 확인"))</x:f>
      </x:c>
      <x:c r="K62" s="78"/>
    </x:row>
    <x:row r="63">
      <x:c r="A63" s="73"/>
      <x:c r="B63" s="73"/>
      <x:c r="C63" s="74"/>
      <x:c r="D63" s="73"/>
      <x:c r="E63" s="73"/>
      <x:c r="F63" s="75"/>
      <x:c r="G63" s="75"/>
      <x:c r="H63" s="76" t="str">
        <x:f>IF(A63="","",F63-G63)</x:f>
      </x:c>
      <x:c r="I63" s="77" t="str">
        <x:f>IF(A63="","",IF(E63="","기타/불명",IF(IFERROR(SEARCH("급여",E63),0)&gt;0,"인건비",IF(IFERROR(SEARCH("임차",E63),0)&gt;0,"임차·시설",IF(IFERROR(SEARCH("광고",E63),0)&gt;0,"광고·행사",IF(IFERROR(SEARCH("용역",E63),0)&gt;0,"용역·수수료","기타/불명"))))))</x:f>
      </x:c>
      <x:c r="J63" s="77" t="str">
        <x:f>IF(A63="","",IF(I63="기타/불명","확인 필요","결의서명으로 1차 확인"))</x:f>
      </x:c>
      <x:c r="K63" s="78"/>
    </x:row>
    <x:row r="64">
      <x:c r="A64" s="73"/>
      <x:c r="B64" s="73"/>
      <x:c r="C64" s="74"/>
      <x:c r="D64" s="73"/>
      <x:c r="E64" s="73"/>
      <x:c r="F64" s="75"/>
      <x:c r="G64" s="75"/>
      <x:c r="H64" s="76" t="str">
        <x:f>IF(A64="","",F64-G64)</x:f>
      </x:c>
      <x:c r="I64" s="77" t="str">
        <x:f>IF(A64="","",IF(E64="","기타/불명",IF(IFERROR(SEARCH("급여",E64),0)&gt;0,"인건비",IF(IFERROR(SEARCH("임차",E64),0)&gt;0,"임차·시설",IF(IFERROR(SEARCH("광고",E64),0)&gt;0,"광고·행사",IF(IFERROR(SEARCH("용역",E64),0)&gt;0,"용역·수수료","기타/불명"))))))</x:f>
      </x:c>
      <x:c r="J64" s="77" t="str">
        <x:f>IF(A64="","",IF(I64="기타/불명","확인 필요","결의서명으로 1차 확인"))</x:f>
      </x:c>
      <x:c r="K64" s="78"/>
    </x:row>
    <x:row r="65">
      <x:c r="A65" s="73"/>
      <x:c r="B65" s="73"/>
      <x:c r="C65" s="74"/>
      <x:c r="D65" s="73"/>
      <x:c r="E65" s="73"/>
      <x:c r="F65" s="75"/>
      <x:c r="G65" s="75"/>
      <x:c r="H65" s="76" t="str">
        <x:f>IF(A65="","",F65-G65)</x:f>
      </x:c>
      <x:c r="I65" s="77" t="str">
        <x:f>IF(A65="","",IF(E65="","기타/불명",IF(IFERROR(SEARCH("급여",E65),0)&gt;0,"인건비",IF(IFERROR(SEARCH("임차",E65),0)&gt;0,"임차·시설",IF(IFERROR(SEARCH("광고",E65),0)&gt;0,"광고·행사",IF(IFERROR(SEARCH("용역",E65),0)&gt;0,"용역·수수료","기타/불명"))))))</x:f>
      </x:c>
      <x:c r="J65" s="77" t="str">
        <x:f>IF(A65="","",IF(I65="기타/불명","확인 필요","결의서명으로 1차 확인"))</x:f>
      </x:c>
      <x:c r="K65" s="78"/>
    </x:row>
    <x:row r="66">
      <x:c r="A66" s="73"/>
      <x:c r="B66" s="73"/>
      <x:c r="C66" s="74"/>
      <x:c r="D66" s="73"/>
      <x:c r="E66" s="73"/>
      <x:c r="F66" s="75"/>
      <x:c r="G66" s="75"/>
      <x:c r="H66" s="76" t="str">
        <x:f>IF(A66="","",F66-G66)</x:f>
      </x:c>
      <x:c r="I66" s="77" t="str">
        <x:f>IF(A66="","",IF(E66="","기타/불명",IF(IFERROR(SEARCH("급여",E66),0)&gt;0,"인건비",IF(IFERROR(SEARCH("임차",E66),0)&gt;0,"임차·시설",IF(IFERROR(SEARCH("광고",E66),0)&gt;0,"광고·행사",IF(IFERROR(SEARCH("용역",E66),0)&gt;0,"용역·수수료","기타/불명"))))))</x:f>
      </x:c>
      <x:c r="J66" s="77" t="str">
        <x:f>IF(A66="","",IF(I66="기타/불명","확인 필요","결의서명으로 1차 확인"))</x:f>
      </x:c>
      <x:c r="K66" s="78"/>
    </x:row>
    <x:row r="67">
      <x:c r="A67" s="73"/>
      <x:c r="B67" s="73"/>
      <x:c r="C67" s="74"/>
      <x:c r="D67" s="73"/>
      <x:c r="E67" s="73"/>
      <x:c r="F67" s="75"/>
      <x:c r="G67" s="75"/>
      <x:c r="H67" s="76" t="str">
        <x:f>IF(A67="","",F67-G67)</x:f>
      </x:c>
      <x:c r="I67" s="77" t="str">
        <x:f>IF(A67="","",IF(E67="","기타/불명",IF(IFERROR(SEARCH("급여",E67),0)&gt;0,"인건비",IF(IFERROR(SEARCH("임차",E67),0)&gt;0,"임차·시설",IF(IFERROR(SEARCH("광고",E67),0)&gt;0,"광고·행사",IF(IFERROR(SEARCH("용역",E67),0)&gt;0,"용역·수수료","기타/불명"))))))</x:f>
      </x:c>
      <x:c r="J67" s="77" t="str">
        <x:f>IF(A67="","",IF(I67="기타/불명","확인 필요","결의서명으로 1차 확인"))</x:f>
      </x:c>
      <x:c r="K67" s="78"/>
    </x:row>
    <x:row r="68">
      <x:c r="A68" s="73"/>
      <x:c r="B68" s="73"/>
      <x:c r="C68" s="74"/>
      <x:c r="D68" s="73"/>
      <x:c r="E68" s="73"/>
      <x:c r="F68" s="75"/>
      <x:c r="G68" s="75"/>
      <x:c r="H68" s="76" t="str">
        <x:f>IF(A68="","",F68-G68)</x:f>
      </x:c>
      <x:c r="I68" s="77" t="str">
        <x:f>IF(A68="","",IF(E68="","기타/불명",IF(IFERROR(SEARCH("급여",E68),0)&gt;0,"인건비",IF(IFERROR(SEARCH("임차",E68),0)&gt;0,"임차·시설",IF(IFERROR(SEARCH("광고",E68),0)&gt;0,"광고·행사",IF(IFERROR(SEARCH("용역",E68),0)&gt;0,"용역·수수료","기타/불명"))))))</x:f>
      </x:c>
      <x:c r="J68" s="77" t="str">
        <x:f>IF(A68="","",IF(I68="기타/불명","확인 필요","결의서명으로 1차 확인"))</x:f>
      </x:c>
      <x:c r="K68" s="78"/>
    </x:row>
    <x:row r="69">
      <x:c r="A69" s="73"/>
      <x:c r="B69" s="73"/>
      <x:c r="C69" s="74"/>
      <x:c r="D69" s="73"/>
      <x:c r="E69" s="73"/>
      <x:c r="F69" s="75"/>
      <x:c r="G69" s="75"/>
      <x:c r="H69" s="76" t="str">
        <x:f>IF(A69="","",F69-G69)</x:f>
      </x:c>
      <x:c r="I69" s="77" t="str">
        <x:f>IF(A69="","",IF(E69="","기타/불명",IF(IFERROR(SEARCH("급여",E69),0)&gt;0,"인건비",IF(IFERROR(SEARCH("임차",E69),0)&gt;0,"임차·시설",IF(IFERROR(SEARCH("광고",E69),0)&gt;0,"광고·행사",IF(IFERROR(SEARCH("용역",E69),0)&gt;0,"용역·수수료","기타/불명"))))))</x:f>
      </x:c>
      <x:c r="J69" s="77" t="str">
        <x:f>IF(A69="","",IF(I69="기타/불명","확인 필요","결의서명으로 1차 확인"))</x:f>
      </x:c>
      <x:c r="K69" s="78"/>
    </x:row>
    <x:row r="70">
      <x:c r="A70" s="73"/>
      <x:c r="B70" s="73"/>
      <x:c r="C70" s="74"/>
      <x:c r="D70" s="73"/>
      <x:c r="E70" s="73"/>
      <x:c r="F70" s="75"/>
      <x:c r="G70" s="75"/>
      <x:c r="H70" s="76" t="str">
        <x:f>IF(A70="","",F70-G70)</x:f>
      </x:c>
      <x:c r="I70" s="77" t="str">
        <x:f>IF(A70="","",IF(E70="","기타/불명",IF(IFERROR(SEARCH("급여",E70),0)&gt;0,"인건비",IF(IFERROR(SEARCH("임차",E70),0)&gt;0,"임차·시설",IF(IFERROR(SEARCH("광고",E70),0)&gt;0,"광고·행사",IF(IFERROR(SEARCH("용역",E70),0)&gt;0,"용역·수수료","기타/불명"))))))</x:f>
      </x:c>
      <x:c r="J70" s="77" t="str">
        <x:f>IF(A70="","",IF(I70="기타/불명","확인 필요","결의서명으로 1차 확인"))</x:f>
      </x:c>
      <x:c r="K70" s="78"/>
    </x:row>
    <x:row r="71">
      <x:c r="A71" s="73"/>
      <x:c r="B71" s="73"/>
      <x:c r="C71" s="74"/>
      <x:c r="D71" s="73"/>
      <x:c r="E71" s="73"/>
      <x:c r="F71" s="75"/>
      <x:c r="G71" s="75"/>
      <x:c r="H71" s="76" t="str">
        <x:f>IF(A71="","",F71-G71)</x:f>
      </x:c>
      <x:c r="I71" s="77" t="str">
        <x:f>IF(A71="","",IF(E71="","기타/불명",IF(IFERROR(SEARCH("급여",E71),0)&gt;0,"인건비",IF(IFERROR(SEARCH("임차",E71),0)&gt;0,"임차·시설",IF(IFERROR(SEARCH("광고",E71),0)&gt;0,"광고·행사",IF(IFERROR(SEARCH("용역",E71),0)&gt;0,"용역·수수료","기타/불명"))))))</x:f>
      </x:c>
      <x:c r="J71" s="77" t="str">
        <x:f>IF(A71="","",IF(I71="기타/불명","확인 필요","결의서명으로 1차 확인"))</x:f>
      </x:c>
      <x:c r="K71" s="78"/>
    </x:row>
    <x:row r="72">
      <x:c r="A72" s="73"/>
      <x:c r="B72" s="73"/>
      <x:c r="C72" s="74"/>
      <x:c r="D72" s="73"/>
      <x:c r="E72" s="73"/>
      <x:c r="F72" s="75"/>
      <x:c r="G72" s="75"/>
      <x:c r="H72" s="76" t="str">
        <x:f>IF(A72="","",F72-G72)</x:f>
      </x:c>
      <x:c r="I72" s="77" t="str">
        <x:f>IF(A72="","",IF(E72="","기타/불명",IF(IFERROR(SEARCH("급여",E72),0)&gt;0,"인건비",IF(IFERROR(SEARCH("임차",E72),0)&gt;0,"임차·시설",IF(IFERROR(SEARCH("광고",E72),0)&gt;0,"광고·행사",IF(IFERROR(SEARCH("용역",E72),0)&gt;0,"용역·수수료","기타/불명"))))))</x:f>
      </x:c>
      <x:c r="J72" s="77" t="str">
        <x:f>IF(A72="","",IF(I72="기타/불명","확인 필요","결의서명으로 1차 확인"))</x:f>
      </x:c>
      <x:c r="K72" s="78"/>
    </x:row>
    <x:row r="73">
      <x:c r="A73" s="73"/>
      <x:c r="B73" s="73"/>
      <x:c r="C73" s="74"/>
      <x:c r="D73" s="73"/>
      <x:c r="E73" s="73"/>
      <x:c r="F73" s="75"/>
      <x:c r="G73" s="75"/>
      <x:c r="H73" s="76" t="str">
        <x:f>IF(A73="","",F73-G73)</x:f>
      </x:c>
      <x:c r="I73" s="77" t="str">
        <x:f>IF(A73="","",IF(E73="","기타/불명",IF(IFERROR(SEARCH("급여",E73),0)&gt;0,"인건비",IF(IFERROR(SEARCH("임차",E73),0)&gt;0,"임차·시설",IF(IFERROR(SEARCH("광고",E73),0)&gt;0,"광고·행사",IF(IFERROR(SEARCH("용역",E73),0)&gt;0,"용역·수수료","기타/불명"))))))</x:f>
      </x:c>
      <x:c r="J73" s="77" t="str">
        <x:f>IF(A73="","",IF(I73="기타/불명","확인 필요","결의서명으로 1차 확인"))</x:f>
      </x:c>
      <x:c r="K73" s="78"/>
    </x:row>
    <x:row r="74">
      <x:c r="A74" s="73"/>
      <x:c r="B74" s="73"/>
      <x:c r="C74" s="74"/>
      <x:c r="D74" s="73"/>
      <x:c r="E74" s="73"/>
      <x:c r="F74" s="75"/>
      <x:c r="G74" s="75"/>
      <x:c r="H74" s="76" t="str">
        <x:f>IF(A74="","",F74-G74)</x:f>
      </x:c>
      <x:c r="I74" s="77" t="str">
        <x:f>IF(A74="","",IF(E74="","기타/불명",IF(IFERROR(SEARCH("급여",E74),0)&gt;0,"인건비",IF(IFERROR(SEARCH("임차",E74),0)&gt;0,"임차·시설",IF(IFERROR(SEARCH("광고",E74),0)&gt;0,"광고·행사",IF(IFERROR(SEARCH("용역",E74),0)&gt;0,"용역·수수료","기타/불명"))))))</x:f>
      </x:c>
      <x:c r="J74" s="77" t="str">
        <x:f>IF(A74="","",IF(I74="기타/불명","확인 필요","결의서명으로 1차 확인"))</x:f>
      </x:c>
      <x:c r="K74" s="78"/>
    </x:row>
    <x:row r="75">
      <x:c r="A75" s="73"/>
      <x:c r="B75" s="73"/>
      <x:c r="C75" s="74"/>
      <x:c r="D75" s="73"/>
      <x:c r="E75" s="73"/>
      <x:c r="F75" s="75"/>
      <x:c r="G75" s="75"/>
      <x:c r="H75" s="76" t="str">
        <x:f>IF(A75="","",F75-G75)</x:f>
      </x:c>
      <x:c r="I75" s="77" t="str">
        <x:f>IF(A75="","",IF(E75="","기타/불명",IF(IFERROR(SEARCH("급여",E75),0)&gt;0,"인건비",IF(IFERROR(SEARCH("임차",E75),0)&gt;0,"임차·시설",IF(IFERROR(SEARCH("광고",E75),0)&gt;0,"광고·행사",IF(IFERROR(SEARCH("용역",E75),0)&gt;0,"용역·수수료","기타/불명"))))))</x:f>
      </x:c>
      <x:c r="J75" s="77" t="str">
        <x:f>IF(A75="","",IF(I75="기타/불명","확인 필요","결의서명으로 1차 확인"))</x:f>
      </x:c>
      <x:c r="K75" s="78"/>
    </x:row>
    <x:row r="76">
      <x:c r="A76" s="73"/>
      <x:c r="B76" s="73"/>
      <x:c r="C76" s="74"/>
      <x:c r="D76" s="73"/>
      <x:c r="E76" s="73"/>
      <x:c r="F76" s="75"/>
      <x:c r="G76" s="75"/>
      <x:c r="H76" s="76" t="str">
        <x:f>IF(A76="","",F76-G76)</x:f>
      </x:c>
      <x:c r="I76" s="77" t="str">
        <x:f>IF(A76="","",IF(E76="","기타/불명",IF(IFERROR(SEARCH("급여",E76),0)&gt;0,"인건비",IF(IFERROR(SEARCH("임차",E76),0)&gt;0,"임차·시설",IF(IFERROR(SEARCH("광고",E76),0)&gt;0,"광고·행사",IF(IFERROR(SEARCH("용역",E76),0)&gt;0,"용역·수수료","기타/불명"))))))</x:f>
      </x:c>
      <x:c r="J76" s="77" t="str">
        <x:f>IF(A76="","",IF(I76="기타/불명","확인 필요","결의서명으로 1차 확인"))</x:f>
      </x:c>
      <x:c r="K76" s="78"/>
    </x:row>
    <x:row r="77">
      <x:c r="A77" s="73"/>
      <x:c r="B77" s="73"/>
      <x:c r="C77" s="74"/>
      <x:c r="D77" s="73"/>
      <x:c r="E77" s="73"/>
      <x:c r="F77" s="75"/>
      <x:c r="G77" s="75"/>
      <x:c r="H77" s="76" t="str">
        <x:f>IF(A77="","",F77-G77)</x:f>
      </x:c>
      <x:c r="I77" s="77" t="str">
        <x:f>IF(A77="","",IF(E77="","기타/불명",IF(IFERROR(SEARCH("급여",E77),0)&gt;0,"인건비",IF(IFERROR(SEARCH("임차",E77),0)&gt;0,"임차·시설",IF(IFERROR(SEARCH("광고",E77),0)&gt;0,"광고·행사",IF(IFERROR(SEARCH("용역",E77),0)&gt;0,"용역·수수료","기타/불명"))))))</x:f>
      </x:c>
      <x:c r="J77" s="77" t="str">
        <x:f>IF(A77="","",IF(I77="기타/불명","확인 필요","결의서명으로 1차 확인"))</x:f>
      </x:c>
      <x:c r="K77" s="78"/>
    </x:row>
    <x:row r="78">
      <x:c r="A78" s="73"/>
      <x:c r="B78" s="73"/>
      <x:c r="C78" s="74"/>
      <x:c r="D78" s="73"/>
      <x:c r="E78" s="73"/>
      <x:c r="F78" s="75"/>
      <x:c r="G78" s="75"/>
      <x:c r="H78" s="76" t="str">
        <x:f>IF(A78="","",F78-G78)</x:f>
      </x:c>
      <x:c r="I78" s="77" t="str">
        <x:f>IF(A78="","",IF(E78="","기타/불명",IF(IFERROR(SEARCH("급여",E78),0)&gt;0,"인건비",IF(IFERROR(SEARCH("임차",E78),0)&gt;0,"임차·시설",IF(IFERROR(SEARCH("광고",E78),0)&gt;0,"광고·행사",IF(IFERROR(SEARCH("용역",E78),0)&gt;0,"용역·수수료","기타/불명"))))))</x:f>
      </x:c>
      <x:c r="J78" s="77" t="str">
        <x:f>IF(A78="","",IF(I78="기타/불명","확인 필요","결의서명으로 1차 확인"))</x:f>
      </x:c>
      <x:c r="K78" s="78"/>
    </x:row>
    <x:row r="79">
      <x:c r="A79" s="73"/>
      <x:c r="B79" s="73"/>
      <x:c r="C79" s="74"/>
      <x:c r="D79" s="73"/>
      <x:c r="E79" s="73"/>
      <x:c r="F79" s="75"/>
      <x:c r="G79" s="75"/>
      <x:c r="H79" s="76" t="str">
        <x:f>IF(A79="","",F79-G79)</x:f>
      </x:c>
      <x:c r="I79" s="77" t="str">
        <x:f>IF(A79="","",IF(E79="","기타/불명",IF(IFERROR(SEARCH("급여",E79),0)&gt;0,"인건비",IF(IFERROR(SEARCH("임차",E79),0)&gt;0,"임차·시설",IF(IFERROR(SEARCH("광고",E79),0)&gt;0,"광고·행사",IF(IFERROR(SEARCH("용역",E79),0)&gt;0,"용역·수수료","기타/불명"))))))</x:f>
      </x:c>
      <x:c r="J79" s="77" t="str">
        <x:f>IF(A79="","",IF(I79="기타/불명","확인 필요","결의서명으로 1차 확인"))</x:f>
      </x:c>
      <x:c r="K79" s="78"/>
    </x:row>
    <x:row r="80">
      <x:c r="A80" s="73"/>
      <x:c r="B80" s="73"/>
      <x:c r="C80" s="74"/>
      <x:c r="D80" s="73"/>
      <x:c r="E80" s="73"/>
      <x:c r="F80" s="75"/>
      <x:c r="G80" s="75"/>
      <x:c r="H80" s="76" t="str">
        <x:f>IF(A80="","",F80-G80)</x:f>
      </x:c>
      <x:c r="I80" s="77" t="str">
        <x:f>IF(A80="","",IF(E80="","기타/불명",IF(IFERROR(SEARCH("급여",E80),0)&gt;0,"인건비",IF(IFERROR(SEARCH("임차",E80),0)&gt;0,"임차·시설",IF(IFERROR(SEARCH("광고",E80),0)&gt;0,"광고·행사",IF(IFERROR(SEARCH("용역",E80),0)&gt;0,"용역·수수료","기타/불명"))))))</x:f>
      </x:c>
      <x:c r="J80" s="77" t="str">
        <x:f>IF(A80="","",IF(I80="기타/불명","확인 필요","결의서명으로 1차 확인"))</x:f>
      </x:c>
      <x:c r="K80" s="78"/>
    </x:row>
    <x:row r="81">
      <x:c r="A81" s="73"/>
      <x:c r="B81" s="73"/>
      <x:c r="C81" s="74"/>
      <x:c r="D81" s="73"/>
      <x:c r="E81" s="73"/>
      <x:c r="F81" s="75"/>
      <x:c r="G81" s="75"/>
      <x:c r="H81" s="76" t="str">
        <x:f>IF(A81="","",F81-G81)</x:f>
      </x:c>
      <x:c r="I81" s="77" t="str">
        <x:f>IF(A81="","",IF(E81="","기타/불명",IF(IFERROR(SEARCH("급여",E81),0)&gt;0,"인건비",IF(IFERROR(SEARCH("임차",E81),0)&gt;0,"임차·시설",IF(IFERROR(SEARCH("광고",E81),0)&gt;0,"광고·행사",IF(IFERROR(SEARCH("용역",E81),0)&gt;0,"용역·수수료","기타/불명"))))))</x:f>
      </x:c>
      <x:c r="J81" s="77" t="str">
        <x:f>IF(A81="","",IF(I81="기타/불명","확인 필요","결의서명으로 1차 확인"))</x:f>
      </x:c>
      <x:c r="K81" s="78"/>
    </x:row>
    <x:row r="82">
      <x:c r="A82" s="73"/>
      <x:c r="B82" s="73"/>
      <x:c r="C82" s="74"/>
      <x:c r="D82" s="73"/>
      <x:c r="E82" s="73"/>
      <x:c r="F82" s="75"/>
      <x:c r="G82" s="75"/>
      <x:c r="H82" s="76" t="str">
        <x:f>IF(A82="","",F82-G82)</x:f>
      </x:c>
      <x:c r="I82" s="77" t="str">
        <x:f>IF(A82="","",IF(E82="","기타/불명",IF(IFERROR(SEARCH("급여",E82),0)&gt;0,"인건비",IF(IFERROR(SEARCH("임차",E82),0)&gt;0,"임차·시설",IF(IFERROR(SEARCH("광고",E82),0)&gt;0,"광고·행사",IF(IFERROR(SEARCH("용역",E82),0)&gt;0,"용역·수수료","기타/불명"))))))</x:f>
      </x:c>
      <x:c r="J82" s="77" t="str">
        <x:f>IF(A82="","",IF(I82="기타/불명","확인 필요","결의서명으로 1차 확인"))</x:f>
      </x:c>
      <x:c r="K82" s="78"/>
    </x:row>
    <x:row r="83">
      <x:c r="A83" s="73"/>
      <x:c r="B83" s="73"/>
      <x:c r="C83" s="74"/>
      <x:c r="D83" s="73"/>
      <x:c r="E83" s="73"/>
      <x:c r="F83" s="75"/>
      <x:c r="G83" s="75"/>
      <x:c r="H83" s="76" t="str">
        <x:f>IF(A83="","",F83-G83)</x:f>
      </x:c>
      <x:c r="I83" s="77" t="str">
        <x:f>IF(A83="","",IF(E83="","기타/불명",IF(IFERROR(SEARCH("급여",E83),0)&gt;0,"인건비",IF(IFERROR(SEARCH("임차",E83),0)&gt;0,"임차·시설",IF(IFERROR(SEARCH("광고",E83),0)&gt;0,"광고·행사",IF(IFERROR(SEARCH("용역",E83),0)&gt;0,"용역·수수료","기타/불명"))))))</x:f>
      </x:c>
      <x:c r="J83" s="77" t="str">
        <x:f>IF(A83="","",IF(I83="기타/불명","확인 필요","결의서명으로 1차 확인"))</x:f>
      </x:c>
      <x:c r="K83" s="78"/>
    </x:row>
    <x:row r="84">
      <x:c r="A84" s="73"/>
      <x:c r="B84" s="73"/>
      <x:c r="C84" s="74"/>
      <x:c r="D84" s="73"/>
      <x:c r="E84" s="73"/>
      <x:c r="F84" s="75"/>
      <x:c r="G84" s="75"/>
      <x:c r="H84" s="76" t="str">
        <x:f>IF(A84="","",F84-G84)</x:f>
      </x:c>
      <x:c r="I84" s="77" t="str">
        <x:f>IF(A84="","",IF(E84="","기타/불명",IF(IFERROR(SEARCH("급여",E84),0)&gt;0,"인건비",IF(IFERROR(SEARCH("임차",E84),0)&gt;0,"임차·시설",IF(IFERROR(SEARCH("광고",E84),0)&gt;0,"광고·행사",IF(IFERROR(SEARCH("용역",E84),0)&gt;0,"용역·수수료","기타/불명"))))))</x:f>
      </x:c>
      <x:c r="J84" s="77" t="str">
        <x:f>IF(A84="","",IF(I84="기타/불명","확인 필요","결의서명으로 1차 확인"))</x:f>
      </x:c>
      <x:c r="K84" s="78"/>
    </x:row>
    <x:row r="85">
      <x:c r="A85" s="73"/>
      <x:c r="B85" s="73"/>
      <x:c r="C85" s="74"/>
      <x:c r="D85" s="73"/>
      <x:c r="E85" s="73"/>
      <x:c r="F85" s="75"/>
      <x:c r="G85" s="75"/>
      <x:c r="H85" s="76" t="str">
        <x:f>IF(A85="","",F85-G85)</x:f>
      </x:c>
      <x:c r="I85" s="77" t="str">
        <x:f>IF(A85="","",IF(E85="","기타/불명",IF(IFERROR(SEARCH("급여",E85),0)&gt;0,"인건비",IF(IFERROR(SEARCH("임차",E85),0)&gt;0,"임차·시설",IF(IFERROR(SEARCH("광고",E85),0)&gt;0,"광고·행사",IF(IFERROR(SEARCH("용역",E85),0)&gt;0,"용역·수수료","기타/불명"))))))</x:f>
      </x:c>
      <x:c r="J85" s="77" t="str">
        <x:f>IF(A85="","",IF(I85="기타/불명","확인 필요","결의서명으로 1차 확인"))</x:f>
      </x:c>
      <x:c r="K85" s="78"/>
    </x:row>
    <x:row r="86">
      <x:c r="A86" s="73"/>
      <x:c r="B86" s="73"/>
      <x:c r="C86" s="74"/>
      <x:c r="D86" s="73"/>
      <x:c r="E86" s="73"/>
      <x:c r="F86" s="75"/>
      <x:c r="G86" s="75"/>
      <x:c r="H86" s="76" t="str">
        <x:f>IF(A86="","",F86-G86)</x:f>
      </x:c>
      <x:c r="I86" s="77" t="str">
        <x:f>IF(A86="","",IF(E86="","기타/불명",IF(IFERROR(SEARCH("급여",E86),0)&gt;0,"인건비",IF(IFERROR(SEARCH("임차",E86),0)&gt;0,"임차·시설",IF(IFERROR(SEARCH("광고",E86),0)&gt;0,"광고·행사",IF(IFERROR(SEARCH("용역",E86),0)&gt;0,"용역·수수료","기타/불명"))))))</x:f>
      </x:c>
      <x:c r="J86" s="77" t="str">
        <x:f>IF(A86="","",IF(I86="기타/불명","확인 필요","결의서명으로 1차 확인"))</x:f>
      </x:c>
      <x:c r="K86" s="78"/>
    </x:row>
    <x:row r="87">
      <x:c r="A87" s="73"/>
      <x:c r="B87" s="73"/>
      <x:c r="C87" s="74"/>
      <x:c r="D87" s="73"/>
      <x:c r="E87" s="73"/>
      <x:c r="F87" s="75"/>
      <x:c r="G87" s="75"/>
      <x:c r="H87" s="76" t="str">
        <x:f>IF(A87="","",F87-G87)</x:f>
      </x:c>
      <x:c r="I87" s="77" t="str">
        <x:f>IF(A87="","",IF(E87="","기타/불명",IF(IFERROR(SEARCH("급여",E87),0)&gt;0,"인건비",IF(IFERROR(SEARCH("임차",E87),0)&gt;0,"임차·시설",IF(IFERROR(SEARCH("광고",E87),0)&gt;0,"광고·행사",IF(IFERROR(SEARCH("용역",E87),0)&gt;0,"용역·수수료","기타/불명"))))))</x:f>
      </x:c>
      <x:c r="J87" s="77" t="str">
        <x:f>IF(A87="","",IF(I87="기타/불명","확인 필요","결의서명으로 1차 확인"))</x:f>
      </x:c>
      <x:c r="K87" s="78"/>
    </x:row>
    <x:row r="88">
      <x:c r="A88" s="73"/>
      <x:c r="B88" s="73"/>
      <x:c r="C88" s="74"/>
      <x:c r="D88" s="73"/>
      <x:c r="E88" s="73"/>
      <x:c r="F88" s="75"/>
      <x:c r="G88" s="75"/>
      <x:c r="H88" s="76" t="str">
        <x:f>IF(A88="","",F88-G88)</x:f>
      </x:c>
      <x:c r="I88" s="77" t="str">
        <x:f>IF(A88="","",IF(E88="","기타/불명",IF(IFERROR(SEARCH("급여",E88),0)&gt;0,"인건비",IF(IFERROR(SEARCH("임차",E88),0)&gt;0,"임차·시설",IF(IFERROR(SEARCH("광고",E88),0)&gt;0,"광고·행사",IF(IFERROR(SEARCH("용역",E88),0)&gt;0,"용역·수수료","기타/불명"))))))</x:f>
      </x:c>
      <x:c r="J88" s="77" t="str">
        <x:f>IF(A88="","",IF(I88="기타/불명","확인 필요","결의서명으로 1차 확인"))</x:f>
      </x:c>
      <x:c r="K88" s="78"/>
    </x:row>
    <x:row r="89">
      <x:c r="A89" s="73"/>
      <x:c r="B89" s="73"/>
      <x:c r="C89" s="74"/>
      <x:c r="D89" s="73"/>
      <x:c r="E89" s="73"/>
      <x:c r="F89" s="75"/>
      <x:c r="G89" s="75"/>
      <x:c r="H89" s="76" t="str">
        <x:f>IF(A89="","",F89-G89)</x:f>
      </x:c>
      <x:c r="I89" s="77" t="str">
        <x:f>IF(A89="","",IF(E89="","기타/불명",IF(IFERROR(SEARCH("급여",E89),0)&gt;0,"인건비",IF(IFERROR(SEARCH("임차",E89),0)&gt;0,"임차·시설",IF(IFERROR(SEARCH("광고",E89),0)&gt;0,"광고·행사",IF(IFERROR(SEARCH("용역",E89),0)&gt;0,"용역·수수료","기타/불명"))))))</x:f>
      </x:c>
      <x:c r="J89" s="77" t="str">
        <x:f>IF(A89="","",IF(I89="기타/불명","확인 필요","결의서명으로 1차 확인"))</x:f>
      </x:c>
      <x:c r="K89" s="78"/>
    </x:row>
    <x:row r="90">
      <x:c r="A90" s="73"/>
      <x:c r="B90" s="73"/>
      <x:c r="C90" s="74"/>
      <x:c r="D90" s="73"/>
      <x:c r="E90" s="73"/>
      <x:c r="F90" s="75"/>
      <x:c r="G90" s="75"/>
      <x:c r="H90" s="76" t="str">
        <x:f>IF(A90="","",F90-G90)</x:f>
      </x:c>
      <x:c r="I90" s="77" t="str">
        <x:f>IF(A90="","",IF(E90="","기타/불명",IF(IFERROR(SEARCH("급여",E90),0)&gt;0,"인건비",IF(IFERROR(SEARCH("임차",E90),0)&gt;0,"임차·시설",IF(IFERROR(SEARCH("광고",E90),0)&gt;0,"광고·행사",IF(IFERROR(SEARCH("용역",E90),0)&gt;0,"용역·수수료","기타/불명"))))))</x:f>
      </x:c>
      <x:c r="J90" s="77" t="str">
        <x:f>IF(A90="","",IF(I90="기타/불명","확인 필요","결의서명으로 1차 확인"))</x:f>
      </x:c>
      <x:c r="K90" s="78"/>
    </x:row>
    <x:row r="91">
      <x:c r="A91" s="73"/>
      <x:c r="B91" s="73"/>
      <x:c r="C91" s="74"/>
      <x:c r="D91" s="73"/>
      <x:c r="E91" s="73"/>
      <x:c r="F91" s="75"/>
      <x:c r="G91" s="75"/>
      <x:c r="H91" s="76" t="str">
        <x:f>IF(A91="","",F91-G91)</x:f>
      </x:c>
      <x:c r="I91" s="77" t="str">
        <x:f>IF(A91="","",IF(E91="","기타/불명",IF(IFERROR(SEARCH("급여",E91),0)&gt;0,"인건비",IF(IFERROR(SEARCH("임차",E91),0)&gt;0,"임차·시설",IF(IFERROR(SEARCH("광고",E91),0)&gt;0,"광고·행사",IF(IFERROR(SEARCH("용역",E91),0)&gt;0,"용역·수수료","기타/불명"))))))</x:f>
      </x:c>
      <x:c r="J91" s="77" t="str">
        <x:f>IF(A91="","",IF(I91="기타/불명","확인 필요","결의서명으로 1차 확인"))</x:f>
      </x:c>
      <x:c r="K91" s="78"/>
    </x:row>
    <x:row r="92">
      <x:c r="A92" s="73"/>
      <x:c r="B92" s="73"/>
      <x:c r="C92" s="74"/>
      <x:c r="D92" s="73"/>
      <x:c r="E92" s="73"/>
      <x:c r="F92" s="75"/>
      <x:c r="G92" s="75"/>
      <x:c r="H92" s="76" t="str">
        <x:f>IF(A92="","",F92-G92)</x:f>
      </x:c>
      <x:c r="I92" s="77" t="str">
        <x:f>IF(A92="","",IF(E92="","기타/불명",IF(IFERROR(SEARCH("급여",E92),0)&gt;0,"인건비",IF(IFERROR(SEARCH("임차",E92),0)&gt;0,"임차·시설",IF(IFERROR(SEARCH("광고",E92),0)&gt;0,"광고·행사",IF(IFERROR(SEARCH("용역",E92),0)&gt;0,"용역·수수료","기타/불명"))))))</x:f>
      </x:c>
      <x:c r="J92" s="77" t="str">
        <x:f>IF(A92="","",IF(I92="기타/불명","확인 필요","결의서명으로 1차 확인"))</x:f>
      </x:c>
      <x:c r="K92" s="78"/>
    </x:row>
    <x:row r="93">
      <x:c r="A93" s="73"/>
      <x:c r="B93" s="73"/>
      <x:c r="C93" s="74"/>
      <x:c r="D93" s="73"/>
      <x:c r="E93" s="73"/>
      <x:c r="F93" s="75"/>
      <x:c r="G93" s="75"/>
      <x:c r="H93" s="76" t="str">
        <x:f>IF(A93="","",F93-G93)</x:f>
      </x:c>
      <x:c r="I93" s="77" t="str">
        <x:f>IF(A93="","",IF(E93="","기타/불명",IF(IFERROR(SEARCH("급여",E93),0)&gt;0,"인건비",IF(IFERROR(SEARCH("임차",E93),0)&gt;0,"임차·시설",IF(IFERROR(SEARCH("광고",E93),0)&gt;0,"광고·행사",IF(IFERROR(SEARCH("용역",E93),0)&gt;0,"용역·수수료","기타/불명"))))))</x:f>
      </x:c>
      <x:c r="J93" s="77" t="str">
        <x:f>IF(A93="","",IF(I93="기타/불명","확인 필요","결의서명으로 1차 확인"))</x:f>
      </x:c>
      <x:c r="K93" s="78"/>
    </x:row>
    <x:row r="94">
      <x:c r="A94" s="73"/>
      <x:c r="B94" s="73"/>
      <x:c r="C94" s="74"/>
      <x:c r="D94" s="73"/>
      <x:c r="E94" s="73"/>
      <x:c r="F94" s="75"/>
      <x:c r="G94" s="75"/>
      <x:c r="H94" s="76" t="str">
        <x:f>IF(A94="","",F94-G94)</x:f>
      </x:c>
      <x:c r="I94" s="77" t="str">
        <x:f>IF(A94="","",IF(E94="","기타/불명",IF(IFERROR(SEARCH("급여",E94),0)&gt;0,"인건비",IF(IFERROR(SEARCH("임차",E94),0)&gt;0,"임차·시설",IF(IFERROR(SEARCH("광고",E94),0)&gt;0,"광고·행사",IF(IFERROR(SEARCH("용역",E94),0)&gt;0,"용역·수수료","기타/불명"))))))</x:f>
      </x:c>
      <x:c r="J94" s="77" t="str">
        <x:f>IF(A94="","",IF(I94="기타/불명","확인 필요","결의서명으로 1차 확인"))</x:f>
      </x:c>
      <x:c r="K94" s="78"/>
    </x:row>
    <x:row r="95">
      <x:c r="A95" s="73"/>
      <x:c r="B95" s="73"/>
      <x:c r="C95" s="74"/>
      <x:c r="D95" s="73"/>
      <x:c r="E95" s="73"/>
      <x:c r="F95" s="75"/>
      <x:c r="G95" s="75"/>
      <x:c r="H95" s="76" t="str">
        <x:f>IF(A95="","",F95-G95)</x:f>
      </x:c>
      <x:c r="I95" s="77" t="str">
        <x:f>IF(A95="","",IF(E95="","기타/불명",IF(IFERROR(SEARCH("급여",E95),0)&gt;0,"인건비",IF(IFERROR(SEARCH("임차",E95),0)&gt;0,"임차·시설",IF(IFERROR(SEARCH("광고",E95),0)&gt;0,"광고·행사",IF(IFERROR(SEARCH("용역",E95),0)&gt;0,"용역·수수료","기타/불명"))))))</x:f>
      </x:c>
      <x:c r="J95" s="77" t="str">
        <x:f>IF(A95="","",IF(I95="기타/불명","확인 필요","결의서명으로 1차 확인"))</x:f>
      </x:c>
      <x:c r="K95" s="78"/>
    </x:row>
    <x:row r="96">
      <x:c r="A96" s="73"/>
      <x:c r="B96" s="73"/>
      <x:c r="C96" s="74"/>
      <x:c r="D96" s="73"/>
      <x:c r="E96" s="73"/>
      <x:c r="F96" s="75"/>
      <x:c r="G96" s="75"/>
      <x:c r="H96" s="76" t="str">
        <x:f>IF(A96="","",F96-G96)</x:f>
      </x:c>
      <x:c r="I96" s="77" t="str">
        <x:f>IF(A96="","",IF(E96="","기타/불명",IF(IFERROR(SEARCH("급여",E96),0)&gt;0,"인건비",IF(IFERROR(SEARCH("임차",E96),0)&gt;0,"임차·시설",IF(IFERROR(SEARCH("광고",E96),0)&gt;0,"광고·행사",IF(IFERROR(SEARCH("용역",E96),0)&gt;0,"용역·수수료","기타/불명"))))))</x:f>
      </x:c>
      <x:c r="J96" s="77" t="str">
        <x:f>IF(A96="","",IF(I96="기타/불명","확인 필요","결의서명으로 1차 확인"))</x:f>
      </x:c>
      <x:c r="K96" s="78"/>
    </x:row>
    <x:row r="97">
      <x:c r="A97" s="73"/>
      <x:c r="B97" s="73"/>
      <x:c r="C97" s="74"/>
      <x:c r="D97" s="73"/>
      <x:c r="E97" s="73"/>
      <x:c r="F97" s="75"/>
      <x:c r="G97" s="75"/>
      <x:c r="H97" s="76" t="str">
        <x:f>IF(A97="","",F97-G97)</x:f>
      </x:c>
      <x:c r="I97" s="77" t="str">
        <x:f>IF(A97="","",IF(E97="","기타/불명",IF(IFERROR(SEARCH("급여",E97),0)&gt;0,"인건비",IF(IFERROR(SEARCH("임차",E97),0)&gt;0,"임차·시설",IF(IFERROR(SEARCH("광고",E97),0)&gt;0,"광고·행사",IF(IFERROR(SEARCH("용역",E97),0)&gt;0,"용역·수수료","기타/불명"))))))</x:f>
      </x:c>
      <x:c r="J97" s="77" t="str">
        <x:f>IF(A97="","",IF(I97="기타/불명","확인 필요","결의서명으로 1차 확인"))</x:f>
      </x:c>
      <x:c r="K97" s="78"/>
    </x:row>
    <x:row r="98">
      <x:c r="A98" s="73"/>
      <x:c r="B98" s="73"/>
      <x:c r="C98" s="74"/>
      <x:c r="D98" s="73"/>
      <x:c r="E98" s="73"/>
      <x:c r="F98" s="75"/>
      <x:c r="G98" s="75"/>
      <x:c r="H98" s="76" t="str">
        <x:f>IF(A98="","",F98-G98)</x:f>
      </x:c>
      <x:c r="I98" s="77" t="str">
        <x:f>IF(A98="","",IF(E98="","기타/불명",IF(IFERROR(SEARCH("급여",E98),0)&gt;0,"인건비",IF(IFERROR(SEARCH("임차",E98),0)&gt;0,"임차·시설",IF(IFERROR(SEARCH("광고",E98),0)&gt;0,"광고·행사",IF(IFERROR(SEARCH("용역",E98),0)&gt;0,"용역·수수료","기타/불명"))))))</x:f>
      </x:c>
      <x:c r="J98" s="77" t="str">
        <x:f>IF(A98="","",IF(I98="기타/불명","확인 필요","결의서명으로 1차 확인"))</x:f>
      </x:c>
      <x:c r="K98" s="78"/>
    </x:row>
    <x:row r="99">
      <x:c r="A99" s="73"/>
      <x:c r="B99" s="73"/>
      <x:c r="C99" s="74"/>
      <x:c r="D99" s="73"/>
      <x:c r="E99" s="73"/>
      <x:c r="F99" s="75"/>
      <x:c r="G99" s="75"/>
      <x:c r="H99" s="76" t="str">
        <x:f>IF(A99="","",F99-G99)</x:f>
      </x:c>
      <x:c r="I99" s="77" t="str">
        <x:f>IF(A99="","",IF(E99="","기타/불명",IF(IFERROR(SEARCH("급여",E99),0)&gt;0,"인건비",IF(IFERROR(SEARCH("임차",E99),0)&gt;0,"임차·시설",IF(IFERROR(SEARCH("광고",E99),0)&gt;0,"광고·행사",IF(IFERROR(SEARCH("용역",E99),0)&gt;0,"용역·수수료","기타/불명"))))))</x:f>
      </x:c>
      <x:c r="J99" s="77" t="str">
        <x:f>IF(A99="","",IF(I99="기타/불명","확인 필요","결의서명으로 1차 확인"))</x:f>
      </x:c>
      <x:c r="K99" s="78"/>
    </x:row>
    <x:row r="100">
      <x:c r="A100" s="73"/>
      <x:c r="B100" s="73"/>
      <x:c r="C100" s="74"/>
      <x:c r="D100" s="73"/>
      <x:c r="E100" s="73"/>
      <x:c r="F100" s="75"/>
      <x:c r="G100" s="75"/>
      <x:c r="H100" s="76" t="str">
        <x:f>IF(A100="","",F100-G100)</x:f>
      </x:c>
      <x:c r="I100" s="77" t="str">
        <x:f>IF(A100="","",IF(E100="","기타/불명",IF(IFERROR(SEARCH("급여",E100),0)&gt;0,"인건비",IF(IFERROR(SEARCH("임차",E100),0)&gt;0,"임차·시설",IF(IFERROR(SEARCH("광고",E100),0)&gt;0,"광고·행사",IF(IFERROR(SEARCH("용역",E100),0)&gt;0,"용역·수수료","기타/불명"))))))</x:f>
      </x:c>
      <x:c r="J100" s="77" t="str">
        <x:f>IF(A100="","",IF(I100="기타/불명","확인 필요","결의서명으로 1차 확인"))</x:f>
      </x:c>
      <x:c r="K100" s="78"/>
    </x:row>
    <x:row r="101">
      <x:c r="A101" s="73"/>
      <x:c r="B101" s="73"/>
      <x:c r="C101" s="74"/>
      <x:c r="D101" s="73"/>
      <x:c r="E101" s="73"/>
      <x:c r="F101" s="75"/>
      <x:c r="G101" s="75"/>
      <x:c r="H101" s="76" t="str">
        <x:f>IF(A101="","",F101-G101)</x:f>
      </x:c>
      <x:c r="I101" s="77" t="str">
        <x:f>IF(A101="","",IF(E101="","기타/불명",IF(IFERROR(SEARCH("급여",E101),0)&gt;0,"인건비",IF(IFERROR(SEARCH("임차",E101),0)&gt;0,"임차·시설",IF(IFERROR(SEARCH("광고",E101),0)&gt;0,"광고·행사",IF(IFERROR(SEARCH("용역",E101),0)&gt;0,"용역·수수료","기타/불명"))))))</x:f>
      </x:c>
      <x:c r="J101" s="77" t="str">
        <x:f>IF(A101="","",IF(I101="기타/불명","확인 필요","결의서명으로 1차 확인"))</x:f>
      </x:c>
      <x:c r="K101" s="78"/>
    </x:row>
    <x:row r="102">
      <x:c r="A102" s="73"/>
      <x:c r="B102" s="73"/>
      <x:c r="C102" s="74"/>
      <x:c r="D102" s="73"/>
      <x:c r="E102" s="73"/>
      <x:c r="F102" s="75"/>
      <x:c r="G102" s="75"/>
      <x:c r="H102" s="76" t="str">
        <x:f>IF(A102="","",F102-G102)</x:f>
      </x:c>
      <x:c r="I102" s="77" t="str">
        <x:f>IF(A102="","",IF(E102="","기타/불명",IF(IFERROR(SEARCH("급여",E102),0)&gt;0,"인건비",IF(IFERROR(SEARCH("임차",E102),0)&gt;0,"임차·시설",IF(IFERROR(SEARCH("광고",E102),0)&gt;0,"광고·행사",IF(IFERROR(SEARCH("용역",E102),0)&gt;0,"용역·수수료","기타/불명"))))))</x:f>
      </x:c>
      <x:c r="J102" s="77" t="str">
        <x:f>IF(A102="","",IF(I102="기타/불명","확인 필요","결의서명으로 1차 확인"))</x:f>
      </x:c>
      <x:c r="K102" s="78"/>
    </x:row>
    <x:row r="103">
      <x:c r="A103" s="73"/>
      <x:c r="B103" s="73"/>
      <x:c r="C103" s="74"/>
      <x:c r="D103" s="73"/>
      <x:c r="E103" s="73"/>
      <x:c r="F103" s="75"/>
      <x:c r="G103" s="75"/>
      <x:c r="H103" s="76" t="str">
        <x:f>IF(A103="","",F103-G103)</x:f>
      </x:c>
      <x:c r="I103" s="77" t="str">
        <x:f>IF(A103="","",IF(E103="","기타/불명",IF(IFERROR(SEARCH("급여",E103),0)&gt;0,"인건비",IF(IFERROR(SEARCH("임차",E103),0)&gt;0,"임차·시설",IF(IFERROR(SEARCH("광고",E103),0)&gt;0,"광고·행사",IF(IFERROR(SEARCH("용역",E103),0)&gt;0,"용역·수수료","기타/불명"))))))</x:f>
      </x:c>
      <x:c r="J103" s="77" t="str">
        <x:f>IF(A103="","",IF(I103="기타/불명","확인 필요","결의서명으로 1차 확인"))</x:f>
      </x:c>
      <x:c r="K103" s="78"/>
    </x:row>
    <x:row r="104">
      <x:c r="A104" s="73"/>
      <x:c r="B104" s="73"/>
      <x:c r="C104" s="74"/>
      <x:c r="D104" s="73"/>
      <x:c r="E104" s="73"/>
      <x:c r="F104" s="75"/>
      <x:c r="G104" s="75"/>
      <x:c r="H104" s="76" t="str">
        <x:f>IF(A104="","",F104-G104)</x:f>
      </x:c>
      <x:c r="I104" s="77" t="str">
        <x:f>IF(A104="","",IF(E104="","기타/불명",IF(IFERROR(SEARCH("급여",E104),0)&gt;0,"인건비",IF(IFERROR(SEARCH("임차",E104),0)&gt;0,"임차·시설",IF(IFERROR(SEARCH("광고",E104),0)&gt;0,"광고·행사",IF(IFERROR(SEARCH("용역",E104),0)&gt;0,"용역·수수료","기타/불명"))))))</x:f>
      </x:c>
      <x:c r="J104" s="77" t="str">
        <x:f>IF(A104="","",IF(I104="기타/불명","확인 필요","결의서명으로 1차 확인"))</x:f>
      </x:c>
      <x:c r="K104" s="78"/>
    </x:row>
    <x:row r="105">
      <x:c r="A105" s="73"/>
      <x:c r="B105" s="73"/>
      <x:c r="C105" s="74"/>
      <x:c r="D105" s="73"/>
      <x:c r="E105" s="73"/>
      <x:c r="F105" s="75"/>
      <x:c r="G105" s="75"/>
      <x:c r="H105" s="76" t="str">
        <x:f>IF(A105="","",F105-G105)</x:f>
      </x:c>
      <x:c r="I105" s="77" t="str">
        <x:f>IF(A105="","",IF(E105="","기타/불명",IF(IFERROR(SEARCH("급여",E105),0)&gt;0,"인건비",IF(IFERROR(SEARCH("임차",E105),0)&gt;0,"임차·시설",IF(IFERROR(SEARCH("광고",E105),0)&gt;0,"광고·행사",IF(IFERROR(SEARCH("용역",E105),0)&gt;0,"용역·수수료","기타/불명"))))))</x:f>
      </x:c>
      <x:c r="J105" s="77" t="str">
        <x:f>IF(A105="","",IF(I105="기타/불명","확인 필요","결의서명으로 1차 확인"))</x:f>
      </x:c>
      <x:c r="K105" s="78"/>
    </x:row>
    <x:row r="106">
      <x:c r="A106" s="73"/>
      <x:c r="B106" s="73"/>
      <x:c r="C106" s="74"/>
      <x:c r="D106" s="73"/>
      <x:c r="E106" s="73"/>
      <x:c r="F106" s="75"/>
      <x:c r="G106" s="75"/>
      <x:c r="H106" s="76" t="str">
        <x:f>IF(A106="","",F106-G106)</x:f>
      </x:c>
      <x:c r="I106" s="77" t="str">
        <x:f>IF(A106="","",IF(E106="","기타/불명",IF(IFERROR(SEARCH("급여",E106),0)&gt;0,"인건비",IF(IFERROR(SEARCH("임차",E106),0)&gt;0,"임차·시설",IF(IFERROR(SEARCH("광고",E106),0)&gt;0,"광고·행사",IF(IFERROR(SEARCH("용역",E106),0)&gt;0,"용역·수수료","기타/불명"))))))</x:f>
      </x:c>
      <x:c r="J106" s="77" t="str">
        <x:f>IF(A106="","",IF(I106="기타/불명","확인 필요","결의서명으로 1차 확인"))</x:f>
      </x:c>
      <x:c r="K106" s="78"/>
    </x:row>
    <x:row r="107">
      <x:c r="A107" s="73"/>
      <x:c r="B107" s="73"/>
      <x:c r="C107" s="74"/>
      <x:c r="D107" s="73"/>
      <x:c r="E107" s="73"/>
      <x:c r="F107" s="75"/>
      <x:c r="G107" s="75"/>
      <x:c r="H107" s="76" t="str">
        <x:f>IF(A107="","",F107-G107)</x:f>
      </x:c>
      <x:c r="I107" s="77" t="str">
        <x:f>IF(A107="","",IF(E107="","기타/불명",IF(IFERROR(SEARCH("급여",E107),0)&gt;0,"인건비",IF(IFERROR(SEARCH("임차",E107),0)&gt;0,"임차·시설",IF(IFERROR(SEARCH("광고",E107),0)&gt;0,"광고·행사",IF(IFERROR(SEARCH("용역",E107),0)&gt;0,"용역·수수료","기타/불명"))))))</x:f>
      </x:c>
      <x:c r="J107" s="77" t="str">
        <x:f>IF(A107="","",IF(I107="기타/불명","확인 필요","결의서명으로 1차 확인"))</x:f>
      </x:c>
      <x:c r="K107" s="78"/>
    </x:row>
    <x:row r="108">
      <x:c r="A108" s="73"/>
      <x:c r="B108" s="73"/>
      <x:c r="C108" s="74"/>
      <x:c r="D108" s="73"/>
      <x:c r="E108" s="73"/>
      <x:c r="F108" s="75"/>
      <x:c r="G108" s="75"/>
      <x:c r="H108" s="76" t="str">
        <x:f>IF(A108="","",F108-G108)</x:f>
      </x:c>
      <x:c r="I108" s="77" t="str">
        <x:f>IF(A108="","",IF(E108="","기타/불명",IF(IFERROR(SEARCH("급여",E108),0)&gt;0,"인건비",IF(IFERROR(SEARCH("임차",E108),0)&gt;0,"임차·시설",IF(IFERROR(SEARCH("광고",E108),0)&gt;0,"광고·행사",IF(IFERROR(SEARCH("용역",E108),0)&gt;0,"용역·수수료","기타/불명"))))))</x:f>
      </x:c>
      <x:c r="J108" s="77" t="str">
        <x:f>IF(A108="","",IF(I108="기타/불명","확인 필요","결의서명으로 1차 확인"))</x:f>
      </x:c>
      <x:c r="K108" s="78"/>
    </x:row>
    <x:row r="109">
      <x:c r="A109" s="73"/>
      <x:c r="B109" s="73"/>
      <x:c r="C109" s="74"/>
      <x:c r="D109" s="73"/>
      <x:c r="E109" s="73"/>
      <x:c r="F109" s="75"/>
      <x:c r="G109" s="75"/>
      <x:c r="H109" s="76" t="str">
        <x:f>IF(A109="","",F109-G109)</x:f>
      </x:c>
      <x:c r="I109" s="77" t="str">
        <x:f>IF(A109="","",IF(E109="","기타/불명",IF(IFERROR(SEARCH("급여",E109),0)&gt;0,"인건비",IF(IFERROR(SEARCH("임차",E109),0)&gt;0,"임차·시설",IF(IFERROR(SEARCH("광고",E109),0)&gt;0,"광고·행사",IF(IFERROR(SEARCH("용역",E109),0)&gt;0,"용역·수수료","기타/불명"))))))</x:f>
      </x:c>
      <x:c r="J109" s="77" t="str">
        <x:f>IF(A109="","",IF(I109="기타/불명","확인 필요","결의서명으로 1차 확인"))</x:f>
      </x:c>
      <x:c r="K109" s="78"/>
    </x:row>
    <x:row r="110">
      <x:c r="A110" s="73"/>
      <x:c r="B110" s="73"/>
      <x:c r="C110" s="74"/>
      <x:c r="D110" s="73"/>
      <x:c r="E110" s="73"/>
      <x:c r="F110" s="75"/>
      <x:c r="G110" s="75"/>
      <x:c r="H110" s="76" t="str">
        <x:f>IF(A110="","",F110-G110)</x:f>
      </x:c>
      <x:c r="I110" s="77" t="str">
        <x:f>IF(A110="","",IF(E110="","기타/불명",IF(IFERROR(SEARCH("급여",E110),0)&gt;0,"인건비",IF(IFERROR(SEARCH("임차",E110),0)&gt;0,"임차·시설",IF(IFERROR(SEARCH("광고",E110),0)&gt;0,"광고·행사",IF(IFERROR(SEARCH("용역",E110),0)&gt;0,"용역·수수료","기타/불명"))))))</x:f>
      </x:c>
      <x:c r="J110" s="77" t="str">
        <x:f>IF(A110="","",IF(I110="기타/불명","확인 필요","결의서명으로 1차 확인"))</x:f>
      </x:c>
      <x:c r="K110" s="78"/>
    </x:row>
    <x:row r="111">
      <x:c r="A111" s="73"/>
      <x:c r="B111" s="73"/>
      <x:c r="C111" s="74"/>
      <x:c r="D111" s="73"/>
      <x:c r="E111" s="73"/>
      <x:c r="F111" s="75"/>
      <x:c r="G111" s="75"/>
      <x:c r="H111" s="76" t="str">
        <x:f>IF(A111="","",F111-G111)</x:f>
      </x:c>
      <x:c r="I111" s="77" t="str">
        <x:f>IF(A111="","",IF(E111="","기타/불명",IF(IFERROR(SEARCH("급여",E111),0)&gt;0,"인건비",IF(IFERROR(SEARCH("임차",E111),0)&gt;0,"임차·시설",IF(IFERROR(SEARCH("광고",E111),0)&gt;0,"광고·행사",IF(IFERROR(SEARCH("용역",E111),0)&gt;0,"용역·수수료","기타/불명"))))))</x:f>
      </x:c>
      <x:c r="J111" s="77" t="str">
        <x:f>IF(A111="","",IF(I111="기타/불명","확인 필요","결의서명으로 1차 확인"))</x:f>
      </x:c>
      <x:c r="K111" s="78"/>
    </x:row>
    <x:row r="112">
      <x:c r="A112" s="73"/>
      <x:c r="B112" s="73"/>
      <x:c r="C112" s="74"/>
      <x:c r="D112" s="73"/>
      <x:c r="E112" s="73"/>
      <x:c r="F112" s="75"/>
      <x:c r="G112" s="75"/>
      <x:c r="H112" s="76" t="str">
        <x:f>IF(A112="","",F112-G112)</x:f>
      </x:c>
      <x:c r="I112" s="77" t="str">
        <x:f>IF(A112="","",IF(E112="","기타/불명",IF(IFERROR(SEARCH("급여",E112),0)&gt;0,"인건비",IF(IFERROR(SEARCH("임차",E112),0)&gt;0,"임차·시설",IF(IFERROR(SEARCH("광고",E112),0)&gt;0,"광고·행사",IF(IFERROR(SEARCH("용역",E112),0)&gt;0,"용역·수수료","기타/불명"))))))</x:f>
      </x:c>
      <x:c r="J112" s="77" t="str">
        <x:f>IF(A112="","",IF(I112="기타/불명","확인 필요","결의서명으로 1차 확인"))</x:f>
      </x:c>
      <x:c r="K112" s="78"/>
    </x:row>
    <x:row r="113">
      <x:c r="A113" s="73"/>
      <x:c r="B113" s="73"/>
      <x:c r="C113" s="74"/>
      <x:c r="D113" s="73"/>
      <x:c r="E113" s="73"/>
      <x:c r="F113" s="75"/>
      <x:c r="G113" s="75"/>
      <x:c r="H113" s="76" t="str">
        <x:f>IF(A113="","",F113-G113)</x:f>
      </x:c>
      <x:c r="I113" s="77" t="str">
        <x:f>IF(A113="","",IF(E113="","기타/불명",IF(IFERROR(SEARCH("급여",E113),0)&gt;0,"인건비",IF(IFERROR(SEARCH("임차",E113),0)&gt;0,"임차·시설",IF(IFERROR(SEARCH("광고",E113),0)&gt;0,"광고·행사",IF(IFERROR(SEARCH("용역",E113),0)&gt;0,"용역·수수료","기타/불명"))))))</x:f>
      </x:c>
      <x:c r="J113" s="77" t="str">
        <x:f>IF(A113="","",IF(I113="기타/불명","확인 필요","결의서명으로 1차 확인"))</x:f>
      </x:c>
      <x:c r="K113" s="78"/>
    </x:row>
    <x:row r="114">
      <x:c r="A114" s="73"/>
      <x:c r="B114" s="73"/>
      <x:c r="C114" s="74"/>
      <x:c r="D114" s="73"/>
      <x:c r="E114" s="73"/>
      <x:c r="F114" s="75"/>
      <x:c r="G114" s="75"/>
      <x:c r="H114" s="76" t="str">
        <x:f>IF(A114="","",F114-G114)</x:f>
      </x:c>
      <x:c r="I114" s="77" t="str">
        <x:f>IF(A114="","",IF(E114="","기타/불명",IF(IFERROR(SEARCH("급여",E114),0)&gt;0,"인건비",IF(IFERROR(SEARCH("임차",E114),0)&gt;0,"임차·시설",IF(IFERROR(SEARCH("광고",E114),0)&gt;0,"광고·행사",IF(IFERROR(SEARCH("용역",E114),0)&gt;0,"용역·수수료","기타/불명"))))))</x:f>
      </x:c>
      <x:c r="J114" s="77" t="str">
        <x:f>IF(A114="","",IF(I114="기타/불명","확인 필요","결의서명으로 1차 확인"))</x:f>
      </x:c>
      <x:c r="K114" s="78"/>
    </x:row>
    <x:row r="115">
      <x:c r="A115" s="73"/>
      <x:c r="B115" s="73"/>
      <x:c r="C115" s="74"/>
      <x:c r="D115" s="73"/>
      <x:c r="E115" s="73"/>
      <x:c r="F115" s="75"/>
      <x:c r="G115" s="75"/>
      <x:c r="H115" s="76" t="str">
        <x:f>IF(A115="","",F115-G115)</x:f>
      </x:c>
      <x:c r="I115" s="77" t="str">
        <x:f>IF(A115="","",IF(E115="","기타/불명",IF(IFERROR(SEARCH("급여",E115),0)&gt;0,"인건비",IF(IFERROR(SEARCH("임차",E115),0)&gt;0,"임차·시설",IF(IFERROR(SEARCH("광고",E115),0)&gt;0,"광고·행사",IF(IFERROR(SEARCH("용역",E115),0)&gt;0,"용역·수수료","기타/불명"))))))</x:f>
      </x:c>
      <x:c r="J115" s="77" t="str">
        <x:f>IF(A115="","",IF(I115="기타/불명","확인 필요","결의서명으로 1차 확인"))</x:f>
      </x:c>
      <x:c r="K115" s="78"/>
    </x:row>
    <x:row r="116">
      <x:c r="A116" s="73"/>
      <x:c r="B116" s="73"/>
      <x:c r="C116" s="74"/>
      <x:c r="D116" s="73"/>
      <x:c r="E116" s="73"/>
      <x:c r="F116" s="75"/>
      <x:c r="G116" s="75"/>
      <x:c r="H116" s="76" t="str">
        <x:f>IF(A116="","",F116-G116)</x:f>
      </x:c>
      <x:c r="I116" s="77" t="str">
        <x:f>IF(A116="","",IF(E116="","기타/불명",IF(IFERROR(SEARCH("급여",E116),0)&gt;0,"인건비",IF(IFERROR(SEARCH("임차",E116),0)&gt;0,"임차·시설",IF(IFERROR(SEARCH("광고",E116),0)&gt;0,"광고·행사",IF(IFERROR(SEARCH("용역",E116),0)&gt;0,"용역·수수료","기타/불명"))))))</x:f>
      </x:c>
      <x:c r="J116" s="77" t="str">
        <x:f>IF(A116="","",IF(I116="기타/불명","확인 필요","결의서명으로 1차 확인"))</x:f>
      </x:c>
      <x:c r="K116" s="78"/>
    </x:row>
    <x:row r="117">
      <x:c r="A117" s="73"/>
      <x:c r="B117" s="73"/>
      <x:c r="C117" s="74"/>
      <x:c r="D117" s="73"/>
      <x:c r="E117" s="73"/>
      <x:c r="F117" s="75"/>
      <x:c r="G117" s="75"/>
      <x:c r="H117" s="76" t="str">
        <x:f>IF(A117="","",F117-G117)</x:f>
      </x:c>
      <x:c r="I117" s="77" t="str">
        <x:f>IF(A117="","",IF(E117="","기타/불명",IF(IFERROR(SEARCH("급여",E117),0)&gt;0,"인건비",IF(IFERROR(SEARCH("임차",E117),0)&gt;0,"임차·시설",IF(IFERROR(SEARCH("광고",E117),0)&gt;0,"광고·행사",IF(IFERROR(SEARCH("용역",E117),0)&gt;0,"용역·수수료","기타/불명"))))))</x:f>
      </x:c>
      <x:c r="J117" s="77" t="str">
        <x:f>IF(A117="","",IF(I117="기타/불명","확인 필요","결의서명으로 1차 확인"))</x:f>
      </x:c>
      <x:c r="K117" s="78"/>
    </x:row>
    <x:row r="118">
      <x:c r="A118" s="73"/>
      <x:c r="B118" s="73"/>
      <x:c r="C118" s="74"/>
      <x:c r="D118" s="73"/>
      <x:c r="E118" s="73"/>
      <x:c r="F118" s="75"/>
      <x:c r="G118" s="75"/>
      <x:c r="H118" s="76" t="str">
        <x:f>IF(A118="","",F118-G118)</x:f>
      </x:c>
      <x:c r="I118" s="77" t="str">
        <x:f>IF(A118="","",IF(E118="","기타/불명",IF(IFERROR(SEARCH("급여",E118),0)&gt;0,"인건비",IF(IFERROR(SEARCH("임차",E118),0)&gt;0,"임차·시설",IF(IFERROR(SEARCH("광고",E118),0)&gt;0,"광고·행사",IF(IFERROR(SEARCH("용역",E118),0)&gt;0,"용역·수수료","기타/불명"))))))</x:f>
      </x:c>
      <x:c r="J118" s="77" t="str">
        <x:f>IF(A118="","",IF(I118="기타/불명","확인 필요","결의서명으로 1차 확인"))</x:f>
      </x:c>
      <x:c r="K118" s="78"/>
    </x:row>
    <x:row r="119">
      <x:c r="A119" s="73"/>
      <x:c r="B119" s="73"/>
      <x:c r="C119" s="74"/>
      <x:c r="D119" s="73"/>
      <x:c r="E119" s="73"/>
      <x:c r="F119" s="75"/>
      <x:c r="G119" s="75"/>
      <x:c r="H119" s="76" t="str">
        <x:f>IF(A119="","",F119-G119)</x:f>
      </x:c>
      <x:c r="I119" s="77" t="str">
        <x:f>IF(A119="","",IF(E119="","기타/불명",IF(IFERROR(SEARCH("급여",E119),0)&gt;0,"인건비",IF(IFERROR(SEARCH("임차",E119),0)&gt;0,"임차·시설",IF(IFERROR(SEARCH("광고",E119),0)&gt;0,"광고·행사",IF(IFERROR(SEARCH("용역",E119),0)&gt;0,"용역·수수료","기타/불명"))))))</x:f>
      </x:c>
      <x:c r="J119" s="77" t="str">
        <x:f>IF(A119="","",IF(I119="기타/불명","확인 필요","결의서명으로 1차 확인"))</x:f>
      </x:c>
      <x:c r="K119" s="78"/>
    </x:row>
    <x:row r="120">
      <x:c r="A120" s="73"/>
      <x:c r="B120" s="73"/>
      <x:c r="C120" s="74"/>
      <x:c r="D120" s="73"/>
      <x:c r="E120" s="73"/>
      <x:c r="F120" s="75"/>
      <x:c r="G120" s="75"/>
      <x:c r="H120" s="76" t="str">
        <x:f>IF(A120="","",F120-G120)</x:f>
      </x:c>
      <x:c r="I120" s="77" t="str">
        <x:f>IF(A120="","",IF(E120="","기타/불명",IF(IFERROR(SEARCH("급여",E120),0)&gt;0,"인건비",IF(IFERROR(SEARCH("임차",E120),0)&gt;0,"임차·시설",IF(IFERROR(SEARCH("광고",E120),0)&gt;0,"광고·행사",IF(IFERROR(SEARCH("용역",E120),0)&gt;0,"용역·수수료","기타/불명"))))))</x:f>
      </x:c>
      <x:c r="J120" s="77" t="str">
        <x:f>IF(A120="","",IF(I120="기타/불명","확인 필요","결의서명으로 1차 확인"))</x:f>
      </x:c>
      <x:c r="K120" s="78"/>
    </x:row>
    <x:row r="121">
      <x:c r="A121" s="73"/>
      <x:c r="B121" s="73"/>
      <x:c r="C121" s="74"/>
      <x:c r="D121" s="73"/>
      <x:c r="E121" s="73"/>
      <x:c r="F121" s="75"/>
      <x:c r="G121" s="75"/>
      <x:c r="H121" s="76" t="str">
        <x:f>IF(A121="","",F121-G121)</x:f>
      </x:c>
      <x:c r="I121" s="77" t="str">
        <x:f>IF(A121="","",IF(E121="","기타/불명",IF(IFERROR(SEARCH("급여",E121),0)&gt;0,"인건비",IF(IFERROR(SEARCH("임차",E121),0)&gt;0,"임차·시설",IF(IFERROR(SEARCH("광고",E121),0)&gt;0,"광고·행사",IF(IFERROR(SEARCH("용역",E121),0)&gt;0,"용역·수수료","기타/불명"))))))</x:f>
      </x:c>
      <x:c r="J121" s="77" t="str">
        <x:f>IF(A121="","",IF(I121="기타/불명","확인 필요","결의서명으로 1차 확인"))</x:f>
      </x:c>
      <x:c r="K121" s="78"/>
    </x:row>
    <x:row r="122">
      <x:c r="A122" s="73"/>
      <x:c r="B122" s="73"/>
      <x:c r="C122" s="74"/>
      <x:c r="D122" s="73"/>
      <x:c r="E122" s="73"/>
      <x:c r="F122" s="75"/>
      <x:c r="G122" s="75"/>
      <x:c r="H122" s="76" t="str">
        <x:f>IF(A122="","",F122-G122)</x:f>
      </x:c>
      <x:c r="I122" s="77" t="str">
        <x:f>IF(A122="","",IF(E122="","기타/불명",IF(IFERROR(SEARCH("급여",E122),0)&gt;0,"인건비",IF(IFERROR(SEARCH("임차",E122),0)&gt;0,"임차·시설",IF(IFERROR(SEARCH("광고",E122),0)&gt;0,"광고·행사",IF(IFERROR(SEARCH("용역",E122),0)&gt;0,"용역·수수료","기타/불명"))))))</x:f>
      </x:c>
      <x:c r="J122" s="77" t="str">
        <x:f>IF(A122="","",IF(I122="기타/불명","확인 필요","결의서명으로 1차 확인"))</x:f>
      </x:c>
      <x:c r="K122" s="78"/>
    </x:row>
    <x:row r="123">
      <x:c r="A123" s="73"/>
      <x:c r="B123" s="73"/>
      <x:c r="C123" s="74"/>
      <x:c r="D123" s="73"/>
      <x:c r="E123" s="73"/>
      <x:c r="F123" s="75"/>
      <x:c r="G123" s="75"/>
      <x:c r="H123" s="76" t="str">
        <x:f>IF(A123="","",F123-G123)</x:f>
      </x:c>
      <x:c r="I123" s="77" t="str">
        <x:f>IF(A123="","",IF(E123="","기타/불명",IF(IFERROR(SEARCH("급여",E123),0)&gt;0,"인건비",IF(IFERROR(SEARCH("임차",E123),0)&gt;0,"임차·시설",IF(IFERROR(SEARCH("광고",E123),0)&gt;0,"광고·행사",IF(IFERROR(SEARCH("용역",E123),0)&gt;0,"용역·수수료","기타/불명"))))))</x:f>
      </x:c>
      <x:c r="J123" s="77" t="str">
        <x:f>IF(A123="","",IF(I123="기타/불명","확인 필요","결의서명으로 1차 확인"))</x:f>
      </x:c>
      <x:c r="K123" s="78"/>
    </x:row>
    <x:row r="124">
      <x:c r="A124" s="73"/>
      <x:c r="B124" s="73"/>
      <x:c r="C124" s="74"/>
      <x:c r="D124" s="73"/>
      <x:c r="E124" s="73"/>
      <x:c r="F124" s="75"/>
      <x:c r="G124" s="75"/>
      <x:c r="H124" s="76" t="str">
        <x:f>IF(A124="","",F124-G124)</x:f>
      </x:c>
      <x:c r="I124" s="77" t="str">
        <x:f>IF(A124="","",IF(E124="","기타/불명",IF(IFERROR(SEARCH("급여",E124),0)&gt;0,"인건비",IF(IFERROR(SEARCH("임차",E124),0)&gt;0,"임차·시설",IF(IFERROR(SEARCH("광고",E124),0)&gt;0,"광고·행사",IF(IFERROR(SEARCH("용역",E124),0)&gt;0,"용역·수수료","기타/불명"))))))</x:f>
      </x:c>
      <x:c r="J124" s="77" t="str">
        <x:f>IF(A124="","",IF(I124="기타/불명","확인 필요","결의서명으로 1차 확인"))</x:f>
      </x:c>
      <x:c r="K124" s="78"/>
    </x:row>
    <x:row r="125">
      <x:c r="A125" s="73"/>
      <x:c r="B125" s="73"/>
      <x:c r="C125" s="74"/>
      <x:c r="D125" s="73"/>
      <x:c r="E125" s="73"/>
      <x:c r="F125" s="75"/>
      <x:c r="G125" s="75"/>
      <x:c r="H125" s="76" t="str">
        <x:f>IF(A125="","",F125-G125)</x:f>
      </x:c>
      <x:c r="I125" s="77" t="str">
        <x:f>IF(A125="","",IF(E125="","기타/불명",IF(IFERROR(SEARCH("급여",E125),0)&gt;0,"인건비",IF(IFERROR(SEARCH("임차",E125),0)&gt;0,"임차·시설",IF(IFERROR(SEARCH("광고",E125),0)&gt;0,"광고·행사",IF(IFERROR(SEARCH("용역",E125),0)&gt;0,"용역·수수료","기타/불명"))))))</x:f>
      </x:c>
      <x:c r="J125" s="77" t="str">
        <x:f>IF(A125="","",IF(I125="기타/불명","확인 필요","결의서명으로 1차 확인"))</x:f>
      </x:c>
      <x:c r="K125" s="78"/>
    </x:row>
    <x:row r="126">
      <x:c r="A126" s="73"/>
      <x:c r="B126" s="73"/>
      <x:c r="C126" s="74"/>
      <x:c r="D126" s="73"/>
      <x:c r="E126" s="73"/>
      <x:c r="F126" s="75"/>
      <x:c r="G126" s="75"/>
      <x:c r="H126" s="76" t="str">
        <x:f>IF(A126="","",F126-G126)</x:f>
      </x:c>
      <x:c r="I126" s="77" t="str">
        <x:f>IF(A126="","",IF(E126="","기타/불명",IF(IFERROR(SEARCH("급여",E126),0)&gt;0,"인건비",IF(IFERROR(SEARCH("임차",E126),0)&gt;0,"임차·시설",IF(IFERROR(SEARCH("광고",E126),0)&gt;0,"광고·행사",IF(IFERROR(SEARCH("용역",E126),0)&gt;0,"용역·수수료","기타/불명"))))))</x:f>
      </x:c>
      <x:c r="J126" s="77" t="str">
        <x:f>IF(A126="","",IF(I126="기타/불명","확인 필요","결의서명으로 1차 확인"))</x:f>
      </x:c>
      <x:c r="K126" s="78"/>
    </x:row>
    <x:row r="127">
      <x:c r="A127" s="73"/>
      <x:c r="B127" s="73"/>
      <x:c r="C127" s="74"/>
      <x:c r="D127" s="73"/>
      <x:c r="E127" s="73"/>
      <x:c r="F127" s="75"/>
      <x:c r="G127" s="75"/>
      <x:c r="H127" s="76" t="str">
        <x:f>IF(A127="","",F127-G127)</x:f>
      </x:c>
      <x:c r="I127" s="77" t="str">
        <x:f>IF(A127="","",IF(E127="","기타/불명",IF(IFERROR(SEARCH("급여",E127),0)&gt;0,"인건비",IF(IFERROR(SEARCH("임차",E127),0)&gt;0,"임차·시설",IF(IFERROR(SEARCH("광고",E127),0)&gt;0,"광고·행사",IF(IFERROR(SEARCH("용역",E127),0)&gt;0,"용역·수수료","기타/불명"))))))</x:f>
      </x:c>
      <x:c r="J127" s="77" t="str">
        <x:f>IF(A127="","",IF(I127="기타/불명","확인 필요","결의서명으로 1차 확인"))</x:f>
      </x:c>
      <x:c r="K127" s="78"/>
    </x:row>
    <x:row r="128">
      <x:c r="A128" s="73"/>
      <x:c r="B128" s="73"/>
      <x:c r="C128" s="74"/>
      <x:c r="D128" s="73"/>
      <x:c r="E128" s="73"/>
      <x:c r="F128" s="75"/>
      <x:c r="G128" s="75"/>
      <x:c r="H128" s="76" t="str">
        <x:f>IF(A128="","",F128-G128)</x:f>
      </x:c>
      <x:c r="I128" s="77" t="str">
        <x:f>IF(A128="","",IF(E128="","기타/불명",IF(IFERROR(SEARCH("급여",E128),0)&gt;0,"인건비",IF(IFERROR(SEARCH("임차",E128),0)&gt;0,"임차·시설",IF(IFERROR(SEARCH("광고",E128),0)&gt;0,"광고·행사",IF(IFERROR(SEARCH("용역",E128),0)&gt;0,"용역·수수료","기타/불명"))))))</x:f>
      </x:c>
      <x:c r="J128" s="77" t="str">
        <x:f>IF(A128="","",IF(I128="기타/불명","확인 필요","결의서명으로 1차 확인"))</x:f>
      </x:c>
      <x:c r="K128" s="78"/>
    </x:row>
    <x:row r="129">
      <x:c r="A129" s="73"/>
      <x:c r="B129" s="73"/>
      <x:c r="C129" s="74"/>
      <x:c r="D129" s="73"/>
      <x:c r="E129" s="73"/>
      <x:c r="F129" s="75"/>
      <x:c r="G129" s="75"/>
      <x:c r="H129" s="76" t="str">
        <x:f>IF(A129="","",F129-G129)</x:f>
      </x:c>
      <x:c r="I129" s="77" t="str">
        <x:f>IF(A129="","",IF(E129="","기타/불명",IF(IFERROR(SEARCH("급여",E129),0)&gt;0,"인건비",IF(IFERROR(SEARCH("임차",E129),0)&gt;0,"임차·시설",IF(IFERROR(SEARCH("광고",E129),0)&gt;0,"광고·행사",IF(IFERROR(SEARCH("용역",E129),0)&gt;0,"용역·수수료","기타/불명"))))))</x:f>
      </x:c>
      <x:c r="J129" s="77" t="str">
        <x:f>IF(A129="","",IF(I129="기타/불명","확인 필요","결의서명으로 1차 확인"))</x:f>
      </x:c>
      <x:c r="K129" s="78"/>
    </x:row>
    <x:row r="130">
      <x:c r="A130" s="73"/>
      <x:c r="B130" s="73"/>
      <x:c r="C130" s="74"/>
      <x:c r="D130" s="73"/>
      <x:c r="E130" s="73"/>
      <x:c r="F130" s="75"/>
      <x:c r="G130" s="75"/>
      <x:c r="H130" s="76" t="str">
        <x:f>IF(A130="","",F130-G130)</x:f>
      </x:c>
      <x:c r="I130" s="77" t="str">
        <x:f>IF(A130="","",IF(E130="","기타/불명",IF(IFERROR(SEARCH("급여",E130),0)&gt;0,"인건비",IF(IFERROR(SEARCH("임차",E130),0)&gt;0,"임차·시설",IF(IFERROR(SEARCH("광고",E130),0)&gt;0,"광고·행사",IF(IFERROR(SEARCH("용역",E130),0)&gt;0,"용역·수수료","기타/불명"))))))</x:f>
      </x:c>
      <x:c r="J130" s="77" t="str">
        <x:f>IF(A130="","",IF(I130="기타/불명","확인 필요","결의서명으로 1차 확인"))</x:f>
      </x:c>
      <x:c r="K130" s="78"/>
    </x:row>
    <x:row r="131">
      <x:c r="A131" s="73"/>
      <x:c r="B131" s="73"/>
      <x:c r="C131" s="74"/>
      <x:c r="D131" s="73"/>
      <x:c r="E131" s="73"/>
      <x:c r="F131" s="75"/>
      <x:c r="G131" s="75"/>
      <x:c r="H131" s="76" t="str">
        <x:f>IF(A131="","",F131-G131)</x:f>
      </x:c>
      <x:c r="I131" s="77" t="str">
        <x:f>IF(A131="","",IF(E131="","기타/불명",IF(IFERROR(SEARCH("급여",E131),0)&gt;0,"인건비",IF(IFERROR(SEARCH("임차",E131),0)&gt;0,"임차·시설",IF(IFERROR(SEARCH("광고",E131),0)&gt;0,"광고·행사",IF(IFERROR(SEARCH("용역",E131),0)&gt;0,"용역·수수료","기타/불명"))))))</x:f>
      </x:c>
      <x:c r="J131" s="77" t="str">
        <x:f>IF(A131="","",IF(I131="기타/불명","확인 필요","결의서명으로 1차 확인"))</x:f>
      </x:c>
      <x:c r="K131" s="78"/>
    </x:row>
    <x:row r="132">
      <x:c r="A132" s="73"/>
      <x:c r="B132" s="73"/>
      <x:c r="C132" s="74"/>
      <x:c r="D132" s="73"/>
      <x:c r="E132" s="73"/>
      <x:c r="F132" s="75"/>
      <x:c r="G132" s="75"/>
      <x:c r="H132" s="76" t="str">
        <x:f>IF(A132="","",F132-G132)</x:f>
      </x:c>
      <x:c r="I132" s="77" t="str">
        <x:f>IF(A132="","",IF(E132="","기타/불명",IF(IFERROR(SEARCH("급여",E132),0)&gt;0,"인건비",IF(IFERROR(SEARCH("임차",E132),0)&gt;0,"임차·시설",IF(IFERROR(SEARCH("광고",E132),0)&gt;0,"광고·행사",IF(IFERROR(SEARCH("용역",E132),0)&gt;0,"용역·수수료","기타/불명"))))))</x:f>
      </x:c>
      <x:c r="J132" s="77" t="str">
        <x:f>IF(A132="","",IF(I132="기타/불명","확인 필요","결의서명으로 1차 확인"))</x:f>
      </x:c>
      <x:c r="K132" s="78"/>
    </x:row>
    <x:row r="133">
      <x:c r="A133" s="73"/>
      <x:c r="B133" s="73"/>
      <x:c r="C133" s="74"/>
      <x:c r="D133" s="73"/>
      <x:c r="E133" s="73"/>
      <x:c r="F133" s="75"/>
      <x:c r="G133" s="75"/>
      <x:c r="H133" s="76" t="str">
        <x:f>IF(A133="","",F133-G133)</x:f>
      </x:c>
      <x:c r="I133" s="77" t="str">
        <x:f>IF(A133="","",IF(E133="","기타/불명",IF(IFERROR(SEARCH("급여",E133),0)&gt;0,"인건비",IF(IFERROR(SEARCH("임차",E133),0)&gt;0,"임차·시설",IF(IFERROR(SEARCH("광고",E133),0)&gt;0,"광고·행사",IF(IFERROR(SEARCH("용역",E133),0)&gt;0,"용역·수수료","기타/불명"))))))</x:f>
      </x:c>
      <x:c r="J133" s="77" t="str">
        <x:f>IF(A133="","",IF(I133="기타/불명","확인 필요","결의서명으로 1차 확인"))</x:f>
      </x:c>
      <x:c r="K133" s="78"/>
    </x:row>
    <x:row r="134">
      <x:c r="A134" s="73"/>
      <x:c r="B134" s="73"/>
      <x:c r="C134" s="74"/>
      <x:c r="D134" s="73"/>
      <x:c r="E134" s="73"/>
      <x:c r="F134" s="75"/>
      <x:c r="G134" s="75"/>
      <x:c r="H134" s="76" t="str">
        <x:f>IF(A134="","",F134-G134)</x:f>
      </x:c>
      <x:c r="I134" s="77" t="str">
        <x:f>IF(A134="","",IF(E134="","기타/불명",IF(IFERROR(SEARCH("급여",E134),0)&gt;0,"인건비",IF(IFERROR(SEARCH("임차",E134),0)&gt;0,"임차·시설",IF(IFERROR(SEARCH("광고",E134),0)&gt;0,"광고·행사",IF(IFERROR(SEARCH("용역",E134),0)&gt;0,"용역·수수료","기타/불명"))))))</x:f>
      </x:c>
      <x:c r="J134" s="77" t="str">
        <x:f>IF(A134="","",IF(I134="기타/불명","확인 필요","결의서명으로 1차 확인"))</x:f>
      </x:c>
      <x:c r="K134" s="78"/>
    </x:row>
    <x:row r="135">
      <x:c r="A135" s="73"/>
      <x:c r="B135" s="73"/>
      <x:c r="C135" s="74"/>
      <x:c r="D135" s="73"/>
      <x:c r="E135" s="73"/>
      <x:c r="F135" s="75"/>
      <x:c r="G135" s="75"/>
      <x:c r="H135" s="76" t="str">
        <x:f>IF(A135="","",F135-G135)</x:f>
      </x:c>
      <x:c r="I135" s="77" t="str">
        <x:f>IF(A135="","",IF(E135="","기타/불명",IF(IFERROR(SEARCH("급여",E135),0)&gt;0,"인건비",IF(IFERROR(SEARCH("임차",E135),0)&gt;0,"임차·시설",IF(IFERROR(SEARCH("광고",E135),0)&gt;0,"광고·행사",IF(IFERROR(SEARCH("용역",E135),0)&gt;0,"용역·수수료","기타/불명"))))))</x:f>
      </x:c>
      <x:c r="J135" s="77" t="str">
        <x:f>IF(A135="","",IF(I135="기타/불명","확인 필요","결의서명으로 1차 확인"))</x:f>
      </x:c>
      <x:c r="K135" s="78"/>
    </x:row>
    <x:row r="136">
      <x:c r="A136" s="73"/>
      <x:c r="B136" s="73"/>
      <x:c r="C136" s="74"/>
      <x:c r="D136" s="73"/>
      <x:c r="E136" s="73"/>
      <x:c r="F136" s="75"/>
      <x:c r="G136" s="75"/>
      <x:c r="H136" s="76" t="str">
        <x:f>IF(A136="","",F136-G136)</x:f>
      </x:c>
      <x:c r="I136" s="77" t="str">
        <x:f>IF(A136="","",IF(E136="","기타/불명",IF(IFERROR(SEARCH("급여",E136),0)&gt;0,"인건비",IF(IFERROR(SEARCH("임차",E136),0)&gt;0,"임차·시설",IF(IFERROR(SEARCH("광고",E136),0)&gt;0,"광고·행사",IF(IFERROR(SEARCH("용역",E136),0)&gt;0,"용역·수수료","기타/불명"))))))</x:f>
      </x:c>
      <x:c r="J136" s="77" t="str">
        <x:f>IF(A136="","",IF(I136="기타/불명","확인 필요","결의서명으로 1차 확인"))</x:f>
      </x:c>
      <x:c r="K136" s="78"/>
    </x:row>
    <x:row r="137">
      <x:c r="A137" s="73"/>
      <x:c r="B137" s="73"/>
      <x:c r="C137" s="74"/>
      <x:c r="D137" s="73"/>
      <x:c r="E137" s="73"/>
      <x:c r="F137" s="75"/>
      <x:c r="G137" s="75"/>
      <x:c r="H137" s="76" t="str">
        <x:f>IF(A137="","",F137-G137)</x:f>
      </x:c>
      <x:c r="I137" s="77" t="str">
        <x:f>IF(A137="","",IF(E137="","기타/불명",IF(IFERROR(SEARCH("급여",E137),0)&gt;0,"인건비",IF(IFERROR(SEARCH("임차",E137),0)&gt;0,"임차·시설",IF(IFERROR(SEARCH("광고",E137),0)&gt;0,"광고·행사",IF(IFERROR(SEARCH("용역",E137),0)&gt;0,"용역·수수료","기타/불명"))))))</x:f>
      </x:c>
      <x:c r="J137" s="77" t="str">
        <x:f>IF(A137="","",IF(I137="기타/불명","확인 필요","결의서명으로 1차 확인"))</x:f>
      </x:c>
      <x:c r="K137" s="78"/>
    </x:row>
    <x:row r="138">
      <x:c r="A138" s="73"/>
      <x:c r="B138" s="73"/>
      <x:c r="C138" s="74"/>
      <x:c r="D138" s="73"/>
      <x:c r="E138" s="73"/>
      <x:c r="F138" s="75"/>
      <x:c r="G138" s="75"/>
      <x:c r="H138" s="76" t="str">
        <x:f>IF(A138="","",F138-G138)</x:f>
      </x:c>
      <x:c r="I138" s="77" t="str">
        <x:f>IF(A138="","",IF(E138="","기타/불명",IF(IFERROR(SEARCH("급여",E138),0)&gt;0,"인건비",IF(IFERROR(SEARCH("임차",E138),0)&gt;0,"임차·시설",IF(IFERROR(SEARCH("광고",E138),0)&gt;0,"광고·행사",IF(IFERROR(SEARCH("용역",E138),0)&gt;0,"용역·수수료","기타/불명"))))))</x:f>
      </x:c>
      <x:c r="J138" s="77" t="str">
        <x:f>IF(A138="","",IF(I138="기타/불명","확인 필요","결의서명으로 1차 확인"))</x:f>
      </x:c>
      <x:c r="K138" s="78"/>
    </x:row>
    <x:row r="139">
      <x:c r="A139" s="73"/>
      <x:c r="B139" s="73"/>
      <x:c r="C139" s="74"/>
      <x:c r="D139" s="73"/>
      <x:c r="E139" s="73"/>
      <x:c r="F139" s="75"/>
      <x:c r="G139" s="75"/>
      <x:c r="H139" s="76" t="str">
        <x:f>IF(A139="","",F139-G139)</x:f>
      </x:c>
      <x:c r="I139" s="77" t="str">
        <x:f>IF(A139="","",IF(E139="","기타/불명",IF(IFERROR(SEARCH("급여",E139),0)&gt;0,"인건비",IF(IFERROR(SEARCH("임차",E139),0)&gt;0,"임차·시설",IF(IFERROR(SEARCH("광고",E139),0)&gt;0,"광고·행사",IF(IFERROR(SEARCH("용역",E139),0)&gt;0,"용역·수수료","기타/불명"))))))</x:f>
      </x:c>
      <x:c r="J139" s="77" t="str">
        <x:f>IF(A139="","",IF(I139="기타/불명","확인 필요","결의서명으로 1차 확인"))</x:f>
      </x:c>
      <x:c r="K139" s="78"/>
    </x:row>
    <x:row r="140">
      <x:c r="A140" s="73"/>
      <x:c r="B140" s="73"/>
      <x:c r="C140" s="74"/>
      <x:c r="D140" s="73"/>
      <x:c r="E140" s="73"/>
      <x:c r="F140" s="75"/>
      <x:c r="G140" s="75"/>
      <x:c r="H140" s="76" t="str">
        <x:f>IF(A140="","",F140-G140)</x:f>
      </x:c>
      <x:c r="I140" s="77" t="str">
        <x:f>IF(A140="","",IF(E140="","기타/불명",IF(IFERROR(SEARCH("급여",E140),0)&gt;0,"인건비",IF(IFERROR(SEARCH("임차",E140),0)&gt;0,"임차·시설",IF(IFERROR(SEARCH("광고",E140),0)&gt;0,"광고·행사",IF(IFERROR(SEARCH("용역",E140),0)&gt;0,"용역·수수료","기타/불명"))))))</x:f>
      </x:c>
      <x:c r="J140" s="77" t="str">
        <x:f>IF(A140="","",IF(I140="기타/불명","확인 필요","결의서명으로 1차 확인"))</x:f>
      </x:c>
      <x:c r="K140" s="78"/>
    </x:row>
    <x:row r="141">
      <x:c r="A141" s="73"/>
      <x:c r="B141" s="73"/>
      <x:c r="C141" s="74"/>
      <x:c r="D141" s="73"/>
      <x:c r="E141" s="73"/>
      <x:c r="F141" s="75"/>
      <x:c r="G141" s="75"/>
      <x:c r="H141" s="76" t="str">
        <x:f>IF(A141="","",F141-G141)</x:f>
      </x:c>
      <x:c r="I141" s="77" t="str">
        <x:f>IF(A141="","",IF(E141="","기타/불명",IF(IFERROR(SEARCH("급여",E141),0)&gt;0,"인건비",IF(IFERROR(SEARCH("임차",E141),0)&gt;0,"임차·시설",IF(IFERROR(SEARCH("광고",E141),0)&gt;0,"광고·행사",IF(IFERROR(SEARCH("용역",E141),0)&gt;0,"용역·수수료","기타/불명"))))))</x:f>
      </x:c>
      <x:c r="J141" s="77" t="str">
        <x:f>IF(A141="","",IF(I141="기타/불명","확인 필요","결의서명으로 1차 확인"))</x:f>
      </x:c>
      <x:c r="K141" s="78"/>
    </x:row>
    <x:row r="142">
      <x:c r="A142" s="73"/>
      <x:c r="B142" s="73"/>
      <x:c r="C142" s="74"/>
      <x:c r="D142" s="73"/>
      <x:c r="E142" s="73"/>
      <x:c r="F142" s="75"/>
      <x:c r="G142" s="75"/>
      <x:c r="H142" s="76" t="str">
        <x:f>IF(A142="","",F142-G142)</x:f>
      </x:c>
      <x:c r="I142" s="77" t="str">
        <x:f>IF(A142="","",IF(E142="","기타/불명",IF(IFERROR(SEARCH("급여",E142),0)&gt;0,"인건비",IF(IFERROR(SEARCH("임차",E142),0)&gt;0,"임차·시설",IF(IFERROR(SEARCH("광고",E142),0)&gt;0,"광고·행사",IF(IFERROR(SEARCH("용역",E142),0)&gt;0,"용역·수수료","기타/불명"))))))</x:f>
      </x:c>
      <x:c r="J142" s="77" t="str">
        <x:f>IF(A142="","",IF(I142="기타/불명","확인 필요","결의서명으로 1차 확인"))</x:f>
      </x:c>
      <x:c r="K142" s="78"/>
    </x:row>
    <x:row r="143">
      <x:c r="A143" s="73"/>
      <x:c r="B143" s="73"/>
      <x:c r="C143" s="74"/>
      <x:c r="D143" s="73"/>
      <x:c r="E143" s="73"/>
      <x:c r="F143" s="75"/>
      <x:c r="G143" s="75"/>
      <x:c r="H143" s="76" t="str">
        <x:f>IF(A143="","",F143-G143)</x:f>
      </x:c>
      <x:c r="I143" s="77" t="str">
        <x:f>IF(A143="","",IF(E143="","기타/불명",IF(IFERROR(SEARCH("급여",E143),0)&gt;0,"인건비",IF(IFERROR(SEARCH("임차",E143),0)&gt;0,"임차·시설",IF(IFERROR(SEARCH("광고",E143),0)&gt;0,"광고·행사",IF(IFERROR(SEARCH("용역",E143),0)&gt;0,"용역·수수료","기타/불명"))))))</x:f>
      </x:c>
      <x:c r="J143" s="77" t="str">
        <x:f>IF(A143="","",IF(I143="기타/불명","확인 필요","결의서명으로 1차 확인"))</x:f>
      </x:c>
      <x:c r="K143" s="78"/>
    </x:row>
    <x:row r="144">
      <x:c r="A144" s="73"/>
      <x:c r="B144" s="73"/>
      <x:c r="C144" s="74"/>
      <x:c r="D144" s="73"/>
      <x:c r="E144" s="73"/>
      <x:c r="F144" s="75"/>
      <x:c r="G144" s="75"/>
      <x:c r="H144" s="76" t="str">
        <x:f>IF(A144="","",F144-G144)</x:f>
      </x:c>
      <x:c r="I144" s="77" t="str">
        <x:f>IF(A144="","",IF(E144="","기타/불명",IF(IFERROR(SEARCH("급여",E144),0)&gt;0,"인건비",IF(IFERROR(SEARCH("임차",E144),0)&gt;0,"임차·시설",IF(IFERROR(SEARCH("광고",E144),0)&gt;0,"광고·행사",IF(IFERROR(SEARCH("용역",E144),0)&gt;0,"용역·수수료","기타/불명"))))))</x:f>
      </x:c>
      <x:c r="J144" s="77" t="str">
        <x:f>IF(A144="","",IF(I144="기타/불명","확인 필요","결의서명으로 1차 확인"))</x:f>
      </x:c>
      <x:c r="K144" s="78"/>
    </x:row>
    <x:row r="145">
      <x:c r="A145" s="73"/>
      <x:c r="B145" s="73"/>
      <x:c r="C145" s="74"/>
      <x:c r="D145" s="73"/>
      <x:c r="E145" s="73"/>
      <x:c r="F145" s="75"/>
      <x:c r="G145" s="75"/>
      <x:c r="H145" s="76" t="str">
        <x:f>IF(A145="","",F145-G145)</x:f>
      </x:c>
      <x:c r="I145" s="77" t="str">
        <x:f>IF(A145="","",IF(E145="","기타/불명",IF(IFERROR(SEARCH("급여",E145),0)&gt;0,"인건비",IF(IFERROR(SEARCH("임차",E145),0)&gt;0,"임차·시설",IF(IFERROR(SEARCH("광고",E145),0)&gt;0,"광고·행사",IF(IFERROR(SEARCH("용역",E145),0)&gt;0,"용역·수수료","기타/불명"))))))</x:f>
      </x:c>
      <x:c r="J145" s="77" t="str">
        <x:f>IF(A145="","",IF(I145="기타/불명","확인 필요","결의서명으로 1차 확인"))</x:f>
      </x:c>
      <x:c r="K145" s="78"/>
    </x:row>
    <x:row r="146">
      <x:c r="A146" s="73"/>
      <x:c r="B146" s="73"/>
      <x:c r="C146" s="74"/>
      <x:c r="D146" s="73"/>
      <x:c r="E146" s="73"/>
      <x:c r="F146" s="75"/>
      <x:c r="G146" s="75"/>
      <x:c r="H146" s="76" t="str">
        <x:f>IF(A146="","",F146-G146)</x:f>
      </x:c>
      <x:c r="I146" s="77" t="str">
        <x:f>IF(A146="","",IF(E146="","기타/불명",IF(IFERROR(SEARCH("급여",E146),0)&gt;0,"인건비",IF(IFERROR(SEARCH("임차",E146),0)&gt;0,"임차·시설",IF(IFERROR(SEARCH("광고",E146),0)&gt;0,"광고·행사",IF(IFERROR(SEARCH("용역",E146),0)&gt;0,"용역·수수료","기타/불명"))))))</x:f>
      </x:c>
      <x:c r="J146" s="77" t="str">
        <x:f>IF(A146="","",IF(I146="기타/불명","확인 필요","결의서명으로 1차 확인"))</x:f>
      </x:c>
      <x:c r="K146" s="78"/>
    </x:row>
    <x:row r="147">
      <x:c r="A147" s="73"/>
      <x:c r="B147" s="73"/>
      <x:c r="C147" s="74"/>
      <x:c r="D147" s="73"/>
      <x:c r="E147" s="73"/>
      <x:c r="F147" s="75"/>
      <x:c r="G147" s="75"/>
      <x:c r="H147" s="76" t="str">
        <x:f>IF(A147="","",F147-G147)</x:f>
      </x:c>
      <x:c r="I147" s="77" t="str">
        <x:f>IF(A147="","",IF(E147="","기타/불명",IF(IFERROR(SEARCH("급여",E147),0)&gt;0,"인건비",IF(IFERROR(SEARCH("임차",E147),0)&gt;0,"임차·시설",IF(IFERROR(SEARCH("광고",E147),0)&gt;0,"광고·행사",IF(IFERROR(SEARCH("용역",E147),0)&gt;0,"용역·수수료","기타/불명"))))))</x:f>
      </x:c>
      <x:c r="J147" s="77" t="str">
        <x:f>IF(A147="","",IF(I147="기타/불명","확인 필요","결의서명으로 1차 확인"))</x:f>
      </x:c>
      <x:c r="K147" s="78"/>
    </x:row>
    <x:row r="148">
      <x:c r="A148" s="73"/>
      <x:c r="B148" s="73"/>
      <x:c r="C148" s="74"/>
      <x:c r="D148" s="73"/>
      <x:c r="E148" s="73"/>
      <x:c r="F148" s="75"/>
      <x:c r="G148" s="75"/>
      <x:c r="H148" s="76" t="str">
        <x:f>IF(A148="","",F148-G148)</x:f>
      </x:c>
      <x:c r="I148" s="77" t="str">
        <x:f>IF(A148="","",IF(E148="","기타/불명",IF(IFERROR(SEARCH("급여",E148),0)&gt;0,"인건비",IF(IFERROR(SEARCH("임차",E148),0)&gt;0,"임차·시설",IF(IFERROR(SEARCH("광고",E148),0)&gt;0,"광고·행사",IF(IFERROR(SEARCH("용역",E148),0)&gt;0,"용역·수수료","기타/불명"))))))</x:f>
      </x:c>
      <x:c r="J148" s="77" t="str">
        <x:f>IF(A148="","",IF(I148="기타/불명","확인 필요","결의서명으로 1차 확인"))</x:f>
      </x:c>
      <x:c r="K148" s="78"/>
    </x:row>
    <x:row r="149">
      <x:c r="A149" s="73"/>
      <x:c r="B149" s="73"/>
      <x:c r="C149" s="74"/>
      <x:c r="D149" s="73"/>
      <x:c r="E149" s="73"/>
      <x:c r="F149" s="75"/>
      <x:c r="G149" s="75"/>
      <x:c r="H149" s="76" t="str">
        <x:f>IF(A149="","",F149-G149)</x:f>
      </x:c>
      <x:c r="I149" s="77" t="str">
        <x:f>IF(A149="","",IF(E149="","기타/불명",IF(IFERROR(SEARCH("급여",E149),0)&gt;0,"인건비",IF(IFERROR(SEARCH("임차",E149),0)&gt;0,"임차·시설",IF(IFERROR(SEARCH("광고",E149),0)&gt;0,"광고·행사",IF(IFERROR(SEARCH("용역",E149),0)&gt;0,"용역·수수료","기타/불명"))))))</x:f>
      </x:c>
      <x:c r="J149" s="77" t="str">
        <x:f>IF(A149="","",IF(I149="기타/불명","확인 필요","결의서명으로 1차 확인"))</x:f>
      </x:c>
      <x:c r="K149" s="78"/>
    </x:row>
    <x:row r="150">
      <x:c r="A150" s="73"/>
      <x:c r="B150" s="73"/>
      <x:c r="C150" s="74"/>
      <x:c r="D150" s="73"/>
      <x:c r="E150" s="73"/>
      <x:c r="F150" s="75"/>
      <x:c r="G150" s="75"/>
      <x:c r="H150" s="76" t="str">
        <x:f>IF(A150="","",F150-G150)</x:f>
      </x:c>
      <x:c r="I150" s="77" t="str">
        <x:f>IF(A150="","",IF(E150="","기타/불명",IF(IFERROR(SEARCH("급여",E150),0)&gt;0,"인건비",IF(IFERROR(SEARCH("임차",E150),0)&gt;0,"임차·시설",IF(IFERROR(SEARCH("광고",E150),0)&gt;0,"광고·행사",IF(IFERROR(SEARCH("용역",E150),0)&gt;0,"용역·수수료","기타/불명"))))))</x:f>
      </x:c>
      <x:c r="J150" s="77" t="str">
        <x:f>IF(A150="","",IF(I150="기타/불명","확인 필요","결의서명으로 1차 확인"))</x:f>
      </x:c>
      <x:c r="K150" s="78"/>
    </x:row>
    <x:row r="151">
      <x:c r="A151" s="73"/>
      <x:c r="B151" s="73"/>
      <x:c r="C151" s="74"/>
      <x:c r="D151" s="73"/>
      <x:c r="E151" s="73"/>
      <x:c r="F151" s="75"/>
      <x:c r="G151" s="75"/>
      <x:c r="H151" s="76" t="str">
        <x:f>IF(A151="","",F151-G151)</x:f>
      </x:c>
      <x:c r="I151" s="77" t="str">
        <x:f>IF(A151="","",IF(E151="","기타/불명",IF(IFERROR(SEARCH("급여",E151),0)&gt;0,"인건비",IF(IFERROR(SEARCH("임차",E151),0)&gt;0,"임차·시설",IF(IFERROR(SEARCH("광고",E151),0)&gt;0,"광고·행사",IF(IFERROR(SEARCH("용역",E151),0)&gt;0,"용역·수수료","기타/불명"))))))</x:f>
      </x:c>
      <x:c r="J151" s="77" t="str">
        <x:f>IF(A151="","",IF(I151="기타/불명","확인 필요","결의서명으로 1차 확인"))</x:f>
      </x:c>
      <x:c r="K151" s="78"/>
    </x:row>
    <x:row r="152">
      <x:c r="A152" s="73"/>
      <x:c r="B152" s="73"/>
      <x:c r="C152" s="74"/>
      <x:c r="D152" s="73"/>
      <x:c r="E152" s="73"/>
      <x:c r="F152" s="75"/>
      <x:c r="G152" s="75"/>
      <x:c r="H152" s="76" t="str">
        <x:f>IF(A152="","",F152-G152)</x:f>
      </x:c>
      <x:c r="I152" s="77" t="str">
        <x:f>IF(A152="","",IF(E152="","기타/불명",IF(IFERROR(SEARCH("급여",E152),0)&gt;0,"인건비",IF(IFERROR(SEARCH("임차",E152),0)&gt;0,"임차·시설",IF(IFERROR(SEARCH("광고",E152),0)&gt;0,"광고·행사",IF(IFERROR(SEARCH("용역",E152),0)&gt;0,"용역·수수료","기타/불명"))))))</x:f>
      </x:c>
      <x:c r="J152" s="77" t="str">
        <x:f>IF(A152="","",IF(I152="기타/불명","확인 필요","결의서명으로 1차 확인"))</x:f>
      </x:c>
      <x:c r="K152" s="78"/>
    </x:row>
    <x:row r="153">
      <x:c r="A153" s="73"/>
      <x:c r="B153" s="73"/>
      <x:c r="C153" s="74"/>
      <x:c r="D153" s="73"/>
      <x:c r="E153" s="73"/>
      <x:c r="F153" s="75"/>
      <x:c r="G153" s="75"/>
      <x:c r="H153" s="76" t="str">
        <x:f>IF(A153="","",F153-G153)</x:f>
      </x:c>
      <x:c r="I153" s="77" t="str">
        <x:f>IF(A153="","",IF(E153="","기타/불명",IF(IFERROR(SEARCH("급여",E153),0)&gt;0,"인건비",IF(IFERROR(SEARCH("임차",E153),0)&gt;0,"임차·시설",IF(IFERROR(SEARCH("광고",E153),0)&gt;0,"광고·행사",IF(IFERROR(SEARCH("용역",E153),0)&gt;0,"용역·수수료","기타/불명"))))))</x:f>
      </x:c>
      <x:c r="J153" s="77" t="str">
        <x:f>IF(A153="","",IF(I153="기타/불명","확인 필요","결의서명으로 1차 확인"))</x:f>
      </x:c>
      <x:c r="K153" s="78"/>
    </x:row>
    <x:row r="154">
      <x:c r="A154" s="73"/>
      <x:c r="B154" s="73"/>
      <x:c r="C154" s="74"/>
      <x:c r="D154" s="73"/>
      <x:c r="E154" s="73"/>
      <x:c r="F154" s="75"/>
      <x:c r="G154" s="75"/>
      <x:c r="H154" s="76" t="str">
        <x:f>IF(A154="","",F154-G154)</x:f>
      </x:c>
      <x:c r="I154" s="77" t="str">
        <x:f>IF(A154="","",IF(E154="","기타/불명",IF(IFERROR(SEARCH("급여",E154),0)&gt;0,"인건비",IF(IFERROR(SEARCH("임차",E154),0)&gt;0,"임차·시설",IF(IFERROR(SEARCH("광고",E154),0)&gt;0,"광고·행사",IF(IFERROR(SEARCH("용역",E154),0)&gt;0,"용역·수수료","기타/불명"))))))</x:f>
      </x:c>
      <x:c r="J154" s="77" t="str">
        <x:f>IF(A154="","",IF(I154="기타/불명","확인 필요","결의서명으로 1차 확인"))</x:f>
      </x:c>
      <x:c r="K154" s="78"/>
    </x:row>
    <x:row r="155">
      <x:c r="A155" s="73"/>
      <x:c r="B155" s="73"/>
      <x:c r="C155" s="74"/>
      <x:c r="D155" s="73"/>
      <x:c r="E155" s="73"/>
      <x:c r="F155" s="75"/>
      <x:c r="G155" s="75"/>
      <x:c r="H155" s="76" t="str">
        <x:f>IF(A155="","",F155-G155)</x:f>
      </x:c>
      <x:c r="I155" s="77" t="str">
        <x:f>IF(A155="","",IF(E155="","기타/불명",IF(IFERROR(SEARCH("급여",E155),0)&gt;0,"인건비",IF(IFERROR(SEARCH("임차",E155),0)&gt;0,"임차·시설",IF(IFERROR(SEARCH("광고",E155),0)&gt;0,"광고·행사",IF(IFERROR(SEARCH("용역",E155),0)&gt;0,"용역·수수료","기타/불명"))))))</x:f>
      </x:c>
      <x:c r="J155" s="77" t="str">
        <x:f>IF(A155="","",IF(I155="기타/불명","확인 필요","결의서명으로 1차 확인"))</x:f>
      </x:c>
      <x:c r="K155" s="78"/>
    </x:row>
    <x:row r="156">
      <x:c r="A156" s="73"/>
      <x:c r="B156" s="73"/>
      <x:c r="C156" s="74"/>
      <x:c r="D156" s="73"/>
      <x:c r="E156" s="73"/>
      <x:c r="F156" s="75"/>
      <x:c r="G156" s="75"/>
      <x:c r="H156" s="76" t="str">
        <x:f>IF(A156="","",F156-G156)</x:f>
      </x:c>
      <x:c r="I156" s="77" t="str">
        <x:f>IF(A156="","",IF(E156="","기타/불명",IF(IFERROR(SEARCH("급여",E156),0)&gt;0,"인건비",IF(IFERROR(SEARCH("임차",E156),0)&gt;0,"임차·시설",IF(IFERROR(SEARCH("광고",E156),0)&gt;0,"광고·행사",IF(IFERROR(SEARCH("용역",E156),0)&gt;0,"용역·수수료","기타/불명"))))))</x:f>
      </x:c>
      <x:c r="J156" s="77" t="str">
        <x:f>IF(A156="","",IF(I156="기타/불명","확인 필요","결의서명으로 1차 확인"))</x:f>
      </x:c>
      <x:c r="K156" s="78"/>
    </x:row>
    <x:row r="157">
      <x:c r="A157" s="73"/>
      <x:c r="B157" s="73"/>
      <x:c r="C157" s="74"/>
      <x:c r="D157" s="73"/>
      <x:c r="E157" s="73"/>
      <x:c r="F157" s="75"/>
      <x:c r="G157" s="75"/>
      <x:c r="H157" s="76" t="str">
        <x:f>IF(A157="","",F157-G157)</x:f>
      </x:c>
      <x:c r="I157" s="77" t="str">
        <x:f>IF(A157="","",IF(E157="","기타/불명",IF(IFERROR(SEARCH("급여",E157),0)&gt;0,"인건비",IF(IFERROR(SEARCH("임차",E157),0)&gt;0,"임차·시설",IF(IFERROR(SEARCH("광고",E157),0)&gt;0,"광고·행사",IF(IFERROR(SEARCH("용역",E157),0)&gt;0,"용역·수수료","기타/불명"))))))</x:f>
      </x:c>
      <x:c r="J157" s="77" t="str">
        <x:f>IF(A157="","",IF(I157="기타/불명","확인 필요","결의서명으로 1차 확인"))</x:f>
      </x:c>
      <x:c r="K157" s="78"/>
    </x:row>
    <x:row r="158">
      <x:c r="A158" s="73"/>
      <x:c r="B158" s="73"/>
      <x:c r="C158" s="74"/>
      <x:c r="D158" s="73"/>
      <x:c r="E158" s="73"/>
      <x:c r="F158" s="75"/>
      <x:c r="G158" s="75"/>
      <x:c r="H158" s="76" t="str">
        <x:f>IF(A158="","",F158-G158)</x:f>
      </x:c>
      <x:c r="I158" s="77" t="str">
        <x:f>IF(A158="","",IF(E158="","기타/불명",IF(IFERROR(SEARCH("급여",E158),0)&gt;0,"인건비",IF(IFERROR(SEARCH("임차",E158),0)&gt;0,"임차·시설",IF(IFERROR(SEARCH("광고",E158),0)&gt;0,"광고·행사",IF(IFERROR(SEARCH("용역",E158),0)&gt;0,"용역·수수료","기타/불명"))))))</x:f>
      </x:c>
      <x:c r="J158" s="77" t="str">
        <x:f>IF(A158="","",IF(I158="기타/불명","확인 필요","결의서명으로 1차 확인"))</x:f>
      </x:c>
      <x:c r="K158" s="78"/>
    </x:row>
    <x:row r="159">
      <x:c r="A159" s="73"/>
      <x:c r="B159" s="73"/>
      <x:c r="C159" s="74"/>
      <x:c r="D159" s="73"/>
      <x:c r="E159" s="73"/>
      <x:c r="F159" s="75"/>
      <x:c r="G159" s="75"/>
      <x:c r="H159" s="76" t="str">
        <x:f>IF(A159="","",F159-G159)</x:f>
      </x:c>
      <x:c r="I159" s="77" t="str">
        <x:f>IF(A159="","",IF(E159="","기타/불명",IF(IFERROR(SEARCH("급여",E159),0)&gt;0,"인건비",IF(IFERROR(SEARCH("임차",E159),0)&gt;0,"임차·시설",IF(IFERROR(SEARCH("광고",E159),0)&gt;0,"광고·행사",IF(IFERROR(SEARCH("용역",E159),0)&gt;0,"용역·수수료","기타/불명"))))))</x:f>
      </x:c>
      <x:c r="J159" s="77" t="str">
        <x:f>IF(A159="","",IF(I159="기타/불명","확인 필요","결의서명으로 1차 확인"))</x:f>
      </x:c>
      <x:c r="K159" s="78"/>
    </x:row>
    <x:row r="160">
      <x:c r="A160" s="73"/>
      <x:c r="B160" s="73"/>
      <x:c r="C160" s="74"/>
      <x:c r="D160" s="73"/>
      <x:c r="E160" s="73"/>
      <x:c r="F160" s="75"/>
      <x:c r="G160" s="75"/>
      <x:c r="H160" s="76" t="str">
        <x:f>IF(A160="","",F160-G160)</x:f>
      </x:c>
      <x:c r="I160" s="77" t="str">
        <x:f>IF(A160="","",IF(E160="","기타/불명",IF(IFERROR(SEARCH("급여",E160),0)&gt;0,"인건비",IF(IFERROR(SEARCH("임차",E160),0)&gt;0,"임차·시설",IF(IFERROR(SEARCH("광고",E160),0)&gt;0,"광고·행사",IF(IFERROR(SEARCH("용역",E160),0)&gt;0,"용역·수수료","기타/불명"))))))</x:f>
      </x:c>
      <x:c r="J160" s="77" t="str">
        <x:f>IF(A160="","",IF(I160="기타/불명","확인 필요","결의서명으로 1차 확인"))</x:f>
      </x:c>
      <x:c r="K160" s="78"/>
    </x:row>
    <x:row r="161">
      <x:c r="A161" s="73"/>
      <x:c r="B161" s="73"/>
      <x:c r="C161" s="74"/>
      <x:c r="D161" s="73"/>
      <x:c r="E161" s="73"/>
      <x:c r="F161" s="75"/>
      <x:c r="G161" s="75"/>
      <x:c r="H161" s="76" t="str">
        <x:f>IF(A161="","",F161-G161)</x:f>
      </x:c>
      <x:c r="I161" s="77" t="str">
        <x:f>IF(A161="","",IF(E161="","기타/불명",IF(IFERROR(SEARCH("급여",E161),0)&gt;0,"인건비",IF(IFERROR(SEARCH("임차",E161),0)&gt;0,"임차·시설",IF(IFERROR(SEARCH("광고",E161),0)&gt;0,"광고·행사",IF(IFERROR(SEARCH("용역",E161),0)&gt;0,"용역·수수료","기타/불명"))))))</x:f>
      </x:c>
      <x:c r="J161" s="77" t="str">
        <x:f>IF(A161="","",IF(I161="기타/불명","확인 필요","결의서명으로 1차 확인"))</x:f>
      </x:c>
      <x:c r="K161" s="78"/>
    </x:row>
    <x:row r="162">
      <x:c r="A162" s="73"/>
      <x:c r="B162" s="73"/>
      <x:c r="C162" s="74"/>
      <x:c r="D162" s="73"/>
      <x:c r="E162" s="73"/>
      <x:c r="F162" s="75"/>
      <x:c r="G162" s="75"/>
      <x:c r="H162" s="76" t="str">
        <x:f>IF(A162="","",F162-G162)</x:f>
      </x:c>
      <x:c r="I162" s="77" t="str">
        <x:f>IF(A162="","",IF(E162="","기타/불명",IF(IFERROR(SEARCH("급여",E162),0)&gt;0,"인건비",IF(IFERROR(SEARCH("임차",E162),0)&gt;0,"임차·시설",IF(IFERROR(SEARCH("광고",E162),0)&gt;0,"광고·행사",IF(IFERROR(SEARCH("용역",E162),0)&gt;0,"용역·수수료","기타/불명"))))))</x:f>
      </x:c>
      <x:c r="J162" s="77" t="str">
        <x:f>IF(A162="","",IF(I162="기타/불명","확인 필요","결의서명으로 1차 확인"))</x:f>
      </x:c>
      <x:c r="K162" s="78"/>
    </x:row>
    <x:row r="163">
      <x:c r="A163" s="73"/>
      <x:c r="B163" s="73"/>
      <x:c r="C163" s="74"/>
      <x:c r="D163" s="73"/>
      <x:c r="E163" s="73"/>
      <x:c r="F163" s="75"/>
      <x:c r="G163" s="75"/>
      <x:c r="H163" s="76" t="str">
        <x:f>IF(A163="","",F163-G163)</x:f>
      </x:c>
      <x:c r="I163" s="77" t="str">
        <x:f>IF(A163="","",IF(E163="","기타/불명",IF(IFERROR(SEARCH("급여",E163),0)&gt;0,"인건비",IF(IFERROR(SEARCH("임차",E163),0)&gt;0,"임차·시설",IF(IFERROR(SEARCH("광고",E163),0)&gt;0,"광고·행사",IF(IFERROR(SEARCH("용역",E163),0)&gt;0,"용역·수수료","기타/불명"))))))</x:f>
      </x:c>
      <x:c r="J163" s="77" t="str">
        <x:f>IF(A163="","",IF(I163="기타/불명","확인 필요","결의서명으로 1차 확인"))</x:f>
      </x:c>
      <x:c r="K163" s="78"/>
    </x:row>
    <x:row r="164">
      <x:c r="A164" s="73"/>
      <x:c r="B164" s="73"/>
      <x:c r="C164" s="74"/>
      <x:c r="D164" s="73"/>
      <x:c r="E164" s="73"/>
      <x:c r="F164" s="75"/>
      <x:c r="G164" s="75"/>
      <x:c r="H164" s="76" t="str">
        <x:f>IF(A164="","",F164-G164)</x:f>
      </x:c>
      <x:c r="I164" s="77" t="str">
        <x:f>IF(A164="","",IF(E164="","기타/불명",IF(IFERROR(SEARCH("급여",E164),0)&gt;0,"인건비",IF(IFERROR(SEARCH("임차",E164),0)&gt;0,"임차·시설",IF(IFERROR(SEARCH("광고",E164),0)&gt;0,"광고·행사",IF(IFERROR(SEARCH("용역",E164),0)&gt;0,"용역·수수료","기타/불명"))))))</x:f>
      </x:c>
      <x:c r="J164" s="77" t="str">
        <x:f>IF(A164="","",IF(I164="기타/불명","확인 필요","결의서명으로 1차 확인"))</x:f>
      </x:c>
      <x:c r="K164" s="78"/>
    </x:row>
    <x:row r="165">
      <x:c r="A165" s="73"/>
      <x:c r="B165" s="73"/>
      <x:c r="C165" s="74"/>
      <x:c r="D165" s="73"/>
      <x:c r="E165" s="73"/>
      <x:c r="F165" s="75"/>
      <x:c r="G165" s="75"/>
      <x:c r="H165" s="76" t="str">
        <x:f>IF(A165="","",F165-G165)</x:f>
      </x:c>
      <x:c r="I165" s="77" t="str">
        <x:f>IF(A165="","",IF(E165="","기타/불명",IF(IFERROR(SEARCH("급여",E165),0)&gt;0,"인건비",IF(IFERROR(SEARCH("임차",E165),0)&gt;0,"임차·시설",IF(IFERROR(SEARCH("광고",E165),0)&gt;0,"광고·행사",IF(IFERROR(SEARCH("용역",E165),0)&gt;0,"용역·수수료","기타/불명"))))))</x:f>
      </x:c>
      <x:c r="J165" s="77" t="str">
        <x:f>IF(A165="","",IF(I165="기타/불명","확인 필요","결의서명으로 1차 확인"))</x:f>
      </x:c>
      <x:c r="K165" s="78"/>
    </x:row>
    <x:row r="166">
      <x:c r="A166" s="73"/>
      <x:c r="B166" s="73"/>
      <x:c r="C166" s="74"/>
      <x:c r="D166" s="73"/>
      <x:c r="E166" s="73"/>
      <x:c r="F166" s="75"/>
      <x:c r="G166" s="75"/>
      <x:c r="H166" s="76" t="str">
        <x:f>IF(A166="","",F166-G166)</x:f>
      </x:c>
      <x:c r="I166" s="77" t="str">
        <x:f>IF(A166="","",IF(E166="","기타/불명",IF(IFERROR(SEARCH("급여",E166),0)&gt;0,"인건비",IF(IFERROR(SEARCH("임차",E166),0)&gt;0,"임차·시설",IF(IFERROR(SEARCH("광고",E166),0)&gt;0,"광고·행사",IF(IFERROR(SEARCH("용역",E166),0)&gt;0,"용역·수수료","기타/불명"))))))</x:f>
      </x:c>
      <x:c r="J166" s="77" t="str">
        <x:f>IF(A166="","",IF(I166="기타/불명","확인 필요","결의서명으로 1차 확인"))</x:f>
      </x:c>
      <x:c r="K166" s="78"/>
    </x:row>
    <x:row r="167">
      <x:c r="A167" s="73"/>
      <x:c r="B167" s="73"/>
      <x:c r="C167" s="74"/>
      <x:c r="D167" s="73"/>
      <x:c r="E167" s="73"/>
      <x:c r="F167" s="75"/>
      <x:c r="G167" s="75"/>
      <x:c r="H167" s="76" t="str">
        <x:f>IF(A167="","",F167-G167)</x:f>
      </x:c>
      <x:c r="I167" s="77" t="str">
        <x:f>IF(A167="","",IF(E167="","기타/불명",IF(IFERROR(SEARCH("급여",E167),0)&gt;0,"인건비",IF(IFERROR(SEARCH("임차",E167),0)&gt;0,"임차·시설",IF(IFERROR(SEARCH("광고",E167),0)&gt;0,"광고·행사",IF(IFERROR(SEARCH("용역",E167),0)&gt;0,"용역·수수료","기타/불명"))))))</x:f>
      </x:c>
      <x:c r="J167" s="77" t="str">
        <x:f>IF(A167="","",IF(I167="기타/불명","확인 필요","결의서명으로 1차 확인"))</x:f>
      </x:c>
      <x:c r="K167" s="78"/>
    </x:row>
    <x:row r="168">
      <x:c r="A168" s="73"/>
      <x:c r="B168" s="73"/>
      <x:c r="C168" s="74"/>
      <x:c r="D168" s="73"/>
      <x:c r="E168" s="73"/>
      <x:c r="F168" s="75"/>
      <x:c r="G168" s="75"/>
      <x:c r="H168" s="76" t="str">
        <x:f>IF(A168="","",F168-G168)</x:f>
      </x:c>
      <x:c r="I168" s="77" t="str">
        <x:f>IF(A168="","",IF(E168="","기타/불명",IF(IFERROR(SEARCH("급여",E168),0)&gt;0,"인건비",IF(IFERROR(SEARCH("임차",E168),0)&gt;0,"임차·시설",IF(IFERROR(SEARCH("광고",E168),0)&gt;0,"광고·행사",IF(IFERROR(SEARCH("용역",E168),0)&gt;0,"용역·수수료","기타/불명"))))))</x:f>
      </x:c>
      <x:c r="J168" s="77" t="str">
        <x:f>IF(A168="","",IF(I168="기타/불명","확인 필요","결의서명으로 1차 확인"))</x:f>
      </x:c>
      <x:c r="K168" s="78"/>
    </x:row>
    <x:row r="169">
      <x:c r="A169" s="73"/>
      <x:c r="B169" s="73"/>
      <x:c r="C169" s="74"/>
      <x:c r="D169" s="73"/>
      <x:c r="E169" s="73"/>
      <x:c r="F169" s="75"/>
      <x:c r="G169" s="75"/>
      <x:c r="H169" s="76" t="str">
        <x:f>IF(A169="","",F169-G169)</x:f>
      </x:c>
      <x:c r="I169" s="77" t="str">
        <x:f>IF(A169="","",IF(E169="","기타/불명",IF(IFERROR(SEARCH("급여",E169),0)&gt;0,"인건비",IF(IFERROR(SEARCH("임차",E169),0)&gt;0,"임차·시설",IF(IFERROR(SEARCH("광고",E169),0)&gt;0,"광고·행사",IF(IFERROR(SEARCH("용역",E169),0)&gt;0,"용역·수수료","기타/불명"))))))</x:f>
      </x:c>
      <x:c r="J169" s="77" t="str">
        <x:f>IF(A169="","",IF(I169="기타/불명","확인 필요","결의서명으로 1차 확인"))</x:f>
      </x:c>
      <x:c r="K169" s="78"/>
    </x:row>
    <x:row r="170">
      <x:c r="A170" s="73"/>
      <x:c r="B170" s="73"/>
      <x:c r="C170" s="74"/>
      <x:c r="D170" s="73"/>
      <x:c r="E170" s="73"/>
      <x:c r="F170" s="75"/>
      <x:c r="G170" s="75"/>
      <x:c r="H170" s="76" t="str">
        <x:f>IF(A170="","",F170-G170)</x:f>
      </x:c>
      <x:c r="I170" s="77" t="str">
        <x:f>IF(A170="","",IF(E170="","기타/불명",IF(IFERROR(SEARCH("급여",E170),0)&gt;0,"인건비",IF(IFERROR(SEARCH("임차",E170),0)&gt;0,"임차·시설",IF(IFERROR(SEARCH("광고",E170),0)&gt;0,"광고·행사",IF(IFERROR(SEARCH("용역",E170),0)&gt;0,"용역·수수료","기타/불명"))))))</x:f>
      </x:c>
      <x:c r="J170" s="77" t="str">
        <x:f>IF(A170="","",IF(I170="기타/불명","확인 필요","결의서명으로 1차 확인"))</x:f>
      </x:c>
      <x:c r="K170" s="78"/>
    </x:row>
    <x:row r="171">
      <x:c r="A171" s="73"/>
      <x:c r="B171" s="73"/>
      <x:c r="C171" s="74"/>
      <x:c r="D171" s="73"/>
      <x:c r="E171" s="73"/>
      <x:c r="F171" s="75"/>
      <x:c r="G171" s="75"/>
      <x:c r="H171" s="76" t="str">
        <x:f>IF(A171="","",F171-G171)</x:f>
      </x:c>
      <x:c r="I171" s="77" t="str">
        <x:f>IF(A171="","",IF(E171="","기타/불명",IF(IFERROR(SEARCH("급여",E171),0)&gt;0,"인건비",IF(IFERROR(SEARCH("임차",E171),0)&gt;0,"임차·시설",IF(IFERROR(SEARCH("광고",E171),0)&gt;0,"광고·행사",IF(IFERROR(SEARCH("용역",E171),0)&gt;0,"용역·수수료","기타/불명"))))))</x:f>
      </x:c>
      <x:c r="J171" s="77" t="str">
        <x:f>IF(A171="","",IF(I171="기타/불명","확인 필요","결의서명으로 1차 확인"))</x:f>
      </x:c>
      <x:c r="K171" s="78"/>
    </x:row>
    <x:row r="172">
      <x:c r="A172" s="73"/>
      <x:c r="B172" s="73"/>
      <x:c r="C172" s="74"/>
      <x:c r="D172" s="73"/>
      <x:c r="E172" s="73"/>
      <x:c r="F172" s="75"/>
      <x:c r="G172" s="75"/>
      <x:c r="H172" s="76" t="str">
        <x:f>IF(A172="","",F172-G172)</x:f>
      </x:c>
      <x:c r="I172" s="77" t="str">
        <x:f>IF(A172="","",IF(E172="","기타/불명",IF(IFERROR(SEARCH("급여",E172),0)&gt;0,"인건비",IF(IFERROR(SEARCH("임차",E172),0)&gt;0,"임차·시설",IF(IFERROR(SEARCH("광고",E172),0)&gt;0,"광고·행사",IF(IFERROR(SEARCH("용역",E172),0)&gt;0,"용역·수수료","기타/불명"))))))</x:f>
      </x:c>
      <x:c r="J172" s="77" t="str">
        <x:f>IF(A172="","",IF(I172="기타/불명","확인 필요","결의서명으로 1차 확인"))</x:f>
      </x:c>
      <x:c r="K172" s="78"/>
    </x:row>
    <x:row r="173">
      <x:c r="A173" s="73"/>
      <x:c r="B173" s="73"/>
      <x:c r="C173" s="74"/>
      <x:c r="D173" s="73"/>
      <x:c r="E173" s="73"/>
      <x:c r="F173" s="75"/>
      <x:c r="G173" s="75"/>
      <x:c r="H173" s="76" t="str">
        <x:f>IF(A173="","",F173-G173)</x:f>
      </x:c>
      <x:c r="I173" s="77" t="str">
        <x:f>IF(A173="","",IF(E173="","기타/불명",IF(IFERROR(SEARCH("급여",E173),0)&gt;0,"인건비",IF(IFERROR(SEARCH("임차",E173),0)&gt;0,"임차·시설",IF(IFERROR(SEARCH("광고",E173),0)&gt;0,"광고·행사",IF(IFERROR(SEARCH("용역",E173),0)&gt;0,"용역·수수료","기타/불명"))))))</x:f>
      </x:c>
      <x:c r="J173" s="77" t="str">
        <x:f>IF(A173="","",IF(I173="기타/불명","확인 필요","결의서명으로 1차 확인"))</x:f>
      </x:c>
      <x:c r="K173" s="78"/>
    </x:row>
    <x:row r="174">
      <x:c r="A174" s="73"/>
      <x:c r="B174" s="73"/>
      <x:c r="C174" s="74"/>
      <x:c r="D174" s="73"/>
      <x:c r="E174" s="73"/>
      <x:c r="F174" s="75"/>
      <x:c r="G174" s="75"/>
      <x:c r="H174" s="76" t="str">
        <x:f>IF(A174="","",F174-G174)</x:f>
      </x:c>
      <x:c r="I174" s="77" t="str">
        <x:f>IF(A174="","",IF(E174="","기타/불명",IF(IFERROR(SEARCH("급여",E174),0)&gt;0,"인건비",IF(IFERROR(SEARCH("임차",E174),0)&gt;0,"임차·시설",IF(IFERROR(SEARCH("광고",E174),0)&gt;0,"광고·행사",IF(IFERROR(SEARCH("용역",E174),0)&gt;0,"용역·수수료","기타/불명"))))))</x:f>
      </x:c>
      <x:c r="J174" s="77" t="str">
        <x:f>IF(A174="","",IF(I174="기타/불명","확인 필요","결의서명으로 1차 확인"))</x:f>
      </x:c>
      <x:c r="K174" s="78"/>
    </x:row>
    <x:row r="175">
      <x:c r="A175" s="73"/>
      <x:c r="B175" s="73"/>
      <x:c r="C175" s="74"/>
      <x:c r="D175" s="73"/>
      <x:c r="E175" s="73"/>
      <x:c r="F175" s="75"/>
      <x:c r="G175" s="75"/>
      <x:c r="H175" s="76" t="str">
        <x:f>IF(A175="","",F175-G175)</x:f>
      </x:c>
      <x:c r="I175" s="77" t="str">
        <x:f>IF(A175="","",IF(E175="","기타/불명",IF(IFERROR(SEARCH("급여",E175),0)&gt;0,"인건비",IF(IFERROR(SEARCH("임차",E175),0)&gt;0,"임차·시설",IF(IFERROR(SEARCH("광고",E175),0)&gt;0,"광고·행사",IF(IFERROR(SEARCH("용역",E175),0)&gt;0,"용역·수수료","기타/불명"))))))</x:f>
      </x:c>
      <x:c r="J175" s="77" t="str">
        <x:f>IF(A175="","",IF(I175="기타/불명","확인 필요","결의서명으로 1차 확인"))</x:f>
      </x:c>
      <x:c r="K175" s="78"/>
    </x:row>
    <x:row r="176">
      <x:c r="A176" s="73"/>
      <x:c r="B176" s="73"/>
      <x:c r="C176" s="74"/>
      <x:c r="D176" s="73"/>
      <x:c r="E176" s="73"/>
      <x:c r="F176" s="75"/>
      <x:c r="G176" s="75"/>
      <x:c r="H176" s="76" t="str">
        <x:f>IF(A176="","",F176-G176)</x:f>
      </x:c>
      <x:c r="I176" s="77" t="str">
        <x:f>IF(A176="","",IF(E176="","기타/불명",IF(IFERROR(SEARCH("급여",E176),0)&gt;0,"인건비",IF(IFERROR(SEARCH("임차",E176),0)&gt;0,"임차·시설",IF(IFERROR(SEARCH("광고",E176),0)&gt;0,"광고·행사",IF(IFERROR(SEARCH("용역",E176),0)&gt;0,"용역·수수료","기타/불명"))))))</x:f>
      </x:c>
      <x:c r="J176" s="77" t="str">
        <x:f>IF(A176="","",IF(I176="기타/불명","확인 필요","결의서명으로 1차 확인"))</x:f>
      </x:c>
      <x:c r="K176" s="78"/>
    </x:row>
    <x:row r="177">
      <x:c r="A177" s="73"/>
      <x:c r="B177" s="73"/>
      <x:c r="C177" s="74"/>
      <x:c r="D177" s="73"/>
      <x:c r="E177" s="73"/>
      <x:c r="F177" s="75"/>
      <x:c r="G177" s="75"/>
      <x:c r="H177" s="76" t="str">
        <x:f>IF(A177="","",F177-G177)</x:f>
      </x:c>
      <x:c r="I177" s="77" t="str">
        <x:f>IF(A177="","",IF(E177="","기타/불명",IF(IFERROR(SEARCH("급여",E177),0)&gt;0,"인건비",IF(IFERROR(SEARCH("임차",E177),0)&gt;0,"임차·시설",IF(IFERROR(SEARCH("광고",E177),0)&gt;0,"광고·행사",IF(IFERROR(SEARCH("용역",E177),0)&gt;0,"용역·수수료","기타/불명"))))))</x:f>
      </x:c>
      <x:c r="J177" s="77" t="str">
        <x:f>IF(A177="","",IF(I177="기타/불명","확인 필요","결의서명으로 1차 확인"))</x:f>
      </x:c>
      <x:c r="K177" s="78"/>
    </x:row>
    <x:row r="178">
      <x:c r="A178" s="73"/>
      <x:c r="B178" s="73"/>
      <x:c r="C178" s="74"/>
      <x:c r="D178" s="73"/>
      <x:c r="E178" s="73"/>
      <x:c r="F178" s="75"/>
      <x:c r="G178" s="75"/>
      <x:c r="H178" s="76" t="str">
        <x:f>IF(A178="","",F178-G178)</x:f>
      </x:c>
      <x:c r="I178" s="77" t="str">
        <x:f>IF(A178="","",IF(E178="","기타/불명",IF(IFERROR(SEARCH("급여",E178),0)&gt;0,"인건비",IF(IFERROR(SEARCH("임차",E178),0)&gt;0,"임차·시설",IF(IFERROR(SEARCH("광고",E178),0)&gt;0,"광고·행사",IF(IFERROR(SEARCH("용역",E178),0)&gt;0,"용역·수수료","기타/불명"))))))</x:f>
      </x:c>
      <x:c r="J178" s="77" t="str">
        <x:f>IF(A178="","",IF(I178="기타/불명","확인 필요","결의서명으로 1차 확인"))</x:f>
      </x:c>
      <x:c r="K178" s="78"/>
    </x:row>
    <x:row r="179">
      <x:c r="A179" s="73"/>
      <x:c r="B179" s="73"/>
      <x:c r="C179" s="74"/>
      <x:c r="D179" s="73"/>
      <x:c r="E179" s="73"/>
      <x:c r="F179" s="75"/>
      <x:c r="G179" s="75"/>
      <x:c r="H179" s="76" t="str">
        <x:f>IF(A179="","",F179-G179)</x:f>
      </x:c>
      <x:c r="I179" s="77" t="str">
        <x:f>IF(A179="","",IF(E179="","기타/불명",IF(IFERROR(SEARCH("급여",E179),0)&gt;0,"인건비",IF(IFERROR(SEARCH("임차",E179),0)&gt;0,"임차·시설",IF(IFERROR(SEARCH("광고",E179),0)&gt;0,"광고·행사",IF(IFERROR(SEARCH("용역",E179),0)&gt;0,"용역·수수료","기타/불명"))))))</x:f>
      </x:c>
      <x:c r="J179" s="77" t="str">
        <x:f>IF(A179="","",IF(I179="기타/불명","확인 필요","결의서명으로 1차 확인"))</x:f>
      </x:c>
      <x:c r="K179" s="78"/>
    </x:row>
    <x:row r="180">
      <x:c r="A180" s="73"/>
      <x:c r="B180" s="73"/>
      <x:c r="C180" s="74"/>
      <x:c r="D180" s="73"/>
      <x:c r="E180" s="73"/>
      <x:c r="F180" s="75"/>
      <x:c r="G180" s="75"/>
      <x:c r="H180" s="76" t="str">
        <x:f>IF(A180="","",F180-G180)</x:f>
      </x:c>
      <x:c r="I180" s="77" t="str">
        <x:f>IF(A180="","",IF(E180="","기타/불명",IF(IFERROR(SEARCH("급여",E180),0)&gt;0,"인건비",IF(IFERROR(SEARCH("임차",E180),0)&gt;0,"임차·시설",IF(IFERROR(SEARCH("광고",E180),0)&gt;0,"광고·행사",IF(IFERROR(SEARCH("용역",E180),0)&gt;0,"용역·수수료","기타/불명"))))))</x:f>
      </x:c>
      <x:c r="J180" s="77" t="str">
        <x:f>IF(A180="","",IF(I180="기타/불명","확인 필요","결의서명으로 1차 확인"))</x:f>
      </x:c>
      <x:c r="K180" s="78"/>
    </x:row>
    <x:row r="181">
      <x:c r="A181" s="73"/>
      <x:c r="B181" s="73"/>
      <x:c r="C181" s="74"/>
      <x:c r="D181" s="73"/>
      <x:c r="E181" s="73"/>
      <x:c r="F181" s="75"/>
      <x:c r="G181" s="75"/>
      <x:c r="H181" s="76" t="str">
        <x:f>IF(A181="","",F181-G181)</x:f>
      </x:c>
      <x:c r="I181" s="77" t="str">
        <x:f>IF(A181="","",IF(E181="","기타/불명",IF(IFERROR(SEARCH("급여",E181),0)&gt;0,"인건비",IF(IFERROR(SEARCH("임차",E181),0)&gt;0,"임차·시설",IF(IFERROR(SEARCH("광고",E181),0)&gt;0,"광고·행사",IF(IFERROR(SEARCH("용역",E181),0)&gt;0,"용역·수수료","기타/불명"))))))</x:f>
      </x:c>
      <x:c r="J181" s="77" t="str">
        <x:f>IF(A181="","",IF(I181="기타/불명","확인 필요","결의서명으로 1차 확인"))</x:f>
      </x:c>
      <x:c r="K181" s="78"/>
    </x:row>
    <x:row r="182">
      <x:c r="A182" s="73"/>
      <x:c r="B182" s="73"/>
      <x:c r="C182" s="74"/>
      <x:c r="D182" s="73"/>
      <x:c r="E182" s="73"/>
      <x:c r="F182" s="75"/>
      <x:c r="G182" s="75"/>
      <x:c r="H182" s="76" t="str">
        <x:f>IF(A182="","",F182-G182)</x:f>
      </x:c>
      <x:c r="I182" s="77" t="str">
        <x:f>IF(A182="","",IF(E182="","기타/불명",IF(IFERROR(SEARCH("급여",E182),0)&gt;0,"인건비",IF(IFERROR(SEARCH("임차",E182),0)&gt;0,"임차·시설",IF(IFERROR(SEARCH("광고",E182),0)&gt;0,"광고·행사",IF(IFERROR(SEARCH("용역",E182),0)&gt;0,"용역·수수료","기타/불명"))))))</x:f>
      </x:c>
      <x:c r="J182" s="77" t="str">
        <x:f>IF(A182="","",IF(I182="기타/불명","확인 필요","결의서명으로 1차 확인"))</x:f>
      </x:c>
      <x:c r="K182" s="78"/>
    </x:row>
    <x:row r="183">
      <x:c r="A183" s="73"/>
      <x:c r="B183" s="73"/>
      <x:c r="C183" s="74"/>
      <x:c r="D183" s="73"/>
      <x:c r="E183" s="73"/>
      <x:c r="F183" s="75"/>
      <x:c r="G183" s="75"/>
      <x:c r="H183" s="76" t="str">
        <x:f>IF(A183="","",F183-G183)</x:f>
      </x:c>
      <x:c r="I183" s="77" t="str">
        <x:f>IF(A183="","",IF(E183="","기타/불명",IF(IFERROR(SEARCH("급여",E183),0)&gt;0,"인건비",IF(IFERROR(SEARCH("임차",E183),0)&gt;0,"임차·시설",IF(IFERROR(SEARCH("광고",E183),0)&gt;0,"광고·행사",IF(IFERROR(SEARCH("용역",E183),0)&gt;0,"용역·수수료","기타/불명"))))))</x:f>
      </x:c>
      <x:c r="J183" s="77" t="str">
        <x:f>IF(A183="","",IF(I183="기타/불명","확인 필요","결의서명으로 1차 확인"))</x:f>
      </x:c>
      <x:c r="K183" s="78"/>
    </x:row>
    <x:row r="184">
      <x:c r="A184" s="73"/>
      <x:c r="B184" s="73"/>
      <x:c r="C184" s="74"/>
      <x:c r="D184" s="73"/>
      <x:c r="E184" s="73"/>
      <x:c r="F184" s="75"/>
      <x:c r="G184" s="75"/>
      <x:c r="H184" s="76" t="str">
        <x:f>IF(A184="","",F184-G184)</x:f>
      </x:c>
      <x:c r="I184" s="77" t="str">
        <x:f>IF(A184="","",IF(E184="","기타/불명",IF(IFERROR(SEARCH("급여",E184),0)&gt;0,"인건비",IF(IFERROR(SEARCH("임차",E184),0)&gt;0,"임차·시설",IF(IFERROR(SEARCH("광고",E184),0)&gt;0,"광고·행사",IF(IFERROR(SEARCH("용역",E184),0)&gt;0,"용역·수수료","기타/불명"))))))</x:f>
      </x:c>
      <x:c r="J184" s="77" t="str">
        <x:f>IF(A184="","",IF(I184="기타/불명","확인 필요","결의서명으로 1차 확인"))</x:f>
      </x:c>
      <x:c r="K184" s="78"/>
    </x:row>
    <x:row r="185">
      <x:c r="A185" s="73"/>
      <x:c r="B185" s="73"/>
      <x:c r="C185" s="74"/>
      <x:c r="D185" s="73"/>
      <x:c r="E185" s="73"/>
      <x:c r="F185" s="75"/>
      <x:c r="G185" s="75"/>
      <x:c r="H185" s="76" t="str">
        <x:f>IF(A185="","",F185-G185)</x:f>
      </x:c>
      <x:c r="I185" s="77" t="str">
        <x:f>IF(A185="","",IF(E185="","기타/불명",IF(IFERROR(SEARCH("급여",E185),0)&gt;0,"인건비",IF(IFERROR(SEARCH("임차",E185),0)&gt;0,"임차·시설",IF(IFERROR(SEARCH("광고",E185),0)&gt;0,"광고·행사",IF(IFERROR(SEARCH("용역",E185),0)&gt;0,"용역·수수료","기타/불명"))))))</x:f>
      </x:c>
      <x:c r="J185" s="77" t="str">
        <x:f>IF(A185="","",IF(I185="기타/불명","확인 필요","결의서명으로 1차 확인"))</x:f>
      </x:c>
      <x:c r="K185" s="78"/>
    </x:row>
    <x:row r="186">
      <x:c r="A186" s="73"/>
      <x:c r="B186" s="73"/>
      <x:c r="C186" s="74"/>
      <x:c r="D186" s="73"/>
      <x:c r="E186" s="73"/>
      <x:c r="F186" s="75"/>
      <x:c r="G186" s="75"/>
      <x:c r="H186" s="76" t="str">
        <x:f>IF(A186="","",F186-G186)</x:f>
      </x:c>
      <x:c r="I186" s="77" t="str">
        <x:f>IF(A186="","",IF(E186="","기타/불명",IF(IFERROR(SEARCH("급여",E186),0)&gt;0,"인건비",IF(IFERROR(SEARCH("임차",E186),0)&gt;0,"임차·시설",IF(IFERROR(SEARCH("광고",E186),0)&gt;0,"광고·행사",IF(IFERROR(SEARCH("용역",E186),0)&gt;0,"용역·수수료","기타/불명"))))))</x:f>
      </x:c>
      <x:c r="J186" s="77" t="str">
        <x:f>IF(A186="","",IF(I186="기타/불명","확인 필요","결의서명으로 1차 확인"))</x:f>
      </x:c>
      <x:c r="K186" s="78"/>
    </x:row>
    <x:row r="187">
      <x:c r="A187" s="73"/>
      <x:c r="B187" s="73"/>
      <x:c r="C187" s="74"/>
      <x:c r="D187" s="73"/>
      <x:c r="E187" s="73"/>
      <x:c r="F187" s="75"/>
      <x:c r="G187" s="75"/>
      <x:c r="H187" s="76" t="str">
        <x:f>IF(A187="","",F187-G187)</x:f>
      </x:c>
      <x:c r="I187" s="77" t="str">
        <x:f>IF(A187="","",IF(E187="","기타/불명",IF(IFERROR(SEARCH("급여",E187),0)&gt;0,"인건비",IF(IFERROR(SEARCH("임차",E187),0)&gt;0,"임차·시설",IF(IFERROR(SEARCH("광고",E187),0)&gt;0,"광고·행사",IF(IFERROR(SEARCH("용역",E187),0)&gt;0,"용역·수수료","기타/불명"))))))</x:f>
      </x:c>
      <x:c r="J187" s="77" t="str">
        <x:f>IF(A187="","",IF(I187="기타/불명","확인 필요","결의서명으로 1차 확인"))</x:f>
      </x:c>
      <x:c r="K187" s="78"/>
    </x:row>
    <x:row r="188">
      <x:c r="A188" s="73"/>
      <x:c r="B188" s="73"/>
      <x:c r="C188" s="74"/>
      <x:c r="D188" s="73"/>
      <x:c r="E188" s="73"/>
      <x:c r="F188" s="75"/>
      <x:c r="G188" s="75"/>
      <x:c r="H188" s="76" t="str">
        <x:f>IF(A188="","",F188-G188)</x:f>
      </x:c>
      <x:c r="I188" s="77" t="str">
        <x:f>IF(A188="","",IF(E188="","기타/불명",IF(IFERROR(SEARCH("급여",E188),0)&gt;0,"인건비",IF(IFERROR(SEARCH("임차",E188),0)&gt;0,"임차·시설",IF(IFERROR(SEARCH("광고",E188),0)&gt;0,"광고·행사",IF(IFERROR(SEARCH("용역",E188),0)&gt;0,"용역·수수료","기타/불명"))))))</x:f>
      </x:c>
      <x:c r="J188" s="77" t="str">
        <x:f>IF(A188="","",IF(I188="기타/불명","확인 필요","결의서명으로 1차 확인"))</x:f>
      </x:c>
      <x:c r="K188" s="78"/>
    </x:row>
    <x:row r="189">
      <x:c r="A189" s="73"/>
      <x:c r="B189" s="73"/>
      <x:c r="C189" s="74"/>
      <x:c r="D189" s="73"/>
      <x:c r="E189" s="73"/>
      <x:c r="F189" s="75"/>
      <x:c r="G189" s="75"/>
      <x:c r="H189" s="76" t="str">
        <x:f>IF(A189="","",F189-G189)</x:f>
      </x:c>
      <x:c r="I189" s="77" t="str">
        <x:f>IF(A189="","",IF(E189="","기타/불명",IF(IFERROR(SEARCH("급여",E189),0)&gt;0,"인건비",IF(IFERROR(SEARCH("임차",E189),0)&gt;0,"임차·시설",IF(IFERROR(SEARCH("광고",E189),0)&gt;0,"광고·행사",IF(IFERROR(SEARCH("용역",E189),0)&gt;0,"용역·수수료","기타/불명"))))))</x:f>
      </x:c>
      <x:c r="J189" s="77" t="str">
        <x:f>IF(A189="","",IF(I189="기타/불명","확인 필요","결의서명으로 1차 확인"))</x:f>
      </x:c>
      <x:c r="K189" s="78"/>
    </x:row>
    <x:row r="190">
      <x:c r="A190" s="73"/>
      <x:c r="B190" s="73"/>
      <x:c r="C190" s="74"/>
      <x:c r="D190" s="73"/>
      <x:c r="E190" s="73"/>
      <x:c r="F190" s="75"/>
      <x:c r="G190" s="75"/>
      <x:c r="H190" s="76" t="str">
        <x:f>IF(A190="","",F190-G190)</x:f>
      </x:c>
      <x:c r="I190" s="77" t="str">
        <x:f>IF(A190="","",IF(E190="","기타/불명",IF(IFERROR(SEARCH("급여",E190),0)&gt;0,"인건비",IF(IFERROR(SEARCH("임차",E190),0)&gt;0,"임차·시설",IF(IFERROR(SEARCH("광고",E190),0)&gt;0,"광고·행사",IF(IFERROR(SEARCH("용역",E190),0)&gt;0,"용역·수수료","기타/불명"))))))</x:f>
      </x:c>
      <x:c r="J190" s="77" t="str">
        <x:f>IF(A190="","",IF(I190="기타/불명","확인 필요","결의서명으로 1차 확인"))</x:f>
      </x:c>
      <x:c r="K190" s="78"/>
    </x:row>
    <x:row r="191">
      <x:c r="A191" s="73"/>
      <x:c r="B191" s="73"/>
      <x:c r="C191" s="74"/>
      <x:c r="D191" s="73"/>
      <x:c r="E191" s="73"/>
      <x:c r="F191" s="75"/>
      <x:c r="G191" s="75"/>
      <x:c r="H191" s="76" t="str">
        <x:f>IF(A191="","",F191-G191)</x:f>
      </x:c>
      <x:c r="I191" s="77" t="str">
        <x:f>IF(A191="","",IF(E191="","기타/불명",IF(IFERROR(SEARCH("급여",E191),0)&gt;0,"인건비",IF(IFERROR(SEARCH("임차",E191),0)&gt;0,"임차·시설",IF(IFERROR(SEARCH("광고",E191),0)&gt;0,"광고·행사",IF(IFERROR(SEARCH("용역",E191),0)&gt;0,"용역·수수료","기타/불명"))))))</x:f>
      </x:c>
      <x:c r="J191" s="77" t="str">
        <x:f>IF(A191="","",IF(I191="기타/불명","확인 필요","결의서명으로 1차 확인"))</x:f>
      </x:c>
      <x:c r="K191" s="78"/>
    </x:row>
    <x:row r="192">
      <x:c r="A192" s="73"/>
      <x:c r="B192" s="73"/>
      <x:c r="C192" s="74"/>
      <x:c r="D192" s="73"/>
      <x:c r="E192" s="73"/>
      <x:c r="F192" s="75"/>
      <x:c r="G192" s="75"/>
      <x:c r="H192" s="76" t="str">
        <x:f>IF(A192="","",F192-G192)</x:f>
      </x:c>
      <x:c r="I192" s="77" t="str">
        <x:f>IF(A192="","",IF(E192="","기타/불명",IF(IFERROR(SEARCH("급여",E192),0)&gt;0,"인건비",IF(IFERROR(SEARCH("임차",E192),0)&gt;0,"임차·시설",IF(IFERROR(SEARCH("광고",E192),0)&gt;0,"광고·행사",IF(IFERROR(SEARCH("용역",E192),0)&gt;0,"용역·수수료","기타/불명"))))))</x:f>
      </x:c>
      <x:c r="J192" s="77" t="str">
        <x:f>IF(A192="","",IF(I192="기타/불명","확인 필요","결의서명으로 1차 확인"))</x:f>
      </x:c>
      <x:c r="K192" s="78"/>
    </x:row>
    <x:row r="193">
      <x:c r="A193" s="73"/>
      <x:c r="B193" s="73"/>
      <x:c r="C193" s="74"/>
      <x:c r="D193" s="73"/>
      <x:c r="E193" s="73"/>
      <x:c r="F193" s="75"/>
      <x:c r="G193" s="75"/>
      <x:c r="H193" s="76" t="str">
        <x:f>IF(A193="","",F193-G193)</x:f>
      </x:c>
      <x:c r="I193" s="77" t="str">
        <x:f>IF(A193="","",IF(E193="","기타/불명",IF(IFERROR(SEARCH("급여",E193),0)&gt;0,"인건비",IF(IFERROR(SEARCH("임차",E193),0)&gt;0,"임차·시설",IF(IFERROR(SEARCH("광고",E193),0)&gt;0,"광고·행사",IF(IFERROR(SEARCH("용역",E193),0)&gt;0,"용역·수수료","기타/불명"))))))</x:f>
      </x:c>
      <x:c r="J193" s="77" t="str">
        <x:f>IF(A193="","",IF(I193="기타/불명","확인 필요","결의서명으로 1차 확인"))</x:f>
      </x:c>
      <x:c r="K193" s="78"/>
    </x:row>
    <x:row r="194">
      <x:c r="A194" s="73"/>
      <x:c r="B194" s="73"/>
      <x:c r="C194" s="74"/>
      <x:c r="D194" s="73"/>
      <x:c r="E194" s="73"/>
      <x:c r="F194" s="75"/>
      <x:c r="G194" s="75"/>
      <x:c r="H194" s="76" t="str">
        <x:f>IF(A194="","",F194-G194)</x:f>
      </x:c>
      <x:c r="I194" s="77" t="str">
        <x:f>IF(A194="","",IF(E194="","기타/불명",IF(IFERROR(SEARCH("급여",E194),0)&gt;0,"인건비",IF(IFERROR(SEARCH("임차",E194),0)&gt;0,"임차·시설",IF(IFERROR(SEARCH("광고",E194),0)&gt;0,"광고·행사",IF(IFERROR(SEARCH("용역",E194),0)&gt;0,"용역·수수료","기타/불명"))))))</x:f>
      </x:c>
      <x:c r="J194" s="77" t="str">
        <x:f>IF(A194="","",IF(I194="기타/불명","확인 필요","결의서명으로 1차 확인"))</x:f>
      </x:c>
      <x:c r="K194" s="78"/>
    </x:row>
    <x:row r="195">
      <x:c r="A195" s="73"/>
      <x:c r="B195" s="73"/>
      <x:c r="C195" s="74"/>
      <x:c r="D195" s="73"/>
      <x:c r="E195" s="73"/>
      <x:c r="F195" s="75"/>
      <x:c r="G195" s="75"/>
      <x:c r="H195" s="76" t="str">
        <x:f>IF(A195="","",F195-G195)</x:f>
      </x:c>
      <x:c r="I195" s="77" t="str">
        <x:f>IF(A195="","",IF(E195="","기타/불명",IF(IFERROR(SEARCH("급여",E195),0)&gt;0,"인건비",IF(IFERROR(SEARCH("임차",E195),0)&gt;0,"임차·시설",IF(IFERROR(SEARCH("광고",E195),0)&gt;0,"광고·행사",IF(IFERROR(SEARCH("용역",E195),0)&gt;0,"용역·수수료","기타/불명"))))))</x:f>
      </x:c>
      <x:c r="J195" s="77" t="str">
        <x:f>IF(A195="","",IF(I195="기타/불명","확인 필요","결의서명으로 1차 확인"))</x:f>
      </x:c>
      <x:c r="K195" s="78"/>
    </x:row>
    <x:row r="196">
      <x:c r="A196" s="73"/>
      <x:c r="B196" s="73"/>
      <x:c r="C196" s="74"/>
      <x:c r="D196" s="73"/>
      <x:c r="E196" s="73"/>
      <x:c r="F196" s="75"/>
      <x:c r="G196" s="75"/>
      <x:c r="H196" s="76" t="str">
        <x:f>IF(A196="","",F196-G196)</x:f>
      </x:c>
      <x:c r="I196" s="77" t="str">
        <x:f>IF(A196="","",IF(E196="","기타/불명",IF(IFERROR(SEARCH("급여",E196),0)&gt;0,"인건비",IF(IFERROR(SEARCH("임차",E196),0)&gt;0,"임차·시설",IF(IFERROR(SEARCH("광고",E196),0)&gt;0,"광고·행사",IF(IFERROR(SEARCH("용역",E196),0)&gt;0,"용역·수수료","기타/불명"))))))</x:f>
      </x:c>
      <x:c r="J196" s="77" t="str">
        <x:f>IF(A196="","",IF(I196="기타/불명","확인 필요","결의서명으로 1차 확인"))</x:f>
      </x:c>
      <x:c r="K196" s="78"/>
    </x:row>
    <x:row r="197">
      <x:c r="A197" s="73"/>
      <x:c r="B197" s="73"/>
      <x:c r="C197" s="74"/>
      <x:c r="D197" s="73"/>
      <x:c r="E197" s="73"/>
      <x:c r="F197" s="75"/>
      <x:c r="G197" s="75"/>
      <x:c r="H197" s="76" t="str">
        <x:f>IF(A197="","",F197-G197)</x:f>
      </x:c>
      <x:c r="I197" s="77" t="str">
        <x:f>IF(A197="","",IF(E197="","기타/불명",IF(IFERROR(SEARCH("급여",E197),0)&gt;0,"인건비",IF(IFERROR(SEARCH("임차",E197),0)&gt;0,"임차·시설",IF(IFERROR(SEARCH("광고",E197),0)&gt;0,"광고·행사",IF(IFERROR(SEARCH("용역",E197),0)&gt;0,"용역·수수료","기타/불명"))))))</x:f>
      </x:c>
      <x:c r="J197" s="77" t="str">
        <x:f>IF(A197="","",IF(I197="기타/불명","확인 필요","결의서명으로 1차 확인"))</x:f>
      </x:c>
      <x:c r="K197" s="78"/>
    </x:row>
    <x:row r="198">
      <x:c r="A198" s="73"/>
      <x:c r="B198" s="73"/>
      <x:c r="C198" s="74"/>
      <x:c r="D198" s="73"/>
      <x:c r="E198" s="73"/>
      <x:c r="F198" s="75"/>
      <x:c r="G198" s="75"/>
      <x:c r="H198" s="76" t="str">
        <x:f>IF(A198="","",F198-G198)</x:f>
      </x:c>
      <x:c r="I198" s="77" t="str">
        <x:f>IF(A198="","",IF(E198="","기타/불명",IF(IFERROR(SEARCH("급여",E198),0)&gt;0,"인건비",IF(IFERROR(SEARCH("임차",E198),0)&gt;0,"임차·시설",IF(IFERROR(SEARCH("광고",E198),0)&gt;0,"광고·행사",IF(IFERROR(SEARCH("용역",E198),0)&gt;0,"용역·수수료","기타/불명"))))))</x:f>
      </x:c>
      <x:c r="J198" s="77" t="str">
        <x:f>IF(A198="","",IF(I198="기타/불명","확인 필요","결의서명으로 1차 확인"))</x:f>
      </x:c>
      <x:c r="K198" s="78"/>
    </x:row>
    <x:row r="199">
      <x:c r="A199" s="73"/>
      <x:c r="B199" s="73"/>
      <x:c r="C199" s="74"/>
      <x:c r="D199" s="73"/>
      <x:c r="E199" s="73"/>
      <x:c r="F199" s="75"/>
      <x:c r="G199" s="75"/>
      <x:c r="H199" s="76" t="str">
        <x:f>IF(A199="","",F199-G199)</x:f>
      </x:c>
      <x:c r="I199" s="77" t="str">
        <x:f>IF(A199="","",IF(E199="","기타/불명",IF(IFERROR(SEARCH("급여",E199),0)&gt;0,"인건비",IF(IFERROR(SEARCH("임차",E199),0)&gt;0,"임차·시설",IF(IFERROR(SEARCH("광고",E199),0)&gt;0,"광고·행사",IF(IFERROR(SEARCH("용역",E199),0)&gt;0,"용역·수수료","기타/불명"))))))</x:f>
      </x:c>
      <x:c r="J199" s="77" t="str">
        <x:f>IF(A199="","",IF(I199="기타/불명","확인 필요","결의서명으로 1차 확인"))</x:f>
      </x:c>
      <x:c r="K199" s="78"/>
    </x:row>
    <x:row r="200">
      <x:c r="A200" s="73"/>
      <x:c r="B200" s="73"/>
      <x:c r="C200" s="74"/>
      <x:c r="D200" s="73"/>
      <x:c r="E200" s="73"/>
      <x:c r="F200" s="75"/>
      <x:c r="G200" s="75"/>
      <x:c r="H200" s="76" t="str">
        <x:f>IF(A200="","",F200-G200)</x:f>
      </x:c>
      <x:c r="I200" s="77" t="str">
        <x:f>IF(A200="","",IF(E200="","기타/불명",IF(IFERROR(SEARCH("급여",E200),0)&gt;0,"인건비",IF(IFERROR(SEARCH("임차",E200),0)&gt;0,"임차·시설",IF(IFERROR(SEARCH("광고",E200),0)&gt;0,"광고·행사",IF(IFERROR(SEARCH("용역",E200),0)&gt;0,"용역·수수료","기타/불명"))))))</x:f>
      </x:c>
      <x:c r="J200" s="77" t="str">
        <x:f>IF(A200="","",IF(I200="기타/불명","확인 필요","결의서명으로 1차 확인"))</x:f>
      </x:c>
      <x:c r="K200" s="78"/>
    </x:row>
    <x:row r="201">
      <x:c r="A201" s="73"/>
      <x:c r="B201" s="73"/>
      <x:c r="C201" s="74"/>
      <x:c r="D201" s="73"/>
      <x:c r="E201" s="73"/>
      <x:c r="F201" s="75"/>
      <x:c r="G201" s="75"/>
      <x:c r="H201" s="76" t="str">
        <x:f>IF(A201="","",F201-G201)</x:f>
      </x:c>
      <x:c r="I201" s="77" t="str">
        <x:f>IF(A201="","",IF(E201="","기타/불명",IF(IFERROR(SEARCH("급여",E201),0)&gt;0,"인건비",IF(IFERROR(SEARCH("임차",E201),0)&gt;0,"임차·시설",IF(IFERROR(SEARCH("광고",E201),0)&gt;0,"광고·행사",IF(IFERROR(SEARCH("용역",E201),0)&gt;0,"용역·수수료","기타/불명"))))))</x:f>
      </x:c>
      <x:c r="J201" s="77" t="str">
        <x:f>IF(A201="","",IF(I201="기타/불명","확인 필요","결의서명으로 1차 확인"))</x:f>
      </x:c>
      <x:c r="K201" s="78"/>
    </x:row>
    <x:row r="202">
      <x:c r="A202" s="73"/>
      <x:c r="B202" s="73"/>
      <x:c r="C202" s="74"/>
      <x:c r="D202" s="73"/>
      <x:c r="E202" s="73"/>
      <x:c r="F202" s="75"/>
      <x:c r="G202" s="75"/>
      <x:c r="H202" s="76" t="str">
        <x:f>IF(A202="","",F202-G202)</x:f>
      </x:c>
      <x:c r="I202" s="77" t="str">
        <x:f>IF(A202="","",IF(E202="","기타/불명",IF(IFERROR(SEARCH("급여",E202),0)&gt;0,"인건비",IF(IFERROR(SEARCH("임차",E202),0)&gt;0,"임차·시설",IF(IFERROR(SEARCH("광고",E202),0)&gt;0,"광고·행사",IF(IFERROR(SEARCH("용역",E202),0)&gt;0,"용역·수수료","기타/불명"))))))</x:f>
      </x:c>
      <x:c r="J202" s="77" t="str">
        <x:f>IF(A202="","",IF(I202="기타/불명","확인 필요","결의서명으로 1차 확인"))</x:f>
      </x:c>
      <x:c r="K202" s="78"/>
    </x:row>
    <x:row r="203">
      <x:c r="A203" s="73"/>
      <x:c r="B203" s="73"/>
      <x:c r="C203" s="74"/>
      <x:c r="D203" s="73"/>
      <x:c r="E203" s="73"/>
      <x:c r="F203" s="75"/>
      <x:c r="G203" s="75"/>
      <x:c r="H203" s="76" t="str">
        <x:f>IF(A203="","",F203-G203)</x:f>
      </x:c>
      <x:c r="I203" s="77" t="str">
        <x:f>IF(A203="","",IF(E203="","기타/불명",IF(IFERROR(SEARCH("급여",E203),0)&gt;0,"인건비",IF(IFERROR(SEARCH("임차",E203),0)&gt;0,"임차·시설",IF(IFERROR(SEARCH("광고",E203),0)&gt;0,"광고·행사",IF(IFERROR(SEARCH("용역",E203),0)&gt;0,"용역·수수료","기타/불명"))))))</x:f>
      </x:c>
      <x:c r="J203" s="77" t="str">
        <x:f>IF(A203="","",IF(I203="기타/불명","확인 필요","결의서명으로 1차 확인"))</x:f>
      </x:c>
      <x:c r="K203" s="78"/>
    </x:row>
    <x:row r="204">
      <x:c r="A204" s="73"/>
      <x:c r="B204" s="73"/>
      <x:c r="C204" s="74"/>
      <x:c r="D204" s="73"/>
      <x:c r="E204" s="73"/>
      <x:c r="F204" s="75"/>
      <x:c r="G204" s="75"/>
      <x:c r="H204" s="76" t="str">
        <x:f>IF(A204="","",F204-G204)</x:f>
      </x:c>
      <x:c r="I204" s="77" t="str">
        <x:f>IF(A204="","",IF(E204="","기타/불명",IF(IFERROR(SEARCH("급여",E204),0)&gt;0,"인건비",IF(IFERROR(SEARCH("임차",E204),0)&gt;0,"임차·시설",IF(IFERROR(SEARCH("광고",E204),0)&gt;0,"광고·행사",IF(IFERROR(SEARCH("용역",E204),0)&gt;0,"용역·수수료","기타/불명"))))))</x:f>
      </x:c>
      <x:c r="J204" s="77" t="str">
        <x:f>IF(A204="","",IF(I204="기타/불명","확인 필요","결의서명으로 1차 확인"))</x:f>
      </x:c>
      <x:c r="K204" s="78"/>
    </x:row>
    <x:row r="205">
      <x:c r="A205" s="73"/>
      <x:c r="B205" s="73"/>
      <x:c r="C205" s="74"/>
      <x:c r="D205" s="73"/>
      <x:c r="E205" s="73"/>
      <x:c r="F205" s="75"/>
      <x:c r="G205" s="75"/>
      <x:c r="H205" s="76" t="str">
        <x:f>IF(A205="","",F205-G205)</x:f>
      </x:c>
      <x:c r="I205" s="77" t="str">
        <x:f>IF(A205="","",IF(E205="","기타/불명",IF(IFERROR(SEARCH("급여",E205),0)&gt;0,"인건비",IF(IFERROR(SEARCH("임차",E205),0)&gt;0,"임차·시설",IF(IFERROR(SEARCH("광고",E205),0)&gt;0,"광고·행사",IF(IFERROR(SEARCH("용역",E205),0)&gt;0,"용역·수수료","기타/불명"))))))</x:f>
      </x:c>
      <x:c r="J205" s="77" t="str">
        <x:f>IF(A205="","",IF(I205="기타/불명","확인 필요","결의서명으로 1차 확인"))</x:f>
      </x:c>
      <x:c r="K205" s="78"/>
    </x:row>
    <x:row r="206">
      <x:c r="A206" s="73"/>
      <x:c r="B206" s="73"/>
      <x:c r="C206" s="74"/>
      <x:c r="D206" s="73"/>
      <x:c r="E206" s="73"/>
      <x:c r="F206" s="75"/>
      <x:c r="G206" s="75"/>
      <x:c r="H206" s="76" t="str">
        <x:f>IF(A206="","",F206-G206)</x:f>
      </x:c>
      <x:c r="I206" s="77" t="str">
        <x:f>IF(A206="","",IF(E206="","기타/불명",IF(IFERROR(SEARCH("급여",E206),0)&gt;0,"인건비",IF(IFERROR(SEARCH("임차",E206),0)&gt;0,"임차·시설",IF(IFERROR(SEARCH("광고",E206),0)&gt;0,"광고·행사",IF(IFERROR(SEARCH("용역",E206),0)&gt;0,"용역·수수료","기타/불명"))))))</x:f>
      </x:c>
      <x:c r="J206" s="77" t="str">
        <x:f>IF(A206="","",IF(I206="기타/불명","확인 필요","결의서명으로 1차 확인"))</x:f>
      </x:c>
      <x:c r="K206" s="78"/>
    </x:row>
    <x:row r="207">
      <x:c r="A207" s="73"/>
      <x:c r="B207" s="73"/>
      <x:c r="C207" s="74"/>
      <x:c r="D207" s="73"/>
      <x:c r="E207" s="73"/>
      <x:c r="F207" s="75"/>
      <x:c r="G207" s="75"/>
      <x:c r="H207" s="76" t="str">
        <x:f>IF(A207="","",F207-G207)</x:f>
      </x:c>
      <x:c r="I207" s="77" t="str">
        <x:f>IF(A207="","",IF(E207="","기타/불명",IF(IFERROR(SEARCH("급여",E207),0)&gt;0,"인건비",IF(IFERROR(SEARCH("임차",E207),0)&gt;0,"임차·시설",IF(IFERROR(SEARCH("광고",E207),0)&gt;0,"광고·행사",IF(IFERROR(SEARCH("용역",E207),0)&gt;0,"용역·수수료","기타/불명"))))))</x:f>
      </x:c>
      <x:c r="J207" s="77" t="str">
        <x:f>IF(A207="","",IF(I207="기타/불명","확인 필요","결의서명으로 1차 확인"))</x:f>
      </x:c>
      <x:c r="K207" s="78"/>
    </x:row>
    <x:row r="208">
      <x:c r="A208" s="73"/>
      <x:c r="B208" s="73"/>
      <x:c r="C208" s="74"/>
      <x:c r="D208" s="73"/>
      <x:c r="E208" s="73"/>
      <x:c r="F208" s="75"/>
      <x:c r="G208" s="75"/>
      <x:c r="H208" s="76" t="str">
        <x:f>IF(A208="","",F208-G208)</x:f>
      </x:c>
      <x:c r="I208" s="77" t="str">
        <x:f>IF(A208="","",IF(E208="","기타/불명",IF(IFERROR(SEARCH("급여",E208),0)&gt;0,"인건비",IF(IFERROR(SEARCH("임차",E208),0)&gt;0,"임차·시설",IF(IFERROR(SEARCH("광고",E208),0)&gt;0,"광고·행사",IF(IFERROR(SEARCH("용역",E208),0)&gt;0,"용역·수수료","기타/불명"))))))</x:f>
      </x:c>
      <x:c r="J208" s="77" t="str">
        <x:f>IF(A208="","",IF(I208="기타/불명","확인 필요","결의서명으로 1차 확인"))</x:f>
      </x:c>
      <x:c r="K208" s="78"/>
    </x:row>
    <x:row r="209">
      <x:c r="A209" s="73"/>
      <x:c r="B209" s="73"/>
      <x:c r="C209" s="74"/>
      <x:c r="D209" s="73"/>
      <x:c r="E209" s="73"/>
      <x:c r="F209" s="75"/>
      <x:c r="G209" s="75"/>
      <x:c r="H209" s="76" t="str">
        <x:f>IF(A209="","",F209-G209)</x:f>
      </x:c>
      <x:c r="I209" s="77" t="str">
        <x:f>IF(A209="","",IF(E209="","기타/불명",IF(IFERROR(SEARCH("급여",E209),0)&gt;0,"인건비",IF(IFERROR(SEARCH("임차",E209),0)&gt;0,"임차·시설",IF(IFERROR(SEARCH("광고",E209),0)&gt;0,"광고·행사",IF(IFERROR(SEARCH("용역",E209),0)&gt;0,"용역·수수료","기타/불명"))))))</x:f>
      </x:c>
      <x:c r="J209" s="77" t="str">
        <x:f>IF(A209="","",IF(I209="기타/불명","확인 필요","결의서명으로 1차 확인"))</x:f>
      </x:c>
      <x:c r="K209" s="78"/>
    </x:row>
    <x:row r="210">
      <x:c r="A210" s="73"/>
      <x:c r="B210" s="73"/>
      <x:c r="C210" s="74"/>
      <x:c r="D210" s="73"/>
      <x:c r="E210" s="73"/>
      <x:c r="F210" s="75"/>
      <x:c r="G210" s="75"/>
      <x:c r="H210" s="76" t="str">
        <x:f>IF(A210="","",F210-G210)</x:f>
      </x:c>
      <x:c r="I210" s="77" t="str">
        <x:f>IF(A210="","",IF(E210="","기타/불명",IF(IFERROR(SEARCH("급여",E210),0)&gt;0,"인건비",IF(IFERROR(SEARCH("임차",E210),0)&gt;0,"임차·시설",IF(IFERROR(SEARCH("광고",E210),0)&gt;0,"광고·행사",IF(IFERROR(SEARCH("용역",E210),0)&gt;0,"용역·수수료","기타/불명"))))))</x:f>
      </x:c>
      <x:c r="J210" s="77" t="str">
        <x:f>IF(A210="","",IF(I210="기타/불명","확인 필요","결의서명으로 1차 확인"))</x:f>
      </x:c>
      <x:c r="K210" s="78"/>
    </x:row>
    <x:row r="211">
      <x:c r="A211" s="73"/>
      <x:c r="B211" s="73"/>
      <x:c r="C211" s="74"/>
      <x:c r="D211" s="73"/>
      <x:c r="E211" s="73"/>
      <x:c r="F211" s="75"/>
      <x:c r="G211" s="75"/>
      <x:c r="H211" s="76" t="str">
        <x:f>IF(A211="","",F211-G211)</x:f>
      </x:c>
      <x:c r="I211" s="77" t="str">
        <x:f>IF(A211="","",IF(E211="","기타/불명",IF(IFERROR(SEARCH("급여",E211),0)&gt;0,"인건비",IF(IFERROR(SEARCH("임차",E211),0)&gt;0,"임차·시설",IF(IFERROR(SEARCH("광고",E211),0)&gt;0,"광고·행사",IF(IFERROR(SEARCH("용역",E211),0)&gt;0,"용역·수수료","기타/불명"))))))</x:f>
      </x:c>
      <x:c r="J211" s="77" t="str">
        <x:f>IF(A211="","",IF(I211="기타/불명","확인 필요","결의서명으로 1차 확인"))</x:f>
      </x:c>
      <x:c r="K211" s="78"/>
    </x:row>
    <x:row r="212">
      <x:c r="A212" s="73"/>
      <x:c r="B212" s="73"/>
      <x:c r="C212" s="74"/>
      <x:c r="D212" s="73"/>
      <x:c r="E212" s="73"/>
      <x:c r="F212" s="75"/>
      <x:c r="G212" s="75"/>
      <x:c r="H212" s="76" t="str">
        <x:f>IF(A212="","",F212-G212)</x:f>
      </x:c>
      <x:c r="I212" s="77" t="str">
        <x:f>IF(A212="","",IF(E212="","기타/불명",IF(IFERROR(SEARCH("급여",E212),0)&gt;0,"인건비",IF(IFERROR(SEARCH("임차",E212),0)&gt;0,"임차·시설",IF(IFERROR(SEARCH("광고",E212),0)&gt;0,"광고·행사",IF(IFERROR(SEARCH("용역",E212),0)&gt;0,"용역·수수료","기타/불명"))))))</x:f>
      </x:c>
      <x:c r="J212" s="77" t="str">
        <x:f>IF(A212="","",IF(I212="기타/불명","확인 필요","결의서명으로 1차 확인"))</x:f>
      </x:c>
      <x:c r="K212" s="78"/>
    </x:row>
    <x:row r="213">
      <x:c r="A213" s="73"/>
      <x:c r="B213" s="73"/>
      <x:c r="C213" s="74"/>
      <x:c r="D213" s="73"/>
      <x:c r="E213" s="73"/>
      <x:c r="F213" s="75"/>
      <x:c r="G213" s="75"/>
      <x:c r="H213" s="76" t="str">
        <x:f>IF(A213="","",F213-G213)</x:f>
      </x:c>
      <x:c r="I213" s="77" t="str">
        <x:f>IF(A213="","",IF(E213="","기타/불명",IF(IFERROR(SEARCH("급여",E213),0)&gt;0,"인건비",IF(IFERROR(SEARCH("임차",E213),0)&gt;0,"임차·시설",IF(IFERROR(SEARCH("광고",E213),0)&gt;0,"광고·행사",IF(IFERROR(SEARCH("용역",E213),0)&gt;0,"용역·수수료","기타/불명"))))))</x:f>
      </x:c>
      <x:c r="J213" s="77" t="str">
        <x:f>IF(A213="","",IF(I213="기타/불명","확인 필요","결의서명으로 1차 확인"))</x:f>
      </x:c>
      <x:c r="K213" s="78"/>
    </x:row>
    <x:row r="214">
      <x:c r="A214" s="73"/>
      <x:c r="B214" s="73"/>
      <x:c r="C214" s="74"/>
      <x:c r="D214" s="73"/>
      <x:c r="E214" s="73"/>
      <x:c r="F214" s="75"/>
      <x:c r="G214" s="75"/>
      <x:c r="H214" s="76" t="str">
        <x:f>IF(A214="","",F214-G214)</x:f>
      </x:c>
      <x:c r="I214" s="77" t="str">
        <x:f>IF(A214="","",IF(E214="","기타/불명",IF(IFERROR(SEARCH("급여",E214),0)&gt;0,"인건비",IF(IFERROR(SEARCH("임차",E214),0)&gt;0,"임차·시설",IF(IFERROR(SEARCH("광고",E214),0)&gt;0,"광고·행사",IF(IFERROR(SEARCH("용역",E214),0)&gt;0,"용역·수수료","기타/불명"))))))</x:f>
      </x:c>
      <x:c r="J214" s="77" t="str">
        <x:f>IF(A214="","",IF(I214="기타/불명","확인 필요","결의서명으로 1차 확인"))</x:f>
      </x:c>
      <x:c r="K214" s="78"/>
    </x:row>
    <x:row r="215">
      <x:c r="A215" s="73"/>
      <x:c r="B215" s="73"/>
      <x:c r="C215" s="74"/>
      <x:c r="D215" s="73"/>
      <x:c r="E215" s="73"/>
      <x:c r="F215" s="75"/>
      <x:c r="G215" s="75"/>
      <x:c r="H215" s="76" t="str">
        <x:f>IF(A215="","",F215-G215)</x:f>
      </x:c>
      <x:c r="I215" s="77" t="str">
        <x:f>IF(A215="","",IF(E215="","기타/불명",IF(IFERROR(SEARCH("급여",E215),0)&gt;0,"인건비",IF(IFERROR(SEARCH("임차",E215),0)&gt;0,"임차·시설",IF(IFERROR(SEARCH("광고",E215),0)&gt;0,"광고·행사",IF(IFERROR(SEARCH("용역",E215),0)&gt;0,"용역·수수료","기타/불명"))))))</x:f>
      </x:c>
      <x:c r="J215" s="77" t="str">
        <x:f>IF(A215="","",IF(I215="기타/불명","확인 필요","결의서명으로 1차 확인"))</x:f>
      </x:c>
      <x:c r="K215" s="78"/>
    </x:row>
    <x:row r="216">
      <x:c r="A216" s="73"/>
      <x:c r="B216" s="73"/>
      <x:c r="C216" s="74"/>
      <x:c r="D216" s="73"/>
      <x:c r="E216" s="73"/>
      <x:c r="F216" s="75"/>
      <x:c r="G216" s="75"/>
      <x:c r="H216" s="76" t="str">
        <x:f>IF(A216="","",F216-G216)</x:f>
      </x:c>
      <x:c r="I216" s="77" t="str">
        <x:f>IF(A216="","",IF(E216="","기타/불명",IF(IFERROR(SEARCH("급여",E216),0)&gt;0,"인건비",IF(IFERROR(SEARCH("임차",E216),0)&gt;0,"임차·시설",IF(IFERROR(SEARCH("광고",E216),0)&gt;0,"광고·행사",IF(IFERROR(SEARCH("용역",E216),0)&gt;0,"용역·수수료","기타/불명"))))))</x:f>
      </x:c>
      <x:c r="J216" s="77" t="str">
        <x:f>IF(A216="","",IF(I216="기타/불명","확인 필요","결의서명으로 1차 확인"))</x:f>
      </x:c>
      <x:c r="K216" s="78"/>
    </x:row>
    <x:row r="217">
      <x:c r="A217" s="73"/>
      <x:c r="B217" s="73"/>
      <x:c r="C217" s="74"/>
      <x:c r="D217" s="73"/>
      <x:c r="E217" s="73"/>
      <x:c r="F217" s="75"/>
      <x:c r="G217" s="75"/>
      <x:c r="H217" s="76" t="str">
        <x:f>IF(A217="","",F217-G217)</x:f>
      </x:c>
      <x:c r="I217" s="77" t="str">
        <x:f>IF(A217="","",IF(E217="","기타/불명",IF(IFERROR(SEARCH("급여",E217),0)&gt;0,"인건비",IF(IFERROR(SEARCH("임차",E217),0)&gt;0,"임차·시설",IF(IFERROR(SEARCH("광고",E217),0)&gt;0,"광고·행사",IF(IFERROR(SEARCH("용역",E217),0)&gt;0,"용역·수수료","기타/불명"))))))</x:f>
      </x:c>
      <x:c r="J217" s="77" t="str">
        <x:f>IF(A217="","",IF(I217="기타/불명","확인 필요","결의서명으로 1차 확인"))</x:f>
      </x:c>
      <x:c r="K217" s="78"/>
    </x:row>
    <x:row r="218">
      <x:c r="A218" s="73"/>
      <x:c r="B218" s="73"/>
      <x:c r="C218" s="74"/>
      <x:c r="D218" s="73"/>
      <x:c r="E218" s="73"/>
      <x:c r="F218" s="75"/>
      <x:c r="G218" s="75"/>
      <x:c r="H218" s="76" t="str">
        <x:f>IF(A218="","",F218-G218)</x:f>
      </x:c>
      <x:c r="I218" s="77" t="str">
        <x:f>IF(A218="","",IF(E218="","기타/불명",IF(IFERROR(SEARCH("급여",E218),0)&gt;0,"인건비",IF(IFERROR(SEARCH("임차",E218),0)&gt;0,"임차·시설",IF(IFERROR(SEARCH("광고",E218),0)&gt;0,"광고·행사",IF(IFERROR(SEARCH("용역",E218),0)&gt;0,"용역·수수료","기타/불명"))))))</x:f>
      </x:c>
      <x:c r="J218" s="77" t="str">
        <x:f>IF(A218="","",IF(I218="기타/불명","확인 필요","결의서명으로 1차 확인"))</x:f>
      </x:c>
      <x:c r="K218" s="78"/>
    </x:row>
    <x:row r="219">
      <x:c r="A219" s="73"/>
      <x:c r="B219" s="73"/>
      <x:c r="C219" s="74"/>
      <x:c r="D219" s="73"/>
      <x:c r="E219" s="73"/>
      <x:c r="F219" s="75"/>
      <x:c r="G219" s="75"/>
      <x:c r="H219" s="76" t="str">
        <x:f>IF(A219="","",F219-G219)</x:f>
      </x:c>
      <x:c r="I219" s="77" t="str">
        <x:f>IF(A219="","",IF(E219="","기타/불명",IF(IFERROR(SEARCH("급여",E219),0)&gt;0,"인건비",IF(IFERROR(SEARCH("임차",E219),0)&gt;0,"임차·시설",IF(IFERROR(SEARCH("광고",E219),0)&gt;0,"광고·행사",IF(IFERROR(SEARCH("용역",E219),0)&gt;0,"용역·수수료","기타/불명"))))))</x:f>
      </x:c>
      <x:c r="J219" s="77" t="str">
        <x:f>IF(A219="","",IF(I219="기타/불명","확인 필요","결의서명으로 1차 확인"))</x:f>
      </x:c>
      <x:c r="K219" s="78"/>
    </x:row>
    <x:row r="220">
      <x:c r="A220" s="73"/>
      <x:c r="B220" s="73"/>
      <x:c r="C220" s="74"/>
      <x:c r="D220" s="73"/>
      <x:c r="E220" s="73"/>
      <x:c r="F220" s="75"/>
      <x:c r="G220" s="75"/>
      <x:c r="H220" s="76" t="str">
        <x:f>IF(A220="","",F220-G220)</x:f>
      </x:c>
      <x:c r="I220" s="77" t="str">
        <x:f>IF(A220="","",IF(E220="","기타/불명",IF(IFERROR(SEARCH("급여",E220),0)&gt;0,"인건비",IF(IFERROR(SEARCH("임차",E220),0)&gt;0,"임차·시설",IF(IFERROR(SEARCH("광고",E220),0)&gt;0,"광고·행사",IF(IFERROR(SEARCH("용역",E220),0)&gt;0,"용역·수수료","기타/불명"))))))</x:f>
      </x:c>
      <x:c r="J220" s="77" t="str">
        <x:f>IF(A220="","",IF(I220="기타/불명","확인 필요","결의서명으로 1차 확인"))</x:f>
      </x:c>
      <x:c r="K220" s="78"/>
    </x:row>
    <x:row r="221">
      <x:c r="A221" s="73"/>
      <x:c r="B221" s="73"/>
      <x:c r="C221" s="74"/>
      <x:c r="D221" s="73"/>
      <x:c r="E221" s="73"/>
      <x:c r="F221" s="75"/>
      <x:c r="G221" s="75"/>
      <x:c r="H221" s="76" t="str">
        <x:f>IF(A221="","",F221-G221)</x:f>
      </x:c>
      <x:c r="I221" s="77" t="str">
        <x:f>IF(A221="","",IF(E221="","기타/불명",IF(IFERROR(SEARCH("급여",E221),0)&gt;0,"인건비",IF(IFERROR(SEARCH("임차",E221),0)&gt;0,"임차·시설",IF(IFERROR(SEARCH("광고",E221),0)&gt;0,"광고·행사",IF(IFERROR(SEARCH("용역",E221),0)&gt;0,"용역·수수료","기타/불명"))))))</x:f>
      </x:c>
      <x:c r="J221" s="77" t="str">
        <x:f>IF(A221="","",IF(I221="기타/불명","확인 필요","결의서명으로 1차 확인"))</x:f>
      </x:c>
      <x:c r="K221" s="78"/>
    </x:row>
    <x:row r="222">
      <x:c r="A222" s="73"/>
      <x:c r="B222" s="73"/>
      <x:c r="C222" s="74"/>
      <x:c r="D222" s="73"/>
      <x:c r="E222" s="73"/>
      <x:c r="F222" s="75"/>
      <x:c r="G222" s="75"/>
      <x:c r="H222" s="76" t="str">
        <x:f>IF(A222="","",F222-G222)</x:f>
      </x:c>
      <x:c r="I222" s="77" t="str">
        <x:f>IF(A222="","",IF(E222="","기타/불명",IF(IFERROR(SEARCH("급여",E222),0)&gt;0,"인건비",IF(IFERROR(SEARCH("임차",E222),0)&gt;0,"임차·시설",IF(IFERROR(SEARCH("광고",E222),0)&gt;0,"광고·행사",IF(IFERROR(SEARCH("용역",E222),0)&gt;0,"용역·수수료","기타/불명"))))))</x:f>
      </x:c>
      <x:c r="J222" s="77" t="str">
        <x:f>IF(A222="","",IF(I222="기타/불명","확인 필요","결의서명으로 1차 확인"))</x:f>
      </x:c>
      <x:c r="K222" s="78"/>
    </x:row>
    <x:row r="223">
      <x:c r="A223" s="73"/>
      <x:c r="B223" s="73"/>
      <x:c r="C223" s="74"/>
      <x:c r="D223" s="73"/>
      <x:c r="E223" s="73"/>
      <x:c r="F223" s="75"/>
      <x:c r="G223" s="75"/>
      <x:c r="H223" s="76" t="str">
        <x:f>IF(A223="","",F223-G223)</x:f>
      </x:c>
      <x:c r="I223" s="77" t="str">
        <x:f>IF(A223="","",IF(E223="","기타/불명",IF(IFERROR(SEARCH("급여",E223),0)&gt;0,"인건비",IF(IFERROR(SEARCH("임차",E223),0)&gt;0,"임차·시설",IF(IFERROR(SEARCH("광고",E223),0)&gt;0,"광고·행사",IF(IFERROR(SEARCH("용역",E223),0)&gt;0,"용역·수수료","기타/불명"))))))</x:f>
      </x:c>
      <x:c r="J223" s="77" t="str">
        <x:f>IF(A223="","",IF(I223="기타/불명","확인 필요","결의서명으로 1차 확인"))</x:f>
      </x:c>
      <x:c r="K223" s="78"/>
    </x:row>
    <x:row r="224">
      <x:c r="A224" s="73"/>
      <x:c r="B224" s="73"/>
      <x:c r="C224" s="74"/>
      <x:c r="D224" s="73"/>
      <x:c r="E224" s="73"/>
      <x:c r="F224" s="75"/>
      <x:c r="G224" s="75"/>
      <x:c r="H224" s="76" t="str">
        <x:f>IF(A224="","",F224-G224)</x:f>
      </x:c>
      <x:c r="I224" s="77" t="str">
        <x:f>IF(A224="","",IF(E224="","기타/불명",IF(IFERROR(SEARCH("급여",E224),0)&gt;0,"인건비",IF(IFERROR(SEARCH("임차",E224),0)&gt;0,"임차·시설",IF(IFERROR(SEARCH("광고",E224),0)&gt;0,"광고·행사",IF(IFERROR(SEARCH("용역",E224),0)&gt;0,"용역·수수료","기타/불명"))))))</x:f>
      </x:c>
      <x:c r="J224" s="77" t="str">
        <x:f>IF(A224="","",IF(I224="기타/불명","확인 필요","결의서명으로 1차 확인"))</x:f>
      </x:c>
      <x:c r="K224" s="78"/>
    </x:row>
    <x:row r="225">
      <x:c r="A225" s="73"/>
      <x:c r="B225" s="73"/>
      <x:c r="C225" s="74"/>
      <x:c r="D225" s="73"/>
      <x:c r="E225" s="73"/>
      <x:c r="F225" s="75"/>
      <x:c r="G225" s="75"/>
      <x:c r="H225" s="76" t="str">
        <x:f>IF(A225="","",F225-G225)</x:f>
      </x:c>
      <x:c r="I225" s="77" t="str">
        <x:f>IF(A225="","",IF(E225="","기타/불명",IF(IFERROR(SEARCH("급여",E225),0)&gt;0,"인건비",IF(IFERROR(SEARCH("임차",E225),0)&gt;0,"임차·시설",IF(IFERROR(SEARCH("광고",E225),0)&gt;0,"광고·행사",IF(IFERROR(SEARCH("용역",E225),0)&gt;0,"용역·수수료","기타/불명"))))))</x:f>
      </x:c>
      <x:c r="J225" s="77" t="str">
        <x:f>IF(A225="","",IF(I225="기타/불명","확인 필요","결의서명으로 1차 확인"))</x:f>
      </x:c>
      <x:c r="K225" s="78"/>
    </x:row>
    <x:row r="226">
      <x:c r="A226" s="73"/>
      <x:c r="B226" s="73"/>
      <x:c r="C226" s="74"/>
      <x:c r="D226" s="73"/>
      <x:c r="E226" s="73"/>
      <x:c r="F226" s="75"/>
      <x:c r="G226" s="75"/>
      <x:c r="H226" s="76" t="str">
        <x:f>IF(A226="","",F226-G226)</x:f>
      </x:c>
      <x:c r="I226" s="77" t="str">
        <x:f>IF(A226="","",IF(E226="","기타/불명",IF(IFERROR(SEARCH("급여",E226),0)&gt;0,"인건비",IF(IFERROR(SEARCH("임차",E226),0)&gt;0,"임차·시설",IF(IFERROR(SEARCH("광고",E226),0)&gt;0,"광고·행사",IF(IFERROR(SEARCH("용역",E226),0)&gt;0,"용역·수수료","기타/불명"))))))</x:f>
      </x:c>
      <x:c r="J226" s="77" t="str">
        <x:f>IF(A226="","",IF(I226="기타/불명","확인 필요","결의서명으로 1차 확인"))</x:f>
      </x:c>
      <x:c r="K226" s="78"/>
    </x:row>
    <x:row r="227">
      <x:c r="A227" s="73"/>
      <x:c r="B227" s="73"/>
      <x:c r="C227" s="74"/>
      <x:c r="D227" s="73"/>
      <x:c r="E227" s="73"/>
      <x:c r="F227" s="75"/>
      <x:c r="G227" s="75"/>
      <x:c r="H227" s="76" t="str">
        <x:f>IF(A227="","",F227-G227)</x:f>
      </x:c>
      <x:c r="I227" s="77" t="str">
        <x:f>IF(A227="","",IF(E227="","기타/불명",IF(IFERROR(SEARCH("급여",E227),0)&gt;0,"인건비",IF(IFERROR(SEARCH("임차",E227),0)&gt;0,"임차·시설",IF(IFERROR(SEARCH("광고",E227),0)&gt;0,"광고·행사",IF(IFERROR(SEARCH("용역",E227),0)&gt;0,"용역·수수료","기타/불명"))))))</x:f>
      </x:c>
      <x:c r="J227" s="77" t="str">
        <x:f>IF(A227="","",IF(I227="기타/불명","확인 필요","결의서명으로 1차 확인"))</x:f>
      </x:c>
      <x:c r="K227" s="78"/>
    </x:row>
    <x:row r="228">
      <x:c r="A228" s="73"/>
      <x:c r="B228" s="73"/>
      <x:c r="C228" s="74"/>
      <x:c r="D228" s="73"/>
      <x:c r="E228" s="73"/>
      <x:c r="F228" s="75"/>
      <x:c r="G228" s="75"/>
      <x:c r="H228" s="76" t="str">
        <x:f>IF(A228="","",F228-G228)</x:f>
      </x:c>
      <x:c r="I228" s="77" t="str">
        <x:f>IF(A228="","",IF(E228="","기타/불명",IF(IFERROR(SEARCH("급여",E228),0)&gt;0,"인건비",IF(IFERROR(SEARCH("임차",E228),0)&gt;0,"임차·시설",IF(IFERROR(SEARCH("광고",E228),0)&gt;0,"광고·행사",IF(IFERROR(SEARCH("용역",E228),0)&gt;0,"용역·수수료","기타/불명"))))))</x:f>
      </x:c>
      <x:c r="J228" s="77" t="str">
        <x:f>IF(A228="","",IF(I228="기타/불명","확인 필요","결의서명으로 1차 확인"))</x:f>
      </x:c>
      <x:c r="K228" s="78"/>
    </x:row>
    <x:row r="229">
      <x:c r="A229" s="73"/>
      <x:c r="B229" s="73"/>
      <x:c r="C229" s="74"/>
      <x:c r="D229" s="73"/>
      <x:c r="E229" s="73"/>
      <x:c r="F229" s="75"/>
      <x:c r="G229" s="75"/>
      <x:c r="H229" s="76" t="str">
        <x:f>IF(A229="","",F229-G229)</x:f>
      </x:c>
      <x:c r="I229" s="77" t="str">
        <x:f>IF(A229="","",IF(E229="","기타/불명",IF(IFERROR(SEARCH("급여",E229),0)&gt;0,"인건비",IF(IFERROR(SEARCH("임차",E229),0)&gt;0,"임차·시설",IF(IFERROR(SEARCH("광고",E229),0)&gt;0,"광고·행사",IF(IFERROR(SEARCH("용역",E229),0)&gt;0,"용역·수수료","기타/불명"))))))</x:f>
      </x:c>
      <x:c r="J229" s="77" t="str">
        <x:f>IF(A229="","",IF(I229="기타/불명","확인 필요","결의서명으로 1차 확인"))</x:f>
      </x:c>
      <x:c r="K229" s="78"/>
    </x:row>
    <x:row r="230">
      <x:c r="A230" s="73"/>
      <x:c r="B230" s="73"/>
      <x:c r="C230" s="74"/>
      <x:c r="D230" s="73"/>
      <x:c r="E230" s="73"/>
      <x:c r="F230" s="75"/>
      <x:c r="G230" s="75"/>
      <x:c r="H230" s="76" t="str">
        <x:f>IF(A230="","",F230-G230)</x:f>
      </x:c>
      <x:c r="I230" s="77" t="str">
        <x:f>IF(A230="","",IF(E230="","기타/불명",IF(IFERROR(SEARCH("급여",E230),0)&gt;0,"인건비",IF(IFERROR(SEARCH("임차",E230),0)&gt;0,"임차·시설",IF(IFERROR(SEARCH("광고",E230),0)&gt;0,"광고·행사",IF(IFERROR(SEARCH("용역",E230),0)&gt;0,"용역·수수료","기타/불명"))))))</x:f>
      </x:c>
      <x:c r="J230" s="77" t="str">
        <x:f>IF(A230="","",IF(I230="기타/불명","확인 필요","결의서명으로 1차 확인"))</x:f>
      </x:c>
      <x:c r="K230" s="78"/>
    </x:row>
    <x:row r="231">
      <x:c r="A231" s="73"/>
      <x:c r="B231" s="73"/>
      <x:c r="C231" s="74"/>
      <x:c r="D231" s="73"/>
      <x:c r="E231" s="73"/>
      <x:c r="F231" s="75"/>
      <x:c r="G231" s="75"/>
      <x:c r="H231" s="76" t="str">
        <x:f>IF(A231="","",F231-G231)</x:f>
      </x:c>
      <x:c r="I231" s="77" t="str">
        <x:f>IF(A231="","",IF(E231="","기타/불명",IF(IFERROR(SEARCH("급여",E231),0)&gt;0,"인건비",IF(IFERROR(SEARCH("임차",E231),0)&gt;0,"임차·시설",IF(IFERROR(SEARCH("광고",E231),0)&gt;0,"광고·행사",IF(IFERROR(SEARCH("용역",E231),0)&gt;0,"용역·수수료","기타/불명"))))))</x:f>
      </x:c>
      <x:c r="J231" s="77" t="str">
        <x:f>IF(A231="","",IF(I231="기타/불명","확인 필요","결의서명으로 1차 확인"))</x:f>
      </x:c>
      <x:c r="K231" s="78"/>
    </x:row>
    <x:row r="232">
      <x:c r="A232" s="73"/>
      <x:c r="B232" s="73"/>
      <x:c r="C232" s="74"/>
      <x:c r="D232" s="73"/>
      <x:c r="E232" s="73"/>
      <x:c r="F232" s="75"/>
      <x:c r="G232" s="75"/>
      <x:c r="H232" s="76" t="str">
        <x:f>IF(A232="","",F232-G232)</x:f>
      </x:c>
      <x:c r="I232" s="77" t="str">
        <x:f>IF(A232="","",IF(E232="","기타/불명",IF(IFERROR(SEARCH("급여",E232),0)&gt;0,"인건비",IF(IFERROR(SEARCH("임차",E232),0)&gt;0,"임차·시설",IF(IFERROR(SEARCH("광고",E232),0)&gt;0,"광고·행사",IF(IFERROR(SEARCH("용역",E232),0)&gt;0,"용역·수수료","기타/불명"))))))</x:f>
      </x:c>
      <x:c r="J232" s="77" t="str">
        <x:f>IF(A232="","",IF(I232="기타/불명","확인 필요","결의서명으로 1차 확인"))</x:f>
      </x:c>
      <x:c r="K232" s="78"/>
    </x:row>
    <x:row r="233">
      <x:c r="A233" s="73"/>
      <x:c r="B233" s="73"/>
      <x:c r="C233" s="74"/>
      <x:c r="D233" s="73"/>
      <x:c r="E233" s="73"/>
      <x:c r="F233" s="75"/>
      <x:c r="G233" s="75"/>
      <x:c r="H233" s="76" t="str">
        <x:f>IF(A233="","",F233-G233)</x:f>
      </x:c>
      <x:c r="I233" s="77" t="str">
        <x:f>IF(A233="","",IF(E233="","기타/불명",IF(IFERROR(SEARCH("급여",E233),0)&gt;0,"인건비",IF(IFERROR(SEARCH("임차",E233),0)&gt;0,"임차·시설",IF(IFERROR(SEARCH("광고",E233),0)&gt;0,"광고·행사",IF(IFERROR(SEARCH("용역",E233),0)&gt;0,"용역·수수료","기타/불명"))))))</x:f>
      </x:c>
      <x:c r="J233" s="77" t="str">
        <x:f>IF(A233="","",IF(I233="기타/불명","확인 필요","결의서명으로 1차 확인"))</x:f>
      </x:c>
      <x:c r="K233" s="78"/>
    </x:row>
    <x:row r="234">
      <x:c r="A234" s="73"/>
      <x:c r="B234" s="73"/>
      <x:c r="C234" s="74"/>
      <x:c r="D234" s="73"/>
      <x:c r="E234" s="73"/>
      <x:c r="F234" s="75"/>
      <x:c r="G234" s="75"/>
      <x:c r="H234" s="76" t="str">
        <x:f>IF(A234="","",F234-G234)</x:f>
      </x:c>
      <x:c r="I234" s="77" t="str">
        <x:f>IF(A234="","",IF(E234="","기타/불명",IF(IFERROR(SEARCH("급여",E234),0)&gt;0,"인건비",IF(IFERROR(SEARCH("임차",E234),0)&gt;0,"임차·시설",IF(IFERROR(SEARCH("광고",E234),0)&gt;0,"광고·행사",IF(IFERROR(SEARCH("용역",E234),0)&gt;0,"용역·수수료","기타/불명"))))))</x:f>
      </x:c>
      <x:c r="J234" s="77" t="str">
        <x:f>IF(A234="","",IF(I234="기타/불명","확인 필요","결의서명으로 1차 확인"))</x:f>
      </x:c>
      <x:c r="K234" s="78"/>
    </x:row>
    <x:row r="235">
      <x:c r="A235" s="73"/>
      <x:c r="B235" s="73"/>
      <x:c r="C235" s="74"/>
      <x:c r="D235" s="73"/>
      <x:c r="E235" s="73"/>
      <x:c r="F235" s="75"/>
      <x:c r="G235" s="75"/>
      <x:c r="H235" s="76" t="str">
        <x:f>IF(A235="","",F235-G235)</x:f>
      </x:c>
      <x:c r="I235" s="77" t="str">
        <x:f>IF(A235="","",IF(E235="","기타/불명",IF(IFERROR(SEARCH("급여",E235),0)&gt;0,"인건비",IF(IFERROR(SEARCH("임차",E235),0)&gt;0,"임차·시설",IF(IFERROR(SEARCH("광고",E235),0)&gt;0,"광고·행사",IF(IFERROR(SEARCH("용역",E235),0)&gt;0,"용역·수수료","기타/불명"))))))</x:f>
      </x:c>
      <x:c r="J235" s="77" t="str">
        <x:f>IF(A235="","",IF(I235="기타/불명","확인 필요","결의서명으로 1차 확인"))</x:f>
      </x:c>
      <x:c r="K235" s="78"/>
    </x:row>
    <x:row r="236">
      <x:c r="A236" s="73"/>
      <x:c r="B236" s="73"/>
      <x:c r="C236" s="74"/>
      <x:c r="D236" s="73"/>
      <x:c r="E236" s="73"/>
      <x:c r="F236" s="75"/>
      <x:c r="G236" s="75"/>
      <x:c r="H236" s="76" t="str">
        <x:f>IF(A236="","",F236-G236)</x:f>
      </x:c>
      <x:c r="I236" s="77" t="str">
        <x:f>IF(A236="","",IF(E236="","기타/불명",IF(IFERROR(SEARCH("급여",E236),0)&gt;0,"인건비",IF(IFERROR(SEARCH("임차",E236),0)&gt;0,"임차·시설",IF(IFERROR(SEARCH("광고",E236),0)&gt;0,"광고·행사",IF(IFERROR(SEARCH("용역",E236),0)&gt;0,"용역·수수료","기타/불명"))))))</x:f>
      </x:c>
      <x:c r="J236" s="77" t="str">
        <x:f>IF(A236="","",IF(I236="기타/불명","확인 필요","결의서명으로 1차 확인"))</x:f>
      </x:c>
      <x:c r="K236" s="78"/>
    </x:row>
    <x:row r="237">
      <x:c r="A237" s="73"/>
      <x:c r="B237" s="73"/>
      <x:c r="C237" s="74"/>
      <x:c r="D237" s="73"/>
      <x:c r="E237" s="73"/>
      <x:c r="F237" s="75"/>
      <x:c r="G237" s="75"/>
      <x:c r="H237" s="76" t="str">
        <x:f>IF(A237="","",F237-G237)</x:f>
      </x:c>
      <x:c r="I237" s="77" t="str">
        <x:f>IF(A237="","",IF(E237="","기타/불명",IF(IFERROR(SEARCH("급여",E237),0)&gt;0,"인건비",IF(IFERROR(SEARCH("임차",E237),0)&gt;0,"임차·시설",IF(IFERROR(SEARCH("광고",E237),0)&gt;0,"광고·행사",IF(IFERROR(SEARCH("용역",E237),0)&gt;0,"용역·수수료","기타/불명"))))))</x:f>
      </x:c>
      <x:c r="J237" s="77" t="str">
        <x:f>IF(A237="","",IF(I237="기타/불명","확인 필요","결의서명으로 1차 확인"))</x:f>
      </x:c>
      <x:c r="K237" s="78"/>
    </x:row>
    <x:row r="238">
      <x:c r="A238" s="73"/>
      <x:c r="B238" s="73"/>
      <x:c r="C238" s="74"/>
      <x:c r="D238" s="73"/>
      <x:c r="E238" s="73"/>
      <x:c r="F238" s="75"/>
      <x:c r="G238" s="75"/>
      <x:c r="H238" s="76" t="str">
        <x:f>IF(A238="","",F238-G238)</x:f>
      </x:c>
      <x:c r="I238" s="77" t="str">
        <x:f>IF(A238="","",IF(E238="","기타/불명",IF(IFERROR(SEARCH("급여",E238),0)&gt;0,"인건비",IF(IFERROR(SEARCH("임차",E238),0)&gt;0,"임차·시설",IF(IFERROR(SEARCH("광고",E238),0)&gt;0,"광고·행사",IF(IFERROR(SEARCH("용역",E238),0)&gt;0,"용역·수수료","기타/불명"))))))</x:f>
      </x:c>
      <x:c r="J238" s="77" t="str">
        <x:f>IF(A238="","",IF(I238="기타/불명","확인 필요","결의서명으로 1차 확인"))</x:f>
      </x:c>
      <x:c r="K238" s="78"/>
    </x:row>
    <x:row r="239">
      <x:c r="A239" s="73"/>
      <x:c r="B239" s="73"/>
      <x:c r="C239" s="74"/>
      <x:c r="D239" s="73"/>
      <x:c r="E239" s="73"/>
      <x:c r="F239" s="75"/>
      <x:c r="G239" s="75"/>
      <x:c r="H239" s="76" t="str">
        <x:f>IF(A239="","",F239-G239)</x:f>
      </x:c>
      <x:c r="I239" s="77" t="str">
        <x:f>IF(A239="","",IF(E239="","기타/불명",IF(IFERROR(SEARCH("급여",E239),0)&gt;0,"인건비",IF(IFERROR(SEARCH("임차",E239),0)&gt;0,"임차·시설",IF(IFERROR(SEARCH("광고",E239),0)&gt;0,"광고·행사",IF(IFERROR(SEARCH("용역",E239),0)&gt;0,"용역·수수료","기타/불명"))))))</x:f>
      </x:c>
      <x:c r="J239" s="77" t="str">
        <x:f>IF(A239="","",IF(I239="기타/불명","확인 필요","결의서명으로 1차 확인"))</x:f>
      </x:c>
      <x:c r="K239" s="78"/>
    </x:row>
    <x:row r="240">
      <x:c r="A240" s="73"/>
      <x:c r="B240" s="73"/>
      <x:c r="C240" s="74"/>
      <x:c r="D240" s="73"/>
      <x:c r="E240" s="73"/>
      <x:c r="F240" s="75"/>
      <x:c r="G240" s="75"/>
      <x:c r="H240" s="76" t="str">
        <x:f>IF(A240="","",F240-G240)</x:f>
      </x:c>
      <x:c r="I240" s="77" t="str">
        <x:f>IF(A240="","",IF(E240="","기타/불명",IF(IFERROR(SEARCH("급여",E240),0)&gt;0,"인건비",IF(IFERROR(SEARCH("임차",E240),0)&gt;0,"임차·시설",IF(IFERROR(SEARCH("광고",E240),0)&gt;0,"광고·행사",IF(IFERROR(SEARCH("용역",E240),0)&gt;0,"용역·수수료","기타/불명"))))))</x:f>
      </x:c>
      <x:c r="J240" s="77" t="str">
        <x:f>IF(A240="","",IF(I240="기타/불명","확인 필요","결의서명으로 1차 확인"))</x:f>
      </x:c>
      <x:c r="K240" s="78"/>
    </x:row>
    <x:row r="241">
      <x:c r="A241" s="73"/>
      <x:c r="B241" s="73"/>
      <x:c r="C241" s="74"/>
      <x:c r="D241" s="73"/>
      <x:c r="E241" s="73"/>
      <x:c r="F241" s="75"/>
      <x:c r="G241" s="75"/>
      <x:c r="H241" s="76" t="str">
        <x:f>IF(A241="","",F241-G241)</x:f>
      </x:c>
      <x:c r="I241" s="77" t="str">
        <x:f>IF(A241="","",IF(E241="","기타/불명",IF(IFERROR(SEARCH("급여",E241),0)&gt;0,"인건비",IF(IFERROR(SEARCH("임차",E241),0)&gt;0,"임차·시설",IF(IFERROR(SEARCH("광고",E241),0)&gt;0,"광고·행사",IF(IFERROR(SEARCH("용역",E241),0)&gt;0,"용역·수수료","기타/불명"))))))</x:f>
      </x:c>
      <x:c r="J241" s="77" t="str">
        <x:f>IF(A241="","",IF(I241="기타/불명","확인 필요","결의서명으로 1차 확인"))</x:f>
      </x:c>
      <x:c r="K241" s="78"/>
    </x:row>
    <x:row r="242">
      <x:c r="A242" s="73"/>
      <x:c r="B242" s="73"/>
      <x:c r="C242" s="74"/>
      <x:c r="D242" s="73"/>
      <x:c r="E242" s="73"/>
      <x:c r="F242" s="75"/>
      <x:c r="G242" s="75"/>
      <x:c r="H242" s="76" t="str">
        <x:f>IF(A242="","",F242-G242)</x:f>
      </x:c>
      <x:c r="I242" s="77" t="str">
        <x:f>IF(A242="","",IF(E242="","기타/불명",IF(IFERROR(SEARCH("급여",E242),0)&gt;0,"인건비",IF(IFERROR(SEARCH("임차",E242),0)&gt;0,"임차·시설",IF(IFERROR(SEARCH("광고",E242),0)&gt;0,"광고·행사",IF(IFERROR(SEARCH("용역",E242),0)&gt;0,"용역·수수료","기타/불명"))))))</x:f>
      </x:c>
      <x:c r="J242" s="77" t="str">
        <x:f>IF(A242="","",IF(I242="기타/불명","확인 필요","결의서명으로 1차 확인"))</x:f>
      </x:c>
      <x:c r="K242" s="78"/>
    </x:row>
    <x:row r="243">
      <x:c r="A243" s="73"/>
      <x:c r="B243" s="73"/>
      <x:c r="C243" s="74"/>
      <x:c r="D243" s="73"/>
      <x:c r="E243" s="73"/>
      <x:c r="F243" s="75"/>
      <x:c r="G243" s="75"/>
      <x:c r="H243" s="76" t="str">
        <x:f>IF(A243="","",F243-G243)</x:f>
      </x:c>
      <x:c r="I243" s="77" t="str">
        <x:f>IF(A243="","",IF(E243="","기타/불명",IF(IFERROR(SEARCH("급여",E243),0)&gt;0,"인건비",IF(IFERROR(SEARCH("임차",E243),0)&gt;0,"임차·시설",IF(IFERROR(SEARCH("광고",E243),0)&gt;0,"광고·행사",IF(IFERROR(SEARCH("용역",E243),0)&gt;0,"용역·수수료","기타/불명"))))))</x:f>
      </x:c>
      <x:c r="J243" s="77" t="str">
        <x:f>IF(A243="","",IF(I243="기타/불명","확인 필요","결의서명으로 1차 확인"))</x:f>
      </x:c>
      <x:c r="K243" s="78"/>
    </x:row>
    <x:row r="244">
      <x:c r="A244" s="73"/>
      <x:c r="B244" s="73"/>
      <x:c r="C244" s="74"/>
      <x:c r="D244" s="73"/>
      <x:c r="E244" s="73"/>
      <x:c r="F244" s="75"/>
      <x:c r="G244" s="75"/>
      <x:c r="H244" s="76" t="str">
        <x:f>IF(A244="","",F244-G244)</x:f>
      </x:c>
      <x:c r="I244" s="77" t="str">
        <x:f>IF(A244="","",IF(E244="","기타/불명",IF(IFERROR(SEARCH("급여",E244),0)&gt;0,"인건비",IF(IFERROR(SEARCH("임차",E244),0)&gt;0,"임차·시설",IF(IFERROR(SEARCH("광고",E244),0)&gt;0,"광고·행사",IF(IFERROR(SEARCH("용역",E244),0)&gt;0,"용역·수수료","기타/불명"))))))</x:f>
      </x:c>
      <x:c r="J244" s="77" t="str">
        <x:f>IF(A244="","",IF(I244="기타/불명","확인 필요","결의서명으로 1차 확인"))</x:f>
      </x:c>
      <x:c r="K244" s="78"/>
    </x:row>
    <x:row r="245">
      <x:c r="A245" s="73"/>
      <x:c r="B245" s="73"/>
      <x:c r="C245" s="74"/>
      <x:c r="D245" s="73"/>
      <x:c r="E245" s="73"/>
      <x:c r="F245" s="75"/>
      <x:c r="G245" s="75"/>
      <x:c r="H245" s="76" t="str">
        <x:f>IF(A245="","",F245-G245)</x:f>
      </x:c>
      <x:c r="I245" s="77" t="str">
        <x:f>IF(A245="","",IF(E245="","기타/불명",IF(IFERROR(SEARCH("급여",E245),0)&gt;0,"인건비",IF(IFERROR(SEARCH("임차",E245),0)&gt;0,"임차·시설",IF(IFERROR(SEARCH("광고",E245),0)&gt;0,"광고·행사",IF(IFERROR(SEARCH("용역",E245),0)&gt;0,"용역·수수료","기타/불명"))))))</x:f>
      </x:c>
      <x:c r="J245" s="77" t="str">
        <x:f>IF(A245="","",IF(I245="기타/불명","확인 필요","결의서명으로 1차 확인"))</x:f>
      </x:c>
      <x:c r="K245" s="78"/>
    </x:row>
    <x:row r="246">
      <x:c r="A246" s="73"/>
      <x:c r="B246" s="73"/>
      <x:c r="C246" s="74"/>
      <x:c r="D246" s="73"/>
      <x:c r="E246" s="73"/>
      <x:c r="F246" s="75"/>
      <x:c r="G246" s="75"/>
      <x:c r="H246" s="76" t="str">
        <x:f>IF(A246="","",F246-G246)</x:f>
      </x:c>
      <x:c r="I246" s="77" t="str">
        <x:f>IF(A246="","",IF(E246="","기타/불명",IF(IFERROR(SEARCH("급여",E246),0)&gt;0,"인건비",IF(IFERROR(SEARCH("임차",E246),0)&gt;0,"임차·시설",IF(IFERROR(SEARCH("광고",E246),0)&gt;0,"광고·행사",IF(IFERROR(SEARCH("용역",E246),0)&gt;0,"용역·수수료","기타/불명"))))))</x:f>
      </x:c>
      <x:c r="J246" s="77" t="str">
        <x:f>IF(A246="","",IF(I246="기타/불명","확인 필요","결의서명으로 1차 확인"))</x:f>
      </x:c>
      <x:c r="K246" s="78"/>
    </x:row>
    <x:row r="247">
      <x:c r="A247" s="73"/>
      <x:c r="B247" s="73"/>
      <x:c r="C247" s="74"/>
      <x:c r="D247" s="73"/>
      <x:c r="E247" s="73"/>
      <x:c r="F247" s="75"/>
      <x:c r="G247" s="75"/>
      <x:c r="H247" s="76" t="str">
        <x:f>IF(A247="","",F247-G247)</x:f>
      </x:c>
      <x:c r="I247" s="77" t="str">
        <x:f>IF(A247="","",IF(E247="","기타/불명",IF(IFERROR(SEARCH("급여",E247),0)&gt;0,"인건비",IF(IFERROR(SEARCH("임차",E247),0)&gt;0,"임차·시설",IF(IFERROR(SEARCH("광고",E247),0)&gt;0,"광고·행사",IF(IFERROR(SEARCH("용역",E247),0)&gt;0,"용역·수수료","기타/불명"))))))</x:f>
      </x:c>
      <x:c r="J247" s="77" t="str">
        <x:f>IF(A247="","",IF(I247="기타/불명","확인 필요","결의서명으로 1차 확인"))</x:f>
      </x:c>
      <x:c r="K247" s="78"/>
    </x:row>
    <x:row r="248">
      <x:c r="A248" s="73"/>
      <x:c r="B248" s="73"/>
      <x:c r="C248" s="74"/>
      <x:c r="D248" s="73"/>
      <x:c r="E248" s="73"/>
      <x:c r="F248" s="75"/>
      <x:c r="G248" s="75"/>
      <x:c r="H248" s="76" t="str">
        <x:f>IF(A248="","",F248-G248)</x:f>
      </x:c>
      <x:c r="I248" s="77" t="str">
        <x:f>IF(A248="","",IF(E248="","기타/불명",IF(IFERROR(SEARCH("급여",E248),0)&gt;0,"인건비",IF(IFERROR(SEARCH("임차",E248),0)&gt;0,"임차·시설",IF(IFERROR(SEARCH("광고",E248),0)&gt;0,"광고·행사",IF(IFERROR(SEARCH("용역",E248),0)&gt;0,"용역·수수료","기타/불명"))))))</x:f>
      </x:c>
      <x:c r="J248" s="77" t="str">
        <x:f>IF(A248="","",IF(I248="기타/불명","확인 필요","결의서명으로 1차 확인"))</x:f>
      </x:c>
      <x:c r="K248" s="78"/>
    </x:row>
    <x:row r="249">
      <x:c r="A249" s="73"/>
      <x:c r="B249" s="73"/>
      <x:c r="C249" s="74"/>
      <x:c r="D249" s="73"/>
      <x:c r="E249" s="73"/>
      <x:c r="F249" s="75"/>
      <x:c r="G249" s="75"/>
      <x:c r="H249" s="76" t="str">
        <x:f>IF(A249="","",F249-G249)</x:f>
      </x:c>
      <x:c r="I249" s="77" t="str">
        <x:f>IF(A249="","",IF(E249="","기타/불명",IF(IFERROR(SEARCH("급여",E249),0)&gt;0,"인건비",IF(IFERROR(SEARCH("임차",E249),0)&gt;0,"임차·시설",IF(IFERROR(SEARCH("광고",E249),0)&gt;0,"광고·행사",IF(IFERROR(SEARCH("용역",E249),0)&gt;0,"용역·수수료","기타/불명"))))))</x:f>
      </x:c>
      <x:c r="J249" s="77" t="str">
        <x:f>IF(A249="","",IF(I249="기타/불명","확인 필요","결의서명으로 1차 확인"))</x:f>
      </x:c>
      <x:c r="K249" s="78"/>
    </x:row>
    <x:row r="250">
      <x:c r="A250" s="73"/>
      <x:c r="B250" s="73"/>
      <x:c r="C250" s="74"/>
      <x:c r="D250" s="73"/>
      <x:c r="E250" s="73"/>
      <x:c r="F250" s="75"/>
      <x:c r="G250" s="75"/>
      <x:c r="H250" s="76" t="str">
        <x:f>IF(A250="","",F250-G250)</x:f>
      </x:c>
      <x:c r="I250" s="77" t="str">
        <x:f>IF(A250="","",IF(E250="","기타/불명",IF(IFERROR(SEARCH("급여",E250),0)&gt;0,"인건비",IF(IFERROR(SEARCH("임차",E250),0)&gt;0,"임차·시설",IF(IFERROR(SEARCH("광고",E250),0)&gt;0,"광고·행사",IF(IFERROR(SEARCH("용역",E250),0)&gt;0,"용역·수수료","기타/불명"))))))</x:f>
      </x:c>
      <x:c r="J250" s="77" t="str">
        <x:f>IF(A250="","",IF(I250="기타/불명","확인 필요","결의서명으로 1차 확인"))</x:f>
      </x:c>
      <x:c r="K250" s="78"/>
    </x:row>
    <x:row r="251">
      <x:c r="A251" s="73"/>
      <x:c r="B251" s="73"/>
      <x:c r="C251" s="74"/>
      <x:c r="D251" s="73"/>
      <x:c r="E251" s="73"/>
      <x:c r="F251" s="75"/>
      <x:c r="G251" s="75"/>
      <x:c r="H251" s="76" t="str">
        <x:f>IF(A251="","",F251-G251)</x:f>
      </x:c>
      <x:c r="I251" s="77" t="str">
        <x:f>IF(A251="","",IF(E251="","기타/불명",IF(IFERROR(SEARCH("급여",E251),0)&gt;0,"인건비",IF(IFERROR(SEARCH("임차",E251),0)&gt;0,"임차·시설",IF(IFERROR(SEARCH("광고",E251),0)&gt;0,"광고·행사",IF(IFERROR(SEARCH("용역",E251),0)&gt;0,"용역·수수료","기타/불명"))))))</x:f>
      </x:c>
      <x:c r="J251" s="77" t="str">
        <x:f>IF(A251="","",IF(I251="기타/불명","확인 필요","결의서명으로 1차 확인"))</x:f>
      </x:c>
      <x:c r="K251" s="78"/>
    </x:row>
    <x:row r="252">
      <x:c r="A252" s="73"/>
      <x:c r="B252" s="73"/>
      <x:c r="C252" s="74"/>
      <x:c r="D252" s="73"/>
      <x:c r="E252" s="73"/>
      <x:c r="F252" s="75"/>
      <x:c r="G252" s="75"/>
      <x:c r="H252" s="76" t="str">
        <x:f>IF(A252="","",F252-G252)</x:f>
      </x:c>
      <x:c r="I252" s="77" t="str">
        <x:f>IF(A252="","",IF(E252="","기타/불명",IF(IFERROR(SEARCH("급여",E252),0)&gt;0,"인건비",IF(IFERROR(SEARCH("임차",E252),0)&gt;0,"임차·시설",IF(IFERROR(SEARCH("광고",E252),0)&gt;0,"광고·행사",IF(IFERROR(SEARCH("용역",E252),0)&gt;0,"용역·수수료","기타/불명"))))))</x:f>
      </x:c>
      <x:c r="J252" s="77" t="str">
        <x:f>IF(A252="","",IF(I252="기타/불명","확인 필요","결의서명으로 1차 확인"))</x:f>
      </x:c>
      <x:c r="K252" s="78"/>
    </x:row>
    <x:row r="253">
      <x:c r="A253" s="73"/>
      <x:c r="B253" s="73"/>
      <x:c r="C253" s="74"/>
      <x:c r="D253" s="73"/>
      <x:c r="E253" s="73"/>
      <x:c r="F253" s="75"/>
      <x:c r="G253" s="75"/>
      <x:c r="H253" s="76" t="str">
        <x:f>IF(A253="","",F253-G253)</x:f>
      </x:c>
      <x:c r="I253" s="77" t="str">
        <x:f>IF(A253="","",IF(E253="","기타/불명",IF(IFERROR(SEARCH("급여",E253),0)&gt;0,"인건비",IF(IFERROR(SEARCH("임차",E253),0)&gt;0,"임차·시설",IF(IFERROR(SEARCH("광고",E253),0)&gt;0,"광고·행사",IF(IFERROR(SEARCH("용역",E253),0)&gt;0,"용역·수수료","기타/불명"))))))</x:f>
      </x:c>
      <x:c r="J253" s="77" t="str">
        <x:f>IF(A253="","",IF(I253="기타/불명","확인 필요","결의서명으로 1차 확인"))</x:f>
      </x:c>
      <x:c r="K253" s="78"/>
    </x:row>
    <x:row r="254">
      <x:c r="A254" s="73"/>
      <x:c r="B254" s="73"/>
      <x:c r="C254" s="74"/>
      <x:c r="D254" s="73"/>
      <x:c r="E254" s="73"/>
      <x:c r="F254" s="75"/>
      <x:c r="G254" s="75"/>
      <x:c r="H254" s="76" t="str">
        <x:f>IF(A254="","",F254-G254)</x:f>
      </x:c>
      <x:c r="I254" s="77" t="str">
        <x:f>IF(A254="","",IF(E254="","기타/불명",IF(IFERROR(SEARCH("급여",E254),0)&gt;0,"인건비",IF(IFERROR(SEARCH("임차",E254),0)&gt;0,"임차·시설",IF(IFERROR(SEARCH("광고",E254),0)&gt;0,"광고·행사",IF(IFERROR(SEARCH("용역",E254),0)&gt;0,"용역·수수료","기타/불명"))))))</x:f>
      </x:c>
      <x:c r="J254" s="77" t="str">
        <x:f>IF(A254="","",IF(I254="기타/불명","확인 필요","결의서명으로 1차 확인"))</x:f>
      </x:c>
      <x:c r="K254" s="78"/>
    </x:row>
    <x:row r="255">
      <x:c r="A255" s="73"/>
      <x:c r="B255" s="73"/>
      <x:c r="C255" s="74"/>
      <x:c r="D255" s="73"/>
      <x:c r="E255" s="73"/>
      <x:c r="F255" s="75"/>
      <x:c r="G255" s="75"/>
      <x:c r="H255" s="76" t="str">
        <x:f>IF(A255="","",F255-G255)</x:f>
      </x:c>
      <x:c r="I255" s="77" t="str">
        <x:f>IF(A255="","",IF(E255="","기타/불명",IF(IFERROR(SEARCH("급여",E255),0)&gt;0,"인건비",IF(IFERROR(SEARCH("임차",E255),0)&gt;0,"임차·시설",IF(IFERROR(SEARCH("광고",E255),0)&gt;0,"광고·행사",IF(IFERROR(SEARCH("용역",E255),0)&gt;0,"용역·수수료","기타/불명"))))))</x:f>
      </x:c>
      <x:c r="J255" s="77" t="str">
        <x:f>IF(A255="","",IF(I255="기타/불명","확인 필요","결의서명으로 1차 확인"))</x:f>
      </x:c>
      <x:c r="K255" s="78"/>
    </x:row>
    <x:row r="256">
      <x:c r="A256" s="73"/>
      <x:c r="B256" s="73"/>
      <x:c r="C256" s="74"/>
      <x:c r="D256" s="73"/>
      <x:c r="E256" s="73"/>
      <x:c r="F256" s="75"/>
      <x:c r="G256" s="75"/>
      <x:c r="H256" s="76" t="str">
        <x:f>IF(A256="","",F256-G256)</x:f>
      </x:c>
      <x:c r="I256" s="77" t="str">
        <x:f>IF(A256="","",IF(E256="","기타/불명",IF(IFERROR(SEARCH("급여",E256),0)&gt;0,"인건비",IF(IFERROR(SEARCH("임차",E256),0)&gt;0,"임차·시설",IF(IFERROR(SEARCH("광고",E256),0)&gt;0,"광고·행사",IF(IFERROR(SEARCH("용역",E256),0)&gt;0,"용역·수수료","기타/불명"))))))</x:f>
      </x:c>
      <x:c r="J256" s="77" t="str">
        <x:f>IF(A256="","",IF(I256="기타/불명","확인 필요","결의서명으로 1차 확인"))</x:f>
      </x:c>
      <x:c r="K256" s="78"/>
    </x:row>
    <x:row r="257">
      <x:c r="A257" s="73"/>
      <x:c r="B257" s="73"/>
      <x:c r="C257" s="74"/>
      <x:c r="D257" s="73"/>
      <x:c r="E257" s="73"/>
      <x:c r="F257" s="75"/>
      <x:c r="G257" s="75"/>
      <x:c r="H257" s="76" t="str">
        <x:f>IF(A257="","",F257-G257)</x:f>
      </x:c>
      <x:c r="I257" s="77" t="str">
        <x:f>IF(A257="","",IF(E257="","기타/불명",IF(IFERROR(SEARCH("급여",E257),0)&gt;0,"인건비",IF(IFERROR(SEARCH("임차",E257),0)&gt;0,"임차·시설",IF(IFERROR(SEARCH("광고",E257),0)&gt;0,"광고·행사",IF(IFERROR(SEARCH("용역",E257),0)&gt;0,"용역·수수료","기타/불명"))))))</x:f>
      </x:c>
      <x:c r="J257" s="77" t="str">
        <x:f>IF(A257="","",IF(I257="기타/불명","확인 필요","결의서명으로 1차 확인"))</x:f>
      </x:c>
      <x:c r="K257" s="78"/>
    </x:row>
    <x:row r="258">
      <x:c r="A258" s="73"/>
      <x:c r="B258" s="73"/>
      <x:c r="C258" s="74"/>
      <x:c r="D258" s="73"/>
      <x:c r="E258" s="73"/>
      <x:c r="F258" s="75"/>
      <x:c r="G258" s="75"/>
      <x:c r="H258" s="76" t="str">
        <x:f>IF(A258="","",F258-G258)</x:f>
      </x:c>
      <x:c r="I258" s="77" t="str">
        <x:f>IF(A258="","",IF(E258="","기타/불명",IF(IFERROR(SEARCH("급여",E258),0)&gt;0,"인건비",IF(IFERROR(SEARCH("임차",E258),0)&gt;0,"임차·시설",IF(IFERROR(SEARCH("광고",E258),0)&gt;0,"광고·행사",IF(IFERROR(SEARCH("용역",E258),0)&gt;0,"용역·수수료","기타/불명"))))))</x:f>
      </x:c>
      <x:c r="J258" s="77" t="str">
        <x:f>IF(A258="","",IF(I258="기타/불명","확인 필요","결의서명으로 1차 확인"))</x:f>
      </x:c>
      <x:c r="K258" s="78"/>
    </x:row>
    <x:row r="259">
      <x:c r="A259" s="73"/>
      <x:c r="B259" s="73"/>
      <x:c r="C259" s="74"/>
      <x:c r="D259" s="73"/>
      <x:c r="E259" s="73"/>
      <x:c r="F259" s="75"/>
      <x:c r="G259" s="75"/>
      <x:c r="H259" s="76" t="str">
        <x:f>IF(A259="","",F259-G259)</x:f>
      </x:c>
      <x:c r="I259" s="77" t="str">
        <x:f>IF(A259="","",IF(E259="","기타/불명",IF(IFERROR(SEARCH("급여",E259),0)&gt;0,"인건비",IF(IFERROR(SEARCH("임차",E259),0)&gt;0,"임차·시설",IF(IFERROR(SEARCH("광고",E259),0)&gt;0,"광고·행사",IF(IFERROR(SEARCH("용역",E259),0)&gt;0,"용역·수수료","기타/불명"))))))</x:f>
      </x:c>
      <x:c r="J259" s="77" t="str">
        <x:f>IF(A259="","",IF(I259="기타/불명","확인 필요","결의서명으로 1차 확인"))</x:f>
      </x:c>
      <x:c r="K259" s="78"/>
    </x:row>
    <x:row r="260">
      <x:c r="A260" s="73"/>
      <x:c r="B260" s="73"/>
      <x:c r="C260" s="74"/>
      <x:c r="D260" s="73"/>
      <x:c r="E260" s="73"/>
      <x:c r="F260" s="75"/>
      <x:c r="G260" s="75"/>
      <x:c r="H260" s="76" t="str">
        <x:f>IF(A260="","",F260-G260)</x:f>
      </x:c>
      <x:c r="I260" s="77" t="str">
        <x:f>IF(A260="","",IF(E260="","기타/불명",IF(IFERROR(SEARCH("급여",E260),0)&gt;0,"인건비",IF(IFERROR(SEARCH("임차",E260),0)&gt;0,"임차·시설",IF(IFERROR(SEARCH("광고",E260),0)&gt;0,"광고·행사",IF(IFERROR(SEARCH("용역",E260),0)&gt;0,"용역·수수료","기타/불명"))))))</x:f>
      </x:c>
      <x:c r="J260" s="77" t="str">
        <x:f>IF(A260="","",IF(I260="기타/불명","확인 필요","결의서명으로 1차 확인"))</x:f>
      </x:c>
      <x:c r="K260" s="78"/>
    </x:row>
    <x:row r="261">
      <x:c r="A261" s="73"/>
      <x:c r="B261" s="73"/>
      <x:c r="C261" s="74"/>
      <x:c r="D261" s="73"/>
      <x:c r="E261" s="73"/>
      <x:c r="F261" s="75"/>
      <x:c r="G261" s="75"/>
      <x:c r="H261" s="76" t="str">
        <x:f>IF(A261="","",F261-G261)</x:f>
      </x:c>
      <x:c r="I261" s="77" t="str">
        <x:f>IF(A261="","",IF(E261="","기타/불명",IF(IFERROR(SEARCH("급여",E261),0)&gt;0,"인건비",IF(IFERROR(SEARCH("임차",E261),0)&gt;0,"임차·시설",IF(IFERROR(SEARCH("광고",E261),0)&gt;0,"광고·행사",IF(IFERROR(SEARCH("용역",E261),0)&gt;0,"용역·수수료","기타/불명"))))))</x:f>
      </x:c>
      <x:c r="J261" s="77" t="str">
        <x:f>IF(A261="","",IF(I261="기타/불명","확인 필요","결의서명으로 1차 확인"))</x:f>
      </x:c>
      <x:c r="K261" s="78"/>
    </x:row>
    <x:row r="262">
      <x:c r="A262" s="73"/>
      <x:c r="B262" s="73"/>
      <x:c r="C262" s="74"/>
      <x:c r="D262" s="73"/>
      <x:c r="E262" s="73"/>
      <x:c r="F262" s="75"/>
      <x:c r="G262" s="75"/>
      <x:c r="H262" s="76" t="str">
        <x:f>IF(A262="","",F262-G262)</x:f>
      </x:c>
      <x:c r="I262" s="77" t="str">
        <x:f>IF(A262="","",IF(E262="","기타/불명",IF(IFERROR(SEARCH("급여",E262),0)&gt;0,"인건비",IF(IFERROR(SEARCH("임차",E262),0)&gt;0,"임차·시설",IF(IFERROR(SEARCH("광고",E262),0)&gt;0,"광고·행사",IF(IFERROR(SEARCH("용역",E262),0)&gt;0,"용역·수수료","기타/불명"))))))</x:f>
      </x:c>
      <x:c r="J262" s="77" t="str">
        <x:f>IF(A262="","",IF(I262="기타/불명","확인 필요","결의서명으로 1차 확인"))</x:f>
      </x:c>
      <x:c r="K262" s="78"/>
    </x:row>
    <x:row r="263">
      <x:c r="A263" s="73"/>
      <x:c r="B263" s="73"/>
      <x:c r="C263" s="74"/>
      <x:c r="D263" s="73"/>
      <x:c r="E263" s="73"/>
      <x:c r="F263" s="75"/>
      <x:c r="G263" s="75"/>
      <x:c r="H263" s="76" t="str">
        <x:f>IF(A263="","",F263-G263)</x:f>
      </x:c>
      <x:c r="I263" s="77" t="str">
        <x:f>IF(A263="","",IF(E263="","기타/불명",IF(IFERROR(SEARCH("급여",E263),0)&gt;0,"인건비",IF(IFERROR(SEARCH("임차",E263),0)&gt;0,"임차·시설",IF(IFERROR(SEARCH("광고",E263),0)&gt;0,"광고·행사",IF(IFERROR(SEARCH("용역",E263),0)&gt;0,"용역·수수료","기타/불명"))))))</x:f>
      </x:c>
      <x:c r="J263" s="77" t="str">
        <x:f>IF(A263="","",IF(I263="기타/불명","확인 필요","결의서명으로 1차 확인"))</x:f>
      </x:c>
      <x:c r="K263" s="78"/>
    </x:row>
    <x:row r="264">
      <x:c r="A264" s="73"/>
      <x:c r="B264" s="73"/>
      <x:c r="C264" s="74"/>
      <x:c r="D264" s="73"/>
      <x:c r="E264" s="73"/>
      <x:c r="F264" s="75"/>
      <x:c r="G264" s="75"/>
      <x:c r="H264" s="76" t="str">
        <x:f>IF(A264="","",F264-G264)</x:f>
      </x:c>
      <x:c r="I264" s="77" t="str">
        <x:f>IF(A264="","",IF(E264="","기타/불명",IF(IFERROR(SEARCH("급여",E264),0)&gt;0,"인건비",IF(IFERROR(SEARCH("임차",E264),0)&gt;0,"임차·시설",IF(IFERROR(SEARCH("광고",E264),0)&gt;0,"광고·행사",IF(IFERROR(SEARCH("용역",E264),0)&gt;0,"용역·수수료","기타/불명"))))))</x:f>
      </x:c>
      <x:c r="J264" s="77" t="str">
        <x:f>IF(A264="","",IF(I264="기타/불명","확인 필요","결의서명으로 1차 확인"))</x:f>
      </x:c>
      <x:c r="K264" s="78"/>
    </x:row>
    <x:row r="265">
      <x:c r="A265" s="73"/>
      <x:c r="B265" s="73"/>
      <x:c r="C265" s="74"/>
      <x:c r="D265" s="73"/>
      <x:c r="E265" s="73"/>
      <x:c r="F265" s="75"/>
      <x:c r="G265" s="75"/>
      <x:c r="H265" s="76" t="str">
        <x:f>IF(A265="","",F265-G265)</x:f>
      </x:c>
      <x:c r="I265" s="77" t="str">
        <x:f>IF(A265="","",IF(E265="","기타/불명",IF(IFERROR(SEARCH("급여",E265),0)&gt;0,"인건비",IF(IFERROR(SEARCH("임차",E265),0)&gt;0,"임차·시설",IF(IFERROR(SEARCH("광고",E265),0)&gt;0,"광고·행사",IF(IFERROR(SEARCH("용역",E265),0)&gt;0,"용역·수수료","기타/불명"))))))</x:f>
      </x:c>
      <x:c r="J265" s="77" t="str">
        <x:f>IF(A265="","",IF(I265="기타/불명","확인 필요","결의서명으로 1차 확인"))</x:f>
      </x:c>
      <x:c r="K265" s="78"/>
    </x:row>
    <x:row r="266">
      <x:c r="A266" s="73"/>
      <x:c r="B266" s="73"/>
      <x:c r="C266" s="74"/>
      <x:c r="D266" s="73"/>
      <x:c r="E266" s="73"/>
      <x:c r="F266" s="75"/>
      <x:c r="G266" s="75"/>
      <x:c r="H266" s="76" t="str">
        <x:f>IF(A266="","",F266-G266)</x:f>
      </x:c>
      <x:c r="I266" s="77" t="str">
        <x:f>IF(A266="","",IF(E266="","기타/불명",IF(IFERROR(SEARCH("급여",E266),0)&gt;0,"인건비",IF(IFERROR(SEARCH("임차",E266),0)&gt;0,"임차·시설",IF(IFERROR(SEARCH("광고",E266),0)&gt;0,"광고·행사",IF(IFERROR(SEARCH("용역",E266),0)&gt;0,"용역·수수료","기타/불명"))))))</x:f>
      </x:c>
      <x:c r="J266" s="77" t="str">
        <x:f>IF(A266="","",IF(I266="기타/불명","확인 필요","결의서명으로 1차 확인"))</x:f>
      </x:c>
      <x:c r="K266" s="78"/>
    </x:row>
    <x:row r="267">
      <x:c r="A267" s="73"/>
      <x:c r="B267" s="73"/>
      <x:c r="C267" s="74"/>
      <x:c r="D267" s="73"/>
      <x:c r="E267" s="73"/>
      <x:c r="F267" s="75"/>
      <x:c r="G267" s="75"/>
      <x:c r="H267" s="76" t="str">
        <x:f>IF(A267="","",F267-G267)</x:f>
      </x:c>
      <x:c r="I267" s="77" t="str">
        <x:f>IF(A267="","",IF(E267="","기타/불명",IF(IFERROR(SEARCH("급여",E267),0)&gt;0,"인건비",IF(IFERROR(SEARCH("임차",E267),0)&gt;0,"임차·시설",IF(IFERROR(SEARCH("광고",E267),0)&gt;0,"광고·행사",IF(IFERROR(SEARCH("용역",E267),0)&gt;0,"용역·수수료","기타/불명"))))))</x:f>
      </x:c>
      <x:c r="J267" s="77" t="str">
        <x:f>IF(A267="","",IF(I267="기타/불명","확인 필요","결의서명으로 1차 확인"))</x:f>
      </x:c>
      <x:c r="K267" s="78"/>
    </x:row>
    <x:row r="268">
      <x:c r="A268" s="73"/>
      <x:c r="B268" s="73"/>
      <x:c r="C268" s="74"/>
      <x:c r="D268" s="73"/>
      <x:c r="E268" s="73"/>
      <x:c r="F268" s="75"/>
      <x:c r="G268" s="75"/>
      <x:c r="H268" s="76" t="str">
        <x:f>IF(A268="","",F268-G268)</x:f>
      </x:c>
      <x:c r="I268" s="77" t="str">
        <x:f>IF(A268="","",IF(E268="","기타/불명",IF(IFERROR(SEARCH("급여",E268),0)&gt;0,"인건비",IF(IFERROR(SEARCH("임차",E268),0)&gt;0,"임차·시설",IF(IFERROR(SEARCH("광고",E268),0)&gt;0,"광고·행사",IF(IFERROR(SEARCH("용역",E268),0)&gt;0,"용역·수수료","기타/불명"))))))</x:f>
      </x:c>
      <x:c r="J268" s="77" t="str">
        <x:f>IF(A268="","",IF(I268="기타/불명","확인 필요","결의서명으로 1차 확인"))</x:f>
      </x:c>
      <x:c r="K268" s="78"/>
    </x:row>
    <x:row r="269">
      <x:c r="A269" s="73"/>
      <x:c r="B269" s="73"/>
      <x:c r="C269" s="74"/>
      <x:c r="D269" s="73"/>
      <x:c r="E269" s="73"/>
      <x:c r="F269" s="75"/>
      <x:c r="G269" s="75"/>
      <x:c r="H269" s="76" t="str">
        <x:f>IF(A269="","",F269-G269)</x:f>
      </x:c>
      <x:c r="I269" s="77" t="str">
        <x:f>IF(A269="","",IF(E269="","기타/불명",IF(IFERROR(SEARCH("급여",E269),0)&gt;0,"인건비",IF(IFERROR(SEARCH("임차",E269),0)&gt;0,"임차·시설",IF(IFERROR(SEARCH("광고",E269),0)&gt;0,"광고·행사",IF(IFERROR(SEARCH("용역",E269),0)&gt;0,"용역·수수료","기타/불명"))))))</x:f>
      </x:c>
      <x:c r="J269" s="77" t="str">
        <x:f>IF(A269="","",IF(I269="기타/불명","확인 필요","결의서명으로 1차 확인"))</x:f>
      </x:c>
      <x:c r="K269" s="78"/>
    </x:row>
    <x:row r="270">
      <x:c r="A270" s="73"/>
      <x:c r="B270" s="73"/>
      <x:c r="C270" s="74"/>
      <x:c r="D270" s="73"/>
      <x:c r="E270" s="73"/>
      <x:c r="F270" s="75"/>
      <x:c r="G270" s="75"/>
      <x:c r="H270" s="76" t="str">
        <x:f>IF(A270="","",F270-G270)</x:f>
      </x:c>
      <x:c r="I270" s="77" t="str">
        <x:f>IF(A270="","",IF(E270="","기타/불명",IF(IFERROR(SEARCH("급여",E270),0)&gt;0,"인건비",IF(IFERROR(SEARCH("임차",E270),0)&gt;0,"임차·시설",IF(IFERROR(SEARCH("광고",E270),0)&gt;0,"광고·행사",IF(IFERROR(SEARCH("용역",E270),0)&gt;0,"용역·수수료","기타/불명"))))))</x:f>
      </x:c>
      <x:c r="J270" s="77" t="str">
        <x:f>IF(A270="","",IF(I270="기타/불명","확인 필요","결의서명으로 1차 확인"))</x:f>
      </x:c>
      <x:c r="K270" s="78"/>
    </x:row>
    <x:row r="271">
      <x:c r="A271" s="73"/>
      <x:c r="B271" s="73"/>
      <x:c r="C271" s="74"/>
      <x:c r="D271" s="73"/>
      <x:c r="E271" s="73"/>
      <x:c r="F271" s="75"/>
      <x:c r="G271" s="75"/>
      <x:c r="H271" s="76" t="str">
        <x:f>IF(A271="","",F271-G271)</x:f>
      </x:c>
      <x:c r="I271" s="77" t="str">
        <x:f>IF(A271="","",IF(E271="","기타/불명",IF(IFERROR(SEARCH("급여",E271),0)&gt;0,"인건비",IF(IFERROR(SEARCH("임차",E271),0)&gt;0,"임차·시설",IF(IFERROR(SEARCH("광고",E271),0)&gt;0,"광고·행사",IF(IFERROR(SEARCH("용역",E271),0)&gt;0,"용역·수수료","기타/불명"))))))</x:f>
      </x:c>
      <x:c r="J271" s="77" t="str">
        <x:f>IF(A271="","",IF(I271="기타/불명","확인 필요","결의서명으로 1차 확인"))</x:f>
      </x:c>
      <x:c r="K271" s="78"/>
    </x:row>
    <x:row r="272">
      <x:c r="A272" s="73"/>
      <x:c r="B272" s="73"/>
      <x:c r="C272" s="74"/>
      <x:c r="D272" s="73"/>
      <x:c r="E272" s="73"/>
      <x:c r="F272" s="75"/>
      <x:c r="G272" s="75"/>
      <x:c r="H272" s="76" t="str">
        <x:f>IF(A272="","",F272-G272)</x:f>
      </x:c>
      <x:c r="I272" s="77" t="str">
        <x:f>IF(A272="","",IF(E272="","기타/불명",IF(IFERROR(SEARCH("급여",E272),0)&gt;0,"인건비",IF(IFERROR(SEARCH("임차",E272),0)&gt;0,"임차·시설",IF(IFERROR(SEARCH("광고",E272),0)&gt;0,"광고·행사",IF(IFERROR(SEARCH("용역",E272),0)&gt;0,"용역·수수료","기타/불명"))))))</x:f>
      </x:c>
      <x:c r="J272" s="77" t="str">
        <x:f>IF(A272="","",IF(I272="기타/불명","확인 필요","결의서명으로 1차 확인"))</x:f>
      </x:c>
      <x:c r="K272" s="78"/>
    </x:row>
    <x:row r="273">
      <x:c r="A273" s="73"/>
      <x:c r="B273" s="73"/>
      <x:c r="C273" s="74"/>
      <x:c r="D273" s="73"/>
      <x:c r="E273" s="73"/>
      <x:c r="F273" s="75"/>
      <x:c r="G273" s="75"/>
      <x:c r="H273" s="76" t="str">
        <x:f>IF(A273="","",F273-G273)</x:f>
      </x:c>
      <x:c r="I273" s="77" t="str">
        <x:f>IF(A273="","",IF(E273="","기타/불명",IF(IFERROR(SEARCH("급여",E273),0)&gt;0,"인건비",IF(IFERROR(SEARCH("임차",E273),0)&gt;0,"임차·시설",IF(IFERROR(SEARCH("광고",E273),0)&gt;0,"광고·행사",IF(IFERROR(SEARCH("용역",E273),0)&gt;0,"용역·수수료","기타/불명"))))))</x:f>
      </x:c>
      <x:c r="J273" s="77" t="str">
        <x:f>IF(A273="","",IF(I273="기타/불명","확인 필요","결의서명으로 1차 확인"))</x:f>
      </x:c>
      <x:c r="K273" s="78"/>
    </x:row>
    <x:row r="274">
      <x:c r="A274" s="73"/>
      <x:c r="B274" s="73"/>
      <x:c r="C274" s="74"/>
      <x:c r="D274" s="73"/>
      <x:c r="E274" s="73"/>
      <x:c r="F274" s="75"/>
      <x:c r="G274" s="75"/>
      <x:c r="H274" s="76" t="str">
        <x:f>IF(A274="","",F274-G274)</x:f>
      </x:c>
      <x:c r="I274" s="77" t="str">
        <x:f>IF(A274="","",IF(E274="","기타/불명",IF(IFERROR(SEARCH("급여",E274),0)&gt;0,"인건비",IF(IFERROR(SEARCH("임차",E274),0)&gt;0,"임차·시설",IF(IFERROR(SEARCH("광고",E274),0)&gt;0,"광고·행사",IF(IFERROR(SEARCH("용역",E274),0)&gt;0,"용역·수수료","기타/불명"))))))</x:f>
      </x:c>
      <x:c r="J274" s="77" t="str">
        <x:f>IF(A274="","",IF(I274="기타/불명","확인 필요","결의서명으로 1차 확인"))</x:f>
      </x:c>
      <x:c r="K274" s="78"/>
    </x:row>
    <x:row r="275">
      <x:c r="A275" s="73"/>
      <x:c r="B275" s="73"/>
      <x:c r="C275" s="74"/>
      <x:c r="D275" s="73"/>
      <x:c r="E275" s="73"/>
      <x:c r="F275" s="75"/>
      <x:c r="G275" s="75"/>
      <x:c r="H275" s="76" t="str">
        <x:f>IF(A275="","",F275-G275)</x:f>
      </x:c>
      <x:c r="I275" s="77" t="str">
        <x:f>IF(A275="","",IF(E275="","기타/불명",IF(IFERROR(SEARCH("급여",E275),0)&gt;0,"인건비",IF(IFERROR(SEARCH("임차",E275),0)&gt;0,"임차·시설",IF(IFERROR(SEARCH("광고",E275),0)&gt;0,"광고·행사",IF(IFERROR(SEARCH("용역",E275),0)&gt;0,"용역·수수료","기타/불명"))))))</x:f>
      </x:c>
      <x:c r="J275" s="77" t="str">
        <x:f>IF(A275="","",IF(I275="기타/불명","확인 필요","결의서명으로 1차 확인"))</x:f>
      </x:c>
      <x:c r="K275" s="78"/>
    </x:row>
    <x:row r="276">
      <x:c r="A276" s="73"/>
      <x:c r="B276" s="73"/>
      <x:c r="C276" s="74"/>
      <x:c r="D276" s="73"/>
      <x:c r="E276" s="73"/>
      <x:c r="F276" s="75"/>
      <x:c r="G276" s="75"/>
      <x:c r="H276" s="76" t="str">
        <x:f>IF(A276="","",F276-G276)</x:f>
      </x:c>
      <x:c r="I276" s="77" t="str">
        <x:f>IF(A276="","",IF(E276="","기타/불명",IF(IFERROR(SEARCH("급여",E276),0)&gt;0,"인건비",IF(IFERROR(SEARCH("임차",E276),0)&gt;0,"임차·시설",IF(IFERROR(SEARCH("광고",E276),0)&gt;0,"광고·행사",IF(IFERROR(SEARCH("용역",E276),0)&gt;0,"용역·수수료","기타/불명"))))))</x:f>
      </x:c>
      <x:c r="J276" s="77" t="str">
        <x:f>IF(A276="","",IF(I276="기타/불명","확인 필요","결의서명으로 1차 확인"))</x:f>
      </x:c>
      <x:c r="K276" s="78"/>
    </x:row>
    <x:row r="277">
      <x:c r="A277" s="73"/>
      <x:c r="B277" s="73"/>
      <x:c r="C277" s="74"/>
      <x:c r="D277" s="73"/>
      <x:c r="E277" s="73"/>
      <x:c r="F277" s="75"/>
      <x:c r="G277" s="75"/>
      <x:c r="H277" s="76" t="str">
        <x:f>IF(A277="","",F277-G277)</x:f>
      </x:c>
      <x:c r="I277" s="77" t="str">
        <x:f>IF(A277="","",IF(E277="","기타/불명",IF(IFERROR(SEARCH("급여",E277),0)&gt;0,"인건비",IF(IFERROR(SEARCH("임차",E277),0)&gt;0,"임차·시설",IF(IFERROR(SEARCH("광고",E277),0)&gt;0,"광고·행사",IF(IFERROR(SEARCH("용역",E277),0)&gt;0,"용역·수수료","기타/불명"))))))</x:f>
      </x:c>
      <x:c r="J277" s="77" t="str">
        <x:f>IF(A277="","",IF(I277="기타/불명","확인 필요","결의서명으로 1차 확인"))</x:f>
      </x:c>
      <x:c r="K277" s="78"/>
    </x:row>
    <x:row r="278">
      <x:c r="A278" s="73"/>
      <x:c r="B278" s="73"/>
      <x:c r="C278" s="74"/>
      <x:c r="D278" s="73"/>
      <x:c r="E278" s="73"/>
      <x:c r="F278" s="75"/>
      <x:c r="G278" s="75"/>
      <x:c r="H278" s="76" t="str">
        <x:f>IF(A278="","",F278-G278)</x:f>
      </x:c>
      <x:c r="I278" s="77" t="str">
        <x:f>IF(A278="","",IF(E278="","기타/불명",IF(IFERROR(SEARCH("급여",E278),0)&gt;0,"인건비",IF(IFERROR(SEARCH("임차",E278),0)&gt;0,"임차·시설",IF(IFERROR(SEARCH("광고",E278),0)&gt;0,"광고·행사",IF(IFERROR(SEARCH("용역",E278),0)&gt;0,"용역·수수료","기타/불명"))))))</x:f>
      </x:c>
      <x:c r="J278" s="77" t="str">
        <x:f>IF(A278="","",IF(I278="기타/불명","확인 필요","결의서명으로 1차 확인"))</x:f>
      </x:c>
      <x:c r="K278" s="78"/>
    </x:row>
    <x:row r="279">
      <x:c r="A279" s="73"/>
      <x:c r="B279" s="73"/>
      <x:c r="C279" s="74"/>
      <x:c r="D279" s="73"/>
      <x:c r="E279" s="73"/>
      <x:c r="F279" s="75"/>
      <x:c r="G279" s="75"/>
      <x:c r="H279" s="76" t="str">
        <x:f>IF(A279="","",F279-G279)</x:f>
      </x:c>
      <x:c r="I279" s="77" t="str">
        <x:f>IF(A279="","",IF(E279="","기타/불명",IF(IFERROR(SEARCH("급여",E279),0)&gt;0,"인건비",IF(IFERROR(SEARCH("임차",E279),0)&gt;0,"임차·시설",IF(IFERROR(SEARCH("광고",E279),0)&gt;0,"광고·행사",IF(IFERROR(SEARCH("용역",E279),0)&gt;0,"용역·수수료","기타/불명"))))))</x:f>
      </x:c>
      <x:c r="J279" s="77" t="str">
        <x:f>IF(A279="","",IF(I279="기타/불명","확인 필요","결의서명으로 1차 확인"))</x:f>
      </x:c>
      <x:c r="K279" s="78"/>
    </x:row>
    <x:row r="280">
      <x:c r="A280" s="73"/>
      <x:c r="B280" s="73"/>
      <x:c r="C280" s="74"/>
      <x:c r="D280" s="73"/>
      <x:c r="E280" s="73"/>
      <x:c r="F280" s="75"/>
      <x:c r="G280" s="75"/>
      <x:c r="H280" s="76" t="str">
        <x:f>IF(A280="","",F280-G280)</x:f>
      </x:c>
      <x:c r="I280" s="77" t="str">
        <x:f>IF(A280="","",IF(E280="","기타/불명",IF(IFERROR(SEARCH("급여",E280),0)&gt;0,"인건비",IF(IFERROR(SEARCH("임차",E280),0)&gt;0,"임차·시설",IF(IFERROR(SEARCH("광고",E280),0)&gt;0,"광고·행사",IF(IFERROR(SEARCH("용역",E280),0)&gt;0,"용역·수수료","기타/불명"))))))</x:f>
      </x:c>
      <x:c r="J280" s="77" t="str">
        <x:f>IF(A280="","",IF(I280="기타/불명","확인 필요","결의서명으로 1차 확인"))</x:f>
      </x:c>
      <x:c r="K280" s="78"/>
    </x:row>
    <x:row r="281">
      <x:c r="A281" s="73"/>
      <x:c r="B281" s="73"/>
      <x:c r="C281" s="74"/>
      <x:c r="D281" s="73"/>
      <x:c r="E281" s="73"/>
      <x:c r="F281" s="75"/>
      <x:c r="G281" s="75"/>
      <x:c r="H281" s="76" t="str">
        <x:f>IF(A281="","",F281-G281)</x:f>
      </x:c>
      <x:c r="I281" s="77" t="str">
        <x:f>IF(A281="","",IF(E281="","기타/불명",IF(IFERROR(SEARCH("급여",E281),0)&gt;0,"인건비",IF(IFERROR(SEARCH("임차",E281),0)&gt;0,"임차·시설",IF(IFERROR(SEARCH("광고",E281),0)&gt;0,"광고·행사",IF(IFERROR(SEARCH("용역",E281),0)&gt;0,"용역·수수료","기타/불명"))))))</x:f>
      </x:c>
      <x:c r="J281" s="77" t="str">
        <x:f>IF(A281="","",IF(I281="기타/불명","확인 필요","결의서명으로 1차 확인"))</x:f>
      </x:c>
      <x:c r="K281" s="78"/>
    </x:row>
    <x:row r="282">
      <x:c r="A282" s="73"/>
      <x:c r="B282" s="73"/>
      <x:c r="C282" s="74"/>
      <x:c r="D282" s="73"/>
      <x:c r="E282" s="73"/>
      <x:c r="F282" s="75"/>
      <x:c r="G282" s="75"/>
      <x:c r="H282" s="76" t="str">
        <x:f>IF(A282="","",F282-G282)</x:f>
      </x:c>
      <x:c r="I282" s="77" t="str">
        <x:f>IF(A282="","",IF(E282="","기타/불명",IF(IFERROR(SEARCH("급여",E282),0)&gt;0,"인건비",IF(IFERROR(SEARCH("임차",E282),0)&gt;0,"임차·시설",IF(IFERROR(SEARCH("광고",E282),0)&gt;0,"광고·행사",IF(IFERROR(SEARCH("용역",E282),0)&gt;0,"용역·수수료","기타/불명"))))))</x:f>
      </x:c>
      <x:c r="J282" s="77" t="str">
        <x:f>IF(A282="","",IF(I282="기타/불명","확인 필요","결의서명으로 1차 확인"))</x:f>
      </x:c>
      <x:c r="K282" s="78"/>
    </x:row>
    <x:row r="283">
      <x:c r="A283" s="73"/>
      <x:c r="B283" s="73"/>
      <x:c r="C283" s="74"/>
      <x:c r="D283" s="73"/>
      <x:c r="E283" s="73"/>
      <x:c r="F283" s="75"/>
      <x:c r="G283" s="75"/>
      <x:c r="H283" s="76" t="str">
        <x:f>IF(A283="","",F283-G283)</x:f>
      </x:c>
      <x:c r="I283" s="77" t="str">
        <x:f>IF(A283="","",IF(E283="","기타/불명",IF(IFERROR(SEARCH("급여",E283),0)&gt;0,"인건비",IF(IFERROR(SEARCH("임차",E283),0)&gt;0,"임차·시설",IF(IFERROR(SEARCH("광고",E283),0)&gt;0,"광고·행사",IF(IFERROR(SEARCH("용역",E283),0)&gt;0,"용역·수수료","기타/불명"))))))</x:f>
      </x:c>
      <x:c r="J283" s="77" t="str">
        <x:f>IF(A283="","",IF(I283="기타/불명","확인 필요","결의서명으로 1차 확인"))</x:f>
      </x:c>
      <x:c r="K283" s="78"/>
    </x:row>
    <x:row r="284">
      <x:c r="A284" s="73"/>
      <x:c r="B284" s="73"/>
      <x:c r="C284" s="74"/>
      <x:c r="D284" s="73"/>
      <x:c r="E284" s="73"/>
      <x:c r="F284" s="75"/>
      <x:c r="G284" s="75"/>
      <x:c r="H284" s="76" t="str">
        <x:f>IF(A284="","",F284-G284)</x:f>
      </x:c>
      <x:c r="I284" s="77" t="str">
        <x:f>IF(A284="","",IF(E284="","기타/불명",IF(IFERROR(SEARCH("급여",E284),0)&gt;0,"인건비",IF(IFERROR(SEARCH("임차",E284),0)&gt;0,"임차·시설",IF(IFERROR(SEARCH("광고",E284),0)&gt;0,"광고·행사",IF(IFERROR(SEARCH("용역",E284),0)&gt;0,"용역·수수료","기타/불명"))))))</x:f>
      </x:c>
      <x:c r="J284" s="77" t="str">
        <x:f>IF(A284="","",IF(I284="기타/불명","확인 필요","결의서명으로 1차 확인"))</x:f>
      </x:c>
      <x:c r="K284" s="78"/>
    </x:row>
    <x:row r="285">
      <x:c r="A285" s="73"/>
      <x:c r="B285" s="73"/>
      <x:c r="C285" s="74"/>
      <x:c r="D285" s="73"/>
      <x:c r="E285" s="73"/>
      <x:c r="F285" s="75"/>
      <x:c r="G285" s="75"/>
      <x:c r="H285" s="76" t="str">
        <x:f>IF(A285="","",F285-G285)</x:f>
      </x:c>
      <x:c r="I285" s="77" t="str">
        <x:f>IF(A285="","",IF(E285="","기타/불명",IF(IFERROR(SEARCH("급여",E285),0)&gt;0,"인건비",IF(IFERROR(SEARCH("임차",E285),0)&gt;0,"임차·시설",IF(IFERROR(SEARCH("광고",E285),0)&gt;0,"광고·행사",IF(IFERROR(SEARCH("용역",E285),0)&gt;0,"용역·수수료","기타/불명"))))))</x:f>
      </x:c>
      <x:c r="J285" s="77" t="str">
        <x:f>IF(A285="","",IF(I285="기타/불명","확인 필요","결의서명으로 1차 확인"))</x:f>
      </x:c>
      <x:c r="K285" s="78"/>
    </x:row>
    <x:row r="286">
      <x:c r="A286" s="73"/>
      <x:c r="B286" s="73"/>
      <x:c r="C286" s="74"/>
      <x:c r="D286" s="73"/>
      <x:c r="E286" s="73"/>
      <x:c r="F286" s="75"/>
      <x:c r="G286" s="75"/>
      <x:c r="H286" s="76" t="str">
        <x:f>IF(A286="","",F286-G286)</x:f>
      </x:c>
      <x:c r="I286" s="77" t="str">
        <x:f>IF(A286="","",IF(E286="","기타/불명",IF(IFERROR(SEARCH("급여",E286),0)&gt;0,"인건비",IF(IFERROR(SEARCH("임차",E286),0)&gt;0,"임차·시설",IF(IFERROR(SEARCH("광고",E286),0)&gt;0,"광고·행사",IF(IFERROR(SEARCH("용역",E286),0)&gt;0,"용역·수수료","기타/불명"))))))</x:f>
      </x:c>
      <x:c r="J286" s="77" t="str">
        <x:f>IF(A286="","",IF(I286="기타/불명","확인 필요","결의서명으로 1차 확인"))</x:f>
      </x:c>
      <x:c r="K286" s="78"/>
    </x:row>
    <x:row r="287">
      <x:c r="A287" s="73"/>
      <x:c r="B287" s="73"/>
      <x:c r="C287" s="74"/>
      <x:c r="D287" s="73"/>
      <x:c r="E287" s="73"/>
      <x:c r="F287" s="75"/>
      <x:c r="G287" s="75"/>
      <x:c r="H287" s="76" t="str">
        <x:f>IF(A287="","",F287-G287)</x:f>
      </x:c>
      <x:c r="I287" s="77" t="str">
        <x:f>IF(A287="","",IF(E287="","기타/불명",IF(IFERROR(SEARCH("급여",E287),0)&gt;0,"인건비",IF(IFERROR(SEARCH("임차",E287),0)&gt;0,"임차·시설",IF(IFERROR(SEARCH("광고",E287),0)&gt;0,"광고·행사",IF(IFERROR(SEARCH("용역",E287),0)&gt;0,"용역·수수료","기타/불명"))))))</x:f>
      </x:c>
      <x:c r="J287" s="77" t="str">
        <x:f>IF(A287="","",IF(I287="기타/불명","확인 필요","결의서명으로 1차 확인"))</x:f>
      </x:c>
      <x:c r="K287" s="78"/>
    </x:row>
    <x:row r="288">
      <x:c r="A288" s="73"/>
      <x:c r="B288" s="73"/>
      <x:c r="C288" s="74"/>
      <x:c r="D288" s="73"/>
      <x:c r="E288" s="73"/>
      <x:c r="F288" s="75"/>
      <x:c r="G288" s="75"/>
      <x:c r="H288" s="76" t="str">
        <x:f>IF(A288="","",F288-G288)</x:f>
      </x:c>
      <x:c r="I288" s="77" t="str">
        <x:f>IF(A288="","",IF(E288="","기타/불명",IF(IFERROR(SEARCH("급여",E288),0)&gt;0,"인건비",IF(IFERROR(SEARCH("임차",E288),0)&gt;0,"임차·시설",IF(IFERROR(SEARCH("광고",E288),0)&gt;0,"광고·행사",IF(IFERROR(SEARCH("용역",E288),0)&gt;0,"용역·수수료","기타/불명"))))))</x:f>
      </x:c>
      <x:c r="J288" s="77" t="str">
        <x:f>IF(A288="","",IF(I288="기타/불명","확인 필요","결의서명으로 1차 확인"))</x:f>
      </x:c>
      <x:c r="K288" s="78"/>
    </x:row>
    <x:row r="289">
      <x:c r="A289" s="73"/>
      <x:c r="B289" s="73"/>
      <x:c r="C289" s="74"/>
      <x:c r="D289" s="73"/>
      <x:c r="E289" s="73"/>
      <x:c r="F289" s="75"/>
      <x:c r="G289" s="75"/>
      <x:c r="H289" s="76" t="str">
        <x:f>IF(A289="","",F289-G289)</x:f>
      </x:c>
      <x:c r="I289" s="77" t="str">
        <x:f>IF(A289="","",IF(E289="","기타/불명",IF(IFERROR(SEARCH("급여",E289),0)&gt;0,"인건비",IF(IFERROR(SEARCH("임차",E289),0)&gt;0,"임차·시설",IF(IFERROR(SEARCH("광고",E289),0)&gt;0,"광고·행사",IF(IFERROR(SEARCH("용역",E289),0)&gt;0,"용역·수수료","기타/불명"))))))</x:f>
      </x:c>
      <x:c r="J289" s="77" t="str">
        <x:f>IF(A289="","",IF(I289="기타/불명","확인 필요","결의서명으로 1차 확인"))</x:f>
      </x:c>
      <x:c r="K289" s="78"/>
    </x:row>
    <x:row r="290">
      <x:c r="A290" s="73"/>
      <x:c r="B290" s="73"/>
      <x:c r="C290" s="74"/>
      <x:c r="D290" s="73"/>
      <x:c r="E290" s="73"/>
      <x:c r="F290" s="75"/>
      <x:c r="G290" s="75"/>
      <x:c r="H290" s="76" t="str">
        <x:f>IF(A290="","",F290-G290)</x:f>
      </x:c>
      <x:c r="I290" s="77" t="str">
        <x:f>IF(A290="","",IF(E290="","기타/불명",IF(IFERROR(SEARCH("급여",E290),0)&gt;0,"인건비",IF(IFERROR(SEARCH("임차",E290),0)&gt;0,"임차·시설",IF(IFERROR(SEARCH("광고",E290),0)&gt;0,"광고·행사",IF(IFERROR(SEARCH("용역",E290),0)&gt;0,"용역·수수료","기타/불명"))))))</x:f>
      </x:c>
      <x:c r="J290" s="77" t="str">
        <x:f>IF(A290="","",IF(I290="기타/불명","확인 필요","결의서명으로 1차 확인"))</x:f>
      </x:c>
      <x:c r="K290" s="78"/>
    </x:row>
    <x:row r="291">
      <x:c r="A291" s="73"/>
      <x:c r="B291" s="73"/>
      <x:c r="C291" s="74"/>
      <x:c r="D291" s="73"/>
      <x:c r="E291" s="73"/>
      <x:c r="F291" s="75"/>
      <x:c r="G291" s="75"/>
      <x:c r="H291" s="76" t="str">
        <x:f>IF(A291="","",F291-G291)</x:f>
      </x:c>
      <x:c r="I291" s="77" t="str">
        <x:f>IF(A291="","",IF(E291="","기타/불명",IF(IFERROR(SEARCH("급여",E291),0)&gt;0,"인건비",IF(IFERROR(SEARCH("임차",E291),0)&gt;0,"임차·시설",IF(IFERROR(SEARCH("광고",E291),0)&gt;0,"광고·행사",IF(IFERROR(SEARCH("용역",E291),0)&gt;0,"용역·수수료","기타/불명"))))))</x:f>
      </x:c>
      <x:c r="J291" s="77" t="str">
        <x:f>IF(A291="","",IF(I291="기타/불명","확인 필요","결의서명으로 1차 확인"))</x:f>
      </x:c>
      <x:c r="K291" s="78"/>
    </x:row>
    <x:row r="292">
      <x:c r="A292" s="73"/>
      <x:c r="B292" s="73"/>
      <x:c r="C292" s="74"/>
      <x:c r="D292" s="73"/>
      <x:c r="E292" s="73"/>
      <x:c r="F292" s="75"/>
      <x:c r="G292" s="75"/>
      <x:c r="H292" s="76" t="str">
        <x:f>IF(A292="","",F292-G292)</x:f>
      </x:c>
      <x:c r="I292" s="77" t="str">
        <x:f>IF(A292="","",IF(E292="","기타/불명",IF(IFERROR(SEARCH("급여",E292),0)&gt;0,"인건비",IF(IFERROR(SEARCH("임차",E292),0)&gt;0,"임차·시설",IF(IFERROR(SEARCH("광고",E292),0)&gt;0,"광고·행사",IF(IFERROR(SEARCH("용역",E292),0)&gt;0,"용역·수수료","기타/불명"))))))</x:f>
      </x:c>
      <x:c r="J292" s="77" t="str">
        <x:f>IF(A292="","",IF(I292="기타/불명","확인 필요","결의서명으로 1차 확인"))</x:f>
      </x:c>
      <x:c r="K292" s="78"/>
    </x:row>
    <x:row r="293">
      <x:c r="A293" s="73"/>
      <x:c r="B293" s="73"/>
      <x:c r="C293" s="74"/>
      <x:c r="D293" s="73"/>
      <x:c r="E293" s="73"/>
      <x:c r="F293" s="75"/>
      <x:c r="G293" s="75"/>
      <x:c r="H293" s="76" t="str">
        <x:f>IF(A293="","",F293-G293)</x:f>
      </x:c>
      <x:c r="I293" s="77" t="str">
        <x:f>IF(A293="","",IF(E293="","기타/불명",IF(IFERROR(SEARCH("급여",E293),0)&gt;0,"인건비",IF(IFERROR(SEARCH("임차",E293),0)&gt;0,"임차·시설",IF(IFERROR(SEARCH("광고",E293),0)&gt;0,"광고·행사",IF(IFERROR(SEARCH("용역",E293),0)&gt;0,"용역·수수료","기타/불명"))))))</x:f>
      </x:c>
      <x:c r="J293" s="77" t="str">
        <x:f>IF(A293="","",IF(I293="기타/불명","확인 필요","결의서명으로 1차 확인"))</x:f>
      </x:c>
      <x:c r="K293" s="78"/>
    </x:row>
    <x:row r="294">
      <x:c r="A294" s="73"/>
      <x:c r="B294" s="73"/>
      <x:c r="C294" s="74"/>
      <x:c r="D294" s="73"/>
      <x:c r="E294" s="73"/>
      <x:c r="F294" s="75"/>
      <x:c r="G294" s="75"/>
      <x:c r="H294" s="76" t="str">
        <x:f>IF(A294="","",F294-G294)</x:f>
      </x:c>
      <x:c r="I294" s="77" t="str">
        <x:f>IF(A294="","",IF(E294="","기타/불명",IF(IFERROR(SEARCH("급여",E294),0)&gt;0,"인건비",IF(IFERROR(SEARCH("임차",E294),0)&gt;0,"임차·시설",IF(IFERROR(SEARCH("광고",E294),0)&gt;0,"광고·행사",IF(IFERROR(SEARCH("용역",E294),0)&gt;0,"용역·수수료","기타/불명"))))))</x:f>
      </x:c>
      <x:c r="J294" s="77" t="str">
        <x:f>IF(A294="","",IF(I294="기타/불명","확인 필요","결의서명으로 1차 확인"))</x:f>
      </x:c>
      <x:c r="K294" s="78"/>
    </x:row>
    <x:row r="295">
      <x:c r="A295" s="73"/>
      <x:c r="B295" s="73"/>
      <x:c r="C295" s="74"/>
      <x:c r="D295" s="73"/>
      <x:c r="E295" s="73"/>
      <x:c r="F295" s="75"/>
      <x:c r="G295" s="75"/>
      <x:c r="H295" s="76" t="str">
        <x:f>IF(A295="","",F295-G295)</x:f>
      </x:c>
      <x:c r="I295" s="77" t="str">
        <x:f>IF(A295="","",IF(E295="","기타/불명",IF(IFERROR(SEARCH("급여",E295),0)&gt;0,"인건비",IF(IFERROR(SEARCH("임차",E295),0)&gt;0,"임차·시설",IF(IFERROR(SEARCH("광고",E295),0)&gt;0,"광고·행사",IF(IFERROR(SEARCH("용역",E295),0)&gt;0,"용역·수수료","기타/불명"))))))</x:f>
      </x:c>
      <x:c r="J295" s="77" t="str">
        <x:f>IF(A295="","",IF(I295="기타/불명","확인 필요","결의서명으로 1차 확인"))</x:f>
      </x:c>
      <x:c r="K295" s="78"/>
    </x:row>
    <x:row r="296">
      <x:c r="A296" s="73"/>
      <x:c r="B296" s="73"/>
      <x:c r="C296" s="74"/>
      <x:c r="D296" s="73"/>
      <x:c r="E296" s="73"/>
      <x:c r="F296" s="75"/>
      <x:c r="G296" s="75"/>
      <x:c r="H296" s="76" t="str">
        <x:f>IF(A296="","",F296-G296)</x:f>
      </x:c>
      <x:c r="I296" s="77" t="str">
        <x:f>IF(A296="","",IF(E296="","기타/불명",IF(IFERROR(SEARCH("급여",E296),0)&gt;0,"인건비",IF(IFERROR(SEARCH("임차",E296),0)&gt;0,"임차·시설",IF(IFERROR(SEARCH("광고",E296),0)&gt;0,"광고·행사",IF(IFERROR(SEARCH("용역",E296),0)&gt;0,"용역·수수료","기타/불명"))))))</x:f>
      </x:c>
      <x:c r="J296" s="77" t="str">
        <x:f>IF(A296="","",IF(I296="기타/불명","확인 필요","결의서명으로 1차 확인"))</x:f>
      </x:c>
      <x:c r="K296" s="78"/>
    </x:row>
    <x:row r="297">
      <x:c r="A297" s="73"/>
      <x:c r="B297" s="73"/>
      <x:c r="C297" s="74"/>
      <x:c r="D297" s="73"/>
      <x:c r="E297" s="73"/>
      <x:c r="F297" s="75"/>
      <x:c r="G297" s="75"/>
      <x:c r="H297" s="76" t="str">
        <x:f>IF(A297="","",F297-G297)</x:f>
      </x:c>
      <x:c r="I297" s="77" t="str">
        <x:f>IF(A297="","",IF(E297="","기타/불명",IF(IFERROR(SEARCH("급여",E297),0)&gt;0,"인건비",IF(IFERROR(SEARCH("임차",E297),0)&gt;0,"임차·시설",IF(IFERROR(SEARCH("광고",E297),0)&gt;0,"광고·행사",IF(IFERROR(SEARCH("용역",E297),0)&gt;0,"용역·수수료","기타/불명"))))))</x:f>
      </x:c>
      <x:c r="J297" s="77" t="str">
        <x:f>IF(A297="","",IF(I297="기타/불명","확인 필요","결의서명으로 1차 확인"))</x:f>
      </x:c>
      <x:c r="K297" s="78"/>
    </x:row>
    <x:row r="298">
      <x:c r="A298" s="73"/>
      <x:c r="B298" s="73"/>
      <x:c r="C298" s="74"/>
      <x:c r="D298" s="73"/>
      <x:c r="E298" s="73"/>
      <x:c r="F298" s="75"/>
      <x:c r="G298" s="75"/>
      <x:c r="H298" s="76" t="str">
        <x:f>IF(A298="","",F298-G298)</x:f>
      </x:c>
      <x:c r="I298" s="77" t="str">
        <x:f>IF(A298="","",IF(E298="","기타/불명",IF(IFERROR(SEARCH("급여",E298),0)&gt;0,"인건비",IF(IFERROR(SEARCH("임차",E298),0)&gt;0,"임차·시설",IF(IFERROR(SEARCH("광고",E298),0)&gt;0,"광고·행사",IF(IFERROR(SEARCH("용역",E298),0)&gt;0,"용역·수수료","기타/불명"))))))</x:f>
      </x:c>
      <x:c r="J298" s="77" t="str">
        <x:f>IF(A298="","",IF(I298="기타/불명","확인 필요","결의서명으로 1차 확인"))</x:f>
      </x:c>
      <x:c r="K298" s="78"/>
    </x:row>
    <x:row r="299">
      <x:c r="A299" s="73"/>
      <x:c r="B299" s="73"/>
      <x:c r="C299" s="74"/>
      <x:c r="D299" s="73"/>
      <x:c r="E299" s="73"/>
      <x:c r="F299" s="75"/>
      <x:c r="G299" s="75"/>
      <x:c r="H299" s="76" t="str">
        <x:f>IF(A299="","",F299-G299)</x:f>
      </x:c>
      <x:c r="I299" s="77" t="str">
        <x:f>IF(A299="","",IF(E299="","기타/불명",IF(IFERROR(SEARCH("급여",E299),0)&gt;0,"인건비",IF(IFERROR(SEARCH("임차",E299),0)&gt;0,"임차·시설",IF(IFERROR(SEARCH("광고",E299),0)&gt;0,"광고·행사",IF(IFERROR(SEARCH("용역",E299),0)&gt;0,"용역·수수료","기타/불명"))))))</x:f>
      </x:c>
      <x:c r="J299" s="77" t="str">
        <x:f>IF(A299="","",IF(I299="기타/불명","확인 필요","결의서명으로 1차 확인"))</x:f>
      </x:c>
      <x:c r="K299" s="78"/>
    </x:row>
    <x:row r="300">
      <x:c r="A300" s="73"/>
      <x:c r="B300" s="73"/>
      <x:c r="C300" s="74"/>
      <x:c r="D300" s="73"/>
      <x:c r="E300" s="73"/>
      <x:c r="F300" s="75"/>
      <x:c r="G300" s="75"/>
      <x:c r="H300" s="76" t="str">
        <x:f>IF(A300="","",F300-G300)</x:f>
      </x:c>
      <x:c r="I300" s="77" t="str">
        <x:f>IF(A300="","",IF(E300="","기타/불명",IF(IFERROR(SEARCH("급여",E300),0)&gt;0,"인건비",IF(IFERROR(SEARCH("임차",E300),0)&gt;0,"임차·시설",IF(IFERROR(SEARCH("광고",E300),0)&gt;0,"광고·행사",IF(IFERROR(SEARCH("용역",E300),0)&gt;0,"용역·수수료","기타/불명"))))))</x:f>
      </x:c>
      <x:c r="J300" s="77" t="str">
        <x:f>IF(A300="","",IF(I300="기타/불명","확인 필요","결의서명으로 1차 확인"))</x:f>
      </x:c>
      <x:c r="K300" s="78"/>
    </x:row>
    <x:row r="301">
      <x:c r="A301" s="73"/>
      <x:c r="B301" s="73"/>
      <x:c r="C301" s="74"/>
      <x:c r="D301" s="73"/>
      <x:c r="E301" s="73"/>
      <x:c r="F301" s="75"/>
      <x:c r="G301" s="75"/>
      <x:c r="H301" s="76" t="str">
        <x:f>IF(A301="","",F301-G301)</x:f>
      </x:c>
      <x:c r="I301" s="77" t="str">
        <x:f>IF(A301="","",IF(E301="","기타/불명",IF(IFERROR(SEARCH("급여",E301),0)&gt;0,"인건비",IF(IFERROR(SEARCH("임차",E301),0)&gt;0,"임차·시설",IF(IFERROR(SEARCH("광고",E301),0)&gt;0,"광고·행사",IF(IFERROR(SEARCH("용역",E301),0)&gt;0,"용역·수수료","기타/불명"))))))</x:f>
      </x:c>
      <x:c r="J301" s="77" t="str">
        <x:f>IF(A301="","",IF(I301="기타/불명","확인 필요","결의서명으로 1차 확인"))</x:f>
      </x:c>
      <x:c r="K301" s="78"/>
    </x:row>
    <x:row r="302">
      <x:c r="A302" s="73"/>
      <x:c r="B302" s="73"/>
      <x:c r="C302" s="74"/>
      <x:c r="D302" s="73"/>
      <x:c r="E302" s="73"/>
      <x:c r="F302" s="75"/>
      <x:c r="G302" s="75"/>
      <x:c r="H302" s="76" t="str">
        <x:f>IF(A302="","",F302-G302)</x:f>
      </x:c>
      <x:c r="I302" s="77" t="str">
        <x:f>IF(A302="","",IF(E302="","기타/불명",IF(IFERROR(SEARCH("급여",E302),0)&gt;0,"인건비",IF(IFERROR(SEARCH("임차",E302),0)&gt;0,"임차·시설",IF(IFERROR(SEARCH("광고",E302),0)&gt;0,"광고·행사",IF(IFERROR(SEARCH("용역",E302),0)&gt;0,"용역·수수료","기타/불명"))))))</x:f>
      </x:c>
      <x:c r="J302" s="77" t="str">
        <x:f>IF(A302="","",IF(I302="기타/불명","확인 필요","결의서명으로 1차 확인"))</x:f>
      </x:c>
      <x:c r="K302" s="78"/>
    </x:row>
    <x:row r="303">
      <x:c r="A303" s="73"/>
      <x:c r="B303" s="73"/>
      <x:c r="C303" s="74"/>
      <x:c r="D303" s="73"/>
      <x:c r="E303" s="73"/>
      <x:c r="F303" s="75"/>
      <x:c r="G303" s="75"/>
      <x:c r="H303" s="76" t="str">
        <x:f>IF(A303="","",F303-G303)</x:f>
      </x:c>
      <x:c r="I303" s="77" t="str">
        <x:f>IF(A303="","",IF(E303="","기타/불명",IF(IFERROR(SEARCH("급여",E303),0)&gt;0,"인건비",IF(IFERROR(SEARCH("임차",E303),0)&gt;0,"임차·시설",IF(IFERROR(SEARCH("광고",E303),0)&gt;0,"광고·행사",IF(IFERROR(SEARCH("용역",E303),0)&gt;0,"용역·수수료","기타/불명"))))))</x:f>
      </x:c>
      <x:c r="J303" s="77" t="str">
        <x:f>IF(A303="","",IF(I303="기타/불명","확인 필요","결의서명으로 1차 확인"))</x:f>
      </x:c>
      <x:c r="K303" s="78"/>
    </x:row>
    <x:row r="304">
      <x:c r="A304" s="73"/>
      <x:c r="B304" s="73"/>
      <x:c r="C304" s="74"/>
      <x:c r="D304" s="73"/>
      <x:c r="E304" s="73"/>
      <x:c r="F304" s="75"/>
      <x:c r="G304" s="75"/>
      <x:c r="H304" s="76" t="str">
        <x:f>IF(A304="","",F304-G304)</x:f>
      </x:c>
      <x:c r="I304" s="77" t="str">
        <x:f>IF(A304="","",IF(E304="","기타/불명",IF(IFERROR(SEARCH("급여",E304),0)&gt;0,"인건비",IF(IFERROR(SEARCH("임차",E304),0)&gt;0,"임차·시설",IF(IFERROR(SEARCH("광고",E304),0)&gt;0,"광고·행사",IF(IFERROR(SEARCH("용역",E304),0)&gt;0,"용역·수수료","기타/불명"))))))</x:f>
      </x:c>
      <x:c r="J304" s="77" t="str">
        <x:f>IF(A304="","",IF(I304="기타/불명","확인 필요","결의서명으로 1차 확인"))</x:f>
      </x:c>
      <x:c r="K304" s="78"/>
    </x:row>
    <x:row r="305">
      <x:c r="A305" s="73"/>
      <x:c r="B305" s="73"/>
      <x:c r="C305" s="74"/>
      <x:c r="D305" s="73"/>
      <x:c r="E305" s="73"/>
      <x:c r="F305" s="75"/>
      <x:c r="G305" s="75"/>
      <x:c r="H305" s="76" t="str">
        <x:f>IF(A305="","",F305-G305)</x:f>
      </x:c>
      <x:c r="I305" s="77" t="str">
        <x:f>IF(A305="","",IF(E305="","기타/불명",IF(IFERROR(SEARCH("급여",E305),0)&gt;0,"인건비",IF(IFERROR(SEARCH("임차",E305),0)&gt;0,"임차·시설",IF(IFERROR(SEARCH("광고",E305),0)&gt;0,"광고·행사",IF(IFERROR(SEARCH("용역",E305),0)&gt;0,"용역·수수료","기타/불명"))))))</x:f>
      </x:c>
      <x:c r="J305" s="77" t="str">
        <x:f>IF(A305="","",IF(I305="기타/불명","확인 필요","결의서명으로 1차 확인"))</x:f>
      </x:c>
      <x:c r="K305" s="78"/>
    </x:row>
    <x:row r="306">
      <x:c r="A306" s="73"/>
      <x:c r="B306" s="73"/>
      <x:c r="C306" s="74"/>
      <x:c r="D306" s="73"/>
      <x:c r="E306" s="73"/>
      <x:c r="F306" s="75"/>
      <x:c r="G306" s="75"/>
      <x:c r="H306" s="76" t="str">
        <x:f>IF(A306="","",F306-G306)</x:f>
      </x:c>
      <x:c r="I306" s="77" t="str">
        <x:f>IF(A306="","",IF(E306="","기타/불명",IF(IFERROR(SEARCH("급여",E306),0)&gt;0,"인건비",IF(IFERROR(SEARCH("임차",E306),0)&gt;0,"임차·시설",IF(IFERROR(SEARCH("광고",E306),0)&gt;0,"광고·행사",IF(IFERROR(SEARCH("용역",E306),0)&gt;0,"용역·수수료","기타/불명"))))))</x:f>
      </x:c>
      <x:c r="J306" s="77" t="str">
        <x:f>IF(A306="","",IF(I306="기타/불명","확인 필요","결의서명으로 1차 확인"))</x:f>
      </x:c>
      <x:c r="K306" s="78"/>
    </x:row>
    <x:row r="307">
      <x:c r="A307" s="73"/>
      <x:c r="B307" s="73"/>
      <x:c r="C307" s="74"/>
      <x:c r="D307" s="73"/>
      <x:c r="E307" s="73"/>
      <x:c r="F307" s="75"/>
      <x:c r="G307" s="75"/>
      <x:c r="H307" s="76" t="str">
        <x:f>IF(A307="","",F307-G307)</x:f>
      </x:c>
      <x:c r="I307" s="77" t="str">
        <x:f>IF(A307="","",IF(E307="","기타/불명",IF(IFERROR(SEARCH("급여",E307),0)&gt;0,"인건비",IF(IFERROR(SEARCH("임차",E307),0)&gt;0,"임차·시설",IF(IFERROR(SEARCH("광고",E307),0)&gt;0,"광고·행사",IF(IFERROR(SEARCH("용역",E307),0)&gt;0,"용역·수수료","기타/불명"))))))</x:f>
      </x:c>
      <x:c r="J307" s="77" t="str">
        <x:f>IF(A307="","",IF(I307="기타/불명","확인 필요","결의서명으로 1차 확인"))</x:f>
      </x:c>
      <x:c r="K307" s="78"/>
    </x:row>
    <x:row r="308">
      <x:c r="A308" s="73"/>
      <x:c r="B308" s="73"/>
      <x:c r="C308" s="74"/>
      <x:c r="D308" s="73"/>
      <x:c r="E308" s="73"/>
      <x:c r="F308" s="75"/>
      <x:c r="G308" s="75"/>
      <x:c r="H308" s="76" t="str">
        <x:f>IF(A308="","",F308-G308)</x:f>
      </x:c>
      <x:c r="I308" s="77" t="str">
        <x:f>IF(A308="","",IF(E308="","기타/불명",IF(IFERROR(SEARCH("급여",E308),0)&gt;0,"인건비",IF(IFERROR(SEARCH("임차",E308),0)&gt;0,"임차·시설",IF(IFERROR(SEARCH("광고",E308),0)&gt;0,"광고·행사",IF(IFERROR(SEARCH("용역",E308),0)&gt;0,"용역·수수료","기타/불명"))))))</x:f>
      </x:c>
      <x:c r="J308" s="77" t="str">
        <x:f>IF(A308="","",IF(I308="기타/불명","확인 필요","결의서명으로 1차 확인"))</x:f>
      </x:c>
      <x:c r="K308" s="78"/>
    </x:row>
    <x:row r="309">
      <x:c r="A309" s="73"/>
      <x:c r="B309" s="73"/>
      <x:c r="C309" s="74"/>
      <x:c r="D309" s="73"/>
      <x:c r="E309" s="73"/>
      <x:c r="F309" s="75"/>
      <x:c r="G309" s="75"/>
      <x:c r="H309" s="76" t="str">
        <x:f>IF(A309="","",F309-G309)</x:f>
      </x:c>
      <x:c r="I309" s="77" t="str">
        <x:f>IF(A309="","",IF(E309="","기타/불명",IF(IFERROR(SEARCH("급여",E309),0)&gt;0,"인건비",IF(IFERROR(SEARCH("임차",E309),0)&gt;0,"임차·시설",IF(IFERROR(SEARCH("광고",E309),0)&gt;0,"광고·행사",IF(IFERROR(SEARCH("용역",E309),0)&gt;0,"용역·수수료","기타/불명"))))))</x:f>
      </x:c>
      <x:c r="J309" s="77" t="str">
        <x:f>IF(A309="","",IF(I309="기타/불명","확인 필요","결의서명으로 1차 확인"))</x:f>
      </x:c>
      <x:c r="K309" s="78"/>
    </x:row>
    <x:row r="310">
      <x:c r="A310" s="73"/>
      <x:c r="B310" s="73"/>
      <x:c r="C310" s="74"/>
      <x:c r="D310" s="73"/>
      <x:c r="E310" s="73"/>
      <x:c r="F310" s="75"/>
      <x:c r="G310" s="75"/>
      <x:c r="H310" s="76" t="str">
        <x:f>IF(A310="","",F310-G310)</x:f>
      </x:c>
      <x:c r="I310" s="77" t="str">
        <x:f>IF(A310="","",IF(E310="","기타/불명",IF(IFERROR(SEARCH("급여",E310),0)&gt;0,"인건비",IF(IFERROR(SEARCH("임차",E310),0)&gt;0,"임차·시설",IF(IFERROR(SEARCH("광고",E310),0)&gt;0,"광고·행사",IF(IFERROR(SEARCH("용역",E310),0)&gt;0,"용역·수수료","기타/불명"))))))</x:f>
      </x:c>
      <x:c r="J310" s="77" t="str">
        <x:f>IF(A310="","",IF(I310="기타/불명","확인 필요","결의서명으로 1차 확인"))</x:f>
      </x:c>
      <x:c r="K310" s="78"/>
    </x:row>
    <x:row r="311">
      <x:c r="A311" s="73"/>
      <x:c r="B311" s="73"/>
      <x:c r="C311" s="74"/>
      <x:c r="D311" s="73"/>
      <x:c r="E311" s="73"/>
      <x:c r="F311" s="75"/>
      <x:c r="G311" s="75"/>
      <x:c r="H311" s="76" t="str">
        <x:f>IF(A311="","",F311-G311)</x:f>
      </x:c>
      <x:c r="I311" s="77" t="str">
        <x:f>IF(A311="","",IF(E311="","기타/불명",IF(IFERROR(SEARCH("급여",E311),0)&gt;0,"인건비",IF(IFERROR(SEARCH("임차",E311),0)&gt;0,"임차·시설",IF(IFERROR(SEARCH("광고",E311),0)&gt;0,"광고·행사",IF(IFERROR(SEARCH("용역",E311),0)&gt;0,"용역·수수료","기타/불명"))))))</x:f>
      </x:c>
      <x:c r="J311" s="77" t="str">
        <x:f>IF(A311="","",IF(I311="기타/불명","확인 필요","결의서명으로 1차 확인"))</x:f>
      </x:c>
      <x:c r="K311" s="78"/>
    </x:row>
    <x:row r="312">
      <x:c r="A312" s="73"/>
      <x:c r="B312" s="73"/>
      <x:c r="C312" s="74"/>
      <x:c r="D312" s="73"/>
      <x:c r="E312" s="73"/>
      <x:c r="F312" s="75"/>
      <x:c r="G312" s="75"/>
      <x:c r="H312" s="76" t="str">
        <x:f>IF(A312="","",F312-G312)</x:f>
      </x:c>
      <x:c r="I312" s="77" t="str">
        <x:f>IF(A312="","",IF(E312="","기타/불명",IF(IFERROR(SEARCH("급여",E312),0)&gt;0,"인건비",IF(IFERROR(SEARCH("임차",E312),0)&gt;0,"임차·시설",IF(IFERROR(SEARCH("광고",E312),0)&gt;0,"광고·행사",IF(IFERROR(SEARCH("용역",E312),0)&gt;0,"용역·수수료","기타/불명"))))))</x:f>
      </x:c>
      <x:c r="J312" s="77" t="str">
        <x:f>IF(A312="","",IF(I312="기타/불명","확인 필요","결의서명으로 1차 확인"))</x:f>
      </x:c>
      <x:c r="K312" s="78"/>
    </x:row>
    <x:row r="313">
      <x:c r="A313" s="73"/>
      <x:c r="B313" s="73"/>
      <x:c r="C313" s="74"/>
      <x:c r="D313" s="73"/>
      <x:c r="E313" s="73"/>
      <x:c r="F313" s="75"/>
      <x:c r="G313" s="75"/>
      <x:c r="H313" s="76" t="str">
        <x:f>IF(A313="","",F313-G313)</x:f>
      </x:c>
      <x:c r="I313" s="77" t="str">
        <x:f>IF(A313="","",IF(E313="","기타/불명",IF(IFERROR(SEARCH("급여",E313),0)&gt;0,"인건비",IF(IFERROR(SEARCH("임차",E313),0)&gt;0,"임차·시설",IF(IFERROR(SEARCH("광고",E313),0)&gt;0,"광고·행사",IF(IFERROR(SEARCH("용역",E313),0)&gt;0,"용역·수수료","기타/불명"))))))</x:f>
      </x:c>
      <x:c r="J313" s="77" t="str">
        <x:f>IF(A313="","",IF(I313="기타/불명","확인 필요","결의서명으로 1차 확인"))</x:f>
      </x:c>
      <x:c r="K313" s="78"/>
    </x:row>
    <x:row r="314">
      <x:c r="A314" s="73"/>
      <x:c r="B314" s="73"/>
      <x:c r="C314" s="74"/>
      <x:c r="D314" s="73"/>
      <x:c r="E314" s="73"/>
      <x:c r="F314" s="75"/>
      <x:c r="G314" s="75"/>
      <x:c r="H314" s="76" t="str">
        <x:f>IF(A314="","",F314-G314)</x:f>
      </x:c>
      <x:c r="I314" s="77" t="str">
        <x:f>IF(A314="","",IF(E314="","기타/불명",IF(IFERROR(SEARCH("급여",E314),0)&gt;0,"인건비",IF(IFERROR(SEARCH("임차",E314),0)&gt;0,"임차·시설",IF(IFERROR(SEARCH("광고",E314),0)&gt;0,"광고·행사",IF(IFERROR(SEARCH("용역",E314),0)&gt;0,"용역·수수료","기타/불명"))))))</x:f>
      </x:c>
      <x:c r="J314" s="77" t="str">
        <x:f>IF(A314="","",IF(I314="기타/불명","확인 필요","결의서명으로 1차 확인"))</x:f>
      </x:c>
      <x:c r="K314" s="78"/>
    </x:row>
    <x:row r="315">
      <x:c r="A315" s="73"/>
      <x:c r="B315" s="73"/>
      <x:c r="C315" s="74"/>
      <x:c r="D315" s="73"/>
      <x:c r="E315" s="73"/>
      <x:c r="F315" s="75"/>
      <x:c r="G315" s="75"/>
      <x:c r="H315" s="76" t="str">
        <x:f>IF(A315="","",F315-G315)</x:f>
      </x:c>
      <x:c r="I315" s="77" t="str">
        <x:f>IF(A315="","",IF(E315="","기타/불명",IF(IFERROR(SEARCH("급여",E315),0)&gt;0,"인건비",IF(IFERROR(SEARCH("임차",E315),0)&gt;0,"임차·시설",IF(IFERROR(SEARCH("광고",E315),0)&gt;0,"광고·행사",IF(IFERROR(SEARCH("용역",E315),0)&gt;0,"용역·수수료","기타/불명"))))))</x:f>
      </x:c>
      <x:c r="J315" s="77" t="str">
        <x:f>IF(A315="","",IF(I315="기타/불명","확인 필요","결의서명으로 1차 확인"))</x:f>
      </x:c>
      <x:c r="K315" s="78"/>
    </x:row>
    <x:row r="316">
      <x:c r="A316" s="73"/>
      <x:c r="B316" s="73"/>
      <x:c r="C316" s="74"/>
      <x:c r="D316" s="73"/>
      <x:c r="E316" s="73"/>
      <x:c r="F316" s="75"/>
      <x:c r="G316" s="75"/>
      <x:c r="H316" s="76" t="str">
        <x:f>IF(A316="","",F316-G316)</x:f>
      </x:c>
      <x:c r="I316" s="77" t="str">
        <x:f>IF(A316="","",IF(E316="","기타/불명",IF(IFERROR(SEARCH("급여",E316),0)&gt;0,"인건비",IF(IFERROR(SEARCH("임차",E316),0)&gt;0,"임차·시설",IF(IFERROR(SEARCH("광고",E316),0)&gt;0,"광고·행사",IF(IFERROR(SEARCH("용역",E316),0)&gt;0,"용역·수수료","기타/불명"))))))</x:f>
      </x:c>
      <x:c r="J316" s="77" t="str">
        <x:f>IF(A316="","",IF(I316="기타/불명","확인 필요","결의서명으로 1차 확인"))</x:f>
      </x:c>
      <x:c r="K316" s="78"/>
    </x:row>
    <x:row r="317">
      <x:c r="A317" s="73"/>
      <x:c r="B317" s="73"/>
      <x:c r="C317" s="74"/>
      <x:c r="D317" s="73"/>
      <x:c r="E317" s="73"/>
      <x:c r="F317" s="75"/>
      <x:c r="G317" s="75"/>
      <x:c r="H317" s="76" t="str">
        <x:f>IF(A317="","",F317-G317)</x:f>
      </x:c>
      <x:c r="I317" s="77" t="str">
        <x:f>IF(A317="","",IF(E317="","기타/불명",IF(IFERROR(SEARCH("급여",E317),0)&gt;0,"인건비",IF(IFERROR(SEARCH("임차",E317),0)&gt;0,"임차·시설",IF(IFERROR(SEARCH("광고",E317),0)&gt;0,"광고·행사",IF(IFERROR(SEARCH("용역",E317),0)&gt;0,"용역·수수료","기타/불명"))))))</x:f>
      </x:c>
      <x:c r="J317" s="77" t="str">
        <x:f>IF(A317="","",IF(I317="기타/불명","확인 필요","결의서명으로 1차 확인"))</x:f>
      </x:c>
      <x:c r="K317" s="78"/>
    </x:row>
    <x:row r="318">
      <x:c r="A318" s="73"/>
      <x:c r="B318" s="73"/>
      <x:c r="C318" s="74"/>
      <x:c r="D318" s="73"/>
      <x:c r="E318" s="73"/>
      <x:c r="F318" s="75"/>
      <x:c r="G318" s="75"/>
      <x:c r="H318" s="76" t="str">
        <x:f>IF(A318="","",F318-G318)</x:f>
      </x:c>
      <x:c r="I318" s="77" t="str">
        <x:f>IF(A318="","",IF(E318="","기타/불명",IF(IFERROR(SEARCH("급여",E318),0)&gt;0,"인건비",IF(IFERROR(SEARCH("임차",E318),0)&gt;0,"임차·시설",IF(IFERROR(SEARCH("광고",E318),0)&gt;0,"광고·행사",IF(IFERROR(SEARCH("용역",E318),0)&gt;0,"용역·수수료","기타/불명"))))))</x:f>
      </x:c>
      <x:c r="J318" s="77" t="str">
        <x:f>IF(A318="","",IF(I318="기타/불명","확인 필요","결의서명으로 1차 확인"))</x:f>
      </x:c>
      <x:c r="K318" s="78"/>
    </x:row>
    <x:row r="319">
      <x:c r="A319" s="73"/>
      <x:c r="B319" s="73"/>
      <x:c r="C319" s="74"/>
      <x:c r="D319" s="73"/>
      <x:c r="E319" s="73"/>
      <x:c r="F319" s="75"/>
      <x:c r="G319" s="75"/>
      <x:c r="H319" s="76" t="str">
        <x:f>IF(A319="","",F319-G319)</x:f>
      </x:c>
      <x:c r="I319" s="77" t="str">
        <x:f>IF(A319="","",IF(E319="","기타/불명",IF(IFERROR(SEARCH("급여",E319),0)&gt;0,"인건비",IF(IFERROR(SEARCH("임차",E319),0)&gt;0,"임차·시설",IF(IFERROR(SEARCH("광고",E319),0)&gt;0,"광고·행사",IF(IFERROR(SEARCH("용역",E319),0)&gt;0,"용역·수수료","기타/불명"))))))</x:f>
      </x:c>
      <x:c r="J319" s="77" t="str">
        <x:f>IF(A319="","",IF(I319="기타/불명","확인 필요","결의서명으로 1차 확인"))</x:f>
      </x:c>
      <x:c r="K319" s="78"/>
    </x:row>
    <x:row r="320">
      <x:c r="A320" s="73"/>
      <x:c r="B320" s="73"/>
      <x:c r="C320" s="74"/>
      <x:c r="D320" s="73"/>
      <x:c r="E320" s="73"/>
      <x:c r="F320" s="75"/>
      <x:c r="G320" s="75"/>
      <x:c r="H320" s="76" t="str">
        <x:f>IF(A320="","",F320-G320)</x:f>
      </x:c>
      <x:c r="I320" s="77" t="str">
        <x:f>IF(A320="","",IF(E320="","기타/불명",IF(IFERROR(SEARCH("급여",E320),0)&gt;0,"인건비",IF(IFERROR(SEARCH("임차",E320),0)&gt;0,"임차·시설",IF(IFERROR(SEARCH("광고",E320),0)&gt;0,"광고·행사",IF(IFERROR(SEARCH("용역",E320),0)&gt;0,"용역·수수료","기타/불명"))))))</x:f>
      </x:c>
      <x:c r="J320" s="77" t="str">
        <x:f>IF(A320="","",IF(I320="기타/불명","확인 필요","결의서명으로 1차 확인"))</x:f>
      </x:c>
      <x:c r="K320" s="78"/>
    </x:row>
    <x:row r="321">
      <x:c r="A321" s="73"/>
      <x:c r="B321" s="73"/>
      <x:c r="C321" s="74"/>
      <x:c r="D321" s="73"/>
      <x:c r="E321" s="73"/>
      <x:c r="F321" s="75"/>
      <x:c r="G321" s="75"/>
      <x:c r="H321" s="76" t="str">
        <x:f>IF(A321="","",F321-G321)</x:f>
      </x:c>
      <x:c r="I321" s="77" t="str">
        <x:f>IF(A321="","",IF(E321="","기타/불명",IF(IFERROR(SEARCH("급여",E321),0)&gt;0,"인건비",IF(IFERROR(SEARCH("임차",E321),0)&gt;0,"임차·시설",IF(IFERROR(SEARCH("광고",E321),0)&gt;0,"광고·행사",IF(IFERROR(SEARCH("용역",E321),0)&gt;0,"용역·수수료","기타/불명"))))))</x:f>
      </x:c>
      <x:c r="J321" s="77" t="str">
        <x:f>IF(A321="","",IF(I321="기타/불명","확인 필요","결의서명으로 1차 확인"))</x:f>
      </x:c>
      <x:c r="K321" s="78"/>
    </x:row>
    <x:row r="322">
      <x:c r="A322" s="73"/>
      <x:c r="B322" s="73"/>
      <x:c r="C322" s="74"/>
      <x:c r="D322" s="73"/>
      <x:c r="E322" s="73"/>
      <x:c r="F322" s="75"/>
      <x:c r="G322" s="75"/>
      <x:c r="H322" s="76" t="str">
        <x:f>IF(A322="","",F322-G322)</x:f>
      </x:c>
      <x:c r="I322" s="77" t="str">
        <x:f>IF(A322="","",IF(E322="","기타/불명",IF(IFERROR(SEARCH("급여",E322),0)&gt;0,"인건비",IF(IFERROR(SEARCH("임차",E322),0)&gt;0,"임차·시설",IF(IFERROR(SEARCH("광고",E322),0)&gt;0,"광고·행사",IF(IFERROR(SEARCH("용역",E322),0)&gt;0,"용역·수수료","기타/불명"))))))</x:f>
      </x:c>
      <x:c r="J322" s="77" t="str">
        <x:f>IF(A322="","",IF(I322="기타/불명","확인 필요","결의서명으로 1차 확인"))</x:f>
      </x:c>
      <x:c r="K322" s="78"/>
    </x:row>
    <x:row r="323">
      <x:c r="A323" s="73"/>
      <x:c r="B323" s="73"/>
      <x:c r="C323" s="74"/>
      <x:c r="D323" s="73"/>
      <x:c r="E323" s="73"/>
      <x:c r="F323" s="75"/>
      <x:c r="G323" s="75"/>
      <x:c r="H323" s="76" t="str">
        <x:f>IF(A323="","",F323-G323)</x:f>
      </x:c>
      <x:c r="I323" s="77" t="str">
        <x:f>IF(A323="","",IF(E323="","기타/불명",IF(IFERROR(SEARCH("급여",E323),0)&gt;0,"인건비",IF(IFERROR(SEARCH("임차",E323),0)&gt;0,"임차·시설",IF(IFERROR(SEARCH("광고",E323),0)&gt;0,"광고·행사",IF(IFERROR(SEARCH("용역",E323),0)&gt;0,"용역·수수료","기타/불명"))))))</x:f>
      </x:c>
      <x:c r="J323" s="77" t="str">
        <x:f>IF(A323="","",IF(I323="기타/불명","확인 필요","결의서명으로 1차 확인"))</x:f>
      </x:c>
      <x:c r="K323" s="78"/>
    </x:row>
    <x:row r="324">
      <x:c r="A324" s="73"/>
      <x:c r="B324" s="73"/>
      <x:c r="C324" s="74"/>
      <x:c r="D324" s="73"/>
      <x:c r="E324" s="73"/>
      <x:c r="F324" s="75"/>
      <x:c r="G324" s="75"/>
      <x:c r="H324" s="76" t="str">
        <x:f>IF(A324="","",F324-G324)</x:f>
      </x:c>
      <x:c r="I324" s="77" t="str">
        <x:f>IF(A324="","",IF(E324="","기타/불명",IF(IFERROR(SEARCH("급여",E324),0)&gt;0,"인건비",IF(IFERROR(SEARCH("임차",E324),0)&gt;0,"임차·시설",IF(IFERROR(SEARCH("광고",E324),0)&gt;0,"광고·행사",IF(IFERROR(SEARCH("용역",E324),0)&gt;0,"용역·수수료","기타/불명"))))))</x:f>
      </x:c>
      <x:c r="J324" s="77" t="str">
        <x:f>IF(A324="","",IF(I324="기타/불명","확인 필요","결의서명으로 1차 확인"))</x:f>
      </x:c>
      <x:c r="K324" s="78"/>
    </x:row>
    <x:row r="325">
      <x:c r="A325" s="73"/>
      <x:c r="B325" s="73"/>
      <x:c r="C325" s="74"/>
      <x:c r="D325" s="73"/>
      <x:c r="E325" s="73"/>
      <x:c r="F325" s="75"/>
      <x:c r="G325" s="75"/>
      <x:c r="H325" s="76" t="str">
        <x:f>IF(A325="","",F325-G325)</x:f>
      </x:c>
      <x:c r="I325" s="77" t="str">
        <x:f>IF(A325="","",IF(E325="","기타/불명",IF(IFERROR(SEARCH("급여",E325),0)&gt;0,"인건비",IF(IFERROR(SEARCH("임차",E325),0)&gt;0,"임차·시설",IF(IFERROR(SEARCH("광고",E325),0)&gt;0,"광고·행사",IF(IFERROR(SEARCH("용역",E325),0)&gt;0,"용역·수수료","기타/불명"))))))</x:f>
      </x:c>
      <x:c r="J325" s="77" t="str">
        <x:f>IF(A325="","",IF(I325="기타/불명","확인 필요","결의서명으로 1차 확인"))</x:f>
      </x:c>
      <x:c r="K325" s="78"/>
    </x:row>
    <x:row r="326">
      <x:c r="A326" s="73"/>
      <x:c r="B326" s="73"/>
      <x:c r="C326" s="74"/>
      <x:c r="D326" s="73"/>
      <x:c r="E326" s="73"/>
      <x:c r="F326" s="75"/>
      <x:c r="G326" s="75"/>
      <x:c r="H326" s="76" t="str">
        <x:f>IF(A326="","",F326-G326)</x:f>
      </x:c>
      <x:c r="I326" s="77" t="str">
        <x:f>IF(A326="","",IF(E326="","기타/불명",IF(IFERROR(SEARCH("급여",E326),0)&gt;0,"인건비",IF(IFERROR(SEARCH("임차",E326),0)&gt;0,"임차·시설",IF(IFERROR(SEARCH("광고",E326),0)&gt;0,"광고·행사",IF(IFERROR(SEARCH("용역",E326),0)&gt;0,"용역·수수료","기타/불명"))))))</x:f>
      </x:c>
      <x:c r="J326" s="77" t="str">
        <x:f>IF(A326="","",IF(I326="기타/불명","확인 필요","결의서명으로 1차 확인"))</x:f>
      </x:c>
      <x:c r="K326" s="78"/>
    </x:row>
    <x:row r="327">
      <x:c r="A327" s="73"/>
      <x:c r="B327" s="73"/>
      <x:c r="C327" s="74"/>
      <x:c r="D327" s="73"/>
      <x:c r="E327" s="73"/>
      <x:c r="F327" s="75"/>
      <x:c r="G327" s="75"/>
      <x:c r="H327" s="76" t="str">
        <x:f>IF(A327="","",F327-G327)</x:f>
      </x:c>
      <x:c r="I327" s="77" t="str">
        <x:f>IF(A327="","",IF(E327="","기타/불명",IF(IFERROR(SEARCH("급여",E327),0)&gt;0,"인건비",IF(IFERROR(SEARCH("임차",E327),0)&gt;0,"임차·시설",IF(IFERROR(SEARCH("광고",E327),0)&gt;0,"광고·행사",IF(IFERROR(SEARCH("용역",E327),0)&gt;0,"용역·수수료","기타/불명"))))))</x:f>
      </x:c>
      <x:c r="J327" s="77" t="str">
        <x:f>IF(A327="","",IF(I327="기타/불명","확인 필요","결의서명으로 1차 확인"))</x:f>
      </x:c>
      <x:c r="K327" s="78"/>
    </x:row>
    <x:row r="328">
      <x:c r="A328" s="73"/>
      <x:c r="B328" s="73"/>
      <x:c r="C328" s="74"/>
      <x:c r="D328" s="73"/>
      <x:c r="E328" s="73"/>
      <x:c r="F328" s="75"/>
      <x:c r="G328" s="75"/>
      <x:c r="H328" s="76" t="str">
        <x:f>IF(A328="","",F328-G328)</x:f>
      </x:c>
      <x:c r="I328" s="77" t="str">
        <x:f>IF(A328="","",IF(E328="","기타/불명",IF(IFERROR(SEARCH("급여",E328),0)&gt;0,"인건비",IF(IFERROR(SEARCH("임차",E328),0)&gt;0,"임차·시설",IF(IFERROR(SEARCH("광고",E328),0)&gt;0,"광고·행사",IF(IFERROR(SEARCH("용역",E328),0)&gt;0,"용역·수수료","기타/불명"))))))</x:f>
      </x:c>
      <x:c r="J328" s="77" t="str">
        <x:f>IF(A328="","",IF(I328="기타/불명","확인 필요","결의서명으로 1차 확인"))</x:f>
      </x:c>
      <x:c r="K328" s="78"/>
    </x:row>
    <x:row r="329">
      <x:c r="A329" s="73"/>
      <x:c r="B329" s="73"/>
      <x:c r="C329" s="74"/>
      <x:c r="D329" s="73"/>
      <x:c r="E329" s="73"/>
      <x:c r="F329" s="75"/>
      <x:c r="G329" s="75"/>
      <x:c r="H329" s="76" t="str">
        <x:f>IF(A329="","",F329-G329)</x:f>
      </x:c>
      <x:c r="I329" s="77" t="str">
        <x:f>IF(A329="","",IF(E329="","기타/불명",IF(IFERROR(SEARCH("급여",E329),0)&gt;0,"인건비",IF(IFERROR(SEARCH("임차",E329),0)&gt;0,"임차·시설",IF(IFERROR(SEARCH("광고",E329),0)&gt;0,"광고·행사",IF(IFERROR(SEARCH("용역",E329),0)&gt;0,"용역·수수료","기타/불명"))))))</x:f>
      </x:c>
      <x:c r="J329" s="77" t="str">
        <x:f>IF(A329="","",IF(I329="기타/불명","확인 필요","결의서명으로 1차 확인"))</x:f>
      </x:c>
      <x:c r="K329" s="78"/>
    </x:row>
    <x:row r="330">
      <x:c r="A330" s="73"/>
      <x:c r="B330" s="73"/>
      <x:c r="C330" s="74"/>
      <x:c r="D330" s="73"/>
      <x:c r="E330" s="73"/>
      <x:c r="F330" s="75"/>
      <x:c r="G330" s="75"/>
      <x:c r="H330" s="76" t="str">
        <x:f>IF(A330="","",F330-G330)</x:f>
      </x:c>
      <x:c r="I330" s="77" t="str">
        <x:f>IF(A330="","",IF(E330="","기타/불명",IF(IFERROR(SEARCH("급여",E330),0)&gt;0,"인건비",IF(IFERROR(SEARCH("임차",E330),0)&gt;0,"임차·시설",IF(IFERROR(SEARCH("광고",E330),0)&gt;0,"광고·행사",IF(IFERROR(SEARCH("용역",E330),0)&gt;0,"용역·수수료","기타/불명"))))))</x:f>
      </x:c>
      <x:c r="J330" s="77" t="str">
        <x:f>IF(A330="","",IF(I330="기타/불명","확인 필요","결의서명으로 1차 확인"))</x:f>
      </x:c>
      <x:c r="K330" s="78"/>
    </x:row>
    <x:row r="331">
      <x:c r="A331" s="73"/>
      <x:c r="B331" s="73"/>
      <x:c r="C331" s="74"/>
      <x:c r="D331" s="73"/>
      <x:c r="E331" s="73"/>
      <x:c r="F331" s="75"/>
      <x:c r="G331" s="75"/>
      <x:c r="H331" s="76" t="str">
        <x:f>IF(A331="","",F331-G331)</x:f>
      </x:c>
      <x:c r="I331" s="77" t="str">
        <x:f>IF(A331="","",IF(E331="","기타/불명",IF(IFERROR(SEARCH("급여",E331),0)&gt;0,"인건비",IF(IFERROR(SEARCH("임차",E331),0)&gt;0,"임차·시설",IF(IFERROR(SEARCH("광고",E331),0)&gt;0,"광고·행사",IF(IFERROR(SEARCH("용역",E331),0)&gt;0,"용역·수수료","기타/불명"))))))</x:f>
      </x:c>
      <x:c r="J331" s="77" t="str">
        <x:f>IF(A331="","",IF(I331="기타/불명","확인 필요","결의서명으로 1차 확인"))</x:f>
      </x:c>
      <x:c r="K331" s="78"/>
    </x:row>
    <x:row r="332">
      <x:c r="A332" s="73"/>
      <x:c r="B332" s="73"/>
      <x:c r="C332" s="74"/>
      <x:c r="D332" s="73"/>
      <x:c r="E332" s="73"/>
      <x:c r="F332" s="75"/>
      <x:c r="G332" s="75"/>
      <x:c r="H332" s="76" t="str">
        <x:f>IF(A332="","",F332-G332)</x:f>
      </x:c>
      <x:c r="I332" s="77" t="str">
        <x:f>IF(A332="","",IF(E332="","기타/불명",IF(IFERROR(SEARCH("급여",E332),0)&gt;0,"인건비",IF(IFERROR(SEARCH("임차",E332),0)&gt;0,"임차·시설",IF(IFERROR(SEARCH("광고",E332),0)&gt;0,"광고·행사",IF(IFERROR(SEARCH("용역",E332),0)&gt;0,"용역·수수료","기타/불명"))))))</x:f>
      </x:c>
      <x:c r="J332" s="77" t="str">
        <x:f>IF(A332="","",IF(I332="기타/불명","확인 필요","결의서명으로 1차 확인"))</x:f>
      </x:c>
      <x:c r="K332" s="78"/>
    </x:row>
    <x:row r="333">
      <x:c r="A333" s="73"/>
      <x:c r="B333" s="73"/>
      <x:c r="C333" s="74"/>
      <x:c r="D333" s="73"/>
      <x:c r="E333" s="73"/>
      <x:c r="F333" s="75"/>
      <x:c r="G333" s="75"/>
      <x:c r="H333" s="76" t="str">
        <x:f>IF(A333="","",F333-G333)</x:f>
      </x:c>
      <x:c r="I333" s="77" t="str">
        <x:f>IF(A333="","",IF(E333="","기타/불명",IF(IFERROR(SEARCH("급여",E333),0)&gt;0,"인건비",IF(IFERROR(SEARCH("임차",E333),0)&gt;0,"임차·시설",IF(IFERROR(SEARCH("광고",E333),0)&gt;0,"광고·행사",IF(IFERROR(SEARCH("용역",E333),0)&gt;0,"용역·수수료","기타/불명"))))))</x:f>
      </x:c>
      <x:c r="J333" s="77" t="str">
        <x:f>IF(A333="","",IF(I333="기타/불명","확인 필요","결의서명으로 1차 확인"))</x:f>
      </x:c>
      <x:c r="K333" s="78"/>
    </x:row>
    <x:row r="334">
      <x:c r="A334" s="73"/>
      <x:c r="B334" s="73"/>
      <x:c r="C334" s="74"/>
      <x:c r="D334" s="73"/>
      <x:c r="E334" s="73"/>
      <x:c r="F334" s="75"/>
      <x:c r="G334" s="75"/>
      <x:c r="H334" s="76" t="str">
        <x:f>IF(A334="","",F334-G334)</x:f>
      </x:c>
      <x:c r="I334" s="77" t="str">
        <x:f>IF(A334="","",IF(E334="","기타/불명",IF(IFERROR(SEARCH("급여",E334),0)&gt;0,"인건비",IF(IFERROR(SEARCH("임차",E334),0)&gt;0,"임차·시설",IF(IFERROR(SEARCH("광고",E334),0)&gt;0,"광고·행사",IF(IFERROR(SEARCH("용역",E334),0)&gt;0,"용역·수수료","기타/불명"))))))</x:f>
      </x:c>
      <x:c r="J334" s="77" t="str">
        <x:f>IF(A334="","",IF(I334="기타/불명","확인 필요","결의서명으로 1차 확인"))</x:f>
      </x:c>
      <x:c r="K334" s="78"/>
    </x:row>
    <x:row r="335">
      <x:c r="A335" s="73"/>
      <x:c r="B335" s="73"/>
      <x:c r="C335" s="74"/>
      <x:c r="D335" s="73"/>
      <x:c r="E335" s="73"/>
      <x:c r="F335" s="75"/>
      <x:c r="G335" s="75"/>
      <x:c r="H335" s="76" t="str">
        <x:f>IF(A335="","",F335-G335)</x:f>
      </x:c>
      <x:c r="I335" s="77" t="str">
        <x:f>IF(A335="","",IF(E335="","기타/불명",IF(IFERROR(SEARCH("급여",E335),0)&gt;0,"인건비",IF(IFERROR(SEARCH("임차",E335),0)&gt;0,"임차·시설",IF(IFERROR(SEARCH("광고",E335),0)&gt;0,"광고·행사",IF(IFERROR(SEARCH("용역",E335),0)&gt;0,"용역·수수료","기타/불명"))))))</x:f>
      </x:c>
      <x:c r="J335" s="77" t="str">
        <x:f>IF(A335="","",IF(I335="기타/불명","확인 필요","결의서명으로 1차 확인"))</x:f>
      </x:c>
      <x:c r="K335" s="78"/>
    </x:row>
    <x:row r="336">
      <x:c r="A336" s="73"/>
      <x:c r="B336" s="73"/>
      <x:c r="C336" s="74"/>
      <x:c r="D336" s="73"/>
      <x:c r="E336" s="73"/>
      <x:c r="F336" s="75"/>
      <x:c r="G336" s="75"/>
      <x:c r="H336" s="76" t="str">
        <x:f>IF(A336="","",F336-G336)</x:f>
      </x:c>
      <x:c r="I336" s="77" t="str">
        <x:f>IF(A336="","",IF(E336="","기타/불명",IF(IFERROR(SEARCH("급여",E336),0)&gt;0,"인건비",IF(IFERROR(SEARCH("임차",E336),0)&gt;0,"임차·시설",IF(IFERROR(SEARCH("광고",E336),0)&gt;0,"광고·행사",IF(IFERROR(SEARCH("용역",E336),0)&gt;0,"용역·수수료","기타/불명"))))))</x:f>
      </x:c>
      <x:c r="J336" s="77" t="str">
        <x:f>IF(A336="","",IF(I336="기타/불명","확인 필요","결의서명으로 1차 확인"))</x:f>
      </x:c>
      <x:c r="K336" s="78"/>
    </x:row>
    <x:row r="337">
      <x:c r="A337" s="73"/>
      <x:c r="B337" s="73"/>
      <x:c r="C337" s="74"/>
      <x:c r="D337" s="73"/>
      <x:c r="E337" s="73"/>
      <x:c r="F337" s="75"/>
      <x:c r="G337" s="75"/>
      <x:c r="H337" s="76" t="str">
        <x:f>IF(A337="","",F337-G337)</x:f>
      </x:c>
      <x:c r="I337" s="77" t="str">
        <x:f>IF(A337="","",IF(E337="","기타/불명",IF(IFERROR(SEARCH("급여",E337),0)&gt;0,"인건비",IF(IFERROR(SEARCH("임차",E337),0)&gt;0,"임차·시설",IF(IFERROR(SEARCH("광고",E337),0)&gt;0,"광고·행사",IF(IFERROR(SEARCH("용역",E337),0)&gt;0,"용역·수수료","기타/불명"))))))</x:f>
      </x:c>
      <x:c r="J337" s="77" t="str">
        <x:f>IF(A337="","",IF(I337="기타/불명","확인 필요","결의서명으로 1차 확인"))</x:f>
      </x:c>
      <x:c r="K337" s="78"/>
    </x:row>
    <x:row r="338">
      <x:c r="A338" s="73"/>
      <x:c r="B338" s="73"/>
      <x:c r="C338" s="74"/>
      <x:c r="D338" s="73"/>
      <x:c r="E338" s="73"/>
      <x:c r="F338" s="75"/>
      <x:c r="G338" s="75"/>
      <x:c r="H338" s="76" t="str">
        <x:f>IF(A338="","",F338-G338)</x:f>
      </x:c>
      <x:c r="I338" s="77" t="str">
        <x:f>IF(A338="","",IF(E338="","기타/불명",IF(IFERROR(SEARCH("급여",E338),0)&gt;0,"인건비",IF(IFERROR(SEARCH("임차",E338),0)&gt;0,"임차·시설",IF(IFERROR(SEARCH("광고",E338),0)&gt;0,"광고·행사",IF(IFERROR(SEARCH("용역",E338),0)&gt;0,"용역·수수료","기타/불명"))))))</x:f>
      </x:c>
      <x:c r="J338" s="77" t="str">
        <x:f>IF(A338="","",IF(I338="기타/불명","확인 필요","결의서명으로 1차 확인"))</x:f>
      </x:c>
      <x:c r="K338" s="78"/>
    </x:row>
    <x:row r="339">
      <x:c r="A339" s="73"/>
      <x:c r="B339" s="73"/>
      <x:c r="C339" s="74"/>
      <x:c r="D339" s="73"/>
      <x:c r="E339" s="73"/>
      <x:c r="F339" s="75"/>
      <x:c r="G339" s="75"/>
      <x:c r="H339" s="76" t="str">
        <x:f>IF(A339="","",F339-G339)</x:f>
      </x:c>
      <x:c r="I339" s="77" t="str">
        <x:f>IF(A339="","",IF(E339="","기타/불명",IF(IFERROR(SEARCH("급여",E339),0)&gt;0,"인건비",IF(IFERROR(SEARCH("임차",E339),0)&gt;0,"임차·시설",IF(IFERROR(SEARCH("광고",E339),0)&gt;0,"광고·행사",IF(IFERROR(SEARCH("용역",E339),0)&gt;0,"용역·수수료","기타/불명"))))))</x:f>
      </x:c>
      <x:c r="J339" s="77" t="str">
        <x:f>IF(A339="","",IF(I339="기타/불명","확인 필요","결의서명으로 1차 확인"))</x:f>
      </x:c>
      <x:c r="K339" s="78"/>
    </x:row>
    <x:row r="340">
      <x:c r="A340" s="73"/>
      <x:c r="B340" s="73"/>
      <x:c r="C340" s="74"/>
      <x:c r="D340" s="73"/>
      <x:c r="E340" s="73"/>
      <x:c r="F340" s="75"/>
      <x:c r="G340" s="75"/>
      <x:c r="H340" s="76" t="str">
        <x:f>IF(A340="","",F340-G340)</x:f>
      </x:c>
      <x:c r="I340" s="77" t="str">
        <x:f>IF(A340="","",IF(E340="","기타/불명",IF(IFERROR(SEARCH("급여",E340),0)&gt;0,"인건비",IF(IFERROR(SEARCH("임차",E340),0)&gt;0,"임차·시설",IF(IFERROR(SEARCH("광고",E340),0)&gt;0,"광고·행사",IF(IFERROR(SEARCH("용역",E340),0)&gt;0,"용역·수수료","기타/불명"))))))</x:f>
      </x:c>
      <x:c r="J340" s="77" t="str">
        <x:f>IF(A340="","",IF(I340="기타/불명","확인 필요","결의서명으로 1차 확인"))</x:f>
      </x:c>
      <x:c r="K340" s="78"/>
    </x:row>
    <x:row r="341">
      <x:c r="A341" s="73"/>
      <x:c r="B341" s="73"/>
      <x:c r="C341" s="74"/>
      <x:c r="D341" s="73"/>
      <x:c r="E341" s="73"/>
      <x:c r="F341" s="75"/>
      <x:c r="G341" s="75"/>
      <x:c r="H341" s="76" t="str">
        <x:f>IF(A341="","",F341-G341)</x:f>
      </x:c>
      <x:c r="I341" s="77" t="str">
        <x:f>IF(A341="","",IF(E341="","기타/불명",IF(IFERROR(SEARCH("급여",E341),0)&gt;0,"인건비",IF(IFERROR(SEARCH("임차",E341),0)&gt;0,"임차·시설",IF(IFERROR(SEARCH("광고",E341),0)&gt;0,"광고·행사",IF(IFERROR(SEARCH("용역",E341),0)&gt;0,"용역·수수료","기타/불명"))))))</x:f>
      </x:c>
      <x:c r="J341" s="77" t="str">
        <x:f>IF(A341="","",IF(I341="기타/불명","확인 필요","결의서명으로 1차 확인"))</x:f>
      </x:c>
      <x:c r="K341" s="78"/>
    </x:row>
    <x:row r="342">
      <x:c r="A342" s="73"/>
      <x:c r="B342" s="73"/>
      <x:c r="C342" s="74"/>
      <x:c r="D342" s="73"/>
      <x:c r="E342" s="73"/>
      <x:c r="F342" s="75"/>
      <x:c r="G342" s="75"/>
      <x:c r="H342" s="76" t="str">
        <x:f>IF(A342="","",F342-G342)</x:f>
      </x:c>
      <x:c r="I342" s="77" t="str">
        <x:f>IF(A342="","",IF(E342="","기타/불명",IF(IFERROR(SEARCH("급여",E342),0)&gt;0,"인건비",IF(IFERROR(SEARCH("임차",E342),0)&gt;0,"임차·시설",IF(IFERROR(SEARCH("광고",E342),0)&gt;0,"광고·행사",IF(IFERROR(SEARCH("용역",E342),0)&gt;0,"용역·수수료","기타/불명"))))))</x:f>
      </x:c>
      <x:c r="J342" s="77" t="str">
        <x:f>IF(A342="","",IF(I342="기타/불명","확인 필요","결의서명으로 1차 확인"))</x:f>
      </x:c>
      <x:c r="K342" s="78"/>
    </x:row>
    <x:row r="343">
      <x:c r="A343" s="73"/>
      <x:c r="B343" s="73"/>
      <x:c r="C343" s="74"/>
      <x:c r="D343" s="73"/>
      <x:c r="E343" s="73"/>
      <x:c r="F343" s="75"/>
      <x:c r="G343" s="75"/>
      <x:c r="H343" s="76" t="str">
        <x:f>IF(A343="","",F343-G343)</x:f>
      </x:c>
      <x:c r="I343" s="77" t="str">
        <x:f>IF(A343="","",IF(E343="","기타/불명",IF(IFERROR(SEARCH("급여",E343),0)&gt;0,"인건비",IF(IFERROR(SEARCH("임차",E343),0)&gt;0,"임차·시설",IF(IFERROR(SEARCH("광고",E343),0)&gt;0,"광고·행사",IF(IFERROR(SEARCH("용역",E343),0)&gt;0,"용역·수수료","기타/불명"))))))</x:f>
      </x:c>
      <x:c r="J343" s="77" t="str">
        <x:f>IF(A343="","",IF(I343="기타/불명","확인 필요","결의서명으로 1차 확인"))</x:f>
      </x:c>
      <x:c r="K343" s="78"/>
    </x:row>
    <x:row r="344">
      <x:c r="A344" s="73"/>
      <x:c r="B344" s="73"/>
      <x:c r="C344" s="74"/>
      <x:c r="D344" s="73"/>
      <x:c r="E344" s="73"/>
      <x:c r="F344" s="75"/>
      <x:c r="G344" s="75"/>
      <x:c r="H344" s="76" t="str">
        <x:f>IF(A344="","",F344-G344)</x:f>
      </x:c>
      <x:c r="I344" s="77" t="str">
        <x:f>IF(A344="","",IF(E344="","기타/불명",IF(IFERROR(SEARCH("급여",E344),0)&gt;0,"인건비",IF(IFERROR(SEARCH("임차",E344),0)&gt;0,"임차·시설",IF(IFERROR(SEARCH("광고",E344),0)&gt;0,"광고·행사",IF(IFERROR(SEARCH("용역",E344),0)&gt;0,"용역·수수료","기타/불명"))))))</x:f>
      </x:c>
      <x:c r="J344" s="77" t="str">
        <x:f>IF(A344="","",IF(I344="기타/불명","확인 필요","결의서명으로 1차 확인"))</x:f>
      </x:c>
      <x:c r="K344" s="78"/>
    </x:row>
    <x:row r="345">
      <x:c r="A345" s="73"/>
      <x:c r="B345" s="73"/>
      <x:c r="C345" s="74"/>
      <x:c r="D345" s="73"/>
      <x:c r="E345" s="73"/>
      <x:c r="F345" s="75"/>
      <x:c r="G345" s="75"/>
      <x:c r="H345" s="76" t="str">
        <x:f>IF(A345="","",F345-G345)</x:f>
      </x:c>
      <x:c r="I345" s="77" t="str">
        <x:f>IF(A345="","",IF(E345="","기타/불명",IF(IFERROR(SEARCH("급여",E345),0)&gt;0,"인건비",IF(IFERROR(SEARCH("임차",E345),0)&gt;0,"임차·시설",IF(IFERROR(SEARCH("광고",E345),0)&gt;0,"광고·행사",IF(IFERROR(SEARCH("용역",E345),0)&gt;0,"용역·수수료","기타/불명"))))))</x:f>
      </x:c>
      <x:c r="J345" s="77" t="str">
        <x:f>IF(A345="","",IF(I345="기타/불명","확인 필요","결의서명으로 1차 확인"))</x:f>
      </x:c>
      <x:c r="K345" s="78"/>
    </x:row>
    <x:row r="346">
      <x:c r="A346" s="73"/>
      <x:c r="B346" s="73"/>
      <x:c r="C346" s="74"/>
      <x:c r="D346" s="73"/>
      <x:c r="E346" s="73"/>
      <x:c r="F346" s="75"/>
      <x:c r="G346" s="75"/>
      <x:c r="H346" s="76" t="str">
        <x:f>IF(A346="","",F346-G346)</x:f>
      </x:c>
      <x:c r="I346" s="77" t="str">
        <x:f>IF(A346="","",IF(E346="","기타/불명",IF(IFERROR(SEARCH("급여",E346),0)&gt;0,"인건비",IF(IFERROR(SEARCH("임차",E346),0)&gt;0,"임차·시설",IF(IFERROR(SEARCH("광고",E346),0)&gt;0,"광고·행사",IF(IFERROR(SEARCH("용역",E346),0)&gt;0,"용역·수수료","기타/불명"))))))</x:f>
      </x:c>
      <x:c r="J346" s="77" t="str">
        <x:f>IF(A346="","",IF(I346="기타/불명","확인 필요","결의서명으로 1차 확인"))</x:f>
      </x:c>
      <x:c r="K346" s="78"/>
    </x:row>
    <x:row r="347">
      <x:c r="A347" s="73"/>
      <x:c r="B347" s="73"/>
      <x:c r="C347" s="74"/>
      <x:c r="D347" s="73"/>
      <x:c r="E347" s="73"/>
      <x:c r="F347" s="75"/>
      <x:c r="G347" s="75"/>
      <x:c r="H347" s="76" t="str">
        <x:f>IF(A347="","",F347-G347)</x:f>
      </x:c>
      <x:c r="I347" s="77" t="str">
        <x:f>IF(A347="","",IF(E347="","기타/불명",IF(IFERROR(SEARCH("급여",E347),0)&gt;0,"인건비",IF(IFERROR(SEARCH("임차",E347),0)&gt;0,"임차·시설",IF(IFERROR(SEARCH("광고",E347),0)&gt;0,"광고·행사",IF(IFERROR(SEARCH("용역",E347),0)&gt;0,"용역·수수료","기타/불명"))))))</x:f>
      </x:c>
      <x:c r="J347" s="77" t="str">
        <x:f>IF(A347="","",IF(I347="기타/불명","확인 필요","결의서명으로 1차 확인"))</x:f>
      </x:c>
      <x:c r="K347" s="78"/>
    </x:row>
    <x:row r="348">
      <x:c r="A348" s="73"/>
      <x:c r="B348" s="73"/>
      <x:c r="C348" s="74"/>
      <x:c r="D348" s="73"/>
      <x:c r="E348" s="73"/>
      <x:c r="F348" s="75"/>
      <x:c r="G348" s="75"/>
      <x:c r="H348" s="76" t="str">
        <x:f>IF(A348="","",F348-G348)</x:f>
      </x:c>
      <x:c r="I348" s="77" t="str">
        <x:f>IF(A348="","",IF(E348="","기타/불명",IF(IFERROR(SEARCH("급여",E348),0)&gt;0,"인건비",IF(IFERROR(SEARCH("임차",E348),0)&gt;0,"임차·시설",IF(IFERROR(SEARCH("광고",E348),0)&gt;0,"광고·행사",IF(IFERROR(SEARCH("용역",E348),0)&gt;0,"용역·수수료","기타/불명"))))))</x:f>
      </x:c>
      <x:c r="J348" s="77" t="str">
        <x:f>IF(A348="","",IF(I348="기타/불명","확인 필요","결의서명으로 1차 확인"))</x:f>
      </x:c>
      <x:c r="K348" s="78"/>
    </x:row>
    <x:row r="349">
      <x:c r="A349" s="73"/>
      <x:c r="B349" s="73"/>
      <x:c r="C349" s="74"/>
      <x:c r="D349" s="73"/>
      <x:c r="E349" s="73"/>
      <x:c r="F349" s="75"/>
      <x:c r="G349" s="75"/>
      <x:c r="H349" s="76" t="str">
        <x:f>IF(A349="","",F349-G349)</x:f>
      </x:c>
      <x:c r="I349" s="77" t="str">
        <x:f>IF(A349="","",IF(E349="","기타/불명",IF(IFERROR(SEARCH("급여",E349),0)&gt;0,"인건비",IF(IFERROR(SEARCH("임차",E349),0)&gt;0,"임차·시설",IF(IFERROR(SEARCH("광고",E349),0)&gt;0,"광고·행사",IF(IFERROR(SEARCH("용역",E349),0)&gt;0,"용역·수수료","기타/불명"))))))</x:f>
      </x:c>
      <x:c r="J349" s="77" t="str">
        <x:f>IF(A349="","",IF(I349="기타/불명","확인 필요","결의서명으로 1차 확인"))</x:f>
      </x:c>
      <x:c r="K349" s="78"/>
    </x:row>
    <x:row r="350">
      <x:c r="A350" s="73"/>
      <x:c r="B350" s="73"/>
      <x:c r="C350" s="74"/>
      <x:c r="D350" s="73"/>
      <x:c r="E350" s="73"/>
      <x:c r="F350" s="75"/>
      <x:c r="G350" s="75"/>
      <x:c r="H350" s="76" t="str">
        <x:f>IF(A350="","",F350-G350)</x:f>
      </x:c>
      <x:c r="I350" s="77" t="str">
        <x:f>IF(A350="","",IF(E350="","기타/불명",IF(IFERROR(SEARCH("급여",E350),0)&gt;0,"인건비",IF(IFERROR(SEARCH("임차",E350),0)&gt;0,"임차·시설",IF(IFERROR(SEARCH("광고",E350),0)&gt;0,"광고·행사",IF(IFERROR(SEARCH("용역",E350),0)&gt;0,"용역·수수료","기타/불명"))))))</x:f>
      </x:c>
      <x:c r="J350" s="77" t="str">
        <x:f>IF(A350="","",IF(I350="기타/불명","확인 필요","결의서명으로 1차 확인"))</x:f>
      </x:c>
      <x:c r="K350" s="78"/>
    </x:row>
    <x:row r="351">
      <x:c r="A351" s="73"/>
      <x:c r="B351" s="73"/>
      <x:c r="C351" s="74"/>
      <x:c r="D351" s="73"/>
      <x:c r="E351" s="73"/>
      <x:c r="F351" s="75"/>
      <x:c r="G351" s="75"/>
      <x:c r="H351" s="76" t="str">
        <x:f>IF(A351="","",F351-G351)</x:f>
      </x:c>
      <x:c r="I351" s="77" t="str">
        <x:f>IF(A351="","",IF(E351="","기타/불명",IF(IFERROR(SEARCH("급여",E351),0)&gt;0,"인건비",IF(IFERROR(SEARCH("임차",E351),0)&gt;0,"임차·시설",IF(IFERROR(SEARCH("광고",E351),0)&gt;0,"광고·행사",IF(IFERROR(SEARCH("용역",E351),0)&gt;0,"용역·수수료","기타/불명"))))))</x:f>
      </x:c>
      <x:c r="J351" s="77" t="str">
        <x:f>IF(A351="","",IF(I351="기타/불명","확인 필요","결의서명으로 1차 확인"))</x:f>
      </x:c>
      <x:c r="K351" s="78"/>
    </x:row>
    <x:row r="352">
      <x:c r="A352" s="73"/>
      <x:c r="B352" s="73"/>
      <x:c r="C352" s="74"/>
      <x:c r="D352" s="73"/>
      <x:c r="E352" s="73"/>
      <x:c r="F352" s="75"/>
      <x:c r="G352" s="75"/>
      <x:c r="H352" s="76" t="str">
        <x:f>IF(A352="","",F352-G352)</x:f>
      </x:c>
      <x:c r="I352" s="77" t="str">
        <x:f>IF(A352="","",IF(E352="","기타/불명",IF(IFERROR(SEARCH("급여",E352),0)&gt;0,"인건비",IF(IFERROR(SEARCH("임차",E352),0)&gt;0,"임차·시설",IF(IFERROR(SEARCH("광고",E352),0)&gt;0,"광고·행사",IF(IFERROR(SEARCH("용역",E352),0)&gt;0,"용역·수수료","기타/불명"))))))</x:f>
      </x:c>
      <x:c r="J352" s="77" t="str">
        <x:f>IF(A352="","",IF(I352="기타/불명","확인 필요","결의서명으로 1차 확인"))</x:f>
      </x:c>
      <x:c r="K352" s="78"/>
    </x:row>
    <x:row r="353">
      <x:c r="A353" s="73"/>
      <x:c r="B353" s="73"/>
      <x:c r="C353" s="74"/>
      <x:c r="D353" s="73"/>
      <x:c r="E353" s="73"/>
      <x:c r="F353" s="75"/>
      <x:c r="G353" s="75"/>
      <x:c r="H353" s="76" t="str">
        <x:f>IF(A353="","",F353-G353)</x:f>
      </x:c>
      <x:c r="I353" s="77" t="str">
        <x:f>IF(A353="","",IF(E353="","기타/불명",IF(IFERROR(SEARCH("급여",E353),0)&gt;0,"인건비",IF(IFERROR(SEARCH("임차",E353),0)&gt;0,"임차·시설",IF(IFERROR(SEARCH("광고",E353),0)&gt;0,"광고·행사",IF(IFERROR(SEARCH("용역",E353),0)&gt;0,"용역·수수료","기타/불명"))))))</x:f>
      </x:c>
      <x:c r="J353" s="77" t="str">
        <x:f>IF(A353="","",IF(I353="기타/불명","확인 필요","결의서명으로 1차 확인"))</x:f>
      </x:c>
      <x:c r="K353" s="78"/>
    </x:row>
    <x:row r="354">
      <x:c r="A354" s="73"/>
      <x:c r="B354" s="73"/>
      <x:c r="C354" s="74"/>
      <x:c r="D354" s="73"/>
      <x:c r="E354" s="73"/>
      <x:c r="F354" s="75"/>
      <x:c r="G354" s="75"/>
      <x:c r="H354" s="76" t="str">
        <x:f>IF(A354="","",F354-G354)</x:f>
      </x:c>
      <x:c r="I354" s="77" t="str">
        <x:f>IF(A354="","",IF(E354="","기타/불명",IF(IFERROR(SEARCH("급여",E354),0)&gt;0,"인건비",IF(IFERROR(SEARCH("임차",E354),0)&gt;0,"임차·시설",IF(IFERROR(SEARCH("광고",E354),0)&gt;0,"광고·행사",IF(IFERROR(SEARCH("용역",E354),0)&gt;0,"용역·수수료","기타/불명"))))))</x:f>
      </x:c>
      <x:c r="J354" s="77" t="str">
        <x:f>IF(A354="","",IF(I354="기타/불명","확인 필요","결의서명으로 1차 확인"))</x:f>
      </x:c>
      <x:c r="K354" s="78"/>
    </x:row>
    <x:row r="355">
      <x:c r="A355" s="73"/>
      <x:c r="B355" s="73"/>
      <x:c r="C355" s="74"/>
      <x:c r="D355" s="73"/>
      <x:c r="E355" s="73"/>
      <x:c r="F355" s="75"/>
      <x:c r="G355" s="75"/>
      <x:c r="H355" s="76" t="str">
        <x:f>IF(A355="","",F355-G355)</x:f>
      </x:c>
      <x:c r="I355" s="77" t="str">
        <x:f>IF(A355="","",IF(E355="","기타/불명",IF(IFERROR(SEARCH("급여",E355),0)&gt;0,"인건비",IF(IFERROR(SEARCH("임차",E355),0)&gt;0,"임차·시설",IF(IFERROR(SEARCH("광고",E355),0)&gt;0,"광고·행사",IF(IFERROR(SEARCH("용역",E355),0)&gt;0,"용역·수수료","기타/불명"))))))</x:f>
      </x:c>
      <x:c r="J355" s="77" t="str">
        <x:f>IF(A355="","",IF(I355="기타/불명","확인 필요","결의서명으로 1차 확인"))</x:f>
      </x:c>
      <x:c r="K355" s="78"/>
    </x:row>
    <x:row r="356">
      <x:c r="A356" s="73"/>
      <x:c r="B356" s="73"/>
      <x:c r="C356" s="74"/>
      <x:c r="D356" s="73"/>
      <x:c r="E356" s="73"/>
      <x:c r="F356" s="75"/>
      <x:c r="G356" s="75"/>
      <x:c r="H356" s="76" t="str">
        <x:f>IF(A356="","",F356-G356)</x:f>
      </x:c>
      <x:c r="I356" s="77" t="str">
        <x:f>IF(A356="","",IF(E356="","기타/불명",IF(IFERROR(SEARCH("급여",E356),0)&gt;0,"인건비",IF(IFERROR(SEARCH("임차",E356),0)&gt;0,"임차·시설",IF(IFERROR(SEARCH("광고",E356),0)&gt;0,"광고·행사",IF(IFERROR(SEARCH("용역",E356),0)&gt;0,"용역·수수료","기타/불명"))))))</x:f>
      </x:c>
      <x:c r="J356" s="77" t="str">
        <x:f>IF(A356="","",IF(I356="기타/불명","확인 필요","결의서명으로 1차 확인"))</x:f>
      </x:c>
      <x:c r="K356" s="78"/>
    </x:row>
    <x:row r="357">
      <x:c r="A357" s="73"/>
      <x:c r="B357" s="73"/>
      <x:c r="C357" s="74"/>
      <x:c r="D357" s="73"/>
      <x:c r="E357" s="73"/>
      <x:c r="F357" s="75"/>
      <x:c r="G357" s="75"/>
      <x:c r="H357" s="76" t="str">
        <x:f>IF(A357="","",F357-G357)</x:f>
      </x:c>
      <x:c r="I357" s="77" t="str">
        <x:f>IF(A357="","",IF(E357="","기타/불명",IF(IFERROR(SEARCH("급여",E357),0)&gt;0,"인건비",IF(IFERROR(SEARCH("임차",E357),0)&gt;0,"임차·시설",IF(IFERROR(SEARCH("광고",E357),0)&gt;0,"광고·행사",IF(IFERROR(SEARCH("용역",E357),0)&gt;0,"용역·수수료","기타/불명"))))))</x:f>
      </x:c>
      <x:c r="J357" s="77" t="str">
        <x:f>IF(A357="","",IF(I357="기타/불명","확인 필요","결의서명으로 1차 확인"))</x:f>
      </x:c>
      <x:c r="K357" s="78"/>
    </x:row>
    <x:row r="358">
      <x:c r="A358" s="73"/>
      <x:c r="B358" s="73"/>
      <x:c r="C358" s="74"/>
      <x:c r="D358" s="73"/>
      <x:c r="E358" s="73"/>
      <x:c r="F358" s="75"/>
      <x:c r="G358" s="75"/>
      <x:c r="H358" s="76" t="str">
        <x:f>IF(A358="","",F358-G358)</x:f>
      </x:c>
      <x:c r="I358" s="77" t="str">
        <x:f>IF(A358="","",IF(E358="","기타/불명",IF(IFERROR(SEARCH("급여",E358),0)&gt;0,"인건비",IF(IFERROR(SEARCH("임차",E358),0)&gt;0,"임차·시설",IF(IFERROR(SEARCH("광고",E358),0)&gt;0,"광고·행사",IF(IFERROR(SEARCH("용역",E358),0)&gt;0,"용역·수수료","기타/불명"))))))</x:f>
      </x:c>
      <x:c r="J358" s="77" t="str">
        <x:f>IF(A358="","",IF(I358="기타/불명","확인 필요","결의서명으로 1차 확인"))</x:f>
      </x:c>
      <x:c r="K358" s="78"/>
    </x:row>
    <x:row r="359">
      <x:c r="A359" s="73"/>
      <x:c r="B359" s="73"/>
      <x:c r="C359" s="74"/>
      <x:c r="D359" s="73"/>
      <x:c r="E359" s="73"/>
      <x:c r="F359" s="75"/>
      <x:c r="G359" s="75"/>
      <x:c r="H359" s="76" t="str">
        <x:f>IF(A359="","",F359-G359)</x:f>
      </x:c>
      <x:c r="I359" s="77" t="str">
        <x:f>IF(A359="","",IF(E359="","기타/불명",IF(IFERROR(SEARCH("급여",E359),0)&gt;0,"인건비",IF(IFERROR(SEARCH("임차",E359),0)&gt;0,"임차·시설",IF(IFERROR(SEARCH("광고",E359),0)&gt;0,"광고·행사",IF(IFERROR(SEARCH("용역",E359),0)&gt;0,"용역·수수료","기타/불명"))))))</x:f>
      </x:c>
      <x:c r="J359" s="77" t="str">
        <x:f>IF(A359="","",IF(I359="기타/불명","확인 필요","결의서명으로 1차 확인"))</x:f>
      </x:c>
      <x:c r="K359" s="78"/>
    </x:row>
    <x:row r="360">
      <x:c r="A360" s="73"/>
      <x:c r="B360" s="73"/>
      <x:c r="C360" s="74"/>
      <x:c r="D360" s="73"/>
      <x:c r="E360" s="73"/>
      <x:c r="F360" s="75"/>
      <x:c r="G360" s="75"/>
      <x:c r="H360" s="76" t="str">
        <x:f>IF(A360="","",F360-G360)</x:f>
      </x:c>
      <x:c r="I360" s="77" t="str">
        <x:f>IF(A360="","",IF(E360="","기타/불명",IF(IFERROR(SEARCH("급여",E360),0)&gt;0,"인건비",IF(IFERROR(SEARCH("임차",E360),0)&gt;0,"임차·시설",IF(IFERROR(SEARCH("광고",E360),0)&gt;0,"광고·행사",IF(IFERROR(SEARCH("용역",E360),0)&gt;0,"용역·수수료","기타/불명"))))))</x:f>
      </x:c>
      <x:c r="J360" s="77" t="str">
        <x:f>IF(A360="","",IF(I360="기타/불명","확인 필요","결의서명으로 1차 확인"))</x:f>
      </x:c>
      <x:c r="K360" s="78"/>
    </x:row>
    <x:row r="361">
      <x:c r="A361" s="73"/>
      <x:c r="B361" s="73"/>
      <x:c r="C361" s="74"/>
      <x:c r="D361" s="73"/>
      <x:c r="E361" s="73"/>
      <x:c r="F361" s="75"/>
      <x:c r="G361" s="75"/>
      <x:c r="H361" s="76" t="str">
        <x:f>IF(A361="","",F361-G361)</x:f>
      </x:c>
      <x:c r="I361" s="77" t="str">
        <x:f>IF(A361="","",IF(E361="","기타/불명",IF(IFERROR(SEARCH("급여",E361),0)&gt;0,"인건비",IF(IFERROR(SEARCH("임차",E361),0)&gt;0,"임차·시설",IF(IFERROR(SEARCH("광고",E361),0)&gt;0,"광고·행사",IF(IFERROR(SEARCH("용역",E361),0)&gt;0,"용역·수수료","기타/불명"))))))</x:f>
      </x:c>
      <x:c r="J361" s="77" t="str">
        <x:f>IF(A361="","",IF(I361="기타/불명","확인 필요","결의서명으로 1차 확인"))</x:f>
      </x:c>
      <x:c r="K361" s="78"/>
    </x:row>
    <x:row r="362">
      <x:c r="A362" s="73"/>
      <x:c r="B362" s="73"/>
      <x:c r="C362" s="74"/>
      <x:c r="D362" s="73"/>
      <x:c r="E362" s="73"/>
      <x:c r="F362" s="75"/>
      <x:c r="G362" s="75"/>
      <x:c r="H362" s="76" t="str">
        <x:f>IF(A362="","",F362-G362)</x:f>
      </x:c>
      <x:c r="I362" s="77" t="str">
        <x:f>IF(A362="","",IF(E362="","기타/불명",IF(IFERROR(SEARCH("급여",E362),0)&gt;0,"인건비",IF(IFERROR(SEARCH("임차",E362),0)&gt;0,"임차·시설",IF(IFERROR(SEARCH("광고",E362),0)&gt;0,"광고·행사",IF(IFERROR(SEARCH("용역",E362),0)&gt;0,"용역·수수료","기타/불명"))))))</x:f>
      </x:c>
      <x:c r="J362" s="77" t="str">
        <x:f>IF(A362="","",IF(I362="기타/불명","확인 필요","결의서명으로 1차 확인"))</x:f>
      </x:c>
      <x:c r="K362" s="78"/>
    </x:row>
    <x:row r="363">
      <x:c r="A363" s="73"/>
      <x:c r="B363" s="73"/>
      <x:c r="C363" s="74"/>
      <x:c r="D363" s="73"/>
      <x:c r="E363" s="73"/>
      <x:c r="F363" s="75"/>
      <x:c r="G363" s="75"/>
      <x:c r="H363" s="76" t="str">
        <x:f>IF(A363="","",F363-G363)</x:f>
      </x:c>
      <x:c r="I363" s="77" t="str">
        <x:f>IF(A363="","",IF(E363="","기타/불명",IF(IFERROR(SEARCH("급여",E363),0)&gt;0,"인건비",IF(IFERROR(SEARCH("임차",E363),0)&gt;0,"임차·시설",IF(IFERROR(SEARCH("광고",E363),0)&gt;0,"광고·행사",IF(IFERROR(SEARCH("용역",E363),0)&gt;0,"용역·수수료","기타/불명"))))))</x:f>
      </x:c>
      <x:c r="J363" s="77" t="str">
        <x:f>IF(A363="","",IF(I363="기타/불명","확인 필요","결의서명으로 1차 확인"))</x:f>
      </x:c>
      <x:c r="K363" s="78"/>
    </x:row>
    <x:row r="364">
      <x:c r="A364" s="73"/>
      <x:c r="B364" s="73"/>
      <x:c r="C364" s="74"/>
      <x:c r="D364" s="73"/>
      <x:c r="E364" s="73"/>
      <x:c r="F364" s="75"/>
      <x:c r="G364" s="75"/>
      <x:c r="H364" s="76" t="str">
        <x:f>IF(A364="","",F364-G364)</x:f>
      </x:c>
      <x:c r="I364" s="77" t="str">
        <x:f>IF(A364="","",IF(E364="","기타/불명",IF(IFERROR(SEARCH("급여",E364),0)&gt;0,"인건비",IF(IFERROR(SEARCH("임차",E364),0)&gt;0,"임차·시설",IF(IFERROR(SEARCH("광고",E364),0)&gt;0,"광고·행사",IF(IFERROR(SEARCH("용역",E364),0)&gt;0,"용역·수수료","기타/불명"))))))</x:f>
      </x:c>
      <x:c r="J364" s="77" t="str">
        <x:f>IF(A364="","",IF(I364="기타/불명","확인 필요","결의서명으로 1차 확인"))</x:f>
      </x:c>
      <x:c r="K364" s="78"/>
    </x:row>
    <x:row r="365">
      <x:c r="A365" s="73"/>
      <x:c r="B365" s="73"/>
      <x:c r="C365" s="74"/>
      <x:c r="D365" s="73"/>
      <x:c r="E365" s="73"/>
      <x:c r="F365" s="75"/>
      <x:c r="G365" s="75"/>
      <x:c r="H365" s="76" t="str">
        <x:f>IF(A365="","",F365-G365)</x:f>
      </x:c>
      <x:c r="I365" s="77" t="str">
        <x:f>IF(A365="","",IF(E365="","기타/불명",IF(IFERROR(SEARCH("급여",E365),0)&gt;0,"인건비",IF(IFERROR(SEARCH("임차",E365),0)&gt;0,"임차·시설",IF(IFERROR(SEARCH("광고",E365),0)&gt;0,"광고·행사",IF(IFERROR(SEARCH("용역",E365),0)&gt;0,"용역·수수료","기타/불명"))))))</x:f>
      </x:c>
      <x:c r="J365" s="77" t="str">
        <x:f>IF(A365="","",IF(I365="기타/불명","확인 필요","결의서명으로 1차 확인"))</x:f>
      </x:c>
      <x:c r="K365" s="78"/>
    </x:row>
    <x:row r="366">
      <x:c r="A366" s="73"/>
      <x:c r="B366" s="73"/>
      <x:c r="C366" s="74"/>
      <x:c r="D366" s="73"/>
      <x:c r="E366" s="73"/>
      <x:c r="F366" s="75"/>
      <x:c r="G366" s="75"/>
      <x:c r="H366" s="76" t="str">
        <x:f>IF(A366="","",F366-G366)</x:f>
      </x:c>
      <x:c r="I366" s="77" t="str">
        <x:f>IF(A366="","",IF(E366="","기타/불명",IF(IFERROR(SEARCH("급여",E366),0)&gt;0,"인건비",IF(IFERROR(SEARCH("임차",E366),0)&gt;0,"임차·시설",IF(IFERROR(SEARCH("광고",E366),0)&gt;0,"광고·행사",IF(IFERROR(SEARCH("용역",E366),0)&gt;0,"용역·수수료","기타/불명"))))))</x:f>
      </x:c>
      <x:c r="J366" s="77" t="str">
        <x:f>IF(A366="","",IF(I366="기타/불명","확인 필요","결의서명으로 1차 확인"))</x:f>
      </x:c>
      <x:c r="K366" s="78"/>
    </x:row>
    <x:row r="367">
      <x:c r="A367" s="73"/>
      <x:c r="B367" s="73"/>
      <x:c r="C367" s="74"/>
      <x:c r="D367" s="73"/>
      <x:c r="E367" s="73"/>
      <x:c r="F367" s="75"/>
      <x:c r="G367" s="75"/>
      <x:c r="H367" s="76" t="str">
        <x:f>IF(A367="","",F367-G367)</x:f>
      </x:c>
      <x:c r="I367" s="77" t="str">
        <x:f>IF(A367="","",IF(E367="","기타/불명",IF(IFERROR(SEARCH("급여",E367),0)&gt;0,"인건비",IF(IFERROR(SEARCH("임차",E367),0)&gt;0,"임차·시설",IF(IFERROR(SEARCH("광고",E367),0)&gt;0,"광고·행사",IF(IFERROR(SEARCH("용역",E367),0)&gt;0,"용역·수수료","기타/불명"))))))</x:f>
      </x:c>
      <x:c r="J367" s="77" t="str">
        <x:f>IF(A367="","",IF(I367="기타/불명","확인 필요","결의서명으로 1차 확인"))</x:f>
      </x:c>
      <x:c r="K367" s="78"/>
    </x:row>
    <x:row r="368">
      <x:c r="A368" s="73"/>
      <x:c r="B368" s="73"/>
      <x:c r="C368" s="74"/>
      <x:c r="D368" s="73"/>
      <x:c r="E368" s="73"/>
      <x:c r="F368" s="75"/>
      <x:c r="G368" s="75"/>
      <x:c r="H368" s="76" t="str">
        <x:f>IF(A368="","",F368-G368)</x:f>
      </x:c>
      <x:c r="I368" s="77" t="str">
        <x:f>IF(A368="","",IF(E368="","기타/불명",IF(IFERROR(SEARCH("급여",E368),0)&gt;0,"인건비",IF(IFERROR(SEARCH("임차",E368),0)&gt;0,"임차·시설",IF(IFERROR(SEARCH("광고",E368),0)&gt;0,"광고·행사",IF(IFERROR(SEARCH("용역",E368),0)&gt;0,"용역·수수료","기타/불명"))))))</x:f>
      </x:c>
      <x:c r="J368" s="77" t="str">
        <x:f>IF(A368="","",IF(I368="기타/불명","확인 필요","결의서명으로 1차 확인"))</x:f>
      </x:c>
      <x:c r="K368" s="78"/>
    </x:row>
    <x:row r="369">
      <x:c r="A369" s="73"/>
      <x:c r="B369" s="73"/>
      <x:c r="C369" s="74"/>
      <x:c r="D369" s="73"/>
      <x:c r="E369" s="73"/>
      <x:c r="F369" s="75"/>
      <x:c r="G369" s="75"/>
      <x:c r="H369" s="76" t="str">
        <x:f>IF(A369="","",F369-G369)</x:f>
      </x:c>
      <x:c r="I369" s="77" t="str">
        <x:f>IF(A369="","",IF(E369="","기타/불명",IF(IFERROR(SEARCH("급여",E369),0)&gt;0,"인건비",IF(IFERROR(SEARCH("임차",E369),0)&gt;0,"임차·시설",IF(IFERROR(SEARCH("광고",E369),0)&gt;0,"광고·행사",IF(IFERROR(SEARCH("용역",E369),0)&gt;0,"용역·수수료","기타/불명"))))))</x:f>
      </x:c>
      <x:c r="J369" s="77" t="str">
        <x:f>IF(A369="","",IF(I369="기타/불명","확인 필요","결의서명으로 1차 확인"))</x:f>
      </x:c>
      <x:c r="K369" s="78"/>
    </x:row>
    <x:row r="370">
      <x:c r="A370" s="73"/>
      <x:c r="B370" s="73"/>
      <x:c r="C370" s="74"/>
      <x:c r="D370" s="73"/>
      <x:c r="E370" s="73"/>
      <x:c r="F370" s="75"/>
      <x:c r="G370" s="75"/>
      <x:c r="H370" s="76" t="str">
        <x:f>IF(A370="","",F370-G370)</x:f>
      </x:c>
      <x:c r="I370" s="77" t="str">
        <x:f>IF(A370="","",IF(E370="","기타/불명",IF(IFERROR(SEARCH("급여",E370),0)&gt;0,"인건비",IF(IFERROR(SEARCH("임차",E370),0)&gt;0,"임차·시설",IF(IFERROR(SEARCH("광고",E370),0)&gt;0,"광고·행사",IF(IFERROR(SEARCH("용역",E370),0)&gt;0,"용역·수수료","기타/불명"))))))</x:f>
      </x:c>
      <x:c r="J370" s="77" t="str">
        <x:f>IF(A370="","",IF(I370="기타/불명","확인 필요","결의서명으로 1차 확인"))</x:f>
      </x:c>
      <x:c r="K370" s="78"/>
    </x:row>
    <x:row r="371">
      <x:c r="A371" s="73"/>
      <x:c r="B371" s="73"/>
      <x:c r="C371" s="74"/>
      <x:c r="D371" s="73"/>
      <x:c r="E371" s="73"/>
      <x:c r="F371" s="75"/>
      <x:c r="G371" s="75"/>
      <x:c r="H371" s="76" t="str">
        <x:f>IF(A371="","",F371-G371)</x:f>
      </x:c>
      <x:c r="I371" s="77" t="str">
        <x:f>IF(A371="","",IF(E371="","기타/불명",IF(IFERROR(SEARCH("급여",E371),0)&gt;0,"인건비",IF(IFERROR(SEARCH("임차",E371),0)&gt;0,"임차·시설",IF(IFERROR(SEARCH("광고",E371),0)&gt;0,"광고·행사",IF(IFERROR(SEARCH("용역",E371),0)&gt;0,"용역·수수료","기타/불명"))))))</x:f>
      </x:c>
      <x:c r="J371" s="77" t="str">
        <x:f>IF(A371="","",IF(I371="기타/불명","확인 필요","결의서명으로 1차 확인"))</x:f>
      </x:c>
      <x:c r="K371" s="78"/>
    </x:row>
    <x:row r="372">
      <x:c r="A372" s="73"/>
      <x:c r="B372" s="73"/>
      <x:c r="C372" s="74"/>
      <x:c r="D372" s="73"/>
      <x:c r="E372" s="73"/>
      <x:c r="F372" s="75"/>
      <x:c r="G372" s="75"/>
      <x:c r="H372" s="76" t="str">
        <x:f>IF(A372="","",F372-G372)</x:f>
      </x:c>
      <x:c r="I372" s="77" t="str">
        <x:f>IF(A372="","",IF(E372="","기타/불명",IF(IFERROR(SEARCH("급여",E372),0)&gt;0,"인건비",IF(IFERROR(SEARCH("임차",E372),0)&gt;0,"임차·시설",IF(IFERROR(SEARCH("광고",E372),0)&gt;0,"광고·행사",IF(IFERROR(SEARCH("용역",E372),0)&gt;0,"용역·수수료","기타/불명"))))))</x:f>
      </x:c>
      <x:c r="J372" s="77" t="str">
        <x:f>IF(A372="","",IF(I372="기타/불명","확인 필요","결의서명으로 1차 확인"))</x:f>
      </x:c>
      <x:c r="K372" s="78"/>
    </x:row>
    <x:row r="373">
      <x:c r="A373" s="73"/>
      <x:c r="B373" s="73"/>
      <x:c r="C373" s="74"/>
      <x:c r="D373" s="73"/>
      <x:c r="E373" s="73"/>
      <x:c r="F373" s="75"/>
      <x:c r="G373" s="75"/>
      <x:c r="H373" s="76" t="str">
        <x:f>IF(A373="","",F373-G373)</x:f>
      </x:c>
      <x:c r="I373" s="77" t="str">
        <x:f>IF(A373="","",IF(E373="","기타/불명",IF(IFERROR(SEARCH("급여",E373),0)&gt;0,"인건비",IF(IFERROR(SEARCH("임차",E373),0)&gt;0,"임차·시설",IF(IFERROR(SEARCH("광고",E373),0)&gt;0,"광고·행사",IF(IFERROR(SEARCH("용역",E373),0)&gt;0,"용역·수수료","기타/불명"))))))</x:f>
      </x:c>
      <x:c r="J373" s="77" t="str">
        <x:f>IF(A373="","",IF(I373="기타/불명","확인 필요","결의서명으로 1차 확인"))</x:f>
      </x:c>
      <x:c r="K373" s="78"/>
    </x:row>
    <x:row r="374">
      <x:c r="A374" s="73"/>
      <x:c r="B374" s="73"/>
      <x:c r="C374" s="74"/>
      <x:c r="D374" s="73"/>
      <x:c r="E374" s="73"/>
      <x:c r="F374" s="75"/>
      <x:c r="G374" s="75"/>
      <x:c r="H374" s="76" t="str">
        <x:f>IF(A374="","",F374-G374)</x:f>
      </x:c>
      <x:c r="I374" s="77" t="str">
        <x:f>IF(A374="","",IF(E374="","기타/불명",IF(IFERROR(SEARCH("급여",E374),0)&gt;0,"인건비",IF(IFERROR(SEARCH("임차",E374),0)&gt;0,"임차·시설",IF(IFERROR(SEARCH("광고",E374),0)&gt;0,"광고·행사",IF(IFERROR(SEARCH("용역",E374),0)&gt;0,"용역·수수료","기타/불명"))))))</x:f>
      </x:c>
      <x:c r="J374" s="77" t="str">
        <x:f>IF(A374="","",IF(I374="기타/불명","확인 필요","결의서명으로 1차 확인"))</x:f>
      </x:c>
      <x:c r="K374" s="78"/>
    </x:row>
    <x:row r="375">
      <x:c r="A375" s="73"/>
      <x:c r="B375" s="73"/>
      <x:c r="C375" s="74"/>
      <x:c r="D375" s="73"/>
      <x:c r="E375" s="73"/>
      <x:c r="F375" s="75"/>
      <x:c r="G375" s="75"/>
      <x:c r="H375" s="76" t="str">
        <x:f>IF(A375="","",F375-G375)</x:f>
      </x:c>
      <x:c r="I375" s="77" t="str">
        <x:f>IF(A375="","",IF(E375="","기타/불명",IF(IFERROR(SEARCH("급여",E375),0)&gt;0,"인건비",IF(IFERROR(SEARCH("임차",E375),0)&gt;0,"임차·시설",IF(IFERROR(SEARCH("광고",E375),0)&gt;0,"광고·행사",IF(IFERROR(SEARCH("용역",E375),0)&gt;0,"용역·수수료","기타/불명"))))))</x:f>
      </x:c>
      <x:c r="J375" s="77" t="str">
        <x:f>IF(A375="","",IF(I375="기타/불명","확인 필요","결의서명으로 1차 확인"))</x:f>
      </x:c>
      <x:c r="K375" s="78"/>
    </x:row>
    <x:row r="376">
      <x:c r="A376" s="73"/>
      <x:c r="B376" s="73"/>
      <x:c r="C376" s="74"/>
      <x:c r="D376" s="73"/>
      <x:c r="E376" s="73"/>
      <x:c r="F376" s="75"/>
      <x:c r="G376" s="75"/>
      <x:c r="H376" s="76" t="str">
        <x:f>IF(A376="","",F376-G376)</x:f>
      </x:c>
      <x:c r="I376" s="77" t="str">
        <x:f>IF(A376="","",IF(E376="","기타/불명",IF(IFERROR(SEARCH("급여",E376),0)&gt;0,"인건비",IF(IFERROR(SEARCH("임차",E376),0)&gt;0,"임차·시설",IF(IFERROR(SEARCH("광고",E376),0)&gt;0,"광고·행사",IF(IFERROR(SEARCH("용역",E376),0)&gt;0,"용역·수수료","기타/불명"))))))</x:f>
      </x:c>
      <x:c r="J376" s="77" t="str">
        <x:f>IF(A376="","",IF(I376="기타/불명","확인 필요","결의서명으로 1차 확인"))</x:f>
      </x:c>
      <x:c r="K376" s="78"/>
    </x:row>
    <x:row r="377">
      <x:c r="A377" s="73"/>
      <x:c r="B377" s="73"/>
      <x:c r="C377" s="74"/>
      <x:c r="D377" s="73"/>
      <x:c r="E377" s="73"/>
      <x:c r="F377" s="75"/>
      <x:c r="G377" s="75"/>
      <x:c r="H377" s="76" t="str">
        <x:f>IF(A377="","",F377-G377)</x:f>
      </x:c>
      <x:c r="I377" s="77" t="str">
        <x:f>IF(A377="","",IF(E377="","기타/불명",IF(IFERROR(SEARCH("급여",E377),0)&gt;0,"인건비",IF(IFERROR(SEARCH("임차",E377),0)&gt;0,"임차·시설",IF(IFERROR(SEARCH("광고",E377),0)&gt;0,"광고·행사",IF(IFERROR(SEARCH("용역",E377),0)&gt;0,"용역·수수료","기타/불명"))))))</x:f>
      </x:c>
      <x:c r="J377" s="77" t="str">
        <x:f>IF(A377="","",IF(I377="기타/불명","확인 필요","결의서명으로 1차 확인"))</x:f>
      </x:c>
      <x:c r="K377" s="78"/>
    </x:row>
    <x:row r="378">
      <x:c r="A378" s="73"/>
      <x:c r="B378" s="73"/>
      <x:c r="C378" s="74"/>
      <x:c r="D378" s="73"/>
      <x:c r="E378" s="73"/>
      <x:c r="F378" s="75"/>
      <x:c r="G378" s="75"/>
      <x:c r="H378" s="76" t="str">
        <x:f>IF(A378="","",F378-G378)</x:f>
      </x:c>
      <x:c r="I378" s="77" t="str">
        <x:f>IF(A378="","",IF(E378="","기타/불명",IF(IFERROR(SEARCH("급여",E378),0)&gt;0,"인건비",IF(IFERROR(SEARCH("임차",E378),0)&gt;0,"임차·시설",IF(IFERROR(SEARCH("광고",E378),0)&gt;0,"광고·행사",IF(IFERROR(SEARCH("용역",E378),0)&gt;0,"용역·수수료","기타/불명"))))))</x:f>
      </x:c>
      <x:c r="J378" s="77" t="str">
        <x:f>IF(A378="","",IF(I378="기타/불명","확인 필요","결의서명으로 1차 확인"))</x:f>
      </x:c>
      <x:c r="K378" s="78"/>
    </x:row>
    <x:row r="379">
      <x:c r="A379" s="73"/>
      <x:c r="B379" s="73"/>
      <x:c r="C379" s="74"/>
      <x:c r="D379" s="73"/>
      <x:c r="E379" s="73"/>
      <x:c r="F379" s="75"/>
      <x:c r="G379" s="75"/>
      <x:c r="H379" s="76" t="str">
        <x:f>IF(A379="","",F379-G379)</x:f>
      </x:c>
      <x:c r="I379" s="77" t="str">
        <x:f>IF(A379="","",IF(E379="","기타/불명",IF(IFERROR(SEARCH("급여",E379),0)&gt;0,"인건비",IF(IFERROR(SEARCH("임차",E379),0)&gt;0,"임차·시설",IF(IFERROR(SEARCH("광고",E379),0)&gt;0,"광고·행사",IF(IFERROR(SEARCH("용역",E379),0)&gt;0,"용역·수수료","기타/불명"))))))</x:f>
      </x:c>
      <x:c r="J379" s="77" t="str">
        <x:f>IF(A379="","",IF(I379="기타/불명","확인 필요","결의서명으로 1차 확인"))</x:f>
      </x:c>
      <x:c r="K379" s="78"/>
    </x:row>
    <x:row r="380">
      <x:c r="A380" s="73"/>
      <x:c r="B380" s="73"/>
      <x:c r="C380" s="74"/>
      <x:c r="D380" s="73"/>
      <x:c r="E380" s="73"/>
      <x:c r="F380" s="75"/>
      <x:c r="G380" s="75"/>
      <x:c r="H380" s="76" t="str">
        <x:f>IF(A380="","",F380-G380)</x:f>
      </x:c>
      <x:c r="I380" s="77" t="str">
        <x:f>IF(A380="","",IF(E380="","기타/불명",IF(IFERROR(SEARCH("급여",E380),0)&gt;0,"인건비",IF(IFERROR(SEARCH("임차",E380),0)&gt;0,"임차·시설",IF(IFERROR(SEARCH("광고",E380),0)&gt;0,"광고·행사",IF(IFERROR(SEARCH("용역",E380),0)&gt;0,"용역·수수료","기타/불명"))))))</x:f>
      </x:c>
      <x:c r="J380" s="77" t="str">
        <x:f>IF(A380="","",IF(I380="기타/불명","확인 필요","결의서명으로 1차 확인"))</x:f>
      </x:c>
      <x:c r="K380" s="78"/>
    </x:row>
    <x:row r="381">
      <x:c r="A381" s="73"/>
      <x:c r="B381" s="73"/>
      <x:c r="C381" s="74"/>
      <x:c r="D381" s="73"/>
      <x:c r="E381" s="73"/>
      <x:c r="F381" s="75"/>
      <x:c r="G381" s="75"/>
      <x:c r="H381" s="76" t="str">
        <x:f>IF(A381="","",F381-G381)</x:f>
      </x:c>
      <x:c r="I381" s="77" t="str">
        <x:f>IF(A381="","",IF(E381="","기타/불명",IF(IFERROR(SEARCH("급여",E381),0)&gt;0,"인건비",IF(IFERROR(SEARCH("임차",E381),0)&gt;0,"임차·시설",IF(IFERROR(SEARCH("광고",E381),0)&gt;0,"광고·행사",IF(IFERROR(SEARCH("용역",E381),0)&gt;0,"용역·수수료","기타/불명"))))))</x:f>
      </x:c>
      <x:c r="J381" s="77" t="str">
        <x:f>IF(A381="","",IF(I381="기타/불명","확인 필요","결의서명으로 1차 확인"))</x:f>
      </x:c>
      <x:c r="K381" s="78"/>
    </x:row>
    <x:row r="382">
      <x:c r="A382" s="73"/>
      <x:c r="B382" s="73"/>
      <x:c r="C382" s="74"/>
      <x:c r="D382" s="73"/>
      <x:c r="E382" s="73"/>
      <x:c r="F382" s="75"/>
      <x:c r="G382" s="75"/>
      <x:c r="H382" s="76" t="str">
        <x:f>IF(A382="","",F382-G382)</x:f>
      </x:c>
      <x:c r="I382" s="77" t="str">
        <x:f>IF(A382="","",IF(E382="","기타/불명",IF(IFERROR(SEARCH("급여",E382),0)&gt;0,"인건비",IF(IFERROR(SEARCH("임차",E382),0)&gt;0,"임차·시설",IF(IFERROR(SEARCH("광고",E382),0)&gt;0,"광고·행사",IF(IFERROR(SEARCH("용역",E382),0)&gt;0,"용역·수수료","기타/불명"))))))</x:f>
      </x:c>
      <x:c r="J382" s="77" t="str">
        <x:f>IF(A382="","",IF(I382="기타/불명","확인 필요","결의서명으로 1차 확인"))</x:f>
      </x:c>
      <x:c r="K382" s="78"/>
    </x:row>
    <x:row r="383">
      <x:c r="A383" s="73"/>
      <x:c r="B383" s="73"/>
      <x:c r="C383" s="74"/>
      <x:c r="D383" s="73"/>
      <x:c r="E383" s="73"/>
      <x:c r="F383" s="75"/>
      <x:c r="G383" s="75"/>
      <x:c r="H383" s="76" t="str">
        <x:f>IF(A383="","",F383-G383)</x:f>
      </x:c>
      <x:c r="I383" s="77" t="str">
        <x:f>IF(A383="","",IF(E383="","기타/불명",IF(IFERROR(SEARCH("급여",E383),0)&gt;0,"인건비",IF(IFERROR(SEARCH("임차",E383),0)&gt;0,"임차·시설",IF(IFERROR(SEARCH("광고",E383),0)&gt;0,"광고·행사",IF(IFERROR(SEARCH("용역",E383),0)&gt;0,"용역·수수료","기타/불명"))))))</x:f>
      </x:c>
      <x:c r="J383" s="77" t="str">
        <x:f>IF(A383="","",IF(I383="기타/불명","확인 필요","결의서명으로 1차 확인"))</x:f>
      </x:c>
      <x:c r="K383" s="78"/>
    </x:row>
    <x:row r="384">
      <x:c r="A384" s="73"/>
      <x:c r="B384" s="73"/>
      <x:c r="C384" s="74"/>
      <x:c r="D384" s="73"/>
      <x:c r="E384" s="73"/>
      <x:c r="F384" s="75"/>
      <x:c r="G384" s="75"/>
      <x:c r="H384" s="76" t="str">
        <x:f>IF(A384="","",F384-G384)</x:f>
      </x:c>
      <x:c r="I384" s="77" t="str">
        <x:f>IF(A384="","",IF(E384="","기타/불명",IF(IFERROR(SEARCH("급여",E384),0)&gt;0,"인건비",IF(IFERROR(SEARCH("임차",E384),0)&gt;0,"임차·시설",IF(IFERROR(SEARCH("광고",E384),0)&gt;0,"광고·행사",IF(IFERROR(SEARCH("용역",E384),0)&gt;0,"용역·수수료","기타/불명"))))))</x:f>
      </x:c>
      <x:c r="J384" s="77" t="str">
        <x:f>IF(A384="","",IF(I384="기타/불명","확인 필요","결의서명으로 1차 확인"))</x:f>
      </x:c>
      <x:c r="K384" s="78"/>
    </x:row>
    <x:row r="385">
      <x:c r="A385" s="73"/>
      <x:c r="B385" s="73"/>
      <x:c r="C385" s="74"/>
      <x:c r="D385" s="73"/>
      <x:c r="E385" s="73"/>
      <x:c r="F385" s="75"/>
      <x:c r="G385" s="75"/>
      <x:c r="H385" s="76" t="str">
        <x:f>IF(A385="","",F385-G385)</x:f>
      </x:c>
      <x:c r="I385" s="77" t="str">
        <x:f>IF(A385="","",IF(E385="","기타/불명",IF(IFERROR(SEARCH("급여",E385),0)&gt;0,"인건비",IF(IFERROR(SEARCH("임차",E385),0)&gt;0,"임차·시설",IF(IFERROR(SEARCH("광고",E385),0)&gt;0,"광고·행사",IF(IFERROR(SEARCH("용역",E385),0)&gt;0,"용역·수수료","기타/불명"))))))</x:f>
      </x:c>
      <x:c r="J385" s="77" t="str">
        <x:f>IF(A385="","",IF(I385="기타/불명","확인 필요","결의서명으로 1차 확인"))</x:f>
      </x:c>
      <x:c r="K385" s="78"/>
    </x:row>
    <x:row r="386">
      <x:c r="A386" s="73"/>
      <x:c r="B386" s="73"/>
      <x:c r="C386" s="74"/>
      <x:c r="D386" s="73"/>
      <x:c r="E386" s="73"/>
      <x:c r="F386" s="75"/>
      <x:c r="G386" s="75"/>
      <x:c r="H386" s="76" t="str">
        <x:f>IF(A386="","",F386-G386)</x:f>
      </x:c>
      <x:c r="I386" s="77" t="str">
        <x:f>IF(A386="","",IF(E386="","기타/불명",IF(IFERROR(SEARCH("급여",E386),0)&gt;0,"인건비",IF(IFERROR(SEARCH("임차",E386),0)&gt;0,"임차·시설",IF(IFERROR(SEARCH("광고",E386),0)&gt;0,"광고·행사",IF(IFERROR(SEARCH("용역",E386),0)&gt;0,"용역·수수료","기타/불명"))))))</x:f>
      </x:c>
      <x:c r="J386" s="77" t="str">
        <x:f>IF(A386="","",IF(I386="기타/불명","확인 필요","결의서명으로 1차 확인"))</x:f>
      </x:c>
      <x:c r="K386" s="78"/>
    </x:row>
    <x:row r="387">
      <x:c r="A387" s="73"/>
      <x:c r="B387" s="73"/>
      <x:c r="C387" s="74"/>
      <x:c r="D387" s="73"/>
      <x:c r="E387" s="73"/>
      <x:c r="F387" s="75"/>
      <x:c r="G387" s="75"/>
      <x:c r="H387" s="76" t="str">
        <x:f>IF(A387="","",F387-G387)</x:f>
      </x:c>
      <x:c r="I387" s="77" t="str">
        <x:f>IF(A387="","",IF(E387="","기타/불명",IF(IFERROR(SEARCH("급여",E387),0)&gt;0,"인건비",IF(IFERROR(SEARCH("임차",E387),0)&gt;0,"임차·시설",IF(IFERROR(SEARCH("광고",E387),0)&gt;0,"광고·행사",IF(IFERROR(SEARCH("용역",E387),0)&gt;0,"용역·수수료","기타/불명"))))))</x:f>
      </x:c>
      <x:c r="J387" s="77" t="str">
        <x:f>IF(A387="","",IF(I387="기타/불명","확인 필요","결의서명으로 1차 확인"))</x:f>
      </x:c>
      <x:c r="K387" s="78"/>
    </x:row>
    <x:row r="388">
      <x:c r="A388" s="73"/>
      <x:c r="B388" s="73"/>
      <x:c r="C388" s="74"/>
      <x:c r="D388" s="73"/>
      <x:c r="E388" s="73"/>
      <x:c r="F388" s="75"/>
      <x:c r="G388" s="75"/>
      <x:c r="H388" s="76" t="str">
        <x:f>IF(A388="","",F388-G388)</x:f>
      </x:c>
      <x:c r="I388" s="77" t="str">
        <x:f>IF(A388="","",IF(E388="","기타/불명",IF(IFERROR(SEARCH("급여",E388),0)&gt;0,"인건비",IF(IFERROR(SEARCH("임차",E388),0)&gt;0,"임차·시설",IF(IFERROR(SEARCH("광고",E388),0)&gt;0,"광고·행사",IF(IFERROR(SEARCH("용역",E388),0)&gt;0,"용역·수수료","기타/불명"))))))</x:f>
      </x:c>
      <x:c r="J388" s="77" t="str">
        <x:f>IF(A388="","",IF(I388="기타/불명","확인 필요","결의서명으로 1차 확인"))</x:f>
      </x:c>
      <x:c r="K388" s="78"/>
    </x:row>
    <x:row r="389">
      <x:c r="A389" s="73"/>
      <x:c r="B389" s="73"/>
      <x:c r="C389" s="74"/>
      <x:c r="D389" s="73"/>
      <x:c r="E389" s="73"/>
      <x:c r="F389" s="75"/>
      <x:c r="G389" s="75"/>
      <x:c r="H389" s="76" t="str">
        <x:f>IF(A389="","",F389-G389)</x:f>
      </x:c>
      <x:c r="I389" s="77" t="str">
        <x:f>IF(A389="","",IF(E389="","기타/불명",IF(IFERROR(SEARCH("급여",E389),0)&gt;0,"인건비",IF(IFERROR(SEARCH("임차",E389),0)&gt;0,"임차·시설",IF(IFERROR(SEARCH("광고",E389),0)&gt;0,"광고·행사",IF(IFERROR(SEARCH("용역",E389),0)&gt;0,"용역·수수료","기타/불명"))))))</x:f>
      </x:c>
      <x:c r="J389" s="77" t="str">
        <x:f>IF(A389="","",IF(I389="기타/불명","확인 필요","결의서명으로 1차 확인"))</x:f>
      </x:c>
      <x:c r="K389" s="78"/>
    </x:row>
    <x:row r="390">
      <x:c r="A390" s="73"/>
      <x:c r="B390" s="73"/>
      <x:c r="C390" s="74"/>
      <x:c r="D390" s="73"/>
      <x:c r="E390" s="73"/>
      <x:c r="F390" s="75"/>
      <x:c r="G390" s="75"/>
      <x:c r="H390" s="76" t="str">
        <x:f>IF(A390="","",F390-G390)</x:f>
      </x:c>
      <x:c r="I390" s="77" t="str">
        <x:f>IF(A390="","",IF(E390="","기타/불명",IF(IFERROR(SEARCH("급여",E390),0)&gt;0,"인건비",IF(IFERROR(SEARCH("임차",E390),0)&gt;0,"임차·시설",IF(IFERROR(SEARCH("광고",E390),0)&gt;0,"광고·행사",IF(IFERROR(SEARCH("용역",E390),0)&gt;0,"용역·수수료","기타/불명"))))))</x:f>
      </x:c>
      <x:c r="J390" s="77" t="str">
        <x:f>IF(A390="","",IF(I390="기타/불명","확인 필요","결의서명으로 1차 확인"))</x:f>
      </x:c>
      <x:c r="K390" s="78"/>
    </x:row>
    <x:row r="391">
      <x:c r="A391" s="73"/>
      <x:c r="B391" s="73"/>
      <x:c r="C391" s="74"/>
      <x:c r="D391" s="73"/>
      <x:c r="E391" s="73"/>
      <x:c r="F391" s="75"/>
      <x:c r="G391" s="75"/>
      <x:c r="H391" s="76" t="str">
        <x:f>IF(A391="","",F391-G391)</x:f>
      </x:c>
      <x:c r="I391" s="77" t="str">
        <x:f>IF(A391="","",IF(E391="","기타/불명",IF(IFERROR(SEARCH("급여",E391),0)&gt;0,"인건비",IF(IFERROR(SEARCH("임차",E391),0)&gt;0,"임차·시설",IF(IFERROR(SEARCH("광고",E391),0)&gt;0,"광고·행사",IF(IFERROR(SEARCH("용역",E391),0)&gt;0,"용역·수수료","기타/불명"))))))</x:f>
      </x:c>
      <x:c r="J391" s="77" t="str">
        <x:f>IF(A391="","",IF(I391="기타/불명","확인 필요","결의서명으로 1차 확인"))</x:f>
      </x:c>
      <x:c r="K391" s="78"/>
    </x:row>
    <x:row r="392">
      <x:c r="A392" s="73"/>
      <x:c r="B392" s="73"/>
      <x:c r="C392" s="74"/>
      <x:c r="D392" s="73"/>
      <x:c r="E392" s="73"/>
      <x:c r="F392" s="75"/>
      <x:c r="G392" s="75"/>
      <x:c r="H392" s="76" t="str">
        <x:f>IF(A392="","",F392-G392)</x:f>
      </x:c>
      <x:c r="I392" s="77" t="str">
        <x:f>IF(A392="","",IF(E392="","기타/불명",IF(IFERROR(SEARCH("급여",E392),0)&gt;0,"인건비",IF(IFERROR(SEARCH("임차",E392),0)&gt;0,"임차·시설",IF(IFERROR(SEARCH("광고",E392),0)&gt;0,"광고·행사",IF(IFERROR(SEARCH("용역",E392),0)&gt;0,"용역·수수료","기타/불명"))))))</x:f>
      </x:c>
      <x:c r="J392" s="77" t="str">
        <x:f>IF(A392="","",IF(I392="기타/불명","확인 필요","결의서명으로 1차 확인"))</x:f>
      </x:c>
      <x:c r="K392" s="78"/>
    </x:row>
    <x:row r="393">
      <x:c r="A393" s="73"/>
      <x:c r="B393" s="73"/>
      <x:c r="C393" s="74"/>
      <x:c r="D393" s="73"/>
      <x:c r="E393" s="73"/>
      <x:c r="F393" s="75"/>
      <x:c r="G393" s="75"/>
      <x:c r="H393" s="76" t="str">
        <x:f>IF(A393="","",F393-G393)</x:f>
      </x:c>
      <x:c r="I393" s="77" t="str">
        <x:f>IF(A393="","",IF(E393="","기타/불명",IF(IFERROR(SEARCH("급여",E393),0)&gt;0,"인건비",IF(IFERROR(SEARCH("임차",E393),0)&gt;0,"임차·시설",IF(IFERROR(SEARCH("광고",E393),0)&gt;0,"광고·행사",IF(IFERROR(SEARCH("용역",E393),0)&gt;0,"용역·수수료","기타/불명"))))))</x:f>
      </x:c>
      <x:c r="J393" s="77" t="str">
        <x:f>IF(A393="","",IF(I393="기타/불명","확인 필요","결의서명으로 1차 확인"))</x:f>
      </x:c>
      <x:c r="K393" s="78"/>
    </x:row>
    <x:row r="394">
      <x:c r="A394" s="73"/>
      <x:c r="B394" s="73"/>
      <x:c r="C394" s="74"/>
      <x:c r="D394" s="73"/>
      <x:c r="E394" s="73"/>
      <x:c r="F394" s="75"/>
      <x:c r="G394" s="75"/>
      <x:c r="H394" s="76" t="str">
        <x:f>IF(A394="","",F394-G394)</x:f>
      </x:c>
      <x:c r="I394" s="77" t="str">
        <x:f>IF(A394="","",IF(E394="","기타/불명",IF(IFERROR(SEARCH("급여",E394),0)&gt;0,"인건비",IF(IFERROR(SEARCH("임차",E394),0)&gt;0,"임차·시설",IF(IFERROR(SEARCH("광고",E394),0)&gt;0,"광고·행사",IF(IFERROR(SEARCH("용역",E394),0)&gt;0,"용역·수수료","기타/불명"))))))</x:f>
      </x:c>
      <x:c r="J394" s="77" t="str">
        <x:f>IF(A394="","",IF(I394="기타/불명","확인 필요","결의서명으로 1차 확인"))</x:f>
      </x:c>
      <x:c r="K394" s="78"/>
    </x:row>
    <x:row r="395">
      <x:c r="A395" s="73"/>
      <x:c r="B395" s="73"/>
      <x:c r="C395" s="74"/>
      <x:c r="D395" s="73"/>
      <x:c r="E395" s="73"/>
      <x:c r="F395" s="75"/>
      <x:c r="G395" s="75"/>
      <x:c r="H395" s="76" t="str">
        <x:f>IF(A395="","",F395-G395)</x:f>
      </x:c>
      <x:c r="I395" s="77" t="str">
        <x:f>IF(A395="","",IF(E395="","기타/불명",IF(IFERROR(SEARCH("급여",E395),0)&gt;0,"인건비",IF(IFERROR(SEARCH("임차",E395),0)&gt;0,"임차·시설",IF(IFERROR(SEARCH("광고",E395),0)&gt;0,"광고·행사",IF(IFERROR(SEARCH("용역",E395),0)&gt;0,"용역·수수료","기타/불명"))))))</x:f>
      </x:c>
      <x:c r="J395" s="77" t="str">
        <x:f>IF(A395="","",IF(I395="기타/불명","확인 필요","결의서명으로 1차 확인"))</x:f>
      </x:c>
      <x:c r="K395" s="78"/>
    </x:row>
    <x:row r="396">
      <x:c r="A396" s="73"/>
      <x:c r="B396" s="73"/>
      <x:c r="C396" s="74"/>
      <x:c r="D396" s="73"/>
      <x:c r="E396" s="73"/>
      <x:c r="F396" s="75"/>
      <x:c r="G396" s="75"/>
      <x:c r="H396" s="76" t="str">
        <x:f>IF(A396="","",F396-G396)</x:f>
      </x:c>
      <x:c r="I396" s="77" t="str">
        <x:f>IF(A396="","",IF(E396="","기타/불명",IF(IFERROR(SEARCH("급여",E396),0)&gt;0,"인건비",IF(IFERROR(SEARCH("임차",E396),0)&gt;0,"임차·시설",IF(IFERROR(SEARCH("광고",E396),0)&gt;0,"광고·행사",IF(IFERROR(SEARCH("용역",E396),0)&gt;0,"용역·수수료","기타/불명"))))))</x:f>
      </x:c>
      <x:c r="J396" s="77" t="str">
        <x:f>IF(A396="","",IF(I396="기타/불명","확인 필요","결의서명으로 1차 확인"))</x:f>
      </x:c>
      <x:c r="K396" s="78"/>
    </x:row>
    <x:row r="397">
      <x:c r="A397" s="73"/>
      <x:c r="B397" s="73"/>
      <x:c r="C397" s="74"/>
      <x:c r="D397" s="73"/>
      <x:c r="E397" s="73"/>
      <x:c r="F397" s="75"/>
      <x:c r="G397" s="75"/>
      <x:c r="H397" s="76" t="str">
        <x:f>IF(A397="","",F397-G397)</x:f>
      </x:c>
      <x:c r="I397" s="77" t="str">
        <x:f>IF(A397="","",IF(E397="","기타/불명",IF(IFERROR(SEARCH("급여",E397),0)&gt;0,"인건비",IF(IFERROR(SEARCH("임차",E397),0)&gt;0,"임차·시설",IF(IFERROR(SEARCH("광고",E397),0)&gt;0,"광고·행사",IF(IFERROR(SEARCH("용역",E397),0)&gt;0,"용역·수수료","기타/불명"))))))</x:f>
      </x:c>
      <x:c r="J397" s="77" t="str">
        <x:f>IF(A397="","",IF(I397="기타/불명","확인 필요","결의서명으로 1차 확인"))</x:f>
      </x:c>
      <x:c r="K397" s="78"/>
    </x:row>
    <x:row r="398">
      <x:c r="A398" s="73"/>
      <x:c r="B398" s="73"/>
      <x:c r="C398" s="74"/>
      <x:c r="D398" s="73"/>
      <x:c r="E398" s="73"/>
      <x:c r="F398" s="75"/>
      <x:c r="G398" s="75"/>
      <x:c r="H398" s="76" t="str">
        <x:f>IF(A398="","",F398-G398)</x:f>
      </x:c>
      <x:c r="I398" s="77" t="str">
        <x:f>IF(A398="","",IF(E398="","기타/불명",IF(IFERROR(SEARCH("급여",E398),0)&gt;0,"인건비",IF(IFERROR(SEARCH("임차",E398),0)&gt;0,"임차·시설",IF(IFERROR(SEARCH("광고",E398),0)&gt;0,"광고·행사",IF(IFERROR(SEARCH("용역",E398),0)&gt;0,"용역·수수료","기타/불명"))))))</x:f>
      </x:c>
      <x:c r="J398" s="77" t="str">
        <x:f>IF(A398="","",IF(I398="기타/불명","확인 필요","결의서명으로 1차 확인"))</x:f>
      </x:c>
      <x:c r="K398" s="78"/>
    </x:row>
    <x:row r="399">
      <x:c r="A399" s="73"/>
      <x:c r="B399" s="73"/>
      <x:c r="C399" s="74"/>
      <x:c r="D399" s="73"/>
      <x:c r="E399" s="73"/>
      <x:c r="F399" s="75"/>
      <x:c r="G399" s="75"/>
      <x:c r="H399" s="76" t="str">
        <x:f>IF(A399="","",F399-G399)</x:f>
      </x:c>
      <x:c r="I399" s="77" t="str">
        <x:f>IF(A399="","",IF(E399="","기타/불명",IF(IFERROR(SEARCH("급여",E399),0)&gt;0,"인건비",IF(IFERROR(SEARCH("임차",E399),0)&gt;0,"임차·시설",IF(IFERROR(SEARCH("광고",E399),0)&gt;0,"광고·행사",IF(IFERROR(SEARCH("용역",E399),0)&gt;0,"용역·수수료","기타/불명"))))))</x:f>
      </x:c>
      <x:c r="J399" s="77" t="str">
        <x:f>IF(A399="","",IF(I399="기타/불명","확인 필요","결의서명으로 1차 확인"))</x:f>
      </x:c>
      <x:c r="K399" s="78"/>
    </x:row>
    <x:row r="400">
      <x:c r="A400" s="73"/>
      <x:c r="B400" s="73"/>
      <x:c r="C400" s="74"/>
      <x:c r="D400" s="73"/>
      <x:c r="E400" s="73"/>
      <x:c r="F400" s="75"/>
      <x:c r="G400" s="75"/>
      <x:c r="H400" s="76" t="str">
        <x:f>IF(A400="","",F400-G400)</x:f>
      </x:c>
      <x:c r="I400" s="77" t="str">
        <x:f>IF(A400="","",IF(E400="","기타/불명",IF(IFERROR(SEARCH("급여",E400),0)&gt;0,"인건비",IF(IFERROR(SEARCH("임차",E400),0)&gt;0,"임차·시설",IF(IFERROR(SEARCH("광고",E400),0)&gt;0,"광고·행사",IF(IFERROR(SEARCH("용역",E400),0)&gt;0,"용역·수수료","기타/불명"))))))</x:f>
      </x:c>
      <x:c r="J400" s="77" t="str">
        <x:f>IF(A400="","",IF(I400="기타/불명","확인 필요","결의서명으로 1차 확인"))</x:f>
      </x:c>
      <x:c r="K400" s="78"/>
    </x:row>
    <x:row r="401">
      <x:c r="A401" s="73"/>
      <x:c r="B401" s="73"/>
      <x:c r="C401" s="74"/>
      <x:c r="D401" s="73"/>
      <x:c r="E401" s="73"/>
      <x:c r="F401" s="75"/>
      <x:c r="G401" s="75"/>
      <x:c r="H401" s="76" t="str">
        <x:f>IF(A401="","",F401-G401)</x:f>
      </x:c>
      <x:c r="I401" s="77" t="str">
        <x:f>IF(A401="","",IF(E401="","기타/불명",IF(IFERROR(SEARCH("급여",E401),0)&gt;0,"인건비",IF(IFERROR(SEARCH("임차",E401),0)&gt;0,"임차·시설",IF(IFERROR(SEARCH("광고",E401),0)&gt;0,"광고·행사",IF(IFERROR(SEARCH("용역",E401),0)&gt;0,"용역·수수료","기타/불명"))))))</x:f>
      </x:c>
      <x:c r="J401" s="77" t="str">
        <x:f>IF(A401="","",IF(I401="기타/불명","확인 필요","결의서명으로 1차 확인"))</x:f>
      </x:c>
      <x:c r="K401" s="78"/>
    </x:row>
    <x:row r="402">
      <x:c r="A402" s="73"/>
      <x:c r="B402" s="73"/>
      <x:c r="C402" s="74"/>
      <x:c r="D402" s="73"/>
      <x:c r="E402" s="73"/>
      <x:c r="F402" s="75"/>
      <x:c r="G402" s="75"/>
      <x:c r="H402" s="76" t="str">
        <x:f>IF(A402="","",F402-G402)</x:f>
      </x:c>
      <x:c r="I402" s="77" t="str">
        <x:f>IF(A402="","",IF(E402="","기타/불명",IF(IFERROR(SEARCH("급여",E402),0)&gt;0,"인건비",IF(IFERROR(SEARCH("임차",E402),0)&gt;0,"임차·시설",IF(IFERROR(SEARCH("광고",E402),0)&gt;0,"광고·행사",IF(IFERROR(SEARCH("용역",E402),0)&gt;0,"용역·수수료","기타/불명"))))))</x:f>
      </x:c>
      <x:c r="J402" s="77" t="str">
        <x:f>IF(A402="","",IF(I402="기타/불명","확인 필요","결의서명으로 1차 확인"))</x:f>
      </x:c>
      <x:c r="K402" s="78"/>
    </x:row>
    <x:row r="403">
      <x:c r="A403" s="73"/>
      <x:c r="B403" s="73"/>
      <x:c r="C403" s="74"/>
      <x:c r="D403" s="73"/>
      <x:c r="E403" s="73"/>
      <x:c r="F403" s="75"/>
      <x:c r="G403" s="75"/>
      <x:c r="H403" s="76" t="str">
        <x:f>IF(A403="","",F403-G403)</x:f>
      </x:c>
      <x:c r="I403" s="77" t="str">
        <x:f>IF(A403="","",IF(E403="","기타/불명",IF(IFERROR(SEARCH("급여",E403),0)&gt;0,"인건비",IF(IFERROR(SEARCH("임차",E403),0)&gt;0,"임차·시설",IF(IFERROR(SEARCH("광고",E403),0)&gt;0,"광고·행사",IF(IFERROR(SEARCH("용역",E403),0)&gt;0,"용역·수수료","기타/불명"))))))</x:f>
      </x:c>
      <x:c r="J403" s="77" t="str">
        <x:f>IF(A403="","",IF(I403="기타/불명","확인 필요","결의서명으로 1차 확인"))</x:f>
      </x:c>
      <x:c r="K403" s="78"/>
    </x:row>
    <x:row r="404">
      <x:c r="A404" s="73"/>
      <x:c r="B404" s="73"/>
      <x:c r="C404" s="74"/>
      <x:c r="D404" s="73"/>
      <x:c r="E404" s="73"/>
      <x:c r="F404" s="75"/>
      <x:c r="G404" s="75"/>
      <x:c r="H404" s="76" t="str">
        <x:f>IF(A404="","",F404-G404)</x:f>
      </x:c>
      <x:c r="I404" s="77" t="str">
        <x:f>IF(A404="","",IF(E404="","기타/불명",IF(IFERROR(SEARCH("급여",E404),0)&gt;0,"인건비",IF(IFERROR(SEARCH("임차",E404),0)&gt;0,"임차·시설",IF(IFERROR(SEARCH("광고",E404),0)&gt;0,"광고·행사",IF(IFERROR(SEARCH("용역",E404),0)&gt;0,"용역·수수료","기타/불명"))))))</x:f>
      </x:c>
      <x:c r="J404" s="77" t="str">
        <x:f>IF(A404="","",IF(I404="기타/불명","확인 필요","결의서명으로 1차 확인"))</x:f>
      </x:c>
      <x:c r="K404" s="78"/>
    </x:row>
    <x:row r="405">
      <x:c r="A405" s="73"/>
      <x:c r="B405" s="73"/>
      <x:c r="C405" s="74"/>
      <x:c r="D405" s="73"/>
      <x:c r="E405" s="73"/>
      <x:c r="F405" s="75"/>
      <x:c r="G405" s="75"/>
      <x:c r="H405" s="76" t="str">
        <x:f>IF(A405="","",F405-G405)</x:f>
      </x:c>
      <x:c r="I405" s="77" t="str">
        <x:f>IF(A405="","",IF(E405="","기타/불명",IF(IFERROR(SEARCH("급여",E405),0)&gt;0,"인건비",IF(IFERROR(SEARCH("임차",E405),0)&gt;0,"임차·시설",IF(IFERROR(SEARCH("광고",E405),0)&gt;0,"광고·행사",IF(IFERROR(SEARCH("용역",E405),0)&gt;0,"용역·수수료","기타/불명"))))))</x:f>
      </x:c>
      <x:c r="J405" s="77" t="str">
        <x:f>IF(A405="","",IF(I405="기타/불명","확인 필요","결의서명으로 1차 확인"))</x:f>
      </x:c>
      <x:c r="K405" s="78"/>
    </x:row>
    <x:row r="406">
      <x:c r="A406" s="73"/>
      <x:c r="B406" s="73"/>
      <x:c r="C406" s="74"/>
      <x:c r="D406" s="73"/>
      <x:c r="E406" s="73"/>
      <x:c r="F406" s="75"/>
      <x:c r="G406" s="75"/>
      <x:c r="H406" s="76" t="str">
        <x:f>IF(A406="","",F406-G406)</x:f>
      </x:c>
      <x:c r="I406" s="77" t="str">
        <x:f>IF(A406="","",IF(E406="","기타/불명",IF(IFERROR(SEARCH("급여",E406),0)&gt;0,"인건비",IF(IFERROR(SEARCH("임차",E406),0)&gt;0,"임차·시설",IF(IFERROR(SEARCH("광고",E406),0)&gt;0,"광고·행사",IF(IFERROR(SEARCH("용역",E406),0)&gt;0,"용역·수수료","기타/불명"))))))</x:f>
      </x:c>
      <x:c r="J406" s="77" t="str">
        <x:f>IF(A406="","",IF(I406="기타/불명","확인 필요","결의서명으로 1차 확인"))</x:f>
      </x:c>
      <x:c r="K406" s="78"/>
    </x:row>
    <x:row r="407">
      <x:c r="A407" s="73"/>
      <x:c r="B407" s="73"/>
      <x:c r="C407" s="74"/>
      <x:c r="D407" s="73"/>
      <x:c r="E407" s="73"/>
      <x:c r="F407" s="75"/>
      <x:c r="G407" s="75"/>
      <x:c r="H407" s="76" t="str">
        <x:f>IF(A407="","",F407-G407)</x:f>
      </x:c>
      <x:c r="I407" s="77" t="str">
        <x:f>IF(A407="","",IF(E407="","기타/불명",IF(IFERROR(SEARCH("급여",E407),0)&gt;0,"인건비",IF(IFERROR(SEARCH("임차",E407),0)&gt;0,"임차·시설",IF(IFERROR(SEARCH("광고",E407),0)&gt;0,"광고·행사",IF(IFERROR(SEARCH("용역",E407),0)&gt;0,"용역·수수료","기타/불명"))))))</x:f>
      </x:c>
      <x:c r="J407" s="77" t="str">
        <x:f>IF(A407="","",IF(I407="기타/불명","확인 필요","결의서명으로 1차 확인"))</x:f>
      </x:c>
      <x:c r="K407" s="78"/>
    </x:row>
    <x:row r="408">
      <x:c r="A408" s="73"/>
      <x:c r="B408" s="73"/>
      <x:c r="C408" s="74"/>
      <x:c r="D408" s="73"/>
      <x:c r="E408" s="73"/>
      <x:c r="F408" s="75"/>
      <x:c r="G408" s="75"/>
      <x:c r="H408" s="76" t="str">
        <x:f>IF(A408="","",F408-G408)</x:f>
      </x:c>
      <x:c r="I408" s="77" t="str">
        <x:f>IF(A408="","",IF(E408="","기타/불명",IF(IFERROR(SEARCH("급여",E408),0)&gt;0,"인건비",IF(IFERROR(SEARCH("임차",E408),0)&gt;0,"임차·시설",IF(IFERROR(SEARCH("광고",E408),0)&gt;0,"광고·행사",IF(IFERROR(SEARCH("용역",E408),0)&gt;0,"용역·수수료","기타/불명"))))))</x:f>
      </x:c>
      <x:c r="J408" s="77" t="str">
        <x:f>IF(A408="","",IF(I408="기타/불명","확인 필요","결의서명으로 1차 확인"))</x:f>
      </x:c>
      <x:c r="K408" s="78"/>
    </x:row>
    <x:row r="409">
      <x:c r="A409" s="73"/>
      <x:c r="B409" s="73"/>
      <x:c r="C409" s="74"/>
      <x:c r="D409" s="73"/>
      <x:c r="E409" s="73"/>
      <x:c r="F409" s="75"/>
      <x:c r="G409" s="75"/>
      <x:c r="H409" s="76" t="str">
        <x:f>IF(A409="","",F409-G409)</x:f>
      </x:c>
      <x:c r="I409" s="77" t="str">
        <x:f>IF(A409="","",IF(E409="","기타/불명",IF(IFERROR(SEARCH("급여",E409),0)&gt;0,"인건비",IF(IFERROR(SEARCH("임차",E409),0)&gt;0,"임차·시설",IF(IFERROR(SEARCH("광고",E409),0)&gt;0,"광고·행사",IF(IFERROR(SEARCH("용역",E409),0)&gt;0,"용역·수수료","기타/불명"))))))</x:f>
      </x:c>
      <x:c r="J409" s="77" t="str">
        <x:f>IF(A409="","",IF(I409="기타/불명","확인 필요","결의서명으로 1차 확인"))</x:f>
      </x:c>
      <x:c r="K409" s="78"/>
    </x:row>
    <x:row r="410">
      <x:c r="A410" s="73"/>
      <x:c r="B410" s="73"/>
      <x:c r="C410" s="74"/>
      <x:c r="D410" s="73"/>
      <x:c r="E410" s="73"/>
      <x:c r="F410" s="75"/>
      <x:c r="G410" s="75"/>
      <x:c r="H410" s="76" t="str">
        <x:f>IF(A410="","",F410-G410)</x:f>
      </x:c>
      <x:c r="I410" s="77" t="str">
        <x:f>IF(A410="","",IF(E410="","기타/불명",IF(IFERROR(SEARCH("급여",E410),0)&gt;0,"인건비",IF(IFERROR(SEARCH("임차",E410),0)&gt;0,"임차·시설",IF(IFERROR(SEARCH("광고",E410),0)&gt;0,"광고·행사",IF(IFERROR(SEARCH("용역",E410),0)&gt;0,"용역·수수료","기타/불명"))))))</x:f>
      </x:c>
      <x:c r="J410" s="77" t="str">
        <x:f>IF(A410="","",IF(I410="기타/불명","확인 필요","결의서명으로 1차 확인"))</x:f>
      </x:c>
      <x:c r="K410" s="78"/>
    </x:row>
    <x:row r="411">
      <x:c r="A411" s="73"/>
      <x:c r="B411" s="73"/>
      <x:c r="C411" s="74"/>
      <x:c r="D411" s="73"/>
      <x:c r="E411" s="73"/>
      <x:c r="F411" s="75"/>
      <x:c r="G411" s="75"/>
      <x:c r="H411" s="76" t="str">
        <x:f>IF(A411="","",F411-G411)</x:f>
      </x:c>
      <x:c r="I411" s="77" t="str">
        <x:f>IF(A411="","",IF(E411="","기타/불명",IF(IFERROR(SEARCH("급여",E411),0)&gt;0,"인건비",IF(IFERROR(SEARCH("임차",E411),0)&gt;0,"임차·시설",IF(IFERROR(SEARCH("광고",E411),0)&gt;0,"광고·행사",IF(IFERROR(SEARCH("용역",E411),0)&gt;0,"용역·수수료","기타/불명"))))))</x:f>
      </x:c>
      <x:c r="J411" s="77" t="str">
        <x:f>IF(A411="","",IF(I411="기타/불명","확인 필요","결의서명으로 1차 확인"))</x:f>
      </x:c>
      <x:c r="K411" s="78"/>
    </x:row>
    <x:row r="412">
      <x:c r="A412" s="73"/>
      <x:c r="B412" s="73"/>
      <x:c r="C412" s="74"/>
      <x:c r="D412" s="73"/>
      <x:c r="E412" s="73"/>
      <x:c r="F412" s="75"/>
      <x:c r="G412" s="75"/>
      <x:c r="H412" s="76" t="str">
        <x:f>IF(A412="","",F412-G412)</x:f>
      </x:c>
      <x:c r="I412" s="77" t="str">
        <x:f>IF(A412="","",IF(E412="","기타/불명",IF(IFERROR(SEARCH("급여",E412),0)&gt;0,"인건비",IF(IFERROR(SEARCH("임차",E412),0)&gt;0,"임차·시설",IF(IFERROR(SEARCH("광고",E412),0)&gt;0,"광고·행사",IF(IFERROR(SEARCH("용역",E412),0)&gt;0,"용역·수수료","기타/불명"))))))</x:f>
      </x:c>
      <x:c r="J412" s="77" t="str">
        <x:f>IF(A412="","",IF(I412="기타/불명","확인 필요","결의서명으로 1차 확인"))</x:f>
      </x:c>
      <x:c r="K412" s="78"/>
    </x:row>
    <x:row r="413">
      <x:c r="A413" s="73"/>
      <x:c r="B413" s="73"/>
      <x:c r="C413" s="74"/>
      <x:c r="D413" s="73"/>
      <x:c r="E413" s="73"/>
      <x:c r="F413" s="75"/>
      <x:c r="G413" s="75"/>
      <x:c r="H413" s="76" t="str">
        <x:f>IF(A413="","",F413-G413)</x:f>
      </x:c>
      <x:c r="I413" s="77" t="str">
        <x:f>IF(A413="","",IF(E413="","기타/불명",IF(IFERROR(SEARCH("급여",E413),0)&gt;0,"인건비",IF(IFERROR(SEARCH("임차",E413),0)&gt;0,"임차·시설",IF(IFERROR(SEARCH("광고",E413),0)&gt;0,"광고·행사",IF(IFERROR(SEARCH("용역",E413),0)&gt;0,"용역·수수료","기타/불명"))))))</x:f>
      </x:c>
      <x:c r="J413" s="77" t="str">
        <x:f>IF(A413="","",IF(I413="기타/불명","확인 필요","결의서명으로 1차 확인"))</x:f>
      </x:c>
      <x:c r="K413" s="78"/>
    </x:row>
    <x:row r="414">
      <x:c r="A414" s="73"/>
      <x:c r="B414" s="73"/>
      <x:c r="C414" s="74"/>
      <x:c r="D414" s="73"/>
      <x:c r="E414" s="73"/>
      <x:c r="F414" s="75"/>
      <x:c r="G414" s="75"/>
      <x:c r="H414" s="76" t="str">
        <x:f>IF(A414="","",F414-G414)</x:f>
      </x:c>
      <x:c r="I414" s="77" t="str">
        <x:f>IF(A414="","",IF(E414="","기타/불명",IF(IFERROR(SEARCH("급여",E414),0)&gt;0,"인건비",IF(IFERROR(SEARCH("임차",E414),0)&gt;0,"임차·시설",IF(IFERROR(SEARCH("광고",E414),0)&gt;0,"광고·행사",IF(IFERROR(SEARCH("용역",E414),0)&gt;0,"용역·수수료","기타/불명"))))))</x:f>
      </x:c>
      <x:c r="J414" s="77" t="str">
        <x:f>IF(A414="","",IF(I414="기타/불명","확인 필요","결의서명으로 1차 확인"))</x:f>
      </x:c>
      <x:c r="K414" s="78"/>
    </x:row>
    <x:row r="415">
      <x:c r="A415" s="73"/>
      <x:c r="B415" s="73"/>
      <x:c r="C415" s="74"/>
      <x:c r="D415" s="73"/>
      <x:c r="E415" s="73"/>
      <x:c r="F415" s="75"/>
      <x:c r="G415" s="75"/>
      <x:c r="H415" s="76" t="str">
        <x:f>IF(A415="","",F415-G415)</x:f>
      </x:c>
      <x:c r="I415" s="77" t="str">
        <x:f>IF(A415="","",IF(E415="","기타/불명",IF(IFERROR(SEARCH("급여",E415),0)&gt;0,"인건비",IF(IFERROR(SEARCH("임차",E415),0)&gt;0,"임차·시설",IF(IFERROR(SEARCH("광고",E415),0)&gt;0,"광고·행사",IF(IFERROR(SEARCH("용역",E415),0)&gt;0,"용역·수수료","기타/불명"))))))</x:f>
      </x:c>
      <x:c r="J415" s="77" t="str">
        <x:f>IF(A415="","",IF(I415="기타/불명","확인 필요","결의서명으로 1차 확인"))</x:f>
      </x:c>
      <x:c r="K415" s="78"/>
    </x:row>
    <x:row r="416">
      <x:c r="A416" s="73"/>
      <x:c r="B416" s="73"/>
      <x:c r="C416" s="74"/>
      <x:c r="D416" s="73"/>
      <x:c r="E416" s="73"/>
      <x:c r="F416" s="75"/>
      <x:c r="G416" s="75"/>
      <x:c r="H416" s="76" t="str">
        <x:f>IF(A416="","",F416-G416)</x:f>
      </x:c>
      <x:c r="I416" s="77" t="str">
        <x:f>IF(A416="","",IF(E416="","기타/불명",IF(IFERROR(SEARCH("급여",E416),0)&gt;0,"인건비",IF(IFERROR(SEARCH("임차",E416),0)&gt;0,"임차·시설",IF(IFERROR(SEARCH("광고",E416),0)&gt;0,"광고·행사",IF(IFERROR(SEARCH("용역",E416),0)&gt;0,"용역·수수료","기타/불명"))))))</x:f>
      </x:c>
      <x:c r="J416" s="77" t="str">
        <x:f>IF(A416="","",IF(I416="기타/불명","확인 필요","결의서명으로 1차 확인"))</x:f>
      </x:c>
      <x:c r="K416" s="78"/>
    </x:row>
    <x:row r="417">
      <x:c r="A417" s="73"/>
      <x:c r="B417" s="73"/>
      <x:c r="C417" s="74"/>
      <x:c r="D417" s="73"/>
      <x:c r="E417" s="73"/>
      <x:c r="F417" s="75"/>
      <x:c r="G417" s="75"/>
      <x:c r="H417" s="76" t="str">
        <x:f>IF(A417="","",F417-G417)</x:f>
      </x:c>
      <x:c r="I417" s="77" t="str">
        <x:f>IF(A417="","",IF(E417="","기타/불명",IF(IFERROR(SEARCH("급여",E417),0)&gt;0,"인건비",IF(IFERROR(SEARCH("임차",E417),0)&gt;0,"임차·시설",IF(IFERROR(SEARCH("광고",E417),0)&gt;0,"광고·행사",IF(IFERROR(SEARCH("용역",E417),0)&gt;0,"용역·수수료","기타/불명"))))))</x:f>
      </x:c>
      <x:c r="J417" s="77" t="str">
        <x:f>IF(A417="","",IF(I417="기타/불명","확인 필요","결의서명으로 1차 확인"))</x:f>
      </x:c>
      <x:c r="K417" s="78"/>
    </x:row>
    <x:row r="418">
      <x:c r="A418" s="73"/>
      <x:c r="B418" s="73"/>
      <x:c r="C418" s="74"/>
      <x:c r="D418" s="73"/>
      <x:c r="E418" s="73"/>
      <x:c r="F418" s="75"/>
      <x:c r="G418" s="75"/>
      <x:c r="H418" s="76" t="str">
        <x:f>IF(A418="","",F418-G418)</x:f>
      </x:c>
      <x:c r="I418" s="77" t="str">
        <x:f>IF(A418="","",IF(E418="","기타/불명",IF(IFERROR(SEARCH("급여",E418),0)&gt;0,"인건비",IF(IFERROR(SEARCH("임차",E418),0)&gt;0,"임차·시설",IF(IFERROR(SEARCH("광고",E418),0)&gt;0,"광고·행사",IF(IFERROR(SEARCH("용역",E418),0)&gt;0,"용역·수수료","기타/불명"))))))</x:f>
      </x:c>
      <x:c r="J418" s="77" t="str">
        <x:f>IF(A418="","",IF(I418="기타/불명","확인 필요","결의서명으로 1차 확인"))</x:f>
      </x:c>
      <x:c r="K418" s="78"/>
    </x:row>
    <x:row r="419">
      <x:c r="A419" s="73"/>
      <x:c r="B419" s="73"/>
      <x:c r="C419" s="74"/>
      <x:c r="D419" s="73"/>
      <x:c r="E419" s="73"/>
      <x:c r="F419" s="75"/>
      <x:c r="G419" s="75"/>
      <x:c r="H419" s="76" t="str">
        <x:f>IF(A419="","",F419-G419)</x:f>
      </x:c>
      <x:c r="I419" s="77" t="str">
        <x:f>IF(A419="","",IF(E419="","기타/불명",IF(IFERROR(SEARCH("급여",E419),0)&gt;0,"인건비",IF(IFERROR(SEARCH("임차",E419),0)&gt;0,"임차·시설",IF(IFERROR(SEARCH("광고",E419),0)&gt;0,"광고·행사",IF(IFERROR(SEARCH("용역",E419),0)&gt;0,"용역·수수료","기타/불명"))))))</x:f>
      </x:c>
      <x:c r="J419" s="77" t="str">
        <x:f>IF(A419="","",IF(I419="기타/불명","확인 필요","결의서명으로 1차 확인"))</x:f>
      </x:c>
      <x:c r="K419" s="78"/>
    </x:row>
    <x:row r="420">
      <x:c r="A420" s="73"/>
      <x:c r="B420" s="73"/>
      <x:c r="C420" s="74"/>
      <x:c r="D420" s="73"/>
      <x:c r="E420" s="73"/>
      <x:c r="F420" s="75"/>
      <x:c r="G420" s="75"/>
      <x:c r="H420" s="76" t="str">
        <x:f>IF(A420="","",F420-G420)</x:f>
      </x:c>
      <x:c r="I420" s="77" t="str">
        <x:f>IF(A420="","",IF(E420="","기타/불명",IF(IFERROR(SEARCH("급여",E420),0)&gt;0,"인건비",IF(IFERROR(SEARCH("임차",E420),0)&gt;0,"임차·시설",IF(IFERROR(SEARCH("광고",E420),0)&gt;0,"광고·행사",IF(IFERROR(SEARCH("용역",E420),0)&gt;0,"용역·수수료","기타/불명"))))))</x:f>
      </x:c>
      <x:c r="J420" s="77" t="str">
        <x:f>IF(A420="","",IF(I420="기타/불명","확인 필요","결의서명으로 1차 확인"))</x:f>
      </x:c>
      <x:c r="K420" s="78"/>
    </x:row>
    <x:row r="421">
      <x:c r="A421" s="73"/>
      <x:c r="B421" s="73"/>
      <x:c r="C421" s="74"/>
      <x:c r="D421" s="73"/>
      <x:c r="E421" s="73"/>
      <x:c r="F421" s="75"/>
      <x:c r="G421" s="75"/>
      <x:c r="H421" s="76" t="str">
        <x:f>IF(A421="","",F421-G421)</x:f>
      </x:c>
      <x:c r="I421" s="77" t="str">
        <x:f>IF(A421="","",IF(E421="","기타/불명",IF(IFERROR(SEARCH("급여",E421),0)&gt;0,"인건비",IF(IFERROR(SEARCH("임차",E421),0)&gt;0,"임차·시설",IF(IFERROR(SEARCH("광고",E421),0)&gt;0,"광고·행사",IF(IFERROR(SEARCH("용역",E421),0)&gt;0,"용역·수수료","기타/불명"))))))</x:f>
      </x:c>
      <x:c r="J421" s="77" t="str">
        <x:f>IF(A421="","",IF(I421="기타/불명","확인 필요","결의서명으로 1차 확인"))</x:f>
      </x:c>
      <x:c r="K421" s="78"/>
    </x:row>
    <x:row r="422">
      <x:c r="A422" s="73"/>
      <x:c r="B422" s="73"/>
      <x:c r="C422" s="74"/>
      <x:c r="D422" s="73"/>
      <x:c r="E422" s="73"/>
      <x:c r="F422" s="75"/>
      <x:c r="G422" s="75"/>
      <x:c r="H422" s="76" t="str">
        <x:f>IF(A422="","",F422-G422)</x:f>
      </x:c>
      <x:c r="I422" s="77" t="str">
        <x:f>IF(A422="","",IF(E422="","기타/불명",IF(IFERROR(SEARCH("급여",E422),0)&gt;0,"인건비",IF(IFERROR(SEARCH("임차",E422),0)&gt;0,"임차·시설",IF(IFERROR(SEARCH("광고",E422),0)&gt;0,"광고·행사",IF(IFERROR(SEARCH("용역",E422),0)&gt;0,"용역·수수료","기타/불명"))))))</x:f>
      </x:c>
      <x:c r="J422" s="77" t="str">
        <x:f>IF(A422="","",IF(I422="기타/불명","확인 필요","결의서명으로 1차 확인"))</x:f>
      </x:c>
      <x:c r="K422" s="78"/>
    </x:row>
    <x:row r="423">
      <x:c r="A423" s="73"/>
      <x:c r="B423" s="73"/>
      <x:c r="C423" s="74"/>
      <x:c r="D423" s="73"/>
      <x:c r="E423" s="73"/>
      <x:c r="F423" s="75"/>
      <x:c r="G423" s="75"/>
      <x:c r="H423" s="76" t="str">
        <x:f>IF(A423="","",F423-G423)</x:f>
      </x:c>
      <x:c r="I423" s="77" t="str">
        <x:f>IF(A423="","",IF(E423="","기타/불명",IF(IFERROR(SEARCH("급여",E423),0)&gt;0,"인건비",IF(IFERROR(SEARCH("임차",E423),0)&gt;0,"임차·시설",IF(IFERROR(SEARCH("광고",E423),0)&gt;0,"광고·행사",IF(IFERROR(SEARCH("용역",E423),0)&gt;0,"용역·수수료","기타/불명"))))))</x:f>
      </x:c>
      <x:c r="J423" s="77" t="str">
        <x:f>IF(A423="","",IF(I423="기타/불명","확인 필요","결의서명으로 1차 확인"))</x:f>
      </x:c>
      <x:c r="K423" s="78"/>
    </x:row>
    <x:row r="424">
      <x:c r="A424" s="73"/>
      <x:c r="B424" s="73"/>
      <x:c r="C424" s="74"/>
      <x:c r="D424" s="73"/>
      <x:c r="E424" s="73"/>
      <x:c r="F424" s="75"/>
      <x:c r="G424" s="75"/>
      <x:c r="H424" s="76" t="str">
        <x:f>IF(A424="","",F424-G424)</x:f>
      </x:c>
      <x:c r="I424" s="77" t="str">
        <x:f>IF(A424="","",IF(E424="","기타/불명",IF(IFERROR(SEARCH("급여",E424),0)&gt;0,"인건비",IF(IFERROR(SEARCH("임차",E424),0)&gt;0,"임차·시설",IF(IFERROR(SEARCH("광고",E424),0)&gt;0,"광고·행사",IF(IFERROR(SEARCH("용역",E424),0)&gt;0,"용역·수수료","기타/불명"))))))</x:f>
      </x:c>
      <x:c r="J424" s="77" t="str">
        <x:f>IF(A424="","",IF(I424="기타/불명","확인 필요","결의서명으로 1차 확인"))</x:f>
      </x:c>
      <x:c r="K424" s="78"/>
    </x:row>
    <x:row r="425">
      <x:c r="A425" s="73"/>
      <x:c r="B425" s="73"/>
      <x:c r="C425" s="74"/>
      <x:c r="D425" s="73"/>
      <x:c r="E425" s="73"/>
      <x:c r="F425" s="75"/>
      <x:c r="G425" s="75"/>
      <x:c r="H425" s="76" t="str">
        <x:f>IF(A425="","",F425-G425)</x:f>
      </x:c>
      <x:c r="I425" s="77" t="str">
        <x:f>IF(A425="","",IF(E425="","기타/불명",IF(IFERROR(SEARCH("급여",E425),0)&gt;0,"인건비",IF(IFERROR(SEARCH("임차",E425),0)&gt;0,"임차·시설",IF(IFERROR(SEARCH("광고",E425),0)&gt;0,"광고·행사",IF(IFERROR(SEARCH("용역",E425),0)&gt;0,"용역·수수료","기타/불명"))))))</x:f>
      </x:c>
      <x:c r="J425" s="77" t="str">
        <x:f>IF(A425="","",IF(I425="기타/불명","확인 필요","결의서명으로 1차 확인"))</x:f>
      </x:c>
      <x:c r="K425" s="78"/>
    </x:row>
    <x:row r="426">
      <x:c r="A426" s="73"/>
      <x:c r="B426" s="73"/>
      <x:c r="C426" s="74"/>
      <x:c r="D426" s="73"/>
      <x:c r="E426" s="73"/>
      <x:c r="F426" s="75"/>
      <x:c r="G426" s="75"/>
      <x:c r="H426" s="76" t="str">
        <x:f>IF(A426="","",F426-G426)</x:f>
      </x:c>
      <x:c r="I426" s="77" t="str">
        <x:f>IF(A426="","",IF(E426="","기타/불명",IF(IFERROR(SEARCH("급여",E426),0)&gt;0,"인건비",IF(IFERROR(SEARCH("임차",E426),0)&gt;0,"임차·시설",IF(IFERROR(SEARCH("광고",E426),0)&gt;0,"광고·행사",IF(IFERROR(SEARCH("용역",E426),0)&gt;0,"용역·수수료","기타/불명"))))))</x:f>
      </x:c>
      <x:c r="J426" s="77" t="str">
        <x:f>IF(A426="","",IF(I426="기타/불명","확인 필요","결의서명으로 1차 확인"))</x:f>
      </x:c>
      <x:c r="K426" s="78"/>
    </x:row>
    <x:row r="427">
      <x:c r="A427" s="73"/>
      <x:c r="B427" s="73"/>
      <x:c r="C427" s="74"/>
      <x:c r="D427" s="73"/>
      <x:c r="E427" s="73"/>
      <x:c r="F427" s="75"/>
      <x:c r="G427" s="75"/>
      <x:c r="H427" s="76" t="str">
        <x:f>IF(A427="","",F427-G427)</x:f>
      </x:c>
      <x:c r="I427" s="77" t="str">
        <x:f>IF(A427="","",IF(E427="","기타/불명",IF(IFERROR(SEARCH("급여",E427),0)&gt;0,"인건비",IF(IFERROR(SEARCH("임차",E427),0)&gt;0,"임차·시설",IF(IFERROR(SEARCH("광고",E427),0)&gt;0,"광고·행사",IF(IFERROR(SEARCH("용역",E427),0)&gt;0,"용역·수수료","기타/불명"))))))</x:f>
      </x:c>
      <x:c r="J427" s="77" t="str">
        <x:f>IF(A427="","",IF(I427="기타/불명","확인 필요","결의서명으로 1차 확인"))</x:f>
      </x:c>
      <x:c r="K427" s="78"/>
    </x:row>
    <x:row r="428">
      <x:c r="A428" s="73"/>
      <x:c r="B428" s="73"/>
      <x:c r="C428" s="74"/>
      <x:c r="D428" s="73"/>
      <x:c r="E428" s="73"/>
      <x:c r="F428" s="75"/>
      <x:c r="G428" s="75"/>
      <x:c r="H428" s="76" t="str">
        <x:f>IF(A428="","",F428-G428)</x:f>
      </x:c>
      <x:c r="I428" s="77" t="str">
        <x:f>IF(A428="","",IF(E428="","기타/불명",IF(IFERROR(SEARCH("급여",E428),0)&gt;0,"인건비",IF(IFERROR(SEARCH("임차",E428),0)&gt;0,"임차·시설",IF(IFERROR(SEARCH("광고",E428),0)&gt;0,"광고·행사",IF(IFERROR(SEARCH("용역",E428),0)&gt;0,"용역·수수료","기타/불명"))))))</x:f>
      </x:c>
      <x:c r="J428" s="77" t="str">
        <x:f>IF(A428="","",IF(I428="기타/불명","확인 필요","결의서명으로 1차 확인"))</x:f>
      </x:c>
      <x:c r="K428" s="78"/>
    </x:row>
    <x:row r="429">
      <x:c r="A429" s="73"/>
      <x:c r="B429" s="73"/>
      <x:c r="C429" s="74"/>
      <x:c r="D429" s="73"/>
      <x:c r="E429" s="73"/>
      <x:c r="F429" s="75"/>
      <x:c r="G429" s="75"/>
      <x:c r="H429" s="76" t="str">
        <x:f>IF(A429="","",F429-G429)</x:f>
      </x:c>
      <x:c r="I429" s="77" t="str">
        <x:f>IF(A429="","",IF(E429="","기타/불명",IF(IFERROR(SEARCH("급여",E429),0)&gt;0,"인건비",IF(IFERROR(SEARCH("임차",E429),0)&gt;0,"임차·시설",IF(IFERROR(SEARCH("광고",E429),0)&gt;0,"광고·행사",IF(IFERROR(SEARCH("용역",E429),0)&gt;0,"용역·수수료","기타/불명"))))))</x:f>
      </x:c>
      <x:c r="J429" s="77" t="str">
        <x:f>IF(A429="","",IF(I429="기타/불명","확인 필요","결의서명으로 1차 확인"))</x:f>
      </x:c>
      <x:c r="K429" s="78"/>
    </x:row>
    <x:row r="430">
      <x:c r="A430" s="73"/>
      <x:c r="B430" s="73"/>
      <x:c r="C430" s="74"/>
      <x:c r="D430" s="73"/>
      <x:c r="E430" s="73"/>
      <x:c r="F430" s="75"/>
      <x:c r="G430" s="75"/>
      <x:c r="H430" s="76" t="str">
        <x:f>IF(A430="","",F430-G430)</x:f>
      </x:c>
      <x:c r="I430" s="77" t="str">
        <x:f>IF(A430="","",IF(E430="","기타/불명",IF(IFERROR(SEARCH("급여",E430),0)&gt;0,"인건비",IF(IFERROR(SEARCH("임차",E430),0)&gt;0,"임차·시설",IF(IFERROR(SEARCH("광고",E430),0)&gt;0,"광고·행사",IF(IFERROR(SEARCH("용역",E430),0)&gt;0,"용역·수수료","기타/불명"))))))</x:f>
      </x:c>
      <x:c r="J430" s="77" t="str">
        <x:f>IF(A430="","",IF(I430="기타/불명","확인 필요","결의서명으로 1차 확인"))</x:f>
      </x:c>
      <x:c r="K430" s="78"/>
    </x:row>
    <x:row r="431">
      <x:c r="A431" s="73"/>
      <x:c r="B431" s="73"/>
      <x:c r="C431" s="74"/>
      <x:c r="D431" s="73"/>
      <x:c r="E431" s="73"/>
      <x:c r="F431" s="75"/>
      <x:c r="G431" s="75"/>
      <x:c r="H431" s="76" t="str">
        <x:f>IF(A431="","",F431-G431)</x:f>
      </x:c>
      <x:c r="I431" s="77" t="str">
        <x:f>IF(A431="","",IF(E431="","기타/불명",IF(IFERROR(SEARCH("급여",E431),0)&gt;0,"인건비",IF(IFERROR(SEARCH("임차",E431),0)&gt;0,"임차·시설",IF(IFERROR(SEARCH("광고",E431),0)&gt;0,"광고·행사",IF(IFERROR(SEARCH("용역",E431),0)&gt;0,"용역·수수료","기타/불명"))))))</x:f>
      </x:c>
      <x:c r="J431" s="77" t="str">
        <x:f>IF(A431="","",IF(I431="기타/불명","확인 필요","결의서명으로 1차 확인"))</x:f>
      </x:c>
      <x:c r="K431" s="78"/>
    </x:row>
    <x:row r="432">
      <x:c r="A432" s="73"/>
      <x:c r="B432" s="73"/>
      <x:c r="C432" s="74"/>
      <x:c r="D432" s="73"/>
      <x:c r="E432" s="73"/>
      <x:c r="F432" s="75"/>
      <x:c r="G432" s="75"/>
      <x:c r="H432" s="76" t="str">
        <x:f>IF(A432="","",F432-G432)</x:f>
      </x:c>
      <x:c r="I432" s="77" t="str">
        <x:f>IF(A432="","",IF(E432="","기타/불명",IF(IFERROR(SEARCH("급여",E432),0)&gt;0,"인건비",IF(IFERROR(SEARCH("임차",E432),0)&gt;0,"임차·시설",IF(IFERROR(SEARCH("광고",E432),0)&gt;0,"광고·행사",IF(IFERROR(SEARCH("용역",E432),0)&gt;0,"용역·수수료","기타/불명"))))))</x:f>
      </x:c>
      <x:c r="J432" s="77" t="str">
        <x:f>IF(A432="","",IF(I432="기타/불명","확인 필요","결의서명으로 1차 확인"))</x:f>
      </x:c>
      <x:c r="K432" s="78"/>
    </x:row>
    <x:row r="433">
      <x:c r="A433" s="73"/>
      <x:c r="B433" s="73"/>
      <x:c r="C433" s="74"/>
      <x:c r="D433" s="73"/>
      <x:c r="E433" s="73"/>
      <x:c r="F433" s="75"/>
      <x:c r="G433" s="75"/>
      <x:c r="H433" s="76" t="str">
        <x:f>IF(A433="","",F433-G433)</x:f>
      </x:c>
      <x:c r="I433" s="77" t="str">
        <x:f>IF(A433="","",IF(E433="","기타/불명",IF(IFERROR(SEARCH("급여",E433),0)&gt;0,"인건비",IF(IFERROR(SEARCH("임차",E433),0)&gt;0,"임차·시설",IF(IFERROR(SEARCH("광고",E433),0)&gt;0,"광고·행사",IF(IFERROR(SEARCH("용역",E433),0)&gt;0,"용역·수수료","기타/불명"))))))</x:f>
      </x:c>
      <x:c r="J433" s="77" t="str">
        <x:f>IF(A433="","",IF(I433="기타/불명","확인 필요","결의서명으로 1차 확인"))</x:f>
      </x:c>
      <x:c r="K433" s="78"/>
    </x:row>
    <x:row r="434">
      <x:c r="A434" s="73"/>
      <x:c r="B434" s="73"/>
      <x:c r="C434" s="74"/>
      <x:c r="D434" s="73"/>
      <x:c r="E434" s="73"/>
      <x:c r="F434" s="75"/>
      <x:c r="G434" s="75"/>
      <x:c r="H434" s="76" t="str">
        <x:f>IF(A434="","",F434-G434)</x:f>
      </x:c>
      <x:c r="I434" s="77" t="str">
        <x:f>IF(A434="","",IF(E434="","기타/불명",IF(IFERROR(SEARCH("급여",E434),0)&gt;0,"인건비",IF(IFERROR(SEARCH("임차",E434),0)&gt;0,"임차·시설",IF(IFERROR(SEARCH("광고",E434),0)&gt;0,"광고·행사",IF(IFERROR(SEARCH("용역",E434),0)&gt;0,"용역·수수료","기타/불명"))))))</x:f>
      </x:c>
      <x:c r="J434" s="77" t="str">
        <x:f>IF(A434="","",IF(I434="기타/불명","확인 필요","결의서명으로 1차 확인"))</x:f>
      </x:c>
      <x:c r="K434" s="78"/>
    </x:row>
    <x:row r="435">
      <x:c r="A435" s="73"/>
      <x:c r="B435" s="73"/>
      <x:c r="C435" s="74"/>
      <x:c r="D435" s="73"/>
      <x:c r="E435" s="73"/>
      <x:c r="F435" s="75"/>
      <x:c r="G435" s="75"/>
      <x:c r="H435" s="76" t="str">
        <x:f>IF(A435="","",F435-G435)</x:f>
      </x:c>
      <x:c r="I435" s="77" t="str">
        <x:f>IF(A435="","",IF(E435="","기타/불명",IF(IFERROR(SEARCH("급여",E435),0)&gt;0,"인건비",IF(IFERROR(SEARCH("임차",E435),0)&gt;0,"임차·시설",IF(IFERROR(SEARCH("광고",E435),0)&gt;0,"광고·행사",IF(IFERROR(SEARCH("용역",E435),0)&gt;0,"용역·수수료","기타/불명"))))))</x:f>
      </x:c>
      <x:c r="J435" s="77" t="str">
        <x:f>IF(A435="","",IF(I435="기타/불명","확인 필요","결의서명으로 1차 확인"))</x:f>
      </x:c>
      <x:c r="K435" s="78"/>
    </x:row>
    <x:row r="436">
      <x:c r="A436" s="73"/>
      <x:c r="B436" s="73"/>
      <x:c r="C436" s="74"/>
      <x:c r="D436" s="73"/>
      <x:c r="E436" s="73"/>
      <x:c r="F436" s="75"/>
      <x:c r="G436" s="75"/>
      <x:c r="H436" s="76" t="str">
        <x:f>IF(A436="","",F436-G436)</x:f>
      </x:c>
      <x:c r="I436" s="77" t="str">
        <x:f>IF(A436="","",IF(E436="","기타/불명",IF(IFERROR(SEARCH("급여",E436),0)&gt;0,"인건비",IF(IFERROR(SEARCH("임차",E436),0)&gt;0,"임차·시설",IF(IFERROR(SEARCH("광고",E436),0)&gt;0,"광고·행사",IF(IFERROR(SEARCH("용역",E436),0)&gt;0,"용역·수수료","기타/불명"))))))</x:f>
      </x:c>
      <x:c r="J436" s="77" t="str">
        <x:f>IF(A436="","",IF(I436="기타/불명","확인 필요","결의서명으로 1차 확인"))</x:f>
      </x:c>
      <x:c r="K436" s="78"/>
    </x:row>
    <x:row r="437">
      <x:c r="A437" s="73"/>
      <x:c r="B437" s="73"/>
      <x:c r="C437" s="74"/>
      <x:c r="D437" s="73"/>
      <x:c r="E437" s="73"/>
      <x:c r="F437" s="75"/>
      <x:c r="G437" s="75"/>
      <x:c r="H437" s="76" t="str">
        <x:f>IF(A437="","",F437-G437)</x:f>
      </x:c>
      <x:c r="I437" s="77" t="str">
        <x:f>IF(A437="","",IF(E437="","기타/불명",IF(IFERROR(SEARCH("급여",E437),0)&gt;0,"인건비",IF(IFERROR(SEARCH("임차",E437),0)&gt;0,"임차·시설",IF(IFERROR(SEARCH("광고",E437),0)&gt;0,"광고·행사",IF(IFERROR(SEARCH("용역",E437),0)&gt;0,"용역·수수료","기타/불명"))))))</x:f>
      </x:c>
      <x:c r="J437" s="77" t="str">
        <x:f>IF(A437="","",IF(I437="기타/불명","확인 필요","결의서명으로 1차 확인"))</x:f>
      </x:c>
      <x:c r="K437" s="78"/>
    </x:row>
    <x:row r="438">
      <x:c r="A438" s="73"/>
      <x:c r="B438" s="73"/>
      <x:c r="C438" s="74"/>
      <x:c r="D438" s="73"/>
      <x:c r="E438" s="73"/>
      <x:c r="F438" s="75"/>
      <x:c r="G438" s="75"/>
      <x:c r="H438" s="76" t="str">
        <x:f>IF(A438="","",F438-G438)</x:f>
      </x:c>
      <x:c r="I438" s="77" t="str">
        <x:f>IF(A438="","",IF(E438="","기타/불명",IF(IFERROR(SEARCH("급여",E438),0)&gt;0,"인건비",IF(IFERROR(SEARCH("임차",E438),0)&gt;0,"임차·시설",IF(IFERROR(SEARCH("광고",E438),0)&gt;0,"광고·행사",IF(IFERROR(SEARCH("용역",E438),0)&gt;0,"용역·수수료","기타/불명"))))))</x:f>
      </x:c>
      <x:c r="J438" s="77" t="str">
        <x:f>IF(A438="","",IF(I438="기타/불명","확인 필요","결의서명으로 1차 확인"))</x:f>
      </x:c>
      <x:c r="K438" s="78"/>
    </x:row>
    <x:row r="439">
      <x:c r="A439" s="73"/>
      <x:c r="B439" s="73"/>
      <x:c r="C439" s="74"/>
      <x:c r="D439" s="73"/>
      <x:c r="E439" s="73"/>
      <x:c r="F439" s="75"/>
      <x:c r="G439" s="75"/>
      <x:c r="H439" s="76" t="str">
        <x:f>IF(A439="","",F439-G439)</x:f>
      </x:c>
      <x:c r="I439" s="77" t="str">
        <x:f>IF(A439="","",IF(E439="","기타/불명",IF(IFERROR(SEARCH("급여",E439),0)&gt;0,"인건비",IF(IFERROR(SEARCH("임차",E439),0)&gt;0,"임차·시설",IF(IFERROR(SEARCH("광고",E439),0)&gt;0,"광고·행사",IF(IFERROR(SEARCH("용역",E439),0)&gt;0,"용역·수수료","기타/불명"))))))</x:f>
      </x:c>
      <x:c r="J439" s="77" t="str">
        <x:f>IF(A439="","",IF(I439="기타/불명","확인 필요","결의서명으로 1차 확인"))</x:f>
      </x:c>
      <x:c r="K439" s="78"/>
    </x:row>
    <x:row r="440">
      <x:c r="A440" s="73"/>
      <x:c r="B440" s="73"/>
      <x:c r="C440" s="74"/>
      <x:c r="D440" s="73"/>
      <x:c r="E440" s="73"/>
      <x:c r="F440" s="75"/>
      <x:c r="G440" s="75"/>
      <x:c r="H440" s="76" t="str">
        <x:f>IF(A440="","",F440-G440)</x:f>
      </x:c>
      <x:c r="I440" s="77" t="str">
        <x:f>IF(A440="","",IF(E440="","기타/불명",IF(IFERROR(SEARCH("급여",E440),0)&gt;0,"인건비",IF(IFERROR(SEARCH("임차",E440),0)&gt;0,"임차·시설",IF(IFERROR(SEARCH("광고",E440),0)&gt;0,"광고·행사",IF(IFERROR(SEARCH("용역",E440),0)&gt;0,"용역·수수료","기타/불명"))))))</x:f>
      </x:c>
      <x:c r="J440" s="77" t="str">
        <x:f>IF(A440="","",IF(I440="기타/불명","확인 필요","결의서명으로 1차 확인"))</x:f>
      </x:c>
      <x:c r="K440" s="78"/>
    </x:row>
    <x:row r="441">
      <x:c r="A441" s="73"/>
      <x:c r="B441" s="73"/>
      <x:c r="C441" s="74"/>
      <x:c r="D441" s="73"/>
      <x:c r="E441" s="73"/>
      <x:c r="F441" s="75"/>
      <x:c r="G441" s="75"/>
      <x:c r="H441" s="76" t="str">
        <x:f>IF(A441="","",F441-G441)</x:f>
      </x:c>
      <x:c r="I441" s="77" t="str">
        <x:f>IF(A441="","",IF(E441="","기타/불명",IF(IFERROR(SEARCH("급여",E441),0)&gt;0,"인건비",IF(IFERROR(SEARCH("임차",E441),0)&gt;0,"임차·시설",IF(IFERROR(SEARCH("광고",E441),0)&gt;0,"광고·행사",IF(IFERROR(SEARCH("용역",E441),0)&gt;0,"용역·수수료","기타/불명"))))))</x:f>
      </x:c>
      <x:c r="J441" s="77" t="str">
        <x:f>IF(A441="","",IF(I441="기타/불명","확인 필요","결의서명으로 1차 확인"))</x:f>
      </x:c>
      <x:c r="K441" s="78"/>
    </x:row>
    <x:row r="442">
      <x:c r="A442" s="73"/>
      <x:c r="B442" s="73"/>
      <x:c r="C442" s="74"/>
      <x:c r="D442" s="73"/>
      <x:c r="E442" s="73"/>
      <x:c r="F442" s="75"/>
      <x:c r="G442" s="75"/>
      <x:c r="H442" s="76" t="str">
        <x:f>IF(A442="","",F442-G442)</x:f>
      </x:c>
      <x:c r="I442" s="77" t="str">
        <x:f>IF(A442="","",IF(E442="","기타/불명",IF(IFERROR(SEARCH("급여",E442),0)&gt;0,"인건비",IF(IFERROR(SEARCH("임차",E442),0)&gt;0,"임차·시설",IF(IFERROR(SEARCH("광고",E442),0)&gt;0,"광고·행사",IF(IFERROR(SEARCH("용역",E442),0)&gt;0,"용역·수수료","기타/불명"))))))</x:f>
      </x:c>
      <x:c r="J442" s="77" t="str">
        <x:f>IF(A442="","",IF(I442="기타/불명","확인 필요","결의서명으로 1차 확인"))</x:f>
      </x:c>
      <x:c r="K442" s="78"/>
    </x:row>
    <x:row r="443">
      <x:c r="A443" s="73"/>
      <x:c r="B443" s="73"/>
      <x:c r="C443" s="74"/>
      <x:c r="D443" s="73"/>
      <x:c r="E443" s="73"/>
      <x:c r="F443" s="75"/>
      <x:c r="G443" s="75"/>
      <x:c r="H443" s="76" t="str">
        <x:f>IF(A443="","",F443-G443)</x:f>
      </x:c>
      <x:c r="I443" s="77" t="str">
        <x:f>IF(A443="","",IF(E443="","기타/불명",IF(IFERROR(SEARCH("급여",E443),0)&gt;0,"인건비",IF(IFERROR(SEARCH("임차",E443),0)&gt;0,"임차·시설",IF(IFERROR(SEARCH("광고",E443),0)&gt;0,"광고·행사",IF(IFERROR(SEARCH("용역",E443),0)&gt;0,"용역·수수료","기타/불명"))))))</x:f>
      </x:c>
      <x:c r="J443" s="77" t="str">
        <x:f>IF(A443="","",IF(I443="기타/불명","확인 필요","결의서명으로 1차 확인"))</x:f>
      </x:c>
      <x:c r="K443" s="78"/>
    </x:row>
    <x:row r="444">
      <x:c r="A444" s="73"/>
      <x:c r="B444" s="73"/>
      <x:c r="C444" s="74"/>
      <x:c r="D444" s="73"/>
      <x:c r="E444" s="73"/>
      <x:c r="F444" s="75"/>
      <x:c r="G444" s="75"/>
      <x:c r="H444" s="76" t="str">
        <x:f>IF(A444="","",F444-G444)</x:f>
      </x:c>
      <x:c r="I444" s="77" t="str">
        <x:f>IF(A444="","",IF(E444="","기타/불명",IF(IFERROR(SEARCH("급여",E444),0)&gt;0,"인건비",IF(IFERROR(SEARCH("임차",E444),0)&gt;0,"임차·시설",IF(IFERROR(SEARCH("광고",E444),0)&gt;0,"광고·행사",IF(IFERROR(SEARCH("용역",E444),0)&gt;0,"용역·수수료","기타/불명"))))))</x:f>
      </x:c>
      <x:c r="J444" s="77" t="str">
        <x:f>IF(A444="","",IF(I444="기타/불명","확인 필요","결의서명으로 1차 확인"))</x:f>
      </x:c>
      <x:c r="K444" s="78"/>
    </x:row>
    <x:row r="445">
      <x:c r="A445" s="73"/>
      <x:c r="B445" s="73"/>
      <x:c r="C445" s="74"/>
      <x:c r="D445" s="73"/>
      <x:c r="E445" s="73"/>
      <x:c r="F445" s="75"/>
      <x:c r="G445" s="75"/>
      <x:c r="H445" s="76" t="str">
        <x:f>IF(A445="","",F445-G445)</x:f>
      </x:c>
      <x:c r="I445" s="77" t="str">
        <x:f>IF(A445="","",IF(E445="","기타/불명",IF(IFERROR(SEARCH("급여",E445),0)&gt;0,"인건비",IF(IFERROR(SEARCH("임차",E445),0)&gt;0,"임차·시설",IF(IFERROR(SEARCH("광고",E445),0)&gt;0,"광고·행사",IF(IFERROR(SEARCH("용역",E445),0)&gt;0,"용역·수수료","기타/불명"))))))</x:f>
      </x:c>
      <x:c r="J445" s="77" t="str">
        <x:f>IF(A445="","",IF(I445="기타/불명","확인 필요","결의서명으로 1차 확인"))</x:f>
      </x:c>
      <x:c r="K445" s="78"/>
    </x:row>
    <x:row r="446">
      <x:c r="A446" s="73"/>
      <x:c r="B446" s="73"/>
      <x:c r="C446" s="74"/>
      <x:c r="D446" s="73"/>
      <x:c r="E446" s="73"/>
      <x:c r="F446" s="75"/>
      <x:c r="G446" s="75"/>
      <x:c r="H446" s="76" t="str">
        <x:f>IF(A446="","",F446-G446)</x:f>
      </x:c>
      <x:c r="I446" s="77" t="str">
        <x:f>IF(A446="","",IF(E446="","기타/불명",IF(IFERROR(SEARCH("급여",E446),0)&gt;0,"인건비",IF(IFERROR(SEARCH("임차",E446),0)&gt;0,"임차·시설",IF(IFERROR(SEARCH("광고",E446),0)&gt;0,"광고·행사",IF(IFERROR(SEARCH("용역",E446),0)&gt;0,"용역·수수료","기타/불명"))))))</x:f>
      </x:c>
      <x:c r="J446" s="77" t="str">
        <x:f>IF(A446="","",IF(I446="기타/불명","확인 필요","결의서명으로 1차 확인"))</x:f>
      </x:c>
      <x:c r="K446" s="78"/>
    </x:row>
    <x:row r="447">
      <x:c r="A447" s="73"/>
      <x:c r="B447" s="73"/>
      <x:c r="C447" s="74"/>
      <x:c r="D447" s="73"/>
      <x:c r="E447" s="73"/>
      <x:c r="F447" s="75"/>
      <x:c r="G447" s="75"/>
      <x:c r="H447" s="76" t="str">
        <x:f>IF(A447="","",F447-G447)</x:f>
      </x:c>
      <x:c r="I447" s="77" t="str">
        <x:f>IF(A447="","",IF(E447="","기타/불명",IF(IFERROR(SEARCH("급여",E447),0)&gt;0,"인건비",IF(IFERROR(SEARCH("임차",E447),0)&gt;0,"임차·시설",IF(IFERROR(SEARCH("광고",E447),0)&gt;0,"광고·행사",IF(IFERROR(SEARCH("용역",E447),0)&gt;0,"용역·수수료","기타/불명"))))))</x:f>
      </x:c>
      <x:c r="J447" s="77" t="str">
        <x:f>IF(A447="","",IF(I447="기타/불명","확인 필요","결의서명으로 1차 확인"))</x:f>
      </x:c>
      <x:c r="K447" s="78"/>
    </x:row>
    <x:row r="448">
      <x:c r="A448" s="73"/>
      <x:c r="B448" s="73"/>
      <x:c r="C448" s="74"/>
      <x:c r="D448" s="73"/>
      <x:c r="E448" s="73"/>
      <x:c r="F448" s="75"/>
      <x:c r="G448" s="75"/>
      <x:c r="H448" s="76" t="str">
        <x:f>IF(A448="","",F448-G448)</x:f>
      </x:c>
      <x:c r="I448" s="77" t="str">
        <x:f>IF(A448="","",IF(E448="","기타/불명",IF(IFERROR(SEARCH("급여",E448),0)&gt;0,"인건비",IF(IFERROR(SEARCH("임차",E448),0)&gt;0,"임차·시설",IF(IFERROR(SEARCH("광고",E448),0)&gt;0,"광고·행사",IF(IFERROR(SEARCH("용역",E448),0)&gt;0,"용역·수수료","기타/불명"))))))</x:f>
      </x:c>
      <x:c r="J448" s="77" t="str">
        <x:f>IF(A448="","",IF(I448="기타/불명","확인 필요","결의서명으로 1차 확인"))</x:f>
      </x:c>
      <x:c r="K448" s="78"/>
    </x:row>
    <x:row r="449">
      <x:c r="A449" s="73"/>
      <x:c r="B449" s="73"/>
      <x:c r="C449" s="74"/>
      <x:c r="D449" s="73"/>
      <x:c r="E449" s="73"/>
      <x:c r="F449" s="75"/>
      <x:c r="G449" s="75"/>
      <x:c r="H449" s="76" t="str">
        <x:f>IF(A449="","",F449-G449)</x:f>
      </x:c>
      <x:c r="I449" s="77" t="str">
        <x:f>IF(A449="","",IF(E449="","기타/불명",IF(IFERROR(SEARCH("급여",E449),0)&gt;0,"인건비",IF(IFERROR(SEARCH("임차",E449),0)&gt;0,"임차·시설",IF(IFERROR(SEARCH("광고",E449),0)&gt;0,"광고·행사",IF(IFERROR(SEARCH("용역",E449),0)&gt;0,"용역·수수료","기타/불명"))))))</x:f>
      </x:c>
      <x:c r="J449" s="77" t="str">
        <x:f>IF(A449="","",IF(I449="기타/불명","확인 필요","결의서명으로 1차 확인"))</x:f>
      </x:c>
      <x:c r="K449" s="78"/>
    </x:row>
    <x:row r="450">
      <x:c r="A450" s="73"/>
      <x:c r="B450" s="73"/>
      <x:c r="C450" s="74"/>
      <x:c r="D450" s="73"/>
      <x:c r="E450" s="73"/>
      <x:c r="F450" s="75"/>
      <x:c r="G450" s="75"/>
      <x:c r="H450" s="76" t="str">
        <x:f>IF(A450="","",F450-G450)</x:f>
      </x:c>
      <x:c r="I450" s="77" t="str">
        <x:f>IF(A450="","",IF(E450="","기타/불명",IF(IFERROR(SEARCH("급여",E450),0)&gt;0,"인건비",IF(IFERROR(SEARCH("임차",E450),0)&gt;0,"임차·시설",IF(IFERROR(SEARCH("광고",E450),0)&gt;0,"광고·행사",IF(IFERROR(SEARCH("용역",E450),0)&gt;0,"용역·수수료","기타/불명"))))))</x:f>
      </x:c>
      <x:c r="J450" s="77" t="str">
        <x:f>IF(A450="","",IF(I450="기타/불명","확인 필요","결의서명으로 1차 확인"))</x:f>
      </x:c>
      <x:c r="K450" s="78"/>
    </x:row>
    <x:row r="451">
      <x:c r="A451" s="73"/>
      <x:c r="B451" s="73"/>
      <x:c r="C451" s="74"/>
      <x:c r="D451" s="73"/>
      <x:c r="E451" s="73"/>
      <x:c r="F451" s="75"/>
      <x:c r="G451" s="75"/>
      <x:c r="H451" s="76" t="str">
        <x:f>IF(A451="","",F451-G451)</x:f>
      </x:c>
      <x:c r="I451" s="77" t="str">
        <x:f>IF(A451="","",IF(E451="","기타/불명",IF(IFERROR(SEARCH("급여",E451),0)&gt;0,"인건비",IF(IFERROR(SEARCH("임차",E451),0)&gt;0,"임차·시설",IF(IFERROR(SEARCH("광고",E451),0)&gt;0,"광고·행사",IF(IFERROR(SEARCH("용역",E451),0)&gt;0,"용역·수수료","기타/불명"))))))</x:f>
      </x:c>
      <x:c r="J451" s="77" t="str">
        <x:f>IF(A451="","",IF(I451="기타/불명","확인 필요","결의서명으로 1차 확인"))</x:f>
      </x:c>
      <x:c r="K451" s="78"/>
    </x:row>
    <x:row r="452">
      <x:c r="A452" s="73"/>
      <x:c r="B452" s="73"/>
      <x:c r="C452" s="74"/>
      <x:c r="D452" s="73"/>
      <x:c r="E452" s="73"/>
      <x:c r="F452" s="75"/>
      <x:c r="G452" s="75"/>
      <x:c r="H452" s="76" t="str">
        <x:f>IF(A452="","",F452-G452)</x:f>
      </x:c>
      <x:c r="I452" s="77" t="str">
        <x:f>IF(A452="","",IF(E452="","기타/불명",IF(IFERROR(SEARCH("급여",E452),0)&gt;0,"인건비",IF(IFERROR(SEARCH("임차",E452),0)&gt;0,"임차·시설",IF(IFERROR(SEARCH("광고",E452),0)&gt;0,"광고·행사",IF(IFERROR(SEARCH("용역",E452),0)&gt;0,"용역·수수료","기타/불명"))))))</x:f>
      </x:c>
      <x:c r="J452" s="77" t="str">
        <x:f>IF(A452="","",IF(I452="기타/불명","확인 필요","결의서명으로 1차 확인"))</x:f>
      </x:c>
      <x:c r="K452" s="78"/>
    </x:row>
    <x:row r="453">
      <x:c r="A453" s="73"/>
      <x:c r="B453" s="73"/>
      <x:c r="C453" s="74"/>
      <x:c r="D453" s="73"/>
      <x:c r="E453" s="73"/>
      <x:c r="F453" s="75"/>
      <x:c r="G453" s="75"/>
      <x:c r="H453" s="76" t="str">
        <x:f>IF(A453="","",F453-G453)</x:f>
      </x:c>
      <x:c r="I453" s="77" t="str">
        <x:f>IF(A453="","",IF(E453="","기타/불명",IF(IFERROR(SEARCH("급여",E453),0)&gt;0,"인건비",IF(IFERROR(SEARCH("임차",E453),0)&gt;0,"임차·시설",IF(IFERROR(SEARCH("광고",E453),0)&gt;0,"광고·행사",IF(IFERROR(SEARCH("용역",E453),0)&gt;0,"용역·수수료","기타/불명"))))))</x:f>
      </x:c>
      <x:c r="J453" s="77" t="str">
        <x:f>IF(A453="","",IF(I453="기타/불명","확인 필요","결의서명으로 1차 확인"))</x:f>
      </x:c>
      <x:c r="K453" s="78"/>
    </x:row>
    <x:row r="454">
      <x:c r="A454" s="73"/>
      <x:c r="B454" s="73"/>
      <x:c r="C454" s="74"/>
      <x:c r="D454" s="73"/>
      <x:c r="E454" s="73"/>
      <x:c r="F454" s="75"/>
      <x:c r="G454" s="75"/>
      <x:c r="H454" s="76" t="str">
        <x:f>IF(A454="","",F454-G454)</x:f>
      </x:c>
      <x:c r="I454" s="77" t="str">
        <x:f>IF(A454="","",IF(E454="","기타/불명",IF(IFERROR(SEARCH("급여",E454),0)&gt;0,"인건비",IF(IFERROR(SEARCH("임차",E454),0)&gt;0,"임차·시설",IF(IFERROR(SEARCH("광고",E454),0)&gt;0,"광고·행사",IF(IFERROR(SEARCH("용역",E454),0)&gt;0,"용역·수수료","기타/불명"))))))</x:f>
      </x:c>
      <x:c r="J454" s="77" t="str">
        <x:f>IF(A454="","",IF(I454="기타/불명","확인 필요","결의서명으로 1차 확인"))</x:f>
      </x:c>
      <x:c r="K454" s="78"/>
    </x:row>
    <x:row r="455">
      <x:c r="A455" s="73"/>
      <x:c r="B455" s="73"/>
      <x:c r="C455" s="74"/>
      <x:c r="D455" s="73"/>
      <x:c r="E455" s="73"/>
      <x:c r="F455" s="75"/>
      <x:c r="G455" s="75"/>
      <x:c r="H455" s="76" t="str">
        <x:f>IF(A455="","",F455-G455)</x:f>
      </x:c>
      <x:c r="I455" s="77" t="str">
        <x:f>IF(A455="","",IF(E455="","기타/불명",IF(IFERROR(SEARCH("급여",E455),0)&gt;0,"인건비",IF(IFERROR(SEARCH("임차",E455),0)&gt;0,"임차·시설",IF(IFERROR(SEARCH("광고",E455),0)&gt;0,"광고·행사",IF(IFERROR(SEARCH("용역",E455),0)&gt;0,"용역·수수료","기타/불명"))))))</x:f>
      </x:c>
      <x:c r="J455" s="77" t="str">
        <x:f>IF(A455="","",IF(I455="기타/불명","확인 필요","결의서명으로 1차 확인"))</x:f>
      </x:c>
      <x:c r="K455" s="78"/>
    </x:row>
    <x:row r="456">
      <x:c r="A456" s="73"/>
      <x:c r="B456" s="73"/>
      <x:c r="C456" s="74"/>
      <x:c r="D456" s="73"/>
      <x:c r="E456" s="73"/>
      <x:c r="F456" s="75"/>
      <x:c r="G456" s="75"/>
      <x:c r="H456" s="76" t="str">
        <x:f>IF(A456="","",F456-G456)</x:f>
      </x:c>
      <x:c r="I456" s="77" t="str">
        <x:f>IF(A456="","",IF(E456="","기타/불명",IF(IFERROR(SEARCH("급여",E456),0)&gt;0,"인건비",IF(IFERROR(SEARCH("임차",E456),0)&gt;0,"임차·시설",IF(IFERROR(SEARCH("광고",E456),0)&gt;0,"광고·행사",IF(IFERROR(SEARCH("용역",E456),0)&gt;0,"용역·수수료","기타/불명"))))))</x:f>
      </x:c>
      <x:c r="J456" s="77" t="str">
        <x:f>IF(A456="","",IF(I456="기타/불명","확인 필요","결의서명으로 1차 확인"))</x:f>
      </x:c>
      <x:c r="K456" s="78"/>
    </x:row>
    <x:row r="457">
      <x:c r="A457" s="73"/>
      <x:c r="B457" s="73"/>
      <x:c r="C457" s="74"/>
      <x:c r="D457" s="73"/>
      <x:c r="E457" s="73"/>
      <x:c r="F457" s="75"/>
      <x:c r="G457" s="75"/>
      <x:c r="H457" s="76" t="str">
        <x:f>IF(A457="","",F457-G457)</x:f>
      </x:c>
      <x:c r="I457" s="77" t="str">
        <x:f>IF(A457="","",IF(E457="","기타/불명",IF(IFERROR(SEARCH("급여",E457),0)&gt;0,"인건비",IF(IFERROR(SEARCH("임차",E457),0)&gt;0,"임차·시설",IF(IFERROR(SEARCH("광고",E457),0)&gt;0,"광고·행사",IF(IFERROR(SEARCH("용역",E457),0)&gt;0,"용역·수수료","기타/불명"))))))</x:f>
      </x:c>
      <x:c r="J457" s="77" t="str">
        <x:f>IF(A457="","",IF(I457="기타/불명","확인 필요","결의서명으로 1차 확인"))</x:f>
      </x:c>
      <x:c r="K457" s="78"/>
    </x:row>
    <x:row r="458">
      <x:c r="A458" s="73"/>
      <x:c r="B458" s="73"/>
      <x:c r="C458" s="74"/>
      <x:c r="D458" s="73"/>
      <x:c r="E458" s="73"/>
      <x:c r="F458" s="75"/>
      <x:c r="G458" s="75"/>
      <x:c r="H458" s="76" t="str">
        <x:f>IF(A458="","",F458-G458)</x:f>
      </x:c>
      <x:c r="I458" s="77" t="str">
        <x:f>IF(A458="","",IF(E458="","기타/불명",IF(IFERROR(SEARCH("급여",E458),0)&gt;0,"인건비",IF(IFERROR(SEARCH("임차",E458),0)&gt;0,"임차·시설",IF(IFERROR(SEARCH("광고",E458),0)&gt;0,"광고·행사",IF(IFERROR(SEARCH("용역",E458),0)&gt;0,"용역·수수료","기타/불명"))))))</x:f>
      </x:c>
      <x:c r="J458" s="77" t="str">
        <x:f>IF(A458="","",IF(I458="기타/불명","확인 필요","결의서명으로 1차 확인"))</x:f>
      </x:c>
      <x:c r="K458" s="78"/>
    </x:row>
    <x:row r="459">
      <x:c r="A459" s="73"/>
      <x:c r="B459" s="73"/>
      <x:c r="C459" s="74"/>
      <x:c r="D459" s="73"/>
      <x:c r="E459" s="73"/>
      <x:c r="F459" s="75"/>
      <x:c r="G459" s="75"/>
      <x:c r="H459" s="76" t="str">
        <x:f>IF(A459="","",F459-G459)</x:f>
      </x:c>
      <x:c r="I459" s="77" t="str">
        <x:f>IF(A459="","",IF(E459="","기타/불명",IF(IFERROR(SEARCH("급여",E459),0)&gt;0,"인건비",IF(IFERROR(SEARCH("임차",E459),0)&gt;0,"임차·시설",IF(IFERROR(SEARCH("광고",E459),0)&gt;0,"광고·행사",IF(IFERROR(SEARCH("용역",E459),0)&gt;0,"용역·수수료","기타/불명"))))))</x:f>
      </x:c>
      <x:c r="J459" s="77" t="str">
        <x:f>IF(A459="","",IF(I459="기타/불명","확인 필요","결의서명으로 1차 확인"))</x:f>
      </x:c>
      <x:c r="K459" s="78"/>
    </x:row>
    <x:row r="460">
      <x:c r="A460" s="73"/>
      <x:c r="B460" s="73"/>
      <x:c r="C460" s="74"/>
      <x:c r="D460" s="73"/>
      <x:c r="E460" s="73"/>
      <x:c r="F460" s="75"/>
      <x:c r="G460" s="75"/>
      <x:c r="H460" s="76" t="str">
        <x:f>IF(A460="","",F460-G460)</x:f>
      </x:c>
      <x:c r="I460" s="77" t="str">
        <x:f>IF(A460="","",IF(E460="","기타/불명",IF(IFERROR(SEARCH("급여",E460),0)&gt;0,"인건비",IF(IFERROR(SEARCH("임차",E460),0)&gt;0,"임차·시설",IF(IFERROR(SEARCH("광고",E460),0)&gt;0,"광고·행사",IF(IFERROR(SEARCH("용역",E460),0)&gt;0,"용역·수수료","기타/불명"))))))</x:f>
      </x:c>
      <x:c r="J460" s="77" t="str">
        <x:f>IF(A460="","",IF(I460="기타/불명","확인 필요","결의서명으로 1차 확인"))</x:f>
      </x:c>
      <x:c r="K460" s="78"/>
    </x:row>
    <x:row r="461">
      <x:c r="A461" s="73"/>
      <x:c r="B461" s="73"/>
      <x:c r="C461" s="74"/>
      <x:c r="D461" s="73"/>
      <x:c r="E461" s="73"/>
      <x:c r="F461" s="75"/>
      <x:c r="G461" s="75"/>
      <x:c r="H461" s="76" t="str">
        <x:f>IF(A461="","",F461-G461)</x:f>
      </x:c>
      <x:c r="I461" s="77" t="str">
        <x:f>IF(A461="","",IF(E461="","기타/불명",IF(IFERROR(SEARCH("급여",E461),0)&gt;0,"인건비",IF(IFERROR(SEARCH("임차",E461),0)&gt;0,"임차·시설",IF(IFERROR(SEARCH("광고",E461),0)&gt;0,"광고·행사",IF(IFERROR(SEARCH("용역",E461),0)&gt;0,"용역·수수료","기타/불명"))))))</x:f>
      </x:c>
      <x:c r="J461" s="77" t="str">
        <x:f>IF(A461="","",IF(I461="기타/불명","확인 필요","결의서명으로 1차 확인"))</x:f>
      </x:c>
      <x:c r="K461" s="78"/>
    </x:row>
    <x:row r="462">
      <x:c r="A462" s="73"/>
      <x:c r="B462" s="73"/>
      <x:c r="C462" s="74"/>
      <x:c r="D462" s="73"/>
      <x:c r="E462" s="73"/>
      <x:c r="F462" s="75"/>
      <x:c r="G462" s="75"/>
      <x:c r="H462" s="76" t="str">
        <x:f>IF(A462="","",F462-G462)</x:f>
      </x:c>
      <x:c r="I462" s="77" t="str">
        <x:f>IF(A462="","",IF(E462="","기타/불명",IF(IFERROR(SEARCH("급여",E462),0)&gt;0,"인건비",IF(IFERROR(SEARCH("임차",E462),0)&gt;0,"임차·시설",IF(IFERROR(SEARCH("광고",E462),0)&gt;0,"광고·행사",IF(IFERROR(SEARCH("용역",E462),0)&gt;0,"용역·수수료","기타/불명"))))))</x:f>
      </x:c>
      <x:c r="J462" s="77" t="str">
        <x:f>IF(A462="","",IF(I462="기타/불명","확인 필요","결의서명으로 1차 확인"))</x:f>
      </x:c>
      <x:c r="K462" s="78"/>
    </x:row>
    <x:row r="463">
      <x:c r="A463" s="73"/>
      <x:c r="B463" s="73"/>
      <x:c r="C463" s="74"/>
      <x:c r="D463" s="73"/>
      <x:c r="E463" s="73"/>
      <x:c r="F463" s="75"/>
      <x:c r="G463" s="75"/>
      <x:c r="H463" s="76" t="str">
        <x:f>IF(A463="","",F463-G463)</x:f>
      </x:c>
      <x:c r="I463" s="77" t="str">
        <x:f>IF(A463="","",IF(E463="","기타/불명",IF(IFERROR(SEARCH("급여",E463),0)&gt;0,"인건비",IF(IFERROR(SEARCH("임차",E463),0)&gt;0,"임차·시설",IF(IFERROR(SEARCH("광고",E463),0)&gt;0,"광고·행사",IF(IFERROR(SEARCH("용역",E463),0)&gt;0,"용역·수수료","기타/불명"))))))</x:f>
      </x:c>
      <x:c r="J463" s="77" t="str">
        <x:f>IF(A463="","",IF(I463="기타/불명","확인 필요","결의서명으로 1차 확인"))</x:f>
      </x:c>
      <x:c r="K463" s="78"/>
    </x:row>
    <x:row r="464">
      <x:c r="A464" s="73"/>
      <x:c r="B464" s="73"/>
      <x:c r="C464" s="74"/>
      <x:c r="D464" s="73"/>
      <x:c r="E464" s="73"/>
      <x:c r="F464" s="75"/>
      <x:c r="G464" s="75"/>
      <x:c r="H464" s="76" t="str">
        <x:f>IF(A464="","",F464-G464)</x:f>
      </x:c>
      <x:c r="I464" s="77" t="str">
        <x:f>IF(A464="","",IF(E464="","기타/불명",IF(IFERROR(SEARCH("급여",E464),0)&gt;0,"인건비",IF(IFERROR(SEARCH("임차",E464),0)&gt;0,"임차·시설",IF(IFERROR(SEARCH("광고",E464),0)&gt;0,"광고·행사",IF(IFERROR(SEARCH("용역",E464),0)&gt;0,"용역·수수료","기타/불명"))))))</x:f>
      </x:c>
      <x:c r="J464" s="77" t="str">
        <x:f>IF(A464="","",IF(I464="기타/불명","확인 필요","결의서명으로 1차 확인"))</x:f>
      </x:c>
      <x:c r="K464" s="78"/>
    </x:row>
    <x:row r="465">
      <x:c r="A465" s="73"/>
      <x:c r="B465" s="73"/>
      <x:c r="C465" s="74"/>
      <x:c r="D465" s="73"/>
      <x:c r="E465" s="73"/>
      <x:c r="F465" s="75"/>
      <x:c r="G465" s="75"/>
      <x:c r="H465" s="76" t="str">
        <x:f>IF(A465="","",F465-G465)</x:f>
      </x:c>
      <x:c r="I465" s="77" t="str">
        <x:f>IF(A465="","",IF(E465="","기타/불명",IF(IFERROR(SEARCH("급여",E465),0)&gt;0,"인건비",IF(IFERROR(SEARCH("임차",E465),0)&gt;0,"임차·시설",IF(IFERROR(SEARCH("광고",E465),0)&gt;0,"광고·행사",IF(IFERROR(SEARCH("용역",E465),0)&gt;0,"용역·수수료","기타/불명"))))))</x:f>
      </x:c>
      <x:c r="J465" s="77" t="str">
        <x:f>IF(A465="","",IF(I465="기타/불명","확인 필요","결의서명으로 1차 확인"))</x:f>
      </x:c>
      <x:c r="K465" s="78"/>
    </x:row>
    <x:row r="466">
      <x:c r="A466" s="73"/>
      <x:c r="B466" s="73"/>
      <x:c r="C466" s="74"/>
      <x:c r="D466" s="73"/>
      <x:c r="E466" s="73"/>
      <x:c r="F466" s="75"/>
      <x:c r="G466" s="75"/>
      <x:c r="H466" s="76" t="str">
        <x:f>IF(A466="","",F466-G466)</x:f>
      </x:c>
      <x:c r="I466" s="77" t="str">
        <x:f>IF(A466="","",IF(E466="","기타/불명",IF(IFERROR(SEARCH("급여",E466),0)&gt;0,"인건비",IF(IFERROR(SEARCH("임차",E466),0)&gt;0,"임차·시설",IF(IFERROR(SEARCH("광고",E466),0)&gt;0,"광고·행사",IF(IFERROR(SEARCH("용역",E466),0)&gt;0,"용역·수수료","기타/불명"))))))</x:f>
      </x:c>
      <x:c r="J466" s="77" t="str">
        <x:f>IF(A466="","",IF(I466="기타/불명","확인 필요","결의서명으로 1차 확인"))</x:f>
      </x:c>
      <x:c r="K466" s="78"/>
    </x:row>
    <x:row r="467">
      <x:c r="A467" s="73"/>
      <x:c r="B467" s="73"/>
      <x:c r="C467" s="74"/>
      <x:c r="D467" s="73"/>
      <x:c r="E467" s="73"/>
      <x:c r="F467" s="75"/>
      <x:c r="G467" s="75"/>
      <x:c r="H467" s="76" t="str">
        <x:f>IF(A467="","",F467-G467)</x:f>
      </x:c>
      <x:c r="I467" s="77" t="str">
        <x:f>IF(A467="","",IF(E467="","기타/불명",IF(IFERROR(SEARCH("급여",E467),0)&gt;0,"인건비",IF(IFERROR(SEARCH("임차",E467),0)&gt;0,"임차·시설",IF(IFERROR(SEARCH("광고",E467),0)&gt;0,"광고·행사",IF(IFERROR(SEARCH("용역",E467),0)&gt;0,"용역·수수료","기타/불명"))))))</x:f>
      </x:c>
      <x:c r="J467" s="77" t="str">
        <x:f>IF(A467="","",IF(I467="기타/불명","확인 필요","결의서명으로 1차 확인"))</x:f>
      </x:c>
      <x:c r="K467" s="78"/>
    </x:row>
    <x:row r="468">
      <x:c r="A468" s="73"/>
      <x:c r="B468" s="73"/>
      <x:c r="C468" s="74"/>
      <x:c r="D468" s="73"/>
      <x:c r="E468" s="73"/>
      <x:c r="F468" s="75"/>
      <x:c r="G468" s="75"/>
      <x:c r="H468" s="76" t="str">
        <x:f>IF(A468="","",F468-G468)</x:f>
      </x:c>
      <x:c r="I468" s="77" t="str">
        <x:f>IF(A468="","",IF(E468="","기타/불명",IF(IFERROR(SEARCH("급여",E468),0)&gt;0,"인건비",IF(IFERROR(SEARCH("임차",E468),0)&gt;0,"임차·시설",IF(IFERROR(SEARCH("광고",E468),0)&gt;0,"광고·행사",IF(IFERROR(SEARCH("용역",E468),0)&gt;0,"용역·수수료","기타/불명"))))))</x:f>
      </x:c>
      <x:c r="J468" s="77" t="str">
        <x:f>IF(A468="","",IF(I468="기타/불명","확인 필요","결의서명으로 1차 확인"))</x:f>
      </x:c>
      <x:c r="K468" s="78"/>
    </x:row>
    <x:row r="469">
      <x:c r="A469" s="73"/>
      <x:c r="B469" s="73"/>
      <x:c r="C469" s="74"/>
      <x:c r="D469" s="73"/>
      <x:c r="E469" s="73"/>
      <x:c r="F469" s="75"/>
      <x:c r="G469" s="75"/>
      <x:c r="H469" s="76" t="str">
        <x:f>IF(A469="","",F469-G469)</x:f>
      </x:c>
      <x:c r="I469" s="77" t="str">
        <x:f>IF(A469="","",IF(E469="","기타/불명",IF(IFERROR(SEARCH("급여",E469),0)&gt;0,"인건비",IF(IFERROR(SEARCH("임차",E469),0)&gt;0,"임차·시설",IF(IFERROR(SEARCH("광고",E469),0)&gt;0,"광고·행사",IF(IFERROR(SEARCH("용역",E469),0)&gt;0,"용역·수수료","기타/불명"))))))</x:f>
      </x:c>
      <x:c r="J469" s="77" t="str">
        <x:f>IF(A469="","",IF(I469="기타/불명","확인 필요","결의서명으로 1차 확인"))</x:f>
      </x:c>
      <x:c r="K469" s="78"/>
    </x:row>
    <x:row r="470">
      <x:c r="A470" s="73"/>
      <x:c r="B470" s="73"/>
      <x:c r="C470" s="74"/>
      <x:c r="D470" s="73"/>
      <x:c r="E470" s="73"/>
      <x:c r="F470" s="75"/>
      <x:c r="G470" s="75"/>
      <x:c r="H470" s="76" t="str">
        <x:f>IF(A470="","",F470-G470)</x:f>
      </x:c>
      <x:c r="I470" s="77" t="str">
        <x:f>IF(A470="","",IF(E470="","기타/불명",IF(IFERROR(SEARCH("급여",E470),0)&gt;0,"인건비",IF(IFERROR(SEARCH("임차",E470),0)&gt;0,"임차·시설",IF(IFERROR(SEARCH("광고",E470),0)&gt;0,"광고·행사",IF(IFERROR(SEARCH("용역",E470),0)&gt;0,"용역·수수료","기타/불명"))))))</x:f>
      </x:c>
      <x:c r="J470" s="77" t="str">
        <x:f>IF(A470="","",IF(I470="기타/불명","확인 필요","결의서명으로 1차 확인"))</x:f>
      </x:c>
      <x:c r="K470" s="78"/>
    </x:row>
    <x:row r="471">
      <x:c r="A471" s="73"/>
      <x:c r="B471" s="73"/>
      <x:c r="C471" s="74"/>
      <x:c r="D471" s="73"/>
      <x:c r="E471" s="73"/>
      <x:c r="F471" s="75"/>
      <x:c r="G471" s="75"/>
      <x:c r="H471" s="76" t="str">
        <x:f>IF(A471="","",F471-G471)</x:f>
      </x:c>
      <x:c r="I471" s="77" t="str">
        <x:f>IF(A471="","",IF(E471="","기타/불명",IF(IFERROR(SEARCH("급여",E471),0)&gt;0,"인건비",IF(IFERROR(SEARCH("임차",E471),0)&gt;0,"임차·시설",IF(IFERROR(SEARCH("광고",E471),0)&gt;0,"광고·행사",IF(IFERROR(SEARCH("용역",E471),0)&gt;0,"용역·수수료","기타/불명"))))))</x:f>
      </x:c>
      <x:c r="J471" s="77" t="str">
        <x:f>IF(A471="","",IF(I471="기타/불명","확인 필요","결의서명으로 1차 확인"))</x:f>
      </x:c>
      <x:c r="K471" s="78"/>
    </x:row>
    <x:row r="472">
      <x:c r="A472" s="73"/>
      <x:c r="B472" s="73"/>
      <x:c r="C472" s="74"/>
      <x:c r="D472" s="73"/>
      <x:c r="E472" s="73"/>
      <x:c r="F472" s="75"/>
      <x:c r="G472" s="75"/>
      <x:c r="H472" s="76" t="str">
        <x:f>IF(A472="","",F472-G472)</x:f>
      </x:c>
      <x:c r="I472" s="77" t="str">
        <x:f>IF(A472="","",IF(E472="","기타/불명",IF(IFERROR(SEARCH("급여",E472),0)&gt;0,"인건비",IF(IFERROR(SEARCH("임차",E472),0)&gt;0,"임차·시설",IF(IFERROR(SEARCH("광고",E472),0)&gt;0,"광고·행사",IF(IFERROR(SEARCH("용역",E472),0)&gt;0,"용역·수수료","기타/불명"))))))</x:f>
      </x:c>
      <x:c r="J472" s="77" t="str">
        <x:f>IF(A472="","",IF(I472="기타/불명","확인 필요","결의서명으로 1차 확인"))</x:f>
      </x:c>
      <x:c r="K472" s="78"/>
    </x:row>
    <x:row r="473">
      <x:c r="A473" s="73"/>
      <x:c r="B473" s="73"/>
      <x:c r="C473" s="74"/>
      <x:c r="D473" s="73"/>
      <x:c r="E473" s="73"/>
      <x:c r="F473" s="75"/>
      <x:c r="G473" s="75"/>
      <x:c r="H473" s="76" t="str">
        <x:f>IF(A473="","",F473-G473)</x:f>
      </x:c>
      <x:c r="I473" s="77" t="str">
        <x:f>IF(A473="","",IF(E473="","기타/불명",IF(IFERROR(SEARCH("급여",E473),0)&gt;0,"인건비",IF(IFERROR(SEARCH("임차",E473),0)&gt;0,"임차·시설",IF(IFERROR(SEARCH("광고",E473),0)&gt;0,"광고·행사",IF(IFERROR(SEARCH("용역",E473),0)&gt;0,"용역·수수료","기타/불명"))))))</x:f>
      </x:c>
      <x:c r="J473" s="77" t="str">
        <x:f>IF(A473="","",IF(I473="기타/불명","확인 필요","결의서명으로 1차 확인"))</x:f>
      </x:c>
      <x:c r="K473" s="78"/>
    </x:row>
    <x:row r="474">
      <x:c r="A474" s="73"/>
      <x:c r="B474" s="73"/>
      <x:c r="C474" s="74"/>
      <x:c r="D474" s="73"/>
      <x:c r="E474" s="73"/>
      <x:c r="F474" s="75"/>
      <x:c r="G474" s="75"/>
      <x:c r="H474" s="76" t="str">
        <x:f>IF(A474="","",F474-G474)</x:f>
      </x:c>
      <x:c r="I474" s="77" t="str">
        <x:f>IF(A474="","",IF(E474="","기타/불명",IF(IFERROR(SEARCH("급여",E474),0)&gt;0,"인건비",IF(IFERROR(SEARCH("임차",E474),0)&gt;0,"임차·시설",IF(IFERROR(SEARCH("광고",E474),0)&gt;0,"광고·행사",IF(IFERROR(SEARCH("용역",E474),0)&gt;0,"용역·수수료","기타/불명"))))))</x:f>
      </x:c>
      <x:c r="J474" s="77" t="str">
        <x:f>IF(A474="","",IF(I474="기타/불명","확인 필요","결의서명으로 1차 확인"))</x:f>
      </x:c>
      <x:c r="K474" s="78"/>
    </x:row>
    <x:row r="475">
      <x:c r="A475" s="73"/>
      <x:c r="B475" s="73"/>
      <x:c r="C475" s="74"/>
      <x:c r="D475" s="73"/>
      <x:c r="E475" s="73"/>
      <x:c r="F475" s="75"/>
      <x:c r="G475" s="75"/>
      <x:c r="H475" s="76" t="str">
        <x:f>IF(A475="","",F475-G475)</x:f>
      </x:c>
      <x:c r="I475" s="77" t="str">
        <x:f>IF(A475="","",IF(E475="","기타/불명",IF(IFERROR(SEARCH("급여",E475),0)&gt;0,"인건비",IF(IFERROR(SEARCH("임차",E475),0)&gt;0,"임차·시설",IF(IFERROR(SEARCH("광고",E475),0)&gt;0,"광고·행사",IF(IFERROR(SEARCH("용역",E475),0)&gt;0,"용역·수수료","기타/불명"))))))</x:f>
      </x:c>
      <x:c r="J475" s="77" t="str">
        <x:f>IF(A475="","",IF(I475="기타/불명","확인 필요","결의서명으로 1차 확인"))</x:f>
      </x:c>
      <x:c r="K475" s="78"/>
    </x:row>
    <x:row r="476">
      <x:c r="A476" s="73"/>
      <x:c r="B476" s="73"/>
      <x:c r="C476" s="74"/>
      <x:c r="D476" s="73"/>
      <x:c r="E476" s="73"/>
      <x:c r="F476" s="75"/>
      <x:c r="G476" s="75"/>
      <x:c r="H476" s="76" t="str">
        <x:f>IF(A476="","",F476-G476)</x:f>
      </x:c>
      <x:c r="I476" s="77" t="str">
        <x:f>IF(A476="","",IF(E476="","기타/불명",IF(IFERROR(SEARCH("급여",E476),0)&gt;0,"인건비",IF(IFERROR(SEARCH("임차",E476),0)&gt;0,"임차·시설",IF(IFERROR(SEARCH("광고",E476),0)&gt;0,"광고·행사",IF(IFERROR(SEARCH("용역",E476),0)&gt;0,"용역·수수료","기타/불명"))))))</x:f>
      </x:c>
      <x:c r="J476" s="77" t="str">
        <x:f>IF(A476="","",IF(I476="기타/불명","확인 필요","결의서명으로 1차 확인"))</x:f>
      </x:c>
      <x:c r="K476" s="78"/>
    </x:row>
    <x:row r="477">
      <x:c r="A477" s="73"/>
      <x:c r="B477" s="73"/>
      <x:c r="C477" s="74"/>
      <x:c r="D477" s="73"/>
      <x:c r="E477" s="73"/>
      <x:c r="F477" s="75"/>
      <x:c r="G477" s="75"/>
      <x:c r="H477" s="76" t="str">
        <x:f>IF(A477="","",F477-G477)</x:f>
      </x:c>
      <x:c r="I477" s="77" t="str">
        <x:f>IF(A477="","",IF(E477="","기타/불명",IF(IFERROR(SEARCH("급여",E477),0)&gt;0,"인건비",IF(IFERROR(SEARCH("임차",E477),0)&gt;0,"임차·시설",IF(IFERROR(SEARCH("광고",E477),0)&gt;0,"광고·행사",IF(IFERROR(SEARCH("용역",E477),0)&gt;0,"용역·수수료","기타/불명"))))))</x:f>
      </x:c>
      <x:c r="J477" s="77" t="str">
        <x:f>IF(A477="","",IF(I477="기타/불명","확인 필요","결의서명으로 1차 확인"))</x:f>
      </x:c>
      <x:c r="K477" s="78"/>
    </x:row>
    <x:row r="478">
      <x:c r="A478" s="73"/>
      <x:c r="B478" s="73"/>
      <x:c r="C478" s="74"/>
      <x:c r="D478" s="73"/>
      <x:c r="E478" s="73"/>
      <x:c r="F478" s="75"/>
      <x:c r="G478" s="75"/>
      <x:c r="H478" s="76" t="str">
        <x:f>IF(A478="","",F478-G478)</x:f>
      </x:c>
      <x:c r="I478" s="77" t="str">
        <x:f>IF(A478="","",IF(E478="","기타/불명",IF(IFERROR(SEARCH("급여",E478),0)&gt;0,"인건비",IF(IFERROR(SEARCH("임차",E478),0)&gt;0,"임차·시설",IF(IFERROR(SEARCH("광고",E478),0)&gt;0,"광고·행사",IF(IFERROR(SEARCH("용역",E478),0)&gt;0,"용역·수수료","기타/불명"))))))</x:f>
      </x:c>
      <x:c r="J478" s="77" t="str">
        <x:f>IF(A478="","",IF(I478="기타/불명","확인 필요","결의서명으로 1차 확인"))</x:f>
      </x:c>
      <x:c r="K478" s="78"/>
    </x:row>
    <x:row r="479">
      <x:c r="A479" s="73"/>
      <x:c r="B479" s="73"/>
      <x:c r="C479" s="74"/>
      <x:c r="D479" s="73"/>
      <x:c r="E479" s="73"/>
      <x:c r="F479" s="75"/>
      <x:c r="G479" s="75"/>
      <x:c r="H479" s="76" t="str">
        <x:f>IF(A479="","",F479-G479)</x:f>
      </x:c>
      <x:c r="I479" s="77" t="str">
        <x:f>IF(A479="","",IF(E479="","기타/불명",IF(IFERROR(SEARCH("급여",E479),0)&gt;0,"인건비",IF(IFERROR(SEARCH("임차",E479),0)&gt;0,"임차·시설",IF(IFERROR(SEARCH("광고",E479),0)&gt;0,"광고·행사",IF(IFERROR(SEARCH("용역",E479),0)&gt;0,"용역·수수료","기타/불명"))))))</x:f>
      </x:c>
      <x:c r="J479" s="77" t="str">
        <x:f>IF(A479="","",IF(I479="기타/불명","확인 필요","결의서명으로 1차 확인"))</x:f>
      </x:c>
      <x:c r="K479" s="78"/>
    </x:row>
    <x:row r="480">
      <x:c r="A480" s="73"/>
      <x:c r="B480" s="73"/>
      <x:c r="C480" s="74"/>
      <x:c r="D480" s="73"/>
      <x:c r="E480" s="73"/>
      <x:c r="F480" s="75"/>
      <x:c r="G480" s="75"/>
      <x:c r="H480" s="76" t="str">
        <x:f>IF(A480="","",F480-G480)</x:f>
      </x:c>
      <x:c r="I480" s="77" t="str">
        <x:f>IF(A480="","",IF(E480="","기타/불명",IF(IFERROR(SEARCH("급여",E480),0)&gt;0,"인건비",IF(IFERROR(SEARCH("임차",E480),0)&gt;0,"임차·시설",IF(IFERROR(SEARCH("광고",E480),0)&gt;0,"광고·행사",IF(IFERROR(SEARCH("용역",E480),0)&gt;0,"용역·수수료","기타/불명"))))))</x:f>
      </x:c>
      <x:c r="J480" s="77" t="str">
        <x:f>IF(A480="","",IF(I480="기타/불명","확인 필요","결의서명으로 1차 확인"))</x:f>
      </x:c>
      <x:c r="K480" s="78"/>
    </x:row>
    <x:row r="481">
      <x:c r="A481" s="73"/>
      <x:c r="B481" s="73"/>
      <x:c r="C481" s="74"/>
      <x:c r="D481" s="73"/>
      <x:c r="E481" s="73"/>
      <x:c r="F481" s="75"/>
      <x:c r="G481" s="75"/>
      <x:c r="H481" s="76" t="str">
        <x:f>IF(A481="","",F481-G481)</x:f>
      </x:c>
      <x:c r="I481" s="77" t="str">
        <x:f>IF(A481="","",IF(E481="","기타/불명",IF(IFERROR(SEARCH("급여",E481),0)&gt;0,"인건비",IF(IFERROR(SEARCH("임차",E481),0)&gt;0,"임차·시설",IF(IFERROR(SEARCH("광고",E481),0)&gt;0,"광고·행사",IF(IFERROR(SEARCH("용역",E481),0)&gt;0,"용역·수수료","기타/불명"))))))</x:f>
      </x:c>
      <x:c r="J481" s="77" t="str">
        <x:f>IF(A481="","",IF(I481="기타/불명","확인 필요","결의서명으로 1차 확인"))</x:f>
      </x:c>
      <x:c r="K481" s="78"/>
    </x:row>
    <x:row r="482">
      <x:c r="A482" s="73"/>
      <x:c r="B482" s="73"/>
      <x:c r="C482" s="74"/>
      <x:c r="D482" s="73"/>
      <x:c r="E482" s="73"/>
      <x:c r="F482" s="75"/>
      <x:c r="G482" s="75"/>
      <x:c r="H482" s="76" t="str">
        <x:f>IF(A482="","",F482-G482)</x:f>
      </x:c>
      <x:c r="I482" s="77" t="str">
        <x:f>IF(A482="","",IF(E482="","기타/불명",IF(IFERROR(SEARCH("급여",E482),0)&gt;0,"인건비",IF(IFERROR(SEARCH("임차",E482),0)&gt;0,"임차·시설",IF(IFERROR(SEARCH("광고",E482),0)&gt;0,"광고·행사",IF(IFERROR(SEARCH("용역",E482),0)&gt;0,"용역·수수료","기타/불명"))))))</x:f>
      </x:c>
      <x:c r="J482" s="77" t="str">
        <x:f>IF(A482="","",IF(I482="기타/불명","확인 필요","결의서명으로 1차 확인"))</x:f>
      </x:c>
      <x:c r="K482" s="78"/>
    </x:row>
    <x:row r="483">
      <x:c r="A483" s="73"/>
      <x:c r="B483" s="73"/>
      <x:c r="C483" s="74"/>
      <x:c r="D483" s="73"/>
      <x:c r="E483" s="73"/>
      <x:c r="F483" s="75"/>
      <x:c r="G483" s="75"/>
      <x:c r="H483" s="76" t="str">
        <x:f>IF(A483="","",F483-G483)</x:f>
      </x:c>
      <x:c r="I483" s="77" t="str">
        <x:f>IF(A483="","",IF(E483="","기타/불명",IF(IFERROR(SEARCH("급여",E483),0)&gt;0,"인건비",IF(IFERROR(SEARCH("임차",E483),0)&gt;0,"임차·시설",IF(IFERROR(SEARCH("광고",E483),0)&gt;0,"광고·행사",IF(IFERROR(SEARCH("용역",E483),0)&gt;0,"용역·수수료","기타/불명"))))))</x:f>
      </x:c>
      <x:c r="J483" s="77" t="str">
        <x:f>IF(A483="","",IF(I483="기타/불명","확인 필요","결의서명으로 1차 확인"))</x:f>
      </x:c>
      <x:c r="K483" s="78"/>
    </x:row>
    <x:row r="484">
      <x:c r="A484" s="73"/>
      <x:c r="B484" s="73"/>
      <x:c r="C484" s="74"/>
      <x:c r="D484" s="73"/>
      <x:c r="E484" s="73"/>
      <x:c r="F484" s="75"/>
      <x:c r="G484" s="75"/>
      <x:c r="H484" s="76" t="str">
        <x:f>IF(A484="","",F484-G484)</x:f>
      </x:c>
      <x:c r="I484" s="77" t="str">
        <x:f>IF(A484="","",IF(E484="","기타/불명",IF(IFERROR(SEARCH("급여",E484),0)&gt;0,"인건비",IF(IFERROR(SEARCH("임차",E484),0)&gt;0,"임차·시설",IF(IFERROR(SEARCH("광고",E484),0)&gt;0,"광고·행사",IF(IFERROR(SEARCH("용역",E484),0)&gt;0,"용역·수수료","기타/불명"))))))</x:f>
      </x:c>
      <x:c r="J484" s="77" t="str">
        <x:f>IF(A484="","",IF(I484="기타/불명","확인 필요","결의서명으로 1차 확인"))</x:f>
      </x:c>
      <x:c r="K484" s="78"/>
    </x:row>
    <x:row r="485">
      <x:c r="A485" s="73"/>
      <x:c r="B485" s="73"/>
      <x:c r="C485" s="74"/>
      <x:c r="D485" s="73"/>
      <x:c r="E485" s="73"/>
      <x:c r="F485" s="75"/>
      <x:c r="G485" s="75"/>
      <x:c r="H485" s="76" t="str">
        <x:f>IF(A485="","",F485-G485)</x:f>
      </x:c>
      <x:c r="I485" s="77" t="str">
        <x:f>IF(A485="","",IF(E485="","기타/불명",IF(IFERROR(SEARCH("급여",E485),0)&gt;0,"인건비",IF(IFERROR(SEARCH("임차",E485),0)&gt;0,"임차·시설",IF(IFERROR(SEARCH("광고",E485),0)&gt;0,"광고·행사",IF(IFERROR(SEARCH("용역",E485),0)&gt;0,"용역·수수료","기타/불명"))))))</x:f>
      </x:c>
      <x:c r="J485" s="77" t="str">
        <x:f>IF(A485="","",IF(I485="기타/불명","확인 필요","결의서명으로 1차 확인"))</x:f>
      </x:c>
      <x:c r="K485" s="78"/>
    </x:row>
    <x:row r="486">
      <x:c r="A486" s="73"/>
      <x:c r="B486" s="73"/>
      <x:c r="C486" s="74"/>
      <x:c r="D486" s="73"/>
      <x:c r="E486" s="73"/>
      <x:c r="F486" s="75"/>
      <x:c r="G486" s="75"/>
      <x:c r="H486" s="76" t="str">
        <x:f>IF(A486="","",F486-G486)</x:f>
      </x:c>
      <x:c r="I486" s="77" t="str">
        <x:f>IF(A486="","",IF(E486="","기타/불명",IF(IFERROR(SEARCH("급여",E486),0)&gt;0,"인건비",IF(IFERROR(SEARCH("임차",E486),0)&gt;0,"임차·시설",IF(IFERROR(SEARCH("광고",E486),0)&gt;0,"광고·행사",IF(IFERROR(SEARCH("용역",E486),0)&gt;0,"용역·수수료","기타/불명"))))))</x:f>
      </x:c>
      <x:c r="J486" s="77" t="str">
        <x:f>IF(A486="","",IF(I486="기타/불명","확인 필요","결의서명으로 1차 확인"))</x:f>
      </x:c>
      <x:c r="K486" s="78"/>
    </x:row>
    <x:row r="487">
      <x:c r="A487" s="73"/>
      <x:c r="B487" s="73"/>
      <x:c r="C487" s="74"/>
      <x:c r="D487" s="73"/>
      <x:c r="E487" s="73"/>
      <x:c r="F487" s="75"/>
      <x:c r="G487" s="75"/>
      <x:c r="H487" s="76" t="str">
        <x:f>IF(A487="","",F487-G487)</x:f>
      </x:c>
      <x:c r="I487" s="77" t="str">
        <x:f>IF(A487="","",IF(E487="","기타/불명",IF(IFERROR(SEARCH("급여",E487),0)&gt;0,"인건비",IF(IFERROR(SEARCH("임차",E487),0)&gt;0,"임차·시설",IF(IFERROR(SEARCH("광고",E487),0)&gt;0,"광고·행사",IF(IFERROR(SEARCH("용역",E487),0)&gt;0,"용역·수수료","기타/불명"))))))</x:f>
      </x:c>
      <x:c r="J487" s="77" t="str">
        <x:f>IF(A487="","",IF(I487="기타/불명","확인 필요","결의서명으로 1차 확인"))</x:f>
      </x:c>
      <x:c r="K487" s="78"/>
    </x:row>
    <x:row r="488">
      <x:c r="A488" s="73"/>
      <x:c r="B488" s="73"/>
      <x:c r="C488" s="74"/>
      <x:c r="D488" s="73"/>
      <x:c r="E488" s="73"/>
      <x:c r="F488" s="75"/>
      <x:c r="G488" s="75"/>
      <x:c r="H488" s="76" t="str">
        <x:f>IF(A488="","",F488-G488)</x:f>
      </x:c>
      <x:c r="I488" s="77" t="str">
        <x:f>IF(A488="","",IF(E488="","기타/불명",IF(IFERROR(SEARCH("급여",E488),0)&gt;0,"인건비",IF(IFERROR(SEARCH("임차",E488),0)&gt;0,"임차·시설",IF(IFERROR(SEARCH("광고",E488),0)&gt;0,"광고·행사",IF(IFERROR(SEARCH("용역",E488),0)&gt;0,"용역·수수료","기타/불명"))))))</x:f>
      </x:c>
      <x:c r="J488" s="77" t="str">
        <x:f>IF(A488="","",IF(I488="기타/불명","확인 필요","결의서명으로 1차 확인"))</x:f>
      </x:c>
      <x:c r="K488" s="78"/>
    </x:row>
    <x:row r="489">
      <x:c r="A489" s="73"/>
      <x:c r="B489" s="73"/>
      <x:c r="C489" s="74"/>
      <x:c r="D489" s="73"/>
      <x:c r="E489" s="73"/>
      <x:c r="F489" s="75"/>
      <x:c r="G489" s="75"/>
      <x:c r="H489" s="76" t="str">
        <x:f>IF(A489="","",F489-G489)</x:f>
      </x:c>
      <x:c r="I489" s="77" t="str">
        <x:f>IF(A489="","",IF(E489="","기타/불명",IF(IFERROR(SEARCH("급여",E489),0)&gt;0,"인건비",IF(IFERROR(SEARCH("임차",E489),0)&gt;0,"임차·시설",IF(IFERROR(SEARCH("광고",E489),0)&gt;0,"광고·행사",IF(IFERROR(SEARCH("용역",E489),0)&gt;0,"용역·수수료","기타/불명"))))))</x:f>
      </x:c>
      <x:c r="J489" s="77" t="str">
        <x:f>IF(A489="","",IF(I489="기타/불명","확인 필요","결의서명으로 1차 확인"))</x:f>
      </x:c>
      <x:c r="K489" s="78"/>
    </x:row>
    <x:row r="490">
      <x:c r="A490" s="73"/>
      <x:c r="B490" s="73"/>
      <x:c r="C490" s="74"/>
      <x:c r="D490" s="73"/>
      <x:c r="E490" s="73"/>
      <x:c r="F490" s="75"/>
      <x:c r="G490" s="75"/>
      <x:c r="H490" s="76" t="str">
        <x:f>IF(A490="","",F490-G490)</x:f>
      </x:c>
      <x:c r="I490" s="77" t="str">
        <x:f>IF(A490="","",IF(E490="","기타/불명",IF(IFERROR(SEARCH("급여",E490),0)&gt;0,"인건비",IF(IFERROR(SEARCH("임차",E490),0)&gt;0,"임차·시설",IF(IFERROR(SEARCH("광고",E490),0)&gt;0,"광고·행사",IF(IFERROR(SEARCH("용역",E490),0)&gt;0,"용역·수수료","기타/불명"))))))</x:f>
      </x:c>
      <x:c r="J490" s="77" t="str">
        <x:f>IF(A490="","",IF(I490="기타/불명","확인 필요","결의서명으로 1차 확인"))</x:f>
      </x:c>
      <x:c r="K490" s="78"/>
    </x:row>
    <x:row r="491">
      <x:c r="A491" s="73"/>
      <x:c r="B491" s="73"/>
      <x:c r="C491" s="74"/>
      <x:c r="D491" s="73"/>
      <x:c r="E491" s="73"/>
      <x:c r="F491" s="75"/>
      <x:c r="G491" s="75"/>
      <x:c r="H491" s="76" t="str">
        <x:f>IF(A491="","",F491-G491)</x:f>
      </x:c>
      <x:c r="I491" s="77" t="str">
        <x:f>IF(A491="","",IF(E491="","기타/불명",IF(IFERROR(SEARCH("급여",E491),0)&gt;0,"인건비",IF(IFERROR(SEARCH("임차",E491),0)&gt;0,"임차·시설",IF(IFERROR(SEARCH("광고",E491),0)&gt;0,"광고·행사",IF(IFERROR(SEARCH("용역",E491),0)&gt;0,"용역·수수료","기타/불명"))))))</x:f>
      </x:c>
      <x:c r="J491" s="77" t="str">
        <x:f>IF(A491="","",IF(I491="기타/불명","확인 필요","결의서명으로 1차 확인"))</x:f>
      </x:c>
      <x:c r="K491" s="78"/>
    </x:row>
    <x:row r="492">
      <x:c r="A492" s="73"/>
      <x:c r="B492" s="73"/>
      <x:c r="C492" s="74"/>
      <x:c r="D492" s="73"/>
      <x:c r="E492" s="73"/>
      <x:c r="F492" s="75"/>
      <x:c r="G492" s="75"/>
      <x:c r="H492" s="76" t="str">
        <x:f>IF(A492="","",F492-G492)</x:f>
      </x:c>
      <x:c r="I492" s="77" t="str">
        <x:f>IF(A492="","",IF(E492="","기타/불명",IF(IFERROR(SEARCH("급여",E492),0)&gt;0,"인건비",IF(IFERROR(SEARCH("임차",E492),0)&gt;0,"임차·시설",IF(IFERROR(SEARCH("광고",E492),0)&gt;0,"광고·행사",IF(IFERROR(SEARCH("용역",E492),0)&gt;0,"용역·수수료","기타/불명"))))))</x:f>
      </x:c>
      <x:c r="J492" s="77" t="str">
        <x:f>IF(A492="","",IF(I492="기타/불명","확인 필요","결의서명으로 1차 확인"))</x:f>
      </x:c>
      <x:c r="K492" s="78"/>
    </x:row>
    <x:row r="493">
      <x:c r="A493" s="73"/>
      <x:c r="B493" s="73"/>
      <x:c r="C493" s="74"/>
      <x:c r="D493" s="73"/>
      <x:c r="E493" s="73"/>
      <x:c r="F493" s="75"/>
      <x:c r="G493" s="75"/>
      <x:c r="H493" s="76" t="str">
        <x:f>IF(A493="","",F493-G493)</x:f>
      </x:c>
      <x:c r="I493" s="77" t="str">
        <x:f>IF(A493="","",IF(E493="","기타/불명",IF(IFERROR(SEARCH("급여",E493),0)&gt;0,"인건비",IF(IFERROR(SEARCH("임차",E493),0)&gt;0,"임차·시설",IF(IFERROR(SEARCH("광고",E493),0)&gt;0,"광고·행사",IF(IFERROR(SEARCH("용역",E493),0)&gt;0,"용역·수수료","기타/불명"))))))</x:f>
      </x:c>
      <x:c r="J493" s="77" t="str">
        <x:f>IF(A493="","",IF(I493="기타/불명","확인 필요","결의서명으로 1차 확인"))</x:f>
      </x:c>
      <x:c r="K493" s="78"/>
    </x:row>
    <x:row r="494">
      <x:c r="A494" s="73"/>
      <x:c r="B494" s="73"/>
      <x:c r="C494" s="74"/>
      <x:c r="D494" s="73"/>
      <x:c r="E494" s="73"/>
      <x:c r="F494" s="75"/>
      <x:c r="G494" s="75"/>
      <x:c r="H494" s="76" t="str">
        <x:f>IF(A494="","",F494-G494)</x:f>
      </x:c>
      <x:c r="I494" s="77" t="str">
        <x:f>IF(A494="","",IF(E494="","기타/불명",IF(IFERROR(SEARCH("급여",E494),0)&gt;0,"인건비",IF(IFERROR(SEARCH("임차",E494),0)&gt;0,"임차·시설",IF(IFERROR(SEARCH("광고",E494),0)&gt;0,"광고·행사",IF(IFERROR(SEARCH("용역",E494),0)&gt;0,"용역·수수료","기타/불명"))))))</x:f>
      </x:c>
      <x:c r="J494" s="77" t="str">
        <x:f>IF(A494="","",IF(I494="기타/불명","확인 필요","결의서명으로 1차 확인"))</x:f>
      </x:c>
      <x:c r="K494" s="78"/>
    </x:row>
    <x:row r="495">
      <x:c r="A495" s="73"/>
      <x:c r="B495" s="73"/>
      <x:c r="C495" s="74"/>
      <x:c r="D495" s="73"/>
      <x:c r="E495" s="73"/>
      <x:c r="F495" s="75"/>
      <x:c r="G495" s="75"/>
      <x:c r="H495" s="76" t="str">
        <x:f>IF(A495="","",F495-G495)</x:f>
      </x:c>
      <x:c r="I495" s="77" t="str">
        <x:f>IF(A495="","",IF(E495="","기타/불명",IF(IFERROR(SEARCH("급여",E495),0)&gt;0,"인건비",IF(IFERROR(SEARCH("임차",E495),0)&gt;0,"임차·시설",IF(IFERROR(SEARCH("광고",E495),0)&gt;0,"광고·행사",IF(IFERROR(SEARCH("용역",E495),0)&gt;0,"용역·수수료","기타/불명"))))))</x:f>
      </x:c>
      <x:c r="J495" s="77" t="str">
        <x:f>IF(A495="","",IF(I495="기타/불명","확인 필요","결의서명으로 1차 확인"))</x:f>
      </x:c>
      <x:c r="K495" s="78"/>
    </x:row>
    <x:row r="496">
      <x:c r="A496" s="73"/>
      <x:c r="B496" s="73"/>
      <x:c r="C496" s="74"/>
      <x:c r="D496" s="73"/>
      <x:c r="E496" s="73"/>
      <x:c r="F496" s="75"/>
      <x:c r="G496" s="75"/>
      <x:c r="H496" s="76" t="str">
        <x:f>IF(A496="","",F496-G496)</x:f>
      </x:c>
      <x:c r="I496" s="77" t="str">
        <x:f>IF(A496="","",IF(E496="","기타/불명",IF(IFERROR(SEARCH("급여",E496),0)&gt;0,"인건비",IF(IFERROR(SEARCH("임차",E496),0)&gt;0,"임차·시설",IF(IFERROR(SEARCH("광고",E496),0)&gt;0,"광고·행사",IF(IFERROR(SEARCH("용역",E496),0)&gt;0,"용역·수수료","기타/불명"))))))</x:f>
      </x:c>
      <x:c r="J496" s="77" t="str">
        <x:f>IF(A496="","",IF(I496="기타/불명","확인 필요","결의서명으로 1차 확인"))</x:f>
      </x:c>
      <x:c r="K496" s="78"/>
    </x:row>
    <x:row r="497">
      <x:c r="A497" s="73"/>
      <x:c r="B497" s="73"/>
      <x:c r="C497" s="74"/>
      <x:c r="D497" s="73"/>
      <x:c r="E497" s="73"/>
      <x:c r="F497" s="75"/>
      <x:c r="G497" s="75"/>
      <x:c r="H497" s="76" t="str">
        <x:f>IF(A497="","",F497-G497)</x:f>
      </x:c>
      <x:c r="I497" s="77" t="str">
        <x:f>IF(A497="","",IF(E497="","기타/불명",IF(IFERROR(SEARCH("급여",E497),0)&gt;0,"인건비",IF(IFERROR(SEARCH("임차",E497),0)&gt;0,"임차·시설",IF(IFERROR(SEARCH("광고",E497),0)&gt;0,"광고·행사",IF(IFERROR(SEARCH("용역",E497),0)&gt;0,"용역·수수료","기타/불명"))))))</x:f>
      </x:c>
      <x:c r="J497" s="77" t="str">
        <x:f>IF(A497="","",IF(I497="기타/불명","확인 필요","결의서명으로 1차 확인"))</x:f>
      </x:c>
      <x:c r="K497" s="78"/>
    </x:row>
    <x:row r="498">
      <x:c r="A498" s="73"/>
      <x:c r="B498" s="73"/>
      <x:c r="C498" s="74"/>
      <x:c r="D498" s="73"/>
      <x:c r="E498" s="73"/>
      <x:c r="F498" s="75"/>
      <x:c r="G498" s="75"/>
      <x:c r="H498" s="76" t="str">
        <x:f>IF(A498="","",F498-G498)</x:f>
      </x:c>
      <x:c r="I498" s="77" t="str">
        <x:f>IF(A498="","",IF(E498="","기타/불명",IF(IFERROR(SEARCH("급여",E498),0)&gt;0,"인건비",IF(IFERROR(SEARCH("임차",E498),0)&gt;0,"임차·시설",IF(IFERROR(SEARCH("광고",E498),0)&gt;0,"광고·행사",IF(IFERROR(SEARCH("용역",E498),0)&gt;0,"용역·수수료","기타/불명"))))))</x:f>
      </x:c>
      <x:c r="J498" s="77" t="str">
        <x:f>IF(A498="","",IF(I498="기타/불명","확인 필요","결의서명으로 1차 확인"))</x:f>
      </x:c>
      <x:c r="K498" s="78"/>
    </x:row>
    <x:row r="499">
      <x:c r="A499" s="73"/>
      <x:c r="B499" s="73"/>
      <x:c r="C499" s="74"/>
      <x:c r="D499" s="73"/>
      <x:c r="E499" s="73"/>
      <x:c r="F499" s="75"/>
      <x:c r="G499" s="75"/>
      <x:c r="H499" s="76" t="str">
        <x:f>IF(A499="","",F499-G499)</x:f>
      </x:c>
      <x:c r="I499" s="77" t="str">
        <x:f>IF(A499="","",IF(E499="","기타/불명",IF(IFERROR(SEARCH("급여",E499),0)&gt;0,"인건비",IF(IFERROR(SEARCH("임차",E499),0)&gt;0,"임차·시설",IF(IFERROR(SEARCH("광고",E499),0)&gt;0,"광고·행사",IF(IFERROR(SEARCH("용역",E499),0)&gt;0,"용역·수수료","기타/불명"))))))</x:f>
      </x:c>
      <x:c r="J499" s="77" t="str">
        <x:f>IF(A499="","",IF(I499="기타/불명","확인 필요","결의서명으로 1차 확인"))</x:f>
      </x:c>
      <x:c r="K499" s="78"/>
    </x:row>
    <x:row r="500">
      <x:c r="A500" s="73"/>
      <x:c r="B500" s="73"/>
      <x:c r="C500" s="74"/>
      <x:c r="D500" s="73"/>
      <x:c r="E500" s="73"/>
      <x:c r="F500" s="75"/>
      <x:c r="G500" s="75"/>
      <x:c r="H500" s="76" t="str">
        <x:f>IF(A500="","",F500-G500)</x:f>
      </x:c>
      <x:c r="I500" s="77" t="str">
        <x:f>IF(A500="","",IF(E500="","기타/불명",IF(IFERROR(SEARCH("급여",E500),0)&gt;0,"인건비",IF(IFERROR(SEARCH("임차",E500),0)&gt;0,"임차·시설",IF(IFERROR(SEARCH("광고",E500),0)&gt;0,"광고·행사",IF(IFERROR(SEARCH("용역",E500),0)&gt;0,"용역·수수료","기타/불명"))))))</x:f>
      </x:c>
      <x:c r="J500" s="77" t="str">
        <x:f>IF(A500="","",IF(I500="기타/불명","확인 필요","결의서명으로 1차 확인"))</x:f>
      </x:c>
      <x:c r="K500" s="78"/>
    </x:row>
    <x:row r="501">
      <x:c r="A501" s="73"/>
      <x:c r="B501" s="73"/>
      <x:c r="C501" s="74"/>
      <x:c r="D501" s="73"/>
      <x:c r="E501" s="73"/>
      <x:c r="F501" s="75"/>
      <x:c r="G501" s="75"/>
      <x:c r="H501" s="76" t="str">
        <x:f>IF(A501="","",F501-G501)</x:f>
      </x:c>
      <x:c r="I501" s="77" t="str">
        <x:f>IF(A501="","",IF(E501="","기타/불명",IF(IFERROR(SEARCH("급여",E501),0)&gt;0,"인건비",IF(IFERROR(SEARCH("임차",E501),0)&gt;0,"임차·시설",IF(IFERROR(SEARCH("광고",E501),0)&gt;0,"광고·행사",IF(IFERROR(SEARCH("용역",E501),0)&gt;0,"용역·수수료","기타/불명"))))))</x:f>
      </x:c>
      <x:c r="J501" s="77" t="str">
        <x:f>IF(A501="","",IF(I501="기타/불명","확인 필요","결의서명으로 1차 확인"))</x:f>
      </x:c>
      <x:c r="K501" s="78"/>
    </x:row>
    <x:row r="502">
      <x:c r="A502" s="73"/>
      <x:c r="B502" s="73"/>
      <x:c r="C502" s="74"/>
      <x:c r="D502" s="73"/>
      <x:c r="E502" s="73"/>
      <x:c r="F502" s="75"/>
      <x:c r="G502" s="75"/>
      <x:c r="H502" s="76" t="str">
        <x:f>IF(A502="","",F502-G502)</x:f>
      </x:c>
      <x:c r="I502" s="77" t="str">
        <x:f>IF(A502="","",IF(E502="","기타/불명",IF(IFERROR(SEARCH("급여",E502),0)&gt;0,"인건비",IF(IFERROR(SEARCH("임차",E502),0)&gt;0,"임차·시설",IF(IFERROR(SEARCH("광고",E502),0)&gt;0,"광고·행사",IF(IFERROR(SEARCH("용역",E502),0)&gt;0,"용역·수수료","기타/불명"))))))</x:f>
      </x:c>
      <x:c r="J502" s="77" t="str">
        <x:f>IF(A502="","",IF(I502="기타/불명","확인 필요","결의서명으로 1차 확인"))</x:f>
      </x:c>
      <x:c r="K502" s="78"/>
    </x:row>
    <x:row r="503">
      <x:c r="A503" s="73"/>
      <x:c r="B503" s="73"/>
      <x:c r="C503" s="74"/>
      <x:c r="D503" s="73"/>
      <x:c r="E503" s="73"/>
      <x:c r="F503" s="75"/>
      <x:c r="G503" s="75"/>
      <x:c r="H503" s="76" t="str">
        <x:f>IF(A503="","",F503-G503)</x:f>
      </x:c>
      <x:c r="I503" s="77" t="str">
        <x:f>IF(A503="","",IF(E503="","기타/불명",IF(IFERROR(SEARCH("급여",E503),0)&gt;0,"인건비",IF(IFERROR(SEARCH("임차",E503),0)&gt;0,"임차·시설",IF(IFERROR(SEARCH("광고",E503),0)&gt;0,"광고·행사",IF(IFERROR(SEARCH("용역",E503),0)&gt;0,"용역·수수료","기타/불명"))))))</x:f>
      </x:c>
      <x:c r="J503" s="77" t="str">
        <x:f>IF(A503="","",IF(I503="기타/불명","확인 필요","결의서명으로 1차 확인"))</x:f>
      </x:c>
      <x:c r="K503" s="78"/>
    </x:row>
    <x:row r="504">
      <x:c r="A504" s="73"/>
      <x:c r="B504" s="73"/>
      <x:c r="C504" s="74"/>
      <x:c r="D504" s="73"/>
      <x:c r="E504" s="73"/>
      <x:c r="F504" s="75"/>
      <x:c r="G504" s="75"/>
      <x:c r="H504" s="76" t="str">
        <x:f>IF(A504="","",F504-G504)</x:f>
      </x:c>
      <x:c r="I504" s="77" t="str">
        <x:f>IF(A504="","",IF(E504="","기타/불명",IF(IFERROR(SEARCH("급여",E504),0)&gt;0,"인건비",IF(IFERROR(SEARCH("임차",E504),0)&gt;0,"임차·시설",IF(IFERROR(SEARCH("광고",E504),0)&gt;0,"광고·행사",IF(IFERROR(SEARCH("용역",E504),0)&gt;0,"용역·수수료","기타/불명"))))))</x:f>
      </x:c>
      <x:c r="J504" s="77" t="str">
        <x:f>IF(A504="","",IF(I504="기타/불명","확인 필요","결의서명으로 1차 확인"))</x:f>
      </x:c>
      <x:c r="K504" s="78"/>
    </x:row>
    <x:row r="505">
      <x:c r="A505" s="73"/>
      <x:c r="B505" s="73"/>
      <x:c r="C505" s="74"/>
      <x:c r="D505" s="73"/>
      <x:c r="E505" s="73"/>
      <x:c r="F505" s="75"/>
      <x:c r="G505" s="75"/>
      <x:c r="H505" s="76" t="str">
        <x:f>IF(A505="","",F505-G505)</x:f>
      </x:c>
      <x:c r="I505" s="77" t="str">
        <x:f>IF(A505="","",IF(E505="","기타/불명",IF(IFERROR(SEARCH("급여",E505),0)&gt;0,"인건비",IF(IFERROR(SEARCH("임차",E505),0)&gt;0,"임차·시설",IF(IFERROR(SEARCH("광고",E505),0)&gt;0,"광고·행사",IF(IFERROR(SEARCH("용역",E505),0)&gt;0,"용역·수수료","기타/불명"))))))</x:f>
      </x:c>
      <x:c r="J505" s="77" t="str">
        <x:f>IF(A505="","",IF(I505="기타/불명","확인 필요","결의서명으로 1차 확인"))</x:f>
      </x:c>
      <x:c r="K505" s="78"/>
    </x:row>
    <x:row r="506">
      <x:c r="A506" s="73"/>
      <x:c r="B506" s="73"/>
      <x:c r="C506" s="74"/>
      <x:c r="D506" s="73"/>
      <x:c r="E506" s="73"/>
      <x:c r="F506" s="75"/>
      <x:c r="G506" s="75"/>
      <x:c r="H506" s="76" t="str">
        <x:f>IF(A506="","",F506-G506)</x:f>
      </x:c>
      <x:c r="I506" s="77" t="str">
        <x:f>IF(A506="","",IF(E506="","기타/불명",IF(IFERROR(SEARCH("급여",E506),0)&gt;0,"인건비",IF(IFERROR(SEARCH("임차",E506),0)&gt;0,"임차·시설",IF(IFERROR(SEARCH("광고",E506),0)&gt;0,"광고·행사",IF(IFERROR(SEARCH("용역",E506),0)&gt;0,"용역·수수료","기타/불명"))))))</x:f>
      </x:c>
      <x:c r="J506" s="77" t="str">
        <x:f>IF(A506="","",IF(I506="기타/불명","확인 필요","결의서명으로 1차 확인"))</x:f>
      </x:c>
      <x:c r="K506" s="78"/>
    </x:row>
    <x:row r="507">
      <x:c r="A507" s="73"/>
      <x:c r="B507" s="73"/>
      <x:c r="C507" s="74"/>
      <x:c r="D507" s="73"/>
      <x:c r="E507" s="73"/>
      <x:c r="F507" s="75"/>
      <x:c r="G507" s="75"/>
      <x:c r="H507" s="76" t="str">
        <x:f>IF(A507="","",F507-G507)</x:f>
      </x:c>
      <x:c r="I507" s="77" t="str">
        <x:f>IF(A507="","",IF(E507="","기타/불명",IF(IFERROR(SEARCH("급여",E507),0)&gt;0,"인건비",IF(IFERROR(SEARCH("임차",E507),0)&gt;0,"임차·시설",IF(IFERROR(SEARCH("광고",E507),0)&gt;0,"광고·행사",IF(IFERROR(SEARCH("용역",E507),0)&gt;0,"용역·수수료","기타/불명"))))))</x:f>
      </x:c>
      <x:c r="J507" s="77" t="str">
        <x:f>IF(A507="","",IF(I507="기타/불명","확인 필요","결의서명으로 1차 확인"))</x:f>
      </x:c>
      <x:c r="K507" s="78"/>
    </x:row>
    <x:row r="508">
      <x:c r="A508" s="73"/>
      <x:c r="B508" s="73"/>
      <x:c r="C508" s="74"/>
      <x:c r="D508" s="73"/>
      <x:c r="E508" s="73"/>
      <x:c r="F508" s="75"/>
      <x:c r="G508" s="75"/>
      <x:c r="H508" s="76" t="str">
        <x:f>IF(A508="","",F508-G508)</x:f>
      </x:c>
      <x:c r="I508" s="77" t="str">
        <x:f>IF(A508="","",IF(E508="","기타/불명",IF(IFERROR(SEARCH("급여",E508),0)&gt;0,"인건비",IF(IFERROR(SEARCH("임차",E508),0)&gt;0,"임차·시설",IF(IFERROR(SEARCH("광고",E508),0)&gt;0,"광고·행사",IF(IFERROR(SEARCH("용역",E508),0)&gt;0,"용역·수수료","기타/불명"))))))</x:f>
      </x:c>
      <x:c r="J508" s="77" t="str">
        <x:f>IF(A508="","",IF(I508="기타/불명","확인 필요","결의서명으로 1차 확인"))</x:f>
      </x:c>
      <x:c r="K508" s="78"/>
    </x:row>
    <x:row r="509">
      <x:c r="A509" s="73"/>
      <x:c r="B509" s="73"/>
      <x:c r="C509" s="74"/>
      <x:c r="D509" s="73"/>
      <x:c r="E509" s="73"/>
      <x:c r="F509" s="75"/>
      <x:c r="G509" s="75"/>
      <x:c r="H509" s="76" t="str">
        <x:f>IF(A509="","",F509-G509)</x:f>
      </x:c>
      <x:c r="I509" s="77" t="str">
        <x:f>IF(A509="","",IF(E509="","기타/불명",IF(IFERROR(SEARCH("급여",E509),0)&gt;0,"인건비",IF(IFERROR(SEARCH("임차",E509),0)&gt;0,"임차·시설",IF(IFERROR(SEARCH("광고",E509),0)&gt;0,"광고·행사",IF(IFERROR(SEARCH("용역",E509),0)&gt;0,"용역·수수료","기타/불명"))))))</x:f>
      </x:c>
      <x:c r="J509" s="77" t="str">
        <x:f>IF(A509="","",IF(I509="기타/불명","확인 필요","결의서명으로 1차 확인"))</x:f>
      </x:c>
      <x:c r="K509" s="78"/>
    </x:row>
    <x:row r="510">
      <x:c r="A510" s="73"/>
      <x:c r="B510" s="73"/>
      <x:c r="C510" s="74"/>
      <x:c r="D510" s="73"/>
      <x:c r="E510" s="73"/>
      <x:c r="F510" s="75"/>
      <x:c r="G510" s="75"/>
      <x:c r="H510" s="76" t="str">
        <x:f>IF(A510="","",F510-G510)</x:f>
      </x:c>
      <x:c r="I510" s="77" t="str">
        <x:f>IF(A510="","",IF(E510="","기타/불명",IF(IFERROR(SEARCH("급여",E510),0)&gt;0,"인건비",IF(IFERROR(SEARCH("임차",E510),0)&gt;0,"임차·시설",IF(IFERROR(SEARCH("광고",E510),0)&gt;0,"광고·행사",IF(IFERROR(SEARCH("용역",E510),0)&gt;0,"용역·수수료","기타/불명"))))))</x:f>
      </x:c>
      <x:c r="J510" s="77" t="str">
        <x:f>IF(A510="","",IF(I510="기타/불명","확인 필요","결의서명으로 1차 확인"))</x:f>
      </x:c>
      <x:c r="K510" s="78"/>
    </x:row>
    <x:row r="511">
      <x:c r="A511" s="73"/>
      <x:c r="B511" s="73"/>
      <x:c r="C511" s="74"/>
      <x:c r="D511" s="73"/>
      <x:c r="E511" s="73"/>
      <x:c r="F511" s="75"/>
      <x:c r="G511" s="75"/>
      <x:c r="H511" s="76" t="str">
        <x:f>IF(A511="","",F511-G511)</x:f>
      </x:c>
      <x:c r="I511" s="77" t="str">
        <x:f>IF(A511="","",IF(E511="","기타/불명",IF(IFERROR(SEARCH("급여",E511),0)&gt;0,"인건비",IF(IFERROR(SEARCH("임차",E511),0)&gt;0,"임차·시설",IF(IFERROR(SEARCH("광고",E511),0)&gt;0,"광고·행사",IF(IFERROR(SEARCH("용역",E511),0)&gt;0,"용역·수수료","기타/불명"))))))</x:f>
      </x:c>
      <x:c r="J511" s="77" t="str">
        <x:f>IF(A511="","",IF(I511="기타/불명","확인 필요","결의서명으로 1차 확인"))</x:f>
      </x:c>
      <x:c r="K511" s="78"/>
    </x:row>
    <x:row r="512">
      <x:c r="A512" s="73"/>
      <x:c r="B512" s="73"/>
      <x:c r="C512" s="74"/>
      <x:c r="D512" s="73"/>
      <x:c r="E512" s="73"/>
      <x:c r="F512" s="75"/>
      <x:c r="G512" s="75"/>
      <x:c r="H512" s="76" t="str">
        <x:f>IF(A512="","",F512-G512)</x:f>
      </x:c>
      <x:c r="I512" s="77" t="str">
        <x:f>IF(A512="","",IF(E512="","기타/불명",IF(IFERROR(SEARCH("급여",E512),0)&gt;0,"인건비",IF(IFERROR(SEARCH("임차",E512),0)&gt;0,"임차·시설",IF(IFERROR(SEARCH("광고",E512),0)&gt;0,"광고·행사",IF(IFERROR(SEARCH("용역",E512),0)&gt;0,"용역·수수료","기타/불명"))))))</x:f>
      </x:c>
      <x:c r="J512" s="77" t="str">
        <x:f>IF(A512="","",IF(I512="기타/불명","확인 필요","결의서명으로 1차 확인"))</x:f>
      </x:c>
      <x:c r="K512" s="78"/>
    </x:row>
    <x:row r="513">
      <x:c r="A513" s="73"/>
      <x:c r="B513" s="73"/>
      <x:c r="C513" s="74"/>
      <x:c r="D513" s="73"/>
      <x:c r="E513" s="73"/>
      <x:c r="F513" s="75"/>
      <x:c r="G513" s="75"/>
      <x:c r="H513" s="76" t="str">
        <x:f>IF(A513="","",F513-G513)</x:f>
      </x:c>
      <x:c r="I513" s="77" t="str">
        <x:f>IF(A513="","",IF(E513="","기타/불명",IF(IFERROR(SEARCH("급여",E513),0)&gt;0,"인건비",IF(IFERROR(SEARCH("임차",E513),0)&gt;0,"임차·시설",IF(IFERROR(SEARCH("광고",E513),0)&gt;0,"광고·행사",IF(IFERROR(SEARCH("용역",E513),0)&gt;0,"용역·수수료","기타/불명"))))))</x:f>
      </x:c>
      <x:c r="J513" s="77" t="str">
        <x:f>IF(A513="","",IF(I513="기타/불명","확인 필요","결의서명으로 1차 확인"))</x:f>
      </x:c>
      <x:c r="K513" s="78"/>
    </x:row>
    <x:row r="514">
      <x:c r="A514" s="73"/>
      <x:c r="B514" s="73"/>
      <x:c r="C514" s="74"/>
      <x:c r="D514" s="73"/>
      <x:c r="E514" s="73"/>
      <x:c r="F514" s="75"/>
      <x:c r="G514" s="75"/>
      <x:c r="H514" s="76" t="str">
        <x:f>IF(A514="","",F514-G514)</x:f>
      </x:c>
      <x:c r="I514" s="77" t="str">
        <x:f>IF(A514="","",IF(E514="","기타/불명",IF(IFERROR(SEARCH("급여",E514),0)&gt;0,"인건비",IF(IFERROR(SEARCH("임차",E514),0)&gt;0,"임차·시설",IF(IFERROR(SEARCH("광고",E514),0)&gt;0,"광고·행사",IF(IFERROR(SEARCH("용역",E514),0)&gt;0,"용역·수수료","기타/불명"))))))</x:f>
      </x:c>
      <x:c r="J514" s="77" t="str">
        <x:f>IF(A514="","",IF(I514="기타/불명","확인 필요","결의서명으로 1차 확인"))</x:f>
      </x:c>
      <x:c r="K514" s="78"/>
    </x:row>
    <x:row r="515">
      <x:c r="A515" s="73"/>
      <x:c r="B515" s="73"/>
      <x:c r="C515" s="74"/>
      <x:c r="D515" s="73"/>
      <x:c r="E515" s="73"/>
      <x:c r="F515" s="75"/>
      <x:c r="G515" s="75"/>
      <x:c r="H515" s="76" t="str">
        <x:f>IF(A515="","",F515-G515)</x:f>
      </x:c>
      <x:c r="I515" s="77" t="str">
        <x:f>IF(A515="","",IF(E515="","기타/불명",IF(IFERROR(SEARCH("급여",E515),0)&gt;0,"인건비",IF(IFERROR(SEARCH("임차",E515),0)&gt;0,"임차·시설",IF(IFERROR(SEARCH("광고",E515),0)&gt;0,"광고·행사",IF(IFERROR(SEARCH("용역",E515),0)&gt;0,"용역·수수료","기타/불명"))))))</x:f>
      </x:c>
      <x:c r="J515" s="77" t="str">
        <x:f>IF(A515="","",IF(I515="기타/불명","확인 필요","결의서명으로 1차 확인"))</x:f>
      </x:c>
      <x:c r="K515" s="78"/>
    </x:row>
    <x:row r="516">
      <x:c r="A516" s="73"/>
      <x:c r="B516" s="73"/>
      <x:c r="C516" s="74"/>
      <x:c r="D516" s="73"/>
      <x:c r="E516" s="73"/>
      <x:c r="F516" s="75"/>
      <x:c r="G516" s="75"/>
      <x:c r="H516" s="76" t="str">
        <x:f>IF(A516="","",F516-G516)</x:f>
      </x:c>
      <x:c r="I516" s="77" t="str">
        <x:f>IF(A516="","",IF(E516="","기타/불명",IF(IFERROR(SEARCH("급여",E516),0)&gt;0,"인건비",IF(IFERROR(SEARCH("임차",E516),0)&gt;0,"임차·시설",IF(IFERROR(SEARCH("광고",E516),0)&gt;0,"광고·행사",IF(IFERROR(SEARCH("용역",E516),0)&gt;0,"용역·수수료","기타/불명"))))))</x:f>
      </x:c>
      <x:c r="J516" s="77" t="str">
        <x:f>IF(A516="","",IF(I516="기타/불명","확인 필요","결의서명으로 1차 확인"))</x:f>
      </x:c>
      <x:c r="K516" s="78"/>
    </x:row>
    <x:row r="517">
      <x:c r="A517" s="73"/>
      <x:c r="B517" s="73"/>
      <x:c r="C517" s="74"/>
      <x:c r="D517" s="73"/>
      <x:c r="E517" s="73"/>
      <x:c r="F517" s="75"/>
      <x:c r="G517" s="75"/>
      <x:c r="H517" s="76" t="str">
        <x:f>IF(A517="","",F517-G517)</x:f>
      </x:c>
      <x:c r="I517" s="77" t="str">
        <x:f>IF(A517="","",IF(E517="","기타/불명",IF(IFERROR(SEARCH("급여",E517),0)&gt;0,"인건비",IF(IFERROR(SEARCH("임차",E517),0)&gt;0,"임차·시설",IF(IFERROR(SEARCH("광고",E517),0)&gt;0,"광고·행사",IF(IFERROR(SEARCH("용역",E517),0)&gt;0,"용역·수수료","기타/불명"))))))</x:f>
      </x:c>
      <x:c r="J517" s="77" t="str">
        <x:f>IF(A517="","",IF(I517="기타/불명","확인 필요","결의서명으로 1차 확인"))</x:f>
      </x:c>
      <x:c r="K517" s="78"/>
    </x:row>
    <x:row r="518">
      <x:c r="A518" s="73"/>
      <x:c r="B518" s="73"/>
      <x:c r="C518" s="74"/>
      <x:c r="D518" s="73"/>
      <x:c r="E518" s="73"/>
      <x:c r="F518" s="75"/>
      <x:c r="G518" s="75"/>
      <x:c r="H518" s="76" t="str">
        <x:f>IF(A518="","",F518-G518)</x:f>
      </x:c>
      <x:c r="I518" s="77" t="str">
        <x:f>IF(A518="","",IF(E518="","기타/불명",IF(IFERROR(SEARCH("급여",E518),0)&gt;0,"인건비",IF(IFERROR(SEARCH("임차",E518),0)&gt;0,"임차·시설",IF(IFERROR(SEARCH("광고",E518),0)&gt;0,"광고·행사",IF(IFERROR(SEARCH("용역",E518),0)&gt;0,"용역·수수료","기타/불명"))))))</x:f>
      </x:c>
      <x:c r="J518" s="77" t="str">
        <x:f>IF(A518="","",IF(I518="기타/불명","확인 필요","결의서명으로 1차 확인"))</x:f>
      </x:c>
      <x:c r="K518" s="78"/>
    </x:row>
    <x:row r="519">
      <x:c r="A519" s="73"/>
      <x:c r="B519" s="73"/>
      <x:c r="C519" s="74"/>
      <x:c r="D519" s="73"/>
      <x:c r="E519" s="73"/>
      <x:c r="F519" s="75"/>
      <x:c r="G519" s="75"/>
      <x:c r="H519" s="76" t="str">
        <x:f>IF(A519="","",F519-G519)</x:f>
      </x:c>
      <x:c r="I519" s="77" t="str">
        <x:f>IF(A519="","",IF(E519="","기타/불명",IF(IFERROR(SEARCH("급여",E519),0)&gt;0,"인건비",IF(IFERROR(SEARCH("임차",E519),0)&gt;0,"임차·시설",IF(IFERROR(SEARCH("광고",E519),0)&gt;0,"광고·행사",IF(IFERROR(SEARCH("용역",E519),0)&gt;0,"용역·수수료","기타/불명"))))))</x:f>
      </x:c>
      <x:c r="J519" s="77" t="str">
        <x:f>IF(A519="","",IF(I519="기타/불명","확인 필요","결의서명으로 1차 확인"))</x:f>
      </x:c>
      <x:c r="K519" s="78"/>
    </x:row>
    <x:row r="520">
      <x:c r="A520" s="73"/>
      <x:c r="B520" s="73"/>
      <x:c r="C520" s="74"/>
      <x:c r="D520" s="73"/>
      <x:c r="E520" s="73"/>
      <x:c r="F520" s="75"/>
      <x:c r="G520" s="75"/>
      <x:c r="H520" s="76" t="str">
        <x:f>IF(A520="","",F520-G520)</x:f>
      </x:c>
      <x:c r="I520" s="77" t="str">
        <x:f>IF(A520="","",IF(E520="","기타/불명",IF(IFERROR(SEARCH("급여",E520),0)&gt;0,"인건비",IF(IFERROR(SEARCH("임차",E520),0)&gt;0,"임차·시설",IF(IFERROR(SEARCH("광고",E520),0)&gt;0,"광고·행사",IF(IFERROR(SEARCH("용역",E520),0)&gt;0,"용역·수수료","기타/불명"))))))</x:f>
      </x:c>
      <x:c r="J520" s="77" t="str">
        <x:f>IF(A520="","",IF(I520="기타/불명","확인 필요","결의서명으로 1차 확인"))</x:f>
      </x:c>
      <x:c r="K520" s="78"/>
    </x:row>
    <x:row r="521">
      <x:c r="A521" s="73"/>
      <x:c r="B521" s="73"/>
      <x:c r="C521" s="74"/>
      <x:c r="D521" s="73"/>
      <x:c r="E521" s="73"/>
      <x:c r="F521" s="75"/>
      <x:c r="G521" s="75"/>
      <x:c r="H521" s="76" t="str">
        <x:f>IF(A521="","",F521-G521)</x:f>
      </x:c>
      <x:c r="I521" s="77" t="str">
        <x:f>IF(A521="","",IF(E521="","기타/불명",IF(IFERROR(SEARCH("급여",E521),0)&gt;0,"인건비",IF(IFERROR(SEARCH("임차",E521),0)&gt;0,"임차·시설",IF(IFERROR(SEARCH("광고",E521),0)&gt;0,"광고·행사",IF(IFERROR(SEARCH("용역",E521),0)&gt;0,"용역·수수료","기타/불명"))))))</x:f>
      </x:c>
      <x:c r="J521" s="77" t="str">
        <x:f>IF(A521="","",IF(I521="기타/불명","확인 필요","결의서명으로 1차 확인"))</x:f>
      </x:c>
      <x:c r="K521" s="78"/>
    </x:row>
    <x:row r="522">
      <x:c r="A522" s="73"/>
      <x:c r="B522" s="73"/>
      <x:c r="C522" s="74"/>
      <x:c r="D522" s="73"/>
      <x:c r="E522" s="73"/>
      <x:c r="F522" s="75"/>
      <x:c r="G522" s="75"/>
      <x:c r="H522" s="76" t="str">
        <x:f>IF(A522="","",F522-G522)</x:f>
      </x:c>
      <x:c r="I522" s="77" t="str">
        <x:f>IF(A522="","",IF(E522="","기타/불명",IF(IFERROR(SEARCH("급여",E522),0)&gt;0,"인건비",IF(IFERROR(SEARCH("임차",E522),0)&gt;0,"임차·시설",IF(IFERROR(SEARCH("광고",E522),0)&gt;0,"광고·행사",IF(IFERROR(SEARCH("용역",E522),0)&gt;0,"용역·수수료","기타/불명"))))))</x:f>
      </x:c>
      <x:c r="J522" s="77" t="str">
        <x:f>IF(A522="","",IF(I522="기타/불명","확인 필요","결의서명으로 1차 확인"))</x:f>
      </x:c>
      <x:c r="K522" s="78"/>
    </x:row>
    <x:row r="523">
      <x:c r="A523" s="73"/>
      <x:c r="B523" s="73"/>
      <x:c r="C523" s="74"/>
      <x:c r="D523" s="73"/>
      <x:c r="E523" s="73"/>
      <x:c r="F523" s="75"/>
      <x:c r="G523" s="75"/>
      <x:c r="H523" s="76" t="str">
        <x:f>IF(A523="","",F523-G523)</x:f>
      </x:c>
      <x:c r="I523" s="77" t="str">
        <x:f>IF(A523="","",IF(E523="","기타/불명",IF(IFERROR(SEARCH("급여",E523),0)&gt;0,"인건비",IF(IFERROR(SEARCH("임차",E523),0)&gt;0,"임차·시설",IF(IFERROR(SEARCH("광고",E523),0)&gt;0,"광고·행사",IF(IFERROR(SEARCH("용역",E523),0)&gt;0,"용역·수수료","기타/불명"))))))</x:f>
      </x:c>
      <x:c r="J523" s="77" t="str">
        <x:f>IF(A523="","",IF(I523="기타/불명","확인 필요","결의서명으로 1차 확인"))</x:f>
      </x:c>
      <x:c r="K523" s="78"/>
    </x:row>
    <x:row r="524">
      <x:c r="A524" s="73"/>
      <x:c r="B524" s="73"/>
      <x:c r="C524" s="74"/>
      <x:c r="D524" s="73"/>
      <x:c r="E524" s="73"/>
      <x:c r="F524" s="75"/>
      <x:c r="G524" s="75"/>
      <x:c r="H524" s="76" t="str">
        <x:f>IF(A524="","",F524-G524)</x:f>
      </x:c>
      <x:c r="I524" s="77" t="str">
        <x:f>IF(A524="","",IF(E524="","기타/불명",IF(IFERROR(SEARCH("급여",E524),0)&gt;0,"인건비",IF(IFERROR(SEARCH("임차",E524),0)&gt;0,"임차·시설",IF(IFERROR(SEARCH("광고",E524),0)&gt;0,"광고·행사",IF(IFERROR(SEARCH("용역",E524),0)&gt;0,"용역·수수료","기타/불명"))))))</x:f>
      </x:c>
      <x:c r="J524" s="77" t="str">
        <x:f>IF(A524="","",IF(I524="기타/불명","확인 필요","결의서명으로 1차 확인"))</x:f>
      </x:c>
      <x:c r="K524" s="78"/>
    </x:row>
    <x:row r="525">
      <x:c r="A525" s="73"/>
      <x:c r="B525" s="73"/>
      <x:c r="C525" s="74"/>
      <x:c r="D525" s="73"/>
      <x:c r="E525" s="73"/>
      <x:c r="F525" s="75"/>
      <x:c r="G525" s="75"/>
      <x:c r="H525" s="76" t="str">
        <x:f>IF(A525="","",F525-G525)</x:f>
      </x:c>
      <x:c r="I525" s="77" t="str">
        <x:f>IF(A525="","",IF(E525="","기타/불명",IF(IFERROR(SEARCH("급여",E525),0)&gt;0,"인건비",IF(IFERROR(SEARCH("임차",E525),0)&gt;0,"임차·시설",IF(IFERROR(SEARCH("광고",E525),0)&gt;0,"광고·행사",IF(IFERROR(SEARCH("용역",E525),0)&gt;0,"용역·수수료","기타/불명"))))))</x:f>
      </x:c>
      <x:c r="J525" s="77" t="str">
        <x:f>IF(A525="","",IF(I525="기타/불명","확인 필요","결의서명으로 1차 확인"))</x:f>
      </x:c>
      <x:c r="K525" s="78"/>
    </x:row>
    <x:row r="526">
      <x:c r="A526" s="73"/>
      <x:c r="B526" s="73"/>
      <x:c r="C526" s="74"/>
      <x:c r="D526" s="73"/>
      <x:c r="E526" s="73"/>
      <x:c r="F526" s="75"/>
      <x:c r="G526" s="75"/>
      <x:c r="H526" s="76" t="str">
        <x:f>IF(A526="","",F526-G526)</x:f>
      </x:c>
      <x:c r="I526" s="77" t="str">
        <x:f>IF(A526="","",IF(E526="","기타/불명",IF(IFERROR(SEARCH("급여",E526),0)&gt;0,"인건비",IF(IFERROR(SEARCH("임차",E526),0)&gt;0,"임차·시설",IF(IFERROR(SEARCH("광고",E526),0)&gt;0,"광고·행사",IF(IFERROR(SEARCH("용역",E526),0)&gt;0,"용역·수수료","기타/불명"))))))</x:f>
      </x:c>
      <x:c r="J526" s="77" t="str">
        <x:f>IF(A526="","",IF(I526="기타/불명","확인 필요","결의서명으로 1차 확인"))</x:f>
      </x:c>
      <x:c r="K526" s="78"/>
    </x:row>
    <x:row r="527">
      <x:c r="A527" s="73"/>
      <x:c r="B527" s="73"/>
      <x:c r="C527" s="74"/>
      <x:c r="D527" s="73"/>
      <x:c r="E527" s="73"/>
      <x:c r="F527" s="75"/>
      <x:c r="G527" s="75"/>
      <x:c r="H527" s="76" t="str">
        <x:f>IF(A527="","",F527-G527)</x:f>
      </x:c>
      <x:c r="I527" s="77" t="str">
        <x:f>IF(A527="","",IF(E527="","기타/불명",IF(IFERROR(SEARCH("급여",E527),0)&gt;0,"인건비",IF(IFERROR(SEARCH("임차",E527),0)&gt;0,"임차·시설",IF(IFERROR(SEARCH("광고",E527),0)&gt;0,"광고·행사",IF(IFERROR(SEARCH("용역",E527),0)&gt;0,"용역·수수료","기타/불명"))))))</x:f>
      </x:c>
      <x:c r="J527" s="77" t="str">
        <x:f>IF(A527="","",IF(I527="기타/불명","확인 필요","결의서명으로 1차 확인"))</x:f>
      </x:c>
      <x:c r="K527" s="78"/>
    </x:row>
    <x:row r="528">
      <x:c r="A528" s="73"/>
      <x:c r="B528" s="73"/>
      <x:c r="C528" s="74"/>
      <x:c r="D528" s="73"/>
      <x:c r="E528" s="73"/>
      <x:c r="F528" s="75"/>
      <x:c r="G528" s="75"/>
      <x:c r="H528" s="76" t="str">
        <x:f>IF(A528="","",F528-G528)</x:f>
      </x:c>
      <x:c r="I528" s="77" t="str">
        <x:f>IF(A528="","",IF(E528="","기타/불명",IF(IFERROR(SEARCH("급여",E528),0)&gt;0,"인건비",IF(IFERROR(SEARCH("임차",E528),0)&gt;0,"임차·시설",IF(IFERROR(SEARCH("광고",E528),0)&gt;0,"광고·행사",IF(IFERROR(SEARCH("용역",E528),0)&gt;0,"용역·수수료","기타/불명"))))))</x:f>
      </x:c>
      <x:c r="J528" s="77" t="str">
        <x:f>IF(A528="","",IF(I528="기타/불명","확인 필요","결의서명으로 1차 확인"))</x:f>
      </x:c>
      <x:c r="K528" s="78"/>
    </x:row>
    <x:row r="529">
      <x:c r="A529" s="73"/>
      <x:c r="B529" s="73"/>
      <x:c r="C529" s="74"/>
      <x:c r="D529" s="73"/>
      <x:c r="E529" s="73"/>
      <x:c r="F529" s="75"/>
      <x:c r="G529" s="75"/>
      <x:c r="H529" s="76" t="str">
        <x:f>IF(A529="","",F529-G529)</x:f>
      </x:c>
      <x:c r="I529" s="77" t="str">
        <x:f>IF(A529="","",IF(E529="","기타/불명",IF(IFERROR(SEARCH("급여",E529),0)&gt;0,"인건비",IF(IFERROR(SEARCH("임차",E529),0)&gt;0,"임차·시설",IF(IFERROR(SEARCH("광고",E529),0)&gt;0,"광고·행사",IF(IFERROR(SEARCH("용역",E529),0)&gt;0,"용역·수수료","기타/불명"))))))</x:f>
      </x:c>
      <x:c r="J529" s="77" t="str">
        <x:f>IF(A529="","",IF(I529="기타/불명","확인 필요","결의서명으로 1차 확인"))</x:f>
      </x:c>
      <x:c r="K529" s="78"/>
    </x:row>
    <x:row r="530">
      <x:c r="A530" s="73"/>
      <x:c r="B530" s="73"/>
      <x:c r="C530" s="74"/>
      <x:c r="D530" s="73"/>
      <x:c r="E530" s="73"/>
      <x:c r="F530" s="75"/>
      <x:c r="G530" s="75"/>
      <x:c r="H530" s="76" t="str">
        <x:f>IF(A530="","",F530-G530)</x:f>
      </x:c>
      <x:c r="I530" s="77" t="str">
        <x:f>IF(A530="","",IF(E530="","기타/불명",IF(IFERROR(SEARCH("급여",E530),0)&gt;0,"인건비",IF(IFERROR(SEARCH("임차",E530),0)&gt;0,"임차·시설",IF(IFERROR(SEARCH("광고",E530),0)&gt;0,"광고·행사",IF(IFERROR(SEARCH("용역",E530),0)&gt;0,"용역·수수료","기타/불명"))))))</x:f>
      </x:c>
      <x:c r="J530" s="77" t="str">
        <x:f>IF(A530="","",IF(I530="기타/불명","확인 필요","결의서명으로 1차 확인"))</x:f>
      </x:c>
      <x:c r="K530" s="78"/>
    </x:row>
    <x:row r="531">
      <x:c r="A531" s="73"/>
      <x:c r="B531" s="73"/>
      <x:c r="C531" s="74"/>
      <x:c r="D531" s="73"/>
      <x:c r="E531" s="73"/>
      <x:c r="F531" s="75"/>
      <x:c r="G531" s="75"/>
      <x:c r="H531" s="76" t="str">
        <x:f>IF(A531="","",F531-G531)</x:f>
      </x:c>
      <x:c r="I531" s="77" t="str">
        <x:f>IF(A531="","",IF(E531="","기타/불명",IF(IFERROR(SEARCH("급여",E531),0)&gt;0,"인건비",IF(IFERROR(SEARCH("임차",E531),0)&gt;0,"임차·시설",IF(IFERROR(SEARCH("광고",E531),0)&gt;0,"광고·행사",IF(IFERROR(SEARCH("용역",E531),0)&gt;0,"용역·수수료","기타/불명"))))))</x:f>
      </x:c>
      <x:c r="J531" s="77" t="str">
        <x:f>IF(A531="","",IF(I531="기타/불명","확인 필요","결의서명으로 1차 확인"))</x:f>
      </x:c>
      <x:c r="K531" s="78"/>
    </x:row>
    <x:row r="532">
      <x:c r="A532" s="73"/>
      <x:c r="B532" s="73"/>
      <x:c r="C532" s="74"/>
      <x:c r="D532" s="73"/>
      <x:c r="E532" s="73"/>
      <x:c r="F532" s="75"/>
      <x:c r="G532" s="75"/>
      <x:c r="H532" s="76" t="str">
        <x:f>IF(A532="","",F532-G532)</x:f>
      </x:c>
      <x:c r="I532" s="77" t="str">
        <x:f>IF(A532="","",IF(E532="","기타/불명",IF(IFERROR(SEARCH("급여",E532),0)&gt;0,"인건비",IF(IFERROR(SEARCH("임차",E532),0)&gt;0,"임차·시설",IF(IFERROR(SEARCH("광고",E532),0)&gt;0,"광고·행사",IF(IFERROR(SEARCH("용역",E532),0)&gt;0,"용역·수수료","기타/불명"))))))</x:f>
      </x:c>
      <x:c r="J532" s="77" t="str">
        <x:f>IF(A532="","",IF(I532="기타/불명","확인 필요","결의서명으로 1차 확인"))</x:f>
      </x:c>
      <x:c r="K532" s="78"/>
    </x:row>
    <x:row r="533">
      <x:c r="A533" s="73"/>
      <x:c r="B533" s="73"/>
      <x:c r="C533" s="74"/>
      <x:c r="D533" s="73"/>
      <x:c r="E533" s="73"/>
      <x:c r="F533" s="75"/>
      <x:c r="G533" s="75"/>
      <x:c r="H533" s="76" t="str">
        <x:f>IF(A533="","",F533-G533)</x:f>
      </x:c>
      <x:c r="I533" s="77" t="str">
        <x:f>IF(A533="","",IF(E533="","기타/불명",IF(IFERROR(SEARCH("급여",E533),0)&gt;0,"인건비",IF(IFERROR(SEARCH("임차",E533),0)&gt;0,"임차·시설",IF(IFERROR(SEARCH("광고",E533),0)&gt;0,"광고·행사",IF(IFERROR(SEARCH("용역",E533),0)&gt;0,"용역·수수료","기타/불명"))))))</x:f>
      </x:c>
      <x:c r="J533" s="77" t="str">
        <x:f>IF(A533="","",IF(I533="기타/불명","확인 필요","결의서명으로 1차 확인"))</x:f>
      </x:c>
      <x:c r="K533" s="78"/>
    </x:row>
    <x:row r="534">
      <x:c r="A534" s="73"/>
      <x:c r="B534" s="73"/>
      <x:c r="C534" s="74"/>
      <x:c r="D534" s="73"/>
      <x:c r="E534" s="73"/>
      <x:c r="F534" s="75"/>
      <x:c r="G534" s="75"/>
      <x:c r="H534" s="76" t="str">
        <x:f>IF(A534="","",F534-G534)</x:f>
      </x:c>
      <x:c r="I534" s="77" t="str">
        <x:f>IF(A534="","",IF(E534="","기타/불명",IF(IFERROR(SEARCH("급여",E534),0)&gt;0,"인건비",IF(IFERROR(SEARCH("임차",E534),0)&gt;0,"임차·시설",IF(IFERROR(SEARCH("광고",E534),0)&gt;0,"광고·행사",IF(IFERROR(SEARCH("용역",E534),0)&gt;0,"용역·수수료","기타/불명"))))))</x:f>
      </x:c>
      <x:c r="J534" s="77" t="str">
        <x:f>IF(A534="","",IF(I534="기타/불명","확인 필요","결의서명으로 1차 확인"))</x:f>
      </x:c>
      <x:c r="K534" s="78"/>
    </x:row>
    <x:row r="535">
      <x:c r="A535" s="73"/>
      <x:c r="B535" s="73"/>
      <x:c r="C535" s="74"/>
      <x:c r="D535" s="73"/>
      <x:c r="E535" s="73"/>
      <x:c r="F535" s="75"/>
      <x:c r="G535" s="75"/>
      <x:c r="H535" s="76" t="str">
        <x:f>IF(A535="","",F535-G535)</x:f>
      </x:c>
      <x:c r="I535" s="77" t="str">
        <x:f>IF(A535="","",IF(E535="","기타/불명",IF(IFERROR(SEARCH("급여",E535),0)&gt;0,"인건비",IF(IFERROR(SEARCH("임차",E535),0)&gt;0,"임차·시설",IF(IFERROR(SEARCH("광고",E535),0)&gt;0,"광고·행사",IF(IFERROR(SEARCH("용역",E535),0)&gt;0,"용역·수수료","기타/불명"))))))</x:f>
      </x:c>
      <x:c r="J535" s="77" t="str">
        <x:f>IF(A535="","",IF(I535="기타/불명","확인 필요","결의서명으로 1차 확인"))</x:f>
      </x:c>
      <x:c r="K535" s="78"/>
    </x:row>
    <x:row r="536">
      <x:c r="A536" s="73"/>
      <x:c r="B536" s="73"/>
      <x:c r="C536" s="74"/>
      <x:c r="D536" s="73"/>
      <x:c r="E536" s="73"/>
      <x:c r="F536" s="75"/>
      <x:c r="G536" s="75"/>
      <x:c r="H536" s="76" t="str">
        <x:f>IF(A536="","",F536-G536)</x:f>
      </x:c>
      <x:c r="I536" s="77" t="str">
        <x:f>IF(A536="","",IF(E536="","기타/불명",IF(IFERROR(SEARCH("급여",E536),0)&gt;0,"인건비",IF(IFERROR(SEARCH("임차",E536),0)&gt;0,"임차·시설",IF(IFERROR(SEARCH("광고",E536),0)&gt;0,"광고·행사",IF(IFERROR(SEARCH("용역",E536),0)&gt;0,"용역·수수료","기타/불명"))))))</x:f>
      </x:c>
      <x:c r="J536" s="77" t="str">
        <x:f>IF(A536="","",IF(I536="기타/불명","확인 필요","결의서명으로 1차 확인"))</x:f>
      </x:c>
      <x:c r="K536" s="78"/>
    </x:row>
    <x:row r="537">
      <x:c r="A537" s="73"/>
      <x:c r="B537" s="73"/>
      <x:c r="C537" s="74"/>
      <x:c r="D537" s="73"/>
      <x:c r="E537" s="73"/>
      <x:c r="F537" s="75"/>
      <x:c r="G537" s="75"/>
      <x:c r="H537" s="76" t="str">
        <x:f>IF(A537="","",F537-G537)</x:f>
      </x:c>
      <x:c r="I537" s="77" t="str">
        <x:f>IF(A537="","",IF(E537="","기타/불명",IF(IFERROR(SEARCH("급여",E537),0)&gt;0,"인건비",IF(IFERROR(SEARCH("임차",E537),0)&gt;0,"임차·시설",IF(IFERROR(SEARCH("광고",E537),0)&gt;0,"광고·행사",IF(IFERROR(SEARCH("용역",E537),0)&gt;0,"용역·수수료","기타/불명"))))))</x:f>
      </x:c>
      <x:c r="J537" s="77" t="str">
        <x:f>IF(A537="","",IF(I537="기타/불명","확인 필요","결의서명으로 1차 확인"))</x:f>
      </x:c>
      <x:c r="K537" s="78"/>
    </x:row>
    <x:row r="538">
      <x:c r="A538" s="73"/>
      <x:c r="B538" s="73"/>
      <x:c r="C538" s="74"/>
      <x:c r="D538" s="73"/>
      <x:c r="E538" s="73"/>
      <x:c r="F538" s="75"/>
      <x:c r="G538" s="75"/>
      <x:c r="H538" s="76" t="str">
        <x:f>IF(A538="","",F538-G538)</x:f>
      </x:c>
      <x:c r="I538" s="77" t="str">
        <x:f>IF(A538="","",IF(E538="","기타/불명",IF(IFERROR(SEARCH("급여",E538),0)&gt;0,"인건비",IF(IFERROR(SEARCH("임차",E538),0)&gt;0,"임차·시설",IF(IFERROR(SEARCH("광고",E538),0)&gt;0,"광고·행사",IF(IFERROR(SEARCH("용역",E538),0)&gt;0,"용역·수수료","기타/불명"))))))</x:f>
      </x:c>
      <x:c r="J538" s="77" t="str">
        <x:f>IF(A538="","",IF(I538="기타/불명","확인 필요","결의서명으로 1차 확인"))</x:f>
      </x:c>
      <x:c r="K538" s="78"/>
    </x:row>
    <x:row r="539">
      <x:c r="A539" s="73"/>
      <x:c r="B539" s="73"/>
      <x:c r="C539" s="74"/>
      <x:c r="D539" s="73"/>
      <x:c r="E539" s="73"/>
      <x:c r="F539" s="75"/>
      <x:c r="G539" s="75"/>
      <x:c r="H539" s="76" t="str">
        <x:f>IF(A539="","",F539-G539)</x:f>
      </x:c>
      <x:c r="I539" s="77" t="str">
        <x:f>IF(A539="","",IF(E539="","기타/불명",IF(IFERROR(SEARCH("급여",E539),0)&gt;0,"인건비",IF(IFERROR(SEARCH("임차",E539),0)&gt;0,"임차·시설",IF(IFERROR(SEARCH("광고",E539),0)&gt;0,"광고·행사",IF(IFERROR(SEARCH("용역",E539),0)&gt;0,"용역·수수료","기타/불명"))))))</x:f>
      </x:c>
      <x:c r="J539" s="77" t="str">
        <x:f>IF(A539="","",IF(I539="기타/불명","확인 필요","결의서명으로 1차 확인"))</x:f>
      </x:c>
      <x:c r="K539" s="78"/>
    </x:row>
    <x:row r="540">
      <x:c r="A540" s="73"/>
      <x:c r="B540" s="73"/>
      <x:c r="C540" s="74"/>
      <x:c r="D540" s="73"/>
      <x:c r="E540" s="73"/>
      <x:c r="F540" s="75"/>
      <x:c r="G540" s="75"/>
      <x:c r="H540" s="76" t="str">
        <x:f>IF(A540="","",F540-G540)</x:f>
      </x:c>
      <x:c r="I540" s="77" t="str">
        <x:f>IF(A540="","",IF(E540="","기타/불명",IF(IFERROR(SEARCH("급여",E540),0)&gt;0,"인건비",IF(IFERROR(SEARCH("임차",E540),0)&gt;0,"임차·시설",IF(IFERROR(SEARCH("광고",E540),0)&gt;0,"광고·행사",IF(IFERROR(SEARCH("용역",E540),0)&gt;0,"용역·수수료","기타/불명"))))))</x:f>
      </x:c>
      <x:c r="J540" s="77" t="str">
        <x:f>IF(A540="","",IF(I540="기타/불명","확인 필요","결의서명으로 1차 확인"))</x:f>
      </x:c>
      <x:c r="K540" s="78"/>
    </x:row>
    <x:row r="541">
      <x:c r="A541" s="73"/>
      <x:c r="B541" s="73"/>
      <x:c r="C541" s="74"/>
      <x:c r="D541" s="73"/>
      <x:c r="E541" s="73"/>
      <x:c r="F541" s="75"/>
      <x:c r="G541" s="75"/>
      <x:c r="H541" s="76" t="str">
        <x:f>IF(A541="","",F541-G541)</x:f>
      </x:c>
      <x:c r="I541" s="77" t="str">
        <x:f>IF(A541="","",IF(E541="","기타/불명",IF(IFERROR(SEARCH("급여",E541),0)&gt;0,"인건비",IF(IFERROR(SEARCH("임차",E541),0)&gt;0,"임차·시설",IF(IFERROR(SEARCH("광고",E541),0)&gt;0,"광고·행사",IF(IFERROR(SEARCH("용역",E541),0)&gt;0,"용역·수수료","기타/불명"))))))</x:f>
      </x:c>
      <x:c r="J541" s="77" t="str">
        <x:f>IF(A541="","",IF(I541="기타/불명","확인 필요","결의서명으로 1차 확인"))</x:f>
      </x:c>
      <x:c r="K541" s="78"/>
    </x:row>
    <x:row r="542">
      <x:c r="A542" s="73"/>
      <x:c r="B542" s="73"/>
      <x:c r="C542" s="74"/>
      <x:c r="D542" s="73"/>
      <x:c r="E542" s="73"/>
      <x:c r="F542" s="75"/>
      <x:c r="G542" s="75"/>
      <x:c r="H542" s="76" t="str">
        <x:f>IF(A542="","",F542-G542)</x:f>
      </x:c>
      <x:c r="I542" s="77" t="str">
        <x:f>IF(A542="","",IF(E542="","기타/불명",IF(IFERROR(SEARCH("급여",E542),0)&gt;0,"인건비",IF(IFERROR(SEARCH("임차",E542),0)&gt;0,"임차·시설",IF(IFERROR(SEARCH("광고",E542),0)&gt;0,"광고·행사",IF(IFERROR(SEARCH("용역",E542),0)&gt;0,"용역·수수료","기타/불명"))))))</x:f>
      </x:c>
      <x:c r="J542" s="77" t="str">
        <x:f>IF(A542="","",IF(I542="기타/불명","확인 필요","결의서명으로 1차 확인"))</x:f>
      </x:c>
      <x:c r="K542" s="78"/>
    </x:row>
    <x:row r="543">
      <x:c r="A543" s="73"/>
      <x:c r="B543" s="73"/>
      <x:c r="C543" s="74"/>
      <x:c r="D543" s="73"/>
      <x:c r="E543" s="73"/>
      <x:c r="F543" s="75"/>
      <x:c r="G543" s="75"/>
      <x:c r="H543" s="76" t="str">
        <x:f>IF(A543="","",F543-G543)</x:f>
      </x:c>
      <x:c r="I543" s="77" t="str">
        <x:f>IF(A543="","",IF(E543="","기타/불명",IF(IFERROR(SEARCH("급여",E543),0)&gt;0,"인건비",IF(IFERROR(SEARCH("임차",E543),0)&gt;0,"임차·시설",IF(IFERROR(SEARCH("광고",E543),0)&gt;0,"광고·행사",IF(IFERROR(SEARCH("용역",E543),0)&gt;0,"용역·수수료","기타/불명"))))))</x:f>
      </x:c>
      <x:c r="J543" s="77" t="str">
        <x:f>IF(A543="","",IF(I543="기타/불명","확인 필요","결의서명으로 1차 확인"))</x:f>
      </x:c>
      <x:c r="K543" s="78"/>
    </x:row>
    <x:row r="544">
      <x:c r="A544" s="73"/>
      <x:c r="B544" s="73"/>
      <x:c r="C544" s="74"/>
      <x:c r="D544" s="73"/>
      <x:c r="E544" s="73"/>
      <x:c r="F544" s="75"/>
      <x:c r="G544" s="75"/>
      <x:c r="H544" s="76" t="str">
        <x:f>IF(A544="","",F544-G544)</x:f>
      </x:c>
      <x:c r="I544" s="77" t="str">
        <x:f>IF(A544="","",IF(E544="","기타/불명",IF(IFERROR(SEARCH("급여",E544),0)&gt;0,"인건비",IF(IFERROR(SEARCH("임차",E544),0)&gt;0,"임차·시설",IF(IFERROR(SEARCH("광고",E544),0)&gt;0,"광고·행사",IF(IFERROR(SEARCH("용역",E544),0)&gt;0,"용역·수수료","기타/불명"))))))</x:f>
      </x:c>
      <x:c r="J544" s="77" t="str">
        <x:f>IF(A544="","",IF(I544="기타/불명","확인 필요","결의서명으로 1차 확인"))</x:f>
      </x:c>
      <x:c r="K544" s="78"/>
    </x:row>
    <x:row r="545">
      <x:c r="A545" s="73"/>
      <x:c r="B545" s="73"/>
      <x:c r="C545" s="74"/>
      <x:c r="D545" s="73"/>
      <x:c r="E545" s="73"/>
      <x:c r="F545" s="75"/>
      <x:c r="G545" s="75"/>
      <x:c r="H545" s="76" t="str">
        <x:f>IF(A545="","",F545-G545)</x:f>
      </x:c>
      <x:c r="I545" s="77" t="str">
        <x:f>IF(A545="","",IF(E545="","기타/불명",IF(IFERROR(SEARCH("급여",E545),0)&gt;0,"인건비",IF(IFERROR(SEARCH("임차",E545),0)&gt;0,"임차·시설",IF(IFERROR(SEARCH("광고",E545),0)&gt;0,"광고·행사",IF(IFERROR(SEARCH("용역",E545),0)&gt;0,"용역·수수료","기타/불명"))))))</x:f>
      </x:c>
      <x:c r="J545" s="77" t="str">
        <x:f>IF(A545="","",IF(I545="기타/불명","확인 필요","결의서명으로 1차 확인"))</x:f>
      </x:c>
      <x:c r="K545" s="78"/>
    </x:row>
    <x:row r="546">
      <x:c r="A546" s="73"/>
      <x:c r="B546" s="73"/>
      <x:c r="C546" s="74"/>
      <x:c r="D546" s="73"/>
      <x:c r="E546" s="73"/>
      <x:c r="F546" s="75"/>
      <x:c r="G546" s="75"/>
      <x:c r="H546" s="76" t="str">
        <x:f>IF(A546="","",F546-G546)</x:f>
      </x:c>
      <x:c r="I546" s="77" t="str">
        <x:f>IF(A546="","",IF(E546="","기타/불명",IF(IFERROR(SEARCH("급여",E546),0)&gt;0,"인건비",IF(IFERROR(SEARCH("임차",E546),0)&gt;0,"임차·시설",IF(IFERROR(SEARCH("광고",E546),0)&gt;0,"광고·행사",IF(IFERROR(SEARCH("용역",E546),0)&gt;0,"용역·수수료","기타/불명"))))))</x:f>
      </x:c>
      <x:c r="J546" s="77" t="str">
        <x:f>IF(A546="","",IF(I546="기타/불명","확인 필요","결의서명으로 1차 확인"))</x:f>
      </x:c>
      <x:c r="K546" s="78"/>
    </x:row>
    <x:row r="547">
      <x:c r="A547" s="73"/>
      <x:c r="B547" s="73"/>
      <x:c r="C547" s="74"/>
      <x:c r="D547" s="73"/>
      <x:c r="E547" s="73"/>
      <x:c r="F547" s="75"/>
      <x:c r="G547" s="75"/>
      <x:c r="H547" s="76" t="str">
        <x:f>IF(A547="","",F547-G547)</x:f>
      </x:c>
      <x:c r="I547" s="77" t="str">
        <x:f>IF(A547="","",IF(E547="","기타/불명",IF(IFERROR(SEARCH("급여",E547),0)&gt;0,"인건비",IF(IFERROR(SEARCH("임차",E547),0)&gt;0,"임차·시설",IF(IFERROR(SEARCH("광고",E547),0)&gt;0,"광고·행사",IF(IFERROR(SEARCH("용역",E547),0)&gt;0,"용역·수수료","기타/불명"))))))</x:f>
      </x:c>
      <x:c r="J547" s="77" t="str">
        <x:f>IF(A547="","",IF(I547="기타/불명","확인 필요","결의서명으로 1차 확인"))</x:f>
      </x:c>
      <x:c r="K547" s="78"/>
    </x:row>
    <x:row r="548">
      <x:c r="A548" s="73"/>
      <x:c r="B548" s="73"/>
      <x:c r="C548" s="74"/>
      <x:c r="D548" s="73"/>
      <x:c r="E548" s="73"/>
      <x:c r="F548" s="75"/>
      <x:c r="G548" s="75"/>
      <x:c r="H548" s="76" t="str">
        <x:f>IF(A548="","",F548-G548)</x:f>
      </x:c>
      <x:c r="I548" s="77" t="str">
        <x:f>IF(A548="","",IF(E548="","기타/불명",IF(IFERROR(SEARCH("급여",E548),0)&gt;0,"인건비",IF(IFERROR(SEARCH("임차",E548),0)&gt;0,"임차·시설",IF(IFERROR(SEARCH("광고",E548),0)&gt;0,"광고·행사",IF(IFERROR(SEARCH("용역",E548),0)&gt;0,"용역·수수료","기타/불명"))))))</x:f>
      </x:c>
      <x:c r="J548" s="77" t="str">
        <x:f>IF(A548="","",IF(I548="기타/불명","확인 필요","결의서명으로 1차 확인"))</x:f>
      </x:c>
      <x:c r="K548" s="78"/>
    </x:row>
    <x:row r="549">
      <x:c r="A549" s="73"/>
      <x:c r="B549" s="73"/>
      <x:c r="C549" s="74"/>
      <x:c r="D549" s="73"/>
      <x:c r="E549" s="73"/>
      <x:c r="F549" s="75"/>
      <x:c r="G549" s="75"/>
      <x:c r="H549" s="76" t="str">
        <x:f>IF(A549="","",F549-G549)</x:f>
      </x:c>
      <x:c r="I549" s="77" t="str">
        <x:f>IF(A549="","",IF(E549="","기타/불명",IF(IFERROR(SEARCH("급여",E549),0)&gt;0,"인건비",IF(IFERROR(SEARCH("임차",E549),0)&gt;0,"임차·시설",IF(IFERROR(SEARCH("광고",E549),0)&gt;0,"광고·행사",IF(IFERROR(SEARCH("용역",E549),0)&gt;0,"용역·수수료","기타/불명"))))))</x:f>
      </x:c>
      <x:c r="J549" s="77" t="str">
        <x:f>IF(A549="","",IF(I549="기타/불명","확인 필요","결의서명으로 1차 확인"))</x:f>
      </x:c>
      <x:c r="K549" s="78"/>
    </x:row>
    <x:row r="550">
      <x:c r="A550" s="73"/>
      <x:c r="B550" s="73"/>
      <x:c r="C550" s="74"/>
      <x:c r="D550" s="73"/>
      <x:c r="E550" s="73"/>
      <x:c r="F550" s="75"/>
      <x:c r="G550" s="75"/>
      <x:c r="H550" s="76" t="str">
        <x:f>IF(A550="","",F550-G550)</x:f>
      </x:c>
      <x:c r="I550" s="77" t="str">
        <x:f>IF(A550="","",IF(E550="","기타/불명",IF(IFERROR(SEARCH("급여",E550),0)&gt;0,"인건비",IF(IFERROR(SEARCH("임차",E550),0)&gt;0,"임차·시설",IF(IFERROR(SEARCH("광고",E550),0)&gt;0,"광고·행사",IF(IFERROR(SEARCH("용역",E550),0)&gt;0,"용역·수수료","기타/불명"))))))</x:f>
      </x:c>
      <x:c r="J550" s="77" t="str">
        <x:f>IF(A550="","",IF(I550="기타/불명","확인 필요","결의서명으로 1차 확인"))</x:f>
      </x:c>
      <x:c r="K550" s="78"/>
    </x:row>
    <x:row r="551">
      <x:c r="A551" s="73"/>
      <x:c r="B551" s="73"/>
      <x:c r="C551" s="74"/>
      <x:c r="D551" s="73"/>
      <x:c r="E551" s="73"/>
      <x:c r="F551" s="75"/>
      <x:c r="G551" s="75"/>
      <x:c r="H551" s="76" t="str">
        <x:f>IF(A551="","",F551-G551)</x:f>
      </x:c>
      <x:c r="I551" s="77" t="str">
        <x:f>IF(A551="","",IF(E551="","기타/불명",IF(IFERROR(SEARCH("급여",E551),0)&gt;0,"인건비",IF(IFERROR(SEARCH("임차",E551),0)&gt;0,"임차·시설",IF(IFERROR(SEARCH("광고",E551),0)&gt;0,"광고·행사",IF(IFERROR(SEARCH("용역",E551),0)&gt;0,"용역·수수료","기타/불명"))))))</x:f>
      </x:c>
      <x:c r="J551" s="77" t="str">
        <x:f>IF(A551="","",IF(I551="기타/불명","확인 필요","결의서명으로 1차 확인"))</x:f>
      </x:c>
      <x:c r="K551" s="78"/>
    </x:row>
    <x:row r="552">
      <x:c r="A552" s="73"/>
      <x:c r="B552" s="73"/>
      <x:c r="C552" s="74"/>
      <x:c r="D552" s="73"/>
      <x:c r="E552" s="73"/>
      <x:c r="F552" s="75"/>
      <x:c r="G552" s="75"/>
      <x:c r="H552" s="76" t="str">
        <x:f>IF(A552="","",F552-G552)</x:f>
      </x:c>
      <x:c r="I552" s="77" t="str">
        <x:f>IF(A552="","",IF(E552="","기타/불명",IF(IFERROR(SEARCH("급여",E552),0)&gt;0,"인건비",IF(IFERROR(SEARCH("임차",E552),0)&gt;0,"임차·시설",IF(IFERROR(SEARCH("광고",E552),0)&gt;0,"광고·행사",IF(IFERROR(SEARCH("용역",E552),0)&gt;0,"용역·수수료","기타/불명"))))))</x:f>
      </x:c>
      <x:c r="J552" s="77" t="str">
        <x:f>IF(A552="","",IF(I552="기타/불명","확인 필요","결의서명으로 1차 확인"))</x:f>
      </x:c>
      <x:c r="K552" s="78"/>
    </x:row>
    <x:row r="553">
      <x:c r="A553" s="73"/>
      <x:c r="B553" s="73"/>
      <x:c r="C553" s="74"/>
      <x:c r="D553" s="73"/>
      <x:c r="E553" s="73"/>
      <x:c r="F553" s="75"/>
      <x:c r="G553" s="75"/>
      <x:c r="H553" s="76" t="str">
        <x:f>IF(A553="","",F553-G553)</x:f>
      </x:c>
      <x:c r="I553" s="77" t="str">
        <x:f>IF(A553="","",IF(E553="","기타/불명",IF(IFERROR(SEARCH("급여",E553),0)&gt;0,"인건비",IF(IFERROR(SEARCH("임차",E553),0)&gt;0,"임차·시설",IF(IFERROR(SEARCH("광고",E553),0)&gt;0,"광고·행사",IF(IFERROR(SEARCH("용역",E553),0)&gt;0,"용역·수수료","기타/불명"))))))</x:f>
      </x:c>
      <x:c r="J553" s="77" t="str">
        <x:f>IF(A553="","",IF(I553="기타/불명","확인 필요","결의서명으로 1차 확인"))</x:f>
      </x:c>
      <x:c r="K553" s="78"/>
    </x:row>
    <x:row r="554">
      <x:c r="A554" s="73"/>
      <x:c r="B554" s="73"/>
      <x:c r="C554" s="74"/>
      <x:c r="D554" s="73"/>
      <x:c r="E554" s="73"/>
      <x:c r="F554" s="75"/>
      <x:c r="G554" s="75"/>
      <x:c r="H554" s="76" t="str">
        <x:f>IF(A554="","",F554-G554)</x:f>
      </x:c>
      <x:c r="I554" s="77" t="str">
        <x:f>IF(A554="","",IF(E554="","기타/불명",IF(IFERROR(SEARCH("급여",E554),0)&gt;0,"인건비",IF(IFERROR(SEARCH("임차",E554),0)&gt;0,"임차·시설",IF(IFERROR(SEARCH("광고",E554),0)&gt;0,"광고·행사",IF(IFERROR(SEARCH("용역",E554),0)&gt;0,"용역·수수료","기타/불명"))))))</x:f>
      </x:c>
      <x:c r="J554" s="77" t="str">
        <x:f>IF(A554="","",IF(I554="기타/불명","확인 필요","결의서명으로 1차 확인"))</x:f>
      </x:c>
      <x:c r="K554" s="78"/>
    </x:row>
    <x:row r="555">
      <x:c r="A555" s="73"/>
      <x:c r="B555" s="73"/>
      <x:c r="C555" s="74"/>
      <x:c r="D555" s="73"/>
      <x:c r="E555" s="73"/>
      <x:c r="F555" s="75"/>
      <x:c r="G555" s="75"/>
      <x:c r="H555" s="76" t="str">
        <x:f>IF(A555="","",F555-G555)</x:f>
      </x:c>
      <x:c r="I555" s="77" t="str">
        <x:f>IF(A555="","",IF(E555="","기타/불명",IF(IFERROR(SEARCH("급여",E555),0)&gt;0,"인건비",IF(IFERROR(SEARCH("임차",E555),0)&gt;0,"임차·시설",IF(IFERROR(SEARCH("광고",E555),0)&gt;0,"광고·행사",IF(IFERROR(SEARCH("용역",E555),0)&gt;0,"용역·수수료","기타/불명"))))))</x:f>
      </x:c>
      <x:c r="J555" s="77" t="str">
        <x:f>IF(A555="","",IF(I555="기타/불명","확인 필요","결의서명으로 1차 확인"))</x:f>
      </x:c>
      <x:c r="K555" s="78"/>
    </x:row>
    <x:row r="556">
      <x:c r="A556" s="73"/>
      <x:c r="B556" s="73"/>
      <x:c r="C556" s="74"/>
      <x:c r="D556" s="73"/>
      <x:c r="E556" s="73"/>
      <x:c r="F556" s="75"/>
      <x:c r="G556" s="75"/>
      <x:c r="H556" s="76" t="str">
        <x:f>IF(A556="","",F556-G556)</x:f>
      </x:c>
      <x:c r="I556" s="77" t="str">
        <x:f>IF(A556="","",IF(E556="","기타/불명",IF(IFERROR(SEARCH("급여",E556),0)&gt;0,"인건비",IF(IFERROR(SEARCH("임차",E556),0)&gt;0,"임차·시설",IF(IFERROR(SEARCH("광고",E556),0)&gt;0,"광고·행사",IF(IFERROR(SEARCH("용역",E556),0)&gt;0,"용역·수수료","기타/불명"))))))</x:f>
      </x:c>
      <x:c r="J556" s="77" t="str">
        <x:f>IF(A556="","",IF(I556="기타/불명","확인 필요","결의서명으로 1차 확인"))</x:f>
      </x:c>
      <x:c r="K556" s="78"/>
    </x:row>
    <x:row r="557">
      <x:c r="A557" s="73"/>
      <x:c r="B557" s="73"/>
      <x:c r="C557" s="74"/>
      <x:c r="D557" s="73"/>
      <x:c r="E557" s="73"/>
      <x:c r="F557" s="75"/>
      <x:c r="G557" s="75"/>
      <x:c r="H557" s="76" t="str">
        <x:f>IF(A557="","",F557-G557)</x:f>
      </x:c>
      <x:c r="I557" s="77" t="str">
        <x:f>IF(A557="","",IF(E557="","기타/불명",IF(IFERROR(SEARCH("급여",E557),0)&gt;0,"인건비",IF(IFERROR(SEARCH("임차",E557),0)&gt;0,"임차·시설",IF(IFERROR(SEARCH("광고",E557),0)&gt;0,"광고·행사",IF(IFERROR(SEARCH("용역",E557),0)&gt;0,"용역·수수료","기타/불명"))))))</x:f>
      </x:c>
      <x:c r="J557" s="77" t="str">
        <x:f>IF(A557="","",IF(I557="기타/불명","확인 필요","결의서명으로 1차 확인"))</x:f>
      </x:c>
      <x:c r="K557" s="78"/>
    </x:row>
    <x:row r="558">
      <x:c r="A558" s="73"/>
      <x:c r="B558" s="73"/>
      <x:c r="C558" s="74"/>
      <x:c r="D558" s="73"/>
      <x:c r="E558" s="73"/>
      <x:c r="F558" s="75"/>
      <x:c r="G558" s="75"/>
      <x:c r="H558" s="76" t="str">
        <x:f>IF(A558="","",F558-G558)</x:f>
      </x:c>
      <x:c r="I558" s="77" t="str">
        <x:f>IF(A558="","",IF(E558="","기타/불명",IF(IFERROR(SEARCH("급여",E558),0)&gt;0,"인건비",IF(IFERROR(SEARCH("임차",E558),0)&gt;0,"임차·시설",IF(IFERROR(SEARCH("광고",E558),0)&gt;0,"광고·행사",IF(IFERROR(SEARCH("용역",E558),0)&gt;0,"용역·수수료","기타/불명"))))))</x:f>
      </x:c>
      <x:c r="J558" s="77" t="str">
        <x:f>IF(A558="","",IF(I558="기타/불명","확인 필요","결의서명으로 1차 확인"))</x:f>
      </x:c>
      <x:c r="K558" s="78"/>
    </x:row>
    <x:row r="559">
      <x:c r="A559" s="73"/>
      <x:c r="B559" s="73"/>
      <x:c r="C559" s="74"/>
      <x:c r="D559" s="73"/>
      <x:c r="E559" s="73"/>
      <x:c r="F559" s="75"/>
      <x:c r="G559" s="75"/>
      <x:c r="H559" s="76" t="str">
        <x:f>IF(A559="","",F559-G559)</x:f>
      </x:c>
      <x:c r="I559" s="77" t="str">
        <x:f>IF(A559="","",IF(E559="","기타/불명",IF(IFERROR(SEARCH("급여",E559),0)&gt;0,"인건비",IF(IFERROR(SEARCH("임차",E559),0)&gt;0,"임차·시설",IF(IFERROR(SEARCH("광고",E559),0)&gt;0,"광고·행사",IF(IFERROR(SEARCH("용역",E559),0)&gt;0,"용역·수수료","기타/불명"))))))</x:f>
      </x:c>
      <x:c r="J559" s="77" t="str">
        <x:f>IF(A559="","",IF(I559="기타/불명","확인 필요","결의서명으로 1차 확인"))</x:f>
      </x:c>
      <x:c r="K559" s="78"/>
    </x:row>
    <x:row r="560">
      <x:c r="A560" s="73"/>
      <x:c r="B560" s="73"/>
      <x:c r="C560" s="74"/>
      <x:c r="D560" s="73"/>
      <x:c r="E560" s="73"/>
      <x:c r="F560" s="75"/>
      <x:c r="G560" s="75"/>
      <x:c r="H560" s="76" t="str">
        <x:f>IF(A560="","",F560-G560)</x:f>
      </x:c>
      <x:c r="I560" s="77" t="str">
        <x:f>IF(A560="","",IF(E560="","기타/불명",IF(IFERROR(SEARCH("급여",E560),0)&gt;0,"인건비",IF(IFERROR(SEARCH("임차",E560),0)&gt;0,"임차·시설",IF(IFERROR(SEARCH("광고",E560),0)&gt;0,"광고·행사",IF(IFERROR(SEARCH("용역",E560),0)&gt;0,"용역·수수료","기타/불명"))))))</x:f>
      </x:c>
      <x:c r="J560" s="77" t="str">
        <x:f>IF(A560="","",IF(I560="기타/불명","확인 필요","결의서명으로 1차 확인"))</x:f>
      </x:c>
      <x:c r="K560" s="78"/>
    </x:row>
    <x:row r="561">
      <x:c r="A561" s="73"/>
      <x:c r="B561" s="73"/>
      <x:c r="C561" s="74"/>
      <x:c r="D561" s="73"/>
      <x:c r="E561" s="73"/>
      <x:c r="F561" s="75"/>
      <x:c r="G561" s="75"/>
      <x:c r="H561" s="76" t="str">
        <x:f>IF(A561="","",F561-G561)</x:f>
      </x:c>
      <x:c r="I561" s="77" t="str">
        <x:f>IF(A561="","",IF(E561="","기타/불명",IF(IFERROR(SEARCH("급여",E561),0)&gt;0,"인건비",IF(IFERROR(SEARCH("임차",E561),0)&gt;0,"임차·시설",IF(IFERROR(SEARCH("광고",E561),0)&gt;0,"광고·행사",IF(IFERROR(SEARCH("용역",E561),0)&gt;0,"용역·수수료","기타/불명"))))))</x:f>
      </x:c>
      <x:c r="J561" s="77" t="str">
        <x:f>IF(A561="","",IF(I561="기타/불명","확인 필요","결의서명으로 1차 확인"))</x:f>
      </x:c>
      <x:c r="K561" s="78"/>
    </x:row>
    <x:row r="562">
      <x:c r="A562" s="73"/>
      <x:c r="B562" s="73"/>
      <x:c r="C562" s="74"/>
      <x:c r="D562" s="73"/>
      <x:c r="E562" s="73"/>
      <x:c r="F562" s="75"/>
      <x:c r="G562" s="75"/>
      <x:c r="H562" s="76" t="str">
        <x:f>IF(A562="","",F562-G562)</x:f>
      </x:c>
      <x:c r="I562" s="77" t="str">
        <x:f>IF(A562="","",IF(E562="","기타/불명",IF(IFERROR(SEARCH("급여",E562),0)&gt;0,"인건비",IF(IFERROR(SEARCH("임차",E562),0)&gt;0,"임차·시설",IF(IFERROR(SEARCH("광고",E562),0)&gt;0,"광고·행사",IF(IFERROR(SEARCH("용역",E562),0)&gt;0,"용역·수수료","기타/불명"))))))</x:f>
      </x:c>
      <x:c r="J562" s="77" t="str">
        <x:f>IF(A562="","",IF(I562="기타/불명","확인 필요","결의서명으로 1차 확인"))</x:f>
      </x:c>
      <x:c r="K562" s="78"/>
    </x:row>
    <x:row r="563">
      <x:c r="A563" s="73"/>
      <x:c r="B563" s="73"/>
      <x:c r="C563" s="74"/>
      <x:c r="D563" s="73"/>
      <x:c r="E563" s="73"/>
      <x:c r="F563" s="75"/>
      <x:c r="G563" s="75"/>
      <x:c r="H563" s="76" t="str">
        <x:f>IF(A563="","",F563-G563)</x:f>
      </x:c>
      <x:c r="I563" s="77" t="str">
        <x:f>IF(A563="","",IF(E563="","기타/불명",IF(IFERROR(SEARCH("급여",E563),0)&gt;0,"인건비",IF(IFERROR(SEARCH("임차",E563),0)&gt;0,"임차·시설",IF(IFERROR(SEARCH("광고",E563),0)&gt;0,"광고·행사",IF(IFERROR(SEARCH("용역",E563),0)&gt;0,"용역·수수료","기타/불명"))))))</x:f>
      </x:c>
      <x:c r="J563" s="77" t="str">
        <x:f>IF(A563="","",IF(I563="기타/불명","확인 필요","결의서명으로 1차 확인"))</x:f>
      </x:c>
      <x:c r="K563" s="78"/>
    </x:row>
    <x:row r="564">
      <x:c r="A564" s="73"/>
      <x:c r="B564" s="73"/>
      <x:c r="C564" s="74"/>
      <x:c r="D564" s="73"/>
      <x:c r="E564" s="73"/>
      <x:c r="F564" s="75"/>
      <x:c r="G564" s="75"/>
      <x:c r="H564" s="76" t="str">
        <x:f>IF(A564="","",F564-G564)</x:f>
      </x:c>
      <x:c r="I564" s="77" t="str">
        <x:f>IF(A564="","",IF(E564="","기타/불명",IF(IFERROR(SEARCH("급여",E564),0)&gt;0,"인건비",IF(IFERROR(SEARCH("임차",E564),0)&gt;0,"임차·시설",IF(IFERROR(SEARCH("광고",E564),0)&gt;0,"광고·행사",IF(IFERROR(SEARCH("용역",E564),0)&gt;0,"용역·수수료","기타/불명"))))))</x:f>
      </x:c>
      <x:c r="J564" s="77" t="str">
        <x:f>IF(A564="","",IF(I564="기타/불명","확인 필요","결의서명으로 1차 확인"))</x:f>
      </x:c>
      <x:c r="K564" s="78"/>
    </x:row>
    <x:row r="565">
      <x:c r="A565" s="73"/>
      <x:c r="B565" s="73"/>
      <x:c r="C565" s="74"/>
      <x:c r="D565" s="73"/>
      <x:c r="E565" s="73"/>
      <x:c r="F565" s="75"/>
      <x:c r="G565" s="75"/>
      <x:c r="H565" s="76" t="str">
        <x:f>IF(A565="","",F565-G565)</x:f>
      </x:c>
      <x:c r="I565" s="77" t="str">
        <x:f>IF(A565="","",IF(E565="","기타/불명",IF(IFERROR(SEARCH("급여",E565),0)&gt;0,"인건비",IF(IFERROR(SEARCH("임차",E565),0)&gt;0,"임차·시설",IF(IFERROR(SEARCH("광고",E565),0)&gt;0,"광고·행사",IF(IFERROR(SEARCH("용역",E565),0)&gt;0,"용역·수수료","기타/불명"))))))</x:f>
      </x:c>
      <x:c r="J565" s="77" t="str">
        <x:f>IF(A565="","",IF(I565="기타/불명","확인 필요","결의서명으로 1차 확인"))</x:f>
      </x:c>
      <x:c r="K565" s="78"/>
    </x:row>
    <x:row r="566">
      <x:c r="A566" s="73"/>
      <x:c r="B566" s="73"/>
      <x:c r="C566" s="74"/>
      <x:c r="D566" s="73"/>
      <x:c r="E566" s="73"/>
      <x:c r="F566" s="75"/>
      <x:c r="G566" s="75"/>
      <x:c r="H566" s="76" t="str">
        <x:f>IF(A566="","",F566-G566)</x:f>
      </x:c>
      <x:c r="I566" s="77" t="str">
        <x:f>IF(A566="","",IF(E566="","기타/불명",IF(IFERROR(SEARCH("급여",E566),0)&gt;0,"인건비",IF(IFERROR(SEARCH("임차",E566),0)&gt;0,"임차·시설",IF(IFERROR(SEARCH("광고",E566),0)&gt;0,"광고·행사",IF(IFERROR(SEARCH("용역",E566),0)&gt;0,"용역·수수료","기타/불명"))))))</x:f>
      </x:c>
      <x:c r="J566" s="77" t="str">
        <x:f>IF(A566="","",IF(I566="기타/불명","확인 필요","결의서명으로 1차 확인"))</x:f>
      </x:c>
      <x:c r="K566" s="78"/>
    </x:row>
    <x:row r="567">
      <x:c r="A567" s="73"/>
      <x:c r="B567" s="73"/>
      <x:c r="C567" s="74"/>
      <x:c r="D567" s="73"/>
      <x:c r="E567" s="73"/>
      <x:c r="F567" s="75"/>
      <x:c r="G567" s="75"/>
      <x:c r="H567" s="76" t="str">
        <x:f>IF(A567="","",F567-G567)</x:f>
      </x:c>
      <x:c r="I567" s="77" t="str">
        <x:f>IF(A567="","",IF(E567="","기타/불명",IF(IFERROR(SEARCH("급여",E567),0)&gt;0,"인건비",IF(IFERROR(SEARCH("임차",E567),0)&gt;0,"임차·시설",IF(IFERROR(SEARCH("광고",E567),0)&gt;0,"광고·행사",IF(IFERROR(SEARCH("용역",E567),0)&gt;0,"용역·수수료","기타/불명"))))))</x:f>
      </x:c>
      <x:c r="J567" s="77" t="str">
        <x:f>IF(A567="","",IF(I567="기타/불명","확인 필요","결의서명으로 1차 확인"))</x:f>
      </x:c>
      <x:c r="K567" s="78"/>
    </x:row>
    <x:row r="568">
      <x:c r="A568" s="73"/>
      <x:c r="B568" s="73"/>
      <x:c r="C568" s="74"/>
      <x:c r="D568" s="73"/>
      <x:c r="E568" s="73"/>
      <x:c r="F568" s="75"/>
      <x:c r="G568" s="75"/>
      <x:c r="H568" s="76" t="str">
        <x:f>IF(A568="","",F568-G568)</x:f>
      </x:c>
      <x:c r="I568" s="77" t="str">
        <x:f>IF(A568="","",IF(E568="","기타/불명",IF(IFERROR(SEARCH("급여",E568),0)&gt;0,"인건비",IF(IFERROR(SEARCH("임차",E568),0)&gt;0,"임차·시설",IF(IFERROR(SEARCH("광고",E568),0)&gt;0,"광고·행사",IF(IFERROR(SEARCH("용역",E568),0)&gt;0,"용역·수수료","기타/불명"))))))</x:f>
      </x:c>
      <x:c r="J568" s="77" t="str">
        <x:f>IF(A568="","",IF(I568="기타/불명","확인 필요","결의서명으로 1차 확인"))</x:f>
      </x:c>
      <x:c r="K568" s="78"/>
    </x:row>
    <x:row r="569">
      <x:c r="A569" s="73"/>
      <x:c r="B569" s="73"/>
      <x:c r="C569" s="74"/>
      <x:c r="D569" s="73"/>
      <x:c r="E569" s="73"/>
      <x:c r="F569" s="75"/>
      <x:c r="G569" s="75"/>
      <x:c r="H569" s="76" t="str">
        <x:f>IF(A569="","",F569-G569)</x:f>
      </x:c>
      <x:c r="I569" s="77" t="str">
        <x:f>IF(A569="","",IF(E569="","기타/불명",IF(IFERROR(SEARCH("급여",E569),0)&gt;0,"인건비",IF(IFERROR(SEARCH("임차",E569),0)&gt;0,"임차·시설",IF(IFERROR(SEARCH("광고",E569),0)&gt;0,"광고·행사",IF(IFERROR(SEARCH("용역",E569),0)&gt;0,"용역·수수료","기타/불명"))))))</x:f>
      </x:c>
      <x:c r="J569" s="77" t="str">
        <x:f>IF(A569="","",IF(I569="기타/불명","확인 필요","결의서명으로 1차 확인"))</x:f>
      </x:c>
      <x:c r="K569" s="78"/>
    </x:row>
    <x:row r="570">
      <x:c r="A570" s="73"/>
      <x:c r="B570" s="73"/>
      <x:c r="C570" s="74"/>
      <x:c r="D570" s="73"/>
      <x:c r="E570" s="73"/>
      <x:c r="F570" s="75"/>
      <x:c r="G570" s="75"/>
      <x:c r="H570" s="76" t="str">
        <x:f>IF(A570="","",F570-G570)</x:f>
      </x:c>
      <x:c r="I570" s="77" t="str">
        <x:f>IF(A570="","",IF(E570="","기타/불명",IF(IFERROR(SEARCH("급여",E570),0)&gt;0,"인건비",IF(IFERROR(SEARCH("임차",E570),0)&gt;0,"임차·시설",IF(IFERROR(SEARCH("광고",E570),0)&gt;0,"광고·행사",IF(IFERROR(SEARCH("용역",E570),0)&gt;0,"용역·수수료","기타/불명"))))))</x:f>
      </x:c>
      <x:c r="J570" s="77" t="str">
        <x:f>IF(A570="","",IF(I570="기타/불명","확인 필요","결의서명으로 1차 확인"))</x:f>
      </x:c>
      <x:c r="K570" s="78"/>
    </x:row>
    <x:row r="571">
      <x:c r="A571" s="73"/>
      <x:c r="B571" s="73"/>
      <x:c r="C571" s="74"/>
      <x:c r="D571" s="73"/>
      <x:c r="E571" s="73"/>
      <x:c r="F571" s="75"/>
      <x:c r="G571" s="75"/>
      <x:c r="H571" s="76" t="str">
        <x:f>IF(A571="","",F571-G571)</x:f>
      </x:c>
      <x:c r="I571" s="77" t="str">
        <x:f>IF(A571="","",IF(E571="","기타/불명",IF(IFERROR(SEARCH("급여",E571),0)&gt;0,"인건비",IF(IFERROR(SEARCH("임차",E571),0)&gt;0,"임차·시설",IF(IFERROR(SEARCH("광고",E571),0)&gt;0,"광고·행사",IF(IFERROR(SEARCH("용역",E571),0)&gt;0,"용역·수수료","기타/불명"))))))</x:f>
      </x:c>
      <x:c r="J571" s="77" t="str">
        <x:f>IF(A571="","",IF(I571="기타/불명","확인 필요","결의서명으로 1차 확인"))</x:f>
      </x:c>
      <x:c r="K571" s="78"/>
    </x:row>
    <x:row r="572">
      <x:c r="A572" s="73"/>
      <x:c r="B572" s="73"/>
      <x:c r="C572" s="74"/>
      <x:c r="D572" s="73"/>
      <x:c r="E572" s="73"/>
      <x:c r="F572" s="75"/>
      <x:c r="G572" s="75"/>
      <x:c r="H572" s="76" t="str">
        <x:f>IF(A572="","",F572-G572)</x:f>
      </x:c>
      <x:c r="I572" s="77" t="str">
        <x:f>IF(A572="","",IF(E572="","기타/불명",IF(IFERROR(SEARCH("급여",E572),0)&gt;0,"인건비",IF(IFERROR(SEARCH("임차",E572),0)&gt;0,"임차·시설",IF(IFERROR(SEARCH("광고",E572),0)&gt;0,"광고·행사",IF(IFERROR(SEARCH("용역",E572),0)&gt;0,"용역·수수료","기타/불명"))))))</x:f>
      </x:c>
      <x:c r="J572" s="77" t="str">
        <x:f>IF(A572="","",IF(I572="기타/불명","확인 필요","결의서명으로 1차 확인"))</x:f>
      </x:c>
      <x:c r="K572" s="78"/>
    </x:row>
    <x:row r="573">
      <x:c r="A573" s="73"/>
      <x:c r="B573" s="73"/>
      <x:c r="C573" s="74"/>
      <x:c r="D573" s="73"/>
      <x:c r="E573" s="73"/>
      <x:c r="F573" s="75"/>
      <x:c r="G573" s="75"/>
      <x:c r="H573" s="76" t="str">
        <x:f>IF(A573="","",F573-G573)</x:f>
      </x:c>
      <x:c r="I573" s="77" t="str">
        <x:f>IF(A573="","",IF(E573="","기타/불명",IF(IFERROR(SEARCH("급여",E573),0)&gt;0,"인건비",IF(IFERROR(SEARCH("임차",E573),0)&gt;0,"임차·시설",IF(IFERROR(SEARCH("광고",E573),0)&gt;0,"광고·행사",IF(IFERROR(SEARCH("용역",E573),0)&gt;0,"용역·수수료","기타/불명"))))))</x:f>
      </x:c>
      <x:c r="J573" s="77" t="str">
        <x:f>IF(A573="","",IF(I573="기타/불명","확인 필요","결의서명으로 1차 확인"))</x:f>
      </x:c>
      <x:c r="K573" s="78"/>
    </x:row>
    <x:row r="574">
      <x:c r="A574" s="73"/>
      <x:c r="B574" s="73"/>
      <x:c r="C574" s="74"/>
      <x:c r="D574" s="73"/>
      <x:c r="E574" s="73"/>
      <x:c r="F574" s="75"/>
      <x:c r="G574" s="75"/>
      <x:c r="H574" s="76" t="str">
        <x:f>IF(A574="","",F574-G574)</x:f>
      </x:c>
      <x:c r="I574" s="77" t="str">
        <x:f>IF(A574="","",IF(E574="","기타/불명",IF(IFERROR(SEARCH("급여",E574),0)&gt;0,"인건비",IF(IFERROR(SEARCH("임차",E574),0)&gt;0,"임차·시설",IF(IFERROR(SEARCH("광고",E574),0)&gt;0,"광고·행사",IF(IFERROR(SEARCH("용역",E574),0)&gt;0,"용역·수수료","기타/불명"))))))</x:f>
      </x:c>
      <x:c r="J574" s="77" t="str">
        <x:f>IF(A574="","",IF(I574="기타/불명","확인 필요","결의서명으로 1차 확인"))</x:f>
      </x:c>
      <x:c r="K574" s="78"/>
    </x:row>
    <x:row r="575">
      <x:c r="A575" s="73"/>
      <x:c r="B575" s="73"/>
      <x:c r="C575" s="74"/>
      <x:c r="D575" s="73"/>
      <x:c r="E575" s="73"/>
      <x:c r="F575" s="75"/>
      <x:c r="G575" s="75"/>
      <x:c r="H575" s="76" t="str">
        <x:f>IF(A575="","",F575-G575)</x:f>
      </x:c>
      <x:c r="I575" s="77" t="str">
        <x:f>IF(A575="","",IF(E575="","기타/불명",IF(IFERROR(SEARCH("급여",E575),0)&gt;0,"인건비",IF(IFERROR(SEARCH("임차",E575),0)&gt;0,"임차·시설",IF(IFERROR(SEARCH("광고",E575),0)&gt;0,"광고·행사",IF(IFERROR(SEARCH("용역",E575),0)&gt;0,"용역·수수료","기타/불명"))))))</x:f>
      </x:c>
      <x:c r="J575" s="77" t="str">
        <x:f>IF(A575="","",IF(I575="기타/불명","확인 필요","결의서명으로 1차 확인"))</x:f>
      </x:c>
      <x:c r="K575" s="78"/>
    </x:row>
    <x:row r="576">
      <x:c r="A576" s="73"/>
      <x:c r="B576" s="73"/>
      <x:c r="C576" s="74"/>
      <x:c r="D576" s="73"/>
      <x:c r="E576" s="73"/>
      <x:c r="F576" s="75"/>
      <x:c r="G576" s="75"/>
      <x:c r="H576" s="76" t="str">
        <x:f>IF(A576="","",F576-G576)</x:f>
      </x:c>
      <x:c r="I576" s="77" t="str">
        <x:f>IF(A576="","",IF(E576="","기타/불명",IF(IFERROR(SEARCH("급여",E576),0)&gt;0,"인건비",IF(IFERROR(SEARCH("임차",E576),0)&gt;0,"임차·시설",IF(IFERROR(SEARCH("광고",E576),0)&gt;0,"광고·행사",IF(IFERROR(SEARCH("용역",E576),0)&gt;0,"용역·수수료","기타/불명"))))))</x:f>
      </x:c>
      <x:c r="J576" s="77" t="str">
        <x:f>IF(A576="","",IF(I576="기타/불명","확인 필요","결의서명으로 1차 확인"))</x:f>
      </x:c>
      <x:c r="K576" s="78"/>
    </x:row>
    <x:row r="577">
      <x:c r="A577" s="73"/>
      <x:c r="B577" s="73"/>
      <x:c r="C577" s="74"/>
      <x:c r="D577" s="73"/>
      <x:c r="E577" s="73"/>
      <x:c r="F577" s="75"/>
      <x:c r="G577" s="75"/>
      <x:c r="H577" s="76" t="str">
        <x:f>IF(A577="","",F577-G577)</x:f>
      </x:c>
      <x:c r="I577" s="77" t="str">
        <x:f>IF(A577="","",IF(E577="","기타/불명",IF(IFERROR(SEARCH("급여",E577),0)&gt;0,"인건비",IF(IFERROR(SEARCH("임차",E577),0)&gt;0,"임차·시설",IF(IFERROR(SEARCH("광고",E577),0)&gt;0,"광고·행사",IF(IFERROR(SEARCH("용역",E577),0)&gt;0,"용역·수수료","기타/불명"))))))</x:f>
      </x:c>
      <x:c r="J577" s="77" t="str">
        <x:f>IF(A577="","",IF(I577="기타/불명","확인 필요","결의서명으로 1차 확인"))</x:f>
      </x:c>
      <x:c r="K577" s="78"/>
    </x:row>
    <x:row r="578">
      <x:c r="A578" s="73"/>
      <x:c r="B578" s="73"/>
      <x:c r="C578" s="74"/>
      <x:c r="D578" s="73"/>
      <x:c r="E578" s="73"/>
      <x:c r="F578" s="75"/>
      <x:c r="G578" s="75"/>
      <x:c r="H578" s="76" t="str">
        <x:f>IF(A578="","",F578-G578)</x:f>
      </x:c>
      <x:c r="I578" s="77" t="str">
        <x:f>IF(A578="","",IF(E578="","기타/불명",IF(IFERROR(SEARCH("급여",E578),0)&gt;0,"인건비",IF(IFERROR(SEARCH("임차",E578),0)&gt;0,"임차·시설",IF(IFERROR(SEARCH("광고",E578),0)&gt;0,"광고·행사",IF(IFERROR(SEARCH("용역",E578),0)&gt;0,"용역·수수료","기타/불명"))))))</x:f>
      </x:c>
      <x:c r="J578" s="77" t="str">
        <x:f>IF(A578="","",IF(I578="기타/불명","확인 필요","결의서명으로 1차 확인"))</x:f>
      </x:c>
      <x:c r="K578" s="78"/>
    </x:row>
    <x:row r="579">
      <x:c r="A579" s="73"/>
      <x:c r="B579" s="73"/>
      <x:c r="C579" s="74"/>
      <x:c r="D579" s="73"/>
      <x:c r="E579" s="73"/>
      <x:c r="F579" s="75"/>
      <x:c r="G579" s="75"/>
      <x:c r="H579" s="76" t="str">
        <x:f>IF(A579="","",F579-G579)</x:f>
      </x:c>
      <x:c r="I579" s="77" t="str">
        <x:f>IF(A579="","",IF(E579="","기타/불명",IF(IFERROR(SEARCH("급여",E579),0)&gt;0,"인건비",IF(IFERROR(SEARCH("임차",E579),0)&gt;0,"임차·시설",IF(IFERROR(SEARCH("광고",E579),0)&gt;0,"광고·행사",IF(IFERROR(SEARCH("용역",E579),0)&gt;0,"용역·수수료","기타/불명"))))))</x:f>
      </x:c>
      <x:c r="J579" s="77" t="str">
        <x:f>IF(A579="","",IF(I579="기타/불명","확인 필요","결의서명으로 1차 확인"))</x:f>
      </x:c>
      <x:c r="K579" s="78"/>
    </x:row>
    <x:row r="580">
      <x:c r="A580" s="73"/>
      <x:c r="B580" s="73"/>
      <x:c r="C580" s="74"/>
      <x:c r="D580" s="73"/>
      <x:c r="E580" s="73"/>
      <x:c r="F580" s="75"/>
      <x:c r="G580" s="75"/>
      <x:c r="H580" s="76" t="str">
        <x:f>IF(A580="","",F580-G580)</x:f>
      </x:c>
      <x:c r="I580" s="77" t="str">
        <x:f>IF(A580="","",IF(E580="","기타/불명",IF(IFERROR(SEARCH("급여",E580),0)&gt;0,"인건비",IF(IFERROR(SEARCH("임차",E580),0)&gt;0,"임차·시설",IF(IFERROR(SEARCH("광고",E580),0)&gt;0,"광고·행사",IF(IFERROR(SEARCH("용역",E580),0)&gt;0,"용역·수수료","기타/불명"))))))</x:f>
      </x:c>
      <x:c r="J580" s="77" t="str">
        <x:f>IF(A580="","",IF(I580="기타/불명","확인 필요","결의서명으로 1차 확인"))</x:f>
      </x:c>
      <x:c r="K580" s="78"/>
    </x:row>
    <x:row r="581">
      <x:c r="A581" s="73"/>
      <x:c r="B581" s="73"/>
      <x:c r="C581" s="74"/>
      <x:c r="D581" s="73"/>
      <x:c r="E581" s="73"/>
      <x:c r="F581" s="75"/>
      <x:c r="G581" s="75"/>
      <x:c r="H581" s="76" t="str">
        <x:f>IF(A581="","",F581-G581)</x:f>
      </x:c>
      <x:c r="I581" s="77" t="str">
        <x:f>IF(A581="","",IF(E581="","기타/불명",IF(IFERROR(SEARCH("급여",E581),0)&gt;0,"인건비",IF(IFERROR(SEARCH("임차",E581),0)&gt;0,"임차·시설",IF(IFERROR(SEARCH("광고",E581),0)&gt;0,"광고·행사",IF(IFERROR(SEARCH("용역",E581),0)&gt;0,"용역·수수료","기타/불명"))))))</x:f>
      </x:c>
      <x:c r="J581" s="77" t="str">
        <x:f>IF(A581="","",IF(I581="기타/불명","확인 필요","결의서명으로 1차 확인"))</x:f>
      </x:c>
      <x:c r="K581" s="78"/>
    </x:row>
    <x:row r="582">
      <x:c r="A582" s="73"/>
      <x:c r="B582" s="73"/>
      <x:c r="C582" s="74"/>
      <x:c r="D582" s="73"/>
      <x:c r="E582" s="73"/>
      <x:c r="F582" s="75"/>
      <x:c r="G582" s="75"/>
      <x:c r="H582" s="76" t="str">
        <x:f>IF(A582="","",F582-G582)</x:f>
      </x:c>
      <x:c r="I582" s="77" t="str">
        <x:f>IF(A582="","",IF(E582="","기타/불명",IF(IFERROR(SEARCH("급여",E582),0)&gt;0,"인건비",IF(IFERROR(SEARCH("임차",E582),0)&gt;0,"임차·시설",IF(IFERROR(SEARCH("광고",E582),0)&gt;0,"광고·행사",IF(IFERROR(SEARCH("용역",E582),0)&gt;0,"용역·수수료","기타/불명"))))))</x:f>
      </x:c>
      <x:c r="J582" s="77" t="str">
        <x:f>IF(A582="","",IF(I582="기타/불명","확인 필요","결의서명으로 1차 확인"))</x:f>
      </x:c>
      <x:c r="K582" s="78"/>
    </x:row>
    <x:row r="583">
      <x:c r="A583" s="73"/>
      <x:c r="B583" s="73"/>
      <x:c r="C583" s="74"/>
      <x:c r="D583" s="73"/>
      <x:c r="E583" s="73"/>
      <x:c r="F583" s="75"/>
      <x:c r="G583" s="75"/>
      <x:c r="H583" s="76" t="str">
        <x:f>IF(A583="","",F583-G583)</x:f>
      </x:c>
      <x:c r="I583" s="77" t="str">
        <x:f>IF(A583="","",IF(E583="","기타/불명",IF(IFERROR(SEARCH("급여",E583),0)&gt;0,"인건비",IF(IFERROR(SEARCH("임차",E583),0)&gt;0,"임차·시설",IF(IFERROR(SEARCH("광고",E583),0)&gt;0,"광고·행사",IF(IFERROR(SEARCH("용역",E583),0)&gt;0,"용역·수수료","기타/불명"))))))</x:f>
      </x:c>
      <x:c r="J583" s="77" t="str">
        <x:f>IF(A583="","",IF(I583="기타/불명","확인 필요","결의서명으로 1차 확인"))</x:f>
      </x:c>
      <x:c r="K583" s="78"/>
    </x:row>
    <x:row r="584">
      <x:c r="A584" s="73"/>
      <x:c r="B584" s="73"/>
      <x:c r="C584" s="74"/>
      <x:c r="D584" s="73"/>
      <x:c r="E584" s="73"/>
      <x:c r="F584" s="75"/>
      <x:c r="G584" s="75"/>
      <x:c r="H584" s="76" t="str">
        <x:f>IF(A584="","",F584-G584)</x:f>
      </x:c>
      <x:c r="I584" s="77" t="str">
        <x:f>IF(A584="","",IF(E584="","기타/불명",IF(IFERROR(SEARCH("급여",E584),0)&gt;0,"인건비",IF(IFERROR(SEARCH("임차",E584),0)&gt;0,"임차·시설",IF(IFERROR(SEARCH("광고",E584),0)&gt;0,"광고·행사",IF(IFERROR(SEARCH("용역",E584),0)&gt;0,"용역·수수료","기타/불명"))))))</x:f>
      </x:c>
      <x:c r="J584" s="77" t="str">
        <x:f>IF(A584="","",IF(I584="기타/불명","확인 필요","결의서명으로 1차 확인"))</x:f>
      </x:c>
      <x:c r="K584" s="78"/>
    </x:row>
    <x:row r="585">
      <x:c r="A585" s="73"/>
      <x:c r="B585" s="73"/>
      <x:c r="C585" s="74"/>
      <x:c r="D585" s="73"/>
      <x:c r="E585" s="73"/>
      <x:c r="F585" s="75"/>
      <x:c r="G585" s="75"/>
      <x:c r="H585" s="76" t="str">
        <x:f>IF(A585="","",F585-G585)</x:f>
      </x:c>
      <x:c r="I585" s="77" t="str">
        <x:f>IF(A585="","",IF(E585="","기타/불명",IF(IFERROR(SEARCH("급여",E585),0)&gt;0,"인건비",IF(IFERROR(SEARCH("임차",E585),0)&gt;0,"임차·시설",IF(IFERROR(SEARCH("광고",E585),0)&gt;0,"광고·행사",IF(IFERROR(SEARCH("용역",E585),0)&gt;0,"용역·수수료","기타/불명"))))))</x:f>
      </x:c>
      <x:c r="J585" s="77" t="str">
        <x:f>IF(A585="","",IF(I585="기타/불명","확인 필요","결의서명으로 1차 확인"))</x:f>
      </x:c>
      <x:c r="K585" s="78"/>
    </x:row>
    <x:row r="586">
      <x:c r="A586" s="73"/>
      <x:c r="B586" s="73"/>
      <x:c r="C586" s="74"/>
      <x:c r="D586" s="73"/>
      <x:c r="E586" s="73"/>
      <x:c r="F586" s="75"/>
      <x:c r="G586" s="75"/>
      <x:c r="H586" s="76" t="str">
        <x:f>IF(A586="","",F586-G586)</x:f>
      </x:c>
      <x:c r="I586" s="77" t="str">
        <x:f>IF(A586="","",IF(E586="","기타/불명",IF(IFERROR(SEARCH("급여",E586),0)&gt;0,"인건비",IF(IFERROR(SEARCH("임차",E586),0)&gt;0,"임차·시설",IF(IFERROR(SEARCH("광고",E586),0)&gt;0,"광고·행사",IF(IFERROR(SEARCH("용역",E586),0)&gt;0,"용역·수수료","기타/불명"))))))</x:f>
      </x:c>
      <x:c r="J586" s="77" t="str">
        <x:f>IF(A586="","",IF(I586="기타/불명","확인 필요","결의서명으로 1차 확인"))</x:f>
      </x:c>
      <x:c r="K586" s="78"/>
    </x:row>
    <x:row r="587">
      <x:c r="A587" s="73"/>
      <x:c r="B587" s="73"/>
      <x:c r="C587" s="74"/>
      <x:c r="D587" s="73"/>
      <x:c r="E587" s="73"/>
      <x:c r="F587" s="75"/>
      <x:c r="G587" s="75"/>
      <x:c r="H587" s="76" t="str">
        <x:f>IF(A587="","",F587-G587)</x:f>
      </x:c>
      <x:c r="I587" s="77" t="str">
        <x:f>IF(A587="","",IF(E587="","기타/불명",IF(IFERROR(SEARCH("급여",E587),0)&gt;0,"인건비",IF(IFERROR(SEARCH("임차",E587),0)&gt;0,"임차·시설",IF(IFERROR(SEARCH("광고",E587),0)&gt;0,"광고·행사",IF(IFERROR(SEARCH("용역",E587),0)&gt;0,"용역·수수료","기타/불명"))))))</x:f>
      </x:c>
      <x:c r="J587" s="77" t="str">
        <x:f>IF(A587="","",IF(I587="기타/불명","확인 필요","결의서명으로 1차 확인"))</x:f>
      </x:c>
      <x:c r="K587" s="78"/>
    </x:row>
    <x:row r="588">
      <x:c r="A588" s="73"/>
      <x:c r="B588" s="73"/>
      <x:c r="C588" s="74"/>
      <x:c r="D588" s="73"/>
      <x:c r="E588" s="73"/>
      <x:c r="F588" s="75"/>
      <x:c r="G588" s="75"/>
      <x:c r="H588" s="76" t="str">
        <x:f>IF(A588="","",F588-G588)</x:f>
      </x:c>
      <x:c r="I588" s="77" t="str">
        <x:f>IF(A588="","",IF(E588="","기타/불명",IF(IFERROR(SEARCH("급여",E588),0)&gt;0,"인건비",IF(IFERROR(SEARCH("임차",E588),0)&gt;0,"임차·시설",IF(IFERROR(SEARCH("광고",E588),0)&gt;0,"광고·행사",IF(IFERROR(SEARCH("용역",E588),0)&gt;0,"용역·수수료","기타/불명"))))))</x:f>
      </x:c>
      <x:c r="J588" s="77" t="str">
        <x:f>IF(A588="","",IF(I588="기타/불명","확인 필요","결의서명으로 1차 확인"))</x:f>
      </x:c>
      <x:c r="K588" s="78"/>
    </x:row>
    <x:row r="589">
      <x:c r="A589" s="73"/>
      <x:c r="B589" s="73"/>
      <x:c r="C589" s="74"/>
      <x:c r="D589" s="73"/>
      <x:c r="E589" s="73"/>
      <x:c r="F589" s="75"/>
      <x:c r="G589" s="75"/>
      <x:c r="H589" s="76" t="str">
        <x:f>IF(A589="","",F589-G589)</x:f>
      </x:c>
      <x:c r="I589" s="77" t="str">
        <x:f>IF(A589="","",IF(E589="","기타/불명",IF(IFERROR(SEARCH("급여",E589),0)&gt;0,"인건비",IF(IFERROR(SEARCH("임차",E589),0)&gt;0,"임차·시설",IF(IFERROR(SEARCH("광고",E589),0)&gt;0,"광고·행사",IF(IFERROR(SEARCH("용역",E589),0)&gt;0,"용역·수수료","기타/불명"))))))</x:f>
      </x:c>
      <x:c r="J589" s="77" t="str">
        <x:f>IF(A589="","",IF(I589="기타/불명","확인 필요","결의서명으로 1차 확인"))</x:f>
      </x:c>
      <x:c r="K589" s="78"/>
    </x:row>
    <x:row r="590">
      <x:c r="A590" s="73"/>
      <x:c r="B590" s="73"/>
      <x:c r="C590" s="74"/>
      <x:c r="D590" s="73"/>
      <x:c r="E590" s="73"/>
      <x:c r="F590" s="75"/>
      <x:c r="G590" s="75"/>
      <x:c r="H590" s="76" t="str">
        <x:f>IF(A590="","",F590-G590)</x:f>
      </x:c>
      <x:c r="I590" s="77" t="str">
        <x:f>IF(A590="","",IF(E590="","기타/불명",IF(IFERROR(SEARCH("급여",E590),0)&gt;0,"인건비",IF(IFERROR(SEARCH("임차",E590),0)&gt;0,"임차·시설",IF(IFERROR(SEARCH("광고",E590),0)&gt;0,"광고·행사",IF(IFERROR(SEARCH("용역",E590),0)&gt;0,"용역·수수료","기타/불명"))))))</x:f>
      </x:c>
      <x:c r="J590" s="77" t="str">
        <x:f>IF(A590="","",IF(I590="기타/불명","확인 필요","결의서명으로 1차 확인"))</x:f>
      </x:c>
      <x:c r="K590" s="78"/>
    </x:row>
    <x:row r="591">
      <x:c r="A591" s="73"/>
      <x:c r="B591" s="73"/>
      <x:c r="C591" s="74"/>
      <x:c r="D591" s="73"/>
      <x:c r="E591" s="73"/>
      <x:c r="F591" s="75"/>
      <x:c r="G591" s="75"/>
      <x:c r="H591" s="76" t="str">
        <x:f>IF(A591="","",F591-G591)</x:f>
      </x:c>
      <x:c r="I591" s="77" t="str">
        <x:f>IF(A591="","",IF(E591="","기타/불명",IF(IFERROR(SEARCH("급여",E591),0)&gt;0,"인건비",IF(IFERROR(SEARCH("임차",E591),0)&gt;0,"임차·시설",IF(IFERROR(SEARCH("광고",E591),0)&gt;0,"광고·행사",IF(IFERROR(SEARCH("용역",E591),0)&gt;0,"용역·수수료","기타/불명"))))))</x:f>
      </x:c>
      <x:c r="J591" s="77" t="str">
        <x:f>IF(A591="","",IF(I591="기타/불명","확인 필요","결의서명으로 1차 확인"))</x:f>
      </x:c>
      <x:c r="K591" s="78"/>
    </x:row>
    <x:row r="592">
      <x:c r="A592" s="73"/>
      <x:c r="B592" s="73"/>
      <x:c r="C592" s="74"/>
      <x:c r="D592" s="73"/>
      <x:c r="E592" s="73"/>
      <x:c r="F592" s="75"/>
      <x:c r="G592" s="75"/>
      <x:c r="H592" s="76" t="str">
        <x:f>IF(A592="","",F592-G592)</x:f>
      </x:c>
      <x:c r="I592" s="77" t="str">
        <x:f>IF(A592="","",IF(E592="","기타/불명",IF(IFERROR(SEARCH("급여",E592),0)&gt;0,"인건비",IF(IFERROR(SEARCH("임차",E592),0)&gt;0,"임차·시설",IF(IFERROR(SEARCH("광고",E592),0)&gt;0,"광고·행사",IF(IFERROR(SEARCH("용역",E592),0)&gt;0,"용역·수수료","기타/불명"))))))</x:f>
      </x:c>
      <x:c r="J592" s="77" t="str">
        <x:f>IF(A592="","",IF(I592="기타/불명","확인 필요","결의서명으로 1차 확인"))</x:f>
      </x:c>
      <x:c r="K592" s="78"/>
    </x:row>
    <x:row r="593">
      <x:c r="A593" s="73"/>
      <x:c r="B593" s="73"/>
      <x:c r="C593" s="74"/>
      <x:c r="D593" s="73"/>
      <x:c r="E593" s="73"/>
      <x:c r="F593" s="75"/>
      <x:c r="G593" s="75"/>
      <x:c r="H593" s="76" t="str">
        <x:f>IF(A593="","",F593-G593)</x:f>
      </x:c>
      <x:c r="I593" s="77" t="str">
        <x:f>IF(A593="","",IF(E593="","기타/불명",IF(IFERROR(SEARCH("급여",E593),0)&gt;0,"인건비",IF(IFERROR(SEARCH("임차",E593),0)&gt;0,"임차·시설",IF(IFERROR(SEARCH("광고",E593),0)&gt;0,"광고·행사",IF(IFERROR(SEARCH("용역",E593),0)&gt;0,"용역·수수료","기타/불명"))))))</x:f>
      </x:c>
      <x:c r="J593" s="77" t="str">
        <x:f>IF(A593="","",IF(I593="기타/불명","확인 필요","결의서명으로 1차 확인"))</x:f>
      </x:c>
      <x:c r="K593" s="78"/>
    </x:row>
    <x:row r="594">
      <x:c r="A594" s="73"/>
      <x:c r="B594" s="73"/>
      <x:c r="C594" s="74"/>
      <x:c r="D594" s="73"/>
      <x:c r="E594" s="73"/>
      <x:c r="F594" s="75"/>
      <x:c r="G594" s="75"/>
      <x:c r="H594" s="76" t="str">
        <x:f>IF(A594="","",F594-G594)</x:f>
      </x:c>
      <x:c r="I594" s="77" t="str">
        <x:f>IF(A594="","",IF(E594="","기타/불명",IF(IFERROR(SEARCH("급여",E594),0)&gt;0,"인건비",IF(IFERROR(SEARCH("임차",E594),0)&gt;0,"임차·시설",IF(IFERROR(SEARCH("광고",E594),0)&gt;0,"광고·행사",IF(IFERROR(SEARCH("용역",E594),0)&gt;0,"용역·수수료","기타/불명"))))))</x:f>
      </x:c>
      <x:c r="J594" s="77" t="str">
        <x:f>IF(A594="","",IF(I594="기타/불명","확인 필요","결의서명으로 1차 확인"))</x:f>
      </x:c>
      <x:c r="K594" s="78"/>
    </x:row>
    <x:row r="595">
      <x:c r="A595" s="73"/>
      <x:c r="B595" s="73"/>
      <x:c r="C595" s="74"/>
      <x:c r="D595" s="73"/>
      <x:c r="E595" s="73"/>
      <x:c r="F595" s="75"/>
      <x:c r="G595" s="75"/>
      <x:c r="H595" s="76" t="str">
        <x:f>IF(A595="","",F595-G595)</x:f>
      </x:c>
      <x:c r="I595" s="77" t="str">
        <x:f>IF(A595="","",IF(E595="","기타/불명",IF(IFERROR(SEARCH("급여",E595),0)&gt;0,"인건비",IF(IFERROR(SEARCH("임차",E595),0)&gt;0,"임차·시설",IF(IFERROR(SEARCH("광고",E595),0)&gt;0,"광고·행사",IF(IFERROR(SEARCH("용역",E595),0)&gt;0,"용역·수수료","기타/불명"))))))</x:f>
      </x:c>
      <x:c r="J595" s="77" t="str">
        <x:f>IF(A595="","",IF(I595="기타/불명","확인 필요","결의서명으로 1차 확인"))</x:f>
      </x:c>
      <x:c r="K595" s="78"/>
    </x:row>
    <x:row r="596">
      <x:c r="A596" s="73"/>
      <x:c r="B596" s="73"/>
      <x:c r="C596" s="74"/>
      <x:c r="D596" s="73"/>
      <x:c r="E596" s="73"/>
      <x:c r="F596" s="75"/>
      <x:c r="G596" s="75"/>
      <x:c r="H596" s="76" t="str">
        <x:f>IF(A596="","",F596-G596)</x:f>
      </x:c>
      <x:c r="I596" s="77" t="str">
        <x:f>IF(A596="","",IF(E596="","기타/불명",IF(IFERROR(SEARCH("급여",E596),0)&gt;0,"인건비",IF(IFERROR(SEARCH("임차",E596),0)&gt;0,"임차·시설",IF(IFERROR(SEARCH("광고",E596),0)&gt;0,"광고·행사",IF(IFERROR(SEARCH("용역",E596),0)&gt;0,"용역·수수료","기타/불명"))))))</x:f>
      </x:c>
      <x:c r="J596" s="77" t="str">
        <x:f>IF(A596="","",IF(I596="기타/불명","확인 필요","결의서명으로 1차 확인"))</x:f>
      </x:c>
      <x:c r="K596" s="78"/>
    </x:row>
    <x:row r="597">
      <x:c r="A597" s="73"/>
      <x:c r="B597" s="73"/>
      <x:c r="C597" s="74"/>
      <x:c r="D597" s="73"/>
      <x:c r="E597" s="73"/>
      <x:c r="F597" s="75"/>
      <x:c r="G597" s="75"/>
      <x:c r="H597" s="76" t="str">
        <x:f>IF(A597="","",F597-G597)</x:f>
      </x:c>
      <x:c r="I597" s="77" t="str">
        <x:f>IF(A597="","",IF(E597="","기타/불명",IF(IFERROR(SEARCH("급여",E597),0)&gt;0,"인건비",IF(IFERROR(SEARCH("임차",E597),0)&gt;0,"임차·시설",IF(IFERROR(SEARCH("광고",E597),0)&gt;0,"광고·행사",IF(IFERROR(SEARCH("용역",E597),0)&gt;0,"용역·수수료","기타/불명"))))))</x:f>
      </x:c>
      <x:c r="J597" s="77" t="str">
        <x:f>IF(A597="","",IF(I597="기타/불명","확인 필요","결의서명으로 1차 확인"))</x:f>
      </x:c>
      <x:c r="K597" s="78"/>
    </x:row>
    <x:row r="598">
      <x:c r="A598" s="73"/>
      <x:c r="B598" s="73"/>
      <x:c r="C598" s="74"/>
      <x:c r="D598" s="73"/>
      <x:c r="E598" s="73"/>
      <x:c r="F598" s="75"/>
      <x:c r="G598" s="75"/>
      <x:c r="H598" s="76" t="str">
        <x:f>IF(A598="","",F598-G598)</x:f>
      </x:c>
      <x:c r="I598" s="77" t="str">
        <x:f>IF(A598="","",IF(E598="","기타/불명",IF(IFERROR(SEARCH("급여",E598),0)&gt;0,"인건비",IF(IFERROR(SEARCH("임차",E598),0)&gt;0,"임차·시설",IF(IFERROR(SEARCH("광고",E598),0)&gt;0,"광고·행사",IF(IFERROR(SEARCH("용역",E598),0)&gt;0,"용역·수수료","기타/불명"))))))</x:f>
      </x:c>
      <x:c r="J598" s="77" t="str">
        <x:f>IF(A598="","",IF(I598="기타/불명","확인 필요","결의서명으로 1차 확인"))</x:f>
      </x:c>
      <x:c r="K598" s="78"/>
    </x:row>
    <x:row r="599">
      <x:c r="A599" s="73"/>
      <x:c r="B599" s="73"/>
      <x:c r="C599" s="74"/>
      <x:c r="D599" s="73"/>
      <x:c r="E599" s="73"/>
      <x:c r="F599" s="75"/>
      <x:c r="G599" s="75"/>
      <x:c r="H599" s="76" t="str">
        <x:f>IF(A599="","",F599-G599)</x:f>
      </x:c>
      <x:c r="I599" s="77" t="str">
        <x:f>IF(A599="","",IF(E599="","기타/불명",IF(IFERROR(SEARCH("급여",E599),0)&gt;0,"인건비",IF(IFERROR(SEARCH("임차",E599),0)&gt;0,"임차·시설",IF(IFERROR(SEARCH("광고",E599),0)&gt;0,"광고·행사",IF(IFERROR(SEARCH("용역",E599),0)&gt;0,"용역·수수료","기타/불명"))))))</x:f>
      </x:c>
      <x:c r="J599" s="77" t="str">
        <x:f>IF(A599="","",IF(I599="기타/불명","확인 필요","결의서명으로 1차 확인"))</x:f>
      </x:c>
      <x:c r="K599" s="78"/>
    </x:row>
    <x:row r="600">
      <x:c r="A600" s="73"/>
      <x:c r="B600" s="73"/>
      <x:c r="C600" s="74"/>
      <x:c r="D600" s="73"/>
      <x:c r="E600" s="73"/>
      <x:c r="F600" s="75"/>
      <x:c r="G600" s="75"/>
      <x:c r="H600" s="76" t="str">
        <x:f>IF(A600="","",F600-G600)</x:f>
      </x:c>
      <x:c r="I600" s="77" t="str">
        <x:f>IF(A600="","",IF(E600="","기타/불명",IF(IFERROR(SEARCH("급여",E600),0)&gt;0,"인건비",IF(IFERROR(SEARCH("임차",E600),0)&gt;0,"임차·시설",IF(IFERROR(SEARCH("광고",E600),0)&gt;0,"광고·행사",IF(IFERROR(SEARCH("용역",E600),0)&gt;0,"용역·수수료","기타/불명"))))))</x:f>
      </x:c>
      <x:c r="J600" s="77" t="str">
        <x:f>IF(A600="","",IF(I600="기타/불명","확인 필요","결의서명으로 1차 확인"))</x:f>
      </x:c>
      <x:c r="K600" s="78"/>
    </x:row>
    <x:row r="601">
      <x:c r="A601" s="73"/>
      <x:c r="B601" s="73"/>
      <x:c r="C601" s="74"/>
      <x:c r="D601" s="73"/>
      <x:c r="E601" s="73"/>
      <x:c r="F601" s="75"/>
      <x:c r="G601" s="75"/>
      <x:c r="H601" s="76" t="str">
        <x:f>IF(A601="","",F601-G601)</x:f>
      </x:c>
      <x:c r="I601" s="77" t="str">
        <x:f>IF(A601="","",IF(E601="","기타/불명",IF(IFERROR(SEARCH("급여",E601),0)&gt;0,"인건비",IF(IFERROR(SEARCH("임차",E601),0)&gt;0,"임차·시설",IF(IFERROR(SEARCH("광고",E601),0)&gt;0,"광고·행사",IF(IFERROR(SEARCH("용역",E601),0)&gt;0,"용역·수수료","기타/불명"))))))</x:f>
      </x:c>
      <x:c r="J601" s="77" t="str">
        <x:f>IF(A601="","",IF(I601="기타/불명","확인 필요","결의서명으로 1차 확인"))</x:f>
      </x:c>
      <x:c r="K601" s="78"/>
    </x:row>
    <x:row r="602">
      <x:c r="A602" s="73"/>
      <x:c r="B602" s="73"/>
      <x:c r="C602" s="74"/>
      <x:c r="D602" s="73"/>
      <x:c r="E602" s="73"/>
      <x:c r="F602" s="75"/>
      <x:c r="G602" s="75"/>
      <x:c r="H602" s="76" t="str">
        <x:f>IF(A602="","",F602-G602)</x:f>
      </x:c>
      <x:c r="I602" s="77" t="str">
        <x:f>IF(A602="","",IF(E602="","기타/불명",IF(IFERROR(SEARCH("급여",E602),0)&gt;0,"인건비",IF(IFERROR(SEARCH("임차",E602),0)&gt;0,"임차·시설",IF(IFERROR(SEARCH("광고",E602),0)&gt;0,"광고·행사",IF(IFERROR(SEARCH("용역",E602),0)&gt;0,"용역·수수료","기타/불명"))))))</x:f>
      </x:c>
      <x:c r="J602" s="77" t="str">
        <x:f>IF(A602="","",IF(I602="기타/불명","확인 필요","결의서명으로 1차 확인"))</x:f>
      </x:c>
      <x:c r="K602" s="78"/>
    </x:row>
    <x:row r="603">
      <x:c r="A603" s="73"/>
      <x:c r="B603" s="73"/>
      <x:c r="C603" s="74"/>
      <x:c r="D603" s="73"/>
      <x:c r="E603" s="73"/>
      <x:c r="F603" s="75"/>
      <x:c r="G603" s="75"/>
      <x:c r="H603" s="76" t="str">
        <x:f>IF(A603="","",F603-G603)</x:f>
      </x:c>
      <x:c r="I603" s="77" t="str">
        <x:f>IF(A603="","",IF(E603="","기타/불명",IF(IFERROR(SEARCH("급여",E603),0)&gt;0,"인건비",IF(IFERROR(SEARCH("임차",E603),0)&gt;0,"임차·시설",IF(IFERROR(SEARCH("광고",E603),0)&gt;0,"광고·행사",IF(IFERROR(SEARCH("용역",E603),0)&gt;0,"용역·수수료","기타/불명"))))))</x:f>
      </x:c>
      <x:c r="J603" s="77" t="str">
        <x:f>IF(A603="","",IF(I603="기타/불명","확인 필요","결의서명으로 1차 확인"))</x:f>
      </x:c>
      <x:c r="K603" s="78"/>
    </x:row>
    <x:row r="604">
      <x:c r="A604" s="73"/>
      <x:c r="B604" s="73"/>
      <x:c r="C604" s="74"/>
      <x:c r="D604" s="73"/>
      <x:c r="E604" s="73"/>
      <x:c r="F604" s="75"/>
      <x:c r="G604" s="75"/>
      <x:c r="H604" s="76" t="str">
        <x:f>IF(A604="","",F604-G604)</x:f>
      </x:c>
      <x:c r="I604" s="77" t="str">
        <x:f>IF(A604="","",IF(E604="","기타/불명",IF(IFERROR(SEARCH("급여",E604),0)&gt;0,"인건비",IF(IFERROR(SEARCH("임차",E604),0)&gt;0,"임차·시설",IF(IFERROR(SEARCH("광고",E604),0)&gt;0,"광고·행사",IF(IFERROR(SEARCH("용역",E604),0)&gt;0,"용역·수수료","기타/불명"))))))</x:f>
      </x:c>
      <x:c r="J604" s="77" t="str">
        <x:f>IF(A604="","",IF(I604="기타/불명","확인 필요","결의서명으로 1차 확인"))</x:f>
      </x:c>
      <x:c r="K604" s="78"/>
    </x:row>
    <x:row r="605">
      <x:c r="A605" s="73"/>
      <x:c r="B605" s="73"/>
      <x:c r="C605" s="74"/>
      <x:c r="D605" s="73"/>
      <x:c r="E605" s="73"/>
      <x:c r="F605" s="75"/>
      <x:c r="G605" s="75"/>
      <x:c r="H605" s="76" t="str">
        <x:f>IF(A605="","",F605-G605)</x:f>
      </x:c>
      <x:c r="I605" s="77" t="str">
        <x:f>IF(A605="","",IF(E605="","기타/불명",IF(IFERROR(SEARCH("급여",E605),0)&gt;0,"인건비",IF(IFERROR(SEARCH("임차",E605),0)&gt;0,"임차·시설",IF(IFERROR(SEARCH("광고",E605),0)&gt;0,"광고·행사",IF(IFERROR(SEARCH("용역",E605),0)&gt;0,"용역·수수료","기타/불명"))))))</x:f>
      </x:c>
      <x:c r="J605" s="77" t="str">
        <x:f>IF(A605="","",IF(I605="기타/불명","확인 필요","결의서명으로 1차 확인"))</x:f>
      </x:c>
      <x:c r="K605" s="78"/>
    </x:row>
    <x:row r="606">
      <x:c r="A606" s="73"/>
      <x:c r="B606" s="73"/>
      <x:c r="C606" s="74"/>
      <x:c r="D606" s="73"/>
      <x:c r="E606" s="73"/>
      <x:c r="F606" s="75"/>
      <x:c r="G606" s="75"/>
      <x:c r="H606" s="76" t="str">
        <x:f>IF(A606="","",F606-G606)</x:f>
      </x:c>
      <x:c r="I606" s="77" t="str">
        <x:f>IF(A606="","",IF(E606="","기타/불명",IF(IFERROR(SEARCH("급여",E606),0)&gt;0,"인건비",IF(IFERROR(SEARCH("임차",E606),0)&gt;0,"임차·시설",IF(IFERROR(SEARCH("광고",E606),0)&gt;0,"광고·행사",IF(IFERROR(SEARCH("용역",E606),0)&gt;0,"용역·수수료","기타/불명"))))))</x:f>
      </x:c>
      <x:c r="J606" s="77" t="str">
        <x:f>IF(A606="","",IF(I606="기타/불명","확인 필요","결의서명으로 1차 확인"))</x:f>
      </x:c>
      <x:c r="K606" s="78"/>
    </x:row>
    <x:row r="607">
      <x:c r="A607" s="73"/>
      <x:c r="B607" s="73"/>
      <x:c r="C607" s="74"/>
      <x:c r="D607" s="73"/>
      <x:c r="E607" s="73"/>
      <x:c r="F607" s="75"/>
      <x:c r="G607" s="75"/>
      <x:c r="H607" s="76" t="str">
        <x:f>IF(A607="","",F607-G607)</x:f>
      </x:c>
      <x:c r="I607" s="77" t="str">
        <x:f>IF(A607="","",IF(E607="","기타/불명",IF(IFERROR(SEARCH("급여",E607),0)&gt;0,"인건비",IF(IFERROR(SEARCH("임차",E607),0)&gt;0,"임차·시설",IF(IFERROR(SEARCH("광고",E607),0)&gt;0,"광고·행사",IF(IFERROR(SEARCH("용역",E607),0)&gt;0,"용역·수수료","기타/불명"))))))</x:f>
      </x:c>
      <x:c r="J607" s="77" t="str">
        <x:f>IF(A607="","",IF(I607="기타/불명","확인 필요","결의서명으로 1차 확인"))</x:f>
      </x:c>
      <x:c r="K607" s="78"/>
    </x:row>
    <x:row r="608">
      <x:c r="A608" s="73"/>
      <x:c r="B608" s="73"/>
      <x:c r="C608" s="74"/>
      <x:c r="D608" s="73"/>
      <x:c r="E608" s="73"/>
      <x:c r="F608" s="75"/>
      <x:c r="G608" s="75"/>
      <x:c r="H608" s="76" t="str">
        <x:f>IF(A608="","",F608-G608)</x:f>
      </x:c>
      <x:c r="I608" s="77" t="str">
        <x:f>IF(A608="","",IF(E608="","기타/불명",IF(IFERROR(SEARCH("급여",E608),0)&gt;0,"인건비",IF(IFERROR(SEARCH("임차",E608),0)&gt;0,"임차·시설",IF(IFERROR(SEARCH("광고",E608),0)&gt;0,"광고·행사",IF(IFERROR(SEARCH("용역",E608),0)&gt;0,"용역·수수료","기타/불명"))))))</x:f>
      </x:c>
      <x:c r="J608" s="77" t="str">
        <x:f>IF(A608="","",IF(I608="기타/불명","확인 필요","결의서명으로 1차 확인"))</x:f>
      </x:c>
      <x:c r="K608" s="78"/>
    </x:row>
    <x:row r="609">
      <x:c r="A609" s="73"/>
      <x:c r="B609" s="73"/>
      <x:c r="C609" s="74"/>
      <x:c r="D609" s="73"/>
      <x:c r="E609" s="73"/>
      <x:c r="F609" s="75"/>
      <x:c r="G609" s="75"/>
      <x:c r="H609" s="76" t="str">
        <x:f>IF(A609="","",F609-G609)</x:f>
      </x:c>
      <x:c r="I609" s="77" t="str">
        <x:f>IF(A609="","",IF(E609="","기타/불명",IF(IFERROR(SEARCH("급여",E609),0)&gt;0,"인건비",IF(IFERROR(SEARCH("임차",E609),0)&gt;0,"임차·시설",IF(IFERROR(SEARCH("광고",E609),0)&gt;0,"광고·행사",IF(IFERROR(SEARCH("용역",E609),0)&gt;0,"용역·수수료","기타/불명"))))))</x:f>
      </x:c>
      <x:c r="J609" s="77" t="str">
        <x:f>IF(A609="","",IF(I609="기타/불명","확인 필요","결의서명으로 1차 확인"))</x:f>
      </x:c>
      <x:c r="K609" s="78"/>
    </x:row>
    <x:row r="610">
      <x:c r="A610" s="73"/>
      <x:c r="B610" s="73"/>
      <x:c r="C610" s="74"/>
      <x:c r="D610" s="73"/>
      <x:c r="E610" s="73"/>
      <x:c r="F610" s="75"/>
      <x:c r="G610" s="75"/>
      <x:c r="H610" s="76" t="str">
        <x:f>IF(A610="","",F610-G610)</x:f>
      </x:c>
      <x:c r="I610" s="77" t="str">
        <x:f>IF(A610="","",IF(E610="","기타/불명",IF(IFERROR(SEARCH("급여",E610),0)&gt;0,"인건비",IF(IFERROR(SEARCH("임차",E610),0)&gt;0,"임차·시설",IF(IFERROR(SEARCH("광고",E610),0)&gt;0,"광고·행사",IF(IFERROR(SEARCH("용역",E610),0)&gt;0,"용역·수수료","기타/불명"))))))</x:f>
      </x:c>
      <x:c r="J610" s="77" t="str">
        <x:f>IF(A610="","",IF(I610="기타/불명","확인 필요","결의서명으로 1차 확인"))</x:f>
      </x:c>
      <x:c r="K610" s="78"/>
    </x:row>
    <x:row r="611">
      <x:c r="A611" s="73"/>
      <x:c r="B611" s="73"/>
      <x:c r="C611" s="74"/>
      <x:c r="D611" s="73"/>
      <x:c r="E611" s="73"/>
      <x:c r="F611" s="75"/>
      <x:c r="G611" s="75"/>
      <x:c r="H611" s="76" t="str">
        <x:f>IF(A611="","",F611-G611)</x:f>
      </x:c>
      <x:c r="I611" s="77" t="str">
        <x:f>IF(A611="","",IF(E611="","기타/불명",IF(IFERROR(SEARCH("급여",E611),0)&gt;0,"인건비",IF(IFERROR(SEARCH("임차",E611),0)&gt;0,"임차·시설",IF(IFERROR(SEARCH("광고",E611),0)&gt;0,"광고·행사",IF(IFERROR(SEARCH("용역",E611),0)&gt;0,"용역·수수료","기타/불명"))))))</x:f>
      </x:c>
      <x:c r="J611" s="77" t="str">
        <x:f>IF(A611="","",IF(I611="기타/불명","확인 필요","결의서명으로 1차 확인"))</x:f>
      </x:c>
      <x:c r="K611" s="78"/>
    </x:row>
    <x:row r="612">
      <x:c r="A612" s="73"/>
      <x:c r="B612" s="73"/>
      <x:c r="C612" s="74"/>
      <x:c r="D612" s="73"/>
      <x:c r="E612" s="73"/>
      <x:c r="F612" s="75"/>
      <x:c r="G612" s="75"/>
      <x:c r="H612" s="76" t="str">
        <x:f>IF(A612="","",F612-G612)</x:f>
      </x:c>
      <x:c r="I612" s="77" t="str">
        <x:f>IF(A612="","",IF(E612="","기타/불명",IF(IFERROR(SEARCH("급여",E612),0)&gt;0,"인건비",IF(IFERROR(SEARCH("임차",E612),0)&gt;0,"임차·시설",IF(IFERROR(SEARCH("광고",E612),0)&gt;0,"광고·행사",IF(IFERROR(SEARCH("용역",E612),0)&gt;0,"용역·수수료","기타/불명"))))))</x:f>
      </x:c>
      <x:c r="J612" s="77" t="str">
        <x:f>IF(A612="","",IF(I612="기타/불명","확인 필요","결의서명으로 1차 확인"))</x:f>
      </x:c>
      <x:c r="K612" s="78"/>
    </x:row>
    <x:row r="613">
      <x:c r="A613" s="73"/>
      <x:c r="B613" s="73"/>
      <x:c r="C613" s="74"/>
      <x:c r="D613" s="73"/>
      <x:c r="E613" s="73"/>
      <x:c r="F613" s="75"/>
      <x:c r="G613" s="75"/>
      <x:c r="H613" s="76" t="str">
        <x:f>IF(A613="","",F613-G613)</x:f>
      </x:c>
      <x:c r="I613" s="77" t="str">
        <x:f>IF(A613="","",IF(E613="","기타/불명",IF(IFERROR(SEARCH("급여",E613),0)&gt;0,"인건비",IF(IFERROR(SEARCH("임차",E613),0)&gt;0,"임차·시설",IF(IFERROR(SEARCH("광고",E613),0)&gt;0,"광고·행사",IF(IFERROR(SEARCH("용역",E613),0)&gt;0,"용역·수수료","기타/불명"))))))</x:f>
      </x:c>
      <x:c r="J613" s="77" t="str">
        <x:f>IF(A613="","",IF(I613="기타/불명","확인 필요","결의서명으로 1차 확인"))</x:f>
      </x:c>
      <x:c r="K613" s="78"/>
    </x:row>
    <x:row r="614">
      <x:c r="A614" s="73"/>
      <x:c r="B614" s="73"/>
      <x:c r="C614" s="74"/>
      <x:c r="D614" s="73"/>
      <x:c r="E614" s="73"/>
      <x:c r="F614" s="75"/>
      <x:c r="G614" s="75"/>
      <x:c r="H614" s="76" t="str">
        <x:f>IF(A614="","",F614-G614)</x:f>
      </x:c>
      <x:c r="I614" s="77" t="str">
        <x:f>IF(A614="","",IF(E614="","기타/불명",IF(IFERROR(SEARCH("급여",E614),0)&gt;0,"인건비",IF(IFERROR(SEARCH("임차",E614),0)&gt;0,"임차·시설",IF(IFERROR(SEARCH("광고",E614),0)&gt;0,"광고·행사",IF(IFERROR(SEARCH("용역",E614),0)&gt;0,"용역·수수료","기타/불명"))))))</x:f>
      </x:c>
      <x:c r="J614" s="77" t="str">
        <x:f>IF(A614="","",IF(I614="기타/불명","확인 필요","결의서명으로 1차 확인"))</x:f>
      </x:c>
      <x:c r="K614" s="78"/>
    </x:row>
    <x:row r="615">
      <x:c r="A615" s="73"/>
      <x:c r="B615" s="73"/>
      <x:c r="C615" s="74"/>
      <x:c r="D615" s="73"/>
      <x:c r="E615" s="73"/>
      <x:c r="F615" s="75"/>
      <x:c r="G615" s="75"/>
      <x:c r="H615" s="76" t="str">
        <x:f>IF(A615="","",F615-G615)</x:f>
      </x:c>
      <x:c r="I615" s="77" t="str">
        <x:f>IF(A615="","",IF(E615="","기타/불명",IF(IFERROR(SEARCH("급여",E615),0)&gt;0,"인건비",IF(IFERROR(SEARCH("임차",E615),0)&gt;0,"임차·시설",IF(IFERROR(SEARCH("광고",E615),0)&gt;0,"광고·행사",IF(IFERROR(SEARCH("용역",E615),0)&gt;0,"용역·수수료","기타/불명"))))))</x:f>
      </x:c>
      <x:c r="J615" s="77" t="str">
        <x:f>IF(A615="","",IF(I615="기타/불명","확인 필요","결의서명으로 1차 확인"))</x:f>
      </x:c>
      <x:c r="K615" s="78"/>
    </x:row>
    <x:row r="616">
      <x:c r="A616" s="73"/>
      <x:c r="B616" s="73"/>
      <x:c r="C616" s="74"/>
      <x:c r="D616" s="73"/>
      <x:c r="E616" s="73"/>
      <x:c r="F616" s="75"/>
      <x:c r="G616" s="75"/>
      <x:c r="H616" s="76" t="str">
        <x:f>IF(A616="","",F616-G616)</x:f>
      </x:c>
      <x:c r="I616" s="77" t="str">
        <x:f>IF(A616="","",IF(E616="","기타/불명",IF(IFERROR(SEARCH("급여",E616),0)&gt;0,"인건비",IF(IFERROR(SEARCH("임차",E616),0)&gt;0,"임차·시설",IF(IFERROR(SEARCH("광고",E616),0)&gt;0,"광고·행사",IF(IFERROR(SEARCH("용역",E616),0)&gt;0,"용역·수수료","기타/불명"))))))</x:f>
      </x:c>
      <x:c r="J616" s="77" t="str">
        <x:f>IF(A616="","",IF(I616="기타/불명","확인 필요","결의서명으로 1차 확인"))</x:f>
      </x:c>
      <x:c r="K616" s="78"/>
    </x:row>
    <x:row r="617">
      <x:c r="A617" s="73"/>
      <x:c r="B617" s="73"/>
      <x:c r="C617" s="74"/>
      <x:c r="D617" s="73"/>
      <x:c r="E617" s="73"/>
      <x:c r="F617" s="75"/>
      <x:c r="G617" s="75"/>
      <x:c r="H617" s="76" t="str">
        <x:f>IF(A617="","",F617-G617)</x:f>
      </x:c>
      <x:c r="I617" s="77" t="str">
        <x:f>IF(A617="","",IF(E617="","기타/불명",IF(IFERROR(SEARCH("급여",E617),0)&gt;0,"인건비",IF(IFERROR(SEARCH("임차",E617),0)&gt;0,"임차·시설",IF(IFERROR(SEARCH("광고",E617),0)&gt;0,"광고·행사",IF(IFERROR(SEARCH("용역",E617),0)&gt;0,"용역·수수료","기타/불명"))))))</x:f>
      </x:c>
      <x:c r="J617" s="77" t="str">
        <x:f>IF(A617="","",IF(I617="기타/불명","확인 필요","결의서명으로 1차 확인"))</x:f>
      </x:c>
      <x:c r="K617" s="78"/>
    </x:row>
    <x:row r="618">
      <x:c r="A618" s="73"/>
      <x:c r="B618" s="73"/>
      <x:c r="C618" s="74"/>
      <x:c r="D618" s="73"/>
      <x:c r="E618" s="73"/>
      <x:c r="F618" s="75"/>
      <x:c r="G618" s="75"/>
      <x:c r="H618" s="76" t="str">
        <x:f>IF(A618="","",F618-G618)</x:f>
      </x:c>
      <x:c r="I618" s="77" t="str">
        <x:f>IF(A618="","",IF(E618="","기타/불명",IF(IFERROR(SEARCH("급여",E618),0)&gt;0,"인건비",IF(IFERROR(SEARCH("임차",E618),0)&gt;0,"임차·시설",IF(IFERROR(SEARCH("광고",E618),0)&gt;0,"광고·행사",IF(IFERROR(SEARCH("용역",E618),0)&gt;0,"용역·수수료","기타/불명"))))))</x:f>
      </x:c>
      <x:c r="J618" s="77" t="str">
        <x:f>IF(A618="","",IF(I618="기타/불명","확인 필요","결의서명으로 1차 확인"))</x:f>
      </x:c>
      <x:c r="K618" s="78"/>
    </x:row>
    <x:row r="619">
      <x:c r="A619" s="73"/>
      <x:c r="B619" s="73"/>
      <x:c r="C619" s="74"/>
      <x:c r="D619" s="73"/>
      <x:c r="E619" s="73"/>
      <x:c r="F619" s="75"/>
      <x:c r="G619" s="75"/>
      <x:c r="H619" s="76" t="str">
        <x:f>IF(A619="","",F619-G619)</x:f>
      </x:c>
      <x:c r="I619" s="77" t="str">
        <x:f>IF(A619="","",IF(E619="","기타/불명",IF(IFERROR(SEARCH("급여",E619),0)&gt;0,"인건비",IF(IFERROR(SEARCH("임차",E619),0)&gt;0,"임차·시설",IF(IFERROR(SEARCH("광고",E619),0)&gt;0,"광고·행사",IF(IFERROR(SEARCH("용역",E619),0)&gt;0,"용역·수수료","기타/불명"))))))</x:f>
      </x:c>
      <x:c r="J619" s="77" t="str">
        <x:f>IF(A619="","",IF(I619="기타/불명","확인 필요","결의서명으로 1차 확인"))</x:f>
      </x:c>
      <x:c r="K619" s="78"/>
    </x:row>
    <x:row r="620">
      <x:c r="A620" s="73"/>
      <x:c r="B620" s="73"/>
      <x:c r="C620" s="74"/>
      <x:c r="D620" s="73"/>
      <x:c r="E620" s="73"/>
      <x:c r="F620" s="75"/>
      <x:c r="G620" s="75"/>
      <x:c r="H620" s="76" t="str">
        <x:f>IF(A620="","",F620-G620)</x:f>
      </x:c>
      <x:c r="I620" s="77" t="str">
        <x:f>IF(A620="","",IF(E620="","기타/불명",IF(IFERROR(SEARCH("급여",E620),0)&gt;0,"인건비",IF(IFERROR(SEARCH("임차",E620),0)&gt;0,"임차·시설",IF(IFERROR(SEARCH("광고",E620),0)&gt;0,"광고·행사",IF(IFERROR(SEARCH("용역",E620),0)&gt;0,"용역·수수료","기타/불명"))))))</x:f>
      </x:c>
      <x:c r="J620" s="77" t="str">
        <x:f>IF(A620="","",IF(I620="기타/불명","확인 필요","결의서명으로 1차 확인"))</x:f>
      </x:c>
      <x:c r="K620" s="78"/>
    </x:row>
    <x:row r="621">
      <x:c r="A621" s="73"/>
      <x:c r="B621" s="73"/>
      <x:c r="C621" s="74"/>
      <x:c r="D621" s="73"/>
      <x:c r="E621" s="73"/>
      <x:c r="F621" s="75"/>
      <x:c r="G621" s="75"/>
      <x:c r="H621" s="76" t="str">
        <x:f>IF(A621="","",F621-G621)</x:f>
      </x:c>
      <x:c r="I621" s="77" t="str">
        <x:f>IF(A621="","",IF(E621="","기타/불명",IF(IFERROR(SEARCH("급여",E621),0)&gt;0,"인건비",IF(IFERROR(SEARCH("임차",E621),0)&gt;0,"임차·시설",IF(IFERROR(SEARCH("광고",E621),0)&gt;0,"광고·행사",IF(IFERROR(SEARCH("용역",E621),0)&gt;0,"용역·수수료","기타/불명"))))))</x:f>
      </x:c>
      <x:c r="J621" s="77" t="str">
        <x:f>IF(A621="","",IF(I621="기타/불명","확인 필요","결의서명으로 1차 확인"))</x:f>
      </x:c>
      <x:c r="K621" s="78"/>
    </x:row>
    <x:row r="622">
      <x:c r="A622" s="73"/>
      <x:c r="B622" s="73"/>
      <x:c r="C622" s="74"/>
      <x:c r="D622" s="73"/>
      <x:c r="E622" s="73"/>
      <x:c r="F622" s="75"/>
      <x:c r="G622" s="75"/>
      <x:c r="H622" s="76" t="str">
        <x:f>IF(A622="","",F622-G622)</x:f>
      </x:c>
      <x:c r="I622" s="77" t="str">
        <x:f>IF(A622="","",IF(E622="","기타/불명",IF(IFERROR(SEARCH("급여",E622),0)&gt;0,"인건비",IF(IFERROR(SEARCH("임차",E622),0)&gt;0,"임차·시설",IF(IFERROR(SEARCH("광고",E622),0)&gt;0,"광고·행사",IF(IFERROR(SEARCH("용역",E622),0)&gt;0,"용역·수수료","기타/불명"))))))</x:f>
      </x:c>
      <x:c r="J622" s="77" t="str">
        <x:f>IF(A622="","",IF(I622="기타/불명","확인 필요","결의서명으로 1차 확인"))</x:f>
      </x:c>
      <x:c r="K622" s="78"/>
    </x:row>
    <x:row r="623">
      <x:c r="A623" s="73"/>
      <x:c r="B623" s="73"/>
      <x:c r="C623" s="74"/>
      <x:c r="D623" s="73"/>
      <x:c r="E623" s="73"/>
      <x:c r="F623" s="75"/>
      <x:c r="G623" s="75"/>
      <x:c r="H623" s="76" t="str">
        <x:f>IF(A623="","",F623-G623)</x:f>
      </x:c>
      <x:c r="I623" s="77" t="str">
        <x:f>IF(A623="","",IF(E623="","기타/불명",IF(IFERROR(SEARCH("급여",E623),0)&gt;0,"인건비",IF(IFERROR(SEARCH("임차",E623),0)&gt;0,"임차·시설",IF(IFERROR(SEARCH("광고",E623),0)&gt;0,"광고·행사",IF(IFERROR(SEARCH("용역",E623),0)&gt;0,"용역·수수료","기타/불명"))))))</x:f>
      </x:c>
      <x:c r="J623" s="77" t="str">
        <x:f>IF(A623="","",IF(I623="기타/불명","확인 필요","결의서명으로 1차 확인"))</x:f>
      </x:c>
      <x:c r="K623" s="78"/>
    </x:row>
    <x:row r="624">
      <x:c r="A624" s="73"/>
      <x:c r="B624" s="73"/>
      <x:c r="C624" s="74"/>
      <x:c r="D624" s="73"/>
      <x:c r="E624" s="73"/>
      <x:c r="F624" s="75"/>
      <x:c r="G624" s="75"/>
      <x:c r="H624" s="76" t="str">
        <x:f>IF(A624="","",F624-G624)</x:f>
      </x:c>
      <x:c r="I624" s="77" t="str">
        <x:f>IF(A624="","",IF(E624="","기타/불명",IF(IFERROR(SEARCH("급여",E624),0)&gt;0,"인건비",IF(IFERROR(SEARCH("임차",E624),0)&gt;0,"임차·시설",IF(IFERROR(SEARCH("광고",E624),0)&gt;0,"광고·행사",IF(IFERROR(SEARCH("용역",E624),0)&gt;0,"용역·수수료","기타/불명"))))))</x:f>
      </x:c>
      <x:c r="J624" s="77" t="str">
        <x:f>IF(A624="","",IF(I624="기타/불명","확인 필요","결의서명으로 1차 확인"))</x:f>
      </x:c>
      <x:c r="K624" s="78"/>
    </x:row>
    <x:row r="625">
      <x:c r="A625" s="73"/>
      <x:c r="B625" s="73"/>
      <x:c r="C625" s="74"/>
      <x:c r="D625" s="73"/>
      <x:c r="E625" s="73"/>
      <x:c r="F625" s="75"/>
      <x:c r="G625" s="75"/>
      <x:c r="H625" s="76" t="str">
        <x:f>IF(A625="","",F625-G625)</x:f>
      </x:c>
      <x:c r="I625" s="77" t="str">
        <x:f>IF(A625="","",IF(E625="","기타/불명",IF(IFERROR(SEARCH("급여",E625),0)&gt;0,"인건비",IF(IFERROR(SEARCH("임차",E625),0)&gt;0,"임차·시설",IF(IFERROR(SEARCH("광고",E625),0)&gt;0,"광고·행사",IF(IFERROR(SEARCH("용역",E625),0)&gt;0,"용역·수수료","기타/불명"))))))</x:f>
      </x:c>
      <x:c r="J625" s="77" t="str">
        <x:f>IF(A625="","",IF(I625="기타/불명","확인 필요","결의서명으로 1차 확인"))</x:f>
      </x:c>
      <x:c r="K625" s="78"/>
    </x:row>
    <x:row r="626">
      <x:c r="A626" s="73"/>
      <x:c r="B626" s="73"/>
      <x:c r="C626" s="74"/>
      <x:c r="D626" s="73"/>
      <x:c r="E626" s="73"/>
      <x:c r="F626" s="75"/>
      <x:c r="G626" s="75"/>
      <x:c r="H626" s="76" t="str">
        <x:f>IF(A626="","",F626-G626)</x:f>
      </x:c>
      <x:c r="I626" s="77" t="str">
        <x:f>IF(A626="","",IF(E626="","기타/불명",IF(IFERROR(SEARCH("급여",E626),0)&gt;0,"인건비",IF(IFERROR(SEARCH("임차",E626),0)&gt;0,"임차·시설",IF(IFERROR(SEARCH("광고",E626),0)&gt;0,"광고·행사",IF(IFERROR(SEARCH("용역",E626),0)&gt;0,"용역·수수료","기타/불명"))))))</x:f>
      </x:c>
      <x:c r="J626" s="77" t="str">
        <x:f>IF(A626="","",IF(I626="기타/불명","확인 필요","결의서명으로 1차 확인"))</x:f>
      </x:c>
      <x:c r="K626" s="78"/>
    </x:row>
    <x:row r="627">
      <x:c r="A627" s="73"/>
      <x:c r="B627" s="73"/>
      <x:c r="C627" s="74"/>
      <x:c r="D627" s="73"/>
      <x:c r="E627" s="73"/>
      <x:c r="F627" s="75"/>
      <x:c r="G627" s="75"/>
      <x:c r="H627" s="76" t="str">
        <x:f>IF(A627="","",F627-G627)</x:f>
      </x:c>
      <x:c r="I627" s="77" t="str">
        <x:f>IF(A627="","",IF(E627="","기타/불명",IF(IFERROR(SEARCH("급여",E627),0)&gt;0,"인건비",IF(IFERROR(SEARCH("임차",E627),0)&gt;0,"임차·시설",IF(IFERROR(SEARCH("광고",E627),0)&gt;0,"광고·행사",IF(IFERROR(SEARCH("용역",E627),0)&gt;0,"용역·수수료","기타/불명"))))))</x:f>
      </x:c>
      <x:c r="J627" s="77" t="str">
        <x:f>IF(A627="","",IF(I627="기타/불명","확인 필요","결의서명으로 1차 확인"))</x:f>
      </x:c>
      <x:c r="K627" s="78"/>
    </x:row>
    <x:row r="628">
      <x:c r="A628" s="73"/>
      <x:c r="B628" s="73"/>
      <x:c r="C628" s="74"/>
      <x:c r="D628" s="73"/>
      <x:c r="E628" s="73"/>
      <x:c r="F628" s="75"/>
      <x:c r="G628" s="75"/>
      <x:c r="H628" s="76" t="str">
        <x:f>IF(A628="","",F628-G628)</x:f>
      </x:c>
      <x:c r="I628" s="77" t="str">
        <x:f>IF(A628="","",IF(E628="","기타/불명",IF(IFERROR(SEARCH("급여",E628),0)&gt;0,"인건비",IF(IFERROR(SEARCH("임차",E628),0)&gt;0,"임차·시설",IF(IFERROR(SEARCH("광고",E628),0)&gt;0,"광고·행사",IF(IFERROR(SEARCH("용역",E628),0)&gt;0,"용역·수수료","기타/불명"))))))</x:f>
      </x:c>
      <x:c r="J628" s="77" t="str">
        <x:f>IF(A628="","",IF(I628="기타/불명","확인 필요","결의서명으로 1차 확인"))</x:f>
      </x:c>
      <x:c r="K628" s="78"/>
    </x:row>
    <x:row r="629">
      <x:c r="A629" s="73"/>
      <x:c r="B629" s="73"/>
      <x:c r="C629" s="74"/>
      <x:c r="D629" s="73"/>
      <x:c r="E629" s="73"/>
      <x:c r="F629" s="75"/>
      <x:c r="G629" s="75"/>
      <x:c r="H629" s="76" t="str">
        <x:f>IF(A629="","",F629-G629)</x:f>
      </x:c>
      <x:c r="I629" s="77" t="str">
        <x:f>IF(A629="","",IF(E629="","기타/불명",IF(IFERROR(SEARCH("급여",E629),0)&gt;0,"인건비",IF(IFERROR(SEARCH("임차",E629),0)&gt;0,"임차·시설",IF(IFERROR(SEARCH("광고",E629),0)&gt;0,"광고·행사",IF(IFERROR(SEARCH("용역",E629),0)&gt;0,"용역·수수료","기타/불명"))))))</x:f>
      </x:c>
      <x:c r="J629" s="77" t="str">
        <x:f>IF(A629="","",IF(I629="기타/불명","확인 필요","결의서명으로 1차 확인"))</x:f>
      </x:c>
      <x:c r="K629" s="78"/>
    </x:row>
    <x:row r="630">
      <x:c r="A630" s="73"/>
      <x:c r="B630" s="73"/>
      <x:c r="C630" s="74"/>
      <x:c r="D630" s="73"/>
      <x:c r="E630" s="73"/>
      <x:c r="F630" s="75"/>
      <x:c r="G630" s="75"/>
      <x:c r="H630" s="76" t="str">
        <x:f>IF(A630="","",F630-G630)</x:f>
      </x:c>
      <x:c r="I630" s="77" t="str">
        <x:f>IF(A630="","",IF(E630="","기타/불명",IF(IFERROR(SEARCH("급여",E630),0)&gt;0,"인건비",IF(IFERROR(SEARCH("임차",E630),0)&gt;0,"임차·시설",IF(IFERROR(SEARCH("광고",E630),0)&gt;0,"광고·행사",IF(IFERROR(SEARCH("용역",E630),0)&gt;0,"용역·수수료","기타/불명"))))))</x:f>
      </x:c>
      <x:c r="J630" s="77" t="str">
        <x:f>IF(A630="","",IF(I630="기타/불명","확인 필요","결의서명으로 1차 확인"))</x:f>
      </x:c>
      <x:c r="K630" s="78"/>
    </x:row>
    <x:row r="631">
      <x:c r="A631" s="73"/>
      <x:c r="B631" s="73"/>
      <x:c r="C631" s="74"/>
      <x:c r="D631" s="73"/>
      <x:c r="E631" s="73"/>
      <x:c r="F631" s="75"/>
      <x:c r="G631" s="75"/>
      <x:c r="H631" s="76" t="str">
        <x:f>IF(A631="","",F631-G631)</x:f>
      </x:c>
      <x:c r="I631" s="77" t="str">
        <x:f>IF(A631="","",IF(E631="","기타/불명",IF(IFERROR(SEARCH("급여",E631),0)&gt;0,"인건비",IF(IFERROR(SEARCH("임차",E631),0)&gt;0,"임차·시설",IF(IFERROR(SEARCH("광고",E631),0)&gt;0,"광고·행사",IF(IFERROR(SEARCH("용역",E631),0)&gt;0,"용역·수수료","기타/불명"))))))</x:f>
      </x:c>
      <x:c r="J631" s="77" t="str">
        <x:f>IF(A631="","",IF(I631="기타/불명","확인 필요","결의서명으로 1차 확인"))</x:f>
      </x:c>
      <x:c r="K631" s="78"/>
    </x:row>
    <x:row r="632">
      <x:c r="A632" s="73"/>
      <x:c r="B632" s="73"/>
      <x:c r="C632" s="74"/>
      <x:c r="D632" s="73"/>
      <x:c r="E632" s="73"/>
      <x:c r="F632" s="75"/>
      <x:c r="G632" s="75"/>
      <x:c r="H632" s="76" t="str">
        <x:f>IF(A632="","",F632-G632)</x:f>
      </x:c>
      <x:c r="I632" s="77" t="str">
        <x:f>IF(A632="","",IF(E632="","기타/불명",IF(IFERROR(SEARCH("급여",E632),0)&gt;0,"인건비",IF(IFERROR(SEARCH("임차",E632),0)&gt;0,"임차·시설",IF(IFERROR(SEARCH("광고",E632),0)&gt;0,"광고·행사",IF(IFERROR(SEARCH("용역",E632),0)&gt;0,"용역·수수료","기타/불명"))))))</x:f>
      </x:c>
      <x:c r="J632" s="77" t="str">
        <x:f>IF(A632="","",IF(I632="기타/불명","확인 필요","결의서명으로 1차 확인"))</x:f>
      </x:c>
      <x:c r="K632" s="78"/>
    </x:row>
    <x:row r="633">
      <x:c r="A633" s="73"/>
      <x:c r="B633" s="73"/>
      <x:c r="C633" s="74"/>
      <x:c r="D633" s="73"/>
      <x:c r="E633" s="73"/>
      <x:c r="F633" s="75"/>
      <x:c r="G633" s="75"/>
      <x:c r="H633" s="76" t="str">
        <x:f>IF(A633="","",F633-G633)</x:f>
      </x:c>
      <x:c r="I633" s="77" t="str">
        <x:f>IF(A633="","",IF(E633="","기타/불명",IF(IFERROR(SEARCH("급여",E633),0)&gt;0,"인건비",IF(IFERROR(SEARCH("임차",E633),0)&gt;0,"임차·시설",IF(IFERROR(SEARCH("광고",E633),0)&gt;0,"광고·행사",IF(IFERROR(SEARCH("용역",E633),0)&gt;0,"용역·수수료","기타/불명"))))))</x:f>
      </x:c>
      <x:c r="J633" s="77" t="str">
        <x:f>IF(A633="","",IF(I633="기타/불명","확인 필요","결의서명으로 1차 확인"))</x:f>
      </x:c>
      <x:c r="K633" s="78"/>
    </x:row>
    <x:row r="634">
      <x:c r="A634" s="73"/>
      <x:c r="B634" s="73"/>
      <x:c r="C634" s="74"/>
      <x:c r="D634" s="73"/>
      <x:c r="E634" s="73"/>
      <x:c r="F634" s="75"/>
      <x:c r="G634" s="75"/>
      <x:c r="H634" s="76" t="str">
        <x:f>IF(A634="","",F634-G634)</x:f>
      </x:c>
      <x:c r="I634" s="77" t="str">
        <x:f>IF(A634="","",IF(E634="","기타/불명",IF(IFERROR(SEARCH("급여",E634),0)&gt;0,"인건비",IF(IFERROR(SEARCH("임차",E634),0)&gt;0,"임차·시설",IF(IFERROR(SEARCH("광고",E634),0)&gt;0,"광고·행사",IF(IFERROR(SEARCH("용역",E634),0)&gt;0,"용역·수수료","기타/불명"))))))</x:f>
      </x:c>
      <x:c r="J634" s="77" t="str">
        <x:f>IF(A634="","",IF(I634="기타/불명","확인 필요","결의서명으로 1차 확인"))</x:f>
      </x:c>
      <x:c r="K634" s="78"/>
    </x:row>
    <x:row r="635">
      <x:c r="A635" s="73"/>
      <x:c r="B635" s="73"/>
      <x:c r="C635" s="74"/>
      <x:c r="D635" s="73"/>
      <x:c r="E635" s="73"/>
      <x:c r="F635" s="75"/>
      <x:c r="G635" s="75"/>
      <x:c r="H635" s="76" t="str">
        <x:f>IF(A635="","",F635-G635)</x:f>
      </x:c>
      <x:c r="I635" s="77" t="str">
        <x:f>IF(A635="","",IF(E635="","기타/불명",IF(IFERROR(SEARCH("급여",E635),0)&gt;0,"인건비",IF(IFERROR(SEARCH("임차",E635),0)&gt;0,"임차·시설",IF(IFERROR(SEARCH("광고",E635),0)&gt;0,"광고·행사",IF(IFERROR(SEARCH("용역",E635),0)&gt;0,"용역·수수료","기타/불명"))))))</x:f>
      </x:c>
      <x:c r="J635" s="77" t="str">
        <x:f>IF(A635="","",IF(I635="기타/불명","확인 필요","결의서명으로 1차 확인"))</x:f>
      </x:c>
      <x:c r="K635" s="78"/>
    </x:row>
    <x:row r="636">
      <x:c r="A636" s="73"/>
      <x:c r="B636" s="73"/>
      <x:c r="C636" s="74"/>
      <x:c r="D636" s="73"/>
      <x:c r="E636" s="73"/>
      <x:c r="F636" s="75"/>
      <x:c r="G636" s="75"/>
      <x:c r="H636" s="76" t="str">
        <x:f>IF(A636="","",F636-G636)</x:f>
      </x:c>
      <x:c r="I636" s="77" t="str">
        <x:f>IF(A636="","",IF(E636="","기타/불명",IF(IFERROR(SEARCH("급여",E636),0)&gt;0,"인건비",IF(IFERROR(SEARCH("임차",E636),0)&gt;0,"임차·시설",IF(IFERROR(SEARCH("광고",E636),0)&gt;0,"광고·행사",IF(IFERROR(SEARCH("용역",E636),0)&gt;0,"용역·수수료","기타/불명"))))))</x:f>
      </x:c>
      <x:c r="J636" s="77" t="str">
        <x:f>IF(A636="","",IF(I636="기타/불명","확인 필요","결의서명으로 1차 확인"))</x:f>
      </x:c>
      <x:c r="K636" s="78"/>
    </x:row>
    <x:row r="637">
      <x:c r="A637" s="73"/>
      <x:c r="B637" s="73"/>
      <x:c r="C637" s="74"/>
      <x:c r="D637" s="73"/>
      <x:c r="E637" s="73"/>
      <x:c r="F637" s="75"/>
      <x:c r="G637" s="75"/>
      <x:c r="H637" s="76" t="str">
        <x:f>IF(A637="","",F637-G637)</x:f>
      </x:c>
      <x:c r="I637" s="77" t="str">
        <x:f>IF(A637="","",IF(E637="","기타/불명",IF(IFERROR(SEARCH("급여",E637),0)&gt;0,"인건비",IF(IFERROR(SEARCH("임차",E637),0)&gt;0,"임차·시설",IF(IFERROR(SEARCH("광고",E637),0)&gt;0,"광고·행사",IF(IFERROR(SEARCH("용역",E637),0)&gt;0,"용역·수수료","기타/불명"))))))</x:f>
      </x:c>
      <x:c r="J637" s="77" t="str">
        <x:f>IF(A637="","",IF(I637="기타/불명","확인 필요","결의서명으로 1차 확인"))</x:f>
      </x:c>
      <x:c r="K637" s="78"/>
    </x:row>
    <x:row r="638">
      <x:c r="A638" s="73"/>
      <x:c r="B638" s="73"/>
      <x:c r="C638" s="74"/>
      <x:c r="D638" s="73"/>
      <x:c r="E638" s="73"/>
      <x:c r="F638" s="75"/>
      <x:c r="G638" s="75"/>
      <x:c r="H638" s="76" t="str">
        <x:f>IF(A638="","",F638-G638)</x:f>
      </x:c>
      <x:c r="I638" s="77" t="str">
        <x:f>IF(A638="","",IF(E638="","기타/불명",IF(IFERROR(SEARCH("급여",E638),0)&gt;0,"인건비",IF(IFERROR(SEARCH("임차",E638),0)&gt;0,"임차·시설",IF(IFERROR(SEARCH("광고",E638),0)&gt;0,"광고·행사",IF(IFERROR(SEARCH("용역",E638),0)&gt;0,"용역·수수료","기타/불명"))))))</x:f>
      </x:c>
      <x:c r="J638" s="77" t="str">
        <x:f>IF(A638="","",IF(I638="기타/불명","확인 필요","결의서명으로 1차 확인"))</x:f>
      </x:c>
      <x:c r="K638" s="78"/>
    </x:row>
    <x:row r="639">
      <x:c r="A639" s="73"/>
      <x:c r="B639" s="73"/>
      <x:c r="C639" s="74"/>
      <x:c r="D639" s="73"/>
      <x:c r="E639" s="73"/>
      <x:c r="F639" s="75"/>
      <x:c r="G639" s="75"/>
      <x:c r="H639" s="76" t="str">
        <x:f>IF(A639="","",F639-G639)</x:f>
      </x:c>
      <x:c r="I639" s="77" t="str">
        <x:f>IF(A639="","",IF(E639="","기타/불명",IF(IFERROR(SEARCH("급여",E639),0)&gt;0,"인건비",IF(IFERROR(SEARCH("임차",E639),0)&gt;0,"임차·시설",IF(IFERROR(SEARCH("광고",E639),0)&gt;0,"광고·행사",IF(IFERROR(SEARCH("용역",E639),0)&gt;0,"용역·수수료","기타/불명"))))))</x:f>
      </x:c>
      <x:c r="J639" s="77" t="str">
        <x:f>IF(A639="","",IF(I639="기타/불명","확인 필요","결의서명으로 1차 확인"))</x:f>
      </x:c>
      <x:c r="K639" s="78"/>
    </x:row>
    <x:row r="640">
      <x:c r="A640" s="73"/>
      <x:c r="B640" s="73"/>
      <x:c r="C640" s="74"/>
      <x:c r="D640" s="73"/>
      <x:c r="E640" s="73"/>
      <x:c r="F640" s="75"/>
      <x:c r="G640" s="75"/>
      <x:c r="H640" s="76" t="str">
        <x:f>IF(A640="","",F640-G640)</x:f>
      </x:c>
      <x:c r="I640" s="77" t="str">
        <x:f>IF(A640="","",IF(E640="","기타/불명",IF(IFERROR(SEARCH("급여",E640),0)&gt;0,"인건비",IF(IFERROR(SEARCH("임차",E640),0)&gt;0,"임차·시설",IF(IFERROR(SEARCH("광고",E640),0)&gt;0,"광고·행사",IF(IFERROR(SEARCH("용역",E640),0)&gt;0,"용역·수수료","기타/불명"))))))</x:f>
      </x:c>
      <x:c r="J640" s="77" t="str">
        <x:f>IF(A640="","",IF(I640="기타/불명","확인 필요","결의서명으로 1차 확인"))</x:f>
      </x:c>
      <x:c r="K640" s="78"/>
    </x:row>
    <x:row r="641">
      <x:c r="A641" s="73"/>
      <x:c r="B641" s="73"/>
      <x:c r="C641" s="74"/>
      <x:c r="D641" s="73"/>
      <x:c r="E641" s="73"/>
      <x:c r="F641" s="75"/>
      <x:c r="G641" s="75"/>
      <x:c r="H641" s="76" t="str">
        <x:f>IF(A641="","",F641-G641)</x:f>
      </x:c>
      <x:c r="I641" s="77" t="str">
        <x:f>IF(A641="","",IF(E641="","기타/불명",IF(IFERROR(SEARCH("급여",E641),0)&gt;0,"인건비",IF(IFERROR(SEARCH("임차",E641),0)&gt;0,"임차·시설",IF(IFERROR(SEARCH("광고",E641),0)&gt;0,"광고·행사",IF(IFERROR(SEARCH("용역",E641),0)&gt;0,"용역·수수료","기타/불명"))))))</x:f>
      </x:c>
      <x:c r="J641" s="77" t="str">
        <x:f>IF(A641="","",IF(I641="기타/불명","확인 필요","결의서명으로 1차 확인"))</x:f>
      </x:c>
      <x:c r="K641" s="78"/>
    </x:row>
    <x:row r="642">
      <x:c r="A642" s="73"/>
      <x:c r="B642" s="73"/>
      <x:c r="C642" s="74"/>
      <x:c r="D642" s="73"/>
      <x:c r="E642" s="73"/>
      <x:c r="F642" s="75"/>
      <x:c r="G642" s="75"/>
      <x:c r="H642" s="76" t="str">
        <x:f>IF(A642="","",F642-G642)</x:f>
      </x:c>
      <x:c r="I642" s="77" t="str">
        <x:f>IF(A642="","",IF(E642="","기타/불명",IF(IFERROR(SEARCH("급여",E642),0)&gt;0,"인건비",IF(IFERROR(SEARCH("임차",E642),0)&gt;0,"임차·시설",IF(IFERROR(SEARCH("광고",E642),0)&gt;0,"광고·행사",IF(IFERROR(SEARCH("용역",E642),0)&gt;0,"용역·수수료","기타/불명"))))))</x:f>
      </x:c>
      <x:c r="J642" s="77" t="str">
        <x:f>IF(A642="","",IF(I642="기타/불명","확인 필요","결의서명으로 1차 확인"))</x:f>
      </x:c>
      <x:c r="K642" s="78"/>
    </x:row>
    <x:row r="643">
      <x:c r="A643" s="73"/>
      <x:c r="B643" s="73"/>
      <x:c r="C643" s="74"/>
      <x:c r="D643" s="73"/>
      <x:c r="E643" s="73"/>
      <x:c r="F643" s="75"/>
      <x:c r="G643" s="75"/>
      <x:c r="H643" s="76" t="str">
        <x:f>IF(A643="","",F643-G643)</x:f>
      </x:c>
      <x:c r="I643" s="77" t="str">
        <x:f>IF(A643="","",IF(E643="","기타/불명",IF(IFERROR(SEARCH("급여",E643),0)&gt;0,"인건비",IF(IFERROR(SEARCH("임차",E643),0)&gt;0,"임차·시설",IF(IFERROR(SEARCH("광고",E643),0)&gt;0,"광고·행사",IF(IFERROR(SEARCH("용역",E643),0)&gt;0,"용역·수수료","기타/불명"))))))</x:f>
      </x:c>
      <x:c r="J643" s="77" t="str">
        <x:f>IF(A643="","",IF(I643="기타/불명","확인 필요","결의서명으로 1차 확인"))</x:f>
      </x:c>
      <x:c r="K643" s="78"/>
    </x:row>
    <x:row r="644">
      <x:c r="A644" s="73"/>
      <x:c r="B644" s="73"/>
      <x:c r="C644" s="74"/>
      <x:c r="D644" s="73"/>
      <x:c r="E644" s="73"/>
      <x:c r="F644" s="75"/>
      <x:c r="G644" s="75"/>
      <x:c r="H644" s="76" t="str">
        <x:f>IF(A644="","",F644-G644)</x:f>
      </x:c>
      <x:c r="I644" s="77" t="str">
        <x:f>IF(A644="","",IF(E644="","기타/불명",IF(IFERROR(SEARCH("급여",E644),0)&gt;0,"인건비",IF(IFERROR(SEARCH("임차",E644),0)&gt;0,"임차·시설",IF(IFERROR(SEARCH("광고",E644),0)&gt;0,"광고·행사",IF(IFERROR(SEARCH("용역",E644),0)&gt;0,"용역·수수료","기타/불명"))))))</x:f>
      </x:c>
      <x:c r="J644" s="77" t="str">
        <x:f>IF(A644="","",IF(I644="기타/불명","확인 필요","결의서명으로 1차 확인"))</x:f>
      </x:c>
      <x:c r="K644" s="78"/>
    </x:row>
    <x:row r="645">
      <x:c r="A645" s="73"/>
      <x:c r="B645" s="73"/>
      <x:c r="C645" s="74"/>
      <x:c r="D645" s="73"/>
      <x:c r="E645" s="73"/>
      <x:c r="F645" s="75"/>
      <x:c r="G645" s="75"/>
      <x:c r="H645" s="76" t="str">
        <x:f>IF(A645="","",F645-G645)</x:f>
      </x:c>
      <x:c r="I645" s="77" t="str">
        <x:f>IF(A645="","",IF(E645="","기타/불명",IF(IFERROR(SEARCH("급여",E645),0)&gt;0,"인건비",IF(IFERROR(SEARCH("임차",E645),0)&gt;0,"임차·시설",IF(IFERROR(SEARCH("광고",E645),0)&gt;0,"광고·행사",IF(IFERROR(SEARCH("용역",E645),0)&gt;0,"용역·수수료","기타/불명"))))))</x:f>
      </x:c>
      <x:c r="J645" s="77" t="str">
        <x:f>IF(A645="","",IF(I645="기타/불명","확인 필요","결의서명으로 1차 확인"))</x:f>
      </x:c>
      <x:c r="K645" s="78"/>
    </x:row>
    <x:row r="646">
      <x:c r="A646" s="73"/>
      <x:c r="B646" s="73"/>
      <x:c r="C646" s="74"/>
      <x:c r="D646" s="73"/>
      <x:c r="E646" s="73"/>
      <x:c r="F646" s="75"/>
      <x:c r="G646" s="75"/>
      <x:c r="H646" s="76" t="str">
        <x:f>IF(A646="","",F646-G646)</x:f>
      </x:c>
      <x:c r="I646" s="77" t="str">
        <x:f>IF(A646="","",IF(E646="","기타/불명",IF(IFERROR(SEARCH("급여",E646),0)&gt;0,"인건비",IF(IFERROR(SEARCH("임차",E646),0)&gt;0,"임차·시설",IF(IFERROR(SEARCH("광고",E646),0)&gt;0,"광고·행사",IF(IFERROR(SEARCH("용역",E646),0)&gt;0,"용역·수수료","기타/불명"))))))</x:f>
      </x:c>
      <x:c r="J646" s="77" t="str">
        <x:f>IF(A646="","",IF(I646="기타/불명","확인 필요","결의서명으로 1차 확인"))</x:f>
      </x:c>
      <x:c r="K646" s="78"/>
    </x:row>
    <x:row r="647">
      <x:c r="A647" s="73"/>
      <x:c r="B647" s="73"/>
      <x:c r="C647" s="74"/>
      <x:c r="D647" s="73"/>
      <x:c r="E647" s="73"/>
      <x:c r="F647" s="75"/>
      <x:c r="G647" s="75"/>
      <x:c r="H647" s="76" t="str">
        <x:f>IF(A647="","",F647-G647)</x:f>
      </x:c>
      <x:c r="I647" s="77" t="str">
        <x:f>IF(A647="","",IF(E647="","기타/불명",IF(IFERROR(SEARCH("급여",E647),0)&gt;0,"인건비",IF(IFERROR(SEARCH("임차",E647),0)&gt;0,"임차·시설",IF(IFERROR(SEARCH("광고",E647),0)&gt;0,"광고·행사",IF(IFERROR(SEARCH("용역",E647),0)&gt;0,"용역·수수료","기타/불명"))))))</x:f>
      </x:c>
      <x:c r="J647" s="77" t="str">
        <x:f>IF(A647="","",IF(I647="기타/불명","확인 필요","결의서명으로 1차 확인"))</x:f>
      </x:c>
      <x:c r="K647" s="78"/>
    </x:row>
    <x:row r="648">
      <x:c r="A648" s="73"/>
      <x:c r="B648" s="73"/>
      <x:c r="C648" s="74"/>
      <x:c r="D648" s="73"/>
      <x:c r="E648" s="73"/>
      <x:c r="F648" s="75"/>
      <x:c r="G648" s="75"/>
      <x:c r="H648" s="76" t="str">
        <x:f>IF(A648="","",F648-G648)</x:f>
      </x:c>
      <x:c r="I648" s="77" t="str">
        <x:f>IF(A648="","",IF(E648="","기타/불명",IF(IFERROR(SEARCH("급여",E648),0)&gt;0,"인건비",IF(IFERROR(SEARCH("임차",E648),0)&gt;0,"임차·시설",IF(IFERROR(SEARCH("광고",E648),0)&gt;0,"광고·행사",IF(IFERROR(SEARCH("용역",E648),0)&gt;0,"용역·수수료","기타/불명"))))))</x:f>
      </x:c>
      <x:c r="J648" s="77" t="str">
        <x:f>IF(A648="","",IF(I648="기타/불명","확인 필요","결의서명으로 1차 확인"))</x:f>
      </x:c>
      <x:c r="K648" s="78"/>
    </x:row>
    <x:row r="649">
      <x:c r="A649" s="73"/>
      <x:c r="B649" s="73"/>
      <x:c r="C649" s="74"/>
      <x:c r="D649" s="73"/>
      <x:c r="E649" s="73"/>
      <x:c r="F649" s="75"/>
      <x:c r="G649" s="75"/>
      <x:c r="H649" s="76" t="str">
        <x:f>IF(A649="","",F649-G649)</x:f>
      </x:c>
      <x:c r="I649" s="77" t="str">
        <x:f>IF(A649="","",IF(E649="","기타/불명",IF(IFERROR(SEARCH("급여",E649),0)&gt;0,"인건비",IF(IFERROR(SEARCH("임차",E649),0)&gt;0,"임차·시설",IF(IFERROR(SEARCH("광고",E649),0)&gt;0,"광고·행사",IF(IFERROR(SEARCH("용역",E649),0)&gt;0,"용역·수수료","기타/불명"))))))</x:f>
      </x:c>
      <x:c r="J649" s="77" t="str">
        <x:f>IF(A649="","",IF(I649="기타/불명","확인 필요","결의서명으로 1차 확인"))</x:f>
      </x:c>
      <x:c r="K649" s="78"/>
    </x:row>
    <x:row r="650">
      <x:c r="A650" s="73"/>
      <x:c r="B650" s="73"/>
      <x:c r="C650" s="74"/>
      <x:c r="D650" s="73"/>
      <x:c r="E650" s="73"/>
      <x:c r="F650" s="75"/>
      <x:c r="G650" s="75"/>
      <x:c r="H650" s="76" t="str">
        <x:f>IF(A650="","",F650-G650)</x:f>
      </x:c>
      <x:c r="I650" s="77" t="str">
        <x:f>IF(A650="","",IF(E650="","기타/불명",IF(IFERROR(SEARCH("급여",E650),0)&gt;0,"인건비",IF(IFERROR(SEARCH("임차",E650),0)&gt;0,"임차·시설",IF(IFERROR(SEARCH("광고",E650),0)&gt;0,"광고·행사",IF(IFERROR(SEARCH("용역",E650),0)&gt;0,"용역·수수료","기타/불명"))))))</x:f>
      </x:c>
      <x:c r="J650" s="77" t="str">
        <x:f>IF(A650="","",IF(I650="기타/불명","확인 필요","결의서명으로 1차 확인"))</x:f>
      </x:c>
      <x:c r="K650" s="78"/>
    </x:row>
    <x:row r="651">
      <x:c r="A651" s="73"/>
      <x:c r="B651" s="73"/>
      <x:c r="C651" s="74"/>
      <x:c r="D651" s="73"/>
      <x:c r="E651" s="73"/>
      <x:c r="F651" s="75"/>
      <x:c r="G651" s="75"/>
      <x:c r="H651" s="76" t="str">
        <x:f>IF(A651="","",F651-G651)</x:f>
      </x:c>
      <x:c r="I651" s="77" t="str">
        <x:f>IF(A651="","",IF(E651="","기타/불명",IF(IFERROR(SEARCH("급여",E651),0)&gt;0,"인건비",IF(IFERROR(SEARCH("임차",E651),0)&gt;0,"임차·시설",IF(IFERROR(SEARCH("광고",E651),0)&gt;0,"광고·행사",IF(IFERROR(SEARCH("용역",E651),0)&gt;0,"용역·수수료","기타/불명"))))))</x:f>
      </x:c>
      <x:c r="J651" s="77" t="str">
        <x:f>IF(A651="","",IF(I651="기타/불명","확인 필요","결의서명으로 1차 확인"))</x:f>
      </x:c>
      <x:c r="K651" s="78"/>
    </x:row>
    <x:row r="652">
      <x:c r="A652" s="73"/>
      <x:c r="B652" s="73"/>
      <x:c r="C652" s="74"/>
      <x:c r="D652" s="73"/>
      <x:c r="E652" s="73"/>
      <x:c r="F652" s="75"/>
      <x:c r="G652" s="75"/>
      <x:c r="H652" s="76" t="str">
        <x:f>IF(A652="","",F652-G652)</x:f>
      </x:c>
      <x:c r="I652" s="77" t="str">
        <x:f>IF(A652="","",IF(E652="","기타/불명",IF(IFERROR(SEARCH("급여",E652),0)&gt;0,"인건비",IF(IFERROR(SEARCH("임차",E652),0)&gt;0,"임차·시설",IF(IFERROR(SEARCH("광고",E652),0)&gt;0,"광고·행사",IF(IFERROR(SEARCH("용역",E652),0)&gt;0,"용역·수수료","기타/불명"))))))</x:f>
      </x:c>
      <x:c r="J652" s="77" t="str">
        <x:f>IF(A652="","",IF(I652="기타/불명","확인 필요","결의서명으로 1차 확인"))</x:f>
      </x:c>
      <x:c r="K652" s="78"/>
    </x:row>
    <x:row r="653">
      <x:c r="A653" s="73"/>
      <x:c r="B653" s="73"/>
      <x:c r="C653" s="74"/>
      <x:c r="D653" s="73"/>
      <x:c r="E653" s="73"/>
      <x:c r="F653" s="75"/>
      <x:c r="G653" s="75"/>
      <x:c r="H653" s="76" t="str">
        <x:f>IF(A653="","",F653-G653)</x:f>
      </x:c>
      <x:c r="I653" s="77" t="str">
        <x:f>IF(A653="","",IF(E653="","기타/불명",IF(IFERROR(SEARCH("급여",E653),0)&gt;0,"인건비",IF(IFERROR(SEARCH("임차",E653),0)&gt;0,"임차·시설",IF(IFERROR(SEARCH("광고",E653),0)&gt;0,"광고·행사",IF(IFERROR(SEARCH("용역",E653),0)&gt;0,"용역·수수료","기타/불명"))))))</x:f>
      </x:c>
      <x:c r="J653" s="77" t="str">
        <x:f>IF(A653="","",IF(I653="기타/불명","확인 필요","결의서명으로 1차 확인"))</x:f>
      </x:c>
      <x:c r="K653" s="78"/>
    </x:row>
    <x:row r="654">
      <x:c r="A654" s="73"/>
      <x:c r="B654" s="73"/>
      <x:c r="C654" s="74"/>
      <x:c r="D654" s="73"/>
      <x:c r="E654" s="73"/>
      <x:c r="F654" s="75"/>
      <x:c r="G654" s="75"/>
      <x:c r="H654" s="76" t="str">
        <x:f>IF(A654="","",F654-G654)</x:f>
      </x:c>
      <x:c r="I654" s="77" t="str">
        <x:f>IF(A654="","",IF(E654="","기타/불명",IF(IFERROR(SEARCH("급여",E654),0)&gt;0,"인건비",IF(IFERROR(SEARCH("임차",E654),0)&gt;0,"임차·시설",IF(IFERROR(SEARCH("광고",E654),0)&gt;0,"광고·행사",IF(IFERROR(SEARCH("용역",E654),0)&gt;0,"용역·수수료","기타/불명"))))))</x:f>
      </x:c>
      <x:c r="J654" s="77" t="str">
        <x:f>IF(A654="","",IF(I654="기타/불명","확인 필요","결의서명으로 1차 확인"))</x:f>
      </x:c>
      <x:c r="K654" s="78"/>
    </x:row>
    <x:row r="655">
      <x:c r="A655" s="73"/>
      <x:c r="B655" s="73"/>
      <x:c r="C655" s="74"/>
      <x:c r="D655" s="73"/>
      <x:c r="E655" s="73"/>
      <x:c r="F655" s="75"/>
      <x:c r="G655" s="75"/>
      <x:c r="H655" s="76" t="str">
        <x:f>IF(A655="","",F655-G655)</x:f>
      </x:c>
      <x:c r="I655" s="77" t="str">
        <x:f>IF(A655="","",IF(E655="","기타/불명",IF(IFERROR(SEARCH("급여",E655),0)&gt;0,"인건비",IF(IFERROR(SEARCH("임차",E655),0)&gt;0,"임차·시설",IF(IFERROR(SEARCH("광고",E655),0)&gt;0,"광고·행사",IF(IFERROR(SEARCH("용역",E655),0)&gt;0,"용역·수수료","기타/불명"))))))</x:f>
      </x:c>
      <x:c r="J655" s="77" t="str">
        <x:f>IF(A655="","",IF(I655="기타/불명","확인 필요","결의서명으로 1차 확인"))</x:f>
      </x:c>
      <x:c r="K655" s="78"/>
    </x:row>
    <x:row r="656">
      <x:c r="A656" s="73"/>
      <x:c r="B656" s="73"/>
      <x:c r="C656" s="74"/>
      <x:c r="D656" s="73"/>
      <x:c r="E656" s="73"/>
      <x:c r="F656" s="75"/>
      <x:c r="G656" s="75"/>
      <x:c r="H656" s="76" t="str">
        <x:f>IF(A656="","",F656-G656)</x:f>
      </x:c>
      <x:c r="I656" s="77" t="str">
        <x:f>IF(A656="","",IF(E656="","기타/불명",IF(IFERROR(SEARCH("급여",E656),0)&gt;0,"인건비",IF(IFERROR(SEARCH("임차",E656),0)&gt;0,"임차·시설",IF(IFERROR(SEARCH("광고",E656),0)&gt;0,"광고·행사",IF(IFERROR(SEARCH("용역",E656),0)&gt;0,"용역·수수료","기타/불명"))))))</x:f>
      </x:c>
      <x:c r="J656" s="77" t="str">
        <x:f>IF(A656="","",IF(I656="기타/불명","확인 필요","결의서명으로 1차 확인"))</x:f>
      </x:c>
      <x:c r="K656" s="78"/>
    </x:row>
    <x:row r="657">
      <x:c r="A657" s="73"/>
      <x:c r="B657" s="73"/>
      <x:c r="C657" s="74"/>
      <x:c r="D657" s="73"/>
      <x:c r="E657" s="73"/>
      <x:c r="F657" s="75"/>
      <x:c r="G657" s="75"/>
      <x:c r="H657" s="76" t="str">
        <x:f>IF(A657="","",F657-G657)</x:f>
      </x:c>
      <x:c r="I657" s="77" t="str">
        <x:f>IF(A657="","",IF(E657="","기타/불명",IF(IFERROR(SEARCH("급여",E657),0)&gt;0,"인건비",IF(IFERROR(SEARCH("임차",E657),0)&gt;0,"임차·시설",IF(IFERROR(SEARCH("광고",E657),0)&gt;0,"광고·행사",IF(IFERROR(SEARCH("용역",E657),0)&gt;0,"용역·수수료","기타/불명"))))))</x:f>
      </x:c>
      <x:c r="J657" s="77" t="str">
        <x:f>IF(A657="","",IF(I657="기타/불명","확인 필요","결의서명으로 1차 확인"))</x:f>
      </x:c>
      <x:c r="K657" s="78"/>
    </x:row>
    <x:row r="658">
      <x:c r="A658" s="73"/>
      <x:c r="B658" s="73"/>
      <x:c r="C658" s="74"/>
      <x:c r="D658" s="73"/>
      <x:c r="E658" s="73"/>
      <x:c r="F658" s="75"/>
      <x:c r="G658" s="75"/>
      <x:c r="H658" s="76" t="str">
        <x:f>IF(A658="","",F658-G658)</x:f>
      </x:c>
      <x:c r="I658" s="77" t="str">
        <x:f>IF(A658="","",IF(E658="","기타/불명",IF(IFERROR(SEARCH("급여",E658),0)&gt;0,"인건비",IF(IFERROR(SEARCH("임차",E658),0)&gt;0,"임차·시설",IF(IFERROR(SEARCH("광고",E658),0)&gt;0,"광고·행사",IF(IFERROR(SEARCH("용역",E658),0)&gt;0,"용역·수수료","기타/불명"))))))</x:f>
      </x:c>
      <x:c r="J658" s="77" t="str">
        <x:f>IF(A658="","",IF(I658="기타/불명","확인 필요","결의서명으로 1차 확인"))</x:f>
      </x:c>
      <x:c r="K658" s="78"/>
    </x:row>
    <x:row r="659">
      <x:c r="A659" s="73"/>
      <x:c r="B659" s="73"/>
      <x:c r="C659" s="74"/>
      <x:c r="D659" s="73"/>
      <x:c r="E659" s="73"/>
      <x:c r="F659" s="75"/>
      <x:c r="G659" s="75"/>
      <x:c r="H659" s="76" t="str">
        <x:f>IF(A659="","",F659-G659)</x:f>
      </x:c>
      <x:c r="I659" s="77" t="str">
        <x:f>IF(A659="","",IF(E659="","기타/불명",IF(IFERROR(SEARCH("급여",E659),0)&gt;0,"인건비",IF(IFERROR(SEARCH("임차",E659),0)&gt;0,"임차·시설",IF(IFERROR(SEARCH("광고",E659),0)&gt;0,"광고·행사",IF(IFERROR(SEARCH("용역",E659),0)&gt;0,"용역·수수료","기타/불명"))))))</x:f>
      </x:c>
      <x:c r="J659" s="77" t="str">
        <x:f>IF(A659="","",IF(I659="기타/불명","확인 필요","결의서명으로 1차 확인"))</x:f>
      </x:c>
      <x:c r="K659" s="78"/>
    </x:row>
    <x:row r="660">
      <x:c r="A660" s="73"/>
      <x:c r="B660" s="73"/>
      <x:c r="C660" s="74"/>
      <x:c r="D660" s="73"/>
      <x:c r="E660" s="73"/>
      <x:c r="F660" s="75"/>
      <x:c r="G660" s="75"/>
      <x:c r="H660" s="76" t="str">
        <x:f>IF(A660="","",F660-G660)</x:f>
      </x:c>
      <x:c r="I660" s="77" t="str">
        <x:f>IF(A660="","",IF(E660="","기타/불명",IF(IFERROR(SEARCH("급여",E660),0)&gt;0,"인건비",IF(IFERROR(SEARCH("임차",E660),0)&gt;0,"임차·시설",IF(IFERROR(SEARCH("광고",E660),0)&gt;0,"광고·행사",IF(IFERROR(SEARCH("용역",E660),0)&gt;0,"용역·수수료","기타/불명"))))))</x:f>
      </x:c>
      <x:c r="J660" s="77" t="str">
        <x:f>IF(A660="","",IF(I660="기타/불명","확인 필요","결의서명으로 1차 확인"))</x:f>
      </x:c>
      <x:c r="K660" s="78"/>
    </x:row>
    <x:row r="661">
      <x:c r="A661" s="73"/>
      <x:c r="B661" s="73"/>
      <x:c r="C661" s="74"/>
      <x:c r="D661" s="73"/>
      <x:c r="E661" s="73"/>
      <x:c r="F661" s="75"/>
      <x:c r="G661" s="75"/>
      <x:c r="H661" s="76" t="str">
        <x:f>IF(A661="","",F661-G661)</x:f>
      </x:c>
      <x:c r="I661" s="77" t="str">
        <x:f>IF(A661="","",IF(E661="","기타/불명",IF(IFERROR(SEARCH("급여",E661),0)&gt;0,"인건비",IF(IFERROR(SEARCH("임차",E661),0)&gt;0,"임차·시설",IF(IFERROR(SEARCH("광고",E661),0)&gt;0,"광고·행사",IF(IFERROR(SEARCH("용역",E661),0)&gt;0,"용역·수수료","기타/불명"))))))</x:f>
      </x:c>
      <x:c r="J661" s="77" t="str">
        <x:f>IF(A661="","",IF(I661="기타/불명","확인 필요","결의서명으로 1차 확인"))</x:f>
      </x:c>
      <x:c r="K661" s="78"/>
    </x:row>
    <x:row r="662">
      <x:c r="A662" s="73"/>
      <x:c r="B662" s="73"/>
      <x:c r="C662" s="74"/>
      <x:c r="D662" s="73"/>
      <x:c r="E662" s="73"/>
      <x:c r="F662" s="75"/>
      <x:c r="G662" s="75"/>
      <x:c r="H662" s="76" t="str">
        <x:f>IF(A662="","",F662-G662)</x:f>
      </x:c>
      <x:c r="I662" s="77" t="str">
        <x:f>IF(A662="","",IF(E662="","기타/불명",IF(IFERROR(SEARCH("급여",E662),0)&gt;0,"인건비",IF(IFERROR(SEARCH("임차",E662),0)&gt;0,"임차·시설",IF(IFERROR(SEARCH("광고",E662),0)&gt;0,"광고·행사",IF(IFERROR(SEARCH("용역",E662),0)&gt;0,"용역·수수료","기타/불명"))))))</x:f>
      </x:c>
      <x:c r="J662" s="77" t="str">
        <x:f>IF(A662="","",IF(I662="기타/불명","확인 필요","결의서명으로 1차 확인"))</x:f>
      </x:c>
      <x:c r="K662" s="78"/>
    </x:row>
    <x:row r="663">
      <x:c r="A663" s="73"/>
      <x:c r="B663" s="73"/>
      <x:c r="C663" s="74"/>
      <x:c r="D663" s="73"/>
      <x:c r="E663" s="73"/>
      <x:c r="F663" s="75"/>
      <x:c r="G663" s="75"/>
      <x:c r="H663" s="76" t="str">
        <x:f>IF(A663="","",F663-G663)</x:f>
      </x:c>
      <x:c r="I663" s="77" t="str">
        <x:f>IF(A663="","",IF(E663="","기타/불명",IF(IFERROR(SEARCH("급여",E663),0)&gt;0,"인건비",IF(IFERROR(SEARCH("임차",E663),0)&gt;0,"임차·시설",IF(IFERROR(SEARCH("광고",E663),0)&gt;0,"광고·행사",IF(IFERROR(SEARCH("용역",E663),0)&gt;0,"용역·수수료","기타/불명"))))))</x:f>
      </x:c>
      <x:c r="J663" s="77" t="str">
        <x:f>IF(A663="","",IF(I663="기타/불명","확인 필요","결의서명으로 1차 확인"))</x:f>
      </x:c>
      <x:c r="K663" s="78"/>
    </x:row>
    <x:row r="664">
      <x:c r="A664" s="73"/>
      <x:c r="B664" s="73"/>
      <x:c r="C664" s="74"/>
      <x:c r="D664" s="73"/>
      <x:c r="E664" s="73"/>
      <x:c r="F664" s="75"/>
      <x:c r="G664" s="75"/>
      <x:c r="H664" s="76" t="str">
        <x:f>IF(A664="","",F664-G664)</x:f>
      </x:c>
      <x:c r="I664" s="77" t="str">
        <x:f>IF(A664="","",IF(E664="","기타/불명",IF(IFERROR(SEARCH("급여",E664),0)&gt;0,"인건비",IF(IFERROR(SEARCH("임차",E664),0)&gt;0,"임차·시설",IF(IFERROR(SEARCH("광고",E664),0)&gt;0,"광고·행사",IF(IFERROR(SEARCH("용역",E664),0)&gt;0,"용역·수수료","기타/불명"))))))</x:f>
      </x:c>
      <x:c r="J664" s="77" t="str">
        <x:f>IF(A664="","",IF(I664="기타/불명","확인 필요","결의서명으로 1차 확인"))</x:f>
      </x:c>
      <x:c r="K664" s="78"/>
    </x:row>
    <x:row r="665">
      <x:c r="A665" s="73"/>
      <x:c r="B665" s="73"/>
      <x:c r="C665" s="74"/>
      <x:c r="D665" s="73"/>
      <x:c r="E665" s="73"/>
      <x:c r="F665" s="75"/>
      <x:c r="G665" s="75"/>
      <x:c r="H665" s="76" t="str">
        <x:f>IF(A665="","",F665-G665)</x:f>
      </x:c>
      <x:c r="I665" s="77" t="str">
        <x:f>IF(A665="","",IF(E665="","기타/불명",IF(IFERROR(SEARCH("급여",E665),0)&gt;0,"인건비",IF(IFERROR(SEARCH("임차",E665),0)&gt;0,"임차·시설",IF(IFERROR(SEARCH("광고",E665),0)&gt;0,"광고·행사",IF(IFERROR(SEARCH("용역",E665),0)&gt;0,"용역·수수료","기타/불명"))))))</x:f>
      </x:c>
      <x:c r="J665" s="77" t="str">
        <x:f>IF(A665="","",IF(I665="기타/불명","확인 필요","결의서명으로 1차 확인"))</x:f>
      </x:c>
      <x:c r="K665" s="78"/>
    </x:row>
    <x:row r="666">
      <x:c r="A666" s="73"/>
      <x:c r="B666" s="73"/>
      <x:c r="C666" s="74"/>
      <x:c r="D666" s="73"/>
      <x:c r="E666" s="73"/>
      <x:c r="F666" s="75"/>
      <x:c r="G666" s="75"/>
      <x:c r="H666" s="76" t="str">
        <x:f>IF(A666="","",F666-G666)</x:f>
      </x:c>
      <x:c r="I666" s="77" t="str">
        <x:f>IF(A666="","",IF(E666="","기타/불명",IF(IFERROR(SEARCH("급여",E666),0)&gt;0,"인건비",IF(IFERROR(SEARCH("임차",E666),0)&gt;0,"임차·시설",IF(IFERROR(SEARCH("광고",E666),0)&gt;0,"광고·행사",IF(IFERROR(SEARCH("용역",E666),0)&gt;0,"용역·수수료","기타/불명"))))))</x:f>
      </x:c>
      <x:c r="J666" s="77" t="str">
        <x:f>IF(A666="","",IF(I666="기타/불명","확인 필요","결의서명으로 1차 확인"))</x:f>
      </x:c>
      <x:c r="K666" s="78"/>
    </x:row>
    <x:row r="667">
      <x:c r="A667" s="73"/>
      <x:c r="B667" s="73"/>
      <x:c r="C667" s="74"/>
      <x:c r="D667" s="73"/>
      <x:c r="E667" s="73"/>
      <x:c r="F667" s="75"/>
      <x:c r="G667" s="75"/>
      <x:c r="H667" s="76" t="str">
        <x:f>IF(A667="","",F667-G667)</x:f>
      </x:c>
      <x:c r="I667" s="77" t="str">
        <x:f>IF(A667="","",IF(E667="","기타/불명",IF(IFERROR(SEARCH("급여",E667),0)&gt;0,"인건비",IF(IFERROR(SEARCH("임차",E667),0)&gt;0,"임차·시설",IF(IFERROR(SEARCH("광고",E667),0)&gt;0,"광고·행사",IF(IFERROR(SEARCH("용역",E667),0)&gt;0,"용역·수수료","기타/불명"))))))</x:f>
      </x:c>
      <x:c r="J667" s="77" t="str">
        <x:f>IF(A667="","",IF(I667="기타/불명","확인 필요","결의서명으로 1차 확인"))</x:f>
      </x:c>
      <x:c r="K667" s="78"/>
    </x:row>
    <x:row r="668">
      <x:c r="A668" s="73"/>
      <x:c r="B668" s="73"/>
      <x:c r="C668" s="74"/>
      <x:c r="D668" s="73"/>
      <x:c r="E668" s="73"/>
      <x:c r="F668" s="75"/>
      <x:c r="G668" s="75"/>
      <x:c r="H668" s="76" t="str">
        <x:f>IF(A668="","",F668-G668)</x:f>
      </x:c>
      <x:c r="I668" s="77" t="str">
        <x:f>IF(A668="","",IF(E668="","기타/불명",IF(IFERROR(SEARCH("급여",E668),0)&gt;0,"인건비",IF(IFERROR(SEARCH("임차",E668),0)&gt;0,"임차·시설",IF(IFERROR(SEARCH("광고",E668),0)&gt;0,"광고·행사",IF(IFERROR(SEARCH("용역",E668),0)&gt;0,"용역·수수료","기타/불명"))))))</x:f>
      </x:c>
      <x:c r="J668" s="77" t="str">
        <x:f>IF(A668="","",IF(I668="기타/불명","확인 필요","결의서명으로 1차 확인"))</x:f>
      </x:c>
      <x:c r="K668" s="78"/>
    </x:row>
    <x:row r="669">
      <x:c r="A669" s="73"/>
      <x:c r="B669" s="73"/>
      <x:c r="C669" s="74"/>
      <x:c r="D669" s="73"/>
      <x:c r="E669" s="73"/>
      <x:c r="F669" s="75"/>
      <x:c r="G669" s="75"/>
      <x:c r="H669" s="76" t="str">
        <x:f>IF(A669="","",F669-G669)</x:f>
      </x:c>
      <x:c r="I669" s="77" t="str">
        <x:f>IF(A669="","",IF(E669="","기타/불명",IF(IFERROR(SEARCH("급여",E669),0)&gt;0,"인건비",IF(IFERROR(SEARCH("임차",E669),0)&gt;0,"임차·시설",IF(IFERROR(SEARCH("광고",E669),0)&gt;0,"광고·행사",IF(IFERROR(SEARCH("용역",E669),0)&gt;0,"용역·수수료","기타/불명"))))))</x:f>
      </x:c>
      <x:c r="J669" s="77" t="str">
        <x:f>IF(A669="","",IF(I669="기타/불명","확인 필요","결의서명으로 1차 확인"))</x:f>
      </x:c>
      <x:c r="K669" s="78"/>
    </x:row>
    <x:row r="670">
      <x:c r="A670" s="73"/>
      <x:c r="B670" s="73"/>
      <x:c r="C670" s="74"/>
      <x:c r="D670" s="73"/>
      <x:c r="E670" s="73"/>
      <x:c r="F670" s="75"/>
      <x:c r="G670" s="75"/>
      <x:c r="H670" s="76" t="str">
        <x:f>IF(A670="","",F670-G670)</x:f>
      </x:c>
      <x:c r="I670" s="77" t="str">
        <x:f>IF(A670="","",IF(E670="","기타/불명",IF(IFERROR(SEARCH("급여",E670),0)&gt;0,"인건비",IF(IFERROR(SEARCH("임차",E670),0)&gt;0,"임차·시설",IF(IFERROR(SEARCH("광고",E670),0)&gt;0,"광고·행사",IF(IFERROR(SEARCH("용역",E670),0)&gt;0,"용역·수수료","기타/불명"))))))</x:f>
      </x:c>
      <x:c r="J670" s="77" t="str">
        <x:f>IF(A670="","",IF(I670="기타/불명","확인 필요","결의서명으로 1차 확인"))</x:f>
      </x:c>
      <x:c r="K670" s="78"/>
    </x:row>
    <x:row r="671">
      <x:c r="A671" s="73"/>
      <x:c r="B671" s="73"/>
      <x:c r="C671" s="74"/>
      <x:c r="D671" s="73"/>
      <x:c r="E671" s="73"/>
      <x:c r="F671" s="75"/>
      <x:c r="G671" s="75"/>
      <x:c r="H671" s="76" t="str">
        <x:f>IF(A671="","",F671-G671)</x:f>
      </x:c>
      <x:c r="I671" s="77" t="str">
        <x:f>IF(A671="","",IF(E671="","기타/불명",IF(IFERROR(SEARCH("급여",E671),0)&gt;0,"인건비",IF(IFERROR(SEARCH("임차",E671),0)&gt;0,"임차·시설",IF(IFERROR(SEARCH("광고",E671),0)&gt;0,"광고·행사",IF(IFERROR(SEARCH("용역",E671),0)&gt;0,"용역·수수료","기타/불명"))))))</x:f>
      </x:c>
      <x:c r="J671" s="77" t="str">
        <x:f>IF(A671="","",IF(I671="기타/불명","확인 필요","결의서명으로 1차 확인"))</x:f>
      </x:c>
      <x:c r="K671" s="78"/>
    </x:row>
    <x:row r="672">
      <x:c r="A672" s="73"/>
      <x:c r="B672" s="73"/>
      <x:c r="C672" s="74"/>
      <x:c r="D672" s="73"/>
      <x:c r="E672" s="73"/>
      <x:c r="F672" s="75"/>
      <x:c r="G672" s="75"/>
      <x:c r="H672" s="76" t="str">
        <x:f>IF(A672="","",F672-G672)</x:f>
      </x:c>
      <x:c r="I672" s="77" t="str">
        <x:f>IF(A672="","",IF(E672="","기타/불명",IF(IFERROR(SEARCH("급여",E672),0)&gt;0,"인건비",IF(IFERROR(SEARCH("임차",E672),0)&gt;0,"임차·시설",IF(IFERROR(SEARCH("광고",E672),0)&gt;0,"광고·행사",IF(IFERROR(SEARCH("용역",E672),0)&gt;0,"용역·수수료","기타/불명"))))))</x:f>
      </x:c>
      <x:c r="J672" s="77" t="str">
        <x:f>IF(A672="","",IF(I672="기타/불명","확인 필요","결의서명으로 1차 확인"))</x:f>
      </x:c>
      <x:c r="K672" s="78"/>
    </x:row>
    <x:row r="673">
      <x:c r="A673" s="73"/>
      <x:c r="B673" s="73"/>
      <x:c r="C673" s="74"/>
      <x:c r="D673" s="73"/>
      <x:c r="E673" s="73"/>
      <x:c r="F673" s="75"/>
      <x:c r="G673" s="75"/>
      <x:c r="H673" s="76" t="str">
        <x:f>IF(A673="","",F673-G673)</x:f>
      </x:c>
      <x:c r="I673" s="77" t="str">
        <x:f>IF(A673="","",IF(E673="","기타/불명",IF(IFERROR(SEARCH("급여",E673),0)&gt;0,"인건비",IF(IFERROR(SEARCH("임차",E673),0)&gt;0,"임차·시설",IF(IFERROR(SEARCH("광고",E673),0)&gt;0,"광고·행사",IF(IFERROR(SEARCH("용역",E673),0)&gt;0,"용역·수수료","기타/불명"))))))</x:f>
      </x:c>
      <x:c r="J673" s="77" t="str">
        <x:f>IF(A673="","",IF(I673="기타/불명","확인 필요","결의서명으로 1차 확인"))</x:f>
      </x:c>
      <x:c r="K673" s="78"/>
    </x:row>
    <x:row r="674">
      <x:c r="A674" s="73"/>
      <x:c r="B674" s="73"/>
      <x:c r="C674" s="74"/>
      <x:c r="D674" s="73"/>
      <x:c r="E674" s="73"/>
      <x:c r="F674" s="75"/>
      <x:c r="G674" s="75"/>
      <x:c r="H674" s="76" t="str">
        <x:f>IF(A674="","",F674-G674)</x:f>
      </x:c>
      <x:c r="I674" s="77" t="str">
        <x:f>IF(A674="","",IF(E674="","기타/불명",IF(IFERROR(SEARCH("급여",E674),0)&gt;0,"인건비",IF(IFERROR(SEARCH("임차",E674),0)&gt;0,"임차·시설",IF(IFERROR(SEARCH("광고",E674),0)&gt;0,"광고·행사",IF(IFERROR(SEARCH("용역",E674),0)&gt;0,"용역·수수료","기타/불명"))))))</x:f>
      </x:c>
      <x:c r="J674" s="77" t="str">
        <x:f>IF(A674="","",IF(I674="기타/불명","확인 필요","결의서명으로 1차 확인"))</x:f>
      </x:c>
      <x:c r="K674" s="78"/>
    </x:row>
    <x:row r="675">
      <x:c r="A675" s="73"/>
      <x:c r="B675" s="73"/>
      <x:c r="C675" s="74"/>
      <x:c r="D675" s="73"/>
      <x:c r="E675" s="73"/>
      <x:c r="F675" s="75"/>
      <x:c r="G675" s="75"/>
      <x:c r="H675" s="76" t="str">
        <x:f>IF(A675="","",F675-G675)</x:f>
      </x:c>
      <x:c r="I675" s="77" t="str">
        <x:f>IF(A675="","",IF(E675="","기타/불명",IF(IFERROR(SEARCH("급여",E675),0)&gt;0,"인건비",IF(IFERROR(SEARCH("임차",E675),0)&gt;0,"임차·시설",IF(IFERROR(SEARCH("광고",E675),0)&gt;0,"광고·행사",IF(IFERROR(SEARCH("용역",E675),0)&gt;0,"용역·수수료","기타/불명"))))))</x:f>
      </x:c>
      <x:c r="J675" s="77" t="str">
        <x:f>IF(A675="","",IF(I675="기타/불명","확인 필요","결의서명으로 1차 확인"))</x:f>
      </x:c>
      <x:c r="K675" s="78"/>
    </x:row>
    <x:row r="676">
      <x:c r="A676" s="73"/>
      <x:c r="B676" s="73"/>
      <x:c r="C676" s="74"/>
      <x:c r="D676" s="73"/>
      <x:c r="E676" s="73"/>
      <x:c r="F676" s="75"/>
      <x:c r="G676" s="75"/>
      <x:c r="H676" s="76" t="str">
        <x:f>IF(A676="","",F676-G676)</x:f>
      </x:c>
      <x:c r="I676" s="77" t="str">
        <x:f>IF(A676="","",IF(E676="","기타/불명",IF(IFERROR(SEARCH("급여",E676),0)&gt;0,"인건비",IF(IFERROR(SEARCH("임차",E676),0)&gt;0,"임차·시설",IF(IFERROR(SEARCH("광고",E676),0)&gt;0,"광고·행사",IF(IFERROR(SEARCH("용역",E676),0)&gt;0,"용역·수수료","기타/불명"))))))</x:f>
      </x:c>
      <x:c r="J676" s="77" t="str">
        <x:f>IF(A676="","",IF(I676="기타/불명","확인 필요","결의서명으로 1차 확인"))</x:f>
      </x:c>
      <x:c r="K676" s="78"/>
    </x:row>
    <x:row r="677">
      <x:c r="A677" s="73"/>
      <x:c r="B677" s="73"/>
      <x:c r="C677" s="74"/>
      <x:c r="D677" s="73"/>
      <x:c r="E677" s="73"/>
      <x:c r="F677" s="75"/>
      <x:c r="G677" s="75"/>
      <x:c r="H677" s="76" t="str">
        <x:f>IF(A677="","",F677-G677)</x:f>
      </x:c>
      <x:c r="I677" s="77" t="str">
        <x:f>IF(A677="","",IF(E677="","기타/불명",IF(IFERROR(SEARCH("급여",E677),0)&gt;0,"인건비",IF(IFERROR(SEARCH("임차",E677),0)&gt;0,"임차·시설",IF(IFERROR(SEARCH("광고",E677),0)&gt;0,"광고·행사",IF(IFERROR(SEARCH("용역",E677),0)&gt;0,"용역·수수료","기타/불명"))))))</x:f>
      </x:c>
      <x:c r="J677" s="77" t="str">
        <x:f>IF(A677="","",IF(I677="기타/불명","확인 필요","결의서명으로 1차 확인"))</x:f>
      </x:c>
      <x:c r="K677" s="78"/>
    </x:row>
    <x:row r="678">
      <x:c r="A678" s="73"/>
      <x:c r="B678" s="73"/>
      <x:c r="C678" s="74"/>
      <x:c r="D678" s="73"/>
      <x:c r="E678" s="73"/>
      <x:c r="F678" s="75"/>
      <x:c r="G678" s="75"/>
      <x:c r="H678" s="76" t="str">
        <x:f>IF(A678="","",F678-G678)</x:f>
      </x:c>
      <x:c r="I678" s="77" t="str">
        <x:f>IF(A678="","",IF(E678="","기타/불명",IF(IFERROR(SEARCH("급여",E678),0)&gt;0,"인건비",IF(IFERROR(SEARCH("임차",E678),0)&gt;0,"임차·시설",IF(IFERROR(SEARCH("광고",E678),0)&gt;0,"광고·행사",IF(IFERROR(SEARCH("용역",E678),0)&gt;0,"용역·수수료","기타/불명"))))))</x:f>
      </x:c>
      <x:c r="J678" s="77" t="str">
        <x:f>IF(A678="","",IF(I678="기타/불명","확인 필요","결의서명으로 1차 확인"))</x:f>
      </x:c>
      <x:c r="K678" s="78"/>
    </x:row>
    <x:row r="679">
      <x:c r="A679" s="73"/>
      <x:c r="B679" s="73"/>
      <x:c r="C679" s="74"/>
      <x:c r="D679" s="73"/>
      <x:c r="E679" s="73"/>
      <x:c r="F679" s="75"/>
      <x:c r="G679" s="75"/>
      <x:c r="H679" s="76" t="str">
        <x:f>IF(A679="","",F679-G679)</x:f>
      </x:c>
      <x:c r="I679" s="77" t="str">
        <x:f>IF(A679="","",IF(E679="","기타/불명",IF(IFERROR(SEARCH("급여",E679),0)&gt;0,"인건비",IF(IFERROR(SEARCH("임차",E679),0)&gt;0,"임차·시설",IF(IFERROR(SEARCH("광고",E679),0)&gt;0,"광고·행사",IF(IFERROR(SEARCH("용역",E679),0)&gt;0,"용역·수수료","기타/불명"))))))</x:f>
      </x:c>
      <x:c r="J679" s="77" t="str">
        <x:f>IF(A679="","",IF(I679="기타/불명","확인 필요","결의서명으로 1차 확인"))</x:f>
      </x:c>
      <x:c r="K679" s="78"/>
    </x:row>
    <x:row r="680">
      <x:c r="A680" s="73"/>
      <x:c r="B680" s="73"/>
      <x:c r="C680" s="74"/>
      <x:c r="D680" s="73"/>
      <x:c r="E680" s="73"/>
      <x:c r="F680" s="75"/>
      <x:c r="G680" s="75"/>
      <x:c r="H680" s="76" t="str">
        <x:f>IF(A680="","",F680-G680)</x:f>
      </x:c>
      <x:c r="I680" s="77" t="str">
        <x:f>IF(A680="","",IF(E680="","기타/불명",IF(IFERROR(SEARCH("급여",E680),0)&gt;0,"인건비",IF(IFERROR(SEARCH("임차",E680),0)&gt;0,"임차·시설",IF(IFERROR(SEARCH("광고",E680),0)&gt;0,"광고·행사",IF(IFERROR(SEARCH("용역",E680),0)&gt;0,"용역·수수료","기타/불명"))))))</x:f>
      </x:c>
      <x:c r="J680" s="77" t="str">
        <x:f>IF(A680="","",IF(I680="기타/불명","확인 필요","결의서명으로 1차 확인"))</x:f>
      </x:c>
      <x:c r="K680" s="78"/>
    </x:row>
    <x:row r="681">
      <x:c r="A681" s="73"/>
      <x:c r="B681" s="73"/>
      <x:c r="C681" s="74"/>
      <x:c r="D681" s="73"/>
      <x:c r="E681" s="73"/>
      <x:c r="F681" s="75"/>
      <x:c r="G681" s="75"/>
      <x:c r="H681" s="76" t="str">
        <x:f>IF(A681="","",F681-G681)</x:f>
      </x:c>
      <x:c r="I681" s="77" t="str">
        <x:f>IF(A681="","",IF(E681="","기타/불명",IF(IFERROR(SEARCH("급여",E681),0)&gt;0,"인건비",IF(IFERROR(SEARCH("임차",E681),0)&gt;0,"임차·시설",IF(IFERROR(SEARCH("광고",E681),0)&gt;0,"광고·행사",IF(IFERROR(SEARCH("용역",E681),0)&gt;0,"용역·수수료","기타/불명"))))))</x:f>
      </x:c>
      <x:c r="J681" s="77" t="str">
        <x:f>IF(A681="","",IF(I681="기타/불명","확인 필요","결의서명으로 1차 확인"))</x:f>
      </x:c>
      <x:c r="K681" s="78"/>
    </x:row>
    <x:row r="682">
      <x:c r="A682" s="73"/>
      <x:c r="B682" s="73"/>
      <x:c r="C682" s="74"/>
      <x:c r="D682" s="73"/>
      <x:c r="E682" s="73"/>
      <x:c r="F682" s="75"/>
      <x:c r="G682" s="75"/>
      <x:c r="H682" s="76" t="str">
        <x:f>IF(A682="","",F682-G682)</x:f>
      </x:c>
      <x:c r="I682" s="77" t="str">
        <x:f>IF(A682="","",IF(E682="","기타/불명",IF(IFERROR(SEARCH("급여",E682),0)&gt;0,"인건비",IF(IFERROR(SEARCH("임차",E682),0)&gt;0,"임차·시설",IF(IFERROR(SEARCH("광고",E682),0)&gt;0,"광고·행사",IF(IFERROR(SEARCH("용역",E682),0)&gt;0,"용역·수수료","기타/불명"))))))</x:f>
      </x:c>
      <x:c r="J682" s="77" t="str">
        <x:f>IF(A682="","",IF(I682="기타/불명","확인 필요","결의서명으로 1차 확인"))</x:f>
      </x:c>
      <x:c r="K682" s="78"/>
    </x:row>
    <x:row r="683">
      <x:c r="A683" s="73"/>
      <x:c r="B683" s="73"/>
      <x:c r="C683" s="74"/>
      <x:c r="D683" s="73"/>
      <x:c r="E683" s="73"/>
      <x:c r="F683" s="75"/>
      <x:c r="G683" s="75"/>
      <x:c r="H683" s="76" t="str">
        <x:f>IF(A683="","",F683-G683)</x:f>
      </x:c>
      <x:c r="I683" s="77" t="str">
        <x:f>IF(A683="","",IF(E683="","기타/불명",IF(IFERROR(SEARCH("급여",E683),0)&gt;0,"인건비",IF(IFERROR(SEARCH("임차",E683),0)&gt;0,"임차·시설",IF(IFERROR(SEARCH("광고",E683),0)&gt;0,"광고·행사",IF(IFERROR(SEARCH("용역",E683),0)&gt;0,"용역·수수료","기타/불명"))))))</x:f>
      </x:c>
      <x:c r="J683" s="77" t="str">
        <x:f>IF(A683="","",IF(I683="기타/불명","확인 필요","결의서명으로 1차 확인"))</x:f>
      </x:c>
      <x:c r="K683" s="78"/>
    </x:row>
    <x:row r="684">
      <x:c r="A684" s="73"/>
      <x:c r="B684" s="73"/>
      <x:c r="C684" s="74"/>
      <x:c r="D684" s="73"/>
      <x:c r="E684" s="73"/>
      <x:c r="F684" s="75"/>
      <x:c r="G684" s="75"/>
      <x:c r="H684" s="76" t="str">
        <x:f>IF(A684="","",F684-G684)</x:f>
      </x:c>
      <x:c r="I684" s="77" t="str">
        <x:f>IF(A684="","",IF(E684="","기타/불명",IF(IFERROR(SEARCH("급여",E684),0)&gt;0,"인건비",IF(IFERROR(SEARCH("임차",E684),0)&gt;0,"임차·시설",IF(IFERROR(SEARCH("광고",E684),0)&gt;0,"광고·행사",IF(IFERROR(SEARCH("용역",E684),0)&gt;0,"용역·수수료","기타/불명"))))))</x:f>
      </x:c>
      <x:c r="J684" s="77" t="str">
        <x:f>IF(A684="","",IF(I684="기타/불명","확인 필요","결의서명으로 1차 확인"))</x:f>
      </x:c>
      <x:c r="K684" s="78"/>
    </x:row>
    <x:row r="685">
      <x:c r="A685" s="73"/>
      <x:c r="B685" s="73"/>
      <x:c r="C685" s="74"/>
      <x:c r="D685" s="73"/>
      <x:c r="E685" s="73"/>
      <x:c r="F685" s="75"/>
      <x:c r="G685" s="75"/>
      <x:c r="H685" s="76" t="str">
        <x:f>IF(A685="","",F685-G685)</x:f>
      </x:c>
      <x:c r="I685" s="77" t="str">
        <x:f>IF(A685="","",IF(E685="","기타/불명",IF(IFERROR(SEARCH("급여",E685),0)&gt;0,"인건비",IF(IFERROR(SEARCH("임차",E685),0)&gt;0,"임차·시설",IF(IFERROR(SEARCH("광고",E685),0)&gt;0,"광고·행사",IF(IFERROR(SEARCH("용역",E685),0)&gt;0,"용역·수수료","기타/불명"))))))</x:f>
      </x:c>
      <x:c r="J685" s="77" t="str">
        <x:f>IF(A685="","",IF(I685="기타/불명","확인 필요","결의서명으로 1차 확인"))</x:f>
      </x:c>
      <x:c r="K685" s="78"/>
    </x:row>
    <x:row r="686">
      <x:c r="A686" s="73"/>
      <x:c r="B686" s="73"/>
      <x:c r="C686" s="74"/>
      <x:c r="D686" s="73"/>
      <x:c r="E686" s="73"/>
      <x:c r="F686" s="75"/>
      <x:c r="G686" s="75"/>
      <x:c r="H686" s="76" t="str">
        <x:f>IF(A686="","",F686-G686)</x:f>
      </x:c>
      <x:c r="I686" s="77" t="str">
        <x:f>IF(A686="","",IF(E686="","기타/불명",IF(IFERROR(SEARCH("급여",E686),0)&gt;0,"인건비",IF(IFERROR(SEARCH("임차",E686),0)&gt;0,"임차·시설",IF(IFERROR(SEARCH("광고",E686),0)&gt;0,"광고·행사",IF(IFERROR(SEARCH("용역",E686),0)&gt;0,"용역·수수료","기타/불명"))))))</x:f>
      </x:c>
      <x:c r="J686" s="77" t="str">
        <x:f>IF(A686="","",IF(I686="기타/불명","확인 필요","결의서명으로 1차 확인"))</x:f>
      </x:c>
      <x:c r="K686" s="78"/>
    </x:row>
    <x:row r="687">
      <x:c r="A687" s="73"/>
      <x:c r="B687" s="73"/>
      <x:c r="C687" s="74"/>
      <x:c r="D687" s="73"/>
      <x:c r="E687" s="73"/>
      <x:c r="F687" s="75"/>
      <x:c r="G687" s="75"/>
      <x:c r="H687" s="76" t="str">
        <x:f>IF(A687="","",F687-G687)</x:f>
      </x:c>
      <x:c r="I687" s="77" t="str">
        <x:f>IF(A687="","",IF(E687="","기타/불명",IF(IFERROR(SEARCH("급여",E687),0)&gt;0,"인건비",IF(IFERROR(SEARCH("임차",E687),0)&gt;0,"임차·시설",IF(IFERROR(SEARCH("광고",E687),0)&gt;0,"광고·행사",IF(IFERROR(SEARCH("용역",E687),0)&gt;0,"용역·수수료","기타/불명"))))))</x:f>
      </x:c>
      <x:c r="J687" s="77" t="str">
        <x:f>IF(A687="","",IF(I687="기타/불명","확인 필요","결의서명으로 1차 확인"))</x:f>
      </x:c>
      <x:c r="K687" s="78"/>
    </x:row>
    <x:row r="688">
      <x:c r="A688" s="73"/>
      <x:c r="B688" s="73"/>
      <x:c r="C688" s="74"/>
      <x:c r="D688" s="73"/>
      <x:c r="E688" s="73"/>
      <x:c r="F688" s="75"/>
      <x:c r="G688" s="75"/>
      <x:c r="H688" s="76" t="str">
        <x:f>IF(A688="","",F688-G688)</x:f>
      </x:c>
      <x:c r="I688" s="77" t="str">
        <x:f>IF(A688="","",IF(E688="","기타/불명",IF(IFERROR(SEARCH("급여",E688),0)&gt;0,"인건비",IF(IFERROR(SEARCH("임차",E688),0)&gt;0,"임차·시설",IF(IFERROR(SEARCH("광고",E688),0)&gt;0,"광고·행사",IF(IFERROR(SEARCH("용역",E688),0)&gt;0,"용역·수수료","기타/불명"))))))</x:f>
      </x:c>
      <x:c r="J688" s="77" t="str">
        <x:f>IF(A688="","",IF(I688="기타/불명","확인 필요","결의서명으로 1차 확인"))</x:f>
      </x:c>
      <x:c r="K688" s="78"/>
    </x:row>
    <x:row r="689">
      <x:c r="A689" s="73"/>
      <x:c r="B689" s="73"/>
      <x:c r="C689" s="74"/>
      <x:c r="D689" s="73"/>
      <x:c r="E689" s="73"/>
      <x:c r="F689" s="75"/>
      <x:c r="G689" s="75"/>
      <x:c r="H689" s="76" t="str">
        <x:f>IF(A689="","",F689-G689)</x:f>
      </x:c>
      <x:c r="I689" s="77" t="str">
        <x:f>IF(A689="","",IF(E689="","기타/불명",IF(IFERROR(SEARCH("급여",E689),0)&gt;0,"인건비",IF(IFERROR(SEARCH("임차",E689),0)&gt;0,"임차·시설",IF(IFERROR(SEARCH("광고",E689),0)&gt;0,"광고·행사",IF(IFERROR(SEARCH("용역",E689),0)&gt;0,"용역·수수료","기타/불명"))))))</x:f>
      </x:c>
      <x:c r="J689" s="77" t="str">
        <x:f>IF(A689="","",IF(I689="기타/불명","확인 필요","결의서명으로 1차 확인"))</x:f>
      </x:c>
      <x:c r="K689" s="78"/>
    </x:row>
    <x:row r="690">
      <x:c r="A690" s="73"/>
      <x:c r="B690" s="73"/>
      <x:c r="C690" s="74"/>
      <x:c r="D690" s="73"/>
      <x:c r="E690" s="73"/>
      <x:c r="F690" s="75"/>
      <x:c r="G690" s="75"/>
      <x:c r="H690" s="76" t="str">
        <x:f>IF(A690="","",F690-G690)</x:f>
      </x:c>
      <x:c r="I690" s="77" t="str">
        <x:f>IF(A690="","",IF(E690="","기타/불명",IF(IFERROR(SEARCH("급여",E690),0)&gt;0,"인건비",IF(IFERROR(SEARCH("임차",E690),0)&gt;0,"임차·시설",IF(IFERROR(SEARCH("광고",E690),0)&gt;0,"광고·행사",IF(IFERROR(SEARCH("용역",E690),0)&gt;0,"용역·수수료","기타/불명"))))))</x:f>
      </x:c>
      <x:c r="J690" s="77" t="str">
        <x:f>IF(A690="","",IF(I690="기타/불명","확인 필요","결의서명으로 1차 확인"))</x:f>
      </x:c>
      <x:c r="K690" s="78"/>
    </x:row>
    <x:row r="691">
      <x:c r="A691" s="73"/>
      <x:c r="B691" s="73"/>
      <x:c r="C691" s="74"/>
      <x:c r="D691" s="73"/>
      <x:c r="E691" s="73"/>
      <x:c r="F691" s="75"/>
      <x:c r="G691" s="75"/>
      <x:c r="H691" s="76" t="str">
        <x:f>IF(A691="","",F691-G691)</x:f>
      </x:c>
      <x:c r="I691" s="77" t="str">
        <x:f>IF(A691="","",IF(E691="","기타/불명",IF(IFERROR(SEARCH("급여",E691),0)&gt;0,"인건비",IF(IFERROR(SEARCH("임차",E691),0)&gt;0,"임차·시설",IF(IFERROR(SEARCH("광고",E691),0)&gt;0,"광고·행사",IF(IFERROR(SEARCH("용역",E691),0)&gt;0,"용역·수수료","기타/불명"))))))</x:f>
      </x:c>
      <x:c r="J691" s="77" t="str">
        <x:f>IF(A691="","",IF(I691="기타/불명","확인 필요","결의서명으로 1차 확인"))</x:f>
      </x:c>
      <x:c r="K691" s="78"/>
    </x:row>
    <x:row r="692">
      <x:c r="A692" s="73"/>
      <x:c r="B692" s="73"/>
      <x:c r="C692" s="74"/>
      <x:c r="D692" s="73"/>
      <x:c r="E692" s="73"/>
      <x:c r="F692" s="75"/>
      <x:c r="G692" s="75"/>
      <x:c r="H692" s="76" t="str">
        <x:f>IF(A692="","",F692-G692)</x:f>
      </x:c>
      <x:c r="I692" s="77" t="str">
        <x:f>IF(A692="","",IF(E692="","기타/불명",IF(IFERROR(SEARCH("급여",E692),0)&gt;0,"인건비",IF(IFERROR(SEARCH("임차",E692),0)&gt;0,"임차·시설",IF(IFERROR(SEARCH("광고",E692),0)&gt;0,"광고·행사",IF(IFERROR(SEARCH("용역",E692),0)&gt;0,"용역·수수료","기타/불명"))))))</x:f>
      </x:c>
      <x:c r="J692" s="77" t="str">
        <x:f>IF(A692="","",IF(I692="기타/불명","확인 필요","결의서명으로 1차 확인"))</x:f>
      </x:c>
      <x:c r="K692" s="78"/>
    </x:row>
    <x:row r="693">
      <x:c r="A693" s="73"/>
      <x:c r="B693" s="73"/>
      <x:c r="C693" s="74"/>
      <x:c r="D693" s="73"/>
      <x:c r="E693" s="73"/>
      <x:c r="F693" s="75"/>
      <x:c r="G693" s="75"/>
      <x:c r="H693" s="76" t="str">
        <x:f>IF(A693="","",F693-G693)</x:f>
      </x:c>
      <x:c r="I693" s="77" t="str">
        <x:f>IF(A693="","",IF(E693="","기타/불명",IF(IFERROR(SEARCH("급여",E693),0)&gt;0,"인건비",IF(IFERROR(SEARCH("임차",E693),0)&gt;0,"임차·시설",IF(IFERROR(SEARCH("광고",E693),0)&gt;0,"광고·행사",IF(IFERROR(SEARCH("용역",E693),0)&gt;0,"용역·수수료","기타/불명"))))))</x:f>
      </x:c>
      <x:c r="J693" s="77" t="str">
        <x:f>IF(A693="","",IF(I693="기타/불명","확인 필요","결의서명으로 1차 확인"))</x:f>
      </x:c>
      <x:c r="K693" s="78"/>
    </x:row>
    <x:row r="694">
      <x:c r="A694" s="73"/>
      <x:c r="B694" s="73"/>
      <x:c r="C694" s="74"/>
      <x:c r="D694" s="73"/>
      <x:c r="E694" s="73"/>
      <x:c r="F694" s="75"/>
      <x:c r="G694" s="75"/>
      <x:c r="H694" s="76" t="str">
        <x:f>IF(A694="","",F694-G694)</x:f>
      </x:c>
      <x:c r="I694" s="77" t="str">
        <x:f>IF(A694="","",IF(E694="","기타/불명",IF(IFERROR(SEARCH("급여",E694),0)&gt;0,"인건비",IF(IFERROR(SEARCH("임차",E694),0)&gt;0,"임차·시설",IF(IFERROR(SEARCH("광고",E694),0)&gt;0,"광고·행사",IF(IFERROR(SEARCH("용역",E694),0)&gt;0,"용역·수수료","기타/불명"))))))</x:f>
      </x:c>
      <x:c r="J694" s="77" t="str">
        <x:f>IF(A694="","",IF(I694="기타/불명","확인 필요","결의서명으로 1차 확인"))</x:f>
      </x:c>
      <x:c r="K694" s="78"/>
    </x:row>
    <x:row r="695">
      <x:c r="A695" s="73"/>
      <x:c r="B695" s="73"/>
      <x:c r="C695" s="74"/>
      <x:c r="D695" s="73"/>
      <x:c r="E695" s="73"/>
      <x:c r="F695" s="75"/>
      <x:c r="G695" s="75"/>
      <x:c r="H695" s="76" t="str">
        <x:f>IF(A695="","",F695-G695)</x:f>
      </x:c>
      <x:c r="I695" s="77" t="str">
        <x:f>IF(A695="","",IF(E695="","기타/불명",IF(IFERROR(SEARCH("급여",E695),0)&gt;0,"인건비",IF(IFERROR(SEARCH("임차",E695),0)&gt;0,"임차·시설",IF(IFERROR(SEARCH("광고",E695),0)&gt;0,"광고·행사",IF(IFERROR(SEARCH("용역",E695),0)&gt;0,"용역·수수료","기타/불명"))))))</x:f>
      </x:c>
      <x:c r="J695" s="77" t="str">
        <x:f>IF(A695="","",IF(I695="기타/불명","확인 필요","결의서명으로 1차 확인"))</x:f>
      </x:c>
      <x:c r="K695" s="78"/>
    </x:row>
    <x:row r="696">
      <x:c r="A696" s="73"/>
      <x:c r="B696" s="73"/>
      <x:c r="C696" s="74"/>
      <x:c r="D696" s="73"/>
      <x:c r="E696" s="73"/>
      <x:c r="F696" s="75"/>
      <x:c r="G696" s="75"/>
      <x:c r="H696" s="76" t="str">
        <x:f>IF(A696="","",F696-G696)</x:f>
      </x:c>
      <x:c r="I696" s="77" t="str">
        <x:f>IF(A696="","",IF(E696="","기타/불명",IF(IFERROR(SEARCH("급여",E696),0)&gt;0,"인건비",IF(IFERROR(SEARCH("임차",E696),0)&gt;0,"임차·시설",IF(IFERROR(SEARCH("광고",E696),0)&gt;0,"광고·행사",IF(IFERROR(SEARCH("용역",E696),0)&gt;0,"용역·수수료","기타/불명"))))))</x:f>
      </x:c>
      <x:c r="J696" s="77" t="str">
        <x:f>IF(A696="","",IF(I696="기타/불명","확인 필요","결의서명으로 1차 확인"))</x:f>
      </x:c>
      <x:c r="K696" s="78"/>
    </x:row>
    <x:row r="697">
      <x:c r="A697" s="73"/>
      <x:c r="B697" s="73"/>
      <x:c r="C697" s="74"/>
      <x:c r="D697" s="73"/>
      <x:c r="E697" s="73"/>
      <x:c r="F697" s="75"/>
      <x:c r="G697" s="75"/>
      <x:c r="H697" s="76" t="str">
        <x:f>IF(A697="","",F697-G697)</x:f>
      </x:c>
      <x:c r="I697" s="77" t="str">
        <x:f>IF(A697="","",IF(E697="","기타/불명",IF(IFERROR(SEARCH("급여",E697),0)&gt;0,"인건비",IF(IFERROR(SEARCH("임차",E697),0)&gt;0,"임차·시설",IF(IFERROR(SEARCH("광고",E697),0)&gt;0,"광고·행사",IF(IFERROR(SEARCH("용역",E697),0)&gt;0,"용역·수수료","기타/불명"))))))</x:f>
      </x:c>
      <x:c r="J697" s="77" t="str">
        <x:f>IF(A697="","",IF(I697="기타/불명","확인 필요","결의서명으로 1차 확인"))</x:f>
      </x:c>
      <x:c r="K697" s="78"/>
    </x:row>
    <x:row r="698">
      <x:c r="A698" s="73"/>
      <x:c r="B698" s="73"/>
      <x:c r="C698" s="74"/>
      <x:c r="D698" s="73"/>
      <x:c r="E698" s="73"/>
      <x:c r="F698" s="75"/>
      <x:c r="G698" s="75"/>
      <x:c r="H698" s="76" t="str">
        <x:f>IF(A698="","",F698-G698)</x:f>
      </x:c>
      <x:c r="I698" s="77" t="str">
        <x:f>IF(A698="","",IF(E698="","기타/불명",IF(IFERROR(SEARCH("급여",E698),0)&gt;0,"인건비",IF(IFERROR(SEARCH("임차",E698),0)&gt;0,"임차·시설",IF(IFERROR(SEARCH("광고",E698),0)&gt;0,"광고·행사",IF(IFERROR(SEARCH("용역",E698),0)&gt;0,"용역·수수료","기타/불명"))))))</x:f>
      </x:c>
      <x:c r="J698" s="77" t="str">
        <x:f>IF(A698="","",IF(I698="기타/불명","확인 필요","결의서명으로 1차 확인"))</x:f>
      </x:c>
      <x:c r="K698" s="78"/>
    </x:row>
    <x:row r="699">
      <x:c r="A699" s="73"/>
      <x:c r="B699" s="73"/>
      <x:c r="C699" s="74"/>
      <x:c r="D699" s="73"/>
      <x:c r="E699" s="73"/>
      <x:c r="F699" s="75"/>
      <x:c r="G699" s="75"/>
      <x:c r="H699" s="76" t="str">
        <x:f>IF(A699="","",F699-G699)</x:f>
      </x:c>
      <x:c r="I699" s="77" t="str">
        <x:f>IF(A699="","",IF(E699="","기타/불명",IF(IFERROR(SEARCH("급여",E699),0)&gt;0,"인건비",IF(IFERROR(SEARCH("임차",E699),0)&gt;0,"임차·시설",IF(IFERROR(SEARCH("광고",E699),0)&gt;0,"광고·행사",IF(IFERROR(SEARCH("용역",E699),0)&gt;0,"용역·수수료","기타/불명"))))))</x:f>
      </x:c>
      <x:c r="J699" s="77" t="str">
        <x:f>IF(A699="","",IF(I699="기타/불명","확인 필요","결의서명으로 1차 확인"))</x:f>
      </x:c>
      <x:c r="K699" s="78"/>
    </x:row>
    <x:row r="700">
      <x:c r="A700" s="73"/>
      <x:c r="B700" s="73"/>
      <x:c r="C700" s="74"/>
      <x:c r="D700" s="73"/>
      <x:c r="E700" s="73"/>
      <x:c r="F700" s="75"/>
      <x:c r="G700" s="75"/>
      <x:c r="H700" s="76" t="str">
        <x:f>IF(A700="","",F700-G700)</x:f>
      </x:c>
      <x:c r="I700" s="77" t="str">
        <x:f>IF(A700="","",IF(E700="","기타/불명",IF(IFERROR(SEARCH("급여",E700),0)&gt;0,"인건비",IF(IFERROR(SEARCH("임차",E700),0)&gt;0,"임차·시설",IF(IFERROR(SEARCH("광고",E700),0)&gt;0,"광고·행사",IF(IFERROR(SEARCH("용역",E700),0)&gt;0,"용역·수수료","기타/불명"))))))</x:f>
      </x:c>
      <x:c r="J700" s="77" t="str">
        <x:f>IF(A700="","",IF(I700="기타/불명","확인 필요","결의서명으로 1차 확인"))</x:f>
      </x:c>
      <x:c r="K700" s="78"/>
    </x:row>
    <x:row r="701">
      <x:c r="A701" s="73"/>
      <x:c r="B701" s="73"/>
      <x:c r="C701" s="74"/>
      <x:c r="D701" s="73"/>
      <x:c r="E701" s="73"/>
      <x:c r="F701" s="75"/>
      <x:c r="G701" s="75"/>
      <x:c r="H701" s="76" t="str">
        <x:f>IF(A701="","",F701-G701)</x:f>
      </x:c>
      <x:c r="I701" s="77" t="str">
        <x:f>IF(A701="","",IF(E701="","기타/불명",IF(IFERROR(SEARCH("급여",E701),0)&gt;0,"인건비",IF(IFERROR(SEARCH("임차",E701),0)&gt;0,"임차·시설",IF(IFERROR(SEARCH("광고",E701),0)&gt;0,"광고·행사",IF(IFERROR(SEARCH("용역",E701),0)&gt;0,"용역·수수료","기타/불명"))))))</x:f>
      </x:c>
      <x:c r="J701" s="77" t="str">
        <x:f>IF(A701="","",IF(I701="기타/불명","확인 필요","결의서명으로 1차 확인"))</x:f>
      </x:c>
      <x:c r="K701" s="78"/>
    </x:row>
    <x:row r="702">
      <x:c r="A702" s="73"/>
      <x:c r="B702" s="73"/>
      <x:c r="C702" s="74"/>
      <x:c r="D702" s="73"/>
      <x:c r="E702" s="73"/>
      <x:c r="F702" s="75"/>
      <x:c r="G702" s="75"/>
      <x:c r="H702" s="76" t="str">
        <x:f>IF(A702="","",F702-G702)</x:f>
      </x:c>
      <x:c r="I702" s="77" t="str">
        <x:f>IF(A702="","",IF(E702="","기타/불명",IF(IFERROR(SEARCH("급여",E702),0)&gt;0,"인건비",IF(IFERROR(SEARCH("임차",E702),0)&gt;0,"임차·시설",IF(IFERROR(SEARCH("광고",E702),0)&gt;0,"광고·행사",IF(IFERROR(SEARCH("용역",E702),0)&gt;0,"용역·수수료","기타/불명"))))))</x:f>
      </x:c>
      <x:c r="J702" s="77" t="str">
        <x:f>IF(A702="","",IF(I702="기타/불명","확인 필요","결의서명으로 1차 확인"))</x:f>
      </x:c>
      <x:c r="K702" s="78"/>
    </x:row>
    <x:row r="703">
      <x:c r="A703" s="73"/>
      <x:c r="B703" s="73"/>
      <x:c r="C703" s="74"/>
      <x:c r="D703" s="73"/>
      <x:c r="E703" s="73"/>
      <x:c r="F703" s="75"/>
      <x:c r="G703" s="75"/>
      <x:c r="H703" s="76" t="str">
        <x:f>IF(A703="","",F703-G703)</x:f>
      </x:c>
      <x:c r="I703" s="77" t="str">
        <x:f>IF(A703="","",IF(E703="","기타/불명",IF(IFERROR(SEARCH("급여",E703),0)&gt;0,"인건비",IF(IFERROR(SEARCH("임차",E703),0)&gt;0,"임차·시설",IF(IFERROR(SEARCH("광고",E703),0)&gt;0,"광고·행사",IF(IFERROR(SEARCH("용역",E703),0)&gt;0,"용역·수수료","기타/불명"))))))</x:f>
      </x:c>
      <x:c r="J703" s="77" t="str">
        <x:f>IF(A703="","",IF(I703="기타/불명","확인 필요","결의서명으로 1차 확인"))</x:f>
      </x:c>
      <x:c r="K703" s="78"/>
    </x:row>
    <x:row r="704">
      <x:c r="A704" s="73"/>
      <x:c r="B704" s="73"/>
      <x:c r="C704" s="74"/>
      <x:c r="D704" s="73"/>
      <x:c r="E704" s="73"/>
      <x:c r="F704" s="75"/>
      <x:c r="G704" s="75"/>
      <x:c r="H704" s="76" t="str">
        <x:f>IF(A704="","",F704-G704)</x:f>
      </x:c>
      <x:c r="I704" s="77" t="str">
        <x:f>IF(A704="","",IF(E704="","기타/불명",IF(IFERROR(SEARCH("급여",E704),0)&gt;0,"인건비",IF(IFERROR(SEARCH("임차",E704),0)&gt;0,"임차·시설",IF(IFERROR(SEARCH("광고",E704),0)&gt;0,"광고·행사",IF(IFERROR(SEARCH("용역",E704),0)&gt;0,"용역·수수료","기타/불명"))))))</x:f>
      </x:c>
      <x:c r="J704" s="77" t="str">
        <x:f>IF(A704="","",IF(I704="기타/불명","확인 필요","결의서명으로 1차 확인"))</x:f>
      </x:c>
      <x:c r="K704" s="78"/>
    </x:row>
    <x:row r="705">
      <x:c r="A705" s="73"/>
      <x:c r="B705" s="73"/>
      <x:c r="C705" s="74"/>
      <x:c r="D705" s="73"/>
      <x:c r="E705" s="73"/>
      <x:c r="F705" s="75"/>
      <x:c r="G705" s="75"/>
      <x:c r="H705" s="76" t="str">
        <x:f>IF(A705="","",F705-G705)</x:f>
      </x:c>
      <x:c r="I705" s="77" t="str">
        <x:f>IF(A705="","",IF(E705="","기타/불명",IF(IFERROR(SEARCH("급여",E705),0)&gt;0,"인건비",IF(IFERROR(SEARCH("임차",E705),0)&gt;0,"임차·시설",IF(IFERROR(SEARCH("광고",E705),0)&gt;0,"광고·행사",IF(IFERROR(SEARCH("용역",E705),0)&gt;0,"용역·수수료","기타/불명"))))))</x:f>
      </x:c>
      <x:c r="J705" s="77" t="str">
        <x:f>IF(A705="","",IF(I705="기타/불명","확인 필요","결의서명으로 1차 확인"))</x:f>
      </x:c>
      <x:c r="K705" s="78"/>
    </x:row>
    <x:row r="706">
      <x:c r="A706" s="73"/>
      <x:c r="B706" s="73"/>
      <x:c r="C706" s="74"/>
      <x:c r="D706" s="73"/>
      <x:c r="E706" s="73"/>
      <x:c r="F706" s="75"/>
      <x:c r="G706" s="75"/>
      <x:c r="H706" s="76" t="str">
        <x:f>IF(A706="","",F706-G706)</x:f>
      </x:c>
      <x:c r="I706" s="77" t="str">
        <x:f>IF(A706="","",IF(E706="","기타/불명",IF(IFERROR(SEARCH("급여",E706),0)&gt;0,"인건비",IF(IFERROR(SEARCH("임차",E706),0)&gt;0,"임차·시설",IF(IFERROR(SEARCH("광고",E706),0)&gt;0,"광고·행사",IF(IFERROR(SEARCH("용역",E706),0)&gt;0,"용역·수수료","기타/불명"))))))</x:f>
      </x:c>
      <x:c r="J706" s="77" t="str">
        <x:f>IF(A706="","",IF(I706="기타/불명","확인 필요","결의서명으로 1차 확인"))</x:f>
      </x:c>
      <x:c r="K706" s="78"/>
    </x:row>
    <x:row r="707">
      <x:c r="A707" s="73"/>
      <x:c r="B707" s="73"/>
      <x:c r="C707" s="74"/>
      <x:c r="D707" s="73"/>
      <x:c r="E707" s="73"/>
      <x:c r="F707" s="75"/>
      <x:c r="G707" s="75"/>
      <x:c r="H707" s="76" t="str">
        <x:f>IF(A707="","",F707-G707)</x:f>
      </x:c>
      <x:c r="I707" s="77" t="str">
        <x:f>IF(A707="","",IF(E707="","기타/불명",IF(IFERROR(SEARCH("급여",E707),0)&gt;0,"인건비",IF(IFERROR(SEARCH("임차",E707),0)&gt;0,"임차·시설",IF(IFERROR(SEARCH("광고",E707),0)&gt;0,"광고·행사",IF(IFERROR(SEARCH("용역",E707),0)&gt;0,"용역·수수료","기타/불명"))))))</x:f>
      </x:c>
      <x:c r="J707" s="77" t="str">
        <x:f>IF(A707="","",IF(I707="기타/불명","확인 필요","결의서명으로 1차 확인"))</x:f>
      </x:c>
      <x:c r="K707" s="78"/>
    </x:row>
    <x:row r="708">
      <x:c r="A708" s="73"/>
      <x:c r="B708" s="73"/>
      <x:c r="C708" s="74"/>
      <x:c r="D708" s="73"/>
      <x:c r="E708" s="73"/>
      <x:c r="F708" s="75"/>
      <x:c r="G708" s="75"/>
      <x:c r="H708" s="76" t="str">
        <x:f>IF(A708="","",F708-G708)</x:f>
      </x:c>
      <x:c r="I708" s="77" t="str">
        <x:f>IF(A708="","",IF(E708="","기타/불명",IF(IFERROR(SEARCH("급여",E708),0)&gt;0,"인건비",IF(IFERROR(SEARCH("임차",E708),0)&gt;0,"임차·시설",IF(IFERROR(SEARCH("광고",E708),0)&gt;0,"광고·행사",IF(IFERROR(SEARCH("용역",E708),0)&gt;0,"용역·수수료","기타/불명"))))))</x:f>
      </x:c>
      <x:c r="J708" s="77" t="str">
        <x:f>IF(A708="","",IF(I708="기타/불명","확인 필요","결의서명으로 1차 확인"))</x:f>
      </x:c>
      <x:c r="K708" s="78"/>
    </x:row>
    <x:row r="709">
      <x:c r="A709" s="73"/>
      <x:c r="B709" s="73"/>
      <x:c r="C709" s="74"/>
      <x:c r="D709" s="73"/>
      <x:c r="E709" s="73"/>
      <x:c r="F709" s="75"/>
      <x:c r="G709" s="75"/>
      <x:c r="H709" s="76" t="str">
        <x:f>IF(A709="","",F709-G709)</x:f>
      </x:c>
      <x:c r="I709" s="77" t="str">
        <x:f>IF(A709="","",IF(E709="","기타/불명",IF(IFERROR(SEARCH("급여",E709),0)&gt;0,"인건비",IF(IFERROR(SEARCH("임차",E709),0)&gt;0,"임차·시설",IF(IFERROR(SEARCH("광고",E709),0)&gt;0,"광고·행사",IF(IFERROR(SEARCH("용역",E709),0)&gt;0,"용역·수수료","기타/불명"))))))</x:f>
      </x:c>
      <x:c r="J709" s="77" t="str">
        <x:f>IF(A709="","",IF(I709="기타/불명","확인 필요","결의서명으로 1차 확인"))</x:f>
      </x:c>
      <x:c r="K709" s="78"/>
    </x:row>
    <x:row r="710">
      <x:c r="A710" s="73"/>
      <x:c r="B710" s="73"/>
      <x:c r="C710" s="74"/>
      <x:c r="D710" s="73"/>
      <x:c r="E710" s="73"/>
      <x:c r="F710" s="75"/>
      <x:c r="G710" s="75"/>
      <x:c r="H710" s="76" t="str">
        <x:f>IF(A710="","",F710-G710)</x:f>
      </x:c>
      <x:c r="I710" s="77" t="str">
        <x:f>IF(A710="","",IF(E710="","기타/불명",IF(IFERROR(SEARCH("급여",E710),0)&gt;0,"인건비",IF(IFERROR(SEARCH("임차",E710),0)&gt;0,"임차·시설",IF(IFERROR(SEARCH("광고",E710),0)&gt;0,"광고·행사",IF(IFERROR(SEARCH("용역",E710),0)&gt;0,"용역·수수료","기타/불명"))))))</x:f>
      </x:c>
      <x:c r="J710" s="77" t="str">
        <x:f>IF(A710="","",IF(I710="기타/불명","확인 필요","결의서명으로 1차 확인"))</x:f>
      </x:c>
      <x:c r="K710" s="78"/>
    </x:row>
    <x:row r="711">
      <x:c r="A711" s="73"/>
      <x:c r="B711" s="73"/>
      <x:c r="C711" s="74"/>
      <x:c r="D711" s="73"/>
      <x:c r="E711" s="73"/>
      <x:c r="F711" s="75"/>
      <x:c r="G711" s="75"/>
      <x:c r="H711" s="76" t="str">
        <x:f>IF(A711="","",F711-G711)</x:f>
      </x:c>
      <x:c r="I711" s="77" t="str">
        <x:f>IF(A711="","",IF(E711="","기타/불명",IF(IFERROR(SEARCH("급여",E711),0)&gt;0,"인건비",IF(IFERROR(SEARCH("임차",E711),0)&gt;0,"임차·시설",IF(IFERROR(SEARCH("광고",E711),0)&gt;0,"광고·행사",IF(IFERROR(SEARCH("용역",E711),0)&gt;0,"용역·수수료","기타/불명"))))))</x:f>
      </x:c>
      <x:c r="J711" s="77" t="str">
        <x:f>IF(A711="","",IF(I711="기타/불명","확인 필요","결의서명으로 1차 확인"))</x:f>
      </x:c>
      <x:c r="K711" s="78"/>
    </x:row>
    <x:row r="712">
      <x:c r="A712" s="73"/>
      <x:c r="B712" s="73"/>
      <x:c r="C712" s="74"/>
      <x:c r="D712" s="73"/>
      <x:c r="E712" s="73"/>
      <x:c r="F712" s="75"/>
      <x:c r="G712" s="75"/>
      <x:c r="H712" s="76" t="str">
        <x:f>IF(A712="","",F712-G712)</x:f>
      </x:c>
      <x:c r="I712" s="77" t="str">
        <x:f>IF(A712="","",IF(E712="","기타/불명",IF(IFERROR(SEARCH("급여",E712),0)&gt;0,"인건비",IF(IFERROR(SEARCH("임차",E712),0)&gt;0,"임차·시설",IF(IFERROR(SEARCH("광고",E712),0)&gt;0,"광고·행사",IF(IFERROR(SEARCH("용역",E712),0)&gt;0,"용역·수수료","기타/불명"))))))</x:f>
      </x:c>
      <x:c r="J712" s="77" t="str">
        <x:f>IF(A712="","",IF(I712="기타/불명","확인 필요","결의서명으로 1차 확인"))</x:f>
      </x:c>
      <x:c r="K712" s="78"/>
    </x:row>
    <x:row r="713">
      <x:c r="A713" s="73"/>
      <x:c r="B713" s="73"/>
      <x:c r="C713" s="74"/>
      <x:c r="D713" s="73"/>
      <x:c r="E713" s="73"/>
      <x:c r="F713" s="75"/>
      <x:c r="G713" s="75"/>
      <x:c r="H713" s="76" t="str">
        <x:f>IF(A713="","",F713-G713)</x:f>
      </x:c>
      <x:c r="I713" s="77" t="str">
        <x:f>IF(A713="","",IF(E713="","기타/불명",IF(IFERROR(SEARCH("급여",E713),0)&gt;0,"인건비",IF(IFERROR(SEARCH("임차",E713),0)&gt;0,"임차·시설",IF(IFERROR(SEARCH("광고",E713),0)&gt;0,"광고·행사",IF(IFERROR(SEARCH("용역",E713),0)&gt;0,"용역·수수료","기타/불명"))))))</x:f>
      </x:c>
      <x:c r="J713" s="77" t="str">
        <x:f>IF(A713="","",IF(I713="기타/불명","확인 필요","결의서명으로 1차 확인"))</x:f>
      </x:c>
      <x:c r="K713" s="78"/>
    </x:row>
    <x:row r="714">
      <x:c r="A714" s="73"/>
      <x:c r="B714" s="73"/>
      <x:c r="C714" s="74"/>
      <x:c r="D714" s="73"/>
      <x:c r="E714" s="73"/>
      <x:c r="F714" s="75"/>
      <x:c r="G714" s="75"/>
      <x:c r="H714" s="76" t="str">
        <x:f>IF(A714="","",F714-G714)</x:f>
      </x:c>
      <x:c r="I714" s="77" t="str">
        <x:f>IF(A714="","",IF(E714="","기타/불명",IF(IFERROR(SEARCH("급여",E714),0)&gt;0,"인건비",IF(IFERROR(SEARCH("임차",E714),0)&gt;0,"임차·시설",IF(IFERROR(SEARCH("광고",E714),0)&gt;0,"광고·행사",IF(IFERROR(SEARCH("용역",E714),0)&gt;0,"용역·수수료","기타/불명"))))))</x:f>
      </x:c>
      <x:c r="J714" s="77" t="str">
        <x:f>IF(A714="","",IF(I714="기타/불명","확인 필요","결의서명으로 1차 확인"))</x:f>
      </x:c>
      <x:c r="K714" s="78"/>
    </x:row>
    <x:row r="715">
      <x:c r="A715" s="73"/>
      <x:c r="B715" s="73"/>
      <x:c r="C715" s="74"/>
      <x:c r="D715" s="73"/>
      <x:c r="E715" s="73"/>
      <x:c r="F715" s="75"/>
      <x:c r="G715" s="75"/>
      <x:c r="H715" s="76" t="str">
        <x:f>IF(A715="","",F715-G715)</x:f>
      </x:c>
      <x:c r="I715" s="77" t="str">
        <x:f>IF(A715="","",IF(E715="","기타/불명",IF(IFERROR(SEARCH("급여",E715),0)&gt;0,"인건비",IF(IFERROR(SEARCH("임차",E715),0)&gt;0,"임차·시설",IF(IFERROR(SEARCH("광고",E715),0)&gt;0,"광고·행사",IF(IFERROR(SEARCH("용역",E715),0)&gt;0,"용역·수수료","기타/불명"))))))</x:f>
      </x:c>
      <x:c r="J715" s="77" t="str">
        <x:f>IF(A715="","",IF(I715="기타/불명","확인 필요","결의서명으로 1차 확인"))</x:f>
      </x:c>
      <x:c r="K715" s="78"/>
    </x:row>
    <x:row r="716">
      <x:c r="A716" s="73"/>
      <x:c r="B716" s="73"/>
      <x:c r="C716" s="74"/>
      <x:c r="D716" s="73"/>
      <x:c r="E716" s="73"/>
      <x:c r="F716" s="75"/>
      <x:c r="G716" s="75"/>
      <x:c r="H716" s="76" t="str">
        <x:f>IF(A716="","",F716-G716)</x:f>
      </x:c>
      <x:c r="I716" s="77" t="str">
        <x:f>IF(A716="","",IF(E716="","기타/불명",IF(IFERROR(SEARCH("급여",E716),0)&gt;0,"인건비",IF(IFERROR(SEARCH("임차",E716),0)&gt;0,"임차·시설",IF(IFERROR(SEARCH("광고",E716),0)&gt;0,"광고·행사",IF(IFERROR(SEARCH("용역",E716),0)&gt;0,"용역·수수료","기타/불명"))))))</x:f>
      </x:c>
      <x:c r="J716" s="77" t="str">
        <x:f>IF(A716="","",IF(I716="기타/불명","확인 필요","결의서명으로 1차 확인"))</x:f>
      </x:c>
      <x:c r="K716" s="78"/>
    </x:row>
    <x:row r="717">
      <x:c r="A717" s="73"/>
      <x:c r="B717" s="73"/>
      <x:c r="C717" s="74"/>
      <x:c r="D717" s="73"/>
      <x:c r="E717" s="73"/>
      <x:c r="F717" s="75"/>
      <x:c r="G717" s="75"/>
      <x:c r="H717" s="76" t="str">
        <x:f>IF(A717="","",F717-G717)</x:f>
      </x:c>
      <x:c r="I717" s="77" t="str">
        <x:f>IF(A717="","",IF(E717="","기타/불명",IF(IFERROR(SEARCH("급여",E717),0)&gt;0,"인건비",IF(IFERROR(SEARCH("임차",E717),0)&gt;0,"임차·시설",IF(IFERROR(SEARCH("광고",E717),0)&gt;0,"광고·행사",IF(IFERROR(SEARCH("용역",E717),0)&gt;0,"용역·수수료","기타/불명"))))))</x:f>
      </x:c>
      <x:c r="J717" s="77" t="str">
        <x:f>IF(A717="","",IF(I717="기타/불명","확인 필요","결의서명으로 1차 확인"))</x:f>
      </x:c>
      <x:c r="K717" s="78"/>
    </x:row>
    <x:row r="718">
      <x:c r="A718" s="73"/>
      <x:c r="B718" s="73"/>
      <x:c r="C718" s="74"/>
      <x:c r="D718" s="73"/>
      <x:c r="E718" s="73"/>
      <x:c r="F718" s="75"/>
      <x:c r="G718" s="75"/>
      <x:c r="H718" s="76" t="str">
        <x:f>IF(A718="","",F718-G718)</x:f>
      </x:c>
      <x:c r="I718" s="77" t="str">
        <x:f>IF(A718="","",IF(E718="","기타/불명",IF(IFERROR(SEARCH("급여",E718),0)&gt;0,"인건비",IF(IFERROR(SEARCH("임차",E718),0)&gt;0,"임차·시설",IF(IFERROR(SEARCH("광고",E718),0)&gt;0,"광고·행사",IF(IFERROR(SEARCH("용역",E718),0)&gt;0,"용역·수수료","기타/불명"))))))</x:f>
      </x:c>
      <x:c r="J718" s="77" t="str">
        <x:f>IF(A718="","",IF(I718="기타/불명","확인 필요","결의서명으로 1차 확인"))</x:f>
      </x:c>
      <x:c r="K718" s="78"/>
    </x:row>
    <x:row r="719">
      <x:c r="A719" s="73"/>
      <x:c r="B719" s="73"/>
      <x:c r="C719" s="74"/>
      <x:c r="D719" s="73"/>
      <x:c r="E719" s="73"/>
      <x:c r="F719" s="75"/>
      <x:c r="G719" s="75"/>
      <x:c r="H719" s="76" t="str">
        <x:f>IF(A719="","",F719-G719)</x:f>
      </x:c>
      <x:c r="I719" s="77" t="str">
        <x:f>IF(A719="","",IF(E719="","기타/불명",IF(IFERROR(SEARCH("급여",E719),0)&gt;0,"인건비",IF(IFERROR(SEARCH("임차",E719),0)&gt;0,"임차·시설",IF(IFERROR(SEARCH("광고",E719),0)&gt;0,"광고·행사",IF(IFERROR(SEARCH("용역",E719),0)&gt;0,"용역·수수료","기타/불명"))))))</x:f>
      </x:c>
      <x:c r="J719" s="77" t="str">
        <x:f>IF(A719="","",IF(I719="기타/불명","확인 필요","결의서명으로 1차 확인"))</x:f>
      </x:c>
      <x:c r="K719" s="78"/>
    </x:row>
    <x:row r="720">
      <x:c r="A720" s="73"/>
      <x:c r="B720" s="73"/>
      <x:c r="C720" s="74"/>
      <x:c r="D720" s="73"/>
      <x:c r="E720" s="73"/>
      <x:c r="F720" s="75"/>
      <x:c r="G720" s="75"/>
      <x:c r="H720" s="76" t="str">
        <x:f>IF(A720="","",F720-G720)</x:f>
      </x:c>
      <x:c r="I720" s="77" t="str">
        <x:f>IF(A720="","",IF(E720="","기타/불명",IF(IFERROR(SEARCH("급여",E720),0)&gt;0,"인건비",IF(IFERROR(SEARCH("임차",E720),0)&gt;0,"임차·시설",IF(IFERROR(SEARCH("광고",E720),0)&gt;0,"광고·행사",IF(IFERROR(SEARCH("용역",E720),0)&gt;0,"용역·수수료","기타/불명"))))))</x:f>
      </x:c>
      <x:c r="J720" s="77" t="str">
        <x:f>IF(A720="","",IF(I720="기타/불명","확인 필요","결의서명으로 1차 확인"))</x:f>
      </x:c>
      <x:c r="K720" s="78"/>
    </x:row>
    <x:row r="721">
      <x:c r="A721" s="73"/>
      <x:c r="B721" s="73"/>
      <x:c r="C721" s="74"/>
      <x:c r="D721" s="73"/>
      <x:c r="E721" s="73"/>
      <x:c r="F721" s="75"/>
      <x:c r="G721" s="75"/>
      <x:c r="H721" s="76" t="str">
        <x:f>IF(A721="","",F721-G721)</x:f>
      </x:c>
      <x:c r="I721" s="77" t="str">
        <x:f>IF(A721="","",IF(E721="","기타/불명",IF(IFERROR(SEARCH("급여",E721),0)&gt;0,"인건비",IF(IFERROR(SEARCH("임차",E721),0)&gt;0,"임차·시설",IF(IFERROR(SEARCH("광고",E721),0)&gt;0,"광고·행사",IF(IFERROR(SEARCH("용역",E721),0)&gt;0,"용역·수수료","기타/불명"))))))</x:f>
      </x:c>
      <x:c r="J721" s="77" t="str">
        <x:f>IF(A721="","",IF(I721="기타/불명","확인 필요","결의서명으로 1차 확인"))</x:f>
      </x:c>
      <x:c r="K721" s="78"/>
    </x:row>
    <x:row r="722">
      <x:c r="A722" s="73"/>
      <x:c r="B722" s="73"/>
      <x:c r="C722" s="74"/>
      <x:c r="D722" s="73"/>
      <x:c r="E722" s="73"/>
      <x:c r="F722" s="75"/>
      <x:c r="G722" s="75"/>
      <x:c r="H722" s="76" t="str">
        <x:f>IF(A722="","",F722-G722)</x:f>
      </x:c>
      <x:c r="I722" s="77" t="str">
        <x:f>IF(A722="","",IF(E722="","기타/불명",IF(IFERROR(SEARCH("급여",E722),0)&gt;0,"인건비",IF(IFERROR(SEARCH("임차",E722),0)&gt;0,"임차·시설",IF(IFERROR(SEARCH("광고",E722),0)&gt;0,"광고·행사",IF(IFERROR(SEARCH("용역",E722),0)&gt;0,"용역·수수료","기타/불명"))))))</x:f>
      </x:c>
      <x:c r="J722" s="77" t="str">
        <x:f>IF(A722="","",IF(I722="기타/불명","확인 필요","결의서명으로 1차 확인"))</x:f>
      </x:c>
      <x:c r="K722" s="78"/>
    </x:row>
    <x:row r="723">
      <x:c r="A723" s="73"/>
      <x:c r="B723" s="73"/>
      <x:c r="C723" s="74"/>
      <x:c r="D723" s="73"/>
      <x:c r="E723" s="73"/>
      <x:c r="F723" s="75"/>
      <x:c r="G723" s="75"/>
      <x:c r="H723" s="76" t="str">
        <x:f>IF(A723="","",F723-G723)</x:f>
      </x:c>
      <x:c r="I723" s="77" t="str">
        <x:f>IF(A723="","",IF(E723="","기타/불명",IF(IFERROR(SEARCH("급여",E723),0)&gt;0,"인건비",IF(IFERROR(SEARCH("임차",E723),0)&gt;0,"임차·시설",IF(IFERROR(SEARCH("광고",E723),0)&gt;0,"광고·행사",IF(IFERROR(SEARCH("용역",E723),0)&gt;0,"용역·수수료","기타/불명"))))))</x:f>
      </x:c>
      <x:c r="J723" s="77" t="str">
        <x:f>IF(A723="","",IF(I723="기타/불명","확인 필요","결의서명으로 1차 확인"))</x:f>
      </x:c>
      <x:c r="K723" s="78"/>
    </x:row>
    <x:row r="724">
      <x:c r="A724" s="73"/>
      <x:c r="B724" s="73"/>
      <x:c r="C724" s="74"/>
      <x:c r="D724" s="73"/>
      <x:c r="E724" s="73"/>
      <x:c r="F724" s="75"/>
      <x:c r="G724" s="75"/>
      <x:c r="H724" s="76" t="str">
        <x:f>IF(A724="","",F724-G724)</x:f>
      </x:c>
      <x:c r="I724" s="77" t="str">
        <x:f>IF(A724="","",IF(E724="","기타/불명",IF(IFERROR(SEARCH("급여",E724),0)&gt;0,"인건비",IF(IFERROR(SEARCH("임차",E724),0)&gt;0,"임차·시설",IF(IFERROR(SEARCH("광고",E724),0)&gt;0,"광고·행사",IF(IFERROR(SEARCH("용역",E724),0)&gt;0,"용역·수수료","기타/불명"))))))</x:f>
      </x:c>
      <x:c r="J724" s="77" t="str">
        <x:f>IF(A724="","",IF(I724="기타/불명","확인 필요","결의서명으로 1차 확인"))</x:f>
      </x:c>
      <x:c r="K724" s="78"/>
    </x:row>
    <x:row r="725">
      <x:c r="A725" s="73"/>
      <x:c r="B725" s="73"/>
      <x:c r="C725" s="74"/>
      <x:c r="D725" s="73"/>
      <x:c r="E725" s="73"/>
      <x:c r="F725" s="75"/>
      <x:c r="G725" s="75"/>
      <x:c r="H725" s="76" t="str">
        <x:f>IF(A725="","",F725-G725)</x:f>
      </x:c>
      <x:c r="I725" s="77" t="str">
        <x:f>IF(A725="","",IF(E725="","기타/불명",IF(IFERROR(SEARCH("급여",E725),0)&gt;0,"인건비",IF(IFERROR(SEARCH("임차",E725),0)&gt;0,"임차·시설",IF(IFERROR(SEARCH("광고",E725),0)&gt;0,"광고·행사",IF(IFERROR(SEARCH("용역",E725),0)&gt;0,"용역·수수료","기타/불명"))))))</x:f>
      </x:c>
      <x:c r="J725" s="77" t="str">
        <x:f>IF(A725="","",IF(I725="기타/불명","확인 필요","결의서명으로 1차 확인"))</x:f>
      </x:c>
      <x:c r="K725" s="78"/>
    </x:row>
    <x:row r="726">
      <x:c r="A726" s="73"/>
      <x:c r="B726" s="73"/>
      <x:c r="C726" s="74"/>
      <x:c r="D726" s="73"/>
      <x:c r="E726" s="73"/>
      <x:c r="F726" s="75"/>
      <x:c r="G726" s="75"/>
      <x:c r="H726" s="76" t="str">
        <x:f>IF(A726="","",F726-G726)</x:f>
      </x:c>
      <x:c r="I726" s="77" t="str">
        <x:f>IF(A726="","",IF(E726="","기타/불명",IF(IFERROR(SEARCH("급여",E726),0)&gt;0,"인건비",IF(IFERROR(SEARCH("임차",E726),0)&gt;0,"임차·시설",IF(IFERROR(SEARCH("광고",E726),0)&gt;0,"광고·행사",IF(IFERROR(SEARCH("용역",E726),0)&gt;0,"용역·수수료","기타/불명"))))))</x:f>
      </x:c>
      <x:c r="J726" s="77" t="str">
        <x:f>IF(A726="","",IF(I726="기타/불명","확인 필요","결의서명으로 1차 확인"))</x:f>
      </x:c>
      <x:c r="K726" s="78"/>
    </x:row>
    <x:row r="727">
      <x:c r="A727" s="73"/>
      <x:c r="B727" s="73"/>
      <x:c r="C727" s="74"/>
      <x:c r="D727" s="73"/>
      <x:c r="E727" s="73"/>
      <x:c r="F727" s="75"/>
      <x:c r="G727" s="75"/>
      <x:c r="H727" s="76" t="str">
        <x:f>IF(A727="","",F727-G727)</x:f>
      </x:c>
      <x:c r="I727" s="77" t="str">
        <x:f>IF(A727="","",IF(E727="","기타/불명",IF(IFERROR(SEARCH("급여",E727),0)&gt;0,"인건비",IF(IFERROR(SEARCH("임차",E727),0)&gt;0,"임차·시설",IF(IFERROR(SEARCH("광고",E727),0)&gt;0,"광고·행사",IF(IFERROR(SEARCH("용역",E727),0)&gt;0,"용역·수수료","기타/불명"))))))</x:f>
      </x:c>
      <x:c r="J727" s="77" t="str">
        <x:f>IF(A727="","",IF(I727="기타/불명","확인 필요","결의서명으로 1차 확인"))</x:f>
      </x:c>
      <x:c r="K727" s="78"/>
    </x:row>
    <x:row r="728">
      <x:c r="A728" s="73"/>
      <x:c r="B728" s="73"/>
      <x:c r="C728" s="74"/>
      <x:c r="D728" s="73"/>
      <x:c r="E728" s="73"/>
      <x:c r="F728" s="75"/>
      <x:c r="G728" s="75"/>
      <x:c r="H728" s="76" t="str">
        <x:f>IF(A728="","",F728-G728)</x:f>
      </x:c>
      <x:c r="I728" s="77" t="str">
        <x:f>IF(A728="","",IF(E728="","기타/불명",IF(IFERROR(SEARCH("급여",E728),0)&gt;0,"인건비",IF(IFERROR(SEARCH("임차",E728),0)&gt;0,"임차·시설",IF(IFERROR(SEARCH("광고",E728),0)&gt;0,"광고·행사",IF(IFERROR(SEARCH("용역",E728),0)&gt;0,"용역·수수료","기타/불명"))))))</x:f>
      </x:c>
      <x:c r="J728" s="77" t="str">
        <x:f>IF(A728="","",IF(I728="기타/불명","확인 필요","결의서명으로 1차 확인"))</x:f>
      </x:c>
      <x:c r="K728" s="78"/>
    </x:row>
    <x:row r="729">
      <x:c r="A729" s="73"/>
      <x:c r="B729" s="73"/>
      <x:c r="C729" s="74"/>
      <x:c r="D729" s="73"/>
      <x:c r="E729" s="73"/>
      <x:c r="F729" s="75"/>
      <x:c r="G729" s="75"/>
      <x:c r="H729" s="76" t="str">
        <x:f>IF(A729="","",F729-G729)</x:f>
      </x:c>
      <x:c r="I729" s="77" t="str">
        <x:f>IF(A729="","",IF(E729="","기타/불명",IF(IFERROR(SEARCH("급여",E729),0)&gt;0,"인건비",IF(IFERROR(SEARCH("임차",E729),0)&gt;0,"임차·시설",IF(IFERROR(SEARCH("광고",E729),0)&gt;0,"광고·행사",IF(IFERROR(SEARCH("용역",E729),0)&gt;0,"용역·수수료","기타/불명"))))))</x:f>
      </x:c>
      <x:c r="J729" s="77" t="str">
        <x:f>IF(A729="","",IF(I729="기타/불명","확인 필요","결의서명으로 1차 확인"))</x:f>
      </x:c>
      <x:c r="K729" s="78"/>
    </x:row>
    <x:row r="730">
      <x:c r="A730" s="73"/>
      <x:c r="B730" s="73"/>
      <x:c r="C730" s="74"/>
      <x:c r="D730" s="73"/>
      <x:c r="E730" s="73"/>
      <x:c r="F730" s="75"/>
      <x:c r="G730" s="75"/>
      <x:c r="H730" s="76" t="str">
        <x:f>IF(A730="","",F730-G730)</x:f>
      </x:c>
      <x:c r="I730" s="77" t="str">
        <x:f>IF(A730="","",IF(E730="","기타/불명",IF(IFERROR(SEARCH("급여",E730),0)&gt;0,"인건비",IF(IFERROR(SEARCH("임차",E730),0)&gt;0,"임차·시설",IF(IFERROR(SEARCH("광고",E730),0)&gt;0,"광고·행사",IF(IFERROR(SEARCH("용역",E730),0)&gt;0,"용역·수수료","기타/불명"))))))</x:f>
      </x:c>
      <x:c r="J730" s="77" t="str">
        <x:f>IF(A730="","",IF(I730="기타/불명","확인 필요","결의서명으로 1차 확인"))</x:f>
      </x:c>
      <x:c r="K730" s="78"/>
    </x:row>
    <x:row r="731">
      <x:c r="A731" s="73"/>
      <x:c r="B731" s="73"/>
      <x:c r="C731" s="74"/>
      <x:c r="D731" s="73"/>
      <x:c r="E731" s="73"/>
      <x:c r="F731" s="75"/>
      <x:c r="G731" s="75"/>
      <x:c r="H731" s="76" t="str">
        <x:f>IF(A731="","",F731-G731)</x:f>
      </x:c>
      <x:c r="I731" s="77" t="str">
        <x:f>IF(A731="","",IF(E731="","기타/불명",IF(IFERROR(SEARCH("급여",E731),0)&gt;0,"인건비",IF(IFERROR(SEARCH("임차",E731),0)&gt;0,"임차·시설",IF(IFERROR(SEARCH("광고",E731),0)&gt;0,"광고·행사",IF(IFERROR(SEARCH("용역",E731),0)&gt;0,"용역·수수료","기타/불명"))))))</x:f>
      </x:c>
      <x:c r="J731" s="77" t="str">
        <x:f>IF(A731="","",IF(I731="기타/불명","확인 필요","결의서명으로 1차 확인"))</x:f>
      </x:c>
      <x:c r="K731" s="78"/>
    </x:row>
    <x:row r="732">
      <x:c r="A732" s="73"/>
      <x:c r="B732" s="73"/>
      <x:c r="C732" s="74"/>
      <x:c r="D732" s="73"/>
      <x:c r="E732" s="73"/>
      <x:c r="F732" s="75"/>
      <x:c r="G732" s="75"/>
      <x:c r="H732" s="76" t="str">
        <x:f>IF(A732="","",F732-G732)</x:f>
      </x:c>
      <x:c r="I732" s="77" t="str">
        <x:f>IF(A732="","",IF(E732="","기타/불명",IF(IFERROR(SEARCH("급여",E732),0)&gt;0,"인건비",IF(IFERROR(SEARCH("임차",E732),0)&gt;0,"임차·시설",IF(IFERROR(SEARCH("광고",E732),0)&gt;0,"광고·행사",IF(IFERROR(SEARCH("용역",E732),0)&gt;0,"용역·수수료","기타/불명"))))))</x:f>
      </x:c>
      <x:c r="J732" s="77" t="str">
        <x:f>IF(A732="","",IF(I732="기타/불명","확인 필요","결의서명으로 1차 확인"))</x:f>
      </x:c>
      <x:c r="K732" s="78"/>
    </x:row>
    <x:row r="733">
      <x:c r="A733" s="73"/>
      <x:c r="B733" s="73"/>
      <x:c r="C733" s="74"/>
      <x:c r="D733" s="73"/>
      <x:c r="E733" s="73"/>
      <x:c r="F733" s="75"/>
      <x:c r="G733" s="75"/>
      <x:c r="H733" s="76" t="str">
        <x:f>IF(A733="","",F733-G733)</x:f>
      </x:c>
      <x:c r="I733" s="77" t="str">
        <x:f>IF(A733="","",IF(E733="","기타/불명",IF(IFERROR(SEARCH("급여",E733),0)&gt;0,"인건비",IF(IFERROR(SEARCH("임차",E733),0)&gt;0,"임차·시설",IF(IFERROR(SEARCH("광고",E733),0)&gt;0,"광고·행사",IF(IFERROR(SEARCH("용역",E733),0)&gt;0,"용역·수수료","기타/불명"))))))</x:f>
      </x:c>
      <x:c r="J733" s="77" t="str">
        <x:f>IF(A733="","",IF(I733="기타/불명","확인 필요","결의서명으로 1차 확인"))</x:f>
      </x:c>
      <x:c r="K733" s="78"/>
    </x:row>
    <x:row r="734">
      <x:c r="A734" s="73"/>
      <x:c r="B734" s="73"/>
      <x:c r="C734" s="74"/>
      <x:c r="D734" s="73"/>
      <x:c r="E734" s="73"/>
      <x:c r="F734" s="75"/>
      <x:c r="G734" s="75"/>
      <x:c r="H734" s="76" t="str">
        <x:f>IF(A734="","",F734-G734)</x:f>
      </x:c>
      <x:c r="I734" s="77" t="str">
        <x:f>IF(A734="","",IF(E734="","기타/불명",IF(IFERROR(SEARCH("급여",E734),0)&gt;0,"인건비",IF(IFERROR(SEARCH("임차",E734),0)&gt;0,"임차·시설",IF(IFERROR(SEARCH("광고",E734),0)&gt;0,"광고·행사",IF(IFERROR(SEARCH("용역",E734),0)&gt;0,"용역·수수료","기타/불명"))))))</x:f>
      </x:c>
      <x:c r="J734" s="77" t="str">
        <x:f>IF(A734="","",IF(I734="기타/불명","확인 필요","결의서명으로 1차 확인"))</x:f>
      </x:c>
      <x:c r="K734" s="78"/>
    </x:row>
    <x:row r="735">
      <x:c r="A735" s="73"/>
      <x:c r="B735" s="73"/>
      <x:c r="C735" s="74"/>
      <x:c r="D735" s="73"/>
      <x:c r="E735" s="73"/>
      <x:c r="F735" s="75"/>
      <x:c r="G735" s="75"/>
      <x:c r="H735" s="76" t="str">
        <x:f>IF(A735="","",F735-G735)</x:f>
      </x:c>
      <x:c r="I735" s="77" t="str">
        <x:f>IF(A735="","",IF(E735="","기타/불명",IF(IFERROR(SEARCH("급여",E735),0)&gt;0,"인건비",IF(IFERROR(SEARCH("임차",E735),0)&gt;0,"임차·시설",IF(IFERROR(SEARCH("광고",E735),0)&gt;0,"광고·행사",IF(IFERROR(SEARCH("용역",E735),0)&gt;0,"용역·수수료","기타/불명"))))))</x:f>
      </x:c>
      <x:c r="J735" s="77" t="str">
        <x:f>IF(A735="","",IF(I735="기타/불명","확인 필요","결의서명으로 1차 확인"))</x:f>
      </x:c>
      <x:c r="K735" s="78"/>
    </x:row>
    <x:row r="736">
      <x:c r="A736" s="73"/>
      <x:c r="B736" s="73"/>
      <x:c r="C736" s="74"/>
      <x:c r="D736" s="73"/>
      <x:c r="E736" s="73"/>
      <x:c r="F736" s="75"/>
      <x:c r="G736" s="75"/>
      <x:c r="H736" s="76" t="str">
        <x:f>IF(A736="","",F736-G736)</x:f>
      </x:c>
      <x:c r="I736" s="77" t="str">
        <x:f>IF(A736="","",IF(E736="","기타/불명",IF(IFERROR(SEARCH("급여",E736),0)&gt;0,"인건비",IF(IFERROR(SEARCH("임차",E736),0)&gt;0,"임차·시설",IF(IFERROR(SEARCH("광고",E736),0)&gt;0,"광고·행사",IF(IFERROR(SEARCH("용역",E736),0)&gt;0,"용역·수수료","기타/불명"))))))</x:f>
      </x:c>
      <x:c r="J736" s="77" t="str">
        <x:f>IF(A736="","",IF(I736="기타/불명","확인 필요","결의서명으로 1차 확인"))</x:f>
      </x:c>
      <x:c r="K736" s="78"/>
    </x:row>
    <x:row r="737">
      <x:c r="A737" s="73"/>
      <x:c r="B737" s="73"/>
      <x:c r="C737" s="74"/>
      <x:c r="D737" s="73"/>
      <x:c r="E737" s="73"/>
      <x:c r="F737" s="75"/>
      <x:c r="G737" s="75"/>
      <x:c r="H737" s="76" t="str">
        <x:f>IF(A737="","",F737-G737)</x:f>
      </x:c>
      <x:c r="I737" s="77" t="str">
        <x:f>IF(A737="","",IF(E737="","기타/불명",IF(IFERROR(SEARCH("급여",E737),0)&gt;0,"인건비",IF(IFERROR(SEARCH("임차",E737),0)&gt;0,"임차·시설",IF(IFERROR(SEARCH("광고",E737),0)&gt;0,"광고·행사",IF(IFERROR(SEARCH("용역",E737),0)&gt;0,"용역·수수료","기타/불명"))))))</x:f>
      </x:c>
      <x:c r="J737" s="77" t="str">
        <x:f>IF(A737="","",IF(I737="기타/불명","확인 필요","결의서명으로 1차 확인"))</x:f>
      </x:c>
      <x:c r="K737" s="78"/>
    </x:row>
    <x:row r="738">
      <x:c r="A738" s="73"/>
      <x:c r="B738" s="73"/>
      <x:c r="C738" s="74"/>
      <x:c r="D738" s="73"/>
      <x:c r="E738" s="73"/>
      <x:c r="F738" s="75"/>
      <x:c r="G738" s="75"/>
      <x:c r="H738" s="76" t="str">
        <x:f>IF(A738="","",F738-G738)</x:f>
      </x:c>
      <x:c r="I738" s="77" t="str">
        <x:f>IF(A738="","",IF(E738="","기타/불명",IF(IFERROR(SEARCH("급여",E738),0)&gt;0,"인건비",IF(IFERROR(SEARCH("임차",E738),0)&gt;0,"임차·시설",IF(IFERROR(SEARCH("광고",E738),0)&gt;0,"광고·행사",IF(IFERROR(SEARCH("용역",E738),0)&gt;0,"용역·수수료","기타/불명"))))))</x:f>
      </x:c>
      <x:c r="J738" s="77" t="str">
        <x:f>IF(A738="","",IF(I738="기타/불명","확인 필요","결의서명으로 1차 확인"))</x:f>
      </x:c>
      <x:c r="K738" s="78"/>
    </x:row>
    <x:row r="739">
      <x:c r="A739" s="73"/>
      <x:c r="B739" s="73"/>
      <x:c r="C739" s="74"/>
      <x:c r="D739" s="73"/>
      <x:c r="E739" s="73"/>
      <x:c r="F739" s="75"/>
      <x:c r="G739" s="75"/>
      <x:c r="H739" s="76" t="str">
        <x:f>IF(A739="","",F739-G739)</x:f>
      </x:c>
      <x:c r="I739" s="77" t="str">
        <x:f>IF(A739="","",IF(E739="","기타/불명",IF(IFERROR(SEARCH("급여",E739),0)&gt;0,"인건비",IF(IFERROR(SEARCH("임차",E739),0)&gt;0,"임차·시설",IF(IFERROR(SEARCH("광고",E739),0)&gt;0,"광고·행사",IF(IFERROR(SEARCH("용역",E739),0)&gt;0,"용역·수수료","기타/불명"))))))</x:f>
      </x:c>
      <x:c r="J739" s="77" t="str">
        <x:f>IF(A739="","",IF(I739="기타/불명","확인 필요","결의서명으로 1차 확인"))</x:f>
      </x:c>
      <x:c r="K739" s="78"/>
    </x:row>
    <x:row r="740">
      <x:c r="A740" s="73"/>
      <x:c r="B740" s="73"/>
      <x:c r="C740" s="74"/>
      <x:c r="D740" s="73"/>
      <x:c r="E740" s="73"/>
      <x:c r="F740" s="75"/>
      <x:c r="G740" s="75"/>
      <x:c r="H740" s="76" t="str">
        <x:f>IF(A740="","",F740-G740)</x:f>
      </x:c>
      <x:c r="I740" s="77" t="str">
        <x:f>IF(A740="","",IF(E740="","기타/불명",IF(IFERROR(SEARCH("급여",E740),0)&gt;0,"인건비",IF(IFERROR(SEARCH("임차",E740),0)&gt;0,"임차·시설",IF(IFERROR(SEARCH("광고",E740),0)&gt;0,"광고·행사",IF(IFERROR(SEARCH("용역",E740),0)&gt;0,"용역·수수료","기타/불명"))))))</x:f>
      </x:c>
      <x:c r="J740" s="77" t="str">
        <x:f>IF(A740="","",IF(I740="기타/불명","확인 필요","결의서명으로 1차 확인"))</x:f>
      </x:c>
      <x:c r="K740" s="78"/>
    </x:row>
    <x:row r="741">
      <x:c r="A741" s="73"/>
      <x:c r="B741" s="73"/>
      <x:c r="C741" s="74"/>
      <x:c r="D741" s="73"/>
      <x:c r="E741" s="73"/>
      <x:c r="F741" s="75"/>
      <x:c r="G741" s="75"/>
      <x:c r="H741" s="76" t="str">
        <x:f>IF(A741="","",F741-G741)</x:f>
      </x:c>
      <x:c r="I741" s="77" t="str">
        <x:f>IF(A741="","",IF(E741="","기타/불명",IF(IFERROR(SEARCH("급여",E741),0)&gt;0,"인건비",IF(IFERROR(SEARCH("임차",E741),0)&gt;0,"임차·시설",IF(IFERROR(SEARCH("광고",E741),0)&gt;0,"광고·행사",IF(IFERROR(SEARCH("용역",E741),0)&gt;0,"용역·수수료","기타/불명"))))))</x:f>
      </x:c>
      <x:c r="J741" s="77" t="str">
        <x:f>IF(A741="","",IF(I741="기타/불명","확인 필요","결의서명으로 1차 확인"))</x:f>
      </x:c>
      <x:c r="K741" s="78"/>
    </x:row>
    <x:row r="742">
      <x:c r="A742" s="73"/>
      <x:c r="B742" s="73"/>
      <x:c r="C742" s="74"/>
      <x:c r="D742" s="73"/>
      <x:c r="E742" s="73"/>
      <x:c r="F742" s="75"/>
      <x:c r="G742" s="75"/>
      <x:c r="H742" s="76" t="str">
        <x:f>IF(A742="","",F742-G742)</x:f>
      </x:c>
      <x:c r="I742" s="77" t="str">
        <x:f>IF(A742="","",IF(E742="","기타/불명",IF(IFERROR(SEARCH("급여",E742),0)&gt;0,"인건비",IF(IFERROR(SEARCH("임차",E742),0)&gt;0,"임차·시설",IF(IFERROR(SEARCH("광고",E742),0)&gt;0,"광고·행사",IF(IFERROR(SEARCH("용역",E742),0)&gt;0,"용역·수수료","기타/불명"))))))</x:f>
      </x:c>
      <x:c r="J742" s="77" t="str">
        <x:f>IF(A742="","",IF(I742="기타/불명","확인 필요","결의서명으로 1차 확인"))</x:f>
      </x:c>
      <x:c r="K742" s="78"/>
    </x:row>
    <x:row r="743">
      <x:c r="A743" s="73"/>
      <x:c r="B743" s="73"/>
      <x:c r="C743" s="74"/>
      <x:c r="D743" s="73"/>
      <x:c r="E743" s="73"/>
      <x:c r="F743" s="75"/>
      <x:c r="G743" s="75"/>
      <x:c r="H743" s="76" t="str">
        <x:f>IF(A743="","",F743-G743)</x:f>
      </x:c>
      <x:c r="I743" s="77" t="str">
        <x:f>IF(A743="","",IF(E743="","기타/불명",IF(IFERROR(SEARCH("급여",E743),0)&gt;0,"인건비",IF(IFERROR(SEARCH("임차",E743),0)&gt;0,"임차·시설",IF(IFERROR(SEARCH("광고",E743),0)&gt;0,"광고·행사",IF(IFERROR(SEARCH("용역",E743),0)&gt;0,"용역·수수료","기타/불명"))))))</x:f>
      </x:c>
      <x:c r="J743" s="77" t="str">
        <x:f>IF(A743="","",IF(I743="기타/불명","확인 필요","결의서명으로 1차 확인"))</x:f>
      </x:c>
      <x:c r="K743" s="78"/>
    </x:row>
    <x:row r="744">
      <x:c r="A744" s="73"/>
      <x:c r="B744" s="73"/>
      <x:c r="C744" s="74"/>
      <x:c r="D744" s="73"/>
      <x:c r="E744" s="73"/>
      <x:c r="F744" s="75"/>
      <x:c r="G744" s="75"/>
      <x:c r="H744" s="76" t="str">
        <x:f>IF(A744="","",F744-G744)</x:f>
      </x:c>
      <x:c r="I744" s="77" t="str">
        <x:f>IF(A744="","",IF(E744="","기타/불명",IF(IFERROR(SEARCH("급여",E744),0)&gt;0,"인건비",IF(IFERROR(SEARCH("임차",E744),0)&gt;0,"임차·시설",IF(IFERROR(SEARCH("광고",E744),0)&gt;0,"광고·행사",IF(IFERROR(SEARCH("용역",E744),0)&gt;0,"용역·수수료","기타/불명"))))))</x:f>
      </x:c>
      <x:c r="J744" s="77" t="str">
        <x:f>IF(A744="","",IF(I744="기타/불명","확인 필요","결의서명으로 1차 확인"))</x:f>
      </x:c>
      <x:c r="K744" s="78"/>
    </x:row>
    <x:row r="745">
      <x:c r="A745" s="73"/>
      <x:c r="B745" s="73"/>
      <x:c r="C745" s="74"/>
      <x:c r="D745" s="73"/>
      <x:c r="E745" s="73"/>
      <x:c r="F745" s="75"/>
      <x:c r="G745" s="75"/>
      <x:c r="H745" s="76" t="str">
        <x:f>IF(A745="","",F745-G745)</x:f>
      </x:c>
      <x:c r="I745" s="77" t="str">
        <x:f>IF(A745="","",IF(E745="","기타/불명",IF(IFERROR(SEARCH("급여",E745),0)&gt;0,"인건비",IF(IFERROR(SEARCH("임차",E745),0)&gt;0,"임차·시설",IF(IFERROR(SEARCH("광고",E745),0)&gt;0,"광고·행사",IF(IFERROR(SEARCH("용역",E745),0)&gt;0,"용역·수수료","기타/불명"))))))</x:f>
      </x:c>
      <x:c r="J745" s="77" t="str">
        <x:f>IF(A745="","",IF(I745="기타/불명","확인 필요","결의서명으로 1차 확인"))</x:f>
      </x:c>
      <x:c r="K745" s="78"/>
    </x:row>
    <x:row r="746">
      <x:c r="A746" s="73"/>
      <x:c r="B746" s="73"/>
      <x:c r="C746" s="74"/>
      <x:c r="D746" s="73"/>
      <x:c r="E746" s="73"/>
      <x:c r="F746" s="75"/>
      <x:c r="G746" s="75"/>
      <x:c r="H746" s="76" t="str">
        <x:f>IF(A746="","",F746-G746)</x:f>
      </x:c>
      <x:c r="I746" s="77" t="str">
        <x:f>IF(A746="","",IF(E746="","기타/불명",IF(IFERROR(SEARCH("급여",E746),0)&gt;0,"인건비",IF(IFERROR(SEARCH("임차",E746),0)&gt;0,"임차·시설",IF(IFERROR(SEARCH("광고",E746),0)&gt;0,"광고·행사",IF(IFERROR(SEARCH("용역",E746),0)&gt;0,"용역·수수료","기타/불명"))))))</x:f>
      </x:c>
      <x:c r="J746" s="77" t="str">
        <x:f>IF(A746="","",IF(I746="기타/불명","확인 필요","결의서명으로 1차 확인"))</x:f>
      </x:c>
      <x:c r="K746" s="78"/>
    </x:row>
    <x:row r="747">
      <x:c r="A747" s="73"/>
      <x:c r="B747" s="73"/>
      <x:c r="C747" s="74"/>
      <x:c r="D747" s="73"/>
      <x:c r="E747" s="73"/>
      <x:c r="F747" s="75"/>
      <x:c r="G747" s="75"/>
      <x:c r="H747" s="76" t="str">
        <x:f>IF(A747="","",F747-G747)</x:f>
      </x:c>
      <x:c r="I747" s="77" t="str">
        <x:f>IF(A747="","",IF(E747="","기타/불명",IF(IFERROR(SEARCH("급여",E747),0)&gt;0,"인건비",IF(IFERROR(SEARCH("임차",E747),0)&gt;0,"임차·시설",IF(IFERROR(SEARCH("광고",E747),0)&gt;0,"광고·행사",IF(IFERROR(SEARCH("용역",E747),0)&gt;0,"용역·수수료","기타/불명"))))))</x:f>
      </x:c>
      <x:c r="J747" s="77" t="str">
        <x:f>IF(A747="","",IF(I747="기타/불명","확인 필요","결의서명으로 1차 확인"))</x:f>
      </x:c>
      <x:c r="K747" s="78"/>
    </x:row>
    <x:row r="748">
      <x:c r="A748" s="73"/>
      <x:c r="B748" s="73"/>
      <x:c r="C748" s="74"/>
      <x:c r="D748" s="73"/>
      <x:c r="E748" s="73"/>
      <x:c r="F748" s="75"/>
      <x:c r="G748" s="75"/>
      <x:c r="H748" s="76" t="str">
        <x:f>IF(A748="","",F748-G748)</x:f>
      </x:c>
      <x:c r="I748" s="77" t="str">
        <x:f>IF(A748="","",IF(E748="","기타/불명",IF(IFERROR(SEARCH("급여",E748),0)&gt;0,"인건비",IF(IFERROR(SEARCH("임차",E748),0)&gt;0,"임차·시설",IF(IFERROR(SEARCH("광고",E748),0)&gt;0,"광고·행사",IF(IFERROR(SEARCH("용역",E748),0)&gt;0,"용역·수수료","기타/불명"))))))</x:f>
      </x:c>
      <x:c r="J748" s="77" t="str">
        <x:f>IF(A748="","",IF(I748="기타/불명","확인 필요","결의서명으로 1차 확인"))</x:f>
      </x:c>
      <x:c r="K748" s="78"/>
    </x:row>
    <x:row r="749">
      <x:c r="A749" s="73"/>
      <x:c r="B749" s="73"/>
      <x:c r="C749" s="74"/>
      <x:c r="D749" s="73"/>
      <x:c r="E749" s="73"/>
      <x:c r="F749" s="75"/>
      <x:c r="G749" s="75"/>
      <x:c r="H749" s="76" t="str">
        <x:f>IF(A749="","",F749-G749)</x:f>
      </x:c>
      <x:c r="I749" s="77" t="str">
        <x:f>IF(A749="","",IF(E749="","기타/불명",IF(IFERROR(SEARCH("급여",E749),0)&gt;0,"인건비",IF(IFERROR(SEARCH("임차",E749),0)&gt;0,"임차·시설",IF(IFERROR(SEARCH("광고",E749),0)&gt;0,"광고·행사",IF(IFERROR(SEARCH("용역",E749),0)&gt;0,"용역·수수료","기타/불명"))))))</x:f>
      </x:c>
      <x:c r="J749" s="77" t="str">
        <x:f>IF(A749="","",IF(I749="기타/불명","확인 필요","결의서명으로 1차 확인"))</x:f>
      </x:c>
      <x:c r="K749" s="78"/>
    </x:row>
    <x:row r="750">
      <x:c r="A750" s="73"/>
      <x:c r="B750" s="73"/>
      <x:c r="C750" s="74"/>
      <x:c r="D750" s="73"/>
      <x:c r="E750" s="73"/>
      <x:c r="F750" s="75"/>
      <x:c r="G750" s="75"/>
      <x:c r="H750" s="76" t="str">
        <x:f>IF(A750="","",F750-G750)</x:f>
      </x:c>
      <x:c r="I750" s="77" t="str">
        <x:f>IF(A750="","",IF(E750="","기타/불명",IF(IFERROR(SEARCH("급여",E750),0)&gt;0,"인건비",IF(IFERROR(SEARCH("임차",E750),0)&gt;0,"임차·시설",IF(IFERROR(SEARCH("광고",E750),0)&gt;0,"광고·행사",IF(IFERROR(SEARCH("용역",E750),0)&gt;0,"용역·수수료","기타/불명"))))))</x:f>
      </x:c>
      <x:c r="J750" s="77" t="str">
        <x:f>IF(A750="","",IF(I750="기타/불명","확인 필요","결의서명으로 1차 확인"))</x:f>
      </x:c>
      <x:c r="K750" s="78"/>
    </x:row>
    <x:row r="751">
      <x:c r="A751" s="73"/>
      <x:c r="B751" s="73"/>
      <x:c r="C751" s="74"/>
      <x:c r="D751" s="73"/>
      <x:c r="E751" s="73"/>
      <x:c r="F751" s="75"/>
      <x:c r="G751" s="75"/>
      <x:c r="H751" s="76" t="str">
        <x:f>IF(A751="","",F751-G751)</x:f>
      </x:c>
      <x:c r="I751" s="77" t="str">
        <x:f>IF(A751="","",IF(E751="","기타/불명",IF(IFERROR(SEARCH("급여",E751),0)&gt;0,"인건비",IF(IFERROR(SEARCH("임차",E751),0)&gt;0,"임차·시설",IF(IFERROR(SEARCH("광고",E751),0)&gt;0,"광고·행사",IF(IFERROR(SEARCH("용역",E751),0)&gt;0,"용역·수수료","기타/불명"))))))</x:f>
      </x:c>
      <x:c r="J751" s="77" t="str">
        <x:f>IF(A751="","",IF(I751="기타/불명","확인 필요","결의서명으로 1차 확인"))</x:f>
      </x:c>
      <x:c r="K751" s="78"/>
    </x:row>
    <x:row r="752">
      <x:c r="A752" s="73"/>
      <x:c r="B752" s="73"/>
      <x:c r="C752" s="74"/>
      <x:c r="D752" s="73"/>
      <x:c r="E752" s="73"/>
      <x:c r="F752" s="75"/>
      <x:c r="G752" s="75"/>
      <x:c r="H752" s="76" t="str">
        <x:f>IF(A752="","",F752-G752)</x:f>
      </x:c>
      <x:c r="I752" s="77" t="str">
        <x:f>IF(A752="","",IF(E752="","기타/불명",IF(IFERROR(SEARCH("급여",E752),0)&gt;0,"인건비",IF(IFERROR(SEARCH("임차",E752),0)&gt;0,"임차·시설",IF(IFERROR(SEARCH("광고",E752),0)&gt;0,"광고·행사",IF(IFERROR(SEARCH("용역",E752),0)&gt;0,"용역·수수료","기타/불명"))))))</x:f>
      </x:c>
      <x:c r="J752" s="77" t="str">
        <x:f>IF(A752="","",IF(I752="기타/불명","확인 필요","결의서명으로 1차 확인"))</x:f>
      </x:c>
      <x:c r="K752" s="78"/>
    </x:row>
    <x:row r="753">
      <x:c r="A753" s="73"/>
      <x:c r="B753" s="73"/>
      <x:c r="C753" s="74"/>
      <x:c r="D753" s="73"/>
      <x:c r="E753" s="73"/>
      <x:c r="F753" s="75"/>
      <x:c r="G753" s="75"/>
      <x:c r="H753" s="76" t="str">
        <x:f>IF(A753="","",F753-G753)</x:f>
      </x:c>
      <x:c r="I753" s="77" t="str">
        <x:f>IF(A753="","",IF(E753="","기타/불명",IF(IFERROR(SEARCH("급여",E753),0)&gt;0,"인건비",IF(IFERROR(SEARCH("임차",E753),0)&gt;0,"임차·시설",IF(IFERROR(SEARCH("광고",E753),0)&gt;0,"광고·행사",IF(IFERROR(SEARCH("용역",E753),0)&gt;0,"용역·수수료","기타/불명"))))))</x:f>
      </x:c>
      <x:c r="J753" s="77" t="str">
        <x:f>IF(A753="","",IF(I753="기타/불명","확인 필요","결의서명으로 1차 확인"))</x:f>
      </x:c>
      <x:c r="K753" s="78"/>
    </x:row>
    <x:row r="754">
      <x:c r="A754" s="73"/>
      <x:c r="B754" s="73"/>
      <x:c r="C754" s="74"/>
      <x:c r="D754" s="73"/>
      <x:c r="E754" s="73"/>
      <x:c r="F754" s="75"/>
      <x:c r="G754" s="75"/>
      <x:c r="H754" s="76" t="str">
        <x:f>IF(A754="","",F754-G754)</x:f>
      </x:c>
      <x:c r="I754" s="77" t="str">
        <x:f>IF(A754="","",IF(E754="","기타/불명",IF(IFERROR(SEARCH("급여",E754),0)&gt;0,"인건비",IF(IFERROR(SEARCH("임차",E754),0)&gt;0,"임차·시설",IF(IFERROR(SEARCH("광고",E754),0)&gt;0,"광고·행사",IF(IFERROR(SEARCH("용역",E754),0)&gt;0,"용역·수수료","기타/불명"))))))</x:f>
      </x:c>
      <x:c r="J754" s="77" t="str">
        <x:f>IF(A754="","",IF(I754="기타/불명","확인 필요","결의서명으로 1차 확인"))</x:f>
      </x:c>
      <x:c r="K754" s="78"/>
    </x:row>
    <x:row r="755">
      <x:c r="A755" s="73"/>
      <x:c r="B755" s="73"/>
      <x:c r="C755" s="74"/>
      <x:c r="D755" s="73"/>
      <x:c r="E755" s="73"/>
      <x:c r="F755" s="75"/>
      <x:c r="G755" s="75"/>
      <x:c r="H755" s="76" t="str">
        <x:f>IF(A755="","",F755-G755)</x:f>
      </x:c>
      <x:c r="I755" s="77" t="str">
        <x:f>IF(A755="","",IF(E755="","기타/불명",IF(IFERROR(SEARCH("급여",E755),0)&gt;0,"인건비",IF(IFERROR(SEARCH("임차",E755),0)&gt;0,"임차·시설",IF(IFERROR(SEARCH("광고",E755),0)&gt;0,"광고·행사",IF(IFERROR(SEARCH("용역",E755),0)&gt;0,"용역·수수료","기타/불명"))))))</x:f>
      </x:c>
      <x:c r="J755" s="77" t="str">
        <x:f>IF(A755="","",IF(I755="기타/불명","확인 필요","결의서명으로 1차 확인"))</x:f>
      </x:c>
      <x:c r="K755" s="78"/>
    </x:row>
    <x:row r="756">
      <x:c r="A756" s="73"/>
      <x:c r="B756" s="73"/>
      <x:c r="C756" s="74"/>
      <x:c r="D756" s="73"/>
      <x:c r="E756" s="73"/>
      <x:c r="F756" s="75"/>
      <x:c r="G756" s="75"/>
      <x:c r="H756" s="76" t="str">
        <x:f>IF(A756="","",F756-G756)</x:f>
      </x:c>
      <x:c r="I756" s="77" t="str">
        <x:f>IF(A756="","",IF(E756="","기타/불명",IF(IFERROR(SEARCH("급여",E756),0)&gt;0,"인건비",IF(IFERROR(SEARCH("임차",E756),0)&gt;0,"임차·시설",IF(IFERROR(SEARCH("광고",E756),0)&gt;0,"광고·행사",IF(IFERROR(SEARCH("용역",E756),0)&gt;0,"용역·수수료","기타/불명"))))))</x:f>
      </x:c>
      <x:c r="J756" s="77" t="str">
        <x:f>IF(A756="","",IF(I756="기타/불명","확인 필요","결의서명으로 1차 확인"))</x:f>
      </x:c>
      <x:c r="K756" s="78"/>
    </x:row>
    <x:row r="757">
      <x:c r="A757" s="73"/>
      <x:c r="B757" s="73"/>
      <x:c r="C757" s="74"/>
      <x:c r="D757" s="73"/>
      <x:c r="E757" s="73"/>
      <x:c r="F757" s="75"/>
      <x:c r="G757" s="75"/>
      <x:c r="H757" s="76" t="str">
        <x:f>IF(A757="","",F757-G757)</x:f>
      </x:c>
      <x:c r="I757" s="77" t="str">
        <x:f>IF(A757="","",IF(E757="","기타/불명",IF(IFERROR(SEARCH("급여",E757),0)&gt;0,"인건비",IF(IFERROR(SEARCH("임차",E757),0)&gt;0,"임차·시설",IF(IFERROR(SEARCH("광고",E757),0)&gt;0,"광고·행사",IF(IFERROR(SEARCH("용역",E757),0)&gt;0,"용역·수수료","기타/불명"))))))</x:f>
      </x:c>
      <x:c r="J757" s="77" t="str">
        <x:f>IF(A757="","",IF(I757="기타/불명","확인 필요","결의서명으로 1차 확인"))</x:f>
      </x:c>
      <x:c r="K757" s="78"/>
    </x:row>
    <x:row r="758">
      <x:c r="A758" s="73"/>
      <x:c r="B758" s="73"/>
      <x:c r="C758" s="74"/>
      <x:c r="D758" s="73"/>
      <x:c r="E758" s="73"/>
      <x:c r="F758" s="75"/>
      <x:c r="G758" s="75"/>
      <x:c r="H758" s="76" t="str">
        <x:f>IF(A758="","",F758-G758)</x:f>
      </x:c>
      <x:c r="I758" s="77" t="str">
        <x:f>IF(A758="","",IF(E758="","기타/불명",IF(IFERROR(SEARCH("급여",E758),0)&gt;0,"인건비",IF(IFERROR(SEARCH("임차",E758),0)&gt;0,"임차·시설",IF(IFERROR(SEARCH("광고",E758),0)&gt;0,"광고·행사",IF(IFERROR(SEARCH("용역",E758),0)&gt;0,"용역·수수료","기타/불명"))))))</x:f>
      </x:c>
      <x:c r="J758" s="77" t="str">
        <x:f>IF(A758="","",IF(I758="기타/불명","확인 필요","결의서명으로 1차 확인"))</x:f>
      </x:c>
      <x:c r="K758" s="78"/>
    </x:row>
    <x:row r="759">
      <x:c r="A759" s="73"/>
      <x:c r="B759" s="73"/>
      <x:c r="C759" s="74"/>
      <x:c r="D759" s="73"/>
      <x:c r="E759" s="73"/>
      <x:c r="F759" s="75"/>
      <x:c r="G759" s="75"/>
      <x:c r="H759" s="76" t="str">
        <x:f>IF(A759="","",F759-G759)</x:f>
      </x:c>
      <x:c r="I759" s="77" t="str">
        <x:f>IF(A759="","",IF(E759="","기타/불명",IF(IFERROR(SEARCH("급여",E759),0)&gt;0,"인건비",IF(IFERROR(SEARCH("임차",E759),0)&gt;0,"임차·시설",IF(IFERROR(SEARCH("광고",E759),0)&gt;0,"광고·행사",IF(IFERROR(SEARCH("용역",E759),0)&gt;0,"용역·수수료","기타/불명"))))))</x:f>
      </x:c>
      <x:c r="J759" s="77" t="str">
        <x:f>IF(A759="","",IF(I759="기타/불명","확인 필요","결의서명으로 1차 확인"))</x:f>
      </x:c>
      <x:c r="K759" s="78"/>
    </x:row>
    <x:row r="760">
      <x:c r="A760" s="73"/>
      <x:c r="B760" s="73"/>
      <x:c r="C760" s="74"/>
      <x:c r="D760" s="73"/>
      <x:c r="E760" s="73"/>
      <x:c r="F760" s="75"/>
      <x:c r="G760" s="75"/>
      <x:c r="H760" s="76" t="str">
        <x:f>IF(A760="","",F760-G760)</x:f>
      </x:c>
      <x:c r="I760" s="77" t="str">
        <x:f>IF(A760="","",IF(E760="","기타/불명",IF(IFERROR(SEARCH("급여",E760),0)&gt;0,"인건비",IF(IFERROR(SEARCH("임차",E760),0)&gt;0,"임차·시설",IF(IFERROR(SEARCH("광고",E760),0)&gt;0,"광고·행사",IF(IFERROR(SEARCH("용역",E760),0)&gt;0,"용역·수수료","기타/불명"))))))</x:f>
      </x:c>
      <x:c r="J760" s="77" t="str">
        <x:f>IF(A760="","",IF(I760="기타/불명","확인 필요","결의서명으로 1차 확인"))</x:f>
      </x:c>
      <x:c r="K760" s="78"/>
    </x:row>
    <x:row r="761">
      <x:c r="A761" s="73"/>
      <x:c r="B761" s="73"/>
      <x:c r="C761" s="74"/>
      <x:c r="D761" s="73"/>
      <x:c r="E761" s="73"/>
      <x:c r="F761" s="75"/>
      <x:c r="G761" s="75"/>
      <x:c r="H761" s="76" t="str">
        <x:f>IF(A761="","",F761-G761)</x:f>
      </x:c>
      <x:c r="I761" s="77" t="str">
        <x:f>IF(A761="","",IF(E761="","기타/불명",IF(IFERROR(SEARCH("급여",E761),0)&gt;0,"인건비",IF(IFERROR(SEARCH("임차",E761),0)&gt;0,"임차·시설",IF(IFERROR(SEARCH("광고",E761),0)&gt;0,"광고·행사",IF(IFERROR(SEARCH("용역",E761),0)&gt;0,"용역·수수료","기타/불명"))))))</x:f>
      </x:c>
      <x:c r="J761" s="77" t="str">
        <x:f>IF(A761="","",IF(I761="기타/불명","확인 필요","결의서명으로 1차 확인"))</x:f>
      </x:c>
      <x:c r="K761" s="78"/>
    </x:row>
    <x:row r="762">
      <x:c r="A762" s="73"/>
      <x:c r="B762" s="73"/>
      <x:c r="C762" s="74"/>
      <x:c r="D762" s="73"/>
      <x:c r="E762" s="73"/>
      <x:c r="F762" s="75"/>
      <x:c r="G762" s="75"/>
      <x:c r="H762" s="76" t="str">
        <x:f>IF(A762="","",F762-G762)</x:f>
      </x:c>
      <x:c r="I762" s="77" t="str">
        <x:f>IF(A762="","",IF(E762="","기타/불명",IF(IFERROR(SEARCH("급여",E762),0)&gt;0,"인건비",IF(IFERROR(SEARCH("임차",E762),0)&gt;0,"임차·시설",IF(IFERROR(SEARCH("광고",E762),0)&gt;0,"광고·행사",IF(IFERROR(SEARCH("용역",E762),0)&gt;0,"용역·수수료","기타/불명"))))))</x:f>
      </x:c>
      <x:c r="J762" s="77" t="str">
        <x:f>IF(A762="","",IF(I762="기타/불명","확인 필요","결의서명으로 1차 확인"))</x:f>
      </x:c>
      <x:c r="K762" s="78"/>
    </x:row>
    <x:row r="763">
      <x:c r="A763" s="73"/>
      <x:c r="B763" s="73"/>
      <x:c r="C763" s="74"/>
      <x:c r="D763" s="73"/>
      <x:c r="E763" s="73"/>
      <x:c r="F763" s="75"/>
      <x:c r="G763" s="75"/>
      <x:c r="H763" s="76" t="str">
        <x:f>IF(A763="","",F763-G763)</x:f>
      </x:c>
      <x:c r="I763" s="77" t="str">
        <x:f>IF(A763="","",IF(E763="","기타/불명",IF(IFERROR(SEARCH("급여",E763),0)&gt;0,"인건비",IF(IFERROR(SEARCH("임차",E763),0)&gt;0,"임차·시설",IF(IFERROR(SEARCH("광고",E763),0)&gt;0,"광고·행사",IF(IFERROR(SEARCH("용역",E763),0)&gt;0,"용역·수수료","기타/불명"))))))</x:f>
      </x:c>
      <x:c r="J763" s="77" t="str">
        <x:f>IF(A763="","",IF(I763="기타/불명","확인 필요","결의서명으로 1차 확인"))</x:f>
      </x:c>
      <x:c r="K763" s="78"/>
    </x:row>
    <x:row r="764">
      <x:c r="A764" s="73"/>
      <x:c r="B764" s="73"/>
      <x:c r="C764" s="74"/>
      <x:c r="D764" s="73"/>
      <x:c r="E764" s="73"/>
      <x:c r="F764" s="75"/>
      <x:c r="G764" s="75"/>
      <x:c r="H764" s="76" t="str">
        <x:f>IF(A764="","",F764-G764)</x:f>
      </x:c>
      <x:c r="I764" s="77" t="str">
        <x:f>IF(A764="","",IF(E764="","기타/불명",IF(IFERROR(SEARCH("급여",E764),0)&gt;0,"인건비",IF(IFERROR(SEARCH("임차",E764),0)&gt;0,"임차·시설",IF(IFERROR(SEARCH("광고",E764),0)&gt;0,"광고·행사",IF(IFERROR(SEARCH("용역",E764),0)&gt;0,"용역·수수료","기타/불명"))))))</x:f>
      </x:c>
      <x:c r="J764" s="77" t="str">
        <x:f>IF(A764="","",IF(I764="기타/불명","확인 필요","결의서명으로 1차 확인"))</x:f>
      </x:c>
      <x:c r="K764" s="78"/>
    </x:row>
    <x:row r="765">
      <x:c r="A765" s="73"/>
      <x:c r="B765" s="73"/>
      <x:c r="C765" s="74"/>
      <x:c r="D765" s="73"/>
      <x:c r="E765" s="73"/>
      <x:c r="F765" s="75"/>
      <x:c r="G765" s="75"/>
      <x:c r="H765" s="76" t="str">
        <x:f>IF(A765="","",F765-G765)</x:f>
      </x:c>
      <x:c r="I765" s="77" t="str">
        <x:f>IF(A765="","",IF(E765="","기타/불명",IF(IFERROR(SEARCH("급여",E765),0)&gt;0,"인건비",IF(IFERROR(SEARCH("임차",E765),0)&gt;0,"임차·시설",IF(IFERROR(SEARCH("광고",E765),0)&gt;0,"광고·행사",IF(IFERROR(SEARCH("용역",E765),0)&gt;0,"용역·수수료","기타/불명"))))))</x:f>
      </x:c>
      <x:c r="J765" s="77" t="str">
        <x:f>IF(A765="","",IF(I765="기타/불명","확인 필요","결의서명으로 1차 확인"))</x:f>
      </x:c>
      <x:c r="K765" s="78"/>
    </x:row>
    <x:row r="766">
      <x:c r="A766" s="73"/>
      <x:c r="B766" s="73"/>
      <x:c r="C766" s="74"/>
      <x:c r="D766" s="73"/>
      <x:c r="E766" s="73"/>
      <x:c r="F766" s="75"/>
      <x:c r="G766" s="75"/>
      <x:c r="H766" s="76" t="str">
        <x:f>IF(A766="","",F766-G766)</x:f>
      </x:c>
      <x:c r="I766" s="77" t="str">
        <x:f>IF(A766="","",IF(E766="","기타/불명",IF(IFERROR(SEARCH("급여",E766),0)&gt;0,"인건비",IF(IFERROR(SEARCH("임차",E766),0)&gt;0,"임차·시설",IF(IFERROR(SEARCH("광고",E766),0)&gt;0,"광고·행사",IF(IFERROR(SEARCH("용역",E766),0)&gt;0,"용역·수수료","기타/불명"))))))</x:f>
      </x:c>
      <x:c r="J766" s="77" t="str">
        <x:f>IF(A766="","",IF(I766="기타/불명","확인 필요","결의서명으로 1차 확인"))</x:f>
      </x:c>
      <x:c r="K766" s="78"/>
    </x:row>
    <x:row r="767">
      <x:c r="A767" s="73"/>
      <x:c r="B767" s="73"/>
      <x:c r="C767" s="74"/>
      <x:c r="D767" s="73"/>
      <x:c r="E767" s="73"/>
      <x:c r="F767" s="75"/>
      <x:c r="G767" s="75"/>
      <x:c r="H767" s="76" t="str">
        <x:f>IF(A767="","",F767-G767)</x:f>
      </x:c>
      <x:c r="I767" s="77" t="str">
        <x:f>IF(A767="","",IF(E767="","기타/불명",IF(IFERROR(SEARCH("급여",E767),0)&gt;0,"인건비",IF(IFERROR(SEARCH("임차",E767),0)&gt;0,"임차·시설",IF(IFERROR(SEARCH("광고",E767),0)&gt;0,"광고·행사",IF(IFERROR(SEARCH("용역",E767),0)&gt;0,"용역·수수료","기타/불명"))))))</x:f>
      </x:c>
      <x:c r="J767" s="77" t="str">
        <x:f>IF(A767="","",IF(I767="기타/불명","확인 필요","결의서명으로 1차 확인"))</x:f>
      </x:c>
      <x:c r="K767" s="78"/>
    </x:row>
    <x:row r="768">
      <x:c r="A768" s="73"/>
      <x:c r="B768" s="73"/>
      <x:c r="C768" s="74"/>
      <x:c r="D768" s="73"/>
      <x:c r="E768" s="73"/>
      <x:c r="F768" s="75"/>
      <x:c r="G768" s="75"/>
      <x:c r="H768" s="76" t="str">
        <x:f>IF(A768="","",F768-G768)</x:f>
      </x:c>
      <x:c r="I768" s="77" t="str">
        <x:f>IF(A768="","",IF(E768="","기타/불명",IF(IFERROR(SEARCH("급여",E768),0)&gt;0,"인건비",IF(IFERROR(SEARCH("임차",E768),0)&gt;0,"임차·시설",IF(IFERROR(SEARCH("광고",E768),0)&gt;0,"광고·행사",IF(IFERROR(SEARCH("용역",E768),0)&gt;0,"용역·수수료","기타/불명"))))))</x:f>
      </x:c>
      <x:c r="J768" s="77" t="str">
        <x:f>IF(A768="","",IF(I768="기타/불명","확인 필요","결의서명으로 1차 확인"))</x:f>
      </x:c>
      <x:c r="K768" s="78"/>
    </x:row>
    <x:row r="769">
      <x:c r="A769" s="73"/>
      <x:c r="B769" s="73"/>
      <x:c r="C769" s="74"/>
      <x:c r="D769" s="73"/>
      <x:c r="E769" s="73"/>
      <x:c r="F769" s="75"/>
      <x:c r="G769" s="75"/>
      <x:c r="H769" s="76" t="str">
        <x:f>IF(A769="","",F769-G769)</x:f>
      </x:c>
      <x:c r="I769" s="77" t="str">
        <x:f>IF(A769="","",IF(E769="","기타/불명",IF(IFERROR(SEARCH("급여",E769),0)&gt;0,"인건비",IF(IFERROR(SEARCH("임차",E769),0)&gt;0,"임차·시설",IF(IFERROR(SEARCH("광고",E769),0)&gt;0,"광고·행사",IF(IFERROR(SEARCH("용역",E769),0)&gt;0,"용역·수수료","기타/불명"))))))</x:f>
      </x:c>
      <x:c r="J769" s="77" t="str">
        <x:f>IF(A769="","",IF(I769="기타/불명","확인 필요","결의서명으로 1차 확인"))</x:f>
      </x:c>
      <x:c r="K769" s="78"/>
    </x:row>
    <x:row r="770">
      <x:c r="A770" s="73"/>
      <x:c r="B770" s="73"/>
      <x:c r="C770" s="74"/>
      <x:c r="D770" s="73"/>
      <x:c r="E770" s="73"/>
      <x:c r="F770" s="75"/>
      <x:c r="G770" s="75"/>
      <x:c r="H770" s="76" t="str">
        <x:f>IF(A770="","",F770-G770)</x:f>
      </x:c>
      <x:c r="I770" s="77" t="str">
        <x:f>IF(A770="","",IF(E770="","기타/불명",IF(IFERROR(SEARCH("급여",E770),0)&gt;0,"인건비",IF(IFERROR(SEARCH("임차",E770),0)&gt;0,"임차·시설",IF(IFERROR(SEARCH("광고",E770),0)&gt;0,"광고·행사",IF(IFERROR(SEARCH("용역",E770),0)&gt;0,"용역·수수료","기타/불명"))))))</x:f>
      </x:c>
      <x:c r="J770" s="77" t="str">
        <x:f>IF(A770="","",IF(I770="기타/불명","확인 필요","결의서명으로 1차 확인"))</x:f>
      </x:c>
      <x:c r="K770" s="78"/>
    </x:row>
    <x:row r="771">
      <x:c r="A771" s="73"/>
      <x:c r="B771" s="73"/>
      <x:c r="C771" s="74"/>
      <x:c r="D771" s="73"/>
      <x:c r="E771" s="73"/>
      <x:c r="F771" s="75"/>
      <x:c r="G771" s="75"/>
      <x:c r="H771" s="76" t="str">
        <x:f>IF(A771="","",F771-G771)</x:f>
      </x:c>
      <x:c r="I771" s="77" t="str">
        <x:f>IF(A771="","",IF(E771="","기타/불명",IF(IFERROR(SEARCH("급여",E771),0)&gt;0,"인건비",IF(IFERROR(SEARCH("임차",E771),0)&gt;0,"임차·시설",IF(IFERROR(SEARCH("광고",E771),0)&gt;0,"광고·행사",IF(IFERROR(SEARCH("용역",E771),0)&gt;0,"용역·수수료","기타/불명"))))))</x:f>
      </x:c>
      <x:c r="J771" s="77" t="str">
        <x:f>IF(A771="","",IF(I771="기타/불명","확인 필요","결의서명으로 1차 확인"))</x:f>
      </x:c>
      <x:c r="K771" s="78"/>
    </x:row>
    <x:row r="772">
      <x:c r="A772" s="73"/>
      <x:c r="B772" s="73"/>
      <x:c r="C772" s="74"/>
      <x:c r="D772" s="73"/>
      <x:c r="E772" s="73"/>
      <x:c r="F772" s="75"/>
      <x:c r="G772" s="75"/>
      <x:c r="H772" s="76" t="str">
        <x:f>IF(A772="","",F772-G772)</x:f>
      </x:c>
      <x:c r="I772" s="77" t="str">
        <x:f>IF(A772="","",IF(E772="","기타/불명",IF(IFERROR(SEARCH("급여",E772),0)&gt;0,"인건비",IF(IFERROR(SEARCH("임차",E772),0)&gt;0,"임차·시설",IF(IFERROR(SEARCH("광고",E772),0)&gt;0,"광고·행사",IF(IFERROR(SEARCH("용역",E772),0)&gt;0,"용역·수수료","기타/불명"))))))</x:f>
      </x:c>
      <x:c r="J772" s="77" t="str">
        <x:f>IF(A772="","",IF(I772="기타/불명","확인 필요","결의서명으로 1차 확인"))</x:f>
      </x:c>
      <x:c r="K772" s="78"/>
    </x:row>
    <x:row r="773">
      <x:c r="A773" s="73"/>
      <x:c r="B773" s="73"/>
      <x:c r="C773" s="74"/>
      <x:c r="D773" s="73"/>
      <x:c r="E773" s="73"/>
      <x:c r="F773" s="75"/>
      <x:c r="G773" s="75"/>
      <x:c r="H773" s="76" t="str">
        <x:f>IF(A773="","",F773-G773)</x:f>
      </x:c>
      <x:c r="I773" s="77" t="str">
        <x:f>IF(A773="","",IF(E773="","기타/불명",IF(IFERROR(SEARCH("급여",E773),0)&gt;0,"인건비",IF(IFERROR(SEARCH("임차",E773),0)&gt;0,"임차·시설",IF(IFERROR(SEARCH("광고",E773),0)&gt;0,"광고·행사",IF(IFERROR(SEARCH("용역",E773),0)&gt;0,"용역·수수료","기타/불명"))))))</x:f>
      </x:c>
      <x:c r="J773" s="77" t="str">
        <x:f>IF(A773="","",IF(I773="기타/불명","확인 필요","결의서명으로 1차 확인"))</x:f>
      </x:c>
      <x:c r="K773" s="78"/>
    </x:row>
    <x:row r="774">
      <x:c r="A774" s="73"/>
      <x:c r="B774" s="73"/>
      <x:c r="C774" s="74"/>
      <x:c r="D774" s="73"/>
      <x:c r="E774" s="73"/>
      <x:c r="F774" s="75"/>
      <x:c r="G774" s="75"/>
      <x:c r="H774" s="76" t="str">
        <x:f>IF(A774="","",F774-G774)</x:f>
      </x:c>
      <x:c r="I774" s="77" t="str">
        <x:f>IF(A774="","",IF(E774="","기타/불명",IF(IFERROR(SEARCH("급여",E774),0)&gt;0,"인건비",IF(IFERROR(SEARCH("임차",E774),0)&gt;0,"임차·시설",IF(IFERROR(SEARCH("광고",E774),0)&gt;0,"광고·행사",IF(IFERROR(SEARCH("용역",E774),0)&gt;0,"용역·수수료","기타/불명"))))))</x:f>
      </x:c>
      <x:c r="J774" s="77" t="str">
        <x:f>IF(A774="","",IF(I774="기타/불명","확인 필요","결의서명으로 1차 확인"))</x:f>
      </x:c>
      <x:c r="K774" s="78"/>
    </x:row>
    <x:row r="775">
      <x:c r="A775" s="73"/>
      <x:c r="B775" s="73"/>
      <x:c r="C775" s="74"/>
      <x:c r="D775" s="73"/>
      <x:c r="E775" s="73"/>
      <x:c r="F775" s="75"/>
      <x:c r="G775" s="75"/>
      <x:c r="H775" s="76" t="str">
        <x:f>IF(A775="","",F775-G775)</x:f>
      </x:c>
      <x:c r="I775" s="77" t="str">
        <x:f>IF(A775="","",IF(E775="","기타/불명",IF(IFERROR(SEARCH("급여",E775),0)&gt;0,"인건비",IF(IFERROR(SEARCH("임차",E775),0)&gt;0,"임차·시설",IF(IFERROR(SEARCH("광고",E775),0)&gt;0,"광고·행사",IF(IFERROR(SEARCH("용역",E775),0)&gt;0,"용역·수수료","기타/불명"))))))</x:f>
      </x:c>
      <x:c r="J775" s="77" t="str">
        <x:f>IF(A775="","",IF(I775="기타/불명","확인 필요","결의서명으로 1차 확인"))</x:f>
      </x:c>
      <x:c r="K775" s="78"/>
    </x:row>
    <x:row r="776">
      <x:c r="A776" s="73"/>
      <x:c r="B776" s="73"/>
      <x:c r="C776" s="74"/>
      <x:c r="D776" s="73"/>
      <x:c r="E776" s="73"/>
      <x:c r="F776" s="75"/>
      <x:c r="G776" s="75"/>
      <x:c r="H776" s="76" t="str">
        <x:f>IF(A776="","",F776-G776)</x:f>
      </x:c>
      <x:c r="I776" s="77" t="str">
        <x:f>IF(A776="","",IF(E776="","기타/불명",IF(IFERROR(SEARCH("급여",E776),0)&gt;0,"인건비",IF(IFERROR(SEARCH("임차",E776),0)&gt;0,"임차·시설",IF(IFERROR(SEARCH("광고",E776),0)&gt;0,"광고·행사",IF(IFERROR(SEARCH("용역",E776),0)&gt;0,"용역·수수료","기타/불명"))))))</x:f>
      </x:c>
      <x:c r="J776" s="77" t="str">
        <x:f>IF(A776="","",IF(I776="기타/불명","확인 필요","결의서명으로 1차 확인"))</x:f>
      </x:c>
      <x:c r="K776" s="78"/>
    </x:row>
    <x:row r="777">
      <x:c r="A777" s="73"/>
      <x:c r="B777" s="73"/>
      <x:c r="C777" s="74"/>
      <x:c r="D777" s="73"/>
      <x:c r="E777" s="73"/>
      <x:c r="F777" s="75"/>
      <x:c r="G777" s="75"/>
      <x:c r="H777" s="76" t="str">
        <x:f>IF(A777="","",F777-G777)</x:f>
      </x:c>
      <x:c r="I777" s="77" t="str">
        <x:f>IF(A777="","",IF(E777="","기타/불명",IF(IFERROR(SEARCH("급여",E777),0)&gt;0,"인건비",IF(IFERROR(SEARCH("임차",E777),0)&gt;0,"임차·시설",IF(IFERROR(SEARCH("광고",E777),0)&gt;0,"광고·행사",IF(IFERROR(SEARCH("용역",E777),0)&gt;0,"용역·수수료","기타/불명"))))))</x:f>
      </x:c>
      <x:c r="J777" s="77" t="str">
        <x:f>IF(A777="","",IF(I777="기타/불명","확인 필요","결의서명으로 1차 확인"))</x:f>
      </x:c>
      <x:c r="K777" s="78"/>
    </x:row>
    <x:row r="778">
      <x:c r="A778" s="73"/>
      <x:c r="B778" s="73"/>
      <x:c r="C778" s="74"/>
      <x:c r="D778" s="73"/>
      <x:c r="E778" s="73"/>
      <x:c r="F778" s="75"/>
      <x:c r="G778" s="75"/>
      <x:c r="H778" s="76" t="str">
        <x:f>IF(A778="","",F778-G778)</x:f>
      </x:c>
      <x:c r="I778" s="77" t="str">
        <x:f>IF(A778="","",IF(E778="","기타/불명",IF(IFERROR(SEARCH("급여",E778),0)&gt;0,"인건비",IF(IFERROR(SEARCH("임차",E778),0)&gt;0,"임차·시설",IF(IFERROR(SEARCH("광고",E778),0)&gt;0,"광고·행사",IF(IFERROR(SEARCH("용역",E778),0)&gt;0,"용역·수수료","기타/불명"))))))</x:f>
      </x:c>
      <x:c r="J778" s="77" t="str">
        <x:f>IF(A778="","",IF(I778="기타/불명","확인 필요","결의서명으로 1차 확인"))</x:f>
      </x:c>
      <x:c r="K778" s="78"/>
    </x:row>
    <x:row r="779">
      <x:c r="A779" s="73"/>
      <x:c r="B779" s="73"/>
      <x:c r="C779" s="74"/>
      <x:c r="D779" s="73"/>
      <x:c r="E779" s="73"/>
      <x:c r="F779" s="75"/>
      <x:c r="G779" s="75"/>
      <x:c r="H779" s="76" t="str">
        <x:f>IF(A779="","",F779-G779)</x:f>
      </x:c>
      <x:c r="I779" s="77" t="str">
        <x:f>IF(A779="","",IF(E779="","기타/불명",IF(IFERROR(SEARCH("급여",E779),0)&gt;0,"인건비",IF(IFERROR(SEARCH("임차",E779),0)&gt;0,"임차·시설",IF(IFERROR(SEARCH("광고",E779),0)&gt;0,"광고·행사",IF(IFERROR(SEARCH("용역",E779),0)&gt;0,"용역·수수료","기타/불명"))))))</x:f>
      </x:c>
      <x:c r="J779" s="77" t="str">
        <x:f>IF(A779="","",IF(I779="기타/불명","확인 필요","결의서명으로 1차 확인"))</x:f>
      </x:c>
      <x:c r="K779" s="78"/>
    </x:row>
    <x:row r="780">
      <x:c r="A780" s="73"/>
      <x:c r="B780" s="73"/>
      <x:c r="C780" s="74"/>
      <x:c r="D780" s="73"/>
      <x:c r="E780" s="73"/>
      <x:c r="F780" s="75"/>
      <x:c r="G780" s="75"/>
      <x:c r="H780" s="76" t="str">
        <x:f>IF(A780="","",F780-G780)</x:f>
      </x:c>
      <x:c r="I780" s="77" t="str">
        <x:f>IF(A780="","",IF(E780="","기타/불명",IF(IFERROR(SEARCH("급여",E780),0)&gt;0,"인건비",IF(IFERROR(SEARCH("임차",E780),0)&gt;0,"임차·시설",IF(IFERROR(SEARCH("광고",E780),0)&gt;0,"광고·행사",IF(IFERROR(SEARCH("용역",E780),0)&gt;0,"용역·수수료","기타/불명"))))))</x:f>
      </x:c>
      <x:c r="J780" s="77" t="str">
        <x:f>IF(A780="","",IF(I780="기타/불명","확인 필요","결의서명으로 1차 확인"))</x:f>
      </x:c>
      <x:c r="K780" s="78"/>
    </x:row>
    <x:row r="781">
      <x:c r="A781" s="73"/>
      <x:c r="B781" s="73"/>
      <x:c r="C781" s="74"/>
      <x:c r="D781" s="73"/>
      <x:c r="E781" s="73"/>
      <x:c r="F781" s="75"/>
      <x:c r="G781" s="75"/>
      <x:c r="H781" s="76" t="str">
        <x:f>IF(A781="","",F781-G781)</x:f>
      </x:c>
      <x:c r="I781" s="77" t="str">
        <x:f>IF(A781="","",IF(E781="","기타/불명",IF(IFERROR(SEARCH("급여",E781),0)&gt;0,"인건비",IF(IFERROR(SEARCH("임차",E781),0)&gt;0,"임차·시설",IF(IFERROR(SEARCH("광고",E781),0)&gt;0,"광고·행사",IF(IFERROR(SEARCH("용역",E781),0)&gt;0,"용역·수수료","기타/불명"))))))</x:f>
      </x:c>
      <x:c r="J781" s="77" t="str">
        <x:f>IF(A781="","",IF(I781="기타/불명","확인 필요","결의서명으로 1차 확인"))</x:f>
      </x:c>
      <x:c r="K781" s="78"/>
    </x:row>
    <x:row r="782">
      <x:c r="A782" s="73"/>
      <x:c r="B782" s="73"/>
      <x:c r="C782" s="74"/>
      <x:c r="D782" s="73"/>
      <x:c r="E782" s="73"/>
      <x:c r="F782" s="75"/>
      <x:c r="G782" s="75"/>
      <x:c r="H782" s="76" t="str">
        <x:f>IF(A782="","",F782-G782)</x:f>
      </x:c>
      <x:c r="I782" s="77" t="str">
        <x:f>IF(A782="","",IF(E782="","기타/불명",IF(IFERROR(SEARCH("급여",E782),0)&gt;0,"인건비",IF(IFERROR(SEARCH("임차",E782),0)&gt;0,"임차·시설",IF(IFERROR(SEARCH("광고",E782),0)&gt;0,"광고·행사",IF(IFERROR(SEARCH("용역",E782),0)&gt;0,"용역·수수료","기타/불명"))))))</x:f>
      </x:c>
      <x:c r="J782" s="77" t="str">
        <x:f>IF(A782="","",IF(I782="기타/불명","확인 필요","결의서명으로 1차 확인"))</x:f>
      </x:c>
      <x:c r="K782" s="78"/>
    </x:row>
    <x:row r="783">
      <x:c r="A783" s="73"/>
      <x:c r="B783" s="73"/>
      <x:c r="C783" s="74"/>
      <x:c r="D783" s="73"/>
      <x:c r="E783" s="73"/>
      <x:c r="F783" s="75"/>
      <x:c r="G783" s="75"/>
      <x:c r="H783" s="76" t="str">
        <x:f>IF(A783="","",F783-G783)</x:f>
      </x:c>
      <x:c r="I783" s="77" t="str">
        <x:f>IF(A783="","",IF(E783="","기타/불명",IF(IFERROR(SEARCH("급여",E783),0)&gt;0,"인건비",IF(IFERROR(SEARCH("임차",E783),0)&gt;0,"임차·시설",IF(IFERROR(SEARCH("광고",E783),0)&gt;0,"광고·행사",IF(IFERROR(SEARCH("용역",E783),0)&gt;0,"용역·수수료","기타/불명"))))))</x:f>
      </x:c>
      <x:c r="J783" s="77" t="str">
        <x:f>IF(A783="","",IF(I783="기타/불명","확인 필요","결의서명으로 1차 확인"))</x:f>
      </x:c>
      <x:c r="K783" s="78"/>
    </x:row>
    <x:row r="784">
      <x:c r="A784" s="73"/>
      <x:c r="B784" s="73"/>
      <x:c r="C784" s="74"/>
      <x:c r="D784" s="73"/>
      <x:c r="E784" s="73"/>
      <x:c r="F784" s="75"/>
      <x:c r="G784" s="75"/>
      <x:c r="H784" s="76" t="str">
        <x:f>IF(A784="","",F784-G784)</x:f>
      </x:c>
      <x:c r="I784" s="77" t="str">
        <x:f>IF(A784="","",IF(E784="","기타/불명",IF(IFERROR(SEARCH("급여",E784),0)&gt;0,"인건비",IF(IFERROR(SEARCH("임차",E784),0)&gt;0,"임차·시설",IF(IFERROR(SEARCH("광고",E784),0)&gt;0,"광고·행사",IF(IFERROR(SEARCH("용역",E784),0)&gt;0,"용역·수수료","기타/불명"))))))</x:f>
      </x:c>
      <x:c r="J784" s="77" t="str">
        <x:f>IF(A784="","",IF(I784="기타/불명","확인 필요","결의서명으로 1차 확인"))</x:f>
      </x:c>
      <x:c r="K784" s="78"/>
    </x:row>
    <x:row r="785">
      <x:c r="A785" s="73"/>
      <x:c r="B785" s="73"/>
      <x:c r="C785" s="74"/>
      <x:c r="D785" s="73"/>
      <x:c r="E785" s="73"/>
      <x:c r="F785" s="75"/>
      <x:c r="G785" s="75"/>
      <x:c r="H785" s="76" t="str">
        <x:f>IF(A785="","",F785-G785)</x:f>
      </x:c>
      <x:c r="I785" s="77" t="str">
        <x:f>IF(A785="","",IF(E785="","기타/불명",IF(IFERROR(SEARCH("급여",E785),0)&gt;0,"인건비",IF(IFERROR(SEARCH("임차",E785),0)&gt;0,"임차·시설",IF(IFERROR(SEARCH("광고",E785),0)&gt;0,"광고·행사",IF(IFERROR(SEARCH("용역",E785),0)&gt;0,"용역·수수료","기타/불명"))))))</x:f>
      </x:c>
      <x:c r="J785" s="77" t="str">
        <x:f>IF(A785="","",IF(I785="기타/불명","확인 필요","결의서명으로 1차 확인"))</x:f>
      </x:c>
      <x:c r="K785" s="78"/>
    </x:row>
    <x:row r="786">
      <x:c r="A786" s="73"/>
      <x:c r="B786" s="73"/>
      <x:c r="C786" s="74"/>
      <x:c r="D786" s="73"/>
      <x:c r="E786" s="73"/>
      <x:c r="F786" s="75"/>
      <x:c r="G786" s="75"/>
      <x:c r="H786" s="76" t="str">
        <x:f>IF(A786="","",F786-G786)</x:f>
      </x:c>
      <x:c r="I786" s="77" t="str">
        <x:f>IF(A786="","",IF(E786="","기타/불명",IF(IFERROR(SEARCH("급여",E786),0)&gt;0,"인건비",IF(IFERROR(SEARCH("임차",E786),0)&gt;0,"임차·시설",IF(IFERROR(SEARCH("광고",E786),0)&gt;0,"광고·행사",IF(IFERROR(SEARCH("용역",E786),0)&gt;0,"용역·수수료","기타/불명"))))))</x:f>
      </x:c>
      <x:c r="J786" s="77" t="str">
        <x:f>IF(A786="","",IF(I786="기타/불명","확인 필요","결의서명으로 1차 확인"))</x:f>
      </x:c>
      <x:c r="K786" s="78"/>
    </x:row>
    <x:row r="787">
      <x:c r="A787" s="73"/>
      <x:c r="B787" s="73"/>
      <x:c r="C787" s="74"/>
      <x:c r="D787" s="73"/>
      <x:c r="E787" s="73"/>
      <x:c r="F787" s="75"/>
      <x:c r="G787" s="75"/>
      <x:c r="H787" s="76" t="str">
        <x:f>IF(A787="","",F787-G787)</x:f>
      </x:c>
      <x:c r="I787" s="77" t="str">
        <x:f>IF(A787="","",IF(E787="","기타/불명",IF(IFERROR(SEARCH("급여",E787),0)&gt;0,"인건비",IF(IFERROR(SEARCH("임차",E787),0)&gt;0,"임차·시설",IF(IFERROR(SEARCH("광고",E787),0)&gt;0,"광고·행사",IF(IFERROR(SEARCH("용역",E787),0)&gt;0,"용역·수수료","기타/불명"))))))</x:f>
      </x:c>
      <x:c r="J787" s="77" t="str">
        <x:f>IF(A787="","",IF(I787="기타/불명","확인 필요","결의서명으로 1차 확인"))</x:f>
      </x:c>
      <x:c r="K787" s="78"/>
    </x:row>
    <x:row r="788">
      <x:c r="A788" s="73"/>
      <x:c r="B788" s="73"/>
      <x:c r="C788" s="74"/>
      <x:c r="D788" s="73"/>
      <x:c r="E788" s="73"/>
      <x:c r="F788" s="75"/>
      <x:c r="G788" s="75"/>
      <x:c r="H788" s="76" t="str">
        <x:f>IF(A788="","",F788-G788)</x:f>
      </x:c>
      <x:c r="I788" s="77" t="str">
        <x:f>IF(A788="","",IF(E788="","기타/불명",IF(IFERROR(SEARCH("급여",E788),0)&gt;0,"인건비",IF(IFERROR(SEARCH("임차",E788),0)&gt;0,"임차·시설",IF(IFERROR(SEARCH("광고",E788),0)&gt;0,"광고·행사",IF(IFERROR(SEARCH("용역",E788),0)&gt;0,"용역·수수료","기타/불명"))))))</x:f>
      </x:c>
      <x:c r="J788" s="77" t="str">
        <x:f>IF(A788="","",IF(I788="기타/불명","확인 필요","결의서명으로 1차 확인"))</x:f>
      </x:c>
      <x:c r="K788" s="78"/>
    </x:row>
    <x:row r="789">
      <x:c r="A789" s="73"/>
      <x:c r="B789" s="73"/>
      <x:c r="C789" s="74"/>
      <x:c r="D789" s="73"/>
      <x:c r="E789" s="73"/>
      <x:c r="F789" s="75"/>
      <x:c r="G789" s="75"/>
      <x:c r="H789" s="76" t="str">
        <x:f>IF(A789="","",F789-G789)</x:f>
      </x:c>
      <x:c r="I789" s="77" t="str">
        <x:f>IF(A789="","",IF(E789="","기타/불명",IF(IFERROR(SEARCH("급여",E789),0)&gt;0,"인건비",IF(IFERROR(SEARCH("임차",E789),0)&gt;0,"임차·시설",IF(IFERROR(SEARCH("광고",E789),0)&gt;0,"광고·행사",IF(IFERROR(SEARCH("용역",E789),0)&gt;0,"용역·수수료","기타/불명"))))))</x:f>
      </x:c>
      <x:c r="J789" s="77" t="str">
        <x:f>IF(A789="","",IF(I789="기타/불명","확인 필요","결의서명으로 1차 확인"))</x:f>
      </x:c>
      <x:c r="K789" s="78"/>
    </x:row>
    <x:row r="790">
      <x:c r="A790" s="73"/>
      <x:c r="B790" s="73"/>
      <x:c r="C790" s="74"/>
      <x:c r="D790" s="73"/>
      <x:c r="E790" s="73"/>
      <x:c r="F790" s="75"/>
      <x:c r="G790" s="75"/>
      <x:c r="H790" s="76" t="str">
        <x:f>IF(A790="","",F790-G790)</x:f>
      </x:c>
      <x:c r="I790" s="77" t="str">
        <x:f>IF(A790="","",IF(E790="","기타/불명",IF(IFERROR(SEARCH("급여",E790),0)&gt;0,"인건비",IF(IFERROR(SEARCH("임차",E790),0)&gt;0,"임차·시설",IF(IFERROR(SEARCH("광고",E790),0)&gt;0,"광고·행사",IF(IFERROR(SEARCH("용역",E790),0)&gt;0,"용역·수수료","기타/불명"))))))</x:f>
      </x:c>
      <x:c r="J790" s="77" t="str">
        <x:f>IF(A790="","",IF(I790="기타/불명","확인 필요","결의서명으로 1차 확인"))</x:f>
      </x:c>
      <x:c r="K790" s="78"/>
    </x:row>
    <x:row r="791">
      <x:c r="A791" s="73"/>
      <x:c r="B791" s="73"/>
      <x:c r="C791" s="74"/>
      <x:c r="D791" s="73"/>
      <x:c r="E791" s="73"/>
      <x:c r="F791" s="75"/>
      <x:c r="G791" s="75"/>
      <x:c r="H791" s="76" t="str">
        <x:f>IF(A791="","",F791-G791)</x:f>
      </x:c>
      <x:c r="I791" s="77" t="str">
        <x:f>IF(A791="","",IF(E791="","기타/불명",IF(IFERROR(SEARCH("급여",E791),0)&gt;0,"인건비",IF(IFERROR(SEARCH("임차",E791),0)&gt;0,"임차·시설",IF(IFERROR(SEARCH("광고",E791),0)&gt;0,"광고·행사",IF(IFERROR(SEARCH("용역",E791),0)&gt;0,"용역·수수료","기타/불명"))))))</x:f>
      </x:c>
      <x:c r="J791" s="77" t="str">
        <x:f>IF(A791="","",IF(I791="기타/불명","확인 필요","결의서명으로 1차 확인"))</x:f>
      </x:c>
      <x:c r="K791" s="78"/>
    </x:row>
    <x:row r="792">
      <x:c r="A792" s="73"/>
      <x:c r="B792" s="73"/>
      <x:c r="C792" s="74"/>
      <x:c r="D792" s="73"/>
      <x:c r="E792" s="73"/>
      <x:c r="F792" s="75"/>
      <x:c r="G792" s="75"/>
      <x:c r="H792" s="76" t="str">
        <x:f>IF(A792="","",F792-G792)</x:f>
      </x:c>
      <x:c r="I792" s="77" t="str">
        <x:f>IF(A792="","",IF(E792="","기타/불명",IF(IFERROR(SEARCH("급여",E792),0)&gt;0,"인건비",IF(IFERROR(SEARCH("임차",E792),0)&gt;0,"임차·시설",IF(IFERROR(SEARCH("광고",E792),0)&gt;0,"광고·행사",IF(IFERROR(SEARCH("용역",E792),0)&gt;0,"용역·수수료","기타/불명"))))))</x:f>
      </x:c>
      <x:c r="J792" s="77" t="str">
        <x:f>IF(A792="","",IF(I792="기타/불명","확인 필요","결의서명으로 1차 확인"))</x:f>
      </x:c>
      <x:c r="K792" s="78"/>
    </x:row>
    <x:row r="793">
      <x:c r="A793" s="73"/>
      <x:c r="B793" s="73"/>
      <x:c r="C793" s="74"/>
      <x:c r="D793" s="73"/>
      <x:c r="E793" s="73"/>
      <x:c r="F793" s="75"/>
      <x:c r="G793" s="75"/>
      <x:c r="H793" s="76" t="str">
        <x:f>IF(A793="","",F793-G793)</x:f>
      </x:c>
      <x:c r="I793" s="77" t="str">
        <x:f>IF(A793="","",IF(E793="","기타/불명",IF(IFERROR(SEARCH("급여",E793),0)&gt;0,"인건비",IF(IFERROR(SEARCH("임차",E793),0)&gt;0,"임차·시설",IF(IFERROR(SEARCH("광고",E793),0)&gt;0,"광고·행사",IF(IFERROR(SEARCH("용역",E793),0)&gt;0,"용역·수수료","기타/불명"))))))</x:f>
      </x:c>
      <x:c r="J793" s="77" t="str">
        <x:f>IF(A793="","",IF(I793="기타/불명","확인 필요","결의서명으로 1차 확인"))</x:f>
      </x:c>
      <x:c r="K793" s="78"/>
    </x:row>
    <x:row r="794">
      <x:c r="A794" s="73"/>
      <x:c r="B794" s="73"/>
      <x:c r="C794" s="74"/>
      <x:c r="D794" s="73"/>
      <x:c r="E794" s="73"/>
      <x:c r="F794" s="75"/>
      <x:c r="G794" s="75"/>
      <x:c r="H794" s="76" t="str">
        <x:f>IF(A794="","",F794-G794)</x:f>
      </x:c>
      <x:c r="I794" s="77" t="str">
        <x:f>IF(A794="","",IF(E794="","기타/불명",IF(IFERROR(SEARCH("급여",E794),0)&gt;0,"인건비",IF(IFERROR(SEARCH("임차",E794),0)&gt;0,"임차·시설",IF(IFERROR(SEARCH("광고",E794),0)&gt;0,"광고·행사",IF(IFERROR(SEARCH("용역",E794),0)&gt;0,"용역·수수료","기타/불명"))))))</x:f>
      </x:c>
      <x:c r="J794" s="77" t="str">
        <x:f>IF(A794="","",IF(I794="기타/불명","확인 필요","결의서명으로 1차 확인"))</x:f>
      </x:c>
      <x:c r="K794" s="78"/>
    </x:row>
    <x:row r="795">
      <x:c r="A795" s="73"/>
      <x:c r="B795" s="73"/>
      <x:c r="C795" s="74"/>
      <x:c r="D795" s="73"/>
      <x:c r="E795" s="73"/>
      <x:c r="F795" s="75"/>
      <x:c r="G795" s="75"/>
      <x:c r="H795" s="76" t="str">
        <x:f>IF(A795="","",F795-G795)</x:f>
      </x:c>
      <x:c r="I795" s="77" t="str">
        <x:f>IF(A795="","",IF(E795="","기타/불명",IF(IFERROR(SEARCH("급여",E795),0)&gt;0,"인건비",IF(IFERROR(SEARCH("임차",E795),0)&gt;0,"임차·시설",IF(IFERROR(SEARCH("광고",E795),0)&gt;0,"광고·행사",IF(IFERROR(SEARCH("용역",E795),0)&gt;0,"용역·수수료","기타/불명"))))))</x:f>
      </x:c>
      <x:c r="J795" s="77" t="str">
        <x:f>IF(A795="","",IF(I795="기타/불명","확인 필요","결의서명으로 1차 확인"))</x:f>
      </x:c>
      <x:c r="K795" s="78"/>
    </x:row>
    <x:row r="796">
      <x:c r="A796" s="73"/>
      <x:c r="B796" s="73"/>
      <x:c r="C796" s="74"/>
      <x:c r="D796" s="73"/>
      <x:c r="E796" s="73"/>
      <x:c r="F796" s="75"/>
      <x:c r="G796" s="75"/>
      <x:c r="H796" s="76" t="str">
        <x:f>IF(A796="","",F796-G796)</x:f>
      </x:c>
      <x:c r="I796" s="77" t="str">
        <x:f>IF(A796="","",IF(E796="","기타/불명",IF(IFERROR(SEARCH("급여",E796),0)&gt;0,"인건비",IF(IFERROR(SEARCH("임차",E796),0)&gt;0,"임차·시설",IF(IFERROR(SEARCH("광고",E796),0)&gt;0,"광고·행사",IF(IFERROR(SEARCH("용역",E796),0)&gt;0,"용역·수수료","기타/불명"))))))</x:f>
      </x:c>
      <x:c r="J796" s="77" t="str">
        <x:f>IF(A796="","",IF(I796="기타/불명","확인 필요","결의서명으로 1차 확인"))</x:f>
      </x:c>
      <x:c r="K796" s="78"/>
    </x:row>
    <x:row r="797">
      <x:c r="A797" s="73"/>
      <x:c r="B797" s="73"/>
      <x:c r="C797" s="74"/>
      <x:c r="D797" s="73"/>
      <x:c r="E797" s="73"/>
      <x:c r="F797" s="75"/>
      <x:c r="G797" s="75"/>
      <x:c r="H797" s="76" t="str">
        <x:f>IF(A797="","",F797-G797)</x:f>
      </x:c>
      <x:c r="I797" s="77" t="str">
        <x:f>IF(A797="","",IF(E797="","기타/불명",IF(IFERROR(SEARCH("급여",E797),0)&gt;0,"인건비",IF(IFERROR(SEARCH("임차",E797),0)&gt;0,"임차·시설",IF(IFERROR(SEARCH("광고",E797),0)&gt;0,"광고·행사",IF(IFERROR(SEARCH("용역",E797),0)&gt;0,"용역·수수료","기타/불명"))))))</x:f>
      </x:c>
      <x:c r="J797" s="77" t="str">
        <x:f>IF(A797="","",IF(I797="기타/불명","확인 필요","결의서명으로 1차 확인"))</x:f>
      </x:c>
      <x:c r="K797" s="78"/>
    </x:row>
    <x:row r="798">
      <x:c r="A798" s="73"/>
      <x:c r="B798" s="73"/>
      <x:c r="C798" s="74"/>
      <x:c r="D798" s="73"/>
      <x:c r="E798" s="73"/>
      <x:c r="F798" s="75"/>
      <x:c r="G798" s="75"/>
      <x:c r="H798" s="76" t="str">
        <x:f>IF(A798="","",F798-G798)</x:f>
      </x:c>
      <x:c r="I798" s="77" t="str">
        <x:f>IF(A798="","",IF(E798="","기타/불명",IF(IFERROR(SEARCH("급여",E798),0)&gt;0,"인건비",IF(IFERROR(SEARCH("임차",E798),0)&gt;0,"임차·시설",IF(IFERROR(SEARCH("광고",E798),0)&gt;0,"광고·행사",IF(IFERROR(SEARCH("용역",E798),0)&gt;0,"용역·수수료","기타/불명"))))))</x:f>
      </x:c>
      <x:c r="J798" s="77" t="str">
        <x:f>IF(A798="","",IF(I798="기타/불명","확인 필요","결의서명으로 1차 확인"))</x:f>
      </x:c>
      <x:c r="K798" s="78"/>
    </x:row>
    <x:row r="799">
      <x:c r="A799" s="73"/>
      <x:c r="B799" s="73"/>
      <x:c r="C799" s="74"/>
      <x:c r="D799" s="73"/>
      <x:c r="E799" s="73"/>
      <x:c r="F799" s="75"/>
      <x:c r="G799" s="75"/>
      <x:c r="H799" s="76" t="str">
        <x:f>IF(A799="","",F799-G799)</x:f>
      </x:c>
      <x:c r="I799" s="77" t="str">
        <x:f>IF(A799="","",IF(E799="","기타/불명",IF(IFERROR(SEARCH("급여",E799),0)&gt;0,"인건비",IF(IFERROR(SEARCH("임차",E799),0)&gt;0,"임차·시설",IF(IFERROR(SEARCH("광고",E799),0)&gt;0,"광고·행사",IF(IFERROR(SEARCH("용역",E799),0)&gt;0,"용역·수수료","기타/불명"))))))</x:f>
      </x:c>
      <x:c r="J799" s="77" t="str">
        <x:f>IF(A799="","",IF(I799="기타/불명","확인 필요","결의서명으로 1차 확인"))</x:f>
      </x:c>
      <x:c r="K799" s="78"/>
    </x:row>
    <x:row r="800">
      <x:c r="A800" s="73"/>
      <x:c r="B800" s="73"/>
      <x:c r="C800" s="74"/>
      <x:c r="D800" s="73"/>
      <x:c r="E800" s="73"/>
      <x:c r="F800" s="75"/>
      <x:c r="G800" s="75"/>
      <x:c r="H800" s="76" t="str">
        <x:f>IF(A800="","",F800-G800)</x:f>
      </x:c>
      <x:c r="I800" s="77" t="str">
        <x:f>IF(A800="","",IF(E800="","기타/불명",IF(IFERROR(SEARCH("급여",E800),0)&gt;0,"인건비",IF(IFERROR(SEARCH("임차",E800),0)&gt;0,"임차·시설",IF(IFERROR(SEARCH("광고",E800),0)&gt;0,"광고·행사",IF(IFERROR(SEARCH("용역",E800),0)&gt;0,"용역·수수료","기타/불명"))))))</x:f>
      </x:c>
      <x:c r="J800" s="77" t="str">
        <x:f>IF(A800="","",IF(I800="기타/불명","확인 필요","결의서명으로 1차 확인"))</x:f>
      </x:c>
      <x:c r="K800" s="78"/>
    </x:row>
    <x:row r="801">
      <x:c r="A801" s="73"/>
      <x:c r="B801" s="73"/>
      <x:c r="C801" s="74"/>
      <x:c r="D801" s="73"/>
      <x:c r="E801" s="73"/>
      <x:c r="F801" s="75"/>
      <x:c r="G801" s="75"/>
      <x:c r="H801" s="76" t="str">
        <x:f>IF(A801="","",F801-G801)</x:f>
      </x:c>
      <x:c r="I801" s="77" t="str">
        <x:f>IF(A801="","",IF(E801="","기타/불명",IF(IFERROR(SEARCH("급여",E801),0)&gt;0,"인건비",IF(IFERROR(SEARCH("임차",E801),0)&gt;0,"임차·시설",IF(IFERROR(SEARCH("광고",E801),0)&gt;0,"광고·행사",IF(IFERROR(SEARCH("용역",E801),0)&gt;0,"용역·수수료","기타/불명"))))))</x:f>
      </x:c>
      <x:c r="J801" s="77" t="str">
        <x:f>IF(A801="","",IF(I801="기타/불명","확인 필요","결의서명으로 1차 확인"))</x:f>
      </x:c>
      <x:c r="K801" s="78"/>
    </x:row>
    <x:row r="802">
      <x:c r="A802" s="73"/>
      <x:c r="B802" s="73"/>
      <x:c r="C802" s="74"/>
      <x:c r="D802" s="73"/>
      <x:c r="E802" s="73"/>
      <x:c r="F802" s="75"/>
      <x:c r="G802" s="75"/>
      <x:c r="H802" s="76" t="str">
        <x:f>IF(A802="","",F802-G802)</x:f>
      </x:c>
      <x:c r="I802" s="77" t="str">
        <x:f>IF(A802="","",IF(E802="","기타/불명",IF(IFERROR(SEARCH("급여",E802),0)&gt;0,"인건비",IF(IFERROR(SEARCH("임차",E802),0)&gt;0,"임차·시설",IF(IFERROR(SEARCH("광고",E802),0)&gt;0,"광고·행사",IF(IFERROR(SEARCH("용역",E802),0)&gt;0,"용역·수수료","기타/불명"))))))</x:f>
      </x:c>
      <x:c r="J802" s="77" t="str">
        <x:f>IF(A802="","",IF(I802="기타/불명","확인 필요","결의서명으로 1차 확인"))</x:f>
      </x:c>
      <x:c r="K802" s="78"/>
    </x:row>
    <x:row r="803">
      <x:c r="A803" s="73"/>
      <x:c r="B803" s="73"/>
      <x:c r="C803" s="74"/>
      <x:c r="D803" s="73"/>
      <x:c r="E803" s="73"/>
      <x:c r="F803" s="75"/>
      <x:c r="G803" s="75"/>
      <x:c r="H803" s="76" t="str">
        <x:f>IF(A803="","",F803-G803)</x:f>
      </x:c>
      <x:c r="I803" s="77" t="str">
        <x:f>IF(A803="","",IF(E803="","기타/불명",IF(IFERROR(SEARCH("급여",E803),0)&gt;0,"인건비",IF(IFERROR(SEARCH("임차",E803),0)&gt;0,"임차·시설",IF(IFERROR(SEARCH("광고",E803),0)&gt;0,"광고·행사",IF(IFERROR(SEARCH("용역",E803),0)&gt;0,"용역·수수료","기타/불명"))))))</x:f>
      </x:c>
      <x:c r="J803" s="77" t="str">
        <x:f>IF(A803="","",IF(I803="기타/불명","확인 필요","결의서명으로 1차 확인"))</x:f>
      </x:c>
      <x:c r="K803" s="78"/>
    </x:row>
    <x:row r="804">
      <x:c r="A804" s="73"/>
      <x:c r="B804" s="73"/>
      <x:c r="C804" s="74"/>
      <x:c r="D804" s="73"/>
      <x:c r="E804" s="73"/>
      <x:c r="F804" s="75"/>
      <x:c r="G804" s="75"/>
      <x:c r="H804" s="76" t="str">
        <x:f>IF(A804="","",F804-G804)</x:f>
      </x:c>
      <x:c r="I804" s="77" t="str">
        <x:f>IF(A804="","",IF(E804="","기타/불명",IF(IFERROR(SEARCH("급여",E804),0)&gt;0,"인건비",IF(IFERROR(SEARCH("임차",E804),0)&gt;0,"임차·시설",IF(IFERROR(SEARCH("광고",E804),0)&gt;0,"광고·행사",IF(IFERROR(SEARCH("용역",E804),0)&gt;0,"용역·수수료","기타/불명"))))))</x:f>
      </x:c>
      <x:c r="J804" s="77" t="str">
        <x:f>IF(A804="","",IF(I804="기타/불명","확인 필요","결의서명으로 1차 확인"))</x:f>
      </x:c>
      <x:c r="K804" s="78"/>
    </x:row>
    <x:row r="805">
      <x:c r="A805" s="73"/>
      <x:c r="B805" s="73"/>
      <x:c r="C805" s="74"/>
      <x:c r="D805" s="73"/>
      <x:c r="E805" s="73"/>
      <x:c r="F805" s="75"/>
      <x:c r="G805" s="75"/>
      <x:c r="H805" s="76" t="str">
        <x:f>IF(A805="","",F805-G805)</x:f>
      </x:c>
      <x:c r="I805" s="77" t="str">
        <x:f>IF(A805="","",IF(E805="","기타/불명",IF(IFERROR(SEARCH("급여",E805),0)&gt;0,"인건비",IF(IFERROR(SEARCH("임차",E805),0)&gt;0,"임차·시설",IF(IFERROR(SEARCH("광고",E805),0)&gt;0,"광고·행사",IF(IFERROR(SEARCH("용역",E805),0)&gt;0,"용역·수수료","기타/불명"))))))</x:f>
      </x:c>
      <x:c r="J805" s="77" t="str">
        <x:f>IF(A805="","",IF(I805="기타/불명","확인 필요","결의서명으로 1차 확인"))</x:f>
      </x:c>
      <x:c r="K805" s="78"/>
    </x:row>
    <x:row r="806">
      <x:c r="A806" s="73"/>
      <x:c r="B806" s="73"/>
      <x:c r="C806" s="74"/>
      <x:c r="D806" s="73"/>
      <x:c r="E806" s="73"/>
      <x:c r="F806" s="75"/>
      <x:c r="G806" s="75"/>
      <x:c r="H806" s="76" t="str">
        <x:f>IF(A806="","",F806-G806)</x:f>
      </x:c>
      <x:c r="I806" s="77" t="str">
        <x:f>IF(A806="","",IF(E806="","기타/불명",IF(IFERROR(SEARCH("급여",E806),0)&gt;0,"인건비",IF(IFERROR(SEARCH("임차",E806),0)&gt;0,"임차·시설",IF(IFERROR(SEARCH("광고",E806),0)&gt;0,"광고·행사",IF(IFERROR(SEARCH("용역",E806),0)&gt;0,"용역·수수료","기타/불명"))))))</x:f>
      </x:c>
      <x:c r="J806" s="77" t="str">
        <x:f>IF(A806="","",IF(I806="기타/불명","확인 필요","결의서명으로 1차 확인"))</x:f>
      </x:c>
      <x:c r="K806" s="78"/>
    </x:row>
    <x:row r="807">
      <x:c r="A807" s="73"/>
      <x:c r="B807" s="73"/>
      <x:c r="C807" s="74"/>
      <x:c r="D807" s="73"/>
      <x:c r="E807" s="73"/>
      <x:c r="F807" s="75"/>
      <x:c r="G807" s="75"/>
      <x:c r="H807" s="76" t="str">
        <x:f>IF(A807="","",F807-G807)</x:f>
      </x:c>
      <x:c r="I807" s="77" t="str">
        <x:f>IF(A807="","",IF(E807="","기타/불명",IF(IFERROR(SEARCH("급여",E807),0)&gt;0,"인건비",IF(IFERROR(SEARCH("임차",E807),0)&gt;0,"임차·시설",IF(IFERROR(SEARCH("광고",E807),0)&gt;0,"광고·행사",IF(IFERROR(SEARCH("용역",E807),0)&gt;0,"용역·수수료","기타/불명"))))))</x:f>
      </x:c>
      <x:c r="J807" s="77" t="str">
        <x:f>IF(A807="","",IF(I807="기타/불명","확인 필요","결의서명으로 1차 확인"))</x:f>
      </x:c>
      <x:c r="K807" s="78"/>
    </x:row>
    <x:row r="808">
      <x:c r="A808" s="73"/>
      <x:c r="B808" s="73"/>
      <x:c r="C808" s="74"/>
      <x:c r="D808" s="73"/>
      <x:c r="E808" s="73"/>
      <x:c r="F808" s="75"/>
      <x:c r="G808" s="75"/>
      <x:c r="H808" s="76" t="str">
        <x:f>IF(A808="","",F808-G808)</x:f>
      </x:c>
      <x:c r="I808" s="77" t="str">
        <x:f>IF(A808="","",IF(E808="","기타/불명",IF(IFERROR(SEARCH("급여",E808),0)&gt;0,"인건비",IF(IFERROR(SEARCH("임차",E808),0)&gt;0,"임차·시설",IF(IFERROR(SEARCH("광고",E808),0)&gt;0,"광고·행사",IF(IFERROR(SEARCH("용역",E808),0)&gt;0,"용역·수수료","기타/불명"))))))</x:f>
      </x:c>
      <x:c r="J808" s="77" t="str">
        <x:f>IF(A808="","",IF(I808="기타/불명","확인 필요","결의서명으로 1차 확인"))</x:f>
      </x:c>
      <x:c r="K808" s="78"/>
    </x:row>
    <x:row r="809">
      <x:c r="A809" s="73"/>
      <x:c r="B809" s="73"/>
      <x:c r="C809" s="74"/>
      <x:c r="D809" s="73"/>
      <x:c r="E809" s="73"/>
      <x:c r="F809" s="75"/>
      <x:c r="G809" s="75"/>
      <x:c r="H809" s="76" t="str">
        <x:f>IF(A809="","",F809-G809)</x:f>
      </x:c>
      <x:c r="I809" s="77" t="str">
        <x:f>IF(A809="","",IF(E809="","기타/불명",IF(IFERROR(SEARCH("급여",E809),0)&gt;0,"인건비",IF(IFERROR(SEARCH("임차",E809),0)&gt;0,"임차·시설",IF(IFERROR(SEARCH("광고",E809),0)&gt;0,"광고·행사",IF(IFERROR(SEARCH("용역",E809),0)&gt;0,"용역·수수료","기타/불명"))))))</x:f>
      </x:c>
      <x:c r="J809" s="77" t="str">
        <x:f>IF(A809="","",IF(I809="기타/불명","확인 필요","결의서명으로 1차 확인"))</x:f>
      </x:c>
      <x:c r="K809" s="78"/>
    </x:row>
    <x:row r="810">
      <x:c r="A810" s="73"/>
      <x:c r="B810" s="73"/>
      <x:c r="C810" s="74"/>
      <x:c r="D810" s="73"/>
      <x:c r="E810" s="73"/>
      <x:c r="F810" s="75"/>
      <x:c r="G810" s="75"/>
      <x:c r="H810" s="76" t="str">
        <x:f>IF(A810="","",F810-G810)</x:f>
      </x:c>
      <x:c r="I810" s="77" t="str">
        <x:f>IF(A810="","",IF(E810="","기타/불명",IF(IFERROR(SEARCH("급여",E810),0)&gt;0,"인건비",IF(IFERROR(SEARCH("임차",E810),0)&gt;0,"임차·시설",IF(IFERROR(SEARCH("광고",E810),0)&gt;0,"광고·행사",IF(IFERROR(SEARCH("용역",E810),0)&gt;0,"용역·수수료","기타/불명"))))))</x:f>
      </x:c>
      <x:c r="J810" s="77" t="str">
        <x:f>IF(A810="","",IF(I810="기타/불명","확인 필요","결의서명으로 1차 확인"))</x:f>
      </x:c>
      <x:c r="K810" s="78"/>
    </x:row>
    <x:row r="811">
      <x:c r="A811" s="73"/>
      <x:c r="B811" s="73"/>
      <x:c r="C811" s="74"/>
      <x:c r="D811" s="73"/>
      <x:c r="E811" s="73"/>
      <x:c r="F811" s="75"/>
      <x:c r="G811" s="75"/>
      <x:c r="H811" s="76" t="str">
        <x:f>IF(A811="","",F811-G811)</x:f>
      </x:c>
      <x:c r="I811" s="77" t="str">
        <x:f>IF(A811="","",IF(E811="","기타/불명",IF(IFERROR(SEARCH("급여",E811),0)&gt;0,"인건비",IF(IFERROR(SEARCH("임차",E811),0)&gt;0,"임차·시설",IF(IFERROR(SEARCH("광고",E811),0)&gt;0,"광고·행사",IF(IFERROR(SEARCH("용역",E811),0)&gt;0,"용역·수수료","기타/불명"))))))</x:f>
      </x:c>
      <x:c r="J811" s="77" t="str">
        <x:f>IF(A811="","",IF(I811="기타/불명","확인 필요","결의서명으로 1차 확인"))</x:f>
      </x:c>
      <x:c r="K811" s="78"/>
    </x:row>
    <x:row r="812">
      <x:c r="A812" s="73"/>
      <x:c r="B812" s="73"/>
      <x:c r="C812" s="74"/>
      <x:c r="D812" s="73"/>
      <x:c r="E812" s="73"/>
      <x:c r="F812" s="75"/>
      <x:c r="G812" s="75"/>
      <x:c r="H812" s="76" t="str">
        <x:f>IF(A812="","",F812-G812)</x:f>
      </x:c>
      <x:c r="I812" s="77" t="str">
        <x:f>IF(A812="","",IF(E812="","기타/불명",IF(IFERROR(SEARCH("급여",E812),0)&gt;0,"인건비",IF(IFERROR(SEARCH("임차",E812),0)&gt;0,"임차·시설",IF(IFERROR(SEARCH("광고",E812),0)&gt;0,"광고·행사",IF(IFERROR(SEARCH("용역",E812),0)&gt;0,"용역·수수료","기타/불명"))))))</x:f>
      </x:c>
      <x:c r="J812" s="77" t="str">
        <x:f>IF(A812="","",IF(I812="기타/불명","확인 필요","결의서명으로 1차 확인"))</x:f>
      </x:c>
      <x:c r="K812" s="78"/>
    </x:row>
    <x:row r="813">
      <x:c r="A813" s="73"/>
      <x:c r="B813" s="73"/>
      <x:c r="C813" s="74"/>
      <x:c r="D813" s="73"/>
      <x:c r="E813" s="73"/>
      <x:c r="F813" s="75"/>
      <x:c r="G813" s="75"/>
      <x:c r="H813" s="76" t="str">
        <x:f>IF(A813="","",F813-G813)</x:f>
      </x:c>
      <x:c r="I813" s="77" t="str">
        <x:f>IF(A813="","",IF(E813="","기타/불명",IF(IFERROR(SEARCH("급여",E813),0)&gt;0,"인건비",IF(IFERROR(SEARCH("임차",E813),0)&gt;0,"임차·시설",IF(IFERROR(SEARCH("광고",E813),0)&gt;0,"광고·행사",IF(IFERROR(SEARCH("용역",E813),0)&gt;0,"용역·수수료","기타/불명"))))))</x:f>
      </x:c>
      <x:c r="J813" s="77" t="str">
        <x:f>IF(A813="","",IF(I813="기타/불명","확인 필요","결의서명으로 1차 확인"))</x:f>
      </x:c>
      <x:c r="K813" s="78"/>
    </x:row>
    <x:row r="814">
      <x:c r="A814" s="73"/>
      <x:c r="B814" s="73"/>
      <x:c r="C814" s="74"/>
      <x:c r="D814" s="73"/>
      <x:c r="E814" s="73"/>
      <x:c r="F814" s="75"/>
      <x:c r="G814" s="75"/>
      <x:c r="H814" s="76" t="str">
        <x:f>IF(A814="","",F814-G814)</x:f>
      </x:c>
      <x:c r="I814" s="77" t="str">
        <x:f>IF(A814="","",IF(E814="","기타/불명",IF(IFERROR(SEARCH("급여",E814),0)&gt;0,"인건비",IF(IFERROR(SEARCH("임차",E814),0)&gt;0,"임차·시설",IF(IFERROR(SEARCH("광고",E814),0)&gt;0,"광고·행사",IF(IFERROR(SEARCH("용역",E814),0)&gt;0,"용역·수수료","기타/불명"))))))</x:f>
      </x:c>
      <x:c r="J814" s="77" t="str">
        <x:f>IF(A814="","",IF(I814="기타/불명","확인 필요","결의서명으로 1차 확인"))</x:f>
      </x:c>
      <x:c r="K814" s="78"/>
    </x:row>
    <x:row r="815">
      <x:c r="A815" s="73"/>
      <x:c r="B815" s="73"/>
      <x:c r="C815" s="74"/>
      <x:c r="D815" s="73"/>
      <x:c r="E815" s="73"/>
      <x:c r="F815" s="75"/>
      <x:c r="G815" s="75"/>
      <x:c r="H815" s="76" t="str">
        <x:f>IF(A815="","",F815-G815)</x:f>
      </x:c>
      <x:c r="I815" s="77" t="str">
        <x:f>IF(A815="","",IF(E815="","기타/불명",IF(IFERROR(SEARCH("급여",E815),0)&gt;0,"인건비",IF(IFERROR(SEARCH("임차",E815),0)&gt;0,"임차·시설",IF(IFERROR(SEARCH("광고",E815),0)&gt;0,"광고·행사",IF(IFERROR(SEARCH("용역",E815),0)&gt;0,"용역·수수료","기타/불명"))))))</x:f>
      </x:c>
      <x:c r="J815" s="77" t="str">
        <x:f>IF(A815="","",IF(I815="기타/불명","확인 필요","결의서명으로 1차 확인"))</x:f>
      </x:c>
      <x:c r="K815" s="78"/>
    </x:row>
    <x:row r="816">
      <x:c r="A816" s="73"/>
      <x:c r="B816" s="73"/>
      <x:c r="C816" s="74"/>
      <x:c r="D816" s="73"/>
      <x:c r="E816" s="73"/>
      <x:c r="F816" s="75"/>
      <x:c r="G816" s="75"/>
      <x:c r="H816" s="76" t="str">
        <x:f>IF(A816="","",F816-G816)</x:f>
      </x:c>
      <x:c r="I816" s="77" t="str">
        <x:f>IF(A816="","",IF(E816="","기타/불명",IF(IFERROR(SEARCH("급여",E816),0)&gt;0,"인건비",IF(IFERROR(SEARCH("임차",E816),0)&gt;0,"임차·시설",IF(IFERROR(SEARCH("광고",E816),0)&gt;0,"광고·행사",IF(IFERROR(SEARCH("용역",E816),0)&gt;0,"용역·수수료","기타/불명"))))))</x:f>
      </x:c>
      <x:c r="J816" s="77" t="str">
        <x:f>IF(A816="","",IF(I816="기타/불명","확인 필요","결의서명으로 1차 확인"))</x:f>
      </x:c>
      <x:c r="K816" s="78"/>
    </x:row>
    <x:row r="817">
      <x:c r="A817" s="73"/>
      <x:c r="B817" s="73"/>
      <x:c r="C817" s="74"/>
      <x:c r="D817" s="73"/>
      <x:c r="E817" s="73"/>
      <x:c r="F817" s="75"/>
      <x:c r="G817" s="75"/>
      <x:c r="H817" s="76" t="str">
        <x:f>IF(A817="","",F817-G817)</x:f>
      </x:c>
      <x:c r="I817" s="77" t="str">
        <x:f>IF(A817="","",IF(E817="","기타/불명",IF(IFERROR(SEARCH("급여",E817),0)&gt;0,"인건비",IF(IFERROR(SEARCH("임차",E817),0)&gt;0,"임차·시설",IF(IFERROR(SEARCH("광고",E817),0)&gt;0,"광고·행사",IF(IFERROR(SEARCH("용역",E817),0)&gt;0,"용역·수수료","기타/불명"))))))</x:f>
      </x:c>
      <x:c r="J817" s="77" t="str">
        <x:f>IF(A817="","",IF(I817="기타/불명","확인 필요","결의서명으로 1차 확인"))</x:f>
      </x:c>
      <x:c r="K817" s="78"/>
    </x:row>
    <x:row r="818">
      <x:c r="A818" s="73"/>
      <x:c r="B818" s="73"/>
      <x:c r="C818" s="74"/>
      <x:c r="D818" s="73"/>
      <x:c r="E818" s="73"/>
      <x:c r="F818" s="75"/>
      <x:c r="G818" s="75"/>
      <x:c r="H818" s="76" t="str">
        <x:f>IF(A818="","",F818-G818)</x:f>
      </x:c>
      <x:c r="I818" s="77" t="str">
        <x:f>IF(A818="","",IF(E818="","기타/불명",IF(IFERROR(SEARCH("급여",E818),0)&gt;0,"인건비",IF(IFERROR(SEARCH("임차",E818),0)&gt;0,"임차·시설",IF(IFERROR(SEARCH("광고",E818),0)&gt;0,"광고·행사",IF(IFERROR(SEARCH("용역",E818),0)&gt;0,"용역·수수료","기타/불명"))))))</x:f>
      </x:c>
      <x:c r="J818" s="77" t="str">
        <x:f>IF(A818="","",IF(I818="기타/불명","확인 필요","결의서명으로 1차 확인"))</x:f>
      </x:c>
      <x:c r="K818" s="78"/>
    </x:row>
    <x:row r="819">
      <x:c r="A819" s="73"/>
      <x:c r="B819" s="73"/>
      <x:c r="C819" s="74"/>
      <x:c r="D819" s="73"/>
      <x:c r="E819" s="73"/>
      <x:c r="F819" s="75"/>
      <x:c r="G819" s="75"/>
      <x:c r="H819" s="76" t="str">
        <x:f>IF(A819="","",F819-G819)</x:f>
      </x:c>
      <x:c r="I819" s="77" t="str">
        <x:f>IF(A819="","",IF(E819="","기타/불명",IF(IFERROR(SEARCH("급여",E819),0)&gt;0,"인건비",IF(IFERROR(SEARCH("임차",E819),0)&gt;0,"임차·시설",IF(IFERROR(SEARCH("광고",E819),0)&gt;0,"광고·행사",IF(IFERROR(SEARCH("용역",E819),0)&gt;0,"용역·수수료","기타/불명"))))))</x:f>
      </x:c>
      <x:c r="J819" s="77" t="str">
        <x:f>IF(A819="","",IF(I819="기타/불명","확인 필요","결의서명으로 1차 확인"))</x:f>
      </x:c>
      <x:c r="K819" s="78"/>
    </x:row>
    <x:row r="820">
      <x:c r="A820" s="73"/>
      <x:c r="B820" s="73"/>
      <x:c r="C820" s="74"/>
      <x:c r="D820" s="73"/>
      <x:c r="E820" s="73"/>
      <x:c r="F820" s="75"/>
      <x:c r="G820" s="75"/>
      <x:c r="H820" s="76" t="str">
        <x:f>IF(A820="","",F820-G820)</x:f>
      </x:c>
      <x:c r="I820" s="77" t="str">
        <x:f>IF(A820="","",IF(E820="","기타/불명",IF(IFERROR(SEARCH("급여",E820),0)&gt;0,"인건비",IF(IFERROR(SEARCH("임차",E820),0)&gt;0,"임차·시설",IF(IFERROR(SEARCH("광고",E820),0)&gt;0,"광고·행사",IF(IFERROR(SEARCH("용역",E820),0)&gt;0,"용역·수수료","기타/불명"))))))</x:f>
      </x:c>
      <x:c r="J820" s="77" t="str">
        <x:f>IF(A820="","",IF(I820="기타/불명","확인 필요","결의서명으로 1차 확인"))</x:f>
      </x:c>
      <x:c r="K820" s="78"/>
    </x:row>
    <x:row r="821">
      <x:c r="A821" s="73"/>
      <x:c r="B821" s="73"/>
      <x:c r="C821" s="74"/>
      <x:c r="D821" s="73"/>
      <x:c r="E821" s="73"/>
      <x:c r="F821" s="75"/>
      <x:c r="G821" s="75"/>
      <x:c r="H821" s="76" t="str">
        <x:f>IF(A821="","",F821-G821)</x:f>
      </x:c>
      <x:c r="I821" s="77" t="str">
        <x:f>IF(A821="","",IF(E821="","기타/불명",IF(IFERROR(SEARCH("급여",E821),0)&gt;0,"인건비",IF(IFERROR(SEARCH("임차",E821),0)&gt;0,"임차·시설",IF(IFERROR(SEARCH("광고",E821),0)&gt;0,"광고·행사",IF(IFERROR(SEARCH("용역",E821),0)&gt;0,"용역·수수료","기타/불명"))))))</x:f>
      </x:c>
      <x:c r="J821" s="77" t="str">
        <x:f>IF(A821="","",IF(I821="기타/불명","확인 필요","결의서명으로 1차 확인"))</x:f>
      </x:c>
      <x:c r="K821" s="78"/>
    </x:row>
    <x:row r="822">
      <x:c r="A822" s="73"/>
      <x:c r="B822" s="73"/>
      <x:c r="C822" s="74"/>
      <x:c r="D822" s="73"/>
      <x:c r="E822" s="73"/>
      <x:c r="F822" s="75"/>
      <x:c r="G822" s="75"/>
      <x:c r="H822" s="76" t="str">
        <x:f>IF(A822="","",F822-G822)</x:f>
      </x:c>
      <x:c r="I822" s="77" t="str">
        <x:f>IF(A822="","",IF(E822="","기타/불명",IF(IFERROR(SEARCH("급여",E822),0)&gt;0,"인건비",IF(IFERROR(SEARCH("임차",E822),0)&gt;0,"임차·시설",IF(IFERROR(SEARCH("광고",E822),0)&gt;0,"광고·행사",IF(IFERROR(SEARCH("용역",E822),0)&gt;0,"용역·수수료","기타/불명"))))))</x:f>
      </x:c>
      <x:c r="J822" s="77" t="str">
        <x:f>IF(A822="","",IF(I822="기타/불명","확인 필요","결의서명으로 1차 확인"))</x:f>
      </x:c>
      <x:c r="K822" s="78"/>
    </x:row>
    <x:row r="823">
      <x:c r="A823" s="73"/>
      <x:c r="B823" s="73"/>
      <x:c r="C823" s="74"/>
      <x:c r="D823" s="73"/>
      <x:c r="E823" s="73"/>
      <x:c r="F823" s="75"/>
      <x:c r="G823" s="75"/>
      <x:c r="H823" s="76" t="str">
        <x:f>IF(A823="","",F823-G823)</x:f>
      </x:c>
      <x:c r="I823" s="77" t="str">
        <x:f>IF(A823="","",IF(E823="","기타/불명",IF(IFERROR(SEARCH("급여",E823),0)&gt;0,"인건비",IF(IFERROR(SEARCH("임차",E823),0)&gt;0,"임차·시설",IF(IFERROR(SEARCH("광고",E823),0)&gt;0,"광고·행사",IF(IFERROR(SEARCH("용역",E823),0)&gt;0,"용역·수수료","기타/불명"))))))</x:f>
      </x:c>
      <x:c r="J823" s="77" t="str">
        <x:f>IF(A823="","",IF(I823="기타/불명","확인 필요","결의서명으로 1차 확인"))</x:f>
      </x:c>
      <x:c r="K823" s="78"/>
    </x:row>
    <x:row r="824">
      <x:c r="A824" s="73"/>
      <x:c r="B824" s="73"/>
      <x:c r="C824" s="74"/>
      <x:c r="D824" s="73"/>
      <x:c r="E824" s="73"/>
      <x:c r="F824" s="75"/>
      <x:c r="G824" s="75"/>
      <x:c r="H824" s="76" t="str">
        <x:f>IF(A824="","",F824-G824)</x:f>
      </x:c>
      <x:c r="I824" s="77" t="str">
        <x:f>IF(A824="","",IF(E824="","기타/불명",IF(IFERROR(SEARCH("급여",E824),0)&gt;0,"인건비",IF(IFERROR(SEARCH("임차",E824),0)&gt;0,"임차·시설",IF(IFERROR(SEARCH("광고",E824),0)&gt;0,"광고·행사",IF(IFERROR(SEARCH("용역",E824),0)&gt;0,"용역·수수료","기타/불명"))))))</x:f>
      </x:c>
      <x:c r="J824" s="77" t="str">
        <x:f>IF(A824="","",IF(I824="기타/불명","확인 필요","결의서명으로 1차 확인"))</x:f>
      </x:c>
      <x:c r="K824" s="78"/>
    </x:row>
    <x:row r="825">
      <x:c r="A825" s="73"/>
      <x:c r="B825" s="73"/>
      <x:c r="C825" s="74"/>
      <x:c r="D825" s="73"/>
      <x:c r="E825" s="73"/>
      <x:c r="F825" s="75"/>
      <x:c r="G825" s="75"/>
      <x:c r="H825" s="76" t="str">
        <x:f>IF(A825="","",F825-G825)</x:f>
      </x:c>
      <x:c r="I825" s="77" t="str">
        <x:f>IF(A825="","",IF(E825="","기타/불명",IF(IFERROR(SEARCH("급여",E825),0)&gt;0,"인건비",IF(IFERROR(SEARCH("임차",E825),0)&gt;0,"임차·시설",IF(IFERROR(SEARCH("광고",E825),0)&gt;0,"광고·행사",IF(IFERROR(SEARCH("용역",E825),0)&gt;0,"용역·수수료","기타/불명"))))))</x:f>
      </x:c>
      <x:c r="J825" s="77" t="str">
        <x:f>IF(A825="","",IF(I825="기타/불명","확인 필요","결의서명으로 1차 확인"))</x:f>
      </x:c>
      <x:c r="K825" s="78"/>
    </x:row>
    <x:row r="826">
      <x:c r="A826" s="73"/>
      <x:c r="B826" s="73"/>
      <x:c r="C826" s="74"/>
      <x:c r="D826" s="73"/>
      <x:c r="E826" s="73"/>
      <x:c r="F826" s="75"/>
      <x:c r="G826" s="75"/>
      <x:c r="H826" s="76" t="str">
        <x:f>IF(A826="","",F826-G826)</x:f>
      </x:c>
      <x:c r="I826" s="77" t="str">
        <x:f>IF(A826="","",IF(E826="","기타/불명",IF(IFERROR(SEARCH("급여",E826),0)&gt;0,"인건비",IF(IFERROR(SEARCH("임차",E826),0)&gt;0,"임차·시설",IF(IFERROR(SEARCH("광고",E826),0)&gt;0,"광고·행사",IF(IFERROR(SEARCH("용역",E826),0)&gt;0,"용역·수수료","기타/불명"))))))</x:f>
      </x:c>
      <x:c r="J826" s="77" t="str">
        <x:f>IF(A826="","",IF(I826="기타/불명","확인 필요","결의서명으로 1차 확인"))</x:f>
      </x:c>
      <x:c r="K826" s="78"/>
    </x:row>
    <x:row r="827">
      <x:c r="A827" s="73"/>
      <x:c r="B827" s="73"/>
      <x:c r="C827" s="74"/>
      <x:c r="D827" s="73"/>
      <x:c r="E827" s="73"/>
      <x:c r="F827" s="75"/>
      <x:c r="G827" s="75"/>
      <x:c r="H827" s="76" t="str">
        <x:f>IF(A827="","",F827-G827)</x:f>
      </x:c>
      <x:c r="I827" s="77" t="str">
        <x:f>IF(A827="","",IF(E827="","기타/불명",IF(IFERROR(SEARCH("급여",E827),0)&gt;0,"인건비",IF(IFERROR(SEARCH("임차",E827),0)&gt;0,"임차·시설",IF(IFERROR(SEARCH("광고",E827),0)&gt;0,"광고·행사",IF(IFERROR(SEARCH("용역",E827),0)&gt;0,"용역·수수료","기타/불명"))))))</x:f>
      </x:c>
      <x:c r="J827" s="77" t="str">
        <x:f>IF(A827="","",IF(I827="기타/불명","확인 필요","결의서명으로 1차 확인"))</x:f>
      </x:c>
      <x:c r="K827" s="78"/>
    </x:row>
    <x:row r="828">
      <x:c r="A828" s="73"/>
      <x:c r="B828" s="73"/>
      <x:c r="C828" s="74"/>
      <x:c r="D828" s="73"/>
      <x:c r="E828" s="73"/>
      <x:c r="F828" s="75"/>
      <x:c r="G828" s="75"/>
      <x:c r="H828" s="76" t="str">
        <x:f>IF(A828="","",F828-G828)</x:f>
      </x:c>
      <x:c r="I828" s="77" t="str">
        <x:f>IF(A828="","",IF(E828="","기타/불명",IF(IFERROR(SEARCH("급여",E828),0)&gt;0,"인건비",IF(IFERROR(SEARCH("임차",E828),0)&gt;0,"임차·시설",IF(IFERROR(SEARCH("광고",E828),0)&gt;0,"광고·행사",IF(IFERROR(SEARCH("용역",E828),0)&gt;0,"용역·수수료","기타/불명"))))))</x:f>
      </x:c>
      <x:c r="J828" s="77" t="str">
        <x:f>IF(A828="","",IF(I828="기타/불명","확인 필요","결의서명으로 1차 확인"))</x:f>
      </x:c>
      <x:c r="K828" s="78"/>
    </x:row>
    <x:row r="829">
      <x:c r="A829" s="73"/>
      <x:c r="B829" s="73"/>
      <x:c r="C829" s="74"/>
      <x:c r="D829" s="73"/>
      <x:c r="E829" s="73"/>
      <x:c r="F829" s="75"/>
      <x:c r="G829" s="75"/>
      <x:c r="H829" s="76" t="str">
        <x:f>IF(A829="","",F829-G829)</x:f>
      </x:c>
      <x:c r="I829" s="77" t="str">
        <x:f>IF(A829="","",IF(E829="","기타/불명",IF(IFERROR(SEARCH("급여",E829),0)&gt;0,"인건비",IF(IFERROR(SEARCH("임차",E829),0)&gt;0,"임차·시설",IF(IFERROR(SEARCH("광고",E829),0)&gt;0,"광고·행사",IF(IFERROR(SEARCH("용역",E829),0)&gt;0,"용역·수수료","기타/불명"))))))</x:f>
      </x:c>
      <x:c r="J829" s="77" t="str">
        <x:f>IF(A829="","",IF(I829="기타/불명","확인 필요","결의서명으로 1차 확인"))</x:f>
      </x:c>
      <x:c r="K829" s="78"/>
    </x:row>
    <x:row r="830">
      <x:c r="A830" s="73"/>
      <x:c r="B830" s="73"/>
      <x:c r="C830" s="74"/>
      <x:c r="D830" s="73"/>
      <x:c r="E830" s="73"/>
      <x:c r="F830" s="75"/>
      <x:c r="G830" s="75"/>
      <x:c r="H830" s="76" t="str">
        <x:f>IF(A830="","",F830-G830)</x:f>
      </x:c>
      <x:c r="I830" s="77" t="str">
        <x:f>IF(A830="","",IF(E830="","기타/불명",IF(IFERROR(SEARCH("급여",E830),0)&gt;0,"인건비",IF(IFERROR(SEARCH("임차",E830),0)&gt;0,"임차·시설",IF(IFERROR(SEARCH("광고",E830),0)&gt;0,"광고·행사",IF(IFERROR(SEARCH("용역",E830),0)&gt;0,"용역·수수료","기타/불명"))))))</x:f>
      </x:c>
      <x:c r="J830" s="77" t="str">
        <x:f>IF(A830="","",IF(I830="기타/불명","확인 필요","결의서명으로 1차 확인"))</x:f>
      </x:c>
      <x:c r="K830" s="78"/>
    </x:row>
    <x:row r="831">
      <x:c r="A831" s="73"/>
      <x:c r="B831" s="73"/>
      <x:c r="C831" s="74"/>
      <x:c r="D831" s="73"/>
      <x:c r="E831" s="73"/>
      <x:c r="F831" s="75"/>
      <x:c r="G831" s="75"/>
      <x:c r="H831" s="76" t="str">
        <x:f>IF(A831="","",F831-G831)</x:f>
      </x:c>
      <x:c r="I831" s="77" t="str">
        <x:f>IF(A831="","",IF(E831="","기타/불명",IF(IFERROR(SEARCH("급여",E831),0)&gt;0,"인건비",IF(IFERROR(SEARCH("임차",E831),0)&gt;0,"임차·시설",IF(IFERROR(SEARCH("광고",E831),0)&gt;0,"광고·행사",IF(IFERROR(SEARCH("용역",E831),0)&gt;0,"용역·수수료","기타/불명"))))))</x:f>
      </x:c>
      <x:c r="J831" s="77" t="str">
        <x:f>IF(A831="","",IF(I831="기타/불명","확인 필요","결의서명으로 1차 확인"))</x:f>
      </x:c>
      <x:c r="K831" s="78"/>
    </x:row>
    <x:row r="832">
      <x:c r="A832" s="73"/>
      <x:c r="B832" s="73"/>
      <x:c r="C832" s="74"/>
      <x:c r="D832" s="73"/>
      <x:c r="E832" s="73"/>
      <x:c r="F832" s="75"/>
      <x:c r="G832" s="75"/>
      <x:c r="H832" s="76" t="str">
        <x:f>IF(A832="","",F832-G832)</x:f>
      </x:c>
      <x:c r="I832" s="77" t="str">
        <x:f>IF(A832="","",IF(E832="","기타/불명",IF(IFERROR(SEARCH("급여",E832),0)&gt;0,"인건비",IF(IFERROR(SEARCH("임차",E832),0)&gt;0,"임차·시설",IF(IFERROR(SEARCH("광고",E832),0)&gt;0,"광고·행사",IF(IFERROR(SEARCH("용역",E832),0)&gt;0,"용역·수수료","기타/불명"))))))</x:f>
      </x:c>
      <x:c r="J832" s="77" t="str">
        <x:f>IF(A832="","",IF(I832="기타/불명","확인 필요","결의서명으로 1차 확인"))</x:f>
      </x:c>
      <x:c r="K832" s="78"/>
    </x:row>
    <x:row r="833">
      <x:c r="A833" s="73"/>
      <x:c r="B833" s="73"/>
      <x:c r="C833" s="74"/>
      <x:c r="D833" s="73"/>
      <x:c r="E833" s="73"/>
      <x:c r="F833" s="75"/>
      <x:c r="G833" s="75"/>
      <x:c r="H833" s="76" t="str">
        <x:f>IF(A833="","",F833-G833)</x:f>
      </x:c>
      <x:c r="I833" s="77" t="str">
        <x:f>IF(A833="","",IF(E833="","기타/불명",IF(IFERROR(SEARCH("급여",E833),0)&gt;0,"인건비",IF(IFERROR(SEARCH("임차",E833),0)&gt;0,"임차·시설",IF(IFERROR(SEARCH("광고",E833),0)&gt;0,"광고·행사",IF(IFERROR(SEARCH("용역",E833),0)&gt;0,"용역·수수료","기타/불명"))))))</x:f>
      </x:c>
      <x:c r="J833" s="77" t="str">
        <x:f>IF(A833="","",IF(I833="기타/불명","확인 필요","결의서명으로 1차 확인"))</x:f>
      </x:c>
      <x:c r="K833" s="78"/>
    </x:row>
    <x:row r="834">
      <x:c r="A834" s="73"/>
      <x:c r="B834" s="73"/>
      <x:c r="C834" s="74"/>
      <x:c r="D834" s="73"/>
      <x:c r="E834" s="73"/>
      <x:c r="F834" s="75"/>
      <x:c r="G834" s="75"/>
      <x:c r="H834" s="76" t="str">
        <x:f>IF(A834="","",F834-G834)</x:f>
      </x:c>
      <x:c r="I834" s="77" t="str">
        <x:f>IF(A834="","",IF(E834="","기타/불명",IF(IFERROR(SEARCH("급여",E834),0)&gt;0,"인건비",IF(IFERROR(SEARCH("임차",E834),0)&gt;0,"임차·시설",IF(IFERROR(SEARCH("광고",E834),0)&gt;0,"광고·행사",IF(IFERROR(SEARCH("용역",E834),0)&gt;0,"용역·수수료","기타/불명"))))))</x:f>
      </x:c>
      <x:c r="J834" s="77" t="str">
        <x:f>IF(A834="","",IF(I834="기타/불명","확인 필요","결의서명으로 1차 확인"))</x:f>
      </x:c>
      <x:c r="K834" s="78"/>
    </x:row>
    <x:row r="835">
      <x:c r="A835" s="73"/>
      <x:c r="B835" s="73"/>
      <x:c r="C835" s="74"/>
      <x:c r="D835" s="73"/>
      <x:c r="E835" s="73"/>
      <x:c r="F835" s="75"/>
      <x:c r="G835" s="75"/>
      <x:c r="H835" s="76" t="str">
        <x:f>IF(A835="","",F835-G835)</x:f>
      </x:c>
      <x:c r="I835" s="77" t="str">
        <x:f>IF(A835="","",IF(E835="","기타/불명",IF(IFERROR(SEARCH("급여",E835),0)&gt;0,"인건비",IF(IFERROR(SEARCH("임차",E835),0)&gt;0,"임차·시설",IF(IFERROR(SEARCH("광고",E835),0)&gt;0,"광고·행사",IF(IFERROR(SEARCH("용역",E835),0)&gt;0,"용역·수수료","기타/불명"))))))</x:f>
      </x:c>
      <x:c r="J835" s="77" t="str">
        <x:f>IF(A835="","",IF(I835="기타/불명","확인 필요","결의서명으로 1차 확인"))</x:f>
      </x:c>
      <x:c r="K835" s="78"/>
    </x:row>
    <x:row r="836">
      <x:c r="A836" s="73"/>
      <x:c r="B836" s="73"/>
      <x:c r="C836" s="74"/>
      <x:c r="D836" s="73"/>
      <x:c r="E836" s="73"/>
      <x:c r="F836" s="75"/>
      <x:c r="G836" s="75"/>
      <x:c r="H836" s="76" t="str">
        <x:f>IF(A836="","",F836-G836)</x:f>
      </x:c>
      <x:c r="I836" s="77" t="str">
        <x:f>IF(A836="","",IF(E836="","기타/불명",IF(IFERROR(SEARCH("급여",E836),0)&gt;0,"인건비",IF(IFERROR(SEARCH("임차",E836),0)&gt;0,"임차·시설",IF(IFERROR(SEARCH("광고",E836),0)&gt;0,"광고·행사",IF(IFERROR(SEARCH("용역",E836),0)&gt;0,"용역·수수료","기타/불명"))))))</x:f>
      </x:c>
      <x:c r="J836" s="77" t="str">
        <x:f>IF(A836="","",IF(I836="기타/불명","확인 필요","결의서명으로 1차 확인"))</x:f>
      </x:c>
      <x:c r="K836" s="78"/>
    </x:row>
    <x:row r="837">
      <x:c r="A837" s="73"/>
      <x:c r="B837" s="73"/>
      <x:c r="C837" s="74"/>
      <x:c r="D837" s="73"/>
      <x:c r="E837" s="73"/>
      <x:c r="F837" s="75"/>
      <x:c r="G837" s="75"/>
      <x:c r="H837" s="76" t="str">
        <x:f>IF(A837="","",F837-G837)</x:f>
      </x:c>
      <x:c r="I837" s="77" t="str">
        <x:f>IF(A837="","",IF(E837="","기타/불명",IF(IFERROR(SEARCH("급여",E837),0)&gt;0,"인건비",IF(IFERROR(SEARCH("임차",E837),0)&gt;0,"임차·시설",IF(IFERROR(SEARCH("광고",E837),0)&gt;0,"광고·행사",IF(IFERROR(SEARCH("용역",E837),0)&gt;0,"용역·수수료","기타/불명"))))))</x:f>
      </x:c>
      <x:c r="J837" s="77" t="str">
        <x:f>IF(A837="","",IF(I837="기타/불명","확인 필요","결의서명으로 1차 확인"))</x:f>
      </x:c>
      <x:c r="K837" s="78"/>
    </x:row>
    <x:row r="838">
      <x:c r="A838" s="73"/>
      <x:c r="B838" s="73"/>
      <x:c r="C838" s="74"/>
      <x:c r="D838" s="73"/>
      <x:c r="E838" s="73"/>
      <x:c r="F838" s="75"/>
      <x:c r="G838" s="75"/>
      <x:c r="H838" s="76" t="str">
        <x:f>IF(A838="","",F838-G838)</x:f>
      </x:c>
      <x:c r="I838" s="77" t="str">
        <x:f>IF(A838="","",IF(E838="","기타/불명",IF(IFERROR(SEARCH("급여",E838),0)&gt;0,"인건비",IF(IFERROR(SEARCH("임차",E838),0)&gt;0,"임차·시설",IF(IFERROR(SEARCH("광고",E838),0)&gt;0,"광고·행사",IF(IFERROR(SEARCH("용역",E838),0)&gt;0,"용역·수수료","기타/불명"))))))</x:f>
      </x:c>
      <x:c r="J838" s="77" t="str">
        <x:f>IF(A838="","",IF(I838="기타/불명","확인 필요","결의서명으로 1차 확인"))</x:f>
      </x:c>
      <x:c r="K838" s="78"/>
    </x:row>
    <x:row r="839">
      <x:c r="A839" s="73"/>
      <x:c r="B839" s="73"/>
      <x:c r="C839" s="74"/>
      <x:c r="D839" s="73"/>
      <x:c r="E839" s="73"/>
      <x:c r="F839" s="75"/>
      <x:c r="G839" s="75"/>
      <x:c r="H839" s="76" t="str">
        <x:f>IF(A839="","",F839-G839)</x:f>
      </x:c>
      <x:c r="I839" s="77" t="str">
        <x:f>IF(A839="","",IF(E839="","기타/불명",IF(IFERROR(SEARCH("급여",E839),0)&gt;0,"인건비",IF(IFERROR(SEARCH("임차",E839),0)&gt;0,"임차·시설",IF(IFERROR(SEARCH("광고",E839),0)&gt;0,"광고·행사",IF(IFERROR(SEARCH("용역",E839),0)&gt;0,"용역·수수료","기타/불명"))))))</x:f>
      </x:c>
      <x:c r="J839" s="77" t="str">
        <x:f>IF(A839="","",IF(I839="기타/불명","확인 필요","결의서명으로 1차 확인"))</x:f>
      </x:c>
      <x:c r="K839" s="78"/>
    </x:row>
    <x:row r="840">
      <x:c r="A840" s="73"/>
      <x:c r="B840" s="73"/>
      <x:c r="C840" s="74"/>
      <x:c r="D840" s="73"/>
      <x:c r="E840" s="73"/>
      <x:c r="F840" s="75"/>
      <x:c r="G840" s="75"/>
      <x:c r="H840" s="76" t="str">
        <x:f>IF(A840="","",F840-G840)</x:f>
      </x:c>
      <x:c r="I840" s="77" t="str">
        <x:f>IF(A840="","",IF(E840="","기타/불명",IF(IFERROR(SEARCH("급여",E840),0)&gt;0,"인건비",IF(IFERROR(SEARCH("임차",E840),0)&gt;0,"임차·시설",IF(IFERROR(SEARCH("광고",E840),0)&gt;0,"광고·행사",IF(IFERROR(SEARCH("용역",E840),0)&gt;0,"용역·수수료","기타/불명"))))))</x:f>
      </x:c>
      <x:c r="J840" s="77" t="str">
        <x:f>IF(A840="","",IF(I840="기타/불명","확인 필요","결의서명으로 1차 확인"))</x:f>
      </x:c>
      <x:c r="K840" s="78"/>
    </x:row>
    <x:row r="841">
      <x:c r="A841" s="73"/>
      <x:c r="B841" s="73"/>
      <x:c r="C841" s="74"/>
      <x:c r="D841" s="73"/>
      <x:c r="E841" s="73"/>
      <x:c r="F841" s="75"/>
      <x:c r="G841" s="75"/>
      <x:c r="H841" s="76" t="str">
        <x:f>IF(A841="","",F841-G841)</x:f>
      </x:c>
      <x:c r="I841" s="77" t="str">
        <x:f>IF(A841="","",IF(E841="","기타/불명",IF(IFERROR(SEARCH("급여",E841),0)&gt;0,"인건비",IF(IFERROR(SEARCH("임차",E841),0)&gt;0,"임차·시설",IF(IFERROR(SEARCH("광고",E841),0)&gt;0,"광고·행사",IF(IFERROR(SEARCH("용역",E841),0)&gt;0,"용역·수수료","기타/불명"))))))</x:f>
      </x:c>
      <x:c r="J841" s="77" t="str">
        <x:f>IF(A841="","",IF(I841="기타/불명","확인 필요","결의서명으로 1차 확인"))</x:f>
      </x:c>
      <x:c r="K841" s="78"/>
    </x:row>
    <x:row r="842">
      <x:c r="A842" s="73"/>
      <x:c r="B842" s="73"/>
      <x:c r="C842" s="74"/>
      <x:c r="D842" s="73"/>
      <x:c r="E842" s="73"/>
      <x:c r="F842" s="75"/>
      <x:c r="G842" s="75"/>
      <x:c r="H842" s="76" t="str">
        <x:f>IF(A842="","",F842-G842)</x:f>
      </x:c>
      <x:c r="I842" s="77" t="str">
        <x:f>IF(A842="","",IF(E842="","기타/불명",IF(IFERROR(SEARCH("급여",E842),0)&gt;0,"인건비",IF(IFERROR(SEARCH("임차",E842),0)&gt;0,"임차·시설",IF(IFERROR(SEARCH("광고",E842),0)&gt;0,"광고·행사",IF(IFERROR(SEARCH("용역",E842),0)&gt;0,"용역·수수료","기타/불명"))))))</x:f>
      </x:c>
      <x:c r="J842" s="77" t="str">
        <x:f>IF(A842="","",IF(I842="기타/불명","확인 필요","결의서명으로 1차 확인"))</x:f>
      </x:c>
      <x:c r="K842" s="78"/>
    </x:row>
    <x:row r="843">
      <x:c r="A843" s="73"/>
      <x:c r="B843" s="73"/>
      <x:c r="C843" s="74"/>
      <x:c r="D843" s="73"/>
      <x:c r="E843" s="73"/>
      <x:c r="F843" s="75"/>
      <x:c r="G843" s="75"/>
      <x:c r="H843" s="76" t="str">
        <x:f>IF(A843="","",F843-G843)</x:f>
      </x:c>
      <x:c r="I843" s="77" t="str">
        <x:f>IF(A843="","",IF(E843="","기타/불명",IF(IFERROR(SEARCH("급여",E843),0)&gt;0,"인건비",IF(IFERROR(SEARCH("임차",E843),0)&gt;0,"임차·시설",IF(IFERROR(SEARCH("광고",E843),0)&gt;0,"광고·행사",IF(IFERROR(SEARCH("용역",E843),0)&gt;0,"용역·수수료","기타/불명"))))))</x:f>
      </x:c>
      <x:c r="J843" s="77" t="str">
        <x:f>IF(A843="","",IF(I843="기타/불명","확인 필요","결의서명으로 1차 확인"))</x:f>
      </x:c>
      <x:c r="K843" s="78"/>
    </x:row>
    <x:row r="844">
      <x:c r="A844" s="73"/>
      <x:c r="B844" s="73"/>
      <x:c r="C844" s="74"/>
      <x:c r="D844" s="73"/>
      <x:c r="E844" s="73"/>
      <x:c r="F844" s="75"/>
      <x:c r="G844" s="75"/>
      <x:c r="H844" s="76" t="str">
        <x:f>IF(A844="","",F844-G844)</x:f>
      </x:c>
      <x:c r="I844" s="77" t="str">
        <x:f>IF(A844="","",IF(E844="","기타/불명",IF(IFERROR(SEARCH("급여",E844),0)&gt;0,"인건비",IF(IFERROR(SEARCH("임차",E844),0)&gt;0,"임차·시설",IF(IFERROR(SEARCH("광고",E844),0)&gt;0,"광고·행사",IF(IFERROR(SEARCH("용역",E844),0)&gt;0,"용역·수수료","기타/불명"))))))</x:f>
      </x:c>
      <x:c r="J844" s="77" t="str">
        <x:f>IF(A844="","",IF(I844="기타/불명","확인 필요","결의서명으로 1차 확인"))</x:f>
      </x:c>
      <x:c r="K844" s="78"/>
    </x:row>
    <x:row r="845">
      <x:c r="A845" s="73"/>
      <x:c r="B845" s="73"/>
      <x:c r="C845" s="74"/>
      <x:c r="D845" s="73"/>
      <x:c r="E845" s="73"/>
      <x:c r="F845" s="75"/>
      <x:c r="G845" s="75"/>
      <x:c r="H845" s="76" t="str">
        <x:f>IF(A845="","",F845-G845)</x:f>
      </x:c>
      <x:c r="I845" s="77" t="str">
        <x:f>IF(A845="","",IF(E845="","기타/불명",IF(IFERROR(SEARCH("급여",E845),0)&gt;0,"인건비",IF(IFERROR(SEARCH("임차",E845),0)&gt;0,"임차·시설",IF(IFERROR(SEARCH("광고",E845),0)&gt;0,"광고·행사",IF(IFERROR(SEARCH("용역",E845),0)&gt;0,"용역·수수료","기타/불명"))))))</x:f>
      </x:c>
      <x:c r="J845" s="77" t="str">
        <x:f>IF(A845="","",IF(I845="기타/불명","확인 필요","결의서명으로 1차 확인"))</x:f>
      </x:c>
      <x:c r="K845" s="78"/>
    </x:row>
    <x:row r="846">
      <x:c r="A846" s="73"/>
      <x:c r="B846" s="73"/>
      <x:c r="C846" s="74"/>
      <x:c r="D846" s="73"/>
      <x:c r="E846" s="73"/>
      <x:c r="F846" s="75"/>
      <x:c r="G846" s="75"/>
      <x:c r="H846" s="76" t="str">
        <x:f>IF(A846="","",F846-G846)</x:f>
      </x:c>
      <x:c r="I846" s="77" t="str">
        <x:f>IF(A846="","",IF(E846="","기타/불명",IF(IFERROR(SEARCH("급여",E846),0)&gt;0,"인건비",IF(IFERROR(SEARCH("임차",E846),0)&gt;0,"임차·시설",IF(IFERROR(SEARCH("광고",E846),0)&gt;0,"광고·행사",IF(IFERROR(SEARCH("용역",E846),0)&gt;0,"용역·수수료","기타/불명"))))))</x:f>
      </x:c>
      <x:c r="J846" s="77" t="str">
        <x:f>IF(A846="","",IF(I846="기타/불명","확인 필요","결의서명으로 1차 확인"))</x:f>
      </x:c>
      <x:c r="K846" s="78"/>
    </x:row>
    <x:row r="847">
      <x:c r="A847" s="73"/>
      <x:c r="B847" s="73"/>
      <x:c r="C847" s="74"/>
      <x:c r="D847" s="73"/>
      <x:c r="E847" s="73"/>
      <x:c r="F847" s="75"/>
      <x:c r="G847" s="75"/>
      <x:c r="H847" s="76" t="str">
        <x:f>IF(A847="","",F847-G847)</x:f>
      </x:c>
      <x:c r="I847" s="77" t="str">
        <x:f>IF(A847="","",IF(E847="","기타/불명",IF(IFERROR(SEARCH("급여",E847),0)&gt;0,"인건비",IF(IFERROR(SEARCH("임차",E847),0)&gt;0,"임차·시설",IF(IFERROR(SEARCH("광고",E847),0)&gt;0,"광고·행사",IF(IFERROR(SEARCH("용역",E847),0)&gt;0,"용역·수수료","기타/불명"))))))</x:f>
      </x:c>
      <x:c r="J847" s="77" t="str">
        <x:f>IF(A847="","",IF(I847="기타/불명","확인 필요","결의서명으로 1차 확인"))</x:f>
      </x:c>
      <x:c r="K847" s="78"/>
    </x:row>
    <x:row r="848">
      <x:c r="A848" s="73"/>
      <x:c r="B848" s="73"/>
      <x:c r="C848" s="74"/>
      <x:c r="D848" s="73"/>
      <x:c r="E848" s="73"/>
      <x:c r="F848" s="75"/>
      <x:c r="G848" s="75"/>
      <x:c r="H848" s="76" t="str">
        <x:f>IF(A848="","",F848-G848)</x:f>
      </x:c>
      <x:c r="I848" s="77" t="str">
        <x:f>IF(A848="","",IF(E848="","기타/불명",IF(IFERROR(SEARCH("급여",E848),0)&gt;0,"인건비",IF(IFERROR(SEARCH("임차",E848),0)&gt;0,"임차·시설",IF(IFERROR(SEARCH("광고",E848),0)&gt;0,"광고·행사",IF(IFERROR(SEARCH("용역",E848),0)&gt;0,"용역·수수료","기타/불명"))))))</x:f>
      </x:c>
      <x:c r="J848" s="77" t="str">
        <x:f>IF(A848="","",IF(I848="기타/불명","확인 필요","결의서명으로 1차 확인"))</x:f>
      </x:c>
      <x:c r="K848" s="78"/>
    </x:row>
    <x:row r="849">
      <x:c r="A849" s="73"/>
      <x:c r="B849" s="73"/>
      <x:c r="C849" s="74"/>
      <x:c r="D849" s="73"/>
      <x:c r="E849" s="73"/>
      <x:c r="F849" s="75"/>
      <x:c r="G849" s="75"/>
      <x:c r="H849" s="76" t="str">
        <x:f>IF(A849="","",F849-G849)</x:f>
      </x:c>
      <x:c r="I849" s="77" t="str">
        <x:f>IF(A849="","",IF(E849="","기타/불명",IF(IFERROR(SEARCH("급여",E849),0)&gt;0,"인건비",IF(IFERROR(SEARCH("임차",E849),0)&gt;0,"임차·시설",IF(IFERROR(SEARCH("광고",E849),0)&gt;0,"광고·행사",IF(IFERROR(SEARCH("용역",E849),0)&gt;0,"용역·수수료","기타/불명"))))))</x:f>
      </x:c>
      <x:c r="J849" s="77" t="str">
        <x:f>IF(A849="","",IF(I849="기타/불명","확인 필요","결의서명으로 1차 확인"))</x:f>
      </x:c>
      <x:c r="K849" s="78"/>
    </x:row>
    <x:row r="850">
      <x:c r="A850" s="73"/>
      <x:c r="B850" s="73"/>
      <x:c r="C850" s="74"/>
      <x:c r="D850" s="73"/>
      <x:c r="E850" s="73"/>
      <x:c r="F850" s="75"/>
      <x:c r="G850" s="75"/>
      <x:c r="H850" s="76" t="str">
        <x:f>IF(A850="","",F850-G850)</x:f>
      </x:c>
      <x:c r="I850" s="77" t="str">
        <x:f>IF(A850="","",IF(E850="","기타/불명",IF(IFERROR(SEARCH("급여",E850),0)&gt;0,"인건비",IF(IFERROR(SEARCH("임차",E850),0)&gt;0,"임차·시설",IF(IFERROR(SEARCH("광고",E850),0)&gt;0,"광고·행사",IF(IFERROR(SEARCH("용역",E850),0)&gt;0,"용역·수수료","기타/불명"))))))</x:f>
      </x:c>
      <x:c r="J850" s="77" t="str">
        <x:f>IF(A850="","",IF(I850="기타/불명","확인 필요","결의서명으로 1차 확인"))</x:f>
      </x:c>
      <x:c r="K850" s="78"/>
    </x:row>
    <x:row r="851">
      <x:c r="A851" s="73"/>
      <x:c r="B851" s="73"/>
      <x:c r="C851" s="74"/>
      <x:c r="D851" s="73"/>
      <x:c r="E851" s="73"/>
      <x:c r="F851" s="75"/>
      <x:c r="G851" s="75"/>
      <x:c r="H851" s="76" t="str">
        <x:f>IF(A851="","",F851-G851)</x:f>
      </x:c>
      <x:c r="I851" s="77" t="str">
        <x:f>IF(A851="","",IF(E851="","기타/불명",IF(IFERROR(SEARCH("급여",E851),0)&gt;0,"인건비",IF(IFERROR(SEARCH("임차",E851),0)&gt;0,"임차·시설",IF(IFERROR(SEARCH("광고",E851),0)&gt;0,"광고·행사",IF(IFERROR(SEARCH("용역",E851),0)&gt;0,"용역·수수료","기타/불명"))))))</x:f>
      </x:c>
      <x:c r="J851" s="77" t="str">
        <x:f>IF(A851="","",IF(I851="기타/불명","확인 필요","결의서명으로 1차 확인"))</x:f>
      </x:c>
      <x:c r="K851" s="78"/>
    </x:row>
    <x:row r="852">
      <x:c r="A852" s="73"/>
      <x:c r="B852" s="73"/>
      <x:c r="C852" s="74"/>
      <x:c r="D852" s="73"/>
      <x:c r="E852" s="73"/>
      <x:c r="F852" s="75"/>
      <x:c r="G852" s="75"/>
      <x:c r="H852" s="76" t="str">
        <x:f>IF(A852="","",F852-G852)</x:f>
      </x:c>
      <x:c r="I852" s="77" t="str">
        <x:f>IF(A852="","",IF(E852="","기타/불명",IF(IFERROR(SEARCH("급여",E852),0)&gt;0,"인건비",IF(IFERROR(SEARCH("임차",E852),0)&gt;0,"임차·시설",IF(IFERROR(SEARCH("광고",E852),0)&gt;0,"광고·행사",IF(IFERROR(SEARCH("용역",E852),0)&gt;0,"용역·수수료","기타/불명"))))))</x:f>
      </x:c>
      <x:c r="J852" s="77" t="str">
        <x:f>IF(A852="","",IF(I852="기타/불명","확인 필요","결의서명으로 1차 확인"))</x:f>
      </x:c>
      <x:c r="K852" s="78"/>
    </x:row>
    <x:row r="853">
      <x:c r="A853" s="73"/>
      <x:c r="B853" s="73"/>
      <x:c r="C853" s="74"/>
      <x:c r="D853" s="73"/>
      <x:c r="E853" s="73"/>
      <x:c r="F853" s="75"/>
      <x:c r="G853" s="75"/>
      <x:c r="H853" s="76" t="str">
        <x:f>IF(A853="","",F853-G853)</x:f>
      </x:c>
      <x:c r="I853" s="77" t="str">
        <x:f>IF(A853="","",IF(E853="","기타/불명",IF(IFERROR(SEARCH("급여",E853),0)&gt;0,"인건비",IF(IFERROR(SEARCH("임차",E853),0)&gt;0,"임차·시설",IF(IFERROR(SEARCH("광고",E853),0)&gt;0,"광고·행사",IF(IFERROR(SEARCH("용역",E853),0)&gt;0,"용역·수수료","기타/불명"))))))</x:f>
      </x:c>
      <x:c r="J853" s="77" t="str">
        <x:f>IF(A853="","",IF(I853="기타/불명","확인 필요","결의서명으로 1차 확인"))</x:f>
      </x:c>
      <x:c r="K853" s="78"/>
    </x:row>
    <x:row r="854">
      <x:c r="A854" s="73"/>
      <x:c r="B854" s="73"/>
      <x:c r="C854" s="74"/>
      <x:c r="D854" s="73"/>
      <x:c r="E854" s="73"/>
      <x:c r="F854" s="75"/>
      <x:c r="G854" s="75"/>
      <x:c r="H854" s="76" t="str">
        <x:f>IF(A854="","",F854-G854)</x:f>
      </x:c>
      <x:c r="I854" s="77" t="str">
        <x:f>IF(A854="","",IF(E854="","기타/불명",IF(IFERROR(SEARCH("급여",E854),0)&gt;0,"인건비",IF(IFERROR(SEARCH("임차",E854),0)&gt;0,"임차·시설",IF(IFERROR(SEARCH("광고",E854),0)&gt;0,"광고·행사",IF(IFERROR(SEARCH("용역",E854),0)&gt;0,"용역·수수료","기타/불명"))))))</x:f>
      </x:c>
      <x:c r="J854" s="77" t="str">
        <x:f>IF(A854="","",IF(I854="기타/불명","확인 필요","결의서명으로 1차 확인"))</x:f>
      </x:c>
      <x:c r="K854" s="78"/>
    </x:row>
    <x:row r="855">
      <x:c r="A855" s="73"/>
      <x:c r="B855" s="73"/>
      <x:c r="C855" s="74"/>
      <x:c r="D855" s="73"/>
      <x:c r="E855" s="73"/>
      <x:c r="F855" s="75"/>
      <x:c r="G855" s="75"/>
      <x:c r="H855" s="76" t="str">
        <x:f>IF(A855="","",F855-G855)</x:f>
      </x:c>
      <x:c r="I855" s="77" t="str">
        <x:f>IF(A855="","",IF(E855="","기타/불명",IF(IFERROR(SEARCH("급여",E855),0)&gt;0,"인건비",IF(IFERROR(SEARCH("임차",E855),0)&gt;0,"임차·시설",IF(IFERROR(SEARCH("광고",E855),0)&gt;0,"광고·행사",IF(IFERROR(SEARCH("용역",E855),0)&gt;0,"용역·수수료","기타/불명"))))))</x:f>
      </x:c>
      <x:c r="J855" s="77" t="str">
        <x:f>IF(A855="","",IF(I855="기타/불명","확인 필요","결의서명으로 1차 확인"))</x:f>
      </x:c>
      <x:c r="K855" s="78"/>
    </x:row>
    <x:row r="856">
      <x:c r="A856" s="73"/>
      <x:c r="B856" s="73"/>
      <x:c r="C856" s="74"/>
      <x:c r="D856" s="73"/>
      <x:c r="E856" s="73"/>
      <x:c r="F856" s="75"/>
      <x:c r="G856" s="75"/>
      <x:c r="H856" s="76" t="str">
        <x:f>IF(A856="","",F856-G856)</x:f>
      </x:c>
      <x:c r="I856" s="77" t="str">
        <x:f>IF(A856="","",IF(E856="","기타/불명",IF(IFERROR(SEARCH("급여",E856),0)&gt;0,"인건비",IF(IFERROR(SEARCH("임차",E856),0)&gt;0,"임차·시설",IF(IFERROR(SEARCH("광고",E856),0)&gt;0,"광고·행사",IF(IFERROR(SEARCH("용역",E856),0)&gt;0,"용역·수수료","기타/불명"))))))</x:f>
      </x:c>
      <x:c r="J856" s="77" t="str">
        <x:f>IF(A856="","",IF(I856="기타/불명","확인 필요","결의서명으로 1차 확인"))</x:f>
      </x:c>
      <x:c r="K856" s="78"/>
    </x:row>
    <x:row r="857">
      <x:c r="A857" s="73"/>
      <x:c r="B857" s="73"/>
      <x:c r="C857" s="74"/>
      <x:c r="D857" s="73"/>
      <x:c r="E857" s="73"/>
      <x:c r="F857" s="75"/>
      <x:c r="G857" s="75"/>
      <x:c r="H857" s="76" t="str">
        <x:f>IF(A857="","",F857-G857)</x:f>
      </x:c>
      <x:c r="I857" s="77" t="str">
        <x:f>IF(A857="","",IF(E857="","기타/불명",IF(IFERROR(SEARCH("급여",E857),0)&gt;0,"인건비",IF(IFERROR(SEARCH("임차",E857),0)&gt;0,"임차·시설",IF(IFERROR(SEARCH("광고",E857),0)&gt;0,"광고·행사",IF(IFERROR(SEARCH("용역",E857),0)&gt;0,"용역·수수료","기타/불명"))))))</x:f>
      </x:c>
      <x:c r="J857" s="77" t="str">
        <x:f>IF(A857="","",IF(I857="기타/불명","확인 필요","결의서명으로 1차 확인"))</x:f>
      </x:c>
      <x:c r="K857" s="78"/>
    </x:row>
    <x:row r="858">
      <x:c r="A858" s="73"/>
      <x:c r="B858" s="73"/>
      <x:c r="C858" s="74"/>
      <x:c r="D858" s="73"/>
      <x:c r="E858" s="73"/>
      <x:c r="F858" s="75"/>
      <x:c r="G858" s="75"/>
      <x:c r="H858" s="76" t="str">
        <x:f>IF(A858="","",F858-G858)</x:f>
      </x:c>
      <x:c r="I858" s="77" t="str">
        <x:f>IF(A858="","",IF(E858="","기타/불명",IF(IFERROR(SEARCH("급여",E858),0)&gt;0,"인건비",IF(IFERROR(SEARCH("임차",E858),0)&gt;0,"임차·시설",IF(IFERROR(SEARCH("광고",E858),0)&gt;0,"광고·행사",IF(IFERROR(SEARCH("용역",E858),0)&gt;0,"용역·수수료","기타/불명"))))))</x:f>
      </x:c>
      <x:c r="J858" s="77" t="str">
        <x:f>IF(A858="","",IF(I858="기타/불명","확인 필요","결의서명으로 1차 확인"))</x:f>
      </x:c>
      <x:c r="K858" s="78"/>
    </x:row>
    <x:row r="859">
      <x:c r="A859" s="73"/>
      <x:c r="B859" s="73"/>
      <x:c r="C859" s="74"/>
      <x:c r="D859" s="73"/>
      <x:c r="E859" s="73"/>
      <x:c r="F859" s="75"/>
      <x:c r="G859" s="75"/>
      <x:c r="H859" s="76" t="str">
        <x:f>IF(A859="","",F859-G859)</x:f>
      </x:c>
      <x:c r="I859" s="77" t="str">
        <x:f>IF(A859="","",IF(E859="","기타/불명",IF(IFERROR(SEARCH("급여",E859),0)&gt;0,"인건비",IF(IFERROR(SEARCH("임차",E859),0)&gt;0,"임차·시설",IF(IFERROR(SEARCH("광고",E859),0)&gt;0,"광고·행사",IF(IFERROR(SEARCH("용역",E859),0)&gt;0,"용역·수수료","기타/불명"))))))</x:f>
      </x:c>
      <x:c r="J859" s="77" t="str">
        <x:f>IF(A859="","",IF(I859="기타/불명","확인 필요","결의서명으로 1차 확인"))</x:f>
      </x:c>
      <x:c r="K859" s="78"/>
    </x:row>
    <x:row r="860">
      <x:c r="A860" s="73"/>
      <x:c r="B860" s="73"/>
      <x:c r="C860" s="74"/>
      <x:c r="D860" s="73"/>
      <x:c r="E860" s="73"/>
      <x:c r="F860" s="75"/>
      <x:c r="G860" s="75"/>
      <x:c r="H860" s="76" t="str">
        <x:f>IF(A860="","",F860-G860)</x:f>
      </x:c>
      <x:c r="I860" s="77" t="str">
        <x:f>IF(A860="","",IF(E860="","기타/불명",IF(IFERROR(SEARCH("급여",E860),0)&gt;0,"인건비",IF(IFERROR(SEARCH("임차",E860),0)&gt;0,"임차·시설",IF(IFERROR(SEARCH("광고",E860),0)&gt;0,"광고·행사",IF(IFERROR(SEARCH("용역",E860),0)&gt;0,"용역·수수료","기타/불명"))))))</x:f>
      </x:c>
      <x:c r="J860" s="77" t="str">
        <x:f>IF(A860="","",IF(I860="기타/불명","확인 필요","결의서명으로 1차 확인"))</x:f>
      </x:c>
      <x:c r="K860" s="78"/>
    </x:row>
    <x:row r="861">
      <x:c r="A861" s="73"/>
      <x:c r="B861" s="73"/>
      <x:c r="C861" s="74"/>
      <x:c r="D861" s="73"/>
      <x:c r="E861" s="73"/>
      <x:c r="F861" s="75"/>
      <x:c r="G861" s="75"/>
      <x:c r="H861" s="76" t="str">
        <x:f>IF(A861="","",F861-G861)</x:f>
      </x:c>
      <x:c r="I861" s="77" t="str">
        <x:f>IF(A861="","",IF(E861="","기타/불명",IF(IFERROR(SEARCH("급여",E861),0)&gt;0,"인건비",IF(IFERROR(SEARCH("임차",E861),0)&gt;0,"임차·시설",IF(IFERROR(SEARCH("광고",E861),0)&gt;0,"광고·행사",IF(IFERROR(SEARCH("용역",E861),0)&gt;0,"용역·수수료","기타/불명"))))))</x:f>
      </x:c>
      <x:c r="J861" s="77" t="str">
        <x:f>IF(A861="","",IF(I861="기타/불명","확인 필요","결의서명으로 1차 확인"))</x:f>
      </x:c>
      <x:c r="K861" s="78"/>
    </x:row>
    <x:row r="862">
      <x:c r="A862" s="73"/>
      <x:c r="B862" s="73"/>
      <x:c r="C862" s="74"/>
      <x:c r="D862" s="73"/>
      <x:c r="E862" s="73"/>
      <x:c r="F862" s="75"/>
      <x:c r="G862" s="75"/>
      <x:c r="H862" s="76" t="str">
        <x:f>IF(A862="","",F862-G862)</x:f>
      </x:c>
      <x:c r="I862" s="77" t="str">
        <x:f>IF(A862="","",IF(E862="","기타/불명",IF(IFERROR(SEARCH("급여",E862),0)&gt;0,"인건비",IF(IFERROR(SEARCH("임차",E862),0)&gt;0,"임차·시설",IF(IFERROR(SEARCH("광고",E862),0)&gt;0,"광고·행사",IF(IFERROR(SEARCH("용역",E862),0)&gt;0,"용역·수수료","기타/불명"))))))</x:f>
      </x:c>
      <x:c r="J862" s="77" t="str">
        <x:f>IF(A862="","",IF(I862="기타/불명","확인 필요","결의서명으로 1차 확인"))</x:f>
      </x:c>
      <x:c r="K862" s="78"/>
    </x:row>
    <x:row r="863">
      <x:c r="A863" s="73"/>
      <x:c r="B863" s="73"/>
      <x:c r="C863" s="74"/>
      <x:c r="D863" s="73"/>
      <x:c r="E863" s="73"/>
      <x:c r="F863" s="75"/>
      <x:c r="G863" s="75"/>
      <x:c r="H863" s="76" t="str">
        <x:f>IF(A863="","",F863-G863)</x:f>
      </x:c>
      <x:c r="I863" s="77" t="str">
        <x:f>IF(A863="","",IF(E863="","기타/불명",IF(IFERROR(SEARCH("급여",E863),0)&gt;0,"인건비",IF(IFERROR(SEARCH("임차",E863),0)&gt;0,"임차·시설",IF(IFERROR(SEARCH("광고",E863),0)&gt;0,"광고·행사",IF(IFERROR(SEARCH("용역",E863),0)&gt;0,"용역·수수료","기타/불명"))))))</x:f>
      </x:c>
      <x:c r="J863" s="77" t="str">
        <x:f>IF(A863="","",IF(I863="기타/불명","확인 필요","결의서명으로 1차 확인"))</x:f>
      </x:c>
      <x:c r="K863" s="78"/>
    </x:row>
    <x:row r="864">
      <x:c r="A864" s="73"/>
      <x:c r="B864" s="73"/>
      <x:c r="C864" s="74"/>
      <x:c r="D864" s="73"/>
      <x:c r="E864" s="73"/>
      <x:c r="F864" s="75"/>
      <x:c r="G864" s="75"/>
      <x:c r="H864" s="76" t="str">
        <x:f>IF(A864="","",F864-G864)</x:f>
      </x:c>
      <x:c r="I864" s="77" t="str">
        <x:f>IF(A864="","",IF(E864="","기타/불명",IF(IFERROR(SEARCH("급여",E864),0)&gt;0,"인건비",IF(IFERROR(SEARCH("임차",E864),0)&gt;0,"임차·시설",IF(IFERROR(SEARCH("광고",E864),0)&gt;0,"광고·행사",IF(IFERROR(SEARCH("용역",E864),0)&gt;0,"용역·수수료","기타/불명"))))))</x:f>
      </x:c>
      <x:c r="J864" s="77" t="str">
        <x:f>IF(A864="","",IF(I864="기타/불명","확인 필요","결의서명으로 1차 확인"))</x:f>
      </x:c>
      <x:c r="K864" s="78"/>
    </x:row>
    <x:row r="865">
      <x:c r="A865" s="73"/>
      <x:c r="B865" s="73"/>
      <x:c r="C865" s="74"/>
      <x:c r="D865" s="73"/>
      <x:c r="E865" s="73"/>
      <x:c r="F865" s="75"/>
      <x:c r="G865" s="75"/>
      <x:c r="H865" s="76" t="str">
        <x:f>IF(A865="","",F865-G865)</x:f>
      </x:c>
      <x:c r="I865" s="77" t="str">
        <x:f>IF(A865="","",IF(E865="","기타/불명",IF(IFERROR(SEARCH("급여",E865),0)&gt;0,"인건비",IF(IFERROR(SEARCH("임차",E865),0)&gt;0,"임차·시설",IF(IFERROR(SEARCH("광고",E865),0)&gt;0,"광고·행사",IF(IFERROR(SEARCH("용역",E865),0)&gt;0,"용역·수수료","기타/불명"))))))</x:f>
      </x:c>
      <x:c r="J865" s="77" t="str">
        <x:f>IF(A865="","",IF(I865="기타/불명","확인 필요","결의서명으로 1차 확인"))</x:f>
      </x:c>
      <x:c r="K865" s="78"/>
    </x:row>
    <x:row r="866">
      <x:c r="A866" s="73"/>
      <x:c r="B866" s="73"/>
      <x:c r="C866" s="74"/>
      <x:c r="D866" s="73"/>
      <x:c r="E866" s="73"/>
      <x:c r="F866" s="75"/>
      <x:c r="G866" s="75"/>
      <x:c r="H866" s="76" t="str">
        <x:f>IF(A866="","",F866-G866)</x:f>
      </x:c>
      <x:c r="I866" s="77" t="str">
        <x:f>IF(A866="","",IF(E866="","기타/불명",IF(IFERROR(SEARCH("급여",E866),0)&gt;0,"인건비",IF(IFERROR(SEARCH("임차",E866),0)&gt;0,"임차·시설",IF(IFERROR(SEARCH("광고",E866),0)&gt;0,"광고·행사",IF(IFERROR(SEARCH("용역",E866),0)&gt;0,"용역·수수료","기타/불명"))))))</x:f>
      </x:c>
      <x:c r="J866" s="77" t="str">
        <x:f>IF(A866="","",IF(I866="기타/불명","확인 필요","결의서명으로 1차 확인"))</x:f>
      </x:c>
      <x:c r="K866" s="78"/>
    </x:row>
    <x:row r="867">
      <x:c r="A867" s="73"/>
      <x:c r="B867" s="73"/>
      <x:c r="C867" s="74"/>
      <x:c r="D867" s="73"/>
      <x:c r="E867" s="73"/>
      <x:c r="F867" s="75"/>
      <x:c r="G867" s="75"/>
      <x:c r="H867" s="76" t="str">
        <x:f>IF(A867="","",F867-G867)</x:f>
      </x:c>
      <x:c r="I867" s="77" t="str">
        <x:f>IF(A867="","",IF(E867="","기타/불명",IF(IFERROR(SEARCH("급여",E867),0)&gt;0,"인건비",IF(IFERROR(SEARCH("임차",E867),0)&gt;0,"임차·시설",IF(IFERROR(SEARCH("광고",E867),0)&gt;0,"광고·행사",IF(IFERROR(SEARCH("용역",E867),0)&gt;0,"용역·수수료","기타/불명"))))))</x:f>
      </x:c>
      <x:c r="J867" s="77" t="str">
        <x:f>IF(A867="","",IF(I867="기타/불명","확인 필요","결의서명으로 1차 확인"))</x:f>
      </x:c>
      <x:c r="K867" s="78"/>
    </x:row>
    <x:row r="868">
      <x:c r="A868" s="73"/>
      <x:c r="B868" s="73"/>
      <x:c r="C868" s="74"/>
      <x:c r="D868" s="73"/>
      <x:c r="E868" s="73"/>
      <x:c r="F868" s="75"/>
      <x:c r="G868" s="75"/>
      <x:c r="H868" s="76" t="str">
        <x:f>IF(A868="","",F868-G868)</x:f>
      </x:c>
      <x:c r="I868" s="77" t="str">
        <x:f>IF(A868="","",IF(E868="","기타/불명",IF(IFERROR(SEARCH("급여",E868),0)&gt;0,"인건비",IF(IFERROR(SEARCH("임차",E868),0)&gt;0,"임차·시설",IF(IFERROR(SEARCH("광고",E868),0)&gt;0,"광고·행사",IF(IFERROR(SEARCH("용역",E868),0)&gt;0,"용역·수수료","기타/불명"))))))</x:f>
      </x:c>
      <x:c r="J868" s="77" t="str">
        <x:f>IF(A868="","",IF(I868="기타/불명","확인 필요","결의서명으로 1차 확인"))</x:f>
      </x:c>
      <x:c r="K868" s="78"/>
    </x:row>
    <x:row r="869">
      <x:c r="A869" s="73"/>
      <x:c r="B869" s="73"/>
      <x:c r="C869" s="74"/>
      <x:c r="D869" s="73"/>
      <x:c r="E869" s="73"/>
      <x:c r="F869" s="75"/>
      <x:c r="G869" s="75"/>
      <x:c r="H869" s="76" t="str">
        <x:f>IF(A869="","",F869-G869)</x:f>
      </x:c>
      <x:c r="I869" s="77" t="str">
        <x:f>IF(A869="","",IF(E869="","기타/불명",IF(IFERROR(SEARCH("급여",E869),0)&gt;0,"인건비",IF(IFERROR(SEARCH("임차",E869),0)&gt;0,"임차·시설",IF(IFERROR(SEARCH("광고",E869),0)&gt;0,"광고·행사",IF(IFERROR(SEARCH("용역",E869),0)&gt;0,"용역·수수료","기타/불명"))))))</x:f>
      </x:c>
      <x:c r="J869" s="77" t="str">
        <x:f>IF(A869="","",IF(I869="기타/불명","확인 필요","결의서명으로 1차 확인"))</x:f>
      </x:c>
      <x:c r="K869" s="78"/>
    </x:row>
    <x:row r="870">
      <x:c r="A870" s="73"/>
      <x:c r="B870" s="73"/>
      <x:c r="C870" s="74"/>
      <x:c r="D870" s="73"/>
      <x:c r="E870" s="73"/>
      <x:c r="F870" s="75"/>
      <x:c r="G870" s="75"/>
      <x:c r="H870" s="76" t="str">
        <x:f>IF(A870="","",F870-G870)</x:f>
      </x:c>
      <x:c r="I870" s="77" t="str">
        <x:f>IF(A870="","",IF(E870="","기타/불명",IF(IFERROR(SEARCH("급여",E870),0)&gt;0,"인건비",IF(IFERROR(SEARCH("임차",E870),0)&gt;0,"임차·시설",IF(IFERROR(SEARCH("광고",E870),0)&gt;0,"광고·행사",IF(IFERROR(SEARCH("용역",E870),0)&gt;0,"용역·수수료","기타/불명"))))))</x:f>
      </x:c>
      <x:c r="J870" s="77" t="str">
        <x:f>IF(A870="","",IF(I870="기타/불명","확인 필요","결의서명으로 1차 확인"))</x:f>
      </x:c>
      <x:c r="K870" s="78"/>
    </x:row>
    <x:row r="871">
      <x:c r="A871" s="73"/>
      <x:c r="B871" s="73"/>
      <x:c r="C871" s="74"/>
      <x:c r="D871" s="73"/>
      <x:c r="E871" s="73"/>
      <x:c r="F871" s="75"/>
      <x:c r="G871" s="75"/>
      <x:c r="H871" s="76" t="str">
        <x:f>IF(A871="","",F871-G871)</x:f>
      </x:c>
      <x:c r="I871" s="77" t="str">
        <x:f>IF(A871="","",IF(E871="","기타/불명",IF(IFERROR(SEARCH("급여",E871),0)&gt;0,"인건비",IF(IFERROR(SEARCH("임차",E871),0)&gt;0,"임차·시설",IF(IFERROR(SEARCH("광고",E871),0)&gt;0,"광고·행사",IF(IFERROR(SEARCH("용역",E871),0)&gt;0,"용역·수수료","기타/불명"))))))</x:f>
      </x:c>
      <x:c r="J871" s="77" t="str">
        <x:f>IF(A871="","",IF(I871="기타/불명","확인 필요","결의서명으로 1차 확인"))</x:f>
      </x:c>
      <x:c r="K871" s="78"/>
    </x:row>
    <x:row r="872">
      <x:c r="A872" s="73"/>
      <x:c r="B872" s="73"/>
      <x:c r="C872" s="74"/>
      <x:c r="D872" s="73"/>
      <x:c r="E872" s="73"/>
      <x:c r="F872" s="75"/>
      <x:c r="G872" s="75"/>
      <x:c r="H872" s="76" t="str">
        <x:f>IF(A872="","",F872-G872)</x:f>
      </x:c>
      <x:c r="I872" s="77" t="str">
        <x:f>IF(A872="","",IF(E872="","기타/불명",IF(IFERROR(SEARCH("급여",E872),0)&gt;0,"인건비",IF(IFERROR(SEARCH("임차",E872),0)&gt;0,"임차·시설",IF(IFERROR(SEARCH("광고",E872),0)&gt;0,"광고·행사",IF(IFERROR(SEARCH("용역",E872),0)&gt;0,"용역·수수료","기타/불명"))))))</x:f>
      </x:c>
      <x:c r="J872" s="77" t="str">
        <x:f>IF(A872="","",IF(I872="기타/불명","확인 필요","결의서명으로 1차 확인"))</x:f>
      </x:c>
      <x:c r="K872" s="78"/>
    </x:row>
    <x:row r="873">
      <x:c r="A873" s="73"/>
      <x:c r="B873" s="73"/>
      <x:c r="C873" s="74"/>
      <x:c r="D873" s="73"/>
      <x:c r="E873" s="73"/>
      <x:c r="F873" s="75"/>
      <x:c r="G873" s="75"/>
      <x:c r="H873" s="76" t="str">
        <x:f>IF(A873="","",F873-G873)</x:f>
      </x:c>
      <x:c r="I873" s="77" t="str">
        <x:f>IF(A873="","",IF(E873="","기타/불명",IF(IFERROR(SEARCH("급여",E873),0)&gt;0,"인건비",IF(IFERROR(SEARCH("임차",E873),0)&gt;0,"임차·시설",IF(IFERROR(SEARCH("광고",E873),0)&gt;0,"광고·행사",IF(IFERROR(SEARCH("용역",E873),0)&gt;0,"용역·수수료","기타/불명"))))))</x:f>
      </x:c>
      <x:c r="J873" s="77" t="str">
        <x:f>IF(A873="","",IF(I873="기타/불명","확인 필요","결의서명으로 1차 확인"))</x:f>
      </x:c>
      <x:c r="K873" s="78"/>
    </x:row>
    <x:row r="874">
      <x:c r="A874" s="73"/>
      <x:c r="B874" s="73"/>
      <x:c r="C874" s="74"/>
      <x:c r="D874" s="73"/>
      <x:c r="E874" s="73"/>
      <x:c r="F874" s="75"/>
      <x:c r="G874" s="75"/>
      <x:c r="H874" s="76" t="str">
        <x:f>IF(A874="","",F874-G874)</x:f>
      </x:c>
      <x:c r="I874" s="77" t="str">
        <x:f>IF(A874="","",IF(E874="","기타/불명",IF(IFERROR(SEARCH("급여",E874),0)&gt;0,"인건비",IF(IFERROR(SEARCH("임차",E874),0)&gt;0,"임차·시설",IF(IFERROR(SEARCH("광고",E874),0)&gt;0,"광고·행사",IF(IFERROR(SEARCH("용역",E874),0)&gt;0,"용역·수수료","기타/불명"))))))</x:f>
      </x:c>
      <x:c r="J874" s="77" t="str">
        <x:f>IF(A874="","",IF(I874="기타/불명","확인 필요","결의서명으로 1차 확인"))</x:f>
      </x:c>
      <x:c r="K874" s="78"/>
    </x:row>
    <x:row r="875">
      <x:c r="A875" s="73"/>
      <x:c r="B875" s="73"/>
      <x:c r="C875" s="74"/>
      <x:c r="D875" s="73"/>
      <x:c r="E875" s="73"/>
      <x:c r="F875" s="75"/>
      <x:c r="G875" s="75"/>
      <x:c r="H875" s="76" t="str">
        <x:f>IF(A875="","",F875-G875)</x:f>
      </x:c>
      <x:c r="I875" s="77" t="str">
        <x:f>IF(A875="","",IF(E875="","기타/불명",IF(IFERROR(SEARCH("급여",E875),0)&gt;0,"인건비",IF(IFERROR(SEARCH("임차",E875),0)&gt;0,"임차·시설",IF(IFERROR(SEARCH("광고",E875),0)&gt;0,"광고·행사",IF(IFERROR(SEARCH("용역",E875),0)&gt;0,"용역·수수료","기타/불명"))))))</x:f>
      </x:c>
      <x:c r="J875" s="77" t="str">
        <x:f>IF(A875="","",IF(I875="기타/불명","확인 필요","결의서명으로 1차 확인"))</x:f>
      </x:c>
      <x:c r="K875" s="78"/>
    </x:row>
    <x:row r="876">
      <x:c r="A876" s="73"/>
      <x:c r="B876" s="73"/>
      <x:c r="C876" s="74"/>
      <x:c r="D876" s="73"/>
      <x:c r="E876" s="73"/>
      <x:c r="F876" s="75"/>
      <x:c r="G876" s="75"/>
      <x:c r="H876" s="76" t="str">
        <x:f>IF(A876="","",F876-G876)</x:f>
      </x:c>
      <x:c r="I876" s="77" t="str">
        <x:f>IF(A876="","",IF(E876="","기타/불명",IF(IFERROR(SEARCH("급여",E876),0)&gt;0,"인건비",IF(IFERROR(SEARCH("임차",E876),0)&gt;0,"임차·시설",IF(IFERROR(SEARCH("광고",E876),0)&gt;0,"광고·행사",IF(IFERROR(SEARCH("용역",E876),0)&gt;0,"용역·수수료","기타/불명"))))))</x:f>
      </x:c>
      <x:c r="J876" s="77" t="str">
        <x:f>IF(A876="","",IF(I876="기타/불명","확인 필요","결의서명으로 1차 확인"))</x:f>
      </x:c>
      <x:c r="K876" s="78"/>
    </x:row>
    <x:row r="877">
      <x:c r="A877" s="73"/>
      <x:c r="B877" s="73"/>
      <x:c r="C877" s="74"/>
      <x:c r="D877" s="73"/>
      <x:c r="E877" s="73"/>
      <x:c r="F877" s="75"/>
      <x:c r="G877" s="75"/>
      <x:c r="H877" s="76" t="str">
        <x:f>IF(A877="","",F877-G877)</x:f>
      </x:c>
      <x:c r="I877" s="77" t="str">
        <x:f>IF(A877="","",IF(E877="","기타/불명",IF(IFERROR(SEARCH("급여",E877),0)&gt;0,"인건비",IF(IFERROR(SEARCH("임차",E877),0)&gt;0,"임차·시설",IF(IFERROR(SEARCH("광고",E877),0)&gt;0,"광고·행사",IF(IFERROR(SEARCH("용역",E877),0)&gt;0,"용역·수수료","기타/불명"))))))</x:f>
      </x:c>
      <x:c r="J877" s="77" t="str">
        <x:f>IF(A877="","",IF(I877="기타/불명","확인 필요","결의서명으로 1차 확인"))</x:f>
      </x:c>
      <x:c r="K877" s="78"/>
    </x:row>
    <x:row r="878">
      <x:c r="A878" s="73"/>
      <x:c r="B878" s="73"/>
      <x:c r="C878" s="74"/>
      <x:c r="D878" s="73"/>
      <x:c r="E878" s="73"/>
      <x:c r="F878" s="75"/>
      <x:c r="G878" s="75"/>
      <x:c r="H878" s="76" t="str">
        <x:f>IF(A878="","",F878-G878)</x:f>
      </x:c>
      <x:c r="I878" s="77" t="str">
        <x:f>IF(A878="","",IF(E878="","기타/불명",IF(IFERROR(SEARCH("급여",E878),0)&gt;0,"인건비",IF(IFERROR(SEARCH("임차",E878),0)&gt;0,"임차·시설",IF(IFERROR(SEARCH("광고",E878),0)&gt;0,"광고·행사",IF(IFERROR(SEARCH("용역",E878),0)&gt;0,"용역·수수료","기타/불명"))))))</x:f>
      </x:c>
      <x:c r="J878" s="77" t="str">
        <x:f>IF(A878="","",IF(I878="기타/불명","확인 필요","결의서명으로 1차 확인"))</x:f>
      </x:c>
      <x:c r="K878" s="78"/>
    </x:row>
    <x:row r="879">
      <x:c r="A879" s="73"/>
      <x:c r="B879" s="73"/>
      <x:c r="C879" s="74"/>
      <x:c r="D879" s="73"/>
      <x:c r="E879" s="73"/>
      <x:c r="F879" s="75"/>
      <x:c r="G879" s="75"/>
      <x:c r="H879" s="76" t="str">
        <x:f>IF(A879="","",F879-G879)</x:f>
      </x:c>
      <x:c r="I879" s="77" t="str">
        <x:f>IF(A879="","",IF(E879="","기타/불명",IF(IFERROR(SEARCH("급여",E879),0)&gt;0,"인건비",IF(IFERROR(SEARCH("임차",E879),0)&gt;0,"임차·시설",IF(IFERROR(SEARCH("광고",E879),0)&gt;0,"광고·행사",IF(IFERROR(SEARCH("용역",E879),0)&gt;0,"용역·수수료","기타/불명"))))))</x:f>
      </x:c>
      <x:c r="J879" s="77" t="str">
        <x:f>IF(A879="","",IF(I879="기타/불명","확인 필요","결의서명으로 1차 확인"))</x:f>
      </x:c>
      <x:c r="K879" s="78"/>
    </x:row>
    <x:row r="880">
      <x:c r="A880" s="73"/>
      <x:c r="B880" s="73"/>
      <x:c r="C880" s="74"/>
      <x:c r="D880" s="73"/>
      <x:c r="E880" s="73"/>
      <x:c r="F880" s="75"/>
      <x:c r="G880" s="75"/>
      <x:c r="H880" s="76" t="str">
        <x:f>IF(A880="","",F880-G880)</x:f>
      </x:c>
      <x:c r="I880" s="77" t="str">
        <x:f>IF(A880="","",IF(E880="","기타/불명",IF(IFERROR(SEARCH("급여",E880),0)&gt;0,"인건비",IF(IFERROR(SEARCH("임차",E880),0)&gt;0,"임차·시설",IF(IFERROR(SEARCH("광고",E880),0)&gt;0,"광고·행사",IF(IFERROR(SEARCH("용역",E880),0)&gt;0,"용역·수수료","기타/불명"))))))</x:f>
      </x:c>
      <x:c r="J880" s="77" t="str">
        <x:f>IF(A880="","",IF(I880="기타/불명","확인 필요","결의서명으로 1차 확인"))</x:f>
      </x:c>
      <x:c r="K880" s="78"/>
    </x:row>
    <x:row r="881">
      <x:c r="A881" s="73"/>
      <x:c r="B881" s="73"/>
      <x:c r="C881" s="74"/>
      <x:c r="D881" s="73"/>
      <x:c r="E881" s="73"/>
      <x:c r="F881" s="75"/>
      <x:c r="G881" s="75"/>
      <x:c r="H881" s="76" t="str">
        <x:f>IF(A881="","",F881-G881)</x:f>
      </x:c>
      <x:c r="I881" s="77" t="str">
        <x:f>IF(A881="","",IF(E881="","기타/불명",IF(IFERROR(SEARCH("급여",E881),0)&gt;0,"인건비",IF(IFERROR(SEARCH("임차",E881),0)&gt;0,"임차·시설",IF(IFERROR(SEARCH("광고",E881),0)&gt;0,"광고·행사",IF(IFERROR(SEARCH("용역",E881),0)&gt;0,"용역·수수료","기타/불명"))))))</x:f>
      </x:c>
      <x:c r="J881" s="77" t="str">
        <x:f>IF(A881="","",IF(I881="기타/불명","확인 필요","결의서명으로 1차 확인"))</x:f>
      </x:c>
      <x:c r="K881" s="78"/>
    </x:row>
    <x:row r="882">
      <x:c r="A882" s="73"/>
      <x:c r="B882" s="73"/>
      <x:c r="C882" s="74"/>
      <x:c r="D882" s="73"/>
      <x:c r="E882" s="73"/>
      <x:c r="F882" s="75"/>
      <x:c r="G882" s="75"/>
      <x:c r="H882" s="76" t="str">
        <x:f>IF(A882="","",F882-G882)</x:f>
      </x:c>
      <x:c r="I882" s="77" t="str">
        <x:f>IF(A882="","",IF(E882="","기타/불명",IF(IFERROR(SEARCH("급여",E882),0)&gt;0,"인건비",IF(IFERROR(SEARCH("임차",E882),0)&gt;0,"임차·시설",IF(IFERROR(SEARCH("광고",E882),0)&gt;0,"광고·행사",IF(IFERROR(SEARCH("용역",E882),0)&gt;0,"용역·수수료","기타/불명"))))))</x:f>
      </x:c>
      <x:c r="J882" s="77" t="str">
        <x:f>IF(A882="","",IF(I882="기타/불명","확인 필요","결의서명으로 1차 확인"))</x:f>
      </x:c>
      <x:c r="K882" s="78"/>
    </x:row>
    <x:row r="883">
      <x:c r="A883" s="73"/>
      <x:c r="B883" s="73"/>
      <x:c r="C883" s="74"/>
      <x:c r="D883" s="73"/>
      <x:c r="E883" s="73"/>
      <x:c r="F883" s="75"/>
      <x:c r="G883" s="75"/>
      <x:c r="H883" s="76" t="str">
        <x:f>IF(A883="","",F883-G883)</x:f>
      </x:c>
      <x:c r="I883" s="77" t="str">
        <x:f>IF(A883="","",IF(E883="","기타/불명",IF(IFERROR(SEARCH("급여",E883),0)&gt;0,"인건비",IF(IFERROR(SEARCH("임차",E883),0)&gt;0,"임차·시설",IF(IFERROR(SEARCH("광고",E883),0)&gt;0,"광고·행사",IF(IFERROR(SEARCH("용역",E883),0)&gt;0,"용역·수수료","기타/불명"))))))</x:f>
      </x:c>
      <x:c r="J883" s="77" t="str">
        <x:f>IF(A883="","",IF(I883="기타/불명","확인 필요","결의서명으로 1차 확인"))</x:f>
      </x:c>
      <x:c r="K883" s="78"/>
    </x:row>
    <x:row r="884">
      <x:c r="A884" s="73"/>
      <x:c r="B884" s="73"/>
      <x:c r="C884" s="74"/>
      <x:c r="D884" s="73"/>
      <x:c r="E884" s="73"/>
      <x:c r="F884" s="75"/>
      <x:c r="G884" s="75"/>
      <x:c r="H884" s="76" t="str">
        <x:f>IF(A884="","",F884-G884)</x:f>
      </x:c>
      <x:c r="I884" s="77" t="str">
        <x:f>IF(A884="","",IF(E884="","기타/불명",IF(IFERROR(SEARCH("급여",E884),0)&gt;0,"인건비",IF(IFERROR(SEARCH("임차",E884),0)&gt;0,"임차·시설",IF(IFERROR(SEARCH("광고",E884),0)&gt;0,"광고·행사",IF(IFERROR(SEARCH("용역",E884),0)&gt;0,"용역·수수료","기타/불명"))))))</x:f>
      </x:c>
      <x:c r="J884" s="77" t="str">
        <x:f>IF(A884="","",IF(I884="기타/불명","확인 필요","결의서명으로 1차 확인"))</x:f>
      </x:c>
      <x:c r="K884" s="78"/>
    </x:row>
    <x:row r="885">
      <x:c r="A885" s="73"/>
      <x:c r="B885" s="73"/>
      <x:c r="C885" s="74"/>
      <x:c r="D885" s="73"/>
      <x:c r="E885" s="73"/>
      <x:c r="F885" s="75"/>
      <x:c r="G885" s="75"/>
      <x:c r="H885" s="76" t="str">
        <x:f>IF(A885="","",F885-G885)</x:f>
      </x:c>
      <x:c r="I885" s="77" t="str">
        <x:f>IF(A885="","",IF(E885="","기타/불명",IF(IFERROR(SEARCH("급여",E885),0)&gt;0,"인건비",IF(IFERROR(SEARCH("임차",E885),0)&gt;0,"임차·시설",IF(IFERROR(SEARCH("광고",E885),0)&gt;0,"광고·행사",IF(IFERROR(SEARCH("용역",E885),0)&gt;0,"용역·수수료","기타/불명"))))))</x:f>
      </x:c>
      <x:c r="J885" s="77" t="str">
        <x:f>IF(A885="","",IF(I885="기타/불명","확인 필요","결의서명으로 1차 확인"))</x:f>
      </x:c>
      <x:c r="K885" s="78"/>
    </x:row>
    <x:row r="886">
      <x:c r="A886" s="73"/>
      <x:c r="B886" s="73"/>
      <x:c r="C886" s="74"/>
      <x:c r="D886" s="73"/>
      <x:c r="E886" s="73"/>
      <x:c r="F886" s="75"/>
      <x:c r="G886" s="75"/>
      <x:c r="H886" s="76" t="str">
        <x:f>IF(A886="","",F886-G886)</x:f>
      </x:c>
      <x:c r="I886" s="77" t="str">
        <x:f>IF(A886="","",IF(E886="","기타/불명",IF(IFERROR(SEARCH("급여",E886),0)&gt;0,"인건비",IF(IFERROR(SEARCH("임차",E886),0)&gt;0,"임차·시설",IF(IFERROR(SEARCH("광고",E886),0)&gt;0,"광고·행사",IF(IFERROR(SEARCH("용역",E886),0)&gt;0,"용역·수수료","기타/불명"))))))</x:f>
      </x:c>
      <x:c r="J886" s="77" t="str">
        <x:f>IF(A886="","",IF(I886="기타/불명","확인 필요","결의서명으로 1차 확인"))</x:f>
      </x:c>
      <x:c r="K886" s="78"/>
    </x:row>
    <x:row r="887">
      <x:c r="A887" s="73"/>
      <x:c r="B887" s="73"/>
      <x:c r="C887" s="74"/>
      <x:c r="D887" s="73"/>
      <x:c r="E887" s="73"/>
      <x:c r="F887" s="75"/>
      <x:c r="G887" s="75"/>
      <x:c r="H887" s="76" t="str">
        <x:f>IF(A887="","",F887-G887)</x:f>
      </x:c>
      <x:c r="I887" s="77" t="str">
        <x:f>IF(A887="","",IF(E887="","기타/불명",IF(IFERROR(SEARCH("급여",E887),0)&gt;0,"인건비",IF(IFERROR(SEARCH("임차",E887),0)&gt;0,"임차·시설",IF(IFERROR(SEARCH("광고",E887),0)&gt;0,"광고·행사",IF(IFERROR(SEARCH("용역",E887),0)&gt;0,"용역·수수료","기타/불명"))))))</x:f>
      </x:c>
      <x:c r="J887" s="77" t="str">
        <x:f>IF(A887="","",IF(I887="기타/불명","확인 필요","결의서명으로 1차 확인"))</x:f>
      </x:c>
      <x:c r="K887" s="78"/>
    </x:row>
    <x:row r="888">
      <x:c r="A888" s="73"/>
      <x:c r="B888" s="73"/>
      <x:c r="C888" s="74"/>
      <x:c r="D888" s="73"/>
      <x:c r="E888" s="73"/>
      <x:c r="F888" s="75"/>
      <x:c r="G888" s="75"/>
      <x:c r="H888" s="76" t="str">
        <x:f>IF(A888="","",F888-G888)</x:f>
      </x:c>
      <x:c r="I888" s="77" t="str">
        <x:f>IF(A888="","",IF(E888="","기타/불명",IF(IFERROR(SEARCH("급여",E888),0)&gt;0,"인건비",IF(IFERROR(SEARCH("임차",E888),0)&gt;0,"임차·시설",IF(IFERROR(SEARCH("광고",E888),0)&gt;0,"광고·행사",IF(IFERROR(SEARCH("용역",E888),0)&gt;0,"용역·수수료","기타/불명"))))))</x:f>
      </x:c>
      <x:c r="J888" s="77" t="str">
        <x:f>IF(A888="","",IF(I888="기타/불명","확인 필요","결의서명으로 1차 확인"))</x:f>
      </x:c>
      <x:c r="K888" s="78"/>
    </x:row>
    <x:row r="889">
      <x:c r="A889" s="73"/>
      <x:c r="B889" s="73"/>
      <x:c r="C889" s="74"/>
      <x:c r="D889" s="73"/>
      <x:c r="E889" s="73"/>
      <x:c r="F889" s="75"/>
      <x:c r="G889" s="75"/>
      <x:c r="H889" s="76" t="str">
        <x:f>IF(A889="","",F889-G889)</x:f>
      </x:c>
      <x:c r="I889" s="77" t="str">
        <x:f>IF(A889="","",IF(E889="","기타/불명",IF(IFERROR(SEARCH("급여",E889),0)&gt;0,"인건비",IF(IFERROR(SEARCH("임차",E889),0)&gt;0,"임차·시설",IF(IFERROR(SEARCH("광고",E889),0)&gt;0,"광고·행사",IF(IFERROR(SEARCH("용역",E889),0)&gt;0,"용역·수수료","기타/불명"))))))</x:f>
      </x:c>
      <x:c r="J889" s="77" t="str">
        <x:f>IF(A889="","",IF(I889="기타/불명","확인 필요","결의서명으로 1차 확인"))</x:f>
      </x:c>
      <x:c r="K889" s="78"/>
    </x:row>
    <x:row r="890">
      <x:c r="A890" s="73"/>
      <x:c r="B890" s="73"/>
      <x:c r="C890" s="74"/>
      <x:c r="D890" s="73"/>
      <x:c r="E890" s="73"/>
      <x:c r="F890" s="75"/>
      <x:c r="G890" s="75"/>
      <x:c r="H890" s="76" t="str">
        <x:f>IF(A890="","",F890-G890)</x:f>
      </x:c>
      <x:c r="I890" s="77" t="str">
        <x:f>IF(A890="","",IF(E890="","기타/불명",IF(IFERROR(SEARCH("급여",E890),0)&gt;0,"인건비",IF(IFERROR(SEARCH("임차",E890),0)&gt;0,"임차·시설",IF(IFERROR(SEARCH("광고",E890),0)&gt;0,"광고·행사",IF(IFERROR(SEARCH("용역",E890),0)&gt;0,"용역·수수료","기타/불명"))))))</x:f>
      </x:c>
      <x:c r="J890" s="77" t="str">
        <x:f>IF(A890="","",IF(I890="기타/불명","확인 필요","결의서명으로 1차 확인"))</x:f>
      </x:c>
      <x:c r="K890" s="78"/>
    </x:row>
    <x:row r="891">
      <x:c r="A891" s="73"/>
      <x:c r="B891" s="73"/>
      <x:c r="C891" s="74"/>
      <x:c r="D891" s="73"/>
      <x:c r="E891" s="73"/>
      <x:c r="F891" s="75"/>
      <x:c r="G891" s="75"/>
      <x:c r="H891" s="76" t="str">
        <x:f>IF(A891="","",F891-G891)</x:f>
      </x:c>
      <x:c r="I891" s="77" t="str">
        <x:f>IF(A891="","",IF(E891="","기타/불명",IF(IFERROR(SEARCH("급여",E891),0)&gt;0,"인건비",IF(IFERROR(SEARCH("임차",E891),0)&gt;0,"임차·시설",IF(IFERROR(SEARCH("광고",E891),0)&gt;0,"광고·행사",IF(IFERROR(SEARCH("용역",E891),0)&gt;0,"용역·수수료","기타/불명"))))))</x:f>
      </x:c>
      <x:c r="J891" s="77" t="str">
        <x:f>IF(A891="","",IF(I891="기타/불명","확인 필요","결의서명으로 1차 확인"))</x:f>
      </x:c>
      <x:c r="K891" s="78"/>
    </x:row>
    <x:row r="892">
      <x:c r="A892" s="73"/>
      <x:c r="B892" s="73"/>
      <x:c r="C892" s="74"/>
      <x:c r="D892" s="73"/>
      <x:c r="E892" s="73"/>
      <x:c r="F892" s="75"/>
      <x:c r="G892" s="75"/>
      <x:c r="H892" s="76" t="str">
        <x:f>IF(A892="","",F892-G892)</x:f>
      </x:c>
      <x:c r="I892" s="77" t="str">
        <x:f>IF(A892="","",IF(E892="","기타/불명",IF(IFERROR(SEARCH("급여",E892),0)&gt;0,"인건비",IF(IFERROR(SEARCH("임차",E892),0)&gt;0,"임차·시설",IF(IFERROR(SEARCH("광고",E892),0)&gt;0,"광고·행사",IF(IFERROR(SEARCH("용역",E892),0)&gt;0,"용역·수수료","기타/불명"))))))</x:f>
      </x:c>
      <x:c r="J892" s="77" t="str">
        <x:f>IF(A892="","",IF(I892="기타/불명","확인 필요","결의서명으로 1차 확인"))</x:f>
      </x:c>
      <x:c r="K892" s="78"/>
    </x:row>
    <x:row r="893">
      <x:c r="A893" s="73"/>
      <x:c r="B893" s="73"/>
      <x:c r="C893" s="74"/>
      <x:c r="D893" s="73"/>
      <x:c r="E893" s="73"/>
      <x:c r="F893" s="75"/>
      <x:c r="G893" s="75"/>
      <x:c r="H893" s="76" t="str">
        <x:f>IF(A893="","",F893-G893)</x:f>
      </x:c>
      <x:c r="I893" s="77" t="str">
        <x:f>IF(A893="","",IF(E893="","기타/불명",IF(IFERROR(SEARCH("급여",E893),0)&gt;0,"인건비",IF(IFERROR(SEARCH("임차",E893),0)&gt;0,"임차·시설",IF(IFERROR(SEARCH("광고",E893),0)&gt;0,"광고·행사",IF(IFERROR(SEARCH("용역",E893),0)&gt;0,"용역·수수료","기타/불명"))))))</x:f>
      </x:c>
      <x:c r="J893" s="77" t="str">
        <x:f>IF(A893="","",IF(I893="기타/불명","확인 필요","결의서명으로 1차 확인"))</x:f>
      </x:c>
      <x:c r="K893" s="78"/>
    </x:row>
    <x:row r="894">
      <x:c r="A894" s="73"/>
      <x:c r="B894" s="73"/>
      <x:c r="C894" s="74"/>
      <x:c r="D894" s="73"/>
      <x:c r="E894" s="73"/>
      <x:c r="F894" s="75"/>
      <x:c r="G894" s="75"/>
      <x:c r="H894" s="76" t="str">
        <x:f>IF(A894="","",F894-G894)</x:f>
      </x:c>
      <x:c r="I894" s="77" t="str">
        <x:f>IF(A894="","",IF(E894="","기타/불명",IF(IFERROR(SEARCH("급여",E894),0)&gt;0,"인건비",IF(IFERROR(SEARCH("임차",E894),0)&gt;0,"임차·시설",IF(IFERROR(SEARCH("광고",E894),0)&gt;0,"광고·행사",IF(IFERROR(SEARCH("용역",E894),0)&gt;0,"용역·수수료","기타/불명"))))))</x:f>
      </x:c>
      <x:c r="J894" s="77" t="str">
        <x:f>IF(A894="","",IF(I894="기타/불명","확인 필요","결의서명으로 1차 확인"))</x:f>
      </x:c>
      <x:c r="K894" s="78"/>
    </x:row>
    <x:row r="895">
      <x:c r="A895" s="73"/>
      <x:c r="B895" s="73"/>
      <x:c r="C895" s="74"/>
      <x:c r="D895" s="73"/>
      <x:c r="E895" s="73"/>
      <x:c r="F895" s="75"/>
      <x:c r="G895" s="75"/>
      <x:c r="H895" s="76" t="str">
        <x:f>IF(A895="","",F895-G895)</x:f>
      </x:c>
      <x:c r="I895" s="77" t="str">
        <x:f>IF(A895="","",IF(E895="","기타/불명",IF(IFERROR(SEARCH("급여",E895),0)&gt;0,"인건비",IF(IFERROR(SEARCH("임차",E895),0)&gt;0,"임차·시설",IF(IFERROR(SEARCH("광고",E895),0)&gt;0,"광고·행사",IF(IFERROR(SEARCH("용역",E895),0)&gt;0,"용역·수수료","기타/불명"))))))</x:f>
      </x:c>
      <x:c r="J895" s="77" t="str">
        <x:f>IF(A895="","",IF(I895="기타/불명","확인 필요","결의서명으로 1차 확인"))</x:f>
      </x:c>
      <x:c r="K895" s="78"/>
    </x:row>
    <x:row r="896">
      <x:c r="A896" s="73"/>
      <x:c r="B896" s="73"/>
      <x:c r="C896" s="74"/>
      <x:c r="D896" s="73"/>
      <x:c r="E896" s="73"/>
      <x:c r="F896" s="75"/>
      <x:c r="G896" s="75"/>
      <x:c r="H896" s="76" t="str">
        <x:f>IF(A896="","",F896-G896)</x:f>
      </x:c>
      <x:c r="I896" s="77" t="str">
        <x:f>IF(A896="","",IF(E896="","기타/불명",IF(IFERROR(SEARCH("급여",E896),0)&gt;0,"인건비",IF(IFERROR(SEARCH("임차",E896),0)&gt;0,"임차·시설",IF(IFERROR(SEARCH("광고",E896),0)&gt;0,"광고·행사",IF(IFERROR(SEARCH("용역",E896),0)&gt;0,"용역·수수료","기타/불명"))))))</x:f>
      </x:c>
      <x:c r="J896" s="77" t="str">
        <x:f>IF(A896="","",IF(I896="기타/불명","확인 필요","결의서명으로 1차 확인"))</x:f>
      </x:c>
      <x:c r="K896" s="78"/>
    </x:row>
    <x:row r="897">
      <x:c r="A897" s="73"/>
      <x:c r="B897" s="73"/>
      <x:c r="C897" s="74"/>
      <x:c r="D897" s="73"/>
      <x:c r="E897" s="73"/>
      <x:c r="F897" s="75"/>
      <x:c r="G897" s="75"/>
      <x:c r="H897" s="76" t="str">
        <x:f>IF(A897="","",F897-G897)</x:f>
      </x:c>
      <x:c r="I897" s="77" t="str">
        <x:f>IF(A897="","",IF(E897="","기타/불명",IF(IFERROR(SEARCH("급여",E897),0)&gt;0,"인건비",IF(IFERROR(SEARCH("임차",E897),0)&gt;0,"임차·시설",IF(IFERROR(SEARCH("광고",E897),0)&gt;0,"광고·행사",IF(IFERROR(SEARCH("용역",E897),0)&gt;0,"용역·수수료","기타/불명"))))))</x:f>
      </x:c>
      <x:c r="J897" s="77" t="str">
        <x:f>IF(A897="","",IF(I897="기타/불명","확인 필요","결의서명으로 1차 확인"))</x:f>
      </x:c>
      <x:c r="K897" s="78"/>
    </x:row>
    <x:row r="898">
      <x:c r="A898" s="73"/>
      <x:c r="B898" s="73"/>
      <x:c r="C898" s="74"/>
      <x:c r="D898" s="73"/>
      <x:c r="E898" s="73"/>
      <x:c r="F898" s="75"/>
      <x:c r="G898" s="75"/>
      <x:c r="H898" s="76" t="str">
        <x:f>IF(A898="","",F898-G898)</x:f>
      </x:c>
      <x:c r="I898" s="77" t="str">
        <x:f>IF(A898="","",IF(E898="","기타/불명",IF(IFERROR(SEARCH("급여",E898),0)&gt;0,"인건비",IF(IFERROR(SEARCH("임차",E898),0)&gt;0,"임차·시설",IF(IFERROR(SEARCH("광고",E898),0)&gt;0,"광고·행사",IF(IFERROR(SEARCH("용역",E898),0)&gt;0,"용역·수수료","기타/불명"))))))</x:f>
      </x:c>
      <x:c r="J898" s="77" t="str">
        <x:f>IF(A898="","",IF(I898="기타/불명","확인 필요","결의서명으로 1차 확인"))</x:f>
      </x:c>
      <x:c r="K898" s="78"/>
    </x:row>
    <x:row r="899">
      <x:c r="A899" s="73"/>
      <x:c r="B899" s="73"/>
      <x:c r="C899" s="74"/>
      <x:c r="D899" s="73"/>
      <x:c r="E899" s="73"/>
      <x:c r="F899" s="75"/>
      <x:c r="G899" s="75"/>
      <x:c r="H899" s="76" t="str">
        <x:f>IF(A899="","",F899-G899)</x:f>
      </x:c>
      <x:c r="I899" s="77" t="str">
        <x:f>IF(A899="","",IF(E899="","기타/불명",IF(IFERROR(SEARCH("급여",E899),0)&gt;0,"인건비",IF(IFERROR(SEARCH("임차",E899),0)&gt;0,"임차·시설",IF(IFERROR(SEARCH("광고",E899),0)&gt;0,"광고·행사",IF(IFERROR(SEARCH("용역",E899),0)&gt;0,"용역·수수료","기타/불명"))))))</x:f>
      </x:c>
      <x:c r="J899" s="77" t="str">
        <x:f>IF(A899="","",IF(I899="기타/불명","확인 필요","결의서명으로 1차 확인"))</x:f>
      </x:c>
      <x:c r="K899" s="78"/>
    </x:row>
    <x:row r="900">
      <x:c r="A900" s="73"/>
      <x:c r="B900" s="73"/>
      <x:c r="C900" s="74"/>
      <x:c r="D900" s="73"/>
      <x:c r="E900" s="73"/>
      <x:c r="F900" s="75"/>
      <x:c r="G900" s="75"/>
      <x:c r="H900" s="76" t="str">
        <x:f>IF(A900="","",F900-G900)</x:f>
      </x:c>
      <x:c r="I900" s="77" t="str">
        <x:f>IF(A900="","",IF(E900="","기타/불명",IF(IFERROR(SEARCH("급여",E900),0)&gt;0,"인건비",IF(IFERROR(SEARCH("임차",E900),0)&gt;0,"임차·시설",IF(IFERROR(SEARCH("광고",E900),0)&gt;0,"광고·행사",IF(IFERROR(SEARCH("용역",E900),0)&gt;0,"용역·수수료","기타/불명"))))))</x:f>
      </x:c>
      <x:c r="J900" s="77" t="str">
        <x:f>IF(A900="","",IF(I900="기타/불명","확인 필요","결의서명으로 1차 확인"))</x:f>
      </x:c>
      <x:c r="K900" s="78"/>
    </x:row>
    <x:row r="901">
      <x:c r="A901" s="73"/>
      <x:c r="B901" s="73"/>
      <x:c r="C901" s="74"/>
      <x:c r="D901" s="73"/>
      <x:c r="E901" s="73"/>
      <x:c r="F901" s="75"/>
      <x:c r="G901" s="75"/>
      <x:c r="H901" s="76" t="str">
        <x:f>IF(A901="","",F901-G901)</x:f>
      </x:c>
      <x:c r="I901" s="77" t="str">
        <x:f>IF(A901="","",IF(E901="","기타/불명",IF(IFERROR(SEARCH("급여",E901),0)&gt;0,"인건비",IF(IFERROR(SEARCH("임차",E901),0)&gt;0,"임차·시설",IF(IFERROR(SEARCH("광고",E901),0)&gt;0,"광고·행사",IF(IFERROR(SEARCH("용역",E901),0)&gt;0,"용역·수수료","기타/불명"))))))</x:f>
      </x:c>
      <x:c r="J901" s="77" t="str">
        <x:f>IF(A901="","",IF(I901="기타/불명","확인 필요","결의서명으로 1차 확인"))</x:f>
      </x:c>
      <x:c r="K901" s="78"/>
    </x:row>
    <x:row r="902">
      <x:c r="A902" s="73"/>
      <x:c r="B902" s="73"/>
      <x:c r="C902" s="74"/>
      <x:c r="D902" s="73"/>
      <x:c r="E902" s="73"/>
      <x:c r="F902" s="75"/>
      <x:c r="G902" s="75"/>
      <x:c r="H902" s="76" t="str">
        <x:f>IF(A902="","",F902-G902)</x:f>
      </x:c>
      <x:c r="I902" s="77" t="str">
        <x:f>IF(A902="","",IF(E902="","기타/불명",IF(IFERROR(SEARCH("급여",E902),0)&gt;0,"인건비",IF(IFERROR(SEARCH("임차",E902),0)&gt;0,"임차·시설",IF(IFERROR(SEARCH("광고",E902),0)&gt;0,"광고·행사",IF(IFERROR(SEARCH("용역",E902),0)&gt;0,"용역·수수료","기타/불명"))))))</x:f>
      </x:c>
      <x:c r="J902" s="77" t="str">
        <x:f>IF(A902="","",IF(I902="기타/불명","확인 필요","결의서명으로 1차 확인"))</x:f>
      </x:c>
      <x:c r="K902" s="78"/>
    </x:row>
    <x:row r="903">
      <x:c r="A903" s="73"/>
      <x:c r="B903" s="73"/>
      <x:c r="C903" s="74"/>
      <x:c r="D903" s="73"/>
      <x:c r="E903" s="73"/>
      <x:c r="F903" s="75"/>
      <x:c r="G903" s="75"/>
      <x:c r="H903" s="76" t="str">
        <x:f>IF(A903="","",F903-G903)</x:f>
      </x:c>
      <x:c r="I903" s="77" t="str">
        <x:f>IF(A903="","",IF(E903="","기타/불명",IF(IFERROR(SEARCH("급여",E903),0)&gt;0,"인건비",IF(IFERROR(SEARCH("임차",E903),0)&gt;0,"임차·시설",IF(IFERROR(SEARCH("광고",E903),0)&gt;0,"광고·행사",IF(IFERROR(SEARCH("용역",E903),0)&gt;0,"용역·수수료","기타/불명"))))))</x:f>
      </x:c>
      <x:c r="J903" s="77" t="str">
        <x:f>IF(A903="","",IF(I903="기타/불명","확인 필요","결의서명으로 1차 확인"))</x:f>
      </x:c>
      <x:c r="K903" s="78"/>
    </x:row>
    <x:row r="904">
      <x:c r="A904" s="73"/>
      <x:c r="B904" s="73"/>
      <x:c r="C904" s="74"/>
      <x:c r="D904" s="73"/>
      <x:c r="E904" s="73"/>
      <x:c r="F904" s="75"/>
      <x:c r="G904" s="75"/>
      <x:c r="H904" s="76" t="str">
        <x:f>IF(A904="","",F904-G904)</x:f>
      </x:c>
      <x:c r="I904" s="77" t="str">
        <x:f>IF(A904="","",IF(E904="","기타/불명",IF(IFERROR(SEARCH("급여",E904),0)&gt;0,"인건비",IF(IFERROR(SEARCH("임차",E904),0)&gt;0,"임차·시설",IF(IFERROR(SEARCH("광고",E904),0)&gt;0,"광고·행사",IF(IFERROR(SEARCH("용역",E904),0)&gt;0,"용역·수수료","기타/불명"))))))</x:f>
      </x:c>
      <x:c r="J904" s="77" t="str">
        <x:f>IF(A904="","",IF(I904="기타/불명","확인 필요","결의서명으로 1차 확인"))</x:f>
      </x:c>
      <x:c r="K904" s="78"/>
    </x:row>
    <x:row r="905">
      <x:c r="A905" s="73"/>
      <x:c r="B905" s="73"/>
      <x:c r="C905" s="74"/>
      <x:c r="D905" s="73"/>
      <x:c r="E905" s="73"/>
      <x:c r="F905" s="75"/>
      <x:c r="G905" s="75"/>
      <x:c r="H905" s="76" t="str">
        <x:f>IF(A905="","",F905-G905)</x:f>
      </x:c>
      <x:c r="I905" s="77" t="str">
        <x:f>IF(A905="","",IF(E905="","기타/불명",IF(IFERROR(SEARCH("급여",E905),0)&gt;0,"인건비",IF(IFERROR(SEARCH("임차",E905),0)&gt;0,"임차·시설",IF(IFERROR(SEARCH("광고",E905),0)&gt;0,"광고·행사",IF(IFERROR(SEARCH("용역",E905),0)&gt;0,"용역·수수료","기타/불명"))))))</x:f>
      </x:c>
      <x:c r="J905" s="77" t="str">
        <x:f>IF(A905="","",IF(I905="기타/불명","확인 필요","결의서명으로 1차 확인"))</x:f>
      </x:c>
      <x:c r="K905" s="78"/>
    </x:row>
    <x:row r="906">
      <x:c r="A906" s="73"/>
      <x:c r="B906" s="73"/>
      <x:c r="C906" s="74"/>
      <x:c r="D906" s="73"/>
      <x:c r="E906" s="73"/>
      <x:c r="F906" s="75"/>
      <x:c r="G906" s="75"/>
      <x:c r="H906" s="76" t="str">
        <x:f>IF(A906="","",F906-G906)</x:f>
      </x:c>
      <x:c r="I906" s="77" t="str">
        <x:f>IF(A906="","",IF(E906="","기타/불명",IF(IFERROR(SEARCH("급여",E906),0)&gt;0,"인건비",IF(IFERROR(SEARCH("임차",E906),0)&gt;0,"임차·시설",IF(IFERROR(SEARCH("광고",E906),0)&gt;0,"광고·행사",IF(IFERROR(SEARCH("용역",E906),0)&gt;0,"용역·수수료","기타/불명"))))))</x:f>
      </x:c>
      <x:c r="J906" s="77" t="str">
        <x:f>IF(A906="","",IF(I906="기타/불명","확인 필요","결의서명으로 1차 확인"))</x:f>
      </x:c>
      <x:c r="K906" s="78"/>
    </x:row>
    <x:row r="907">
      <x:c r="A907" s="73"/>
      <x:c r="B907" s="73"/>
      <x:c r="C907" s="74"/>
      <x:c r="D907" s="73"/>
      <x:c r="E907" s="73"/>
      <x:c r="F907" s="75"/>
      <x:c r="G907" s="75"/>
      <x:c r="H907" s="76" t="str">
        <x:f>IF(A907="","",F907-G907)</x:f>
      </x:c>
      <x:c r="I907" s="77" t="str">
        <x:f>IF(A907="","",IF(E907="","기타/불명",IF(IFERROR(SEARCH("급여",E907),0)&gt;0,"인건비",IF(IFERROR(SEARCH("임차",E907),0)&gt;0,"임차·시설",IF(IFERROR(SEARCH("광고",E907),0)&gt;0,"광고·행사",IF(IFERROR(SEARCH("용역",E907),0)&gt;0,"용역·수수료","기타/불명"))))))</x:f>
      </x:c>
      <x:c r="J907" s="77" t="str">
        <x:f>IF(A907="","",IF(I907="기타/불명","확인 필요","결의서명으로 1차 확인"))</x:f>
      </x:c>
      <x:c r="K907" s="78"/>
    </x:row>
    <x:row r="908">
      <x:c r="A908" s="73"/>
      <x:c r="B908" s="73"/>
      <x:c r="C908" s="74"/>
      <x:c r="D908" s="73"/>
      <x:c r="E908" s="73"/>
      <x:c r="F908" s="75"/>
      <x:c r="G908" s="75"/>
      <x:c r="H908" s="76" t="str">
        <x:f>IF(A908="","",F908-G908)</x:f>
      </x:c>
      <x:c r="I908" s="77" t="str">
        <x:f>IF(A908="","",IF(E908="","기타/불명",IF(IFERROR(SEARCH("급여",E908),0)&gt;0,"인건비",IF(IFERROR(SEARCH("임차",E908),0)&gt;0,"임차·시설",IF(IFERROR(SEARCH("광고",E908),0)&gt;0,"광고·행사",IF(IFERROR(SEARCH("용역",E908),0)&gt;0,"용역·수수료","기타/불명"))))))</x:f>
      </x:c>
      <x:c r="J908" s="77" t="str">
        <x:f>IF(A908="","",IF(I908="기타/불명","확인 필요","결의서명으로 1차 확인"))</x:f>
      </x:c>
      <x:c r="K908" s="78"/>
    </x:row>
    <x:row r="909">
      <x:c r="A909" s="73"/>
      <x:c r="B909" s="73"/>
      <x:c r="C909" s="74"/>
      <x:c r="D909" s="73"/>
      <x:c r="E909" s="73"/>
      <x:c r="F909" s="75"/>
      <x:c r="G909" s="75"/>
      <x:c r="H909" s="76" t="str">
        <x:f>IF(A909="","",F909-G909)</x:f>
      </x:c>
      <x:c r="I909" s="77" t="str">
        <x:f>IF(A909="","",IF(E909="","기타/불명",IF(IFERROR(SEARCH("급여",E909),0)&gt;0,"인건비",IF(IFERROR(SEARCH("임차",E909),0)&gt;0,"임차·시설",IF(IFERROR(SEARCH("광고",E909),0)&gt;0,"광고·행사",IF(IFERROR(SEARCH("용역",E909),0)&gt;0,"용역·수수료","기타/불명"))))))</x:f>
      </x:c>
      <x:c r="J909" s="77" t="str">
        <x:f>IF(A909="","",IF(I909="기타/불명","확인 필요","결의서명으로 1차 확인"))</x:f>
      </x:c>
      <x:c r="K909" s="78"/>
    </x:row>
    <x:row r="910">
      <x:c r="A910" s="73"/>
      <x:c r="B910" s="73"/>
      <x:c r="C910" s="74"/>
      <x:c r="D910" s="73"/>
      <x:c r="E910" s="73"/>
      <x:c r="F910" s="75"/>
      <x:c r="G910" s="75"/>
      <x:c r="H910" s="76" t="str">
        <x:f>IF(A910="","",F910-G910)</x:f>
      </x:c>
      <x:c r="I910" s="77" t="str">
        <x:f>IF(A910="","",IF(E910="","기타/불명",IF(IFERROR(SEARCH("급여",E910),0)&gt;0,"인건비",IF(IFERROR(SEARCH("임차",E910),0)&gt;0,"임차·시설",IF(IFERROR(SEARCH("광고",E910),0)&gt;0,"광고·행사",IF(IFERROR(SEARCH("용역",E910),0)&gt;0,"용역·수수료","기타/불명"))))))</x:f>
      </x:c>
      <x:c r="J910" s="77" t="str">
        <x:f>IF(A910="","",IF(I910="기타/불명","확인 필요","결의서명으로 1차 확인"))</x:f>
      </x:c>
      <x:c r="K910" s="78"/>
    </x:row>
    <x:row r="911">
      <x:c r="A911" s="73"/>
      <x:c r="B911" s="73"/>
      <x:c r="C911" s="74"/>
      <x:c r="D911" s="73"/>
      <x:c r="E911" s="73"/>
      <x:c r="F911" s="75"/>
      <x:c r="G911" s="75"/>
      <x:c r="H911" s="76" t="str">
        <x:f>IF(A911="","",F911-G911)</x:f>
      </x:c>
      <x:c r="I911" s="77" t="str">
        <x:f>IF(A911="","",IF(E911="","기타/불명",IF(IFERROR(SEARCH("급여",E911),0)&gt;0,"인건비",IF(IFERROR(SEARCH("임차",E911),0)&gt;0,"임차·시설",IF(IFERROR(SEARCH("광고",E911),0)&gt;0,"광고·행사",IF(IFERROR(SEARCH("용역",E911),0)&gt;0,"용역·수수료","기타/불명"))))))</x:f>
      </x:c>
      <x:c r="J911" s="77" t="str">
        <x:f>IF(A911="","",IF(I911="기타/불명","확인 필요","결의서명으로 1차 확인"))</x:f>
      </x:c>
      <x:c r="K911" s="78"/>
    </x:row>
    <x:row r="912">
      <x:c r="A912" s="73"/>
      <x:c r="B912" s="73"/>
      <x:c r="C912" s="74"/>
      <x:c r="D912" s="73"/>
      <x:c r="E912" s="73"/>
      <x:c r="F912" s="75"/>
      <x:c r="G912" s="75"/>
      <x:c r="H912" s="76" t="str">
        <x:f>IF(A912="","",F912-G912)</x:f>
      </x:c>
      <x:c r="I912" s="77" t="str">
        <x:f>IF(A912="","",IF(E912="","기타/불명",IF(IFERROR(SEARCH("급여",E912),0)&gt;0,"인건비",IF(IFERROR(SEARCH("임차",E912),0)&gt;0,"임차·시설",IF(IFERROR(SEARCH("광고",E912),0)&gt;0,"광고·행사",IF(IFERROR(SEARCH("용역",E912),0)&gt;0,"용역·수수료","기타/불명"))))))</x:f>
      </x:c>
      <x:c r="J912" s="77" t="str">
        <x:f>IF(A912="","",IF(I912="기타/불명","확인 필요","결의서명으로 1차 확인"))</x:f>
      </x:c>
      <x:c r="K912" s="78"/>
    </x:row>
    <x:row r="913">
      <x:c r="A913" s="73"/>
      <x:c r="B913" s="73"/>
      <x:c r="C913" s="74"/>
      <x:c r="D913" s="73"/>
      <x:c r="E913" s="73"/>
      <x:c r="F913" s="75"/>
      <x:c r="G913" s="75"/>
      <x:c r="H913" s="76" t="str">
        <x:f>IF(A913="","",F913-G913)</x:f>
      </x:c>
      <x:c r="I913" s="77" t="str">
        <x:f>IF(A913="","",IF(E913="","기타/불명",IF(IFERROR(SEARCH("급여",E913),0)&gt;0,"인건비",IF(IFERROR(SEARCH("임차",E913),0)&gt;0,"임차·시설",IF(IFERROR(SEARCH("광고",E913),0)&gt;0,"광고·행사",IF(IFERROR(SEARCH("용역",E913),0)&gt;0,"용역·수수료","기타/불명"))))))</x:f>
      </x:c>
      <x:c r="J913" s="77" t="str">
        <x:f>IF(A913="","",IF(I913="기타/불명","확인 필요","결의서명으로 1차 확인"))</x:f>
      </x:c>
      <x:c r="K913" s="78"/>
    </x:row>
    <x:row r="914">
      <x:c r="A914" s="73"/>
      <x:c r="B914" s="73"/>
      <x:c r="C914" s="74"/>
      <x:c r="D914" s="73"/>
      <x:c r="E914" s="73"/>
      <x:c r="F914" s="75"/>
      <x:c r="G914" s="75"/>
      <x:c r="H914" s="76" t="str">
        <x:f>IF(A914="","",F914-G914)</x:f>
      </x:c>
      <x:c r="I914" s="77" t="str">
        <x:f>IF(A914="","",IF(E914="","기타/불명",IF(IFERROR(SEARCH("급여",E914),0)&gt;0,"인건비",IF(IFERROR(SEARCH("임차",E914),0)&gt;0,"임차·시설",IF(IFERROR(SEARCH("광고",E914),0)&gt;0,"광고·행사",IF(IFERROR(SEARCH("용역",E914),0)&gt;0,"용역·수수료","기타/불명"))))))</x:f>
      </x:c>
      <x:c r="J914" s="77" t="str">
        <x:f>IF(A914="","",IF(I914="기타/불명","확인 필요","결의서명으로 1차 확인"))</x:f>
      </x:c>
      <x:c r="K914" s="78"/>
    </x:row>
    <x:row r="915">
      <x:c r="A915" s="73"/>
      <x:c r="B915" s="73"/>
      <x:c r="C915" s="74"/>
      <x:c r="D915" s="73"/>
      <x:c r="E915" s="73"/>
      <x:c r="F915" s="75"/>
      <x:c r="G915" s="75"/>
      <x:c r="H915" s="76" t="str">
        <x:f>IF(A915="","",F915-G915)</x:f>
      </x:c>
      <x:c r="I915" s="77" t="str">
        <x:f>IF(A915="","",IF(E915="","기타/불명",IF(IFERROR(SEARCH("급여",E915),0)&gt;0,"인건비",IF(IFERROR(SEARCH("임차",E915),0)&gt;0,"임차·시설",IF(IFERROR(SEARCH("광고",E915),0)&gt;0,"광고·행사",IF(IFERROR(SEARCH("용역",E915),0)&gt;0,"용역·수수료","기타/불명"))))))</x:f>
      </x:c>
      <x:c r="J915" s="77" t="str">
        <x:f>IF(A915="","",IF(I915="기타/불명","확인 필요","결의서명으로 1차 확인"))</x:f>
      </x:c>
      <x:c r="K915" s="78"/>
    </x:row>
    <x:row r="916">
      <x:c r="A916" s="73"/>
      <x:c r="B916" s="73"/>
      <x:c r="C916" s="74"/>
      <x:c r="D916" s="73"/>
      <x:c r="E916" s="73"/>
      <x:c r="F916" s="75"/>
      <x:c r="G916" s="75"/>
      <x:c r="H916" s="76" t="str">
        <x:f>IF(A916="","",F916-G916)</x:f>
      </x:c>
      <x:c r="I916" s="77" t="str">
        <x:f>IF(A916="","",IF(E916="","기타/불명",IF(IFERROR(SEARCH("급여",E916),0)&gt;0,"인건비",IF(IFERROR(SEARCH("임차",E916),0)&gt;0,"임차·시설",IF(IFERROR(SEARCH("광고",E916),0)&gt;0,"광고·행사",IF(IFERROR(SEARCH("용역",E916),0)&gt;0,"용역·수수료","기타/불명"))))))</x:f>
      </x:c>
      <x:c r="J916" s="77" t="str">
        <x:f>IF(A916="","",IF(I916="기타/불명","확인 필요","결의서명으로 1차 확인"))</x:f>
      </x:c>
      <x:c r="K916" s="78"/>
    </x:row>
    <x:row r="917">
      <x:c r="A917" s="73"/>
      <x:c r="B917" s="73"/>
      <x:c r="C917" s="74"/>
      <x:c r="D917" s="73"/>
      <x:c r="E917" s="73"/>
      <x:c r="F917" s="75"/>
      <x:c r="G917" s="75"/>
      <x:c r="H917" s="76" t="str">
        <x:f>IF(A917="","",F917-G917)</x:f>
      </x:c>
      <x:c r="I917" s="77" t="str">
        <x:f>IF(A917="","",IF(E917="","기타/불명",IF(IFERROR(SEARCH("급여",E917),0)&gt;0,"인건비",IF(IFERROR(SEARCH("임차",E917),0)&gt;0,"임차·시설",IF(IFERROR(SEARCH("광고",E917),0)&gt;0,"광고·행사",IF(IFERROR(SEARCH("용역",E917),0)&gt;0,"용역·수수료","기타/불명"))))))</x:f>
      </x:c>
      <x:c r="J917" s="77" t="str">
        <x:f>IF(A917="","",IF(I917="기타/불명","확인 필요","결의서명으로 1차 확인"))</x:f>
      </x:c>
      <x:c r="K917" s="78"/>
    </x:row>
    <x:row r="918">
      <x:c r="A918" s="73"/>
      <x:c r="B918" s="73"/>
      <x:c r="C918" s="74"/>
      <x:c r="D918" s="73"/>
      <x:c r="E918" s="73"/>
      <x:c r="F918" s="75"/>
      <x:c r="G918" s="75"/>
      <x:c r="H918" s="76" t="str">
        <x:f>IF(A918="","",F918-G918)</x:f>
      </x:c>
      <x:c r="I918" s="77" t="str">
        <x:f>IF(A918="","",IF(E918="","기타/불명",IF(IFERROR(SEARCH("급여",E918),0)&gt;0,"인건비",IF(IFERROR(SEARCH("임차",E918),0)&gt;0,"임차·시설",IF(IFERROR(SEARCH("광고",E918),0)&gt;0,"광고·행사",IF(IFERROR(SEARCH("용역",E918),0)&gt;0,"용역·수수료","기타/불명"))))))</x:f>
      </x:c>
      <x:c r="J918" s="77" t="str">
        <x:f>IF(A918="","",IF(I918="기타/불명","확인 필요","결의서명으로 1차 확인"))</x:f>
      </x:c>
      <x:c r="K918" s="78"/>
    </x:row>
    <x:row r="919">
      <x:c r="A919" s="73"/>
      <x:c r="B919" s="73"/>
      <x:c r="C919" s="74"/>
      <x:c r="D919" s="73"/>
      <x:c r="E919" s="73"/>
      <x:c r="F919" s="75"/>
      <x:c r="G919" s="75"/>
      <x:c r="H919" s="76" t="str">
        <x:f>IF(A919="","",F919-G919)</x:f>
      </x:c>
      <x:c r="I919" s="77" t="str">
        <x:f>IF(A919="","",IF(E919="","기타/불명",IF(IFERROR(SEARCH("급여",E919),0)&gt;0,"인건비",IF(IFERROR(SEARCH("임차",E919),0)&gt;0,"임차·시설",IF(IFERROR(SEARCH("광고",E919),0)&gt;0,"광고·행사",IF(IFERROR(SEARCH("용역",E919),0)&gt;0,"용역·수수료","기타/불명"))))))</x:f>
      </x:c>
      <x:c r="J919" s="77" t="str">
        <x:f>IF(A919="","",IF(I919="기타/불명","확인 필요","결의서명으로 1차 확인"))</x:f>
      </x:c>
      <x:c r="K919" s="78"/>
    </x:row>
    <x:row r="920">
      <x:c r="A920" s="73"/>
      <x:c r="B920" s="73"/>
      <x:c r="C920" s="74"/>
      <x:c r="D920" s="73"/>
      <x:c r="E920" s="73"/>
      <x:c r="F920" s="75"/>
      <x:c r="G920" s="75"/>
      <x:c r="H920" s="76" t="str">
        <x:f>IF(A920="","",F920-G920)</x:f>
      </x:c>
      <x:c r="I920" s="77" t="str">
        <x:f>IF(A920="","",IF(E920="","기타/불명",IF(IFERROR(SEARCH("급여",E920),0)&gt;0,"인건비",IF(IFERROR(SEARCH("임차",E920),0)&gt;0,"임차·시설",IF(IFERROR(SEARCH("광고",E920),0)&gt;0,"광고·행사",IF(IFERROR(SEARCH("용역",E920),0)&gt;0,"용역·수수료","기타/불명"))))))</x:f>
      </x:c>
      <x:c r="J920" s="77" t="str">
        <x:f>IF(A920="","",IF(I920="기타/불명","확인 필요","결의서명으로 1차 확인"))</x:f>
      </x:c>
      <x:c r="K920" s="78"/>
    </x:row>
    <x:row r="921">
      <x:c r="A921" s="73"/>
      <x:c r="B921" s="73"/>
      <x:c r="C921" s="74"/>
      <x:c r="D921" s="73"/>
      <x:c r="E921" s="73"/>
      <x:c r="F921" s="75"/>
      <x:c r="G921" s="75"/>
      <x:c r="H921" s="76" t="str">
        <x:f>IF(A921="","",F921-G921)</x:f>
      </x:c>
      <x:c r="I921" s="77" t="str">
        <x:f>IF(A921="","",IF(E921="","기타/불명",IF(IFERROR(SEARCH("급여",E921),0)&gt;0,"인건비",IF(IFERROR(SEARCH("임차",E921),0)&gt;0,"임차·시설",IF(IFERROR(SEARCH("광고",E921),0)&gt;0,"광고·행사",IF(IFERROR(SEARCH("용역",E921),0)&gt;0,"용역·수수료","기타/불명"))))))</x:f>
      </x:c>
      <x:c r="J921" s="77" t="str">
        <x:f>IF(A921="","",IF(I921="기타/불명","확인 필요","결의서명으로 1차 확인"))</x:f>
      </x:c>
      <x:c r="K921" s="78"/>
    </x:row>
    <x:row r="922">
      <x:c r="A922" s="73"/>
      <x:c r="B922" s="73"/>
      <x:c r="C922" s="74"/>
      <x:c r="D922" s="73"/>
      <x:c r="E922" s="73"/>
      <x:c r="F922" s="75"/>
      <x:c r="G922" s="75"/>
      <x:c r="H922" s="76" t="str">
        <x:f>IF(A922="","",F922-G922)</x:f>
      </x:c>
      <x:c r="I922" s="77" t="str">
        <x:f>IF(A922="","",IF(E922="","기타/불명",IF(IFERROR(SEARCH("급여",E922),0)&gt;0,"인건비",IF(IFERROR(SEARCH("임차",E922),0)&gt;0,"임차·시설",IF(IFERROR(SEARCH("광고",E922),0)&gt;0,"광고·행사",IF(IFERROR(SEARCH("용역",E922),0)&gt;0,"용역·수수료","기타/불명"))))))</x:f>
      </x:c>
      <x:c r="J922" s="77" t="str">
        <x:f>IF(A922="","",IF(I922="기타/불명","확인 필요","결의서명으로 1차 확인"))</x:f>
      </x:c>
      <x:c r="K922" s="78"/>
    </x:row>
    <x:row r="923">
      <x:c r="A923" s="73"/>
      <x:c r="B923" s="73"/>
      <x:c r="C923" s="74"/>
      <x:c r="D923" s="73"/>
      <x:c r="E923" s="73"/>
      <x:c r="F923" s="75"/>
      <x:c r="G923" s="75"/>
      <x:c r="H923" s="76" t="str">
        <x:f>IF(A923="","",F923-G923)</x:f>
      </x:c>
      <x:c r="I923" s="77" t="str">
        <x:f>IF(A923="","",IF(E923="","기타/불명",IF(IFERROR(SEARCH("급여",E923),0)&gt;0,"인건비",IF(IFERROR(SEARCH("임차",E923),0)&gt;0,"임차·시설",IF(IFERROR(SEARCH("광고",E923),0)&gt;0,"광고·행사",IF(IFERROR(SEARCH("용역",E923),0)&gt;0,"용역·수수료","기타/불명"))))))</x:f>
      </x:c>
      <x:c r="J923" s="77" t="str">
        <x:f>IF(A923="","",IF(I923="기타/불명","확인 필요","결의서명으로 1차 확인"))</x:f>
      </x:c>
      <x:c r="K923" s="78"/>
    </x:row>
    <x:row r="924">
      <x:c r="A924" s="73"/>
      <x:c r="B924" s="73"/>
      <x:c r="C924" s="74"/>
      <x:c r="D924" s="73"/>
      <x:c r="E924" s="73"/>
      <x:c r="F924" s="75"/>
      <x:c r="G924" s="75"/>
      <x:c r="H924" s="76" t="str">
        <x:f>IF(A924="","",F924-G924)</x:f>
      </x:c>
      <x:c r="I924" s="77" t="str">
        <x:f>IF(A924="","",IF(E924="","기타/불명",IF(IFERROR(SEARCH("급여",E924),0)&gt;0,"인건비",IF(IFERROR(SEARCH("임차",E924),0)&gt;0,"임차·시설",IF(IFERROR(SEARCH("광고",E924),0)&gt;0,"광고·행사",IF(IFERROR(SEARCH("용역",E924),0)&gt;0,"용역·수수료","기타/불명"))))))</x:f>
      </x:c>
      <x:c r="J924" s="77" t="str">
        <x:f>IF(A924="","",IF(I924="기타/불명","확인 필요","결의서명으로 1차 확인"))</x:f>
      </x:c>
      <x:c r="K924" s="78"/>
    </x:row>
    <x:row r="925">
      <x:c r="A925" s="73"/>
      <x:c r="B925" s="73"/>
      <x:c r="C925" s="74"/>
      <x:c r="D925" s="73"/>
      <x:c r="E925" s="73"/>
      <x:c r="F925" s="75"/>
      <x:c r="G925" s="75"/>
      <x:c r="H925" s="76" t="str">
        <x:f>IF(A925="","",F925-G925)</x:f>
      </x:c>
      <x:c r="I925" s="77" t="str">
        <x:f>IF(A925="","",IF(E925="","기타/불명",IF(IFERROR(SEARCH("급여",E925),0)&gt;0,"인건비",IF(IFERROR(SEARCH("임차",E925),0)&gt;0,"임차·시설",IF(IFERROR(SEARCH("광고",E925),0)&gt;0,"광고·행사",IF(IFERROR(SEARCH("용역",E925),0)&gt;0,"용역·수수료","기타/불명"))))))</x:f>
      </x:c>
      <x:c r="J925" s="77" t="str">
        <x:f>IF(A925="","",IF(I925="기타/불명","확인 필요","결의서명으로 1차 확인"))</x:f>
      </x:c>
      <x:c r="K925" s="78"/>
    </x:row>
    <x:row r="926">
      <x:c r="A926" s="73"/>
      <x:c r="B926" s="73"/>
      <x:c r="C926" s="74"/>
      <x:c r="D926" s="73"/>
      <x:c r="E926" s="73"/>
      <x:c r="F926" s="75"/>
      <x:c r="G926" s="75"/>
      <x:c r="H926" s="76" t="str">
        <x:f>IF(A926="","",F926-G926)</x:f>
      </x:c>
      <x:c r="I926" s="77" t="str">
        <x:f>IF(A926="","",IF(E926="","기타/불명",IF(IFERROR(SEARCH("급여",E926),0)&gt;0,"인건비",IF(IFERROR(SEARCH("임차",E926),0)&gt;0,"임차·시설",IF(IFERROR(SEARCH("광고",E926),0)&gt;0,"광고·행사",IF(IFERROR(SEARCH("용역",E926),0)&gt;0,"용역·수수료","기타/불명"))))))</x:f>
      </x:c>
      <x:c r="J926" s="77" t="str">
        <x:f>IF(A926="","",IF(I926="기타/불명","확인 필요","결의서명으로 1차 확인"))</x:f>
      </x:c>
      <x:c r="K926" s="78"/>
    </x:row>
    <x:row r="927">
      <x:c r="A927" s="73"/>
      <x:c r="B927" s="73"/>
      <x:c r="C927" s="74"/>
      <x:c r="D927" s="73"/>
      <x:c r="E927" s="73"/>
      <x:c r="F927" s="75"/>
      <x:c r="G927" s="75"/>
      <x:c r="H927" s="76" t="str">
        <x:f>IF(A927="","",F927-G927)</x:f>
      </x:c>
      <x:c r="I927" s="77" t="str">
        <x:f>IF(A927="","",IF(E927="","기타/불명",IF(IFERROR(SEARCH("급여",E927),0)&gt;0,"인건비",IF(IFERROR(SEARCH("임차",E927),0)&gt;0,"임차·시설",IF(IFERROR(SEARCH("광고",E927),0)&gt;0,"광고·행사",IF(IFERROR(SEARCH("용역",E927),0)&gt;0,"용역·수수료","기타/불명"))))))</x:f>
      </x:c>
      <x:c r="J927" s="77" t="str">
        <x:f>IF(A927="","",IF(I927="기타/불명","확인 필요","결의서명으로 1차 확인"))</x:f>
      </x:c>
      <x:c r="K927" s="78"/>
    </x:row>
    <x:row r="928">
      <x:c r="A928" s="73"/>
      <x:c r="B928" s="73"/>
      <x:c r="C928" s="74"/>
      <x:c r="D928" s="73"/>
      <x:c r="E928" s="73"/>
      <x:c r="F928" s="75"/>
      <x:c r="G928" s="75"/>
      <x:c r="H928" s="76" t="str">
        <x:f>IF(A928="","",F928-G928)</x:f>
      </x:c>
      <x:c r="I928" s="77" t="str">
        <x:f>IF(A928="","",IF(E928="","기타/불명",IF(IFERROR(SEARCH("급여",E928),0)&gt;0,"인건비",IF(IFERROR(SEARCH("임차",E928),0)&gt;0,"임차·시설",IF(IFERROR(SEARCH("광고",E928),0)&gt;0,"광고·행사",IF(IFERROR(SEARCH("용역",E928),0)&gt;0,"용역·수수료","기타/불명"))))))</x:f>
      </x:c>
      <x:c r="J928" s="77" t="str">
        <x:f>IF(A928="","",IF(I928="기타/불명","확인 필요","결의서명으로 1차 확인"))</x:f>
      </x:c>
      <x:c r="K928" s="78"/>
    </x:row>
    <x:row r="929">
      <x:c r="A929" s="73"/>
      <x:c r="B929" s="73"/>
      <x:c r="C929" s="74"/>
      <x:c r="D929" s="73"/>
      <x:c r="E929" s="73"/>
      <x:c r="F929" s="75"/>
      <x:c r="G929" s="75"/>
      <x:c r="H929" s="76" t="str">
        <x:f>IF(A929="","",F929-G929)</x:f>
      </x:c>
      <x:c r="I929" s="77" t="str">
        <x:f>IF(A929="","",IF(E929="","기타/불명",IF(IFERROR(SEARCH("급여",E929),0)&gt;0,"인건비",IF(IFERROR(SEARCH("임차",E929),0)&gt;0,"임차·시설",IF(IFERROR(SEARCH("광고",E929),0)&gt;0,"광고·행사",IF(IFERROR(SEARCH("용역",E929),0)&gt;0,"용역·수수료","기타/불명"))))))</x:f>
      </x:c>
      <x:c r="J929" s="77" t="str">
        <x:f>IF(A929="","",IF(I929="기타/불명","확인 필요","결의서명으로 1차 확인"))</x:f>
      </x:c>
      <x:c r="K929" s="78"/>
    </x:row>
    <x:row r="930">
      <x:c r="A930" s="73"/>
      <x:c r="B930" s="73"/>
      <x:c r="C930" s="74"/>
      <x:c r="D930" s="73"/>
      <x:c r="E930" s="73"/>
      <x:c r="F930" s="75"/>
      <x:c r="G930" s="75"/>
      <x:c r="H930" s="76" t="str">
        <x:f>IF(A930="","",F930-G930)</x:f>
      </x:c>
      <x:c r="I930" s="77" t="str">
        <x:f>IF(A930="","",IF(E930="","기타/불명",IF(IFERROR(SEARCH("급여",E930),0)&gt;0,"인건비",IF(IFERROR(SEARCH("임차",E930),0)&gt;0,"임차·시설",IF(IFERROR(SEARCH("광고",E930),0)&gt;0,"광고·행사",IF(IFERROR(SEARCH("용역",E930),0)&gt;0,"용역·수수료","기타/불명"))))))</x:f>
      </x:c>
      <x:c r="J930" s="77" t="str">
        <x:f>IF(A930="","",IF(I930="기타/불명","확인 필요","결의서명으로 1차 확인"))</x:f>
      </x:c>
      <x:c r="K930" s="78"/>
    </x:row>
    <x:row r="931">
      <x:c r="A931" s="73"/>
      <x:c r="B931" s="73"/>
      <x:c r="C931" s="74"/>
      <x:c r="D931" s="73"/>
      <x:c r="E931" s="73"/>
      <x:c r="F931" s="75"/>
      <x:c r="G931" s="75"/>
      <x:c r="H931" s="76" t="str">
        <x:f>IF(A931="","",F931-G931)</x:f>
      </x:c>
      <x:c r="I931" s="77" t="str">
        <x:f>IF(A931="","",IF(E931="","기타/불명",IF(IFERROR(SEARCH("급여",E931),0)&gt;0,"인건비",IF(IFERROR(SEARCH("임차",E931),0)&gt;0,"임차·시설",IF(IFERROR(SEARCH("광고",E931),0)&gt;0,"광고·행사",IF(IFERROR(SEARCH("용역",E931),0)&gt;0,"용역·수수료","기타/불명"))))))</x:f>
      </x:c>
      <x:c r="J931" s="77" t="str">
        <x:f>IF(A931="","",IF(I931="기타/불명","확인 필요","결의서명으로 1차 확인"))</x:f>
      </x:c>
      <x:c r="K931" s="78"/>
    </x:row>
    <x:row r="932">
      <x:c r="A932" s="73"/>
      <x:c r="B932" s="73"/>
      <x:c r="C932" s="74"/>
      <x:c r="D932" s="73"/>
      <x:c r="E932" s="73"/>
      <x:c r="F932" s="75"/>
      <x:c r="G932" s="75"/>
      <x:c r="H932" s="76" t="str">
        <x:f>IF(A932="","",F932-G932)</x:f>
      </x:c>
      <x:c r="I932" s="77" t="str">
        <x:f>IF(A932="","",IF(E932="","기타/불명",IF(IFERROR(SEARCH("급여",E932),0)&gt;0,"인건비",IF(IFERROR(SEARCH("임차",E932),0)&gt;0,"임차·시설",IF(IFERROR(SEARCH("광고",E932),0)&gt;0,"광고·행사",IF(IFERROR(SEARCH("용역",E932),0)&gt;0,"용역·수수료","기타/불명"))))))</x:f>
      </x:c>
      <x:c r="J932" s="77" t="str">
        <x:f>IF(A932="","",IF(I932="기타/불명","확인 필요","결의서명으로 1차 확인"))</x:f>
      </x:c>
      <x:c r="K932" s="78"/>
    </x:row>
    <x:row r="933">
      <x:c r="A933" s="73"/>
      <x:c r="B933" s="73"/>
      <x:c r="C933" s="74"/>
      <x:c r="D933" s="73"/>
      <x:c r="E933" s="73"/>
      <x:c r="F933" s="75"/>
      <x:c r="G933" s="75"/>
      <x:c r="H933" s="76" t="str">
        <x:f>IF(A933="","",F933-G933)</x:f>
      </x:c>
      <x:c r="I933" s="77" t="str">
        <x:f>IF(A933="","",IF(E933="","기타/불명",IF(IFERROR(SEARCH("급여",E933),0)&gt;0,"인건비",IF(IFERROR(SEARCH("임차",E933),0)&gt;0,"임차·시설",IF(IFERROR(SEARCH("광고",E933),0)&gt;0,"광고·행사",IF(IFERROR(SEARCH("용역",E933),0)&gt;0,"용역·수수료","기타/불명"))))))</x:f>
      </x:c>
      <x:c r="J933" s="77" t="str">
        <x:f>IF(A933="","",IF(I933="기타/불명","확인 필요","결의서명으로 1차 확인"))</x:f>
      </x:c>
      <x:c r="K933" s="78"/>
    </x:row>
    <x:row r="934">
      <x:c r="A934" s="73"/>
      <x:c r="B934" s="73"/>
      <x:c r="C934" s="74"/>
      <x:c r="D934" s="73"/>
      <x:c r="E934" s="73"/>
      <x:c r="F934" s="75"/>
      <x:c r="G934" s="75"/>
      <x:c r="H934" s="76" t="str">
        <x:f>IF(A934="","",F934-G934)</x:f>
      </x:c>
      <x:c r="I934" s="77" t="str">
        <x:f>IF(A934="","",IF(E934="","기타/불명",IF(IFERROR(SEARCH("급여",E934),0)&gt;0,"인건비",IF(IFERROR(SEARCH("임차",E934),0)&gt;0,"임차·시설",IF(IFERROR(SEARCH("광고",E934),0)&gt;0,"광고·행사",IF(IFERROR(SEARCH("용역",E934),0)&gt;0,"용역·수수료","기타/불명"))))))</x:f>
      </x:c>
      <x:c r="J934" s="77" t="str">
        <x:f>IF(A934="","",IF(I934="기타/불명","확인 필요","결의서명으로 1차 확인"))</x:f>
      </x:c>
      <x:c r="K934" s="78"/>
    </x:row>
    <x:row r="935">
      <x:c r="A935" s="73"/>
      <x:c r="B935" s="73"/>
      <x:c r="C935" s="74"/>
      <x:c r="D935" s="73"/>
      <x:c r="E935" s="73"/>
      <x:c r="F935" s="75"/>
      <x:c r="G935" s="75"/>
      <x:c r="H935" s="76" t="str">
        <x:f>IF(A935="","",F935-G935)</x:f>
      </x:c>
      <x:c r="I935" s="77" t="str">
        <x:f>IF(A935="","",IF(E935="","기타/불명",IF(IFERROR(SEARCH("급여",E935),0)&gt;0,"인건비",IF(IFERROR(SEARCH("임차",E935),0)&gt;0,"임차·시설",IF(IFERROR(SEARCH("광고",E935),0)&gt;0,"광고·행사",IF(IFERROR(SEARCH("용역",E935),0)&gt;0,"용역·수수료","기타/불명"))))))</x:f>
      </x:c>
      <x:c r="J935" s="77" t="str">
        <x:f>IF(A935="","",IF(I935="기타/불명","확인 필요","결의서명으로 1차 확인"))</x:f>
      </x:c>
      <x:c r="K935" s="78"/>
    </x:row>
    <x:row r="936">
      <x:c r="A936" s="73"/>
      <x:c r="B936" s="73"/>
      <x:c r="C936" s="74"/>
      <x:c r="D936" s="73"/>
      <x:c r="E936" s="73"/>
      <x:c r="F936" s="75"/>
      <x:c r="G936" s="75"/>
      <x:c r="H936" s="76" t="str">
        <x:f>IF(A936="","",F936-G936)</x:f>
      </x:c>
      <x:c r="I936" s="77" t="str">
        <x:f>IF(A936="","",IF(E936="","기타/불명",IF(IFERROR(SEARCH("급여",E936),0)&gt;0,"인건비",IF(IFERROR(SEARCH("임차",E936),0)&gt;0,"임차·시설",IF(IFERROR(SEARCH("광고",E936),0)&gt;0,"광고·행사",IF(IFERROR(SEARCH("용역",E936),0)&gt;0,"용역·수수료","기타/불명"))))))</x:f>
      </x:c>
      <x:c r="J936" s="77" t="str">
        <x:f>IF(A936="","",IF(I936="기타/불명","확인 필요","결의서명으로 1차 확인"))</x:f>
      </x:c>
      <x:c r="K936" s="78"/>
    </x:row>
    <x:row r="937">
      <x:c r="A937" s="73"/>
      <x:c r="B937" s="73"/>
      <x:c r="C937" s="74"/>
      <x:c r="D937" s="73"/>
      <x:c r="E937" s="73"/>
      <x:c r="F937" s="75"/>
      <x:c r="G937" s="75"/>
      <x:c r="H937" s="76" t="str">
        <x:f>IF(A937="","",F937-G937)</x:f>
      </x:c>
      <x:c r="I937" s="77" t="str">
        <x:f>IF(A937="","",IF(E937="","기타/불명",IF(IFERROR(SEARCH("급여",E937),0)&gt;0,"인건비",IF(IFERROR(SEARCH("임차",E937),0)&gt;0,"임차·시설",IF(IFERROR(SEARCH("광고",E937),0)&gt;0,"광고·행사",IF(IFERROR(SEARCH("용역",E937),0)&gt;0,"용역·수수료","기타/불명"))))))</x:f>
      </x:c>
      <x:c r="J937" s="77" t="str">
        <x:f>IF(A937="","",IF(I937="기타/불명","확인 필요","결의서명으로 1차 확인"))</x:f>
      </x:c>
      <x:c r="K937" s="78"/>
    </x:row>
    <x:row r="938">
      <x:c r="A938" s="73"/>
      <x:c r="B938" s="73"/>
      <x:c r="C938" s="74"/>
      <x:c r="D938" s="73"/>
      <x:c r="E938" s="73"/>
      <x:c r="F938" s="75"/>
      <x:c r="G938" s="75"/>
      <x:c r="H938" s="76" t="str">
        <x:f>IF(A938="","",F938-G938)</x:f>
      </x:c>
      <x:c r="I938" s="77" t="str">
        <x:f>IF(A938="","",IF(E938="","기타/불명",IF(IFERROR(SEARCH("급여",E938),0)&gt;0,"인건비",IF(IFERROR(SEARCH("임차",E938),0)&gt;0,"임차·시설",IF(IFERROR(SEARCH("광고",E938),0)&gt;0,"광고·행사",IF(IFERROR(SEARCH("용역",E938),0)&gt;0,"용역·수수료","기타/불명"))))))</x:f>
      </x:c>
      <x:c r="J938" s="77" t="str">
        <x:f>IF(A938="","",IF(I938="기타/불명","확인 필요","결의서명으로 1차 확인"))</x:f>
      </x:c>
      <x:c r="K938" s="78"/>
    </x:row>
    <x:row r="939">
      <x:c r="A939" s="73"/>
      <x:c r="B939" s="73"/>
      <x:c r="C939" s="74"/>
      <x:c r="D939" s="73"/>
      <x:c r="E939" s="73"/>
      <x:c r="F939" s="75"/>
      <x:c r="G939" s="75"/>
      <x:c r="H939" s="76" t="str">
        <x:f>IF(A939="","",F939-G939)</x:f>
      </x:c>
      <x:c r="I939" s="77" t="str">
        <x:f>IF(A939="","",IF(E939="","기타/불명",IF(IFERROR(SEARCH("급여",E939),0)&gt;0,"인건비",IF(IFERROR(SEARCH("임차",E939),0)&gt;0,"임차·시설",IF(IFERROR(SEARCH("광고",E939),0)&gt;0,"광고·행사",IF(IFERROR(SEARCH("용역",E939),0)&gt;0,"용역·수수료","기타/불명"))))))</x:f>
      </x:c>
      <x:c r="J939" s="77" t="str">
        <x:f>IF(A939="","",IF(I939="기타/불명","확인 필요","결의서명으로 1차 확인"))</x:f>
      </x:c>
      <x:c r="K939" s="78"/>
    </x:row>
    <x:row r="940">
      <x:c r="A940" s="73"/>
      <x:c r="B940" s="73"/>
      <x:c r="C940" s="74"/>
      <x:c r="D940" s="73"/>
      <x:c r="E940" s="73"/>
      <x:c r="F940" s="75"/>
      <x:c r="G940" s="75"/>
      <x:c r="H940" s="76" t="str">
        <x:f>IF(A940="","",F940-G940)</x:f>
      </x:c>
      <x:c r="I940" s="77" t="str">
        <x:f>IF(A940="","",IF(E940="","기타/불명",IF(IFERROR(SEARCH("급여",E940),0)&gt;0,"인건비",IF(IFERROR(SEARCH("임차",E940),0)&gt;0,"임차·시설",IF(IFERROR(SEARCH("광고",E940),0)&gt;0,"광고·행사",IF(IFERROR(SEARCH("용역",E940),0)&gt;0,"용역·수수료","기타/불명"))))))</x:f>
      </x:c>
      <x:c r="J940" s="77" t="str">
        <x:f>IF(A940="","",IF(I940="기타/불명","확인 필요","결의서명으로 1차 확인"))</x:f>
      </x:c>
      <x:c r="K940" s="78"/>
    </x:row>
    <x:row r="941">
      <x:c r="A941" s="73"/>
      <x:c r="B941" s="73"/>
      <x:c r="C941" s="74"/>
      <x:c r="D941" s="73"/>
      <x:c r="E941" s="73"/>
      <x:c r="F941" s="75"/>
      <x:c r="G941" s="75"/>
      <x:c r="H941" s="76" t="str">
        <x:f>IF(A941="","",F941-G941)</x:f>
      </x:c>
      <x:c r="I941" s="77" t="str">
        <x:f>IF(A941="","",IF(E941="","기타/불명",IF(IFERROR(SEARCH("급여",E941),0)&gt;0,"인건비",IF(IFERROR(SEARCH("임차",E941),0)&gt;0,"임차·시설",IF(IFERROR(SEARCH("광고",E941),0)&gt;0,"광고·행사",IF(IFERROR(SEARCH("용역",E941),0)&gt;0,"용역·수수료","기타/불명"))))))</x:f>
      </x:c>
      <x:c r="J941" s="77" t="str">
        <x:f>IF(A941="","",IF(I941="기타/불명","확인 필요","결의서명으로 1차 확인"))</x:f>
      </x:c>
      <x:c r="K941" s="78"/>
    </x:row>
    <x:row r="942">
      <x:c r="A942" s="73"/>
      <x:c r="B942" s="73"/>
      <x:c r="C942" s="74"/>
      <x:c r="D942" s="73"/>
      <x:c r="E942" s="73"/>
      <x:c r="F942" s="75"/>
      <x:c r="G942" s="75"/>
      <x:c r="H942" s="76" t="str">
        <x:f>IF(A942="","",F942-G942)</x:f>
      </x:c>
      <x:c r="I942" s="77" t="str">
        <x:f>IF(A942="","",IF(E942="","기타/불명",IF(IFERROR(SEARCH("급여",E942),0)&gt;0,"인건비",IF(IFERROR(SEARCH("임차",E942),0)&gt;0,"임차·시설",IF(IFERROR(SEARCH("광고",E942),0)&gt;0,"광고·행사",IF(IFERROR(SEARCH("용역",E942),0)&gt;0,"용역·수수료","기타/불명"))))))</x:f>
      </x:c>
      <x:c r="J942" s="77" t="str">
        <x:f>IF(A942="","",IF(I942="기타/불명","확인 필요","결의서명으로 1차 확인"))</x:f>
      </x:c>
      <x:c r="K942" s="78"/>
    </x:row>
    <x:row r="943">
      <x:c r="A943" s="73"/>
      <x:c r="B943" s="73"/>
      <x:c r="C943" s="74"/>
      <x:c r="D943" s="73"/>
      <x:c r="E943" s="73"/>
      <x:c r="F943" s="75"/>
      <x:c r="G943" s="75"/>
      <x:c r="H943" s="76" t="str">
        <x:f>IF(A943="","",F943-G943)</x:f>
      </x:c>
      <x:c r="I943" s="77" t="str">
        <x:f>IF(A943="","",IF(E943="","기타/불명",IF(IFERROR(SEARCH("급여",E943),0)&gt;0,"인건비",IF(IFERROR(SEARCH("임차",E943),0)&gt;0,"임차·시설",IF(IFERROR(SEARCH("광고",E943),0)&gt;0,"광고·행사",IF(IFERROR(SEARCH("용역",E943),0)&gt;0,"용역·수수료","기타/불명"))))))</x:f>
      </x:c>
      <x:c r="J943" s="77" t="str">
        <x:f>IF(A943="","",IF(I943="기타/불명","확인 필요","결의서명으로 1차 확인"))</x:f>
      </x:c>
      <x:c r="K943" s="78"/>
    </x:row>
    <x:row r="944">
      <x:c r="A944" s="73"/>
      <x:c r="B944" s="73"/>
      <x:c r="C944" s="74"/>
      <x:c r="D944" s="73"/>
      <x:c r="E944" s="73"/>
      <x:c r="F944" s="75"/>
      <x:c r="G944" s="75"/>
      <x:c r="H944" s="76" t="str">
        <x:f>IF(A944="","",F944-G944)</x:f>
      </x:c>
      <x:c r="I944" s="77" t="str">
        <x:f>IF(A944="","",IF(E944="","기타/불명",IF(IFERROR(SEARCH("급여",E944),0)&gt;0,"인건비",IF(IFERROR(SEARCH("임차",E944),0)&gt;0,"임차·시설",IF(IFERROR(SEARCH("광고",E944),0)&gt;0,"광고·행사",IF(IFERROR(SEARCH("용역",E944),0)&gt;0,"용역·수수료","기타/불명"))))))</x:f>
      </x:c>
      <x:c r="J944" s="77" t="str">
        <x:f>IF(A944="","",IF(I944="기타/불명","확인 필요","결의서명으로 1차 확인"))</x:f>
      </x:c>
      <x:c r="K944" s="78"/>
    </x:row>
    <x:row r="945">
      <x:c r="A945" s="73"/>
      <x:c r="B945" s="73"/>
      <x:c r="C945" s="74"/>
      <x:c r="D945" s="73"/>
      <x:c r="E945" s="73"/>
      <x:c r="F945" s="75"/>
      <x:c r="G945" s="75"/>
      <x:c r="H945" s="76" t="str">
        <x:f>IF(A945="","",F945-G945)</x:f>
      </x:c>
      <x:c r="I945" s="77" t="str">
        <x:f>IF(A945="","",IF(E945="","기타/불명",IF(IFERROR(SEARCH("급여",E945),0)&gt;0,"인건비",IF(IFERROR(SEARCH("임차",E945),0)&gt;0,"임차·시설",IF(IFERROR(SEARCH("광고",E945),0)&gt;0,"광고·행사",IF(IFERROR(SEARCH("용역",E945),0)&gt;0,"용역·수수료","기타/불명"))))))</x:f>
      </x:c>
      <x:c r="J945" s="77" t="str">
        <x:f>IF(A945="","",IF(I945="기타/불명","확인 필요","결의서명으로 1차 확인"))</x:f>
      </x:c>
      <x:c r="K945" s="78"/>
    </x:row>
    <x:row r="946">
      <x:c r="A946" s="73"/>
      <x:c r="B946" s="73"/>
      <x:c r="C946" s="74"/>
      <x:c r="D946" s="73"/>
      <x:c r="E946" s="73"/>
      <x:c r="F946" s="75"/>
      <x:c r="G946" s="75"/>
      <x:c r="H946" s="76" t="str">
        <x:f>IF(A946="","",F946-G946)</x:f>
      </x:c>
      <x:c r="I946" s="77" t="str">
        <x:f>IF(A946="","",IF(E946="","기타/불명",IF(IFERROR(SEARCH("급여",E946),0)&gt;0,"인건비",IF(IFERROR(SEARCH("임차",E946),0)&gt;0,"임차·시설",IF(IFERROR(SEARCH("광고",E946),0)&gt;0,"광고·행사",IF(IFERROR(SEARCH("용역",E946),0)&gt;0,"용역·수수료","기타/불명"))))))</x:f>
      </x:c>
      <x:c r="J946" s="77" t="str">
        <x:f>IF(A946="","",IF(I946="기타/불명","확인 필요","결의서명으로 1차 확인"))</x:f>
      </x:c>
      <x:c r="K946" s="78"/>
    </x:row>
    <x:row r="947">
      <x:c r="A947" s="73"/>
      <x:c r="B947" s="73"/>
      <x:c r="C947" s="74"/>
      <x:c r="D947" s="73"/>
      <x:c r="E947" s="73"/>
      <x:c r="F947" s="75"/>
      <x:c r="G947" s="75"/>
      <x:c r="H947" s="76" t="str">
        <x:f>IF(A947="","",F947-G947)</x:f>
      </x:c>
      <x:c r="I947" s="77" t="str">
        <x:f>IF(A947="","",IF(E947="","기타/불명",IF(IFERROR(SEARCH("급여",E947),0)&gt;0,"인건비",IF(IFERROR(SEARCH("임차",E947),0)&gt;0,"임차·시설",IF(IFERROR(SEARCH("광고",E947),0)&gt;0,"광고·행사",IF(IFERROR(SEARCH("용역",E947),0)&gt;0,"용역·수수료","기타/불명"))))))</x:f>
      </x:c>
      <x:c r="J947" s="77" t="str">
        <x:f>IF(A947="","",IF(I947="기타/불명","확인 필요","결의서명으로 1차 확인"))</x:f>
      </x:c>
      <x:c r="K947" s="78"/>
    </x:row>
    <x:row r="948">
      <x:c r="A948" s="73"/>
      <x:c r="B948" s="73"/>
      <x:c r="C948" s="74"/>
      <x:c r="D948" s="73"/>
      <x:c r="E948" s="73"/>
      <x:c r="F948" s="75"/>
      <x:c r="G948" s="75"/>
      <x:c r="H948" s="76" t="str">
        <x:f>IF(A948="","",F948-G948)</x:f>
      </x:c>
      <x:c r="I948" s="77" t="str">
        <x:f>IF(A948="","",IF(E948="","기타/불명",IF(IFERROR(SEARCH("급여",E948),0)&gt;0,"인건비",IF(IFERROR(SEARCH("임차",E948),0)&gt;0,"임차·시설",IF(IFERROR(SEARCH("광고",E948),0)&gt;0,"광고·행사",IF(IFERROR(SEARCH("용역",E948),0)&gt;0,"용역·수수료","기타/불명"))))))</x:f>
      </x:c>
      <x:c r="J948" s="77" t="str">
        <x:f>IF(A948="","",IF(I948="기타/불명","확인 필요","결의서명으로 1차 확인"))</x:f>
      </x:c>
      <x:c r="K948" s="78"/>
    </x:row>
    <x:row r="949">
      <x:c r="A949" s="73"/>
      <x:c r="B949" s="73"/>
      <x:c r="C949" s="74"/>
      <x:c r="D949" s="73"/>
      <x:c r="E949" s="73"/>
      <x:c r="F949" s="75"/>
      <x:c r="G949" s="75"/>
      <x:c r="H949" s="76" t="str">
        <x:f>IF(A949="","",F949-G949)</x:f>
      </x:c>
      <x:c r="I949" s="77" t="str">
        <x:f>IF(A949="","",IF(E949="","기타/불명",IF(IFERROR(SEARCH("급여",E949),0)&gt;0,"인건비",IF(IFERROR(SEARCH("임차",E949),0)&gt;0,"임차·시설",IF(IFERROR(SEARCH("광고",E949),0)&gt;0,"광고·행사",IF(IFERROR(SEARCH("용역",E949),0)&gt;0,"용역·수수료","기타/불명"))))))</x:f>
      </x:c>
      <x:c r="J949" s="77" t="str">
        <x:f>IF(A949="","",IF(I949="기타/불명","확인 필요","결의서명으로 1차 확인"))</x:f>
      </x:c>
      <x:c r="K949" s="78"/>
    </x:row>
    <x:row r="950">
      <x:c r="A950" s="73"/>
      <x:c r="B950" s="73"/>
      <x:c r="C950" s="74"/>
      <x:c r="D950" s="73"/>
      <x:c r="E950" s="73"/>
      <x:c r="F950" s="75"/>
      <x:c r="G950" s="75"/>
      <x:c r="H950" s="76" t="str">
        <x:f>IF(A950="","",F950-G950)</x:f>
      </x:c>
      <x:c r="I950" s="77" t="str">
        <x:f>IF(A950="","",IF(E950="","기타/불명",IF(IFERROR(SEARCH("급여",E950),0)&gt;0,"인건비",IF(IFERROR(SEARCH("임차",E950),0)&gt;0,"임차·시설",IF(IFERROR(SEARCH("광고",E950),0)&gt;0,"광고·행사",IF(IFERROR(SEARCH("용역",E950),0)&gt;0,"용역·수수료","기타/불명"))))))</x:f>
      </x:c>
      <x:c r="J950" s="77" t="str">
        <x:f>IF(A950="","",IF(I950="기타/불명","확인 필요","결의서명으로 1차 확인"))</x:f>
      </x:c>
      <x:c r="K950" s="78"/>
    </x:row>
    <x:row r="951">
      <x:c r="A951" s="73"/>
      <x:c r="B951" s="73"/>
      <x:c r="C951" s="74"/>
      <x:c r="D951" s="73"/>
      <x:c r="E951" s="73"/>
      <x:c r="F951" s="75"/>
      <x:c r="G951" s="75"/>
      <x:c r="H951" s="76" t="str">
        <x:f>IF(A951="","",F951-G951)</x:f>
      </x:c>
      <x:c r="I951" s="77" t="str">
        <x:f>IF(A951="","",IF(E951="","기타/불명",IF(IFERROR(SEARCH("급여",E951),0)&gt;0,"인건비",IF(IFERROR(SEARCH("임차",E951),0)&gt;0,"임차·시설",IF(IFERROR(SEARCH("광고",E951),0)&gt;0,"광고·행사",IF(IFERROR(SEARCH("용역",E951),0)&gt;0,"용역·수수료","기타/불명"))))))</x:f>
      </x:c>
      <x:c r="J951" s="77" t="str">
        <x:f>IF(A951="","",IF(I951="기타/불명","확인 필요","결의서명으로 1차 확인"))</x:f>
      </x:c>
      <x:c r="K951" s="78"/>
    </x:row>
    <x:row r="952">
      <x:c r="A952" s="73"/>
      <x:c r="B952" s="73"/>
      <x:c r="C952" s="74"/>
      <x:c r="D952" s="73"/>
      <x:c r="E952" s="73"/>
      <x:c r="F952" s="75"/>
      <x:c r="G952" s="75"/>
      <x:c r="H952" s="76" t="str">
        <x:f>IF(A952="","",F952-G952)</x:f>
      </x:c>
      <x:c r="I952" s="77" t="str">
        <x:f>IF(A952="","",IF(E952="","기타/불명",IF(IFERROR(SEARCH("급여",E952),0)&gt;0,"인건비",IF(IFERROR(SEARCH("임차",E952),0)&gt;0,"임차·시설",IF(IFERROR(SEARCH("광고",E952),0)&gt;0,"광고·행사",IF(IFERROR(SEARCH("용역",E952),0)&gt;0,"용역·수수료","기타/불명"))))))</x:f>
      </x:c>
      <x:c r="J952" s="77" t="str">
        <x:f>IF(A952="","",IF(I952="기타/불명","확인 필요","결의서명으로 1차 확인"))</x:f>
      </x:c>
      <x:c r="K952" s="78"/>
    </x:row>
    <x:row r="953">
      <x:c r="A953" s="73"/>
      <x:c r="B953" s="73"/>
      <x:c r="C953" s="74"/>
      <x:c r="D953" s="73"/>
      <x:c r="E953" s="73"/>
      <x:c r="F953" s="75"/>
      <x:c r="G953" s="75"/>
      <x:c r="H953" s="76" t="str">
        <x:f>IF(A953="","",F953-G953)</x:f>
      </x:c>
      <x:c r="I953" s="77" t="str">
        <x:f>IF(A953="","",IF(E953="","기타/불명",IF(IFERROR(SEARCH("급여",E953),0)&gt;0,"인건비",IF(IFERROR(SEARCH("임차",E953),0)&gt;0,"임차·시설",IF(IFERROR(SEARCH("광고",E953),0)&gt;0,"광고·행사",IF(IFERROR(SEARCH("용역",E953),0)&gt;0,"용역·수수료","기타/불명"))))))</x:f>
      </x:c>
      <x:c r="J953" s="77" t="str">
        <x:f>IF(A953="","",IF(I953="기타/불명","확인 필요","결의서명으로 1차 확인"))</x:f>
      </x:c>
      <x:c r="K953" s="78"/>
    </x:row>
    <x:row r="954">
      <x:c r="A954" s="73"/>
      <x:c r="B954" s="73"/>
      <x:c r="C954" s="74"/>
      <x:c r="D954" s="73"/>
      <x:c r="E954" s="73"/>
      <x:c r="F954" s="75"/>
      <x:c r="G954" s="75"/>
      <x:c r="H954" s="76" t="str">
        <x:f>IF(A954="","",F954-G954)</x:f>
      </x:c>
      <x:c r="I954" s="77" t="str">
        <x:f>IF(A954="","",IF(E954="","기타/불명",IF(IFERROR(SEARCH("급여",E954),0)&gt;0,"인건비",IF(IFERROR(SEARCH("임차",E954),0)&gt;0,"임차·시설",IF(IFERROR(SEARCH("광고",E954),0)&gt;0,"광고·행사",IF(IFERROR(SEARCH("용역",E954),0)&gt;0,"용역·수수료","기타/불명"))))))</x:f>
      </x:c>
      <x:c r="J954" s="77" t="str">
        <x:f>IF(A954="","",IF(I954="기타/불명","확인 필요","결의서명으로 1차 확인"))</x:f>
      </x:c>
      <x:c r="K954" s="78"/>
    </x:row>
    <x:row r="955">
      <x:c r="A955" s="73"/>
      <x:c r="B955" s="73"/>
      <x:c r="C955" s="74"/>
      <x:c r="D955" s="73"/>
      <x:c r="E955" s="73"/>
      <x:c r="F955" s="75"/>
      <x:c r="G955" s="75"/>
      <x:c r="H955" s="76" t="str">
        <x:f>IF(A955="","",F955-G955)</x:f>
      </x:c>
      <x:c r="I955" s="77" t="str">
        <x:f>IF(A955="","",IF(E955="","기타/불명",IF(IFERROR(SEARCH("급여",E955),0)&gt;0,"인건비",IF(IFERROR(SEARCH("임차",E955),0)&gt;0,"임차·시설",IF(IFERROR(SEARCH("광고",E955),0)&gt;0,"광고·행사",IF(IFERROR(SEARCH("용역",E955),0)&gt;0,"용역·수수료","기타/불명"))))))</x:f>
      </x:c>
      <x:c r="J955" s="77" t="str">
        <x:f>IF(A955="","",IF(I955="기타/불명","확인 필요","결의서명으로 1차 확인"))</x:f>
      </x:c>
      <x:c r="K955" s="78"/>
    </x:row>
    <x:row r="956">
      <x:c r="A956" s="73"/>
      <x:c r="B956" s="73"/>
      <x:c r="C956" s="74"/>
      <x:c r="D956" s="73"/>
      <x:c r="E956" s="73"/>
      <x:c r="F956" s="75"/>
      <x:c r="G956" s="75"/>
      <x:c r="H956" s="76" t="str">
        <x:f>IF(A956="","",F956-G956)</x:f>
      </x:c>
      <x:c r="I956" s="77" t="str">
        <x:f>IF(A956="","",IF(E956="","기타/불명",IF(IFERROR(SEARCH("급여",E956),0)&gt;0,"인건비",IF(IFERROR(SEARCH("임차",E956),0)&gt;0,"임차·시설",IF(IFERROR(SEARCH("광고",E956),0)&gt;0,"광고·행사",IF(IFERROR(SEARCH("용역",E956),0)&gt;0,"용역·수수료","기타/불명"))))))</x:f>
      </x:c>
      <x:c r="J956" s="77" t="str">
        <x:f>IF(A956="","",IF(I956="기타/불명","확인 필요","결의서명으로 1차 확인"))</x:f>
      </x:c>
      <x:c r="K956" s="78"/>
    </x:row>
    <x:row r="957">
      <x:c r="A957" s="73"/>
      <x:c r="B957" s="73"/>
      <x:c r="C957" s="74"/>
      <x:c r="D957" s="73"/>
      <x:c r="E957" s="73"/>
      <x:c r="F957" s="75"/>
      <x:c r="G957" s="75"/>
      <x:c r="H957" s="76" t="str">
        <x:f>IF(A957="","",F957-G957)</x:f>
      </x:c>
      <x:c r="I957" s="77" t="str">
        <x:f>IF(A957="","",IF(E957="","기타/불명",IF(IFERROR(SEARCH("급여",E957),0)&gt;0,"인건비",IF(IFERROR(SEARCH("임차",E957),0)&gt;0,"임차·시설",IF(IFERROR(SEARCH("광고",E957),0)&gt;0,"광고·행사",IF(IFERROR(SEARCH("용역",E957),0)&gt;0,"용역·수수료","기타/불명"))))))</x:f>
      </x:c>
      <x:c r="J957" s="77" t="str">
        <x:f>IF(A957="","",IF(I957="기타/불명","확인 필요","결의서명으로 1차 확인"))</x:f>
      </x:c>
      <x:c r="K957" s="78"/>
    </x:row>
    <x:row r="958">
      <x:c r="A958" s="73"/>
      <x:c r="B958" s="73"/>
      <x:c r="C958" s="74"/>
      <x:c r="D958" s="73"/>
      <x:c r="E958" s="73"/>
      <x:c r="F958" s="75"/>
      <x:c r="G958" s="75"/>
      <x:c r="H958" s="76" t="str">
        <x:f>IF(A958="","",F958-G958)</x:f>
      </x:c>
      <x:c r="I958" s="77" t="str">
        <x:f>IF(A958="","",IF(E958="","기타/불명",IF(IFERROR(SEARCH("급여",E958),0)&gt;0,"인건비",IF(IFERROR(SEARCH("임차",E958),0)&gt;0,"임차·시설",IF(IFERROR(SEARCH("광고",E958),0)&gt;0,"광고·행사",IF(IFERROR(SEARCH("용역",E958),0)&gt;0,"용역·수수료","기타/불명"))))))</x:f>
      </x:c>
      <x:c r="J958" s="77" t="str">
        <x:f>IF(A958="","",IF(I958="기타/불명","확인 필요","결의서명으로 1차 확인"))</x:f>
      </x:c>
      <x:c r="K958" s="78"/>
    </x:row>
    <x:row r="959">
      <x:c r="A959" s="73"/>
      <x:c r="B959" s="73"/>
      <x:c r="C959" s="74"/>
      <x:c r="D959" s="73"/>
      <x:c r="E959" s="73"/>
      <x:c r="F959" s="75"/>
      <x:c r="G959" s="75"/>
      <x:c r="H959" s="76" t="str">
        <x:f>IF(A959="","",F959-G959)</x:f>
      </x:c>
      <x:c r="I959" s="77" t="str">
        <x:f>IF(A959="","",IF(E959="","기타/불명",IF(IFERROR(SEARCH("급여",E959),0)&gt;0,"인건비",IF(IFERROR(SEARCH("임차",E959),0)&gt;0,"임차·시설",IF(IFERROR(SEARCH("광고",E959),0)&gt;0,"광고·행사",IF(IFERROR(SEARCH("용역",E959),0)&gt;0,"용역·수수료","기타/불명"))))))</x:f>
      </x:c>
      <x:c r="J959" s="77" t="str">
        <x:f>IF(A959="","",IF(I959="기타/불명","확인 필요","결의서명으로 1차 확인"))</x:f>
      </x:c>
      <x:c r="K959" s="78"/>
    </x:row>
    <x:row r="960">
      <x:c r="A960" s="73"/>
      <x:c r="B960" s="73"/>
      <x:c r="C960" s="74"/>
      <x:c r="D960" s="73"/>
      <x:c r="E960" s="73"/>
      <x:c r="F960" s="75"/>
      <x:c r="G960" s="75"/>
      <x:c r="H960" s="76" t="str">
        <x:f>IF(A960="","",F960-G960)</x:f>
      </x:c>
      <x:c r="I960" s="77" t="str">
        <x:f>IF(A960="","",IF(E960="","기타/불명",IF(IFERROR(SEARCH("급여",E960),0)&gt;0,"인건비",IF(IFERROR(SEARCH("임차",E960),0)&gt;0,"임차·시설",IF(IFERROR(SEARCH("광고",E960),0)&gt;0,"광고·행사",IF(IFERROR(SEARCH("용역",E960),0)&gt;0,"용역·수수료","기타/불명"))))))</x:f>
      </x:c>
      <x:c r="J960" s="77" t="str">
        <x:f>IF(A960="","",IF(I960="기타/불명","확인 필요","결의서명으로 1차 확인"))</x:f>
      </x:c>
      <x:c r="K960" s="78"/>
    </x:row>
    <x:row r="961">
      <x:c r="A961" s="73"/>
      <x:c r="B961" s="73"/>
      <x:c r="C961" s="74"/>
      <x:c r="D961" s="73"/>
      <x:c r="E961" s="73"/>
      <x:c r="F961" s="75"/>
      <x:c r="G961" s="75"/>
      <x:c r="H961" s="76" t="str">
        <x:f>IF(A961="","",F961-G961)</x:f>
      </x:c>
      <x:c r="I961" s="77" t="str">
        <x:f>IF(A961="","",IF(E961="","기타/불명",IF(IFERROR(SEARCH("급여",E961),0)&gt;0,"인건비",IF(IFERROR(SEARCH("임차",E961),0)&gt;0,"임차·시설",IF(IFERROR(SEARCH("광고",E961),0)&gt;0,"광고·행사",IF(IFERROR(SEARCH("용역",E961),0)&gt;0,"용역·수수료","기타/불명"))))))</x:f>
      </x:c>
      <x:c r="J961" s="77" t="str">
        <x:f>IF(A961="","",IF(I961="기타/불명","확인 필요","결의서명으로 1차 확인"))</x:f>
      </x:c>
      <x:c r="K961" s="78"/>
    </x:row>
    <x:row r="962">
      <x:c r="A962" s="73"/>
      <x:c r="B962" s="73"/>
      <x:c r="C962" s="74"/>
      <x:c r="D962" s="73"/>
      <x:c r="E962" s="73"/>
      <x:c r="F962" s="75"/>
      <x:c r="G962" s="75"/>
      <x:c r="H962" s="76" t="str">
        <x:f>IF(A962="","",F962-G962)</x:f>
      </x:c>
      <x:c r="I962" s="77" t="str">
        <x:f>IF(A962="","",IF(E962="","기타/불명",IF(IFERROR(SEARCH("급여",E962),0)&gt;0,"인건비",IF(IFERROR(SEARCH("임차",E962),0)&gt;0,"임차·시설",IF(IFERROR(SEARCH("광고",E962),0)&gt;0,"광고·행사",IF(IFERROR(SEARCH("용역",E962),0)&gt;0,"용역·수수료","기타/불명"))))))</x:f>
      </x:c>
      <x:c r="J962" s="77" t="str">
        <x:f>IF(A962="","",IF(I962="기타/불명","확인 필요","결의서명으로 1차 확인"))</x:f>
      </x:c>
      <x:c r="K962" s="78"/>
    </x:row>
    <x:row r="963">
      <x:c r="A963" s="73"/>
      <x:c r="B963" s="73"/>
      <x:c r="C963" s="74"/>
      <x:c r="D963" s="73"/>
      <x:c r="E963" s="73"/>
      <x:c r="F963" s="75"/>
      <x:c r="G963" s="75"/>
      <x:c r="H963" s="76" t="str">
        <x:f>IF(A963="","",F963-G963)</x:f>
      </x:c>
      <x:c r="I963" s="77" t="str">
        <x:f>IF(A963="","",IF(E963="","기타/불명",IF(IFERROR(SEARCH("급여",E963),0)&gt;0,"인건비",IF(IFERROR(SEARCH("임차",E963),0)&gt;0,"임차·시설",IF(IFERROR(SEARCH("광고",E963),0)&gt;0,"광고·행사",IF(IFERROR(SEARCH("용역",E963),0)&gt;0,"용역·수수료","기타/불명"))))))</x:f>
      </x:c>
      <x:c r="J963" s="77" t="str">
        <x:f>IF(A963="","",IF(I963="기타/불명","확인 필요","결의서명으로 1차 확인"))</x:f>
      </x:c>
      <x:c r="K963" s="78"/>
    </x:row>
    <x:row r="964">
      <x:c r="A964" s="73"/>
      <x:c r="B964" s="73"/>
      <x:c r="C964" s="74"/>
      <x:c r="D964" s="73"/>
      <x:c r="E964" s="73"/>
      <x:c r="F964" s="75"/>
      <x:c r="G964" s="75"/>
      <x:c r="H964" s="76" t="str">
        <x:f>IF(A964="","",F964-G964)</x:f>
      </x:c>
      <x:c r="I964" s="77" t="str">
        <x:f>IF(A964="","",IF(E964="","기타/불명",IF(IFERROR(SEARCH("급여",E964),0)&gt;0,"인건비",IF(IFERROR(SEARCH("임차",E964),0)&gt;0,"임차·시설",IF(IFERROR(SEARCH("광고",E964),0)&gt;0,"광고·행사",IF(IFERROR(SEARCH("용역",E964),0)&gt;0,"용역·수수료","기타/불명"))))))</x:f>
      </x:c>
      <x:c r="J964" s="77" t="str">
        <x:f>IF(A964="","",IF(I964="기타/불명","확인 필요","결의서명으로 1차 확인"))</x:f>
      </x:c>
      <x:c r="K964" s="78"/>
    </x:row>
    <x:row r="965">
      <x:c r="A965" s="73"/>
      <x:c r="B965" s="73"/>
      <x:c r="C965" s="74"/>
      <x:c r="D965" s="73"/>
      <x:c r="E965" s="73"/>
      <x:c r="F965" s="75"/>
      <x:c r="G965" s="75"/>
      <x:c r="H965" s="76" t="str">
        <x:f>IF(A965="","",F965-G965)</x:f>
      </x:c>
      <x:c r="I965" s="77" t="str">
        <x:f>IF(A965="","",IF(E965="","기타/불명",IF(IFERROR(SEARCH("급여",E965),0)&gt;0,"인건비",IF(IFERROR(SEARCH("임차",E965),0)&gt;0,"임차·시설",IF(IFERROR(SEARCH("광고",E965),0)&gt;0,"광고·행사",IF(IFERROR(SEARCH("용역",E965),0)&gt;0,"용역·수수료","기타/불명"))))))</x:f>
      </x:c>
      <x:c r="J965" s="77" t="str">
        <x:f>IF(A965="","",IF(I965="기타/불명","확인 필요","결의서명으로 1차 확인"))</x:f>
      </x:c>
      <x:c r="K965" s="78"/>
    </x:row>
    <x:row r="966">
      <x:c r="A966" s="73"/>
      <x:c r="B966" s="73"/>
      <x:c r="C966" s="74"/>
      <x:c r="D966" s="73"/>
      <x:c r="E966" s="73"/>
      <x:c r="F966" s="75"/>
      <x:c r="G966" s="75"/>
      <x:c r="H966" s="76" t="str">
        <x:f>IF(A966="","",F966-G966)</x:f>
      </x:c>
      <x:c r="I966" s="77" t="str">
        <x:f>IF(A966="","",IF(E966="","기타/불명",IF(IFERROR(SEARCH("급여",E966),0)&gt;0,"인건비",IF(IFERROR(SEARCH("임차",E966),0)&gt;0,"임차·시설",IF(IFERROR(SEARCH("광고",E966),0)&gt;0,"광고·행사",IF(IFERROR(SEARCH("용역",E966),0)&gt;0,"용역·수수료","기타/불명"))))))</x:f>
      </x:c>
      <x:c r="J966" s="77" t="str">
        <x:f>IF(A966="","",IF(I966="기타/불명","확인 필요","결의서명으로 1차 확인"))</x:f>
      </x:c>
      <x:c r="K966" s="78"/>
    </x:row>
    <x:row r="967">
      <x:c r="A967" s="73"/>
      <x:c r="B967" s="73"/>
      <x:c r="C967" s="74"/>
      <x:c r="D967" s="73"/>
      <x:c r="E967" s="73"/>
      <x:c r="F967" s="75"/>
      <x:c r="G967" s="75"/>
      <x:c r="H967" s="76" t="str">
        <x:f>IF(A967="","",F967-G967)</x:f>
      </x:c>
      <x:c r="I967" s="77" t="str">
        <x:f>IF(A967="","",IF(E967="","기타/불명",IF(IFERROR(SEARCH("급여",E967),0)&gt;0,"인건비",IF(IFERROR(SEARCH("임차",E967),0)&gt;0,"임차·시설",IF(IFERROR(SEARCH("광고",E967),0)&gt;0,"광고·행사",IF(IFERROR(SEARCH("용역",E967),0)&gt;0,"용역·수수료","기타/불명"))))))</x:f>
      </x:c>
      <x:c r="J967" s="77" t="str">
        <x:f>IF(A967="","",IF(I967="기타/불명","확인 필요","결의서명으로 1차 확인"))</x:f>
      </x:c>
      <x:c r="K967" s="78"/>
    </x:row>
    <x:row r="968">
      <x:c r="A968" s="73"/>
      <x:c r="B968" s="73"/>
      <x:c r="C968" s="74"/>
      <x:c r="D968" s="73"/>
      <x:c r="E968" s="73"/>
      <x:c r="F968" s="75"/>
      <x:c r="G968" s="75"/>
      <x:c r="H968" s="76" t="str">
        <x:f>IF(A968="","",F968-G968)</x:f>
      </x:c>
      <x:c r="I968" s="77" t="str">
        <x:f>IF(A968="","",IF(E968="","기타/불명",IF(IFERROR(SEARCH("급여",E968),0)&gt;0,"인건비",IF(IFERROR(SEARCH("임차",E968),0)&gt;0,"임차·시설",IF(IFERROR(SEARCH("광고",E968),0)&gt;0,"광고·행사",IF(IFERROR(SEARCH("용역",E968),0)&gt;0,"용역·수수료","기타/불명"))))))</x:f>
      </x:c>
      <x:c r="J968" s="77" t="str">
        <x:f>IF(A968="","",IF(I968="기타/불명","확인 필요","결의서명으로 1차 확인"))</x:f>
      </x:c>
      <x:c r="K968" s="78"/>
    </x:row>
    <x:row r="969">
      <x:c r="A969" s="73"/>
      <x:c r="B969" s="73"/>
      <x:c r="C969" s="74"/>
      <x:c r="D969" s="73"/>
      <x:c r="E969" s="73"/>
      <x:c r="F969" s="75"/>
      <x:c r="G969" s="75"/>
      <x:c r="H969" s="76" t="str">
        <x:f>IF(A969="","",F969-G969)</x:f>
      </x:c>
      <x:c r="I969" s="77" t="str">
        <x:f>IF(A969="","",IF(E969="","기타/불명",IF(IFERROR(SEARCH("급여",E969),0)&gt;0,"인건비",IF(IFERROR(SEARCH("임차",E969),0)&gt;0,"임차·시설",IF(IFERROR(SEARCH("광고",E969),0)&gt;0,"광고·행사",IF(IFERROR(SEARCH("용역",E969),0)&gt;0,"용역·수수료","기타/불명"))))))</x:f>
      </x:c>
      <x:c r="J969" s="77" t="str">
        <x:f>IF(A969="","",IF(I969="기타/불명","확인 필요","결의서명으로 1차 확인"))</x:f>
      </x:c>
      <x:c r="K969" s="78"/>
    </x:row>
    <x:row r="970">
      <x:c r="A970" s="73"/>
      <x:c r="B970" s="73"/>
      <x:c r="C970" s="74"/>
      <x:c r="D970" s="73"/>
      <x:c r="E970" s="73"/>
      <x:c r="F970" s="75"/>
      <x:c r="G970" s="75"/>
      <x:c r="H970" s="76" t="str">
        <x:f>IF(A970="","",F970-G970)</x:f>
      </x:c>
      <x:c r="I970" s="77" t="str">
        <x:f>IF(A970="","",IF(E970="","기타/불명",IF(IFERROR(SEARCH("급여",E970),0)&gt;0,"인건비",IF(IFERROR(SEARCH("임차",E970),0)&gt;0,"임차·시설",IF(IFERROR(SEARCH("광고",E970),0)&gt;0,"광고·행사",IF(IFERROR(SEARCH("용역",E970),0)&gt;0,"용역·수수료","기타/불명"))))))</x:f>
      </x:c>
      <x:c r="J970" s="77" t="str">
        <x:f>IF(A970="","",IF(I970="기타/불명","확인 필요","결의서명으로 1차 확인"))</x:f>
      </x:c>
      <x:c r="K970" s="78"/>
    </x:row>
    <x:row r="971">
      <x:c r="A971" s="73"/>
      <x:c r="B971" s="73"/>
      <x:c r="C971" s="74"/>
      <x:c r="D971" s="73"/>
      <x:c r="E971" s="73"/>
      <x:c r="F971" s="75"/>
      <x:c r="G971" s="75"/>
      <x:c r="H971" s="76" t="str">
        <x:f>IF(A971="","",F971-G971)</x:f>
      </x:c>
      <x:c r="I971" s="77" t="str">
        <x:f>IF(A971="","",IF(E971="","기타/불명",IF(IFERROR(SEARCH("급여",E971),0)&gt;0,"인건비",IF(IFERROR(SEARCH("임차",E971),0)&gt;0,"임차·시설",IF(IFERROR(SEARCH("광고",E971),0)&gt;0,"광고·행사",IF(IFERROR(SEARCH("용역",E971),0)&gt;0,"용역·수수료","기타/불명"))))))</x:f>
      </x:c>
      <x:c r="J971" s="77" t="str">
        <x:f>IF(A971="","",IF(I971="기타/불명","확인 필요","결의서명으로 1차 확인"))</x:f>
      </x:c>
      <x:c r="K971" s="78"/>
    </x:row>
    <x:row r="972">
      <x:c r="A972" s="73"/>
      <x:c r="B972" s="73"/>
      <x:c r="C972" s="74"/>
      <x:c r="D972" s="73"/>
      <x:c r="E972" s="73"/>
      <x:c r="F972" s="75"/>
      <x:c r="G972" s="75"/>
      <x:c r="H972" s="76" t="str">
        <x:f>IF(A972="","",F972-G972)</x:f>
      </x:c>
      <x:c r="I972" s="77" t="str">
        <x:f>IF(A972="","",IF(E972="","기타/불명",IF(IFERROR(SEARCH("급여",E972),0)&gt;0,"인건비",IF(IFERROR(SEARCH("임차",E972),0)&gt;0,"임차·시설",IF(IFERROR(SEARCH("광고",E972),0)&gt;0,"광고·행사",IF(IFERROR(SEARCH("용역",E972),0)&gt;0,"용역·수수료","기타/불명"))))))</x:f>
      </x:c>
      <x:c r="J972" s="77" t="str">
        <x:f>IF(A972="","",IF(I972="기타/불명","확인 필요","결의서명으로 1차 확인"))</x:f>
      </x:c>
      <x:c r="K972" s="78"/>
    </x:row>
    <x:row r="973">
      <x:c r="A973" s="73"/>
      <x:c r="B973" s="73"/>
      <x:c r="C973" s="74"/>
      <x:c r="D973" s="73"/>
      <x:c r="E973" s="73"/>
      <x:c r="F973" s="75"/>
      <x:c r="G973" s="75"/>
      <x:c r="H973" s="76" t="str">
        <x:f>IF(A973="","",F973-G973)</x:f>
      </x:c>
      <x:c r="I973" s="77" t="str">
        <x:f>IF(A973="","",IF(E973="","기타/불명",IF(IFERROR(SEARCH("급여",E973),0)&gt;0,"인건비",IF(IFERROR(SEARCH("임차",E973),0)&gt;0,"임차·시설",IF(IFERROR(SEARCH("광고",E973),0)&gt;0,"광고·행사",IF(IFERROR(SEARCH("용역",E973),0)&gt;0,"용역·수수료","기타/불명"))))))</x:f>
      </x:c>
      <x:c r="J973" s="77" t="str">
        <x:f>IF(A973="","",IF(I973="기타/불명","확인 필요","결의서명으로 1차 확인"))</x:f>
      </x:c>
      <x:c r="K973" s="78"/>
    </x:row>
    <x:row r="974">
      <x:c r="A974" s="73"/>
      <x:c r="B974" s="73"/>
      <x:c r="C974" s="74"/>
      <x:c r="D974" s="73"/>
      <x:c r="E974" s="73"/>
      <x:c r="F974" s="75"/>
      <x:c r="G974" s="75"/>
      <x:c r="H974" s="76" t="str">
        <x:f>IF(A974="","",F974-G974)</x:f>
      </x:c>
      <x:c r="I974" s="77" t="str">
        <x:f>IF(A974="","",IF(E974="","기타/불명",IF(IFERROR(SEARCH("급여",E974),0)&gt;0,"인건비",IF(IFERROR(SEARCH("임차",E974),0)&gt;0,"임차·시설",IF(IFERROR(SEARCH("광고",E974),0)&gt;0,"광고·행사",IF(IFERROR(SEARCH("용역",E974),0)&gt;0,"용역·수수료","기타/불명"))))))</x:f>
      </x:c>
      <x:c r="J974" s="77" t="str">
        <x:f>IF(A974="","",IF(I974="기타/불명","확인 필요","결의서명으로 1차 확인"))</x:f>
      </x:c>
      <x:c r="K974" s="78"/>
    </x:row>
    <x:row r="975">
      <x:c r="A975" s="73"/>
      <x:c r="B975" s="73"/>
      <x:c r="C975" s="74"/>
      <x:c r="D975" s="73"/>
      <x:c r="E975" s="73"/>
      <x:c r="F975" s="75"/>
      <x:c r="G975" s="75"/>
      <x:c r="H975" s="76" t="str">
        <x:f>IF(A975="","",F975-G975)</x:f>
      </x:c>
      <x:c r="I975" s="77" t="str">
        <x:f>IF(A975="","",IF(E975="","기타/불명",IF(IFERROR(SEARCH("급여",E975),0)&gt;0,"인건비",IF(IFERROR(SEARCH("임차",E975),0)&gt;0,"임차·시설",IF(IFERROR(SEARCH("광고",E975),0)&gt;0,"광고·행사",IF(IFERROR(SEARCH("용역",E975),0)&gt;0,"용역·수수료","기타/불명"))))))</x:f>
      </x:c>
      <x:c r="J975" s="77" t="str">
        <x:f>IF(A975="","",IF(I975="기타/불명","확인 필요","결의서명으로 1차 확인"))</x:f>
      </x:c>
      <x:c r="K975" s="78"/>
    </x:row>
    <x:row r="976">
      <x:c r="A976" s="73"/>
      <x:c r="B976" s="73"/>
      <x:c r="C976" s="74"/>
      <x:c r="D976" s="73"/>
      <x:c r="E976" s="73"/>
      <x:c r="F976" s="75"/>
      <x:c r="G976" s="75"/>
      <x:c r="H976" s="76" t="str">
        <x:f>IF(A976="","",F976-G976)</x:f>
      </x:c>
      <x:c r="I976" s="77" t="str">
        <x:f>IF(A976="","",IF(E976="","기타/불명",IF(IFERROR(SEARCH("급여",E976),0)&gt;0,"인건비",IF(IFERROR(SEARCH("임차",E976),0)&gt;0,"임차·시설",IF(IFERROR(SEARCH("광고",E976),0)&gt;0,"광고·행사",IF(IFERROR(SEARCH("용역",E976),0)&gt;0,"용역·수수료","기타/불명"))))))</x:f>
      </x:c>
      <x:c r="J976" s="77" t="str">
        <x:f>IF(A976="","",IF(I976="기타/불명","확인 필요","결의서명으로 1차 확인"))</x:f>
      </x:c>
      <x:c r="K976" s="78"/>
    </x:row>
    <x:row r="977">
      <x:c r="A977" s="73"/>
      <x:c r="B977" s="73"/>
      <x:c r="C977" s="74"/>
      <x:c r="D977" s="73"/>
      <x:c r="E977" s="73"/>
      <x:c r="F977" s="75"/>
      <x:c r="G977" s="75"/>
      <x:c r="H977" s="76" t="str">
        <x:f>IF(A977="","",F977-G977)</x:f>
      </x:c>
      <x:c r="I977" s="77" t="str">
        <x:f>IF(A977="","",IF(E977="","기타/불명",IF(IFERROR(SEARCH("급여",E977),0)&gt;0,"인건비",IF(IFERROR(SEARCH("임차",E977),0)&gt;0,"임차·시설",IF(IFERROR(SEARCH("광고",E977),0)&gt;0,"광고·행사",IF(IFERROR(SEARCH("용역",E977),0)&gt;0,"용역·수수료","기타/불명"))))))</x:f>
      </x:c>
      <x:c r="J977" s="77" t="str">
        <x:f>IF(A977="","",IF(I977="기타/불명","확인 필요","결의서명으로 1차 확인"))</x:f>
      </x:c>
      <x:c r="K977" s="78"/>
    </x:row>
    <x:row r="978">
      <x:c r="A978" s="73"/>
      <x:c r="B978" s="73"/>
      <x:c r="C978" s="74"/>
      <x:c r="D978" s="73"/>
      <x:c r="E978" s="73"/>
      <x:c r="F978" s="75"/>
      <x:c r="G978" s="75"/>
      <x:c r="H978" s="76" t="str">
        <x:f>IF(A978="","",F978-G978)</x:f>
      </x:c>
      <x:c r="I978" s="77" t="str">
        <x:f>IF(A978="","",IF(E978="","기타/불명",IF(IFERROR(SEARCH("급여",E978),0)&gt;0,"인건비",IF(IFERROR(SEARCH("임차",E978),0)&gt;0,"임차·시설",IF(IFERROR(SEARCH("광고",E978),0)&gt;0,"광고·행사",IF(IFERROR(SEARCH("용역",E978),0)&gt;0,"용역·수수료","기타/불명"))))))</x:f>
      </x:c>
      <x:c r="J978" s="77" t="str">
        <x:f>IF(A978="","",IF(I978="기타/불명","확인 필요","결의서명으로 1차 확인"))</x:f>
      </x:c>
      <x:c r="K978" s="78"/>
    </x:row>
    <x:row r="979">
      <x:c r="A979" s="73"/>
      <x:c r="B979" s="73"/>
      <x:c r="C979" s="74"/>
      <x:c r="D979" s="73"/>
      <x:c r="E979" s="73"/>
      <x:c r="F979" s="75"/>
      <x:c r="G979" s="75"/>
      <x:c r="H979" s="76" t="str">
        <x:f>IF(A979="","",F979-G979)</x:f>
      </x:c>
      <x:c r="I979" s="77" t="str">
        <x:f>IF(A979="","",IF(E979="","기타/불명",IF(IFERROR(SEARCH("급여",E979),0)&gt;0,"인건비",IF(IFERROR(SEARCH("임차",E979),0)&gt;0,"임차·시설",IF(IFERROR(SEARCH("광고",E979),0)&gt;0,"광고·행사",IF(IFERROR(SEARCH("용역",E979),0)&gt;0,"용역·수수료","기타/불명"))))))</x:f>
      </x:c>
      <x:c r="J979" s="77" t="str">
        <x:f>IF(A979="","",IF(I979="기타/불명","확인 필요","결의서명으로 1차 확인"))</x:f>
      </x:c>
      <x:c r="K979" s="78"/>
    </x:row>
    <x:row r="980">
      <x:c r="A980" s="73"/>
      <x:c r="B980" s="73"/>
      <x:c r="C980" s="74"/>
      <x:c r="D980" s="73"/>
      <x:c r="E980" s="73"/>
      <x:c r="F980" s="75"/>
      <x:c r="G980" s="75"/>
      <x:c r="H980" s="76" t="str">
        <x:f>IF(A980="","",F980-G980)</x:f>
      </x:c>
      <x:c r="I980" s="77" t="str">
        <x:f>IF(A980="","",IF(E980="","기타/불명",IF(IFERROR(SEARCH("급여",E980),0)&gt;0,"인건비",IF(IFERROR(SEARCH("임차",E980),0)&gt;0,"임차·시설",IF(IFERROR(SEARCH("광고",E980),0)&gt;0,"광고·행사",IF(IFERROR(SEARCH("용역",E980),0)&gt;0,"용역·수수료","기타/불명"))))))</x:f>
      </x:c>
      <x:c r="J980" s="77" t="str">
        <x:f>IF(A980="","",IF(I980="기타/불명","확인 필요","결의서명으로 1차 확인"))</x:f>
      </x:c>
      <x:c r="K980" s="78"/>
    </x:row>
    <x:row r="981">
      <x:c r="A981" s="73"/>
      <x:c r="B981" s="73"/>
      <x:c r="C981" s="74"/>
      <x:c r="D981" s="73"/>
      <x:c r="E981" s="73"/>
      <x:c r="F981" s="75"/>
      <x:c r="G981" s="75"/>
      <x:c r="H981" s="76" t="str">
        <x:f>IF(A981="","",F981-G981)</x:f>
      </x:c>
      <x:c r="I981" s="77" t="str">
        <x:f>IF(A981="","",IF(E981="","기타/불명",IF(IFERROR(SEARCH("급여",E981),0)&gt;0,"인건비",IF(IFERROR(SEARCH("임차",E981),0)&gt;0,"임차·시설",IF(IFERROR(SEARCH("광고",E981),0)&gt;0,"광고·행사",IF(IFERROR(SEARCH("용역",E981),0)&gt;0,"용역·수수료","기타/불명"))))))</x:f>
      </x:c>
      <x:c r="J981" s="77" t="str">
        <x:f>IF(A981="","",IF(I981="기타/불명","확인 필요","결의서명으로 1차 확인"))</x:f>
      </x:c>
      <x:c r="K981" s="78"/>
    </x:row>
    <x:row r="982">
      <x:c r="A982" s="73"/>
      <x:c r="B982" s="73"/>
      <x:c r="C982" s="74"/>
      <x:c r="D982" s="73"/>
      <x:c r="E982" s="73"/>
      <x:c r="F982" s="75"/>
      <x:c r="G982" s="75"/>
      <x:c r="H982" s="76" t="str">
        <x:f>IF(A982="","",F982-G982)</x:f>
      </x:c>
      <x:c r="I982" s="77" t="str">
        <x:f>IF(A982="","",IF(E982="","기타/불명",IF(IFERROR(SEARCH("급여",E982),0)&gt;0,"인건비",IF(IFERROR(SEARCH("임차",E982),0)&gt;0,"임차·시설",IF(IFERROR(SEARCH("광고",E982),0)&gt;0,"광고·행사",IF(IFERROR(SEARCH("용역",E982),0)&gt;0,"용역·수수료","기타/불명"))))))</x:f>
      </x:c>
      <x:c r="J982" s="77" t="str">
        <x:f>IF(A982="","",IF(I982="기타/불명","확인 필요","결의서명으로 1차 확인"))</x:f>
      </x:c>
      <x:c r="K982" s="78"/>
    </x:row>
    <x:row r="983">
      <x:c r="A983" s="73"/>
      <x:c r="B983" s="73"/>
      <x:c r="C983" s="74"/>
      <x:c r="D983" s="73"/>
      <x:c r="E983" s="73"/>
      <x:c r="F983" s="75"/>
      <x:c r="G983" s="75"/>
      <x:c r="H983" s="76" t="str">
        <x:f>IF(A983="","",F983-G983)</x:f>
      </x:c>
      <x:c r="I983" s="77" t="str">
        <x:f>IF(A983="","",IF(E983="","기타/불명",IF(IFERROR(SEARCH("급여",E983),0)&gt;0,"인건비",IF(IFERROR(SEARCH("임차",E983),0)&gt;0,"임차·시설",IF(IFERROR(SEARCH("광고",E983),0)&gt;0,"광고·행사",IF(IFERROR(SEARCH("용역",E983),0)&gt;0,"용역·수수료","기타/불명"))))))</x:f>
      </x:c>
      <x:c r="J983" s="77" t="str">
        <x:f>IF(A983="","",IF(I983="기타/불명","확인 필요","결의서명으로 1차 확인"))</x:f>
      </x:c>
      <x:c r="K983" s="78"/>
    </x:row>
    <x:row r="984">
      <x:c r="A984" s="73"/>
      <x:c r="B984" s="73"/>
      <x:c r="C984" s="74"/>
      <x:c r="D984" s="73"/>
      <x:c r="E984" s="73"/>
      <x:c r="F984" s="75"/>
      <x:c r="G984" s="75"/>
      <x:c r="H984" s="76" t="str">
        <x:f>IF(A984="","",F984-G984)</x:f>
      </x:c>
      <x:c r="I984" s="77" t="str">
        <x:f>IF(A984="","",IF(E984="","기타/불명",IF(IFERROR(SEARCH("급여",E984),0)&gt;0,"인건비",IF(IFERROR(SEARCH("임차",E984),0)&gt;0,"임차·시설",IF(IFERROR(SEARCH("광고",E984),0)&gt;0,"광고·행사",IF(IFERROR(SEARCH("용역",E984),0)&gt;0,"용역·수수료","기타/불명"))))))</x:f>
      </x:c>
      <x:c r="J984" s="77" t="str">
        <x:f>IF(A984="","",IF(I984="기타/불명","확인 필요","결의서명으로 1차 확인"))</x:f>
      </x:c>
      <x:c r="K984" s="78"/>
    </x:row>
    <x:row r="985">
      <x:c r="A985" s="73"/>
      <x:c r="B985" s="73"/>
      <x:c r="C985" s="74"/>
      <x:c r="D985" s="73"/>
      <x:c r="E985" s="73"/>
      <x:c r="F985" s="75"/>
      <x:c r="G985" s="75"/>
      <x:c r="H985" s="76" t="str">
        <x:f>IF(A985="","",F985-G985)</x:f>
      </x:c>
      <x:c r="I985" s="77" t="str">
        <x:f>IF(A985="","",IF(E985="","기타/불명",IF(IFERROR(SEARCH("급여",E985),0)&gt;0,"인건비",IF(IFERROR(SEARCH("임차",E985),0)&gt;0,"임차·시설",IF(IFERROR(SEARCH("광고",E985),0)&gt;0,"광고·행사",IF(IFERROR(SEARCH("용역",E985),0)&gt;0,"용역·수수료","기타/불명"))))))</x:f>
      </x:c>
      <x:c r="J985" s="77" t="str">
        <x:f>IF(A985="","",IF(I985="기타/불명","확인 필요","결의서명으로 1차 확인"))</x:f>
      </x:c>
      <x:c r="K985" s="78"/>
    </x:row>
    <x:row r="986">
      <x:c r="A986" s="73"/>
      <x:c r="B986" s="73"/>
      <x:c r="C986" s="74"/>
      <x:c r="D986" s="73"/>
      <x:c r="E986" s="73"/>
      <x:c r="F986" s="75"/>
      <x:c r="G986" s="75"/>
      <x:c r="H986" s="76" t="str">
        <x:f>IF(A986="","",F986-G986)</x:f>
      </x:c>
      <x:c r="I986" s="77" t="str">
        <x:f>IF(A986="","",IF(E986="","기타/불명",IF(IFERROR(SEARCH("급여",E986),0)&gt;0,"인건비",IF(IFERROR(SEARCH("임차",E986),0)&gt;0,"임차·시설",IF(IFERROR(SEARCH("광고",E986),0)&gt;0,"광고·행사",IF(IFERROR(SEARCH("용역",E986),0)&gt;0,"용역·수수료","기타/불명"))))))</x:f>
      </x:c>
      <x:c r="J986" s="77" t="str">
        <x:f>IF(A986="","",IF(I986="기타/불명","확인 필요","결의서명으로 1차 확인"))</x:f>
      </x:c>
      <x:c r="K986" s="78"/>
    </x:row>
    <x:row r="987">
      <x:c r="A987" s="73"/>
      <x:c r="B987" s="73"/>
      <x:c r="C987" s="74"/>
      <x:c r="D987" s="73"/>
      <x:c r="E987" s="73"/>
      <x:c r="F987" s="75"/>
      <x:c r="G987" s="75"/>
      <x:c r="H987" s="76" t="str">
        <x:f>IF(A987="","",F987-G987)</x:f>
      </x:c>
      <x:c r="I987" s="77" t="str">
        <x:f>IF(A987="","",IF(E987="","기타/불명",IF(IFERROR(SEARCH("급여",E987),0)&gt;0,"인건비",IF(IFERROR(SEARCH("임차",E987),0)&gt;0,"임차·시설",IF(IFERROR(SEARCH("광고",E987),0)&gt;0,"광고·행사",IF(IFERROR(SEARCH("용역",E987),0)&gt;0,"용역·수수료","기타/불명"))))))</x:f>
      </x:c>
      <x:c r="J987" s="77" t="str">
        <x:f>IF(A987="","",IF(I987="기타/불명","확인 필요","결의서명으로 1차 확인"))</x:f>
      </x:c>
      <x:c r="K987" s="78"/>
    </x:row>
    <x:row r="988">
      <x:c r="A988" s="73"/>
      <x:c r="B988" s="73"/>
      <x:c r="C988" s="74"/>
      <x:c r="D988" s="73"/>
      <x:c r="E988" s="73"/>
      <x:c r="F988" s="75"/>
      <x:c r="G988" s="75"/>
      <x:c r="H988" s="76" t="str">
        <x:f>IF(A988="","",F988-G988)</x:f>
      </x:c>
      <x:c r="I988" s="77" t="str">
        <x:f>IF(A988="","",IF(E988="","기타/불명",IF(IFERROR(SEARCH("급여",E988),0)&gt;0,"인건비",IF(IFERROR(SEARCH("임차",E988),0)&gt;0,"임차·시설",IF(IFERROR(SEARCH("광고",E988),0)&gt;0,"광고·행사",IF(IFERROR(SEARCH("용역",E988),0)&gt;0,"용역·수수료","기타/불명"))))))</x:f>
      </x:c>
      <x:c r="J988" s="77" t="str">
        <x:f>IF(A988="","",IF(I988="기타/불명","확인 필요","결의서명으로 1차 확인"))</x:f>
      </x:c>
      <x:c r="K988" s="78"/>
    </x:row>
    <x:row r="989">
      <x:c r="A989" s="73"/>
      <x:c r="B989" s="73"/>
      <x:c r="C989" s="74"/>
      <x:c r="D989" s="73"/>
      <x:c r="E989" s="73"/>
      <x:c r="F989" s="75"/>
      <x:c r="G989" s="75"/>
      <x:c r="H989" s="76" t="str">
        <x:f>IF(A989="","",F989-G989)</x:f>
      </x:c>
      <x:c r="I989" s="77" t="str">
        <x:f>IF(A989="","",IF(E989="","기타/불명",IF(IFERROR(SEARCH("급여",E989),0)&gt;0,"인건비",IF(IFERROR(SEARCH("임차",E989),0)&gt;0,"임차·시설",IF(IFERROR(SEARCH("광고",E989),0)&gt;0,"광고·행사",IF(IFERROR(SEARCH("용역",E989),0)&gt;0,"용역·수수료","기타/불명"))))))</x:f>
      </x:c>
      <x:c r="J989" s="77" t="str">
        <x:f>IF(A989="","",IF(I989="기타/불명","확인 필요","결의서명으로 1차 확인"))</x:f>
      </x:c>
      <x:c r="K989" s="78"/>
    </x:row>
    <x:row r="990">
      <x:c r="A990" s="73"/>
      <x:c r="B990" s="73"/>
      <x:c r="C990" s="74"/>
      <x:c r="D990" s="73"/>
      <x:c r="E990" s="73"/>
      <x:c r="F990" s="75"/>
      <x:c r="G990" s="75"/>
      <x:c r="H990" s="76" t="str">
        <x:f>IF(A990="","",F990-G990)</x:f>
      </x:c>
      <x:c r="I990" s="77" t="str">
        <x:f>IF(A990="","",IF(E990="","기타/불명",IF(IFERROR(SEARCH("급여",E990),0)&gt;0,"인건비",IF(IFERROR(SEARCH("임차",E990),0)&gt;0,"임차·시설",IF(IFERROR(SEARCH("광고",E990),0)&gt;0,"광고·행사",IF(IFERROR(SEARCH("용역",E990),0)&gt;0,"용역·수수료","기타/불명"))))))</x:f>
      </x:c>
      <x:c r="J990" s="77" t="str">
        <x:f>IF(A990="","",IF(I990="기타/불명","확인 필요","결의서명으로 1차 확인"))</x:f>
      </x:c>
      <x:c r="K990" s="78"/>
    </x:row>
    <x:row r="991">
      <x:c r="A991" s="73"/>
      <x:c r="B991" s="73"/>
      <x:c r="C991" s="74"/>
      <x:c r="D991" s="73"/>
      <x:c r="E991" s="73"/>
      <x:c r="F991" s="75"/>
      <x:c r="G991" s="75"/>
      <x:c r="H991" s="76" t="str">
        <x:f>IF(A991="","",F991-G991)</x:f>
      </x:c>
      <x:c r="I991" s="77" t="str">
        <x:f>IF(A991="","",IF(E991="","기타/불명",IF(IFERROR(SEARCH("급여",E991),0)&gt;0,"인건비",IF(IFERROR(SEARCH("임차",E991),0)&gt;0,"임차·시설",IF(IFERROR(SEARCH("광고",E991),0)&gt;0,"광고·행사",IF(IFERROR(SEARCH("용역",E991),0)&gt;0,"용역·수수료","기타/불명"))))))</x:f>
      </x:c>
      <x:c r="J991" s="77" t="str">
        <x:f>IF(A991="","",IF(I991="기타/불명","확인 필요","결의서명으로 1차 확인"))</x:f>
      </x:c>
      <x:c r="K991" s="78"/>
    </x:row>
    <x:row r="992">
      <x:c r="A992" s="73"/>
      <x:c r="B992" s="73"/>
      <x:c r="C992" s="74"/>
      <x:c r="D992" s="73"/>
      <x:c r="E992" s="73"/>
      <x:c r="F992" s="75"/>
      <x:c r="G992" s="75"/>
      <x:c r="H992" s="76" t="str">
        <x:f>IF(A992="","",F992-G992)</x:f>
      </x:c>
      <x:c r="I992" s="77" t="str">
        <x:f>IF(A992="","",IF(E992="","기타/불명",IF(IFERROR(SEARCH("급여",E992),0)&gt;0,"인건비",IF(IFERROR(SEARCH("임차",E992),0)&gt;0,"임차·시설",IF(IFERROR(SEARCH("광고",E992),0)&gt;0,"광고·행사",IF(IFERROR(SEARCH("용역",E992),0)&gt;0,"용역·수수료","기타/불명"))))))</x:f>
      </x:c>
      <x:c r="J992" s="77" t="str">
        <x:f>IF(A992="","",IF(I992="기타/불명","확인 필요","결의서명으로 1차 확인"))</x:f>
      </x:c>
      <x:c r="K992" s="78"/>
    </x:row>
    <x:row r="993">
      <x:c r="A993" s="73"/>
      <x:c r="B993" s="73"/>
      <x:c r="C993" s="74"/>
      <x:c r="D993" s="73"/>
      <x:c r="E993" s="73"/>
      <x:c r="F993" s="75"/>
      <x:c r="G993" s="75"/>
      <x:c r="H993" s="76" t="str">
        <x:f>IF(A993="","",F993-G993)</x:f>
      </x:c>
      <x:c r="I993" s="77" t="str">
        <x:f>IF(A993="","",IF(E993="","기타/불명",IF(IFERROR(SEARCH("급여",E993),0)&gt;0,"인건비",IF(IFERROR(SEARCH("임차",E993),0)&gt;0,"임차·시설",IF(IFERROR(SEARCH("광고",E993),0)&gt;0,"광고·행사",IF(IFERROR(SEARCH("용역",E993),0)&gt;0,"용역·수수료","기타/불명"))))))</x:f>
      </x:c>
      <x:c r="J993" s="77" t="str">
        <x:f>IF(A993="","",IF(I993="기타/불명","확인 필요","결의서명으로 1차 확인"))</x:f>
      </x:c>
      <x:c r="K993" s="78"/>
    </x:row>
    <x:row r="994">
      <x:c r="A994" s="73"/>
      <x:c r="B994" s="73"/>
      <x:c r="C994" s="74"/>
      <x:c r="D994" s="73"/>
      <x:c r="E994" s="73"/>
      <x:c r="F994" s="75"/>
      <x:c r="G994" s="75"/>
      <x:c r="H994" s="76" t="str">
        <x:f>IF(A994="","",F994-G994)</x:f>
      </x:c>
      <x:c r="I994" s="77" t="str">
        <x:f>IF(A994="","",IF(E994="","기타/불명",IF(IFERROR(SEARCH("급여",E994),0)&gt;0,"인건비",IF(IFERROR(SEARCH("임차",E994),0)&gt;0,"임차·시설",IF(IFERROR(SEARCH("광고",E994),0)&gt;0,"광고·행사",IF(IFERROR(SEARCH("용역",E994),0)&gt;0,"용역·수수료","기타/불명"))))))</x:f>
      </x:c>
      <x:c r="J994" s="77" t="str">
        <x:f>IF(A994="","",IF(I994="기타/불명","확인 필요","결의서명으로 1차 확인"))</x:f>
      </x:c>
      <x:c r="K994" s="78"/>
    </x:row>
    <x:row r="995">
      <x:c r="A995" s="73"/>
      <x:c r="B995" s="73"/>
      <x:c r="C995" s="74"/>
      <x:c r="D995" s="73"/>
      <x:c r="E995" s="73"/>
      <x:c r="F995" s="75"/>
      <x:c r="G995" s="75"/>
      <x:c r="H995" s="76" t="str">
        <x:f>IF(A995="","",F995-G995)</x:f>
      </x:c>
      <x:c r="I995" s="77" t="str">
        <x:f>IF(A995="","",IF(E995="","기타/불명",IF(IFERROR(SEARCH("급여",E995),0)&gt;0,"인건비",IF(IFERROR(SEARCH("임차",E995),0)&gt;0,"임차·시설",IF(IFERROR(SEARCH("광고",E995),0)&gt;0,"광고·행사",IF(IFERROR(SEARCH("용역",E995),0)&gt;0,"용역·수수료","기타/불명"))))))</x:f>
      </x:c>
      <x:c r="J995" s="77" t="str">
        <x:f>IF(A995="","",IF(I995="기타/불명","확인 필요","결의서명으로 1차 확인"))</x:f>
      </x:c>
      <x:c r="K995" s="78"/>
    </x:row>
    <x:row r="996">
      <x:c r="A996" s="73"/>
      <x:c r="B996" s="73"/>
      <x:c r="C996" s="74"/>
      <x:c r="D996" s="73"/>
      <x:c r="E996" s="73"/>
      <x:c r="F996" s="75"/>
      <x:c r="G996" s="75"/>
      <x:c r="H996" s="76" t="str">
        <x:f>IF(A996="","",F996-G996)</x:f>
      </x:c>
      <x:c r="I996" s="77" t="str">
        <x:f>IF(A996="","",IF(E996="","기타/불명",IF(IFERROR(SEARCH("급여",E996),0)&gt;0,"인건비",IF(IFERROR(SEARCH("임차",E996),0)&gt;0,"임차·시설",IF(IFERROR(SEARCH("광고",E996),0)&gt;0,"광고·행사",IF(IFERROR(SEARCH("용역",E996),0)&gt;0,"용역·수수료","기타/불명"))))))</x:f>
      </x:c>
      <x:c r="J996" s="77" t="str">
        <x:f>IF(A996="","",IF(I996="기타/불명","확인 필요","결의서명으로 1차 확인"))</x:f>
      </x:c>
      <x:c r="K996" s="78"/>
    </x:row>
    <x:row r="997">
      <x:c r="A997" s="73"/>
      <x:c r="B997" s="73"/>
      <x:c r="C997" s="74"/>
      <x:c r="D997" s="73"/>
      <x:c r="E997" s="73"/>
      <x:c r="F997" s="75"/>
      <x:c r="G997" s="75"/>
      <x:c r="H997" s="76" t="str">
        <x:f>IF(A997="","",F997-G997)</x:f>
      </x:c>
      <x:c r="I997" s="77" t="str">
        <x:f>IF(A997="","",IF(E997="","기타/불명",IF(IFERROR(SEARCH("급여",E997),0)&gt;0,"인건비",IF(IFERROR(SEARCH("임차",E997),0)&gt;0,"임차·시설",IF(IFERROR(SEARCH("광고",E997),0)&gt;0,"광고·행사",IF(IFERROR(SEARCH("용역",E997),0)&gt;0,"용역·수수료","기타/불명"))))))</x:f>
      </x:c>
      <x:c r="J997" s="77" t="str">
        <x:f>IF(A997="","",IF(I997="기타/불명","확인 필요","결의서명으로 1차 확인"))</x:f>
      </x:c>
      <x:c r="K997" s="78"/>
    </x:row>
    <x:row r="998">
      <x:c r="A998" s="73"/>
      <x:c r="B998" s="73"/>
      <x:c r="C998" s="74"/>
      <x:c r="D998" s="73"/>
      <x:c r="E998" s="73"/>
      <x:c r="F998" s="75"/>
      <x:c r="G998" s="75"/>
      <x:c r="H998" s="76" t="str">
        <x:f>IF(A998="","",F998-G998)</x:f>
      </x:c>
      <x:c r="I998" s="77" t="str">
        <x:f>IF(A998="","",IF(E998="","기타/불명",IF(IFERROR(SEARCH("급여",E998),0)&gt;0,"인건비",IF(IFERROR(SEARCH("임차",E998),0)&gt;0,"임차·시설",IF(IFERROR(SEARCH("광고",E998),0)&gt;0,"광고·행사",IF(IFERROR(SEARCH("용역",E998),0)&gt;0,"용역·수수료","기타/불명"))))))</x:f>
      </x:c>
      <x:c r="J998" s="77" t="str">
        <x:f>IF(A998="","",IF(I998="기타/불명","확인 필요","결의서명으로 1차 확인"))</x:f>
      </x:c>
      <x:c r="K998" s="78"/>
    </x:row>
    <x:row r="999">
      <x:c r="A999" s="73"/>
      <x:c r="B999" s="73"/>
      <x:c r="C999" s="74"/>
      <x:c r="D999" s="73"/>
      <x:c r="E999" s="73"/>
      <x:c r="F999" s="75"/>
      <x:c r="G999" s="75"/>
      <x:c r="H999" s="76" t="str">
        <x:f>IF(A999="","",F999-G999)</x:f>
      </x:c>
      <x:c r="I999" s="77" t="str">
        <x:f>IF(A999="","",IF(E999="","기타/불명",IF(IFERROR(SEARCH("급여",E999),0)&gt;0,"인건비",IF(IFERROR(SEARCH("임차",E999),0)&gt;0,"임차·시설",IF(IFERROR(SEARCH("광고",E999),0)&gt;0,"광고·행사",IF(IFERROR(SEARCH("용역",E999),0)&gt;0,"용역·수수료","기타/불명"))))))</x:f>
      </x:c>
      <x:c r="J999" s="77" t="str">
        <x:f>IF(A999="","",IF(I999="기타/불명","확인 필요","결의서명으로 1차 확인"))</x:f>
      </x:c>
      <x:c r="K999" s="78"/>
    </x:row>
    <x:row r="1000">
      <x:c r="A1000" s="73"/>
      <x:c r="B1000" s="73"/>
      <x:c r="C1000" s="74"/>
      <x:c r="D1000" s="73"/>
      <x:c r="E1000" s="73"/>
      <x:c r="F1000" s="75"/>
      <x:c r="G1000" s="75"/>
      <x:c r="H1000" s="76" t="str">
        <x:f>IF(A1000="","",F1000-G1000)</x:f>
      </x:c>
      <x:c r="I1000" s="77" t="str">
        <x:f>IF(A1000="","",IF(E1000="","기타/불명",IF(IFERROR(SEARCH("급여",E1000),0)&gt;0,"인건비",IF(IFERROR(SEARCH("임차",E1000),0)&gt;0,"임차·시설",IF(IFERROR(SEARCH("광고",E1000),0)&gt;0,"광고·행사",IF(IFERROR(SEARCH("용역",E1000),0)&gt;0,"용역·수수료","기타/불명"))))))</x:f>
      </x:c>
      <x:c r="J1000" s="77" t="str">
        <x:f>IF(A1000="","",IF(I1000="기타/불명","확인 필요","결의서명으로 1차 확인"))</x:f>
      </x:c>
      <x:c r="K1000" s="78"/>
    </x:row>
    <x:row r="1001">
      <x:c r="A1001" s="73"/>
      <x:c r="B1001" s="73"/>
      <x:c r="C1001" s="74"/>
      <x:c r="D1001" s="73"/>
      <x:c r="E1001" s="73"/>
      <x:c r="F1001" s="75"/>
      <x:c r="G1001" s="75"/>
      <x:c r="H1001" s="76" t="str">
        <x:f>IF(A1001="","",F1001-G1001)</x:f>
      </x:c>
      <x:c r="I1001" s="77" t="str">
        <x:f>IF(A1001="","",IF(E1001="","기타/불명",IF(IFERROR(SEARCH("급여",E1001),0)&gt;0,"인건비",IF(IFERROR(SEARCH("임차",E1001),0)&gt;0,"임차·시설",IF(IFERROR(SEARCH("광고",E1001),0)&gt;0,"광고·행사",IF(IFERROR(SEARCH("용역",E1001),0)&gt;0,"용역·수수료","기타/불명"))))))</x:f>
      </x:c>
      <x:c r="J1001" s="77" t="str">
        <x:f>IF(A1001="","",IF(I1001="기타/불명","확인 필요","결의서명으로 1차 확인"))</x:f>
      </x:c>
      <x:c r="K1001" s="78"/>
    </x:row>
    <x:row r="1002">
      <x:c r="A1002" s="73"/>
      <x:c r="B1002" s="73"/>
      <x:c r="C1002" s="74"/>
      <x:c r="D1002" s="73"/>
      <x:c r="E1002" s="73"/>
      <x:c r="F1002" s="75"/>
      <x:c r="G1002" s="75"/>
      <x:c r="H1002" s="76" t="str">
        <x:f>IF(A1002="","",F1002-G1002)</x:f>
      </x:c>
      <x:c r="I1002" s="77" t="str">
        <x:f>IF(A1002="","",IF(E1002="","기타/불명",IF(IFERROR(SEARCH("급여",E1002),0)&gt;0,"인건비",IF(IFERROR(SEARCH("임차",E1002),0)&gt;0,"임차·시설",IF(IFERROR(SEARCH("광고",E1002),0)&gt;0,"광고·행사",IF(IFERROR(SEARCH("용역",E1002),0)&gt;0,"용역·수수료","기타/불명"))))))</x:f>
      </x:c>
      <x:c r="J1002" s="77" t="str">
        <x:f>IF(A1002="","",IF(I1002="기타/불명","확인 필요","결의서명으로 1차 확인"))</x:f>
      </x:c>
      <x:c r="K1002" s="78"/>
    </x:row>
    <x:row r="1003">
      <x:c r="A1003" s="73"/>
      <x:c r="B1003" s="73"/>
      <x:c r="C1003" s="74"/>
      <x:c r="D1003" s="73"/>
      <x:c r="E1003" s="73"/>
      <x:c r="F1003" s="75"/>
      <x:c r="G1003" s="75"/>
      <x:c r="H1003" s="76" t="str">
        <x:f>IF(A1003="","",F1003-G1003)</x:f>
      </x:c>
      <x:c r="I1003" s="77" t="str">
        <x:f>IF(A1003="","",IF(E1003="","기타/불명",IF(IFERROR(SEARCH("급여",E1003),0)&gt;0,"인건비",IF(IFERROR(SEARCH("임차",E1003),0)&gt;0,"임차·시설",IF(IFERROR(SEARCH("광고",E1003),0)&gt;0,"광고·행사",IF(IFERROR(SEARCH("용역",E1003),0)&gt;0,"용역·수수료","기타/불명"))))))</x:f>
      </x:c>
      <x:c r="J1003" s="77" t="str">
        <x:f>IF(A1003="","",IF(I1003="기타/불명","확인 필요","결의서명으로 1차 확인"))</x:f>
      </x:c>
      <x:c r="K1003" s="78"/>
    </x:row>
    <x:row r="1004">
      <x:c r="A1004" s="79"/>
      <x:c r="B1004" s="79"/>
      <x:c r="C1004" s="80"/>
      <x:c r="D1004" s="79"/>
      <x:c r="E1004" s="79"/>
      <x:c r="F1004" s="81"/>
      <x:c r="G1004" s="81"/>
      <x:c r="H1004" s="82" t="str">
        <x:f>IF(A1004="","",F1004-G1004)</x:f>
      </x:c>
      <x:c r="I1004" s="83" t="str">
        <x:f>IF(A1004="","",IF(E1004="","기타/불명",IF(IFERROR(SEARCH("급여",E1004),0)&gt;0,"인건비",IF(IFERROR(SEARCH("임차",E1004),0)&gt;0,"임차·시설",IF(IFERROR(SEARCH("광고",E1004),0)&gt;0,"광고·행사",IF(IFERROR(SEARCH("용역",E1004),0)&gt;0,"용역·수수료","기타/불명"))))))</x:f>
      </x:c>
      <x:c r="J1004" s="83" t="str">
        <x:f>IF(A1004="","",IF(I1004="기타/불명","확인 필요","결의서명으로 1차 확인"))</x:f>
      </x:c>
      <x:c r="K1004" s="84"/>
    </x:row>
  </x:sheetData>
  <x:mergeCells>
    <x:mergeCell ref="A1:K1"/>
  </x:mergeCells>
  <x:conditionalFormatting sqref="J5:J1004">
    <x:cfRule type="containsText" dxfId="0" priority="1" operator="containsText" text="확인 필요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13" hidden="0" customWidth="1"/>
    <x:col min="4" max="4" width="16" hidden="0" customWidth="1"/>
    <x:col min="5" max="5" width="38" hidden="0" customWidth="1"/>
    <x:col min="6" max="6" width="17" hidden="0" customWidth="1"/>
    <x:col min="7" max="7" width="17" hidden="0" customWidth="1"/>
    <x:col min="8" max="8" width="17" hidden="0" customWidth="1"/>
    <x:col min="9" max="9" width="18" hidden="0" customWidth="1"/>
    <x:col min="10" max="10" width="22" hidden="0" customWidth="1"/>
    <x:col min="11" max="11" width="34" hidden="0" customWidth="1"/>
  </x:cols>
  <x:sheetData>
    <x:row r="1" ht="34" customHeight="1">
      <x:c r="A1" s="4" t="str">
        <x:v>당기 계정원장</x:v>
      </x:c>
      <x:c r="B1" s="4" t="str">
        <x:v>당기 계정원장</x:v>
      </x:c>
      <x:c r="C1" s="4" t="str">
        <x:v>당기 계정원장</x:v>
      </x:c>
      <x:c r="D1" s="4" t="str">
        <x:v>당기 계정원장</x:v>
      </x:c>
      <x:c r="E1" s="4" t="str">
        <x:v>당기 계정원장</x:v>
      </x:c>
      <x:c r="F1" s="4" t="str">
        <x:v>당기 계정원장</x:v>
      </x:c>
      <x:c r="G1" s="4" t="str">
        <x:v>당기 계정원장</x:v>
      </x:c>
      <x:c r="H1" s="4" t="str">
        <x:v>당기 계정원장</x:v>
      </x:c>
      <x:c r="I1" s="4" t="str">
        <x:v>당기 계정원장</x:v>
      </x:c>
      <x:c r="J1" s="4" t="str">
        <x:v>당기 계정원장</x:v>
      </x:c>
      <x:c r="K1" s="4" t="str">
        <x:v>당기 계정원장</x:v>
      </x:c>
    </x:row>
    <x:row r="2">
      <x:c r="A2" s="5" t="str">
        <x:v>A:G 입력 / H:J 자동계산 / K 검토자 입력</x:v>
      </x:c>
    </x:row>
    <x:row r="4" ht="30" customHeight="1">
      <x:c r="A4" s="71" t="str">
        <x:v>계정코드</x:v>
      </x:c>
      <x:c r="B4" s="72" t="str">
        <x:v>계정명</x:v>
      </x:c>
      <x:c r="C4" s="72" t="str">
        <x:v>전표일자</x:v>
      </x:c>
      <x:c r="D4" s="72" t="str">
        <x:v>결의서번호</x:v>
      </x:c>
      <x:c r="E4" s="72" t="str">
        <x:v>결의서명</x:v>
      </x:c>
      <x:c r="F4" s="72" t="str">
        <x:v>차변</x:v>
      </x:c>
      <x:c r="G4" s="72" t="str">
        <x:v>대변</x:v>
      </x:c>
      <x:c r="H4" s="72" t="str">
        <x:v>순액(차변-대변)</x:v>
      </x:c>
      <x:c r="I4" s="72" t="str">
        <x:v>1차 원인분류</x:v>
      </x:c>
      <x:c r="J4" s="72" t="str">
        <x:v>붙임 확인</x:v>
      </x:c>
      <x:c r="K4" s="72" t="str">
        <x:v>검토메모/붙임경로</x:v>
      </x:c>
    </x:row>
    <x:row r="5">
      <x:c r="A5" s="73" t="str">
        <x:v>510100</x:v>
      </x:c>
      <x:c r="B5" s="73" t="str">
        <x:v>급여</x:v>
      </x:c>
      <x:c r="C5" s="74" t="n">
        <x:v>46053</x:v>
      </x:c>
      <x:c r="D5" s="73" t="str">
        <x:v>C-001</x:v>
      </x:c>
      <x:c r="E5" s="73" t="str">
        <x:v>1월 정규직 급여 및 신규채용 반영</x:v>
      </x:c>
      <x:c r="F5" s="75" t="n">
        <x:v>470000000</x:v>
      </x:c>
      <x:c r="G5" s="75" t="n">
        <x:v>0</x:v>
      </x:c>
      <x:c r="H5" s="76" t="n">
        <x:f>IF(A5="","",F5-G5)</x:f>
        <x:v>470000000</x:v>
      </x:c>
      <x:c r="I5" s="77" t="str">
        <x:f>IF(A5="","",IF(E5="","기타/불명",IF(IFERROR(SEARCH("급여",E5),0)&gt;0,"인건비",IF(IFERROR(SEARCH("임차",E5),0)&gt;0,"임차·시설",IF(IFERROR(SEARCH("광고",E5),0)&gt;0,"광고·행사",IF(IFERROR(SEARCH("용역",E5),0)&gt;0,"용역·수수료","기타/불명"))))))</x:f>
        <x:v>인건비</x:v>
      </x:c>
      <x:c r="J5" s="77" t="str">
        <x:f>IF(A5="","",IF(I5="기타/불명","확인 필요","결의서명으로 1차 확인"))</x:f>
        <x:v>결의서명으로 1차 확인</x:v>
      </x:c>
      <x:c r="K5" s="78" t="str"/>
    </x:row>
    <x:row r="6">
      <x:c r="A6" s="73" t="str">
        <x:v>520300</x:v>
      </x:c>
      <x:c r="B6" s="73" t="str">
        <x:v>광고선전비</x:v>
      </x:c>
      <x:c r="C6" s="74" t="n">
        <x:v>46103</x:v>
      </x:c>
      <x:c r="D6" s="73" t="str">
        <x:v>C-041</x:v>
      </x:c>
      <x:c r="E6" s="73" t="str">
        <x:v>신제품 출시 광고 캠페인</x:v>
      </x:c>
      <x:c r="F6" s="75" t="n">
        <x:v>260000000</x:v>
      </x:c>
      <x:c r="G6" s="75" t="n">
        <x:v>0</x:v>
      </x:c>
      <x:c r="H6" s="76" t="n">
        <x:f>IF(A6="","",F6-G6)</x:f>
        <x:v>260000000</x:v>
      </x:c>
      <x:c r="I6" s="77" t="str">
        <x:f>IF(A6="","",IF(E6="","기타/불명",IF(IFERROR(SEARCH("급여",E6),0)&gt;0,"인건비",IF(IFERROR(SEARCH("임차",E6),0)&gt;0,"임차·시설",IF(IFERROR(SEARCH("광고",E6),0)&gt;0,"광고·행사",IF(IFERROR(SEARCH("용역",E6),0)&gt;0,"용역·수수료","기타/불명"))))))</x:f>
        <x:v>광고·행사</x:v>
      </x:c>
      <x:c r="J6" s="77" t="str">
        <x:f>IF(A6="","",IF(I6="기타/불명","확인 필요","결의서명으로 1차 확인"))</x:f>
        <x:v>결의서명으로 1차 확인</x:v>
      </x:c>
      <x:c r="K6" s="78" t="str"/>
    </x:row>
    <x:row r="7">
      <x:c r="A7" s="73" t="str">
        <x:v>530100</x:v>
      </x:c>
      <x:c r="B7" s="73" t="str">
        <x:v>임차료</x:v>
      </x:c>
      <x:c r="C7" s="74" t="n">
        <x:v>46063</x:v>
      </x:c>
      <x:c r="D7" s="73" t="str">
        <x:v>C-022</x:v>
      </x:c>
      <x:c r="E7" s="73" t="str">
        <x:v>본사 사무실 임차료</x:v>
      </x:c>
      <x:c r="F7" s="75" t="n">
        <x:v>240000000</x:v>
      </x:c>
      <x:c r="G7" s="75" t="n">
        <x:v>0</x:v>
      </x:c>
      <x:c r="H7" s="76" t="n">
        <x:f>IF(A7="","",F7-G7)</x:f>
        <x:v>240000000</x:v>
      </x:c>
      <x:c r="I7" s="77" t="str">
        <x:f>IF(A7="","",IF(E7="","기타/불명",IF(IFERROR(SEARCH("급여",E7),0)&gt;0,"인건비",IF(IFERROR(SEARCH("임차",E7),0)&gt;0,"임차·시설",IF(IFERROR(SEARCH("광고",E7),0)&gt;0,"광고·행사",IF(IFERROR(SEARCH("용역",E7),0)&gt;0,"용역·수수료","기타/불명"))))))</x:f>
        <x:v>임차·시설</x:v>
      </x:c>
      <x:c r="J7" s="77" t="str">
        <x:f>IF(A7="","",IF(I7="기타/불명","확인 필요","결의서명으로 1차 확인"))</x:f>
        <x:v>결의서명으로 1차 확인</x:v>
      </x:c>
      <x:c r="K7" s="78" t="str"/>
    </x:row>
    <x:row r="8">
      <x:c r="A8" s="73" t="str">
        <x:v>550500</x:v>
      </x:c>
      <x:c r="B8" s="73" t="str">
        <x:v>소프트웨어</x:v>
      </x:c>
      <x:c r="C8" s="74" t="n">
        <x:v>46113</x:v>
      </x:c>
      <x:c r="D8" s="73" t="str">
        <x:v>C-067</x:v>
      </x:c>
      <x:c r="E8" s="73" t="str">
        <x:v>ERP 시스템 구축 용역</x:v>
      </x:c>
      <x:c r="F8" s="75" t="n">
        <x:v>180000000</x:v>
      </x:c>
      <x:c r="G8" s="75" t="n">
        <x:v>0</x:v>
      </x:c>
      <x:c r="H8" s="76" t="n">
        <x:f>IF(A8="","",F8-G8)</x:f>
        <x:v>180000000</x:v>
      </x:c>
      <x:c r="I8" s="77" t="str">
        <x:f>IF(A8="","",IF(E8="","기타/불명",IF(IFERROR(SEARCH("급여",E8),0)&gt;0,"인건비",IF(IFERROR(SEARCH("임차",E8),0)&gt;0,"임차·시설",IF(IFERROR(SEARCH("광고",E8),0)&gt;0,"광고·행사",IF(IFERROR(SEARCH("용역",E8),0)&gt;0,"용역·수수료","기타/불명"))))))</x:f>
        <x:v>용역·수수료</x:v>
      </x:c>
      <x:c r="J8" s="77" t="str">
        <x:f>IF(A8="","",IF(I8="기타/불명","확인 필요","결의서명으로 1차 확인"))</x:f>
        <x:v>결의서명으로 1차 확인</x:v>
      </x:c>
      <x:c r="K8" s="78" t="str"/>
    </x:row>
    <x:row r="9">
      <x:c r="A9" s="73"/>
      <x:c r="B9" s="73"/>
      <x:c r="C9" s="74"/>
      <x:c r="D9" s="73"/>
      <x:c r="E9" s="73"/>
      <x:c r="F9" s="75"/>
      <x:c r="G9" s="75"/>
      <x:c r="H9" s="76" t="str">
        <x:f>IF(A9="","",F9-G9)</x:f>
      </x:c>
      <x:c r="I9" s="77" t="str">
        <x:f>IF(A9="","",IF(E9="","기타/불명",IF(IFERROR(SEARCH("급여",E9),0)&gt;0,"인건비",IF(IFERROR(SEARCH("임차",E9),0)&gt;0,"임차·시설",IF(IFERROR(SEARCH("광고",E9),0)&gt;0,"광고·행사",IF(IFERROR(SEARCH("용역",E9),0)&gt;0,"용역·수수료","기타/불명"))))))</x:f>
      </x:c>
      <x:c r="J9" s="77" t="str">
        <x:f>IF(A9="","",IF(I9="기타/불명","확인 필요","결의서명으로 1차 확인"))</x:f>
      </x:c>
      <x:c r="K9" s="78"/>
    </x:row>
    <x:row r="10">
      <x:c r="A10" s="73"/>
      <x:c r="B10" s="73"/>
      <x:c r="C10" s="74"/>
      <x:c r="D10" s="73"/>
      <x:c r="E10" s="73"/>
      <x:c r="F10" s="75"/>
      <x:c r="G10" s="75"/>
      <x:c r="H10" s="76" t="str">
        <x:f>IF(A10="","",F10-G10)</x:f>
      </x:c>
      <x:c r="I10" s="77" t="str">
        <x:f>IF(A10="","",IF(E10="","기타/불명",IF(IFERROR(SEARCH("급여",E10),0)&gt;0,"인건비",IF(IFERROR(SEARCH("임차",E10),0)&gt;0,"임차·시설",IF(IFERROR(SEARCH("광고",E10),0)&gt;0,"광고·행사",IF(IFERROR(SEARCH("용역",E10),0)&gt;0,"용역·수수료","기타/불명"))))))</x:f>
      </x:c>
      <x:c r="J10" s="77" t="str">
        <x:f>IF(A10="","",IF(I10="기타/불명","확인 필요","결의서명으로 1차 확인"))</x:f>
      </x:c>
      <x:c r="K10" s="78"/>
    </x:row>
    <x:row r="11">
      <x:c r="A11" s="73"/>
      <x:c r="B11" s="73"/>
      <x:c r="C11" s="74"/>
      <x:c r="D11" s="73"/>
      <x:c r="E11" s="73"/>
      <x:c r="F11" s="75"/>
      <x:c r="G11" s="75"/>
      <x:c r="H11" s="76" t="str">
        <x:f>IF(A11="","",F11-G11)</x:f>
      </x:c>
      <x:c r="I11" s="77" t="str">
        <x:f>IF(A11="","",IF(E11="","기타/불명",IF(IFERROR(SEARCH("급여",E11),0)&gt;0,"인건비",IF(IFERROR(SEARCH("임차",E11),0)&gt;0,"임차·시설",IF(IFERROR(SEARCH("광고",E11),0)&gt;0,"광고·행사",IF(IFERROR(SEARCH("용역",E11),0)&gt;0,"용역·수수료","기타/불명"))))))</x:f>
      </x:c>
      <x:c r="J11" s="77" t="str">
        <x:f>IF(A11="","",IF(I11="기타/불명","확인 필요","결의서명으로 1차 확인"))</x:f>
      </x:c>
      <x:c r="K11" s="78"/>
    </x:row>
    <x:row r="12">
      <x:c r="A12" s="73"/>
      <x:c r="B12" s="73"/>
      <x:c r="C12" s="74"/>
      <x:c r="D12" s="73"/>
      <x:c r="E12" s="73"/>
      <x:c r="F12" s="75"/>
      <x:c r="G12" s="75"/>
      <x:c r="H12" s="76" t="str">
        <x:f>IF(A12="","",F12-G12)</x:f>
      </x:c>
      <x:c r="I12" s="77" t="str">
        <x:f>IF(A12="","",IF(E12="","기타/불명",IF(IFERROR(SEARCH("급여",E12),0)&gt;0,"인건비",IF(IFERROR(SEARCH("임차",E12),0)&gt;0,"임차·시설",IF(IFERROR(SEARCH("광고",E12),0)&gt;0,"광고·행사",IF(IFERROR(SEARCH("용역",E12),0)&gt;0,"용역·수수료","기타/불명"))))))</x:f>
      </x:c>
      <x:c r="J12" s="77" t="str">
        <x:f>IF(A12="","",IF(I12="기타/불명","확인 필요","결의서명으로 1차 확인"))</x:f>
      </x:c>
      <x:c r="K12" s="78"/>
    </x:row>
    <x:row r="13">
      <x:c r="A13" s="73"/>
      <x:c r="B13" s="73"/>
      <x:c r="C13" s="74"/>
      <x:c r="D13" s="73"/>
      <x:c r="E13" s="73"/>
      <x:c r="F13" s="75"/>
      <x:c r="G13" s="75"/>
      <x:c r="H13" s="76" t="str">
        <x:f>IF(A13="","",F13-G13)</x:f>
      </x:c>
      <x:c r="I13" s="77" t="str">
        <x:f>IF(A13="","",IF(E13="","기타/불명",IF(IFERROR(SEARCH("급여",E13),0)&gt;0,"인건비",IF(IFERROR(SEARCH("임차",E13),0)&gt;0,"임차·시설",IF(IFERROR(SEARCH("광고",E13),0)&gt;0,"광고·행사",IF(IFERROR(SEARCH("용역",E13),0)&gt;0,"용역·수수료","기타/불명"))))))</x:f>
      </x:c>
      <x:c r="J13" s="77" t="str">
        <x:f>IF(A13="","",IF(I13="기타/불명","확인 필요","결의서명으로 1차 확인"))</x:f>
      </x:c>
      <x:c r="K13" s="78"/>
    </x:row>
    <x:row r="14">
      <x:c r="A14" s="73"/>
      <x:c r="B14" s="73"/>
      <x:c r="C14" s="74"/>
      <x:c r="D14" s="73"/>
      <x:c r="E14" s="73"/>
      <x:c r="F14" s="75"/>
      <x:c r="G14" s="75"/>
      <x:c r="H14" s="76" t="str">
        <x:f>IF(A14="","",F14-G14)</x:f>
      </x:c>
      <x:c r="I14" s="77" t="str">
        <x:f>IF(A14="","",IF(E14="","기타/불명",IF(IFERROR(SEARCH("급여",E14),0)&gt;0,"인건비",IF(IFERROR(SEARCH("임차",E14),0)&gt;0,"임차·시설",IF(IFERROR(SEARCH("광고",E14),0)&gt;0,"광고·행사",IF(IFERROR(SEARCH("용역",E14),0)&gt;0,"용역·수수료","기타/불명"))))))</x:f>
      </x:c>
      <x:c r="J14" s="77" t="str">
        <x:f>IF(A14="","",IF(I14="기타/불명","확인 필요","결의서명으로 1차 확인"))</x:f>
      </x:c>
      <x:c r="K14" s="78"/>
    </x:row>
    <x:row r="15">
      <x:c r="A15" s="73"/>
      <x:c r="B15" s="73"/>
      <x:c r="C15" s="74"/>
      <x:c r="D15" s="73"/>
      <x:c r="E15" s="73"/>
      <x:c r="F15" s="75"/>
      <x:c r="G15" s="75"/>
      <x:c r="H15" s="76" t="str">
        <x:f>IF(A15="","",F15-G15)</x:f>
      </x:c>
      <x:c r="I15" s="77" t="str">
        <x:f>IF(A15="","",IF(E15="","기타/불명",IF(IFERROR(SEARCH("급여",E15),0)&gt;0,"인건비",IF(IFERROR(SEARCH("임차",E15),0)&gt;0,"임차·시설",IF(IFERROR(SEARCH("광고",E15),0)&gt;0,"광고·행사",IF(IFERROR(SEARCH("용역",E15),0)&gt;0,"용역·수수료","기타/불명"))))))</x:f>
      </x:c>
      <x:c r="J15" s="77" t="str">
        <x:f>IF(A15="","",IF(I15="기타/불명","확인 필요","결의서명으로 1차 확인"))</x:f>
      </x:c>
      <x:c r="K15" s="78"/>
    </x:row>
    <x:row r="16">
      <x:c r="A16" s="73"/>
      <x:c r="B16" s="73"/>
      <x:c r="C16" s="74"/>
      <x:c r="D16" s="73"/>
      <x:c r="E16" s="73"/>
      <x:c r="F16" s="75"/>
      <x:c r="G16" s="75"/>
      <x:c r="H16" s="76" t="str">
        <x:f>IF(A16="","",F16-G16)</x:f>
      </x:c>
      <x:c r="I16" s="77" t="str">
        <x:f>IF(A16="","",IF(E16="","기타/불명",IF(IFERROR(SEARCH("급여",E16),0)&gt;0,"인건비",IF(IFERROR(SEARCH("임차",E16),0)&gt;0,"임차·시설",IF(IFERROR(SEARCH("광고",E16),0)&gt;0,"광고·행사",IF(IFERROR(SEARCH("용역",E16),0)&gt;0,"용역·수수료","기타/불명"))))))</x:f>
      </x:c>
      <x:c r="J16" s="77" t="str">
        <x:f>IF(A16="","",IF(I16="기타/불명","확인 필요","결의서명으로 1차 확인"))</x:f>
      </x:c>
      <x:c r="K16" s="78"/>
    </x:row>
    <x:row r="17">
      <x:c r="A17" s="73"/>
      <x:c r="B17" s="73"/>
      <x:c r="C17" s="74"/>
      <x:c r="D17" s="73"/>
      <x:c r="E17" s="73"/>
      <x:c r="F17" s="75"/>
      <x:c r="G17" s="75"/>
      <x:c r="H17" s="76" t="str">
        <x:f>IF(A17="","",F17-G17)</x:f>
      </x:c>
      <x:c r="I17" s="77" t="str">
        <x:f>IF(A17="","",IF(E17="","기타/불명",IF(IFERROR(SEARCH("급여",E17),0)&gt;0,"인건비",IF(IFERROR(SEARCH("임차",E17),0)&gt;0,"임차·시설",IF(IFERROR(SEARCH("광고",E17),0)&gt;0,"광고·행사",IF(IFERROR(SEARCH("용역",E17),0)&gt;0,"용역·수수료","기타/불명"))))))</x:f>
      </x:c>
      <x:c r="J17" s="77" t="str">
        <x:f>IF(A17="","",IF(I17="기타/불명","확인 필요","결의서명으로 1차 확인"))</x:f>
      </x:c>
      <x:c r="K17" s="78"/>
    </x:row>
    <x:row r="18">
      <x:c r="A18" s="73"/>
      <x:c r="B18" s="73"/>
      <x:c r="C18" s="74"/>
      <x:c r="D18" s="73"/>
      <x:c r="E18" s="73"/>
      <x:c r="F18" s="75"/>
      <x:c r="G18" s="75"/>
      <x:c r="H18" s="76" t="str">
        <x:f>IF(A18="","",F18-G18)</x:f>
      </x:c>
      <x:c r="I18" s="77" t="str">
        <x:f>IF(A18="","",IF(E18="","기타/불명",IF(IFERROR(SEARCH("급여",E18),0)&gt;0,"인건비",IF(IFERROR(SEARCH("임차",E18),0)&gt;0,"임차·시설",IF(IFERROR(SEARCH("광고",E18),0)&gt;0,"광고·행사",IF(IFERROR(SEARCH("용역",E18),0)&gt;0,"용역·수수료","기타/불명"))))))</x:f>
      </x:c>
      <x:c r="J18" s="77" t="str">
        <x:f>IF(A18="","",IF(I18="기타/불명","확인 필요","결의서명으로 1차 확인"))</x:f>
      </x:c>
      <x:c r="K18" s="78"/>
    </x:row>
    <x:row r="19">
      <x:c r="A19" s="73"/>
      <x:c r="B19" s="73"/>
      <x:c r="C19" s="74"/>
      <x:c r="D19" s="73"/>
      <x:c r="E19" s="73"/>
      <x:c r="F19" s="75"/>
      <x:c r="G19" s="75"/>
      <x:c r="H19" s="76" t="str">
        <x:f>IF(A19="","",F19-G19)</x:f>
      </x:c>
      <x:c r="I19" s="77" t="str">
        <x:f>IF(A19="","",IF(E19="","기타/불명",IF(IFERROR(SEARCH("급여",E19),0)&gt;0,"인건비",IF(IFERROR(SEARCH("임차",E19),0)&gt;0,"임차·시설",IF(IFERROR(SEARCH("광고",E19),0)&gt;0,"광고·행사",IF(IFERROR(SEARCH("용역",E19),0)&gt;0,"용역·수수료","기타/불명"))))))</x:f>
      </x:c>
      <x:c r="J19" s="77" t="str">
        <x:f>IF(A19="","",IF(I19="기타/불명","확인 필요","결의서명으로 1차 확인"))</x:f>
      </x:c>
      <x:c r="K19" s="78"/>
    </x:row>
    <x:row r="20">
      <x:c r="A20" s="73"/>
      <x:c r="B20" s="73"/>
      <x:c r="C20" s="74"/>
      <x:c r="D20" s="73"/>
      <x:c r="E20" s="73"/>
      <x:c r="F20" s="75"/>
      <x:c r="G20" s="75"/>
      <x:c r="H20" s="76" t="str">
        <x:f>IF(A20="","",F20-G20)</x:f>
      </x:c>
      <x:c r="I20" s="77" t="str">
        <x:f>IF(A20="","",IF(E20="","기타/불명",IF(IFERROR(SEARCH("급여",E20),0)&gt;0,"인건비",IF(IFERROR(SEARCH("임차",E20),0)&gt;0,"임차·시설",IF(IFERROR(SEARCH("광고",E20),0)&gt;0,"광고·행사",IF(IFERROR(SEARCH("용역",E20),0)&gt;0,"용역·수수료","기타/불명"))))))</x:f>
      </x:c>
      <x:c r="J20" s="77" t="str">
        <x:f>IF(A20="","",IF(I20="기타/불명","확인 필요","결의서명으로 1차 확인"))</x:f>
      </x:c>
      <x:c r="K20" s="78"/>
    </x:row>
    <x:row r="21">
      <x:c r="A21" s="73"/>
      <x:c r="B21" s="73"/>
      <x:c r="C21" s="74"/>
      <x:c r="D21" s="73"/>
      <x:c r="E21" s="73"/>
      <x:c r="F21" s="75"/>
      <x:c r="G21" s="75"/>
      <x:c r="H21" s="76" t="str">
        <x:f>IF(A21="","",F21-G21)</x:f>
      </x:c>
      <x:c r="I21" s="77" t="str">
        <x:f>IF(A21="","",IF(E21="","기타/불명",IF(IFERROR(SEARCH("급여",E21),0)&gt;0,"인건비",IF(IFERROR(SEARCH("임차",E21),0)&gt;0,"임차·시설",IF(IFERROR(SEARCH("광고",E21),0)&gt;0,"광고·행사",IF(IFERROR(SEARCH("용역",E21),0)&gt;0,"용역·수수료","기타/불명"))))))</x:f>
      </x:c>
      <x:c r="J21" s="77" t="str">
        <x:f>IF(A21="","",IF(I21="기타/불명","확인 필요","결의서명으로 1차 확인"))</x:f>
      </x:c>
      <x:c r="K21" s="78"/>
    </x:row>
    <x:row r="22">
      <x:c r="A22" s="73"/>
      <x:c r="B22" s="73"/>
      <x:c r="C22" s="74"/>
      <x:c r="D22" s="73"/>
      <x:c r="E22" s="73"/>
      <x:c r="F22" s="75"/>
      <x:c r="G22" s="75"/>
      <x:c r="H22" s="76" t="str">
        <x:f>IF(A22="","",F22-G22)</x:f>
      </x:c>
      <x:c r="I22" s="77" t="str">
        <x:f>IF(A22="","",IF(E22="","기타/불명",IF(IFERROR(SEARCH("급여",E22),0)&gt;0,"인건비",IF(IFERROR(SEARCH("임차",E22),0)&gt;0,"임차·시설",IF(IFERROR(SEARCH("광고",E22),0)&gt;0,"광고·행사",IF(IFERROR(SEARCH("용역",E22),0)&gt;0,"용역·수수료","기타/불명"))))))</x:f>
      </x:c>
      <x:c r="J22" s="77" t="str">
        <x:f>IF(A22="","",IF(I22="기타/불명","확인 필요","결의서명으로 1차 확인"))</x:f>
      </x:c>
      <x:c r="K22" s="78"/>
    </x:row>
    <x:row r="23">
      <x:c r="A23" s="73"/>
      <x:c r="B23" s="73"/>
      <x:c r="C23" s="74"/>
      <x:c r="D23" s="73"/>
      <x:c r="E23" s="73"/>
      <x:c r="F23" s="75"/>
      <x:c r="G23" s="75"/>
      <x:c r="H23" s="76" t="str">
        <x:f>IF(A23="","",F23-G23)</x:f>
      </x:c>
      <x:c r="I23" s="77" t="str">
        <x:f>IF(A23="","",IF(E23="","기타/불명",IF(IFERROR(SEARCH("급여",E23),0)&gt;0,"인건비",IF(IFERROR(SEARCH("임차",E23),0)&gt;0,"임차·시설",IF(IFERROR(SEARCH("광고",E23),0)&gt;0,"광고·행사",IF(IFERROR(SEARCH("용역",E23),0)&gt;0,"용역·수수료","기타/불명"))))))</x:f>
      </x:c>
      <x:c r="J23" s="77" t="str">
        <x:f>IF(A23="","",IF(I23="기타/불명","확인 필요","결의서명으로 1차 확인"))</x:f>
      </x:c>
      <x:c r="K23" s="78"/>
    </x:row>
    <x:row r="24">
      <x:c r="A24" s="73"/>
      <x:c r="B24" s="73"/>
      <x:c r="C24" s="74"/>
      <x:c r="D24" s="73"/>
      <x:c r="E24" s="73"/>
      <x:c r="F24" s="75"/>
      <x:c r="G24" s="75"/>
      <x:c r="H24" s="76" t="str">
        <x:f>IF(A24="","",F24-G24)</x:f>
      </x:c>
      <x:c r="I24" s="77" t="str">
        <x:f>IF(A24="","",IF(E24="","기타/불명",IF(IFERROR(SEARCH("급여",E24),0)&gt;0,"인건비",IF(IFERROR(SEARCH("임차",E24),0)&gt;0,"임차·시설",IF(IFERROR(SEARCH("광고",E24),0)&gt;0,"광고·행사",IF(IFERROR(SEARCH("용역",E24),0)&gt;0,"용역·수수료","기타/불명"))))))</x:f>
      </x:c>
      <x:c r="J24" s="77" t="str">
        <x:f>IF(A24="","",IF(I24="기타/불명","확인 필요","결의서명으로 1차 확인"))</x:f>
      </x:c>
      <x:c r="K24" s="78"/>
    </x:row>
    <x:row r="25">
      <x:c r="A25" s="73"/>
      <x:c r="B25" s="73"/>
      <x:c r="C25" s="74"/>
      <x:c r="D25" s="73"/>
      <x:c r="E25" s="73"/>
      <x:c r="F25" s="75"/>
      <x:c r="G25" s="75"/>
      <x:c r="H25" s="76" t="str">
        <x:f>IF(A25="","",F25-G25)</x:f>
      </x:c>
      <x:c r="I25" s="77" t="str">
        <x:f>IF(A25="","",IF(E25="","기타/불명",IF(IFERROR(SEARCH("급여",E25),0)&gt;0,"인건비",IF(IFERROR(SEARCH("임차",E25),0)&gt;0,"임차·시설",IF(IFERROR(SEARCH("광고",E25),0)&gt;0,"광고·행사",IF(IFERROR(SEARCH("용역",E25),0)&gt;0,"용역·수수료","기타/불명"))))))</x:f>
      </x:c>
      <x:c r="J25" s="77" t="str">
        <x:f>IF(A25="","",IF(I25="기타/불명","확인 필요","결의서명으로 1차 확인"))</x:f>
      </x:c>
      <x:c r="K25" s="78"/>
    </x:row>
    <x:row r="26">
      <x:c r="A26" s="73"/>
      <x:c r="B26" s="73"/>
      <x:c r="C26" s="74"/>
      <x:c r="D26" s="73"/>
      <x:c r="E26" s="73"/>
      <x:c r="F26" s="75"/>
      <x:c r="G26" s="75"/>
      <x:c r="H26" s="76" t="str">
        <x:f>IF(A26="","",F26-G26)</x:f>
      </x:c>
      <x:c r="I26" s="77" t="str">
        <x:f>IF(A26="","",IF(E26="","기타/불명",IF(IFERROR(SEARCH("급여",E26),0)&gt;0,"인건비",IF(IFERROR(SEARCH("임차",E26),0)&gt;0,"임차·시설",IF(IFERROR(SEARCH("광고",E26),0)&gt;0,"광고·행사",IF(IFERROR(SEARCH("용역",E26),0)&gt;0,"용역·수수료","기타/불명"))))))</x:f>
      </x:c>
      <x:c r="J26" s="77" t="str">
        <x:f>IF(A26="","",IF(I26="기타/불명","확인 필요","결의서명으로 1차 확인"))</x:f>
      </x:c>
      <x:c r="K26" s="78"/>
    </x:row>
    <x:row r="27">
      <x:c r="A27" s="73"/>
      <x:c r="B27" s="73"/>
      <x:c r="C27" s="74"/>
      <x:c r="D27" s="73"/>
      <x:c r="E27" s="73"/>
      <x:c r="F27" s="75"/>
      <x:c r="G27" s="75"/>
      <x:c r="H27" s="76" t="str">
        <x:f>IF(A27="","",F27-G27)</x:f>
      </x:c>
      <x:c r="I27" s="77" t="str">
        <x:f>IF(A27="","",IF(E27="","기타/불명",IF(IFERROR(SEARCH("급여",E27),0)&gt;0,"인건비",IF(IFERROR(SEARCH("임차",E27),0)&gt;0,"임차·시설",IF(IFERROR(SEARCH("광고",E27),0)&gt;0,"광고·행사",IF(IFERROR(SEARCH("용역",E27),0)&gt;0,"용역·수수료","기타/불명"))))))</x:f>
      </x:c>
      <x:c r="J27" s="77" t="str">
        <x:f>IF(A27="","",IF(I27="기타/불명","확인 필요","결의서명으로 1차 확인"))</x:f>
      </x:c>
      <x:c r="K27" s="78"/>
    </x:row>
    <x:row r="28">
      <x:c r="A28" s="73"/>
      <x:c r="B28" s="73"/>
      <x:c r="C28" s="74"/>
      <x:c r="D28" s="73"/>
      <x:c r="E28" s="73"/>
      <x:c r="F28" s="75"/>
      <x:c r="G28" s="75"/>
      <x:c r="H28" s="76" t="str">
        <x:f>IF(A28="","",F28-G28)</x:f>
      </x:c>
      <x:c r="I28" s="77" t="str">
        <x:f>IF(A28="","",IF(E28="","기타/불명",IF(IFERROR(SEARCH("급여",E28),0)&gt;0,"인건비",IF(IFERROR(SEARCH("임차",E28),0)&gt;0,"임차·시설",IF(IFERROR(SEARCH("광고",E28),0)&gt;0,"광고·행사",IF(IFERROR(SEARCH("용역",E28),0)&gt;0,"용역·수수료","기타/불명"))))))</x:f>
      </x:c>
      <x:c r="J28" s="77" t="str">
        <x:f>IF(A28="","",IF(I28="기타/불명","확인 필요","결의서명으로 1차 확인"))</x:f>
      </x:c>
      <x:c r="K28" s="78"/>
    </x:row>
    <x:row r="29">
      <x:c r="A29" s="73"/>
      <x:c r="B29" s="73"/>
      <x:c r="C29" s="74"/>
      <x:c r="D29" s="73"/>
      <x:c r="E29" s="73"/>
      <x:c r="F29" s="75"/>
      <x:c r="G29" s="75"/>
      <x:c r="H29" s="76" t="str">
        <x:f>IF(A29="","",F29-G29)</x:f>
      </x:c>
      <x:c r="I29" s="77" t="str">
        <x:f>IF(A29="","",IF(E29="","기타/불명",IF(IFERROR(SEARCH("급여",E29),0)&gt;0,"인건비",IF(IFERROR(SEARCH("임차",E29),0)&gt;0,"임차·시설",IF(IFERROR(SEARCH("광고",E29),0)&gt;0,"광고·행사",IF(IFERROR(SEARCH("용역",E29),0)&gt;0,"용역·수수료","기타/불명"))))))</x:f>
      </x:c>
      <x:c r="J29" s="77" t="str">
        <x:f>IF(A29="","",IF(I29="기타/불명","확인 필요","결의서명으로 1차 확인"))</x:f>
      </x:c>
      <x:c r="K29" s="78"/>
    </x:row>
    <x:row r="30">
      <x:c r="A30" s="73"/>
      <x:c r="B30" s="73"/>
      <x:c r="C30" s="74"/>
      <x:c r="D30" s="73"/>
      <x:c r="E30" s="73"/>
      <x:c r="F30" s="75"/>
      <x:c r="G30" s="75"/>
      <x:c r="H30" s="76" t="str">
        <x:f>IF(A30="","",F30-G30)</x:f>
      </x:c>
      <x:c r="I30" s="77" t="str">
        <x:f>IF(A30="","",IF(E30="","기타/불명",IF(IFERROR(SEARCH("급여",E30),0)&gt;0,"인건비",IF(IFERROR(SEARCH("임차",E30),0)&gt;0,"임차·시설",IF(IFERROR(SEARCH("광고",E30),0)&gt;0,"광고·행사",IF(IFERROR(SEARCH("용역",E30),0)&gt;0,"용역·수수료","기타/불명"))))))</x:f>
      </x:c>
      <x:c r="J30" s="77" t="str">
        <x:f>IF(A30="","",IF(I30="기타/불명","확인 필요","결의서명으로 1차 확인"))</x:f>
      </x:c>
      <x:c r="K30" s="78"/>
    </x:row>
    <x:row r="31">
      <x:c r="A31" s="73"/>
      <x:c r="B31" s="73"/>
      <x:c r="C31" s="74"/>
      <x:c r="D31" s="73"/>
      <x:c r="E31" s="73"/>
      <x:c r="F31" s="75"/>
      <x:c r="G31" s="75"/>
      <x:c r="H31" s="76" t="str">
        <x:f>IF(A31="","",F31-G31)</x:f>
      </x:c>
      <x:c r="I31" s="77" t="str">
        <x:f>IF(A31="","",IF(E31="","기타/불명",IF(IFERROR(SEARCH("급여",E31),0)&gt;0,"인건비",IF(IFERROR(SEARCH("임차",E31),0)&gt;0,"임차·시설",IF(IFERROR(SEARCH("광고",E31),0)&gt;0,"광고·행사",IF(IFERROR(SEARCH("용역",E31),0)&gt;0,"용역·수수료","기타/불명"))))))</x:f>
      </x:c>
      <x:c r="J31" s="77" t="str">
        <x:f>IF(A31="","",IF(I31="기타/불명","확인 필요","결의서명으로 1차 확인"))</x:f>
      </x:c>
      <x:c r="K31" s="78"/>
    </x:row>
    <x:row r="32">
      <x:c r="A32" s="73"/>
      <x:c r="B32" s="73"/>
      <x:c r="C32" s="74"/>
      <x:c r="D32" s="73"/>
      <x:c r="E32" s="73"/>
      <x:c r="F32" s="75"/>
      <x:c r="G32" s="75"/>
      <x:c r="H32" s="76" t="str">
        <x:f>IF(A32="","",F32-G32)</x:f>
      </x:c>
      <x:c r="I32" s="77" t="str">
        <x:f>IF(A32="","",IF(E32="","기타/불명",IF(IFERROR(SEARCH("급여",E32),0)&gt;0,"인건비",IF(IFERROR(SEARCH("임차",E32),0)&gt;0,"임차·시설",IF(IFERROR(SEARCH("광고",E32),0)&gt;0,"광고·행사",IF(IFERROR(SEARCH("용역",E32),0)&gt;0,"용역·수수료","기타/불명"))))))</x:f>
      </x:c>
      <x:c r="J32" s="77" t="str">
        <x:f>IF(A32="","",IF(I32="기타/불명","확인 필요","결의서명으로 1차 확인"))</x:f>
      </x:c>
      <x:c r="K32" s="78"/>
    </x:row>
    <x:row r="33">
      <x:c r="A33" s="73"/>
      <x:c r="B33" s="73"/>
      <x:c r="C33" s="74"/>
      <x:c r="D33" s="73"/>
      <x:c r="E33" s="73"/>
      <x:c r="F33" s="75"/>
      <x:c r="G33" s="75"/>
      <x:c r="H33" s="76" t="str">
        <x:f>IF(A33="","",F33-G33)</x:f>
      </x:c>
      <x:c r="I33" s="77" t="str">
        <x:f>IF(A33="","",IF(E33="","기타/불명",IF(IFERROR(SEARCH("급여",E33),0)&gt;0,"인건비",IF(IFERROR(SEARCH("임차",E33),0)&gt;0,"임차·시설",IF(IFERROR(SEARCH("광고",E33),0)&gt;0,"광고·행사",IF(IFERROR(SEARCH("용역",E33),0)&gt;0,"용역·수수료","기타/불명"))))))</x:f>
      </x:c>
      <x:c r="J33" s="77" t="str">
        <x:f>IF(A33="","",IF(I33="기타/불명","확인 필요","결의서명으로 1차 확인"))</x:f>
      </x:c>
      <x:c r="K33" s="78"/>
    </x:row>
    <x:row r="34">
      <x:c r="A34" s="73"/>
      <x:c r="B34" s="73"/>
      <x:c r="C34" s="74"/>
      <x:c r="D34" s="73"/>
      <x:c r="E34" s="73"/>
      <x:c r="F34" s="75"/>
      <x:c r="G34" s="75"/>
      <x:c r="H34" s="76" t="str">
        <x:f>IF(A34="","",F34-G34)</x:f>
      </x:c>
      <x:c r="I34" s="77" t="str">
        <x:f>IF(A34="","",IF(E34="","기타/불명",IF(IFERROR(SEARCH("급여",E34),0)&gt;0,"인건비",IF(IFERROR(SEARCH("임차",E34),0)&gt;0,"임차·시설",IF(IFERROR(SEARCH("광고",E34),0)&gt;0,"광고·행사",IF(IFERROR(SEARCH("용역",E34),0)&gt;0,"용역·수수료","기타/불명"))))))</x:f>
      </x:c>
      <x:c r="J34" s="77" t="str">
        <x:f>IF(A34="","",IF(I34="기타/불명","확인 필요","결의서명으로 1차 확인"))</x:f>
      </x:c>
      <x:c r="K34" s="78"/>
    </x:row>
    <x:row r="35">
      <x:c r="A35" s="73"/>
      <x:c r="B35" s="73"/>
      <x:c r="C35" s="74"/>
      <x:c r="D35" s="73"/>
      <x:c r="E35" s="73"/>
      <x:c r="F35" s="75"/>
      <x:c r="G35" s="75"/>
      <x:c r="H35" s="76" t="str">
        <x:f>IF(A35="","",F35-G35)</x:f>
      </x:c>
      <x:c r="I35" s="77" t="str">
        <x:f>IF(A35="","",IF(E35="","기타/불명",IF(IFERROR(SEARCH("급여",E35),0)&gt;0,"인건비",IF(IFERROR(SEARCH("임차",E35),0)&gt;0,"임차·시설",IF(IFERROR(SEARCH("광고",E35),0)&gt;0,"광고·행사",IF(IFERROR(SEARCH("용역",E35),0)&gt;0,"용역·수수료","기타/불명"))))))</x:f>
      </x:c>
      <x:c r="J35" s="77" t="str">
        <x:f>IF(A35="","",IF(I35="기타/불명","확인 필요","결의서명으로 1차 확인"))</x:f>
      </x:c>
      <x:c r="K35" s="78"/>
    </x:row>
    <x:row r="36">
      <x:c r="A36" s="73"/>
      <x:c r="B36" s="73"/>
      <x:c r="C36" s="74"/>
      <x:c r="D36" s="73"/>
      <x:c r="E36" s="73"/>
      <x:c r="F36" s="75"/>
      <x:c r="G36" s="75"/>
      <x:c r="H36" s="76" t="str">
        <x:f>IF(A36="","",F36-G36)</x:f>
      </x:c>
      <x:c r="I36" s="77" t="str">
        <x:f>IF(A36="","",IF(E36="","기타/불명",IF(IFERROR(SEARCH("급여",E36),0)&gt;0,"인건비",IF(IFERROR(SEARCH("임차",E36),0)&gt;0,"임차·시설",IF(IFERROR(SEARCH("광고",E36),0)&gt;0,"광고·행사",IF(IFERROR(SEARCH("용역",E36),0)&gt;0,"용역·수수료","기타/불명"))))))</x:f>
      </x:c>
      <x:c r="J36" s="77" t="str">
        <x:f>IF(A36="","",IF(I36="기타/불명","확인 필요","결의서명으로 1차 확인"))</x:f>
      </x:c>
      <x:c r="K36" s="78"/>
    </x:row>
    <x:row r="37">
      <x:c r="A37" s="73"/>
      <x:c r="B37" s="73"/>
      <x:c r="C37" s="74"/>
      <x:c r="D37" s="73"/>
      <x:c r="E37" s="73"/>
      <x:c r="F37" s="75"/>
      <x:c r="G37" s="75"/>
      <x:c r="H37" s="76" t="str">
        <x:f>IF(A37="","",F37-G37)</x:f>
      </x:c>
      <x:c r="I37" s="77" t="str">
        <x:f>IF(A37="","",IF(E37="","기타/불명",IF(IFERROR(SEARCH("급여",E37),0)&gt;0,"인건비",IF(IFERROR(SEARCH("임차",E37),0)&gt;0,"임차·시설",IF(IFERROR(SEARCH("광고",E37),0)&gt;0,"광고·행사",IF(IFERROR(SEARCH("용역",E37),0)&gt;0,"용역·수수료","기타/불명"))))))</x:f>
      </x:c>
      <x:c r="J37" s="77" t="str">
        <x:f>IF(A37="","",IF(I37="기타/불명","확인 필요","결의서명으로 1차 확인"))</x:f>
      </x:c>
      <x:c r="K37" s="78"/>
    </x:row>
    <x:row r="38">
      <x:c r="A38" s="73"/>
      <x:c r="B38" s="73"/>
      <x:c r="C38" s="74"/>
      <x:c r="D38" s="73"/>
      <x:c r="E38" s="73"/>
      <x:c r="F38" s="75"/>
      <x:c r="G38" s="75"/>
      <x:c r="H38" s="76" t="str">
        <x:f>IF(A38="","",F38-G38)</x:f>
      </x:c>
      <x:c r="I38" s="77" t="str">
        <x:f>IF(A38="","",IF(E38="","기타/불명",IF(IFERROR(SEARCH("급여",E38),0)&gt;0,"인건비",IF(IFERROR(SEARCH("임차",E38),0)&gt;0,"임차·시설",IF(IFERROR(SEARCH("광고",E38),0)&gt;0,"광고·행사",IF(IFERROR(SEARCH("용역",E38),0)&gt;0,"용역·수수료","기타/불명"))))))</x:f>
      </x:c>
      <x:c r="J38" s="77" t="str">
        <x:f>IF(A38="","",IF(I38="기타/불명","확인 필요","결의서명으로 1차 확인"))</x:f>
      </x:c>
      <x:c r="K38" s="78"/>
    </x:row>
    <x:row r="39">
      <x:c r="A39" s="73"/>
      <x:c r="B39" s="73"/>
      <x:c r="C39" s="74"/>
      <x:c r="D39" s="73"/>
      <x:c r="E39" s="73"/>
      <x:c r="F39" s="75"/>
      <x:c r="G39" s="75"/>
      <x:c r="H39" s="76" t="str">
        <x:f>IF(A39="","",F39-G39)</x:f>
      </x:c>
      <x:c r="I39" s="77" t="str">
        <x:f>IF(A39="","",IF(E39="","기타/불명",IF(IFERROR(SEARCH("급여",E39),0)&gt;0,"인건비",IF(IFERROR(SEARCH("임차",E39),0)&gt;0,"임차·시설",IF(IFERROR(SEARCH("광고",E39),0)&gt;0,"광고·행사",IF(IFERROR(SEARCH("용역",E39),0)&gt;0,"용역·수수료","기타/불명"))))))</x:f>
      </x:c>
      <x:c r="J39" s="77" t="str">
        <x:f>IF(A39="","",IF(I39="기타/불명","확인 필요","결의서명으로 1차 확인"))</x:f>
      </x:c>
      <x:c r="K39" s="78"/>
    </x:row>
    <x:row r="40">
      <x:c r="A40" s="73"/>
      <x:c r="B40" s="73"/>
      <x:c r="C40" s="74"/>
      <x:c r="D40" s="73"/>
      <x:c r="E40" s="73"/>
      <x:c r="F40" s="75"/>
      <x:c r="G40" s="75"/>
      <x:c r="H40" s="76" t="str">
        <x:f>IF(A40="","",F40-G40)</x:f>
      </x:c>
      <x:c r="I40" s="77" t="str">
        <x:f>IF(A40="","",IF(E40="","기타/불명",IF(IFERROR(SEARCH("급여",E40),0)&gt;0,"인건비",IF(IFERROR(SEARCH("임차",E40),0)&gt;0,"임차·시설",IF(IFERROR(SEARCH("광고",E40),0)&gt;0,"광고·행사",IF(IFERROR(SEARCH("용역",E40),0)&gt;0,"용역·수수료","기타/불명"))))))</x:f>
      </x:c>
      <x:c r="J40" s="77" t="str">
        <x:f>IF(A40="","",IF(I40="기타/불명","확인 필요","결의서명으로 1차 확인"))</x:f>
      </x:c>
      <x:c r="K40" s="78"/>
    </x:row>
    <x:row r="41">
      <x:c r="A41" s="73"/>
      <x:c r="B41" s="73"/>
      <x:c r="C41" s="74"/>
      <x:c r="D41" s="73"/>
      <x:c r="E41" s="73"/>
      <x:c r="F41" s="75"/>
      <x:c r="G41" s="75"/>
      <x:c r="H41" s="76" t="str">
        <x:f>IF(A41="","",F41-G41)</x:f>
      </x:c>
      <x:c r="I41" s="77" t="str">
        <x:f>IF(A41="","",IF(E41="","기타/불명",IF(IFERROR(SEARCH("급여",E41),0)&gt;0,"인건비",IF(IFERROR(SEARCH("임차",E41),0)&gt;0,"임차·시설",IF(IFERROR(SEARCH("광고",E41),0)&gt;0,"광고·행사",IF(IFERROR(SEARCH("용역",E41),0)&gt;0,"용역·수수료","기타/불명"))))))</x:f>
      </x:c>
      <x:c r="J41" s="77" t="str">
        <x:f>IF(A41="","",IF(I41="기타/불명","확인 필요","결의서명으로 1차 확인"))</x:f>
      </x:c>
      <x:c r="K41" s="78"/>
    </x:row>
    <x:row r="42">
      <x:c r="A42" s="73"/>
      <x:c r="B42" s="73"/>
      <x:c r="C42" s="74"/>
      <x:c r="D42" s="73"/>
      <x:c r="E42" s="73"/>
      <x:c r="F42" s="75"/>
      <x:c r="G42" s="75"/>
      <x:c r="H42" s="76" t="str">
        <x:f>IF(A42="","",F42-G42)</x:f>
      </x:c>
      <x:c r="I42" s="77" t="str">
        <x:f>IF(A42="","",IF(E42="","기타/불명",IF(IFERROR(SEARCH("급여",E42),0)&gt;0,"인건비",IF(IFERROR(SEARCH("임차",E42),0)&gt;0,"임차·시설",IF(IFERROR(SEARCH("광고",E42),0)&gt;0,"광고·행사",IF(IFERROR(SEARCH("용역",E42),0)&gt;0,"용역·수수료","기타/불명"))))))</x:f>
      </x:c>
      <x:c r="J42" s="77" t="str">
        <x:f>IF(A42="","",IF(I42="기타/불명","확인 필요","결의서명으로 1차 확인"))</x:f>
      </x:c>
      <x:c r="K42" s="78"/>
    </x:row>
    <x:row r="43">
      <x:c r="A43" s="73"/>
      <x:c r="B43" s="73"/>
      <x:c r="C43" s="74"/>
      <x:c r="D43" s="73"/>
      <x:c r="E43" s="73"/>
      <x:c r="F43" s="75"/>
      <x:c r="G43" s="75"/>
      <x:c r="H43" s="76" t="str">
        <x:f>IF(A43="","",F43-G43)</x:f>
      </x:c>
      <x:c r="I43" s="77" t="str">
        <x:f>IF(A43="","",IF(E43="","기타/불명",IF(IFERROR(SEARCH("급여",E43),0)&gt;0,"인건비",IF(IFERROR(SEARCH("임차",E43),0)&gt;0,"임차·시설",IF(IFERROR(SEARCH("광고",E43),0)&gt;0,"광고·행사",IF(IFERROR(SEARCH("용역",E43),0)&gt;0,"용역·수수료","기타/불명"))))))</x:f>
      </x:c>
      <x:c r="J43" s="77" t="str">
        <x:f>IF(A43="","",IF(I43="기타/불명","확인 필요","결의서명으로 1차 확인"))</x:f>
      </x:c>
      <x:c r="K43" s="78"/>
    </x:row>
    <x:row r="44">
      <x:c r="A44" s="73"/>
      <x:c r="B44" s="73"/>
      <x:c r="C44" s="74"/>
      <x:c r="D44" s="73"/>
      <x:c r="E44" s="73"/>
      <x:c r="F44" s="75"/>
      <x:c r="G44" s="75"/>
      <x:c r="H44" s="76" t="str">
        <x:f>IF(A44="","",F44-G44)</x:f>
      </x:c>
      <x:c r="I44" s="77" t="str">
        <x:f>IF(A44="","",IF(E44="","기타/불명",IF(IFERROR(SEARCH("급여",E44),0)&gt;0,"인건비",IF(IFERROR(SEARCH("임차",E44),0)&gt;0,"임차·시설",IF(IFERROR(SEARCH("광고",E44),0)&gt;0,"광고·행사",IF(IFERROR(SEARCH("용역",E44),0)&gt;0,"용역·수수료","기타/불명"))))))</x:f>
      </x:c>
      <x:c r="J44" s="77" t="str">
        <x:f>IF(A44="","",IF(I44="기타/불명","확인 필요","결의서명으로 1차 확인"))</x:f>
      </x:c>
      <x:c r="K44" s="78"/>
    </x:row>
    <x:row r="45">
      <x:c r="A45" s="73"/>
      <x:c r="B45" s="73"/>
      <x:c r="C45" s="74"/>
      <x:c r="D45" s="73"/>
      <x:c r="E45" s="73"/>
      <x:c r="F45" s="75"/>
      <x:c r="G45" s="75"/>
      <x:c r="H45" s="76" t="str">
        <x:f>IF(A45="","",F45-G45)</x:f>
      </x:c>
      <x:c r="I45" s="77" t="str">
        <x:f>IF(A45="","",IF(E45="","기타/불명",IF(IFERROR(SEARCH("급여",E45),0)&gt;0,"인건비",IF(IFERROR(SEARCH("임차",E45),0)&gt;0,"임차·시설",IF(IFERROR(SEARCH("광고",E45),0)&gt;0,"광고·행사",IF(IFERROR(SEARCH("용역",E45),0)&gt;0,"용역·수수료","기타/불명"))))))</x:f>
      </x:c>
      <x:c r="J45" s="77" t="str">
        <x:f>IF(A45="","",IF(I45="기타/불명","확인 필요","결의서명으로 1차 확인"))</x:f>
      </x:c>
      <x:c r="K45" s="78"/>
    </x:row>
    <x:row r="46">
      <x:c r="A46" s="73"/>
      <x:c r="B46" s="73"/>
      <x:c r="C46" s="74"/>
      <x:c r="D46" s="73"/>
      <x:c r="E46" s="73"/>
      <x:c r="F46" s="75"/>
      <x:c r="G46" s="75"/>
      <x:c r="H46" s="76" t="str">
        <x:f>IF(A46="","",F46-G46)</x:f>
      </x:c>
      <x:c r="I46" s="77" t="str">
        <x:f>IF(A46="","",IF(E46="","기타/불명",IF(IFERROR(SEARCH("급여",E46),0)&gt;0,"인건비",IF(IFERROR(SEARCH("임차",E46),0)&gt;0,"임차·시설",IF(IFERROR(SEARCH("광고",E46),0)&gt;0,"광고·행사",IF(IFERROR(SEARCH("용역",E46),0)&gt;0,"용역·수수료","기타/불명"))))))</x:f>
      </x:c>
      <x:c r="J46" s="77" t="str">
        <x:f>IF(A46="","",IF(I46="기타/불명","확인 필요","결의서명으로 1차 확인"))</x:f>
      </x:c>
      <x:c r="K46" s="78"/>
    </x:row>
    <x:row r="47">
      <x:c r="A47" s="73"/>
      <x:c r="B47" s="73"/>
      <x:c r="C47" s="74"/>
      <x:c r="D47" s="73"/>
      <x:c r="E47" s="73"/>
      <x:c r="F47" s="75"/>
      <x:c r="G47" s="75"/>
      <x:c r="H47" s="76" t="str">
        <x:f>IF(A47="","",F47-G47)</x:f>
      </x:c>
      <x:c r="I47" s="77" t="str">
        <x:f>IF(A47="","",IF(E47="","기타/불명",IF(IFERROR(SEARCH("급여",E47),0)&gt;0,"인건비",IF(IFERROR(SEARCH("임차",E47),0)&gt;0,"임차·시설",IF(IFERROR(SEARCH("광고",E47),0)&gt;0,"광고·행사",IF(IFERROR(SEARCH("용역",E47),0)&gt;0,"용역·수수료","기타/불명"))))))</x:f>
      </x:c>
      <x:c r="J47" s="77" t="str">
        <x:f>IF(A47="","",IF(I47="기타/불명","확인 필요","결의서명으로 1차 확인"))</x:f>
      </x:c>
      <x:c r="K47" s="78"/>
    </x:row>
    <x:row r="48">
      <x:c r="A48" s="73"/>
      <x:c r="B48" s="73"/>
      <x:c r="C48" s="74"/>
      <x:c r="D48" s="73"/>
      <x:c r="E48" s="73"/>
      <x:c r="F48" s="75"/>
      <x:c r="G48" s="75"/>
      <x:c r="H48" s="76" t="str">
        <x:f>IF(A48="","",F48-G48)</x:f>
      </x:c>
      <x:c r="I48" s="77" t="str">
        <x:f>IF(A48="","",IF(E48="","기타/불명",IF(IFERROR(SEARCH("급여",E48),0)&gt;0,"인건비",IF(IFERROR(SEARCH("임차",E48),0)&gt;0,"임차·시설",IF(IFERROR(SEARCH("광고",E48),0)&gt;0,"광고·행사",IF(IFERROR(SEARCH("용역",E48),0)&gt;0,"용역·수수료","기타/불명"))))))</x:f>
      </x:c>
      <x:c r="J48" s="77" t="str">
        <x:f>IF(A48="","",IF(I48="기타/불명","확인 필요","결의서명으로 1차 확인"))</x:f>
      </x:c>
      <x:c r="K48" s="78"/>
    </x:row>
    <x:row r="49">
      <x:c r="A49" s="73"/>
      <x:c r="B49" s="73"/>
      <x:c r="C49" s="74"/>
      <x:c r="D49" s="73"/>
      <x:c r="E49" s="73"/>
      <x:c r="F49" s="75"/>
      <x:c r="G49" s="75"/>
      <x:c r="H49" s="76" t="str">
        <x:f>IF(A49="","",F49-G49)</x:f>
      </x:c>
      <x:c r="I49" s="77" t="str">
        <x:f>IF(A49="","",IF(E49="","기타/불명",IF(IFERROR(SEARCH("급여",E49),0)&gt;0,"인건비",IF(IFERROR(SEARCH("임차",E49),0)&gt;0,"임차·시설",IF(IFERROR(SEARCH("광고",E49),0)&gt;0,"광고·행사",IF(IFERROR(SEARCH("용역",E49),0)&gt;0,"용역·수수료","기타/불명"))))))</x:f>
      </x:c>
      <x:c r="J49" s="77" t="str">
        <x:f>IF(A49="","",IF(I49="기타/불명","확인 필요","결의서명으로 1차 확인"))</x:f>
      </x:c>
      <x:c r="K49" s="78"/>
    </x:row>
    <x:row r="50">
      <x:c r="A50" s="73"/>
      <x:c r="B50" s="73"/>
      <x:c r="C50" s="74"/>
      <x:c r="D50" s="73"/>
      <x:c r="E50" s="73"/>
      <x:c r="F50" s="75"/>
      <x:c r="G50" s="75"/>
      <x:c r="H50" s="76" t="str">
        <x:f>IF(A50="","",F50-G50)</x:f>
      </x:c>
      <x:c r="I50" s="77" t="str">
        <x:f>IF(A50="","",IF(E50="","기타/불명",IF(IFERROR(SEARCH("급여",E50),0)&gt;0,"인건비",IF(IFERROR(SEARCH("임차",E50),0)&gt;0,"임차·시설",IF(IFERROR(SEARCH("광고",E50),0)&gt;0,"광고·행사",IF(IFERROR(SEARCH("용역",E50),0)&gt;0,"용역·수수료","기타/불명"))))))</x:f>
      </x:c>
      <x:c r="J50" s="77" t="str">
        <x:f>IF(A50="","",IF(I50="기타/불명","확인 필요","결의서명으로 1차 확인"))</x:f>
      </x:c>
      <x:c r="K50" s="78"/>
    </x:row>
    <x:row r="51">
      <x:c r="A51" s="73"/>
      <x:c r="B51" s="73"/>
      <x:c r="C51" s="74"/>
      <x:c r="D51" s="73"/>
      <x:c r="E51" s="73"/>
      <x:c r="F51" s="75"/>
      <x:c r="G51" s="75"/>
      <x:c r="H51" s="76" t="str">
        <x:f>IF(A51="","",F51-G51)</x:f>
      </x:c>
      <x:c r="I51" s="77" t="str">
        <x:f>IF(A51="","",IF(E51="","기타/불명",IF(IFERROR(SEARCH("급여",E51),0)&gt;0,"인건비",IF(IFERROR(SEARCH("임차",E51),0)&gt;0,"임차·시설",IF(IFERROR(SEARCH("광고",E51),0)&gt;0,"광고·행사",IF(IFERROR(SEARCH("용역",E51),0)&gt;0,"용역·수수료","기타/불명"))))))</x:f>
      </x:c>
      <x:c r="J51" s="77" t="str">
        <x:f>IF(A51="","",IF(I51="기타/불명","확인 필요","결의서명으로 1차 확인"))</x:f>
      </x:c>
      <x:c r="K51" s="78"/>
    </x:row>
    <x:row r="52">
      <x:c r="A52" s="73"/>
      <x:c r="B52" s="73"/>
      <x:c r="C52" s="74"/>
      <x:c r="D52" s="73"/>
      <x:c r="E52" s="73"/>
      <x:c r="F52" s="75"/>
      <x:c r="G52" s="75"/>
      <x:c r="H52" s="76" t="str">
        <x:f>IF(A52="","",F52-G52)</x:f>
      </x:c>
      <x:c r="I52" s="77" t="str">
        <x:f>IF(A52="","",IF(E52="","기타/불명",IF(IFERROR(SEARCH("급여",E52),0)&gt;0,"인건비",IF(IFERROR(SEARCH("임차",E52),0)&gt;0,"임차·시설",IF(IFERROR(SEARCH("광고",E52),0)&gt;0,"광고·행사",IF(IFERROR(SEARCH("용역",E52),0)&gt;0,"용역·수수료","기타/불명"))))))</x:f>
      </x:c>
      <x:c r="J52" s="77" t="str">
        <x:f>IF(A52="","",IF(I52="기타/불명","확인 필요","결의서명으로 1차 확인"))</x:f>
      </x:c>
      <x:c r="K52" s="78"/>
    </x:row>
    <x:row r="53">
      <x:c r="A53" s="73"/>
      <x:c r="B53" s="73"/>
      <x:c r="C53" s="74"/>
      <x:c r="D53" s="73"/>
      <x:c r="E53" s="73"/>
      <x:c r="F53" s="75"/>
      <x:c r="G53" s="75"/>
      <x:c r="H53" s="76" t="str">
        <x:f>IF(A53="","",F53-G53)</x:f>
      </x:c>
      <x:c r="I53" s="77" t="str">
        <x:f>IF(A53="","",IF(E53="","기타/불명",IF(IFERROR(SEARCH("급여",E53),0)&gt;0,"인건비",IF(IFERROR(SEARCH("임차",E53),0)&gt;0,"임차·시설",IF(IFERROR(SEARCH("광고",E53),0)&gt;0,"광고·행사",IF(IFERROR(SEARCH("용역",E53),0)&gt;0,"용역·수수료","기타/불명"))))))</x:f>
      </x:c>
      <x:c r="J53" s="77" t="str">
        <x:f>IF(A53="","",IF(I53="기타/불명","확인 필요","결의서명으로 1차 확인"))</x:f>
      </x:c>
      <x:c r="K53" s="78"/>
    </x:row>
    <x:row r="54">
      <x:c r="A54" s="73"/>
      <x:c r="B54" s="73"/>
      <x:c r="C54" s="74"/>
      <x:c r="D54" s="73"/>
      <x:c r="E54" s="73"/>
      <x:c r="F54" s="75"/>
      <x:c r="G54" s="75"/>
      <x:c r="H54" s="76" t="str">
        <x:f>IF(A54="","",F54-G54)</x:f>
      </x:c>
      <x:c r="I54" s="77" t="str">
        <x:f>IF(A54="","",IF(E54="","기타/불명",IF(IFERROR(SEARCH("급여",E54),0)&gt;0,"인건비",IF(IFERROR(SEARCH("임차",E54),0)&gt;0,"임차·시설",IF(IFERROR(SEARCH("광고",E54),0)&gt;0,"광고·행사",IF(IFERROR(SEARCH("용역",E54),0)&gt;0,"용역·수수료","기타/불명"))))))</x:f>
      </x:c>
      <x:c r="J54" s="77" t="str">
        <x:f>IF(A54="","",IF(I54="기타/불명","확인 필요","결의서명으로 1차 확인"))</x:f>
      </x:c>
      <x:c r="K54" s="78"/>
    </x:row>
    <x:row r="55">
      <x:c r="A55" s="73"/>
      <x:c r="B55" s="73"/>
      <x:c r="C55" s="74"/>
      <x:c r="D55" s="73"/>
      <x:c r="E55" s="73"/>
      <x:c r="F55" s="75"/>
      <x:c r="G55" s="75"/>
      <x:c r="H55" s="76" t="str">
        <x:f>IF(A55="","",F55-G55)</x:f>
      </x:c>
      <x:c r="I55" s="77" t="str">
        <x:f>IF(A55="","",IF(E55="","기타/불명",IF(IFERROR(SEARCH("급여",E55),0)&gt;0,"인건비",IF(IFERROR(SEARCH("임차",E55),0)&gt;0,"임차·시설",IF(IFERROR(SEARCH("광고",E55),0)&gt;0,"광고·행사",IF(IFERROR(SEARCH("용역",E55),0)&gt;0,"용역·수수료","기타/불명"))))))</x:f>
      </x:c>
      <x:c r="J55" s="77" t="str">
        <x:f>IF(A55="","",IF(I55="기타/불명","확인 필요","결의서명으로 1차 확인"))</x:f>
      </x:c>
      <x:c r="K55" s="78"/>
    </x:row>
    <x:row r="56">
      <x:c r="A56" s="73"/>
      <x:c r="B56" s="73"/>
      <x:c r="C56" s="74"/>
      <x:c r="D56" s="73"/>
      <x:c r="E56" s="73"/>
      <x:c r="F56" s="75"/>
      <x:c r="G56" s="75"/>
      <x:c r="H56" s="76" t="str">
        <x:f>IF(A56="","",F56-G56)</x:f>
      </x:c>
      <x:c r="I56" s="77" t="str">
        <x:f>IF(A56="","",IF(E56="","기타/불명",IF(IFERROR(SEARCH("급여",E56),0)&gt;0,"인건비",IF(IFERROR(SEARCH("임차",E56),0)&gt;0,"임차·시설",IF(IFERROR(SEARCH("광고",E56),0)&gt;0,"광고·행사",IF(IFERROR(SEARCH("용역",E56),0)&gt;0,"용역·수수료","기타/불명"))))))</x:f>
      </x:c>
      <x:c r="J56" s="77" t="str">
        <x:f>IF(A56="","",IF(I56="기타/불명","확인 필요","결의서명으로 1차 확인"))</x:f>
      </x:c>
      <x:c r="K56" s="78"/>
    </x:row>
    <x:row r="57">
      <x:c r="A57" s="73"/>
      <x:c r="B57" s="73"/>
      <x:c r="C57" s="74"/>
      <x:c r="D57" s="73"/>
      <x:c r="E57" s="73"/>
      <x:c r="F57" s="75"/>
      <x:c r="G57" s="75"/>
      <x:c r="H57" s="76" t="str">
        <x:f>IF(A57="","",F57-G57)</x:f>
      </x:c>
      <x:c r="I57" s="77" t="str">
        <x:f>IF(A57="","",IF(E57="","기타/불명",IF(IFERROR(SEARCH("급여",E57),0)&gt;0,"인건비",IF(IFERROR(SEARCH("임차",E57),0)&gt;0,"임차·시설",IF(IFERROR(SEARCH("광고",E57),0)&gt;0,"광고·행사",IF(IFERROR(SEARCH("용역",E57),0)&gt;0,"용역·수수료","기타/불명"))))))</x:f>
      </x:c>
      <x:c r="J57" s="77" t="str">
        <x:f>IF(A57="","",IF(I57="기타/불명","확인 필요","결의서명으로 1차 확인"))</x:f>
      </x:c>
      <x:c r="K57" s="78"/>
    </x:row>
    <x:row r="58">
      <x:c r="A58" s="73"/>
      <x:c r="B58" s="73"/>
      <x:c r="C58" s="74"/>
      <x:c r="D58" s="73"/>
      <x:c r="E58" s="73"/>
      <x:c r="F58" s="75"/>
      <x:c r="G58" s="75"/>
      <x:c r="H58" s="76" t="str">
        <x:f>IF(A58="","",F58-G58)</x:f>
      </x:c>
      <x:c r="I58" s="77" t="str">
        <x:f>IF(A58="","",IF(E58="","기타/불명",IF(IFERROR(SEARCH("급여",E58),0)&gt;0,"인건비",IF(IFERROR(SEARCH("임차",E58),0)&gt;0,"임차·시설",IF(IFERROR(SEARCH("광고",E58),0)&gt;0,"광고·행사",IF(IFERROR(SEARCH("용역",E58),0)&gt;0,"용역·수수료","기타/불명"))))))</x:f>
      </x:c>
      <x:c r="J58" s="77" t="str">
        <x:f>IF(A58="","",IF(I58="기타/불명","확인 필요","결의서명으로 1차 확인"))</x:f>
      </x:c>
      <x:c r="K58" s="78"/>
    </x:row>
    <x:row r="59">
      <x:c r="A59" s="73"/>
      <x:c r="B59" s="73"/>
      <x:c r="C59" s="74"/>
      <x:c r="D59" s="73"/>
      <x:c r="E59" s="73"/>
      <x:c r="F59" s="75"/>
      <x:c r="G59" s="75"/>
      <x:c r="H59" s="76" t="str">
        <x:f>IF(A59="","",F59-G59)</x:f>
      </x:c>
      <x:c r="I59" s="77" t="str">
        <x:f>IF(A59="","",IF(E59="","기타/불명",IF(IFERROR(SEARCH("급여",E59),0)&gt;0,"인건비",IF(IFERROR(SEARCH("임차",E59),0)&gt;0,"임차·시설",IF(IFERROR(SEARCH("광고",E59),0)&gt;0,"광고·행사",IF(IFERROR(SEARCH("용역",E59),0)&gt;0,"용역·수수료","기타/불명"))))))</x:f>
      </x:c>
      <x:c r="J59" s="77" t="str">
        <x:f>IF(A59="","",IF(I59="기타/불명","확인 필요","결의서명으로 1차 확인"))</x:f>
      </x:c>
      <x:c r="K59" s="78"/>
    </x:row>
    <x:row r="60">
      <x:c r="A60" s="73"/>
      <x:c r="B60" s="73"/>
      <x:c r="C60" s="74"/>
      <x:c r="D60" s="73"/>
      <x:c r="E60" s="73"/>
      <x:c r="F60" s="75"/>
      <x:c r="G60" s="75"/>
      <x:c r="H60" s="76" t="str">
        <x:f>IF(A60="","",F60-G60)</x:f>
      </x:c>
      <x:c r="I60" s="77" t="str">
        <x:f>IF(A60="","",IF(E60="","기타/불명",IF(IFERROR(SEARCH("급여",E60),0)&gt;0,"인건비",IF(IFERROR(SEARCH("임차",E60),0)&gt;0,"임차·시설",IF(IFERROR(SEARCH("광고",E60),0)&gt;0,"광고·행사",IF(IFERROR(SEARCH("용역",E60),0)&gt;0,"용역·수수료","기타/불명"))))))</x:f>
      </x:c>
      <x:c r="J60" s="77" t="str">
        <x:f>IF(A60="","",IF(I60="기타/불명","확인 필요","결의서명으로 1차 확인"))</x:f>
      </x:c>
      <x:c r="K60" s="78"/>
    </x:row>
    <x:row r="61">
      <x:c r="A61" s="73"/>
      <x:c r="B61" s="73"/>
      <x:c r="C61" s="74"/>
      <x:c r="D61" s="73"/>
      <x:c r="E61" s="73"/>
      <x:c r="F61" s="75"/>
      <x:c r="G61" s="75"/>
      <x:c r="H61" s="76" t="str">
        <x:f>IF(A61="","",F61-G61)</x:f>
      </x:c>
      <x:c r="I61" s="77" t="str">
        <x:f>IF(A61="","",IF(E61="","기타/불명",IF(IFERROR(SEARCH("급여",E61),0)&gt;0,"인건비",IF(IFERROR(SEARCH("임차",E61),0)&gt;0,"임차·시설",IF(IFERROR(SEARCH("광고",E61),0)&gt;0,"광고·행사",IF(IFERROR(SEARCH("용역",E61),0)&gt;0,"용역·수수료","기타/불명"))))))</x:f>
      </x:c>
      <x:c r="J61" s="77" t="str">
        <x:f>IF(A61="","",IF(I61="기타/불명","확인 필요","결의서명으로 1차 확인"))</x:f>
      </x:c>
      <x:c r="K61" s="78"/>
    </x:row>
    <x:row r="62">
      <x:c r="A62" s="73"/>
      <x:c r="B62" s="73"/>
      <x:c r="C62" s="74"/>
      <x:c r="D62" s="73"/>
      <x:c r="E62" s="73"/>
      <x:c r="F62" s="75"/>
      <x:c r="G62" s="75"/>
      <x:c r="H62" s="76" t="str">
        <x:f>IF(A62="","",F62-G62)</x:f>
      </x:c>
      <x:c r="I62" s="77" t="str">
        <x:f>IF(A62="","",IF(E62="","기타/불명",IF(IFERROR(SEARCH("급여",E62),0)&gt;0,"인건비",IF(IFERROR(SEARCH("임차",E62),0)&gt;0,"임차·시설",IF(IFERROR(SEARCH("광고",E62),0)&gt;0,"광고·행사",IF(IFERROR(SEARCH("용역",E62),0)&gt;0,"용역·수수료","기타/불명"))))))</x:f>
      </x:c>
      <x:c r="J62" s="77" t="str">
        <x:f>IF(A62="","",IF(I62="기타/불명","확인 필요","결의서명으로 1차 확인"))</x:f>
      </x:c>
      <x:c r="K62" s="78"/>
    </x:row>
    <x:row r="63">
      <x:c r="A63" s="73"/>
      <x:c r="B63" s="73"/>
      <x:c r="C63" s="74"/>
      <x:c r="D63" s="73"/>
      <x:c r="E63" s="73"/>
      <x:c r="F63" s="75"/>
      <x:c r="G63" s="75"/>
      <x:c r="H63" s="76" t="str">
        <x:f>IF(A63="","",F63-G63)</x:f>
      </x:c>
      <x:c r="I63" s="77" t="str">
        <x:f>IF(A63="","",IF(E63="","기타/불명",IF(IFERROR(SEARCH("급여",E63),0)&gt;0,"인건비",IF(IFERROR(SEARCH("임차",E63),0)&gt;0,"임차·시설",IF(IFERROR(SEARCH("광고",E63),0)&gt;0,"광고·행사",IF(IFERROR(SEARCH("용역",E63),0)&gt;0,"용역·수수료","기타/불명"))))))</x:f>
      </x:c>
      <x:c r="J63" s="77" t="str">
        <x:f>IF(A63="","",IF(I63="기타/불명","확인 필요","결의서명으로 1차 확인"))</x:f>
      </x:c>
      <x:c r="K63" s="78"/>
    </x:row>
    <x:row r="64">
      <x:c r="A64" s="73"/>
      <x:c r="B64" s="73"/>
      <x:c r="C64" s="74"/>
      <x:c r="D64" s="73"/>
      <x:c r="E64" s="73"/>
      <x:c r="F64" s="75"/>
      <x:c r="G64" s="75"/>
      <x:c r="H64" s="76" t="str">
        <x:f>IF(A64="","",F64-G64)</x:f>
      </x:c>
      <x:c r="I64" s="77" t="str">
        <x:f>IF(A64="","",IF(E64="","기타/불명",IF(IFERROR(SEARCH("급여",E64),0)&gt;0,"인건비",IF(IFERROR(SEARCH("임차",E64),0)&gt;0,"임차·시설",IF(IFERROR(SEARCH("광고",E64),0)&gt;0,"광고·행사",IF(IFERROR(SEARCH("용역",E64),0)&gt;0,"용역·수수료","기타/불명"))))))</x:f>
      </x:c>
      <x:c r="J64" s="77" t="str">
        <x:f>IF(A64="","",IF(I64="기타/불명","확인 필요","결의서명으로 1차 확인"))</x:f>
      </x:c>
      <x:c r="K64" s="78"/>
    </x:row>
    <x:row r="65">
      <x:c r="A65" s="73"/>
      <x:c r="B65" s="73"/>
      <x:c r="C65" s="74"/>
      <x:c r="D65" s="73"/>
      <x:c r="E65" s="73"/>
      <x:c r="F65" s="75"/>
      <x:c r="G65" s="75"/>
      <x:c r="H65" s="76" t="str">
        <x:f>IF(A65="","",F65-G65)</x:f>
      </x:c>
      <x:c r="I65" s="77" t="str">
        <x:f>IF(A65="","",IF(E65="","기타/불명",IF(IFERROR(SEARCH("급여",E65),0)&gt;0,"인건비",IF(IFERROR(SEARCH("임차",E65),0)&gt;0,"임차·시설",IF(IFERROR(SEARCH("광고",E65),0)&gt;0,"광고·행사",IF(IFERROR(SEARCH("용역",E65),0)&gt;0,"용역·수수료","기타/불명"))))))</x:f>
      </x:c>
      <x:c r="J65" s="77" t="str">
        <x:f>IF(A65="","",IF(I65="기타/불명","확인 필요","결의서명으로 1차 확인"))</x:f>
      </x:c>
      <x:c r="K65" s="78"/>
    </x:row>
    <x:row r="66">
      <x:c r="A66" s="73"/>
      <x:c r="B66" s="73"/>
      <x:c r="C66" s="74"/>
      <x:c r="D66" s="73"/>
      <x:c r="E66" s="73"/>
      <x:c r="F66" s="75"/>
      <x:c r="G66" s="75"/>
      <x:c r="H66" s="76" t="str">
        <x:f>IF(A66="","",F66-G66)</x:f>
      </x:c>
      <x:c r="I66" s="77" t="str">
        <x:f>IF(A66="","",IF(E66="","기타/불명",IF(IFERROR(SEARCH("급여",E66),0)&gt;0,"인건비",IF(IFERROR(SEARCH("임차",E66),0)&gt;0,"임차·시설",IF(IFERROR(SEARCH("광고",E66),0)&gt;0,"광고·행사",IF(IFERROR(SEARCH("용역",E66),0)&gt;0,"용역·수수료","기타/불명"))))))</x:f>
      </x:c>
      <x:c r="J66" s="77" t="str">
        <x:f>IF(A66="","",IF(I66="기타/불명","확인 필요","결의서명으로 1차 확인"))</x:f>
      </x:c>
      <x:c r="K66" s="78"/>
    </x:row>
    <x:row r="67">
      <x:c r="A67" s="73"/>
      <x:c r="B67" s="73"/>
      <x:c r="C67" s="74"/>
      <x:c r="D67" s="73"/>
      <x:c r="E67" s="73"/>
      <x:c r="F67" s="75"/>
      <x:c r="G67" s="75"/>
      <x:c r="H67" s="76" t="str">
        <x:f>IF(A67="","",F67-G67)</x:f>
      </x:c>
      <x:c r="I67" s="77" t="str">
        <x:f>IF(A67="","",IF(E67="","기타/불명",IF(IFERROR(SEARCH("급여",E67),0)&gt;0,"인건비",IF(IFERROR(SEARCH("임차",E67),0)&gt;0,"임차·시설",IF(IFERROR(SEARCH("광고",E67),0)&gt;0,"광고·행사",IF(IFERROR(SEARCH("용역",E67),0)&gt;0,"용역·수수료","기타/불명"))))))</x:f>
      </x:c>
      <x:c r="J67" s="77" t="str">
        <x:f>IF(A67="","",IF(I67="기타/불명","확인 필요","결의서명으로 1차 확인"))</x:f>
      </x:c>
      <x:c r="K67" s="78"/>
    </x:row>
    <x:row r="68">
      <x:c r="A68" s="73"/>
      <x:c r="B68" s="73"/>
      <x:c r="C68" s="74"/>
      <x:c r="D68" s="73"/>
      <x:c r="E68" s="73"/>
      <x:c r="F68" s="75"/>
      <x:c r="G68" s="75"/>
      <x:c r="H68" s="76" t="str">
        <x:f>IF(A68="","",F68-G68)</x:f>
      </x:c>
      <x:c r="I68" s="77" t="str">
        <x:f>IF(A68="","",IF(E68="","기타/불명",IF(IFERROR(SEARCH("급여",E68),0)&gt;0,"인건비",IF(IFERROR(SEARCH("임차",E68),0)&gt;0,"임차·시설",IF(IFERROR(SEARCH("광고",E68),0)&gt;0,"광고·행사",IF(IFERROR(SEARCH("용역",E68),0)&gt;0,"용역·수수료","기타/불명"))))))</x:f>
      </x:c>
      <x:c r="J68" s="77" t="str">
        <x:f>IF(A68="","",IF(I68="기타/불명","확인 필요","결의서명으로 1차 확인"))</x:f>
      </x:c>
      <x:c r="K68" s="78"/>
    </x:row>
    <x:row r="69">
      <x:c r="A69" s="73"/>
      <x:c r="B69" s="73"/>
      <x:c r="C69" s="74"/>
      <x:c r="D69" s="73"/>
      <x:c r="E69" s="73"/>
      <x:c r="F69" s="75"/>
      <x:c r="G69" s="75"/>
      <x:c r="H69" s="76" t="str">
        <x:f>IF(A69="","",F69-G69)</x:f>
      </x:c>
      <x:c r="I69" s="77" t="str">
        <x:f>IF(A69="","",IF(E69="","기타/불명",IF(IFERROR(SEARCH("급여",E69),0)&gt;0,"인건비",IF(IFERROR(SEARCH("임차",E69),0)&gt;0,"임차·시설",IF(IFERROR(SEARCH("광고",E69),0)&gt;0,"광고·행사",IF(IFERROR(SEARCH("용역",E69),0)&gt;0,"용역·수수료","기타/불명"))))))</x:f>
      </x:c>
      <x:c r="J69" s="77" t="str">
        <x:f>IF(A69="","",IF(I69="기타/불명","확인 필요","결의서명으로 1차 확인"))</x:f>
      </x:c>
      <x:c r="K69" s="78"/>
    </x:row>
    <x:row r="70">
      <x:c r="A70" s="73"/>
      <x:c r="B70" s="73"/>
      <x:c r="C70" s="74"/>
      <x:c r="D70" s="73"/>
      <x:c r="E70" s="73"/>
      <x:c r="F70" s="75"/>
      <x:c r="G70" s="75"/>
      <x:c r="H70" s="76" t="str">
        <x:f>IF(A70="","",F70-G70)</x:f>
      </x:c>
      <x:c r="I70" s="77" t="str">
        <x:f>IF(A70="","",IF(E70="","기타/불명",IF(IFERROR(SEARCH("급여",E70),0)&gt;0,"인건비",IF(IFERROR(SEARCH("임차",E70),0)&gt;0,"임차·시설",IF(IFERROR(SEARCH("광고",E70),0)&gt;0,"광고·행사",IF(IFERROR(SEARCH("용역",E70),0)&gt;0,"용역·수수료","기타/불명"))))))</x:f>
      </x:c>
      <x:c r="J70" s="77" t="str">
        <x:f>IF(A70="","",IF(I70="기타/불명","확인 필요","결의서명으로 1차 확인"))</x:f>
      </x:c>
      <x:c r="K70" s="78"/>
    </x:row>
    <x:row r="71">
      <x:c r="A71" s="73"/>
      <x:c r="B71" s="73"/>
      <x:c r="C71" s="74"/>
      <x:c r="D71" s="73"/>
      <x:c r="E71" s="73"/>
      <x:c r="F71" s="75"/>
      <x:c r="G71" s="75"/>
      <x:c r="H71" s="76" t="str">
        <x:f>IF(A71="","",F71-G71)</x:f>
      </x:c>
      <x:c r="I71" s="77" t="str">
        <x:f>IF(A71="","",IF(E71="","기타/불명",IF(IFERROR(SEARCH("급여",E71),0)&gt;0,"인건비",IF(IFERROR(SEARCH("임차",E71),0)&gt;0,"임차·시설",IF(IFERROR(SEARCH("광고",E71),0)&gt;0,"광고·행사",IF(IFERROR(SEARCH("용역",E71),0)&gt;0,"용역·수수료","기타/불명"))))))</x:f>
      </x:c>
      <x:c r="J71" s="77" t="str">
        <x:f>IF(A71="","",IF(I71="기타/불명","확인 필요","결의서명으로 1차 확인"))</x:f>
      </x:c>
      <x:c r="K71" s="78"/>
    </x:row>
    <x:row r="72">
      <x:c r="A72" s="73"/>
      <x:c r="B72" s="73"/>
      <x:c r="C72" s="74"/>
      <x:c r="D72" s="73"/>
      <x:c r="E72" s="73"/>
      <x:c r="F72" s="75"/>
      <x:c r="G72" s="75"/>
      <x:c r="H72" s="76" t="str">
        <x:f>IF(A72="","",F72-G72)</x:f>
      </x:c>
      <x:c r="I72" s="77" t="str">
        <x:f>IF(A72="","",IF(E72="","기타/불명",IF(IFERROR(SEARCH("급여",E72),0)&gt;0,"인건비",IF(IFERROR(SEARCH("임차",E72),0)&gt;0,"임차·시설",IF(IFERROR(SEARCH("광고",E72),0)&gt;0,"광고·행사",IF(IFERROR(SEARCH("용역",E72),0)&gt;0,"용역·수수료","기타/불명"))))))</x:f>
      </x:c>
      <x:c r="J72" s="77" t="str">
        <x:f>IF(A72="","",IF(I72="기타/불명","확인 필요","결의서명으로 1차 확인"))</x:f>
      </x:c>
      <x:c r="K72" s="78"/>
    </x:row>
    <x:row r="73">
      <x:c r="A73" s="73"/>
      <x:c r="B73" s="73"/>
      <x:c r="C73" s="74"/>
      <x:c r="D73" s="73"/>
      <x:c r="E73" s="73"/>
      <x:c r="F73" s="75"/>
      <x:c r="G73" s="75"/>
      <x:c r="H73" s="76" t="str">
        <x:f>IF(A73="","",F73-G73)</x:f>
      </x:c>
      <x:c r="I73" s="77" t="str">
        <x:f>IF(A73="","",IF(E73="","기타/불명",IF(IFERROR(SEARCH("급여",E73),0)&gt;0,"인건비",IF(IFERROR(SEARCH("임차",E73),0)&gt;0,"임차·시설",IF(IFERROR(SEARCH("광고",E73),0)&gt;0,"광고·행사",IF(IFERROR(SEARCH("용역",E73),0)&gt;0,"용역·수수료","기타/불명"))))))</x:f>
      </x:c>
      <x:c r="J73" s="77" t="str">
        <x:f>IF(A73="","",IF(I73="기타/불명","확인 필요","결의서명으로 1차 확인"))</x:f>
      </x:c>
      <x:c r="K73" s="78"/>
    </x:row>
    <x:row r="74">
      <x:c r="A74" s="73"/>
      <x:c r="B74" s="73"/>
      <x:c r="C74" s="74"/>
      <x:c r="D74" s="73"/>
      <x:c r="E74" s="73"/>
      <x:c r="F74" s="75"/>
      <x:c r="G74" s="75"/>
      <x:c r="H74" s="76" t="str">
        <x:f>IF(A74="","",F74-G74)</x:f>
      </x:c>
      <x:c r="I74" s="77" t="str">
        <x:f>IF(A74="","",IF(E74="","기타/불명",IF(IFERROR(SEARCH("급여",E74),0)&gt;0,"인건비",IF(IFERROR(SEARCH("임차",E74),0)&gt;0,"임차·시설",IF(IFERROR(SEARCH("광고",E74),0)&gt;0,"광고·행사",IF(IFERROR(SEARCH("용역",E74),0)&gt;0,"용역·수수료","기타/불명"))))))</x:f>
      </x:c>
      <x:c r="J74" s="77" t="str">
        <x:f>IF(A74="","",IF(I74="기타/불명","확인 필요","결의서명으로 1차 확인"))</x:f>
      </x:c>
      <x:c r="K74" s="78"/>
    </x:row>
    <x:row r="75">
      <x:c r="A75" s="73"/>
      <x:c r="B75" s="73"/>
      <x:c r="C75" s="74"/>
      <x:c r="D75" s="73"/>
      <x:c r="E75" s="73"/>
      <x:c r="F75" s="75"/>
      <x:c r="G75" s="75"/>
      <x:c r="H75" s="76" t="str">
        <x:f>IF(A75="","",F75-G75)</x:f>
      </x:c>
      <x:c r="I75" s="77" t="str">
        <x:f>IF(A75="","",IF(E75="","기타/불명",IF(IFERROR(SEARCH("급여",E75),0)&gt;0,"인건비",IF(IFERROR(SEARCH("임차",E75),0)&gt;0,"임차·시설",IF(IFERROR(SEARCH("광고",E75),0)&gt;0,"광고·행사",IF(IFERROR(SEARCH("용역",E75),0)&gt;0,"용역·수수료","기타/불명"))))))</x:f>
      </x:c>
      <x:c r="J75" s="77" t="str">
        <x:f>IF(A75="","",IF(I75="기타/불명","확인 필요","결의서명으로 1차 확인"))</x:f>
      </x:c>
      <x:c r="K75" s="78"/>
    </x:row>
    <x:row r="76">
      <x:c r="A76" s="73"/>
      <x:c r="B76" s="73"/>
      <x:c r="C76" s="74"/>
      <x:c r="D76" s="73"/>
      <x:c r="E76" s="73"/>
      <x:c r="F76" s="75"/>
      <x:c r="G76" s="75"/>
      <x:c r="H76" s="76" t="str">
        <x:f>IF(A76="","",F76-G76)</x:f>
      </x:c>
      <x:c r="I76" s="77" t="str">
        <x:f>IF(A76="","",IF(E76="","기타/불명",IF(IFERROR(SEARCH("급여",E76),0)&gt;0,"인건비",IF(IFERROR(SEARCH("임차",E76),0)&gt;0,"임차·시설",IF(IFERROR(SEARCH("광고",E76),0)&gt;0,"광고·행사",IF(IFERROR(SEARCH("용역",E76),0)&gt;0,"용역·수수료","기타/불명"))))))</x:f>
      </x:c>
      <x:c r="J76" s="77" t="str">
        <x:f>IF(A76="","",IF(I76="기타/불명","확인 필요","결의서명으로 1차 확인"))</x:f>
      </x:c>
      <x:c r="K76" s="78"/>
    </x:row>
    <x:row r="77">
      <x:c r="A77" s="73"/>
      <x:c r="B77" s="73"/>
      <x:c r="C77" s="74"/>
      <x:c r="D77" s="73"/>
      <x:c r="E77" s="73"/>
      <x:c r="F77" s="75"/>
      <x:c r="G77" s="75"/>
      <x:c r="H77" s="76" t="str">
        <x:f>IF(A77="","",F77-G77)</x:f>
      </x:c>
      <x:c r="I77" s="77" t="str">
        <x:f>IF(A77="","",IF(E77="","기타/불명",IF(IFERROR(SEARCH("급여",E77),0)&gt;0,"인건비",IF(IFERROR(SEARCH("임차",E77),0)&gt;0,"임차·시설",IF(IFERROR(SEARCH("광고",E77),0)&gt;0,"광고·행사",IF(IFERROR(SEARCH("용역",E77),0)&gt;0,"용역·수수료","기타/불명"))))))</x:f>
      </x:c>
      <x:c r="J77" s="77" t="str">
        <x:f>IF(A77="","",IF(I77="기타/불명","확인 필요","결의서명으로 1차 확인"))</x:f>
      </x:c>
      <x:c r="K77" s="78"/>
    </x:row>
    <x:row r="78">
      <x:c r="A78" s="73"/>
      <x:c r="B78" s="73"/>
      <x:c r="C78" s="74"/>
      <x:c r="D78" s="73"/>
      <x:c r="E78" s="73"/>
      <x:c r="F78" s="75"/>
      <x:c r="G78" s="75"/>
      <x:c r="H78" s="76" t="str">
        <x:f>IF(A78="","",F78-G78)</x:f>
      </x:c>
      <x:c r="I78" s="77" t="str">
        <x:f>IF(A78="","",IF(E78="","기타/불명",IF(IFERROR(SEARCH("급여",E78),0)&gt;0,"인건비",IF(IFERROR(SEARCH("임차",E78),0)&gt;0,"임차·시설",IF(IFERROR(SEARCH("광고",E78),0)&gt;0,"광고·행사",IF(IFERROR(SEARCH("용역",E78),0)&gt;0,"용역·수수료","기타/불명"))))))</x:f>
      </x:c>
      <x:c r="J78" s="77" t="str">
        <x:f>IF(A78="","",IF(I78="기타/불명","확인 필요","결의서명으로 1차 확인"))</x:f>
      </x:c>
      <x:c r="K78" s="78"/>
    </x:row>
    <x:row r="79">
      <x:c r="A79" s="73"/>
      <x:c r="B79" s="73"/>
      <x:c r="C79" s="74"/>
      <x:c r="D79" s="73"/>
      <x:c r="E79" s="73"/>
      <x:c r="F79" s="75"/>
      <x:c r="G79" s="75"/>
      <x:c r="H79" s="76" t="str">
        <x:f>IF(A79="","",F79-G79)</x:f>
      </x:c>
      <x:c r="I79" s="77" t="str">
        <x:f>IF(A79="","",IF(E79="","기타/불명",IF(IFERROR(SEARCH("급여",E79),0)&gt;0,"인건비",IF(IFERROR(SEARCH("임차",E79),0)&gt;0,"임차·시설",IF(IFERROR(SEARCH("광고",E79),0)&gt;0,"광고·행사",IF(IFERROR(SEARCH("용역",E79),0)&gt;0,"용역·수수료","기타/불명"))))))</x:f>
      </x:c>
      <x:c r="J79" s="77" t="str">
        <x:f>IF(A79="","",IF(I79="기타/불명","확인 필요","결의서명으로 1차 확인"))</x:f>
      </x:c>
      <x:c r="K79" s="78"/>
    </x:row>
    <x:row r="80">
      <x:c r="A80" s="73"/>
      <x:c r="B80" s="73"/>
      <x:c r="C80" s="74"/>
      <x:c r="D80" s="73"/>
      <x:c r="E80" s="73"/>
      <x:c r="F80" s="75"/>
      <x:c r="G80" s="75"/>
      <x:c r="H80" s="76" t="str">
        <x:f>IF(A80="","",F80-G80)</x:f>
      </x:c>
      <x:c r="I80" s="77" t="str">
        <x:f>IF(A80="","",IF(E80="","기타/불명",IF(IFERROR(SEARCH("급여",E80),0)&gt;0,"인건비",IF(IFERROR(SEARCH("임차",E80),0)&gt;0,"임차·시설",IF(IFERROR(SEARCH("광고",E80),0)&gt;0,"광고·행사",IF(IFERROR(SEARCH("용역",E80),0)&gt;0,"용역·수수료","기타/불명"))))))</x:f>
      </x:c>
      <x:c r="J80" s="77" t="str">
        <x:f>IF(A80="","",IF(I80="기타/불명","확인 필요","결의서명으로 1차 확인"))</x:f>
      </x:c>
      <x:c r="K80" s="78"/>
    </x:row>
    <x:row r="81">
      <x:c r="A81" s="73"/>
      <x:c r="B81" s="73"/>
      <x:c r="C81" s="74"/>
      <x:c r="D81" s="73"/>
      <x:c r="E81" s="73"/>
      <x:c r="F81" s="75"/>
      <x:c r="G81" s="75"/>
      <x:c r="H81" s="76" t="str">
        <x:f>IF(A81="","",F81-G81)</x:f>
      </x:c>
      <x:c r="I81" s="77" t="str">
        <x:f>IF(A81="","",IF(E81="","기타/불명",IF(IFERROR(SEARCH("급여",E81),0)&gt;0,"인건비",IF(IFERROR(SEARCH("임차",E81),0)&gt;0,"임차·시설",IF(IFERROR(SEARCH("광고",E81),0)&gt;0,"광고·행사",IF(IFERROR(SEARCH("용역",E81),0)&gt;0,"용역·수수료","기타/불명"))))))</x:f>
      </x:c>
      <x:c r="J81" s="77" t="str">
        <x:f>IF(A81="","",IF(I81="기타/불명","확인 필요","결의서명으로 1차 확인"))</x:f>
      </x:c>
      <x:c r="K81" s="78"/>
    </x:row>
    <x:row r="82">
      <x:c r="A82" s="73"/>
      <x:c r="B82" s="73"/>
      <x:c r="C82" s="74"/>
      <x:c r="D82" s="73"/>
      <x:c r="E82" s="73"/>
      <x:c r="F82" s="75"/>
      <x:c r="G82" s="75"/>
      <x:c r="H82" s="76" t="str">
        <x:f>IF(A82="","",F82-G82)</x:f>
      </x:c>
      <x:c r="I82" s="77" t="str">
        <x:f>IF(A82="","",IF(E82="","기타/불명",IF(IFERROR(SEARCH("급여",E82),0)&gt;0,"인건비",IF(IFERROR(SEARCH("임차",E82),0)&gt;0,"임차·시설",IF(IFERROR(SEARCH("광고",E82),0)&gt;0,"광고·행사",IF(IFERROR(SEARCH("용역",E82),0)&gt;0,"용역·수수료","기타/불명"))))))</x:f>
      </x:c>
      <x:c r="J82" s="77" t="str">
        <x:f>IF(A82="","",IF(I82="기타/불명","확인 필요","결의서명으로 1차 확인"))</x:f>
      </x:c>
      <x:c r="K82" s="78"/>
    </x:row>
    <x:row r="83">
      <x:c r="A83" s="73"/>
      <x:c r="B83" s="73"/>
      <x:c r="C83" s="74"/>
      <x:c r="D83" s="73"/>
      <x:c r="E83" s="73"/>
      <x:c r="F83" s="75"/>
      <x:c r="G83" s="75"/>
      <x:c r="H83" s="76" t="str">
        <x:f>IF(A83="","",F83-G83)</x:f>
      </x:c>
      <x:c r="I83" s="77" t="str">
        <x:f>IF(A83="","",IF(E83="","기타/불명",IF(IFERROR(SEARCH("급여",E83),0)&gt;0,"인건비",IF(IFERROR(SEARCH("임차",E83),0)&gt;0,"임차·시설",IF(IFERROR(SEARCH("광고",E83),0)&gt;0,"광고·행사",IF(IFERROR(SEARCH("용역",E83),0)&gt;0,"용역·수수료","기타/불명"))))))</x:f>
      </x:c>
      <x:c r="J83" s="77" t="str">
        <x:f>IF(A83="","",IF(I83="기타/불명","확인 필요","결의서명으로 1차 확인"))</x:f>
      </x:c>
      <x:c r="K83" s="78"/>
    </x:row>
    <x:row r="84">
      <x:c r="A84" s="73"/>
      <x:c r="B84" s="73"/>
      <x:c r="C84" s="74"/>
      <x:c r="D84" s="73"/>
      <x:c r="E84" s="73"/>
      <x:c r="F84" s="75"/>
      <x:c r="G84" s="75"/>
      <x:c r="H84" s="76" t="str">
        <x:f>IF(A84="","",F84-G84)</x:f>
      </x:c>
      <x:c r="I84" s="77" t="str">
        <x:f>IF(A84="","",IF(E84="","기타/불명",IF(IFERROR(SEARCH("급여",E84),0)&gt;0,"인건비",IF(IFERROR(SEARCH("임차",E84),0)&gt;0,"임차·시설",IF(IFERROR(SEARCH("광고",E84),0)&gt;0,"광고·행사",IF(IFERROR(SEARCH("용역",E84),0)&gt;0,"용역·수수료","기타/불명"))))))</x:f>
      </x:c>
      <x:c r="J84" s="77" t="str">
        <x:f>IF(A84="","",IF(I84="기타/불명","확인 필요","결의서명으로 1차 확인"))</x:f>
      </x:c>
      <x:c r="K84" s="78"/>
    </x:row>
    <x:row r="85">
      <x:c r="A85" s="73"/>
      <x:c r="B85" s="73"/>
      <x:c r="C85" s="74"/>
      <x:c r="D85" s="73"/>
      <x:c r="E85" s="73"/>
      <x:c r="F85" s="75"/>
      <x:c r="G85" s="75"/>
      <x:c r="H85" s="76" t="str">
        <x:f>IF(A85="","",F85-G85)</x:f>
      </x:c>
      <x:c r="I85" s="77" t="str">
        <x:f>IF(A85="","",IF(E85="","기타/불명",IF(IFERROR(SEARCH("급여",E85),0)&gt;0,"인건비",IF(IFERROR(SEARCH("임차",E85),0)&gt;0,"임차·시설",IF(IFERROR(SEARCH("광고",E85),0)&gt;0,"광고·행사",IF(IFERROR(SEARCH("용역",E85),0)&gt;0,"용역·수수료","기타/불명"))))))</x:f>
      </x:c>
      <x:c r="J85" s="77" t="str">
        <x:f>IF(A85="","",IF(I85="기타/불명","확인 필요","결의서명으로 1차 확인"))</x:f>
      </x:c>
      <x:c r="K85" s="78"/>
    </x:row>
    <x:row r="86">
      <x:c r="A86" s="73"/>
      <x:c r="B86" s="73"/>
      <x:c r="C86" s="74"/>
      <x:c r="D86" s="73"/>
      <x:c r="E86" s="73"/>
      <x:c r="F86" s="75"/>
      <x:c r="G86" s="75"/>
      <x:c r="H86" s="76" t="str">
        <x:f>IF(A86="","",F86-G86)</x:f>
      </x:c>
      <x:c r="I86" s="77" t="str">
        <x:f>IF(A86="","",IF(E86="","기타/불명",IF(IFERROR(SEARCH("급여",E86),0)&gt;0,"인건비",IF(IFERROR(SEARCH("임차",E86),0)&gt;0,"임차·시설",IF(IFERROR(SEARCH("광고",E86),0)&gt;0,"광고·행사",IF(IFERROR(SEARCH("용역",E86),0)&gt;0,"용역·수수료","기타/불명"))))))</x:f>
      </x:c>
      <x:c r="J86" s="77" t="str">
        <x:f>IF(A86="","",IF(I86="기타/불명","확인 필요","결의서명으로 1차 확인"))</x:f>
      </x:c>
      <x:c r="K86" s="78"/>
    </x:row>
    <x:row r="87">
      <x:c r="A87" s="73"/>
      <x:c r="B87" s="73"/>
      <x:c r="C87" s="74"/>
      <x:c r="D87" s="73"/>
      <x:c r="E87" s="73"/>
      <x:c r="F87" s="75"/>
      <x:c r="G87" s="75"/>
      <x:c r="H87" s="76" t="str">
        <x:f>IF(A87="","",F87-G87)</x:f>
      </x:c>
      <x:c r="I87" s="77" t="str">
        <x:f>IF(A87="","",IF(E87="","기타/불명",IF(IFERROR(SEARCH("급여",E87),0)&gt;0,"인건비",IF(IFERROR(SEARCH("임차",E87),0)&gt;0,"임차·시설",IF(IFERROR(SEARCH("광고",E87),0)&gt;0,"광고·행사",IF(IFERROR(SEARCH("용역",E87),0)&gt;0,"용역·수수료","기타/불명"))))))</x:f>
      </x:c>
      <x:c r="J87" s="77" t="str">
        <x:f>IF(A87="","",IF(I87="기타/불명","확인 필요","결의서명으로 1차 확인"))</x:f>
      </x:c>
      <x:c r="K87" s="78"/>
    </x:row>
    <x:row r="88">
      <x:c r="A88" s="73"/>
      <x:c r="B88" s="73"/>
      <x:c r="C88" s="74"/>
      <x:c r="D88" s="73"/>
      <x:c r="E88" s="73"/>
      <x:c r="F88" s="75"/>
      <x:c r="G88" s="75"/>
      <x:c r="H88" s="76" t="str">
        <x:f>IF(A88="","",F88-G88)</x:f>
      </x:c>
      <x:c r="I88" s="77" t="str">
        <x:f>IF(A88="","",IF(E88="","기타/불명",IF(IFERROR(SEARCH("급여",E88),0)&gt;0,"인건비",IF(IFERROR(SEARCH("임차",E88),0)&gt;0,"임차·시설",IF(IFERROR(SEARCH("광고",E88),0)&gt;0,"광고·행사",IF(IFERROR(SEARCH("용역",E88),0)&gt;0,"용역·수수료","기타/불명"))))))</x:f>
      </x:c>
      <x:c r="J88" s="77" t="str">
        <x:f>IF(A88="","",IF(I88="기타/불명","확인 필요","결의서명으로 1차 확인"))</x:f>
      </x:c>
      <x:c r="K88" s="78"/>
    </x:row>
    <x:row r="89">
      <x:c r="A89" s="73"/>
      <x:c r="B89" s="73"/>
      <x:c r="C89" s="74"/>
      <x:c r="D89" s="73"/>
      <x:c r="E89" s="73"/>
      <x:c r="F89" s="75"/>
      <x:c r="G89" s="75"/>
      <x:c r="H89" s="76" t="str">
        <x:f>IF(A89="","",F89-G89)</x:f>
      </x:c>
      <x:c r="I89" s="77" t="str">
        <x:f>IF(A89="","",IF(E89="","기타/불명",IF(IFERROR(SEARCH("급여",E89),0)&gt;0,"인건비",IF(IFERROR(SEARCH("임차",E89),0)&gt;0,"임차·시설",IF(IFERROR(SEARCH("광고",E89),0)&gt;0,"광고·행사",IF(IFERROR(SEARCH("용역",E89),0)&gt;0,"용역·수수료","기타/불명"))))))</x:f>
      </x:c>
      <x:c r="J89" s="77" t="str">
        <x:f>IF(A89="","",IF(I89="기타/불명","확인 필요","결의서명으로 1차 확인"))</x:f>
      </x:c>
      <x:c r="K89" s="78"/>
    </x:row>
    <x:row r="90">
      <x:c r="A90" s="73"/>
      <x:c r="B90" s="73"/>
      <x:c r="C90" s="74"/>
      <x:c r="D90" s="73"/>
      <x:c r="E90" s="73"/>
      <x:c r="F90" s="75"/>
      <x:c r="G90" s="75"/>
      <x:c r="H90" s="76" t="str">
        <x:f>IF(A90="","",F90-G90)</x:f>
      </x:c>
      <x:c r="I90" s="77" t="str">
        <x:f>IF(A90="","",IF(E90="","기타/불명",IF(IFERROR(SEARCH("급여",E90),0)&gt;0,"인건비",IF(IFERROR(SEARCH("임차",E90),0)&gt;0,"임차·시설",IF(IFERROR(SEARCH("광고",E90),0)&gt;0,"광고·행사",IF(IFERROR(SEARCH("용역",E90),0)&gt;0,"용역·수수료","기타/불명"))))))</x:f>
      </x:c>
      <x:c r="J90" s="77" t="str">
        <x:f>IF(A90="","",IF(I90="기타/불명","확인 필요","결의서명으로 1차 확인"))</x:f>
      </x:c>
      <x:c r="K90" s="78"/>
    </x:row>
    <x:row r="91">
      <x:c r="A91" s="73"/>
      <x:c r="B91" s="73"/>
      <x:c r="C91" s="74"/>
      <x:c r="D91" s="73"/>
      <x:c r="E91" s="73"/>
      <x:c r="F91" s="75"/>
      <x:c r="G91" s="75"/>
      <x:c r="H91" s="76" t="str">
        <x:f>IF(A91="","",F91-G91)</x:f>
      </x:c>
      <x:c r="I91" s="77" t="str">
        <x:f>IF(A91="","",IF(E91="","기타/불명",IF(IFERROR(SEARCH("급여",E91),0)&gt;0,"인건비",IF(IFERROR(SEARCH("임차",E91),0)&gt;0,"임차·시설",IF(IFERROR(SEARCH("광고",E91),0)&gt;0,"광고·행사",IF(IFERROR(SEARCH("용역",E91),0)&gt;0,"용역·수수료","기타/불명"))))))</x:f>
      </x:c>
      <x:c r="J91" s="77" t="str">
        <x:f>IF(A91="","",IF(I91="기타/불명","확인 필요","결의서명으로 1차 확인"))</x:f>
      </x:c>
      <x:c r="K91" s="78"/>
    </x:row>
    <x:row r="92">
      <x:c r="A92" s="73"/>
      <x:c r="B92" s="73"/>
      <x:c r="C92" s="74"/>
      <x:c r="D92" s="73"/>
      <x:c r="E92" s="73"/>
      <x:c r="F92" s="75"/>
      <x:c r="G92" s="75"/>
      <x:c r="H92" s="76" t="str">
        <x:f>IF(A92="","",F92-G92)</x:f>
      </x:c>
      <x:c r="I92" s="77" t="str">
        <x:f>IF(A92="","",IF(E92="","기타/불명",IF(IFERROR(SEARCH("급여",E92),0)&gt;0,"인건비",IF(IFERROR(SEARCH("임차",E92),0)&gt;0,"임차·시설",IF(IFERROR(SEARCH("광고",E92),0)&gt;0,"광고·행사",IF(IFERROR(SEARCH("용역",E92),0)&gt;0,"용역·수수료","기타/불명"))))))</x:f>
      </x:c>
      <x:c r="J92" s="77" t="str">
        <x:f>IF(A92="","",IF(I92="기타/불명","확인 필요","결의서명으로 1차 확인"))</x:f>
      </x:c>
      <x:c r="K92" s="78"/>
    </x:row>
    <x:row r="93">
      <x:c r="A93" s="73"/>
      <x:c r="B93" s="73"/>
      <x:c r="C93" s="74"/>
      <x:c r="D93" s="73"/>
      <x:c r="E93" s="73"/>
      <x:c r="F93" s="75"/>
      <x:c r="G93" s="75"/>
      <x:c r="H93" s="76" t="str">
        <x:f>IF(A93="","",F93-G93)</x:f>
      </x:c>
      <x:c r="I93" s="77" t="str">
        <x:f>IF(A93="","",IF(E93="","기타/불명",IF(IFERROR(SEARCH("급여",E93),0)&gt;0,"인건비",IF(IFERROR(SEARCH("임차",E93),0)&gt;0,"임차·시설",IF(IFERROR(SEARCH("광고",E93),0)&gt;0,"광고·행사",IF(IFERROR(SEARCH("용역",E93),0)&gt;0,"용역·수수료","기타/불명"))))))</x:f>
      </x:c>
      <x:c r="J93" s="77" t="str">
        <x:f>IF(A93="","",IF(I93="기타/불명","확인 필요","결의서명으로 1차 확인"))</x:f>
      </x:c>
      <x:c r="K93" s="78"/>
    </x:row>
    <x:row r="94">
      <x:c r="A94" s="73"/>
      <x:c r="B94" s="73"/>
      <x:c r="C94" s="74"/>
      <x:c r="D94" s="73"/>
      <x:c r="E94" s="73"/>
      <x:c r="F94" s="75"/>
      <x:c r="G94" s="75"/>
      <x:c r="H94" s="76" t="str">
        <x:f>IF(A94="","",F94-G94)</x:f>
      </x:c>
      <x:c r="I94" s="77" t="str">
        <x:f>IF(A94="","",IF(E94="","기타/불명",IF(IFERROR(SEARCH("급여",E94),0)&gt;0,"인건비",IF(IFERROR(SEARCH("임차",E94),0)&gt;0,"임차·시설",IF(IFERROR(SEARCH("광고",E94),0)&gt;0,"광고·행사",IF(IFERROR(SEARCH("용역",E94),0)&gt;0,"용역·수수료","기타/불명"))))))</x:f>
      </x:c>
      <x:c r="J94" s="77" t="str">
        <x:f>IF(A94="","",IF(I94="기타/불명","확인 필요","결의서명으로 1차 확인"))</x:f>
      </x:c>
      <x:c r="K94" s="78"/>
    </x:row>
    <x:row r="95">
      <x:c r="A95" s="73"/>
      <x:c r="B95" s="73"/>
      <x:c r="C95" s="74"/>
      <x:c r="D95" s="73"/>
      <x:c r="E95" s="73"/>
      <x:c r="F95" s="75"/>
      <x:c r="G95" s="75"/>
      <x:c r="H95" s="76" t="str">
        <x:f>IF(A95="","",F95-G95)</x:f>
      </x:c>
      <x:c r="I95" s="77" t="str">
        <x:f>IF(A95="","",IF(E95="","기타/불명",IF(IFERROR(SEARCH("급여",E95),0)&gt;0,"인건비",IF(IFERROR(SEARCH("임차",E95),0)&gt;0,"임차·시설",IF(IFERROR(SEARCH("광고",E95),0)&gt;0,"광고·행사",IF(IFERROR(SEARCH("용역",E95),0)&gt;0,"용역·수수료","기타/불명"))))))</x:f>
      </x:c>
      <x:c r="J95" s="77" t="str">
        <x:f>IF(A95="","",IF(I95="기타/불명","확인 필요","결의서명으로 1차 확인"))</x:f>
      </x:c>
      <x:c r="K95" s="78"/>
    </x:row>
    <x:row r="96">
      <x:c r="A96" s="73"/>
      <x:c r="B96" s="73"/>
      <x:c r="C96" s="74"/>
      <x:c r="D96" s="73"/>
      <x:c r="E96" s="73"/>
      <x:c r="F96" s="75"/>
      <x:c r="G96" s="75"/>
      <x:c r="H96" s="76" t="str">
        <x:f>IF(A96="","",F96-G96)</x:f>
      </x:c>
      <x:c r="I96" s="77" t="str">
        <x:f>IF(A96="","",IF(E96="","기타/불명",IF(IFERROR(SEARCH("급여",E96),0)&gt;0,"인건비",IF(IFERROR(SEARCH("임차",E96),0)&gt;0,"임차·시설",IF(IFERROR(SEARCH("광고",E96),0)&gt;0,"광고·행사",IF(IFERROR(SEARCH("용역",E96),0)&gt;0,"용역·수수료","기타/불명"))))))</x:f>
      </x:c>
      <x:c r="J96" s="77" t="str">
        <x:f>IF(A96="","",IF(I96="기타/불명","확인 필요","결의서명으로 1차 확인"))</x:f>
      </x:c>
      <x:c r="K96" s="78"/>
    </x:row>
    <x:row r="97">
      <x:c r="A97" s="73"/>
      <x:c r="B97" s="73"/>
      <x:c r="C97" s="74"/>
      <x:c r="D97" s="73"/>
      <x:c r="E97" s="73"/>
      <x:c r="F97" s="75"/>
      <x:c r="G97" s="75"/>
      <x:c r="H97" s="76" t="str">
        <x:f>IF(A97="","",F97-G97)</x:f>
      </x:c>
      <x:c r="I97" s="77" t="str">
        <x:f>IF(A97="","",IF(E97="","기타/불명",IF(IFERROR(SEARCH("급여",E97),0)&gt;0,"인건비",IF(IFERROR(SEARCH("임차",E97),0)&gt;0,"임차·시설",IF(IFERROR(SEARCH("광고",E97),0)&gt;0,"광고·행사",IF(IFERROR(SEARCH("용역",E97),0)&gt;0,"용역·수수료","기타/불명"))))))</x:f>
      </x:c>
      <x:c r="J97" s="77" t="str">
        <x:f>IF(A97="","",IF(I97="기타/불명","확인 필요","결의서명으로 1차 확인"))</x:f>
      </x:c>
      <x:c r="K97" s="78"/>
    </x:row>
    <x:row r="98">
      <x:c r="A98" s="73"/>
      <x:c r="B98" s="73"/>
      <x:c r="C98" s="74"/>
      <x:c r="D98" s="73"/>
      <x:c r="E98" s="73"/>
      <x:c r="F98" s="75"/>
      <x:c r="G98" s="75"/>
      <x:c r="H98" s="76" t="str">
        <x:f>IF(A98="","",F98-G98)</x:f>
      </x:c>
      <x:c r="I98" s="77" t="str">
        <x:f>IF(A98="","",IF(E98="","기타/불명",IF(IFERROR(SEARCH("급여",E98),0)&gt;0,"인건비",IF(IFERROR(SEARCH("임차",E98),0)&gt;0,"임차·시설",IF(IFERROR(SEARCH("광고",E98),0)&gt;0,"광고·행사",IF(IFERROR(SEARCH("용역",E98),0)&gt;0,"용역·수수료","기타/불명"))))))</x:f>
      </x:c>
      <x:c r="J98" s="77" t="str">
        <x:f>IF(A98="","",IF(I98="기타/불명","확인 필요","결의서명으로 1차 확인"))</x:f>
      </x:c>
      <x:c r="K98" s="78"/>
    </x:row>
    <x:row r="99">
      <x:c r="A99" s="73"/>
      <x:c r="B99" s="73"/>
      <x:c r="C99" s="74"/>
      <x:c r="D99" s="73"/>
      <x:c r="E99" s="73"/>
      <x:c r="F99" s="75"/>
      <x:c r="G99" s="75"/>
      <x:c r="H99" s="76" t="str">
        <x:f>IF(A99="","",F99-G99)</x:f>
      </x:c>
      <x:c r="I99" s="77" t="str">
        <x:f>IF(A99="","",IF(E99="","기타/불명",IF(IFERROR(SEARCH("급여",E99),0)&gt;0,"인건비",IF(IFERROR(SEARCH("임차",E99),0)&gt;0,"임차·시설",IF(IFERROR(SEARCH("광고",E99),0)&gt;0,"광고·행사",IF(IFERROR(SEARCH("용역",E99),0)&gt;0,"용역·수수료","기타/불명"))))))</x:f>
      </x:c>
      <x:c r="J99" s="77" t="str">
        <x:f>IF(A99="","",IF(I99="기타/불명","확인 필요","결의서명으로 1차 확인"))</x:f>
      </x:c>
      <x:c r="K99" s="78"/>
    </x:row>
    <x:row r="100">
      <x:c r="A100" s="73"/>
      <x:c r="B100" s="73"/>
      <x:c r="C100" s="74"/>
      <x:c r="D100" s="73"/>
      <x:c r="E100" s="73"/>
      <x:c r="F100" s="75"/>
      <x:c r="G100" s="75"/>
      <x:c r="H100" s="76" t="str">
        <x:f>IF(A100="","",F100-G100)</x:f>
      </x:c>
      <x:c r="I100" s="77" t="str">
        <x:f>IF(A100="","",IF(E100="","기타/불명",IF(IFERROR(SEARCH("급여",E100),0)&gt;0,"인건비",IF(IFERROR(SEARCH("임차",E100),0)&gt;0,"임차·시설",IF(IFERROR(SEARCH("광고",E100),0)&gt;0,"광고·행사",IF(IFERROR(SEARCH("용역",E100),0)&gt;0,"용역·수수료","기타/불명"))))))</x:f>
      </x:c>
      <x:c r="J100" s="77" t="str">
        <x:f>IF(A100="","",IF(I100="기타/불명","확인 필요","결의서명으로 1차 확인"))</x:f>
      </x:c>
      <x:c r="K100" s="78"/>
    </x:row>
    <x:row r="101">
      <x:c r="A101" s="73"/>
      <x:c r="B101" s="73"/>
      <x:c r="C101" s="74"/>
      <x:c r="D101" s="73"/>
      <x:c r="E101" s="73"/>
      <x:c r="F101" s="75"/>
      <x:c r="G101" s="75"/>
      <x:c r="H101" s="76" t="str">
        <x:f>IF(A101="","",F101-G101)</x:f>
      </x:c>
      <x:c r="I101" s="77" t="str">
        <x:f>IF(A101="","",IF(E101="","기타/불명",IF(IFERROR(SEARCH("급여",E101),0)&gt;0,"인건비",IF(IFERROR(SEARCH("임차",E101),0)&gt;0,"임차·시설",IF(IFERROR(SEARCH("광고",E101),0)&gt;0,"광고·행사",IF(IFERROR(SEARCH("용역",E101),0)&gt;0,"용역·수수료","기타/불명"))))))</x:f>
      </x:c>
      <x:c r="J101" s="77" t="str">
        <x:f>IF(A101="","",IF(I101="기타/불명","확인 필요","결의서명으로 1차 확인"))</x:f>
      </x:c>
      <x:c r="K101" s="78"/>
    </x:row>
    <x:row r="102">
      <x:c r="A102" s="73"/>
      <x:c r="B102" s="73"/>
      <x:c r="C102" s="74"/>
      <x:c r="D102" s="73"/>
      <x:c r="E102" s="73"/>
      <x:c r="F102" s="75"/>
      <x:c r="G102" s="75"/>
      <x:c r="H102" s="76" t="str">
        <x:f>IF(A102="","",F102-G102)</x:f>
      </x:c>
      <x:c r="I102" s="77" t="str">
        <x:f>IF(A102="","",IF(E102="","기타/불명",IF(IFERROR(SEARCH("급여",E102),0)&gt;0,"인건비",IF(IFERROR(SEARCH("임차",E102),0)&gt;0,"임차·시설",IF(IFERROR(SEARCH("광고",E102),0)&gt;0,"광고·행사",IF(IFERROR(SEARCH("용역",E102),0)&gt;0,"용역·수수료","기타/불명"))))))</x:f>
      </x:c>
      <x:c r="J102" s="77" t="str">
        <x:f>IF(A102="","",IF(I102="기타/불명","확인 필요","결의서명으로 1차 확인"))</x:f>
      </x:c>
      <x:c r="K102" s="78"/>
    </x:row>
    <x:row r="103">
      <x:c r="A103" s="73"/>
      <x:c r="B103" s="73"/>
      <x:c r="C103" s="74"/>
      <x:c r="D103" s="73"/>
      <x:c r="E103" s="73"/>
      <x:c r="F103" s="75"/>
      <x:c r="G103" s="75"/>
      <x:c r="H103" s="76" t="str">
        <x:f>IF(A103="","",F103-G103)</x:f>
      </x:c>
      <x:c r="I103" s="77" t="str">
        <x:f>IF(A103="","",IF(E103="","기타/불명",IF(IFERROR(SEARCH("급여",E103),0)&gt;0,"인건비",IF(IFERROR(SEARCH("임차",E103),0)&gt;0,"임차·시설",IF(IFERROR(SEARCH("광고",E103),0)&gt;0,"광고·행사",IF(IFERROR(SEARCH("용역",E103),0)&gt;0,"용역·수수료","기타/불명"))))))</x:f>
      </x:c>
      <x:c r="J103" s="77" t="str">
        <x:f>IF(A103="","",IF(I103="기타/불명","확인 필요","결의서명으로 1차 확인"))</x:f>
      </x:c>
      <x:c r="K103" s="78"/>
    </x:row>
    <x:row r="104">
      <x:c r="A104" s="73"/>
      <x:c r="B104" s="73"/>
      <x:c r="C104" s="74"/>
      <x:c r="D104" s="73"/>
      <x:c r="E104" s="73"/>
      <x:c r="F104" s="75"/>
      <x:c r="G104" s="75"/>
      <x:c r="H104" s="76" t="str">
        <x:f>IF(A104="","",F104-G104)</x:f>
      </x:c>
      <x:c r="I104" s="77" t="str">
        <x:f>IF(A104="","",IF(E104="","기타/불명",IF(IFERROR(SEARCH("급여",E104),0)&gt;0,"인건비",IF(IFERROR(SEARCH("임차",E104),0)&gt;0,"임차·시설",IF(IFERROR(SEARCH("광고",E104),0)&gt;0,"광고·행사",IF(IFERROR(SEARCH("용역",E104),0)&gt;0,"용역·수수료","기타/불명"))))))</x:f>
      </x:c>
      <x:c r="J104" s="77" t="str">
        <x:f>IF(A104="","",IF(I104="기타/불명","확인 필요","결의서명으로 1차 확인"))</x:f>
      </x:c>
      <x:c r="K104" s="78"/>
    </x:row>
    <x:row r="105">
      <x:c r="A105" s="73"/>
      <x:c r="B105" s="73"/>
      <x:c r="C105" s="74"/>
      <x:c r="D105" s="73"/>
      <x:c r="E105" s="73"/>
      <x:c r="F105" s="75"/>
      <x:c r="G105" s="75"/>
      <x:c r="H105" s="76" t="str">
        <x:f>IF(A105="","",F105-G105)</x:f>
      </x:c>
      <x:c r="I105" s="77" t="str">
        <x:f>IF(A105="","",IF(E105="","기타/불명",IF(IFERROR(SEARCH("급여",E105),0)&gt;0,"인건비",IF(IFERROR(SEARCH("임차",E105),0)&gt;0,"임차·시설",IF(IFERROR(SEARCH("광고",E105),0)&gt;0,"광고·행사",IF(IFERROR(SEARCH("용역",E105),0)&gt;0,"용역·수수료","기타/불명"))))))</x:f>
      </x:c>
      <x:c r="J105" s="77" t="str">
        <x:f>IF(A105="","",IF(I105="기타/불명","확인 필요","결의서명으로 1차 확인"))</x:f>
      </x:c>
      <x:c r="K105" s="78"/>
    </x:row>
    <x:row r="106">
      <x:c r="A106" s="73"/>
      <x:c r="B106" s="73"/>
      <x:c r="C106" s="74"/>
      <x:c r="D106" s="73"/>
      <x:c r="E106" s="73"/>
      <x:c r="F106" s="75"/>
      <x:c r="G106" s="75"/>
      <x:c r="H106" s="76" t="str">
        <x:f>IF(A106="","",F106-G106)</x:f>
      </x:c>
      <x:c r="I106" s="77" t="str">
        <x:f>IF(A106="","",IF(E106="","기타/불명",IF(IFERROR(SEARCH("급여",E106),0)&gt;0,"인건비",IF(IFERROR(SEARCH("임차",E106),0)&gt;0,"임차·시설",IF(IFERROR(SEARCH("광고",E106),0)&gt;0,"광고·행사",IF(IFERROR(SEARCH("용역",E106),0)&gt;0,"용역·수수료","기타/불명"))))))</x:f>
      </x:c>
      <x:c r="J106" s="77" t="str">
        <x:f>IF(A106="","",IF(I106="기타/불명","확인 필요","결의서명으로 1차 확인"))</x:f>
      </x:c>
      <x:c r="K106" s="78"/>
    </x:row>
    <x:row r="107">
      <x:c r="A107" s="73"/>
      <x:c r="B107" s="73"/>
      <x:c r="C107" s="74"/>
      <x:c r="D107" s="73"/>
      <x:c r="E107" s="73"/>
      <x:c r="F107" s="75"/>
      <x:c r="G107" s="75"/>
      <x:c r="H107" s="76" t="str">
        <x:f>IF(A107="","",F107-G107)</x:f>
      </x:c>
      <x:c r="I107" s="77" t="str">
        <x:f>IF(A107="","",IF(E107="","기타/불명",IF(IFERROR(SEARCH("급여",E107),0)&gt;0,"인건비",IF(IFERROR(SEARCH("임차",E107),0)&gt;0,"임차·시설",IF(IFERROR(SEARCH("광고",E107),0)&gt;0,"광고·행사",IF(IFERROR(SEARCH("용역",E107),0)&gt;0,"용역·수수료","기타/불명"))))))</x:f>
      </x:c>
      <x:c r="J107" s="77" t="str">
        <x:f>IF(A107="","",IF(I107="기타/불명","확인 필요","결의서명으로 1차 확인"))</x:f>
      </x:c>
      <x:c r="K107" s="78"/>
    </x:row>
    <x:row r="108">
      <x:c r="A108" s="73"/>
      <x:c r="B108" s="73"/>
      <x:c r="C108" s="74"/>
      <x:c r="D108" s="73"/>
      <x:c r="E108" s="73"/>
      <x:c r="F108" s="75"/>
      <x:c r="G108" s="75"/>
      <x:c r="H108" s="76" t="str">
        <x:f>IF(A108="","",F108-G108)</x:f>
      </x:c>
      <x:c r="I108" s="77" t="str">
        <x:f>IF(A108="","",IF(E108="","기타/불명",IF(IFERROR(SEARCH("급여",E108),0)&gt;0,"인건비",IF(IFERROR(SEARCH("임차",E108),0)&gt;0,"임차·시설",IF(IFERROR(SEARCH("광고",E108),0)&gt;0,"광고·행사",IF(IFERROR(SEARCH("용역",E108),0)&gt;0,"용역·수수료","기타/불명"))))))</x:f>
      </x:c>
      <x:c r="J108" s="77" t="str">
        <x:f>IF(A108="","",IF(I108="기타/불명","확인 필요","결의서명으로 1차 확인"))</x:f>
      </x:c>
      <x:c r="K108" s="78"/>
    </x:row>
    <x:row r="109">
      <x:c r="A109" s="73"/>
      <x:c r="B109" s="73"/>
      <x:c r="C109" s="74"/>
      <x:c r="D109" s="73"/>
      <x:c r="E109" s="73"/>
      <x:c r="F109" s="75"/>
      <x:c r="G109" s="75"/>
      <x:c r="H109" s="76" t="str">
        <x:f>IF(A109="","",F109-G109)</x:f>
      </x:c>
      <x:c r="I109" s="77" t="str">
        <x:f>IF(A109="","",IF(E109="","기타/불명",IF(IFERROR(SEARCH("급여",E109),0)&gt;0,"인건비",IF(IFERROR(SEARCH("임차",E109),0)&gt;0,"임차·시설",IF(IFERROR(SEARCH("광고",E109),0)&gt;0,"광고·행사",IF(IFERROR(SEARCH("용역",E109),0)&gt;0,"용역·수수료","기타/불명"))))))</x:f>
      </x:c>
      <x:c r="J109" s="77" t="str">
        <x:f>IF(A109="","",IF(I109="기타/불명","확인 필요","결의서명으로 1차 확인"))</x:f>
      </x:c>
      <x:c r="K109" s="78"/>
    </x:row>
    <x:row r="110">
      <x:c r="A110" s="73"/>
      <x:c r="B110" s="73"/>
      <x:c r="C110" s="74"/>
      <x:c r="D110" s="73"/>
      <x:c r="E110" s="73"/>
      <x:c r="F110" s="75"/>
      <x:c r="G110" s="75"/>
      <x:c r="H110" s="76" t="str">
        <x:f>IF(A110="","",F110-G110)</x:f>
      </x:c>
      <x:c r="I110" s="77" t="str">
        <x:f>IF(A110="","",IF(E110="","기타/불명",IF(IFERROR(SEARCH("급여",E110),0)&gt;0,"인건비",IF(IFERROR(SEARCH("임차",E110),0)&gt;0,"임차·시설",IF(IFERROR(SEARCH("광고",E110),0)&gt;0,"광고·행사",IF(IFERROR(SEARCH("용역",E110),0)&gt;0,"용역·수수료","기타/불명"))))))</x:f>
      </x:c>
      <x:c r="J110" s="77" t="str">
        <x:f>IF(A110="","",IF(I110="기타/불명","확인 필요","결의서명으로 1차 확인"))</x:f>
      </x:c>
      <x:c r="K110" s="78"/>
    </x:row>
    <x:row r="111">
      <x:c r="A111" s="73"/>
      <x:c r="B111" s="73"/>
      <x:c r="C111" s="74"/>
      <x:c r="D111" s="73"/>
      <x:c r="E111" s="73"/>
      <x:c r="F111" s="75"/>
      <x:c r="G111" s="75"/>
      <x:c r="H111" s="76" t="str">
        <x:f>IF(A111="","",F111-G111)</x:f>
      </x:c>
      <x:c r="I111" s="77" t="str">
        <x:f>IF(A111="","",IF(E111="","기타/불명",IF(IFERROR(SEARCH("급여",E111),0)&gt;0,"인건비",IF(IFERROR(SEARCH("임차",E111),0)&gt;0,"임차·시설",IF(IFERROR(SEARCH("광고",E111),0)&gt;0,"광고·행사",IF(IFERROR(SEARCH("용역",E111),0)&gt;0,"용역·수수료","기타/불명"))))))</x:f>
      </x:c>
      <x:c r="J111" s="77" t="str">
        <x:f>IF(A111="","",IF(I111="기타/불명","확인 필요","결의서명으로 1차 확인"))</x:f>
      </x:c>
      <x:c r="K111" s="78"/>
    </x:row>
    <x:row r="112">
      <x:c r="A112" s="73"/>
      <x:c r="B112" s="73"/>
      <x:c r="C112" s="74"/>
      <x:c r="D112" s="73"/>
      <x:c r="E112" s="73"/>
      <x:c r="F112" s="75"/>
      <x:c r="G112" s="75"/>
      <x:c r="H112" s="76" t="str">
        <x:f>IF(A112="","",F112-G112)</x:f>
      </x:c>
      <x:c r="I112" s="77" t="str">
        <x:f>IF(A112="","",IF(E112="","기타/불명",IF(IFERROR(SEARCH("급여",E112),0)&gt;0,"인건비",IF(IFERROR(SEARCH("임차",E112),0)&gt;0,"임차·시설",IF(IFERROR(SEARCH("광고",E112),0)&gt;0,"광고·행사",IF(IFERROR(SEARCH("용역",E112),0)&gt;0,"용역·수수료","기타/불명"))))))</x:f>
      </x:c>
      <x:c r="J112" s="77" t="str">
        <x:f>IF(A112="","",IF(I112="기타/불명","확인 필요","결의서명으로 1차 확인"))</x:f>
      </x:c>
      <x:c r="K112" s="78"/>
    </x:row>
    <x:row r="113">
      <x:c r="A113" s="73"/>
      <x:c r="B113" s="73"/>
      <x:c r="C113" s="74"/>
      <x:c r="D113" s="73"/>
      <x:c r="E113" s="73"/>
      <x:c r="F113" s="75"/>
      <x:c r="G113" s="75"/>
      <x:c r="H113" s="76" t="str">
        <x:f>IF(A113="","",F113-G113)</x:f>
      </x:c>
      <x:c r="I113" s="77" t="str">
        <x:f>IF(A113="","",IF(E113="","기타/불명",IF(IFERROR(SEARCH("급여",E113),0)&gt;0,"인건비",IF(IFERROR(SEARCH("임차",E113),0)&gt;0,"임차·시설",IF(IFERROR(SEARCH("광고",E113),0)&gt;0,"광고·행사",IF(IFERROR(SEARCH("용역",E113),0)&gt;0,"용역·수수료","기타/불명"))))))</x:f>
      </x:c>
      <x:c r="J113" s="77" t="str">
        <x:f>IF(A113="","",IF(I113="기타/불명","확인 필요","결의서명으로 1차 확인"))</x:f>
      </x:c>
      <x:c r="K113" s="78"/>
    </x:row>
    <x:row r="114">
      <x:c r="A114" s="73"/>
      <x:c r="B114" s="73"/>
      <x:c r="C114" s="74"/>
      <x:c r="D114" s="73"/>
      <x:c r="E114" s="73"/>
      <x:c r="F114" s="75"/>
      <x:c r="G114" s="75"/>
      <x:c r="H114" s="76" t="str">
        <x:f>IF(A114="","",F114-G114)</x:f>
      </x:c>
      <x:c r="I114" s="77" t="str">
        <x:f>IF(A114="","",IF(E114="","기타/불명",IF(IFERROR(SEARCH("급여",E114),0)&gt;0,"인건비",IF(IFERROR(SEARCH("임차",E114),0)&gt;0,"임차·시설",IF(IFERROR(SEARCH("광고",E114),0)&gt;0,"광고·행사",IF(IFERROR(SEARCH("용역",E114),0)&gt;0,"용역·수수료","기타/불명"))))))</x:f>
      </x:c>
      <x:c r="J114" s="77" t="str">
        <x:f>IF(A114="","",IF(I114="기타/불명","확인 필요","결의서명으로 1차 확인"))</x:f>
      </x:c>
      <x:c r="K114" s="78"/>
    </x:row>
    <x:row r="115">
      <x:c r="A115" s="73"/>
      <x:c r="B115" s="73"/>
      <x:c r="C115" s="74"/>
      <x:c r="D115" s="73"/>
      <x:c r="E115" s="73"/>
      <x:c r="F115" s="75"/>
      <x:c r="G115" s="75"/>
      <x:c r="H115" s="76" t="str">
        <x:f>IF(A115="","",F115-G115)</x:f>
      </x:c>
      <x:c r="I115" s="77" t="str">
        <x:f>IF(A115="","",IF(E115="","기타/불명",IF(IFERROR(SEARCH("급여",E115),0)&gt;0,"인건비",IF(IFERROR(SEARCH("임차",E115),0)&gt;0,"임차·시설",IF(IFERROR(SEARCH("광고",E115),0)&gt;0,"광고·행사",IF(IFERROR(SEARCH("용역",E115),0)&gt;0,"용역·수수료","기타/불명"))))))</x:f>
      </x:c>
      <x:c r="J115" s="77" t="str">
        <x:f>IF(A115="","",IF(I115="기타/불명","확인 필요","결의서명으로 1차 확인"))</x:f>
      </x:c>
      <x:c r="K115" s="78"/>
    </x:row>
    <x:row r="116">
      <x:c r="A116" s="73"/>
      <x:c r="B116" s="73"/>
      <x:c r="C116" s="74"/>
      <x:c r="D116" s="73"/>
      <x:c r="E116" s="73"/>
      <x:c r="F116" s="75"/>
      <x:c r="G116" s="75"/>
      <x:c r="H116" s="76" t="str">
        <x:f>IF(A116="","",F116-G116)</x:f>
      </x:c>
      <x:c r="I116" s="77" t="str">
        <x:f>IF(A116="","",IF(E116="","기타/불명",IF(IFERROR(SEARCH("급여",E116),0)&gt;0,"인건비",IF(IFERROR(SEARCH("임차",E116),0)&gt;0,"임차·시설",IF(IFERROR(SEARCH("광고",E116),0)&gt;0,"광고·행사",IF(IFERROR(SEARCH("용역",E116),0)&gt;0,"용역·수수료","기타/불명"))))))</x:f>
      </x:c>
      <x:c r="J116" s="77" t="str">
        <x:f>IF(A116="","",IF(I116="기타/불명","확인 필요","결의서명으로 1차 확인"))</x:f>
      </x:c>
      <x:c r="K116" s="78"/>
    </x:row>
    <x:row r="117">
      <x:c r="A117" s="73"/>
      <x:c r="B117" s="73"/>
      <x:c r="C117" s="74"/>
      <x:c r="D117" s="73"/>
      <x:c r="E117" s="73"/>
      <x:c r="F117" s="75"/>
      <x:c r="G117" s="75"/>
      <x:c r="H117" s="76" t="str">
        <x:f>IF(A117="","",F117-G117)</x:f>
      </x:c>
      <x:c r="I117" s="77" t="str">
        <x:f>IF(A117="","",IF(E117="","기타/불명",IF(IFERROR(SEARCH("급여",E117),0)&gt;0,"인건비",IF(IFERROR(SEARCH("임차",E117),0)&gt;0,"임차·시설",IF(IFERROR(SEARCH("광고",E117),0)&gt;0,"광고·행사",IF(IFERROR(SEARCH("용역",E117),0)&gt;0,"용역·수수료","기타/불명"))))))</x:f>
      </x:c>
      <x:c r="J117" s="77" t="str">
        <x:f>IF(A117="","",IF(I117="기타/불명","확인 필요","결의서명으로 1차 확인"))</x:f>
      </x:c>
      <x:c r="K117" s="78"/>
    </x:row>
    <x:row r="118">
      <x:c r="A118" s="73"/>
      <x:c r="B118" s="73"/>
      <x:c r="C118" s="74"/>
      <x:c r="D118" s="73"/>
      <x:c r="E118" s="73"/>
      <x:c r="F118" s="75"/>
      <x:c r="G118" s="75"/>
      <x:c r="H118" s="76" t="str">
        <x:f>IF(A118="","",F118-G118)</x:f>
      </x:c>
      <x:c r="I118" s="77" t="str">
        <x:f>IF(A118="","",IF(E118="","기타/불명",IF(IFERROR(SEARCH("급여",E118),0)&gt;0,"인건비",IF(IFERROR(SEARCH("임차",E118),0)&gt;0,"임차·시설",IF(IFERROR(SEARCH("광고",E118),0)&gt;0,"광고·행사",IF(IFERROR(SEARCH("용역",E118),0)&gt;0,"용역·수수료","기타/불명"))))))</x:f>
      </x:c>
      <x:c r="J118" s="77" t="str">
        <x:f>IF(A118="","",IF(I118="기타/불명","확인 필요","결의서명으로 1차 확인"))</x:f>
      </x:c>
      <x:c r="K118" s="78"/>
    </x:row>
    <x:row r="119">
      <x:c r="A119" s="73"/>
      <x:c r="B119" s="73"/>
      <x:c r="C119" s="74"/>
      <x:c r="D119" s="73"/>
      <x:c r="E119" s="73"/>
      <x:c r="F119" s="75"/>
      <x:c r="G119" s="75"/>
      <x:c r="H119" s="76" t="str">
        <x:f>IF(A119="","",F119-G119)</x:f>
      </x:c>
      <x:c r="I119" s="77" t="str">
        <x:f>IF(A119="","",IF(E119="","기타/불명",IF(IFERROR(SEARCH("급여",E119),0)&gt;0,"인건비",IF(IFERROR(SEARCH("임차",E119),0)&gt;0,"임차·시설",IF(IFERROR(SEARCH("광고",E119),0)&gt;0,"광고·행사",IF(IFERROR(SEARCH("용역",E119),0)&gt;0,"용역·수수료","기타/불명"))))))</x:f>
      </x:c>
      <x:c r="J119" s="77" t="str">
        <x:f>IF(A119="","",IF(I119="기타/불명","확인 필요","결의서명으로 1차 확인"))</x:f>
      </x:c>
      <x:c r="K119" s="78"/>
    </x:row>
    <x:row r="120">
      <x:c r="A120" s="73"/>
      <x:c r="B120" s="73"/>
      <x:c r="C120" s="74"/>
      <x:c r="D120" s="73"/>
      <x:c r="E120" s="73"/>
      <x:c r="F120" s="75"/>
      <x:c r="G120" s="75"/>
      <x:c r="H120" s="76" t="str">
        <x:f>IF(A120="","",F120-G120)</x:f>
      </x:c>
      <x:c r="I120" s="77" t="str">
        <x:f>IF(A120="","",IF(E120="","기타/불명",IF(IFERROR(SEARCH("급여",E120),0)&gt;0,"인건비",IF(IFERROR(SEARCH("임차",E120),0)&gt;0,"임차·시설",IF(IFERROR(SEARCH("광고",E120),0)&gt;0,"광고·행사",IF(IFERROR(SEARCH("용역",E120),0)&gt;0,"용역·수수료","기타/불명"))))))</x:f>
      </x:c>
      <x:c r="J120" s="77" t="str">
        <x:f>IF(A120="","",IF(I120="기타/불명","확인 필요","결의서명으로 1차 확인"))</x:f>
      </x:c>
      <x:c r="K120" s="78"/>
    </x:row>
    <x:row r="121">
      <x:c r="A121" s="73"/>
      <x:c r="B121" s="73"/>
      <x:c r="C121" s="74"/>
      <x:c r="D121" s="73"/>
      <x:c r="E121" s="73"/>
      <x:c r="F121" s="75"/>
      <x:c r="G121" s="75"/>
      <x:c r="H121" s="76" t="str">
        <x:f>IF(A121="","",F121-G121)</x:f>
      </x:c>
      <x:c r="I121" s="77" t="str">
        <x:f>IF(A121="","",IF(E121="","기타/불명",IF(IFERROR(SEARCH("급여",E121),0)&gt;0,"인건비",IF(IFERROR(SEARCH("임차",E121),0)&gt;0,"임차·시설",IF(IFERROR(SEARCH("광고",E121),0)&gt;0,"광고·행사",IF(IFERROR(SEARCH("용역",E121),0)&gt;0,"용역·수수료","기타/불명"))))))</x:f>
      </x:c>
      <x:c r="J121" s="77" t="str">
        <x:f>IF(A121="","",IF(I121="기타/불명","확인 필요","결의서명으로 1차 확인"))</x:f>
      </x:c>
      <x:c r="K121" s="78"/>
    </x:row>
    <x:row r="122">
      <x:c r="A122" s="73"/>
      <x:c r="B122" s="73"/>
      <x:c r="C122" s="74"/>
      <x:c r="D122" s="73"/>
      <x:c r="E122" s="73"/>
      <x:c r="F122" s="75"/>
      <x:c r="G122" s="75"/>
      <x:c r="H122" s="76" t="str">
        <x:f>IF(A122="","",F122-G122)</x:f>
      </x:c>
      <x:c r="I122" s="77" t="str">
        <x:f>IF(A122="","",IF(E122="","기타/불명",IF(IFERROR(SEARCH("급여",E122),0)&gt;0,"인건비",IF(IFERROR(SEARCH("임차",E122),0)&gt;0,"임차·시설",IF(IFERROR(SEARCH("광고",E122),0)&gt;0,"광고·행사",IF(IFERROR(SEARCH("용역",E122),0)&gt;0,"용역·수수료","기타/불명"))))))</x:f>
      </x:c>
      <x:c r="J122" s="77" t="str">
        <x:f>IF(A122="","",IF(I122="기타/불명","확인 필요","결의서명으로 1차 확인"))</x:f>
      </x:c>
      <x:c r="K122" s="78"/>
    </x:row>
    <x:row r="123">
      <x:c r="A123" s="73"/>
      <x:c r="B123" s="73"/>
      <x:c r="C123" s="74"/>
      <x:c r="D123" s="73"/>
      <x:c r="E123" s="73"/>
      <x:c r="F123" s="75"/>
      <x:c r="G123" s="75"/>
      <x:c r="H123" s="76" t="str">
        <x:f>IF(A123="","",F123-G123)</x:f>
      </x:c>
      <x:c r="I123" s="77" t="str">
        <x:f>IF(A123="","",IF(E123="","기타/불명",IF(IFERROR(SEARCH("급여",E123),0)&gt;0,"인건비",IF(IFERROR(SEARCH("임차",E123),0)&gt;0,"임차·시설",IF(IFERROR(SEARCH("광고",E123),0)&gt;0,"광고·행사",IF(IFERROR(SEARCH("용역",E123),0)&gt;0,"용역·수수료","기타/불명"))))))</x:f>
      </x:c>
      <x:c r="J123" s="77" t="str">
        <x:f>IF(A123="","",IF(I123="기타/불명","확인 필요","결의서명으로 1차 확인"))</x:f>
      </x:c>
      <x:c r="K123" s="78"/>
    </x:row>
    <x:row r="124">
      <x:c r="A124" s="73"/>
      <x:c r="B124" s="73"/>
      <x:c r="C124" s="74"/>
      <x:c r="D124" s="73"/>
      <x:c r="E124" s="73"/>
      <x:c r="F124" s="75"/>
      <x:c r="G124" s="75"/>
      <x:c r="H124" s="76" t="str">
        <x:f>IF(A124="","",F124-G124)</x:f>
      </x:c>
      <x:c r="I124" s="77" t="str">
        <x:f>IF(A124="","",IF(E124="","기타/불명",IF(IFERROR(SEARCH("급여",E124),0)&gt;0,"인건비",IF(IFERROR(SEARCH("임차",E124),0)&gt;0,"임차·시설",IF(IFERROR(SEARCH("광고",E124),0)&gt;0,"광고·행사",IF(IFERROR(SEARCH("용역",E124),0)&gt;0,"용역·수수료","기타/불명"))))))</x:f>
      </x:c>
      <x:c r="J124" s="77" t="str">
        <x:f>IF(A124="","",IF(I124="기타/불명","확인 필요","결의서명으로 1차 확인"))</x:f>
      </x:c>
      <x:c r="K124" s="78"/>
    </x:row>
    <x:row r="125">
      <x:c r="A125" s="73"/>
      <x:c r="B125" s="73"/>
      <x:c r="C125" s="74"/>
      <x:c r="D125" s="73"/>
      <x:c r="E125" s="73"/>
      <x:c r="F125" s="75"/>
      <x:c r="G125" s="75"/>
      <x:c r="H125" s="76" t="str">
        <x:f>IF(A125="","",F125-G125)</x:f>
      </x:c>
      <x:c r="I125" s="77" t="str">
        <x:f>IF(A125="","",IF(E125="","기타/불명",IF(IFERROR(SEARCH("급여",E125),0)&gt;0,"인건비",IF(IFERROR(SEARCH("임차",E125),0)&gt;0,"임차·시설",IF(IFERROR(SEARCH("광고",E125),0)&gt;0,"광고·행사",IF(IFERROR(SEARCH("용역",E125),0)&gt;0,"용역·수수료","기타/불명"))))))</x:f>
      </x:c>
      <x:c r="J125" s="77" t="str">
        <x:f>IF(A125="","",IF(I125="기타/불명","확인 필요","결의서명으로 1차 확인"))</x:f>
      </x:c>
      <x:c r="K125" s="78"/>
    </x:row>
    <x:row r="126">
      <x:c r="A126" s="73"/>
      <x:c r="B126" s="73"/>
      <x:c r="C126" s="74"/>
      <x:c r="D126" s="73"/>
      <x:c r="E126" s="73"/>
      <x:c r="F126" s="75"/>
      <x:c r="G126" s="75"/>
      <x:c r="H126" s="76" t="str">
        <x:f>IF(A126="","",F126-G126)</x:f>
      </x:c>
      <x:c r="I126" s="77" t="str">
        <x:f>IF(A126="","",IF(E126="","기타/불명",IF(IFERROR(SEARCH("급여",E126),0)&gt;0,"인건비",IF(IFERROR(SEARCH("임차",E126),0)&gt;0,"임차·시설",IF(IFERROR(SEARCH("광고",E126),0)&gt;0,"광고·행사",IF(IFERROR(SEARCH("용역",E126),0)&gt;0,"용역·수수료","기타/불명"))))))</x:f>
      </x:c>
      <x:c r="J126" s="77" t="str">
        <x:f>IF(A126="","",IF(I126="기타/불명","확인 필요","결의서명으로 1차 확인"))</x:f>
      </x:c>
      <x:c r="K126" s="78"/>
    </x:row>
    <x:row r="127">
      <x:c r="A127" s="73"/>
      <x:c r="B127" s="73"/>
      <x:c r="C127" s="74"/>
      <x:c r="D127" s="73"/>
      <x:c r="E127" s="73"/>
      <x:c r="F127" s="75"/>
      <x:c r="G127" s="75"/>
      <x:c r="H127" s="76" t="str">
        <x:f>IF(A127="","",F127-G127)</x:f>
      </x:c>
      <x:c r="I127" s="77" t="str">
        <x:f>IF(A127="","",IF(E127="","기타/불명",IF(IFERROR(SEARCH("급여",E127),0)&gt;0,"인건비",IF(IFERROR(SEARCH("임차",E127),0)&gt;0,"임차·시설",IF(IFERROR(SEARCH("광고",E127),0)&gt;0,"광고·행사",IF(IFERROR(SEARCH("용역",E127),0)&gt;0,"용역·수수료","기타/불명"))))))</x:f>
      </x:c>
      <x:c r="J127" s="77" t="str">
        <x:f>IF(A127="","",IF(I127="기타/불명","확인 필요","결의서명으로 1차 확인"))</x:f>
      </x:c>
      <x:c r="K127" s="78"/>
    </x:row>
    <x:row r="128">
      <x:c r="A128" s="73"/>
      <x:c r="B128" s="73"/>
      <x:c r="C128" s="74"/>
      <x:c r="D128" s="73"/>
      <x:c r="E128" s="73"/>
      <x:c r="F128" s="75"/>
      <x:c r="G128" s="75"/>
      <x:c r="H128" s="76" t="str">
        <x:f>IF(A128="","",F128-G128)</x:f>
      </x:c>
      <x:c r="I128" s="77" t="str">
        <x:f>IF(A128="","",IF(E128="","기타/불명",IF(IFERROR(SEARCH("급여",E128),0)&gt;0,"인건비",IF(IFERROR(SEARCH("임차",E128),0)&gt;0,"임차·시설",IF(IFERROR(SEARCH("광고",E128),0)&gt;0,"광고·행사",IF(IFERROR(SEARCH("용역",E128),0)&gt;0,"용역·수수료","기타/불명"))))))</x:f>
      </x:c>
      <x:c r="J128" s="77" t="str">
        <x:f>IF(A128="","",IF(I128="기타/불명","확인 필요","결의서명으로 1차 확인"))</x:f>
      </x:c>
      <x:c r="K128" s="78"/>
    </x:row>
    <x:row r="129">
      <x:c r="A129" s="73"/>
      <x:c r="B129" s="73"/>
      <x:c r="C129" s="74"/>
      <x:c r="D129" s="73"/>
      <x:c r="E129" s="73"/>
      <x:c r="F129" s="75"/>
      <x:c r="G129" s="75"/>
      <x:c r="H129" s="76" t="str">
        <x:f>IF(A129="","",F129-G129)</x:f>
      </x:c>
      <x:c r="I129" s="77" t="str">
        <x:f>IF(A129="","",IF(E129="","기타/불명",IF(IFERROR(SEARCH("급여",E129),0)&gt;0,"인건비",IF(IFERROR(SEARCH("임차",E129),0)&gt;0,"임차·시설",IF(IFERROR(SEARCH("광고",E129),0)&gt;0,"광고·행사",IF(IFERROR(SEARCH("용역",E129),0)&gt;0,"용역·수수료","기타/불명"))))))</x:f>
      </x:c>
      <x:c r="J129" s="77" t="str">
        <x:f>IF(A129="","",IF(I129="기타/불명","확인 필요","결의서명으로 1차 확인"))</x:f>
      </x:c>
      <x:c r="K129" s="78"/>
    </x:row>
    <x:row r="130">
      <x:c r="A130" s="73"/>
      <x:c r="B130" s="73"/>
      <x:c r="C130" s="74"/>
      <x:c r="D130" s="73"/>
      <x:c r="E130" s="73"/>
      <x:c r="F130" s="75"/>
      <x:c r="G130" s="75"/>
      <x:c r="H130" s="76" t="str">
        <x:f>IF(A130="","",F130-G130)</x:f>
      </x:c>
      <x:c r="I130" s="77" t="str">
        <x:f>IF(A130="","",IF(E130="","기타/불명",IF(IFERROR(SEARCH("급여",E130),0)&gt;0,"인건비",IF(IFERROR(SEARCH("임차",E130),0)&gt;0,"임차·시설",IF(IFERROR(SEARCH("광고",E130),0)&gt;0,"광고·행사",IF(IFERROR(SEARCH("용역",E130),0)&gt;0,"용역·수수료","기타/불명"))))))</x:f>
      </x:c>
      <x:c r="J130" s="77" t="str">
        <x:f>IF(A130="","",IF(I130="기타/불명","확인 필요","결의서명으로 1차 확인"))</x:f>
      </x:c>
      <x:c r="K130" s="78"/>
    </x:row>
    <x:row r="131">
      <x:c r="A131" s="73"/>
      <x:c r="B131" s="73"/>
      <x:c r="C131" s="74"/>
      <x:c r="D131" s="73"/>
      <x:c r="E131" s="73"/>
      <x:c r="F131" s="75"/>
      <x:c r="G131" s="75"/>
      <x:c r="H131" s="76" t="str">
        <x:f>IF(A131="","",F131-G131)</x:f>
      </x:c>
      <x:c r="I131" s="77" t="str">
        <x:f>IF(A131="","",IF(E131="","기타/불명",IF(IFERROR(SEARCH("급여",E131),0)&gt;0,"인건비",IF(IFERROR(SEARCH("임차",E131),0)&gt;0,"임차·시설",IF(IFERROR(SEARCH("광고",E131),0)&gt;0,"광고·행사",IF(IFERROR(SEARCH("용역",E131),0)&gt;0,"용역·수수료","기타/불명"))))))</x:f>
      </x:c>
      <x:c r="J131" s="77" t="str">
        <x:f>IF(A131="","",IF(I131="기타/불명","확인 필요","결의서명으로 1차 확인"))</x:f>
      </x:c>
      <x:c r="K131" s="78"/>
    </x:row>
    <x:row r="132">
      <x:c r="A132" s="73"/>
      <x:c r="B132" s="73"/>
      <x:c r="C132" s="74"/>
      <x:c r="D132" s="73"/>
      <x:c r="E132" s="73"/>
      <x:c r="F132" s="75"/>
      <x:c r="G132" s="75"/>
      <x:c r="H132" s="76" t="str">
        <x:f>IF(A132="","",F132-G132)</x:f>
      </x:c>
      <x:c r="I132" s="77" t="str">
        <x:f>IF(A132="","",IF(E132="","기타/불명",IF(IFERROR(SEARCH("급여",E132),0)&gt;0,"인건비",IF(IFERROR(SEARCH("임차",E132),0)&gt;0,"임차·시설",IF(IFERROR(SEARCH("광고",E132),0)&gt;0,"광고·행사",IF(IFERROR(SEARCH("용역",E132),0)&gt;0,"용역·수수료","기타/불명"))))))</x:f>
      </x:c>
      <x:c r="J132" s="77" t="str">
        <x:f>IF(A132="","",IF(I132="기타/불명","확인 필요","결의서명으로 1차 확인"))</x:f>
      </x:c>
      <x:c r="K132" s="78"/>
    </x:row>
    <x:row r="133">
      <x:c r="A133" s="73"/>
      <x:c r="B133" s="73"/>
      <x:c r="C133" s="74"/>
      <x:c r="D133" s="73"/>
      <x:c r="E133" s="73"/>
      <x:c r="F133" s="75"/>
      <x:c r="G133" s="75"/>
      <x:c r="H133" s="76" t="str">
        <x:f>IF(A133="","",F133-G133)</x:f>
      </x:c>
      <x:c r="I133" s="77" t="str">
        <x:f>IF(A133="","",IF(E133="","기타/불명",IF(IFERROR(SEARCH("급여",E133),0)&gt;0,"인건비",IF(IFERROR(SEARCH("임차",E133),0)&gt;0,"임차·시설",IF(IFERROR(SEARCH("광고",E133),0)&gt;0,"광고·행사",IF(IFERROR(SEARCH("용역",E133),0)&gt;0,"용역·수수료","기타/불명"))))))</x:f>
      </x:c>
      <x:c r="J133" s="77" t="str">
        <x:f>IF(A133="","",IF(I133="기타/불명","확인 필요","결의서명으로 1차 확인"))</x:f>
      </x:c>
      <x:c r="K133" s="78"/>
    </x:row>
    <x:row r="134">
      <x:c r="A134" s="73"/>
      <x:c r="B134" s="73"/>
      <x:c r="C134" s="74"/>
      <x:c r="D134" s="73"/>
      <x:c r="E134" s="73"/>
      <x:c r="F134" s="75"/>
      <x:c r="G134" s="75"/>
      <x:c r="H134" s="76" t="str">
        <x:f>IF(A134="","",F134-G134)</x:f>
      </x:c>
      <x:c r="I134" s="77" t="str">
        <x:f>IF(A134="","",IF(E134="","기타/불명",IF(IFERROR(SEARCH("급여",E134),0)&gt;0,"인건비",IF(IFERROR(SEARCH("임차",E134),0)&gt;0,"임차·시설",IF(IFERROR(SEARCH("광고",E134),0)&gt;0,"광고·행사",IF(IFERROR(SEARCH("용역",E134),0)&gt;0,"용역·수수료","기타/불명"))))))</x:f>
      </x:c>
      <x:c r="J134" s="77" t="str">
        <x:f>IF(A134="","",IF(I134="기타/불명","확인 필요","결의서명으로 1차 확인"))</x:f>
      </x:c>
      <x:c r="K134" s="78"/>
    </x:row>
    <x:row r="135">
      <x:c r="A135" s="73"/>
      <x:c r="B135" s="73"/>
      <x:c r="C135" s="74"/>
      <x:c r="D135" s="73"/>
      <x:c r="E135" s="73"/>
      <x:c r="F135" s="75"/>
      <x:c r="G135" s="75"/>
      <x:c r="H135" s="76" t="str">
        <x:f>IF(A135="","",F135-G135)</x:f>
      </x:c>
      <x:c r="I135" s="77" t="str">
        <x:f>IF(A135="","",IF(E135="","기타/불명",IF(IFERROR(SEARCH("급여",E135),0)&gt;0,"인건비",IF(IFERROR(SEARCH("임차",E135),0)&gt;0,"임차·시설",IF(IFERROR(SEARCH("광고",E135),0)&gt;0,"광고·행사",IF(IFERROR(SEARCH("용역",E135),0)&gt;0,"용역·수수료","기타/불명"))))))</x:f>
      </x:c>
      <x:c r="J135" s="77" t="str">
        <x:f>IF(A135="","",IF(I135="기타/불명","확인 필요","결의서명으로 1차 확인"))</x:f>
      </x:c>
      <x:c r="K135" s="78"/>
    </x:row>
    <x:row r="136">
      <x:c r="A136" s="73"/>
      <x:c r="B136" s="73"/>
      <x:c r="C136" s="74"/>
      <x:c r="D136" s="73"/>
      <x:c r="E136" s="73"/>
      <x:c r="F136" s="75"/>
      <x:c r="G136" s="75"/>
      <x:c r="H136" s="76" t="str">
        <x:f>IF(A136="","",F136-G136)</x:f>
      </x:c>
      <x:c r="I136" s="77" t="str">
        <x:f>IF(A136="","",IF(E136="","기타/불명",IF(IFERROR(SEARCH("급여",E136),0)&gt;0,"인건비",IF(IFERROR(SEARCH("임차",E136),0)&gt;0,"임차·시설",IF(IFERROR(SEARCH("광고",E136),0)&gt;0,"광고·행사",IF(IFERROR(SEARCH("용역",E136),0)&gt;0,"용역·수수료","기타/불명"))))))</x:f>
      </x:c>
      <x:c r="J136" s="77" t="str">
        <x:f>IF(A136="","",IF(I136="기타/불명","확인 필요","결의서명으로 1차 확인"))</x:f>
      </x:c>
      <x:c r="K136" s="78"/>
    </x:row>
    <x:row r="137">
      <x:c r="A137" s="73"/>
      <x:c r="B137" s="73"/>
      <x:c r="C137" s="74"/>
      <x:c r="D137" s="73"/>
      <x:c r="E137" s="73"/>
      <x:c r="F137" s="75"/>
      <x:c r="G137" s="75"/>
      <x:c r="H137" s="76" t="str">
        <x:f>IF(A137="","",F137-G137)</x:f>
      </x:c>
      <x:c r="I137" s="77" t="str">
        <x:f>IF(A137="","",IF(E137="","기타/불명",IF(IFERROR(SEARCH("급여",E137),0)&gt;0,"인건비",IF(IFERROR(SEARCH("임차",E137),0)&gt;0,"임차·시설",IF(IFERROR(SEARCH("광고",E137),0)&gt;0,"광고·행사",IF(IFERROR(SEARCH("용역",E137),0)&gt;0,"용역·수수료","기타/불명"))))))</x:f>
      </x:c>
      <x:c r="J137" s="77" t="str">
        <x:f>IF(A137="","",IF(I137="기타/불명","확인 필요","결의서명으로 1차 확인"))</x:f>
      </x:c>
      <x:c r="K137" s="78"/>
    </x:row>
    <x:row r="138">
      <x:c r="A138" s="73"/>
      <x:c r="B138" s="73"/>
      <x:c r="C138" s="74"/>
      <x:c r="D138" s="73"/>
      <x:c r="E138" s="73"/>
      <x:c r="F138" s="75"/>
      <x:c r="G138" s="75"/>
      <x:c r="H138" s="76" t="str">
        <x:f>IF(A138="","",F138-G138)</x:f>
      </x:c>
      <x:c r="I138" s="77" t="str">
        <x:f>IF(A138="","",IF(E138="","기타/불명",IF(IFERROR(SEARCH("급여",E138),0)&gt;0,"인건비",IF(IFERROR(SEARCH("임차",E138),0)&gt;0,"임차·시설",IF(IFERROR(SEARCH("광고",E138),0)&gt;0,"광고·행사",IF(IFERROR(SEARCH("용역",E138),0)&gt;0,"용역·수수료","기타/불명"))))))</x:f>
      </x:c>
      <x:c r="J138" s="77" t="str">
        <x:f>IF(A138="","",IF(I138="기타/불명","확인 필요","결의서명으로 1차 확인"))</x:f>
      </x:c>
      <x:c r="K138" s="78"/>
    </x:row>
    <x:row r="139">
      <x:c r="A139" s="73"/>
      <x:c r="B139" s="73"/>
      <x:c r="C139" s="74"/>
      <x:c r="D139" s="73"/>
      <x:c r="E139" s="73"/>
      <x:c r="F139" s="75"/>
      <x:c r="G139" s="75"/>
      <x:c r="H139" s="76" t="str">
        <x:f>IF(A139="","",F139-G139)</x:f>
      </x:c>
      <x:c r="I139" s="77" t="str">
        <x:f>IF(A139="","",IF(E139="","기타/불명",IF(IFERROR(SEARCH("급여",E139),0)&gt;0,"인건비",IF(IFERROR(SEARCH("임차",E139),0)&gt;0,"임차·시설",IF(IFERROR(SEARCH("광고",E139),0)&gt;0,"광고·행사",IF(IFERROR(SEARCH("용역",E139),0)&gt;0,"용역·수수료","기타/불명"))))))</x:f>
      </x:c>
      <x:c r="J139" s="77" t="str">
        <x:f>IF(A139="","",IF(I139="기타/불명","확인 필요","결의서명으로 1차 확인"))</x:f>
      </x:c>
      <x:c r="K139" s="78"/>
    </x:row>
    <x:row r="140">
      <x:c r="A140" s="73"/>
      <x:c r="B140" s="73"/>
      <x:c r="C140" s="74"/>
      <x:c r="D140" s="73"/>
      <x:c r="E140" s="73"/>
      <x:c r="F140" s="75"/>
      <x:c r="G140" s="75"/>
      <x:c r="H140" s="76" t="str">
        <x:f>IF(A140="","",F140-G140)</x:f>
      </x:c>
      <x:c r="I140" s="77" t="str">
        <x:f>IF(A140="","",IF(E140="","기타/불명",IF(IFERROR(SEARCH("급여",E140),0)&gt;0,"인건비",IF(IFERROR(SEARCH("임차",E140),0)&gt;0,"임차·시설",IF(IFERROR(SEARCH("광고",E140),0)&gt;0,"광고·행사",IF(IFERROR(SEARCH("용역",E140),0)&gt;0,"용역·수수료","기타/불명"))))))</x:f>
      </x:c>
      <x:c r="J140" s="77" t="str">
        <x:f>IF(A140="","",IF(I140="기타/불명","확인 필요","결의서명으로 1차 확인"))</x:f>
      </x:c>
      <x:c r="K140" s="78"/>
    </x:row>
    <x:row r="141">
      <x:c r="A141" s="73"/>
      <x:c r="B141" s="73"/>
      <x:c r="C141" s="74"/>
      <x:c r="D141" s="73"/>
      <x:c r="E141" s="73"/>
      <x:c r="F141" s="75"/>
      <x:c r="G141" s="75"/>
      <x:c r="H141" s="76" t="str">
        <x:f>IF(A141="","",F141-G141)</x:f>
      </x:c>
      <x:c r="I141" s="77" t="str">
        <x:f>IF(A141="","",IF(E141="","기타/불명",IF(IFERROR(SEARCH("급여",E141),0)&gt;0,"인건비",IF(IFERROR(SEARCH("임차",E141),0)&gt;0,"임차·시설",IF(IFERROR(SEARCH("광고",E141),0)&gt;0,"광고·행사",IF(IFERROR(SEARCH("용역",E141),0)&gt;0,"용역·수수료","기타/불명"))))))</x:f>
      </x:c>
      <x:c r="J141" s="77" t="str">
        <x:f>IF(A141="","",IF(I141="기타/불명","확인 필요","결의서명으로 1차 확인"))</x:f>
      </x:c>
      <x:c r="K141" s="78"/>
    </x:row>
    <x:row r="142">
      <x:c r="A142" s="73"/>
      <x:c r="B142" s="73"/>
      <x:c r="C142" s="74"/>
      <x:c r="D142" s="73"/>
      <x:c r="E142" s="73"/>
      <x:c r="F142" s="75"/>
      <x:c r="G142" s="75"/>
      <x:c r="H142" s="76" t="str">
        <x:f>IF(A142="","",F142-G142)</x:f>
      </x:c>
      <x:c r="I142" s="77" t="str">
        <x:f>IF(A142="","",IF(E142="","기타/불명",IF(IFERROR(SEARCH("급여",E142),0)&gt;0,"인건비",IF(IFERROR(SEARCH("임차",E142),0)&gt;0,"임차·시설",IF(IFERROR(SEARCH("광고",E142),0)&gt;0,"광고·행사",IF(IFERROR(SEARCH("용역",E142),0)&gt;0,"용역·수수료","기타/불명"))))))</x:f>
      </x:c>
      <x:c r="J142" s="77" t="str">
        <x:f>IF(A142="","",IF(I142="기타/불명","확인 필요","결의서명으로 1차 확인"))</x:f>
      </x:c>
      <x:c r="K142" s="78"/>
    </x:row>
    <x:row r="143">
      <x:c r="A143" s="73"/>
      <x:c r="B143" s="73"/>
      <x:c r="C143" s="74"/>
      <x:c r="D143" s="73"/>
      <x:c r="E143" s="73"/>
      <x:c r="F143" s="75"/>
      <x:c r="G143" s="75"/>
      <x:c r="H143" s="76" t="str">
        <x:f>IF(A143="","",F143-G143)</x:f>
      </x:c>
      <x:c r="I143" s="77" t="str">
        <x:f>IF(A143="","",IF(E143="","기타/불명",IF(IFERROR(SEARCH("급여",E143),0)&gt;0,"인건비",IF(IFERROR(SEARCH("임차",E143),0)&gt;0,"임차·시설",IF(IFERROR(SEARCH("광고",E143),0)&gt;0,"광고·행사",IF(IFERROR(SEARCH("용역",E143),0)&gt;0,"용역·수수료","기타/불명"))))))</x:f>
      </x:c>
      <x:c r="J143" s="77" t="str">
        <x:f>IF(A143="","",IF(I143="기타/불명","확인 필요","결의서명으로 1차 확인"))</x:f>
      </x:c>
      <x:c r="K143" s="78"/>
    </x:row>
    <x:row r="144">
      <x:c r="A144" s="73"/>
      <x:c r="B144" s="73"/>
      <x:c r="C144" s="74"/>
      <x:c r="D144" s="73"/>
      <x:c r="E144" s="73"/>
      <x:c r="F144" s="75"/>
      <x:c r="G144" s="75"/>
      <x:c r="H144" s="76" t="str">
        <x:f>IF(A144="","",F144-G144)</x:f>
      </x:c>
      <x:c r="I144" s="77" t="str">
        <x:f>IF(A144="","",IF(E144="","기타/불명",IF(IFERROR(SEARCH("급여",E144),0)&gt;0,"인건비",IF(IFERROR(SEARCH("임차",E144),0)&gt;0,"임차·시설",IF(IFERROR(SEARCH("광고",E144),0)&gt;0,"광고·행사",IF(IFERROR(SEARCH("용역",E144),0)&gt;0,"용역·수수료","기타/불명"))))))</x:f>
      </x:c>
      <x:c r="J144" s="77" t="str">
        <x:f>IF(A144="","",IF(I144="기타/불명","확인 필요","결의서명으로 1차 확인"))</x:f>
      </x:c>
      <x:c r="K144" s="78"/>
    </x:row>
    <x:row r="145">
      <x:c r="A145" s="73"/>
      <x:c r="B145" s="73"/>
      <x:c r="C145" s="74"/>
      <x:c r="D145" s="73"/>
      <x:c r="E145" s="73"/>
      <x:c r="F145" s="75"/>
      <x:c r="G145" s="75"/>
      <x:c r="H145" s="76" t="str">
        <x:f>IF(A145="","",F145-G145)</x:f>
      </x:c>
      <x:c r="I145" s="77" t="str">
        <x:f>IF(A145="","",IF(E145="","기타/불명",IF(IFERROR(SEARCH("급여",E145),0)&gt;0,"인건비",IF(IFERROR(SEARCH("임차",E145),0)&gt;0,"임차·시설",IF(IFERROR(SEARCH("광고",E145),0)&gt;0,"광고·행사",IF(IFERROR(SEARCH("용역",E145),0)&gt;0,"용역·수수료","기타/불명"))))))</x:f>
      </x:c>
      <x:c r="J145" s="77" t="str">
        <x:f>IF(A145="","",IF(I145="기타/불명","확인 필요","결의서명으로 1차 확인"))</x:f>
      </x:c>
      <x:c r="K145" s="78"/>
    </x:row>
    <x:row r="146">
      <x:c r="A146" s="73"/>
      <x:c r="B146" s="73"/>
      <x:c r="C146" s="74"/>
      <x:c r="D146" s="73"/>
      <x:c r="E146" s="73"/>
      <x:c r="F146" s="75"/>
      <x:c r="G146" s="75"/>
      <x:c r="H146" s="76" t="str">
        <x:f>IF(A146="","",F146-G146)</x:f>
      </x:c>
      <x:c r="I146" s="77" t="str">
        <x:f>IF(A146="","",IF(E146="","기타/불명",IF(IFERROR(SEARCH("급여",E146),0)&gt;0,"인건비",IF(IFERROR(SEARCH("임차",E146),0)&gt;0,"임차·시설",IF(IFERROR(SEARCH("광고",E146),0)&gt;0,"광고·행사",IF(IFERROR(SEARCH("용역",E146),0)&gt;0,"용역·수수료","기타/불명"))))))</x:f>
      </x:c>
      <x:c r="J146" s="77" t="str">
        <x:f>IF(A146="","",IF(I146="기타/불명","확인 필요","결의서명으로 1차 확인"))</x:f>
      </x:c>
      <x:c r="K146" s="78"/>
    </x:row>
    <x:row r="147">
      <x:c r="A147" s="73"/>
      <x:c r="B147" s="73"/>
      <x:c r="C147" s="74"/>
      <x:c r="D147" s="73"/>
      <x:c r="E147" s="73"/>
      <x:c r="F147" s="75"/>
      <x:c r="G147" s="75"/>
      <x:c r="H147" s="76" t="str">
        <x:f>IF(A147="","",F147-G147)</x:f>
      </x:c>
      <x:c r="I147" s="77" t="str">
        <x:f>IF(A147="","",IF(E147="","기타/불명",IF(IFERROR(SEARCH("급여",E147),0)&gt;0,"인건비",IF(IFERROR(SEARCH("임차",E147),0)&gt;0,"임차·시설",IF(IFERROR(SEARCH("광고",E147),0)&gt;0,"광고·행사",IF(IFERROR(SEARCH("용역",E147),0)&gt;0,"용역·수수료","기타/불명"))))))</x:f>
      </x:c>
      <x:c r="J147" s="77" t="str">
        <x:f>IF(A147="","",IF(I147="기타/불명","확인 필요","결의서명으로 1차 확인"))</x:f>
      </x:c>
      <x:c r="K147" s="78"/>
    </x:row>
    <x:row r="148">
      <x:c r="A148" s="73"/>
      <x:c r="B148" s="73"/>
      <x:c r="C148" s="74"/>
      <x:c r="D148" s="73"/>
      <x:c r="E148" s="73"/>
      <x:c r="F148" s="75"/>
      <x:c r="G148" s="75"/>
      <x:c r="H148" s="76" t="str">
        <x:f>IF(A148="","",F148-G148)</x:f>
      </x:c>
      <x:c r="I148" s="77" t="str">
        <x:f>IF(A148="","",IF(E148="","기타/불명",IF(IFERROR(SEARCH("급여",E148),0)&gt;0,"인건비",IF(IFERROR(SEARCH("임차",E148),0)&gt;0,"임차·시설",IF(IFERROR(SEARCH("광고",E148),0)&gt;0,"광고·행사",IF(IFERROR(SEARCH("용역",E148),0)&gt;0,"용역·수수료","기타/불명"))))))</x:f>
      </x:c>
      <x:c r="J148" s="77" t="str">
        <x:f>IF(A148="","",IF(I148="기타/불명","확인 필요","결의서명으로 1차 확인"))</x:f>
      </x:c>
      <x:c r="K148" s="78"/>
    </x:row>
    <x:row r="149">
      <x:c r="A149" s="73"/>
      <x:c r="B149" s="73"/>
      <x:c r="C149" s="74"/>
      <x:c r="D149" s="73"/>
      <x:c r="E149" s="73"/>
      <x:c r="F149" s="75"/>
      <x:c r="G149" s="75"/>
      <x:c r="H149" s="76" t="str">
        <x:f>IF(A149="","",F149-G149)</x:f>
      </x:c>
      <x:c r="I149" s="77" t="str">
        <x:f>IF(A149="","",IF(E149="","기타/불명",IF(IFERROR(SEARCH("급여",E149),0)&gt;0,"인건비",IF(IFERROR(SEARCH("임차",E149),0)&gt;0,"임차·시설",IF(IFERROR(SEARCH("광고",E149),0)&gt;0,"광고·행사",IF(IFERROR(SEARCH("용역",E149),0)&gt;0,"용역·수수료","기타/불명"))))))</x:f>
      </x:c>
      <x:c r="J149" s="77" t="str">
        <x:f>IF(A149="","",IF(I149="기타/불명","확인 필요","결의서명으로 1차 확인"))</x:f>
      </x:c>
      <x:c r="K149" s="78"/>
    </x:row>
    <x:row r="150">
      <x:c r="A150" s="73"/>
      <x:c r="B150" s="73"/>
      <x:c r="C150" s="74"/>
      <x:c r="D150" s="73"/>
      <x:c r="E150" s="73"/>
      <x:c r="F150" s="75"/>
      <x:c r="G150" s="75"/>
      <x:c r="H150" s="76" t="str">
        <x:f>IF(A150="","",F150-G150)</x:f>
      </x:c>
      <x:c r="I150" s="77" t="str">
        <x:f>IF(A150="","",IF(E150="","기타/불명",IF(IFERROR(SEARCH("급여",E150),0)&gt;0,"인건비",IF(IFERROR(SEARCH("임차",E150),0)&gt;0,"임차·시설",IF(IFERROR(SEARCH("광고",E150),0)&gt;0,"광고·행사",IF(IFERROR(SEARCH("용역",E150),0)&gt;0,"용역·수수료","기타/불명"))))))</x:f>
      </x:c>
      <x:c r="J150" s="77" t="str">
        <x:f>IF(A150="","",IF(I150="기타/불명","확인 필요","결의서명으로 1차 확인"))</x:f>
      </x:c>
      <x:c r="K150" s="78"/>
    </x:row>
    <x:row r="151">
      <x:c r="A151" s="73"/>
      <x:c r="B151" s="73"/>
      <x:c r="C151" s="74"/>
      <x:c r="D151" s="73"/>
      <x:c r="E151" s="73"/>
      <x:c r="F151" s="75"/>
      <x:c r="G151" s="75"/>
      <x:c r="H151" s="76" t="str">
        <x:f>IF(A151="","",F151-G151)</x:f>
      </x:c>
      <x:c r="I151" s="77" t="str">
        <x:f>IF(A151="","",IF(E151="","기타/불명",IF(IFERROR(SEARCH("급여",E151),0)&gt;0,"인건비",IF(IFERROR(SEARCH("임차",E151),0)&gt;0,"임차·시설",IF(IFERROR(SEARCH("광고",E151),0)&gt;0,"광고·행사",IF(IFERROR(SEARCH("용역",E151),0)&gt;0,"용역·수수료","기타/불명"))))))</x:f>
      </x:c>
      <x:c r="J151" s="77" t="str">
        <x:f>IF(A151="","",IF(I151="기타/불명","확인 필요","결의서명으로 1차 확인"))</x:f>
      </x:c>
      <x:c r="K151" s="78"/>
    </x:row>
    <x:row r="152">
      <x:c r="A152" s="73"/>
      <x:c r="B152" s="73"/>
      <x:c r="C152" s="74"/>
      <x:c r="D152" s="73"/>
      <x:c r="E152" s="73"/>
      <x:c r="F152" s="75"/>
      <x:c r="G152" s="75"/>
      <x:c r="H152" s="76" t="str">
        <x:f>IF(A152="","",F152-G152)</x:f>
      </x:c>
      <x:c r="I152" s="77" t="str">
        <x:f>IF(A152="","",IF(E152="","기타/불명",IF(IFERROR(SEARCH("급여",E152),0)&gt;0,"인건비",IF(IFERROR(SEARCH("임차",E152),0)&gt;0,"임차·시설",IF(IFERROR(SEARCH("광고",E152),0)&gt;0,"광고·행사",IF(IFERROR(SEARCH("용역",E152),0)&gt;0,"용역·수수료","기타/불명"))))))</x:f>
      </x:c>
      <x:c r="J152" s="77" t="str">
        <x:f>IF(A152="","",IF(I152="기타/불명","확인 필요","결의서명으로 1차 확인"))</x:f>
      </x:c>
      <x:c r="K152" s="78"/>
    </x:row>
    <x:row r="153">
      <x:c r="A153" s="73"/>
      <x:c r="B153" s="73"/>
      <x:c r="C153" s="74"/>
      <x:c r="D153" s="73"/>
      <x:c r="E153" s="73"/>
      <x:c r="F153" s="75"/>
      <x:c r="G153" s="75"/>
      <x:c r="H153" s="76" t="str">
        <x:f>IF(A153="","",F153-G153)</x:f>
      </x:c>
      <x:c r="I153" s="77" t="str">
        <x:f>IF(A153="","",IF(E153="","기타/불명",IF(IFERROR(SEARCH("급여",E153),0)&gt;0,"인건비",IF(IFERROR(SEARCH("임차",E153),0)&gt;0,"임차·시설",IF(IFERROR(SEARCH("광고",E153),0)&gt;0,"광고·행사",IF(IFERROR(SEARCH("용역",E153),0)&gt;0,"용역·수수료","기타/불명"))))))</x:f>
      </x:c>
      <x:c r="J153" s="77" t="str">
        <x:f>IF(A153="","",IF(I153="기타/불명","확인 필요","결의서명으로 1차 확인"))</x:f>
      </x:c>
      <x:c r="K153" s="78"/>
    </x:row>
    <x:row r="154">
      <x:c r="A154" s="73"/>
      <x:c r="B154" s="73"/>
      <x:c r="C154" s="74"/>
      <x:c r="D154" s="73"/>
      <x:c r="E154" s="73"/>
      <x:c r="F154" s="75"/>
      <x:c r="G154" s="75"/>
      <x:c r="H154" s="76" t="str">
        <x:f>IF(A154="","",F154-G154)</x:f>
      </x:c>
      <x:c r="I154" s="77" t="str">
        <x:f>IF(A154="","",IF(E154="","기타/불명",IF(IFERROR(SEARCH("급여",E154),0)&gt;0,"인건비",IF(IFERROR(SEARCH("임차",E154),0)&gt;0,"임차·시설",IF(IFERROR(SEARCH("광고",E154),0)&gt;0,"광고·행사",IF(IFERROR(SEARCH("용역",E154),0)&gt;0,"용역·수수료","기타/불명"))))))</x:f>
      </x:c>
      <x:c r="J154" s="77" t="str">
        <x:f>IF(A154="","",IF(I154="기타/불명","확인 필요","결의서명으로 1차 확인"))</x:f>
      </x:c>
      <x:c r="K154" s="78"/>
    </x:row>
    <x:row r="155">
      <x:c r="A155" s="73"/>
      <x:c r="B155" s="73"/>
      <x:c r="C155" s="74"/>
      <x:c r="D155" s="73"/>
      <x:c r="E155" s="73"/>
      <x:c r="F155" s="75"/>
      <x:c r="G155" s="75"/>
      <x:c r="H155" s="76" t="str">
        <x:f>IF(A155="","",F155-G155)</x:f>
      </x:c>
      <x:c r="I155" s="77" t="str">
        <x:f>IF(A155="","",IF(E155="","기타/불명",IF(IFERROR(SEARCH("급여",E155),0)&gt;0,"인건비",IF(IFERROR(SEARCH("임차",E155),0)&gt;0,"임차·시설",IF(IFERROR(SEARCH("광고",E155),0)&gt;0,"광고·행사",IF(IFERROR(SEARCH("용역",E155),0)&gt;0,"용역·수수료","기타/불명"))))))</x:f>
      </x:c>
      <x:c r="J155" s="77" t="str">
        <x:f>IF(A155="","",IF(I155="기타/불명","확인 필요","결의서명으로 1차 확인"))</x:f>
      </x:c>
      <x:c r="K155" s="78"/>
    </x:row>
    <x:row r="156">
      <x:c r="A156" s="73"/>
      <x:c r="B156" s="73"/>
      <x:c r="C156" s="74"/>
      <x:c r="D156" s="73"/>
      <x:c r="E156" s="73"/>
      <x:c r="F156" s="75"/>
      <x:c r="G156" s="75"/>
      <x:c r="H156" s="76" t="str">
        <x:f>IF(A156="","",F156-G156)</x:f>
      </x:c>
      <x:c r="I156" s="77" t="str">
        <x:f>IF(A156="","",IF(E156="","기타/불명",IF(IFERROR(SEARCH("급여",E156),0)&gt;0,"인건비",IF(IFERROR(SEARCH("임차",E156),0)&gt;0,"임차·시설",IF(IFERROR(SEARCH("광고",E156),0)&gt;0,"광고·행사",IF(IFERROR(SEARCH("용역",E156),0)&gt;0,"용역·수수료","기타/불명"))))))</x:f>
      </x:c>
      <x:c r="J156" s="77" t="str">
        <x:f>IF(A156="","",IF(I156="기타/불명","확인 필요","결의서명으로 1차 확인"))</x:f>
      </x:c>
      <x:c r="K156" s="78"/>
    </x:row>
    <x:row r="157">
      <x:c r="A157" s="73"/>
      <x:c r="B157" s="73"/>
      <x:c r="C157" s="74"/>
      <x:c r="D157" s="73"/>
      <x:c r="E157" s="73"/>
      <x:c r="F157" s="75"/>
      <x:c r="G157" s="75"/>
      <x:c r="H157" s="76" t="str">
        <x:f>IF(A157="","",F157-G157)</x:f>
      </x:c>
      <x:c r="I157" s="77" t="str">
        <x:f>IF(A157="","",IF(E157="","기타/불명",IF(IFERROR(SEARCH("급여",E157),0)&gt;0,"인건비",IF(IFERROR(SEARCH("임차",E157),0)&gt;0,"임차·시설",IF(IFERROR(SEARCH("광고",E157),0)&gt;0,"광고·행사",IF(IFERROR(SEARCH("용역",E157),0)&gt;0,"용역·수수료","기타/불명"))))))</x:f>
      </x:c>
      <x:c r="J157" s="77" t="str">
        <x:f>IF(A157="","",IF(I157="기타/불명","확인 필요","결의서명으로 1차 확인"))</x:f>
      </x:c>
      <x:c r="K157" s="78"/>
    </x:row>
    <x:row r="158">
      <x:c r="A158" s="73"/>
      <x:c r="B158" s="73"/>
      <x:c r="C158" s="74"/>
      <x:c r="D158" s="73"/>
      <x:c r="E158" s="73"/>
      <x:c r="F158" s="75"/>
      <x:c r="G158" s="75"/>
      <x:c r="H158" s="76" t="str">
        <x:f>IF(A158="","",F158-G158)</x:f>
      </x:c>
      <x:c r="I158" s="77" t="str">
        <x:f>IF(A158="","",IF(E158="","기타/불명",IF(IFERROR(SEARCH("급여",E158),0)&gt;0,"인건비",IF(IFERROR(SEARCH("임차",E158),0)&gt;0,"임차·시설",IF(IFERROR(SEARCH("광고",E158),0)&gt;0,"광고·행사",IF(IFERROR(SEARCH("용역",E158),0)&gt;0,"용역·수수료","기타/불명"))))))</x:f>
      </x:c>
      <x:c r="J158" s="77" t="str">
        <x:f>IF(A158="","",IF(I158="기타/불명","확인 필요","결의서명으로 1차 확인"))</x:f>
      </x:c>
      <x:c r="K158" s="78"/>
    </x:row>
    <x:row r="159">
      <x:c r="A159" s="73"/>
      <x:c r="B159" s="73"/>
      <x:c r="C159" s="74"/>
      <x:c r="D159" s="73"/>
      <x:c r="E159" s="73"/>
      <x:c r="F159" s="75"/>
      <x:c r="G159" s="75"/>
      <x:c r="H159" s="76" t="str">
        <x:f>IF(A159="","",F159-G159)</x:f>
      </x:c>
      <x:c r="I159" s="77" t="str">
        <x:f>IF(A159="","",IF(E159="","기타/불명",IF(IFERROR(SEARCH("급여",E159),0)&gt;0,"인건비",IF(IFERROR(SEARCH("임차",E159),0)&gt;0,"임차·시설",IF(IFERROR(SEARCH("광고",E159),0)&gt;0,"광고·행사",IF(IFERROR(SEARCH("용역",E159),0)&gt;0,"용역·수수료","기타/불명"))))))</x:f>
      </x:c>
      <x:c r="J159" s="77" t="str">
        <x:f>IF(A159="","",IF(I159="기타/불명","확인 필요","결의서명으로 1차 확인"))</x:f>
      </x:c>
      <x:c r="K159" s="78"/>
    </x:row>
    <x:row r="160">
      <x:c r="A160" s="73"/>
      <x:c r="B160" s="73"/>
      <x:c r="C160" s="74"/>
      <x:c r="D160" s="73"/>
      <x:c r="E160" s="73"/>
      <x:c r="F160" s="75"/>
      <x:c r="G160" s="75"/>
      <x:c r="H160" s="76" t="str">
        <x:f>IF(A160="","",F160-G160)</x:f>
      </x:c>
      <x:c r="I160" s="77" t="str">
        <x:f>IF(A160="","",IF(E160="","기타/불명",IF(IFERROR(SEARCH("급여",E160),0)&gt;0,"인건비",IF(IFERROR(SEARCH("임차",E160),0)&gt;0,"임차·시설",IF(IFERROR(SEARCH("광고",E160),0)&gt;0,"광고·행사",IF(IFERROR(SEARCH("용역",E160),0)&gt;0,"용역·수수료","기타/불명"))))))</x:f>
      </x:c>
      <x:c r="J160" s="77" t="str">
        <x:f>IF(A160="","",IF(I160="기타/불명","확인 필요","결의서명으로 1차 확인"))</x:f>
      </x:c>
      <x:c r="K160" s="78"/>
    </x:row>
    <x:row r="161">
      <x:c r="A161" s="73"/>
      <x:c r="B161" s="73"/>
      <x:c r="C161" s="74"/>
      <x:c r="D161" s="73"/>
      <x:c r="E161" s="73"/>
      <x:c r="F161" s="75"/>
      <x:c r="G161" s="75"/>
      <x:c r="H161" s="76" t="str">
        <x:f>IF(A161="","",F161-G161)</x:f>
      </x:c>
      <x:c r="I161" s="77" t="str">
        <x:f>IF(A161="","",IF(E161="","기타/불명",IF(IFERROR(SEARCH("급여",E161),0)&gt;0,"인건비",IF(IFERROR(SEARCH("임차",E161),0)&gt;0,"임차·시설",IF(IFERROR(SEARCH("광고",E161),0)&gt;0,"광고·행사",IF(IFERROR(SEARCH("용역",E161),0)&gt;0,"용역·수수료","기타/불명"))))))</x:f>
      </x:c>
      <x:c r="J161" s="77" t="str">
        <x:f>IF(A161="","",IF(I161="기타/불명","확인 필요","결의서명으로 1차 확인"))</x:f>
      </x:c>
      <x:c r="K161" s="78"/>
    </x:row>
    <x:row r="162">
      <x:c r="A162" s="73"/>
      <x:c r="B162" s="73"/>
      <x:c r="C162" s="74"/>
      <x:c r="D162" s="73"/>
      <x:c r="E162" s="73"/>
      <x:c r="F162" s="75"/>
      <x:c r="G162" s="75"/>
      <x:c r="H162" s="76" t="str">
        <x:f>IF(A162="","",F162-G162)</x:f>
      </x:c>
      <x:c r="I162" s="77" t="str">
        <x:f>IF(A162="","",IF(E162="","기타/불명",IF(IFERROR(SEARCH("급여",E162),0)&gt;0,"인건비",IF(IFERROR(SEARCH("임차",E162),0)&gt;0,"임차·시설",IF(IFERROR(SEARCH("광고",E162),0)&gt;0,"광고·행사",IF(IFERROR(SEARCH("용역",E162),0)&gt;0,"용역·수수료","기타/불명"))))))</x:f>
      </x:c>
      <x:c r="J162" s="77" t="str">
        <x:f>IF(A162="","",IF(I162="기타/불명","확인 필요","결의서명으로 1차 확인"))</x:f>
      </x:c>
      <x:c r="K162" s="78"/>
    </x:row>
    <x:row r="163">
      <x:c r="A163" s="73"/>
      <x:c r="B163" s="73"/>
      <x:c r="C163" s="74"/>
      <x:c r="D163" s="73"/>
      <x:c r="E163" s="73"/>
      <x:c r="F163" s="75"/>
      <x:c r="G163" s="75"/>
      <x:c r="H163" s="76" t="str">
        <x:f>IF(A163="","",F163-G163)</x:f>
      </x:c>
      <x:c r="I163" s="77" t="str">
        <x:f>IF(A163="","",IF(E163="","기타/불명",IF(IFERROR(SEARCH("급여",E163),0)&gt;0,"인건비",IF(IFERROR(SEARCH("임차",E163),0)&gt;0,"임차·시설",IF(IFERROR(SEARCH("광고",E163),0)&gt;0,"광고·행사",IF(IFERROR(SEARCH("용역",E163),0)&gt;0,"용역·수수료","기타/불명"))))))</x:f>
      </x:c>
      <x:c r="J163" s="77" t="str">
        <x:f>IF(A163="","",IF(I163="기타/불명","확인 필요","결의서명으로 1차 확인"))</x:f>
      </x:c>
      <x:c r="K163" s="78"/>
    </x:row>
    <x:row r="164">
      <x:c r="A164" s="73"/>
      <x:c r="B164" s="73"/>
      <x:c r="C164" s="74"/>
      <x:c r="D164" s="73"/>
      <x:c r="E164" s="73"/>
      <x:c r="F164" s="75"/>
      <x:c r="G164" s="75"/>
      <x:c r="H164" s="76" t="str">
        <x:f>IF(A164="","",F164-G164)</x:f>
      </x:c>
      <x:c r="I164" s="77" t="str">
        <x:f>IF(A164="","",IF(E164="","기타/불명",IF(IFERROR(SEARCH("급여",E164),0)&gt;0,"인건비",IF(IFERROR(SEARCH("임차",E164),0)&gt;0,"임차·시설",IF(IFERROR(SEARCH("광고",E164),0)&gt;0,"광고·행사",IF(IFERROR(SEARCH("용역",E164),0)&gt;0,"용역·수수료","기타/불명"))))))</x:f>
      </x:c>
      <x:c r="J164" s="77" t="str">
        <x:f>IF(A164="","",IF(I164="기타/불명","확인 필요","결의서명으로 1차 확인"))</x:f>
      </x:c>
      <x:c r="K164" s="78"/>
    </x:row>
    <x:row r="165">
      <x:c r="A165" s="73"/>
      <x:c r="B165" s="73"/>
      <x:c r="C165" s="74"/>
      <x:c r="D165" s="73"/>
      <x:c r="E165" s="73"/>
      <x:c r="F165" s="75"/>
      <x:c r="G165" s="75"/>
      <x:c r="H165" s="76" t="str">
        <x:f>IF(A165="","",F165-G165)</x:f>
      </x:c>
      <x:c r="I165" s="77" t="str">
        <x:f>IF(A165="","",IF(E165="","기타/불명",IF(IFERROR(SEARCH("급여",E165),0)&gt;0,"인건비",IF(IFERROR(SEARCH("임차",E165),0)&gt;0,"임차·시설",IF(IFERROR(SEARCH("광고",E165),0)&gt;0,"광고·행사",IF(IFERROR(SEARCH("용역",E165),0)&gt;0,"용역·수수료","기타/불명"))))))</x:f>
      </x:c>
      <x:c r="J165" s="77" t="str">
        <x:f>IF(A165="","",IF(I165="기타/불명","확인 필요","결의서명으로 1차 확인"))</x:f>
      </x:c>
      <x:c r="K165" s="78"/>
    </x:row>
    <x:row r="166">
      <x:c r="A166" s="73"/>
      <x:c r="B166" s="73"/>
      <x:c r="C166" s="74"/>
      <x:c r="D166" s="73"/>
      <x:c r="E166" s="73"/>
      <x:c r="F166" s="75"/>
      <x:c r="G166" s="75"/>
      <x:c r="H166" s="76" t="str">
        <x:f>IF(A166="","",F166-G166)</x:f>
      </x:c>
      <x:c r="I166" s="77" t="str">
        <x:f>IF(A166="","",IF(E166="","기타/불명",IF(IFERROR(SEARCH("급여",E166),0)&gt;0,"인건비",IF(IFERROR(SEARCH("임차",E166),0)&gt;0,"임차·시설",IF(IFERROR(SEARCH("광고",E166),0)&gt;0,"광고·행사",IF(IFERROR(SEARCH("용역",E166),0)&gt;0,"용역·수수료","기타/불명"))))))</x:f>
      </x:c>
      <x:c r="J166" s="77" t="str">
        <x:f>IF(A166="","",IF(I166="기타/불명","확인 필요","결의서명으로 1차 확인"))</x:f>
      </x:c>
      <x:c r="K166" s="78"/>
    </x:row>
    <x:row r="167">
      <x:c r="A167" s="73"/>
      <x:c r="B167" s="73"/>
      <x:c r="C167" s="74"/>
      <x:c r="D167" s="73"/>
      <x:c r="E167" s="73"/>
      <x:c r="F167" s="75"/>
      <x:c r="G167" s="75"/>
      <x:c r="H167" s="76" t="str">
        <x:f>IF(A167="","",F167-G167)</x:f>
      </x:c>
      <x:c r="I167" s="77" t="str">
        <x:f>IF(A167="","",IF(E167="","기타/불명",IF(IFERROR(SEARCH("급여",E167),0)&gt;0,"인건비",IF(IFERROR(SEARCH("임차",E167),0)&gt;0,"임차·시설",IF(IFERROR(SEARCH("광고",E167),0)&gt;0,"광고·행사",IF(IFERROR(SEARCH("용역",E167),0)&gt;0,"용역·수수료","기타/불명"))))))</x:f>
      </x:c>
      <x:c r="J167" s="77" t="str">
        <x:f>IF(A167="","",IF(I167="기타/불명","확인 필요","결의서명으로 1차 확인"))</x:f>
      </x:c>
      <x:c r="K167" s="78"/>
    </x:row>
    <x:row r="168">
      <x:c r="A168" s="73"/>
      <x:c r="B168" s="73"/>
      <x:c r="C168" s="74"/>
      <x:c r="D168" s="73"/>
      <x:c r="E168" s="73"/>
      <x:c r="F168" s="75"/>
      <x:c r="G168" s="75"/>
      <x:c r="H168" s="76" t="str">
        <x:f>IF(A168="","",F168-G168)</x:f>
      </x:c>
      <x:c r="I168" s="77" t="str">
        <x:f>IF(A168="","",IF(E168="","기타/불명",IF(IFERROR(SEARCH("급여",E168),0)&gt;0,"인건비",IF(IFERROR(SEARCH("임차",E168),0)&gt;0,"임차·시설",IF(IFERROR(SEARCH("광고",E168),0)&gt;0,"광고·행사",IF(IFERROR(SEARCH("용역",E168),0)&gt;0,"용역·수수료","기타/불명"))))))</x:f>
      </x:c>
      <x:c r="J168" s="77" t="str">
        <x:f>IF(A168="","",IF(I168="기타/불명","확인 필요","결의서명으로 1차 확인"))</x:f>
      </x:c>
      <x:c r="K168" s="78"/>
    </x:row>
    <x:row r="169">
      <x:c r="A169" s="73"/>
      <x:c r="B169" s="73"/>
      <x:c r="C169" s="74"/>
      <x:c r="D169" s="73"/>
      <x:c r="E169" s="73"/>
      <x:c r="F169" s="75"/>
      <x:c r="G169" s="75"/>
      <x:c r="H169" s="76" t="str">
        <x:f>IF(A169="","",F169-G169)</x:f>
      </x:c>
      <x:c r="I169" s="77" t="str">
        <x:f>IF(A169="","",IF(E169="","기타/불명",IF(IFERROR(SEARCH("급여",E169),0)&gt;0,"인건비",IF(IFERROR(SEARCH("임차",E169),0)&gt;0,"임차·시설",IF(IFERROR(SEARCH("광고",E169),0)&gt;0,"광고·행사",IF(IFERROR(SEARCH("용역",E169),0)&gt;0,"용역·수수료","기타/불명"))))))</x:f>
      </x:c>
      <x:c r="J169" s="77" t="str">
        <x:f>IF(A169="","",IF(I169="기타/불명","확인 필요","결의서명으로 1차 확인"))</x:f>
      </x:c>
      <x:c r="K169" s="78"/>
    </x:row>
    <x:row r="170">
      <x:c r="A170" s="73"/>
      <x:c r="B170" s="73"/>
      <x:c r="C170" s="74"/>
      <x:c r="D170" s="73"/>
      <x:c r="E170" s="73"/>
      <x:c r="F170" s="75"/>
      <x:c r="G170" s="75"/>
      <x:c r="H170" s="76" t="str">
        <x:f>IF(A170="","",F170-G170)</x:f>
      </x:c>
      <x:c r="I170" s="77" t="str">
        <x:f>IF(A170="","",IF(E170="","기타/불명",IF(IFERROR(SEARCH("급여",E170),0)&gt;0,"인건비",IF(IFERROR(SEARCH("임차",E170),0)&gt;0,"임차·시설",IF(IFERROR(SEARCH("광고",E170),0)&gt;0,"광고·행사",IF(IFERROR(SEARCH("용역",E170),0)&gt;0,"용역·수수료","기타/불명"))))))</x:f>
      </x:c>
      <x:c r="J170" s="77" t="str">
        <x:f>IF(A170="","",IF(I170="기타/불명","확인 필요","결의서명으로 1차 확인"))</x:f>
      </x:c>
      <x:c r="K170" s="78"/>
    </x:row>
    <x:row r="171">
      <x:c r="A171" s="73"/>
      <x:c r="B171" s="73"/>
      <x:c r="C171" s="74"/>
      <x:c r="D171" s="73"/>
      <x:c r="E171" s="73"/>
      <x:c r="F171" s="75"/>
      <x:c r="G171" s="75"/>
      <x:c r="H171" s="76" t="str">
        <x:f>IF(A171="","",F171-G171)</x:f>
      </x:c>
      <x:c r="I171" s="77" t="str">
        <x:f>IF(A171="","",IF(E171="","기타/불명",IF(IFERROR(SEARCH("급여",E171),0)&gt;0,"인건비",IF(IFERROR(SEARCH("임차",E171),0)&gt;0,"임차·시설",IF(IFERROR(SEARCH("광고",E171),0)&gt;0,"광고·행사",IF(IFERROR(SEARCH("용역",E171),0)&gt;0,"용역·수수료","기타/불명"))))))</x:f>
      </x:c>
      <x:c r="J171" s="77" t="str">
        <x:f>IF(A171="","",IF(I171="기타/불명","확인 필요","결의서명으로 1차 확인"))</x:f>
      </x:c>
      <x:c r="K171" s="78"/>
    </x:row>
    <x:row r="172">
      <x:c r="A172" s="73"/>
      <x:c r="B172" s="73"/>
      <x:c r="C172" s="74"/>
      <x:c r="D172" s="73"/>
      <x:c r="E172" s="73"/>
      <x:c r="F172" s="75"/>
      <x:c r="G172" s="75"/>
      <x:c r="H172" s="76" t="str">
        <x:f>IF(A172="","",F172-G172)</x:f>
      </x:c>
      <x:c r="I172" s="77" t="str">
        <x:f>IF(A172="","",IF(E172="","기타/불명",IF(IFERROR(SEARCH("급여",E172),0)&gt;0,"인건비",IF(IFERROR(SEARCH("임차",E172),0)&gt;0,"임차·시설",IF(IFERROR(SEARCH("광고",E172),0)&gt;0,"광고·행사",IF(IFERROR(SEARCH("용역",E172),0)&gt;0,"용역·수수료","기타/불명"))))))</x:f>
      </x:c>
      <x:c r="J172" s="77" t="str">
        <x:f>IF(A172="","",IF(I172="기타/불명","확인 필요","결의서명으로 1차 확인"))</x:f>
      </x:c>
      <x:c r="K172" s="78"/>
    </x:row>
    <x:row r="173">
      <x:c r="A173" s="73"/>
      <x:c r="B173" s="73"/>
      <x:c r="C173" s="74"/>
      <x:c r="D173" s="73"/>
      <x:c r="E173" s="73"/>
      <x:c r="F173" s="75"/>
      <x:c r="G173" s="75"/>
      <x:c r="H173" s="76" t="str">
        <x:f>IF(A173="","",F173-G173)</x:f>
      </x:c>
      <x:c r="I173" s="77" t="str">
        <x:f>IF(A173="","",IF(E173="","기타/불명",IF(IFERROR(SEARCH("급여",E173),0)&gt;0,"인건비",IF(IFERROR(SEARCH("임차",E173),0)&gt;0,"임차·시설",IF(IFERROR(SEARCH("광고",E173),0)&gt;0,"광고·행사",IF(IFERROR(SEARCH("용역",E173),0)&gt;0,"용역·수수료","기타/불명"))))))</x:f>
      </x:c>
      <x:c r="J173" s="77" t="str">
        <x:f>IF(A173="","",IF(I173="기타/불명","확인 필요","결의서명으로 1차 확인"))</x:f>
      </x:c>
      <x:c r="K173" s="78"/>
    </x:row>
    <x:row r="174">
      <x:c r="A174" s="73"/>
      <x:c r="B174" s="73"/>
      <x:c r="C174" s="74"/>
      <x:c r="D174" s="73"/>
      <x:c r="E174" s="73"/>
      <x:c r="F174" s="75"/>
      <x:c r="G174" s="75"/>
      <x:c r="H174" s="76" t="str">
        <x:f>IF(A174="","",F174-G174)</x:f>
      </x:c>
      <x:c r="I174" s="77" t="str">
        <x:f>IF(A174="","",IF(E174="","기타/불명",IF(IFERROR(SEARCH("급여",E174),0)&gt;0,"인건비",IF(IFERROR(SEARCH("임차",E174),0)&gt;0,"임차·시설",IF(IFERROR(SEARCH("광고",E174),0)&gt;0,"광고·행사",IF(IFERROR(SEARCH("용역",E174),0)&gt;0,"용역·수수료","기타/불명"))))))</x:f>
      </x:c>
      <x:c r="J174" s="77" t="str">
        <x:f>IF(A174="","",IF(I174="기타/불명","확인 필요","결의서명으로 1차 확인"))</x:f>
      </x:c>
      <x:c r="K174" s="78"/>
    </x:row>
    <x:row r="175">
      <x:c r="A175" s="73"/>
      <x:c r="B175" s="73"/>
      <x:c r="C175" s="74"/>
      <x:c r="D175" s="73"/>
      <x:c r="E175" s="73"/>
      <x:c r="F175" s="75"/>
      <x:c r="G175" s="75"/>
      <x:c r="H175" s="76" t="str">
        <x:f>IF(A175="","",F175-G175)</x:f>
      </x:c>
      <x:c r="I175" s="77" t="str">
        <x:f>IF(A175="","",IF(E175="","기타/불명",IF(IFERROR(SEARCH("급여",E175),0)&gt;0,"인건비",IF(IFERROR(SEARCH("임차",E175),0)&gt;0,"임차·시설",IF(IFERROR(SEARCH("광고",E175),0)&gt;0,"광고·행사",IF(IFERROR(SEARCH("용역",E175),0)&gt;0,"용역·수수료","기타/불명"))))))</x:f>
      </x:c>
      <x:c r="J175" s="77" t="str">
        <x:f>IF(A175="","",IF(I175="기타/불명","확인 필요","결의서명으로 1차 확인"))</x:f>
      </x:c>
      <x:c r="K175" s="78"/>
    </x:row>
    <x:row r="176">
      <x:c r="A176" s="73"/>
      <x:c r="B176" s="73"/>
      <x:c r="C176" s="74"/>
      <x:c r="D176" s="73"/>
      <x:c r="E176" s="73"/>
      <x:c r="F176" s="75"/>
      <x:c r="G176" s="75"/>
      <x:c r="H176" s="76" t="str">
        <x:f>IF(A176="","",F176-G176)</x:f>
      </x:c>
      <x:c r="I176" s="77" t="str">
        <x:f>IF(A176="","",IF(E176="","기타/불명",IF(IFERROR(SEARCH("급여",E176),0)&gt;0,"인건비",IF(IFERROR(SEARCH("임차",E176),0)&gt;0,"임차·시설",IF(IFERROR(SEARCH("광고",E176),0)&gt;0,"광고·행사",IF(IFERROR(SEARCH("용역",E176),0)&gt;0,"용역·수수료","기타/불명"))))))</x:f>
      </x:c>
      <x:c r="J176" s="77" t="str">
        <x:f>IF(A176="","",IF(I176="기타/불명","확인 필요","결의서명으로 1차 확인"))</x:f>
      </x:c>
      <x:c r="K176" s="78"/>
    </x:row>
    <x:row r="177">
      <x:c r="A177" s="73"/>
      <x:c r="B177" s="73"/>
      <x:c r="C177" s="74"/>
      <x:c r="D177" s="73"/>
      <x:c r="E177" s="73"/>
      <x:c r="F177" s="75"/>
      <x:c r="G177" s="75"/>
      <x:c r="H177" s="76" t="str">
        <x:f>IF(A177="","",F177-G177)</x:f>
      </x:c>
      <x:c r="I177" s="77" t="str">
        <x:f>IF(A177="","",IF(E177="","기타/불명",IF(IFERROR(SEARCH("급여",E177),0)&gt;0,"인건비",IF(IFERROR(SEARCH("임차",E177),0)&gt;0,"임차·시설",IF(IFERROR(SEARCH("광고",E177),0)&gt;0,"광고·행사",IF(IFERROR(SEARCH("용역",E177),0)&gt;0,"용역·수수료","기타/불명"))))))</x:f>
      </x:c>
      <x:c r="J177" s="77" t="str">
        <x:f>IF(A177="","",IF(I177="기타/불명","확인 필요","결의서명으로 1차 확인"))</x:f>
      </x:c>
      <x:c r="K177" s="78"/>
    </x:row>
    <x:row r="178">
      <x:c r="A178" s="73"/>
      <x:c r="B178" s="73"/>
      <x:c r="C178" s="74"/>
      <x:c r="D178" s="73"/>
      <x:c r="E178" s="73"/>
      <x:c r="F178" s="75"/>
      <x:c r="G178" s="75"/>
      <x:c r="H178" s="76" t="str">
        <x:f>IF(A178="","",F178-G178)</x:f>
      </x:c>
      <x:c r="I178" s="77" t="str">
        <x:f>IF(A178="","",IF(E178="","기타/불명",IF(IFERROR(SEARCH("급여",E178),0)&gt;0,"인건비",IF(IFERROR(SEARCH("임차",E178),0)&gt;0,"임차·시설",IF(IFERROR(SEARCH("광고",E178),0)&gt;0,"광고·행사",IF(IFERROR(SEARCH("용역",E178),0)&gt;0,"용역·수수료","기타/불명"))))))</x:f>
      </x:c>
      <x:c r="J178" s="77" t="str">
        <x:f>IF(A178="","",IF(I178="기타/불명","확인 필요","결의서명으로 1차 확인"))</x:f>
      </x:c>
      <x:c r="K178" s="78"/>
    </x:row>
    <x:row r="179">
      <x:c r="A179" s="73"/>
      <x:c r="B179" s="73"/>
      <x:c r="C179" s="74"/>
      <x:c r="D179" s="73"/>
      <x:c r="E179" s="73"/>
      <x:c r="F179" s="75"/>
      <x:c r="G179" s="75"/>
      <x:c r="H179" s="76" t="str">
        <x:f>IF(A179="","",F179-G179)</x:f>
      </x:c>
      <x:c r="I179" s="77" t="str">
        <x:f>IF(A179="","",IF(E179="","기타/불명",IF(IFERROR(SEARCH("급여",E179),0)&gt;0,"인건비",IF(IFERROR(SEARCH("임차",E179),0)&gt;0,"임차·시설",IF(IFERROR(SEARCH("광고",E179),0)&gt;0,"광고·행사",IF(IFERROR(SEARCH("용역",E179),0)&gt;0,"용역·수수료","기타/불명"))))))</x:f>
      </x:c>
      <x:c r="J179" s="77" t="str">
        <x:f>IF(A179="","",IF(I179="기타/불명","확인 필요","결의서명으로 1차 확인"))</x:f>
      </x:c>
      <x:c r="K179" s="78"/>
    </x:row>
    <x:row r="180">
      <x:c r="A180" s="73"/>
      <x:c r="B180" s="73"/>
      <x:c r="C180" s="74"/>
      <x:c r="D180" s="73"/>
      <x:c r="E180" s="73"/>
      <x:c r="F180" s="75"/>
      <x:c r="G180" s="75"/>
      <x:c r="H180" s="76" t="str">
        <x:f>IF(A180="","",F180-G180)</x:f>
      </x:c>
      <x:c r="I180" s="77" t="str">
        <x:f>IF(A180="","",IF(E180="","기타/불명",IF(IFERROR(SEARCH("급여",E180),0)&gt;0,"인건비",IF(IFERROR(SEARCH("임차",E180),0)&gt;0,"임차·시설",IF(IFERROR(SEARCH("광고",E180),0)&gt;0,"광고·행사",IF(IFERROR(SEARCH("용역",E180),0)&gt;0,"용역·수수료","기타/불명"))))))</x:f>
      </x:c>
      <x:c r="J180" s="77" t="str">
        <x:f>IF(A180="","",IF(I180="기타/불명","확인 필요","결의서명으로 1차 확인"))</x:f>
      </x:c>
      <x:c r="K180" s="78"/>
    </x:row>
    <x:row r="181">
      <x:c r="A181" s="73"/>
      <x:c r="B181" s="73"/>
      <x:c r="C181" s="74"/>
      <x:c r="D181" s="73"/>
      <x:c r="E181" s="73"/>
      <x:c r="F181" s="75"/>
      <x:c r="G181" s="75"/>
      <x:c r="H181" s="76" t="str">
        <x:f>IF(A181="","",F181-G181)</x:f>
      </x:c>
      <x:c r="I181" s="77" t="str">
        <x:f>IF(A181="","",IF(E181="","기타/불명",IF(IFERROR(SEARCH("급여",E181),0)&gt;0,"인건비",IF(IFERROR(SEARCH("임차",E181),0)&gt;0,"임차·시설",IF(IFERROR(SEARCH("광고",E181),0)&gt;0,"광고·행사",IF(IFERROR(SEARCH("용역",E181),0)&gt;0,"용역·수수료","기타/불명"))))))</x:f>
      </x:c>
      <x:c r="J181" s="77" t="str">
        <x:f>IF(A181="","",IF(I181="기타/불명","확인 필요","결의서명으로 1차 확인"))</x:f>
      </x:c>
      <x:c r="K181" s="78"/>
    </x:row>
    <x:row r="182">
      <x:c r="A182" s="73"/>
      <x:c r="B182" s="73"/>
      <x:c r="C182" s="74"/>
      <x:c r="D182" s="73"/>
      <x:c r="E182" s="73"/>
      <x:c r="F182" s="75"/>
      <x:c r="G182" s="75"/>
      <x:c r="H182" s="76" t="str">
        <x:f>IF(A182="","",F182-G182)</x:f>
      </x:c>
      <x:c r="I182" s="77" t="str">
        <x:f>IF(A182="","",IF(E182="","기타/불명",IF(IFERROR(SEARCH("급여",E182),0)&gt;0,"인건비",IF(IFERROR(SEARCH("임차",E182),0)&gt;0,"임차·시설",IF(IFERROR(SEARCH("광고",E182),0)&gt;0,"광고·행사",IF(IFERROR(SEARCH("용역",E182),0)&gt;0,"용역·수수료","기타/불명"))))))</x:f>
      </x:c>
      <x:c r="J182" s="77" t="str">
        <x:f>IF(A182="","",IF(I182="기타/불명","확인 필요","결의서명으로 1차 확인"))</x:f>
      </x:c>
      <x:c r="K182" s="78"/>
    </x:row>
    <x:row r="183">
      <x:c r="A183" s="73"/>
      <x:c r="B183" s="73"/>
      <x:c r="C183" s="74"/>
      <x:c r="D183" s="73"/>
      <x:c r="E183" s="73"/>
      <x:c r="F183" s="75"/>
      <x:c r="G183" s="75"/>
      <x:c r="H183" s="76" t="str">
        <x:f>IF(A183="","",F183-G183)</x:f>
      </x:c>
      <x:c r="I183" s="77" t="str">
        <x:f>IF(A183="","",IF(E183="","기타/불명",IF(IFERROR(SEARCH("급여",E183),0)&gt;0,"인건비",IF(IFERROR(SEARCH("임차",E183),0)&gt;0,"임차·시설",IF(IFERROR(SEARCH("광고",E183),0)&gt;0,"광고·행사",IF(IFERROR(SEARCH("용역",E183),0)&gt;0,"용역·수수료","기타/불명"))))))</x:f>
      </x:c>
      <x:c r="J183" s="77" t="str">
        <x:f>IF(A183="","",IF(I183="기타/불명","확인 필요","결의서명으로 1차 확인"))</x:f>
      </x:c>
      <x:c r="K183" s="78"/>
    </x:row>
    <x:row r="184">
      <x:c r="A184" s="73"/>
      <x:c r="B184" s="73"/>
      <x:c r="C184" s="74"/>
      <x:c r="D184" s="73"/>
      <x:c r="E184" s="73"/>
      <x:c r="F184" s="75"/>
      <x:c r="G184" s="75"/>
      <x:c r="H184" s="76" t="str">
        <x:f>IF(A184="","",F184-G184)</x:f>
      </x:c>
      <x:c r="I184" s="77" t="str">
        <x:f>IF(A184="","",IF(E184="","기타/불명",IF(IFERROR(SEARCH("급여",E184),0)&gt;0,"인건비",IF(IFERROR(SEARCH("임차",E184),0)&gt;0,"임차·시설",IF(IFERROR(SEARCH("광고",E184),0)&gt;0,"광고·행사",IF(IFERROR(SEARCH("용역",E184),0)&gt;0,"용역·수수료","기타/불명"))))))</x:f>
      </x:c>
      <x:c r="J184" s="77" t="str">
        <x:f>IF(A184="","",IF(I184="기타/불명","확인 필요","결의서명으로 1차 확인"))</x:f>
      </x:c>
      <x:c r="K184" s="78"/>
    </x:row>
    <x:row r="185">
      <x:c r="A185" s="73"/>
      <x:c r="B185" s="73"/>
      <x:c r="C185" s="74"/>
      <x:c r="D185" s="73"/>
      <x:c r="E185" s="73"/>
      <x:c r="F185" s="75"/>
      <x:c r="G185" s="75"/>
      <x:c r="H185" s="76" t="str">
        <x:f>IF(A185="","",F185-G185)</x:f>
      </x:c>
      <x:c r="I185" s="77" t="str">
        <x:f>IF(A185="","",IF(E185="","기타/불명",IF(IFERROR(SEARCH("급여",E185),0)&gt;0,"인건비",IF(IFERROR(SEARCH("임차",E185),0)&gt;0,"임차·시설",IF(IFERROR(SEARCH("광고",E185),0)&gt;0,"광고·행사",IF(IFERROR(SEARCH("용역",E185),0)&gt;0,"용역·수수료","기타/불명"))))))</x:f>
      </x:c>
      <x:c r="J185" s="77" t="str">
        <x:f>IF(A185="","",IF(I185="기타/불명","확인 필요","결의서명으로 1차 확인"))</x:f>
      </x:c>
      <x:c r="K185" s="78"/>
    </x:row>
    <x:row r="186">
      <x:c r="A186" s="73"/>
      <x:c r="B186" s="73"/>
      <x:c r="C186" s="74"/>
      <x:c r="D186" s="73"/>
      <x:c r="E186" s="73"/>
      <x:c r="F186" s="75"/>
      <x:c r="G186" s="75"/>
      <x:c r="H186" s="76" t="str">
        <x:f>IF(A186="","",F186-G186)</x:f>
      </x:c>
      <x:c r="I186" s="77" t="str">
        <x:f>IF(A186="","",IF(E186="","기타/불명",IF(IFERROR(SEARCH("급여",E186),0)&gt;0,"인건비",IF(IFERROR(SEARCH("임차",E186),0)&gt;0,"임차·시설",IF(IFERROR(SEARCH("광고",E186),0)&gt;0,"광고·행사",IF(IFERROR(SEARCH("용역",E186),0)&gt;0,"용역·수수료","기타/불명"))))))</x:f>
      </x:c>
      <x:c r="J186" s="77" t="str">
        <x:f>IF(A186="","",IF(I186="기타/불명","확인 필요","결의서명으로 1차 확인"))</x:f>
      </x:c>
      <x:c r="K186" s="78"/>
    </x:row>
    <x:row r="187">
      <x:c r="A187" s="73"/>
      <x:c r="B187" s="73"/>
      <x:c r="C187" s="74"/>
      <x:c r="D187" s="73"/>
      <x:c r="E187" s="73"/>
      <x:c r="F187" s="75"/>
      <x:c r="G187" s="75"/>
      <x:c r="H187" s="76" t="str">
        <x:f>IF(A187="","",F187-G187)</x:f>
      </x:c>
      <x:c r="I187" s="77" t="str">
        <x:f>IF(A187="","",IF(E187="","기타/불명",IF(IFERROR(SEARCH("급여",E187),0)&gt;0,"인건비",IF(IFERROR(SEARCH("임차",E187),0)&gt;0,"임차·시설",IF(IFERROR(SEARCH("광고",E187),0)&gt;0,"광고·행사",IF(IFERROR(SEARCH("용역",E187),0)&gt;0,"용역·수수료","기타/불명"))))))</x:f>
      </x:c>
      <x:c r="J187" s="77" t="str">
        <x:f>IF(A187="","",IF(I187="기타/불명","확인 필요","결의서명으로 1차 확인"))</x:f>
      </x:c>
      <x:c r="K187" s="78"/>
    </x:row>
    <x:row r="188">
      <x:c r="A188" s="73"/>
      <x:c r="B188" s="73"/>
      <x:c r="C188" s="74"/>
      <x:c r="D188" s="73"/>
      <x:c r="E188" s="73"/>
      <x:c r="F188" s="75"/>
      <x:c r="G188" s="75"/>
      <x:c r="H188" s="76" t="str">
        <x:f>IF(A188="","",F188-G188)</x:f>
      </x:c>
      <x:c r="I188" s="77" t="str">
        <x:f>IF(A188="","",IF(E188="","기타/불명",IF(IFERROR(SEARCH("급여",E188),0)&gt;0,"인건비",IF(IFERROR(SEARCH("임차",E188),0)&gt;0,"임차·시설",IF(IFERROR(SEARCH("광고",E188),0)&gt;0,"광고·행사",IF(IFERROR(SEARCH("용역",E188),0)&gt;0,"용역·수수료","기타/불명"))))))</x:f>
      </x:c>
      <x:c r="J188" s="77" t="str">
        <x:f>IF(A188="","",IF(I188="기타/불명","확인 필요","결의서명으로 1차 확인"))</x:f>
      </x:c>
      <x:c r="K188" s="78"/>
    </x:row>
    <x:row r="189">
      <x:c r="A189" s="73"/>
      <x:c r="B189" s="73"/>
      <x:c r="C189" s="74"/>
      <x:c r="D189" s="73"/>
      <x:c r="E189" s="73"/>
      <x:c r="F189" s="75"/>
      <x:c r="G189" s="75"/>
      <x:c r="H189" s="76" t="str">
        <x:f>IF(A189="","",F189-G189)</x:f>
      </x:c>
      <x:c r="I189" s="77" t="str">
        <x:f>IF(A189="","",IF(E189="","기타/불명",IF(IFERROR(SEARCH("급여",E189),0)&gt;0,"인건비",IF(IFERROR(SEARCH("임차",E189),0)&gt;0,"임차·시설",IF(IFERROR(SEARCH("광고",E189),0)&gt;0,"광고·행사",IF(IFERROR(SEARCH("용역",E189),0)&gt;0,"용역·수수료","기타/불명"))))))</x:f>
      </x:c>
      <x:c r="J189" s="77" t="str">
        <x:f>IF(A189="","",IF(I189="기타/불명","확인 필요","결의서명으로 1차 확인"))</x:f>
      </x:c>
      <x:c r="K189" s="78"/>
    </x:row>
    <x:row r="190">
      <x:c r="A190" s="73"/>
      <x:c r="B190" s="73"/>
      <x:c r="C190" s="74"/>
      <x:c r="D190" s="73"/>
      <x:c r="E190" s="73"/>
      <x:c r="F190" s="75"/>
      <x:c r="G190" s="75"/>
      <x:c r="H190" s="76" t="str">
        <x:f>IF(A190="","",F190-G190)</x:f>
      </x:c>
      <x:c r="I190" s="77" t="str">
        <x:f>IF(A190="","",IF(E190="","기타/불명",IF(IFERROR(SEARCH("급여",E190),0)&gt;0,"인건비",IF(IFERROR(SEARCH("임차",E190),0)&gt;0,"임차·시설",IF(IFERROR(SEARCH("광고",E190),0)&gt;0,"광고·행사",IF(IFERROR(SEARCH("용역",E190),0)&gt;0,"용역·수수료","기타/불명"))))))</x:f>
      </x:c>
      <x:c r="J190" s="77" t="str">
        <x:f>IF(A190="","",IF(I190="기타/불명","확인 필요","결의서명으로 1차 확인"))</x:f>
      </x:c>
      <x:c r="K190" s="78"/>
    </x:row>
    <x:row r="191">
      <x:c r="A191" s="73"/>
      <x:c r="B191" s="73"/>
      <x:c r="C191" s="74"/>
      <x:c r="D191" s="73"/>
      <x:c r="E191" s="73"/>
      <x:c r="F191" s="75"/>
      <x:c r="G191" s="75"/>
      <x:c r="H191" s="76" t="str">
        <x:f>IF(A191="","",F191-G191)</x:f>
      </x:c>
      <x:c r="I191" s="77" t="str">
        <x:f>IF(A191="","",IF(E191="","기타/불명",IF(IFERROR(SEARCH("급여",E191),0)&gt;0,"인건비",IF(IFERROR(SEARCH("임차",E191),0)&gt;0,"임차·시설",IF(IFERROR(SEARCH("광고",E191),0)&gt;0,"광고·행사",IF(IFERROR(SEARCH("용역",E191),0)&gt;0,"용역·수수료","기타/불명"))))))</x:f>
      </x:c>
      <x:c r="J191" s="77" t="str">
        <x:f>IF(A191="","",IF(I191="기타/불명","확인 필요","결의서명으로 1차 확인"))</x:f>
      </x:c>
      <x:c r="K191" s="78"/>
    </x:row>
    <x:row r="192">
      <x:c r="A192" s="73"/>
      <x:c r="B192" s="73"/>
      <x:c r="C192" s="74"/>
      <x:c r="D192" s="73"/>
      <x:c r="E192" s="73"/>
      <x:c r="F192" s="75"/>
      <x:c r="G192" s="75"/>
      <x:c r="H192" s="76" t="str">
        <x:f>IF(A192="","",F192-G192)</x:f>
      </x:c>
      <x:c r="I192" s="77" t="str">
        <x:f>IF(A192="","",IF(E192="","기타/불명",IF(IFERROR(SEARCH("급여",E192),0)&gt;0,"인건비",IF(IFERROR(SEARCH("임차",E192),0)&gt;0,"임차·시설",IF(IFERROR(SEARCH("광고",E192),0)&gt;0,"광고·행사",IF(IFERROR(SEARCH("용역",E192),0)&gt;0,"용역·수수료","기타/불명"))))))</x:f>
      </x:c>
      <x:c r="J192" s="77" t="str">
        <x:f>IF(A192="","",IF(I192="기타/불명","확인 필요","결의서명으로 1차 확인"))</x:f>
      </x:c>
      <x:c r="K192" s="78"/>
    </x:row>
    <x:row r="193">
      <x:c r="A193" s="73"/>
      <x:c r="B193" s="73"/>
      <x:c r="C193" s="74"/>
      <x:c r="D193" s="73"/>
      <x:c r="E193" s="73"/>
      <x:c r="F193" s="75"/>
      <x:c r="G193" s="75"/>
      <x:c r="H193" s="76" t="str">
        <x:f>IF(A193="","",F193-G193)</x:f>
      </x:c>
      <x:c r="I193" s="77" t="str">
        <x:f>IF(A193="","",IF(E193="","기타/불명",IF(IFERROR(SEARCH("급여",E193),0)&gt;0,"인건비",IF(IFERROR(SEARCH("임차",E193),0)&gt;0,"임차·시설",IF(IFERROR(SEARCH("광고",E193),0)&gt;0,"광고·행사",IF(IFERROR(SEARCH("용역",E193),0)&gt;0,"용역·수수료","기타/불명"))))))</x:f>
      </x:c>
      <x:c r="J193" s="77" t="str">
        <x:f>IF(A193="","",IF(I193="기타/불명","확인 필요","결의서명으로 1차 확인"))</x:f>
      </x:c>
      <x:c r="K193" s="78"/>
    </x:row>
    <x:row r="194">
      <x:c r="A194" s="73"/>
      <x:c r="B194" s="73"/>
      <x:c r="C194" s="74"/>
      <x:c r="D194" s="73"/>
      <x:c r="E194" s="73"/>
      <x:c r="F194" s="75"/>
      <x:c r="G194" s="75"/>
      <x:c r="H194" s="76" t="str">
        <x:f>IF(A194="","",F194-G194)</x:f>
      </x:c>
      <x:c r="I194" s="77" t="str">
        <x:f>IF(A194="","",IF(E194="","기타/불명",IF(IFERROR(SEARCH("급여",E194),0)&gt;0,"인건비",IF(IFERROR(SEARCH("임차",E194),0)&gt;0,"임차·시설",IF(IFERROR(SEARCH("광고",E194),0)&gt;0,"광고·행사",IF(IFERROR(SEARCH("용역",E194),0)&gt;0,"용역·수수료","기타/불명"))))))</x:f>
      </x:c>
      <x:c r="J194" s="77" t="str">
        <x:f>IF(A194="","",IF(I194="기타/불명","확인 필요","결의서명으로 1차 확인"))</x:f>
      </x:c>
      <x:c r="K194" s="78"/>
    </x:row>
    <x:row r="195">
      <x:c r="A195" s="73"/>
      <x:c r="B195" s="73"/>
      <x:c r="C195" s="74"/>
      <x:c r="D195" s="73"/>
      <x:c r="E195" s="73"/>
      <x:c r="F195" s="75"/>
      <x:c r="G195" s="75"/>
      <x:c r="H195" s="76" t="str">
        <x:f>IF(A195="","",F195-G195)</x:f>
      </x:c>
      <x:c r="I195" s="77" t="str">
        <x:f>IF(A195="","",IF(E195="","기타/불명",IF(IFERROR(SEARCH("급여",E195),0)&gt;0,"인건비",IF(IFERROR(SEARCH("임차",E195),0)&gt;0,"임차·시설",IF(IFERROR(SEARCH("광고",E195),0)&gt;0,"광고·행사",IF(IFERROR(SEARCH("용역",E195),0)&gt;0,"용역·수수료","기타/불명"))))))</x:f>
      </x:c>
      <x:c r="J195" s="77" t="str">
        <x:f>IF(A195="","",IF(I195="기타/불명","확인 필요","결의서명으로 1차 확인"))</x:f>
      </x:c>
      <x:c r="K195" s="78"/>
    </x:row>
    <x:row r="196">
      <x:c r="A196" s="73"/>
      <x:c r="B196" s="73"/>
      <x:c r="C196" s="74"/>
      <x:c r="D196" s="73"/>
      <x:c r="E196" s="73"/>
      <x:c r="F196" s="75"/>
      <x:c r="G196" s="75"/>
      <x:c r="H196" s="76" t="str">
        <x:f>IF(A196="","",F196-G196)</x:f>
      </x:c>
      <x:c r="I196" s="77" t="str">
        <x:f>IF(A196="","",IF(E196="","기타/불명",IF(IFERROR(SEARCH("급여",E196),0)&gt;0,"인건비",IF(IFERROR(SEARCH("임차",E196),0)&gt;0,"임차·시설",IF(IFERROR(SEARCH("광고",E196),0)&gt;0,"광고·행사",IF(IFERROR(SEARCH("용역",E196),0)&gt;0,"용역·수수료","기타/불명"))))))</x:f>
      </x:c>
      <x:c r="J196" s="77" t="str">
        <x:f>IF(A196="","",IF(I196="기타/불명","확인 필요","결의서명으로 1차 확인"))</x:f>
      </x:c>
      <x:c r="K196" s="78"/>
    </x:row>
    <x:row r="197">
      <x:c r="A197" s="73"/>
      <x:c r="B197" s="73"/>
      <x:c r="C197" s="74"/>
      <x:c r="D197" s="73"/>
      <x:c r="E197" s="73"/>
      <x:c r="F197" s="75"/>
      <x:c r="G197" s="75"/>
      <x:c r="H197" s="76" t="str">
        <x:f>IF(A197="","",F197-G197)</x:f>
      </x:c>
      <x:c r="I197" s="77" t="str">
        <x:f>IF(A197="","",IF(E197="","기타/불명",IF(IFERROR(SEARCH("급여",E197),0)&gt;0,"인건비",IF(IFERROR(SEARCH("임차",E197),0)&gt;0,"임차·시설",IF(IFERROR(SEARCH("광고",E197),0)&gt;0,"광고·행사",IF(IFERROR(SEARCH("용역",E197),0)&gt;0,"용역·수수료","기타/불명"))))))</x:f>
      </x:c>
      <x:c r="J197" s="77" t="str">
        <x:f>IF(A197="","",IF(I197="기타/불명","확인 필요","결의서명으로 1차 확인"))</x:f>
      </x:c>
      <x:c r="K197" s="78"/>
    </x:row>
    <x:row r="198">
      <x:c r="A198" s="73"/>
      <x:c r="B198" s="73"/>
      <x:c r="C198" s="74"/>
      <x:c r="D198" s="73"/>
      <x:c r="E198" s="73"/>
      <x:c r="F198" s="75"/>
      <x:c r="G198" s="75"/>
      <x:c r="H198" s="76" t="str">
        <x:f>IF(A198="","",F198-G198)</x:f>
      </x:c>
      <x:c r="I198" s="77" t="str">
        <x:f>IF(A198="","",IF(E198="","기타/불명",IF(IFERROR(SEARCH("급여",E198),0)&gt;0,"인건비",IF(IFERROR(SEARCH("임차",E198),0)&gt;0,"임차·시설",IF(IFERROR(SEARCH("광고",E198),0)&gt;0,"광고·행사",IF(IFERROR(SEARCH("용역",E198),0)&gt;0,"용역·수수료","기타/불명"))))))</x:f>
      </x:c>
      <x:c r="J198" s="77" t="str">
        <x:f>IF(A198="","",IF(I198="기타/불명","확인 필요","결의서명으로 1차 확인"))</x:f>
      </x:c>
      <x:c r="K198" s="78"/>
    </x:row>
    <x:row r="199">
      <x:c r="A199" s="73"/>
      <x:c r="B199" s="73"/>
      <x:c r="C199" s="74"/>
      <x:c r="D199" s="73"/>
      <x:c r="E199" s="73"/>
      <x:c r="F199" s="75"/>
      <x:c r="G199" s="75"/>
      <x:c r="H199" s="76" t="str">
        <x:f>IF(A199="","",F199-G199)</x:f>
      </x:c>
      <x:c r="I199" s="77" t="str">
        <x:f>IF(A199="","",IF(E199="","기타/불명",IF(IFERROR(SEARCH("급여",E199),0)&gt;0,"인건비",IF(IFERROR(SEARCH("임차",E199),0)&gt;0,"임차·시설",IF(IFERROR(SEARCH("광고",E199),0)&gt;0,"광고·행사",IF(IFERROR(SEARCH("용역",E199),0)&gt;0,"용역·수수료","기타/불명"))))))</x:f>
      </x:c>
      <x:c r="J199" s="77" t="str">
        <x:f>IF(A199="","",IF(I199="기타/불명","확인 필요","결의서명으로 1차 확인"))</x:f>
      </x:c>
      <x:c r="K199" s="78"/>
    </x:row>
    <x:row r="200">
      <x:c r="A200" s="73"/>
      <x:c r="B200" s="73"/>
      <x:c r="C200" s="74"/>
      <x:c r="D200" s="73"/>
      <x:c r="E200" s="73"/>
      <x:c r="F200" s="75"/>
      <x:c r="G200" s="75"/>
      <x:c r="H200" s="76" t="str">
        <x:f>IF(A200="","",F200-G200)</x:f>
      </x:c>
      <x:c r="I200" s="77" t="str">
        <x:f>IF(A200="","",IF(E200="","기타/불명",IF(IFERROR(SEARCH("급여",E200),0)&gt;0,"인건비",IF(IFERROR(SEARCH("임차",E200),0)&gt;0,"임차·시설",IF(IFERROR(SEARCH("광고",E200),0)&gt;0,"광고·행사",IF(IFERROR(SEARCH("용역",E200),0)&gt;0,"용역·수수료","기타/불명"))))))</x:f>
      </x:c>
      <x:c r="J200" s="77" t="str">
        <x:f>IF(A200="","",IF(I200="기타/불명","확인 필요","결의서명으로 1차 확인"))</x:f>
      </x:c>
      <x:c r="K200" s="78"/>
    </x:row>
    <x:row r="201">
      <x:c r="A201" s="73"/>
      <x:c r="B201" s="73"/>
      <x:c r="C201" s="74"/>
      <x:c r="D201" s="73"/>
      <x:c r="E201" s="73"/>
      <x:c r="F201" s="75"/>
      <x:c r="G201" s="75"/>
      <x:c r="H201" s="76" t="str">
        <x:f>IF(A201="","",F201-G201)</x:f>
      </x:c>
      <x:c r="I201" s="77" t="str">
        <x:f>IF(A201="","",IF(E201="","기타/불명",IF(IFERROR(SEARCH("급여",E201),0)&gt;0,"인건비",IF(IFERROR(SEARCH("임차",E201),0)&gt;0,"임차·시설",IF(IFERROR(SEARCH("광고",E201),0)&gt;0,"광고·행사",IF(IFERROR(SEARCH("용역",E201),0)&gt;0,"용역·수수료","기타/불명"))))))</x:f>
      </x:c>
      <x:c r="J201" s="77" t="str">
        <x:f>IF(A201="","",IF(I201="기타/불명","확인 필요","결의서명으로 1차 확인"))</x:f>
      </x:c>
      <x:c r="K201" s="78"/>
    </x:row>
    <x:row r="202">
      <x:c r="A202" s="73"/>
      <x:c r="B202" s="73"/>
      <x:c r="C202" s="74"/>
      <x:c r="D202" s="73"/>
      <x:c r="E202" s="73"/>
      <x:c r="F202" s="75"/>
      <x:c r="G202" s="75"/>
      <x:c r="H202" s="76" t="str">
        <x:f>IF(A202="","",F202-G202)</x:f>
      </x:c>
      <x:c r="I202" s="77" t="str">
        <x:f>IF(A202="","",IF(E202="","기타/불명",IF(IFERROR(SEARCH("급여",E202),0)&gt;0,"인건비",IF(IFERROR(SEARCH("임차",E202),0)&gt;0,"임차·시설",IF(IFERROR(SEARCH("광고",E202),0)&gt;0,"광고·행사",IF(IFERROR(SEARCH("용역",E202),0)&gt;0,"용역·수수료","기타/불명"))))))</x:f>
      </x:c>
      <x:c r="J202" s="77" t="str">
        <x:f>IF(A202="","",IF(I202="기타/불명","확인 필요","결의서명으로 1차 확인"))</x:f>
      </x:c>
      <x:c r="K202" s="78"/>
    </x:row>
    <x:row r="203">
      <x:c r="A203" s="73"/>
      <x:c r="B203" s="73"/>
      <x:c r="C203" s="74"/>
      <x:c r="D203" s="73"/>
      <x:c r="E203" s="73"/>
      <x:c r="F203" s="75"/>
      <x:c r="G203" s="75"/>
      <x:c r="H203" s="76" t="str">
        <x:f>IF(A203="","",F203-G203)</x:f>
      </x:c>
      <x:c r="I203" s="77" t="str">
        <x:f>IF(A203="","",IF(E203="","기타/불명",IF(IFERROR(SEARCH("급여",E203),0)&gt;0,"인건비",IF(IFERROR(SEARCH("임차",E203),0)&gt;0,"임차·시설",IF(IFERROR(SEARCH("광고",E203),0)&gt;0,"광고·행사",IF(IFERROR(SEARCH("용역",E203),0)&gt;0,"용역·수수료","기타/불명"))))))</x:f>
      </x:c>
      <x:c r="J203" s="77" t="str">
        <x:f>IF(A203="","",IF(I203="기타/불명","확인 필요","결의서명으로 1차 확인"))</x:f>
      </x:c>
      <x:c r="K203" s="78"/>
    </x:row>
    <x:row r="204">
      <x:c r="A204" s="73"/>
      <x:c r="B204" s="73"/>
      <x:c r="C204" s="74"/>
      <x:c r="D204" s="73"/>
      <x:c r="E204" s="73"/>
      <x:c r="F204" s="75"/>
      <x:c r="G204" s="75"/>
      <x:c r="H204" s="76" t="str">
        <x:f>IF(A204="","",F204-G204)</x:f>
      </x:c>
      <x:c r="I204" s="77" t="str">
        <x:f>IF(A204="","",IF(E204="","기타/불명",IF(IFERROR(SEARCH("급여",E204),0)&gt;0,"인건비",IF(IFERROR(SEARCH("임차",E204),0)&gt;0,"임차·시설",IF(IFERROR(SEARCH("광고",E204),0)&gt;0,"광고·행사",IF(IFERROR(SEARCH("용역",E204),0)&gt;0,"용역·수수료","기타/불명"))))))</x:f>
      </x:c>
      <x:c r="J204" s="77" t="str">
        <x:f>IF(A204="","",IF(I204="기타/불명","확인 필요","결의서명으로 1차 확인"))</x:f>
      </x:c>
      <x:c r="K204" s="78"/>
    </x:row>
    <x:row r="205">
      <x:c r="A205" s="73"/>
      <x:c r="B205" s="73"/>
      <x:c r="C205" s="74"/>
      <x:c r="D205" s="73"/>
      <x:c r="E205" s="73"/>
      <x:c r="F205" s="75"/>
      <x:c r="G205" s="75"/>
      <x:c r="H205" s="76" t="str">
        <x:f>IF(A205="","",F205-G205)</x:f>
      </x:c>
      <x:c r="I205" s="77" t="str">
        <x:f>IF(A205="","",IF(E205="","기타/불명",IF(IFERROR(SEARCH("급여",E205),0)&gt;0,"인건비",IF(IFERROR(SEARCH("임차",E205),0)&gt;0,"임차·시설",IF(IFERROR(SEARCH("광고",E205),0)&gt;0,"광고·행사",IF(IFERROR(SEARCH("용역",E205),0)&gt;0,"용역·수수료","기타/불명"))))))</x:f>
      </x:c>
      <x:c r="J205" s="77" t="str">
        <x:f>IF(A205="","",IF(I205="기타/불명","확인 필요","결의서명으로 1차 확인"))</x:f>
      </x:c>
      <x:c r="K205" s="78"/>
    </x:row>
    <x:row r="206">
      <x:c r="A206" s="73"/>
      <x:c r="B206" s="73"/>
      <x:c r="C206" s="74"/>
      <x:c r="D206" s="73"/>
      <x:c r="E206" s="73"/>
      <x:c r="F206" s="75"/>
      <x:c r="G206" s="75"/>
      <x:c r="H206" s="76" t="str">
        <x:f>IF(A206="","",F206-G206)</x:f>
      </x:c>
      <x:c r="I206" s="77" t="str">
        <x:f>IF(A206="","",IF(E206="","기타/불명",IF(IFERROR(SEARCH("급여",E206),0)&gt;0,"인건비",IF(IFERROR(SEARCH("임차",E206),0)&gt;0,"임차·시설",IF(IFERROR(SEARCH("광고",E206),0)&gt;0,"광고·행사",IF(IFERROR(SEARCH("용역",E206),0)&gt;0,"용역·수수료","기타/불명"))))))</x:f>
      </x:c>
      <x:c r="J206" s="77" t="str">
        <x:f>IF(A206="","",IF(I206="기타/불명","확인 필요","결의서명으로 1차 확인"))</x:f>
      </x:c>
      <x:c r="K206" s="78"/>
    </x:row>
    <x:row r="207">
      <x:c r="A207" s="73"/>
      <x:c r="B207" s="73"/>
      <x:c r="C207" s="74"/>
      <x:c r="D207" s="73"/>
      <x:c r="E207" s="73"/>
      <x:c r="F207" s="75"/>
      <x:c r="G207" s="75"/>
      <x:c r="H207" s="76" t="str">
        <x:f>IF(A207="","",F207-G207)</x:f>
      </x:c>
      <x:c r="I207" s="77" t="str">
        <x:f>IF(A207="","",IF(E207="","기타/불명",IF(IFERROR(SEARCH("급여",E207),0)&gt;0,"인건비",IF(IFERROR(SEARCH("임차",E207),0)&gt;0,"임차·시설",IF(IFERROR(SEARCH("광고",E207),0)&gt;0,"광고·행사",IF(IFERROR(SEARCH("용역",E207),0)&gt;0,"용역·수수료","기타/불명"))))))</x:f>
      </x:c>
      <x:c r="J207" s="77" t="str">
        <x:f>IF(A207="","",IF(I207="기타/불명","확인 필요","결의서명으로 1차 확인"))</x:f>
      </x:c>
      <x:c r="K207" s="78"/>
    </x:row>
    <x:row r="208">
      <x:c r="A208" s="73"/>
      <x:c r="B208" s="73"/>
      <x:c r="C208" s="74"/>
      <x:c r="D208" s="73"/>
      <x:c r="E208" s="73"/>
      <x:c r="F208" s="75"/>
      <x:c r="G208" s="75"/>
      <x:c r="H208" s="76" t="str">
        <x:f>IF(A208="","",F208-G208)</x:f>
      </x:c>
      <x:c r="I208" s="77" t="str">
        <x:f>IF(A208="","",IF(E208="","기타/불명",IF(IFERROR(SEARCH("급여",E208),0)&gt;0,"인건비",IF(IFERROR(SEARCH("임차",E208),0)&gt;0,"임차·시설",IF(IFERROR(SEARCH("광고",E208),0)&gt;0,"광고·행사",IF(IFERROR(SEARCH("용역",E208),0)&gt;0,"용역·수수료","기타/불명"))))))</x:f>
      </x:c>
      <x:c r="J208" s="77" t="str">
        <x:f>IF(A208="","",IF(I208="기타/불명","확인 필요","결의서명으로 1차 확인"))</x:f>
      </x:c>
      <x:c r="K208" s="78"/>
    </x:row>
    <x:row r="209">
      <x:c r="A209" s="73"/>
      <x:c r="B209" s="73"/>
      <x:c r="C209" s="74"/>
      <x:c r="D209" s="73"/>
      <x:c r="E209" s="73"/>
      <x:c r="F209" s="75"/>
      <x:c r="G209" s="75"/>
      <x:c r="H209" s="76" t="str">
        <x:f>IF(A209="","",F209-G209)</x:f>
      </x:c>
      <x:c r="I209" s="77" t="str">
        <x:f>IF(A209="","",IF(E209="","기타/불명",IF(IFERROR(SEARCH("급여",E209),0)&gt;0,"인건비",IF(IFERROR(SEARCH("임차",E209),0)&gt;0,"임차·시설",IF(IFERROR(SEARCH("광고",E209),0)&gt;0,"광고·행사",IF(IFERROR(SEARCH("용역",E209),0)&gt;0,"용역·수수료","기타/불명"))))))</x:f>
      </x:c>
      <x:c r="J209" s="77" t="str">
        <x:f>IF(A209="","",IF(I209="기타/불명","확인 필요","결의서명으로 1차 확인"))</x:f>
      </x:c>
      <x:c r="K209" s="78"/>
    </x:row>
    <x:row r="210">
      <x:c r="A210" s="73"/>
      <x:c r="B210" s="73"/>
      <x:c r="C210" s="74"/>
      <x:c r="D210" s="73"/>
      <x:c r="E210" s="73"/>
      <x:c r="F210" s="75"/>
      <x:c r="G210" s="75"/>
      <x:c r="H210" s="76" t="str">
        <x:f>IF(A210="","",F210-G210)</x:f>
      </x:c>
      <x:c r="I210" s="77" t="str">
        <x:f>IF(A210="","",IF(E210="","기타/불명",IF(IFERROR(SEARCH("급여",E210),0)&gt;0,"인건비",IF(IFERROR(SEARCH("임차",E210),0)&gt;0,"임차·시설",IF(IFERROR(SEARCH("광고",E210),0)&gt;0,"광고·행사",IF(IFERROR(SEARCH("용역",E210),0)&gt;0,"용역·수수료","기타/불명"))))))</x:f>
      </x:c>
      <x:c r="J210" s="77" t="str">
        <x:f>IF(A210="","",IF(I210="기타/불명","확인 필요","결의서명으로 1차 확인"))</x:f>
      </x:c>
      <x:c r="K210" s="78"/>
    </x:row>
    <x:row r="211">
      <x:c r="A211" s="73"/>
      <x:c r="B211" s="73"/>
      <x:c r="C211" s="74"/>
      <x:c r="D211" s="73"/>
      <x:c r="E211" s="73"/>
      <x:c r="F211" s="75"/>
      <x:c r="G211" s="75"/>
      <x:c r="H211" s="76" t="str">
        <x:f>IF(A211="","",F211-G211)</x:f>
      </x:c>
      <x:c r="I211" s="77" t="str">
        <x:f>IF(A211="","",IF(E211="","기타/불명",IF(IFERROR(SEARCH("급여",E211),0)&gt;0,"인건비",IF(IFERROR(SEARCH("임차",E211),0)&gt;0,"임차·시설",IF(IFERROR(SEARCH("광고",E211),0)&gt;0,"광고·행사",IF(IFERROR(SEARCH("용역",E211),0)&gt;0,"용역·수수료","기타/불명"))))))</x:f>
      </x:c>
      <x:c r="J211" s="77" t="str">
        <x:f>IF(A211="","",IF(I211="기타/불명","확인 필요","결의서명으로 1차 확인"))</x:f>
      </x:c>
      <x:c r="K211" s="78"/>
    </x:row>
    <x:row r="212">
      <x:c r="A212" s="73"/>
      <x:c r="B212" s="73"/>
      <x:c r="C212" s="74"/>
      <x:c r="D212" s="73"/>
      <x:c r="E212" s="73"/>
      <x:c r="F212" s="75"/>
      <x:c r="G212" s="75"/>
      <x:c r="H212" s="76" t="str">
        <x:f>IF(A212="","",F212-G212)</x:f>
      </x:c>
      <x:c r="I212" s="77" t="str">
        <x:f>IF(A212="","",IF(E212="","기타/불명",IF(IFERROR(SEARCH("급여",E212),0)&gt;0,"인건비",IF(IFERROR(SEARCH("임차",E212),0)&gt;0,"임차·시설",IF(IFERROR(SEARCH("광고",E212),0)&gt;0,"광고·행사",IF(IFERROR(SEARCH("용역",E212),0)&gt;0,"용역·수수료","기타/불명"))))))</x:f>
      </x:c>
      <x:c r="J212" s="77" t="str">
        <x:f>IF(A212="","",IF(I212="기타/불명","확인 필요","결의서명으로 1차 확인"))</x:f>
      </x:c>
      <x:c r="K212" s="78"/>
    </x:row>
    <x:row r="213">
      <x:c r="A213" s="73"/>
      <x:c r="B213" s="73"/>
      <x:c r="C213" s="74"/>
      <x:c r="D213" s="73"/>
      <x:c r="E213" s="73"/>
      <x:c r="F213" s="75"/>
      <x:c r="G213" s="75"/>
      <x:c r="H213" s="76" t="str">
        <x:f>IF(A213="","",F213-G213)</x:f>
      </x:c>
      <x:c r="I213" s="77" t="str">
        <x:f>IF(A213="","",IF(E213="","기타/불명",IF(IFERROR(SEARCH("급여",E213),0)&gt;0,"인건비",IF(IFERROR(SEARCH("임차",E213),0)&gt;0,"임차·시설",IF(IFERROR(SEARCH("광고",E213),0)&gt;0,"광고·행사",IF(IFERROR(SEARCH("용역",E213),0)&gt;0,"용역·수수료","기타/불명"))))))</x:f>
      </x:c>
      <x:c r="J213" s="77" t="str">
        <x:f>IF(A213="","",IF(I213="기타/불명","확인 필요","결의서명으로 1차 확인"))</x:f>
      </x:c>
      <x:c r="K213" s="78"/>
    </x:row>
    <x:row r="214">
      <x:c r="A214" s="73"/>
      <x:c r="B214" s="73"/>
      <x:c r="C214" s="74"/>
      <x:c r="D214" s="73"/>
      <x:c r="E214" s="73"/>
      <x:c r="F214" s="75"/>
      <x:c r="G214" s="75"/>
      <x:c r="H214" s="76" t="str">
        <x:f>IF(A214="","",F214-G214)</x:f>
      </x:c>
      <x:c r="I214" s="77" t="str">
        <x:f>IF(A214="","",IF(E214="","기타/불명",IF(IFERROR(SEARCH("급여",E214),0)&gt;0,"인건비",IF(IFERROR(SEARCH("임차",E214),0)&gt;0,"임차·시설",IF(IFERROR(SEARCH("광고",E214),0)&gt;0,"광고·행사",IF(IFERROR(SEARCH("용역",E214),0)&gt;0,"용역·수수료","기타/불명"))))))</x:f>
      </x:c>
      <x:c r="J214" s="77" t="str">
        <x:f>IF(A214="","",IF(I214="기타/불명","확인 필요","결의서명으로 1차 확인"))</x:f>
      </x:c>
      <x:c r="K214" s="78"/>
    </x:row>
    <x:row r="215">
      <x:c r="A215" s="73"/>
      <x:c r="B215" s="73"/>
      <x:c r="C215" s="74"/>
      <x:c r="D215" s="73"/>
      <x:c r="E215" s="73"/>
      <x:c r="F215" s="75"/>
      <x:c r="G215" s="75"/>
      <x:c r="H215" s="76" t="str">
        <x:f>IF(A215="","",F215-G215)</x:f>
      </x:c>
      <x:c r="I215" s="77" t="str">
        <x:f>IF(A215="","",IF(E215="","기타/불명",IF(IFERROR(SEARCH("급여",E215),0)&gt;0,"인건비",IF(IFERROR(SEARCH("임차",E215),0)&gt;0,"임차·시설",IF(IFERROR(SEARCH("광고",E215),0)&gt;0,"광고·행사",IF(IFERROR(SEARCH("용역",E215),0)&gt;0,"용역·수수료","기타/불명"))))))</x:f>
      </x:c>
      <x:c r="J215" s="77" t="str">
        <x:f>IF(A215="","",IF(I215="기타/불명","확인 필요","결의서명으로 1차 확인"))</x:f>
      </x:c>
      <x:c r="K215" s="78"/>
    </x:row>
    <x:row r="216">
      <x:c r="A216" s="73"/>
      <x:c r="B216" s="73"/>
      <x:c r="C216" s="74"/>
      <x:c r="D216" s="73"/>
      <x:c r="E216" s="73"/>
      <x:c r="F216" s="75"/>
      <x:c r="G216" s="75"/>
      <x:c r="H216" s="76" t="str">
        <x:f>IF(A216="","",F216-G216)</x:f>
      </x:c>
      <x:c r="I216" s="77" t="str">
        <x:f>IF(A216="","",IF(E216="","기타/불명",IF(IFERROR(SEARCH("급여",E216),0)&gt;0,"인건비",IF(IFERROR(SEARCH("임차",E216),0)&gt;0,"임차·시설",IF(IFERROR(SEARCH("광고",E216),0)&gt;0,"광고·행사",IF(IFERROR(SEARCH("용역",E216),0)&gt;0,"용역·수수료","기타/불명"))))))</x:f>
      </x:c>
      <x:c r="J216" s="77" t="str">
        <x:f>IF(A216="","",IF(I216="기타/불명","확인 필요","결의서명으로 1차 확인"))</x:f>
      </x:c>
      <x:c r="K216" s="78"/>
    </x:row>
    <x:row r="217">
      <x:c r="A217" s="73"/>
      <x:c r="B217" s="73"/>
      <x:c r="C217" s="74"/>
      <x:c r="D217" s="73"/>
      <x:c r="E217" s="73"/>
      <x:c r="F217" s="75"/>
      <x:c r="G217" s="75"/>
      <x:c r="H217" s="76" t="str">
        <x:f>IF(A217="","",F217-G217)</x:f>
      </x:c>
      <x:c r="I217" s="77" t="str">
        <x:f>IF(A217="","",IF(E217="","기타/불명",IF(IFERROR(SEARCH("급여",E217),0)&gt;0,"인건비",IF(IFERROR(SEARCH("임차",E217),0)&gt;0,"임차·시설",IF(IFERROR(SEARCH("광고",E217),0)&gt;0,"광고·행사",IF(IFERROR(SEARCH("용역",E217),0)&gt;0,"용역·수수료","기타/불명"))))))</x:f>
      </x:c>
      <x:c r="J217" s="77" t="str">
        <x:f>IF(A217="","",IF(I217="기타/불명","확인 필요","결의서명으로 1차 확인"))</x:f>
      </x:c>
      <x:c r="K217" s="78"/>
    </x:row>
    <x:row r="218">
      <x:c r="A218" s="73"/>
      <x:c r="B218" s="73"/>
      <x:c r="C218" s="74"/>
      <x:c r="D218" s="73"/>
      <x:c r="E218" s="73"/>
      <x:c r="F218" s="75"/>
      <x:c r="G218" s="75"/>
      <x:c r="H218" s="76" t="str">
        <x:f>IF(A218="","",F218-G218)</x:f>
      </x:c>
      <x:c r="I218" s="77" t="str">
        <x:f>IF(A218="","",IF(E218="","기타/불명",IF(IFERROR(SEARCH("급여",E218),0)&gt;0,"인건비",IF(IFERROR(SEARCH("임차",E218),0)&gt;0,"임차·시설",IF(IFERROR(SEARCH("광고",E218),0)&gt;0,"광고·행사",IF(IFERROR(SEARCH("용역",E218),0)&gt;0,"용역·수수료","기타/불명"))))))</x:f>
      </x:c>
      <x:c r="J218" s="77" t="str">
        <x:f>IF(A218="","",IF(I218="기타/불명","확인 필요","결의서명으로 1차 확인"))</x:f>
      </x:c>
      <x:c r="K218" s="78"/>
    </x:row>
    <x:row r="219">
      <x:c r="A219" s="73"/>
      <x:c r="B219" s="73"/>
      <x:c r="C219" s="74"/>
      <x:c r="D219" s="73"/>
      <x:c r="E219" s="73"/>
      <x:c r="F219" s="75"/>
      <x:c r="G219" s="75"/>
      <x:c r="H219" s="76" t="str">
        <x:f>IF(A219="","",F219-G219)</x:f>
      </x:c>
      <x:c r="I219" s="77" t="str">
        <x:f>IF(A219="","",IF(E219="","기타/불명",IF(IFERROR(SEARCH("급여",E219),0)&gt;0,"인건비",IF(IFERROR(SEARCH("임차",E219),0)&gt;0,"임차·시설",IF(IFERROR(SEARCH("광고",E219),0)&gt;0,"광고·행사",IF(IFERROR(SEARCH("용역",E219),0)&gt;0,"용역·수수료","기타/불명"))))))</x:f>
      </x:c>
      <x:c r="J219" s="77" t="str">
        <x:f>IF(A219="","",IF(I219="기타/불명","확인 필요","결의서명으로 1차 확인"))</x:f>
      </x:c>
      <x:c r="K219" s="78"/>
    </x:row>
    <x:row r="220">
      <x:c r="A220" s="73"/>
      <x:c r="B220" s="73"/>
      <x:c r="C220" s="74"/>
      <x:c r="D220" s="73"/>
      <x:c r="E220" s="73"/>
      <x:c r="F220" s="75"/>
      <x:c r="G220" s="75"/>
      <x:c r="H220" s="76" t="str">
        <x:f>IF(A220="","",F220-G220)</x:f>
      </x:c>
      <x:c r="I220" s="77" t="str">
        <x:f>IF(A220="","",IF(E220="","기타/불명",IF(IFERROR(SEARCH("급여",E220),0)&gt;0,"인건비",IF(IFERROR(SEARCH("임차",E220),0)&gt;0,"임차·시설",IF(IFERROR(SEARCH("광고",E220),0)&gt;0,"광고·행사",IF(IFERROR(SEARCH("용역",E220),0)&gt;0,"용역·수수료","기타/불명"))))))</x:f>
      </x:c>
      <x:c r="J220" s="77" t="str">
        <x:f>IF(A220="","",IF(I220="기타/불명","확인 필요","결의서명으로 1차 확인"))</x:f>
      </x:c>
      <x:c r="K220" s="78"/>
    </x:row>
    <x:row r="221">
      <x:c r="A221" s="73"/>
      <x:c r="B221" s="73"/>
      <x:c r="C221" s="74"/>
      <x:c r="D221" s="73"/>
      <x:c r="E221" s="73"/>
      <x:c r="F221" s="75"/>
      <x:c r="G221" s="75"/>
      <x:c r="H221" s="76" t="str">
        <x:f>IF(A221="","",F221-G221)</x:f>
      </x:c>
      <x:c r="I221" s="77" t="str">
        <x:f>IF(A221="","",IF(E221="","기타/불명",IF(IFERROR(SEARCH("급여",E221),0)&gt;0,"인건비",IF(IFERROR(SEARCH("임차",E221),0)&gt;0,"임차·시설",IF(IFERROR(SEARCH("광고",E221),0)&gt;0,"광고·행사",IF(IFERROR(SEARCH("용역",E221),0)&gt;0,"용역·수수료","기타/불명"))))))</x:f>
      </x:c>
      <x:c r="J221" s="77" t="str">
        <x:f>IF(A221="","",IF(I221="기타/불명","확인 필요","결의서명으로 1차 확인"))</x:f>
      </x:c>
      <x:c r="K221" s="78"/>
    </x:row>
    <x:row r="222">
      <x:c r="A222" s="73"/>
      <x:c r="B222" s="73"/>
      <x:c r="C222" s="74"/>
      <x:c r="D222" s="73"/>
      <x:c r="E222" s="73"/>
      <x:c r="F222" s="75"/>
      <x:c r="G222" s="75"/>
      <x:c r="H222" s="76" t="str">
        <x:f>IF(A222="","",F222-G222)</x:f>
      </x:c>
      <x:c r="I222" s="77" t="str">
        <x:f>IF(A222="","",IF(E222="","기타/불명",IF(IFERROR(SEARCH("급여",E222),0)&gt;0,"인건비",IF(IFERROR(SEARCH("임차",E222),0)&gt;0,"임차·시설",IF(IFERROR(SEARCH("광고",E222),0)&gt;0,"광고·행사",IF(IFERROR(SEARCH("용역",E222),0)&gt;0,"용역·수수료","기타/불명"))))))</x:f>
      </x:c>
      <x:c r="J222" s="77" t="str">
        <x:f>IF(A222="","",IF(I222="기타/불명","확인 필요","결의서명으로 1차 확인"))</x:f>
      </x:c>
      <x:c r="K222" s="78"/>
    </x:row>
    <x:row r="223">
      <x:c r="A223" s="73"/>
      <x:c r="B223" s="73"/>
      <x:c r="C223" s="74"/>
      <x:c r="D223" s="73"/>
      <x:c r="E223" s="73"/>
      <x:c r="F223" s="75"/>
      <x:c r="G223" s="75"/>
      <x:c r="H223" s="76" t="str">
        <x:f>IF(A223="","",F223-G223)</x:f>
      </x:c>
      <x:c r="I223" s="77" t="str">
        <x:f>IF(A223="","",IF(E223="","기타/불명",IF(IFERROR(SEARCH("급여",E223),0)&gt;0,"인건비",IF(IFERROR(SEARCH("임차",E223),0)&gt;0,"임차·시설",IF(IFERROR(SEARCH("광고",E223),0)&gt;0,"광고·행사",IF(IFERROR(SEARCH("용역",E223),0)&gt;0,"용역·수수료","기타/불명"))))))</x:f>
      </x:c>
      <x:c r="J223" s="77" t="str">
        <x:f>IF(A223="","",IF(I223="기타/불명","확인 필요","결의서명으로 1차 확인"))</x:f>
      </x:c>
      <x:c r="K223" s="78"/>
    </x:row>
    <x:row r="224">
      <x:c r="A224" s="73"/>
      <x:c r="B224" s="73"/>
      <x:c r="C224" s="74"/>
      <x:c r="D224" s="73"/>
      <x:c r="E224" s="73"/>
      <x:c r="F224" s="75"/>
      <x:c r="G224" s="75"/>
      <x:c r="H224" s="76" t="str">
        <x:f>IF(A224="","",F224-G224)</x:f>
      </x:c>
      <x:c r="I224" s="77" t="str">
        <x:f>IF(A224="","",IF(E224="","기타/불명",IF(IFERROR(SEARCH("급여",E224),0)&gt;0,"인건비",IF(IFERROR(SEARCH("임차",E224),0)&gt;0,"임차·시설",IF(IFERROR(SEARCH("광고",E224),0)&gt;0,"광고·행사",IF(IFERROR(SEARCH("용역",E224),0)&gt;0,"용역·수수료","기타/불명"))))))</x:f>
      </x:c>
      <x:c r="J224" s="77" t="str">
        <x:f>IF(A224="","",IF(I224="기타/불명","확인 필요","결의서명으로 1차 확인"))</x:f>
      </x:c>
      <x:c r="K224" s="78"/>
    </x:row>
    <x:row r="225">
      <x:c r="A225" s="73"/>
      <x:c r="B225" s="73"/>
      <x:c r="C225" s="74"/>
      <x:c r="D225" s="73"/>
      <x:c r="E225" s="73"/>
      <x:c r="F225" s="75"/>
      <x:c r="G225" s="75"/>
      <x:c r="H225" s="76" t="str">
        <x:f>IF(A225="","",F225-G225)</x:f>
      </x:c>
      <x:c r="I225" s="77" t="str">
        <x:f>IF(A225="","",IF(E225="","기타/불명",IF(IFERROR(SEARCH("급여",E225),0)&gt;0,"인건비",IF(IFERROR(SEARCH("임차",E225),0)&gt;0,"임차·시설",IF(IFERROR(SEARCH("광고",E225),0)&gt;0,"광고·행사",IF(IFERROR(SEARCH("용역",E225),0)&gt;0,"용역·수수료","기타/불명"))))))</x:f>
      </x:c>
      <x:c r="J225" s="77" t="str">
        <x:f>IF(A225="","",IF(I225="기타/불명","확인 필요","결의서명으로 1차 확인"))</x:f>
      </x:c>
      <x:c r="K225" s="78"/>
    </x:row>
    <x:row r="226">
      <x:c r="A226" s="73"/>
      <x:c r="B226" s="73"/>
      <x:c r="C226" s="74"/>
      <x:c r="D226" s="73"/>
      <x:c r="E226" s="73"/>
      <x:c r="F226" s="75"/>
      <x:c r="G226" s="75"/>
      <x:c r="H226" s="76" t="str">
        <x:f>IF(A226="","",F226-G226)</x:f>
      </x:c>
      <x:c r="I226" s="77" t="str">
        <x:f>IF(A226="","",IF(E226="","기타/불명",IF(IFERROR(SEARCH("급여",E226),0)&gt;0,"인건비",IF(IFERROR(SEARCH("임차",E226),0)&gt;0,"임차·시설",IF(IFERROR(SEARCH("광고",E226),0)&gt;0,"광고·행사",IF(IFERROR(SEARCH("용역",E226),0)&gt;0,"용역·수수료","기타/불명"))))))</x:f>
      </x:c>
      <x:c r="J226" s="77" t="str">
        <x:f>IF(A226="","",IF(I226="기타/불명","확인 필요","결의서명으로 1차 확인"))</x:f>
      </x:c>
      <x:c r="K226" s="78"/>
    </x:row>
    <x:row r="227">
      <x:c r="A227" s="73"/>
      <x:c r="B227" s="73"/>
      <x:c r="C227" s="74"/>
      <x:c r="D227" s="73"/>
      <x:c r="E227" s="73"/>
      <x:c r="F227" s="75"/>
      <x:c r="G227" s="75"/>
      <x:c r="H227" s="76" t="str">
        <x:f>IF(A227="","",F227-G227)</x:f>
      </x:c>
      <x:c r="I227" s="77" t="str">
        <x:f>IF(A227="","",IF(E227="","기타/불명",IF(IFERROR(SEARCH("급여",E227),0)&gt;0,"인건비",IF(IFERROR(SEARCH("임차",E227),0)&gt;0,"임차·시설",IF(IFERROR(SEARCH("광고",E227),0)&gt;0,"광고·행사",IF(IFERROR(SEARCH("용역",E227),0)&gt;0,"용역·수수료","기타/불명"))))))</x:f>
      </x:c>
      <x:c r="J227" s="77" t="str">
        <x:f>IF(A227="","",IF(I227="기타/불명","확인 필요","결의서명으로 1차 확인"))</x:f>
      </x:c>
      <x:c r="K227" s="78"/>
    </x:row>
    <x:row r="228">
      <x:c r="A228" s="73"/>
      <x:c r="B228" s="73"/>
      <x:c r="C228" s="74"/>
      <x:c r="D228" s="73"/>
      <x:c r="E228" s="73"/>
      <x:c r="F228" s="75"/>
      <x:c r="G228" s="75"/>
      <x:c r="H228" s="76" t="str">
        <x:f>IF(A228="","",F228-G228)</x:f>
      </x:c>
      <x:c r="I228" s="77" t="str">
        <x:f>IF(A228="","",IF(E228="","기타/불명",IF(IFERROR(SEARCH("급여",E228),0)&gt;0,"인건비",IF(IFERROR(SEARCH("임차",E228),0)&gt;0,"임차·시설",IF(IFERROR(SEARCH("광고",E228),0)&gt;0,"광고·행사",IF(IFERROR(SEARCH("용역",E228),0)&gt;0,"용역·수수료","기타/불명"))))))</x:f>
      </x:c>
      <x:c r="J228" s="77" t="str">
        <x:f>IF(A228="","",IF(I228="기타/불명","확인 필요","결의서명으로 1차 확인"))</x:f>
      </x:c>
      <x:c r="K228" s="78"/>
    </x:row>
    <x:row r="229">
      <x:c r="A229" s="73"/>
      <x:c r="B229" s="73"/>
      <x:c r="C229" s="74"/>
      <x:c r="D229" s="73"/>
      <x:c r="E229" s="73"/>
      <x:c r="F229" s="75"/>
      <x:c r="G229" s="75"/>
      <x:c r="H229" s="76" t="str">
        <x:f>IF(A229="","",F229-G229)</x:f>
      </x:c>
      <x:c r="I229" s="77" t="str">
        <x:f>IF(A229="","",IF(E229="","기타/불명",IF(IFERROR(SEARCH("급여",E229),0)&gt;0,"인건비",IF(IFERROR(SEARCH("임차",E229),0)&gt;0,"임차·시설",IF(IFERROR(SEARCH("광고",E229),0)&gt;0,"광고·행사",IF(IFERROR(SEARCH("용역",E229),0)&gt;0,"용역·수수료","기타/불명"))))))</x:f>
      </x:c>
      <x:c r="J229" s="77" t="str">
        <x:f>IF(A229="","",IF(I229="기타/불명","확인 필요","결의서명으로 1차 확인"))</x:f>
      </x:c>
      <x:c r="K229" s="78"/>
    </x:row>
    <x:row r="230">
      <x:c r="A230" s="73"/>
      <x:c r="B230" s="73"/>
      <x:c r="C230" s="74"/>
      <x:c r="D230" s="73"/>
      <x:c r="E230" s="73"/>
      <x:c r="F230" s="75"/>
      <x:c r="G230" s="75"/>
      <x:c r="H230" s="76" t="str">
        <x:f>IF(A230="","",F230-G230)</x:f>
      </x:c>
      <x:c r="I230" s="77" t="str">
        <x:f>IF(A230="","",IF(E230="","기타/불명",IF(IFERROR(SEARCH("급여",E230),0)&gt;0,"인건비",IF(IFERROR(SEARCH("임차",E230),0)&gt;0,"임차·시설",IF(IFERROR(SEARCH("광고",E230),0)&gt;0,"광고·행사",IF(IFERROR(SEARCH("용역",E230),0)&gt;0,"용역·수수료","기타/불명"))))))</x:f>
      </x:c>
      <x:c r="J230" s="77" t="str">
        <x:f>IF(A230="","",IF(I230="기타/불명","확인 필요","결의서명으로 1차 확인"))</x:f>
      </x:c>
      <x:c r="K230" s="78"/>
    </x:row>
    <x:row r="231">
      <x:c r="A231" s="73"/>
      <x:c r="B231" s="73"/>
      <x:c r="C231" s="74"/>
      <x:c r="D231" s="73"/>
      <x:c r="E231" s="73"/>
      <x:c r="F231" s="75"/>
      <x:c r="G231" s="75"/>
      <x:c r="H231" s="76" t="str">
        <x:f>IF(A231="","",F231-G231)</x:f>
      </x:c>
      <x:c r="I231" s="77" t="str">
        <x:f>IF(A231="","",IF(E231="","기타/불명",IF(IFERROR(SEARCH("급여",E231),0)&gt;0,"인건비",IF(IFERROR(SEARCH("임차",E231),0)&gt;0,"임차·시설",IF(IFERROR(SEARCH("광고",E231),0)&gt;0,"광고·행사",IF(IFERROR(SEARCH("용역",E231),0)&gt;0,"용역·수수료","기타/불명"))))))</x:f>
      </x:c>
      <x:c r="J231" s="77" t="str">
        <x:f>IF(A231="","",IF(I231="기타/불명","확인 필요","결의서명으로 1차 확인"))</x:f>
      </x:c>
      <x:c r="K231" s="78"/>
    </x:row>
    <x:row r="232">
      <x:c r="A232" s="73"/>
      <x:c r="B232" s="73"/>
      <x:c r="C232" s="74"/>
      <x:c r="D232" s="73"/>
      <x:c r="E232" s="73"/>
      <x:c r="F232" s="75"/>
      <x:c r="G232" s="75"/>
      <x:c r="H232" s="76" t="str">
        <x:f>IF(A232="","",F232-G232)</x:f>
      </x:c>
      <x:c r="I232" s="77" t="str">
        <x:f>IF(A232="","",IF(E232="","기타/불명",IF(IFERROR(SEARCH("급여",E232),0)&gt;0,"인건비",IF(IFERROR(SEARCH("임차",E232),0)&gt;0,"임차·시설",IF(IFERROR(SEARCH("광고",E232),0)&gt;0,"광고·행사",IF(IFERROR(SEARCH("용역",E232),0)&gt;0,"용역·수수료","기타/불명"))))))</x:f>
      </x:c>
      <x:c r="J232" s="77" t="str">
        <x:f>IF(A232="","",IF(I232="기타/불명","확인 필요","결의서명으로 1차 확인"))</x:f>
      </x:c>
      <x:c r="K232" s="78"/>
    </x:row>
    <x:row r="233">
      <x:c r="A233" s="73"/>
      <x:c r="B233" s="73"/>
      <x:c r="C233" s="74"/>
      <x:c r="D233" s="73"/>
      <x:c r="E233" s="73"/>
      <x:c r="F233" s="75"/>
      <x:c r="G233" s="75"/>
      <x:c r="H233" s="76" t="str">
        <x:f>IF(A233="","",F233-G233)</x:f>
      </x:c>
      <x:c r="I233" s="77" t="str">
        <x:f>IF(A233="","",IF(E233="","기타/불명",IF(IFERROR(SEARCH("급여",E233),0)&gt;0,"인건비",IF(IFERROR(SEARCH("임차",E233),0)&gt;0,"임차·시설",IF(IFERROR(SEARCH("광고",E233),0)&gt;0,"광고·행사",IF(IFERROR(SEARCH("용역",E233),0)&gt;0,"용역·수수료","기타/불명"))))))</x:f>
      </x:c>
      <x:c r="J233" s="77" t="str">
        <x:f>IF(A233="","",IF(I233="기타/불명","확인 필요","결의서명으로 1차 확인"))</x:f>
      </x:c>
      <x:c r="K233" s="78"/>
    </x:row>
    <x:row r="234">
      <x:c r="A234" s="73"/>
      <x:c r="B234" s="73"/>
      <x:c r="C234" s="74"/>
      <x:c r="D234" s="73"/>
      <x:c r="E234" s="73"/>
      <x:c r="F234" s="75"/>
      <x:c r="G234" s="75"/>
      <x:c r="H234" s="76" t="str">
        <x:f>IF(A234="","",F234-G234)</x:f>
      </x:c>
      <x:c r="I234" s="77" t="str">
        <x:f>IF(A234="","",IF(E234="","기타/불명",IF(IFERROR(SEARCH("급여",E234),0)&gt;0,"인건비",IF(IFERROR(SEARCH("임차",E234),0)&gt;0,"임차·시설",IF(IFERROR(SEARCH("광고",E234),0)&gt;0,"광고·행사",IF(IFERROR(SEARCH("용역",E234),0)&gt;0,"용역·수수료","기타/불명"))))))</x:f>
      </x:c>
      <x:c r="J234" s="77" t="str">
        <x:f>IF(A234="","",IF(I234="기타/불명","확인 필요","결의서명으로 1차 확인"))</x:f>
      </x:c>
      <x:c r="K234" s="78"/>
    </x:row>
    <x:row r="235">
      <x:c r="A235" s="73"/>
      <x:c r="B235" s="73"/>
      <x:c r="C235" s="74"/>
      <x:c r="D235" s="73"/>
      <x:c r="E235" s="73"/>
      <x:c r="F235" s="75"/>
      <x:c r="G235" s="75"/>
      <x:c r="H235" s="76" t="str">
        <x:f>IF(A235="","",F235-G235)</x:f>
      </x:c>
      <x:c r="I235" s="77" t="str">
        <x:f>IF(A235="","",IF(E235="","기타/불명",IF(IFERROR(SEARCH("급여",E235),0)&gt;0,"인건비",IF(IFERROR(SEARCH("임차",E235),0)&gt;0,"임차·시설",IF(IFERROR(SEARCH("광고",E235),0)&gt;0,"광고·행사",IF(IFERROR(SEARCH("용역",E235),0)&gt;0,"용역·수수료","기타/불명"))))))</x:f>
      </x:c>
      <x:c r="J235" s="77" t="str">
        <x:f>IF(A235="","",IF(I235="기타/불명","확인 필요","결의서명으로 1차 확인"))</x:f>
      </x:c>
      <x:c r="K235" s="78"/>
    </x:row>
    <x:row r="236">
      <x:c r="A236" s="73"/>
      <x:c r="B236" s="73"/>
      <x:c r="C236" s="74"/>
      <x:c r="D236" s="73"/>
      <x:c r="E236" s="73"/>
      <x:c r="F236" s="75"/>
      <x:c r="G236" s="75"/>
      <x:c r="H236" s="76" t="str">
        <x:f>IF(A236="","",F236-G236)</x:f>
      </x:c>
      <x:c r="I236" s="77" t="str">
        <x:f>IF(A236="","",IF(E236="","기타/불명",IF(IFERROR(SEARCH("급여",E236),0)&gt;0,"인건비",IF(IFERROR(SEARCH("임차",E236),0)&gt;0,"임차·시설",IF(IFERROR(SEARCH("광고",E236),0)&gt;0,"광고·행사",IF(IFERROR(SEARCH("용역",E236),0)&gt;0,"용역·수수료","기타/불명"))))))</x:f>
      </x:c>
      <x:c r="J236" s="77" t="str">
        <x:f>IF(A236="","",IF(I236="기타/불명","확인 필요","결의서명으로 1차 확인"))</x:f>
      </x:c>
      <x:c r="K236" s="78"/>
    </x:row>
    <x:row r="237">
      <x:c r="A237" s="73"/>
      <x:c r="B237" s="73"/>
      <x:c r="C237" s="74"/>
      <x:c r="D237" s="73"/>
      <x:c r="E237" s="73"/>
      <x:c r="F237" s="75"/>
      <x:c r="G237" s="75"/>
      <x:c r="H237" s="76" t="str">
        <x:f>IF(A237="","",F237-G237)</x:f>
      </x:c>
      <x:c r="I237" s="77" t="str">
        <x:f>IF(A237="","",IF(E237="","기타/불명",IF(IFERROR(SEARCH("급여",E237),0)&gt;0,"인건비",IF(IFERROR(SEARCH("임차",E237),0)&gt;0,"임차·시설",IF(IFERROR(SEARCH("광고",E237),0)&gt;0,"광고·행사",IF(IFERROR(SEARCH("용역",E237),0)&gt;0,"용역·수수료","기타/불명"))))))</x:f>
      </x:c>
      <x:c r="J237" s="77" t="str">
        <x:f>IF(A237="","",IF(I237="기타/불명","확인 필요","결의서명으로 1차 확인"))</x:f>
      </x:c>
      <x:c r="K237" s="78"/>
    </x:row>
    <x:row r="238">
      <x:c r="A238" s="73"/>
      <x:c r="B238" s="73"/>
      <x:c r="C238" s="74"/>
      <x:c r="D238" s="73"/>
      <x:c r="E238" s="73"/>
      <x:c r="F238" s="75"/>
      <x:c r="G238" s="75"/>
      <x:c r="H238" s="76" t="str">
        <x:f>IF(A238="","",F238-G238)</x:f>
      </x:c>
      <x:c r="I238" s="77" t="str">
        <x:f>IF(A238="","",IF(E238="","기타/불명",IF(IFERROR(SEARCH("급여",E238),0)&gt;0,"인건비",IF(IFERROR(SEARCH("임차",E238),0)&gt;0,"임차·시설",IF(IFERROR(SEARCH("광고",E238),0)&gt;0,"광고·행사",IF(IFERROR(SEARCH("용역",E238),0)&gt;0,"용역·수수료","기타/불명"))))))</x:f>
      </x:c>
      <x:c r="J238" s="77" t="str">
        <x:f>IF(A238="","",IF(I238="기타/불명","확인 필요","결의서명으로 1차 확인"))</x:f>
      </x:c>
      <x:c r="K238" s="78"/>
    </x:row>
    <x:row r="239">
      <x:c r="A239" s="73"/>
      <x:c r="B239" s="73"/>
      <x:c r="C239" s="74"/>
      <x:c r="D239" s="73"/>
      <x:c r="E239" s="73"/>
      <x:c r="F239" s="75"/>
      <x:c r="G239" s="75"/>
      <x:c r="H239" s="76" t="str">
        <x:f>IF(A239="","",F239-G239)</x:f>
      </x:c>
      <x:c r="I239" s="77" t="str">
        <x:f>IF(A239="","",IF(E239="","기타/불명",IF(IFERROR(SEARCH("급여",E239),0)&gt;0,"인건비",IF(IFERROR(SEARCH("임차",E239),0)&gt;0,"임차·시설",IF(IFERROR(SEARCH("광고",E239),0)&gt;0,"광고·행사",IF(IFERROR(SEARCH("용역",E239),0)&gt;0,"용역·수수료","기타/불명"))))))</x:f>
      </x:c>
      <x:c r="J239" s="77" t="str">
        <x:f>IF(A239="","",IF(I239="기타/불명","확인 필요","결의서명으로 1차 확인"))</x:f>
      </x:c>
      <x:c r="K239" s="78"/>
    </x:row>
    <x:row r="240">
      <x:c r="A240" s="73"/>
      <x:c r="B240" s="73"/>
      <x:c r="C240" s="74"/>
      <x:c r="D240" s="73"/>
      <x:c r="E240" s="73"/>
      <x:c r="F240" s="75"/>
      <x:c r="G240" s="75"/>
      <x:c r="H240" s="76" t="str">
        <x:f>IF(A240="","",F240-G240)</x:f>
      </x:c>
      <x:c r="I240" s="77" t="str">
        <x:f>IF(A240="","",IF(E240="","기타/불명",IF(IFERROR(SEARCH("급여",E240),0)&gt;0,"인건비",IF(IFERROR(SEARCH("임차",E240),0)&gt;0,"임차·시설",IF(IFERROR(SEARCH("광고",E240),0)&gt;0,"광고·행사",IF(IFERROR(SEARCH("용역",E240),0)&gt;0,"용역·수수료","기타/불명"))))))</x:f>
      </x:c>
      <x:c r="J240" s="77" t="str">
        <x:f>IF(A240="","",IF(I240="기타/불명","확인 필요","결의서명으로 1차 확인"))</x:f>
      </x:c>
      <x:c r="K240" s="78"/>
    </x:row>
    <x:row r="241">
      <x:c r="A241" s="73"/>
      <x:c r="B241" s="73"/>
      <x:c r="C241" s="74"/>
      <x:c r="D241" s="73"/>
      <x:c r="E241" s="73"/>
      <x:c r="F241" s="75"/>
      <x:c r="G241" s="75"/>
      <x:c r="H241" s="76" t="str">
        <x:f>IF(A241="","",F241-G241)</x:f>
      </x:c>
      <x:c r="I241" s="77" t="str">
        <x:f>IF(A241="","",IF(E241="","기타/불명",IF(IFERROR(SEARCH("급여",E241),0)&gt;0,"인건비",IF(IFERROR(SEARCH("임차",E241),0)&gt;0,"임차·시설",IF(IFERROR(SEARCH("광고",E241),0)&gt;0,"광고·행사",IF(IFERROR(SEARCH("용역",E241),0)&gt;0,"용역·수수료","기타/불명"))))))</x:f>
      </x:c>
      <x:c r="J241" s="77" t="str">
        <x:f>IF(A241="","",IF(I241="기타/불명","확인 필요","결의서명으로 1차 확인"))</x:f>
      </x:c>
      <x:c r="K241" s="78"/>
    </x:row>
    <x:row r="242">
      <x:c r="A242" s="73"/>
      <x:c r="B242" s="73"/>
      <x:c r="C242" s="74"/>
      <x:c r="D242" s="73"/>
      <x:c r="E242" s="73"/>
      <x:c r="F242" s="75"/>
      <x:c r="G242" s="75"/>
      <x:c r="H242" s="76" t="str">
        <x:f>IF(A242="","",F242-G242)</x:f>
      </x:c>
      <x:c r="I242" s="77" t="str">
        <x:f>IF(A242="","",IF(E242="","기타/불명",IF(IFERROR(SEARCH("급여",E242),0)&gt;0,"인건비",IF(IFERROR(SEARCH("임차",E242),0)&gt;0,"임차·시설",IF(IFERROR(SEARCH("광고",E242),0)&gt;0,"광고·행사",IF(IFERROR(SEARCH("용역",E242),0)&gt;0,"용역·수수료","기타/불명"))))))</x:f>
      </x:c>
      <x:c r="J242" s="77" t="str">
        <x:f>IF(A242="","",IF(I242="기타/불명","확인 필요","결의서명으로 1차 확인"))</x:f>
      </x:c>
      <x:c r="K242" s="78"/>
    </x:row>
    <x:row r="243">
      <x:c r="A243" s="73"/>
      <x:c r="B243" s="73"/>
      <x:c r="C243" s="74"/>
      <x:c r="D243" s="73"/>
      <x:c r="E243" s="73"/>
      <x:c r="F243" s="75"/>
      <x:c r="G243" s="75"/>
      <x:c r="H243" s="76" t="str">
        <x:f>IF(A243="","",F243-G243)</x:f>
      </x:c>
      <x:c r="I243" s="77" t="str">
        <x:f>IF(A243="","",IF(E243="","기타/불명",IF(IFERROR(SEARCH("급여",E243),0)&gt;0,"인건비",IF(IFERROR(SEARCH("임차",E243),0)&gt;0,"임차·시설",IF(IFERROR(SEARCH("광고",E243),0)&gt;0,"광고·행사",IF(IFERROR(SEARCH("용역",E243),0)&gt;0,"용역·수수료","기타/불명"))))))</x:f>
      </x:c>
      <x:c r="J243" s="77" t="str">
        <x:f>IF(A243="","",IF(I243="기타/불명","확인 필요","결의서명으로 1차 확인"))</x:f>
      </x:c>
      <x:c r="K243" s="78"/>
    </x:row>
    <x:row r="244">
      <x:c r="A244" s="73"/>
      <x:c r="B244" s="73"/>
      <x:c r="C244" s="74"/>
      <x:c r="D244" s="73"/>
      <x:c r="E244" s="73"/>
      <x:c r="F244" s="75"/>
      <x:c r="G244" s="75"/>
      <x:c r="H244" s="76" t="str">
        <x:f>IF(A244="","",F244-G244)</x:f>
      </x:c>
      <x:c r="I244" s="77" t="str">
        <x:f>IF(A244="","",IF(E244="","기타/불명",IF(IFERROR(SEARCH("급여",E244),0)&gt;0,"인건비",IF(IFERROR(SEARCH("임차",E244),0)&gt;0,"임차·시설",IF(IFERROR(SEARCH("광고",E244),0)&gt;0,"광고·행사",IF(IFERROR(SEARCH("용역",E244),0)&gt;0,"용역·수수료","기타/불명"))))))</x:f>
      </x:c>
      <x:c r="J244" s="77" t="str">
        <x:f>IF(A244="","",IF(I244="기타/불명","확인 필요","결의서명으로 1차 확인"))</x:f>
      </x:c>
      <x:c r="K244" s="78"/>
    </x:row>
    <x:row r="245">
      <x:c r="A245" s="73"/>
      <x:c r="B245" s="73"/>
      <x:c r="C245" s="74"/>
      <x:c r="D245" s="73"/>
      <x:c r="E245" s="73"/>
      <x:c r="F245" s="75"/>
      <x:c r="G245" s="75"/>
      <x:c r="H245" s="76" t="str">
        <x:f>IF(A245="","",F245-G245)</x:f>
      </x:c>
      <x:c r="I245" s="77" t="str">
        <x:f>IF(A245="","",IF(E245="","기타/불명",IF(IFERROR(SEARCH("급여",E245),0)&gt;0,"인건비",IF(IFERROR(SEARCH("임차",E245),0)&gt;0,"임차·시설",IF(IFERROR(SEARCH("광고",E245),0)&gt;0,"광고·행사",IF(IFERROR(SEARCH("용역",E245),0)&gt;0,"용역·수수료","기타/불명"))))))</x:f>
      </x:c>
      <x:c r="J245" s="77" t="str">
        <x:f>IF(A245="","",IF(I245="기타/불명","확인 필요","결의서명으로 1차 확인"))</x:f>
      </x:c>
      <x:c r="K245" s="78"/>
    </x:row>
    <x:row r="246">
      <x:c r="A246" s="73"/>
      <x:c r="B246" s="73"/>
      <x:c r="C246" s="74"/>
      <x:c r="D246" s="73"/>
      <x:c r="E246" s="73"/>
      <x:c r="F246" s="75"/>
      <x:c r="G246" s="75"/>
      <x:c r="H246" s="76" t="str">
        <x:f>IF(A246="","",F246-G246)</x:f>
      </x:c>
      <x:c r="I246" s="77" t="str">
        <x:f>IF(A246="","",IF(E246="","기타/불명",IF(IFERROR(SEARCH("급여",E246),0)&gt;0,"인건비",IF(IFERROR(SEARCH("임차",E246),0)&gt;0,"임차·시설",IF(IFERROR(SEARCH("광고",E246),0)&gt;0,"광고·행사",IF(IFERROR(SEARCH("용역",E246),0)&gt;0,"용역·수수료","기타/불명"))))))</x:f>
      </x:c>
      <x:c r="J246" s="77" t="str">
        <x:f>IF(A246="","",IF(I246="기타/불명","확인 필요","결의서명으로 1차 확인"))</x:f>
      </x:c>
      <x:c r="K246" s="78"/>
    </x:row>
    <x:row r="247">
      <x:c r="A247" s="73"/>
      <x:c r="B247" s="73"/>
      <x:c r="C247" s="74"/>
      <x:c r="D247" s="73"/>
      <x:c r="E247" s="73"/>
      <x:c r="F247" s="75"/>
      <x:c r="G247" s="75"/>
      <x:c r="H247" s="76" t="str">
        <x:f>IF(A247="","",F247-G247)</x:f>
      </x:c>
      <x:c r="I247" s="77" t="str">
        <x:f>IF(A247="","",IF(E247="","기타/불명",IF(IFERROR(SEARCH("급여",E247),0)&gt;0,"인건비",IF(IFERROR(SEARCH("임차",E247),0)&gt;0,"임차·시설",IF(IFERROR(SEARCH("광고",E247),0)&gt;0,"광고·행사",IF(IFERROR(SEARCH("용역",E247),0)&gt;0,"용역·수수료","기타/불명"))))))</x:f>
      </x:c>
      <x:c r="J247" s="77" t="str">
        <x:f>IF(A247="","",IF(I247="기타/불명","확인 필요","결의서명으로 1차 확인"))</x:f>
      </x:c>
      <x:c r="K247" s="78"/>
    </x:row>
    <x:row r="248">
      <x:c r="A248" s="73"/>
      <x:c r="B248" s="73"/>
      <x:c r="C248" s="74"/>
      <x:c r="D248" s="73"/>
      <x:c r="E248" s="73"/>
      <x:c r="F248" s="75"/>
      <x:c r="G248" s="75"/>
      <x:c r="H248" s="76" t="str">
        <x:f>IF(A248="","",F248-G248)</x:f>
      </x:c>
      <x:c r="I248" s="77" t="str">
        <x:f>IF(A248="","",IF(E248="","기타/불명",IF(IFERROR(SEARCH("급여",E248),0)&gt;0,"인건비",IF(IFERROR(SEARCH("임차",E248),0)&gt;0,"임차·시설",IF(IFERROR(SEARCH("광고",E248),0)&gt;0,"광고·행사",IF(IFERROR(SEARCH("용역",E248),0)&gt;0,"용역·수수료","기타/불명"))))))</x:f>
      </x:c>
      <x:c r="J248" s="77" t="str">
        <x:f>IF(A248="","",IF(I248="기타/불명","확인 필요","결의서명으로 1차 확인"))</x:f>
      </x:c>
      <x:c r="K248" s="78"/>
    </x:row>
    <x:row r="249">
      <x:c r="A249" s="73"/>
      <x:c r="B249" s="73"/>
      <x:c r="C249" s="74"/>
      <x:c r="D249" s="73"/>
      <x:c r="E249" s="73"/>
      <x:c r="F249" s="75"/>
      <x:c r="G249" s="75"/>
      <x:c r="H249" s="76" t="str">
        <x:f>IF(A249="","",F249-G249)</x:f>
      </x:c>
      <x:c r="I249" s="77" t="str">
        <x:f>IF(A249="","",IF(E249="","기타/불명",IF(IFERROR(SEARCH("급여",E249),0)&gt;0,"인건비",IF(IFERROR(SEARCH("임차",E249),0)&gt;0,"임차·시설",IF(IFERROR(SEARCH("광고",E249),0)&gt;0,"광고·행사",IF(IFERROR(SEARCH("용역",E249),0)&gt;0,"용역·수수료","기타/불명"))))))</x:f>
      </x:c>
      <x:c r="J249" s="77" t="str">
        <x:f>IF(A249="","",IF(I249="기타/불명","확인 필요","결의서명으로 1차 확인"))</x:f>
      </x:c>
      <x:c r="K249" s="78"/>
    </x:row>
    <x:row r="250">
      <x:c r="A250" s="73"/>
      <x:c r="B250" s="73"/>
      <x:c r="C250" s="74"/>
      <x:c r="D250" s="73"/>
      <x:c r="E250" s="73"/>
      <x:c r="F250" s="75"/>
      <x:c r="G250" s="75"/>
      <x:c r="H250" s="76" t="str">
        <x:f>IF(A250="","",F250-G250)</x:f>
      </x:c>
      <x:c r="I250" s="77" t="str">
        <x:f>IF(A250="","",IF(E250="","기타/불명",IF(IFERROR(SEARCH("급여",E250),0)&gt;0,"인건비",IF(IFERROR(SEARCH("임차",E250),0)&gt;0,"임차·시설",IF(IFERROR(SEARCH("광고",E250),0)&gt;0,"광고·행사",IF(IFERROR(SEARCH("용역",E250),0)&gt;0,"용역·수수료","기타/불명"))))))</x:f>
      </x:c>
      <x:c r="J250" s="77" t="str">
        <x:f>IF(A250="","",IF(I250="기타/불명","확인 필요","결의서명으로 1차 확인"))</x:f>
      </x:c>
      <x:c r="K250" s="78"/>
    </x:row>
    <x:row r="251">
      <x:c r="A251" s="73"/>
      <x:c r="B251" s="73"/>
      <x:c r="C251" s="74"/>
      <x:c r="D251" s="73"/>
      <x:c r="E251" s="73"/>
      <x:c r="F251" s="75"/>
      <x:c r="G251" s="75"/>
      <x:c r="H251" s="76" t="str">
        <x:f>IF(A251="","",F251-G251)</x:f>
      </x:c>
      <x:c r="I251" s="77" t="str">
        <x:f>IF(A251="","",IF(E251="","기타/불명",IF(IFERROR(SEARCH("급여",E251),0)&gt;0,"인건비",IF(IFERROR(SEARCH("임차",E251),0)&gt;0,"임차·시설",IF(IFERROR(SEARCH("광고",E251),0)&gt;0,"광고·행사",IF(IFERROR(SEARCH("용역",E251),0)&gt;0,"용역·수수료","기타/불명"))))))</x:f>
      </x:c>
      <x:c r="J251" s="77" t="str">
        <x:f>IF(A251="","",IF(I251="기타/불명","확인 필요","결의서명으로 1차 확인"))</x:f>
      </x:c>
      <x:c r="K251" s="78"/>
    </x:row>
    <x:row r="252">
      <x:c r="A252" s="73"/>
      <x:c r="B252" s="73"/>
      <x:c r="C252" s="74"/>
      <x:c r="D252" s="73"/>
      <x:c r="E252" s="73"/>
      <x:c r="F252" s="75"/>
      <x:c r="G252" s="75"/>
      <x:c r="H252" s="76" t="str">
        <x:f>IF(A252="","",F252-G252)</x:f>
      </x:c>
      <x:c r="I252" s="77" t="str">
        <x:f>IF(A252="","",IF(E252="","기타/불명",IF(IFERROR(SEARCH("급여",E252),0)&gt;0,"인건비",IF(IFERROR(SEARCH("임차",E252),0)&gt;0,"임차·시설",IF(IFERROR(SEARCH("광고",E252),0)&gt;0,"광고·행사",IF(IFERROR(SEARCH("용역",E252),0)&gt;0,"용역·수수료","기타/불명"))))))</x:f>
      </x:c>
      <x:c r="J252" s="77" t="str">
        <x:f>IF(A252="","",IF(I252="기타/불명","확인 필요","결의서명으로 1차 확인"))</x:f>
      </x:c>
      <x:c r="K252" s="78"/>
    </x:row>
    <x:row r="253">
      <x:c r="A253" s="73"/>
      <x:c r="B253" s="73"/>
      <x:c r="C253" s="74"/>
      <x:c r="D253" s="73"/>
      <x:c r="E253" s="73"/>
      <x:c r="F253" s="75"/>
      <x:c r="G253" s="75"/>
      <x:c r="H253" s="76" t="str">
        <x:f>IF(A253="","",F253-G253)</x:f>
      </x:c>
      <x:c r="I253" s="77" t="str">
        <x:f>IF(A253="","",IF(E253="","기타/불명",IF(IFERROR(SEARCH("급여",E253),0)&gt;0,"인건비",IF(IFERROR(SEARCH("임차",E253),0)&gt;0,"임차·시설",IF(IFERROR(SEARCH("광고",E253),0)&gt;0,"광고·행사",IF(IFERROR(SEARCH("용역",E253),0)&gt;0,"용역·수수료","기타/불명"))))))</x:f>
      </x:c>
      <x:c r="J253" s="77" t="str">
        <x:f>IF(A253="","",IF(I253="기타/불명","확인 필요","결의서명으로 1차 확인"))</x:f>
      </x:c>
      <x:c r="K253" s="78"/>
    </x:row>
    <x:row r="254">
      <x:c r="A254" s="73"/>
      <x:c r="B254" s="73"/>
      <x:c r="C254" s="74"/>
      <x:c r="D254" s="73"/>
      <x:c r="E254" s="73"/>
      <x:c r="F254" s="75"/>
      <x:c r="G254" s="75"/>
      <x:c r="H254" s="76" t="str">
        <x:f>IF(A254="","",F254-G254)</x:f>
      </x:c>
      <x:c r="I254" s="77" t="str">
        <x:f>IF(A254="","",IF(E254="","기타/불명",IF(IFERROR(SEARCH("급여",E254),0)&gt;0,"인건비",IF(IFERROR(SEARCH("임차",E254),0)&gt;0,"임차·시설",IF(IFERROR(SEARCH("광고",E254),0)&gt;0,"광고·행사",IF(IFERROR(SEARCH("용역",E254),0)&gt;0,"용역·수수료","기타/불명"))))))</x:f>
      </x:c>
      <x:c r="J254" s="77" t="str">
        <x:f>IF(A254="","",IF(I254="기타/불명","확인 필요","결의서명으로 1차 확인"))</x:f>
      </x:c>
      <x:c r="K254" s="78"/>
    </x:row>
    <x:row r="255">
      <x:c r="A255" s="73"/>
      <x:c r="B255" s="73"/>
      <x:c r="C255" s="74"/>
      <x:c r="D255" s="73"/>
      <x:c r="E255" s="73"/>
      <x:c r="F255" s="75"/>
      <x:c r="G255" s="75"/>
      <x:c r="H255" s="76" t="str">
        <x:f>IF(A255="","",F255-G255)</x:f>
      </x:c>
      <x:c r="I255" s="77" t="str">
        <x:f>IF(A255="","",IF(E255="","기타/불명",IF(IFERROR(SEARCH("급여",E255),0)&gt;0,"인건비",IF(IFERROR(SEARCH("임차",E255),0)&gt;0,"임차·시설",IF(IFERROR(SEARCH("광고",E255),0)&gt;0,"광고·행사",IF(IFERROR(SEARCH("용역",E255),0)&gt;0,"용역·수수료","기타/불명"))))))</x:f>
      </x:c>
      <x:c r="J255" s="77" t="str">
        <x:f>IF(A255="","",IF(I255="기타/불명","확인 필요","결의서명으로 1차 확인"))</x:f>
      </x:c>
      <x:c r="K255" s="78"/>
    </x:row>
    <x:row r="256">
      <x:c r="A256" s="73"/>
      <x:c r="B256" s="73"/>
      <x:c r="C256" s="74"/>
      <x:c r="D256" s="73"/>
      <x:c r="E256" s="73"/>
      <x:c r="F256" s="75"/>
      <x:c r="G256" s="75"/>
      <x:c r="H256" s="76" t="str">
        <x:f>IF(A256="","",F256-G256)</x:f>
      </x:c>
      <x:c r="I256" s="77" t="str">
        <x:f>IF(A256="","",IF(E256="","기타/불명",IF(IFERROR(SEARCH("급여",E256),0)&gt;0,"인건비",IF(IFERROR(SEARCH("임차",E256),0)&gt;0,"임차·시설",IF(IFERROR(SEARCH("광고",E256),0)&gt;0,"광고·행사",IF(IFERROR(SEARCH("용역",E256),0)&gt;0,"용역·수수료","기타/불명"))))))</x:f>
      </x:c>
      <x:c r="J256" s="77" t="str">
        <x:f>IF(A256="","",IF(I256="기타/불명","확인 필요","결의서명으로 1차 확인"))</x:f>
      </x:c>
      <x:c r="K256" s="78"/>
    </x:row>
    <x:row r="257">
      <x:c r="A257" s="73"/>
      <x:c r="B257" s="73"/>
      <x:c r="C257" s="74"/>
      <x:c r="D257" s="73"/>
      <x:c r="E257" s="73"/>
      <x:c r="F257" s="75"/>
      <x:c r="G257" s="75"/>
      <x:c r="H257" s="76" t="str">
        <x:f>IF(A257="","",F257-G257)</x:f>
      </x:c>
      <x:c r="I257" s="77" t="str">
        <x:f>IF(A257="","",IF(E257="","기타/불명",IF(IFERROR(SEARCH("급여",E257),0)&gt;0,"인건비",IF(IFERROR(SEARCH("임차",E257),0)&gt;0,"임차·시설",IF(IFERROR(SEARCH("광고",E257),0)&gt;0,"광고·행사",IF(IFERROR(SEARCH("용역",E257),0)&gt;0,"용역·수수료","기타/불명"))))))</x:f>
      </x:c>
      <x:c r="J257" s="77" t="str">
        <x:f>IF(A257="","",IF(I257="기타/불명","확인 필요","결의서명으로 1차 확인"))</x:f>
      </x:c>
      <x:c r="K257" s="78"/>
    </x:row>
    <x:row r="258">
      <x:c r="A258" s="73"/>
      <x:c r="B258" s="73"/>
      <x:c r="C258" s="74"/>
      <x:c r="D258" s="73"/>
      <x:c r="E258" s="73"/>
      <x:c r="F258" s="75"/>
      <x:c r="G258" s="75"/>
      <x:c r="H258" s="76" t="str">
        <x:f>IF(A258="","",F258-G258)</x:f>
      </x:c>
      <x:c r="I258" s="77" t="str">
        <x:f>IF(A258="","",IF(E258="","기타/불명",IF(IFERROR(SEARCH("급여",E258),0)&gt;0,"인건비",IF(IFERROR(SEARCH("임차",E258),0)&gt;0,"임차·시설",IF(IFERROR(SEARCH("광고",E258),0)&gt;0,"광고·행사",IF(IFERROR(SEARCH("용역",E258),0)&gt;0,"용역·수수료","기타/불명"))))))</x:f>
      </x:c>
      <x:c r="J258" s="77" t="str">
        <x:f>IF(A258="","",IF(I258="기타/불명","확인 필요","결의서명으로 1차 확인"))</x:f>
      </x:c>
      <x:c r="K258" s="78"/>
    </x:row>
    <x:row r="259">
      <x:c r="A259" s="73"/>
      <x:c r="B259" s="73"/>
      <x:c r="C259" s="74"/>
      <x:c r="D259" s="73"/>
      <x:c r="E259" s="73"/>
      <x:c r="F259" s="75"/>
      <x:c r="G259" s="75"/>
      <x:c r="H259" s="76" t="str">
        <x:f>IF(A259="","",F259-G259)</x:f>
      </x:c>
      <x:c r="I259" s="77" t="str">
        <x:f>IF(A259="","",IF(E259="","기타/불명",IF(IFERROR(SEARCH("급여",E259),0)&gt;0,"인건비",IF(IFERROR(SEARCH("임차",E259),0)&gt;0,"임차·시설",IF(IFERROR(SEARCH("광고",E259),0)&gt;0,"광고·행사",IF(IFERROR(SEARCH("용역",E259),0)&gt;0,"용역·수수료","기타/불명"))))))</x:f>
      </x:c>
      <x:c r="J259" s="77" t="str">
        <x:f>IF(A259="","",IF(I259="기타/불명","확인 필요","결의서명으로 1차 확인"))</x:f>
      </x:c>
      <x:c r="K259" s="78"/>
    </x:row>
    <x:row r="260">
      <x:c r="A260" s="73"/>
      <x:c r="B260" s="73"/>
      <x:c r="C260" s="74"/>
      <x:c r="D260" s="73"/>
      <x:c r="E260" s="73"/>
      <x:c r="F260" s="75"/>
      <x:c r="G260" s="75"/>
      <x:c r="H260" s="76" t="str">
        <x:f>IF(A260="","",F260-G260)</x:f>
      </x:c>
      <x:c r="I260" s="77" t="str">
        <x:f>IF(A260="","",IF(E260="","기타/불명",IF(IFERROR(SEARCH("급여",E260),0)&gt;0,"인건비",IF(IFERROR(SEARCH("임차",E260),0)&gt;0,"임차·시설",IF(IFERROR(SEARCH("광고",E260),0)&gt;0,"광고·행사",IF(IFERROR(SEARCH("용역",E260),0)&gt;0,"용역·수수료","기타/불명"))))))</x:f>
      </x:c>
      <x:c r="J260" s="77" t="str">
        <x:f>IF(A260="","",IF(I260="기타/불명","확인 필요","결의서명으로 1차 확인"))</x:f>
      </x:c>
      <x:c r="K260" s="78"/>
    </x:row>
    <x:row r="261">
      <x:c r="A261" s="73"/>
      <x:c r="B261" s="73"/>
      <x:c r="C261" s="74"/>
      <x:c r="D261" s="73"/>
      <x:c r="E261" s="73"/>
      <x:c r="F261" s="75"/>
      <x:c r="G261" s="75"/>
      <x:c r="H261" s="76" t="str">
        <x:f>IF(A261="","",F261-G261)</x:f>
      </x:c>
      <x:c r="I261" s="77" t="str">
        <x:f>IF(A261="","",IF(E261="","기타/불명",IF(IFERROR(SEARCH("급여",E261),0)&gt;0,"인건비",IF(IFERROR(SEARCH("임차",E261),0)&gt;0,"임차·시설",IF(IFERROR(SEARCH("광고",E261),0)&gt;0,"광고·행사",IF(IFERROR(SEARCH("용역",E261),0)&gt;0,"용역·수수료","기타/불명"))))))</x:f>
      </x:c>
      <x:c r="J261" s="77" t="str">
        <x:f>IF(A261="","",IF(I261="기타/불명","확인 필요","결의서명으로 1차 확인"))</x:f>
      </x:c>
      <x:c r="K261" s="78"/>
    </x:row>
    <x:row r="262">
      <x:c r="A262" s="73"/>
      <x:c r="B262" s="73"/>
      <x:c r="C262" s="74"/>
      <x:c r="D262" s="73"/>
      <x:c r="E262" s="73"/>
      <x:c r="F262" s="75"/>
      <x:c r="G262" s="75"/>
      <x:c r="H262" s="76" t="str">
        <x:f>IF(A262="","",F262-G262)</x:f>
      </x:c>
      <x:c r="I262" s="77" t="str">
        <x:f>IF(A262="","",IF(E262="","기타/불명",IF(IFERROR(SEARCH("급여",E262),0)&gt;0,"인건비",IF(IFERROR(SEARCH("임차",E262),0)&gt;0,"임차·시설",IF(IFERROR(SEARCH("광고",E262),0)&gt;0,"광고·행사",IF(IFERROR(SEARCH("용역",E262),0)&gt;0,"용역·수수료","기타/불명"))))))</x:f>
      </x:c>
      <x:c r="J262" s="77" t="str">
        <x:f>IF(A262="","",IF(I262="기타/불명","확인 필요","결의서명으로 1차 확인"))</x:f>
      </x:c>
      <x:c r="K262" s="78"/>
    </x:row>
    <x:row r="263">
      <x:c r="A263" s="73"/>
      <x:c r="B263" s="73"/>
      <x:c r="C263" s="74"/>
      <x:c r="D263" s="73"/>
      <x:c r="E263" s="73"/>
      <x:c r="F263" s="75"/>
      <x:c r="G263" s="75"/>
      <x:c r="H263" s="76" t="str">
        <x:f>IF(A263="","",F263-G263)</x:f>
      </x:c>
      <x:c r="I263" s="77" t="str">
        <x:f>IF(A263="","",IF(E263="","기타/불명",IF(IFERROR(SEARCH("급여",E263),0)&gt;0,"인건비",IF(IFERROR(SEARCH("임차",E263),0)&gt;0,"임차·시설",IF(IFERROR(SEARCH("광고",E263),0)&gt;0,"광고·행사",IF(IFERROR(SEARCH("용역",E263),0)&gt;0,"용역·수수료","기타/불명"))))))</x:f>
      </x:c>
      <x:c r="J263" s="77" t="str">
        <x:f>IF(A263="","",IF(I263="기타/불명","확인 필요","결의서명으로 1차 확인"))</x:f>
      </x:c>
      <x:c r="K263" s="78"/>
    </x:row>
    <x:row r="264">
      <x:c r="A264" s="73"/>
      <x:c r="B264" s="73"/>
      <x:c r="C264" s="74"/>
      <x:c r="D264" s="73"/>
      <x:c r="E264" s="73"/>
      <x:c r="F264" s="75"/>
      <x:c r="G264" s="75"/>
      <x:c r="H264" s="76" t="str">
        <x:f>IF(A264="","",F264-G264)</x:f>
      </x:c>
      <x:c r="I264" s="77" t="str">
        <x:f>IF(A264="","",IF(E264="","기타/불명",IF(IFERROR(SEARCH("급여",E264),0)&gt;0,"인건비",IF(IFERROR(SEARCH("임차",E264),0)&gt;0,"임차·시설",IF(IFERROR(SEARCH("광고",E264),0)&gt;0,"광고·행사",IF(IFERROR(SEARCH("용역",E264),0)&gt;0,"용역·수수료","기타/불명"))))))</x:f>
      </x:c>
      <x:c r="J264" s="77" t="str">
        <x:f>IF(A264="","",IF(I264="기타/불명","확인 필요","결의서명으로 1차 확인"))</x:f>
      </x:c>
      <x:c r="K264" s="78"/>
    </x:row>
    <x:row r="265">
      <x:c r="A265" s="73"/>
      <x:c r="B265" s="73"/>
      <x:c r="C265" s="74"/>
      <x:c r="D265" s="73"/>
      <x:c r="E265" s="73"/>
      <x:c r="F265" s="75"/>
      <x:c r="G265" s="75"/>
      <x:c r="H265" s="76" t="str">
        <x:f>IF(A265="","",F265-G265)</x:f>
      </x:c>
      <x:c r="I265" s="77" t="str">
        <x:f>IF(A265="","",IF(E265="","기타/불명",IF(IFERROR(SEARCH("급여",E265),0)&gt;0,"인건비",IF(IFERROR(SEARCH("임차",E265),0)&gt;0,"임차·시설",IF(IFERROR(SEARCH("광고",E265),0)&gt;0,"광고·행사",IF(IFERROR(SEARCH("용역",E265),0)&gt;0,"용역·수수료","기타/불명"))))))</x:f>
      </x:c>
      <x:c r="J265" s="77" t="str">
        <x:f>IF(A265="","",IF(I265="기타/불명","확인 필요","결의서명으로 1차 확인"))</x:f>
      </x:c>
      <x:c r="K265" s="78"/>
    </x:row>
    <x:row r="266">
      <x:c r="A266" s="73"/>
      <x:c r="B266" s="73"/>
      <x:c r="C266" s="74"/>
      <x:c r="D266" s="73"/>
      <x:c r="E266" s="73"/>
      <x:c r="F266" s="75"/>
      <x:c r="G266" s="75"/>
      <x:c r="H266" s="76" t="str">
        <x:f>IF(A266="","",F266-G266)</x:f>
      </x:c>
      <x:c r="I266" s="77" t="str">
        <x:f>IF(A266="","",IF(E266="","기타/불명",IF(IFERROR(SEARCH("급여",E266),0)&gt;0,"인건비",IF(IFERROR(SEARCH("임차",E266),0)&gt;0,"임차·시설",IF(IFERROR(SEARCH("광고",E266),0)&gt;0,"광고·행사",IF(IFERROR(SEARCH("용역",E266),0)&gt;0,"용역·수수료","기타/불명"))))))</x:f>
      </x:c>
      <x:c r="J266" s="77" t="str">
        <x:f>IF(A266="","",IF(I266="기타/불명","확인 필요","결의서명으로 1차 확인"))</x:f>
      </x:c>
      <x:c r="K266" s="78"/>
    </x:row>
    <x:row r="267">
      <x:c r="A267" s="73"/>
      <x:c r="B267" s="73"/>
      <x:c r="C267" s="74"/>
      <x:c r="D267" s="73"/>
      <x:c r="E267" s="73"/>
      <x:c r="F267" s="75"/>
      <x:c r="G267" s="75"/>
      <x:c r="H267" s="76" t="str">
        <x:f>IF(A267="","",F267-G267)</x:f>
      </x:c>
      <x:c r="I267" s="77" t="str">
        <x:f>IF(A267="","",IF(E267="","기타/불명",IF(IFERROR(SEARCH("급여",E267),0)&gt;0,"인건비",IF(IFERROR(SEARCH("임차",E267),0)&gt;0,"임차·시설",IF(IFERROR(SEARCH("광고",E267),0)&gt;0,"광고·행사",IF(IFERROR(SEARCH("용역",E267),0)&gt;0,"용역·수수료","기타/불명"))))))</x:f>
      </x:c>
      <x:c r="J267" s="77" t="str">
        <x:f>IF(A267="","",IF(I267="기타/불명","확인 필요","결의서명으로 1차 확인"))</x:f>
      </x:c>
      <x:c r="K267" s="78"/>
    </x:row>
    <x:row r="268">
      <x:c r="A268" s="73"/>
      <x:c r="B268" s="73"/>
      <x:c r="C268" s="74"/>
      <x:c r="D268" s="73"/>
      <x:c r="E268" s="73"/>
      <x:c r="F268" s="75"/>
      <x:c r="G268" s="75"/>
      <x:c r="H268" s="76" t="str">
        <x:f>IF(A268="","",F268-G268)</x:f>
      </x:c>
      <x:c r="I268" s="77" t="str">
        <x:f>IF(A268="","",IF(E268="","기타/불명",IF(IFERROR(SEARCH("급여",E268),0)&gt;0,"인건비",IF(IFERROR(SEARCH("임차",E268),0)&gt;0,"임차·시설",IF(IFERROR(SEARCH("광고",E268),0)&gt;0,"광고·행사",IF(IFERROR(SEARCH("용역",E268),0)&gt;0,"용역·수수료","기타/불명"))))))</x:f>
      </x:c>
      <x:c r="J268" s="77" t="str">
        <x:f>IF(A268="","",IF(I268="기타/불명","확인 필요","결의서명으로 1차 확인"))</x:f>
      </x:c>
      <x:c r="K268" s="78"/>
    </x:row>
    <x:row r="269">
      <x:c r="A269" s="73"/>
      <x:c r="B269" s="73"/>
      <x:c r="C269" s="74"/>
      <x:c r="D269" s="73"/>
      <x:c r="E269" s="73"/>
      <x:c r="F269" s="75"/>
      <x:c r="G269" s="75"/>
      <x:c r="H269" s="76" t="str">
        <x:f>IF(A269="","",F269-G269)</x:f>
      </x:c>
      <x:c r="I269" s="77" t="str">
        <x:f>IF(A269="","",IF(E269="","기타/불명",IF(IFERROR(SEARCH("급여",E269),0)&gt;0,"인건비",IF(IFERROR(SEARCH("임차",E269),0)&gt;0,"임차·시설",IF(IFERROR(SEARCH("광고",E269),0)&gt;0,"광고·행사",IF(IFERROR(SEARCH("용역",E269),0)&gt;0,"용역·수수료","기타/불명"))))))</x:f>
      </x:c>
      <x:c r="J269" s="77" t="str">
        <x:f>IF(A269="","",IF(I269="기타/불명","확인 필요","결의서명으로 1차 확인"))</x:f>
      </x:c>
      <x:c r="K269" s="78"/>
    </x:row>
    <x:row r="270">
      <x:c r="A270" s="73"/>
      <x:c r="B270" s="73"/>
      <x:c r="C270" s="74"/>
      <x:c r="D270" s="73"/>
      <x:c r="E270" s="73"/>
      <x:c r="F270" s="75"/>
      <x:c r="G270" s="75"/>
      <x:c r="H270" s="76" t="str">
        <x:f>IF(A270="","",F270-G270)</x:f>
      </x:c>
      <x:c r="I270" s="77" t="str">
        <x:f>IF(A270="","",IF(E270="","기타/불명",IF(IFERROR(SEARCH("급여",E270),0)&gt;0,"인건비",IF(IFERROR(SEARCH("임차",E270),0)&gt;0,"임차·시설",IF(IFERROR(SEARCH("광고",E270),0)&gt;0,"광고·행사",IF(IFERROR(SEARCH("용역",E270),0)&gt;0,"용역·수수료","기타/불명"))))))</x:f>
      </x:c>
      <x:c r="J270" s="77" t="str">
        <x:f>IF(A270="","",IF(I270="기타/불명","확인 필요","결의서명으로 1차 확인"))</x:f>
      </x:c>
      <x:c r="K270" s="78"/>
    </x:row>
    <x:row r="271">
      <x:c r="A271" s="73"/>
      <x:c r="B271" s="73"/>
      <x:c r="C271" s="74"/>
      <x:c r="D271" s="73"/>
      <x:c r="E271" s="73"/>
      <x:c r="F271" s="75"/>
      <x:c r="G271" s="75"/>
      <x:c r="H271" s="76" t="str">
        <x:f>IF(A271="","",F271-G271)</x:f>
      </x:c>
      <x:c r="I271" s="77" t="str">
        <x:f>IF(A271="","",IF(E271="","기타/불명",IF(IFERROR(SEARCH("급여",E271),0)&gt;0,"인건비",IF(IFERROR(SEARCH("임차",E271),0)&gt;0,"임차·시설",IF(IFERROR(SEARCH("광고",E271),0)&gt;0,"광고·행사",IF(IFERROR(SEARCH("용역",E271),0)&gt;0,"용역·수수료","기타/불명"))))))</x:f>
      </x:c>
      <x:c r="J271" s="77" t="str">
        <x:f>IF(A271="","",IF(I271="기타/불명","확인 필요","결의서명으로 1차 확인"))</x:f>
      </x:c>
      <x:c r="K271" s="78"/>
    </x:row>
    <x:row r="272">
      <x:c r="A272" s="73"/>
      <x:c r="B272" s="73"/>
      <x:c r="C272" s="74"/>
      <x:c r="D272" s="73"/>
      <x:c r="E272" s="73"/>
      <x:c r="F272" s="75"/>
      <x:c r="G272" s="75"/>
      <x:c r="H272" s="76" t="str">
        <x:f>IF(A272="","",F272-G272)</x:f>
      </x:c>
      <x:c r="I272" s="77" t="str">
        <x:f>IF(A272="","",IF(E272="","기타/불명",IF(IFERROR(SEARCH("급여",E272),0)&gt;0,"인건비",IF(IFERROR(SEARCH("임차",E272),0)&gt;0,"임차·시설",IF(IFERROR(SEARCH("광고",E272),0)&gt;0,"광고·행사",IF(IFERROR(SEARCH("용역",E272),0)&gt;0,"용역·수수료","기타/불명"))))))</x:f>
      </x:c>
      <x:c r="J272" s="77" t="str">
        <x:f>IF(A272="","",IF(I272="기타/불명","확인 필요","결의서명으로 1차 확인"))</x:f>
      </x:c>
      <x:c r="K272" s="78"/>
    </x:row>
    <x:row r="273">
      <x:c r="A273" s="73"/>
      <x:c r="B273" s="73"/>
      <x:c r="C273" s="74"/>
      <x:c r="D273" s="73"/>
      <x:c r="E273" s="73"/>
      <x:c r="F273" s="75"/>
      <x:c r="G273" s="75"/>
      <x:c r="H273" s="76" t="str">
        <x:f>IF(A273="","",F273-G273)</x:f>
      </x:c>
      <x:c r="I273" s="77" t="str">
        <x:f>IF(A273="","",IF(E273="","기타/불명",IF(IFERROR(SEARCH("급여",E273),0)&gt;0,"인건비",IF(IFERROR(SEARCH("임차",E273),0)&gt;0,"임차·시설",IF(IFERROR(SEARCH("광고",E273),0)&gt;0,"광고·행사",IF(IFERROR(SEARCH("용역",E273),0)&gt;0,"용역·수수료","기타/불명"))))))</x:f>
      </x:c>
      <x:c r="J273" s="77" t="str">
        <x:f>IF(A273="","",IF(I273="기타/불명","확인 필요","결의서명으로 1차 확인"))</x:f>
      </x:c>
      <x:c r="K273" s="78"/>
    </x:row>
    <x:row r="274">
      <x:c r="A274" s="73"/>
      <x:c r="B274" s="73"/>
      <x:c r="C274" s="74"/>
      <x:c r="D274" s="73"/>
      <x:c r="E274" s="73"/>
      <x:c r="F274" s="75"/>
      <x:c r="G274" s="75"/>
      <x:c r="H274" s="76" t="str">
        <x:f>IF(A274="","",F274-G274)</x:f>
      </x:c>
      <x:c r="I274" s="77" t="str">
        <x:f>IF(A274="","",IF(E274="","기타/불명",IF(IFERROR(SEARCH("급여",E274),0)&gt;0,"인건비",IF(IFERROR(SEARCH("임차",E274),0)&gt;0,"임차·시설",IF(IFERROR(SEARCH("광고",E274),0)&gt;0,"광고·행사",IF(IFERROR(SEARCH("용역",E274),0)&gt;0,"용역·수수료","기타/불명"))))))</x:f>
      </x:c>
      <x:c r="J274" s="77" t="str">
        <x:f>IF(A274="","",IF(I274="기타/불명","확인 필요","결의서명으로 1차 확인"))</x:f>
      </x:c>
      <x:c r="K274" s="78"/>
    </x:row>
    <x:row r="275">
      <x:c r="A275" s="73"/>
      <x:c r="B275" s="73"/>
      <x:c r="C275" s="74"/>
      <x:c r="D275" s="73"/>
      <x:c r="E275" s="73"/>
      <x:c r="F275" s="75"/>
      <x:c r="G275" s="75"/>
      <x:c r="H275" s="76" t="str">
        <x:f>IF(A275="","",F275-G275)</x:f>
      </x:c>
      <x:c r="I275" s="77" t="str">
        <x:f>IF(A275="","",IF(E275="","기타/불명",IF(IFERROR(SEARCH("급여",E275),0)&gt;0,"인건비",IF(IFERROR(SEARCH("임차",E275),0)&gt;0,"임차·시설",IF(IFERROR(SEARCH("광고",E275),0)&gt;0,"광고·행사",IF(IFERROR(SEARCH("용역",E275),0)&gt;0,"용역·수수료","기타/불명"))))))</x:f>
      </x:c>
      <x:c r="J275" s="77" t="str">
        <x:f>IF(A275="","",IF(I275="기타/불명","확인 필요","결의서명으로 1차 확인"))</x:f>
      </x:c>
      <x:c r="K275" s="78"/>
    </x:row>
    <x:row r="276">
      <x:c r="A276" s="73"/>
      <x:c r="B276" s="73"/>
      <x:c r="C276" s="74"/>
      <x:c r="D276" s="73"/>
      <x:c r="E276" s="73"/>
      <x:c r="F276" s="75"/>
      <x:c r="G276" s="75"/>
      <x:c r="H276" s="76" t="str">
        <x:f>IF(A276="","",F276-G276)</x:f>
      </x:c>
      <x:c r="I276" s="77" t="str">
        <x:f>IF(A276="","",IF(E276="","기타/불명",IF(IFERROR(SEARCH("급여",E276),0)&gt;0,"인건비",IF(IFERROR(SEARCH("임차",E276),0)&gt;0,"임차·시설",IF(IFERROR(SEARCH("광고",E276),0)&gt;0,"광고·행사",IF(IFERROR(SEARCH("용역",E276),0)&gt;0,"용역·수수료","기타/불명"))))))</x:f>
      </x:c>
      <x:c r="J276" s="77" t="str">
        <x:f>IF(A276="","",IF(I276="기타/불명","확인 필요","결의서명으로 1차 확인"))</x:f>
      </x:c>
      <x:c r="K276" s="78"/>
    </x:row>
    <x:row r="277">
      <x:c r="A277" s="73"/>
      <x:c r="B277" s="73"/>
      <x:c r="C277" s="74"/>
      <x:c r="D277" s="73"/>
      <x:c r="E277" s="73"/>
      <x:c r="F277" s="75"/>
      <x:c r="G277" s="75"/>
      <x:c r="H277" s="76" t="str">
        <x:f>IF(A277="","",F277-G277)</x:f>
      </x:c>
      <x:c r="I277" s="77" t="str">
        <x:f>IF(A277="","",IF(E277="","기타/불명",IF(IFERROR(SEARCH("급여",E277),0)&gt;0,"인건비",IF(IFERROR(SEARCH("임차",E277),0)&gt;0,"임차·시설",IF(IFERROR(SEARCH("광고",E277),0)&gt;0,"광고·행사",IF(IFERROR(SEARCH("용역",E277),0)&gt;0,"용역·수수료","기타/불명"))))))</x:f>
      </x:c>
      <x:c r="J277" s="77" t="str">
        <x:f>IF(A277="","",IF(I277="기타/불명","확인 필요","결의서명으로 1차 확인"))</x:f>
      </x:c>
      <x:c r="K277" s="78"/>
    </x:row>
    <x:row r="278">
      <x:c r="A278" s="73"/>
      <x:c r="B278" s="73"/>
      <x:c r="C278" s="74"/>
      <x:c r="D278" s="73"/>
      <x:c r="E278" s="73"/>
      <x:c r="F278" s="75"/>
      <x:c r="G278" s="75"/>
      <x:c r="H278" s="76" t="str">
        <x:f>IF(A278="","",F278-G278)</x:f>
      </x:c>
      <x:c r="I278" s="77" t="str">
        <x:f>IF(A278="","",IF(E278="","기타/불명",IF(IFERROR(SEARCH("급여",E278),0)&gt;0,"인건비",IF(IFERROR(SEARCH("임차",E278),0)&gt;0,"임차·시설",IF(IFERROR(SEARCH("광고",E278),0)&gt;0,"광고·행사",IF(IFERROR(SEARCH("용역",E278),0)&gt;0,"용역·수수료","기타/불명"))))))</x:f>
      </x:c>
      <x:c r="J278" s="77" t="str">
        <x:f>IF(A278="","",IF(I278="기타/불명","확인 필요","결의서명으로 1차 확인"))</x:f>
      </x:c>
      <x:c r="K278" s="78"/>
    </x:row>
    <x:row r="279">
      <x:c r="A279" s="73"/>
      <x:c r="B279" s="73"/>
      <x:c r="C279" s="74"/>
      <x:c r="D279" s="73"/>
      <x:c r="E279" s="73"/>
      <x:c r="F279" s="75"/>
      <x:c r="G279" s="75"/>
      <x:c r="H279" s="76" t="str">
        <x:f>IF(A279="","",F279-G279)</x:f>
      </x:c>
      <x:c r="I279" s="77" t="str">
        <x:f>IF(A279="","",IF(E279="","기타/불명",IF(IFERROR(SEARCH("급여",E279),0)&gt;0,"인건비",IF(IFERROR(SEARCH("임차",E279),0)&gt;0,"임차·시설",IF(IFERROR(SEARCH("광고",E279),0)&gt;0,"광고·행사",IF(IFERROR(SEARCH("용역",E279),0)&gt;0,"용역·수수료","기타/불명"))))))</x:f>
      </x:c>
      <x:c r="J279" s="77" t="str">
        <x:f>IF(A279="","",IF(I279="기타/불명","확인 필요","결의서명으로 1차 확인"))</x:f>
      </x:c>
      <x:c r="K279" s="78"/>
    </x:row>
    <x:row r="280">
      <x:c r="A280" s="73"/>
      <x:c r="B280" s="73"/>
      <x:c r="C280" s="74"/>
      <x:c r="D280" s="73"/>
      <x:c r="E280" s="73"/>
      <x:c r="F280" s="75"/>
      <x:c r="G280" s="75"/>
      <x:c r="H280" s="76" t="str">
        <x:f>IF(A280="","",F280-G280)</x:f>
      </x:c>
      <x:c r="I280" s="77" t="str">
        <x:f>IF(A280="","",IF(E280="","기타/불명",IF(IFERROR(SEARCH("급여",E280),0)&gt;0,"인건비",IF(IFERROR(SEARCH("임차",E280),0)&gt;0,"임차·시설",IF(IFERROR(SEARCH("광고",E280),0)&gt;0,"광고·행사",IF(IFERROR(SEARCH("용역",E280),0)&gt;0,"용역·수수료","기타/불명"))))))</x:f>
      </x:c>
      <x:c r="J280" s="77" t="str">
        <x:f>IF(A280="","",IF(I280="기타/불명","확인 필요","결의서명으로 1차 확인"))</x:f>
      </x:c>
      <x:c r="K280" s="78"/>
    </x:row>
    <x:row r="281">
      <x:c r="A281" s="73"/>
      <x:c r="B281" s="73"/>
      <x:c r="C281" s="74"/>
      <x:c r="D281" s="73"/>
      <x:c r="E281" s="73"/>
      <x:c r="F281" s="75"/>
      <x:c r="G281" s="75"/>
      <x:c r="H281" s="76" t="str">
        <x:f>IF(A281="","",F281-G281)</x:f>
      </x:c>
      <x:c r="I281" s="77" t="str">
        <x:f>IF(A281="","",IF(E281="","기타/불명",IF(IFERROR(SEARCH("급여",E281),0)&gt;0,"인건비",IF(IFERROR(SEARCH("임차",E281),0)&gt;0,"임차·시설",IF(IFERROR(SEARCH("광고",E281),0)&gt;0,"광고·행사",IF(IFERROR(SEARCH("용역",E281),0)&gt;0,"용역·수수료","기타/불명"))))))</x:f>
      </x:c>
      <x:c r="J281" s="77" t="str">
        <x:f>IF(A281="","",IF(I281="기타/불명","확인 필요","결의서명으로 1차 확인"))</x:f>
      </x:c>
      <x:c r="K281" s="78"/>
    </x:row>
    <x:row r="282">
      <x:c r="A282" s="73"/>
      <x:c r="B282" s="73"/>
      <x:c r="C282" s="74"/>
      <x:c r="D282" s="73"/>
      <x:c r="E282" s="73"/>
      <x:c r="F282" s="75"/>
      <x:c r="G282" s="75"/>
      <x:c r="H282" s="76" t="str">
        <x:f>IF(A282="","",F282-G282)</x:f>
      </x:c>
      <x:c r="I282" s="77" t="str">
        <x:f>IF(A282="","",IF(E282="","기타/불명",IF(IFERROR(SEARCH("급여",E282),0)&gt;0,"인건비",IF(IFERROR(SEARCH("임차",E282),0)&gt;0,"임차·시설",IF(IFERROR(SEARCH("광고",E282),0)&gt;0,"광고·행사",IF(IFERROR(SEARCH("용역",E282),0)&gt;0,"용역·수수료","기타/불명"))))))</x:f>
      </x:c>
      <x:c r="J282" s="77" t="str">
        <x:f>IF(A282="","",IF(I282="기타/불명","확인 필요","결의서명으로 1차 확인"))</x:f>
      </x:c>
      <x:c r="K282" s="78"/>
    </x:row>
    <x:row r="283">
      <x:c r="A283" s="73"/>
      <x:c r="B283" s="73"/>
      <x:c r="C283" s="74"/>
      <x:c r="D283" s="73"/>
      <x:c r="E283" s="73"/>
      <x:c r="F283" s="75"/>
      <x:c r="G283" s="75"/>
      <x:c r="H283" s="76" t="str">
        <x:f>IF(A283="","",F283-G283)</x:f>
      </x:c>
      <x:c r="I283" s="77" t="str">
        <x:f>IF(A283="","",IF(E283="","기타/불명",IF(IFERROR(SEARCH("급여",E283),0)&gt;0,"인건비",IF(IFERROR(SEARCH("임차",E283),0)&gt;0,"임차·시설",IF(IFERROR(SEARCH("광고",E283),0)&gt;0,"광고·행사",IF(IFERROR(SEARCH("용역",E283),0)&gt;0,"용역·수수료","기타/불명"))))))</x:f>
      </x:c>
      <x:c r="J283" s="77" t="str">
        <x:f>IF(A283="","",IF(I283="기타/불명","확인 필요","결의서명으로 1차 확인"))</x:f>
      </x:c>
      <x:c r="K283" s="78"/>
    </x:row>
    <x:row r="284">
      <x:c r="A284" s="73"/>
      <x:c r="B284" s="73"/>
      <x:c r="C284" s="74"/>
      <x:c r="D284" s="73"/>
      <x:c r="E284" s="73"/>
      <x:c r="F284" s="75"/>
      <x:c r="G284" s="75"/>
      <x:c r="H284" s="76" t="str">
        <x:f>IF(A284="","",F284-G284)</x:f>
      </x:c>
      <x:c r="I284" s="77" t="str">
        <x:f>IF(A284="","",IF(E284="","기타/불명",IF(IFERROR(SEARCH("급여",E284),0)&gt;0,"인건비",IF(IFERROR(SEARCH("임차",E284),0)&gt;0,"임차·시설",IF(IFERROR(SEARCH("광고",E284),0)&gt;0,"광고·행사",IF(IFERROR(SEARCH("용역",E284),0)&gt;0,"용역·수수료","기타/불명"))))))</x:f>
      </x:c>
      <x:c r="J284" s="77" t="str">
        <x:f>IF(A284="","",IF(I284="기타/불명","확인 필요","결의서명으로 1차 확인"))</x:f>
      </x:c>
      <x:c r="K284" s="78"/>
    </x:row>
    <x:row r="285">
      <x:c r="A285" s="73"/>
      <x:c r="B285" s="73"/>
      <x:c r="C285" s="74"/>
      <x:c r="D285" s="73"/>
      <x:c r="E285" s="73"/>
      <x:c r="F285" s="75"/>
      <x:c r="G285" s="75"/>
      <x:c r="H285" s="76" t="str">
        <x:f>IF(A285="","",F285-G285)</x:f>
      </x:c>
      <x:c r="I285" s="77" t="str">
        <x:f>IF(A285="","",IF(E285="","기타/불명",IF(IFERROR(SEARCH("급여",E285),0)&gt;0,"인건비",IF(IFERROR(SEARCH("임차",E285),0)&gt;0,"임차·시설",IF(IFERROR(SEARCH("광고",E285),0)&gt;0,"광고·행사",IF(IFERROR(SEARCH("용역",E285),0)&gt;0,"용역·수수료","기타/불명"))))))</x:f>
      </x:c>
      <x:c r="J285" s="77" t="str">
        <x:f>IF(A285="","",IF(I285="기타/불명","확인 필요","결의서명으로 1차 확인"))</x:f>
      </x:c>
      <x:c r="K285" s="78"/>
    </x:row>
    <x:row r="286">
      <x:c r="A286" s="73"/>
      <x:c r="B286" s="73"/>
      <x:c r="C286" s="74"/>
      <x:c r="D286" s="73"/>
      <x:c r="E286" s="73"/>
      <x:c r="F286" s="75"/>
      <x:c r="G286" s="75"/>
      <x:c r="H286" s="76" t="str">
        <x:f>IF(A286="","",F286-G286)</x:f>
      </x:c>
      <x:c r="I286" s="77" t="str">
        <x:f>IF(A286="","",IF(E286="","기타/불명",IF(IFERROR(SEARCH("급여",E286),0)&gt;0,"인건비",IF(IFERROR(SEARCH("임차",E286),0)&gt;0,"임차·시설",IF(IFERROR(SEARCH("광고",E286),0)&gt;0,"광고·행사",IF(IFERROR(SEARCH("용역",E286),0)&gt;0,"용역·수수료","기타/불명"))))))</x:f>
      </x:c>
      <x:c r="J286" s="77" t="str">
        <x:f>IF(A286="","",IF(I286="기타/불명","확인 필요","결의서명으로 1차 확인"))</x:f>
      </x:c>
      <x:c r="K286" s="78"/>
    </x:row>
    <x:row r="287">
      <x:c r="A287" s="73"/>
      <x:c r="B287" s="73"/>
      <x:c r="C287" s="74"/>
      <x:c r="D287" s="73"/>
      <x:c r="E287" s="73"/>
      <x:c r="F287" s="75"/>
      <x:c r="G287" s="75"/>
      <x:c r="H287" s="76" t="str">
        <x:f>IF(A287="","",F287-G287)</x:f>
      </x:c>
      <x:c r="I287" s="77" t="str">
        <x:f>IF(A287="","",IF(E287="","기타/불명",IF(IFERROR(SEARCH("급여",E287),0)&gt;0,"인건비",IF(IFERROR(SEARCH("임차",E287),0)&gt;0,"임차·시설",IF(IFERROR(SEARCH("광고",E287),0)&gt;0,"광고·행사",IF(IFERROR(SEARCH("용역",E287),0)&gt;0,"용역·수수료","기타/불명"))))))</x:f>
      </x:c>
      <x:c r="J287" s="77" t="str">
        <x:f>IF(A287="","",IF(I287="기타/불명","확인 필요","결의서명으로 1차 확인"))</x:f>
      </x:c>
      <x:c r="K287" s="78"/>
    </x:row>
    <x:row r="288">
      <x:c r="A288" s="73"/>
      <x:c r="B288" s="73"/>
      <x:c r="C288" s="74"/>
      <x:c r="D288" s="73"/>
      <x:c r="E288" s="73"/>
      <x:c r="F288" s="75"/>
      <x:c r="G288" s="75"/>
      <x:c r="H288" s="76" t="str">
        <x:f>IF(A288="","",F288-G288)</x:f>
      </x:c>
      <x:c r="I288" s="77" t="str">
        <x:f>IF(A288="","",IF(E288="","기타/불명",IF(IFERROR(SEARCH("급여",E288),0)&gt;0,"인건비",IF(IFERROR(SEARCH("임차",E288),0)&gt;0,"임차·시설",IF(IFERROR(SEARCH("광고",E288),0)&gt;0,"광고·행사",IF(IFERROR(SEARCH("용역",E288),0)&gt;0,"용역·수수료","기타/불명"))))))</x:f>
      </x:c>
      <x:c r="J288" s="77" t="str">
        <x:f>IF(A288="","",IF(I288="기타/불명","확인 필요","결의서명으로 1차 확인"))</x:f>
      </x:c>
      <x:c r="K288" s="78"/>
    </x:row>
    <x:row r="289">
      <x:c r="A289" s="73"/>
      <x:c r="B289" s="73"/>
      <x:c r="C289" s="74"/>
      <x:c r="D289" s="73"/>
      <x:c r="E289" s="73"/>
      <x:c r="F289" s="75"/>
      <x:c r="G289" s="75"/>
      <x:c r="H289" s="76" t="str">
        <x:f>IF(A289="","",F289-G289)</x:f>
      </x:c>
      <x:c r="I289" s="77" t="str">
        <x:f>IF(A289="","",IF(E289="","기타/불명",IF(IFERROR(SEARCH("급여",E289),0)&gt;0,"인건비",IF(IFERROR(SEARCH("임차",E289),0)&gt;0,"임차·시설",IF(IFERROR(SEARCH("광고",E289),0)&gt;0,"광고·행사",IF(IFERROR(SEARCH("용역",E289),0)&gt;0,"용역·수수료","기타/불명"))))))</x:f>
      </x:c>
      <x:c r="J289" s="77" t="str">
        <x:f>IF(A289="","",IF(I289="기타/불명","확인 필요","결의서명으로 1차 확인"))</x:f>
      </x:c>
      <x:c r="K289" s="78"/>
    </x:row>
    <x:row r="290">
      <x:c r="A290" s="73"/>
      <x:c r="B290" s="73"/>
      <x:c r="C290" s="74"/>
      <x:c r="D290" s="73"/>
      <x:c r="E290" s="73"/>
      <x:c r="F290" s="75"/>
      <x:c r="G290" s="75"/>
      <x:c r="H290" s="76" t="str">
        <x:f>IF(A290="","",F290-G290)</x:f>
      </x:c>
      <x:c r="I290" s="77" t="str">
        <x:f>IF(A290="","",IF(E290="","기타/불명",IF(IFERROR(SEARCH("급여",E290),0)&gt;0,"인건비",IF(IFERROR(SEARCH("임차",E290),0)&gt;0,"임차·시설",IF(IFERROR(SEARCH("광고",E290),0)&gt;0,"광고·행사",IF(IFERROR(SEARCH("용역",E290),0)&gt;0,"용역·수수료","기타/불명"))))))</x:f>
      </x:c>
      <x:c r="J290" s="77" t="str">
        <x:f>IF(A290="","",IF(I290="기타/불명","확인 필요","결의서명으로 1차 확인"))</x:f>
      </x:c>
      <x:c r="K290" s="78"/>
    </x:row>
    <x:row r="291">
      <x:c r="A291" s="73"/>
      <x:c r="B291" s="73"/>
      <x:c r="C291" s="74"/>
      <x:c r="D291" s="73"/>
      <x:c r="E291" s="73"/>
      <x:c r="F291" s="75"/>
      <x:c r="G291" s="75"/>
      <x:c r="H291" s="76" t="str">
        <x:f>IF(A291="","",F291-G291)</x:f>
      </x:c>
      <x:c r="I291" s="77" t="str">
        <x:f>IF(A291="","",IF(E291="","기타/불명",IF(IFERROR(SEARCH("급여",E291),0)&gt;0,"인건비",IF(IFERROR(SEARCH("임차",E291),0)&gt;0,"임차·시설",IF(IFERROR(SEARCH("광고",E291),0)&gt;0,"광고·행사",IF(IFERROR(SEARCH("용역",E291),0)&gt;0,"용역·수수료","기타/불명"))))))</x:f>
      </x:c>
      <x:c r="J291" s="77" t="str">
        <x:f>IF(A291="","",IF(I291="기타/불명","확인 필요","결의서명으로 1차 확인"))</x:f>
      </x:c>
      <x:c r="K291" s="78"/>
    </x:row>
    <x:row r="292">
      <x:c r="A292" s="73"/>
      <x:c r="B292" s="73"/>
      <x:c r="C292" s="74"/>
      <x:c r="D292" s="73"/>
      <x:c r="E292" s="73"/>
      <x:c r="F292" s="75"/>
      <x:c r="G292" s="75"/>
      <x:c r="H292" s="76" t="str">
        <x:f>IF(A292="","",F292-G292)</x:f>
      </x:c>
      <x:c r="I292" s="77" t="str">
        <x:f>IF(A292="","",IF(E292="","기타/불명",IF(IFERROR(SEARCH("급여",E292),0)&gt;0,"인건비",IF(IFERROR(SEARCH("임차",E292),0)&gt;0,"임차·시설",IF(IFERROR(SEARCH("광고",E292),0)&gt;0,"광고·행사",IF(IFERROR(SEARCH("용역",E292),0)&gt;0,"용역·수수료","기타/불명"))))))</x:f>
      </x:c>
      <x:c r="J292" s="77" t="str">
        <x:f>IF(A292="","",IF(I292="기타/불명","확인 필요","결의서명으로 1차 확인"))</x:f>
      </x:c>
      <x:c r="K292" s="78"/>
    </x:row>
    <x:row r="293">
      <x:c r="A293" s="73"/>
      <x:c r="B293" s="73"/>
      <x:c r="C293" s="74"/>
      <x:c r="D293" s="73"/>
      <x:c r="E293" s="73"/>
      <x:c r="F293" s="75"/>
      <x:c r="G293" s="75"/>
      <x:c r="H293" s="76" t="str">
        <x:f>IF(A293="","",F293-G293)</x:f>
      </x:c>
      <x:c r="I293" s="77" t="str">
        <x:f>IF(A293="","",IF(E293="","기타/불명",IF(IFERROR(SEARCH("급여",E293),0)&gt;0,"인건비",IF(IFERROR(SEARCH("임차",E293),0)&gt;0,"임차·시설",IF(IFERROR(SEARCH("광고",E293),0)&gt;0,"광고·행사",IF(IFERROR(SEARCH("용역",E293),0)&gt;0,"용역·수수료","기타/불명"))))))</x:f>
      </x:c>
      <x:c r="J293" s="77" t="str">
        <x:f>IF(A293="","",IF(I293="기타/불명","확인 필요","결의서명으로 1차 확인"))</x:f>
      </x:c>
      <x:c r="K293" s="78"/>
    </x:row>
    <x:row r="294">
      <x:c r="A294" s="73"/>
      <x:c r="B294" s="73"/>
      <x:c r="C294" s="74"/>
      <x:c r="D294" s="73"/>
      <x:c r="E294" s="73"/>
      <x:c r="F294" s="75"/>
      <x:c r="G294" s="75"/>
      <x:c r="H294" s="76" t="str">
        <x:f>IF(A294="","",F294-G294)</x:f>
      </x:c>
      <x:c r="I294" s="77" t="str">
        <x:f>IF(A294="","",IF(E294="","기타/불명",IF(IFERROR(SEARCH("급여",E294),0)&gt;0,"인건비",IF(IFERROR(SEARCH("임차",E294),0)&gt;0,"임차·시설",IF(IFERROR(SEARCH("광고",E294),0)&gt;0,"광고·행사",IF(IFERROR(SEARCH("용역",E294),0)&gt;0,"용역·수수료","기타/불명"))))))</x:f>
      </x:c>
      <x:c r="J294" s="77" t="str">
        <x:f>IF(A294="","",IF(I294="기타/불명","확인 필요","결의서명으로 1차 확인"))</x:f>
      </x:c>
      <x:c r="K294" s="78"/>
    </x:row>
    <x:row r="295">
      <x:c r="A295" s="73"/>
      <x:c r="B295" s="73"/>
      <x:c r="C295" s="74"/>
      <x:c r="D295" s="73"/>
      <x:c r="E295" s="73"/>
      <x:c r="F295" s="75"/>
      <x:c r="G295" s="75"/>
      <x:c r="H295" s="76" t="str">
        <x:f>IF(A295="","",F295-G295)</x:f>
      </x:c>
      <x:c r="I295" s="77" t="str">
        <x:f>IF(A295="","",IF(E295="","기타/불명",IF(IFERROR(SEARCH("급여",E295),0)&gt;0,"인건비",IF(IFERROR(SEARCH("임차",E295),0)&gt;0,"임차·시설",IF(IFERROR(SEARCH("광고",E295),0)&gt;0,"광고·행사",IF(IFERROR(SEARCH("용역",E295),0)&gt;0,"용역·수수료","기타/불명"))))))</x:f>
      </x:c>
      <x:c r="J295" s="77" t="str">
        <x:f>IF(A295="","",IF(I295="기타/불명","확인 필요","결의서명으로 1차 확인"))</x:f>
      </x:c>
      <x:c r="K295" s="78"/>
    </x:row>
    <x:row r="296">
      <x:c r="A296" s="73"/>
      <x:c r="B296" s="73"/>
      <x:c r="C296" s="74"/>
      <x:c r="D296" s="73"/>
      <x:c r="E296" s="73"/>
      <x:c r="F296" s="75"/>
      <x:c r="G296" s="75"/>
      <x:c r="H296" s="76" t="str">
        <x:f>IF(A296="","",F296-G296)</x:f>
      </x:c>
      <x:c r="I296" s="77" t="str">
        <x:f>IF(A296="","",IF(E296="","기타/불명",IF(IFERROR(SEARCH("급여",E296),0)&gt;0,"인건비",IF(IFERROR(SEARCH("임차",E296),0)&gt;0,"임차·시설",IF(IFERROR(SEARCH("광고",E296),0)&gt;0,"광고·행사",IF(IFERROR(SEARCH("용역",E296),0)&gt;0,"용역·수수료","기타/불명"))))))</x:f>
      </x:c>
      <x:c r="J296" s="77" t="str">
        <x:f>IF(A296="","",IF(I296="기타/불명","확인 필요","결의서명으로 1차 확인"))</x:f>
      </x:c>
      <x:c r="K296" s="78"/>
    </x:row>
    <x:row r="297">
      <x:c r="A297" s="73"/>
      <x:c r="B297" s="73"/>
      <x:c r="C297" s="74"/>
      <x:c r="D297" s="73"/>
      <x:c r="E297" s="73"/>
      <x:c r="F297" s="75"/>
      <x:c r="G297" s="75"/>
      <x:c r="H297" s="76" t="str">
        <x:f>IF(A297="","",F297-G297)</x:f>
      </x:c>
      <x:c r="I297" s="77" t="str">
        <x:f>IF(A297="","",IF(E297="","기타/불명",IF(IFERROR(SEARCH("급여",E297),0)&gt;0,"인건비",IF(IFERROR(SEARCH("임차",E297),0)&gt;0,"임차·시설",IF(IFERROR(SEARCH("광고",E297),0)&gt;0,"광고·행사",IF(IFERROR(SEARCH("용역",E297),0)&gt;0,"용역·수수료","기타/불명"))))))</x:f>
      </x:c>
      <x:c r="J297" s="77" t="str">
        <x:f>IF(A297="","",IF(I297="기타/불명","확인 필요","결의서명으로 1차 확인"))</x:f>
      </x:c>
      <x:c r="K297" s="78"/>
    </x:row>
    <x:row r="298">
      <x:c r="A298" s="73"/>
      <x:c r="B298" s="73"/>
      <x:c r="C298" s="74"/>
      <x:c r="D298" s="73"/>
      <x:c r="E298" s="73"/>
      <x:c r="F298" s="75"/>
      <x:c r="G298" s="75"/>
      <x:c r="H298" s="76" t="str">
        <x:f>IF(A298="","",F298-G298)</x:f>
      </x:c>
      <x:c r="I298" s="77" t="str">
        <x:f>IF(A298="","",IF(E298="","기타/불명",IF(IFERROR(SEARCH("급여",E298),0)&gt;0,"인건비",IF(IFERROR(SEARCH("임차",E298),0)&gt;0,"임차·시설",IF(IFERROR(SEARCH("광고",E298),0)&gt;0,"광고·행사",IF(IFERROR(SEARCH("용역",E298),0)&gt;0,"용역·수수료","기타/불명"))))))</x:f>
      </x:c>
      <x:c r="J298" s="77" t="str">
        <x:f>IF(A298="","",IF(I298="기타/불명","확인 필요","결의서명으로 1차 확인"))</x:f>
      </x:c>
      <x:c r="K298" s="78"/>
    </x:row>
    <x:row r="299">
      <x:c r="A299" s="73"/>
      <x:c r="B299" s="73"/>
      <x:c r="C299" s="74"/>
      <x:c r="D299" s="73"/>
      <x:c r="E299" s="73"/>
      <x:c r="F299" s="75"/>
      <x:c r="G299" s="75"/>
      <x:c r="H299" s="76" t="str">
        <x:f>IF(A299="","",F299-G299)</x:f>
      </x:c>
      <x:c r="I299" s="77" t="str">
        <x:f>IF(A299="","",IF(E299="","기타/불명",IF(IFERROR(SEARCH("급여",E299),0)&gt;0,"인건비",IF(IFERROR(SEARCH("임차",E299),0)&gt;0,"임차·시설",IF(IFERROR(SEARCH("광고",E299),0)&gt;0,"광고·행사",IF(IFERROR(SEARCH("용역",E299),0)&gt;0,"용역·수수료","기타/불명"))))))</x:f>
      </x:c>
      <x:c r="J299" s="77" t="str">
        <x:f>IF(A299="","",IF(I299="기타/불명","확인 필요","결의서명으로 1차 확인"))</x:f>
      </x:c>
      <x:c r="K299" s="78"/>
    </x:row>
    <x:row r="300">
      <x:c r="A300" s="73"/>
      <x:c r="B300" s="73"/>
      <x:c r="C300" s="74"/>
      <x:c r="D300" s="73"/>
      <x:c r="E300" s="73"/>
      <x:c r="F300" s="75"/>
      <x:c r="G300" s="75"/>
      <x:c r="H300" s="76" t="str">
        <x:f>IF(A300="","",F300-G300)</x:f>
      </x:c>
      <x:c r="I300" s="77" t="str">
        <x:f>IF(A300="","",IF(E300="","기타/불명",IF(IFERROR(SEARCH("급여",E300),0)&gt;0,"인건비",IF(IFERROR(SEARCH("임차",E300),0)&gt;0,"임차·시설",IF(IFERROR(SEARCH("광고",E300),0)&gt;0,"광고·행사",IF(IFERROR(SEARCH("용역",E300),0)&gt;0,"용역·수수료","기타/불명"))))))</x:f>
      </x:c>
      <x:c r="J300" s="77" t="str">
        <x:f>IF(A300="","",IF(I300="기타/불명","확인 필요","결의서명으로 1차 확인"))</x:f>
      </x:c>
      <x:c r="K300" s="78"/>
    </x:row>
    <x:row r="301">
      <x:c r="A301" s="73"/>
      <x:c r="B301" s="73"/>
      <x:c r="C301" s="74"/>
      <x:c r="D301" s="73"/>
      <x:c r="E301" s="73"/>
      <x:c r="F301" s="75"/>
      <x:c r="G301" s="75"/>
      <x:c r="H301" s="76" t="str">
        <x:f>IF(A301="","",F301-G301)</x:f>
      </x:c>
      <x:c r="I301" s="77" t="str">
        <x:f>IF(A301="","",IF(E301="","기타/불명",IF(IFERROR(SEARCH("급여",E301),0)&gt;0,"인건비",IF(IFERROR(SEARCH("임차",E301),0)&gt;0,"임차·시설",IF(IFERROR(SEARCH("광고",E301),0)&gt;0,"광고·행사",IF(IFERROR(SEARCH("용역",E301),0)&gt;0,"용역·수수료","기타/불명"))))))</x:f>
      </x:c>
      <x:c r="J301" s="77" t="str">
        <x:f>IF(A301="","",IF(I301="기타/불명","확인 필요","결의서명으로 1차 확인"))</x:f>
      </x:c>
      <x:c r="K301" s="78"/>
    </x:row>
    <x:row r="302">
      <x:c r="A302" s="73"/>
      <x:c r="B302" s="73"/>
      <x:c r="C302" s="74"/>
      <x:c r="D302" s="73"/>
      <x:c r="E302" s="73"/>
      <x:c r="F302" s="75"/>
      <x:c r="G302" s="75"/>
      <x:c r="H302" s="76" t="str">
        <x:f>IF(A302="","",F302-G302)</x:f>
      </x:c>
      <x:c r="I302" s="77" t="str">
        <x:f>IF(A302="","",IF(E302="","기타/불명",IF(IFERROR(SEARCH("급여",E302),0)&gt;0,"인건비",IF(IFERROR(SEARCH("임차",E302),0)&gt;0,"임차·시설",IF(IFERROR(SEARCH("광고",E302),0)&gt;0,"광고·행사",IF(IFERROR(SEARCH("용역",E302),0)&gt;0,"용역·수수료","기타/불명"))))))</x:f>
      </x:c>
      <x:c r="J302" s="77" t="str">
        <x:f>IF(A302="","",IF(I302="기타/불명","확인 필요","결의서명으로 1차 확인"))</x:f>
      </x:c>
      <x:c r="K302" s="78"/>
    </x:row>
    <x:row r="303">
      <x:c r="A303" s="73"/>
      <x:c r="B303" s="73"/>
      <x:c r="C303" s="74"/>
      <x:c r="D303" s="73"/>
      <x:c r="E303" s="73"/>
      <x:c r="F303" s="75"/>
      <x:c r="G303" s="75"/>
      <x:c r="H303" s="76" t="str">
        <x:f>IF(A303="","",F303-G303)</x:f>
      </x:c>
      <x:c r="I303" s="77" t="str">
        <x:f>IF(A303="","",IF(E303="","기타/불명",IF(IFERROR(SEARCH("급여",E303),0)&gt;0,"인건비",IF(IFERROR(SEARCH("임차",E303),0)&gt;0,"임차·시설",IF(IFERROR(SEARCH("광고",E303),0)&gt;0,"광고·행사",IF(IFERROR(SEARCH("용역",E303),0)&gt;0,"용역·수수료","기타/불명"))))))</x:f>
      </x:c>
      <x:c r="J303" s="77" t="str">
        <x:f>IF(A303="","",IF(I303="기타/불명","확인 필요","결의서명으로 1차 확인"))</x:f>
      </x:c>
      <x:c r="K303" s="78"/>
    </x:row>
    <x:row r="304">
      <x:c r="A304" s="73"/>
      <x:c r="B304" s="73"/>
      <x:c r="C304" s="74"/>
      <x:c r="D304" s="73"/>
      <x:c r="E304" s="73"/>
      <x:c r="F304" s="75"/>
      <x:c r="G304" s="75"/>
      <x:c r="H304" s="76" t="str">
        <x:f>IF(A304="","",F304-G304)</x:f>
      </x:c>
      <x:c r="I304" s="77" t="str">
        <x:f>IF(A304="","",IF(E304="","기타/불명",IF(IFERROR(SEARCH("급여",E304),0)&gt;0,"인건비",IF(IFERROR(SEARCH("임차",E304),0)&gt;0,"임차·시설",IF(IFERROR(SEARCH("광고",E304),0)&gt;0,"광고·행사",IF(IFERROR(SEARCH("용역",E304),0)&gt;0,"용역·수수료","기타/불명"))))))</x:f>
      </x:c>
      <x:c r="J304" s="77" t="str">
        <x:f>IF(A304="","",IF(I304="기타/불명","확인 필요","결의서명으로 1차 확인"))</x:f>
      </x:c>
      <x:c r="K304" s="78"/>
    </x:row>
    <x:row r="305">
      <x:c r="A305" s="73"/>
      <x:c r="B305" s="73"/>
      <x:c r="C305" s="74"/>
      <x:c r="D305" s="73"/>
      <x:c r="E305" s="73"/>
      <x:c r="F305" s="75"/>
      <x:c r="G305" s="75"/>
      <x:c r="H305" s="76" t="str">
        <x:f>IF(A305="","",F305-G305)</x:f>
      </x:c>
      <x:c r="I305" s="77" t="str">
        <x:f>IF(A305="","",IF(E305="","기타/불명",IF(IFERROR(SEARCH("급여",E305),0)&gt;0,"인건비",IF(IFERROR(SEARCH("임차",E305),0)&gt;0,"임차·시설",IF(IFERROR(SEARCH("광고",E305),0)&gt;0,"광고·행사",IF(IFERROR(SEARCH("용역",E305),0)&gt;0,"용역·수수료","기타/불명"))))))</x:f>
      </x:c>
      <x:c r="J305" s="77" t="str">
        <x:f>IF(A305="","",IF(I305="기타/불명","확인 필요","결의서명으로 1차 확인"))</x:f>
      </x:c>
      <x:c r="K305" s="78"/>
    </x:row>
    <x:row r="306">
      <x:c r="A306" s="73"/>
      <x:c r="B306" s="73"/>
      <x:c r="C306" s="74"/>
      <x:c r="D306" s="73"/>
      <x:c r="E306" s="73"/>
      <x:c r="F306" s="75"/>
      <x:c r="G306" s="75"/>
      <x:c r="H306" s="76" t="str">
        <x:f>IF(A306="","",F306-G306)</x:f>
      </x:c>
      <x:c r="I306" s="77" t="str">
        <x:f>IF(A306="","",IF(E306="","기타/불명",IF(IFERROR(SEARCH("급여",E306),0)&gt;0,"인건비",IF(IFERROR(SEARCH("임차",E306),0)&gt;0,"임차·시설",IF(IFERROR(SEARCH("광고",E306),0)&gt;0,"광고·행사",IF(IFERROR(SEARCH("용역",E306),0)&gt;0,"용역·수수료","기타/불명"))))))</x:f>
      </x:c>
      <x:c r="J306" s="77" t="str">
        <x:f>IF(A306="","",IF(I306="기타/불명","확인 필요","결의서명으로 1차 확인"))</x:f>
      </x:c>
      <x:c r="K306" s="78"/>
    </x:row>
    <x:row r="307">
      <x:c r="A307" s="73"/>
      <x:c r="B307" s="73"/>
      <x:c r="C307" s="74"/>
      <x:c r="D307" s="73"/>
      <x:c r="E307" s="73"/>
      <x:c r="F307" s="75"/>
      <x:c r="G307" s="75"/>
      <x:c r="H307" s="76" t="str">
        <x:f>IF(A307="","",F307-G307)</x:f>
      </x:c>
      <x:c r="I307" s="77" t="str">
        <x:f>IF(A307="","",IF(E307="","기타/불명",IF(IFERROR(SEARCH("급여",E307),0)&gt;0,"인건비",IF(IFERROR(SEARCH("임차",E307),0)&gt;0,"임차·시설",IF(IFERROR(SEARCH("광고",E307),0)&gt;0,"광고·행사",IF(IFERROR(SEARCH("용역",E307),0)&gt;0,"용역·수수료","기타/불명"))))))</x:f>
      </x:c>
      <x:c r="J307" s="77" t="str">
        <x:f>IF(A307="","",IF(I307="기타/불명","확인 필요","결의서명으로 1차 확인"))</x:f>
      </x:c>
      <x:c r="K307" s="78"/>
    </x:row>
    <x:row r="308">
      <x:c r="A308" s="73"/>
      <x:c r="B308" s="73"/>
      <x:c r="C308" s="74"/>
      <x:c r="D308" s="73"/>
      <x:c r="E308" s="73"/>
      <x:c r="F308" s="75"/>
      <x:c r="G308" s="75"/>
      <x:c r="H308" s="76" t="str">
        <x:f>IF(A308="","",F308-G308)</x:f>
      </x:c>
      <x:c r="I308" s="77" t="str">
        <x:f>IF(A308="","",IF(E308="","기타/불명",IF(IFERROR(SEARCH("급여",E308),0)&gt;0,"인건비",IF(IFERROR(SEARCH("임차",E308),0)&gt;0,"임차·시설",IF(IFERROR(SEARCH("광고",E308),0)&gt;0,"광고·행사",IF(IFERROR(SEARCH("용역",E308),0)&gt;0,"용역·수수료","기타/불명"))))))</x:f>
      </x:c>
      <x:c r="J308" s="77" t="str">
        <x:f>IF(A308="","",IF(I308="기타/불명","확인 필요","결의서명으로 1차 확인"))</x:f>
      </x:c>
      <x:c r="K308" s="78"/>
    </x:row>
    <x:row r="309">
      <x:c r="A309" s="73"/>
      <x:c r="B309" s="73"/>
      <x:c r="C309" s="74"/>
      <x:c r="D309" s="73"/>
      <x:c r="E309" s="73"/>
      <x:c r="F309" s="75"/>
      <x:c r="G309" s="75"/>
      <x:c r="H309" s="76" t="str">
        <x:f>IF(A309="","",F309-G309)</x:f>
      </x:c>
      <x:c r="I309" s="77" t="str">
        <x:f>IF(A309="","",IF(E309="","기타/불명",IF(IFERROR(SEARCH("급여",E309),0)&gt;0,"인건비",IF(IFERROR(SEARCH("임차",E309),0)&gt;0,"임차·시설",IF(IFERROR(SEARCH("광고",E309),0)&gt;0,"광고·행사",IF(IFERROR(SEARCH("용역",E309),0)&gt;0,"용역·수수료","기타/불명"))))))</x:f>
      </x:c>
      <x:c r="J309" s="77" t="str">
        <x:f>IF(A309="","",IF(I309="기타/불명","확인 필요","결의서명으로 1차 확인"))</x:f>
      </x:c>
      <x:c r="K309" s="78"/>
    </x:row>
    <x:row r="310">
      <x:c r="A310" s="73"/>
      <x:c r="B310" s="73"/>
      <x:c r="C310" s="74"/>
      <x:c r="D310" s="73"/>
      <x:c r="E310" s="73"/>
      <x:c r="F310" s="75"/>
      <x:c r="G310" s="75"/>
      <x:c r="H310" s="76" t="str">
        <x:f>IF(A310="","",F310-G310)</x:f>
      </x:c>
      <x:c r="I310" s="77" t="str">
        <x:f>IF(A310="","",IF(E310="","기타/불명",IF(IFERROR(SEARCH("급여",E310),0)&gt;0,"인건비",IF(IFERROR(SEARCH("임차",E310),0)&gt;0,"임차·시설",IF(IFERROR(SEARCH("광고",E310),0)&gt;0,"광고·행사",IF(IFERROR(SEARCH("용역",E310),0)&gt;0,"용역·수수료","기타/불명"))))))</x:f>
      </x:c>
      <x:c r="J310" s="77" t="str">
        <x:f>IF(A310="","",IF(I310="기타/불명","확인 필요","결의서명으로 1차 확인"))</x:f>
      </x:c>
      <x:c r="K310" s="78"/>
    </x:row>
    <x:row r="311">
      <x:c r="A311" s="73"/>
      <x:c r="B311" s="73"/>
      <x:c r="C311" s="74"/>
      <x:c r="D311" s="73"/>
      <x:c r="E311" s="73"/>
      <x:c r="F311" s="75"/>
      <x:c r="G311" s="75"/>
      <x:c r="H311" s="76" t="str">
        <x:f>IF(A311="","",F311-G311)</x:f>
      </x:c>
      <x:c r="I311" s="77" t="str">
        <x:f>IF(A311="","",IF(E311="","기타/불명",IF(IFERROR(SEARCH("급여",E311),0)&gt;0,"인건비",IF(IFERROR(SEARCH("임차",E311),0)&gt;0,"임차·시설",IF(IFERROR(SEARCH("광고",E311),0)&gt;0,"광고·행사",IF(IFERROR(SEARCH("용역",E311),0)&gt;0,"용역·수수료","기타/불명"))))))</x:f>
      </x:c>
      <x:c r="J311" s="77" t="str">
        <x:f>IF(A311="","",IF(I311="기타/불명","확인 필요","결의서명으로 1차 확인"))</x:f>
      </x:c>
      <x:c r="K311" s="78"/>
    </x:row>
    <x:row r="312">
      <x:c r="A312" s="73"/>
      <x:c r="B312" s="73"/>
      <x:c r="C312" s="74"/>
      <x:c r="D312" s="73"/>
      <x:c r="E312" s="73"/>
      <x:c r="F312" s="75"/>
      <x:c r="G312" s="75"/>
      <x:c r="H312" s="76" t="str">
        <x:f>IF(A312="","",F312-G312)</x:f>
      </x:c>
      <x:c r="I312" s="77" t="str">
        <x:f>IF(A312="","",IF(E312="","기타/불명",IF(IFERROR(SEARCH("급여",E312),0)&gt;0,"인건비",IF(IFERROR(SEARCH("임차",E312),0)&gt;0,"임차·시설",IF(IFERROR(SEARCH("광고",E312),0)&gt;0,"광고·행사",IF(IFERROR(SEARCH("용역",E312),0)&gt;0,"용역·수수료","기타/불명"))))))</x:f>
      </x:c>
      <x:c r="J312" s="77" t="str">
        <x:f>IF(A312="","",IF(I312="기타/불명","확인 필요","결의서명으로 1차 확인"))</x:f>
      </x:c>
      <x:c r="K312" s="78"/>
    </x:row>
    <x:row r="313">
      <x:c r="A313" s="73"/>
      <x:c r="B313" s="73"/>
      <x:c r="C313" s="74"/>
      <x:c r="D313" s="73"/>
      <x:c r="E313" s="73"/>
      <x:c r="F313" s="75"/>
      <x:c r="G313" s="75"/>
      <x:c r="H313" s="76" t="str">
        <x:f>IF(A313="","",F313-G313)</x:f>
      </x:c>
      <x:c r="I313" s="77" t="str">
        <x:f>IF(A313="","",IF(E313="","기타/불명",IF(IFERROR(SEARCH("급여",E313),0)&gt;0,"인건비",IF(IFERROR(SEARCH("임차",E313),0)&gt;0,"임차·시설",IF(IFERROR(SEARCH("광고",E313),0)&gt;0,"광고·행사",IF(IFERROR(SEARCH("용역",E313),0)&gt;0,"용역·수수료","기타/불명"))))))</x:f>
      </x:c>
      <x:c r="J313" s="77" t="str">
        <x:f>IF(A313="","",IF(I313="기타/불명","확인 필요","결의서명으로 1차 확인"))</x:f>
      </x:c>
      <x:c r="K313" s="78"/>
    </x:row>
    <x:row r="314">
      <x:c r="A314" s="73"/>
      <x:c r="B314" s="73"/>
      <x:c r="C314" s="74"/>
      <x:c r="D314" s="73"/>
      <x:c r="E314" s="73"/>
      <x:c r="F314" s="75"/>
      <x:c r="G314" s="75"/>
      <x:c r="H314" s="76" t="str">
        <x:f>IF(A314="","",F314-G314)</x:f>
      </x:c>
      <x:c r="I314" s="77" t="str">
        <x:f>IF(A314="","",IF(E314="","기타/불명",IF(IFERROR(SEARCH("급여",E314),0)&gt;0,"인건비",IF(IFERROR(SEARCH("임차",E314),0)&gt;0,"임차·시설",IF(IFERROR(SEARCH("광고",E314),0)&gt;0,"광고·행사",IF(IFERROR(SEARCH("용역",E314),0)&gt;0,"용역·수수료","기타/불명"))))))</x:f>
      </x:c>
      <x:c r="J314" s="77" t="str">
        <x:f>IF(A314="","",IF(I314="기타/불명","확인 필요","결의서명으로 1차 확인"))</x:f>
      </x:c>
      <x:c r="K314" s="78"/>
    </x:row>
    <x:row r="315">
      <x:c r="A315" s="73"/>
      <x:c r="B315" s="73"/>
      <x:c r="C315" s="74"/>
      <x:c r="D315" s="73"/>
      <x:c r="E315" s="73"/>
      <x:c r="F315" s="75"/>
      <x:c r="G315" s="75"/>
      <x:c r="H315" s="76" t="str">
        <x:f>IF(A315="","",F315-G315)</x:f>
      </x:c>
      <x:c r="I315" s="77" t="str">
        <x:f>IF(A315="","",IF(E315="","기타/불명",IF(IFERROR(SEARCH("급여",E315),0)&gt;0,"인건비",IF(IFERROR(SEARCH("임차",E315),0)&gt;0,"임차·시설",IF(IFERROR(SEARCH("광고",E315),0)&gt;0,"광고·행사",IF(IFERROR(SEARCH("용역",E315),0)&gt;0,"용역·수수료","기타/불명"))))))</x:f>
      </x:c>
      <x:c r="J315" s="77" t="str">
        <x:f>IF(A315="","",IF(I315="기타/불명","확인 필요","결의서명으로 1차 확인"))</x:f>
      </x:c>
      <x:c r="K315" s="78"/>
    </x:row>
    <x:row r="316">
      <x:c r="A316" s="73"/>
      <x:c r="B316" s="73"/>
      <x:c r="C316" s="74"/>
      <x:c r="D316" s="73"/>
      <x:c r="E316" s="73"/>
      <x:c r="F316" s="75"/>
      <x:c r="G316" s="75"/>
      <x:c r="H316" s="76" t="str">
        <x:f>IF(A316="","",F316-G316)</x:f>
      </x:c>
      <x:c r="I316" s="77" t="str">
        <x:f>IF(A316="","",IF(E316="","기타/불명",IF(IFERROR(SEARCH("급여",E316),0)&gt;0,"인건비",IF(IFERROR(SEARCH("임차",E316),0)&gt;0,"임차·시설",IF(IFERROR(SEARCH("광고",E316),0)&gt;0,"광고·행사",IF(IFERROR(SEARCH("용역",E316),0)&gt;0,"용역·수수료","기타/불명"))))))</x:f>
      </x:c>
      <x:c r="J316" s="77" t="str">
        <x:f>IF(A316="","",IF(I316="기타/불명","확인 필요","결의서명으로 1차 확인"))</x:f>
      </x:c>
      <x:c r="K316" s="78"/>
    </x:row>
    <x:row r="317">
      <x:c r="A317" s="73"/>
      <x:c r="B317" s="73"/>
      <x:c r="C317" s="74"/>
      <x:c r="D317" s="73"/>
      <x:c r="E317" s="73"/>
      <x:c r="F317" s="75"/>
      <x:c r="G317" s="75"/>
      <x:c r="H317" s="76" t="str">
        <x:f>IF(A317="","",F317-G317)</x:f>
      </x:c>
      <x:c r="I317" s="77" t="str">
        <x:f>IF(A317="","",IF(E317="","기타/불명",IF(IFERROR(SEARCH("급여",E317),0)&gt;0,"인건비",IF(IFERROR(SEARCH("임차",E317),0)&gt;0,"임차·시설",IF(IFERROR(SEARCH("광고",E317),0)&gt;0,"광고·행사",IF(IFERROR(SEARCH("용역",E317),0)&gt;0,"용역·수수료","기타/불명"))))))</x:f>
      </x:c>
      <x:c r="J317" s="77" t="str">
        <x:f>IF(A317="","",IF(I317="기타/불명","확인 필요","결의서명으로 1차 확인"))</x:f>
      </x:c>
      <x:c r="K317" s="78"/>
    </x:row>
    <x:row r="318">
      <x:c r="A318" s="73"/>
      <x:c r="B318" s="73"/>
      <x:c r="C318" s="74"/>
      <x:c r="D318" s="73"/>
      <x:c r="E318" s="73"/>
      <x:c r="F318" s="75"/>
      <x:c r="G318" s="75"/>
      <x:c r="H318" s="76" t="str">
        <x:f>IF(A318="","",F318-G318)</x:f>
      </x:c>
      <x:c r="I318" s="77" t="str">
        <x:f>IF(A318="","",IF(E318="","기타/불명",IF(IFERROR(SEARCH("급여",E318),0)&gt;0,"인건비",IF(IFERROR(SEARCH("임차",E318),0)&gt;0,"임차·시설",IF(IFERROR(SEARCH("광고",E318),0)&gt;0,"광고·행사",IF(IFERROR(SEARCH("용역",E318),0)&gt;0,"용역·수수료","기타/불명"))))))</x:f>
      </x:c>
      <x:c r="J318" s="77" t="str">
        <x:f>IF(A318="","",IF(I318="기타/불명","확인 필요","결의서명으로 1차 확인"))</x:f>
      </x:c>
      <x:c r="K318" s="78"/>
    </x:row>
    <x:row r="319">
      <x:c r="A319" s="73"/>
      <x:c r="B319" s="73"/>
      <x:c r="C319" s="74"/>
      <x:c r="D319" s="73"/>
      <x:c r="E319" s="73"/>
      <x:c r="F319" s="75"/>
      <x:c r="G319" s="75"/>
      <x:c r="H319" s="76" t="str">
        <x:f>IF(A319="","",F319-G319)</x:f>
      </x:c>
      <x:c r="I319" s="77" t="str">
        <x:f>IF(A319="","",IF(E319="","기타/불명",IF(IFERROR(SEARCH("급여",E319),0)&gt;0,"인건비",IF(IFERROR(SEARCH("임차",E319),0)&gt;0,"임차·시설",IF(IFERROR(SEARCH("광고",E319),0)&gt;0,"광고·행사",IF(IFERROR(SEARCH("용역",E319),0)&gt;0,"용역·수수료","기타/불명"))))))</x:f>
      </x:c>
      <x:c r="J319" s="77" t="str">
        <x:f>IF(A319="","",IF(I319="기타/불명","확인 필요","결의서명으로 1차 확인"))</x:f>
      </x:c>
      <x:c r="K319" s="78"/>
    </x:row>
    <x:row r="320">
      <x:c r="A320" s="73"/>
      <x:c r="B320" s="73"/>
      <x:c r="C320" s="74"/>
      <x:c r="D320" s="73"/>
      <x:c r="E320" s="73"/>
      <x:c r="F320" s="75"/>
      <x:c r="G320" s="75"/>
      <x:c r="H320" s="76" t="str">
        <x:f>IF(A320="","",F320-G320)</x:f>
      </x:c>
      <x:c r="I320" s="77" t="str">
        <x:f>IF(A320="","",IF(E320="","기타/불명",IF(IFERROR(SEARCH("급여",E320),0)&gt;0,"인건비",IF(IFERROR(SEARCH("임차",E320),0)&gt;0,"임차·시설",IF(IFERROR(SEARCH("광고",E320),0)&gt;0,"광고·행사",IF(IFERROR(SEARCH("용역",E320),0)&gt;0,"용역·수수료","기타/불명"))))))</x:f>
      </x:c>
      <x:c r="J320" s="77" t="str">
        <x:f>IF(A320="","",IF(I320="기타/불명","확인 필요","결의서명으로 1차 확인"))</x:f>
      </x:c>
      <x:c r="K320" s="78"/>
    </x:row>
    <x:row r="321">
      <x:c r="A321" s="73"/>
      <x:c r="B321" s="73"/>
      <x:c r="C321" s="74"/>
      <x:c r="D321" s="73"/>
      <x:c r="E321" s="73"/>
      <x:c r="F321" s="75"/>
      <x:c r="G321" s="75"/>
      <x:c r="H321" s="76" t="str">
        <x:f>IF(A321="","",F321-G321)</x:f>
      </x:c>
      <x:c r="I321" s="77" t="str">
        <x:f>IF(A321="","",IF(E321="","기타/불명",IF(IFERROR(SEARCH("급여",E321),0)&gt;0,"인건비",IF(IFERROR(SEARCH("임차",E321),0)&gt;0,"임차·시설",IF(IFERROR(SEARCH("광고",E321),0)&gt;0,"광고·행사",IF(IFERROR(SEARCH("용역",E321),0)&gt;0,"용역·수수료","기타/불명"))))))</x:f>
      </x:c>
      <x:c r="J321" s="77" t="str">
        <x:f>IF(A321="","",IF(I321="기타/불명","확인 필요","결의서명으로 1차 확인"))</x:f>
      </x:c>
      <x:c r="K321" s="78"/>
    </x:row>
    <x:row r="322">
      <x:c r="A322" s="73"/>
      <x:c r="B322" s="73"/>
      <x:c r="C322" s="74"/>
      <x:c r="D322" s="73"/>
      <x:c r="E322" s="73"/>
      <x:c r="F322" s="75"/>
      <x:c r="G322" s="75"/>
      <x:c r="H322" s="76" t="str">
        <x:f>IF(A322="","",F322-G322)</x:f>
      </x:c>
      <x:c r="I322" s="77" t="str">
        <x:f>IF(A322="","",IF(E322="","기타/불명",IF(IFERROR(SEARCH("급여",E322),0)&gt;0,"인건비",IF(IFERROR(SEARCH("임차",E322),0)&gt;0,"임차·시설",IF(IFERROR(SEARCH("광고",E322),0)&gt;0,"광고·행사",IF(IFERROR(SEARCH("용역",E322),0)&gt;0,"용역·수수료","기타/불명"))))))</x:f>
      </x:c>
      <x:c r="J322" s="77" t="str">
        <x:f>IF(A322="","",IF(I322="기타/불명","확인 필요","결의서명으로 1차 확인"))</x:f>
      </x:c>
      <x:c r="K322" s="78"/>
    </x:row>
    <x:row r="323">
      <x:c r="A323" s="73"/>
      <x:c r="B323" s="73"/>
      <x:c r="C323" s="74"/>
      <x:c r="D323" s="73"/>
      <x:c r="E323" s="73"/>
      <x:c r="F323" s="75"/>
      <x:c r="G323" s="75"/>
      <x:c r="H323" s="76" t="str">
        <x:f>IF(A323="","",F323-G323)</x:f>
      </x:c>
      <x:c r="I323" s="77" t="str">
        <x:f>IF(A323="","",IF(E323="","기타/불명",IF(IFERROR(SEARCH("급여",E323),0)&gt;0,"인건비",IF(IFERROR(SEARCH("임차",E323),0)&gt;0,"임차·시설",IF(IFERROR(SEARCH("광고",E323),0)&gt;0,"광고·행사",IF(IFERROR(SEARCH("용역",E323),0)&gt;0,"용역·수수료","기타/불명"))))))</x:f>
      </x:c>
      <x:c r="J323" s="77" t="str">
        <x:f>IF(A323="","",IF(I323="기타/불명","확인 필요","결의서명으로 1차 확인"))</x:f>
      </x:c>
      <x:c r="K323" s="78"/>
    </x:row>
    <x:row r="324">
      <x:c r="A324" s="73"/>
      <x:c r="B324" s="73"/>
      <x:c r="C324" s="74"/>
      <x:c r="D324" s="73"/>
      <x:c r="E324" s="73"/>
      <x:c r="F324" s="75"/>
      <x:c r="G324" s="75"/>
      <x:c r="H324" s="76" t="str">
        <x:f>IF(A324="","",F324-G324)</x:f>
      </x:c>
      <x:c r="I324" s="77" t="str">
        <x:f>IF(A324="","",IF(E324="","기타/불명",IF(IFERROR(SEARCH("급여",E324),0)&gt;0,"인건비",IF(IFERROR(SEARCH("임차",E324),0)&gt;0,"임차·시설",IF(IFERROR(SEARCH("광고",E324),0)&gt;0,"광고·행사",IF(IFERROR(SEARCH("용역",E324),0)&gt;0,"용역·수수료","기타/불명"))))))</x:f>
      </x:c>
      <x:c r="J324" s="77" t="str">
        <x:f>IF(A324="","",IF(I324="기타/불명","확인 필요","결의서명으로 1차 확인"))</x:f>
      </x:c>
      <x:c r="K324" s="78"/>
    </x:row>
    <x:row r="325">
      <x:c r="A325" s="73"/>
      <x:c r="B325" s="73"/>
      <x:c r="C325" s="74"/>
      <x:c r="D325" s="73"/>
      <x:c r="E325" s="73"/>
      <x:c r="F325" s="75"/>
      <x:c r="G325" s="75"/>
      <x:c r="H325" s="76" t="str">
        <x:f>IF(A325="","",F325-G325)</x:f>
      </x:c>
      <x:c r="I325" s="77" t="str">
        <x:f>IF(A325="","",IF(E325="","기타/불명",IF(IFERROR(SEARCH("급여",E325),0)&gt;0,"인건비",IF(IFERROR(SEARCH("임차",E325),0)&gt;0,"임차·시설",IF(IFERROR(SEARCH("광고",E325),0)&gt;0,"광고·행사",IF(IFERROR(SEARCH("용역",E325),0)&gt;0,"용역·수수료","기타/불명"))))))</x:f>
      </x:c>
      <x:c r="J325" s="77" t="str">
        <x:f>IF(A325="","",IF(I325="기타/불명","확인 필요","결의서명으로 1차 확인"))</x:f>
      </x:c>
      <x:c r="K325" s="78"/>
    </x:row>
    <x:row r="326">
      <x:c r="A326" s="73"/>
      <x:c r="B326" s="73"/>
      <x:c r="C326" s="74"/>
      <x:c r="D326" s="73"/>
      <x:c r="E326" s="73"/>
      <x:c r="F326" s="75"/>
      <x:c r="G326" s="75"/>
      <x:c r="H326" s="76" t="str">
        <x:f>IF(A326="","",F326-G326)</x:f>
      </x:c>
      <x:c r="I326" s="77" t="str">
        <x:f>IF(A326="","",IF(E326="","기타/불명",IF(IFERROR(SEARCH("급여",E326),0)&gt;0,"인건비",IF(IFERROR(SEARCH("임차",E326),0)&gt;0,"임차·시설",IF(IFERROR(SEARCH("광고",E326),0)&gt;0,"광고·행사",IF(IFERROR(SEARCH("용역",E326),0)&gt;0,"용역·수수료","기타/불명"))))))</x:f>
      </x:c>
      <x:c r="J326" s="77" t="str">
        <x:f>IF(A326="","",IF(I326="기타/불명","확인 필요","결의서명으로 1차 확인"))</x:f>
      </x:c>
      <x:c r="K326" s="78"/>
    </x:row>
    <x:row r="327">
      <x:c r="A327" s="73"/>
      <x:c r="B327" s="73"/>
      <x:c r="C327" s="74"/>
      <x:c r="D327" s="73"/>
      <x:c r="E327" s="73"/>
      <x:c r="F327" s="75"/>
      <x:c r="G327" s="75"/>
      <x:c r="H327" s="76" t="str">
        <x:f>IF(A327="","",F327-G327)</x:f>
      </x:c>
      <x:c r="I327" s="77" t="str">
        <x:f>IF(A327="","",IF(E327="","기타/불명",IF(IFERROR(SEARCH("급여",E327),0)&gt;0,"인건비",IF(IFERROR(SEARCH("임차",E327),0)&gt;0,"임차·시설",IF(IFERROR(SEARCH("광고",E327),0)&gt;0,"광고·행사",IF(IFERROR(SEARCH("용역",E327),0)&gt;0,"용역·수수료","기타/불명"))))))</x:f>
      </x:c>
      <x:c r="J327" s="77" t="str">
        <x:f>IF(A327="","",IF(I327="기타/불명","확인 필요","결의서명으로 1차 확인"))</x:f>
      </x:c>
      <x:c r="K327" s="78"/>
    </x:row>
    <x:row r="328">
      <x:c r="A328" s="73"/>
      <x:c r="B328" s="73"/>
      <x:c r="C328" s="74"/>
      <x:c r="D328" s="73"/>
      <x:c r="E328" s="73"/>
      <x:c r="F328" s="75"/>
      <x:c r="G328" s="75"/>
      <x:c r="H328" s="76" t="str">
        <x:f>IF(A328="","",F328-G328)</x:f>
      </x:c>
      <x:c r="I328" s="77" t="str">
        <x:f>IF(A328="","",IF(E328="","기타/불명",IF(IFERROR(SEARCH("급여",E328),0)&gt;0,"인건비",IF(IFERROR(SEARCH("임차",E328),0)&gt;0,"임차·시설",IF(IFERROR(SEARCH("광고",E328),0)&gt;0,"광고·행사",IF(IFERROR(SEARCH("용역",E328),0)&gt;0,"용역·수수료","기타/불명"))))))</x:f>
      </x:c>
      <x:c r="J328" s="77" t="str">
        <x:f>IF(A328="","",IF(I328="기타/불명","확인 필요","결의서명으로 1차 확인"))</x:f>
      </x:c>
      <x:c r="K328" s="78"/>
    </x:row>
    <x:row r="329">
      <x:c r="A329" s="73"/>
      <x:c r="B329" s="73"/>
      <x:c r="C329" s="74"/>
      <x:c r="D329" s="73"/>
      <x:c r="E329" s="73"/>
      <x:c r="F329" s="75"/>
      <x:c r="G329" s="75"/>
      <x:c r="H329" s="76" t="str">
        <x:f>IF(A329="","",F329-G329)</x:f>
      </x:c>
      <x:c r="I329" s="77" t="str">
        <x:f>IF(A329="","",IF(E329="","기타/불명",IF(IFERROR(SEARCH("급여",E329),0)&gt;0,"인건비",IF(IFERROR(SEARCH("임차",E329),0)&gt;0,"임차·시설",IF(IFERROR(SEARCH("광고",E329),0)&gt;0,"광고·행사",IF(IFERROR(SEARCH("용역",E329),0)&gt;0,"용역·수수료","기타/불명"))))))</x:f>
      </x:c>
      <x:c r="J329" s="77" t="str">
        <x:f>IF(A329="","",IF(I329="기타/불명","확인 필요","결의서명으로 1차 확인"))</x:f>
      </x:c>
      <x:c r="K329" s="78"/>
    </x:row>
    <x:row r="330">
      <x:c r="A330" s="73"/>
      <x:c r="B330" s="73"/>
      <x:c r="C330" s="74"/>
      <x:c r="D330" s="73"/>
      <x:c r="E330" s="73"/>
      <x:c r="F330" s="75"/>
      <x:c r="G330" s="75"/>
      <x:c r="H330" s="76" t="str">
        <x:f>IF(A330="","",F330-G330)</x:f>
      </x:c>
      <x:c r="I330" s="77" t="str">
        <x:f>IF(A330="","",IF(E330="","기타/불명",IF(IFERROR(SEARCH("급여",E330),0)&gt;0,"인건비",IF(IFERROR(SEARCH("임차",E330),0)&gt;0,"임차·시설",IF(IFERROR(SEARCH("광고",E330),0)&gt;0,"광고·행사",IF(IFERROR(SEARCH("용역",E330),0)&gt;0,"용역·수수료","기타/불명"))))))</x:f>
      </x:c>
      <x:c r="J330" s="77" t="str">
        <x:f>IF(A330="","",IF(I330="기타/불명","확인 필요","결의서명으로 1차 확인"))</x:f>
      </x:c>
      <x:c r="K330" s="78"/>
    </x:row>
    <x:row r="331">
      <x:c r="A331" s="73"/>
      <x:c r="B331" s="73"/>
      <x:c r="C331" s="74"/>
      <x:c r="D331" s="73"/>
      <x:c r="E331" s="73"/>
      <x:c r="F331" s="75"/>
      <x:c r="G331" s="75"/>
      <x:c r="H331" s="76" t="str">
        <x:f>IF(A331="","",F331-G331)</x:f>
      </x:c>
      <x:c r="I331" s="77" t="str">
        <x:f>IF(A331="","",IF(E331="","기타/불명",IF(IFERROR(SEARCH("급여",E331),0)&gt;0,"인건비",IF(IFERROR(SEARCH("임차",E331),0)&gt;0,"임차·시설",IF(IFERROR(SEARCH("광고",E331),0)&gt;0,"광고·행사",IF(IFERROR(SEARCH("용역",E331),0)&gt;0,"용역·수수료","기타/불명"))))))</x:f>
      </x:c>
      <x:c r="J331" s="77" t="str">
        <x:f>IF(A331="","",IF(I331="기타/불명","확인 필요","결의서명으로 1차 확인"))</x:f>
      </x:c>
      <x:c r="K331" s="78"/>
    </x:row>
    <x:row r="332">
      <x:c r="A332" s="73"/>
      <x:c r="B332" s="73"/>
      <x:c r="C332" s="74"/>
      <x:c r="D332" s="73"/>
      <x:c r="E332" s="73"/>
      <x:c r="F332" s="75"/>
      <x:c r="G332" s="75"/>
      <x:c r="H332" s="76" t="str">
        <x:f>IF(A332="","",F332-G332)</x:f>
      </x:c>
      <x:c r="I332" s="77" t="str">
        <x:f>IF(A332="","",IF(E332="","기타/불명",IF(IFERROR(SEARCH("급여",E332),0)&gt;0,"인건비",IF(IFERROR(SEARCH("임차",E332),0)&gt;0,"임차·시설",IF(IFERROR(SEARCH("광고",E332),0)&gt;0,"광고·행사",IF(IFERROR(SEARCH("용역",E332),0)&gt;0,"용역·수수료","기타/불명"))))))</x:f>
      </x:c>
      <x:c r="J332" s="77" t="str">
        <x:f>IF(A332="","",IF(I332="기타/불명","확인 필요","결의서명으로 1차 확인"))</x:f>
      </x:c>
      <x:c r="K332" s="78"/>
    </x:row>
    <x:row r="333">
      <x:c r="A333" s="73"/>
      <x:c r="B333" s="73"/>
      <x:c r="C333" s="74"/>
      <x:c r="D333" s="73"/>
      <x:c r="E333" s="73"/>
      <x:c r="F333" s="75"/>
      <x:c r="G333" s="75"/>
      <x:c r="H333" s="76" t="str">
        <x:f>IF(A333="","",F333-G333)</x:f>
      </x:c>
      <x:c r="I333" s="77" t="str">
        <x:f>IF(A333="","",IF(E333="","기타/불명",IF(IFERROR(SEARCH("급여",E333),0)&gt;0,"인건비",IF(IFERROR(SEARCH("임차",E333),0)&gt;0,"임차·시설",IF(IFERROR(SEARCH("광고",E333),0)&gt;0,"광고·행사",IF(IFERROR(SEARCH("용역",E333),0)&gt;0,"용역·수수료","기타/불명"))))))</x:f>
      </x:c>
      <x:c r="J333" s="77" t="str">
        <x:f>IF(A333="","",IF(I333="기타/불명","확인 필요","결의서명으로 1차 확인"))</x:f>
      </x:c>
      <x:c r="K333" s="78"/>
    </x:row>
    <x:row r="334">
      <x:c r="A334" s="73"/>
      <x:c r="B334" s="73"/>
      <x:c r="C334" s="74"/>
      <x:c r="D334" s="73"/>
      <x:c r="E334" s="73"/>
      <x:c r="F334" s="75"/>
      <x:c r="G334" s="75"/>
      <x:c r="H334" s="76" t="str">
        <x:f>IF(A334="","",F334-G334)</x:f>
      </x:c>
      <x:c r="I334" s="77" t="str">
        <x:f>IF(A334="","",IF(E334="","기타/불명",IF(IFERROR(SEARCH("급여",E334),0)&gt;0,"인건비",IF(IFERROR(SEARCH("임차",E334),0)&gt;0,"임차·시설",IF(IFERROR(SEARCH("광고",E334),0)&gt;0,"광고·행사",IF(IFERROR(SEARCH("용역",E334),0)&gt;0,"용역·수수료","기타/불명"))))))</x:f>
      </x:c>
      <x:c r="J334" s="77" t="str">
        <x:f>IF(A334="","",IF(I334="기타/불명","확인 필요","결의서명으로 1차 확인"))</x:f>
      </x:c>
      <x:c r="K334" s="78"/>
    </x:row>
    <x:row r="335">
      <x:c r="A335" s="73"/>
      <x:c r="B335" s="73"/>
      <x:c r="C335" s="74"/>
      <x:c r="D335" s="73"/>
      <x:c r="E335" s="73"/>
      <x:c r="F335" s="75"/>
      <x:c r="G335" s="75"/>
      <x:c r="H335" s="76" t="str">
        <x:f>IF(A335="","",F335-G335)</x:f>
      </x:c>
      <x:c r="I335" s="77" t="str">
        <x:f>IF(A335="","",IF(E335="","기타/불명",IF(IFERROR(SEARCH("급여",E335),0)&gt;0,"인건비",IF(IFERROR(SEARCH("임차",E335),0)&gt;0,"임차·시설",IF(IFERROR(SEARCH("광고",E335),0)&gt;0,"광고·행사",IF(IFERROR(SEARCH("용역",E335),0)&gt;0,"용역·수수료","기타/불명"))))))</x:f>
      </x:c>
      <x:c r="J335" s="77" t="str">
        <x:f>IF(A335="","",IF(I335="기타/불명","확인 필요","결의서명으로 1차 확인"))</x:f>
      </x:c>
      <x:c r="K335" s="78"/>
    </x:row>
    <x:row r="336">
      <x:c r="A336" s="73"/>
      <x:c r="B336" s="73"/>
      <x:c r="C336" s="74"/>
      <x:c r="D336" s="73"/>
      <x:c r="E336" s="73"/>
      <x:c r="F336" s="75"/>
      <x:c r="G336" s="75"/>
      <x:c r="H336" s="76" t="str">
        <x:f>IF(A336="","",F336-G336)</x:f>
      </x:c>
      <x:c r="I336" s="77" t="str">
        <x:f>IF(A336="","",IF(E336="","기타/불명",IF(IFERROR(SEARCH("급여",E336),0)&gt;0,"인건비",IF(IFERROR(SEARCH("임차",E336),0)&gt;0,"임차·시설",IF(IFERROR(SEARCH("광고",E336),0)&gt;0,"광고·행사",IF(IFERROR(SEARCH("용역",E336),0)&gt;0,"용역·수수료","기타/불명"))))))</x:f>
      </x:c>
      <x:c r="J336" s="77" t="str">
        <x:f>IF(A336="","",IF(I336="기타/불명","확인 필요","결의서명으로 1차 확인"))</x:f>
      </x:c>
      <x:c r="K336" s="78"/>
    </x:row>
    <x:row r="337">
      <x:c r="A337" s="73"/>
      <x:c r="B337" s="73"/>
      <x:c r="C337" s="74"/>
      <x:c r="D337" s="73"/>
      <x:c r="E337" s="73"/>
      <x:c r="F337" s="75"/>
      <x:c r="G337" s="75"/>
      <x:c r="H337" s="76" t="str">
        <x:f>IF(A337="","",F337-G337)</x:f>
      </x:c>
      <x:c r="I337" s="77" t="str">
        <x:f>IF(A337="","",IF(E337="","기타/불명",IF(IFERROR(SEARCH("급여",E337),0)&gt;0,"인건비",IF(IFERROR(SEARCH("임차",E337),0)&gt;0,"임차·시설",IF(IFERROR(SEARCH("광고",E337),0)&gt;0,"광고·행사",IF(IFERROR(SEARCH("용역",E337),0)&gt;0,"용역·수수료","기타/불명"))))))</x:f>
      </x:c>
      <x:c r="J337" s="77" t="str">
        <x:f>IF(A337="","",IF(I337="기타/불명","확인 필요","결의서명으로 1차 확인"))</x:f>
      </x:c>
      <x:c r="K337" s="78"/>
    </x:row>
    <x:row r="338">
      <x:c r="A338" s="73"/>
      <x:c r="B338" s="73"/>
      <x:c r="C338" s="74"/>
      <x:c r="D338" s="73"/>
      <x:c r="E338" s="73"/>
      <x:c r="F338" s="75"/>
      <x:c r="G338" s="75"/>
      <x:c r="H338" s="76" t="str">
        <x:f>IF(A338="","",F338-G338)</x:f>
      </x:c>
      <x:c r="I338" s="77" t="str">
        <x:f>IF(A338="","",IF(E338="","기타/불명",IF(IFERROR(SEARCH("급여",E338),0)&gt;0,"인건비",IF(IFERROR(SEARCH("임차",E338),0)&gt;0,"임차·시설",IF(IFERROR(SEARCH("광고",E338),0)&gt;0,"광고·행사",IF(IFERROR(SEARCH("용역",E338),0)&gt;0,"용역·수수료","기타/불명"))))))</x:f>
      </x:c>
      <x:c r="J338" s="77" t="str">
        <x:f>IF(A338="","",IF(I338="기타/불명","확인 필요","결의서명으로 1차 확인"))</x:f>
      </x:c>
      <x:c r="K338" s="78"/>
    </x:row>
    <x:row r="339">
      <x:c r="A339" s="73"/>
      <x:c r="B339" s="73"/>
      <x:c r="C339" s="74"/>
      <x:c r="D339" s="73"/>
      <x:c r="E339" s="73"/>
      <x:c r="F339" s="75"/>
      <x:c r="G339" s="75"/>
      <x:c r="H339" s="76" t="str">
        <x:f>IF(A339="","",F339-G339)</x:f>
      </x:c>
      <x:c r="I339" s="77" t="str">
        <x:f>IF(A339="","",IF(E339="","기타/불명",IF(IFERROR(SEARCH("급여",E339),0)&gt;0,"인건비",IF(IFERROR(SEARCH("임차",E339),0)&gt;0,"임차·시설",IF(IFERROR(SEARCH("광고",E339),0)&gt;0,"광고·행사",IF(IFERROR(SEARCH("용역",E339),0)&gt;0,"용역·수수료","기타/불명"))))))</x:f>
      </x:c>
      <x:c r="J339" s="77" t="str">
        <x:f>IF(A339="","",IF(I339="기타/불명","확인 필요","결의서명으로 1차 확인"))</x:f>
      </x:c>
      <x:c r="K339" s="78"/>
    </x:row>
    <x:row r="340">
      <x:c r="A340" s="73"/>
      <x:c r="B340" s="73"/>
      <x:c r="C340" s="74"/>
      <x:c r="D340" s="73"/>
      <x:c r="E340" s="73"/>
      <x:c r="F340" s="75"/>
      <x:c r="G340" s="75"/>
      <x:c r="H340" s="76" t="str">
        <x:f>IF(A340="","",F340-G340)</x:f>
      </x:c>
      <x:c r="I340" s="77" t="str">
        <x:f>IF(A340="","",IF(E340="","기타/불명",IF(IFERROR(SEARCH("급여",E340),0)&gt;0,"인건비",IF(IFERROR(SEARCH("임차",E340),0)&gt;0,"임차·시설",IF(IFERROR(SEARCH("광고",E340),0)&gt;0,"광고·행사",IF(IFERROR(SEARCH("용역",E340),0)&gt;0,"용역·수수료","기타/불명"))))))</x:f>
      </x:c>
      <x:c r="J340" s="77" t="str">
        <x:f>IF(A340="","",IF(I340="기타/불명","확인 필요","결의서명으로 1차 확인"))</x:f>
      </x:c>
      <x:c r="K340" s="78"/>
    </x:row>
    <x:row r="341">
      <x:c r="A341" s="73"/>
      <x:c r="B341" s="73"/>
      <x:c r="C341" s="74"/>
      <x:c r="D341" s="73"/>
      <x:c r="E341" s="73"/>
      <x:c r="F341" s="75"/>
      <x:c r="G341" s="75"/>
      <x:c r="H341" s="76" t="str">
        <x:f>IF(A341="","",F341-G341)</x:f>
      </x:c>
      <x:c r="I341" s="77" t="str">
        <x:f>IF(A341="","",IF(E341="","기타/불명",IF(IFERROR(SEARCH("급여",E341),0)&gt;0,"인건비",IF(IFERROR(SEARCH("임차",E341),0)&gt;0,"임차·시설",IF(IFERROR(SEARCH("광고",E341),0)&gt;0,"광고·행사",IF(IFERROR(SEARCH("용역",E341),0)&gt;0,"용역·수수료","기타/불명"))))))</x:f>
      </x:c>
      <x:c r="J341" s="77" t="str">
        <x:f>IF(A341="","",IF(I341="기타/불명","확인 필요","결의서명으로 1차 확인"))</x:f>
      </x:c>
      <x:c r="K341" s="78"/>
    </x:row>
    <x:row r="342">
      <x:c r="A342" s="73"/>
      <x:c r="B342" s="73"/>
      <x:c r="C342" s="74"/>
      <x:c r="D342" s="73"/>
      <x:c r="E342" s="73"/>
      <x:c r="F342" s="75"/>
      <x:c r="G342" s="75"/>
      <x:c r="H342" s="76" t="str">
        <x:f>IF(A342="","",F342-G342)</x:f>
      </x:c>
      <x:c r="I342" s="77" t="str">
        <x:f>IF(A342="","",IF(E342="","기타/불명",IF(IFERROR(SEARCH("급여",E342),0)&gt;0,"인건비",IF(IFERROR(SEARCH("임차",E342),0)&gt;0,"임차·시설",IF(IFERROR(SEARCH("광고",E342),0)&gt;0,"광고·행사",IF(IFERROR(SEARCH("용역",E342),0)&gt;0,"용역·수수료","기타/불명"))))))</x:f>
      </x:c>
      <x:c r="J342" s="77" t="str">
        <x:f>IF(A342="","",IF(I342="기타/불명","확인 필요","결의서명으로 1차 확인"))</x:f>
      </x:c>
      <x:c r="K342" s="78"/>
    </x:row>
    <x:row r="343">
      <x:c r="A343" s="73"/>
      <x:c r="B343" s="73"/>
      <x:c r="C343" s="74"/>
      <x:c r="D343" s="73"/>
      <x:c r="E343" s="73"/>
      <x:c r="F343" s="75"/>
      <x:c r="G343" s="75"/>
      <x:c r="H343" s="76" t="str">
        <x:f>IF(A343="","",F343-G343)</x:f>
      </x:c>
      <x:c r="I343" s="77" t="str">
        <x:f>IF(A343="","",IF(E343="","기타/불명",IF(IFERROR(SEARCH("급여",E343),0)&gt;0,"인건비",IF(IFERROR(SEARCH("임차",E343),0)&gt;0,"임차·시설",IF(IFERROR(SEARCH("광고",E343),0)&gt;0,"광고·행사",IF(IFERROR(SEARCH("용역",E343),0)&gt;0,"용역·수수료","기타/불명"))))))</x:f>
      </x:c>
      <x:c r="J343" s="77" t="str">
        <x:f>IF(A343="","",IF(I343="기타/불명","확인 필요","결의서명으로 1차 확인"))</x:f>
      </x:c>
      <x:c r="K343" s="78"/>
    </x:row>
    <x:row r="344">
      <x:c r="A344" s="73"/>
      <x:c r="B344" s="73"/>
      <x:c r="C344" s="74"/>
      <x:c r="D344" s="73"/>
      <x:c r="E344" s="73"/>
      <x:c r="F344" s="75"/>
      <x:c r="G344" s="75"/>
      <x:c r="H344" s="76" t="str">
        <x:f>IF(A344="","",F344-G344)</x:f>
      </x:c>
      <x:c r="I344" s="77" t="str">
        <x:f>IF(A344="","",IF(E344="","기타/불명",IF(IFERROR(SEARCH("급여",E344),0)&gt;0,"인건비",IF(IFERROR(SEARCH("임차",E344),0)&gt;0,"임차·시설",IF(IFERROR(SEARCH("광고",E344),0)&gt;0,"광고·행사",IF(IFERROR(SEARCH("용역",E344),0)&gt;0,"용역·수수료","기타/불명"))))))</x:f>
      </x:c>
      <x:c r="J344" s="77" t="str">
        <x:f>IF(A344="","",IF(I344="기타/불명","확인 필요","결의서명으로 1차 확인"))</x:f>
      </x:c>
      <x:c r="K344" s="78"/>
    </x:row>
    <x:row r="345">
      <x:c r="A345" s="73"/>
      <x:c r="B345" s="73"/>
      <x:c r="C345" s="74"/>
      <x:c r="D345" s="73"/>
      <x:c r="E345" s="73"/>
      <x:c r="F345" s="75"/>
      <x:c r="G345" s="75"/>
      <x:c r="H345" s="76" t="str">
        <x:f>IF(A345="","",F345-G345)</x:f>
      </x:c>
      <x:c r="I345" s="77" t="str">
        <x:f>IF(A345="","",IF(E345="","기타/불명",IF(IFERROR(SEARCH("급여",E345),0)&gt;0,"인건비",IF(IFERROR(SEARCH("임차",E345),0)&gt;0,"임차·시설",IF(IFERROR(SEARCH("광고",E345),0)&gt;0,"광고·행사",IF(IFERROR(SEARCH("용역",E345),0)&gt;0,"용역·수수료","기타/불명"))))))</x:f>
      </x:c>
      <x:c r="J345" s="77" t="str">
        <x:f>IF(A345="","",IF(I345="기타/불명","확인 필요","결의서명으로 1차 확인"))</x:f>
      </x:c>
      <x:c r="K345" s="78"/>
    </x:row>
    <x:row r="346">
      <x:c r="A346" s="73"/>
      <x:c r="B346" s="73"/>
      <x:c r="C346" s="74"/>
      <x:c r="D346" s="73"/>
      <x:c r="E346" s="73"/>
      <x:c r="F346" s="75"/>
      <x:c r="G346" s="75"/>
      <x:c r="H346" s="76" t="str">
        <x:f>IF(A346="","",F346-G346)</x:f>
      </x:c>
      <x:c r="I346" s="77" t="str">
        <x:f>IF(A346="","",IF(E346="","기타/불명",IF(IFERROR(SEARCH("급여",E346),0)&gt;0,"인건비",IF(IFERROR(SEARCH("임차",E346),0)&gt;0,"임차·시설",IF(IFERROR(SEARCH("광고",E346),0)&gt;0,"광고·행사",IF(IFERROR(SEARCH("용역",E346),0)&gt;0,"용역·수수료","기타/불명"))))))</x:f>
      </x:c>
      <x:c r="J346" s="77" t="str">
        <x:f>IF(A346="","",IF(I346="기타/불명","확인 필요","결의서명으로 1차 확인"))</x:f>
      </x:c>
      <x:c r="K346" s="78"/>
    </x:row>
    <x:row r="347">
      <x:c r="A347" s="73"/>
      <x:c r="B347" s="73"/>
      <x:c r="C347" s="74"/>
      <x:c r="D347" s="73"/>
      <x:c r="E347" s="73"/>
      <x:c r="F347" s="75"/>
      <x:c r="G347" s="75"/>
      <x:c r="H347" s="76" t="str">
        <x:f>IF(A347="","",F347-G347)</x:f>
      </x:c>
      <x:c r="I347" s="77" t="str">
        <x:f>IF(A347="","",IF(E347="","기타/불명",IF(IFERROR(SEARCH("급여",E347),0)&gt;0,"인건비",IF(IFERROR(SEARCH("임차",E347),0)&gt;0,"임차·시설",IF(IFERROR(SEARCH("광고",E347),0)&gt;0,"광고·행사",IF(IFERROR(SEARCH("용역",E347),0)&gt;0,"용역·수수료","기타/불명"))))))</x:f>
      </x:c>
      <x:c r="J347" s="77" t="str">
        <x:f>IF(A347="","",IF(I347="기타/불명","확인 필요","결의서명으로 1차 확인"))</x:f>
      </x:c>
      <x:c r="K347" s="78"/>
    </x:row>
    <x:row r="348">
      <x:c r="A348" s="73"/>
      <x:c r="B348" s="73"/>
      <x:c r="C348" s="74"/>
      <x:c r="D348" s="73"/>
      <x:c r="E348" s="73"/>
      <x:c r="F348" s="75"/>
      <x:c r="G348" s="75"/>
      <x:c r="H348" s="76" t="str">
        <x:f>IF(A348="","",F348-G348)</x:f>
      </x:c>
      <x:c r="I348" s="77" t="str">
        <x:f>IF(A348="","",IF(E348="","기타/불명",IF(IFERROR(SEARCH("급여",E348),0)&gt;0,"인건비",IF(IFERROR(SEARCH("임차",E348),0)&gt;0,"임차·시설",IF(IFERROR(SEARCH("광고",E348),0)&gt;0,"광고·행사",IF(IFERROR(SEARCH("용역",E348),0)&gt;0,"용역·수수료","기타/불명"))))))</x:f>
      </x:c>
      <x:c r="J348" s="77" t="str">
        <x:f>IF(A348="","",IF(I348="기타/불명","확인 필요","결의서명으로 1차 확인"))</x:f>
      </x:c>
      <x:c r="K348" s="78"/>
    </x:row>
    <x:row r="349">
      <x:c r="A349" s="73"/>
      <x:c r="B349" s="73"/>
      <x:c r="C349" s="74"/>
      <x:c r="D349" s="73"/>
      <x:c r="E349" s="73"/>
      <x:c r="F349" s="75"/>
      <x:c r="G349" s="75"/>
      <x:c r="H349" s="76" t="str">
        <x:f>IF(A349="","",F349-G349)</x:f>
      </x:c>
      <x:c r="I349" s="77" t="str">
        <x:f>IF(A349="","",IF(E349="","기타/불명",IF(IFERROR(SEARCH("급여",E349),0)&gt;0,"인건비",IF(IFERROR(SEARCH("임차",E349),0)&gt;0,"임차·시설",IF(IFERROR(SEARCH("광고",E349),0)&gt;0,"광고·행사",IF(IFERROR(SEARCH("용역",E349),0)&gt;0,"용역·수수료","기타/불명"))))))</x:f>
      </x:c>
      <x:c r="J349" s="77" t="str">
        <x:f>IF(A349="","",IF(I349="기타/불명","확인 필요","결의서명으로 1차 확인"))</x:f>
      </x:c>
      <x:c r="K349" s="78"/>
    </x:row>
    <x:row r="350">
      <x:c r="A350" s="73"/>
      <x:c r="B350" s="73"/>
      <x:c r="C350" s="74"/>
      <x:c r="D350" s="73"/>
      <x:c r="E350" s="73"/>
      <x:c r="F350" s="75"/>
      <x:c r="G350" s="75"/>
      <x:c r="H350" s="76" t="str">
        <x:f>IF(A350="","",F350-G350)</x:f>
      </x:c>
      <x:c r="I350" s="77" t="str">
        <x:f>IF(A350="","",IF(E350="","기타/불명",IF(IFERROR(SEARCH("급여",E350),0)&gt;0,"인건비",IF(IFERROR(SEARCH("임차",E350),0)&gt;0,"임차·시설",IF(IFERROR(SEARCH("광고",E350),0)&gt;0,"광고·행사",IF(IFERROR(SEARCH("용역",E350),0)&gt;0,"용역·수수료","기타/불명"))))))</x:f>
      </x:c>
      <x:c r="J350" s="77" t="str">
        <x:f>IF(A350="","",IF(I350="기타/불명","확인 필요","결의서명으로 1차 확인"))</x:f>
      </x:c>
      <x:c r="K350" s="78"/>
    </x:row>
    <x:row r="351">
      <x:c r="A351" s="73"/>
      <x:c r="B351" s="73"/>
      <x:c r="C351" s="74"/>
      <x:c r="D351" s="73"/>
      <x:c r="E351" s="73"/>
      <x:c r="F351" s="75"/>
      <x:c r="G351" s="75"/>
      <x:c r="H351" s="76" t="str">
        <x:f>IF(A351="","",F351-G351)</x:f>
      </x:c>
      <x:c r="I351" s="77" t="str">
        <x:f>IF(A351="","",IF(E351="","기타/불명",IF(IFERROR(SEARCH("급여",E351),0)&gt;0,"인건비",IF(IFERROR(SEARCH("임차",E351),0)&gt;0,"임차·시설",IF(IFERROR(SEARCH("광고",E351),0)&gt;0,"광고·행사",IF(IFERROR(SEARCH("용역",E351),0)&gt;0,"용역·수수료","기타/불명"))))))</x:f>
      </x:c>
      <x:c r="J351" s="77" t="str">
        <x:f>IF(A351="","",IF(I351="기타/불명","확인 필요","결의서명으로 1차 확인"))</x:f>
      </x:c>
      <x:c r="K351" s="78"/>
    </x:row>
    <x:row r="352">
      <x:c r="A352" s="73"/>
      <x:c r="B352" s="73"/>
      <x:c r="C352" s="74"/>
      <x:c r="D352" s="73"/>
      <x:c r="E352" s="73"/>
      <x:c r="F352" s="75"/>
      <x:c r="G352" s="75"/>
      <x:c r="H352" s="76" t="str">
        <x:f>IF(A352="","",F352-G352)</x:f>
      </x:c>
      <x:c r="I352" s="77" t="str">
        <x:f>IF(A352="","",IF(E352="","기타/불명",IF(IFERROR(SEARCH("급여",E352),0)&gt;0,"인건비",IF(IFERROR(SEARCH("임차",E352),0)&gt;0,"임차·시설",IF(IFERROR(SEARCH("광고",E352),0)&gt;0,"광고·행사",IF(IFERROR(SEARCH("용역",E352),0)&gt;0,"용역·수수료","기타/불명"))))))</x:f>
      </x:c>
      <x:c r="J352" s="77" t="str">
        <x:f>IF(A352="","",IF(I352="기타/불명","확인 필요","결의서명으로 1차 확인"))</x:f>
      </x:c>
      <x:c r="K352" s="78"/>
    </x:row>
    <x:row r="353">
      <x:c r="A353" s="73"/>
      <x:c r="B353" s="73"/>
      <x:c r="C353" s="74"/>
      <x:c r="D353" s="73"/>
      <x:c r="E353" s="73"/>
      <x:c r="F353" s="75"/>
      <x:c r="G353" s="75"/>
      <x:c r="H353" s="76" t="str">
        <x:f>IF(A353="","",F353-G353)</x:f>
      </x:c>
      <x:c r="I353" s="77" t="str">
        <x:f>IF(A353="","",IF(E353="","기타/불명",IF(IFERROR(SEARCH("급여",E353),0)&gt;0,"인건비",IF(IFERROR(SEARCH("임차",E353),0)&gt;0,"임차·시설",IF(IFERROR(SEARCH("광고",E353),0)&gt;0,"광고·행사",IF(IFERROR(SEARCH("용역",E353),0)&gt;0,"용역·수수료","기타/불명"))))))</x:f>
      </x:c>
      <x:c r="J353" s="77" t="str">
        <x:f>IF(A353="","",IF(I353="기타/불명","확인 필요","결의서명으로 1차 확인"))</x:f>
      </x:c>
      <x:c r="K353" s="78"/>
    </x:row>
    <x:row r="354">
      <x:c r="A354" s="73"/>
      <x:c r="B354" s="73"/>
      <x:c r="C354" s="74"/>
      <x:c r="D354" s="73"/>
      <x:c r="E354" s="73"/>
      <x:c r="F354" s="75"/>
      <x:c r="G354" s="75"/>
      <x:c r="H354" s="76" t="str">
        <x:f>IF(A354="","",F354-G354)</x:f>
      </x:c>
      <x:c r="I354" s="77" t="str">
        <x:f>IF(A354="","",IF(E354="","기타/불명",IF(IFERROR(SEARCH("급여",E354),0)&gt;0,"인건비",IF(IFERROR(SEARCH("임차",E354),0)&gt;0,"임차·시설",IF(IFERROR(SEARCH("광고",E354),0)&gt;0,"광고·행사",IF(IFERROR(SEARCH("용역",E354),0)&gt;0,"용역·수수료","기타/불명"))))))</x:f>
      </x:c>
      <x:c r="J354" s="77" t="str">
        <x:f>IF(A354="","",IF(I354="기타/불명","확인 필요","결의서명으로 1차 확인"))</x:f>
      </x:c>
      <x:c r="K354" s="78"/>
    </x:row>
    <x:row r="355">
      <x:c r="A355" s="73"/>
      <x:c r="B355" s="73"/>
      <x:c r="C355" s="74"/>
      <x:c r="D355" s="73"/>
      <x:c r="E355" s="73"/>
      <x:c r="F355" s="75"/>
      <x:c r="G355" s="75"/>
      <x:c r="H355" s="76" t="str">
        <x:f>IF(A355="","",F355-G355)</x:f>
      </x:c>
      <x:c r="I355" s="77" t="str">
        <x:f>IF(A355="","",IF(E355="","기타/불명",IF(IFERROR(SEARCH("급여",E355),0)&gt;0,"인건비",IF(IFERROR(SEARCH("임차",E355),0)&gt;0,"임차·시설",IF(IFERROR(SEARCH("광고",E355),0)&gt;0,"광고·행사",IF(IFERROR(SEARCH("용역",E355),0)&gt;0,"용역·수수료","기타/불명"))))))</x:f>
      </x:c>
      <x:c r="J355" s="77" t="str">
        <x:f>IF(A355="","",IF(I355="기타/불명","확인 필요","결의서명으로 1차 확인"))</x:f>
      </x:c>
      <x:c r="K355" s="78"/>
    </x:row>
    <x:row r="356">
      <x:c r="A356" s="73"/>
      <x:c r="B356" s="73"/>
      <x:c r="C356" s="74"/>
      <x:c r="D356" s="73"/>
      <x:c r="E356" s="73"/>
      <x:c r="F356" s="75"/>
      <x:c r="G356" s="75"/>
      <x:c r="H356" s="76" t="str">
        <x:f>IF(A356="","",F356-G356)</x:f>
      </x:c>
      <x:c r="I356" s="77" t="str">
        <x:f>IF(A356="","",IF(E356="","기타/불명",IF(IFERROR(SEARCH("급여",E356),0)&gt;0,"인건비",IF(IFERROR(SEARCH("임차",E356),0)&gt;0,"임차·시설",IF(IFERROR(SEARCH("광고",E356),0)&gt;0,"광고·행사",IF(IFERROR(SEARCH("용역",E356),0)&gt;0,"용역·수수료","기타/불명"))))))</x:f>
      </x:c>
      <x:c r="J356" s="77" t="str">
        <x:f>IF(A356="","",IF(I356="기타/불명","확인 필요","결의서명으로 1차 확인"))</x:f>
      </x:c>
      <x:c r="K356" s="78"/>
    </x:row>
    <x:row r="357">
      <x:c r="A357" s="73"/>
      <x:c r="B357" s="73"/>
      <x:c r="C357" s="74"/>
      <x:c r="D357" s="73"/>
      <x:c r="E357" s="73"/>
      <x:c r="F357" s="75"/>
      <x:c r="G357" s="75"/>
      <x:c r="H357" s="76" t="str">
        <x:f>IF(A357="","",F357-G357)</x:f>
      </x:c>
      <x:c r="I357" s="77" t="str">
        <x:f>IF(A357="","",IF(E357="","기타/불명",IF(IFERROR(SEARCH("급여",E357),0)&gt;0,"인건비",IF(IFERROR(SEARCH("임차",E357),0)&gt;0,"임차·시설",IF(IFERROR(SEARCH("광고",E357),0)&gt;0,"광고·행사",IF(IFERROR(SEARCH("용역",E357),0)&gt;0,"용역·수수료","기타/불명"))))))</x:f>
      </x:c>
      <x:c r="J357" s="77" t="str">
        <x:f>IF(A357="","",IF(I357="기타/불명","확인 필요","결의서명으로 1차 확인"))</x:f>
      </x:c>
      <x:c r="K357" s="78"/>
    </x:row>
    <x:row r="358">
      <x:c r="A358" s="73"/>
      <x:c r="B358" s="73"/>
      <x:c r="C358" s="74"/>
      <x:c r="D358" s="73"/>
      <x:c r="E358" s="73"/>
      <x:c r="F358" s="75"/>
      <x:c r="G358" s="75"/>
      <x:c r="H358" s="76" t="str">
        <x:f>IF(A358="","",F358-G358)</x:f>
      </x:c>
      <x:c r="I358" s="77" t="str">
        <x:f>IF(A358="","",IF(E358="","기타/불명",IF(IFERROR(SEARCH("급여",E358),0)&gt;0,"인건비",IF(IFERROR(SEARCH("임차",E358),0)&gt;0,"임차·시설",IF(IFERROR(SEARCH("광고",E358),0)&gt;0,"광고·행사",IF(IFERROR(SEARCH("용역",E358),0)&gt;0,"용역·수수료","기타/불명"))))))</x:f>
      </x:c>
      <x:c r="J358" s="77" t="str">
        <x:f>IF(A358="","",IF(I358="기타/불명","확인 필요","결의서명으로 1차 확인"))</x:f>
      </x:c>
      <x:c r="K358" s="78"/>
    </x:row>
    <x:row r="359">
      <x:c r="A359" s="73"/>
      <x:c r="B359" s="73"/>
      <x:c r="C359" s="74"/>
      <x:c r="D359" s="73"/>
      <x:c r="E359" s="73"/>
      <x:c r="F359" s="75"/>
      <x:c r="G359" s="75"/>
      <x:c r="H359" s="76" t="str">
        <x:f>IF(A359="","",F359-G359)</x:f>
      </x:c>
      <x:c r="I359" s="77" t="str">
        <x:f>IF(A359="","",IF(E359="","기타/불명",IF(IFERROR(SEARCH("급여",E359),0)&gt;0,"인건비",IF(IFERROR(SEARCH("임차",E359),0)&gt;0,"임차·시설",IF(IFERROR(SEARCH("광고",E359),0)&gt;0,"광고·행사",IF(IFERROR(SEARCH("용역",E359),0)&gt;0,"용역·수수료","기타/불명"))))))</x:f>
      </x:c>
      <x:c r="J359" s="77" t="str">
        <x:f>IF(A359="","",IF(I359="기타/불명","확인 필요","결의서명으로 1차 확인"))</x:f>
      </x:c>
      <x:c r="K359" s="78"/>
    </x:row>
    <x:row r="360">
      <x:c r="A360" s="73"/>
      <x:c r="B360" s="73"/>
      <x:c r="C360" s="74"/>
      <x:c r="D360" s="73"/>
      <x:c r="E360" s="73"/>
      <x:c r="F360" s="75"/>
      <x:c r="G360" s="75"/>
      <x:c r="H360" s="76" t="str">
        <x:f>IF(A360="","",F360-G360)</x:f>
      </x:c>
      <x:c r="I360" s="77" t="str">
        <x:f>IF(A360="","",IF(E360="","기타/불명",IF(IFERROR(SEARCH("급여",E360),0)&gt;0,"인건비",IF(IFERROR(SEARCH("임차",E360),0)&gt;0,"임차·시설",IF(IFERROR(SEARCH("광고",E360),0)&gt;0,"광고·행사",IF(IFERROR(SEARCH("용역",E360),0)&gt;0,"용역·수수료","기타/불명"))))))</x:f>
      </x:c>
      <x:c r="J360" s="77" t="str">
        <x:f>IF(A360="","",IF(I360="기타/불명","확인 필요","결의서명으로 1차 확인"))</x:f>
      </x:c>
      <x:c r="K360" s="78"/>
    </x:row>
    <x:row r="361">
      <x:c r="A361" s="73"/>
      <x:c r="B361" s="73"/>
      <x:c r="C361" s="74"/>
      <x:c r="D361" s="73"/>
      <x:c r="E361" s="73"/>
      <x:c r="F361" s="75"/>
      <x:c r="G361" s="75"/>
      <x:c r="H361" s="76" t="str">
        <x:f>IF(A361="","",F361-G361)</x:f>
      </x:c>
      <x:c r="I361" s="77" t="str">
        <x:f>IF(A361="","",IF(E361="","기타/불명",IF(IFERROR(SEARCH("급여",E361),0)&gt;0,"인건비",IF(IFERROR(SEARCH("임차",E361),0)&gt;0,"임차·시설",IF(IFERROR(SEARCH("광고",E361),0)&gt;0,"광고·행사",IF(IFERROR(SEARCH("용역",E361),0)&gt;0,"용역·수수료","기타/불명"))))))</x:f>
      </x:c>
      <x:c r="J361" s="77" t="str">
        <x:f>IF(A361="","",IF(I361="기타/불명","확인 필요","결의서명으로 1차 확인"))</x:f>
      </x:c>
      <x:c r="K361" s="78"/>
    </x:row>
    <x:row r="362">
      <x:c r="A362" s="73"/>
      <x:c r="B362" s="73"/>
      <x:c r="C362" s="74"/>
      <x:c r="D362" s="73"/>
      <x:c r="E362" s="73"/>
      <x:c r="F362" s="75"/>
      <x:c r="G362" s="75"/>
      <x:c r="H362" s="76" t="str">
        <x:f>IF(A362="","",F362-G362)</x:f>
      </x:c>
      <x:c r="I362" s="77" t="str">
        <x:f>IF(A362="","",IF(E362="","기타/불명",IF(IFERROR(SEARCH("급여",E362),0)&gt;0,"인건비",IF(IFERROR(SEARCH("임차",E362),0)&gt;0,"임차·시설",IF(IFERROR(SEARCH("광고",E362),0)&gt;0,"광고·행사",IF(IFERROR(SEARCH("용역",E362),0)&gt;0,"용역·수수료","기타/불명"))))))</x:f>
      </x:c>
      <x:c r="J362" s="77" t="str">
        <x:f>IF(A362="","",IF(I362="기타/불명","확인 필요","결의서명으로 1차 확인"))</x:f>
      </x:c>
      <x:c r="K362" s="78"/>
    </x:row>
    <x:row r="363">
      <x:c r="A363" s="73"/>
      <x:c r="B363" s="73"/>
      <x:c r="C363" s="74"/>
      <x:c r="D363" s="73"/>
      <x:c r="E363" s="73"/>
      <x:c r="F363" s="75"/>
      <x:c r="G363" s="75"/>
      <x:c r="H363" s="76" t="str">
        <x:f>IF(A363="","",F363-G363)</x:f>
      </x:c>
      <x:c r="I363" s="77" t="str">
        <x:f>IF(A363="","",IF(E363="","기타/불명",IF(IFERROR(SEARCH("급여",E363),0)&gt;0,"인건비",IF(IFERROR(SEARCH("임차",E363),0)&gt;0,"임차·시설",IF(IFERROR(SEARCH("광고",E363),0)&gt;0,"광고·행사",IF(IFERROR(SEARCH("용역",E363),0)&gt;0,"용역·수수료","기타/불명"))))))</x:f>
      </x:c>
      <x:c r="J363" s="77" t="str">
        <x:f>IF(A363="","",IF(I363="기타/불명","확인 필요","결의서명으로 1차 확인"))</x:f>
      </x:c>
      <x:c r="K363" s="78"/>
    </x:row>
    <x:row r="364">
      <x:c r="A364" s="73"/>
      <x:c r="B364" s="73"/>
      <x:c r="C364" s="74"/>
      <x:c r="D364" s="73"/>
      <x:c r="E364" s="73"/>
      <x:c r="F364" s="75"/>
      <x:c r="G364" s="75"/>
      <x:c r="H364" s="76" t="str">
        <x:f>IF(A364="","",F364-G364)</x:f>
      </x:c>
      <x:c r="I364" s="77" t="str">
        <x:f>IF(A364="","",IF(E364="","기타/불명",IF(IFERROR(SEARCH("급여",E364),0)&gt;0,"인건비",IF(IFERROR(SEARCH("임차",E364),0)&gt;0,"임차·시설",IF(IFERROR(SEARCH("광고",E364),0)&gt;0,"광고·행사",IF(IFERROR(SEARCH("용역",E364),0)&gt;0,"용역·수수료","기타/불명"))))))</x:f>
      </x:c>
      <x:c r="J364" s="77" t="str">
        <x:f>IF(A364="","",IF(I364="기타/불명","확인 필요","결의서명으로 1차 확인"))</x:f>
      </x:c>
      <x:c r="K364" s="78"/>
    </x:row>
    <x:row r="365">
      <x:c r="A365" s="73"/>
      <x:c r="B365" s="73"/>
      <x:c r="C365" s="74"/>
      <x:c r="D365" s="73"/>
      <x:c r="E365" s="73"/>
      <x:c r="F365" s="75"/>
      <x:c r="G365" s="75"/>
      <x:c r="H365" s="76" t="str">
        <x:f>IF(A365="","",F365-G365)</x:f>
      </x:c>
      <x:c r="I365" s="77" t="str">
        <x:f>IF(A365="","",IF(E365="","기타/불명",IF(IFERROR(SEARCH("급여",E365),0)&gt;0,"인건비",IF(IFERROR(SEARCH("임차",E365),0)&gt;0,"임차·시설",IF(IFERROR(SEARCH("광고",E365),0)&gt;0,"광고·행사",IF(IFERROR(SEARCH("용역",E365),0)&gt;0,"용역·수수료","기타/불명"))))))</x:f>
      </x:c>
      <x:c r="J365" s="77" t="str">
        <x:f>IF(A365="","",IF(I365="기타/불명","확인 필요","결의서명으로 1차 확인"))</x:f>
      </x:c>
      <x:c r="K365" s="78"/>
    </x:row>
    <x:row r="366">
      <x:c r="A366" s="73"/>
      <x:c r="B366" s="73"/>
      <x:c r="C366" s="74"/>
      <x:c r="D366" s="73"/>
      <x:c r="E366" s="73"/>
      <x:c r="F366" s="75"/>
      <x:c r="G366" s="75"/>
      <x:c r="H366" s="76" t="str">
        <x:f>IF(A366="","",F366-G366)</x:f>
      </x:c>
      <x:c r="I366" s="77" t="str">
        <x:f>IF(A366="","",IF(E366="","기타/불명",IF(IFERROR(SEARCH("급여",E366),0)&gt;0,"인건비",IF(IFERROR(SEARCH("임차",E366),0)&gt;0,"임차·시설",IF(IFERROR(SEARCH("광고",E366),0)&gt;0,"광고·행사",IF(IFERROR(SEARCH("용역",E366),0)&gt;0,"용역·수수료","기타/불명"))))))</x:f>
      </x:c>
      <x:c r="J366" s="77" t="str">
        <x:f>IF(A366="","",IF(I366="기타/불명","확인 필요","결의서명으로 1차 확인"))</x:f>
      </x:c>
      <x:c r="K366" s="78"/>
    </x:row>
    <x:row r="367">
      <x:c r="A367" s="73"/>
      <x:c r="B367" s="73"/>
      <x:c r="C367" s="74"/>
      <x:c r="D367" s="73"/>
      <x:c r="E367" s="73"/>
      <x:c r="F367" s="75"/>
      <x:c r="G367" s="75"/>
      <x:c r="H367" s="76" t="str">
        <x:f>IF(A367="","",F367-G367)</x:f>
      </x:c>
      <x:c r="I367" s="77" t="str">
        <x:f>IF(A367="","",IF(E367="","기타/불명",IF(IFERROR(SEARCH("급여",E367),0)&gt;0,"인건비",IF(IFERROR(SEARCH("임차",E367),0)&gt;0,"임차·시설",IF(IFERROR(SEARCH("광고",E367),0)&gt;0,"광고·행사",IF(IFERROR(SEARCH("용역",E367),0)&gt;0,"용역·수수료","기타/불명"))))))</x:f>
      </x:c>
      <x:c r="J367" s="77" t="str">
        <x:f>IF(A367="","",IF(I367="기타/불명","확인 필요","결의서명으로 1차 확인"))</x:f>
      </x:c>
      <x:c r="K367" s="78"/>
    </x:row>
    <x:row r="368">
      <x:c r="A368" s="73"/>
      <x:c r="B368" s="73"/>
      <x:c r="C368" s="74"/>
      <x:c r="D368" s="73"/>
      <x:c r="E368" s="73"/>
      <x:c r="F368" s="75"/>
      <x:c r="G368" s="75"/>
      <x:c r="H368" s="76" t="str">
        <x:f>IF(A368="","",F368-G368)</x:f>
      </x:c>
      <x:c r="I368" s="77" t="str">
        <x:f>IF(A368="","",IF(E368="","기타/불명",IF(IFERROR(SEARCH("급여",E368),0)&gt;0,"인건비",IF(IFERROR(SEARCH("임차",E368),0)&gt;0,"임차·시설",IF(IFERROR(SEARCH("광고",E368),0)&gt;0,"광고·행사",IF(IFERROR(SEARCH("용역",E368),0)&gt;0,"용역·수수료","기타/불명"))))))</x:f>
      </x:c>
      <x:c r="J368" s="77" t="str">
        <x:f>IF(A368="","",IF(I368="기타/불명","확인 필요","결의서명으로 1차 확인"))</x:f>
      </x:c>
      <x:c r="K368" s="78"/>
    </x:row>
    <x:row r="369">
      <x:c r="A369" s="73"/>
      <x:c r="B369" s="73"/>
      <x:c r="C369" s="74"/>
      <x:c r="D369" s="73"/>
      <x:c r="E369" s="73"/>
      <x:c r="F369" s="75"/>
      <x:c r="G369" s="75"/>
      <x:c r="H369" s="76" t="str">
        <x:f>IF(A369="","",F369-G369)</x:f>
      </x:c>
      <x:c r="I369" s="77" t="str">
        <x:f>IF(A369="","",IF(E369="","기타/불명",IF(IFERROR(SEARCH("급여",E369),0)&gt;0,"인건비",IF(IFERROR(SEARCH("임차",E369),0)&gt;0,"임차·시설",IF(IFERROR(SEARCH("광고",E369),0)&gt;0,"광고·행사",IF(IFERROR(SEARCH("용역",E369),0)&gt;0,"용역·수수료","기타/불명"))))))</x:f>
      </x:c>
      <x:c r="J369" s="77" t="str">
        <x:f>IF(A369="","",IF(I369="기타/불명","확인 필요","결의서명으로 1차 확인"))</x:f>
      </x:c>
      <x:c r="K369" s="78"/>
    </x:row>
    <x:row r="370">
      <x:c r="A370" s="73"/>
      <x:c r="B370" s="73"/>
      <x:c r="C370" s="74"/>
      <x:c r="D370" s="73"/>
      <x:c r="E370" s="73"/>
      <x:c r="F370" s="75"/>
      <x:c r="G370" s="75"/>
      <x:c r="H370" s="76" t="str">
        <x:f>IF(A370="","",F370-G370)</x:f>
      </x:c>
      <x:c r="I370" s="77" t="str">
        <x:f>IF(A370="","",IF(E370="","기타/불명",IF(IFERROR(SEARCH("급여",E370),0)&gt;0,"인건비",IF(IFERROR(SEARCH("임차",E370),0)&gt;0,"임차·시설",IF(IFERROR(SEARCH("광고",E370),0)&gt;0,"광고·행사",IF(IFERROR(SEARCH("용역",E370),0)&gt;0,"용역·수수료","기타/불명"))))))</x:f>
      </x:c>
      <x:c r="J370" s="77" t="str">
        <x:f>IF(A370="","",IF(I370="기타/불명","확인 필요","결의서명으로 1차 확인"))</x:f>
      </x:c>
      <x:c r="K370" s="78"/>
    </x:row>
    <x:row r="371">
      <x:c r="A371" s="73"/>
      <x:c r="B371" s="73"/>
      <x:c r="C371" s="74"/>
      <x:c r="D371" s="73"/>
      <x:c r="E371" s="73"/>
      <x:c r="F371" s="75"/>
      <x:c r="G371" s="75"/>
      <x:c r="H371" s="76" t="str">
        <x:f>IF(A371="","",F371-G371)</x:f>
      </x:c>
      <x:c r="I371" s="77" t="str">
        <x:f>IF(A371="","",IF(E371="","기타/불명",IF(IFERROR(SEARCH("급여",E371),0)&gt;0,"인건비",IF(IFERROR(SEARCH("임차",E371),0)&gt;0,"임차·시설",IF(IFERROR(SEARCH("광고",E371),0)&gt;0,"광고·행사",IF(IFERROR(SEARCH("용역",E371),0)&gt;0,"용역·수수료","기타/불명"))))))</x:f>
      </x:c>
      <x:c r="J371" s="77" t="str">
        <x:f>IF(A371="","",IF(I371="기타/불명","확인 필요","결의서명으로 1차 확인"))</x:f>
      </x:c>
      <x:c r="K371" s="78"/>
    </x:row>
    <x:row r="372">
      <x:c r="A372" s="73"/>
      <x:c r="B372" s="73"/>
      <x:c r="C372" s="74"/>
      <x:c r="D372" s="73"/>
      <x:c r="E372" s="73"/>
      <x:c r="F372" s="75"/>
      <x:c r="G372" s="75"/>
      <x:c r="H372" s="76" t="str">
        <x:f>IF(A372="","",F372-G372)</x:f>
      </x:c>
      <x:c r="I372" s="77" t="str">
        <x:f>IF(A372="","",IF(E372="","기타/불명",IF(IFERROR(SEARCH("급여",E372),0)&gt;0,"인건비",IF(IFERROR(SEARCH("임차",E372),0)&gt;0,"임차·시설",IF(IFERROR(SEARCH("광고",E372),0)&gt;0,"광고·행사",IF(IFERROR(SEARCH("용역",E372),0)&gt;0,"용역·수수료","기타/불명"))))))</x:f>
      </x:c>
      <x:c r="J372" s="77" t="str">
        <x:f>IF(A372="","",IF(I372="기타/불명","확인 필요","결의서명으로 1차 확인"))</x:f>
      </x:c>
      <x:c r="K372" s="78"/>
    </x:row>
    <x:row r="373">
      <x:c r="A373" s="73"/>
      <x:c r="B373" s="73"/>
      <x:c r="C373" s="74"/>
      <x:c r="D373" s="73"/>
      <x:c r="E373" s="73"/>
      <x:c r="F373" s="75"/>
      <x:c r="G373" s="75"/>
      <x:c r="H373" s="76" t="str">
        <x:f>IF(A373="","",F373-G373)</x:f>
      </x:c>
      <x:c r="I373" s="77" t="str">
        <x:f>IF(A373="","",IF(E373="","기타/불명",IF(IFERROR(SEARCH("급여",E373),0)&gt;0,"인건비",IF(IFERROR(SEARCH("임차",E373),0)&gt;0,"임차·시설",IF(IFERROR(SEARCH("광고",E373),0)&gt;0,"광고·행사",IF(IFERROR(SEARCH("용역",E373),0)&gt;0,"용역·수수료","기타/불명"))))))</x:f>
      </x:c>
      <x:c r="J373" s="77" t="str">
        <x:f>IF(A373="","",IF(I373="기타/불명","확인 필요","결의서명으로 1차 확인"))</x:f>
      </x:c>
      <x:c r="K373" s="78"/>
    </x:row>
    <x:row r="374">
      <x:c r="A374" s="73"/>
      <x:c r="B374" s="73"/>
      <x:c r="C374" s="74"/>
      <x:c r="D374" s="73"/>
      <x:c r="E374" s="73"/>
      <x:c r="F374" s="75"/>
      <x:c r="G374" s="75"/>
      <x:c r="H374" s="76" t="str">
        <x:f>IF(A374="","",F374-G374)</x:f>
      </x:c>
      <x:c r="I374" s="77" t="str">
        <x:f>IF(A374="","",IF(E374="","기타/불명",IF(IFERROR(SEARCH("급여",E374),0)&gt;0,"인건비",IF(IFERROR(SEARCH("임차",E374),0)&gt;0,"임차·시설",IF(IFERROR(SEARCH("광고",E374),0)&gt;0,"광고·행사",IF(IFERROR(SEARCH("용역",E374),0)&gt;0,"용역·수수료","기타/불명"))))))</x:f>
      </x:c>
      <x:c r="J374" s="77" t="str">
        <x:f>IF(A374="","",IF(I374="기타/불명","확인 필요","결의서명으로 1차 확인"))</x:f>
      </x:c>
      <x:c r="K374" s="78"/>
    </x:row>
    <x:row r="375">
      <x:c r="A375" s="73"/>
      <x:c r="B375" s="73"/>
      <x:c r="C375" s="74"/>
      <x:c r="D375" s="73"/>
      <x:c r="E375" s="73"/>
      <x:c r="F375" s="75"/>
      <x:c r="G375" s="75"/>
      <x:c r="H375" s="76" t="str">
        <x:f>IF(A375="","",F375-G375)</x:f>
      </x:c>
      <x:c r="I375" s="77" t="str">
        <x:f>IF(A375="","",IF(E375="","기타/불명",IF(IFERROR(SEARCH("급여",E375),0)&gt;0,"인건비",IF(IFERROR(SEARCH("임차",E375),0)&gt;0,"임차·시설",IF(IFERROR(SEARCH("광고",E375),0)&gt;0,"광고·행사",IF(IFERROR(SEARCH("용역",E375),0)&gt;0,"용역·수수료","기타/불명"))))))</x:f>
      </x:c>
      <x:c r="J375" s="77" t="str">
        <x:f>IF(A375="","",IF(I375="기타/불명","확인 필요","결의서명으로 1차 확인"))</x:f>
      </x:c>
      <x:c r="K375" s="78"/>
    </x:row>
    <x:row r="376">
      <x:c r="A376" s="73"/>
      <x:c r="B376" s="73"/>
      <x:c r="C376" s="74"/>
      <x:c r="D376" s="73"/>
      <x:c r="E376" s="73"/>
      <x:c r="F376" s="75"/>
      <x:c r="G376" s="75"/>
      <x:c r="H376" s="76" t="str">
        <x:f>IF(A376="","",F376-G376)</x:f>
      </x:c>
      <x:c r="I376" s="77" t="str">
        <x:f>IF(A376="","",IF(E376="","기타/불명",IF(IFERROR(SEARCH("급여",E376),0)&gt;0,"인건비",IF(IFERROR(SEARCH("임차",E376),0)&gt;0,"임차·시설",IF(IFERROR(SEARCH("광고",E376),0)&gt;0,"광고·행사",IF(IFERROR(SEARCH("용역",E376),0)&gt;0,"용역·수수료","기타/불명"))))))</x:f>
      </x:c>
      <x:c r="J376" s="77" t="str">
        <x:f>IF(A376="","",IF(I376="기타/불명","확인 필요","결의서명으로 1차 확인"))</x:f>
      </x:c>
      <x:c r="K376" s="78"/>
    </x:row>
    <x:row r="377">
      <x:c r="A377" s="73"/>
      <x:c r="B377" s="73"/>
      <x:c r="C377" s="74"/>
      <x:c r="D377" s="73"/>
      <x:c r="E377" s="73"/>
      <x:c r="F377" s="75"/>
      <x:c r="G377" s="75"/>
      <x:c r="H377" s="76" t="str">
        <x:f>IF(A377="","",F377-G377)</x:f>
      </x:c>
      <x:c r="I377" s="77" t="str">
        <x:f>IF(A377="","",IF(E377="","기타/불명",IF(IFERROR(SEARCH("급여",E377),0)&gt;0,"인건비",IF(IFERROR(SEARCH("임차",E377),0)&gt;0,"임차·시설",IF(IFERROR(SEARCH("광고",E377),0)&gt;0,"광고·행사",IF(IFERROR(SEARCH("용역",E377),0)&gt;0,"용역·수수료","기타/불명"))))))</x:f>
      </x:c>
      <x:c r="J377" s="77" t="str">
        <x:f>IF(A377="","",IF(I377="기타/불명","확인 필요","결의서명으로 1차 확인"))</x:f>
      </x:c>
      <x:c r="K377" s="78"/>
    </x:row>
    <x:row r="378">
      <x:c r="A378" s="73"/>
      <x:c r="B378" s="73"/>
      <x:c r="C378" s="74"/>
      <x:c r="D378" s="73"/>
      <x:c r="E378" s="73"/>
      <x:c r="F378" s="75"/>
      <x:c r="G378" s="75"/>
      <x:c r="H378" s="76" t="str">
        <x:f>IF(A378="","",F378-G378)</x:f>
      </x:c>
      <x:c r="I378" s="77" t="str">
        <x:f>IF(A378="","",IF(E378="","기타/불명",IF(IFERROR(SEARCH("급여",E378),0)&gt;0,"인건비",IF(IFERROR(SEARCH("임차",E378),0)&gt;0,"임차·시설",IF(IFERROR(SEARCH("광고",E378),0)&gt;0,"광고·행사",IF(IFERROR(SEARCH("용역",E378),0)&gt;0,"용역·수수료","기타/불명"))))))</x:f>
      </x:c>
      <x:c r="J378" s="77" t="str">
        <x:f>IF(A378="","",IF(I378="기타/불명","확인 필요","결의서명으로 1차 확인"))</x:f>
      </x:c>
      <x:c r="K378" s="78"/>
    </x:row>
    <x:row r="379">
      <x:c r="A379" s="73"/>
      <x:c r="B379" s="73"/>
      <x:c r="C379" s="74"/>
      <x:c r="D379" s="73"/>
      <x:c r="E379" s="73"/>
      <x:c r="F379" s="75"/>
      <x:c r="G379" s="75"/>
      <x:c r="H379" s="76" t="str">
        <x:f>IF(A379="","",F379-G379)</x:f>
      </x:c>
      <x:c r="I379" s="77" t="str">
        <x:f>IF(A379="","",IF(E379="","기타/불명",IF(IFERROR(SEARCH("급여",E379),0)&gt;0,"인건비",IF(IFERROR(SEARCH("임차",E379),0)&gt;0,"임차·시설",IF(IFERROR(SEARCH("광고",E379),0)&gt;0,"광고·행사",IF(IFERROR(SEARCH("용역",E379),0)&gt;0,"용역·수수료","기타/불명"))))))</x:f>
      </x:c>
      <x:c r="J379" s="77" t="str">
        <x:f>IF(A379="","",IF(I379="기타/불명","확인 필요","결의서명으로 1차 확인"))</x:f>
      </x:c>
      <x:c r="K379" s="78"/>
    </x:row>
    <x:row r="380">
      <x:c r="A380" s="73"/>
      <x:c r="B380" s="73"/>
      <x:c r="C380" s="74"/>
      <x:c r="D380" s="73"/>
      <x:c r="E380" s="73"/>
      <x:c r="F380" s="75"/>
      <x:c r="G380" s="75"/>
      <x:c r="H380" s="76" t="str">
        <x:f>IF(A380="","",F380-G380)</x:f>
      </x:c>
      <x:c r="I380" s="77" t="str">
        <x:f>IF(A380="","",IF(E380="","기타/불명",IF(IFERROR(SEARCH("급여",E380),0)&gt;0,"인건비",IF(IFERROR(SEARCH("임차",E380),0)&gt;0,"임차·시설",IF(IFERROR(SEARCH("광고",E380),0)&gt;0,"광고·행사",IF(IFERROR(SEARCH("용역",E380),0)&gt;0,"용역·수수료","기타/불명"))))))</x:f>
      </x:c>
      <x:c r="J380" s="77" t="str">
        <x:f>IF(A380="","",IF(I380="기타/불명","확인 필요","결의서명으로 1차 확인"))</x:f>
      </x:c>
      <x:c r="K380" s="78"/>
    </x:row>
    <x:row r="381">
      <x:c r="A381" s="73"/>
      <x:c r="B381" s="73"/>
      <x:c r="C381" s="74"/>
      <x:c r="D381" s="73"/>
      <x:c r="E381" s="73"/>
      <x:c r="F381" s="75"/>
      <x:c r="G381" s="75"/>
      <x:c r="H381" s="76" t="str">
        <x:f>IF(A381="","",F381-G381)</x:f>
      </x:c>
      <x:c r="I381" s="77" t="str">
        <x:f>IF(A381="","",IF(E381="","기타/불명",IF(IFERROR(SEARCH("급여",E381),0)&gt;0,"인건비",IF(IFERROR(SEARCH("임차",E381),0)&gt;0,"임차·시설",IF(IFERROR(SEARCH("광고",E381),0)&gt;0,"광고·행사",IF(IFERROR(SEARCH("용역",E381),0)&gt;0,"용역·수수료","기타/불명"))))))</x:f>
      </x:c>
      <x:c r="J381" s="77" t="str">
        <x:f>IF(A381="","",IF(I381="기타/불명","확인 필요","결의서명으로 1차 확인"))</x:f>
      </x:c>
      <x:c r="K381" s="78"/>
    </x:row>
    <x:row r="382">
      <x:c r="A382" s="73"/>
      <x:c r="B382" s="73"/>
      <x:c r="C382" s="74"/>
      <x:c r="D382" s="73"/>
      <x:c r="E382" s="73"/>
      <x:c r="F382" s="75"/>
      <x:c r="G382" s="75"/>
      <x:c r="H382" s="76" t="str">
        <x:f>IF(A382="","",F382-G382)</x:f>
      </x:c>
      <x:c r="I382" s="77" t="str">
        <x:f>IF(A382="","",IF(E382="","기타/불명",IF(IFERROR(SEARCH("급여",E382),0)&gt;0,"인건비",IF(IFERROR(SEARCH("임차",E382),0)&gt;0,"임차·시설",IF(IFERROR(SEARCH("광고",E382),0)&gt;0,"광고·행사",IF(IFERROR(SEARCH("용역",E382),0)&gt;0,"용역·수수료","기타/불명"))))))</x:f>
      </x:c>
      <x:c r="J382" s="77" t="str">
        <x:f>IF(A382="","",IF(I382="기타/불명","확인 필요","결의서명으로 1차 확인"))</x:f>
      </x:c>
      <x:c r="K382" s="78"/>
    </x:row>
    <x:row r="383">
      <x:c r="A383" s="73"/>
      <x:c r="B383" s="73"/>
      <x:c r="C383" s="74"/>
      <x:c r="D383" s="73"/>
      <x:c r="E383" s="73"/>
      <x:c r="F383" s="75"/>
      <x:c r="G383" s="75"/>
      <x:c r="H383" s="76" t="str">
        <x:f>IF(A383="","",F383-G383)</x:f>
      </x:c>
      <x:c r="I383" s="77" t="str">
        <x:f>IF(A383="","",IF(E383="","기타/불명",IF(IFERROR(SEARCH("급여",E383),0)&gt;0,"인건비",IF(IFERROR(SEARCH("임차",E383),0)&gt;0,"임차·시설",IF(IFERROR(SEARCH("광고",E383),0)&gt;0,"광고·행사",IF(IFERROR(SEARCH("용역",E383),0)&gt;0,"용역·수수료","기타/불명"))))))</x:f>
      </x:c>
      <x:c r="J383" s="77" t="str">
        <x:f>IF(A383="","",IF(I383="기타/불명","확인 필요","결의서명으로 1차 확인"))</x:f>
      </x:c>
      <x:c r="K383" s="78"/>
    </x:row>
    <x:row r="384">
      <x:c r="A384" s="73"/>
      <x:c r="B384" s="73"/>
      <x:c r="C384" s="74"/>
      <x:c r="D384" s="73"/>
      <x:c r="E384" s="73"/>
      <x:c r="F384" s="75"/>
      <x:c r="G384" s="75"/>
      <x:c r="H384" s="76" t="str">
        <x:f>IF(A384="","",F384-G384)</x:f>
      </x:c>
      <x:c r="I384" s="77" t="str">
        <x:f>IF(A384="","",IF(E384="","기타/불명",IF(IFERROR(SEARCH("급여",E384),0)&gt;0,"인건비",IF(IFERROR(SEARCH("임차",E384),0)&gt;0,"임차·시설",IF(IFERROR(SEARCH("광고",E384),0)&gt;0,"광고·행사",IF(IFERROR(SEARCH("용역",E384),0)&gt;0,"용역·수수료","기타/불명"))))))</x:f>
      </x:c>
      <x:c r="J384" s="77" t="str">
        <x:f>IF(A384="","",IF(I384="기타/불명","확인 필요","결의서명으로 1차 확인"))</x:f>
      </x:c>
      <x:c r="K384" s="78"/>
    </x:row>
    <x:row r="385">
      <x:c r="A385" s="73"/>
      <x:c r="B385" s="73"/>
      <x:c r="C385" s="74"/>
      <x:c r="D385" s="73"/>
      <x:c r="E385" s="73"/>
      <x:c r="F385" s="75"/>
      <x:c r="G385" s="75"/>
      <x:c r="H385" s="76" t="str">
        <x:f>IF(A385="","",F385-G385)</x:f>
      </x:c>
      <x:c r="I385" s="77" t="str">
        <x:f>IF(A385="","",IF(E385="","기타/불명",IF(IFERROR(SEARCH("급여",E385),0)&gt;0,"인건비",IF(IFERROR(SEARCH("임차",E385),0)&gt;0,"임차·시설",IF(IFERROR(SEARCH("광고",E385),0)&gt;0,"광고·행사",IF(IFERROR(SEARCH("용역",E385),0)&gt;0,"용역·수수료","기타/불명"))))))</x:f>
      </x:c>
      <x:c r="J385" s="77" t="str">
        <x:f>IF(A385="","",IF(I385="기타/불명","확인 필요","결의서명으로 1차 확인"))</x:f>
      </x:c>
      <x:c r="K385" s="78"/>
    </x:row>
    <x:row r="386">
      <x:c r="A386" s="73"/>
      <x:c r="B386" s="73"/>
      <x:c r="C386" s="74"/>
      <x:c r="D386" s="73"/>
      <x:c r="E386" s="73"/>
      <x:c r="F386" s="75"/>
      <x:c r="G386" s="75"/>
      <x:c r="H386" s="76" t="str">
        <x:f>IF(A386="","",F386-G386)</x:f>
      </x:c>
      <x:c r="I386" s="77" t="str">
        <x:f>IF(A386="","",IF(E386="","기타/불명",IF(IFERROR(SEARCH("급여",E386),0)&gt;0,"인건비",IF(IFERROR(SEARCH("임차",E386),0)&gt;0,"임차·시설",IF(IFERROR(SEARCH("광고",E386),0)&gt;0,"광고·행사",IF(IFERROR(SEARCH("용역",E386),0)&gt;0,"용역·수수료","기타/불명"))))))</x:f>
      </x:c>
      <x:c r="J386" s="77" t="str">
        <x:f>IF(A386="","",IF(I386="기타/불명","확인 필요","결의서명으로 1차 확인"))</x:f>
      </x:c>
      <x:c r="K386" s="78"/>
    </x:row>
    <x:row r="387">
      <x:c r="A387" s="73"/>
      <x:c r="B387" s="73"/>
      <x:c r="C387" s="74"/>
      <x:c r="D387" s="73"/>
      <x:c r="E387" s="73"/>
      <x:c r="F387" s="75"/>
      <x:c r="G387" s="75"/>
      <x:c r="H387" s="76" t="str">
        <x:f>IF(A387="","",F387-G387)</x:f>
      </x:c>
      <x:c r="I387" s="77" t="str">
        <x:f>IF(A387="","",IF(E387="","기타/불명",IF(IFERROR(SEARCH("급여",E387),0)&gt;0,"인건비",IF(IFERROR(SEARCH("임차",E387),0)&gt;0,"임차·시설",IF(IFERROR(SEARCH("광고",E387),0)&gt;0,"광고·행사",IF(IFERROR(SEARCH("용역",E387),0)&gt;0,"용역·수수료","기타/불명"))))))</x:f>
      </x:c>
      <x:c r="J387" s="77" t="str">
        <x:f>IF(A387="","",IF(I387="기타/불명","확인 필요","결의서명으로 1차 확인"))</x:f>
      </x:c>
      <x:c r="K387" s="78"/>
    </x:row>
    <x:row r="388">
      <x:c r="A388" s="73"/>
      <x:c r="B388" s="73"/>
      <x:c r="C388" s="74"/>
      <x:c r="D388" s="73"/>
      <x:c r="E388" s="73"/>
      <x:c r="F388" s="75"/>
      <x:c r="G388" s="75"/>
      <x:c r="H388" s="76" t="str">
        <x:f>IF(A388="","",F388-G388)</x:f>
      </x:c>
      <x:c r="I388" s="77" t="str">
        <x:f>IF(A388="","",IF(E388="","기타/불명",IF(IFERROR(SEARCH("급여",E388),0)&gt;0,"인건비",IF(IFERROR(SEARCH("임차",E388),0)&gt;0,"임차·시설",IF(IFERROR(SEARCH("광고",E388),0)&gt;0,"광고·행사",IF(IFERROR(SEARCH("용역",E388),0)&gt;0,"용역·수수료","기타/불명"))))))</x:f>
      </x:c>
      <x:c r="J388" s="77" t="str">
        <x:f>IF(A388="","",IF(I388="기타/불명","확인 필요","결의서명으로 1차 확인"))</x:f>
      </x:c>
      <x:c r="K388" s="78"/>
    </x:row>
    <x:row r="389">
      <x:c r="A389" s="73"/>
      <x:c r="B389" s="73"/>
      <x:c r="C389" s="74"/>
      <x:c r="D389" s="73"/>
      <x:c r="E389" s="73"/>
      <x:c r="F389" s="75"/>
      <x:c r="G389" s="75"/>
      <x:c r="H389" s="76" t="str">
        <x:f>IF(A389="","",F389-G389)</x:f>
      </x:c>
      <x:c r="I389" s="77" t="str">
        <x:f>IF(A389="","",IF(E389="","기타/불명",IF(IFERROR(SEARCH("급여",E389),0)&gt;0,"인건비",IF(IFERROR(SEARCH("임차",E389),0)&gt;0,"임차·시설",IF(IFERROR(SEARCH("광고",E389),0)&gt;0,"광고·행사",IF(IFERROR(SEARCH("용역",E389),0)&gt;0,"용역·수수료","기타/불명"))))))</x:f>
      </x:c>
      <x:c r="J389" s="77" t="str">
        <x:f>IF(A389="","",IF(I389="기타/불명","확인 필요","결의서명으로 1차 확인"))</x:f>
      </x:c>
      <x:c r="K389" s="78"/>
    </x:row>
    <x:row r="390">
      <x:c r="A390" s="73"/>
      <x:c r="B390" s="73"/>
      <x:c r="C390" s="74"/>
      <x:c r="D390" s="73"/>
      <x:c r="E390" s="73"/>
      <x:c r="F390" s="75"/>
      <x:c r="G390" s="75"/>
      <x:c r="H390" s="76" t="str">
        <x:f>IF(A390="","",F390-G390)</x:f>
      </x:c>
      <x:c r="I390" s="77" t="str">
        <x:f>IF(A390="","",IF(E390="","기타/불명",IF(IFERROR(SEARCH("급여",E390),0)&gt;0,"인건비",IF(IFERROR(SEARCH("임차",E390),0)&gt;0,"임차·시설",IF(IFERROR(SEARCH("광고",E390),0)&gt;0,"광고·행사",IF(IFERROR(SEARCH("용역",E390),0)&gt;0,"용역·수수료","기타/불명"))))))</x:f>
      </x:c>
      <x:c r="J390" s="77" t="str">
        <x:f>IF(A390="","",IF(I390="기타/불명","확인 필요","결의서명으로 1차 확인"))</x:f>
      </x:c>
      <x:c r="K390" s="78"/>
    </x:row>
    <x:row r="391">
      <x:c r="A391" s="73"/>
      <x:c r="B391" s="73"/>
      <x:c r="C391" s="74"/>
      <x:c r="D391" s="73"/>
      <x:c r="E391" s="73"/>
      <x:c r="F391" s="75"/>
      <x:c r="G391" s="75"/>
      <x:c r="H391" s="76" t="str">
        <x:f>IF(A391="","",F391-G391)</x:f>
      </x:c>
      <x:c r="I391" s="77" t="str">
        <x:f>IF(A391="","",IF(E391="","기타/불명",IF(IFERROR(SEARCH("급여",E391),0)&gt;0,"인건비",IF(IFERROR(SEARCH("임차",E391),0)&gt;0,"임차·시설",IF(IFERROR(SEARCH("광고",E391),0)&gt;0,"광고·행사",IF(IFERROR(SEARCH("용역",E391),0)&gt;0,"용역·수수료","기타/불명"))))))</x:f>
      </x:c>
      <x:c r="J391" s="77" t="str">
        <x:f>IF(A391="","",IF(I391="기타/불명","확인 필요","결의서명으로 1차 확인"))</x:f>
      </x:c>
      <x:c r="K391" s="78"/>
    </x:row>
    <x:row r="392">
      <x:c r="A392" s="73"/>
      <x:c r="B392" s="73"/>
      <x:c r="C392" s="74"/>
      <x:c r="D392" s="73"/>
      <x:c r="E392" s="73"/>
      <x:c r="F392" s="75"/>
      <x:c r="G392" s="75"/>
      <x:c r="H392" s="76" t="str">
        <x:f>IF(A392="","",F392-G392)</x:f>
      </x:c>
      <x:c r="I392" s="77" t="str">
        <x:f>IF(A392="","",IF(E392="","기타/불명",IF(IFERROR(SEARCH("급여",E392),0)&gt;0,"인건비",IF(IFERROR(SEARCH("임차",E392),0)&gt;0,"임차·시설",IF(IFERROR(SEARCH("광고",E392),0)&gt;0,"광고·행사",IF(IFERROR(SEARCH("용역",E392),0)&gt;0,"용역·수수료","기타/불명"))))))</x:f>
      </x:c>
      <x:c r="J392" s="77" t="str">
        <x:f>IF(A392="","",IF(I392="기타/불명","확인 필요","결의서명으로 1차 확인"))</x:f>
      </x:c>
      <x:c r="K392" s="78"/>
    </x:row>
    <x:row r="393">
      <x:c r="A393" s="73"/>
      <x:c r="B393" s="73"/>
      <x:c r="C393" s="74"/>
      <x:c r="D393" s="73"/>
      <x:c r="E393" s="73"/>
      <x:c r="F393" s="75"/>
      <x:c r="G393" s="75"/>
      <x:c r="H393" s="76" t="str">
        <x:f>IF(A393="","",F393-G393)</x:f>
      </x:c>
      <x:c r="I393" s="77" t="str">
        <x:f>IF(A393="","",IF(E393="","기타/불명",IF(IFERROR(SEARCH("급여",E393),0)&gt;0,"인건비",IF(IFERROR(SEARCH("임차",E393),0)&gt;0,"임차·시설",IF(IFERROR(SEARCH("광고",E393),0)&gt;0,"광고·행사",IF(IFERROR(SEARCH("용역",E393),0)&gt;0,"용역·수수료","기타/불명"))))))</x:f>
      </x:c>
      <x:c r="J393" s="77" t="str">
        <x:f>IF(A393="","",IF(I393="기타/불명","확인 필요","결의서명으로 1차 확인"))</x:f>
      </x:c>
      <x:c r="K393" s="78"/>
    </x:row>
    <x:row r="394">
      <x:c r="A394" s="73"/>
      <x:c r="B394" s="73"/>
      <x:c r="C394" s="74"/>
      <x:c r="D394" s="73"/>
      <x:c r="E394" s="73"/>
      <x:c r="F394" s="75"/>
      <x:c r="G394" s="75"/>
      <x:c r="H394" s="76" t="str">
        <x:f>IF(A394="","",F394-G394)</x:f>
      </x:c>
      <x:c r="I394" s="77" t="str">
        <x:f>IF(A394="","",IF(E394="","기타/불명",IF(IFERROR(SEARCH("급여",E394),0)&gt;0,"인건비",IF(IFERROR(SEARCH("임차",E394),0)&gt;0,"임차·시설",IF(IFERROR(SEARCH("광고",E394),0)&gt;0,"광고·행사",IF(IFERROR(SEARCH("용역",E394),0)&gt;0,"용역·수수료","기타/불명"))))))</x:f>
      </x:c>
      <x:c r="J394" s="77" t="str">
        <x:f>IF(A394="","",IF(I394="기타/불명","확인 필요","결의서명으로 1차 확인"))</x:f>
      </x:c>
      <x:c r="K394" s="78"/>
    </x:row>
    <x:row r="395">
      <x:c r="A395" s="73"/>
      <x:c r="B395" s="73"/>
      <x:c r="C395" s="74"/>
      <x:c r="D395" s="73"/>
      <x:c r="E395" s="73"/>
      <x:c r="F395" s="75"/>
      <x:c r="G395" s="75"/>
      <x:c r="H395" s="76" t="str">
        <x:f>IF(A395="","",F395-G395)</x:f>
      </x:c>
      <x:c r="I395" s="77" t="str">
        <x:f>IF(A395="","",IF(E395="","기타/불명",IF(IFERROR(SEARCH("급여",E395),0)&gt;0,"인건비",IF(IFERROR(SEARCH("임차",E395),0)&gt;0,"임차·시설",IF(IFERROR(SEARCH("광고",E395),0)&gt;0,"광고·행사",IF(IFERROR(SEARCH("용역",E395),0)&gt;0,"용역·수수료","기타/불명"))))))</x:f>
      </x:c>
      <x:c r="J395" s="77" t="str">
        <x:f>IF(A395="","",IF(I395="기타/불명","확인 필요","결의서명으로 1차 확인"))</x:f>
      </x:c>
      <x:c r="K395" s="78"/>
    </x:row>
    <x:row r="396">
      <x:c r="A396" s="73"/>
      <x:c r="B396" s="73"/>
      <x:c r="C396" s="74"/>
      <x:c r="D396" s="73"/>
      <x:c r="E396" s="73"/>
      <x:c r="F396" s="75"/>
      <x:c r="G396" s="75"/>
      <x:c r="H396" s="76" t="str">
        <x:f>IF(A396="","",F396-G396)</x:f>
      </x:c>
      <x:c r="I396" s="77" t="str">
        <x:f>IF(A396="","",IF(E396="","기타/불명",IF(IFERROR(SEARCH("급여",E396),0)&gt;0,"인건비",IF(IFERROR(SEARCH("임차",E396),0)&gt;0,"임차·시설",IF(IFERROR(SEARCH("광고",E396),0)&gt;0,"광고·행사",IF(IFERROR(SEARCH("용역",E396),0)&gt;0,"용역·수수료","기타/불명"))))))</x:f>
      </x:c>
      <x:c r="J396" s="77" t="str">
        <x:f>IF(A396="","",IF(I396="기타/불명","확인 필요","결의서명으로 1차 확인"))</x:f>
      </x:c>
      <x:c r="K396" s="78"/>
    </x:row>
    <x:row r="397">
      <x:c r="A397" s="73"/>
      <x:c r="B397" s="73"/>
      <x:c r="C397" s="74"/>
      <x:c r="D397" s="73"/>
      <x:c r="E397" s="73"/>
      <x:c r="F397" s="75"/>
      <x:c r="G397" s="75"/>
      <x:c r="H397" s="76" t="str">
        <x:f>IF(A397="","",F397-G397)</x:f>
      </x:c>
      <x:c r="I397" s="77" t="str">
        <x:f>IF(A397="","",IF(E397="","기타/불명",IF(IFERROR(SEARCH("급여",E397),0)&gt;0,"인건비",IF(IFERROR(SEARCH("임차",E397),0)&gt;0,"임차·시설",IF(IFERROR(SEARCH("광고",E397),0)&gt;0,"광고·행사",IF(IFERROR(SEARCH("용역",E397),0)&gt;0,"용역·수수료","기타/불명"))))))</x:f>
      </x:c>
      <x:c r="J397" s="77" t="str">
        <x:f>IF(A397="","",IF(I397="기타/불명","확인 필요","결의서명으로 1차 확인"))</x:f>
      </x:c>
      <x:c r="K397" s="78"/>
    </x:row>
    <x:row r="398">
      <x:c r="A398" s="73"/>
      <x:c r="B398" s="73"/>
      <x:c r="C398" s="74"/>
      <x:c r="D398" s="73"/>
      <x:c r="E398" s="73"/>
      <x:c r="F398" s="75"/>
      <x:c r="G398" s="75"/>
      <x:c r="H398" s="76" t="str">
        <x:f>IF(A398="","",F398-G398)</x:f>
      </x:c>
      <x:c r="I398" s="77" t="str">
        <x:f>IF(A398="","",IF(E398="","기타/불명",IF(IFERROR(SEARCH("급여",E398),0)&gt;0,"인건비",IF(IFERROR(SEARCH("임차",E398),0)&gt;0,"임차·시설",IF(IFERROR(SEARCH("광고",E398),0)&gt;0,"광고·행사",IF(IFERROR(SEARCH("용역",E398),0)&gt;0,"용역·수수료","기타/불명"))))))</x:f>
      </x:c>
      <x:c r="J398" s="77" t="str">
        <x:f>IF(A398="","",IF(I398="기타/불명","확인 필요","결의서명으로 1차 확인"))</x:f>
      </x:c>
      <x:c r="K398" s="78"/>
    </x:row>
    <x:row r="399">
      <x:c r="A399" s="73"/>
      <x:c r="B399" s="73"/>
      <x:c r="C399" s="74"/>
      <x:c r="D399" s="73"/>
      <x:c r="E399" s="73"/>
      <x:c r="F399" s="75"/>
      <x:c r="G399" s="75"/>
      <x:c r="H399" s="76" t="str">
        <x:f>IF(A399="","",F399-G399)</x:f>
      </x:c>
      <x:c r="I399" s="77" t="str">
        <x:f>IF(A399="","",IF(E399="","기타/불명",IF(IFERROR(SEARCH("급여",E399),0)&gt;0,"인건비",IF(IFERROR(SEARCH("임차",E399),0)&gt;0,"임차·시설",IF(IFERROR(SEARCH("광고",E399),0)&gt;0,"광고·행사",IF(IFERROR(SEARCH("용역",E399),0)&gt;0,"용역·수수료","기타/불명"))))))</x:f>
      </x:c>
      <x:c r="J399" s="77" t="str">
        <x:f>IF(A399="","",IF(I399="기타/불명","확인 필요","결의서명으로 1차 확인"))</x:f>
      </x:c>
      <x:c r="K399" s="78"/>
    </x:row>
    <x:row r="400">
      <x:c r="A400" s="73"/>
      <x:c r="B400" s="73"/>
      <x:c r="C400" s="74"/>
      <x:c r="D400" s="73"/>
      <x:c r="E400" s="73"/>
      <x:c r="F400" s="75"/>
      <x:c r="G400" s="75"/>
      <x:c r="H400" s="76" t="str">
        <x:f>IF(A400="","",F400-G400)</x:f>
      </x:c>
      <x:c r="I400" s="77" t="str">
        <x:f>IF(A400="","",IF(E400="","기타/불명",IF(IFERROR(SEARCH("급여",E400),0)&gt;0,"인건비",IF(IFERROR(SEARCH("임차",E400),0)&gt;0,"임차·시설",IF(IFERROR(SEARCH("광고",E400),0)&gt;0,"광고·행사",IF(IFERROR(SEARCH("용역",E400),0)&gt;0,"용역·수수료","기타/불명"))))))</x:f>
      </x:c>
      <x:c r="J400" s="77" t="str">
        <x:f>IF(A400="","",IF(I400="기타/불명","확인 필요","결의서명으로 1차 확인"))</x:f>
      </x:c>
      <x:c r="K400" s="78"/>
    </x:row>
    <x:row r="401">
      <x:c r="A401" s="73"/>
      <x:c r="B401" s="73"/>
      <x:c r="C401" s="74"/>
      <x:c r="D401" s="73"/>
      <x:c r="E401" s="73"/>
      <x:c r="F401" s="75"/>
      <x:c r="G401" s="75"/>
      <x:c r="H401" s="76" t="str">
        <x:f>IF(A401="","",F401-G401)</x:f>
      </x:c>
      <x:c r="I401" s="77" t="str">
        <x:f>IF(A401="","",IF(E401="","기타/불명",IF(IFERROR(SEARCH("급여",E401),0)&gt;0,"인건비",IF(IFERROR(SEARCH("임차",E401),0)&gt;0,"임차·시설",IF(IFERROR(SEARCH("광고",E401),0)&gt;0,"광고·행사",IF(IFERROR(SEARCH("용역",E401),0)&gt;0,"용역·수수료","기타/불명"))))))</x:f>
      </x:c>
      <x:c r="J401" s="77" t="str">
        <x:f>IF(A401="","",IF(I401="기타/불명","확인 필요","결의서명으로 1차 확인"))</x:f>
      </x:c>
      <x:c r="K401" s="78"/>
    </x:row>
    <x:row r="402">
      <x:c r="A402" s="73"/>
      <x:c r="B402" s="73"/>
      <x:c r="C402" s="74"/>
      <x:c r="D402" s="73"/>
      <x:c r="E402" s="73"/>
      <x:c r="F402" s="75"/>
      <x:c r="G402" s="75"/>
      <x:c r="H402" s="76" t="str">
        <x:f>IF(A402="","",F402-G402)</x:f>
      </x:c>
      <x:c r="I402" s="77" t="str">
        <x:f>IF(A402="","",IF(E402="","기타/불명",IF(IFERROR(SEARCH("급여",E402),0)&gt;0,"인건비",IF(IFERROR(SEARCH("임차",E402),0)&gt;0,"임차·시설",IF(IFERROR(SEARCH("광고",E402),0)&gt;0,"광고·행사",IF(IFERROR(SEARCH("용역",E402),0)&gt;0,"용역·수수료","기타/불명"))))))</x:f>
      </x:c>
      <x:c r="J402" s="77" t="str">
        <x:f>IF(A402="","",IF(I402="기타/불명","확인 필요","결의서명으로 1차 확인"))</x:f>
      </x:c>
      <x:c r="K402" s="78"/>
    </x:row>
    <x:row r="403">
      <x:c r="A403" s="73"/>
      <x:c r="B403" s="73"/>
      <x:c r="C403" s="74"/>
      <x:c r="D403" s="73"/>
      <x:c r="E403" s="73"/>
      <x:c r="F403" s="75"/>
      <x:c r="G403" s="75"/>
      <x:c r="H403" s="76" t="str">
        <x:f>IF(A403="","",F403-G403)</x:f>
      </x:c>
      <x:c r="I403" s="77" t="str">
        <x:f>IF(A403="","",IF(E403="","기타/불명",IF(IFERROR(SEARCH("급여",E403),0)&gt;0,"인건비",IF(IFERROR(SEARCH("임차",E403),0)&gt;0,"임차·시설",IF(IFERROR(SEARCH("광고",E403),0)&gt;0,"광고·행사",IF(IFERROR(SEARCH("용역",E403),0)&gt;0,"용역·수수료","기타/불명"))))))</x:f>
      </x:c>
      <x:c r="J403" s="77" t="str">
        <x:f>IF(A403="","",IF(I403="기타/불명","확인 필요","결의서명으로 1차 확인"))</x:f>
      </x:c>
      <x:c r="K403" s="78"/>
    </x:row>
    <x:row r="404">
      <x:c r="A404" s="73"/>
      <x:c r="B404" s="73"/>
      <x:c r="C404" s="74"/>
      <x:c r="D404" s="73"/>
      <x:c r="E404" s="73"/>
      <x:c r="F404" s="75"/>
      <x:c r="G404" s="75"/>
      <x:c r="H404" s="76" t="str">
        <x:f>IF(A404="","",F404-G404)</x:f>
      </x:c>
      <x:c r="I404" s="77" t="str">
        <x:f>IF(A404="","",IF(E404="","기타/불명",IF(IFERROR(SEARCH("급여",E404),0)&gt;0,"인건비",IF(IFERROR(SEARCH("임차",E404),0)&gt;0,"임차·시설",IF(IFERROR(SEARCH("광고",E404),0)&gt;0,"광고·행사",IF(IFERROR(SEARCH("용역",E404),0)&gt;0,"용역·수수료","기타/불명"))))))</x:f>
      </x:c>
      <x:c r="J404" s="77" t="str">
        <x:f>IF(A404="","",IF(I404="기타/불명","확인 필요","결의서명으로 1차 확인"))</x:f>
      </x:c>
      <x:c r="K404" s="78"/>
    </x:row>
    <x:row r="405">
      <x:c r="A405" s="73"/>
      <x:c r="B405" s="73"/>
      <x:c r="C405" s="74"/>
      <x:c r="D405" s="73"/>
      <x:c r="E405" s="73"/>
      <x:c r="F405" s="75"/>
      <x:c r="G405" s="75"/>
      <x:c r="H405" s="76" t="str">
        <x:f>IF(A405="","",F405-G405)</x:f>
      </x:c>
      <x:c r="I405" s="77" t="str">
        <x:f>IF(A405="","",IF(E405="","기타/불명",IF(IFERROR(SEARCH("급여",E405),0)&gt;0,"인건비",IF(IFERROR(SEARCH("임차",E405),0)&gt;0,"임차·시설",IF(IFERROR(SEARCH("광고",E405),0)&gt;0,"광고·행사",IF(IFERROR(SEARCH("용역",E405),0)&gt;0,"용역·수수료","기타/불명"))))))</x:f>
      </x:c>
      <x:c r="J405" s="77" t="str">
        <x:f>IF(A405="","",IF(I405="기타/불명","확인 필요","결의서명으로 1차 확인"))</x:f>
      </x:c>
      <x:c r="K405" s="78"/>
    </x:row>
    <x:row r="406">
      <x:c r="A406" s="73"/>
      <x:c r="B406" s="73"/>
      <x:c r="C406" s="74"/>
      <x:c r="D406" s="73"/>
      <x:c r="E406" s="73"/>
      <x:c r="F406" s="75"/>
      <x:c r="G406" s="75"/>
      <x:c r="H406" s="76" t="str">
        <x:f>IF(A406="","",F406-G406)</x:f>
      </x:c>
      <x:c r="I406" s="77" t="str">
        <x:f>IF(A406="","",IF(E406="","기타/불명",IF(IFERROR(SEARCH("급여",E406),0)&gt;0,"인건비",IF(IFERROR(SEARCH("임차",E406),0)&gt;0,"임차·시설",IF(IFERROR(SEARCH("광고",E406),0)&gt;0,"광고·행사",IF(IFERROR(SEARCH("용역",E406),0)&gt;0,"용역·수수료","기타/불명"))))))</x:f>
      </x:c>
      <x:c r="J406" s="77" t="str">
        <x:f>IF(A406="","",IF(I406="기타/불명","확인 필요","결의서명으로 1차 확인"))</x:f>
      </x:c>
      <x:c r="K406" s="78"/>
    </x:row>
    <x:row r="407">
      <x:c r="A407" s="73"/>
      <x:c r="B407" s="73"/>
      <x:c r="C407" s="74"/>
      <x:c r="D407" s="73"/>
      <x:c r="E407" s="73"/>
      <x:c r="F407" s="75"/>
      <x:c r="G407" s="75"/>
      <x:c r="H407" s="76" t="str">
        <x:f>IF(A407="","",F407-G407)</x:f>
      </x:c>
      <x:c r="I407" s="77" t="str">
        <x:f>IF(A407="","",IF(E407="","기타/불명",IF(IFERROR(SEARCH("급여",E407),0)&gt;0,"인건비",IF(IFERROR(SEARCH("임차",E407),0)&gt;0,"임차·시설",IF(IFERROR(SEARCH("광고",E407),0)&gt;0,"광고·행사",IF(IFERROR(SEARCH("용역",E407),0)&gt;0,"용역·수수료","기타/불명"))))))</x:f>
      </x:c>
      <x:c r="J407" s="77" t="str">
        <x:f>IF(A407="","",IF(I407="기타/불명","확인 필요","결의서명으로 1차 확인"))</x:f>
      </x:c>
      <x:c r="K407" s="78"/>
    </x:row>
    <x:row r="408">
      <x:c r="A408" s="73"/>
      <x:c r="B408" s="73"/>
      <x:c r="C408" s="74"/>
      <x:c r="D408" s="73"/>
      <x:c r="E408" s="73"/>
      <x:c r="F408" s="75"/>
      <x:c r="G408" s="75"/>
      <x:c r="H408" s="76" t="str">
        <x:f>IF(A408="","",F408-G408)</x:f>
      </x:c>
      <x:c r="I408" s="77" t="str">
        <x:f>IF(A408="","",IF(E408="","기타/불명",IF(IFERROR(SEARCH("급여",E408),0)&gt;0,"인건비",IF(IFERROR(SEARCH("임차",E408),0)&gt;0,"임차·시설",IF(IFERROR(SEARCH("광고",E408),0)&gt;0,"광고·행사",IF(IFERROR(SEARCH("용역",E408),0)&gt;0,"용역·수수료","기타/불명"))))))</x:f>
      </x:c>
      <x:c r="J408" s="77" t="str">
        <x:f>IF(A408="","",IF(I408="기타/불명","확인 필요","결의서명으로 1차 확인"))</x:f>
      </x:c>
      <x:c r="K408" s="78"/>
    </x:row>
    <x:row r="409">
      <x:c r="A409" s="73"/>
      <x:c r="B409" s="73"/>
      <x:c r="C409" s="74"/>
      <x:c r="D409" s="73"/>
      <x:c r="E409" s="73"/>
      <x:c r="F409" s="75"/>
      <x:c r="G409" s="75"/>
      <x:c r="H409" s="76" t="str">
        <x:f>IF(A409="","",F409-G409)</x:f>
      </x:c>
      <x:c r="I409" s="77" t="str">
        <x:f>IF(A409="","",IF(E409="","기타/불명",IF(IFERROR(SEARCH("급여",E409),0)&gt;0,"인건비",IF(IFERROR(SEARCH("임차",E409),0)&gt;0,"임차·시설",IF(IFERROR(SEARCH("광고",E409),0)&gt;0,"광고·행사",IF(IFERROR(SEARCH("용역",E409),0)&gt;0,"용역·수수료","기타/불명"))))))</x:f>
      </x:c>
      <x:c r="J409" s="77" t="str">
        <x:f>IF(A409="","",IF(I409="기타/불명","확인 필요","결의서명으로 1차 확인"))</x:f>
      </x:c>
      <x:c r="K409" s="78"/>
    </x:row>
    <x:row r="410">
      <x:c r="A410" s="73"/>
      <x:c r="B410" s="73"/>
      <x:c r="C410" s="74"/>
      <x:c r="D410" s="73"/>
      <x:c r="E410" s="73"/>
      <x:c r="F410" s="75"/>
      <x:c r="G410" s="75"/>
      <x:c r="H410" s="76" t="str">
        <x:f>IF(A410="","",F410-G410)</x:f>
      </x:c>
      <x:c r="I410" s="77" t="str">
        <x:f>IF(A410="","",IF(E410="","기타/불명",IF(IFERROR(SEARCH("급여",E410),0)&gt;0,"인건비",IF(IFERROR(SEARCH("임차",E410),0)&gt;0,"임차·시설",IF(IFERROR(SEARCH("광고",E410),0)&gt;0,"광고·행사",IF(IFERROR(SEARCH("용역",E410),0)&gt;0,"용역·수수료","기타/불명"))))))</x:f>
      </x:c>
      <x:c r="J410" s="77" t="str">
        <x:f>IF(A410="","",IF(I410="기타/불명","확인 필요","결의서명으로 1차 확인"))</x:f>
      </x:c>
      <x:c r="K410" s="78"/>
    </x:row>
    <x:row r="411">
      <x:c r="A411" s="73"/>
      <x:c r="B411" s="73"/>
      <x:c r="C411" s="74"/>
      <x:c r="D411" s="73"/>
      <x:c r="E411" s="73"/>
      <x:c r="F411" s="75"/>
      <x:c r="G411" s="75"/>
      <x:c r="H411" s="76" t="str">
        <x:f>IF(A411="","",F411-G411)</x:f>
      </x:c>
      <x:c r="I411" s="77" t="str">
        <x:f>IF(A411="","",IF(E411="","기타/불명",IF(IFERROR(SEARCH("급여",E411),0)&gt;0,"인건비",IF(IFERROR(SEARCH("임차",E411),0)&gt;0,"임차·시설",IF(IFERROR(SEARCH("광고",E411),0)&gt;0,"광고·행사",IF(IFERROR(SEARCH("용역",E411),0)&gt;0,"용역·수수료","기타/불명"))))))</x:f>
      </x:c>
      <x:c r="J411" s="77" t="str">
        <x:f>IF(A411="","",IF(I411="기타/불명","확인 필요","결의서명으로 1차 확인"))</x:f>
      </x:c>
      <x:c r="K411" s="78"/>
    </x:row>
    <x:row r="412">
      <x:c r="A412" s="73"/>
      <x:c r="B412" s="73"/>
      <x:c r="C412" s="74"/>
      <x:c r="D412" s="73"/>
      <x:c r="E412" s="73"/>
      <x:c r="F412" s="75"/>
      <x:c r="G412" s="75"/>
      <x:c r="H412" s="76" t="str">
        <x:f>IF(A412="","",F412-G412)</x:f>
      </x:c>
      <x:c r="I412" s="77" t="str">
        <x:f>IF(A412="","",IF(E412="","기타/불명",IF(IFERROR(SEARCH("급여",E412),0)&gt;0,"인건비",IF(IFERROR(SEARCH("임차",E412),0)&gt;0,"임차·시설",IF(IFERROR(SEARCH("광고",E412),0)&gt;0,"광고·행사",IF(IFERROR(SEARCH("용역",E412),0)&gt;0,"용역·수수료","기타/불명"))))))</x:f>
      </x:c>
      <x:c r="J412" s="77" t="str">
        <x:f>IF(A412="","",IF(I412="기타/불명","확인 필요","결의서명으로 1차 확인"))</x:f>
      </x:c>
      <x:c r="K412" s="78"/>
    </x:row>
    <x:row r="413">
      <x:c r="A413" s="73"/>
      <x:c r="B413" s="73"/>
      <x:c r="C413" s="74"/>
      <x:c r="D413" s="73"/>
      <x:c r="E413" s="73"/>
      <x:c r="F413" s="75"/>
      <x:c r="G413" s="75"/>
      <x:c r="H413" s="76" t="str">
        <x:f>IF(A413="","",F413-G413)</x:f>
      </x:c>
      <x:c r="I413" s="77" t="str">
        <x:f>IF(A413="","",IF(E413="","기타/불명",IF(IFERROR(SEARCH("급여",E413),0)&gt;0,"인건비",IF(IFERROR(SEARCH("임차",E413),0)&gt;0,"임차·시설",IF(IFERROR(SEARCH("광고",E413),0)&gt;0,"광고·행사",IF(IFERROR(SEARCH("용역",E413),0)&gt;0,"용역·수수료","기타/불명"))))))</x:f>
      </x:c>
      <x:c r="J413" s="77" t="str">
        <x:f>IF(A413="","",IF(I413="기타/불명","확인 필요","결의서명으로 1차 확인"))</x:f>
      </x:c>
      <x:c r="K413" s="78"/>
    </x:row>
    <x:row r="414">
      <x:c r="A414" s="73"/>
      <x:c r="B414" s="73"/>
      <x:c r="C414" s="74"/>
      <x:c r="D414" s="73"/>
      <x:c r="E414" s="73"/>
      <x:c r="F414" s="75"/>
      <x:c r="G414" s="75"/>
      <x:c r="H414" s="76" t="str">
        <x:f>IF(A414="","",F414-G414)</x:f>
      </x:c>
      <x:c r="I414" s="77" t="str">
        <x:f>IF(A414="","",IF(E414="","기타/불명",IF(IFERROR(SEARCH("급여",E414),0)&gt;0,"인건비",IF(IFERROR(SEARCH("임차",E414),0)&gt;0,"임차·시설",IF(IFERROR(SEARCH("광고",E414),0)&gt;0,"광고·행사",IF(IFERROR(SEARCH("용역",E414),0)&gt;0,"용역·수수료","기타/불명"))))))</x:f>
      </x:c>
      <x:c r="J414" s="77" t="str">
        <x:f>IF(A414="","",IF(I414="기타/불명","확인 필요","결의서명으로 1차 확인"))</x:f>
      </x:c>
      <x:c r="K414" s="78"/>
    </x:row>
    <x:row r="415">
      <x:c r="A415" s="73"/>
      <x:c r="B415" s="73"/>
      <x:c r="C415" s="74"/>
      <x:c r="D415" s="73"/>
      <x:c r="E415" s="73"/>
      <x:c r="F415" s="75"/>
      <x:c r="G415" s="75"/>
      <x:c r="H415" s="76" t="str">
        <x:f>IF(A415="","",F415-G415)</x:f>
      </x:c>
      <x:c r="I415" s="77" t="str">
        <x:f>IF(A415="","",IF(E415="","기타/불명",IF(IFERROR(SEARCH("급여",E415),0)&gt;0,"인건비",IF(IFERROR(SEARCH("임차",E415),0)&gt;0,"임차·시설",IF(IFERROR(SEARCH("광고",E415),0)&gt;0,"광고·행사",IF(IFERROR(SEARCH("용역",E415),0)&gt;0,"용역·수수료","기타/불명"))))))</x:f>
      </x:c>
      <x:c r="J415" s="77" t="str">
        <x:f>IF(A415="","",IF(I415="기타/불명","확인 필요","결의서명으로 1차 확인"))</x:f>
      </x:c>
      <x:c r="K415" s="78"/>
    </x:row>
    <x:row r="416">
      <x:c r="A416" s="73"/>
      <x:c r="B416" s="73"/>
      <x:c r="C416" s="74"/>
      <x:c r="D416" s="73"/>
      <x:c r="E416" s="73"/>
      <x:c r="F416" s="75"/>
      <x:c r="G416" s="75"/>
      <x:c r="H416" s="76" t="str">
        <x:f>IF(A416="","",F416-G416)</x:f>
      </x:c>
      <x:c r="I416" s="77" t="str">
        <x:f>IF(A416="","",IF(E416="","기타/불명",IF(IFERROR(SEARCH("급여",E416),0)&gt;0,"인건비",IF(IFERROR(SEARCH("임차",E416),0)&gt;0,"임차·시설",IF(IFERROR(SEARCH("광고",E416),0)&gt;0,"광고·행사",IF(IFERROR(SEARCH("용역",E416),0)&gt;0,"용역·수수료","기타/불명"))))))</x:f>
      </x:c>
      <x:c r="J416" s="77" t="str">
        <x:f>IF(A416="","",IF(I416="기타/불명","확인 필요","결의서명으로 1차 확인"))</x:f>
      </x:c>
      <x:c r="K416" s="78"/>
    </x:row>
    <x:row r="417">
      <x:c r="A417" s="73"/>
      <x:c r="B417" s="73"/>
      <x:c r="C417" s="74"/>
      <x:c r="D417" s="73"/>
      <x:c r="E417" s="73"/>
      <x:c r="F417" s="75"/>
      <x:c r="G417" s="75"/>
      <x:c r="H417" s="76" t="str">
        <x:f>IF(A417="","",F417-G417)</x:f>
      </x:c>
      <x:c r="I417" s="77" t="str">
        <x:f>IF(A417="","",IF(E417="","기타/불명",IF(IFERROR(SEARCH("급여",E417),0)&gt;0,"인건비",IF(IFERROR(SEARCH("임차",E417),0)&gt;0,"임차·시설",IF(IFERROR(SEARCH("광고",E417),0)&gt;0,"광고·행사",IF(IFERROR(SEARCH("용역",E417),0)&gt;0,"용역·수수료","기타/불명"))))))</x:f>
      </x:c>
      <x:c r="J417" s="77" t="str">
        <x:f>IF(A417="","",IF(I417="기타/불명","확인 필요","결의서명으로 1차 확인"))</x:f>
      </x:c>
      <x:c r="K417" s="78"/>
    </x:row>
    <x:row r="418">
      <x:c r="A418" s="73"/>
      <x:c r="B418" s="73"/>
      <x:c r="C418" s="74"/>
      <x:c r="D418" s="73"/>
      <x:c r="E418" s="73"/>
      <x:c r="F418" s="75"/>
      <x:c r="G418" s="75"/>
      <x:c r="H418" s="76" t="str">
        <x:f>IF(A418="","",F418-G418)</x:f>
      </x:c>
      <x:c r="I418" s="77" t="str">
        <x:f>IF(A418="","",IF(E418="","기타/불명",IF(IFERROR(SEARCH("급여",E418),0)&gt;0,"인건비",IF(IFERROR(SEARCH("임차",E418),0)&gt;0,"임차·시설",IF(IFERROR(SEARCH("광고",E418),0)&gt;0,"광고·행사",IF(IFERROR(SEARCH("용역",E418),0)&gt;0,"용역·수수료","기타/불명"))))))</x:f>
      </x:c>
      <x:c r="J418" s="77" t="str">
        <x:f>IF(A418="","",IF(I418="기타/불명","확인 필요","결의서명으로 1차 확인"))</x:f>
      </x:c>
      <x:c r="K418" s="78"/>
    </x:row>
    <x:row r="419">
      <x:c r="A419" s="73"/>
      <x:c r="B419" s="73"/>
      <x:c r="C419" s="74"/>
      <x:c r="D419" s="73"/>
      <x:c r="E419" s="73"/>
      <x:c r="F419" s="75"/>
      <x:c r="G419" s="75"/>
      <x:c r="H419" s="76" t="str">
        <x:f>IF(A419="","",F419-G419)</x:f>
      </x:c>
      <x:c r="I419" s="77" t="str">
        <x:f>IF(A419="","",IF(E419="","기타/불명",IF(IFERROR(SEARCH("급여",E419),0)&gt;0,"인건비",IF(IFERROR(SEARCH("임차",E419),0)&gt;0,"임차·시설",IF(IFERROR(SEARCH("광고",E419),0)&gt;0,"광고·행사",IF(IFERROR(SEARCH("용역",E419),0)&gt;0,"용역·수수료","기타/불명"))))))</x:f>
      </x:c>
      <x:c r="J419" s="77" t="str">
        <x:f>IF(A419="","",IF(I419="기타/불명","확인 필요","결의서명으로 1차 확인"))</x:f>
      </x:c>
      <x:c r="K419" s="78"/>
    </x:row>
    <x:row r="420">
      <x:c r="A420" s="73"/>
      <x:c r="B420" s="73"/>
      <x:c r="C420" s="74"/>
      <x:c r="D420" s="73"/>
      <x:c r="E420" s="73"/>
      <x:c r="F420" s="75"/>
      <x:c r="G420" s="75"/>
      <x:c r="H420" s="76" t="str">
        <x:f>IF(A420="","",F420-G420)</x:f>
      </x:c>
      <x:c r="I420" s="77" t="str">
        <x:f>IF(A420="","",IF(E420="","기타/불명",IF(IFERROR(SEARCH("급여",E420),0)&gt;0,"인건비",IF(IFERROR(SEARCH("임차",E420),0)&gt;0,"임차·시설",IF(IFERROR(SEARCH("광고",E420),0)&gt;0,"광고·행사",IF(IFERROR(SEARCH("용역",E420),0)&gt;0,"용역·수수료","기타/불명"))))))</x:f>
      </x:c>
      <x:c r="J420" s="77" t="str">
        <x:f>IF(A420="","",IF(I420="기타/불명","확인 필요","결의서명으로 1차 확인"))</x:f>
      </x:c>
      <x:c r="K420" s="78"/>
    </x:row>
    <x:row r="421">
      <x:c r="A421" s="73"/>
      <x:c r="B421" s="73"/>
      <x:c r="C421" s="74"/>
      <x:c r="D421" s="73"/>
      <x:c r="E421" s="73"/>
      <x:c r="F421" s="75"/>
      <x:c r="G421" s="75"/>
      <x:c r="H421" s="76" t="str">
        <x:f>IF(A421="","",F421-G421)</x:f>
      </x:c>
      <x:c r="I421" s="77" t="str">
        <x:f>IF(A421="","",IF(E421="","기타/불명",IF(IFERROR(SEARCH("급여",E421),0)&gt;0,"인건비",IF(IFERROR(SEARCH("임차",E421),0)&gt;0,"임차·시설",IF(IFERROR(SEARCH("광고",E421),0)&gt;0,"광고·행사",IF(IFERROR(SEARCH("용역",E421),0)&gt;0,"용역·수수료","기타/불명"))))))</x:f>
      </x:c>
      <x:c r="J421" s="77" t="str">
        <x:f>IF(A421="","",IF(I421="기타/불명","확인 필요","결의서명으로 1차 확인"))</x:f>
      </x:c>
      <x:c r="K421" s="78"/>
    </x:row>
    <x:row r="422">
      <x:c r="A422" s="73"/>
      <x:c r="B422" s="73"/>
      <x:c r="C422" s="74"/>
      <x:c r="D422" s="73"/>
      <x:c r="E422" s="73"/>
      <x:c r="F422" s="75"/>
      <x:c r="G422" s="75"/>
      <x:c r="H422" s="76" t="str">
        <x:f>IF(A422="","",F422-G422)</x:f>
      </x:c>
      <x:c r="I422" s="77" t="str">
        <x:f>IF(A422="","",IF(E422="","기타/불명",IF(IFERROR(SEARCH("급여",E422),0)&gt;0,"인건비",IF(IFERROR(SEARCH("임차",E422),0)&gt;0,"임차·시설",IF(IFERROR(SEARCH("광고",E422),0)&gt;0,"광고·행사",IF(IFERROR(SEARCH("용역",E422),0)&gt;0,"용역·수수료","기타/불명"))))))</x:f>
      </x:c>
      <x:c r="J422" s="77" t="str">
        <x:f>IF(A422="","",IF(I422="기타/불명","확인 필요","결의서명으로 1차 확인"))</x:f>
      </x:c>
      <x:c r="K422" s="78"/>
    </x:row>
    <x:row r="423">
      <x:c r="A423" s="73"/>
      <x:c r="B423" s="73"/>
      <x:c r="C423" s="74"/>
      <x:c r="D423" s="73"/>
      <x:c r="E423" s="73"/>
      <x:c r="F423" s="75"/>
      <x:c r="G423" s="75"/>
      <x:c r="H423" s="76" t="str">
        <x:f>IF(A423="","",F423-G423)</x:f>
      </x:c>
      <x:c r="I423" s="77" t="str">
        <x:f>IF(A423="","",IF(E423="","기타/불명",IF(IFERROR(SEARCH("급여",E423),0)&gt;0,"인건비",IF(IFERROR(SEARCH("임차",E423),0)&gt;0,"임차·시설",IF(IFERROR(SEARCH("광고",E423),0)&gt;0,"광고·행사",IF(IFERROR(SEARCH("용역",E423),0)&gt;0,"용역·수수료","기타/불명"))))))</x:f>
      </x:c>
      <x:c r="J423" s="77" t="str">
        <x:f>IF(A423="","",IF(I423="기타/불명","확인 필요","결의서명으로 1차 확인"))</x:f>
      </x:c>
      <x:c r="K423" s="78"/>
    </x:row>
    <x:row r="424">
      <x:c r="A424" s="73"/>
      <x:c r="B424" s="73"/>
      <x:c r="C424" s="74"/>
      <x:c r="D424" s="73"/>
      <x:c r="E424" s="73"/>
      <x:c r="F424" s="75"/>
      <x:c r="G424" s="75"/>
      <x:c r="H424" s="76" t="str">
        <x:f>IF(A424="","",F424-G424)</x:f>
      </x:c>
      <x:c r="I424" s="77" t="str">
        <x:f>IF(A424="","",IF(E424="","기타/불명",IF(IFERROR(SEARCH("급여",E424),0)&gt;0,"인건비",IF(IFERROR(SEARCH("임차",E424),0)&gt;0,"임차·시설",IF(IFERROR(SEARCH("광고",E424),0)&gt;0,"광고·행사",IF(IFERROR(SEARCH("용역",E424),0)&gt;0,"용역·수수료","기타/불명"))))))</x:f>
      </x:c>
      <x:c r="J424" s="77" t="str">
        <x:f>IF(A424="","",IF(I424="기타/불명","확인 필요","결의서명으로 1차 확인"))</x:f>
      </x:c>
      <x:c r="K424" s="78"/>
    </x:row>
    <x:row r="425">
      <x:c r="A425" s="73"/>
      <x:c r="B425" s="73"/>
      <x:c r="C425" s="74"/>
      <x:c r="D425" s="73"/>
      <x:c r="E425" s="73"/>
      <x:c r="F425" s="75"/>
      <x:c r="G425" s="75"/>
      <x:c r="H425" s="76" t="str">
        <x:f>IF(A425="","",F425-G425)</x:f>
      </x:c>
      <x:c r="I425" s="77" t="str">
        <x:f>IF(A425="","",IF(E425="","기타/불명",IF(IFERROR(SEARCH("급여",E425),0)&gt;0,"인건비",IF(IFERROR(SEARCH("임차",E425),0)&gt;0,"임차·시설",IF(IFERROR(SEARCH("광고",E425),0)&gt;0,"광고·행사",IF(IFERROR(SEARCH("용역",E425),0)&gt;0,"용역·수수료","기타/불명"))))))</x:f>
      </x:c>
      <x:c r="J425" s="77" t="str">
        <x:f>IF(A425="","",IF(I425="기타/불명","확인 필요","결의서명으로 1차 확인"))</x:f>
      </x:c>
      <x:c r="K425" s="78"/>
    </x:row>
    <x:row r="426">
      <x:c r="A426" s="73"/>
      <x:c r="B426" s="73"/>
      <x:c r="C426" s="74"/>
      <x:c r="D426" s="73"/>
      <x:c r="E426" s="73"/>
      <x:c r="F426" s="75"/>
      <x:c r="G426" s="75"/>
      <x:c r="H426" s="76" t="str">
        <x:f>IF(A426="","",F426-G426)</x:f>
      </x:c>
      <x:c r="I426" s="77" t="str">
        <x:f>IF(A426="","",IF(E426="","기타/불명",IF(IFERROR(SEARCH("급여",E426),0)&gt;0,"인건비",IF(IFERROR(SEARCH("임차",E426),0)&gt;0,"임차·시설",IF(IFERROR(SEARCH("광고",E426),0)&gt;0,"광고·행사",IF(IFERROR(SEARCH("용역",E426),0)&gt;0,"용역·수수료","기타/불명"))))))</x:f>
      </x:c>
      <x:c r="J426" s="77" t="str">
        <x:f>IF(A426="","",IF(I426="기타/불명","확인 필요","결의서명으로 1차 확인"))</x:f>
      </x:c>
      <x:c r="K426" s="78"/>
    </x:row>
    <x:row r="427">
      <x:c r="A427" s="73"/>
      <x:c r="B427" s="73"/>
      <x:c r="C427" s="74"/>
      <x:c r="D427" s="73"/>
      <x:c r="E427" s="73"/>
      <x:c r="F427" s="75"/>
      <x:c r="G427" s="75"/>
      <x:c r="H427" s="76" t="str">
        <x:f>IF(A427="","",F427-G427)</x:f>
      </x:c>
      <x:c r="I427" s="77" t="str">
        <x:f>IF(A427="","",IF(E427="","기타/불명",IF(IFERROR(SEARCH("급여",E427),0)&gt;0,"인건비",IF(IFERROR(SEARCH("임차",E427),0)&gt;0,"임차·시설",IF(IFERROR(SEARCH("광고",E427),0)&gt;0,"광고·행사",IF(IFERROR(SEARCH("용역",E427),0)&gt;0,"용역·수수료","기타/불명"))))))</x:f>
      </x:c>
      <x:c r="J427" s="77" t="str">
        <x:f>IF(A427="","",IF(I427="기타/불명","확인 필요","결의서명으로 1차 확인"))</x:f>
      </x:c>
      <x:c r="K427" s="78"/>
    </x:row>
    <x:row r="428">
      <x:c r="A428" s="73"/>
      <x:c r="B428" s="73"/>
      <x:c r="C428" s="74"/>
      <x:c r="D428" s="73"/>
      <x:c r="E428" s="73"/>
      <x:c r="F428" s="75"/>
      <x:c r="G428" s="75"/>
      <x:c r="H428" s="76" t="str">
        <x:f>IF(A428="","",F428-G428)</x:f>
      </x:c>
      <x:c r="I428" s="77" t="str">
        <x:f>IF(A428="","",IF(E428="","기타/불명",IF(IFERROR(SEARCH("급여",E428),0)&gt;0,"인건비",IF(IFERROR(SEARCH("임차",E428),0)&gt;0,"임차·시설",IF(IFERROR(SEARCH("광고",E428),0)&gt;0,"광고·행사",IF(IFERROR(SEARCH("용역",E428),0)&gt;0,"용역·수수료","기타/불명"))))))</x:f>
      </x:c>
      <x:c r="J428" s="77" t="str">
        <x:f>IF(A428="","",IF(I428="기타/불명","확인 필요","결의서명으로 1차 확인"))</x:f>
      </x:c>
      <x:c r="K428" s="78"/>
    </x:row>
    <x:row r="429">
      <x:c r="A429" s="73"/>
      <x:c r="B429" s="73"/>
      <x:c r="C429" s="74"/>
      <x:c r="D429" s="73"/>
      <x:c r="E429" s="73"/>
      <x:c r="F429" s="75"/>
      <x:c r="G429" s="75"/>
      <x:c r="H429" s="76" t="str">
        <x:f>IF(A429="","",F429-G429)</x:f>
      </x:c>
      <x:c r="I429" s="77" t="str">
        <x:f>IF(A429="","",IF(E429="","기타/불명",IF(IFERROR(SEARCH("급여",E429),0)&gt;0,"인건비",IF(IFERROR(SEARCH("임차",E429),0)&gt;0,"임차·시설",IF(IFERROR(SEARCH("광고",E429),0)&gt;0,"광고·행사",IF(IFERROR(SEARCH("용역",E429),0)&gt;0,"용역·수수료","기타/불명"))))))</x:f>
      </x:c>
      <x:c r="J429" s="77" t="str">
        <x:f>IF(A429="","",IF(I429="기타/불명","확인 필요","결의서명으로 1차 확인"))</x:f>
      </x:c>
      <x:c r="K429" s="78"/>
    </x:row>
    <x:row r="430">
      <x:c r="A430" s="73"/>
      <x:c r="B430" s="73"/>
      <x:c r="C430" s="74"/>
      <x:c r="D430" s="73"/>
      <x:c r="E430" s="73"/>
      <x:c r="F430" s="75"/>
      <x:c r="G430" s="75"/>
      <x:c r="H430" s="76" t="str">
        <x:f>IF(A430="","",F430-G430)</x:f>
      </x:c>
      <x:c r="I430" s="77" t="str">
        <x:f>IF(A430="","",IF(E430="","기타/불명",IF(IFERROR(SEARCH("급여",E430),0)&gt;0,"인건비",IF(IFERROR(SEARCH("임차",E430),0)&gt;0,"임차·시설",IF(IFERROR(SEARCH("광고",E430),0)&gt;0,"광고·행사",IF(IFERROR(SEARCH("용역",E430),0)&gt;0,"용역·수수료","기타/불명"))))))</x:f>
      </x:c>
      <x:c r="J430" s="77" t="str">
        <x:f>IF(A430="","",IF(I430="기타/불명","확인 필요","결의서명으로 1차 확인"))</x:f>
      </x:c>
      <x:c r="K430" s="78"/>
    </x:row>
    <x:row r="431">
      <x:c r="A431" s="73"/>
      <x:c r="B431" s="73"/>
      <x:c r="C431" s="74"/>
      <x:c r="D431" s="73"/>
      <x:c r="E431" s="73"/>
      <x:c r="F431" s="75"/>
      <x:c r="G431" s="75"/>
      <x:c r="H431" s="76" t="str">
        <x:f>IF(A431="","",F431-G431)</x:f>
      </x:c>
      <x:c r="I431" s="77" t="str">
        <x:f>IF(A431="","",IF(E431="","기타/불명",IF(IFERROR(SEARCH("급여",E431),0)&gt;0,"인건비",IF(IFERROR(SEARCH("임차",E431),0)&gt;0,"임차·시설",IF(IFERROR(SEARCH("광고",E431),0)&gt;0,"광고·행사",IF(IFERROR(SEARCH("용역",E431),0)&gt;0,"용역·수수료","기타/불명"))))))</x:f>
      </x:c>
      <x:c r="J431" s="77" t="str">
        <x:f>IF(A431="","",IF(I431="기타/불명","확인 필요","결의서명으로 1차 확인"))</x:f>
      </x:c>
      <x:c r="K431" s="78"/>
    </x:row>
    <x:row r="432">
      <x:c r="A432" s="73"/>
      <x:c r="B432" s="73"/>
      <x:c r="C432" s="74"/>
      <x:c r="D432" s="73"/>
      <x:c r="E432" s="73"/>
      <x:c r="F432" s="75"/>
      <x:c r="G432" s="75"/>
      <x:c r="H432" s="76" t="str">
        <x:f>IF(A432="","",F432-G432)</x:f>
      </x:c>
      <x:c r="I432" s="77" t="str">
        <x:f>IF(A432="","",IF(E432="","기타/불명",IF(IFERROR(SEARCH("급여",E432),0)&gt;0,"인건비",IF(IFERROR(SEARCH("임차",E432),0)&gt;0,"임차·시설",IF(IFERROR(SEARCH("광고",E432),0)&gt;0,"광고·행사",IF(IFERROR(SEARCH("용역",E432),0)&gt;0,"용역·수수료","기타/불명"))))))</x:f>
      </x:c>
      <x:c r="J432" s="77" t="str">
        <x:f>IF(A432="","",IF(I432="기타/불명","확인 필요","결의서명으로 1차 확인"))</x:f>
      </x:c>
      <x:c r="K432" s="78"/>
    </x:row>
    <x:row r="433">
      <x:c r="A433" s="73"/>
      <x:c r="B433" s="73"/>
      <x:c r="C433" s="74"/>
      <x:c r="D433" s="73"/>
      <x:c r="E433" s="73"/>
      <x:c r="F433" s="75"/>
      <x:c r="G433" s="75"/>
      <x:c r="H433" s="76" t="str">
        <x:f>IF(A433="","",F433-G433)</x:f>
      </x:c>
      <x:c r="I433" s="77" t="str">
        <x:f>IF(A433="","",IF(E433="","기타/불명",IF(IFERROR(SEARCH("급여",E433),0)&gt;0,"인건비",IF(IFERROR(SEARCH("임차",E433),0)&gt;0,"임차·시설",IF(IFERROR(SEARCH("광고",E433),0)&gt;0,"광고·행사",IF(IFERROR(SEARCH("용역",E433),0)&gt;0,"용역·수수료","기타/불명"))))))</x:f>
      </x:c>
      <x:c r="J433" s="77" t="str">
        <x:f>IF(A433="","",IF(I433="기타/불명","확인 필요","결의서명으로 1차 확인"))</x:f>
      </x:c>
      <x:c r="K433" s="78"/>
    </x:row>
    <x:row r="434">
      <x:c r="A434" s="73"/>
      <x:c r="B434" s="73"/>
      <x:c r="C434" s="74"/>
      <x:c r="D434" s="73"/>
      <x:c r="E434" s="73"/>
      <x:c r="F434" s="75"/>
      <x:c r="G434" s="75"/>
      <x:c r="H434" s="76" t="str">
        <x:f>IF(A434="","",F434-G434)</x:f>
      </x:c>
      <x:c r="I434" s="77" t="str">
        <x:f>IF(A434="","",IF(E434="","기타/불명",IF(IFERROR(SEARCH("급여",E434),0)&gt;0,"인건비",IF(IFERROR(SEARCH("임차",E434),0)&gt;0,"임차·시설",IF(IFERROR(SEARCH("광고",E434),0)&gt;0,"광고·행사",IF(IFERROR(SEARCH("용역",E434),0)&gt;0,"용역·수수료","기타/불명"))))))</x:f>
      </x:c>
      <x:c r="J434" s="77" t="str">
        <x:f>IF(A434="","",IF(I434="기타/불명","확인 필요","결의서명으로 1차 확인"))</x:f>
      </x:c>
      <x:c r="K434" s="78"/>
    </x:row>
    <x:row r="435">
      <x:c r="A435" s="73"/>
      <x:c r="B435" s="73"/>
      <x:c r="C435" s="74"/>
      <x:c r="D435" s="73"/>
      <x:c r="E435" s="73"/>
      <x:c r="F435" s="75"/>
      <x:c r="G435" s="75"/>
      <x:c r="H435" s="76" t="str">
        <x:f>IF(A435="","",F435-G435)</x:f>
      </x:c>
      <x:c r="I435" s="77" t="str">
        <x:f>IF(A435="","",IF(E435="","기타/불명",IF(IFERROR(SEARCH("급여",E435),0)&gt;0,"인건비",IF(IFERROR(SEARCH("임차",E435),0)&gt;0,"임차·시설",IF(IFERROR(SEARCH("광고",E435),0)&gt;0,"광고·행사",IF(IFERROR(SEARCH("용역",E435),0)&gt;0,"용역·수수료","기타/불명"))))))</x:f>
      </x:c>
      <x:c r="J435" s="77" t="str">
        <x:f>IF(A435="","",IF(I435="기타/불명","확인 필요","결의서명으로 1차 확인"))</x:f>
      </x:c>
      <x:c r="K435" s="78"/>
    </x:row>
    <x:row r="436">
      <x:c r="A436" s="73"/>
      <x:c r="B436" s="73"/>
      <x:c r="C436" s="74"/>
      <x:c r="D436" s="73"/>
      <x:c r="E436" s="73"/>
      <x:c r="F436" s="75"/>
      <x:c r="G436" s="75"/>
      <x:c r="H436" s="76" t="str">
        <x:f>IF(A436="","",F436-G436)</x:f>
      </x:c>
      <x:c r="I436" s="77" t="str">
        <x:f>IF(A436="","",IF(E436="","기타/불명",IF(IFERROR(SEARCH("급여",E436),0)&gt;0,"인건비",IF(IFERROR(SEARCH("임차",E436),0)&gt;0,"임차·시설",IF(IFERROR(SEARCH("광고",E436),0)&gt;0,"광고·행사",IF(IFERROR(SEARCH("용역",E436),0)&gt;0,"용역·수수료","기타/불명"))))))</x:f>
      </x:c>
      <x:c r="J436" s="77" t="str">
        <x:f>IF(A436="","",IF(I436="기타/불명","확인 필요","결의서명으로 1차 확인"))</x:f>
      </x:c>
      <x:c r="K436" s="78"/>
    </x:row>
    <x:row r="437">
      <x:c r="A437" s="73"/>
      <x:c r="B437" s="73"/>
      <x:c r="C437" s="74"/>
      <x:c r="D437" s="73"/>
      <x:c r="E437" s="73"/>
      <x:c r="F437" s="75"/>
      <x:c r="G437" s="75"/>
      <x:c r="H437" s="76" t="str">
        <x:f>IF(A437="","",F437-G437)</x:f>
      </x:c>
      <x:c r="I437" s="77" t="str">
        <x:f>IF(A437="","",IF(E437="","기타/불명",IF(IFERROR(SEARCH("급여",E437),0)&gt;0,"인건비",IF(IFERROR(SEARCH("임차",E437),0)&gt;0,"임차·시설",IF(IFERROR(SEARCH("광고",E437),0)&gt;0,"광고·행사",IF(IFERROR(SEARCH("용역",E437),0)&gt;0,"용역·수수료","기타/불명"))))))</x:f>
      </x:c>
      <x:c r="J437" s="77" t="str">
        <x:f>IF(A437="","",IF(I437="기타/불명","확인 필요","결의서명으로 1차 확인"))</x:f>
      </x:c>
      <x:c r="K437" s="78"/>
    </x:row>
    <x:row r="438">
      <x:c r="A438" s="73"/>
      <x:c r="B438" s="73"/>
      <x:c r="C438" s="74"/>
      <x:c r="D438" s="73"/>
      <x:c r="E438" s="73"/>
      <x:c r="F438" s="75"/>
      <x:c r="G438" s="75"/>
      <x:c r="H438" s="76" t="str">
        <x:f>IF(A438="","",F438-G438)</x:f>
      </x:c>
      <x:c r="I438" s="77" t="str">
        <x:f>IF(A438="","",IF(E438="","기타/불명",IF(IFERROR(SEARCH("급여",E438),0)&gt;0,"인건비",IF(IFERROR(SEARCH("임차",E438),0)&gt;0,"임차·시설",IF(IFERROR(SEARCH("광고",E438),0)&gt;0,"광고·행사",IF(IFERROR(SEARCH("용역",E438),0)&gt;0,"용역·수수료","기타/불명"))))))</x:f>
      </x:c>
      <x:c r="J438" s="77" t="str">
        <x:f>IF(A438="","",IF(I438="기타/불명","확인 필요","결의서명으로 1차 확인"))</x:f>
      </x:c>
      <x:c r="K438" s="78"/>
    </x:row>
    <x:row r="439">
      <x:c r="A439" s="73"/>
      <x:c r="B439" s="73"/>
      <x:c r="C439" s="74"/>
      <x:c r="D439" s="73"/>
      <x:c r="E439" s="73"/>
      <x:c r="F439" s="75"/>
      <x:c r="G439" s="75"/>
      <x:c r="H439" s="76" t="str">
        <x:f>IF(A439="","",F439-G439)</x:f>
      </x:c>
      <x:c r="I439" s="77" t="str">
        <x:f>IF(A439="","",IF(E439="","기타/불명",IF(IFERROR(SEARCH("급여",E439),0)&gt;0,"인건비",IF(IFERROR(SEARCH("임차",E439),0)&gt;0,"임차·시설",IF(IFERROR(SEARCH("광고",E439),0)&gt;0,"광고·행사",IF(IFERROR(SEARCH("용역",E439),0)&gt;0,"용역·수수료","기타/불명"))))))</x:f>
      </x:c>
      <x:c r="J439" s="77" t="str">
        <x:f>IF(A439="","",IF(I439="기타/불명","확인 필요","결의서명으로 1차 확인"))</x:f>
      </x:c>
      <x:c r="K439" s="78"/>
    </x:row>
    <x:row r="440">
      <x:c r="A440" s="73"/>
      <x:c r="B440" s="73"/>
      <x:c r="C440" s="74"/>
      <x:c r="D440" s="73"/>
      <x:c r="E440" s="73"/>
      <x:c r="F440" s="75"/>
      <x:c r="G440" s="75"/>
      <x:c r="H440" s="76" t="str">
        <x:f>IF(A440="","",F440-G440)</x:f>
      </x:c>
      <x:c r="I440" s="77" t="str">
        <x:f>IF(A440="","",IF(E440="","기타/불명",IF(IFERROR(SEARCH("급여",E440),0)&gt;0,"인건비",IF(IFERROR(SEARCH("임차",E440),0)&gt;0,"임차·시설",IF(IFERROR(SEARCH("광고",E440),0)&gt;0,"광고·행사",IF(IFERROR(SEARCH("용역",E440),0)&gt;0,"용역·수수료","기타/불명"))))))</x:f>
      </x:c>
      <x:c r="J440" s="77" t="str">
        <x:f>IF(A440="","",IF(I440="기타/불명","확인 필요","결의서명으로 1차 확인"))</x:f>
      </x:c>
      <x:c r="K440" s="78"/>
    </x:row>
    <x:row r="441">
      <x:c r="A441" s="73"/>
      <x:c r="B441" s="73"/>
      <x:c r="C441" s="74"/>
      <x:c r="D441" s="73"/>
      <x:c r="E441" s="73"/>
      <x:c r="F441" s="75"/>
      <x:c r="G441" s="75"/>
      <x:c r="H441" s="76" t="str">
        <x:f>IF(A441="","",F441-G441)</x:f>
      </x:c>
      <x:c r="I441" s="77" t="str">
        <x:f>IF(A441="","",IF(E441="","기타/불명",IF(IFERROR(SEARCH("급여",E441),0)&gt;0,"인건비",IF(IFERROR(SEARCH("임차",E441),0)&gt;0,"임차·시설",IF(IFERROR(SEARCH("광고",E441),0)&gt;0,"광고·행사",IF(IFERROR(SEARCH("용역",E441),0)&gt;0,"용역·수수료","기타/불명"))))))</x:f>
      </x:c>
      <x:c r="J441" s="77" t="str">
        <x:f>IF(A441="","",IF(I441="기타/불명","확인 필요","결의서명으로 1차 확인"))</x:f>
      </x:c>
      <x:c r="K441" s="78"/>
    </x:row>
    <x:row r="442">
      <x:c r="A442" s="73"/>
      <x:c r="B442" s="73"/>
      <x:c r="C442" s="74"/>
      <x:c r="D442" s="73"/>
      <x:c r="E442" s="73"/>
      <x:c r="F442" s="75"/>
      <x:c r="G442" s="75"/>
      <x:c r="H442" s="76" t="str">
        <x:f>IF(A442="","",F442-G442)</x:f>
      </x:c>
      <x:c r="I442" s="77" t="str">
        <x:f>IF(A442="","",IF(E442="","기타/불명",IF(IFERROR(SEARCH("급여",E442),0)&gt;0,"인건비",IF(IFERROR(SEARCH("임차",E442),0)&gt;0,"임차·시설",IF(IFERROR(SEARCH("광고",E442),0)&gt;0,"광고·행사",IF(IFERROR(SEARCH("용역",E442),0)&gt;0,"용역·수수료","기타/불명"))))))</x:f>
      </x:c>
      <x:c r="J442" s="77" t="str">
        <x:f>IF(A442="","",IF(I442="기타/불명","확인 필요","결의서명으로 1차 확인"))</x:f>
      </x:c>
      <x:c r="K442" s="78"/>
    </x:row>
    <x:row r="443">
      <x:c r="A443" s="73"/>
      <x:c r="B443" s="73"/>
      <x:c r="C443" s="74"/>
      <x:c r="D443" s="73"/>
      <x:c r="E443" s="73"/>
      <x:c r="F443" s="75"/>
      <x:c r="G443" s="75"/>
      <x:c r="H443" s="76" t="str">
        <x:f>IF(A443="","",F443-G443)</x:f>
      </x:c>
      <x:c r="I443" s="77" t="str">
        <x:f>IF(A443="","",IF(E443="","기타/불명",IF(IFERROR(SEARCH("급여",E443),0)&gt;0,"인건비",IF(IFERROR(SEARCH("임차",E443),0)&gt;0,"임차·시설",IF(IFERROR(SEARCH("광고",E443),0)&gt;0,"광고·행사",IF(IFERROR(SEARCH("용역",E443),0)&gt;0,"용역·수수료","기타/불명"))))))</x:f>
      </x:c>
      <x:c r="J443" s="77" t="str">
        <x:f>IF(A443="","",IF(I443="기타/불명","확인 필요","결의서명으로 1차 확인"))</x:f>
      </x:c>
      <x:c r="K443" s="78"/>
    </x:row>
    <x:row r="444">
      <x:c r="A444" s="73"/>
      <x:c r="B444" s="73"/>
      <x:c r="C444" s="74"/>
      <x:c r="D444" s="73"/>
      <x:c r="E444" s="73"/>
      <x:c r="F444" s="75"/>
      <x:c r="G444" s="75"/>
      <x:c r="H444" s="76" t="str">
        <x:f>IF(A444="","",F444-G444)</x:f>
      </x:c>
      <x:c r="I444" s="77" t="str">
        <x:f>IF(A444="","",IF(E444="","기타/불명",IF(IFERROR(SEARCH("급여",E444),0)&gt;0,"인건비",IF(IFERROR(SEARCH("임차",E444),0)&gt;0,"임차·시설",IF(IFERROR(SEARCH("광고",E444),0)&gt;0,"광고·행사",IF(IFERROR(SEARCH("용역",E444),0)&gt;0,"용역·수수료","기타/불명"))))))</x:f>
      </x:c>
      <x:c r="J444" s="77" t="str">
        <x:f>IF(A444="","",IF(I444="기타/불명","확인 필요","결의서명으로 1차 확인"))</x:f>
      </x:c>
      <x:c r="K444" s="78"/>
    </x:row>
    <x:row r="445">
      <x:c r="A445" s="73"/>
      <x:c r="B445" s="73"/>
      <x:c r="C445" s="74"/>
      <x:c r="D445" s="73"/>
      <x:c r="E445" s="73"/>
      <x:c r="F445" s="75"/>
      <x:c r="G445" s="75"/>
      <x:c r="H445" s="76" t="str">
        <x:f>IF(A445="","",F445-G445)</x:f>
      </x:c>
      <x:c r="I445" s="77" t="str">
        <x:f>IF(A445="","",IF(E445="","기타/불명",IF(IFERROR(SEARCH("급여",E445),0)&gt;0,"인건비",IF(IFERROR(SEARCH("임차",E445),0)&gt;0,"임차·시설",IF(IFERROR(SEARCH("광고",E445),0)&gt;0,"광고·행사",IF(IFERROR(SEARCH("용역",E445),0)&gt;0,"용역·수수료","기타/불명"))))))</x:f>
      </x:c>
      <x:c r="J445" s="77" t="str">
        <x:f>IF(A445="","",IF(I445="기타/불명","확인 필요","결의서명으로 1차 확인"))</x:f>
      </x:c>
      <x:c r="K445" s="78"/>
    </x:row>
    <x:row r="446">
      <x:c r="A446" s="73"/>
      <x:c r="B446" s="73"/>
      <x:c r="C446" s="74"/>
      <x:c r="D446" s="73"/>
      <x:c r="E446" s="73"/>
      <x:c r="F446" s="75"/>
      <x:c r="G446" s="75"/>
      <x:c r="H446" s="76" t="str">
        <x:f>IF(A446="","",F446-G446)</x:f>
      </x:c>
      <x:c r="I446" s="77" t="str">
        <x:f>IF(A446="","",IF(E446="","기타/불명",IF(IFERROR(SEARCH("급여",E446),0)&gt;0,"인건비",IF(IFERROR(SEARCH("임차",E446),0)&gt;0,"임차·시설",IF(IFERROR(SEARCH("광고",E446),0)&gt;0,"광고·행사",IF(IFERROR(SEARCH("용역",E446),0)&gt;0,"용역·수수료","기타/불명"))))))</x:f>
      </x:c>
      <x:c r="J446" s="77" t="str">
        <x:f>IF(A446="","",IF(I446="기타/불명","확인 필요","결의서명으로 1차 확인"))</x:f>
      </x:c>
      <x:c r="K446" s="78"/>
    </x:row>
    <x:row r="447">
      <x:c r="A447" s="73"/>
      <x:c r="B447" s="73"/>
      <x:c r="C447" s="74"/>
      <x:c r="D447" s="73"/>
      <x:c r="E447" s="73"/>
      <x:c r="F447" s="75"/>
      <x:c r="G447" s="75"/>
      <x:c r="H447" s="76" t="str">
        <x:f>IF(A447="","",F447-G447)</x:f>
      </x:c>
      <x:c r="I447" s="77" t="str">
        <x:f>IF(A447="","",IF(E447="","기타/불명",IF(IFERROR(SEARCH("급여",E447),0)&gt;0,"인건비",IF(IFERROR(SEARCH("임차",E447),0)&gt;0,"임차·시설",IF(IFERROR(SEARCH("광고",E447),0)&gt;0,"광고·행사",IF(IFERROR(SEARCH("용역",E447),0)&gt;0,"용역·수수료","기타/불명"))))))</x:f>
      </x:c>
      <x:c r="J447" s="77" t="str">
        <x:f>IF(A447="","",IF(I447="기타/불명","확인 필요","결의서명으로 1차 확인"))</x:f>
      </x:c>
      <x:c r="K447" s="78"/>
    </x:row>
    <x:row r="448">
      <x:c r="A448" s="73"/>
      <x:c r="B448" s="73"/>
      <x:c r="C448" s="74"/>
      <x:c r="D448" s="73"/>
      <x:c r="E448" s="73"/>
      <x:c r="F448" s="75"/>
      <x:c r="G448" s="75"/>
      <x:c r="H448" s="76" t="str">
        <x:f>IF(A448="","",F448-G448)</x:f>
      </x:c>
      <x:c r="I448" s="77" t="str">
        <x:f>IF(A448="","",IF(E448="","기타/불명",IF(IFERROR(SEARCH("급여",E448),0)&gt;0,"인건비",IF(IFERROR(SEARCH("임차",E448),0)&gt;0,"임차·시설",IF(IFERROR(SEARCH("광고",E448),0)&gt;0,"광고·행사",IF(IFERROR(SEARCH("용역",E448),0)&gt;0,"용역·수수료","기타/불명"))))))</x:f>
      </x:c>
      <x:c r="J448" s="77" t="str">
        <x:f>IF(A448="","",IF(I448="기타/불명","확인 필요","결의서명으로 1차 확인"))</x:f>
      </x:c>
      <x:c r="K448" s="78"/>
    </x:row>
    <x:row r="449">
      <x:c r="A449" s="73"/>
      <x:c r="B449" s="73"/>
      <x:c r="C449" s="74"/>
      <x:c r="D449" s="73"/>
      <x:c r="E449" s="73"/>
      <x:c r="F449" s="75"/>
      <x:c r="G449" s="75"/>
      <x:c r="H449" s="76" t="str">
        <x:f>IF(A449="","",F449-G449)</x:f>
      </x:c>
      <x:c r="I449" s="77" t="str">
        <x:f>IF(A449="","",IF(E449="","기타/불명",IF(IFERROR(SEARCH("급여",E449),0)&gt;0,"인건비",IF(IFERROR(SEARCH("임차",E449),0)&gt;0,"임차·시설",IF(IFERROR(SEARCH("광고",E449),0)&gt;0,"광고·행사",IF(IFERROR(SEARCH("용역",E449),0)&gt;0,"용역·수수료","기타/불명"))))))</x:f>
      </x:c>
      <x:c r="J449" s="77" t="str">
        <x:f>IF(A449="","",IF(I449="기타/불명","확인 필요","결의서명으로 1차 확인"))</x:f>
      </x:c>
      <x:c r="K449" s="78"/>
    </x:row>
    <x:row r="450">
      <x:c r="A450" s="73"/>
      <x:c r="B450" s="73"/>
      <x:c r="C450" s="74"/>
      <x:c r="D450" s="73"/>
      <x:c r="E450" s="73"/>
      <x:c r="F450" s="75"/>
      <x:c r="G450" s="75"/>
      <x:c r="H450" s="76" t="str">
        <x:f>IF(A450="","",F450-G450)</x:f>
      </x:c>
      <x:c r="I450" s="77" t="str">
        <x:f>IF(A450="","",IF(E450="","기타/불명",IF(IFERROR(SEARCH("급여",E450),0)&gt;0,"인건비",IF(IFERROR(SEARCH("임차",E450),0)&gt;0,"임차·시설",IF(IFERROR(SEARCH("광고",E450),0)&gt;0,"광고·행사",IF(IFERROR(SEARCH("용역",E450),0)&gt;0,"용역·수수료","기타/불명"))))))</x:f>
      </x:c>
      <x:c r="J450" s="77" t="str">
        <x:f>IF(A450="","",IF(I450="기타/불명","확인 필요","결의서명으로 1차 확인"))</x:f>
      </x:c>
      <x:c r="K450" s="78"/>
    </x:row>
    <x:row r="451">
      <x:c r="A451" s="73"/>
      <x:c r="B451" s="73"/>
      <x:c r="C451" s="74"/>
      <x:c r="D451" s="73"/>
      <x:c r="E451" s="73"/>
      <x:c r="F451" s="75"/>
      <x:c r="G451" s="75"/>
      <x:c r="H451" s="76" t="str">
        <x:f>IF(A451="","",F451-G451)</x:f>
      </x:c>
      <x:c r="I451" s="77" t="str">
        <x:f>IF(A451="","",IF(E451="","기타/불명",IF(IFERROR(SEARCH("급여",E451),0)&gt;0,"인건비",IF(IFERROR(SEARCH("임차",E451),0)&gt;0,"임차·시설",IF(IFERROR(SEARCH("광고",E451),0)&gt;0,"광고·행사",IF(IFERROR(SEARCH("용역",E451),0)&gt;0,"용역·수수료","기타/불명"))))))</x:f>
      </x:c>
      <x:c r="J451" s="77" t="str">
        <x:f>IF(A451="","",IF(I451="기타/불명","확인 필요","결의서명으로 1차 확인"))</x:f>
      </x:c>
      <x:c r="K451" s="78"/>
    </x:row>
    <x:row r="452">
      <x:c r="A452" s="73"/>
      <x:c r="B452" s="73"/>
      <x:c r="C452" s="74"/>
      <x:c r="D452" s="73"/>
      <x:c r="E452" s="73"/>
      <x:c r="F452" s="75"/>
      <x:c r="G452" s="75"/>
      <x:c r="H452" s="76" t="str">
        <x:f>IF(A452="","",F452-G452)</x:f>
      </x:c>
      <x:c r="I452" s="77" t="str">
        <x:f>IF(A452="","",IF(E452="","기타/불명",IF(IFERROR(SEARCH("급여",E452),0)&gt;0,"인건비",IF(IFERROR(SEARCH("임차",E452),0)&gt;0,"임차·시설",IF(IFERROR(SEARCH("광고",E452),0)&gt;0,"광고·행사",IF(IFERROR(SEARCH("용역",E452),0)&gt;0,"용역·수수료","기타/불명"))))))</x:f>
      </x:c>
      <x:c r="J452" s="77" t="str">
        <x:f>IF(A452="","",IF(I452="기타/불명","확인 필요","결의서명으로 1차 확인"))</x:f>
      </x:c>
      <x:c r="K452" s="78"/>
    </x:row>
    <x:row r="453">
      <x:c r="A453" s="73"/>
      <x:c r="B453" s="73"/>
      <x:c r="C453" s="74"/>
      <x:c r="D453" s="73"/>
      <x:c r="E453" s="73"/>
      <x:c r="F453" s="75"/>
      <x:c r="G453" s="75"/>
      <x:c r="H453" s="76" t="str">
        <x:f>IF(A453="","",F453-G453)</x:f>
      </x:c>
      <x:c r="I453" s="77" t="str">
        <x:f>IF(A453="","",IF(E453="","기타/불명",IF(IFERROR(SEARCH("급여",E453),0)&gt;0,"인건비",IF(IFERROR(SEARCH("임차",E453),0)&gt;0,"임차·시설",IF(IFERROR(SEARCH("광고",E453),0)&gt;0,"광고·행사",IF(IFERROR(SEARCH("용역",E453),0)&gt;0,"용역·수수료","기타/불명"))))))</x:f>
      </x:c>
      <x:c r="J453" s="77" t="str">
        <x:f>IF(A453="","",IF(I453="기타/불명","확인 필요","결의서명으로 1차 확인"))</x:f>
      </x:c>
      <x:c r="K453" s="78"/>
    </x:row>
    <x:row r="454">
      <x:c r="A454" s="73"/>
      <x:c r="B454" s="73"/>
      <x:c r="C454" s="74"/>
      <x:c r="D454" s="73"/>
      <x:c r="E454" s="73"/>
      <x:c r="F454" s="75"/>
      <x:c r="G454" s="75"/>
      <x:c r="H454" s="76" t="str">
        <x:f>IF(A454="","",F454-G454)</x:f>
      </x:c>
      <x:c r="I454" s="77" t="str">
        <x:f>IF(A454="","",IF(E454="","기타/불명",IF(IFERROR(SEARCH("급여",E454),0)&gt;0,"인건비",IF(IFERROR(SEARCH("임차",E454),0)&gt;0,"임차·시설",IF(IFERROR(SEARCH("광고",E454),0)&gt;0,"광고·행사",IF(IFERROR(SEARCH("용역",E454),0)&gt;0,"용역·수수료","기타/불명"))))))</x:f>
      </x:c>
      <x:c r="J454" s="77" t="str">
        <x:f>IF(A454="","",IF(I454="기타/불명","확인 필요","결의서명으로 1차 확인"))</x:f>
      </x:c>
      <x:c r="K454" s="78"/>
    </x:row>
    <x:row r="455">
      <x:c r="A455" s="73"/>
      <x:c r="B455" s="73"/>
      <x:c r="C455" s="74"/>
      <x:c r="D455" s="73"/>
      <x:c r="E455" s="73"/>
      <x:c r="F455" s="75"/>
      <x:c r="G455" s="75"/>
      <x:c r="H455" s="76" t="str">
        <x:f>IF(A455="","",F455-G455)</x:f>
      </x:c>
      <x:c r="I455" s="77" t="str">
        <x:f>IF(A455="","",IF(E455="","기타/불명",IF(IFERROR(SEARCH("급여",E455),0)&gt;0,"인건비",IF(IFERROR(SEARCH("임차",E455),0)&gt;0,"임차·시설",IF(IFERROR(SEARCH("광고",E455),0)&gt;0,"광고·행사",IF(IFERROR(SEARCH("용역",E455),0)&gt;0,"용역·수수료","기타/불명"))))))</x:f>
      </x:c>
      <x:c r="J455" s="77" t="str">
        <x:f>IF(A455="","",IF(I455="기타/불명","확인 필요","결의서명으로 1차 확인"))</x:f>
      </x:c>
      <x:c r="K455" s="78"/>
    </x:row>
    <x:row r="456">
      <x:c r="A456" s="73"/>
      <x:c r="B456" s="73"/>
      <x:c r="C456" s="74"/>
      <x:c r="D456" s="73"/>
      <x:c r="E456" s="73"/>
      <x:c r="F456" s="75"/>
      <x:c r="G456" s="75"/>
      <x:c r="H456" s="76" t="str">
        <x:f>IF(A456="","",F456-G456)</x:f>
      </x:c>
      <x:c r="I456" s="77" t="str">
        <x:f>IF(A456="","",IF(E456="","기타/불명",IF(IFERROR(SEARCH("급여",E456),0)&gt;0,"인건비",IF(IFERROR(SEARCH("임차",E456),0)&gt;0,"임차·시설",IF(IFERROR(SEARCH("광고",E456),0)&gt;0,"광고·행사",IF(IFERROR(SEARCH("용역",E456),0)&gt;0,"용역·수수료","기타/불명"))))))</x:f>
      </x:c>
      <x:c r="J456" s="77" t="str">
        <x:f>IF(A456="","",IF(I456="기타/불명","확인 필요","결의서명으로 1차 확인"))</x:f>
      </x:c>
      <x:c r="K456" s="78"/>
    </x:row>
    <x:row r="457">
      <x:c r="A457" s="73"/>
      <x:c r="B457" s="73"/>
      <x:c r="C457" s="74"/>
      <x:c r="D457" s="73"/>
      <x:c r="E457" s="73"/>
      <x:c r="F457" s="75"/>
      <x:c r="G457" s="75"/>
      <x:c r="H457" s="76" t="str">
        <x:f>IF(A457="","",F457-G457)</x:f>
      </x:c>
      <x:c r="I457" s="77" t="str">
        <x:f>IF(A457="","",IF(E457="","기타/불명",IF(IFERROR(SEARCH("급여",E457),0)&gt;0,"인건비",IF(IFERROR(SEARCH("임차",E457),0)&gt;0,"임차·시설",IF(IFERROR(SEARCH("광고",E457),0)&gt;0,"광고·행사",IF(IFERROR(SEARCH("용역",E457),0)&gt;0,"용역·수수료","기타/불명"))))))</x:f>
      </x:c>
      <x:c r="J457" s="77" t="str">
        <x:f>IF(A457="","",IF(I457="기타/불명","확인 필요","결의서명으로 1차 확인"))</x:f>
      </x:c>
      <x:c r="K457" s="78"/>
    </x:row>
    <x:row r="458">
      <x:c r="A458" s="73"/>
      <x:c r="B458" s="73"/>
      <x:c r="C458" s="74"/>
      <x:c r="D458" s="73"/>
      <x:c r="E458" s="73"/>
      <x:c r="F458" s="75"/>
      <x:c r="G458" s="75"/>
      <x:c r="H458" s="76" t="str">
        <x:f>IF(A458="","",F458-G458)</x:f>
      </x:c>
      <x:c r="I458" s="77" t="str">
        <x:f>IF(A458="","",IF(E458="","기타/불명",IF(IFERROR(SEARCH("급여",E458),0)&gt;0,"인건비",IF(IFERROR(SEARCH("임차",E458),0)&gt;0,"임차·시설",IF(IFERROR(SEARCH("광고",E458),0)&gt;0,"광고·행사",IF(IFERROR(SEARCH("용역",E458),0)&gt;0,"용역·수수료","기타/불명"))))))</x:f>
      </x:c>
      <x:c r="J458" s="77" t="str">
        <x:f>IF(A458="","",IF(I458="기타/불명","확인 필요","결의서명으로 1차 확인"))</x:f>
      </x:c>
      <x:c r="K458" s="78"/>
    </x:row>
    <x:row r="459">
      <x:c r="A459" s="73"/>
      <x:c r="B459" s="73"/>
      <x:c r="C459" s="74"/>
      <x:c r="D459" s="73"/>
      <x:c r="E459" s="73"/>
      <x:c r="F459" s="75"/>
      <x:c r="G459" s="75"/>
      <x:c r="H459" s="76" t="str">
        <x:f>IF(A459="","",F459-G459)</x:f>
      </x:c>
      <x:c r="I459" s="77" t="str">
        <x:f>IF(A459="","",IF(E459="","기타/불명",IF(IFERROR(SEARCH("급여",E459),0)&gt;0,"인건비",IF(IFERROR(SEARCH("임차",E459),0)&gt;0,"임차·시설",IF(IFERROR(SEARCH("광고",E459),0)&gt;0,"광고·행사",IF(IFERROR(SEARCH("용역",E459),0)&gt;0,"용역·수수료","기타/불명"))))))</x:f>
      </x:c>
      <x:c r="J459" s="77" t="str">
        <x:f>IF(A459="","",IF(I459="기타/불명","확인 필요","결의서명으로 1차 확인"))</x:f>
      </x:c>
      <x:c r="K459" s="78"/>
    </x:row>
    <x:row r="460">
      <x:c r="A460" s="73"/>
      <x:c r="B460" s="73"/>
      <x:c r="C460" s="74"/>
      <x:c r="D460" s="73"/>
      <x:c r="E460" s="73"/>
      <x:c r="F460" s="75"/>
      <x:c r="G460" s="75"/>
      <x:c r="H460" s="76" t="str">
        <x:f>IF(A460="","",F460-G460)</x:f>
      </x:c>
      <x:c r="I460" s="77" t="str">
        <x:f>IF(A460="","",IF(E460="","기타/불명",IF(IFERROR(SEARCH("급여",E460),0)&gt;0,"인건비",IF(IFERROR(SEARCH("임차",E460),0)&gt;0,"임차·시설",IF(IFERROR(SEARCH("광고",E460),0)&gt;0,"광고·행사",IF(IFERROR(SEARCH("용역",E460),0)&gt;0,"용역·수수료","기타/불명"))))))</x:f>
      </x:c>
      <x:c r="J460" s="77" t="str">
        <x:f>IF(A460="","",IF(I460="기타/불명","확인 필요","결의서명으로 1차 확인"))</x:f>
      </x:c>
      <x:c r="K460" s="78"/>
    </x:row>
    <x:row r="461">
      <x:c r="A461" s="73"/>
      <x:c r="B461" s="73"/>
      <x:c r="C461" s="74"/>
      <x:c r="D461" s="73"/>
      <x:c r="E461" s="73"/>
      <x:c r="F461" s="75"/>
      <x:c r="G461" s="75"/>
      <x:c r="H461" s="76" t="str">
        <x:f>IF(A461="","",F461-G461)</x:f>
      </x:c>
      <x:c r="I461" s="77" t="str">
        <x:f>IF(A461="","",IF(E461="","기타/불명",IF(IFERROR(SEARCH("급여",E461),0)&gt;0,"인건비",IF(IFERROR(SEARCH("임차",E461),0)&gt;0,"임차·시설",IF(IFERROR(SEARCH("광고",E461),0)&gt;0,"광고·행사",IF(IFERROR(SEARCH("용역",E461),0)&gt;0,"용역·수수료","기타/불명"))))))</x:f>
      </x:c>
      <x:c r="J461" s="77" t="str">
        <x:f>IF(A461="","",IF(I461="기타/불명","확인 필요","결의서명으로 1차 확인"))</x:f>
      </x:c>
      <x:c r="K461" s="78"/>
    </x:row>
    <x:row r="462">
      <x:c r="A462" s="73"/>
      <x:c r="B462" s="73"/>
      <x:c r="C462" s="74"/>
      <x:c r="D462" s="73"/>
      <x:c r="E462" s="73"/>
      <x:c r="F462" s="75"/>
      <x:c r="G462" s="75"/>
      <x:c r="H462" s="76" t="str">
        <x:f>IF(A462="","",F462-G462)</x:f>
      </x:c>
      <x:c r="I462" s="77" t="str">
        <x:f>IF(A462="","",IF(E462="","기타/불명",IF(IFERROR(SEARCH("급여",E462),0)&gt;0,"인건비",IF(IFERROR(SEARCH("임차",E462),0)&gt;0,"임차·시설",IF(IFERROR(SEARCH("광고",E462),0)&gt;0,"광고·행사",IF(IFERROR(SEARCH("용역",E462),0)&gt;0,"용역·수수료","기타/불명"))))))</x:f>
      </x:c>
      <x:c r="J462" s="77" t="str">
        <x:f>IF(A462="","",IF(I462="기타/불명","확인 필요","결의서명으로 1차 확인"))</x:f>
      </x:c>
      <x:c r="K462" s="78"/>
    </x:row>
    <x:row r="463">
      <x:c r="A463" s="73"/>
      <x:c r="B463" s="73"/>
      <x:c r="C463" s="74"/>
      <x:c r="D463" s="73"/>
      <x:c r="E463" s="73"/>
      <x:c r="F463" s="75"/>
      <x:c r="G463" s="75"/>
      <x:c r="H463" s="76" t="str">
        <x:f>IF(A463="","",F463-G463)</x:f>
      </x:c>
      <x:c r="I463" s="77" t="str">
        <x:f>IF(A463="","",IF(E463="","기타/불명",IF(IFERROR(SEARCH("급여",E463),0)&gt;0,"인건비",IF(IFERROR(SEARCH("임차",E463),0)&gt;0,"임차·시설",IF(IFERROR(SEARCH("광고",E463),0)&gt;0,"광고·행사",IF(IFERROR(SEARCH("용역",E463),0)&gt;0,"용역·수수료","기타/불명"))))))</x:f>
      </x:c>
      <x:c r="J463" s="77" t="str">
        <x:f>IF(A463="","",IF(I463="기타/불명","확인 필요","결의서명으로 1차 확인"))</x:f>
      </x:c>
      <x:c r="K463" s="78"/>
    </x:row>
    <x:row r="464">
      <x:c r="A464" s="73"/>
      <x:c r="B464" s="73"/>
      <x:c r="C464" s="74"/>
      <x:c r="D464" s="73"/>
      <x:c r="E464" s="73"/>
      <x:c r="F464" s="75"/>
      <x:c r="G464" s="75"/>
      <x:c r="H464" s="76" t="str">
        <x:f>IF(A464="","",F464-G464)</x:f>
      </x:c>
      <x:c r="I464" s="77" t="str">
        <x:f>IF(A464="","",IF(E464="","기타/불명",IF(IFERROR(SEARCH("급여",E464),0)&gt;0,"인건비",IF(IFERROR(SEARCH("임차",E464),0)&gt;0,"임차·시설",IF(IFERROR(SEARCH("광고",E464),0)&gt;0,"광고·행사",IF(IFERROR(SEARCH("용역",E464),0)&gt;0,"용역·수수료","기타/불명"))))))</x:f>
      </x:c>
      <x:c r="J464" s="77" t="str">
        <x:f>IF(A464="","",IF(I464="기타/불명","확인 필요","결의서명으로 1차 확인"))</x:f>
      </x:c>
      <x:c r="K464" s="78"/>
    </x:row>
    <x:row r="465">
      <x:c r="A465" s="73"/>
      <x:c r="B465" s="73"/>
      <x:c r="C465" s="74"/>
      <x:c r="D465" s="73"/>
      <x:c r="E465" s="73"/>
      <x:c r="F465" s="75"/>
      <x:c r="G465" s="75"/>
      <x:c r="H465" s="76" t="str">
        <x:f>IF(A465="","",F465-G465)</x:f>
      </x:c>
      <x:c r="I465" s="77" t="str">
        <x:f>IF(A465="","",IF(E465="","기타/불명",IF(IFERROR(SEARCH("급여",E465),0)&gt;0,"인건비",IF(IFERROR(SEARCH("임차",E465),0)&gt;0,"임차·시설",IF(IFERROR(SEARCH("광고",E465),0)&gt;0,"광고·행사",IF(IFERROR(SEARCH("용역",E465),0)&gt;0,"용역·수수료","기타/불명"))))))</x:f>
      </x:c>
      <x:c r="J465" s="77" t="str">
        <x:f>IF(A465="","",IF(I465="기타/불명","확인 필요","결의서명으로 1차 확인"))</x:f>
      </x:c>
      <x:c r="K465" s="78"/>
    </x:row>
    <x:row r="466">
      <x:c r="A466" s="73"/>
      <x:c r="B466" s="73"/>
      <x:c r="C466" s="74"/>
      <x:c r="D466" s="73"/>
      <x:c r="E466" s="73"/>
      <x:c r="F466" s="75"/>
      <x:c r="G466" s="75"/>
      <x:c r="H466" s="76" t="str">
        <x:f>IF(A466="","",F466-G466)</x:f>
      </x:c>
      <x:c r="I466" s="77" t="str">
        <x:f>IF(A466="","",IF(E466="","기타/불명",IF(IFERROR(SEARCH("급여",E466),0)&gt;0,"인건비",IF(IFERROR(SEARCH("임차",E466),0)&gt;0,"임차·시설",IF(IFERROR(SEARCH("광고",E466),0)&gt;0,"광고·행사",IF(IFERROR(SEARCH("용역",E466),0)&gt;0,"용역·수수료","기타/불명"))))))</x:f>
      </x:c>
      <x:c r="J466" s="77" t="str">
        <x:f>IF(A466="","",IF(I466="기타/불명","확인 필요","결의서명으로 1차 확인"))</x:f>
      </x:c>
      <x:c r="K466" s="78"/>
    </x:row>
    <x:row r="467">
      <x:c r="A467" s="73"/>
      <x:c r="B467" s="73"/>
      <x:c r="C467" s="74"/>
      <x:c r="D467" s="73"/>
      <x:c r="E467" s="73"/>
      <x:c r="F467" s="75"/>
      <x:c r="G467" s="75"/>
      <x:c r="H467" s="76" t="str">
        <x:f>IF(A467="","",F467-G467)</x:f>
      </x:c>
      <x:c r="I467" s="77" t="str">
        <x:f>IF(A467="","",IF(E467="","기타/불명",IF(IFERROR(SEARCH("급여",E467),0)&gt;0,"인건비",IF(IFERROR(SEARCH("임차",E467),0)&gt;0,"임차·시설",IF(IFERROR(SEARCH("광고",E467),0)&gt;0,"광고·행사",IF(IFERROR(SEARCH("용역",E467),0)&gt;0,"용역·수수료","기타/불명"))))))</x:f>
      </x:c>
      <x:c r="J467" s="77" t="str">
        <x:f>IF(A467="","",IF(I467="기타/불명","확인 필요","결의서명으로 1차 확인"))</x:f>
      </x:c>
      <x:c r="K467" s="78"/>
    </x:row>
    <x:row r="468">
      <x:c r="A468" s="73"/>
      <x:c r="B468" s="73"/>
      <x:c r="C468" s="74"/>
      <x:c r="D468" s="73"/>
      <x:c r="E468" s="73"/>
      <x:c r="F468" s="75"/>
      <x:c r="G468" s="75"/>
      <x:c r="H468" s="76" t="str">
        <x:f>IF(A468="","",F468-G468)</x:f>
      </x:c>
      <x:c r="I468" s="77" t="str">
        <x:f>IF(A468="","",IF(E468="","기타/불명",IF(IFERROR(SEARCH("급여",E468),0)&gt;0,"인건비",IF(IFERROR(SEARCH("임차",E468),0)&gt;0,"임차·시설",IF(IFERROR(SEARCH("광고",E468),0)&gt;0,"광고·행사",IF(IFERROR(SEARCH("용역",E468),0)&gt;0,"용역·수수료","기타/불명"))))))</x:f>
      </x:c>
      <x:c r="J468" s="77" t="str">
        <x:f>IF(A468="","",IF(I468="기타/불명","확인 필요","결의서명으로 1차 확인"))</x:f>
      </x:c>
      <x:c r="K468" s="78"/>
    </x:row>
    <x:row r="469">
      <x:c r="A469" s="73"/>
      <x:c r="B469" s="73"/>
      <x:c r="C469" s="74"/>
      <x:c r="D469" s="73"/>
      <x:c r="E469" s="73"/>
      <x:c r="F469" s="75"/>
      <x:c r="G469" s="75"/>
      <x:c r="H469" s="76" t="str">
        <x:f>IF(A469="","",F469-G469)</x:f>
      </x:c>
      <x:c r="I469" s="77" t="str">
        <x:f>IF(A469="","",IF(E469="","기타/불명",IF(IFERROR(SEARCH("급여",E469),0)&gt;0,"인건비",IF(IFERROR(SEARCH("임차",E469),0)&gt;0,"임차·시설",IF(IFERROR(SEARCH("광고",E469),0)&gt;0,"광고·행사",IF(IFERROR(SEARCH("용역",E469),0)&gt;0,"용역·수수료","기타/불명"))))))</x:f>
      </x:c>
      <x:c r="J469" s="77" t="str">
        <x:f>IF(A469="","",IF(I469="기타/불명","확인 필요","결의서명으로 1차 확인"))</x:f>
      </x:c>
      <x:c r="K469" s="78"/>
    </x:row>
    <x:row r="470">
      <x:c r="A470" s="73"/>
      <x:c r="B470" s="73"/>
      <x:c r="C470" s="74"/>
      <x:c r="D470" s="73"/>
      <x:c r="E470" s="73"/>
      <x:c r="F470" s="75"/>
      <x:c r="G470" s="75"/>
      <x:c r="H470" s="76" t="str">
        <x:f>IF(A470="","",F470-G470)</x:f>
      </x:c>
      <x:c r="I470" s="77" t="str">
        <x:f>IF(A470="","",IF(E470="","기타/불명",IF(IFERROR(SEARCH("급여",E470),0)&gt;0,"인건비",IF(IFERROR(SEARCH("임차",E470),0)&gt;0,"임차·시설",IF(IFERROR(SEARCH("광고",E470),0)&gt;0,"광고·행사",IF(IFERROR(SEARCH("용역",E470),0)&gt;0,"용역·수수료","기타/불명"))))))</x:f>
      </x:c>
      <x:c r="J470" s="77" t="str">
        <x:f>IF(A470="","",IF(I470="기타/불명","확인 필요","결의서명으로 1차 확인"))</x:f>
      </x:c>
      <x:c r="K470" s="78"/>
    </x:row>
    <x:row r="471">
      <x:c r="A471" s="73"/>
      <x:c r="B471" s="73"/>
      <x:c r="C471" s="74"/>
      <x:c r="D471" s="73"/>
      <x:c r="E471" s="73"/>
      <x:c r="F471" s="75"/>
      <x:c r="G471" s="75"/>
      <x:c r="H471" s="76" t="str">
        <x:f>IF(A471="","",F471-G471)</x:f>
      </x:c>
      <x:c r="I471" s="77" t="str">
        <x:f>IF(A471="","",IF(E471="","기타/불명",IF(IFERROR(SEARCH("급여",E471),0)&gt;0,"인건비",IF(IFERROR(SEARCH("임차",E471),0)&gt;0,"임차·시설",IF(IFERROR(SEARCH("광고",E471),0)&gt;0,"광고·행사",IF(IFERROR(SEARCH("용역",E471),0)&gt;0,"용역·수수료","기타/불명"))))))</x:f>
      </x:c>
      <x:c r="J471" s="77" t="str">
        <x:f>IF(A471="","",IF(I471="기타/불명","확인 필요","결의서명으로 1차 확인"))</x:f>
      </x:c>
      <x:c r="K471" s="78"/>
    </x:row>
    <x:row r="472">
      <x:c r="A472" s="73"/>
      <x:c r="B472" s="73"/>
      <x:c r="C472" s="74"/>
      <x:c r="D472" s="73"/>
      <x:c r="E472" s="73"/>
      <x:c r="F472" s="75"/>
      <x:c r="G472" s="75"/>
      <x:c r="H472" s="76" t="str">
        <x:f>IF(A472="","",F472-G472)</x:f>
      </x:c>
      <x:c r="I472" s="77" t="str">
        <x:f>IF(A472="","",IF(E472="","기타/불명",IF(IFERROR(SEARCH("급여",E472),0)&gt;0,"인건비",IF(IFERROR(SEARCH("임차",E472),0)&gt;0,"임차·시설",IF(IFERROR(SEARCH("광고",E472),0)&gt;0,"광고·행사",IF(IFERROR(SEARCH("용역",E472),0)&gt;0,"용역·수수료","기타/불명"))))))</x:f>
      </x:c>
      <x:c r="J472" s="77" t="str">
        <x:f>IF(A472="","",IF(I472="기타/불명","확인 필요","결의서명으로 1차 확인"))</x:f>
      </x:c>
      <x:c r="K472" s="78"/>
    </x:row>
    <x:row r="473">
      <x:c r="A473" s="73"/>
      <x:c r="B473" s="73"/>
      <x:c r="C473" s="74"/>
      <x:c r="D473" s="73"/>
      <x:c r="E473" s="73"/>
      <x:c r="F473" s="75"/>
      <x:c r="G473" s="75"/>
      <x:c r="H473" s="76" t="str">
        <x:f>IF(A473="","",F473-G473)</x:f>
      </x:c>
      <x:c r="I473" s="77" t="str">
        <x:f>IF(A473="","",IF(E473="","기타/불명",IF(IFERROR(SEARCH("급여",E473),0)&gt;0,"인건비",IF(IFERROR(SEARCH("임차",E473),0)&gt;0,"임차·시설",IF(IFERROR(SEARCH("광고",E473),0)&gt;0,"광고·행사",IF(IFERROR(SEARCH("용역",E473),0)&gt;0,"용역·수수료","기타/불명"))))))</x:f>
      </x:c>
      <x:c r="J473" s="77" t="str">
        <x:f>IF(A473="","",IF(I473="기타/불명","확인 필요","결의서명으로 1차 확인"))</x:f>
      </x:c>
      <x:c r="K473" s="78"/>
    </x:row>
    <x:row r="474">
      <x:c r="A474" s="73"/>
      <x:c r="B474" s="73"/>
      <x:c r="C474" s="74"/>
      <x:c r="D474" s="73"/>
      <x:c r="E474" s="73"/>
      <x:c r="F474" s="75"/>
      <x:c r="G474" s="75"/>
      <x:c r="H474" s="76" t="str">
        <x:f>IF(A474="","",F474-G474)</x:f>
      </x:c>
      <x:c r="I474" s="77" t="str">
        <x:f>IF(A474="","",IF(E474="","기타/불명",IF(IFERROR(SEARCH("급여",E474),0)&gt;0,"인건비",IF(IFERROR(SEARCH("임차",E474),0)&gt;0,"임차·시설",IF(IFERROR(SEARCH("광고",E474),0)&gt;0,"광고·행사",IF(IFERROR(SEARCH("용역",E474),0)&gt;0,"용역·수수료","기타/불명"))))))</x:f>
      </x:c>
      <x:c r="J474" s="77" t="str">
        <x:f>IF(A474="","",IF(I474="기타/불명","확인 필요","결의서명으로 1차 확인"))</x:f>
      </x:c>
      <x:c r="K474" s="78"/>
    </x:row>
    <x:row r="475">
      <x:c r="A475" s="73"/>
      <x:c r="B475" s="73"/>
      <x:c r="C475" s="74"/>
      <x:c r="D475" s="73"/>
      <x:c r="E475" s="73"/>
      <x:c r="F475" s="75"/>
      <x:c r="G475" s="75"/>
      <x:c r="H475" s="76" t="str">
        <x:f>IF(A475="","",F475-G475)</x:f>
      </x:c>
      <x:c r="I475" s="77" t="str">
        <x:f>IF(A475="","",IF(E475="","기타/불명",IF(IFERROR(SEARCH("급여",E475),0)&gt;0,"인건비",IF(IFERROR(SEARCH("임차",E475),0)&gt;0,"임차·시설",IF(IFERROR(SEARCH("광고",E475),0)&gt;0,"광고·행사",IF(IFERROR(SEARCH("용역",E475),0)&gt;0,"용역·수수료","기타/불명"))))))</x:f>
      </x:c>
      <x:c r="J475" s="77" t="str">
        <x:f>IF(A475="","",IF(I475="기타/불명","확인 필요","결의서명으로 1차 확인"))</x:f>
      </x:c>
      <x:c r="K475" s="78"/>
    </x:row>
    <x:row r="476">
      <x:c r="A476" s="73"/>
      <x:c r="B476" s="73"/>
      <x:c r="C476" s="74"/>
      <x:c r="D476" s="73"/>
      <x:c r="E476" s="73"/>
      <x:c r="F476" s="75"/>
      <x:c r="G476" s="75"/>
      <x:c r="H476" s="76" t="str">
        <x:f>IF(A476="","",F476-G476)</x:f>
      </x:c>
      <x:c r="I476" s="77" t="str">
        <x:f>IF(A476="","",IF(E476="","기타/불명",IF(IFERROR(SEARCH("급여",E476),0)&gt;0,"인건비",IF(IFERROR(SEARCH("임차",E476),0)&gt;0,"임차·시설",IF(IFERROR(SEARCH("광고",E476),0)&gt;0,"광고·행사",IF(IFERROR(SEARCH("용역",E476),0)&gt;0,"용역·수수료","기타/불명"))))))</x:f>
      </x:c>
      <x:c r="J476" s="77" t="str">
        <x:f>IF(A476="","",IF(I476="기타/불명","확인 필요","결의서명으로 1차 확인"))</x:f>
      </x:c>
      <x:c r="K476" s="78"/>
    </x:row>
    <x:row r="477">
      <x:c r="A477" s="73"/>
      <x:c r="B477" s="73"/>
      <x:c r="C477" s="74"/>
      <x:c r="D477" s="73"/>
      <x:c r="E477" s="73"/>
      <x:c r="F477" s="75"/>
      <x:c r="G477" s="75"/>
      <x:c r="H477" s="76" t="str">
        <x:f>IF(A477="","",F477-G477)</x:f>
      </x:c>
      <x:c r="I477" s="77" t="str">
        <x:f>IF(A477="","",IF(E477="","기타/불명",IF(IFERROR(SEARCH("급여",E477),0)&gt;0,"인건비",IF(IFERROR(SEARCH("임차",E477),0)&gt;0,"임차·시설",IF(IFERROR(SEARCH("광고",E477),0)&gt;0,"광고·행사",IF(IFERROR(SEARCH("용역",E477),0)&gt;0,"용역·수수료","기타/불명"))))))</x:f>
      </x:c>
      <x:c r="J477" s="77" t="str">
        <x:f>IF(A477="","",IF(I477="기타/불명","확인 필요","결의서명으로 1차 확인"))</x:f>
      </x:c>
      <x:c r="K477" s="78"/>
    </x:row>
    <x:row r="478">
      <x:c r="A478" s="73"/>
      <x:c r="B478" s="73"/>
      <x:c r="C478" s="74"/>
      <x:c r="D478" s="73"/>
      <x:c r="E478" s="73"/>
      <x:c r="F478" s="75"/>
      <x:c r="G478" s="75"/>
      <x:c r="H478" s="76" t="str">
        <x:f>IF(A478="","",F478-G478)</x:f>
      </x:c>
      <x:c r="I478" s="77" t="str">
        <x:f>IF(A478="","",IF(E478="","기타/불명",IF(IFERROR(SEARCH("급여",E478),0)&gt;0,"인건비",IF(IFERROR(SEARCH("임차",E478),0)&gt;0,"임차·시설",IF(IFERROR(SEARCH("광고",E478),0)&gt;0,"광고·행사",IF(IFERROR(SEARCH("용역",E478),0)&gt;0,"용역·수수료","기타/불명"))))))</x:f>
      </x:c>
      <x:c r="J478" s="77" t="str">
        <x:f>IF(A478="","",IF(I478="기타/불명","확인 필요","결의서명으로 1차 확인"))</x:f>
      </x:c>
      <x:c r="K478" s="78"/>
    </x:row>
    <x:row r="479">
      <x:c r="A479" s="73"/>
      <x:c r="B479" s="73"/>
      <x:c r="C479" s="74"/>
      <x:c r="D479" s="73"/>
      <x:c r="E479" s="73"/>
      <x:c r="F479" s="75"/>
      <x:c r="G479" s="75"/>
      <x:c r="H479" s="76" t="str">
        <x:f>IF(A479="","",F479-G479)</x:f>
      </x:c>
      <x:c r="I479" s="77" t="str">
        <x:f>IF(A479="","",IF(E479="","기타/불명",IF(IFERROR(SEARCH("급여",E479),0)&gt;0,"인건비",IF(IFERROR(SEARCH("임차",E479),0)&gt;0,"임차·시설",IF(IFERROR(SEARCH("광고",E479),0)&gt;0,"광고·행사",IF(IFERROR(SEARCH("용역",E479),0)&gt;0,"용역·수수료","기타/불명"))))))</x:f>
      </x:c>
      <x:c r="J479" s="77" t="str">
        <x:f>IF(A479="","",IF(I479="기타/불명","확인 필요","결의서명으로 1차 확인"))</x:f>
      </x:c>
      <x:c r="K479" s="78"/>
    </x:row>
    <x:row r="480">
      <x:c r="A480" s="73"/>
      <x:c r="B480" s="73"/>
      <x:c r="C480" s="74"/>
      <x:c r="D480" s="73"/>
      <x:c r="E480" s="73"/>
      <x:c r="F480" s="75"/>
      <x:c r="G480" s="75"/>
      <x:c r="H480" s="76" t="str">
        <x:f>IF(A480="","",F480-G480)</x:f>
      </x:c>
      <x:c r="I480" s="77" t="str">
        <x:f>IF(A480="","",IF(E480="","기타/불명",IF(IFERROR(SEARCH("급여",E480),0)&gt;0,"인건비",IF(IFERROR(SEARCH("임차",E480),0)&gt;0,"임차·시설",IF(IFERROR(SEARCH("광고",E480),0)&gt;0,"광고·행사",IF(IFERROR(SEARCH("용역",E480),0)&gt;0,"용역·수수료","기타/불명"))))))</x:f>
      </x:c>
      <x:c r="J480" s="77" t="str">
        <x:f>IF(A480="","",IF(I480="기타/불명","확인 필요","결의서명으로 1차 확인"))</x:f>
      </x:c>
      <x:c r="K480" s="78"/>
    </x:row>
    <x:row r="481">
      <x:c r="A481" s="73"/>
      <x:c r="B481" s="73"/>
      <x:c r="C481" s="74"/>
      <x:c r="D481" s="73"/>
      <x:c r="E481" s="73"/>
      <x:c r="F481" s="75"/>
      <x:c r="G481" s="75"/>
      <x:c r="H481" s="76" t="str">
        <x:f>IF(A481="","",F481-G481)</x:f>
      </x:c>
      <x:c r="I481" s="77" t="str">
        <x:f>IF(A481="","",IF(E481="","기타/불명",IF(IFERROR(SEARCH("급여",E481),0)&gt;0,"인건비",IF(IFERROR(SEARCH("임차",E481),0)&gt;0,"임차·시설",IF(IFERROR(SEARCH("광고",E481),0)&gt;0,"광고·행사",IF(IFERROR(SEARCH("용역",E481),0)&gt;0,"용역·수수료","기타/불명"))))))</x:f>
      </x:c>
      <x:c r="J481" s="77" t="str">
        <x:f>IF(A481="","",IF(I481="기타/불명","확인 필요","결의서명으로 1차 확인"))</x:f>
      </x:c>
      <x:c r="K481" s="78"/>
    </x:row>
    <x:row r="482">
      <x:c r="A482" s="73"/>
      <x:c r="B482" s="73"/>
      <x:c r="C482" s="74"/>
      <x:c r="D482" s="73"/>
      <x:c r="E482" s="73"/>
      <x:c r="F482" s="75"/>
      <x:c r="G482" s="75"/>
      <x:c r="H482" s="76" t="str">
        <x:f>IF(A482="","",F482-G482)</x:f>
      </x:c>
      <x:c r="I482" s="77" t="str">
        <x:f>IF(A482="","",IF(E482="","기타/불명",IF(IFERROR(SEARCH("급여",E482),0)&gt;0,"인건비",IF(IFERROR(SEARCH("임차",E482),0)&gt;0,"임차·시설",IF(IFERROR(SEARCH("광고",E482),0)&gt;0,"광고·행사",IF(IFERROR(SEARCH("용역",E482),0)&gt;0,"용역·수수료","기타/불명"))))))</x:f>
      </x:c>
      <x:c r="J482" s="77" t="str">
        <x:f>IF(A482="","",IF(I482="기타/불명","확인 필요","결의서명으로 1차 확인"))</x:f>
      </x:c>
      <x:c r="K482" s="78"/>
    </x:row>
    <x:row r="483">
      <x:c r="A483" s="73"/>
      <x:c r="B483" s="73"/>
      <x:c r="C483" s="74"/>
      <x:c r="D483" s="73"/>
      <x:c r="E483" s="73"/>
      <x:c r="F483" s="75"/>
      <x:c r="G483" s="75"/>
      <x:c r="H483" s="76" t="str">
        <x:f>IF(A483="","",F483-G483)</x:f>
      </x:c>
      <x:c r="I483" s="77" t="str">
        <x:f>IF(A483="","",IF(E483="","기타/불명",IF(IFERROR(SEARCH("급여",E483),0)&gt;0,"인건비",IF(IFERROR(SEARCH("임차",E483),0)&gt;0,"임차·시설",IF(IFERROR(SEARCH("광고",E483),0)&gt;0,"광고·행사",IF(IFERROR(SEARCH("용역",E483),0)&gt;0,"용역·수수료","기타/불명"))))))</x:f>
      </x:c>
      <x:c r="J483" s="77" t="str">
        <x:f>IF(A483="","",IF(I483="기타/불명","확인 필요","결의서명으로 1차 확인"))</x:f>
      </x:c>
      <x:c r="K483" s="78"/>
    </x:row>
    <x:row r="484">
      <x:c r="A484" s="73"/>
      <x:c r="B484" s="73"/>
      <x:c r="C484" s="74"/>
      <x:c r="D484" s="73"/>
      <x:c r="E484" s="73"/>
      <x:c r="F484" s="75"/>
      <x:c r="G484" s="75"/>
      <x:c r="H484" s="76" t="str">
        <x:f>IF(A484="","",F484-G484)</x:f>
      </x:c>
      <x:c r="I484" s="77" t="str">
        <x:f>IF(A484="","",IF(E484="","기타/불명",IF(IFERROR(SEARCH("급여",E484),0)&gt;0,"인건비",IF(IFERROR(SEARCH("임차",E484),0)&gt;0,"임차·시설",IF(IFERROR(SEARCH("광고",E484),0)&gt;0,"광고·행사",IF(IFERROR(SEARCH("용역",E484),0)&gt;0,"용역·수수료","기타/불명"))))))</x:f>
      </x:c>
      <x:c r="J484" s="77" t="str">
        <x:f>IF(A484="","",IF(I484="기타/불명","확인 필요","결의서명으로 1차 확인"))</x:f>
      </x:c>
      <x:c r="K484" s="78"/>
    </x:row>
    <x:row r="485">
      <x:c r="A485" s="73"/>
      <x:c r="B485" s="73"/>
      <x:c r="C485" s="74"/>
      <x:c r="D485" s="73"/>
      <x:c r="E485" s="73"/>
      <x:c r="F485" s="75"/>
      <x:c r="G485" s="75"/>
      <x:c r="H485" s="76" t="str">
        <x:f>IF(A485="","",F485-G485)</x:f>
      </x:c>
      <x:c r="I485" s="77" t="str">
        <x:f>IF(A485="","",IF(E485="","기타/불명",IF(IFERROR(SEARCH("급여",E485),0)&gt;0,"인건비",IF(IFERROR(SEARCH("임차",E485),0)&gt;0,"임차·시설",IF(IFERROR(SEARCH("광고",E485),0)&gt;0,"광고·행사",IF(IFERROR(SEARCH("용역",E485),0)&gt;0,"용역·수수료","기타/불명"))))))</x:f>
      </x:c>
      <x:c r="J485" s="77" t="str">
        <x:f>IF(A485="","",IF(I485="기타/불명","확인 필요","결의서명으로 1차 확인"))</x:f>
      </x:c>
      <x:c r="K485" s="78"/>
    </x:row>
    <x:row r="486">
      <x:c r="A486" s="73"/>
      <x:c r="B486" s="73"/>
      <x:c r="C486" s="74"/>
      <x:c r="D486" s="73"/>
      <x:c r="E486" s="73"/>
      <x:c r="F486" s="75"/>
      <x:c r="G486" s="75"/>
      <x:c r="H486" s="76" t="str">
        <x:f>IF(A486="","",F486-G486)</x:f>
      </x:c>
      <x:c r="I486" s="77" t="str">
        <x:f>IF(A486="","",IF(E486="","기타/불명",IF(IFERROR(SEARCH("급여",E486),0)&gt;0,"인건비",IF(IFERROR(SEARCH("임차",E486),0)&gt;0,"임차·시설",IF(IFERROR(SEARCH("광고",E486),0)&gt;0,"광고·행사",IF(IFERROR(SEARCH("용역",E486),0)&gt;0,"용역·수수료","기타/불명"))))))</x:f>
      </x:c>
      <x:c r="J486" s="77" t="str">
        <x:f>IF(A486="","",IF(I486="기타/불명","확인 필요","결의서명으로 1차 확인"))</x:f>
      </x:c>
      <x:c r="K486" s="78"/>
    </x:row>
    <x:row r="487">
      <x:c r="A487" s="73"/>
      <x:c r="B487" s="73"/>
      <x:c r="C487" s="74"/>
      <x:c r="D487" s="73"/>
      <x:c r="E487" s="73"/>
      <x:c r="F487" s="75"/>
      <x:c r="G487" s="75"/>
      <x:c r="H487" s="76" t="str">
        <x:f>IF(A487="","",F487-G487)</x:f>
      </x:c>
      <x:c r="I487" s="77" t="str">
        <x:f>IF(A487="","",IF(E487="","기타/불명",IF(IFERROR(SEARCH("급여",E487),0)&gt;0,"인건비",IF(IFERROR(SEARCH("임차",E487),0)&gt;0,"임차·시설",IF(IFERROR(SEARCH("광고",E487),0)&gt;0,"광고·행사",IF(IFERROR(SEARCH("용역",E487),0)&gt;0,"용역·수수료","기타/불명"))))))</x:f>
      </x:c>
      <x:c r="J487" s="77" t="str">
        <x:f>IF(A487="","",IF(I487="기타/불명","확인 필요","결의서명으로 1차 확인"))</x:f>
      </x:c>
      <x:c r="K487" s="78"/>
    </x:row>
    <x:row r="488">
      <x:c r="A488" s="73"/>
      <x:c r="B488" s="73"/>
      <x:c r="C488" s="74"/>
      <x:c r="D488" s="73"/>
      <x:c r="E488" s="73"/>
      <x:c r="F488" s="75"/>
      <x:c r="G488" s="75"/>
      <x:c r="H488" s="76" t="str">
        <x:f>IF(A488="","",F488-G488)</x:f>
      </x:c>
      <x:c r="I488" s="77" t="str">
        <x:f>IF(A488="","",IF(E488="","기타/불명",IF(IFERROR(SEARCH("급여",E488),0)&gt;0,"인건비",IF(IFERROR(SEARCH("임차",E488),0)&gt;0,"임차·시설",IF(IFERROR(SEARCH("광고",E488),0)&gt;0,"광고·행사",IF(IFERROR(SEARCH("용역",E488),0)&gt;0,"용역·수수료","기타/불명"))))))</x:f>
      </x:c>
      <x:c r="J488" s="77" t="str">
        <x:f>IF(A488="","",IF(I488="기타/불명","확인 필요","결의서명으로 1차 확인"))</x:f>
      </x:c>
      <x:c r="K488" s="78"/>
    </x:row>
    <x:row r="489">
      <x:c r="A489" s="73"/>
      <x:c r="B489" s="73"/>
      <x:c r="C489" s="74"/>
      <x:c r="D489" s="73"/>
      <x:c r="E489" s="73"/>
      <x:c r="F489" s="75"/>
      <x:c r="G489" s="75"/>
      <x:c r="H489" s="76" t="str">
        <x:f>IF(A489="","",F489-G489)</x:f>
      </x:c>
      <x:c r="I489" s="77" t="str">
        <x:f>IF(A489="","",IF(E489="","기타/불명",IF(IFERROR(SEARCH("급여",E489),0)&gt;0,"인건비",IF(IFERROR(SEARCH("임차",E489),0)&gt;0,"임차·시설",IF(IFERROR(SEARCH("광고",E489),0)&gt;0,"광고·행사",IF(IFERROR(SEARCH("용역",E489),0)&gt;0,"용역·수수료","기타/불명"))))))</x:f>
      </x:c>
      <x:c r="J489" s="77" t="str">
        <x:f>IF(A489="","",IF(I489="기타/불명","확인 필요","결의서명으로 1차 확인"))</x:f>
      </x:c>
      <x:c r="K489" s="78"/>
    </x:row>
    <x:row r="490">
      <x:c r="A490" s="73"/>
      <x:c r="B490" s="73"/>
      <x:c r="C490" s="74"/>
      <x:c r="D490" s="73"/>
      <x:c r="E490" s="73"/>
      <x:c r="F490" s="75"/>
      <x:c r="G490" s="75"/>
      <x:c r="H490" s="76" t="str">
        <x:f>IF(A490="","",F490-G490)</x:f>
      </x:c>
      <x:c r="I490" s="77" t="str">
        <x:f>IF(A490="","",IF(E490="","기타/불명",IF(IFERROR(SEARCH("급여",E490),0)&gt;0,"인건비",IF(IFERROR(SEARCH("임차",E490),0)&gt;0,"임차·시설",IF(IFERROR(SEARCH("광고",E490),0)&gt;0,"광고·행사",IF(IFERROR(SEARCH("용역",E490),0)&gt;0,"용역·수수료","기타/불명"))))))</x:f>
      </x:c>
      <x:c r="J490" s="77" t="str">
        <x:f>IF(A490="","",IF(I490="기타/불명","확인 필요","결의서명으로 1차 확인"))</x:f>
      </x:c>
      <x:c r="K490" s="78"/>
    </x:row>
    <x:row r="491">
      <x:c r="A491" s="73"/>
      <x:c r="B491" s="73"/>
      <x:c r="C491" s="74"/>
      <x:c r="D491" s="73"/>
      <x:c r="E491" s="73"/>
      <x:c r="F491" s="75"/>
      <x:c r="G491" s="75"/>
      <x:c r="H491" s="76" t="str">
        <x:f>IF(A491="","",F491-G491)</x:f>
      </x:c>
      <x:c r="I491" s="77" t="str">
        <x:f>IF(A491="","",IF(E491="","기타/불명",IF(IFERROR(SEARCH("급여",E491),0)&gt;0,"인건비",IF(IFERROR(SEARCH("임차",E491),0)&gt;0,"임차·시설",IF(IFERROR(SEARCH("광고",E491),0)&gt;0,"광고·행사",IF(IFERROR(SEARCH("용역",E491),0)&gt;0,"용역·수수료","기타/불명"))))))</x:f>
      </x:c>
      <x:c r="J491" s="77" t="str">
        <x:f>IF(A491="","",IF(I491="기타/불명","확인 필요","결의서명으로 1차 확인"))</x:f>
      </x:c>
      <x:c r="K491" s="78"/>
    </x:row>
    <x:row r="492">
      <x:c r="A492" s="73"/>
      <x:c r="B492" s="73"/>
      <x:c r="C492" s="74"/>
      <x:c r="D492" s="73"/>
      <x:c r="E492" s="73"/>
      <x:c r="F492" s="75"/>
      <x:c r="G492" s="75"/>
      <x:c r="H492" s="76" t="str">
        <x:f>IF(A492="","",F492-G492)</x:f>
      </x:c>
      <x:c r="I492" s="77" t="str">
        <x:f>IF(A492="","",IF(E492="","기타/불명",IF(IFERROR(SEARCH("급여",E492),0)&gt;0,"인건비",IF(IFERROR(SEARCH("임차",E492),0)&gt;0,"임차·시설",IF(IFERROR(SEARCH("광고",E492),0)&gt;0,"광고·행사",IF(IFERROR(SEARCH("용역",E492),0)&gt;0,"용역·수수료","기타/불명"))))))</x:f>
      </x:c>
      <x:c r="J492" s="77" t="str">
        <x:f>IF(A492="","",IF(I492="기타/불명","확인 필요","결의서명으로 1차 확인"))</x:f>
      </x:c>
      <x:c r="K492" s="78"/>
    </x:row>
    <x:row r="493">
      <x:c r="A493" s="73"/>
      <x:c r="B493" s="73"/>
      <x:c r="C493" s="74"/>
      <x:c r="D493" s="73"/>
      <x:c r="E493" s="73"/>
      <x:c r="F493" s="75"/>
      <x:c r="G493" s="75"/>
      <x:c r="H493" s="76" t="str">
        <x:f>IF(A493="","",F493-G493)</x:f>
      </x:c>
      <x:c r="I493" s="77" t="str">
        <x:f>IF(A493="","",IF(E493="","기타/불명",IF(IFERROR(SEARCH("급여",E493),0)&gt;0,"인건비",IF(IFERROR(SEARCH("임차",E493),0)&gt;0,"임차·시설",IF(IFERROR(SEARCH("광고",E493),0)&gt;0,"광고·행사",IF(IFERROR(SEARCH("용역",E493),0)&gt;0,"용역·수수료","기타/불명"))))))</x:f>
      </x:c>
      <x:c r="J493" s="77" t="str">
        <x:f>IF(A493="","",IF(I493="기타/불명","확인 필요","결의서명으로 1차 확인"))</x:f>
      </x:c>
      <x:c r="K493" s="78"/>
    </x:row>
    <x:row r="494">
      <x:c r="A494" s="73"/>
      <x:c r="B494" s="73"/>
      <x:c r="C494" s="74"/>
      <x:c r="D494" s="73"/>
      <x:c r="E494" s="73"/>
      <x:c r="F494" s="75"/>
      <x:c r="G494" s="75"/>
      <x:c r="H494" s="76" t="str">
        <x:f>IF(A494="","",F494-G494)</x:f>
      </x:c>
      <x:c r="I494" s="77" t="str">
        <x:f>IF(A494="","",IF(E494="","기타/불명",IF(IFERROR(SEARCH("급여",E494),0)&gt;0,"인건비",IF(IFERROR(SEARCH("임차",E494),0)&gt;0,"임차·시설",IF(IFERROR(SEARCH("광고",E494),0)&gt;0,"광고·행사",IF(IFERROR(SEARCH("용역",E494),0)&gt;0,"용역·수수료","기타/불명"))))))</x:f>
      </x:c>
      <x:c r="J494" s="77" t="str">
        <x:f>IF(A494="","",IF(I494="기타/불명","확인 필요","결의서명으로 1차 확인"))</x:f>
      </x:c>
      <x:c r="K494" s="78"/>
    </x:row>
    <x:row r="495">
      <x:c r="A495" s="73"/>
      <x:c r="B495" s="73"/>
      <x:c r="C495" s="74"/>
      <x:c r="D495" s="73"/>
      <x:c r="E495" s="73"/>
      <x:c r="F495" s="75"/>
      <x:c r="G495" s="75"/>
      <x:c r="H495" s="76" t="str">
        <x:f>IF(A495="","",F495-G495)</x:f>
      </x:c>
      <x:c r="I495" s="77" t="str">
        <x:f>IF(A495="","",IF(E495="","기타/불명",IF(IFERROR(SEARCH("급여",E495),0)&gt;0,"인건비",IF(IFERROR(SEARCH("임차",E495),0)&gt;0,"임차·시설",IF(IFERROR(SEARCH("광고",E495),0)&gt;0,"광고·행사",IF(IFERROR(SEARCH("용역",E495),0)&gt;0,"용역·수수료","기타/불명"))))))</x:f>
      </x:c>
      <x:c r="J495" s="77" t="str">
        <x:f>IF(A495="","",IF(I495="기타/불명","확인 필요","결의서명으로 1차 확인"))</x:f>
      </x:c>
      <x:c r="K495" s="78"/>
    </x:row>
    <x:row r="496">
      <x:c r="A496" s="73"/>
      <x:c r="B496" s="73"/>
      <x:c r="C496" s="74"/>
      <x:c r="D496" s="73"/>
      <x:c r="E496" s="73"/>
      <x:c r="F496" s="75"/>
      <x:c r="G496" s="75"/>
      <x:c r="H496" s="76" t="str">
        <x:f>IF(A496="","",F496-G496)</x:f>
      </x:c>
      <x:c r="I496" s="77" t="str">
        <x:f>IF(A496="","",IF(E496="","기타/불명",IF(IFERROR(SEARCH("급여",E496),0)&gt;0,"인건비",IF(IFERROR(SEARCH("임차",E496),0)&gt;0,"임차·시설",IF(IFERROR(SEARCH("광고",E496),0)&gt;0,"광고·행사",IF(IFERROR(SEARCH("용역",E496),0)&gt;0,"용역·수수료","기타/불명"))))))</x:f>
      </x:c>
      <x:c r="J496" s="77" t="str">
        <x:f>IF(A496="","",IF(I496="기타/불명","확인 필요","결의서명으로 1차 확인"))</x:f>
      </x:c>
      <x:c r="K496" s="78"/>
    </x:row>
    <x:row r="497">
      <x:c r="A497" s="73"/>
      <x:c r="B497" s="73"/>
      <x:c r="C497" s="74"/>
      <x:c r="D497" s="73"/>
      <x:c r="E497" s="73"/>
      <x:c r="F497" s="75"/>
      <x:c r="G497" s="75"/>
      <x:c r="H497" s="76" t="str">
        <x:f>IF(A497="","",F497-G497)</x:f>
      </x:c>
      <x:c r="I497" s="77" t="str">
        <x:f>IF(A497="","",IF(E497="","기타/불명",IF(IFERROR(SEARCH("급여",E497),0)&gt;0,"인건비",IF(IFERROR(SEARCH("임차",E497),0)&gt;0,"임차·시설",IF(IFERROR(SEARCH("광고",E497),0)&gt;0,"광고·행사",IF(IFERROR(SEARCH("용역",E497),0)&gt;0,"용역·수수료","기타/불명"))))))</x:f>
      </x:c>
      <x:c r="J497" s="77" t="str">
        <x:f>IF(A497="","",IF(I497="기타/불명","확인 필요","결의서명으로 1차 확인"))</x:f>
      </x:c>
      <x:c r="K497" s="78"/>
    </x:row>
    <x:row r="498">
      <x:c r="A498" s="73"/>
      <x:c r="B498" s="73"/>
      <x:c r="C498" s="74"/>
      <x:c r="D498" s="73"/>
      <x:c r="E498" s="73"/>
      <x:c r="F498" s="75"/>
      <x:c r="G498" s="75"/>
      <x:c r="H498" s="76" t="str">
        <x:f>IF(A498="","",F498-G498)</x:f>
      </x:c>
      <x:c r="I498" s="77" t="str">
        <x:f>IF(A498="","",IF(E498="","기타/불명",IF(IFERROR(SEARCH("급여",E498),0)&gt;0,"인건비",IF(IFERROR(SEARCH("임차",E498),0)&gt;0,"임차·시설",IF(IFERROR(SEARCH("광고",E498),0)&gt;0,"광고·행사",IF(IFERROR(SEARCH("용역",E498),0)&gt;0,"용역·수수료","기타/불명"))))))</x:f>
      </x:c>
      <x:c r="J498" s="77" t="str">
        <x:f>IF(A498="","",IF(I498="기타/불명","확인 필요","결의서명으로 1차 확인"))</x:f>
      </x:c>
      <x:c r="K498" s="78"/>
    </x:row>
    <x:row r="499">
      <x:c r="A499" s="73"/>
      <x:c r="B499" s="73"/>
      <x:c r="C499" s="74"/>
      <x:c r="D499" s="73"/>
      <x:c r="E499" s="73"/>
      <x:c r="F499" s="75"/>
      <x:c r="G499" s="75"/>
      <x:c r="H499" s="76" t="str">
        <x:f>IF(A499="","",F499-G499)</x:f>
      </x:c>
      <x:c r="I499" s="77" t="str">
        <x:f>IF(A499="","",IF(E499="","기타/불명",IF(IFERROR(SEARCH("급여",E499),0)&gt;0,"인건비",IF(IFERROR(SEARCH("임차",E499),0)&gt;0,"임차·시설",IF(IFERROR(SEARCH("광고",E499),0)&gt;0,"광고·행사",IF(IFERROR(SEARCH("용역",E499),0)&gt;0,"용역·수수료","기타/불명"))))))</x:f>
      </x:c>
      <x:c r="J499" s="77" t="str">
        <x:f>IF(A499="","",IF(I499="기타/불명","확인 필요","결의서명으로 1차 확인"))</x:f>
      </x:c>
      <x:c r="K499" s="78"/>
    </x:row>
    <x:row r="500">
      <x:c r="A500" s="73"/>
      <x:c r="B500" s="73"/>
      <x:c r="C500" s="74"/>
      <x:c r="D500" s="73"/>
      <x:c r="E500" s="73"/>
      <x:c r="F500" s="75"/>
      <x:c r="G500" s="75"/>
      <x:c r="H500" s="76" t="str">
        <x:f>IF(A500="","",F500-G500)</x:f>
      </x:c>
      <x:c r="I500" s="77" t="str">
        <x:f>IF(A500="","",IF(E500="","기타/불명",IF(IFERROR(SEARCH("급여",E500),0)&gt;0,"인건비",IF(IFERROR(SEARCH("임차",E500),0)&gt;0,"임차·시설",IF(IFERROR(SEARCH("광고",E500),0)&gt;0,"광고·행사",IF(IFERROR(SEARCH("용역",E500),0)&gt;0,"용역·수수료","기타/불명"))))))</x:f>
      </x:c>
      <x:c r="J500" s="77" t="str">
        <x:f>IF(A500="","",IF(I500="기타/불명","확인 필요","결의서명으로 1차 확인"))</x:f>
      </x:c>
      <x:c r="K500" s="78"/>
    </x:row>
    <x:row r="501">
      <x:c r="A501" s="73"/>
      <x:c r="B501" s="73"/>
      <x:c r="C501" s="74"/>
      <x:c r="D501" s="73"/>
      <x:c r="E501" s="73"/>
      <x:c r="F501" s="75"/>
      <x:c r="G501" s="75"/>
      <x:c r="H501" s="76" t="str">
        <x:f>IF(A501="","",F501-G501)</x:f>
      </x:c>
      <x:c r="I501" s="77" t="str">
        <x:f>IF(A501="","",IF(E501="","기타/불명",IF(IFERROR(SEARCH("급여",E501),0)&gt;0,"인건비",IF(IFERROR(SEARCH("임차",E501),0)&gt;0,"임차·시설",IF(IFERROR(SEARCH("광고",E501),0)&gt;0,"광고·행사",IF(IFERROR(SEARCH("용역",E501),0)&gt;0,"용역·수수료","기타/불명"))))))</x:f>
      </x:c>
      <x:c r="J501" s="77" t="str">
        <x:f>IF(A501="","",IF(I501="기타/불명","확인 필요","결의서명으로 1차 확인"))</x:f>
      </x:c>
      <x:c r="K501" s="78"/>
    </x:row>
    <x:row r="502">
      <x:c r="A502" s="73"/>
      <x:c r="B502" s="73"/>
      <x:c r="C502" s="74"/>
      <x:c r="D502" s="73"/>
      <x:c r="E502" s="73"/>
      <x:c r="F502" s="75"/>
      <x:c r="G502" s="75"/>
      <x:c r="H502" s="76" t="str">
        <x:f>IF(A502="","",F502-G502)</x:f>
      </x:c>
      <x:c r="I502" s="77" t="str">
        <x:f>IF(A502="","",IF(E502="","기타/불명",IF(IFERROR(SEARCH("급여",E502),0)&gt;0,"인건비",IF(IFERROR(SEARCH("임차",E502),0)&gt;0,"임차·시설",IF(IFERROR(SEARCH("광고",E502),0)&gt;0,"광고·행사",IF(IFERROR(SEARCH("용역",E502),0)&gt;0,"용역·수수료","기타/불명"))))))</x:f>
      </x:c>
      <x:c r="J502" s="77" t="str">
        <x:f>IF(A502="","",IF(I502="기타/불명","확인 필요","결의서명으로 1차 확인"))</x:f>
      </x:c>
      <x:c r="K502" s="78"/>
    </x:row>
    <x:row r="503">
      <x:c r="A503" s="73"/>
      <x:c r="B503" s="73"/>
      <x:c r="C503" s="74"/>
      <x:c r="D503" s="73"/>
      <x:c r="E503" s="73"/>
      <x:c r="F503" s="75"/>
      <x:c r="G503" s="75"/>
      <x:c r="H503" s="76" t="str">
        <x:f>IF(A503="","",F503-G503)</x:f>
      </x:c>
      <x:c r="I503" s="77" t="str">
        <x:f>IF(A503="","",IF(E503="","기타/불명",IF(IFERROR(SEARCH("급여",E503),0)&gt;0,"인건비",IF(IFERROR(SEARCH("임차",E503),0)&gt;0,"임차·시설",IF(IFERROR(SEARCH("광고",E503),0)&gt;0,"광고·행사",IF(IFERROR(SEARCH("용역",E503),0)&gt;0,"용역·수수료","기타/불명"))))))</x:f>
      </x:c>
      <x:c r="J503" s="77" t="str">
        <x:f>IF(A503="","",IF(I503="기타/불명","확인 필요","결의서명으로 1차 확인"))</x:f>
      </x:c>
      <x:c r="K503" s="78"/>
    </x:row>
    <x:row r="504">
      <x:c r="A504" s="73"/>
      <x:c r="B504" s="73"/>
      <x:c r="C504" s="74"/>
      <x:c r="D504" s="73"/>
      <x:c r="E504" s="73"/>
      <x:c r="F504" s="75"/>
      <x:c r="G504" s="75"/>
      <x:c r="H504" s="76" t="str">
        <x:f>IF(A504="","",F504-G504)</x:f>
      </x:c>
      <x:c r="I504" s="77" t="str">
        <x:f>IF(A504="","",IF(E504="","기타/불명",IF(IFERROR(SEARCH("급여",E504),0)&gt;0,"인건비",IF(IFERROR(SEARCH("임차",E504),0)&gt;0,"임차·시설",IF(IFERROR(SEARCH("광고",E504),0)&gt;0,"광고·행사",IF(IFERROR(SEARCH("용역",E504),0)&gt;0,"용역·수수료","기타/불명"))))))</x:f>
      </x:c>
      <x:c r="J504" s="77" t="str">
        <x:f>IF(A504="","",IF(I504="기타/불명","확인 필요","결의서명으로 1차 확인"))</x:f>
      </x:c>
      <x:c r="K504" s="78"/>
    </x:row>
    <x:row r="505">
      <x:c r="A505" s="73"/>
      <x:c r="B505" s="73"/>
      <x:c r="C505" s="74"/>
      <x:c r="D505" s="73"/>
      <x:c r="E505" s="73"/>
      <x:c r="F505" s="75"/>
      <x:c r="G505" s="75"/>
      <x:c r="H505" s="76" t="str">
        <x:f>IF(A505="","",F505-G505)</x:f>
      </x:c>
      <x:c r="I505" s="77" t="str">
        <x:f>IF(A505="","",IF(E505="","기타/불명",IF(IFERROR(SEARCH("급여",E505),0)&gt;0,"인건비",IF(IFERROR(SEARCH("임차",E505),0)&gt;0,"임차·시설",IF(IFERROR(SEARCH("광고",E505),0)&gt;0,"광고·행사",IF(IFERROR(SEARCH("용역",E505),0)&gt;0,"용역·수수료","기타/불명"))))))</x:f>
      </x:c>
      <x:c r="J505" s="77" t="str">
        <x:f>IF(A505="","",IF(I505="기타/불명","확인 필요","결의서명으로 1차 확인"))</x:f>
      </x:c>
      <x:c r="K505" s="78"/>
    </x:row>
    <x:row r="506">
      <x:c r="A506" s="73"/>
      <x:c r="B506" s="73"/>
      <x:c r="C506" s="74"/>
      <x:c r="D506" s="73"/>
      <x:c r="E506" s="73"/>
      <x:c r="F506" s="75"/>
      <x:c r="G506" s="75"/>
      <x:c r="H506" s="76" t="str">
        <x:f>IF(A506="","",F506-G506)</x:f>
      </x:c>
      <x:c r="I506" s="77" t="str">
        <x:f>IF(A506="","",IF(E506="","기타/불명",IF(IFERROR(SEARCH("급여",E506),0)&gt;0,"인건비",IF(IFERROR(SEARCH("임차",E506),0)&gt;0,"임차·시설",IF(IFERROR(SEARCH("광고",E506),0)&gt;0,"광고·행사",IF(IFERROR(SEARCH("용역",E506),0)&gt;0,"용역·수수료","기타/불명"))))))</x:f>
      </x:c>
      <x:c r="J506" s="77" t="str">
        <x:f>IF(A506="","",IF(I506="기타/불명","확인 필요","결의서명으로 1차 확인"))</x:f>
      </x:c>
      <x:c r="K506" s="78"/>
    </x:row>
    <x:row r="507">
      <x:c r="A507" s="73"/>
      <x:c r="B507" s="73"/>
      <x:c r="C507" s="74"/>
      <x:c r="D507" s="73"/>
      <x:c r="E507" s="73"/>
      <x:c r="F507" s="75"/>
      <x:c r="G507" s="75"/>
      <x:c r="H507" s="76" t="str">
        <x:f>IF(A507="","",F507-G507)</x:f>
      </x:c>
      <x:c r="I507" s="77" t="str">
        <x:f>IF(A507="","",IF(E507="","기타/불명",IF(IFERROR(SEARCH("급여",E507),0)&gt;0,"인건비",IF(IFERROR(SEARCH("임차",E507),0)&gt;0,"임차·시설",IF(IFERROR(SEARCH("광고",E507),0)&gt;0,"광고·행사",IF(IFERROR(SEARCH("용역",E507),0)&gt;0,"용역·수수료","기타/불명"))))))</x:f>
      </x:c>
      <x:c r="J507" s="77" t="str">
        <x:f>IF(A507="","",IF(I507="기타/불명","확인 필요","결의서명으로 1차 확인"))</x:f>
      </x:c>
      <x:c r="K507" s="78"/>
    </x:row>
    <x:row r="508">
      <x:c r="A508" s="73"/>
      <x:c r="B508" s="73"/>
      <x:c r="C508" s="74"/>
      <x:c r="D508" s="73"/>
      <x:c r="E508" s="73"/>
      <x:c r="F508" s="75"/>
      <x:c r="G508" s="75"/>
      <x:c r="H508" s="76" t="str">
        <x:f>IF(A508="","",F508-G508)</x:f>
      </x:c>
      <x:c r="I508" s="77" t="str">
        <x:f>IF(A508="","",IF(E508="","기타/불명",IF(IFERROR(SEARCH("급여",E508),0)&gt;0,"인건비",IF(IFERROR(SEARCH("임차",E508),0)&gt;0,"임차·시설",IF(IFERROR(SEARCH("광고",E508),0)&gt;0,"광고·행사",IF(IFERROR(SEARCH("용역",E508),0)&gt;0,"용역·수수료","기타/불명"))))))</x:f>
      </x:c>
      <x:c r="J508" s="77" t="str">
        <x:f>IF(A508="","",IF(I508="기타/불명","확인 필요","결의서명으로 1차 확인"))</x:f>
      </x:c>
      <x:c r="K508" s="78"/>
    </x:row>
    <x:row r="509">
      <x:c r="A509" s="73"/>
      <x:c r="B509" s="73"/>
      <x:c r="C509" s="74"/>
      <x:c r="D509" s="73"/>
      <x:c r="E509" s="73"/>
      <x:c r="F509" s="75"/>
      <x:c r="G509" s="75"/>
      <x:c r="H509" s="76" t="str">
        <x:f>IF(A509="","",F509-G509)</x:f>
      </x:c>
      <x:c r="I509" s="77" t="str">
        <x:f>IF(A509="","",IF(E509="","기타/불명",IF(IFERROR(SEARCH("급여",E509),0)&gt;0,"인건비",IF(IFERROR(SEARCH("임차",E509),0)&gt;0,"임차·시설",IF(IFERROR(SEARCH("광고",E509),0)&gt;0,"광고·행사",IF(IFERROR(SEARCH("용역",E509),0)&gt;0,"용역·수수료","기타/불명"))))))</x:f>
      </x:c>
      <x:c r="J509" s="77" t="str">
        <x:f>IF(A509="","",IF(I509="기타/불명","확인 필요","결의서명으로 1차 확인"))</x:f>
      </x:c>
      <x:c r="K509" s="78"/>
    </x:row>
    <x:row r="510">
      <x:c r="A510" s="73"/>
      <x:c r="B510" s="73"/>
      <x:c r="C510" s="74"/>
      <x:c r="D510" s="73"/>
      <x:c r="E510" s="73"/>
      <x:c r="F510" s="75"/>
      <x:c r="G510" s="75"/>
      <x:c r="H510" s="76" t="str">
        <x:f>IF(A510="","",F510-G510)</x:f>
      </x:c>
      <x:c r="I510" s="77" t="str">
        <x:f>IF(A510="","",IF(E510="","기타/불명",IF(IFERROR(SEARCH("급여",E510),0)&gt;0,"인건비",IF(IFERROR(SEARCH("임차",E510),0)&gt;0,"임차·시설",IF(IFERROR(SEARCH("광고",E510),0)&gt;0,"광고·행사",IF(IFERROR(SEARCH("용역",E510),0)&gt;0,"용역·수수료","기타/불명"))))))</x:f>
      </x:c>
      <x:c r="J510" s="77" t="str">
        <x:f>IF(A510="","",IF(I510="기타/불명","확인 필요","결의서명으로 1차 확인"))</x:f>
      </x:c>
      <x:c r="K510" s="78"/>
    </x:row>
    <x:row r="511">
      <x:c r="A511" s="73"/>
      <x:c r="B511" s="73"/>
      <x:c r="C511" s="74"/>
      <x:c r="D511" s="73"/>
      <x:c r="E511" s="73"/>
      <x:c r="F511" s="75"/>
      <x:c r="G511" s="75"/>
      <x:c r="H511" s="76" t="str">
        <x:f>IF(A511="","",F511-G511)</x:f>
      </x:c>
      <x:c r="I511" s="77" t="str">
        <x:f>IF(A511="","",IF(E511="","기타/불명",IF(IFERROR(SEARCH("급여",E511),0)&gt;0,"인건비",IF(IFERROR(SEARCH("임차",E511),0)&gt;0,"임차·시설",IF(IFERROR(SEARCH("광고",E511),0)&gt;0,"광고·행사",IF(IFERROR(SEARCH("용역",E511),0)&gt;0,"용역·수수료","기타/불명"))))))</x:f>
      </x:c>
      <x:c r="J511" s="77" t="str">
        <x:f>IF(A511="","",IF(I511="기타/불명","확인 필요","결의서명으로 1차 확인"))</x:f>
      </x:c>
      <x:c r="K511" s="78"/>
    </x:row>
    <x:row r="512">
      <x:c r="A512" s="73"/>
      <x:c r="B512" s="73"/>
      <x:c r="C512" s="74"/>
      <x:c r="D512" s="73"/>
      <x:c r="E512" s="73"/>
      <x:c r="F512" s="75"/>
      <x:c r="G512" s="75"/>
      <x:c r="H512" s="76" t="str">
        <x:f>IF(A512="","",F512-G512)</x:f>
      </x:c>
      <x:c r="I512" s="77" t="str">
        <x:f>IF(A512="","",IF(E512="","기타/불명",IF(IFERROR(SEARCH("급여",E512),0)&gt;0,"인건비",IF(IFERROR(SEARCH("임차",E512),0)&gt;0,"임차·시설",IF(IFERROR(SEARCH("광고",E512),0)&gt;0,"광고·행사",IF(IFERROR(SEARCH("용역",E512),0)&gt;0,"용역·수수료","기타/불명"))))))</x:f>
      </x:c>
      <x:c r="J512" s="77" t="str">
        <x:f>IF(A512="","",IF(I512="기타/불명","확인 필요","결의서명으로 1차 확인"))</x:f>
      </x:c>
      <x:c r="K512" s="78"/>
    </x:row>
    <x:row r="513">
      <x:c r="A513" s="73"/>
      <x:c r="B513" s="73"/>
      <x:c r="C513" s="74"/>
      <x:c r="D513" s="73"/>
      <x:c r="E513" s="73"/>
      <x:c r="F513" s="75"/>
      <x:c r="G513" s="75"/>
      <x:c r="H513" s="76" t="str">
        <x:f>IF(A513="","",F513-G513)</x:f>
      </x:c>
      <x:c r="I513" s="77" t="str">
        <x:f>IF(A513="","",IF(E513="","기타/불명",IF(IFERROR(SEARCH("급여",E513),0)&gt;0,"인건비",IF(IFERROR(SEARCH("임차",E513),0)&gt;0,"임차·시설",IF(IFERROR(SEARCH("광고",E513),0)&gt;0,"광고·행사",IF(IFERROR(SEARCH("용역",E513),0)&gt;0,"용역·수수료","기타/불명"))))))</x:f>
      </x:c>
      <x:c r="J513" s="77" t="str">
        <x:f>IF(A513="","",IF(I513="기타/불명","확인 필요","결의서명으로 1차 확인"))</x:f>
      </x:c>
      <x:c r="K513" s="78"/>
    </x:row>
    <x:row r="514">
      <x:c r="A514" s="73"/>
      <x:c r="B514" s="73"/>
      <x:c r="C514" s="74"/>
      <x:c r="D514" s="73"/>
      <x:c r="E514" s="73"/>
      <x:c r="F514" s="75"/>
      <x:c r="G514" s="75"/>
      <x:c r="H514" s="76" t="str">
        <x:f>IF(A514="","",F514-G514)</x:f>
      </x:c>
      <x:c r="I514" s="77" t="str">
        <x:f>IF(A514="","",IF(E514="","기타/불명",IF(IFERROR(SEARCH("급여",E514),0)&gt;0,"인건비",IF(IFERROR(SEARCH("임차",E514),0)&gt;0,"임차·시설",IF(IFERROR(SEARCH("광고",E514),0)&gt;0,"광고·행사",IF(IFERROR(SEARCH("용역",E514),0)&gt;0,"용역·수수료","기타/불명"))))))</x:f>
      </x:c>
      <x:c r="J514" s="77" t="str">
        <x:f>IF(A514="","",IF(I514="기타/불명","확인 필요","결의서명으로 1차 확인"))</x:f>
      </x:c>
      <x:c r="K514" s="78"/>
    </x:row>
    <x:row r="515">
      <x:c r="A515" s="73"/>
      <x:c r="B515" s="73"/>
      <x:c r="C515" s="74"/>
      <x:c r="D515" s="73"/>
      <x:c r="E515" s="73"/>
      <x:c r="F515" s="75"/>
      <x:c r="G515" s="75"/>
      <x:c r="H515" s="76" t="str">
        <x:f>IF(A515="","",F515-G515)</x:f>
      </x:c>
      <x:c r="I515" s="77" t="str">
        <x:f>IF(A515="","",IF(E515="","기타/불명",IF(IFERROR(SEARCH("급여",E515),0)&gt;0,"인건비",IF(IFERROR(SEARCH("임차",E515),0)&gt;0,"임차·시설",IF(IFERROR(SEARCH("광고",E515),0)&gt;0,"광고·행사",IF(IFERROR(SEARCH("용역",E515),0)&gt;0,"용역·수수료","기타/불명"))))))</x:f>
      </x:c>
      <x:c r="J515" s="77" t="str">
        <x:f>IF(A515="","",IF(I515="기타/불명","확인 필요","결의서명으로 1차 확인"))</x:f>
      </x:c>
      <x:c r="K515" s="78"/>
    </x:row>
    <x:row r="516">
      <x:c r="A516" s="73"/>
      <x:c r="B516" s="73"/>
      <x:c r="C516" s="74"/>
      <x:c r="D516" s="73"/>
      <x:c r="E516" s="73"/>
      <x:c r="F516" s="75"/>
      <x:c r="G516" s="75"/>
      <x:c r="H516" s="76" t="str">
        <x:f>IF(A516="","",F516-G516)</x:f>
      </x:c>
      <x:c r="I516" s="77" t="str">
        <x:f>IF(A516="","",IF(E516="","기타/불명",IF(IFERROR(SEARCH("급여",E516),0)&gt;0,"인건비",IF(IFERROR(SEARCH("임차",E516),0)&gt;0,"임차·시설",IF(IFERROR(SEARCH("광고",E516),0)&gt;0,"광고·행사",IF(IFERROR(SEARCH("용역",E516),0)&gt;0,"용역·수수료","기타/불명"))))))</x:f>
      </x:c>
      <x:c r="J516" s="77" t="str">
        <x:f>IF(A516="","",IF(I516="기타/불명","확인 필요","결의서명으로 1차 확인"))</x:f>
      </x:c>
      <x:c r="K516" s="78"/>
    </x:row>
    <x:row r="517">
      <x:c r="A517" s="73"/>
      <x:c r="B517" s="73"/>
      <x:c r="C517" s="74"/>
      <x:c r="D517" s="73"/>
      <x:c r="E517" s="73"/>
      <x:c r="F517" s="75"/>
      <x:c r="G517" s="75"/>
      <x:c r="H517" s="76" t="str">
        <x:f>IF(A517="","",F517-G517)</x:f>
      </x:c>
      <x:c r="I517" s="77" t="str">
        <x:f>IF(A517="","",IF(E517="","기타/불명",IF(IFERROR(SEARCH("급여",E517),0)&gt;0,"인건비",IF(IFERROR(SEARCH("임차",E517),0)&gt;0,"임차·시설",IF(IFERROR(SEARCH("광고",E517),0)&gt;0,"광고·행사",IF(IFERROR(SEARCH("용역",E517),0)&gt;0,"용역·수수료","기타/불명"))))))</x:f>
      </x:c>
      <x:c r="J517" s="77" t="str">
        <x:f>IF(A517="","",IF(I517="기타/불명","확인 필요","결의서명으로 1차 확인"))</x:f>
      </x:c>
      <x:c r="K517" s="78"/>
    </x:row>
    <x:row r="518">
      <x:c r="A518" s="73"/>
      <x:c r="B518" s="73"/>
      <x:c r="C518" s="74"/>
      <x:c r="D518" s="73"/>
      <x:c r="E518" s="73"/>
      <x:c r="F518" s="75"/>
      <x:c r="G518" s="75"/>
      <x:c r="H518" s="76" t="str">
        <x:f>IF(A518="","",F518-G518)</x:f>
      </x:c>
      <x:c r="I518" s="77" t="str">
        <x:f>IF(A518="","",IF(E518="","기타/불명",IF(IFERROR(SEARCH("급여",E518),0)&gt;0,"인건비",IF(IFERROR(SEARCH("임차",E518),0)&gt;0,"임차·시설",IF(IFERROR(SEARCH("광고",E518),0)&gt;0,"광고·행사",IF(IFERROR(SEARCH("용역",E518),0)&gt;0,"용역·수수료","기타/불명"))))))</x:f>
      </x:c>
      <x:c r="J518" s="77" t="str">
        <x:f>IF(A518="","",IF(I518="기타/불명","확인 필요","결의서명으로 1차 확인"))</x:f>
      </x:c>
      <x:c r="K518" s="78"/>
    </x:row>
    <x:row r="519">
      <x:c r="A519" s="73"/>
      <x:c r="B519" s="73"/>
      <x:c r="C519" s="74"/>
      <x:c r="D519" s="73"/>
      <x:c r="E519" s="73"/>
      <x:c r="F519" s="75"/>
      <x:c r="G519" s="75"/>
      <x:c r="H519" s="76" t="str">
        <x:f>IF(A519="","",F519-G519)</x:f>
      </x:c>
      <x:c r="I519" s="77" t="str">
        <x:f>IF(A519="","",IF(E519="","기타/불명",IF(IFERROR(SEARCH("급여",E519),0)&gt;0,"인건비",IF(IFERROR(SEARCH("임차",E519),0)&gt;0,"임차·시설",IF(IFERROR(SEARCH("광고",E519),0)&gt;0,"광고·행사",IF(IFERROR(SEARCH("용역",E519),0)&gt;0,"용역·수수료","기타/불명"))))))</x:f>
      </x:c>
      <x:c r="J519" s="77" t="str">
        <x:f>IF(A519="","",IF(I519="기타/불명","확인 필요","결의서명으로 1차 확인"))</x:f>
      </x:c>
      <x:c r="K519" s="78"/>
    </x:row>
    <x:row r="520">
      <x:c r="A520" s="73"/>
      <x:c r="B520" s="73"/>
      <x:c r="C520" s="74"/>
      <x:c r="D520" s="73"/>
      <x:c r="E520" s="73"/>
      <x:c r="F520" s="75"/>
      <x:c r="G520" s="75"/>
      <x:c r="H520" s="76" t="str">
        <x:f>IF(A520="","",F520-G520)</x:f>
      </x:c>
      <x:c r="I520" s="77" t="str">
        <x:f>IF(A520="","",IF(E520="","기타/불명",IF(IFERROR(SEARCH("급여",E520),0)&gt;0,"인건비",IF(IFERROR(SEARCH("임차",E520),0)&gt;0,"임차·시설",IF(IFERROR(SEARCH("광고",E520),0)&gt;0,"광고·행사",IF(IFERROR(SEARCH("용역",E520),0)&gt;0,"용역·수수료","기타/불명"))))))</x:f>
      </x:c>
      <x:c r="J520" s="77" t="str">
        <x:f>IF(A520="","",IF(I520="기타/불명","확인 필요","결의서명으로 1차 확인"))</x:f>
      </x:c>
      <x:c r="K520" s="78"/>
    </x:row>
    <x:row r="521">
      <x:c r="A521" s="73"/>
      <x:c r="B521" s="73"/>
      <x:c r="C521" s="74"/>
      <x:c r="D521" s="73"/>
      <x:c r="E521" s="73"/>
      <x:c r="F521" s="75"/>
      <x:c r="G521" s="75"/>
      <x:c r="H521" s="76" t="str">
        <x:f>IF(A521="","",F521-G521)</x:f>
      </x:c>
      <x:c r="I521" s="77" t="str">
        <x:f>IF(A521="","",IF(E521="","기타/불명",IF(IFERROR(SEARCH("급여",E521),0)&gt;0,"인건비",IF(IFERROR(SEARCH("임차",E521),0)&gt;0,"임차·시설",IF(IFERROR(SEARCH("광고",E521),0)&gt;0,"광고·행사",IF(IFERROR(SEARCH("용역",E521),0)&gt;0,"용역·수수료","기타/불명"))))))</x:f>
      </x:c>
      <x:c r="J521" s="77" t="str">
        <x:f>IF(A521="","",IF(I521="기타/불명","확인 필요","결의서명으로 1차 확인"))</x:f>
      </x:c>
      <x:c r="K521" s="78"/>
    </x:row>
    <x:row r="522">
      <x:c r="A522" s="73"/>
      <x:c r="B522" s="73"/>
      <x:c r="C522" s="74"/>
      <x:c r="D522" s="73"/>
      <x:c r="E522" s="73"/>
      <x:c r="F522" s="75"/>
      <x:c r="G522" s="75"/>
      <x:c r="H522" s="76" t="str">
        <x:f>IF(A522="","",F522-G522)</x:f>
      </x:c>
      <x:c r="I522" s="77" t="str">
        <x:f>IF(A522="","",IF(E522="","기타/불명",IF(IFERROR(SEARCH("급여",E522),0)&gt;0,"인건비",IF(IFERROR(SEARCH("임차",E522),0)&gt;0,"임차·시설",IF(IFERROR(SEARCH("광고",E522),0)&gt;0,"광고·행사",IF(IFERROR(SEARCH("용역",E522),0)&gt;0,"용역·수수료","기타/불명"))))))</x:f>
      </x:c>
      <x:c r="J522" s="77" t="str">
        <x:f>IF(A522="","",IF(I522="기타/불명","확인 필요","결의서명으로 1차 확인"))</x:f>
      </x:c>
      <x:c r="K522" s="78"/>
    </x:row>
    <x:row r="523">
      <x:c r="A523" s="73"/>
      <x:c r="B523" s="73"/>
      <x:c r="C523" s="74"/>
      <x:c r="D523" s="73"/>
      <x:c r="E523" s="73"/>
      <x:c r="F523" s="75"/>
      <x:c r="G523" s="75"/>
      <x:c r="H523" s="76" t="str">
        <x:f>IF(A523="","",F523-G523)</x:f>
      </x:c>
      <x:c r="I523" s="77" t="str">
        <x:f>IF(A523="","",IF(E523="","기타/불명",IF(IFERROR(SEARCH("급여",E523),0)&gt;0,"인건비",IF(IFERROR(SEARCH("임차",E523),0)&gt;0,"임차·시설",IF(IFERROR(SEARCH("광고",E523),0)&gt;0,"광고·행사",IF(IFERROR(SEARCH("용역",E523),0)&gt;0,"용역·수수료","기타/불명"))))))</x:f>
      </x:c>
      <x:c r="J523" s="77" t="str">
        <x:f>IF(A523="","",IF(I523="기타/불명","확인 필요","결의서명으로 1차 확인"))</x:f>
      </x:c>
      <x:c r="K523" s="78"/>
    </x:row>
    <x:row r="524">
      <x:c r="A524" s="73"/>
      <x:c r="B524" s="73"/>
      <x:c r="C524" s="74"/>
      <x:c r="D524" s="73"/>
      <x:c r="E524" s="73"/>
      <x:c r="F524" s="75"/>
      <x:c r="G524" s="75"/>
      <x:c r="H524" s="76" t="str">
        <x:f>IF(A524="","",F524-G524)</x:f>
      </x:c>
      <x:c r="I524" s="77" t="str">
        <x:f>IF(A524="","",IF(E524="","기타/불명",IF(IFERROR(SEARCH("급여",E524),0)&gt;0,"인건비",IF(IFERROR(SEARCH("임차",E524),0)&gt;0,"임차·시설",IF(IFERROR(SEARCH("광고",E524),0)&gt;0,"광고·행사",IF(IFERROR(SEARCH("용역",E524),0)&gt;0,"용역·수수료","기타/불명"))))))</x:f>
      </x:c>
      <x:c r="J524" s="77" t="str">
        <x:f>IF(A524="","",IF(I524="기타/불명","확인 필요","결의서명으로 1차 확인"))</x:f>
      </x:c>
      <x:c r="K524" s="78"/>
    </x:row>
    <x:row r="525">
      <x:c r="A525" s="73"/>
      <x:c r="B525" s="73"/>
      <x:c r="C525" s="74"/>
      <x:c r="D525" s="73"/>
      <x:c r="E525" s="73"/>
      <x:c r="F525" s="75"/>
      <x:c r="G525" s="75"/>
      <x:c r="H525" s="76" t="str">
        <x:f>IF(A525="","",F525-G525)</x:f>
      </x:c>
      <x:c r="I525" s="77" t="str">
        <x:f>IF(A525="","",IF(E525="","기타/불명",IF(IFERROR(SEARCH("급여",E525),0)&gt;0,"인건비",IF(IFERROR(SEARCH("임차",E525),0)&gt;0,"임차·시설",IF(IFERROR(SEARCH("광고",E525),0)&gt;0,"광고·행사",IF(IFERROR(SEARCH("용역",E525),0)&gt;0,"용역·수수료","기타/불명"))))))</x:f>
      </x:c>
      <x:c r="J525" s="77" t="str">
        <x:f>IF(A525="","",IF(I525="기타/불명","확인 필요","결의서명으로 1차 확인"))</x:f>
      </x:c>
      <x:c r="K525" s="78"/>
    </x:row>
    <x:row r="526">
      <x:c r="A526" s="73"/>
      <x:c r="B526" s="73"/>
      <x:c r="C526" s="74"/>
      <x:c r="D526" s="73"/>
      <x:c r="E526" s="73"/>
      <x:c r="F526" s="75"/>
      <x:c r="G526" s="75"/>
      <x:c r="H526" s="76" t="str">
        <x:f>IF(A526="","",F526-G526)</x:f>
      </x:c>
      <x:c r="I526" s="77" t="str">
        <x:f>IF(A526="","",IF(E526="","기타/불명",IF(IFERROR(SEARCH("급여",E526),0)&gt;0,"인건비",IF(IFERROR(SEARCH("임차",E526),0)&gt;0,"임차·시설",IF(IFERROR(SEARCH("광고",E526),0)&gt;0,"광고·행사",IF(IFERROR(SEARCH("용역",E526),0)&gt;0,"용역·수수료","기타/불명"))))))</x:f>
      </x:c>
      <x:c r="J526" s="77" t="str">
        <x:f>IF(A526="","",IF(I526="기타/불명","확인 필요","결의서명으로 1차 확인"))</x:f>
      </x:c>
      <x:c r="K526" s="78"/>
    </x:row>
    <x:row r="527">
      <x:c r="A527" s="73"/>
      <x:c r="B527" s="73"/>
      <x:c r="C527" s="74"/>
      <x:c r="D527" s="73"/>
      <x:c r="E527" s="73"/>
      <x:c r="F527" s="75"/>
      <x:c r="G527" s="75"/>
      <x:c r="H527" s="76" t="str">
        <x:f>IF(A527="","",F527-G527)</x:f>
      </x:c>
      <x:c r="I527" s="77" t="str">
        <x:f>IF(A527="","",IF(E527="","기타/불명",IF(IFERROR(SEARCH("급여",E527),0)&gt;0,"인건비",IF(IFERROR(SEARCH("임차",E527),0)&gt;0,"임차·시설",IF(IFERROR(SEARCH("광고",E527),0)&gt;0,"광고·행사",IF(IFERROR(SEARCH("용역",E527),0)&gt;0,"용역·수수료","기타/불명"))))))</x:f>
      </x:c>
      <x:c r="J527" s="77" t="str">
        <x:f>IF(A527="","",IF(I527="기타/불명","확인 필요","결의서명으로 1차 확인"))</x:f>
      </x:c>
      <x:c r="K527" s="78"/>
    </x:row>
    <x:row r="528">
      <x:c r="A528" s="73"/>
      <x:c r="B528" s="73"/>
      <x:c r="C528" s="74"/>
      <x:c r="D528" s="73"/>
      <x:c r="E528" s="73"/>
      <x:c r="F528" s="75"/>
      <x:c r="G528" s="75"/>
      <x:c r="H528" s="76" t="str">
        <x:f>IF(A528="","",F528-G528)</x:f>
      </x:c>
      <x:c r="I528" s="77" t="str">
        <x:f>IF(A528="","",IF(E528="","기타/불명",IF(IFERROR(SEARCH("급여",E528),0)&gt;0,"인건비",IF(IFERROR(SEARCH("임차",E528),0)&gt;0,"임차·시설",IF(IFERROR(SEARCH("광고",E528),0)&gt;0,"광고·행사",IF(IFERROR(SEARCH("용역",E528),0)&gt;0,"용역·수수료","기타/불명"))))))</x:f>
      </x:c>
      <x:c r="J528" s="77" t="str">
        <x:f>IF(A528="","",IF(I528="기타/불명","확인 필요","결의서명으로 1차 확인"))</x:f>
      </x:c>
      <x:c r="K528" s="78"/>
    </x:row>
    <x:row r="529">
      <x:c r="A529" s="73"/>
      <x:c r="B529" s="73"/>
      <x:c r="C529" s="74"/>
      <x:c r="D529" s="73"/>
      <x:c r="E529" s="73"/>
      <x:c r="F529" s="75"/>
      <x:c r="G529" s="75"/>
      <x:c r="H529" s="76" t="str">
        <x:f>IF(A529="","",F529-G529)</x:f>
      </x:c>
      <x:c r="I529" s="77" t="str">
        <x:f>IF(A529="","",IF(E529="","기타/불명",IF(IFERROR(SEARCH("급여",E529),0)&gt;0,"인건비",IF(IFERROR(SEARCH("임차",E529),0)&gt;0,"임차·시설",IF(IFERROR(SEARCH("광고",E529),0)&gt;0,"광고·행사",IF(IFERROR(SEARCH("용역",E529),0)&gt;0,"용역·수수료","기타/불명"))))))</x:f>
      </x:c>
      <x:c r="J529" s="77" t="str">
        <x:f>IF(A529="","",IF(I529="기타/불명","확인 필요","결의서명으로 1차 확인"))</x:f>
      </x:c>
      <x:c r="K529" s="78"/>
    </x:row>
    <x:row r="530">
      <x:c r="A530" s="73"/>
      <x:c r="B530" s="73"/>
      <x:c r="C530" s="74"/>
      <x:c r="D530" s="73"/>
      <x:c r="E530" s="73"/>
      <x:c r="F530" s="75"/>
      <x:c r="G530" s="75"/>
      <x:c r="H530" s="76" t="str">
        <x:f>IF(A530="","",F530-G530)</x:f>
      </x:c>
      <x:c r="I530" s="77" t="str">
        <x:f>IF(A530="","",IF(E530="","기타/불명",IF(IFERROR(SEARCH("급여",E530),0)&gt;0,"인건비",IF(IFERROR(SEARCH("임차",E530),0)&gt;0,"임차·시설",IF(IFERROR(SEARCH("광고",E530),0)&gt;0,"광고·행사",IF(IFERROR(SEARCH("용역",E530),0)&gt;0,"용역·수수료","기타/불명"))))))</x:f>
      </x:c>
      <x:c r="J530" s="77" t="str">
        <x:f>IF(A530="","",IF(I530="기타/불명","확인 필요","결의서명으로 1차 확인"))</x:f>
      </x:c>
      <x:c r="K530" s="78"/>
    </x:row>
    <x:row r="531">
      <x:c r="A531" s="73"/>
      <x:c r="B531" s="73"/>
      <x:c r="C531" s="74"/>
      <x:c r="D531" s="73"/>
      <x:c r="E531" s="73"/>
      <x:c r="F531" s="75"/>
      <x:c r="G531" s="75"/>
      <x:c r="H531" s="76" t="str">
        <x:f>IF(A531="","",F531-G531)</x:f>
      </x:c>
      <x:c r="I531" s="77" t="str">
        <x:f>IF(A531="","",IF(E531="","기타/불명",IF(IFERROR(SEARCH("급여",E531),0)&gt;0,"인건비",IF(IFERROR(SEARCH("임차",E531),0)&gt;0,"임차·시설",IF(IFERROR(SEARCH("광고",E531),0)&gt;0,"광고·행사",IF(IFERROR(SEARCH("용역",E531),0)&gt;0,"용역·수수료","기타/불명"))))))</x:f>
      </x:c>
      <x:c r="J531" s="77" t="str">
        <x:f>IF(A531="","",IF(I531="기타/불명","확인 필요","결의서명으로 1차 확인"))</x:f>
      </x:c>
      <x:c r="K531" s="78"/>
    </x:row>
    <x:row r="532">
      <x:c r="A532" s="73"/>
      <x:c r="B532" s="73"/>
      <x:c r="C532" s="74"/>
      <x:c r="D532" s="73"/>
      <x:c r="E532" s="73"/>
      <x:c r="F532" s="75"/>
      <x:c r="G532" s="75"/>
      <x:c r="H532" s="76" t="str">
        <x:f>IF(A532="","",F532-G532)</x:f>
      </x:c>
      <x:c r="I532" s="77" t="str">
        <x:f>IF(A532="","",IF(E532="","기타/불명",IF(IFERROR(SEARCH("급여",E532),0)&gt;0,"인건비",IF(IFERROR(SEARCH("임차",E532),0)&gt;0,"임차·시설",IF(IFERROR(SEARCH("광고",E532),0)&gt;0,"광고·행사",IF(IFERROR(SEARCH("용역",E532),0)&gt;0,"용역·수수료","기타/불명"))))))</x:f>
      </x:c>
      <x:c r="J532" s="77" t="str">
        <x:f>IF(A532="","",IF(I532="기타/불명","확인 필요","결의서명으로 1차 확인"))</x:f>
      </x:c>
      <x:c r="K532" s="78"/>
    </x:row>
    <x:row r="533">
      <x:c r="A533" s="73"/>
      <x:c r="B533" s="73"/>
      <x:c r="C533" s="74"/>
      <x:c r="D533" s="73"/>
      <x:c r="E533" s="73"/>
      <x:c r="F533" s="75"/>
      <x:c r="G533" s="75"/>
      <x:c r="H533" s="76" t="str">
        <x:f>IF(A533="","",F533-G533)</x:f>
      </x:c>
      <x:c r="I533" s="77" t="str">
        <x:f>IF(A533="","",IF(E533="","기타/불명",IF(IFERROR(SEARCH("급여",E533),0)&gt;0,"인건비",IF(IFERROR(SEARCH("임차",E533),0)&gt;0,"임차·시설",IF(IFERROR(SEARCH("광고",E533),0)&gt;0,"광고·행사",IF(IFERROR(SEARCH("용역",E533),0)&gt;0,"용역·수수료","기타/불명"))))))</x:f>
      </x:c>
      <x:c r="J533" s="77" t="str">
        <x:f>IF(A533="","",IF(I533="기타/불명","확인 필요","결의서명으로 1차 확인"))</x:f>
      </x:c>
      <x:c r="K533" s="78"/>
    </x:row>
    <x:row r="534">
      <x:c r="A534" s="73"/>
      <x:c r="B534" s="73"/>
      <x:c r="C534" s="74"/>
      <x:c r="D534" s="73"/>
      <x:c r="E534" s="73"/>
      <x:c r="F534" s="75"/>
      <x:c r="G534" s="75"/>
      <x:c r="H534" s="76" t="str">
        <x:f>IF(A534="","",F534-G534)</x:f>
      </x:c>
      <x:c r="I534" s="77" t="str">
        <x:f>IF(A534="","",IF(E534="","기타/불명",IF(IFERROR(SEARCH("급여",E534),0)&gt;0,"인건비",IF(IFERROR(SEARCH("임차",E534),0)&gt;0,"임차·시설",IF(IFERROR(SEARCH("광고",E534),0)&gt;0,"광고·행사",IF(IFERROR(SEARCH("용역",E534),0)&gt;0,"용역·수수료","기타/불명"))))))</x:f>
      </x:c>
      <x:c r="J534" s="77" t="str">
        <x:f>IF(A534="","",IF(I534="기타/불명","확인 필요","결의서명으로 1차 확인"))</x:f>
      </x:c>
      <x:c r="K534" s="78"/>
    </x:row>
    <x:row r="535">
      <x:c r="A535" s="73"/>
      <x:c r="B535" s="73"/>
      <x:c r="C535" s="74"/>
      <x:c r="D535" s="73"/>
      <x:c r="E535" s="73"/>
      <x:c r="F535" s="75"/>
      <x:c r="G535" s="75"/>
      <x:c r="H535" s="76" t="str">
        <x:f>IF(A535="","",F535-G535)</x:f>
      </x:c>
      <x:c r="I535" s="77" t="str">
        <x:f>IF(A535="","",IF(E535="","기타/불명",IF(IFERROR(SEARCH("급여",E535),0)&gt;0,"인건비",IF(IFERROR(SEARCH("임차",E535),0)&gt;0,"임차·시설",IF(IFERROR(SEARCH("광고",E535),0)&gt;0,"광고·행사",IF(IFERROR(SEARCH("용역",E535),0)&gt;0,"용역·수수료","기타/불명"))))))</x:f>
      </x:c>
      <x:c r="J535" s="77" t="str">
        <x:f>IF(A535="","",IF(I535="기타/불명","확인 필요","결의서명으로 1차 확인"))</x:f>
      </x:c>
      <x:c r="K535" s="78"/>
    </x:row>
    <x:row r="536">
      <x:c r="A536" s="73"/>
      <x:c r="B536" s="73"/>
      <x:c r="C536" s="74"/>
      <x:c r="D536" s="73"/>
      <x:c r="E536" s="73"/>
      <x:c r="F536" s="75"/>
      <x:c r="G536" s="75"/>
      <x:c r="H536" s="76" t="str">
        <x:f>IF(A536="","",F536-G536)</x:f>
      </x:c>
      <x:c r="I536" s="77" t="str">
        <x:f>IF(A536="","",IF(E536="","기타/불명",IF(IFERROR(SEARCH("급여",E536),0)&gt;0,"인건비",IF(IFERROR(SEARCH("임차",E536),0)&gt;0,"임차·시설",IF(IFERROR(SEARCH("광고",E536),0)&gt;0,"광고·행사",IF(IFERROR(SEARCH("용역",E536),0)&gt;0,"용역·수수료","기타/불명"))))))</x:f>
      </x:c>
      <x:c r="J536" s="77" t="str">
        <x:f>IF(A536="","",IF(I536="기타/불명","확인 필요","결의서명으로 1차 확인"))</x:f>
      </x:c>
      <x:c r="K536" s="78"/>
    </x:row>
    <x:row r="537">
      <x:c r="A537" s="73"/>
      <x:c r="B537" s="73"/>
      <x:c r="C537" s="74"/>
      <x:c r="D537" s="73"/>
      <x:c r="E537" s="73"/>
      <x:c r="F537" s="75"/>
      <x:c r="G537" s="75"/>
      <x:c r="H537" s="76" t="str">
        <x:f>IF(A537="","",F537-G537)</x:f>
      </x:c>
      <x:c r="I537" s="77" t="str">
        <x:f>IF(A537="","",IF(E537="","기타/불명",IF(IFERROR(SEARCH("급여",E537),0)&gt;0,"인건비",IF(IFERROR(SEARCH("임차",E537),0)&gt;0,"임차·시설",IF(IFERROR(SEARCH("광고",E537),0)&gt;0,"광고·행사",IF(IFERROR(SEARCH("용역",E537),0)&gt;0,"용역·수수료","기타/불명"))))))</x:f>
      </x:c>
      <x:c r="J537" s="77" t="str">
        <x:f>IF(A537="","",IF(I537="기타/불명","확인 필요","결의서명으로 1차 확인"))</x:f>
      </x:c>
      <x:c r="K537" s="78"/>
    </x:row>
    <x:row r="538">
      <x:c r="A538" s="73"/>
      <x:c r="B538" s="73"/>
      <x:c r="C538" s="74"/>
      <x:c r="D538" s="73"/>
      <x:c r="E538" s="73"/>
      <x:c r="F538" s="75"/>
      <x:c r="G538" s="75"/>
      <x:c r="H538" s="76" t="str">
        <x:f>IF(A538="","",F538-G538)</x:f>
      </x:c>
      <x:c r="I538" s="77" t="str">
        <x:f>IF(A538="","",IF(E538="","기타/불명",IF(IFERROR(SEARCH("급여",E538),0)&gt;0,"인건비",IF(IFERROR(SEARCH("임차",E538),0)&gt;0,"임차·시설",IF(IFERROR(SEARCH("광고",E538),0)&gt;0,"광고·행사",IF(IFERROR(SEARCH("용역",E538),0)&gt;0,"용역·수수료","기타/불명"))))))</x:f>
      </x:c>
      <x:c r="J538" s="77" t="str">
        <x:f>IF(A538="","",IF(I538="기타/불명","확인 필요","결의서명으로 1차 확인"))</x:f>
      </x:c>
      <x:c r="K538" s="78"/>
    </x:row>
    <x:row r="539">
      <x:c r="A539" s="73"/>
      <x:c r="B539" s="73"/>
      <x:c r="C539" s="74"/>
      <x:c r="D539" s="73"/>
      <x:c r="E539" s="73"/>
      <x:c r="F539" s="75"/>
      <x:c r="G539" s="75"/>
      <x:c r="H539" s="76" t="str">
        <x:f>IF(A539="","",F539-G539)</x:f>
      </x:c>
      <x:c r="I539" s="77" t="str">
        <x:f>IF(A539="","",IF(E539="","기타/불명",IF(IFERROR(SEARCH("급여",E539),0)&gt;0,"인건비",IF(IFERROR(SEARCH("임차",E539),0)&gt;0,"임차·시설",IF(IFERROR(SEARCH("광고",E539),0)&gt;0,"광고·행사",IF(IFERROR(SEARCH("용역",E539),0)&gt;0,"용역·수수료","기타/불명"))))))</x:f>
      </x:c>
      <x:c r="J539" s="77" t="str">
        <x:f>IF(A539="","",IF(I539="기타/불명","확인 필요","결의서명으로 1차 확인"))</x:f>
      </x:c>
      <x:c r="K539" s="78"/>
    </x:row>
    <x:row r="540">
      <x:c r="A540" s="73"/>
      <x:c r="B540" s="73"/>
      <x:c r="C540" s="74"/>
      <x:c r="D540" s="73"/>
      <x:c r="E540" s="73"/>
      <x:c r="F540" s="75"/>
      <x:c r="G540" s="75"/>
      <x:c r="H540" s="76" t="str">
        <x:f>IF(A540="","",F540-G540)</x:f>
      </x:c>
      <x:c r="I540" s="77" t="str">
        <x:f>IF(A540="","",IF(E540="","기타/불명",IF(IFERROR(SEARCH("급여",E540),0)&gt;0,"인건비",IF(IFERROR(SEARCH("임차",E540),0)&gt;0,"임차·시설",IF(IFERROR(SEARCH("광고",E540),0)&gt;0,"광고·행사",IF(IFERROR(SEARCH("용역",E540),0)&gt;0,"용역·수수료","기타/불명"))))))</x:f>
      </x:c>
      <x:c r="J540" s="77" t="str">
        <x:f>IF(A540="","",IF(I540="기타/불명","확인 필요","결의서명으로 1차 확인"))</x:f>
      </x:c>
      <x:c r="K540" s="78"/>
    </x:row>
    <x:row r="541">
      <x:c r="A541" s="73"/>
      <x:c r="B541" s="73"/>
      <x:c r="C541" s="74"/>
      <x:c r="D541" s="73"/>
      <x:c r="E541" s="73"/>
      <x:c r="F541" s="75"/>
      <x:c r="G541" s="75"/>
      <x:c r="H541" s="76" t="str">
        <x:f>IF(A541="","",F541-G541)</x:f>
      </x:c>
      <x:c r="I541" s="77" t="str">
        <x:f>IF(A541="","",IF(E541="","기타/불명",IF(IFERROR(SEARCH("급여",E541),0)&gt;0,"인건비",IF(IFERROR(SEARCH("임차",E541),0)&gt;0,"임차·시설",IF(IFERROR(SEARCH("광고",E541),0)&gt;0,"광고·행사",IF(IFERROR(SEARCH("용역",E541),0)&gt;0,"용역·수수료","기타/불명"))))))</x:f>
      </x:c>
      <x:c r="J541" s="77" t="str">
        <x:f>IF(A541="","",IF(I541="기타/불명","확인 필요","결의서명으로 1차 확인"))</x:f>
      </x:c>
      <x:c r="K541" s="78"/>
    </x:row>
    <x:row r="542">
      <x:c r="A542" s="73"/>
      <x:c r="B542" s="73"/>
      <x:c r="C542" s="74"/>
      <x:c r="D542" s="73"/>
      <x:c r="E542" s="73"/>
      <x:c r="F542" s="75"/>
      <x:c r="G542" s="75"/>
      <x:c r="H542" s="76" t="str">
        <x:f>IF(A542="","",F542-G542)</x:f>
      </x:c>
      <x:c r="I542" s="77" t="str">
        <x:f>IF(A542="","",IF(E542="","기타/불명",IF(IFERROR(SEARCH("급여",E542),0)&gt;0,"인건비",IF(IFERROR(SEARCH("임차",E542),0)&gt;0,"임차·시설",IF(IFERROR(SEARCH("광고",E542),0)&gt;0,"광고·행사",IF(IFERROR(SEARCH("용역",E542),0)&gt;0,"용역·수수료","기타/불명"))))))</x:f>
      </x:c>
      <x:c r="J542" s="77" t="str">
        <x:f>IF(A542="","",IF(I542="기타/불명","확인 필요","결의서명으로 1차 확인"))</x:f>
      </x:c>
      <x:c r="K542" s="78"/>
    </x:row>
    <x:row r="543">
      <x:c r="A543" s="73"/>
      <x:c r="B543" s="73"/>
      <x:c r="C543" s="74"/>
      <x:c r="D543" s="73"/>
      <x:c r="E543" s="73"/>
      <x:c r="F543" s="75"/>
      <x:c r="G543" s="75"/>
      <x:c r="H543" s="76" t="str">
        <x:f>IF(A543="","",F543-G543)</x:f>
      </x:c>
      <x:c r="I543" s="77" t="str">
        <x:f>IF(A543="","",IF(E543="","기타/불명",IF(IFERROR(SEARCH("급여",E543),0)&gt;0,"인건비",IF(IFERROR(SEARCH("임차",E543),0)&gt;0,"임차·시설",IF(IFERROR(SEARCH("광고",E543),0)&gt;0,"광고·행사",IF(IFERROR(SEARCH("용역",E543),0)&gt;0,"용역·수수료","기타/불명"))))))</x:f>
      </x:c>
      <x:c r="J543" s="77" t="str">
        <x:f>IF(A543="","",IF(I543="기타/불명","확인 필요","결의서명으로 1차 확인"))</x:f>
      </x:c>
      <x:c r="K543" s="78"/>
    </x:row>
    <x:row r="544">
      <x:c r="A544" s="73"/>
      <x:c r="B544" s="73"/>
      <x:c r="C544" s="74"/>
      <x:c r="D544" s="73"/>
      <x:c r="E544" s="73"/>
      <x:c r="F544" s="75"/>
      <x:c r="G544" s="75"/>
      <x:c r="H544" s="76" t="str">
        <x:f>IF(A544="","",F544-G544)</x:f>
      </x:c>
      <x:c r="I544" s="77" t="str">
        <x:f>IF(A544="","",IF(E544="","기타/불명",IF(IFERROR(SEARCH("급여",E544),0)&gt;0,"인건비",IF(IFERROR(SEARCH("임차",E544),0)&gt;0,"임차·시설",IF(IFERROR(SEARCH("광고",E544),0)&gt;0,"광고·행사",IF(IFERROR(SEARCH("용역",E544),0)&gt;0,"용역·수수료","기타/불명"))))))</x:f>
      </x:c>
      <x:c r="J544" s="77" t="str">
        <x:f>IF(A544="","",IF(I544="기타/불명","확인 필요","결의서명으로 1차 확인"))</x:f>
      </x:c>
      <x:c r="K544" s="78"/>
    </x:row>
    <x:row r="545">
      <x:c r="A545" s="73"/>
      <x:c r="B545" s="73"/>
      <x:c r="C545" s="74"/>
      <x:c r="D545" s="73"/>
      <x:c r="E545" s="73"/>
      <x:c r="F545" s="75"/>
      <x:c r="G545" s="75"/>
      <x:c r="H545" s="76" t="str">
        <x:f>IF(A545="","",F545-G545)</x:f>
      </x:c>
      <x:c r="I545" s="77" t="str">
        <x:f>IF(A545="","",IF(E545="","기타/불명",IF(IFERROR(SEARCH("급여",E545),0)&gt;0,"인건비",IF(IFERROR(SEARCH("임차",E545),0)&gt;0,"임차·시설",IF(IFERROR(SEARCH("광고",E545),0)&gt;0,"광고·행사",IF(IFERROR(SEARCH("용역",E545),0)&gt;0,"용역·수수료","기타/불명"))))))</x:f>
      </x:c>
      <x:c r="J545" s="77" t="str">
        <x:f>IF(A545="","",IF(I545="기타/불명","확인 필요","결의서명으로 1차 확인"))</x:f>
      </x:c>
      <x:c r="K545" s="78"/>
    </x:row>
    <x:row r="546">
      <x:c r="A546" s="73"/>
      <x:c r="B546" s="73"/>
      <x:c r="C546" s="74"/>
      <x:c r="D546" s="73"/>
      <x:c r="E546" s="73"/>
      <x:c r="F546" s="75"/>
      <x:c r="G546" s="75"/>
      <x:c r="H546" s="76" t="str">
        <x:f>IF(A546="","",F546-G546)</x:f>
      </x:c>
      <x:c r="I546" s="77" t="str">
        <x:f>IF(A546="","",IF(E546="","기타/불명",IF(IFERROR(SEARCH("급여",E546),0)&gt;0,"인건비",IF(IFERROR(SEARCH("임차",E546),0)&gt;0,"임차·시설",IF(IFERROR(SEARCH("광고",E546),0)&gt;0,"광고·행사",IF(IFERROR(SEARCH("용역",E546),0)&gt;0,"용역·수수료","기타/불명"))))))</x:f>
      </x:c>
      <x:c r="J546" s="77" t="str">
        <x:f>IF(A546="","",IF(I546="기타/불명","확인 필요","결의서명으로 1차 확인"))</x:f>
      </x:c>
      <x:c r="K546" s="78"/>
    </x:row>
    <x:row r="547">
      <x:c r="A547" s="73"/>
      <x:c r="B547" s="73"/>
      <x:c r="C547" s="74"/>
      <x:c r="D547" s="73"/>
      <x:c r="E547" s="73"/>
      <x:c r="F547" s="75"/>
      <x:c r="G547" s="75"/>
      <x:c r="H547" s="76" t="str">
        <x:f>IF(A547="","",F547-G547)</x:f>
      </x:c>
      <x:c r="I547" s="77" t="str">
        <x:f>IF(A547="","",IF(E547="","기타/불명",IF(IFERROR(SEARCH("급여",E547),0)&gt;0,"인건비",IF(IFERROR(SEARCH("임차",E547),0)&gt;0,"임차·시설",IF(IFERROR(SEARCH("광고",E547),0)&gt;0,"광고·행사",IF(IFERROR(SEARCH("용역",E547),0)&gt;0,"용역·수수료","기타/불명"))))))</x:f>
      </x:c>
      <x:c r="J547" s="77" t="str">
        <x:f>IF(A547="","",IF(I547="기타/불명","확인 필요","결의서명으로 1차 확인"))</x:f>
      </x:c>
      <x:c r="K547" s="78"/>
    </x:row>
    <x:row r="548">
      <x:c r="A548" s="73"/>
      <x:c r="B548" s="73"/>
      <x:c r="C548" s="74"/>
      <x:c r="D548" s="73"/>
      <x:c r="E548" s="73"/>
      <x:c r="F548" s="75"/>
      <x:c r="G548" s="75"/>
      <x:c r="H548" s="76" t="str">
        <x:f>IF(A548="","",F548-G548)</x:f>
      </x:c>
      <x:c r="I548" s="77" t="str">
        <x:f>IF(A548="","",IF(E548="","기타/불명",IF(IFERROR(SEARCH("급여",E548),0)&gt;0,"인건비",IF(IFERROR(SEARCH("임차",E548),0)&gt;0,"임차·시설",IF(IFERROR(SEARCH("광고",E548),0)&gt;0,"광고·행사",IF(IFERROR(SEARCH("용역",E548),0)&gt;0,"용역·수수료","기타/불명"))))))</x:f>
      </x:c>
      <x:c r="J548" s="77" t="str">
        <x:f>IF(A548="","",IF(I548="기타/불명","확인 필요","결의서명으로 1차 확인"))</x:f>
      </x:c>
      <x:c r="K548" s="78"/>
    </x:row>
    <x:row r="549">
      <x:c r="A549" s="73"/>
      <x:c r="B549" s="73"/>
      <x:c r="C549" s="74"/>
      <x:c r="D549" s="73"/>
      <x:c r="E549" s="73"/>
      <x:c r="F549" s="75"/>
      <x:c r="G549" s="75"/>
      <x:c r="H549" s="76" t="str">
        <x:f>IF(A549="","",F549-G549)</x:f>
      </x:c>
      <x:c r="I549" s="77" t="str">
        <x:f>IF(A549="","",IF(E549="","기타/불명",IF(IFERROR(SEARCH("급여",E549),0)&gt;0,"인건비",IF(IFERROR(SEARCH("임차",E549),0)&gt;0,"임차·시설",IF(IFERROR(SEARCH("광고",E549),0)&gt;0,"광고·행사",IF(IFERROR(SEARCH("용역",E549),0)&gt;0,"용역·수수료","기타/불명"))))))</x:f>
      </x:c>
      <x:c r="J549" s="77" t="str">
        <x:f>IF(A549="","",IF(I549="기타/불명","확인 필요","결의서명으로 1차 확인"))</x:f>
      </x:c>
      <x:c r="K549" s="78"/>
    </x:row>
    <x:row r="550">
      <x:c r="A550" s="73"/>
      <x:c r="B550" s="73"/>
      <x:c r="C550" s="74"/>
      <x:c r="D550" s="73"/>
      <x:c r="E550" s="73"/>
      <x:c r="F550" s="75"/>
      <x:c r="G550" s="75"/>
      <x:c r="H550" s="76" t="str">
        <x:f>IF(A550="","",F550-G550)</x:f>
      </x:c>
      <x:c r="I550" s="77" t="str">
        <x:f>IF(A550="","",IF(E550="","기타/불명",IF(IFERROR(SEARCH("급여",E550),0)&gt;0,"인건비",IF(IFERROR(SEARCH("임차",E550),0)&gt;0,"임차·시설",IF(IFERROR(SEARCH("광고",E550),0)&gt;0,"광고·행사",IF(IFERROR(SEARCH("용역",E550),0)&gt;0,"용역·수수료","기타/불명"))))))</x:f>
      </x:c>
      <x:c r="J550" s="77" t="str">
        <x:f>IF(A550="","",IF(I550="기타/불명","확인 필요","결의서명으로 1차 확인"))</x:f>
      </x:c>
      <x:c r="K550" s="78"/>
    </x:row>
    <x:row r="551">
      <x:c r="A551" s="73"/>
      <x:c r="B551" s="73"/>
      <x:c r="C551" s="74"/>
      <x:c r="D551" s="73"/>
      <x:c r="E551" s="73"/>
      <x:c r="F551" s="75"/>
      <x:c r="G551" s="75"/>
      <x:c r="H551" s="76" t="str">
        <x:f>IF(A551="","",F551-G551)</x:f>
      </x:c>
      <x:c r="I551" s="77" t="str">
        <x:f>IF(A551="","",IF(E551="","기타/불명",IF(IFERROR(SEARCH("급여",E551),0)&gt;0,"인건비",IF(IFERROR(SEARCH("임차",E551),0)&gt;0,"임차·시설",IF(IFERROR(SEARCH("광고",E551),0)&gt;0,"광고·행사",IF(IFERROR(SEARCH("용역",E551),0)&gt;0,"용역·수수료","기타/불명"))))))</x:f>
      </x:c>
      <x:c r="J551" s="77" t="str">
        <x:f>IF(A551="","",IF(I551="기타/불명","확인 필요","결의서명으로 1차 확인"))</x:f>
      </x:c>
      <x:c r="K551" s="78"/>
    </x:row>
    <x:row r="552">
      <x:c r="A552" s="73"/>
      <x:c r="B552" s="73"/>
      <x:c r="C552" s="74"/>
      <x:c r="D552" s="73"/>
      <x:c r="E552" s="73"/>
      <x:c r="F552" s="75"/>
      <x:c r="G552" s="75"/>
      <x:c r="H552" s="76" t="str">
        <x:f>IF(A552="","",F552-G552)</x:f>
      </x:c>
      <x:c r="I552" s="77" t="str">
        <x:f>IF(A552="","",IF(E552="","기타/불명",IF(IFERROR(SEARCH("급여",E552),0)&gt;0,"인건비",IF(IFERROR(SEARCH("임차",E552),0)&gt;0,"임차·시설",IF(IFERROR(SEARCH("광고",E552),0)&gt;0,"광고·행사",IF(IFERROR(SEARCH("용역",E552),0)&gt;0,"용역·수수료","기타/불명"))))))</x:f>
      </x:c>
      <x:c r="J552" s="77" t="str">
        <x:f>IF(A552="","",IF(I552="기타/불명","확인 필요","결의서명으로 1차 확인"))</x:f>
      </x:c>
      <x:c r="K552" s="78"/>
    </x:row>
    <x:row r="553">
      <x:c r="A553" s="73"/>
      <x:c r="B553" s="73"/>
      <x:c r="C553" s="74"/>
      <x:c r="D553" s="73"/>
      <x:c r="E553" s="73"/>
      <x:c r="F553" s="75"/>
      <x:c r="G553" s="75"/>
      <x:c r="H553" s="76" t="str">
        <x:f>IF(A553="","",F553-G553)</x:f>
      </x:c>
      <x:c r="I553" s="77" t="str">
        <x:f>IF(A553="","",IF(E553="","기타/불명",IF(IFERROR(SEARCH("급여",E553),0)&gt;0,"인건비",IF(IFERROR(SEARCH("임차",E553),0)&gt;0,"임차·시설",IF(IFERROR(SEARCH("광고",E553),0)&gt;0,"광고·행사",IF(IFERROR(SEARCH("용역",E553),0)&gt;0,"용역·수수료","기타/불명"))))))</x:f>
      </x:c>
      <x:c r="J553" s="77" t="str">
        <x:f>IF(A553="","",IF(I553="기타/불명","확인 필요","결의서명으로 1차 확인"))</x:f>
      </x:c>
      <x:c r="K553" s="78"/>
    </x:row>
    <x:row r="554">
      <x:c r="A554" s="73"/>
      <x:c r="B554" s="73"/>
      <x:c r="C554" s="74"/>
      <x:c r="D554" s="73"/>
      <x:c r="E554" s="73"/>
      <x:c r="F554" s="75"/>
      <x:c r="G554" s="75"/>
      <x:c r="H554" s="76" t="str">
        <x:f>IF(A554="","",F554-G554)</x:f>
      </x:c>
      <x:c r="I554" s="77" t="str">
        <x:f>IF(A554="","",IF(E554="","기타/불명",IF(IFERROR(SEARCH("급여",E554),0)&gt;0,"인건비",IF(IFERROR(SEARCH("임차",E554),0)&gt;0,"임차·시설",IF(IFERROR(SEARCH("광고",E554),0)&gt;0,"광고·행사",IF(IFERROR(SEARCH("용역",E554),0)&gt;0,"용역·수수료","기타/불명"))))))</x:f>
      </x:c>
      <x:c r="J554" s="77" t="str">
        <x:f>IF(A554="","",IF(I554="기타/불명","확인 필요","결의서명으로 1차 확인"))</x:f>
      </x:c>
      <x:c r="K554" s="78"/>
    </x:row>
    <x:row r="555">
      <x:c r="A555" s="73"/>
      <x:c r="B555" s="73"/>
      <x:c r="C555" s="74"/>
      <x:c r="D555" s="73"/>
      <x:c r="E555" s="73"/>
      <x:c r="F555" s="75"/>
      <x:c r="G555" s="75"/>
      <x:c r="H555" s="76" t="str">
        <x:f>IF(A555="","",F555-G555)</x:f>
      </x:c>
      <x:c r="I555" s="77" t="str">
        <x:f>IF(A555="","",IF(E555="","기타/불명",IF(IFERROR(SEARCH("급여",E555),0)&gt;0,"인건비",IF(IFERROR(SEARCH("임차",E555),0)&gt;0,"임차·시설",IF(IFERROR(SEARCH("광고",E555),0)&gt;0,"광고·행사",IF(IFERROR(SEARCH("용역",E555),0)&gt;0,"용역·수수료","기타/불명"))))))</x:f>
      </x:c>
      <x:c r="J555" s="77" t="str">
        <x:f>IF(A555="","",IF(I555="기타/불명","확인 필요","결의서명으로 1차 확인"))</x:f>
      </x:c>
      <x:c r="K555" s="78"/>
    </x:row>
    <x:row r="556">
      <x:c r="A556" s="73"/>
      <x:c r="B556" s="73"/>
      <x:c r="C556" s="74"/>
      <x:c r="D556" s="73"/>
      <x:c r="E556" s="73"/>
      <x:c r="F556" s="75"/>
      <x:c r="G556" s="75"/>
      <x:c r="H556" s="76" t="str">
        <x:f>IF(A556="","",F556-G556)</x:f>
      </x:c>
      <x:c r="I556" s="77" t="str">
        <x:f>IF(A556="","",IF(E556="","기타/불명",IF(IFERROR(SEARCH("급여",E556),0)&gt;0,"인건비",IF(IFERROR(SEARCH("임차",E556),0)&gt;0,"임차·시설",IF(IFERROR(SEARCH("광고",E556),0)&gt;0,"광고·행사",IF(IFERROR(SEARCH("용역",E556),0)&gt;0,"용역·수수료","기타/불명"))))))</x:f>
      </x:c>
      <x:c r="J556" s="77" t="str">
        <x:f>IF(A556="","",IF(I556="기타/불명","확인 필요","결의서명으로 1차 확인"))</x:f>
      </x:c>
      <x:c r="K556" s="78"/>
    </x:row>
    <x:row r="557">
      <x:c r="A557" s="73"/>
      <x:c r="B557" s="73"/>
      <x:c r="C557" s="74"/>
      <x:c r="D557" s="73"/>
      <x:c r="E557" s="73"/>
      <x:c r="F557" s="75"/>
      <x:c r="G557" s="75"/>
      <x:c r="H557" s="76" t="str">
        <x:f>IF(A557="","",F557-G557)</x:f>
      </x:c>
      <x:c r="I557" s="77" t="str">
        <x:f>IF(A557="","",IF(E557="","기타/불명",IF(IFERROR(SEARCH("급여",E557),0)&gt;0,"인건비",IF(IFERROR(SEARCH("임차",E557),0)&gt;0,"임차·시설",IF(IFERROR(SEARCH("광고",E557),0)&gt;0,"광고·행사",IF(IFERROR(SEARCH("용역",E557),0)&gt;0,"용역·수수료","기타/불명"))))))</x:f>
      </x:c>
      <x:c r="J557" s="77" t="str">
        <x:f>IF(A557="","",IF(I557="기타/불명","확인 필요","결의서명으로 1차 확인"))</x:f>
      </x:c>
      <x:c r="K557" s="78"/>
    </x:row>
    <x:row r="558">
      <x:c r="A558" s="73"/>
      <x:c r="B558" s="73"/>
      <x:c r="C558" s="74"/>
      <x:c r="D558" s="73"/>
      <x:c r="E558" s="73"/>
      <x:c r="F558" s="75"/>
      <x:c r="G558" s="75"/>
      <x:c r="H558" s="76" t="str">
        <x:f>IF(A558="","",F558-G558)</x:f>
      </x:c>
      <x:c r="I558" s="77" t="str">
        <x:f>IF(A558="","",IF(E558="","기타/불명",IF(IFERROR(SEARCH("급여",E558),0)&gt;0,"인건비",IF(IFERROR(SEARCH("임차",E558),0)&gt;0,"임차·시설",IF(IFERROR(SEARCH("광고",E558),0)&gt;0,"광고·행사",IF(IFERROR(SEARCH("용역",E558),0)&gt;0,"용역·수수료","기타/불명"))))))</x:f>
      </x:c>
      <x:c r="J558" s="77" t="str">
        <x:f>IF(A558="","",IF(I558="기타/불명","확인 필요","결의서명으로 1차 확인"))</x:f>
      </x:c>
      <x:c r="K558" s="78"/>
    </x:row>
    <x:row r="559">
      <x:c r="A559" s="73"/>
      <x:c r="B559" s="73"/>
      <x:c r="C559" s="74"/>
      <x:c r="D559" s="73"/>
      <x:c r="E559" s="73"/>
      <x:c r="F559" s="75"/>
      <x:c r="G559" s="75"/>
      <x:c r="H559" s="76" t="str">
        <x:f>IF(A559="","",F559-G559)</x:f>
      </x:c>
      <x:c r="I559" s="77" t="str">
        <x:f>IF(A559="","",IF(E559="","기타/불명",IF(IFERROR(SEARCH("급여",E559),0)&gt;0,"인건비",IF(IFERROR(SEARCH("임차",E559),0)&gt;0,"임차·시설",IF(IFERROR(SEARCH("광고",E559),0)&gt;0,"광고·행사",IF(IFERROR(SEARCH("용역",E559),0)&gt;0,"용역·수수료","기타/불명"))))))</x:f>
      </x:c>
      <x:c r="J559" s="77" t="str">
        <x:f>IF(A559="","",IF(I559="기타/불명","확인 필요","결의서명으로 1차 확인"))</x:f>
      </x:c>
      <x:c r="K559" s="78"/>
    </x:row>
    <x:row r="560">
      <x:c r="A560" s="73"/>
      <x:c r="B560" s="73"/>
      <x:c r="C560" s="74"/>
      <x:c r="D560" s="73"/>
      <x:c r="E560" s="73"/>
      <x:c r="F560" s="75"/>
      <x:c r="G560" s="75"/>
      <x:c r="H560" s="76" t="str">
        <x:f>IF(A560="","",F560-G560)</x:f>
      </x:c>
      <x:c r="I560" s="77" t="str">
        <x:f>IF(A560="","",IF(E560="","기타/불명",IF(IFERROR(SEARCH("급여",E560),0)&gt;0,"인건비",IF(IFERROR(SEARCH("임차",E560),0)&gt;0,"임차·시설",IF(IFERROR(SEARCH("광고",E560),0)&gt;0,"광고·행사",IF(IFERROR(SEARCH("용역",E560),0)&gt;0,"용역·수수료","기타/불명"))))))</x:f>
      </x:c>
      <x:c r="J560" s="77" t="str">
        <x:f>IF(A560="","",IF(I560="기타/불명","확인 필요","결의서명으로 1차 확인"))</x:f>
      </x:c>
      <x:c r="K560" s="78"/>
    </x:row>
    <x:row r="561">
      <x:c r="A561" s="73"/>
      <x:c r="B561" s="73"/>
      <x:c r="C561" s="74"/>
      <x:c r="D561" s="73"/>
      <x:c r="E561" s="73"/>
      <x:c r="F561" s="75"/>
      <x:c r="G561" s="75"/>
      <x:c r="H561" s="76" t="str">
        <x:f>IF(A561="","",F561-G561)</x:f>
      </x:c>
      <x:c r="I561" s="77" t="str">
        <x:f>IF(A561="","",IF(E561="","기타/불명",IF(IFERROR(SEARCH("급여",E561),0)&gt;0,"인건비",IF(IFERROR(SEARCH("임차",E561),0)&gt;0,"임차·시설",IF(IFERROR(SEARCH("광고",E561),0)&gt;0,"광고·행사",IF(IFERROR(SEARCH("용역",E561),0)&gt;0,"용역·수수료","기타/불명"))))))</x:f>
      </x:c>
      <x:c r="J561" s="77" t="str">
        <x:f>IF(A561="","",IF(I561="기타/불명","확인 필요","결의서명으로 1차 확인"))</x:f>
      </x:c>
      <x:c r="K561" s="78"/>
    </x:row>
    <x:row r="562">
      <x:c r="A562" s="73"/>
      <x:c r="B562" s="73"/>
      <x:c r="C562" s="74"/>
      <x:c r="D562" s="73"/>
      <x:c r="E562" s="73"/>
      <x:c r="F562" s="75"/>
      <x:c r="G562" s="75"/>
      <x:c r="H562" s="76" t="str">
        <x:f>IF(A562="","",F562-G562)</x:f>
      </x:c>
      <x:c r="I562" s="77" t="str">
        <x:f>IF(A562="","",IF(E562="","기타/불명",IF(IFERROR(SEARCH("급여",E562),0)&gt;0,"인건비",IF(IFERROR(SEARCH("임차",E562),0)&gt;0,"임차·시설",IF(IFERROR(SEARCH("광고",E562),0)&gt;0,"광고·행사",IF(IFERROR(SEARCH("용역",E562),0)&gt;0,"용역·수수료","기타/불명"))))))</x:f>
      </x:c>
      <x:c r="J562" s="77" t="str">
        <x:f>IF(A562="","",IF(I562="기타/불명","확인 필요","결의서명으로 1차 확인"))</x:f>
      </x:c>
      <x:c r="K562" s="78"/>
    </x:row>
    <x:row r="563">
      <x:c r="A563" s="73"/>
      <x:c r="B563" s="73"/>
      <x:c r="C563" s="74"/>
      <x:c r="D563" s="73"/>
      <x:c r="E563" s="73"/>
      <x:c r="F563" s="75"/>
      <x:c r="G563" s="75"/>
      <x:c r="H563" s="76" t="str">
        <x:f>IF(A563="","",F563-G563)</x:f>
      </x:c>
      <x:c r="I563" s="77" t="str">
        <x:f>IF(A563="","",IF(E563="","기타/불명",IF(IFERROR(SEARCH("급여",E563),0)&gt;0,"인건비",IF(IFERROR(SEARCH("임차",E563),0)&gt;0,"임차·시설",IF(IFERROR(SEARCH("광고",E563),0)&gt;0,"광고·행사",IF(IFERROR(SEARCH("용역",E563),0)&gt;0,"용역·수수료","기타/불명"))))))</x:f>
      </x:c>
      <x:c r="J563" s="77" t="str">
        <x:f>IF(A563="","",IF(I563="기타/불명","확인 필요","결의서명으로 1차 확인"))</x:f>
      </x:c>
      <x:c r="K563" s="78"/>
    </x:row>
    <x:row r="564">
      <x:c r="A564" s="73"/>
      <x:c r="B564" s="73"/>
      <x:c r="C564" s="74"/>
      <x:c r="D564" s="73"/>
      <x:c r="E564" s="73"/>
      <x:c r="F564" s="75"/>
      <x:c r="G564" s="75"/>
      <x:c r="H564" s="76" t="str">
        <x:f>IF(A564="","",F564-G564)</x:f>
      </x:c>
      <x:c r="I564" s="77" t="str">
        <x:f>IF(A564="","",IF(E564="","기타/불명",IF(IFERROR(SEARCH("급여",E564),0)&gt;0,"인건비",IF(IFERROR(SEARCH("임차",E564),0)&gt;0,"임차·시설",IF(IFERROR(SEARCH("광고",E564),0)&gt;0,"광고·행사",IF(IFERROR(SEARCH("용역",E564),0)&gt;0,"용역·수수료","기타/불명"))))))</x:f>
      </x:c>
      <x:c r="J564" s="77" t="str">
        <x:f>IF(A564="","",IF(I564="기타/불명","확인 필요","결의서명으로 1차 확인"))</x:f>
      </x:c>
      <x:c r="K564" s="78"/>
    </x:row>
    <x:row r="565">
      <x:c r="A565" s="73"/>
      <x:c r="B565" s="73"/>
      <x:c r="C565" s="74"/>
      <x:c r="D565" s="73"/>
      <x:c r="E565" s="73"/>
      <x:c r="F565" s="75"/>
      <x:c r="G565" s="75"/>
      <x:c r="H565" s="76" t="str">
        <x:f>IF(A565="","",F565-G565)</x:f>
      </x:c>
      <x:c r="I565" s="77" t="str">
        <x:f>IF(A565="","",IF(E565="","기타/불명",IF(IFERROR(SEARCH("급여",E565),0)&gt;0,"인건비",IF(IFERROR(SEARCH("임차",E565),0)&gt;0,"임차·시설",IF(IFERROR(SEARCH("광고",E565),0)&gt;0,"광고·행사",IF(IFERROR(SEARCH("용역",E565),0)&gt;0,"용역·수수료","기타/불명"))))))</x:f>
      </x:c>
      <x:c r="J565" s="77" t="str">
        <x:f>IF(A565="","",IF(I565="기타/불명","확인 필요","결의서명으로 1차 확인"))</x:f>
      </x:c>
      <x:c r="K565" s="78"/>
    </x:row>
    <x:row r="566">
      <x:c r="A566" s="73"/>
      <x:c r="B566" s="73"/>
      <x:c r="C566" s="74"/>
      <x:c r="D566" s="73"/>
      <x:c r="E566" s="73"/>
      <x:c r="F566" s="75"/>
      <x:c r="G566" s="75"/>
      <x:c r="H566" s="76" t="str">
        <x:f>IF(A566="","",F566-G566)</x:f>
      </x:c>
      <x:c r="I566" s="77" t="str">
        <x:f>IF(A566="","",IF(E566="","기타/불명",IF(IFERROR(SEARCH("급여",E566),0)&gt;0,"인건비",IF(IFERROR(SEARCH("임차",E566),0)&gt;0,"임차·시설",IF(IFERROR(SEARCH("광고",E566),0)&gt;0,"광고·행사",IF(IFERROR(SEARCH("용역",E566),0)&gt;0,"용역·수수료","기타/불명"))))))</x:f>
      </x:c>
      <x:c r="J566" s="77" t="str">
        <x:f>IF(A566="","",IF(I566="기타/불명","확인 필요","결의서명으로 1차 확인"))</x:f>
      </x:c>
      <x:c r="K566" s="78"/>
    </x:row>
    <x:row r="567">
      <x:c r="A567" s="73"/>
      <x:c r="B567" s="73"/>
      <x:c r="C567" s="74"/>
      <x:c r="D567" s="73"/>
      <x:c r="E567" s="73"/>
      <x:c r="F567" s="75"/>
      <x:c r="G567" s="75"/>
      <x:c r="H567" s="76" t="str">
        <x:f>IF(A567="","",F567-G567)</x:f>
      </x:c>
      <x:c r="I567" s="77" t="str">
        <x:f>IF(A567="","",IF(E567="","기타/불명",IF(IFERROR(SEARCH("급여",E567),0)&gt;0,"인건비",IF(IFERROR(SEARCH("임차",E567),0)&gt;0,"임차·시설",IF(IFERROR(SEARCH("광고",E567),0)&gt;0,"광고·행사",IF(IFERROR(SEARCH("용역",E567),0)&gt;0,"용역·수수료","기타/불명"))))))</x:f>
      </x:c>
      <x:c r="J567" s="77" t="str">
        <x:f>IF(A567="","",IF(I567="기타/불명","확인 필요","결의서명으로 1차 확인"))</x:f>
      </x:c>
      <x:c r="K567" s="78"/>
    </x:row>
    <x:row r="568">
      <x:c r="A568" s="73"/>
      <x:c r="B568" s="73"/>
      <x:c r="C568" s="74"/>
      <x:c r="D568" s="73"/>
      <x:c r="E568" s="73"/>
      <x:c r="F568" s="75"/>
      <x:c r="G568" s="75"/>
      <x:c r="H568" s="76" t="str">
        <x:f>IF(A568="","",F568-G568)</x:f>
      </x:c>
      <x:c r="I568" s="77" t="str">
        <x:f>IF(A568="","",IF(E568="","기타/불명",IF(IFERROR(SEARCH("급여",E568),0)&gt;0,"인건비",IF(IFERROR(SEARCH("임차",E568),0)&gt;0,"임차·시설",IF(IFERROR(SEARCH("광고",E568),0)&gt;0,"광고·행사",IF(IFERROR(SEARCH("용역",E568),0)&gt;0,"용역·수수료","기타/불명"))))))</x:f>
      </x:c>
      <x:c r="J568" s="77" t="str">
        <x:f>IF(A568="","",IF(I568="기타/불명","확인 필요","결의서명으로 1차 확인"))</x:f>
      </x:c>
      <x:c r="K568" s="78"/>
    </x:row>
    <x:row r="569">
      <x:c r="A569" s="73"/>
      <x:c r="B569" s="73"/>
      <x:c r="C569" s="74"/>
      <x:c r="D569" s="73"/>
      <x:c r="E569" s="73"/>
      <x:c r="F569" s="75"/>
      <x:c r="G569" s="75"/>
      <x:c r="H569" s="76" t="str">
        <x:f>IF(A569="","",F569-G569)</x:f>
      </x:c>
      <x:c r="I569" s="77" t="str">
        <x:f>IF(A569="","",IF(E569="","기타/불명",IF(IFERROR(SEARCH("급여",E569),0)&gt;0,"인건비",IF(IFERROR(SEARCH("임차",E569),0)&gt;0,"임차·시설",IF(IFERROR(SEARCH("광고",E569),0)&gt;0,"광고·행사",IF(IFERROR(SEARCH("용역",E569),0)&gt;0,"용역·수수료","기타/불명"))))))</x:f>
      </x:c>
      <x:c r="J569" s="77" t="str">
        <x:f>IF(A569="","",IF(I569="기타/불명","확인 필요","결의서명으로 1차 확인"))</x:f>
      </x:c>
      <x:c r="K569" s="78"/>
    </x:row>
    <x:row r="570">
      <x:c r="A570" s="73"/>
      <x:c r="B570" s="73"/>
      <x:c r="C570" s="74"/>
      <x:c r="D570" s="73"/>
      <x:c r="E570" s="73"/>
      <x:c r="F570" s="75"/>
      <x:c r="G570" s="75"/>
      <x:c r="H570" s="76" t="str">
        <x:f>IF(A570="","",F570-G570)</x:f>
      </x:c>
      <x:c r="I570" s="77" t="str">
        <x:f>IF(A570="","",IF(E570="","기타/불명",IF(IFERROR(SEARCH("급여",E570),0)&gt;0,"인건비",IF(IFERROR(SEARCH("임차",E570),0)&gt;0,"임차·시설",IF(IFERROR(SEARCH("광고",E570),0)&gt;0,"광고·행사",IF(IFERROR(SEARCH("용역",E570),0)&gt;0,"용역·수수료","기타/불명"))))))</x:f>
      </x:c>
      <x:c r="J570" s="77" t="str">
        <x:f>IF(A570="","",IF(I570="기타/불명","확인 필요","결의서명으로 1차 확인"))</x:f>
      </x:c>
      <x:c r="K570" s="78"/>
    </x:row>
    <x:row r="571">
      <x:c r="A571" s="73"/>
      <x:c r="B571" s="73"/>
      <x:c r="C571" s="74"/>
      <x:c r="D571" s="73"/>
      <x:c r="E571" s="73"/>
      <x:c r="F571" s="75"/>
      <x:c r="G571" s="75"/>
      <x:c r="H571" s="76" t="str">
        <x:f>IF(A571="","",F571-G571)</x:f>
      </x:c>
      <x:c r="I571" s="77" t="str">
        <x:f>IF(A571="","",IF(E571="","기타/불명",IF(IFERROR(SEARCH("급여",E571),0)&gt;0,"인건비",IF(IFERROR(SEARCH("임차",E571),0)&gt;0,"임차·시설",IF(IFERROR(SEARCH("광고",E571),0)&gt;0,"광고·행사",IF(IFERROR(SEARCH("용역",E571),0)&gt;0,"용역·수수료","기타/불명"))))))</x:f>
      </x:c>
      <x:c r="J571" s="77" t="str">
        <x:f>IF(A571="","",IF(I571="기타/불명","확인 필요","결의서명으로 1차 확인"))</x:f>
      </x:c>
      <x:c r="K571" s="78"/>
    </x:row>
    <x:row r="572">
      <x:c r="A572" s="73"/>
      <x:c r="B572" s="73"/>
      <x:c r="C572" s="74"/>
      <x:c r="D572" s="73"/>
      <x:c r="E572" s="73"/>
      <x:c r="F572" s="75"/>
      <x:c r="G572" s="75"/>
      <x:c r="H572" s="76" t="str">
        <x:f>IF(A572="","",F572-G572)</x:f>
      </x:c>
      <x:c r="I572" s="77" t="str">
        <x:f>IF(A572="","",IF(E572="","기타/불명",IF(IFERROR(SEARCH("급여",E572),0)&gt;0,"인건비",IF(IFERROR(SEARCH("임차",E572),0)&gt;0,"임차·시설",IF(IFERROR(SEARCH("광고",E572),0)&gt;0,"광고·행사",IF(IFERROR(SEARCH("용역",E572),0)&gt;0,"용역·수수료","기타/불명"))))))</x:f>
      </x:c>
      <x:c r="J572" s="77" t="str">
        <x:f>IF(A572="","",IF(I572="기타/불명","확인 필요","결의서명으로 1차 확인"))</x:f>
      </x:c>
      <x:c r="K572" s="78"/>
    </x:row>
    <x:row r="573">
      <x:c r="A573" s="73"/>
      <x:c r="B573" s="73"/>
      <x:c r="C573" s="74"/>
      <x:c r="D573" s="73"/>
      <x:c r="E573" s="73"/>
      <x:c r="F573" s="75"/>
      <x:c r="G573" s="75"/>
      <x:c r="H573" s="76" t="str">
        <x:f>IF(A573="","",F573-G573)</x:f>
      </x:c>
      <x:c r="I573" s="77" t="str">
        <x:f>IF(A573="","",IF(E573="","기타/불명",IF(IFERROR(SEARCH("급여",E573),0)&gt;0,"인건비",IF(IFERROR(SEARCH("임차",E573),0)&gt;0,"임차·시설",IF(IFERROR(SEARCH("광고",E573),0)&gt;0,"광고·행사",IF(IFERROR(SEARCH("용역",E573),0)&gt;0,"용역·수수료","기타/불명"))))))</x:f>
      </x:c>
      <x:c r="J573" s="77" t="str">
        <x:f>IF(A573="","",IF(I573="기타/불명","확인 필요","결의서명으로 1차 확인"))</x:f>
      </x:c>
      <x:c r="K573" s="78"/>
    </x:row>
    <x:row r="574">
      <x:c r="A574" s="73"/>
      <x:c r="B574" s="73"/>
      <x:c r="C574" s="74"/>
      <x:c r="D574" s="73"/>
      <x:c r="E574" s="73"/>
      <x:c r="F574" s="75"/>
      <x:c r="G574" s="75"/>
      <x:c r="H574" s="76" t="str">
        <x:f>IF(A574="","",F574-G574)</x:f>
      </x:c>
      <x:c r="I574" s="77" t="str">
        <x:f>IF(A574="","",IF(E574="","기타/불명",IF(IFERROR(SEARCH("급여",E574),0)&gt;0,"인건비",IF(IFERROR(SEARCH("임차",E574),0)&gt;0,"임차·시설",IF(IFERROR(SEARCH("광고",E574),0)&gt;0,"광고·행사",IF(IFERROR(SEARCH("용역",E574),0)&gt;0,"용역·수수료","기타/불명"))))))</x:f>
      </x:c>
      <x:c r="J574" s="77" t="str">
        <x:f>IF(A574="","",IF(I574="기타/불명","확인 필요","결의서명으로 1차 확인"))</x:f>
      </x:c>
      <x:c r="K574" s="78"/>
    </x:row>
    <x:row r="575">
      <x:c r="A575" s="73"/>
      <x:c r="B575" s="73"/>
      <x:c r="C575" s="74"/>
      <x:c r="D575" s="73"/>
      <x:c r="E575" s="73"/>
      <x:c r="F575" s="75"/>
      <x:c r="G575" s="75"/>
      <x:c r="H575" s="76" t="str">
        <x:f>IF(A575="","",F575-G575)</x:f>
      </x:c>
      <x:c r="I575" s="77" t="str">
        <x:f>IF(A575="","",IF(E575="","기타/불명",IF(IFERROR(SEARCH("급여",E575),0)&gt;0,"인건비",IF(IFERROR(SEARCH("임차",E575),0)&gt;0,"임차·시설",IF(IFERROR(SEARCH("광고",E575),0)&gt;0,"광고·행사",IF(IFERROR(SEARCH("용역",E575),0)&gt;0,"용역·수수료","기타/불명"))))))</x:f>
      </x:c>
      <x:c r="J575" s="77" t="str">
        <x:f>IF(A575="","",IF(I575="기타/불명","확인 필요","결의서명으로 1차 확인"))</x:f>
      </x:c>
      <x:c r="K575" s="78"/>
    </x:row>
    <x:row r="576">
      <x:c r="A576" s="73"/>
      <x:c r="B576" s="73"/>
      <x:c r="C576" s="74"/>
      <x:c r="D576" s="73"/>
      <x:c r="E576" s="73"/>
      <x:c r="F576" s="75"/>
      <x:c r="G576" s="75"/>
      <x:c r="H576" s="76" t="str">
        <x:f>IF(A576="","",F576-G576)</x:f>
      </x:c>
      <x:c r="I576" s="77" t="str">
        <x:f>IF(A576="","",IF(E576="","기타/불명",IF(IFERROR(SEARCH("급여",E576),0)&gt;0,"인건비",IF(IFERROR(SEARCH("임차",E576),0)&gt;0,"임차·시설",IF(IFERROR(SEARCH("광고",E576),0)&gt;0,"광고·행사",IF(IFERROR(SEARCH("용역",E576),0)&gt;0,"용역·수수료","기타/불명"))))))</x:f>
      </x:c>
      <x:c r="J576" s="77" t="str">
        <x:f>IF(A576="","",IF(I576="기타/불명","확인 필요","결의서명으로 1차 확인"))</x:f>
      </x:c>
      <x:c r="K576" s="78"/>
    </x:row>
    <x:row r="577">
      <x:c r="A577" s="73"/>
      <x:c r="B577" s="73"/>
      <x:c r="C577" s="74"/>
      <x:c r="D577" s="73"/>
      <x:c r="E577" s="73"/>
      <x:c r="F577" s="75"/>
      <x:c r="G577" s="75"/>
      <x:c r="H577" s="76" t="str">
        <x:f>IF(A577="","",F577-G577)</x:f>
      </x:c>
      <x:c r="I577" s="77" t="str">
        <x:f>IF(A577="","",IF(E577="","기타/불명",IF(IFERROR(SEARCH("급여",E577),0)&gt;0,"인건비",IF(IFERROR(SEARCH("임차",E577),0)&gt;0,"임차·시설",IF(IFERROR(SEARCH("광고",E577),0)&gt;0,"광고·행사",IF(IFERROR(SEARCH("용역",E577),0)&gt;0,"용역·수수료","기타/불명"))))))</x:f>
      </x:c>
      <x:c r="J577" s="77" t="str">
        <x:f>IF(A577="","",IF(I577="기타/불명","확인 필요","결의서명으로 1차 확인"))</x:f>
      </x:c>
      <x:c r="K577" s="78"/>
    </x:row>
    <x:row r="578">
      <x:c r="A578" s="73"/>
      <x:c r="B578" s="73"/>
      <x:c r="C578" s="74"/>
      <x:c r="D578" s="73"/>
      <x:c r="E578" s="73"/>
      <x:c r="F578" s="75"/>
      <x:c r="G578" s="75"/>
      <x:c r="H578" s="76" t="str">
        <x:f>IF(A578="","",F578-G578)</x:f>
      </x:c>
      <x:c r="I578" s="77" t="str">
        <x:f>IF(A578="","",IF(E578="","기타/불명",IF(IFERROR(SEARCH("급여",E578),0)&gt;0,"인건비",IF(IFERROR(SEARCH("임차",E578),0)&gt;0,"임차·시설",IF(IFERROR(SEARCH("광고",E578),0)&gt;0,"광고·행사",IF(IFERROR(SEARCH("용역",E578),0)&gt;0,"용역·수수료","기타/불명"))))))</x:f>
      </x:c>
      <x:c r="J578" s="77" t="str">
        <x:f>IF(A578="","",IF(I578="기타/불명","확인 필요","결의서명으로 1차 확인"))</x:f>
      </x:c>
      <x:c r="K578" s="78"/>
    </x:row>
    <x:row r="579">
      <x:c r="A579" s="73"/>
      <x:c r="B579" s="73"/>
      <x:c r="C579" s="74"/>
      <x:c r="D579" s="73"/>
      <x:c r="E579" s="73"/>
      <x:c r="F579" s="75"/>
      <x:c r="G579" s="75"/>
      <x:c r="H579" s="76" t="str">
        <x:f>IF(A579="","",F579-G579)</x:f>
      </x:c>
      <x:c r="I579" s="77" t="str">
        <x:f>IF(A579="","",IF(E579="","기타/불명",IF(IFERROR(SEARCH("급여",E579),0)&gt;0,"인건비",IF(IFERROR(SEARCH("임차",E579),0)&gt;0,"임차·시설",IF(IFERROR(SEARCH("광고",E579),0)&gt;0,"광고·행사",IF(IFERROR(SEARCH("용역",E579),0)&gt;0,"용역·수수료","기타/불명"))))))</x:f>
      </x:c>
      <x:c r="J579" s="77" t="str">
        <x:f>IF(A579="","",IF(I579="기타/불명","확인 필요","결의서명으로 1차 확인"))</x:f>
      </x:c>
      <x:c r="K579" s="78"/>
    </x:row>
    <x:row r="580">
      <x:c r="A580" s="73"/>
      <x:c r="B580" s="73"/>
      <x:c r="C580" s="74"/>
      <x:c r="D580" s="73"/>
      <x:c r="E580" s="73"/>
      <x:c r="F580" s="75"/>
      <x:c r="G580" s="75"/>
      <x:c r="H580" s="76" t="str">
        <x:f>IF(A580="","",F580-G580)</x:f>
      </x:c>
      <x:c r="I580" s="77" t="str">
        <x:f>IF(A580="","",IF(E580="","기타/불명",IF(IFERROR(SEARCH("급여",E580),0)&gt;0,"인건비",IF(IFERROR(SEARCH("임차",E580),0)&gt;0,"임차·시설",IF(IFERROR(SEARCH("광고",E580),0)&gt;0,"광고·행사",IF(IFERROR(SEARCH("용역",E580),0)&gt;0,"용역·수수료","기타/불명"))))))</x:f>
      </x:c>
      <x:c r="J580" s="77" t="str">
        <x:f>IF(A580="","",IF(I580="기타/불명","확인 필요","결의서명으로 1차 확인"))</x:f>
      </x:c>
      <x:c r="K580" s="78"/>
    </x:row>
    <x:row r="581">
      <x:c r="A581" s="73"/>
      <x:c r="B581" s="73"/>
      <x:c r="C581" s="74"/>
      <x:c r="D581" s="73"/>
      <x:c r="E581" s="73"/>
      <x:c r="F581" s="75"/>
      <x:c r="G581" s="75"/>
      <x:c r="H581" s="76" t="str">
        <x:f>IF(A581="","",F581-G581)</x:f>
      </x:c>
      <x:c r="I581" s="77" t="str">
        <x:f>IF(A581="","",IF(E581="","기타/불명",IF(IFERROR(SEARCH("급여",E581),0)&gt;0,"인건비",IF(IFERROR(SEARCH("임차",E581),0)&gt;0,"임차·시설",IF(IFERROR(SEARCH("광고",E581),0)&gt;0,"광고·행사",IF(IFERROR(SEARCH("용역",E581),0)&gt;0,"용역·수수료","기타/불명"))))))</x:f>
      </x:c>
      <x:c r="J581" s="77" t="str">
        <x:f>IF(A581="","",IF(I581="기타/불명","확인 필요","결의서명으로 1차 확인"))</x:f>
      </x:c>
      <x:c r="K581" s="78"/>
    </x:row>
    <x:row r="582">
      <x:c r="A582" s="73"/>
      <x:c r="B582" s="73"/>
      <x:c r="C582" s="74"/>
      <x:c r="D582" s="73"/>
      <x:c r="E582" s="73"/>
      <x:c r="F582" s="75"/>
      <x:c r="G582" s="75"/>
      <x:c r="H582" s="76" t="str">
        <x:f>IF(A582="","",F582-G582)</x:f>
      </x:c>
      <x:c r="I582" s="77" t="str">
        <x:f>IF(A582="","",IF(E582="","기타/불명",IF(IFERROR(SEARCH("급여",E582),0)&gt;0,"인건비",IF(IFERROR(SEARCH("임차",E582),0)&gt;0,"임차·시설",IF(IFERROR(SEARCH("광고",E582),0)&gt;0,"광고·행사",IF(IFERROR(SEARCH("용역",E582),0)&gt;0,"용역·수수료","기타/불명"))))))</x:f>
      </x:c>
      <x:c r="J582" s="77" t="str">
        <x:f>IF(A582="","",IF(I582="기타/불명","확인 필요","결의서명으로 1차 확인"))</x:f>
      </x:c>
      <x:c r="K582" s="78"/>
    </x:row>
    <x:row r="583">
      <x:c r="A583" s="73"/>
      <x:c r="B583" s="73"/>
      <x:c r="C583" s="74"/>
      <x:c r="D583" s="73"/>
      <x:c r="E583" s="73"/>
      <x:c r="F583" s="75"/>
      <x:c r="G583" s="75"/>
      <x:c r="H583" s="76" t="str">
        <x:f>IF(A583="","",F583-G583)</x:f>
      </x:c>
      <x:c r="I583" s="77" t="str">
        <x:f>IF(A583="","",IF(E583="","기타/불명",IF(IFERROR(SEARCH("급여",E583),0)&gt;0,"인건비",IF(IFERROR(SEARCH("임차",E583),0)&gt;0,"임차·시설",IF(IFERROR(SEARCH("광고",E583),0)&gt;0,"광고·행사",IF(IFERROR(SEARCH("용역",E583),0)&gt;0,"용역·수수료","기타/불명"))))))</x:f>
      </x:c>
      <x:c r="J583" s="77" t="str">
        <x:f>IF(A583="","",IF(I583="기타/불명","확인 필요","결의서명으로 1차 확인"))</x:f>
      </x:c>
      <x:c r="K583" s="78"/>
    </x:row>
    <x:row r="584">
      <x:c r="A584" s="73"/>
      <x:c r="B584" s="73"/>
      <x:c r="C584" s="74"/>
      <x:c r="D584" s="73"/>
      <x:c r="E584" s="73"/>
      <x:c r="F584" s="75"/>
      <x:c r="G584" s="75"/>
      <x:c r="H584" s="76" t="str">
        <x:f>IF(A584="","",F584-G584)</x:f>
      </x:c>
      <x:c r="I584" s="77" t="str">
        <x:f>IF(A584="","",IF(E584="","기타/불명",IF(IFERROR(SEARCH("급여",E584),0)&gt;0,"인건비",IF(IFERROR(SEARCH("임차",E584),0)&gt;0,"임차·시설",IF(IFERROR(SEARCH("광고",E584),0)&gt;0,"광고·행사",IF(IFERROR(SEARCH("용역",E584),0)&gt;0,"용역·수수료","기타/불명"))))))</x:f>
      </x:c>
      <x:c r="J584" s="77" t="str">
        <x:f>IF(A584="","",IF(I584="기타/불명","확인 필요","결의서명으로 1차 확인"))</x:f>
      </x:c>
      <x:c r="K584" s="78"/>
    </x:row>
    <x:row r="585">
      <x:c r="A585" s="73"/>
      <x:c r="B585" s="73"/>
      <x:c r="C585" s="74"/>
      <x:c r="D585" s="73"/>
      <x:c r="E585" s="73"/>
      <x:c r="F585" s="75"/>
      <x:c r="G585" s="75"/>
      <x:c r="H585" s="76" t="str">
        <x:f>IF(A585="","",F585-G585)</x:f>
      </x:c>
      <x:c r="I585" s="77" t="str">
        <x:f>IF(A585="","",IF(E585="","기타/불명",IF(IFERROR(SEARCH("급여",E585),0)&gt;0,"인건비",IF(IFERROR(SEARCH("임차",E585),0)&gt;0,"임차·시설",IF(IFERROR(SEARCH("광고",E585),0)&gt;0,"광고·행사",IF(IFERROR(SEARCH("용역",E585),0)&gt;0,"용역·수수료","기타/불명"))))))</x:f>
      </x:c>
      <x:c r="J585" s="77" t="str">
        <x:f>IF(A585="","",IF(I585="기타/불명","확인 필요","결의서명으로 1차 확인"))</x:f>
      </x:c>
      <x:c r="K585" s="78"/>
    </x:row>
    <x:row r="586">
      <x:c r="A586" s="73"/>
      <x:c r="B586" s="73"/>
      <x:c r="C586" s="74"/>
      <x:c r="D586" s="73"/>
      <x:c r="E586" s="73"/>
      <x:c r="F586" s="75"/>
      <x:c r="G586" s="75"/>
      <x:c r="H586" s="76" t="str">
        <x:f>IF(A586="","",F586-G586)</x:f>
      </x:c>
      <x:c r="I586" s="77" t="str">
        <x:f>IF(A586="","",IF(E586="","기타/불명",IF(IFERROR(SEARCH("급여",E586),0)&gt;0,"인건비",IF(IFERROR(SEARCH("임차",E586),0)&gt;0,"임차·시설",IF(IFERROR(SEARCH("광고",E586),0)&gt;0,"광고·행사",IF(IFERROR(SEARCH("용역",E586),0)&gt;0,"용역·수수료","기타/불명"))))))</x:f>
      </x:c>
      <x:c r="J586" s="77" t="str">
        <x:f>IF(A586="","",IF(I586="기타/불명","확인 필요","결의서명으로 1차 확인"))</x:f>
      </x:c>
      <x:c r="K586" s="78"/>
    </x:row>
    <x:row r="587">
      <x:c r="A587" s="73"/>
      <x:c r="B587" s="73"/>
      <x:c r="C587" s="74"/>
      <x:c r="D587" s="73"/>
      <x:c r="E587" s="73"/>
      <x:c r="F587" s="75"/>
      <x:c r="G587" s="75"/>
      <x:c r="H587" s="76" t="str">
        <x:f>IF(A587="","",F587-G587)</x:f>
      </x:c>
      <x:c r="I587" s="77" t="str">
        <x:f>IF(A587="","",IF(E587="","기타/불명",IF(IFERROR(SEARCH("급여",E587),0)&gt;0,"인건비",IF(IFERROR(SEARCH("임차",E587),0)&gt;0,"임차·시설",IF(IFERROR(SEARCH("광고",E587),0)&gt;0,"광고·행사",IF(IFERROR(SEARCH("용역",E587),0)&gt;0,"용역·수수료","기타/불명"))))))</x:f>
      </x:c>
      <x:c r="J587" s="77" t="str">
        <x:f>IF(A587="","",IF(I587="기타/불명","확인 필요","결의서명으로 1차 확인"))</x:f>
      </x:c>
      <x:c r="K587" s="78"/>
    </x:row>
    <x:row r="588">
      <x:c r="A588" s="73"/>
      <x:c r="B588" s="73"/>
      <x:c r="C588" s="74"/>
      <x:c r="D588" s="73"/>
      <x:c r="E588" s="73"/>
      <x:c r="F588" s="75"/>
      <x:c r="G588" s="75"/>
      <x:c r="H588" s="76" t="str">
        <x:f>IF(A588="","",F588-G588)</x:f>
      </x:c>
      <x:c r="I588" s="77" t="str">
        <x:f>IF(A588="","",IF(E588="","기타/불명",IF(IFERROR(SEARCH("급여",E588),0)&gt;0,"인건비",IF(IFERROR(SEARCH("임차",E588),0)&gt;0,"임차·시설",IF(IFERROR(SEARCH("광고",E588),0)&gt;0,"광고·행사",IF(IFERROR(SEARCH("용역",E588),0)&gt;0,"용역·수수료","기타/불명"))))))</x:f>
      </x:c>
      <x:c r="J588" s="77" t="str">
        <x:f>IF(A588="","",IF(I588="기타/불명","확인 필요","결의서명으로 1차 확인"))</x:f>
      </x:c>
      <x:c r="K588" s="78"/>
    </x:row>
    <x:row r="589">
      <x:c r="A589" s="73"/>
      <x:c r="B589" s="73"/>
      <x:c r="C589" s="74"/>
      <x:c r="D589" s="73"/>
      <x:c r="E589" s="73"/>
      <x:c r="F589" s="75"/>
      <x:c r="G589" s="75"/>
      <x:c r="H589" s="76" t="str">
        <x:f>IF(A589="","",F589-G589)</x:f>
      </x:c>
      <x:c r="I589" s="77" t="str">
        <x:f>IF(A589="","",IF(E589="","기타/불명",IF(IFERROR(SEARCH("급여",E589),0)&gt;0,"인건비",IF(IFERROR(SEARCH("임차",E589),0)&gt;0,"임차·시설",IF(IFERROR(SEARCH("광고",E589),0)&gt;0,"광고·행사",IF(IFERROR(SEARCH("용역",E589),0)&gt;0,"용역·수수료","기타/불명"))))))</x:f>
      </x:c>
      <x:c r="J589" s="77" t="str">
        <x:f>IF(A589="","",IF(I589="기타/불명","확인 필요","결의서명으로 1차 확인"))</x:f>
      </x:c>
      <x:c r="K589" s="78"/>
    </x:row>
    <x:row r="590">
      <x:c r="A590" s="73"/>
      <x:c r="B590" s="73"/>
      <x:c r="C590" s="74"/>
      <x:c r="D590" s="73"/>
      <x:c r="E590" s="73"/>
      <x:c r="F590" s="75"/>
      <x:c r="G590" s="75"/>
      <x:c r="H590" s="76" t="str">
        <x:f>IF(A590="","",F590-G590)</x:f>
      </x:c>
      <x:c r="I590" s="77" t="str">
        <x:f>IF(A590="","",IF(E590="","기타/불명",IF(IFERROR(SEARCH("급여",E590),0)&gt;0,"인건비",IF(IFERROR(SEARCH("임차",E590),0)&gt;0,"임차·시설",IF(IFERROR(SEARCH("광고",E590),0)&gt;0,"광고·행사",IF(IFERROR(SEARCH("용역",E590),0)&gt;0,"용역·수수료","기타/불명"))))))</x:f>
      </x:c>
      <x:c r="J590" s="77" t="str">
        <x:f>IF(A590="","",IF(I590="기타/불명","확인 필요","결의서명으로 1차 확인"))</x:f>
      </x:c>
      <x:c r="K590" s="78"/>
    </x:row>
    <x:row r="591">
      <x:c r="A591" s="73"/>
      <x:c r="B591" s="73"/>
      <x:c r="C591" s="74"/>
      <x:c r="D591" s="73"/>
      <x:c r="E591" s="73"/>
      <x:c r="F591" s="75"/>
      <x:c r="G591" s="75"/>
      <x:c r="H591" s="76" t="str">
        <x:f>IF(A591="","",F591-G591)</x:f>
      </x:c>
      <x:c r="I591" s="77" t="str">
        <x:f>IF(A591="","",IF(E591="","기타/불명",IF(IFERROR(SEARCH("급여",E591),0)&gt;0,"인건비",IF(IFERROR(SEARCH("임차",E591),0)&gt;0,"임차·시설",IF(IFERROR(SEARCH("광고",E591),0)&gt;0,"광고·행사",IF(IFERROR(SEARCH("용역",E591),0)&gt;0,"용역·수수료","기타/불명"))))))</x:f>
      </x:c>
      <x:c r="J591" s="77" t="str">
        <x:f>IF(A591="","",IF(I591="기타/불명","확인 필요","결의서명으로 1차 확인"))</x:f>
      </x:c>
      <x:c r="K591" s="78"/>
    </x:row>
    <x:row r="592">
      <x:c r="A592" s="73"/>
      <x:c r="B592" s="73"/>
      <x:c r="C592" s="74"/>
      <x:c r="D592" s="73"/>
      <x:c r="E592" s="73"/>
      <x:c r="F592" s="75"/>
      <x:c r="G592" s="75"/>
      <x:c r="H592" s="76" t="str">
        <x:f>IF(A592="","",F592-G592)</x:f>
      </x:c>
      <x:c r="I592" s="77" t="str">
        <x:f>IF(A592="","",IF(E592="","기타/불명",IF(IFERROR(SEARCH("급여",E592),0)&gt;0,"인건비",IF(IFERROR(SEARCH("임차",E592),0)&gt;0,"임차·시설",IF(IFERROR(SEARCH("광고",E592),0)&gt;0,"광고·행사",IF(IFERROR(SEARCH("용역",E592),0)&gt;0,"용역·수수료","기타/불명"))))))</x:f>
      </x:c>
      <x:c r="J592" s="77" t="str">
        <x:f>IF(A592="","",IF(I592="기타/불명","확인 필요","결의서명으로 1차 확인"))</x:f>
      </x:c>
      <x:c r="K592" s="78"/>
    </x:row>
    <x:row r="593">
      <x:c r="A593" s="73"/>
      <x:c r="B593" s="73"/>
      <x:c r="C593" s="74"/>
      <x:c r="D593" s="73"/>
      <x:c r="E593" s="73"/>
      <x:c r="F593" s="75"/>
      <x:c r="G593" s="75"/>
      <x:c r="H593" s="76" t="str">
        <x:f>IF(A593="","",F593-G593)</x:f>
      </x:c>
      <x:c r="I593" s="77" t="str">
        <x:f>IF(A593="","",IF(E593="","기타/불명",IF(IFERROR(SEARCH("급여",E593),0)&gt;0,"인건비",IF(IFERROR(SEARCH("임차",E593),0)&gt;0,"임차·시설",IF(IFERROR(SEARCH("광고",E593),0)&gt;0,"광고·행사",IF(IFERROR(SEARCH("용역",E593),0)&gt;0,"용역·수수료","기타/불명"))))))</x:f>
      </x:c>
      <x:c r="J593" s="77" t="str">
        <x:f>IF(A593="","",IF(I593="기타/불명","확인 필요","결의서명으로 1차 확인"))</x:f>
      </x:c>
      <x:c r="K593" s="78"/>
    </x:row>
    <x:row r="594">
      <x:c r="A594" s="73"/>
      <x:c r="B594" s="73"/>
      <x:c r="C594" s="74"/>
      <x:c r="D594" s="73"/>
      <x:c r="E594" s="73"/>
      <x:c r="F594" s="75"/>
      <x:c r="G594" s="75"/>
      <x:c r="H594" s="76" t="str">
        <x:f>IF(A594="","",F594-G594)</x:f>
      </x:c>
      <x:c r="I594" s="77" t="str">
        <x:f>IF(A594="","",IF(E594="","기타/불명",IF(IFERROR(SEARCH("급여",E594),0)&gt;0,"인건비",IF(IFERROR(SEARCH("임차",E594),0)&gt;0,"임차·시설",IF(IFERROR(SEARCH("광고",E594),0)&gt;0,"광고·행사",IF(IFERROR(SEARCH("용역",E594),0)&gt;0,"용역·수수료","기타/불명"))))))</x:f>
      </x:c>
      <x:c r="J594" s="77" t="str">
        <x:f>IF(A594="","",IF(I594="기타/불명","확인 필요","결의서명으로 1차 확인"))</x:f>
      </x:c>
      <x:c r="K594" s="78"/>
    </x:row>
    <x:row r="595">
      <x:c r="A595" s="73"/>
      <x:c r="B595" s="73"/>
      <x:c r="C595" s="74"/>
      <x:c r="D595" s="73"/>
      <x:c r="E595" s="73"/>
      <x:c r="F595" s="75"/>
      <x:c r="G595" s="75"/>
      <x:c r="H595" s="76" t="str">
        <x:f>IF(A595="","",F595-G595)</x:f>
      </x:c>
      <x:c r="I595" s="77" t="str">
        <x:f>IF(A595="","",IF(E595="","기타/불명",IF(IFERROR(SEARCH("급여",E595),0)&gt;0,"인건비",IF(IFERROR(SEARCH("임차",E595),0)&gt;0,"임차·시설",IF(IFERROR(SEARCH("광고",E595),0)&gt;0,"광고·행사",IF(IFERROR(SEARCH("용역",E595),0)&gt;0,"용역·수수료","기타/불명"))))))</x:f>
      </x:c>
      <x:c r="J595" s="77" t="str">
        <x:f>IF(A595="","",IF(I595="기타/불명","확인 필요","결의서명으로 1차 확인"))</x:f>
      </x:c>
      <x:c r="K595" s="78"/>
    </x:row>
    <x:row r="596">
      <x:c r="A596" s="73"/>
      <x:c r="B596" s="73"/>
      <x:c r="C596" s="74"/>
      <x:c r="D596" s="73"/>
      <x:c r="E596" s="73"/>
      <x:c r="F596" s="75"/>
      <x:c r="G596" s="75"/>
      <x:c r="H596" s="76" t="str">
        <x:f>IF(A596="","",F596-G596)</x:f>
      </x:c>
      <x:c r="I596" s="77" t="str">
        <x:f>IF(A596="","",IF(E596="","기타/불명",IF(IFERROR(SEARCH("급여",E596),0)&gt;0,"인건비",IF(IFERROR(SEARCH("임차",E596),0)&gt;0,"임차·시설",IF(IFERROR(SEARCH("광고",E596),0)&gt;0,"광고·행사",IF(IFERROR(SEARCH("용역",E596),0)&gt;0,"용역·수수료","기타/불명"))))))</x:f>
      </x:c>
      <x:c r="J596" s="77" t="str">
        <x:f>IF(A596="","",IF(I596="기타/불명","확인 필요","결의서명으로 1차 확인"))</x:f>
      </x:c>
      <x:c r="K596" s="78"/>
    </x:row>
    <x:row r="597">
      <x:c r="A597" s="73"/>
      <x:c r="B597" s="73"/>
      <x:c r="C597" s="74"/>
      <x:c r="D597" s="73"/>
      <x:c r="E597" s="73"/>
      <x:c r="F597" s="75"/>
      <x:c r="G597" s="75"/>
      <x:c r="H597" s="76" t="str">
        <x:f>IF(A597="","",F597-G597)</x:f>
      </x:c>
      <x:c r="I597" s="77" t="str">
        <x:f>IF(A597="","",IF(E597="","기타/불명",IF(IFERROR(SEARCH("급여",E597),0)&gt;0,"인건비",IF(IFERROR(SEARCH("임차",E597),0)&gt;0,"임차·시설",IF(IFERROR(SEARCH("광고",E597),0)&gt;0,"광고·행사",IF(IFERROR(SEARCH("용역",E597),0)&gt;0,"용역·수수료","기타/불명"))))))</x:f>
      </x:c>
      <x:c r="J597" s="77" t="str">
        <x:f>IF(A597="","",IF(I597="기타/불명","확인 필요","결의서명으로 1차 확인"))</x:f>
      </x:c>
      <x:c r="K597" s="78"/>
    </x:row>
    <x:row r="598">
      <x:c r="A598" s="73"/>
      <x:c r="B598" s="73"/>
      <x:c r="C598" s="74"/>
      <x:c r="D598" s="73"/>
      <x:c r="E598" s="73"/>
      <x:c r="F598" s="75"/>
      <x:c r="G598" s="75"/>
      <x:c r="H598" s="76" t="str">
        <x:f>IF(A598="","",F598-G598)</x:f>
      </x:c>
      <x:c r="I598" s="77" t="str">
        <x:f>IF(A598="","",IF(E598="","기타/불명",IF(IFERROR(SEARCH("급여",E598),0)&gt;0,"인건비",IF(IFERROR(SEARCH("임차",E598),0)&gt;0,"임차·시설",IF(IFERROR(SEARCH("광고",E598),0)&gt;0,"광고·행사",IF(IFERROR(SEARCH("용역",E598),0)&gt;0,"용역·수수료","기타/불명"))))))</x:f>
      </x:c>
      <x:c r="J598" s="77" t="str">
        <x:f>IF(A598="","",IF(I598="기타/불명","확인 필요","결의서명으로 1차 확인"))</x:f>
      </x:c>
      <x:c r="K598" s="78"/>
    </x:row>
    <x:row r="599">
      <x:c r="A599" s="73"/>
      <x:c r="B599" s="73"/>
      <x:c r="C599" s="74"/>
      <x:c r="D599" s="73"/>
      <x:c r="E599" s="73"/>
      <x:c r="F599" s="75"/>
      <x:c r="G599" s="75"/>
      <x:c r="H599" s="76" t="str">
        <x:f>IF(A599="","",F599-G599)</x:f>
      </x:c>
      <x:c r="I599" s="77" t="str">
        <x:f>IF(A599="","",IF(E599="","기타/불명",IF(IFERROR(SEARCH("급여",E599),0)&gt;0,"인건비",IF(IFERROR(SEARCH("임차",E599),0)&gt;0,"임차·시설",IF(IFERROR(SEARCH("광고",E599),0)&gt;0,"광고·행사",IF(IFERROR(SEARCH("용역",E599),0)&gt;0,"용역·수수료","기타/불명"))))))</x:f>
      </x:c>
      <x:c r="J599" s="77" t="str">
        <x:f>IF(A599="","",IF(I599="기타/불명","확인 필요","결의서명으로 1차 확인"))</x:f>
      </x:c>
      <x:c r="K599" s="78"/>
    </x:row>
    <x:row r="600">
      <x:c r="A600" s="73"/>
      <x:c r="B600" s="73"/>
      <x:c r="C600" s="74"/>
      <x:c r="D600" s="73"/>
      <x:c r="E600" s="73"/>
      <x:c r="F600" s="75"/>
      <x:c r="G600" s="75"/>
      <x:c r="H600" s="76" t="str">
        <x:f>IF(A600="","",F600-G600)</x:f>
      </x:c>
      <x:c r="I600" s="77" t="str">
        <x:f>IF(A600="","",IF(E600="","기타/불명",IF(IFERROR(SEARCH("급여",E600),0)&gt;0,"인건비",IF(IFERROR(SEARCH("임차",E600),0)&gt;0,"임차·시설",IF(IFERROR(SEARCH("광고",E600),0)&gt;0,"광고·행사",IF(IFERROR(SEARCH("용역",E600),0)&gt;0,"용역·수수료","기타/불명"))))))</x:f>
      </x:c>
      <x:c r="J600" s="77" t="str">
        <x:f>IF(A600="","",IF(I600="기타/불명","확인 필요","결의서명으로 1차 확인"))</x:f>
      </x:c>
      <x:c r="K600" s="78"/>
    </x:row>
    <x:row r="601">
      <x:c r="A601" s="73"/>
      <x:c r="B601" s="73"/>
      <x:c r="C601" s="74"/>
      <x:c r="D601" s="73"/>
      <x:c r="E601" s="73"/>
      <x:c r="F601" s="75"/>
      <x:c r="G601" s="75"/>
      <x:c r="H601" s="76" t="str">
        <x:f>IF(A601="","",F601-G601)</x:f>
      </x:c>
      <x:c r="I601" s="77" t="str">
        <x:f>IF(A601="","",IF(E601="","기타/불명",IF(IFERROR(SEARCH("급여",E601),0)&gt;0,"인건비",IF(IFERROR(SEARCH("임차",E601),0)&gt;0,"임차·시설",IF(IFERROR(SEARCH("광고",E601),0)&gt;0,"광고·행사",IF(IFERROR(SEARCH("용역",E601),0)&gt;0,"용역·수수료","기타/불명"))))))</x:f>
      </x:c>
      <x:c r="J601" s="77" t="str">
        <x:f>IF(A601="","",IF(I601="기타/불명","확인 필요","결의서명으로 1차 확인"))</x:f>
      </x:c>
      <x:c r="K601" s="78"/>
    </x:row>
    <x:row r="602">
      <x:c r="A602" s="73"/>
      <x:c r="B602" s="73"/>
      <x:c r="C602" s="74"/>
      <x:c r="D602" s="73"/>
      <x:c r="E602" s="73"/>
      <x:c r="F602" s="75"/>
      <x:c r="G602" s="75"/>
      <x:c r="H602" s="76" t="str">
        <x:f>IF(A602="","",F602-G602)</x:f>
      </x:c>
      <x:c r="I602" s="77" t="str">
        <x:f>IF(A602="","",IF(E602="","기타/불명",IF(IFERROR(SEARCH("급여",E602),0)&gt;0,"인건비",IF(IFERROR(SEARCH("임차",E602),0)&gt;0,"임차·시설",IF(IFERROR(SEARCH("광고",E602),0)&gt;0,"광고·행사",IF(IFERROR(SEARCH("용역",E602),0)&gt;0,"용역·수수료","기타/불명"))))))</x:f>
      </x:c>
      <x:c r="J602" s="77" t="str">
        <x:f>IF(A602="","",IF(I602="기타/불명","확인 필요","결의서명으로 1차 확인"))</x:f>
      </x:c>
      <x:c r="K602" s="78"/>
    </x:row>
    <x:row r="603">
      <x:c r="A603" s="73"/>
      <x:c r="B603" s="73"/>
      <x:c r="C603" s="74"/>
      <x:c r="D603" s="73"/>
      <x:c r="E603" s="73"/>
      <x:c r="F603" s="75"/>
      <x:c r="G603" s="75"/>
      <x:c r="H603" s="76" t="str">
        <x:f>IF(A603="","",F603-G603)</x:f>
      </x:c>
      <x:c r="I603" s="77" t="str">
        <x:f>IF(A603="","",IF(E603="","기타/불명",IF(IFERROR(SEARCH("급여",E603),0)&gt;0,"인건비",IF(IFERROR(SEARCH("임차",E603),0)&gt;0,"임차·시설",IF(IFERROR(SEARCH("광고",E603),0)&gt;0,"광고·행사",IF(IFERROR(SEARCH("용역",E603),0)&gt;0,"용역·수수료","기타/불명"))))))</x:f>
      </x:c>
      <x:c r="J603" s="77" t="str">
        <x:f>IF(A603="","",IF(I603="기타/불명","확인 필요","결의서명으로 1차 확인"))</x:f>
      </x:c>
      <x:c r="K603" s="78"/>
    </x:row>
    <x:row r="604">
      <x:c r="A604" s="73"/>
      <x:c r="B604" s="73"/>
      <x:c r="C604" s="74"/>
      <x:c r="D604" s="73"/>
      <x:c r="E604" s="73"/>
      <x:c r="F604" s="75"/>
      <x:c r="G604" s="75"/>
      <x:c r="H604" s="76" t="str">
        <x:f>IF(A604="","",F604-G604)</x:f>
      </x:c>
      <x:c r="I604" s="77" t="str">
        <x:f>IF(A604="","",IF(E604="","기타/불명",IF(IFERROR(SEARCH("급여",E604),0)&gt;0,"인건비",IF(IFERROR(SEARCH("임차",E604),0)&gt;0,"임차·시설",IF(IFERROR(SEARCH("광고",E604),0)&gt;0,"광고·행사",IF(IFERROR(SEARCH("용역",E604),0)&gt;0,"용역·수수료","기타/불명"))))))</x:f>
      </x:c>
      <x:c r="J604" s="77" t="str">
        <x:f>IF(A604="","",IF(I604="기타/불명","확인 필요","결의서명으로 1차 확인"))</x:f>
      </x:c>
      <x:c r="K604" s="78"/>
    </x:row>
    <x:row r="605">
      <x:c r="A605" s="73"/>
      <x:c r="B605" s="73"/>
      <x:c r="C605" s="74"/>
      <x:c r="D605" s="73"/>
      <x:c r="E605" s="73"/>
      <x:c r="F605" s="75"/>
      <x:c r="G605" s="75"/>
      <x:c r="H605" s="76" t="str">
        <x:f>IF(A605="","",F605-G605)</x:f>
      </x:c>
      <x:c r="I605" s="77" t="str">
        <x:f>IF(A605="","",IF(E605="","기타/불명",IF(IFERROR(SEARCH("급여",E605),0)&gt;0,"인건비",IF(IFERROR(SEARCH("임차",E605),0)&gt;0,"임차·시설",IF(IFERROR(SEARCH("광고",E605),0)&gt;0,"광고·행사",IF(IFERROR(SEARCH("용역",E605),0)&gt;0,"용역·수수료","기타/불명"))))))</x:f>
      </x:c>
      <x:c r="J605" s="77" t="str">
        <x:f>IF(A605="","",IF(I605="기타/불명","확인 필요","결의서명으로 1차 확인"))</x:f>
      </x:c>
      <x:c r="K605" s="78"/>
    </x:row>
    <x:row r="606">
      <x:c r="A606" s="73"/>
      <x:c r="B606" s="73"/>
      <x:c r="C606" s="74"/>
      <x:c r="D606" s="73"/>
      <x:c r="E606" s="73"/>
      <x:c r="F606" s="75"/>
      <x:c r="G606" s="75"/>
      <x:c r="H606" s="76" t="str">
        <x:f>IF(A606="","",F606-G606)</x:f>
      </x:c>
      <x:c r="I606" s="77" t="str">
        <x:f>IF(A606="","",IF(E606="","기타/불명",IF(IFERROR(SEARCH("급여",E606),0)&gt;0,"인건비",IF(IFERROR(SEARCH("임차",E606),0)&gt;0,"임차·시설",IF(IFERROR(SEARCH("광고",E606),0)&gt;0,"광고·행사",IF(IFERROR(SEARCH("용역",E606),0)&gt;0,"용역·수수료","기타/불명"))))))</x:f>
      </x:c>
      <x:c r="J606" s="77" t="str">
        <x:f>IF(A606="","",IF(I606="기타/불명","확인 필요","결의서명으로 1차 확인"))</x:f>
      </x:c>
      <x:c r="K606" s="78"/>
    </x:row>
    <x:row r="607">
      <x:c r="A607" s="73"/>
      <x:c r="B607" s="73"/>
      <x:c r="C607" s="74"/>
      <x:c r="D607" s="73"/>
      <x:c r="E607" s="73"/>
      <x:c r="F607" s="75"/>
      <x:c r="G607" s="75"/>
      <x:c r="H607" s="76" t="str">
        <x:f>IF(A607="","",F607-G607)</x:f>
      </x:c>
      <x:c r="I607" s="77" t="str">
        <x:f>IF(A607="","",IF(E607="","기타/불명",IF(IFERROR(SEARCH("급여",E607),0)&gt;0,"인건비",IF(IFERROR(SEARCH("임차",E607),0)&gt;0,"임차·시설",IF(IFERROR(SEARCH("광고",E607),0)&gt;0,"광고·행사",IF(IFERROR(SEARCH("용역",E607),0)&gt;0,"용역·수수료","기타/불명"))))))</x:f>
      </x:c>
      <x:c r="J607" s="77" t="str">
        <x:f>IF(A607="","",IF(I607="기타/불명","확인 필요","결의서명으로 1차 확인"))</x:f>
      </x:c>
      <x:c r="K607" s="78"/>
    </x:row>
    <x:row r="608">
      <x:c r="A608" s="73"/>
      <x:c r="B608" s="73"/>
      <x:c r="C608" s="74"/>
      <x:c r="D608" s="73"/>
      <x:c r="E608" s="73"/>
      <x:c r="F608" s="75"/>
      <x:c r="G608" s="75"/>
      <x:c r="H608" s="76" t="str">
        <x:f>IF(A608="","",F608-G608)</x:f>
      </x:c>
      <x:c r="I608" s="77" t="str">
        <x:f>IF(A608="","",IF(E608="","기타/불명",IF(IFERROR(SEARCH("급여",E608),0)&gt;0,"인건비",IF(IFERROR(SEARCH("임차",E608),0)&gt;0,"임차·시설",IF(IFERROR(SEARCH("광고",E608),0)&gt;0,"광고·행사",IF(IFERROR(SEARCH("용역",E608),0)&gt;0,"용역·수수료","기타/불명"))))))</x:f>
      </x:c>
      <x:c r="J608" s="77" t="str">
        <x:f>IF(A608="","",IF(I608="기타/불명","확인 필요","결의서명으로 1차 확인"))</x:f>
      </x:c>
      <x:c r="K608" s="78"/>
    </x:row>
    <x:row r="609">
      <x:c r="A609" s="73"/>
      <x:c r="B609" s="73"/>
      <x:c r="C609" s="74"/>
      <x:c r="D609" s="73"/>
      <x:c r="E609" s="73"/>
      <x:c r="F609" s="75"/>
      <x:c r="G609" s="75"/>
      <x:c r="H609" s="76" t="str">
        <x:f>IF(A609="","",F609-G609)</x:f>
      </x:c>
      <x:c r="I609" s="77" t="str">
        <x:f>IF(A609="","",IF(E609="","기타/불명",IF(IFERROR(SEARCH("급여",E609),0)&gt;0,"인건비",IF(IFERROR(SEARCH("임차",E609),0)&gt;0,"임차·시설",IF(IFERROR(SEARCH("광고",E609),0)&gt;0,"광고·행사",IF(IFERROR(SEARCH("용역",E609),0)&gt;0,"용역·수수료","기타/불명"))))))</x:f>
      </x:c>
      <x:c r="J609" s="77" t="str">
        <x:f>IF(A609="","",IF(I609="기타/불명","확인 필요","결의서명으로 1차 확인"))</x:f>
      </x:c>
      <x:c r="K609" s="78"/>
    </x:row>
    <x:row r="610">
      <x:c r="A610" s="73"/>
      <x:c r="B610" s="73"/>
      <x:c r="C610" s="74"/>
      <x:c r="D610" s="73"/>
      <x:c r="E610" s="73"/>
      <x:c r="F610" s="75"/>
      <x:c r="G610" s="75"/>
      <x:c r="H610" s="76" t="str">
        <x:f>IF(A610="","",F610-G610)</x:f>
      </x:c>
      <x:c r="I610" s="77" t="str">
        <x:f>IF(A610="","",IF(E610="","기타/불명",IF(IFERROR(SEARCH("급여",E610),0)&gt;0,"인건비",IF(IFERROR(SEARCH("임차",E610),0)&gt;0,"임차·시설",IF(IFERROR(SEARCH("광고",E610),0)&gt;0,"광고·행사",IF(IFERROR(SEARCH("용역",E610),0)&gt;0,"용역·수수료","기타/불명"))))))</x:f>
      </x:c>
      <x:c r="J610" s="77" t="str">
        <x:f>IF(A610="","",IF(I610="기타/불명","확인 필요","결의서명으로 1차 확인"))</x:f>
      </x:c>
      <x:c r="K610" s="78"/>
    </x:row>
    <x:row r="611">
      <x:c r="A611" s="73"/>
      <x:c r="B611" s="73"/>
      <x:c r="C611" s="74"/>
      <x:c r="D611" s="73"/>
      <x:c r="E611" s="73"/>
      <x:c r="F611" s="75"/>
      <x:c r="G611" s="75"/>
      <x:c r="H611" s="76" t="str">
        <x:f>IF(A611="","",F611-G611)</x:f>
      </x:c>
      <x:c r="I611" s="77" t="str">
        <x:f>IF(A611="","",IF(E611="","기타/불명",IF(IFERROR(SEARCH("급여",E611),0)&gt;0,"인건비",IF(IFERROR(SEARCH("임차",E611),0)&gt;0,"임차·시설",IF(IFERROR(SEARCH("광고",E611),0)&gt;0,"광고·행사",IF(IFERROR(SEARCH("용역",E611),0)&gt;0,"용역·수수료","기타/불명"))))))</x:f>
      </x:c>
      <x:c r="J611" s="77" t="str">
        <x:f>IF(A611="","",IF(I611="기타/불명","확인 필요","결의서명으로 1차 확인"))</x:f>
      </x:c>
      <x:c r="K611" s="78"/>
    </x:row>
    <x:row r="612">
      <x:c r="A612" s="73"/>
      <x:c r="B612" s="73"/>
      <x:c r="C612" s="74"/>
      <x:c r="D612" s="73"/>
      <x:c r="E612" s="73"/>
      <x:c r="F612" s="75"/>
      <x:c r="G612" s="75"/>
      <x:c r="H612" s="76" t="str">
        <x:f>IF(A612="","",F612-G612)</x:f>
      </x:c>
      <x:c r="I612" s="77" t="str">
        <x:f>IF(A612="","",IF(E612="","기타/불명",IF(IFERROR(SEARCH("급여",E612),0)&gt;0,"인건비",IF(IFERROR(SEARCH("임차",E612),0)&gt;0,"임차·시설",IF(IFERROR(SEARCH("광고",E612),0)&gt;0,"광고·행사",IF(IFERROR(SEARCH("용역",E612),0)&gt;0,"용역·수수료","기타/불명"))))))</x:f>
      </x:c>
      <x:c r="J612" s="77" t="str">
        <x:f>IF(A612="","",IF(I612="기타/불명","확인 필요","결의서명으로 1차 확인"))</x:f>
      </x:c>
      <x:c r="K612" s="78"/>
    </x:row>
    <x:row r="613">
      <x:c r="A613" s="73"/>
      <x:c r="B613" s="73"/>
      <x:c r="C613" s="74"/>
      <x:c r="D613" s="73"/>
      <x:c r="E613" s="73"/>
      <x:c r="F613" s="75"/>
      <x:c r="G613" s="75"/>
      <x:c r="H613" s="76" t="str">
        <x:f>IF(A613="","",F613-G613)</x:f>
      </x:c>
      <x:c r="I613" s="77" t="str">
        <x:f>IF(A613="","",IF(E613="","기타/불명",IF(IFERROR(SEARCH("급여",E613),0)&gt;0,"인건비",IF(IFERROR(SEARCH("임차",E613),0)&gt;0,"임차·시설",IF(IFERROR(SEARCH("광고",E613),0)&gt;0,"광고·행사",IF(IFERROR(SEARCH("용역",E613),0)&gt;0,"용역·수수료","기타/불명"))))))</x:f>
      </x:c>
      <x:c r="J613" s="77" t="str">
        <x:f>IF(A613="","",IF(I613="기타/불명","확인 필요","결의서명으로 1차 확인"))</x:f>
      </x:c>
      <x:c r="K613" s="78"/>
    </x:row>
    <x:row r="614">
      <x:c r="A614" s="73"/>
      <x:c r="B614" s="73"/>
      <x:c r="C614" s="74"/>
      <x:c r="D614" s="73"/>
      <x:c r="E614" s="73"/>
      <x:c r="F614" s="75"/>
      <x:c r="G614" s="75"/>
      <x:c r="H614" s="76" t="str">
        <x:f>IF(A614="","",F614-G614)</x:f>
      </x:c>
      <x:c r="I614" s="77" t="str">
        <x:f>IF(A614="","",IF(E614="","기타/불명",IF(IFERROR(SEARCH("급여",E614),0)&gt;0,"인건비",IF(IFERROR(SEARCH("임차",E614),0)&gt;0,"임차·시설",IF(IFERROR(SEARCH("광고",E614),0)&gt;0,"광고·행사",IF(IFERROR(SEARCH("용역",E614),0)&gt;0,"용역·수수료","기타/불명"))))))</x:f>
      </x:c>
      <x:c r="J614" s="77" t="str">
        <x:f>IF(A614="","",IF(I614="기타/불명","확인 필요","결의서명으로 1차 확인"))</x:f>
      </x:c>
      <x:c r="K614" s="78"/>
    </x:row>
    <x:row r="615">
      <x:c r="A615" s="73"/>
      <x:c r="B615" s="73"/>
      <x:c r="C615" s="74"/>
      <x:c r="D615" s="73"/>
      <x:c r="E615" s="73"/>
      <x:c r="F615" s="75"/>
      <x:c r="G615" s="75"/>
      <x:c r="H615" s="76" t="str">
        <x:f>IF(A615="","",F615-G615)</x:f>
      </x:c>
      <x:c r="I615" s="77" t="str">
        <x:f>IF(A615="","",IF(E615="","기타/불명",IF(IFERROR(SEARCH("급여",E615),0)&gt;0,"인건비",IF(IFERROR(SEARCH("임차",E615),0)&gt;0,"임차·시설",IF(IFERROR(SEARCH("광고",E615),0)&gt;0,"광고·행사",IF(IFERROR(SEARCH("용역",E615),0)&gt;0,"용역·수수료","기타/불명"))))))</x:f>
      </x:c>
      <x:c r="J615" s="77" t="str">
        <x:f>IF(A615="","",IF(I615="기타/불명","확인 필요","결의서명으로 1차 확인"))</x:f>
      </x:c>
      <x:c r="K615" s="78"/>
    </x:row>
    <x:row r="616">
      <x:c r="A616" s="73"/>
      <x:c r="B616" s="73"/>
      <x:c r="C616" s="74"/>
      <x:c r="D616" s="73"/>
      <x:c r="E616" s="73"/>
      <x:c r="F616" s="75"/>
      <x:c r="G616" s="75"/>
      <x:c r="H616" s="76" t="str">
        <x:f>IF(A616="","",F616-G616)</x:f>
      </x:c>
      <x:c r="I616" s="77" t="str">
        <x:f>IF(A616="","",IF(E616="","기타/불명",IF(IFERROR(SEARCH("급여",E616),0)&gt;0,"인건비",IF(IFERROR(SEARCH("임차",E616),0)&gt;0,"임차·시설",IF(IFERROR(SEARCH("광고",E616),0)&gt;0,"광고·행사",IF(IFERROR(SEARCH("용역",E616),0)&gt;0,"용역·수수료","기타/불명"))))))</x:f>
      </x:c>
      <x:c r="J616" s="77" t="str">
        <x:f>IF(A616="","",IF(I616="기타/불명","확인 필요","결의서명으로 1차 확인"))</x:f>
      </x:c>
      <x:c r="K616" s="78"/>
    </x:row>
    <x:row r="617">
      <x:c r="A617" s="73"/>
      <x:c r="B617" s="73"/>
      <x:c r="C617" s="74"/>
      <x:c r="D617" s="73"/>
      <x:c r="E617" s="73"/>
      <x:c r="F617" s="75"/>
      <x:c r="G617" s="75"/>
      <x:c r="H617" s="76" t="str">
        <x:f>IF(A617="","",F617-G617)</x:f>
      </x:c>
      <x:c r="I617" s="77" t="str">
        <x:f>IF(A617="","",IF(E617="","기타/불명",IF(IFERROR(SEARCH("급여",E617),0)&gt;0,"인건비",IF(IFERROR(SEARCH("임차",E617),0)&gt;0,"임차·시설",IF(IFERROR(SEARCH("광고",E617),0)&gt;0,"광고·행사",IF(IFERROR(SEARCH("용역",E617),0)&gt;0,"용역·수수료","기타/불명"))))))</x:f>
      </x:c>
      <x:c r="J617" s="77" t="str">
        <x:f>IF(A617="","",IF(I617="기타/불명","확인 필요","결의서명으로 1차 확인"))</x:f>
      </x:c>
      <x:c r="K617" s="78"/>
    </x:row>
    <x:row r="618">
      <x:c r="A618" s="73"/>
      <x:c r="B618" s="73"/>
      <x:c r="C618" s="74"/>
      <x:c r="D618" s="73"/>
      <x:c r="E618" s="73"/>
      <x:c r="F618" s="75"/>
      <x:c r="G618" s="75"/>
      <x:c r="H618" s="76" t="str">
        <x:f>IF(A618="","",F618-G618)</x:f>
      </x:c>
      <x:c r="I618" s="77" t="str">
        <x:f>IF(A618="","",IF(E618="","기타/불명",IF(IFERROR(SEARCH("급여",E618),0)&gt;0,"인건비",IF(IFERROR(SEARCH("임차",E618),0)&gt;0,"임차·시설",IF(IFERROR(SEARCH("광고",E618),0)&gt;0,"광고·행사",IF(IFERROR(SEARCH("용역",E618),0)&gt;0,"용역·수수료","기타/불명"))))))</x:f>
      </x:c>
      <x:c r="J618" s="77" t="str">
        <x:f>IF(A618="","",IF(I618="기타/불명","확인 필요","결의서명으로 1차 확인"))</x:f>
      </x:c>
      <x:c r="K618" s="78"/>
    </x:row>
    <x:row r="619">
      <x:c r="A619" s="73"/>
      <x:c r="B619" s="73"/>
      <x:c r="C619" s="74"/>
      <x:c r="D619" s="73"/>
      <x:c r="E619" s="73"/>
      <x:c r="F619" s="75"/>
      <x:c r="G619" s="75"/>
      <x:c r="H619" s="76" t="str">
        <x:f>IF(A619="","",F619-G619)</x:f>
      </x:c>
      <x:c r="I619" s="77" t="str">
        <x:f>IF(A619="","",IF(E619="","기타/불명",IF(IFERROR(SEARCH("급여",E619),0)&gt;0,"인건비",IF(IFERROR(SEARCH("임차",E619),0)&gt;0,"임차·시설",IF(IFERROR(SEARCH("광고",E619),0)&gt;0,"광고·행사",IF(IFERROR(SEARCH("용역",E619),0)&gt;0,"용역·수수료","기타/불명"))))))</x:f>
      </x:c>
      <x:c r="J619" s="77" t="str">
        <x:f>IF(A619="","",IF(I619="기타/불명","확인 필요","결의서명으로 1차 확인"))</x:f>
      </x:c>
      <x:c r="K619" s="78"/>
    </x:row>
    <x:row r="620">
      <x:c r="A620" s="73"/>
      <x:c r="B620" s="73"/>
      <x:c r="C620" s="74"/>
      <x:c r="D620" s="73"/>
      <x:c r="E620" s="73"/>
      <x:c r="F620" s="75"/>
      <x:c r="G620" s="75"/>
      <x:c r="H620" s="76" t="str">
        <x:f>IF(A620="","",F620-G620)</x:f>
      </x:c>
      <x:c r="I620" s="77" t="str">
        <x:f>IF(A620="","",IF(E620="","기타/불명",IF(IFERROR(SEARCH("급여",E620),0)&gt;0,"인건비",IF(IFERROR(SEARCH("임차",E620),0)&gt;0,"임차·시설",IF(IFERROR(SEARCH("광고",E620),0)&gt;0,"광고·행사",IF(IFERROR(SEARCH("용역",E620),0)&gt;0,"용역·수수료","기타/불명"))))))</x:f>
      </x:c>
      <x:c r="J620" s="77" t="str">
        <x:f>IF(A620="","",IF(I620="기타/불명","확인 필요","결의서명으로 1차 확인"))</x:f>
      </x:c>
      <x:c r="K620" s="78"/>
    </x:row>
    <x:row r="621">
      <x:c r="A621" s="73"/>
      <x:c r="B621" s="73"/>
      <x:c r="C621" s="74"/>
      <x:c r="D621" s="73"/>
      <x:c r="E621" s="73"/>
      <x:c r="F621" s="75"/>
      <x:c r="G621" s="75"/>
      <x:c r="H621" s="76" t="str">
        <x:f>IF(A621="","",F621-G621)</x:f>
      </x:c>
      <x:c r="I621" s="77" t="str">
        <x:f>IF(A621="","",IF(E621="","기타/불명",IF(IFERROR(SEARCH("급여",E621),0)&gt;0,"인건비",IF(IFERROR(SEARCH("임차",E621),0)&gt;0,"임차·시설",IF(IFERROR(SEARCH("광고",E621),0)&gt;0,"광고·행사",IF(IFERROR(SEARCH("용역",E621),0)&gt;0,"용역·수수료","기타/불명"))))))</x:f>
      </x:c>
      <x:c r="J621" s="77" t="str">
        <x:f>IF(A621="","",IF(I621="기타/불명","확인 필요","결의서명으로 1차 확인"))</x:f>
      </x:c>
      <x:c r="K621" s="78"/>
    </x:row>
    <x:row r="622">
      <x:c r="A622" s="73"/>
      <x:c r="B622" s="73"/>
      <x:c r="C622" s="74"/>
      <x:c r="D622" s="73"/>
      <x:c r="E622" s="73"/>
      <x:c r="F622" s="75"/>
      <x:c r="G622" s="75"/>
      <x:c r="H622" s="76" t="str">
        <x:f>IF(A622="","",F622-G622)</x:f>
      </x:c>
      <x:c r="I622" s="77" t="str">
        <x:f>IF(A622="","",IF(E622="","기타/불명",IF(IFERROR(SEARCH("급여",E622),0)&gt;0,"인건비",IF(IFERROR(SEARCH("임차",E622),0)&gt;0,"임차·시설",IF(IFERROR(SEARCH("광고",E622),0)&gt;0,"광고·행사",IF(IFERROR(SEARCH("용역",E622),0)&gt;0,"용역·수수료","기타/불명"))))))</x:f>
      </x:c>
      <x:c r="J622" s="77" t="str">
        <x:f>IF(A622="","",IF(I622="기타/불명","확인 필요","결의서명으로 1차 확인"))</x:f>
      </x:c>
      <x:c r="K622" s="78"/>
    </x:row>
    <x:row r="623">
      <x:c r="A623" s="73"/>
      <x:c r="B623" s="73"/>
      <x:c r="C623" s="74"/>
      <x:c r="D623" s="73"/>
      <x:c r="E623" s="73"/>
      <x:c r="F623" s="75"/>
      <x:c r="G623" s="75"/>
      <x:c r="H623" s="76" t="str">
        <x:f>IF(A623="","",F623-G623)</x:f>
      </x:c>
      <x:c r="I623" s="77" t="str">
        <x:f>IF(A623="","",IF(E623="","기타/불명",IF(IFERROR(SEARCH("급여",E623),0)&gt;0,"인건비",IF(IFERROR(SEARCH("임차",E623),0)&gt;0,"임차·시설",IF(IFERROR(SEARCH("광고",E623),0)&gt;0,"광고·행사",IF(IFERROR(SEARCH("용역",E623),0)&gt;0,"용역·수수료","기타/불명"))))))</x:f>
      </x:c>
      <x:c r="J623" s="77" t="str">
        <x:f>IF(A623="","",IF(I623="기타/불명","확인 필요","결의서명으로 1차 확인"))</x:f>
      </x:c>
      <x:c r="K623" s="78"/>
    </x:row>
    <x:row r="624">
      <x:c r="A624" s="73"/>
      <x:c r="B624" s="73"/>
      <x:c r="C624" s="74"/>
      <x:c r="D624" s="73"/>
      <x:c r="E624" s="73"/>
      <x:c r="F624" s="75"/>
      <x:c r="G624" s="75"/>
      <x:c r="H624" s="76" t="str">
        <x:f>IF(A624="","",F624-G624)</x:f>
      </x:c>
      <x:c r="I624" s="77" t="str">
        <x:f>IF(A624="","",IF(E624="","기타/불명",IF(IFERROR(SEARCH("급여",E624),0)&gt;0,"인건비",IF(IFERROR(SEARCH("임차",E624),0)&gt;0,"임차·시설",IF(IFERROR(SEARCH("광고",E624),0)&gt;0,"광고·행사",IF(IFERROR(SEARCH("용역",E624),0)&gt;0,"용역·수수료","기타/불명"))))))</x:f>
      </x:c>
      <x:c r="J624" s="77" t="str">
        <x:f>IF(A624="","",IF(I624="기타/불명","확인 필요","결의서명으로 1차 확인"))</x:f>
      </x:c>
      <x:c r="K624" s="78"/>
    </x:row>
    <x:row r="625">
      <x:c r="A625" s="73"/>
      <x:c r="B625" s="73"/>
      <x:c r="C625" s="74"/>
      <x:c r="D625" s="73"/>
      <x:c r="E625" s="73"/>
      <x:c r="F625" s="75"/>
      <x:c r="G625" s="75"/>
      <x:c r="H625" s="76" t="str">
        <x:f>IF(A625="","",F625-G625)</x:f>
      </x:c>
      <x:c r="I625" s="77" t="str">
        <x:f>IF(A625="","",IF(E625="","기타/불명",IF(IFERROR(SEARCH("급여",E625),0)&gt;0,"인건비",IF(IFERROR(SEARCH("임차",E625),0)&gt;0,"임차·시설",IF(IFERROR(SEARCH("광고",E625),0)&gt;0,"광고·행사",IF(IFERROR(SEARCH("용역",E625),0)&gt;0,"용역·수수료","기타/불명"))))))</x:f>
      </x:c>
      <x:c r="J625" s="77" t="str">
        <x:f>IF(A625="","",IF(I625="기타/불명","확인 필요","결의서명으로 1차 확인"))</x:f>
      </x:c>
      <x:c r="K625" s="78"/>
    </x:row>
    <x:row r="626">
      <x:c r="A626" s="73"/>
      <x:c r="B626" s="73"/>
      <x:c r="C626" s="74"/>
      <x:c r="D626" s="73"/>
      <x:c r="E626" s="73"/>
      <x:c r="F626" s="75"/>
      <x:c r="G626" s="75"/>
      <x:c r="H626" s="76" t="str">
        <x:f>IF(A626="","",F626-G626)</x:f>
      </x:c>
      <x:c r="I626" s="77" t="str">
        <x:f>IF(A626="","",IF(E626="","기타/불명",IF(IFERROR(SEARCH("급여",E626),0)&gt;0,"인건비",IF(IFERROR(SEARCH("임차",E626),0)&gt;0,"임차·시설",IF(IFERROR(SEARCH("광고",E626),0)&gt;0,"광고·행사",IF(IFERROR(SEARCH("용역",E626),0)&gt;0,"용역·수수료","기타/불명"))))))</x:f>
      </x:c>
      <x:c r="J626" s="77" t="str">
        <x:f>IF(A626="","",IF(I626="기타/불명","확인 필요","결의서명으로 1차 확인"))</x:f>
      </x:c>
      <x:c r="K626" s="78"/>
    </x:row>
    <x:row r="627">
      <x:c r="A627" s="73"/>
      <x:c r="B627" s="73"/>
      <x:c r="C627" s="74"/>
      <x:c r="D627" s="73"/>
      <x:c r="E627" s="73"/>
      <x:c r="F627" s="75"/>
      <x:c r="G627" s="75"/>
      <x:c r="H627" s="76" t="str">
        <x:f>IF(A627="","",F627-G627)</x:f>
      </x:c>
      <x:c r="I627" s="77" t="str">
        <x:f>IF(A627="","",IF(E627="","기타/불명",IF(IFERROR(SEARCH("급여",E627),0)&gt;0,"인건비",IF(IFERROR(SEARCH("임차",E627),0)&gt;0,"임차·시설",IF(IFERROR(SEARCH("광고",E627),0)&gt;0,"광고·행사",IF(IFERROR(SEARCH("용역",E627),0)&gt;0,"용역·수수료","기타/불명"))))))</x:f>
      </x:c>
      <x:c r="J627" s="77" t="str">
        <x:f>IF(A627="","",IF(I627="기타/불명","확인 필요","결의서명으로 1차 확인"))</x:f>
      </x:c>
      <x:c r="K627" s="78"/>
    </x:row>
    <x:row r="628">
      <x:c r="A628" s="73"/>
      <x:c r="B628" s="73"/>
      <x:c r="C628" s="74"/>
      <x:c r="D628" s="73"/>
      <x:c r="E628" s="73"/>
      <x:c r="F628" s="75"/>
      <x:c r="G628" s="75"/>
      <x:c r="H628" s="76" t="str">
        <x:f>IF(A628="","",F628-G628)</x:f>
      </x:c>
      <x:c r="I628" s="77" t="str">
        <x:f>IF(A628="","",IF(E628="","기타/불명",IF(IFERROR(SEARCH("급여",E628),0)&gt;0,"인건비",IF(IFERROR(SEARCH("임차",E628),0)&gt;0,"임차·시설",IF(IFERROR(SEARCH("광고",E628),0)&gt;0,"광고·행사",IF(IFERROR(SEARCH("용역",E628),0)&gt;0,"용역·수수료","기타/불명"))))))</x:f>
      </x:c>
      <x:c r="J628" s="77" t="str">
        <x:f>IF(A628="","",IF(I628="기타/불명","확인 필요","결의서명으로 1차 확인"))</x:f>
      </x:c>
      <x:c r="K628" s="78"/>
    </x:row>
    <x:row r="629">
      <x:c r="A629" s="73"/>
      <x:c r="B629" s="73"/>
      <x:c r="C629" s="74"/>
      <x:c r="D629" s="73"/>
      <x:c r="E629" s="73"/>
      <x:c r="F629" s="75"/>
      <x:c r="G629" s="75"/>
      <x:c r="H629" s="76" t="str">
        <x:f>IF(A629="","",F629-G629)</x:f>
      </x:c>
      <x:c r="I629" s="77" t="str">
        <x:f>IF(A629="","",IF(E629="","기타/불명",IF(IFERROR(SEARCH("급여",E629),0)&gt;0,"인건비",IF(IFERROR(SEARCH("임차",E629),0)&gt;0,"임차·시설",IF(IFERROR(SEARCH("광고",E629),0)&gt;0,"광고·행사",IF(IFERROR(SEARCH("용역",E629),0)&gt;0,"용역·수수료","기타/불명"))))))</x:f>
      </x:c>
      <x:c r="J629" s="77" t="str">
        <x:f>IF(A629="","",IF(I629="기타/불명","확인 필요","결의서명으로 1차 확인"))</x:f>
      </x:c>
      <x:c r="K629" s="78"/>
    </x:row>
    <x:row r="630">
      <x:c r="A630" s="73"/>
      <x:c r="B630" s="73"/>
      <x:c r="C630" s="74"/>
      <x:c r="D630" s="73"/>
      <x:c r="E630" s="73"/>
      <x:c r="F630" s="75"/>
      <x:c r="G630" s="75"/>
      <x:c r="H630" s="76" t="str">
        <x:f>IF(A630="","",F630-G630)</x:f>
      </x:c>
      <x:c r="I630" s="77" t="str">
        <x:f>IF(A630="","",IF(E630="","기타/불명",IF(IFERROR(SEARCH("급여",E630),0)&gt;0,"인건비",IF(IFERROR(SEARCH("임차",E630),0)&gt;0,"임차·시설",IF(IFERROR(SEARCH("광고",E630),0)&gt;0,"광고·행사",IF(IFERROR(SEARCH("용역",E630),0)&gt;0,"용역·수수료","기타/불명"))))))</x:f>
      </x:c>
      <x:c r="J630" s="77" t="str">
        <x:f>IF(A630="","",IF(I630="기타/불명","확인 필요","결의서명으로 1차 확인"))</x:f>
      </x:c>
      <x:c r="K630" s="78"/>
    </x:row>
    <x:row r="631">
      <x:c r="A631" s="73"/>
      <x:c r="B631" s="73"/>
      <x:c r="C631" s="74"/>
      <x:c r="D631" s="73"/>
      <x:c r="E631" s="73"/>
      <x:c r="F631" s="75"/>
      <x:c r="G631" s="75"/>
      <x:c r="H631" s="76" t="str">
        <x:f>IF(A631="","",F631-G631)</x:f>
      </x:c>
      <x:c r="I631" s="77" t="str">
        <x:f>IF(A631="","",IF(E631="","기타/불명",IF(IFERROR(SEARCH("급여",E631),0)&gt;0,"인건비",IF(IFERROR(SEARCH("임차",E631),0)&gt;0,"임차·시설",IF(IFERROR(SEARCH("광고",E631),0)&gt;0,"광고·행사",IF(IFERROR(SEARCH("용역",E631),0)&gt;0,"용역·수수료","기타/불명"))))))</x:f>
      </x:c>
      <x:c r="J631" s="77" t="str">
        <x:f>IF(A631="","",IF(I631="기타/불명","확인 필요","결의서명으로 1차 확인"))</x:f>
      </x:c>
      <x:c r="K631" s="78"/>
    </x:row>
    <x:row r="632">
      <x:c r="A632" s="73"/>
      <x:c r="B632" s="73"/>
      <x:c r="C632" s="74"/>
      <x:c r="D632" s="73"/>
      <x:c r="E632" s="73"/>
      <x:c r="F632" s="75"/>
      <x:c r="G632" s="75"/>
      <x:c r="H632" s="76" t="str">
        <x:f>IF(A632="","",F632-G632)</x:f>
      </x:c>
      <x:c r="I632" s="77" t="str">
        <x:f>IF(A632="","",IF(E632="","기타/불명",IF(IFERROR(SEARCH("급여",E632),0)&gt;0,"인건비",IF(IFERROR(SEARCH("임차",E632),0)&gt;0,"임차·시설",IF(IFERROR(SEARCH("광고",E632),0)&gt;0,"광고·행사",IF(IFERROR(SEARCH("용역",E632),0)&gt;0,"용역·수수료","기타/불명"))))))</x:f>
      </x:c>
      <x:c r="J632" s="77" t="str">
        <x:f>IF(A632="","",IF(I632="기타/불명","확인 필요","결의서명으로 1차 확인"))</x:f>
      </x:c>
      <x:c r="K632" s="78"/>
    </x:row>
    <x:row r="633">
      <x:c r="A633" s="73"/>
      <x:c r="B633" s="73"/>
      <x:c r="C633" s="74"/>
      <x:c r="D633" s="73"/>
      <x:c r="E633" s="73"/>
      <x:c r="F633" s="75"/>
      <x:c r="G633" s="75"/>
      <x:c r="H633" s="76" t="str">
        <x:f>IF(A633="","",F633-G633)</x:f>
      </x:c>
      <x:c r="I633" s="77" t="str">
        <x:f>IF(A633="","",IF(E633="","기타/불명",IF(IFERROR(SEARCH("급여",E633),0)&gt;0,"인건비",IF(IFERROR(SEARCH("임차",E633),0)&gt;0,"임차·시설",IF(IFERROR(SEARCH("광고",E633),0)&gt;0,"광고·행사",IF(IFERROR(SEARCH("용역",E633),0)&gt;0,"용역·수수료","기타/불명"))))))</x:f>
      </x:c>
      <x:c r="J633" s="77" t="str">
        <x:f>IF(A633="","",IF(I633="기타/불명","확인 필요","결의서명으로 1차 확인"))</x:f>
      </x:c>
      <x:c r="K633" s="78"/>
    </x:row>
    <x:row r="634">
      <x:c r="A634" s="73"/>
      <x:c r="B634" s="73"/>
      <x:c r="C634" s="74"/>
      <x:c r="D634" s="73"/>
      <x:c r="E634" s="73"/>
      <x:c r="F634" s="75"/>
      <x:c r="G634" s="75"/>
      <x:c r="H634" s="76" t="str">
        <x:f>IF(A634="","",F634-G634)</x:f>
      </x:c>
      <x:c r="I634" s="77" t="str">
        <x:f>IF(A634="","",IF(E634="","기타/불명",IF(IFERROR(SEARCH("급여",E634),0)&gt;0,"인건비",IF(IFERROR(SEARCH("임차",E634),0)&gt;0,"임차·시설",IF(IFERROR(SEARCH("광고",E634),0)&gt;0,"광고·행사",IF(IFERROR(SEARCH("용역",E634),0)&gt;0,"용역·수수료","기타/불명"))))))</x:f>
      </x:c>
      <x:c r="J634" s="77" t="str">
        <x:f>IF(A634="","",IF(I634="기타/불명","확인 필요","결의서명으로 1차 확인"))</x:f>
      </x:c>
      <x:c r="K634" s="78"/>
    </x:row>
    <x:row r="635">
      <x:c r="A635" s="73"/>
      <x:c r="B635" s="73"/>
      <x:c r="C635" s="74"/>
      <x:c r="D635" s="73"/>
      <x:c r="E635" s="73"/>
      <x:c r="F635" s="75"/>
      <x:c r="G635" s="75"/>
      <x:c r="H635" s="76" t="str">
        <x:f>IF(A635="","",F635-G635)</x:f>
      </x:c>
      <x:c r="I635" s="77" t="str">
        <x:f>IF(A635="","",IF(E635="","기타/불명",IF(IFERROR(SEARCH("급여",E635),0)&gt;0,"인건비",IF(IFERROR(SEARCH("임차",E635),0)&gt;0,"임차·시설",IF(IFERROR(SEARCH("광고",E635),0)&gt;0,"광고·행사",IF(IFERROR(SEARCH("용역",E635),0)&gt;0,"용역·수수료","기타/불명"))))))</x:f>
      </x:c>
      <x:c r="J635" s="77" t="str">
        <x:f>IF(A635="","",IF(I635="기타/불명","확인 필요","결의서명으로 1차 확인"))</x:f>
      </x:c>
      <x:c r="K635" s="78"/>
    </x:row>
    <x:row r="636">
      <x:c r="A636" s="73"/>
      <x:c r="B636" s="73"/>
      <x:c r="C636" s="74"/>
      <x:c r="D636" s="73"/>
      <x:c r="E636" s="73"/>
      <x:c r="F636" s="75"/>
      <x:c r="G636" s="75"/>
      <x:c r="H636" s="76" t="str">
        <x:f>IF(A636="","",F636-G636)</x:f>
      </x:c>
      <x:c r="I636" s="77" t="str">
        <x:f>IF(A636="","",IF(E636="","기타/불명",IF(IFERROR(SEARCH("급여",E636),0)&gt;0,"인건비",IF(IFERROR(SEARCH("임차",E636),0)&gt;0,"임차·시설",IF(IFERROR(SEARCH("광고",E636),0)&gt;0,"광고·행사",IF(IFERROR(SEARCH("용역",E636),0)&gt;0,"용역·수수료","기타/불명"))))))</x:f>
      </x:c>
      <x:c r="J636" s="77" t="str">
        <x:f>IF(A636="","",IF(I636="기타/불명","확인 필요","결의서명으로 1차 확인"))</x:f>
      </x:c>
      <x:c r="K636" s="78"/>
    </x:row>
    <x:row r="637">
      <x:c r="A637" s="73"/>
      <x:c r="B637" s="73"/>
      <x:c r="C637" s="74"/>
      <x:c r="D637" s="73"/>
      <x:c r="E637" s="73"/>
      <x:c r="F637" s="75"/>
      <x:c r="G637" s="75"/>
      <x:c r="H637" s="76" t="str">
        <x:f>IF(A637="","",F637-G637)</x:f>
      </x:c>
      <x:c r="I637" s="77" t="str">
        <x:f>IF(A637="","",IF(E637="","기타/불명",IF(IFERROR(SEARCH("급여",E637),0)&gt;0,"인건비",IF(IFERROR(SEARCH("임차",E637),0)&gt;0,"임차·시설",IF(IFERROR(SEARCH("광고",E637),0)&gt;0,"광고·행사",IF(IFERROR(SEARCH("용역",E637),0)&gt;0,"용역·수수료","기타/불명"))))))</x:f>
      </x:c>
      <x:c r="J637" s="77" t="str">
        <x:f>IF(A637="","",IF(I637="기타/불명","확인 필요","결의서명으로 1차 확인"))</x:f>
      </x:c>
      <x:c r="K637" s="78"/>
    </x:row>
    <x:row r="638">
      <x:c r="A638" s="73"/>
      <x:c r="B638" s="73"/>
      <x:c r="C638" s="74"/>
      <x:c r="D638" s="73"/>
      <x:c r="E638" s="73"/>
      <x:c r="F638" s="75"/>
      <x:c r="G638" s="75"/>
      <x:c r="H638" s="76" t="str">
        <x:f>IF(A638="","",F638-G638)</x:f>
      </x:c>
      <x:c r="I638" s="77" t="str">
        <x:f>IF(A638="","",IF(E638="","기타/불명",IF(IFERROR(SEARCH("급여",E638),0)&gt;0,"인건비",IF(IFERROR(SEARCH("임차",E638),0)&gt;0,"임차·시설",IF(IFERROR(SEARCH("광고",E638),0)&gt;0,"광고·행사",IF(IFERROR(SEARCH("용역",E638),0)&gt;0,"용역·수수료","기타/불명"))))))</x:f>
      </x:c>
      <x:c r="J638" s="77" t="str">
        <x:f>IF(A638="","",IF(I638="기타/불명","확인 필요","결의서명으로 1차 확인"))</x:f>
      </x:c>
      <x:c r="K638" s="78"/>
    </x:row>
    <x:row r="639">
      <x:c r="A639" s="73"/>
      <x:c r="B639" s="73"/>
      <x:c r="C639" s="74"/>
      <x:c r="D639" s="73"/>
      <x:c r="E639" s="73"/>
      <x:c r="F639" s="75"/>
      <x:c r="G639" s="75"/>
      <x:c r="H639" s="76" t="str">
        <x:f>IF(A639="","",F639-G639)</x:f>
      </x:c>
      <x:c r="I639" s="77" t="str">
        <x:f>IF(A639="","",IF(E639="","기타/불명",IF(IFERROR(SEARCH("급여",E639),0)&gt;0,"인건비",IF(IFERROR(SEARCH("임차",E639),0)&gt;0,"임차·시설",IF(IFERROR(SEARCH("광고",E639),0)&gt;0,"광고·행사",IF(IFERROR(SEARCH("용역",E639),0)&gt;0,"용역·수수료","기타/불명"))))))</x:f>
      </x:c>
      <x:c r="J639" s="77" t="str">
        <x:f>IF(A639="","",IF(I639="기타/불명","확인 필요","결의서명으로 1차 확인"))</x:f>
      </x:c>
      <x:c r="K639" s="78"/>
    </x:row>
    <x:row r="640">
      <x:c r="A640" s="73"/>
      <x:c r="B640" s="73"/>
      <x:c r="C640" s="74"/>
      <x:c r="D640" s="73"/>
      <x:c r="E640" s="73"/>
      <x:c r="F640" s="75"/>
      <x:c r="G640" s="75"/>
      <x:c r="H640" s="76" t="str">
        <x:f>IF(A640="","",F640-G640)</x:f>
      </x:c>
      <x:c r="I640" s="77" t="str">
        <x:f>IF(A640="","",IF(E640="","기타/불명",IF(IFERROR(SEARCH("급여",E640),0)&gt;0,"인건비",IF(IFERROR(SEARCH("임차",E640),0)&gt;0,"임차·시설",IF(IFERROR(SEARCH("광고",E640),0)&gt;0,"광고·행사",IF(IFERROR(SEARCH("용역",E640),0)&gt;0,"용역·수수료","기타/불명"))))))</x:f>
      </x:c>
      <x:c r="J640" s="77" t="str">
        <x:f>IF(A640="","",IF(I640="기타/불명","확인 필요","결의서명으로 1차 확인"))</x:f>
      </x:c>
      <x:c r="K640" s="78"/>
    </x:row>
    <x:row r="641">
      <x:c r="A641" s="73"/>
      <x:c r="B641" s="73"/>
      <x:c r="C641" s="74"/>
      <x:c r="D641" s="73"/>
      <x:c r="E641" s="73"/>
      <x:c r="F641" s="75"/>
      <x:c r="G641" s="75"/>
      <x:c r="H641" s="76" t="str">
        <x:f>IF(A641="","",F641-G641)</x:f>
      </x:c>
      <x:c r="I641" s="77" t="str">
        <x:f>IF(A641="","",IF(E641="","기타/불명",IF(IFERROR(SEARCH("급여",E641),0)&gt;0,"인건비",IF(IFERROR(SEARCH("임차",E641),0)&gt;0,"임차·시설",IF(IFERROR(SEARCH("광고",E641),0)&gt;0,"광고·행사",IF(IFERROR(SEARCH("용역",E641),0)&gt;0,"용역·수수료","기타/불명"))))))</x:f>
      </x:c>
      <x:c r="J641" s="77" t="str">
        <x:f>IF(A641="","",IF(I641="기타/불명","확인 필요","결의서명으로 1차 확인"))</x:f>
      </x:c>
      <x:c r="K641" s="78"/>
    </x:row>
    <x:row r="642">
      <x:c r="A642" s="73"/>
      <x:c r="B642" s="73"/>
      <x:c r="C642" s="74"/>
      <x:c r="D642" s="73"/>
      <x:c r="E642" s="73"/>
      <x:c r="F642" s="75"/>
      <x:c r="G642" s="75"/>
      <x:c r="H642" s="76" t="str">
        <x:f>IF(A642="","",F642-G642)</x:f>
      </x:c>
      <x:c r="I642" s="77" t="str">
        <x:f>IF(A642="","",IF(E642="","기타/불명",IF(IFERROR(SEARCH("급여",E642),0)&gt;0,"인건비",IF(IFERROR(SEARCH("임차",E642),0)&gt;0,"임차·시설",IF(IFERROR(SEARCH("광고",E642),0)&gt;0,"광고·행사",IF(IFERROR(SEARCH("용역",E642),0)&gt;0,"용역·수수료","기타/불명"))))))</x:f>
      </x:c>
      <x:c r="J642" s="77" t="str">
        <x:f>IF(A642="","",IF(I642="기타/불명","확인 필요","결의서명으로 1차 확인"))</x:f>
      </x:c>
      <x:c r="K642" s="78"/>
    </x:row>
    <x:row r="643">
      <x:c r="A643" s="73"/>
      <x:c r="B643" s="73"/>
      <x:c r="C643" s="74"/>
      <x:c r="D643" s="73"/>
      <x:c r="E643" s="73"/>
      <x:c r="F643" s="75"/>
      <x:c r="G643" s="75"/>
      <x:c r="H643" s="76" t="str">
        <x:f>IF(A643="","",F643-G643)</x:f>
      </x:c>
      <x:c r="I643" s="77" t="str">
        <x:f>IF(A643="","",IF(E643="","기타/불명",IF(IFERROR(SEARCH("급여",E643),0)&gt;0,"인건비",IF(IFERROR(SEARCH("임차",E643),0)&gt;0,"임차·시설",IF(IFERROR(SEARCH("광고",E643),0)&gt;0,"광고·행사",IF(IFERROR(SEARCH("용역",E643),0)&gt;0,"용역·수수료","기타/불명"))))))</x:f>
      </x:c>
      <x:c r="J643" s="77" t="str">
        <x:f>IF(A643="","",IF(I643="기타/불명","확인 필요","결의서명으로 1차 확인"))</x:f>
      </x:c>
      <x:c r="K643" s="78"/>
    </x:row>
    <x:row r="644">
      <x:c r="A644" s="73"/>
      <x:c r="B644" s="73"/>
      <x:c r="C644" s="74"/>
      <x:c r="D644" s="73"/>
      <x:c r="E644" s="73"/>
      <x:c r="F644" s="75"/>
      <x:c r="G644" s="75"/>
      <x:c r="H644" s="76" t="str">
        <x:f>IF(A644="","",F644-G644)</x:f>
      </x:c>
      <x:c r="I644" s="77" t="str">
        <x:f>IF(A644="","",IF(E644="","기타/불명",IF(IFERROR(SEARCH("급여",E644),0)&gt;0,"인건비",IF(IFERROR(SEARCH("임차",E644),0)&gt;0,"임차·시설",IF(IFERROR(SEARCH("광고",E644),0)&gt;0,"광고·행사",IF(IFERROR(SEARCH("용역",E644),0)&gt;0,"용역·수수료","기타/불명"))))))</x:f>
      </x:c>
      <x:c r="J644" s="77" t="str">
        <x:f>IF(A644="","",IF(I644="기타/불명","확인 필요","결의서명으로 1차 확인"))</x:f>
      </x:c>
      <x:c r="K644" s="78"/>
    </x:row>
    <x:row r="645">
      <x:c r="A645" s="73"/>
      <x:c r="B645" s="73"/>
      <x:c r="C645" s="74"/>
      <x:c r="D645" s="73"/>
      <x:c r="E645" s="73"/>
      <x:c r="F645" s="75"/>
      <x:c r="G645" s="75"/>
      <x:c r="H645" s="76" t="str">
        <x:f>IF(A645="","",F645-G645)</x:f>
      </x:c>
      <x:c r="I645" s="77" t="str">
        <x:f>IF(A645="","",IF(E645="","기타/불명",IF(IFERROR(SEARCH("급여",E645),0)&gt;0,"인건비",IF(IFERROR(SEARCH("임차",E645),0)&gt;0,"임차·시설",IF(IFERROR(SEARCH("광고",E645),0)&gt;0,"광고·행사",IF(IFERROR(SEARCH("용역",E645),0)&gt;0,"용역·수수료","기타/불명"))))))</x:f>
      </x:c>
      <x:c r="J645" s="77" t="str">
        <x:f>IF(A645="","",IF(I645="기타/불명","확인 필요","결의서명으로 1차 확인"))</x:f>
      </x:c>
      <x:c r="K645" s="78"/>
    </x:row>
    <x:row r="646">
      <x:c r="A646" s="73"/>
      <x:c r="B646" s="73"/>
      <x:c r="C646" s="74"/>
      <x:c r="D646" s="73"/>
      <x:c r="E646" s="73"/>
      <x:c r="F646" s="75"/>
      <x:c r="G646" s="75"/>
      <x:c r="H646" s="76" t="str">
        <x:f>IF(A646="","",F646-G646)</x:f>
      </x:c>
      <x:c r="I646" s="77" t="str">
        <x:f>IF(A646="","",IF(E646="","기타/불명",IF(IFERROR(SEARCH("급여",E646),0)&gt;0,"인건비",IF(IFERROR(SEARCH("임차",E646),0)&gt;0,"임차·시설",IF(IFERROR(SEARCH("광고",E646),0)&gt;0,"광고·행사",IF(IFERROR(SEARCH("용역",E646),0)&gt;0,"용역·수수료","기타/불명"))))))</x:f>
      </x:c>
      <x:c r="J646" s="77" t="str">
        <x:f>IF(A646="","",IF(I646="기타/불명","확인 필요","결의서명으로 1차 확인"))</x:f>
      </x:c>
      <x:c r="K646" s="78"/>
    </x:row>
    <x:row r="647">
      <x:c r="A647" s="73"/>
      <x:c r="B647" s="73"/>
      <x:c r="C647" s="74"/>
      <x:c r="D647" s="73"/>
      <x:c r="E647" s="73"/>
      <x:c r="F647" s="75"/>
      <x:c r="G647" s="75"/>
      <x:c r="H647" s="76" t="str">
        <x:f>IF(A647="","",F647-G647)</x:f>
      </x:c>
      <x:c r="I647" s="77" t="str">
        <x:f>IF(A647="","",IF(E647="","기타/불명",IF(IFERROR(SEARCH("급여",E647),0)&gt;0,"인건비",IF(IFERROR(SEARCH("임차",E647),0)&gt;0,"임차·시설",IF(IFERROR(SEARCH("광고",E647),0)&gt;0,"광고·행사",IF(IFERROR(SEARCH("용역",E647),0)&gt;0,"용역·수수료","기타/불명"))))))</x:f>
      </x:c>
      <x:c r="J647" s="77" t="str">
        <x:f>IF(A647="","",IF(I647="기타/불명","확인 필요","결의서명으로 1차 확인"))</x:f>
      </x:c>
      <x:c r="K647" s="78"/>
    </x:row>
    <x:row r="648">
      <x:c r="A648" s="73"/>
      <x:c r="B648" s="73"/>
      <x:c r="C648" s="74"/>
      <x:c r="D648" s="73"/>
      <x:c r="E648" s="73"/>
      <x:c r="F648" s="75"/>
      <x:c r="G648" s="75"/>
      <x:c r="H648" s="76" t="str">
        <x:f>IF(A648="","",F648-G648)</x:f>
      </x:c>
      <x:c r="I648" s="77" t="str">
        <x:f>IF(A648="","",IF(E648="","기타/불명",IF(IFERROR(SEARCH("급여",E648),0)&gt;0,"인건비",IF(IFERROR(SEARCH("임차",E648),0)&gt;0,"임차·시설",IF(IFERROR(SEARCH("광고",E648),0)&gt;0,"광고·행사",IF(IFERROR(SEARCH("용역",E648),0)&gt;0,"용역·수수료","기타/불명"))))))</x:f>
      </x:c>
      <x:c r="J648" s="77" t="str">
        <x:f>IF(A648="","",IF(I648="기타/불명","확인 필요","결의서명으로 1차 확인"))</x:f>
      </x:c>
      <x:c r="K648" s="78"/>
    </x:row>
    <x:row r="649">
      <x:c r="A649" s="73"/>
      <x:c r="B649" s="73"/>
      <x:c r="C649" s="74"/>
      <x:c r="D649" s="73"/>
      <x:c r="E649" s="73"/>
      <x:c r="F649" s="75"/>
      <x:c r="G649" s="75"/>
      <x:c r="H649" s="76" t="str">
        <x:f>IF(A649="","",F649-G649)</x:f>
      </x:c>
      <x:c r="I649" s="77" t="str">
        <x:f>IF(A649="","",IF(E649="","기타/불명",IF(IFERROR(SEARCH("급여",E649),0)&gt;0,"인건비",IF(IFERROR(SEARCH("임차",E649),0)&gt;0,"임차·시설",IF(IFERROR(SEARCH("광고",E649),0)&gt;0,"광고·행사",IF(IFERROR(SEARCH("용역",E649),0)&gt;0,"용역·수수료","기타/불명"))))))</x:f>
      </x:c>
      <x:c r="J649" s="77" t="str">
        <x:f>IF(A649="","",IF(I649="기타/불명","확인 필요","결의서명으로 1차 확인"))</x:f>
      </x:c>
      <x:c r="K649" s="78"/>
    </x:row>
    <x:row r="650">
      <x:c r="A650" s="73"/>
      <x:c r="B650" s="73"/>
      <x:c r="C650" s="74"/>
      <x:c r="D650" s="73"/>
      <x:c r="E650" s="73"/>
      <x:c r="F650" s="75"/>
      <x:c r="G650" s="75"/>
      <x:c r="H650" s="76" t="str">
        <x:f>IF(A650="","",F650-G650)</x:f>
      </x:c>
      <x:c r="I650" s="77" t="str">
        <x:f>IF(A650="","",IF(E650="","기타/불명",IF(IFERROR(SEARCH("급여",E650),0)&gt;0,"인건비",IF(IFERROR(SEARCH("임차",E650),0)&gt;0,"임차·시설",IF(IFERROR(SEARCH("광고",E650),0)&gt;0,"광고·행사",IF(IFERROR(SEARCH("용역",E650),0)&gt;0,"용역·수수료","기타/불명"))))))</x:f>
      </x:c>
      <x:c r="J650" s="77" t="str">
        <x:f>IF(A650="","",IF(I650="기타/불명","확인 필요","결의서명으로 1차 확인"))</x:f>
      </x:c>
      <x:c r="K650" s="78"/>
    </x:row>
    <x:row r="651">
      <x:c r="A651" s="73"/>
      <x:c r="B651" s="73"/>
      <x:c r="C651" s="74"/>
      <x:c r="D651" s="73"/>
      <x:c r="E651" s="73"/>
      <x:c r="F651" s="75"/>
      <x:c r="G651" s="75"/>
      <x:c r="H651" s="76" t="str">
        <x:f>IF(A651="","",F651-G651)</x:f>
      </x:c>
      <x:c r="I651" s="77" t="str">
        <x:f>IF(A651="","",IF(E651="","기타/불명",IF(IFERROR(SEARCH("급여",E651),0)&gt;0,"인건비",IF(IFERROR(SEARCH("임차",E651),0)&gt;0,"임차·시설",IF(IFERROR(SEARCH("광고",E651),0)&gt;0,"광고·행사",IF(IFERROR(SEARCH("용역",E651),0)&gt;0,"용역·수수료","기타/불명"))))))</x:f>
      </x:c>
      <x:c r="J651" s="77" t="str">
        <x:f>IF(A651="","",IF(I651="기타/불명","확인 필요","결의서명으로 1차 확인"))</x:f>
      </x:c>
      <x:c r="K651" s="78"/>
    </x:row>
    <x:row r="652">
      <x:c r="A652" s="73"/>
      <x:c r="B652" s="73"/>
      <x:c r="C652" s="74"/>
      <x:c r="D652" s="73"/>
      <x:c r="E652" s="73"/>
      <x:c r="F652" s="75"/>
      <x:c r="G652" s="75"/>
      <x:c r="H652" s="76" t="str">
        <x:f>IF(A652="","",F652-G652)</x:f>
      </x:c>
      <x:c r="I652" s="77" t="str">
        <x:f>IF(A652="","",IF(E652="","기타/불명",IF(IFERROR(SEARCH("급여",E652),0)&gt;0,"인건비",IF(IFERROR(SEARCH("임차",E652),0)&gt;0,"임차·시설",IF(IFERROR(SEARCH("광고",E652),0)&gt;0,"광고·행사",IF(IFERROR(SEARCH("용역",E652),0)&gt;0,"용역·수수료","기타/불명"))))))</x:f>
      </x:c>
      <x:c r="J652" s="77" t="str">
        <x:f>IF(A652="","",IF(I652="기타/불명","확인 필요","결의서명으로 1차 확인"))</x:f>
      </x:c>
      <x:c r="K652" s="78"/>
    </x:row>
    <x:row r="653">
      <x:c r="A653" s="73"/>
      <x:c r="B653" s="73"/>
      <x:c r="C653" s="74"/>
      <x:c r="D653" s="73"/>
      <x:c r="E653" s="73"/>
      <x:c r="F653" s="75"/>
      <x:c r="G653" s="75"/>
      <x:c r="H653" s="76" t="str">
        <x:f>IF(A653="","",F653-G653)</x:f>
      </x:c>
      <x:c r="I653" s="77" t="str">
        <x:f>IF(A653="","",IF(E653="","기타/불명",IF(IFERROR(SEARCH("급여",E653),0)&gt;0,"인건비",IF(IFERROR(SEARCH("임차",E653),0)&gt;0,"임차·시설",IF(IFERROR(SEARCH("광고",E653),0)&gt;0,"광고·행사",IF(IFERROR(SEARCH("용역",E653),0)&gt;0,"용역·수수료","기타/불명"))))))</x:f>
      </x:c>
      <x:c r="J653" s="77" t="str">
        <x:f>IF(A653="","",IF(I653="기타/불명","확인 필요","결의서명으로 1차 확인"))</x:f>
      </x:c>
      <x:c r="K653" s="78"/>
    </x:row>
    <x:row r="654">
      <x:c r="A654" s="73"/>
      <x:c r="B654" s="73"/>
      <x:c r="C654" s="74"/>
      <x:c r="D654" s="73"/>
      <x:c r="E654" s="73"/>
      <x:c r="F654" s="75"/>
      <x:c r="G654" s="75"/>
      <x:c r="H654" s="76" t="str">
        <x:f>IF(A654="","",F654-G654)</x:f>
      </x:c>
      <x:c r="I654" s="77" t="str">
        <x:f>IF(A654="","",IF(E654="","기타/불명",IF(IFERROR(SEARCH("급여",E654),0)&gt;0,"인건비",IF(IFERROR(SEARCH("임차",E654),0)&gt;0,"임차·시설",IF(IFERROR(SEARCH("광고",E654),0)&gt;0,"광고·행사",IF(IFERROR(SEARCH("용역",E654),0)&gt;0,"용역·수수료","기타/불명"))))))</x:f>
      </x:c>
      <x:c r="J654" s="77" t="str">
        <x:f>IF(A654="","",IF(I654="기타/불명","확인 필요","결의서명으로 1차 확인"))</x:f>
      </x:c>
      <x:c r="K654" s="78"/>
    </x:row>
    <x:row r="655">
      <x:c r="A655" s="73"/>
      <x:c r="B655" s="73"/>
      <x:c r="C655" s="74"/>
      <x:c r="D655" s="73"/>
      <x:c r="E655" s="73"/>
      <x:c r="F655" s="75"/>
      <x:c r="G655" s="75"/>
      <x:c r="H655" s="76" t="str">
        <x:f>IF(A655="","",F655-G655)</x:f>
      </x:c>
      <x:c r="I655" s="77" t="str">
        <x:f>IF(A655="","",IF(E655="","기타/불명",IF(IFERROR(SEARCH("급여",E655),0)&gt;0,"인건비",IF(IFERROR(SEARCH("임차",E655),0)&gt;0,"임차·시설",IF(IFERROR(SEARCH("광고",E655),0)&gt;0,"광고·행사",IF(IFERROR(SEARCH("용역",E655),0)&gt;0,"용역·수수료","기타/불명"))))))</x:f>
      </x:c>
      <x:c r="J655" s="77" t="str">
        <x:f>IF(A655="","",IF(I655="기타/불명","확인 필요","결의서명으로 1차 확인"))</x:f>
      </x:c>
      <x:c r="K655" s="78"/>
    </x:row>
    <x:row r="656">
      <x:c r="A656" s="73"/>
      <x:c r="B656" s="73"/>
      <x:c r="C656" s="74"/>
      <x:c r="D656" s="73"/>
      <x:c r="E656" s="73"/>
      <x:c r="F656" s="75"/>
      <x:c r="G656" s="75"/>
      <x:c r="H656" s="76" t="str">
        <x:f>IF(A656="","",F656-G656)</x:f>
      </x:c>
      <x:c r="I656" s="77" t="str">
        <x:f>IF(A656="","",IF(E656="","기타/불명",IF(IFERROR(SEARCH("급여",E656),0)&gt;0,"인건비",IF(IFERROR(SEARCH("임차",E656),0)&gt;0,"임차·시설",IF(IFERROR(SEARCH("광고",E656),0)&gt;0,"광고·행사",IF(IFERROR(SEARCH("용역",E656),0)&gt;0,"용역·수수료","기타/불명"))))))</x:f>
      </x:c>
      <x:c r="J656" s="77" t="str">
        <x:f>IF(A656="","",IF(I656="기타/불명","확인 필요","결의서명으로 1차 확인"))</x:f>
      </x:c>
      <x:c r="K656" s="78"/>
    </x:row>
    <x:row r="657">
      <x:c r="A657" s="73"/>
      <x:c r="B657" s="73"/>
      <x:c r="C657" s="74"/>
      <x:c r="D657" s="73"/>
      <x:c r="E657" s="73"/>
      <x:c r="F657" s="75"/>
      <x:c r="G657" s="75"/>
      <x:c r="H657" s="76" t="str">
        <x:f>IF(A657="","",F657-G657)</x:f>
      </x:c>
      <x:c r="I657" s="77" t="str">
        <x:f>IF(A657="","",IF(E657="","기타/불명",IF(IFERROR(SEARCH("급여",E657),0)&gt;0,"인건비",IF(IFERROR(SEARCH("임차",E657),0)&gt;0,"임차·시설",IF(IFERROR(SEARCH("광고",E657),0)&gt;0,"광고·행사",IF(IFERROR(SEARCH("용역",E657),0)&gt;0,"용역·수수료","기타/불명"))))))</x:f>
      </x:c>
      <x:c r="J657" s="77" t="str">
        <x:f>IF(A657="","",IF(I657="기타/불명","확인 필요","결의서명으로 1차 확인"))</x:f>
      </x:c>
      <x:c r="K657" s="78"/>
    </x:row>
    <x:row r="658">
      <x:c r="A658" s="73"/>
      <x:c r="B658" s="73"/>
      <x:c r="C658" s="74"/>
      <x:c r="D658" s="73"/>
      <x:c r="E658" s="73"/>
      <x:c r="F658" s="75"/>
      <x:c r="G658" s="75"/>
      <x:c r="H658" s="76" t="str">
        <x:f>IF(A658="","",F658-G658)</x:f>
      </x:c>
      <x:c r="I658" s="77" t="str">
        <x:f>IF(A658="","",IF(E658="","기타/불명",IF(IFERROR(SEARCH("급여",E658),0)&gt;0,"인건비",IF(IFERROR(SEARCH("임차",E658),0)&gt;0,"임차·시설",IF(IFERROR(SEARCH("광고",E658),0)&gt;0,"광고·행사",IF(IFERROR(SEARCH("용역",E658),0)&gt;0,"용역·수수료","기타/불명"))))))</x:f>
      </x:c>
      <x:c r="J658" s="77" t="str">
        <x:f>IF(A658="","",IF(I658="기타/불명","확인 필요","결의서명으로 1차 확인"))</x:f>
      </x:c>
      <x:c r="K658" s="78"/>
    </x:row>
    <x:row r="659">
      <x:c r="A659" s="73"/>
      <x:c r="B659" s="73"/>
      <x:c r="C659" s="74"/>
      <x:c r="D659" s="73"/>
      <x:c r="E659" s="73"/>
      <x:c r="F659" s="75"/>
      <x:c r="G659" s="75"/>
      <x:c r="H659" s="76" t="str">
        <x:f>IF(A659="","",F659-G659)</x:f>
      </x:c>
      <x:c r="I659" s="77" t="str">
        <x:f>IF(A659="","",IF(E659="","기타/불명",IF(IFERROR(SEARCH("급여",E659),0)&gt;0,"인건비",IF(IFERROR(SEARCH("임차",E659),0)&gt;0,"임차·시설",IF(IFERROR(SEARCH("광고",E659),0)&gt;0,"광고·행사",IF(IFERROR(SEARCH("용역",E659),0)&gt;0,"용역·수수료","기타/불명"))))))</x:f>
      </x:c>
      <x:c r="J659" s="77" t="str">
        <x:f>IF(A659="","",IF(I659="기타/불명","확인 필요","결의서명으로 1차 확인"))</x:f>
      </x:c>
      <x:c r="K659" s="78"/>
    </x:row>
    <x:row r="660">
      <x:c r="A660" s="73"/>
      <x:c r="B660" s="73"/>
      <x:c r="C660" s="74"/>
      <x:c r="D660" s="73"/>
      <x:c r="E660" s="73"/>
      <x:c r="F660" s="75"/>
      <x:c r="G660" s="75"/>
      <x:c r="H660" s="76" t="str">
        <x:f>IF(A660="","",F660-G660)</x:f>
      </x:c>
      <x:c r="I660" s="77" t="str">
        <x:f>IF(A660="","",IF(E660="","기타/불명",IF(IFERROR(SEARCH("급여",E660),0)&gt;0,"인건비",IF(IFERROR(SEARCH("임차",E660),0)&gt;0,"임차·시설",IF(IFERROR(SEARCH("광고",E660),0)&gt;0,"광고·행사",IF(IFERROR(SEARCH("용역",E660),0)&gt;0,"용역·수수료","기타/불명"))))))</x:f>
      </x:c>
      <x:c r="J660" s="77" t="str">
        <x:f>IF(A660="","",IF(I660="기타/불명","확인 필요","결의서명으로 1차 확인"))</x:f>
      </x:c>
      <x:c r="K660" s="78"/>
    </x:row>
    <x:row r="661">
      <x:c r="A661" s="73"/>
      <x:c r="B661" s="73"/>
      <x:c r="C661" s="74"/>
      <x:c r="D661" s="73"/>
      <x:c r="E661" s="73"/>
      <x:c r="F661" s="75"/>
      <x:c r="G661" s="75"/>
      <x:c r="H661" s="76" t="str">
        <x:f>IF(A661="","",F661-G661)</x:f>
      </x:c>
      <x:c r="I661" s="77" t="str">
        <x:f>IF(A661="","",IF(E661="","기타/불명",IF(IFERROR(SEARCH("급여",E661),0)&gt;0,"인건비",IF(IFERROR(SEARCH("임차",E661),0)&gt;0,"임차·시설",IF(IFERROR(SEARCH("광고",E661),0)&gt;0,"광고·행사",IF(IFERROR(SEARCH("용역",E661),0)&gt;0,"용역·수수료","기타/불명"))))))</x:f>
      </x:c>
      <x:c r="J661" s="77" t="str">
        <x:f>IF(A661="","",IF(I661="기타/불명","확인 필요","결의서명으로 1차 확인"))</x:f>
      </x:c>
      <x:c r="K661" s="78"/>
    </x:row>
    <x:row r="662">
      <x:c r="A662" s="73"/>
      <x:c r="B662" s="73"/>
      <x:c r="C662" s="74"/>
      <x:c r="D662" s="73"/>
      <x:c r="E662" s="73"/>
      <x:c r="F662" s="75"/>
      <x:c r="G662" s="75"/>
      <x:c r="H662" s="76" t="str">
        <x:f>IF(A662="","",F662-G662)</x:f>
      </x:c>
      <x:c r="I662" s="77" t="str">
        <x:f>IF(A662="","",IF(E662="","기타/불명",IF(IFERROR(SEARCH("급여",E662),0)&gt;0,"인건비",IF(IFERROR(SEARCH("임차",E662),0)&gt;0,"임차·시설",IF(IFERROR(SEARCH("광고",E662),0)&gt;0,"광고·행사",IF(IFERROR(SEARCH("용역",E662),0)&gt;0,"용역·수수료","기타/불명"))))))</x:f>
      </x:c>
      <x:c r="J662" s="77" t="str">
        <x:f>IF(A662="","",IF(I662="기타/불명","확인 필요","결의서명으로 1차 확인"))</x:f>
      </x:c>
      <x:c r="K662" s="78"/>
    </x:row>
    <x:row r="663">
      <x:c r="A663" s="73"/>
      <x:c r="B663" s="73"/>
      <x:c r="C663" s="74"/>
      <x:c r="D663" s="73"/>
      <x:c r="E663" s="73"/>
      <x:c r="F663" s="75"/>
      <x:c r="G663" s="75"/>
      <x:c r="H663" s="76" t="str">
        <x:f>IF(A663="","",F663-G663)</x:f>
      </x:c>
      <x:c r="I663" s="77" t="str">
        <x:f>IF(A663="","",IF(E663="","기타/불명",IF(IFERROR(SEARCH("급여",E663),0)&gt;0,"인건비",IF(IFERROR(SEARCH("임차",E663),0)&gt;0,"임차·시설",IF(IFERROR(SEARCH("광고",E663),0)&gt;0,"광고·행사",IF(IFERROR(SEARCH("용역",E663),0)&gt;0,"용역·수수료","기타/불명"))))))</x:f>
      </x:c>
      <x:c r="J663" s="77" t="str">
        <x:f>IF(A663="","",IF(I663="기타/불명","확인 필요","결의서명으로 1차 확인"))</x:f>
      </x:c>
      <x:c r="K663" s="78"/>
    </x:row>
    <x:row r="664">
      <x:c r="A664" s="73"/>
      <x:c r="B664" s="73"/>
      <x:c r="C664" s="74"/>
      <x:c r="D664" s="73"/>
      <x:c r="E664" s="73"/>
      <x:c r="F664" s="75"/>
      <x:c r="G664" s="75"/>
      <x:c r="H664" s="76" t="str">
        <x:f>IF(A664="","",F664-G664)</x:f>
      </x:c>
      <x:c r="I664" s="77" t="str">
        <x:f>IF(A664="","",IF(E664="","기타/불명",IF(IFERROR(SEARCH("급여",E664),0)&gt;0,"인건비",IF(IFERROR(SEARCH("임차",E664),0)&gt;0,"임차·시설",IF(IFERROR(SEARCH("광고",E664),0)&gt;0,"광고·행사",IF(IFERROR(SEARCH("용역",E664),0)&gt;0,"용역·수수료","기타/불명"))))))</x:f>
      </x:c>
      <x:c r="J664" s="77" t="str">
        <x:f>IF(A664="","",IF(I664="기타/불명","확인 필요","결의서명으로 1차 확인"))</x:f>
      </x:c>
      <x:c r="K664" s="78"/>
    </x:row>
    <x:row r="665">
      <x:c r="A665" s="73"/>
      <x:c r="B665" s="73"/>
      <x:c r="C665" s="74"/>
      <x:c r="D665" s="73"/>
      <x:c r="E665" s="73"/>
      <x:c r="F665" s="75"/>
      <x:c r="G665" s="75"/>
      <x:c r="H665" s="76" t="str">
        <x:f>IF(A665="","",F665-G665)</x:f>
      </x:c>
      <x:c r="I665" s="77" t="str">
        <x:f>IF(A665="","",IF(E665="","기타/불명",IF(IFERROR(SEARCH("급여",E665),0)&gt;0,"인건비",IF(IFERROR(SEARCH("임차",E665),0)&gt;0,"임차·시설",IF(IFERROR(SEARCH("광고",E665),0)&gt;0,"광고·행사",IF(IFERROR(SEARCH("용역",E665),0)&gt;0,"용역·수수료","기타/불명"))))))</x:f>
      </x:c>
      <x:c r="J665" s="77" t="str">
        <x:f>IF(A665="","",IF(I665="기타/불명","확인 필요","결의서명으로 1차 확인"))</x:f>
      </x:c>
      <x:c r="K665" s="78"/>
    </x:row>
    <x:row r="666">
      <x:c r="A666" s="73"/>
      <x:c r="B666" s="73"/>
      <x:c r="C666" s="74"/>
      <x:c r="D666" s="73"/>
      <x:c r="E666" s="73"/>
      <x:c r="F666" s="75"/>
      <x:c r="G666" s="75"/>
      <x:c r="H666" s="76" t="str">
        <x:f>IF(A666="","",F666-G666)</x:f>
      </x:c>
      <x:c r="I666" s="77" t="str">
        <x:f>IF(A666="","",IF(E666="","기타/불명",IF(IFERROR(SEARCH("급여",E666),0)&gt;0,"인건비",IF(IFERROR(SEARCH("임차",E666),0)&gt;0,"임차·시설",IF(IFERROR(SEARCH("광고",E666),0)&gt;0,"광고·행사",IF(IFERROR(SEARCH("용역",E666),0)&gt;0,"용역·수수료","기타/불명"))))))</x:f>
      </x:c>
      <x:c r="J666" s="77" t="str">
        <x:f>IF(A666="","",IF(I666="기타/불명","확인 필요","결의서명으로 1차 확인"))</x:f>
      </x:c>
      <x:c r="K666" s="78"/>
    </x:row>
    <x:row r="667">
      <x:c r="A667" s="73"/>
      <x:c r="B667" s="73"/>
      <x:c r="C667" s="74"/>
      <x:c r="D667" s="73"/>
      <x:c r="E667" s="73"/>
      <x:c r="F667" s="75"/>
      <x:c r="G667" s="75"/>
      <x:c r="H667" s="76" t="str">
        <x:f>IF(A667="","",F667-G667)</x:f>
      </x:c>
      <x:c r="I667" s="77" t="str">
        <x:f>IF(A667="","",IF(E667="","기타/불명",IF(IFERROR(SEARCH("급여",E667),0)&gt;0,"인건비",IF(IFERROR(SEARCH("임차",E667),0)&gt;0,"임차·시설",IF(IFERROR(SEARCH("광고",E667),0)&gt;0,"광고·행사",IF(IFERROR(SEARCH("용역",E667),0)&gt;0,"용역·수수료","기타/불명"))))))</x:f>
      </x:c>
      <x:c r="J667" s="77" t="str">
        <x:f>IF(A667="","",IF(I667="기타/불명","확인 필요","결의서명으로 1차 확인"))</x:f>
      </x:c>
      <x:c r="K667" s="78"/>
    </x:row>
    <x:row r="668">
      <x:c r="A668" s="73"/>
      <x:c r="B668" s="73"/>
      <x:c r="C668" s="74"/>
      <x:c r="D668" s="73"/>
      <x:c r="E668" s="73"/>
      <x:c r="F668" s="75"/>
      <x:c r="G668" s="75"/>
      <x:c r="H668" s="76" t="str">
        <x:f>IF(A668="","",F668-G668)</x:f>
      </x:c>
      <x:c r="I668" s="77" t="str">
        <x:f>IF(A668="","",IF(E668="","기타/불명",IF(IFERROR(SEARCH("급여",E668),0)&gt;0,"인건비",IF(IFERROR(SEARCH("임차",E668),0)&gt;0,"임차·시설",IF(IFERROR(SEARCH("광고",E668),0)&gt;0,"광고·행사",IF(IFERROR(SEARCH("용역",E668),0)&gt;0,"용역·수수료","기타/불명"))))))</x:f>
      </x:c>
      <x:c r="J668" s="77" t="str">
        <x:f>IF(A668="","",IF(I668="기타/불명","확인 필요","결의서명으로 1차 확인"))</x:f>
      </x:c>
      <x:c r="K668" s="78"/>
    </x:row>
    <x:row r="669">
      <x:c r="A669" s="73"/>
      <x:c r="B669" s="73"/>
      <x:c r="C669" s="74"/>
      <x:c r="D669" s="73"/>
      <x:c r="E669" s="73"/>
      <x:c r="F669" s="75"/>
      <x:c r="G669" s="75"/>
      <x:c r="H669" s="76" t="str">
        <x:f>IF(A669="","",F669-G669)</x:f>
      </x:c>
      <x:c r="I669" s="77" t="str">
        <x:f>IF(A669="","",IF(E669="","기타/불명",IF(IFERROR(SEARCH("급여",E669),0)&gt;0,"인건비",IF(IFERROR(SEARCH("임차",E669),0)&gt;0,"임차·시설",IF(IFERROR(SEARCH("광고",E669),0)&gt;0,"광고·행사",IF(IFERROR(SEARCH("용역",E669),0)&gt;0,"용역·수수료","기타/불명"))))))</x:f>
      </x:c>
      <x:c r="J669" s="77" t="str">
        <x:f>IF(A669="","",IF(I669="기타/불명","확인 필요","결의서명으로 1차 확인"))</x:f>
      </x:c>
      <x:c r="K669" s="78"/>
    </x:row>
    <x:row r="670">
      <x:c r="A670" s="73"/>
      <x:c r="B670" s="73"/>
      <x:c r="C670" s="74"/>
      <x:c r="D670" s="73"/>
      <x:c r="E670" s="73"/>
      <x:c r="F670" s="75"/>
      <x:c r="G670" s="75"/>
      <x:c r="H670" s="76" t="str">
        <x:f>IF(A670="","",F670-G670)</x:f>
      </x:c>
      <x:c r="I670" s="77" t="str">
        <x:f>IF(A670="","",IF(E670="","기타/불명",IF(IFERROR(SEARCH("급여",E670),0)&gt;0,"인건비",IF(IFERROR(SEARCH("임차",E670),0)&gt;0,"임차·시설",IF(IFERROR(SEARCH("광고",E670),0)&gt;0,"광고·행사",IF(IFERROR(SEARCH("용역",E670),0)&gt;0,"용역·수수료","기타/불명"))))))</x:f>
      </x:c>
      <x:c r="J670" s="77" t="str">
        <x:f>IF(A670="","",IF(I670="기타/불명","확인 필요","결의서명으로 1차 확인"))</x:f>
      </x:c>
      <x:c r="K670" s="78"/>
    </x:row>
    <x:row r="671">
      <x:c r="A671" s="73"/>
      <x:c r="B671" s="73"/>
      <x:c r="C671" s="74"/>
      <x:c r="D671" s="73"/>
      <x:c r="E671" s="73"/>
      <x:c r="F671" s="75"/>
      <x:c r="G671" s="75"/>
      <x:c r="H671" s="76" t="str">
        <x:f>IF(A671="","",F671-G671)</x:f>
      </x:c>
      <x:c r="I671" s="77" t="str">
        <x:f>IF(A671="","",IF(E671="","기타/불명",IF(IFERROR(SEARCH("급여",E671),0)&gt;0,"인건비",IF(IFERROR(SEARCH("임차",E671),0)&gt;0,"임차·시설",IF(IFERROR(SEARCH("광고",E671),0)&gt;0,"광고·행사",IF(IFERROR(SEARCH("용역",E671),0)&gt;0,"용역·수수료","기타/불명"))))))</x:f>
      </x:c>
      <x:c r="J671" s="77" t="str">
        <x:f>IF(A671="","",IF(I671="기타/불명","확인 필요","결의서명으로 1차 확인"))</x:f>
      </x:c>
      <x:c r="K671" s="78"/>
    </x:row>
    <x:row r="672">
      <x:c r="A672" s="73"/>
      <x:c r="B672" s="73"/>
      <x:c r="C672" s="74"/>
      <x:c r="D672" s="73"/>
      <x:c r="E672" s="73"/>
      <x:c r="F672" s="75"/>
      <x:c r="G672" s="75"/>
      <x:c r="H672" s="76" t="str">
        <x:f>IF(A672="","",F672-G672)</x:f>
      </x:c>
      <x:c r="I672" s="77" t="str">
        <x:f>IF(A672="","",IF(E672="","기타/불명",IF(IFERROR(SEARCH("급여",E672),0)&gt;0,"인건비",IF(IFERROR(SEARCH("임차",E672),0)&gt;0,"임차·시설",IF(IFERROR(SEARCH("광고",E672),0)&gt;0,"광고·행사",IF(IFERROR(SEARCH("용역",E672),0)&gt;0,"용역·수수료","기타/불명"))))))</x:f>
      </x:c>
      <x:c r="J672" s="77" t="str">
        <x:f>IF(A672="","",IF(I672="기타/불명","확인 필요","결의서명으로 1차 확인"))</x:f>
      </x:c>
      <x:c r="K672" s="78"/>
    </x:row>
    <x:row r="673">
      <x:c r="A673" s="73"/>
      <x:c r="B673" s="73"/>
      <x:c r="C673" s="74"/>
      <x:c r="D673" s="73"/>
      <x:c r="E673" s="73"/>
      <x:c r="F673" s="75"/>
      <x:c r="G673" s="75"/>
      <x:c r="H673" s="76" t="str">
        <x:f>IF(A673="","",F673-G673)</x:f>
      </x:c>
      <x:c r="I673" s="77" t="str">
        <x:f>IF(A673="","",IF(E673="","기타/불명",IF(IFERROR(SEARCH("급여",E673),0)&gt;0,"인건비",IF(IFERROR(SEARCH("임차",E673),0)&gt;0,"임차·시설",IF(IFERROR(SEARCH("광고",E673),0)&gt;0,"광고·행사",IF(IFERROR(SEARCH("용역",E673),0)&gt;0,"용역·수수료","기타/불명"))))))</x:f>
      </x:c>
      <x:c r="J673" s="77" t="str">
        <x:f>IF(A673="","",IF(I673="기타/불명","확인 필요","결의서명으로 1차 확인"))</x:f>
      </x:c>
      <x:c r="K673" s="78"/>
    </x:row>
    <x:row r="674">
      <x:c r="A674" s="73"/>
      <x:c r="B674" s="73"/>
      <x:c r="C674" s="74"/>
      <x:c r="D674" s="73"/>
      <x:c r="E674" s="73"/>
      <x:c r="F674" s="75"/>
      <x:c r="G674" s="75"/>
      <x:c r="H674" s="76" t="str">
        <x:f>IF(A674="","",F674-G674)</x:f>
      </x:c>
      <x:c r="I674" s="77" t="str">
        <x:f>IF(A674="","",IF(E674="","기타/불명",IF(IFERROR(SEARCH("급여",E674),0)&gt;0,"인건비",IF(IFERROR(SEARCH("임차",E674),0)&gt;0,"임차·시설",IF(IFERROR(SEARCH("광고",E674),0)&gt;0,"광고·행사",IF(IFERROR(SEARCH("용역",E674),0)&gt;0,"용역·수수료","기타/불명"))))))</x:f>
      </x:c>
      <x:c r="J674" s="77" t="str">
        <x:f>IF(A674="","",IF(I674="기타/불명","확인 필요","결의서명으로 1차 확인"))</x:f>
      </x:c>
      <x:c r="K674" s="78"/>
    </x:row>
    <x:row r="675">
      <x:c r="A675" s="73"/>
      <x:c r="B675" s="73"/>
      <x:c r="C675" s="74"/>
      <x:c r="D675" s="73"/>
      <x:c r="E675" s="73"/>
      <x:c r="F675" s="75"/>
      <x:c r="G675" s="75"/>
      <x:c r="H675" s="76" t="str">
        <x:f>IF(A675="","",F675-G675)</x:f>
      </x:c>
      <x:c r="I675" s="77" t="str">
        <x:f>IF(A675="","",IF(E675="","기타/불명",IF(IFERROR(SEARCH("급여",E675),0)&gt;0,"인건비",IF(IFERROR(SEARCH("임차",E675),0)&gt;0,"임차·시설",IF(IFERROR(SEARCH("광고",E675),0)&gt;0,"광고·행사",IF(IFERROR(SEARCH("용역",E675),0)&gt;0,"용역·수수료","기타/불명"))))))</x:f>
      </x:c>
      <x:c r="J675" s="77" t="str">
        <x:f>IF(A675="","",IF(I675="기타/불명","확인 필요","결의서명으로 1차 확인"))</x:f>
      </x:c>
      <x:c r="K675" s="78"/>
    </x:row>
    <x:row r="676">
      <x:c r="A676" s="73"/>
      <x:c r="B676" s="73"/>
      <x:c r="C676" s="74"/>
      <x:c r="D676" s="73"/>
      <x:c r="E676" s="73"/>
      <x:c r="F676" s="75"/>
      <x:c r="G676" s="75"/>
      <x:c r="H676" s="76" t="str">
        <x:f>IF(A676="","",F676-G676)</x:f>
      </x:c>
      <x:c r="I676" s="77" t="str">
        <x:f>IF(A676="","",IF(E676="","기타/불명",IF(IFERROR(SEARCH("급여",E676),0)&gt;0,"인건비",IF(IFERROR(SEARCH("임차",E676),0)&gt;0,"임차·시설",IF(IFERROR(SEARCH("광고",E676),0)&gt;0,"광고·행사",IF(IFERROR(SEARCH("용역",E676),0)&gt;0,"용역·수수료","기타/불명"))))))</x:f>
      </x:c>
      <x:c r="J676" s="77" t="str">
        <x:f>IF(A676="","",IF(I676="기타/불명","확인 필요","결의서명으로 1차 확인"))</x:f>
      </x:c>
      <x:c r="K676" s="78"/>
    </x:row>
    <x:row r="677">
      <x:c r="A677" s="73"/>
      <x:c r="B677" s="73"/>
      <x:c r="C677" s="74"/>
      <x:c r="D677" s="73"/>
      <x:c r="E677" s="73"/>
      <x:c r="F677" s="75"/>
      <x:c r="G677" s="75"/>
      <x:c r="H677" s="76" t="str">
        <x:f>IF(A677="","",F677-G677)</x:f>
      </x:c>
      <x:c r="I677" s="77" t="str">
        <x:f>IF(A677="","",IF(E677="","기타/불명",IF(IFERROR(SEARCH("급여",E677),0)&gt;0,"인건비",IF(IFERROR(SEARCH("임차",E677),0)&gt;0,"임차·시설",IF(IFERROR(SEARCH("광고",E677),0)&gt;0,"광고·행사",IF(IFERROR(SEARCH("용역",E677),0)&gt;0,"용역·수수료","기타/불명"))))))</x:f>
      </x:c>
      <x:c r="J677" s="77" t="str">
        <x:f>IF(A677="","",IF(I677="기타/불명","확인 필요","결의서명으로 1차 확인"))</x:f>
      </x:c>
      <x:c r="K677" s="78"/>
    </x:row>
    <x:row r="678">
      <x:c r="A678" s="73"/>
      <x:c r="B678" s="73"/>
      <x:c r="C678" s="74"/>
      <x:c r="D678" s="73"/>
      <x:c r="E678" s="73"/>
      <x:c r="F678" s="75"/>
      <x:c r="G678" s="75"/>
      <x:c r="H678" s="76" t="str">
        <x:f>IF(A678="","",F678-G678)</x:f>
      </x:c>
      <x:c r="I678" s="77" t="str">
        <x:f>IF(A678="","",IF(E678="","기타/불명",IF(IFERROR(SEARCH("급여",E678),0)&gt;0,"인건비",IF(IFERROR(SEARCH("임차",E678),0)&gt;0,"임차·시설",IF(IFERROR(SEARCH("광고",E678),0)&gt;0,"광고·행사",IF(IFERROR(SEARCH("용역",E678),0)&gt;0,"용역·수수료","기타/불명"))))))</x:f>
      </x:c>
      <x:c r="J678" s="77" t="str">
        <x:f>IF(A678="","",IF(I678="기타/불명","확인 필요","결의서명으로 1차 확인"))</x:f>
      </x:c>
      <x:c r="K678" s="78"/>
    </x:row>
    <x:row r="679">
      <x:c r="A679" s="73"/>
      <x:c r="B679" s="73"/>
      <x:c r="C679" s="74"/>
      <x:c r="D679" s="73"/>
      <x:c r="E679" s="73"/>
      <x:c r="F679" s="75"/>
      <x:c r="G679" s="75"/>
      <x:c r="H679" s="76" t="str">
        <x:f>IF(A679="","",F679-G679)</x:f>
      </x:c>
      <x:c r="I679" s="77" t="str">
        <x:f>IF(A679="","",IF(E679="","기타/불명",IF(IFERROR(SEARCH("급여",E679),0)&gt;0,"인건비",IF(IFERROR(SEARCH("임차",E679),0)&gt;0,"임차·시설",IF(IFERROR(SEARCH("광고",E679),0)&gt;0,"광고·행사",IF(IFERROR(SEARCH("용역",E679),0)&gt;0,"용역·수수료","기타/불명"))))))</x:f>
      </x:c>
      <x:c r="J679" s="77" t="str">
        <x:f>IF(A679="","",IF(I679="기타/불명","확인 필요","결의서명으로 1차 확인"))</x:f>
      </x:c>
      <x:c r="K679" s="78"/>
    </x:row>
    <x:row r="680">
      <x:c r="A680" s="73"/>
      <x:c r="B680" s="73"/>
      <x:c r="C680" s="74"/>
      <x:c r="D680" s="73"/>
      <x:c r="E680" s="73"/>
      <x:c r="F680" s="75"/>
      <x:c r="G680" s="75"/>
      <x:c r="H680" s="76" t="str">
        <x:f>IF(A680="","",F680-G680)</x:f>
      </x:c>
      <x:c r="I680" s="77" t="str">
        <x:f>IF(A680="","",IF(E680="","기타/불명",IF(IFERROR(SEARCH("급여",E680),0)&gt;0,"인건비",IF(IFERROR(SEARCH("임차",E680),0)&gt;0,"임차·시설",IF(IFERROR(SEARCH("광고",E680),0)&gt;0,"광고·행사",IF(IFERROR(SEARCH("용역",E680),0)&gt;0,"용역·수수료","기타/불명"))))))</x:f>
      </x:c>
      <x:c r="J680" s="77" t="str">
        <x:f>IF(A680="","",IF(I680="기타/불명","확인 필요","결의서명으로 1차 확인"))</x:f>
      </x:c>
      <x:c r="K680" s="78"/>
    </x:row>
    <x:row r="681">
      <x:c r="A681" s="73"/>
      <x:c r="B681" s="73"/>
      <x:c r="C681" s="74"/>
      <x:c r="D681" s="73"/>
      <x:c r="E681" s="73"/>
      <x:c r="F681" s="75"/>
      <x:c r="G681" s="75"/>
      <x:c r="H681" s="76" t="str">
        <x:f>IF(A681="","",F681-G681)</x:f>
      </x:c>
      <x:c r="I681" s="77" t="str">
        <x:f>IF(A681="","",IF(E681="","기타/불명",IF(IFERROR(SEARCH("급여",E681),0)&gt;0,"인건비",IF(IFERROR(SEARCH("임차",E681),0)&gt;0,"임차·시설",IF(IFERROR(SEARCH("광고",E681),0)&gt;0,"광고·행사",IF(IFERROR(SEARCH("용역",E681),0)&gt;0,"용역·수수료","기타/불명"))))))</x:f>
      </x:c>
      <x:c r="J681" s="77" t="str">
        <x:f>IF(A681="","",IF(I681="기타/불명","확인 필요","결의서명으로 1차 확인"))</x:f>
      </x:c>
      <x:c r="K681" s="78"/>
    </x:row>
    <x:row r="682">
      <x:c r="A682" s="73"/>
      <x:c r="B682" s="73"/>
      <x:c r="C682" s="74"/>
      <x:c r="D682" s="73"/>
      <x:c r="E682" s="73"/>
      <x:c r="F682" s="75"/>
      <x:c r="G682" s="75"/>
      <x:c r="H682" s="76" t="str">
        <x:f>IF(A682="","",F682-G682)</x:f>
      </x:c>
      <x:c r="I682" s="77" t="str">
        <x:f>IF(A682="","",IF(E682="","기타/불명",IF(IFERROR(SEARCH("급여",E682),0)&gt;0,"인건비",IF(IFERROR(SEARCH("임차",E682),0)&gt;0,"임차·시설",IF(IFERROR(SEARCH("광고",E682),0)&gt;0,"광고·행사",IF(IFERROR(SEARCH("용역",E682),0)&gt;0,"용역·수수료","기타/불명"))))))</x:f>
      </x:c>
      <x:c r="J682" s="77" t="str">
        <x:f>IF(A682="","",IF(I682="기타/불명","확인 필요","결의서명으로 1차 확인"))</x:f>
      </x:c>
      <x:c r="K682" s="78"/>
    </x:row>
    <x:row r="683">
      <x:c r="A683" s="73"/>
      <x:c r="B683" s="73"/>
      <x:c r="C683" s="74"/>
      <x:c r="D683" s="73"/>
      <x:c r="E683" s="73"/>
      <x:c r="F683" s="75"/>
      <x:c r="G683" s="75"/>
      <x:c r="H683" s="76" t="str">
        <x:f>IF(A683="","",F683-G683)</x:f>
      </x:c>
      <x:c r="I683" s="77" t="str">
        <x:f>IF(A683="","",IF(E683="","기타/불명",IF(IFERROR(SEARCH("급여",E683),0)&gt;0,"인건비",IF(IFERROR(SEARCH("임차",E683),0)&gt;0,"임차·시설",IF(IFERROR(SEARCH("광고",E683),0)&gt;0,"광고·행사",IF(IFERROR(SEARCH("용역",E683),0)&gt;0,"용역·수수료","기타/불명"))))))</x:f>
      </x:c>
      <x:c r="J683" s="77" t="str">
        <x:f>IF(A683="","",IF(I683="기타/불명","확인 필요","결의서명으로 1차 확인"))</x:f>
      </x:c>
      <x:c r="K683" s="78"/>
    </x:row>
    <x:row r="684">
      <x:c r="A684" s="73"/>
      <x:c r="B684" s="73"/>
      <x:c r="C684" s="74"/>
      <x:c r="D684" s="73"/>
      <x:c r="E684" s="73"/>
      <x:c r="F684" s="75"/>
      <x:c r="G684" s="75"/>
      <x:c r="H684" s="76" t="str">
        <x:f>IF(A684="","",F684-G684)</x:f>
      </x:c>
      <x:c r="I684" s="77" t="str">
        <x:f>IF(A684="","",IF(E684="","기타/불명",IF(IFERROR(SEARCH("급여",E684),0)&gt;0,"인건비",IF(IFERROR(SEARCH("임차",E684),0)&gt;0,"임차·시설",IF(IFERROR(SEARCH("광고",E684),0)&gt;0,"광고·행사",IF(IFERROR(SEARCH("용역",E684),0)&gt;0,"용역·수수료","기타/불명"))))))</x:f>
      </x:c>
      <x:c r="J684" s="77" t="str">
        <x:f>IF(A684="","",IF(I684="기타/불명","확인 필요","결의서명으로 1차 확인"))</x:f>
      </x:c>
      <x:c r="K684" s="78"/>
    </x:row>
    <x:row r="685">
      <x:c r="A685" s="73"/>
      <x:c r="B685" s="73"/>
      <x:c r="C685" s="74"/>
      <x:c r="D685" s="73"/>
      <x:c r="E685" s="73"/>
      <x:c r="F685" s="75"/>
      <x:c r="G685" s="75"/>
      <x:c r="H685" s="76" t="str">
        <x:f>IF(A685="","",F685-G685)</x:f>
      </x:c>
      <x:c r="I685" s="77" t="str">
        <x:f>IF(A685="","",IF(E685="","기타/불명",IF(IFERROR(SEARCH("급여",E685),0)&gt;0,"인건비",IF(IFERROR(SEARCH("임차",E685),0)&gt;0,"임차·시설",IF(IFERROR(SEARCH("광고",E685),0)&gt;0,"광고·행사",IF(IFERROR(SEARCH("용역",E685),0)&gt;0,"용역·수수료","기타/불명"))))))</x:f>
      </x:c>
      <x:c r="J685" s="77" t="str">
        <x:f>IF(A685="","",IF(I685="기타/불명","확인 필요","결의서명으로 1차 확인"))</x:f>
      </x:c>
      <x:c r="K685" s="78"/>
    </x:row>
    <x:row r="686">
      <x:c r="A686" s="73"/>
      <x:c r="B686" s="73"/>
      <x:c r="C686" s="74"/>
      <x:c r="D686" s="73"/>
      <x:c r="E686" s="73"/>
      <x:c r="F686" s="75"/>
      <x:c r="G686" s="75"/>
      <x:c r="H686" s="76" t="str">
        <x:f>IF(A686="","",F686-G686)</x:f>
      </x:c>
      <x:c r="I686" s="77" t="str">
        <x:f>IF(A686="","",IF(E686="","기타/불명",IF(IFERROR(SEARCH("급여",E686),0)&gt;0,"인건비",IF(IFERROR(SEARCH("임차",E686),0)&gt;0,"임차·시설",IF(IFERROR(SEARCH("광고",E686),0)&gt;0,"광고·행사",IF(IFERROR(SEARCH("용역",E686),0)&gt;0,"용역·수수료","기타/불명"))))))</x:f>
      </x:c>
      <x:c r="J686" s="77" t="str">
        <x:f>IF(A686="","",IF(I686="기타/불명","확인 필요","결의서명으로 1차 확인"))</x:f>
      </x:c>
      <x:c r="K686" s="78"/>
    </x:row>
    <x:row r="687">
      <x:c r="A687" s="73"/>
      <x:c r="B687" s="73"/>
      <x:c r="C687" s="74"/>
      <x:c r="D687" s="73"/>
      <x:c r="E687" s="73"/>
      <x:c r="F687" s="75"/>
      <x:c r="G687" s="75"/>
      <x:c r="H687" s="76" t="str">
        <x:f>IF(A687="","",F687-G687)</x:f>
      </x:c>
      <x:c r="I687" s="77" t="str">
        <x:f>IF(A687="","",IF(E687="","기타/불명",IF(IFERROR(SEARCH("급여",E687),0)&gt;0,"인건비",IF(IFERROR(SEARCH("임차",E687),0)&gt;0,"임차·시설",IF(IFERROR(SEARCH("광고",E687),0)&gt;0,"광고·행사",IF(IFERROR(SEARCH("용역",E687),0)&gt;0,"용역·수수료","기타/불명"))))))</x:f>
      </x:c>
      <x:c r="J687" s="77" t="str">
        <x:f>IF(A687="","",IF(I687="기타/불명","확인 필요","결의서명으로 1차 확인"))</x:f>
      </x:c>
      <x:c r="K687" s="78"/>
    </x:row>
    <x:row r="688">
      <x:c r="A688" s="73"/>
      <x:c r="B688" s="73"/>
      <x:c r="C688" s="74"/>
      <x:c r="D688" s="73"/>
      <x:c r="E688" s="73"/>
      <x:c r="F688" s="75"/>
      <x:c r="G688" s="75"/>
      <x:c r="H688" s="76" t="str">
        <x:f>IF(A688="","",F688-G688)</x:f>
      </x:c>
      <x:c r="I688" s="77" t="str">
        <x:f>IF(A688="","",IF(E688="","기타/불명",IF(IFERROR(SEARCH("급여",E688),0)&gt;0,"인건비",IF(IFERROR(SEARCH("임차",E688),0)&gt;0,"임차·시설",IF(IFERROR(SEARCH("광고",E688),0)&gt;0,"광고·행사",IF(IFERROR(SEARCH("용역",E688),0)&gt;0,"용역·수수료","기타/불명"))))))</x:f>
      </x:c>
      <x:c r="J688" s="77" t="str">
        <x:f>IF(A688="","",IF(I688="기타/불명","확인 필요","결의서명으로 1차 확인"))</x:f>
      </x:c>
      <x:c r="K688" s="78"/>
    </x:row>
    <x:row r="689">
      <x:c r="A689" s="73"/>
      <x:c r="B689" s="73"/>
      <x:c r="C689" s="74"/>
      <x:c r="D689" s="73"/>
      <x:c r="E689" s="73"/>
      <x:c r="F689" s="75"/>
      <x:c r="G689" s="75"/>
      <x:c r="H689" s="76" t="str">
        <x:f>IF(A689="","",F689-G689)</x:f>
      </x:c>
      <x:c r="I689" s="77" t="str">
        <x:f>IF(A689="","",IF(E689="","기타/불명",IF(IFERROR(SEARCH("급여",E689),0)&gt;0,"인건비",IF(IFERROR(SEARCH("임차",E689),0)&gt;0,"임차·시설",IF(IFERROR(SEARCH("광고",E689),0)&gt;0,"광고·행사",IF(IFERROR(SEARCH("용역",E689),0)&gt;0,"용역·수수료","기타/불명"))))))</x:f>
      </x:c>
      <x:c r="J689" s="77" t="str">
        <x:f>IF(A689="","",IF(I689="기타/불명","확인 필요","결의서명으로 1차 확인"))</x:f>
      </x:c>
      <x:c r="K689" s="78"/>
    </x:row>
    <x:row r="690">
      <x:c r="A690" s="73"/>
      <x:c r="B690" s="73"/>
      <x:c r="C690" s="74"/>
      <x:c r="D690" s="73"/>
      <x:c r="E690" s="73"/>
      <x:c r="F690" s="75"/>
      <x:c r="G690" s="75"/>
      <x:c r="H690" s="76" t="str">
        <x:f>IF(A690="","",F690-G690)</x:f>
      </x:c>
      <x:c r="I690" s="77" t="str">
        <x:f>IF(A690="","",IF(E690="","기타/불명",IF(IFERROR(SEARCH("급여",E690),0)&gt;0,"인건비",IF(IFERROR(SEARCH("임차",E690),0)&gt;0,"임차·시설",IF(IFERROR(SEARCH("광고",E690),0)&gt;0,"광고·행사",IF(IFERROR(SEARCH("용역",E690),0)&gt;0,"용역·수수료","기타/불명"))))))</x:f>
      </x:c>
      <x:c r="J690" s="77" t="str">
        <x:f>IF(A690="","",IF(I690="기타/불명","확인 필요","결의서명으로 1차 확인"))</x:f>
      </x:c>
      <x:c r="K690" s="78"/>
    </x:row>
    <x:row r="691">
      <x:c r="A691" s="73"/>
      <x:c r="B691" s="73"/>
      <x:c r="C691" s="74"/>
      <x:c r="D691" s="73"/>
      <x:c r="E691" s="73"/>
      <x:c r="F691" s="75"/>
      <x:c r="G691" s="75"/>
      <x:c r="H691" s="76" t="str">
        <x:f>IF(A691="","",F691-G691)</x:f>
      </x:c>
      <x:c r="I691" s="77" t="str">
        <x:f>IF(A691="","",IF(E691="","기타/불명",IF(IFERROR(SEARCH("급여",E691),0)&gt;0,"인건비",IF(IFERROR(SEARCH("임차",E691),0)&gt;0,"임차·시설",IF(IFERROR(SEARCH("광고",E691),0)&gt;0,"광고·행사",IF(IFERROR(SEARCH("용역",E691),0)&gt;0,"용역·수수료","기타/불명"))))))</x:f>
      </x:c>
      <x:c r="J691" s="77" t="str">
        <x:f>IF(A691="","",IF(I691="기타/불명","확인 필요","결의서명으로 1차 확인"))</x:f>
      </x:c>
      <x:c r="K691" s="78"/>
    </x:row>
    <x:row r="692">
      <x:c r="A692" s="73"/>
      <x:c r="B692" s="73"/>
      <x:c r="C692" s="74"/>
      <x:c r="D692" s="73"/>
      <x:c r="E692" s="73"/>
      <x:c r="F692" s="75"/>
      <x:c r="G692" s="75"/>
      <x:c r="H692" s="76" t="str">
        <x:f>IF(A692="","",F692-G692)</x:f>
      </x:c>
      <x:c r="I692" s="77" t="str">
        <x:f>IF(A692="","",IF(E692="","기타/불명",IF(IFERROR(SEARCH("급여",E692),0)&gt;0,"인건비",IF(IFERROR(SEARCH("임차",E692),0)&gt;0,"임차·시설",IF(IFERROR(SEARCH("광고",E692),0)&gt;0,"광고·행사",IF(IFERROR(SEARCH("용역",E692),0)&gt;0,"용역·수수료","기타/불명"))))))</x:f>
      </x:c>
      <x:c r="J692" s="77" t="str">
        <x:f>IF(A692="","",IF(I692="기타/불명","확인 필요","결의서명으로 1차 확인"))</x:f>
      </x:c>
      <x:c r="K692" s="78"/>
    </x:row>
    <x:row r="693">
      <x:c r="A693" s="73"/>
      <x:c r="B693" s="73"/>
      <x:c r="C693" s="74"/>
      <x:c r="D693" s="73"/>
      <x:c r="E693" s="73"/>
      <x:c r="F693" s="75"/>
      <x:c r="G693" s="75"/>
      <x:c r="H693" s="76" t="str">
        <x:f>IF(A693="","",F693-G693)</x:f>
      </x:c>
      <x:c r="I693" s="77" t="str">
        <x:f>IF(A693="","",IF(E693="","기타/불명",IF(IFERROR(SEARCH("급여",E693),0)&gt;0,"인건비",IF(IFERROR(SEARCH("임차",E693),0)&gt;0,"임차·시설",IF(IFERROR(SEARCH("광고",E693),0)&gt;0,"광고·행사",IF(IFERROR(SEARCH("용역",E693),0)&gt;0,"용역·수수료","기타/불명"))))))</x:f>
      </x:c>
      <x:c r="J693" s="77" t="str">
        <x:f>IF(A693="","",IF(I693="기타/불명","확인 필요","결의서명으로 1차 확인"))</x:f>
      </x:c>
      <x:c r="K693" s="78"/>
    </x:row>
    <x:row r="694">
      <x:c r="A694" s="73"/>
      <x:c r="B694" s="73"/>
      <x:c r="C694" s="74"/>
      <x:c r="D694" s="73"/>
      <x:c r="E694" s="73"/>
      <x:c r="F694" s="75"/>
      <x:c r="G694" s="75"/>
      <x:c r="H694" s="76" t="str">
        <x:f>IF(A694="","",F694-G694)</x:f>
      </x:c>
      <x:c r="I694" s="77" t="str">
        <x:f>IF(A694="","",IF(E694="","기타/불명",IF(IFERROR(SEARCH("급여",E694),0)&gt;0,"인건비",IF(IFERROR(SEARCH("임차",E694),0)&gt;0,"임차·시설",IF(IFERROR(SEARCH("광고",E694),0)&gt;0,"광고·행사",IF(IFERROR(SEARCH("용역",E694),0)&gt;0,"용역·수수료","기타/불명"))))))</x:f>
      </x:c>
      <x:c r="J694" s="77" t="str">
        <x:f>IF(A694="","",IF(I694="기타/불명","확인 필요","결의서명으로 1차 확인"))</x:f>
      </x:c>
      <x:c r="K694" s="78"/>
    </x:row>
    <x:row r="695">
      <x:c r="A695" s="73"/>
      <x:c r="B695" s="73"/>
      <x:c r="C695" s="74"/>
      <x:c r="D695" s="73"/>
      <x:c r="E695" s="73"/>
      <x:c r="F695" s="75"/>
      <x:c r="G695" s="75"/>
      <x:c r="H695" s="76" t="str">
        <x:f>IF(A695="","",F695-G695)</x:f>
      </x:c>
      <x:c r="I695" s="77" t="str">
        <x:f>IF(A695="","",IF(E695="","기타/불명",IF(IFERROR(SEARCH("급여",E695),0)&gt;0,"인건비",IF(IFERROR(SEARCH("임차",E695),0)&gt;0,"임차·시설",IF(IFERROR(SEARCH("광고",E695),0)&gt;0,"광고·행사",IF(IFERROR(SEARCH("용역",E695),0)&gt;0,"용역·수수료","기타/불명"))))))</x:f>
      </x:c>
      <x:c r="J695" s="77" t="str">
        <x:f>IF(A695="","",IF(I695="기타/불명","확인 필요","결의서명으로 1차 확인"))</x:f>
      </x:c>
      <x:c r="K695" s="78"/>
    </x:row>
    <x:row r="696">
      <x:c r="A696" s="73"/>
      <x:c r="B696" s="73"/>
      <x:c r="C696" s="74"/>
      <x:c r="D696" s="73"/>
      <x:c r="E696" s="73"/>
      <x:c r="F696" s="75"/>
      <x:c r="G696" s="75"/>
      <x:c r="H696" s="76" t="str">
        <x:f>IF(A696="","",F696-G696)</x:f>
      </x:c>
      <x:c r="I696" s="77" t="str">
        <x:f>IF(A696="","",IF(E696="","기타/불명",IF(IFERROR(SEARCH("급여",E696),0)&gt;0,"인건비",IF(IFERROR(SEARCH("임차",E696),0)&gt;0,"임차·시설",IF(IFERROR(SEARCH("광고",E696),0)&gt;0,"광고·행사",IF(IFERROR(SEARCH("용역",E696),0)&gt;0,"용역·수수료","기타/불명"))))))</x:f>
      </x:c>
      <x:c r="J696" s="77" t="str">
        <x:f>IF(A696="","",IF(I696="기타/불명","확인 필요","결의서명으로 1차 확인"))</x:f>
      </x:c>
      <x:c r="K696" s="78"/>
    </x:row>
    <x:row r="697">
      <x:c r="A697" s="73"/>
      <x:c r="B697" s="73"/>
      <x:c r="C697" s="74"/>
      <x:c r="D697" s="73"/>
      <x:c r="E697" s="73"/>
      <x:c r="F697" s="75"/>
      <x:c r="G697" s="75"/>
      <x:c r="H697" s="76" t="str">
        <x:f>IF(A697="","",F697-G697)</x:f>
      </x:c>
      <x:c r="I697" s="77" t="str">
        <x:f>IF(A697="","",IF(E697="","기타/불명",IF(IFERROR(SEARCH("급여",E697),0)&gt;0,"인건비",IF(IFERROR(SEARCH("임차",E697),0)&gt;0,"임차·시설",IF(IFERROR(SEARCH("광고",E697),0)&gt;0,"광고·행사",IF(IFERROR(SEARCH("용역",E697),0)&gt;0,"용역·수수료","기타/불명"))))))</x:f>
      </x:c>
      <x:c r="J697" s="77" t="str">
        <x:f>IF(A697="","",IF(I697="기타/불명","확인 필요","결의서명으로 1차 확인"))</x:f>
      </x:c>
      <x:c r="K697" s="78"/>
    </x:row>
    <x:row r="698">
      <x:c r="A698" s="73"/>
      <x:c r="B698" s="73"/>
      <x:c r="C698" s="74"/>
      <x:c r="D698" s="73"/>
      <x:c r="E698" s="73"/>
      <x:c r="F698" s="75"/>
      <x:c r="G698" s="75"/>
      <x:c r="H698" s="76" t="str">
        <x:f>IF(A698="","",F698-G698)</x:f>
      </x:c>
      <x:c r="I698" s="77" t="str">
        <x:f>IF(A698="","",IF(E698="","기타/불명",IF(IFERROR(SEARCH("급여",E698),0)&gt;0,"인건비",IF(IFERROR(SEARCH("임차",E698),0)&gt;0,"임차·시설",IF(IFERROR(SEARCH("광고",E698),0)&gt;0,"광고·행사",IF(IFERROR(SEARCH("용역",E698),0)&gt;0,"용역·수수료","기타/불명"))))))</x:f>
      </x:c>
      <x:c r="J698" s="77" t="str">
        <x:f>IF(A698="","",IF(I698="기타/불명","확인 필요","결의서명으로 1차 확인"))</x:f>
      </x:c>
      <x:c r="K698" s="78"/>
    </x:row>
    <x:row r="699">
      <x:c r="A699" s="73"/>
      <x:c r="B699" s="73"/>
      <x:c r="C699" s="74"/>
      <x:c r="D699" s="73"/>
      <x:c r="E699" s="73"/>
      <x:c r="F699" s="75"/>
      <x:c r="G699" s="75"/>
      <x:c r="H699" s="76" t="str">
        <x:f>IF(A699="","",F699-G699)</x:f>
      </x:c>
      <x:c r="I699" s="77" t="str">
        <x:f>IF(A699="","",IF(E699="","기타/불명",IF(IFERROR(SEARCH("급여",E699),0)&gt;0,"인건비",IF(IFERROR(SEARCH("임차",E699),0)&gt;0,"임차·시설",IF(IFERROR(SEARCH("광고",E699),0)&gt;0,"광고·행사",IF(IFERROR(SEARCH("용역",E699),0)&gt;0,"용역·수수료","기타/불명"))))))</x:f>
      </x:c>
      <x:c r="J699" s="77" t="str">
        <x:f>IF(A699="","",IF(I699="기타/불명","확인 필요","결의서명으로 1차 확인"))</x:f>
      </x:c>
      <x:c r="K699" s="78"/>
    </x:row>
    <x:row r="700">
      <x:c r="A700" s="73"/>
      <x:c r="B700" s="73"/>
      <x:c r="C700" s="74"/>
      <x:c r="D700" s="73"/>
      <x:c r="E700" s="73"/>
      <x:c r="F700" s="75"/>
      <x:c r="G700" s="75"/>
      <x:c r="H700" s="76" t="str">
        <x:f>IF(A700="","",F700-G700)</x:f>
      </x:c>
      <x:c r="I700" s="77" t="str">
        <x:f>IF(A700="","",IF(E700="","기타/불명",IF(IFERROR(SEARCH("급여",E700),0)&gt;0,"인건비",IF(IFERROR(SEARCH("임차",E700),0)&gt;0,"임차·시설",IF(IFERROR(SEARCH("광고",E700),0)&gt;0,"광고·행사",IF(IFERROR(SEARCH("용역",E700),0)&gt;0,"용역·수수료","기타/불명"))))))</x:f>
      </x:c>
      <x:c r="J700" s="77" t="str">
        <x:f>IF(A700="","",IF(I700="기타/불명","확인 필요","결의서명으로 1차 확인"))</x:f>
      </x:c>
      <x:c r="K700" s="78"/>
    </x:row>
    <x:row r="701">
      <x:c r="A701" s="73"/>
      <x:c r="B701" s="73"/>
      <x:c r="C701" s="74"/>
      <x:c r="D701" s="73"/>
      <x:c r="E701" s="73"/>
      <x:c r="F701" s="75"/>
      <x:c r="G701" s="75"/>
      <x:c r="H701" s="76" t="str">
        <x:f>IF(A701="","",F701-G701)</x:f>
      </x:c>
      <x:c r="I701" s="77" t="str">
        <x:f>IF(A701="","",IF(E701="","기타/불명",IF(IFERROR(SEARCH("급여",E701),0)&gt;0,"인건비",IF(IFERROR(SEARCH("임차",E701),0)&gt;0,"임차·시설",IF(IFERROR(SEARCH("광고",E701),0)&gt;0,"광고·행사",IF(IFERROR(SEARCH("용역",E701),0)&gt;0,"용역·수수료","기타/불명"))))))</x:f>
      </x:c>
      <x:c r="J701" s="77" t="str">
        <x:f>IF(A701="","",IF(I701="기타/불명","확인 필요","결의서명으로 1차 확인"))</x:f>
      </x:c>
      <x:c r="K701" s="78"/>
    </x:row>
    <x:row r="702">
      <x:c r="A702" s="73"/>
      <x:c r="B702" s="73"/>
      <x:c r="C702" s="74"/>
      <x:c r="D702" s="73"/>
      <x:c r="E702" s="73"/>
      <x:c r="F702" s="75"/>
      <x:c r="G702" s="75"/>
      <x:c r="H702" s="76" t="str">
        <x:f>IF(A702="","",F702-G702)</x:f>
      </x:c>
      <x:c r="I702" s="77" t="str">
        <x:f>IF(A702="","",IF(E702="","기타/불명",IF(IFERROR(SEARCH("급여",E702),0)&gt;0,"인건비",IF(IFERROR(SEARCH("임차",E702),0)&gt;0,"임차·시설",IF(IFERROR(SEARCH("광고",E702),0)&gt;0,"광고·행사",IF(IFERROR(SEARCH("용역",E702),0)&gt;0,"용역·수수료","기타/불명"))))))</x:f>
      </x:c>
      <x:c r="J702" s="77" t="str">
        <x:f>IF(A702="","",IF(I702="기타/불명","확인 필요","결의서명으로 1차 확인"))</x:f>
      </x:c>
      <x:c r="K702" s="78"/>
    </x:row>
    <x:row r="703">
      <x:c r="A703" s="73"/>
      <x:c r="B703" s="73"/>
      <x:c r="C703" s="74"/>
      <x:c r="D703" s="73"/>
      <x:c r="E703" s="73"/>
      <x:c r="F703" s="75"/>
      <x:c r="G703" s="75"/>
      <x:c r="H703" s="76" t="str">
        <x:f>IF(A703="","",F703-G703)</x:f>
      </x:c>
      <x:c r="I703" s="77" t="str">
        <x:f>IF(A703="","",IF(E703="","기타/불명",IF(IFERROR(SEARCH("급여",E703),0)&gt;0,"인건비",IF(IFERROR(SEARCH("임차",E703),0)&gt;0,"임차·시설",IF(IFERROR(SEARCH("광고",E703),0)&gt;0,"광고·행사",IF(IFERROR(SEARCH("용역",E703),0)&gt;0,"용역·수수료","기타/불명"))))))</x:f>
      </x:c>
      <x:c r="J703" s="77" t="str">
        <x:f>IF(A703="","",IF(I703="기타/불명","확인 필요","결의서명으로 1차 확인"))</x:f>
      </x:c>
      <x:c r="K703" s="78"/>
    </x:row>
    <x:row r="704">
      <x:c r="A704" s="73"/>
      <x:c r="B704" s="73"/>
      <x:c r="C704" s="74"/>
      <x:c r="D704" s="73"/>
      <x:c r="E704" s="73"/>
      <x:c r="F704" s="75"/>
      <x:c r="G704" s="75"/>
      <x:c r="H704" s="76" t="str">
        <x:f>IF(A704="","",F704-G704)</x:f>
      </x:c>
      <x:c r="I704" s="77" t="str">
        <x:f>IF(A704="","",IF(E704="","기타/불명",IF(IFERROR(SEARCH("급여",E704),0)&gt;0,"인건비",IF(IFERROR(SEARCH("임차",E704),0)&gt;0,"임차·시설",IF(IFERROR(SEARCH("광고",E704),0)&gt;0,"광고·행사",IF(IFERROR(SEARCH("용역",E704),0)&gt;0,"용역·수수료","기타/불명"))))))</x:f>
      </x:c>
      <x:c r="J704" s="77" t="str">
        <x:f>IF(A704="","",IF(I704="기타/불명","확인 필요","결의서명으로 1차 확인"))</x:f>
      </x:c>
      <x:c r="K704" s="78"/>
    </x:row>
    <x:row r="705">
      <x:c r="A705" s="73"/>
      <x:c r="B705" s="73"/>
      <x:c r="C705" s="74"/>
      <x:c r="D705" s="73"/>
      <x:c r="E705" s="73"/>
      <x:c r="F705" s="75"/>
      <x:c r="G705" s="75"/>
      <x:c r="H705" s="76" t="str">
        <x:f>IF(A705="","",F705-G705)</x:f>
      </x:c>
      <x:c r="I705" s="77" t="str">
        <x:f>IF(A705="","",IF(E705="","기타/불명",IF(IFERROR(SEARCH("급여",E705),0)&gt;0,"인건비",IF(IFERROR(SEARCH("임차",E705),0)&gt;0,"임차·시설",IF(IFERROR(SEARCH("광고",E705),0)&gt;0,"광고·행사",IF(IFERROR(SEARCH("용역",E705),0)&gt;0,"용역·수수료","기타/불명"))))))</x:f>
      </x:c>
      <x:c r="J705" s="77" t="str">
        <x:f>IF(A705="","",IF(I705="기타/불명","확인 필요","결의서명으로 1차 확인"))</x:f>
      </x:c>
      <x:c r="K705" s="78"/>
    </x:row>
    <x:row r="706">
      <x:c r="A706" s="73"/>
      <x:c r="B706" s="73"/>
      <x:c r="C706" s="74"/>
      <x:c r="D706" s="73"/>
      <x:c r="E706" s="73"/>
      <x:c r="F706" s="75"/>
      <x:c r="G706" s="75"/>
      <x:c r="H706" s="76" t="str">
        <x:f>IF(A706="","",F706-G706)</x:f>
      </x:c>
      <x:c r="I706" s="77" t="str">
        <x:f>IF(A706="","",IF(E706="","기타/불명",IF(IFERROR(SEARCH("급여",E706),0)&gt;0,"인건비",IF(IFERROR(SEARCH("임차",E706),0)&gt;0,"임차·시설",IF(IFERROR(SEARCH("광고",E706),0)&gt;0,"광고·행사",IF(IFERROR(SEARCH("용역",E706),0)&gt;0,"용역·수수료","기타/불명"))))))</x:f>
      </x:c>
      <x:c r="J706" s="77" t="str">
        <x:f>IF(A706="","",IF(I706="기타/불명","확인 필요","결의서명으로 1차 확인"))</x:f>
      </x:c>
      <x:c r="K706" s="78"/>
    </x:row>
    <x:row r="707">
      <x:c r="A707" s="73"/>
      <x:c r="B707" s="73"/>
      <x:c r="C707" s="74"/>
      <x:c r="D707" s="73"/>
      <x:c r="E707" s="73"/>
      <x:c r="F707" s="75"/>
      <x:c r="G707" s="75"/>
      <x:c r="H707" s="76" t="str">
        <x:f>IF(A707="","",F707-G707)</x:f>
      </x:c>
      <x:c r="I707" s="77" t="str">
        <x:f>IF(A707="","",IF(E707="","기타/불명",IF(IFERROR(SEARCH("급여",E707),0)&gt;0,"인건비",IF(IFERROR(SEARCH("임차",E707),0)&gt;0,"임차·시설",IF(IFERROR(SEARCH("광고",E707),0)&gt;0,"광고·행사",IF(IFERROR(SEARCH("용역",E707),0)&gt;0,"용역·수수료","기타/불명"))))))</x:f>
      </x:c>
      <x:c r="J707" s="77" t="str">
        <x:f>IF(A707="","",IF(I707="기타/불명","확인 필요","결의서명으로 1차 확인"))</x:f>
      </x:c>
      <x:c r="K707" s="78"/>
    </x:row>
    <x:row r="708">
      <x:c r="A708" s="73"/>
      <x:c r="B708" s="73"/>
      <x:c r="C708" s="74"/>
      <x:c r="D708" s="73"/>
      <x:c r="E708" s="73"/>
      <x:c r="F708" s="75"/>
      <x:c r="G708" s="75"/>
      <x:c r="H708" s="76" t="str">
        <x:f>IF(A708="","",F708-G708)</x:f>
      </x:c>
      <x:c r="I708" s="77" t="str">
        <x:f>IF(A708="","",IF(E708="","기타/불명",IF(IFERROR(SEARCH("급여",E708),0)&gt;0,"인건비",IF(IFERROR(SEARCH("임차",E708),0)&gt;0,"임차·시설",IF(IFERROR(SEARCH("광고",E708),0)&gt;0,"광고·행사",IF(IFERROR(SEARCH("용역",E708),0)&gt;0,"용역·수수료","기타/불명"))))))</x:f>
      </x:c>
      <x:c r="J708" s="77" t="str">
        <x:f>IF(A708="","",IF(I708="기타/불명","확인 필요","결의서명으로 1차 확인"))</x:f>
      </x:c>
      <x:c r="K708" s="78"/>
    </x:row>
    <x:row r="709">
      <x:c r="A709" s="73"/>
      <x:c r="B709" s="73"/>
      <x:c r="C709" s="74"/>
      <x:c r="D709" s="73"/>
      <x:c r="E709" s="73"/>
      <x:c r="F709" s="75"/>
      <x:c r="G709" s="75"/>
      <x:c r="H709" s="76" t="str">
        <x:f>IF(A709="","",F709-G709)</x:f>
      </x:c>
      <x:c r="I709" s="77" t="str">
        <x:f>IF(A709="","",IF(E709="","기타/불명",IF(IFERROR(SEARCH("급여",E709),0)&gt;0,"인건비",IF(IFERROR(SEARCH("임차",E709),0)&gt;0,"임차·시설",IF(IFERROR(SEARCH("광고",E709),0)&gt;0,"광고·행사",IF(IFERROR(SEARCH("용역",E709),0)&gt;0,"용역·수수료","기타/불명"))))))</x:f>
      </x:c>
      <x:c r="J709" s="77" t="str">
        <x:f>IF(A709="","",IF(I709="기타/불명","확인 필요","결의서명으로 1차 확인"))</x:f>
      </x:c>
      <x:c r="K709" s="78"/>
    </x:row>
    <x:row r="710">
      <x:c r="A710" s="73"/>
      <x:c r="B710" s="73"/>
      <x:c r="C710" s="74"/>
      <x:c r="D710" s="73"/>
      <x:c r="E710" s="73"/>
      <x:c r="F710" s="75"/>
      <x:c r="G710" s="75"/>
      <x:c r="H710" s="76" t="str">
        <x:f>IF(A710="","",F710-G710)</x:f>
      </x:c>
      <x:c r="I710" s="77" t="str">
        <x:f>IF(A710="","",IF(E710="","기타/불명",IF(IFERROR(SEARCH("급여",E710),0)&gt;0,"인건비",IF(IFERROR(SEARCH("임차",E710),0)&gt;0,"임차·시설",IF(IFERROR(SEARCH("광고",E710),0)&gt;0,"광고·행사",IF(IFERROR(SEARCH("용역",E710),0)&gt;0,"용역·수수료","기타/불명"))))))</x:f>
      </x:c>
      <x:c r="J710" s="77" t="str">
        <x:f>IF(A710="","",IF(I710="기타/불명","확인 필요","결의서명으로 1차 확인"))</x:f>
      </x:c>
      <x:c r="K710" s="78"/>
    </x:row>
    <x:row r="711">
      <x:c r="A711" s="73"/>
      <x:c r="B711" s="73"/>
      <x:c r="C711" s="74"/>
      <x:c r="D711" s="73"/>
      <x:c r="E711" s="73"/>
      <x:c r="F711" s="75"/>
      <x:c r="G711" s="75"/>
      <x:c r="H711" s="76" t="str">
        <x:f>IF(A711="","",F711-G711)</x:f>
      </x:c>
      <x:c r="I711" s="77" t="str">
        <x:f>IF(A711="","",IF(E711="","기타/불명",IF(IFERROR(SEARCH("급여",E711),0)&gt;0,"인건비",IF(IFERROR(SEARCH("임차",E711),0)&gt;0,"임차·시설",IF(IFERROR(SEARCH("광고",E711),0)&gt;0,"광고·행사",IF(IFERROR(SEARCH("용역",E711),0)&gt;0,"용역·수수료","기타/불명"))))))</x:f>
      </x:c>
      <x:c r="J711" s="77" t="str">
        <x:f>IF(A711="","",IF(I711="기타/불명","확인 필요","결의서명으로 1차 확인"))</x:f>
      </x:c>
      <x:c r="K711" s="78"/>
    </x:row>
    <x:row r="712">
      <x:c r="A712" s="73"/>
      <x:c r="B712" s="73"/>
      <x:c r="C712" s="74"/>
      <x:c r="D712" s="73"/>
      <x:c r="E712" s="73"/>
      <x:c r="F712" s="75"/>
      <x:c r="G712" s="75"/>
      <x:c r="H712" s="76" t="str">
        <x:f>IF(A712="","",F712-G712)</x:f>
      </x:c>
      <x:c r="I712" s="77" t="str">
        <x:f>IF(A712="","",IF(E712="","기타/불명",IF(IFERROR(SEARCH("급여",E712),0)&gt;0,"인건비",IF(IFERROR(SEARCH("임차",E712),0)&gt;0,"임차·시설",IF(IFERROR(SEARCH("광고",E712),0)&gt;0,"광고·행사",IF(IFERROR(SEARCH("용역",E712),0)&gt;0,"용역·수수료","기타/불명"))))))</x:f>
      </x:c>
      <x:c r="J712" s="77" t="str">
        <x:f>IF(A712="","",IF(I712="기타/불명","확인 필요","결의서명으로 1차 확인"))</x:f>
      </x:c>
      <x:c r="K712" s="78"/>
    </x:row>
    <x:row r="713">
      <x:c r="A713" s="73"/>
      <x:c r="B713" s="73"/>
      <x:c r="C713" s="74"/>
      <x:c r="D713" s="73"/>
      <x:c r="E713" s="73"/>
      <x:c r="F713" s="75"/>
      <x:c r="G713" s="75"/>
      <x:c r="H713" s="76" t="str">
        <x:f>IF(A713="","",F713-G713)</x:f>
      </x:c>
      <x:c r="I713" s="77" t="str">
        <x:f>IF(A713="","",IF(E713="","기타/불명",IF(IFERROR(SEARCH("급여",E713),0)&gt;0,"인건비",IF(IFERROR(SEARCH("임차",E713),0)&gt;0,"임차·시설",IF(IFERROR(SEARCH("광고",E713),0)&gt;0,"광고·행사",IF(IFERROR(SEARCH("용역",E713),0)&gt;0,"용역·수수료","기타/불명"))))))</x:f>
      </x:c>
      <x:c r="J713" s="77" t="str">
        <x:f>IF(A713="","",IF(I713="기타/불명","확인 필요","결의서명으로 1차 확인"))</x:f>
      </x:c>
      <x:c r="K713" s="78"/>
    </x:row>
    <x:row r="714">
      <x:c r="A714" s="73"/>
      <x:c r="B714" s="73"/>
      <x:c r="C714" s="74"/>
      <x:c r="D714" s="73"/>
      <x:c r="E714" s="73"/>
      <x:c r="F714" s="75"/>
      <x:c r="G714" s="75"/>
      <x:c r="H714" s="76" t="str">
        <x:f>IF(A714="","",F714-G714)</x:f>
      </x:c>
      <x:c r="I714" s="77" t="str">
        <x:f>IF(A714="","",IF(E714="","기타/불명",IF(IFERROR(SEARCH("급여",E714),0)&gt;0,"인건비",IF(IFERROR(SEARCH("임차",E714),0)&gt;0,"임차·시설",IF(IFERROR(SEARCH("광고",E714),0)&gt;0,"광고·행사",IF(IFERROR(SEARCH("용역",E714),0)&gt;0,"용역·수수료","기타/불명"))))))</x:f>
      </x:c>
      <x:c r="J714" s="77" t="str">
        <x:f>IF(A714="","",IF(I714="기타/불명","확인 필요","결의서명으로 1차 확인"))</x:f>
      </x:c>
      <x:c r="K714" s="78"/>
    </x:row>
    <x:row r="715">
      <x:c r="A715" s="73"/>
      <x:c r="B715" s="73"/>
      <x:c r="C715" s="74"/>
      <x:c r="D715" s="73"/>
      <x:c r="E715" s="73"/>
      <x:c r="F715" s="75"/>
      <x:c r="G715" s="75"/>
      <x:c r="H715" s="76" t="str">
        <x:f>IF(A715="","",F715-G715)</x:f>
      </x:c>
      <x:c r="I715" s="77" t="str">
        <x:f>IF(A715="","",IF(E715="","기타/불명",IF(IFERROR(SEARCH("급여",E715),0)&gt;0,"인건비",IF(IFERROR(SEARCH("임차",E715),0)&gt;0,"임차·시설",IF(IFERROR(SEARCH("광고",E715),0)&gt;0,"광고·행사",IF(IFERROR(SEARCH("용역",E715),0)&gt;0,"용역·수수료","기타/불명"))))))</x:f>
      </x:c>
      <x:c r="J715" s="77" t="str">
        <x:f>IF(A715="","",IF(I715="기타/불명","확인 필요","결의서명으로 1차 확인"))</x:f>
      </x:c>
      <x:c r="K715" s="78"/>
    </x:row>
    <x:row r="716">
      <x:c r="A716" s="73"/>
      <x:c r="B716" s="73"/>
      <x:c r="C716" s="74"/>
      <x:c r="D716" s="73"/>
      <x:c r="E716" s="73"/>
      <x:c r="F716" s="75"/>
      <x:c r="G716" s="75"/>
      <x:c r="H716" s="76" t="str">
        <x:f>IF(A716="","",F716-G716)</x:f>
      </x:c>
      <x:c r="I716" s="77" t="str">
        <x:f>IF(A716="","",IF(E716="","기타/불명",IF(IFERROR(SEARCH("급여",E716),0)&gt;0,"인건비",IF(IFERROR(SEARCH("임차",E716),0)&gt;0,"임차·시설",IF(IFERROR(SEARCH("광고",E716),0)&gt;0,"광고·행사",IF(IFERROR(SEARCH("용역",E716),0)&gt;0,"용역·수수료","기타/불명"))))))</x:f>
      </x:c>
      <x:c r="J716" s="77" t="str">
        <x:f>IF(A716="","",IF(I716="기타/불명","확인 필요","결의서명으로 1차 확인"))</x:f>
      </x:c>
      <x:c r="K716" s="78"/>
    </x:row>
    <x:row r="717">
      <x:c r="A717" s="73"/>
      <x:c r="B717" s="73"/>
      <x:c r="C717" s="74"/>
      <x:c r="D717" s="73"/>
      <x:c r="E717" s="73"/>
      <x:c r="F717" s="75"/>
      <x:c r="G717" s="75"/>
      <x:c r="H717" s="76" t="str">
        <x:f>IF(A717="","",F717-G717)</x:f>
      </x:c>
      <x:c r="I717" s="77" t="str">
        <x:f>IF(A717="","",IF(E717="","기타/불명",IF(IFERROR(SEARCH("급여",E717),0)&gt;0,"인건비",IF(IFERROR(SEARCH("임차",E717),0)&gt;0,"임차·시설",IF(IFERROR(SEARCH("광고",E717),0)&gt;0,"광고·행사",IF(IFERROR(SEARCH("용역",E717),0)&gt;0,"용역·수수료","기타/불명"))))))</x:f>
      </x:c>
      <x:c r="J717" s="77" t="str">
        <x:f>IF(A717="","",IF(I717="기타/불명","확인 필요","결의서명으로 1차 확인"))</x:f>
      </x:c>
      <x:c r="K717" s="78"/>
    </x:row>
    <x:row r="718">
      <x:c r="A718" s="73"/>
      <x:c r="B718" s="73"/>
      <x:c r="C718" s="74"/>
      <x:c r="D718" s="73"/>
      <x:c r="E718" s="73"/>
      <x:c r="F718" s="75"/>
      <x:c r="G718" s="75"/>
      <x:c r="H718" s="76" t="str">
        <x:f>IF(A718="","",F718-G718)</x:f>
      </x:c>
      <x:c r="I718" s="77" t="str">
        <x:f>IF(A718="","",IF(E718="","기타/불명",IF(IFERROR(SEARCH("급여",E718),0)&gt;0,"인건비",IF(IFERROR(SEARCH("임차",E718),0)&gt;0,"임차·시설",IF(IFERROR(SEARCH("광고",E718),0)&gt;0,"광고·행사",IF(IFERROR(SEARCH("용역",E718),0)&gt;0,"용역·수수료","기타/불명"))))))</x:f>
      </x:c>
      <x:c r="J718" s="77" t="str">
        <x:f>IF(A718="","",IF(I718="기타/불명","확인 필요","결의서명으로 1차 확인"))</x:f>
      </x:c>
      <x:c r="K718" s="78"/>
    </x:row>
    <x:row r="719">
      <x:c r="A719" s="73"/>
      <x:c r="B719" s="73"/>
      <x:c r="C719" s="74"/>
      <x:c r="D719" s="73"/>
      <x:c r="E719" s="73"/>
      <x:c r="F719" s="75"/>
      <x:c r="G719" s="75"/>
      <x:c r="H719" s="76" t="str">
        <x:f>IF(A719="","",F719-G719)</x:f>
      </x:c>
      <x:c r="I719" s="77" t="str">
        <x:f>IF(A719="","",IF(E719="","기타/불명",IF(IFERROR(SEARCH("급여",E719),0)&gt;0,"인건비",IF(IFERROR(SEARCH("임차",E719),0)&gt;0,"임차·시설",IF(IFERROR(SEARCH("광고",E719),0)&gt;0,"광고·행사",IF(IFERROR(SEARCH("용역",E719),0)&gt;0,"용역·수수료","기타/불명"))))))</x:f>
      </x:c>
      <x:c r="J719" s="77" t="str">
        <x:f>IF(A719="","",IF(I719="기타/불명","확인 필요","결의서명으로 1차 확인"))</x:f>
      </x:c>
      <x:c r="K719" s="78"/>
    </x:row>
    <x:row r="720">
      <x:c r="A720" s="73"/>
      <x:c r="B720" s="73"/>
      <x:c r="C720" s="74"/>
      <x:c r="D720" s="73"/>
      <x:c r="E720" s="73"/>
      <x:c r="F720" s="75"/>
      <x:c r="G720" s="75"/>
      <x:c r="H720" s="76" t="str">
        <x:f>IF(A720="","",F720-G720)</x:f>
      </x:c>
      <x:c r="I720" s="77" t="str">
        <x:f>IF(A720="","",IF(E720="","기타/불명",IF(IFERROR(SEARCH("급여",E720),0)&gt;0,"인건비",IF(IFERROR(SEARCH("임차",E720),0)&gt;0,"임차·시설",IF(IFERROR(SEARCH("광고",E720),0)&gt;0,"광고·행사",IF(IFERROR(SEARCH("용역",E720),0)&gt;0,"용역·수수료","기타/불명"))))))</x:f>
      </x:c>
      <x:c r="J720" s="77" t="str">
        <x:f>IF(A720="","",IF(I720="기타/불명","확인 필요","결의서명으로 1차 확인"))</x:f>
      </x:c>
      <x:c r="K720" s="78"/>
    </x:row>
    <x:row r="721">
      <x:c r="A721" s="73"/>
      <x:c r="B721" s="73"/>
      <x:c r="C721" s="74"/>
      <x:c r="D721" s="73"/>
      <x:c r="E721" s="73"/>
      <x:c r="F721" s="75"/>
      <x:c r="G721" s="75"/>
      <x:c r="H721" s="76" t="str">
        <x:f>IF(A721="","",F721-G721)</x:f>
      </x:c>
      <x:c r="I721" s="77" t="str">
        <x:f>IF(A721="","",IF(E721="","기타/불명",IF(IFERROR(SEARCH("급여",E721),0)&gt;0,"인건비",IF(IFERROR(SEARCH("임차",E721),0)&gt;0,"임차·시설",IF(IFERROR(SEARCH("광고",E721),0)&gt;0,"광고·행사",IF(IFERROR(SEARCH("용역",E721),0)&gt;0,"용역·수수료","기타/불명"))))))</x:f>
      </x:c>
      <x:c r="J721" s="77" t="str">
        <x:f>IF(A721="","",IF(I721="기타/불명","확인 필요","결의서명으로 1차 확인"))</x:f>
      </x:c>
      <x:c r="K721" s="78"/>
    </x:row>
    <x:row r="722">
      <x:c r="A722" s="73"/>
      <x:c r="B722" s="73"/>
      <x:c r="C722" s="74"/>
      <x:c r="D722" s="73"/>
      <x:c r="E722" s="73"/>
      <x:c r="F722" s="75"/>
      <x:c r="G722" s="75"/>
      <x:c r="H722" s="76" t="str">
        <x:f>IF(A722="","",F722-G722)</x:f>
      </x:c>
      <x:c r="I722" s="77" t="str">
        <x:f>IF(A722="","",IF(E722="","기타/불명",IF(IFERROR(SEARCH("급여",E722),0)&gt;0,"인건비",IF(IFERROR(SEARCH("임차",E722),0)&gt;0,"임차·시설",IF(IFERROR(SEARCH("광고",E722),0)&gt;0,"광고·행사",IF(IFERROR(SEARCH("용역",E722),0)&gt;0,"용역·수수료","기타/불명"))))))</x:f>
      </x:c>
      <x:c r="J722" s="77" t="str">
        <x:f>IF(A722="","",IF(I722="기타/불명","확인 필요","결의서명으로 1차 확인"))</x:f>
      </x:c>
      <x:c r="K722" s="78"/>
    </x:row>
    <x:row r="723">
      <x:c r="A723" s="73"/>
      <x:c r="B723" s="73"/>
      <x:c r="C723" s="74"/>
      <x:c r="D723" s="73"/>
      <x:c r="E723" s="73"/>
      <x:c r="F723" s="75"/>
      <x:c r="G723" s="75"/>
      <x:c r="H723" s="76" t="str">
        <x:f>IF(A723="","",F723-G723)</x:f>
      </x:c>
      <x:c r="I723" s="77" t="str">
        <x:f>IF(A723="","",IF(E723="","기타/불명",IF(IFERROR(SEARCH("급여",E723),0)&gt;0,"인건비",IF(IFERROR(SEARCH("임차",E723),0)&gt;0,"임차·시설",IF(IFERROR(SEARCH("광고",E723),0)&gt;0,"광고·행사",IF(IFERROR(SEARCH("용역",E723),0)&gt;0,"용역·수수료","기타/불명"))))))</x:f>
      </x:c>
      <x:c r="J723" s="77" t="str">
        <x:f>IF(A723="","",IF(I723="기타/불명","확인 필요","결의서명으로 1차 확인"))</x:f>
      </x:c>
      <x:c r="K723" s="78"/>
    </x:row>
    <x:row r="724">
      <x:c r="A724" s="73"/>
      <x:c r="B724" s="73"/>
      <x:c r="C724" s="74"/>
      <x:c r="D724" s="73"/>
      <x:c r="E724" s="73"/>
      <x:c r="F724" s="75"/>
      <x:c r="G724" s="75"/>
      <x:c r="H724" s="76" t="str">
        <x:f>IF(A724="","",F724-G724)</x:f>
      </x:c>
      <x:c r="I724" s="77" t="str">
        <x:f>IF(A724="","",IF(E724="","기타/불명",IF(IFERROR(SEARCH("급여",E724),0)&gt;0,"인건비",IF(IFERROR(SEARCH("임차",E724),0)&gt;0,"임차·시설",IF(IFERROR(SEARCH("광고",E724),0)&gt;0,"광고·행사",IF(IFERROR(SEARCH("용역",E724),0)&gt;0,"용역·수수료","기타/불명"))))))</x:f>
      </x:c>
      <x:c r="J724" s="77" t="str">
        <x:f>IF(A724="","",IF(I724="기타/불명","확인 필요","결의서명으로 1차 확인"))</x:f>
      </x:c>
      <x:c r="K724" s="78"/>
    </x:row>
    <x:row r="725">
      <x:c r="A725" s="73"/>
      <x:c r="B725" s="73"/>
      <x:c r="C725" s="74"/>
      <x:c r="D725" s="73"/>
      <x:c r="E725" s="73"/>
      <x:c r="F725" s="75"/>
      <x:c r="G725" s="75"/>
      <x:c r="H725" s="76" t="str">
        <x:f>IF(A725="","",F725-G725)</x:f>
      </x:c>
      <x:c r="I725" s="77" t="str">
        <x:f>IF(A725="","",IF(E725="","기타/불명",IF(IFERROR(SEARCH("급여",E725),0)&gt;0,"인건비",IF(IFERROR(SEARCH("임차",E725),0)&gt;0,"임차·시설",IF(IFERROR(SEARCH("광고",E725),0)&gt;0,"광고·행사",IF(IFERROR(SEARCH("용역",E725),0)&gt;0,"용역·수수료","기타/불명"))))))</x:f>
      </x:c>
      <x:c r="J725" s="77" t="str">
        <x:f>IF(A725="","",IF(I725="기타/불명","확인 필요","결의서명으로 1차 확인"))</x:f>
      </x:c>
      <x:c r="K725" s="78"/>
    </x:row>
    <x:row r="726">
      <x:c r="A726" s="73"/>
      <x:c r="B726" s="73"/>
      <x:c r="C726" s="74"/>
      <x:c r="D726" s="73"/>
      <x:c r="E726" s="73"/>
      <x:c r="F726" s="75"/>
      <x:c r="G726" s="75"/>
      <x:c r="H726" s="76" t="str">
        <x:f>IF(A726="","",F726-G726)</x:f>
      </x:c>
      <x:c r="I726" s="77" t="str">
        <x:f>IF(A726="","",IF(E726="","기타/불명",IF(IFERROR(SEARCH("급여",E726),0)&gt;0,"인건비",IF(IFERROR(SEARCH("임차",E726),0)&gt;0,"임차·시설",IF(IFERROR(SEARCH("광고",E726),0)&gt;0,"광고·행사",IF(IFERROR(SEARCH("용역",E726),0)&gt;0,"용역·수수료","기타/불명"))))))</x:f>
      </x:c>
      <x:c r="J726" s="77" t="str">
        <x:f>IF(A726="","",IF(I726="기타/불명","확인 필요","결의서명으로 1차 확인"))</x:f>
      </x:c>
      <x:c r="K726" s="78"/>
    </x:row>
    <x:row r="727">
      <x:c r="A727" s="73"/>
      <x:c r="B727" s="73"/>
      <x:c r="C727" s="74"/>
      <x:c r="D727" s="73"/>
      <x:c r="E727" s="73"/>
      <x:c r="F727" s="75"/>
      <x:c r="G727" s="75"/>
      <x:c r="H727" s="76" t="str">
        <x:f>IF(A727="","",F727-G727)</x:f>
      </x:c>
      <x:c r="I727" s="77" t="str">
        <x:f>IF(A727="","",IF(E727="","기타/불명",IF(IFERROR(SEARCH("급여",E727),0)&gt;0,"인건비",IF(IFERROR(SEARCH("임차",E727),0)&gt;0,"임차·시설",IF(IFERROR(SEARCH("광고",E727),0)&gt;0,"광고·행사",IF(IFERROR(SEARCH("용역",E727),0)&gt;0,"용역·수수료","기타/불명"))))))</x:f>
      </x:c>
      <x:c r="J727" s="77" t="str">
        <x:f>IF(A727="","",IF(I727="기타/불명","확인 필요","결의서명으로 1차 확인"))</x:f>
      </x:c>
      <x:c r="K727" s="78"/>
    </x:row>
    <x:row r="728">
      <x:c r="A728" s="73"/>
      <x:c r="B728" s="73"/>
      <x:c r="C728" s="74"/>
      <x:c r="D728" s="73"/>
      <x:c r="E728" s="73"/>
      <x:c r="F728" s="75"/>
      <x:c r="G728" s="75"/>
      <x:c r="H728" s="76" t="str">
        <x:f>IF(A728="","",F728-G728)</x:f>
      </x:c>
      <x:c r="I728" s="77" t="str">
        <x:f>IF(A728="","",IF(E728="","기타/불명",IF(IFERROR(SEARCH("급여",E728),0)&gt;0,"인건비",IF(IFERROR(SEARCH("임차",E728),0)&gt;0,"임차·시설",IF(IFERROR(SEARCH("광고",E728),0)&gt;0,"광고·행사",IF(IFERROR(SEARCH("용역",E728),0)&gt;0,"용역·수수료","기타/불명"))))))</x:f>
      </x:c>
      <x:c r="J728" s="77" t="str">
        <x:f>IF(A728="","",IF(I728="기타/불명","확인 필요","결의서명으로 1차 확인"))</x:f>
      </x:c>
      <x:c r="K728" s="78"/>
    </x:row>
    <x:row r="729">
      <x:c r="A729" s="73"/>
      <x:c r="B729" s="73"/>
      <x:c r="C729" s="74"/>
      <x:c r="D729" s="73"/>
      <x:c r="E729" s="73"/>
      <x:c r="F729" s="75"/>
      <x:c r="G729" s="75"/>
      <x:c r="H729" s="76" t="str">
        <x:f>IF(A729="","",F729-G729)</x:f>
      </x:c>
      <x:c r="I729" s="77" t="str">
        <x:f>IF(A729="","",IF(E729="","기타/불명",IF(IFERROR(SEARCH("급여",E729),0)&gt;0,"인건비",IF(IFERROR(SEARCH("임차",E729),0)&gt;0,"임차·시설",IF(IFERROR(SEARCH("광고",E729),0)&gt;0,"광고·행사",IF(IFERROR(SEARCH("용역",E729),0)&gt;0,"용역·수수료","기타/불명"))))))</x:f>
      </x:c>
      <x:c r="J729" s="77" t="str">
        <x:f>IF(A729="","",IF(I729="기타/불명","확인 필요","결의서명으로 1차 확인"))</x:f>
      </x:c>
      <x:c r="K729" s="78"/>
    </x:row>
    <x:row r="730">
      <x:c r="A730" s="73"/>
      <x:c r="B730" s="73"/>
      <x:c r="C730" s="74"/>
      <x:c r="D730" s="73"/>
      <x:c r="E730" s="73"/>
      <x:c r="F730" s="75"/>
      <x:c r="G730" s="75"/>
      <x:c r="H730" s="76" t="str">
        <x:f>IF(A730="","",F730-G730)</x:f>
      </x:c>
      <x:c r="I730" s="77" t="str">
        <x:f>IF(A730="","",IF(E730="","기타/불명",IF(IFERROR(SEARCH("급여",E730),0)&gt;0,"인건비",IF(IFERROR(SEARCH("임차",E730),0)&gt;0,"임차·시설",IF(IFERROR(SEARCH("광고",E730),0)&gt;0,"광고·행사",IF(IFERROR(SEARCH("용역",E730),0)&gt;0,"용역·수수료","기타/불명"))))))</x:f>
      </x:c>
      <x:c r="J730" s="77" t="str">
        <x:f>IF(A730="","",IF(I730="기타/불명","확인 필요","결의서명으로 1차 확인"))</x:f>
      </x:c>
      <x:c r="K730" s="78"/>
    </x:row>
    <x:row r="731">
      <x:c r="A731" s="73"/>
      <x:c r="B731" s="73"/>
      <x:c r="C731" s="74"/>
      <x:c r="D731" s="73"/>
      <x:c r="E731" s="73"/>
      <x:c r="F731" s="75"/>
      <x:c r="G731" s="75"/>
      <x:c r="H731" s="76" t="str">
        <x:f>IF(A731="","",F731-G731)</x:f>
      </x:c>
      <x:c r="I731" s="77" t="str">
        <x:f>IF(A731="","",IF(E731="","기타/불명",IF(IFERROR(SEARCH("급여",E731),0)&gt;0,"인건비",IF(IFERROR(SEARCH("임차",E731),0)&gt;0,"임차·시설",IF(IFERROR(SEARCH("광고",E731),0)&gt;0,"광고·행사",IF(IFERROR(SEARCH("용역",E731),0)&gt;0,"용역·수수료","기타/불명"))))))</x:f>
      </x:c>
      <x:c r="J731" s="77" t="str">
        <x:f>IF(A731="","",IF(I731="기타/불명","확인 필요","결의서명으로 1차 확인"))</x:f>
      </x:c>
      <x:c r="K731" s="78"/>
    </x:row>
    <x:row r="732">
      <x:c r="A732" s="73"/>
      <x:c r="B732" s="73"/>
      <x:c r="C732" s="74"/>
      <x:c r="D732" s="73"/>
      <x:c r="E732" s="73"/>
      <x:c r="F732" s="75"/>
      <x:c r="G732" s="75"/>
      <x:c r="H732" s="76" t="str">
        <x:f>IF(A732="","",F732-G732)</x:f>
      </x:c>
      <x:c r="I732" s="77" t="str">
        <x:f>IF(A732="","",IF(E732="","기타/불명",IF(IFERROR(SEARCH("급여",E732),0)&gt;0,"인건비",IF(IFERROR(SEARCH("임차",E732),0)&gt;0,"임차·시설",IF(IFERROR(SEARCH("광고",E732),0)&gt;0,"광고·행사",IF(IFERROR(SEARCH("용역",E732),0)&gt;0,"용역·수수료","기타/불명"))))))</x:f>
      </x:c>
      <x:c r="J732" s="77" t="str">
        <x:f>IF(A732="","",IF(I732="기타/불명","확인 필요","결의서명으로 1차 확인"))</x:f>
      </x:c>
      <x:c r="K732" s="78"/>
    </x:row>
    <x:row r="733">
      <x:c r="A733" s="73"/>
      <x:c r="B733" s="73"/>
      <x:c r="C733" s="74"/>
      <x:c r="D733" s="73"/>
      <x:c r="E733" s="73"/>
      <x:c r="F733" s="75"/>
      <x:c r="G733" s="75"/>
      <x:c r="H733" s="76" t="str">
        <x:f>IF(A733="","",F733-G733)</x:f>
      </x:c>
      <x:c r="I733" s="77" t="str">
        <x:f>IF(A733="","",IF(E733="","기타/불명",IF(IFERROR(SEARCH("급여",E733),0)&gt;0,"인건비",IF(IFERROR(SEARCH("임차",E733),0)&gt;0,"임차·시설",IF(IFERROR(SEARCH("광고",E733),0)&gt;0,"광고·행사",IF(IFERROR(SEARCH("용역",E733),0)&gt;0,"용역·수수료","기타/불명"))))))</x:f>
      </x:c>
      <x:c r="J733" s="77" t="str">
        <x:f>IF(A733="","",IF(I733="기타/불명","확인 필요","결의서명으로 1차 확인"))</x:f>
      </x:c>
      <x:c r="K733" s="78"/>
    </x:row>
    <x:row r="734">
      <x:c r="A734" s="73"/>
      <x:c r="B734" s="73"/>
      <x:c r="C734" s="74"/>
      <x:c r="D734" s="73"/>
      <x:c r="E734" s="73"/>
      <x:c r="F734" s="75"/>
      <x:c r="G734" s="75"/>
      <x:c r="H734" s="76" t="str">
        <x:f>IF(A734="","",F734-G734)</x:f>
      </x:c>
      <x:c r="I734" s="77" t="str">
        <x:f>IF(A734="","",IF(E734="","기타/불명",IF(IFERROR(SEARCH("급여",E734),0)&gt;0,"인건비",IF(IFERROR(SEARCH("임차",E734),0)&gt;0,"임차·시설",IF(IFERROR(SEARCH("광고",E734),0)&gt;0,"광고·행사",IF(IFERROR(SEARCH("용역",E734),0)&gt;0,"용역·수수료","기타/불명"))))))</x:f>
      </x:c>
      <x:c r="J734" s="77" t="str">
        <x:f>IF(A734="","",IF(I734="기타/불명","확인 필요","결의서명으로 1차 확인"))</x:f>
      </x:c>
      <x:c r="K734" s="78"/>
    </x:row>
    <x:row r="735">
      <x:c r="A735" s="73"/>
      <x:c r="B735" s="73"/>
      <x:c r="C735" s="74"/>
      <x:c r="D735" s="73"/>
      <x:c r="E735" s="73"/>
      <x:c r="F735" s="75"/>
      <x:c r="G735" s="75"/>
      <x:c r="H735" s="76" t="str">
        <x:f>IF(A735="","",F735-G735)</x:f>
      </x:c>
      <x:c r="I735" s="77" t="str">
        <x:f>IF(A735="","",IF(E735="","기타/불명",IF(IFERROR(SEARCH("급여",E735),0)&gt;0,"인건비",IF(IFERROR(SEARCH("임차",E735),0)&gt;0,"임차·시설",IF(IFERROR(SEARCH("광고",E735),0)&gt;0,"광고·행사",IF(IFERROR(SEARCH("용역",E735),0)&gt;0,"용역·수수료","기타/불명"))))))</x:f>
      </x:c>
      <x:c r="J735" s="77" t="str">
        <x:f>IF(A735="","",IF(I735="기타/불명","확인 필요","결의서명으로 1차 확인"))</x:f>
      </x:c>
      <x:c r="K735" s="78"/>
    </x:row>
    <x:row r="736">
      <x:c r="A736" s="73"/>
      <x:c r="B736" s="73"/>
      <x:c r="C736" s="74"/>
      <x:c r="D736" s="73"/>
      <x:c r="E736" s="73"/>
      <x:c r="F736" s="75"/>
      <x:c r="G736" s="75"/>
      <x:c r="H736" s="76" t="str">
        <x:f>IF(A736="","",F736-G736)</x:f>
      </x:c>
      <x:c r="I736" s="77" t="str">
        <x:f>IF(A736="","",IF(E736="","기타/불명",IF(IFERROR(SEARCH("급여",E736),0)&gt;0,"인건비",IF(IFERROR(SEARCH("임차",E736),0)&gt;0,"임차·시설",IF(IFERROR(SEARCH("광고",E736),0)&gt;0,"광고·행사",IF(IFERROR(SEARCH("용역",E736),0)&gt;0,"용역·수수료","기타/불명"))))))</x:f>
      </x:c>
      <x:c r="J736" s="77" t="str">
        <x:f>IF(A736="","",IF(I736="기타/불명","확인 필요","결의서명으로 1차 확인"))</x:f>
      </x:c>
      <x:c r="K736" s="78"/>
    </x:row>
    <x:row r="737">
      <x:c r="A737" s="73"/>
      <x:c r="B737" s="73"/>
      <x:c r="C737" s="74"/>
      <x:c r="D737" s="73"/>
      <x:c r="E737" s="73"/>
      <x:c r="F737" s="75"/>
      <x:c r="G737" s="75"/>
      <x:c r="H737" s="76" t="str">
        <x:f>IF(A737="","",F737-G737)</x:f>
      </x:c>
      <x:c r="I737" s="77" t="str">
        <x:f>IF(A737="","",IF(E737="","기타/불명",IF(IFERROR(SEARCH("급여",E737),0)&gt;0,"인건비",IF(IFERROR(SEARCH("임차",E737),0)&gt;0,"임차·시설",IF(IFERROR(SEARCH("광고",E737),0)&gt;0,"광고·행사",IF(IFERROR(SEARCH("용역",E737),0)&gt;0,"용역·수수료","기타/불명"))))))</x:f>
      </x:c>
      <x:c r="J737" s="77" t="str">
        <x:f>IF(A737="","",IF(I737="기타/불명","확인 필요","결의서명으로 1차 확인"))</x:f>
      </x:c>
      <x:c r="K737" s="78"/>
    </x:row>
    <x:row r="738">
      <x:c r="A738" s="73"/>
      <x:c r="B738" s="73"/>
      <x:c r="C738" s="74"/>
      <x:c r="D738" s="73"/>
      <x:c r="E738" s="73"/>
      <x:c r="F738" s="75"/>
      <x:c r="G738" s="75"/>
      <x:c r="H738" s="76" t="str">
        <x:f>IF(A738="","",F738-G738)</x:f>
      </x:c>
      <x:c r="I738" s="77" t="str">
        <x:f>IF(A738="","",IF(E738="","기타/불명",IF(IFERROR(SEARCH("급여",E738),0)&gt;0,"인건비",IF(IFERROR(SEARCH("임차",E738),0)&gt;0,"임차·시설",IF(IFERROR(SEARCH("광고",E738),0)&gt;0,"광고·행사",IF(IFERROR(SEARCH("용역",E738),0)&gt;0,"용역·수수료","기타/불명"))))))</x:f>
      </x:c>
      <x:c r="J738" s="77" t="str">
        <x:f>IF(A738="","",IF(I738="기타/불명","확인 필요","결의서명으로 1차 확인"))</x:f>
      </x:c>
      <x:c r="K738" s="78"/>
    </x:row>
    <x:row r="739">
      <x:c r="A739" s="73"/>
      <x:c r="B739" s="73"/>
      <x:c r="C739" s="74"/>
      <x:c r="D739" s="73"/>
      <x:c r="E739" s="73"/>
      <x:c r="F739" s="75"/>
      <x:c r="G739" s="75"/>
      <x:c r="H739" s="76" t="str">
        <x:f>IF(A739="","",F739-G739)</x:f>
      </x:c>
      <x:c r="I739" s="77" t="str">
        <x:f>IF(A739="","",IF(E739="","기타/불명",IF(IFERROR(SEARCH("급여",E739),0)&gt;0,"인건비",IF(IFERROR(SEARCH("임차",E739),0)&gt;0,"임차·시설",IF(IFERROR(SEARCH("광고",E739),0)&gt;0,"광고·행사",IF(IFERROR(SEARCH("용역",E739),0)&gt;0,"용역·수수료","기타/불명"))))))</x:f>
      </x:c>
      <x:c r="J739" s="77" t="str">
        <x:f>IF(A739="","",IF(I739="기타/불명","확인 필요","결의서명으로 1차 확인"))</x:f>
      </x:c>
      <x:c r="K739" s="78"/>
    </x:row>
    <x:row r="740">
      <x:c r="A740" s="73"/>
      <x:c r="B740" s="73"/>
      <x:c r="C740" s="74"/>
      <x:c r="D740" s="73"/>
      <x:c r="E740" s="73"/>
      <x:c r="F740" s="75"/>
      <x:c r="G740" s="75"/>
      <x:c r="H740" s="76" t="str">
        <x:f>IF(A740="","",F740-G740)</x:f>
      </x:c>
      <x:c r="I740" s="77" t="str">
        <x:f>IF(A740="","",IF(E740="","기타/불명",IF(IFERROR(SEARCH("급여",E740),0)&gt;0,"인건비",IF(IFERROR(SEARCH("임차",E740),0)&gt;0,"임차·시설",IF(IFERROR(SEARCH("광고",E740),0)&gt;0,"광고·행사",IF(IFERROR(SEARCH("용역",E740),0)&gt;0,"용역·수수료","기타/불명"))))))</x:f>
      </x:c>
      <x:c r="J740" s="77" t="str">
        <x:f>IF(A740="","",IF(I740="기타/불명","확인 필요","결의서명으로 1차 확인"))</x:f>
      </x:c>
      <x:c r="K740" s="78"/>
    </x:row>
    <x:row r="741">
      <x:c r="A741" s="73"/>
      <x:c r="B741" s="73"/>
      <x:c r="C741" s="74"/>
      <x:c r="D741" s="73"/>
      <x:c r="E741" s="73"/>
      <x:c r="F741" s="75"/>
      <x:c r="G741" s="75"/>
      <x:c r="H741" s="76" t="str">
        <x:f>IF(A741="","",F741-G741)</x:f>
      </x:c>
      <x:c r="I741" s="77" t="str">
        <x:f>IF(A741="","",IF(E741="","기타/불명",IF(IFERROR(SEARCH("급여",E741),0)&gt;0,"인건비",IF(IFERROR(SEARCH("임차",E741),0)&gt;0,"임차·시설",IF(IFERROR(SEARCH("광고",E741),0)&gt;0,"광고·행사",IF(IFERROR(SEARCH("용역",E741),0)&gt;0,"용역·수수료","기타/불명"))))))</x:f>
      </x:c>
      <x:c r="J741" s="77" t="str">
        <x:f>IF(A741="","",IF(I741="기타/불명","확인 필요","결의서명으로 1차 확인"))</x:f>
      </x:c>
      <x:c r="K741" s="78"/>
    </x:row>
    <x:row r="742">
      <x:c r="A742" s="73"/>
      <x:c r="B742" s="73"/>
      <x:c r="C742" s="74"/>
      <x:c r="D742" s="73"/>
      <x:c r="E742" s="73"/>
      <x:c r="F742" s="75"/>
      <x:c r="G742" s="75"/>
      <x:c r="H742" s="76" t="str">
        <x:f>IF(A742="","",F742-G742)</x:f>
      </x:c>
      <x:c r="I742" s="77" t="str">
        <x:f>IF(A742="","",IF(E742="","기타/불명",IF(IFERROR(SEARCH("급여",E742),0)&gt;0,"인건비",IF(IFERROR(SEARCH("임차",E742),0)&gt;0,"임차·시설",IF(IFERROR(SEARCH("광고",E742),0)&gt;0,"광고·행사",IF(IFERROR(SEARCH("용역",E742),0)&gt;0,"용역·수수료","기타/불명"))))))</x:f>
      </x:c>
      <x:c r="J742" s="77" t="str">
        <x:f>IF(A742="","",IF(I742="기타/불명","확인 필요","결의서명으로 1차 확인"))</x:f>
      </x:c>
      <x:c r="K742" s="78"/>
    </x:row>
    <x:row r="743">
      <x:c r="A743" s="73"/>
      <x:c r="B743" s="73"/>
      <x:c r="C743" s="74"/>
      <x:c r="D743" s="73"/>
      <x:c r="E743" s="73"/>
      <x:c r="F743" s="75"/>
      <x:c r="G743" s="75"/>
      <x:c r="H743" s="76" t="str">
        <x:f>IF(A743="","",F743-G743)</x:f>
      </x:c>
      <x:c r="I743" s="77" t="str">
        <x:f>IF(A743="","",IF(E743="","기타/불명",IF(IFERROR(SEARCH("급여",E743),0)&gt;0,"인건비",IF(IFERROR(SEARCH("임차",E743),0)&gt;0,"임차·시설",IF(IFERROR(SEARCH("광고",E743),0)&gt;0,"광고·행사",IF(IFERROR(SEARCH("용역",E743),0)&gt;0,"용역·수수료","기타/불명"))))))</x:f>
      </x:c>
      <x:c r="J743" s="77" t="str">
        <x:f>IF(A743="","",IF(I743="기타/불명","확인 필요","결의서명으로 1차 확인"))</x:f>
      </x:c>
      <x:c r="K743" s="78"/>
    </x:row>
    <x:row r="744">
      <x:c r="A744" s="73"/>
      <x:c r="B744" s="73"/>
      <x:c r="C744" s="74"/>
      <x:c r="D744" s="73"/>
      <x:c r="E744" s="73"/>
      <x:c r="F744" s="75"/>
      <x:c r="G744" s="75"/>
      <x:c r="H744" s="76" t="str">
        <x:f>IF(A744="","",F744-G744)</x:f>
      </x:c>
      <x:c r="I744" s="77" t="str">
        <x:f>IF(A744="","",IF(E744="","기타/불명",IF(IFERROR(SEARCH("급여",E744),0)&gt;0,"인건비",IF(IFERROR(SEARCH("임차",E744),0)&gt;0,"임차·시설",IF(IFERROR(SEARCH("광고",E744),0)&gt;0,"광고·행사",IF(IFERROR(SEARCH("용역",E744),0)&gt;0,"용역·수수료","기타/불명"))))))</x:f>
      </x:c>
      <x:c r="J744" s="77" t="str">
        <x:f>IF(A744="","",IF(I744="기타/불명","확인 필요","결의서명으로 1차 확인"))</x:f>
      </x:c>
      <x:c r="K744" s="78"/>
    </x:row>
    <x:row r="745">
      <x:c r="A745" s="73"/>
      <x:c r="B745" s="73"/>
      <x:c r="C745" s="74"/>
      <x:c r="D745" s="73"/>
      <x:c r="E745" s="73"/>
      <x:c r="F745" s="75"/>
      <x:c r="G745" s="75"/>
      <x:c r="H745" s="76" t="str">
        <x:f>IF(A745="","",F745-G745)</x:f>
      </x:c>
      <x:c r="I745" s="77" t="str">
        <x:f>IF(A745="","",IF(E745="","기타/불명",IF(IFERROR(SEARCH("급여",E745),0)&gt;0,"인건비",IF(IFERROR(SEARCH("임차",E745),0)&gt;0,"임차·시설",IF(IFERROR(SEARCH("광고",E745),0)&gt;0,"광고·행사",IF(IFERROR(SEARCH("용역",E745),0)&gt;0,"용역·수수료","기타/불명"))))))</x:f>
      </x:c>
      <x:c r="J745" s="77" t="str">
        <x:f>IF(A745="","",IF(I745="기타/불명","확인 필요","결의서명으로 1차 확인"))</x:f>
      </x:c>
      <x:c r="K745" s="78"/>
    </x:row>
    <x:row r="746">
      <x:c r="A746" s="73"/>
      <x:c r="B746" s="73"/>
      <x:c r="C746" s="74"/>
      <x:c r="D746" s="73"/>
      <x:c r="E746" s="73"/>
      <x:c r="F746" s="75"/>
      <x:c r="G746" s="75"/>
      <x:c r="H746" s="76" t="str">
        <x:f>IF(A746="","",F746-G746)</x:f>
      </x:c>
      <x:c r="I746" s="77" t="str">
        <x:f>IF(A746="","",IF(E746="","기타/불명",IF(IFERROR(SEARCH("급여",E746),0)&gt;0,"인건비",IF(IFERROR(SEARCH("임차",E746),0)&gt;0,"임차·시설",IF(IFERROR(SEARCH("광고",E746),0)&gt;0,"광고·행사",IF(IFERROR(SEARCH("용역",E746),0)&gt;0,"용역·수수료","기타/불명"))))))</x:f>
      </x:c>
      <x:c r="J746" s="77" t="str">
        <x:f>IF(A746="","",IF(I746="기타/불명","확인 필요","결의서명으로 1차 확인"))</x:f>
      </x:c>
      <x:c r="K746" s="78"/>
    </x:row>
    <x:row r="747">
      <x:c r="A747" s="73"/>
      <x:c r="B747" s="73"/>
      <x:c r="C747" s="74"/>
      <x:c r="D747" s="73"/>
      <x:c r="E747" s="73"/>
      <x:c r="F747" s="75"/>
      <x:c r="G747" s="75"/>
      <x:c r="H747" s="76" t="str">
        <x:f>IF(A747="","",F747-G747)</x:f>
      </x:c>
      <x:c r="I747" s="77" t="str">
        <x:f>IF(A747="","",IF(E747="","기타/불명",IF(IFERROR(SEARCH("급여",E747),0)&gt;0,"인건비",IF(IFERROR(SEARCH("임차",E747),0)&gt;0,"임차·시설",IF(IFERROR(SEARCH("광고",E747),0)&gt;0,"광고·행사",IF(IFERROR(SEARCH("용역",E747),0)&gt;0,"용역·수수료","기타/불명"))))))</x:f>
      </x:c>
      <x:c r="J747" s="77" t="str">
        <x:f>IF(A747="","",IF(I747="기타/불명","확인 필요","결의서명으로 1차 확인"))</x:f>
      </x:c>
      <x:c r="K747" s="78"/>
    </x:row>
    <x:row r="748">
      <x:c r="A748" s="73"/>
      <x:c r="B748" s="73"/>
      <x:c r="C748" s="74"/>
      <x:c r="D748" s="73"/>
      <x:c r="E748" s="73"/>
      <x:c r="F748" s="75"/>
      <x:c r="G748" s="75"/>
      <x:c r="H748" s="76" t="str">
        <x:f>IF(A748="","",F748-G748)</x:f>
      </x:c>
      <x:c r="I748" s="77" t="str">
        <x:f>IF(A748="","",IF(E748="","기타/불명",IF(IFERROR(SEARCH("급여",E748),0)&gt;0,"인건비",IF(IFERROR(SEARCH("임차",E748),0)&gt;0,"임차·시설",IF(IFERROR(SEARCH("광고",E748),0)&gt;0,"광고·행사",IF(IFERROR(SEARCH("용역",E748),0)&gt;0,"용역·수수료","기타/불명"))))))</x:f>
      </x:c>
      <x:c r="J748" s="77" t="str">
        <x:f>IF(A748="","",IF(I748="기타/불명","확인 필요","결의서명으로 1차 확인"))</x:f>
      </x:c>
      <x:c r="K748" s="78"/>
    </x:row>
    <x:row r="749">
      <x:c r="A749" s="73"/>
      <x:c r="B749" s="73"/>
      <x:c r="C749" s="74"/>
      <x:c r="D749" s="73"/>
      <x:c r="E749" s="73"/>
      <x:c r="F749" s="75"/>
      <x:c r="G749" s="75"/>
      <x:c r="H749" s="76" t="str">
        <x:f>IF(A749="","",F749-G749)</x:f>
      </x:c>
      <x:c r="I749" s="77" t="str">
        <x:f>IF(A749="","",IF(E749="","기타/불명",IF(IFERROR(SEARCH("급여",E749),0)&gt;0,"인건비",IF(IFERROR(SEARCH("임차",E749),0)&gt;0,"임차·시설",IF(IFERROR(SEARCH("광고",E749),0)&gt;0,"광고·행사",IF(IFERROR(SEARCH("용역",E749),0)&gt;0,"용역·수수료","기타/불명"))))))</x:f>
      </x:c>
      <x:c r="J749" s="77" t="str">
        <x:f>IF(A749="","",IF(I749="기타/불명","확인 필요","결의서명으로 1차 확인"))</x:f>
      </x:c>
      <x:c r="K749" s="78"/>
    </x:row>
    <x:row r="750">
      <x:c r="A750" s="73"/>
      <x:c r="B750" s="73"/>
      <x:c r="C750" s="74"/>
      <x:c r="D750" s="73"/>
      <x:c r="E750" s="73"/>
      <x:c r="F750" s="75"/>
      <x:c r="G750" s="75"/>
      <x:c r="H750" s="76" t="str">
        <x:f>IF(A750="","",F750-G750)</x:f>
      </x:c>
      <x:c r="I750" s="77" t="str">
        <x:f>IF(A750="","",IF(E750="","기타/불명",IF(IFERROR(SEARCH("급여",E750),0)&gt;0,"인건비",IF(IFERROR(SEARCH("임차",E750),0)&gt;0,"임차·시설",IF(IFERROR(SEARCH("광고",E750),0)&gt;0,"광고·행사",IF(IFERROR(SEARCH("용역",E750),0)&gt;0,"용역·수수료","기타/불명"))))))</x:f>
      </x:c>
      <x:c r="J750" s="77" t="str">
        <x:f>IF(A750="","",IF(I750="기타/불명","확인 필요","결의서명으로 1차 확인"))</x:f>
      </x:c>
      <x:c r="K750" s="78"/>
    </x:row>
    <x:row r="751">
      <x:c r="A751" s="73"/>
      <x:c r="B751" s="73"/>
      <x:c r="C751" s="74"/>
      <x:c r="D751" s="73"/>
      <x:c r="E751" s="73"/>
      <x:c r="F751" s="75"/>
      <x:c r="G751" s="75"/>
      <x:c r="H751" s="76" t="str">
        <x:f>IF(A751="","",F751-G751)</x:f>
      </x:c>
      <x:c r="I751" s="77" t="str">
        <x:f>IF(A751="","",IF(E751="","기타/불명",IF(IFERROR(SEARCH("급여",E751),0)&gt;0,"인건비",IF(IFERROR(SEARCH("임차",E751),0)&gt;0,"임차·시설",IF(IFERROR(SEARCH("광고",E751),0)&gt;0,"광고·행사",IF(IFERROR(SEARCH("용역",E751),0)&gt;0,"용역·수수료","기타/불명"))))))</x:f>
      </x:c>
      <x:c r="J751" s="77" t="str">
        <x:f>IF(A751="","",IF(I751="기타/불명","확인 필요","결의서명으로 1차 확인"))</x:f>
      </x:c>
      <x:c r="K751" s="78"/>
    </x:row>
    <x:row r="752">
      <x:c r="A752" s="73"/>
      <x:c r="B752" s="73"/>
      <x:c r="C752" s="74"/>
      <x:c r="D752" s="73"/>
      <x:c r="E752" s="73"/>
      <x:c r="F752" s="75"/>
      <x:c r="G752" s="75"/>
      <x:c r="H752" s="76" t="str">
        <x:f>IF(A752="","",F752-G752)</x:f>
      </x:c>
      <x:c r="I752" s="77" t="str">
        <x:f>IF(A752="","",IF(E752="","기타/불명",IF(IFERROR(SEARCH("급여",E752),0)&gt;0,"인건비",IF(IFERROR(SEARCH("임차",E752),0)&gt;0,"임차·시설",IF(IFERROR(SEARCH("광고",E752),0)&gt;0,"광고·행사",IF(IFERROR(SEARCH("용역",E752),0)&gt;0,"용역·수수료","기타/불명"))))))</x:f>
      </x:c>
      <x:c r="J752" s="77" t="str">
        <x:f>IF(A752="","",IF(I752="기타/불명","확인 필요","결의서명으로 1차 확인"))</x:f>
      </x:c>
      <x:c r="K752" s="78"/>
    </x:row>
    <x:row r="753">
      <x:c r="A753" s="73"/>
      <x:c r="B753" s="73"/>
      <x:c r="C753" s="74"/>
      <x:c r="D753" s="73"/>
      <x:c r="E753" s="73"/>
      <x:c r="F753" s="75"/>
      <x:c r="G753" s="75"/>
      <x:c r="H753" s="76" t="str">
        <x:f>IF(A753="","",F753-G753)</x:f>
      </x:c>
      <x:c r="I753" s="77" t="str">
        <x:f>IF(A753="","",IF(E753="","기타/불명",IF(IFERROR(SEARCH("급여",E753),0)&gt;0,"인건비",IF(IFERROR(SEARCH("임차",E753),0)&gt;0,"임차·시설",IF(IFERROR(SEARCH("광고",E753),0)&gt;0,"광고·행사",IF(IFERROR(SEARCH("용역",E753),0)&gt;0,"용역·수수료","기타/불명"))))))</x:f>
      </x:c>
      <x:c r="J753" s="77" t="str">
        <x:f>IF(A753="","",IF(I753="기타/불명","확인 필요","결의서명으로 1차 확인"))</x:f>
      </x:c>
      <x:c r="K753" s="78"/>
    </x:row>
    <x:row r="754">
      <x:c r="A754" s="73"/>
      <x:c r="B754" s="73"/>
      <x:c r="C754" s="74"/>
      <x:c r="D754" s="73"/>
      <x:c r="E754" s="73"/>
      <x:c r="F754" s="75"/>
      <x:c r="G754" s="75"/>
      <x:c r="H754" s="76" t="str">
        <x:f>IF(A754="","",F754-G754)</x:f>
      </x:c>
      <x:c r="I754" s="77" t="str">
        <x:f>IF(A754="","",IF(E754="","기타/불명",IF(IFERROR(SEARCH("급여",E754),0)&gt;0,"인건비",IF(IFERROR(SEARCH("임차",E754),0)&gt;0,"임차·시설",IF(IFERROR(SEARCH("광고",E754),0)&gt;0,"광고·행사",IF(IFERROR(SEARCH("용역",E754),0)&gt;0,"용역·수수료","기타/불명"))))))</x:f>
      </x:c>
      <x:c r="J754" s="77" t="str">
        <x:f>IF(A754="","",IF(I754="기타/불명","확인 필요","결의서명으로 1차 확인"))</x:f>
      </x:c>
      <x:c r="K754" s="78"/>
    </x:row>
    <x:row r="755">
      <x:c r="A755" s="73"/>
      <x:c r="B755" s="73"/>
      <x:c r="C755" s="74"/>
      <x:c r="D755" s="73"/>
      <x:c r="E755" s="73"/>
      <x:c r="F755" s="75"/>
      <x:c r="G755" s="75"/>
      <x:c r="H755" s="76" t="str">
        <x:f>IF(A755="","",F755-G755)</x:f>
      </x:c>
      <x:c r="I755" s="77" t="str">
        <x:f>IF(A755="","",IF(E755="","기타/불명",IF(IFERROR(SEARCH("급여",E755),0)&gt;0,"인건비",IF(IFERROR(SEARCH("임차",E755),0)&gt;0,"임차·시설",IF(IFERROR(SEARCH("광고",E755),0)&gt;0,"광고·행사",IF(IFERROR(SEARCH("용역",E755),0)&gt;0,"용역·수수료","기타/불명"))))))</x:f>
      </x:c>
      <x:c r="J755" s="77" t="str">
        <x:f>IF(A755="","",IF(I755="기타/불명","확인 필요","결의서명으로 1차 확인"))</x:f>
      </x:c>
      <x:c r="K755" s="78"/>
    </x:row>
    <x:row r="756">
      <x:c r="A756" s="73"/>
      <x:c r="B756" s="73"/>
      <x:c r="C756" s="74"/>
      <x:c r="D756" s="73"/>
      <x:c r="E756" s="73"/>
      <x:c r="F756" s="75"/>
      <x:c r="G756" s="75"/>
      <x:c r="H756" s="76" t="str">
        <x:f>IF(A756="","",F756-G756)</x:f>
      </x:c>
      <x:c r="I756" s="77" t="str">
        <x:f>IF(A756="","",IF(E756="","기타/불명",IF(IFERROR(SEARCH("급여",E756),0)&gt;0,"인건비",IF(IFERROR(SEARCH("임차",E756),0)&gt;0,"임차·시설",IF(IFERROR(SEARCH("광고",E756),0)&gt;0,"광고·행사",IF(IFERROR(SEARCH("용역",E756),0)&gt;0,"용역·수수료","기타/불명"))))))</x:f>
      </x:c>
      <x:c r="J756" s="77" t="str">
        <x:f>IF(A756="","",IF(I756="기타/불명","확인 필요","결의서명으로 1차 확인"))</x:f>
      </x:c>
      <x:c r="K756" s="78"/>
    </x:row>
    <x:row r="757">
      <x:c r="A757" s="73"/>
      <x:c r="B757" s="73"/>
      <x:c r="C757" s="74"/>
      <x:c r="D757" s="73"/>
      <x:c r="E757" s="73"/>
      <x:c r="F757" s="75"/>
      <x:c r="G757" s="75"/>
      <x:c r="H757" s="76" t="str">
        <x:f>IF(A757="","",F757-G757)</x:f>
      </x:c>
      <x:c r="I757" s="77" t="str">
        <x:f>IF(A757="","",IF(E757="","기타/불명",IF(IFERROR(SEARCH("급여",E757),0)&gt;0,"인건비",IF(IFERROR(SEARCH("임차",E757),0)&gt;0,"임차·시설",IF(IFERROR(SEARCH("광고",E757),0)&gt;0,"광고·행사",IF(IFERROR(SEARCH("용역",E757),0)&gt;0,"용역·수수료","기타/불명"))))))</x:f>
      </x:c>
      <x:c r="J757" s="77" t="str">
        <x:f>IF(A757="","",IF(I757="기타/불명","확인 필요","결의서명으로 1차 확인"))</x:f>
      </x:c>
      <x:c r="K757" s="78"/>
    </x:row>
    <x:row r="758">
      <x:c r="A758" s="73"/>
      <x:c r="B758" s="73"/>
      <x:c r="C758" s="74"/>
      <x:c r="D758" s="73"/>
      <x:c r="E758" s="73"/>
      <x:c r="F758" s="75"/>
      <x:c r="G758" s="75"/>
      <x:c r="H758" s="76" t="str">
        <x:f>IF(A758="","",F758-G758)</x:f>
      </x:c>
      <x:c r="I758" s="77" t="str">
        <x:f>IF(A758="","",IF(E758="","기타/불명",IF(IFERROR(SEARCH("급여",E758),0)&gt;0,"인건비",IF(IFERROR(SEARCH("임차",E758),0)&gt;0,"임차·시설",IF(IFERROR(SEARCH("광고",E758),0)&gt;0,"광고·행사",IF(IFERROR(SEARCH("용역",E758),0)&gt;0,"용역·수수료","기타/불명"))))))</x:f>
      </x:c>
      <x:c r="J758" s="77" t="str">
        <x:f>IF(A758="","",IF(I758="기타/불명","확인 필요","결의서명으로 1차 확인"))</x:f>
      </x:c>
      <x:c r="K758" s="78"/>
    </x:row>
    <x:row r="759">
      <x:c r="A759" s="73"/>
      <x:c r="B759" s="73"/>
      <x:c r="C759" s="74"/>
      <x:c r="D759" s="73"/>
      <x:c r="E759" s="73"/>
      <x:c r="F759" s="75"/>
      <x:c r="G759" s="75"/>
      <x:c r="H759" s="76" t="str">
        <x:f>IF(A759="","",F759-G759)</x:f>
      </x:c>
      <x:c r="I759" s="77" t="str">
        <x:f>IF(A759="","",IF(E759="","기타/불명",IF(IFERROR(SEARCH("급여",E759),0)&gt;0,"인건비",IF(IFERROR(SEARCH("임차",E759),0)&gt;0,"임차·시설",IF(IFERROR(SEARCH("광고",E759),0)&gt;0,"광고·행사",IF(IFERROR(SEARCH("용역",E759),0)&gt;0,"용역·수수료","기타/불명"))))))</x:f>
      </x:c>
      <x:c r="J759" s="77" t="str">
        <x:f>IF(A759="","",IF(I759="기타/불명","확인 필요","결의서명으로 1차 확인"))</x:f>
      </x:c>
      <x:c r="K759" s="78"/>
    </x:row>
    <x:row r="760">
      <x:c r="A760" s="73"/>
      <x:c r="B760" s="73"/>
      <x:c r="C760" s="74"/>
      <x:c r="D760" s="73"/>
      <x:c r="E760" s="73"/>
      <x:c r="F760" s="75"/>
      <x:c r="G760" s="75"/>
      <x:c r="H760" s="76" t="str">
        <x:f>IF(A760="","",F760-G760)</x:f>
      </x:c>
      <x:c r="I760" s="77" t="str">
        <x:f>IF(A760="","",IF(E760="","기타/불명",IF(IFERROR(SEARCH("급여",E760),0)&gt;0,"인건비",IF(IFERROR(SEARCH("임차",E760),0)&gt;0,"임차·시설",IF(IFERROR(SEARCH("광고",E760),0)&gt;0,"광고·행사",IF(IFERROR(SEARCH("용역",E760),0)&gt;0,"용역·수수료","기타/불명"))))))</x:f>
      </x:c>
      <x:c r="J760" s="77" t="str">
        <x:f>IF(A760="","",IF(I760="기타/불명","확인 필요","결의서명으로 1차 확인"))</x:f>
      </x:c>
      <x:c r="K760" s="78"/>
    </x:row>
    <x:row r="761">
      <x:c r="A761" s="73"/>
      <x:c r="B761" s="73"/>
      <x:c r="C761" s="74"/>
      <x:c r="D761" s="73"/>
      <x:c r="E761" s="73"/>
      <x:c r="F761" s="75"/>
      <x:c r="G761" s="75"/>
      <x:c r="H761" s="76" t="str">
        <x:f>IF(A761="","",F761-G761)</x:f>
      </x:c>
      <x:c r="I761" s="77" t="str">
        <x:f>IF(A761="","",IF(E761="","기타/불명",IF(IFERROR(SEARCH("급여",E761),0)&gt;0,"인건비",IF(IFERROR(SEARCH("임차",E761),0)&gt;0,"임차·시설",IF(IFERROR(SEARCH("광고",E761),0)&gt;0,"광고·행사",IF(IFERROR(SEARCH("용역",E761),0)&gt;0,"용역·수수료","기타/불명"))))))</x:f>
      </x:c>
      <x:c r="J761" s="77" t="str">
        <x:f>IF(A761="","",IF(I761="기타/불명","확인 필요","결의서명으로 1차 확인"))</x:f>
      </x:c>
      <x:c r="K761" s="78"/>
    </x:row>
    <x:row r="762">
      <x:c r="A762" s="73"/>
      <x:c r="B762" s="73"/>
      <x:c r="C762" s="74"/>
      <x:c r="D762" s="73"/>
      <x:c r="E762" s="73"/>
      <x:c r="F762" s="75"/>
      <x:c r="G762" s="75"/>
      <x:c r="H762" s="76" t="str">
        <x:f>IF(A762="","",F762-G762)</x:f>
      </x:c>
      <x:c r="I762" s="77" t="str">
        <x:f>IF(A762="","",IF(E762="","기타/불명",IF(IFERROR(SEARCH("급여",E762),0)&gt;0,"인건비",IF(IFERROR(SEARCH("임차",E762),0)&gt;0,"임차·시설",IF(IFERROR(SEARCH("광고",E762),0)&gt;0,"광고·행사",IF(IFERROR(SEARCH("용역",E762),0)&gt;0,"용역·수수료","기타/불명"))))))</x:f>
      </x:c>
      <x:c r="J762" s="77" t="str">
        <x:f>IF(A762="","",IF(I762="기타/불명","확인 필요","결의서명으로 1차 확인"))</x:f>
      </x:c>
      <x:c r="K762" s="78"/>
    </x:row>
    <x:row r="763">
      <x:c r="A763" s="73"/>
      <x:c r="B763" s="73"/>
      <x:c r="C763" s="74"/>
      <x:c r="D763" s="73"/>
      <x:c r="E763" s="73"/>
      <x:c r="F763" s="75"/>
      <x:c r="G763" s="75"/>
      <x:c r="H763" s="76" t="str">
        <x:f>IF(A763="","",F763-G763)</x:f>
      </x:c>
      <x:c r="I763" s="77" t="str">
        <x:f>IF(A763="","",IF(E763="","기타/불명",IF(IFERROR(SEARCH("급여",E763),0)&gt;0,"인건비",IF(IFERROR(SEARCH("임차",E763),0)&gt;0,"임차·시설",IF(IFERROR(SEARCH("광고",E763),0)&gt;0,"광고·행사",IF(IFERROR(SEARCH("용역",E763),0)&gt;0,"용역·수수료","기타/불명"))))))</x:f>
      </x:c>
      <x:c r="J763" s="77" t="str">
        <x:f>IF(A763="","",IF(I763="기타/불명","확인 필요","결의서명으로 1차 확인"))</x:f>
      </x:c>
      <x:c r="K763" s="78"/>
    </x:row>
    <x:row r="764">
      <x:c r="A764" s="73"/>
      <x:c r="B764" s="73"/>
      <x:c r="C764" s="74"/>
      <x:c r="D764" s="73"/>
      <x:c r="E764" s="73"/>
      <x:c r="F764" s="75"/>
      <x:c r="G764" s="75"/>
      <x:c r="H764" s="76" t="str">
        <x:f>IF(A764="","",F764-G764)</x:f>
      </x:c>
      <x:c r="I764" s="77" t="str">
        <x:f>IF(A764="","",IF(E764="","기타/불명",IF(IFERROR(SEARCH("급여",E764),0)&gt;0,"인건비",IF(IFERROR(SEARCH("임차",E764),0)&gt;0,"임차·시설",IF(IFERROR(SEARCH("광고",E764),0)&gt;0,"광고·행사",IF(IFERROR(SEARCH("용역",E764),0)&gt;0,"용역·수수료","기타/불명"))))))</x:f>
      </x:c>
      <x:c r="J764" s="77" t="str">
        <x:f>IF(A764="","",IF(I764="기타/불명","확인 필요","결의서명으로 1차 확인"))</x:f>
      </x:c>
      <x:c r="K764" s="78"/>
    </x:row>
    <x:row r="765">
      <x:c r="A765" s="73"/>
      <x:c r="B765" s="73"/>
      <x:c r="C765" s="74"/>
      <x:c r="D765" s="73"/>
      <x:c r="E765" s="73"/>
      <x:c r="F765" s="75"/>
      <x:c r="G765" s="75"/>
      <x:c r="H765" s="76" t="str">
        <x:f>IF(A765="","",F765-G765)</x:f>
      </x:c>
      <x:c r="I765" s="77" t="str">
        <x:f>IF(A765="","",IF(E765="","기타/불명",IF(IFERROR(SEARCH("급여",E765),0)&gt;0,"인건비",IF(IFERROR(SEARCH("임차",E765),0)&gt;0,"임차·시설",IF(IFERROR(SEARCH("광고",E765),0)&gt;0,"광고·행사",IF(IFERROR(SEARCH("용역",E765),0)&gt;0,"용역·수수료","기타/불명"))))))</x:f>
      </x:c>
      <x:c r="J765" s="77" t="str">
        <x:f>IF(A765="","",IF(I765="기타/불명","확인 필요","결의서명으로 1차 확인"))</x:f>
      </x:c>
      <x:c r="K765" s="78"/>
    </x:row>
    <x:row r="766">
      <x:c r="A766" s="73"/>
      <x:c r="B766" s="73"/>
      <x:c r="C766" s="74"/>
      <x:c r="D766" s="73"/>
      <x:c r="E766" s="73"/>
      <x:c r="F766" s="75"/>
      <x:c r="G766" s="75"/>
      <x:c r="H766" s="76" t="str">
        <x:f>IF(A766="","",F766-G766)</x:f>
      </x:c>
      <x:c r="I766" s="77" t="str">
        <x:f>IF(A766="","",IF(E766="","기타/불명",IF(IFERROR(SEARCH("급여",E766),0)&gt;0,"인건비",IF(IFERROR(SEARCH("임차",E766),0)&gt;0,"임차·시설",IF(IFERROR(SEARCH("광고",E766),0)&gt;0,"광고·행사",IF(IFERROR(SEARCH("용역",E766),0)&gt;0,"용역·수수료","기타/불명"))))))</x:f>
      </x:c>
      <x:c r="J766" s="77" t="str">
        <x:f>IF(A766="","",IF(I766="기타/불명","확인 필요","결의서명으로 1차 확인"))</x:f>
      </x:c>
      <x:c r="K766" s="78"/>
    </x:row>
    <x:row r="767">
      <x:c r="A767" s="73"/>
      <x:c r="B767" s="73"/>
      <x:c r="C767" s="74"/>
      <x:c r="D767" s="73"/>
      <x:c r="E767" s="73"/>
      <x:c r="F767" s="75"/>
      <x:c r="G767" s="75"/>
      <x:c r="H767" s="76" t="str">
        <x:f>IF(A767="","",F767-G767)</x:f>
      </x:c>
      <x:c r="I767" s="77" t="str">
        <x:f>IF(A767="","",IF(E767="","기타/불명",IF(IFERROR(SEARCH("급여",E767),0)&gt;0,"인건비",IF(IFERROR(SEARCH("임차",E767),0)&gt;0,"임차·시설",IF(IFERROR(SEARCH("광고",E767),0)&gt;0,"광고·행사",IF(IFERROR(SEARCH("용역",E767),0)&gt;0,"용역·수수료","기타/불명"))))))</x:f>
      </x:c>
      <x:c r="J767" s="77" t="str">
        <x:f>IF(A767="","",IF(I767="기타/불명","확인 필요","결의서명으로 1차 확인"))</x:f>
      </x:c>
      <x:c r="K767" s="78"/>
    </x:row>
    <x:row r="768">
      <x:c r="A768" s="73"/>
      <x:c r="B768" s="73"/>
      <x:c r="C768" s="74"/>
      <x:c r="D768" s="73"/>
      <x:c r="E768" s="73"/>
      <x:c r="F768" s="75"/>
      <x:c r="G768" s="75"/>
      <x:c r="H768" s="76" t="str">
        <x:f>IF(A768="","",F768-G768)</x:f>
      </x:c>
      <x:c r="I768" s="77" t="str">
        <x:f>IF(A768="","",IF(E768="","기타/불명",IF(IFERROR(SEARCH("급여",E768),0)&gt;0,"인건비",IF(IFERROR(SEARCH("임차",E768),0)&gt;0,"임차·시설",IF(IFERROR(SEARCH("광고",E768),0)&gt;0,"광고·행사",IF(IFERROR(SEARCH("용역",E768),0)&gt;0,"용역·수수료","기타/불명"))))))</x:f>
      </x:c>
      <x:c r="J768" s="77" t="str">
        <x:f>IF(A768="","",IF(I768="기타/불명","확인 필요","결의서명으로 1차 확인"))</x:f>
      </x:c>
      <x:c r="K768" s="78"/>
    </x:row>
    <x:row r="769">
      <x:c r="A769" s="73"/>
      <x:c r="B769" s="73"/>
      <x:c r="C769" s="74"/>
      <x:c r="D769" s="73"/>
      <x:c r="E769" s="73"/>
      <x:c r="F769" s="75"/>
      <x:c r="G769" s="75"/>
      <x:c r="H769" s="76" t="str">
        <x:f>IF(A769="","",F769-G769)</x:f>
      </x:c>
      <x:c r="I769" s="77" t="str">
        <x:f>IF(A769="","",IF(E769="","기타/불명",IF(IFERROR(SEARCH("급여",E769),0)&gt;0,"인건비",IF(IFERROR(SEARCH("임차",E769),0)&gt;0,"임차·시설",IF(IFERROR(SEARCH("광고",E769),0)&gt;0,"광고·행사",IF(IFERROR(SEARCH("용역",E769),0)&gt;0,"용역·수수료","기타/불명"))))))</x:f>
      </x:c>
      <x:c r="J769" s="77" t="str">
        <x:f>IF(A769="","",IF(I769="기타/불명","확인 필요","결의서명으로 1차 확인"))</x:f>
      </x:c>
      <x:c r="K769" s="78"/>
    </x:row>
    <x:row r="770">
      <x:c r="A770" s="73"/>
      <x:c r="B770" s="73"/>
      <x:c r="C770" s="74"/>
      <x:c r="D770" s="73"/>
      <x:c r="E770" s="73"/>
      <x:c r="F770" s="75"/>
      <x:c r="G770" s="75"/>
      <x:c r="H770" s="76" t="str">
        <x:f>IF(A770="","",F770-G770)</x:f>
      </x:c>
      <x:c r="I770" s="77" t="str">
        <x:f>IF(A770="","",IF(E770="","기타/불명",IF(IFERROR(SEARCH("급여",E770),0)&gt;0,"인건비",IF(IFERROR(SEARCH("임차",E770),0)&gt;0,"임차·시설",IF(IFERROR(SEARCH("광고",E770),0)&gt;0,"광고·행사",IF(IFERROR(SEARCH("용역",E770),0)&gt;0,"용역·수수료","기타/불명"))))))</x:f>
      </x:c>
      <x:c r="J770" s="77" t="str">
        <x:f>IF(A770="","",IF(I770="기타/불명","확인 필요","결의서명으로 1차 확인"))</x:f>
      </x:c>
      <x:c r="K770" s="78"/>
    </x:row>
    <x:row r="771">
      <x:c r="A771" s="73"/>
      <x:c r="B771" s="73"/>
      <x:c r="C771" s="74"/>
      <x:c r="D771" s="73"/>
      <x:c r="E771" s="73"/>
      <x:c r="F771" s="75"/>
      <x:c r="G771" s="75"/>
      <x:c r="H771" s="76" t="str">
        <x:f>IF(A771="","",F771-G771)</x:f>
      </x:c>
      <x:c r="I771" s="77" t="str">
        <x:f>IF(A771="","",IF(E771="","기타/불명",IF(IFERROR(SEARCH("급여",E771),0)&gt;0,"인건비",IF(IFERROR(SEARCH("임차",E771),0)&gt;0,"임차·시설",IF(IFERROR(SEARCH("광고",E771),0)&gt;0,"광고·행사",IF(IFERROR(SEARCH("용역",E771),0)&gt;0,"용역·수수료","기타/불명"))))))</x:f>
      </x:c>
      <x:c r="J771" s="77" t="str">
        <x:f>IF(A771="","",IF(I771="기타/불명","확인 필요","결의서명으로 1차 확인"))</x:f>
      </x:c>
      <x:c r="K771" s="78"/>
    </x:row>
    <x:row r="772">
      <x:c r="A772" s="73"/>
      <x:c r="B772" s="73"/>
      <x:c r="C772" s="74"/>
      <x:c r="D772" s="73"/>
      <x:c r="E772" s="73"/>
      <x:c r="F772" s="75"/>
      <x:c r="G772" s="75"/>
      <x:c r="H772" s="76" t="str">
        <x:f>IF(A772="","",F772-G772)</x:f>
      </x:c>
      <x:c r="I772" s="77" t="str">
        <x:f>IF(A772="","",IF(E772="","기타/불명",IF(IFERROR(SEARCH("급여",E772),0)&gt;0,"인건비",IF(IFERROR(SEARCH("임차",E772),0)&gt;0,"임차·시설",IF(IFERROR(SEARCH("광고",E772),0)&gt;0,"광고·행사",IF(IFERROR(SEARCH("용역",E772),0)&gt;0,"용역·수수료","기타/불명"))))))</x:f>
      </x:c>
      <x:c r="J772" s="77" t="str">
        <x:f>IF(A772="","",IF(I772="기타/불명","확인 필요","결의서명으로 1차 확인"))</x:f>
      </x:c>
      <x:c r="K772" s="78"/>
    </x:row>
    <x:row r="773">
      <x:c r="A773" s="73"/>
      <x:c r="B773" s="73"/>
      <x:c r="C773" s="74"/>
      <x:c r="D773" s="73"/>
      <x:c r="E773" s="73"/>
      <x:c r="F773" s="75"/>
      <x:c r="G773" s="75"/>
      <x:c r="H773" s="76" t="str">
        <x:f>IF(A773="","",F773-G773)</x:f>
      </x:c>
      <x:c r="I773" s="77" t="str">
        <x:f>IF(A773="","",IF(E773="","기타/불명",IF(IFERROR(SEARCH("급여",E773),0)&gt;0,"인건비",IF(IFERROR(SEARCH("임차",E773),0)&gt;0,"임차·시설",IF(IFERROR(SEARCH("광고",E773),0)&gt;0,"광고·행사",IF(IFERROR(SEARCH("용역",E773),0)&gt;0,"용역·수수료","기타/불명"))))))</x:f>
      </x:c>
      <x:c r="J773" s="77" t="str">
        <x:f>IF(A773="","",IF(I773="기타/불명","확인 필요","결의서명으로 1차 확인"))</x:f>
      </x:c>
      <x:c r="K773" s="78"/>
    </x:row>
    <x:row r="774">
      <x:c r="A774" s="73"/>
      <x:c r="B774" s="73"/>
      <x:c r="C774" s="74"/>
      <x:c r="D774" s="73"/>
      <x:c r="E774" s="73"/>
      <x:c r="F774" s="75"/>
      <x:c r="G774" s="75"/>
      <x:c r="H774" s="76" t="str">
        <x:f>IF(A774="","",F774-G774)</x:f>
      </x:c>
      <x:c r="I774" s="77" t="str">
        <x:f>IF(A774="","",IF(E774="","기타/불명",IF(IFERROR(SEARCH("급여",E774),0)&gt;0,"인건비",IF(IFERROR(SEARCH("임차",E774),0)&gt;0,"임차·시설",IF(IFERROR(SEARCH("광고",E774),0)&gt;0,"광고·행사",IF(IFERROR(SEARCH("용역",E774),0)&gt;0,"용역·수수료","기타/불명"))))))</x:f>
      </x:c>
      <x:c r="J774" s="77" t="str">
        <x:f>IF(A774="","",IF(I774="기타/불명","확인 필요","결의서명으로 1차 확인"))</x:f>
      </x:c>
      <x:c r="K774" s="78"/>
    </x:row>
    <x:row r="775">
      <x:c r="A775" s="73"/>
      <x:c r="B775" s="73"/>
      <x:c r="C775" s="74"/>
      <x:c r="D775" s="73"/>
      <x:c r="E775" s="73"/>
      <x:c r="F775" s="75"/>
      <x:c r="G775" s="75"/>
      <x:c r="H775" s="76" t="str">
        <x:f>IF(A775="","",F775-G775)</x:f>
      </x:c>
      <x:c r="I775" s="77" t="str">
        <x:f>IF(A775="","",IF(E775="","기타/불명",IF(IFERROR(SEARCH("급여",E775),0)&gt;0,"인건비",IF(IFERROR(SEARCH("임차",E775),0)&gt;0,"임차·시설",IF(IFERROR(SEARCH("광고",E775),0)&gt;0,"광고·행사",IF(IFERROR(SEARCH("용역",E775),0)&gt;0,"용역·수수료","기타/불명"))))))</x:f>
      </x:c>
      <x:c r="J775" s="77" t="str">
        <x:f>IF(A775="","",IF(I775="기타/불명","확인 필요","결의서명으로 1차 확인"))</x:f>
      </x:c>
      <x:c r="K775" s="78"/>
    </x:row>
    <x:row r="776">
      <x:c r="A776" s="73"/>
      <x:c r="B776" s="73"/>
      <x:c r="C776" s="74"/>
      <x:c r="D776" s="73"/>
      <x:c r="E776" s="73"/>
      <x:c r="F776" s="75"/>
      <x:c r="G776" s="75"/>
      <x:c r="H776" s="76" t="str">
        <x:f>IF(A776="","",F776-G776)</x:f>
      </x:c>
      <x:c r="I776" s="77" t="str">
        <x:f>IF(A776="","",IF(E776="","기타/불명",IF(IFERROR(SEARCH("급여",E776),0)&gt;0,"인건비",IF(IFERROR(SEARCH("임차",E776),0)&gt;0,"임차·시설",IF(IFERROR(SEARCH("광고",E776),0)&gt;0,"광고·행사",IF(IFERROR(SEARCH("용역",E776),0)&gt;0,"용역·수수료","기타/불명"))))))</x:f>
      </x:c>
      <x:c r="J776" s="77" t="str">
        <x:f>IF(A776="","",IF(I776="기타/불명","확인 필요","결의서명으로 1차 확인"))</x:f>
      </x:c>
      <x:c r="K776" s="78"/>
    </x:row>
    <x:row r="777">
      <x:c r="A777" s="73"/>
      <x:c r="B777" s="73"/>
      <x:c r="C777" s="74"/>
      <x:c r="D777" s="73"/>
      <x:c r="E777" s="73"/>
      <x:c r="F777" s="75"/>
      <x:c r="G777" s="75"/>
      <x:c r="H777" s="76" t="str">
        <x:f>IF(A777="","",F777-G777)</x:f>
      </x:c>
      <x:c r="I777" s="77" t="str">
        <x:f>IF(A777="","",IF(E777="","기타/불명",IF(IFERROR(SEARCH("급여",E777),0)&gt;0,"인건비",IF(IFERROR(SEARCH("임차",E777),0)&gt;0,"임차·시설",IF(IFERROR(SEARCH("광고",E777),0)&gt;0,"광고·행사",IF(IFERROR(SEARCH("용역",E777),0)&gt;0,"용역·수수료","기타/불명"))))))</x:f>
      </x:c>
      <x:c r="J777" s="77" t="str">
        <x:f>IF(A777="","",IF(I777="기타/불명","확인 필요","결의서명으로 1차 확인"))</x:f>
      </x:c>
      <x:c r="K777" s="78"/>
    </x:row>
    <x:row r="778">
      <x:c r="A778" s="73"/>
      <x:c r="B778" s="73"/>
      <x:c r="C778" s="74"/>
      <x:c r="D778" s="73"/>
      <x:c r="E778" s="73"/>
      <x:c r="F778" s="75"/>
      <x:c r="G778" s="75"/>
      <x:c r="H778" s="76" t="str">
        <x:f>IF(A778="","",F778-G778)</x:f>
      </x:c>
      <x:c r="I778" s="77" t="str">
        <x:f>IF(A778="","",IF(E778="","기타/불명",IF(IFERROR(SEARCH("급여",E778),0)&gt;0,"인건비",IF(IFERROR(SEARCH("임차",E778),0)&gt;0,"임차·시설",IF(IFERROR(SEARCH("광고",E778),0)&gt;0,"광고·행사",IF(IFERROR(SEARCH("용역",E778),0)&gt;0,"용역·수수료","기타/불명"))))))</x:f>
      </x:c>
      <x:c r="J778" s="77" t="str">
        <x:f>IF(A778="","",IF(I778="기타/불명","확인 필요","결의서명으로 1차 확인"))</x:f>
      </x:c>
      <x:c r="K778" s="78"/>
    </x:row>
    <x:row r="779">
      <x:c r="A779" s="73"/>
      <x:c r="B779" s="73"/>
      <x:c r="C779" s="74"/>
      <x:c r="D779" s="73"/>
      <x:c r="E779" s="73"/>
      <x:c r="F779" s="75"/>
      <x:c r="G779" s="75"/>
      <x:c r="H779" s="76" t="str">
        <x:f>IF(A779="","",F779-G779)</x:f>
      </x:c>
      <x:c r="I779" s="77" t="str">
        <x:f>IF(A779="","",IF(E779="","기타/불명",IF(IFERROR(SEARCH("급여",E779),0)&gt;0,"인건비",IF(IFERROR(SEARCH("임차",E779),0)&gt;0,"임차·시설",IF(IFERROR(SEARCH("광고",E779),0)&gt;0,"광고·행사",IF(IFERROR(SEARCH("용역",E779),0)&gt;0,"용역·수수료","기타/불명"))))))</x:f>
      </x:c>
      <x:c r="J779" s="77" t="str">
        <x:f>IF(A779="","",IF(I779="기타/불명","확인 필요","결의서명으로 1차 확인"))</x:f>
      </x:c>
      <x:c r="K779" s="78"/>
    </x:row>
    <x:row r="780">
      <x:c r="A780" s="73"/>
      <x:c r="B780" s="73"/>
      <x:c r="C780" s="74"/>
      <x:c r="D780" s="73"/>
      <x:c r="E780" s="73"/>
      <x:c r="F780" s="75"/>
      <x:c r="G780" s="75"/>
      <x:c r="H780" s="76" t="str">
        <x:f>IF(A780="","",F780-G780)</x:f>
      </x:c>
      <x:c r="I780" s="77" t="str">
        <x:f>IF(A780="","",IF(E780="","기타/불명",IF(IFERROR(SEARCH("급여",E780),0)&gt;0,"인건비",IF(IFERROR(SEARCH("임차",E780),0)&gt;0,"임차·시설",IF(IFERROR(SEARCH("광고",E780),0)&gt;0,"광고·행사",IF(IFERROR(SEARCH("용역",E780),0)&gt;0,"용역·수수료","기타/불명"))))))</x:f>
      </x:c>
      <x:c r="J780" s="77" t="str">
        <x:f>IF(A780="","",IF(I780="기타/불명","확인 필요","결의서명으로 1차 확인"))</x:f>
      </x:c>
      <x:c r="K780" s="78"/>
    </x:row>
    <x:row r="781">
      <x:c r="A781" s="73"/>
      <x:c r="B781" s="73"/>
      <x:c r="C781" s="74"/>
      <x:c r="D781" s="73"/>
      <x:c r="E781" s="73"/>
      <x:c r="F781" s="75"/>
      <x:c r="G781" s="75"/>
      <x:c r="H781" s="76" t="str">
        <x:f>IF(A781="","",F781-G781)</x:f>
      </x:c>
      <x:c r="I781" s="77" t="str">
        <x:f>IF(A781="","",IF(E781="","기타/불명",IF(IFERROR(SEARCH("급여",E781),0)&gt;0,"인건비",IF(IFERROR(SEARCH("임차",E781),0)&gt;0,"임차·시설",IF(IFERROR(SEARCH("광고",E781),0)&gt;0,"광고·행사",IF(IFERROR(SEARCH("용역",E781),0)&gt;0,"용역·수수료","기타/불명"))))))</x:f>
      </x:c>
      <x:c r="J781" s="77" t="str">
        <x:f>IF(A781="","",IF(I781="기타/불명","확인 필요","결의서명으로 1차 확인"))</x:f>
      </x:c>
      <x:c r="K781" s="78"/>
    </x:row>
    <x:row r="782">
      <x:c r="A782" s="73"/>
      <x:c r="B782" s="73"/>
      <x:c r="C782" s="74"/>
      <x:c r="D782" s="73"/>
      <x:c r="E782" s="73"/>
      <x:c r="F782" s="75"/>
      <x:c r="G782" s="75"/>
      <x:c r="H782" s="76" t="str">
        <x:f>IF(A782="","",F782-G782)</x:f>
      </x:c>
      <x:c r="I782" s="77" t="str">
        <x:f>IF(A782="","",IF(E782="","기타/불명",IF(IFERROR(SEARCH("급여",E782),0)&gt;0,"인건비",IF(IFERROR(SEARCH("임차",E782),0)&gt;0,"임차·시설",IF(IFERROR(SEARCH("광고",E782),0)&gt;0,"광고·행사",IF(IFERROR(SEARCH("용역",E782),0)&gt;0,"용역·수수료","기타/불명"))))))</x:f>
      </x:c>
      <x:c r="J782" s="77" t="str">
        <x:f>IF(A782="","",IF(I782="기타/불명","확인 필요","결의서명으로 1차 확인"))</x:f>
      </x:c>
      <x:c r="K782" s="78"/>
    </x:row>
    <x:row r="783">
      <x:c r="A783" s="73"/>
      <x:c r="B783" s="73"/>
      <x:c r="C783" s="74"/>
      <x:c r="D783" s="73"/>
      <x:c r="E783" s="73"/>
      <x:c r="F783" s="75"/>
      <x:c r="G783" s="75"/>
      <x:c r="H783" s="76" t="str">
        <x:f>IF(A783="","",F783-G783)</x:f>
      </x:c>
      <x:c r="I783" s="77" t="str">
        <x:f>IF(A783="","",IF(E783="","기타/불명",IF(IFERROR(SEARCH("급여",E783),0)&gt;0,"인건비",IF(IFERROR(SEARCH("임차",E783),0)&gt;0,"임차·시설",IF(IFERROR(SEARCH("광고",E783),0)&gt;0,"광고·행사",IF(IFERROR(SEARCH("용역",E783),0)&gt;0,"용역·수수료","기타/불명"))))))</x:f>
      </x:c>
      <x:c r="J783" s="77" t="str">
        <x:f>IF(A783="","",IF(I783="기타/불명","확인 필요","결의서명으로 1차 확인"))</x:f>
      </x:c>
      <x:c r="K783" s="78"/>
    </x:row>
    <x:row r="784">
      <x:c r="A784" s="73"/>
      <x:c r="B784" s="73"/>
      <x:c r="C784" s="74"/>
      <x:c r="D784" s="73"/>
      <x:c r="E784" s="73"/>
      <x:c r="F784" s="75"/>
      <x:c r="G784" s="75"/>
      <x:c r="H784" s="76" t="str">
        <x:f>IF(A784="","",F784-G784)</x:f>
      </x:c>
      <x:c r="I784" s="77" t="str">
        <x:f>IF(A784="","",IF(E784="","기타/불명",IF(IFERROR(SEARCH("급여",E784),0)&gt;0,"인건비",IF(IFERROR(SEARCH("임차",E784),0)&gt;0,"임차·시설",IF(IFERROR(SEARCH("광고",E784),0)&gt;0,"광고·행사",IF(IFERROR(SEARCH("용역",E784),0)&gt;0,"용역·수수료","기타/불명"))))))</x:f>
      </x:c>
      <x:c r="J784" s="77" t="str">
        <x:f>IF(A784="","",IF(I784="기타/불명","확인 필요","결의서명으로 1차 확인"))</x:f>
      </x:c>
      <x:c r="K784" s="78"/>
    </x:row>
    <x:row r="785">
      <x:c r="A785" s="73"/>
      <x:c r="B785" s="73"/>
      <x:c r="C785" s="74"/>
      <x:c r="D785" s="73"/>
      <x:c r="E785" s="73"/>
      <x:c r="F785" s="75"/>
      <x:c r="G785" s="75"/>
      <x:c r="H785" s="76" t="str">
        <x:f>IF(A785="","",F785-G785)</x:f>
      </x:c>
      <x:c r="I785" s="77" t="str">
        <x:f>IF(A785="","",IF(E785="","기타/불명",IF(IFERROR(SEARCH("급여",E785),0)&gt;0,"인건비",IF(IFERROR(SEARCH("임차",E785),0)&gt;0,"임차·시설",IF(IFERROR(SEARCH("광고",E785),0)&gt;0,"광고·행사",IF(IFERROR(SEARCH("용역",E785),0)&gt;0,"용역·수수료","기타/불명"))))))</x:f>
      </x:c>
      <x:c r="J785" s="77" t="str">
        <x:f>IF(A785="","",IF(I785="기타/불명","확인 필요","결의서명으로 1차 확인"))</x:f>
      </x:c>
      <x:c r="K785" s="78"/>
    </x:row>
    <x:row r="786">
      <x:c r="A786" s="73"/>
      <x:c r="B786" s="73"/>
      <x:c r="C786" s="74"/>
      <x:c r="D786" s="73"/>
      <x:c r="E786" s="73"/>
      <x:c r="F786" s="75"/>
      <x:c r="G786" s="75"/>
      <x:c r="H786" s="76" t="str">
        <x:f>IF(A786="","",F786-G786)</x:f>
      </x:c>
      <x:c r="I786" s="77" t="str">
        <x:f>IF(A786="","",IF(E786="","기타/불명",IF(IFERROR(SEARCH("급여",E786),0)&gt;0,"인건비",IF(IFERROR(SEARCH("임차",E786),0)&gt;0,"임차·시설",IF(IFERROR(SEARCH("광고",E786),0)&gt;0,"광고·행사",IF(IFERROR(SEARCH("용역",E786),0)&gt;0,"용역·수수료","기타/불명"))))))</x:f>
      </x:c>
      <x:c r="J786" s="77" t="str">
        <x:f>IF(A786="","",IF(I786="기타/불명","확인 필요","결의서명으로 1차 확인"))</x:f>
      </x:c>
      <x:c r="K786" s="78"/>
    </x:row>
    <x:row r="787">
      <x:c r="A787" s="73"/>
      <x:c r="B787" s="73"/>
      <x:c r="C787" s="74"/>
      <x:c r="D787" s="73"/>
      <x:c r="E787" s="73"/>
      <x:c r="F787" s="75"/>
      <x:c r="G787" s="75"/>
      <x:c r="H787" s="76" t="str">
        <x:f>IF(A787="","",F787-G787)</x:f>
      </x:c>
      <x:c r="I787" s="77" t="str">
        <x:f>IF(A787="","",IF(E787="","기타/불명",IF(IFERROR(SEARCH("급여",E787),0)&gt;0,"인건비",IF(IFERROR(SEARCH("임차",E787),0)&gt;0,"임차·시설",IF(IFERROR(SEARCH("광고",E787),0)&gt;0,"광고·행사",IF(IFERROR(SEARCH("용역",E787),0)&gt;0,"용역·수수료","기타/불명"))))))</x:f>
      </x:c>
      <x:c r="J787" s="77" t="str">
        <x:f>IF(A787="","",IF(I787="기타/불명","확인 필요","결의서명으로 1차 확인"))</x:f>
      </x:c>
      <x:c r="K787" s="78"/>
    </x:row>
    <x:row r="788">
      <x:c r="A788" s="73"/>
      <x:c r="B788" s="73"/>
      <x:c r="C788" s="74"/>
      <x:c r="D788" s="73"/>
      <x:c r="E788" s="73"/>
      <x:c r="F788" s="75"/>
      <x:c r="G788" s="75"/>
      <x:c r="H788" s="76" t="str">
        <x:f>IF(A788="","",F788-G788)</x:f>
      </x:c>
      <x:c r="I788" s="77" t="str">
        <x:f>IF(A788="","",IF(E788="","기타/불명",IF(IFERROR(SEARCH("급여",E788),0)&gt;0,"인건비",IF(IFERROR(SEARCH("임차",E788),0)&gt;0,"임차·시설",IF(IFERROR(SEARCH("광고",E788),0)&gt;0,"광고·행사",IF(IFERROR(SEARCH("용역",E788),0)&gt;0,"용역·수수료","기타/불명"))))))</x:f>
      </x:c>
      <x:c r="J788" s="77" t="str">
        <x:f>IF(A788="","",IF(I788="기타/불명","확인 필요","결의서명으로 1차 확인"))</x:f>
      </x:c>
      <x:c r="K788" s="78"/>
    </x:row>
    <x:row r="789">
      <x:c r="A789" s="73"/>
      <x:c r="B789" s="73"/>
      <x:c r="C789" s="74"/>
      <x:c r="D789" s="73"/>
      <x:c r="E789" s="73"/>
      <x:c r="F789" s="75"/>
      <x:c r="G789" s="75"/>
      <x:c r="H789" s="76" t="str">
        <x:f>IF(A789="","",F789-G789)</x:f>
      </x:c>
      <x:c r="I789" s="77" t="str">
        <x:f>IF(A789="","",IF(E789="","기타/불명",IF(IFERROR(SEARCH("급여",E789),0)&gt;0,"인건비",IF(IFERROR(SEARCH("임차",E789),0)&gt;0,"임차·시설",IF(IFERROR(SEARCH("광고",E789),0)&gt;0,"광고·행사",IF(IFERROR(SEARCH("용역",E789),0)&gt;0,"용역·수수료","기타/불명"))))))</x:f>
      </x:c>
      <x:c r="J789" s="77" t="str">
        <x:f>IF(A789="","",IF(I789="기타/불명","확인 필요","결의서명으로 1차 확인"))</x:f>
      </x:c>
      <x:c r="K789" s="78"/>
    </x:row>
    <x:row r="790">
      <x:c r="A790" s="73"/>
      <x:c r="B790" s="73"/>
      <x:c r="C790" s="74"/>
      <x:c r="D790" s="73"/>
      <x:c r="E790" s="73"/>
      <x:c r="F790" s="75"/>
      <x:c r="G790" s="75"/>
      <x:c r="H790" s="76" t="str">
        <x:f>IF(A790="","",F790-G790)</x:f>
      </x:c>
      <x:c r="I790" s="77" t="str">
        <x:f>IF(A790="","",IF(E790="","기타/불명",IF(IFERROR(SEARCH("급여",E790),0)&gt;0,"인건비",IF(IFERROR(SEARCH("임차",E790),0)&gt;0,"임차·시설",IF(IFERROR(SEARCH("광고",E790),0)&gt;0,"광고·행사",IF(IFERROR(SEARCH("용역",E790),0)&gt;0,"용역·수수료","기타/불명"))))))</x:f>
      </x:c>
      <x:c r="J790" s="77" t="str">
        <x:f>IF(A790="","",IF(I790="기타/불명","확인 필요","결의서명으로 1차 확인"))</x:f>
      </x:c>
      <x:c r="K790" s="78"/>
    </x:row>
    <x:row r="791">
      <x:c r="A791" s="73"/>
      <x:c r="B791" s="73"/>
      <x:c r="C791" s="74"/>
      <x:c r="D791" s="73"/>
      <x:c r="E791" s="73"/>
      <x:c r="F791" s="75"/>
      <x:c r="G791" s="75"/>
      <x:c r="H791" s="76" t="str">
        <x:f>IF(A791="","",F791-G791)</x:f>
      </x:c>
      <x:c r="I791" s="77" t="str">
        <x:f>IF(A791="","",IF(E791="","기타/불명",IF(IFERROR(SEARCH("급여",E791),0)&gt;0,"인건비",IF(IFERROR(SEARCH("임차",E791),0)&gt;0,"임차·시설",IF(IFERROR(SEARCH("광고",E791),0)&gt;0,"광고·행사",IF(IFERROR(SEARCH("용역",E791),0)&gt;0,"용역·수수료","기타/불명"))))))</x:f>
      </x:c>
      <x:c r="J791" s="77" t="str">
        <x:f>IF(A791="","",IF(I791="기타/불명","확인 필요","결의서명으로 1차 확인"))</x:f>
      </x:c>
      <x:c r="K791" s="78"/>
    </x:row>
    <x:row r="792">
      <x:c r="A792" s="73"/>
      <x:c r="B792" s="73"/>
      <x:c r="C792" s="74"/>
      <x:c r="D792" s="73"/>
      <x:c r="E792" s="73"/>
      <x:c r="F792" s="75"/>
      <x:c r="G792" s="75"/>
      <x:c r="H792" s="76" t="str">
        <x:f>IF(A792="","",F792-G792)</x:f>
      </x:c>
      <x:c r="I792" s="77" t="str">
        <x:f>IF(A792="","",IF(E792="","기타/불명",IF(IFERROR(SEARCH("급여",E792),0)&gt;0,"인건비",IF(IFERROR(SEARCH("임차",E792),0)&gt;0,"임차·시설",IF(IFERROR(SEARCH("광고",E792),0)&gt;0,"광고·행사",IF(IFERROR(SEARCH("용역",E792),0)&gt;0,"용역·수수료","기타/불명"))))))</x:f>
      </x:c>
      <x:c r="J792" s="77" t="str">
        <x:f>IF(A792="","",IF(I792="기타/불명","확인 필요","결의서명으로 1차 확인"))</x:f>
      </x:c>
      <x:c r="K792" s="78"/>
    </x:row>
    <x:row r="793">
      <x:c r="A793" s="73"/>
      <x:c r="B793" s="73"/>
      <x:c r="C793" s="74"/>
      <x:c r="D793" s="73"/>
      <x:c r="E793" s="73"/>
      <x:c r="F793" s="75"/>
      <x:c r="G793" s="75"/>
      <x:c r="H793" s="76" t="str">
        <x:f>IF(A793="","",F793-G793)</x:f>
      </x:c>
      <x:c r="I793" s="77" t="str">
        <x:f>IF(A793="","",IF(E793="","기타/불명",IF(IFERROR(SEARCH("급여",E793),0)&gt;0,"인건비",IF(IFERROR(SEARCH("임차",E793),0)&gt;0,"임차·시설",IF(IFERROR(SEARCH("광고",E793),0)&gt;0,"광고·행사",IF(IFERROR(SEARCH("용역",E793),0)&gt;0,"용역·수수료","기타/불명"))))))</x:f>
      </x:c>
      <x:c r="J793" s="77" t="str">
        <x:f>IF(A793="","",IF(I793="기타/불명","확인 필요","결의서명으로 1차 확인"))</x:f>
      </x:c>
      <x:c r="K793" s="78"/>
    </x:row>
    <x:row r="794">
      <x:c r="A794" s="73"/>
      <x:c r="B794" s="73"/>
      <x:c r="C794" s="74"/>
      <x:c r="D794" s="73"/>
      <x:c r="E794" s="73"/>
      <x:c r="F794" s="75"/>
      <x:c r="G794" s="75"/>
      <x:c r="H794" s="76" t="str">
        <x:f>IF(A794="","",F794-G794)</x:f>
      </x:c>
      <x:c r="I794" s="77" t="str">
        <x:f>IF(A794="","",IF(E794="","기타/불명",IF(IFERROR(SEARCH("급여",E794),0)&gt;0,"인건비",IF(IFERROR(SEARCH("임차",E794),0)&gt;0,"임차·시설",IF(IFERROR(SEARCH("광고",E794),0)&gt;0,"광고·행사",IF(IFERROR(SEARCH("용역",E794),0)&gt;0,"용역·수수료","기타/불명"))))))</x:f>
      </x:c>
      <x:c r="J794" s="77" t="str">
        <x:f>IF(A794="","",IF(I794="기타/불명","확인 필요","결의서명으로 1차 확인"))</x:f>
      </x:c>
      <x:c r="K794" s="78"/>
    </x:row>
    <x:row r="795">
      <x:c r="A795" s="73"/>
      <x:c r="B795" s="73"/>
      <x:c r="C795" s="74"/>
      <x:c r="D795" s="73"/>
      <x:c r="E795" s="73"/>
      <x:c r="F795" s="75"/>
      <x:c r="G795" s="75"/>
      <x:c r="H795" s="76" t="str">
        <x:f>IF(A795="","",F795-G795)</x:f>
      </x:c>
      <x:c r="I795" s="77" t="str">
        <x:f>IF(A795="","",IF(E795="","기타/불명",IF(IFERROR(SEARCH("급여",E795),0)&gt;0,"인건비",IF(IFERROR(SEARCH("임차",E795),0)&gt;0,"임차·시설",IF(IFERROR(SEARCH("광고",E795),0)&gt;0,"광고·행사",IF(IFERROR(SEARCH("용역",E795),0)&gt;0,"용역·수수료","기타/불명"))))))</x:f>
      </x:c>
      <x:c r="J795" s="77" t="str">
        <x:f>IF(A795="","",IF(I795="기타/불명","확인 필요","결의서명으로 1차 확인"))</x:f>
      </x:c>
      <x:c r="K795" s="78"/>
    </x:row>
    <x:row r="796">
      <x:c r="A796" s="73"/>
      <x:c r="B796" s="73"/>
      <x:c r="C796" s="74"/>
      <x:c r="D796" s="73"/>
      <x:c r="E796" s="73"/>
      <x:c r="F796" s="75"/>
      <x:c r="G796" s="75"/>
      <x:c r="H796" s="76" t="str">
        <x:f>IF(A796="","",F796-G796)</x:f>
      </x:c>
      <x:c r="I796" s="77" t="str">
        <x:f>IF(A796="","",IF(E796="","기타/불명",IF(IFERROR(SEARCH("급여",E796),0)&gt;0,"인건비",IF(IFERROR(SEARCH("임차",E796),0)&gt;0,"임차·시설",IF(IFERROR(SEARCH("광고",E796),0)&gt;0,"광고·행사",IF(IFERROR(SEARCH("용역",E796),0)&gt;0,"용역·수수료","기타/불명"))))))</x:f>
      </x:c>
      <x:c r="J796" s="77" t="str">
        <x:f>IF(A796="","",IF(I796="기타/불명","확인 필요","결의서명으로 1차 확인"))</x:f>
      </x:c>
      <x:c r="K796" s="78"/>
    </x:row>
    <x:row r="797">
      <x:c r="A797" s="73"/>
      <x:c r="B797" s="73"/>
      <x:c r="C797" s="74"/>
      <x:c r="D797" s="73"/>
      <x:c r="E797" s="73"/>
      <x:c r="F797" s="75"/>
      <x:c r="G797" s="75"/>
      <x:c r="H797" s="76" t="str">
        <x:f>IF(A797="","",F797-G797)</x:f>
      </x:c>
      <x:c r="I797" s="77" t="str">
        <x:f>IF(A797="","",IF(E797="","기타/불명",IF(IFERROR(SEARCH("급여",E797),0)&gt;0,"인건비",IF(IFERROR(SEARCH("임차",E797),0)&gt;0,"임차·시설",IF(IFERROR(SEARCH("광고",E797),0)&gt;0,"광고·행사",IF(IFERROR(SEARCH("용역",E797),0)&gt;0,"용역·수수료","기타/불명"))))))</x:f>
      </x:c>
      <x:c r="J797" s="77" t="str">
        <x:f>IF(A797="","",IF(I797="기타/불명","확인 필요","결의서명으로 1차 확인"))</x:f>
      </x:c>
      <x:c r="K797" s="78"/>
    </x:row>
    <x:row r="798">
      <x:c r="A798" s="73"/>
      <x:c r="B798" s="73"/>
      <x:c r="C798" s="74"/>
      <x:c r="D798" s="73"/>
      <x:c r="E798" s="73"/>
      <x:c r="F798" s="75"/>
      <x:c r="G798" s="75"/>
      <x:c r="H798" s="76" t="str">
        <x:f>IF(A798="","",F798-G798)</x:f>
      </x:c>
      <x:c r="I798" s="77" t="str">
        <x:f>IF(A798="","",IF(E798="","기타/불명",IF(IFERROR(SEARCH("급여",E798),0)&gt;0,"인건비",IF(IFERROR(SEARCH("임차",E798),0)&gt;0,"임차·시설",IF(IFERROR(SEARCH("광고",E798),0)&gt;0,"광고·행사",IF(IFERROR(SEARCH("용역",E798),0)&gt;0,"용역·수수료","기타/불명"))))))</x:f>
      </x:c>
      <x:c r="J798" s="77" t="str">
        <x:f>IF(A798="","",IF(I798="기타/불명","확인 필요","결의서명으로 1차 확인"))</x:f>
      </x:c>
      <x:c r="K798" s="78"/>
    </x:row>
    <x:row r="799">
      <x:c r="A799" s="73"/>
      <x:c r="B799" s="73"/>
      <x:c r="C799" s="74"/>
      <x:c r="D799" s="73"/>
      <x:c r="E799" s="73"/>
      <x:c r="F799" s="75"/>
      <x:c r="G799" s="75"/>
      <x:c r="H799" s="76" t="str">
        <x:f>IF(A799="","",F799-G799)</x:f>
      </x:c>
      <x:c r="I799" s="77" t="str">
        <x:f>IF(A799="","",IF(E799="","기타/불명",IF(IFERROR(SEARCH("급여",E799),0)&gt;0,"인건비",IF(IFERROR(SEARCH("임차",E799),0)&gt;0,"임차·시설",IF(IFERROR(SEARCH("광고",E799),0)&gt;0,"광고·행사",IF(IFERROR(SEARCH("용역",E799),0)&gt;0,"용역·수수료","기타/불명"))))))</x:f>
      </x:c>
      <x:c r="J799" s="77" t="str">
        <x:f>IF(A799="","",IF(I799="기타/불명","확인 필요","결의서명으로 1차 확인"))</x:f>
      </x:c>
      <x:c r="K799" s="78"/>
    </x:row>
    <x:row r="800">
      <x:c r="A800" s="73"/>
      <x:c r="B800" s="73"/>
      <x:c r="C800" s="74"/>
      <x:c r="D800" s="73"/>
      <x:c r="E800" s="73"/>
      <x:c r="F800" s="75"/>
      <x:c r="G800" s="75"/>
      <x:c r="H800" s="76" t="str">
        <x:f>IF(A800="","",F800-G800)</x:f>
      </x:c>
      <x:c r="I800" s="77" t="str">
        <x:f>IF(A800="","",IF(E800="","기타/불명",IF(IFERROR(SEARCH("급여",E800),0)&gt;0,"인건비",IF(IFERROR(SEARCH("임차",E800),0)&gt;0,"임차·시설",IF(IFERROR(SEARCH("광고",E800),0)&gt;0,"광고·행사",IF(IFERROR(SEARCH("용역",E800),0)&gt;0,"용역·수수료","기타/불명"))))))</x:f>
      </x:c>
      <x:c r="J800" s="77" t="str">
        <x:f>IF(A800="","",IF(I800="기타/불명","확인 필요","결의서명으로 1차 확인"))</x:f>
      </x:c>
      <x:c r="K800" s="78"/>
    </x:row>
    <x:row r="801">
      <x:c r="A801" s="73"/>
      <x:c r="B801" s="73"/>
      <x:c r="C801" s="74"/>
      <x:c r="D801" s="73"/>
      <x:c r="E801" s="73"/>
      <x:c r="F801" s="75"/>
      <x:c r="G801" s="75"/>
      <x:c r="H801" s="76" t="str">
        <x:f>IF(A801="","",F801-G801)</x:f>
      </x:c>
      <x:c r="I801" s="77" t="str">
        <x:f>IF(A801="","",IF(E801="","기타/불명",IF(IFERROR(SEARCH("급여",E801),0)&gt;0,"인건비",IF(IFERROR(SEARCH("임차",E801),0)&gt;0,"임차·시설",IF(IFERROR(SEARCH("광고",E801),0)&gt;0,"광고·행사",IF(IFERROR(SEARCH("용역",E801),0)&gt;0,"용역·수수료","기타/불명"))))))</x:f>
      </x:c>
      <x:c r="J801" s="77" t="str">
        <x:f>IF(A801="","",IF(I801="기타/불명","확인 필요","결의서명으로 1차 확인"))</x:f>
      </x:c>
      <x:c r="K801" s="78"/>
    </x:row>
    <x:row r="802">
      <x:c r="A802" s="73"/>
      <x:c r="B802" s="73"/>
      <x:c r="C802" s="74"/>
      <x:c r="D802" s="73"/>
      <x:c r="E802" s="73"/>
      <x:c r="F802" s="75"/>
      <x:c r="G802" s="75"/>
      <x:c r="H802" s="76" t="str">
        <x:f>IF(A802="","",F802-G802)</x:f>
      </x:c>
      <x:c r="I802" s="77" t="str">
        <x:f>IF(A802="","",IF(E802="","기타/불명",IF(IFERROR(SEARCH("급여",E802),0)&gt;0,"인건비",IF(IFERROR(SEARCH("임차",E802),0)&gt;0,"임차·시설",IF(IFERROR(SEARCH("광고",E802),0)&gt;0,"광고·행사",IF(IFERROR(SEARCH("용역",E802),0)&gt;0,"용역·수수료","기타/불명"))))))</x:f>
      </x:c>
      <x:c r="J802" s="77" t="str">
        <x:f>IF(A802="","",IF(I802="기타/불명","확인 필요","결의서명으로 1차 확인"))</x:f>
      </x:c>
      <x:c r="K802" s="78"/>
    </x:row>
    <x:row r="803">
      <x:c r="A803" s="73"/>
      <x:c r="B803" s="73"/>
      <x:c r="C803" s="74"/>
      <x:c r="D803" s="73"/>
      <x:c r="E803" s="73"/>
      <x:c r="F803" s="75"/>
      <x:c r="G803" s="75"/>
      <x:c r="H803" s="76" t="str">
        <x:f>IF(A803="","",F803-G803)</x:f>
      </x:c>
      <x:c r="I803" s="77" t="str">
        <x:f>IF(A803="","",IF(E803="","기타/불명",IF(IFERROR(SEARCH("급여",E803),0)&gt;0,"인건비",IF(IFERROR(SEARCH("임차",E803),0)&gt;0,"임차·시설",IF(IFERROR(SEARCH("광고",E803),0)&gt;0,"광고·행사",IF(IFERROR(SEARCH("용역",E803),0)&gt;0,"용역·수수료","기타/불명"))))))</x:f>
      </x:c>
      <x:c r="J803" s="77" t="str">
        <x:f>IF(A803="","",IF(I803="기타/불명","확인 필요","결의서명으로 1차 확인"))</x:f>
      </x:c>
      <x:c r="K803" s="78"/>
    </x:row>
    <x:row r="804">
      <x:c r="A804" s="73"/>
      <x:c r="B804" s="73"/>
      <x:c r="C804" s="74"/>
      <x:c r="D804" s="73"/>
      <x:c r="E804" s="73"/>
      <x:c r="F804" s="75"/>
      <x:c r="G804" s="75"/>
      <x:c r="H804" s="76" t="str">
        <x:f>IF(A804="","",F804-G804)</x:f>
      </x:c>
      <x:c r="I804" s="77" t="str">
        <x:f>IF(A804="","",IF(E804="","기타/불명",IF(IFERROR(SEARCH("급여",E804),0)&gt;0,"인건비",IF(IFERROR(SEARCH("임차",E804),0)&gt;0,"임차·시설",IF(IFERROR(SEARCH("광고",E804),0)&gt;0,"광고·행사",IF(IFERROR(SEARCH("용역",E804),0)&gt;0,"용역·수수료","기타/불명"))))))</x:f>
      </x:c>
      <x:c r="J804" s="77" t="str">
        <x:f>IF(A804="","",IF(I804="기타/불명","확인 필요","결의서명으로 1차 확인"))</x:f>
      </x:c>
      <x:c r="K804" s="78"/>
    </x:row>
    <x:row r="805">
      <x:c r="A805" s="73"/>
      <x:c r="B805" s="73"/>
      <x:c r="C805" s="74"/>
      <x:c r="D805" s="73"/>
      <x:c r="E805" s="73"/>
      <x:c r="F805" s="75"/>
      <x:c r="G805" s="75"/>
      <x:c r="H805" s="76" t="str">
        <x:f>IF(A805="","",F805-G805)</x:f>
      </x:c>
      <x:c r="I805" s="77" t="str">
        <x:f>IF(A805="","",IF(E805="","기타/불명",IF(IFERROR(SEARCH("급여",E805),0)&gt;0,"인건비",IF(IFERROR(SEARCH("임차",E805),0)&gt;0,"임차·시설",IF(IFERROR(SEARCH("광고",E805),0)&gt;0,"광고·행사",IF(IFERROR(SEARCH("용역",E805),0)&gt;0,"용역·수수료","기타/불명"))))))</x:f>
      </x:c>
      <x:c r="J805" s="77" t="str">
        <x:f>IF(A805="","",IF(I805="기타/불명","확인 필요","결의서명으로 1차 확인"))</x:f>
      </x:c>
      <x:c r="K805" s="78"/>
    </x:row>
    <x:row r="806">
      <x:c r="A806" s="73"/>
      <x:c r="B806" s="73"/>
      <x:c r="C806" s="74"/>
      <x:c r="D806" s="73"/>
      <x:c r="E806" s="73"/>
      <x:c r="F806" s="75"/>
      <x:c r="G806" s="75"/>
      <x:c r="H806" s="76" t="str">
        <x:f>IF(A806="","",F806-G806)</x:f>
      </x:c>
      <x:c r="I806" s="77" t="str">
        <x:f>IF(A806="","",IF(E806="","기타/불명",IF(IFERROR(SEARCH("급여",E806),0)&gt;0,"인건비",IF(IFERROR(SEARCH("임차",E806),0)&gt;0,"임차·시설",IF(IFERROR(SEARCH("광고",E806),0)&gt;0,"광고·행사",IF(IFERROR(SEARCH("용역",E806),0)&gt;0,"용역·수수료","기타/불명"))))))</x:f>
      </x:c>
      <x:c r="J806" s="77" t="str">
        <x:f>IF(A806="","",IF(I806="기타/불명","확인 필요","결의서명으로 1차 확인"))</x:f>
      </x:c>
      <x:c r="K806" s="78"/>
    </x:row>
    <x:row r="807">
      <x:c r="A807" s="73"/>
      <x:c r="B807" s="73"/>
      <x:c r="C807" s="74"/>
      <x:c r="D807" s="73"/>
      <x:c r="E807" s="73"/>
      <x:c r="F807" s="75"/>
      <x:c r="G807" s="75"/>
      <x:c r="H807" s="76" t="str">
        <x:f>IF(A807="","",F807-G807)</x:f>
      </x:c>
      <x:c r="I807" s="77" t="str">
        <x:f>IF(A807="","",IF(E807="","기타/불명",IF(IFERROR(SEARCH("급여",E807),0)&gt;0,"인건비",IF(IFERROR(SEARCH("임차",E807),0)&gt;0,"임차·시설",IF(IFERROR(SEARCH("광고",E807),0)&gt;0,"광고·행사",IF(IFERROR(SEARCH("용역",E807),0)&gt;0,"용역·수수료","기타/불명"))))))</x:f>
      </x:c>
      <x:c r="J807" s="77" t="str">
        <x:f>IF(A807="","",IF(I807="기타/불명","확인 필요","결의서명으로 1차 확인"))</x:f>
      </x:c>
      <x:c r="K807" s="78"/>
    </x:row>
    <x:row r="808">
      <x:c r="A808" s="73"/>
      <x:c r="B808" s="73"/>
      <x:c r="C808" s="74"/>
      <x:c r="D808" s="73"/>
      <x:c r="E808" s="73"/>
      <x:c r="F808" s="75"/>
      <x:c r="G808" s="75"/>
      <x:c r="H808" s="76" t="str">
        <x:f>IF(A808="","",F808-G808)</x:f>
      </x:c>
      <x:c r="I808" s="77" t="str">
        <x:f>IF(A808="","",IF(E808="","기타/불명",IF(IFERROR(SEARCH("급여",E808),0)&gt;0,"인건비",IF(IFERROR(SEARCH("임차",E808),0)&gt;0,"임차·시설",IF(IFERROR(SEARCH("광고",E808),0)&gt;0,"광고·행사",IF(IFERROR(SEARCH("용역",E808),0)&gt;0,"용역·수수료","기타/불명"))))))</x:f>
      </x:c>
      <x:c r="J808" s="77" t="str">
        <x:f>IF(A808="","",IF(I808="기타/불명","확인 필요","결의서명으로 1차 확인"))</x:f>
      </x:c>
      <x:c r="K808" s="78"/>
    </x:row>
    <x:row r="809">
      <x:c r="A809" s="73"/>
      <x:c r="B809" s="73"/>
      <x:c r="C809" s="74"/>
      <x:c r="D809" s="73"/>
      <x:c r="E809" s="73"/>
      <x:c r="F809" s="75"/>
      <x:c r="G809" s="75"/>
      <x:c r="H809" s="76" t="str">
        <x:f>IF(A809="","",F809-G809)</x:f>
      </x:c>
      <x:c r="I809" s="77" t="str">
        <x:f>IF(A809="","",IF(E809="","기타/불명",IF(IFERROR(SEARCH("급여",E809),0)&gt;0,"인건비",IF(IFERROR(SEARCH("임차",E809),0)&gt;0,"임차·시설",IF(IFERROR(SEARCH("광고",E809),0)&gt;0,"광고·행사",IF(IFERROR(SEARCH("용역",E809),0)&gt;0,"용역·수수료","기타/불명"))))))</x:f>
      </x:c>
      <x:c r="J809" s="77" t="str">
        <x:f>IF(A809="","",IF(I809="기타/불명","확인 필요","결의서명으로 1차 확인"))</x:f>
      </x:c>
      <x:c r="K809" s="78"/>
    </x:row>
    <x:row r="810">
      <x:c r="A810" s="73"/>
      <x:c r="B810" s="73"/>
      <x:c r="C810" s="74"/>
      <x:c r="D810" s="73"/>
      <x:c r="E810" s="73"/>
      <x:c r="F810" s="75"/>
      <x:c r="G810" s="75"/>
      <x:c r="H810" s="76" t="str">
        <x:f>IF(A810="","",F810-G810)</x:f>
      </x:c>
      <x:c r="I810" s="77" t="str">
        <x:f>IF(A810="","",IF(E810="","기타/불명",IF(IFERROR(SEARCH("급여",E810),0)&gt;0,"인건비",IF(IFERROR(SEARCH("임차",E810),0)&gt;0,"임차·시설",IF(IFERROR(SEARCH("광고",E810),0)&gt;0,"광고·행사",IF(IFERROR(SEARCH("용역",E810),0)&gt;0,"용역·수수료","기타/불명"))))))</x:f>
      </x:c>
      <x:c r="J810" s="77" t="str">
        <x:f>IF(A810="","",IF(I810="기타/불명","확인 필요","결의서명으로 1차 확인"))</x:f>
      </x:c>
      <x:c r="K810" s="78"/>
    </x:row>
    <x:row r="811">
      <x:c r="A811" s="73"/>
      <x:c r="B811" s="73"/>
      <x:c r="C811" s="74"/>
      <x:c r="D811" s="73"/>
      <x:c r="E811" s="73"/>
      <x:c r="F811" s="75"/>
      <x:c r="G811" s="75"/>
      <x:c r="H811" s="76" t="str">
        <x:f>IF(A811="","",F811-G811)</x:f>
      </x:c>
      <x:c r="I811" s="77" t="str">
        <x:f>IF(A811="","",IF(E811="","기타/불명",IF(IFERROR(SEARCH("급여",E811),0)&gt;0,"인건비",IF(IFERROR(SEARCH("임차",E811),0)&gt;0,"임차·시설",IF(IFERROR(SEARCH("광고",E811),0)&gt;0,"광고·행사",IF(IFERROR(SEARCH("용역",E811),0)&gt;0,"용역·수수료","기타/불명"))))))</x:f>
      </x:c>
      <x:c r="J811" s="77" t="str">
        <x:f>IF(A811="","",IF(I811="기타/불명","확인 필요","결의서명으로 1차 확인"))</x:f>
      </x:c>
      <x:c r="K811" s="78"/>
    </x:row>
    <x:row r="812">
      <x:c r="A812" s="73"/>
      <x:c r="B812" s="73"/>
      <x:c r="C812" s="74"/>
      <x:c r="D812" s="73"/>
      <x:c r="E812" s="73"/>
      <x:c r="F812" s="75"/>
      <x:c r="G812" s="75"/>
      <x:c r="H812" s="76" t="str">
        <x:f>IF(A812="","",F812-G812)</x:f>
      </x:c>
      <x:c r="I812" s="77" t="str">
        <x:f>IF(A812="","",IF(E812="","기타/불명",IF(IFERROR(SEARCH("급여",E812),0)&gt;0,"인건비",IF(IFERROR(SEARCH("임차",E812),0)&gt;0,"임차·시설",IF(IFERROR(SEARCH("광고",E812),0)&gt;0,"광고·행사",IF(IFERROR(SEARCH("용역",E812),0)&gt;0,"용역·수수료","기타/불명"))))))</x:f>
      </x:c>
      <x:c r="J812" s="77" t="str">
        <x:f>IF(A812="","",IF(I812="기타/불명","확인 필요","결의서명으로 1차 확인"))</x:f>
      </x:c>
      <x:c r="K812" s="78"/>
    </x:row>
    <x:row r="813">
      <x:c r="A813" s="73"/>
      <x:c r="B813" s="73"/>
      <x:c r="C813" s="74"/>
      <x:c r="D813" s="73"/>
      <x:c r="E813" s="73"/>
      <x:c r="F813" s="75"/>
      <x:c r="G813" s="75"/>
      <x:c r="H813" s="76" t="str">
        <x:f>IF(A813="","",F813-G813)</x:f>
      </x:c>
      <x:c r="I813" s="77" t="str">
        <x:f>IF(A813="","",IF(E813="","기타/불명",IF(IFERROR(SEARCH("급여",E813),0)&gt;0,"인건비",IF(IFERROR(SEARCH("임차",E813),0)&gt;0,"임차·시설",IF(IFERROR(SEARCH("광고",E813),0)&gt;0,"광고·행사",IF(IFERROR(SEARCH("용역",E813),0)&gt;0,"용역·수수료","기타/불명"))))))</x:f>
      </x:c>
      <x:c r="J813" s="77" t="str">
        <x:f>IF(A813="","",IF(I813="기타/불명","확인 필요","결의서명으로 1차 확인"))</x:f>
      </x:c>
      <x:c r="K813" s="78"/>
    </x:row>
    <x:row r="814">
      <x:c r="A814" s="73"/>
      <x:c r="B814" s="73"/>
      <x:c r="C814" s="74"/>
      <x:c r="D814" s="73"/>
      <x:c r="E814" s="73"/>
      <x:c r="F814" s="75"/>
      <x:c r="G814" s="75"/>
      <x:c r="H814" s="76" t="str">
        <x:f>IF(A814="","",F814-G814)</x:f>
      </x:c>
      <x:c r="I814" s="77" t="str">
        <x:f>IF(A814="","",IF(E814="","기타/불명",IF(IFERROR(SEARCH("급여",E814),0)&gt;0,"인건비",IF(IFERROR(SEARCH("임차",E814),0)&gt;0,"임차·시설",IF(IFERROR(SEARCH("광고",E814),0)&gt;0,"광고·행사",IF(IFERROR(SEARCH("용역",E814),0)&gt;0,"용역·수수료","기타/불명"))))))</x:f>
      </x:c>
      <x:c r="J814" s="77" t="str">
        <x:f>IF(A814="","",IF(I814="기타/불명","확인 필요","결의서명으로 1차 확인"))</x:f>
      </x:c>
      <x:c r="K814" s="78"/>
    </x:row>
    <x:row r="815">
      <x:c r="A815" s="73"/>
      <x:c r="B815" s="73"/>
      <x:c r="C815" s="74"/>
      <x:c r="D815" s="73"/>
      <x:c r="E815" s="73"/>
      <x:c r="F815" s="75"/>
      <x:c r="G815" s="75"/>
      <x:c r="H815" s="76" t="str">
        <x:f>IF(A815="","",F815-G815)</x:f>
      </x:c>
      <x:c r="I815" s="77" t="str">
        <x:f>IF(A815="","",IF(E815="","기타/불명",IF(IFERROR(SEARCH("급여",E815),0)&gt;0,"인건비",IF(IFERROR(SEARCH("임차",E815),0)&gt;0,"임차·시설",IF(IFERROR(SEARCH("광고",E815),0)&gt;0,"광고·행사",IF(IFERROR(SEARCH("용역",E815),0)&gt;0,"용역·수수료","기타/불명"))))))</x:f>
      </x:c>
      <x:c r="J815" s="77" t="str">
        <x:f>IF(A815="","",IF(I815="기타/불명","확인 필요","결의서명으로 1차 확인"))</x:f>
      </x:c>
      <x:c r="K815" s="78"/>
    </x:row>
    <x:row r="816">
      <x:c r="A816" s="73"/>
      <x:c r="B816" s="73"/>
      <x:c r="C816" s="74"/>
      <x:c r="D816" s="73"/>
      <x:c r="E816" s="73"/>
      <x:c r="F816" s="75"/>
      <x:c r="G816" s="75"/>
      <x:c r="H816" s="76" t="str">
        <x:f>IF(A816="","",F816-G816)</x:f>
      </x:c>
      <x:c r="I816" s="77" t="str">
        <x:f>IF(A816="","",IF(E816="","기타/불명",IF(IFERROR(SEARCH("급여",E816),0)&gt;0,"인건비",IF(IFERROR(SEARCH("임차",E816),0)&gt;0,"임차·시설",IF(IFERROR(SEARCH("광고",E816),0)&gt;0,"광고·행사",IF(IFERROR(SEARCH("용역",E816),0)&gt;0,"용역·수수료","기타/불명"))))))</x:f>
      </x:c>
      <x:c r="J816" s="77" t="str">
        <x:f>IF(A816="","",IF(I816="기타/불명","확인 필요","결의서명으로 1차 확인"))</x:f>
      </x:c>
      <x:c r="K816" s="78"/>
    </x:row>
    <x:row r="817">
      <x:c r="A817" s="73"/>
      <x:c r="B817" s="73"/>
      <x:c r="C817" s="74"/>
      <x:c r="D817" s="73"/>
      <x:c r="E817" s="73"/>
      <x:c r="F817" s="75"/>
      <x:c r="G817" s="75"/>
      <x:c r="H817" s="76" t="str">
        <x:f>IF(A817="","",F817-G817)</x:f>
      </x:c>
      <x:c r="I817" s="77" t="str">
        <x:f>IF(A817="","",IF(E817="","기타/불명",IF(IFERROR(SEARCH("급여",E817),0)&gt;0,"인건비",IF(IFERROR(SEARCH("임차",E817),0)&gt;0,"임차·시설",IF(IFERROR(SEARCH("광고",E817),0)&gt;0,"광고·행사",IF(IFERROR(SEARCH("용역",E817),0)&gt;0,"용역·수수료","기타/불명"))))))</x:f>
      </x:c>
      <x:c r="J817" s="77" t="str">
        <x:f>IF(A817="","",IF(I817="기타/불명","확인 필요","결의서명으로 1차 확인"))</x:f>
      </x:c>
      <x:c r="K817" s="78"/>
    </x:row>
    <x:row r="818">
      <x:c r="A818" s="73"/>
      <x:c r="B818" s="73"/>
      <x:c r="C818" s="74"/>
      <x:c r="D818" s="73"/>
      <x:c r="E818" s="73"/>
      <x:c r="F818" s="75"/>
      <x:c r="G818" s="75"/>
      <x:c r="H818" s="76" t="str">
        <x:f>IF(A818="","",F818-G818)</x:f>
      </x:c>
      <x:c r="I818" s="77" t="str">
        <x:f>IF(A818="","",IF(E818="","기타/불명",IF(IFERROR(SEARCH("급여",E818),0)&gt;0,"인건비",IF(IFERROR(SEARCH("임차",E818),0)&gt;0,"임차·시설",IF(IFERROR(SEARCH("광고",E818),0)&gt;0,"광고·행사",IF(IFERROR(SEARCH("용역",E818),0)&gt;0,"용역·수수료","기타/불명"))))))</x:f>
      </x:c>
      <x:c r="J818" s="77" t="str">
        <x:f>IF(A818="","",IF(I818="기타/불명","확인 필요","결의서명으로 1차 확인"))</x:f>
      </x:c>
      <x:c r="K818" s="78"/>
    </x:row>
    <x:row r="819">
      <x:c r="A819" s="73"/>
      <x:c r="B819" s="73"/>
      <x:c r="C819" s="74"/>
      <x:c r="D819" s="73"/>
      <x:c r="E819" s="73"/>
      <x:c r="F819" s="75"/>
      <x:c r="G819" s="75"/>
      <x:c r="H819" s="76" t="str">
        <x:f>IF(A819="","",F819-G819)</x:f>
      </x:c>
      <x:c r="I819" s="77" t="str">
        <x:f>IF(A819="","",IF(E819="","기타/불명",IF(IFERROR(SEARCH("급여",E819),0)&gt;0,"인건비",IF(IFERROR(SEARCH("임차",E819),0)&gt;0,"임차·시설",IF(IFERROR(SEARCH("광고",E819),0)&gt;0,"광고·행사",IF(IFERROR(SEARCH("용역",E819),0)&gt;0,"용역·수수료","기타/불명"))))))</x:f>
      </x:c>
      <x:c r="J819" s="77" t="str">
        <x:f>IF(A819="","",IF(I819="기타/불명","확인 필요","결의서명으로 1차 확인"))</x:f>
      </x:c>
      <x:c r="K819" s="78"/>
    </x:row>
    <x:row r="820">
      <x:c r="A820" s="73"/>
      <x:c r="B820" s="73"/>
      <x:c r="C820" s="74"/>
      <x:c r="D820" s="73"/>
      <x:c r="E820" s="73"/>
      <x:c r="F820" s="75"/>
      <x:c r="G820" s="75"/>
      <x:c r="H820" s="76" t="str">
        <x:f>IF(A820="","",F820-G820)</x:f>
      </x:c>
      <x:c r="I820" s="77" t="str">
        <x:f>IF(A820="","",IF(E820="","기타/불명",IF(IFERROR(SEARCH("급여",E820),0)&gt;0,"인건비",IF(IFERROR(SEARCH("임차",E820),0)&gt;0,"임차·시설",IF(IFERROR(SEARCH("광고",E820),0)&gt;0,"광고·행사",IF(IFERROR(SEARCH("용역",E820),0)&gt;0,"용역·수수료","기타/불명"))))))</x:f>
      </x:c>
      <x:c r="J820" s="77" t="str">
        <x:f>IF(A820="","",IF(I820="기타/불명","확인 필요","결의서명으로 1차 확인"))</x:f>
      </x:c>
      <x:c r="K820" s="78"/>
    </x:row>
    <x:row r="821">
      <x:c r="A821" s="73"/>
      <x:c r="B821" s="73"/>
      <x:c r="C821" s="74"/>
      <x:c r="D821" s="73"/>
      <x:c r="E821" s="73"/>
      <x:c r="F821" s="75"/>
      <x:c r="G821" s="75"/>
      <x:c r="H821" s="76" t="str">
        <x:f>IF(A821="","",F821-G821)</x:f>
      </x:c>
      <x:c r="I821" s="77" t="str">
        <x:f>IF(A821="","",IF(E821="","기타/불명",IF(IFERROR(SEARCH("급여",E821),0)&gt;0,"인건비",IF(IFERROR(SEARCH("임차",E821),0)&gt;0,"임차·시설",IF(IFERROR(SEARCH("광고",E821),0)&gt;0,"광고·행사",IF(IFERROR(SEARCH("용역",E821),0)&gt;0,"용역·수수료","기타/불명"))))))</x:f>
      </x:c>
      <x:c r="J821" s="77" t="str">
        <x:f>IF(A821="","",IF(I821="기타/불명","확인 필요","결의서명으로 1차 확인"))</x:f>
      </x:c>
      <x:c r="K821" s="78"/>
    </x:row>
    <x:row r="822">
      <x:c r="A822" s="73"/>
      <x:c r="B822" s="73"/>
      <x:c r="C822" s="74"/>
      <x:c r="D822" s="73"/>
      <x:c r="E822" s="73"/>
      <x:c r="F822" s="75"/>
      <x:c r="G822" s="75"/>
      <x:c r="H822" s="76" t="str">
        <x:f>IF(A822="","",F822-G822)</x:f>
      </x:c>
      <x:c r="I822" s="77" t="str">
        <x:f>IF(A822="","",IF(E822="","기타/불명",IF(IFERROR(SEARCH("급여",E822),0)&gt;0,"인건비",IF(IFERROR(SEARCH("임차",E822),0)&gt;0,"임차·시설",IF(IFERROR(SEARCH("광고",E822),0)&gt;0,"광고·행사",IF(IFERROR(SEARCH("용역",E822),0)&gt;0,"용역·수수료","기타/불명"))))))</x:f>
      </x:c>
      <x:c r="J822" s="77" t="str">
        <x:f>IF(A822="","",IF(I822="기타/불명","확인 필요","결의서명으로 1차 확인"))</x:f>
      </x:c>
      <x:c r="K822" s="78"/>
    </x:row>
    <x:row r="823">
      <x:c r="A823" s="73"/>
      <x:c r="B823" s="73"/>
      <x:c r="C823" s="74"/>
      <x:c r="D823" s="73"/>
      <x:c r="E823" s="73"/>
      <x:c r="F823" s="75"/>
      <x:c r="G823" s="75"/>
      <x:c r="H823" s="76" t="str">
        <x:f>IF(A823="","",F823-G823)</x:f>
      </x:c>
      <x:c r="I823" s="77" t="str">
        <x:f>IF(A823="","",IF(E823="","기타/불명",IF(IFERROR(SEARCH("급여",E823),0)&gt;0,"인건비",IF(IFERROR(SEARCH("임차",E823),0)&gt;0,"임차·시설",IF(IFERROR(SEARCH("광고",E823),0)&gt;0,"광고·행사",IF(IFERROR(SEARCH("용역",E823),0)&gt;0,"용역·수수료","기타/불명"))))))</x:f>
      </x:c>
      <x:c r="J823" s="77" t="str">
        <x:f>IF(A823="","",IF(I823="기타/불명","확인 필요","결의서명으로 1차 확인"))</x:f>
      </x:c>
      <x:c r="K823" s="78"/>
    </x:row>
    <x:row r="824">
      <x:c r="A824" s="73"/>
      <x:c r="B824" s="73"/>
      <x:c r="C824" s="74"/>
      <x:c r="D824" s="73"/>
      <x:c r="E824" s="73"/>
      <x:c r="F824" s="75"/>
      <x:c r="G824" s="75"/>
      <x:c r="H824" s="76" t="str">
        <x:f>IF(A824="","",F824-G824)</x:f>
      </x:c>
      <x:c r="I824" s="77" t="str">
        <x:f>IF(A824="","",IF(E824="","기타/불명",IF(IFERROR(SEARCH("급여",E824),0)&gt;0,"인건비",IF(IFERROR(SEARCH("임차",E824),0)&gt;0,"임차·시설",IF(IFERROR(SEARCH("광고",E824),0)&gt;0,"광고·행사",IF(IFERROR(SEARCH("용역",E824),0)&gt;0,"용역·수수료","기타/불명"))))))</x:f>
      </x:c>
      <x:c r="J824" s="77" t="str">
        <x:f>IF(A824="","",IF(I824="기타/불명","확인 필요","결의서명으로 1차 확인"))</x:f>
      </x:c>
      <x:c r="K824" s="78"/>
    </x:row>
    <x:row r="825">
      <x:c r="A825" s="73"/>
      <x:c r="B825" s="73"/>
      <x:c r="C825" s="74"/>
      <x:c r="D825" s="73"/>
      <x:c r="E825" s="73"/>
      <x:c r="F825" s="75"/>
      <x:c r="G825" s="75"/>
      <x:c r="H825" s="76" t="str">
        <x:f>IF(A825="","",F825-G825)</x:f>
      </x:c>
      <x:c r="I825" s="77" t="str">
        <x:f>IF(A825="","",IF(E825="","기타/불명",IF(IFERROR(SEARCH("급여",E825),0)&gt;0,"인건비",IF(IFERROR(SEARCH("임차",E825),0)&gt;0,"임차·시설",IF(IFERROR(SEARCH("광고",E825),0)&gt;0,"광고·행사",IF(IFERROR(SEARCH("용역",E825),0)&gt;0,"용역·수수료","기타/불명"))))))</x:f>
      </x:c>
      <x:c r="J825" s="77" t="str">
        <x:f>IF(A825="","",IF(I825="기타/불명","확인 필요","결의서명으로 1차 확인"))</x:f>
      </x:c>
      <x:c r="K825" s="78"/>
    </x:row>
    <x:row r="826">
      <x:c r="A826" s="73"/>
      <x:c r="B826" s="73"/>
      <x:c r="C826" s="74"/>
      <x:c r="D826" s="73"/>
      <x:c r="E826" s="73"/>
      <x:c r="F826" s="75"/>
      <x:c r="G826" s="75"/>
      <x:c r="H826" s="76" t="str">
        <x:f>IF(A826="","",F826-G826)</x:f>
      </x:c>
      <x:c r="I826" s="77" t="str">
        <x:f>IF(A826="","",IF(E826="","기타/불명",IF(IFERROR(SEARCH("급여",E826),0)&gt;0,"인건비",IF(IFERROR(SEARCH("임차",E826),0)&gt;0,"임차·시설",IF(IFERROR(SEARCH("광고",E826),0)&gt;0,"광고·행사",IF(IFERROR(SEARCH("용역",E826),0)&gt;0,"용역·수수료","기타/불명"))))))</x:f>
      </x:c>
      <x:c r="J826" s="77" t="str">
        <x:f>IF(A826="","",IF(I826="기타/불명","확인 필요","결의서명으로 1차 확인"))</x:f>
      </x:c>
      <x:c r="K826" s="78"/>
    </x:row>
    <x:row r="827">
      <x:c r="A827" s="73"/>
      <x:c r="B827" s="73"/>
      <x:c r="C827" s="74"/>
      <x:c r="D827" s="73"/>
      <x:c r="E827" s="73"/>
      <x:c r="F827" s="75"/>
      <x:c r="G827" s="75"/>
      <x:c r="H827" s="76" t="str">
        <x:f>IF(A827="","",F827-G827)</x:f>
      </x:c>
      <x:c r="I827" s="77" t="str">
        <x:f>IF(A827="","",IF(E827="","기타/불명",IF(IFERROR(SEARCH("급여",E827),0)&gt;0,"인건비",IF(IFERROR(SEARCH("임차",E827),0)&gt;0,"임차·시설",IF(IFERROR(SEARCH("광고",E827),0)&gt;0,"광고·행사",IF(IFERROR(SEARCH("용역",E827),0)&gt;0,"용역·수수료","기타/불명"))))))</x:f>
      </x:c>
      <x:c r="J827" s="77" t="str">
        <x:f>IF(A827="","",IF(I827="기타/불명","확인 필요","결의서명으로 1차 확인"))</x:f>
      </x:c>
      <x:c r="K827" s="78"/>
    </x:row>
    <x:row r="828">
      <x:c r="A828" s="73"/>
      <x:c r="B828" s="73"/>
      <x:c r="C828" s="74"/>
      <x:c r="D828" s="73"/>
      <x:c r="E828" s="73"/>
      <x:c r="F828" s="75"/>
      <x:c r="G828" s="75"/>
      <x:c r="H828" s="76" t="str">
        <x:f>IF(A828="","",F828-G828)</x:f>
      </x:c>
      <x:c r="I828" s="77" t="str">
        <x:f>IF(A828="","",IF(E828="","기타/불명",IF(IFERROR(SEARCH("급여",E828),0)&gt;0,"인건비",IF(IFERROR(SEARCH("임차",E828),0)&gt;0,"임차·시설",IF(IFERROR(SEARCH("광고",E828),0)&gt;0,"광고·행사",IF(IFERROR(SEARCH("용역",E828),0)&gt;0,"용역·수수료","기타/불명"))))))</x:f>
      </x:c>
      <x:c r="J828" s="77" t="str">
        <x:f>IF(A828="","",IF(I828="기타/불명","확인 필요","결의서명으로 1차 확인"))</x:f>
      </x:c>
      <x:c r="K828" s="78"/>
    </x:row>
    <x:row r="829">
      <x:c r="A829" s="73"/>
      <x:c r="B829" s="73"/>
      <x:c r="C829" s="74"/>
      <x:c r="D829" s="73"/>
      <x:c r="E829" s="73"/>
      <x:c r="F829" s="75"/>
      <x:c r="G829" s="75"/>
      <x:c r="H829" s="76" t="str">
        <x:f>IF(A829="","",F829-G829)</x:f>
      </x:c>
      <x:c r="I829" s="77" t="str">
        <x:f>IF(A829="","",IF(E829="","기타/불명",IF(IFERROR(SEARCH("급여",E829),0)&gt;0,"인건비",IF(IFERROR(SEARCH("임차",E829),0)&gt;0,"임차·시설",IF(IFERROR(SEARCH("광고",E829),0)&gt;0,"광고·행사",IF(IFERROR(SEARCH("용역",E829),0)&gt;0,"용역·수수료","기타/불명"))))))</x:f>
      </x:c>
      <x:c r="J829" s="77" t="str">
        <x:f>IF(A829="","",IF(I829="기타/불명","확인 필요","결의서명으로 1차 확인"))</x:f>
      </x:c>
      <x:c r="K829" s="78"/>
    </x:row>
    <x:row r="830">
      <x:c r="A830" s="73"/>
      <x:c r="B830" s="73"/>
      <x:c r="C830" s="74"/>
      <x:c r="D830" s="73"/>
      <x:c r="E830" s="73"/>
      <x:c r="F830" s="75"/>
      <x:c r="G830" s="75"/>
      <x:c r="H830" s="76" t="str">
        <x:f>IF(A830="","",F830-G830)</x:f>
      </x:c>
      <x:c r="I830" s="77" t="str">
        <x:f>IF(A830="","",IF(E830="","기타/불명",IF(IFERROR(SEARCH("급여",E830),0)&gt;0,"인건비",IF(IFERROR(SEARCH("임차",E830),0)&gt;0,"임차·시설",IF(IFERROR(SEARCH("광고",E830),0)&gt;0,"광고·행사",IF(IFERROR(SEARCH("용역",E830),0)&gt;0,"용역·수수료","기타/불명"))))))</x:f>
      </x:c>
      <x:c r="J830" s="77" t="str">
        <x:f>IF(A830="","",IF(I830="기타/불명","확인 필요","결의서명으로 1차 확인"))</x:f>
      </x:c>
      <x:c r="K830" s="78"/>
    </x:row>
    <x:row r="831">
      <x:c r="A831" s="73"/>
      <x:c r="B831" s="73"/>
      <x:c r="C831" s="74"/>
      <x:c r="D831" s="73"/>
      <x:c r="E831" s="73"/>
      <x:c r="F831" s="75"/>
      <x:c r="G831" s="75"/>
      <x:c r="H831" s="76" t="str">
        <x:f>IF(A831="","",F831-G831)</x:f>
      </x:c>
      <x:c r="I831" s="77" t="str">
        <x:f>IF(A831="","",IF(E831="","기타/불명",IF(IFERROR(SEARCH("급여",E831),0)&gt;0,"인건비",IF(IFERROR(SEARCH("임차",E831),0)&gt;0,"임차·시설",IF(IFERROR(SEARCH("광고",E831),0)&gt;0,"광고·행사",IF(IFERROR(SEARCH("용역",E831),0)&gt;0,"용역·수수료","기타/불명"))))))</x:f>
      </x:c>
      <x:c r="J831" s="77" t="str">
        <x:f>IF(A831="","",IF(I831="기타/불명","확인 필요","결의서명으로 1차 확인"))</x:f>
      </x:c>
      <x:c r="K831" s="78"/>
    </x:row>
    <x:row r="832">
      <x:c r="A832" s="73"/>
      <x:c r="B832" s="73"/>
      <x:c r="C832" s="74"/>
      <x:c r="D832" s="73"/>
      <x:c r="E832" s="73"/>
      <x:c r="F832" s="75"/>
      <x:c r="G832" s="75"/>
      <x:c r="H832" s="76" t="str">
        <x:f>IF(A832="","",F832-G832)</x:f>
      </x:c>
      <x:c r="I832" s="77" t="str">
        <x:f>IF(A832="","",IF(E832="","기타/불명",IF(IFERROR(SEARCH("급여",E832),0)&gt;0,"인건비",IF(IFERROR(SEARCH("임차",E832),0)&gt;0,"임차·시설",IF(IFERROR(SEARCH("광고",E832),0)&gt;0,"광고·행사",IF(IFERROR(SEARCH("용역",E832),0)&gt;0,"용역·수수료","기타/불명"))))))</x:f>
      </x:c>
      <x:c r="J832" s="77" t="str">
        <x:f>IF(A832="","",IF(I832="기타/불명","확인 필요","결의서명으로 1차 확인"))</x:f>
      </x:c>
      <x:c r="K832" s="78"/>
    </x:row>
    <x:row r="833">
      <x:c r="A833" s="73"/>
      <x:c r="B833" s="73"/>
      <x:c r="C833" s="74"/>
      <x:c r="D833" s="73"/>
      <x:c r="E833" s="73"/>
      <x:c r="F833" s="75"/>
      <x:c r="G833" s="75"/>
      <x:c r="H833" s="76" t="str">
        <x:f>IF(A833="","",F833-G833)</x:f>
      </x:c>
      <x:c r="I833" s="77" t="str">
        <x:f>IF(A833="","",IF(E833="","기타/불명",IF(IFERROR(SEARCH("급여",E833),0)&gt;0,"인건비",IF(IFERROR(SEARCH("임차",E833),0)&gt;0,"임차·시설",IF(IFERROR(SEARCH("광고",E833),0)&gt;0,"광고·행사",IF(IFERROR(SEARCH("용역",E833),0)&gt;0,"용역·수수료","기타/불명"))))))</x:f>
      </x:c>
      <x:c r="J833" s="77" t="str">
        <x:f>IF(A833="","",IF(I833="기타/불명","확인 필요","결의서명으로 1차 확인"))</x:f>
      </x:c>
      <x:c r="K833" s="78"/>
    </x:row>
    <x:row r="834">
      <x:c r="A834" s="73"/>
      <x:c r="B834" s="73"/>
      <x:c r="C834" s="74"/>
      <x:c r="D834" s="73"/>
      <x:c r="E834" s="73"/>
      <x:c r="F834" s="75"/>
      <x:c r="G834" s="75"/>
      <x:c r="H834" s="76" t="str">
        <x:f>IF(A834="","",F834-G834)</x:f>
      </x:c>
      <x:c r="I834" s="77" t="str">
        <x:f>IF(A834="","",IF(E834="","기타/불명",IF(IFERROR(SEARCH("급여",E834),0)&gt;0,"인건비",IF(IFERROR(SEARCH("임차",E834),0)&gt;0,"임차·시설",IF(IFERROR(SEARCH("광고",E834),0)&gt;0,"광고·행사",IF(IFERROR(SEARCH("용역",E834),0)&gt;0,"용역·수수료","기타/불명"))))))</x:f>
      </x:c>
      <x:c r="J834" s="77" t="str">
        <x:f>IF(A834="","",IF(I834="기타/불명","확인 필요","결의서명으로 1차 확인"))</x:f>
      </x:c>
      <x:c r="K834" s="78"/>
    </x:row>
    <x:row r="835">
      <x:c r="A835" s="73"/>
      <x:c r="B835" s="73"/>
      <x:c r="C835" s="74"/>
      <x:c r="D835" s="73"/>
      <x:c r="E835" s="73"/>
      <x:c r="F835" s="75"/>
      <x:c r="G835" s="75"/>
      <x:c r="H835" s="76" t="str">
        <x:f>IF(A835="","",F835-G835)</x:f>
      </x:c>
      <x:c r="I835" s="77" t="str">
        <x:f>IF(A835="","",IF(E835="","기타/불명",IF(IFERROR(SEARCH("급여",E835),0)&gt;0,"인건비",IF(IFERROR(SEARCH("임차",E835),0)&gt;0,"임차·시설",IF(IFERROR(SEARCH("광고",E835),0)&gt;0,"광고·행사",IF(IFERROR(SEARCH("용역",E835),0)&gt;0,"용역·수수료","기타/불명"))))))</x:f>
      </x:c>
      <x:c r="J835" s="77" t="str">
        <x:f>IF(A835="","",IF(I835="기타/불명","확인 필요","결의서명으로 1차 확인"))</x:f>
      </x:c>
      <x:c r="K835" s="78"/>
    </x:row>
    <x:row r="836">
      <x:c r="A836" s="73"/>
      <x:c r="B836" s="73"/>
      <x:c r="C836" s="74"/>
      <x:c r="D836" s="73"/>
      <x:c r="E836" s="73"/>
      <x:c r="F836" s="75"/>
      <x:c r="G836" s="75"/>
      <x:c r="H836" s="76" t="str">
        <x:f>IF(A836="","",F836-G836)</x:f>
      </x:c>
      <x:c r="I836" s="77" t="str">
        <x:f>IF(A836="","",IF(E836="","기타/불명",IF(IFERROR(SEARCH("급여",E836),0)&gt;0,"인건비",IF(IFERROR(SEARCH("임차",E836),0)&gt;0,"임차·시설",IF(IFERROR(SEARCH("광고",E836),0)&gt;0,"광고·행사",IF(IFERROR(SEARCH("용역",E836),0)&gt;0,"용역·수수료","기타/불명"))))))</x:f>
      </x:c>
      <x:c r="J836" s="77" t="str">
        <x:f>IF(A836="","",IF(I836="기타/불명","확인 필요","결의서명으로 1차 확인"))</x:f>
      </x:c>
      <x:c r="K836" s="78"/>
    </x:row>
    <x:row r="837">
      <x:c r="A837" s="73"/>
      <x:c r="B837" s="73"/>
      <x:c r="C837" s="74"/>
      <x:c r="D837" s="73"/>
      <x:c r="E837" s="73"/>
      <x:c r="F837" s="75"/>
      <x:c r="G837" s="75"/>
      <x:c r="H837" s="76" t="str">
        <x:f>IF(A837="","",F837-G837)</x:f>
      </x:c>
      <x:c r="I837" s="77" t="str">
        <x:f>IF(A837="","",IF(E837="","기타/불명",IF(IFERROR(SEARCH("급여",E837),0)&gt;0,"인건비",IF(IFERROR(SEARCH("임차",E837),0)&gt;0,"임차·시설",IF(IFERROR(SEARCH("광고",E837),0)&gt;0,"광고·행사",IF(IFERROR(SEARCH("용역",E837),0)&gt;0,"용역·수수료","기타/불명"))))))</x:f>
      </x:c>
      <x:c r="J837" s="77" t="str">
        <x:f>IF(A837="","",IF(I837="기타/불명","확인 필요","결의서명으로 1차 확인"))</x:f>
      </x:c>
      <x:c r="K837" s="78"/>
    </x:row>
    <x:row r="838">
      <x:c r="A838" s="73"/>
      <x:c r="B838" s="73"/>
      <x:c r="C838" s="74"/>
      <x:c r="D838" s="73"/>
      <x:c r="E838" s="73"/>
      <x:c r="F838" s="75"/>
      <x:c r="G838" s="75"/>
      <x:c r="H838" s="76" t="str">
        <x:f>IF(A838="","",F838-G838)</x:f>
      </x:c>
      <x:c r="I838" s="77" t="str">
        <x:f>IF(A838="","",IF(E838="","기타/불명",IF(IFERROR(SEARCH("급여",E838),0)&gt;0,"인건비",IF(IFERROR(SEARCH("임차",E838),0)&gt;0,"임차·시설",IF(IFERROR(SEARCH("광고",E838),0)&gt;0,"광고·행사",IF(IFERROR(SEARCH("용역",E838),0)&gt;0,"용역·수수료","기타/불명"))))))</x:f>
      </x:c>
      <x:c r="J838" s="77" t="str">
        <x:f>IF(A838="","",IF(I838="기타/불명","확인 필요","결의서명으로 1차 확인"))</x:f>
      </x:c>
      <x:c r="K838" s="78"/>
    </x:row>
    <x:row r="839">
      <x:c r="A839" s="73"/>
      <x:c r="B839" s="73"/>
      <x:c r="C839" s="74"/>
      <x:c r="D839" s="73"/>
      <x:c r="E839" s="73"/>
      <x:c r="F839" s="75"/>
      <x:c r="G839" s="75"/>
      <x:c r="H839" s="76" t="str">
        <x:f>IF(A839="","",F839-G839)</x:f>
      </x:c>
      <x:c r="I839" s="77" t="str">
        <x:f>IF(A839="","",IF(E839="","기타/불명",IF(IFERROR(SEARCH("급여",E839),0)&gt;0,"인건비",IF(IFERROR(SEARCH("임차",E839),0)&gt;0,"임차·시설",IF(IFERROR(SEARCH("광고",E839),0)&gt;0,"광고·행사",IF(IFERROR(SEARCH("용역",E839),0)&gt;0,"용역·수수료","기타/불명"))))))</x:f>
      </x:c>
      <x:c r="J839" s="77" t="str">
        <x:f>IF(A839="","",IF(I839="기타/불명","확인 필요","결의서명으로 1차 확인"))</x:f>
      </x:c>
      <x:c r="K839" s="78"/>
    </x:row>
    <x:row r="840">
      <x:c r="A840" s="73"/>
      <x:c r="B840" s="73"/>
      <x:c r="C840" s="74"/>
      <x:c r="D840" s="73"/>
      <x:c r="E840" s="73"/>
      <x:c r="F840" s="75"/>
      <x:c r="G840" s="75"/>
      <x:c r="H840" s="76" t="str">
        <x:f>IF(A840="","",F840-G840)</x:f>
      </x:c>
      <x:c r="I840" s="77" t="str">
        <x:f>IF(A840="","",IF(E840="","기타/불명",IF(IFERROR(SEARCH("급여",E840),0)&gt;0,"인건비",IF(IFERROR(SEARCH("임차",E840),0)&gt;0,"임차·시설",IF(IFERROR(SEARCH("광고",E840),0)&gt;0,"광고·행사",IF(IFERROR(SEARCH("용역",E840),0)&gt;0,"용역·수수료","기타/불명"))))))</x:f>
      </x:c>
      <x:c r="J840" s="77" t="str">
        <x:f>IF(A840="","",IF(I840="기타/불명","확인 필요","결의서명으로 1차 확인"))</x:f>
      </x:c>
      <x:c r="K840" s="78"/>
    </x:row>
    <x:row r="841">
      <x:c r="A841" s="73"/>
      <x:c r="B841" s="73"/>
      <x:c r="C841" s="74"/>
      <x:c r="D841" s="73"/>
      <x:c r="E841" s="73"/>
      <x:c r="F841" s="75"/>
      <x:c r="G841" s="75"/>
      <x:c r="H841" s="76" t="str">
        <x:f>IF(A841="","",F841-G841)</x:f>
      </x:c>
      <x:c r="I841" s="77" t="str">
        <x:f>IF(A841="","",IF(E841="","기타/불명",IF(IFERROR(SEARCH("급여",E841),0)&gt;0,"인건비",IF(IFERROR(SEARCH("임차",E841),0)&gt;0,"임차·시설",IF(IFERROR(SEARCH("광고",E841),0)&gt;0,"광고·행사",IF(IFERROR(SEARCH("용역",E841),0)&gt;0,"용역·수수료","기타/불명"))))))</x:f>
      </x:c>
      <x:c r="J841" s="77" t="str">
        <x:f>IF(A841="","",IF(I841="기타/불명","확인 필요","결의서명으로 1차 확인"))</x:f>
      </x:c>
      <x:c r="K841" s="78"/>
    </x:row>
    <x:row r="842">
      <x:c r="A842" s="73"/>
      <x:c r="B842" s="73"/>
      <x:c r="C842" s="74"/>
      <x:c r="D842" s="73"/>
      <x:c r="E842" s="73"/>
      <x:c r="F842" s="75"/>
      <x:c r="G842" s="75"/>
      <x:c r="H842" s="76" t="str">
        <x:f>IF(A842="","",F842-G842)</x:f>
      </x:c>
      <x:c r="I842" s="77" t="str">
        <x:f>IF(A842="","",IF(E842="","기타/불명",IF(IFERROR(SEARCH("급여",E842),0)&gt;0,"인건비",IF(IFERROR(SEARCH("임차",E842),0)&gt;0,"임차·시설",IF(IFERROR(SEARCH("광고",E842),0)&gt;0,"광고·행사",IF(IFERROR(SEARCH("용역",E842),0)&gt;0,"용역·수수료","기타/불명"))))))</x:f>
      </x:c>
      <x:c r="J842" s="77" t="str">
        <x:f>IF(A842="","",IF(I842="기타/불명","확인 필요","결의서명으로 1차 확인"))</x:f>
      </x:c>
      <x:c r="K842" s="78"/>
    </x:row>
    <x:row r="843">
      <x:c r="A843" s="73"/>
      <x:c r="B843" s="73"/>
      <x:c r="C843" s="74"/>
      <x:c r="D843" s="73"/>
      <x:c r="E843" s="73"/>
      <x:c r="F843" s="75"/>
      <x:c r="G843" s="75"/>
      <x:c r="H843" s="76" t="str">
        <x:f>IF(A843="","",F843-G843)</x:f>
      </x:c>
      <x:c r="I843" s="77" t="str">
        <x:f>IF(A843="","",IF(E843="","기타/불명",IF(IFERROR(SEARCH("급여",E843),0)&gt;0,"인건비",IF(IFERROR(SEARCH("임차",E843),0)&gt;0,"임차·시설",IF(IFERROR(SEARCH("광고",E843),0)&gt;0,"광고·행사",IF(IFERROR(SEARCH("용역",E843),0)&gt;0,"용역·수수료","기타/불명"))))))</x:f>
      </x:c>
      <x:c r="J843" s="77" t="str">
        <x:f>IF(A843="","",IF(I843="기타/불명","확인 필요","결의서명으로 1차 확인"))</x:f>
      </x:c>
      <x:c r="K843" s="78"/>
    </x:row>
    <x:row r="844">
      <x:c r="A844" s="73"/>
      <x:c r="B844" s="73"/>
      <x:c r="C844" s="74"/>
      <x:c r="D844" s="73"/>
      <x:c r="E844" s="73"/>
      <x:c r="F844" s="75"/>
      <x:c r="G844" s="75"/>
      <x:c r="H844" s="76" t="str">
        <x:f>IF(A844="","",F844-G844)</x:f>
      </x:c>
      <x:c r="I844" s="77" t="str">
        <x:f>IF(A844="","",IF(E844="","기타/불명",IF(IFERROR(SEARCH("급여",E844),0)&gt;0,"인건비",IF(IFERROR(SEARCH("임차",E844),0)&gt;0,"임차·시설",IF(IFERROR(SEARCH("광고",E844),0)&gt;0,"광고·행사",IF(IFERROR(SEARCH("용역",E844),0)&gt;0,"용역·수수료","기타/불명"))))))</x:f>
      </x:c>
      <x:c r="J844" s="77" t="str">
        <x:f>IF(A844="","",IF(I844="기타/불명","확인 필요","결의서명으로 1차 확인"))</x:f>
      </x:c>
      <x:c r="K844" s="78"/>
    </x:row>
    <x:row r="845">
      <x:c r="A845" s="73"/>
      <x:c r="B845" s="73"/>
      <x:c r="C845" s="74"/>
      <x:c r="D845" s="73"/>
      <x:c r="E845" s="73"/>
      <x:c r="F845" s="75"/>
      <x:c r="G845" s="75"/>
      <x:c r="H845" s="76" t="str">
        <x:f>IF(A845="","",F845-G845)</x:f>
      </x:c>
      <x:c r="I845" s="77" t="str">
        <x:f>IF(A845="","",IF(E845="","기타/불명",IF(IFERROR(SEARCH("급여",E845),0)&gt;0,"인건비",IF(IFERROR(SEARCH("임차",E845),0)&gt;0,"임차·시설",IF(IFERROR(SEARCH("광고",E845),0)&gt;0,"광고·행사",IF(IFERROR(SEARCH("용역",E845),0)&gt;0,"용역·수수료","기타/불명"))))))</x:f>
      </x:c>
      <x:c r="J845" s="77" t="str">
        <x:f>IF(A845="","",IF(I845="기타/불명","확인 필요","결의서명으로 1차 확인"))</x:f>
      </x:c>
      <x:c r="K845" s="78"/>
    </x:row>
    <x:row r="846">
      <x:c r="A846" s="73"/>
      <x:c r="B846" s="73"/>
      <x:c r="C846" s="74"/>
      <x:c r="D846" s="73"/>
      <x:c r="E846" s="73"/>
      <x:c r="F846" s="75"/>
      <x:c r="G846" s="75"/>
      <x:c r="H846" s="76" t="str">
        <x:f>IF(A846="","",F846-G846)</x:f>
      </x:c>
      <x:c r="I846" s="77" t="str">
        <x:f>IF(A846="","",IF(E846="","기타/불명",IF(IFERROR(SEARCH("급여",E846),0)&gt;0,"인건비",IF(IFERROR(SEARCH("임차",E846),0)&gt;0,"임차·시설",IF(IFERROR(SEARCH("광고",E846),0)&gt;0,"광고·행사",IF(IFERROR(SEARCH("용역",E846),0)&gt;0,"용역·수수료","기타/불명"))))))</x:f>
      </x:c>
      <x:c r="J846" s="77" t="str">
        <x:f>IF(A846="","",IF(I846="기타/불명","확인 필요","결의서명으로 1차 확인"))</x:f>
      </x:c>
      <x:c r="K846" s="78"/>
    </x:row>
    <x:row r="847">
      <x:c r="A847" s="73"/>
      <x:c r="B847" s="73"/>
      <x:c r="C847" s="74"/>
      <x:c r="D847" s="73"/>
      <x:c r="E847" s="73"/>
      <x:c r="F847" s="75"/>
      <x:c r="G847" s="75"/>
      <x:c r="H847" s="76" t="str">
        <x:f>IF(A847="","",F847-G847)</x:f>
      </x:c>
      <x:c r="I847" s="77" t="str">
        <x:f>IF(A847="","",IF(E847="","기타/불명",IF(IFERROR(SEARCH("급여",E847),0)&gt;0,"인건비",IF(IFERROR(SEARCH("임차",E847),0)&gt;0,"임차·시설",IF(IFERROR(SEARCH("광고",E847),0)&gt;0,"광고·행사",IF(IFERROR(SEARCH("용역",E847),0)&gt;0,"용역·수수료","기타/불명"))))))</x:f>
      </x:c>
      <x:c r="J847" s="77" t="str">
        <x:f>IF(A847="","",IF(I847="기타/불명","확인 필요","결의서명으로 1차 확인"))</x:f>
      </x:c>
      <x:c r="K847" s="78"/>
    </x:row>
    <x:row r="848">
      <x:c r="A848" s="73"/>
      <x:c r="B848" s="73"/>
      <x:c r="C848" s="74"/>
      <x:c r="D848" s="73"/>
      <x:c r="E848" s="73"/>
      <x:c r="F848" s="75"/>
      <x:c r="G848" s="75"/>
      <x:c r="H848" s="76" t="str">
        <x:f>IF(A848="","",F848-G848)</x:f>
      </x:c>
      <x:c r="I848" s="77" t="str">
        <x:f>IF(A848="","",IF(E848="","기타/불명",IF(IFERROR(SEARCH("급여",E848),0)&gt;0,"인건비",IF(IFERROR(SEARCH("임차",E848),0)&gt;0,"임차·시설",IF(IFERROR(SEARCH("광고",E848),0)&gt;0,"광고·행사",IF(IFERROR(SEARCH("용역",E848),0)&gt;0,"용역·수수료","기타/불명"))))))</x:f>
      </x:c>
      <x:c r="J848" s="77" t="str">
        <x:f>IF(A848="","",IF(I848="기타/불명","확인 필요","결의서명으로 1차 확인"))</x:f>
      </x:c>
      <x:c r="K848" s="78"/>
    </x:row>
    <x:row r="849">
      <x:c r="A849" s="73"/>
      <x:c r="B849" s="73"/>
      <x:c r="C849" s="74"/>
      <x:c r="D849" s="73"/>
      <x:c r="E849" s="73"/>
      <x:c r="F849" s="75"/>
      <x:c r="G849" s="75"/>
      <x:c r="H849" s="76" t="str">
        <x:f>IF(A849="","",F849-G849)</x:f>
      </x:c>
      <x:c r="I849" s="77" t="str">
        <x:f>IF(A849="","",IF(E849="","기타/불명",IF(IFERROR(SEARCH("급여",E849),0)&gt;0,"인건비",IF(IFERROR(SEARCH("임차",E849),0)&gt;0,"임차·시설",IF(IFERROR(SEARCH("광고",E849),0)&gt;0,"광고·행사",IF(IFERROR(SEARCH("용역",E849),0)&gt;0,"용역·수수료","기타/불명"))))))</x:f>
      </x:c>
      <x:c r="J849" s="77" t="str">
        <x:f>IF(A849="","",IF(I849="기타/불명","확인 필요","결의서명으로 1차 확인"))</x:f>
      </x:c>
      <x:c r="K849" s="78"/>
    </x:row>
    <x:row r="850">
      <x:c r="A850" s="73"/>
      <x:c r="B850" s="73"/>
      <x:c r="C850" s="74"/>
      <x:c r="D850" s="73"/>
      <x:c r="E850" s="73"/>
      <x:c r="F850" s="75"/>
      <x:c r="G850" s="75"/>
      <x:c r="H850" s="76" t="str">
        <x:f>IF(A850="","",F850-G850)</x:f>
      </x:c>
      <x:c r="I850" s="77" t="str">
        <x:f>IF(A850="","",IF(E850="","기타/불명",IF(IFERROR(SEARCH("급여",E850),0)&gt;0,"인건비",IF(IFERROR(SEARCH("임차",E850),0)&gt;0,"임차·시설",IF(IFERROR(SEARCH("광고",E850),0)&gt;0,"광고·행사",IF(IFERROR(SEARCH("용역",E850),0)&gt;0,"용역·수수료","기타/불명"))))))</x:f>
      </x:c>
      <x:c r="J850" s="77" t="str">
        <x:f>IF(A850="","",IF(I850="기타/불명","확인 필요","결의서명으로 1차 확인"))</x:f>
      </x:c>
      <x:c r="K850" s="78"/>
    </x:row>
    <x:row r="851">
      <x:c r="A851" s="73"/>
      <x:c r="B851" s="73"/>
      <x:c r="C851" s="74"/>
      <x:c r="D851" s="73"/>
      <x:c r="E851" s="73"/>
      <x:c r="F851" s="75"/>
      <x:c r="G851" s="75"/>
      <x:c r="H851" s="76" t="str">
        <x:f>IF(A851="","",F851-G851)</x:f>
      </x:c>
      <x:c r="I851" s="77" t="str">
        <x:f>IF(A851="","",IF(E851="","기타/불명",IF(IFERROR(SEARCH("급여",E851),0)&gt;0,"인건비",IF(IFERROR(SEARCH("임차",E851),0)&gt;0,"임차·시설",IF(IFERROR(SEARCH("광고",E851),0)&gt;0,"광고·행사",IF(IFERROR(SEARCH("용역",E851),0)&gt;0,"용역·수수료","기타/불명"))))))</x:f>
      </x:c>
      <x:c r="J851" s="77" t="str">
        <x:f>IF(A851="","",IF(I851="기타/불명","확인 필요","결의서명으로 1차 확인"))</x:f>
      </x:c>
      <x:c r="K851" s="78"/>
    </x:row>
    <x:row r="852">
      <x:c r="A852" s="73"/>
      <x:c r="B852" s="73"/>
      <x:c r="C852" s="74"/>
      <x:c r="D852" s="73"/>
      <x:c r="E852" s="73"/>
      <x:c r="F852" s="75"/>
      <x:c r="G852" s="75"/>
      <x:c r="H852" s="76" t="str">
        <x:f>IF(A852="","",F852-G852)</x:f>
      </x:c>
      <x:c r="I852" s="77" t="str">
        <x:f>IF(A852="","",IF(E852="","기타/불명",IF(IFERROR(SEARCH("급여",E852),0)&gt;0,"인건비",IF(IFERROR(SEARCH("임차",E852),0)&gt;0,"임차·시설",IF(IFERROR(SEARCH("광고",E852),0)&gt;0,"광고·행사",IF(IFERROR(SEARCH("용역",E852),0)&gt;0,"용역·수수료","기타/불명"))))))</x:f>
      </x:c>
      <x:c r="J852" s="77" t="str">
        <x:f>IF(A852="","",IF(I852="기타/불명","확인 필요","결의서명으로 1차 확인"))</x:f>
      </x:c>
      <x:c r="K852" s="78"/>
    </x:row>
    <x:row r="853">
      <x:c r="A853" s="73"/>
      <x:c r="B853" s="73"/>
      <x:c r="C853" s="74"/>
      <x:c r="D853" s="73"/>
      <x:c r="E853" s="73"/>
      <x:c r="F853" s="75"/>
      <x:c r="G853" s="75"/>
      <x:c r="H853" s="76" t="str">
        <x:f>IF(A853="","",F853-G853)</x:f>
      </x:c>
      <x:c r="I853" s="77" t="str">
        <x:f>IF(A853="","",IF(E853="","기타/불명",IF(IFERROR(SEARCH("급여",E853),0)&gt;0,"인건비",IF(IFERROR(SEARCH("임차",E853),0)&gt;0,"임차·시설",IF(IFERROR(SEARCH("광고",E853),0)&gt;0,"광고·행사",IF(IFERROR(SEARCH("용역",E853),0)&gt;0,"용역·수수료","기타/불명"))))))</x:f>
      </x:c>
      <x:c r="J853" s="77" t="str">
        <x:f>IF(A853="","",IF(I853="기타/불명","확인 필요","결의서명으로 1차 확인"))</x:f>
      </x:c>
      <x:c r="K853" s="78"/>
    </x:row>
    <x:row r="854">
      <x:c r="A854" s="73"/>
      <x:c r="B854" s="73"/>
      <x:c r="C854" s="74"/>
      <x:c r="D854" s="73"/>
      <x:c r="E854" s="73"/>
      <x:c r="F854" s="75"/>
      <x:c r="G854" s="75"/>
      <x:c r="H854" s="76" t="str">
        <x:f>IF(A854="","",F854-G854)</x:f>
      </x:c>
      <x:c r="I854" s="77" t="str">
        <x:f>IF(A854="","",IF(E854="","기타/불명",IF(IFERROR(SEARCH("급여",E854),0)&gt;0,"인건비",IF(IFERROR(SEARCH("임차",E854),0)&gt;0,"임차·시설",IF(IFERROR(SEARCH("광고",E854),0)&gt;0,"광고·행사",IF(IFERROR(SEARCH("용역",E854),0)&gt;0,"용역·수수료","기타/불명"))))))</x:f>
      </x:c>
      <x:c r="J854" s="77" t="str">
        <x:f>IF(A854="","",IF(I854="기타/불명","확인 필요","결의서명으로 1차 확인"))</x:f>
      </x:c>
      <x:c r="K854" s="78"/>
    </x:row>
    <x:row r="855">
      <x:c r="A855" s="73"/>
      <x:c r="B855" s="73"/>
      <x:c r="C855" s="74"/>
      <x:c r="D855" s="73"/>
      <x:c r="E855" s="73"/>
      <x:c r="F855" s="75"/>
      <x:c r="G855" s="75"/>
      <x:c r="H855" s="76" t="str">
        <x:f>IF(A855="","",F855-G855)</x:f>
      </x:c>
      <x:c r="I855" s="77" t="str">
        <x:f>IF(A855="","",IF(E855="","기타/불명",IF(IFERROR(SEARCH("급여",E855),0)&gt;0,"인건비",IF(IFERROR(SEARCH("임차",E855),0)&gt;0,"임차·시설",IF(IFERROR(SEARCH("광고",E855),0)&gt;0,"광고·행사",IF(IFERROR(SEARCH("용역",E855),0)&gt;0,"용역·수수료","기타/불명"))))))</x:f>
      </x:c>
      <x:c r="J855" s="77" t="str">
        <x:f>IF(A855="","",IF(I855="기타/불명","확인 필요","결의서명으로 1차 확인"))</x:f>
      </x:c>
      <x:c r="K855" s="78"/>
    </x:row>
    <x:row r="856">
      <x:c r="A856" s="73"/>
      <x:c r="B856" s="73"/>
      <x:c r="C856" s="74"/>
      <x:c r="D856" s="73"/>
      <x:c r="E856" s="73"/>
      <x:c r="F856" s="75"/>
      <x:c r="G856" s="75"/>
      <x:c r="H856" s="76" t="str">
        <x:f>IF(A856="","",F856-G856)</x:f>
      </x:c>
      <x:c r="I856" s="77" t="str">
        <x:f>IF(A856="","",IF(E856="","기타/불명",IF(IFERROR(SEARCH("급여",E856),0)&gt;0,"인건비",IF(IFERROR(SEARCH("임차",E856),0)&gt;0,"임차·시설",IF(IFERROR(SEARCH("광고",E856),0)&gt;0,"광고·행사",IF(IFERROR(SEARCH("용역",E856),0)&gt;0,"용역·수수료","기타/불명"))))))</x:f>
      </x:c>
      <x:c r="J856" s="77" t="str">
        <x:f>IF(A856="","",IF(I856="기타/불명","확인 필요","결의서명으로 1차 확인"))</x:f>
      </x:c>
      <x:c r="K856" s="78"/>
    </x:row>
    <x:row r="857">
      <x:c r="A857" s="73"/>
      <x:c r="B857" s="73"/>
      <x:c r="C857" s="74"/>
      <x:c r="D857" s="73"/>
      <x:c r="E857" s="73"/>
      <x:c r="F857" s="75"/>
      <x:c r="G857" s="75"/>
      <x:c r="H857" s="76" t="str">
        <x:f>IF(A857="","",F857-G857)</x:f>
      </x:c>
      <x:c r="I857" s="77" t="str">
        <x:f>IF(A857="","",IF(E857="","기타/불명",IF(IFERROR(SEARCH("급여",E857),0)&gt;0,"인건비",IF(IFERROR(SEARCH("임차",E857),0)&gt;0,"임차·시설",IF(IFERROR(SEARCH("광고",E857),0)&gt;0,"광고·행사",IF(IFERROR(SEARCH("용역",E857),0)&gt;0,"용역·수수료","기타/불명"))))))</x:f>
      </x:c>
      <x:c r="J857" s="77" t="str">
        <x:f>IF(A857="","",IF(I857="기타/불명","확인 필요","결의서명으로 1차 확인"))</x:f>
      </x:c>
      <x:c r="K857" s="78"/>
    </x:row>
    <x:row r="858">
      <x:c r="A858" s="73"/>
      <x:c r="B858" s="73"/>
      <x:c r="C858" s="74"/>
      <x:c r="D858" s="73"/>
      <x:c r="E858" s="73"/>
      <x:c r="F858" s="75"/>
      <x:c r="G858" s="75"/>
      <x:c r="H858" s="76" t="str">
        <x:f>IF(A858="","",F858-G858)</x:f>
      </x:c>
      <x:c r="I858" s="77" t="str">
        <x:f>IF(A858="","",IF(E858="","기타/불명",IF(IFERROR(SEARCH("급여",E858),0)&gt;0,"인건비",IF(IFERROR(SEARCH("임차",E858),0)&gt;0,"임차·시설",IF(IFERROR(SEARCH("광고",E858),0)&gt;0,"광고·행사",IF(IFERROR(SEARCH("용역",E858),0)&gt;0,"용역·수수료","기타/불명"))))))</x:f>
      </x:c>
      <x:c r="J858" s="77" t="str">
        <x:f>IF(A858="","",IF(I858="기타/불명","확인 필요","결의서명으로 1차 확인"))</x:f>
      </x:c>
      <x:c r="K858" s="78"/>
    </x:row>
    <x:row r="859">
      <x:c r="A859" s="73"/>
      <x:c r="B859" s="73"/>
      <x:c r="C859" s="74"/>
      <x:c r="D859" s="73"/>
      <x:c r="E859" s="73"/>
      <x:c r="F859" s="75"/>
      <x:c r="G859" s="75"/>
      <x:c r="H859" s="76" t="str">
        <x:f>IF(A859="","",F859-G859)</x:f>
      </x:c>
      <x:c r="I859" s="77" t="str">
        <x:f>IF(A859="","",IF(E859="","기타/불명",IF(IFERROR(SEARCH("급여",E859),0)&gt;0,"인건비",IF(IFERROR(SEARCH("임차",E859),0)&gt;0,"임차·시설",IF(IFERROR(SEARCH("광고",E859),0)&gt;0,"광고·행사",IF(IFERROR(SEARCH("용역",E859),0)&gt;0,"용역·수수료","기타/불명"))))))</x:f>
      </x:c>
      <x:c r="J859" s="77" t="str">
        <x:f>IF(A859="","",IF(I859="기타/불명","확인 필요","결의서명으로 1차 확인"))</x:f>
      </x:c>
      <x:c r="K859" s="78"/>
    </x:row>
    <x:row r="860">
      <x:c r="A860" s="73"/>
      <x:c r="B860" s="73"/>
      <x:c r="C860" s="74"/>
      <x:c r="D860" s="73"/>
      <x:c r="E860" s="73"/>
      <x:c r="F860" s="75"/>
      <x:c r="G860" s="75"/>
      <x:c r="H860" s="76" t="str">
        <x:f>IF(A860="","",F860-G860)</x:f>
      </x:c>
      <x:c r="I860" s="77" t="str">
        <x:f>IF(A860="","",IF(E860="","기타/불명",IF(IFERROR(SEARCH("급여",E860),0)&gt;0,"인건비",IF(IFERROR(SEARCH("임차",E860),0)&gt;0,"임차·시설",IF(IFERROR(SEARCH("광고",E860),0)&gt;0,"광고·행사",IF(IFERROR(SEARCH("용역",E860),0)&gt;0,"용역·수수료","기타/불명"))))))</x:f>
      </x:c>
      <x:c r="J860" s="77" t="str">
        <x:f>IF(A860="","",IF(I860="기타/불명","확인 필요","결의서명으로 1차 확인"))</x:f>
      </x:c>
      <x:c r="K860" s="78"/>
    </x:row>
    <x:row r="861">
      <x:c r="A861" s="73"/>
      <x:c r="B861" s="73"/>
      <x:c r="C861" s="74"/>
      <x:c r="D861" s="73"/>
      <x:c r="E861" s="73"/>
      <x:c r="F861" s="75"/>
      <x:c r="G861" s="75"/>
      <x:c r="H861" s="76" t="str">
        <x:f>IF(A861="","",F861-G861)</x:f>
      </x:c>
      <x:c r="I861" s="77" t="str">
        <x:f>IF(A861="","",IF(E861="","기타/불명",IF(IFERROR(SEARCH("급여",E861),0)&gt;0,"인건비",IF(IFERROR(SEARCH("임차",E861),0)&gt;0,"임차·시설",IF(IFERROR(SEARCH("광고",E861),0)&gt;0,"광고·행사",IF(IFERROR(SEARCH("용역",E861),0)&gt;0,"용역·수수료","기타/불명"))))))</x:f>
      </x:c>
      <x:c r="J861" s="77" t="str">
        <x:f>IF(A861="","",IF(I861="기타/불명","확인 필요","결의서명으로 1차 확인"))</x:f>
      </x:c>
      <x:c r="K861" s="78"/>
    </x:row>
    <x:row r="862">
      <x:c r="A862" s="73"/>
      <x:c r="B862" s="73"/>
      <x:c r="C862" s="74"/>
      <x:c r="D862" s="73"/>
      <x:c r="E862" s="73"/>
      <x:c r="F862" s="75"/>
      <x:c r="G862" s="75"/>
      <x:c r="H862" s="76" t="str">
        <x:f>IF(A862="","",F862-G862)</x:f>
      </x:c>
      <x:c r="I862" s="77" t="str">
        <x:f>IF(A862="","",IF(E862="","기타/불명",IF(IFERROR(SEARCH("급여",E862),0)&gt;0,"인건비",IF(IFERROR(SEARCH("임차",E862),0)&gt;0,"임차·시설",IF(IFERROR(SEARCH("광고",E862),0)&gt;0,"광고·행사",IF(IFERROR(SEARCH("용역",E862),0)&gt;0,"용역·수수료","기타/불명"))))))</x:f>
      </x:c>
      <x:c r="J862" s="77" t="str">
        <x:f>IF(A862="","",IF(I862="기타/불명","확인 필요","결의서명으로 1차 확인"))</x:f>
      </x:c>
      <x:c r="K862" s="78"/>
    </x:row>
    <x:row r="863">
      <x:c r="A863" s="73"/>
      <x:c r="B863" s="73"/>
      <x:c r="C863" s="74"/>
      <x:c r="D863" s="73"/>
      <x:c r="E863" s="73"/>
      <x:c r="F863" s="75"/>
      <x:c r="G863" s="75"/>
      <x:c r="H863" s="76" t="str">
        <x:f>IF(A863="","",F863-G863)</x:f>
      </x:c>
      <x:c r="I863" s="77" t="str">
        <x:f>IF(A863="","",IF(E863="","기타/불명",IF(IFERROR(SEARCH("급여",E863),0)&gt;0,"인건비",IF(IFERROR(SEARCH("임차",E863),0)&gt;0,"임차·시설",IF(IFERROR(SEARCH("광고",E863),0)&gt;0,"광고·행사",IF(IFERROR(SEARCH("용역",E863),0)&gt;0,"용역·수수료","기타/불명"))))))</x:f>
      </x:c>
      <x:c r="J863" s="77" t="str">
        <x:f>IF(A863="","",IF(I863="기타/불명","확인 필요","결의서명으로 1차 확인"))</x:f>
      </x:c>
      <x:c r="K863" s="78"/>
    </x:row>
    <x:row r="864">
      <x:c r="A864" s="73"/>
      <x:c r="B864" s="73"/>
      <x:c r="C864" s="74"/>
      <x:c r="D864" s="73"/>
      <x:c r="E864" s="73"/>
      <x:c r="F864" s="75"/>
      <x:c r="G864" s="75"/>
      <x:c r="H864" s="76" t="str">
        <x:f>IF(A864="","",F864-G864)</x:f>
      </x:c>
      <x:c r="I864" s="77" t="str">
        <x:f>IF(A864="","",IF(E864="","기타/불명",IF(IFERROR(SEARCH("급여",E864),0)&gt;0,"인건비",IF(IFERROR(SEARCH("임차",E864),0)&gt;0,"임차·시설",IF(IFERROR(SEARCH("광고",E864),0)&gt;0,"광고·행사",IF(IFERROR(SEARCH("용역",E864),0)&gt;0,"용역·수수료","기타/불명"))))))</x:f>
      </x:c>
      <x:c r="J864" s="77" t="str">
        <x:f>IF(A864="","",IF(I864="기타/불명","확인 필요","결의서명으로 1차 확인"))</x:f>
      </x:c>
      <x:c r="K864" s="78"/>
    </x:row>
    <x:row r="865">
      <x:c r="A865" s="73"/>
      <x:c r="B865" s="73"/>
      <x:c r="C865" s="74"/>
      <x:c r="D865" s="73"/>
      <x:c r="E865" s="73"/>
      <x:c r="F865" s="75"/>
      <x:c r="G865" s="75"/>
      <x:c r="H865" s="76" t="str">
        <x:f>IF(A865="","",F865-G865)</x:f>
      </x:c>
      <x:c r="I865" s="77" t="str">
        <x:f>IF(A865="","",IF(E865="","기타/불명",IF(IFERROR(SEARCH("급여",E865),0)&gt;0,"인건비",IF(IFERROR(SEARCH("임차",E865),0)&gt;0,"임차·시설",IF(IFERROR(SEARCH("광고",E865),0)&gt;0,"광고·행사",IF(IFERROR(SEARCH("용역",E865),0)&gt;0,"용역·수수료","기타/불명"))))))</x:f>
      </x:c>
      <x:c r="J865" s="77" t="str">
        <x:f>IF(A865="","",IF(I865="기타/불명","확인 필요","결의서명으로 1차 확인"))</x:f>
      </x:c>
      <x:c r="K865" s="78"/>
    </x:row>
    <x:row r="866">
      <x:c r="A866" s="73"/>
      <x:c r="B866" s="73"/>
      <x:c r="C866" s="74"/>
      <x:c r="D866" s="73"/>
      <x:c r="E866" s="73"/>
      <x:c r="F866" s="75"/>
      <x:c r="G866" s="75"/>
      <x:c r="H866" s="76" t="str">
        <x:f>IF(A866="","",F866-G866)</x:f>
      </x:c>
      <x:c r="I866" s="77" t="str">
        <x:f>IF(A866="","",IF(E866="","기타/불명",IF(IFERROR(SEARCH("급여",E866),0)&gt;0,"인건비",IF(IFERROR(SEARCH("임차",E866),0)&gt;0,"임차·시설",IF(IFERROR(SEARCH("광고",E866),0)&gt;0,"광고·행사",IF(IFERROR(SEARCH("용역",E866),0)&gt;0,"용역·수수료","기타/불명"))))))</x:f>
      </x:c>
      <x:c r="J866" s="77" t="str">
        <x:f>IF(A866="","",IF(I866="기타/불명","확인 필요","결의서명으로 1차 확인"))</x:f>
      </x:c>
      <x:c r="K866" s="78"/>
    </x:row>
    <x:row r="867">
      <x:c r="A867" s="73"/>
      <x:c r="B867" s="73"/>
      <x:c r="C867" s="74"/>
      <x:c r="D867" s="73"/>
      <x:c r="E867" s="73"/>
      <x:c r="F867" s="75"/>
      <x:c r="G867" s="75"/>
      <x:c r="H867" s="76" t="str">
        <x:f>IF(A867="","",F867-G867)</x:f>
      </x:c>
      <x:c r="I867" s="77" t="str">
        <x:f>IF(A867="","",IF(E867="","기타/불명",IF(IFERROR(SEARCH("급여",E867),0)&gt;0,"인건비",IF(IFERROR(SEARCH("임차",E867),0)&gt;0,"임차·시설",IF(IFERROR(SEARCH("광고",E867),0)&gt;0,"광고·행사",IF(IFERROR(SEARCH("용역",E867),0)&gt;0,"용역·수수료","기타/불명"))))))</x:f>
      </x:c>
      <x:c r="J867" s="77" t="str">
        <x:f>IF(A867="","",IF(I867="기타/불명","확인 필요","결의서명으로 1차 확인"))</x:f>
      </x:c>
      <x:c r="K867" s="78"/>
    </x:row>
    <x:row r="868">
      <x:c r="A868" s="73"/>
      <x:c r="B868" s="73"/>
      <x:c r="C868" s="74"/>
      <x:c r="D868" s="73"/>
      <x:c r="E868" s="73"/>
      <x:c r="F868" s="75"/>
      <x:c r="G868" s="75"/>
      <x:c r="H868" s="76" t="str">
        <x:f>IF(A868="","",F868-G868)</x:f>
      </x:c>
      <x:c r="I868" s="77" t="str">
        <x:f>IF(A868="","",IF(E868="","기타/불명",IF(IFERROR(SEARCH("급여",E868),0)&gt;0,"인건비",IF(IFERROR(SEARCH("임차",E868),0)&gt;0,"임차·시설",IF(IFERROR(SEARCH("광고",E868),0)&gt;0,"광고·행사",IF(IFERROR(SEARCH("용역",E868),0)&gt;0,"용역·수수료","기타/불명"))))))</x:f>
      </x:c>
      <x:c r="J868" s="77" t="str">
        <x:f>IF(A868="","",IF(I868="기타/불명","확인 필요","결의서명으로 1차 확인"))</x:f>
      </x:c>
      <x:c r="K868" s="78"/>
    </x:row>
    <x:row r="869">
      <x:c r="A869" s="73"/>
      <x:c r="B869" s="73"/>
      <x:c r="C869" s="74"/>
      <x:c r="D869" s="73"/>
      <x:c r="E869" s="73"/>
      <x:c r="F869" s="75"/>
      <x:c r="G869" s="75"/>
      <x:c r="H869" s="76" t="str">
        <x:f>IF(A869="","",F869-G869)</x:f>
      </x:c>
      <x:c r="I869" s="77" t="str">
        <x:f>IF(A869="","",IF(E869="","기타/불명",IF(IFERROR(SEARCH("급여",E869),0)&gt;0,"인건비",IF(IFERROR(SEARCH("임차",E869),0)&gt;0,"임차·시설",IF(IFERROR(SEARCH("광고",E869),0)&gt;0,"광고·행사",IF(IFERROR(SEARCH("용역",E869),0)&gt;0,"용역·수수료","기타/불명"))))))</x:f>
      </x:c>
      <x:c r="J869" s="77" t="str">
        <x:f>IF(A869="","",IF(I869="기타/불명","확인 필요","결의서명으로 1차 확인"))</x:f>
      </x:c>
      <x:c r="K869" s="78"/>
    </x:row>
    <x:row r="870">
      <x:c r="A870" s="73"/>
      <x:c r="B870" s="73"/>
      <x:c r="C870" s="74"/>
      <x:c r="D870" s="73"/>
      <x:c r="E870" s="73"/>
      <x:c r="F870" s="75"/>
      <x:c r="G870" s="75"/>
      <x:c r="H870" s="76" t="str">
        <x:f>IF(A870="","",F870-G870)</x:f>
      </x:c>
      <x:c r="I870" s="77" t="str">
        <x:f>IF(A870="","",IF(E870="","기타/불명",IF(IFERROR(SEARCH("급여",E870),0)&gt;0,"인건비",IF(IFERROR(SEARCH("임차",E870),0)&gt;0,"임차·시설",IF(IFERROR(SEARCH("광고",E870),0)&gt;0,"광고·행사",IF(IFERROR(SEARCH("용역",E870),0)&gt;0,"용역·수수료","기타/불명"))))))</x:f>
      </x:c>
      <x:c r="J870" s="77" t="str">
        <x:f>IF(A870="","",IF(I870="기타/불명","확인 필요","결의서명으로 1차 확인"))</x:f>
      </x:c>
      <x:c r="K870" s="78"/>
    </x:row>
    <x:row r="871">
      <x:c r="A871" s="73"/>
      <x:c r="B871" s="73"/>
      <x:c r="C871" s="74"/>
      <x:c r="D871" s="73"/>
      <x:c r="E871" s="73"/>
      <x:c r="F871" s="75"/>
      <x:c r="G871" s="75"/>
      <x:c r="H871" s="76" t="str">
        <x:f>IF(A871="","",F871-G871)</x:f>
      </x:c>
      <x:c r="I871" s="77" t="str">
        <x:f>IF(A871="","",IF(E871="","기타/불명",IF(IFERROR(SEARCH("급여",E871),0)&gt;0,"인건비",IF(IFERROR(SEARCH("임차",E871),0)&gt;0,"임차·시설",IF(IFERROR(SEARCH("광고",E871),0)&gt;0,"광고·행사",IF(IFERROR(SEARCH("용역",E871),0)&gt;0,"용역·수수료","기타/불명"))))))</x:f>
      </x:c>
      <x:c r="J871" s="77" t="str">
        <x:f>IF(A871="","",IF(I871="기타/불명","확인 필요","결의서명으로 1차 확인"))</x:f>
      </x:c>
      <x:c r="K871" s="78"/>
    </x:row>
    <x:row r="872">
      <x:c r="A872" s="73"/>
      <x:c r="B872" s="73"/>
      <x:c r="C872" s="74"/>
      <x:c r="D872" s="73"/>
      <x:c r="E872" s="73"/>
      <x:c r="F872" s="75"/>
      <x:c r="G872" s="75"/>
      <x:c r="H872" s="76" t="str">
        <x:f>IF(A872="","",F872-G872)</x:f>
      </x:c>
      <x:c r="I872" s="77" t="str">
        <x:f>IF(A872="","",IF(E872="","기타/불명",IF(IFERROR(SEARCH("급여",E872),0)&gt;0,"인건비",IF(IFERROR(SEARCH("임차",E872),0)&gt;0,"임차·시설",IF(IFERROR(SEARCH("광고",E872),0)&gt;0,"광고·행사",IF(IFERROR(SEARCH("용역",E872),0)&gt;0,"용역·수수료","기타/불명"))))))</x:f>
      </x:c>
      <x:c r="J872" s="77" t="str">
        <x:f>IF(A872="","",IF(I872="기타/불명","확인 필요","결의서명으로 1차 확인"))</x:f>
      </x:c>
      <x:c r="K872" s="78"/>
    </x:row>
    <x:row r="873">
      <x:c r="A873" s="73"/>
      <x:c r="B873" s="73"/>
      <x:c r="C873" s="74"/>
      <x:c r="D873" s="73"/>
      <x:c r="E873" s="73"/>
      <x:c r="F873" s="75"/>
      <x:c r="G873" s="75"/>
      <x:c r="H873" s="76" t="str">
        <x:f>IF(A873="","",F873-G873)</x:f>
      </x:c>
      <x:c r="I873" s="77" t="str">
        <x:f>IF(A873="","",IF(E873="","기타/불명",IF(IFERROR(SEARCH("급여",E873),0)&gt;0,"인건비",IF(IFERROR(SEARCH("임차",E873),0)&gt;0,"임차·시설",IF(IFERROR(SEARCH("광고",E873),0)&gt;0,"광고·행사",IF(IFERROR(SEARCH("용역",E873),0)&gt;0,"용역·수수료","기타/불명"))))))</x:f>
      </x:c>
      <x:c r="J873" s="77" t="str">
        <x:f>IF(A873="","",IF(I873="기타/불명","확인 필요","결의서명으로 1차 확인"))</x:f>
      </x:c>
      <x:c r="K873" s="78"/>
    </x:row>
    <x:row r="874">
      <x:c r="A874" s="73"/>
      <x:c r="B874" s="73"/>
      <x:c r="C874" s="74"/>
      <x:c r="D874" s="73"/>
      <x:c r="E874" s="73"/>
      <x:c r="F874" s="75"/>
      <x:c r="G874" s="75"/>
      <x:c r="H874" s="76" t="str">
        <x:f>IF(A874="","",F874-G874)</x:f>
      </x:c>
      <x:c r="I874" s="77" t="str">
        <x:f>IF(A874="","",IF(E874="","기타/불명",IF(IFERROR(SEARCH("급여",E874),0)&gt;0,"인건비",IF(IFERROR(SEARCH("임차",E874),0)&gt;0,"임차·시설",IF(IFERROR(SEARCH("광고",E874),0)&gt;0,"광고·행사",IF(IFERROR(SEARCH("용역",E874),0)&gt;0,"용역·수수료","기타/불명"))))))</x:f>
      </x:c>
      <x:c r="J874" s="77" t="str">
        <x:f>IF(A874="","",IF(I874="기타/불명","확인 필요","결의서명으로 1차 확인"))</x:f>
      </x:c>
      <x:c r="K874" s="78"/>
    </x:row>
    <x:row r="875">
      <x:c r="A875" s="73"/>
      <x:c r="B875" s="73"/>
      <x:c r="C875" s="74"/>
      <x:c r="D875" s="73"/>
      <x:c r="E875" s="73"/>
      <x:c r="F875" s="75"/>
      <x:c r="G875" s="75"/>
      <x:c r="H875" s="76" t="str">
        <x:f>IF(A875="","",F875-G875)</x:f>
      </x:c>
      <x:c r="I875" s="77" t="str">
        <x:f>IF(A875="","",IF(E875="","기타/불명",IF(IFERROR(SEARCH("급여",E875),0)&gt;0,"인건비",IF(IFERROR(SEARCH("임차",E875),0)&gt;0,"임차·시설",IF(IFERROR(SEARCH("광고",E875),0)&gt;0,"광고·행사",IF(IFERROR(SEARCH("용역",E875),0)&gt;0,"용역·수수료","기타/불명"))))))</x:f>
      </x:c>
      <x:c r="J875" s="77" t="str">
        <x:f>IF(A875="","",IF(I875="기타/불명","확인 필요","결의서명으로 1차 확인"))</x:f>
      </x:c>
      <x:c r="K875" s="78"/>
    </x:row>
    <x:row r="876">
      <x:c r="A876" s="73"/>
      <x:c r="B876" s="73"/>
      <x:c r="C876" s="74"/>
      <x:c r="D876" s="73"/>
      <x:c r="E876" s="73"/>
      <x:c r="F876" s="75"/>
      <x:c r="G876" s="75"/>
      <x:c r="H876" s="76" t="str">
        <x:f>IF(A876="","",F876-G876)</x:f>
      </x:c>
      <x:c r="I876" s="77" t="str">
        <x:f>IF(A876="","",IF(E876="","기타/불명",IF(IFERROR(SEARCH("급여",E876),0)&gt;0,"인건비",IF(IFERROR(SEARCH("임차",E876),0)&gt;0,"임차·시설",IF(IFERROR(SEARCH("광고",E876),0)&gt;0,"광고·행사",IF(IFERROR(SEARCH("용역",E876),0)&gt;0,"용역·수수료","기타/불명"))))))</x:f>
      </x:c>
      <x:c r="J876" s="77" t="str">
        <x:f>IF(A876="","",IF(I876="기타/불명","확인 필요","결의서명으로 1차 확인"))</x:f>
      </x:c>
      <x:c r="K876" s="78"/>
    </x:row>
    <x:row r="877">
      <x:c r="A877" s="73"/>
      <x:c r="B877" s="73"/>
      <x:c r="C877" s="74"/>
      <x:c r="D877" s="73"/>
      <x:c r="E877" s="73"/>
      <x:c r="F877" s="75"/>
      <x:c r="G877" s="75"/>
      <x:c r="H877" s="76" t="str">
        <x:f>IF(A877="","",F877-G877)</x:f>
      </x:c>
      <x:c r="I877" s="77" t="str">
        <x:f>IF(A877="","",IF(E877="","기타/불명",IF(IFERROR(SEARCH("급여",E877),0)&gt;0,"인건비",IF(IFERROR(SEARCH("임차",E877),0)&gt;0,"임차·시설",IF(IFERROR(SEARCH("광고",E877),0)&gt;0,"광고·행사",IF(IFERROR(SEARCH("용역",E877),0)&gt;0,"용역·수수료","기타/불명"))))))</x:f>
      </x:c>
      <x:c r="J877" s="77" t="str">
        <x:f>IF(A877="","",IF(I877="기타/불명","확인 필요","결의서명으로 1차 확인"))</x:f>
      </x:c>
      <x:c r="K877" s="78"/>
    </x:row>
    <x:row r="878">
      <x:c r="A878" s="73"/>
      <x:c r="B878" s="73"/>
      <x:c r="C878" s="74"/>
      <x:c r="D878" s="73"/>
      <x:c r="E878" s="73"/>
      <x:c r="F878" s="75"/>
      <x:c r="G878" s="75"/>
      <x:c r="H878" s="76" t="str">
        <x:f>IF(A878="","",F878-G878)</x:f>
      </x:c>
      <x:c r="I878" s="77" t="str">
        <x:f>IF(A878="","",IF(E878="","기타/불명",IF(IFERROR(SEARCH("급여",E878),0)&gt;0,"인건비",IF(IFERROR(SEARCH("임차",E878),0)&gt;0,"임차·시설",IF(IFERROR(SEARCH("광고",E878),0)&gt;0,"광고·행사",IF(IFERROR(SEARCH("용역",E878),0)&gt;0,"용역·수수료","기타/불명"))))))</x:f>
      </x:c>
      <x:c r="J878" s="77" t="str">
        <x:f>IF(A878="","",IF(I878="기타/불명","확인 필요","결의서명으로 1차 확인"))</x:f>
      </x:c>
      <x:c r="K878" s="78"/>
    </x:row>
    <x:row r="879">
      <x:c r="A879" s="73"/>
      <x:c r="B879" s="73"/>
      <x:c r="C879" s="74"/>
      <x:c r="D879" s="73"/>
      <x:c r="E879" s="73"/>
      <x:c r="F879" s="75"/>
      <x:c r="G879" s="75"/>
      <x:c r="H879" s="76" t="str">
        <x:f>IF(A879="","",F879-G879)</x:f>
      </x:c>
      <x:c r="I879" s="77" t="str">
        <x:f>IF(A879="","",IF(E879="","기타/불명",IF(IFERROR(SEARCH("급여",E879),0)&gt;0,"인건비",IF(IFERROR(SEARCH("임차",E879),0)&gt;0,"임차·시설",IF(IFERROR(SEARCH("광고",E879),0)&gt;0,"광고·행사",IF(IFERROR(SEARCH("용역",E879),0)&gt;0,"용역·수수료","기타/불명"))))))</x:f>
      </x:c>
      <x:c r="J879" s="77" t="str">
        <x:f>IF(A879="","",IF(I879="기타/불명","확인 필요","결의서명으로 1차 확인"))</x:f>
      </x:c>
      <x:c r="K879" s="78"/>
    </x:row>
    <x:row r="880">
      <x:c r="A880" s="73"/>
      <x:c r="B880" s="73"/>
      <x:c r="C880" s="74"/>
      <x:c r="D880" s="73"/>
      <x:c r="E880" s="73"/>
      <x:c r="F880" s="75"/>
      <x:c r="G880" s="75"/>
      <x:c r="H880" s="76" t="str">
        <x:f>IF(A880="","",F880-G880)</x:f>
      </x:c>
      <x:c r="I880" s="77" t="str">
        <x:f>IF(A880="","",IF(E880="","기타/불명",IF(IFERROR(SEARCH("급여",E880),0)&gt;0,"인건비",IF(IFERROR(SEARCH("임차",E880),0)&gt;0,"임차·시설",IF(IFERROR(SEARCH("광고",E880),0)&gt;0,"광고·행사",IF(IFERROR(SEARCH("용역",E880),0)&gt;0,"용역·수수료","기타/불명"))))))</x:f>
      </x:c>
      <x:c r="J880" s="77" t="str">
        <x:f>IF(A880="","",IF(I880="기타/불명","확인 필요","결의서명으로 1차 확인"))</x:f>
      </x:c>
      <x:c r="K880" s="78"/>
    </x:row>
    <x:row r="881">
      <x:c r="A881" s="73"/>
      <x:c r="B881" s="73"/>
      <x:c r="C881" s="74"/>
      <x:c r="D881" s="73"/>
      <x:c r="E881" s="73"/>
      <x:c r="F881" s="75"/>
      <x:c r="G881" s="75"/>
      <x:c r="H881" s="76" t="str">
        <x:f>IF(A881="","",F881-G881)</x:f>
      </x:c>
      <x:c r="I881" s="77" t="str">
        <x:f>IF(A881="","",IF(E881="","기타/불명",IF(IFERROR(SEARCH("급여",E881),0)&gt;0,"인건비",IF(IFERROR(SEARCH("임차",E881),0)&gt;0,"임차·시설",IF(IFERROR(SEARCH("광고",E881),0)&gt;0,"광고·행사",IF(IFERROR(SEARCH("용역",E881),0)&gt;0,"용역·수수료","기타/불명"))))))</x:f>
      </x:c>
      <x:c r="J881" s="77" t="str">
        <x:f>IF(A881="","",IF(I881="기타/불명","확인 필요","결의서명으로 1차 확인"))</x:f>
      </x:c>
      <x:c r="K881" s="78"/>
    </x:row>
    <x:row r="882">
      <x:c r="A882" s="73"/>
      <x:c r="B882" s="73"/>
      <x:c r="C882" s="74"/>
      <x:c r="D882" s="73"/>
      <x:c r="E882" s="73"/>
      <x:c r="F882" s="75"/>
      <x:c r="G882" s="75"/>
      <x:c r="H882" s="76" t="str">
        <x:f>IF(A882="","",F882-G882)</x:f>
      </x:c>
      <x:c r="I882" s="77" t="str">
        <x:f>IF(A882="","",IF(E882="","기타/불명",IF(IFERROR(SEARCH("급여",E882),0)&gt;0,"인건비",IF(IFERROR(SEARCH("임차",E882),0)&gt;0,"임차·시설",IF(IFERROR(SEARCH("광고",E882),0)&gt;0,"광고·행사",IF(IFERROR(SEARCH("용역",E882),0)&gt;0,"용역·수수료","기타/불명"))))))</x:f>
      </x:c>
      <x:c r="J882" s="77" t="str">
        <x:f>IF(A882="","",IF(I882="기타/불명","확인 필요","결의서명으로 1차 확인"))</x:f>
      </x:c>
      <x:c r="K882" s="78"/>
    </x:row>
    <x:row r="883">
      <x:c r="A883" s="73"/>
      <x:c r="B883" s="73"/>
      <x:c r="C883" s="74"/>
      <x:c r="D883" s="73"/>
      <x:c r="E883" s="73"/>
      <x:c r="F883" s="75"/>
      <x:c r="G883" s="75"/>
      <x:c r="H883" s="76" t="str">
        <x:f>IF(A883="","",F883-G883)</x:f>
      </x:c>
      <x:c r="I883" s="77" t="str">
        <x:f>IF(A883="","",IF(E883="","기타/불명",IF(IFERROR(SEARCH("급여",E883),0)&gt;0,"인건비",IF(IFERROR(SEARCH("임차",E883),0)&gt;0,"임차·시설",IF(IFERROR(SEARCH("광고",E883),0)&gt;0,"광고·행사",IF(IFERROR(SEARCH("용역",E883),0)&gt;0,"용역·수수료","기타/불명"))))))</x:f>
      </x:c>
      <x:c r="J883" s="77" t="str">
        <x:f>IF(A883="","",IF(I883="기타/불명","확인 필요","결의서명으로 1차 확인"))</x:f>
      </x:c>
      <x:c r="K883" s="78"/>
    </x:row>
    <x:row r="884">
      <x:c r="A884" s="73"/>
      <x:c r="B884" s="73"/>
      <x:c r="C884" s="74"/>
      <x:c r="D884" s="73"/>
      <x:c r="E884" s="73"/>
      <x:c r="F884" s="75"/>
      <x:c r="G884" s="75"/>
      <x:c r="H884" s="76" t="str">
        <x:f>IF(A884="","",F884-G884)</x:f>
      </x:c>
      <x:c r="I884" s="77" t="str">
        <x:f>IF(A884="","",IF(E884="","기타/불명",IF(IFERROR(SEARCH("급여",E884),0)&gt;0,"인건비",IF(IFERROR(SEARCH("임차",E884),0)&gt;0,"임차·시설",IF(IFERROR(SEARCH("광고",E884),0)&gt;0,"광고·행사",IF(IFERROR(SEARCH("용역",E884),0)&gt;0,"용역·수수료","기타/불명"))))))</x:f>
      </x:c>
      <x:c r="J884" s="77" t="str">
        <x:f>IF(A884="","",IF(I884="기타/불명","확인 필요","결의서명으로 1차 확인"))</x:f>
      </x:c>
      <x:c r="K884" s="78"/>
    </x:row>
    <x:row r="885">
      <x:c r="A885" s="73"/>
      <x:c r="B885" s="73"/>
      <x:c r="C885" s="74"/>
      <x:c r="D885" s="73"/>
      <x:c r="E885" s="73"/>
      <x:c r="F885" s="75"/>
      <x:c r="G885" s="75"/>
      <x:c r="H885" s="76" t="str">
        <x:f>IF(A885="","",F885-G885)</x:f>
      </x:c>
      <x:c r="I885" s="77" t="str">
        <x:f>IF(A885="","",IF(E885="","기타/불명",IF(IFERROR(SEARCH("급여",E885),0)&gt;0,"인건비",IF(IFERROR(SEARCH("임차",E885),0)&gt;0,"임차·시설",IF(IFERROR(SEARCH("광고",E885),0)&gt;0,"광고·행사",IF(IFERROR(SEARCH("용역",E885),0)&gt;0,"용역·수수료","기타/불명"))))))</x:f>
      </x:c>
      <x:c r="J885" s="77" t="str">
        <x:f>IF(A885="","",IF(I885="기타/불명","확인 필요","결의서명으로 1차 확인"))</x:f>
      </x:c>
      <x:c r="K885" s="78"/>
    </x:row>
    <x:row r="886">
      <x:c r="A886" s="73"/>
      <x:c r="B886" s="73"/>
      <x:c r="C886" s="74"/>
      <x:c r="D886" s="73"/>
      <x:c r="E886" s="73"/>
      <x:c r="F886" s="75"/>
      <x:c r="G886" s="75"/>
      <x:c r="H886" s="76" t="str">
        <x:f>IF(A886="","",F886-G886)</x:f>
      </x:c>
      <x:c r="I886" s="77" t="str">
        <x:f>IF(A886="","",IF(E886="","기타/불명",IF(IFERROR(SEARCH("급여",E886),0)&gt;0,"인건비",IF(IFERROR(SEARCH("임차",E886),0)&gt;0,"임차·시설",IF(IFERROR(SEARCH("광고",E886),0)&gt;0,"광고·행사",IF(IFERROR(SEARCH("용역",E886),0)&gt;0,"용역·수수료","기타/불명"))))))</x:f>
      </x:c>
      <x:c r="J886" s="77" t="str">
        <x:f>IF(A886="","",IF(I886="기타/불명","확인 필요","결의서명으로 1차 확인"))</x:f>
      </x:c>
      <x:c r="K886" s="78"/>
    </x:row>
    <x:row r="887">
      <x:c r="A887" s="73"/>
      <x:c r="B887" s="73"/>
      <x:c r="C887" s="74"/>
      <x:c r="D887" s="73"/>
      <x:c r="E887" s="73"/>
      <x:c r="F887" s="75"/>
      <x:c r="G887" s="75"/>
      <x:c r="H887" s="76" t="str">
        <x:f>IF(A887="","",F887-G887)</x:f>
      </x:c>
      <x:c r="I887" s="77" t="str">
        <x:f>IF(A887="","",IF(E887="","기타/불명",IF(IFERROR(SEARCH("급여",E887),0)&gt;0,"인건비",IF(IFERROR(SEARCH("임차",E887),0)&gt;0,"임차·시설",IF(IFERROR(SEARCH("광고",E887),0)&gt;0,"광고·행사",IF(IFERROR(SEARCH("용역",E887),0)&gt;0,"용역·수수료","기타/불명"))))))</x:f>
      </x:c>
      <x:c r="J887" s="77" t="str">
        <x:f>IF(A887="","",IF(I887="기타/불명","확인 필요","결의서명으로 1차 확인"))</x:f>
      </x:c>
      <x:c r="K887" s="78"/>
    </x:row>
    <x:row r="888">
      <x:c r="A888" s="73"/>
      <x:c r="B888" s="73"/>
      <x:c r="C888" s="74"/>
      <x:c r="D888" s="73"/>
      <x:c r="E888" s="73"/>
      <x:c r="F888" s="75"/>
      <x:c r="G888" s="75"/>
      <x:c r="H888" s="76" t="str">
        <x:f>IF(A888="","",F888-G888)</x:f>
      </x:c>
      <x:c r="I888" s="77" t="str">
        <x:f>IF(A888="","",IF(E888="","기타/불명",IF(IFERROR(SEARCH("급여",E888),0)&gt;0,"인건비",IF(IFERROR(SEARCH("임차",E888),0)&gt;0,"임차·시설",IF(IFERROR(SEARCH("광고",E888),0)&gt;0,"광고·행사",IF(IFERROR(SEARCH("용역",E888),0)&gt;0,"용역·수수료","기타/불명"))))))</x:f>
      </x:c>
      <x:c r="J888" s="77" t="str">
        <x:f>IF(A888="","",IF(I888="기타/불명","확인 필요","결의서명으로 1차 확인"))</x:f>
      </x:c>
      <x:c r="K888" s="78"/>
    </x:row>
    <x:row r="889">
      <x:c r="A889" s="73"/>
      <x:c r="B889" s="73"/>
      <x:c r="C889" s="74"/>
      <x:c r="D889" s="73"/>
      <x:c r="E889" s="73"/>
      <x:c r="F889" s="75"/>
      <x:c r="G889" s="75"/>
      <x:c r="H889" s="76" t="str">
        <x:f>IF(A889="","",F889-G889)</x:f>
      </x:c>
      <x:c r="I889" s="77" t="str">
        <x:f>IF(A889="","",IF(E889="","기타/불명",IF(IFERROR(SEARCH("급여",E889),0)&gt;0,"인건비",IF(IFERROR(SEARCH("임차",E889),0)&gt;0,"임차·시설",IF(IFERROR(SEARCH("광고",E889),0)&gt;0,"광고·행사",IF(IFERROR(SEARCH("용역",E889),0)&gt;0,"용역·수수료","기타/불명"))))))</x:f>
      </x:c>
      <x:c r="J889" s="77" t="str">
        <x:f>IF(A889="","",IF(I889="기타/불명","확인 필요","결의서명으로 1차 확인"))</x:f>
      </x:c>
      <x:c r="K889" s="78"/>
    </x:row>
    <x:row r="890">
      <x:c r="A890" s="73"/>
      <x:c r="B890" s="73"/>
      <x:c r="C890" s="74"/>
      <x:c r="D890" s="73"/>
      <x:c r="E890" s="73"/>
      <x:c r="F890" s="75"/>
      <x:c r="G890" s="75"/>
      <x:c r="H890" s="76" t="str">
        <x:f>IF(A890="","",F890-G890)</x:f>
      </x:c>
      <x:c r="I890" s="77" t="str">
        <x:f>IF(A890="","",IF(E890="","기타/불명",IF(IFERROR(SEARCH("급여",E890),0)&gt;0,"인건비",IF(IFERROR(SEARCH("임차",E890),0)&gt;0,"임차·시설",IF(IFERROR(SEARCH("광고",E890),0)&gt;0,"광고·행사",IF(IFERROR(SEARCH("용역",E890),0)&gt;0,"용역·수수료","기타/불명"))))))</x:f>
      </x:c>
      <x:c r="J890" s="77" t="str">
        <x:f>IF(A890="","",IF(I890="기타/불명","확인 필요","결의서명으로 1차 확인"))</x:f>
      </x:c>
      <x:c r="K890" s="78"/>
    </x:row>
    <x:row r="891">
      <x:c r="A891" s="73"/>
      <x:c r="B891" s="73"/>
      <x:c r="C891" s="74"/>
      <x:c r="D891" s="73"/>
      <x:c r="E891" s="73"/>
      <x:c r="F891" s="75"/>
      <x:c r="G891" s="75"/>
      <x:c r="H891" s="76" t="str">
        <x:f>IF(A891="","",F891-G891)</x:f>
      </x:c>
      <x:c r="I891" s="77" t="str">
        <x:f>IF(A891="","",IF(E891="","기타/불명",IF(IFERROR(SEARCH("급여",E891),0)&gt;0,"인건비",IF(IFERROR(SEARCH("임차",E891),0)&gt;0,"임차·시설",IF(IFERROR(SEARCH("광고",E891),0)&gt;0,"광고·행사",IF(IFERROR(SEARCH("용역",E891),0)&gt;0,"용역·수수료","기타/불명"))))))</x:f>
      </x:c>
      <x:c r="J891" s="77" t="str">
        <x:f>IF(A891="","",IF(I891="기타/불명","확인 필요","결의서명으로 1차 확인"))</x:f>
      </x:c>
      <x:c r="K891" s="78"/>
    </x:row>
    <x:row r="892">
      <x:c r="A892" s="73"/>
      <x:c r="B892" s="73"/>
      <x:c r="C892" s="74"/>
      <x:c r="D892" s="73"/>
      <x:c r="E892" s="73"/>
      <x:c r="F892" s="75"/>
      <x:c r="G892" s="75"/>
      <x:c r="H892" s="76" t="str">
        <x:f>IF(A892="","",F892-G892)</x:f>
      </x:c>
      <x:c r="I892" s="77" t="str">
        <x:f>IF(A892="","",IF(E892="","기타/불명",IF(IFERROR(SEARCH("급여",E892),0)&gt;0,"인건비",IF(IFERROR(SEARCH("임차",E892),0)&gt;0,"임차·시설",IF(IFERROR(SEARCH("광고",E892),0)&gt;0,"광고·행사",IF(IFERROR(SEARCH("용역",E892),0)&gt;0,"용역·수수료","기타/불명"))))))</x:f>
      </x:c>
      <x:c r="J892" s="77" t="str">
        <x:f>IF(A892="","",IF(I892="기타/불명","확인 필요","결의서명으로 1차 확인"))</x:f>
      </x:c>
      <x:c r="K892" s="78"/>
    </x:row>
    <x:row r="893">
      <x:c r="A893" s="73"/>
      <x:c r="B893" s="73"/>
      <x:c r="C893" s="74"/>
      <x:c r="D893" s="73"/>
      <x:c r="E893" s="73"/>
      <x:c r="F893" s="75"/>
      <x:c r="G893" s="75"/>
      <x:c r="H893" s="76" t="str">
        <x:f>IF(A893="","",F893-G893)</x:f>
      </x:c>
      <x:c r="I893" s="77" t="str">
        <x:f>IF(A893="","",IF(E893="","기타/불명",IF(IFERROR(SEARCH("급여",E893),0)&gt;0,"인건비",IF(IFERROR(SEARCH("임차",E893),0)&gt;0,"임차·시설",IF(IFERROR(SEARCH("광고",E893),0)&gt;0,"광고·행사",IF(IFERROR(SEARCH("용역",E893),0)&gt;0,"용역·수수료","기타/불명"))))))</x:f>
      </x:c>
      <x:c r="J893" s="77" t="str">
        <x:f>IF(A893="","",IF(I893="기타/불명","확인 필요","결의서명으로 1차 확인"))</x:f>
      </x:c>
      <x:c r="K893" s="78"/>
    </x:row>
    <x:row r="894">
      <x:c r="A894" s="73"/>
      <x:c r="B894" s="73"/>
      <x:c r="C894" s="74"/>
      <x:c r="D894" s="73"/>
      <x:c r="E894" s="73"/>
      <x:c r="F894" s="75"/>
      <x:c r="G894" s="75"/>
      <x:c r="H894" s="76" t="str">
        <x:f>IF(A894="","",F894-G894)</x:f>
      </x:c>
      <x:c r="I894" s="77" t="str">
        <x:f>IF(A894="","",IF(E894="","기타/불명",IF(IFERROR(SEARCH("급여",E894),0)&gt;0,"인건비",IF(IFERROR(SEARCH("임차",E894),0)&gt;0,"임차·시설",IF(IFERROR(SEARCH("광고",E894),0)&gt;0,"광고·행사",IF(IFERROR(SEARCH("용역",E894),0)&gt;0,"용역·수수료","기타/불명"))))))</x:f>
      </x:c>
      <x:c r="J894" s="77" t="str">
        <x:f>IF(A894="","",IF(I894="기타/불명","확인 필요","결의서명으로 1차 확인"))</x:f>
      </x:c>
      <x:c r="K894" s="78"/>
    </x:row>
    <x:row r="895">
      <x:c r="A895" s="73"/>
      <x:c r="B895" s="73"/>
      <x:c r="C895" s="74"/>
      <x:c r="D895" s="73"/>
      <x:c r="E895" s="73"/>
      <x:c r="F895" s="75"/>
      <x:c r="G895" s="75"/>
      <x:c r="H895" s="76" t="str">
        <x:f>IF(A895="","",F895-G895)</x:f>
      </x:c>
      <x:c r="I895" s="77" t="str">
        <x:f>IF(A895="","",IF(E895="","기타/불명",IF(IFERROR(SEARCH("급여",E895),0)&gt;0,"인건비",IF(IFERROR(SEARCH("임차",E895),0)&gt;0,"임차·시설",IF(IFERROR(SEARCH("광고",E895),0)&gt;0,"광고·행사",IF(IFERROR(SEARCH("용역",E895),0)&gt;0,"용역·수수료","기타/불명"))))))</x:f>
      </x:c>
      <x:c r="J895" s="77" t="str">
        <x:f>IF(A895="","",IF(I895="기타/불명","확인 필요","결의서명으로 1차 확인"))</x:f>
      </x:c>
      <x:c r="K895" s="78"/>
    </x:row>
    <x:row r="896">
      <x:c r="A896" s="73"/>
      <x:c r="B896" s="73"/>
      <x:c r="C896" s="74"/>
      <x:c r="D896" s="73"/>
      <x:c r="E896" s="73"/>
      <x:c r="F896" s="75"/>
      <x:c r="G896" s="75"/>
      <x:c r="H896" s="76" t="str">
        <x:f>IF(A896="","",F896-G896)</x:f>
      </x:c>
      <x:c r="I896" s="77" t="str">
        <x:f>IF(A896="","",IF(E896="","기타/불명",IF(IFERROR(SEARCH("급여",E896),0)&gt;0,"인건비",IF(IFERROR(SEARCH("임차",E896),0)&gt;0,"임차·시설",IF(IFERROR(SEARCH("광고",E896),0)&gt;0,"광고·행사",IF(IFERROR(SEARCH("용역",E896),0)&gt;0,"용역·수수료","기타/불명"))))))</x:f>
      </x:c>
      <x:c r="J896" s="77" t="str">
        <x:f>IF(A896="","",IF(I896="기타/불명","확인 필요","결의서명으로 1차 확인"))</x:f>
      </x:c>
      <x:c r="K896" s="78"/>
    </x:row>
    <x:row r="897">
      <x:c r="A897" s="73"/>
      <x:c r="B897" s="73"/>
      <x:c r="C897" s="74"/>
      <x:c r="D897" s="73"/>
      <x:c r="E897" s="73"/>
      <x:c r="F897" s="75"/>
      <x:c r="G897" s="75"/>
      <x:c r="H897" s="76" t="str">
        <x:f>IF(A897="","",F897-G897)</x:f>
      </x:c>
      <x:c r="I897" s="77" t="str">
        <x:f>IF(A897="","",IF(E897="","기타/불명",IF(IFERROR(SEARCH("급여",E897),0)&gt;0,"인건비",IF(IFERROR(SEARCH("임차",E897),0)&gt;0,"임차·시설",IF(IFERROR(SEARCH("광고",E897),0)&gt;0,"광고·행사",IF(IFERROR(SEARCH("용역",E897),0)&gt;0,"용역·수수료","기타/불명"))))))</x:f>
      </x:c>
      <x:c r="J897" s="77" t="str">
        <x:f>IF(A897="","",IF(I897="기타/불명","확인 필요","결의서명으로 1차 확인"))</x:f>
      </x:c>
      <x:c r="K897" s="78"/>
    </x:row>
    <x:row r="898">
      <x:c r="A898" s="73"/>
      <x:c r="B898" s="73"/>
      <x:c r="C898" s="74"/>
      <x:c r="D898" s="73"/>
      <x:c r="E898" s="73"/>
      <x:c r="F898" s="75"/>
      <x:c r="G898" s="75"/>
      <x:c r="H898" s="76" t="str">
        <x:f>IF(A898="","",F898-G898)</x:f>
      </x:c>
      <x:c r="I898" s="77" t="str">
        <x:f>IF(A898="","",IF(E898="","기타/불명",IF(IFERROR(SEARCH("급여",E898),0)&gt;0,"인건비",IF(IFERROR(SEARCH("임차",E898),0)&gt;0,"임차·시설",IF(IFERROR(SEARCH("광고",E898),0)&gt;0,"광고·행사",IF(IFERROR(SEARCH("용역",E898),0)&gt;0,"용역·수수료","기타/불명"))))))</x:f>
      </x:c>
      <x:c r="J898" s="77" t="str">
        <x:f>IF(A898="","",IF(I898="기타/불명","확인 필요","결의서명으로 1차 확인"))</x:f>
      </x:c>
      <x:c r="K898" s="78"/>
    </x:row>
    <x:row r="899">
      <x:c r="A899" s="73"/>
      <x:c r="B899" s="73"/>
      <x:c r="C899" s="74"/>
      <x:c r="D899" s="73"/>
      <x:c r="E899" s="73"/>
      <x:c r="F899" s="75"/>
      <x:c r="G899" s="75"/>
      <x:c r="H899" s="76" t="str">
        <x:f>IF(A899="","",F899-G899)</x:f>
      </x:c>
      <x:c r="I899" s="77" t="str">
        <x:f>IF(A899="","",IF(E899="","기타/불명",IF(IFERROR(SEARCH("급여",E899),0)&gt;0,"인건비",IF(IFERROR(SEARCH("임차",E899),0)&gt;0,"임차·시설",IF(IFERROR(SEARCH("광고",E899),0)&gt;0,"광고·행사",IF(IFERROR(SEARCH("용역",E899),0)&gt;0,"용역·수수료","기타/불명"))))))</x:f>
      </x:c>
      <x:c r="J899" s="77" t="str">
        <x:f>IF(A899="","",IF(I899="기타/불명","확인 필요","결의서명으로 1차 확인"))</x:f>
      </x:c>
      <x:c r="K899" s="78"/>
    </x:row>
    <x:row r="900">
      <x:c r="A900" s="73"/>
      <x:c r="B900" s="73"/>
      <x:c r="C900" s="74"/>
      <x:c r="D900" s="73"/>
      <x:c r="E900" s="73"/>
      <x:c r="F900" s="75"/>
      <x:c r="G900" s="75"/>
      <x:c r="H900" s="76" t="str">
        <x:f>IF(A900="","",F900-G900)</x:f>
      </x:c>
      <x:c r="I900" s="77" t="str">
        <x:f>IF(A900="","",IF(E900="","기타/불명",IF(IFERROR(SEARCH("급여",E900),0)&gt;0,"인건비",IF(IFERROR(SEARCH("임차",E900),0)&gt;0,"임차·시설",IF(IFERROR(SEARCH("광고",E900),0)&gt;0,"광고·행사",IF(IFERROR(SEARCH("용역",E900),0)&gt;0,"용역·수수료","기타/불명"))))))</x:f>
      </x:c>
      <x:c r="J900" s="77" t="str">
        <x:f>IF(A900="","",IF(I900="기타/불명","확인 필요","결의서명으로 1차 확인"))</x:f>
      </x:c>
      <x:c r="K900" s="78"/>
    </x:row>
    <x:row r="901">
      <x:c r="A901" s="73"/>
      <x:c r="B901" s="73"/>
      <x:c r="C901" s="74"/>
      <x:c r="D901" s="73"/>
      <x:c r="E901" s="73"/>
      <x:c r="F901" s="75"/>
      <x:c r="G901" s="75"/>
      <x:c r="H901" s="76" t="str">
        <x:f>IF(A901="","",F901-G901)</x:f>
      </x:c>
      <x:c r="I901" s="77" t="str">
        <x:f>IF(A901="","",IF(E901="","기타/불명",IF(IFERROR(SEARCH("급여",E901),0)&gt;0,"인건비",IF(IFERROR(SEARCH("임차",E901),0)&gt;0,"임차·시설",IF(IFERROR(SEARCH("광고",E901),0)&gt;0,"광고·행사",IF(IFERROR(SEARCH("용역",E901),0)&gt;0,"용역·수수료","기타/불명"))))))</x:f>
      </x:c>
      <x:c r="J901" s="77" t="str">
        <x:f>IF(A901="","",IF(I901="기타/불명","확인 필요","결의서명으로 1차 확인"))</x:f>
      </x:c>
      <x:c r="K901" s="78"/>
    </x:row>
    <x:row r="902">
      <x:c r="A902" s="73"/>
      <x:c r="B902" s="73"/>
      <x:c r="C902" s="74"/>
      <x:c r="D902" s="73"/>
      <x:c r="E902" s="73"/>
      <x:c r="F902" s="75"/>
      <x:c r="G902" s="75"/>
      <x:c r="H902" s="76" t="str">
        <x:f>IF(A902="","",F902-G902)</x:f>
      </x:c>
      <x:c r="I902" s="77" t="str">
        <x:f>IF(A902="","",IF(E902="","기타/불명",IF(IFERROR(SEARCH("급여",E902),0)&gt;0,"인건비",IF(IFERROR(SEARCH("임차",E902),0)&gt;0,"임차·시설",IF(IFERROR(SEARCH("광고",E902),0)&gt;0,"광고·행사",IF(IFERROR(SEARCH("용역",E902),0)&gt;0,"용역·수수료","기타/불명"))))))</x:f>
      </x:c>
      <x:c r="J902" s="77" t="str">
        <x:f>IF(A902="","",IF(I902="기타/불명","확인 필요","결의서명으로 1차 확인"))</x:f>
      </x:c>
      <x:c r="K902" s="78"/>
    </x:row>
    <x:row r="903">
      <x:c r="A903" s="73"/>
      <x:c r="B903" s="73"/>
      <x:c r="C903" s="74"/>
      <x:c r="D903" s="73"/>
      <x:c r="E903" s="73"/>
      <x:c r="F903" s="75"/>
      <x:c r="G903" s="75"/>
      <x:c r="H903" s="76" t="str">
        <x:f>IF(A903="","",F903-G903)</x:f>
      </x:c>
      <x:c r="I903" s="77" t="str">
        <x:f>IF(A903="","",IF(E903="","기타/불명",IF(IFERROR(SEARCH("급여",E903),0)&gt;0,"인건비",IF(IFERROR(SEARCH("임차",E903),0)&gt;0,"임차·시설",IF(IFERROR(SEARCH("광고",E903),0)&gt;0,"광고·행사",IF(IFERROR(SEARCH("용역",E903),0)&gt;0,"용역·수수료","기타/불명"))))))</x:f>
      </x:c>
      <x:c r="J903" s="77" t="str">
        <x:f>IF(A903="","",IF(I903="기타/불명","확인 필요","결의서명으로 1차 확인"))</x:f>
      </x:c>
      <x:c r="K903" s="78"/>
    </x:row>
    <x:row r="904">
      <x:c r="A904" s="73"/>
      <x:c r="B904" s="73"/>
      <x:c r="C904" s="74"/>
      <x:c r="D904" s="73"/>
      <x:c r="E904" s="73"/>
      <x:c r="F904" s="75"/>
      <x:c r="G904" s="75"/>
      <x:c r="H904" s="76" t="str">
        <x:f>IF(A904="","",F904-G904)</x:f>
      </x:c>
      <x:c r="I904" s="77" t="str">
        <x:f>IF(A904="","",IF(E904="","기타/불명",IF(IFERROR(SEARCH("급여",E904),0)&gt;0,"인건비",IF(IFERROR(SEARCH("임차",E904),0)&gt;0,"임차·시설",IF(IFERROR(SEARCH("광고",E904),0)&gt;0,"광고·행사",IF(IFERROR(SEARCH("용역",E904),0)&gt;0,"용역·수수료","기타/불명"))))))</x:f>
      </x:c>
      <x:c r="J904" s="77" t="str">
        <x:f>IF(A904="","",IF(I904="기타/불명","확인 필요","결의서명으로 1차 확인"))</x:f>
      </x:c>
      <x:c r="K904" s="78"/>
    </x:row>
    <x:row r="905">
      <x:c r="A905" s="73"/>
      <x:c r="B905" s="73"/>
      <x:c r="C905" s="74"/>
      <x:c r="D905" s="73"/>
      <x:c r="E905" s="73"/>
      <x:c r="F905" s="75"/>
      <x:c r="G905" s="75"/>
      <x:c r="H905" s="76" t="str">
        <x:f>IF(A905="","",F905-G905)</x:f>
      </x:c>
      <x:c r="I905" s="77" t="str">
        <x:f>IF(A905="","",IF(E905="","기타/불명",IF(IFERROR(SEARCH("급여",E905),0)&gt;0,"인건비",IF(IFERROR(SEARCH("임차",E905),0)&gt;0,"임차·시설",IF(IFERROR(SEARCH("광고",E905),0)&gt;0,"광고·행사",IF(IFERROR(SEARCH("용역",E905),0)&gt;0,"용역·수수료","기타/불명"))))))</x:f>
      </x:c>
      <x:c r="J905" s="77" t="str">
        <x:f>IF(A905="","",IF(I905="기타/불명","확인 필요","결의서명으로 1차 확인"))</x:f>
      </x:c>
      <x:c r="K905" s="78"/>
    </x:row>
    <x:row r="906">
      <x:c r="A906" s="73"/>
      <x:c r="B906" s="73"/>
      <x:c r="C906" s="74"/>
      <x:c r="D906" s="73"/>
      <x:c r="E906" s="73"/>
      <x:c r="F906" s="75"/>
      <x:c r="G906" s="75"/>
      <x:c r="H906" s="76" t="str">
        <x:f>IF(A906="","",F906-G906)</x:f>
      </x:c>
      <x:c r="I906" s="77" t="str">
        <x:f>IF(A906="","",IF(E906="","기타/불명",IF(IFERROR(SEARCH("급여",E906),0)&gt;0,"인건비",IF(IFERROR(SEARCH("임차",E906),0)&gt;0,"임차·시설",IF(IFERROR(SEARCH("광고",E906),0)&gt;0,"광고·행사",IF(IFERROR(SEARCH("용역",E906),0)&gt;0,"용역·수수료","기타/불명"))))))</x:f>
      </x:c>
      <x:c r="J906" s="77" t="str">
        <x:f>IF(A906="","",IF(I906="기타/불명","확인 필요","결의서명으로 1차 확인"))</x:f>
      </x:c>
      <x:c r="K906" s="78"/>
    </x:row>
    <x:row r="907">
      <x:c r="A907" s="73"/>
      <x:c r="B907" s="73"/>
      <x:c r="C907" s="74"/>
      <x:c r="D907" s="73"/>
      <x:c r="E907" s="73"/>
      <x:c r="F907" s="75"/>
      <x:c r="G907" s="75"/>
      <x:c r="H907" s="76" t="str">
        <x:f>IF(A907="","",F907-G907)</x:f>
      </x:c>
      <x:c r="I907" s="77" t="str">
        <x:f>IF(A907="","",IF(E907="","기타/불명",IF(IFERROR(SEARCH("급여",E907),0)&gt;0,"인건비",IF(IFERROR(SEARCH("임차",E907),0)&gt;0,"임차·시설",IF(IFERROR(SEARCH("광고",E907),0)&gt;0,"광고·행사",IF(IFERROR(SEARCH("용역",E907),0)&gt;0,"용역·수수료","기타/불명"))))))</x:f>
      </x:c>
      <x:c r="J907" s="77" t="str">
        <x:f>IF(A907="","",IF(I907="기타/불명","확인 필요","결의서명으로 1차 확인"))</x:f>
      </x:c>
      <x:c r="K907" s="78"/>
    </x:row>
    <x:row r="908">
      <x:c r="A908" s="73"/>
      <x:c r="B908" s="73"/>
      <x:c r="C908" s="74"/>
      <x:c r="D908" s="73"/>
      <x:c r="E908" s="73"/>
      <x:c r="F908" s="75"/>
      <x:c r="G908" s="75"/>
      <x:c r="H908" s="76" t="str">
        <x:f>IF(A908="","",F908-G908)</x:f>
      </x:c>
      <x:c r="I908" s="77" t="str">
        <x:f>IF(A908="","",IF(E908="","기타/불명",IF(IFERROR(SEARCH("급여",E908),0)&gt;0,"인건비",IF(IFERROR(SEARCH("임차",E908),0)&gt;0,"임차·시설",IF(IFERROR(SEARCH("광고",E908),0)&gt;0,"광고·행사",IF(IFERROR(SEARCH("용역",E908),0)&gt;0,"용역·수수료","기타/불명"))))))</x:f>
      </x:c>
      <x:c r="J908" s="77" t="str">
        <x:f>IF(A908="","",IF(I908="기타/불명","확인 필요","결의서명으로 1차 확인"))</x:f>
      </x:c>
      <x:c r="K908" s="78"/>
    </x:row>
    <x:row r="909">
      <x:c r="A909" s="73"/>
      <x:c r="B909" s="73"/>
      <x:c r="C909" s="74"/>
      <x:c r="D909" s="73"/>
      <x:c r="E909" s="73"/>
      <x:c r="F909" s="75"/>
      <x:c r="G909" s="75"/>
      <x:c r="H909" s="76" t="str">
        <x:f>IF(A909="","",F909-G909)</x:f>
      </x:c>
      <x:c r="I909" s="77" t="str">
        <x:f>IF(A909="","",IF(E909="","기타/불명",IF(IFERROR(SEARCH("급여",E909),0)&gt;0,"인건비",IF(IFERROR(SEARCH("임차",E909),0)&gt;0,"임차·시설",IF(IFERROR(SEARCH("광고",E909),0)&gt;0,"광고·행사",IF(IFERROR(SEARCH("용역",E909),0)&gt;0,"용역·수수료","기타/불명"))))))</x:f>
      </x:c>
      <x:c r="J909" s="77" t="str">
        <x:f>IF(A909="","",IF(I909="기타/불명","확인 필요","결의서명으로 1차 확인"))</x:f>
      </x:c>
      <x:c r="K909" s="78"/>
    </x:row>
    <x:row r="910">
      <x:c r="A910" s="73"/>
      <x:c r="B910" s="73"/>
      <x:c r="C910" s="74"/>
      <x:c r="D910" s="73"/>
      <x:c r="E910" s="73"/>
      <x:c r="F910" s="75"/>
      <x:c r="G910" s="75"/>
      <x:c r="H910" s="76" t="str">
        <x:f>IF(A910="","",F910-G910)</x:f>
      </x:c>
      <x:c r="I910" s="77" t="str">
        <x:f>IF(A910="","",IF(E910="","기타/불명",IF(IFERROR(SEARCH("급여",E910),0)&gt;0,"인건비",IF(IFERROR(SEARCH("임차",E910),0)&gt;0,"임차·시설",IF(IFERROR(SEARCH("광고",E910),0)&gt;0,"광고·행사",IF(IFERROR(SEARCH("용역",E910),0)&gt;0,"용역·수수료","기타/불명"))))))</x:f>
      </x:c>
      <x:c r="J910" s="77" t="str">
        <x:f>IF(A910="","",IF(I910="기타/불명","확인 필요","결의서명으로 1차 확인"))</x:f>
      </x:c>
      <x:c r="K910" s="78"/>
    </x:row>
    <x:row r="911">
      <x:c r="A911" s="73"/>
      <x:c r="B911" s="73"/>
      <x:c r="C911" s="74"/>
      <x:c r="D911" s="73"/>
      <x:c r="E911" s="73"/>
      <x:c r="F911" s="75"/>
      <x:c r="G911" s="75"/>
      <x:c r="H911" s="76" t="str">
        <x:f>IF(A911="","",F911-G911)</x:f>
      </x:c>
      <x:c r="I911" s="77" t="str">
        <x:f>IF(A911="","",IF(E911="","기타/불명",IF(IFERROR(SEARCH("급여",E911),0)&gt;0,"인건비",IF(IFERROR(SEARCH("임차",E911),0)&gt;0,"임차·시설",IF(IFERROR(SEARCH("광고",E911),0)&gt;0,"광고·행사",IF(IFERROR(SEARCH("용역",E911),0)&gt;0,"용역·수수료","기타/불명"))))))</x:f>
      </x:c>
      <x:c r="J911" s="77" t="str">
        <x:f>IF(A911="","",IF(I911="기타/불명","확인 필요","결의서명으로 1차 확인"))</x:f>
      </x:c>
      <x:c r="K911" s="78"/>
    </x:row>
    <x:row r="912">
      <x:c r="A912" s="73"/>
      <x:c r="B912" s="73"/>
      <x:c r="C912" s="74"/>
      <x:c r="D912" s="73"/>
      <x:c r="E912" s="73"/>
      <x:c r="F912" s="75"/>
      <x:c r="G912" s="75"/>
      <x:c r="H912" s="76" t="str">
        <x:f>IF(A912="","",F912-G912)</x:f>
      </x:c>
      <x:c r="I912" s="77" t="str">
        <x:f>IF(A912="","",IF(E912="","기타/불명",IF(IFERROR(SEARCH("급여",E912),0)&gt;0,"인건비",IF(IFERROR(SEARCH("임차",E912),0)&gt;0,"임차·시설",IF(IFERROR(SEARCH("광고",E912),0)&gt;0,"광고·행사",IF(IFERROR(SEARCH("용역",E912),0)&gt;0,"용역·수수료","기타/불명"))))))</x:f>
      </x:c>
      <x:c r="J912" s="77" t="str">
        <x:f>IF(A912="","",IF(I912="기타/불명","확인 필요","결의서명으로 1차 확인"))</x:f>
      </x:c>
      <x:c r="K912" s="78"/>
    </x:row>
    <x:row r="913">
      <x:c r="A913" s="73"/>
      <x:c r="B913" s="73"/>
      <x:c r="C913" s="74"/>
      <x:c r="D913" s="73"/>
      <x:c r="E913" s="73"/>
      <x:c r="F913" s="75"/>
      <x:c r="G913" s="75"/>
      <x:c r="H913" s="76" t="str">
        <x:f>IF(A913="","",F913-G913)</x:f>
      </x:c>
      <x:c r="I913" s="77" t="str">
        <x:f>IF(A913="","",IF(E913="","기타/불명",IF(IFERROR(SEARCH("급여",E913),0)&gt;0,"인건비",IF(IFERROR(SEARCH("임차",E913),0)&gt;0,"임차·시설",IF(IFERROR(SEARCH("광고",E913),0)&gt;0,"광고·행사",IF(IFERROR(SEARCH("용역",E913),0)&gt;0,"용역·수수료","기타/불명"))))))</x:f>
      </x:c>
      <x:c r="J913" s="77" t="str">
        <x:f>IF(A913="","",IF(I913="기타/불명","확인 필요","결의서명으로 1차 확인"))</x:f>
      </x:c>
      <x:c r="K913" s="78"/>
    </x:row>
    <x:row r="914">
      <x:c r="A914" s="73"/>
      <x:c r="B914" s="73"/>
      <x:c r="C914" s="74"/>
      <x:c r="D914" s="73"/>
      <x:c r="E914" s="73"/>
      <x:c r="F914" s="75"/>
      <x:c r="G914" s="75"/>
      <x:c r="H914" s="76" t="str">
        <x:f>IF(A914="","",F914-G914)</x:f>
      </x:c>
      <x:c r="I914" s="77" t="str">
        <x:f>IF(A914="","",IF(E914="","기타/불명",IF(IFERROR(SEARCH("급여",E914),0)&gt;0,"인건비",IF(IFERROR(SEARCH("임차",E914),0)&gt;0,"임차·시설",IF(IFERROR(SEARCH("광고",E914),0)&gt;0,"광고·행사",IF(IFERROR(SEARCH("용역",E914),0)&gt;0,"용역·수수료","기타/불명"))))))</x:f>
      </x:c>
      <x:c r="J914" s="77" t="str">
        <x:f>IF(A914="","",IF(I914="기타/불명","확인 필요","결의서명으로 1차 확인"))</x:f>
      </x:c>
      <x:c r="K914" s="78"/>
    </x:row>
    <x:row r="915">
      <x:c r="A915" s="73"/>
      <x:c r="B915" s="73"/>
      <x:c r="C915" s="74"/>
      <x:c r="D915" s="73"/>
      <x:c r="E915" s="73"/>
      <x:c r="F915" s="75"/>
      <x:c r="G915" s="75"/>
      <x:c r="H915" s="76" t="str">
        <x:f>IF(A915="","",F915-G915)</x:f>
      </x:c>
      <x:c r="I915" s="77" t="str">
        <x:f>IF(A915="","",IF(E915="","기타/불명",IF(IFERROR(SEARCH("급여",E915),0)&gt;0,"인건비",IF(IFERROR(SEARCH("임차",E915),0)&gt;0,"임차·시설",IF(IFERROR(SEARCH("광고",E915),0)&gt;0,"광고·행사",IF(IFERROR(SEARCH("용역",E915),0)&gt;0,"용역·수수료","기타/불명"))))))</x:f>
      </x:c>
      <x:c r="J915" s="77" t="str">
        <x:f>IF(A915="","",IF(I915="기타/불명","확인 필요","결의서명으로 1차 확인"))</x:f>
      </x:c>
      <x:c r="K915" s="78"/>
    </x:row>
    <x:row r="916">
      <x:c r="A916" s="73"/>
      <x:c r="B916" s="73"/>
      <x:c r="C916" s="74"/>
      <x:c r="D916" s="73"/>
      <x:c r="E916" s="73"/>
      <x:c r="F916" s="75"/>
      <x:c r="G916" s="75"/>
      <x:c r="H916" s="76" t="str">
        <x:f>IF(A916="","",F916-G916)</x:f>
      </x:c>
      <x:c r="I916" s="77" t="str">
        <x:f>IF(A916="","",IF(E916="","기타/불명",IF(IFERROR(SEARCH("급여",E916),0)&gt;0,"인건비",IF(IFERROR(SEARCH("임차",E916),0)&gt;0,"임차·시설",IF(IFERROR(SEARCH("광고",E916),0)&gt;0,"광고·행사",IF(IFERROR(SEARCH("용역",E916),0)&gt;0,"용역·수수료","기타/불명"))))))</x:f>
      </x:c>
      <x:c r="J916" s="77" t="str">
        <x:f>IF(A916="","",IF(I916="기타/불명","확인 필요","결의서명으로 1차 확인"))</x:f>
      </x:c>
      <x:c r="K916" s="78"/>
    </x:row>
    <x:row r="917">
      <x:c r="A917" s="73"/>
      <x:c r="B917" s="73"/>
      <x:c r="C917" s="74"/>
      <x:c r="D917" s="73"/>
      <x:c r="E917" s="73"/>
      <x:c r="F917" s="75"/>
      <x:c r="G917" s="75"/>
      <x:c r="H917" s="76" t="str">
        <x:f>IF(A917="","",F917-G917)</x:f>
      </x:c>
      <x:c r="I917" s="77" t="str">
        <x:f>IF(A917="","",IF(E917="","기타/불명",IF(IFERROR(SEARCH("급여",E917),0)&gt;0,"인건비",IF(IFERROR(SEARCH("임차",E917),0)&gt;0,"임차·시설",IF(IFERROR(SEARCH("광고",E917),0)&gt;0,"광고·행사",IF(IFERROR(SEARCH("용역",E917),0)&gt;0,"용역·수수료","기타/불명"))))))</x:f>
      </x:c>
      <x:c r="J917" s="77" t="str">
        <x:f>IF(A917="","",IF(I917="기타/불명","확인 필요","결의서명으로 1차 확인"))</x:f>
      </x:c>
      <x:c r="K917" s="78"/>
    </x:row>
    <x:row r="918">
      <x:c r="A918" s="73"/>
      <x:c r="B918" s="73"/>
      <x:c r="C918" s="74"/>
      <x:c r="D918" s="73"/>
      <x:c r="E918" s="73"/>
      <x:c r="F918" s="75"/>
      <x:c r="G918" s="75"/>
      <x:c r="H918" s="76" t="str">
        <x:f>IF(A918="","",F918-G918)</x:f>
      </x:c>
      <x:c r="I918" s="77" t="str">
        <x:f>IF(A918="","",IF(E918="","기타/불명",IF(IFERROR(SEARCH("급여",E918),0)&gt;0,"인건비",IF(IFERROR(SEARCH("임차",E918),0)&gt;0,"임차·시설",IF(IFERROR(SEARCH("광고",E918),0)&gt;0,"광고·행사",IF(IFERROR(SEARCH("용역",E918),0)&gt;0,"용역·수수료","기타/불명"))))))</x:f>
      </x:c>
      <x:c r="J918" s="77" t="str">
        <x:f>IF(A918="","",IF(I918="기타/불명","확인 필요","결의서명으로 1차 확인"))</x:f>
      </x:c>
      <x:c r="K918" s="78"/>
    </x:row>
    <x:row r="919">
      <x:c r="A919" s="73"/>
      <x:c r="B919" s="73"/>
      <x:c r="C919" s="74"/>
      <x:c r="D919" s="73"/>
      <x:c r="E919" s="73"/>
      <x:c r="F919" s="75"/>
      <x:c r="G919" s="75"/>
      <x:c r="H919" s="76" t="str">
        <x:f>IF(A919="","",F919-G919)</x:f>
      </x:c>
      <x:c r="I919" s="77" t="str">
        <x:f>IF(A919="","",IF(E919="","기타/불명",IF(IFERROR(SEARCH("급여",E919),0)&gt;0,"인건비",IF(IFERROR(SEARCH("임차",E919),0)&gt;0,"임차·시설",IF(IFERROR(SEARCH("광고",E919),0)&gt;0,"광고·행사",IF(IFERROR(SEARCH("용역",E919),0)&gt;0,"용역·수수료","기타/불명"))))))</x:f>
      </x:c>
      <x:c r="J919" s="77" t="str">
        <x:f>IF(A919="","",IF(I919="기타/불명","확인 필요","결의서명으로 1차 확인"))</x:f>
      </x:c>
      <x:c r="K919" s="78"/>
    </x:row>
    <x:row r="920">
      <x:c r="A920" s="73"/>
      <x:c r="B920" s="73"/>
      <x:c r="C920" s="74"/>
      <x:c r="D920" s="73"/>
      <x:c r="E920" s="73"/>
      <x:c r="F920" s="75"/>
      <x:c r="G920" s="75"/>
      <x:c r="H920" s="76" t="str">
        <x:f>IF(A920="","",F920-G920)</x:f>
      </x:c>
      <x:c r="I920" s="77" t="str">
        <x:f>IF(A920="","",IF(E920="","기타/불명",IF(IFERROR(SEARCH("급여",E920),0)&gt;0,"인건비",IF(IFERROR(SEARCH("임차",E920),0)&gt;0,"임차·시설",IF(IFERROR(SEARCH("광고",E920),0)&gt;0,"광고·행사",IF(IFERROR(SEARCH("용역",E920),0)&gt;0,"용역·수수료","기타/불명"))))))</x:f>
      </x:c>
      <x:c r="J920" s="77" t="str">
        <x:f>IF(A920="","",IF(I920="기타/불명","확인 필요","결의서명으로 1차 확인"))</x:f>
      </x:c>
      <x:c r="K920" s="78"/>
    </x:row>
    <x:row r="921">
      <x:c r="A921" s="73"/>
      <x:c r="B921" s="73"/>
      <x:c r="C921" s="74"/>
      <x:c r="D921" s="73"/>
      <x:c r="E921" s="73"/>
      <x:c r="F921" s="75"/>
      <x:c r="G921" s="75"/>
      <x:c r="H921" s="76" t="str">
        <x:f>IF(A921="","",F921-G921)</x:f>
      </x:c>
      <x:c r="I921" s="77" t="str">
        <x:f>IF(A921="","",IF(E921="","기타/불명",IF(IFERROR(SEARCH("급여",E921),0)&gt;0,"인건비",IF(IFERROR(SEARCH("임차",E921),0)&gt;0,"임차·시설",IF(IFERROR(SEARCH("광고",E921),0)&gt;0,"광고·행사",IF(IFERROR(SEARCH("용역",E921),0)&gt;0,"용역·수수료","기타/불명"))))))</x:f>
      </x:c>
      <x:c r="J921" s="77" t="str">
        <x:f>IF(A921="","",IF(I921="기타/불명","확인 필요","결의서명으로 1차 확인"))</x:f>
      </x:c>
      <x:c r="K921" s="78"/>
    </x:row>
    <x:row r="922">
      <x:c r="A922" s="73"/>
      <x:c r="B922" s="73"/>
      <x:c r="C922" s="74"/>
      <x:c r="D922" s="73"/>
      <x:c r="E922" s="73"/>
      <x:c r="F922" s="75"/>
      <x:c r="G922" s="75"/>
      <x:c r="H922" s="76" t="str">
        <x:f>IF(A922="","",F922-G922)</x:f>
      </x:c>
      <x:c r="I922" s="77" t="str">
        <x:f>IF(A922="","",IF(E922="","기타/불명",IF(IFERROR(SEARCH("급여",E922),0)&gt;0,"인건비",IF(IFERROR(SEARCH("임차",E922),0)&gt;0,"임차·시설",IF(IFERROR(SEARCH("광고",E922),0)&gt;0,"광고·행사",IF(IFERROR(SEARCH("용역",E922),0)&gt;0,"용역·수수료","기타/불명"))))))</x:f>
      </x:c>
      <x:c r="J922" s="77" t="str">
        <x:f>IF(A922="","",IF(I922="기타/불명","확인 필요","결의서명으로 1차 확인"))</x:f>
      </x:c>
      <x:c r="K922" s="78"/>
    </x:row>
    <x:row r="923">
      <x:c r="A923" s="73"/>
      <x:c r="B923" s="73"/>
      <x:c r="C923" s="74"/>
      <x:c r="D923" s="73"/>
      <x:c r="E923" s="73"/>
      <x:c r="F923" s="75"/>
      <x:c r="G923" s="75"/>
      <x:c r="H923" s="76" t="str">
        <x:f>IF(A923="","",F923-G923)</x:f>
      </x:c>
      <x:c r="I923" s="77" t="str">
        <x:f>IF(A923="","",IF(E923="","기타/불명",IF(IFERROR(SEARCH("급여",E923),0)&gt;0,"인건비",IF(IFERROR(SEARCH("임차",E923),0)&gt;0,"임차·시설",IF(IFERROR(SEARCH("광고",E923),0)&gt;0,"광고·행사",IF(IFERROR(SEARCH("용역",E923),0)&gt;0,"용역·수수료","기타/불명"))))))</x:f>
      </x:c>
      <x:c r="J923" s="77" t="str">
        <x:f>IF(A923="","",IF(I923="기타/불명","확인 필요","결의서명으로 1차 확인"))</x:f>
      </x:c>
      <x:c r="K923" s="78"/>
    </x:row>
    <x:row r="924">
      <x:c r="A924" s="73"/>
      <x:c r="B924" s="73"/>
      <x:c r="C924" s="74"/>
      <x:c r="D924" s="73"/>
      <x:c r="E924" s="73"/>
      <x:c r="F924" s="75"/>
      <x:c r="G924" s="75"/>
      <x:c r="H924" s="76" t="str">
        <x:f>IF(A924="","",F924-G924)</x:f>
      </x:c>
      <x:c r="I924" s="77" t="str">
        <x:f>IF(A924="","",IF(E924="","기타/불명",IF(IFERROR(SEARCH("급여",E924),0)&gt;0,"인건비",IF(IFERROR(SEARCH("임차",E924),0)&gt;0,"임차·시설",IF(IFERROR(SEARCH("광고",E924),0)&gt;0,"광고·행사",IF(IFERROR(SEARCH("용역",E924),0)&gt;0,"용역·수수료","기타/불명"))))))</x:f>
      </x:c>
      <x:c r="J924" s="77" t="str">
        <x:f>IF(A924="","",IF(I924="기타/불명","확인 필요","결의서명으로 1차 확인"))</x:f>
      </x:c>
      <x:c r="K924" s="78"/>
    </x:row>
    <x:row r="925">
      <x:c r="A925" s="73"/>
      <x:c r="B925" s="73"/>
      <x:c r="C925" s="74"/>
      <x:c r="D925" s="73"/>
      <x:c r="E925" s="73"/>
      <x:c r="F925" s="75"/>
      <x:c r="G925" s="75"/>
      <x:c r="H925" s="76" t="str">
        <x:f>IF(A925="","",F925-G925)</x:f>
      </x:c>
      <x:c r="I925" s="77" t="str">
        <x:f>IF(A925="","",IF(E925="","기타/불명",IF(IFERROR(SEARCH("급여",E925),0)&gt;0,"인건비",IF(IFERROR(SEARCH("임차",E925),0)&gt;0,"임차·시설",IF(IFERROR(SEARCH("광고",E925),0)&gt;0,"광고·행사",IF(IFERROR(SEARCH("용역",E925),0)&gt;0,"용역·수수료","기타/불명"))))))</x:f>
      </x:c>
      <x:c r="J925" s="77" t="str">
        <x:f>IF(A925="","",IF(I925="기타/불명","확인 필요","결의서명으로 1차 확인"))</x:f>
      </x:c>
      <x:c r="K925" s="78"/>
    </x:row>
    <x:row r="926">
      <x:c r="A926" s="73"/>
      <x:c r="B926" s="73"/>
      <x:c r="C926" s="74"/>
      <x:c r="D926" s="73"/>
      <x:c r="E926" s="73"/>
      <x:c r="F926" s="75"/>
      <x:c r="G926" s="75"/>
      <x:c r="H926" s="76" t="str">
        <x:f>IF(A926="","",F926-G926)</x:f>
      </x:c>
      <x:c r="I926" s="77" t="str">
        <x:f>IF(A926="","",IF(E926="","기타/불명",IF(IFERROR(SEARCH("급여",E926),0)&gt;0,"인건비",IF(IFERROR(SEARCH("임차",E926),0)&gt;0,"임차·시설",IF(IFERROR(SEARCH("광고",E926),0)&gt;0,"광고·행사",IF(IFERROR(SEARCH("용역",E926),0)&gt;0,"용역·수수료","기타/불명"))))))</x:f>
      </x:c>
      <x:c r="J926" s="77" t="str">
        <x:f>IF(A926="","",IF(I926="기타/불명","확인 필요","결의서명으로 1차 확인"))</x:f>
      </x:c>
      <x:c r="K926" s="78"/>
    </x:row>
    <x:row r="927">
      <x:c r="A927" s="73"/>
      <x:c r="B927" s="73"/>
      <x:c r="C927" s="74"/>
      <x:c r="D927" s="73"/>
      <x:c r="E927" s="73"/>
      <x:c r="F927" s="75"/>
      <x:c r="G927" s="75"/>
      <x:c r="H927" s="76" t="str">
        <x:f>IF(A927="","",F927-G927)</x:f>
      </x:c>
      <x:c r="I927" s="77" t="str">
        <x:f>IF(A927="","",IF(E927="","기타/불명",IF(IFERROR(SEARCH("급여",E927),0)&gt;0,"인건비",IF(IFERROR(SEARCH("임차",E927),0)&gt;0,"임차·시설",IF(IFERROR(SEARCH("광고",E927),0)&gt;0,"광고·행사",IF(IFERROR(SEARCH("용역",E927),0)&gt;0,"용역·수수료","기타/불명"))))))</x:f>
      </x:c>
      <x:c r="J927" s="77" t="str">
        <x:f>IF(A927="","",IF(I927="기타/불명","확인 필요","결의서명으로 1차 확인"))</x:f>
      </x:c>
      <x:c r="K927" s="78"/>
    </x:row>
    <x:row r="928">
      <x:c r="A928" s="73"/>
      <x:c r="B928" s="73"/>
      <x:c r="C928" s="74"/>
      <x:c r="D928" s="73"/>
      <x:c r="E928" s="73"/>
      <x:c r="F928" s="75"/>
      <x:c r="G928" s="75"/>
      <x:c r="H928" s="76" t="str">
        <x:f>IF(A928="","",F928-G928)</x:f>
      </x:c>
      <x:c r="I928" s="77" t="str">
        <x:f>IF(A928="","",IF(E928="","기타/불명",IF(IFERROR(SEARCH("급여",E928),0)&gt;0,"인건비",IF(IFERROR(SEARCH("임차",E928),0)&gt;0,"임차·시설",IF(IFERROR(SEARCH("광고",E928),0)&gt;0,"광고·행사",IF(IFERROR(SEARCH("용역",E928),0)&gt;0,"용역·수수료","기타/불명"))))))</x:f>
      </x:c>
      <x:c r="J928" s="77" t="str">
        <x:f>IF(A928="","",IF(I928="기타/불명","확인 필요","결의서명으로 1차 확인"))</x:f>
      </x:c>
      <x:c r="K928" s="78"/>
    </x:row>
    <x:row r="929">
      <x:c r="A929" s="73"/>
      <x:c r="B929" s="73"/>
      <x:c r="C929" s="74"/>
      <x:c r="D929" s="73"/>
      <x:c r="E929" s="73"/>
      <x:c r="F929" s="75"/>
      <x:c r="G929" s="75"/>
      <x:c r="H929" s="76" t="str">
        <x:f>IF(A929="","",F929-G929)</x:f>
      </x:c>
      <x:c r="I929" s="77" t="str">
        <x:f>IF(A929="","",IF(E929="","기타/불명",IF(IFERROR(SEARCH("급여",E929),0)&gt;0,"인건비",IF(IFERROR(SEARCH("임차",E929),0)&gt;0,"임차·시설",IF(IFERROR(SEARCH("광고",E929),0)&gt;0,"광고·행사",IF(IFERROR(SEARCH("용역",E929),0)&gt;0,"용역·수수료","기타/불명"))))))</x:f>
      </x:c>
      <x:c r="J929" s="77" t="str">
        <x:f>IF(A929="","",IF(I929="기타/불명","확인 필요","결의서명으로 1차 확인"))</x:f>
      </x:c>
      <x:c r="K929" s="78"/>
    </x:row>
    <x:row r="930">
      <x:c r="A930" s="73"/>
      <x:c r="B930" s="73"/>
      <x:c r="C930" s="74"/>
      <x:c r="D930" s="73"/>
      <x:c r="E930" s="73"/>
      <x:c r="F930" s="75"/>
      <x:c r="G930" s="75"/>
      <x:c r="H930" s="76" t="str">
        <x:f>IF(A930="","",F930-G930)</x:f>
      </x:c>
      <x:c r="I930" s="77" t="str">
        <x:f>IF(A930="","",IF(E930="","기타/불명",IF(IFERROR(SEARCH("급여",E930),0)&gt;0,"인건비",IF(IFERROR(SEARCH("임차",E930),0)&gt;0,"임차·시설",IF(IFERROR(SEARCH("광고",E930),0)&gt;0,"광고·행사",IF(IFERROR(SEARCH("용역",E930),0)&gt;0,"용역·수수료","기타/불명"))))))</x:f>
      </x:c>
      <x:c r="J930" s="77" t="str">
        <x:f>IF(A930="","",IF(I930="기타/불명","확인 필요","결의서명으로 1차 확인"))</x:f>
      </x:c>
      <x:c r="K930" s="78"/>
    </x:row>
    <x:row r="931">
      <x:c r="A931" s="73"/>
      <x:c r="B931" s="73"/>
      <x:c r="C931" s="74"/>
      <x:c r="D931" s="73"/>
      <x:c r="E931" s="73"/>
      <x:c r="F931" s="75"/>
      <x:c r="G931" s="75"/>
      <x:c r="H931" s="76" t="str">
        <x:f>IF(A931="","",F931-G931)</x:f>
      </x:c>
      <x:c r="I931" s="77" t="str">
        <x:f>IF(A931="","",IF(E931="","기타/불명",IF(IFERROR(SEARCH("급여",E931),0)&gt;0,"인건비",IF(IFERROR(SEARCH("임차",E931),0)&gt;0,"임차·시설",IF(IFERROR(SEARCH("광고",E931),0)&gt;0,"광고·행사",IF(IFERROR(SEARCH("용역",E931),0)&gt;0,"용역·수수료","기타/불명"))))))</x:f>
      </x:c>
      <x:c r="J931" s="77" t="str">
        <x:f>IF(A931="","",IF(I931="기타/불명","확인 필요","결의서명으로 1차 확인"))</x:f>
      </x:c>
      <x:c r="K931" s="78"/>
    </x:row>
    <x:row r="932">
      <x:c r="A932" s="73"/>
      <x:c r="B932" s="73"/>
      <x:c r="C932" s="74"/>
      <x:c r="D932" s="73"/>
      <x:c r="E932" s="73"/>
      <x:c r="F932" s="75"/>
      <x:c r="G932" s="75"/>
      <x:c r="H932" s="76" t="str">
        <x:f>IF(A932="","",F932-G932)</x:f>
      </x:c>
      <x:c r="I932" s="77" t="str">
        <x:f>IF(A932="","",IF(E932="","기타/불명",IF(IFERROR(SEARCH("급여",E932),0)&gt;0,"인건비",IF(IFERROR(SEARCH("임차",E932),0)&gt;0,"임차·시설",IF(IFERROR(SEARCH("광고",E932),0)&gt;0,"광고·행사",IF(IFERROR(SEARCH("용역",E932),0)&gt;0,"용역·수수료","기타/불명"))))))</x:f>
      </x:c>
      <x:c r="J932" s="77" t="str">
        <x:f>IF(A932="","",IF(I932="기타/불명","확인 필요","결의서명으로 1차 확인"))</x:f>
      </x:c>
      <x:c r="K932" s="78"/>
    </x:row>
    <x:row r="933">
      <x:c r="A933" s="73"/>
      <x:c r="B933" s="73"/>
      <x:c r="C933" s="74"/>
      <x:c r="D933" s="73"/>
      <x:c r="E933" s="73"/>
      <x:c r="F933" s="75"/>
      <x:c r="G933" s="75"/>
      <x:c r="H933" s="76" t="str">
        <x:f>IF(A933="","",F933-G933)</x:f>
      </x:c>
      <x:c r="I933" s="77" t="str">
        <x:f>IF(A933="","",IF(E933="","기타/불명",IF(IFERROR(SEARCH("급여",E933),0)&gt;0,"인건비",IF(IFERROR(SEARCH("임차",E933),0)&gt;0,"임차·시설",IF(IFERROR(SEARCH("광고",E933),0)&gt;0,"광고·행사",IF(IFERROR(SEARCH("용역",E933),0)&gt;0,"용역·수수료","기타/불명"))))))</x:f>
      </x:c>
      <x:c r="J933" s="77" t="str">
        <x:f>IF(A933="","",IF(I933="기타/불명","확인 필요","결의서명으로 1차 확인"))</x:f>
      </x:c>
      <x:c r="K933" s="78"/>
    </x:row>
    <x:row r="934">
      <x:c r="A934" s="73"/>
      <x:c r="B934" s="73"/>
      <x:c r="C934" s="74"/>
      <x:c r="D934" s="73"/>
      <x:c r="E934" s="73"/>
      <x:c r="F934" s="75"/>
      <x:c r="G934" s="75"/>
      <x:c r="H934" s="76" t="str">
        <x:f>IF(A934="","",F934-G934)</x:f>
      </x:c>
      <x:c r="I934" s="77" t="str">
        <x:f>IF(A934="","",IF(E934="","기타/불명",IF(IFERROR(SEARCH("급여",E934),0)&gt;0,"인건비",IF(IFERROR(SEARCH("임차",E934),0)&gt;0,"임차·시설",IF(IFERROR(SEARCH("광고",E934),0)&gt;0,"광고·행사",IF(IFERROR(SEARCH("용역",E934),0)&gt;0,"용역·수수료","기타/불명"))))))</x:f>
      </x:c>
      <x:c r="J934" s="77" t="str">
        <x:f>IF(A934="","",IF(I934="기타/불명","확인 필요","결의서명으로 1차 확인"))</x:f>
      </x:c>
      <x:c r="K934" s="78"/>
    </x:row>
    <x:row r="935">
      <x:c r="A935" s="73"/>
      <x:c r="B935" s="73"/>
      <x:c r="C935" s="74"/>
      <x:c r="D935" s="73"/>
      <x:c r="E935" s="73"/>
      <x:c r="F935" s="75"/>
      <x:c r="G935" s="75"/>
      <x:c r="H935" s="76" t="str">
        <x:f>IF(A935="","",F935-G935)</x:f>
      </x:c>
      <x:c r="I935" s="77" t="str">
        <x:f>IF(A935="","",IF(E935="","기타/불명",IF(IFERROR(SEARCH("급여",E935),0)&gt;0,"인건비",IF(IFERROR(SEARCH("임차",E935),0)&gt;0,"임차·시설",IF(IFERROR(SEARCH("광고",E935),0)&gt;0,"광고·행사",IF(IFERROR(SEARCH("용역",E935),0)&gt;0,"용역·수수료","기타/불명"))))))</x:f>
      </x:c>
      <x:c r="J935" s="77" t="str">
        <x:f>IF(A935="","",IF(I935="기타/불명","확인 필요","결의서명으로 1차 확인"))</x:f>
      </x:c>
      <x:c r="K935" s="78"/>
    </x:row>
    <x:row r="936">
      <x:c r="A936" s="73"/>
      <x:c r="B936" s="73"/>
      <x:c r="C936" s="74"/>
      <x:c r="D936" s="73"/>
      <x:c r="E936" s="73"/>
      <x:c r="F936" s="75"/>
      <x:c r="G936" s="75"/>
      <x:c r="H936" s="76" t="str">
        <x:f>IF(A936="","",F936-G936)</x:f>
      </x:c>
      <x:c r="I936" s="77" t="str">
        <x:f>IF(A936="","",IF(E936="","기타/불명",IF(IFERROR(SEARCH("급여",E936),0)&gt;0,"인건비",IF(IFERROR(SEARCH("임차",E936),0)&gt;0,"임차·시설",IF(IFERROR(SEARCH("광고",E936),0)&gt;0,"광고·행사",IF(IFERROR(SEARCH("용역",E936),0)&gt;0,"용역·수수료","기타/불명"))))))</x:f>
      </x:c>
      <x:c r="J936" s="77" t="str">
        <x:f>IF(A936="","",IF(I936="기타/불명","확인 필요","결의서명으로 1차 확인"))</x:f>
      </x:c>
      <x:c r="K936" s="78"/>
    </x:row>
    <x:row r="937">
      <x:c r="A937" s="73"/>
      <x:c r="B937" s="73"/>
      <x:c r="C937" s="74"/>
      <x:c r="D937" s="73"/>
      <x:c r="E937" s="73"/>
      <x:c r="F937" s="75"/>
      <x:c r="G937" s="75"/>
      <x:c r="H937" s="76" t="str">
        <x:f>IF(A937="","",F937-G937)</x:f>
      </x:c>
      <x:c r="I937" s="77" t="str">
        <x:f>IF(A937="","",IF(E937="","기타/불명",IF(IFERROR(SEARCH("급여",E937),0)&gt;0,"인건비",IF(IFERROR(SEARCH("임차",E937),0)&gt;0,"임차·시설",IF(IFERROR(SEARCH("광고",E937),0)&gt;0,"광고·행사",IF(IFERROR(SEARCH("용역",E937),0)&gt;0,"용역·수수료","기타/불명"))))))</x:f>
      </x:c>
      <x:c r="J937" s="77" t="str">
        <x:f>IF(A937="","",IF(I937="기타/불명","확인 필요","결의서명으로 1차 확인"))</x:f>
      </x:c>
      <x:c r="K937" s="78"/>
    </x:row>
    <x:row r="938">
      <x:c r="A938" s="73"/>
      <x:c r="B938" s="73"/>
      <x:c r="C938" s="74"/>
      <x:c r="D938" s="73"/>
      <x:c r="E938" s="73"/>
      <x:c r="F938" s="75"/>
      <x:c r="G938" s="75"/>
      <x:c r="H938" s="76" t="str">
        <x:f>IF(A938="","",F938-G938)</x:f>
      </x:c>
      <x:c r="I938" s="77" t="str">
        <x:f>IF(A938="","",IF(E938="","기타/불명",IF(IFERROR(SEARCH("급여",E938),0)&gt;0,"인건비",IF(IFERROR(SEARCH("임차",E938),0)&gt;0,"임차·시설",IF(IFERROR(SEARCH("광고",E938),0)&gt;0,"광고·행사",IF(IFERROR(SEARCH("용역",E938),0)&gt;0,"용역·수수료","기타/불명"))))))</x:f>
      </x:c>
      <x:c r="J938" s="77" t="str">
        <x:f>IF(A938="","",IF(I938="기타/불명","확인 필요","결의서명으로 1차 확인"))</x:f>
      </x:c>
      <x:c r="K938" s="78"/>
    </x:row>
    <x:row r="939">
      <x:c r="A939" s="73"/>
      <x:c r="B939" s="73"/>
      <x:c r="C939" s="74"/>
      <x:c r="D939" s="73"/>
      <x:c r="E939" s="73"/>
      <x:c r="F939" s="75"/>
      <x:c r="G939" s="75"/>
      <x:c r="H939" s="76" t="str">
        <x:f>IF(A939="","",F939-G939)</x:f>
      </x:c>
      <x:c r="I939" s="77" t="str">
        <x:f>IF(A939="","",IF(E939="","기타/불명",IF(IFERROR(SEARCH("급여",E939),0)&gt;0,"인건비",IF(IFERROR(SEARCH("임차",E939),0)&gt;0,"임차·시설",IF(IFERROR(SEARCH("광고",E939),0)&gt;0,"광고·행사",IF(IFERROR(SEARCH("용역",E939),0)&gt;0,"용역·수수료","기타/불명"))))))</x:f>
      </x:c>
      <x:c r="J939" s="77" t="str">
        <x:f>IF(A939="","",IF(I939="기타/불명","확인 필요","결의서명으로 1차 확인"))</x:f>
      </x:c>
      <x:c r="K939" s="78"/>
    </x:row>
    <x:row r="940">
      <x:c r="A940" s="73"/>
      <x:c r="B940" s="73"/>
      <x:c r="C940" s="74"/>
      <x:c r="D940" s="73"/>
      <x:c r="E940" s="73"/>
      <x:c r="F940" s="75"/>
      <x:c r="G940" s="75"/>
      <x:c r="H940" s="76" t="str">
        <x:f>IF(A940="","",F940-G940)</x:f>
      </x:c>
      <x:c r="I940" s="77" t="str">
        <x:f>IF(A940="","",IF(E940="","기타/불명",IF(IFERROR(SEARCH("급여",E940),0)&gt;0,"인건비",IF(IFERROR(SEARCH("임차",E940),0)&gt;0,"임차·시설",IF(IFERROR(SEARCH("광고",E940),0)&gt;0,"광고·행사",IF(IFERROR(SEARCH("용역",E940),0)&gt;0,"용역·수수료","기타/불명"))))))</x:f>
      </x:c>
      <x:c r="J940" s="77" t="str">
        <x:f>IF(A940="","",IF(I940="기타/불명","확인 필요","결의서명으로 1차 확인"))</x:f>
      </x:c>
      <x:c r="K940" s="78"/>
    </x:row>
    <x:row r="941">
      <x:c r="A941" s="73"/>
      <x:c r="B941" s="73"/>
      <x:c r="C941" s="74"/>
      <x:c r="D941" s="73"/>
      <x:c r="E941" s="73"/>
      <x:c r="F941" s="75"/>
      <x:c r="G941" s="75"/>
      <x:c r="H941" s="76" t="str">
        <x:f>IF(A941="","",F941-G941)</x:f>
      </x:c>
      <x:c r="I941" s="77" t="str">
        <x:f>IF(A941="","",IF(E941="","기타/불명",IF(IFERROR(SEARCH("급여",E941),0)&gt;0,"인건비",IF(IFERROR(SEARCH("임차",E941),0)&gt;0,"임차·시설",IF(IFERROR(SEARCH("광고",E941),0)&gt;0,"광고·행사",IF(IFERROR(SEARCH("용역",E941),0)&gt;0,"용역·수수료","기타/불명"))))))</x:f>
      </x:c>
      <x:c r="J941" s="77" t="str">
        <x:f>IF(A941="","",IF(I941="기타/불명","확인 필요","결의서명으로 1차 확인"))</x:f>
      </x:c>
      <x:c r="K941" s="78"/>
    </x:row>
    <x:row r="942">
      <x:c r="A942" s="73"/>
      <x:c r="B942" s="73"/>
      <x:c r="C942" s="74"/>
      <x:c r="D942" s="73"/>
      <x:c r="E942" s="73"/>
      <x:c r="F942" s="75"/>
      <x:c r="G942" s="75"/>
      <x:c r="H942" s="76" t="str">
        <x:f>IF(A942="","",F942-G942)</x:f>
      </x:c>
      <x:c r="I942" s="77" t="str">
        <x:f>IF(A942="","",IF(E942="","기타/불명",IF(IFERROR(SEARCH("급여",E942),0)&gt;0,"인건비",IF(IFERROR(SEARCH("임차",E942),0)&gt;0,"임차·시설",IF(IFERROR(SEARCH("광고",E942),0)&gt;0,"광고·행사",IF(IFERROR(SEARCH("용역",E942),0)&gt;0,"용역·수수료","기타/불명"))))))</x:f>
      </x:c>
      <x:c r="J942" s="77" t="str">
        <x:f>IF(A942="","",IF(I942="기타/불명","확인 필요","결의서명으로 1차 확인"))</x:f>
      </x:c>
      <x:c r="K942" s="78"/>
    </x:row>
    <x:row r="943">
      <x:c r="A943" s="73"/>
      <x:c r="B943" s="73"/>
      <x:c r="C943" s="74"/>
      <x:c r="D943" s="73"/>
      <x:c r="E943" s="73"/>
      <x:c r="F943" s="75"/>
      <x:c r="G943" s="75"/>
      <x:c r="H943" s="76" t="str">
        <x:f>IF(A943="","",F943-G943)</x:f>
      </x:c>
      <x:c r="I943" s="77" t="str">
        <x:f>IF(A943="","",IF(E943="","기타/불명",IF(IFERROR(SEARCH("급여",E943),0)&gt;0,"인건비",IF(IFERROR(SEARCH("임차",E943),0)&gt;0,"임차·시설",IF(IFERROR(SEARCH("광고",E943),0)&gt;0,"광고·행사",IF(IFERROR(SEARCH("용역",E943),0)&gt;0,"용역·수수료","기타/불명"))))))</x:f>
      </x:c>
      <x:c r="J943" s="77" t="str">
        <x:f>IF(A943="","",IF(I943="기타/불명","확인 필요","결의서명으로 1차 확인"))</x:f>
      </x:c>
      <x:c r="K943" s="78"/>
    </x:row>
    <x:row r="944">
      <x:c r="A944" s="73"/>
      <x:c r="B944" s="73"/>
      <x:c r="C944" s="74"/>
      <x:c r="D944" s="73"/>
      <x:c r="E944" s="73"/>
      <x:c r="F944" s="75"/>
      <x:c r="G944" s="75"/>
      <x:c r="H944" s="76" t="str">
        <x:f>IF(A944="","",F944-G944)</x:f>
      </x:c>
      <x:c r="I944" s="77" t="str">
        <x:f>IF(A944="","",IF(E944="","기타/불명",IF(IFERROR(SEARCH("급여",E944),0)&gt;0,"인건비",IF(IFERROR(SEARCH("임차",E944),0)&gt;0,"임차·시설",IF(IFERROR(SEARCH("광고",E944),0)&gt;0,"광고·행사",IF(IFERROR(SEARCH("용역",E944),0)&gt;0,"용역·수수료","기타/불명"))))))</x:f>
      </x:c>
      <x:c r="J944" s="77" t="str">
        <x:f>IF(A944="","",IF(I944="기타/불명","확인 필요","결의서명으로 1차 확인"))</x:f>
      </x:c>
      <x:c r="K944" s="78"/>
    </x:row>
    <x:row r="945">
      <x:c r="A945" s="73"/>
      <x:c r="B945" s="73"/>
      <x:c r="C945" s="74"/>
      <x:c r="D945" s="73"/>
      <x:c r="E945" s="73"/>
      <x:c r="F945" s="75"/>
      <x:c r="G945" s="75"/>
      <x:c r="H945" s="76" t="str">
        <x:f>IF(A945="","",F945-G945)</x:f>
      </x:c>
      <x:c r="I945" s="77" t="str">
        <x:f>IF(A945="","",IF(E945="","기타/불명",IF(IFERROR(SEARCH("급여",E945),0)&gt;0,"인건비",IF(IFERROR(SEARCH("임차",E945),0)&gt;0,"임차·시설",IF(IFERROR(SEARCH("광고",E945),0)&gt;0,"광고·행사",IF(IFERROR(SEARCH("용역",E945),0)&gt;0,"용역·수수료","기타/불명"))))))</x:f>
      </x:c>
      <x:c r="J945" s="77" t="str">
        <x:f>IF(A945="","",IF(I945="기타/불명","확인 필요","결의서명으로 1차 확인"))</x:f>
      </x:c>
      <x:c r="K945" s="78"/>
    </x:row>
    <x:row r="946">
      <x:c r="A946" s="73"/>
      <x:c r="B946" s="73"/>
      <x:c r="C946" s="74"/>
      <x:c r="D946" s="73"/>
      <x:c r="E946" s="73"/>
      <x:c r="F946" s="75"/>
      <x:c r="G946" s="75"/>
      <x:c r="H946" s="76" t="str">
        <x:f>IF(A946="","",F946-G946)</x:f>
      </x:c>
      <x:c r="I946" s="77" t="str">
        <x:f>IF(A946="","",IF(E946="","기타/불명",IF(IFERROR(SEARCH("급여",E946),0)&gt;0,"인건비",IF(IFERROR(SEARCH("임차",E946),0)&gt;0,"임차·시설",IF(IFERROR(SEARCH("광고",E946),0)&gt;0,"광고·행사",IF(IFERROR(SEARCH("용역",E946),0)&gt;0,"용역·수수료","기타/불명"))))))</x:f>
      </x:c>
      <x:c r="J946" s="77" t="str">
        <x:f>IF(A946="","",IF(I946="기타/불명","확인 필요","결의서명으로 1차 확인"))</x:f>
      </x:c>
      <x:c r="K946" s="78"/>
    </x:row>
    <x:row r="947">
      <x:c r="A947" s="73"/>
      <x:c r="B947" s="73"/>
      <x:c r="C947" s="74"/>
      <x:c r="D947" s="73"/>
      <x:c r="E947" s="73"/>
      <x:c r="F947" s="75"/>
      <x:c r="G947" s="75"/>
      <x:c r="H947" s="76" t="str">
        <x:f>IF(A947="","",F947-G947)</x:f>
      </x:c>
      <x:c r="I947" s="77" t="str">
        <x:f>IF(A947="","",IF(E947="","기타/불명",IF(IFERROR(SEARCH("급여",E947),0)&gt;0,"인건비",IF(IFERROR(SEARCH("임차",E947),0)&gt;0,"임차·시설",IF(IFERROR(SEARCH("광고",E947),0)&gt;0,"광고·행사",IF(IFERROR(SEARCH("용역",E947),0)&gt;0,"용역·수수료","기타/불명"))))))</x:f>
      </x:c>
      <x:c r="J947" s="77" t="str">
        <x:f>IF(A947="","",IF(I947="기타/불명","확인 필요","결의서명으로 1차 확인"))</x:f>
      </x:c>
      <x:c r="K947" s="78"/>
    </x:row>
    <x:row r="948">
      <x:c r="A948" s="73"/>
      <x:c r="B948" s="73"/>
      <x:c r="C948" s="74"/>
      <x:c r="D948" s="73"/>
      <x:c r="E948" s="73"/>
      <x:c r="F948" s="75"/>
      <x:c r="G948" s="75"/>
      <x:c r="H948" s="76" t="str">
        <x:f>IF(A948="","",F948-G948)</x:f>
      </x:c>
      <x:c r="I948" s="77" t="str">
        <x:f>IF(A948="","",IF(E948="","기타/불명",IF(IFERROR(SEARCH("급여",E948),0)&gt;0,"인건비",IF(IFERROR(SEARCH("임차",E948),0)&gt;0,"임차·시설",IF(IFERROR(SEARCH("광고",E948),0)&gt;0,"광고·행사",IF(IFERROR(SEARCH("용역",E948),0)&gt;0,"용역·수수료","기타/불명"))))))</x:f>
      </x:c>
      <x:c r="J948" s="77" t="str">
        <x:f>IF(A948="","",IF(I948="기타/불명","확인 필요","결의서명으로 1차 확인"))</x:f>
      </x:c>
      <x:c r="K948" s="78"/>
    </x:row>
    <x:row r="949">
      <x:c r="A949" s="73"/>
      <x:c r="B949" s="73"/>
      <x:c r="C949" s="74"/>
      <x:c r="D949" s="73"/>
      <x:c r="E949" s="73"/>
      <x:c r="F949" s="75"/>
      <x:c r="G949" s="75"/>
      <x:c r="H949" s="76" t="str">
        <x:f>IF(A949="","",F949-G949)</x:f>
      </x:c>
      <x:c r="I949" s="77" t="str">
        <x:f>IF(A949="","",IF(E949="","기타/불명",IF(IFERROR(SEARCH("급여",E949),0)&gt;0,"인건비",IF(IFERROR(SEARCH("임차",E949),0)&gt;0,"임차·시설",IF(IFERROR(SEARCH("광고",E949),0)&gt;0,"광고·행사",IF(IFERROR(SEARCH("용역",E949),0)&gt;0,"용역·수수료","기타/불명"))))))</x:f>
      </x:c>
      <x:c r="J949" s="77" t="str">
        <x:f>IF(A949="","",IF(I949="기타/불명","확인 필요","결의서명으로 1차 확인"))</x:f>
      </x:c>
      <x:c r="K949" s="78"/>
    </x:row>
    <x:row r="950">
      <x:c r="A950" s="73"/>
      <x:c r="B950" s="73"/>
      <x:c r="C950" s="74"/>
      <x:c r="D950" s="73"/>
      <x:c r="E950" s="73"/>
      <x:c r="F950" s="75"/>
      <x:c r="G950" s="75"/>
      <x:c r="H950" s="76" t="str">
        <x:f>IF(A950="","",F950-G950)</x:f>
      </x:c>
      <x:c r="I950" s="77" t="str">
        <x:f>IF(A950="","",IF(E950="","기타/불명",IF(IFERROR(SEARCH("급여",E950),0)&gt;0,"인건비",IF(IFERROR(SEARCH("임차",E950),0)&gt;0,"임차·시설",IF(IFERROR(SEARCH("광고",E950),0)&gt;0,"광고·행사",IF(IFERROR(SEARCH("용역",E950),0)&gt;0,"용역·수수료","기타/불명"))))))</x:f>
      </x:c>
      <x:c r="J950" s="77" t="str">
        <x:f>IF(A950="","",IF(I950="기타/불명","확인 필요","결의서명으로 1차 확인"))</x:f>
      </x:c>
      <x:c r="K950" s="78"/>
    </x:row>
    <x:row r="951">
      <x:c r="A951" s="73"/>
      <x:c r="B951" s="73"/>
      <x:c r="C951" s="74"/>
      <x:c r="D951" s="73"/>
      <x:c r="E951" s="73"/>
      <x:c r="F951" s="75"/>
      <x:c r="G951" s="75"/>
      <x:c r="H951" s="76" t="str">
        <x:f>IF(A951="","",F951-G951)</x:f>
      </x:c>
      <x:c r="I951" s="77" t="str">
        <x:f>IF(A951="","",IF(E951="","기타/불명",IF(IFERROR(SEARCH("급여",E951),0)&gt;0,"인건비",IF(IFERROR(SEARCH("임차",E951),0)&gt;0,"임차·시설",IF(IFERROR(SEARCH("광고",E951),0)&gt;0,"광고·행사",IF(IFERROR(SEARCH("용역",E951),0)&gt;0,"용역·수수료","기타/불명"))))))</x:f>
      </x:c>
      <x:c r="J951" s="77" t="str">
        <x:f>IF(A951="","",IF(I951="기타/불명","확인 필요","결의서명으로 1차 확인"))</x:f>
      </x:c>
      <x:c r="K951" s="78"/>
    </x:row>
    <x:row r="952">
      <x:c r="A952" s="73"/>
      <x:c r="B952" s="73"/>
      <x:c r="C952" s="74"/>
      <x:c r="D952" s="73"/>
      <x:c r="E952" s="73"/>
      <x:c r="F952" s="75"/>
      <x:c r="G952" s="75"/>
      <x:c r="H952" s="76" t="str">
        <x:f>IF(A952="","",F952-G952)</x:f>
      </x:c>
      <x:c r="I952" s="77" t="str">
        <x:f>IF(A952="","",IF(E952="","기타/불명",IF(IFERROR(SEARCH("급여",E952),0)&gt;0,"인건비",IF(IFERROR(SEARCH("임차",E952),0)&gt;0,"임차·시설",IF(IFERROR(SEARCH("광고",E952),0)&gt;0,"광고·행사",IF(IFERROR(SEARCH("용역",E952),0)&gt;0,"용역·수수료","기타/불명"))))))</x:f>
      </x:c>
      <x:c r="J952" s="77" t="str">
        <x:f>IF(A952="","",IF(I952="기타/불명","확인 필요","결의서명으로 1차 확인"))</x:f>
      </x:c>
      <x:c r="K952" s="78"/>
    </x:row>
    <x:row r="953">
      <x:c r="A953" s="73"/>
      <x:c r="B953" s="73"/>
      <x:c r="C953" s="74"/>
      <x:c r="D953" s="73"/>
      <x:c r="E953" s="73"/>
      <x:c r="F953" s="75"/>
      <x:c r="G953" s="75"/>
      <x:c r="H953" s="76" t="str">
        <x:f>IF(A953="","",F953-G953)</x:f>
      </x:c>
      <x:c r="I953" s="77" t="str">
        <x:f>IF(A953="","",IF(E953="","기타/불명",IF(IFERROR(SEARCH("급여",E953),0)&gt;0,"인건비",IF(IFERROR(SEARCH("임차",E953),0)&gt;0,"임차·시설",IF(IFERROR(SEARCH("광고",E953),0)&gt;0,"광고·행사",IF(IFERROR(SEARCH("용역",E953),0)&gt;0,"용역·수수료","기타/불명"))))))</x:f>
      </x:c>
      <x:c r="J953" s="77" t="str">
        <x:f>IF(A953="","",IF(I953="기타/불명","확인 필요","결의서명으로 1차 확인"))</x:f>
      </x:c>
      <x:c r="K953" s="78"/>
    </x:row>
    <x:row r="954">
      <x:c r="A954" s="73"/>
      <x:c r="B954" s="73"/>
      <x:c r="C954" s="74"/>
      <x:c r="D954" s="73"/>
      <x:c r="E954" s="73"/>
      <x:c r="F954" s="75"/>
      <x:c r="G954" s="75"/>
      <x:c r="H954" s="76" t="str">
        <x:f>IF(A954="","",F954-G954)</x:f>
      </x:c>
      <x:c r="I954" s="77" t="str">
        <x:f>IF(A954="","",IF(E954="","기타/불명",IF(IFERROR(SEARCH("급여",E954),0)&gt;0,"인건비",IF(IFERROR(SEARCH("임차",E954),0)&gt;0,"임차·시설",IF(IFERROR(SEARCH("광고",E954),0)&gt;0,"광고·행사",IF(IFERROR(SEARCH("용역",E954),0)&gt;0,"용역·수수료","기타/불명"))))))</x:f>
      </x:c>
      <x:c r="J954" s="77" t="str">
        <x:f>IF(A954="","",IF(I954="기타/불명","확인 필요","결의서명으로 1차 확인"))</x:f>
      </x:c>
      <x:c r="K954" s="78"/>
    </x:row>
    <x:row r="955">
      <x:c r="A955" s="73"/>
      <x:c r="B955" s="73"/>
      <x:c r="C955" s="74"/>
      <x:c r="D955" s="73"/>
      <x:c r="E955" s="73"/>
      <x:c r="F955" s="75"/>
      <x:c r="G955" s="75"/>
      <x:c r="H955" s="76" t="str">
        <x:f>IF(A955="","",F955-G955)</x:f>
      </x:c>
      <x:c r="I955" s="77" t="str">
        <x:f>IF(A955="","",IF(E955="","기타/불명",IF(IFERROR(SEARCH("급여",E955),0)&gt;0,"인건비",IF(IFERROR(SEARCH("임차",E955),0)&gt;0,"임차·시설",IF(IFERROR(SEARCH("광고",E955),0)&gt;0,"광고·행사",IF(IFERROR(SEARCH("용역",E955),0)&gt;0,"용역·수수료","기타/불명"))))))</x:f>
      </x:c>
      <x:c r="J955" s="77" t="str">
        <x:f>IF(A955="","",IF(I955="기타/불명","확인 필요","결의서명으로 1차 확인"))</x:f>
      </x:c>
      <x:c r="K955" s="78"/>
    </x:row>
    <x:row r="956">
      <x:c r="A956" s="73"/>
      <x:c r="B956" s="73"/>
      <x:c r="C956" s="74"/>
      <x:c r="D956" s="73"/>
      <x:c r="E956" s="73"/>
      <x:c r="F956" s="75"/>
      <x:c r="G956" s="75"/>
      <x:c r="H956" s="76" t="str">
        <x:f>IF(A956="","",F956-G956)</x:f>
      </x:c>
      <x:c r="I956" s="77" t="str">
        <x:f>IF(A956="","",IF(E956="","기타/불명",IF(IFERROR(SEARCH("급여",E956),0)&gt;0,"인건비",IF(IFERROR(SEARCH("임차",E956),0)&gt;0,"임차·시설",IF(IFERROR(SEARCH("광고",E956),0)&gt;0,"광고·행사",IF(IFERROR(SEARCH("용역",E956),0)&gt;0,"용역·수수료","기타/불명"))))))</x:f>
      </x:c>
      <x:c r="J956" s="77" t="str">
        <x:f>IF(A956="","",IF(I956="기타/불명","확인 필요","결의서명으로 1차 확인"))</x:f>
      </x:c>
      <x:c r="K956" s="78"/>
    </x:row>
    <x:row r="957">
      <x:c r="A957" s="73"/>
      <x:c r="B957" s="73"/>
      <x:c r="C957" s="74"/>
      <x:c r="D957" s="73"/>
      <x:c r="E957" s="73"/>
      <x:c r="F957" s="75"/>
      <x:c r="G957" s="75"/>
      <x:c r="H957" s="76" t="str">
        <x:f>IF(A957="","",F957-G957)</x:f>
      </x:c>
      <x:c r="I957" s="77" t="str">
        <x:f>IF(A957="","",IF(E957="","기타/불명",IF(IFERROR(SEARCH("급여",E957),0)&gt;0,"인건비",IF(IFERROR(SEARCH("임차",E957),0)&gt;0,"임차·시설",IF(IFERROR(SEARCH("광고",E957),0)&gt;0,"광고·행사",IF(IFERROR(SEARCH("용역",E957),0)&gt;0,"용역·수수료","기타/불명"))))))</x:f>
      </x:c>
      <x:c r="J957" s="77" t="str">
        <x:f>IF(A957="","",IF(I957="기타/불명","확인 필요","결의서명으로 1차 확인"))</x:f>
      </x:c>
      <x:c r="K957" s="78"/>
    </x:row>
    <x:row r="958">
      <x:c r="A958" s="73"/>
      <x:c r="B958" s="73"/>
      <x:c r="C958" s="74"/>
      <x:c r="D958" s="73"/>
      <x:c r="E958" s="73"/>
      <x:c r="F958" s="75"/>
      <x:c r="G958" s="75"/>
      <x:c r="H958" s="76" t="str">
        <x:f>IF(A958="","",F958-G958)</x:f>
      </x:c>
      <x:c r="I958" s="77" t="str">
        <x:f>IF(A958="","",IF(E958="","기타/불명",IF(IFERROR(SEARCH("급여",E958),0)&gt;0,"인건비",IF(IFERROR(SEARCH("임차",E958),0)&gt;0,"임차·시설",IF(IFERROR(SEARCH("광고",E958),0)&gt;0,"광고·행사",IF(IFERROR(SEARCH("용역",E958),0)&gt;0,"용역·수수료","기타/불명"))))))</x:f>
      </x:c>
      <x:c r="J958" s="77" t="str">
        <x:f>IF(A958="","",IF(I958="기타/불명","확인 필요","결의서명으로 1차 확인"))</x:f>
      </x:c>
      <x:c r="K958" s="78"/>
    </x:row>
    <x:row r="959">
      <x:c r="A959" s="73"/>
      <x:c r="B959" s="73"/>
      <x:c r="C959" s="74"/>
      <x:c r="D959" s="73"/>
      <x:c r="E959" s="73"/>
      <x:c r="F959" s="75"/>
      <x:c r="G959" s="75"/>
      <x:c r="H959" s="76" t="str">
        <x:f>IF(A959="","",F959-G959)</x:f>
      </x:c>
      <x:c r="I959" s="77" t="str">
        <x:f>IF(A959="","",IF(E959="","기타/불명",IF(IFERROR(SEARCH("급여",E959),0)&gt;0,"인건비",IF(IFERROR(SEARCH("임차",E959),0)&gt;0,"임차·시설",IF(IFERROR(SEARCH("광고",E959),0)&gt;0,"광고·행사",IF(IFERROR(SEARCH("용역",E959),0)&gt;0,"용역·수수료","기타/불명"))))))</x:f>
      </x:c>
      <x:c r="J959" s="77" t="str">
        <x:f>IF(A959="","",IF(I959="기타/불명","확인 필요","결의서명으로 1차 확인"))</x:f>
      </x:c>
      <x:c r="K959" s="78"/>
    </x:row>
    <x:row r="960">
      <x:c r="A960" s="73"/>
      <x:c r="B960" s="73"/>
      <x:c r="C960" s="74"/>
      <x:c r="D960" s="73"/>
      <x:c r="E960" s="73"/>
      <x:c r="F960" s="75"/>
      <x:c r="G960" s="75"/>
      <x:c r="H960" s="76" t="str">
        <x:f>IF(A960="","",F960-G960)</x:f>
      </x:c>
      <x:c r="I960" s="77" t="str">
        <x:f>IF(A960="","",IF(E960="","기타/불명",IF(IFERROR(SEARCH("급여",E960),0)&gt;0,"인건비",IF(IFERROR(SEARCH("임차",E960),0)&gt;0,"임차·시설",IF(IFERROR(SEARCH("광고",E960),0)&gt;0,"광고·행사",IF(IFERROR(SEARCH("용역",E960),0)&gt;0,"용역·수수료","기타/불명"))))))</x:f>
      </x:c>
      <x:c r="J960" s="77" t="str">
        <x:f>IF(A960="","",IF(I960="기타/불명","확인 필요","결의서명으로 1차 확인"))</x:f>
      </x:c>
      <x:c r="K960" s="78"/>
    </x:row>
    <x:row r="961">
      <x:c r="A961" s="73"/>
      <x:c r="B961" s="73"/>
      <x:c r="C961" s="74"/>
      <x:c r="D961" s="73"/>
      <x:c r="E961" s="73"/>
      <x:c r="F961" s="75"/>
      <x:c r="G961" s="75"/>
      <x:c r="H961" s="76" t="str">
        <x:f>IF(A961="","",F961-G961)</x:f>
      </x:c>
      <x:c r="I961" s="77" t="str">
        <x:f>IF(A961="","",IF(E961="","기타/불명",IF(IFERROR(SEARCH("급여",E961),0)&gt;0,"인건비",IF(IFERROR(SEARCH("임차",E961),0)&gt;0,"임차·시설",IF(IFERROR(SEARCH("광고",E961),0)&gt;0,"광고·행사",IF(IFERROR(SEARCH("용역",E961),0)&gt;0,"용역·수수료","기타/불명"))))))</x:f>
      </x:c>
      <x:c r="J961" s="77" t="str">
        <x:f>IF(A961="","",IF(I961="기타/불명","확인 필요","결의서명으로 1차 확인"))</x:f>
      </x:c>
      <x:c r="K961" s="78"/>
    </x:row>
    <x:row r="962">
      <x:c r="A962" s="73"/>
      <x:c r="B962" s="73"/>
      <x:c r="C962" s="74"/>
      <x:c r="D962" s="73"/>
      <x:c r="E962" s="73"/>
      <x:c r="F962" s="75"/>
      <x:c r="G962" s="75"/>
      <x:c r="H962" s="76" t="str">
        <x:f>IF(A962="","",F962-G962)</x:f>
      </x:c>
      <x:c r="I962" s="77" t="str">
        <x:f>IF(A962="","",IF(E962="","기타/불명",IF(IFERROR(SEARCH("급여",E962),0)&gt;0,"인건비",IF(IFERROR(SEARCH("임차",E962),0)&gt;0,"임차·시설",IF(IFERROR(SEARCH("광고",E962),0)&gt;0,"광고·행사",IF(IFERROR(SEARCH("용역",E962),0)&gt;0,"용역·수수료","기타/불명"))))))</x:f>
      </x:c>
      <x:c r="J962" s="77" t="str">
        <x:f>IF(A962="","",IF(I962="기타/불명","확인 필요","결의서명으로 1차 확인"))</x:f>
      </x:c>
      <x:c r="K962" s="78"/>
    </x:row>
    <x:row r="963">
      <x:c r="A963" s="73"/>
      <x:c r="B963" s="73"/>
      <x:c r="C963" s="74"/>
      <x:c r="D963" s="73"/>
      <x:c r="E963" s="73"/>
      <x:c r="F963" s="75"/>
      <x:c r="G963" s="75"/>
      <x:c r="H963" s="76" t="str">
        <x:f>IF(A963="","",F963-G963)</x:f>
      </x:c>
      <x:c r="I963" s="77" t="str">
        <x:f>IF(A963="","",IF(E963="","기타/불명",IF(IFERROR(SEARCH("급여",E963),0)&gt;0,"인건비",IF(IFERROR(SEARCH("임차",E963),0)&gt;0,"임차·시설",IF(IFERROR(SEARCH("광고",E963),0)&gt;0,"광고·행사",IF(IFERROR(SEARCH("용역",E963),0)&gt;0,"용역·수수료","기타/불명"))))))</x:f>
      </x:c>
      <x:c r="J963" s="77" t="str">
        <x:f>IF(A963="","",IF(I963="기타/불명","확인 필요","결의서명으로 1차 확인"))</x:f>
      </x:c>
      <x:c r="K963" s="78"/>
    </x:row>
    <x:row r="964">
      <x:c r="A964" s="73"/>
      <x:c r="B964" s="73"/>
      <x:c r="C964" s="74"/>
      <x:c r="D964" s="73"/>
      <x:c r="E964" s="73"/>
      <x:c r="F964" s="75"/>
      <x:c r="G964" s="75"/>
      <x:c r="H964" s="76" t="str">
        <x:f>IF(A964="","",F964-G964)</x:f>
      </x:c>
      <x:c r="I964" s="77" t="str">
        <x:f>IF(A964="","",IF(E964="","기타/불명",IF(IFERROR(SEARCH("급여",E964),0)&gt;0,"인건비",IF(IFERROR(SEARCH("임차",E964),0)&gt;0,"임차·시설",IF(IFERROR(SEARCH("광고",E964),0)&gt;0,"광고·행사",IF(IFERROR(SEARCH("용역",E964),0)&gt;0,"용역·수수료","기타/불명"))))))</x:f>
      </x:c>
      <x:c r="J964" s="77" t="str">
        <x:f>IF(A964="","",IF(I964="기타/불명","확인 필요","결의서명으로 1차 확인"))</x:f>
      </x:c>
      <x:c r="K964" s="78"/>
    </x:row>
    <x:row r="965">
      <x:c r="A965" s="73"/>
      <x:c r="B965" s="73"/>
      <x:c r="C965" s="74"/>
      <x:c r="D965" s="73"/>
      <x:c r="E965" s="73"/>
      <x:c r="F965" s="75"/>
      <x:c r="G965" s="75"/>
      <x:c r="H965" s="76" t="str">
        <x:f>IF(A965="","",F965-G965)</x:f>
      </x:c>
      <x:c r="I965" s="77" t="str">
        <x:f>IF(A965="","",IF(E965="","기타/불명",IF(IFERROR(SEARCH("급여",E965),0)&gt;0,"인건비",IF(IFERROR(SEARCH("임차",E965),0)&gt;0,"임차·시설",IF(IFERROR(SEARCH("광고",E965),0)&gt;0,"광고·행사",IF(IFERROR(SEARCH("용역",E965),0)&gt;0,"용역·수수료","기타/불명"))))))</x:f>
      </x:c>
      <x:c r="J965" s="77" t="str">
        <x:f>IF(A965="","",IF(I965="기타/불명","확인 필요","결의서명으로 1차 확인"))</x:f>
      </x:c>
      <x:c r="K965" s="78"/>
    </x:row>
    <x:row r="966">
      <x:c r="A966" s="73"/>
      <x:c r="B966" s="73"/>
      <x:c r="C966" s="74"/>
      <x:c r="D966" s="73"/>
      <x:c r="E966" s="73"/>
      <x:c r="F966" s="75"/>
      <x:c r="G966" s="75"/>
      <x:c r="H966" s="76" t="str">
        <x:f>IF(A966="","",F966-G966)</x:f>
      </x:c>
      <x:c r="I966" s="77" t="str">
        <x:f>IF(A966="","",IF(E966="","기타/불명",IF(IFERROR(SEARCH("급여",E966),0)&gt;0,"인건비",IF(IFERROR(SEARCH("임차",E966),0)&gt;0,"임차·시설",IF(IFERROR(SEARCH("광고",E966),0)&gt;0,"광고·행사",IF(IFERROR(SEARCH("용역",E966),0)&gt;0,"용역·수수료","기타/불명"))))))</x:f>
      </x:c>
      <x:c r="J966" s="77" t="str">
        <x:f>IF(A966="","",IF(I966="기타/불명","확인 필요","결의서명으로 1차 확인"))</x:f>
      </x:c>
      <x:c r="K966" s="78"/>
    </x:row>
    <x:row r="967">
      <x:c r="A967" s="73"/>
      <x:c r="B967" s="73"/>
      <x:c r="C967" s="74"/>
      <x:c r="D967" s="73"/>
      <x:c r="E967" s="73"/>
      <x:c r="F967" s="75"/>
      <x:c r="G967" s="75"/>
      <x:c r="H967" s="76" t="str">
        <x:f>IF(A967="","",F967-G967)</x:f>
      </x:c>
      <x:c r="I967" s="77" t="str">
        <x:f>IF(A967="","",IF(E967="","기타/불명",IF(IFERROR(SEARCH("급여",E967),0)&gt;0,"인건비",IF(IFERROR(SEARCH("임차",E967),0)&gt;0,"임차·시설",IF(IFERROR(SEARCH("광고",E967),0)&gt;0,"광고·행사",IF(IFERROR(SEARCH("용역",E967),0)&gt;0,"용역·수수료","기타/불명"))))))</x:f>
      </x:c>
      <x:c r="J967" s="77" t="str">
        <x:f>IF(A967="","",IF(I967="기타/불명","확인 필요","결의서명으로 1차 확인"))</x:f>
      </x:c>
      <x:c r="K967" s="78"/>
    </x:row>
    <x:row r="968">
      <x:c r="A968" s="73"/>
      <x:c r="B968" s="73"/>
      <x:c r="C968" s="74"/>
      <x:c r="D968" s="73"/>
      <x:c r="E968" s="73"/>
      <x:c r="F968" s="75"/>
      <x:c r="G968" s="75"/>
      <x:c r="H968" s="76" t="str">
        <x:f>IF(A968="","",F968-G968)</x:f>
      </x:c>
      <x:c r="I968" s="77" t="str">
        <x:f>IF(A968="","",IF(E968="","기타/불명",IF(IFERROR(SEARCH("급여",E968),0)&gt;0,"인건비",IF(IFERROR(SEARCH("임차",E968),0)&gt;0,"임차·시설",IF(IFERROR(SEARCH("광고",E968),0)&gt;0,"광고·행사",IF(IFERROR(SEARCH("용역",E968),0)&gt;0,"용역·수수료","기타/불명"))))))</x:f>
      </x:c>
      <x:c r="J968" s="77" t="str">
        <x:f>IF(A968="","",IF(I968="기타/불명","확인 필요","결의서명으로 1차 확인"))</x:f>
      </x:c>
      <x:c r="K968" s="78"/>
    </x:row>
    <x:row r="969">
      <x:c r="A969" s="73"/>
      <x:c r="B969" s="73"/>
      <x:c r="C969" s="74"/>
      <x:c r="D969" s="73"/>
      <x:c r="E969" s="73"/>
      <x:c r="F969" s="75"/>
      <x:c r="G969" s="75"/>
      <x:c r="H969" s="76" t="str">
        <x:f>IF(A969="","",F969-G969)</x:f>
      </x:c>
      <x:c r="I969" s="77" t="str">
        <x:f>IF(A969="","",IF(E969="","기타/불명",IF(IFERROR(SEARCH("급여",E969),0)&gt;0,"인건비",IF(IFERROR(SEARCH("임차",E969),0)&gt;0,"임차·시설",IF(IFERROR(SEARCH("광고",E969),0)&gt;0,"광고·행사",IF(IFERROR(SEARCH("용역",E969),0)&gt;0,"용역·수수료","기타/불명"))))))</x:f>
      </x:c>
      <x:c r="J969" s="77" t="str">
        <x:f>IF(A969="","",IF(I969="기타/불명","확인 필요","결의서명으로 1차 확인"))</x:f>
      </x:c>
      <x:c r="K969" s="78"/>
    </x:row>
    <x:row r="970">
      <x:c r="A970" s="73"/>
      <x:c r="B970" s="73"/>
      <x:c r="C970" s="74"/>
      <x:c r="D970" s="73"/>
      <x:c r="E970" s="73"/>
      <x:c r="F970" s="75"/>
      <x:c r="G970" s="75"/>
      <x:c r="H970" s="76" t="str">
        <x:f>IF(A970="","",F970-G970)</x:f>
      </x:c>
      <x:c r="I970" s="77" t="str">
        <x:f>IF(A970="","",IF(E970="","기타/불명",IF(IFERROR(SEARCH("급여",E970),0)&gt;0,"인건비",IF(IFERROR(SEARCH("임차",E970),0)&gt;0,"임차·시설",IF(IFERROR(SEARCH("광고",E970),0)&gt;0,"광고·행사",IF(IFERROR(SEARCH("용역",E970),0)&gt;0,"용역·수수료","기타/불명"))))))</x:f>
      </x:c>
      <x:c r="J970" s="77" t="str">
        <x:f>IF(A970="","",IF(I970="기타/불명","확인 필요","결의서명으로 1차 확인"))</x:f>
      </x:c>
      <x:c r="K970" s="78"/>
    </x:row>
    <x:row r="971">
      <x:c r="A971" s="73"/>
      <x:c r="B971" s="73"/>
      <x:c r="C971" s="74"/>
      <x:c r="D971" s="73"/>
      <x:c r="E971" s="73"/>
      <x:c r="F971" s="75"/>
      <x:c r="G971" s="75"/>
      <x:c r="H971" s="76" t="str">
        <x:f>IF(A971="","",F971-G971)</x:f>
      </x:c>
      <x:c r="I971" s="77" t="str">
        <x:f>IF(A971="","",IF(E971="","기타/불명",IF(IFERROR(SEARCH("급여",E971),0)&gt;0,"인건비",IF(IFERROR(SEARCH("임차",E971),0)&gt;0,"임차·시설",IF(IFERROR(SEARCH("광고",E971),0)&gt;0,"광고·행사",IF(IFERROR(SEARCH("용역",E971),0)&gt;0,"용역·수수료","기타/불명"))))))</x:f>
      </x:c>
      <x:c r="J971" s="77" t="str">
        <x:f>IF(A971="","",IF(I971="기타/불명","확인 필요","결의서명으로 1차 확인"))</x:f>
      </x:c>
      <x:c r="K971" s="78"/>
    </x:row>
    <x:row r="972">
      <x:c r="A972" s="73"/>
      <x:c r="B972" s="73"/>
      <x:c r="C972" s="74"/>
      <x:c r="D972" s="73"/>
      <x:c r="E972" s="73"/>
      <x:c r="F972" s="75"/>
      <x:c r="G972" s="75"/>
      <x:c r="H972" s="76" t="str">
        <x:f>IF(A972="","",F972-G972)</x:f>
      </x:c>
      <x:c r="I972" s="77" t="str">
        <x:f>IF(A972="","",IF(E972="","기타/불명",IF(IFERROR(SEARCH("급여",E972),0)&gt;0,"인건비",IF(IFERROR(SEARCH("임차",E972),0)&gt;0,"임차·시설",IF(IFERROR(SEARCH("광고",E972),0)&gt;0,"광고·행사",IF(IFERROR(SEARCH("용역",E972),0)&gt;0,"용역·수수료","기타/불명"))))))</x:f>
      </x:c>
      <x:c r="J972" s="77" t="str">
        <x:f>IF(A972="","",IF(I972="기타/불명","확인 필요","결의서명으로 1차 확인"))</x:f>
      </x:c>
      <x:c r="K972" s="78"/>
    </x:row>
    <x:row r="973">
      <x:c r="A973" s="73"/>
      <x:c r="B973" s="73"/>
      <x:c r="C973" s="74"/>
      <x:c r="D973" s="73"/>
      <x:c r="E973" s="73"/>
      <x:c r="F973" s="75"/>
      <x:c r="G973" s="75"/>
      <x:c r="H973" s="76" t="str">
        <x:f>IF(A973="","",F973-G973)</x:f>
      </x:c>
      <x:c r="I973" s="77" t="str">
        <x:f>IF(A973="","",IF(E973="","기타/불명",IF(IFERROR(SEARCH("급여",E973),0)&gt;0,"인건비",IF(IFERROR(SEARCH("임차",E973),0)&gt;0,"임차·시설",IF(IFERROR(SEARCH("광고",E973),0)&gt;0,"광고·행사",IF(IFERROR(SEARCH("용역",E973),0)&gt;0,"용역·수수료","기타/불명"))))))</x:f>
      </x:c>
      <x:c r="J973" s="77" t="str">
        <x:f>IF(A973="","",IF(I973="기타/불명","확인 필요","결의서명으로 1차 확인"))</x:f>
      </x:c>
      <x:c r="K973" s="78"/>
    </x:row>
    <x:row r="974">
      <x:c r="A974" s="73"/>
      <x:c r="B974" s="73"/>
      <x:c r="C974" s="74"/>
      <x:c r="D974" s="73"/>
      <x:c r="E974" s="73"/>
      <x:c r="F974" s="75"/>
      <x:c r="G974" s="75"/>
      <x:c r="H974" s="76" t="str">
        <x:f>IF(A974="","",F974-G974)</x:f>
      </x:c>
      <x:c r="I974" s="77" t="str">
        <x:f>IF(A974="","",IF(E974="","기타/불명",IF(IFERROR(SEARCH("급여",E974),0)&gt;0,"인건비",IF(IFERROR(SEARCH("임차",E974),0)&gt;0,"임차·시설",IF(IFERROR(SEARCH("광고",E974),0)&gt;0,"광고·행사",IF(IFERROR(SEARCH("용역",E974),0)&gt;0,"용역·수수료","기타/불명"))))))</x:f>
      </x:c>
      <x:c r="J974" s="77" t="str">
        <x:f>IF(A974="","",IF(I974="기타/불명","확인 필요","결의서명으로 1차 확인"))</x:f>
      </x:c>
      <x:c r="K974" s="78"/>
    </x:row>
    <x:row r="975">
      <x:c r="A975" s="73"/>
      <x:c r="B975" s="73"/>
      <x:c r="C975" s="74"/>
      <x:c r="D975" s="73"/>
      <x:c r="E975" s="73"/>
      <x:c r="F975" s="75"/>
      <x:c r="G975" s="75"/>
      <x:c r="H975" s="76" t="str">
        <x:f>IF(A975="","",F975-G975)</x:f>
      </x:c>
      <x:c r="I975" s="77" t="str">
        <x:f>IF(A975="","",IF(E975="","기타/불명",IF(IFERROR(SEARCH("급여",E975),0)&gt;0,"인건비",IF(IFERROR(SEARCH("임차",E975),0)&gt;0,"임차·시설",IF(IFERROR(SEARCH("광고",E975),0)&gt;0,"광고·행사",IF(IFERROR(SEARCH("용역",E975),0)&gt;0,"용역·수수료","기타/불명"))))))</x:f>
      </x:c>
      <x:c r="J975" s="77" t="str">
        <x:f>IF(A975="","",IF(I975="기타/불명","확인 필요","결의서명으로 1차 확인"))</x:f>
      </x:c>
      <x:c r="K975" s="78"/>
    </x:row>
    <x:row r="976">
      <x:c r="A976" s="73"/>
      <x:c r="B976" s="73"/>
      <x:c r="C976" s="74"/>
      <x:c r="D976" s="73"/>
      <x:c r="E976" s="73"/>
      <x:c r="F976" s="75"/>
      <x:c r="G976" s="75"/>
      <x:c r="H976" s="76" t="str">
        <x:f>IF(A976="","",F976-G976)</x:f>
      </x:c>
      <x:c r="I976" s="77" t="str">
        <x:f>IF(A976="","",IF(E976="","기타/불명",IF(IFERROR(SEARCH("급여",E976),0)&gt;0,"인건비",IF(IFERROR(SEARCH("임차",E976),0)&gt;0,"임차·시설",IF(IFERROR(SEARCH("광고",E976),0)&gt;0,"광고·행사",IF(IFERROR(SEARCH("용역",E976),0)&gt;0,"용역·수수료","기타/불명"))))))</x:f>
      </x:c>
      <x:c r="J976" s="77" t="str">
        <x:f>IF(A976="","",IF(I976="기타/불명","확인 필요","결의서명으로 1차 확인"))</x:f>
      </x:c>
      <x:c r="K976" s="78"/>
    </x:row>
    <x:row r="977">
      <x:c r="A977" s="73"/>
      <x:c r="B977" s="73"/>
      <x:c r="C977" s="74"/>
      <x:c r="D977" s="73"/>
      <x:c r="E977" s="73"/>
      <x:c r="F977" s="75"/>
      <x:c r="G977" s="75"/>
      <x:c r="H977" s="76" t="str">
        <x:f>IF(A977="","",F977-G977)</x:f>
      </x:c>
      <x:c r="I977" s="77" t="str">
        <x:f>IF(A977="","",IF(E977="","기타/불명",IF(IFERROR(SEARCH("급여",E977),0)&gt;0,"인건비",IF(IFERROR(SEARCH("임차",E977),0)&gt;0,"임차·시설",IF(IFERROR(SEARCH("광고",E977),0)&gt;0,"광고·행사",IF(IFERROR(SEARCH("용역",E977),0)&gt;0,"용역·수수료","기타/불명"))))))</x:f>
      </x:c>
      <x:c r="J977" s="77" t="str">
        <x:f>IF(A977="","",IF(I977="기타/불명","확인 필요","결의서명으로 1차 확인"))</x:f>
      </x:c>
      <x:c r="K977" s="78"/>
    </x:row>
    <x:row r="978">
      <x:c r="A978" s="73"/>
      <x:c r="B978" s="73"/>
      <x:c r="C978" s="74"/>
      <x:c r="D978" s="73"/>
      <x:c r="E978" s="73"/>
      <x:c r="F978" s="75"/>
      <x:c r="G978" s="75"/>
      <x:c r="H978" s="76" t="str">
        <x:f>IF(A978="","",F978-G978)</x:f>
      </x:c>
      <x:c r="I978" s="77" t="str">
        <x:f>IF(A978="","",IF(E978="","기타/불명",IF(IFERROR(SEARCH("급여",E978),0)&gt;0,"인건비",IF(IFERROR(SEARCH("임차",E978),0)&gt;0,"임차·시설",IF(IFERROR(SEARCH("광고",E978),0)&gt;0,"광고·행사",IF(IFERROR(SEARCH("용역",E978),0)&gt;0,"용역·수수료","기타/불명"))))))</x:f>
      </x:c>
      <x:c r="J978" s="77" t="str">
        <x:f>IF(A978="","",IF(I978="기타/불명","확인 필요","결의서명으로 1차 확인"))</x:f>
      </x:c>
      <x:c r="K978" s="78"/>
    </x:row>
    <x:row r="979">
      <x:c r="A979" s="73"/>
      <x:c r="B979" s="73"/>
      <x:c r="C979" s="74"/>
      <x:c r="D979" s="73"/>
      <x:c r="E979" s="73"/>
      <x:c r="F979" s="75"/>
      <x:c r="G979" s="75"/>
      <x:c r="H979" s="76" t="str">
        <x:f>IF(A979="","",F979-G979)</x:f>
      </x:c>
      <x:c r="I979" s="77" t="str">
        <x:f>IF(A979="","",IF(E979="","기타/불명",IF(IFERROR(SEARCH("급여",E979),0)&gt;0,"인건비",IF(IFERROR(SEARCH("임차",E979),0)&gt;0,"임차·시설",IF(IFERROR(SEARCH("광고",E979),0)&gt;0,"광고·행사",IF(IFERROR(SEARCH("용역",E979),0)&gt;0,"용역·수수료","기타/불명"))))))</x:f>
      </x:c>
      <x:c r="J979" s="77" t="str">
        <x:f>IF(A979="","",IF(I979="기타/불명","확인 필요","결의서명으로 1차 확인"))</x:f>
      </x:c>
      <x:c r="K979" s="78"/>
    </x:row>
    <x:row r="980">
      <x:c r="A980" s="73"/>
      <x:c r="B980" s="73"/>
      <x:c r="C980" s="74"/>
      <x:c r="D980" s="73"/>
      <x:c r="E980" s="73"/>
      <x:c r="F980" s="75"/>
      <x:c r="G980" s="75"/>
      <x:c r="H980" s="76" t="str">
        <x:f>IF(A980="","",F980-G980)</x:f>
      </x:c>
      <x:c r="I980" s="77" t="str">
        <x:f>IF(A980="","",IF(E980="","기타/불명",IF(IFERROR(SEARCH("급여",E980),0)&gt;0,"인건비",IF(IFERROR(SEARCH("임차",E980),0)&gt;0,"임차·시설",IF(IFERROR(SEARCH("광고",E980),0)&gt;0,"광고·행사",IF(IFERROR(SEARCH("용역",E980),0)&gt;0,"용역·수수료","기타/불명"))))))</x:f>
      </x:c>
      <x:c r="J980" s="77" t="str">
        <x:f>IF(A980="","",IF(I980="기타/불명","확인 필요","결의서명으로 1차 확인"))</x:f>
      </x:c>
      <x:c r="K980" s="78"/>
    </x:row>
    <x:row r="981">
      <x:c r="A981" s="73"/>
      <x:c r="B981" s="73"/>
      <x:c r="C981" s="74"/>
      <x:c r="D981" s="73"/>
      <x:c r="E981" s="73"/>
      <x:c r="F981" s="75"/>
      <x:c r="G981" s="75"/>
      <x:c r="H981" s="76" t="str">
        <x:f>IF(A981="","",F981-G981)</x:f>
      </x:c>
      <x:c r="I981" s="77" t="str">
        <x:f>IF(A981="","",IF(E981="","기타/불명",IF(IFERROR(SEARCH("급여",E981),0)&gt;0,"인건비",IF(IFERROR(SEARCH("임차",E981),0)&gt;0,"임차·시설",IF(IFERROR(SEARCH("광고",E981),0)&gt;0,"광고·행사",IF(IFERROR(SEARCH("용역",E981),0)&gt;0,"용역·수수료","기타/불명"))))))</x:f>
      </x:c>
      <x:c r="J981" s="77" t="str">
        <x:f>IF(A981="","",IF(I981="기타/불명","확인 필요","결의서명으로 1차 확인"))</x:f>
      </x:c>
      <x:c r="K981" s="78"/>
    </x:row>
    <x:row r="982">
      <x:c r="A982" s="73"/>
      <x:c r="B982" s="73"/>
      <x:c r="C982" s="74"/>
      <x:c r="D982" s="73"/>
      <x:c r="E982" s="73"/>
      <x:c r="F982" s="75"/>
      <x:c r="G982" s="75"/>
      <x:c r="H982" s="76" t="str">
        <x:f>IF(A982="","",F982-G982)</x:f>
      </x:c>
      <x:c r="I982" s="77" t="str">
        <x:f>IF(A982="","",IF(E982="","기타/불명",IF(IFERROR(SEARCH("급여",E982),0)&gt;0,"인건비",IF(IFERROR(SEARCH("임차",E982),0)&gt;0,"임차·시설",IF(IFERROR(SEARCH("광고",E982),0)&gt;0,"광고·행사",IF(IFERROR(SEARCH("용역",E982),0)&gt;0,"용역·수수료","기타/불명"))))))</x:f>
      </x:c>
      <x:c r="J982" s="77" t="str">
        <x:f>IF(A982="","",IF(I982="기타/불명","확인 필요","결의서명으로 1차 확인"))</x:f>
      </x:c>
      <x:c r="K982" s="78"/>
    </x:row>
    <x:row r="983">
      <x:c r="A983" s="73"/>
      <x:c r="B983" s="73"/>
      <x:c r="C983" s="74"/>
      <x:c r="D983" s="73"/>
      <x:c r="E983" s="73"/>
      <x:c r="F983" s="75"/>
      <x:c r="G983" s="75"/>
      <x:c r="H983" s="76" t="str">
        <x:f>IF(A983="","",F983-G983)</x:f>
      </x:c>
      <x:c r="I983" s="77" t="str">
        <x:f>IF(A983="","",IF(E983="","기타/불명",IF(IFERROR(SEARCH("급여",E983),0)&gt;0,"인건비",IF(IFERROR(SEARCH("임차",E983),0)&gt;0,"임차·시설",IF(IFERROR(SEARCH("광고",E983),0)&gt;0,"광고·행사",IF(IFERROR(SEARCH("용역",E983),0)&gt;0,"용역·수수료","기타/불명"))))))</x:f>
      </x:c>
      <x:c r="J983" s="77" t="str">
        <x:f>IF(A983="","",IF(I983="기타/불명","확인 필요","결의서명으로 1차 확인"))</x:f>
      </x:c>
      <x:c r="K983" s="78"/>
    </x:row>
    <x:row r="984">
      <x:c r="A984" s="73"/>
      <x:c r="B984" s="73"/>
      <x:c r="C984" s="74"/>
      <x:c r="D984" s="73"/>
      <x:c r="E984" s="73"/>
      <x:c r="F984" s="75"/>
      <x:c r="G984" s="75"/>
      <x:c r="H984" s="76" t="str">
        <x:f>IF(A984="","",F984-G984)</x:f>
      </x:c>
      <x:c r="I984" s="77" t="str">
        <x:f>IF(A984="","",IF(E984="","기타/불명",IF(IFERROR(SEARCH("급여",E984),0)&gt;0,"인건비",IF(IFERROR(SEARCH("임차",E984),0)&gt;0,"임차·시설",IF(IFERROR(SEARCH("광고",E984),0)&gt;0,"광고·행사",IF(IFERROR(SEARCH("용역",E984),0)&gt;0,"용역·수수료","기타/불명"))))))</x:f>
      </x:c>
      <x:c r="J984" s="77" t="str">
        <x:f>IF(A984="","",IF(I984="기타/불명","확인 필요","결의서명으로 1차 확인"))</x:f>
      </x:c>
      <x:c r="K984" s="78"/>
    </x:row>
    <x:row r="985">
      <x:c r="A985" s="73"/>
      <x:c r="B985" s="73"/>
      <x:c r="C985" s="74"/>
      <x:c r="D985" s="73"/>
      <x:c r="E985" s="73"/>
      <x:c r="F985" s="75"/>
      <x:c r="G985" s="75"/>
      <x:c r="H985" s="76" t="str">
        <x:f>IF(A985="","",F985-G985)</x:f>
      </x:c>
      <x:c r="I985" s="77" t="str">
        <x:f>IF(A985="","",IF(E985="","기타/불명",IF(IFERROR(SEARCH("급여",E985),0)&gt;0,"인건비",IF(IFERROR(SEARCH("임차",E985),0)&gt;0,"임차·시설",IF(IFERROR(SEARCH("광고",E985),0)&gt;0,"광고·행사",IF(IFERROR(SEARCH("용역",E985),0)&gt;0,"용역·수수료","기타/불명"))))))</x:f>
      </x:c>
      <x:c r="J985" s="77" t="str">
        <x:f>IF(A985="","",IF(I985="기타/불명","확인 필요","결의서명으로 1차 확인"))</x:f>
      </x:c>
      <x:c r="K985" s="78"/>
    </x:row>
    <x:row r="986">
      <x:c r="A986" s="73"/>
      <x:c r="B986" s="73"/>
      <x:c r="C986" s="74"/>
      <x:c r="D986" s="73"/>
      <x:c r="E986" s="73"/>
      <x:c r="F986" s="75"/>
      <x:c r="G986" s="75"/>
      <x:c r="H986" s="76" t="str">
        <x:f>IF(A986="","",F986-G986)</x:f>
      </x:c>
      <x:c r="I986" s="77" t="str">
        <x:f>IF(A986="","",IF(E986="","기타/불명",IF(IFERROR(SEARCH("급여",E986),0)&gt;0,"인건비",IF(IFERROR(SEARCH("임차",E986),0)&gt;0,"임차·시설",IF(IFERROR(SEARCH("광고",E986),0)&gt;0,"광고·행사",IF(IFERROR(SEARCH("용역",E986),0)&gt;0,"용역·수수료","기타/불명"))))))</x:f>
      </x:c>
      <x:c r="J986" s="77" t="str">
        <x:f>IF(A986="","",IF(I986="기타/불명","확인 필요","결의서명으로 1차 확인"))</x:f>
      </x:c>
      <x:c r="K986" s="78"/>
    </x:row>
    <x:row r="987">
      <x:c r="A987" s="73"/>
      <x:c r="B987" s="73"/>
      <x:c r="C987" s="74"/>
      <x:c r="D987" s="73"/>
      <x:c r="E987" s="73"/>
      <x:c r="F987" s="75"/>
      <x:c r="G987" s="75"/>
      <x:c r="H987" s="76" t="str">
        <x:f>IF(A987="","",F987-G987)</x:f>
      </x:c>
      <x:c r="I987" s="77" t="str">
        <x:f>IF(A987="","",IF(E987="","기타/불명",IF(IFERROR(SEARCH("급여",E987),0)&gt;0,"인건비",IF(IFERROR(SEARCH("임차",E987),0)&gt;0,"임차·시설",IF(IFERROR(SEARCH("광고",E987),0)&gt;0,"광고·행사",IF(IFERROR(SEARCH("용역",E987),0)&gt;0,"용역·수수료","기타/불명"))))))</x:f>
      </x:c>
      <x:c r="J987" s="77" t="str">
        <x:f>IF(A987="","",IF(I987="기타/불명","확인 필요","결의서명으로 1차 확인"))</x:f>
      </x:c>
      <x:c r="K987" s="78"/>
    </x:row>
    <x:row r="988">
      <x:c r="A988" s="73"/>
      <x:c r="B988" s="73"/>
      <x:c r="C988" s="74"/>
      <x:c r="D988" s="73"/>
      <x:c r="E988" s="73"/>
      <x:c r="F988" s="75"/>
      <x:c r="G988" s="75"/>
      <x:c r="H988" s="76" t="str">
        <x:f>IF(A988="","",F988-G988)</x:f>
      </x:c>
      <x:c r="I988" s="77" t="str">
        <x:f>IF(A988="","",IF(E988="","기타/불명",IF(IFERROR(SEARCH("급여",E988),0)&gt;0,"인건비",IF(IFERROR(SEARCH("임차",E988),0)&gt;0,"임차·시설",IF(IFERROR(SEARCH("광고",E988),0)&gt;0,"광고·행사",IF(IFERROR(SEARCH("용역",E988),0)&gt;0,"용역·수수료","기타/불명"))))))</x:f>
      </x:c>
      <x:c r="J988" s="77" t="str">
        <x:f>IF(A988="","",IF(I988="기타/불명","확인 필요","결의서명으로 1차 확인"))</x:f>
      </x:c>
      <x:c r="K988" s="78"/>
    </x:row>
    <x:row r="989">
      <x:c r="A989" s="73"/>
      <x:c r="B989" s="73"/>
      <x:c r="C989" s="74"/>
      <x:c r="D989" s="73"/>
      <x:c r="E989" s="73"/>
      <x:c r="F989" s="75"/>
      <x:c r="G989" s="75"/>
      <x:c r="H989" s="76" t="str">
        <x:f>IF(A989="","",F989-G989)</x:f>
      </x:c>
      <x:c r="I989" s="77" t="str">
        <x:f>IF(A989="","",IF(E989="","기타/불명",IF(IFERROR(SEARCH("급여",E989),0)&gt;0,"인건비",IF(IFERROR(SEARCH("임차",E989),0)&gt;0,"임차·시설",IF(IFERROR(SEARCH("광고",E989),0)&gt;0,"광고·행사",IF(IFERROR(SEARCH("용역",E989),0)&gt;0,"용역·수수료","기타/불명"))))))</x:f>
      </x:c>
      <x:c r="J989" s="77" t="str">
        <x:f>IF(A989="","",IF(I989="기타/불명","확인 필요","결의서명으로 1차 확인"))</x:f>
      </x:c>
      <x:c r="K989" s="78"/>
    </x:row>
    <x:row r="990">
      <x:c r="A990" s="73"/>
      <x:c r="B990" s="73"/>
      <x:c r="C990" s="74"/>
      <x:c r="D990" s="73"/>
      <x:c r="E990" s="73"/>
      <x:c r="F990" s="75"/>
      <x:c r="G990" s="75"/>
      <x:c r="H990" s="76" t="str">
        <x:f>IF(A990="","",F990-G990)</x:f>
      </x:c>
      <x:c r="I990" s="77" t="str">
        <x:f>IF(A990="","",IF(E990="","기타/불명",IF(IFERROR(SEARCH("급여",E990),0)&gt;0,"인건비",IF(IFERROR(SEARCH("임차",E990),0)&gt;0,"임차·시설",IF(IFERROR(SEARCH("광고",E990),0)&gt;0,"광고·행사",IF(IFERROR(SEARCH("용역",E990),0)&gt;0,"용역·수수료","기타/불명"))))))</x:f>
      </x:c>
      <x:c r="J990" s="77" t="str">
        <x:f>IF(A990="","",IF(I990="기타/불명","확인 필요","결의서명으로 1차 확인"))</x:f>
      </x:c>
      <x:c r="K990" s="78"/>
    </x:row>
    <x:row r="991">
      <x:c r="A991" s="73"/>
      <x:c r="B991" s="73"/>
      <x:c r="C991" s="74"/>
      <x:c r="D991" s="73"/>
      <x:c r="E991" s="73"/>
      <x:c r="F991" s="75"/>
      <x:c r="G991" s="75"/>
      <x:c r="H991" s="76" t="str">
        <x:f>IF(A991="","",F991-G991)</x:f>
      </x:c>
      <x:c r="I991" s="77" t="str">
        <x:f>IF(A991="","",IF(E991="","기타/불명",IF(IFERROR(SEARCH("급여",E991),0)&gt;0,"인건비",IF(IFERROR(SEARCH("임차",E991),0)&gt;0,"임차·시설",IF(IFERROR(SEARCH("광고",E991),0)&gt;0,"광고·행사",IF(IFERROR(SEARCH("용역",E991),0)&gt;0,"용역·수수료","기타/불명"))))))</x:f>
      </x:c>
      <x:c r="J991" s="77" t="str">
        <x:f>IF(A991="","",IF(I991="기타/불명","확인 필요","결의서명으로 1차 확인"))</x:f>
      </x:c>
      <x:c r="K991" s="78"/>
    </x:row>
    <x:row r="992">
      <x:c r="A992" s="73"/>
      <x:c r="B992" s="73"/>
      <x:c r="C992" s="74"/>
      <x:c r="D992" s="73"/>
      <x:c r="E992" s="73"/>
      <x:c r="F992" s="75"/>
      <x:c r="G992" s="75"/>
      <x:c r="H992" s="76" t="str">
        <x:f>IF(A992="","",F992-G992)</x:f>
      </x:c>
      <x:c r="I992" s="77" t="str">
        <x:f>IF(A992="","",IF(E992="","기타/불명",IF(IFERROR(SEARCH("급여",E992),0)&gt;0,"인건비",IF(IFERROR(SEARCH("임차",E992),0)&gt;0,"임차·시설",IF(IFERROR(SEARCH("광고",E992),0)&gt;0,"광고·행사",IF(IFERROR(SEARCH("용역",E992),0)&gt;0,"용역·수수료","기타/불명"))))))</x:f>
      </x:c>
      <x:c r="J992" s="77" t="str">
        <x:f>IF(A992="","",IF(I992="기타/불명","확인 필요","결의서명으로 1차 확인"))</x:f>
      </x:c>
      <x:c r="K992" s="78"/>
    </x:row>
    <x:row r="993">
      <x:c r="A993" s="73"/>
      <x:c r="B993" s="73"/>
      <x:c r="C993" s="74"/>
      <x:c r="D993" s="73"/>
      <x:c r="E993" s="73"/>
      <x:c r="F993" s="75"/>
      <x:c r="G993" s="75"/>
      <x:c r="H993" s="76" t="str">
        <x:f>IF(A993="","",F993-G993)</x:f>
      </x:c>
      <x:c r="I993" s="77" t="str">
        <x:f>IF(A993="","",IF(E993="","기타/불명",IF(IFERROR(SEARCH("급여",E993),0)&gt;0,"인건비",IF(IFERROR(SEARCH("임차",E993),0)&gt;0,"임차·시설",IF(IFERROR(SEARCH("광고",E993),0)&gt;0,"광고·행사",IF(IFERROR(SEARCH("용역",E993),0)&gt;0,"용역·수수료","기타/불명"))))))</x:f>
      </x:c>
      <x:c r="J993" s="77" t="str">
        <x:f>IF(A993="","",IF(I993="기타/불명","확인 필요","결의서명으로 1차 확인"))</x:f>
      </x:c>
      <x:c r="K993" s="78"/>
    </x:row>
    <x:row r="994">
      <x:c r="A994" s="73"/>
      <x:c r="B994" s="73"/>
      <x:c r="C994" s="74"/>
      <x:c r="D994" s="73"/>
      <x:c r="E994" s="73"/>
      <x:c r="F994" s="75"/>
      <x:c r="G994" s="75"/>
      <x:c r="H994" s="76" t="str">
        <x:f>IF(A994="","",F994-G994)</x:f>
      </x:c>
      <x:c r="I994" s="77" t="str">
        <x:f>IF(A994="","",IF(E994="","기타/불명",IF(IFERROR(SEARCH("급여",E994),0)&gt;0,"인건비",IF(IFERROR(SEARCH("임차",E994),0)&gt;0,"임차·시설",IF(IFERROR(SEARCH("광고",E994),0)&gt;0,"광고·행사",IF(IFERROR(SEARCH("용역",E994),0)&gt;0,"용역·수수료","기타/불명"))))))</x:f>
      </x:c>
      <x:c r="J994" s="77" t="str">
        <x:f>IF(A994="","",IF(I994="기타/불명","확인 필요","결의서명으로 1차 확인"))</x:f>
      </x:c>
      <x:c r="K994" s="78"/>
    </x:row>
    <x:row r="995">
      <x:c r="A995" s="73"/>
      <x:c r="B995" s="73"/>
      <x:c r="C995" s="74"/>
      <x:c r="D995" s="73"/>
      <x:c r="E995" s="73"/>
      <x:c r="F995" s="75"/>
      <x:c r="G995" s="75"/>
      <x:c r="H995" s="76" t="str">
        <x:f>IF(A995="","",F995-G995)</x:f>
      </x:c>
      <x:c r="I995" s="77" t="str">
        <x:f>IF(A995="","",IF(E995="","기타/불명",IF(IFERROR(SEARCH("급여",E995),0)&gt;0,"인건비",IF(IFERROR(SEARCH("임차",E995),0)&gt;0,"임차·시설",IF(IFERROR(SEARCH("광고",E995),0)&gt;0,"광고·행사",IF(IFERROR(SEARCH("용역",E995),0)&gt;0,"용역·수수료","기타/불명"))))))</x:f>
      </x:c>
      <x:c r="J995" s="77" t="str">
        <x:f>IF(A995="","",IF(I995="기타/불명","확인 필요","결의서명으로 1차 확인"))</x:f>
      </x:c>
      <x:c r="K995" s="78"/>
    </x:row>
    <x:row r="996">
      <x:c r="A996" s="73"/>
      <x:c r="B996" s="73"/>
      <x:c r="C996" s="74"/>
      <x:c r="D996" s="73"/>
      <x:c r="E996" s="73"/>
      <x:c r="F996" s="75"/>
      <x:c r="G996" s="75"/>
      <x:c r="H996" s="76" t="str">
        <x:f>IF(A996="","",F996-G996)</x:f>
      </x:c>
      <x:c r="I996" s="77" t="str">
        <x:f>IF(A996="","",IF(E996="","기타/불명",IF(IFERROR(SEARCH("급여",E996),0)&gt;0,"인건비",IF(IFERROR(SEARCH("임차",E996),0)&gt;0,"임차·시설",IF(IFERROR(SEARCH("광고",E996),0)&gt;0,"광고·행사",IF(IFERROR(SEARCH("용역",E996),0)&gt;0,"용역·수수료","기타/불명"))))))</x:f>
      </x:c>
      <x:c r="J996" s="77" t="str">
        <x:f>IF(A996="","",IF(I996="기타/불명","확인 필요","결의서명으로 1차 확인"))</x:f>
      </x:c>
      <x:c r="K996" s="78"/>
    </x:row>
    <x:row r="997">
      <x:c r="A997" s="73"/>
      <x:c r="B997" s="73"/>
      <x:c r="C997" s="74"/>
      <x:c r="D997" s="73"/>
      <x:c r="E997" s="73"/>
      <x:c r="F997" s="75"/>
      <x:c r="G997" s="75"/>
      <x:c r="H997" s="76" t="str">
        <x:f>IF(A997="","",F997-G997)</x:f>
      </x:c>
      <x:c r="I997" s="77" t="str">
        <x:f>IF(A997="","",IF(E997="","기타/불명",IF(IFERROR(SEARCH("급여",E997),0)&gt;0,"인건비",IF(IFERROR(SEARCH("임차",E997),0)&gt;0,"임차·시설",IF(IFERROR(SEARCH("광고",E997),0)&gt;0,"광고·행사",IF(IFERROR(SEARCH("용역",E997),0)&gt;0,"용역·수수료","기타/불명"))))))</x:f>
      </x:c>
      <x:c r="J997" s="77" t="str">
        <x:f>IF(A997="","",IF(I997="기타/불명","확인 필요","결의서명으로 1차 확인"))</x:f>
      </x:c>
      <x:c r="K997" s="78"/>
    </x:row>
    <x:row r="998">
      <x:c r="A998" s="73"/>
      <x:c r="B998" s="73"/>
      <x:c r="C998" s="74"/>
      <x:c r="D998" s="73"/>
      <x:c r="E998" s="73"/>
      <x:c r="F998" s="75"/>
      <x:c r="G998" s="75"/>
      <x:c r="H998" s="76" t="str">
        <x:f>IF(A998="","",F998-G998)</x:f>
      </x:c>
      <x:c r="I998" s="77" t="str">
        <x:f>IF(A998="","",IF(E998="","기타/불명",IF(IFERROR(SEARCH("급여",E998),0)&gt;0,"인건비",IF(IFERROR(SEARCH("임차",E998),0)&gt;0,"임차·시설",IF(IFERROR(SEARCH("광고",E998),0)&gt;0,"광고·행사",IF(IFERROR(SEARCH("용역",E998),0)&gt;0,"용역·수수료","기타/불명"))))))</x:f>
      </x:c>
      <x:c r="J998" s="77" t="str">
        <x:f>IF(A998="","",IF(I998="기타/불명","확인 필요","결의서명으로 1차 확인"))</x:f>
      </x:c>
      <x:c r="K998" s="78"/>
    </x:row>
    <x:row r="999">
      <x:c r="A999" s="73"/>
      <x:c r="B999" s="73"/>
      <x:c r="C999" s="74"/>
      <x:c r="D999" s="73"/>
      <x:c r="E999" s="73"/>
      <x:c r="F999" s="75"/>
      <x:c r="G999" s="75"/>
      <x:c r="H999" s="76" t="str">
        <x:f>IF(A999="","",F999-G999)</x:f>
      </x:c>
      <x:c r="I999" s="77" t="str">
        <x:f>IF(A999="","",IF(E999="","기타/불명",IF(IFERROR(SEARCH("급여",E999),0)&gt;0,"인건비",IF(IFERROR(SEARCH("임차",E999),0)&gt;0,"임차·시설",IF(IFERROR(SEARCH("광고",E999),0)&gt;0,"광고·행사",IF(IFERROR(SEARCH("용역",E999),0)&gt;0,"용역·수수료","기타/불명"))))))</x:f>
      </x:c>
      <x:c r="J999" s="77" t="str">
        <x:f>IF(A999="","",IF(I999="기타/불명","확인 필요","결의서명으로 1차 확인"))</x:f>
      </x:c>
      <x:c r="K999" s="78"/>
    </x:row>
    <x:row r="1000">
      <x:c r="A1000" s="73"/>
      <x:c r="B1000" s="73"/>
      <x:c r="C1000" s="74"/>
      <x:c r="D1000" s="73"/>
      <x:c r="E1000" s="73"/>
      <x:c r="F1000" s="75"/>
      <x:c r="G1000" s="75"/>
      <x:c r="H1000" s="76" t="str">
        <x:f>IF(A1000="","",F1000-G1000)</x:f>
      </x:c>
      <x:c r="I1000" s="77" t="str">
        <x:f>IF(A1000="","",IF(E1000="","기타/불명",IF(IFERROR(SEARCH("급여",E1000),0)&gt;0,"인건비",IF(IFERROR(SEARCH("임차",E1000),0)&gt;0,"임차·시설",IF(IFERROR(SEARCH("광고",E1000),0)&gt;0,"광고·행사",IF(IFERROR(SEARCH("용역",E1000),0)&gt;0,"용역·수수료","기타/불명"))))))</x:f>
      </x:c>
      <x:c r="J1000" s="77" t="str">
        <x:f>IF(A1000="","",IF(I1000="기타/불명","확인 필요","결의서명으로 1차 확인"))</x:f>
      </x:c>
      <x:c r="K1000" s="78"/>
    </x:row>
    <x:row r="1001">
      <x:c r="A1001" s="73"/>
      <x:c r="B1001" s="73"/>
      <x:c r="C1001" s="74"/>
      <x:c r="D1001" s="73"/>
      <x:c r="E1001" s="73"/>
      <x:c r="F1001" s="75"/>
      <x:c r="G1001" s="75"/>
      <x:c r="H1001" s="76" t="str">
        <x:f>IF(A1001="","",F1001-G1001)</x:f>
      </x:c>
      <x:c r="I1001" s="77" t="str">
        <x:f>IF(A1001="","",IF(E1001="","기타/불명",IF(IFERROR(SEARCH("급여",E1001),0)&gt;0,"인건비",IF(IFERROR(SEARCH("임차",E1001),0)&gt;0,"임차·시설",IF(IFERROR(SEARCH("광고",E1001),0)&gt;0,"광고·행사",IF(IFERROR(SEARCH("용역",E1001),0)&gt;0,"용역·수수료","기타/불명"))))))</x:f>
      </x:c>
      <x:c r="J1001" s="77" t="str">
        <x:f>IF(A1001="","",IF(I1001="기타/불명","확인 필요","결의서명으로 1차 확인"))</x:f>
      </x:c>
      <x:c r="K1001" s="78"/>
    </x:row>
    <x:row r="1002">
      <x:c r="A1002" s="73"/>
      <x:c r="B1002" s="73"/>
      <x:c r="C1002" s="74"/>
      <x:c r="D1002" s="73"/>
      <x:c r="E1002" s="73"/>
      <x:c r="F1002" s="75"/>
      <x:c r="G1002" s="75"/>
      <x:c r="H1002" s="76" t="str">
        <x:f>IF(A1002="","",F1002-G1002)</x:f>
      </x:c>
      <x:c r="I1002" s="77" t="str">
        <x:f>IF(A1002="","",IF(E1002="","기타/불명",IF(IFERROR(SEARCH("급여",E1002),0)&gt;0,"인건비",IF(IFERROR(SEARCH("임차",E1002),0)&gt;0,"임차·시설",IF(IFERROR(SEARCH("광고",E1002),0)&gt;0,"광고·행사",IF(IFERROR(SEARCH("용역",E1002),0)&gt;0,"용역·수수료","기타/불명"))))))</x:f>
      </x:c>
      <x:c r="J1002" s="77" t="str">
        <x:f>IF(A1002="","",IF(I1002="기타/불명","확인 필요","결의서명으로 1차 확인"))</x:f>
      </x:c>
      <x:c r="K1002" s="78"/>
    </x:row>
    <x:row r="1003">
      <x:c r="A1003" s="73"/>
      <x:c r="B1003" s="73"/>
      <x:c r="C1003" s="74"/>
      <x:c r="D1003" s="73"/>
      <x:c r="E1003" s="73"/>
      <x:c r="F1003" s="75"/>
      <x:c r="G1003" s="75"/>
      <x:c r="H1003" s="76" t="str">
        <x:f>IF(A1003="","",F1003-G1003)</x:f>
      </x:c>
      <x:c r="I1003" s="77" t="str">
        <x:f>IF(A1003="","",IF(E1003="","기타/불명",IF(IFERROR(SEARCH("급여",E1003),0)&gt;0,"인건비",IF(IFERROR(SEARCH("임차",E1003),0)&gt;0,"임차·시설",IF(IFERROR(SEARCH("광고",E1003),0)&gt;0,"광고·행사",IF(IFERROR(SEARCH("용역",E1003),0)&gt;0,"용역·수수료","기타/불명"))))))</x:f>
      </x:c>
      <x:c r="J1003" s="77" t="str">
        <x:f>IF(A1003="","",IF(I1003="기타/불명","확인 필요","결의서명으로 1차 확인"))</x:f>
      </x:c>
      <x:c r="K1003" s="78"/>
    </x:row>
    <x:row r="1004">
      <x:c r="A1004" s="79"/>
      <x:c r="B1004" s="79"/>
      <x:c r="C1004" s="80"/>
      <x:c r="D1004" s="79"/>
      <x:c r="E1004" s="79"/>
      <x:c r="F1004" s="81"/>
      <x:c r="G1004" s="81"/>
      <x:c r="H1004" s="82" t="str">
        <x:f>IF(A1004="","",F1004-G1004)</x:f>
      </x:c>
      <x:c r="I1004" s="83" t="str">
        <x:f>IF(A1004="","",IF(E1004="","기타/불명",IF(IFERROR(SEARCH("급여",E1004),0)&gt;0,"인건비",IF(IFERROR(SEARCH("임차",E1004),0)&gt;0,"임차·시설",IF(IFERROR(SEARCH("광고",E1004),0)&gt;0,"광고·행사",IF(IFERROR(SEARCH("용역",E1004),0)&gt;0,"용역·수수료","기타/불명"))))))</x:f>
      </x:c>
      <x:c r="J1004" s="83" t="str">
        <x:f>IF(A1004="","",IF(I1004="기타/불명","확인 필요","결의서명으로 1차 확인"))</x:f>
      </x:c>
      <x:c r="K1004" s="84"/>
    </x:row>
  </x:sheetData>
  <x:mergeCells>
    <x:mergeCell ref="A1:K1"/>
  </x:mergeCells>
  <x:conditionalFormatting sqref="J5:J1004">
    <x:cfRule type="containsText" dxfId="1" priority="1" operator="containsText" text="확인 필요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3" hidden="0" customWidth="1"/>
    <x:col min="3" max="3" width="20" hidden="0" customWidth="1"/>
    <x:col min="4" max="4" width="13" hidden="0" customWidth="1"/>
    <x:col min="5" max="5" width="16" hidden="0" customWidth="1"/>
    <x:col min="6" max="6" width="38" hidden="0" customWidth="1"/>
    <x:col min="7" max="7" width="17" hidden="0" customWidth="1"/>
    <x:col min="8" max="8" width="18" hidden="0" customWidth="1"/>
    <x:col min="9" max="9" width="22" hidden="0" customWidth="1"/>
    <x:col min="10" max="10" width="34" hidden="0" customWidth="1"/>
    <x:col min="11" max="11" width="18" hidden="0" customWidth="1"/>
    <x:col min="12" max="12" width="18" hidden="0" customWidth="1"/>
  </x:cols>
  <x:sheetData>
    <x:row r="1" ht="34" customHeight="1">
      <x:c r="A1" s="4" t="str">
        <x:v>계산도우미</x:v>
      </x:c>
      <x:c r="B1" s="4" t="str">
        <x:v>계산도우미</x:v>
      </x:c>
      <x:c r="C1" s="4" t="str">
        <x:v>계산도우미</x:v>
      </x:c>
      <x:c r="D1" s="4" t="str">
        <x:v>계산도우미</x:v>
      </x:c>
      <x:c r="E1" s="4" t="str">
        <x:v>계산도우미</x:v>
      </x:c>
      <x:c r="F1" s="4" t="str">
        <x:v>계산도우미</x:v>
      </x:c>
      <x:c r="G1" s="4" t="str">
        <x:v>계산도우미</x:v>
      </x:c>
      <x:c r="H1" s="4" t="str">
        <x:v>계산도우미</x:v>
      </x:c>
      <x:c r="I1" s="4" t="str">
        <x:v>계산도우미</x:v>
      </x:c>
      <x:c r="J1" s="4" t="str">
        <x:v>계산도우미</x:v>
      </x:c>
      <x:c r="K1" s="4" t="str">
        <x:v>계산도우미</x:v>
      </x:c>
      <x:c r="L1" s="4" t="str">
        <x:v>계산도우미</x:v>
      </x:c>
    </x:row>
    <x:row r="2">
      <x:c r="A2" s="5" t="str">
        <x:v>계정비교와 세부원인분석을 위한 호환형 계산 영역입니다. 직접 수정하지 마십시오.</x:v>
      </x:c>
    </x:row>
    <x:row r="4" ht="30" customHeight="1">
      <x:c r="A4" s="71" t="str">
        <x:v>기간</x:v>
      </x:c>
      <x:c r="B4" s="72" t="str">
        <x:v>계정코드</x:v>
      </x:c>
      <x:c r="C4" s="72" t="str">
        <x:v>계정명</x:v>
      </x:c>
      <x:c r="D4" s="72" t="str">
        <x:v>전표일자</x:v>
      </x:c>
      <x:c r="E4" s="72" t="str">
        <x:v>결의서번호</x:v>
      </x:c>
      <x:c r="F4" s="72" t="str">
        <x:v>결의서명</x:v>
      </x:c>
      <x:c r="G4" s="72" t="str">
        <x:v>순액</x:v>
      </x:c>
      <x:c r="H4" s="72" t="str">
        <x:v>1차 원인분류</x:v>
      </x:c>
      <x:c r="I4" s="72" t="str">
        <x:v>붙임 확인</x:v>
      </x:c>
      <x:c r="J4" s="72" t="str">
        <x:v>검토메모/붙임경로</x:v>
      </x:c>
      <x:c r="K4" s="72" t="str">
        <x:v>고유계정순번</x:v>
      </x:c>
      <x:c r="L4" s="72" t="str">
        <x:v>원인분석순번</x:v>
      </x:c>
    </x:row>
    <x:row r="5">
      <x:c r="A5" s="73" t="str">
        <x:f>IF('전기원장'!A5="","","전기")</x:f>
        <x:v>전기</x:v>
      </x:c>
      <x:c r="B5" s="73" t="str">
        <x:f>IF('전기원장'!A5="","",'전기원장'!A5)</x:f>
        <x:v>510100</x:v>
      </x:c>
      <x:c r="C5" s="73" t="str">
        <x:f>IF('전기원장'!A5="","",'전기원장'!B5)</x:f>
        <x:v>급여</x:v>
      </x:c>
      <x:c r="D5" s="74" t="n">
        <x:f>IF('전기원장'!A5="","",'전기원장'!C5)</x:f>
        <x:v>45688</x:v>
      </x:c>
      <x:c r="E5" s="73" t="str">
        <x:f>IF('전기원장'!A5="","",'전기원장'!D5)</x:f>
        <x:v>P-001</x:v>
      </x:c>
      <x:c r="F5" s="73" t="str">
        <x:f>IF('전기원장'!A5="","",'전기원장'!E5)</x:f>
        <x:v>1월 정규직 급여 지급</x:v>
      </x:c>
      <x:c r="G5" s="75" t="n">
        <x:f>IF('전기원장'!A5="","",'전기원장'!H5)</x:f>
        <x:v>350000000</x:v>
      </x:c>
      <x:c r="H5" s="73" t="str">
        <x:f>IF('전기원장'!A5="","",'전기원장'!I5)</x:f>
        <x:v>인건비</x:v>
      </x:c>
      <x:c r="I5" s="73" t="str">
        <x:f>IF('전기원장'!A5="","",'전기원장'!J5)</x:f>
        <x:v>결의서명으로 1차 확인</x:v>
      </x:c>
      <x:c r="J5" s="73" t="str">
        <x:f>IF('전기원장'!A5="","",'전기원장'!K5)</x:f>
      </x:c>
      <x:c r="K5" s="73" t="n">
        <x:f>IF(B5="","",IF(COUNTIF($B$5:B5,B5)=1,COUNT($K$4:K4)+1,""))</x:f>
        <x:v>1</x:v>
      </x:c>
      <x:c r="L5" s="85" t="n">
        <x:f>IF(B5="","",IF(COUNTIFS('계정비교'!$A$5:$A$1004,B5,'계정비교'!$H$5:$H$1004,"원인분석 대상")&gt;0,COUNT($L$4:L4)+1,""))</x:f>
        <x:v>1</x:v>
      </x:c>
    </x:row>
    <x:row r="6">
      <x:c r="A6" s="73" t="str">
        <x:f>IF('전기원장'!A6="","","전기")</x:f>
        <x:v>전기</x:v>
      </x:c>
      <x:c r="B6" s="73" t="str">
        <x:f>IF('전기원장'!A6="","",'전기원장'!A6)</x:f>
        <x:v>520300</x:v>
      </x:c>
      <x:c r="C6" s="73" t="str">
        <x:f>IF('전기원장'!A6="","",'전기원장'!B6)</x:f>
        <x:v>광고선전비</x:v>
      </x:c>
      <x:c r="D6" s="74" t="n">
        <x:f>IF('전기원장'!A6="","",'전기원장'!C6)</x:f>
        <x:v>45736</x:v>
      </x:c>
      <x:c r="E6" s="73" t="str">
        <x:f>IF('전기원장'!A6="","",'전기원장'!D6)</x:f>
        <x:v>P-032</x:v>
      </x:c>
      <x:c r="F6" s="73" t="str">
        <x:f>IF('전기원장'!A6="","",'전기원장'!E6)</x:f>
        <x:v>브랜드 캠페인 광고 용역</x:v>
      </x:c>
      <x:c r="G6" s="75" t="n">
        <x:f>IF('전기원장'!A6="","",'전기원장'!H6)</x:f>
        <x:v>120000000</x:v>
      </x:c>
      <x:c r="H6" s="73" t="str">
        <x:f>IF('전기원장'!A6="","",'전기원장'!I6)</x:f>
        <x:v>광고·행사</x:v>
      </x:c>
      <x:c r="I6" s="73" t="str">
        <x:f>IF('전기원장'!A6="","",'전기원장'!J6)</x:f>
        <x:v>결의서명으로 1차 확인</x:v>
      </x:c>
      <x:c r="J6" s="73" t="str">
        <x:f>IF('전기원장'!A6="","",'전기원장'!K6)</x:f>
      </x:c>
      <x:c r="K6" s="73" t="n">
        <x:f>IF(B6="","",IF(COUNTIF($B$5:B6,B6)=1,COUNT($K$4:K5)+1,""))</x:f>
        <x:v>2</x:v>
      </x:c>
      <x:c r="L6" s="85" t="n">
        <x:f>IF(B6="","",IF(COUNTIFS('계정비교'!$A$5:$A$1004,B6,'계정비교'!$H$5:$H$1004,"원인분석 대상")&gt;0,COUNT($L$4:L5)+1,""))</x:f>
        <x:v>2</x:v>
      </x:c>
    </x:row>
    <x:row r="7">
      <x:c r="A7" s="73" t="str">
        <x:f>IF('전기원장'!A7="","","전기")</x:f>
        <x:v>전기</x:v>
      </x:c>
      <x:c r="B7" s="73" t="str">
        <x:f>IF('전기원장'!A7="","",'전기원장'!A7)</x:f>
        <x:v>530100</x:v>
      </x:c>
      <x:c r="C7" s="73" t="str">
        <x:f>IF('전기원장'!A7="","",'전기원장'!B7)</x:f>
        <x:v>임차료</x:v>
      </x:c>
      <x:c r="D7" s="74" t="n">
        <x:f>IF('전기원장'!A7="","",'전기원장'!C7)</x:f>
        <x:v>45698</x:v>
      </x:c>
      <x:c r="E7" s="73" t="str">
        <x:f>IF('전기원장'!A7="","",'전기원장'!D7)</x:f>
        <x:v>P-020</x:v>
      </x:c>
      <x:c r="F7" s="73" t="str">
        <x:f>IF('전기원장'!A7="","",'전기원장'!E7)</x:f>
        <x:v>본사 사무실 임차료</x:v>
      </x:c>
      <x:c r="G7" s="75" t="n">
        <x:f>IF('전기원장'!A7="","",'전기원장'!H7)</x:f>
        <x:v>240000000</x:v>
      </x:c>
      <x:c r="H7" s="73" t="str">
        <x:f>IF('전기원장'!A7="","",'전기원장'!I7)</x:f>
        <x:v>임차·시설</x:v>
      </x:c>
      <x:c r="I7" s="73" t="str">
        <x:f>IF('전기원장'!A7="","",'전기원장'!J7)</x:f>
        <x:v>결의서명으로 1차 확인</x:v>
      </x:c>
      <x:c r="J7" s="73" t="str">
        <x:f>IF('전기원장'!A7="","",'전기원장'!K7)</x:f>
      </x:c>
      <x:c r="K7" s="73" t="n">
        <x:f>IF(B7="","",IF(COUNTIF($B$5:B7,B7)=1,COUNT($K$4:K6)+1,""))</x:f>
        <x:v>3</x:v>
      </x:c>
      <x:c r="L7" s="85" t="str">
        <x:f>IF(B7="","",IF(COUNTIFS('계정비교'!$A$5:$A$1004,B7,'계정비교'!$H$5:$H$1004,"원인분석 대상")&gt;0,COUNT($L$4:L6)+1,""))</x:f>
      </x:c>
    </x:row>
    <x:row r="8">
      <x:c r="A8" s="73" t="str">
        <x:f>IF('전기원장'!A8="","","전기")</x:f>
        <x:v>전기</x:v>
      </x:c>
      <x:c r="B8" s="73" t="str">
        <x:f>IF('전기원장'!A8="","",'전기원장'!A8)</x:f>
        <x:v>540200</x:v>
      </x:c>
      <x:c r="C8" s="73" t="str">
        <x:f>IF('전기원장'!A8="","",'전기원장'!B8)</x:f>
        <x:v>지급수수료</x:v>
      </x:c>
      <x:c r="D8" s="74" t="n">
        <x:f>IF('전기원장'!A8="","",'전기원장'!C8)</x:f>
        <x:v>45792</x:v>
      </x:c>
      <x:c r="E8" s="73" t="str">
        <x:f>IF('전기원장'!A8="","",'전기원장'!D8)</x:f>
        <x:v>P-088</x:v>
      </x:c>
      <x:c r="F8" s="73" t="str">
        <x:f>IF('전기원장'!A8="","",'전기원장'!E8)</x:f>
        <x:v>기타 정산</x:v>
      </x:c>
      <x:c r="G8" s="75" t="n">
        <x:f>IF('전기원장'!A8="","",'전기원장'!H8)</x:f>
        <x:v>150000000</x:v>
      </x:c>
      <x:c r="H8" s="73" t="str">
        <x:f>IF('전기원장'!A8="","",'전기원장'!I8)</x:f>
        <x:v>기타/불명</x:v>
      </x:c>
      <x:c r="I8" s="73" t="str">
        <x:f>IF('전기원장'!A8="","",'전기원장'!J8)</x:f>
        <x:v>확인 필요</x:v>
      </x:c>
      <x:c r="J8" s="73" t="str">
        <x:f>IF('전기원장'!A8="","",'전기원장'!K8)</x:f>
      </x:c>
      <x:c r="K8" s="73" t="n">
        <x:f>IF(B8="","",IF(COUNTIF($B$5:B8,B8)=1,COUNT($K$4:K7)+1,""))</x:f>
        <x:v>4</x:v>
      </x:c>
      <x:c r="L8" s="85" t="n">
        <x:f>IF(B8="","",IF(COUNTIFS('계정비교'!$A$5:$A$1004,B8,'계정비교'!$H$5:$H$1004,"원인분석 대상")&gt;0,COUNT($L$4:L7)+1,""))</x:f>
        <x:v>3</x:v>
      </x:c>
    </x:row>
    <x:row r="9">
      <x:c r="A9" s="73" t="str">
        <x:f>IF('전기원장'!A9="","","전기")</x:f>
      </x:c>
      <x:c r="B9" s="73" t="str">
        <x:f>IF('전기원장'!A9="","",'전기원장'!A9)</x:f>
      </x:c>
      <x:c r="C9" s="73" t="str">
        <x:f>IF('전기원장'!A9="","",'전기원장'!B9)</x:f>
      </x:c>
      <x:c r="D9" s="74" t="str">
        <x:f>IF('전기원장'!A9="","",'전기원장'!C9)</x:f>
      </x:c>
      <x:c r="E9" s="73" t="str">
        <x:f>IF('전기원장'!A9="","",'전기원장'!D9)</x:f>
      </x:c>
      <x:c r="F9" s="73" t="str">
        <x:f>IF('전기원장'!A9="","",'전기원장'!E9)</x:f>
      </x:c>
      <x:c r="G9" s="75" t="str">
        <x:f>IF('전기원장'!A9="","",'전기원장'!H9)</x:f>
      </x:c>
      <x:c r="H9" s="73" t="str">
        <x:f>IF('전기원장'!A9="","",'전기원장'!I9)</x:f>
      </x:c>
      <x:c r="I9" s="73" t="str">
        <x:f>IF('전기원장'!A9="","",'전기원장'!J9)</x:f>
      </x:c>
      <x:c r="J9" s="73" t="str">
        <x:f>IF('전기원장'!A9="","",'전기원장'!K9)</x:f>
      </x:c>
      <x:c r="K9" s="73" t="str">
        <x:f>IF(B9="","",IF(COUNTIF($B$5:B9,B9)=1,COUNT($K$4:K8)+1,""))</x:f>
      </x:c>
      <x:c r="L9" s="85" t="str">
        <x:f>IF(B9="","",IF(COUNTIFS('계정비교'!$A$5:$A$1004,B9,'계정비교'!$H$5:$H$1004,"원인분석 대상")&gt;0,COUNT($L$4:L8)+1,""))</x:f>
      </x:c>
    </x:row>
    <x:row r="10">
      <x:c r="A10" s="73" t="str">
        <x:f>IF('전기원장'!A10="","","전기")</x:f>
      </x:c>
      <x:c r="B10" s="73" t="str">
        <x:f>IF('전기원장'!A10="","",'전기원장'!A10)</x:f>
      </x:c>
      <x:c r="C10" s="73" t="str">
        <x:f>IF('전기원장'!A10="","",'전기원장'!B10)</x:f>
      </x:c>
      <x:c r="D10" s="74" t="str">
        <x:f>IF('전기원장'!A10="","",'전기원장'!C10)</x:f>
      </x:c>
      <x:c r="E10" s="73" t="str">
        <x:f>IF('전기원장'!A10="","",'전기원장'!D10)</x:f>
      </x:c>
      <x:c r="F10" s="73" t="str">
        <x:f>IF('전기원장'!A10="","",'전기원장'!E10)</x:f>
      </x:c>
      <x:c r="G10" s="75" t="str">
        <x:f>IF('전기원장'!A10="","",'전기원장'!H10)</x:f>
      </x:c>
      <x:c r="H10" s="73" t="str">
        <x:f>IF('전기원장'!A10="","",'전기원장'!I10)</x:f>
      </x:c>
      <x:c r="I10" s="73" t="str">
        <x:f>IF('전기원장'!A10="","",'전기원장'!J10)</x:f>
      </x:c>
      <x:c r="J10" s="73" t="str">
        <x:f>IF('전기원장'!A10="","",'전기원장'!K10)</x:f>
      </x:c>
      <x:c r="K10" s="73" t="str">
        <x:f>IF(B10="","",IF(COUNTIF($B$5:B10,B10)=1,COUNT($K$4:K9)+1,""))</x:f>
      </x:c>
      <x:c r="L10" s="85" t="str">
        <x:f>IF(B10="","",IF(COUNTIFS('계정비교'!$A$5:$A$1004,B10,'계정비교'!$H$5:$H$1004,"원인분석 대상")&gt;0,COUNT($L$4:L9)+1,""))</x:f>
      </x:c>
    </x:row>
    <x:row r="11">
      <x:c r="A11" s="73" t="str">
        <x:f>IF('전기원장'!A11="","","전기")</x:f>
      </x:c>
      <x:c r="B11" s="73" t="str">
        <x:f>IF('전기원장'!A11="","",'전기원장'!A11)</x:f>
      </x:c>
      <x:c r="C11" s="73" t="str">
        <x:f>IF('전기원장'!A11="","",'전기원장'!B11)</x:f>
      </x:c>
      <x:c r="D11" s="74" t="str">
        <x:f>IF('전기원장'!A11="","",'전기원장'!C11)</x:f>
      </x:c>
      <x:c r="E11" s="73" t="str">
        <x:f>IF('전기원장'!A11="","",'전기원장'!D11)</x:f>
      </x:c>
      <x:c r="F11" s="73" t="str">
        <x:f>IF('전기원장'!A11="","",'전기원장'!E11)</x:f>
      </x:c>
      <x:c r="G11" s="75" t="str">
        <x:f>IF('전기원장'!A11="","",'전기원장'!H11)</x:f>
      </x:c>
      <x:c r="H11" s="73" t="str">
        <x:f>IF('전기원장'!A11="","",'전기원장'!I11)</x:f>
      </x:c>
      <x:c r="I11" s="73" t="str">
        <x:f>IF('전기원장'!A11="","",'전기원장'!J11)</x:f>
      </x:c>
      <x:c r="J11" s="73" t="str">
        <x:f>IF('전기원장'!A11="","",'전기원장'!K11)</x:f>
      </x:c>
      <x:c r="K11" s="73" t="str">
        <x:f>IF(B11="","",IF(COUNTIF($B$5:B11,B11)=1,COUNT($K$4:K10)+1,""))</x:f>
      </x:c>
      <x:c r="L11" s="85" t="str">
        <x:f>IF(B11="","",IF(COUNTIFS('계정비교'!$A$5:$A$1004,B11,'계정비교'!$H$5:$H$1004,"원인분석 대상")&gt;0,COUNT($L$4:L10)+1,""))</x:f>
      </x:c>
    </x:row>
    <x:row r="12">
      <x:c r="A12" s="73" t="str">
        <x:f>IF('전기원장'!A12="","","전기")</x:f>
      </x:c>
      <x:c r="B12" s="73" t="str">
        <x:f>IF('전기원장'!A12="","",'전기원장'!A12)</x:f>
      </x:c>
      <x:c r="C12" s="73" t="str">
        <x:f>IF('전기원장'!A12="","",'전기원장'!B12)</x:f>
      </x:c>
      <x:c r="D12" s="74" t="str">
        <x:f>IF('전기원장'!A12="","",'전기원장'!C12)</x:f>
      </x:c>
      <x:c r="E12" s="73" t="str">
        <x:f>IF('전기원장'!A12="","",'전기원장'!D12)</x:f>
      </x:c>
      <x:c r="F12" s="73" t="str">
        <x:f>IF('전기원장'!A12="","",'전기원장'!E12)</x:f>
      </x:c>
      <x:c r="G12" s="75" t="str">
        <x:f>IF('전기원장'!A12="","",'전기원장'!H12)</x:f>
      </x:c>
      <x:c r="H12" s="73" t="str">
        <x:f>IF('전기원장'!A12="","",'전기원장'!I12)</x:f>
      </x:c>
      <x:c r="I12" s="73" t="str">
        <x:f>IF('전기원장'!A12="","",'전기원장'!J12)</x:f>
      </x:c>
      <x:c r="J12" s="73" t="str">
        <x:f>IF('전기원장'!A12="","",'전기원장'!K12)</x:f>
      </x:c>
      <x:c r="K12" s="73" t="str">
        <x:f>IF(B12="","",IF(COUNTIF($B$5:B12,B12)=1,COUNT($K$4:K11)+1,""))</x:f>
      </x:c>
      <x:c r="L12" s="85" t="str">
        <x:f>IF(B12="","",IF(COUNTIFS('계정비교'!$A$5:$A$1004,B12,'계정비교'!$H$5:$H$1004,"원인분석 대상")&gt;0,COUNT($L$4:L11)+1,""))</x:f>
      </x:c>
    </x:row>
    <x:row r="13">
      <x:c r="A13" s="73" t="str">
        <x:f>IF('전기원장'!A13="","","전기")</x:f>
      </x:c>
      <x:c r="B13" s="73" t="str">
        <x:f>IF('전기원장'!A13="","",'전기원장'!A13)</x:f>
      </x:c>
      <x:c r="C13" s="73" t="str">
        <x:f>IF('전기원장'!A13="","",'전기원장'!B13)</x:f>
      </x:c>
      <x:c r="D13" s="74" t="str">
        <x:f>IF('전기원장'!A13="","",'전기원장'!C13)</x:f>
      </x:c>
      <x:c r="E13" s="73" t="str">
        <x:f>IF('전기원장'!A13="","",'전기원장'!D13)</x:f>
      </x:c>
      <x:c r="F13" s="73" t="str">
        <x:f>IF('전기원장'!A13="","",'전기원장'!E13)</x:f>
      </x:c>
      <x:c r="G13" s="75" t="str">
        <x:f>IF('전기원장'!A13="","",'전기원장'!H13)</x:f>
      </x:c>
      <x:c r="H13" s="73" t="str">
        <x:f>IF('전기원장'!A13="","",'전기원장'!I13)</x:f>
      </x:c>
      <x:c r="I13" s="73" t="str">
        <x:f>IF('전기원장'!A13="","",'전기원장'!J13)</x:f>
      </x:c>
      <x:c r="J13" s="73" t="str">
        <x:f>IF('전기원장'!A13="","",'전기원장'!K13)</x:f>
      </x:c>
      <x:c r="K13" s="73" t="str">
        <x:f>IF(B13="","",IF(COUNTIF($B$5:B13,B13)=1,COUNT($K$4:K12)+1,""))</x:f>
      </x:c>
      <x:c r="L13" s="85" t="str">
        <x:f>IF(B13="","",IF(COUNTIFS('계정비교'!$A$5:$A$1004,B13,'계정비교'!$H$5:$H$1004,"원인분석 대상")&gt;0,COUNT($L$4:L12)+1,""))</x:f>
      </x:c>
    </x:row>
    <x:row r="14">
      <x:c r="A14" s="73" t="str">
        <x:f>IF('전기원장'!A14="","","전기")</x:f>
      </x:c>
      <x:c r="B14" s="73" t="str">
        <x:f>IF('전기원장'!A14="","",'전기원장'!A14)</x:f>
      </x:c>
      <x:c r="C14" s="73" t="str">
        <x:f>IF('전기원장'!A14="","",'전기원장'!B14)</x:f>
      </x:c>
      <x:c r="D14" s="74" t="str">
        <x:f>IF('전기원장'!A14="","",'전기원장'!C14)</x:f>
      </x:c>
      <x:c r="E14" s="73" t="str">
        <x:f>IF('전기원장'!A14="","",'전기원장'!D14)</x:f>
      </x:c>
      <x:c r="F14" s="73" t="str">
        <x:f>IF('전기원장'!A14="","",'전기원장'!E14)</x:f>
      </x:c>
      <x:c r="G14" s="75" t="str">
        <x:f>IF('전기원장'!A14="","",'전기원장'!H14)</x:f>
      </x:c>
      <x:c r="H14" s="73" t="str">
        <x:f>IF('전기원장'!A14="","",'전기원장'!I14)</x:f>
      </x:c>
      <x:c r="I14" s="73" t="str">
        <x:f>IF('전기원장'!A14="","",'전기원장'!J14)</x:f>
      </x:c>
      <x:c r="J14" s="73" t="str">
        <x:f>IF('전기원장'!A14="","",'전기원장'!K14)</x:f>
      </x:c>
      <x:c r="K14" s="73" t="str">
        <x:f>IF(B14="","",IF(COUNTIF($B$5:B14,B14)=1,COUNT($K$4:K13)+1,""))</x:f>
      </x:c>
      <x:c r="L14" s="85" t="str">
        <x:f>IF(B14="","",IF(COUNTIFS('계정비교'!$A$5:$A$1004,B14,'계정비교'!$H$5:$H$1004,"원인분석 대상")&gt;0,COUNT($L$4:L13)+1,""))</x:f>
      </x:c>
    </x:row>
    <x:row r="15">
      <x:c r="A15" s="73" t="str">
        <x:f>IF('전기원장'!A15="","","전기")</x:f>
      </x:c>
      <x:c r="B15" s="73" t="str">
        <x:f>IF('전기원장'!A15="","",'전기원장'!A15)</x:f>
      </x:c>
      <x:c r="C15" s="73" t="str">
        <x:f>IF('전기원장'!A15="","",'전기원장'!B15)</x:f>
      </x:c>
      <x:c r="D15" s="74" t="str">
        <x:f>IF('전기원장'!A15="","",'전기원장'!C15)</x:f>
      </x:c>
      <x:c r="E15" s="73" t="str">
        <x:f>IF('전기원장'!A15="","",'전기원장'!D15)</x:f>
      </x:c>
      <x:c r="F15" s="73" t="str">
        <x:f>IF('전기원장'!A15="","",'전기원장'!E15)</x:f>
      </x:c>
      <x:c r="G15" s="75" t="str">
        <x:f>IF('전기원장'!A15="","",'전기원장'!H15)</x:f>
      </x:c>
      <x:c r="H15" s="73" t="str">
        <x:f>IF('전기원장'!A15="","",'전기원장'!I15)</x:f>
      </x:c>
      <x:c r="I15" s="73" t="str">
        <x:f>IF('전기원장'!A15="","",'전기원장'!J15)</x:f>
      </x:c>
      <x:c r="J15" s="73" t="str">
        <x:f>IF('전기원장'!A15="","",'전기원장'!K15)</x:f>
      </x:c>
      <x:c r="K15" s="73" t="str">
        <x:f>IF(B15="","",IF(COUNTIF($B$5:B15,B15)=1,COUNT($K$4:K14)+1,""))</x:f>
      </x:c>
      <x:c r="L15" s="85" t="str">
        <x:f>IF(B15="","",IF(COUNTIFS('계정비교'!$A$5:$A$1004,B15,'계정비교'!$H$5:$H$1004,"원인분석 대상")&gt;0,COUNT($L$4:L14)+1,""))</x:f>
      </x:c>
    </x:row>
    <x:row r="16">
      <x:c r="A16" s="73" t="str">
        <x:f>IF('전기원장'!A16="","","전기")</x:f>
      </x:c>
      <x:c r="B16" s="73" t="str">
        <x:f>IF('전기원장'!A16="","",'전기원장'!A16)</x:f>
      </x:c>
      <x:c r="C16" s="73" t="str">
        <x:f>IF('전기원장'!A16="","",'전기원장'!B16)</x:f>
      </x:c>
      <x:c r="D16" s="74" t="str">
        <x:f>IF('전기원장'!A16="","",'전기원장'!C16)</x:f>
      </x:c>
      <x:c r="E16" s="73" t="str">
        <x:f>IF('전기원장'!A16="","",'전기원장'!D16)</x:f>
      </x:c>
      <x:c r="F16" s="73" t="str">
        <x:f>IF('전기원장'!A16="","",'전기원장'!E16)</x:f>
      </x:c>
      <x:c r="G16" s="75" t="str">
        <x:f>IF('전기원장'!A16="","",'전기원장'!H16)</x:f>
      </x:c>
      <x:c r="H16" s="73" t="str">
        <x:f>IF('전기원장'!A16="","",'전기원장'!I16)</x:f>
      </x:c>
      <x:c r="I16" s="73" t="str">
        <x:f>IF('전기원장'!A16="","",'전기원장'!J16)</x:f>
      </x:c>
      <x:c r="J16" s="73" t="str">
        <x:f>IF('전기원장'!A16="","",'전기원장'!K16)</x:f>
      </x:c>
      <x:c r="K16" s="73" t="str">
        <x:f>IF(B16="","",IF(COUNTIF($B$5:B16,B16)=1,COUNT($K$4:K15)+1,""))</x:f>
      </x:c>
      <x:c r="L16" s="85" t="str">
        <x:f>IF(B16="","",IF(COUNTIFS('계정비교'!$A$5:$A$1004,B16,'계정비교'!$H$5:$H$1004,"원인분석 대상")&gt;0,COUNT($L$4:L15)+1,""))</x:f>
      </x:c>
    </x:row>
    <x:row r="17">
      <x:c r="A17" s="73" t="str">
        <x:f>IF('전기원장'!A17="","","전기")</x:f>
      </x:c>
      <x:c r="B17" s="73" t="str">
        <x:f>IF('전기원장'!A17="","",'전기원장'!A17)</x:f>
      </x:c>
      <x:c r="C17" s="73" t="str">
        <x:f>IF('전기원장'!A17="","",'전기원장'!B17)</x:f>
      </x:c>
      <x:c r="D17" s="74" t="str">
        <x:f>IF('전기원장'!A17="","",'전기원장'!C17)</x:f>
      </x:c>
      <x:c r="E17" s="73" t="str">
        <x:f>IF('전기원장'!A17="","",'전기원장'!D17)</x:f>
      </x:c>
      <x:c r="F17" s="73" t="str">
        <x:f>IF('전기원장'!A17="","",'전기원장'!E17)</x:f>
      </x:c>
      <x:c r="G17" s="75" t="str">
        <x:f>IF('전기원장'!A17="","",'전기원장'!H17)</x:f>
      </x:c>
      <x:c r="H17" s="73" t="str">
        <x:f>IF('전기원장'!A17="","",'전기원장'!I17)</x:f>
      </x:c>
      <x:c r="I17" s="73" t="str">
        <x:f>IF('전기원장'!A17="","",'전기원장'!J17)</x:f>
      </x:c>
      <x:c r="J17" s="73" t="str">
        <x:f>IF('전기원장'!A17="","",'전기원장'!K17)</x:f>
      </x:c>
      <x:c r="K17" s="73" t="str">
        <x:f>IF(B17="","",IF(COUNTIF($B$5:B17,B17)=1,COUNT($K$4:K16)+1,""))</x:f>
      </x:c>
      <x:c r="L17" s="85" t="str">
        <x:f>IF(B17="","",IF(COUNTIFS('계정비교'!$A$5:$A$1004,B17,'계정비교'!$H$5:$H$1004,"원인분석 대상")&gt;0,COUNT($L$4:L16)+1,""))</x:f>
      </x:c>
    </x:row>
    <x:row r="18">
      <x:c r="A18" s="73" t="str">
        <x:f>IF('전기원장'!A18="","","전기")</x:f>
      </x:c>
      <x:c r="B18" s="73" t="str">
        <x:f>IF('전기원장'!A18="","",'전기원장'!A18)</x:f>
      </x:c>
      <x:c r="C18" s="73" t="str">
        <x:f>IF('전기원장'!A18="","",'전기원장'!B18)</x:f>
      </x:c>
      <x:c r="D18" s="74" t="str">
        <x:f>IF('전기원장'!A18="","",'전기원장'!C18)</x:f>
      </x:c>
      <x:c r="E18" s="73" t="str">
        <x:f>IF('전기원장'!A18="","",'전기원장'!D18)</x:f>
      </x:c>
      <x:c r="F18" s="73" t="str">
        <x:f>IF('전기원장'!A18="","",'전기원장'!E18)</x:f>
      </x:c>
      <x:c r="G18" s="75" t="str">
        <x:f>IF('전기원장'!A18="","",'전기원장'!H18)</x:f>
      </x:c>
      <x:c r="H18" s="73" t="str">
        <x:f>IF('전기원장'!A18="","",'전기원장'!I18)</x:f>
      </x:c>
      <x:c r="I18" s="73" t="str">
        <x:f>IF('전기원장'!A18="","",'전기원장'!J18)</x:f>
      </x:c>
      <x:c r="J18" s="73" t="str">
        <x:f>IF('전기원장'!A18="","",'전기원장'!K18)</x:f>
      </x:c>
      <x:c r="K18" s="73" t="str">
        <x:f>IF(B18="","",IF(COUNTIF($B$5:B18,B18)=1,COUNT($K$4:K17)+1,""))</x:f>
      </x:c>
      <x:c r="L18" s="85" t="str">
        <x:f>IF(B18="","",IF(COUNTIFS('계정비교'!$A$5:$A$1004,B18,'계정비교'!$H$5:$H$1004,"원인분석 대상")&gt;0,COUNT($L$4:L17)+1,""))</x:f>
      </x:c>
    </x:row>
    <x:row r="19">
      <x:c r="A19" s="73" t="str">
        <x:f>IF('전기원장'!A19="","","전기")</x:f>
      </x:c>
      <x:c r="B19" s="73" t="str">
        <x:f>IF('전기원장'!A19="","",'전기원장'!A19)</x:f>
      </x:c>
      <x:c r="C19" s="73" t="str">
        <x:f>IF('전기원장'!A19="","",'전기원장'!B19)</x:f>
      </x:c>
      <x:c r="D19" s="74" t="str">
        <x:f>IF('전기원장'!A19="","",'전기원장'!C19)</x:f>
      </x:c>
      <x:c r="E19" s="73" t="str">
        <x:f>IF('전기원장'!A19="","",'전기원장'!D19)</x:f>
      </x:c>
      <x:c r="F19" s="73" t="str">
        <x:f>IF('전기원장'!A19="","",'전기원장'!E19)</x:f>
      </x:c>
      <x:c r="G19" s="75" t="str">
        <x:f>IF('전기원장'!A19="","",'전기원장'!H19)</x:f>
      </x:c>
      <x:c r="H19" s="73" t="str">
        <x:f>IF('전기원장'!A19="","",'전기원장'!I19)</x:f>
      </x:c>
      <x:c r="I19" s="73" t="str">
        <x:f>IF('전기원장'!A19="","",'전기원장'!J19)</x:f>
      </x:c>
      <x:c r="J19" s="73" t="str">
        <x:f>IF('전기원장'!A19="","",'전기원장'!K19)</x:f>
      </x:c>
      <x:c r="K19" s="73" t="str">
        <x:f>IF(B19="","",IF(COUNTIF($B$5:B19,B19)=1,COUNT($K$4:K18)+1,""))</x:f>
      </x:c>
      <x:c r="L19" s="85" t="str">
        <x:f>IF(B19="","",IF(COUNTIFS('계정비교'!$A$5:$A$1004,B19,'계정비교'!$H$5:$H$1004,"원인분석 대상")&gt;0,COUNT($L$4:L18)+1,""))</x:f>
      </x:c>
    </x:row>
    <x:row r="20">
      <x:c r="A20" s="73" t="str">
        <x:f>IF('전기원장'!A20="","","전기")</x:f>
      </x:c>
      <x:c r="B20" s="73" t="str">
        <x:f>IF('전기원장'!A20="","",'전기원장'!A20)</x:f>
      </x:c>
      <x:c r="C20" s="73" t="str">
        <x:f>IF('전기원장'!A20="","",'전기원장'!B20)</x:f>
      </x:c>
      <x:c r="D20" s="74" t="str">
        <x:f>IF('전기원장'!A20="","",'전기원장'!C20)</x:f>
      </x:c>
      <x:c r="E20" s="73" t="str">
        <x:f>IF('전기원장'!A20="","",'전기원장'!D20)</x:f>
      </x:c>
      <x:c r="F20" s="73" t="str">
        <x:f>IF('전기원장'!A20="","",'전기원장'!E20)</x:f>
      </x:c>
      <x:c r="G20" s="75" t="str">
        <x:f>IF('전기원장'!A20="","",'전기원장'!H20)</x:f>
      </x:c>
      <x:c r="H20" s="73" t="str">
        <x:f>IF('전기원장'!A20="","",'전기원장'!I20)</x:f>
      </x:c>
      <x:c r="I20" s="73" t="str">
        <x:f>IF('전기원장'!A20="","",'전기원장'!J20)</x:f>
      </x:c>
      <x:c r="J20" s="73" t="str">
        <x:f>IF('전기원장'!A20="","",'전기원장'!K20)</x:f>
      </x:c>
      <x:c r="K20" s="73" t="str">
        <x:f>IF(B20="","",IF(COUNTIF($B$5:B20,B20)=1,COUNT($K$4:K19)+1,""))</x:f>
      </x:c>
      <x:c r="L20" s="85" t="str">
        <x:f>IF(B20="","",IF(COUNTIFS('계정비교'!$A$5:$A$1004,B20,'계정비교'!$H$5:$H$1004,"원인분석 대상")&gt;0,COUNT($L$4:L19)+1,""))</x:f>
      </x:c>
    </x:row>
    <x:row r="21">
      <x:c r="A21" s="73" t="str">
        <x:f>IF('전기원장'!A21="","","전기")</x:f>
      </x:c>
      <x:c r="B21" s="73" t="str">
        <x:f>IF('전기원장'!A21="","",'전기원장'!A21)</x:f>
      </x:c>
      <x:c r="C21" s="73" t="str">
        <x:f>IF('전기원장'!A21="","",'전기원장'!B21)</x:f>
      </x:c>
      <x:c r="D21" s="74" t="str">
        <x:f>IF('전기원장'!A21="","",'전기원장'!C21)</x:f>
      </x:c>
      <x:c r="E21" s="73" t="str">
        <x:f>IF('전기원장'!A21="","",'전기원장'!D21)</x:f>
      </x:c>
      <x:c r="F21" s="73" t="str">
        <x:f>IF('전기원장'!A21="","",'전기원장'!E21)</x:f>
      </x:c>
      <x:c r="G21" s="75" t="str">
        <x:f>IF('전기원장'!A21="","",'전기원장'!H21)</x:f>
      </x:c>
      <x:c r="H21" s="73" t="str">
        <x:f>IF('전기원장'!A21="","",'전기원장'!I21)</x:f>
      </x:c>
      <x:c r="I21" s="73" t="str">
        <x:f>IF('전기원장'!A21="","",'전기원장'!J21)</x:f>
      </x:c>
      <x:c r="J21" s="73" t="str">
        <x:f>IF('전기원장'!A21="","",'전기원장'!K21)</x:f>
      </x:c>
      <x:c r="K21" s="73" t="str">
        <x:f>IF(B21="","",IF(COUNTIF($B$5:B21,B21)=1,COUNT($K$4:K20)+1,""))</x:f>
      </x:c>
      <x:c r="L21" s="85" t="str">
        <x:f>IF(B21="","",IF(COUNTIFS('계정비교'!$A$5:$A$1004,B21,'계정비교'!$H$5:$H$1004,"원인분석 대상")&gt;0,COUNT($L$4:L20)+1,""))</x:f>
      </x:c>
    </x:row>
    <x:row r="22">
      <x:c r="A22" s="73" t="str">
        <x:f>IF('전기원장'!A22="","","전기")</x:f>
      </x:c>
      <x:c r="B22" s="73" t="str">
        <x:f>IF('전기원장'!A22="","",'전기원장'!A22)</x:f>
      </x:c>
      <x:c r="C22" s="73" t="str">
        <x:f>IF('전기원장'!A22="","",'전기원장'!B22)</x:f>
      </x:c>
      <x:c r="D22" s="74" t="str">
        <x:f>IF('전기원장'!A22="","",'전기원장'!C22)</x:f>
      </x:c>
      <x:c r="E22" s="73" t="str">
        <x:f>IF('전기원장'!A22="","",'전기원장'!D22)</x:f>
      </x:c>
      <x:c r="F22" s="73" t="str">
        <x:f>IF('전기원장'!A22="","",'전기원장'!E22)</x:f>
      </x:c>
      <x:c r="G22" s="75" t="str">
        <x:f>IF('전기원장'!A22="","",'전기원장'!H22)</x:f>
      </x:c>
      <x:c r="H22" s="73" t="str">
        <x:f>IF('전기원장'!A22="","",'전기원장'!I22)</x:f>
      </x:c>
      <x:c r="I22" s="73" t="str">
        <x:f>IF('전기원장'!A22="","",'전기원장'!J22)</x:f>
      </x:c>
      <x:c r="J22" s="73" t="str">
        <x:f>IF('전기원장'!A22="","",'전기원장'!K22)</x:f>
      </x:c>
      <x:c r="K22" s="73" t="str">
        <x:f>IF(B22="","",IF(COUNTIF($B$5:B22,B22)=1,COUNT($K$4:K21)+1,""))</x:f>
      </x:c>
      <x:c r="L22" s="85" t="str">
        <x:f>IF(B22="","",IF(COUNTIFS('계정비교'!$A$5:$A$1004,B22,'계정비교'!$H$5:$H$1004,"원인분석 대상")&gt;0,COUNT($L$4:L21)+1,""))</x:f>
      </x:c>
    </x:row>
    <x:row r="23">
      <x:c r="A23" s="73" t="str">
        <x:f>IF('전기원장'!A23="","","전기")</x:f>
      </x:c>
      <x:c r="B23" s="73" t="str">
        <x:f>IF('전기원장'!A23="","",'전기원장'!A23)</x:f>
      </x:c>
      <x:c r="C23" s="73" t="str">
        <x:f>IF('전기원장'!A23="","",'전기원장'!B23)</x:f>
      </x:c>
      <x:c r="D23" s="74" t="str">
        <x:f>IF('전기원장'!A23="","",'전기원장'!C23)</x:f>
      </x:c>
      <x:c r="E23" s="73" t="str">
        <x:f>IF('전기원장'!A23="","",'전기원장'!D23)</x:f>
      </x:c>
      <x:c r="F23" s="73" t="str">
        <x:f>IF('전기원장'!A23="","",'전기원장'!E23)</x:f>
      </x:c>
      <x:c r="G23" s="75" t="str">
        <x:f>IF('전기원장'!A23="","",'전기원장'!H23)</x:f>
      </x:c>
      <x:c r="H23" s="73" t="str">
        <x:f>IF('전기원장'!A23="","",'전기원장'!I23)</x:f>
      </x:c>
      <x:c r="I23" s="73" t="str">
        <x:f>IF('전기원장'!A23="","",'전기원장'!J23)</x:f>
      </x:c>
      <x:c r="J23" s="73" t="str">
        <x:f>IF('전기원장'!A23="","",'전기원장'!K23)</x:f>
      </x:c>
      <x:c r="K23" s="73" t="str">
        <x:f>IF(B23="","",IF(COUNTIF($B$5:B23,B23)=1,COUNT($K$4:K22)+1,""))</x:f>
      </x:c>
      <x:c r="L23" s="85" t="str">
        <x:f>IF(B23="","",IF(COUNTIFS('계정비교'!$A$5:$A$1004,B23,'계정비교'!$H$5:$H$1004,"원인분석 대상")&gt;0,COUNT($L$4:L22)+1,""))</x:f>
      </x:c>
    </x:row>
    <x:row r="24">
      <x:c r="A24" s="73" t="str">
        <x:f>IF('전기원장'!A24="","","전기")</x:f>
      </x:c>
      <x:c r="B24" s="73" t="str">
        <x:f>IF('전기원장'!A24="","",'전기원장'!A24)</x:f>
      </x:c>
      <x:c r="C24" s="73" t="str">
        <x:f>IF('전기원장'!A24="","",'전기원장'!B24)</x:f>
      </x:c>
      <x:c r="D24" s="74" t="str">
        <x:f>IF('전기원장'!A24="","",'전기원장'!C24)</x:f>
      </x:c>
      <x:c r="E24" s="73" t="str">
        <x:f>IF('전기원장'!A24="","",'전기원장'!D24)</x:f>
      </x:c>
      <x:c r="F24" s="73" t="str">
        <x:f>IF('전기원장'!A24="","",'전기원장'!E24)</x:f>
      </x:c>
      <x:c r="G24" s="75" t="str">
        <x:f>IF('전기원장'!A24="","",'전기원장'!H24)</x:f>
      </x:c>
      <x:c r="H24" s="73" t="str">
        <x:f>IF('전기원장'!A24="","",'전기원장'!I24)</x:f>
      </x:c>
      <x:c r="I24" s="73" t="str">
        <x:f>IF('전기원장'!A24="","",'전기원장'!J24)</x:f>
      </x:c>
      <x:c r="J24" s="73" t="str">
        <x:f>IF('전기원장'!A24="","",'전기원장'!K24)</x:f>
      </x:c>
      <x:c r="K24" s="73" t="str">
        <x:f>IF(B24="","",IF(COUNTIF($B$5:B24,B24)=1,COUNT($K$4:K23)+1,""))</x:f>
      </x:c>
      <x:c r="L24" s="85" t="str">
        <x:f>IF(B24="","",IF(COUNTIFS('계정비교'!$A$5:$A$1004,B24,'계정비교'!$H$5:$H$1004,"원인분석 대상")&gt;0,COUNT($L$4:L23)+1,""))</x:f>
      </x:c>
    </x:row>
    <x:row r="25">
      <x:c r="A25" s="73" t="str">
        <x:f>IF('전기원장'!A25="","","전기")</x:f>
      </x:c>
      <x:c r="B25" s="73" t="str">
        <x:f>IF('전기원장'!A25="","",'전기원장'!A25)</x:f>
      </x:c>
      <x:c r="C25" s="73" t="str">
        <x:f>IF('전기원장'!A25="","",'전기원장'!B25)</x:f>
      </x:c>
      <x:c r="D25" s="74" t="str">
        <x:f>IF('전기원장'!A25="","",'전기원장'!C25)</x:f>
      </x:c>
      <x:c r="E25" s="73" t="str">
        <x:f>IF('전기원장'!A25="","",'전기원장'!D25)</x:f>
      </x:c>
      <x:c r="F25" s="73" t="str">
        <x:f>IF('전기원장'!A25="","",'전기원장'!E25)</x:f>
      </x:c>
      <x:c r="G25" s="75" t="str">
        <x:f>IF('전기원장'!A25="","",'전기원장'!H25)</x:f>
      </x:c>
      <x:c r="H25" s="73" t="str">
        <x:f>IF('전기원장'!A25="","",'전기원장'!I25)</x:f>
      </x:c>
      <x:c r="I25" s="73" t="str">
        <x:f>IF('전기원장'!A25="","",'전기원장'!J25)</x:f>
      </x:c>
      <x:c r="J25" s="73" t="str">
        <x:f>IF('전기원장'!A25="","",'전기원장'!K25)</x:f>
      </x:c>
      <x:c r="K25" s="73" t="str">
        <x:f>IF(B25="","",IF(COUNTIF($B$5:B25,B25)=1,COUNT($K$4:K24)+1,""))</x:f>
      </x:c>
      <x:c r="L25" s="85" t="str">
        <x:f>IF(B25="","",IF(COUNTIFS('계정비교'!$A$5:$A$1004,B25,'계정비교'!$H$5:$H$1004,"원인분석 대상")&gt;0,COUNT($L$4:L24)+1,""))</x:f>
      </x:c>
    </x:row>
    <x:row r="26">
      <x:c r="A26" s="73" t="str">
        <x:f>IF('전기원장'!A26="","","전기")</x:f>
      </x:c>
      <x:c r="B26" s="73" t="str">
        <x:f>IF('전기원장'!A26="","",'전기원장'!A26)</x:f>
      </x:c>
      <x:c r="C26" s="73" t="str">
        <x:f>IF('전기원장'!A26="","",'전기원장'!B26)</x:f>
      </x:c>
      <x:c r="D26" s="74" t="str">
        <x:f>IF('전기원장'!A26="","",'전기원장'!C26)</x:f>
      </x:c>
      <x:c r="E26" s="73" t="str">
        <x:f>IF('전기원장'!A26="","",'전기원장'!D26)</x:f>
      </x:c>
      <x:c r="F26" s="73" t="str">
        <x:f>IF('전기원장'!A26="","",'전기원장'!E26)</x:f>
      </x:c>
      <x:c r="G26" s="75" t="str">
        <x:f>IF('전기원장'!A26="","",'전기원장'!H26)</x:f>
      </x:c>
      <x:c r="H26" s="73" t="str">
        <x:f>IF('전기원장'!A26="","",'전기원장'!I26)</x:f>
      </x:c>
      <x:c r="I26" s="73" t="str">
        <x:f>IF('전기원장'!A26="","",'전기원장'!J26)</x:f>
      </x:c>
      <x:c r="J26" s="73" t="str">
        <x:f>IF('전기원장'!A26="","",'전기원장'!K26)</x:f>
      </x:c>
      <x:c r="K26" s="73" t="str">
        <x:f>IF(B26="","",IF(COUNTIF($B$5:B26,B26)=1,COUNT($K$4:K25)+1,""))</x:f>
      </x:c>
      <x:c r="L26" s="85" t="str">
        <x:f>IF(B26="","",IF(COUNTIFS('계정비교'!$A$5:$A$1004,B26,'계정비교'!$H$5:$H$1004,"원인분석 대상")&gt;0,COUNT($L$4:L25)+1,""))</x:f>
      </x:c>
    </x:row>
    <x:row r="27">
      <x:c r="A27" s="73" t="str">
        <x:f>IF('전기원장'!A27="","","전기")</x:f>
      </x:c>
      <x:c r="B27" s="73" t="str">
        <x:f>IF('전기원장'!A27="","",'전기원장'!A27)</x:f>
      </x:c>
      <x:c r="C27" s="73" t="str">
        <x:f>IF('전기원장'!A27="","",'전기원장'!B27)</x:f>
      </x:c>
      <x:c r="D27" s="74" t="str">
        <x:f>IF('전기원장'!A27="","",'전기원장'!C27)</x:f>
      </x:c>
      <x:c r="E27" s="73" t="str">
        <x:f>IF('전기원장'!A27="","",'전기원장'!D27)</x:f>
      </x:c>
      <x:c r="F27" s="73" t="str">
        <x:f>IF('전기원장'!A27="","",'전기원장'!E27)</x:f>
      </x:c>
      <x:c r="G27" s="75" t="str">
        <x:f>IF('전기원장'!A27="","",'전기원장'!H27)</x:f>
      </x:c>
      <x:c r="H27" s="73" t="str">
        <x:f>IF('전기원장'!A27="","",'전기원장'!I27)</x:f>
      </x:c>
      <x:c r="I27" s="73" t="str">
        <x:f>IF('전기원장'!A27="","",'전기원장'!J27)</x:f>
      </x:c>
      <x:c r="J27" s="73" t="str">
        <x:f>IF('전기원장'!A27="","",'전기원장'!K27)</x:f>
      </x:c>
      <x:c r="K27" s="73" t="str">
        <x:f>IF(B27="","",IF(COUNTIF($B$5:B27,B27)=1,COUNT($K$4:K26)+1,""))</x:f>
      </x:c>
      <x:c r="L27" s="85" t="str">
        <x:f>IF(B27="","",IF(COUNTIFS('계정비교'!$A$5:$A$1004,B27,'계정비교'!$H$5:$H$1004,"원인분석 대상")&gt;0,COUNT($L$4:L26)+1,""))</x:f>
      </x:c>
    </x:row>
    <x:row r="28">
      <x:c r="A28" s="73" t="str">
        <x:f>IF('전기원장'!A28="","","전기")</x:f>
      </x:c>
      <x:c r="B28" s="73" t="str">
        <x:f>IF('전기원장'!A28="","",'전기원장'!A28)</x:f>
      </x:c>
      <x:c r="C28" s="73" t="str">
        <x:f>IF('전기원장'!A28="","",'전기원장'!B28)</x:f>
      </x:c>
      <x:c r="D28" s="74" t="str">
        <x:f>IF('전기원장'!A28="","",'전기원장'!C28)</x:f>
      </x:c>
      <x:c r="E28" s="73" t="str">
        <x:f>IF('전기원장'!A28="","",'전기원장'!D28)</x:f>
      </x:c>
      <x:c r="F28" s="73" t="str">
        <x:f>IF('전기원장'!A28="","",'전기원장'!E28)</x:f>
      </x:c>
      <x:c r="G28" s="75" t="str">
        <x:f>IF('전기원장'!A28="","",'전기원장'!H28)</x:f>
      </x:c>
      <x:c r="H28" s="73" t="str">
        <x:f>IF('전기원장'!A28="","",'전기원장'!I28)</x:f>
      </x:c>
      <x:c r="I28" s="73" t="str">
        <x:f>IF('전기원장'!A28="","",'전기원장'!J28)</x:f>
      </x:c>
      <x:c r="J28" s="73" t="str">
        <x:f>IF('전기원장'!A28="","",'전기원장'!K28)</x:f>
      </x:c>
      <x:c r="K28" s="73" t="str">
        <x:f>IF(B28="","",IF(COUNTIF($B$5:B28,B28)=1,COUNT($K$4:K27)+1,""))</x:f>
      </x:c>
      <x:c r="L28" s="85" t="str">
        <x:f>IF(B28="","",IF(COUNTIFS('계정비교'!$A$5:$A$1004,B28,'계정비교'!$H$5:$H$1004,"원인분석 대상")&gt;0,COUNT($L$4:L27)+1,""))</x:f>
      </x:c>
    </x:row>
    <x:row r="29">
      <x:c r="A29" s="73" t="str">
        <x:f>IF('전기원장'!A29="","","전기")</x:f>
      </x:c>
      <x:c r="B29" s="73" t="str">
        <x:f>IF('전기원장'!A29="","",'전기원장'!A29)</x:f>
      </x:c>
      <x:c r="C29" s="73" t="str">
        <x:f>IF('전기원장'!A29="","",'전기원장'!B29)</x:f>
      </x:c>
      <x:c r="D29" s="74" t="str">
        <x:f>IF('전기원장'!A29="","",'전기원장'!C29)</x:f>
      </x:c>
      <x:c r="E29" s="73" t="str">
        <x:f>IF('전기원장'!A29="","",'전기원장'!D29)</x:f>
      </x:c>
      <x:c r="F29" s="73" t="str">
        <x:f>IF('전기원장'!A29="","",'전기원장'!E29)</x:f>
      </x:c>
      <x:c r="G29" s="75" t="str">
        <x:f>IF('전기원장'!A29="","",'전기원장'!H29)</x:f>
      </x:c>
      <x:c r="H29" s="73" t="str">
        <x:f>IF('전기원장'!A29="","",'전기원장'!I29)</x:f>
      </x:c>
      <x:c r="I29" s="73" t="str">
        <x:f>IF('전기원장'!A29="","",'전기원장'!J29)</x:f>
      </x:c>
      <x:c r="J29" s="73" t="str">
        <x:f>IF('전기원장'!A29="","",'전기원장'!K29)</x:f>
      </x:c>
      <x:c r="K29" s="73" t="str">
        <x:f>IF(B29="","",IF(COUNTIF($B$5:B29,B29)=1,COUNT($K$4:K28)+1,""))</x:f>
      </x:c>
      <x:c r="L29" s="85" t="str">
        <x:f>IF(B29="","",IF(COUNTIFS('계정비교'!$A$5:$A$1004,B29,'계정비교'!$H$5:$H$1004,"원인분석 대상")&gt;0,COUNT($L$4:L28)+1,""))</x:f>
      </x:c>
    </x:row>
    <x:row r="30">
      <x:c r="A30" s="73" t="str">
        <x:f>IF('전기원장'!A30="","","전기")</x:f>
      </x:c>
      <x:c r="B30" s="73" t="str">
        <x:f>IF('전기원장'!A30="","",'전기원장'!A30)</x:f>
      </x:c>
      <x:c r="C30" s="73" t="str">
        <x:f>IF('전기원장'!A30="","",'전기원장'!B30)</x:f>
      </x:c>
      <x:c r="D30" s="74" t="str">
        <x:f>IF('전기원장'!A30="","",'전기원장'!C30)</x:f>
      </x:c>
      <x:c r="E30" s="73" t="str">
        <x:f>IF('전기원장'!A30="","",'전기원장'!D30)</x:f>
      </x:c>
      <x:c r="F30" s="73" t="str">
        <x:f>IF('전기원장'!A30="","",'전기원장'!E30)</x:f>
      </x:c>
      <x:c r="G30" s="75" t="str">
        <x:f>IF('전기원장'!A30="","",'전기원장'!H30)</x:f>
      </x:c>
      <x:c r="H30" s="73" t="str">
        <x:f>IF('전기원장'!A30="","",'전기원장'!I30)</x:f>
      </x:c>
      <x:c r="I30" s="73" t="str">
        <x:f>IF('전기원장'!A30="","",'전기원장'!J30)</x:f>
      </x:c>
      <x:c r="J30" s="73" t="str">
        <x:f>IF('전기원장'!A30="","",'전기원장'!K30)</x:f>
      </x:c>
      <x:c r="K30" s="73" t="str">
        <x:f>IF(B30="","",IF(COUNTIF($B$5:B30,B30)=1,COUNT($K$4:K29)+1,""))</x:f>
      </x:c>
      <x:c r="L30" s="85" t="str">
        <x:f>IF(B30="","",IF(COUNTIFS('계정비교'!$A$5:$A$1004,B30,'계정비교'!$H$5:$H$1004,"원인분석 대상")&gt;0,COUNT($L$4:L29)+1,""))</x:f>
      </x:c>
    </x:row>
    <x:row r="31">
      <x:c r="A31" s="73" t="str">
        <x:f>IF('전기원장'!A31="","","전기")</x:f>
      </x:c>
      <x:c r="B31" s="73" t="str">
        <x:f>IF('전기원장'!A31="","",'전기원장'!A31)</x:f>
      </x:c>
      <x:c r="C31" s="73" t="str">
        <x:f>IF('전기원장'!A31="","",'전기원장'!B31)</x:f>
      </x:c>
      <x:c r="D31" s="74" t="str">
        <x:f>IF('전기원장'!A31="","",'전기원장'!C31)</x:f>
      </x:c>
      <x:c r="E31" s="73" t="str">
        <x:f>IF('전기원장'!A31="","",'전기원장'!D31)</x:f>
      </x:c>
      <x:c r="F31" s="73" t="str">
        <x:f>IF('전기원장'!A31="","",'전기원장'!E31)</x:f>
      </x:c>
      <x:c r="G31" s="75" t="str">
        <x:f>IF('전기원장'!A31="","",'전기원장'!H31)</x:f>
      </x:c>
      <x:c r="H31" s="73" t="str">
        <x:f>IF('전기원장'!A31="","",'전기원장'!I31)</x:f>
      </x:c>
      <x:c r="I31" s="73" t="str">
        <x:f>IF('전기원장'!A31="","",'전기원장'!J31)</x:f>
      </x:c>
      <x:c r="J31" s="73" t="str">
        <x:f>IF('전기원장'!A31="","",'전기원장'!K31)</x:f>
      </x:c>
      <x:c r="K31" s="73" t="str">
        <x:f>IF(B31="","",IF(COUNTIF($B$5:B31,B31)=1,COUNT($K$4:K30)+1,""))</x:f>
      </x:c>
      <x:c r="L31" s="85" t="str">
        <x:f>IF(B31="","",IF(COUNTIFS('계정비교'!$A$5:$A$1004,B31,'계정비교'!$H$5:$H$1004,"원인분석 대상")&gt;0,COUNT($L$4:L30)+1,""))</x:f>
      </x:c>
    </x:row>
    <x:row r="32">
      <x:c r="A32" s="73" t="str">
        <x:f>IF('전기원장'!A32="","","전기")</x:f>
      </x:c>
      <x:c r="B32" s="73" t="str">
        <x:f>IF('전기원장'!A32="","",'전기원장'!A32)</x:f>
      </x:c>
      <x:c r="C32" s="73" t="str">
        <x:f>IF('전기원장'!A32="","",'전기원장'!B32)</x:f>
      </x:c>
      <x:c r="D32" s="74" t="str">
        <x:f>IF('전기원장'!A32="","",'전기원장'!C32)</x:f>
      </x:c>
      <x:c r="E32" s="73" t="str">
        <x:f>IF('전기원장'!A32="","",'전기원장'!D32)</x:f>
      </x:c>
      <x:c r="F32" s="73" t="str">
        <x:f>IF('전기원장'!A32="","",'전기원장'!E32)</x:f>
      </x:c>
      <x:c r="G32" s="75" t="str">
        <x:f>IF('전기원장'!A32="","",'전기원장'!H32)</x:f>
      </x:c>
      <x:c r="H32" s="73" t="str">
        <x:f>IF('전기원장'!A32="","",'전기원장'!I32)</x:f>
      </x:c>
      <x:c r="I32" s="73" t="str">
        <x:f>IF('전기원장'!A32="","",'전기원장'!J32)</x:f>
      </x:c>
      <x:c r="J32" s="73" t="str">
        <x:f>IF('전기원장'!A32="","",'전기원장'!K32)</x:f>
      </x:c>
      <x:c r="K32" s="73" t="str">
        <x:f>IF(B32="","",IF(COUNTIF($B$5:B32,B32)=1,COUNT($K$4:K31)+1,""))</x:f>
      </x:c>
      <x:c r="L32" s="85" t="str">
        <x:f>IF(B32="","",IF(COUNTIFS('계정비교'!$A$5:$A$1004,B32,'계정비교'!$H$5:$H$1004,"원인분석 대상")&gt;0,COUNT($L$4:L31)+1,""))</x:f>
      </x:c>
    </x:row>
    <x:row r="33">
      <x:c r="A33" s="73" t="str">
        <x:f>IF('전기원장'!A33="","","전기")</x:f>
      </x:c>
      <x:c r="B33" s="73" t="str">
        <x:f>IF('전기원장'!A33="","",'전기원장'!A33)</x:f>
      </x:c>
      <x:c r="C33" s="73" t="str">
        <x:f>IF('전기원장'!A33="","",'전기원장'!B33)</x:f>
      </x:c>
      <x:c r="D33" s="74" t="str">
        <x:f>IF('전기원장'!A33="","",'전기원장'!C33)</x:f>
      </x:c>
      <x:c r="E33" s="73" t="str">
        <x:f>IF('전기원장'!A33="","",'전기원장'!D33)</x:f>
      </x:c>
      <x:c r="F33" s="73" t="str">
        <x:f>IF('전기원장'!A33="","",'전기원장'!E33)</x:f>
      </x:c>
      <x:c r="G33" s="75" t="str">
        <x:f>IF('전기원장'!A33="","",'전기원장'!H33)</x:f>
      </x:c>
      <x:c r="H33" s="73" t="str">
        <x:f>IF('전기원장'!A33="","",'전기원장'!I33)</x:f>
      </x:c>
      <x:c r="I33" s="73" t="str">
        <x:f>IF('전기원장'!A33="","",'전기원장'!J33)</x:f>
      </x:c>
      <x:c r="J33" s="73" t="str">
        <x:f>IF('전기원장'!A33="","",'전기원장'!K33)</x:f>
      </x:c>
      <x:c r="K33" s="73" t="str">
        <x:f>IF(B33="","",IF(COUNTIF($B$5:B33,B33)=1,COUNT($K$4:K32)+1,""))</x:f>
      </x:c>
      <x:c r="L33" s="85" t="str">
        <x:f>IF(B33="","",IF(COUNTIFS('계정비교'!$A$5:$A$1004,B33,'계정비교'!$H$5:$H$1004,"원인분석 대상")&gt;0,COUNT($L$4:L32)+1,""))</x:f>
      </x:c>
    </x:row>
    <x:row r="34">
      <x:c r="A34" s="73" t="str">
        <x:f>IF('전기원장'!A34="","","전기")</x:f>
      </x:c>
      <x:c r="B34" s="73" t="str">
        <x:f>IF('전기원장'!A34="","",'전기원장'!A34)</x:f>
      </x:c>
      <x:c r="C34" s="73" t="str">
        <x:f>IF('전기원장'!A34="","",'전기원장'!B34)</x:f>
      </x:c>
      <x:c r="D34" s="74" t="str">
        <x:f>IF('전기원장'!A34="","",'전기원장'!C34)</x:f>
      </x:c>
      <x:c r="E34" s="73" t="str">
        <x:f>IF('전기원장'!A34="","",'전기원장'!D34)</x:f>
      </x:c>
      <x:c r="F34" s="73" t="str">
        <x:f>IF('전기원장'!A34="","",'전기원장'!E34)</x:f>
      </x:c>
      <x:c r="G34" s="75" t="str">
        <x:f>IF('전기원장'!A34="","",'전기원장'!H34)</x:f>
      </x:c>
      <x:c r="H34" s="73" t="str">
        <x:f>IF('전기원장'!A34="","",'전기원장'!I34)</x:f>
      </x:c>
      <x:c r="I34" s="73" t="str">
        <x:f>IF('전기원장'!A34="","",'전기원장'!J34)</x:f>
      </x:c>
      <x:c r="J34" s="73" t="str">
        <x:f>IF('전기원장'!A34="","",'전기원장'!K34)</x:f>
      </x:c>
      <x:c r="K34" s="73" t="str">
        <x:f>IF(B34="","",IF(COUNTIF($B$5:B34,B34)=1,COUNT($K$4:K33)+1,""))</x:f>
      </x:c>
      <x:c r="L34" s="85" t="str">
        <x:f>IF(B34="","",IF(COUNTIFS('계정비교'!$A$5:$A$1004,B34,'계정비교'!$H$5:$H$1004,"원인분석 대상")&gt;0,COUNT($L$4:L33)+1,""))</x:f>
      </x:c>
    </x:row>
    <x:row r="35">
      <x:c r="A35" s="73" t="str">
        <x:f>IF('전기원장'!A35="","","전기")</x:f>
      </x:c>
      <x:c r="B35" s="73" t="str">
        <x:f>IF('전기원장'!A35="","",'전기원장'!A35)</x:f>
      </x:c>
      <x:c r="C35" s="73" t="str">
        <x:f>IF('전기원장'!A35="","",'전기원장'!B35)</x:f>
      </x:c>
      <x:c r="D35" s="74" t="str">
        <x:f>IF('전기원장'!A35="","",'전기원장'!C35)</x:f>
      </x:c>
      <x:c r="E35" s="73" t="str">
        <x:f>IF('전기원장'!A35="","",'전기원장'!D35)</x:f>
      </x:c>
      <x:c r="F35" s="73" t="str">
        <x:f>IF('전기원장'!A35="","",'전기원장'!E35)</x:f>
      </x:c>
      <x:c r="G35" s="75" t="str">
        <x:f>IF('전기원장'!A35="","",'전기원장'!H35)</x:f>
      </x:c>
      <x:c r="H35" s="73" t="str">
        <x:f>IF('전기원장'!A35="","",'전기원장'!I35)</x:f>
      </x:c>
      <x:c r="I35" s="73" t="str">
        <x:f>IF('전기원장'!A35="","",'전기원장'!J35)</x:f>
      </x:c>
      <x:c r="J35" s="73" t="str">
        <x:f>IF('전기원장'!A35="","",'전기원장'!K35)</x:f>
      </x:c>
      <x:c r="K35" s="73" t="str">
        <x:f>IF(B35="","",IF(COUNTIF($B$5:B35,B35)=1,COUNT($K$4:K34)+1,""))</x:f>
      </x:c>
      <x:c r="L35" s="85" t="str">
        <x:f>IF(B35="","",IF(COUNTIFS('계정비교'!$A$5:$A$1004,B35,'계정비교'!$H$5:$H$1004,"원인분석 대상")&gt;0,COUNT($L$4:L34)+1,""))</x:f>
      </x:c>
    </x:row>
    <x:row r="36">
      <x:c r="A36" s="73" t="str">
        <x:f>IF('전기원장'!A36="","","전기")</x:f>
      </x:c>
      <x:c r="B36" s="73" t="str">
        <x:f>IF('전기원장'!A36="","",'전기원장'!A36)</x:f>
      </x:c>
      <x:c r="C36" s="73" t="str">
        <x:f>IF('전기원장'!A36="","",'전기원장'!B36)</x:f>
      </x:c>
      <x:c r="D36" s="74" t="str">
        <x:f>IF('전기원장'!A36="","",'전기원장'!C36)</x:f>
      </x:c>
      <x:c r="E36" s="73" t="str">
        <x:f>IF('전기원장'!A36="","",'전기원장'!D36)</x:f>
      </x:c>
      <x:c r="F36" s="73" t="str">
        <x:f>IF('전기원장'!A36="","",'전기원장'!E36)</x:f>
      </x:c>
      <x:c r="G36" s="75" t="str">
        <x:f>IF('전기원장'!A36="","",'전기원장'!H36)</x:f>
      </x:c>
      <x:c r="H36" s="73" t="str">
        <x:f>IF('전기원장'!A36="","",'전기원장'!I36)</x:f>
      </x:c>
      <x:c r="I36" s="73" t="str">
        <x:f>IF('전기원장'!A36="","",'전기원장'!J36)</x:f>
      </x:c>
      <x:c r="J36" s="73" t="str">
        <x:f>IF('전기원장'!A36="","",'전기원장'!K36)</x:f>
      </x:c>
      <x:c r="K36" s="73" t="str">
        <x:f>IF(B36="","",IF(COUNTIF($B$5:B36,B36)=1,COUNT($K$4:K35)+1,""))</x:f>
      </x:c>
      <x:c r="L36" s="85" t="str">
        <x:f>IF(B36="","",IF(COUNTIFS('계정비교'!$A$5:$A$1004,B36,'계정비교'!$H$5:$H$1004,"원인분석 대상")&gt;0,COUNT($L$4:L35)+1,""))</x:f>
      </x:c>
    </x:row>
    <x:row r="37">
      <x:c r="A37" s="73" t="str">
        <x:f>IF('전기원장'!A37="","","전기")</x:f>
      </x:c>
      <x:c r="B37" s="73" t="str">
        <x:f>IF('전기원장'!A37="","",'전기원장'!A37)</x:f>
      </x:c>
      <x:c r="C37" s="73" t="str">
        <x:f>IF('전기원장'!A37="","",'전기원장'!B37)</x:f>
      </x:c>
      <x:c r="D37" s="74" t="str">
        <x:f>IF('전기원장'!A37="","",'전기원장'!C37)</x:f>
      </x:c>
      <x:c r="E37" s="73" t="str">
        <x:f>IF('전기원장'!A37="","",'전기원장'!D37)</x:f>
      </x:c>
      <x:c r="F37" s="73" t="str">
        <x:f>IF('전기원장'!A37="","",'전기원장'!E37)</x:f>
      </x:c>
      <x:c r="G37" s="75" t="str">
        <x:f>IF('전기원장'!A37="","",'전기원장'!H37)</x:f>
      </x:c>
      <x:c r="H37" s="73" t="str">
        <x:f>IF('전기원장'!A37="","",'전기원장'!I37)</x:f>
      </x:c>
      <x:c r="I37" s="73" t="str">
        <x:f>IF('전기원장'!A37="","",'전기원장'!J37)</x:f>
      </x:c>
      <x:c r="J37" s="73" t="str">
        <x:f>IF('전기원장'!A37="","",'전기원장'!K37)</x:f>
      </x:c>
      <x:c r="K37" s="73" t="str">
        <x:f>IF(B37="","",IF(COUNTIF($B$5:B37,B37)=1,COUNT($K$4:K36)+1,""))</x:f>
      </x:c>
      <x:c r="L37" s="85" t="str">
        <x:f>IF(B37="","",IF(COUNTIFS('계정비교'!$A$5:$A$1004,B37,'계정비교'!$H$5:$H$1004,"원인분석 대상")&gt;0,COUNT($L$4:L36)+1,""))</x:f>
      </x:c>
    </x:row>
    <x:row r="38">
      <x:c r="A38" s="73" t="str">
        <x:f>IF('전기원장'!A38="","","전기")</x:f>
      </x:c>
      <x:c r="B38" s="73" t="str">
        <x:f>IF('전기원장'!A38="","",'전기원장'!A38)</x:f>
      </x:c>
      <x:c r="C38" s="73" t="str">
        <x:f>IF('전기원장'!A38="","",'전기원장'!B38)</x:f>
      </x:c>
      <x:c r="D38" s="74" t="str">
        <x:f>IF('전기원장'!A38="","",'전기원장'!C38)</x:f>
      </x:c>
      <x:c r="E38" s="73" t="str">
        <x:f>IF('전기원장'!A38="","",'전기원장'!D38)</x:f>
      </x:c>
      <x:c r="F38" s="73" t="str">
        <x:f>IF('전기원장'!A38="","",'전기원장'!E38)</x:f>
      </x:c>
      <x:c r="G38" s="75" t="str">
        <x:f>IF('전기원장'!A38="","",'전기원장'!H38)</x:f>
      </x:c>
      <x:c r="H38" s="73" t="str">
        <x:f>IF('전기원장'!A38="","",'전기원장'!I38)</x:f>
      </x:c>
      <x:c r="I38" s="73" t="str">
        <x:f>IF('전기원장'!A38="","",'전기원장'!J38)</x:f>
      </x:c>
      <x:c r="J38" s="73" t="str">
        <x:f>IF('전기원장'!A38="","",'전기원장'!K38)</x:f>
      </x:c>
      <x:c r="K38" s="73" t="str">
        <x:f>IF(B38="","",IF(COUNTIF($B$5:B38,B38)=1,COUNT($K$4:K37)+1,""))</x:f>
      </x:c>
      <x:c r="L38" s="85" t="str">
        <x:f>IF(B38="","",IF(COUNTIFS('계정비교'!$A$5:$A$1004,B38,'계정비교'!$H$5:$H$1004,"원인분석 대상")&gt;0,COUNT($L$4:L37)+1,""))</x:f>
      </x:c>
    </x:row>
    <x:row r="39">
      <x:c r="A39" s="73" t="str">
        <x:f>IF('전기원장'!A39="","","전기")</x:f>
      </x:c>
      <x:c r="B39" s="73" t="str">
        <x:f>IF('전기원장'!A39="","",'전기원장'!A39)</x:f>
      </x:c>
      <x:c r="C39" s="73" t="str">
        <x:f>IF('전기원장'!A39="","",'전기원장'!B39)</x:f>
      </x:c>
      <x:c r="D39" s="74" t="str">
        <x:f>IF('전기원장'!A39="","",'전기원장'!C39)</x:f>
      </x:c>
      <x:c r="E39" s="73" t="str">
        <x:f>IF('전기원장'!A39="","",'전기원장'!D39)</x:f>
      </x:c>
      <x:c r="F39" s="73" t="str">
        <x:f>IF('전기원장'!A39="","",'전기원장'!E39)</x:f>
      </x:c>
      <x:c r="G39" s="75" t="str">
        <x:f>IF('전기원장'!A39="","",'전기원장'!H39)</x:f>
      </x:c>
      <x:c r="H39" s="73" t="str">
        <x:f>IF('전기원장'!A39="","",'전기원장'!I39)</x:f>
      </x:c>
      <x:c r="I39" s="73" t="str">
        <x:f>IF('전기원장'!A39="","",'전기원장'!J39)</x:f>
      </x:c>
      <x:c r="J39" s="73" t="str">
        <x:f>IF('전기원장'!A39="","",'전기원장'!K39)</x:f>
      </x:c>
      <x:c r="K39" s="73" t="str">
        <x:f>IF(B39="","",IF(COUNTIF($B$5:B39,B39)=1,COUNT($K$4:K38)+1,""))</x:f>
      </x:c>
      <x:c r="L39" s="85" t="str">
        <x:f>IF(B39="","",IF(COUNTIFS('계정비교'!$A$5:$A$1004,B39,'계정비교'!$H$5:$H$1004,"원인분석 대상")&gt;0,COUNT($L$4:L38)+1,""))</x:f>
      </x:c>
    </x:row>
    <x:row r="40">
      <x:c r="A40" s="73" t="str">
        <x:f>IF('전기원장'!A40="","","전기")</x:f>
      </x:c>
      <x:c r="B40" s="73" t="str">
        <x:f>IF('전기원장'!A40="","",'전기원장'!A40)</x:f>
      </x:c>
      <x:c r="C40" s="73" t="str">
        <x:f>IF('전기원장'!A40="","",'전기원장'!B40)</x:f>
      </x:c>
      <x:c r="D40" s="74" t="str">
        <x:f>IF('전기원장'!A40="","",'전기원장'!C40)</x:f>
      </x:c>
      <x:c r="E40" s="73" t="str">
        <x:f>IF('전기원장'!A40="","",'전기원장'!D40)</x:f>
      </x:c>
      <x:c r="F40" s="73" t="str">
        <x:f>IF('전기원장'!A40="","",'전기원장'!E40)</x:f>
      </x:c>
      <x:c r="G40" s="75" t="str">
        <x:f>IF('전기원장'!A40="","",'전기원장'!H40)</x:f>
      </x:c>
      <x:c r="H40" s="73" t="str">
        <x:f>IF('전기원장'!A40="","",'전기원장'!I40)</x:f>
      </x:c>
      <x:c r="I40" s="73" t="str">
        <x:f>IF('전기원장'!A40="","",'전기원장'!J40)</x:f>
      </x:c>
      <x:c r="J40" s="73" t="str">
        <x:f>IF('전기원장'!A40="","",'전기원장'!K40)</x:f>
      </x:c>
      <x:c r="K40" s="73" t="str">
        <x:f>IF(B40="","",IF(COUNTIF($B$5:B40,B40)=1,COUNT($K$4:K39)+1,""))</x:f>
      </x:c>
      <x:c r="L40" s="85" t="str">
        <x:f>IF(B40="","",IF(COUNTIFS('계정비교'!$A$5:$A$1004,B40,'계정비교'!$H$5:$H$1004,"원인분석 대상")&gt;0,COUNT($L$4:L39)+1,""))</x:f>
      </x:c>
    </x:row>
    <x:row r="41">
      <x:c r="A41" s="73" t="str">
        <x:f>IF('전기원장'!A41="","","전기")</x:f>
      </x:c>
      <x:c r="B41" s="73" t="str">
        <x:f>IF('전기원장'!A41="","",'전기원장'!A41)</x:f>
      </x:c>
      <x:c r="C41" s="73" t="str">
        <x:f>IF('전기원장'!A41="","",'전기원장'!B41)</x:f>
      </x:c>
      <x:c r="D41" s="74" t="str">
        <x:f>IF('전기원장'!A41="","",'전기원장'!C41)</x:f>
      </x:c>
      <x:c r="E41" s="73" t="str">
        <x:f>IF('전기원장'!A41="","",'전기원장'!D41)</x:f>
      </x:c>
      <x:c r="F41" s="73" t="str">
        <x:f>IF('전기원장'!A41="","",'전기원장'!E41)</x:f>
      </x:c>
      <x:c r="G41" s="75" t="str">
        <x:f>IF('전기원장'!A41="","",'전기원장'!H41)</x:f>
      </x:c>
      <x:c r="H41" s="73" t="str">
        <x:f>IF('전기원장'!A41="","",'전기원장'!I41)</x:f>
      </x:c>
      <x:c r="I41" s="73" t="str">
        <x:f>IF('전기원장'!A41="","",'전기원장'!J41)</x:f>
      </x:c>
      <x:c r="J41" s="73" t="str">
        <x:f>IF('전기원장'!A41="","",'전기원장'!K41)</x:f>
      </x:c>
      <x:c r="K41" s="73" t="str">
        <x:f>IF(B41="","",IF(COUNTIF($B$5:B41,B41)=1,COUNT($K$4:K40)+1,""))</x:f>
      </x:c>
      <x:c r="L41" s="85" t="str">
        <x:f>IF(B41="","",IF(COUNTIFS('계정비교'!$A$5:$A$1004,B41,'계정비교'!$H$5:$H$1004,"원인분석 대상")&gt;0,COUNT($L$4:L40)+1,""))</x:f>
      </x:c>
    </x:row>
    <x:row r="42">
      <x:c r="A42" s="73" t="str">
        <x:f>IF('전기원장'!A42="","","전기")</x:f>
      </x:c>
      <x:c r="B42" s="73" t="str">
        <x:f>IF('전기원장'!A42="","",'전기원장'!A42)</x:f>
      </x:c>
      <x:c r="C42" s="73" t="str">
        <x:f>IF('전기원장'!A42="","",'전기원장'!B42)</x:f>
      </x:c>
      <x:c r="D42" s="74" t="str">
        <x:f>IF('전기원장'!A42="","",'전기원장'!C42)</x:f>
      </x:c>
      <x:c r="E42" s="73" t="str">
        <x:f>IF('전기원장'!A42="","",'전기원장'!D42)</x:f>
      </x:c>
      <x:c r="F42" s="73" t="str">
        <x:f>IF('전기원장'!A42="","",'전기원장'!E42)</x:f>
      </x:c>
      <x:c r="G42" s="75" t="str">
        <x:f>IF('전기원장'!A42="","",'전기원장'!H42)</x:f>
      </x:c>
      <x:c r="H42" s="73" t="str">
        <x:f>IF('전기원장'!A42="","",'전기원장'!I42)</x:f>
      </x:c>
      <x:c r="I42" s="73" t="str">
        <x:f>IF('전기원장'!A42="","",'전기원장'!J42)</x:f>
      </x:c>
      <x:c r="J42" s="73" t="str">
        <x:f>IF('전기원장'!A42="","",'전기원장'!K42)</x:f>
      </x:c>
      <x:c r="K42" s="73" t="str">
        <x:f>IF(B42="","",IF(COUNTIF($B$5:B42,B42)=1,COUNT($K$4:K41)+1,""))</x:f>
      </x:c>
      <x:c r="L42" s="85" t="str">
        <x:f>IF(B42="","",IF(COUNTIFS('계정비교'!$A$5:$A$1004,B42,'계정비교'!$H$5:$H$1004,"원인분석 대상")&gt;0,COUNT($L$4:L41)+1,""))</x:f>
      </x:c>
    </x:row>
    <x:row r="43">
      <x:c r="A43" s="73" t="str">
        <x:f>IF('전기원장'!A43="","","전기")</x:f>
      </x:c>
      <x:c r="B43" s="73" t="str">
        <x:f>IF('전기원장'!A43="","",'전기원장'!A43)</x:f>
      </x:c>
      <x:c r="C43" s="73" t="str">
        <x:f>IF('전기원장'!A43="","",'전기원장'!B43)</x:f>
      </x:c>
      <x:c r="D43" s="74" t="str">
        <x:f>IF('전기원장'!A43="","",'전기원장'!C43)</x:f>
      </x:c>
      <x:c r="E43" s="73" t="str">
        <x:f>IF('전기원장'!A43="","",'전기원장'!D43)</x:f>
      </x:c>
      <x:c r="F43" s="73" t="str">
        <x:f>IF('전기원장'!A43="","",'전기원장'!E43)</x:f>
      </x:c>
      <x:c r="G43" s="75" t="str">
        <x:f>IF('전기원장'!A43="","",'전기원장'!H43)</x:f>
      </x:c>
      <x:c r="H43" s="73" t="str">
        <x:f>IF('전기원장'!A43="","",'전기원장'!I43)</x:f>
      </x:c>
      <x:c r="I43" s="73" t="str">
        <x:f>IF('전기원장'!A43="","",'전기원장'!J43)</x:f>
      </x:c>
      <x:c r="J43" s="73" t="str">
        <x:f>IF('전기원장'!A43="","",'전기원장'!K43)</x:f>
      </x:c>
      <x:c r="K43" s="73" t="str">
        <x:f>IF(B43="","",IF(COUNTIF($B$5:B43,B43)=1,COUNT($K$4:K42)+1,""))</x:f>
      </x:c>
      <x:c r="L43" s="85" t="str">
        <x:f>IF(B43="","",IF(COUNTIFS('계정비교'!$A$5:$A$1004,B43,'계정비교'!$H$5:$H$1004,"원인분석 대상")&gt;0,COUNT($L$4:L42)+1,""))</x:f>
      </x:c>
    </x:row>
    <x:row r="44">
      <x:c r="A44" s="73" t="str">
        <x:f>IF('전기원장'!A44="","","전기")</x:f>
      </x:c>
      <x:c r="B44" s="73" t="str">
        <x:f>IF('전기원장'!A44="","",'전기원장'!A44)</x:f>
      </x:c>
      <x:c r="C44" s="73" t="str">
        <x:f>IF('전기원장'!A44="","",'전기원장'!B44)</x:f>
      </x:c>
      <x:c r="D44" s="74" t="str">
        <x:f>IF('전기원장'!A44="","",'전기원장'!C44)</x:f>
      </x:c>
      <x:c r="E44" s="73" t="str">
        <x:f>IF('전기원장'!A44="","",'전기원장'!D44)</x:f>
      </x:c>
      <x:c r="F44" s="73" t="str">
        <x:f>IF('전기원장'!A44="","",'전기원장'!E44)</x:f>
      </x:c>
      <x:c r="G44" s="75" t="str">
        <x:f>IF('전기원장'!A44="","",'전기원장'!H44)</x:f>
      </x:c>
      <x:c r="H44" s="73" t="str">
        <x:f>IF('전기원장'!A44="","",'전기원장'!I44)</x:f>
      </x:c>
      <x:c r="I44" s="73" t="str">
        <x:f>IF('전기원장'!A44="","",'전기원장'!J44)</x:f>
      </x:c>
      <x:c r="J44" s="73" t="str">
        <x:f>IF('전기원장'!A44="","",'전기원장'!K44)</x:f>
      </x:c>
      <x:c r="K44" s="73" t="str">
        <x:f>IF(B44="","",IF(COUNTIF($B$5:B44,B44)=1,COUNT($K$4:K43)+1,""))</x:f>
      </x:c>
      <x:c r="L44" s="85" t="str">
        <x:f>IF(B44="","",IF(COUNTIFS('계정비교'!$A$5:$A$1004,B44,'계정비교'!$H$5:$H$1004,"원인분석 대상")&gt;0,COUNT($L$4:L43)+1,""))</x:f>
      </x:c>
    </x:row>
    <x:row r="45">
      <x:c r="A45" s="73" t="str">
        <x:f>IF('전기원장'!A45="","","전기")</x:f>
      </x:c>
      <x:c r="B45" s="73" t="str">
        <x:f>IF('전기원장'!A45="","",'전기원장'!A45)</x:f>
      </x:c>
      <x:c r="C45" s="73" t="str">
        <x:f>IF('전기원장'!A45="","",'전기원장'!B45)</x:f>
      </x:c>
      <x:c r="D45" s="74" t="str">
        <x:f>IF('전기원장'!A45="","",'전기원장'!C45)</x:f>
      </x:c>
      <x:c r="E45" s="73" t="str">
        <x:f>IF('전기원장'!A45="","",'전기원장'!D45)</x:f>
      </x:c>
      <x:c r="F45" s="73" t="str">
        <x:f>IF('전기원장'!A45="","",'전기원장'!E45)</x:f>
      </x:c>
      <x:c r="G45" s="75" t="str">
        <x:f>IF('전기원장'!A45="","",'전기원장'!H45)</x:f>
      </x:c>
      <x:c r="H45" s="73" t="str">
        <x:f>IF('전기원장'!A45="","",'전기원장'!I45)</x:f>
      </x:c>
      <x:c r="I45" s="73" t="str">
        <x:f>IF('전기원장'!A45="","",'전기원장'!J45)</x:f>
      </x:c>
      <x:c r="J45" s="73" t="str">
        <x:f>IF('전기원장'!A45="","",'전기원장'!K45)</x:f>
      </x:c>
      <x:c r="K45" s="73" t="str">
        <x:f>IF(B45="","",IF(COUNTIF($B$5:B45,B45)=1,COUNT($K$4:K44)+1,""))</x:f>
      </x:c>
      <x:c r="L45" s="85" t="str">
        <x:f>IF(B45="","",IF(COUNTIFS('계정비교'!$A$5:$A$1004,B45,'계정비교'!$H$5:$H$1004,"원인분석 대상")&gt;0,COUNT($L$4:L44)+1,""))</x:f>
      </x:c>
    </x:row>
    <x:row r="46">
      <x:c r="A46" s="73" t="str">
        <x:f>IF('전기원장'!A46="","","전기")</x:f>
      </x:c>
      <x:c r="B46" s="73" t="str">
        <x:f>IF('전기원장'!A46="","",'전기원장'!A46)</x:f>
      </x:c>
      <x:c r="C46" s="73" t="str">
        <x:f>IF('전기원장'!A46="","",'전기원장'!B46)</x:f>
      </x:c>
      <x:c r="D46" s="74" t="str">
        <x:f>IF('전기원장'!A46="","",'전기원장'!C46)</x:f>
      </x:c>
      <x:c r="E46" s="73" t="str">
        <x:f>IF('전기원장'!A46="","",'전기원장'!D46)</x:f>
      </x:c>
      <x:c r="F46" s="73" t="str">
        <x:f>IF('전기원장'!A46="","",'전기원장'!E46)</x:f>
      </x:c>
      <x:c r="G46" s="75" t="str">
        <x:f>IF('전기원장'!A46="","",'전기원장'!H46)</x:f>
      </x:c>
      <x:c r="H46" s="73" t="str">
        <x:f>IF('전기원장'!A46="","",'전기원장'!I46)</x:f>
      </x:c>
      <x:c r="I46" s="73" t="str">
        <x:f>IF('전기원장'!A46="","",'전기원장'!J46)</x:f>
      </x:c>
      <x:c r="J46" s="73" t="str">
        <x:f>IF('전기원장'!A46="","",'전기원장'!K46)</x:f>
      </x:c>
      <x:c r="K46" s="73" t="str">
        <x:f>IF(B46="","",IF(COUNTIF($B$5:B46,B46)=1,COUNT($K$4:K45)+1,""))</x:f>
      </x:c>
      <x:c r="L46" s="85" t="str">
        <x:f>IF(B46="","",IF(COUNTIFS('계정비교'!$A$5:$A$1004,B46,'계정비교'!$H$5:$H$1004,"원인분석 대상")&gt;0,COUNT($L$4:L45)+1,""))</x:f>
      </x:c>
    </x:row>
    <x:row r="47">
      <x:c r="A47" s="73" t="str">
        <x:f>IF('전기원장'!A47="","","전기")</x:f>
      </x:c>
      <x:c r="B47" s="73" t="str">
        <x:f>IF('전기원장'!A47="","",'전기원장'!A47)</x:f>
      </x:c>
      <x:c r="C47" s="73" t="str">
        <x:f>IF('전기원장'!A47="","",'전기원장'!B47)</x:f>
      </x:c>
      <x:c r="D47" s="74" t="str">
        <x:f>IF('전기원장'!A47="","",'전기원장'!C47)</x:f>
      </x:c>
      <x:c r="E47" s="73" t="str">
        <x:f>IF('전기원장'!A47="","",'전기원장'!D47)</x:f>
      </x:c>
      <x:c r="F47" s="73" t="str">
        <x:f>IF('전기원장'!A47="","",'전기원장'!E47)</x:f>
      </x:c>
      <x:c r="G47" s="75" t="str">
        <x:f>IF('전기원장'!A47="","",'전기원장'!H47)</x:f>
      </x:c>
      <x:c r="H47" s="73" t="str">
        <x:f>IF('전기원장'!A47="","",'전기원장'!I47)</x:f>
      </x:c>
      <x:c r="I47" s="73" t="str">
        <x:f>IF('전기원장'!A47="","",'전기원장'!J47)</x:f>
      </x:c>
      <x:c r="J47" s="73" t="str">
        <x:f>IF('전기원장'!A47="","",'전기원장'!K47)</x:f>
      </x:c>
      <x:c r="K47" s="73" t="str">
        <x:f>IF(B47="","",IF(COUNTIF($B$5:B47,B47)=1,COUNT($K$4:K46)+1,""))</x:f>
      </x:c>
      <x:c r="L47" s="85" t="str">
        <x:f>IF(B47="","",IF(COUNTIFS('계정비교'!$A$5:$A$1004,B47,'계정비교'!$H$5:$H$1004,"원인분석 대상")&gt;0,COUNT($L$4:L46)+1,""))</x:f>
      </x:c>
    </x:row>
    <x:row r="48">
      <x:c r="A48" s="73" t="str">
        <x:f>IF('전기원장'!A48="","","전기")</x:f>
      </x:c>
      <x:c r="B48" s="73" t="str">
        <x:f>IF('전기원장'!A48="","",'전기원장'!A48)</x:f>
      </x:c>
      <x:c r="C48" s="73" t="str">
        <x:f>IF('전기원장'!A48="","",'전기원장'!B48)</x:f>
      </x:c>
      <x:c r="D48" s="74" t="str">
        <x:f>IF('전기원장'!A48="","",'전기원장'!C48)</x:f>
      </x:c>
      <x:c r="E48" s="73" t="str">
        <x:f>IF('전기원장'!A48="","",'전기원장'!D48)</x:f>
      </x:c>
      <x:c r="F48" s="73" t="str">
        <x:f>IF('전기원장'!A48="","",'전기원장'!E48)</x:f>
      </x:c>
      <x:c r="G48" s="75" t="str">
        <x:f>IF('전기원장'!A48="","",'전기원장'!H48)</x:f>
      </x:c>
      <x:c r="H48" s="73" t="str">
        <x:f>IF('전기원장'!A48="","",'전기원장'!I48)</x:f>
      </x:c>
      <x:c r="I48" s="73" t="str">
        <x:f>IF('전기원장'!A48="","",'전기원장'!J48)</x:f>
      </x:c>
      <x:c r="J48" s="73" t="str">
        <x:f>IF('전기원장'!A48="","",'전기원장'!K48)</x:f>
      </x:c>
      <x:c r="K48" s="73" t="str">
        <x:f>IF(B48="","",IF(COUNTIF($B$5:B48,B48)=1,COUNT($K$4:K47)+1,""))</x:f>
      </x:c>
      <x:c r="L48" s="85" t="str">
        <x:f>IF(B48="","",IF(COUNTIFS('계정비교'!$A$5:$A$1004,B48,'계정비교'!$H$5:$H$1004,"원인분석 대상")&gt;0,COUNT($L$4:L47)+1,""))</x:f>
      </x:c>
    </x:row>
    <x:row r="49">
      <x:c r="A49" s="73" t="str">
        <x:f>IF('전기원장'!A49="","","전기")</x:f>
      </x:c>
      <x:c r="B49" s="73" t="str">
        <x:f>IF('전기원장'!A49="","",'전기원장'!A49)</x:f>
      </x:c>
      <x:c r="C49" s="73" t="str">
        <x:f>IF('전기원장'!A49="","",'전기원장'!B49)</x:f>
      </x:c>
      <x:c r="D49" s="74" t="str">
        <x:f>IF('전기원장'!A49="","",'전기원장'!C49)</x:f>
      </x:c>
      <x:c r="E49" s="73" t="str">
        <x:f>IF('전기원장'!A49="","",'전기원장'!D49)</x:f>
      </x:c>
      <x:c r="F49" s="73" t="str">
        <x:f>IF('전기원장'!A49="","",'전기원장'!E49)</x:f>
      </x:c>
      <x:c r="G49" s="75" t="str">
        <x:f>IF('전기원장'!A49="","",'전기원장'!H49)</x:f>
      </x:c>
      <x:c r="H49" s="73" t="str">
        <x:f>IF('전기원장'!A49="","",'전기원장'!I49)</x:f>
      </x:c>
      <x:c r="I49" s="73" t="str">
        <x:f>IF('전기원장'!A49="","",'전기원장'!J49)</x:f>
      </x:c>
      <x:c r="J49" s="73" t="str">
        <x:f>IF('전기원장'!A49="","",'전기원장'!K49)</x:f>
      </x:c>
      <x:c r="K49" s="73" t="str">
        <x:f>IF(B49="","",IF(COUNTIF($B$5:B49,B49)=1,COUNT($K$4:K48)+1,""))</x:f>
      </x:c>
      <x:c r="L49" s="85" t="str">
        <x:f>IF(B49="","",IF(COUNTIFS('계정비교'!$A$5:$A$1004,B49,'계정비교'!$H$5:$H$1004,"원인분석 대상")&gt;0,COUNT($L$4:L48)+1,""))</x:f>
      </x:c>
    </x:row>
    <x:row r="50">
      <x:c r="A50" s="73" t="str">
        <x:f>IF('전기원장'!A50="","","전기")</x:f>
      </x:c>
      <x:c r="B50" s="73" t="str">
        <x:f>IF('전기원장'!A50="","",'전기원장'!A50)</x:f>
      </x:c>
      <x:c r="C50" s="73" t="str">
        <x:f>IF('전기원장'!A50="","",'전기원장'!B50)</x:f>
      </x:c>
      <x:c r="D50" s="74" t="str">
        <x:f>IF('전기원장'!A50="","",'전기원장'!C50)</x:f>
      </x:c>
      <x:c r="E50" s="73" t="str">
        <x:f>IF('전기원장'!A50="","",'전기원장'!D50)</x:f>
      </x:c>
      <x:c r="F50" s="73" t="str">
        <x:f>IF('전기원장'!A50="","",'전기원장'!E50)</x:f>
      </x:c>
      <x:c r="G50" s="75" t="str">
        <x:f>IF('전기원장'!A50="","",'전기원장'!H50)</x:f>
      </x:c>
      <x:c r="H50" s="73" t="str">
        <x:f>IF('전기원장'!A50="","",'전기원장'!I50)</x:f>
      </x:c>
      <x:c r="I50" s="73" t="str">
        <x:f>IF('전기원장'!A50="","",'전기원장'!J50)</x:f>
      </x:c>
      <x:c r="J50" s="73" t="str">
        <x:f>IF('전기원장'!A50="","",'전기원장'!K50)</x:f>
      </x:c>
      <x:c r="K50" s="73" t="str">
        <x:f>IF(B50="","",IF(COUNTIF($B$5:B50,B50)=1,COUNT($K$4:K49)+1,""))</x:f>
      </x:c>
      <x:c r="L50" s="85" t="str">
        <x:f>IF(B50="","",IF(COUNTIFS('계정비교'!$A$5:$A$1004,B50,'계정비교'!$H$5:$H$1004,"원인분석 대상")&gt;0,COUNT($L$4:L49)+1,""))</x:f>
      </x:c>
    </x:row>
    <x:row r="51">
      <x:c r="A51" s="73" t="str">
        <x:f>IF('전기원장'!A51="","","전기")</x:f>
      </x:c>
      <x:c r="B51" s="73" t="str">
        <x:f>IF('전기원장'!A51="","",'전기원장'!A51)</x:f>
      </x:c>
      <x:c r="C51" s="73" t="str">
        <x:f>IF('전기원장'!A51="","",'전기원장'!B51)</x:f>
      </x:c>
      <x:c r="D51" s="74" t="str">
        <x:f>IF('전기원장'!A51="","",'전기원장'!C51)</x:f>
      </x:c>
      <x:c r="E51" s="73" t="str">
        <x:f>IF('전기원장'!A51="","",'전기원장'!D51)</x:f>
      </x:c>
      <x:c r="F51" s="73" t="str">
        <x:f>IF('전기원장'!A51="","",'전기원장'!E51)</x:f>
      </x:c>
      <x:c r="G51" s="75" t="str">
        <x:f>IF('전기원장'!A51="","",'전기원장'!H51)</x:f>
      </x:c>
      <x:c r="H51" s="73" t="str">
        <x:f>IF('전기원장'!A51="","",'전기원장'!I51)</x:f>
      </x:c>
      <x:c r="I51" s="73" t="str">
        <x:f>IF('전기원장'!A51="","",'전기원장'!J51)</x:f>
      </x:c>
      <x:c r="J51" s="73" t="str">
        <x:f>IF('전기원장'!A51="","",'전기원장'!K51)</x:f>
      </x:c>
      <x:c r="K51" s="73" t="str">
        <x:f>IF(B51="","",IF(COUNTIF($B$5:B51,B51)=1,COUNT($K$4:K50)+1,""))</x:f>
      </x:c>
      <x:c r="L51" s="85" t="str">
        <x:f>IF(B51="","",IF(COUNTIFS('계정비교'!$A$5:$A$1004,B51,'계정비교'!$H$5:$H$1004,"원인분석 대상")&gt;0,COUNT($L$4:L50)+1,""))</x:f>
      </x:c>
    </x:row>
    <x:row r="52">
      <x:c r="A52" s="73" t="str">
        <x:f>IF('전기원장'!A52="","","전기")</x:f>
      </x:c>
      <x:c r="B52" s="73" t="str">
        <x:f>IF('전기원장'!A52="","",'전기원장'!A52)</x:f>
      </x:c>
      <x:c r="C52" s="73" t="str">
        <x:f>IF('전기원장'!A52="","",'전기원장'!B52)</x:f>
      </x:c>
      <x:c r="D52" s="74" t="str">
        <x:f>IF('전기원장'!A52="","",'전기원장'!C52)</x:f>
      </x:c>
      <x:c r="E52" s="73" t="str">
        <x:f>IF('전기원장'!A52="","",'전기원장'!D52)</x:f>
      </x:c>
      <x:c r="F52" s="73" t="str">
        <x:f>IF('전기원장'!A52="","",'전기원장'!E52)</x:f>
      </x:c>
      <x:c r="G52" s="75" t="str">
        <x:f>IF('전기원장'!A52="","",'전기원장'!H52)</x:f>
      </x:c>
      <x:c r="H52" s="73" t="str">
        <x:f>IF('전기원장'!A52="","",'전기원장'!I52)</x:f>
      </x:c>
      <x:c r="I52" s="73" t="str">
        <x:f>IF('전기원장'!A52="","",'전기원장'!J52)</x:f>
      </x:c>
      <x:c r="J52" s="73" t="str">
        <x:f>IF('전기원장'!A52="","",'전기원장'!K52)</x:f>
      </x:c>
      <x:c r="K52" s="73" t="str">
        <x:f>IF(B52="","",IF(COUNTIF($B$5:B52,B52)=1,COUNT($K$4:K51)+1,""))</x:f>
      </x:c>
      <x:c r="L52" s="85" t="str">
        <x:f>IF(B52="","",IF(COUNTIFS('계정비교'!$A$5:$A$1004,B52,'계정비교'!$H$5:$H$1004,"원인분석 대상")&gt;0,COUNT($L$4:L51)+1,""))</x:f>
      </x:c>
    </x:row>
    <x:row r="53">
      <x:c r="A53" s="73" t="str">
        <x:f>IF('전기원장'!A53="","","전기")</x:f>
      </x:c>
      <x:c r="B53" s="73" t="str">
        <x:f>IF('전기원장'!A53="","",'전기원장'!A53)</x:f>
      </x:c>
      <x:c r="C53" s="73" t="str">
        <x:f>IF('전기원장'!A53="","",'전기원장'!B53)</x:f>
      </x:c>
      <x:c r="D53" s="74" t="str">
        <x:f>IF('전기원장'!A53="","",'전기원장'!C53)</x:f>
      </x:c>
      <x:c r="E53" s="73" t="str">
        <x:f>IF('전기원장'!A53="","",'전기원장'!D53)</x:f>
      </x:c>
      <x:c r="F53" s="73" t="str">
        <x:f>IF('전기원장'!A53="","",'전기원장'!E53)</x:f>
      </x:c>
      <x:c r="G53" s="75" t="str">
        <x:f>IF('전기원장'!A53="","",'전기원장'!H53)</x:f>
      </x:c>
      <x:c r="H53" s="73" t="str">
        <x:f>IF('전기원장'!A53="","",'전기원장'!I53)</x:f>
      </x:c>
      <x:c r="I53" s="73" t="str">
        <x:f>IF('전기원장'!A53="","",'전기원장'!J53)</x:f>
      </x:c>
      <x:c r="J53" s="73" t="str">
        <x:f>IF('전기원장'!A53="","",'전기원장'!K53)</x:f>
      </x:c>
      <x:c r="K53" s="73" t="str">
        <x:f>IF(B53="","",IF(COUNTIF($B$5:B53,B53)=1,COUNT($K$4:K52)+1,""))</x:f>
      </x:c>
      <x:c r="L53" s="85" t="str">
        <x:f>IF(B53="","",IF(COUNTIFS('계정비교'!$A$5:$A$1004,B53,'계정비교'!$H$5:$H$1004,"원인분석 대상")&gt;0,COUNT($L$4:L52)+1,""))</x:f>
      </x:c>
    </x:row>
    <x:row r="54">
      <x:c r="A54" s="73" t="str">
        <x:f>IF('전기원장'!A54="","","전기")</x:f>
      </x:c>
      <x:c r="B54" s="73" t="str">
        <x:f>IF('전기원장'!A54="","",'전기원장'!A54)</x:f>
      </x:c>
      <x:c r="C54" s="73" t="str">
        <x:f>IF('전기원장'!A54="","",'전기원장'!B54)</x:f>
      </x:c>
      <x:c r="D54" s="74" t="str">
        <x:f>IF('전기원장'!A54="","",'전기원장'!C54)</x:f>
      </x:c>
      <x:c r="E54" s="73" t="str">
        <x:f>IF('전기원장'!A54="","",'전기원장'!D54)</x:f>
      </x:c>
      <x:c r="F54" s="73" t="str">
        <x:f>IF('전기원장'!A54="","",'전기원장'!E54)</x:f>
      </x:c>
      <x:c r="G54" s="75" t="str">
        <x:f>IF('전기원장'!A54="","",'전기원장'!H54)</x:f>
      </x:c>
      <x:c r="H54" s="73" t="str">
        <x:f>IF('전기원장'!A54="","",'전기원장'!I54)</x:f>
      </x:c>
      <x:c r="I54" s="73" t="str">
        <x:f>IF('전기원장'!A54="","",'전기원장'!J54)</x:f>
      </x:c>
      <x:c r="J54" s="73" t="str">
        <x:f>IF('전기원장'!A54="","",'전기원장'!K54)</x:f>
      </x:c>
      <x:c r="K54" s="73" t="str">
        <x:f>IF(B54="","",IF(COUNTIF($B$5:B54,B54)=1,COUNT($K$4:K53)+1,""))</x:f>
      </x:c>
      <x:c r="L54" s="85" t="str">
        <x:f>IF(B54="","",IF(COUNTIFS('계정비교'!$A$5:$A$1004,B54,'계정비교'!$H$5:$H$1004,"원인분석 대상")&gt;0,COUNT($L$4:L53)+1,""))</x:f>
      </x:c>
    </x:row>
    <x:row r="55">
      <x:c r="A55" s="73" t="str">
        <x:f>IF('전기원장'!A55="","","전기")</x:f>
      </x:c>
      <x:c r="B55" s="73" t="str">
        <x:f>IF('전기원장'!A55="","",'전기원장'!A55)</x:f>
      </x:c>
      <x:c r="C55" s="73" t="str">
        <x:f>IF('전기원장'!A55="","",'전기원장'!B55)</x:f>
      </x:c>
      <x:c r="D55" s="74" t="str">
        <x:f>IF('전기원장'!A55="","",'전기원장'!C55)</x:f>
      </x:c>
      <x:c r="E55" s="73" t="str">
        <x:f>IF('전기원장'!A55="","",'전기원장'!D55)</x:f>
      </x:c>
      <x:c r="F55" s="73" t="str">
        <x:f>IF('전기원장'!A55="","",'전기원장'!E55)</x:f>
      </x:c>
      <x:c r="G55" s="75" t="str">
        <x:f>IF('전기원장'!A55="","",'전기원장'!H55)</x:f>
      </x:c>
      <x:c r="H55" s="73" t="str">
        <x:f>IF('전기원장'!A55="","",'전기원장'!I55)</x:f>
      </x:c>
      <x:c r="I55" s="73" t="str">
        <x:f>IF('전기원장'!A55="","",'전기원장'!J55)</x:f>
      </x:c>
      <x:c r="J55" s="73" t="str">
        <x:f>IF('전기원장'!A55="","",'전기원장'!K55)</x:f>
      </x:c>
      <x:c r="K55" s="73" t="str">
        <x:f>IF(B55="","",IF(COUNTIF($B$5:B55,B55)=1,COUNT($K$4:K54)+1,""))</x:f>
      </x:c>
      <x:c r="L55" s="85" t="str">
        <x:f>IF(B55="","",IF(COUNTIFS('계정비교'!$A$5:$A$1004,B55,'계정비교'!$H$5:$H$1004,"원인분석 대상")&gt;0,COUNT($L$4:L54)+1,""))</x:f>
      </x:c>
    </x:row>
    <x:row r="56">
      <x:c r="A56" s="73" t="str">
        <x:f>IF('전기원장'!A56="","","전기")</x:f>
      </x:c>
      <x:c r="B56" s="73" t="str">
        <x:f>IF('전기원장'!A56="","",'전기원장'!A56)</x:f>
      </x:c>
      <x:c r="C56" s="73" t="str">
        <x:f>IF('전기원장'!A56="","",'전기원장'!B56)</x:f>
      </x:c>
      <x:c r="D56" s="74" t="str">
        <x:f>IF('전기원장'!A56="","",'전기원장'!C56)</x:f>
      </x:c>
      <x:c r="E56" s="73" t="str">
        <x:f>IF('전기원장'!A56="","",'전기원장'!D56)</x:f>
      </x:c>
      <x:c r="F56" s="73" t="str">
        <x:f>IF('전기원장'!A56="","",'전기원장'!E56)</x:f>
      </x:c>
      <x:c r="G56" s="75" t="str">
        <x:f>IF('전기원장'!A56="","",'전기원장'!H56)</x:f>
      </x:c>
      <x:c r="H56" s="73" t="str">
        <x:f>IF('전기원장'!A56="","",'전기원장'!I56)</x:f>
      </x:c>
      <x:c r="I56" s="73" t="str">
        <x:f>IF('전기원장'!A56="","",'전기원장'!J56)</x:f>
      </x:c>
      <x:c r="J56" s="73" t="str">
        <x:f>IF('전기원장'!A56="","",'전기원장'!K56)</x:f>
      </x:c>
      <x:c r="K56" s="73" t="str">
        <x:f>IF(B56="","",IF(COUNTIF($B$5:B56,B56)=1,COUNT($K$4:K55)+1,""))</x:f>
      </x:c>
      <x:c r="L56" s="85" t="str">
        <x:f>IF(B56="","",IF(COUNTIFS('계정비교'!$A$5:$A$1004,B56,'계정비교'!$H$5:$H$1004,"원인분석 대상")&gt;0,COUNT($L$4:L55)+1,""))</x:f>
      </x:c>
    </x:row>
    <x:row r="57">
      <x:c r="A57" s="73" t="str">
        <x:f>IF('전기원장'!A57="","","전기")</x:f>
      </x:c>
      <x:c r="B57" s="73" t="str">
        <x:f>IF('전기원장'!A57="","",'전기원장'!A57)</x:f>
      </x:c>
      <x:c r="C57" s="73" t="str">
        <x:f>IF('전기원장'!A57="","",'전기원장'!B57)</x:f>
      </x:c>
      <x:c r="D57" s="74" t="str">
        <x:f>IF('전기원장'!A57="","",'전기원장'!C57)</x:f>
      </x:c>
      <x:c r="E57" s="73" t="str">
        <x:f>IF('전기원장'!A57="","",'전기원장'!D57)</x:f>
      </x:c>
      <x:c r="F57" s="73" t="str">
        <x:f>IF('전기원장'!A57="","",'전기원장'!E57)</x:f>
      </x:c>
      <x:c r="G57" s="75" t="str">
        <x:f>IF('전기원장'!A57="","",'전기원장'!H57)</x:f>
      </x:c>
      <x:c r="H57" s="73" t="str">
        <x:f>IF('전기원장'!A57="","",'전기원장'!I57)</x:f>
      </x:c>
      <x:c r="I57" s="73" t="str">
        <x:f>IF('전기원장'!A57="","",'전기원장'!J57)</x:f>
      </x:c>
      <x:c r="J57" s="73" t="str">
        <x:f>IF('전기원장'!A57="","",'전기원장'!K57)</x:f>
      </x:c>
      <x:c r="K57" s="73" t="str">
        <x:f>IF(B57="","",IF(COUNTIF($B$5:B57,B57)=1,COUNT($K$4:K56)+1,""))</x:f>
      </x:c>
      <x:c r="L57" s="85" t="str">
        <x:f>IF(B57="","",IF(COUNTIFS('계정비교'!$A$5:$A$1004,B57,'계정비교'!$H$5:$H$1004,"원인분석 대상")&gt;0,COUNT($L$4:L56)+1,""))</x:f>
      </x:c>
    </x:row>
    <x:row r="58">
      <x:c r="A58" s="73" t="str">
        <x:f>IF('전기원장'!A58="","","전기")</x:f>
      </x:c>
      <x:c r="B58" s="73" t="str">
        <x:f>IF('전기원장'!A58="","",'전기원장'!A58)</x:f>
      </x:c>
      <x:c r="C58" s="73" t="str">
        <x:f>IF('전기원장'!A58="","",'전기원장'!B58)</x:f>
      </x:c>
      <x:c r="D58" s="74" t="str">
        <x:f>IF('전기원장'!A58="","",'전기원장'!C58)</x:f>
      </x:c>
      <x:c r="E58" s="73" t="str">
        <x:f>IF('전기원장'!A58="","",'전기원장'!D58)</x:f>
      </x:c>
      <x:c r="F58" s="73" t="str">
        <x:f>IF('전기원장'!A58="","",'전기원장'!E58)</x:f>
      </x:c>
      <x:c r="G58" s="75" t="str">
        <x:f>IF('전기원장'!A58="","",'전기원장'!H58)</x:f>
      </x:c>
      <x:c r="H58" s="73" t="str">
        <x:f>IF('전기원장'!A58="","",'전기원장'!I58)</x:f>
      </x:c>
      <x:c r="I58" s="73" t="str">
        <x:f>IF('전기원장'!A58="","",'전기원장'!J58)</x:f>
      </x:c>
      <x:c r="J58" s="73" t="str">
        <x:f>IF('전기원장'!A58="","",'전기원장'!K58)</x:f>
      </x:c>
      <x:c r="K58" s="73" t="str">
        <x:f>IF(B58="","",IF(COUNTIF($B$5:B58,B58)=1,COUNT($K$4:K57)+1,""))</x:f>
      </x:c>
      <x:c r="L58" s="85" t="str">
        <x:f>IF(B58="","",IF(COUNTIFS('계정비교'!$A$5:$A$1004,B58,'계정비교'!$H$5:$H$1004,"원인분석 대상")&gt;0,COUNT($L$4:L57)+1,""))</x:f>
      </x:c>
    </x:row>
    <x:row r="59">
      <x:c r="A59" s="73" t="str">
        <x:f>IF('전기원장'!A59="","","전기")</x:f>
      </x:c>
      <x:c r="B59" s="73" t="str">
        <x:f>IF('전기원장'!A59="","",'전기원장'!A59)</x:f>
      </x:c>
      <x:c r="C59" s="73" t="str">
        <x:f>IF('전기원장'!A59="","",'전기원장'!B59)</x:f>
      </x:c>
      <x:c r="D59" s="74" t="str">
        <x:f>IF('전기원장'!A59="","",'전기원장'!C59)</x:f>
      </x:c>
      <x:c r="E59" s="73" t="str">
        <x:f>IF('전기원장'!A59="","",'전기원장'!D59)</x:f>
      </x:c>
      <x:c r="F59" s="73" t="str">
        <x:f>IF('전기원장'!A59="","",'전기원장'!E59)</x:f>
      </x:c>
      <x:c r="G59" s="75" t="str">
        <x:f>IF('전기원장'!A59="","",'전기원장'!H59)</x:f>
      </x:c>
      <x:c r="H59" s="73" t="str">
        <x:f>IF('전기원장'!A59="","",'전기원장'!I59)</x:f>
      </x:c>
      <x:c r="I59" s="73" t="str">
        <x:f>IF('전기원장'!A59="","",'전기원장'!J59)</x:f>
      </x:c>
      <x:c r="J59" s="73" t="str">
        <x:f>IF('전기원장'!A59="","",'전기원장'!K59)</x:f>
      </x:c>
      <x:c r="K59" s="73" t="str">
        <x:f>IF(B59="","",IF(COUNTIF($B$5:B59,B59)=1,COUNT($K$4:K58)+1,""))</x:f>
      </x:c>
      <x:c r="L59" s="85" t="str">
        <x:f>IF(B59="","",IF(COUNTIFS('계정비교'!$A$5:$A$1004,B59,'계정비교'!$H$5:$H$1004,"원인분석 대상")&gt;0,COUNT($L$4:L58)+1,""))</x:f>
      </x:c>
    </x:row>
    <x:row r="60">
      <x:c r="A60" s="73" t="str">
        <x:f>IF('전기원장'!A60="","","전기")</x:f>
      </x:c>
      <x:c r="B60" s="73" t="str">
        <x:f>IF('전기원장'!A60="","",'전기원장'!A60)</x:f>
      </x:c>
      <x:c r="C60" s="73" t="str">
        <x:f>IF('전기원장'!A60="","",'전기원장'!B60)</x:f>
      </x:c>
      <x:c r="D60" s="74" t="str">
        <x:f>IF('전기원장'!A60="","",'전기원장'!C60)</x:f>
      </x:c>
      <x:c r="E60" s="73" t="str">
        <x:f>IF('전기원장'!A60="","",'전기원장'!D60)</x:f>
      </x:c>
      <x:c r="F60" s="73" t="str">
        <x:f>IF('전기원장'!A60="","",'전기원장'!E60)</x:f>
      </x:c>
      <x:c r="G60" s="75" t="str">
        <x:f>IF('전기원장'!A60="","",'전기원장'!H60)</x:f>
      </x:c>
      <x:c r="H60" s="73" t="str">
        <x:f>IF('전기원장'!A60="","",'전기원장'!I60)</x:f>
      </x:c>
      <x:c r="I60" s="73" t="str">
        <x:f>IF('전기원장'!A60="","",'전기원장'!J60)</x:f>
      </x:c>
      <x:c r="J60" s="73" t="str">
        <x:f>IF('전기원장'!A60="","",'전기원장'!K60)</x:f>
      </x:c>
      <x:c r="K60" s="73" t="str">
        <x:f>IF(B60="","",IF(COUNTIF($B$5:B60,B60)=1,COUNT($K$4:K59)+1,""))</x:f>
      </x:c>
      <x:c r="L60" s="85" t="str">
        <x:f>IF(B60="","",IF(COUNTIFS('계정비교'!$A$5:$A$1004,B60,'계정비교'!$H$5:$H$1004,"원인분석 대상")&gt;0,COUNT($L$4:L59)+1,""))</x:f>
      </x:c>
    </x:row>
    <x:row r="61">
      <x:c r="A61" s="73" t="str">
        <x:f>IF('전기원장'!A61="","","전기")</x:f>
      </x:c>
      <x:c r="B61" s="73" t="str">
        <x:f>IF('전기원장'!A61="","",'전기원장'!A61)</x:f>
      </x:c>
      <x:c r="C61" s="73" t="str">
        <x:f>IF('전기원장'!A61="","",'전기원장'!B61)</x:f>
      </x:c>
      <x:c r="D61" s="74" t="str">
        <x:f>IF('전기원장'!A61="","",'전기원장'!C61)</x:f>
      </x:c>
      <x:c r="E61" s="73" t="str">
        <x:f>IF('전기원장'!A61="","",'전기원장'!D61)</x:f>
      </x:c>
      <x:c r="F61" s="73" t="str">
        <x:f>IF('전기원장'!A61="","",'전기원장'!E61)</x:f>
      </x:c>
      <x:c r="G61" s="75" t="str">
        <x:f>IF('전기원장'!A61="","",'전기원장'!H61)</x:f>
      </x:c>
      <x:c r="H61" s="73" t="str">
        <x:f>IF('전기원장'!A61="","",'전기원장'!I61)</x:f>
      </x:c>
      <x:c r="I61" s="73" t="str">
        <x:f>IF('전기원장'!A61="","",'전기원장'!J61)</x:f>
      </x:c>
      <x:c r="J61" s="73" t="str">
        <x:f>IF('전기원장'!A61="","",'전기원장'!K61)</x:f>
      </x:c>
      <x:c r="K61" s="73" t="str">
        <x:f>IF(B61="","",IF(COUNTIF($B$5:B61,B61)=1,COUNT($K$4:K60)+1,""))</x:f>
      </x:c>
      <x:c r="L61" s="85" t="str">
        <x:f>IF(B61="","",IF(COUNTIFS('계정비교'!$A$5:$A$1004,B61,'계정비교'!$H$5:$H$1004,"원인분석 대상")&gt;0,COUNT($L$4:L60)+1,""))</x:f>
      </x:c>
    </x:row>
    <x:row r="62">
      <x:c r="A62" s="73" t="str">
        <x:f>IF('전기원장'!A62="","","전기")</x:f>
      </x:c>
      <x:c r="B62" s="73" t="str">
        <x:f>IF('전기원장'!A62="","",'전기원장'!A62)</x:f>
      </x:c>
      <x:c r="C62" s="73" t="str">
        <x:f>IF('전기원장'!A62="","",'전기원장'!B62)</x:f>
      </x:c>
      <x:c r="D62" s="74" t="str">
        <x:f>IF('전기원장'!A62="","",'전기원장'!C62)</x:f>
      </x:c>
      <x:c r="E62" s="73" t="str">
        <x:f>IF('전기원장'!A62="","",'전기원장'!D62)</x:f>
      </x:c>
      <x:c r="F62" s="73" t="str">
        <x:f>IF('전기원장'!A62="","",'전기원장'!E62)</x:f>
      </x:c>
      <x:c r="G62" s="75" t="str">
        <x:f>IF('전기원장'!A62="","",'전기원장'!H62)</x:f>
      </x:c>
      <x:c r="H62" s="73" t="str">
        <x:f>IF('전기원장'!A62="","",'전기원장'!I62)</x:f>
      </x:c>
      <x:c r="I62" s="73" t="str">
        <x:f>IF('전기원장'!A62="","",'전기원장'!J62)</x:f>
      </x:c>
      <x:c r="J62" s="73" t="str">
        <x:f>IF('전기원장'!A62="","",'전기원장'!K62)</x:f>
      </x:c>
      <x:c r="K62" s="73" t="str">
        <x:f>IF(B62="","",IF(COUNTIF($B$5:B62,B62)=1,COUNT($K$4:K61)+1,""))</x:f>
      </x:c>
      <x:c r="L62" s="85" t="str">
        <x:f>IF(B62="","",IF(COUNTIFS('계정비교'!$A$5:$A$1004,B62,'계정비교'!$H$5:$H$1004,"원인분석 대상")&gt;0,COUNT($L$4:L61)+1,""))</x:f>
      </x:c>
    </x:row>
    <x:row r="63">
      <x:c r="A63" s="73" t="str">
        <x:f>IF('전기원장'!A63="","","전기")</x:f>
      </x:c>
      <x:c r="B63" s="73" t="str">
        <x:f>IF('전기원장'!A63="","",'전기원장'!A63)</x:f>
      </x:c>
      <x:c r="C63" s="73" t="str">
        <x:f>IF('전기원장'!A63="","",'전기원장'!B63)</x:f>
      </x:c>
      <x:c r="D63" s="74" t="str">
        <x:f>IF('전기원장'!A63="","",'전기원장'!C63)</x:f>
      </x:c>
      <x:c r="E63" s="73" t="str">
        <x:f>IF('전기원장'!A63="","",'전기원장'!D63)</x:f>
      </x:c>
      <x:c r="F63" s="73" t="str">
        <x:f>IF('전기원장'!A63="","",'전기원장'!E63)</x:f>
      </x:c>
      <x:c r="G63" s="75" t="str">
        <x:f>IF('전기원장'!A63="","",'전기원장'!H63)</x:f>
      </x:c>
      <x:c r="H63" s="73" t="str">
        <x:f>IF('전기원장'!A63="","",'전기원장'!I63)</x:f>
      </x:c>
      <x:c r="I63" s="73" t="str">
        <x:f>IF('전기원장'!A63="","",'전기원장'!J63)</x:f>
      </x:c>
      <x:c r="J63" s="73" t="str">
        <x:f>IF('전기원장'!A63="","",'전기원장'!K63)</x:f>
      </x:c>
      <x:c r="K63" s="73" t="str">
        <x:f>IF(B63="","",IF(COUNTIF($B$5:B63,B63)=1,COUNT($K$4:K62)+1,""))</x:f>
      </x:c>
      <x:c r="L63" s="85" t="str">
        <x:f>IF(B63="","",IF(COUNTIFS('계정비교'!$A$5:$A$1004,B63,'계정비교'!$H$5:$H$1004,"원인분석 대상")&gt;0,COUNT($L$4:L62)+1,""))</x:f>
      </x:c>
    </x:row>
    <x:row r="64">
      <x:c r="A64" s="73" t="str">
        <x:f>IF('전기원장'!A64="","","전기")</x:f>
      </x:c>
      <x:c r="B64" s="73" t="str">
        <x:f>IF('전기원장'!A64="","",'전기원장'!A64)</x:f>
      </x:c>
      <x:c r="C64" s="73" t="str">
        <x:f>IF('전기원장'!A64="","",'전기원장'!B64)</x:f>
      </x:c>
      <x:c r="D64" s="74" t="str">
        <x:f>IF('전기원장'!A64="","",'전기원장'!C64)</x:f>
      </x:c>
      <x:c r="E64" s="73" t="str">
        <x:f>IF('전기원장'!A64="","",'전기원장'!D64)</x:f>
      </x:c>
      <x:c r="F64" s="73" t="str">
        <x:f>IF('전기원장'!A64="","",'전기원장'!E64)</x:f>
      </x:c>
      <x:c r="G64" s="75" t="str">
        <x:f>IF('전기원장'!A64="","",'전기원장'!H64)</x:f>
      </x:c>
      <x:c r="H64" s="73" t="str">
        <x:f>IF('전기원장'!A64="","",'전기원장'!I64)</x:f>
      </x:c>
      <x:c r="I64" s="73" t="str">
        <x:f>IF('전기원장'!A64="","",'전기원장'!J64)</x:f>
      </x:c>
      <x:c r="J64" s="73" t="str">
        <x:f>IF('전기원장'!A64="","",'전기원장'!K64)</x:f>
      </x:c>
      <x:c r="K64" s="73" t="str">
        <x:f>IF(B64="","",IF(COUNTIF($B$5:B64,B64)=1,COUNT($K$4:K63)+1,""))</x:f>
      </x:c>
      <x:c r="L64" s="85" t="str">
        <x:f>IF(B64="","",IF(COUNTIFS('계정비교'!$A$5:$A$1004,B64,'계정비교'!$H$5:$H$1004,"원인분석 대상")&gt;0,COUNT($L$4:L63)+1,""))</x:f>
      </x:c>
    </x:row>
    <x:row r="65">
      <x:c r="A65" s="73" t="str">
        <x:f>IF('전기원장'!A65="","","전기")</x:f>
      </x:c>
      <x:c r="B65" s="73" t="str">
        <x:f>IF('전기원장'!A65="","",'전기원장'!A65)</x:f>
      </x:c>
      <x:c r="C65" s="73" t="str">
        <x:f>IF('전기원장'!A65="","",'전기원장'!B65)</x:f>
      </x:c>
      <x:c r="D65" s="74" t="str">
        <x:f>IF('전기원장'!A65="","",'전기원장'!C65)</x:f>
      </x:c>
      <x:c r="E65" s="73" t="str">
        <x:f>IF('전기원장'!A65="","",'전기원장'!D65)</x:f>
      </x:c>
      <x:c r="F65" s="73" t="str">
        <x:f>IF('전기원장'!A65="","",'전기원장'!E65)</x:f>
      </x:c>
      <x:c r="G65" s="75" t="str">
        <x:f>IF('전기원장'!A65="","",'전기원장'!H65)</x:f>
      </x:c>
      <x:c r="H65" s="73" t="str">
        <x:f>IF('전기원장'!A65="","",'전기원장'!I65)</x:f>
      </x:c>
      <x:c r="I65" s="73" t="str">
        <x:f>IF('전기원장'!A65="","",'전기원장'!J65)</x:f>
      </x:c>
      <x:c r="J65" s="73" t="str">
        <x:f>IF('전기원장'!A65="","",'전기원장'!K65)</x:f>
      </x:c>
      <x:c r="K65" s="73" t="str">
        <x:f>IF(B65="","",IF(COUNTIF($B$5:B65,B65)=1,COUNT($K$4:K64)+1,""))</x:f>
      </x:c>
      <x:c r="L65" s="85" t="str">
        <x:f>IF(B65="","",IF(COUNTIFS('계정비교'!$A$5:$A$1004,B65,'계정비교'!$H$5:$H$1004,"원인분석 대상")&gt;0,COUNT($L$4:L64)+1,""))</x:f>
      </x:c>
    </x:row>
    <x:row r="66">
      <x:c r="A66" s="73" t="str">
        <x:f>IF('전기원장'!A66="","","전기")</x:f>
      </x:c>
      <x:c r="B66" s="73" t="str">
        <x:f>IF('전기원장'!A66="","",'전기원장'!A66)</x:f>
      </x:c>
      <x:c r="C66" s="73" t="str">
        <x:f>IF('전기원장'!A66="","",'전기원장'!B66)</x:f>
      </x:c>
      <x:c r="D66" s="74" t="str">
        <x:f>IF('전기원장'!A66="","",'전기원장'!C66)</x:f>
      </x:c>
      <x:c r="E66" s="73" t="str">
        <x:f>IF('전기원장'!A66="","",'전기원장'!D66)</x:f>
      </x:c>
      <x:c r="F66" s="73" t="str">
        <x:f>IF('전기원장'!A66="","",'전기원장'!E66)</x:f>
      </x:c>
      <x:c r="G66" s="75" t="str">
        <x:f>IF('전기원장'!A66="","",'전기원장'!H66)</x:f>
      </x:c>
      <x:c r="H66" s="73" t="str">
        <x:f>IF('전기원장'!A66="","",'전기원장'!I66)</x:f>
      </x:c>
      <x:c r="I66" s="73" t="str">
        <x:f>IF('전기원장'!A66="","",'전기원장'!J66)</x:f>
      </x:c>
      <x:c r="J66" s="73" t="str">
        <x:f>IF('전기원장'!A66="","",'전기원장'!K66)</x:f>
      </x:c>
      <x:c r="K66" s="73" t="str">
        <x:f>IF(B66="","",IF(COUNTIF($B$5:B66,B66)=1,COUNT($K$4:K65)+1,""))</x:f>
      </x:c>
      <x:c r="L66" s="85" t="str">
        <x:f>IF(B66="","",IF(COUNTIFS('계정비교'!$A$5:$A$1004,B66,'계정비교'!$H$5:$H$1004,"원인분석 대상")&gt;0,COUNT($L$4:L65)+1,""))</x:f>
      </x:c>
    </x:row>
    <x:row r="67">
      <x:c r="A67" s="73" t="str">
        <x:f>IF('전기원장'!A67="","","전기")</x:f>
      </x:c>
      <x:c r="B67" s="73" t="str">
        <x:f>IF('전기원장'!A67="","",'전기원장'!A67)</x:f>
      </x:c>
      <x:c r="C67" s="73" t="str">
        <x:f>IF('전기원장'!A67="","",'전기원장'!B67)</x:f>
      </x:c>
      <x:c r="D67" s="74" t="str">
        <x:f>IF('전기원장'!A67="","",'전기원장'!C67)</x:f>
      </x:c>
      <x:c r="E67" s="73" t="str">
        <x:f>IF('전기원장'!A67="","",'전기원장'!D67)</x:f>
      </x:c>
      <x:c r="F67" s="73" t="str">
        <x:f>IF('전기원장'!A67="","",'전기원장'!E67)</x:f>
      </x:c>
      <x:c r="G67" s="75" t="str">
        <x:f>IF('전기원장'!A67="","",'전기원장'!H67)</x:f>
      </x:c>
      <x:c r="H67" s="73" t="str">
        <x:f>IF('전기원장'!A67="","",'전기원장'!I67)</x:f>
      </x:c>
      <x:c r="I67" s="73" t="str">
        <x:f>IF('전기원장'!A67="","",'전기원장'!J67)</x:f>
      </x:c>
      <x:c r="J67" s="73" t="str">
        <x:f>IF('전기원장'!A67="","",'전기원장'!K67)</x:f>
      </x:c>
      <x:c r="K67" s="73" t="str">
        <x:f>IF(B67="","",IF(COUNTIF($B$5:B67,B67)=1,COUNT($K$4:K66)+1,""))</x:f>
      </x:c>
      <x:c r="L67" s="85" t="str">
        <x:f>IF(B67="","",IF(COUNTIFS('계정비교'!$A$5:$A$1004,B67,'계정비교'!$H$5:$H$1004,"원인분석 대상")&gt;0,COUNT($L$4:L66)+1,""))</x:f>
      </x:c>
    </x:row>
    <x:row r="68">
      <x:c r="A68" s="73" t="str">
        <x:f>IF('전기원장'!A68="","","전기")</x:f>
      </x:c>
      <x:c r="B68" s="73" t="str">
        <x:f>IF('전기원장'!A68="","",'전기원장'!A68)</x:f>
      </x:c>
      <x:c r="C68" s="73" t="str">
        <x:f>IF('전기원장'!A68="","",'전기원장'!B68)</x:f>
      </x:c>
      <x:c r="D68" s="74" t="str">
        <x:f>IF('전기원장'!A68="","",'전기원장'!C68)</x:f>
      </x:c>
      <x:c r="E68" s="73" t="str">
        <x:f>IF('전기원장'!A68="","",'전기원장'!D68)</x:f>
      </x:c>
      <x:c r="F68" s="73" t="str">
        <x:f>IF('전기원장'!A68="","",'전기원장'!E68)</x:f>
      </x:c>
      <x:c r="G68" s="75" t="str">
        <x:f>IF('전기원장'!A68="","",'전기원장'!H68)</x:f>
      </x:c>
      <x:c r="H68" s="73" t="str">
        <x:f>IF('전기원장'!A68="","",'전기원장'!I68)</x:f>
      </x:c>
      <x:c r="I68" s="73" t="str">
        <x:f>IF('전기원장'!A68="","",'전기원장'!J68)</x:f>
      </x:c>
      <x:c r="J68" s="73" t="str">
        <x:f>IF('전기원장'!A68="","",'전기원장'!K68)</x:f>
      </x:c>
      <x:c r="K68" s="73" t="str">
        <x:f>IF(B68="","",IF(COUNTIF($B$5:B68,B68)=1,COUNT($K$4:K67)+1,""))</x:f>
      </x:c>
      <x:c r="L68" s="85" t="str">
        <x:f>IF(B68="","",IF(COUNTIFS('계정비교'!$A$5:$A$1004,B68,'계정비교'!$H$5:$H$1004,"원인분석 대상")&gt;0,COUNT($L$4:L67)+1,""))</x:f>
      </x:c>
    </x:row>
    <x:row r="69">
      <x:c r="A69" s="73" t="str">
        <x:f>IF('전기원장'!A69="","","전기")</x:f>
      </x:c>
      <x:c r="B69" s="73" t="str">
        <x:f>IF('전기원장'!A69="","",'전기원장'!A69)</x:f>
      </x:c>
      <x:c r="C69" s="73" t="str">
        <x:f>IF('전기원장'!A69="","",'전기원장'!B69)</x:f>
      </x:c>
      <x:c r="D69" s="74" t="str">
        <x:f>IF('전기원장'!A69="","",'전기원장'!C69)</x:f>
      </x:c>
      <x:c r="E69" s="73" t="str">
        <x:f>IF('전기원장'!A69="","",'전기원장'!D69)</x:f>
      </x:c>
      <x:c r="F69" s="73" t="str">
        <x:f>IF('전기원장'!A69="","",'전기원장'!E69)</x:f>
      </x:c>
      <x:c r="G69" s="75" t="str">
        <x:f>IF('전기원장'!A69="","",'전기원장'!H69)</x:f>
      </x:c>
      <x:c r="H69" s="73" t="str">
        <x:f>IF('전기원장'!A69="","",'전기원장'!I69)</x:f>
      </x:c>
      <x:c r="I69" s="73" t="str">
        <x:f>IF('전기원장'!A69="","",'전기원장'!J69)</x:f>
      </x:c>
      <x:c r="J69" s="73" t="str">
        <x:f>IF('전기원장'!A69="","",'전기원장'!K69)</x:f>
      </x:c>
      <x:c r="K69" s="73" t="str">
        <x:f>IF(B69="","",IF(COUNTIF($B$5:B69,B69)=1,COUNT($K$4:K68)+1,""))</x:f>
      </x:c>
      <x:c r="L69" s="85" t="str">
        <x:f>IF(B69="","",IF(COUNTIFS('계정비교'!$A$5:$A$1004,B69,'계정비교'!$H$5:$H$1004,"원인분석 대상")&gt;0,COUNT($L$4:L68)+1,""))</x:f>
      </x:c>
    </x:row>
    <x:row r="70">
      <x:c r="A70" s="73" t="str">
        <x:f>IF('전기원장'!A70="","","전기")</x:f>
      </x:c>
      <x:c r="B70" s="73" t="str">
        <x:f>IF('전기원장'!A70="","",'전기원장'!A70)</x:f>
      </x:c>
      <x:c r="C70" s="73" t="str">
        <x:f>IF('전기원장'!A70="","",'전기원장'!B70)</x:f>
      </x:c>
      <x:c r="D70" s="74" t="str">
        <x:f>IF('전기원장'!A70="","",'전기원장'!C70)</x:f>
      </x:c>
      <x:c r="E70" s="73" t="str">
        <x:f>IF('전기원장'!A70="","",'전기원장'!D70)</x:f>
      </x:c>
      <x:c r="F70" s="73" t="str">
        <x:f>IF('전기원장'!A70="","",'전기원장'!E70)</x:f>
      </x:c>
      <x:c r="G70" s="75" t="str">
        <x:f>IF('전기원장'!A70="","",'전기원장'!H70)</x:f>
      </x:c>
      <x:c r="H70" s="73" t="str">
        <x:f>IF('전기원장'!A70="","",'전기원장'!I70)</x:f>
      </x:c>
      <x:c r="I70" s="73" t="str">
        <x:f>IF('전기원장'!A70="","",'전기원장'!J70)</x:f>
      </x:c>
      <x:c r="J70" s="73" t="str">
        <x:f>IF('전기원장'!A70="","",'전기원장'!K70)</x:f>
      </x:c>
      <x:c r="K70" s="73" t="str">
        <x:f>IF(B70="","",IF(COUNTIF($B$5:B70,B70)=1,COUNT($K$4:K69)+1,""))</x:f>
      </x:c>
      <x:c r="L70" s="85" t="str">
        <x:f>IF(B70="","",IF(COUNTIFS('계정비교'!$A$5:$A$1004,B70,'계정비교'!$H$5:$H$1004,"원인분석 대상")&gt;0,COUNT($L$4:L69)+1,""))</x:f>
      </x:c>
    </x:row>
    <x:row r="71">
      <x:c r="A71" s="73" t="str">
        <x:f>IF('전기원장'!A71="","","전기")</x:f>
      </x:c>
      <x:c r="B71" s="73" t="str">
        <x:f>IF('전기원장'!A71="","",'전기원장'!A71)</x:f>
      </x:c>
      <x:c r="C71" s="73" t="str">
        <x:f>IF('전기원장'!A71="","",'전기원장'!B71)</x:f>
      </x:c>
      <x:c r="D71" s="74" t="str">
        <x:f>IF('전기원장'!A71="","",'전기원장'!C71)</x:f>
      </x:c>
      <x:c r="E71" s="73" t="str">
        <x:f>IF('전기원장'!A71="","",'전기원장'!D71)</x:f>
      </x:c>
      <x:c r="F71" s="73" t="str">
        <x:f>IF('전기원장'!A71="","",'전기원장'!E71)</x:f>
      </x:c>
      <x:c r="G71" s="75" t="str">
        <x:f>IF('전기원장'!A71="","",'전기원장'!H71)</x:f>
      </x:c>
      <x:c r="H71" s="73" t="str">
        <x:f>IF('전기원장'!A71="","",'전기원장'!I71)</x:f>
      </x:c>
      <x:c r="I71" s="73" t="str">
        <x:f>IF('전기원장'!A71="","",'전기원장'!J71)</x:f>
      </x:c>
      <x:c r="J71" s="73" t="str">
        <x:f>IF('전기원장'!A71="","",'전기원장'!K71)</x:f>
      </x:c>
      <x:c r="K71" s="73" t="str">
        <x:f>IF(B71="","",IF(COUNTIF($B$5:B71,B71)=1,COUNT($K$4:K70)+1,""))</x:f>
      </x:c>
      <x:c r="L71" s="85" t="str">
        <x:f>IF(B71="","",IF(COUNTIFS('계정비교'!$A$5:$A$1004,B71,'계정비교'!$H$5:$H$1004,"원인분석 대상")&gt;0,COUNT($L$4:L70)+1,""))</x:f>
      </x:c>
    </x:row>
    <x:row r="72">
      <x:c r="A72" s="73" t="str">
        <x:f>IF('전기원장'!A72="","","전기")</x:f>
      </x:c>
      <x:c r="B72" s="73" t="str">
        <x:f>IF('전기원장'!A72="","",'전기원장'!A72)</x:f>
      </x:c>
      <x:c r="C72" s="73" t="str">
        <x:f>IF('전기원장'!A72="","",'전기원장'!B72)</x:f>
      </x:c>
      <x:c r="D72" s="74" t="str">
        <x:f>IF('전기원장'!A72="","",'전기원장'!C72)</x:f>
      </x:c>
      <x:c r="E72" s="73" t="str">
        <x:f>IF('전기원장'!A72="","",'전기원장'!D72)</x:f>
      </x:c>
      <x:c r="F72" s="73" t="str">
        <x:f>IF('전기원장'!A72="","",'전기원장'!E72)</x:f>
      </x:c>
      <x:c r="G72" s="75" t="str">
        <x:f>IF('전기원장'!A72="","",'전기원장'!H72)</x:f>
      </x:c>
      <x:c r="H72" s="73" t="str">
        <x:f>IF('전기원장'!A72="","",'전기원장'!I72)</x:f>
      </x:c>
      <x:c r="I72" s="73" t="str">
        <x:f>IF('전기원장'!A72="","",'전기원장'!J72)</x:f>
      </x:c>
      <x:c r="J72" s="73" t="str">
        <x:f>IF('전기원장'!A72="","",'전기원장'!K72)</x:f>
      </x:c>
      <x:c r="K72" s="73" t="str">
        <x:f>IF(B72="","",IF(COUNTIF($B$5:B72,B72)=1,COUNT($K$4:K71)+1,""))</x:f>
      </x:c>
      <x:c r="L72" s="85" t="str">
        <x:f>IF(B72="","",IF(COUNTIFS('계정비교'!$A$5:$A$1004,B72,'계정비교'!$H$5:$H$1004,"원인분석 대상")&gt;0,COUNT($L$4:L71)+1,""))</x:f>
      </x:c>
    </x:row>
    <x:row r="73">
      <x:c r="A73" s="73" t="str">
        <x:f>IF('전기원장'!A73="","","전기")</x:f>
      </x:c>
      <x:c r="B73" s="73" t="str">
        <x:f>IF('전기원장'!A73="","",'전기원장'!A73)</x:f>
      </x:c>
      <x:c r="C73" s="73" t="str">
        <x:f>IF('전기원장'!A73="","",'전기원장'!B73)</x:f>
      </x:c>
      <x:c r="D73" s="74" t="str">
        <x:f>IF('전기원장'!A73="","",'전기원장'!C73)</x:f>
      </x:c>
      <x:c r="E73" s="73" t="str">
        <x:f>IF('전기원장'!A73="","",'전기원장'!D73)</x:f>
      </x:c>
      <x:c r="F73" s="73" t="str">
        <x:f>IF('전기원장'!A73="","",'전기원장'!E73)</x:f>
      </x:c>
      <x:c r="G73" s="75" t="str">
        <x:f>IF('전기원장'!A73="","",'전기원장'!H73)</x:f>
      </x:c>
      <x:c r="H73" s="73" t="str">
        <x:f>IF('전기원장'!A73="","",'전기원장'!I73)</x:f>
      </x:c>
      <x:c r="I73" s="73" t="str">
        <x:f>IF('전기원장'!A73="","",'전기원장'!J73)</x:f>
      </x:c>
      <x:c r="J73" s="73" t="str">
        <x:f>IF('전기원장'!A73="","",'전기원장'!K73)</x:f>
      </x:c>
      <x:c r="K73" s="73" t="str">
        <x:f>IF(B73="","",IF(COUNTIF($B$5:B73,B73)=1,COUNT($K$4:K72)+1,""))</x:f>
      </x:c>
      <x:c r="L73" s="85" t="str">
        <x:f>IF(B73="","",IF(COUNTIFS('계정비교'!$A$5:$A$1004,B73,'계정비교'!$H$5:$H$1004,"원인분석 대상")&gt;0,COUNT($L$4:L72)+1,""))</x:f>
      </x:c>
    </x:row>
    <x:row r="74">
      <x:c r="A74" s="73" t="str">
        <x:f>IF('전기원장'!A74="","","전기")</x:f>
      </x:c>
      <x:c r="B74" s="73" t="str">
        <x:f>IF('전기원장'!A74="","",'전기원장'!A74)</x:f>
      </x:c>
      <x:c r="C74" s="73" t="str">
        <x:f>IF('전기원장'!A74="","",'전기원장'!B74)</x:f>
      </x:c>
      <x:c r="D74" s="74" t="str">
        <x:f>IF('전기원장'!A74="","",'전기원장'!C74)</x:f>
      </x:c>
      <x:c r="E74" s="73" t="str">
        <x:f>IF('전기원장'!A74="","",'전기원장'!D74)</x:f>
      </x:c>
      <x:c r="F74" s="73" t="str">
        <x:f>IF('전기원장'!A74="","",'전기원장'!E74)</x:f>
      </x:c>
      <x:c r="G74" s="75" t="str">
        <x:f>IF('전기원장'!A74="","",'전기원장'!H74)</x:f>
      </x:c>
      <x:c r="H74" s="73" t="str">
        <x:f>IF('전기원장'!A74="","",'전기원장'!I74)</x:f>
      </x:c>
      <x:c r="I74" s="73" t="str">
        <x:f>IF('전기원장'!A74="","",'전기원장'!J74)</x:f>
      </x:c>
      <x:c r="J74" s="73" t="str">
        <x:f>IF('전기원장'!A74="","",'전기원장'!K74)</x:f>
      </x:c>
      <x:c r="K74" s="73" t="str">
        <x:f>IF(B74="","",IF(COUNTIF($B$5:B74,B74)=1,COUNT($K$4:K73)+1,""))</x:f>
      </x:c>
      <x:c r="L74" s="85" t="str">
        <x:f>IF(B74="","",IF(COUNTIFS('계정비교'!$A$5:$A$1004,B74,'계정비교'!$H$5:$H$1004,"원인분석 대상")&gt;0,COUNT($L$4:L73)+1,""))</x:f>
      </x:c>
    </x:row>
    <x:row r="75">
      <x:c r="A75" s="73" t="str">
        <x:f>IF('전기원장'!A75="","","전기")</x:f>
      </x:c>
      <x:c r="B75" s="73" t="str">
        <x:f>IF('전기원장'!A75="","",'전기원장'!A75)</x:f>
      </x:c>
      <x:c r="C75" s="73" t="str">
        <x:f>IF('전기원장'!A75="","",'전기원장'!B75)</x:f>
      </x:c>
      <x:c r="D75" s="74" t="str">
        <x:f>IF('전기원장'!A75="","",'전기원장'!C75)</x:f>
      </x:c>
      <x:c r="E75" s="73" t="str">
        <x:f>IF('전기원장'!A75="","",'전기원장'!D75)</x:f>
      </x:c>
      <x:c r="F75" s="73" t="str">
        <x:f>IF('전기원장'!A75="","",'전기원장'!E75)</x:f>
      </x:c>
      <x:c r="G75" s="75" t="str">
        <x:f>IF('전기원장'!A75="","",'전기원장'!H75)</x:f>
      </x:c>
      <x:c r="H75" s="73" t="str">
        <x:f>IF('전기원장'!A75="","",'전기원장'!I75)</x:f>
      </x:c>
      <x:c r="I75" s="73" t="str">
        <x:f>IF('전기원장'!A75="","",'전기원장'!J75)</x:f>
      </x:c>
      <x:c r="J75" s="73" t="str">
        <x:f>IF('전기원장'!A75="","",'전기원장'!K75)</x:f>
      </x:c>
      <x:c r="K75" s="73" t="str">
        <x:f>IF(B75="","",IF(COUNTIF($B$5:B75,B75)=1,COUNT($K$4:K74)+1,""))</x:f>
      </x:c>
      <x:c r="L75" s="85" t="str">
        <x:f>IF(B75="","",IF(COUNTIFS('계정비교'!$A$5:$A$1004,B75,'계정비교'!$H$5:$H$1004,"원인분석 대상")&gt;0,COUNT($L$4:L74)+1,""))</x:f>
      </x:c>
    </x:row>
    <x:row r="76">
      <x:c r="A76" s="73" t="str">
        <x:f>IF('전기원장'!A76="","","전기")</x:f>
      </x:c>
      <x:c r="B76" s="73" t="str">
        <x:f>IF('전기원장'!A76="","",'전기원장'!A76)</x:f>
      </x:c>
      <x:c r="C76" s="73" t="str">
        <x:f>IF('전기원장'!A76="","",'전기원장'!B76)</x:f>
      </x:c>
      <x:c r="D76" s="74" t="str">
        <x:f>IF('전기원장'!A76="","",'전기원장'!C76)</x:f>
      </x:c>
      <x:c r="E76" s="73" t="str">
        <x:f>IF('전기원장'!A76="","",'전기원장'!D76)</x:f>
      </x:c>
      <x:c r="F76" s="73" t="str">
        <x:f>IF('전기원장'!A76="","",'전기원장'!E76)</x:f>
      </x:c>
      <x:c r="G76" s="75" t="str">
        <x:f>IF('전기원장'!A76="","",'전기원장'!H76)</x:f>
      </x:c>
      <x:c r="H76" s="73" t="str">
        <x:f>IF('전기원장'!A76="","",'전기원장'!I76)</x:f>
      </x:c>
      <x:c r="I76" s="73" t="str">
        <x:f>IF('전기원장'!A76="","",'전기원장'!J76)</x:f>
      </x:c>
      <x:c r="J76" s="73" t="str">
        <x:f>IF('전기원장'!A76="","",'전기원장'!K76)</x:f>
      </x:c>
      <x:c r="K76" s="73" t="str">
        <x:f>IF(B76="","",IF(COUNTIF($B$5:B76,B76)=1,COUNT($K$4:K75)+1,""))</x:f>
      </x:c>
      <x:c r="L76" s="85" t="str">
        <x:f>IF(B76="","",IF(COUNTIFS('계정비교'!$A$5:$A$1004,B76,'계정비교'!$H$5:$H$1004,"원인분석 대상")&gt;0,COUNT($L$4:L75)+1,""))</x:f>
      </x:c>
    </x:row>
    <x:row r="77">
      <x:c r="A77" s="73" t="str">
        <x:f>IF('전기원장'!A77="","","전기")</x:f>
      </x:c>
      <x:c r="B77" s="73" t="str">
        <x:f>IF('전기원장'!A77="","",'전기원장'!A77)</x:f>
      </x:c>
      <x:c r="C77" s="73" t="str">
        <x:f>IF('전기원장'!A77="","",'전기원장'!B77)</x:f>
      </x:c>
      <x:c r="D77" s="74" t="str">
        <x:f>IF('전기원장'!A77="","",'전기원장'!C77)</x:f>
      </x:c>
      <x:c r="E77" s="73" t="str">
        <x:f>IF('전기원장'!A77="","",'전기원장'!D77)</x:f>
      </x:c>
      <x:c r="F77" s="73" t="str">
        <x:f>IF('전기원장'!A77="","",'전기원장'!E77)</x:f>
      </x:c>
      <x:c r="G77" s="75" t="str">
        <x:f>IF('전기원장'!A77="","",'전기원장'!H77)</x:f>
      </x:c>
      <x:c r="H77" s="73" t="str">
        <x:f>IF('전기원장'!A77="","",'전기원장'!I77)</x:f>
      </x:c>
      <x:c r="I77" s="73" t="str">
        <x:f>IF('전기원장'!A77="","",'전기원장'!J77)</x:f>
      </x:c>
      <x:c r="J77" s="73" t="str">
        <x:f>IF('전기원장'!A77="","",'전기원장'!K77)</x:f>
      </x:c>
      <x:c r="K77" s="73" t="str">
        <x:f>IF(B77="","",IF(COUNTIF($B$5:B77,B77)=1,COUNT($K$4:K76)+1,""))</x:f>
      </x:c>
      <x:c r="L77" s="85" t="str">
        <x:f>IF(B77="","",IF(COUNTIFS('계정비교'!$A$5:$A$1004,B77,'계정비교'!$H$5:$H$1004,"원인분석 대상")&gt;0,COUNT($L$4:L76)+1,""))</x:f>
      </x:c>
    </x:row>
    <x:row r="78">
      <x:c r="A78" s="73" t="str">
        <x:f>IF('전기원장'!A78="","","전기")</x:f>
      </x:c>
      <x:c r="B78" s="73" t="str">
        <x:f>IF('전기원장'!A78="","",'전기원장'!A78)</x:f>
      </x:c>
      <x:c r="C78" s="73" t="str">
        <x:f>IF('전기원장'!A78="","",'전기원장'!B78)</x:f>
      </x:c>
      <x:c r="D78" s="74" t="str">
        <x:f>IF('전기원장'!A78="","",'전기원장'!C78)</x:f>
      </x:c>
      <x:c r="E78" s="73" t="str">
        <x:f>IF('전기원장'!A78="","",'전기원장'!D78)</x:f>
      </x:c>
      <x:c r="F78" s="73" t="str">
        <x:f>IF('전기원장'!A78="","",'전기원장'!E78)</x:f>
      </x:c>
      <x:c r="G78" s="75" t="str">
        <x:f>IF('전기원장'!A78="","",'전기원장'!H78)</x:f>
      </x:c>
      <x:c r="H78" s="73" t="str">
        <x:f>IF('전기원장'!A78="","",'전기원장'!I78)</x:f>
      </x:c>
      <x:c r="I78" s="73" t="str">
        <x:f>IF('전기원장'!A78="","",'전기원장'!J78)</x:f>
      </x:c>
      <x:c r="J78" s="73" t="str">
        <x:f>IF('전기원장'!A78="","",'전기원장'!K78)</x:f>
      </x:c>
      <x:c r="K78" s="73" t="str">
        <x:f>IF(B78="","",IF(COUNTIF($B$5:B78,B78)=1,COUNT($K$4:K77)+1,""))</x:f>
      </x:c>
      <x:c r="L78" s="85" t="str">
        <x:f>IF(B78="","",IF(COUNTIFS('계정비교'!$A$5:$A$1004,B78,'계정비교'!$H$5:$H$1004,"원인분석 대상")&gt;0,COUNT($L$4:L77)+1,""))</x:f>
      </x:c>
    </x:row>
    <x:row r="79">
      <x:c r="A79" s="73" t="str">
        <x:f>IF('전기원장'!A79="","","전기")</x:f>
      </x:c>
      <x:c r="B79" s="73" t="str">
        <x:f>IF('전기원장'!A79="","",'전기원장'!A79)</x:f>
      </x:c>
      <x:c r="C79" s="73" t="str">
        <x:f>IF('전기원장'!A79="","",'전기원장'!B79)</x:f>
      </x:c>
      <x:c r="D79" s="74" t="str">
        <x:f>IF('전기원장'!A79="","",'전기원장'!C79)</x:f>
      </x:c>
      <x:c r="E79" s="73" t="str">
        <x:f>IF('전기원장'!A79="","",'전기원장'!D79)</x:f>
      </x:c>
      <x:c r="F79" s="73" t="str">
        <x:f>IF('전기원장'!A79="","",'전기원장'!E79)</x:f>
      </x:c>
      <x:c r="G79" s="75" t="str">
        <x:f>IF('전기원장'!A79="","",'전기원장'!H79)</x:f>
      </x:c>
      <x:c r="H79" s="73" t="str">
        <x:f>IF('전기원장'!A79="","",'전기원장'!I79)</x:f>
      </x:c>
      <x:c r="I79" s="73" t="str">
        <x:f>IF('전기원장'!A79="","",'전기원장'!J79)</x:f>
      </x:c>
      <x:c r="J79" s="73" t="str">
        <x:f>IF('전기원장'!A79="","",'전기원장'!K79)</x:f>
      </x:c>
      <x:c r="K79" s="73" t="str">
        <x:f>IF(B79="","",IF(COUNTIF($B$5:B79,B79)=1,COUNT($K$4:K78)+1,""))</x:f>
      </x:c>
      <x:c r="L79" s="85" t="str">
        <x:f>IF(B79="","",IF(COUNTIFS('계정비교'!$A$5:$A$1004,B79,'계정비교'!$H$5:$H$1004,"원인분석 대상")&gt;0,COUNT($L$4:L78)+1,""))</x:f>
      </x:c>
    </x:row>
    <x:row r="80">
      <x:c r="A80" s="73" t="str">
        <x:f>IF('전기원장'!A80="","","전기")</x:f>
      </x:c>
      <x:c r="B80" s="73" t="str">
        <x:f>IF('전기원장'!A80="","",'전기원장'!A80)</x:f>
      </x:c>
      <x:c r="C80" s="73" t="str">
        <x:f>IF('전기원장'!A80="","",'전기원장'!B80)</x:f>
      </x:c>
      <x:c r="D80" s="74" t="str">
        <x:f>IF('전기원장'!A80="","",'전기원장'!C80)</x:f>
      </x:c>
      <x:c r="E80" s="73" t="str">
        <x:f>IF('전기원장'!A80="","",'전기원장'!D80)</x:f>
      </x:c>
      <x:c r="F80" s="73" t="str">
        <x:f>IF('전기원장'!A80="","",'전기원장'!E80)</x:f>
      </x:c>
      <x:c r="G80" s="75" t="str">
        <x:f>IF('전기원장'!A80="","",'전기원장'!H80)</x:f>
      </x:c>
      <x:c r="H80" s="73" t="str">
        <x:f>IF('전기원장'!A80="","",'전기원장'!I80)</x:f>
      </x:c>
      <x:c r="I80" s="73" t="str">
        <x:f>IF('전기원장'!A80="","",'전기원장'!J80)</x:f>
      </x:c>
      <x:c r="J80" s="73" t="str">
        <x:f>IF('전기원장'!A80="","",'전기원장'!K80)</x:f>
      </x:c>
      <x:c r="K80" s="73" t="str">
        <x:f>IF(B80="","",IF(COUNTIF($B$5:B80,B80)=1,COUNT($K$4:K79)+1,""))</x:f>
      </x:c>
      <x:c r="L80" s="85" t="str">
        <x:f>IF(B80="","",IF(COUNTIFS('계정비교'!$A$5:$A$1004,B80,'계정비교'!$H$5:$H$1004,"원인분석 대상")&gt;0,COUNT($L$4:L79)+1,""))</x:f>
      </x:c>
    </x:row>
    <x:row r="81">
      <x:c r="A81" s="73" t="str">
        <x:f>IF('전기원장'!A81="","","전기")</x:f>
      </x:c>
      <x:c r="B81" s="73" t="str">
        <x:f>IF('전기원장'!A81="","",'전기원장'!A81)</x:f>
      </x:c>
      <x:c r="C81" s="73" t="str">
        <x:f>IF('전기원장'!A81="","",'전기원장'!B81)</x:f>
      </x:c>
      <x:c r="D81" s="74" t="str">
        <x:f>IF('전기원장'!A81="","",'전기원장'!C81)</x:f>
      </x:c>
      <x:c r="E81" s="73" t="str">
        <x:f>IF('전기원장'!A81="","",'전기원장'!D81)</x:f>
      </x:c>
      <x:c r="F81" s="73" t="str">
        <x:f>IF('전기원장'!A81="","",'전기원장'!E81)</x:f>
      </x:c>
      <x:c r="G81" s="75" t="str">
        <x:f>IF('전기원장'!A81="","",'전기원장'!H81)</x:f>
      </x:c>
      <x:c r="H81" s="73" t="str">
        <x:f>IF('전기원장'!A81="","",'전기원장'!I81)</x:f>
      </x:c>
      <x:c r="I81" s="73" t="str">
        <x:f>IF('전기원장'!A81="","",'전기원장'!J81)</x:f>
      </x:c>
      <x:c r="J81" s="73" t="str">
        <x:f>IF('전기원장'!A81="","",'전기원장'!K81)</x:f>
      </x:c>
      <x:c r="K81" s="73" t="str">
        <x:f>IF(B81="","",IF(COUNTIF($B$5:B81,B81)=1,COUNT($K$4:K80)+1,""))</x:f>
      </x:c>
      <x:c r="L81" s="85" t="str">
        <x:f>IF(B81="","",IF(COUNTIFS('계정비교'!$A$5:$A$1004,B81,'계정비교'!$H$5:$H$1004,"원인분석 대상")&gt;0,COUNT($L$4:L80)+1,""))</x:f>
      </x:c>
    </x:row>
    <x:row r="82">
      <x:c r="A82" s="73" t="str">
        <x:f>IF('전기원장'!A82="","","전기")</x:f>
      </x:c>
      <x:c r="B82" s="73" t="str">
        <x:f>IF('전기원장'!A82="","",'전기원장'!A82)</x:f>
      </x:c>
      <x:c r="C82" s="73" t="str">
        <x:f>IF('전기원장'!A82="","",'전기원장'!B82)</x:f>
      </x:c>
      <x:c r="D82" s="74" t="str">
        <x:f>IF('전기원장'!A82="","",'전기원장'!C82)</x:f>
      </x:c>
      <x:c r="E82" s="73" t="str">
        <x:f>IF('전기원장'!A82="","",'전기원장'!D82)</x:f>
      </x:c>
      <x:c r="F82" s="73" t="str">
        <x:f>IF('전기원장'!A82="","",'전기원장'!E82)</x:f>
      </x:c>
      <x:c r="G82" s="75" t="str">
        <x:f>IF('전기원장'!A82="","",'전기원장'!H82)</x:f>
      </x:c>
      <x:c r="H82" s="73" t="str">
        <x:f>IF('전기원장'!A82="","",'전기원장'!I82)</x:f>
      </x:c>
      <x:c r="I82" s="73" t="str">
        <x:f>IF('전기원장'!A82="","",'전기원장'!J82)</x:f>
      </x:c>
      <x:c r="J82" s="73" t="str">
        <x:f>IF('전기원장'!A82="","",'전기원장'!K82)</x:f>
      </x:c>
      <x:c r="K82" s="73" t="str">
        <x:f>IF(B82="","",IF(COUNTIF($B$5:B82,B82)=1,COUNT($K$4:K81)+1,""))</x:f>
      </x:c>
      <x:c r="L82" s="85" t="str">
        <x:f>IF(B82="","",IF(COUNTIFS('계정비교'!$A$5:$A$1004,B82,'계정비교'!$H$5:$H$1004,"원인분석 대상")&gt;0,COUNT($L$4:L81)+1,""))</x:f>
      </x:c>
    </x:row>
    <x:row r="83">
      <x:c r="A83" s="73" t="str">
        <x:f>IF('전기원장'!A83="","","전기")</x:f>
      </x:c>
      <x:c r="B83" s="73" t="str">
        <x:f>IF('전기원장'!A83="","",'전기원장'!A83)</x:f>
      </x:c>
      <x:c r="C83" s="73" t="str">
        <x:f>IF('전기원장'!A83="","",'전기원장'!B83)</x:f>
      </x:c>
      <x:c r="D83" s="74" t="str">
        <x:f>IF('전기원장'!A83="","",'전기원장'!C83)</x:f>
      </x:c>
      <x:c r="E83" s="73" t="str">
        <x:f>IF('전기원장'!A83="","",'전기원장'!D83)</x:f>
      </x:c>
      <x:c r="F83" s="73" t="str">
        <x:f>IF('전기원장'!A83="","",'전기원장'!E83)</x:f>
      </x:c>
      <x:c r="G83" s="75" t="str">
        <x:f>IF('전기원장'!A83="","",'전기원장'!H83)</x:f>
      </x:c>
      <x:c r="H83" s="73" t="str">
        <x:f>IF('전기원장'!A83="","",'전기원장'!I83)</x:f>
      </x:c>
      <x:c r="I83" s="73" t="str">
        <x:f>IF('전기원장'!A83="","",'전기원장'!J83)</x:f>
      </x:c>
      <x:c r="J83" s="73" t="str">
        <x:f>IF('전기원장'!A83="","",'전기원장'!K83)</x:f>
      </x:c>
      <x:c r="K83" s="73" t="str">
        <x:f>IF(B83="","",IF(COUNTIF($B$5:B83,B83)=1,COUNT($K$4:K82)+1,""))</x:f>
      </x:c>
      <x:c r="L83" s="85" t="str">
        <x:f>IF(B83="","",IF(COUNTIFS('계정비교'!$A$5:$A$1004,B83,'계정비교'!$H$5:$H$1004,"원인분석 대상")&gt;0,COUNT($L$4:L82)+1,""))</x:f>
      </x:c>
    </x:row>
    <x:row r="84">
      <x:c r="A84" s="73" t="str">
        <x:f>IF('전기원장'!A84="","","전기")</x:f>
      </x:c>
      <x:c r="B84" s="73" t="str">
        <x:f>IF('전기원장'!A84="","",'전기원장'!A84)</x:f>
      </x:c>
      <x:c r="C84" s="73" t="str">
        <x:f>IF('전기원장'!A84="","",'전기원장'!B84)</x:f>
      </x:c>
      <x:c r="D84" s="74" t="str">
        <x:f>IF('전기원장'!A84="","",'전기원장'!C84)</x:f>
      </x:c>
      <x:c r="E84" s="73" t="str">
        <x:f>IF('전기원장'!A84="","",'전기원장'!D84)</x:f>
      </x:c>
      <x:c r="F84" s="73" t="str">
        <x:f>IF('전기원장'!A84="","",'전기원장'!E84)</x:f>
      </x:c>
      <x:c r="G84" s="75" t="str">
        <x:f>IF('전기원장'!A84="","",'전기원장'!H84)</x:f>
      </x:c>
      <x:c r="H84" s="73" t="str">
        <x:f>IF('전기원장'!A84="","",'전기원장'!I84)</x:f>
      </x:c>
      <x:c r="I84" s="73" t="str">
        <x:f>IF('전기원장'!A84="","",'전기원장'!J84)</x:f>
      </x:c>
      <x:c r="J84" s="73" t="str">
        <x:f>IF('전기원장'!A84="","",'전기원장'!K84)</x:f>
      </x:c>
      <x:c r="K84" s="73" t="str">
        <x:f>IF(B84="","",IF(COUNTIF($B$5:B84,B84)=1,COUNT($K$4:K83)+1,""))</x:f>
      </x:c>
      <x:c r="L84" s="85" t="str">
        <x:f>IF(B84="","",IF(COUNTIFS('계정비교'!$A$5:$A$1004,B84,'계정비교'!$H$5:$H$1004,"원인분석 대상")&gt;0,COUNT($L$4:L83)+1,""))</x:f>
      </x:c>
    </x:row>
    <x:row r="85">
      <x:c r="A85" s="73" t="str">
        <x:f>IF('전기원장'!A85="","","전기")</x:f>
      </x:c>
      <x:c r="B85" s="73" t="str">
        <x:f>IF('전기원장'!A85="","",'전기원장'!A85)</x:f>
      </x:c>
      <x:c r="C85" s="73" t="str">
        <x:f>IF('전기원장'!A85="","",'전기원장'!B85)</x:f>
      </x:c>
      <x:c r="D85" s="74" t="str">
        <x:f>IF('전기원장'!A85="","",'전기원장'!C85)</x:f>
      </x:c>
      <x:c r="E85" s="73" t="str">
        <x:f>IF('전기원장'!A85="","",'전기원장'!D85)</x:f>
      </x:c>
      <x:c r="F85" s="73" t="str">
        <x:f>IF('전기원장'!A85="","",'전기원장'!E85)</x:f>
      </x:c>
      <x:c r="G85" s="75" t="str">
        <x:f>IF('전기원장'!A85="","",'전기원장'!H85)</x:f>
      </x:c>
      <x:c r="H85" s="73" t="str">
        <x:f>IF('전기원장'!A85="","",'전기원장'!I85)</x:f>
      </x:c>
      <x:c r="I85" s="73" t="str">
        <x:f>IF('전기원장'!A85="","",'전기원장'!J85)</x:f>
      </x:c>
      <x:c r="J85" s="73" t="str">
        <x:f>IF('전기원장'!A85="","",'전기원장'!K85)</x:f>
      </x:c>
      <x:c r="K85" s="73" t="str">
        <x:f>IF(B85="","",IF(COUNTIF($B$5:B85,B85)=1,COUNT($K$4:K84)+1,""))</x:f>
      </x:c>
      <x:c r="L85" s="85" t="str">
        <x:f>IF(B85="","",IF(COUNTIFS('계정비교'!$A$5:$A$1004,B85,'계정비교'!$H$5:$H$1004,"원인분석 대상")&gt;0,COUNT($L$4:L84)+1,""))</x:f>
      </x:c>
    </x:row>
    <x:row r="86">
      <x:c r="A86" s="73" t="str">
        <x:f>IF('전기원장'!A86="","","전기")</x:f>
      </x:c>
      <x:c r="B86" s="73" t="str">
        <x:f>IF('전기원장'!A86="","",'전기원장'!A86)</x:f>
      </x:c>
      <x:c r="C86" s="73" t="str">
        <x:f>IF('전기원장'!A86="","",'전기원장'!B86)</x:f>
      </x:c>
      <x:c r="D86" s="74" t="str">
        <x:f>IF('전기원장'!A86="","",'전기원장'!C86)</x:f>
      </x:c>
      <x:c r="E86" s="73" t="str">
        <x:f>IF('전기원장'!A86="","",'전기원장'!D86)</x:f>
      </x:c>
      <x:c r="F86" s="73" t="str">
        <x:f>IF('전기원장'!A86="","",'전기원장'!E86)</x:f>
      </x:c>
      <x:c r="G86" s="75" t="str">
        <x:f>IF('전기원장'!A86="","",'전기원장'!H86)</x:f>
      </x:c>
      <x:c r="H86" s="73" t="str">
        <x:f>IF('전기원장'!A86="","",'전기원장'!I86)</x:f>
      </x:c>
      <x:c r="I86" s="73" t="str">
        <x:f>IF('전기원장'!A86="","",'전기원장'!J86)</x:f>
      </x:c>
      <x:c r="J86" s="73" t="str">
        <x:f>IF('전기원장'!A86="","",'전기원장'!K86)</x:f>
      </x:c>
      <x:c r="K86" s="73" t="str">
        <x:f>IF(B86="","",IF(COUNTIF($B$5:B86,B86)=1,COUNT($K$4:K85)+1,""))</x:f>
      </x:c>
      <x:c r="L86" s="85" t="str">
        <x:f>IF(B86="","",IF(COUNTIFS('계정비교'!$A$5:$A$1004,B86,'계정비교'!$H$5:$H$1004,"원인분석 대상")&gt;0,COUNT($L$4:L85)+1,""))</x:f>
      </x:c>
    </x:row>
    <x:row r="87">
      <x:c r="A87" s="73" t="str">
        <x:f>IF('전기원장'!A87="","","전기")</x:f>
      </x:c>
      <x:c r="B87" s="73" t="str">
        <x:f>IF('전기원장'!A87="","",'전기원장'!A87)</x:f>
      </x:c>
      <x:c r="C87" s="73" t="str">
        <x:f>IF('전기원장'!A87="","",'전기원장'!B87)</x:f>
      </x:c>
      <x:c r="D87" s="74" t="str">
        <x:f>IF('전기원장'!A87="","",'전기원장'!C87)</x:f>
      </x:c>
      <x:c r="E87" s="73" t="str">
        <x:f>IF('전기원장'!A87="","",'전기원장'!D87)</x:f>
      </x:c>
      <x:c r="F87" s="73" t="str">
        <x:f>IF('전기원장'!A87="","",'전기원장'!E87)</x:f>
      </x:c>
      <x:c r="G87" s="75" t="str">
        <x:f>IF('전기원장'!A87="","",'전기원장'!H87)</x:f>
      </x:c>
      <x:c r="H87" s="73" t="str">
        <x:f>IF('전기원장'!A87="","",'전기원장'!I87)</x:f>
      </x:c>
      <x:c r="I87" s="73" t="str">
        <x:f>IF('전기원장'!A87="","",'전기원장'!J87)</x:f>
      </x:c>
      <x:c r="J87" s="73" t="str">
        <x:f>IF('전기원장'!A87="","",'전기원장'!K87)</x:f>
      </x:c>
      <x:c r="K87" s="73" t="str">
        <x:f>IF(B87="","",IF(COUNTIF($B$5:B87,B87)=1,COUNT($K$4:K86)+1,""))</x:f>
      </x:c>
      <x:c r="L87" s="85" t="str">
        <x:f>IF(B87="","",IF(COUNTIFS('계정비교'!$A$5:$A$1004,B87,'계정비교'!$H$5:$H$1004,"원인분석 대상")&gt;0,COUNT($L$4:L86)+1,""))</x:f>
      </x:c>
    </x:row>
    <x:row r="88">
      <x:c r="A88" s="73" t="str">
        <x:f>IF('전기원장'!A88="","","전기")</x:f>
      </x:c>
      <x:c r="B88" s="73" t="str">
        <x:f>IF('전기원장'!A88="","",'전기원장'!A88)</x:f>
      </x:c>
      <x:c r="C88" s="73" t="str">
        <x:f>IF('전기원장'!A88="","",'전기원장'!B88)</x:f>
      </x:c>
      <x:c r="D88" s="74" t="str">
        <x:f>IF('전기원장'!A88="","",'전기원장'!C88)</x:f>
      </x:c>
      <x:c r="E88" s="73" t="str">
        <x:f>IF('전기원장'!A88="","",'전기원장'!D88)</x:f>
      </x:c>
      <x:c r="F88" s="73" t="str">
        <x:f>IF('전기원장'!A88="","",'전기원장'!E88)</x:f>
      </x:c>
      <x:c r="G88" s="75" t="str">
        <x:f>IF('전기원장'!A88="","",'전기원장'!H88)</x:f>
      </x:c>
      <x:c r="H88" s="73" t="str">
        <x:f>IF('전기원장'!A88="","",'전기원장'!I88)</x:f>
      </x:c>
      <x:c r="I88" s="73" t="str">
        <x:f>IF('전기원장'!A88="","",'전기원장'!J88)</x:f>
      </x:c>
      <x:c r="J88" s="73" t="str">
        <x:f>IF('전기원장'!A88="","",'전기원장'!K88)</x:f>
      </x:c>
      <x:c r="K88" s="73" t="str">
        <x:f>IF(B88="","",IF(COUNTIF($B$5:B88,B88)=1,COUNT($K$4:K87)+1,""))</x:f>
      </x:c>
      <x:c r="L88" s="85" t="str">
        <x:f>IF(B88="","",IF(COUNTIFS('계정비교'!$A$5:$A$1004,B88,'계정비교'!$H$5:$H$1004,"원인분석 대상")&gt;0,COUNT($L$4:L87)+1,""))</x:f>
      </x:c>
    </x:row>
    <x:row r="89">
      <x:c r="A89" s="73" t="str">
        <x:f>IF('전기원장'!A89="","","전기")</x:f>
      </x:c>
      <x:c r="B89" s="73" t="str">
        <x:f>IF('전기원장'!A89="","",'전기원장'!A89)</x:f>
      </x:c>
      <x:c r="C89" s="73" t="str">
        <x:f>IF('전기원장'!A89="","",'전기원장'!B89)</x:f>
      </x:c>
      <x:c r="D89" s="74" t="str">
        <x:f>IF('전기원장'!A89="","",'전기원장'!C89)</x:f>
      </x:c>
      <x:c r="E89" s="73" t="str">
        <x:f>IF('전기원장'!A89="","",'전기원장'!D89)</x:f>
      </x:c>
      <x:c r="F89" s="73" t="str">
        <x:f>IF('전기원장'!A89="","",'전기원장'!E89)</x:f>
      </x:c>
      <x:c r="G89" s="75" t="str">
        <x:f>IF('전기원장'!A89="","",'전기원장'!H89)</x:f>
      </x:c>
      <x:c r="H89" s="73" t="str">
        <x:f>IF('전기원장'!A89="","",'전기원장'!I89)</x:f>
      </x:c>
      <x:c r="I89" s="73" t="str">
        <x:f>IF('전기원장'!A89="","",'전기원장'!J89)</x:f>
      </x:c>
      <x:c r="J89" s="73" t="str">
        <x:f>IF('전기원장'!A89="","",'전기원장'!K89)</x:f>
      </x:c>
      <x:c r="K89" s="73" t="str">
        <x:f>IF(B89="","",IF(COUNTIF($B$5:B89,B89)=1,COUNT($K$4:K88)+1,""))</x:f>
      </x:c>
      <x:c r="L89" s="85" t="str">
        <x:f>IF(B89="","",IF(COUNTIFS('계정비교'!$A$5:$A$1004,B89,'계정비교'!$H$5:$H$1004,"원인분석 대상")&gt;0,COUNT($L$4:L88)+1,""))</x:f>
      </x:c>
    </x:row>
    <x:row r="90">
      <x:c r="A90" s="73" t="str">
        <x:f>IF('전기원장'!A90="","","전기")</x:f>
      </x:c>
      <x:c r="B90" s="73" t="str">
        <x:f>IF('전기원장'!A90="","",'전기원장'!A90)</x:f>
      </x:c>
      <x:c r="C90" s="73" t="str">
        <x:f>IF('전기원장'!A90="","",'전기원장'!B90)</x:f>
      </x:c>
      <x:c r="D90" s="74" t="str">
        <x:f>IF('전기원장'!A90="","",'전기원장'!C90)</x:f>
      </x:c>
      <x:c r="E90" s="73" t="str">
        <x:f>IF('전기원장'!A90="","",'전기원장'!D90)</x:f>
      </x:c>
      <x:c r="F90" s="73" t="str">
        <x:f>IF('전기원장'!A90="","",'전기원장'!E90)</x:f>
      </x:c>
      <x:c r="G90" s="75" t="str">
        <x:f>IF('전기원장'!A90="","",'전기원장'!H90)</x:f>
      </x:c>
      <x:c r="H90" s="73" t="str">
        <x:f>IF('전기원장'!A90="","",'전기원장'!I90)</x:f>
      </x:c>
      <x:c r="I90" s="73" t="str">
        <x:f>IF('전기원장'!A90="","",'전기원장'!J90)</x:f>
      </x:c>
      <x:c r="J90" s="73" t="str">
        <x:f>IF('전기원장'!A90="","",'전기원장'!K90)</x:f>
      </x:c>
      <x:c r="K90" s="73" t="str">
        <x:f>IF(B90="","",IF(COUNTIF($B$5:B90,B90)=1,COUNT($K$4:K89)+1,""))</x:f>
      </x:c>
      <x:c r="L90" s="85" t="str">
        <x:f>IF(B90="","",IF(COUNTIFS('계정비교'!$A$5:$A$1004,B90,'계정비교'!$H$5:$H$1004,"원인분석 대상")&gt;0,COUNT($L$4:L89)+1,""))</x:f>
      </x:c>
    </x:row>
    <x:row r="91">
      <x:c r="A91" s="73" t="str">
        <x:f>IF('전기원장'!A91="","","전기")</x:f>
      </x:c>
      <x:c r="B91" s="73" t="str">
        <x:f>IF('전기원장'!A91="","",'전기원장'!A91)</x:f>
      </x:c>
      <x:c r="C91" s="73" t="str">
        <x:f>IF('전기원장'!A91="","",'전기원장'!B91)</x:f>
      </x:c>
      <x:c r="D91" s="74" t="str">
        <x:f>IF('전기원장'!A91="","",'전기원장'!C91)</x:f>
      </x:c>
      <x:c r="E91" s="73" t="str">
        <x:f>IF('전기원장'!A91="","",'전기원장'!D91)</x:f>
      </x:c>
      <x:c r="F91" s="73" t="str">
        <x:f>IF('전기원장'!A91="","",'전기원장'!E91)</x:f>
      </x:c>
      <x:c r="G91" s="75" t="str">
        <x:f>IF('전기원장'!A91="","",'전기원장'!H91)</x:f>
      </x:c>
      <x:c r="H91" s="73" t="str">
        <x:f>IF('전기원장'!A91="","",'전기원장'!I91)</x:f>
      </x:c>
      <x:c r="I91" s="73" t="str">
        <x:f>IF('전기원장'!A91="","",'전기원장'!J91)</x:f>
      </x:c>
      <x:c r="J91" s="73" t="str">
        <x:f>IF('전기원장'!A91="","",'전기원장'!K91)</x:f>
      </x:c>
      <x:c r="K91" s="73" t="str">
        <x:f>IF(B91="","",IF(COUNTIF($B$5:B91,B91)=1,COUNT($K$4:K90)+1,""))</x:f>
      </x:c>
      <x:c r="L91" s="85" t="str">
        <x:f>IF(B91="","",IF(COUNTIFS('계정비교'!$A$5:$A$1004,B91,'계정비교'!$H$5:$H$1004,"원인분석 대상")&gt;0,COUNT($L$4:L90)+1,""))</x:f>
      </x:c>
    </x:row>
    <x:row r="92">
      <x:c r="A92" s="73" t="str">
        <x:f>IF('전기원장'!A92="","","전기")</x:f>
      </x:c>
      <x:c r="B92" s="73" t="str">
        <x:f>IF('전기원장'!A92="","",'전기원장'!A92)</x:f>
      </x:c>
      <x:c r="C92" s="73" t="str">
        <x:f>IF('전기원장'!A92="","",'전기원장'!B92)</x:f>
      </x:c>
      <x:c r="D92" s="74" t="str">
        <x:f>IF('전기원장'!A92="","",'전기원장'!C92)</x:f>
      </x:c>
      <x:c r="E92" s="73" t="str">
        <x:f>IF('전기원장'!A92="","",'전기원장'!D92)</x:f>
      </x:c>
      <x:c r="F92" s="73" t="str">
        <x:f>IF('전기원장'!A92="","",'전기원장'!E92)</x:f>
      </x:c>
      <x:c r="G92" s="75" t="str">
        <x:f>IF('전기원장'!A92="","",'전기원장'!H92)</x:f>
      </x:c>
      <x:c r="H92" s="73" t="str">
        <x:f>IF('전기원장'!A92="","",'전기원장'!I92)</x:f>
      </x:c>
      <x:c r="I92" s="73" t="str">
        <x:f>IF('전기원장'!A92="","",'전기원장'!J92)</x:f>
      </x:c>
      <x:c r="J92" s="73" t="str">
        <x:f>IF('전기원장'!A92="","",'전기원장'!K92)</x:f>
      </x:c>
      <x:c r="K92" s="73" t="str">
        <x:f>IF(B92="","",IF(COUNTIF($B$5:B92,B92)=1,COUNT($K$4:K91)+1,""))</x:f>
      </x:c>
      <x:c r="L92" s="85" t="str">
        <x:f>IF(B92="","",IF(COUNTIFS('계정비교'!$A$5:$A$1004,B92,'계정비교'!$H$5:$H$1004,"원인분석 대상")&gt;0,COUNT($L$4:L91)+1,""))</x:f>
      </x:c>
    </x:row>
    <x:row r="93">
      <x:c r="A93" s="73" t="str">
        <x:f>IF('전기원장'!A93="","","전기")</x:f>
      </x:c>
      <x:c r="B93" s="73" t="str">
        <x:f>IF('전기원장'!A93="","",'전기원장'!A93)</x:f>
      </x:c>
      <x:c r="C93" s="73" t="str">
        <x:f>IF('전기원장'!A93="","",'전기원장'!B93)</x:f>
      </x:c>
      <x:c r="D93" s="74" t="str">
        <x:f>IF('전기원장'!A93="","",'전기원장'!C93)</x:f>
      </x:c>
      <x:c r="E93" s="73" t="str">
        <x:f>IF('전기원장'!A93="","",'전기원장'!D93)</x:f>
      </x:c>
      <x:c r="F93" s="73" t="str">
        <x:f>IF('전기원장'!A93="","",'전기원장'!E93)</x:f>
      </x:c>
      <x:c r="G93" s="75" t="str">
        <x:f>IF('전기원장'!A93="","",'전기원장'!H93)</x:f>
      </x:c>
      <x:c r="H93" s="73" t="str">
        <x:f>IF('전기원장'!A93="","",'전기원장'!I93)</x:f>
      </x:c>
      <x:c r="I93" s="73" t="str">
        <x:f>IF('전기원장'!A93="","",'전기원장'!J93)</x:f>
      </x:c>
      <x:c r="J93" s="73" t="str">
        <x:f>IF('전기원장'!A93="","",'전기원장'!K93)</x:f>
      </x:c>
      <x:c r="K93" s="73" t="str">
        <x:f>IF(B93="","",IF(COUNTIF($B$5:B93,B93)=1,COUNT($K$4:K92)+1,""))</x:f>
      </x:c>
      <x:c r="L93" s="85" t="str">
        <x:f>IF(B93="","",IF(COUNTIFS('계정비교'!$A$5:$A$1004,B93,'계정비교'!$H$5:$H$1004,"원인분석 대상")&gt;0,COUNT($L$4:L92)+1,""))</x:f>
      </x:c>
    </x:row>
    <x:row r="94">
      <x:c r="A94" s="73" t="str">
        <x:f>IF('전기원장'!A94="","","전기")</x:f>
      </x:c>
      <x:c r="B94" s="73" t="str">
        <x:f>IF('전기원장'!A94="","",'전기원장'!A94)</x:f>
      </x:c>
      <x:c r="C94" s="73" t="str">
        <x:f>IF('전기원장'!A94="","",'전기원장'!B94)</x:f>
      </x:c>
      <x:c r="D94" s="74" t="str">
        <x:f>IF('전기원장'!A94="","",'전기원장'!C94)</x:f>
      </x:c>
      <x:c r="E94" s="73" t="str">
        <x:f>IF('전기원장'!A94="","",'전기원장'!D94)</x:f>
      </x:c>
      <x:c r="F94" s="73" t="str">
        <x:f>IF('전기원장'!A94="","",'전기원장'!E94)</x:f>
      </x:c>
      <x:c r="G94" s="75" t="str">
        <x:f>IF('전기원장'!A94="","",'전기원장'!H94)</x:f>
      </x:c>
      <x:c r="H94" s="73" t="str">
        <x:f>IF('전기원장'!A94="","",'전기원장'!I94)</x:f>
      </x:c>
      <x:c r="I94" s="73" t="str">
        <x:f>IF('전기원장'!A94="","",'전기원장'!J94)</x:f>
      </x:c>
      <x:c r="J94" s="73" t="str">
        <x:f>IF('전기원장'!A94="","",'전기원장'!K94)</x:f>
      </x:c>
      <x:c r="K94" s="73" t="str">
        <x:f>IF(B94="","",IF(COUNTIF($B$5:B94,B94)=1,COUNT($K$4:K93)+1,""))</x:f>
      </x:c>
      <x:c r="L94" s="85" t="str">
        <x:f>IF(B94="","",IF(COUNTIFS('계정비교'!$A$5:$A$1004,B94,'계정비교'!$H$5:$H$1004,"원인분석 대상")&gt;0,COUNT($L$4:L93)+1,""))</x:f>
      </x:c>
    </x:row>
    <x:row r="95">
      <x:c r="A95" s="73" t="str">
        <x:f>IF('전기원장'!A95="","","전기")</x:f>
      </x:c>
      <x:c r="B95" s="73" t="str">
        <x:f>IF('전기원장'!A95="","",'전기원장'!A95)</x:f>
      </x:c>
      <x:c r="C95" s="73" t="str">
        <x:f>IF('전기원장'!A95="","",'전기원장'!B95)</x:f>
      </x:c>
      <x:c r="D95" s="74" t="str">
        <x:f>IF('전기원장'!A95="","",'전기원장'!C95)</x:f>
      </x:c>
      <x:c r="E95" s="73" t="str">
        <x:f>IF('전기원장'!A95="","",'전기원장'!D95)</x:f>
      </x:c>
      <x:c r="F95" s="73" t="str">
        <x:f>IF('전기원장'!A95="","",'전기원장'!E95)</x:f>
      </x:c>
      <x:c r="G95" s="75" t="str">
        <x:f>IF('전기원장'!A95="","",'전기원장'!H95)</x:f>
      </x:c>
      <x:c r="H95" s="73" t="str">
        <x:f>IF('전기원장'!A95="","",'전기원장'!I95)</x:f>
      </x:c>
      <x:c r="I95" s="73" t="str">
        <x:f>IF('전기원장'!A95="","",'전기원장'!J95)</x:f>
      </x:c>
      <x:c r="J95" s="73" t="str">
        <x:f>IF('전기원장'!A95="","",'전기원장'!K95)</x:f>
      </x:c>
      <x:c r="K95" s="73" t="str">
        <x:f>IF(B95="","",IF(COUNTIF($B$5:B95,B95)=1,COUNT($K$4:K94)+1,""))</x:f>
      </x:c>
      <x:c r="L95" s="85" t="str">
        <x:f>IF(B95="","",IF(COUNTIFS('계정비교'!$A$5:$A$1004,B95,'계정비교'!$H$5:$H$1004,"원인분석 대상")&gt;0,COUNT($L$4:L94)+1,""))</x:f>
      </x:c>
    </x:row>
    <x:row r="96">
      <x:c r="A96" s="73" t="str">
        <x:f>IF('전기원장'!A96="","","전기")</x:f>
      </x:c>
      <x:c r="B96" s="73" t="str">
        <x:f>IF('전기원장'!A96="","",'전기원장'!A96)</x:f>
      </x:c>
      <x:c r="C96" s="73" t="str">
        <x:f>IF('전기원장'!A96="","",'전기원장'!B96)</x:f>
      </x:c>
      <x:c r="D96" s="74" t="str">
        <x:f>IF('전기원장'!A96="","",'전기원장'!C96)</x:f>
      </x:c>
      <x:c r="E96" s="73" t="str">
        <x:f>IF('전기원장'!A96="","",'전기원장'!D96)</x:f>
      </x:c>
      <x:c r="F96" s="73" t="str">
        <x:f>IF('전기원장'!A96="","",'전기원장'!E96)</x:f>
      </x:c>
      <x:c r="G96" s="75" t="str">
        <x:f>IF('전기원장'!A96="","",'전기원장'!H96)</x:f>
      </x:c>
      <x:c r="H96" s="73" t="str">
        <x:f>IF('전기원장'!A96="","",'전기원장'!I96)</x:f>
      </x:c>
      <x:c r="I96" s="73" t="str">
        <x:f>IF('전기원장'!A96="","",'전기원장'!J96)</x:f>
      </x:c>
      <x:c r="J96" s="73" t="str">
        <x:f>IF('전기원장'!A96="","",'전기원장'!K96)</x:f>
      </x:c>
      <x:c r="K96" s="73" t="str">
        <x:f>IF(B96="","",IF(COUNTIF($B$5:B96,B96)=1,COUNT($K$4:K95)+1,""))</x:f>
      </x:c>
      <x:c r="L96" s="85" t="str">
        <x:f>IF(B96="","",IF(COUNTIFS('계정비교'!$A$5:$A$1004,B96,'계정비교'!$H$5:$H$1004,"원인분석 대상")&gt;0,COUNT($L$4:L95)+1,""))</x:f>
      </x:c>
    </x:row>
    <x:row r="97">
      <x:c r="A97" s="73" t="str">
        <x:f>IF('전기원장'!A97="","","전기")</x:f>
      </x:c>
      <x:c r="B97" s="73" t="str">
        <x:f>IF('전기원장'!A97="","",'전기원장'!A97)</x:f>
      </x:c>
      <x:c r="C97" s="73" t="str">
        <x:f>IF('전기원장'!A97="","",'전기원장'!B97)</x:f>
      </x:c>
      <x:c r="D97" s="74" t="str">
        <x:f>IF('전기원장'!A97="","",'전기원장'!C97)</x:f>
      </x:c>
      <x:c r="E97" s="73" t="str">
        <x:f>IF('전기원장'!A97="","",'전기원장'!D97)</x:f>
      </x:c>
      <x:c r="F97" s="73" t="str">
        <x:f>IF('전기원장'!A97="","",'전기원장'!E97)</x:f>
      </x:c>
      <x:c r="G97" s="75" t="str">
        <x:f>IF('전기원장'!A97="","",'전기원장'!H97)</x:f>
      </x:c>
      <x:c r="H97" s="73" t="str">
        <x:f>IF('전기원장'!A97="","",'전기원장'!I97)</x:f>
      </x:c>
      <x:c r="I97" s="73" t="str">
        <x:f>IF('전기원장'!A97="","",'전기원장'!J97)</x:f>
      </x:c>
      <x:c r="J97" s="73" t="str">
        <x:f>IF('전기원장'!A97="","",'전기원장'!K97)</x:f>
      </x:c>
      <x:c r="K97" s="73" t="str">
        <x:f>IF(B97="","",IF(COUNTIF($B$5:B97,B97)=1,COUNT($K$4:K96)+1,""))</x:f>
      </x:c>
      <x:c r="L97" s="85" t="str">
        <x:f>IF(B97="","",IF(COUNTIFS('계정비교'!$A$5:$A$1004,B97,'계정비교'!$H$5:$H$1004,"원인분석 대상")&gt;0,COUNT($L$4:L96)+1,""))</x:f>
      </x:c>
    </x:row>
    <x:row r="98">
      <x:c r="A98" s="73" t="str">
        <x:f>IF('전기원장'!A98="","","전기")</x:f>
      </x:c>
      <x:c r="B98" s="73" t="str">
        <x:f>IF('전기원장'!A98="","",'전기원장'!A98)</x:f>
      </x:c>
      <x:c r="C98" s="73" t="str">
        <x:f>IF('전기원장'!A98="","",'전기원장'!B98)</x:f>
      </x:c>
      <x:c r="D98" s="74" t="str">
        <x:f>IF('전기원장'!A98="","",'전기원장'!C98)</x:f>
      </x:c>
      <x:c r="E98" s="73" t="str">
        <x:f>IF('전기원장'!A98="","",'전기원장'!D98)</x:f>
      </x:c>
      <x:c r="F98" s="73" t="str">
        <x:f>IF('전기원장'!A98="","",'전기원장'!E98)</x:f>
      </x:c>
      <x:c r="G98" s="75" t="str">
        <x:f>IF('전기원장'!A98="","",'전기원장'!H98)</x:f>
      </x:c>
      <x:c r="H98" s="73" t="str">
        <x:f>IF('전기원장'!A98="","",'전기원장'!I98)</x:f>
      </x:c>
      <x:c r="I98" s="73" t="str">
        <x:f>IF('전기원장'!A98="","",'전기원장'!J98)</x:f>
      </x:c>
      <x:c r="J98" s="73" t="str">
        <x:f>IF('전기원장'!A98="","",'전기원장'!K98)</x:f>
      </x:c>
      <x:c r="K98" s="73" t="str">
        <x:f>IF(B98="","",IF(COUNTIF($B$5:B98,B98)=1,COUNT($K$4:K97)+1,""))</x:f>
      </x:c>
      <x:c r="L98" s="85" t="str">
        <x:f>IF(B98="","",IF(COUNTIFS('계정비교'!$A$5:$A$1004,B98,'계정비교'!$H$5:$H$1004,"원인분석 대상")&gt;0,COUNT($L$4:L97)+1,""))</x:f>
      </x:c>
    </x:row>
    <x:row r="99">
      <x:c r="A99" s="73" t="str">
        <x:f>IF('전기원장'!A99="","","전기")</x:f>
      </x:c>
      <x:c r="B99" s="73" t="str">
        <x:f>IF('전기원장'!A99="","",'전기원장'!A99)</x:f>
      </x:c>
      <x:c r="C99" s="73" t="str">
        <x:f>IF('전기원장'!A99="","",'전기원장'!B99)</x:f>
      </x:c>
      <x:c r="D99" s="74" t="str">
        <x:f>IF('전기원장'!A99="","",'전기원장'!C99)</x:f>
      </x:c>
      <x:c r="E99" s="73" t="str">
        <x:f>IF('전기원장'!A99="","",'전기원장'!D99)</x:f>
      </x:c>
      <x:c r="F99" s="73" t="str">
        <x:f>IF('전기원장'!A99="","",'전기원장'!E99)</x:f>
      </x:c>
      <x:c r="G99" s="75" t="str">
        <x:f>IF('전기원장'!A99="","",'전기원장'!H99)</x:f>
      </x:c>
      <x:c r="H99" s="73" t="str">
        <x:f>IF('전기원장'!A99="","",'전기원장'!I99)</x:f>
      </x:c>
      <x:c r="I99" s="73" t="str">
        <x:f>IF('전기원장'!A99="","",'전기원장'!J99)</x:f>
      </x:c>
      <x:c r="J99" s="73" t="str">
        <x:f>IF('전기원장'!A99="","",'전기원장'!K99)</x:f>
      </x:c>
      <x:c r="K99" s="73" t="str">
        <x:f>IF(B99="","",IF(COUNTIF($B$5:B99,B99)=1,COUNT($K$4:K98)+1,""))</x:f>
      </x:c>
      <x:c r="L99" s="85" t="str">
        <x:f>IF(B99="","",IF(COUNTIFS('계정비교'!$A$5:$A$1004,B99,'계정비교'!$H$5:$H$1004,"원인분석 대상")&gt;0,COUNT($L$4:L98)+1,""))</x:f>
      </x:c>
    </x:row>
    <x:row r="100">
      <x:c r="A100" s="73" t="str">
        <x:f>IF('전기원장'!A100="","","전기")</x:f>
      </x:c>
      <x:c r="B100" s="73" t="str">
        <x:f>IF('전기원장'!A100="","",'전기원장'!A100)</x:f>
      </x:c>
      <x:c r="C100" s="73" t="str">
        <x:f>IF('전기원장'!A100="","",'전기원장'!B100)</x:f>
      </x:c>
      <x:c r="D100" s="74" t="str">
        <x:f>IF('전기원장'!A100="","",'전기원장'!C100)</x:f>
      </x:c>
      <x:c r="E100" s="73" t="str">
        <x:f>IF('전기원장'!A100="","",'전기원장'!D100)</x:f>
      </x:c>
      <x:c r="F100" s="73" t="str">
        <x:f>IF('전기원장'!A100="","",'전기원장'!E100)</x:f>
      </x:c>
      <x:c r="G100" s="75" t="str">
        <x:f>IF('전기원장'!A100="","",'전기원장'!H100)</x:f>
      </x:c>
      <x:c r="H100" s="73" t="str">
        <x:f>IF('전기원장'!A100="","",'전기원장'!I100)</x:f>
      </x:c>
      <x:c r="I100" s="73" t="str">
        <x:f>IF('전기원장'!A100="","",'전기원장'!J100)</x:f>
      </x:c>
      <x:c r="J100" s="73" t="str">
        <x:f>IF('전기원장'!A100="","",'전기원장'!K100)</x:f>
      </x:c>
      <x:c r="K100" s="73" t="str">
        <x:f>IF(B100="","",IF(COUNTIF($B$5:B100,B100)=1,COUNT($K$4:K99)+1,""))</x:f>
      </x:c>
      <x:c r="L100" s="85" t="str">
        <x:f>IF(B100="","",IF(COUNTIFS('계정비교'!$A$5:$A$1004,B100,'계정비교'!$H$5:$H$1004,"원인분석 대상")&gt;0,COUNT($L$4:L99)+1,""))</x:f>
      </x:c>
    </x:row>
    <x:row r="101">
      <x:c r="A101" s="73" t="str">
        <x:f>IF('전기원장'!A101="","","전기")</x:f>
      </x:c>
      <x:c r="B101" s="73" t="str">
        <x:f>IF('전기원장'!A101="","",'전기원장'!A101)</x:f>
      </x:c>
      <x:c r="C101" s="73" t="str">
        <x:f>IF('전기원장'!A101="","",'전기원장'!B101)</x:f>
      </x:c>
      <x:c r="D101" s="74" t="str">
        <x:f>IF('전기원장'!A101="","",'전기원장'!C101)</x:f>
      </x:c>
      <x:c r="E101" s="73" t="str">
        <x:f>IF('전기원장'!A101="","",'전기원장'!D101)</x:f>
      </x:c>
      <x:c r="F101" s="73" t="str">
        <x:f>IF('전기원장'!A101="","",'전기원장'!E101)</x:f>
      </x:c>
      <x:c r="G101" s="75" t="str">
        <x:f>IF('전기원장'!A101="","",'전기원장'!H101)</x:f>
      </x:c>
      <x:c r="H101" s="73" t="str">
        <x:f>IF('전기원장'!A101="","",'전기원장'!I101)</x:f>
      </x:c>
      <x:c r="I101" s="73" t="str">
        <x:f>IF('전기원장'!A101="","",'전기원장'!J101)</x:f>
      </x:c>
      <x:c r="J101" s="73" t="str">
        <x:f>IF('전기원장'!A101="","",'전기원장'!K101)</x:f>
      </x:c>
      <x:c r="K101" s="73" t="str">
        <x:f>IF(B101="","",IF(COUNTIF($B$5:B101,B101)=1,COUNT($K$4:K100)+1,""))</x:f>
      </x:c>
      <x:c r="L101" s="85" t="str">
        <x:f>IF(B101="","",IF(COUNTIFS('계정비교'!$A$5:$A$1004,B101,'계정비교'!$H$5:$H$1004,"원인분석 대상")&gt;0,COUNT($L$4:L100)+1,""))</x:f>
      </x:c>
    </x:row>
    <x:row r="102">
      <x:c r="A102" s="73" t="str">
        <x:f>IF('전기원장'!A102="","","전기")</x:f>
      </x:c>
      <x:c r="B102" s="73" t="str">
        <x:f>IF('전기원장'!A102="","",'전기원장'!A102)</x:f>
      </x:c>
      <x:c r="C102" s="73" t="str">
        <x:f>IF('전기원장'!A102="","",'전기원장'!B102)</x:f>
      </x:c>
      <x:c r="D102" s="74" t="str">
        <x:f>IF('전기원장'!A102="","",'전기원장'!C102)</x:f>
      </x:c>
      <x:c r="E102" s="73" t="str">
        <x:f>IF('전기원장'!A102="","",'전기원장'!D102)</x:f>
      </x:c>
      <x:c r="F102" s="73" t="str">
        <x:f>IF('전기원장'!A102="","",'전기원장'!E102)</x:f>
      </x:c>
      <x:c r="G102" s="75" t="str">
        <x:f>IF('전기원장'!A102="","",'전기원장'!H102)</x:f>
      </x:c>
      <x:c r="H102" s="73" t="str">
        <x:f>IF('전기원장'!A102="","",'전기원장'!I102)</x:f>
      </x:c>
      <x:c r="I102" s="73" t="str">
        <x:f>IF('전기원장'!A102="","",'전기원장'!J102)</x:f>
      </x:c>
      <x:c r="J102" s="73" t="str">
        <x:f>IF('전기원장'!A102="","",'전기원장'!K102)</x:f>
      </x:c>
      <x:c r="K102" s="73" t="str">
        <x:f>IF(B102="","",IF(COUNTIF($B$5:B102,B102)=1,COUNT($K$4:K101)+1,""))</x:f>
      </x:c>
      <x:c r="L102" s="85" t="str">
        <x:f>IF(B102="","",IF(COUNTIFS('계정비교'!$A$5:$A$1004,B102,'계정비교'!$H$5:$H$1004,"원인분석 대상")&gt;0,COUNT($L$4:L101)+1,""))</x:f>
      </x:c>
    </x:row>
    <x:row r="103">
      <x:c r="A103" s="73" t="str">
        <x:f>IF('전기원장'!A103="","","전기")</x:f>
      </x:c>
      <x:c r="B103" s="73" t="str">
        <x:f>IF('전기원장'!A103="","",'전기원장'!A103)</x:f>
      </x:c>
      <x:c r="C103" s="73" t="str">
        <x:f>IF('전기원장'!A103="","",'전기원장'!B103)</x:f>
      </x:c>
      <x:c r="D103" s="74" t="str">
        <x:f>IF('전기원장'!A103="","",'전기원장'!C103)</x:f>
      </x:c>
      <x:c r="E103" s="73" t="str">
        <x:f>IF('전기원장'!A103="","",'전기원장'!D103)</x:f>
      </x:c>
      <x:c r="F103" s="73" t="str">
        <x:f>IF('전기원장'!A103="","",'전기원장'!E103)</x:f>
      </x:c>
      <x:c r="G103" s="75" t="str">
        <x:f>IF('전기원장'!A103="","",'전기원장'!H103)</x:f>
      </x:c>
      <x:c r="H103" s="73" t="str">
        <x:f>IF('전기원장'!A103="","",'전기원장'!I103)</x:f>
      </x:c>
      <x:c r="I103" s="73" t="str">
        <x:f>IF('전기원장'!A103="","",'전기원장'!J103)</x:f>
      </x:c>
      <x:c r="J103" s="73" t="str">
        <x:f>IF('전기원장'!A103="","",'전기원장'!K103)</x:f>
      </x:c>
      <x:c r="K103" s="73" t="str">
        <x:f>IF(B103="","",IF(COUNTIF($B$5:B103,B103)=1,COUNT($K$4:K102)+1,""))</x:f>
      </x:c>
      <x:c r="L103" s="85" t="str">
        <x:f>IF(B103="","",IF(COUNTIFS('계정비교'!$A$5:$A$1004,B103,'계정비교'!$H$5:$H$1004,"원인분석 대상")&gt;0,COUNT($L$4:L102)+1,""))</x:f>
      </x:c>
    </x:row>
    <x:row r="104">
      <x:c r="A104" s="73" t="str">
        <x:f>IF('전기원장'!A104="","","전기")</x:f>
      </x:c>
      <x:c r="B104" s="73" t="str">
        <x:f>IF('전기원장'!A104="","",'전기원장'!A104)</x:f>
      </x:c>
      <x:c r="C104" s="73" t="str">
        <x:f>IF('전기원장'!A104="","",'전기원장'!B104)</x:f>
      </x:c>
      <x:c r="D104" s="74" t="str">
        <x:f>IF('전기원장'!A104="","",'전기원장'!C104)</x:f>
      </x:c>
      <x:c r="E104" s="73" t="str">
        <x:f>IF('전기원장'!A104="","",'전기원장'!D104)</x:f>
      </x:c>
      <x:c r="F104" s="73" t="str">
        <x:f>IF('전기원장'!A104="","",'전기원장'!E104)</x:f>
      </x:c>
      <x:c r="G104" s="75" t="str">
        <x:f>IF('전기원장'!A104="","",'전기원장'!H104)</x:f>
      </x:c>
      <x:c r="H104" s="73" t="str">
        <x:f>IF('전기원장'!A104="","",'전기원장'!I104)</x:f>
      </x:c>
      <x:c r="I104" s="73" t="str">
        <x:f>IF('전기원장'!A104="","",'전기원장'!J104)</x:f>
      </x:c>
      <x:c r="J104" s="73" t="str">
        <x:f>IF('전기원장'!A104="","",'전기원장'!K104)</x:f>
      </x:c>
      <x:c r="K104" s="73" t="str">
        <x:f>IF(B104="","",IF(COUNTIF($B$5:B104,B104)=1,COUNT($K$4:K103)+1,""))</x:f>
      </x:c>
      <x:c r="L104" s="85" t="str">
        <x:f>IF(B104="","",IF(COUNTIFS('계정비교'!$A$5:$A$1004,B104,'계정비교'!$H$5:$H$1004,"원인분석 대상")&gt;0,COUNT($L$4:L103)+1,""))</x:f>
      </x:c>
    </x:row>
    <x:row r="105">
      <x:c r="A105" s="73" t="str">
        <x:f>IF('전기원장'!A105="","","전기")</x:f>
      </x:c>
      <x:c r="B105" s="73" t="str">
        <x:f>IF('전기원장'!A105="","",'전기원장'!A105)</x:f>
      </x:c>
      <x:c r="C105" s="73" t="str">
        <x:f>IF('전기원장'!A105="","",'전기원장'!B105)</x:f>
      </x:c>
      <x:c r="D105" s="74" t="str">
        <x:f>IF('전기원장'!A105="","",'전기원장'!C105)</x:f>
      </x:c>
      <x:c r="E105" s="73" t="str">
        <x:f>IF('전기원장'!A105="","",'전기원장'!D105)</x:f>
      </x:c>
      <x:c r="F105" s="73" t="str">
        <x:f>IF('전기원장'!A105="","",'전기원장'!E105)</x:f>
      </x:c>
      <x:c r="G105" s="75" t="str">
        <x:f>IF('전기원장'!A105="","",'전기원장'!H105)</x:f>
      </x:c>
      <x:c r="H105" s="73" t="str">
        <x:f>IF('전기원장'!A105="","",'전기원장'!I105)</x:f>
      </x:c>
      <x:c r="I105" s="73" t="str">
        <x:f>IF('전기원장'!A105="","",'전기원장'!J105)</x:f>
      </x:c>
      <x:c r="J105" s="73" t="str">
        <x:f>IF('전기원장'!A105="","",'전기원장'!K105)</x:f>
      </x:c>
      <x:c r="K105" s="73" t="str">
        <x:f>IF(B105="","",IF(COUNTIF($B$5:B105,B105)=1,COUNT($K$4:K104)+1,""))</x:f>
      </x:c>
      <x:c r="L105" s="85" t="str">
        <x:f>IF(B105="","",IF(COUNTIFS('계정비교'!$A$5:$A$1004,B105,'계정비교'!$H$5:$H$1004,"원인분석 대상")&gt;0,COUNT($L$4:L104)+1,""))</x:f>
      </x:c>
    </x:row>
    <x:row r="106">
      <x:c r="A106" s="73" t="str">
        <x:f>IF('전기원장'!A106="","","전기")</x:f>
      </x:c>
      <x:c r="B106" s="73" t="str">
        <x:f>IF('전기원장'!A106="","",'전기원장'!A106)</x:f>
      </x:c>
      <x:c r="C106" s="73" t="str">
        <x:f>IF('전기원장'!A106="","",'전기원장'!B106)</x:f>
      </x:c>
      <x:c r="D106" s="74" t="str">
        <x:f>IF('전기원장'!A106="","",'전기원장'!C106)</x:f>
      </x:c>
      <x:c r="E106" s="73" t="str">
        <x:f>IF('전기원장'!A106="","",'전기원장'!D106)</x:f>
      </x:c>
      <x:c r="F106" s="73" t="str">
        <x:f>IF('전기원장'!A106="","",'전기원장'!E106)</x:f>
      </x:c>
      <x:c r="G106" s="75" t="str">
        <x:f>IF('전기원장'!A106="","",'전기원장'!H106)</x:f>
      </x:c>
      <x:c r="H106" s="73" t="str">
        <x:f>IF('전기원장'!A106="","",'전기원장'!I106)</x:f>
      </x:c>
      <x:c r="I106" s="73" t="str">
        <x:f>IF('전기원장'!A106="","",'전기원장'!J106)</x:f>
      </x:c>
      <x:c r="J106" s="73" t="str">
        <x:f>IF('전기원장'!A106="","",'전기원장'!K106)</x:f>
      </x:c>
      <x:c r="K106" s="73" t="str">
        <x:f>IF(B106="","",IF(COUNTIF($B$5:B106,B106)=1,COUNT($K$4:K105)+1,""))</x:f>
      </x:c>
      <x:c r="L106" s="85" t="str">
        <x:f>IF(B106="","",IF(COUNTIFS('계정비교'!$A$5:$A$1004,B106,'계정비교'!$H$5:$H$1004,"원인분석 대상")&gt;0,COUNT($L$4:L105)+1,""))</x:f>
      </x:c>
    </x:row>
    <x:row r="107">
      <x:c r="A107" s="73" t="str">
        <x:f>IF('전기원장'!A107="","","전기")</x:f>
      </x:c>
      <x:c r="B107" s="73" t="str">
        <x:f>IF('전기원장'!A107="","",'전기원장'!A107)</x:f>
      </x:c>
      <x:c r="C107" s="73" t="str">
        <x:f>IF('전기원장'!A107="","",'전기원장'!B107)</x:f>
      </x:c>
      <x:c r="D107" s="74" t="str">
        <x:f>IF('전기원장'!A107="","",'전기원장'!C107)</x:f>
      </x:c>
      <x:c r="E107" s="73" t="str">
        <x:f>IF('전기원장'!A107="","",'전기원장'!D107)</x:f>
      </x:c>
      <x:c r="F107" s="73" t="str">
        <x:f>IF('전기원장'!A107="","",'전기원장'!E107)</x:f>
      </x:c>
      <x:c r="G107" s="75" t="str">
        <x:f>IF('전기원장'!A107="","",'전기원장'!H107)</x:f>
      </x:c>
      <x:c r="H107" s="73" t="str">
        <x:f>IF('전기원장'!A107="","",'전기원장'!I107)</x:f>
      </x:c>
      <x:c r="I107" s="73" t="str">
        <x:f>IF('전기원장'!A107="","",'전기원장'!J107)</x:f>
      </x:c>
      <x:c r="J107" s="73" t="str">
        <x:f>IF('전기원장'!A107="","",'전기원장'!K107)</x:f>
      </x:c>
      <x:c r="K107" s="73" t="str">
        <x:f>IF(B107="","",IF(COUNTIF($B$5:B107,B107)=1,COUNT($K$4:K106)+1,""))</x:f>
      </x:c>
      <x:c r="L107" s="85" t="str">
        <x:f>IF(B107="","",IF(COUNTIFS('계정비교'!$A$5:$A$1004,B107,'계정비교'!$H$5:$H$1004,"원인분석 대상")&gt;0,COUNT($L$4:L106)+1,""))</x:f>
      </x:c>
    </x:row>
    <x:row r="108">
      <x:c r="A108" s="73" t="str">
        <x:f>IF('전기원장'!A108="","","전기")</x:f>
      </x:c>
      <x:c r="B108" s="73" t="str">
        <x:f>IF('전기원장'!A108="","",'전기원장'!A108)</x:f>
      </x:c>
      <x:c r="C108" s="73" t="str">
        <x:f>IF('전기원장'!A108="","",'전기원장'!B108)</x:f>
      </x:c>
      <x:c r="D108" s="74" t="str">
        <x:f>IF('전기원장'!A108="","",'전기원장'!C108)</x:f>
      </x:c>
      <x:c r="E108" s="73" t="str">
        <x:f>IF('전기원장'!A108="","",'전기원장'!D108)</x:f>
      </x:c>
      <x:c r="F108" s="73" t="str">
        <x:f>IF('전기원장'!A108="","",'전기원장'!E108)</x:f>
      </x:c>
      <x:c r="G108" s="75" t="str">
        <x:f>IF('전기원장'!A108="","",'전기원장'!H108)</x:f>
      </x:c>
      <x:c r="H108" s="73" t="str">
        <x:f>IF('전기원장'!A108="","",'전기원장'!I108)</x:f>
      </x:c>
      <x:c r="I108" s="73" t="str">
        <x:f>IF('전기원장'!A108="","",'전기원장'!J108)</x:f>
      </x:c>
      <x:c r="J108" s="73" t="str">
        <x:f>IF('전기원장'!A108="","",'전기원장'!K108)</x:f>
      </x:c>
      <x:c r="K108" s="73" t="str">
        <x:f>IF(B108="","",IF(COUNTIF($B$5:B108,B108)=1,COUNT($K$4:K107)+1,""))</x:f>
      </x:c>
      <x:c r="L108" s="85" t="str">
        <x:f>IF(B108="","",IF(COUNTIFS('계정비교'!$A$5:$A$1004,B108,'계정비교'!$H$5:$H$1004,"원인분석 대상")&gt;0,COUNT($L$4:L107)+1,""))</x:f>
      </x:c>
    </x:row>
    <x:row r="109">
      <x:c r="A109" s="73" t="str">
        <x:f>IF('전기원장'!A109="","","전기")</x:f>
      </x:c>
      <x:c r="B109" s="73" t="str">
        <x:f>IF('전기원장'!A109="","",'전기원장'!A109)</x:f>
      </x:c>
      <x:c r="C109" s="73" t="str">
        <x:f>IF('전기원장'!A109="","",'전기원장'!B109)</x:f>
      </x:c>
      <x:c r="D109" s="74" t="str">
        <x:f>IF('전기원장'!A109="","",'전기원장'!C109)</x:f>
      </x:c>
      <x:c r="E109" s="73" t="str">
        <x:f>IF('전기원장'!A109="","",'전기원장'!D109)</x:f>
      </x:c>
      <x:c r="F109" s="73" t="str">
        <x:f>IF('전기원장'!A109="","",'전기원장'!E109)</x:f>
      </x:c>
      <x:c r="G109" s="75" t="str">
        <x:f>IF('전기원장'!A109="","",'전기원장'!H109)</x:f>
      </x:c>
      <x:c r="H109" s="73" t="str">
        <x:f>IF('전기원장'!A109="","",'전기원장'!I109)</x:f>
      </x:c>
      <x:c r="I109" s="73" t="str">
        <x:f>IF('전기원장'!A109="","",'전기원장'!J109)</x:f>
      </x:c>
      <x:c r="J109" s="73" t="str">
        <x:f>IF('전기원장'!A109="","",'전기원장'!K109)</x:f>
      </x:c>
      <x:c r="K109" s="73" t="str">
        <x:f>IF(B109="","",IF(COUNTIF($B$5:B109,B109)=1,COUNT($K$4:K108)+1,""))</x:f>
      </x:c>
      <x:c r="L109" s="85" t="str">
        <x:f>IF(B109="","",IF(COUNTIFS('계정비교'!$A$5:$A$1004,B109,'계정비교'!$H$5:$H$1004,"원인분석 대상")&gt;0,COUNT($L$4:L108)+1,""))</x:f>
      </x:c>
    </x:row>
    <x:row r="110">
      <x:c r="A110" s="73" t="str">
        <x:f>IF('전기원장'!A110="","","전기")</x:f>
      </x:c>
      <x:c r="B110" s="73" t="str">
        <x:f>IF('전기원장'!A110="","",'전기원장'!A110)</x:f>
      </x:c>
      <x:c r="C110" s="73" t="str">
        <x:f>IF('전기원장'!A110="","",'전기원장'!B110)</x:f>
      </x:c>
      <x:c r="D110" s="74" t="str">
        <x:f>IF('전기원장'!A110="","",'전기원장'!C110)</x:f>
      </x:c>
      <x:c r="E110" s="73" t="str">
        <x:f>IF('전기원장'!A110="","",'전기원장'!D110)</x:f>
      </x:c>
      <x:c r="F110" s="73" t="str">
        <x:f>IF('전기원장'!A110="","",'전기원장'!E110)</x:f>
      </x:c>
      <x:c r="G110" s="75" t="str">
        <x:f>IF('전기원장'!A110="","",'전기원장'!H110)</x:f>
      </x:c>
      <x:c r="H110" s="73" t="str">
        <x:f>IF('전기원장'!A110="","",'전기원장'!I110)</x:f>
      </x:c>
      <x:c r="I110" s="73" t="str">
        <x:f>IF('전기원장'!A110="","",'전기원장'!J110)</x:f>
      </x:c>
      <x:c r="J110" s="73" t="str">
        <x:f>IF('전기원장'!A110="","",'전기원장'!K110)</x:f>
      </x:c>
      <x:c r="K110" s="73" t="str">
        <x:f>IF(B110="","",IF(COUNTIF($B$5:B110,B110)=1,COUNT($K$4:K109)+1,""))</x:f>
      </x:c>
      <x:c r="L110" s="85" t="str">
        <x:f>IF(B110="","",IF(COUNTIFS('계정비교'!$A$5:$A$1004,B110,'계정비교'!$H$5:$H$1004,"원인분석 대상")&gt;0,COUNT($L$4:L109)+1,""))</x:f>
      </x:c>
    </x:row>
    <x:row r="111">
      <x:c r="A111" s="73" t="str">
        <x:f>IF('전기원장'!A111="","","전기")</x:f>
      </x:c>
      <x:c r="B111" s="73" t="str">
        <x:f>IF('전기원장'!A111="","",'전기원장'!A111)</x:f>
      </x:c>
      <x:c r="C111" s="73" t="str">
        <x:f>IF('전기원장'!A111="","",'전기원장'!B111)</x:f>
      </x:c>
      <x:c r="D111" s="74" t="str">
        <x:f>IF('전기원장'!A111="","",'전기원장'!C111)</x:f>
      </x:c>
      <x:c r="E111" s="73" t="str">
        <x:f>IF('전기원장'!A111="","",'전기원장'!D111)</x:f>
      </x:c>
      <x:c r="F111" s="73" t="str">
        <x:f>IF('전기원장'!A111="","",'전기원장'!E111)</x:f>
      </x:c>
      <x:c r="G111" s="75" t="str">
        <x:f>IF('전기원장'!A111="","",'전기원장'!H111)</x:f>
      </x:c>
      <x:c r="H111" s="73" t="str">
        <x:f>IF('전기원장'!A111="","",'전기원장'!I111)</x:f>
      </x:c>
      <x:c r="I111" s="73" t="str">
        <x:f>IF('전기원장'!A111="","",'전기원장'!J111)</x:f>
      </x:c>
      <x:c r="J111" s="73" t="str">
        <x:f>IF('전기원장'!A111="","",'전기원장'!K111)</x:f>
      </x:c>
      <x:c r="K111" s="73" t="str">
        <x:f>IF(B111="","",IF(COUNTIF($B$5:B111,B111)=1,COUNT($K$4:K110)+1,""))</x:f>
      </x:c>
      <x:c r="L111" s="85" t="str">
        <x:f>IF(B111="","",IF(COUNTIFS('계정비교'!$A$5:$A$1004,B111,'계정비교'!$H$5:$H$1004,"원인분석 대상")&gt;0,COUNT($L$4:L110)+1,""))</x:f>
      </x:c>
    </x:row>
    <x:row r="112">
      <x:c r="A112" s="73" t="str">
        <x:f>IF('전기원장'!A112="","","전기")</x:f>
      </x:c>
      <x:c r="B112" s="73" t="str">
        <x:f>IF('전기원장'!A112="","",'전기원장'!A112)</x:f>
      </x:c>
      <x:c r="C112" s="73" t="str">
        <x:f>IF('전기원장'!A112="","",'전기원장'!B112)</x:f>
      </x:c>
      <x:c r="D112" s="74" t="str">
        <x:f>IF('전기원장'!A112="","",'전기원장'!C112)</x:f>
      </x:c>
      <x:c r="E112" s="73" t="str">
        <x:f>IF('전기원장'!A112="","",'전기원장'!D112)</x:f>
      </x:c>
      <x:c r="F112" s="73" t="str">
        <x:f>IF('전기원장'!A112="","",'전기원장'!E112)</x:f>
      </x:c>
      <x:c r="G112" s="75" t="str">
        <x:f>IF('전기원장'!A112="","",'전기원장'!H112)</x:f>
      </x:c>
      <x:c r="H112" s="73" t="str">
        <x:f>IF('전기원장'!A112="","",'전기원장'!I112)</x:f>
      </x:c>
      <x:c r="I112" s="73" t="str">
        <x:f>IF('전기원장'!A112="","",'전기원장'!J112)</x:f>
      </x:c>
      <x:c r="J112" s="73" t="str">
        <x:f>IF('전기원장'!A112="","",'전기원장'!K112)</x:f>
      </x:c>
      <x:c r="K112" s="73" t="str">
        <x:f>IF(B112="","",IF(COUNTIF($B$5:B112,B112)=1,COUNT($K$4:K111)+1,""))</x:f>
      </x:c>
      <x:c r="L112" s="85" t="str">
        <x:f>IF(B112="","",IF(COUNTIFS('계정비교'!$A$5:$A$1004,B112,'계정비교'!$H$5:$H$1004,"원인분석 대상")&gt;0,COUNT($L$4:L111)+1,""))</x:f>
      </x:c>
    </x:row>
    <x:row r="113">
      <x:c r="A113" s="73" t="str">
        <x:f>IF('전기원장'!A113="","","전기")</x:f>
      </x:c>
      <x:c r="B113" s="73" t="str">
        <x:f>IF('전기원장'!A113="","",'전기원장'!A113)</x:f>
      </x:c>
      <x:c r="C113" s="73" t="str">
        <x:f>IF('전기원장'!A113="","",'전기원장'!B113)</x:f>
      </x:c>
      <x:c r="D113" s="74" t="str">
        <x:f>IF('전기원장'!A113="","",'전기원장'!C113)</x:f>
      </x:c>
      <x:c r="E113" s="73" t="str">
        <x:f>IF('전기원장'!A113="","",'전기원장'!D113)</x:f>
      </x:c>
      <x:c r="F113" s="73" t="str">
        <x:f>IF('전기원장'!A113="","",'전기원장'!E113)</x:f>
      </x:c>
      <x:c r="G113" s="75" t="str">
        <x:f>IF('전기원장'!A113="","",'전기원장'!H113)</x:f>
      </x:c>
      <x:c r="H113" s="73" t="str">
        <x:f>IF('전기원장'!A113="","",'전기원장'!I113)</x:f>
      </x:c>
      <x:c r="I113" s="73" t="str">
        <x:f>IF('전기원장'!A113="","",'전기원장'!J113)</x:f>
      </x:c>
      <x:c r="J113" s="73" t="str">
        <x:f>IF('전기원장'!A113="","",'전기원장'!K113)</x:f>
      </x:c>
      <x:c r="K113" s="73" t="str">
        <x:f>IF(B113="","",IF(COUNTIF($B$5:B113,B113)=1,COUNT($K$4:K112)+1,""))</x:f>
      </x:c>
      <x:c r="L113" s="85" t="str">
        <x:f>IF(B113="","",IF(COUNTIFS('계정비교'!$A$5:$A$1004,B113,'계정비교'!$H$5:$H$1004,"원인분석 대상")&gt;0,COUNT($L$4:L112)+1,""))</x:f>
      </x:c>
    </x:row>
    <x:row r="114">
      <x:c r="A114" s="73" t="str">
        <x:f>IF('전기원장'!A114="","","전기")</x:f>
      </x:c>
      <x:c r="B114" s="73" t="str">
        <x:f>IF('전기원장'!A114="","",'전기원장'!A114)</x:f>
      </x:c>
      <x:c r="C114" s="73" t="str">
        <x:f>IF('전기원장'!A114="","",'전기원장'!B114)</x:f>
      </x:c>
      <x:c r="D114" s="74" t="str">
        <x:f>IF('전기원장'!A114="","",'전기원장'!C114)</x:f>
      </x:c>
      <x:c r="E114" s="73" t="str">
        <x:f>IF('전기원장'!A114="","",'전기원장'!D114)</x:f>
      </x:c>
      <x:c r="F114" s="73" t="str">
        <x:f>IF('전기원장'!A114="","",'전기원장'!E114)</x:f>
      </x:c>
      <x:c r="G114" s="75" t="str">
        <x:f>IF('전기원장'!A114="","",'전기원장'!H114)</x:f>
      </x:c>
      <x:c r="H114" s="73" t="str">
        <x:f>IF('전기원장'!A114="","",'전기원장'!I114)</x:f>
      </x:c>
      <x:c r="I114" s="73" t="str">
        <x:f>IF('전기원장'!A114="","",'전기원장'!J114)</x:f>
      </x:c>
      <x:c r="J114" s="73" t="str">
        <x:f>IF('전기원장'!A114="","",'전기원장'!K114)</x:f>
      </x:c>
      <x:c r="K114" s="73" t="str">
        <x:f>IF(B114="","",IF(COUNTIF($B$5:B114,B114)=1,COUNT($K$4:K113)+1,""))</x:f>
      </x:c>
      <x:c r="L114" s="85" t="str">
        <x:f>IF(B114="","",IF(COUNTIFS('계정비교'!$A$5:$A$1004,B114,'계정비교'!$H$5:$H$1004,"원인분석 대상")&gt;0,COUNT($L$4:L113)+1,""))</x:f>
      </x:c>
    </x:row>
    <x:row r="115">
      <x:c r="A115" s="73" t="str">
        <x:f>IF('전기원장'!A115="","","전기")</x:f>
      </x:c>
      <x:c r="B115" s="73" t="str">
        <x:f>IF('전기원장'!A115="","",'전기원장'!A115)</x:f>
      </x:c>
      <x:c r="C115" s="73" t="str">
        <x:f>IF('전기원장'!A115="","",'전기원장'!B115)</x:f>
      </x:c>
      <x:c r="D115" s="74" t="str">
        <x:f>IF('전기원장'!A115="","",'전기원장'!C115)</x:f>
      </x:c>
      <x:c r="E115" s="73" t="str">
        <x:f>IF('전기원장'!A115="","",'전기원장'!D115)</x:f>
      </x:c>
      <x:c r="F115" s="73" t="str">
        <x:f>IF('전기원장'!A115="","",'전기원장'!E115)</x:f>
      </x:c>
      <x:c r="G115" s="75" t="str">
        <x:f>IF('전기원장'!A115="","",'전기원장'!H115)</x:f>
      </x:c>
      <x:c r="H115" s="73" t="str">
        <x:f>IF('전기원장'!A115="","",'전기원장'!I115)</x:f>
      </x:c>
      <x:c r="I115" s="73" t="str">
        <x:f>IF('전기원장'!A115="","",'전기원장'!J115)</x:f>
      </x:c>
      <x:c r="J115" s="73" t="str">
        <x:f>IF('전기원장'!A115="","",'전기원장'!K115)</x:f>
      </x:c>
      <x:c r="K115" s="73" t="str">
        <x:f>IF(B115="","",IF(COUNTIF($B$5:B115,B115)=1,COUNT($K$4:K114)+1,""))</x:f>
      </x:c>
      <x:c r="L115" s="85" t="str">
        <x:f>IF(B115="","",IF(COUNTIFS('계정비교'!$A$5:$A$1004,B115,'계정비교'!$H$5:$H$1004,"원인분석 대상")&gt;0,COUNT($L$4:L114)+1,""))</x:f>
      </x:c>
    </x:row>
    <x:row r="116">
      <x:c r="A116" s="73" t="str">
        <x:f>IF('전기원장'!A116="","","전기")</x:f>
      </x:c>
      <x:c r="B116" s="73" t="str">
        <x:f>IF('전기원장'!A116="","",'전기원장'!A116)</x:f>
      </x:c>
      <x:c r="C116" s="73" t="str">
        <x:f>IF('전기원장'!A116="","",'전기원장'!B116)</x:f>
      </x:c>
      <x:c r="D116" s="74" t="str">
        <x:f>IF('전기원장'!A116="","",'전기원장'!C116)</x:f>
      </x:c>
      <x:c r="E116" s="73" t="str">
        <x:f>IF('전기원장'!A116="","",'전기원장'!D116)</x:f>
      </x:c>
      <x:c r="F116" s="73" t="str">
        <x:f>IF('전기원장'!A116="","",'전기원장'!E116)</x:f>
      </x:c>
      <x:c r="G116" s="75" t="str">
        <x:f>IF('전기원장'!A116="","",'전기원장'!H116)</x:f>
      </x:c>
      <x:c r="H116" s="73" t="str">
        <x:f>IF('전기원장'!A116="","",'전기원장'!I116)</x:f>
      </x:c>
      <x:c r="I116" s="73" t="str">
        <x:f>IF('전기원장'!A116="","",'전기원장'!J116)</x:f>
      </x:c>
      <x:c r="J116" s="73" t="str">
        <x:f>IF('전기원장'!A116="","",'전기원장'!K116)</x:f>
      </x:c>
      <x:c r="K116" s="73" t="str">
        <x:f>IF(B116="","",IF(COUNTIF($B$5:B116,B116)=1,COUNT($K$4:K115)+1,""))</x:f>
      </x:c>
      <x:c r="L116" s="85" t="str">
        <x:f>IF(B116="","",IF(COUNTIFS('계정비교'!$A$5:$A$1004,B116,'계정비교'!$H$5:$H$1004,"원인분석 대상")&gt;0,COUNT($L$4:L115)+1,""))</x:f>
      </x:c>
    </x:row>
    <x:row r="117">
      <x:c r="A117" s="73" t="str">
        <x:f>IF('전기원장'!A117="","","전기")</x:f>
      </x:c>
      <x:c r="B117" s="73" t="str">
        <x:f>IF('전기원장'!A117="","",'전기원장'!A117)</x:f>
      </x:c>
      <x:c r="C117" s="73" t="str">
        <x:f>IF('전기원장'!A117="","",'전기원장'!B117)</x:f>
      </x:c>
      <x:c r="D117" s="74" t="str">
        <x:f>IF('전기원장'!A117="","",'전기원장'!C117)</x:f>
      </x:c>
      <x:c r="E117" s="73" t="str">
        <x:f>IF('전기원장'!A117="","",'전기원장'!D117)</x:f>
      </x:c>
      <x:c r="F117" s="73" t="str">
        <x:f>IF('전기원장'!A117="","",'전기원장'!E117)</x:f>
      </x:c>
      <x:c r="G117" s="75" t="str">
        <x:f>IF('전기원장'!A117="","",'전기원장'!H117)</x:f>
      </x:c>
      <x:c r="H117" s="73" t="str">
        <x:f>IF('전기원장'!A117="","",'전기원장'!I117)</x:f>
      </x:c>
      <x:c r="I117" s="73" t="str">
        <x:f>IF('전기원장'!A117="","",'전기원장'!J117)</x:f>
      </x:c>
      <x:c r="J117" s="73" t="str">
        <x:f>IF('전기원장'!A117="","",'전기원장'!K117)</x:f>
      </x:c>
      <x:c r="K117" s="73" t="str">
        <x:f>IF(B117="","",IF(COUNTIF($B$5:B117,B117)=1,COUNT($K$4:K116)+1,""))</x:f>
      </x:c>
      <x:c r="L117" s="85" t="str">
        <x:f>IF(B117="","",IF(COUNTIFS('계정비교'!$A$5:$A$1004,B117,'계정비교'!$H$5:$H$1004,"원인분석 대상")&gt;0,COUNT($L$4:L116)+1,""))</x:f>
      </x:c>
    </x:row>
    <x:row r="118">
      <x:c r="A118" s="73" t="str">
        <x:f>IF('전기원장'!A118="","","전기")</x:f>
      </x:c>
      <x:c r="B118" s="73" t="str">
        <x:f>IF('전기원장'!A118="","",'전기원장'!A118)</x:f>
      </x:c>
      <x:c r="C118" s="73" t="str">
        <x:f>IF('전기원장'!A118="","",'전기원장'!B118)</x:f>
      </x:c>
      <x:c r="D118" s="74" t="str">
        <x:f>IF('전기원장'!A118="","",'전기원장'!C118)</x:f>
      </x:c>
      <x:c r="E118" s="73" t="str">
        <x:f>IF('전기원장'!A118="","",'전기원장'!D118)</x:f>
      </x:c>
      <x:c r="F118" s="73" t="str">
        <x:f>IF('전기원장'!A118="","",'전기원장'!E118)</x:f>
      </x:c>
      <x:c r="G118" s="75" t="str">
        <x:f>IF('전기원장'!A118="","",'전기원장'!H118)</x:f>
      </x:c>
      <x:c r="H118" s="73" t="str">
        <x:f>IF('전기원장'!A118="","",'전기원장'!I118)</x:f>
      </x:c>
      <x:c r="I118" s="73" t="str">
        <x:f>IF('전기원장'!A118="","",'전기원장'!J118)</x:f>
      </x:c>
      <x:c r="J118" s="73" t="str">
        <x:f>IF('전기원장'!A118="","",'전기원장'!K118)</x:f>
      </x:c>
      <x:c r="K118" s="73" t="str">
        <x:f>IF(B118="","",IF(COUNTIF($B$5:B118,B118)=1,COUNT($K$4:K117)+1,""))</x:f>
      </x:c>
      <x:c r="L118" s="85" t="str">
        <x:f>IF(B118="","",IF(COUNTIFS('계정비교'!$A$5:$A$1004,B118,'계정비교'!$H$5:$H$1004,"원인분석 대상")&gt;0,COUNT($L$4:L117)+1,""))</x:f>
      </x:c>
    </x:row>
    <x:row r="119">
      <x:c r="A119" s="73" t="str">
        <x:f>IF('전기원장'!A119="","","전기")</x:f>
      </x:c>
      <x:c r="B119" s="73" t="str">
        <x:f>IF('전기원장'!A119="","",'전기원장'!A119)</x:f>
      </x:c>
      <x:c r="C119" s="73" t="str">
        <x:f>IF('전기원장'!A119="","",'전기원장'!B119)</x:f>
      </x:c>
      <x:c r="D119" s="74" t="str">
        <x:f>IF('전기원장'!A119="","",'전기원장'!C119)</x:f>
      </x:c>
      <x:c r="E119" s="73" t="str">
        <x:f>IF('전기원장'!A119="","",'전기원장'!D119)</x:f>
      </x:c>
      <x:c r="F119" s="73" t="str">
        <x:f>IF('전기원장'!A119="","",'전기원장'!E119)</x:f>
      </x:c>
      <x:c r="G119" s="75" t="str">
        <x:f>IF('전기원장'!A119="","",'전기원장'!H119)</x:f>
      </x:c>
      <x:c r="H119" s="73" t="str">
        <x:f>IF('전기원장'!A119="","",'전기원장'!I119)</x:f>
      </x:c>
      <x:c r="I119" s="73" t="str">
        <x:f>IF('전기원장'!A119="","",'전기원장'!J119)</x:f>
      </x:c>
      <x:c r="J119" s="73" t="str">
        <x:f>IF('전기원장'!A119="","",'전기원장'!K119)</x:f>
      </x:c>
      <x:c r="K119" s="73" t="str">
        <x:f>IF(B119="","",IF(COUNTIF($B$5:B119,B119)=1,COUNT($K$4:K118)+1,""))</x:f>
      </x:c>
      <x:c r="L119" s="85" t="str">
        <x:f>IF(B119="","",IF(COUNTIFS('계정비교'!$A$5:$A$1004,B119,'계정비교'!$H$5:$H$1004,"원인분석 대상")&gt;0,COUNT($L$4:L118)+1,""))</x:f>
      </x:c>
    </x:row>
    <x:row r="120">
      <x:c r="A120" s="73" t="str">
        <x:f>IF('전기원장'!A120="","","전기")</x:f>
      </x:c>
      <x:c r="B120" s="73" t="str">
        <x:f>IF('전기원장'!A120="","",'전기원장'!A120)</x:f>
      </x:c>
      <x:c r="C120" s="73" t="str">
        <x:f>IF('전기원장'!A120="","",'전기원장'!B120)</x:f>
      </x:c>
      <x:c r="D120" s="74" t="str">
        <x:f>IF('전기원장'!A120="","",'전기원장'!C120)</x:f>
      </x:c>
      <x:c r="E120" s="73" t="str">
        <x:f>IF('전기원장'!A120="","",'전기원장'!D120)</x:f>
      </x:c>
      <x:c r="F120" s="73" t="str">
        <x:f>IF('전기원장'!A120="","",'전기원장'!E120)</x:f>
      </x:c>
      <x:c r="G120" s="75" t="str">
        <x:f>IF('전기원장'!A120="","",'전기원장'!H120)</x:f>
      </x:c>
      <x:c r="H120" s="73" t="str">
        <x:f>IF('전기원장'!A120="","",'전기원장'!I120)</x:f>
      </x:c>
      <x:c r="I120" s="73" t="str">
        <x:f>IF('전기원장'!A120="","",'전기원장'!J120)</x:f>
      </x:c>
      <x:c r="J120" s="73" t="str">
        <x:f>IF('전기원장'!A120="","",'전기원장'!K120)</x:f>
      </x:c>
      <x:c r="K120" s="73" t="str">
        <x:f>IF(B120="","",IF(COUNTIF($B$5:B120,B120)=1,COUNT($K$4:K119)+1,""))</x:f>
      </x:c>
      <x:c r="L120" s="85" t="str">
        <x:f>IF(B120="","",IF(COUNTIFS('계정비교'!$A$5:$A$1004,B120,'계정비교'!$H$5:$H$1004,"원인분석 대상")&gt;0,COUNT($L$4:L119)+1,""))</x:f>
      </x:c>
    </x:row>
    <x:row r="121">
      <x:c r="A121" s="73" t="str">
        <x:f>IF('전기원장'!A121="","","전기")</x:f>
      </x:c>
      <x:c r="B121" s="73" t="str">
        <x:f>IF('전기원장'!A121="","",'전기원장'!A121)</x:f>
      </x:c>
      <x:c r="C121" s="73" t="str">
        <x:f>IF('전기원장'!A121="","",'전기원장'!B121)</x:f>
      </x:c>
      <x:c r="D121" s="74" t="str">
        <x:f>IF('전기원장'!A121="","",'전기원장'!C121)</x:f>
      </x:c>
      <x:c r="E121" s="73" t="str">
        <x:f>IF('전기원장'!A121="","",'전기원장'!D121)</x:f>
      </x:c>
      <x:c r="F121" s="73" t="str">
        <x:f>IF('전기원장'!A121="","",'전기원장'!E121)</x:f>
      </x:c>
      <x:c r="G121" s="75" t="str">
        <x:f>IF('전기원장'!A121="","",'전기원장'!H121)</x:f>
      </x:c>
      <x:c r="H121" s="73" t="str">
        <x:f>IF('전기원장'!A121="","",'전기원장'!I121)</x:f>
      </x:c>
      <x:c r="I121" s="73" t="str">
        <x:f>IF('전기원장'!A121="","",'전기원장'!J121)</x:f>
      </x:c>
      <x:c r="J121" s="73" t="str">
        <x:f>IF('전기원장'!A121="","",'전기원장'!K121)</x:f>
      </x:c>
      <x:c r="K121" s="73" t="str">
        <x:f>IF(B121="","",IF(COUNTIF($B$5:B121,B121)=1,COUNT($K$4:K120)+1,""))</x:f>
      </x:c>
      <x:c r="L121" s="85" t="str">
        <x:f>IF(B121="","",IF(COUNTIFS('계정비교'!$A$5:$A$1004,B121,'계정비교'!$H$5:$H$1004,"원인분석 대상")&gt;0,COUNT($L$4:L120)+1,""))</x:f>
      </x:c>
    </x:row>
    <x:row r="122">
      <x:c r="A122" s="73" t="str">
        <x:f>IF('전기원장'!A122="","","전기")</x:f>
      </x:c>
      <x:c r="B122" s="73" t="str">
        <x:f>IF('전기원장'!A122="","",'전기원장'!A122)</x:f>
      </x:c>
      <x:c r="C122" s="73" t="str">
        <x:f>IF('전기원장'!A122="","",'전기원장'!B122)</x:f>
      </x:c>
      <x:c r="D122" s="74" t="str">
        <x:f>IF('전기원장'!A122="","",'전기원장'!C122)</x:f>
      </x:c>
      <x:c r="E122" s="73" t="str">
        <x:f>IF('전기원장'!A122="","",'전기원장'!D122)</x:f>
      </x:c>
      <x:c r="F122" s="73" t="str">
        <x:f>IF('전기원장'!A122="","",'전기원장'!E122)</x:f>
      </x:c>
      <x:c r="G122" s="75" t="str">
        <x:f>IF('전기원장'!A122="","",'전기원장'!H122)</x:f>
      </x:c>
      <x:c r="H122" s="73" t="str">
        <x:f>IF('전기원장'!A122="","",'전기원장'!I122)</x:f>
      </x:c>
      <x:c r="I122" s="73" t="str">
        <x:f>IF('전기원장'!A122="","",'전기원장'!J122)</x:f>
      </x:c>
      <x:c r="J122" s="73" t="str">
        <x:f>IF('전기원장'!A122="","",'전기원장'!K122)</x:f>
      </x:c>
      <x:c r="K122" s="73" t="str">
        <x:f>IF(B122="","",IF(COUNTIF($B$5:B122,B122)=1,COUNT($K$4:K121)+1,""))</x:f>
      </x:c>
      <x:c r="L122" s="85" t="str">
        <x:f>IF(B122="","",IF(COUNTIFS('계정비교'!$A$5:$A$1004,B122,'계정비교'!$H$5:$H$1004,"원인분석 대상")&gt;0,COUNT($L$4:L121)+1,""))</x:f>
      </x:c>
    </x:row>
    <x:row r="123">
      <x:c r="A123" s="73" t="str">
        <x:f>IF('전기원장'!A123="","","전기")</x:f>
      </x:c>
      <x:c r="B123" s="73" t="str">
        <x:f>IF('전기원장'!A123="","",'전기원장'!A123)</x:f>
      </x:c>
      <x:c r="C123" s="73" t="str">
        <x:f>IF('전기원장'!A123="","",'전기원장'!B123)</x:f>
      </x:c>
      <x:c r="D123" s="74" t="str">
        <x:f>IF('전기원장'!A123="","",'전기원장'!C123)</x:f>
      </x:c>
      <x:c r="E123" s="73" t="str">
        <x:f>IF('전기원장'!A123="","",'전기원장'!D123)</x:f>
      </x:c>
      <x:c r="F123" s="73" t="str">
        <x:f>IF('전기원장'!A123="","",'전기원장'!E123)</x:f>
      </x:c>
      <x:c r="G123" s="75" t="str">
        <x:f>IF('전기원장'!A123="","",'전기원장'!H123)</x:f>
      </x:c>
      <x:c r="H123" s="73" t="str">
        <x:f>IF('전기원장'!A123="","",'전기원장'!I123)</x:f>
      </x:c>
      <x:c r="I123" s="73" t="str">
        <x:f>IF('전기원장'!A123="","",'전기원장'!J123)</x:f>
      </x:c>
      <x:c r="J123" s="73" t="str">
        <x:f>IF('전기원장'!A123="","",'전기원장'!K123)</x:f>
      </x:c>
      <x:c r="K123" s="73" t="str">
        <x:f>IF(B123="","",IF(COUNTIF($B$5:B123,B123)=1,COUNT($K$4:K122)+1,""))</x:f>
      </x:c>
      <x:c r="L123" s="85" t="str">
        <x:f>IF(B123="","",IF(COUNTIFS('계정비교'!$A$5:$A$1004,B123,'계정비교'!$H$5:$H$1004,"원인분석 대상")&gt;0,COUNT($L$4:L122)+1,""))</x:f>
      </x:c>
    </x:row>
    <x:row r="124">
      <x:c r="A124" s="73" t="str">
        <x:f>IF('전기원장'!A124="","","전기")</x:f>
      </x:c>
      <x:c r="B124" s="73" t="str">
        <x:f>IF('전기원장'!A124="","",'전기원장'!A124)</x:f>
      </x:c>
      <x:c r="C124" s="73" t="str">
        <x:f>IF('전기원장'!A124="","",'전기원장'!B124)</x:f>
      </x:c>
      <x:c r="D124" s="74" t="str">
        <x:f>IF('전기원장'!A124="","",'전기원장'!C124)</x:f>
      </x:c>
      <x:c r="E124" s="73" t="str">
        <x:f>IF('전기원장'!A124="","",'전기원장'!D124)</x:f>
      </x:c>
      <x:c r="F124" s="73" t="str">
        <x:f>IF('전기원장'!A124="","",'전기원장'!E124)</x:f>
      </x:c>
      <x:c r="G124" s="75" t="str">
        <x:f>IF('전기원장'!A124="","",'전기원장'!H124)</x:f>
      </x:c>
      <x:c r="H124" s="73" t="str">
        <x:f>IF('전기원장'!A124="","",'전기원장'!I124)</x:f>
      </x:c>
      <x:c r="I124" s="73" t="str">
        <x:f>IF('전기원장'!A124="","",'전기원장'!J124)</x:f>
      </x:c>
      <x:c r="J124" s="73" t="str">
        <x:f>IF('전기원장'!A124="","",'전기원장'!K124)</x:f>
      </x:c>
      <x:c r="K124" s="73" t="str">
        <x:f>IF(B124="","",IF(COUNTIF($B$5:B124,B124)=1,COUNT($K$4:K123)+1,""))</x:f>
      </x:c>
      <x:c r="L124" s="85" t="str">
        <x:f>IF(B124="","",IF(COUNTIFS('계정비교'!$A$5:$A$1004,B124,'계정비교'!$H$5:$H$1004,"원인분석 대상")&gt;0,COUNT($L$4:L123)+1,""))</x:f>
      </x:c>
    </x:row>
    <x:row r="125">
      <x:c r="A125" s="73" t="str">
        <x:f>IF('전기원장'!A125="","","전기")</x:f>
      </x:c>
      <x:c r="B125" s="73" t="str">
        <x:f>IF('전기원장'!A125="","",'전기원장'!A125)</x:f>
      </x:c>
      <x:c r="C125" s="73" t="str">
        <x:f>IF('전기원장'!A125="","",'전기원장'!B125)</x:f>
      </x:c>
      <x:c r="D125" s="74" t="str">
        <x:f>IF('전기원장'!A125="","",'전기원장'!C125)</x:f>
      </x:c>
      <x:c r="E125" s="73" t="str">
        <x:f>IF('전기원장'!A125="","",'전기원장'!D125)</x:f>
      </x:c>
      <x:c r="F125" s="73" t="str">
        <x:f>IF('전기원장'!A125="","",'전기원장'!E125)</x:f>
      </x:c>
      <x:c r="G125" s="75" t="str">
        <x:f>IF('전기원장'!A125="","",'전기원장'!H125)</x:f>
      </x:c>
      <x:c r="H125" s="73" t="str">
        <x:f>IF('전기원장'!A125="","",'전기원장'!I125)</x:f>
      </x:c>
      <x:c r="I125" s="73" t="str">
        <x:f>IF('전기원장'!A125="","",'전기원장'!J125)</x:f>
      </x:c>
      <x:c r="J125" s="73" t="str">
        <x:f>IF('전기원장'!A125="","",'전기원장'!K125)</x:f>
      </x:c>
      <x:c r="K125" s="73" t="str">
        <x:f>IF(B125="","",IF(COUNTIF($B$5:B125,B125)=1,COUNT($K$4:K124)+1,""))</x:f>
      </x:c>
      <x:c r="L125" s="85" t="str">
        <x:f>IF(B125="","",IF(COUNTIFS('계정비교'!$A$5:$A$1004,B125,'계정비교'!$H$5:$H$1004,"원인분석 대상")&gt;0,COUNT($L$4:L124)+1,""))</x:f>
      </x:c>
    </x:row>
    <x:row r="126">
      <x:c r="A126" s="73" t="str">
        <x:f>IF('전기원장'!A126="","","전기")</x:f>
      </x:c>
      <x:c r="B126" s="73" t="str">
        <x:f>IF('전기원장'!A126="","",'전기원장'!A126)</x:f>
      </x:c>
      <x:c r="C126" s="73" t="str">
        <x:f>IF('전기원장'!A126="","",'전기원장'!B126)</x:f>
      </x:c>
      <x:c r="D126" s="74" t="str">
        <x:f>IF('전기원장'!A126="","",'전기원장'!C126)</x:f>
      </x:c>
      <x:c r="E126" s="73" t="str">
        <x:f>IF('전기원장'!A126="","",'전기원장'!D126)</x:f>
      </x:c>
      <x:c r="F126" s="73" t="str">
        <x:f>IF('전기원장'!A126="","",'전기원장'!E126)</x:f>
      </x:c>
      <x:c r="G126" s="75" t="str">
        <x:f>IF('전기원장'!A126="","",'전기원장'!H126)</x:f>
      </x:c>
      <x:c r="H126" s="73" t="str">
        <x:f>IF('전기원장'!A126="","",'전기원장'!I126)</x:f>
      </x:c>
      <x:c r="I126" s="73" t="str">
        <x:f>IF('전기원장'!A126="","",'전기원장'!J126)</x:f>
      </x:c>
      <x:c r="J126" s="73" t="str">
        <x:f>IF('전기원장'!A126="","",'전기원장'!K126)</x:f>
      </x:c>
      <x:c r="K126" s="73" t="str">
        <x:f>IF(B126="","",IF(COUNTIF($B$5:B126,B126)=1,COUNT($K$4:K125)+1,""))</x:f>
      </x:c>
      <x:c r="L126" s="85" t="str">
        <x:f>IF(B126="","",IF(COUNTIFS('계정비교'!$A$5:$A$1004,B126,'계정비교'!$H$5:$H$1004,"원인분석 대상")&gt;0,COUNT($L$4:L125)+1,""))</x:f>
      </x:c>
    </x:row>
    <x:row r="127">
      <x:c r="A127" s="73" t="str">
        <x:f>IF('전기원장'!A127="","","전기")</x:f>
      </x:c>
      <x:c r="B127" s="73" t="str">
        <x:f>IF('전기원장'!A127="","",'전기원장'!A127)</x:f>
      </x:c>
      <x:c r="C127" s="73" t="str">
        <x:f>IF('전기원장'!A127="","",'전기원장'!B127)</x:f>
      </x:c>
      <x:c r="D127" s="74" t="str">
        <x:f>IF('전기원장'!A127="","",'전기원장'!C127)</x:f>
      </x:c>
      <x:c r="E127" s="73" t="str">
        <x:f>IF('전기원장'!A127="","",'전기원장'!D127)</x:f>
      </x:c>
      <x:c r="F127" s="73" t="str">
        <x:f>IF('전기원장'!A127="","",'전기원장'!E127)</x:f>
      </x:c>
      <x:c r="G127" s="75" t="str">
        <x:f>IF('전기원장'!A127="","",'전기원장'!H127)</x:f>
      </x:c>
      <x:c r="H127" s="73" t="str">
        <x:f>IF('전기원장'!A127="","",'전기원장'!I127)</x:f>
      </x:c>
      <x:c r="I127" s="73" t="str">
        <x:f>IF('전기원장'!A127="","",'전기원장'!J127)</x:f>
      </x:c>
      <x:c r="J127" s="73" t="str">
        <x:f>IF('전기원장'!A127="","",'전기원장'!K127)</x:f>
      </x:c>
      <x:c r="K127" s="73" t="str">
        <x:f>IF(B127="","",IF(COUNTIF($B$5:B127,B127)=1,COUNT($K$4:K126)+1,""))</x:f>
      </x:c>
      <x:c r="L127" s="85" t="str">
        <x:f>IF(B127="","",IF(COUNTIFS('계정비교'!$A$5:$A$1004,B127,'계정비교'!$H$5:$H$1004,"원인분석 대상")&gt;0,COUNT($L$4:L126)+1,""))</x:f>
      </x:c>
    </x:row>
    <x:row r="128">
      <x:c r="A128" s="73" t="str">
        <x:f>IF('전기원장'!A128="","","전기")</x:f>
      </x:c>
      <x:c r="B128" s="73" t="str">
        <x:f>IF('전기원장'!A128="","",'전기원장'!A128)</x:f>
      </x:c>
      <x:c r="C128" s="73" t="str">
        <x:f>IF('전기원장'!A128="","",'전기원장'!B128)</x:f>
      </x:c>
      <x:c r="D128" s="74" t="str">
        <x:f>IF('전기원장'!A128="","",'전기원장'!C128)</x:f>
      </x:c>
      <x:c r="E128" s="73" t="str">
        <x:f>IF('전기원장'!A128="","",'전기원장'!D128)</x:f>
      </x:c>
      <x:c r="F128" s="73" t="str">
        <x:f>IF('전기원장'!A128="","",'전기원장'!E128)</x:f>
      </x:c>
      <x:c r="G128" s="75" t="str">
        <x:f>IF('전기원장'!A128="","",'전기원장'!H128)</x:f>
      </x:c>
      <x:c r="H128" s="73" t="str">
        <x:f>IF('전기원장'!A128="","",'전기원장'!I128)</x:f>
      </x:c>
      <x:c r="I128" s="73" t="str">
        <x:f>IF('전기원장'!A128="","",'전기원장'!J128)</x:f>
      </x:c>
      <x:c r="J128" s="73" t="str">
        <x:f>IF('전기원장'!A128="","",'전기원장'!K128)</x:f>
      </x:c>
      <x:c r="K128" s="73" t="str">
        <x:f>IF(B128="","",IF(COUNTIF($B$5:B128,B128)=1,COUNT($K$4:K127)+1,""))</x:f>
      </x:c>
      <x:c r="L128" s="85" t="str">
        <x:f>IF(B128="","",IF(COUNTIFS('계정비교'!$A$5:$A$1004,B128,'계정비교'!$H$5:$H$1004,"원인분석 대상")&gt;0,COUNT($L$4:L127)+1,""))</x:f>
      </x:c>
    </x:row>
    <x:row r="129">
      <x:c r="A129" s="73" t="str">
        <x:f>IF('전기원장'!A129="","","전기")</x:f>
      </x:c>
      <x:c r="B129" s="73" t="str">
        <x:f>IF('전기원장'!A129="","",'전기원장'!A129)</x:f>
      </x:c>
      <x:c r="C129" s="73" t="str">
        <x:f>IF('전기원장'!A129="","",'전기원장'!B129)</x:f>
      </x:c>
      <x:c r="D129" s="74" t="str">
        <x:f>IF('전기원장'!A129="","",'전기원장'!C129)</x:f>
      </x:c>
      <x:c r="E129" s="73" t="str">
        <x:f>IF('전기원장'!A129="","",'전기원장'!D129)</x:f>
      </x:c>
      <x:c r="F129" s="73" t="str">
        <x:f>IF('전기원장'!A129="","",'전기원장'!E129)</x:f>
      </x:c>
      <x:c r="G129" s="75" t="str">
        <x:f>IF('전기원장'!A129="","",'전기원장'!H129)</x:f>
      </x:c>
      <x:c r="H129" s="73" t="str">
        <x:f>IF('전기원장'!A129="","",'전기원장'!I129)</x:f>
      </x:c>
      <x:c r="I129" s="73" t="str">
        <x:f>IF('전기원장'!A129="","",'전기원장'!J129)</x:f>
      </x:c>
      <x:c r="J129" s="73" t="str">
        <x:f>IF('전기원장'!A129="","",'전기원장'!K129)</x:f>
      </x:c>
      <x:c r="K129" s="73" t="str">
        <x:f>IF(B129="","",IF(COUNTIF($B$5:B129,B129)=1,COUNT($K$4:K128)+1,""))</x:f>
      </x:c>
      <x:c r="L129" s="85" t="str">
        <x:f>IF(B129="","",IF(COUNTIFS('계정비교'!$A$5:$A$1004,B129,'계정비교'!$H$5:$H$1004,"원인분석 대상")&gt;0,COUNT($L$4:L128)+1,""))</x:f>
      </x:c>
    </x:row>
    <x:row r="130">
      <x:c r="A130" s="73" t="str">
        <x:f>IF('전기원장'!A130="","","전기")</x:f>
      </x:c>
      <x:c r="B130" s="73" t="str">
        <x:f>IF('전기원장'!A130="","",'전기원장'!A130)</x:f>
      </x:c>
      <x:c r="C130" s="73" t="str">
        <x:f>IF('전기원장'!A130="","",'전기원장'!B130)</x:f>
      </x:c>
      <x:c r="D130" s="74" t="str">
        <x:f>IF('전기원장'!A130="","",'전기원장'!C130)</x:f>
      </x:c>
      <x:c r="E130" s="73" t="str">
        <x:f>IF('전기원장'!A130="","",'전기원장'!D130)</x:f>
      </x:c>
      <x:c r="F130" s="73" t="str">
        <x:f>IF('전기원장'!A130="","",'전기원장'!E130)</x:f>
      </x:c>
      <x:c r="G130" s="75" t="str">
        <x:f>IF('전기원장'!A130="","",'전기원장'!H130)</x:f>
      </x:c>
      <x:c r="H130" s="73" t="str">
        <x:f>IF('전기원장'!A130="","",'전기원장'!I130)</x:f>
      </x:c>
      <x:c r="I130" s="73" t="str">
        <x:f>IF('전기원장'!A130="","",'전기원장'!J130)</x:f>
      </x:c>
      <x:c r="J130" s="73" t="str">
        <x:f>IF('전기원장'!A130="","",'전기원장'!K130)</x:f>
      </x:c>
      <x:c r="K130" s="73" t="str">
        <x:f>IF(B130="","",IF(COUNTIF($B$5:B130,B130)=1,COUNT($K$4:K129)+1,""))</x:f>
      </x:c>
      <x:c r="L130" s="85" t="str">
        <x:f>IF(B130="","",IF(COUNTIFS('계정비교'!$A$5:$A$1004,B130,'계정비교'!$H$5:$H$1004,"원인분석 대상")&gt;0,COUNT($L$4:L129)+1,""))</x:f>
      </x:c>
    </x:row>
    <x:row r="131">
      <x:c r="A131" s="73" t="str">
        <x:f>IF('전기원장'!A131="","","전기")</x:f>
      </x:c>
      <x:c r="B131" s="73" t="str">
        <x:f>IF('전기원장'!A131="","",'전기원장'!A131)</x:f>
      </x:c>
      <x:c r="C131" s="73" t="str">
        <x:f>IF('전기원장'!A131="","",'전기원장'!B131)</x:f>
      </x:c>
      <x:c r="D131" s="74" t="str">
        <x:f>IF('전기원장'!A131="","",'전기원장'!C131)</x:f>
      </x:c>
      <x:c r="E131" s="73" t="str">
        <x:f>IF('전기원장'!A131="","",'전기원장'!D131)</x:f>
      </x:c>
      <x:c r="F131" s="73" t="str">
        <x:f>IF('전기원장'!A131="","",'전기원장'!E131)</x:f>
      </x:c>
      <x:c r="G131" s="75" t="str">
        <x:f>IF('전기원장'!A131="","",'전기원장'!H131)</x:f>
      </x:c>
      <x:c r="H131" s="73" t="str">
        <x:f>IF('전기원장'!A131="","",'전기원장'!I131)</x:f>
      </x:c>
      <x:c r="I131" s="73" t="str">
        <x:f>IF('전기원장'!A131="","",'전기원장'!J131)</x:f>
      </x:c>
      <x:c r="J131" s="73" t="str">
        <x:f>IF('전기원장'!A131="","",'전기원장'!K131)</x:f>
      </x:c>
      <x:c r="K131" s="73" t="str">
        <x:f>IF(B131="","",IF(COUNTIF($B$5:B131,B131)=1,COUNT($K$4:K130)+1,""))</x:f>
      </x:c>
      <x:c r="L131" s="85" t="str">
        <x:f>IF(B131="","",IF(COUNTIFS('계정비교'!$A$5:$A$1004,B131,'계정비교'!$H$5:$H$1004,"원인분석 대상")&gt;0,COUNT($L$4:L130)+1,""))</x:f>
      </x:c>
    </x:row>
    <x:row r="132">
      <x:c r="A132" s="73" t="str">
        <x:f>IF('전기원장'!A132="","","전기")</x:f>
      </x:c>
      <x:c r="B132" s="73" t="str">
        <x:f>IF('전기원장'!A132="","",'전기원장'!A132)</x:f>
      </x:c>
      <x:c r="C132" s="73" t="str">
        <x:f>IF('전기원장'!A132="","",'전기원장'!B132)</x:f>
      </x:c>
      <x:c r="D132" s="74" t="str">
        <x:f>IF('전기원장'!A132="","",'전기원장'!C132)</x:f>
      </x:c>
      <x:c r="E132" s="73" t="str">
        <x:f>IF('전기원장'!A132="","",'전기원장'!D132)</x:f>
      </x:c>
      <x:c r="F132" s="73" t="str">
        <x:f>IF('전기원장'!A132="","",'전기원장'!E132)</x:f>
      </x:c>
      <x:c r="G132" s="75" t="str">
        <x:f>IF('전기원장'!A132="","",'전기원장'!H132)</x:f>
      </x:c>
      <x:c r="H132" s="73" t="str">
        <x:f>IF('전기원장'!A132="","",'전기원장'!I132)</x:f>
      </x:c>
      <x:c r="I132" s="73" t="str">
        <x:f>IF('전기원장'!A132="","",'전기원장'!J132)</x:f>
      </x:c>
      <x:c r="J132" s="73" t="str">
        <x:f>IF('전기원장'!A132="","",'전기원장'!K132)</x:f>
      </x:c>
      <x:c r="K132" s="73" t="str">
        <x:f>IF(B132="","",IF(COUNTIF($B$5:B132,B132)=1,COUNT($K$4:K131)+1,""))</x:f>
      </x:c>
      <x:c r="L132" s="85" t="str">
        <x:f>IF(B132="","",IF(COUNTIFS('계정비교'!$A$5:$A$1004,B132,'계정비교'!$H$5:$H$1004,"원인분석 대상")&gt;0,COUNT($L$4:L131)+1,""))</x:f>
      </x:c>
    </x:row>
    <x:row r="133">
      <x:c r="A133" s="73" t="str">
        <x:f>IF('전기원장'!A133="","","전기")</x:f>
      </x:c>
      <x:c r="B133" s="73" t="str">
        <x:f>IF('전기원장'!A133="","",'전기원장'!A133)</x:f>
      </x:c>
      <x:c r="C133" s="73" t="str">
        <x:f>IF('전기원장'!A133="","",'전기원장'!B133)</x:f>
      </x:c>
      <x:c r="D133" s="74" t="str">
        <x:f>IF('전기원장'!A133="","",'전기원장'!C133)</x:f>
      </x:c>
      <x:c r="E133" s="73" t="str">
        <x:f>IF('전기원장'!A133="","",'전기원장'!D133)</x:f>
      </x:c>
      <x:c r="F133" s="73" t="str">
        <x:f>IF('전기원장'!A133="","",'전기원장'!E133)</x:f>
      </x:c>
      <x:c r="G133" s="75" t="str">
        <x:f>IF('전기원장'!A133="","",'전기원장'!H133)</x:f>
      </x:c>
      <x:c r="H133" s="73" t="str">
        <x:f>IF('전기원장'!A133="","",'전기원장'!I133)</x:f>
      </x:c>
      <x:c r="I133" s="73" t="str">
        <x:f>IF('전기원장'!A133="","",'전기원장'!J133)</x:f>
      </x:c>
      <x:c r="J133" s="73" t="str">
        <x:f>IF('전기원장'!A133="","",'전기원장'!K133)</x:f>
      </x:c>
      <x:c r="K133" s="73" t="str">
        <x:f>IF(B133="","",IF(COUNTIF($B$5:B133,B133)=1,COUNT($K$4:K132)+1,""))</x:f>
      </x:c>
      <x:c r="L133" s="85" t="str">
        <x:f>IF(B133="","",IF(COUNTIFS('계정비교'!$A$5:$A$1004,B133,'계정비교'!$H$5:$H$1004,"원인분석 대상")&gt;0,COUNT($L$4:L132)+1,""))</x:f>
      </x:c>
    </x:row>
    <x:row r="134">
      <x:c r="A134" s="73" t="str">
        <x:f>IF('전기원장'!A134="","","전기")</x:f>
      </x:c>
      <x:c r="B134" s="73" t="str">
        <x:f>IF('전기원장'!A134="","",'전기원장'!A134)</x:f>
      </x:c>
      <x:c r="C134" s="73" t="str">
        <x:f>IF('전기원장'!A134="","",'전기원장'!B134)</x:f>
      </x:c>
      <x:c r="D134" s="74" t="str">
        <x:f>IF('전기원장'!A134="","",'전기원장'!C134)</x:f>
      </x:c>
      <x:c r="E134" s="73" t="str">
        <x:f>IF('전기원장'!A134="","",'전기원장'!D134)</x:f>
      </x:c>
      <x:c r="F134" s="73" t="str">
        <x:f>IF('전기원장'!A134="","",'전기원장'!E134)</x:f>
      </x:c>
      <x:c r="G134" s="75" t="str">
        <x:f>IF('전기원장'!A134="","",'전기원장'!H134)</x:f>
      </x:c>
      <x:c r="H134" s="73" t="str">
        <x:f>IF('전기원장'!A134="","",'전기원장'!I134)</x:f>
      </x:c>
      <x:c r="I134" s="73" t="str">
        <x:f>IF('전기원장'!A134="","",'전기원장'!J134)</x:f>
      </x:c>
      <x:c r="J134" s="73" t="str">
        <x:f>IF('전기원장'!A134="","",'전기원장'!K134)</x:f>
      </x:c>
      <x:c r="K134" s="73" t="str">
        <x:f>IF(B134="","",IF(COUNTIF($B$5:B134,B134)=1,COUNT($K$4:K133)+1,""))</x:f>
      </x:c>
      <x:c r="L134" s="85" t="str">
        <x:f>IF(B134="","",IF(COUNTIFS('계정비교'!$A$5:$A$1004,B134,'계정비교'!$H$5:$H$1004,"원인분석 대상")&gt;0,COUNT($L$4:L133)+1,""))</x:f>
      </x:c>
    </x:row>
    <x:row r="135">
      <x:c r="A135" s="73" t="str">
        <x:f>IF('전기원장'!A135="","","전기")</x:f>
      </x:c>
      <x:c r="B135" s="73" t="str">
        <x:f>IF('전기원장'!A135="","",'전기원장'!A135)</x:f>
      </x:c>
      <x:c r="C135" s="73" t="str">
        <x:f>IF('전기원장'!A135="","",'전기원장'!B135)</x:f>
      </x:c>
      <x:c r="D135" s="74" t="str">
        <x:f>IF('전기원장'!A135="","",'전기원장'!C135)</x:f>
      </x:c>
      <x:c r="E135" s="73" t="str">
        <x:f>IF('전기원장'!A135="","",'전기원장'!D135)</x:f>
      </x:c>
      <x:c r="F135" s="73" t="str">
        <x:f>IF('전기원장'!A135="","",'전기원장'!E135)</x:f>
      </x:c>
      <x:c r="G135" s="75" t="str">
        <x:f>IF('전기원장'!A135="","",'전기원장'!H135)</x:f>
      </x:c>
      <x:c r="H135" s="73" t="str">
        <x:f>IF('전기원장'!A135="","",'전기원장'!I135)</x:f>
      </x:c>
      <x:c r="I135" s="73" t="str">
        <x:f>IF('전기원장'!A135="","",'전기원장'!J135)</x:f>
      </x:c>
      <x:c r="J135" s="73" t="str">
        <x:f>IF('전기원장'!A135="","",'전기원장'!K135)</x:f>
      </x:c>
      <x:c r="K135" s="73" t="str">
        <x:f>IF(B135="","",IF(COUNTIF($B$5:B135,B135)=1,COUNT($K$4:K134)+1,""))</x:f>
      </x:c>
      <x:c r="L135" s="85" t="str">
        <x:f>IF(B135="","",IF(COUNTIFS('계정비교'!$A$5:$A$1004,B135,'계정비교'!$H$5:$H$1004,"원인분석 대상")&gt;0,COUNT($L$4:L134)+1,""))</x:f>
      </x:c>
    </x:row>
    <x:row r="136">
      <x:c r="A136" s="73" t="str">
        <x:f>IF('전기원장'!A136="","","전기")</x:f>
      </x:c>
      <x:c r="B136" s="73" t="str">
        <x:f>IF('전기원장'!A136="","",'전기원장'!A136)</x:f>
      </x:c>
      <x:c r="C136" s="73" t="str">
        <x:f>IF('전기원장'!A136="","",'전기원장'!B136)</x:f>
      </x:c>
      <x:c r="D136" s="74" t="str">
        <x:f>IF('전기원장'!A136="","",'전기원장'!C136)</x:f>
      </x:c>
      <x:c r="E136" s="73" t="str">
        <x:f>IF('전기원장'!A136="","",'전기원장'!D136)</x:f>
      </x:c>
      <x:c r="F136" s="73" t="str">
        <x:f>IF('전기원장'!A136="","",'전기원장'!E136)</x:f>
      </x:c>
      <x:c r="G136" s="75" t="str">
        <x:f>IF('전기원장'!A136="","",'전기원장'!H136)</x:f>
      </x:c>
      <x:c r="H136" s="73" t="str">
        <x:f>IF('전기원장'!A136="","",'전기원장'!I136)</x:f>
      </x:c>
      <x:c r="I136" s="73" t="str">
        <x:f>IF('전기원장'!A136="","",'전기원장'!J136)</x:f>
      </x:c>
      <x:c r="J136" s="73" t="str">
        <x:f>IF('전기원장'!A136="","",'전기원장'!K136)</x:f>
      </x:c>
      <x:c r="K136" s="73" t="str">
        <x:f>IF(B136="","",IF(COUNTIF($B$5:B136,B136)=1,COUNT($K$4:K135)+1,""))</x:f>
      </x:c>
      <x:c r="L136" s="85" t="str">
        <x:f>IF(B136="","",IF(COUNTIFS('계정비교'!$A$5:$A$1004,B136,'계정비교'!$H$5:$H$1004,"원인분석 대상")&gt;0,COUNT($L$4:L135)+1,""))</x:f>
      </x:c>
    </x:row>
    <x:row r="137">
      <x:c r="A137" s="73" t="str">
        <x:f>IF('전기원장'!A137="","","전기")</x:f>
      </x:c>
      <x:c r="B137" s="73" t="str">
        <x:f>IF('전기원장'!A137="","",'전기원장'!A137)</x:f>
      </x:c>
      <x:c r="C137" s="73" t="str">
        <x:f>IF('전기원장'!A137="","",'전기원장'!B137)</x:f>
      </x:c>
      <x:c r="D137" s="74" t="str">
        <x:f>IF('전기원장'!A137="","",'전기원장'!C137)</x:f>
      </x:c>
      <x:c r="E137" s="73" t="str">
        <x:f>IF('전기원장'!A137="","",'전기원장'!D137)</x:f>
      </x:c>
      <x:c r="F137" s="73" t="str">
        <x:f>IF('전기원장'!A137="","",'전기원장'!E137)</x:f>
      </x:c>
      <x:c r="G137" s="75" t="str">
        <x:f>IF('전기원장'!A137="","",'전기원장'!H137)</x:f>
      </x:c>
      <x:c r="H137" s="73" t="str">
        <x:f>IF('전기원장'!A137="","",'전기원장'!I137)</x:f>
      </x:c>
      <x:c r="I137" s="73" t="str">
        <x:f>IF('전기원장'!A137="","",'전기원장'!J137)</x:f>
      </x:c>
      <x:c r="J137" s="73" t="str">
        <x:f>IF('전기원장'!A137="","",'전기원장'!K137)</x:f>
      </x:c>
      <x:c r="K137" s="73" t="str">
        <x:f>IF(B137="","",IF(COUNTIF($B$5:B137,B137)=1,COUNT($K$4:K136)+1,""))</x:f>
      </x:c>
      <x:c r="L137" s="85" t="str">
        <x:f>IF(B137="","",IF(COUNTIFS('계정비교'!$A$5:$A$1004,B137,'계정비교'!$H$5:$H$1004,"원인분석 대상")&gt;0,COUNT($L$4:L136)+1,""))</x:f>
      </x:c>
    </x:row>
    <x:row r="138">
      <x:c r="A138" s="73" t="str">
        <x:f>IF('전기원장'!A138="","","전기")</x:f>
      </x:c>
      <x:c r="B138" s="73" t="str">
        <x:f>IF('전기원장'!A138="","",'전기원장'!A138)</x:f>
      </x:c>
      <x:c r="C138" s="73" t="str">
        <x:f>IF('전기원장'!A138="","",'전기원장'!B138)</x:f>
      </x:c>
      <x:c r="D138" s="74" t="str">
        <x:f>IF('전기원장'!A138="","",'전기원장'!C138)</x:f>
      </x:c>
      <x:c r="E138" s="73" t="str">
        <x:f>IF('전기원장'!A138="","",'전기원장'!D138)</x:f>
      </x:c>
      <x:c r="F138" s="73" t="str">
        <x:f>IF('전기원장'!A138="","",'전기원장'!E138)</x:f>
      </x:c>
      <x:c r="G138" s="75" t="str">
        <x:f>IF('전기원장'!A138="","",'전기원장'!H138)</x:f>
      </x:c>
      <x:c r="H138" s="73" t="str">
        <x:f>IF('전기원장'!A138="","",'전기원장'!I138)</x:f>
      </x:c>
      <x:c r="I138" s="73" t="str">
        <x:f>IF('전기원장'!A138="","",'전기원장'!J138)</x:f>
      </x:c>
      <x:c r="J138" s="73" t="str">
        <x:f>IF('전기원장'!A138="","",'전기원장'!K138)</x:f>
      </x:c>
      <x:c r="K138" s="73" t="str">
        <x:f>IF(B138="","",IF(COUNTIF($B$5:B138,B138)=1,COUNT($K$4:K137)+1,""))</x:f>
      </x:c>
      <x:c r="L138" s="85" t="str">
        <x:f>IF(B138="","",IF(COUNTIFS('계정비교'!$A$5:$A$1004,B138,'계정비교'!$H$5:$H$1004,"원인분석 대상")&gt;0,COUNT($L$4:L137)+1,""))</x:f>
      </x:c>
    </x:row>
    <x:row r="139">
      <x:c r="A139" s="73" t="str">
        <x:f>IF('전기원장'!A139="","","전기")</x:f>
      </x:c>
      <x:c r="B139" s="73" t="str">
        <x:f>IF('전기원장'!A139="","",'전기원장'!A139)</x:f>
      </x:c>
      <x:c r="C139" s="73" t="str">
        <x:f>IF('전기원장'!A139="","",'전기원장'!B139)</x:f>
      </x:c>
      <x:c r="D139" s="74" t="str">
        <x:f>IF('전기원장'!A139="","",'전기원장'!C139)</x:f>
      </x:c>
      <x:c r="E139" s="73" t="str">
        <x:f>IF('전기원장'!A139="","",'전기원장'!D139)</x:f>
      </x:c>
      <x:c r="F139" s="73" t="str">
        <x:f>IF('전기원장'!A139="","",'전기원장'!E139)</x:f>
      </x:c>
      <x:c r="G139" s="75" t="str">
        <x:f>IF('전기원장'!A139="","",'전기원장'!H139)</x:f>
      </x:c>
      <x:c r="H139" s="73" t="str">
        <x:f>IF('전기원장'!A139="","",'전기원장'!I139)</x:f>
      </x:c>
      <x:c r="I139" s="73" t="str">
        <x:f>IF('전기원장'!A139="","",'전기원장'!J139)</x:f>
      </x:c>
      <x:c r="J139" s="73" t="str">
        <x:f>IF('전기원장'!A139="","",'전기원장'!K139)</x:f>
      </x:c>
      <x:c r="K139" s="73" t="str">
        <x:f>IF(B139="","",IF(COUNTIF($B$5:B139,B139)=1,COUNT($K$4:K138)+1,""))</x:f>
      </x:c>
      <x:c r="L139" s="85" t="str">
        <x:f>IF(B139="","",IF(COUNTIFS('계정비교'!$A$5:$A$1004,B139,'계정비교'!$H$5:$H$1004,"원인분석 대상")&gt;0,COUNT($L$4:L138)+1,""))</x:f>
      </x:c>
    </x:row>
    <x:row r="140">
      <x:c r="A140" s="73" t="str">
        <x:f>IF('전기원장'!A140="","","전기")</x:f>
      </x:c>
      <x:c r="B140" s="73" t="str">
        <x:f>IF('전기원장'!A140="","",'전기원장'!A140)</x:f>
      </x:c>
      <x:c r="C140" s="73" t="str">
        <x:f>IF('전기원장'!A140="","",'전기원장'!B140)</x:f>
      </x:c>
      <x:c r="D140" s="74" t="str">
        <x:f>IF('전기원장'!A140="","",'전기원장'!C140)</x:f>
      </x:c>
      <x:c r="E140" s="73" t="str">
        <x:f>IF('전기원장'!A140="","",'전기원장'!D140)</x:f>
      </x:c>
      <x:c r="F140" s="73" t="str">
        <x:f>IF('전기원장'!A140="","",'전기원장'!E140)</x:f>
      </x:c>
      <x:c r="G140" s="75" t="str">
        <x:f>IF('전기원장'!A140="","",'전기원장'!H140)</x:f>
      </x:c>
      <x:c r="H140" s="73" t="str">
        <x:f>IF('전기원장'!A140="","",'전기원장'!I140)</x:f>
      </x:c>
      <x:c r="I140" s="73" t="str">
        <x:f>IF('전기원장'!A140="","",'전기원장'!J140)</x:f>
      </x:c>
      <x:c r="J140" s="73" t="str">
        <x:f>IF('전기원장'!A140="","",'전기원장'!K140)</x:f>
      </x:c>
      <x:c r="K140" s="73" t="str">
        <x:f>IF(B140="","",IF(COUNTIF($B$5:B140,B140)=1,COUNT($K$4:K139)+1,""))</x:f>
      </x:c>
      <x:c r="L140" s="85" t="str">
        <x:f>IF(B140="","",IF(COUNTIFS('계정비교'!$A$5:$A$1004,B140,'계정비교'!$H$5:$H$1004,"원인분석 대상")&gt;0,COUNT($L$4:L139)+1,""))</x:f>
      </x:c>
    </x:row>
    <x:row r="141">
      <x:c r="A141" s="73" t="str">
        <x:f>IF('전기원장'!A141="","","전기")</x:f>
      </x:c>
      <x:c r="B141" s="73" t="str">
        <x:f>IF('전기원장'!A141="","",'전기원장'!A141)</x:f>
      </x:c>
      <x:c r="C141" s="73" t="str">
        <x:f>IF('전기원장'!A141="","",'전기원장'!B141)</x:f>
      </x:c>
      <x:c r="D141" s="74" t="str">
        <x:f>IF('전기원장'!A141="","",'전기원장'!C141)</x:f>
      </x:c>
      <x:c r="E141" s="73" t="str">
        <x:f>IF('전기원장'!A141="","",'전기원장'!D141)</x:f>
      </x:c>
      <x:c r="F141" s="73" t="str">
        <x:f>IF('전기원장'!A141="","",'전기원장'!E141)</x:f>
      </x:c>
      <x:c r="G141" s="75" t="str">
        <x:f>IF('전기원장'!A141="","",'전기원장'!H141)</x:f>
      </x:c>
      <x:c r="H141" s="73" t="str">
        <x:f>IF('전기원장'!A141="","",'전기원장'!I141)</x:f>
      </x:c>
      <x:c r="I141" s="73" t="str">
        <x:f>IF('전기원장'!A141="","",'전기원장'!J141)</x:f>
      </x:c>
      <x:c r="J141" s="73" t="str">
        <x:f>IF('전기원장'!A141="","",'전기원장'!K141)</x:f>
      </x:c>
      <x:c r="K141" s="73" t="str">
        <x:f>IF(B141="","",IF(COUNTIF($B$5:B141,B141)=1,COUNT($K$4:K140)+1,""))</x:f>
      </x:c>
      <x:c r="L141" s="85" t="str">
        <x:f>IF(B141="","",IF(COUNTIFS('계정비교'!$A$5:$A$1004,B141,'계정비교'!$H$5:$H$1004,"원인분석 대상")&gt;0,COUNT($L$4:L140)+1,""))</x:f>
      </x:c>
    </x:row>
    <x:row r="142">
      <x:c r="A142" s="73" t="str">
        <x:f>IF('전기원장'!A142="","","전기")</x:f>
      </x:c>
      <x:c r="B142" s="73" t="str">
        <x:f>IF('전기원장'!A142="","",'전기원장'!A142)</x:f>
      </x:c>
      <x:c r="C142" s="73" t="str">
        <x:f>IF('전기원장'!A142="","",'전기원장'!B142)</x:f>
      </x:c>
      <x:c r="D142" s="74" t="str">
        <x:f>IF('전기원장'!A142="","",'전기원장'!C142)</x:f>
      </x:c>
      <x:c r="E142" s="73" t="str">
        <x:f>IF('전기원장'!A142="","",'전기원장'!D142)</x:f>
      </x:c>
      <x:c r="F142" s="73" t="str">
        <x:f>IF('전기원장'!A142="","",'전기원장'!E142)</x:f>
      </x:c>
      <x:c r="G142" s="75" t="str">
        <x:f>IF('전기원장'!A142="","",'전기원장'!H142)</x:f>
      </x:c>
      <x:c r="H142" s="73" t="str">
        <x:f>IF('전기원장'!A142="","",'전기원장'!I142)</x:f>
      </x:c>
      <x:c r="I142" s="73" t="str">
        <x:f>IF('전기원장'!A142="","",'전기원장'!J142)</x:f>
      </x:c>
      <x:c r="J142" s="73" t="str">
        <x:f>IF('전기원장'!A142="","",'전기원장'!K142)</x:f>
      </x:c>
      <x:c r="K142" s="73" t="str">
        <x:f>IF(B142="","",IF(COUNTIF($B$5:B142,B142)=1,COUNT($K$4:K141)+1,""))</x:f>
      </x:c>
      <x:c r="L142" s="85" t="str">
        <x:f>IF(B142="","",IF(COUNTIFS('계정비교'!$A$5:$A$1004,B142,'계정비교'!$H$5:$H$1004,"원인분석 대상")&gt;0,COUNT($L$4:L141)+1,""))</x:f>
      </x:c>
    </x:row>
    <x:row r="143">
      <x:c r="A143" s="73" t="str">
        <x:f>IF('전기원장'!A143="","","전기")</x:f>
      </x:c>
      <x:c r="B143" s="73" t="str">
        <x:f>IF('전기원장'!A143="","",'전기원장'!A143)</x:f>
      </x:c>
      <x:c r="C143" s="73" t="str">
        <x:f>IF('전기원장'!A143="","",'전기원장'!B143)</x:f>
      </x:c>
      <x:c r="D143" s="74" t="str">
        <x:f>IF('전기원장'!A143="","",'전기원장'!C143)</x:f>
      </x:c>
      <x:c r="E143" s="73" t="str">
        <x:f>IF('전기원장'!A143="","",'전기원장'!D143)</x:f>
      </x:c>
      <x:c r="F143" s="73" t="str">
        <x:f>IF('전기원장'!A143="","",'전기원장'!E143)</x:f>
      </x:c>
      <x:c r="G143" s="75" t="str">
        <x:f>IF('전기원장'!A143="","",'전기원장'!H143)</x:f>
      </x:c>
      <x:c r="H143" s="73" t="str">
        <x:f>IF('전기원장'!A143="","",'전기원장'!I143)</x:f>
      </x:c>
      <x:c r="I143" s="73" t="str">
        <x:f>IF('전기원장'!A143="","",'전기원장'!J143)</x:f>
      </x:c>
      <x:c r="J143" s="73" t="str">
        <x:f>IF('전기원장'!A143="","",'전기원장'!K143)</x:f>
      </x:c>
      <x:c r="K143" s="73" t="str">
        <x:f>IF(B143="","",IF(COUNTIF($B$5:B143,B143)=1,COUNT($K$4:K142)+1,""))</x:f>
      </x:c>
      <x:c r="L143" s="85" t="str">
        <x:f>IF(B143="","",IF(COUNTIFS('계정비교'!$A$5:$A$1004,B143,'계정비교'!$H$5:$H$1004,"원인분석 대상")&gt;0,COUNT($L$4:L142)+1,""))</x:f>
      </x:c>
    </x:row>
    <x:row r="144">
      <x:c r="A144" s="73" t="str">
        <x:f>IF('전기원장'!A144="","","전기")</x:f>
      </x:c>
      <x:c r="B144" s="73" t="str">
        <x:f>IF('전기원장'!A144="","",'전기원장'!A144)</x:f>
      </x:c>
      <x:c r="C144" s="73" t="str">
        <x:f>IF('전기원장'!A144="","",'전기원장'!B144)</x:f>
      </x:c>
      <x:c r="D144" s="74" t="str">
        <x:f>IF('전기원장'!A144="","",'전기원장'!C144)</x:f>
      </x:c>
      <x:c r="E144" s="73" t="str">
        <x:f>IF('전기원장'!A144="","",'전기원장'!D144)</x:f>
      </x:c>
      <x:c r="F144" s="73" t="str">
        <x:f>IF('전기원장'!A144="","",'전기원장'!E144)</x:f>
      </x:c>
      <x:c r="G144" s="75" t="str">
        <x:f>IF('전기원장'!A144="","",'전기원장'!H144)</x:f>
      </x:c>
      <x:c r="H144" s="73" t="str">
        <x:f>IF('전기원장'!A144="","",'전기원장'!I144)</x:f>
      </x:c>
      <x:c r="I144" s="73" t="str">
        <x:f>IF('전기원장'!A144="","",'전기원장'!J144)</x:f>
      </x:c>
      <x:c r="J144" s="73" t="str">
        <x:f>IF('전기원장'!A144="","",'전기원장'!K144)</x:f>
      </x:c>
      <x:c r="K144" s="73" t="str">
        <x:f>IF(B144="","",IF(COUNTIF($B$5:B144,B144)=1,COUNT($K$4:K143)+1,""))</x:f>
      </x:c>
      <x:c r="L144" s="85" t="str">
        <x:f>IF(B144="","",IF(COUNTIFS('계정비교'!$A$5:$A$1004,B144,'계정비교'!$H$5:$H$1004,"원인분석 대상")&gt;0,COUNT($L$4:L143)+1,""))</x:f>
      </x:c>
    </x:row>
    <x:row r="145">
      <x:c r="A145" s="73" t="str">
        <x:f>IF('전기원장'!A145="","","전기")</x:f>
      </x:c>
      <x:c r="B145" s="73" t="str">
        <x:f>IF('전기원장'!A145="","",'전기원장'!A145)</x:f>
      </x:c>
      <x:c r="C145" s="73" t="str">
        <x:f>IF('전기원장'!A145="","",'전기원장'!B145)</x:f>
      </x:c>
      <x:c r="D145" s="74" t="str">
        <x:f>IF('전기원장'!A145="","",'전기원장'!C145)</x:f>
      </x:c>
      <x:c r="E145" s="73" t="str">
        <x:f>IF('전기원장'!A145="","",'전기원장'!D145)</x:f>
      </x:c>
      <x:c r="F145" s="73" t="str">
        <x:f>IF('전기원장'!A145="","",'전기원장'!E145)</x:f>
      </x:c>
      <x:c r="G145" s="75" t="str">
        <x:f>IF('전기원장'!A145="","",'전기원장'!H145)</x:f>
      </x:c>
      <x:c r="H145" s="73" t="str">
        <x:f>IF('전기원장'!A145="","",'전기원장'!I145)</x:f>
      </x:c>
      <x:c r="I145" s="73" t="str">
        <x:f>IF('전기원장'!A145="","",'전기원장'!J145)</x:f>
      </x:c>
      <x:c r="J145" s="73" t="str">
        <x:f>IF('전기원장'!A145="","",'전기원장'!K145)</x:f>
      </x:c>
      <x:c r="K145" s="73" t="str">
        <x:f>IF(B145="","",IF(COUNTIF($B$5:B145,B145)=1,COUNT($K$4:K144)+1,""))</x:f>
      </x:c>
      <x:c r="L145" s="85" t="str">
        <x:f>IF(B145="","",IF(COUNTIFS('계정비교'!$A$5:$A$1004,B145,'계정비교'!$H$5:$H$1004,"원인분석 대상")&gt;0,COUNT($L$4:L144)+1,""))</x:f>
      </x:c>
    </x:row>
    <x:row r="146">
      <x:c r="A146" s="73" t="str">
        <x:f>IF('전기원장'!A146="","","전기")</x:f>
      </x:c>
      <x:c r="B146" s="73" t="str">
        <x:f>IF('전기원장'!A146="","",'전기원장'!A146)</x:f>
      </x:c>
      <x:c r="C146" s="73" t="str">
        <x:f>IF('전기원장'!A146="","",'전기원장'!B146)</x:f>
      </x:c>
      <x:c r="D146" s="74" t="str">
        <x:f>IF('전기원장'!A146="","",'전기원장'!C146)</x:f>
      </x:c>
      <x:c r="E146" s="73" t="str">
        <x:f>IF('전기원장'!A146="","",'전기원장'!D146)</x:f>
      </x:c>
      <x:c r="F146" s="73" t="str">
        <x:f>IF('전기원장'!A146="","",'전기원장'!E146)</x:f>
      </x:c>
      <x:c r="G146" s="75" t="str">
        <x:f>IF('전기원장'!A146="","",'전기원장'!H146)</x:f>
      </x:c>
      <x:c r="H146" s="73" t="str">
        <x:f>IF('전기원장'!A146="","",'전기원장'!I146)</x:f>
      </x:c>
      <x:c r="I146" s="73" t="str">
        <x:f>IF('전기원장'!A146="","",'전기원장'!J146)</x:f>
      </x:c>
      <x:c r="J146" s="73" t="str">
        <x:f>IF('전기원장'!A146="","",'전기원장'!K146)</x:f>
      </x:c>
      <x:c r="K146" s="73" t="str">
        <x:f>IF(B146="","",IF(COUNTIF($B$5:B146,B146)=1,COUNT($K$4:K145)+1,""))</x:f>
      </x:c>
      <x:c r="L146" s="85" t="str">
        <x:f>IF(B146="","",IF(COUNTIFS('계정비교'!$A$5:$A$1004,B146,'계정비교'!$H$5:$H$1004,"원인분석 대상")&gt;0,COUNT($L$4:L145)+1,""))</x:f>
      </x:c>
    </x:row>
    <x:row r="147">
      <x:c r="A147" s="73" t="str">
        <x:f>IF('전기원장'!A147="","","전기")</x:f>
      </x:c>
      <x:c r="B147" s="73" t="str">
        <x:f>IF('전기원장'!A147="","",'전기원장'!A147)</x:f>
      </x:c>
      <x:c r="C147" s="73" t="str">
        <x:f>IF('전기원장'!A147="","",'전기원장'!B147)</x:f>
      </x:c>
      <x:c r="D147" s="74" t="str">
        <x:f>IF('전기원장'!A147="","",'전기원장'!C147)</x:f>
      </x:c>
      <x:c r="E147" s="73" t="str">
        <x:f>IF('전기원장'!A147="","",'전기원장'!D147)</x:f>
      </x:c>
      <x:c r="F147" s="73" t="str">
        <x:f>IF('전기원장'!A147="","",'전기원장'!E147)</x:f>
      </x:c>
      <x:c r="G147" s="75" t="str">
        <x:f>IF('전기원장'!A147="","",'전기원장'!H147)</x:f>
      </x:c>
      <x:c r="H147" s="73" t="str">
        <x:f>IF('전기원장'!A147="","",'전기원장'!I147)</x:f>
      </x:c>
      <x:c r="I147" s="73" t="str">
        <x:f>IF('전기원장'!A147="","",'전기원장'!J147)</x:f>
      </x:c>
      <x:c r="J147" s="73" t="str">
        <x:f>IF('전기원장'!A147="","",'전기원장'!K147)</x:f>
      </x:c>
      <x:c r="K147" s="73" t="str">
        <x:f>IF(B147="","",IF(COUNTIF($B$5:B147,B147)=1,COUNT($K$4:K146)+1,""))</x:f>
      </x:c>
      <x:c r="L147" s="85" t="str">
        <x:f>IF(B147="","",IF(COUNTIFS('계정비교'!$A$5:$A$1004,B147,'계정비교'!$H$5:$H$1004,"원인분석 대상")&gt;0,COUNT($L$4:L146)+1,""))</x:f>
      </x:c>
    </x:row>
    <x:row r="148">
      <x:c r="A148" s="73" t="str">
        <x:f>IF('전기원장'!A148="","","전기")</x:f>
      </x:c>
      <x:c r="B148" s="73" t="str">
        <x:f>IF('전기원장'!A148="","",'전기원장'!A148)</x:f>
      </x:c>
      <x:c r="C148" s="73" t="str">
        <x:f>IF('전기원장'!A148="","",'전기원장'!B148)</x:f>
      </x:c>
      <x:c r="D148" s="74" t="str">
        <x:f>IF('전기원장'!A148="","",'전기원장'!C148)</x:f>
      </x:c>
      <x:c r="E148" s="73" t="str">
        <x:f>IF('전기원장'!A148="","",'전기원장'!D148)</x:f>
      </x:c>
      <x:c r="F148" s="73" t="str">
        <x:f>IF('전기원장'!A148="","",'전기원장'!E148)</x:f>
      </x:c>
      <x:c r="G148" s="75" t="str">
        <x:f>IF('전기원장'!A148="","",'전기원장'!H148)</x:f>
      </x:c>
      <x:c r="H148" s="73" t="str">
        <x:f>IF('전기원장'!A148="","",'전기원장'!I148)</x:f>
      </x:c>
      <x:c r="I148" s="73" t="str">
        <x:f>IF('전기원장'!A148="","",'전기원장'!J148)</x:f>
      </x:c>
      <x:c r="J148" s="73" t="str">
        <x:f>IF('전기원장'!A148="","",'전기원장'!K148)</x:f>
      </x:c>
      <x:c r="K148" s="73" t="str">
        <x:f>IF(B148="","",IF(COUNTIF($B$5:B148,B148)=1,COUNT($K$4:K147)+1,""))</x:f>
      </x:c>
      <x:c r="L148" s="85" t="str">
        <x:f>IF(B148="","",IF(COUNTIFS('계정비교'!$A$5:$A$1004,B148,'계정비교'!$H$5:$H$1004,"원인분석 대상")&gt;0,COUNT($L$4:L147)+1,""))</x:f>
      </x:c>
    </x:row>
    <x:row r="149">
      <x:c r="A149" s="73" t="str">
        <x:f>IF('전기원장'!A149="","","전기")</x:f>
      </x:c>
      <x:c r="B149" s="73" t="str">
        <x:f>IF('전기원장'!A149="","",'전기원장'!A149)</x:f>
      </x:c>
      <x:c r="C149" s="73" t="str">
        <x:f>IF('전기원장'!A149="","",'전기원장'!B149)</x:f>
      </x:c>
      <x:c r="D149" s="74" t="str">
        <x:f>IF('전기원장'!A149="","",'전기원장'!C149)</x:f>
      </x:c>
      <x:c r="E149" s="73" t="str">
        <x:f>IF('전기원장'!A149="","",'전기원장'!D149)</x:f>
      </x:c>
      <x:c r="F149" s="73" t="str">
        <x:f>IF('전기원장'!A149="","",'전기원장'!E149)</x:f>
      </x:c>
      <x:c r="G149" s="75" t="str">
        <x:f>IF('전기원장'!A149="","",'전기원장'!H149)</x:f>
      </x:c>
      <x:c r="H149" s="73" t="str">
        <x:f>IF('전기원장'!A149="","",'전기원장'!I149)</x:f>
      </x:c>
      <x:c r="I149" s="73" t="str">
        <x:f>IF('전기원장'!A149="","",'전기원장'!J149)</x:f>
      </x:c>
      <x:c r="J149" s="73" t="str">
        <x:f>IF('전기원장'!A149="","",'전기원장'!K149)</x:f>
      </x:c>
      <x:c r="K149" s="73" t="str">
        <x:f>IF(B149="","",IF(COUNTIF($B$5:B149,B149)=1,COUNT($K$4:K148)+1,""))</x:f>
      </x:c>
      <x:c r="L149" s="85" t="str">
        <x:f>IF(B149="","",IF(COUNTIFS('계정비교'!$A$5:$A$1004,B149,'계정비교'!$H$5:$H$1004,"원인분석 대상")&gt;0,COUNT($L$4:L148)+1,""))</x:f>
      </x:c>
    </x:row>
    <x:row r="150">
      <x:c r="A150" s="73" t="str">
        <x:f>IF('전기원장'!A150="","","전기")</x:f>
      </x:c>
      <x:c r="B150" s="73" t="str">
        <x:f>IF('전기원장'!A150="","",'전기원장'!A150)</x:f>
      </x:c>
      <x:c r="C150" s="73" t="str">
        <x:f>IF('전기원장'!A150="","",'전기원장'!B150)</x:f>
      </x:c>
      <x:c r="D150" s="74" t="str">
        <x:f>IF('전기원장'!A150="","",'전기원장'!C150)</x:f>
      </x:c>
      <x:c r="E150" s="73" t="str">
        <x:f>IF('전기원장'!A150="","",'전기원장'!D150)</x:f>
      </x:c>
      <x:c r="F150" s="73" t="str">
        <x:f>IF('전기원장'!A150="","",'전기원장'!E150)</x:f>
      </x:c>
      <x:c r="G150" s="75" t="str">
        <x:f>IF('전기원장'!A150="","",'전기원장'!H150)</x:f>
      </x:c>
      <x:c r="H150" s="73" t="str">
        <x:f>IF('전기원장'!A150="","",'전기원장'!I150)</x:f>
      </x:c>
      <x:c r="I150" s="73" t="str">
        <x:f>IF('전기원장'!A150="","",'전기원장'!J150)</x:f>
      </x:c>
      <x:c r="J150" s="73" t="str">
        <x:f>IF('전기원장'!A150="","",'전기원장'!K150)</x:f>
      </x:c>
      <x:c r="K150" s="73" t="str">
        <x:f>IF(B150="","",IF(COUNTIF($B$5:B150,B150)=1,COUNT($K$4:K149)+1,""))</x:f>
      </x:c>
      <x:c r="L150" s="85" t="str">
        <x:f>IF(B150="","",IF(COUNTIFS('계정비교'!$A$5:$A$1004,B150,'계정비교'!$H$5:$H$1004,"원인분석 대상")&gt;0,COUNT($L$4:L149)+1,""))</x:f>
      </x:c>
    </x:row>
    <x:row r="151">
      <x:c r="A151" s="73" t="str">
        <x:f>IF('전기원장'!A151="","","전기")</x:f>
      </x:c>
      <x:c r="B151" s="73" t="str">
        <x:f>IF('전기원장'!A151="","",'전기원장'!A151)</x:f>
      </x:c>
      <x:c r="C151" s="73" t="str">
        <x:f>IF('전기원장'!A151="","",'전기원장'!B151)</x:f>
      </x:c>
      <x:c r="D151" s="74" t="str">
        <x:f>IF('전기원장'!A151="","",'전기원장'!C151)</x:f>
      </x:c>
      <x:c r="E151" s="73" t="str">
        <x:f>IF('전기원장'!A151="","",'전기원장'!D151)</x:f>
      </x:c>
      <x:c r="F151" s="73" t="str">
        <x:f>IF('전기원장'!A151="","",'전기원장'!E151)</x:f>
      </x:c>
      <x:c r="G151" s="75" t="str">
        <x:f>IF('전기원장'!A151="","",'전기원장'!H151)</x:f>
      </x:c>
      <x:c r="H151" s="73" t="str">
        <x:f>IF('전기원장'!A151="","",'전기원장'!I151)</x:f>
      </x:c>
      <x:c r="I151" s="73" t="str">
        <x:f>IF('전기원장'!A151="","",'전기원장'!J151)</x:f>
      </x:c>
      <x:c r="J151" s="73" t="str">
        <x:f>IF('전기원장'!A151="","",'전기원장'!K151)</x:f>
      </x:c>
      <x:c r="K151" s="73" t="str">
        <x:f>IF(B151="","",IF(COUNTIF($B$5:B151,B151)=1,COUNT($K$4:K150)+1,""))</x:f>
      </x:c>
      <x:c r="L151" s="85" t="str">
        <x:f>IF(B151="","",IF(COUNTIFS('계정비교'!$A$5:$A$1004,B151,'계정비교'!$H$5:$H$1004,"원인분석 대상")&gt;0,COUNT($L$4:L150)+1,""))</x:f>
      </x:c>
    </x:row>
    <x:row r="152">
      <x:c r="A152" s="73" t="str">
        <x:f>IF('전기원장'!A152="","","전기")</x:f>
      </x:c>
      <x:c r="B152" s="73" t="str">
        <x:f>IF('전기원장'!A152="","",'전기원장'!A152)</x:f>
      </x:c>
      <x:c r="C152" s="73" t="str">
        <x:f>IF('전기원장'!A152="","",'전기원장'!B152)</x:f>
      </x:c>
      <x:c r="D152" s="74" t="str">
        <x:f>IF('전기원장'!A152="","",'전기원장'!C152)</x:f>
      </x:c>
      <x:c r="E152" s="73" t="str">
        <x:f>IF('전기원장'!A152="","",'전기원장'!D152)</x:f>
      </x:c>
      <x:c r="F152" s="73" t="str">
        <x:f>IF('전기원장'!A152="","",'전기원장'!E152)</x:f>
      </x:c>
      <x:c r="G152" s="75" t="str">
        <x:f>IF('전기원장'!A152="","",'전기원장'!H152)</x:f>
      </x:c>
      <x:c r="H152" s="73" t="str">
        <x:f>IF('전기원장'!A152="","",'전기원장'!I152)</x:f>
      </x:c>
      <x:c r="I152" s="73" t="str">
        <x:f>IF('전기원장'!A152="","",'전기원장'!J152)</x:f>
      </x:c>
      <x:c r="J152" s="73" t="str">
        <x:f>IF('전기원장'!A152="","",'전기원장'!K152)</x:f>
      </x:c>
      <x:c r="K152" s="73" t="str">
        <x:f>IF(B152="","",IF(COUNTIF($B$5:B152,B152)=1,COUNT($K$4:K151)+1,""))</x:f>
      </x:c>
      <x:c r="L152" s="85" t="str">
        <x:f>IF(B152="","",IF(COUNTIFS('계정비교'!$A$5:$A$1004,B152,'계정비교'!$H$5:$H$1004,"원인분석 대상")&gt;0,COUNT($L$4:L151)+1,""))</x:f>
      </x:c>
    </x:row>
    <x:row r="153">
      <x:c r="A153" s="73" t="str">
        <x:f>IF('전기원장'!A153="","","전기")</x:f>
      </x:c>
      <x:c r="B153" s="73" t="str">
        <x:f>IF('전기원장'!A153="","",'전기원장'!A153)</x:f>
      </x:c>
      <x:c r="C153" s="73" t="str">
        <x:f>IF('전기원장'!A153="","",'전기원장'!B153)</x:f>
      </x:c>
      <x:c r="D153" s="74" t="str">
        <x:f>IF('전기원장'!A153="","",'전기원장'!C153)</x:f>
      </x:c>
      <x:c r="E153" s="73" t="str">
        <x:f>IF('전기원장'!A153="","",'전기원장'!D153)</x:f>
      </x:c>
      <x:c r="F153" s="73" t="str">
        <x:f>IF('전기원장'!A153="","",'전기원장'!E153)</x:f>
      </x:c>
      <x:c r="G153" s="75" t="str">
        <x:f>IF('전기원장'!A153="","",'전기원장'!H153)</x:f>
      </x:c>
      <x:c r="H153" s="73" t="str">
        <x:f>IF('전기원장'!A153="","",'전기원장'!I153)</x:f>
      </x:c>
      <x:c r="I153" s="73" t="str">
        <x:f>IF('전기원장'!A153="","",'전기원장'!J153)</x:f>
      </x:c>
      <x:c r="J153" s="73" t="str">
        <x:f>IF('전기원장'!A153="","",'전기원장'!K153)</x:f>
      </x:c>
      <x:c r="K153" s="73" t="str">
        <x:f>IF(B153="","",IF(COUNTIF($B$5:B153,B153)=1,COUNT($K$4:K152)+1,""))</x:f>
      </x:c>
      <x:c r="L153" s="85" t="str">
        <x:f>IF(B153="","",IF(COUNTIFS('계정비교'!$A$5:$A$1004,B153,'계정비교'!$H$5:$H$1004,"원인분석 대상")&gt;0,COUNT($L$4:L152)+1,""))</x:f>
      </x:c>
    </x:row>
    <x:row r="154">
      <x:c r="A154" s="73" t="str">
        <x:f>IF('전기원장'!A154="","","전기")</x:f>
      </x:c>
      <x:c r="B154" s="73" t="str">
        <x:f>IF('전기원장'!A154="","",'전기원장'!A154)</x:f>
      </x:c>
      <x:c r="C154" s="73" t="str">
        <x:f>IF('전기원장'!A154="","",'전기원장'!B154)</x:f>
      </x:c>
      <x:c r="D154" s="74" t="str">
        <x:f>IF('전기원장'!A154="","",'전기원장'!C154)</x:f>
      </x:c>
      <x:c r="E154" s="73" t="str">
        <x:f>IF('전기원장'!A154="","",'전기원장'!D154)</x:f>
      </x:c>
      <x:c r="F154" s="73" t="str">
        <x:f>IF('전기원장'!A154="","",'전기원장'!E154)</x:f>
      </x:c>
      <x:c r="G154" s="75" t="str">
        <x:f>IF('전기원장'!A154="","",'전기원장'!H154)</x:f>
      </x:c>
      <x:c r="H154" s="73" t="str">
        <x:f>IF('전기원장'!A154="","",'전기원장'!I154)</x:f>
      </x:c>
      <x:c r="I154" s="73" t="str">
        <x:f>IF('전기원장'!A154="","",'전기원장'!J154)</x:f>
      </x:c>
      <x:c r="J154" s="73" t="str">
        <x:f>IF('전기원장'!A154="","",'전기원장'!K154)</x:f>
      </x:c>
      <x:c r="K154" s="73" t="str">
        <x:f>IF(B154="","",IF(COUNTIF($B$5:B154,B154)=1,COUNT($K$4:K153)+1,""))</x:f>
      </x:c>
      <x:c r="L154" s="85" t="str">
        <x:f>IF(B154="","",IF(COUNTIFS('계정비교'!$A$5:$A$1004,B154,'계정비교'!$H$5:$H$1004,"원인분석 대상")&gt;0,COUNT($L$4:L153)+1,""))</x:f>
      </x:c>
    </x:row>
    <x:row r="155">
      <x:c r="A155" s="73" t="str">
        <x:f>IF('전기원장'!A155="","","전기")</x:f>
      </x:c>
      <x:c r="B155" s="73" t="str">
        <x:f>IF('전기원장'!A155="","",'전기원장'!A155)</x:f>
      </x:c>
      <x:c r="C155" s="73" t="str">
        <x:f>IF('전기원장'!A155="","",'전기원장'!B155)</x:f>
      </x:c>
      <x:c r="D155" s="74" t="str">
        <x:f>IF('전기원장'!A155="","",'전기원장'!C155)</x:f>
      </x:c>
      <x:c r="E155" s="73" t="str">
        <x:f>IF('전기원장'!A155="","",'전기원장'!D155)</x:f>
      </x:c>
      <x:c r="F155" s="73" t="str">
        <x:f>IF('전기원장'!A155="","",'전기원장'!E155)</x:f>
      </x:c>
      <x:c r="G155" s="75" t="str">
        <x:f>IF('전기원장'!A155="","",'전기원장'!H155)</x:f>
      </x:c>
      <x:c r="H155" s="73" t="str">
        <x:f>IF('전기원장'!A155="","",'전기원장'!I155)</x:f>
      </x:c>
      <x:c r="I155" s="73" t="str">
        <x:f>IF('전기원장'!A155="","",'전기원장'!J155)</x:f>
      </x:c>
      <x:c r="J155" s="73" t="str">
        <x:f>IF('전기원장'!A155="","",'전기원장'!K155)</x:f>
      </x:c>
      <x:c r="K155" s="73" t="str">
        <x:f>IF(B155="","",IF(COUNTIF($B$5:B155,B155)=1,COUNT($K$4:K154)+1,""))</x:f>
      </x:c>
      <x:c r="L155" s="85" t="str">
        <x:f>IF(B155="","",IF(COUNTIFS('계정비교'!$A$5:$A$1004,B155,'계정비교'!$H$5:$H$1004,"원인분석 대상")&gt;0,COUNT($L$4:L154)+1,""))</x:f>
      </x:c>
    </x:row>
    <x:row r="156">
      <x:c r="A156" s="73" t="str">
        <x:f>IF('전기원장'!A156="","","전기")</x:f>
      </x:c>
      <x:c r="B156" s="73" t="str">
        <x:f>IF('전기원장'!A156="","",'전기원장'!A156)</x:f>
      </x:c>
      <x:c r="C156" s="73" t="str">
        <x:f>IF('전기원장'!A156="","",'전기원장'!B156)</x:f>
      </x:c>
      <x:c r="D156" s="74" t="str">
        <x:f>IF('전기원장'!A156="","",'전기원장'!C156)</x:f>
      </x:c>
      <x:c r="E156" s="73" t="str">
        <x:f>IF('전기원장'!A156="","",'전기원장'!D156)</x:f>
      </x:c>
      <x:c r="F156" s="73" t="str">
        <x:f>IF('전기원장'!A156="","",'전기원장'!E156)</x:f>
      </x:c>
      <x:c r="G156" s="75" t="str">
        <x:f>IF('전기원장'!A156="","",'전기원장'!H156)</x:f>
      </x:c>
      <x:c r="H156" s="73" t="str">
        <x:f>IF('전기원장'!A156="","",'전기원장'!I156)</x:f>
      </x:c>
      <x:c r="I156" s="73" t="str">
        <x:f>IF('전기원장'!A156="","",'전기원장'!J156)</x:f>
      </x:c>
      <x:c r="J156" s="73" t="str">
        <x:f>IF('전기원장'!A156="","",'전기원장'!K156)</x:f>
      </x:c>
      <x:c r="K156" s="73" t="str">
        <x:f>IF(B156="","",IF(COUNTIF($B$5:B156,B156)=1,COUNT($K$4:K155)+1,""))</x:f>
      </x:c>
      <x:c r="L156" s="85" t="str">
        <x:f>IF(B156="","",IF(COUNTIFS('계정비교'!$A$5:$A$1004,B156,'계정비교'!$H$5:$H$1004,"원인분석 대상")&gt;0,COUNT($L$4:L155)+1,""))</x:f>
      </x:c>
    </x:row>
    <x:row r="157">
      <x:c r="A157" s="73" t="str">
        <x:f>IF('전기원장'!A157="","","전기")</x:f>
      </x:c>
      <x:c r="B157" s="73" t="str">
        <x:f>IF('전기원장'!A157="","",'전기원장'!A157)</x:f>
      </x:c>
      <x:c r="C157" s="73" t="str">
        <x:f>IF('전기원장'!A157="","",'전기원장'!B157)</x:f>
      </x:c>
      <x:c r="D157" s="74" t="str">
        <x:f>IF('전기원장'!A157="","",'전기원장'!C157)</x:f>
      </x:c>
      <x:c r="E157" s="73" t="str">
        <x:f>IF('전기원장'!A157="","",'전기원장'!D157)</x:f>
      </x:c>
      <x:c r="F157" s="73" t="str">
        <x:f>IF('전기원장'!A157="","",'전기원장'!E157)</x:f>
      </x:c>
      <x:c r="G157" s="75" t="str">
        <x:f>IF('전기원장'!A157="","",'전기원장'!H157)</x:f>
      </x:c>
      <x:c r="H157" s="73" t="str">
        <x:f>IF('전기원장'!A157="","",'전기원장'!I157)</x:f>
      </x:c>
      <x:c r="I157" s="73" t="str">
        <x:f>IF('전기원장'!A157="","",'전기원장'!J157)</x:f>
      </x:c>
      <x:c r="J157" s="73" t="str">
        <x:f>IF('전기원장'!A157="","",'전기원장'!K157)</x:f>
      </x:c>
      <x:c r="K157" s="73" t="str">
        <x:f>IF(B157="","",IF(COUNTIF($B$5:B157,B157)=1,COUNT($K$4:K156)+1,""))</x:f>
      </x:c>
      <x:c r="L157" s="85" t="str">
        <x:f>IF(B157="","",IF(COUNTIFS('계정비교'!$A$5:$A$1004,B157,'계정비교'!$H$5:$H$1004,"원인분석 대상")&gt;0,COUNT($L$4:L156)+1,""))</x:f>
      </x:c>
    </x:row>
    <x:row r="158">
      <x:c r="A158" s="73" t="str">
        <x:f>IF('전기원장'!A158="","","전기")</x:f>
      </x:c>
      <x:c r="B158" s="73" t="str">
        <x:f>IF('전기원장'!A158="","",'전기원장'!A158)</x:f>
      </x:c>
      <x:c r="C158" s="73" t="str">
        <x:f>IF('전기원장'!A158="","",'전기원장'!B158)</x:f>
      </x:c>
      <x:c r="D158" s="74" t="str">
        <x:f>IF('전기원장'!A158="","",'전기원장'!C158)</x:f>
      </x:c>
      <x:c r="E158" s="73" t="str">
        <x:f>IF('전기원장'!A158="","",'전기원장'!D158)</x:f>
      </x:c>
      <x:c r="F158" s="73" t="str">
        <x:f>IF('전기원장'!A158="","",'전기원장'!E158)</x:f>
      </x:c>
      <x:c r="G158" s="75" t="str">
        <x:f>IF('전기원장'!A158="","",'전기원장'!H158)</x:f>
      </x:c>
      <x:c r="H158" s="73" t="str">
        <x:f>IF('전기원장'!A158="","",'전기원장'!I158)</x:f>
      </x:c>
      <x:c r="I158" s="73" t="str">
        <x:f>IF('전기원장'!A158="","",'전기원장'!J158)</x:f>
      </x:c>
      <x:c r="J158" s="73" t="str">
        <x:f>IF('전기원장'!A158="","",'전기원장'!K158)</x:f>
      </x:c>
      <x:c r="K158" s="73" t="str">
        <x:f>IF(B158="","",IF(COUNTIF($B$5:B158,B158)=1,COUNT($K$4:K157)+1,""))</x:f>
      </x:c>
      <x:c r="L158" s="85" t="str">
        <x:f>IF(B158="","",IF(COUNTIFS('계정비교'!$A$5:$A$1004,B158,'계정비교'!$H$5:$H$1004,"원인분석 대상")&gt;0,COUNT($L$4:L157)+1,""))</x:f>
      </x:c>
    </x:row>
    <x:row r="159">
      <x:c r="A159" s="73" t="str">
        <x:f>IF('전기원장'!A159="","","전기")</x:f>
      </x:c>
      <x:c r="B159" s="73" t="str">
        <x:f>IF('전기원장'!A159="","",'전기원장'!A159)</x:f>
      </x:c>
      <x:c r="C159" s="73" t="str">
        <x:f>IF('전기원장'!A159="","",'전기원장'!B159)</x:f>
      </x:c>
      <x:c r="D159" s="74" t="str">
        <x:f>IF('전기원장'!A159="","",'전기원장'!C159)</x:f>
      </x:c>
      <x:c r="E159" s="73" t="str">
        <x:f>IF('전기원장'!A159="","",'전기원장'!D159)</x:f>
      </x:c>
      <x:c r="F159" s="73" t="str">
        <x:f>IF('전기원장'!A159="","",'전기원장'!E159)</x:f>
      </x:c>
      <x:c r="G159" s="75" t="str">
        <x:f>IF('전기원장'!A159="","",'전기원장'!H159)</x:f>
      </x:c>
      <x:c r="H159" s="73" t="str">
        <x:f>IF('전기원장'!A159="","",'전기원장'!I159)</x:f>
      </x:c>
      <x:c r="I159" s="73" t="str">
        <x:f>IF('전기원장'!A159="","",'전기원장'!J159)</x:f>
      </x:c>
      <x:c r="J159" s="73" t="str">
        <x:f>IF('전기원장'!A159="","",'전기원장'!K159)</x:f>
      </x:c>
      <x:c r="K159" s="73" t="str">
        <x:f>IF(B159="","",IF(COUNTIF($B$5:B159,B159)=1,COUNT($K$4:K158)+1,""))</x:f>
      </x:c>
      <x:c r="L159" s="85" t="str">
        <x:f>IF(B159="","",IF(COUNTIFS('계정비교'!$A$5:$A$1004,B159,'계정비교'!$H$5:$H$1004,"원인분석 대상")&gt;0,COUNT($L$4:L158)+1,""))</x:f>
      </x:c>
    </x:row>
    <x:row r="160">
      <x:c r="A160" s="73" t="str">
        <x:f>IF('전기원장'!A160="","","전기")</x:f>
      </x:c>
      <x:c r="B160" s="73" t="str">
        <x:f>IF('전기원장'!A160="","",'전기원장'!A160)</x:f>
      </x:c>
      <x:c r="C160" s="73" t="str">
        <x:f>IF('전기원장'!A160="","",'전기원장'!B160)</x:f>
      </x:c>
      <x:c r="D160" s="74" t="str">
        <x:f>IF('전기원장'!A160="","",'전기원장'!C160)</x:f>
      </x:c>
      <x:c r="E160" s="73" t="str">
        <x:f>IF('전기원장'!A160="","",'전기원장'!D160)</x:f>
      </x:c>
      <x:c r="F160" s="73" t="str">
        <x:f>IF('전기원장'!A160="","",'전기원장'!E160)</x:f>
      </x:c>
      <x:c r="G160" s="75" t="str">
        <x:f>IF('전기원장'!A160="","",'전기원장'!H160)</x:f>
      </x:c>
      <x:c r="H160" s="73" t="str">
        <x:f>IF('전기원장'!A160="","",'전기원장'!I160)</x:f>
      </x:c>
      <x:c r="I160" s="73" t="str">
        <x:f>IF('전기원장'!A160="","",'전기원장'!J160)</x:f>
      </x:c>
      <x:c r="J160" s="73" t="str">
        <x:f>IF('전기원장'!A160="","",'전기원장'!K160)</x:f>
      </x:c>
      <x:c r="K160" s="73" t="str">
        <x:f>IF(B160="","",IF(COUNTIF($B$5:B160,B160)=1,COUNT($K$4:K159)+1,""))</x:f>
      </x:c>
      <x:c r="L160" s="85" t="str">
        <x:f>IF(B160="","",IF(COUNTIFS('계정비교'!$A$5:$A$1004,B160,'계정비교'!$H$5:$H$1004,"원인분석 대상")&gt;0,COUNT($L$4:L159)+1,""))</x:f>
      </x:c>
    </x:row>
    <x:row r="161">
      <x:c r="A161" s="73" t="str">
        <x:f>IF('전기원장'!A161="","","전기")</x:f>
      </x:c>
      <x:c r="B161" s="73" t="str">
        <x:f>IF('전기원장'!A161="","",'전기원장'!A161)</x:f>
      </x:c>
      <x:c r="C161" s="73" t="str">
        <x:f>IF('전기원장'!A161="","",'전기원장'!B161)</x:f>
      </x:c>
      <x:c r="D161" s="74" t="str">
        <x:f>IF('전기원장'!A161="","",'전기원장'!C161)</x:f>
      </x:c>
      <x:c r="E161" s="73" t="str">
        <x:f>IF('전기원장'!A161="","",'전기원장'!D161)</x:f>
      </x:c>
      <x:c r="F161" s="73" t="str">
        <x:f>IF('전기원장'!A161="","",'전기원장'!E161)</x:f>
      </x:c>
      <x:c r="G161" s="75" t="str">
        <x:f>IF('전기원장'!A161="","",'전기원장'!H161)</x:f>
      </x:c>
      <x:c r="H161" s="73" t="str">
        <x:f>IF('전기원장'!A161="","",'전기원장'!I161)</x:f>
      </x:c>
      <x:c r="I161" s="73" t="str">
        <x:f>IF('전기원장'!A161="","",'전기원장'!J161)</x:f>
      </x:c>
      <x:c r="J161" s="73" t="str">
        <x:f>IF('전기원장'!A161="","",'전기원장'!K161)</x:f>
      </x:c>
      <x:c r="K161" s="73" t="str">
        <x:f>IF(B161="","",IF(COUNTIF($B$5:B161,B161)=1,COUNT($K$4:K160)+1,""))</x:f>
      </x:c>
      <x:c r="L161" s="85" t="str">
        <x:f>IF(B161="","",IF(COUNTIFS('계정비교'!$A$5:$A$1004,B161,'계정비교'!$H$5:$H$1004,"원인분석 대상")&gt;0,COUNT($L$4:L160)+1,""))</x:f>
      </x:c>
    </x:row>
    <x:row r="162">
      <x:c r="A162" s="73" t="str">
        <x:f>IF('전기원장'!A162="","","전기")</x:f>
      </x:c>
      <x:c r="B162" s="73" t="str">
        <x:f>IF('전기원장'!A162="","",'전기원장'!A162)</x:f>
      </x:c>
      <x:c r="C162" s="73" t="str">
        <x:f>IF('전기원장'!A162="","",'전기원장'!B162)</x:f>
      </x:c>
      <x:c r="D162" s="74" t="str">
        <x:f>IF('전기원장'!A162="","",'전기원장'!C162)</x:f>
      </x:c>
      <x:c r="E162" s="73" t="str">
        <x:f>IF('전기원장'!A162="","",'전기원장'!D162)</x:f>
      </x:c>
      <x:c r="F162" s="73" t="str">
        <x:f>IF('전기원장'!A162="","",'전기원장'!E162)</x:f>
      </x:c>
      <x:c r="G162" s="75" t="str">
        <x:f>IF('전기원장'!A162="","",'전기원장'!H162)</x:f>
      </x:c>
      <x:c r="H162" s="73" t="str">
        <x:f>IF('전기원장'!A162="","",'전기원장'!I162)</x:f>
      </x:c>
      <x:c r="I162" s="73" t="str">
        <x:f>IF('전기원장'!A162="","",'전기원장'!J162)</x:f>
      </x:c>
      <x:c r="J162" s="73" t="str">
        <x:f>IF('전기원장'!A162="","",'전기원장'!K162)</x:f>
      </x:c>
      <x:c r="K162" s="73" t="str">
        <x:f>IF(B162="","",IF(COUNTIF($B$5:B162,B162)=1,COUNT($K$4:K161)+1,""))</x:f>
      </x:c>
      <x:c r="L162" s="85" t="str">
        <x:f>IF(B162="","",IF(COUNTIFS('계정비교'!$A$5:$A$1004,B162,'계정비교'!$H$5:$H$1004,"원인분석 대상")&gt;0,COUNT($L$4:L161)+1,""))</x:f>
      </x:c>
    </x:row>
    <x:row r="163">
      <x:c r="A163" s="73" t="str">
        <x:f>IF('전기원장'!A163="","","전기")</x:f>
      </x:c>
      <x:c r="B163" s="73" t="str">
        <x:f>IF('전기원장'!A163="","",'전기원장'!A163)</x:f>
      </x:c>
      <x:c r="C163" s="73" t="str">
        <x:f>IF('전기원장'!A163="","",'전기원장'!B163)</x:f>
      </x:c>
      <x:c r="D163" s="74" t="str">
        <x:f>IF('전기원장'!A163="","",'전기원장'!C163)</x:f>
      </x:c>
      <x:c r="E163" s="73" t="str">
        <x:f>IF('전기원장'!A163="","",'전기원장'!D163)</x:f>
      </x:c>
      <x:c r="F163" s="73" t="str">
        <x:f>IF('전기원장'!A163="","",'전기원장'!E163)</x:f>
      </x:c>
      <x:c r="G163" s="75" t="str">
        <x:f>IF('전기원장'!A163="","",'전기원장'!H163)</x:f>
      </x:c>
      <x:c r="H163" s="73" t="str">
        <x:f>IF('전기원장'!A163="","",'전기원장'!I163)</x:f>
      </x:c>
      <x:c r="I163" s="73" t="str">
        <x:f>IF('전기원장'!A163="","",'전기원장'!J163)</x:f>
      </x:c>
      <x:c r="J163" s="73" t="str">
        <x:f>IF('전기원장'!A163="","",'전기원장'!K163)</x:f>
      </x:c>
      <x:c r="K163" s="73" t="str">
        <x:f>IF(B163="","",IF(COUNTIF($B$5:B163,B163)=1,COUNT($K$4:K162)+1,""))</x:f>
      </x:c>
      <x:c r="L163" s="85" t="str">
        <x:f>IF(B163="","",IF(COUNTIFS('계정비교'!$A$5:$A$1004,B163,'계정비교'!$H$5:$H$1004,"원인분석 대상")&gt;0,COUNT($L$4:L162)+1,""))</x:f>
      </x:c>
    </x:row>
    <x:row r="164">
      <x:c r="A164" s="73" t="str">
        <x:f>IF('전기원장'!A164="","","전기")</x:f>
      </x:c>
      <x:c r="B164" s="73" t="str">
        <x:f>IF('전기원장'!A164="","",'전기원장'!A164)</x:f>
      </x:c>
      <x:c r="C164" s="73" t="str">
        <x:f>IF('전기원장'!A164="","",'전기원장'!B164)</x:f>
      </x:c>
      <x:c r="D164" s="74" t="str">
        <x:f>IF('전기원장'!A164="","",'전기원장'!C164)</x:f>
      </x:c>
      <x:c r="E164" s="73" t="str">
        <x:f>IF('전기원장'!A164="","",'전기원장'!D164)</x:f>
      </x:c>
      <x:c r="F164" s="73" t="str">
        <x:f>IF('전기원장'!A164="","",'전기원장'!E164)</x:f>
      </x:c>
      <x:c r="G164" s="75" t="str">
        <x:f>IF('전기원장'!A164="","",'전기원장'!H164)</x:f>
      </x:c>
      <x:c r="H164" s="73" t="str">
        <x:f>IF('전기원장'!A164="","",'전기원장'!I164)</x:f>
      </x:c>
      <x:c r="I164" s="73" t="str">
        <x:f>IF('전기원장'!A164="","",'전기원장'!J164)</x:f>
      </x:c>
      <x:c r="J164" s="73" t="str">
        <x:f>IF('전기원장'!A164="","",'전기원장'!K164)</x:f>
      </x:c>
      <x:c r="K164" s="73" t="str">
        <x:f>IF(B164="","",IF(COUNTIF($B$5:B164,B164)=1,COUNT($K$4:K163)+1,""))</x:f>
      </x:c>
      <x:c r="L164" s="85" t="str">
        <x:f>IF(B164="","",IF(COUNTIFS('계정비교'!$A$5:$A$1004,B164,'계정비교'!$H$5:$H$1004,"원인분석 대상")&gt;0,COUNT($L$4:L163)+1,""))</x:f>
      </x:c>
    </x:row>
    <x:row r="165">
      <x:c r="A165" s="73" t="str">
        <x:f>IF('전기원장'!A165="","","전기")</x:f>
      </x:c>
      <x:c r="B165" s="73" t="str">
        <x:f>IF('전기원장'!A165="","",'전기원장'!A165)</x:f>
      </x:c>
      <x:c r="C165" s="73" t="str">
        <x:f>IF('전기원장'!A165="","",'전기원장'!B165)</x:f>
      </x:c>
      <x:c r="D165" s="74" t="str">
        <x:f>IF('전기원장'!A165="","",'전기원장'!C165)</x:f>
      </x:c>
      <x:c r="E165" s="73" t="str">
        <x:f>IF('전기원장'!A165="","",'전기원장'!D165)</x:f>
      </x:c>
      <x:c r="F165" s="73" t="str">
        <x:f>IF('전기원장'!A165="","",'전기원장'!E165)</x:f>
      </x:c>
      <x:c r="G165" s="75" t="str">
        <x:f>IF('전기원장'!A165="","",'전기원장'!H165)</x:f>
      </x:c>
      <x:c r="H165" s="73" t="str">
        <x:f>IF('전기원장'!A165="","",'전기원장'!I165)</x:f>
      </x:c>
      <x:c r="I165" s="73" t="str">
        <x:f>IF('전기원장'!A165="","",'전기원장'!J165)</x:f>
      </x:c>
      <x:c r="J165" s="73" t="str">
        <x:f>IF('전기원장'!A165="","",'전기원장'!K165)</x:f>
      </x:c>
      <x:c r="K165" s="73" t="str">
        <x:f>IF(B165="","",IF(COUNTIF($B$5:B165,B165)=1,COUNT($K$4:K164)+1,""))</x:f>
      </x:c>
      <x:c r="L165" s="85" t="str">
        <x:f>IF(B165="","",IF(COUNTIFS('계정비교'!$A$5:$A$1004,B165,'계정비교'!$H$5:$H$1004,"원인분석 대상")&gt;0,COUNT($L$4:L164)+1,""))</x:f>
      </x:c>
    </x:row>
    <x:row r="166">
      <x:c r="A166" s="73" t="str">
        <x:f>IF('전기원장'!A166="","","전기")</x:f>
      </x:c>
      <x:c r="B166" s="73" t="str">
        <x:f>IF('전기원장'!A166="","",'전기원장'!A166)</x:f>
      </x:c>
      <x:c r="C166" s="73" t="str">
        <x:f>IF('전기원장'!A166="","",'전기원장'!B166)</x:f>
      </x:c>
      <x:c r="D166" s="74" t="str">
        <x:f>IF('전기원장'!A166="","",'전기원장'!C166)</x:f>
      </x:c>
      <x:c r="E166" s="73" t="str">
        <x:f>IF('전기원장'!A166="","",'전기원장'!D166)</x:f>
      </x:c>
      <x:c r="F166" s="73" t="str">
        <x:f>IF('전기원장'!A166="","",'전기원장'!E166)</x:f>
      </x:c>
      <x:c r="G166" s="75" t="str">
        <x:f>IF('전기원장'!A166="","",'전기원장'!H166)</x:f>
      </x:c>
      <x:c r="H166" s="73" t="str">
        <x:f>IF('전기원장'!A166="","",'전기원장'!I166)</x:f>
      </x:c>
      <x:c r="I166" s="73" t="str">
        <x:f>IF('전기원장'!A166="","",'전기원장'!J166)</x:f>
      </x:c>
      <x:c r="J166" s="73" t="str">
        <x:f>IF('전기원장'!A166="","",'전기원장'!K166)</x:f>
      </x:c>
      <x:c r="K166" s="73" t="str">
        <x:f>IF(B166="","",IF(COUNTIF($B$5:B166,B166)=1,COUNT($K$4:K165)+1,""))</x:f>
      </x:c>
      <x:c r="L166" s="85" t="str">
        <x:f>IF(B166="","",IF(COUNTIFS('계정비교'!$A$5:$A$1004,B166,'계정비교'!$H$5:$H$1004,"원인분석 대상")&gt;0,COUNT($L$4:L165)+1,""))</x:f>
      </x:c>
    </x:row>
    <x:row r="167">
      <x:c r="A167" s="73" t="str">
        <x:f>IF('전기원장'!A167="","","전기")</x:f>
      </x:c>
      <x:c r="B167" s="73" t="str">
        <x:f>IF('전기원장'!A167="","",'전기원장'!A167)</x:f>
      </x:c>
      <x:c r="C167" s="73" t="str">
        <x:f>IF('전기원장'!A167="","",'전기원장'!B167)</x:f>
      </x:c>
      <x:c r="D167" s="74" t="str">
        <x:f>IF('전기원장'!A167="","",'전기원장'!C167)</x:f>
      </x:c>
      <x:c r="E167" s="73" t="str">
        <x:f>IF('전기원장'!A167="","",'전기원장'!D167)</x:f>
      </x:c>
      <x:c r="F167" s="73" t="str">
        <x:f>IF('전기원장'!A167="","",'전기원장'!E167)</x:f>
      </x:c>
      <x:c r="G167" s="75" t="str">
        <x:f>IF('전기원장'!A167="","",'전기원장'!H167)</x:f>
      </x:c>
      <x:c r="H167" s="73" t="str">
        <x:f>IF('전기원장'!A167="","",'전기원장'!I167)</x:f>
      </x:c>
      <x:c r="I167" s="73" t="str">
        <x:f>IF('전기원장'!A167="","",'전기원장'!J167)</x:f>
      </x:c>
      <x:c r="J167" s="73" t="str">
        <x:f>IF('전기원장'!A167="","",'전기원장'!K167)</x:f>
      </x:c>
      <x:c r="K167" s="73" t="str">
        <x:f>IF(B167="","",IF(COUNTIF($B$5:B167,B167)=1,COUNT($K$4:K166)+1,""))</x:f>
      </x:c>
      <x:c r="L167" s="85" t="str">
        <x:f>IF(B167="","",IF(COUNTIFS('계정비교'!$A$5:$A$1004,B167,'계정비교'!$H$5:$H$1004,"원인분석 대상")&gt;0,COUNT($L$4:L166)+1,""))</x:f>
      </x:c>
    </x:row>
    <x:row r="168">
      <x:c r="A168" s="73" t="str">
        <x:f>IF('전기원장'!A168="","","전기")</x:f>
      </x:c>
      <x:c r="B168" s="73" t="str">
        <x:f>IF('전기원장'!A168="","",'전기원장'!A168)</x:f>
      </x:c>
      <x:c r="C168" s="73" t="str">
        <x:f>IF('전기원장'!A168="","",'전기원장'!B168)</x:f>
      </x:c>
      <x:c r="D168" s="74" t="str">
        <x:f>IF('전기원장'!A168="","",'전기원장'!C168)</x:f>
      </x:c>
      <x:c r="E168" s="73" t="str">
        <x:f>IF('전기원장'!A168="","",'전기원장'!D168)</x:f>
      </x:c>
      <x:c r="F168" s="73" t="str">
        <x:f>IF('전기원장'!A168="","",'전기원장'!E168)</x:f>
      </x:c>
      <x:c r="G168" s="75" t="str">
        <x:f>IF('전기원장'!A168="","",'전기원장'!H168)</x:f>
      </x:c>
      <x:c r="H168" s="73" t="str">
        <x:f>IF('전기원장'!A168="","",'전기원장'!I168)</x:f>
      </x:c>
      <x:c r="I168" s="73" t="str">
        <x:f>IF('전기원장'!A168="","",'전기원장'!J168)</x:f>
      </x:c>
      <x:c r="J168" s="73" t="str">
        <x:f>IF('전기원장'!A168="","",'전기원장'!K168)</x:f>
      </x:c>
      <x:c r="K168" s="73" t="str">
        <x:f>IF(B168="","",IF(COUNTIF($B$5:B168,B168)=1,COUNT($K$4:K167)+1,""))</x:f>
      </x:c>
      <x:c r="L168" s="85" t="str">
        <x:f>IF(B168="","",IF(COUNTIFS('계정비교'!$A$5:$A$1004,B168,'계정비교'!$H$5:$H$1004,"원인분석 대상")&gt;0,COUNT($L$4:L167)+1,""))</x:f>
      </x:c>
    </x:row>
    <x:row r="169">
      <x:c r="A169" s="73" t="str">
        <x:f>IF('전기원장'!A169="","","전기")</x:f>
      </x:c>
      <x:c r="B169" s="73" t="str">
        <x:f>IF('전기원장'!A169="","",'전기원장'!A169)</x:f>
      </x:c>
      <x:c r="C169" s="73" t="str">
        <x:f>IF('전기원장'!A169="","",'전기원장'!B169)</x:f>
      </x:c>
      <x:c r="D169" s="74" t="str">
        <x:f>IF('전기원장'!A169="","",'전기원장'!C169)</x:f>
      </x:c>
      <x:c r="E169" s="73" t="str">
        <x:f>IF('전기원장'!A169="","",'전기원장'!D169)</x:f>
      </x:c>
      <x:c r="F169" s="73" t="str">
        <x:f>IF('전기원장'!A169="","",'전기원장'!E169)</x:f>
      </x:c>
      <x:c r="G169" s="75" t="str">
        <x:f>IF('전기원장'!A169="","",'전기원장'!H169)</x:f>
      </x:c>
      <x:c r="H169" s="73" t="str">
        <x:f>IF('전기원장'!A169="","",'전기원장'!I169)</x:f>
      </x:c>
      <x:c r="I169" s="73" t="str">
        <x:f>IF('전기원장'!A169="","",'전기원장'!J169)</x:f>
      </x:c>
      <x:c r="J169" s="73" t="str">
        <x:f>IF('전기원장'!A169="","",'전기원장'!K169)</x:f>
      </x:c>
      <x:c r="K169" s="73" t="str">
        <x:f>IF(B169="","",IF(COUNTIF($B$5:B169,B169)=1,COUNT($K$4:K168)+1,""))</x:f>
      </x:c>
      <x:c r="L169" s="85" t="str">
        <x:f>IF(B169="","",IF(COUNTIFS('계정비교'!$A$5:$A$1004,B169,'계정비교'!$H$5:$H$1004,"원인분석 대상")&gt;0,COUNT($L$4:L168)+1,""))</x:f>
      </x:c>
    </x:row>
    <x:row r="170">
      <x:c r="A170" s="73" t="str">
        <x:f>IF('전기원장'!A170="","","전기")</x:f>
      </x:c>
      <x:c r="B170" s="73" t="str">
        <x:f>IF('전기원장'!A170="","",'전기원장'!A170)</x:f>
      </x:c>
      <x:c r="C170" s="73" t="str">
        <x:f>IF('전기원장'!A170="","",'전기원장'!B170)</x:f>
      </x:c>
      <x:c r="D170" s="74" t="str">
        <x:f>IF('전기원장'!A170="","",'전기원장'!C170)</x:f>
      </x:c>
      <x:c r="E170" s="73" t="str">
        <x:f>IF('전기원장'!A170="","",'전기원장'!D170)</x:f>
      </x:c>
      <x:c r="F170" s="73" t="str">
        <x:f>IF('전기원장'!A170="","",'전기원장'!E170)</x:f>
      </x:c>
      <x:c r="G170" s="75" t="str">
        <x:f>IF('전기원장'!A170="","",'전기원장'!H170)</x:f>
      </x:c>
      <x:c r="H170" s="73" t="str">
        <x:f>IF('전기원장'!A170="","",'전기원장'!I170)</x:f>
      </x:c>
      <x:c r="I170" s="73" t="str">
        <x:f>IF('전기원장'!A170="","",'전기원장'!J170)</x:f>
      </x:c>
      <x:c r="J170" s="73" t="str">
        <x:f>IF('전기원장'!A170="","",'전기원장'!K170)</x:f>
      </x:c>
      <x:c r="K170" s="73" t="str">
        <x:f>IF(B170="","",IF(COUNTIF($B$5:B170,B170)=1,COUNT($K$4:K169)+1,""))</x:f>
      </x:c>
      <x:c r="L170" s="85" t="str">
        <x:f>IF(B170="","",IF(COUNTIFS('계정비교'!$A$5:$A$1004,B170,'계정비교'!$H$5:$H$1004,"원인분석 대상")&gt;0,COUNT($L$4:L169)+1,""))</x:f>
      </x:c>
    </x:row>
    <x:row r="171">
      <x:c r="A171" s="73" t="str">
        <x:f>IF('전기원장'!A171="","","전기")</x:f>
      </x:c>
      <x:c r="B171" s="73" t="str">
        <x:f>IF('전기원장'!A171="","",'전기원장'!A171)</x:f>
      </x:c>
      <x:c r="C171" s="73" t="str">
        <x:f>IF('전기원장'!A171="","",'전기원장'!B171)</x:f>
      </x:c>
      <x:c r="D171" s="74" t="str">
        <x:f>IF('전기원장'!A171="","",'전기원장'!C171)</x:f>
      </x:c>
      <x:c r="E171" s="73" t="str">
        <x:f>IF('전기원장'!A171="","",'전기원장'!D171)</x:f>
      </x:c>
      <x:c r="F171" s="73" t="str">
        <x:f>IF('전기원장'!A171="","",'전기원장'!E171)</x:f>
      </x:c>
      <x:c r="G171" s="75" t="str">
        <x:f>IF('전기원장'!A171="","",'전기원장'!H171)</x:f>
      </x:c>
      <x:c r="H171" s="73" t="str">
        <x:f>IF('전기원장'!A171="","",'전기원장'!I171)</x:f>
      </x:c>
      <x:c r="I171" s="73" t="str">
        <x:f>IF('전기원장'!A171="","",'전기원장'!J171)</x:f>
      </x:c>
      <x:c r="J171" s="73" t="str">
        <x:f>IF('전기원장'!A171="","",'전기원장'!K171)</x:f>
      </x:c>
      <x:c r="K171" s="73" t="str">
        <x:f>IF(B171="","",IF(COUNTIF($B$5:B171,B171)=1,COUNT($K$4:K170)+1,""))</x:f>
      </x:c>
      <x:c r="L171" s="85" t="str">
        <x:f>IF(B171="","",IF(COUNTIFS('계정비교'!$A$5:$A$1004,B171,'계정비교'!$H$5:$H$1004,"원인분석 대상")&gt;0,COUNT($L$4:L170)+1,""))</x:f>
      </x:c>
    </x:row>
    <x:row r="172">
      <x:c r="A172" s="73" t="str">
        <x:f>IF('전기원장'!A172="","","전기")</x:f>
      </x:c>
      <x:c r="B172" s="73" t="str">
        <x:f>IF('전기원장'!A172="","",'전기원장'!A172)</x:f>
      </x:c>
      <x:c r="C172" s="73" t="str">
        <x:f>IF('전기원장'!A172="","",'전기원장'!B172)</x:f>
      </x:c>
      <x:c r="D172" s="74" t="str">
        <x:f>IF('전기원장'!A172="","",'전기원장'!C172)</x:f>
      </x:c>
      <x:c r="E172" s="73" t="str">
        <x:f>IF('전기원장'!A172="","",'전기원장'!D172)</x:f>
      </x:c>
      <x:c r="F172" s="73" t="str">
        <x:f>IF('전기원장'!A172="","",'전기원장'!E172)</x:f>
      </x:c>
      <x:c r="G172" s="75" t="str">
        <x:f>IF('전기원장'!A172="","",'전기원장'!H172)</x:f>
      </x:c>
      <x:c r="H172" s="73" t="str">
        <x:f>IF('전기원장'!A172="","",'전기원장'!I172)</x:f>
      </x:c>
      <x:c r="I172" s="73" t="str">
        <x:f>IF('전기원장'!A172="","",'전기원장'!J172)</x:f>
      </x:c>
      <x:c r="J172" s="73" t="str">
        <x:f>IF('전기원장'!A172="","",'전기원장'!K172)</x:f>
      </x:c>
      <x:c r="K172" s="73" t="str">
        <x:f>IF(B172="","",IF(COUNTIF($B$5:B172,B172)=1,COUNT($K$4:K171)+1,""))</x:f>
      </x:c>
      <x:c r="L172" s="85" t="str">
        <x:f>IF(B172="","",IF(COUNTIFS('계정비교'!$A$5:$A$1004,B172,'계정비교'!$H$5:$H$1004,"원인분석 대상")&gt;0,COUNT($L$4:L171)+1,""))</x:f>
      </x:c>
    </x:row>
    <x:row r="173">
      <x:c r="A173" s="73" t="str">
        <x:f>IF('전기원장'!A173="","","전기")</x:f>
      </x:c>
      <x:c r="B173" s="73" t="str">
        <x:f>IF('전기원장'!A173="","",'전기원장'!A173)</x:f>
      </x:c>
      <x:c r="C173" s="73" t="str">
        <x:f>IF('전기원장'!A173="","",'전기원장'!B173)</x:f>
      </x:c>
      <x:c r="D173" s="74" t="str">
        <x:f>IF('전기원장'!A173="","",'전기원장'!C173)</x:f>
      </x:c>
      <x:c r="E173" s="73" t="str">
        <x:f>IF('전기원장'!A173="","",'전기원장'!D173)</x:f>
      </x:c>
      <x:c r="F173" s="73" t="str">
        <x:f>IF('전기원장'!A173="","",'전기원장'!E173)</x:f>
      </x:c>
      <x:c r="G173" s="75" t="str">
        <x:f>IF('전기원장'!A173="","",'전기원장'!H173)</x:f>
      </x:c>
      <x:c r="H173" s="73" t="str">
        <x:f>IF('전기원장'!A173="","",'전기원장'!I173)</x:f>
      </x:c>
      <x:c r="I173" s="73" t="str">
        <x:f>IF('전기원장'!A173="","",'전기원장'!J173)</x:f>
      </x:c>
      <x:c r="J173" s="73" t="str">
        <x:f>IF('전기원장'!A173="","",'전기원장'!K173)</x:f>
      </x:c>
      <x:c r="K173" s="73" t="str">
        <x:f>IF(B173="","",IF(COUNTIF($B$5:B173,B173)=1,COUNT($K$4:K172)+1,""))</x:f>
      </x:c>
      <x:c r="L173" s="85" t="str">
        <x:f>IF(B173="","",IF(COUNTIFS('계정비교'!$A$5:$A$1004,B173,'계정비교'!$H$5:$H$1004,"원인분석 대상")&gt;0,COUNT($L$4:L172)+1,""))</x:f>
      </x:c>
    </x:row>
    <x:row r="174">
      <x:c r="A174" s="73" t="str">
        <x:f>IF('전기원장'!A174="","","전기")</x:f>
      </x:c>
      <x:c r="B174" s="73" t="str">
        <x:f>IF('전기원장'!A174="","",'전기원장'!A174)</x:f>
      </x:c>
      <x:c r="C174" s="73" t="str">
        <x:f>IF('전기원장'!A174="","",'전기원장'!B174)</x:f>
      </x:c>
      <x:c r="D174" s="74" t="str">
        <x:f>IF('전기원장'!A174="","",'전기원장'!C174)</x:f>
      </x:c>
      <x:c r="E174" s="73" t="str">
        <x:f>IF('전기원장'!A174="","",'전기원장'!D174)</x:f>
      </x:c>
      <x:c r="F174" s="73" t="str">
        <x:f>IF('전기원장'!A174="","",'전기원장'!E174)</x:f>
      </x:c>
      <x:c r="G174" s="75" t="str">
        <x:f>IF('전기원장'!A174="","",'전기원장'!H174)</x:f>
      </x:c>
      <x:c r="H174" s="73" t="str">
        <x:f>IF('전기원장'!A174="","",'전기원장'!I174)</x:f>
      </x:c>
      <x:c r="I174" s="73" t="str">
        <x:f>IF('전기원장'!A174="","",'전기원장'!J174)</x:f>
      </x:c>
      <x:c r="J174" s="73" t="str">
        <x:f>IF('전기원장'!A174="","",'전기원장'!K174)</x:f>
      </x:c>
      <x:c r="K174" s="73" t="str">
        <x:f>IF(B174="","",IF(COUNTIF($B$5:B174,B174)=1,COUNT($K$4:K173)+1,""))</x:f>
      </x:c>
      <x:c r="L174" s="85" t="str">
        <x:f>IF(B174="","",IF(COUNTIFS('계정비교'!$A$5:$A$1004,B174,'계정비교'!$H$5:$H$1004,"원인분석 대상")&gt;0,COUNT($L$4:L173)+1,""))</x:f>
      </x:c>
    </x:row>
    <x:row r="175">
      <x:c r="A175" s="73" t="str">
        <x:f>IF('전기원장'!A175="","","전기")</x:f>
      </x:c>
      <x:c r="B175" s="73" t="str">
        <x:f>IF('전기원장'!A175="","",'전기원장'!A175)</x:f>
      </x:c>
      <x:c r="C175" s="73" t="str">
        <x:f>IF('전기원장'!A175="","",'전기원장'!B175)</x:f>
      </x:c>
      <x:c r="D175" s="74" t="str">
        <x:f>IF('전기원장'!A175="","",'전기원장'!C175)</x:f>
      </x:c>
      <x:c r="E175" s="73" t="str">
        <x:f>IF('전기원장'!A175="","",'전기원장'!D175)</x:f>
      </x:c>
      <x:c r="F175" s="73" t="str">
        <x:f>IF('전기원장'!A175="","",'전기원장'!E175)</x:f>
      </x:c>
      <x:c r="G175" s="75" t="str">
        <x:f>IF('전기원장'!A175="","",'전기원장'!H175)</x:f>
      </x:c>
      <x:c r="H175" s="73" t="str">
        <x:f>IF('전기원장'!A175="","",'전기원장'!I175)</x:f>
      </x:c>
      <x:c r="I175" s="73" t="str">
        <x:f>IF('전기원장'!A175="","",'전기원장'!J175)</x:f>
      </x:c>
      <x:c r="J175" s="73" t="str">
        <x:f>IF('전기원장'!A175="","",'전기원장'!K175)</x:f>
      </x:c>
      <x:c r="K175" s="73" t="str">
        <x:f>IF(B175="","",IF(COUNTIF($B$5:B175,B175)=1,COUNT($K$4:K174)+1,""))</x:f>
      </x:c>
      <x:c r="L175" s="85" t="str">
        <x:f>IF(B175="","",IF(COUNTIFS('계정비교'!$A$5:$A$1004,B175,'계정비교'!$H$5:$H$1004,"원인분석 대상")&gt;0,COUNT($L$4:L174)+1,""))</x:f>
      </x:c>
    </x:row>
    <x:row r="176">
      <x:c r="A176" s="73" t="str">
        <x:f>IF('전기원장'!A176="","","전기")</x:f>
      </x:c>
      <x:c r="B176" s="73" t="str">
        <x:f>IF('전기원장'!A176="","",'전기원장'!A176)</x:f>
      </x:c>
      <x:c r="C176" s="73" t="str">
        <x:f>IF('전기원장'!A176="","",'전기원장'!B176)</x:f>
      </x:c>
      <x:c r="D176" s="74" t="str">
        <x:f>IF('전기원장'!A176="","",'전기원장'!C176)</x:f>
      </x:c>
      <x:c r="E176" s="73" t="str">
        <x:f>IF('전기원장'!A176="","",'전기원장'!D176)</x:f>
      </x:c>
      <x:c r="F176" s="73" t="str">
        <x:f>IF('전기원장'!A176="","",'전기원장'!E176)</x:f>
      </x:c>
      <x:c r="G176" s="75" t="str">
        <x:f>IF('전기원장'!A176="","",'전기원장'!H176)</x:f>
      </x:c>
      <x:c r="H176" s="73" t="str">
        <x:f>IF('전기원장'!A176="","",'전기원장'!I176)</x:f>
      </x:c>
      <x:c r="I176" s="73" t="str">
        <x:f>IF('전기원장'!A176="","",'전기원장'!J176)</x:f>
      </x:c>
      <x:c r="J176" s="73" t="str">
        <x:f>IF('전기원장'!A176="","",'전기원장'!K176)</x:f>
      </x:c>
      <x:c r="K176" s="73" t="str">
        <x:f>IF(B176="","",IF(COUNTIF($B$5:B176,B176)=1,COUNT($K$4:K175)+1,""))</x:f>
      </x:c>
      <x:c r="L176" s="85" t="str">
        <x:f>IF(B176="","",IF(COUNTIFS('계정비교'!$A$5:$A$1004,B176,'계정비교'!$H$5:$H$1004,"원인분석 대상")&gt;0,COUNT($L$4:L175)+1,""))</x:f>
      </x:c>
    </x:row>
    <x:row r="177">
      <x:c r="A177" s="73" t="str">
        <x:f>IF('전기원장'!A177="","","전기")</x:f>
      </x:c>
      <x:c r="B177" s="73" t="str">
        <x:f>IF('전기원장'!A177="","",'전기원장'!A177)</x:f>
      </x:c>
      <x:c r="C177" s="73" t="str">
        <x:f>IF('전기원장'!A177="","",'전기원장'!B177)</x:f>
      </x:c>
      <x:c r="D177" s="74" t="str">
        <x:f>IF('전기원장'!A177="","",'전기원장'!C177)</x:f>
      </x:c>
      <x:c r="E177" s="73" t="str">
        <x:f>IF('전기원장'!A177="","",'전기원장'!D177)</x:f>
      </x:c>
      <x:c r="F177" s="73" t="str">
        <x:f>IF('전기원장'!A177="","",'전기원장'!E177)</x:f>
      </x:c>
      <x:c r="G177" s="75" t="str">
        <x:f>IF('전기원장'!A177="","",'전기원장'!H177)</x:f>
      </x:c>
      <x:c r="H177" s="73" t="str">
        <x:f>IF('전기원장'!A177="","",'전기원장'!I177)</x:f>
      </x:c>
      <x:c r="I177" s="73" t="str">
        <x:f>IF('전기원장'!A177="","",'전기원장'!J177)</x:f>
      </x:c>
      <x:c r="J177" s="73" t="str">
        <x:f>IF('전기원장'!A177="","",'전기원장'!K177)</x:f>
      </x:c>
      <x:c r="K177" s="73" t="str">
        <x:f>IF(B177="","",IF(COUNTIF($B$5:B177,B177)=1,COUNT($K$4:K176)+1,""))</x:f>
      </x:c>
      <x:c r="L177" s="85" t="str">
        <x:f>IF(B177="","",IF(COUNTIFS('계정비교'!$A$5:$A$1004,B177,'계정비교'!$H$5:$H$1004,"원인분석 대상")&gt;0,COUNT($L$4:L176)+1,""))</x:f>
      </x:c>
    </x:row>
    <x:row r="178">
      <x:c r="A178" s="73" t="str">
        <x:f>IF('전기원장'!A178="","","전기")</x:f>
      </x:c>
      <x:c r="B178" s="73" t="str">
        <x:f>IF('전기원장'!A178="","",'전기원장'!A178)</x:f>
      </x:c>
      <x:c r="C178" s="73" t="str">
        <x:f>IF('전기원장'!A178="","",'전기원장'!B178)</x:f>
      </x:c>
      <x:c r="D178" s="74" t="str">
        <x:f>IF('전기원장'!A178="","",'전기원장'!C178)</x:f>
      </x:c>
      <x:c r="E178" s="73" t="str">
        <x:f>IF('전기원장'!A178="","",'전기원장'!D178)</x:f>
      </x:c>
      <x:c r="F178" s="73" t="str">
        <x:f>IF('전기원장'!A178="","",'전기원장'!E178)</x:f>
      </x:c>
      <x:c r="G178" s="75" t="str">
        <x:f>IF('전기원장'!A178="","",'전기원장'!H178)</x:f>
      </x:c>
      <x:c r="H178" s="73" t="str">
        <x:f>IF('전기원장'!A178="","",'전기원장'!I178)</x:f>
      </x:c>
      <x:c r="I178" s="73" t="str">
        <x:f>IF('전기원장'!A178="","",'전기원장'!J178)</x:f>
      </x:c>
      <x:c r="J178" s="73" t="str">
        <x:f>IF('전기원장'!A178="","",'전기원장'!K178)</x:f>
      </x:c>
      <x:c r="K178" s="73" t="str">
        <x:f>IF(B178="","",IF(COUNTIF($B$5:B178,B178)=1,COUNT($K$4:K177)+1,""))</x:f>
      </x:c>
      <x:c r="L178" s="85" t="str">
        <x:f>IF(B178="","",IF(COUNTIFS('계정비교'!$A$5:$A$1004,B178,'계정비교'!$H$5:$H$1004,"원인분석 대상")&gt;0,COUNT($L$4:L177)+1,""))</x:f>
      </x:c>
    </x:row>
    <x:row r="179">
      <x:c r="A179" s="73" t="str">
        <x:f>IF('전기원장'!A179="","","전기")</x:f>
      </x:c>
      <x:c r="B179" s="73" t="str">
        <x:f>IF('전기원장'!A179="","",'전기원장'!A179)</x:f>
      </x:c>
      <x:c r="C179" s="73" t="str">
        <x:f>IF('전기원장'!A179="","",'전기원장'!B179)</x:f>
      </x:c>
      <x:c r="D179" s="74" t="str">
        <x:f>IF('전기원장'!A179="","",'전기원장'!C179)</x:f>
      </x:c>
      <x:c r="E179" s="73" t="str">
        <x:f>IF('전기원장'!A179="","",'전기원장'!D179)</x:f>
      </x:c>
      <x:c r="F179" s="73" t="str">
        <x:f>IF('전기원장'!A179="","",'전기원장'!E179)</x:f>
      </x:c>
      <x:c r="G179" s="75" t="str">
        <x:f>IF('전기원장'!A179="","",'전기원장'!H179)</x:f>
      </x:c>
      <x:c r="H179" s="73" t="str">
        <x:f>IF('전기원장'!A179="","",'전기원장'!I179)</x:f>
      </x:c>
      <x:c r="I179" s="73" t="str">
        <x:f>IF('전기원장'!A179="","",'전기원장'!J179)</x:f>
      </x:c>
      <x:c r="J179" s="73" t="str">
        <x:f>IF('전기원장'!A179="","",'전기원장'!K179)</x:f>
      </x:c>
      <x:c r="K179" s="73" t="str">
        <x:f>IF(B179="","",IF(COUNTIF($B$5:B179,B179)=1,COUNT($K$4:K178)+1,""))</x:f>
      </x:c>
      <x:c r="L179" s="85" t="str">
        <x:f>IF(B179="","",IF(COUNTIFS('계정비교'!$A$5:$A$1004,B179,'계정비교'!$H$5:$H$1004,"원인분석 대상")&gt;0,COUNT($L$4:L178)+1,""))</x:f>
      </x:c>
    </x:row>
    <x:row r="180">
      <x:c r="A180" s="73" t="str">
        <x:f>IF('전기원장'!A180="","","전기")</x:f>
      </x:c>
      <x:c r="B180" s="73" t="str">
        <x:f>IF('전기원장'!A180="","",'전기원장'!A180)</x:f>
      </x:c>
      <x:c r="C180" s="73" t="str">
        <x:f>IF('전기원장'!A180="","",'전기원장'!B180)</x:f>
      </x:c>
      <x:c r="D180" s="74" t="str">
        <x:f>IF('전기원장'!A180="","",'전기원장'!C180)</x:f>
      </x:c>
      <x:c r="E180" s="73" t="str">
        <x:f>IF('전기원장'!A180="","",'전기원장'!D180)</x:f>
      </x:c>
      <x:c r="F180" s="73" t="str">
        <x:f>IF('전기원장'!A180="","",'전기원장'!E180)</x:f>
      </x:c>
      <x:c r="G180" s="75" t="str">
        <x:f>IF('전기원장'!A180="","",'전기원장'!H180)</x:f>
      </x:c>
      <x:c r="H180" s="73" t="str">
        <x:f>IF('전기원장'!A180="","",'전기원장'!I180)</x:f>
      </x:c>
      <x:c r="I180" s="73" t="str">
        <x:f>IF('전기원장'!A180="","",'전기원장'!J180)</x:f>
      </x:c>
      <x:c r="J180" s="73" t="str">
        <x:f>IF('전기원장'!A180="","",'전기원장'!K180)</x:f>
      </x:c>
      <x:c r="K180" s="73" t="str">
        <x:f>IF(B180="","",IF(COUNTIF($B$5:B180,B180)=1,COUNT($K$4:K179)+1,""))</x:f>
      </x:c>
      <x:c r="L180" s="85" t="str">
        <x:f>IF(B180="","",IF(COUNTIFS('계정비교'!$A$5:$A$1004,B180,'계정비교'!$H$5:$H$1004,"원인분석 대상")&gt;0,COUNT($L$4:L179)+1,""))</x:f>
      </x:c>
    </x:row>
    <x:row r="181">
      <x:c r="A181" s="73" t="str">
        <x:f>IF('전기원장'!A181="","","전기")</x:f>
      </x:c>
      <x:c r="B181" s="73" t="str">
        <x:f>IF('전기원장'!A181="","",'전기원장'!A181)</x:f>
      </x:c>
      <x:c r="C181" s="73" t="str">
        <x:f>IF('전기원장'!A181="","",'전기원장'!B181)</x:f>
      </x:c>
      <x:c r="D181" s="74" t="str">
        <x:f>IF('전기원장'!A181="","",'전기원장'!C181)</x:f>
      </x:c>
      <x:c r="E181" s="73" t="str">
        <x:f>IF('전기원장'!A181="","",'전기원장'!D181)</x:f>
      </x:c>
      <x:c r="F181" s="73" t="str">
        <x:f>IF('전기원장'!A181="","",'전기원장'!E181)</x:f>
      </x:c>
      <x:c r="G181" s="75" t="str">
        <x:f>IF('전기원장'!A181="","",'전기원장'!H181)</x:f>
      </x:c>
      <x:c r="H181" s="73" t="str">
        <x:f>IF('전기원장'!A181="","",'전기원장'!I181)</x:f>
      </x:c>
      <x:c r="I181" s="73" t="str">
        <x:f>IF('전기원장'!A181="","",'전기원장'!J181)</x:f>
      </x:c>
      <x:c r="J181" s="73" t="str">
        <x:f>IF('전기원장'!A181="","",'전기원장'!K181)</x:f>
      </x:c>
      <x:c r="K181" s="73" t="str">
        <x:f>IF(B181="","",IF(COUNTIF($B$5:B181,B181)=1,COUNT($K$4:K180)+1,""))</x:f>
      </x:c>
      <x:c r="L181" s="85" t="str">
        <x:f>IF(B181="","",IF(COUNTIFS('계정비교'!$A$5:$A$1004,B181,'계정비교'!$H$5:$H$1004,"원인분석 대상")&gt;0,COUNT($L$4:L180)+1,""))</x:f>
      </x:c>
    </x:row>
    <x:row r="182">
      <x:c r="A182" s="73" t="str">
        <x:f>IF('전기원장'!A182="","","전기")</x:f>
      </x:c>
      <x:c r="B182" s="73" t="str">
        <x:f>IF('전기원장'!A182="","",'전기원장'!A182)</x:f>
      </x:c>
      <x:c r="C182" s="73" t="str">
        <x:f>IF('전기원장'!A182="","",'전기원장'!B182)</x:f>
      </x:c>
      <x:c r="D182" s="74" t="str">
        <x:f>IF('전기원장'!A182="","",'전기원장'!C182)</x:f>
      </x:c>
      <x:c r="E182" s="73" t="str">
        <x:f>IF('전기원장'!A182="","",'전기원장'!D182)</x:f>
      </x:c>
      <x:c r="F182" s="73" t="str">
        <x:f>IF('전기원장'!A182="","",'전기원장'!E182)</x:f>
      </x:c>
      <x:c r="G182" s="75" t="str">
        <x:f>IF('전기원장'!A182="","",'전기원장'!H182)</x:f>
      </x:c>
      <x:c r="H182" s="73" t="str">
        <x:f>IF('전기원장'!A182="","",'전기원장'!I182)</x:f>
      </x:c>
      <x:c r="I182" s="73" t="str">
        <x:f>IF('전기원장'!A182="","",'전기원장'!J182)</x:f>
      </x:c>
      <x:c r="J182" s="73" t="str">
        <x:f>IF('전기원장'!A182="","",'전기원장'!K182)</x:f>
      </x:c>
      <x:c r="K182" s="73" t="str">
        <x:f>IF(B182="","",IF(COUNTIF($B$5:B182,B182)=1,COUNT($K$4:K181)+1,""))</x:f>
      </x:c>
      <x:c r="L182" s="85" t="str">
        <x:f>IF(B182="","",IF(COUNTIFS('계정비교'!$A$5:$A$1004,B182,'계정비교'!$H$5:$H$1004,"원인분석 대상")&gt;0,COUNT($L$4:L181)+1,""))</x:f>
      </x:c>
    </x:row>
    <x:row r="183">
      <x:c r="A183" s="73" t="str">
        <x:f>IF('전기원장'!A183="","","전기")</x:f>
      </x:c>
      <x:c r="B183" s="73" t="str">
        <x:f>IF('전기원장'!A183="","",'전기원장'!A183)</x:f>
      </x:c>
      <x:c r="C183" s="73" t="str">
        <x:f>IF('전기원장'!A183="","",'전기원장'!B183)</x:f>
      </x:c>
      <x:c r="D183" s="74" t="str">
        <x:f>IF('전기원장'!A183="","",'전기원장'!C183)</x:f>
      </x:c>
      <x:c r="E183" s="73" t="str">
        <x:f>IF('전기원장'!A183="","",'전기원장'!D183)</x:f>
      </x:c>
      <x:c r="F183" s="73" t="str">
        <x:f>IF('전기원장'!A183="","",'전기원장'!E183)</x:f>
      </x:c>
      <x:c r="G183" s="75" t="str">
        <x:f>IF('전기원장'!A183="","",'전기원장'!H183)</x:f>
      </x:c>
      <x:c r="H183" s="73" t="str">
        <x:f>IF('전기원장'!A183="","",'전기원장'!I183)</x:f>
      </x:c>
      <x:c r="I183" s="73" t="str">
        <x:f>IF('전기원장'!A183="","",'전기원장'!J183)</x:f>
      </x:c>
      <x:c r="J183" s="73" t="str">
        <x:f>IF('전기원장'!A183="","",'전기원장'!K183)</x:f>
      </x:c>
      <x:c r="K183" s="73" t="str">
        <x:f>IF(B183="","",IF(COUNTIF($B$5:B183,B183)=1,COUNT($K$4:K182)+1,""))</x:f>
      </x:c>
      <x:c r="L183" s="85" t="str">
        <x:f>IF(B183="","",IF(COUNTIFS('계정비교'!$A$5:$A$1004,B183,'계정비교'!$H$5:$H$1004,"원인분석 대상")&gt;0,COUNT($L$4:L182)+1,""))</x:f>
      </x:c>
    </x:row>
    <x:row r="184">
      <x:c r="A184" s="73" t="str">
        <x:f>IF('전기원장'!A184="","","전기")</x:f>
      </x:c>
      <x:c r="B184" s="73" t="str">
        <x:f>IF('전기원장'!A184="","",'전기원장'!A184)</x:f>
      </x:c>
      <x:c r="C184" s="73" t="str">
        <x:f>IF('전기원장'!A184="","",'전기원장'!B184)</x:f>
      </x:c>
      <x:c r="D184" s="74" t="str">
        <x:f>IF('전기원장'!A184="","",'전기원장'!C184)</x:f>
      </x:c>
      <x:c r="E184" s="73" t="str">
        <x:f>IF('전기원장'!A184="","",'전기원장'!D184)</x:f>
      </x:c>
      <x:c r="F184" s="73" t="str">
        <x:f>IF('전기원장'!A184="","",'전기원장'!E184)</x:f>
      </x:c>
      <x:c r="G184" s="75" t="str">
        <x:f>IF('전기원장'!A184="","",'전기원장'!H184)</x:f>
      </x:c>
      <x:c r="H184" s="73" t="str">
        <x:f>IF('전기원장'!A184="","",'전기원장'!I184)</x:f>
      </x:c>
      <x:c r="I184" s="73" t="str">
        <x:f>IF('전기원장'!A184="","",'전기원장'!J184)</x:f>
      </x:c>
      <x:c r="J184" s="73" t="str">
        <x:f>IF('전기원장'!A184="","",'전기원장'!K184)</x:f>
      </x:c>
      <x:c r="K184" s="73" t="str">
        <x:f>IF(B184="","",IF(COUNTIF($B$5:B184,B184)=1,COUNT($K$4:K183)+1,""))</x:f>
      </x:c>
      <x:c r="L184" s="85" t="str">
        <x:f>IF(B184="","",IF(COUNTIFS('계정비교'!$A$5:$A$1004,B184,'계정비교'!$H$5:$H$1004,"원인분석 대상")&gt;0,COUNT($L$4:L183)+1,""))</x:f>
      </x:c>
    </x:row>
    <x:row r="185">
      <x:c r="A185" s="73" t="str">
        <x:f>IF('전기원장'!A185="","","전기")</x:f>
      </x:c>
      <x:c r="B185" s="73" t="str">
        <x:f>IF('전기원장'!A185="","",'전기원장'!A185)</x:f>
      </x:c>
      <x:c r="C185" s="73" t="str">
        <x:f>IF('전기원장'!A185="","",'전기원장'!B185)</x:f>
      </x:c>
      <x:c r="D185" s="74" t="str">
        <x:f>IF('전기원장'!A185="","",'전기원장'!C185)</x:f>
      </x:c>
      <x:c r="E185" s="73" t="str">
        <x:f>IF('전기원장'!A185="","",'전기원장'!D185)</x:f>
      </x:c>
      <x:c r="F185" s="73" t="str">
        <x:f>IF('전기원장'!A185="","",'전기원장'!E185)</x:f>
      </x:c>
      <x:c r="G185" s="75" t="str">
        <x:f>IF('전기원장'!A185="","",'전기원장'!H185)</x:f>
      </x:c>
      <x:c r="H185" s="73" t="str">
        <x:f>IF('전기원장'!A185="","",'전기원장'!I185)</x:f>
      </x:c>
      <x:c r="I185" s="73" t="str">
        <x:f>IF('전기원장'!A185="","",'전기원장'!J185)</x:f>
      </x:c>
      <x:c r="J185" s="73" t="str">
        <x:f>IF('전기원장'!A185="","",'전기원장'!K185)</x:f>
      </x:c>
      <x:c r="K185" s="73" t="str">
        <x:f>IF(B185="","",IF(COUNTIF($B$5:B185,B185)=1,COUNT($K$4:K184)+1,""))</x:f>
      </x:c>
      <x:c r="L185" s="85" t="str">
        <x:f>IF(B185="","",IF(COUNTIFS('계정비교'!$A$5:$A$1004,B185,'계정비교'!$H$5:$H$1004,"원인분석 대상")&gt;0,COUNT($L$4:L184)+1,""))</x:f>
      </x:c>
    </x:row>
    <x:row r="186">
      <x:c r="A186" s="73" t="str">
        <x:f>IF('전기원장'!A186="","","전기")</x:f>
      </x:c>
      <x:c r="B186" s="73" t="str">
        <x:f>IF('전기원장'!A186="","",'전기원장'!A186)</x:f>
      </x:c>
      <x:c r="C186" s="73" t="str">
        <x:f>IF('전기원장'!A186="","",'전기원장'!B186)</x:f>
      </x:c>
      <x:c r="D186" s="74" t="str">
        <x:f>IF('전기원장'!A186="","",'전기원장'!C186)</x:f>
      </x:c>
      <x:c r="E186" s="73" t="str">
        <x:f>IF('전기원장'!A186="","",'전기원장'!D186)</x:f>
      </x:c>
      <x:c r="F186" s="73" t="str">
        <x:f>IF('전기원장'!A186="","",'전기원장'!E186)</x:f>
      </x:c>
      <x:c r="G186" s="75" t="str">
        <x:f>IF('전기원장'!A186="","",'전기원장'!H186)</x:f>
      </x:c>
      <x:c r="H186" s="73" t="str">
        <x:f>IF('전기원장'!A186="","",'전기원장'!I186)</x:f>
      </x:c>
      <x:c r="I186" s="73" t="str">
        <x:f>IF('전기원장'!A186="","",'전기원장'!J186)</x:f>
      </x:c>
      <x:c r="J186" s="73" t="str">
        <x:f>IF('전기원장'!A186="","",'전기원장'!K186)</x:f>
      </x:c>
      <x:c r="K186" s="73" t="str">
        <x:f>IF(B186="","",IF(COUNTIF($B$5:B186,B186)=1,COUNT($K$4:K185)+1,""))</x:f>
      </x:c>
      <x:c r="L186" s="85" t="str">
        <x:f>IF(B186="","",IF(COUNTIFS('계정비교'!$A$5:$A$1004,B186,'계정비교'!$H$5:$H$1004,"원인분석 대상")&gt;0,COUNT($L$4:L185)+1,""))</x:f>
      </x:c>
    </x:row>
    <x:row r="187">
      <x:c r="A187" s="73" t="str">
        <x:f>IF('전기원장'!A187="","","전기")</x:f>
      </x:c>
      <x:c r="B187" s="73" t="str">
        <x:f>IF('전기원장'!A187="","",'전기원장'!A187)</x:f>
      </x:c>
      <x:c r="C187" s="73" t="str">
        <x:f>IF('전기원장'!A187="","",'전기원장'!B187)</x:f>
      </x:c>
      <x:c r="D187" s="74" t="str">
        <x:f>IF('전기원장'!A187="","",'전기원장'!C187)</x:f>
      </x:c>
      <x:c r="E187" s="73" t="str">
        <x:f>IF('전기원장'!A187="","",'전기원장'!D187)</x:f>
      </x:c>
      <x:c r="F187" s="73" t="str">
        <x:f>IF('전기원장'!A187="","",'전기원장'!E187)</x:f>
      </x:c>
      <x:c r="G187" s="75" t="str">
        <x:f>IF('전기원장'!A187="","",'전기원장'!H187)</x:f>
      </x:c>
      <x:c r="H187" s="73" t="str">
        <x:f>IF('전기원장'!A187="","",'전기원장'!I187)</x:f>
      </x:c>
      <x:c r="I187" s="73" t="str">
        <x:f>IF('전기원장'!A187="","",'전기원장'!J187)</x:f>
      </x:c>
      <x:c r="J187" s="73" t="str">
        <x:f>IF('전기원장'!A187="","",'전기원장'!K187)</x:f>
      </x:c>
      <x:c r="K187" s="73" t="str">
        <x:f>IF(B187="","",IF(COUNTIF($B$5:B187,B187)=1,COUNT($K$4:K186)+1,""))</x:f>
      </x:c>
      <x:c r="L187" s="85" t="str">
        <x:f>IF(B187="","",IF(COUNTIFS('계정비교'!$A$5:$A$1004,B187,'계정비교'!$H$5:$H$1004,"원인분석 대상")&gt;0,COUNT($L$4:L186)+1,""))</x:f>
      </x:c>
    </x:row>
    <x:row r="188">
      <x:c r="A188" s="73" t="str">
        <x:f>IF('전기원장'!A188="","","전기")</x:f>
      </x:c>
      <x:c r="B188" s="73" t="str">
        <x:f>IF('전기원장'!A188="","",'전기원장'!A188)</x:f>
      </x:c>
      <x:c r="C188" s="73" t="str">
        <x:f>IF('전기원장'!A188="","",'전기원장'!B188)</x:f>
      </x:c>
      <x:c r="D188" s="74" t="str">
        <x:f>IF('전기원장'!A188="","",'전기원장'!C188)</x:f>
      </x:c>
      <x:c r="E188" s="73" t="str">
        <x:f>IF('전기원장'!A188="","",'전기원장'!D188)</x:f>
      </x:c>
      <x:c r="F188" s="73" t="str">
        <x:f>IF('전기원장'!A188="","",'전기원장'!E188)</x:f>
      </x:c>
      <x:c r="G188" s="75" t="str">
        <x:f>IF('전기원장'!A188="","",'전기원장'!H188)</x:f>
      </x:c>
      <x:c r="H188" s="73" t="str">
        <x:f>IF('전기원장'!A188="","",'전기원장'!I188)</x:f>
      </x:c>
      <x:c r="I188" s="73" t="str">
        <x:f>IF('전기원장'!A188="","",'전기원장'!J188)</x:f>
      </x:c>
      <x:c r="J188" s="73" t="str">
        <x:f>IF('전기원장'!A188="","",'전기원장'!K188)</x:f>
      </x:c>
      <x:c r="K188" s="73" t="str">
        <x:f>IF(B188="","",IF(COUNTIF($B$5:B188,B188)=1,COUNT($K$4:K187)+1,""))</x:f>
      </x:c>
      <x:c r="L188" s="85" t="str">
        <x:f>IF(B188="","",IF(COUNTIFS('계정비교'!$A$5:$A$1004,B188,'계정비교'!$H$5:$H$1004,"원인분석 대상")&gt;0,COUNT($L$4:L187)+1,""))</x:f>
      </x:c>
    </x:row>
    <x:row r="189">
      <x:c r="A189" s="73" t="str">
        <x:f>IF('전기원장'!A189="","","전기")</x:f>
      </x:c>
      <x:c r="B189" s="73" t="str">
        <x:f>IF('전기원장'!A189="","",'전기원장'!A189)</x:f>
      </x:c>
      <x:c r="C189" s="73" t="str">
        <x:f>IF('전기원장'!A189="","",'전기원장'!B189)</x:f>
      </x:c>
      <x:c r="D189" s="74" t="str">
        <x:f>IF('전기원장'!A189="","",'전기원장'!C189)</x:f>
      </x:c>
      <x:c r="E189" s="73" t="str">
        <x:f>IF('전기원장'!A189="","",'전기원장'!D189)</x:f>
      </x:c>
      <x:c r="F189" s="73" t="str">
        <x:f>IF('전기원장'!A189="","",'전기원장'!E189)</x:f>
      </x:c>
      <x:c r="G189" s="75" t="str">
        <x:f>IF('전기원장'!A189="","",'전기원장'!H189)</x:f>
      </x:c>
      <x:c r="H189" s="73" t="str">
        <x:f>IF('전기원장'!A189="","",'전기원장'!I189)</x:f>
      </x:c>
      <x:c r="I189" s="73" t="str">
        <x:f>IF('전기원장'!A189="","",'전기원장'!J189)</x:f>
      </x:c>
      <x:c r="J189" s="73" t="str">
        <x:f>IF('전기원장'!A189="","",'전기원장'!K189)</x:f>
      </x:c>
      <x:c r="K189" s="73" t="str">
        <x:f>IF(B189="","",IF(COUNTIF($B$5:B189,B189)=1,COUNT($K$4:K188)+1,""))</x:f>
      </x:c>
      <x:c r="L189" s="85" t="str">
        <x:f>IF(B189="","",IF(COUNTIFS('계정비교'!$A$5:$A$1004,B189,'계정비교'!$H$5:$H$1004,"원인분석 대상")&gt;0,COUNT($L$4:L188)+1,""))</x:f>
      </x:c>
    </x:row>
    <x:row r="190">
      <x:c r="A190" s="73" t="str">
        <x:f>IF('전기원장'!A190="","","전기")</x:f>
      </x:c>
      <x:c r="B190" s="73" t="str">
        <x:f>IF('전기원장'!A190="","",'전기원장'!A190)</x:f>
      </x:c>
      <x:c r="C190" s="73" t="str">
        <x:f>IF('전기원장'!A190="","",'전기원장'!B190)</x:f>
      </x:c>
      <x:c r="D190" s="74" t="str">
        <x:f>IF('전기원장'!A190="","",'전기원장'!C190)</x:f>
      </x:c>
      <x:c r="E190" s="73" t="str">
        <x:f>IF('전기원장'!A190="","",'전기원장'!D190)</x:f>
      </x:c>
      <x:c r="F190" s="73" t="str">
        <x:f>IF('전기원장'!A190="","",'전기원장'!E190)</x:f>
      </x:c>
      <x:c r="G190" s="75" t="str">
        <x:f>IF('전기원장'!A190="","",'전기원장'!H190)</x:f>
      </x:c>
      <x:c r="H190" s="73" t="str">
        <x:f>IF('전기원장'!A190="","",'전기원장'!I190)</x:f>
      </x:c>
      <x:c r="I190" s="73" t="str">
        <x:f>IF('전기원장'!A190="","",'전기원장'!J190)</x:f>
      </x:c>
      <x:c r="J190" s="73" t="str">
        <x:f>IF('전기원장'!A190="","",'전기원장'!K190)</x:f>
      </x:c>
      <x:c r="K190" s="73" t="str">
        <x:f>IF(B190="","",IF(COUNTIF($B$5:B190,B190)=1,COUNT($K$4:K189)+1,""))</x:f>
      </x:c>
      <x:c r="L190" s="85" t="str">
        <x:f>IF(B190="","",IF(COUNTIFS('계정비교'!$A$5:$A$1004,B190,'계정비교'!$H$5:$H$1004,"원인분석 대상")&gt;0,COUNT($L$4:L189)+1,""))</x:f>
      </x:c>
    </x:row>
    <x:row r="191">
      <x:c r="A191" s="73" t="str">
        <x:f>IF('전기원장'!A191="","","전기")</x:f>
      </x:c>
      <x:c r="B191" s="73" t="str">
        <x:f>IF('전기원장'!A191="","",'전기원장'!A191)</x:f>
      </x:c>
      <x:c r="C191" s="73" t="str">
        <x:f>IF('전기원장'!A191="","",'전기원장'!B191)</x:f>
      </x:c>
      <x:c r="D191" s="74" t="str">
        <x:f>IF('전기원장'!A191="","",'전기원장'!C191)</x:f>
      </x:c>
      <x:c r="E191" s="73" t="str">
        <x:f>IF('전기원장'!A191="","",'전기원장'!D191)</x:f>
      </x:c>
      <x:c r="F191" s="73" t="str">
        <x:f>IF('전기원장'!A191="","",'전기원장'!E191)</x:f>
      </x:c>
      <x:c r="G191" s="75" t="str">
        <x:f>IF('전기원장'!A191="","",'전기원장'!H191)</x:f>
      </x:c>
      <x:c r="H191" s="73" t="str">
        <x:f>IF('전기원장'!A191="","",'전기원장'!I191)</x:f>
      </x:c>
      <x:c r="I191" s="73" t="str">
        <x:f>IF('전기원장'!A191="","",'전기원장'!J191)</x:f>
      </x:c>
      <x:c r="J191" s="73" t="str">
        <x:f>IF('전기원장'!A191="","",'전기원장'!K191)</x:f>
      </x:c>
      <x:c r="K191" s="73" t="str">
        <x:f>IF(B191="","",IF(COUNTIF($B$5:B191,B191)=1,COUNT($K$4:K190)+1,""))</x:f>
      </x:c>
      <x:c r="L191" s="85" t="str">
        <x:f>IF(B191="","",IF(COUNTIFS('계정비교'!$A$5:$A$1004,B191,'계정비교'!$H$5:$H$1004,"원인분석 대상")&gt;0,COUNT($L$4:L190)+1,""))</x:f>
      </x:c>
    </x:row>
    <x:row r="192">
      <x:c r="A192" s="73" t="str">
        <x:f>IF('전기원장'!A192="","","전기")</x:f>
      </x:c>
      <x:c r="B192" s="73" t="str">
        <x:f>IF('전기원장'!A192="","",'전기원장'!A192)</x:f>
      </x:c>
      <x:c r="C192" s="73" t="str">
        <x:f>IF('전기원장'!A192="","",'전기원장'!B192)</x:f>
      </x:c>
      <x:c r="D192" s="74" t="str">
        <x:f>IF('전기원장'!A192="","",'전기원장'!C192)</x:f>
      </x:c>
      <x:c r="E192" s="73" t="str">
        <x:f>IF('전기원장'!A192="","",'전기원장'!D192)</x:f>
      </x:c>
      <x:c r="F192" s="73" t="str">
        <x:f>IF('전기원장'!A192="","",'전기원장'!E192)</x:f>
      </x:c>
      <x:c r="G192" s="75" t="str">
        <x:f>IF('전기원장'!A192="","",'전기원장'!H192)</x:f>
      </x:c>
      <x:c r="H192" s="73" t="str">
        <x:f>IF('전기원장'!A192="","",'전기원장'!I192)</x:f>
      </x:c>
      <x:c r="I192" s="73" t="str">
        <x:f>IF('전기원장'!A192="","",'전기원장'!J192)</x:f>
      </x:c>
      <x:c r="J192" s="73" t="str">
        <x:f>IF('전기원장'!A192="","",'전기원장'!K192)</x:f>
      </x:c>
      <x:c r="K192" s="73" t="str">
        <x:f>IF(B192="","",IF(COUNTIF($B$5:B192,B192)=1,COUNT($K$4:K191)+1,""))</x:f>
      </x:c>
      <x:c r="L192" s="85" t="str">
        <x:f>IF(B192="","",IF(COUNTIFS('계정비교'!$A$5:$A$1004,B192,'계정비교'!$H$5:$H$1004,"원인분석 대상")&gt;0,COUNT($L$4:L191)+1,""))</x:f>
      </x:c>
    </x:row>
    <x:row r="193">
      <x:c r="A193" s="73" t="str">
        <x:f>IF('전기원장'!A193="","","전기")</x:f>
      </x:c>
      <x:c r="B193" s="73" t="str">
        <x:f>IF('전기원장'!A193="","",'전기원장'!A193)</x:f>
      </x:c>
      <x:c r="C193" s="73" t="str">
        <x:f>IF('전기원장'!A193="","",'전기원장'!B193)</x:f>
      </x:c>
      <x:c r="D193" s="74" t="str">
        <x:f>IF('전기원장'!A193="","",'전기원장'!C193)</x:f>
      </x:c>
      <x:c r="E193" s="73" t="str">
        <x:f>IF('전기원장'!A193="","",'전기원장'!D193)</x:f>
      </x:c>
      <x:c r="F193" s="73" t="str">
        <x:f>IF('전기원장'!A193="","",'전기원장'!E193)</x:f>
      </x:c>
      <x:c r="G193" s="75" t="str">
        <x:f>IF('전기원장'!A193="","",'전기원장'!H193)</x:f>
      </x:c>
      <x:c r="H193" s="73" t="str">
        <x:f>IF('전기원장'!A193="","",'전기원장'!I193)</x:f>
      </x:c>
      <x:c r="I193" s="73" t="str">
        <x:f>IF('전기원장'!A193="","",'전기원장'!J193)</x:f>
      </x:c>
      <x:c r="J193" s="73" t="str">
        <x:f>IF('전기원장'!A193="","",'전기원장'!K193)</x:f>
      </x:c>
      <x:c r="K193" s="73" t="str">
        <x:f>IF(B193="","",IF(COUNTIF($B$5:B193,B193)=1,COUNT($K$4:K192)+1,""))</x:f>
      </x:c>
      <x:c r="L193" s="85" t="str">
        <x:f>IF(B193="","",IF(COUNTIFS('계정비교'!$A$5:$A$1004,B193,'계정비교'!$H$5:$H$1004,"원인분석 대상")&gt;0,COUNT($L$4:L192)+1,""))</x:f>
      </x:c>
    </x:row>
    <x:row r="194">
      <x:c r="A194" s="73" t="str">
        <x:f>IF('전기원장'!A194="","","전기")</x:f>
      </x:c>
      <x:c r="B194" s="73" t="str">
        <x:f>IF('전기원장'!A194="","",'전기원장'!A194)</x:f>
      </x:c>
      <x:c r="C194" s="73" t="str">
        <x:f>IF('전기원장'!A194="","",'전기원장'!B194)</x:f>
      </x:c>
      <x:c r="D194" s="74" t="str">
        <x:f>IF('전기원장'!A194="","",'전기원장'!C194)</x:f>
      </x:c>
      <x:c r="E194" s="73" t="str">
        <x:f>IF('전기원장'!A194="","",'전기원장'!D194)</x:f>
      </x:c>
      <x:c r="F194" s="73" t="str">
        <x:f>IF('전기원장'!A194="","",'전기원장'!E194)</x:f>
      </x:c>
      <x:c r="G194" s="75" t="str">
        <x:f>IF('전기원장'!A194="","",'전기원장'!H194)</x:f>
      </x:c>
      <x:c r="H194" s="73" t="str">
        <x:f>IF('전기원장'!A194="","",'전기원장'!I194)</x:f>
      </x:c>
      <x:c r="I194" s="73" t="str">
        <x:f>IF('전기원장'!A194="","",'전기원장'!J194)</x:f>
      </x:c>
      <x:c r="J194" s="73" t="str">
        <x:f>IF('전기원장'!A194="","",'전기원장'!K194)</x:f>
      </x:c>
      <x:c r="K194" s="73" t="str">
        <x:f>IF(B194="","",IF(COUNTIF($B$5:B194,B194)=1,COUNT($K$4:K193)+1,""))</x:f>
      </x:c>
      <x:c r="L194" s="85" t="str">
        <x:f>IF(B194="","",IF(COUNTIFS('계정비교'!$A$5:$A$1004,B194,'계정비교'!$H$5:$H$1004,"원인분석 대상")&gt;0,COUNT($L$4:L193)+1,""))</x:f>
      </x:c>
    </x:row>
    <x:row r="195">
      <x:c r="A195" s="73" t="str">
        <x:f>IF('전기원장'!A195="","","전기")</x:f>
      </x:c>
      <x:c r="B195" s="73" t="str">
        <x:f>IF('전기원장'!A195="","",'전기원장'!A195)</x:f>
      </x:c>
      <x:c r="C195" s="73" t="str">
        <x:f>IF('전기원장'!A195="","",'전기원장'!B195)</x:f>
      </x:c>
      <x:c r="D195" s="74" t="str">
        <x:f>IF('전기원장'!A195="","",'전기원장'!C195)</x:f>
      </x:c>
      <x:c r="E195" s="73" t="str">
        <x:f>IF('전기원장'!A195="","",'전기원장'!D195)</x:f>
      </x:c>
      <x:c r="F195" s="73" t="str">
        <x:f>IF('전기원장'!A195="","",'전기원장'!E195)</x:f>
      </x:c>
      <x:c r="G195" s="75" t="str">
        <x:f>IF('전기원장'!A195="","",'전기원장'!H195)</x:f>
      </x:c>
      <x:c r="H195" s="73" t="str">
        <x:f>IF('전기원장'!A195="","",'전기원장'!I195)</x:f>
      </x:c>
      <x:c r="I195" s="73" t="str">
        <x:f>IF('전기원장'!A195="","",'전기원장'!J195)</x:f>
      </x:c>
      <x:c r="J195" s="73" t="str">
        <x:f>IF('전기원장'!A195="","",'전기원장'!K195)</x:f>
      </x:c>
      <x:c r="K195" s="73" t="str">
        <x:f>IF(B195="","",IF(COUNTIF($B$5:B195,B195)=1,COUNT($K$4:K194)+1,""))</x:f>
      </x:c>
      <x:c r="L195" s="85" t="str">
        <x:f>IF(B195="","",IF(COUNTIFS('계정비교'!$A$5:$A$1004,B195,'계정비교'!$H$5:$H$1004,"원인분석 대상")&gt;0,COUNT($L$4:L194)+1,""))</x:f>
      </x:c>
    </x:row>
    <x:row r="196">
      <x:c r="A196" s="73" t="str">
        <x:f>IF('전기원장'!A196="","","전기")</x:f>
      </x:c>
      <x:c r="B196" s="73" t="str">
        <x:f>IF('전기원장'!A196="","",'전기원장'!A196)</x:f>
      </x:c>
      <x:c r="C196" s="73" t="str">
        <x:f>IF('전기원장'!A196="","",'전기원장'!B196)</x:f>
      </x:c>
      <x:c r="D196" s="74" t="str">
        <x:f>IF('전기원장'!A196="","",'전기원장'!C196)</x:f>
      </x:c>
      <x:c r="E196" s="73" t="str">
        <x:f>IF('전기원장'!A196="","",'전기원장'!D196)</x:f>
      </x:c>
      <x:c r="F196" s="73" t="str">
        <x:f>IF('전기원장'!A196="","",'전기원장'!E196)</x:f>
      </x:c>
      <x:c r="G196" s="75" t="str">
        <x:f>IF('전기원장'!A196="","",'전기원장'!H196)</x:f>
      </x:c>
      <x:c r="H196" s="73" t="str">
        <x:f>IF('전기원장'!A196="","",'전기원장'!I196)</x:f>
      </x:c>
      <x:c r="I196" s="73" t="str">
        <x:f>IF('전기원장'!A196="","",'전기원장'!J196)</x:f>
      </x:c>
      <x:c r="J196" s="73" t="str">
        <x:f>IF('전기원장'!A196="","",'전기원장'!K196)</x:f>
      </x:c>
      <x:c r="K196" s="73" t="str">
        <x:f>IF(B196="","",IF(COUNTIF($B$5:B196,B196)=1,COUNT($K$4:K195)+1,""))</x:f>
      </x:c>
      <x:c r="L196" s="85" t="str">
        <x:f>IF(B196="","",IF(COUNTIFS('계정비교'!$A$5:$A$1004,B196,'계정비교'!$H$5:$H$1004,"원인분석 대상")&gt;0,COUNT($L$4:L195)+1,""))</x:f>
      </x:c>
    </x:row>
    <x:row r="197">
      <x:c r="A197" s="73" t="str">
        <x:f>IF('전기원장'!A197="","","전기")</x:f>
      </x:c>
      <x:c r="B197" s="73" t="str">
        <x:f>IF('전기원장'!A197="","",'전기원장'!A197)</x:f>
      </x:c>
      <x:c r="C197" s="73" t="str">
        <x:f>IF('전기원장'!A197="","",'전기원장'!B197)</x:f>
      </x:c>
      <x:c r="D197" s="74" t="str">
        <x:f>IF('전기원장'!A197="","",'전기원장'!C197)</x:f>
      </x:c>
      <x:c r="E197" s="73" t="str">
        <x:f>IF('전기원장'!A197="","",'전기원장'!D197)</x:f>
      </x:c>
      <x:c r="F197" s="73" t="str">
        <x:f>IF('전기원장'!A197="","",'전기원장'!E197)</x:f>
      </x:c>
      <x:c r="G197" s="75" t="str">
        <x:f>IF('전기원장'!A197="","",'전기원장'!H197)</x:f>
      </x:c>
      <x:c r="H197" s="73" t="str">
        <x:f>IF('전기원장'!A197="","",'전기원장'!I197)</x:f>
      </x:c>
      <x:c r="I197" s="73" t="str">
        <x:f>IF('전기원장'!A197="","",'전기원장'!J197)</x:f>
      </x:c>
      <x:c r="J197" s="73" t="str">
        <x:f>IF('전기원장'!A197="","",'전기원장'!K197)</x:f>
      </x:c>
      <x:c r="K197" s="73" t="str">
        <x:f>IF(B197="","",IF(COUNTIF($B$5:B197,B197)=1,COUNT($K$4:K196)+1,""))</x:f>
      </x:c>
      <x:c r="L197" s="85" t="str">
        <x:f>IF(B197="","",IF(COUNTIFS('계정비교'!$A$5:$A$1004,B197,'계정비교'!$H$5:$H$1004,"원인분석 대상")&gt;0,COUNT($L$4:L196)+1,""))</x:f>
      </x:c>
    </x:row>
    <x:row r="198">
      <x:c r="A198" s="73" t="str">
        <x:f>IF('전기원장'!A198="","","전기")</x:f>
      </x:c>
      <x:c r="B198" s="73" t="str">
        <x:f>IF('전기원장'!A198="","",'전기원장'!A198)</x:f>
      </x:c>
      <x:c r="C198" s="73" t="str">
        <x:f>IF('전기원장'!A198="","",'전기원장'!B198)</x:f>
      </x:c>
      <x:c r="D198" s="74" t="str">
        <x:f>IF('전기원장'!A198="","",'전기원장'!C198)</x:f>
      </x:c>
      <x:c r="E198" s="73" t="str">
        <x:f>IF('전기원장'!A198="","",'전기원장'!D198)</x:f>
      </x:c>
      <x:c r="F198" s="73" t="str">
        <x:f>IF('전기원장'!A198="","",'전기원장'!E198)</x:f>
      </x:c>
      <x:c r="G198" s="75" t="str">
        <x:f>IF('전기원장'!A198="","",'전기원장'!H198)</x:f>
      </x:c>
      <x:c r="H198" s="73" t="str">
        <x:f>IF('전기원장'!A198="","",'전기원장'!I198)</x:f>
      </x:c>
      <x:c r="I198" s="73" t="str">
        <x:f>IF('전기원장'!A198="","",'전기원장'!J198)</x:f>
      </x:c>
      <x:c r="J198" s="73" t="str">
        <x:f>IF('전기원장'!A198="","",'전기원장'!K198)</x:f>
      </x:c>
      <x:c r="K198" s="73" t="str">
        <x:f>IF(B198="","",IF(COUNTIF($B$5:B198,B198)=1,COUNT($K$4:K197)+1,""))</x:f>
      </x:c>
      <x:c r="L198" s="85" t="str">
        <x:f>IF(B198="","",IF(COUNTIFS('계정비교'!$A$5:$A$1004,B198,'계정비교'!$H$5:$H$1004,"원인분석 대상")&gt;0,COUNT($L$4:L197)+1,""))</x:f>
      </x:c>
    </x:row>
    <x:row r="199">
      <x:c r="A199" s="73" t="str">
        <x:f>IF('전기원장'!A199="","","전기")</x:f>
      </x:c>
      <x:c r="B199" s="73" t="str">
        <x:f>IF('전기원장'!A199="","",'전기원장'!A199)</x:f>
      </x:c>
      <x:c r="C199" s="73" t="str">
        <x:f>IF('전기원장'!A199="","",'전기원장'!B199)</x:f>
      </x:c>
      <x:c r="D199" s="74" t="str">
        <x:f>IF('전기원장'!A199="","",'전기원장'!C199)</x:f>
      </x:c>
      <x:c r="E199" s="73" t="str">
        <x:f>IF('전기원장'!A199="","",'전기원장'!D199)</x:f>
      </x:c>
      <x:c r="F199" s="73" t="str">
        <x:f>IF('전기원장'!A199="","",'전기원장'!E199)</x:f>
      </x:c>
      <x:c r="G199" s="75" t="str">
        <x:f>IF('전기원장'!A199="","",'전기원장'!H199)</x:f>
      </x:c>
      <x:c r="H199" s="73" t="str">
        <x:f>IF('전기원장'!A199="","",'전기원장'!I199)</x:f>
      </x:c>
      <x:c r="I199" s="73" t="str">
        <x:f>IF('전기원장'!A199="","",'전기원장'!J199)</x:f>
      </x:c>
      <x:c r="J199" s="73" t="str">
        <x:f>IF('전기원장'!A199="","",'전기원장'!K199)</x:f>
      </x:c>
      <x:c r="K199" s="73" t="str">
        <x:f>IF(B199="","",IF(COUNTIF($B$5:B199,B199)=1,COUNT($K$4:K198)+1,""))</x:f>
      </x:c>
      <x:c r="L199" s="85" t="str">
        <x:f>IF(B199="","",IF(COUNTIFS('계정비교'!$A$5:$A$1004,B199,'계정비교'!$H$5:$H$1004,"원인분석 대상")&gt;0,COUNT($L$4:L198)+1,""))</x:f>
      </x:c>
    </x:row>
    <x:row r="200">
      <x:c r="A200" s="73" t="str">
        <x:f>IF('전기원장'!A200="","","전기")</x:f>
      </x:c>
      <x:c r="B200" s="73" t="str">
        <x:f>IF('전기원장'!A200="","",'전기원장'!A200)</x:f>
      </x:c>
      <x:c r="C200" s="73" t="str">
        <x:f>IF('전기원장'!A200="","",'전기원장'!B200)</x:f>
      </x:c>
      <x:c r="D200" s="74" t="str">
        <x:f>IF('전기원장'!A200="","",'전기원장'!C200)</x:f>
      </x:c>
      <x:c r="E200" s="73" t="str">
        <x:f>IF('전기원장'!A200="","",'전기원장'!D200)</x:f>
      </x:c>
      <x:c r="F200" s="73" t="str">
        <x:f>IF('전기원장'!A200="","",'전기원장'!E200)</x:f>
      </x:c>
      <x:c r="G200" s="75" t="str">
        <x:f>IF('전기원장'!A200="","",'전기원장'!H200)</x:f>
      </x:c>
      <x:c r="H200" s="73" t="str">
        <x:f>IF('전기원장'!A200="","",'전기원장'!I200)</x:f>
      </x:c>
      <x:c r="I200" s="73" t="str">
        <x:f>IF('전기원장'!A200="","",'전기원장'!J200)</x:f>
      </x:c>
      <x:c r="J200" s="73" t="str">
        <x:f>IF('전기원장'!A200="","",'전기원장'!K200)</x:f>
      </x:c>
      <x:c r="K200" s="73" t="str">
        <x:f>IF(B200="","",IF(COUNTIF($B$5:B200,B200)=1,COUNT($K$4:K199)+1,""))</x:f>
      </x:c>
      <x:c r="L200" s="85" t="str">
        <x:f>IF(B200="","",IF(COUNTIFS('계정비교'!$A$5:$A$1004,B200,'계정비교'!$H$5:$H$1004,"원인분석 대상")&gt;0,COUNT($L$4:L199)+1,""))</x:f>
      </x:c>
    </x:row>
    <x:row r="201">
      <x:c r="A201" s="73" t="str">
        <x:f>IF('전기원장'!A201="","","전기")</x:f>
      </x:c>
      <x:c r="B201" s="73" t="str">
        <x:f>IF('전기원장'!A201="","",'전기원장'!A201)</x:f>
      </x:c>
      <x:c r="C201" s="73" t="str">
        <x:f>IF('전기원장'!A201="","",'전기원장'!B201)</x:f>
      </x:c>
      <x:c r="D201" s="74" t="str">
        <x:f>IF('전기원장'!A201="","",'전기원장'!C201)</x:f>
      </x:c>
      <x:c r="E201" s="73" t="str">
        <x:f>IF('전기원장'!A201="","",'전기원장'!D201)</x:f>
      </x:c>
      <x:c r="F201" s="73" t="str">
        <x:f>IF('전기원장'!A201="","",'전기원장'!E201)</x:f>
      </x:c>
      <x:c r="G201" s="75" t="str">
        <x:f>IF('전기원장'!A201="","",'전기원장'!H201)</x:f>
      </x:c>
      <x:c r="H201" s="73" t="str">
        <x:f>IF('전기원장'!A201="","",'전기원장'!I201)</x:f>
      </x:c>
      <x:c r="I201" s="73" t="str">
        <x:f>IF('전기원장'!A201="","",'전기원장'!J201)</x:f>
      </x:c>
      <x:c r="J201" s="73" t="str">
        <x:f>IF('전기원장'!A201="","",'전기원장'!K201)</x:f>
      </x:c>
      <x:c r="K201" s="73" t="str">
        <x:f>IF(B201="","",IF(COUNTIF($B$5:B201,B201)=1,COUNT($K$4:K200)+1,""))</x:f>
      </x:c>
      <x:c r="L201" s="85" t="str">
        <x:f>IF(B201="","",IF(COUNTIFS('계정비교'!$A$5:$A$1004,B201,'계정비교'!$H$5:$H$1004,"원인분석 대상")&gt;0,COUNT($L$4:L200)+1,""))</x:f>
      </x:c>
    </x:row>
    <x:row r="202">
      <x:c r="A202" s="73" t="str">
        <x:f>IF('전기원장'!A202="","","전기")</x:f>
      </x:c>
      <x:c r="B202" s="73" t="str">
        <x:f>IF('전기원장'!A202="","",'전기원장'!A202)</x:f>
      </x:c>
      <x:c r="C202" s="73" t="str">
        <x:f>IF('전기원장'!A202="","",'전기원장'!B202)</x:f>
      </x:c>
      <x:c r="D202" s="74" t="str">
        <x:f>IF('전기원장'!A202="","",'전기원장'!C202)</x:f>
      </x:c>
      <x:c r="E202" s="73" t="str">
        <x:f>IF('전기원장'!A202="","",'전기원장'!D202)</x:f>
      </x:c>
      <x:c r="F202" s="73" t="str">
        <x:f>IF('전기원장'!A202="","",'전기원장'!E202)</x:f>
      </x:c>
      <x:c r="G202" s="75" t="str">
        <x:f>IF('전기원장'!A202="","",'전기원장'!H202)</x:f>
      </x:c>
      <x:c r="H202" s="73" t="str">
        <x:f>IF('전기원장'!A202="","",'전기원장'!I202)</x:f>
      </x:c>
      <x:c r="I202" s="73" t="str">
        <x:f>IF('전기원장'!A202="","",'전기원장'!J202)</x:f>
      </x:c>
      <x:c r="J202" s="73" t="str">
        <x:f>IF('전기원장'!A202="","",'전기원장'!K202)</x:f>
      </x:c>
      <x:c r="K202" s="73" t="str">
        <x:f>IF(B202="","",IF(COUNTIF($B$5:B202,B202)=1,COUNT($K$4:K201)+1,""))</x:f>
      </x:c>
      <x:c r="L202" s="85" t="str">
        <x:f>IF(B202="","",IF(COUNTIFS('계정비교'!$A$5:$A$1004,B202,'계정비교'!$H$5:$H$1004,"원인분석 대상")&gt;0,COUNT($L$4:L201)+1,""))</x:f>
      </x:c>
    </x:row>
    <x:row r="203">
      <x:c r="A203" s="73" t="str">
        <x:f>IF('전기원장'!A203="","","전기")</x:f>
      </x:c>
      <x:c r="B203" s="73" t="str">
        <x:f>IF('전기원장'!A203="","",'전기원장'!A203)</x:f>
      </x:c>
      <x:c r="C203" s="73" t="str">
        <x:f>IF('전기원장'!A203="","",'전기원장'!B203)</x:f>
      </x:c>
      <x:c r="D203" s="74" t="str">
        <x:f>IF('전기원장'!A203="","",'전기원장'!C203)</x:f>
      </x:c>
      <x:c r="E203" s="73" t="str">
        <x:f>IF('전기원장'!A203="","",'전기원장'!D203)</x:f>
      </x:c>
      <x:c r="F203" s="73" t="str">
        <x:f>IF('전기원장'!A203="","",'전기원장'!E203)</x:f>
      </x:c>
      <x:c r="G203" s="75" t="str">
        <x:f>IF('전기원장'!A203="","",'전기원장'!H203)</x:f>
      </x:c>
      <x:c r="H203" s="73" t="str">
        <x:f>IF('전기원장'!A203="","",'전기원장'!I203)</x:f>
      </x:c>
      <x:c r="I203" s="73" t="str">
        <x:f>IF('전기원장'!A203="","",'전기원장'!J203)</x:f>
      </x:c>
      <x:c r="J203" s="73" t="str">
        <x:f>IF('전기원장'!A203="","",'전기원장'!K203)</x:f>
      </x:c>
      <x:c r="K203" s="73" t="str">
        <x:f>IF(B203="","",IF(COUNTIF($B$5:B203,B203)=1,COUNT($K$4:K202)+1,""))</x:f>
      </x:c>
      <x:c r="L203" s="85" t="str">
        <x:f>IF(B203="","",IF(COUNTIFS('계정비교'!$A$5:$A$1004,B203,'계정비교'!$H$5:$H$1004,"원인분석 대상")&gt;0,COUNT($L$4:L202)+1,""))</x:f>
      </x:c>
    </x:row>
    <x:row r="204">
      <x:c r="A204" s="73" t="str">
        <x:f>IF('전기원장'!A204="","","전기")</x:f>
      </x:c>
      <x:c r="B204" s="73" t="str">
        <x:f>IF('전기원장'!A204="","",'전기원장'!A204)</x:f>
      </x:c>
      <x:c r="C204" s="73" t="str">
        <x:f>IF('전기원장'!A204="","",'전기원장'!B204)</x:f>
      </x:c>
      <x:c r="D204" s="74" t="str">
        <x:f>IF('전기원장'!A204="","",'전기원장'!C204)</x:f>
      </x:c>
      <x:c r="E204" s="73" t="str">
        <x:f>IF('전기원장'!A204="","",'전기원장'!D204)</x:f>
      </x:c>
      <x:c r="F204" s="73" t="str">
        <x:f>IF('전기원장'!A204="","",'전기원장'!E204)</x:f>
      </x:c>
      <x:c r="G204" s="75" t="str">
        <x:f>IF('전기원장'!A204="","",'전기원장'!H204)</x:f>
      </x:c>
      <x:c r="H204" s="73" t="str">
        <x:f>IF('전기원장'!A204="","",'전기원장'!I204)</x:f>
      </x:c>
      <x:c r="I204" s="73" t="str">
        <x:f>IF('전기원장'!A204="","",'전기원장'!J204)</x:f>
      </x:c>
      <x:c r="J204" s="73" t="str">
        <x:f>IF('전기원장'!A204="","",'전기원장'!K204)</x:f>
      </x:c>
      <x:c r="K204" s="73" t="str">
        <x:f>IF(B204="","",IF(COUNTIF($B$5:B204,B204)=1,COUNT($K$4:K203)+1,""))</x:f>
      </x:c>
      <x:c r="L204" s="85" t="str">
        <x:f>IF(B204="","",IF(COUNTIFS('계정비교'!$A$5:$A$1004,B204,'계정비교'!$H$5:$H$1004,"원인분석 대상")&gt;0,COUNT($L$4:L203)+1,""))</x:f>
      </x:c>
    </x:row>
    <x:row r="205">
      <x:c r="A205" s="73" t="str">
        <x:f>IF('전기원장'!A205="","","전기")</x:f>
      </x:c>
      <x:c r="B205" s="73" t="str">
        <x:f>IF('전기원장'!A205="","",'전기원장'!A205)</x:f>
      </x:c>
      <x:c r="C205" s="73" t="str">
        <x:f>IF('전기원장'!A205="","",'전기원장'!B205)</x:f>
      </x:c>
      <x:c r="D205" s="74" t="str">
        <x:f>IF('전기원장'!A205="","",'전기원장'!C205)</x:f>
      </x:c>
      <x:c r="E205" s="73" t="str">
        <x:f>IF('전기원장'!A205="","",'전기원장'!D205)</x:f>
      </x:c>
      <x:c r="F205" s="73" t="str">
        <x:f>IF('전기원장'!A205="","",'전기원장'!E205)</x:f>
      </x:c>
      <x:c r="G205" s="75" t="str">
        <x:f>IF('전기원장'!A205="","",'전기원장'!H205)</x:f>
      </x:c>
      <x:c r="H205" s="73" t="str">
        <x:f>IF('전기원장'!A205="","",'전기원장'!I205)</x:f>
      </x:c>
      <x:c r="I205" s="73" t="str">
        <x:f>IF('전기원장'!A205="","",'전기원장'!J205)</x:f>
      </x:c>
      <x:c r="J205" s="73" t="str">
        <x:f>IF('전기원장'!A205="","",'전기원장'!K205)</x:f>
      </x:c>
      <x:c r="K205" s="73" t="str">
        <x:f>IF(B205="","",IF(COUNTIF($B$5:B205,B205)=1,COUNT($K$4:K204)+1,""))</x:f>
      </x:c>
      <x:c r="L205" s="85" t="str">
        <x:f>IF(B205="","",IF(COUNTIFS('계정비교'!$A$5:$A$1004,B205,'계정비교'!$H$5:$H$1004,"원인분석 대상")&gt;0,COUNT($L$4:L204)+1,""))</x:f>
      </x:c>
    </x:row>
    <x:row r="206">
      <x:c r="A206" s="73" t="str">
        <x:f>IF('전기원장'!A206="","","전기")</x:f>
      </x:c>
      <x:c r="B206" s="73" t="str">
        <x:f>IF('전기원장'!A206="","",'전기원장'!A206)</x:f>
      </x:c>
      <x:c r="C206" s="73" t="str">
        <x:f>IF('전기원장'!A206="","",'전기원장'!B206)</x:f>
      </x:c>
      <x:c r="D206" s="74" t="str">
        <x:f>IF('전기원장'!A206="","",'전기원장'!C206)</x:f>
      </x:c>
      <x:c r="E206" s="73" t="str">
        <x:f>IF('전기원장'!A206="","",'전기원장'!D206)</x:f>
      </x:c>
      <x:c r="F206" s="73" t="str">
        <x:f>IF('전기원장'!A206="","",'전기원장'!E206)</x:f>
      </x:c>
      <x:c r="G206" s="75" t="str">
        <x:f>IF('전기원장'!A206="","",'전기원장'!H206)</x:f>
      </x:c>
      <x:c r="H206" s="73" t="str">
        <x:f>IF('전기원장'!A206="","",'전기원장'!I206)</x:f>
      </x:c>
      <x:c r="I206" s="73" t="str">
        <x:f>IF('전기원장'!A206="","",'전기원장'!J206)</x:f>
      </x:c>
      <x:c r="J206" s="73" t="str">
        <x:f>IF('전기원장'!A206="","",'전기원장'!K206)</x:f>
      </x:c>
      <x:c r="K206" s="73" t="str">
        <x:f>IF(B206="","",IF(COUNTIF($B$5:B206,B206)=1,COUNT($K$4:K205)+1,""))</x:f>
      </x:c>
      <x:c r="L206" s="85" t="str">
        <x:f>IF(B206="","",IF(COUNTIFS('계정비교'!$A$5:$A$1004,B206,'계정비교'!$H$5:$H$1004,"원인분석 대상")&gt;0,COUNT($L$4:L205)+1,""))</x:f>
      </x:c>
    </x:row>
    <x:row r="207">
      <x:c r="A207" s="73" t="str">
        <x:f>IF('전기원장'!A207="","","전기")</x:f>
      </x:c>
      <x:c r="B207" s="73" t="str">
        <x:f>IF('전기원장'!A207="","",'전기원장'!A207)</x:f>
      </x:c>
      <x:c r="C207" s="73" t="str">
        <x:f>IF('전기원장'!A207="","",'전기원장'!B207)</x:f>
      </x:c>
      <x:c r="D207" s="74" t="str">
        <x:f>IF('전기원장'!A207="","",'전기원장'!C207)</x:f>
      </x:c>
      <x:c r="E207" s="73" t="str">
        <x:f>IF('전기원장'!A207="","",'전기원장'!D207)</x:f>
      </x:c>
      <x:c r="F207" s="73" t="str">
        <x:f>IF('전기원장'!A207="","",'전기원장'!E207)</x:f>
      </x:c>
      <x:c r="G207" s="75" t="str">
        <x:f>IF('전기원장'!A207="","",'전기원장'!H207)</x:f>
      </x:c>
      <x:c r="H207" s="73" t="str">
        <x:f>IF('전기원장'!A207="","",'전기원장'!I207)</x:f>
      </x:c>
      <x:c r="I207" s="73" t="str">
        <x:f>IF('전기원장'!A207="","",'전기원장'!J207)</x:f>
      </x:c>
      <x:c r="J207" s="73" t="str">
        <x:f>IF('전기원장'!A207="","",'전기원장'!K207)</x:f>
      </x:c>
      <x:c r="K207" s="73" t="str">
        <x:f>IF(B207="","",IF(COUNTIF($B$5:B207,B207)=1,COUNT($K$4:K206)+1,""))</x:f>
      </x:c>
      <x:c r="L207" s="85" t="str">
        <x:f>IF(B207="","",IF(COUNTIFS('계정비교'!$A$5:$A$1004,B207,'계정비교'!$H$5:$H$1004,"원인분석 대상")&gt;0,COUNT($L$4:L206)+1,""))</x:f>
      </x:c>
    </x:row>
    <x:row r="208">
      <x:c r="A208" s="73" t="str">
        <x:f>IF('전기원장'!A208="","","전기")</x:f>
      </x:c>
      <x:c r="B208" s="73" t="str">
        <x:f>IF('전기원장'!A208="","",'전기원장'!A208)</x:f>
      </x:c>
      <x:c r="C208" s="73" t="str">
        <x:f>IF('전기원장'!A208="","",'전기원장'!B208)</x:f>
      </x:c>
      <x:c r="D208" s="74" t="str">
        <x:f>IF('전기원장'!A208="","",'전기원장'!C208)</x:f>
      </x:c>
      <x:c r="E208" s="73" t="str">
        <x:f>IF('전기원장'!A208="","",'전기원장'!D208)</x:f>
      </x:c>
      <x:c r="F208" s="73" t="str">
        <x:f>IF('전기원장'!A208="","",'전기원장'!E208)</x:f>
      </x:c>
      <x:c r="G208" s="75" t="str">
        <x:f>IF('전기원장'!A208="","",'전기원장'!H208)</x:f>
      </x:c>
      <x:c r="H208" s="73" t="str">
        <x:f>IF('전기원장'!A208="","",'전기원장'!I208)</x:f>
      </x:c>
      <x:c r="I208" s="73" t="str">
        <x:f>IF('전기원장'!A208="","",'전기원장'!J208)</x:f>
      </x:c>
      <x:c r="J208" s="73" t="str">
        <x:f>IF('전기원장'!A208="","",'전기원장'!K208)</x:f>
      </x:c>
      <x:c r="K208" s="73" t="str">
        <x:f>IF(B208="","",IF(COUNTIF($B$5:B208,B208)=1,COUNT($K$4:K207)+1,""))</x:f>
      </x:c>
      <x:c r="L208" s="85" t="str">
        <x:f>IF(B208="","",IF(COUNTIFS('계정비교'!$A$5:$A$1004,B208,'계정비교'!$H$5:$H$1004,"원인분석 대상")&gt;0,COUNT($L$4:L207)+1,""))</x:f>
      </x:c>
    </x:row>
    <x:row r="209">
      <x:c r="A209" s="73" t="str">
        <x:f>IF('전기원장'!A209="","","전기")</x:f>
      </x:c>
      <x:c r="B209" s="73" t="str">
        <x:f>IF('전기원장'!A209="","",'전기원장'!A209)</x:f>
      </x:c>
      <x:c r="C209" s="73" t="str">
        <x:f>IF('전기원장'!A209="","",'전기원장'!B209)</x:f>
      </x:c>
      <x:c r="D209" s="74" t="str">
        <x:f>IF('전기원장'!A209="","",'전기원장'!C209)</x:f>
      </x:c>
      <x:c r="E209" s="73" t="str">
        <x:f>IF('전기원장'!A209="","",'전기원장'!D209)</x:f>
      </x:c>
      <x:c r="F209" s="73" t="str">
        <x:f>IF('전기원장'!A209="","",'전기원장'!E209)</x:f>
      </x:c>
      <x:c r="G209" s="75" t="str">
        <x:f>IF('전기원장'!A209="","",'전기원장'!H209)</x:f>
      </x:c>
      <x:c r="H209" s="73" t="str">
        <x:f>IF('전기원장'!A209="","",'전기원장'!I209)</x:f>
      </x:c>
      <x:c r="I209" s="73" t="str">
        <x:f>IF('전기원장'!A209="","",'전기원장'!J209)</x:f>
      </x:c>
      <x:c r="J209" s="73" t="str">
        <x:f>IF('전기원장'!A209="","",'전기원장'!K209)</x:f>
      </x:c>
      <x:c r="K209" s="73" t="str">
        <x:f>IF(B209="","",IF(COUNTIF($B$5:B209,B209)=1,COUNT($K$4:K208)+1,""))</x:f>
      </x:c>
      <x:c r="L209" s="85" t="str">
        <x:f>IF(B209="","",IF(COUNTIFS('계정비교'!$A$5:$A$1004,B209,'계정비교'!$H$5:$H$1004,"원인분석 대상")&gt;0,COUNT($L$4:L208)+1,""))</x:f>
      </x:c>
    </x:row>
    <x:row r="210">
      <x:c r="A210" s="73" t="str">
        <x:f>IF('전기원장'!A210="","","전기")</x:f>
      </x:c>
      <x:c r="B210" s="73" t="str">
        <x:f>IF('전기원장'!A210="","",'전기원장'!A210)</x:f>
      </x:c>
      <x:c r="C210" s="73" t="str">
        <x:f>IF('전기원장'!A210="","",'전기원장'!B210)</x:f>
      </x:c>
      <x:c r="D210" s="74" t="str">
        <x:f>IF('전기원장'!A210="","",'전기원장'!C210)</x:f>
      </x:c>
      <x:c r="E210" s="73" t="str">
        <x:f>IF('전기원장'!A210="","",'전기원장'!D210)</x:f>
      </x:c>
      <x:c r="F210" s="73" t="str">
        <x:f>IF('전기원장'!A210="","",'전기원장'!E210)</x:f>
      </x:c>
      <x:c r="G210" s="75" t="str">
        <x:f>IF('전기원장'!A210="","",'전기원장'!H210)</x:f>
      </x:c>
      <x:c r="H210" s="73" t="str">
        <x:f>IF('전기원장'!A210="","",'전기원장'!I210)</x:f>
      </x:c>
      <x:c r="I210" s="73" t="str">
        <x:f>IF('전기원장'!A210="","",'전기원장'!J210)</x:f>
      </x:c>
      <x:c r="J210" s="73" t="str">
        <x:f>IF('전기원장'!A210="","",'전기원장'!K210)</x:f>
      </x:c>
      <x:c r="K210" s="73" t="str">
        <x:f>IF(B210="","",IF(COUNTIF($B$5:B210,B210)=1,COUNT($K$4:K209)+1,""))</x:f>
      </x:c>
      <x:c r="L210" s="85" t="str">
        <x:f>IF(B210="","",IF(COUNTIFS('계정비교'!$A$5:$A$1004,B210,'계정비교'!$H$5:$H$1004,"원인분석 대상")&gt;0,COUNT($L$4:L209)+1,""))</x:f>
      </x:c>
    </x:row>
    <x:row r="211">
      <x:c r="A211" s="73" t="str">
        <x:f>IF('전기원장'!A211="","","전기")</x:f>
      </x:c>
      <x:c r="B211" s="73" t="str">
        <x:f>IF('전기원장'!A211="","",'전기원장'!A211)</x:f>
      </x:c>
      <x:c r="C211" s="73" t="str">
        <x:f>IF('전기원장'!A211="","",'전기원장'!B211)</x:f>
      </x:c>
      <x:c r="D211" s="74" t="str">
        <x:f>IF('전기원장'!A211="","",'전기원장'!C211)</x:f>
      </x:c>
      <x:c r="E211" s="73" t="str">
        <x:f>IF('전기원장'!A211="","",'전기원장'!D211)</x:f>
      </x:c>
      <x:c r="F211" s="73" t="str">
        <x:f>IF('전기원장'!A211="","",'전기원장'!E211)</x:f>
      </x:c>
      <x:c r="G211" s="75" t="str">
        <x:f>IF('전기원장'!A211="","",'전기원장'!H211)</x:f>
      </x:c>
      <x:c r="H211" s="73" t="str">
        <x:f>IF('전기원장'!A211="","",'전기원장'!I211)</x:f>
      </x:c>
      <x:c r="I211" s="73" t="str">
        <x:f>IF('전기원장'!A211="","",'전기원장'!J211)</x:f>
      </x:c>
      <x:c r="J211" s="73" t="str">
        <x:f>IF('전기원장'!A211="","",'전기원장'!K211)</x:f>
      </x:c>
      <x:c r="K211" s="73" t="str">
        <x:f>IF(B211="","",IF(COUNTIF($B$5:B211,B211)=1,COUNT($K$4:K210)+1,""))</x:f>
      </x:c>
      <x:c r="L211" s="85" t="str">
        <x:f>IF(B211="","",IF(COUNTIFS('계정비교'!$A$5:$A$1004,B211,'계정비교'!$H$5:$H$1004,"원인분석 대상")&gt;0,COUNT($L$4:L210)+1,""))</x:f>
      </x:c>
    </x:row>
    <x:row r="212">
      <x:c r="A212" s="73" t="str">
        <x:f>IF('전기원장'!A212="","","전기")</x:f>
      </x:c>
      <x:c r="B212" s="73" t="str">
        <x:f>IF('전기원장'!A212="","",'전기원장'!A212)</x:f>
      </x:c>
      <x:c r="C212" s="73" t="str">
        <x:f>IF('전기원장'!A212="","",'전기원장'!B212)</x:f>
      </x:c>
      <x:c r="D212" s="74" t="str">
        <x:f>IF('전기원장'!A212="","",'전기원장'!C212)</x:f>
      </x:c>
      <x:c r="E212" s="73" t="str">
        <x:f>IF('전기원장'!A212="","",'전기원장'!D212)</x:f>
      </x:c>
      <x:c r="F212" s="73" t="str">
        <x:f>IF('전기원장'!A212="","",'전기원장'!E212)</x:f>
      </x:c>
      <x:c r="G212" s="75" t="str">
        <x:f>IF('전기원장'!A212="","",'전기원장'!H212)</x:f>
      </x:c>
      <x:c r="H212" s="73" t="str">
        <x:f>IF('전기원장'!A212="","",'전기원장'!I212)</x:f>
      </x:c>
      <x:c r="I212" s="73" t="str">
        <x:f>IF('전기원장'!A212="","",'전기원장'!J212)</x:f>
      </x:c>
      <x:c r="J212" s="73" t="str">
        <x:f>IF('전기원장'!A212="","",'전기원장'!K212)</x:f>
      </x:c>
      <x:c r="K212" s="73" t="str">
        <x:f>IF(B212="","",IF(COUNTIF($B$5:B212,B212)=1,COUNT($K$4:K211)+1,""))</x:f>
      </x:c>
      <x:c r="L212" s="85" t="str">
        <x:f>IF(B212="","",IF(COUNTIFS('계정비교'!$A$5:$A$1004,B212,'계정비교'!$H$5:$H$1004,"원인분석 대상")&gt;0,COUNT($L$4:L211)+1,""))</x:f>
      </x:c>
    </x:row>
    <x:row r="213">
      <x:c r="A213" s="73" t="str">
        <x:f>IF('전기원장'!A213="","","전기")</x:f>
      </x:c>
      <x:c r="B213" s="73" t="str">
        <x:f>IF('전기원장'!A213="","",'전기원장'!A213)</x:f>
      </x:c>
      <x:c r="C213" s="73" t="str">
        <x:f>IF('전기원장'!A213="","",'전기원장'!B213)</x:f>
      </x:c>
      <x:c r="D213" s="74" t="str">
        <x:f>IF('전기원장'!A213="","",'전기원장'!C213)</x:f>
      </x:c>
      <x:c r="E213" s="73" t="str">
        <x:f>IF('전기원장'!A213="","",'전기원장'!D213)</x:f>
      </x:c>
      <x:c r="F213" s="73" t="str">
        <x:f>IF('전기원장'!A213="","",'전기원장'!E213)</x:f>
      </x:c>
      <x:c r="G213" s="75" t="str">
        <x:f>IF('전기원장'!A213="","",'전기원장'!H213)</x:f>
      </x:c>
      <x:c r="H213" s="73" t="str">
        <x:f>IF('전기원장'!A213="","",'전기원장'!I213)</x:f>
      </x:c>
      <x:c r="I213" s="73" t="str">
        <x:f>IF('전기원장'!A213="","",'전기원장'!J213)</x:f>
      </x:c>
      <x:c r="J213" s="73" t="str">
        <x:f>IF('전기원장'!A213="","",'전기원장'!K213)</x:f>
      </x:c>
      <x:c r="K213" s="73" t="str">
        <x:f>IF(B213="","",IF(COUNTIF($B$5:B213,B213)=1,COUNT($K$4:K212)+1,""))</x:f>
      </x:c>
      <x:c r="L213" s="85" t="str">
        <x:f>IF(B213="","",IF(COUNTIFS('계정비교'!$A$5:$A$1004,B213,'계정비교'!$H$5:$H$1004,"원인분석 대상")&gt;0,COUNT($L$4:L212)+1,""))</x:f>
      </x:c>
    </x:row>
    <x:row r="214">
      <x:c r="A214" s="73" t="str">
        <x:f>IF('전기원장'!A214="","","전기")</x:f>
      </x:c>
      <x:c r="B214" s="73" t="str">
        <x:f>IF('전기원장'!A214="","",'전기원장'!A214)</x:f>
      </x:c>
      <x:c r="C214" s="73" t="str">
        <x:f>IF('전기원장'!A214="","",'전기원장'!B214)</x:f>
      </x:c>
      <x:c r="D214" s="74" t="str">
        <x:f>IF('전기원장'!A214="","",'전기원장'!C214)</x:f>
      </x:c>
      <x:c r="E214" s="73" t="str">
        <x:f>IF('전기원장'!A214="","",'전기원장'!D214)</x:f>
      </x:c>
      <x:c r="F214" s="73" t="str">
        <x:f>IF('전기원장'!A214="","",'전기원장'!E214)</x:f>
      </x:c>
      <x:c r="G214" s="75" t="str">
        <x:f>IF('전기원장'!A214="","",'전기원장'!H214)</x:f>
      </x:c>
      <x:c r="H214" s="73" t="str">
        <x:f>IF('전기원장'!A214="","",'전기원장'!I214)</x:f>
      </x:c>
      <x:c r="I214" s="73" t="str">
        <x:f>IF('전기원장'!A214="","",'전기원장'!J214)</x:f>
      </x:c>
      <x:c r="J214" s="73" t="str">
        <x:f>IF('전기원장'!A214="","",'전기원장'!K214)</x:f>
      </x:c>
      <x:c r="K214" s="73" t="str">
        <x:f>IF(B214="","",IF(COUNTIF($B$5:B214,B214)=1,COUNT($K$4:K213)+1,""))</x:f>
      </x:c>
      <x:c r="L214" s="85" t="str">
        <x:f>IF(B214="","",IF(COUNTIFS('계정비교'!$A$5:$A$1004,B214,'계정비교'!$H$5:$H$1004,"원인분석 대상")&gt;0,COUNT($L$4:L213)+1,""))</x:f>
      </x:c>
    </x:row>
    <x:row r="215">
      <x:c r="A215" s="73" t="str">
        <x:f>IF('전기원장'!A215="","","전기")</x:f>
      </x:c>
      <x:c r="B215" s="73" t="str">
        <x:f>IF('전기원장'!A215="","",'전기원장'!A215)</x:f>
      </x:c>
      <x:c r="C215" s="73" t="str">
        <x:f>IF('전기원장'!A215="","",'전기원장'!B215)</x:f>
      </x:c>
      <x:c r="D215" s="74" t="str">
        <x:f>IF('전기원장'!A215="","",'전기원장'!C215)</x:f>
      </x:c>
      <x:c r="E215" s="73" t="str">
        <x:f>IF('전기원장'!A215="","",'전기원장'!D215)</x:f>
      </x:c>
      <x:c r="F215" s="73" t="str">
        <x:f>IF('전기원장'!A215="","",'전기원장'!E215)</x:f>
      </x:c>
      <x:c r="G215" s="75" t="str">
        <x:f>IF('전기원장'!A215="","",'전기원장'!H215)</x:f>
      </x:c>
      <x:c r="H215" s="73" t="str">
        <x:f>IF('전기원장'!A215="","",'전기원장'!I215)</x:f>
      </x:c>
      <x:c r="I215" s="73" t="str">
        <x:f>IF('전기원장'!A215="","",'전기원장'!J215)</x:f>
      </x:c>
      <x:c r="J215" s="73" t="str">
        <x:f>IF('전기원장'!A215="","",'전기원장'!K215)</x:f>
      </x:c>
      <x:c r="K215" s="73" t="str">
        <x:f>IF(B215="","",IF(COUNTIF($B$5:B215,B215)=1,COUNT($K$4:K214)+1,""))</x:f>
      </x:c>
      <x:c r="L215" s="85" t="str">
        <x:f>IF(B215="","",IF(COUNTIFS('계정비교'!$A$5:$A$1004,B215,'계정비교'!$H$5:$H$1004,"원인분석 대상")&gt;0,COUNT($L$4:L214)+1,""))</x:f>
      </x:c>
    </x:row>
    <x:row r="216">
      <x:c r="A216" s="73" t="str">
        <x:f>IF('전기원장'!A216="","","전기")</x:f>
      </x:c>
      <x:c r="B216" s="73" t="str">
        <x:f>IF('전기원장'!A216="","",'전기원장'!A216)</x:f>
      </x:c>
      <x:c r="C216" s="73" t="str">
        <x:f>IF('전기원장'!A216="","",'전기원장'!B216)</x:f>
      </x:c>
      <x:c r="D216" s="74" t="str">
        <x:f>IF('전기원장'!A216="","",'전기원장'!C216)</x:f>
      </x:c>
      <x:c r="E216" s="73" t="str">
        <x:f>IF('전기원장'!A216="","",'전기원장'!D216)</x:f>
      </x:c>
      <x:c r="F216" s="73" t="str">
        <x:f>IF('전기원장'!A216="","",'전기원장'!E216)</x:f>
      </x:c>
      <x:c r="G216" s="75" t="str">
        <x:f>IF('전기원장'!A216="","",'전기원장'!H216)</x:f>
      </x:c>
      <x:c r="H216" s="73" t="str">
        <x:f>IF('전기원장'!A216="","",'전기원장'!I216)</x:f>
      </x:c>
      <x:c r="I216" s="73" t="str">
        <x:f>IF('전기원장'!A216="","",'전기원장'!J216)</x:f>
      </x:c>
      <x:c r="J216" s="73" t="str">
        <x:f>IF('전기원장'!A216="","",'전기원장'!K216)</x:f>
      </x:c>
      <x:c r="K216" s="73" t="str">
        <x:f>IF(B216="","",IF(COUNTIF($B$5:B216,B216)=1,COUNT($K$4:K215)+1,""))</x:f>
      </x:c>
      <x:c r="L216" s="85" t="str">
        <x:f>IF(B216="","",IF(COUNTIFS('계정비교'!$A$5:$A$1004,B216,'계정비교'!$H$5:$H$1004,"원인분석 대상")&gt;0,COUNT($L$4:L215)+1,""))</x:f>
      </x:c>
    </x:row>
    <x:row r="217">
      <x:c r="A217" s="73" t="str">
        <x:f>IF('전기원장'!A217="","","전기")</x:f>
      </x:c>
      <x:c r="B217" s="73" t="str">
        <x:f>IF('전기원장'!A217="","",'전기원장'!A217)</x:f>
      </x:c>
      <x:c r="C217" s="73" t="str">
        <x:f>IF('전기원장'!A217="","",'전기원장'!B217)</x:f>
      </x:c>
      <x:c r="D217" s="74" t="str">
        <x:f>IF('전기원장'!A217="","",'전기원장'!C217)</x:f>
      </x:c>
      <x:c r="E217" s="73" t="str">
        <x:f>IF('전기원장'!A217="","",'전기원장'!D217)</x:f>
      </x:c>
      <x:c r="F217" s="73" t="str">
        <x:f>IF('전기원장'!A217="","",'전기원장'!E217)</x:f>
      </x:c>
      <x:c r="G217" s="75" t="str">
        <x:f>IF('전기원장'!A217="","",'전기원장'!H217)</x:f>
      </x:c>
      <x:c r="H217" s="73" t="str">
        <x:f>IF('전기원장'!A217="","",'전기원장'!I217)</x:f>
      </x:c>
      <x:c r="I217" s="73" t="str">
        <x:f>IF('전기원장'!A217="","",'전기원장'!J217)</x:f>
      </x:c>
      <x:c r="J217" s="73" t="str">
        <x:f>IF('전기원장'!A217="","",'전기원장'!K217)</x:f>
      </x:c>
      <x:c r="K217" s="73" t="str">
        <x:f>IF(B217="","",IF(COUNTIF($B$5:B217,B217)=1,COUNT($K$4:K216)+1,""))</x:f>
      </x:c>
      <x:c r="L217" s="85" t="str">
        <x:f>IF(B217="","",IF(COUNTIFS('계정비교'!$A$5:$A$1004,B217,'계정비교'!$H$5:$H$1004,"원인분석 대상")&gt;0,COUNT($L$4:L216)+1,""))</x:f>
      </x:c>
    </x:row>
    <x:row r="218">
      <x:c r="A218" s="73" t="str">
        <x:f>IF('전기원장'!A218="","","전기")</x:f>
      </x:c>
      <x:c r="B218" s="73" t="str">
        <x:f>IF('전기원장'!A218="","",'전기원장'!A218)</x:f>
      </x:c>
      <x:c r="C218" s="73" t="str">
        <x:f>IF('전기원장'!A218="","",'전기원장'!B218)</x:f>
      </x:c>
      <x:c r="D218" s="74" t="str">
        <x:f>IF('전기원장'!A218="","",'전기원장'!C218)</x:f>
      </x:c>
      <x:c r="E218" s="73" t="str">
        <x:f>IF('전기원장'!A218="","",'전기원장'!D218)</x:f>
      </x:c>
      <x:c r="F218" s="73" t="str">
        <x:f>IF('전기원장'!A218="","",'전기원장'!E218)</x:f>
      </x:c>
      <x:c r="G218" s="75" t="str">
        <x:f>IF('전기원장'!A218="","",'전기원장'!H218)</x:f>
      </x:c>
      <x:c r="H218" s="73" t="str">
        <x:f>IF('전기원장'!A218="","",'전기원장'!I218)</x:f>
      </x:c>
      <x:c r="I218" s="73" t="str">
        <x:f>IF('전기원장'!A218="","",'전기원장'!J218)</x:f>
      </x:c>
      <x:c r="J218" s="73" t="str">
        <x:f>IF('전기원장'!A218="","",'전기원장'!K218)</x:f>
      </x:c>
      <x:c r="K218" s="73" t="str">
        <x:f>IF(B218="","",IF(COUNTIF($B$5:B218,B218)=1,COUNT($K$4:K217)+1,""))</x:f>
      </x:c>
      <x:c r="L218" s="85" t="str">
        <x:f>IF(B218="","",IF(COUNTIFS('계정비교'!$A$5:$A$1004,B218,'계정비교'!$H$5:$H$1004,"원인분석 대상")&gt;0,COUNT($L$4:L217)+1,""))</x:f>
      </x:c>
    </x:row>
    <x:row r="219">
      <x:c r="A219" s="73" t="str">
        <x:f>IF('전기원장'!A219="","","전기")</x:f>
      </x:c>
      <x:c r="B219" s="73" t="str">
        <x:f>IF('전기원장'!A219="","",'전기원장'!A219)</x:f>
      </x:c>
      <x:c r="C219" s="73" t="str">
        <x:f>IF('전기원장'!A219="","",'전기원장'!B219)</x:f>
      </x:c>
      <x:c r="D219" s="74" t="str">
        <x:f>IF('전기원장'!A219="","",'전기원장'!C219)</x:f>
      </x:c>
      <x:c r="E219" s="73" t="str">
        <x:f>IF('전기원장'!A219="","",'전기원장'!D219)</x:f>
      </x:c>
      <x:c r="F219" s="73" t="str">
        <x:f>IF('전기원장'!A219="","",'전기원장'!E219)</x:f>
      </x:c>
      <x:c r="G219" s="75" t="str">
        <x:f>IF('전기원장'!A219="","",'전기원장'!H219)</x:f>
      </x:c>
      <x:c r="H219" s="73" t="str">
        <x:f>IF('전기원장'!A219="","",'전기원장'!I219)</x:f>
      </x:c>
      <x:c r="I219" s="73" t="str">
        <x:f>IF('전기원장'!A219="","",'전기원장'!J219)</x:f>
      </x:c>
      <x:c r="J219" s="73" t="str">
        <x:f>IF('전기원장'!A219="","",'전기원장'!K219)</x:f>
      </x:c>
      <x:c r="K219" s="73" t="str">
        <x:f>IF(B219="","",IF(COUNTIF($B$5:B219,B219)=1,COUNT($K$4:K218)+1,""))</x:f>
      </x:c>
      <x:c r="L219" s="85" t="str">
        <x:f>IF(B219="","",IF(COUNTIFS('계정비교'!$A$5:$A$1004,B219,'계정비교'!$H$5:$H$1004,"원인분석 대상")&gt;0,COUNT($L$4:L218)+1,""))</x:f>
      </x:c>
    </x:row>
    <x:row r="220">
      <x:c r="A220" s="73" t="str">
        <x:f>IF('전기원장'!A220="","","전기")</x:f>
      </x:c>
      <x:c r="B220" s="73" t="str">
        <x:f>IF('전기원장'!A220="","",'전기원장'!A220)</x:f>
      </x:c>
      <x:c r="C220" s="73" t="str">
        <x:f>IF('전기원장'!A220="","",'전기원장'!B220)</x:f>
      </x:c>
      <x:c r="D220" s="74" t="str">
        <x:f>IF('전기원장'!A220="","",'전기원장'!C220)</x:f>
      </x:c>
      <x:c r="E220" s="73" t="str">
        <x:f>IF('전기원장'!A220="","",'전기원장'!D220)</x:f>
      </x:c>
      <x:c r="F220" s="73" t="str">
        <x:f>IF('전기원장'!A220="","",'전기원장'!E220)</x:f>
      </x:c>
      <x:c r="G220" s="75" t="str">
        <x:f>IF('전기원장'!A220="","",'전기원장'!H220)</x:f>
      </x:c>
      <x:c r="H220" s="73" t="str">
        <x:f>IF('전기원장'!A220="","",'전기원장'!I220)</x:f>
      </x:c>
      <x:c r="I220" s="73" t="str">
        <x:f>IF('전기원장'!A220="","",'전기원장'!J220)</x:f>
      </x:c>
      <x:c r="J220" s="73" t="str">
        <x:f>IF('전기원장'!A220="","",'전기원장'!K220)</x:f>
      </x:c>
      <x:c r="K220" s="73" t="str">
        <x:f>IF(B220="","",IF(COUNTIF($B$5:B220,B220)=1,COUNT($K$4:K219)+1,""))</x:f>
      </x:c>
      <x:c r="L220" s="85" t="str">
        <x:f>IF(B220="","",IF(COUNTIFS('계정비교'!$A$5:$A$1004,B220,'계정비교'!$H$5:$H$1004,"원인분석 대상")&gt;0,COUNT($L$4:L219)+1,""))</x:f>
      </x:c>
    </x:row>
    <x:row r="221">
      <x:c r="A221" s="73" t="str">
        <x:f>IF('전기원장'!A221="","","전기")</x:f>
      </x:c>
      <x:c r="B221" s="73" t="str">
        <x:f>IF('전기원장'!A221="","",'전기원장'!A221)</x:f>
      </x:c>
      <x:c r="C221" s="73" t="str">
        <x:f>IF('전기원장'!A221="","",'전기원장'!B221)</x:f>
      </x:c>
      <x:c r="D221" s="74" t="str">
        <x:f>IF('전기원장'!A221="","",'전기원장'!C221)</x:f>
      </x:c>
      <x:c r="E221" s="73" t="str">
        <x:f>IF('전기원장'!A221="","",'전기원장'!D221)</x:f>
      </x:c>
      <x:c r="F221" s="73" t="str">
        <x:f>IF('전기원장'!A221="","",'전기원장'!E221)</x:f>
      </x:c>
      <x:c r="G221" s="75" t="str">
        <x:f>IF('전기원장'!A221="","",'전기원장'!H221)</x:f>
      </x:c>
      <x:c r="H221" s="73" t="str">
        <x:f>IF('전기원장'!A221="","",'전기원장'!I221)</x:f>
      </x:c>
      <x:c r="I221" s="73" t="str">
        <x:f>IF('전기원장'!A221="","",'전기원장'!J221)</x:f>
      </x:c>
      <x:c r="J221" s="73" t="str">
        <x:f>IF('전기원장'!A221="","",'전기원장'!K221)</x:f>
      </x:c>
      <x:c r="K221" s="73" t="str">
        <x:f>IF(B221="","",IF(COUNTIF($B$5:B221,B221)=1,COUNT($K$4:K220)+1,""))</x:f>
      </x:c>
      <x:c r="L221" s="85" t="str">
        <x:f>IF(B221="","",IF(COUNTIFS('계정비교'!$A$5:$A$1004,B221,'계정비교'!$H$5:$H$1004,"원인분석 대상")&gt;0,COUNT($L$4:L220)+1,""))</x:f>
      </x:c>
    </x:row>
    <x:row r="222">
      <x:c r="A222" s="73" t="str">
        <x:f>IF('전기원장'!A222="","","전기")</x:f>
      </x:c>
      <x:c r="B222" s="73" t="str">
        <x:f>IF('전기원장'!A222="","",'전기원장'!A222)</x:f>
      </x:c>
      <x:c r="C222" s="73" t="str">
        <x:f>IF('전기원장'!A222="","",'전기원장'!B222)</x:f>
      </x:c>
      <x:c r="D222" s="74" t="str">
        <x:f>IF('전기원장'!A222="","",'전기원장'!C222)</x:f>
      </x:c>
      <x:c r="E222" s="73" t="str">
        <x:f>IF('전기원장'!A222="","",'전기원장'!D222)</x:f>
      </x:c>
      <x:c r="F222" s="73" t="str">
        <x:f>IF('전기원장'!A222="","",'전기원장'!E222)</x:f>
      </x:c>
      <x:c r="G222" s="75" t="str">
        <x:f>IF('전기원장'!A222="","",'전기원장'!H222)</x:f>
      </x:c>
      <x:c r="H222" s="73" t="str">
        <x:f>IF('전기원장'!A222="","",'전기원장'!I222)</x:f>
      </x:c>
      <x:c r="I222" s="73" t="str">
        <x:f>IF('전기원장'!A222="","",'전기원장'!J222)</x:f>
      </x:c>
      <x:c r="J222" s="73" t="str">
        <x:f>IF('전기원장'!A222="","",'전기원장'!K222)</x:f>
      </x:c>
      <x:c r="K222" s="73" t="str">
        <x:f>IF(B222="","",IF(COUNTIF($B$5:B222,B222)=1,COUNT($K$4:K221)+1,""))</x:f>
      </x:c>
      <x:c r="L222" s="85" t="str">
        <x:f>IF(B222="","",IF(COUNTIFS('계정비교'!$A$5:$A$1004,B222,'계정비교'!$H$5:$H$1004,"원인분석 대상")&gt;0,COUNT($L$4:L221)+1,""))</x:f>
      </x:c>
    </x:row>
    <x:row r="223">
      <x:c r="A223" s="73" t="str">
        <x:f>IF('전기원장'!A223="","","전기")</x:f>
      </x:c>
      <x:c r="B223" s="73" t="str">
        <x:f>IF('전기원장'!A223="","",'전기원장'!A223)</x:f>
      </x:c>
      <x:c r="C223" s="73" t="str">
        <x:f>IF('전기원장'!A223="","",'전기원장'!B223)</x:f>
      </x:c>
      <x:c r="D223" s="74" t="str">
        <x:f>IF('전기원장'!A223="","",'전기원장'!C223)</x:f>
      </x:c>
      <x:c r="E223" s="73" t="str">
        <x:f>IF('전기원장'!A223="","",'전기원장'!D223)</x:f>
      </x:c>
      <x:c r="F223" s="73" t="str">
        <x:f>IF('전기원장'!A223="","",'전기원장'!E223)</x:f>
      </x:c>
      <x:c r="G223" s="75" t="str">
        <x:f>IF('전기원장'!A223="","",'전기원장'!H223)</x:f>
      </x:c>
      <x:c r="H223" s="73" t="str">
        <x:f>IF('전기원장'!A223="","",'전기원장'!I223)</x:f>
      </x:c>
      <x:c r="I223" s="73" t="str">
        <x:f>IF('전기원장'!A223="","",'전기원장'!J223)</x:f>
      </x:c>
      <x:c r="J223" s="73" t="str">
        <x:f>IF('전기원장'!A223="","",'전기원장'!K223)</x:f>
      </x:c>
      <x:c r="K223" s="73" t="str">
        <x:f>IF(B223="","",IF(COUNTIF($B$5:B223,B223)=1,COUNT($K$4:K222)+1,""))</x:f>
      </x:c>
      <x:c r="L223" s="85" t="str">
        <x:f>IF(B223="","",IF(COUNTIFS('계정비교'!$A$5:$A$1004,B223,'계정비교'!$H$5:$H$1004,"원인분석 대상")&gt;0,COUNT($L$4:L222)+1,""))</x:f>
      </x:c>
    </x:row>
    <x:row r="224">
      <x:c r="A224" s="73" t="str">
        <x:f>IF('전기원장'!A224="","","전기")</x:f>
      </x:c>
      <x:c r="B224" s="73" t="str">
        <x:f>IF('전기원장'!A224="","",'전기원장'!A224)</x:f>
      </x:c>
      <x:c r="C224" s="73" t="str">
        <x:f>IF('전기원장'!A224="","",'전기원장'!B224)</x:f>
      </x:c>
      <x:c r="D224" s="74" t="str">
        <x:f>IF('전기원장'!A224="","",'전기원장'!C224)</x:f>
      </x:c>
      <x:c r="E224" s="73" t="str">
        <x:f>IF('전기원장'!A224="","",'전기원장'!D224)</x:f>
      </x:c>
      <x:c r="F224" s="73" t="str">
        <x:f>IF('전기원장'!A224="","",'전기원장'!E224)</x:f>
      </x:c>
      <x:c r="G224" s="75" t="str">
        <x:f>IF('전기원장'!A224="","",'전기원장'!H224)</x:f>
      </x:c>
      <x:c r="H224" s="73" t="str">
        <x:f>IF('전기원장'!A224="","",'전기원장'!I224)</x:f>
      </x:c>
      <x:c r="I224" s="73" t="str">
        <x:f>IF('전기원장'!A224="","",'전기원장'!J224)</x:f>
      </x:c>
      <x:c r="J224" s="73" t="str">
        <x:f>IF('전기원장'!A224="","",'전기원장'!K224)</x:f>
      </x:c>
      <x:c r="K224" s="73" t="str">
        <x:f>IF(B224="","",IF(COUNTIF($B$5:B224,B224)=1,COUNT($K$4:K223)+1,""))</x:f>
      </x:c>
      <x:c r="L224" s="85" t="str">
        <x:f>IF(B224="","",IF(COUNTIFS('계정비교'!$A$5:$A$1004,B224,'계정비교'!$H$5:$H$1004,"원인분석 대상")&gt;0,COUNT($L$4:L223)+1,""))</x:f>
      </x:c>
    </x:row>
    <x:row r="225">
      <x:c r="A225" s="73" t="str">
        <x:f>IF('전기원장'!A225="","","전기")</x:f>
      </x:c>
      <x:c r="B225" s="73" t="str">
        <x:f>IF('전기원장'!A225="","",'전기원장'!A225)</x:f>
      </x:c>
      <x:c r="C225" s="73" t="str">
        <x:f>IF('전기원장'!A225="","",'전기원장'!B225)</x:f>
      </x:c>
      <x:c r="D225" s="74" t="str">
        <x:f>IF('전기원장'!A225="","",'전기원장'!C225)</x:f>
      </x:c>
      <x:c r="E225" s="73" t="str">
        <x:f>IF('전기원장'!A225="","",'전기원장'!D225)</x:f>
      </x:c>
      <x:c r="F225" s="73" t="str">
        <x:f>IF('전기원장'!A225="","",'전기원장'!E225)</x:f>
      </x:c>
      <x:c r="G225" s="75" t="str">
        <x:f>IF('전기원장'!A225="","",'전기원장'!H225)</x:f>
      </x:c>
      <x:c r="H225" s="73" t="str">
        <x:f>IF('전기원장'!A225="","",'전기원장'!I225)</x:f>
      </x:c>
      <x:c r="I225" s="73" t="str">
        <x:f>IF('전기원장'!A225="","",'전기원장'!J225)</x:f>
      </x:c>
      <x:c r="J225" s="73" t="str">
        <x:f>IF('전기원장'!A225="","",'전기원장'!K225)</x:f>
      </x:c>
      <x:c r="K225" s="73" t="str">
        <x:f>IF(B225="","",IF(COUNTIF($B$5:B225,B225)=1,COUNT($K$4:K224)+1,""))</x:f>
      </x:c>
      <x:c r="L225" s="85" t="str">
        <x:f>IF(B225="","",IF(COUNTIFS('계정비교'!$A$5:$A$1004,B225,'계정비교'!$H$5:$H$1004,"원인분석 대상")&gt;0,COUNT($L$4:L224)+1,""))</x:f>
      </x:c>
    </x:row>
    <x:row r="226">
      <x:c r="A226" s="73" t="str">
        <x:f>IF('전기원장'!A226="","","전기")</x:f>
      </x:c>
      <x:c r="B226" s="73" t="str">
        <x:f>IF('전기원장'!A226="","",'전기원장'!A226)</x:f>
      </x:c>
      <x:c r="C226" s="73" t="str">
        <x:f>IF('전기원장'!A226="","",'전기원장'!B226)</x:f>
      </x:c>
      <x:c r="D226" s="74" t="str">
        <x:f>IF('전기원장'!A226="","",'전기원장'!C226)</x:f>
      </x:c>
      <x:c r="E226" s="73" t="str">
        <x:f>IF('전기원장'!A226="","",'전기원장'!D226)</x:f>
      </x:c>
      <x:c r="F226" s="73" t="str">
        <x:f>IF('전기원장'!A226="","",'전기원장'!E226)</x:f>
      </x:c>
      <x:c r="G226" s="75" t="str">
        <x:f>IF('전기원장'!A226="","",'전기원장'!H226)</x:f>
      </x:c>
      <x:c r="H226" s="73" t="str">
        <x:f>IF('전기원장'!A226="","",'전기원장'!I226)</x:f>
      </x:c>
      <x:c r="I226" s="73" t="str">
        <x:f>IF('전기원장'!A226="","",'전기원장'!J226)</x:f>
      </x:c>
      <x:c r="J226" s="73" t="str">
        <x:f>IF('전기원장'!A226="","",'전기원장'!K226)</x:f>
      </x:c>
      <x:c r="K226" s="73" t="str">
        <x:f>IF(B226="","",IF(COUNTIF($B$5:B226,B226)=1,COUNT($K$4:K225)+1,""))</x:f>
      </x:c>
      <x:c r="L226" s="85" t="str">
        <x:f>IF(B226="","",IF(COUNTIFS('계정비교'!$A$5:$A$1004,B226,'계정비교'!$H$5:$H$1004,"원인분석 대상")&gt;0,COUNT($L$4:L225)+1,""))</x:f>
      </x:c>
    </x:row>
    <x:row r="227">
      <x:c r="A227" s="73" t="str">
        <x:f>IF('전기원장'!A227="","","전기")</x:f>
      </x:c>
      <x:c r="B227" s="73" t="str">
        <x:f>IF('전기원장'!A227="","",'전기원장'!A227)</x:f>
      </x:c>
      <x:c r="C227" s="73" t="str">
        <x:f>IF('전기원장'!A227="","",'전기원장'!B227)</x:f>
      </x:c>
      <x:c r="D227" s="74" t="str">
        <x:f>IF('전기원장'!A227="","",'전기원장'!C227)</x:f>
      </x:c>
      <x:c r="E227" s="73" t="str">
        <x:f>IF('전기원장'!A227="","",'전기원장'!D227)</x:f>
      </x:c>
      <x:c r="F227" s="73" t="str">
        <x:f>IF('전기원장'!A227="","",'전기원장'!E227)</x:f>
      </x:c>
      <x:c r="G227" s="75" t="str">
        <x:f>IF('전기원장'!A227="","",'전기원장'!H227)</x:f>
      </x:c>
      <x:c r="H227" s="73" t="str">
        <x:f>IF('전기원장'!A227="","",'전기원장'!I227)</x:f>
      </x:c>
      <x:c r="I227" s="73" t="str">
        <x:f>IF('전기원장'!A227="","",'전기원장'!J227)</x:f>
      </x:c>
      <x:c r="J227" s="73" t="str">
        <x:f>IF('전기원장'!A227="","",'전기원장'!K227)</x:f>
      </x:c>
      <x:c r="K227" s="73" t="str">
        <x:f>IF(B227="","",IF(COUNTIF($B$5:B227,B227)=1,COUNT($K$4:K226)+1,""))</x:f>
      </x:c>
      <x:c r="L227" s="85" t="str">
        <x:f>IF(B227="","",IF(COUNTIFS('계정비교'!$A$5:$A$1004,B227,'계정비교'!$H$5:$H$1004,"원인분석 대상")&gt;0,COUNT($L$4:L226)+1,""))</x:f>
      </x:c>
    </x:row>
    <x:row r="228">
      <x:c r="A228" s="73" t="str">
        <x:f>IF('전기원장'!A228="","","전기")</x:f>
      </x:c>
      <x:c r="B228" s="73" t="str">
        <x:f>IF('전기원장'!A228="","",'전기원장'!A228)</x:f>
      </x:c>
      <x:c r="C228" s="73" t="str">
        <x:f>IF('전기원장'!A228="","",'전기원장'!B228)</x:f>
      </x:c>
      <x:c r="D228" s="74" t="str">
        <x:f>IF('전기원장'!A228="","",'전기원장'!C228)</x:f>
      </x:c>
      <x:c r="E228" s="73" t="str">
        <x:f>IF('전기원장'!A228="","",'전기원장'!D228)</x:f>
      </x:c>
      <x:c r="F228" s="73" t="str">
        <x:f>IF('전기원장'!A228="","",'전기원장'!E228)</x:f>
      </x:c>
      <x:c r="G228" s="75" t="str">
        <x:f>IF('전기원장'!A228="","",'전기원장'!H228)</x:f>
      </x:c>
      <x:c r="H228" s="73" t="str">
        <x:f>IF('전기원장'!A228="","",'전기원장'!I228)</x:f>
      </x:c>
      <x:c r="I228" s="73" t="str">
        <x:f>IF('전기원장'!A228="","",'전기원장'!J228)</x:f>
      </x:c>
      <x:c r="J228" s="73" t="str">
        <x:f>IF('전기원장'!A228="","",'전기원장'!K228)</x:f>
      </x:c>
      <x:c r="K228" s="73" t="str">
        <x:f>IF(B228="","",IF(COUNTIF($B$5:B228,B228)=1,COUNT($K$4:K227)+1,""))</x:f>
      </x:c>
      <x:c r="L228" s="85" t="str">
        <x:f>IF(B228="","",IF(COUNTIFS('계정비교'!$A$5:$A$1004,B228,'계정비교'!$H$5:$H$1004,"원인분석 대상")&gt;0,COUNT($L$4:L227)+1,""))</x:f>
      </x:c>
    </x:row>
    <x:row r="229">
      <x:c r="A229" s="73" t="str">
        <x:f>IF('전기원장'!A229="","","전기")</x:f>
      </x:c>
      <x:c r="B229" s="73" t="str">
        <x:f>IF('전기원장'!A229="","",'전기원장'!A229)</x:f>
      </x:c>
      <x:c r="C229" s="73" t="str">
        <x:f>IF('전기원장'!A229="","",'전기원장'!B229)</x:f>
      </x:c>
      <x:c r="D229" s="74" t="str">
        <x:f>IF('전기원장'!A229="","",'전기원장'!C229)</x:f>
      </x:c>
      <x:c r="E229" s="73" t="str">
        <x:f>IF('전기원장'!A229="","",'전기원장'!D229)</x:f>
      </x:c>
      <x:c r="F229" s="73" t="str">
        <x:f>IF('전기원장'!A229="","",'전기원장'!E229)</x:f>
      </x:c>
      <x:c r="G229" s="75" t="str">
        <x:f>IF('전기원장'!A229="","",'전기원장'!H229)</x:f>
      </x:c>
      <x:c r="H229" s="73" t="str">
        <x:f>IF('전기원장'!A229="","",'전기원장'!I229)</x:f>
      </x:c>
      <x:c r="I229" s="73" t="str">
        <x:f>IF('전기원장'!A229="","",'전기원장'!J229)</x:f>
      </x:c>
      <x:c r="J229" s="73" t="str">
        <x:f>IF('전기원장'!A229="","",'전기원장'!K229)</x:f>
      </x:c>
      <x:c r="K229" s="73" t="str">
        <x:f>IF(B229="","",IF(COUNTIF($B$5:B229,B229)=1,COUNT($K$4:K228)+1,""))</x:f>
      </x:c>
      <x:c r="L229" s="85" t="str">
        <x:f>IF(B229="","",IF(COUNTIFS('계정비교'!$A$5:$A$1004,B229,'계정비교'!$H$5:$H$1004,"원인분석 대상")&gt;0,COUNT($L$4:L228)+1,""))</x:f>
      </x:c>
    </x:row>
    <x:row r="230">
      <x:c r="A230" s="73" t="str">
        <x:f>IF('전기원장'!A230="","","전기")</x:f>
      </x:c>
      <x:c r="B230" s="73" t="str">
        <x:f>IF('전기원장'!A230="","",'전기원장'!A230)</x:f>
      </x:c>
      <x:c r="C230" s="73" t="str">
        <x:f>IF('전기원장'!A230="","",'전기원장'!B230)</x:f>
      </x:c>
      <x:c r="D230" s="74" t="str">
        <x:f>IF('전기원장'!A230="","",'전기원장'!C230)</x:f>
      </x:c>
      <x:c r="E230" s="73" t="str">
        <x:f>IF('전기원장'!A230="","",'전기원장'!D230)</x:f>
      </x:c>
      <x:c r="F230" s="73" t="str">
        <x:f>IF('전기원장'!A230="","",'전기원장'!E230)</x:f>
      </x:c>
      <x:c r="G230" s="75" t="str">
        <x:f>IF('전기원장'!A230="","",'전기원장'!H230)</x:f>
      </x:c>
      <x:c r="H230" s="73" t="str">
        <x:f>IF('전기원장'!A230="","",'전기원장'!I230)</x:f>
      </x:c>
      <x:c r="I230" s="73" t="str">
        <x:f>IF('전기원장'!A230="","",'전기원장'!J230)</x:f>
      </x:c>
      <x:c r="J230" s="73" t="str">
        <x:f>IF('전기원장'!A230="","",'전기원장'!K230)</x:f>
      </x:c>
      <x:c r="K230" s="73" t="str">
        <x:f>IF(B230="","",IF(COUNTIF($B$5:B230,B230)=1,COUNT($K$4:K229)+1,""))</x:f>
      </x:c>
      <x:c r="L230" s="85" t="str">
        <x:f>IF(B230="","",IF(COUNTIFS('계정비교'!$A$5:$A$1004,B230,'계정비교'!$H$5:$H$1004,"원인분석 대상")&gt;0,COUNT($L$4:L229)+1,""))</x:f>
      </x:c>
    </x:row>
    <x:row r="231">
      <x:c r="A231" s="73" t="str">
        <x:f>IF('전기원장'!A231="","","전기")</x:f>
      </x:c>
      <x:c r="B231" s="73" t="str">
        <x:f>IF('전기원장'!A231="","",'전기원장'!A231)</x:f>
      </x:c>
      <x:c r="C231" s="73" t="str">
        <x:f>IF('전기원장'!A231="","",'전기원장'!B231)</x:f>
      </x:c>
      <x:c r="D231" s="74" t="str">
        <x:f>IF('전기원장'!A231="","",'전기원장'!C231)</x:f>
      </x:c>
      <x:c r="E231" s="73" t="str">
        <x:f>IF('전기원장'!A231="","",'전기원장'!D231)</x:f>
      </x:c>
      <x:c r="F231" s="73" t="str">
        <x:f>IF('전기원장'!A231="","",'전기원장'!E231)</x:f>
      </x:c>
      <x:c r="G231" s="75" t="str">
        <x:f>IF('전기원장'!A231="","",'전기원장'!H231)</x:f>
      </x:c>
      <x:c r="H231" s="73" t="str">
        <x:f>IF('전기원장'!A231="","",'전기원장'!I231)</x:f>
      </x:c>
      <x:c r="I231" s="73" t="str">
        <x:f>IF('전기원장'!A231="","",'전기원장'!J231)</x:f>
      </x:c>
      <x:c r="J231" s="73" t="str">
        <x:f>IF('전기원장'!A231="","",'전기원장'!K231)</x:f>
      </x:c>
      <x:c r="K231" s="73" t="str">
        <x:f>IF(B231="","",IF(COUNTIF($B$5:B231,B231)=1,COUNT($K$4:K230)+1,""))</x:f>
      </x:c>
      <x:c r="L231" s="85" t="str">
        <x:f>IF(B231="","",IF(COUNTIFS('계정비교'!$A$5:$A$1004,B231,'계정비교'!$H$5:$H$1004,"원인분석 대상")&gt;0,COUNT($L$4:L230)+1,""))</x:f>
      </x:c>
    </x:row>
    <x:row r="232">
      <x:c r="A232" s="73" t="str">
        <x:f>IF('전기원장'!A232="","","전기")</x:f>
      </x:c>
      <x:c r="B232" s="73" t="str">
        <x:f>IF('전기원장'!A232="","",'전기원장'!A232)</x:f>
      </x:c>
      <x:c r="C232" s="73" t="str">
        <x:f>IF('전기원장'!A232="","",'전기원장'!B232)</x:f>
      </x:c>
      <x:c r="D232" s="74" t="str">
        <x:f>IF('전기원장'!A232="","",'전기원장'!C232)</x:f>
      </x:c>
      <x:c r="E232" s="73" t="str">
        <x:f>IF('전기원장'!A232="","",'전기원장'!D232)</x:f>
      </x:c>
      <x:c r="F232" s="73" t="str">
        <x:f>IF('전기원장'!A232="","",'전기원장'!E232)</x:f>
      </x:c>
      <x:c r="G232" s="75" t="str">
        <x:f>IF('전기원장'!A232="","",'전기원장'!H232)</x:f>
      </x:c>
      <x:c r="H232" s="73" t="str">
        <x:f>IF('전기원장'!A232="","",'전기원장'!I232)</x:f>
      </x:c>
      <x:c r="I232" s="73" t="str">
        <x:f>IF('전기원장'!A232="","",'전기원장'!J232)</x:f>
      </x:c>
      <x:c r="J232" s="73" t="str">
        <x:f>IF('전기원장'!A232="","",'전기원장'!K232)</x:f>
      </x:c>
      <x:c r="K232" s="73" t="str">
        <x:f>IF(B232="","",IF(COUNTIF($B$5:B232,B232)=1,COUNT($K$4:K231)+1,""))</x:f>
      </x:c>
      <x:c r="L232" s="85" t="str">
        <x:f>IF(B232="","",IF(COUNTIFS('계정비교'!$A$5:$A$1004,B232,'계정비교'!$H$5:$H$1004,"원인분석 대상")&gt;0,COUNT($L$4:L231)+1,""))</x:f>
      </x:c>
    </x:row>
    <x:row r="233">
      <x:c r="A233" s="73" t="str">
        <x:f>IF('전기원장'!A233="","","전기")</x:f>
      </x:c>
      <x:c r="B233" s="73" t="str">
        <x:f>IF('전기원장'!A233="","",'전기원장'!A233)</x:f>
      </x:c>
      <x:c r="C233" s="73" t="str">
        <x:f>IF('전기원장'!A233="","",'전기원장'!B233)</x:f>
      </x:c>
      <x:c r="D233" s="74" t="str">
        <x:f>IF('전기원장'!A233="","",'전기원장'!C233)</x:f>
      </x:c>
      <x:c r="E233" s="73" t="str">
        <x:f>IF('전기원장'!A233="","",'전기원장'!D233)</x:f>
      </x:c>
      <x:c r="F233" s="73" t="str">
        <x:f>IF('전기원장'!A233="","",'전기원장'!E233)</x:f>
      </x:c>
      <x:c r="G233" s="75" t="str">
        <x:f>IF('전기원장'!A233="","",'전기원장'!H233)</x:f>
      </x:c>
      <x:c r="H233" s="73" t="str">
        <x:f>IF('전기원장'!A233="","",'전기원장'!I233)</x:f>
      </x:c>
      <x:c r="I233" s="73" t="str">
        <x:f>IF('전기원장'!A233="","",'전기원장'!J233)</x:f>
      </x:c>
      <x:c r="J233" s="73" t="str">
        <x:f>IF('전기원장'!A233="","",'전기원장'!K233)</x:f>
      </x:c>
      <x:c r="K233" s="73" t="str">
        <x:f>IF(B233="","",IF(COUNTIF($B$5:B233,B233)=1,COUNT($K$4:K232)+1,""))</x:f>
      </x:c>
      <x:c r="L233" s="85" t="str">
        <x:f>IF(B233="","",IF(COUNTIFS('계정비교'!$A$5:$A$1004,B233,'계정비교'!$H$5:$H$1004,"원인분석 대상")&gt;0,COUNT($L$4:L232)+1,""))</x:f>
      </x:c>
    </x:row>
    <x:row r="234">
      <x:c r="A234" s="73" t="str">
        <x:f>IF('전기원장'!A234="","","전기")</x:f>
      </x:c>
      <x:c r="B234" s="73" t="str">
        <x:f>IF('전기원장'!A234="","",'전기원장'!A234)</x:f>
      </x:c>
      <x:c r="C234" s="73" t="str">
        <x:f>IF('전기원장'!A234="","",'전기원장'!B234)</x:f>
      </x:c>
      <x:c r="D234" s="74" t="str">
        <x:f>IF('전기원장'!A234="","",'전기원장'!C234)</x:f>
      </x:c>
      <x:c r="E234" s="73" t="str">
        <x:f>IF('전기원장'!A234="","",'전기원장'!D234)</x:f>
      </x:c>
      <x:c r="F234" s="73" t="str">
        <x:f>IF('전기원장'!A234="","",'전기원장'!E234)</x:f>
      </x:c>
      <x:c r="G234" s="75" t="str">
        <x:f>IF('전기원장'!A234="","",'전기원장'!H234)</x:f>
      </x:c>
      <x:c r="H234" s="73" t="str">
        <x:f>IF('전기원장'!A234="","",'전기원장'!I234)</x:f>
      </x:c>
      <x:c r="I234" s="73" t="str">
        <x:f>IF('전기원장'!A234="","",'전기원장'!J234)</x:f>
      </x:c>
      <x:c r="J234" s="73" t="str">
        <x:f>IF('전기원장'!A234="","",'전기원장'!K234)</x:f>
      </x:c>
      <x:c r="K234" s="73" t="str">
        <x:f>IF(B234="","",IF(COUNTIF($B$5:B234,B234)=1,COUNT($K$4:K233)+1,""))</x:f>
      </x:c>
      <x:c r="L234" s="85" t="str">
        <x:f>IF(B234="","",IF(COUNTIFS('계정비교'!$A$5:$A$1004,B234,'계정비교'!$H$5:$H$1004,"원인분석 대상")&gt;0,COUNT($L$4:L233)+1,""))</x:f>
      </x:c>
    </x:row>
    <x:row r="235">
      <x:c r="A235" s="73" t="str">
        <x:f>IF('전기원장'!A235="","","전기")</x:f>
      </x:c>
      <x:c r="B235" s="73" t="str">
        <x:f>IF('전기원장'!A235="","",'전기원장'!A235)</x:f>
      </x:c>
      <x:c r="C235" s="73" t="str">
        <x:f>IF('전기원장'!A235="","",'전기원장'!B235)</x:f>
      </x:c>
      <x:c r="D235" s="74" t="str">
        <x:f>IF('전기원장'!A235="","",'전기원장'!C235)</x:f>
      </x:c>
      <x:c r="E235" s="73" t="str">
        <x:f>IF('전기원장'!A235="","",'전기원장'!D235)</x:f>
      </x:c>
      <x:c r="F235" s="73" t="str">
        <x:f>IF('전기원장'!A235="","",'전기원장'!E235)</x:f>
      </x:c>
      <x:c r="G235" s="75" t="str">
        <x:f>IF('전기원장'!A235="","",'전기원장'!H235)</x:f>
      </x:c>
      <x:c r="H235" s="73" t="str">
        <x:f>IF('전기원장'!A235="","",'전기원장'!I235)</x:f>
      </x:c>
      <x:c r="I235" s="73" t="str">
        <x:f>IF('전기원장'!A235="","",'전기원장'!J235)</x:f>
      </x:c>
      <x:c r="J235" s="73" t="str">
        <x:f>IF('전기원장'!A235="","",'전기원장'!K235)</x:f>
      </x:c>
      <x:c r="K235" s="73" t="str">
        <x:f>IF(B235="","",IF(COUNTIF($B$5:B235,B235)=1,COUNT($K$4:K234)+1,""))</x:f>
      </x:c>
      <x:c r="L235" s="85" t="str">
        <x:f>IF(B235="","",IF(COUNTIFS('계정비교'!$A$5:$A$1004,B235,'계정비교'!$H$5:$H$1004,"원인분석 대상")&gt;0,COUNT($L$4:L234)+1,""))</x:f>
      </x:c>
    </x:row>
    <x:row r="236">
      <x:c r="A236" s="73" t="str">
        <x:f>IF('전기원장'!A236="","","전기")</x:f>
      </x:c>
      <x:c r="B236" s="73" t="str">
        <x:f>IF('전기원장'!A236="","",'전기원장'!A236)</x:f>
      </x:c>
      <x:c r="C236" s="73" t="str">
        <x:f>IF('전기원장'!A236="","",'전기원장'!B236)</x:f>
      </x:c>
      <x:c r="D236" s="74" t="str">
        <x:f>IF('전기원장'!A236="","",'전기원장'!C236)</x:f>
      </x:c>
      <x:c r="E236" s="73" t="str">
        <x:f>IF('전기원장'!A236="","",'전기원장'!D236)</x:f>
      </x:c>
      <x:c r="F236" s="73" t="str">
        <x:f>IF('전기원장'!A236="","",'전기원장'!E236)</x:f>
      </x:c>
      <x:c r="G236" s="75" t="str">
        <x:f>IF('전기원장'!A236="","",'전기원장'!H236)</x:f>
      </x:c>
      <x:c r="H236" s="73" t="str">
        <x:f>IF('전기원장'!A236="","",'전기원장'!I236)</x:f>
      </x:c>
      <x:c r="I236" s="73" t="str">
        <x:f>IF('전기원장'!A236="","",'전기원장'!J236)</x:f>
      </x:c>
      <x:c r="J236" s="73" t="str">
        <x:f>IF('전기원장'!A236="","",'전기원장'!K236)</x:f>
      </x:c>
      <x:c r="K236" s="73" t="str">
        <x:f>IF(B236="","",IF(COUNTIF($B$5:B236,B236)=1,COUNT($K$4:K235)+1,""))</x:f>
      </x:c>
      <x:c r="L236" s="85" t="str">
        <x:f>IF(B236="","",IF(COUNTIFS('계정비교'!$A$5:$A$1004,B236,'계정비교'!$H$5:$H$1004,"원인분석 대상")&gt;0,COUNT($L$4:L235)+1,""))</x:f>
      </x:c>
    </x:row>
    <x:row r="237">
      <x:c r="A237" s="73" t="str">
        <x:f>IF('전기원장'!A237="","","전기")</x:f>
      </x:c>
      <x:c r="B237" s="73" t="str">
        <x:f>IF('전기원장'!A237="","",'전기원장'!A237)</x:f>
      </x:c>
      <x:c r="C237" s="73" t="str">
        <x:f>IF('전기원장'!A237="","",'전기원장'!B237)</x:f>
      </x:c>
      <x:c r="D237" s="74" t="str">
        <x:f>IF('전기원장'!A237="","",'전기원장'!C237)</x:f>
      </x:c>
      <x:c r="E237" s="73" t="str">
        <x:f>IF('전기원장'!A237="","",'전기원장'!D237)</x:f>
      </x:c>
      <x:c r="F237" s="73" t="str">
        <x:f>IF('전기원장'!A237="","",'전기원장'!E237)</x:f>
      </x:c>
      <x:c r="G237" s="75" t="str">
        <x:f>IF('전기원장'!A237="","",'전기원장'!H237)</x:f>
      </x:c>
      <x:c r="H237" s="73" t="str">
        <x:f>IF('전기원장'!A237="","",'전기원장'!I237)</x:f>
      </x:c>
      <x:c r="I237" s="73" t="str">
        <x:f>IF('전기원장'!A237="","",'전기원장'!J237)</x:f>
      </x:c>
      <x:c r="J237" s="73" t="str">
        <x:f>IF('전기원장'!A237="","",'전기원장'!K237)</x:f>
      </x:c>
      <x:c r="K237" s="73" t="str">
        <x:f>IF(B237="","",IF(COUNTIF($B$5:B237,B237)=1,COUNT($K$4:K236)+1,""))</x:f>
      </x:c>
      <x:c r="L237" s="85" t="str">
        <x:f>IF(B237="","",IF(COUNTIFS('계정비교'!$A$5:$A$1004,B237,'계정비교'!$H$5:$H$1004,"원인분석 대상")&gt;0,COUNT($L$4:L236)+1,""))</x:f>
      </x:c>
    </x:row>
    <x:row r="238">
      <x:c r="A238" s="73" t="str">
        <x:f>IF('전기원장'!A238="","","전기")</x:f>
      </x:c>
      <x:c r="B238" s="73" t="str">
        <x:f>IF('전기원장'!A238="","",'전기원장'!A238)</x:f>
      </x:c>
      <x:c r="C238" s="73" t="str">
        <x:f>IF('전기원장'!A238="","",'전기원장'!B238)</x:f>
      </x:c>
      <x:c r="D238" s="74" t="str">
        <x:f>IF('전기원장'!A238="","",'전기원장'!C238)</x:f>
      </x:c>
      <x:c r="E238" s="73" t="str">
        <x:f>IF('전기원장'!A238="","",'전기원장'!D238)</x:f>
      </x:c>
      <x:c r="F238" s="73" t="str">
        <x:f>IF('전기원장'!A238="","",'전기원장'!E238)</x:f>
      </x:c>
      <x:c r="G238" s="75" t="str">
        <x:f>IF('전기원장'!A238="","",'전기원장'!H238)</x:f>
      </x:c>
      <x:c r="H238" s="73" t="str">
        <x:f>IF('전기원장'!A238="","",'전기원장'!I238)</x:f>
      </x:c>
      <x:c r="I238" s="73" t="str">
        <x:f>IF('전기원장'!A238="","",'전기원장'!J238)</x:f>
      </x:c>
      <x:c r="J238" s="73" t="str">
        <x:f>IF('전기원장'!A238="","",'전기원장'!K238)</x:f>
      </x:c>
      <x:c r="K238" s="73" t="str">
        <x:f>IF(B238="","",IF(COUNTIF($B$5:B238,B238)=1,COUNT($K$4:K237)+1,""))</x:f>
      </x:c>
      <x:c r="L238" s="85" t="str">
        <x:f>IF(B238="","",IF(COUNTIFS('계정비교'!$A$5:$A$1004,B238,'계정비교'!$H$5:$H$1004,"원인분석 대상")&gt;0,COUNT($L$4:L237)+1,""))</x:f>
      </x:c>
    </x:row>
    <x:row r="239">
      <x:c r="A239" s="73" t="str">
        <x:f>IF('전기원장'!A239="","","전기")</x:f>
      </x:c>
      <x:c r="B239" s="73" t="str">
        <x:f>IF('전기원장'!A239="","",'전기원장'!A239)</x:f>
      </x:c>
      <x:c r="C239" s="73" t="str">
        <x:f>IF('전기원장'!A239="","",'전기원장'!B239)</x:f>
      </x:c>
      <x:c r="D239" s="74" t="str">
        <x:f>IF('전기원장'!A239="","",'전기원장'!C239)</x:f>
      </x:c>
      <x:c r="E239" s="73" t="str">
        <x:f>IF('전기원장'!A239="","",'전기원장'!D239)</x:f>
      </x:c>
      <x:c r="F239" s="73" t="str">
        <x:f>IF('전기원장'!A239="","",'전기원장'!E239)</x:f>
      </x:c>
      <x:c r="G239" s="75" t="str">
        <x:f>IF('전기원장'!A239="","",'전기원장'!H239)</x:f>
      </x:c>
      <x:c r="H239" s="73" t="str">
        <x:f>IF('전기원장'!A239="","",'전기원장'!I239)</x:f>
      </x:c>
      <x:c r="I239" s="73" t="str">
        <x:f>IF('전기원장'!A239="","",'전기원장'!J239)</x:f>
      </x:c>
      <x:c r="J239" s="73" t="str">
        <x:f>IF('전기원장'!A239="","",'전기원장'!K239)</x:f>
      </x:c>
      <x:c r="K239" s="73" t="str">
        <x:f>IF(B239="","",IF(COUNTIF($B$5:B239,B239)=1,COUNT($K$4:K238)+1,""))</x:f>
      </x:c>
      <x:c r="L239" s="85" t="str">
        <x:f>IF(B239="","",IF(COUNTIFS('계정비교'!$A$5:$A$1004,B239,'계정비교'!$H$5:$H$1004,"원인분석 대상")&gt;0,COUNT($L$4:L238)+1,""))</x:f>
      </x:c>
    </x:row>
    <x:row r="240">
      <x:c r="A240" s="73" t="str">
        <x:f>IF('전기원장'!A240="","","전기")</x:f>
      </x:c>
      <x:c r="B240" s="73" t="str">
        <x:f>IF('전기원장'!A240="","",'전기원장'!A240)</x:f>
      </x:c>
      <x:c r="C240" s="73" t="str">
        <x:f>IF('전기원장'!A240="","",'전기원장'!B240)</x:f>
      </x:c>
      <x:c r="D240" s="74" t="str">
        <x:f>IF('전기원장'!A240="","",'전기원장'!C240)</x:f>
      </x:c>
      <x:c r="E240" s="73" t="str">
        <x:f>IF('전기원장'!A240="","",'전기원장'!D240)</x:f>
      </x:c>
      <x:c r="F240" s="73" t="str">
        <x:f>IF('전기원장'!A240="","",'전기원장'!E240)</x:f>
      </x:c>
      <x:c r="G240" s="75" t="str">
        <x:f>IF('전기원장'!A240="","",'전기원장'!H240)</x:f>
      </x:c>
      <x:c r="H240" s="73" t="str">
        <x:f>IF('전기원장'!A240="","",'전기원장'!I240)</x:f>
      </x:c>
      <x:c r="I240" s="73" t="str">
        <x:f>IF('전기원장'!A240="","",'전기원장'!J240)</x:f>
      </x:c>
      <x:c r="J240" s="73" t="str">
        <x:f>IF('전기원장'!A240="","",'전기원장'!K240)</x:f>
      </x:c>
      <x:c r="K240" s="73" t="str">
        <x:f>IF(B240="","",IF(COUNTIF($B$5:B240,B240)=1,COUNT($K$4:K239)+1,""))</x:f>
      </x:c>
      <x:c r="L240" s="85" t="str">
        <x:f>IF(B240="","",IF(COUNTIFS('계정비교'!$A$5:$A$1004,B240,'계정비교'!$H$5:$H$1004,"원인분석 대상")&gt;0,COUNT($L$4:L239)+1,""))</x:f>
      </x:c>
    </x:row>
    <x:row r="241">
      <x:c r="A241" s="73" t="str">
        <x:f>IF('전기원장'!A241="","","전기")</x:f>
      </x:c>
      <x:c r="B241" s="73" t="str">
        <x:f>IF('전기원장'!A241="","",'전기원장'!A241)</x:f>
      </x:c>
      <x:c r="C241" s="73" t="str">
        <x:f>IF('전기원장'!A241="","",'전기원장'!B241)</x:f>
      </x:c>
      <x:c r="D241" s="74" t="str">
        <x:f>IF('전기원장'!A241="","",'전기원장'!C241)</x:f>
      </x:c>
      <x:c r="E241" s="73" t="str">
        <x:f>IF('전기원장'!A241="","",'전기원장'!D241)</x:f>
      </x:c>
      <x:c r="F241" s="73" t="str">
        <x:f>IF('전기원장'!A241="","",'전기원장'!E241)</x:f>
      </x:c>
      <x:c r="G241" s="75" t="str">
        <x:f>IF('전기원장'!A241="","",'전기원장'!H241)</x:f>
      </x:c>
      <x:c r="H241" s="73" t="str">
        <x:f>IF('전기원장'!A241="","",'전기원장'!I241)</x:f>
      </x:c>
      <x:c r="I241" s="73" t="str">
        <x:f>IF('전기원장'!A241="","",'전기원장'!J241)</x:f>
      </x:c>
      <x:c r="J241" s="73" t="str">
        <x:f>IF('전기원장'!A241="","",'전기원장'!K241)</x:f>
      </x:c>
      <x:c r="K241" s="73" t="str">
        <x:f>IF(B241="","",IF(COUNTIF($B$5:B241,B241)=1,COUNT($K$4:K240)+1,""))</x:f>
      </x:c>
      <x:c r="L241" s="85" t="str">
        <x:f>IF(B241="","",IF(COUNTIFS('계정비교'!$A$5:$A$1004,B241,'계정비교'!$H$5:$H$1004,"원인분석 대상")&gt;0,COUNT($L$4:L240)+1,""))</x:f>
      </x:c>
    </x:row>
    <x:row r="242">
      <x:c r="A242" s="73" t="str">
        <x:f>IF('전기원장'!A242="","","전기")</x:f>
      </x:c>
      <x:c r="B242" s="73" t="str">
        <x:f>IF('전기원장'!A242="","",'전기원장'!A242)</x:f>
      </x:c>
      <x:c r="C242" s="73" t="str">
        <x:f>IF('전기원장'!A242="","",'전기원장'!B242)</x:f>
      </x:c>
      <x:c r="D242" s="74" t="str">
        <x:f>IF('전기원장'!A242="","",'전기원장'!C242)</x:f>
      </x:c>
      <x:c r="E242" s="73" t="str">
        <x:f>IF('전기원장'!A242="","",'전기원장'!D242)</x:f>
      </x:c>
      <x:c r="F242" s="73" t="str">
        <x:f>IF('전기원장'!A242="","",'전기원장'!E242)</x:f>
      </x:c>
      <x:c r="G242" s="75" t="str">
        <x:f>IF('전기원장'!A242="","",'전기원장'!H242)</x:f>
      </x:c>
      <x:c r="H242" s="73" t="str">
        <x:f>IF('전기원장'!A242="","",'전기원장'!I242)</x:f>
      </x:c>
      <x:c r="I242" s="73" t="str">
        <x:f>IF('전기원장'!A242="","",'전기원장'!J242)</x:f>
      </x:c>
      <x:c r="J242" s="73" t="str">
        <x:f>IF('전기원장'!A242="","",'전기원장'!K242)</x:f>
      </x:c>
      <x:c r="K242" s="73" t="str">
        <x:f>IF(B242="","",IF(COUNTIF($B$5:B242,B242)=1,COUNT($K$4:K241)+1,""))</x:f>
      </x:c>
      <x:c r="L242" s="85" t="str">
        <x:f>IF(B242="","",IF(COUNTIFS('계정비교'!$A$5:$A$1004,B242,'계정비교'!$H$5:$H$1004,"원인분석 대상")&gt;0,COUNT($L$4:L241)+1,""))</x:f>
      </x:c>
    </x:row>
    <x:row r="243">
      <x:c r="A243" s="73" t="str">
        <x:f>IF('전기원장'!A243="","","전기")</x:f>
      </x:c>
      <x:c r="B243" s="73" t="str">
        <x:f>IF('전기원장'!A243="","",'전기원장'!A243)</x:f>
      </x:c>
      <x:c r="C243" s="73" t="str">
        <x:f>IF('전기원장'!A243="","",'전기원장'!B243)</x:f>
      </x:c>
      <x:c r="D243" s="74" t="str">
        <x:f>IF('전기원장'!A243="","",'전기원장'!C243)</x:f>
      </x:c>
      <x:c r="E243" s="73" t="str">
        <x:f>IF('전기원장'!A243="","",'전기원장'!D243)</x:f>
      </x:c>
      <x:c r="F243" s="73" t="str">
        <x:f>IF('전기원장'!A243="","",'전기원장'!E243)</x:f>
      </x:c>
      <x:c r="G243" s="75" t="str">
        <x:f>IF('전기원장'!A243="","",'전기원장'!H243)</x:f>
      </x:c>
      <x:c r="H243" s="73" t="str">
        <x:f>IF('전기원장'!A243="","",'전기원장'!I243)</x:f>
      </x:c>
      <x:c r="I243" s="73" t="str">
        <x:f>IF('전기원장'!A243="","",'전기원장'!J243)</x:f>
      </x:c>
      <x:c r="J243" s="73" t="str">
        <x:f>IF('전기원장'!A243="","",'전기원장'!K243)</x:f>
      </x:c>
      <x:c r="K243" s="73" t="str">
        <x:f>IF(B243="","",IF(COUNTIF($B$5:B243,B243)=1,COUNT($K$4:K242)+1,""))</x:f>
      </x:c>
      <x:c r="L243" s="85" t="str">
        <x:f>IF(B243="","",IF(COUNTIFS('계정비교'!$A$5:$A$1004,B243,'계정비교'!$H$5:$H$1004,"원인분석 대상")&gt;0,COUNT($L$4:L242)+1,""))</x:f>
      </x:c>
    </x:row>
    <x:row r="244">
      <x:c r="A244" s="73" t="str">
        <x:f>IF('전기원장'!A244="","","전기")</x:f>
      </x:c>
      <x:c r="B244" s="73" t="str">
        <x:f>IF('전기원장'!A244="","",'전기원장'!A244)</x:f>
      </x:c>
      <x:c r="C244" s="73" t="str">
        <x:f>IF('전기원장'!A244="","",'전기원장'!B244)</x:f>
      </x:c>
      <x:c r="D244" s="74" t="str">
        <x:f>IF('전기원장'!A244="","",'전기원장'!C244)</x:f>
      </x:c>
      <x:c r="E244" s="73" t="str">
        <x:f>IF('전기원장'!A244="","",'전기원장'!D244)</x:f>
      </x:c>
      <x:c r="F244" s="73" t="str">
        <x:f>IF('전기원장'!A244="","",'전기원장'!E244)</x:f>
      </x:c>
      <x:c r="G244" s="75" t="str">
        <x:f>IF('전기원장'!A244="","",'전기원장'!H244)</x:f>
      </x:c>
      <x:c r="H244" s="73" t="str">
        <x:f>IF('전기원장'!A244="","",'전기원장'!I244)</x:f>
      </x:c>
      <x:c r="I244" s="73" t="str">
        <x:f>IF('전기원장'!A244="","",'전기원장'!J244)</x:f>
      </x:c>
      <x:c r="J244" s="73" t="str">
        <x:f>IF('전기원장'!A244="","",'전기원장'!K244)</x:f>
      </x:c>
      <x:c r="K244" s="73" t="str">
        <x:f>IF(B244="","",IF(COUNTIF($B$5:B244,B244)=1,COUNT($K$4:K243)+1,""))</x:f>
      </x:c>
      <x:c r="L244" s="85" t="str">
        <x:f>IF(B244="","",IF(COUNTIFS('계정비교'!$A$5:$A$1004,B244,'계정비교'!$H$5:$H$1004,"원인분석 대상")&gt;0,COUNT($L$4:L243)+1,""))</x:f>
      </x:c>
    </x:row>
    <x:row r="245">
      <x:c r="A245" s="73" t="str">
        <x:f>IF('전기원장'!A245="","","전기")</x:f>
      </x:c>
      <x:c r="B245" s="73" t="str">
        <x:f>IF('전기원장'!A245="","",'전기원장'!A245)</x:f>
      </x:c>
      <x:c r="C245" s="73" t="str">
        <x:f>IF('전기원장'!A245="","",'전기원장'!B245)</x:f>
      </x:c>
      <x:c r="D245" s="74" t="str">
        <x:f>IF('전기원장'!A245="","",'전기원장'!C245)</x:f>
      </x:c>
      <x:c r="E245" s="73" t="str">
        <x:f>IF('전기원장'!A245="","",'전기원장'!D245)</x:f>
      </x:c>
      <x:c r="F245" s="73" t="str">
        <x:f>IF('전기원장'!A245="","",'전기원장'!E245)</x:f>
      </x:c>
      <x:c r="G245" s="75" t="str">
        <x:f>IF('전기원장'!A245="","",'전기원장'!H245)</x:f>
      </x:c>
      <x:c r="H245" s="73" t="str">
        <x:f>IF('전기원장'!A245="","",'전기원장'!I245)</x:f>
      </x:c>
      <x:c r="I245" s="73" t="str">
        <x:f>IF('전기원장'!A245="","",'전기원장'!J245)</x:f>
      </x:c>
      <x:c r="J245" s="73" t="str">
        <x:f>IF('전기원장'!A245="","",'전기원장'!K245)</x:f>
      </x:c>
      <x:c r="K245" s="73" t="str">
        <x:f>IF(B245="","",IF(COUNTIF($B$5:B245,B245)=1,COUNT($K$4:K244)+1,""))</x:f>
      </x:c>
      <x:c r="L245" s="85" t="str">
        <x:f>IF(B245="","",IF(COUNTIFS('계정비교'!$A$5:$A$1004,B245,'계정비교'!$H$5:$H$1004,"원인분석 대상")&gt;0,COUNT($L$4:L244)+1,""))</x:f>
      </x:c>
    </x:row>
    <x:row r="246">
      <x:c r="A246" s="73" t="str">
        <x:f>IF('전기원장'!A246="","","전기")</x:f>
      </x:c>
      <x:c r="B246" s="73" t="str">
        <x:f>IF('전기원장'!A246="","",'전기원장'!A246)</x:f>
      </x:c>
      <x:c r="C246" s="73" t="str">
        <x:f>IF('전기원장'!A246="","",'전기원장'!B246)</x:f>
      </x:c>
      <x:c r="D246" s="74" t="str">
        <x:f>IF('전기원장'!A246="","",'전기원장'!C246)</x:f>
      </x:c>
      <x:c r="E246" s="73" t="str">
        <x:f>IF('전기원장'!A246="","",'전기원장'!D246)</x:f>
      </x:c>
      <x:c r="F246" s="73" t="str">
        <x:f>IF('전기원장'!A246="","",'전기원장'!E246)</x:f>
      </x:c>
      <x:c r="G246" s="75" t="str">
        <x:f>IF('전기원장'!A246="","",'전기원장'!H246)</x:f>
      </x:c>
      <x:c r="H246" s="73" t="str">
        <x:f>IF('전기원장'!A246="","",'전기원장'!I246)</x:f>
      </x:c>
      <x:c r="I246" s="73" t="str">
        <x:f>IF('전기원장'!A246="","",'전기원장'!J246)</x:f>
      </x:c>
      <x:c r="J246" s="73" t="str">
        <x:f>IF('전기원장'!A246="","",'전기원장'!K246)</x:f>
      </x:c>
      <x:c r="K246" s="73" t="str">
        <x:f>IF(B246="","",IF(COUNTIF($B$5:B246,B246)=1,COUNT($K$4:K245)+1,""))</x:f>
      </x:c>
      <x:c r="L246" s="85" t="str">
        <x:f>IF(B246="","",IF(COUNTIFS('계정비교'!$A$5:$A$1004,B246,'계정비교'!$H$5:$H$1004,"원인분석 대상")&gt;0,COUNT($L$4:L245)+1,""))</x:f>
      </x:c>
    </x:row>
    <x:row r="247">
      <x:c r="A247" s="73" t="str">
        <x:f>IF('전기원장'!A247="","","전기")</x:f>
      </x:c>
      <x:c r="B247" s="73" t="str">
        <x:f>IF('전기원장'!A247="","",'전기원장'!A247)</x:f>
      </x:c>
      <x:c r="C247" s="73" t="str">
        <x:f>IF('전기원장'!A247="","",'전기원장'!B247)</x:f>
      </x:c>
      <x:c r="D247" s="74" t="str">
        <x:f>IF('전기원장'!A247="","",'전기원장'!C247)</x:f>
      </x:c>
      <x:c r="E247" s="73" t="str">
        <x:f>IF('전기원장'!A247="","",'전기원장'!D247)</x:f>
      </x:c>
      <x:c r="F247" s="73" t="str">
        <x:f>IF('전기원장'!A247="","",'전기원장'!E247)</x:f>
      </x:c>
      <x:c r="G247" s="75" t="str">
        <x:f>IF('전기원장'!A247="","",'전기원장'!H247)</x:f>
      </x:c>
      <x:c r="H247" s="73" t="str">
        <x:f>IF('전기원장'!A247="","",'전기원장'!I247)</x:f>
      </x:c>
      <x:c r="I247" s="73" t="str">
        <x:f>IF('전기원장'!A247="","",'전기원장'!J247)</x:f>
      </x:c>
      <x:c r="J247" s="73" t="str">
        <x:f>IF('전기원장'!A247="","",'전기원장'!K247)</x:f>
      </x:c>
      <x:c r="K247" s="73" t="str">
        <x:f>IF(B247="","",IF(COUNTIF($B$5:B247,B247)=1,COUNT($K$4:K246)+1,""))</x:f>
      </x:c>
      <x:c r="L247" s="85" t="str">
        <x:f>IF(B247="","",IF(COUNTIFS('계정비교'!$A$5:$A$1004,B247,'계정비교'!$H$5:$H$1004,"원인분석 대상")&gt;0,COUNT($L$4:L246)+1,""))</x:f>
      </x:c>
    </x:row>
    <x:row r="248">
      <x:c r="A248" s="73" t="str">
        <x:f>IF('전기원장'!A248="","","전기")</x:f>
      </x:c>
      <x:c r="B248" s="73" t="str">
        <x:f>IF('전기원장'!A248="","",'전기원장'!A248)</x:f>
      </x:c>
      <x:c r="C248" s="73" t="str">
        <x:f>IF('전기원장'!A248="","",'전기원장'!B248)</x:f>
      </x:c>
      <x:c r="D248" s="74" t="str">
        <x:f>IF('전기원장'!A248="","",'전기원장'!C248)</x:f>
      </x:c>
      <x:c r="E248" s="73" t="str">
        <x:f>IF('전기원장'!A248="","",'전기원장'!D248)</x:f>
      </x:c>
      <x:c r="F248" s="73" t="str">
        <x:f>IF('전기원장'!A248="","",'전기원장'!E248)</x:f>
      </x:c>
      <x:c r="G248" s="75" t="str">
        <x:f>IF('전기원장'!A248="","",'전기원장'!H248)</x:f>
      </x:c>
      <x:c r="H248" s="73" t="str">
        <x:f>IF('전기원장'!A248="","",'전기원장'!I248)</x:f>
      </x:c>
      <x:c r="I248" s="73" t="str">
        <x:f>IF('전기원장'!A248="","",'전기원장'!J248)</x:f>
      </x:c>
      <x:c r="J248" s="73" t="str">
        <x:f>IF('전기원장'!A248="","",'전기원장'!K248)</x:f>
      </x:c>
      <x:c r="K248" s="73" t="str">
        <x:f>IF(B248="","",IF(COUNTIF($B$5:B248,B248)=1,COUNT($K$4:K247)+1,""))</x:f>
      </x:c>
      <x:c r="L248" s="85" t="str">
        <x:f>IF(B248="","",IF(COUNTIFS('계정비교'!$A$5:$A$1004,B248,'계정비교'!$H$5:$H$1004,"원인분석 대상")&gt;0,COUNT($L$4:L247)+1,""))</x:f>
      </x:c>
    </x:row>
    <x:row r="249">
      <x:c r="A249" s="73" t="str">
        <x:f>IF('전기원장'!A249="","","전기")</x:f>
      </x:c>
      <x:c r="B249" s="73" t="str">
        <x:f>IF('전기원장'!A249="","",'전기원장'!A249)</x:f>
      </x:c>
      <x:c r="C249" s="73" t="str">
        <x:f>IF('전기원장'!A249="","",'전기원장'!B249)</x:f>
      </x:c>
      <x:c r="D249" s="74" t="str">
        <x:f>IF('전기원장'!A249="","",'전기원장'!C249)</x:f>
      </x:c>
      <x:c r="E249" s="73" t="str">
        <x:f>IF('전기원장'!A249="","",'전기원장'!D249)</x:f>
      </x:c>
      <x:c r="F249" s="73" t="str">
        <x:f>IF('전기원장'!A249="","",'전기원장'!E249)</x:f>
      </x:c>
      <x:c r="G249" s="75" t="str">
        <x:f>IF('전기원장'!A249="","",'전기원장'!H249)</x:f>
      </x:c>
      <x:c r="H249" s="73" t="str">
        <x:f>IF('전기원장'!A249="","",'전기원장'!I249)</x:f>
      </x:c>
      <x:c r="I249" s="73" t="str">
        <x:f>IF('전기원장'!A249="","",'전기원장'!J249)</x:f>
      </x:c>
      <x:c r="J249" s="73" t="str">
        <x:f>IF('전기원장'!A249="","",'전기원장'!K249)</x:f>
      </x:c>
      <x:c r="K249" s="73" t="str">
        <x:f>IF(B249="","",IF(COUNTIF($B$5:B249,B249)=1,COUNT($K$4:K248)+1,""))</x:f>
      </x:c>
      <x:c r="L249" s="85" t="str">
        <x:f>IF(B249="","",IF(COUNTIFS('계정비교'!$A$5:$A$1004,B249,'계정비교'!$H$5:$H$1004,"원인분석 대상")&gt;0,COUNT($L$4:L248)+1,""))</x:f>
      </x:c>
    </x:row>
    <x:row r="250">
      <x:c r="A250" s="73" t="str">
        <x:f>IF('전기원장'!A250="","","전기")</x:f>
      </x:c>
      <x:c r="B250" s="73" t="str">
        <x:f>IF('전기원장'!A250="","",'전기원장'!A250)</x:f>
      </x:c>
      <x:c r="C250" s="73" t="str">
        <x:f>IF('전기원장'!A250="","",'전기원장'!B250)</x:f>
      </x:c>
      <x:c r="D250" s="74" t="str">
        <x:f>IF('전기원장'!A250="","",'전기원장'!C250)</x:f>
      </x:c>
      <x:c r="E250" s="73" t="str">
        <x:f>IF('전기원장'!A250="","",'전기원장'!D250)</x:f>
      </x:c>
      <x:c r="F250" s="73" t="str">
        <x:f>IF('전기원장'!A250="","",'전기원장'!E250)</x:f>
      </x:c>
      <x:c r="G250" s="75" t="str">
        <x:f>IF('전기원장'!A250="","",'전기원장'!H250)</x:f>
      </x:c>
      <x:c r="H250" s="73" t="str">
        <x:f>IF('전기원장'!A250="","",'전기원장'!I250)</x:f>
      </x:c>
      <x:c r="I250" s="73" t="str">
        <x:f>IF('전기원장'!A250="","",'전기원장'!J250)</x:f>
      </x:c>
      <x:c r="J250" s="73" t="str">
        <x:f>IF('전기원장'!A250="","",'전기원장'!K250)</x:f>
      </x:c>
      <x:c r="K250" s="73" t="str">
        <x:f>IF(B250="","",IF(COUNTIF($B$5:B250,B250)=1,COUNT($K$4:K249)+1,""))</x:f>
      </x:c>
      <x:c r="L250" s="85" t="str">
        <x:f>IF(B250="","",IF(COUNTIFS('계정비교'!$A$5:$A$1004,B250,'계정비교'!$H$5:$H$1004,"원인분석 대상")&gt;0,COUNT($L$4:L249)+1,""))</x:f>
      </x:c>
    </x:row>
    <x:row r="251">
      <x:c r="A251" s="73" t="str">
        <x:f>IF('전기원장'!A251="","","전기")</x:f>
      </x:c>
      <x:c r="B251" s="73" t="str">
        <x:f>IF('전기원장'!A251="","",'전기원장'!A251)</x:f>
      </x:c>
      <x:c r="C251" s="73" t="str">
        <x:f>IF('전기원장'!A251="","",'전기원장'!B251)</x:f>
      </x:c>
      <x:c r="D251" s="74" t="str">
        <x:f>IF('전기원장'!A251="","",'전기원장'!C251)</x:f>
      </x:c>
      <x:c r="E251" s="73" t="str">
        <x:f>IF('전기원장'!A251="","",'전기원장'!D251)</x:f>
      </x:c>
      <x:c r="F251" s="73" t="str">
        <x:f>IF('전기원장'!A251="","",'전기원장'!E251)</x:f>
      </x:c>
      <x:c r="G251" s="75" t="str">
        <x:f>IF('전기원장'!A251="","",'전기원장'!H251)</x:f>
      </x:c>
      <x:c r="H251" s="73" t="str">
        <x:f>IF('전기원장'!A251="","",'전기원장'!I251)</x:f>
      </x:c>
      <x:c r="I251" s="73" t="str">
        <x:f>IF('전기원장'!A251="","",'전기원장'!J251)</x:f>
      </x:c>
      <x:c r="J251" s="73" t="str">
        <x:f>IF('전기원장'!A251="","",'전기원장'!K251)</x:f>
      </x:c>
      <x:c r="K251" s="73" t="str">
        <x:f>IF(B251="","",IF(COUNTIF($B$5:B251,B251)=1,COUNT($K$4:K250)+1,""))</x:f>
      </x:c>
      <x:c r="L251" s="85" t="str">
        <x:f>IF(B251="","",IF(COUNTIFS('계정비교'!$A$5:$A$1004,B251,'계정비교'!$H$5:$H$1004,"원인분석 대상")&gt;0,COUNT($L$4:L250)+1,""))</x:f>
      </x:c>
    </x:row>
    <x:row r="252">
      <x:c r="A252" s="73" t="str">
        <x:f>IF('전기원장'!A252="","","전기")</x:f>
      </x:c>
      <x:c r="B252" s="73" t="str">
        <x:f>IF('전기원장'!A252="","",'전기원장'!A252)</x:f>
      </x:c>
      <x:c r="C252" s="73" t="str">
        <x:f>IF('전기원장'!A252="","",'전기원장'!B252)</x:f>
      </x:c>
      <x:c r="D252" s="74" t="str">
        <x:f>IF('전기원장'!A252="","",'전기원장'!C252)</x:f>
      </x:c>
      <x:c r="E252" s="73" t="str">
        <x:f>IF('전기원장'!A252="","",'전기원장'!D252)</x:f>
      </x:c>
      <x:c r="F252" s="73" t="str">
        <x:f>IF('전기원장'!A252="","",'전기원장'!E252)</x:f>
      </x:c>
      <x:c r="G252" s="75" t="str">
        <x:f>IF('전기원장'!A252="","",'전기원장'!H252)</x:f>
      </x:c>
      <x:c r="H252" s="73" t="str">
        <x:f>IF('전기원장'!A252="","",'전기원장'!I252)</x:f>
      </x:c>
      <x:c r="I252" s="73" t="str">
        <x:f>IF('전기원장'!A252="","",'전기원장'!J252)</x:f>
      </x:c>
      <x:c r="J252" s="73" t="str">
        <x:f>IF('전기원장'!A252="","",'전기원장'!K252)</x:f>
      </x:c>
      <x:c r="K252" s="73" t="str">
        <x:f>IF(B252="","",IF(COUNTIF($B$5:B252,B252)=1,COUNT($K$4:K251)+1,""))</x:f>
      </x:c>
      <x:c r="L252" s="85" t="str">
        <x:f>IF(B252="","",IF(COUNTIFS('계정비교'!$A$5:$A$1004,B252,'계정비교'!$H$5:$H$1004,"원인분석 대상")&gt;0,COUNT($L$4:L251)+1,""))</x:f>
      </x:c>
    </x:row>
    <x:row r="253">
      <x:c r="A253" s="73" t="str">
        <x:f>IF('전기원장'!A253="","","전기")</x:f>
      </x:c>
      <x:c r="B253" s="73" t="str">
        <x:f>IF('전기원장'!A253="","",'전기원장'!A253)</x:f>
      </x:c>
      <x:c r="C253" s="73" t="str">
        <x:f>IF('전기원장'!A253="","",'전기원장'!B253)</x:f>
      </x:c>
      <x:c r="D253" s="74" t="str">
        <x:f>IF('전기원장'!A253="","",'전기원장'!C253)</x:f>
      </x:c>
      <x:c r="E253" s="73" t="str">
        <x:f>IF('전기원장'!A253="","",'전기원장'!D253)</x:f>
      </x:c>
      <x:c r="F253" s="73" t="str">
        <x:f>IF('전기원장'!A253="","",'전기원장'!E253)</x:f>
      </x:c>
      <x:c r="G253" s="75" t="str">
        <x:f>IF('전기원장'!A253="","",'전기원장'!H253)</x:f>
      </x:c>
      <x:c r="H253" s="73" t="str">
        <x:f>IF('전기원장'!A253="","",'전기원장'!I253)</x:f>
      </x:c>
      <x:c r="I253" s="73" t="str">
        <x:f>IF('전기원장'!A253="","",'전기원장'!J253)</x:f>
      </x:c>
      <x:c r="J253" s="73" t="str">
        <x:f>IF('전기원장'!A253="","",'전기원장'!K253)</x:f>
      </x:c>
      <x:c r="K253" s="73" t="str">
        <x:f>IF(B253="","",IF(COUNTIF($B$5:B253,B253)=1,COUNT($K$4:K252)+1,""))</x:f>
      </x:c>
      <x:c r="L253" s="85" t="str">
        <x:f>IF(B253="","",IF(COUNTIFS('계정비교'!$A$5:$A$1004,B253,'계정비교'!$H$5:$H$1004,"원인분석 대상")&gt;0,COUNT($L$4:L252)+1,""))</x:f>
      </x:c>
    </x:row>
    <x:row r="254">
      <x:c r="A254" s="73" t="str">
        <x:f>IF('전기원장'!A254="","","전기")</x:f>
      </x:c>
      <x:c r="B254" s="73" t="str">
        <x:f>IF('전기원장'!A254="","",'전기원장'!A254)</x:f>
      </x:c>
      <x:c r="C254" s="73" t="str">
        <x:f>IF('전기원장'!A254="","",'전기원장'!B254)</x:f>
      </x:c>
      <x:c r="D254" s="74" t="str">
        <x:f>IF('전기원장'!A254="","",'전기원장'!C254)</x:f>
      </x:c>
      <x:c r="E254" s="73" t="str">
        <x:f>IF('전기원장'!A254="","",'전기원장'!D254)</x:f>
      </x:c>
      <x:c r="F254" s="73" t="str">
        <x:f>IF('전기원장'!A254="","",'전기원장'!E254)</x:f>
      </x:c>
      <x:c r="G254" s="75" t="str">
        <x:f>IF('전기원장'!A254="","",'전기원장'!H254)</x:f>
      </x:c>
      <x:c r="H254" s="73" t="str">
        <x:f>IF('전기원장'!A254="","",'전기원장'!I254)</x:f>
      </x:c>
      <x:c r="I254" s="73" t="str">
        <x:f>IF('전기원장'!A254="","",'전기원장'!J254)</x:f>
      </x:c>
      <x:c r="J254" s="73" t="str">
        <x:f>IF('전기원장'!A254="","",'전기원장'!K254)</x:f>
      </x:c>
      <x:c r="K254" s="73" t="str">
        <x:f>IF(B254="","",IF(COUNTIF($B$5:B254,B254)=1,COUNT($K$4:K253)+1,""))</x:f>
      </x:c>
      <x:c r="L254" s="85" t="str">
        <x:f>IF(B254="","",IF(COUNTIFS('계정비교'!$A$5:$A$1004,B254,'계정비교'!$H$5:$H$1004,"원인분석 대상")&gt;0,COUNT($L$4:L253)+1,""))</x:f>
      </x:c>
    </x:row>
    <x:row r="255">
      <x:c r="A255" s="73" t="str">
        <x:f>IF('전기원장'!A255="","","전기")</x:f>
      </x:c>
      <x:c r="B255" s="73" t="str">
        <x:f>IF('전기원장'!A255="","",'전기원장'!A255)</x:f>
      </x:c>
      <x:c r="C255" s="73" t="str">
        <x:f>IF('전기원장'!A255="","",'전기원장'!B255)</x:f>
      </x:c>
      <x:c r="D255" s="74" t="str">
        <x:f>IF('전기원장'!A255="","",'전기원장'!C255)</x:f>
      </x:c>
      <x:c r="E255" s="73" t="str">
        <x:f>IF('전기원장'!A255="","",'전기원장'!D255)</x:f>
      </x:c>
      <x:c r="F255" s="73" t="str">
        <x:f>IF('전기원장'!A255="","",'전기원장'!E255)</x:f>
      </x:c>
      <x:c r="G255" s="75" t="str">
        <x:f>IF('전기원장'!A255="","",'전기원장'!H255)</x:f>
      </x:c>
      <x:c r="H255" s="73" t="str">
        <x:f>IF('전기원장'!A255="","",'전기원장'!I255)</x:f>
      </x:c>
      <x:c r="I255" s="73" t="str">
        <x:f>IF('전기원장'!A255="","",'전기원장'!J255)</x:f>
      </x:c>
      <x:c r="J255" s="73" t="str">
        <x:f>IF('전기원장'!A255="","",'전기원장'!K255)</x:f>
      </x:c>
      <x:c r="K255" s="73" t="str">
        <x:f>IF(B255="","",IF(COUNTIF($B$5:B255,B255)=1,COUNT($K$4:K254)+1,""))</x:f>
      </x:c>
      <x:c r="L255" s="85" t="str">
        <x:f>IF(B255="","",IF(COUNTIFS('계정비교'!$A$5:$A$1004,B255,'계정비교'!$H$5:$H$1004,"원인분석 대상")&gt;0,COUNT($L$4:L254)+1,""))</x:f>
      </x:c>
    </x:row>
    <x:row r="256">
      <x:c r="A256" s="73" t="str">
        <x:f>IF('전기원장'!A256="","","전기")</x:f>
      </x:c>
      <x:c r="B256" s="73" t="str">
        <x:f>IF('전기원장'!A256="","",'전기원장'!A256)</x:f>
      </x:c>
      <x:c r="C256" s="73" t="str">
        <x:f>IF('전기원장'!A256="","",'전기원장'!B256)</x:f>
      </x:c>
      <x:c r="D256" s="74" t="str">
        <x:f>IF('전기원장'!A256="","",'전기원장'!C256)</x:f>
      </x:c>
      <x:c r="E256" s="73" t="str">
        <x:f>IF('전기원장'!A256="","",'전기원장'!D256)</x:f>
      </x:c>
      <x:c r="F256" s="73" t="str">
        <x:f>IF('전기원장'!A256="","",'전기원장'!E256)</x:f>
      </x:c>
      <x:c r="G256" s="75" t="str">
        <x:f>IF('전기원장'!A256="","",'전기원장'!H256)</x:f>
      </x:c>
      <x:c r="H256" s="73" t="str">
        <x:f>IF('전기원장'!A256="","",'전기원장'!I256)</x:f>
      </x:c>
      <x:c r="I256" s="73" t="str">
        <x:f>IF('전기원장'!A256="","",'전기원장'!J256)</x:f>
      </x:c>
      <x:c r="J256" s="73" t="str">
        <x:f>IF('전기원장'!A256="","",'전기원장'!K256)</x:f>
      </x:c>
      <x:c r="K256" s="73" t="str">
        <x:f>IF(B256="","",IF(COUNTIF($B$5:B256,B256)=1,COUNT($K$4:K255)+1,""))</x:f>
      </x:c>
      <x:c r="L256" s="85" t="str">
        <x:f>IF(B256="","",IF(COUNTIFS('계정비교'!$A$5:$A$1004,B256,'계정비교'!$H$5:$H$1004,"원인분석 대상")&gt;0,COUNT($L$4:L255)+1,""))</x:f>
      </x:c>
    </x:row>
    <x:row r="257">
      <x:c r="A257" s="73" t="str">
        <x:f>IF('전기원장'!A257="","","전기")</x:f>
      </x:c>
      <x:c r="B257" s="73" t="str">
        <x:f>IF('전기원장'!A257="","",'전기원장'!A257)</x:f>
      </x:c>
      <x:c r="C257" s="73" t="str">
        <x:f>IF('전기원장'!A257="","",'전기원장'!B257)</x:f>
      </x:c>
      <x:c r="D257" s="74" t="str">
        <x:f>IF('전기원장'!A257="","",'전기원장'!C257)</x:f>
      </x:c>
      <x:c r="E257" s="73" t="str">
        <x:f>IF('전기원장'!A257="","",'전기원장'!D257)</x:f>
      </x:c>
      <x:c r="F257" s="73" t="str">
        <x:f>IF('전기원장'!A257="","",'전기원장'!E257)</x:f>
      </x:c>
      <x:c r="G257" s="75" t="str">
        <x:f>IF('전기원장'!A257="","",'전기원장'!H257)</x:f>
      </x:c>
      <x:c r="H257" s="73" t="str">
        <x:f>IF('전기원장'!A257="","",'전기원장'!I257)</x:f>
      </x:c>
      <x:c r="I257" s="73" t="str">
        <x:f>IF('전기원장'!A257="","",'전기원장'!J257)</x:f>
      </x:c>
      <x:c r="J257" s="73" t="str">
        <x:f>IF('전기원장'!A257="","",'전기원장'!K257)</x:f>
      </x:c>
      <x:c r="K257" s="73" t="str">
        <x:f>IF(B257="","",IF(COUNTIF($B$5:B257,B257)=1,COUNT($K$4:K256)+1,""))</x:f>
      </x:c>
      <x:c r="L257" s="85" t="str">
        <x:f>IF(B257="","",IF(COUNTIFS('계정비교'!$A$5:$A$1004,B257,'계정비교'!$H$5:$H$1004,"원인분석 대상")&gt;0,COUNT($L$4:L256)+1,""))</x:f>
      </x:c>
    </x:row>
    <x:row r="258">
      <x:c r="A258" s="73" t="str">
        <x:f>IF('전기원장'!A258="","","전기")</x:f>
      </x:c>
      <x:c r="B258" s="73" t="str">
        <x:f>IF('전기원장'!A258="","",'전기원장'!A258)</x:f>
      </x:c>
      <x:c r="C258" s="73" t="str">
        <x:f>IF('전기원장'!A258="","",'전기원장'!B258)</x:f>
      </x:c>
      <x:c r="D258" s="74" t="str">
        <x:f>IF('전기원장'!A258="","",'전기원장'!C258)</x:f>
      </x:c>
      <x:c r="E258" s="73" t="str">
        <x:f>IF('전기원장'!A258="","",'전기원장'!D258)</x:f>
      </x:c>
      <x:c r="F258" s="73" t="str">
        <x:f>IF('전기원장'!A258="","",'전기원장'!E258)</x:f>
      </x:c>
      <x:c r="G258" s="75" t="str">
        <x:f>IF('전기원장'!A258="","",'전기원장'!H258)</x:f>
      </x:c>
      <x:c r="H258" s="73" t="str">
        <x:f>IF('전기원장'!A258="","",'전기원장'!I258)</x:f>
      </x:c>
      <x:c r="I258" s="73" t="str">
        <x:f>IF('전기원장'!A258="","",'전기원장'!J258)</x:f>
      </x:c>
      <x:c r="J258" s="73" t="str">
        <x:f>IF('전기원장'!A258="","",'전기원장'!K258)</x:f>
      </x:c>
      <x:c r="K258" s="73" t="str">
        <x:f>IF(B258="","",IF(COUNTIF($B$5:B258,B258)=1,COUNT($K$4:K257)+1,""))</x:f>
      </x:c>
      <x:c r="L258" s="85" t="str">
        <x:f>IF(B258="","",IF(COUNTIFS('계정비교'!$A$5:$A$1004,B258,'계정비교'!$H$5:$H$1004,"원인분석 대상")&gt;0,COUNT($L$4:L257)+1,""))</x:f>
      </x:c>
    </x:row>
    <x:row r="259">
      <x:c r="A259" s="73" t="str">
        <x:f>IF('전기원장'!A259="","","전기")</x:f>
      </x:c>
      <x:c r="B259" s="73" t="str">
        <x:f>IF('전기원장'!A259="","",'전기원장'!A259)</x:f>
      </x:c>
      <x:c r="C259" s="73" t="str">
        <x:f>IF('전기원장'!A259="","",'전기원장'!B259)</x:f>
      </x:c>
      <x:c r="D259" s="74" t="str">
        <x:f>IF('전기원장'!A259="","",'전기원장'!C259)</x:f>
      </x:c>
      <x:c r="E259" s="73" t="str">
        <x:f>IF('전기원장'!A259="","",'전기원장'!D259)</x:f>
      </x:c>
      <x:c r="F259" s="73" t="str">
        <x:f>IF('전기원장'!A259="","",'전기원장'!E259)</x:f>
      </x:c>
      <x:c r="G259" s="75" t="str">
        <x:f>IF('전기원장'!A259="","",'전기원장'!H259)</x:f>
      </x:c>
      <x:c r="H259" s="73" t="str">
        <x:f>IF('전기원장'!A259="","",'전기원장'!I259)</x:f>
      </x:c>
      <x:c r="I259" s="73" t="str">
        <x:f>IF('전기원장'!A259="","",'전기원장'!J259)</x:f>
      </x:c>
      <x:c r="J259" s="73" t="str">
        <x:f>IF('전기원장'!A259="","",'전기원장'!K259)</x:f>
      </x:c>
      <x:c r="K259" s="73" t="str">
        <x:f>IF(B259="","",IF(COUNTIF($B$5:B259,B259)=1,COUNT($K$4:K258)+1,""))</x:f>
      </x:c>
      <x:c r="L259" s="85" t="str">
        <x:f>IF(B259="","",IF(COUNTIFS('계정비교'!$A$5:$A$1004,B259,'계정비교'!$H$5:$H$1004,"원인분석 대상")&gt;0,COUNT($L$4:L258)+1,""))</x:f>
      </x:c>
    </x:row>
    <x:row r="260">
      <x:c r="A260" s="73" t="str">
        <x:f>IF('전기원장'!A260="","","전기")</x:f>
      </x:c>
      <x:c r="B260" s="73" t="str">
        <x:f>IF('전기원장'!A260="","",'전기원장'!A260)</x:f>
      </x:c>
      <x:c r="C260" s="73" t="str">
        <x:f>IF('전기원장'!A260="","",'전기원장'!B260)</x:f>
      </x:c>
      <x:c r="D260" s="74" t="str">
        <x:f>IF('전기원장'!A260="","",'전기원장'!C260)</x:f>
      </x:c>
      <x:c r="E260" s="73" t="str">
        <x:f>IF('전기원장'!A260="","",'전기원장'!D260)</x:f>
      </x:c>
      <x:c r="F260" s="73" t="str">
        <x:f>IF('전기원장'!A260="","",'전기원장'!E260)</x:f>
      </x:c>
      <x:c r="G260" s="75" t="str">
        <x:f>IF('전기원장'!A260="","",'전기원장'!H260)</x:f>
      </x:c>
      <x:c r="H260" s="73" t="str">
        <x:f>IF('전기원장'!A260="","",'전기원장'!I260)</x:f>
      </x:c>
      <x:c r="I260" s="73" t="str">
        <x:f>IF('전기원장'!A260="","",'전기원장'!J260)</x:f>
      </x:c>
      <x:c r="J260" s="73" t="str">
        <x:f>IF('전기원장'!A260="","",'전기원장'!K260)</x:f>
      </x:c>
      <x:c r="K260" s="73" t="str">
        <x:f>IF(B260="","",IF(COUNTIF($B$5:B260,B260)=1,COUNT($K$4:K259)+1,""))</x:f>
      </x:c>
      <x:c r="L260" s="85" t="str">
        <x:f>IF(B260="","",IF(COUNTIFS('계정비교'!$A$5:$A$1004,B260,'계정비교'!$H$5:$H$1004,"원인분석 대상")&gt;0,COUNT($L$4:L259)+1,""))</x:f>
      </x:c>
    </x:row>
    <x:row r="261">
      <x:c r="A261" s="73" t="str">
        <x:f>IF('전기원장'!A261="","","전기")</x:f>
      </x:c>
      <x:c r="B261" s="73" t="str">
        <x:f>IF('전기원장'!A261="","",'전기원장'!A261)</x:f>
      </x:c>
      <x:c r="C261" s="73" t="str">
        <x:f>IF('전기원장'!A261="","",'전기원장'!B261)</x:f>
      </x:c>
      <x:c r="D261" s="74" t="str">
        <x:f>IF('전기원장'!A261="","",'전기원장'!C261)</x:f>
      </x:c>
      <x:c r="E261" s="73" t="str">
        <x:f>IF('전기원장'!A261="","",'전기원장'!D261)</x:f>
      </x:c>
      <x:c r="F261" s="73" t="str">
        <x:f>IF('전기원장'!A261="","",'전기원장'!E261)</x:f>
      </x:c>
      <x:c r="G261" s="75" t="str">
        <x:f>IF('전기원장'!A261="","",'전기원장'!H261)</x:f>
      </x:c>
      <x:c r="H261" s="73" t="str">
        <x:f>IF('전기원장'!A261="","",'전기원장'!I261)</x:f>
      </x:c>
      <x:c r="I261" s="73" t="str">
        <x:f>IF('전기원장'!A261="","",'전기원장'!J261)</x:f>
      </x:c>
      <x:c r="J261" s="73" t="str">
        <x:f>IF('전기원장'!A261="","",'전기원장'!K261)</x:f>
      </x:c>
      <x:c r="K261" s="73" t="str">
        <x:f>IF(B261="","",IF(COUNTIF($B$5:B261,B261)=1,COUNT($K$4:K260)+1,""))</x:f>
      </x:c>
      <x:c r="L261" s="85" t="str">
        <x:f>IF(B261="","",IF(COUNTIFS('계정비교'!$A$5:$A$1004,B261,'계정비교'!$H$5:$H$1004,"원인분석 대상")&gt;0,COUNT($L$4:L260)+1,""))</x:f>
      </x:c>
    </x:row>
    <x:row r="262">
      <x:c r="A262" s="73" t="str">
        <x:f>IF('전기원장'!A262="","","전기")</x:f>
      </x:c>
      <x:c r="B262" s="73" t="str">
        <x:f>IF('전기원장'!A262="","",'전기원장'!A262)</x:f>
      </x:c>
      <x:c r="C262" s="73" t="str">
        <x:f>IF('전기원장'!A262="","",'전기원장'!B262)</x:f>
      </x:c>
      <x:c r="D262" s="74" t="str">
        <x:f>IF('전기원장'!A262="","",'전기원장'!C262)</x:f>
      </x:c>
      <x:c r="E262" s="73" t="str">
        <x:f>IF('전기원장'!A262="","",'전기원장'!D262)</x:f>
      </x:c>
      <x:c r="F262" s="73" t="str">
        <x:f>IF('전기원장'!A262="","",'전기원장'!E262)</x:f>
      </x:c>
      <x:c r="G262" s="75" t="str">
        <x:f>IF('전기원장'!A262="","",'전기원장'!H262)</x:f>
      </x:c>
      <x:c r="H262" s="73" t="str">
        <x:f>IF('전기원장'!A262="","",'전기원장'!I262)</x:f>
      </x:c>
      <x:c r="I262" s="73" t="str">
        <x:f>IF('전기원장'!A262="","",'전기원장'!J262)</x:f>
      </x:c>
      <x:c r="J262" s="73" t="str">
        <x:f>IF('전기원장'!A262="","",'전기원장'!K262)</x:f>
      </x:c>
      <x:c r="K262" s="73" t="str">
        <x:f>IF(B262="","",IF(COUNTIF($B$5:B262,B262)=1,COUNT($K$4:K261)+1,""))</x:f>
      </x:c>
      <x:c r="L262" s="85" t="str">
        <x:f>IF(B262="","",IF(COUNTIFS('계정비교'!$A$5:$A$1004,B262,'계정비교'!$H$5:$H$1004,"원인분석 대상")&gt;0,COUNT($L$4:L261)+1,""))</x:f>
      </x:c>
    </x:row>
    <x:row r="263">
      <x:c r="A263" s="73" t="str">
        <x:f>IF('전기원장'!A263="","","전기")</x:f>
      </x:c>
      <x:c r="B263" s="73" t="str">
        <x:f>IF('전기원장'!A263="","",'전기원장'!A263)</x:f>
      </x:c>
      <x:c r="C263" s="73" t="str">
        <x:f>IF('전기원장'!A263="","",'전기원장'!B263)</x:f>
      </x:c>
      <x:c r="D263" s="74" t="str">
        <x:f>IF('전기원장'!A263="","",'전기원장'!C263)</x:f>
      </x:c>
      <x:c r="E263" s="73" t="str">
        <x:f>IF('전기원장'!A263="","",'전기원장'!D263)</x:f>
      </x:c>
      <x:c r="F263" s="73" t="str">
        <x:f>IF('전기원장'!A263="","",'전기원장'!E263)</x:f>
      </x:c>
      <x:c r="G263" s="75" t="str">
        <x:f>IF('전기원장'!A263="","",'전기원장'!H263)</x:f>
      </x:c>
      <x:c r="H263" s="73" t="str">
        <x:f>IF('전기원장'!A263="","",'전기원장'!I263)</x:f>
      </x:c>
      <x:c r="I263" s="73" t="str">
        <x:f>IF('전기원장'!A263="","",'전기원장'!J263)</x:f>
      </x:c>
      <x:c r="J263" s="73" t="str">
        <x:f>IF('전기원장'!A263="","",'전기원장'!K263)</x:f>
      </x:c>
      <x:c r="K263" s="73" t="str">
        <x:f>IF(B263="","",IF(COUNTIF($B$5:B263,B263)=1,COUNT($K$4:K262)+1,""))</x:f>
      </x:c>
      <x:c r="L263" s="85" t="str">
        <x:f>IF(B263="","",IF(COUNTIFS('계정비교'!$A$5:$A$1004,B263,'계정비교'!$H$5:$H$1004,"원인분석 대상")&gt;0,COUNT($L$4:L262)+1,""))</x:f>
      </x:c>
    </x:row>
    <x:row r="264">
      <x:c r="A264" s="73" t="str">
        <x:f>IF('전기원장'!A264="","","전기")</x:f>
      </x:c>
      <x:c r="B264" s="73" t="str">
        <x:f>IF('전기원장'!A264="","",'전기원장'!A264)</x:f>
      </x:c>
      <x:c r="C264" s="73" t="str">
        <x:f>IF('전기원장'!A264="","",'전기원장'!B264)</x:f>
      </x:c>
      <x:c r="D264" s="74" t="str">
        <x:f>IF('전기원장'!A264="","",'전기원장'!C264)</x:f>
      </x:c>
      <x:c r="E264" s="73" t="str">
        <x:f>IF('전기원장'!A264="","",'전기원장'!D264)</x:f>
      </x:c>
      <x:c r="F264" s="73" t="str">
        <x:f>IF('전기원장'!A264="","",'전기원장'!E264)</x:f>
      </x:c>
      <x:c r="G264" s="75" t="str">
        <x:f>IF('전기원장'!A264="","",'전기원장'!H264)</x:f>
      </x:c>
      <x:c r="H264" s="73" t="str">
        <x:f>IF('전기원장'!A264="","",'전기원장'!I264)</x:f>
      </x:c>
      <x:c r="I264" s="73" t="str">
        <x:f>IF('전기원장'!A264="","",'전기원장'!J264)</x:f>
      </x:c>
      <x:c r="J264" s="73" t="str">
        <x:f>IF('전기원장'!A264="","",'전기원장'!K264)</x:f>
      </x:c>
      <x:c r="K264" s="73" t="str">
        <x:f>IF(B264="","",IF(COUNTIF($B$5:B264,B264)=1,COUNT($K$4:K263)+1,""))</x:f>
      </x:c>
      <x:c r="L264" s="85" t="str">
        <x:f>IF(B264="","",IF(COUNTIFS('계정비교'!$A$5:$A$1004,B264,'계정비교'!$H$5:$H$1004,"원인분석 대상")&gt;0,COUNT($L$4:L263)+1,""))</x:f>
      </x:c>
    </x:row>
    <x:row r="265">
      <x:c r="A265" s="73" t="str">
        <x:f>IF('전기원장'!A265="","","전기")</x:f>
      </x:c>
      <x:c r="B265" s="73" t="str">
        <x:f>IF('전기원장'!A265="","",'전기원장'!A265)</x:f>
      </x:c>
      <x:c r="C265" s="73" t="str">
        <x:f>IF('전기원장'!A265="","",'전기원장'!B265)</x:f>
      </x:c>
      <x:c r="D265" s="74" t="str">
        <x:f>IF('전기원장'!A265="","",'전기원장'!C265)</x:f>
      </x:c>
      <x:c r="E265" s="73" t="str">
        <x:f>IF('전기원장'!A265="","",'전기원장'!D265)</x:f>
      </x:c>
      <x:c r="F265" s="73" t="str">
        <x:f>IF('전기원장'!A265="","",'전기원장'!E265)</x:f>
      </x:c>
      <x:c r="G265" s="75" t="str">
        <x:f>IF('전기원장'!A265="","",'전기원장'!H265)</x:f>
      </x:c>
      <x:c r="H265" s="73" t="str">
        <x:f>IF('전기원장'!A265="","",'전기원장'!I265)</x:f>
      </x:c>
      <x:c r="I265" s="73" t="str">
        <x:f>IF('전기원장'!A265="","",'전기원장'!J265)</x:f>
      </x:c>
      <x:c r="J265" s="73" t="str">
        <x:f>IF('전기원장'!A265="","",'전기원장'!K265)</x:f>
      </x:c>
      <x:c r="K265" s="73" t="str">
        <x:f>IF(B265="","",IF(COUNTIF($B$5:B265,B265)=1,COUNT($K$4:K264)+1,""))</x:f>
      </x:c>
      <x:c r="L265" s="85" t="str">
        <x:f>IF(B265="","",IF(COUNTIFS('계정비교'!$A$5:$A$1004,B265,'계정비교'!$H$5:$H$1004,"원인분석 대상")&gt;0,COUNT($L$4:L264)+1,""))</x:f>
      </x:c>
    </x:row>
    <x:row r="266">
      <x:c r="A266" s="73" t="str">
        <x:f>IF('전기원장'!A266="","","전기")</x:f>
      </x:c>
      <x:c r="B266" s="73" t="str">
        <x:f>IF('전기원장'!A266="","",'전기원장'!A266)</x:f>
      </x:c>
      <x:c r="C266" s="73" t="str">
        <x:f>IF('전기원장'!A266="","",'전기원장'!B266)</x:f>
      </x:c>
      <x:c r="D266" s="74" t="str">
        <x:f>IF('전기원장'!A266="","",'전기원장'!C266)</x:f>
      </x:c>
      <x:c r="E266" s="73" t="str">
        <x:f>IF('전기원장'!A266="","",'전기원장'!D266)</x:f>
      </x:c>
      <x:c r="F266" s="73" t="str">
        <x:f>IF('전기원장'!A266="","",'전기원장'!E266)</x:f>
      </x:c>
      <x:c r="G266" s="75" t="str">
        <x:f>IF('전기원장'!A266="","",'전기원장'!H266)</x:f>
      </x:c>
      <x:c r="H266" s="73" t="str">
        <x:f>IF('전기원장'!A266="","",'전기원장'!I266)</x:f>
      </x:c>
      <x:c r="I266" s="73" t="str">
        <x:f>IF('전기원장'!A266="","",'전기원장'!J266)</x:f>
      </x:c>
      <x:c r="J266" s="73" t="str">
        <x:f>IF('전기원장'!A266="","",'전기원장'!K266)</x:f>
      </x:c>
      <x:c r="K266" s="73" t="str">
        <x:f>IF(B266="","",IF(COUNTIF($B$5:B266,B266)=1,COUNT($K$4:K265)+1,""))</x:f>
      </x:c>
      <x:c r="L266" s="85" t="str">
        <x:f>IF(B266="","",IF(COUNTIFS('계정비교'!$A$5:$A$1004,B266,'계정비교'!$H$5:$H$1004,"원인분석 대상")&gt;0,COUNT($L$4:L265)+1,""))</x:f>
      </x:c>
    </x:row>
    <x:row r="267">
      <x:c r="A267" s="73" t="str">
        <x:f>IF('전기원장'!A267="","","전기")</x:f>
      </x:c>
      <x:c r="B267" s="73" t="str">
        <x:f>IF('전기원장'!A267="","",'전기원장'!A267)</x:f>
      </x:c>
      <x:c r="C267" s="73" t="str">
        <x:f>IF('전기원장'!A267="","",'전기원장'!B267)</x:f>
      </x:c>
      <x:c r="D267" s="74" t="str">
        <x:f>IF('전기원장'!A267="","",'전기원장'!C267)</x:f>
      </x:c>
      <x:c r="E267" s="73" t="str">
        <x:f>IF('전기원장'!A267="","",'전기원장'!D267)</x:f>
      </x:c>
      <x:c r="F267" s="73" t="str">
        <x:f>IF('전기원장'!A267="","",'전기원장'!E267)</x:f>
      </x:c>
      <x:c r="G267" s="75" t="str">
        <x:f>IF('전기원장'!A267="","",'전기원장'!H267)</x:f>
      </x:c>
      <x:c r="H267" s="73" t="str">
        <x:f>IF('전기원장'!A267="","",'전기원장'!I267)</x:f>
      </x:c>
      <x:c r="I267" s="73" t="str">
        <x:f>IF('전기원장'!A267="","",'전기원장'!J267)</x:f>
      </x:c>
      <x:c r="J267" s="73" t="str">
        <x:f>IF('전기원장'!A267="","",'전기원장'!K267)</x:f>
      </x:c>
      <x:c r="K267" s="73" t="str">
        <x:f>IF(B267="","",IF(COUNTIF($B$5:B267,B267)=1,COUNT($K$4:K266)+1,""))</x:f>
      </x:c>
      <x:c r="L267" s="85" t="str">
        <x:f>IF(B267="","",IF(COUNTIFS('계정비교'!$A$5:$A$1004,B267,'계정비교'!$H$5:$H$1004,"원인분석 대상")&gt;0,COUNT($L$4:L266)+1,""))</x:f>
      </x:c>
    </x:row>
    <x:row r="268">
      <x:c r="A268" s="73" t="str">
        <x:f>IF('전기원장'!A268="","","전기")</x:f>
      </x:c>
      <x:c r="B268" s="73" t="str">
        <x:f>IF('전기원장'!A268="","",'전기원장'!A268)</x:f>
      </x:c>
      <x:c r="C268" s="73" t="str">
        <x:f>IF('전기원장'!A268="","",'전기원장'!B268)</x:f>
      </x:c>
      <x:c r="D268" s="74" t="str">
        <x:f>IF('전기원장'!A268="","",'전기원장'!C268)</x:f>
      </x:c>
      <x:c r="E268" s="73" t="str">
        <x:f>IF('전기원장'!A268="","",'전기원장'!D268)</x:f>
      </x:c>
      <x:c r="F268" s="73" t="str">
        <x:f>IF('전기원장'!A268="","",'전기원장'!E268)</x:f>
      </x:c>
      <x:c r="G268" s="75" t="str">
        <x:f>IF('전기원장'!A268="","",'전기원장'!H268)</x:f>
      </x:c>
      <x:c r="H268" s="73" t="str">
        <x:f>IF('전기원장'!A268="","",'전기원장'!I268)</x:f>
      </x:c>
      <x:c r="I268" s="73" t="str">
        <x:f>IF('전기원장'!A268="","",'전기원장'!J268)</x:f>
      </x:c>
      <x:c r="J268" s="73" t="str">
        <x:f>IF('전기원장'!A268="","",'전기원장'!K268)</x:f>
      </x:c>
      <x:c r="K268" s="73" t="str">
        <x:f>IF(B268="","",IF(COUNTIF($B$5:B268,B268)=1,COUNT($K$4:K267)+1,""))</x:f>
      </x:c>
      <x:c r="L268" s="85" t="str">
        <x:f>IF(B268="","",IF(COUNTIFS('계정비교'!$A$5:$A$1004,B268,'계정비교'!$H$5:$H$1004,"원인분석 대상")&gt;0,COUNT($L$4:L267)+1,""))</x:f>
      </x:c>
    </x:row>
    <x:row r="269">
      <x:c r="A269" s="73" t="str">
        <x:f>IF('전기원장'!A269="","","전기")</x:f>
      </x:c>
      <x:c r="B269" s="73" t="str">
        <x:f>IF('전기원장'!A269="","",'전기원장'!A269)</x:f>
      </x:c>
      <x:c r="C269" s="73" t="str">
        <x:f>IF('전기원장'!A269="","",'전기원장'!B269)</x:f>
      </x:c>
      <x:c r="D269" s="74" t="str">
        <x:f>IF('전기원장'!A269="","",'전기원장'!C269)</x:f>
      </x:c>
      <x:c r="E269" s="73" t="str">
        <x:f>IF('전기원장'!A269="","",'전기원장'!D269)</x:f>
      </x:c>
      <x:c r="F269" s="73" t="str">
        <x:f>IF('전기원장'!A269="","",'전기원장'!E269)</x:f>
      </x:c>
      <x:c r="G269" s="75" t="str">
        <x:f>IF('전기원장'!A269="","",'전기원장'!H269)</x:f>
      </x:c>
      <x:c r="H269" s="73" t="str">
        <x:f>IF('전기원장'!A269="","",'전기원장'!I269)</x:f>
      </x:c>
      <x:c r="I269" s="73" t="str">
        <x:f>IF('전기원장'!A269="","",'전기원장'!J269)</x:f>
      </x:c>
      <x:c r="J269" s="73" t="str">
        <x:f>IF('전기원장'!A269="","",'전기원장'!K269)</x:f>
      </x:c>
      <x:c r="K269" s="73" t="str">
        <x:f>IF(B269="","",IF(COUNTIF($B$5:B269,B269)=1,COUNT($K$4:K268)+1,""))</x:f>
      </x:c>
      <x:c r="L269" s="85" t="str">
        <x:f>IF(B269="","",IF(COUNTIFS('계정비교'!$A$5:$A$1004,B269,'계정비교'!$H$5:$H$1004,"원인분석 대상")&gt;0,COUNT($L$4:L268)+1,""))</x:f>
      </x:c>
    </x:row>
    <x:row r="270">
      <x:c r="A270" s="73" t="str">
        <x:f>IF('전기원장'!A270="","","전기")</x:f>
      </x:c>
      <x:c r="B270" s="73" t="str">
        <x:f>IF('전기원장'!A270="","",'전기원장'!A270)</x:f>
      </x:c>
      <x:c r="C270" s="73" t="str">
        <x:f>IF('전기원장'!A270="","",'전기원장'!B270)</x:f>
      </x:c>
      <x:c r="D270" s="74" t="str">
        <x:f>IF('전기원장'!A270="","",'전기원장'!C270)</x:f>
      </x:c>
      <x:c r="E270" s="73" t="str">
        <x:f>IF('전기원장'!A270="","",'전기원장'!D270)</x:f>
      </x:c>
      <x:c r="F270" s="73" t="str">
        <x:f>IF('전기원장'!A270="","",'전기원장'!E270)</x:f>
      </x:c>
      <x:c r="G270" s="75" t="str">
        <x:f>IF('전기원장'!A270="","",'전기원장'!H270)</x:f>
      </x:c>
      <x:c r="H270" s="73" t="str">
        <x:f>IF('전기원장'!A270="","",'전기원장'!I270)</x:f>
      </x:c>
      <x:c r="I270" s="73" t="str">
        <x:f>IF('전기원장'!A270="","",'전기원장'!J270)</x:f>
      </x:c>
      <x:c r="J270" s="73" t="str">
        <x:f>IF('전기원장'!A270="","",'전기원장'!K270)</x:f>
      </x:c>
      <x:c r="K270" s="73" t="str">
        <x:f>IF(B270="","",IF(COUNTIF($B$5:B270,B270)=1,COUNT($K$4:K269)+1,""))</x:f>
      </x:c>
      <x:c r="L270" s="85" t="str">
        <x:f>IF(B270="","",IF(COUNTIFS('계정비교'!$A$5:$A$1004,B270,'계정비교'!$H$5:$H$1004,"원인분석 대상")&gt;0,COUNT($L$4:L269)+1,""))</x:f>
      </x:c>
    </x:row>
    <x:row r="271">
      <x:c r="A271" s="73" t="str">
        <x:f>IF('전기원장'!A271="","","전기")</x:f>
      </x:c>
      <x:c r="B271" s="73" t="str">
        <x:f>IF('전기원장'!A271="","",'전기원장'!A271)</x:f>
      </x:c>
      <x:c r="C271" s="73" t="str">
        <x:f>IF('전기원장'!A271="","",'전기원장'!B271)</x:f>
      </x:c>
      <x:c r="D271" s="74" t="str">
        <x:f>IF('전기원장'!A271="","",'전기원장'!C271)</x:f>
      </x:c>
      <x:c r="E271" s="73" t="str">
        <x:f>IF('전기원장'!A271="","",'전기원장'!D271)</x:f>
      </x:c>
      <x:c r="F271" s="73" t="str">
        <x:f>IF('전기원장'!A271="","",'전기원장'!E271)</x:f>
      </x:c>
      <x:c r="G271" s="75" t="str">
        <x:f>IF('전기원장'!A271="","",'전기원장'!H271)</x:f>
      </x:c>
      <x:c r="H271" s="73" t="str">
        <x:f>IF('전기원장'!A271="","",'전기원장'!I271)</x:f>
      </x:c>
      <x:c r="I271" s="73" t="str">
        <x:f>IF('전기원장'!A271="","",'전기원장'!J271)</x:f>
      </x:c>
      <x:c r="J271" s="73" t="str">
        <x:f>IF('전기원장'!A271="","",'전기원장'!K271)</x:f>
      </x:c>
      <x:c r="K271" s="73" t="str">
        <x:f>IF(B271="","",IF(COUNTIF($B$5:B271,B271)=1,COUNT($K$4:K270)+1,""))</x:f>
      </x:c>
      <x:c r="L271" s="85" t="str">
        <x:f>IF(B271="","",IF(COUNTIFS('계정비교'!$A$5:$A$1004,B271,'계정비교'!$H$5:$H$1004,"원인분석 대상")&gt;0,COUNT($L$4:L270)+1,""))</x:f>
      </x:c>
    </x:row>
    <x:row r="272">
      <x:c r="A272" s="73" t="str">
        <x:f>IF('전기원장'!A272="","","전기")</x:f>
      </x:c>
      <x:c r="B272" s="73" t="str">
        <x:f>IF('전기원장'!A272="","",'전기원장'!A272)</x:f>
      </x:c>
      <x:c r="C272" s="73" t="str">
        <x:f>IF('전기원장'!A272="","",'전기원장'!B272)</x:f>
      </x:c>
      <x:c r="D272" s="74" t="str">
        <x:f>IF('전기원장'!A272="","",'전기원장'!C272)</x:f>
      </x:c>
      <x:c r="E272" s="73" t="str">
        <x:f>IF('전기원장'!A272="","",'전기원장'!D272)</x:f>
      </x:c>
      <x:c r="F272" s="73" t="str">
        <x:f>IF('전기원장'!A272="","",'전기원장'!E272)</x:f>
      </x:c>
      <x:c r="G272" s="75" t="str">
        <x:f>IF('전기원장'!A272="","",'전기원장'!H272)</x:f>
      </x:c>
      <x:c r="H272" s="73" t="str">
        <x:f>IF('전기원장'!A272="","",'전기원장'!I272)</x:f>
      </x:c>
      <x:c r="I272" s="73" t="str">
        <x:f>IF('전기원장'!A272="","",'전기원장'!J272)</x:f>
      </x:c>
      <x:c r="J272" s="73" t="str">
        <x:f>IF('전기원장'!A272="","",'전기원장'!K272)</x:f>
      </x:c>
      <x:c r="K272" s="73" t="str">
        <x:f>IF(B272="","",IF(COUNTIF($B$5:B272,B272)=1,COUNT($K$4:K271)+1,""))</x:f>
      </x:c>
      <x:c r="L272" s="85" t="str">
        <x:f>IF(B272="","",IF(COUNTIFS('계정비교'!$A$5:$A$1004,B272,'계정비교'!$H$5:$H$1004,"원인분석 대상")&gt;0,COUNT($L$4:L271)+1,""))</x:f>
      </x:c>
    </x:row>
    <x:row r="273">
      <x:c r="A273" s="73" t="str">
        <x:f>IF('전기원장'!A273="","","전기")</x:f>
      </x:c>
      <x:c r="B273" s="73" t="str">
        <x:f>IF('전기원장'!A273="","",'전기원장'!A273)</x:f>
      </x:c>
      <x:c r="C273" s="73" t="str">
        <x:f>IF('전기원장'!A273="","",'전기원장'!B273)</x:f>
      </x:c>
      <x:c r="D273" s="74" t="str">
        <x:f>IF('전기원장'!A273="","",'전기원장'!C273)</x:f>
      </x:c>
      <x:c r="E273" s="73" t="str">
        <x:f>IF('전기원장'!A273="","",'전기원장'!D273)</x:f>
      </x:c>
      <x:c r="F273" s="73" t="str">
        <x:f>IF('전기원장'!A273="","",'전기원장'!E273)</x:f>
      </x:c>
      <x:c r="G273" s="75" t="str">
        <x:f>IF('전기원장'!A273="","",'전기원장'!H273)</x:f>
      </x:c>
      <x:c r="H273" s="73" t="str">
        <x:f>IF('전기원장'!A273="","",'전기원장'!I273)</x:f>
      </x:c>
      <x:c r="I273" s="73" t="str">
        <x:f>IF('전기원장'!A273="","",'전기원장'!J273)</x:f>
      </x:c>
      <x:c r="J273" s="73" t="str">
        <x:f>IF('전기원장'!A273="","",'전기원장'!K273)</x:f>
      </x:c>
      <x:c r="K273" s="73" t="str">
        <x:f>IF(B273="","",IF(COUNTIF($B$5:B273,B273)=1,COUNT($K$4:K272)+1,""))</x:f>
      </x:c>
      <x:c r="L273" s="85" t="str">
        <x:f>IF(B273="","",IF(COUNTIFS('계정비교'!$A$5:$A$1004,B273,'계정비교'!$H$5:$H$1004,"원인분석 대상")&gt;0,COUNT($L$4:L272)+1,""))</x:f>
      </x:c>
    </x:row>
    <x:row r="274">
      <x:c r="A274" s="73" t="str">
        <x:f>IF('전기원장'!A274="","","전기")</x:f>
      </x:c>
      <x:c r="B274" s="73" t="str">
        <x:f>IF('전기원장'!A274="","",'전기원장'!A274)</x:f>
      </x:c>
      <x:c r="C274" s="73" t="str">
        <x:f>IF('전기원장'!A274="","",'전기원장'!B274)</x:f>
      </x:c>
      <x:c r="D274" s="74" t="str">
        <x:f>IF('전기원장'!A274="","",'전기원장'!C274)</x:f>
      </x:c>
      <x:c r="E274" s="73" t="str">
        <x:f>IF('전기원장'!A274="","",'전기원장'!D274)</x:f>
      </x:c>
      <x:c r="F274" s="73" t="str">
        <x:f>IF('전기원장'!A274="","",'전기원장'!E274)</x:f>
      </x:c>
      <x:c r="G274" s="75" t="str">
        <x:f>IF('전기원장'!A274="","",'전기원장'!H274)</x:f>
      </x:c>
      <x:c r="H274" s="73" t="str">
        <x:f>IF('전기원장'!A274="","",'전기원장'!I274)</x:f>
      </x:c>
      <x:c r="I274" s="73" t="str">
        <x:f>IF('전기원장'!A274="","",'전기원장'!J274)</x:f>
      </x:c>
      <x:c r="J274" s="73" t="str">
        <x:f>IF('전기원장'!A274="","",'전기원장'!K274)</x:f>
      </x:c>
      <x:c r="K274" s="73" t="str">
        <x:f>IF(B274="","",IF(COUNTIF($B$5:B274,B274)=1,COUNT($K$4:K273)+1,""))</x:f>
      </x:c>
      <x:c r="L274" s="85" t="str">
        <x:f>IF(B274="","",IF(COUNTIFS('계정비교'!$A$5:$A$1004,B274,'계정비교'!$H$5:$H$1004,"원인분석 대상")&gt;0,COUNT($L$4:L273)+1,""))</x:f>
      </x:c>
    </x:row>
    <x:row r="275">
      <x:c r="A275" s="73" t="str">
        <x:f>IF('전기원장'!A275="","","전기")</x:f>
      </x:c>
      <x:c r="B275" s="73" t="str">
        <x:f>IF('전기원장'!A275="","",'전기원장'!A275)</x:f>
      </x:c>
      <x:c r="C275" s="73" t="str">
        <x:f>IF('전기원장'!A275="","",'전기원장'!B275)</x:f>
      </x:c>
      <x:c r="D275" s="74" t="str">
        <x:f>IF('전기원장'!A275="","",'전기원장'!C275)</x:f>
      </x:c>
      <x:c r="E275" s="73" t="str">
        <x:f>IF('전기원장'!A275="","",'전기원장'!D275)</x:f>
      </x:c>
      <x:c r="F275" s="73" t="str">
        <x:f>IF('전기원장'!A275="","",'전기원장'!E275)</x:f>
      </x:c>
      <x:c r="G275" s="75" t="str">
        <x:f>IF('전기원장'!A275="","",'전기원장'!H275)</x:f>
      </x:c>
      <x:c r="H275" s="73" t="str">
        <x:f>IF('전기원장'!A275="","",'전기원장'!I275)</x:f>
      </x:c>
      <x:c r="I275" s="73" t="str">
        <x:f>IF('전기원장'!A275="","",'전기원장'!J275)</x:f>
      </x:c>
      <x:c r="J275" s="73" t="str">
        <x:f>IF('전기원장'!A275="","",'전기원장'!K275)</x:f>
      </x:c>
      <x:c r="K275" s="73" t="str">
        <x:f>IF(B275="","",IF(COUNTIF($B$5:B275,B275)=1,COUNT($K$4:K274)+1,""))</x:f>
      </x:c>
      <x:c r="L275" s="85" t="str">
        <x:f>IF(B275="","",IF(COUNTIFS('계정비교'!$A$5:$A$1004,B275,'계정비교'!$H$5:$H$1004,"원인분석 대상")&gt;0,COUNT($L$4:L274)+1,""))</x:f>
      </x:c>
    </x:row>
    <x:row r="276">
      <x:c r="A276" s="73" t="str">
        <x:f>IF('전기원장'!A276="","","전기")</x:f>
      </x:c>
      <x:c r="B276" s="73" t="str">
        <x:f>IF('전기원장'!A276="","",'전기원장'!A276)</x:f>
      </x:c>
      <x:c r="C276" s="73" t="str">
        <x:f>IF('전기원장'!A276="","",'전기원장'!B276)</x:f>
      </x:c>
      <x:c r="D276" s="74" t="str">
        <x:f>IF('전기원장'!A276="","",'전기원장'!C276)</x:f>
      </x:c>
      <x:c r="E276" s="73" t="str">
        <x:f>IF('전기원장'!A276="","",'전기원장'!D276)</x:f>
      </x:c>
      <x:c r="F276" s="73" t="str">
        <x:f>IF('전기원장'!A276="","",'전기원장'!E276)</x:f>
      </x:c>
      <x:c r="G276" s="75" t="str">
        <x:f>IF('전기원장'!A276="","",'전기원장'!H276)</x:f>
      </x:c>
      <x:c r="H276" s="73" t="str">
        <x:f>IF('전기원장'!A276="","",'전기원장'!I276)</x:f>
      </x:c>
      <x:c r="I276" s="73" t="str">
        <x:f>IF('전기원장'!A276="","",'전기원장'!J276)</x:f>
      </x:c>
      <x:c r="J276" s="73" t="str">
        <x:f>IF('전기원장'!A276="","",'전기원장'!K276)</x:f>
      </x:c>
      <x:c r="K276" s="73" t="str">
        <x:f>IF(B276="","",IF(COUNTIF($B$5:B276,B276)=1,COUNT($K$4:K275)+1,""))</x:f>
      </x:c>
      <x:c r="L276" s="85" t="str">
        <x:f>IF(B276="","",IF(COUNTIFS('계정비교'!$A$5:$A$1004,B276,'계정비교'!$H$5:$H$1004,"원인분석 대상")&gt;0,COUNT($L$4:L275)+1,""))</x:f>
      </x:c>
    </x:row>
    <x:row r="277">
      <x:c r="A277" s="73" t="str">
        <x:f>IF('전기원장'!A277="","","전기")</x:f>
      </x:c>
      <x:c r="B277" s="73" t="str">
        <x:f>IF('전기원장'!A277="","",'전기원장'!A277)</x:f>
      </x:c>
      <x:c r="C277" s="73" t="str">
        <x:f>IF('전기원장'!A277="","",'전기원장'!B277)</x:f>
      </x:c>
      <x:c r="D277" s="74" t="str">
        <x:f>IF('전기원장'!A277="","",'전기원장'!C277)</x:f>
      </x:c>
      <x:c r="E277" s="73" t="str">
        <x:f>IF('전기원장'!A277="","",'전기원장'!D277)</x:f>
      </x:c>
      <x:c r="F277" s="73" t="str">
        <x:f>IF('전기원장'!A277="","",'전기원장'!E277)</x:f>
      </x:c>
      <x:c r="G277" s="75" t="str">
        <x:f>IF('전기원장'!A277="","",'전기원장'!H277)</x:f>
      </x:c>
      <x:c r="H277" s="73" t="str">
        <x:f>IF('전기원장'!A277="","",'전기원장'!I277)</x:f>
      </x:c>
      <x:c r="I277" s="73" t="str">
        <x:f>IF('전기원장'!A277="","",'전기원장'!J277)</x:f>
      </x:c>
      <x:c r="J277" s="73" t="str">
        <x:f>IF('전기원장'!A277="","",'전기원장'!K277)</x:f>
      </x:c>
      <x:c r="K277" s="73" t="str">
        <x:f>IF(B277="","",IF(COUNTIF($B$5:B277,B277)=1,COUNT($K$4:K276)+1,""))</x:f>
      </x:c>
      <x:c r="L277" s="85" t="str">
        <x:f>IF(B277="","",IF(COUNTIFS('계정비교'!$A$5:$A$1004,B277,'계정비교'!$H$5:$H$1004,"원인분석 대상")&gt;0,COUNT($L$4:L276)+1,""))</x:f>
      </x:c>
    </x:row>
    <x:row r="278">
      <x:c r="A278" s="73" t="str">
        <x:f>IF('전기원장'!A278="","","전기")</x:f>
      </x:c>
      <x:c r="B278" s="73" t="str">
        <x:f>IF('전기원장'!A278="","",'전기원장'!A278)</x:f>
      </x:c>
      <x:c r="C278" s="73" t="str">
        <x:f>IF('전기원장'!A278="","",'전기원장'!B278)</x:f>
      </x:c>
      <x:c r="D278" s="74" t="str">
        <x:f>IF('전기원장'!A278="","",'전기원장'!C278)</x:f>
      </x:c>
      <x:c r="E278" s="73" t="str">
        <x:f>IF('전기원장'!A278="","",'전기원장'!D278)</x:f>
      </x:c>
      <x:c r="F278" s="73" t="str">
        <x:f>IF('전기원장'!A278="","",'전기원장'!E278)</x:f>
      </x:c>
      <x:c r="G278" s="75" t="str">
        <x:f>IF('전기원장'!A278="","",'전기원장'!H278)</x:f>
      </x:c>
      <x:c r="H278" s="73" t="str">
        <x:f>IF('전기원장'!A278="","",'전기원장'!I278)</x:f>
      </x:c>
      <x:c r="I278" s="73" t="str">
        <x:f>IF('전기원장'!A278="","",'전기원장'!J278)</x:f>
      </x:c>
      <x:c r="J278" s="73" t="str">
        <x:f>IF('전기원장'!A278="","",'전기원장'!K278)</x:f>
      </x:c>
      <x:c r="K278" s="73" t="str">
        <x:f>IF(B278="","",IF(COUNTIF($B$5:B278,B278)=1,COUNT($K$4:K277)+1,""))</x:f>
      </x:c>
      <x:c r="L278" s="85" t="str">
        <x:f>IF(B278="","",IF(COUNTIFS('계정비교'!$A$5:$A$1004,B278,'계정비교'!$H$5:$H$1004,"원인분석 대상")&gt;0,COUNT($L$4:L277)+1,""))</x:f>
      </x:c>
    </x:row>
    <x:row r="279">
      <x:c r="A279" s="73" t="str">
        <x:f>IF('전기원장'!A279="","","전기")</x:f>
      </x:c>
      <x:c r="B279" s="73" t="str">
        <x:f>IF('전기원장'!A279="","",'전기원장'!A279)</x:f>
      </x:c>
      <x:c r="C279" s="73" t="str">
        <x:f>IF('전기원장'!A279="","",'전기원장'!B279)</x:f>
      </x:c>
      <x:c r="D279" s="74" t="str">
        <x:f>IF('전기원장'!A279="","",'전기원장'!C279)</x:f>
      </x:c>
      <x:c r="E279" s="73" t="str">
        <x:f>IF('전기원장'!A279="","",'전기원장'!D279)</x:f>
      </x:c>
      <x:c r="F279" s="73" t="str">
        <x:f>IF('전기원장'!A279="","",'전기원장'!E279)</x:f>
      </x:c>
      <x:c r="G279" s="75" t="str">
        <x:f>IF('전기원장'!A279="","",'전기원장'!H279)</x:f>
      </x:c>
      <x:c r="H279" s="73" t="str">
        <x:f>IF('전기원장'!A279="","",'전기원장'!I279)</x:f>
      </x:c>
      <x:c r="I279" s="73" t="str">
        <x:f>IF('전기원장'!A279="","",'전기원장'!J279)</x:f>
      </x:c>
      <x:c r="J279" s="73" t="str">
        <x:f>IF('전기원장'!A279="","",'전기원장'!K279)</x:f>
      </x:c>
      <x:c r="K279" s="73" t="str">
        <x:f>IF(B279="","",IF(COUNTIF($B$5:B279,B279)=1,COUNT($K$4:K278)+1,""))</x:f>
      </x:c>
      <x:c r="L279" s="85" t="str">
        <x:f>IF(B279="","",IF(COUNTIFS('계정비교'!$A$5:$A$1004,B279,'계정비교'!$H$5:$H$1004,"원인분석 대상")&gt;0,COUNT($L$4:L278)+1,""))</x:f>
      </x:c>
    </x:row>
    <x:row r="280">
      <x:c r="A280" s="73" t="str">
        <x:f>IF('전기원장'!A280="","","전기")</x:f>
      </x:c>
      <x:c r="B280" s="73" t="str">
        <x:f>IF('전기원장'!A280="","",'전기원장'!A280)</x:f>
      </x:c>
      <x:c r="C280" s="73" t="str">
        <x:f>IF('전기원장'!A280="","",'전기원장'!B280)</x:f>
      </x:c>
      <x:c r="D280" s="74" t="str">
        <x:f>IF('전기원장'!A280="","",'전기원장'!C280)</x:f>
      </x:c>
      <x:c r="E280" s="73" t="str">
        <x:f>IF('전기원장'!A280="","",'전기원장'!D280)</x:f>
      </x:c>
      <x:c r="F280" s="73" t="str">
        <x:f>IF('전기원장'!A280="","",'전기원장'!E280)</x:f>
      </x:c>
      <x:c r="G280" s="75" t="str">
        <x:f>IF('전기원장'!A280="","",'전기원장'!H280)</x:f>
      </x:c>
      <x:c r="H280" s="73" t="str">
        <x:f>IF('전기원장'!A280="","",'전기원장'!I280)</x:f>
      </x:c>
      <x:c r="I280" s="73" t="str">
        <x:f>IF('전기원장'!A280="","",'전기원장'!J280)</x:f>
      </x:c>
      <x:c r="J280" s="73" t="str">
        <x:f>IF('전기원장'!A280="","",'전기원장'!K280)</x:f>
      </x:c>
      <x:c r="K280" s="73" t="str">
        <x:f>IF(B280="","",IF(COUNTIF($B$5:B280,B280)=1,COUNT($K$4:K279)+1,""))</x:f>
      </x:c>
      <x:c r="L280" s="85" t="str">
        <x:f>IF(B280="","",IF(COUNTIFS('계정비교'!$A$5:$A$1004,B280,'계정비교'!$H$5:$H$1004,"원인분석 대상")&gt;0,COUNT($L$4:L279)+1,""))</x:f>
      </x:c>
    </x:row>
    <x:row r="281">
      <x:c r="A281" s="73" t="str">
        <x:f>IF('전기원장'!A281="","","전기")</x:f>
      </x:c>
      <x:c r="B281" s="73" t="str">
        <x:f>IF('전기원장'!A281="","",'전기원장'!A281)</x:f>
      </x:c>
      <x:c r="C281" s="73" t="str">
        <x:f>IF('전기원장'!A281="","",'전기원장'!B281)</x:f>
      </x:c>
      <x:c r="D281" s="74" t="str">
        <x:f>IF('전기원장'!A281="","",'전기원장'!C281)</x:f>
      </x:c>
      <x:c r="E281" s="73" t="str">
        <x:f>IF('전기원장'!A281="","",'전기원장'!D281)</x:f>
      </x:c>
      <x:c r="F281" s="73" t="str">
        <x:f>IF('전기원장'!A281="","",'전기원장'!E281)</x:f>
      </x:c>
      <x:c r="G281" s="75" t="str">
        <x:f>IF('전기원장'!A281="","",'전기원장'!H281)</x:f>
      </x:c>
      <x:c r="H281" s="73" t="str">
        <x:f>IF('전기원장'!A281="","",'전기원장'!I281)</x:f>
      </x:c>
      <x:c r="I281" s="73" t="str">
        <x:f>IF('전기원장'!A281="","",'전기원장'!J281)</x:f>
      </x:c>
      <x:c r="J281" s="73" t="str">
        <x:f>IF('전기원장'!A281="","",'전기원장'!K281)</x:f>
      </x:c>
      <x:c r="K281" s="73" t="str">
        <x:f>IF(B281="","",IF(COUNTIF($B$5:B281,B281)=1,COUNT($K$4:K280)+1,""))</x:f>
      </x:c>
      <x:c r="L281" s="85" t="str">
        <x:f>IF(B281="","",IF(COUNTIFS('계정비교'!$A$5:$A$1004,B281,'계정비교'!$H$5:$H$1004,"원인분석 대상")&gt;0,COUNT($L$4:L280)+1,""))</x:f>
      </x:c>
    </x:row>
    <x:row r="282">
      <x:c r="A282" s="73" t="str">
        <x:f>IF('전기원장'!A282="","","전기")</x:f>
      </x:c>
      <x:c r="B282" s="73" t="str">
        <x:f>IF('전기원장'!A282="","",'전기원장'!A282)</x:f>
      </x:c>
      <x:c r="C282" s="73" t="str">
        <x:f>IF('전기원장'!A282="","",'전기원장'!B282)</x:f>
      </x:c>
      <x:c r="D282" s="74" t="str">
        <x:f>IF('전기원장'!A282="","",'전기원장'!C282)</x:f>
      </x:c>
      <x:c r="E282" s="73" t="str">
        <x:f>IF('전기원장'!A282="","",'전기원장'!D282)</x:f>
      </x:c>
      <x:c r="F282" s="73" t="str">
        <x:f>IF('전기원장'!A282="","",'전기원장'!E282)</x:f>
      </x:c>
      <x:c r="G282" s="75" t="str">
        <x:f>IF('전기원장'!A282="","",'전기원장'!H282)</x:f>
      </x:c>
      <x:c r="H282" s="73" t="str">
        <x:f>IF('전기원장'!A282="","",'전기원장'!I282)</x:f>
      </x:c>
      <x:c r="I282" s="73" t="str">
        <x:f>IF('전기원장'!A282="","",'전기원장'!J282)</x:f>
      </x:c>
      <x:c r="J282" s="73" t="str">
        <x:f>IF('전기원장'!A282="","",'전기원장'!K282)</x:f>
      </x:c>
      <x:c r="K282" s="73" t="str">
        <x:f>IF(B282="","",IF(COUNTIF($B$5:B282,B282)=1,COUNT($K$4:K281)+1,""))</x:f>
      </x:c>
      <x:c r="L282" s="85" t="str">
        <x:f>IF(B282="","",IF(COUNTIFS('계정비교'!$A$5:$A$1004,B282,'계정비교'!$H$5:$H$1004,"원인분석 대상")&gt;0,COUNT($L$4:L281)+1,""))</x:f>
      </x:c>
    </x:row>
    <x:row r="283">
      <x:c r="A283" s="73" t="str">
        <x:f>IF('전기원장'!A283="","","전기")</x:f>
      </x:c>
      <x:c r="B283" s="73" t="str">
        <x:f>IF('전기원장'!A283="","",'전기원장'!A283)</x:f>
      </x:c>
      <x:c r="C283" s="73" t="str">
        <x:f>IF('전기원장'!A283="","",'전기원장'!B283)</x:f>
      </x:c>
      <x:c r="D283" s="74" t="str">
        <x:f>IF('전기원장'!A283="","",'전기원장'!C283)</x:f>
      </x:c>
      <x:c r="E283" s="73" t="str">
        <x:f>IF('전기원장'!A283="","",'전기원장'!D283)</x:f>
      </x:c>
      <x:c r="F283" s="73" t="str">
        <x:f>IF('전기원장'!A283="","",'전기원장'!E283)</x:f>
      </x:c>
      <x:c r="G283" s="75" t="str">
        <x:f>IF('전기원장'!A283="","",'전기원장'!H283)</x:f>
      </x:c>
      <x:c r="H283" s="73" t="str">
        <x:f>IF('전기원장'!A283="","",'전기원장'!I283)</x:f>
      </x:c>
      <x:c r="I283" s="73" t="str">
        <x:f>IF('전기원장'!A283="","",'전기원장'!J283)</x:f>
      </x:c>
      <x:c r="J283" s="73" t="str">
        <x:f>IF('전기원장'!A283="","",'전기원장'!K283)</x:f>
      </x:c>
      <x:c r="K283" s="73" t="str">
        <x:f>IF(B283="","",IF(COUNTIF($B$5:B283,B283)=1,COUNT($K$4:K282)+1,""))</x:f>
      </x:c>
      <x:c r="L283" s="85" t="str">
        <x:f>IF(B283="","",IF(COUNTIFS('계정비교'!$A$5:$A$1004,B283,'계정비교'!$H$5:$H$1004,"원인분석 대상")&gt;0,COUNT($L$4:L282)+1,""))</x:f>
      </x:c>
    </x:row>
    <x:row r="284">
      <x:c r="A284" s="73" t="str">
        <x:f>IF('전기원장'!A284="","","전기")</x:f>
      </x:c>
      <x:c r="B284" s="73" t="str">
        <x:f>IF('전기원장'!A284="","",'전기원장'!A284)</x:f>
      </x:c>
      <x:c r="C284" s="73" t="str">
        <x:f>IF('전기원장'!A284="","",'전기원장'!B284)</x:f>
      </x:c>
      <x:c r="D284" s="74" t="str">
        <x:f>IF('전기원장'!A284="","",'전기원장'!C284)</x:f>
      </x:c>
      <x:c r="E284" s="73" t="str">
        <x:f>IF('전기원장'!A284="","",'전기원장'!D284)</x:f>
      </x:c>
      <x:c r="F284" s="73" t="str">
        <x:f>IF('전기원장'!A284="","",'전기원장'!E284)</x:f>
      </x:c>
      <x:c r="G284" s="75" t="str">
        <x:f>IF('전기원장'!A284="","",'전기원장'!H284)</x:f>
      </x:c>
      <x:c r="H284" s="73" t="str">
        <x:f>IF('전기원장'!A284="","",'전기원장'!I284)</x:f>
      </x:c>
      <x:c r="I284" s="73" t="str">
        <x:f>IF('전기원장'!A284="","",'전기원장'!J284)</x:f>
      </x:c>
      <x:c r="J284" s="73" t="str">
        <x:f>IF('전기원장'!A284="","",'전기원장'!K284)</x:f>
      </x:c>
      <x:c r="K284" s="73" t="str">
        <x:f>IF(B284="","",IF(COUNTIF($B$5:B284,B284)=1,COUNT($K$4:K283)+1,""))</x:f>
      </x:c>
      <x:c r="L284" s="85" t="str">
        <x:f>IF(B284="","",IF(COUNTIFS('계정비교'!$A$5:$A$1004,B284,'계정비교'!$H$5:$H$1004,"원인분석 대상")&gt;0,COUNT($L$4:L283)+1,""))</x:f>
      </x:c>
    </x:row>
    <x:row r="285">
      <x:c r="A285" s="73" t="str">
        <x:f>IF('전기원장'!A285="","","전기")</x:f>
      </x:c>
      <x:c r="B285" s="73" t="str">
        <x:f>IF('전기원장'!A285="","",'전기원장'!A285)</x:f>
      </x:c>
      <x:c r="C285" s="73" t="str">
        <x:f>IF('전기원장'!A285="","",'전기원장'!B285)</x:f>
      </x:c>
      <x:c r="D285" s="74" t="str">
        <x:f>IF('전기원장'!A285="","",'전기원장'!C285)</x:f>
      </x:c>
      <x:c r="E285" s="73" t="str">
        <x:f>IF('전기원장'!A285="","",'전기원장'!D285)</x:f>
      </x:c>
      <x:c r="F285" s="73" t="str">
        <x:f>IF('전기원장'!A285="","",'전기원장'!E285)</x:f>
      </x:c>
      <x:c r="G285" s="75" t="str">
        <x:f>IF('전기원장'!A285="","",'전기원장'!H285)</x:f>
      </x:c>
      <x:c r="H285" s="73" t="str">
        <x:f>IF('전기원장'!A285="","",'전기원장'!I285)</x:f>
      </x:c>
      <x:c r="I285" s="73" t="str">
        <x:f>IF('전기원장'!A285="","",'전기원장'!J285)</x:f>
      </x:c>
      <x:c r="J285" s="73" t="str">
        <x:f>IF('전기원장'!A285="","",'전기원장'!K285)</x:f>
      </x:c>
      <x:c r="K285" s="73" t="str">
        <x:f>IF(B285="","",IF(COUNTIF($B$5:B285,B285)=1,COUNT($K$4:K284)+1,""))</x:f>
      </x:c>
      <x:c r="L285" s="85" t="str">
        <x:f>IF(B285="","",IF(COUNTIFS('계정비교'!$A$5:$A$1004,B285,'계정비교'!$H$5:$H$1004,"원인분석 대상")&gt;0,COUNT($L$4:L284)+1,""))</x:f>
      </x:c>
    </x:row>
    <x:row r="286">
      <x:c r="A286" s="73" t="str">
        <x:f>IF('전기원장'!A286="","","전기")</x:f>
      </x:c>
      <x:c r="B286" s="73" t="str">
        <x:f>IF('전기원장'!A286="","",'전기원장'!A286)</x:f>
      </x:c>
      <x:c r="C286" s="73" t="str">
        <x:f>IF('전기원장'!A286="","",'전기원장'!B286)</x:f>
      </x:c>
      <x:c r="D286" s="74" t="str">
        <x:f>IF('전기원장'!A286="","",'전기원장'!C286)</x:f>
      </x:c>
      <x:c r="E286" s="73" t="str">
        <x:f>IF('전기원장'!A286="","",'전기원장'!D286)</x:f>
      </x:c>
      <x:c r="F286" s="73" t="str">
        <x:f>IF('전기원장'!A286="","",'전기원장'!E286)</x:f>
      </x:c>
      <x:c r="G286" s="75" t="str">
        <x:f>IF('전기원장'!A286="","",'전기원장'!H286)</x:f>
      </x:c>
      <x:c r="H286" s="73" t="str">
        <x:f>IF('전기원장'!A286="","",'전기원장'!I286)</x:f>
      </x:c>
      <x:c r="I286" s="73" t="str">
        <x:f>IF('전기원장'!A286="","",'전기원장'!J286)</x:f>
      </x:c>
      <x:c r="J286" s="73" t="str">
        <x:f>IF('전기원장'!A286="","",'전기원장'!K286)</x:f>
      </x:c>
      <x:c r="K286" s="73" t="str">
        <x:f>IF(B286="","",IF(COUNTIF($B$5:B286,B286)=1,COUNT($K$4:K285)+1,""))</x:f>
      </x:c>
      <x:c r="L286" s="85" t="str">
        <x:f>IF(B286="","",IF(COUNTIFS('계정비교'!$A$5:$A$1004,B286,'계정비교'!$H$5:$H$1004,"원인분석 대상")&gt;0,COUNT($L$4:L285)+1,""))</x:f>
      </x:c>
    </x:row>
    <x:row r="287">
      <x:c r="A287" s="73" t="str">
        <x:f>IF('전기원장'!A287="","","전기")</x:f>
      </x:c>
      <x:c r="B287" s="73" t="str">
        <x:f>IF('전기원장'!A287="","",'전기원장'!A287)</x:f>
      </x:c>
      <x:c r="C287" s="73" t="str">
        <x:f>IF('전기원장'!A287="","",'전기원장'!B287)</x:f>
      </x:c>
      <x:c r="D287" s="74" t="str">
        <x:f>IF('전기원장'!A287="","",'전기원장'!C287)</x:f>
      </x:c>
      <x:c r="E287" s="73" t="str">
        <x:f>IF('전기원장'!A287="","",'전기원장'!D287)</x:f>
      </x:c>
      <x:c r="F287" s="73" t="str">
        <x:f>IF('전기원장'!A287="","",'전기원장'!E287)</x:f>
      </x:c>
      <x:c r="G287" s="75" t="str">
        <x:f>IF('전기원장'!A287="","",'전기원장'!H287)</x:f>
      </x:c>
      <x:c r="H287" s="73" t="str">
        <x:f>IF('전기원장'!A287="","",'전기원장'!I287)</x:f>
      </x:c>
      <x:c r="I287" s="73" t="str">
        <x:f>IF('전기원장'!A287="","",'전기원장'!J287)</x:f>
      </x:c>
      <x:c r="J287" s="73" t="str">
        <x:f>IF('전기원장'!A287="","",'전기원장'!K287)</x:f>
      </x:c>
      <x:c r="K287" s="73" t="str">
        <x:f>IF(B287="","",IF(COUNTIF($B$5:B287,B287)=1,COUNT($K$4:K286)+1,""))</x:f>
      </x:c>
      <x:c r="L287" s="85" t="str">
        <x:f>IF(B287="","",IF(COUNTIFS('계정비교'!$A$5:$A$1004,B287,'계정비교'!$H$5:$H$1004,"원인분석 대상")&gt;0,COUNT($L$4:L286)+1,""))</x:f>
      </x:c>
    </x:row>
    <x:row r="288">
      <x:c r="A288" s="73" t="str">
        <x:f>IF('전기원장'!A288="","","전기")</x:f>
      </x:c>
      <x:c r="B288" s="73" t="str">
        <x:f>IF('전기원장'!A288="","",'전기원장'!A288)</x:f>
      </x:c>
      <x:c r="C288" s="73" t="str">
        <x:f>IF('전기원장'!A288="","",'전기원장'!B288)</x:f>
      </x:c>
      <x:c r="D288" s="74" t="str">
        <x:f>IF('전기원장'!A288="","",'전기원장'!C288)</x:f>
      </x:c>
      <x:c r="E288" s="73" t="str">
        <x:f>IF('전기원장'!A288="","",'전기원장'!D288)</x:f>
      </x:c>
      <x:c r="F288" s="73" t="str">
        <x:f>IF('전기원장'!A288="","",'전기원장'!E288)</x:f>
      </x:c>
      <x:c r="G288" s="75" t="str">
        <x:f>IF('전기원장'!A288="","",'전기원장'!H288)</x:f>
      </x:c>
      <x:c r="H288" s="73" t="str">
        <x:f>IF('전기원장'!A288="","",'전기원장'!I288)</x:f>
      </x:c>
      <x:c r="I288" s="73" t="str">
        <x:f>IF('전기원장'!A288="","",'전기원장'!J288)</x:f>
      </x:c>
      <x:c r="J288" s="73" t="str">
        <x:f>IF('전기원장'!A288="","",'전기원장'!K288)</x:f>
      </x:c>
      <x:c r="K288" s="73" t="str">
        <x:f>IF(B288="","",IF(COUNTIF($B$5:B288,B288)=1,COUNT($K$4:K287)+1,""))</x:f>
      </x:c>
      <x:c r="L288" s="85" t="str">
        <x:f>IF(B288="","",IF(COUNTIFS('계정비교'!$A$5:$A$1004,B288,'계정비교'!$H$5:$H$1004,"원인분석 대상")&gt;0,COUNT($L$4:L287)+1,""))</x:f>
      </x:c>
    </x:row>
    <x:row r="289">
      <x:c r="A289" s="73" t="str">
        <x:f>IF('전기원장'!A289="","","전기")</x:f>
      </x:c>
      <x:c r="B289" s="73" t="str">
        <x:f>IF('전기원장'!A289="","",'전기원장'!A289)</x:f>
      </x:c>
      <x:c r="C289" s="73" t="str">
        <x:f>IF('전기원장'!A289="","",'전기원장'!B289)</x:f>
      </x:c>
      <x:c r="D289" s="74" t="str">
        <x:f>IF('전기원장'!A289="","",'전기원장'!C289)</x:f>
      </x:c>
      <x:c r="E289" s="73" t="str">
        <x:f>IF('전기원장'!A289="","",'전기원장'!D289)</x:f>
      </x:c>
      <x:c r="F289" s="73" t="str">
        <x:f>IF('전기원장'!A289="","",'전기원장'!E289)</x:f>
      </x:c>
      <x:c r="G289" s="75" t="str">
        <x:f>IF('전기원장'!A289="","",'전기원장'!H289)</x:f>
      </x:c>
      <x:c r="H289" s="73" t="str">
        <x:f>IF('전기원장'!A289="","",'전기원장'!I289)</x:f>
      </x:c>
      <x:c r="I289" s="73" t="str">
        <x:f>IF('전기원장'!A289="","",'전기원장'!J289)</x:f>
      </x:c>
      <x:c r="J289" s="73" t="str">
        <x:f>IF('전기원장'!A289="","",'전기원장'!K289)</x:f>
      </x:c>
      <x:c r="K289" s="73" t="str">
        <x:f>IF(B289="","",IF(COUNTIF($B$5:B289,B289)=1,COUNT($K$4:K288)+1,""))</x:f>
      </x:c>
      <x:c r="L289" s="85" t="str">
        <x:f>IF(B289="","",IF(COUNTIFS('계정비교'!$A$5:$A$1004,B289,'계정비교'!$H$5:$H$1004,"원인분석 대상")&gt;0,COUNT($L$4:L288)+1,""))</x:f>
      </x:c>
    </x:row>
    <x:row r="290">
      <x:c r="A290" s="73" t="str">
        <x:f>IF('전기원장'!A290="","","전기")</x:f>
      </x:c>
      <x:c r="B290" s="73" t="str">
        <x:f>IF('전기원장'!A290="","",'전기원장'!A290)</x:f>
      </x:c>
      <x:c r="C290" s="73" t="str">
        <x:f>IF('전기원장'!A290="","",'전기원장'!B290)</x:f>
      </x:c>
      <x:c r="D290" s="74" t="str">
        <x:f>IF('전기원장'!A290="","",'전기원장'!C290)</x:f>
      </x:c>
      <x:c r="E290" s="73" t="str">
        <x:f>IF('전기원장'!A290="","",'전기원장'!D290)</x:f>
      </x:c>
      <x:c r="F290" s="73" t="str">
        <x:f>IF('전기원장'!A290="","",'전기원장'!E290)</x:f>
      </x:c>
      <x:c r="G290" s="75" t="str">
        <x:f>IF('전기원장'!A290="","",'전기원장'!H290)</x:f>
      </x:c>
      <x:c r="H290" s="73" t="str">
        <x:f>IF('전기원장'!A290="","",'전기원장'!I290)</x:f>
      </x:c>
      <x:c r="I290" s="73" t="str">
        <x:f>IF('전기원장'!A290="","",'전기원장'!J290)</x:f>
      </x:c>
      <x:c r="J290" s="73" t="str">
        <x:f>IF('전기원장'!A290="","",'전기원장'!K290)</x:f>
      </x:c>
      <x:c r="K290" s="73" t="str">
        <x:f>IF(B290="","",IF(COUNTIF($B$5:B290,B290)=1,COUNT($K$4:K289)+1,""))</x:f>
      </x:c>
      <x:c r="L290" s="85" t="str">
        <x:f>IF(B290="","",IF(COUNTIFS('계정비교'!$A$5:$A$1004,B290,'계정비교'!$H$5:$H$1004,"원인분석 대상")&gt;0,COUNT($L$4:L289)+1,""))</x:f>
      </x:c>
    </x:row>
    <x:row r="291">
      <x:c r="A291" s="73" t="str">
        <x:f>IF('전기원장'!A291="","","전기")</x:f>
      </x:c>
      <x:c r="B291" s="73" t="str">
        <x:f>IF('전기원장'!A291="","",'전기원장'!A291)</x:f>
      </x:c>
      <x:c r="C291" s="73" t="str">
        <x:f>IF('전기원장'!A291="","",'전기원장'!B291)</x:f>
      </x:c>
      <x:c r="D291" s="74" t="str">
        <x:f>IF('전기원장'!A291="","",'전기원장'!C291)</x:f>
      </x:c>
      <x:c r="E291" s="73" t="str">
        <x:f>IF('전기원장'!A291="","",'전기원장'!D291)</x:f>
      </x:c>
      <x:c r="F291" s="73" t="str">
        <x:f>IF('전기원장'!A291="","",'전기원장'!E291)</x:f>
      </x:c>
      <x:c r="G291" s="75" t="str">
        <x:f>IF('전기원장'!A291="","",'전기원장'!H291)</x:f>
      </x:c>
      <x:c r="H291" s="73" t="str">
        <x:f>IF('전기원장'!A291="","",'전기원장'!I291)</x:f>
      </x:c>
      <x:c r="I291" s="73" t="str">
        <x:f>IF('전기원장'!A291="","",'전기원장'!J291)</x:f>
      </x:c>
      <x:c r="J291" s="73" t="str">
        <x:f>IF('전기원장'!A291="","",'전기원장'!K291)</x:f>
      </x:c>
      <x:c r="K291" s="73" t="str">
        <x:f>IF(B291="","",IF(COUNTIF($B$5:B291,B291)=1,COUNT($K$4:K290)+1,""))</x:f>
      </x:c>
      <x:c r="L291" s="85" t="str">
        <x:f>IF(B291="","",IF(COUNTIFS('계정비교'!$A$5:$A$1004,B291,'계정비교'!$H$5:$H$1004,"원인분석 대상")&gt;0,COUNT($L$4:L290)+1,""))</x:f>
      </x:c>
    </x:row>
    <x:row r="292">
      <x:c r="A292" s="73" t="str">
        <x:f>IF('전기원장'!A292="","","전기")</x:f>
      </x:c>
      <x:c r="B292" s="73" t="str">
        <x:f>IF('전기원장'!A292="","",'전기원장'!A292)</x:f>
      </x:c>
      <x:c r="C292" s="73" t="str">
        <x:f>IF('전기원장'!A292="","",'전기원장'!B292)</x:f>
      </x:c>
      <x:c r="D292" s="74" t="str">
        <x:f>IF('전기원장'!A292="","",'전기원장'!C292)</x:f>
      </x:c>
      <x:c r="E292" s="73" t="str">
        <x:f>IF('전기원장'!A292="","",'전기원장'!D292)</x:f>
      </x:c>
      <x:c r="F292" s="73" t="str">
        <x:f>IF('전기원장'!A292="","",'전기원장'!E292)</x:f>
      </x:c>
      <x:c r="G292" s="75" t="str">
        <x:f>IF('전기원장'!A292="","",'전기원장'!H292)</x:f>
      </x:c>
      <x:c r="H292" s="73" t="str">
        <x:f>IF('전기원장'!A292="","",'전기원장'!I292)</x:f>
      </x:c>
      <x:c r="I292" s="73" t="str">
        <x:f>IF('전기원장'!A292="","",'전기원장'!J292)</x:f>
      </x:c>
      <x:c r="J292" s="73" t="str">
        <x:f>IF('전기원장'!A292="","",'전기원장'!K292)</x:f>
      </x:c>
      <x:c r="K292" s="73" t="str">
        <x:f>IF(B292="","",IF(COUNTIF($B$5:B292,B292)=1,COUNT($K$4:K291)+1,""))</x:f>
      </x:c>
      <x:c r="L292" s="85" t="str">
        <x:f>IF(B292="","",IF(COUNTIFS('계정비교'!$A$5:$A$1004,B292,'계정비교'!$H$5:$H$1004,"원인분석 대상")&gt;0,COUNT($L$4:L291)+1,""))</x:f>
      </x:c>
    </x:row>
    <x:row r="293">
      <x:c r="A293" s="73" t="str">
        <x:f>IF('전기원장'!A293="","","전기")</x:f>
      </x:c>
      <x:c r="B293" s="73" t="str">
        <x:f>IF('전기원장'!A293="","",'전기원장'!A293)</x:f>
      </x:c>
      <x:c r="C293" s="73" t="str">
        <x:f>IF('전기원장'!A293="","",'전기원장'!B293)</x:f>
      </x:c>
      <x:c r="D293" s="74" t="str">
        <x:f>IF('전기원장'!A293="","",'전기원장'!C293)</x:f>
      </x:c>
      <x:c r="E293" s="73" t="str">
        <x:f>IF('전기원장'!A293="","",'전기원장'!D293)</x:f>
      </x:c>
      <x:c r="F293" s="73" t="str">
        <x:f>IF('전기원장'!A293="","",'전기원장'!E293)</x:f>
      </x:c>
      <x:c r="G293" s="75" t="str">
        <x:f>IF('전기원장'!A293="","",'전기원장'!H293)</x:f>
      </x:c>
      <x:c r="H293" s="73" t="str">
        <x:f>IF('전기원장'!A293="","",'전기원장'!I293)</x:f>
      </x:c>
      <x:c r="I293" s="73" t="str">
        <x:f>IF('전기원장'!A293="","",'전기원장'!J293)</x:f>
      </x:c>
      <x:c r="J293" s="73" t="str">
        <x:f>IF('전기원장'!A293="","",'전기원장'!K293)</x:f>
      </x:c>
      <x:c r="K293" s="73" t="str">
        <x:f>IF(B293="","",IF(COUNTIF($B$5:B293,B293)=1,COUNT($K$4:K292)+1,""))</x:f>
      </x:c>
      <x:c r="L293" s="85" t="str">
        <x:f>IF(B293="","",IF(COUNTIFS('계정비교'!$A$5:$A$1004,B293,'계정비교'!$H$5:$H$1004,"원인분석 대상")&gt;0,COUNT($L$4:L292)+1,""))</x:f>
      </x:c>
    </x:row>
    <x:row r="294">
      <x:c r="A294" s="73" t="str">
        <x:f>IF('전기원장'!A294="","","전기")</x:f>
      </x:c>
      <x:c r="B294" s="73" t="str">
        <x:f>IF('전기원장'!A294="","",'전기원장'!A294)</x:f>
      </x:c>
      <x:c r="C294" s="73" t="str">
        <x:f>IF('전기원장'!A294="","",'전기원장'!B294)</x:f>
      </x:c>
      <x:c r="D294" s="74" t="str">
        <x:f>IF('전기원장'!A294="","",'전기원장'!C294)</x:f>
      </x:c>
      <x:c r="E294" s="73" t="str">
        <x:f>IF('전기원장'!A294="","",'전기원장'!D294)</x:f>
      </x:c>
      <x:c r="F294" s="73" t="str">
        <x:f>IF('전기원장'!A294="","",'전기원장'!E294)</x:f>
      </x:c>
      <x:c r="G294" s="75" t="str">
        <x:f>IF('전기원장'!A294="","",'전기원장'!H294)</x:f>
      </x:c>
      <x:c r="H294" s="73" t="str">
        <x:f>IF('전기원장'!A294="","",'전기원장'!I294)</x:f>
      </x:c>
      <x:c r="I294" s="73" t="str">
        <x:f>IF('전기원장'!A294="","",'전기원장'!J294)</x:f>
      </x:c>
      <x:c r="J294" s="73" t="str">
        <x:f>IF('전기원장'!A294="","",'전기원장'!K294)</x:f>
      </x:c>
      <x:c r="K294" s="73" t="str">
        <x:f>IF(B294="","",IF(COUNTIF($B$5:B294,B294)=1,COUNT($K$4:K293)+1,""))</x:f>
      </x:c>
      <x:c r="L294" s="85" t="str">
        <x:f>IF(B294="","",IF(COUNTIFS('계정비교'!$A$5:$A$1004,B294,'계정비교'!$H$5:$H$1004,"원인분석 대상")&gt;0,COUNT($L$4:L293)+1,""))</x:f>
      </x:c>
    </x:row>
    <x:row r="295">
      <x:c r="A295" s="73" t="str">
        <x:f>IF('전기원장'!A295="","","전기")</x:f>
      </x:c>
      <x:c r="B295" s="73" t="str">
        <x:f>IF('전기원장'!A295="","",'전기원장'!A295)</x:f>
      </x:c>
      <x:c r="C295" s="73" t="str">
        <x:f>IF('전기원장'!A295="","",'전기원장'!B295)</x:f>
      </x:c>
      <x:c r="D295" s="74" t="str">
        <x:f>IF('전기원장'!A295="","",'전기원장'!C295)</x:f>
      </x:c>
      <x:c r="E295" s="73" t="str">
        <x:f>IF('전기원장'!A295="","",'전기원장'!D295)</x:f>
      </x:c>
      <x:c r="F295" s="73" t="str">
        <x:f>IF('전기원장'!A295="","",'전기원장'!E295)</x:f>
      </x:c>
      <x:c r="G295" s="75" t="str">
        <x:f>IF('전기원장'!A295="","",'전기원장'!H295)</x:f>
      </x:c>
      <x:c r="H295" s="73" t="str">
        <x:f>IF('전기원장'!A295="","",'전기원장'!I295)</x:f>
      </x:c>
      <x:c r="I295" s="73" t="str">
        <x:f>IF('전기원장'!A295="","",'전기원장'!J295)</x:f>
      </x:c>
      <x:c r="J295" s="73" t="str">
        <x:f>IF('전기원장'!A295="","",'전기원장'!K295)</x:f>
      </x:c>
      <x:c r="K295" s="73" t="str">
        <x:f>IF(B295="","",IF(COUNTIF($B$5:B295,B295)=1,COUNT($K$4:K294)+1,""))</x:f>
      </x:c>
      <x:c r="L295" s="85" t="str">
        <x:f>IF(B295="","",IF(COUNTIFS('계정비교'!$A$5:$A$1004,B295,'계정비교'!$H$5:$H$1004,"원인분석 대상")&gt;0,COUNT($L$4:L294)+1,""))</x:f>
      </x:c>
    </x:row>
    <x:row r="296">
      <x:c r="A296" s="73" t="str">
        <x:f>IF('전기원장'!A296="","","전기")</x:f>
      </x:c>
      <x:c r="B296" s="73" t="str">
        <x:f>IF('전기원장'!A296="","",'전기원장'!A296)</x:f>
      </x:c>
      <x:c r="C296" s="73" t="str">
        <x:f>IF('전기원장'!A296="","",'전기원장'!B296)</x:f>
      </x:c>
      <x:c r="D296" s="74" t="str">
        <x:f>IF('전기원장'!A296="","",'전기원장'!C296)</x:f>
      </x:c>
      <x:c r="E296" s="73" t="str">
        <x:f>IF('전기원장'!A296="","",'전기원장'!D296)</x:f>
      </x:c>
      <x:c r="F296" s="73" t="str">
        <x:f>IF('전기원장'!A296="","",'전기원장'!E296)</x:f>
      </x:c>
      <x:c r="G296" s="75" t="str">
        <x:f>IF('전기원장'!A296="","",'전기원장'!H296)</x:f>
      </x:c>
      <x:c r="H296" s="73" t="str">
        <x:f>IF('전기원장'!A296="","",'전기원장'!I296)</x:f>
      </x:c>
      <x:c r="I296" s="73" t="str">
        <x:f>IF('전기원장'!A296="","",'전기원장'!J296)</x:f>
      </x:c>
      <x:c r="J296" s="73" t="str">
        <x:f>IF('전기원장'!A296="","",'전기원장'!K296)</x:f>
      </x:c>
      <x:c r="K296" s="73" t="str">
        <x:f>IF(B296="","",IF(COUNTIF($B$5:B296,B296)=1,COUNT($K$4:K295)+1,""))</x:f>
      </x:c>
      <x:c r="L296" s="85" t="str">
        <x:f>IF(B296="","",IF(COUNTIFS('계정비교'!$A$5:$A$1004,B296,'계정비교'!$H$5:$H$1004,"원인분석 대상")&gt;0,COUNT($L$4:L295)+1,""))</x:f>
      </x:c>
    </x:row>
    <x:row r="297">
      <x:c r="A297" s="73" t="str">
        <x:f>IF('전기원장'!A297="","","전기")</x:f>
      </x:c>
      <x:c r="B297" s="73" t="str">
        <x:f>IF('전기원장'!A297="","",'전기원장'!A297)</x:f>
      </x:c>
      <x:c r="C297" s="73" t="str">
        <x:f>IF('전기원장'!A297="","",'전기원장'!B297)</x:f>
      </x:c>
      <x:c r="D297" s="74" t="str">
        <x:f>IF('전기원장'!A297="","",'전기원장'!C297)</x:f>
      </x:c>
      <x:c r="E297" s="73" t="str">
        <x:f>IF('전기원장'!A297="","",'전기원장'!D297)</x:f>
      </x:c>
      <x:c r="F297" s="73" t="str">
        <x:f>IF('전기원장'!A297="","",'전기원장'!E297)</x:f>
      </x:c>
      <x:c r="G297" s="75" t="str">
        <x:f>IF('전기원장'!A297="","",'전기원장'!H297)</x:f>
      </x:c>
      <x:c r="H297" s="73" t="str">
        <x:f>IF('전기원장'!A297="","",'전기원장'!I297)</x:f>
      </x:c>
      <x:c r="I297" s="73" t="str">
        <x:f>IF('전기원장'!A297="","",'전기원장'!J297)</x:f>
      </x:c>
      <x:c r="J297" s="73" t="str">
        <x:f>IF('전기원장'!A297="","",'전기원장'!K297)</x:f>
      </x:c>
      <x:c r="K297" s="73" t="str">
        <x:f>IF(B297="","",IF(COUNTIF($B$5:B297,B297)=1,COUNT($K$4:K296)+1,""))</x:f>
      </x:c>
      <x:c r="L297" s="85" t="str">
        <x:f>IF(B297="","",IF(COUNTIFS('계정비교'!$A$5:$A$1004,B297,'계정비교'!$H$5:$H$1004,"원인분석 대상")&gt;0,COUNT($L$4:L296)+1,""))</x:f>
      </x:c>
    </x:row>
    <x:row r="298">
      <x:c r="A298" s="73" t="str">
        <x:f>IF('전기원장'!A298="","","전기")</x:f>
      </x:c>
      <x:c r="B298" s="73" t="str">
        <x:f>IF('전기원장'!A298="","",'전기원장'!A298)</x:f>
      </x:c>
      <x:c r="C298" s="73" t="str">
        <x:f>IF('전기원장'!A298="","",'전기원장'!B298)</x:f>
      </x:c>
      <x:c r="D298" s="74" t="str">
        <x:f>IF('전기원장'!A298="","",'전기원장'!C298)</x:f>
      </x:c>
      <x:c r="E298" s="73" t="str">
        <x:f>IF('전기원장'!A298="","",'전기원장'!D298)</x:f>
      </x:c>
      <x:c r="F298" s="73" t="str">
        <x:f>IF('전기원장'!A298="","",'전기원장'!E298)</x:f>
      </x:c>
      <x:c r="G298" s="75" t="str">
        <x:f>IF('전기원장'!A298="","",'전기원장'!H298)</x:f>
      </x:c>
      <x:c r="H298" s="73" t="str">
        <x:f>IF('전기원장'!A298="","",'전기원장'!I298)</x:f>
      </x:c>
      <x:c r="I298" s="73" t="str">
        <x:f>IF('전기원장'!A298="","",'전기원장'!J298)</x:f>
      </x:c>
      <x:c r="J298" s="73" t="str">
        <x:f>IF('전기원장'!A298="","",'전기원장'!K298)</x:f>
      </x:c>
      <x:c r="K298" s="73" t="str">
        <x:f>IF(B298="","",IF(COUNTIF($B$5:B298,B298)=1,COUNT($K$4:K297)+1,""))</x:f>
      </x:c>
      <x:c r="L298" s="85" t="str">
        <x:f>IF(B298="","",IF(COUNTIFS('계정비교'!$A$5:$A$1004,B298,'계정비교'!$H$5:$H$1004,"원인분석 대상")&gt;0,COUNT($L$4:L297)+1,""))</x:f>
      </x:c>
    </x:row>
    <x:row r="299">
      <x:c r="A299" s="73" t="str">
        <x:f>IF('전기원장'!A299="","","전기")</x:f>
      </x:c>
      <x:c r="B299" s="73" t="str">
        <x:f>IF('전기원장'!A299="","",'전기원장'!A299)</x:f>
      </x:c>
      <x:c r="C299" s="73" t="str">
        <x:f>IF('전기원장'!A299="","",'전기원장'!B299)</x:f>
      </x:c>
      <x:c r="D299" s="74" t="str">
        <x:f>IF('전기원장'!A299="","",'전기원장'!C299)</x:f>
      </x:c>
      <x:c r="E299" s="73" t="str">
        <x:f>IF('전기원장'!A299="","",'전기원장'!D299)</x:f>
      </x:c>
      <x:c r="F299" s="73" t="str">
        <x:f>IF('전기원장'!A299="","",'전기원장'!E299)</x:f>
      </x:c>
      <x:c r="G299" s="75" t="str">
        <x:f>IF('전기원장'!A299="","",'전기원장'!H299)</x:f>
      </x:c>
      <x:c r="H299" s="73" t="str">
        <x:f>IF('전기원장'!A299="","",'전기원장'!I299)</x:f>
      </x:c>
      <x:c r="I299" s="73" t="str">
        <x:f>IF('전기원장'!A299="","",'전기원장'!J299)</x:f>
      </x:c>
      <x:c r="J299" s="73" t="str">
        <x:f>IF('전기원장'!A299="","",'전기원장'!K299)</x:f>
      </x:c>
      <x:c r="K299" s="73" t="str">
        <x:f>IF(B299="","",IF(COUNTIF($B$5:B299,B299)=1,COUNT($K$4:K298)+1,""))</x:f>
      </x:c>
      <x:c r="L299" s="85" t="str">
        <x:f>IF(B299="","",IF(COUNTIFS('계정비교'!$A$5:$A$1004,B299,'계정비교'!$H$5:$H$1004,"원인분석 대상")&gt;0,COUNT($L$4:L298)+1,""))</x:f>
      </x:c>
    </x:row>
    <x:row r="300">
      <x:c r="A300" s="73" t="str">
        <x:f>IF('전기원장'!A300="","","전기")</x:f>
      </x:c>
      <x:c r="B300" s="73" t="str">
        <x:f>IF('전기원장'!A300="","",'전기원장'!A300)</x:f>
      </x:c>
      <x:c r="C300" s="73" t="str">
        <x:f>IF('전기원장'!A300="","",'전기원장'!B300)</x:f>
      </x:c>
      <x:c r="D300" s="74" t="str">
        <x:f>IF('전기원장'!A300="","",'전기원장'!C300)</x:f>
      </x:c>
      <x:c r="E300" s="73" t="str">
        <x:f>IF('전기원장'!A300="","",'전기원장'!D300)</x:f>
      </x:c>
      <x:c r="F300" s="73" t="str">
        <x:f>IF('전기원장'!A300="","",'전기원장'!E300)</x:f>
      </x:c>
      <x:c r="G300" s="75" t="str">
        <x:f>IF('전기원장'!A300="","",'전기원장'!H300)</x:f>
      </x:c>
      <x:c r="H300" s="73" t="str">
        <x:f>IF('전기원장'!A300="","",'전기원장'!I300)</x:f>
      </x:c>
      <x:c r="I300" s="73" t="str">
        <x:f>IF('전기원장'!A300="","",'전기원장'!J300)</x:f>
      </x:c>
      <x:c r="J300" s="73" t="str">
        <x:f>IF('전기원장'!A300="","",'전기원장'!K300)</x:f>
      </x:c>
      <x:c r="K300" s="73" t="str">
        <x:f>IF(B300="","",IF(COUNTIF($B$5:B300,B300)=1,COUNT($K$4:K299)+1,""))</x:f>
      </x:c>
      <x:c r="L300" s="85" t="str">
        <x:f>IF(B300="","",IF(COUNTIFS('계정비교'!$A$5:$A$1004,B300,'계정비교'!$H$5:$H$1004,"원인분석 대상")&gt;0,COUNT($L$4:L299)+1,""))</x:f>
      </x:c>
    </x:row>
    <x:row r="301">
      <x:c r="A301" s="73" t="str">
        <x:f>IF('전기원장'!A301="","","전기")</x:f>
      </x:c>
      <x:c r="B301" s="73" t="str">
        <x:f>IF('전기원장'!A301="","",'전기원장'!A301)</x:f>
      </x:c>
      <x:c r="C301" s="73" t="str">
        <x:f>IF('전기원장'!A301="","",'전기원장'!B301)</x:f>
      </x:c>
      <x:c r="D301" s="74" t="str">
        <x:f>IF('전기원장'!A301="","",'전기원장'!C301)</x:f>
      </x:c>
      <x:c r="E301" s="73" t="str">
        <x:f>IF('전기원장'!A301="","",'전기원장'!D301)</x:f>
      </x:c>
      <x:c r="F301" s="73" t="str">
        <x:f>IF('전기원장'!A301="","",'전기원장'!E301)</x:f>
      </x:c>
      <x:c r="G301" s="75" t="str">
        <x:f>IF('전기원장'!A301="","",'전기원장'!H301)</x:f>
      </x:c>
      <x:c r="H301" s="73" t="str">
        <x:f>IF('전기원장'!A301="","",'전기원장'!I301)</x:f>
      </x:c>
      <x:c r="I301" s="73" t="str">
        <x:f>IF('전기원장'!A301="","",'전기원장'!J301)</x:f>
      </x:c>
      <x:c r="J301" s="73" t="str">
        <x:f>IF('전기원장'!A301="","",'전기원장'!K301)</x:f>
      </x:c>
      <x:c r="K301" s="73" t="str">
        <x:f>IF(B301="","",IF(COUNTIF($B$5:B301,B301)=1,COUNT($K$4:K300)+1,""))</x:f>
      </x:c>
      <x:c r="L301" s="85" t="str">
        <x:f>IF(B301="","",IF(COUNTIFS('계정비교'!$A$5:$A$1004,B301,'계정비교'!$H$5:$H$1004,"원인분석 대상")&gt;0,COUNT($L$4:L300)+1,""))</x:f>
      </x:c>
    </x:row>
    <x:row r="302">
      <x:c r="A302" s="73" t="str">
        <x:f>IF('전기원장'!A302="","","전기")</x:f>
      </x:c>
      <x:c r="B302" s="73" t="str">
        <x:f>IF('전기원장'!A302="","",'전기원장'!A302)</x:f>
      </x:c>
      <x:c r="C302" s="73" t="str">
        <x:f>IF('전기원장'!A302="","",'전기원장'!B302)</x:f>
      </x:c>
      <x:c r="D302" s="74" t="str">
        <x:f>IF('전기원장'!A302="","",'전기원장'!C302)</x:f>
      </x:c>
      <x:c r="E302" s="73" t="str">
        <x:f>IF('전기원장'!A302="","",'전기원장'!D302)</x:f>
      </x:c>
      <x:c r="F302" s="73" t="str">
        <x:f>IF('전기원장'!A302="","",'전기원장'!E302)</x:f>
      </x:c>
      <x:c r="G302" s="75" t="str">
        <x:f>IF('전기원장'!A302="","",'전기원장'!H302)</x:f>
      </x:c>
      <x:c r="H302" s="73" t="str">
        <x:f>IF('전기원장'!A302="","",'전기원장'!I302)</x:f>
      </x:c>
      <x:c r="I302" s="73" t="str">
        <x:f>IF('전기원장'!A302="","",'전기원장'!J302)</x:f>
      </x:c>
      <x:c r="J302" s="73" t="str">
        <x:f>IF('전기원장'!A302="","",'전기원장'!K302)</x:f>
      </x:c>
      <x:c r="K302" s="73" t="str">
        <x:f>IF(B302="","",IF(COUNTIF($B$5:B302,B302)=1,COUNT($K$4:K301)+1,""))</x:f>
      </x:c>
      <x:c r="L302" s="85" t="str">
        <x:f>IF(B302="","",IF(COUNTIFS('계정비교'!$A$5:$A$1004,B302,'계정비교'!$H$5:$H$1004,"원인분석 대상")&gt;0,COUNT($L$4:L301)+1,""))</x:f>
      </x:c>
    </x:row>
    <x:row r="303">
      <x:c r="A303" s="73" t="str">
        <x:f>IF('전기원장'!A303="","","전기")</x:f>
      </x:c>
      <x:c r="B303" s="73" t="str">
        <x:f>IF('전기원장'!A303="","",'전기원장'!A303)</x:f>
      </x:c>
      <x:c r="C303" s="73" t="str">
        <x:f>IF('전기원장'!A303="","",'전기원장'!B303)</x:f>
      </x:c>
      <x:c r="D303" s="74" t="str">
        <x:f>IF('전기원장'!A303="","",'전기원장'!C303)</x:f>
      </x:c>
      <x:c r="E303" s="73" t="str">
        <x:f>IF('전기원장'!A303="","",'전기원장'!D303)</x:f>
      </x:c>
      <x:c r="F303" s="73" t="str">
        <x:f>IF('전기원장'!A303="","",'전기원장'!E303)</x:f>
      </x:c>
      <x:c r="G303" s="75" t="str">
        <x:f>IF('전기원장'!A303="","",'전기원장'!H303)</x:f>
      </x:c>
      <x:c r="H303" s="73" t="str">
        <x:f>IF('전기원장'!A303="","",'전기원장'!I303)</x:f>
      </x:c>
      <x:c r="I303" s="73" t="str">
        <x:f>IF('전기원장'!A303="","",'전기원장'!J303)</x:f>
      </x:c>
      <x:c r="J303" s="73" t="str">
        <x:f>IF('전기원장'!A303="","",'전기원장'!K303)</x:f>
      </x:c>
      <x:c r="K303" s="73" t="str">
        <x:f>IF(B303="","",IF(COUNTIF($B$5:B303,B303)=1,COUNT($K$4:K302)+1,""))</x:f>
      </x:c>
      <x:c r="L303" s="85" t="str">
        <x:f>IF(B303="","",IF(COUNTIFS('계정비교'!$A$5:$A$1004,B303,'계정비교'!$H$5:$H$1004,"원인분석 대상")&gt;0,COUNT($L$4:L302)+1,""))</x:f>
      </x:c>
    </x:row>
    <x:row r="304">
      <x:c r="A304" s="73" t="str">
        <x:f>IF('전기원장'!A304="","","전기")</x:f>
      </x:c>
      <x:c r="B304" s="73" t="str">
        <x:f>IF('전기원장'!A304="","",'전기원장'!A304)</x:f>
      </x:c>
      <x:c r="C304" s="73" t="str">
        <x:f>IF('전기원장'!A304="","",'전기원장'!B304)</x:f>
      </x:c>
      <x:c r="D304" s="74" t="str">
        <x:f>IF('전기원장'!A304="","",'전기원장'!C304)</x:f>
      </x:c>
      <x:c r="E304" s="73" t="str">
        <x:f>IF('전기원장'!A304="","",'전기원장'!D304)</x:f>
      </x:c>
      <x:c r="F304" s="73" t="str">
        <x:f>IF('전기원장'!A304="","",'전기원장'!E304)</x:f>
      </x:c>
      <x:c r="G304" s="75" t="str">
        <x:f>IF('전기원장'!A304="","",'전기원장'!H304)</x:f>
      </x:c>
      <x:c r="H304" s="73" t="str">
        <x:f>IF('전기원장'!A304="","",'전기원장'!I304)</x:f>
      </x:c>
      <x:c r="I304" s="73" t="str">
        <x:f>IF('전기원장'!A304="","",'전기원장'!J304)</x:f>
      </x:c>
      <x:c r="J304" s="73" t="str">
        <x:f>IF('전기원장'!A304="","",'전기원장'!K304)</x:f>
      </x:c>
      <x:c r="K304" s="73" t="str">
        <x:f>IF(B304="","",IF(COUNTIF($B$5:B304,B304)=1,COUNT($K$4:K303)+1,""))</x:f>
      </x:c>
      <x:c r="L304" s="85" t="str">
        <x:f>IF(B304="","",IF(COUNTIFS('계정비교'!$A$5:$A$1004,B304,'계정비교'!$H$5:$H$1004,"원인분석 대상")&gt;0,COUNT($L$4:L303)+1,""))</x:f>
      </x:c>
    </x:row>
    <x:row r="305">
      <x:c r="A305" s="73" t="str">
        <x:f>IF('전기원장'!A305="","","전기")</x:f>
      </x:c>
      <x:c r="B305" s="73" t="str">
        <x:f>IF('전기원장'!A305="","",'전기원장'!A305)</x:f>
      </x:c>
      <x:c r="C305" s="73" t="str">
        <x:f>IF('전기원장'!A305="","",'전기원장'!B305)</x:f>
      </x:c>
      <x:c r="D305" s="74" t="str">
        <x:f>IF('전기원장'!A305="","",'전기원장'!C305)</x:f>
      </x:c>
      <x:c r="E305" s="73" t="str">
        <x:f>IF('전기원장'!A305="","",'전기원장'!D305)</x:f>
      </x:c>
      <x:c r="F305" s="73" t="str">
        <x:f>IF('전기원장'!A305="","",'전기원장'!E305)</x:f>
      </x:c>
      <x:c r="G305" s="75" t="str">
        <x:f>IF('전기원장'!A305="","",'전기원장'!H305)</x:f>
      </x:c>
      <x:c r="H305" s="73" t="str">
        <x:f>IF('전기원장'!A305="","",'전기원장'!I305)</x:f>
      </x:c>
      <x:c r="I305" s="73" t="str">
        <x:f>IF('전기원장'!A305="","",'전기원장'!J305)</x:f>
      </x:c>
      <x:c r="J305" s="73" t="str">
        <x:f>IF('전기원장'!A305="","",'전기원장'!K305)</x:f>
      </x:c>
      <x:c r="K305" s="73" t="str">
        <x:f>IF(B305="","",IF(COUNTIF($B$5:B305,B305)=1,COUNT($K$4:K304)+1,""))</x:f>
      </x:c>
      <x:c r="L305" s="85" t="str">
        <x:f>IF(B305="","",IF(COUNTIFS('계정비교'!$A$5:$A$1004,B305,'계정비교'!$H$5:$H$1004,"원인분석 대상")&gt;0,COUNT($L$4:L304)+1,""))</x:f>
      </x:c>
    </x:row>
    <x:row r="306">
      <x:c r="A306" s="73" t="str">
        <x:f>IF('전기원장'!A306="","","전기")</x:f>
      </x:c>
      <x:c r="B306" s="73" t="str">
        <x:f>IF('전기원장'!A306="","",'전기원장'!A306)</x:f>
      </x:c>
      <x:c r="C306" s="73" t="str">
        <x:f>IF('전기원장'!A306="","",'전기원장'!B306)</x:f>
      </x:c>
      <x:c r="D306" s="74" t="str">
        <x:f>IF('전기원장'!A306="","",'전기원장'!C306)</x:f>
      </x:c>
      <x:c r="E306" s="73" t="str">
        <x:f>IF('전기원장'!A306="","",'전기원장'!D306)</x:f>
      </x:c>
      <x:c r="F306" s="73" t="str">
        <x:f>IF('전기원장'!A306="","",'전기원장'!E306)</x:f>
      </x:c>
      <x:c r="G306" s="75" t="str">
        <x:f>IF('전기원장'!A306="","",'전기원장'!H306)</x:f>
      </x:c>
      <x:c r="H306" s="73" t="str">
        <x:f>IF('전기원장'!A306="","",'전기원장'!I306)</x:f>
      </x:c>
      <x:c r="I306" s="73" t="str">
        <x:f>IF('전기원장'!A306="","",'전기원장'!J306)</x:f>
      </x:c>
      <x:c r="J306" s="73" t="str">
        <x:f>IF('전기원장'!A306="","",'전기원장'!K306)</x:f>
      </x:c>
      <x:c r="K306" s="73" t="str">
        <x:f>IF(B306="","",IF(COUNTIF($B$5:B306,B306)=1,COUNT($K$4:K305)+1,""))</x:f>
      </x:c>
      <x:c r="L306" s="85" t="str">
        <x:f>IF(B306="","",IF(COUNTIFS('계정비교'!$A$5:$A$1004,B306,'계정비교'!$H$5:$H$1004,"원인분석 대상")&gt;0,COUNT($L$4:L305)+1,""))</x:f>
      </x:c>
    </x:row>
    <x:row r="307">
      <x:c r="A307" s="73" t="str">
        <x:f>IF('전기원장'!A307="","","전기")</x:f>
      </x:c>
      <x:c r="B307" s="73" t="str">
        <x:f>IF('전기원장'!A307="","",'전기원장'!A307)</x:f>
      </x:c>
      <x:c r="C307" s="73" t="str">
        <x:f>IF('전기원장'!A307="","",'전기원장'!B307)</x:f>
      </x:c>
      <x:c r="D307" s="74" t="str">
        <x:f>IF('전기원장'!A307="","",'전기원장'!C307)</x:f>
      </x:c>
      <x:c r="E307" s="73" t="str">
        <x:f>IF('전기원장'!A307="","",'전기원장'!D307)</x:f>
      </x:c>
      <x:c r="F307" s="73" t="str">
        <x:f>IF('전기원장'!A307="","",'전기원장'!E307)</x:f>
      </x:c>
      <x:c r="G307" s="75" t="str">
        <x:f>IF('전기원장'!A307="","",'전기원장'!H307)</x:f>
      </x:c>
      <x:c r="H307" s="73" t="str">
        <x:f>IF('전기원장'!A307="","",'전기원장'!I307)</x:f>
      </x:c>
      <x:c r="I307" s="73" t="str">
        <x:f>IF('전기원장'!A307="","",'전기원장'!J307)</x:f>
      </x:c>
      <x:c r="J307" s="73" t="str">
        <x:f>IF('전기원장'!A307="","",'전기원장'!K307)</x:f>
      </x:c>
      <x:c r="K307" s="73" t="str">
        <x:f>IF(B307="","",IF(COUNTIF($B$5:B307,B307)=1,COUNT($K$4:K306)+1,""))</x:f>
      </x:c>
      <x:c r="L307" s="85" t="str">
        <x:f>IF(B307="","",IF(COUNTIFS('계정비교'!$A$5:$A$1004,B307,'계정비교'!$H$5:$H$1004,"원인분석 대상")&gt;0,COUNT($L$4:L306)+1,""))</x:f>
      </x:c>
    </x:row>
    <x:row r="308">
      <x:c r="A308" s="73" t="str">
        <x:f>IF('전기원장'!A308="","","전기")</x:f>
      </x:c>
      <x:c r="B308" s="73" t="str">
        <x:f>IF('전기원장'!A308="","",'전기원장'!A308)</x:f>
      </x:c>
      <x:c r="C308" s="73" t="str">
        <x:f>IF('전기원장'!A308="","",'전기원장'!B308)</x:f>
      </x:c>
      <x:c r="D308" s="74" t="str">
        <x:f>IF('전기원장'!A308="","",'전기원장'!C308)</x:f>
      </x:c>
      <x:c r="E308" s="73" t="str">
        <x:f>IF('전기원장'!A308="","",'전기원장'!D308)</x:f>
      </x:c>
      <x:c r="F308" s="73" t="str">
        <x:f>IF('전기원장'!A308="","",'전기원장'!E308)</x:f>
      </x:c>
      <x:c r="G308" s="75" t="str">
        <x:f>IF('전기원장'!A308="","",'전기원장'!H308)</x:f>
      </x:c>
      <x:c r="H308" s="73" t="str">
        <x:f>IF('전기원장'!A308="","",'전기원장'!I308)</x:f>
      </x:c>
      <x:c r="I308" s="73" t="str">
        <x:f>IF('전기원장'!A308="","",'전기원장'!J308)</x:f>
      </x:c>
      <x:c r="J308" s="73" t="str">
        <x:f>IF('전기원장'!A308="","",'전기원장'!K308)</x:f>
      </x:c>
      <x:c r="K308" s="73" t="str">
        <x:f>IF(B308="","",IF(COUNTIF($B$5:B308,B308)=1,COUNT($K$4:K307)+1,""))</x:f>
      </x:c>
      <x:c r="L308" s="85" t="str">
        <x:f>IF(B308="","",IF(COUNTIFS('계정비교'!$A$5:$A$1004,B308,'계정비교'!$H$5:$H$1004,"원인분석 대상")&gt;0,COUNT($L$4:L307)+1,""))</x:f>
      </x:c>
    </x:row>
    <x:row r="309">
      <x:c r="A309" s="73" t="str">
        <x:f>IF('전기원장'!A309="","","전기")</x:f>
      </x:c>
      <x:c r="B309" s="73" t="str">
        <x:f>IF('전기원장'!A309="","",'전기원장'!A309)</x:f>
      </x:c>
      <x:c r="C309" s="73" t="str">
        <x:f>IF('전기원장'!A309="","",'전기원장'!B309)</x:f>
      </x:c>
      <x:c r="D309" s="74" t="str">
        <x:f>IF('전기원장'!A309="","",'전기원장'!C309)</x:f>
      </x:c>
      <x:c r="E309" s="73" t="str">
        <x:f>IF('전기원장'!A309="","",'전기원장'!D309)</x:f>
      </x:c>
      <x:c r="F309" s="73" t="str">
        <x:f>IF('전기원장'!A309="","",'전기원장'!E309)</x:f>
      </x:c>
      <x:c r="G309" s="75" t="str">
        <x:f>IF('전기원장'!A309="","",'전기원장'!H309)</x:f>
      </x:c>
      <x:c r="H309" s="73" t="str">
        <x:f>IF('전기원장'!A309="","",'전기원장'!I309)</x:f>
      </x:c>
      <x:c r="I309" s="73" t="str">
        <x:f>IF('전기원장'!A309="","",'전기원장'!J309)</x:f>
      </x:c>
      <x:c r="J309" s="73" t="str">
        <x:f>IF('전기원장'!A309="","",'전기원장'!K309)</x:f>
      </x:c>
      <x:c r="K309" s="73" t="str">
        <x:f>IF(B309="","",IF(COUNTIF($B$5:B309,B309)=1,COUNT($K$4:K308)+1,""))</x:f>
      </x:c>
      <x:c r="L309" s="85" t="str">
        <x:f>IF(B309="","",IF(COUNTIFS('계정비교'!$A$5:$A$1004,B309,'계정비교'!$H$5:$H$1004,"원인분석 대상")&gt;0,COUNT($L$4:L308)+1,""))</x:f>
      </x:c>
    </x:row>
    <x:row r="310">
      <x:c r="A310" s="73" t="str">
        <x:f>IF('전기원장'!A310="","","전기")</x:f>
      </x:c>
      <x:c r="B310" s="73" t="str">
        <x:f>IF('전기원장'!A310="","",'전기원장'!A310)</x:f>
      </x:c>
      <x:c r="C310" s="73" t="str">
        <x:f>IF('전기원장'!A310="","",'전기원장'!B310)</x:f>
      </x:c>
      <x:c r="D310" s="74" t="str">
        <x:f>IF('전기원장'!A310="","",'전기원장'!C310)</x:f>
      </x:c>
      <x:c r="E310" s="73" t="str">
        <x:f>IF('전기원장'!A310="","",'전기원장'!D310)</x:f>
      </x:c>
      <x:c r="F310" s="73" t="str">
        <x:f>IF('전기원장'!A310="","",'전기원장'!E310)</x:f>
      </x:c>
      <x:c r="G310" s="75" t="str">
        <x:f>IF('전기원장'!A310="","",'전기원장'!H310)</x:f>
      </x:c>
      <x:c r="H310" s="73" t="str">
        <x:f>IF('전기원장'!A310="","",'전기원장'!I310)</x:f>
      </x:c>
      <x:c r="I310" s="73" t="str">
        <x:f>IF('전기원장'!A310="","",'전기원장'!J310)</x:f>
      </x:c>
      <x:c r="J310" s="73" t="str">
        <x:f>IF('전기원장'!A310="","",'전기원장'!K310)</x:f>
      </x:c>
      <x:c r="K310" s="73" t="str">
        <x:f>IF(B310="","",IF(COUNTIF($B$5:B310,B310)=1,COUNT($K$4:K309)+1,""))</x:f>
      </x:c>
      <x:c r="L310" s="85" t="str">
        <x:f>IF(B310="","",IF(COUNTIFS('계정비교'!$A$5:$A$1004,B310,'계정비교'!$H$5:$H$1004,"원인분석 대상")&gt;0,COUNT($L$4:L309)+1,""))</x:f>
      </x:c>
    </x:row>
    <x:row r="311">
      <x:c r="A311" s="73" t="str">
        <x:f>IF('전기원장'!A311="","","전기")</x:f>
      </x:c>
      <x:c r="B311" s="73" t="str">
        <x:f>IF('전기원장'!A311="","",'전기원장'!A311)</x:f>
      </x:c>
      <x:c r="C311" s="73" t="str">
        <x:f>IF('전기원장'!A311="","",'전기원장'!B311)</x:f>
      </x:c>
      <x:c r="D311" s="74" t="str">
        <x:f>IF('전기원장'!A311="","",'전기원장'!C311)</x:f>
      </x:c>
      <x:c r="E311" s="73" t="str">
        <x:f>IF('전기원장'!A311="","",'전기원장'!D311)</x:f>
      </x:c>
      <x:c r="F311" s="73" t="str">
        <x:f>IF('전기원장'!A311="","",'전기원장'!E311)</x:f>
      </x:c>
      <x:c r="G311" s="75" t="str">
        <x:f>IF('전기원장'!A311="","",'전기원장'!H311)</x:f>
      </x:c>
      <x:c r="H311" s="73" t="str">
        <x:f>IF('전기원장'!A311="","",'전기원장'!I311)</x:f>
      </x:c>
      <x:c r="I311" s="73" t="str">
        <x:f>IF('전기원장'!A311="","",'전기원장'!J311)</x:f>
      </x:c>
      <x:c r="J311" s="73" t="str">
        <x:f>IF('전기원장'!A311="","",'전기원장'!K311)</x:f>
      </x:c>
      <x:c r="K311" s="73" t="str">
        <x:f>IF(B311="","",IF(COUNTIF($B$5:B311,B311)=1,COUNT($K$4:K310)+1,""))</x:f>
      </x:c>
      <x:c r="L311" s="85" t="str">
        <x:f>IF(B311="","",IF(COUNTIFS('계정비교'!$A$5:$A$1004,B311,'계정비교'!$H$5:$H$1004,"원인분석 대상")&gt;0,COUNT($L$4:L310)+1,""))</x:f>
      </x:c>
    </x:row>
    <x:row r="312">
      <x:c r="A312" s="73" t="str">
        <x:f>IF('전기원장'!A312="","","전기")</x:f>
      </x:c>
      <x:c r="B312" s="73" t="str">
        <x:f>IF('전기원장'!A312="","",'전기원장'!A312)</x:f>
      </x:c>
      <x:c r="C312" s="73" t="str">
        <x:f>IF('전기원장'!A312="","",'전기원장'!B312)</x:f>
      </x:c>
      <x:c r="D312" s="74" t="str">
        <x:f>IF('전기원장'!A312="","",'전기원장'!C312)</x:f>
      </x:c>
      <x:c r="E312" s="73" t="str">
        <x:f>IF('전기원장'!A312="","",'전기원장'!D312)</x:f>
      </x:c>
      <x:c r="F312" s="73" t="str">
        <x:f>IF('전기원장'!A312="","",'전기원장'!E312)</x:f>
      </x:c>
      <x:c r="G312" s="75" t="str">
        <x:f>IF('전기원장'!A312="","",'전기원장'!H312)</x:f>
      </x:c>
      <x:c r="H312" s="73" t="str">
        <x:f>IF('전기원장'!A312="","",'전기원장'!I312)</x:f>
      </x:c>
      <x:c r="I312" s="73" t="str">
        <x:f>IF('전기원장'!A312="","",'전기원장'!J312)</x:f>
      </x:c>
      <x:c r="J312" s="73" t="str">
        <x:f>IF('전기원장'!A312="","",'전기원장'!K312)</x:f>
      </x:c>
      <x:c r="K312" s="73" t="str">
        <x:f>IF(B312="","",IF(COUNTIF($B$5:B312,B312)=1,COUNT($K$4:K311)+1,""))</x:f>
      </x:c>
      <x:c r="L312" s="85" t="str">
        <x:f>IF(B312="","",IF(COUNTIFS('계정비교'!$A$5:$A$1004,B312,'계정비교'!$H$5:$H$1004,"원인분석 대상")&gt;0,COUNT($L$4:L311)+1,""))</x:f>
      </x:c>
    </x:row>
    <x:row r="313">
      <x:c r="A313" s="73" t="str">
        <x:f>IF('전기원장'!A313="","","전기")</x:f>
      </x:c>
      <x:c r="B313" s="73" t="str">
        <x:f>IF('전기원장'!A313="","",'전기원장'!A313)</x:f>
      </x:c>
      <x:c r="C313" s="73" t="str">
        <x:f>IF('전기원장'!A313="","",'전기원장'!B313)</x:f>
      </x:c>
      <x:c r="D313" s="74" t="str">
        <x:f>IF('전기원장'!A313="","",'전기원장'!C313)</x:f>
      </x:c>
      <x:c r="E313" s="73" t="str">
        <x:f>IF('전기원장'!A313="","",'전기원장'!D313)</x:f>
      </x:c>
      <x:c r="F313" s="73" t="str">
        <x:f>IF('전기원장'!A313="","",'전기원장'!E313)</x:f>
      </x:c>
      <x:c r="G313" s="75" t="str">
        <x:f>IF('전기원장'!A313="","",'전기원장'!H313)</x:f>
      </x:c>
      <x:c r="H313" s="73" t="str">
        <x:f>IF('전기원장'!A313="","",'전기원장'!I313)</x:f>
      </x:c>
      <x:c r="I313" s="73" t="str">
        <x:f>IF('전기원장'!A313="","",'전기원장'!J313)</x:f>
      </x:c>
      <x:c r="J313" s="73" t="str">
        <x:f>IF('전기원장'!A313="","",'전기원장'!K313)</x:f>
      </x:c>
      <x:c r="K313" s="73" t="str">
        <x:f>IF(B313="","",IF(COUNTIF($B$5:B313,B313)=1,COUNT($K$4:K312)+1,""))</x:f>
      </x:c>
      <x:c r="L313" s="85" t="str">
        <x:f>IF(B313="","",IF(COUNTIFS('계정비교'!$A$5:$A$1004,B313,'계정비교'!$H$5:$H$1004,"원인분석 대상")&gt;0,COUNT($L$4:L312)+1,""))</x:f>
      </x:c>
    </x:row>
    <x:row r="314">
      <x:c r="A314" s="73" t="str">
        <x:f>IF('전기원장'!A314="","","전기")</x:f>
      </x:c>
      <x:c r="B314" s="73" t="str">
        <x:f>IF('전기원장'!A314="","",'전기원장'!A314)</x:f>
      </x:c>
      <x:c r="C314" s="73" t="str">
        <x:f>IF('전기원장'!A314="","",'전기원장'!B314)</x:f>
      </x:c>
      <x:c r="D314" s="74" t="str">
        <x:f>IF('전기원장'!A314="","",'전기원장'!C314)</x:f>
      </x:c>
      <x:c r="E314" s="73" t="str">
        <x:f>IF('전기원장'!A314="","",'전기원장'!D314)</x:f>
      </x:c>
      <x:c r="F314" s="73" t="str">
        <x:f>IF('전기원장'!A314="","",'전기원장'!E314)</x:f>
      </x:c>
      <x:c r="G314" s="75" t="str">
        <x:f>IF('전기원장'!A314="","",'전기원장'!H314)</x:f>
      </x:c>
      <x:c r="H314" s="73" t="str">
        <x:f>IF('전기원장'!A314="","",'전기원장'!I314)</x:f>
      </x:c>
      <x:c r="I314" s="73" t="str">
        <x:f>IF('전기원장'!A314="","",'전기원장'!J314)</x:f>
      </x:c>
      <x:c r="J314" s="73" t="str">
        <x:f>IF('전기원장'!A314="","",'전기원장'!K314)</x:f>
      </x:c>
      <x:c r="K314" s="73" t="str">
        <x:f>IF(B314="","",IF(COUNTIF($B$5:B314,B314)=1,COUNT($K$4:K313)+1,""))</x:f>
      </x:c>
      <x:c r="L314" s="85" t="str">
        <x:f>IF(B314="","",IF(COUNTIFS('계정비교'!$A$5:$A$1004,B314,'계정비교'!$H$5:$H$1004,"원인분석 대상")&gt;0,COUNT($L$4:L313)+1,""))</x:f>
      </x:c>
    </x:row>
    <x:row r="315">
      <x:c r="A315" s="73" t="str">
        <x:f>IF('전기원장'!A315="","","전기")</x:f>
      </x:c>
      <x:c r="B315" s="73" t="str">
        <x:f>IF('전기원장'!A315="","",'전기원장'!A315)</x:f>
      </x:c>
      <x:c r="C315" s="73" t="str">
        <x:f>IF('전기원장'!A315="","",'전기원장'!B315)</x:f>
      </x:c>
      <x:c r="D315" s="74" t="str">
        <x:f>IF('전기원장'!A315="","",'전기원장'!C315)</x:f>
      </x:c>
      <x:c r="E315" s="73" t="str">
        <x:f>IF('전기원장'!A315="","",'전기원장'!D315)</x:f>
      </x:c>
      <x:c r="F315" s="73" t="str">
        <x:f>IF('전기원장'!A315="","",'전기원장'!E315)</x:f>
      </x:c>
      <x:c r="G315" s="75" t="str">
        <x:f>IF('전기원장'!A315="","",'전기원장'!H315)</x:f>
      </x:c>
      <x:c r="H315" s="73" t="str">
        <x:f>IF('전기원장'!A315="","",'전기원장'!I315)</x:f>
      </x:c>
      <x:c r="I315" s="73" t="str">
        <x:f>IF('전기원장'!A315="","",'전기원장'!J315)</x:f>
      </x:c>
      <x:c r="J315" s="73" t="str">
        <x:f>IF('전기원장'!A315="","",'전기원장'!K315)</x:f>
      </x:c>
      <x:c r="K315" s="73" t="str">
        <x:f>IF(B315="","",IF(COUNTIF($B$5:B315,B315)=1,COUNT($K$4:K314)+1,""))</x:f>
      </x:c>
      <x:c r="L315" s="85" t="str">
        <x:f>IF(B315="","",IF(COUNTIFS('계정비교'!$A$5:$A$1004,B315,'계정비교'!$H$5:$H$1004,"원인분석 대상")&gt;0,COUNT($L$4:L314)+1,""))</x:f>
      </x:c>
    </x:row>
    <x:row r="316">
      <x:c r="A316" s="73" t="str">
        <x:f>IF('전기원장'!A316="","","전기")</x:f>
      </x:c>
      <x:c r="B316" s="73" t="str">
        <x:f>IF('전기원장'!A316="","",'전기원장'!A316)</x:f>
      </x:c>
      <x:c r="C316" s="73" t="str">
        <x:f>IF('전기원장'!A316="","",'전기원장'!B316)</x:f>
      </x:c>
      <x:c r="D316" s="74" t="str">
        <x:f>IF('전기원장'!A316="","",'전기원장'!C316)</x:f>
      </x:c>
      <x:c r="E316" s="73" t="str">
        <x:f>IF('전기원장'!A316="","",'전기원장'!D316)</x:f>
      </x:c>
      <x:c r="F316" s="73" t="str">
        <x:f>IF('전기원장'!A316="","",'전기원장'!E316)</x:f>
      </x:c>
      <x:c r="G316" s="75" t="str">
        <x:f>IF('전기원장'!A316="","",'전기원장'!H316)</x:f>
      </x:c>
      <x:c r="H316" s="73" t="str">
        <x:f>IF('전기원장'!A316="","",'전기원장'!I316)</x:f>
      </x:c>
      <x:c r="I316" s="73" t="str">
        <x:f>IF('전기원장'!A316="","",'전기원장'!J316)</x:f>
      </x:c>
      <x:c r="J316" s="73" t="str">
        <x:f>IF('전기원장'!A316="","",'전기원장'!K316)</x:f>
      </x:c>
      <x:c r="K316" s="73" t="str">
        <x:f>IF(B316="","",IF(COUNTIF($B$5:B316,B316)=1,COUNT($K$4:K315)+1,""))</x:f>
      </x:c>
      <x:c r="L316" s="85" t="str">
        <x:f>IF(B316="","",IF(COUNTIFS('계정비교'!$A$5:$A$1004,B316,'계정비교'!$H$5:$H$1004,"원인분석 대상")&gt;0,COUNT($L$4:L315)+1,""))</x:f>
      </x:c>
    </x:row>
    <x:row r="317">
      <x:c r="A317" s="73" t="str">
        <x:f>IF('전기원장'!A317="","","전기")</x:f>
      </x:c>
      <x:c r="B317" s="73" t="str">
        <x:f>IF('전기원장'!A317="","",'전기원장'!A317)</x:f>
      </x:c>
      <x:c r="C317" s="73" t="str">
        <x:f>IF('전기원장'!A317="","",'전기원장'!B317)</x:f>
      </x:c>
      <x:c r="D317" s="74" t="str">
        <x:f>IF('전기원장'!A317="","",'전기원장'!C317)</x:f>
      </x:c>
      <x:c r="E317" s="73" t="str">
        <x:f>IF('전기원장'!A317="","",'전기원장'!D317)</x:f>
      </x:c>
      <x:c r="F317" s="73" t="str">
        <x:f>IF('전기원장'!A317="","",'전기원장'!E317)</x:f>
      </x:c>
      <x:c r="G317" s="75" t="str">
        <x:f>IF('전기원장'!A317="","",'전기원장'!H317)</x:f>
      </x:c>
      <x:c r="H317" s="73" t="str">
        <x:f>IF('전기원장'!A317="","",'전기원장'!I317)</x:f>
      </x:c>
      <x:c r="I317" s="73" t="str">
        <x:f>IF('전기원장'!A317="","",'전기원장'!J317)</x:f>
      </x:c>
      <x:c r="J317" s="73" t="str">
        <x:f>IF('전기원장'!A317="","",'전기원장'!K317)</x:f>
      </x:c>
      <x:c r="K317" s="73" t="str">
        <x:f>IF(B317="","",IF(COUNTIF($B$5:B317,B317)=1,COUNT($K$4:K316)+1,""))</x:f>
      </x:c>
      <x:c r="L317" s="85" t="str">
        <x:f>IF(B317="","",IF(COUNTIFS('계정비교'!$A$5:$A$1004,B317,'계정비교'!$H$5:$H$1004,"원인분석 대상")&gt;0,COUNT($L$4:L316)+1,""))</x:f>
      </x:c>
    </x:row>
    <x:row r="318">
      <x:c r="A318" s="73" t="str">
        <x:f>IF('전기원장'!A318="","","전기")</x:f>
      </x:c>
      <x:c r="B318" s="73" t="str">
        <x:f>IF('전기원장'!A318="","",'전기원장'!A318)</x:f>
      </x:c>
      <x:c r="C318" s="73" t="str">
        <x:f>IF('전기원장'!A318="","",'전기원장'!B318)</x:f>
      </x:c>
      <x:c r="D318" s="74" t="str">
        <x:f>IF('전기원장'!A318="","",'전기원장'!C318)</x:f>
      </x:c>
      <x:c r="E318" s="73" t="str">
        <x:f>IF('전기원장'!A318="","",'전기원장'!D318)</x:f>
      </x:c>
      <x:c r="F318" s="73" t="str">
        <x:f>IF('전기원장'!A318="","",'전기원장'!E318)</x:f>
      </x:c>
      <x:c r="G318" s="75" t="str">
        <x:f>IF('전기원장'!A318="","",'전기원장'!H318)</x:f>
      </x:c>
      <x:c r="H318" s="73" t="str">
        <x:f>IF('전기원장'!A318="","",'전기원장'!I318)</x:f>
      </x:c>
      <x:c r="I318" s="73" t="str">
        <x:f>IF('전기원장'!A318="","",'전기원장'!J318)</x:f>
      </x:c>
      <x:c r="J318" s="73" t="str">
        <x:f>IF('전기원장'!A318="","",'전기원장'!K318)</x:f>
      </x:c>
      <x:c r="K318" s="73" t="str">
        <x:f>IF(B318="","",IF(COUNTIF($B$5:B318,B318)=1,COUNT($K$4:K317)+1,""))</x:f>
      </x:c>
      <x:c r="L318" s="85" t="str">
        <x:f>IF(B318="","",IF(COUNTIFS('계정비교'!$A$5:$A$1004,B318,'계정비교'!$H$5:$H$1004,"원인분석 대상")&gt;0,COUNT($L$4:L317)+1,""))</x:f>
      </x:c>
    </x:row>
    <x:row r="319">
      <x:c r="A319" s="73" t="str">
        <x:f>IF('전기원장'!A319="","","전기")</x:f>
      </x:c>
      <x:c r="B319" s="73" t="str">
        <x:f>IF('전기원장'!A319="","",'전기원장'!A319)</x:f>
      </x:c>
      <x:c r="C319" s="73" t="str">
        <x:f>IF('전기원장'!A319="","",'전기원장'!B319)</x:f>
      </x:c>
      <x:c r="D319" s="74" t="str">
        <x:f>IF('전기원장'!A319="","",'전기원장'!C319)</x:f>
      </x:c>
      <x:c r="E319" s="73" t="str">
        <x:f>IF('전기원장'!A319="","",'전기원장'!D319)</x:f>
      </x:c>
      <x:c r="F319" s="73" t="str">
        <x:f>IF('전기원장'!A319="","",'전기원장'!E319)</x:f>
      </x:c>
      <x:c r="G319" s="75" t="str">
        <x:f>IF('전기원장'!A319="","",'전기원장'!H319)</x:f>
      </x:c>
      <x:c r="H319" s="73" t="str">
        <x:f>IF('전기원장'!A319="","",'전기원장'!I319)</x:f>
      </x:c>
      <x:c r="I319" s="73" t="str">
        <x:f>IF('전기원장'!A319="","",'전기원장'!J319)</x:f>
      </x:c>
      <x:c r="J319" s="73" t="str">
        <x:f>IF('전기원장'!A319="","",'전기원장'!K319)</x:f>
      </x:c>
      <x:c r="K319" s="73" t="str">
        <x:f>IF(B319="","",IF(COUNTIF($B$5:B319,B319)=1,COUNT($K$4:K318)+1,""))</x:f>
      </x:c>
      <x:c r="L319" s="85" t="str">
        <x:f>IF(B319="","",IF(COUNTIFS('계정비교'!$A$5:$A$1004,B319,'계정비교'!$H$5:$H$1004,"원인분석 대상")&gt;0,COUNT($L$4:L318)+1,""))</x:f>
      </x:c>
    </x:row>
    <x:row r="320">
      <x:c r="A320" s="73" t="str">
        <x:f>IF('전기원장'!A320="","","전기")</x:f>
      </x:c>
      <x:c r="B320" s="73" t="str">
        <x:f>IF('전기원장'!A320="","",'전기원장'!A320)</x:f>
      </x:c>
      <x:c r="C320" s="73" t="str">
        <x:f>IF('전기원장'!A320="","",'전기원장'!B320)</x:f>
      </x:c>
      <x:c r="D320" s="74" t="str">
        <x:f>IF('전기원장'!A320="","",'전기원장'!C320)</x:f>
      </x:c>
      <x:c r="E320" s="73" t="str">
        <x:f>IF('전기원장'!A320="","",'전기원장'!D320)</x:f>
      </x:c>
      <x:c r="F320" s="73" t="str">
        <x:f>IF('전기원장'!A320="","",'전기원장'!E320)</x:f>
      </x:c>
      <x:c r="G320" s="75" t="str">
        <x:f>IF('전기원장'!A320="","",'전기원장'!H320)</x:f>
      </x:c>
      <x:c r="H320" s="73" t="str">
        <x:f>IF('전기원장'!A320="","",'전기원장'!I320)</x:f>
      </x:c>
      <x:c r="I320" s="73" t="str">
        <x:f>IF('전기원장'!A320="","",'전기원장'!J320)</x:f>
      </x:c>
      <x:c r="J320" s="73" t="str">
        <x:f>IF('전기원장'!A320="","",'전기원장'!K320)</x:f>
      </x:c>
      <x:c r="K320" s="73" t="str">
        <x:f>IF(B320="","",IF(COUNTIF($B$5:B320,B320)=1,COUNT($K$4:K319)+1,""))</x:f>
      </x:c>
      <x:c r="L320" s="85" t="str">
        <x:f>IF(B320="","",IF(COUNTIFS('계정비교'!$A$5:$A$1004,B320,'계정비교'!$H$5:$H$1004,"원인분석 대상")&gt;0,COUNT($L$4:L319)+1,""))</x:f>
      </x:c>
    </x:row>
    <x:row r="321">
      <x:c r="A321" s="73" t="str">
        <x:f>IF('전기원장'!A321="","","전기")</x:f>
      </x:c>
      <x:c r="B321" s="73" t="str">
        <x:f>IF('전기원장'!A321="","",'전기원장'!A321)</x:f>
      </x:c>
      <x:c r="C321" s="73" t="str">
        <x:f>IF('전기원장'!A321="","",'전기원장'!B321)</x:f>
      </x:c>
      <x:c r="D321" s="74" t="str">
        <x:f>IF('전기원장'!A321="","",'전기원장'!C321)</x:f>
      </x:c>
      <x:c r="E321" s="73" t="str">
        <x:f>IF('전기원장'!A321="","",'전기원장'!D321)</x:f>
      </x:c>
      <x:c r="F321" s="73" t="str">
        <x:f>IF('전기원장'!A321="","",'전기원장'!E321)</x:f>
      </x:c>
      <x:c r="G321" s="75" t="str">
        <x:f>IF('전기원장'!A321="","",'전기원장'!H321)</x:f>
      </x:c>
      <x:c r="H321" s="73" t="str">
        <x:f>IF('전기원장'!A321="","",'전기원장'!I321)</x:f>
      </x:c>
      <x:c r="I321" s="73" t="str">
        <x:f>IF('전기원장'!A321="","",'전기원장'!J321)</x:f>
      </x:c>
      <x:c r="J321" s="73" t="str">
        <x:f>IF('전기원장'!A321="","",'전기원장'!K321)</x:f>
      </x:c>
      <x:c r="K321" s="73" t="str">
        <x:f>IF(B321="","",IF(COUNTIF($B$5:B321,B321)=1,COUNT($K$4:K320)+1,""))</x:f>
      </x:c>
      <x:c r="L321" s="85" t="str">
        <x:f>IF(B321="","",IF(COUNTIFS('계정비교'!$A$5:$A$1004,B321,'계정비교'!$H$5:$H$1004,"원인분석 대상")&gt;0,COUNT($L$4:L320)+1,""))</x:f>
      </x:c>
    </x:row>
    <x:row r="322">
      <x:c r="A322" s="73" t="str">
        <x:f>IF('전기원장'!A322="","","전기")</x:f>
      </x:c>
      <x:c r="B322" s="73" t="str">
        <x:f>IF('전기원장'!A322="","",'전기원장'!A322)</x:f>
      </x:c>
      <x:c r="C322" s="73" t="str">
        <x:f>IF('전기원장'!A322="","",'전기원장'!B322)</x:f>
      </x:c>
      <x:c r="D322" s="74" t="str">
        <x:f>IF('전기원장'!A322="","",'전기원장'!C322)</x:f>
      </x:c>
      <x:c r="E322" s="73" t="str">
        <x:f>IF('전기원장'!A322="","",'전기원장'!D322)</x:f>
      </x:c>
      <x:c r="F322" s="73" t="str">
        <x:f>IF('전기원장'!A322="","",'전기원장'!E322)</x:f>
      </x:c>
      <x:c r="G322" s="75" t="str">
        <x:f>IF('전기원장'!A322="","",'전기원장'!H322)</x:f>
      </x:c>
      <x:c r="H322" s="73" t="str">
        <x:f>IF('전기원장'!A322="","",'전기원장'!I322)</x:f>
      </x:c>
      <x:c r="I322" s="73" t="str">
        <x:f>IF('전기원장'!A322="","",'전기원장'!J322)</x:f>
      </x:c>
      <x:c r="J322" s="73" t="str">
        <x:f>IF('전기원장'!A322="","",'전기원장'!K322)</x:f>
      </x:c>
      <x:c r="K322" s="73" t="str">
        <x:f>IF(B322="","",IF(COUNTIF($B$5:B322,B322)=1,COUNT($K$4:K321)+1,""))</x:f>
      </x:c>
      <x:c r="L322" s="85" t="str">
        <x:f>IF(B322="","",IF(COUNTIFS('계정비교'!$A$5:$A$1004,B322,'계정비교'!$H$5:$H$1004,"원인분석 대상")&gt;0,COUNT($L$4:L321)+1,""))</x:f>
      </x:c>
    </x:row>
    <x:row r="323">
      <x:c r="A323" s="73" t="str">
        <x:f>IF('전기원장'!A323="","","전기")</x:f>
      </x:c>
      <x:c r="B323" s="73" t="str">
        <x:f>IF('전기원장'!A323="","",'전기원장'!A323)</x:f>
      </x:c>
      <x:c r="C323" s="73" t="str">
        <x:f>IF('전기원장'!A323="","",'전기원장'!B323)</x:f>
      </x:c>
      <x:c r="D323" s="74" t="str">
        <x:f>IF('전기원장'!A323="","",'전기원장'!C323)</x:f>
      </x:c>
      <x:c r="E323" s="73" t="str">
        <x:f>IF('전기원장'!A323="","",'전기원장'!D323)</x:f>
      </x:c>
      <x:c r="F323" s="73" t="str">
        <x:f>IF('전기원장'!A323="","",'전기원장'!E323)</x:f>
      </x:c>
      <x:c r="G323" s="75" t="str">
        <x:f>IF('전기원장'!A323="","",'전기원장'!H323)</x:f>
      </x:c>
      <x:c r="H323" s="73" t="str">
        <x:f>IF('전기원장'!A323="","",'전기원장'!I323)</x:f>
      </x:c>
      <x:c r="I323" s="73" t="str">
        <x:f>IF('전기원장'!A323="","",'전기원장'!J323)</x:f>
      </x:c>
      <x:c r="J323" s="73" t="str">
        <x:f>IF('전기원장'!A323="","",'전기원장'!K323)</x:f>
      </x:c>
      <x:c r="K323" s="73" t="str">
        <x:f>IF(B323="","",IF(COUNTIF($B$5:B323,B323)=1,COUNT($K$4:K322)+1,""))</x:f>
      </x:c>
      <x:c r="L323" s="85" t="str">
        <x:f>IF(B323="","",IF(COUNTIFS('계정비교'!$A$5:$A$1004,B323,'계정비교'!$H$5:$H$1004,"원인분석 대상")&gt;0,COUNT($L$4:L322)+1,""))</x:f>
      </x:c>
    </x:row>
    <x:row r="324">
      <x:c r="A324" s="73" t="str">
        <x:f>IF('전기원장'!A324="","","전기")</x:f>
      </x:c>
      <x:c r="B324" s="73" t="str">
        <x:f>IF('전기원장'!A324="","",'전기원장'!A324)</x:f>
      </x:c>
      <x:c r="C324" s="73" t="str">
        <x:f>IF('전기원장'!A324="","",'전기원장'!B324)</x:f>
      </x:c>
      <x:c r="D324" s="74" t="str">
        <x:f>IF('전기원장'!A324="","",'전기원장'!C324)</x:f>
      </x:c>
      <x:c r="E324" s="73" t="str">
        <x:f>IF('전기원장'!A324="","",'전기원장'!D324)</x:f>
      </x:c>
      <x:c r="F324" s="73" t="str">
        <x:f>IF('전기원장'!A324="","",'전기원장'!E324)</x:f>
      </x:c>
      <x:c r="G324" s="75" t="str">
        <x:f>IF('전기원장'!A324="","",'전기원장'!H324)</x:f>
      </x:c>
      <x:c r="H324" s="73" t="str">
        <x:f>IF('전기원장'!A324="","",'전기원장'!I324)</x:f>
      </x:c>
      <x:c r="I324" s="73" t="str">
        <x:f>IF('전기원장'!A324="","",'전기원장'!J324)</x:f>
      </x:c>
      <x:c r="J324" s="73" t="str">
        <x:f>IF('전기원장'!A324="","",'전기원장'!K324)</x:f>
      </x:c>
      <x:c r="K324" s="73" t="str">
        <x:f>IF(B324="","",IF(COUNTIF($B$5:B324,B324)=1,COUNT($K$4:K323)+1,""))</x:f>
      </x:c>
      <x:c r="L324" s="85" t="str">
        <x:f>IF(B324="","",IF(COUNTIFS('계정비교'!$A$5:$A$1004,B324,'계정비교'!$H$5:$H$1004,"원인분석 대상")&gt;0,COUNT($L$4:L323)+1,""))</x:f>
      </x:c>
    </x:row>
    <x:row r="325">
      <x:c r="A325" s="73" t="str">
        <x:f>IF('전기원장'!A325="","","전기")</x:f>
      </x:c>
      <x:c r="B325" s="73" t="str">
        <x:f>IF('전기원장'!A325="","",'전기원장'!A325)</x:f>
      </x:c>
      <x:c r="C325" s="73" t="str">
        <x:f>IF('전기원장'!A325="","",'전기원장'!B325)</x:f>
      </x:c>
      <x:c r="D325" s="74" t="str">
        <x:f>IF('전기원장'!A325="","",'전기원장'!C325)</x:f>
      </x:c>
      <x:c r="E325" s="73" t="str">
        <x:f>IF('전기원장'!A325="","",'전기원장'!D325)</x:f>
      </x:c>
      <x:c r="F325" s="73" t="str">
        <x:f>IF('전기원장'!A325="","",'전기원장'!E325)</x:f>
      </x:c>
      <x:c r="G325" s="75" t="str">
        <x:f>IF('전기원장'!A325="","",'전기원장'!H325)</x:f>
      </x:c>
      <x:c r="H325" s="73" t="str">
        <x:f>IF('전기원장'!A325="","",'전기원장'!I325)</x:f>
      </x:c>
      <x:c r="I325" s="73" t="str">
        <x:f>IF('전기원장'!A325="","",'전기원장'!J325)</x:f>
      </x:c>
      <x:c r="J325" s="73" t="str">
        <x:f>IF('전기원장'!A325="","",'전기원장'!K325)</x:f>
      </x:c>
      <x:c r="K325" s="73" t="str">
        <x:f>IF(B325="","",IF(COUNTIF($B$5:B325,B325)=1,COUNT($K$4:K324)+1,""))</x:f>
      </x:c>
      <x:c r="L325" s="85" t="str">
        <x:f>IF(B325="","",IF(COUNTIFS('계정비교'!$A$5:$A$1004,B325,'계정비교'!$H$5:$H$1004,"원인분석 대상")&gt;0,COUNT($L$4:L324)+1,""))</x:f>
      </x:c>
    </x:row>
    <x:row r="326">
      <x:c r="A326" s="73" t="str">
        <x:f>IF('전기원장'!A326="","","전기")</x:f>
      </x:c>
      <x:c r="B326" s="73" t="str">
        <x:f>IF('전기원장'!A326="","",'전기원장'!A326)</x:f>
      </x:c>
      <x:c r="C326" s="73" t="str">
        <x:f>IF('전기원장'!A326="","",'전기원장'!B326)</x:f>
      </x:c>
      <x:c r="D326" s="74" t="str">
        <x:f>IF('전기원장'!A326="","",'전기원장'!C326)</x:f>
      </x:c>
      <x:c r="E326" s="73" t="str">
        <x:f>IF('전기원장'!A326="","",'전기원장'!D326)</x:f>
      </x:c>
      <x:c r="F326" s="73" t="str">
        <x:f>IF('전기원장'!A326="","",'전기원장'!E326)</x:f>
      </x:c>
      <x:c r="G326" s="75" t="str">
        <x:f>IF('전기원장'!A326="","",'전기원장'!H326)</x:f>
      </x:c>
      <x:c r="H326" s="73" t="str">
        <x:f>IF('전기원장'!A326="","",'전기원장'!I326)</x:f>
      </x:c>
      <x:c r="I326" s="73" t="str">
        <x:f>IF('전기원장'!A326="","",'전기원장'!J326)</x:f>
      </x:c>
      <x:c r="J326" s="73" t="str">
        <x:f>IF('전기원장'!A326="","",'전기원장'!K326)</x:f>
      </x:c>
      <x:c r="K326" s="73" t="str">
        <x:f>IF(B326="","",IF(COUNTIF($B$5:B326,B326)=1,COUNT($K$4:K325)+1,""))</x:f>
      </x:c>
      <x:c r="L326" s="85" t="str">
        <x:f>IF(B326="","",IF(COUNTIFS('계정비교'!$A$5:$A$1004,B326,'계정비교'!$H$5:$H$1004,"원인분석 대상")&gt;0,COUNT($L$4:L325)+1,""))</x:f>
      </x:c>
    </x:row>
    <x:row r="327">
      <x:c r="A327" s="73" t="str">
        <x:f>IF('전기원장'!A327="","","전기")</x:f>
      </x:c>
      <x:c r="B327" s="73" t="str">
        <x:f>IF('전기원장'!A327="","",'전기원장'!A327)</x:f>
      </x:c>
      <x:c r="C327" s="73" t="str">
        <x:f>IF('전기원장'!A327="","",'전기원장'!B327)</x:f>
      </x:c>
      <x:c r="D327" s="74" t="str">
        <x:f>IF('전기원장'!A327="","",'전기원장'!C327)</x:f>
      </x:c>
      <x:c r="E327" s="73" t="str">
        <x:f>IF('전기원장'!A327="","",'전기원장'!D327)</x:f>
      </x:c>
      <x:c r="F327" s="73" t="str">
        <x:f>IF('전기원장'!A327="","",'전기원장'!E327)</x:f>
      </x:c>
      <x:c r="G327" s="75" t="str">
        <x:f>IF('전기원장'!A327="","",'전기원장'!H327)</x:f>
      </x:c>
      <x:c r="H327" s="73" t="str">
        <x:f>IF('전기원장'!A327="","",'전기원장'!I327)</x:f>
      </x:c>
      <x:c r="I327" s="73" t="str">
        <x:f>IF('전기원장'!A327="","",'전기원장'!J327)</x:f>
      </x:c>
      <x:c r="J327" s="73" t="str">
        <x:f>IF('전기원장'!A327="","",'전기원장'!K327)</x:f>
      </x:c>
      <x:c r="K327" s="73" t="str">
        <x:f>IF(B327="","",IF(COUNTIF($B$5:B327,B327)=1,COUNT($K$4:K326)+1,""))</x:f>
      </x:c>
      <x:c r="L327" s="85" t="str">
        <x:f>IF(B327="","",IF(COUNTIFS('계정비교'!$A$5:$A$1004,B327,'계정비교'!$H$5:$H$1004,"원인분석 대상")&gt;0,COUNT($L$4:L326)+1,""))</x:f>
      </x:c>
    </x:row>
    <x:row r="328">
      <x:c r="A328" s="73" t="str">
        <x:f>IF('전기원장'!A328="","","전기")</x:f>
      </x:c>
      <x:c r="B328" s="73" t="str">
        <x:f>IF('전기원장'!A328="","",'전기원장'!A328)</x:f>
      </x:c>
      <x:c r="C328" s="73" t="str">
        <x:f>IF('전기원장'!A328="","",'전기원장'!B328)</x:f>
      </x:c>
      <x:c r="D328" s="74" t="str">
        <x:f>IF('전기원장'!A328="","",'전기원장'!C328)</x:f>
      </x:c>
      <x:c r="E328" s="73" t="str">
        <x:f>IF('전기원장'!A328="","",'전기원장'!D328)</x:f>
      </x:c>
      <x:c r="F328" s="73" t="str">
        <x:f>IF('전기원장'!A328="","",'전기원장'!E328)</x:f>
      </x:c>
      <x:c r="G328" s="75" t="str">
        <x:f>IF('전기원장'!A328="","",'전기원장'!H328)</x:f>
      </x:c>
      <x:c r="H328" s="73" t="str">
        <x:f>IF('전기원장'!A328="","",'전기원장'!I328)</x:f>
      </x:c>
      <x:c r="I328" s="73" t="str">
        <x:f>IF('전기원장'!A328="","",'전기원장'!J328)</x:f>
      </x:c>
      <x:c r="J328" s="73" t="str">
        <x:f>IF('전기원장'!A328="","",'전기원장'!K328)</x:f>
      </x:c>
      <x:c r="K328" s="73" t="str">
        <x:f>IF(B328="","",IF(COUNTIF($B$5:B328,B328)=1,COUNT($K$4:K327)+1,""))</x:f>
      </x:c>
      <x:c r="L328" s="85" t="str">
        <x:f>IF(B328="","",IF(COUNTIFS('계정비교'!$A$5:$A$1004,B328,'계정비교'!$H$5:$H$1004,"원인분석 대상")&gt;0,COUNT($L$4:L327)+1,""))</x:f>
      </x:c>
    </x:row>
    <x:row r="329">
      <x:c r="A329" s="73" t="str">
        <x:f>IF('전기원장'!A329="","","전기")</x:f>
      </x:c>
      <x:c r="B329" s="73" t="str">
        <x:f>IF('전기원장'!A329="","",'전기원장'!A329)</x:f>
      </x:c>
      <x:c r="C329" s="73" t="str">
        <x:f>IF('전기원장'!A329="","",'전기원장'!B329)</x:f>
      </x:c>
      <x:c r="D329" s="74" t="str">
        <x:f>IF('전기원장'!A329="","",'전기원장'!C329)</x:f>
      </x:c>
      <x:c r="E329" s="73" t="str">
        <x:f>IF('전기원장'!A329="","",'전기원장'!D329)</x:f>
      </x:c>
      <x:c r="F329" s="73" t="str">
        <x:f>IF('전기원장'!A329="","",'전기원장'!E329)</x:f>
      </x:c>
      <x:c r="G329" s="75" t="str">
        <x:f>IF('전기원장'!A329="","",'전기원장'!H329)</x:f>
      </x:c>
      <x:c r="H329" s="73" t="str">
        <x:f>IF('전기원장'!A329="","",'전기원장'!I329)</x:f>
      </x:c>
      <x:c r="I329" s="73" t="str">
        <x:f>IF('전기원장'!A329="","",'전기원장'!J329)</x:f>
      </x:c>
      <x:c r="J329" s="73" t="str">
        <x:f>IF('전기원장'!A329="","",'전기원장'!K329)</x:f>
      </x:c>
      <x:c r="K329" s="73" t="str">
        <x:f>IF(B329="","",IF(COUNTIF($B$5:B329,B329)=1,COUNT($K$4:K328)+1,""))</x:f>
      </x:c>
      <x:c r="L329" s="85" t="str">
        <x:f>IF(B329="","",IF(COUNTIFS('계정비교'!$A$5:$A$1004,B329,'계정비교'!$H$5:$H$1004,"원인분석 대상")&gt;0,COUNT($L$4:L328)+1,""))</x:f>
      </x:c>
    </x:row>
    <x:row r="330">
      <x:c r="A330" s="73" t="str">
        <x:f>IF('전기원장'!A330="","","전기")</x:f>
      </x:c>
      <x:c r="B330" s="73" t="str">
        <x:f>IF('전기원장'!A330="","",'전기원장'!A330)</x:f>
      </x:c>
      <x:c r="C330" s="73" t="str">
        <x:f>IF('전기원장'!A330="","",'전기원장'!B330)</x:f>
      </x:c>
      <x:c r="D330" s="74" t="str">
        <x:f>IF('전기원장'!A330="","",'전기원장'!C330)</x:f>
      </x:c>
      <x:c r="E330" s="73" t="str">
        <x:f>IF('전기원장'!A330="","",'전기원장'!D330)</x:f>
      </x:c>
      <x:c r="F330" s="73" t="str">
        <x:f>IF('전기원장'!A330="","",'전기원장'!E330)</x:f>
      </x:c>
      <x:c r="G330" s="75" t="str">
        <x:f>IF('전기원장'!A330="","",'전기원장'!H330)</x:f>
      </x:c>
      <x:c r="H330" s="73" t="str">
        <x:f>IF('전기원장'!A330="","",'전기원장'!I330)</x:f>
      </x:c>
      <x:c r="I330" s="73" t="str">
        <x:f>IF('전기원장'!A330="","",'전기원장'!J330)</x:f>
      </x:c>
      <x:c r="J330" s="73" t="str">
        <x:f>IF('전기원장'!A330="","",'전기원장'!K330)</x:f>
      </x:c>
      <x:c r="K330" s="73" t="str">
        <x:f>IF(B330="","",IF(COUNTIF($B$5:B330,B330)=1,COUNT($K$4:K329)+1,""))</x:f>
      </x:c>
      <x:c r="L330" s="85" t="str">
        <x:f>IF(B330="","",IF(COUNTIFS('계정비교'!$A$5:$A$1004,B330,'계정비교'!$H$5:$H$1004,"원인분석 대상")&gt;0,COUNT($L$4:L329)+1,""))</x:f>
      </x:c>
    </x:row>
    <x:row r="331">
      <x:c r="A331" s="73" t="str">
        <x:f>IF('전기원장'!A331="","","전기")</x:f>
      </x:c>
      <x:c r="B331" s="73" t="str">
        <x:f>IF('전기원장'!A331="","",'전기원장'!A331)</x:f>
      </x:c>
      <x:c r="C331" s="73" t="str">
        <x:f>IF('전기원장'!A331="","",'전기원장'!B331)</x:f>
      </x:c>
      <x:c r="D331" s="74" t="str">
        <x:f>IF('전기원장'!A331="","",'전기원장'!C331)</x:f>
      </x:c>
      <x:c r="E331" s="73" t="str">
        <x:f>IF('전기원장'!A331="","",'전기원장'!D331)</x:f>
      </x:c>
      <x:c r="F331" s="73" t="str">
        <x:f>IF('전기원장'!A331="","",'전기원장'!E331)</x:f>
      </x:c>
      <x:c r="G331" s="75" t="str">
        <x:f>IF('전기원장'!A331="","",'전기원장'!H331)</x:f>
      </x:c>
      <x:c r="H331" s="73" t="str">
        <x:f>IF('전기원장'!A331="","",'전기원장'!I331)</x:f>
      </x:c>
      <x:c r="I331" s="73" t="str">
        <x:f>IF('전기원장'!A331="","",'전기원장'!J331)</x:f>
      </x:c>
      <x:c r="J331" s="73" t="str">
        <x:f>IF('전기원장'!A331="","",'전기원장'!K331)</x:f>
      </x:c>
      <x:c r="K331" s="73" t="str">
        <x:f>IF(B331="","",IF(COUNTIF($B$5:B331,B331)=1,COUNT($K$4:K330)+1,""))</x:f>
      </x:c>
      <x:c r="L331" s="85" t="str">
        <x:f>IF(B331="","",IF(COUNTIFS('계정비교'!$A$5:$A$1004,B331,'계정비교'!$H$5:$H$1004,"원인분석 대상")&gt;0,COUNT($L$4:L330)+1,""))</x:f>
      </x:c>
    </x:row>
    <x:row r="332">
      <x:c r="A332" s="73" t="str">
        <x:f>IF('전기원장'!A332="","","전기")</x:f>
      </x:c>
      <x:c r="B332" s="73" t="str">
        <x:f>IF('전기원장'!A332="","",'전기원장'!A332)</x:f>
      </x:c>
      <x:c r="C332" s="73" t="str">
        <x:f>IF('전기원장'!A332="","",'전기원장'!B332)</x:f>
      </x:c>
      <x:c r="D332" s="74" t="str">
        <x:f>IF('전기원장'!A332="","",'전기원장'!C332)</x:f>
      </x:c>
      <x:c r="E332" s="73" t="str">
        <x:f>IF('전기원장'!A332="","",'전기원장'!D332)</x:f>
      </x:c>
      <x:c r="F332" s="73" t="str">
        <x:f>IF('전기원장'!A332="","",'전기원장'!E332)</x:f>
      </x:c>
      <x:c r="G332" s="75" t="str">
        <x:f>IF('전기원장'!A332="","",'전기원장'!H332)</x:f>
      </x:c>
      <x:c r="H332" s="73" t="str">
        <x:f>IF('전기원장'!A332="","",'전기원장'!I332)</x:f>
      </x:c>
      <x:c r="I332" s="73" t="str">
        <x:f>IF('전기원장'!A332="","",'전기원장'!J332)</x:f>
      </x:c>
      <x:c r="J332" s="73" t="str">
        <x:f>IF('전기원장'!A332="","",'전기원장'!K332)</x:f>
      </x:c>
      <x:c r="K332" s="73" t="str">
        <x:f>IF(B332="","",IF(COUNTIF($B$5:B332,B332)=1,COUNT($K$4:K331)+1,""))</x:f>
      </x:c>
      <x:c r="L332" s="85" t="str">
        <x:f>IF(B332="","",IF(COUNTIFS('계정비교'!$A$5:$A$1004,B332,'계정비교'!$H$5:$H$1004,"원인분석 대상")&gt;0,COUNT($L$4:L331)+1,""))</x:f>
      </x:c>
    </x:row>
    <x:row r="333">
      <x:c r="A333" s="73" t="str">
        <x:f>IF('전기원장'!A333="","","전기")</x:f>
      </x:c>
      <x:c r="B333" s="73" t="str">
        <x:f>IF('전기원장'!A333="","",'전기원장'!A333)</x:f>
      </x:c>
      <x:c r="C333" s="73" t="str">
        <x:f>IF('전기원장'!A333="","",'전기원장'!B333)</x:f>
      </x:c>
      <x:c r="D333" s="74" t="str">
        <x:f>IF('전기원장'!A333="","",'전기원장'!C333)</x:f>
      </x:c>
      <x:c r="E333" s="73" t="str">
        <x:f>IF('전기원장'!A333="","",'전기원장'!D333)</x:f>
      </x:c>
      <x:c r="F333" s="73" t="str">
        <x:f>IF('전기원장'!A333="","",'전기원장'!E333)</x:f>
      </x:c>
      <x:c r="G333" s="75" t="str">
        <x:f>IF('전기원장'!A333="","",'전기원장'!H333)</x:f>
      </x:c>
      <x:c r="H333" s="73" t="str">
        <x:f>IF('전기원장'!A333="","",'전기원장'!I333)</x:f>
      </x:c>
      <x:c r="I333" s="73" t="str">
        <x:f>IF('전기원장'!A333="","",'전기원장'!J333)</x:f>
      </x:c>
      <x:c r="J333" s="73" t="str">
        <x:f>IF('전기원장'!A333="","",'전기원장'!K333)</x:f>
      </x:c>
      <x:c r="K333" s="73" t="str">
        <x:f>IF(B333="","",IF(COUNTIF($B$5:B333,B333)=1,COUNT($K$4:K332)+1,""))</x:f>
      </x:c>
      <x:c r="L333" s="85" t="str">
        <x:f>IF(B333="","",IF(COUNTIFS('계정비교'!$A$5:$A$1004,B333,'계정비교'!$H$5:$H$1004,"원인분석 대상")&gt;0,COUNT($L$4:L332)+1,""))</x:f>
      </x:c>
    </x:row>
    <x:row r="334">
      <x:c r="A334" s="73" t="str">
        <x:f>IF('전기원장'!A334="","","전기")</x:f>
      </x:c>
      <x:c r="B334" s="73" t="str">
        <x:f>IF('전기원장'!A334="","",'전기원장'!A334)</x:f>
      </x:c>
      <x:c r="C334" s="73" t="str">
        <x:f>IF('전기원장'!A334="","",'전기원장'!B334)</x:f>
      </x:c>
      <x:c r="D334" s="74" t="str">
        <x:f>IF('전기원장'!A334="","",'전기원장'!C334)</x:f>
      </x:c>
      <x:c r="E334" s="73" t="str">
        <x:f>IF('전기원장'!A334="","",'전기원장'!D334)</x:f>
      </x:c>
      <x:c r="F334" s="73" t="str">
        <x:f>IF('전기원장'!A334="","",'전기원장'!E334)</x:f>
      </x:c>
      <x:c r="G334" s="75" t="str">
        <x:f>IF('전기원장'!A334="","",'전기원장'!H334)</x:f>
      </x:c>
      <x:c r="H334" s="73" t="str">
        <x:f>IF('전기원장'!A334="","",'전기원장'!I334)</x:f>
      </x:c>
      <x:c r="I334" s="73" t="str">
        <x:f>IF('전기원장'!A334="","",'전기원장'!J334)</x:f>
      </x:c>
      <x:c r="J334" s="73" t="str">
        <x:f>IF('전기원장'!A334="","",'전기원장'!K334)</x:f>
      </x:c>
      <x:c r="K334" s="73" t="str">
        <x:f>IF(B334="","",IF(COUNTIF($B$5:B334,B334)=1,COUNT($K$4:K333)+1,""))</x:f>
      </x:c>
      <x:c r="L334" s="85" t="str">
        <x:f>IF(B334="","",IF(COUNTIFS('계정비교'!$A$5:$A$1004,B334,'계정비교'!$H$5:$H$1004,"원인분석 대상")&gt;0,COUNT($L$4:L333)+1,""))</x:f>
      </x:c>
    </x:row>
    <x:row r="335">
      <x:c r="A335" s="73" t="str">
        <x:f>IF('전기원장'!A335="","","전기")</x:f>
      </x:c>
      <x:c r="B335" s="73" t="str">
        <x:f>IF('전기원장'!A335="","",'전기원장'!A335)</x:f>
      </x:c>
      <x:c r="C335" s="73" t="str">
        <x:f>IF('전기원장'!A335="","",'전기원장'!B335)</x:f>
      </x:c>
      <x:c r="D335" s="74" t="str">
        <x:f>IF('전기원장'!A335="","",'전기원장'!C335)</x:f>
      </x:c>
      <x:c r="E335" s="73" t="str">
        <x:f>IF('전기원장'!A335="","",'전기원장'!D335)</x:f>
      </x:c>
      <x:c r="F335" s="73" t="str">
        <x:f>IF('전기원장'!A335="","",'전기원장'!E335)</x:f>
      </x:c>
      <x:c r="G335" s="75" t="str">
        <x:f>IF('전기원장'!A335="","",'전기원장'!H335)</x:f>
      </x:c>
      <x:c r="H335" s="73" t="str">
        <x:f>IF('전기원장'!A335="","",'전기원장'!I335)</x:f>
      </x:c>
      <x:c r="I335" s="73" t="str">
        <x:f>IF('전기원장'!A335="","",'전기원장'!J335)</x:f>
      </x:c>
      <x:c r="J335" s="73" t="str">
        <x:f>IF('전기원장'!A335="","",'전기원장'!K335)</x:f>
      </x:c>
      <x:c r="K335" s="73" t="str">
        <x:f>IF(B335="","",IF(COUNTIF($B$5:B335,B335)=1,COUNT($K$4:K334)+1,""))</x:f>
      </x:c>
      <x:c r="L335" s="85" t="str">
        <x:f>IF(B335="","",IF(COUNTIFS('계정비교'!$A$5:$A$1004,B335,'계정비교'!$H$5:$H$1004,"원인분석 대상")&gt;0,COUNT($L$4:L334)+1,""))</x:f>
      </x:c>
    </x:row>
    <x:row r="336">
      <x:c r="A336" s="73" t="str">
        <x:f>IF('전기원장'!A336="","","전기")</x:f>
      </x:c>
      <x:c r="B336" s="73" t="str">
        <x:f>IF('전기원장'!A336="","",'전기원장'!A336)</x:f>
      </x:c>
      <x:c r="C336" s="73" t="str">
        <x:f>IF('전기원장'!A336="","",'전기원장'!B336)</x:f>
      </x:c>
      <x:c r="D336" s="74" t="str">
        <x:f>IF('전기원장'!A336="","",'전기원장'!C336)</x:f>
      </x:c>
      <x:c r="E336" s="73" t="str">
        <x:f>IF('전기원장'!A336="","",'전기원장'!D336)</x:f>
      </x:c>
      <x:c r="F336" s="73" t="str">
        <x:f>IF('전기원장'!A336="","",'전기원장'!E336)</x:f>
      </x:c>
      <x:c r="G336" s="75" t="str">
        <x:f>IF('전기원장'!A336="","",'전기원장'!H336)</x:f>
      </x:c>
      <x:c r="H336" s="73" t="str">
        <x:f>IF('전기원장'!A336="","",'전기원장'!I336)</x:f>
      </x:c>
      <x:c r="I336" s="73" t="str">
        <x:f>IF('전기원장'!A336="","",'전기원장'!J336)</x:f>
      </x:c>
      <x:c r="J336" s="73" t="str">
        <x:f>IF('전기원장'!A336="","",'전기원장'!K336)</x:f>
      </x:c>
      <x:c r="K336" s="73" t="str">
        <x:f>IF(B336="","",IF(COUNTIF($B$5:B336,B336)=1,COUNT($K$4:K335)+1,""))</x:f>
      </x:c>
      <x:c r="L336" s="85" t="str">
        <x:f>IF(B336="","",IF(COUNTIFS('계정비교'!$A$5:$A$1004,B336,'계정비교'!$H$5:$H$1004,"원인분석 대상")&gt;0,COUNT($L$4:L335)+1,""))</x:f>
      </x:c>
    </x:row>
    <x:row r="337">
      <x:c r="A337" s="73" t="str">
        <x:f>IF('전기원장'!A337="","","전기")</x:f>
      </x:c>
      <x:c r="B337" s="73" t="str">
        <x:f>IF('전기원장'!A337="","",'전기원장'!A337)</x:f>
      </x:c>
      <x:c r="C337" s="73" t="str">
        <x:f>IF('전기원장'!A337="","",'전기원장'!B337)</x:f>
      </x:c>
      <x:c r="D337" s="74" t="str">
        <x:f>IF('전기원장'!A337="","",'전기원장'!C337)</x:f>
      </x:c>
      <x:c r="E337" s="73" t="str">
        <x:f>IF('전기원장'!A337="","",'전기원장'!D337)</x:f>
      </x:c>
      <x:c r="F337" s="73" t="str">
        <x:f>IF('전기원장'!A337="","",'전기원장'!E337)</x:f>
      </x:c>
      <x:c r="G337" s="75" t="str">
        <x:f>IF('전기원장'!A337="","",'전기원장'!H337)</x:f>
      </x:c>
      <x:c r="H337" s="73" t="str">
        <x:f>IF('전기원장'!A337="","",'전기원장'!I337)</x:f>
      </x:c>
      <x:c r="I337" s="73" t="str">
        <x:f>IF('전기원장'!A337="","",'전기원장'!J337)</x:f>
      </x:c>
      <x:c r="J337" s="73" t="str">
        <x:f>IF('전기원장'!A337="","",'전기원장'!K337)</x:f>
      </x:c>
      <x:c r="K337" s="73" t="str">
        <x:f>IF(B337="","",IF(COUNTIF($B$5:B337,B337)=1,COUNT($K$4:K336)+1,""))</x:f>
      </x:c>
      <x:c r="L337" s="85" t="str">
        <x:f>IF(B337="","",IF(COUNTIFS('계정비교'!$A$5:$A$1004,B337,'계정비교'!$H$5:$H$1004,"원인분석 대상")&gt;0,COUNT($L$4:L336)+1,""))</x:f>
      </x:c>
    </x:row>
    <x:row r="338">
      <x:c r="A338" s="73" t="str">
        <x:f>IF('전기원장'!A338="","","전기")</x:f>
      </x:c>
      <x:c r="B338" s="73" t="str">
        <x:f>IF('전기원장'!A338="","",'전기원장'!A338)</x:f>
      </x:c>
      <x:c r="C338" s="73" t="str">
        <x:f>IF('전기원장'!A338="","",'전기원장'!B338)</x:f>
      </x:c>
      <x:c r="D338" s="74" t="str">
        <x:f>IF('전기원장'!A338="","",'전기원장'!C338)</x:f>
      </x:c>
      <x:c r="E338" s="73" t="str">
        <x:f>IF('전기원장'!A338="","",'전기원장'!D338)</x:f>
      </x:c>
      <x:c r="F338" s="73" t="str">
        <x:f>IF('전기원장'!A338="","",'전기원장'!E338)</x:f>
      </x:c>
      <x:c r="G338" s="75" t="str">
        <x:f>IF('전기원장'!A338="","",'전기원장'!H338)</x:f>
      </x:c>
      <x:c r="H338" s="73" t="str">
        <x:f>IF('전기원장'!A338="","",'전기원장'!I338)</x:f>
      </x:c>
      <x:c r="I338" s="73" t="str">
        <x:f>IF('전기원장'!A338="","",'전기원장'!J338)</x:f>
      </x:c>
      <x:c r="J338" s="73" t="str">
        <x:f>IF('전기원장'!A338="","",'전기원장'!K338)</x:f>
      </x:c>
      <x:c r="K338" s="73" t="str">
        <x:f>IF(B338="","",IF(COUNTIF($B$5:B338,B338)=1,COUNT($K$4:K337)+1,""))</x:f>
      </x:c>
      <x:c r="L338" s="85" t="str">
        <x:f>IF(B338="","",IF(COUNTIFS('계정비교'!$A$5:$A$1004,B338,'계정비교'!$H$5:$H$1004,"원인분석 대상")&gt;0,COUNT($L$4:L337)+1,""))</x:f>
      </x:c>
    </x:row>
    <x:row r="339">
      <x:c r="A339" s="73" t="str">
        <x:f>IF('전기원장'!A339="","","전기")</x:f>
      </x:c>
      <x:c r="B339" s="73" t="str">
        <x:f>IF('전기원장'!A339="","",'전기원장'!A339)</x:f>
      </x:c>
      <x:c r="C339" s="73" t="str">
        <x:f>IF('전기원장'!A339="","",'전기원장'!B339)</x:f>
      </x:c>
      <x:c r="D339" s="74" t="str">
        <x:f>IF('전기원장'!A339="","",'전기원장'!C339)</x:f>
      </x:c>
      <x:c r="E339" s="73" t="str">
        <x:f>IF('전기원장'!A339="","",'전기원장'!D339)</x:f>
      </x:c>
      <x:c r="F339" s="73" t="str">
        <x:f>IF('전기원장'!A339="","",'전기원장'!E339)</x:f>
      </x:c>
      <x:c r="G339" s="75" t="str">
        <x:f>IF('전기원장'!A339="","",'전기원장'!H339)</x:f>
      </x:c>
      <x:c r="H339" s="73" t="str">
        <x:f>IF('전기원장'!A339="","",'전기원장'!I339)</x:f>
      </x:c>
      <x:c r="I339" s="73" t="str">
        <x:f>IF('전기원장'!A339="","",'전기원장'!J339)</x:f>
      </x:c>
      <x:c r="J339" s="73" t="str">
        <x:f>IF('전기원장'!A339="","",'전기원장'!K339)</x:f>
      </x:c>
      <x:c r="K339" s="73" t="str">
        <x:f>IF(B339="","",IF(COUNTIF($B$5:B339,B339)=1,COUNT($K$4:K338)+1,""))</x:f>
      </x:c>
      <x:c r="L339" s="85" t="str">
        <x:f>IF(B339="","",IF(COUNTIFS('계정비교'!$A$5:$A$1004,B339,'계정비교'!$H$5:$H$1004,"원인분석 대상")&gt;0,COUNT($L$4:L338)+1,""))</x:f>
      </x:c>
    </x:row>
    <x:row r="340">
      <x:c r="A340" s="73" t="str">
        <x:f>IF('전기원장'!A340="","","전기")</x:f>
      </x:c>
      <x:c r="B340" s="73" t="str">
        <x:f>IF('전기원장'!A340="","",'전기원장'!A340)</x:f>
      </x:c>
      <x:c r="C340" s="73" t="str">
        <x:f>IF('전기원장'!A340="","",'전기원장'!B340)</x:f>
      </x:c>
      <x:c r="D340" s="74" t="str">
        <x:f>IF('전기원장'!A340="","",'전기원장'!C340)</x:f>
      </x:c>
      <x:c r="E340" s="73" t="str">
        <x:f>IF('전기원장'!A340="","",'전기원장'!D340)</x:f>
      </x:c>
      <x:c r="F340" s="73" t="str">
        <x:f>IF('전기원장'!A340="","",'전기원장'!E340)</x:f>
      </x:c>
      <x:c r="G340" s="75" t="str">
        <x:f>IF('전기원장'!A340="","",'전기원장'!H340)</x:f>
      </x:c>
      <x:c r="H340" s="73" t="str">
        <x:f>IF('전기원장'!A340="","",'전기원장'!I340)</x:f>
      </x:c>
      <x:c r="I340" s="73" t="str">
        <x:f>IF('전기원장'!A340="","",'전기원장'!J340)</x:f>
      </x:c>
      <x:c r="J340" s="73" t="str">
        <x:f>IF('전기원장'!A340="","",'전기원장'!K340)</x:f>
      </x:c>
      <x:c r="K340" s="73" t="str">
        <x:f>IF(B340="","",IF(COUNTIF($B$5:B340,B340)=1,COUNT($K$4:K339)+1,""))</x:f>
      </x:c>
      <x:c r="L340" s="85" t="str">
        <x:f>IF(B340="","",IF(COUNTIFS('계정비교'!$A$5:$A$1004,B340,'계정비교'!$H$5:$H$1004,"원인분석 대상")&gt;0,COUNT($L$4:L339)+1,""))</x:f>
      </x:c>
    </x:row>
    <x:row r="341">
      <x:c r="A341" s="73" t="str">
        <x:f>IF('전기원장'!A341="","","전기")</x:f>
      </x:c>
      <x:c r="B341" s="73" t="str">
        <x:f>IF('전기원장'!A341="","",'전기원장'!A341)</x:f>
      </x:c>
      <x:c r="C341" s="73" t="str">
        <x:f>IF('전기원장'!A341="","",'전기원장'!B341)</x:f>
      </x:c>
      <x:c r="D341" s="74" t="str">
        <x:f>IF('전기원장'!A341="","",'전기원장'!C341)</x:f>
      </x:c>
      <x:c r="E341" s="73" t="str">
        <x:f>IF('전기원장'!A341="","",'전기원장'!D341)</x:f>
      </x:c>
      <x:c r="F341" s="73" t="str">
        <x:f>IF('전기원장'!A341="","",'전기원장'!E341)</x:f>
      </x:c>
      <x:c r="G341" s="75" t="str">
        <x:f>IF('전기원장'!A341="","",'전기원장'!H341)</x:f>
      </x:c>
      <x:c r="H341" s="73" t="str">
        <x:f>IF('전기원장'!A341="","",'전기원장'!I341)</x:f>
      </x:c>
      <x:c r="I341" s="73" t="str">
        <x:f>IF('전기원장'!A341="","",'전기원장'!J341)</x:f>
      </x:c>
      <x:c r="J341" s="73" t="str">
        <x:f>IF('전기원장'!A341="","",'전기원장'!K341)</x:f>
      </x:c>
      <x:c r="K341" s="73" t="str">
        <x:f>IF(B341="","",IF(COUNTIF($B$5:B341,B341)=1,COUNT($K$4:K340)+1,""))</x:f>
      </x:c>
      <x:c r="L341" s="85" t="str">
        <x:f>IF(B341="","",IF(COUNTIFS('계정비교'!$A$5:$A$1004,B341,'계정비교'!$H$5:$H$1004,"원인분석 대상")&gt;0,COUNT($L$4:L340)+1,""))</x:f>
      </x:c>
    </x:row>
    <x:row r="342">
      <x:c r="A342" s="73" t="str">
        <x:f>IF('전기원장'!A342="","","전기")</x:f>
      </x:c>
      <x:c r="B342" s="73" t="str">
        <x:f>IF('전기원장'!A342="","",'전기원장'!A342)</x:f>
      </x:c>
      <x:c r="C342" s="73" t="str">
        <x:f>IF('전기원장'!A342="","",'전기원장'!B342)</x:f>
      </x:c>
      <x:c r="D342" s="74" t="str">
        <x:f>IF('전기원장'!A342="","",'전기원장'!C342)</x:f>
      </x:c>
      <x:c r="E342" s="73" t="str">
        <x:f>IF('전기원장'!A342="","",'전기원장'!D342)</x:f>
      </x:c>
      <x:c r="F342" s="73" t="str">
        <x:f>IF('전기원장'!A342="","",'전기원장'!E342)</x:f>
      </x:c>
      <x:c r="G342" s="75" t="str">
        <x:f>IF('전기원장'!A342="","",'전기원장'!H342)</x:f>
      </x:c>
      <x:c r="H342" s="73" t="str">
        <x:f>IF('전기원장'!A342="","",'전기원장'!I342)</x:f>
      </x:c>
      <x:c r="I342" s="73" t="str">
        <x:f>IF('전기원장'!A342="","",'전기원장'!J342)</x:f>
      </x:c>
      <x:c r="J342" s="73" t="str">
        <x:f>IF('전기원장'!A342="","",'전기원장'!K342)</x:f>
      </x:c>
      <x:c r="K342" s="73" t="str">
        <x:f>IF(B342="","",IF(COUNTIF($B$5:B342,B342)=1,COUNT($K$4:K341)+1,""))</x:f>
      </x:c>
      <x:c r="L342" s="85" t="str">
        <x:f>IF(B342="","",IF(COUNTIFS('계정비교'!$A$5:$A$1004,B342,'계정비교'!$H$5:$H$1004,"원인분석 대상")&gt;0,COUNT($L$4:L341)+1,""))</x:f>
      </x:c>
    </x:row>
    <x:row r="343">
      <x:c r="A343" s="73" t="str">
        <x:f>IF('전기원장'!A343="","","전기")</x:f>
      </x:c>
      <x:c r="B343" s="73" t="str">
        <x:f>IF('전기원장'!A343="","",'전기원장'!A343)</x:f>
      </x:c>
      <x:c r="C343" s="73" t="str">
        <x:f>IF('전기원장'!A343="","",'전기원장'!B343)</x:f>
      </x:c>
      <x:c r="D343" s="74" t="str">
        <x:f>IF('전기원장'!A343="","",'전기원장'!C343)</x:f>
      </x:c>
      <x:c r="E343" s="73" t="str">
        <x:f>IF('전기원장'!A343="","",'전기원장'!D343)</x:f>
      </x:c>
      <x:c r="F343" s="73" t="str">
        <x:f>IF('전기원장'!A343="","",'전기원장'!E343)</x:f>
      </x:c>
      <x:c r="G343" s="75" t="str">
        <x:f>IF('전기원장'!A343="","",'전기원장'!H343)</x:f>
      </x:c>
      <x:c r="H343" s="73" t="str">
        <x:f>IF('전기원장'!A343="","",'전기원장'!I343)</x:f>
      </x:c>
      <x:c r="I343" s="73" t="str">
        <x:f>IF('전기원장'!A343="","",'전기원장'!J343)</x:f>
      </x:c>
      <x:c r="J343" s="73" t="str">
        <x:f>IF('전기원장'!A343="","",'전기원장'!K343)</x:f>
      </x:c>
      <x:c r="K343" s="73" t="str">
        <x:f>IF(B343="","",IF(COUNTIF($B$5:B343,B343)=1,COUNT($K$4:K342)+1,""))</x:f>
      </x:c>
      <x:c r="L343" s="85" t="str">
        <x:f>IF(B343="","",IF(COUNTIFS('계정비교'!$A$5:$A$1004,B343,'계정비교'!$H$5:$H$1004,"원인분석 대상")&gt;0,COUNT($L$4:L342)+1,""))</x:f>
      </x:c>
    </x:row>
    <x:row r="344">
      <x:c r="A344" s="73" t="str">
        <x:f>IF('전기원장'!A344="","","전기")</x:f>
      </x:c>
      <x:c r="B344" s="73" t="str">
        <x:f>IF('전기원장'!A344="","",'전기원장'!A344)</x:f>
      </x:c>
      <x:c r="C344" s="73" t="str">
        <x:f>IF('전기원장'!A344="","",'전기원장'!B344)</x:f>
      </x:c>
      <x:c r="D344" s="74" t="str">
        <x:f>IF('전기원장'!A344="","",'전기원장'!C344)</x:f>
      </x:c>
      <x:c r="E344" s="73" t="str">
        <x:f>IF('전기원장'!A344="","",'전기원장'!D344)</x:f>
      </x:c>
      <x:c r="F344" s="73" t="str">
        <x:f>IF('전기원장'!A344="","",'전기원장'!E344)</x:f>
      </x:c>
      <x:c r="G344" s="75" t="str">
        <x:f>IF('전기원장'!A344="","",'전기원장'!H344)</x:f>
      </x:c>
      <x:c r="H344" s="73" t="str">
        <x:f>IF('전기원장'!A344="","",'전기원장'!I344)</x:f>
      </x:c>
      <x:c r="I344" s="73" t="str">
        <x:f>IF('전기원장'!A344="","",'전기원장'!J344)</x:f>
      </x:c>
      <x:c r="J344" s="73" t="str">
        <x:f>IF('전기원장'!A344="","",'전기원장'!K344)</x:f>
      </x:c>
      <x:c r="K344" s="73" t="str">
        <x:f>IF(B344="","",IF(COUNTIF($B$5:B344,B344)=1,COUNT($K$4:K343)+1,""))</x:f>
      </x:c>
      <x:c r="L344" s="85" t="str">
        <x:f>IF(B344="","",IF(COUNTIFS('계정비교'!$A$5:$A$1004,B344,'계정비교'!$H$5:$H$1004,"원인분석 대상")&gt;0,COUNT($L$4:L343)+1,""))</x:f>
      </x:c>
    </x:row>
    <x:row r="345">
      <x:c r="A345" s="73" t="str">
        <x:f>IF('전기원장'!A345="","","전기")</x:f>
      </x:c>
      <x:c r="B345" s="73" t="str">
        <x:f>IF('전기원장'!A345="","",'전기원장'!A345)</x:f>
      </x:c>
      <x:c r="C345" s="73" t="str">
        <x:f>IF('전기원장'!A345="","",'전기원장'!B345)</x:f>
      </x:c>
      <x:c r="D345" s="74" t="str">
        <x:f>IF('전기원장'!A345="","",'전기원장'!C345)</x:f>
      </x:c>
      <x:c r="E345" s="73" t="str">
        <x:f>IF('전기원장'!A345="","",'전기원장'!D345)</x:f>
      </x:c>
      <x:c r="F345" s="73" t="str">
        <x:f>IF('전기원장'!A345="","",'전기원장'!E345)</x:f>
      </x:c>
      <x:c r="G345" s="75" t="str">
        <x:f>IF('전기원장'!A345="","",'전기원장'!H345)</x:f>
      </x:c>
      <x:c r="H345" s="73" t="str">
        <x:f>IF('전기원장'!A345="","",'전기원장'!I345)</x:f>
      </x:c>
      <x:c r="I345" s="73" t="str">
        <x:f>IF('전기원장'!A345="","",'전기원장'!J345)</x:f>
      </x:c>
      <x:c r="J345" s="73" t="str">
        <x:f>IF('전기원장'!A345="","",'전기원장'!K345)</x:f>
      </x:c>
      <x:c r="K345" s="73" t="str">
        <x:f>IF(B345="","",IF(COUNTIF($B$5:B345,B345)=1,COUNT($K$4:K344)+1,""))</x:f>
      </x:c>
      <x:c r="L345" s="85" t="str">
        <x:f>IF(B345="","",IF(COUNTIFS('계정비교'!$A$5:$A$1004,B345,'계정비교'!$H$5:$H$1004,"원인분석 대상")&gt;0,COUNT($L$4:L344)+1,""))</x:f>
      </x:c>
    </x:row>
    <x:row r="346">
      <x:c r="A346" s="73" t="str">
        <x:f>IF('전기원장'!A346="","","전기")</x:f>
      </x:c>
      <x:c r="B346" s="73" t="str">
        <x:f>IF('전기원장'!A346="","",'전기원장'!A346)</x:f>
      </x:c>
      <x:c r="C346" s="73" t="str">
        <x:f>IF('전기원장'!A346="","",'전기원장'!B346)</x:f>
      </x:c>
      <x:c r="D346" s="74" t="str">
        <x:f>IF('전기원장'!A346="","",'전기원장'!C346)</x:f>
      </x:c>
      <x:c r="E346" s="73" t="str">
        <x:f>IF('전기원장'!A346="","",'전기원장'!D346)</x:f>
      </x:c>
      <x:c r="F346" s="73" t="str">
        <x:f>IF('전기원장'!A346="","",'전기원장'!E346)</x:f>
      </x:c>
      <x:c r="G346" s="75" t="str">
        <x:f>IF('전기원장'!A346="","",'전기원장'!H346)</x:f>
      </x:c>
      <x:c r="H346" s="73" t="str">
        <x:f>IF('전기원장'!A346="","",'전기원장'!I346)</x:f>
      </x:c>
      <x:c r="I346" s="73" t="str">
        <x:f>IF('전기원장'!A346="","",'전기원장'!J346)</x:f>
      </x:c>
      <x:c r="J346" s="73" t="str">
        <x:f>IF('전기원장'!A346="","",'전기원장'!K346)</x:f>
      </x:c>
      <x:c r="K346" s="73" t="str">
        <x:f>IF(B346="","",IF(COUNTIF($B$5:B346,B346)=1,COUNT($K$4:K345)+1,""))</x:f>
      </x:c>
      <x:c r="L346" s="85" t="str">
        <x:f>IF(B346="","",IF(COUNTIFS('계정비교'!$A$5:$A$1004,B346,'계정비교'!$H$5:$H$1004,"원인분석 대상")&gt;0,COUNT($L$4:L345)+1,""))</x:f>
      </x:c>
    </x:row>
    <x:row r="347">
      <x:c r="A347" s="73" t="str">
        <x:f>IF('전기원장'!A347="","","전기")</x:f>
      </x:c>
      <x:c r="B347" s="73" t="str">
        <x:f>IF('전기원장'!A347="","",'전기원장'!A347)</x:f>
      </x:c>
      <x:c r="C347" s="73" t="str">
        <x:f>IF('전기원장'!A347="","",'전기원장'!B347)</x:f>
      </x:c>
      <x:c r="D347" s="74" t="str">
        <x:f>IF('전기원장'!A347="","",'전기원장'!C347)</x:f>
      </x:c>
      <x:c r="E347" s="73" t="str">
        <x:f>IF('전기원장'!A347="","",'전기원장'!D347)</x:f>
      </x:c>
      <x:c r="F347" s="73" t="str">
        <x:f>IF('전기원장'!A347="","",'전기원장'!E347)</x:f>
      </x:c>
      <x:c r="G347" s="75" t="str">
        <x:f>IF('전기원장'!A347="","",'전기원장'!H347)</x:f>
      </x:c>
      <x:c r="H347" s="73" t="str">
        <x:f>IF('전기원장'!A347="","",'전기원장'!I347)</x:f>
      </x:c>
      <x:c r="I347" s="73" t="str">
        <x:f>IF('전기원장'!A347="","",'전기원장'!J347)</x:f>
      </x:c>
      <x:c r="J347" s="73" t="str">
        <x:f>IF('전기원장'!A347="","",'전기원장'!K347)</x:f>
      </x:c>
      <x:c r="K347" s="73" t="str">
        <x:f>IF(B347="","",IF(COUNTIF($B$5:B347,B347)=1,COUNT($K$4:K346)+1,""))</x:f>
      </x:c>
      <x:c r="L347" s="85" t="str">
        <x:f>IF(B347="","",IF(COUNTIFS('계정비교'!$A$5:$A$1004,B347,'계정비교'!$H$5:$H$1004,"원인분석 대상")&gt;0,COUNT($L$4:L346)+1,""))</x:f>
      </x:c>
    </x:row>
    <x:row r="348">
      <x:c r="A348" s="73" t="str">
        <x:f>IF('전기원장'!A348="","","전기")</x:f>
      </x:c>
      <x:c r="B348" s="73" t="str">
        <x:f>IF('전기원장'!A348="","",'전기원장'!A348)</x:f>
      </x:c>
      <x:c r="C348" s="73" t="str">
        <x:f>IF('전기원장'!A348="","",'전기원장'!B348)</x:f>
      </x:c>
      <x:c r="D348" s="74" t="str">
        <x:f>IF('전기원장'!A348="","",'전기원장'!C348)</x:f>
      </x:c>
      <x:c r="E348" s="73" t="str">
        <x:f>IF('전기원장'!A348="","",'전기원장'!D348)</x:f>
      </x:c>
      <x:c r="F348" s="73" t="str">
        <x:f>IF('전기원장'!A348="","",'전기원장'!E348)</x:f>
      </x:c>
      <x:c r="G348" s="75" t="str">
        <x:f>IF('전기원장'!A348="","",'전기원장'!H348)</x:f>
      </x:c>
      <x:c r="H348" s="73" t="str">
        <x:f>IF('전기원장'!A348="","",'전기원장'!I348)</x:f>
      </x:c>
      <x:c r="I348" s="73" t="str">
        <x:f>IF('전기원장'!A348="","",'전기원장'!J348)</x:f>
      </x:c>
      <x:c r="J348" s="73" t="str">
        <x:f>IF('전기원장'!A348="","",'전기원장'!K348)</x:f>
      </x:c>
      <x:c r="K348" s="73" t="str">
        <x:f>IF(B348="","",IF(COUNTIF($B$5:B348,B348)=1,COUNT($K$4:K347)+1,""))</x:f>
      </x:c>
      <x:c r="L348" s="85" t="str">
        <x:f>IF(B348="","",IF(COUNTIFS('계정비교'!$A$5:$A$1004,B348,'계정비교'!$H$5:$H$1004,"원인분석 대상")&gt;0,COUNT($L$4:L347)+1,""))</x:f>
      </x:c>
    </x:row>
    <x:row r="349">
      <x:c r="A349" s="73" t="str">
        <x:f>IF('전기원장'!A349="","","전기")</x:f>
      </x:c>
      <x:c r="B349" s="73" t="str">
        <x:f>IF('전기원장'!A349="","",'전기원장'!A349)</x:f>
      </x:c>
      <x:c r="C349" s="73" t="str">
        <x:f>IF('전기원장'!A349="","",'전기원장'!B349)</x:f>
      </x:c>
      <x:c r="D349" s="74" t="str">
        <x:f>IF('전기원장'!A349="","",'전기원장'!C349)</x:f>
      </x:c>
      <x:c r="E349" s="73" t="str">
        <x:f>IF('전기원장'!A349="","",'전기원장'!D349)</x:f>
      </x:c>
      <x:c r="F349" s="73" t="str">
        <x:f>IF('전기원장'!A349="","",'전기원장'!E349)</x:f>
      </x:c>
      <x:c r="G349" s="75" t="str">
        <x:f>IF('전기원장'!A349="","",'전기원장'!H349)</x:f>
      </x:c>
      <x:c r="H349" s="73" t="str">
        <x:f>IF('전기원장'!A349="","",'전기원장'!I349)</x:f>
      </x:c>
      <x:c r="I349" s="73" t="str">
        <x:f>IF('전기원장'!A349="","",'전기원장'!J349)</x:f>
      </x:c>
      <x:c r="J349" s="73" t="str">
        <x:f>IF('전기원장'!A349="","",'전기원장'!K349)</x:f>
      </x:c>
      <x:c r="K349" s="73" t="str">
        <x:f>IF(B349="","",IF(COUNTIF($B$5:B349,B349)=1,COUNT($K$4:K348)+1,""))</x:f>
      </x:c>
      <x:c r="L349" s="85" t="str">
        <x:f>IF(B349="","",IF(COUNTIFS('계정비교'!$A$5:$A$1004,B349,'계정비교'!$H$5:$H$1004,"원인분석 대상")&gt;0,COUNT($L$4:L348)+1,""))</x:f>
      </x:c>
    </x:row>
    <x:row r="350">
      <x:c r="A350" s="73" t="str">
        <x:f>IF('전기원장'!A350="","","전기")</x:f>
      </x:c>
      <x:c r="B350" s="73" t="str">
        <x:f>IF('전기원장'!A350="","",'전기원장'!A350)</x:f>
      </x:c>
      <x:c r="C350" s="73" t="str">
        <x:f>IF('전기원장'!A350="","",'전기원장'!B350)</x:f>
      </x:c>
      <x:c r="D350" s="74" t="str">
        <x:f>IF('전기원장'!A350="","",'전기원장'!C350)</x:f>
      </x:c>
      <x:c r="E350" s="73" t="str">
        <x:f>IF('전기원장'!A350="","",'전기원장'!D350)</x:f>
      </x:c>
      <x:c r="F350" s="73" t="str">
        <x:f>IF('전기원장'!A350="","",'전기원장'!E350)</x:f>
      </x:c>
      <x:c r="G350" s="75" t="str">
        <x:f>IF('전기원장'!A350="","",'전기원장'!H350)</x:f>
      </x:c>
      <x:c r="H350" s="73" t="str">
        <x:f>IF('전기원장'!A350="","",'전기원장'!I350)</x:f>
      </x:c>
      <x:c r="I350" s="73" t="str">
        <x:f>IF('전기원장'!A350="","",'전기원장'!J350)</x:f>
      </x:c>
      <x:c r="J350" s="73" t="str">
        <x:f>IF('전기원장'!A350="","",'전기원장'!K350)</x:f>
      </x:c>
      <x:c r="K350" s="73" t="str">
        <x:f>IF(B350="","",IF(COUNTIF($B$5:B350,B350)=1,COUNT($K$4:K349)+1,""))</x:f>
      </x:c>
      <x:c r="L350" s="85" t="str">
        <x:f>IF(B350="","",IF(COUNTIFS('계정비교'!$A$5:$A$1004,B350,'계정비교'!$H$5:$H$1004,"원인분석 대상")&gt;0,COUNT($L$4:L349)+1,""))</x:f>
      </x:c>
    </x:row>
    <x:row r="351">
      <x:c r="A351" s="73" t="str">
        <x:f>IF('전기원장'!A351="","","전기")</x:f>
      </x:c>
      <x:c r="B351" s="73" t="str">
        <x:f>IF('전기원장'!A351="","",'전기원장'!A351)</x:f>
      </x:c>
      <x:c r="C351" s="73" t="str">
        <x:f>IF('전기원장'!A351="","",'전기원장'!B351)</x:f>
      </x:c>
      <x:c r="D351" s="74" t="str">
        <x:f>IF('전기원장'!A351="","",'전기원장'!C351)</x:f>
      </x:c>
      <x:c r="E351" s="73" t="str">
        <x:f>IF('전기원장'!A351="","",'전기원장'!D351)</x:f>
      </x:c>
      <x:c r="F351" s="73" t="str">
        <x:f>IF('전기원장'!A351="","",'전기원장'!E351)</x:f>
      </x:c>
      <x:c r="G351" s="75" t="str">
        <x:f>IF('전기원장'!A351="","",'전기원장'!H351)</x:f>
      </x:c>
      <x:c r="H351" s="73" t="str">
        <x:f>IF('전기원장'!A351="","",'전기원장'!I351)</x:f>
      </x:c>
      <x:c r="I351" s="73" t="str">
        <x:f>IF('전기원장'!A351="","",'전기원장'!J351)</x:f>
      </x:c>
      <x:c r="J351" s="73" t="str">
        <x:f>IF('전기원장'!A351="","",'전기원장'!K351)</x:f>
      </x:c>
      <x:c r="K351" s="73" t="str">
        <x:f>IF(B351="","",IF(COUNTIF($B$5:B351,B351)=1,COUNT($K$4:K350)+1,""))</x:f>
      </x:c>
      <x:c r="L351" s="85" t="str">
        <x:f>IF(B351="","",IF(COUNTIFS('계정비교'!$A$5:$A$1004,B351,'계정비교'!$H$5:$H$1004,"원인분석 대상")&gt;0,COUNT($L$4:L350)+1,""))</x:f>
      </x:c>
    </x:row>
    <x:row r="352">
      <x:c r="A352" s="73" t="str">
        <x:f>IF('전기원장'!A352="","","전기")</x:f>
      </x:c>
      <x:c r="B352" s="73" t="str">
        <x:f>IF('전기원장'!A352="","",'전기원장'!A352)</x:f>
      </x:c>
      <x:c r="C352" s="73" t="str">
        <x:f>IF('전기원장'!A352="","",'전기원장'!B352)</x:f>
      </x:c>
      <x:c r="D352" s="74" t="str">
        <x:f>IF('전기원장'!A352="","",'전기원장'!C352)</x:f>
      </x:c>
      <x:c r="E352" s="73" t="str">
        <x:f>IF('전기원장'!A352="","",'전기원장'!D352)</x:f>
      </x:c>
      <x:c r="F352" s="73" t="str">
        <x:f>IF('전기원장'!A352="","",'전기원장'!E352)</x:f>
      </x:c>
      <x:c r="G352" s="75" t="str">
        <x:f>IF('전기원장'!A352="","",'전기원장'!H352)</x:f>
      </x:c>
      <x:c r="H352" s="73" t="str">
        <x:f>IF('전기원장'!A352="","",'전기원장'!I352)</x:f>
      </x:c>
      <x:c r="I352" s="73" t="str">
        <x:f>IF('전기원장'!A352="","",'전기원장'!J352)</x:f>
      </x:c>
      <x:c r="J352" s="73" t="str">
        <x:f>IF('전기원장'!A352="","",'전기원장'!K352)</x:f>
      </x:c>
      <x:c r="K352" s="73" t="str">
        <x:f>IF(B352="","",IF(COUNTIF($B$5:B352,B352)=1,COUNT($K$4:K351)+1,""))</x:f>
      </x:c>
      <x:c r="L352" s="85" t="str">
        <x:f>IF(B352="","",IF(COUNTIFS('계정비교'!$A$5:$A$1004,B352,'계정비교'!$H$5:$H$1004,"원인분석 대상")&gt;0,COUNT($L$4:L351)+1,""))</x:f>
      </x:c>
    </x:row>
    <x:row r="353">
      <x:c r="A353" s="73" t="str">
        <x:f>IF('전기원장'!A353="","","전기")</x:f>
      </x:c>
      <x:c r="B353" s="73" t="str">
        <x:f>IF('전기원장'!A353="","",'전기원장'!A353)</x:f>
      </x:c>
      <x:c r="C353" s="73" t="str">
        <x:f>IF('전기원장'!A353="","",'전기원장'!B353)</x:f>
      </x:c>
      <x:c r="D353" s="74" t="str">
        <x:f>IF('전기원장'!A353="","",'전기원장'!C353)</x:f>
      </x:c>
      <x:c r="E353" s="73" t="str">
        <x:f>IF('전기원장'!A353="","",'전기원장'!D353)</x:f>
      </x:c>
      <x:c r="F353" s="73" t="str">
        <x:f>IF('전기원장'!A353="","",'전기원장'!E353)</x:f>
      </x:c>
      <x:c r="G353" s="75" t="str">
        <x:f>IF('전기원장'!A353="","",'전기원장'!H353)</x:f>
      </x:c>
      <x:c r="H353" s="73" t="str">
        <x:f>IF('전기원장'!A353="","",'전기원장'!I353)</x:f>
      </x:c>
      <x:c r="I353" s="73" t="str">
        <x:f>IF('전기원장'!A353="","",'전기원장'!J353)</x:f>
      </x:c>
      <x:c r="J353" s="73" t="str">
        <x:f>IF('전기원장'!A353="","",'전기원장'!K353)</x:f>
      </x:c>
      <x:c r="K353" s="73" t="str">
        <x:f>IF(B353="","",IF(COUNTIF($B$5:B353,B353)=1,COUNT($K$4:K352)+1,""))</x:f>
      </x:c>
      <x:c r="L353" s="85" t="str">
        <x:f>IF(B353="","",IF(COUNTIFS('계정비교'!$A$5:$A$1004,B353,'계정비교'!$H$5:$H$1004,"원인분석 대상")&gt;0,COUNT($L$4:L352)+1,""))</x:f>
      </x:c>
    </x:row>
    <x:row r="354">
      <x:c r="A354" s="73" t="str">
        <x:f>IF('전기원장'!A354="","","전기")</x:f>
      </x:c>
      <x:c r="B354" s="73" t="str">
        <x:f>IF('전기원장'!A354="","",'전기원장'!A354)</x:f>
      </x:c>
      <x:c r="C354" s="73" t="str">
        <x:f>IF('전기원장'!A354="","",'전기원장'!B354)</x:f>
      </x:c>
      <x:c r="D354" s="74" t="str">
        <x:f>IF('전기원장'!A354="","",'전기원장'!C354)</x:f>
      </x:c>
      <x:c r="E354" s="73" t="str">
        <x:f>IF('전기원장'!A354="","",'전기원장'!D354)</x:f>
      </x:c>
      <x:c r="F354" s="73" t="str">
        <x:f>IF('전기원장'!A354="","",'전기원장'!E354)</x:f>
      </x:c>
      <x:c r="G354" s="75" t="str">
        <x:f>IF('전기원장'!A354="","",'전기원장'!H354)</x:f>
      </x:c>
      <x:c r="H354" s="73" t="str">
        <x:f>IF('전기원장'!A354="","",'전기원장'!I354)</x:f>
      </x:c>
      <x:c r="I354" s="73" t="str">
        <x:f>IF('전기원장'!A354="","",'전기원장'!J354)</x:f>
      </x:c>
      <x:c r="J354" s="73" t="str">
        <x:f>IF('전기원장'!A354="","",'전기원장'!K354)</x:f>
      </x:c>
      <x:c r="K354" s="73" t="str">
        <x:f>IF(B354="","",IF(COUNTIF($B$5:B354,B354)=1,COUNT($K$4:K353)+1,""))</x:f>
      </x:c>
      <x:c r="L354" s="85" t="str">
        <x:f>IF(B354="","",IF(COUNTIFS('계정비교'!$A$5:$A$1004,B354,'계정비교'!$H$5:$H$1004,"원인분석 대상")&gt;0,COUNT($L$4:L353)+1,""))</x:f>
      </x:c>
    </x:row>
    <x:row r="355">
      <x:c r="A355" s="73" t="str">
        <x:f>IF('전기원장'!A355="","","전기")</x:f>
      </x:c>
      <x:c r="B355" s="73" t="str">
        <x:f>IF('전기원장'!A355="","",'전기원장'!A355)</x:f>
      </x:c>
      <x:c r="C355" s="73" t="str">
        <x:f>IF('전기원장'!A355="","",'전기원장'!B355)</x:f>
      </x:c>
      <x:c r="D355" s="74" t="str">
        <x:f>IF('전기원장'!A355="","",'전기원장'!C355)</x:f>
      </x:c>
      <x:c r="E355" s="73" t="str">
        <x:f>IF('전기원장'!A355="","",'전기원장'!D355)</x:f>
      </x:c>
      <x:c r="F355" s="73" t="str">
        <x:f>IF('전기원장'!A355="","",'전기원장'!E355)</x:f>
      </x:c>
      <x:c r="G355" s="75" t="str">
        <x:f>IF('전기원장'!A355="","",'전기원장'!H355)</x:f>
      </x:c>
      <x:c r="H355" s="73" t="str">
        <x:f>IF('전기원장'!A355="","",'전기원장'!I355)</x:f>
      </x:c>
      <x:c r="I355" s="73" t="str">
        <x:f>IF('전기원장'!A355="","",'전기원장'!J355)</x:f>
      </x:c>
      <x:c r="J355" s="73" t="str">
        <x:f>IF('전기원장'!A355="","",'전기원장'!K355)</x:f>
      </x:c>
      <x:c r="K355" s="73" t="str">
        <x:f>IF(B355="","",IF(COUNTIF($B$5:B355,B355)=1,COUNT($K$4:K354)+1,""))</x:f>
      </x:c>
      <x:c r="L355" s="85" t="str">
        <x:f>IF(B355="","",IF(COUNTIFS('계정비교'!$A$5:$A$1004,B355,'계정비교'!$H$5:$H$1004,"원인분석 대상")&gt;0,COUNT($L$4:L354)+1,""))</x:f>
      </x:c>
    </x:row>
    <x:row r="356">
      <x:c r="A356" s="73" t="str">
        <x:f>IF('전기원장'!A356="","","전기")</x:f>
      </x:c>
      <x:c r="B356" s="73" t="str">
        <x:f>IF('전기원장'!A356="","",'전기원장'!A356)</x:f>
      </x:c>
      <x:c r="C356" s="73" t="str">
        <x:f>IF('전기원장'!A356="","",'전기원장'!B356)</x:f>
      </x:c>
      <x:c r="D356" s="74" t="str">
        <x:f>IF('전기원장'!A356="","",'전기원장'!C356)</x:f>
      </x:c>
      <x:c r="E356" s="73" t="str">
        <x:f>IF('전기원장'!A356="","",'전기원장'!D356)</x:f>
      </x:c>
      <x:c r="F356" s="73" t="str">
        <x:f>IF('전기원장'!A356="","",'전기원장'!E356)</x:f>
      </x:c>
      <x:c r="G356" s="75" t="str">
        <x:f>IF('전기원장'!A356="","",'전기원장'!H356)</x:f>
      </x:c>
      <x:c r="H356" s="73" t="str">
        <x:f>IF('전기원장'!A356="","",'전기원장'!I356)</x:f>
      </x:c>
      <x:c r="I356" s="73" t="str">
        <x:f>IF('전기원장'!A356="","",'전기원장'!J356)</x:f>
      </x:c>
      <x:c r="J356" s="73" t="str">
        <x:f>IF('전기원장'!A356="","",'전기원장'!K356)</x:f>
      </x:c>
      <x:c r="K356" s="73" t="str">
        <x:f>IF(B356="","",IF(COUNTIF($B$5:B356,B356)=1,COUNT($K$4:K355)+1,""))</x:f>
      </x:c>
      <x:c r="L356" s="85" t="str">
        <x:f>IF(B356="","",IF(COUNTIFS('계정비교'!$A$5:$A$1004,B356,'계정비교'!$H$5:$H$1004,"원인분석 대상")&gt;0,COUNT($L$4:L355)+1,""))</x:f>
      </x:c>
    </x:row>
    <x:row r="357">
      <x:c r="A357" s="73" t="str">
        <x:f>IF('전기원장'!A357="","","전기")</x:f>
      </x:c>
      <x:c r="B357" s="73" t="str">
        <x:f>IF('전기원장'!A357="","",'전기원장'!A357)</x:f>
      </x:c>
      <x:c r="C357" s="73" t="str">
        <x:f>IF('전기원장'!A357="","",'전기원장'!B357)</x:f>
      </x:c>
      <x:c r="D357" s="74" t="str">
        <x:f>IF('전기원장'!A357="","",'전기원장'!C357)</x:f>
      </x:c>
      <x:c r="E357" s="73" t="str">
        <x:f>IF('전기원장'!A357="","",'전기원장'!D357)</x:f>
      </x:c>
      <x:c r="F357" s="73" t="str">
        <x:f>IF('전기원장'!A357="","",'전기원장'!E357)</x:f>
      </x:c>
      <x:c r="G357" s="75" t="str">
        <x:f>IF('전기원장'!A357="","",'전기원장'!H357)</x:f>
      </x:c>
      <x:c r="H357" s="73" t="str">
        <x:f>IF('전기원장'!A357="","",'전기원장'!I357)</x:f>
      </x:c>
      <x:c r="I357" s="73" t="str">
        <x:f>IF('전기원장'!A357="","",'전기원장'!J357)</x:f>
      </x:c>
      <x:c r="J357" s="73" t="str">
        <x:f>IF('전기원장'!A357="","",'전기원장'!K357)</x:f>
      </x:c>
      <x:c r="K357" s="73" t="str">
        <x:f>IF(B357="","",IF(COUNTIF($B$5:B357,B357)=1,COUNT($K$4:K356)+1,""))</x:f>
      </x:c>
      <x:c r="L357" s="85" t="str">
        <x:f>IF(B357="","",IF(COUNTIFS('계정비교'!$A$5:$A$1004,B357,'계정비교'!$H$5:$H$1004,"원인분석 대상")&gt;0,COUNT($L$4:L356)+1,""))</x:f>
      </x:c>
    </x:row>
    <x:row r="358">
      <x:c r="A358" s="73" t="str">
        <x:f>IF('전기원장'!A358="","","전기")</x:f>
      </x:c>
      <x:c r="B358" s="73" t="str">
        <x:f>IF('전기원장'!A358="","",'전기원장'!A358)</x:f>
      </x:c>
      <x:c r="C358" s="73" t="str">
        <x:f>IF('전기원장'!A358="","",'전기원장'!B358)</x:f>
      </x:c>
      <x:c r="D358" s="74" t="str">
        <x:f>IF('전기원장'!A358="","",'전기원장'!C358)</x:f>
      </x:c>
      <x:c r="E358" s="73" t="str">
        <x:f>IF('전기원장'!A358="","",'전기원장'!D358)</x:f>
      </x:c>
      <x:c r="F358" s="73" t="str">
        <x:f>IF('전기원장'!A358="","",'전기원장'!E358)</x:f>
      </x:c>
      <x:c r="G358" s="75" t="str">
        <x:f>IF('전기원장'!A358="","",'전기원장'!H358)</x:f>
      </x:c>
      <x:c r="H358" s="73" t="str">
        <x:f>IF('전기원장'!A358="","",'전기원장'!I358)</x:f>
      </x:c>
      <x:c r="I358" s="73" t="str">
        <x:f>IF('전기원장'!A358="","",'전기원장'!J358)</x:f>
      </x:c>
      <x:c r="J358" s="73" t="str">
        <x:f>IF('전기원장'!A358="","",'전기원장'!K358)</x:f>
      </x:c>
      <x:c r="K358" s="73" t="str">
        <x:f>IF(B358="","",IF(COUNTIF($B$5:B358,B358)=1,COUNT($K$4:K357)+1,""))</x:f>
      </x:c>
      <x:c r="L358" s="85" t="str">
        <x:f>IF(B358="","",IF(COUNTIFS('계정비교'!$A$5:$A$1004,B358,'계정비교'!$H$5:$H$1004,"원인분석 대상")&gt;0,COUNT($L$4:L357)+1,""))</x:f>
      </x:c>
    </x:row>
    <x:row r="359">
      <x:c r="A359" s="73" t="str">
        <x:f>IF('전기원장'!A359="","","전기")</x:f>
      </x:c>
      <x:c r="B359" s="73" t="str">
        <x:f>IF('전기원장'!A359="","",'전기원장'!A359)</x:f>
      </x:c>
      <x:c r="C359" s="73" t="str">
        <x:f>IF('전기원장'!A359="","",'전기원장'!B359)</x:f>
      </x:c>
      <x:c r="D359" s="74" t="str">
        <x:f>IF('전기원장'!A359="","",'전기원장'!C359)</x:f>
      </x:c>
      <x:c r="E359" s="73" t="str">
        <x:f>IF('전기원장'!A359="","",'전기원장'!D359)</x:f>
      </x:c>
      <x:c r="F359" s="73" t="str">
        <x:f>IF('전기원장'!A359="","",'전기원장'!E359)</x:f>
      </x:c>
      <x:c r="G359" s="75" t="str">
        <x:f>IF('전기원장'!A359="","",'전기원장'!H359)</x:f>
      </x:c>
      <x:c r="H359" s="73" t="str">
        <x:f>IF('전기원장'!A359="","",'전기원장'!I359)</x:f>
      </x:c>
      <x:c r="I359" s="73" t="str">
        <x:f>IF('전기원장'!A359="","",'전기원장'!J359)</x:f>
      </x:c>
      <x:c r="J359" s="73" t="str">
        <x:f>IF('전기원장'!A359="","",'전기원장'!K359)</x:f>
      </x:c>
      <x:c r="K359" s="73" t="str">
        <x:f>IF(B359="","",IF(COUNTIF($B$5:B359,B359)=1,COUNT($K$4:K358)+1,""))</x:f>
      </x:c>
      <x:c r="L359" s="85" t="str">
        <x:f>IF(B359="","",IF(COUNTIFS('계정비교'!$A$5:$A$1004,B359,'계정비교'!$H$5:$H$1004,"원인분석 대상")&gt;0,COUNT($L$4:L358)+1,""))</x:f>
      </x:c>
    </x:row>
    <x:row r="360">
      <x:c r="A360" s="73" t="str">
        <x:f>IF('전기원장'!A360="","","전기")</x:f>
      </x:c>
      <x:c r="B360" s="73" t="str">
        <x:f>IF('전기원장'!A360="","",'전기원장'!A360)</x:f>
      </x:c>
      <x:c r="C360" s="73" t="str">
        <x:f>IF('전기원장'!A360="","",'전기원장'!B360)</x:f>
      </x:c>
      <x:c r="D360" s="74" t="str">
        <x:f>IF('전기원장'!A360="","",'전기원장'!C360)</x:f>
      </x:c>
      <x:c r="E360" s="73" t="str">
        <x:f>IF('전기원장'!A360="","",'전기원장'!D360)</x:f>
      </x:c>
      <x:c r="F360" s="73" t="str">
        <x:f>IF('전기원장'!A360="","",'전기원장'!E360)</x:f>
      </x:c>
      <x:c r="G360" s="75" t="str">
        <x:f>IF('전기원장'!A360="","",'전기원장'!H360)</x:f>
      </x:c>
      <x:c r="H360" s="73" t="str">
        <x:f>IF('전기원장'!A360="","",'전기원장'!I360)</x:f>
      </x:c>
      <x:c r="I360" s="73" t="str">
        <x:f>IF('전기원장'!A360="","",'전기원장'!J360)</x:f>
      </x:c>
      <x:c r="J360" s="73" t="str">
        <x:f>IF('전기원장'!A360="","",'전기원장'!K360)</x:f>
      </x:c>
      <x:c r="K360" s="73" t="str">
        <x:f>IF(B360="","",IF(COUNTIF($B$5:B360,B360)=1,COUNT($K$4:K359)+1,""))</x:f>
      </x:c>
      <x:c r="L360" s="85" t="str">
        <x:f>IF(B360="","",IF(COUNTIFS('계정비교'!$A$5:$A$1004,B360,'계정비교'!$H$5:$H$1004,"원인분석 대상")&gt;0,COUNT($L$4:L359)+1,""))</x:f>
      </x:c>
    </x:row>
    <x:row r="361">
      <x:c r="A361" s="73" t="str">
        <x:f>IF('전기원장'!A361="","","전기")</x:f>
      </x:c>
      <x:c r="B361" s="73" t="str">
        <x:f>IF('전기원장'!A361="","",'전기원장'!A361)</x:f>
      </x:c>
      <x:c r="C361" s="73" t="str">
        <x:f>IF('전기원장'!A361="","",'전기원장'!B361)</x:f>
      </x:c>
      <x:c r="D361" s="74" t="str">
        <x:f>IF('전기원장'!A361="","",'전기원장'!C361)</x:f>
      </x:c>
      <x:c r="E361" s="73" t="str">
        <x:f>IF('전기원장'!A361="","",'전기원장'!D361)</x:f>
      </x:c>
      <x:c r="F361" s="73" t="str">
        <x:f>IF('전기원장'!A361="","",'전기원장'!E361)</x:f>
      </x:c>
      <x:c r="G361" s="75" t="str">
        <x:f>IF('전기원장'!A361="","",'전기원장'!H361)</x:f>
      </x:c>
      <x:c r="H361" s="73" t="str">
        <x:f>IF('전기원장'!A361="","",'전기원장'!I361)</x:f>
      </x:c>
      <x:c r="I361" s="73" t="str">
        <x:f>IF('전기원장'!A361="","",'전기원장'!J361)</x:f>
      </x:c>
      <x:c r="J361" s="73" t="str">
        <x:f>IF('전기원장'!A361="","",'전기원장'!K361)</x:f>
      </x:c>
      <x:c r="K361" s="73" t="str">
        <x:f>IF(B361="","",IF(COUNTIF($B$5:B361,B361)=1,COUNT($K$4:K360)+1,""))</x:f>
      </x:c>
      <x:c r="L361" s="85" t="str">
        <x:f>IF(B361="","",IF(COUNTIFS('계정비교'!$A$5:$A$1004,B361,'계정비교'!$H$5:$H$1004,"원인분석 대상")&gt;0,COUNT($L$4:L360)+1,""))</x:f>
      </x:c>
    </x:row>
    <x:row r="362">
      <x:c r="A362" s="73" t="str">
        <x:f>IF('전기원장'!A362="","","전기")</x:f>
      </x:c>
      <x:c r="B362" s="73" t="str">
        <x:f>IF('전기원장'!A362="","",'전기원장'!A362)</x:f>
      </x:c>
      <x:c r="C362" s="73" t="str">
        <x:f>IF('전기원장'!A362="","",'전기원장'!B362)</x:f>
      </x:c>
      <x:c r="D362" s="74" t="str">
        <x:f>IF('전기원장'!A362="","",'전기원장'!C362)</x:f>
      </x:c>
      <x:c r="E362" s="73" t="str">
        <x:f>IF('전기원장'!A362="","",'전기원장'!D362)</x:f>
      </x:c>
      <x:c r="F362" s="73" t="str">
        <x:f>IF('전기원장'!A362="","",'전기원장'!E362)</x:f>
      </x:c>
      <x:c r="G362" s="75" t="str">
        <x:f>IF('전기원장'!A362="","",'전기원장'!H362)</x:f>
      </x:c>
      <x:c r="H362" s="73" t="str">
        <x:f>IF('전기원장'!A362="","",'전기원장'!I362)</x:f>
      </x:c>
      <x:c r="I362" s="73" t="str">
        <x:f>IF('전기원장'!A362="","",'전기원장'!J362)</x:f>
      </x:c>
      <x:c r="J362" s="73" t="str">
        <x:f>IF('전기원장'!A362="","",'전기원장'!K362)</x:f>
      </x:c>
      <x:c r="K362" s="73" t="str">
        <x:f>IF(B362="","",IF(COUNTIF($B$5:B362,B362)=1,COUNT($K$4:K361)+1,""))</x:f>
      </x:c>
      <x:c r="L362" s="85" t="str">
        <x:f>IF(B362="","",IF(COUNTIFS('계정비교'!$A$5:$A$1004,B362,'계정비교'!$H$5:$H$1004,"원인분석 대상")&gt;0,COUNT($L$4:L361)+1,""))</x:f>
      </x:c>
    </x:row>
    <x:row r="363">
      <x:c r="A363" s="73" t="str">
        <x:f>IF('전기원장'!A363="","","전기")</x:f>
      </x:c>
      <x:c r="B363" s="73" t="str">
        <x:f>IF('전기원장'!A363="","",'전기원장'!A363)</x:f>
      </x:c>
      <x:c r="C363" s="73" t="str">
        <x:f>IF('전기원장'!A363="","",'전기원장'!B363)</x:f>
      </x:c>
      <x:c r="D363" s="74" t="str">
        <x:f>IF('전기원장'!A363="","",'전기원장'!C363)</x:f>
      </x:c>
      <x:c r="E363" s="73" t="str">
        <x:f>IF('전기원장'!A363="","",'전기원장'!D363)</x:f>
      </x:c>
      <x:c r="F363" s="73" t="str">
        <x:f>IF('전기원장'!A363="","",'전기원장'!E363)</x:f>
      </x:c>
      <x:c r="G363" s="75" t="str">
        <x:f>IF('전기원장'!A363="","",'전기원장'!H363)</x:f>
      </x:c>
      <x:c r="H363" s="73" t="str">
        <x:f>IF('전기원장'!A363="","",'전기원장'!I363)</x:f>
      </x:c>
      <x:c r="I363" s="73" t="str">
        <x:f>IF('전기원장'!A363="","",'전기원장'!J363)</x:f>
      </x:c>
      <x:c r="J363" s="73" t="str">
        <x:f>IF('전기원장'!A363="","",'전기원장'!K363)</x:f>
      </x:c>
      <x:c r="K363" s="73" t="str">
        <x:f>IF(B363="","",IF(COUNTIF($B$5:B363,B363)=1,COUNT($K$4:K362)+1,""))</x:f>
      </x:c>
      <x:c r="L363" s="85" t="str">
        <x:f>IF(B363="","",IF(COUNTIFS('계정비교'!$A$5:$A$1004,B363,'계정비교'!$H$5:$H$1004,"원인분석 대상")&gt;0,COUNT($L$4:L362)+1,""))</x:f>
      </x:c>
    </x:row>
    <x:row r="364">
      <x:c r="A364" s="73" t="str">
        <x:f>IF('전기원장'!A364="","","전기")</x:f>
      </x:c>
      <x:c r="B364" s="73" t="str">
        <x:f>IF('전기원장'!A364="","",'전기원장'!A364)</x:f>
      </x:c>
      <x:c r="C364" s="73" t="str">
        <x:f>IF('전기원장'!A364="","",'전기원장'!B364)</x:f>
      </x:c>
      <x:c r="D364" s="74" t="str">
        <x:f>IF('전기원장'!A364="","",'전기원장'!C364)</x:f>
      </x:c>
      <x:c r="E364" s="73" t="str">
        <x:f>IF('전기원장'!A364="","",'전기원장'!D364)</x:f>
      </x:c>
      <x:c r="F364" s="73" t="str">
        <x:f>IF('전기원장'!A364="","",'전기원장'!E364)</x:f>
      </x:c>
      <x:c r="G364" s="75" t="str">
        <x:f>IF('전기원장'!A364="","",'전기원장'!H364)</x:f>
      </x:c>
      <x:c r="H364" s="73" t="str">
        <x:f>IF('전기원장'!A364="","",'전기원장'!I364)</x:f>
      </x:c>
      <x:c r="I364" s="73" t="str">
        <x:f>IF('전기원장'!A364="","",'전기원장'!J364)</x:f>
      </x:c>
      <x:c r="J364" s="73" t="str">
        <x:f>IF('전기원장'!A364="","",'전기원장'!K364)</x:f>
      </x:c>
      <x:c r="K364" s="73" t="str">
        <x:f>IF(B364="","",IF(COUNTIF($B$5:B364,B364)=1,COUNT($K$4:K363)+1,""))</x:f>
      </x:c>
      <x:c r="L364" s="85" t="str">
        <x:f>IF(B364="","",IF(COUNTIFS('계정비교'!$A$5:$A$1004,B364,'계정비교'!$H$5:$H$1004,"원인분석 대상")&gt;0,COUNT($L$4:L363)+1,""))</x:f>
      </x:c>
    </x:row>
    <x:row r="365">
      <x:c r="A365" s="73" t="str">
        <x:f>IF('전기원장'!A365="","","전기")</x:f>
      </x:c>
      <x:c r="B365" s="73" t="str">
        <x:f>IF('전기원장'!A365="","",'전기원장'!A365)</x:f>
      </x:c>
      <x:c r="C365" s="73" t="str">
        <x:f>IF('전기원장'!A365="","",'전기원장'!B365)</x:f>
      </x:c>
      <x:c r="D365" s="74" t="str">
        <x:f>IF('전기원장'!A365="","",'전기원장'!C365)</x:f>
      </x:c>
      <x:c r="E365" s="73" t="str">
        <x:f>IF('전기원장'!A365="","",'전기원장'!D365)</x:f>
      </x:c>
      <x:c r="F365" s="73" t="str">
        <x:f>IF('전기원장'!A365="","",'전기원장'!E365)</x:f>
      </x:c>
      <x:c r="G365" s="75" t="str">
        <x:f>IF('전기원장'!A365="","",'전기원장'!H365)</x:f>
      </x:c>
      <x:c r="H365" s="73" t="str">
        <x:f>IF('전기원장'!A365="","",'전기원장'!I365)</x:f>
      </x:c>
      <x:c r="I365" s="73" t="str">
        <x:f>IF('전기원장'!A365="","",'전기원장'!J365)</x:f>
      </x:c>
      <x:c r="J365" s="73" t="str">
        <x:f>IF('전기원장'!A365="","",'전기원장'!K365)</x:f>
      </x:c>
      <x:c r="K365" s="73" t="str">
        <x:f>IF(B365="","",IF(COUNTIF($B$5:B365,B365)=1,COUNT($K$4:K364)+1,""))</x:f>
      </x:c>
      <x:c r="L365" s="85" t="str">
        <x:f>IF(B365="","",IF(COUNTIFS('계정비교'!$A$5:$A$1004,B365,'계정비교'!$H$5:$H$1004,"원인분석 대상")&gt;0,COUNT($L$4:L364)+1,""))</x:f>
      </x:c>
    </x:row>
    <x:row r="366">
      <x:c r="A366" s="73" t="str">
        <x:f>IF('전기원장'!A366="","","전기")</x:f>
      </x:c>
      <x:c r="B366" s="73" t="str">
        <x:f>IF('전기원장'!A366="","",'전기원장'!A366)</x:f>
      </x:c>
      <x:c r="C366" s="73" t="str">
        <x:f>IF('전기원장'!A366="","",'전기원장'!B366)</x:f>
      </x:c>
      <x:c r="D366" s="74" t="str">
        <x:f>IF('전기원장'!A366="","",'전기원장'!C366)</x:f>
      </x:c>
      <x:c r="E366" s="73" t="str">
        <x:f>IF('전기원장'!A366="","",'전기원장'!D366)</x:f>
      </x:c>
      <x:c r="F366" s="73" t="str">
        <x:f>IF('전기원장'!A366="","",'전기원장'!E366)</x:f>
      </x:c>
      <x:c r="G366" s="75" t="str">
        <x:f>IF('전기원장'!A366="","",'전기원장'!H366)</x:f>
      </x:c>
      <x:c r="H366" s="73" t="str">
        <x:f>IF('전기원장'!A366="","",'전기원장'!I366)</x:f>
      </x:c>
      <x:c r="I366" s="73" t="str">
        <x:f>IF('전기원장'!A366="","",'전기원장'!J366)</x:f>
      </x:c>
      <x:c r="J366" s="73" t="str">
        <x:f>IF('전기원장'!A366="","",'전기원장'!K366)</x:f>
      </x:c>
      <x:c r="K366" s="73" t="str">
        <x:f>IF(B366="","",IF(COUNTIF($B$5:B366,B366)=1,COUNT($K$4:K365)+1,""))</x:f>
      </x:c>
      <x:c r="L366" s="85" t="str">
        <x:f>IF(B366="","",IF(COUNTIFS('계정비교'!$A$5:$A$1004,B366,'계정비교'!$H$5:$H$1004,"원인분석 대상")&gt;0,COUNT($L$4:L365)+1,""))</x:f>
      </x:c>
    </x:row>
    <x:row r="367">
      <x:c r="A367" s="73" t="str">
        <x:f>IF('전기원장'!A367="","","전기")</x:f>
      </x:c>
      <x:c r="B367" s="73" t="str">
        <x:f>IF('전기원장'!A367="","",'전기원장'!A367)</x:f>
      </x:c>
      <x:c r="C367" s="73" t="str">
        <x:f>IF('전기원장'!A367="","",'전기원장'!B367)</x:f>
      </x:c>
      <x:c r="D367" s="74" t="str">
        <x:f>IF('전기원장'!A367="","",'전기원장'!C367)</x:f>
      </x:c>
      <x:c r="E367" s="73" t="str">
        <x:f>IF('전기원장'!A367="","",'전기원장'!D367)</x:f>
      </x:c>
      <x:c r="F367" s="73" t="str">
        <x:f>IF('전기원장'!A367="","",'전기원장'!E367)</x:f>
      </x:c>
      <x:c r="G367" s="75" t="str">
        <x:f>IF('전기원장'!A367="","",'전기원장'!H367)</x:f>
      </x:c>
      <x:c r="H367" s="73" t="str">
        <x:f>IF('전기원장'!A367="","",'전기원장'!I367)</x:f>
      </x:c>
      <x:c r="I367" s="73" t="str">
        <x:f>IF('전기원장'!A367="","",'전기원장'!J367)</x:f>
      </x:c>
      <x:c r="J367" s="73" t="str">
        <x:f>IF('전기원장'!A367="","",'전기원장'!K367)</x:f>
      </x:c>
      <x:c r="K367" s="73" t="str">
        <x:f>IF(B367="","",IF(COUNTIF($B$5:B367,B367)=1,COUNT($K$4:K366)+1,""))</x:f>
      </x:c>
      <x:c r="L367" s="85" t="str">
        <x:f>IF(B367="","",IF(COUNTIFS('계정비교'!$A$5:$A$1004,B367,'계정비교'!$H$5:$H$1004,"원인분석 대상")&gt;0,COUNT($L$4:L366)+1,""))</x:f>
      </x:c>
    </x:row>
    <x:row r="368">
      <x:c r="A368" s="73" t="str">
        <x:f>IF('전기원장'!A368="","","전기")</x:f>
      </x:c>
      <x:c r="B368" s="73" t="str">
        <x:f>IF('전기원장'!A368="","",'전기원장'!A368)</x:f>
      </x:c>
      <x:c r="C368" s="73" t="str">
        <x:f>IF('전기원장'!A368="","",'전기원장'!B368)</x:f>
      </x:c>
      <x:c r="D368" s="74" t="str">
        <x:f>IF('전기원장'!A368="","",'전기원장'!C368)</x:f>
      </x:c>
      <x:c r="E368" s="73" t="str">
        <x:f>IF('전기원장'!A368="","",'전기원장'!D368)</x:f>
      </x:c>
      <x:c r="F368" s="73" t="str">
        <x:f>IF('전기원장'!A368="","",'전기원장'!E368)</x:f>
      </x:c>
      <x:c r="G368" s="75" t="str">
        <x:f>IF('전기원장'!A368="","",'전기원장'!H368)</x:f>
      </x:c>
      <x:c r="H368" s="73" t="str">
        <x:f>IF('전기원장'!A368="","",'전기원장'!I368)</x:f>
      </x:c>
      <x:c r="I368" s="73" t="str">
        <x:f>IF('전기원장'!A368="","",'전기원장'!J368)</x:f>
      </x:c>
      <x:c r="J368" s="73" t="str">
        <x:f>IF('전기원장'!A368="","",'전기원장'!K368)</x:f>
      </x:c>
      <x:c r="K368" s="73" t="str">
        <x:f>IF(B368="","",IF(COUNTIF($B$5:B368,B368)=1,COUNT($K$4:K367)+1,""))</x:f>
      </x:c>
      <x:c r="L368" s="85" t="str">
        <x:f>IF(B368="","",IF(COUNTIFS('계정비교'!$A$5:$A$1004,B368,'계정비교'!$H$5:$H$1004,"원인분석 대상")&gt;0,COUNT($L$4:L367)+1,""))</x:f>
      </x:c>
    </x:row>
    <x:row r="369">
      <x:c r="A369" s="73" t="str">
        <x:f>IF('전기원장'!A369="","","전기")</x:f>
      </x:c>
      <x:c r="B369" s="73" t="str">
        <x:f>IF('전기원장'!A369="","",'전기원장'!A369)</x:f>
      </x:c>
      <x:c r="C369" s="73" t="str">
        <x:f>IF('전기원장'!A369="","",'전기원장'!B369)</x:f>
      </x:c>
      <x:c r="D369" s="74" t="str">
        <x:f>IF('전기원장'!A369="","",'전기원장'!C369)</x:f>
      </x:c>
      <x:c r="E369" s="73" t="str">
        <x:f>IF('전기원장'!A369="","",'전기원장'!D369)</x:f>
      </x:c>
      <x:c r="F369" s="73" t="str">
        <x:f>IF('전기원장'!A369="","",'전기원장'!E369)</x:f>
      </x:c>
      <x:c r="G369" s="75" t="str">
        <x:f>IF('전기원장'!A369="","",'전기원장'!H369)</x:f>
      </x:c>
      <x:c r="H369" s="73" t="str">
        <x:f>IF('전기원장'!A369="","",'전기원장'!I369)</x:f>
      </x:c>
      <x:c r="I369" s="73" t="str">
        <x:f>IF('전기원장'!A369="","",'전기원장'!J369)</x:f>
      </x:c>
      <x:c r="J369" s="73" t="str">
        <x:f>IF('전기원장'!A369="","",'전기원장'!K369)</x:f>
      </x:c>
      <x:c r="K369" s="73" t="str">
        <x:f>IF(B369="","",IF(COUNTIF($B$5:B369,B369)=1,COUNT($K$4:K368)+1,""))</x:f>
      </x:c>
      <x:c r="L369" s="85" t="str">
        <x:f>IF(B369="","",IF(COUNTIFS('계정비교'!$A$5:$A$1004,B369,'계정비교'!$H$5:$H$1004,"원인분석 대상")&gt;0,COUNT($L$4:L368)+1,""))</x:f>
      </x:c>
    </x:row>
    <x:row r="370">
      <x:c r="A370" s="73" t="str">
        <x:f>IF('전기원장'!A370="","","전기")</x:f>
      </x:c>
      <x:c r="B370" s="73" t="str">
        <x:f>IF('전기원장'!A370="","",'전기원장'!A370)</x:f>
      </x:c>
      <x:c r="C370" s="73" t="str">
        <x:f>IF('전기원장'!A370="","",'전기원장'!B370)</x:f>
      </x:c>
      <x:c r="D370" s="74" t="str">
        <x:f>IF('전기원장'!A370="","",'전기원장'!C370)</x:f>
      </x:c>
      <x:c r="E370" s="73" t="str">
        <x:f>IF('전기원장'!A370="","",'전기원장'!D370)</x:f>
      </x:c>
      <x:c r="F370" s="73" t="str">
        <x:f>IF('전기원장'!A370="","",'전기원장'!E370)</x:f>
      </x:c>
      <x:c r="G370" s="75" t="str">
        <x:f>IF('전기원장'!A370="","",'전기원장'!H370)</x:f>
      </x:c>
      <x:c r="H370" s="73" t="str">
        <x:f>IF('전기원장'!A370="","",'전기원장'!I370)</x:f>
      </x:c>
      <x:c r="I370" s="73" t="str">
        <x:f>IF('전기원장'!A370="","",'전기원장'!J370)</x:f>
      </x:c>
      <x:c r="J370" s="73" t="str">
        <x:f>IF('전기원장'!A370="","",'전기원장'!K370)</x:f>
      </x:c>
      <x:c r="K370" s="73" t="str">
        <x:f>IF(B370="","",IF(COUNTIF($B$5:B370,B370)=1,COUNT($K$4:K369)+1,""))</x:f>
      </x:c>
      <x:c r="L370" s="85" t="str">
        <x:f>IF(B370="","",IF(COUNTIFS('계정비교'!$A$5:$A$1004,B370,'계정비교'!$H$5:$H$1004,"원인분석 대상")&gt;0,COUNT($L$4:L369)+1,""))</x:f>
      </x:c>
    </x:row>
    <x:row r="371">
      <x:c r="A371" s="73" t="str">
        <x:f>IF('전기원장'!A371="","","전기")</x:f>
      </x:c>
      <x:c r="B371" s="73" t="str">
        <x:f>IF('전기원장'!A371="","",'전기원장'!A371)</x:f>
      </x:c>
      <x:c r="C371" s="73" t="str">
        <x:f>IF('전기원장'!A371="","",'전기원장'!B371)</x:f>
      </x:c>
      <x:c r="D371" s="74" t="str">
        <x:f>IF('전기원장'!A371="","",'전기원장'!C371)</x:f>
      </x:c>
      <x:c r="E371" s="73" t="str">
        <x:f>IF('전기원장'!A371="","",'전기원장'!D371)</x:f>
      </x:c>
      <x:c r="F371" s="73" t="str">
        <x:f>IF('전기원장'!A371="","",'전기원장'!E371)</x:f>
      </x:c>
      <x:c r="G371" s="75" t="str">
        <x:f>IF('전기원장'!A371="","",'전기원장'!H371)</x:f>
      </x:c>
      <x:c r="H371" s="73" t="str">
        <x:f>IF('전기원장'!A371="","",'전기원장'!I371)</x:f>
      </x:c>
      <x:c r="I371" s="73" t="str">
        <x:f>IF('전기원장'!A371="","",'전기원장'!J371)</x:f>
      </x:c>
      <x:c r="J371" s="73" t="str">
        <x:f>IF('전기원장'!A371="","",'전기원장'!K371)</x:f>
      </x:c>
      <x:c r="K371" s="73" t="str">
        <x:f>IF(B371="","",IF(COUNTIF($B$5:B371,B371)=1,COUNT($K$4:K370)+1,""))</x:f>
      </x:c>
      <x:c r="L371" s="85" t="str">
        <x:f>IF(B371="","",IF(COUNTIFS('계정비교'!$A$5:$A$1004,B371,'계정비교'!$H$5:$H$1004,"원인분석 대상")&gt;0,COUNT($L$4:L370)+1,""))</x:f>
      </x:c>
    </x:row>
    <x:row r="372">
      <x:c r="A372" s="73" t="str">
        <x:f>IF('전기원장'!A372="","","전기")</x:f>
      </x:c>
      <x:c r="B372" s="73" t="str">
        <x:f>IF('전기원장'!A372="","",'전기원장'!A372)</x:f>
      </x:c>
      <x:c r="C372" s="73" t="str">
        <x:f>IF('전기원장'!A372="","",'전기원장'!B372)</x:f>
      </x:c>
      <x:c r="D372" s="74" t="str">
        <x:f>IF('전기원장'!A372="","",'전기원장'!C372)</x:f>
      </x:c>
      <x:c r="E372" s="73" t="str">
        <x:f>IF('전기원장'!A372="","",'전기원장'!D372)</x:f>
      </x:c>
      <x:c r="F372" s="73" t="str">
        <x:f>IF('전기원장'!A372="","",'전기원장'!E372)</x:f>
      </x:c>
      <x:c r="G372" s="75" t="str">
        <x:f>IF('전기원장'!A372="","",'전기원장'!H372)</x:f>
      </x:c>
      <x:c r="H372" s="73" t="str">
        <x:f>IF('전기원장'!A372="","",'전기원장'!I372)</x:f>
      </x:c>
      <x:c r="I372" s="73" t="str">
        <x:f>IF('전기원장'!A372="","",'전기원장'!J372)</x:f>
      </x:c>
      <x:c r="J372" s="73" t="str">
        <x:f>IF('전기원장'!A372="","",'전기원장'!K372)</x:f>
      </x:c>
      <x:c r="K372" s="73" t="str">
        <x:f>IF(B372="","",IF(COUNTIF($B$5:B372,B372)=1,COUNT($K$4:K371)+1,""))</x:f>
      </x:c>
      <x:c r="L372" s="85" t="str">
        <x:f>IF(B372="","",IF(COUNTIFS('계정비교'!$A$5:$A$1004,B372,'계정비교'!$H$5:$H$1004,"원인분석 대상")&gt;0,COUNT($L$4:L371)+1,""))</x:f>
      </x:c>
    </x:row>
    <x:row r="373">
      <x:c r="A373" s="73" t="str">
        <x:f>IF('전기원장'!A373="","","전기")</x:f>
      </x:c>
      <x:c r="B373" s="73" t="str">
        <x:f>IF('전기원장'!A373="","",'전기원장'!A373)</x:f>
      </x:c>
      <x:c r="C373" s="73" t="str">
        <x:f>IF('전기원장'!A373="","",'전기원장'!B373)</x:f>
      </x:c>
      <x:c r="D373" s="74" t="str">
        <x:f>IF('전기원장'!A373="","",'전기원장'!C373)</x:f>
      </x:c>
      <x:c r="E373" s="73" t="str">
        <x:f>IF('전기원장'!A373="","",'전기원장'!D373)</x:f>
      </x:c>
      <x:c r="F373" s="73" t="str">
        <x:f>IF('전기원장'!A373="","",'전기원장'!E373)</x:f>
      </x:c>
      <x:c r="G373" s="75" t="str">
        <x:f>IF('전기원장'!A373="","",'전기원장'!H373)</x:f>
      </x:c>
      <x:c r="H373" s="73" t="str">
        <x:f>IF('전기원장'!A373="","",'전기원장'!I373)</x:f>
      </x:c>
      <x:c r="I373" s="73" t="str">
        <x:f>IF('전기원장'!A373="","",'전기원장'!J373)</x:f>
      </x:c>
      <x:c r="J373" s="73" t="str">
        <x:f>IF('전기원장'!A373="","",'전기원장'!K373)</x:f>
      </x:c>
      <x:c r="K373" s="73" t="str">
        <x:f>IF(B373="","",IF(COUNTIF($B$5:B373,B373)=1,COUNT($K$4:K372)+1,""))</x:f>
      </x:c>
      <x:c r="L373" s="85" t="str">
        <x:f>IF(B373="","",IF(COUNTIFS('계정비교'!$A$5:$A$1004,B373,'계정비교'!$H$5:$H$1004,"원인분석 대상")&gt;0,COUNT($L$4:L372)+1,""))</x:f>
      </x:c>
    </x:row>
    <x:row r="374">
      <x:c r="A374" s="73" t="str">
        <x:f>IF('전기원장'!A374="","","전기")</x:f>
      </x:c>
      <x:c r="B374" s="73" t="str">
        <x:f>IF('전기원장'!A374="","",'전기원장'!A374)</x:f>
      </x:c>
      <x:c r="C374" s="73" t="str">
        <x:f>IF('전기원장'!A374="","",'전기원장'!B374)</x:f>
      </x:c>
      <x:c r="D374" s="74" t="str">
        <x:f>IF('전기원장'!A374="","",'전기원장'!C374)</x:f>
      </x:c>
      <x:c r="E374" s="73" t="str">
        <x:f>IF('전기원장'!A374="","",'전기원장'!D374)</x:f>
      </x:c>
      <x:c r="F374" s="73" t="str">
        <x:f>IF('전기원장'!A374="","",'전기원장'!E374)</x:f>
      </x:c>
      <x:c r="G374" s="75" t="str">
        <x:f>IF('전기원장'!A374="","",'전기원장'!H374)</x:f>
      </x:c>
      <x:c r="H374" s="73" t="str">
        <x:f>IF('전기원장'!A374="","",'전기원장'!I374)</x:f>
      </x:c>
      <x:c r="I374" s="73" t="str">
        <x:f>IF('전기원장'!A374="","",'전기원장'!J374)</x:f>
      </x:c>
      <x:c r="J374" s="73" t="str">
        <x:f>IF('전기원장'!A374="","",'전기원장'!K374)</x:f>
      </x:c>
      <x:c r="K374" s="73" t="str">
        <x:f>IF(B374="","",IF(COUNTIF($B$5:B374,B374)=1,COUNT($K$4:K373)+1,""))</x:f>
      </x:c>
      <x:c r="L374" s="85" t="str">
        <x:f>IF(B374="","",IF(COUNTIFS('계정비교'!$A$5:$A$1004,B374,'계정비교'!$H$5:$H$1004,"원인분석 대상")&gt;0,COUNT($L$4:L373)+1,""))</x:f>
      </x:c>
    </x:row>
    <x:row r="375">
      <x:c r="A375" s="73" t="str">
        <x:f>IF('전기원장'!A375="","","전기")</x:f>
      </x:c>
      <x:c r="B375" s="73" t="str">
        <x:f>IF('전기원장'!A375="","",'전기원장'!A375)</x:f>
      </x:c>
      <x:c r="C375" s="73" t="str">
        <x:f>IF('전기원장'!A375="","",'전기원장'!B375)</x:f>
      </x:c>
      <x:c r="D375" s="74" t="str">
        <x:f>IF('전기원장'!A375="","",'전기원장'!C375)</x:f>
      </x:c>
      <x:c r="E375" s="73" t="str">
        <x:f>IF('전기원장'!A375="","",'전기원장'!D375)</x:f>
      </x:c>
      <x:c r="F375" s="73" t="str">
        <x:f>IF('전기원장'!A375="","",'전기원장'!E375)</x:f>
      </x:c>
      <x:c r="G375" s="75" t="str">
        <x:f>IF('전기원장'!A375="","",'전기원장'!H375)</x:f>
      </x:c>
      <x:c r="H375" s="73" t="str">
        <x:f>IF('전기원장'!A375="","",'전기원장'!I375)</x:f>
      </x:c>
      <x:c r="I375" s="73" t="str">
        <x:f>IF('전기원장'!A375="","",'전기원장'!J375)</x:f>
      </x:c>
      <x:c r="J375" s="73" t="str">
        <x:f>IF('전기원장'!A375="","",'전기원장'!K375)</x:f>
      </x:c>
      <x:c r="K375" s="73" t="str">
        <x:f>IF(B375="","",IF(COUNTIF($B$5:B375,B375)=1,COUNT($K$4:K374)+1,""))</x:f>
      </x:c>
      <x:c r="L375" s="85" t="str">
        <x:f>IF(B375="","",IF(COUNTIFS('계정비교'!$A$5:$A$1004,B375,'계정비교'!$H$5:$H$1004,"원인분석 대상")&gt;0,COUNT($L$4:L374)+1,""))</x:f>
      </x:c>
    </x:row>
    <x:row r="376">
      <x:c r="A376" s="73" t="str">
        <x:f>IF('전기원장'!A376="","","전기")</x:f>
      </x:c>
      <x:c r="B376" s="73" t="str">
        <x:f>IF('전기원장'!A376="","",'전기원장'!A376)</x:f>
      </x:c>
      <x:c r="C376" s="73" t="str">
        <x:f>IF('전기원장'!A376="","",'전기원장'!B376)</x:f>
      </x:c>
      <x:c r="D376" s="74" t="str">
        <x:f>IF('전기원장'!A376="","",'전기원장'!C376)</x:f>
      </x:c>
      <x:c r="E376" s="73" t="str">
        <x:f>IF('전기원장'!A376="","",'전기원장'!D376)</x:f>
      </x:c>
      <x:c r="F376" s="73" t="str">
        <x:f>IF('전기원장'!A376="","",'전기원장'!E376)</x:f>
      </x:c>
      <x:c r="G376" s="75" t="str">
        <x:f>IF('전기원장'!A376="","",'전기원장'!H376)</x:f>
      </x:c>
      <x:c r="H376" s="73" t="str">
        <x:f>IF('전기원장'!A376="","",'전기원장'!I376)</x:f>
      </x:c>
      <x:c r="I376" s="73" t="str">
        <x:f>IF('전기원장'!A376="","",'전기원장'!J376)</x:f>
      </x:c>
      <x:c r="J376" s="73" t="str">
        <x:f>IF('전기원장'!A376="","",'전기원장'!K376)</x:f>
      </x:c>
      <x:c r="K376" s="73" t="str">
        <x:f>IF(B376="","",IF(COUNTIF($B$5:B376,B376)=1,COUNT($K$4:K375)+1,""))</x:f>
      </x:c>
      <x:c r="L376" s="85" t="str">
        <x:f>IF(B376="","",IF(COUNTIFS('계정비교'!$A$5:$A$1004,B376,'계정비교'!$H$5:$H$1004,"원인분석 대상")&gt;0,COUNT($L$4:L375)+1,""))</x:f>
      </x:c>
    </x:row>
    <x:row r="377">
      <x:c r="A377" s="73" t="str">
        <x:f>IF('전기원장'!A377="","","전기")</x:f>
      </x:c>
      <x:c r="B377" s="73" t="str">
        <x:f>IF('전기원장'!A377="","",'전기원장'!A377)</x:f>
      </x:c>
      <x:c r="C377" s="73" t="str">
        <x:f>IF('전기원장'!A377="","",'전기원장'!B377)</x:f>
      </x:c>
      <x:c r="D377" s="74" t="str">
        <x:f>IF('전기원장'!A377="","",'전기원장'!C377)</x:f>
      </x:c>
      <x:c r="E377" s="73" t="str">
        <x:f>IF('전기원장'!A377="","",'전기원장'!D377)</x:f>
      </x:c>
      <x:c r="F377" s="73" t="str">
        <x:f>IF('전기원장'!A377="","",'전기원장'!E377)</x:f>
      </x:c>
      <x:c r="G377" s="75" t="str">
        <x:f>IF('전기원장'!A377="","",'전기원장'!H377)</x:f>
      </x:c>
      <x:c r="H377" s="73" t="str">
        <x:f>IF('전기원장'!A377="","",'전기원장'!I377)</x:f>
      </x:c>
      <x:c r="I377" s="73" t="str">
        <x:f>IF('전기원장'!A377="","",'전기원장'!J377)</x:f>
      </x:c>
      <x:c r="J377" s="73" t="str">
        <x:f>IF('전기원장'!A377="","",'전기원장'!K377)</x:f>
      </x:c>
      <x:c r="K377" s="73" t="str">
        <x:f>IF(B377="","",IF(COUNTIF($B$5:B377,B377)=1,COUNT($K$4:K376)+1,""))</x:f>
      </x:c>
      <x:c r="L377" s="85" t="str">
        <x:f>IF(B377="","",IF(COUNTIFS('계정비교'!$A$5:$A$1004,B377,'계정비교'!$H$5:$H$1004,"원인분석 대상")&gt;0,COUNT($L$4:L376)+1,""))</x:f>
      </x:c>
    </x:row>
    <x:row r="378">
      <x:c r="A378" s="73" t="str">
        <x:f>IF('전기원장'!A378="","","전기")</x:f>
      </x:c>
      <x:c r="B378" s="73" t="str">
        <x:f>IF('전기원장'!A378="","",'전기원장'!A378)</x:f>
      </x:c>
      <x:c r="C378" s="73" t="str">
        <x:f>IF('전기원장'!A378="","",'전기원장'!B378)</x:f>
      </x:c>
      <x:c r="D378" s="74" t="str">
        <x:f>IF('전기원장'!A378="","",'전기원장'!C378)</x:f>
      </x:c>
      <x:c r="E378" s="73" t="str">
        <x:f>IF('전기원장'!A378="","",'전기원장'!D378)</x:f>
      </x:c>
      <x:c r="F378" s="73" t="str">
        <x:f>IF('전기원장'!A378="","",'전기원장'!E378)</x:f>
      </x:c>
      <x:c r="G378" s="75" t="str">
        <x:f>IF('전기원장'!A378="","",'전기원장'!H378)</x:f>
      </x:c>
      <x:c r="H378" s="73" t="str">
        <x:f>IF('전기원장'!A378="","",'전기원장'!I378)</x:f>
      </x:c>
      <x:c r="I378" s="73" t="str">
        <x:f>IF('전기원장'!A378="","",'전기원장'!J378)</x:f>
      </x:c>
      <x:c r="J378" s="73" t="str">
        <x:f>IF('전기원장'!A378="","",'전기원장'!K378)</x:f>
      </x:c>
      <x:c r="K378" s="73" t="str">
        <x:f>IF(B378="","",IF(COUNTIF($B$5:B378,B378)=1,COUNT($K$4:K377)+1,""))</x:f>
      </x:c>
      <x:c r="L378" s="85" t="str">
        <x:f>IF(B378="","",IF(COUNTIFS('계정비교'!$A$5:$A$1004,B378,'계정비교'!$H$5:$H$1004,"원인분석 대상")&gt;0,COUNT($L$4:L377)+1,""))</x:f>
      </x:c>
    </x:row>
    <x:row r="379">
      <x:c r="A379" s="73" t="str">
        <x:f>IF('전기원장'!A379="","","전기")</x:f>
      </x:c>
      <x:c r="B379" s="73" t="str">
        <x:f>IF('전기원장'!A379="","",'전기원장'!A379)</x:f>
      </x:c>
      <x:c r="C379" s="73" t="str">
        <x:f>IF('전기원장'!A379="","",'전기원장'!B379)</x:f>
      </x:c>
      <x:c r="D379" s="74" t="str">
        <x:f>IF('전기원장'!A379="","",'전기원장'!C379)</x:f>
      </x:c>
      <x:c r="E379" s="73" t="str">
        <x:f>IF('전기원장'!A379="","",'전기원장'!D379)</x:f>
      </x:c>
      <x:c r="F379" s="73" t="str">
        <x:f>IF('전기원장'!A379="","",'전기원장'!E379)</x:f>
      </x:c>
      <x:c r="G379" s="75" t="str">
        <x:f>IF('전기원장'!A379="","",'전기원장'!H379)</x:f>
      </x:c>
      <x:c r="H379" s="73" t="str">
        <x:f>IF('전기원장'!A379="","",'전기원장'!I379)</x:f>
      </x:c>
      <x:c r="I379" s="73" t="str">
        <x:f>IF('전기원장'!A379="","",'전기원장'!J379)</x:f>
      </x:c>
      <x:c r="J379" s="73" t="str">
        <x:f>IF('전기원장'!A379="","",'전기원장'!K379)</x:f>
      </x:c>
      <x:c r="K379" s="73" t="str">
        <x:f>IF(B379="","",IF(COUNTIF($B$5:B379,B379)=1,COUNT($K$4:K378)+1,""))</x:f>
      </x:c>
      <x:c r="L379" s="85" t="str">
        <x:f>IF(B379="","",IF(COUNTIFS('계정비교'!$A$5:$A$1004,B379,'계정비교'!$H$5:$H$1004,"원인분석 대상")&gt;0,COUNT($L$4:L378)+1,""))</x:f>
      </x:c>
    </x:row>
    <x:row r="380">
      <x:c r="A380" s="73" t="str">
        <x:f>IF('전기원장'!A380="","","전기")</x:f>
      </x:c>
      <x:c r="B380" s="73" t="str">
        <x:f>IF('전기원장'!A380="","",'전기원장'!A380)</x:f>
      </x:c>
      <x:c r="C380" s="73" t="str">
        <x:f>IF('전기원장'!A380="","",'전기원장'!B380)</x:f>
      </x:c>
      <x:c r="D380" s="74" t="str">
        <x:f>IF('전기원장'!A380="","",'전기원장'!C380)</x:f>
      </x:c>
      <x:c r="E380" s="73" t="str">
        <x:f>IF('전기원장'!A380="","",'전기원장'!D380)</x:f>
      </x:c>
      <x:c r="F380" s="73" t="str">
        <x:f>IF('전기원장'!A380="","",'전기원장'!E380)</x:f>
      </x:c>
      <x:c r="G380" s="75" t="str">
        <x:f>IF('전기원장'!A380="","",'전기원장'!H380)</x:f>
      </x:c>
      <x:c r="H380" s="73" t="str">
        <x:f>IF('전기원장'!A380="","",'전기원장'!I380)</x:f>
      </x:c>
      <x:c r="I380" s="73" t="str">
        <x:f>IF('전기원장'!A380="","",'전기원장'!J380)</x:f>
      </x:c>
      <x:c r="J380" s="73" t="str">
        <x:f>IF('전기원장'!A380="","",'전기원장'!K380)</x:f>
      </x:c>
      <x:c r="K380" s="73" t="str">
        <x:f>IF(B380="","",IF(COUNTIF($B$5:B380,B380)=1,COUNT($K$4:K379)+1,""))</x:f>
      </x:c>
      <x:c r="L380" s="85" t="str">
        <x:f>IF(B380="","",IF(COUNTIFS('계정비교'!$A$5:$A$1004,B380,'계정비교'!$H$5:$H$1004,"원인분석 대상")&gt;0,COUNT($L$4:L379)+1,""))</x:f>
      </x:c>
    </x:row>
    <x:row r="381">
      <x:c r="A381" s="73" t="str">
        <x:f>IF('전기원장'!A381="","","전기")</x:f>
      </x:c>
      <x:c r="B381" s="73" t="str">
        <x:f>IF('전기원장'!A381="","",'전기원장'!A381)</x:f>
      </x:c>
      <x:c r="C381" s="73" t="str">
        <x:f>IF('전기원장'!A381="","",'전기원장'!B381)</x:f>
      </x:c>
      <x:c r="D381" s="74" t="str">
        <x:f>IF('전기원장'!A381="","",'전기원장'!C381)</x:f>
      </x:c>
      <x:c r="E381" s="73" t="str">
        <x:f>IF('전기원장'!A381="","",'전기원장'!D381)</x:f>
      </x:c>
      <x:c r="F381" s="73" t="str">
        <x:f>IF('전기원장'!A381="","",'전기원장'!E381)</x:f>
      </x:c>
      <x:c r="G381" s="75" t="str">
        <x:f>IF('전기원장'!A381="","",'전기원장'!H381)</x:f>
      </x:c>
      <x:c r="H381" s="73" t="str">
        <x:f>IF('전기원장'!A381="","",'전기원장'!I381)</x:f>
      </x:c>
      <x:c r="I381" s="73" t="str">
        <x:f>IF('전기원장'!A381="","",'전기원장'!J381)</x:f>
      </x:c>
      <x:c r="J381" s="73" t="str">
        <x:f>IF('전기원장'!A381="","",'전기원장'!K381)</x:f>
      </x:c>
      <x:c r="K381" s="73" t="str">
        <x:f>IF(B381="","",IF(COUNTIF($B$5:B381,B381)=1,COUNT($K$4:K380)+1,""))</x:f>
      </x:c>
      <x:c r="L381" s="85" t="str">
        <x:f>IF(B381="","",IF(COUNTIFS('계정비교'!$A$5:$A$1004,B381,'계정비교'!$H$5:$H$1004,"원인분석 대상")&gt;0,COUNT($L$4:L380)+1,""))</x:f>
      </x:c>
    </x:row>
    <x:row r="382">
      <x:c r="A382" s="73" t="str">
        <x:f>IF('전기원장'!A382="","","전기")</x:f>
      </x:c>
      <x:c r="B382" s="73" t="str">
        <x:f>IF('전기원장'!A382="","",'전기원장'!A382)</x:f>
      </x:c>
      <x:c r="C382" s="73" t="str">
        <x:f>IF('전기원장'!A382="","",'전기원장'!B382)</x:f>
      </x:c>
      <x:c r="D382" s="74" t="str">
        <x:f>IF('전기원장'!A382="","",'전기원장'!C382)</x:f>
      </x:c>
      <x:c r="E382" s="73" t="str">
        <x:f>IF('전기원장'!A382="","",'전기원장'!D382)</x:f>
      </x:c>
      <x:c r="F382" s="73" t="str">
        <x:f>IF('전기원장'!A382="","",'전기원장'!E382)</x:f>
      </x:c>
      <x:c r="G382" s="75" t="str">
        <x:f>IF('전기원장'!A382="","",'전기원장'!H382)</x:f>
      </x:c>
      <x:c r="H382" s="73" t="str">
        <x:f>IF('전기원장'!A382="","",'전기원장'!I382)</x:f>
      </x:c>
      <x:c r="I382" s="73" t="str">
        <x:f>IF('전기원장'!A382="","",'전기원장'!J382)</x:f>
      </x:c>
      <x:c r="J382" s="73" t="str">
        <x:f>IF('전기원장'!A382="","",'전기원장'!K382)</x:f>
      </x:c>
      <x:c r="K382" s="73" t="str">
        <x:f>IF(B382="","",IF(COUNTIF($B$5:B382,B382)=1,COUNT($K$4:K381)+1,""))</x:f>
      </x:c>
      <x:c r="L382" s="85" t="str">
        <x:f>IF(B382="","",IF(COUNTIFS('계정비교'!$A$5:$A$1004,B382,'계정비교'!$H$5:$H$1004,"원인분석 대상")&gt;0,COUNT($L$4:L381)+1,""))</x:f>
      </x:c>
    </x:row>
    <x:row r="383">
      <x:c r="A383" s="73" t="str">
        <x:f>IF('전기원장'!A383="","","전기")</x:f>
      </x:c>
      <x:c r="B383" s="73" t="str">
        <x:f>IF('전기원장'!A383="","",'전기원장'!A383)</x:f>
      </x:c>
      <x:c r="C383" s="73" t="str">
        <x:f>IF('전기원장'!A383="","",'전기원장'!B383)</x:f>
      </x:c>
      <x:c r="D383" s="74" t="str">
        <x:f>IF('전기원장'!A383="","",'전기원장'!C383)</x:f>
      </x:c>
      <x:c r="E383" s="73" t="str">
        <x:f>IF('전기원장'!A383="","",'전기원장'!D383)</x:f>
      </x:c>
      <x:c r="F383" s="73" t="str">
        <x:f>IF('전기원장'!A383="","",'전기원장'!E383)</x:f>
      </x:c>
      <x:c r="G383" s="75" t="str">
        <x:f>IF('전기원장'!A383="","",'전기원장'!H383)</x:f>
      </x:c>
      <x:c r="H383" s="73" t="str">
        <x:f>IF('전기원장'!A383="","",'전기원장'!I383)</x:f>
      </x:c>
      <x:c r="I383" s="73" t="str">
        <x:f>IF('전기원장'!A383="","",'전기원장'!J383)</x:f>
      </x:c>
      <x:c r="J383" s="73" t="str">
        <x:f>IF('전기원장'!A383="","",'전기원장'!K383)</x:f>
      </x:c>
      <x:c r="K383" s="73" t="str">
        <x:f>IF(B383="","",IF(COUNTIF($B$5:B383,B383)=1,COUNT($K$4:K382)+1,""))</x:f>
      </x:c>
      <x:c r="L383" s="85" t="str">
        <x:f>IF(B383="","",IF(COUNTIFS('계정비교'!$A$5:$A$1004,B383,'계정비교'!$H$5:$H$1004,"원인분석 대상")&gt;0,COUNT($L$4:L382)+1,""))</x:f>
      </x:c>
    </x:row>
    <x:row r="384">
      <x:c r="A384" s="73" t="str">
        <x:f>IF('전기원장'!A384="","","전기")</x:f>
      </x:c>
      <x:c r="B384" s="73" t="str">
        <x:f>IF('전기원장'!A384="","",'전기원장'!A384)</x:f>
      </x:c>
      <x:c r="C384" s="73" t="str">
        <x:f>IF('전기원장'!A384="","",'전기원장'!B384)</x:f>
      </x:c>
      <x:c r="D384" s="74" t="str">
        <x:f>IF('전기원장'!A384="","",'전기원장'!C384)</x:f>
      </x:c>
      <x:c r="E384" s="73" t="str">
        <x:f>IF('전기원장'!A384="","",'전기원장'!D384)</x:f>
      </x:c>
      <x:c r="F384" s="73" t="str">
        <x:f>IF('전기원장'!A384="","",'전기원장'!E384)</x:f>
      </x:c>
      <x:c r="G384" s="75" t="str">
        <x:f>IF('전기원장'!A384="","",'전기원장'!H384)</x:f>
      </x:c>
      <x:c r="H384" s="73" t="str">
        <x:f>IF('전기원장'!A384="","",'전기원장'!I384)</x:f>
      </x:c>
      <x:c r="I384" s="73" t="str">
        <x:f>IF('전기원장'!A384="","",'전기원장'!J384)</x:f>
      </x:c>
      <x:c r="J384" s="73" t="str">
        <x:f>IF('전기원장'!A384="","",'전기원장'!K384)</x:f>
      </x:c>
      <x:c r="K384" s="73" t="str">
        <x:f>IF(B384="","",IF(COUNTIF($B$5:B384,B384)=1,COUNT($K$4:K383)+1,""))</x:f>
      </x:c>
      <x:c r="L384" s="85" t="str">
        <x:f>IF(B384="","",IF(COUNTIFS('계정비교'!$A$5:$A$1004,B384,'계정비교'!$H$5:$H$1004,"원인분석 대상")&gt;0,COUNT($L$4:L383)+1,""))</x:f>
      </x:c>
    </x:row>
    <x:row r="385">
      <x:c r="A385" s="73" t="str">
        <x:f>IF('전기원장'!A385="","","전기")</x:f>
      </x:c>
      <x:c r="B385" s="73" t="str">
        <x:f>IF('전기원장'!A385="","",'전기원장'!A385)</x:f>
      </x:c>
      <x:c r="C385" s="73" t="str">
        <x:f>IF('전기원장'!A385="","",'전기원장'!B385)</x:f>
      </x:c>
      <x:c r="D385" s="74" t="str">
        <x:f>IF('전기원장'!A385="","",'전기원장'!C385)</x:f>
      </x:c>
      <x:c r="E385" s="73" t="str">
        <x:f>IF('전기원장'!A385="","",'전기원장'!D385)</x:f>
      </x:c>
      <x:c r="F385" s="73" t="str">
        <x:f>IF('전기원장'!A385="","",'전기원장'!E385)</x:f>
      </x:c>
      <x:c r="G385" s="75" t="str">
        <x:f>IF('전기원장'!A385="","",'전기원장'!H385)</x:f>
      </x:c>
      <x:c r="H385" s="73" t="str">
        <x:f>IF('전기원장'!A385="","",'전기원장'!I385)</x:f>
      </x:c>
      <x:c r="I385" s="73" t="str">
        <x:f>IF('전기원장'!A385="","",'전기원장'!J385)</x:f>
      </x:c>
      <x:c r="J385" s="73" t="str">
        <x:f>IF('전기원장'!A385="","",'전기원장'!K385)</x:f>
      </x:c>
      <x:c r="K385" s="73" t="str">
        <x:f>IF(B385="","",IF(COUNTIF($B$5:B385,B385)=1,COUNT($K$4:K384)+1,""))</x:f>
      </x:c>
      <x:c r="L385" s="85" t="str">
        <x:f>IF(B385="","",IF(COUNTIFS('계정비교'!$A$5:$A$1004,B385,'계정비교'!$H$5:$H$1004,"원인분석 대상")&gt;0,COUNT($L$4:L384)+1,""))</x:f>
      </x:c>
    </x:row>
    <x:row r="386">
      <x:c r="A386" s="73" t="str">
        <x:f>IF('전기원장'!A386="","","전기")</x:f>
      </x:c>
      <x:c r="B386" s="73" t="str">
        <x:f>IF('전기원장'!A386="","",'전기원장'!A386)</x:f>
      </x:c>
      <x:c r="C386" s="73" t="str">
        <x:f>IF('전기원장'!A386="","",'전기원장'!B386)</x:f>
      </x:c>
      <x:c r="D386" s="74" t="str">
        <x:f>IF('전기원장'!A386="","",'전기원장'!C386)</x:f>
      </x:c>
      <x:c r="E386" s="73" t="str">
        <x:f>IF('전기원장'!A386="","",'전기원장'!D386)</x:f>
      </x:c>
      <x:c r="F386" s="73" t="str">
        <x:f>IF('전기원장'!A386="","",'전기원장'!E386)</x:f>
      </x:c>
      <x:c r="G386" s="75" t="str">
        <x:f>IF('전기원장'!A386="","",'전기원장'!H386)</x:f>
      </x:c>
      <x:c r="H386" s="73" t="str">
        <x:f>IF('전기원장'!A386="","",'전기원장'!I386)</x:f>
      </x:c>
      <x:c r="I386" s="73" t="str">
        <x:f>IF('전기원장'!A386="","",'전기원장'!J386)</x:f>
      </x:c>
      <x:c r="J386" s="73" t="str">
        <x:f>IF('전기원장'!A386="","",'전기원장'!K386)</x:f>
      </x:c>
      <x:c r="K386" s="73" t="str">
        <x:f>IF(B386="","",IF(COUNTIF($B$5:B386,B386)=1,COUNT($K$4:K385)+1,""))</x:f>
      </x:c>
      <x:c r="L386" s="85" t="str">
        <x:f>IF(B386="","",IF(COUNTIFS('계정비교'!$A$5:$A$1004,B386,'계정비교'!$H$5:$H$1004,"원인분석 대상")&gt;0,COUNT($L$4:L385)+1,""))</x:f>
      </x:c>
    </x:row>
    <x:row r="387">
      <x:c r="A387" s="73" t="str">
        <x:f>IF('전기원장'!A387="","","전기")</x:f>
      </x:c>
      <x:c r="B387" s="73" t="str">
        <x:f>IF('전기원장'!A387="","",'전기원장'!A387)</x:f>
      </x:c>
      <x:c r="C387" s="73" t="str">
        <x:f>IF('전기원장'!A387="","",'전기원장'!B387)</x:f>
      </x:c>
      <x:c r="D387" s="74" t="str">
        <x:f>IF('전기원장'!A387="","",'전기원장'!C387)</x:f>
      </x:c>
      <x:c r="E387" s="73" t="str">
        <x:f>IF('전기원장'!A387="","",'전기원장'!D387)</x:f>
      </x:c>
      <x:c r="F387" s="73" t="str">
        <x:f>IF('전기원장'!A387="","",'전기원장'!E387)</x:f>
      </x:c>
      <x:c r="G387" s="75" t="str">
        <x:f>IF('전기원장'!A387="","",'전기원장'!H387)</x:f>
      </x:c>
      <x:c r="H387" s="73" t="str">
        <x:f>IF('전기원장'!A387="","",'전기원장'!I387)</x:f>
      </x:c>
      <x:c r="I387" s="73" t="str">
        <x:f>IF('전기원장'!A387="","",'전기원장'!J387)</x:f>
      </x:c>
      <x:c r="J387" s="73" t="str">
        <x:f>IF('전기원장'!A387="","",'전기원장'!K387)</x:f>
      </x:c>
      <x:c r="K387" s="73" t="str">
        <x:f>IF(B387="","",IF(COUNTIF($B$5:B387,B387)=1,COUNT($K$4:K386)+1,""))</x:f>
      </x:c>
      <x:c r="L387" s="85" t="str">
        <x:f>IF(B387="","",IF(COUNTIFS('계정비교'!$A$5:$A$1004,B387,'계정비교'!$H$5:$H$1004,"원인분석 대상")&gt;0,COUNT($L$4:L386)+1,""))</x:f>
      </x:c>
    </x:row>
    <x:row r="388">
      <x:c r="A388" s="73" t="str">
        <x:f>IF('전기원장'!A388="","","전기")</x:f>
      </x:c>
      <x:c r="B388" s="73" t="str">
        <x:f>IF('전기원장'!A388="","",'전기원장'!A388)</x:f>
      </x:c>
      <x:c r="C388" s="73" t="str">
        <x:f>IF('전기원장'!A388="","",'전기원장'!B388)</x:f>
      </x:c>
      <x:c r="D388" s="74" t="str">
        <x:f>IF('전기원장'!A388="","",'전기원장'!C388)</x:f>
      </x:c>
      <x:c r="E388" s="73" t="str">
        <x:f>IF('전기원장'!A388="","",'전기원장'!D388)</x:f>
      </x:c>
      <x:c r="F388" s="73" t="str">
        <x:f>IF('전기원장'!A388="","",'전기원장'!E388)</x:f>
      </x:c>
      <x:c r="G388" s="75" t="str">
        <x:f>IF('전기원장'!A388="","",'전기원장'!H388)</x:f>
      </x:c>
      <x:c r="H388" s="73" t="str">
        <x:f>IF('전기원장'!A388="","",'전기원장'!I388)</x:f>
      </x:c>
      <x:c r="I388" s="73" t="str">
        <x:f>IF('전기원장'!A388="","",'전기원장'!J388)</x:f>
      </x:c>
      <x:c r="J388" s="73" t="str">
        <x:f>IF('전기원장'!A388="","",'전기원장'!K388)</x:f>
      </x:c>
      <x:c r="K388" s="73" t="str">
        <x:f>IF(B388="","",IF(COUNTIF($B$5:B388,B388)=1,COUNT($K$4:K387)+1,""))</x:f>
      </x:c>
      <x:c r="L388" s="85" t="str">
        <x:f>IF(B388="","",IF(COUNTIFS('계정비교'!$A$5:$A$1004,B388,'계정비교'!$H$5:$H$1004,"원인분석 대상")&gt;0,COUNT($L$4:L387)+1,""))</x:f>
      </x:c>
    </x:row>
    <x:row r="389">
      <x:c r="A389" s="73" t="str">
        <x:f>IF('전기원장'!A389="","","전기")</x:f>
      </x:c>
      <x:c r="B389" s="73" t="str">
        <x:f>IF('전기원장'!A389="","",'전기원장'!A389)</x:f>
      </x:c>
      <x:c r="C389" s="73" t="str">
        <x:f>IF('전기원장'!A389="","",'전기원장'!B389)</x:f>
      </x:c>
      <x:c r="D389" s="74" t="str">
        <x:f>IF('전기원장'!A389="","",'전기원장'!C389)</x:f>
      </x:c>
      <x:c r="E389" s="73" t="str">
        <x:f>IF('전기원장'!A389="","",'전기원장'!D389)</x:f>
      </x:c>
      <x:c r="F389" s="73" t="str">
        <x:f>IF('전기원장'!A389="","",'전기원장'!E389)</x:f>
      </x:c>
      <x:c r="G389" s="75" t="str">
        <x:f>IF('전기원장'!A389="","",'전기원장'!H389)</x:f>
      </x:c>
      <x:c r="H389" s="73" t="str">
        <x:f>IF('전기원장'!A389="","",'전기원장'!I389)</x:f>
      </x:c>
      <x:c r="I389" s="73" t="str">
        <x:f>IF('전기원장'!A389="","",'전기원장'!J389)</x:f>
      </x:c>
      <x:c r="J389" s="73" t="str">
        <x:f>IF('전기원장'!A389="","",'전기원장'!K389)</x:f>
      </x:c>
      <x:c r="K389" s="73" t="str">
        <x:f>IF(B389="","",IF(COUNTIF($B$5:B389,B389)=1,COUNT($K$4:K388)+1,""))</x:f>
      </x:c>
      <x:c r="L389" s="85" t="str">
        <x:f>IF(B389="","",IF(COUNTIFS('계정비교'!$A$5:$A$1004,B389,'계정비교'!$H$5:$H$1004,"원인분석 대상")&gt;0,COUNT($L$4:L388)+1,""))</x:f>
      </x:c>
    </x:row>
    <x:row r="390">
      <x:c r="A390" s="73" t="str">
        <x:f>IF('전기원장'!A390="","","전기")</x:f>
      </x:c>
      <x:c r="B390" s="73" t="str">
        <x:f>IF('전기원장'!A390="","",'전기원장'!A390)</x:f>
      </x:c>
      <x:c r="C390" s="73" t="str">
        <x:f>IF('전기원장'!A390="","",'전기원장'!B390)</x:f>
      </x:c>
      <x:c r="D390" s="74" t="str">
        <x:f>IF('전기원장'!A390="","",'전기원장'!C390)</x:f>
      </x:c>
      <x:c r="E390" s="73" t="str">
        <x:f>IF('전기원장'!A390="","",'전기원장'!D390)</x:f>
      </x:c>
      <x:c r="F390" s="73" t="str">
        <x:f>IF('전기원장'!A390="","",'전기원장'!E390)</x:f>
      </x:c>
      <x:c r="G390" s="75" t="str">
        <x:f>IF('전기원장'!A390="","",'전기원장'!H390)</x:f>
      </x:c>
      <x:c r="H390" s="73" t="str">
        <x:f>IF('전기원장'!A390="","",'전기원장'!I390)</x:f>
      </x:c>
      <x:c r="I390" s="73" t="str">
        <x:f>IF('전기원장'!A390="","",'전기원장'!J390)</x:f>
      </x:c>
      <x:c r="J390" s="73" t="str">
        <x:f>IF('전기원장'!A390="","",'전기원장'!K390)</x:f>
      </x:c>
      <x:c r="K390" s="73" t="str">
        <x:f>IF(B390="","",IF(COUNTIF($B$5:B390,B390)=1,COUNT($K$4:K389)+1,""))</x:f>
      </x:c>
      <x:c r="L390" s="85" t="str">
        <x:f>IF(B390="","",IF(COUNTIFS('계정비교'!$A$5:$A$1004,B390,'계정비교'!$H$5:$H$1004,"원인분석 대상")&gt;0,COUNT($L$4:L389)+1,""))</x:f>
      </x:c>
    </x:row>
    <x:row r="391">
      <x:c r="A391" s="73" t="str">
        <x:f>IF('전기원장'!A391="","","전기")</x:f>
      </x:c>
      <x:c r="B391" s="73" t="str">
        <x:f>IF('전기원장'!A391="","",'전기원장'!A391)</x:f>
      </x:c>
      <x:c r="C391" s="73" t="str">
        <x:f>IF('전기원장'!A391="","",'전기원장'!B391)</x:f>
      </x:c>
      <x:c r="D391" s="74" t="str">
        <x:f>IF('전기원장'!A391="","",'전기원장'!C391)</x:f>
      </x:c>
      <x:c r="E391" s="73" t="str">
        <x:f>IF('전기원장'!A391="","",'전기원장'!D391)</x:f>
      </x:c>
      <x:c r="F391" s="73" t="str">
        <x:f>IF('전기원장'!A391="","",'전기원장'!E391)</x:f>
      </x:c>
      <x:c r="G391" s="75" t="str">
        <x:f>IF('전기원장'!A391="","",'전기원장'!H391)</x:f>
      </x:c>
      <x:c r="H391" s="73" t="str">
        <x:f>IF('전기원장'!A391="","",'전기원장'!I391)</x:f>
      </x:c>
      <x:c r="I391" s="73" t="str">
        <x:f>IF('전기원장'!A391="","",'전기원장'!J391)</x:f>
      </x:c>
      <x:c r="J391" s="73" t="str">
        <x:f>IF('전기원장'!A391="","",'전기원장'!K391)</x:f>
      </x:c>
      <x:c r="K391" s="73" t="str">
        <x:f>IF(B391="","",IF(COUNTIF($B$5:B391,B391)=1,COUNT($K$4:K390)+1,""))</x:f>
      </x:c>
      <x:c r="L391" s="85" t="str">
        <x:f>IF(B391="","",IF(COUNTIFS('계정비교'!$A$5:$A$1004,B391,'계정비교'!$H$5:$H$1004,"원인분석 대상")&gt;0,COUNT($L$4:L390)+1,""))</x:f>
      </x:c>
    </x:row>
    <x:row r="392">
      <x:c r="A392" s="73" t="str">
        <x:f>IF('전기원장'!A392="","","전기")</x:f>
      </x:c>
      <x:c r="B392" s="73" t="str">
        <x:f>IF('전기원장'!A392="","",'전기원장'!A392)</x:f>
      </x:c>
      <x:c r="C392" s="73" t="str">
        <x:f>IF('전기원장'!A392="","",'전기원장'!B392)</x:f>
      </x:c>
      <x:c r="D392" s="74" t="str">
        <x:f>IF('전기원장'!A392="","",'전기원장'!C392)</x:f>
      </x:c>
      <x:c r="E392" s="73" t="str">
        <x:f>IF('전기원장'!A392="","",'전기원장'!D392)</x:f>
      </x:c>
      <x:c r="F392" s="73" t="str">
        <x:f>IF('전기원장'!A392="","",'전기원장'!E392)</x:f>
      </x:c>
      <x:c r="G392" s="75" t="str">
        <x:f>IF('전기원장'!A392="","",'전기원장'!H392)</x:f>
      </x:c>
      <x:c r="H392" s="73" t="str">
        <x:f>IF('전기원장'!A392="","",'전기원장'!I392)</x:f>
      </x:c>
      <x:c r="I392" s="73" t="str">
        <x:f>IF('전기원장'!A392="","",'전기원장'!J392)</x:f>
      </x:c>
      <x:c r="J392" s="73" t="str">
        <x:f>IF('전기원장'!A392="","",'전기원장'!K392)</x:f>
      </x:c>
      <x:c r="K392" s="73" t="str">
        <x:f>IF(B392="","",IF(COUNTIF($B$5:B392,B392)=1,COUNT($K$4:K391)+1,""))</x:f>
      </x:c>
      <x:c r="L392" s="85" t="str">
        <x:f>IF(B392="","",IF(COUNTIFS('계정비교'!$A$5:$A$1004,B392,'계정비교'!$H$5:$H$1004,"원인분석 대상")&gt;0,COUNT($L$4:L391)+1,""))</x:f>
      </x:c>
    </x:row>
    <x:row r="393">
      <x:c r="A393" s="73" t="str">
        <x:f>IF('전기원장'!A393="","","전기")</x:f>
      </x:c>
      <x:c r="B393" s="73" t="str">
        <x:f>IF('전기원장'!A393="","",'전기원장'!A393)</x:f>
      </x:c>
      <x:c r="C393" s="73" t="str">
        <x:f>IF('전기원장'!A393="","",'전기원장'!B393)</x:f>
      </x:c>
      <x:c r="D393" s="74" t="str">
        <x:f>IF('전기원장'!A393="","",'전기원장'!C393)</x:f>
      </x:c>
      <x:c r="E393" s="73" t="str">
        <x:f>IF('전기원장'!A393="","",'전기원장'!D393)</x:f>
      </x:c>
      <x:c r="F393" s="73" t="str">
        <x:f>IF('전기원장'!A393="","",'전기원장'!E393)</x:f>
      </x:c>
      <x:c r="G393" s="75" t="str">
        <x:f>IF('전기원장'!A393="","",'전기원장'!H393)</x:f>
      </x:c>
      <x:c r="H393" s="73" t="str">
        <x:f>IF('전기원장'!A393="","",'전기원장'!I393)</x:f>
      </x:c>
      <x:c r="I393" s="73" t="str">
        <x:f>IF('전기원장'!A393="","",'전기원장'!J393)</x:f>
      </x:c>
      <x:c r="J393" s="73" t="str">
        <x:f>IF('전기원장'!A393="","",'전기원장'!K393)</x:f>
      </x:c>
      <x:c r="K393" s="73" t="str">
        <x:f>IF(B393="","",IF(COUNTIF($B$5:B393,B393)=1,COUNT($K$4:K392)+1,""))</x:f>
      </x:c>
      <x:c r="L393" s="85" t="str">
        <x:f>IF(B393="","",IF(COUNTIFS('계정비교'!$A$5:$A$1004,B393,'계정비교'!$H$5:$H$1004,"원인분석 대상")&gt;0,COUNT($L$4:L392)+1,""))</x:f>
      </x:c>
    </x:row>
    <x:row r="394">
      <x:c r="A394" s="73" t="str">
        <x:f>IF('전기원장'!A394="","","전기")</x:f>
      </x:c>
      <x:c r="B394" s="73" t="str">
        <x:f>IF('전기원장'!A394="","",'전기원장'!A394)</x:f>
      </x:c>
      <x:c r="C394" s="73" t="str">
        <x:f>IF('전기원장'!A394="","",'전기원장'!B394)</x:f>
      </x:c>
      <x:c r="D394" s="74" t="str">
        <x:f>IF('전기원장'!A394="","",'전기원장'!C394)</x:f>
      </x:c>
      <x:c r="E394" s="73" t="str">
        <x:f>IF('전기원장'!A394="","",'전기원장'!D394)</x:f>
      </x:c>
      <x:c r="F394" s="73" t="str">
        <x:f>IF('전기원장'!A394="","",'전기원장'!E394)</x:f>
      </x:c>
      <x:c r="G394" s="75" t="str">
        <x:f>IF('전기원장'!A394="","",'전기원장'!H394)</x:f>
      </x:c>
      <x:c r="H394" s="73" t="str">
        <x:f>IF('전기원장'!A394="","",'전기원장'!I394)</x:f>
      </x:c>
      <x:c r="I394" s="73" t="str">
        <x:f>IF('전기원장'!A394="","",'전기원장'!J394)</x:f>
      </x:c>
      <x:c r="J394" s="73" t="str">
        <x:f>IF('전기원장'!A394="","",'전기원장'!K394)</x:f>
      </x:c>
      <x:c r="K394" s="73" t="str">
        <x:f>IF(B394="","",IF(COUNTIF($B$5:B394,B394)=1,COUNT($K$4:K393)+1,""))</x:f>
      </x:c>
      <x:c r="L394" s="85" t="str">
        <x:f>IF(B394="","",IF(COUNTIFS('계정비교'!$A$5:$A$1004,B394,'계정비교'!$H$5:$H$1004,"원인분석 대상")&gt;0,COUNT($L$4:L393)+1,""))</x:f>
      </x:c>
    </x:row>
    <x:row r="395">
      <x:c r="A395" s="73" t="str">
        <x:f>IF('전기원장'!A395="","","전기")</x:f>
      </x:c>
      <x:c r="B395" s="73" t="str">
        <x:f>IF('전기원장'!A395="","",'전기원장'!A395)</x:f>
      </x:c>
      <x:c r="C395" s="73" t="str">
        <x:f>IF('전기원장'!A395="","",'전기원장'!B395)</x:f>
      </x:c>
      <x:c r="D395" s="74" t="str">
        <x:f>IF('전기원장'!A395="","",'전기원장'!C395)</x:f>
      </x:c>
      <x:c r="E395" s="73" t="str">
        <x:f>IF('전기원장'!A395="","",'전기원장'!D395)</x:f>
      </x:c>
      <x:c r="F395" s="73" t="str">
        <x:f>IF('전기원장'!A395="","",'전기원장'!E395)</x:f>
      </x:c>
      <x:c r="G395" s="75" t="str">
        <x:f>IF('전기원장'!A395="","",'전기원장'!H395)</x:f>
      </x:c>
      <x:c r="H395" s="73" t="str">
        <x:f>IF('전기원장'!A395="","",'전기원장'!I395)</x:f>
      </x:c>
      <x:c r="I395" s="73" t="str">
        <x:f>IF('전기원장'!A395="","",'전기원장'!J395)</x:f>
      </x:c>
      <x:c r="J395" s="73" t="str">
        <x:f>IF('전기원장'!A395="","",'전기원장'!K395)</x:f>
      </x:c>
      <x:c r="K395" s="73" t="str">
        <x:f>IF(B395="","",IF(COUNTIF($B$5:B395,B395)=1,COUNT($K$4:K394)+1,""))</x:f>
      </x:c>
      <x:c r="L395" s="85" t="str">
        <x:f>IF(B395="","",IF(COUNTIFS('계정비교'!$A$5:$A$1004,B395,'계정비교'!$H$5:$H$1004,"원인분석 대상")&gt;0,COUNT($L$4:L394)+1,""))</x:f>
      </x:c>
    </x:row>
    <x:row r="396">
      <x:c r="A396" s="73" t="str">
        <x:f>IF('전기원장'!A396="","","전기")</x:f>
      </x:c>
      <x:c r="B396" s="73" t="str">
        <x:f>IF('전기원장'!A396="","",'전기원장'!A396)</x:f>
      </x:c>
      <x:c r="C396" s="73" t="str">
        <x:f>IF('전기원장'!A396="","",'전기원장'!B396)</x:f>
      </x:c>
      <x:c r="D396" s="74" t="str">
        <x:f>IF('전기원장'!A396="","",'전기원장'!C396)</x:f>
      </x:c>
      <x:c r="E396" s="73" t="str">
        <x:f>IF('전기원장'!A396="","",'전기원장'!D396)</x:f>
      </x:c>
      <x:c r="F396" s="73" t="str">
        <x:f>IF('전기원장'!A396="","",'전기원장'!E396)</x:f>
      </x:c>
      <x:c r="G396" s="75" t="str">
        <x:f>IF('전기원장'!A396="","",'전기원장'!H396)</x:f>
      </x:c>
      <x:c r="H396" s="73" t="str">
        <x:f>IF('전기원장'!A396="","",'전기원장'!I396)</x:f>
      </x:c>
      <x:c r="I396" s="73" t="str">
        <x:f>IF('전기원장'!A396="","",'전기원장'!J396)</x:f>
      </x:c>
      <x:c r="J396" s="73" t="str">
        <x:f>IF('전기원장'!A396="","",'전기원장'!K396)</x:f>
      </x:c>
      <x:c r="K396" s="73" t="str">
        <x:f>IF(B396="","",IF(COUNTIF($B$5:B396,B396)=1,COUNT($K$4:K395)+1,""))</x:f>
      </x:c>
      <x:c r="L396" s="85" t="str">
        <x:f>IF(B396="","",IF(COUNTIFS('계정비교'!$A$5:$A$1004,B396,'계정비교'!$H$5:$H$1004,"원인분석 대상")&gt;0,COUNT($L$4:L395)+1,""))</x:f>
      </x:c>
    </x:row>
    <x:row r="397">
      <x:c r="A397" s="73" t="str">
        <x:f>IF('전기원장'!A397="","","전기")</x:f>
      </x:c>
      <x:c r="B397" s="73" t="str">
        <x:f>IF('전기원장'!A397="","",'전기원장'!A397)</x:f>
      </x:c>
      <x:c r="C397" s="73" t="str">
        <x:f>IF('전기원장'!A397="","",'전기원장'!B397)</x:f>
      </x:c>
      <x:c r="D397" s="74" t="str">
        <x:f>IF('전기원장'!A397="","",'전기원장'!C397)</x:f>
      </x:c>
      <x:c r="E397" s="73" t="str">
        <x:f>IF('전기원장'!A397="","",'전기원장'!D397)</x:f>
      </x:c>
      <x:c r="F397" s="73" t="str">
        <x:f>IF('전기원장'!A397="","",'전기원장'!E397)</x:f>
      </x:c>
      <x:c r="G397" s="75" t="str">
        <x:f>IF('전기원장'!A397="","",'전기원장'!H397)</x:f>
      </x:c>
      <x:c r="H397" s="73" t="str">
        <x:f>IF('전기원장'!A397="","",'전기원장'!I397)</x:f>
      </x:c>
      <x:c r="I397" s="73" t="str">
        <x:f>IF('전기원장'!A397="","",'전기원장'!J397)</x:f>
      </x:c>
      <x:c r="J397" s="73" t="str">
        <x:f>IF('전기원장'!A397="","",'전기원장'!K397)</x:f>
      </x:c>
      <x:c r="K397" s="73" t="str">
        <x:f>IF(B397="","",IF(COUNTIF($B$5:B397,B397)=1,COUNT($K$4:K396)+1,""))</x:f>
      </x:c>
      <x:c r="L397" s="85" t="str">
        <x:f>IF(B397="","",IF(COUNTIFS('계정비교'!$A$5:$A$1004,B397,'계정비교'!$H$5:$H$1004,"원인분석 대상")&gt;0,COUNT($L$4:L396)+1,""))</x:f>
      </x:c>
    </x:row>
    <x:row r="398">
      <x:c r="A398" s="73" t="str">
        <x:f>IF('전기원장'!A398="","","전기")</x:f>
      </x:c>
      <x:c r="B398" s="73" t="str">
        <x:f>IF('전기원장'!A398="","",'전기원장'!A398)</x:f>
      </x:c>
      <x:c r="C398" s="73" t="str">
        <x:f>IF('전기원장'!A398="","",'전기원장'!B398)</x:f>
      </x:c>
      <x:c r="D398" s="74" t="str">
        <x:f>IF('전기원장'!A398="","",'전기원장'!C398)</x:f>
      </x:c>
      <x:c r="E398" s="73" t="str">
        <x:f>IF('전기원장'!A398="","",'전기원장'!D398)</x:f>
      </x:c>
      <x:c r="F398" s="73" t="str">
        <x:f>IF('전기원장'!A398="","",'전기원장'!E398)</x:f>
      </x:c>
      <x:c r="G398" s="75" t="str">
        <x:f>IF('전기원장'!A398="","",'전기원장'!H398)</x:f>
      </x:c>
      <x:c r="H398" s="73" t="str">
        <x:f>IF('전기원장'!A398="","",'전기원장'!I398)</x:f>
      </x:c>
      <x:c r="I398" s="73" t="str">
        <x:f>IF('전기원장'!A398="","",'전기원장'!J398)</x:f>
      </x:c>
      <x:c r="J398" s="73" t="str">
        <x:f>IF('전기원장'!A398="","",'전기원장'!K398)</x:f>
      </x:c>
      <x:c r="K398" s="73" t="str">
        <x:f>IF(B398="","",IF(COUNTIF($B$5:B398,B398)=1,COUNT($K$4:K397)+1,""))</x:f>
      </x:c>
      <x:c r="L398" s="85" t="str">
        <x:f>IF(B398="","",IF(COUNTIFS('계정비교'!$A$5:$A$1004,B398,'계정비교'!$H$5:$H$1004,"원인분석 대상")&gt;0,COUNT($L$4:L397)+1,""))</x:f>
      </x:c>
    </x:row>
    <x:row r="399">
      <x:c r="A399" s="73" t="str">
        <x:f>IF('전기원장'!A399="","","전기")</x:f>
      </x:c>
      <x:c r="B399" s="73" t="str">
        <x:f>IF('전기원장'!A399="","",'전기원장'!A399)</x:f>
      </x:c>
      <x:c r="C399" s="73" t="str">
        <x:f>IF('전기원장'!A399="","",'전기원장'!B399)</x:f>
      </x:c>
      <x:c r="D399" s="74" t="str">
        <x:f>IF('전기원장'!A399="","",'전기원장'!C399)</x:f>
      </x:c>
      <x:c r="E399" s="73" t="str">
        <x:f>IF('전기원장'!A399="","",'전기원장'!D399)</x:f>
      </x:c>
      <x:c r="F399" s="73" t="str">
        <x:f>IF('전기원장'!A399="","",'전기원장'!E399)</x:f>
      </x:c>
      <x:c r="G399" s="75" t="str">
        <x:f>IF('전기원장'!A399="","",'전기원장'!H399)</x:f>
      </x:c>
      <x:c r="H399" s="73" t="str">
        <x:f>IF('전기원장'!A399="","",'전기원장'!I399)</x:f>
      </x:c>
      <x:c r="I399" s="73" t="str">
        <x:f>IF('전기원장'!A399="","",'전기원장'!J399)</x:f>
      </x:c>
      <x:c r="J399" s="73" t="str">
        <x:f>IF('전기원장'!A399="","",'전기원장'!K399)</x:f>
      </x:c>
      <x:c r="K399" s="73" t="str">
        <x:f>IF(B399="","",IF(COUNTIF($B$5:B399,B399)=1,COUNT($K$4:K398)+1,""))</x:f>
      </x:c>
      <x:c r="L399" s="85" t="str">
        <x:f>IF(B399="","",IF(COUNTIFS('계정비교'!$A$5:$A$1004,B399,'계정비교'!$H$5:$H$1004,"원인분석 대상")&gt;0,COUNT($L$4:L398)+1,""))</x:f>
      </x:c>
    </x:row>
    <x:row r="400">
      <x:c r="A400" s="73" t="str">
        <x:f>IF('전기원장'!A400="","","전기")</x:f>
      </x:c>
      <x:c r="B400" s="73" t="str">
        <x:f>IF('전기원장'!A400="","",'전기원장'!A400)</x:f>
      </x:c>
      <x:c r="C400" s="73" t="str">
        <x:f>IF('전기원장'!A400="","",'전기원장'!B400)</x:f>
      </x:c>
      <x:c r="D400" s="74" t="str">
        <x:f>IF('전기원장'!A400="","",'전기원장'!C400)</x:f>
      </x:c>
      <x:c r="E400" s="73" t="str">
        <x:f>IF('전기원장'!A400="","",'전기원장'!D400)</x:f>
      </x:c>
      <x:c r="F400" s="73" t="str">
        <x:f>IF('전기원장'!A400="","",'전기원장'!E400)</x:f>
      </x:c>
      <x:c r="G400" s="75" t="str">
        <x:f>IF('전기원장'!A400="","",'전기원장'!H400)</x:f>
      </x:c>
      <x:c r="H400" s="73" t="str">
        <x:f>IF('전기원장'!A400="","",'전기원장'!I400)</x:f>
      </x:c>
      <x:c r="I400" s="73" t="str">
        <x:f>IF('전기원장'!A400="","",'전기원장'!J400)</x:f>
      </x:c>
      <x:c r="J400" s="73" t="str">
        <x:f>IF('전기원장'!A400="","",'전기원장'!K400)</x:f>
      </x:c>
      <x:c r="K400" s="73" t="str">
        <x:f>IF(B400="","",IF(COUNTIF($B$5:B400,B400)=1,COUNT($K$4:K399)+1,""))</x:f>
      </x:c>
      <x:c r="L400" s="85" t="str">
        <x:f>IF(B400="","",IF(COUNTIFS('계정비교'!$A$5:$A$1004,B400,'계정비교'!$H$5:$H$1004,"원인분석 대상")&gt;0,COUNT($L$4:L399)+1,""))</x:f>
      </x:c>
    </x:row>
    <x:row r="401">
      <x:c r="A401" s="73" t="str">
        <x:f>IF('전기원장'!A401="","","전기")</x:f>
      </x:c>
      <x:c r="B401" s="73" t="str">
        <x:f>IF('전기원장'!A401="","",'전기원장'!A401)</x:f>
      </x:c>
      <x:c r="C401" s="73" t="str">
        <x:f>IF('전기원장'!A401="","",'전기원장'!B401)</x:f>
      </x:c>
      <x:c r="D401" s="74" t="str">
        <x:f>IF('전기원장'!A401="","",'전기원장'!C401)</x:f>
      </x:c>
      <x:c r="E401" s="73" t="str">
        <x:f>IF('전기원장'!A401="","",'전기원장'!D401)</x:f>
      </x:c>
      <x:c r="F401" s="73" t="str">
        <x:f>IF('전기원장'!A401="","",'전기원장'!E401)</x:f>
      </x:c>
      <x:c r="G401" s="75" t="str">
        <x:f>IF('전기원장'!A401="","",'전기원장'!H401)</x:f>
      </x:c>
      <x:c r="H401" s="73" t="str">
        <x:f>IF('전기원장'!A401="","",'전기원장'!I401)</x:f>
      </x:c>
      <x:c r="I401" s="73" t="str">
        <x:f>IF('전기원장'!A401="","",'전기원장'!J401)</x:f>
      </x:c>
      <x:c r="J401" s="73" t="str">
        <x:f>IF('전기원장'!A401="","",'전기원장'!K401)</x:f>
      </x:c>
      <x:c r="K401" s="73" t="str">
        <x:f>IF(B401="","",IF(COUNTIF($B$5:B401,B401)=1,COUNT($K$4:K400)+1,""))</x:f>
      </x:c>
      <x:c r="L401" s="85" t="str">
        <x:f>IF(B401="","",IF(COUNTIFS('계정비교'!$A$5:$A$1004,B401,'계정비교'!$H$5:$H$1004,"원인분석 대상")&gt;0,COUNT($L$4:L400)+1,""))</x:f>
      </x:c>
    </x:row>
    <x:row r="402">
      <x:c r="A402" s="73" t="str">
        <x:f>IF('전기원장'!A402="","","전기")</x:f>
      </x:c>
      <x:c r="B402" s="73" t="str">
        <x:f>IF('전기원장'!A402="","",'전기원장'!A402)</x:f>
      </x:c>
      <x:c r="C402" s="73" t="str">
        <x:f>IF('전기원장'!A402="","",'전기원장'!B402)</x:f>
      </x:c>
      <x:c r="D402" s="74" t="str">
        <x:f>IF('전기원장'!A402="","",'전기원장'!C402)</x:f>
      </x:c>
      <x:c r="E402" s="73" t="str">
        <x:f>IF('전기원장'!A402="","",'전기원장'!D402)</x:f>
      </x:c>
      <x:c r="F402" s="73" t="str">
        <x:f>IF('전기원장'!A402="","",'전기원장'!E402)</x:f>
      </x:c>
      <x:c r="G402" s="75" t="str">
        <x:f>IF('전기원장'!A402="","",'전기원장'!H402)</x:f>
      </x:c>
      <x:c r="H402" s="73" t="str">
        <x:f>IF('전기원장'!A402="","",'전기원장'!I402)</x:f>
      </x:c>
      <x:c r="I402" s="73" t="str">
        <x:f>IF('전기원장'!A402="","",'전기원장'!J402)</x:f>
      </x:c>
      <x:c r="J402" s="73" t="str">
        <x:f>IF('전기원장'!A402="","",'전기원장'!K402)</x:f>
      </x:c>
      <x:c r="K402" s="73" t="str">
        <x:f>IF(B402="","",IF(COUNTIF($B$5:B402,B402)=1,COUNT($K$4:K401)+1,""))</x:f>
      </x:c>
      <x:c r="L402" s="85" t="str">
        <x:f>IF(B402="","",IF(COUNTIFS('계정비교'!$A$5:$A$1004,B402,'계정비교'!$H$5:$H$1004,"원인분석 대상")&gt;0,COUNT($L$4:L401)+1,""))</x:f>
      </x:c>
    </x:row>
    <x:row r="403">
      <x:c r="A403" s="73" t="str">
        <x:f>IF('전기원장'!A403="","","전기")</x:f>
      </x:c>
      <x:c r="B403" s="73" t="str">
        <x:f>IF('전기원장'!A403="","",'전기원장'!A403)</x:f>
      </x:c>
      <x:c r="C403" s="73" t="str">
        <x:f>IF('전기원장'!A403="","",'전기원장'!B403)</x:f>
      </x:c>
      <x:c r="D403" s="74" t="str">
        <x:f>IF('전기원장'!A403="","",'전기원장'!C403)</x:f>
      </x:c>
      <x:c r="E403" s="73" t="str">
        <x:f>IF('전기원장'!A403="","",'전기원장'!D403)</x:f>
      </x:c>
      <x:c r="F403" s="73" t="str">
        <x:f>IF('전기원장'!A403="","",'전기원장'!E403)</x:f>
      </x:c>
      <x:c r="G403" s="75" t="str">
        <x:f>IF('전기원장'!A403="","",'전기원장'!H403)</x:f>
      </x:c>
      <x:c r="H403" s="73" t="str">
        <x:f>IF('전기원장'!A403="","",'전기원장'!I403)</x:f>
      </x:c>
      <x:c r="I403" s="73" t="str">
        <x:f>IF('전기원장'!A403="","",'전기원장'!J403)</x:f>
      </x:c>
      <x:c r="J403" s="73" t="str">
        <x:f>IF('전기원장'!A403="","",'전기원장'!K403)</x:f>
      </x:c>
      <x:c r="K403" s="73" t="str">
        <x:f>IF(B403="","",IF(COUNTIF($B$5:B403,B403)=1,COUNT($K$4:K402)+1,""))</x:f>
      </x:c>
      <x:c r="L403" s="85" t="str">
        <x:f>IF(B403="","",IF(COUNTIFS('계정비교'!$A$5:$A$1004,B403,'계정비교'!$H$5:$H$1004,"원인분석 대상")&gt;0,COUNT($L$4:L402)+1,""))</x:f>
      </x:c>
    </x:row>
    <x:row r="404">
      <x:c r="A404" s="73" t="str">
        <x:f>IF('전기원장'!A404="","","전기")</x:f>
      </x:c>
      <x:c r="B404" s="73" t="str">
        <x:f>IF('전기원장'!A404="","",'전기원장'!A404)</x:f>
      </x:c>
      <x:c r="C404" s="73" t="str">
        <x:f>IF('전기원장'!A404="","",'전기원장'!B404)</x:f>
      </x:c>
      <x:c r="D404" s="74" t="str">
        <x:f>IF('전기원장'!A404="","",'전기원장'!C404)</x:f>
      </x:c>
      <x:c r="E404" s="73" t="str">
        <x:f>IF('전기원장'!A404="","",'전기원장'!D404)</x:f>
      </x:c>
      <x:c r="F404" s="73" t="str">
        <x:f>IF('전기원장'!A404="","",'전기원장'!E404)</x:f>
      </x:c>
      <x:c r="G404" s="75" t="str">
        <x:f>IF('전기원장'!A404="","",'전기원장'!H404)</x:f>
      </x:c>
      <x:c r="H404" s="73" t="str">
        <x:f>IF('전기원장'!A404="","",'전기원장'!I404)</x:f>
      </x:c>
      <x:c r="I404" s="73" t="str">
        <x:f>IF('전기원장'!A404="","",'전기원장'!J404)</x:f>
      </x:c>
      <x:c r="J404" s="73" t="str">
        <x:f>IF('전기원장'!A404="","",'전기원장'!K404)</x:f>
      </x:c>
      <x:c r="K404" s="73" t="str">
        <x:f>IF(B404="","",IF(COUNTIF($B$5:B404,B404)=1,COUNT($K$4:K403)+1,""))</x:f>
      </x:c>
      <x:c r="L404" s="85" t="str">
        <x:f>IF(B404="","",IF(COUNTIFS('계정비교'!$A$5:$A$1004,B404,'계정비교'!$H$5:$H$1004,"원인분석 대상")&gt;0,COUNT($L$4:L403)+1,""))</x:f>
      </x:c>
    </x:row>
    <x:row r="405">
      <x:c r="A405" s="73" t="str">
        <x:f>IF('전기원장'!A405="","","전기")</x:f>
      </x:c>
      <x:c r="B405" s="73" t="str">
        <x:f>IF('전기원장'!A405="","",'전기원장'!A405)</x:f>
      </x:c>
      <x:c r="C405" s="73" t="str">
        <x:f>IF('전기원장'!A405="","",'전기원장'!B405)</x:f>
      </x:c>
      <x:c r="D405" s="74" t="str">
        <x:f>IF('전기원장'!A405="","",'전기원장'!C405)</x:f>
      </x:c>
      <x:c r="E405" s="73" t="str">
        <x:f>IF('전기원장'!A405="","",'전기원장'!D405)</x:f>
      </x:c>
      <x:c r="F405" s="73" t="str">
        <x:f>IF('전기원장'!A405="","",'전기원장'!E405)</x:f>
      </x:c>
      <x:c r="G405" s="75" t="str">
        <x:f>IF('전기원장'!A405="","",'전기원장'!H405)</x:f>
      </x:c>
      <x:c r="H405" s="73" t="str">
        <x:f>IF('전기원장'!A405="","",'전기원장'!I405)</x:f>
      </x:c>
      <x:c r="I405" s="73" t="str">
        <x:f>IF('전기원장'!A405="","",'전기원장'!J405)</x:f>
      </x:c>
      <x:c r="J405" s="73" t="str">
        <x:f>IF('전기원장'!A405="","",'전기원장'!K405)</x:f>
      </x:c>
      <x:c r="K405" s="73" t="str">
        <x:f>IF(B405="","",IF(COUNTIF($B$5:B405,B405)=1,COUNT($K$4:K404)+1,""))</x:f>
      </x:c>
      <x:c r="L405" s="85" t="str">
        <x:f>IF(B405="","",IF(COUNTIFS('계정비교'!$A$5:$A$1004,B405,'계정비교'!$H$5:$H$1004,"원인분석 대상")&gt;0,COUNT($L$4:L404)+1,""))</x:f>
      </x:c>
    </x:row>
    <x:row r="406">
      <x:c r="A406" s="73" t="str">
        <x:f>IF('전기원장'!A406="","","전기")</x:f>
      </x:c>
      <x:c r="B406" s="73" t="str">
        <x:f>IF('전기원장'!A406="","",'전기원장'!A406)</x:f>
      </x:c>
      <x:c r="C406" s="73" t="str">
        <x:f>IF('전기원장'!A406="","",'전기원장'!B406)</x:f>
      </x:c>
      <x:c r="D406" s="74" t="str">
        <x:f>IF('전기원장'!A406="","",'전기원장'!C406)</x:f>
      </x:c>
      <x:c r="E406" s="73" t="str">
        <x:f>IF('전기원장'!A406="","",'전기원장'!D406)</x:f>
      </x:c>
      <x:c r="F406" s="73" t="str">
        <x:f>IF('전기원장'!A406="","",'전기원장'!E406)</x:f>
      </x:c>
      <x:c r="G406" s="75" t="str">
        <x:f>IF('전기원장'!A406="","",'전기원장'!H406)</x:f>
      </x:c>
      <x:c r="H406" s="73" t="str">
        <x:f>IF('전기원장'!A406="","",'전기원장'!I406)</x:f>
      </x:c>
      <x:c r="I406" s="73" t="str">
        <x:f>IF('전기원장'!A406="","",'전기원장'!J406)</x:f>
      </x:c>
      <x:c r="J406" s="73" t="str">
        <x:f>IF('전기원장'!A406="","",'전기원장'!K406)</x:f>
      </x:c>
      <x:c r="K406" s="73" t="str">
        <x:f>IF(B406="","",IF(COUNTIF($B$5:B406,B406)=1,COUNT($K$4:K405)+1,""))</x:f>
      </x:c>
      <x:c r="L406" s="85" t="str">
        <x:f>IF(B406="","",IF(COUNTIFS('계정비교'!$A$5:$A$1004,B406,'계정비교'!$H$5:$H$1004,"원인분석 대상")&gt;0,COUNT($L$4:L405)+1,""))</x:f>
      </x:c>
    </x:row>
    <x:row r="407">
      <x:c r="A407" s="73" t="str">
        <x:f>IF('전기원장'!A407="","","전기")</x:f>
      </x:c>
      <x:c r="B407" s="73" t="str">
        <x:f>IF('전기원장'!A407="","",'전기원장'!A407)</x:f>
      </x:c>
      <x:c r="C407" s="73" t="str">
        <x:f>IF('전기원장'!A407="","",'전기원장'!B407)</x:f>
      </x:c>
      <x:c r="D407" s="74" t="str">
        <x:f>IF('전기원장'!A407="","",'전기원장'!C407)</x:f>
      </x:c>
      <x:c r="E407" s="73" t="str">
        <x:f>IF('전기원장'!A407="","",'전기원장'!D407)</x:f>
      </x:c>
      <x:c r="F407" s="73" t="str">
        <x:f>IF('전기원장'!A407="","",'전기원장'!E407)</x:f>
      </x:c>
      <x:c r="G407" s="75" t="str">
        <x:f>IF('전기원장'!A407="","",'전기원장'!H407)</x:f>
      </x:c>
      <x:c r="H407" s="73" t="str">
        <x:f>IF('전기원장'!A407="","",'전기원장'!I407)</x:f>
      </x:c>
      <x:c r="I407" s="73" t="str">
        <x:f>IF('전기원장'!A407="","",'전기원장'!J407)</x:f>
      </x:c>
      <x:c r="J407" s="73" t="str">
        <x:f>IF('전기원장'!A407="","",'전기원장'!K407)</x:f>
      </x:c>
      <x:c r="K407" s="73" t="str">
        <x:f>IF(B407="","",IF(COUNTIF($B$5:B407,B407)=1,COUNT($K$4:K406)+1,""))</x:f>
      </x:c>
      <x:c r="L407" s="85" t="str">
        <x:f>IF(B407="","",IF(COUNTIFS('계정비교'!$A$5:$A$1004,B407,'계정비교'!$H$5:$H$1004,"원인분석 대상")&gt;0,COUNT($L$4:L406)+1,""))</x:f>
      </x:c>
    </x:row>
    <x:row r="408">
      <x:c r="A408" s="73" t="str">
        <x:f>IF('전기원장'!A408="","","전기")</x:f>
      </x:c>
      <x:c r="B408" s="73" t="str">
        <x:f>IF('전기원장'!A408="","",'전기원장'!A408)</x:f>
      </x:c>
      <x:c r="C408" s="73" t="str">
        <x:f>IF('전기원장'!A408="","",'전기원장'!B408)</x:f>
      </x:c>
      <x:c r="D408" s="74" t="str">
        <x:f>IF('전기원장'!A408="","",'전기원장'!C408)</x:f>
      </x:c>
      <x:c r="E408" s="73" t="str">
        <x:f>IF('전기원장'!A408="","",'전기원장'!D408)</x:f>
      </x:c>
      <x:c r="F408" s="73" t="str">
        <x:f>IF('전기원장'!A408="","",'전기원장'!E408)</x:f>
      </x:c>
      <x:c r="G408" s="75" t="str">
        <x:f>IF('전기원장'!A408="","",'전기원장'!H408)</x:f>
      </x:c>
      <x:c r="H408" s="73" t="str">
        <x:f>IF('전기원장'!A408="","",'전기원장'!I408)</x:f>
      </x:c>
      <x:c r="I408" s="73" t="str">
        <x:f>IF('전기원장'!A408="","",'전기원장'!J408)</x:f>
      </x:c>
      <x:c r="J408" s="73" t="str">
        <x:f>IF('전기원장'!A408="","",'전기원장'!K408)</x:f>
      </x:c>
      <x:c r="K408" s="73" t="str">
        <x:f>IF(B408="","",IF(COUNTIF($B$5:B408,B408)=1,COUNT($K$4:K407)+1,""))</x:f>
      </x:c>
      <x:c r="L408" s="85" t="str">
        <x:f>IF(B408="","",IF(COUNTIFS('계정비교'!$A$5:$A$1004,B408,'계정비교'!$H$5:$H$1004,"원인분석 대상")&gt;0,COUNT($L$4:L407)+1,""))</x:f>
      </x:c>
    </x:row>
    <x:row r="409">
      <x:c r="A409" s="73" t="str">
        <x:f>IF('전기원장'!A409="","","전기")</x:f>
      </x:c>
      <x:c r="B409" s="73" t="str">
        <x:f>IF('전기원장'!A409="","",'전기원장'!A409)</x:f>
      </x:c>
      <x:c r="C409" s="73" t="str">
        <x:f>IF('전기원장'!A409="","",'전기원장'!B409)</x:f>
      </x:c>
      <x:c r="D409" s="74" t="str">
        <x:f>IF('전기원장'!A409="","",'전기원장'!C409)</x:f>
      </x:c>
      <x:c r="E409" s="73" t="str">
        <x:f>IF('전기원장'!A409="","",'전기원장'!D409)</x:f>
      </x:c>
      <x:c r="F409" s="73" t="str">
        <x:f>IF('전기원장'!A409="","",'전기원장'!E409)</x:f>
      </x:c>
      <x:c r="G409" s="75" t="str">
        <x:f>IF('전기원장'!A409="","",'전기원장'!H409)</x:f>
      </x:c>
      <x:c r="H409" s="73" t="str">
        <x:f>IF('전기원장'!A409="","",'전기원장'!I409)</x:f>
      </x:c>
      <x:c r="I409" s="73" t="str">
        <x:f>IF('전기원장'!A409="","",'전기원장'!J409)</x:f>
      </x:c>
      <x:c r="J409" s="73" t="str">
        <x:f>IF('전기원장'!A409="","",'전기원장'!K409)</x:f>
      </x:c>
      <x:c r="K409" s="73" t="str">
        <x:f>IF(B409="","",IF(COUNTIF($B$5:B409,B409)=1,COUNT($K$4:K408)+1,""))</x:f>
      </x:c>
      <x:c r="L409" s="85" t="str">
        <x:f>IF(B409="","",IF(COUNTIFS('계정비교'!$A$5:$A$1004,B409,'계정비교'!$H$5:$H$1004,"원인분석 대상")&gt;0,COUNT($L$4:L408)+1,""))</x:f>
      </x:c>
    </x:row>
    <x:row r="410">
      <x:c r="A410" s="73" t="str">
        <x:f>IF('전기원장'!A410="","","전기")</x:f>
      </x:c>
      <x:c r="B410" s="73" t="str">
        <x:f>IF('전기원장'!A410="","",'전기원장'!A410)</x:f>
      </x:c>
      <x:c r="C410" s="73" t="str">
        <x:f>IF('전기원장'!A410="","",'전기원장'!B410)</x:f>
      </x:c>
      <x:c r="D410" s="74" t="str">
        <x:f>IF('전기원장'!A410="","",'전기원장'!C410)</x:f>
      </x:c>
      <x:c r="E410" s="73" t="str">
        <x:f>IF('전기원장'!A410="","",'전기원장'!D410)</x:f>
      </x:c>
      <x:c r="F410" s="73" t="str">
        <x:f>IF('전기원장'!A410="","",'전기원장'!E410)</x:f>
      </x:c>
      <x:c r="G410" s="75" t="str">
        <x:f>IF('전기원장'!A410="","",'전기원장'!H410)</x:f>
      </x:c>
      <x:c r="H410" s="73" t="str">
        <x:f>IF('전기원장'!A410="","",'전기원장'!I410)</x:f>
      </x:c>
      <x:c r="I410" s="73" t="str">
        <x:f>IF('전기원장'!A410="","",'전기원장'!J410)</x:f>
      </x:c>
      <x:c r="J410" s="73" t="str">
        <x:f>IF('전기원장'!A410="","",'전기원장'!K410)</x:f>
      </x:c>
      <x:c r="K410" s="73" t="str">
        <x:f>IF(B410="","",IF(COUNTIF($B$5:B410,B410)=1,COUNT($K$4:K409)+1,""))</x:f>
      </x:c>
      <x:c r="L410" s="85" t="str">
        <x:f>IF(B410="","",IF(COUNTIFS('계정비교'!$A$5:$A$1004,B410,'계정비교'!$H$5:$H$1004,"원인분석 대상")&gt;0,COUNT($L$4:L409)+1,""))</x:f>
      </x:c>
    </x:row>
    <x:row r="411">
      <x:c r="A411" s="73" t="str">
        <x:f>IF('전기원장'!A411="","","전기")</x:f>
      </x:c>
      <x:c r="B411" s="73" t="str">
        <x:f>IF('전기원장'!A411="","",'전기원장'!A411)</x:f>
      </x:c>
      <x:c r="C411" s="73" t="str">
        <x:f>IF('전기원장'!A411="","",'전기원장'!B411)</x:f>
      </x:c>
      <x:c r="D411" s="74" t="str">
        <x:f>IF('전기원장'!A411="","",'전기원장'!C411)</x:f>
      </x:c>
      <x:c r="E411" s="73" t="str">
        <x:f>IF('전기원장'!A411="","",'전기원장'!D411)</x:f>
      </x:c>
      <x:c r="F411" s="73" t="str">
        <x:f>IF('전기원장'!A411="","",'전기원장'!E411)</x:f>
      </x:c>
      <x:c r="G411" s="75" t="str">
        <x:f>IF('전기원장'!A411="","",'전기원장'!H411)</x:f>
      </x:c>
      <x:c r="H411" s="73" t="str">
        <x:f>IF('전기원장'!A411="","",'전기원장'!I411)</x:f>
      </x:c>
      <x:c r="I411" s="73" t="str">
        <x:f>IF('전기원장'!A411="","",'전기원장'!J411)</x:f>
      </x:c>
      <x:c r="J411" s="73" t="str">
        <x:f>IF('전기원장'!A411="","",'전기원장'!K411)</x:f>
      </x:c>
      <x:c r="K411" s="73" t="str">
        <x:f>IF(B411="","",IF(COUNTIF($B$5:B411,B411)=1,COUNT($K$4:K410)+1,""))</x:f>
      </x:c>
      <x:c r="L411" s="85" t="str">
        <x:f>IF(B411="","",IF(COUNTIFS('계정비교'!$A$5:$A$1004,B411,'계정비교'!$H$5:$H$1004,"원인분석 대상")&gt;0,COUNT($L$4:L410)+1,""))</x:f>
      </x:c>
    </x:row>
    <x:row r="412">
      <x:c r="A412" s="73" t="str">
        <x:f>IF('전기원장'!A412="","","전기")</x:f>
      </x:c>
      <x:c r="B412" s="73" t="str">
        <x:f>IF('전기원장'!A412="","",'전기원장'!A412)</x:f>
      </x:c>
      <x:c r="C412" s="73" t="str">
        <x:f>IF('전기원장'!A412="","",'전기원장'!B412)</x:f>
      </x:c>
      <x:c r="D412" s="74" t="str">
        <x:f>IF('전기원장'!A412="","",'전기원장'!C412)</x:f>
      </x:c>
      <x:c r="E412" s="73" t="str">
        <x:f>IF('전기원장'!A412="","",'전기원장'!D412)</x:f>
      </x:c>
      <x:c r="F412" s="73" t="str">
        <x:f>IF('전기원장'!A412="","",'전기원장'!E412)</x:f>
      </x:c>
      <x:c r="G412" s="75" t="str">
        <x:f>IF('전기원장'!A412="","",'전기원장'!H412)</x:f>
      </x:c>
      <x:c r="H412" s="73" t="str">
        <x:f>IF('전기원장'!A412="","",'전기원장'!I412)</x:f>
      </x:c>
      <x:c r="I412" s="73" t="str">
        <x:f>IF('전기원장'!A412="","",'전기원장'!J412)</x:f>
      </x:c>
      <x:c r="J412" s="73" t="str">
        <x:f>IF('전기원장'!A412="","",'전기원장'!K412)</x:f>
      </x:c>
      <x:c r="K412" s="73" t="str">
        <x:f>IF(B412="","",IF(COUNTIF($B$5:B412,B412)=1,COUNT($K$4:K411)+1,""))</x:f>
      </x:c>
      <x:c r="L412" s="85" t="str">
        <x:f>IF(B412="","",IF(COUNTIFS('계정비교'!$A$5:$A$1004,B412,'계정비교'!$H$5:$H$1004,"원인분석 대상")&gt;0,COUNT($L$4:L411)+1,""))</x:f>
      </x:c>
    </x:row>
    <x:row r="413">
      <x:c r="A413" s="73" t="str">
        <x:f>IF('전기원장'!A413="","","전기")</x:f>
      </x:c>
      <x:c r="B413" s="73" t="str">
        <x:f>IF('전기원장'!A413="","",'전기원장'!A413)</x:f>
      </x:c>
      <x:c r="C413" s="73" t="str">
        <x:f>IF('전기원장'!A413="","",'전기원장'!B413)</x:f>
      </x:c>
      <x:c r="D413" s="74" t="str">
        <x:f>IF('전기원장'!A413="","",'전기원장'!C413)</x:f>
      </x:c>
      <x:c r="E413" s="73" t="str">
        <x:f>IF('전기원장'!A413="","",'전기원장'!D413)</x:f>
      </x:c>
      <x:c r="F413" s="73" t="str">
        <x:f>IF('전기원장'!A413="","",'전기원장'!E413)</x:f>
      </x:c>
      <x:c r="G413" s="75" t="str">
        <x:f>IF('전기원장'!A413="","",'전기원장'!H413)</x:f>
      </x:c>
      <x:c r="H413" s="73" t="str">
        <x:f>IF('전기원장'!A413="","",'전기원장'!I413)</x:f>
      </x:c>
      <x:c r="I413" s="73" t="str">
        <x:f>IF('전기원장'!A413="","",'전기원장'!J413)</x:f>
      </x:c>
      <x:c r="J413" s="73" t="str">
        <x:f>IF('전기원장'!A413="","",'전기원장'!K413)</x:f>
      </x:c>
      <x:c r="K413" s="73" t="str">
        <x:f>IF(B413="","",IF(COUNTIF($B$5:B413,B413)=1,COUNT($K$4:K412)+1,""))</x:f>
      </x:c>
      <x:c r="L413" s="85" t="str">
        <x:f>IF(B413="","",IF(COUNTIFS('계정비교'!$A$5:$A$1004,B413,'계정비교'!$H$5:$H$1004,"원인분석 대상")&gt;0,COUNT($L$4:L412)+1,""))</x:f>
      </x:c>
    </x:row>
    <x:row r="414">
      <x:c r="A414" s="73" t="str">
        <x:f>IF('전기원장'!A414="","","전기")</x:f>
      </x:c>
      <x:c r="B414" s="73" t="str">
        <x:f>IF('전기원장'!A414="","",'전기원장'!A414)</x:f>
      </x:c>
      <x:c r="C414" s="73" t="str">
        <x:f>IF('전기원장'!A414="","",'전기원장'!B414)</x:f>
      </x:c>
      <x:c r="D414" s="74" t="str">
        <x:f>IF('전기원장'!A414="","",'전기원장'!C414)</x:f>
      </x:c>
      <x:c r="E414" s="73" t="str">
        <x:f>IF('전기원장'!A414="","",'전기원장'!D414)</x:f>
      </x:c>
      <x:c r="F414" s="73" t="str">
        <x:f>IF('전기원장'!A414="","",'전기원장'!E414)</x:f>
      </x:c>
      <x:c r="G414" s="75" t="str">
        <x:f>IF('전기원장'!A414="","",'전기원장'!H414)</x:f>
      </x:c>
      <x:c r="H414" s="73" t="str">
        <x:f>IF('전기원장'!A414="","",'전기원장'!I414)</x:f>
      </x:c>
      <x:c r="I414" s="73" t="str">
        <x:f>IF('전기원장'!A414="","",'전기원장'!J414)</x:f>
      </x:c>
      <x:c r="J414" s="73" t="str">
        <x:f>IF('전기원장'!A414="","",'전기원장'!K414)</x:f>
      </x:c>
      <x:c r="K414" s="73" t="str">
        <x:f>IF(B414="","",IF(COUNTIF($B$5:B414,B414)=1,COUNT($K$4:K413)+1,""))</x:f>
      </x:c>
      <x:c r="L414" s="85" t="str">
        <x:f>IF(B414="","",IF(COUNTIFS('계정비교'!$A$5:$A$1004,B414,'계정비교'!$H$5:$H$1004,"원인분석 대상")&gt;0,COUNT($L$4:L413)+1,""))</x:f>
      </x:c>
    </x:row>
    <x:row r="415">
      <x:c r="A415" s="73" t="str">
        <x:f>IF('전기원장'!A415="","","전기")</x:f>
      </x:c>
      <x:c r="B415" s="73" t="str">
        <x:f>IF('전기원장'!A415="","",'전기원장'!A415)</x:f>
      </x:c>
      <x:c r="C415" s="73" t="str">
        <x:f>IF('전기원장'!A415="","",'전기원장'!B415)</x:f>
      </x:c>
      <x:c r="D415" s="74" t="str">
        <x:f>IF('전기원장'!A415="","",'전기원장'!C415)</x:f>
      </x:c>
      <x:c r="E415" s="73" t="str">
        <x:f>IF('전기원장'!A415="","",'전기원장'!D415)</x:f>
      </x:c>
      <x:c r="F415" s="73" t="str">
        <x:f>IF('전기원장'!A415="","",'전기원장'!E415)</x:f>
      </x:c>
      <x:c r="G415" s="75" t="str">
        <x:f>IF('전기원장'!A415="","",'전기원장'!H415)</x:f>
      </x:c>
      <x:c r="H415" s="73" t="str">
        <x:f>IF('전기원장'!A415="","",'전기원장'!I415)</x:f>
      </x:c>
      <x:c r="I415" s="73" t="str">
        <x:f>IF('전기원장'!A415="","",'전기원장'!J415)</x:f>
      </x:c>
      <x:c r="J415" s="73" t="str">
        <x:f>IF('전기원장'!A415="","",'전기원장'!K415)</x:f>
      </x:c>
      <x:c r="K415" s="73" t="str">
        <x:f>IF(B415="","",IF(COUNTIF($B$5:B415,B415)=1,COUNT($K$4:K414)+1,""))</x:f>
      </x:c>
      <x:c r="L415" s="85" t="str">
        <x:f>IF(B415="","",IF(COUNTIFS('계정비교'!$A$5:$A$1004,B415,'계정비교'!$H$5:$H$1004,"원인분석 대상")&gt;0,COUNT($L$4:L414)+1,""))</x:f>
      </x:c>
    </x:row>
    <x:row r="416">
      <x:c r="A416" s="73" t="str">
        <x:f>IF('전기원장'!A416="","","전기")</x:f>
      </x:c>
      <x:c r="B416" s="73" t="str">
        <x:f>IF('전기원장'!A416="","",'전기원장'!A416)</x:f>
      </x:c>
      <x:c r="C416" s="73" t="str">
        <x:f>IF('전기원장'!A416="","",'전기원장'!B416)</x:f>
      </x:c>
      <x:c r="D416" s="74" t="str">
        <x:f>IF('전기원장'!A416="","",'전기원장'!C416)</x:f>
      </x:c>
      <x:c r="E416" s="73" t="str">
        <x:f>IF('전기원장'!A416="","",'전기원장'!D416)</x:f>
      </x:c>
      <x:c r="F416" s="73" t="str">
        <x:f>IF('전기원장'!A416="","",'전기원장'!E416)</x:f>
      </x:c>
      <x:c r="G416" s="75" t="str">
        <x:f>IF('전기원장'!A416="","",'전기원장'!H416)</x:f>
      </x:c>
      <x:c r="H416" s="73" t="str">
        <x:f>IF('전기원장'!A416="","",'전기원장'!I416)</x:f>
      </x:c>
      <x:c r="I416" s="73" t="str">
        <x:f>IF('전기원장'!A416="","",'전기원장'!J416)</x:f>
      </x:c>
      <x:c r="J416" s="73" t="str">
        <x:f>IF('전기원장'!A416="","",'전기원장'!K416)</x:f>
      </x:c>
      <x:c r="K416" s="73" t="str">
        <x:f>IF(B416="","",IF(COUNTIF($B$5:B416,B416)=1,COUNT($K$4:K415)+1,""))</x:f>
      </x:c>
      <x:c r="L416" s="85" t="str">
        <x:f>IF(B416="","",IF(COUNTIFS('계정비교'!$A$5:$A$1004,B416,'계정비교'!$H$5:$H$1004,"원인분석 대상")&gt;0,COUNT($L$4:L415)+1,""))</x:f>
      </x:c>
    </x:row>
    <x:row r="417">
      <x:c r="A417" s="73" t="str">
        <x:f>IF('전기원장'!A417="","","전기")</x:f>
      </x:c>
      <x:c r="B417" s="73" t="str">
        <x:f>IF('전기원장'!A417="","",'전기원장'!A417)</x:f>
      </x:c>
      <x:c r="C417" s="73" t="str">
        <x:f>IF('전기원장'!A417="","",'전기원장'!B417)</x:f>
      </x:c>
      <x:c r="D417" s="74" t="str">
        <x:f>IF('전기원장'!A417="","",'전기원장'!C417)</x:f>
      </x:c>
      <x:c r="E417" s="73" t="str">
        <x:f>IF('전기원장'!A417="","",'전기원장'!D417)</x:f>
      </x:c>
      <x:c r="F417" s="73" t="str">
        <x:f>IF('전기원장'!A417="","",'전기원장'!E417)</x:f>
      </x:c>
      <x:c r="G417" s="75" t="str">
        <x:f>IF('전기원장'!A417="","",'전기원장'!H417)</x:f>
      </x:c>
      <x:c r="H417" s="73" t="str">
        <x:f>IF('전기원장'!A417="","",'전기원장'!I417)</x:f>
      </x:c>
      <x:c r="I417" s="73" t="str">
        <x:f>IF('전기원장'!A417="","",'전기원장'!J417)</x:f>
      </x:c>
      <x:c r="J417" s="73" t="str">
        <x:f>IF('전기원장'!A417="","",'전기원장'!K417)</x:f>
      </x:c>
      <x:c r="K417" s="73" t="str">
        <x:f>IF(B417="","",IF(COUNTIF($B$5:B417,B417)=1,COUNT($K$4:K416)+1,""))</x:f>
      </x:c>
      <x:c r="L417" s="85" t="str">
        <x:f>IF(B417="","",IF(COUNTIFS('계정비교'!$A$5:$A$1004,B417,'계정비교'!$H$5:$H$1004,"원인분석 대상")&gt;0,COUNT($L$4:L416)+1,""))</x:f>
      </x:c>
    </x:row>
    <x:row r="418">
      <x:c r="A418" s="73" t="str">
        <x:f>IF('전기원장'!A418="","","전기")</x:f>
      </x:c>
      <x:c r="B418" s="73" t="str">
        <x:f>IF('전기원장'!A418="","",'전기원장'!A418)</x:f>
      </x:c>
      <x:c r="C418" s="73" t="str">
        <x:f>IF('전기원장'!A418="","",'전기원장'!B418)</x:f>
      </x:c>
      <x:c r="D418" s="74" t="str">
        <x:f>IF('전기원장'!A418="","",'전기원장'!C418)</x:f>
      </x:c>
      <x:c r="E418" s="73" t="str">
        <x:f>IF('전기원장'!A418="","",'전기원장'!D418)</x:f>
      </x:c>
      <x:c r="F418" s="73" t="str">
        <x:f>IF('전기원장'!A418="","",'전기원장'!E418)</x:f>
      </x:c>
      <x:c r="G418" s="75" t="str">
        <x:f>IF('전기원장'!A418="","",'전기원장'!H418)</x:f>
      </x:c>
      <x:c r="H418" s="73" t="str">
        <x:f>IF('전기원장'!A418="","",'전기원장'!I418)</x:f>
      </x:c>
      <x:c r="I418" s="73" t="str">
        <x:f>IF('전기원장'!A418="","",'전기원장'!J418)</x:f>
      </x:c>
      <x:c r="J418" s="73" t="str">
        <x:f>IF('전기원장'!A418="","",'전기원장'!K418)</x:f>
      </x:c>
      <x:c r="K418" s="73" t="str">
        <x:f>IF(B418="","",IF(COUNTIF($B$5:B418,B418)=1,COUNT($K$4:K417)+1,""))</x:f>
      </x:c>
      <x:c r="L418" s="85" t="str">
        <x:f>IF(B418="","",IF(COUNTIFS('계정비교'!$A$5:$A$1004,B418,'계정비교'!$H$5:$H$1004,"원인분석 대상")&gt;0,COUNT($L$4:L417)+1,""))</x:f>
      </x:c>
    </x:row>
    <x:row r="419">
      <x:c r="A419" s="73" t="str">
        <x:f>IF('전기원장'!A419="","","전기")</x:f>
      </x:c>
      <x:c r="B419" s="73" t="str">
        <x:f>IF('전기원장'!A419="","",'전기원장'!A419)</x:f>
      </x:c>
      <x:c r="C419" s="73" t="str">
        <x:f>IF('전기원장'!A419="","",'전기원장'!B419)</x:f>
      </x:c>
      <x:c r="D419" s="74" t="str">
        <x:f>IF('전기원장'!A419="","",'전기원장'!C419)</x:f>
      </x:c>
      <x:c r="E419" s="73" t="str">
        <x:f>IF('전기원장'!A419="","",'전기원장'!D419)</x:f>
      </x:c>
      <x:c r="F419" s="73" t="str">
        <x:f>IF('전기원장'!A419="","",'전기원장'!E419)</x:f>
      </x:c>
      <x:c r="G419" s="75" t="str">
        <x:f>IF('전기원장'!A419="","",'전기원장'!H419)</x:f>
      </x:c>
      <x:c r="H419" s="73" t="str">
        <x:f>IF('전기원장'!A419="","",'전기원장'!I419)</x:f>
      </x:c>
      <x:c r="I419" s="73" t="str">
        <x:f>IF('전기원장'!A419="","",'전기원장'!J419)</x:f>
      </x:c>
      <x:c r="J419" s="73" t="str">
        <x:f>IF('전기원장'!A419="","",'전기원장'!K419)</x:f>
      </x:c>
      <x:c r="K419" s="73" t="str">
        <x:f>IF(B419="","",IF(COUNTIF($B$5:B419,B419)=1,COUNT($K$4:K418)+1,""))</x:f>
      </x:c>
      <x:c r="L419" s="85" t="str">
        <x:f>IF(B419="","",IF(COUNTIFS('계정비교'!$A$5:$A$1004,B419,'계정비교'!$H$5:$H$1004,"원인분석 대상")&gt;0,COUNT($L$4:L418)+1,""))</x:f>
      </x:c>
    </x:row>
    <x:row r="420">
      <x:c r="A420" s="73" t="str">
        <x:f>IF('전기원장'!A420="","","전기")</x:f>
      </x:c>
      <x:c r="B420" s="73" t="str">
        <x:f>IF('전기원장'!A420="","",'전기원장'!A420)</x:f>
      </x:c>
      <x:c r="C420" s="73" t="str">
        <x:f>IF('전기원장'!A420="","",'전기원장'!B420)</x:f>
      </x:c>
      <x:c r="D420" s="74" t="str">
        <x:f>IF('전기원장'!A420="","",'전기원장'!C420)</x:f>
      </x:c>
      <x:c r="E420" s="73" t="str">
        <x:f>IF('전기원장'!A420="","",'전기원장'!D420)</x:f>
      </x:c>
      <x:c r="F420" s="73" t="str">
        <x:f>IF('전기원장'!A420="","",'전기원장'!E420)</x:f>
      </x:c>
      <x:c r="G420" s="75" t="str">
        <x:f>IF('전기원장'!A420="","",'전기원장'!H420)</x:f>
      </x:c>
      <x:c r="H420" s="73" t="str">
        <x:f>IF('전기원장'!A420="","",'전기원장'!I420)</x:f>
      </x:c>
      <x:c r="I420" s="73" t="str">
        <x:f>IF('전기원장'!A420="","",'전기원장'!J420)</x:f>
      </x:c>
      <x:c r="J420" s="73" t="str">
        <x:f>IF('전기원장'!A420="","",'전기원장'!K420)</x:f>
      </x:c>
      <x:c r="K420" s="73" t="str">
        <x:f>IF(B420="","",IF(COUNTIF($B$5:B420,B420)=1,COUNT($K$4:K419)+1,""))</x:f>
      </x:c>
      <x:c r="L420" s="85" t="str">
        <x:f>IF(B420="","",IF(COUNTIFS('계정비교'!$A$5:$A$1004,B420,'계정비교'!$H$5:$H$1004,"원인분석 대상")&gt;0,COUNT($L$4:L419)+1,""))</x:f>
      </x:c>
    </x:row>
    <x:row r="421">
      <x:c r="A421" s="73" t="str">
        <x:f>IF('전기원장'!A421="","","전기")</x:f>
      </x:c>
      <x:c r="B421" s="73" t="str">
        <x:f>IF('전기원장'!A421="","",'전기원장'!A421)</x:f>
      </x:c>
      <x:c r="C421" s="73" t="str">
        <x:f>IF('전기원장'!A421="","",'전기원장'!B421)</x:f>
      </x:c>
      <x:c r="D421" s="74" t="str">
        <x:f>IF('전기원장'!A421="","",'전기원장'!C421)</x:f>
      </x:c>
      <x:c r="E421" s="73" t="str">
        <x:f>IF('전기원장'!A421="","",'전기원장'!D421)</x:f>
      </x:c>
      <x:c r="F421" s="73" t="str">
        <x:f>IF('전기원장'!A421="","",'전기원장'!E421)</x:f>
      </x:c>
      <x:c r="G421" s="75" t="str">
        <x:f>IF('전기원장'!A421="","",'전기원장'!H421)</x:f>
      </x:c>
      <x:c r="H421" s="73" t="str">
        <x:f>IF('전기원장'!A421="","",'전기원장'!I421)</x:f>
      </x:c>
      <x:c r="I421" s="73" t="str">
        <x:f>IF('전기원장'!A421="","",'전기원장'!J421)</x:f>
      </x:c>
      <x:c r="J421" s="73" t="str">
        <x:f>IF('전기원장'!A421="","",'전기원장'!K421)</x:f>
      </x:c>
      <x:c r="K421" s="73" t="str">
        <x:f>IF(B421="","",IF(COUNTIF($B$5:B421,B421)=1,COUNT($K$4:K420)+1,""))</x:f>
      </x:c>
      <x:c r="L421" s="85" t="str">
        <x:f>IF(B421="","",IF(COUNTIFS('계정비교'!$A$5:$A$1004,B421,'계정비교'!$H$5:$H$1004,"원인분석 대상")&gt;0,COUNT($L$4:L420)+1,""))</x:f>
      </x:c>
    </x:row>
    <x:row r="422">
      <x:c r="A422" s="73" t="str">
        <x:f>IF('전기원장'!A422="","","전기")</x:f>
      </x:c>
      <x:c r="B422" s="73" t="str">
        <x:f>IF('전기원장'!A422="","",'전기원장'!A422)</x:f>
      </x:c>
      <x:c r="C422" s="73" t="str">
        <x:f>IF('전기원장'!A422="","",'전기원장'!B422)</x:f>
      </x:c>
      <x:c r="D422" s="74" t="str">
        <x:f>IF('전기원장'!A422="","",'전기원장'!C422)</x:f>
      </x:c>
      <x:c r="E422" s="73" t="str">
        <x:f>IF('전기원장'!A422="","",'전기원장'!D422)</x:f>
      </x:c>
      <x:c r="F422" s="73" t="str">
        <x:f>IF('전기원장'!A422="","",'전기원장'!E422)</x:f>
      </x:c>
      <x:c r="G422" s="75" t="str">
        <x:f>IF('전기원장'!A422="","",'전기원장'!H422)</x:f>
      </x:c>
      <x:c r="H422" s="73" t="str">
        <x:f>IF('전기원장'!A422="","",'전기원장'!I422)</x:f>
      </x:c>
      <x:c r="I422" s="73" t="str">
        <x:f>IF('전기원장'!A422="","",'전기원장'!J422)</x:f>
      </x:c>
      <x:c r="J422" s="73" t="str">
        <x:f>IF('전기원장'!A422="","",'전기원장'!K422)</x:f>
      </x:c>
      <x:c r="K422" s="73" t="str">
        <x:f>IF(B422="","",IF(COUNTIF($B$5:B422,B422)=1,COUNT($K$4:K421)+1,""))</x:f>
      </x:c>
      <x:c r="L422" s="85" t="str">
        <x:f>IF(B422="","",IF(COUNTIFS('계정비교'!$A$5:$A$1004,B422,'계정비교'!$H$5:$H$1004,"원인분석 대상")&gt;0,COUNT($L$4:L421)+1,""))</x:f>
      </x:c>
    </x:row>
    <x:row r="423">
      <x:c r="A423" s="73" t="str">
        <x:f>IF('전기원장'!A423="","","전기")</x:f>
      </x:c>
      <x:c r="B423" s="73" t="str">
        <x:f>IF('전기원장'!A423="","",'전기원장'!A423)</x:f>
      </x:c>
      <x:c r="C423" s="73" t="str">
        <x:f>IF('전기원장'!A423="","",'전기원장'!B423)</x:f>
      </x:c>
      <x:c r="D423" s="74" t="str">
        <x:f>IF('전기원장'!A423="","",'전기원장'!C423)</x:f>
      </x:c>
      <x:c r="E423" s="73" t="str">
        <x:f>IF('전기원장'!A423="","",'전기원장'!D423)</x:f>
      </x:c>
      <x:c r="F423" s="73" t="str">
        <x:f>IF('전기원장'!A423="","",'전기원장'!E423)</x:f>
      </x:c>
      <x:c r="G423" s="75" t="str">
        <x:f>IF('전기원장'!A423="","",'전기원장'!H423)</x:f>
      </x:c>
      <x:c r="H423" s="73" t="str">
        <x:f>IF('전기원장'!A423="","",'전기원장'!I423)</x:f>
      </x:c>
      <x:c r="I423" s="73" t="str">
        <x:f>IF('전기원장'!A423="","",'전기원장'!J423)</x:f>
      </x:c>
      <x:c r="J423" s="73" t="str">
        <x:f>IF('전기원장'!A423="","",'전기원장'!K423)</x:f>
      </x:c>
      <x:c r="K423" s="73" t="str">
        <x:f>IF(B423="","",IF(COUNTIF($B$5:B423,B423)=1,COUNT($K$4:K422)+1,""))</x:f>
      </x:c>
      <x:c r="L423" s="85" t="str">
        <x:f>IF(B423="","",IF(COUNTIFS('계정비교'!$A$5:$A$1004,B423,'계정비교'!$H$5:$H$1004,"원인분석 대상")&gt;0,COUNT($L$4:L422)+1,""))</x:f>
      </x:c>
    </x:row>
    <x:row r="424">
      <x:c r="A424" s="73" t="str">
        <x:f>IF('전기원장'!A424="","","전기")</x:f>
      </x:c>
      <x:c r="B424" s="73" t="str">
        <x:f>IF('전기원장'!A424="","",'전기원장'!A424)</x:f>
      </x:c>
      <x:c r="C424" s="73" t="str">
        <x:f>IF('전기원장'!A424="","",'전기원장'!B424)</x:f>
      </x:c>
      <x:c r="D424" s="74" t="str">
        <x:f>IF('전기원장'!A424="","",'전기원장'!C424)</x:f>
      </x:c>
      <x:c r="E424" s="73" t="str">
        <x:f>IF('전기원장'!A424="","",'전기원장'!D424)</x:f>
      </x:c>
      <x:c r="F424" s="73" t="str">
        <x:f>IF('전기원장'!A424="","",'전기원장'!E424)</x:f>
      </x:c>
      <x:c r="G424" s="75" t="str">
        <x:f>IF('전기원장'!A424="","",'전기원장'!H424)</x:f>
      </x:c>
      <x:c r="H424" s="73" t="str">
        <x:f>IF('전기원장'!A424="","",'전기원장'!I424)</x:f>
      </x:c>
      <x:c r="I424" s="73" t="str">
        <x:f>IF('전기원장'!A424="","",'전기원장'!J424)</x:f>
      </x:c>
      <x:c r="J424" s="73" t="str">
        <x:f>IF('전기원장'!A424="","",'전기원장'!K424)</x:f>
      </x:c>
      <x:c r="K424" s="73" t="str">
        <x:f>IF(B424="","",IF(COUNTIF($B$5:B424,B424)=1,COUNT($K$4:K423)+1,""))</x:f>
      </x:c>
      <x:c r="L424" s="85" t="str">
        <x:f>IF(B424="","",IF(COUNTIFS('계정비교'!$A$5:$A$1004,B424,'계정비교'!$H$5:$H$1004,"원인분석 대상")&gt;0,COUNT($L$4:L423)+1,""))</x:f>
      </x:c>
    </x:row>
    <x:row r="425">
      <x:c r="A425" s="73" t="str">
        <x:f>IF('전기원장'!A425="","","전기")</x:f>
      </x:c>
      <x:c r="B425" s="73" t="str">
        <x:f>IF('전기원장'!A425="","",'전기원장'!A425)</x:f>
      </x:c>
      <x:c r="C425" s="73" t="str">
        <x:f>IF('전기원장'!A425="","",'전기원장'!B425)</x:f>
      </x:c>
      <x:c r="D425" s="74" t="str">
        <x:f>IF('전기원장'!A425="","",'전기원장'!C425)</x:f>
      </x:c>
      <x:c r="E425" s="73" t="str">
        <x:f>IF('전기원장'!A425="","",'전기원장'!D425)</x:f>
      </x:c>
      <x:c r="F425" s="73" t="str">
        <x:f>IF('전기원장'!A425="","",'전기원장'!E425)</x:f>
      </x:c>
      <x:c r="G425" s="75" t="str">
        <x:f>IF('전기원장'!A425="","",'전기원장'!H425)</x:f>
      </x:c>
      <x:c r="H425" s="73" t="str">
        <x:f>IF('전기원장'!A425="","",'전기원장'!I425)</x:f>
      </x:c>
      <x:c r="I425" s="73" t="str">
        <x:f>IF('전기원장'!A425="","",'전기원장'!J425)</x:f>
      </x:c>
      <x:c r="J425" s="73" t="str">
        <x:f>IF('전기원장'!A425="","",'전기원장'!K425)</x:f>
      </x:c>
      <x:c r="K425" s="73" t="str">
        <x:f>IF(B425="","",IF(COUNTIF($B$5:B425,B425)=1,COUNT($K$4:K424)+1,""))</x:f>
      </x:c>
      <x:c r="L425" s="85" t="str">
        <x:f>IF(B425="","",IF(COUNTIFS('계정비교'!$A$5:$A$1004,B425,'계정비교'!$H$5:$H$1004,"원인분석 대상")&gt;0,COUNT($L$4:L424)+1,""))</x:f>
      </x:c>
    </x:row>
    <x:row r="426">
      <x:c r="A426" s="73" t="str">
        <x:f>IF('전기원장'!A426="","","전기")</x:f>
      </x:c>
      <x:c r="B426" s="73" t="str">
        <x:f>IF('전기원장'!A426="","",'전기원장'!A426)</x:f>
      </x:c>
      <x:c r="C426" s="73" t="str">
        <x:f>IF('전기원장'!A426="","",'전기원장'!B426)</x:f>
      </x:c>
      <x:c r="D426" s="74" t="str">
        <x:f>IF('전기원장'!A426="","",'전기원장'!C426)</x:f>
      </x:c>
      <x:c r="E426" s="73" t="str">
        <x:f>IF('전기원장'!A426="","",'전기원장'!D426)</x:f>
      </x:c>
      <x:c r="F426" s="73" t="str">
        <x:f>IF('전기원장'!A426="","",'전기원장'!E426)</x:f>
      </x:c>
      <x:c r="G426" s="75" t="str">
        <x:f>IF('전기원장'!A426="","",'전기원장'!H426)</x:f>
      </x:c>
      <x:c r="H426" s="73" t="str">
        <x:f>IF('전기원장'!A426="","",'전기원장'!I426)</x:f>
      </x:c>
      <x:c r="I426" s="73" t="str">
        <x:f>IF('전기원장'!A426="","",'전기원장'!J426)</x:f>
      </x:c>
      <x:c r="J426" s="73" t="str">
        <x:f>IF('전기원장'!A426="","",'전기원장'!K426)</x:f>
      </x:c>
      <x:c r="K426" s="73" t="str">
        <x:f>IF(B426="","",IF(COUNTIF($B$5:B426,B426)=1,COUNT($K$4:K425)+1,""))</x:f>
      </x:c>
      <x:c r="L426" s="85" t="str">
        <x:f>IF(B426="","",IF(COUNTIFS('계정비교'!$A$5:$A$1004,B426,'계정비교'!$H$5:$H$1004,"원인분석 대상")&gt;0,COUNT($L$4:L425)+1,""))</x:f>
      </x:c>
    </x:row>
    <x:row r="427">
      <x:c r="A427" s="73" t="str">
        <x:f>IF('전기원장'!A427="","","전기")</x:f>
      </x:c>
      <x:c r="B427" s="73" t="str">
        <x:f>IF('전기원장'!A427="","",'전기원장'!A427)</x:f>
      </x:c>
      <x:c r="C427" s="73" t="str">
        <x:f>IF('전기원장'!A427="","",'전기원장'!B427)</x:f>
      </x:c>
      <x:c r="D427" s="74" t="str">
        <x:f>IF('전기원장'!A427="","",'전기원장'!C427)</x:f>
      </x:c>
      <x:c r="E427" s="73" t="str">
        <x:f>IF('전기원장'!A427="","",'전기원장'!D427)</x:f>
      </x:c>
      <x:c r="F427" s="73" t="str">
        <x:f>IF('전기원장'!A427="","",'전기원장'!E427)</x:f>
      </x:c>
      <x:c r="G427" s="75" t="str">
        <x:f>IF('전기원장'!A427="","",'전기원장'!H427)</x:f>
      </x:c>
      <x:c r="H427" s="73" t="str">
        <x:f>IF('전기원장'!A427="","",'전기원장'!I427)</x:f>
      </x:c>
      <x:c r="I427" s="73" t="str">
        <x:f>IF('전기원장'!A427="","",'전기원장'!J427)</x:f>
      </x:c>
      <x:c r="J427" s="73" t="str">
        <x:f>IF('전기원장'!A427="","",'전기원장'!K427)</x:f>
      </x:c>
      <x:c r="K427" s="73" t="str">
        <x:f>IF(B427="","",IF(COUNTIF($B$5:B427,B427)=1,COUNT($K$4:K426)+1,""))</x:f>
      </x:c>
      <x:c r="L427" s="85" t="str">
        <x:f>IF(B427="","",IF(COUNTIFS('계정비교'!$A$5:$A$1004,B427,'계정비교'!$H$5:$H$1004,"원인분석 대상")&gt;0,COUNT($L$4:L426)+1,""))</x:f>
      </x:c>
    </x:row>
    <x:row r="428">
      <x:c r="A428" s="73" t="str">
        <x:f>IF('전기원장'!A428="","","전기")</x:f>
      </x:c>
      <x:c r="B428" s="73" t="str">
        <x:f>IF('전기원장'!A428="","",'전기원장'!A428)</x:f>
      </x:c>
      <x:c r="C428" s="73" t="str">
        <x:f>IF('전기원장'!A428="","",'전기원장'!B428)</x:f>
      </x:c>
      <x:c r="D428" s="74" t="str">
        <x:f>IF('전기원장'!A428="","",'전기원장'!C428)</x:f>
      </x:c>
      <x:c r="E428" s="73" t="str">
        <x:f>IF('전기원장'!A428="","",'전기원장'!D428)</x:f>
      </x:c>
      <x:c r="F428" s="73" t="str">
        <x:f>IF('전기원장'!A428="","",'전기원장'!E428)</x:f>
      </x:c>
      <x:c r="G428" s="75" t="str">
        <x:f>IF('전기원장'!A428="","",'전기원장'!H428)</x:f>
      </x:c>
      <x:c r="H428" s="73" t="str">
        <x:f>IF('전기원장'!A428="","",'전기원장'!I428)</x:f>
      </x:c>
      <x:c r="I428" s="73" t="str">
        <x:f>IF('전기원장'!A428="","",'전기원장'!J428)</x:f>
      </x:c>
      <x:c r="J428" s="73" t="str">
        <x:f>IF('전기원장'!A428="","",'전기원장'!K428)</x:f>
      </x:c>
      <x:c r="K428" s="73" t="str">
        <x:f>IF(B428="","",IF(COUNTIF($B$5:B428,B428)=1,COUNT($K$4:K427)+1,""))</x:f>
      </x:c>
      <x:c r="L428" s="85" t="str">
        <x:f>IF(B428="","",IF(COUNTIFS('계정비교'!$A$5:$A$1004,B428,'계정비교'!$H$5:$H$1004,"원인분석 대상")&gt;0,COUNT($L$4:L427)+1,""))</x:f>
      </x:c>
    </x:row>
    <x:row r="429">
      <x:c r="A429" s="73" t="str">
        <x:f>IF('전기원장'!A429="","","전기")</x:f>
      </x:c>
      <x:c r="B429" s="73" t="str">
        <x:f>IF('전기원장'!A429="","",'전기원장'!A429)</x:f>
      </x:c>
      <x:c r="C429" s="73" t="str">
        <x:f>IF('전기원장'!A429="","",'전기원장'!B429)</x:f>
      </x:c>
      <x:c r="D429" s="74" t="str">
        <x:f>IF('전기원장'!A429="","",'전기원장'!C429)</x:f>
      </x:c>
      <x:c r="E429" s="73" t="str">
        <x:f>IF('전기원장'!A429="","",'전기원장'!D429)</x:f>
      </x:c>
      <x:c r="F429" s="73" t="str">
        <x:f>IF('전기원장'!A429="","",'전기원장'!E429)</x:f>
      </x:c>
      <x:c r="G429" s="75" t="str">
        <x:f>IF('전기원장'!A429="","",'전기원장'!H429)</x:f>
      </x:c>
      <x:c r="H429" s="73" t="str">
        <x:f>IF('전기원장'!A429="","",'전기원장'!I429)</x:f>
      </x:c>
      <x:c r="I429" s="73" t="str">
        <x:f>IF('전기원장'!A429="","",'전기원장'!J429)</x:f>
      </x:c>
      <x:c r="J429" s="73" t="str">
        <x:f>IF('전기원장'!A429="","",'전기원장'!K429)</x:f>
      </x:c>
      <x:c r="K429" s="73" t="str">
        <x:f>IF(B429="","",IF(COUNTIF($B$5:B429,B429)=1,COUNT($K$4:K428)+1,""))</x:f>
      </x:c>
      <x:c r="L429" s="85" t="str">
        <x:f>IF(B429="","",IF(COUNTIFS('계정비교'!$A$5:$A$1004,B429,'계정비교'!$H$5:$H$1004,"원인분석 대상")&gt;0,COUNT($L$4:L428)+1,""))</x:f>
      </x:c>
    </x:row>
    <x:row r="430">
      <x:c r="A430" s="73" t="str">
        <x:f>IF('전기원장'!A430="","","전기")</x:f>
      </x:c>
      <x:c r="B430" s="73" t="str">
        <x:f>IF('전기원장'!A430="","",'전기원장'!A430)</x:f>
      </x:c>
      <x:c r="C430" s="73" t="str">
        <x:f>IF('전기원장'!A430="","",'전기원장'!B430)</x:f>
      </x:c>
      <x:c r="D430" s="74" t="str">
        <x:f>IF('전기원장'!A430="","",'전기원장'!C430)</x:f>
      </x:c>
      <x:c r="E430" s="73" t="str">
        <x:f>IF('전기원장'!A430="","",'전기원장'!D430)</x:f>
      </x:c>
      <x:c r="F430" s="73" t="str">
        <x:f>IF('전기원장'!A430="","",'전기원장'!E430)</x:f>
      </x:c>
      <x:c r="G430" s="75" t="str">
        <x:f>IF('전기원장'!A430="","",'전기원장'!H430)</x:f>
      </x:c>
      <x:c r="H430" s="73" t="str">
        <x:f>IF('전기원장'!A430="","",'전기원장'!I430)</x:f>
      </x:c>
      <x:c r="I430" s="73" t="str">
        <x:f>IF('전기원장'!A430="","",'전기원장'!J430)</x:f>
      </x:c>
      <x:c r="J430" s="73" t="str">
        <x:f>IF('전기원장'!A430="","",'전기원장'!K430)</x:f>
      </x:c>
      <x:c r="K430" s="73" t="str">
        <x:f>IF(B430="","",IF(COUNTIF($B$5:B430,B430)=1,COUNT($K$4:K429)+1,""))</x:f>
      </x:c>
      <x:c r="L430" s="85" t="str">
        <x:f>IF(B430="","",IF(COUNTIFS('계정비교'!$A$5:$A$1004,B430,'계정비교'!$H$5:$H$1004,"원인분석 대상")&gt;0,COUNT($L$4:L429)+1,""))</x:f>
      </x:c>
    </x:row>
    <x:row r="431">
      <x:c r="A431" s="73" t="str">
        <x:f>IF('전기원장'!A431="","","전기")</x:f>
      </x:c>
      <x:c r="B431" s="73" t="str">
        <x:f>IF('전기원장'!A431="","",'전기원장'!A431)</x:f>
      </x:c>
      <x:c r="C431" s="73" t="str">
        <x:f>IF('전기원장'!A431="","",'전기원장'!B431)</x:f>
      </x:c>
      <x:c r="D431" s="74" t="str">
        <x:f>IF('전기원장'!A431="","",'전기원장'!C431)</x:f>
      </x:c>
      <x:c r="E431" s="73" t="str">
        <x:f>IF('전기원장'!A431="","",'전기원장'!D431)</x:f>
      </x:c>
      <x:c r="F431" s="73" t="str">
        <x:f>IF('전기원장'!A431="","",'전기원장'!E431)</x:f>
      </x:c>
      <x:c r="G431" s="75" t="str">
        <x:f>IF('전기원장'!A431="","",'전기원장'!H431)</x:f>
      </x:c>
      <x:c r="H431" s="73" t="str">
        <x:f>IF('전기원장'!A431="","",'전기원장'!I431)</x:f>
      </x:c>
      <x:c r="I431" s="73" t="str">
        <x:f>IF('전기원장'!A431="","",'전기원장'!J431)</x:f>
      </x:c>
      <x:c r="J431" s="73" t="str">
        <x:f>IF('전기원장'!A431="","",'전기원장'!K431)</x:f>
      </x:c>
      <x:c r="K431" s="73" t="str">
        <x:f>IF(B431="","",IF(COUNTIF($B$5:B431,B431)=1,COUNT($K$4:K430)+1,""))</x:f>
      </x:c>
      <x:c r="L431" s="85" t="str">
        <x:f>IF(B431="","",IF(COUNTIFS('계정비교'!$A$5:$A$1004,B431,'계정비교'!$H$5:$H$1004,"원인분석 대상")&gt;0,COUNT($L$4:L430)+1,""))</x:f>
      </x:c>
    </x:row>
    <x:row r="432">
      <x:c r="A432" s="73" t="str">
        <x:f>IF('전기원장'!A432="","","전기")</x:f>
      </x:c>
      <x:c r="B432" s="73" t="str">
        <x:f>IF('전기원장'!A432="","",'전기원장'!A432)</x:f>
      </x:c>
      <x:c r="C432" s="73" t="str">
        <x:f>IF('전기원장'!A432="","",'전기원장'!B432)</x:f>
      </x:c>
      <x:c r="D432" s="74" t="str">
        <x:f>IF('전기원장'!A432="","",'전기원장'!C432)</x:f>
      </x:c>
      <x:c r="E432" s="73" t="str">
        <x:f>IF('전기원장'!A432="","",'전기원장'!D432)</x:f>
      </x:c>
      <x:c r="F432" s="73" t="str">
        <x:f>IF('전기원장'!A432="","",'전기원장'!E432)</x:f>
      </x:c>
      <x:c r="G432" s="75" t="str">
        <x:f>IF('전기원장'!A432="","",'전기원장'!H432)</x:f>
      </x:c>
      <x:c r="H432" s="73" t="str">
        <x:f>IF('전기원장'!A432="","",'전기원장'!I432)</x:f>
      </x:c>
      <x:c r="I432" s="73" t="str">
        <x:f>IF('전기원장'!A432="","",'전기원장'!J432)</x:f>
      </x:c>
      <x:c r="J432" s="73" t="str">
        <x:f>IF('전기원장'!A432="","",'전기원장'!K432)</x:f>
      </x:c>
      <x:c r="K432" s="73" t="str">
        <x:f>IF(B432="","",IF(COUNTIF($B$5:B432,B432)=1,COUNT($K$4:K431)+1,""))</x:f>
      </x:c>
      <x:c r="L432" s="85" t="str">
        <x:f>IF(B432="","",IF(COUNTIFS('계정비교'!$A$5:$A$1004,B432,'계정비교'!$H$5:$H$1004,"원인분석 대상")&gt;0,COUNT($L$4:L431)+1,""))</x:f>
      </x:c>
    </x:row>
    <x:row r="433">
      <x:c r="A433" s="73" t="str">
        <x:f>IF('전기원장'!A433="","","전기")</x:f>
      </x:c>
      <x:c r="B433" s="73" t="str">
        <x:f>IF('전기원장'!A433="","",'전기원장'!A433)</x:f>
      </x:c>
      <x:c r="C433" s="73" t="str">
        <x:f>IF('전기원장'!A433="","",'전기원장'!B433)</x:f>
      </x:c>
      <x:c r="D433" s="74" t="str">
        <x:f>IF('전기원장'!A433="","",'전기원장'!C433)</x:f>
      </x:c>
      <x:c r="E433" s="73" t="str">
        <x:f>IF('전기원장'!A433="","",'전기원장'!D433)</x:f>
      </x:c>
      <x:c r="F433" s="73" t="str">
        <x:f>IF('전기원장'!A433="","",'전기원장'!E433)</x:f>
      </x:c>
      <x:c r="G433" s="75" t="str">
        <x:f>IF('전기원장'!A433="","",'전기원장'!H433)</x:f>
      </x:c>
      <x:c r="H433" s="73" t="str">
        <x:f>IF('전기원장'!A433="","",'전기원장'!I433)</x:f>
      </x:c>
      <x:c r="I433" s="73" t="str">
        <x:f>IF('전기원장'!A433="","",'전기원장'!J433)</x:f>
      </x:c>
      <x:c r="J433" s="73" t="str">
        <x:f>IF('전기원장'!A433="","",'전기원장'!K433)</x:f>
      </x:c>
      <x:c r="K433" s="73" t="str">
        <x:f>IF(B433="","",IF(COUNTIF($B$5:B433,B433)=1,COUNT($K$4:K432)+1,""))</x:f>
      </x:c>
      <x:c r="L433" s="85" t="str">
        <x:f>IF(B433="","",IF(COUNTIFS('계정비교'!$A$5:$A$1004,B433,'계정비교'!$H$5:$H$1004,"원인분석 대상")&gt;0,COUNT($L$4:L432)+1,""))</x:f>
      </x:c>
    </x:row>
    <x:row r="434">
      <x:c r="A434" s="73" t="str">
        <x:f>IF('전기원장'!A434="","","전기")</x:f>
      </x:c>
      <x:c r="B434" s="73" t="str">
        <x:f>IF('전기원장'!A434="","",'전기원장'!A434)</x:f>
      </x:c>
      <x:c r="C434" s="73" t="str">
        <x:f>IF('전기원장'!A434="","",'전기원장'!B434)</x:f>
      </x:c>
      <x:c r="D434" s="74" t="str">
        <x:f>IF('전기원장'!A434="","",'전기원장'!C434)</x:f>
      </x:c>
      <x:c r="E434" s="73" t="str">
        <x:f>IF('전기원장'!A434="","",'전기원장'!D434)</x:f>
      </x:c>
      <x:c r="F434" s="73" t="str">
        <x:f>IF('전기원장'!A434="","",'전기원장'!E434)</x:f>
      </x:c>
      <x:c r="G434" s="75" t="str">
        <x:f>IF('전기원장'!A434="","",'전기원장'!H434)</x:f>
      </x:c>
      <x:c r="H434" s="73" t="str">
        <x:f>IF('전기원장'!A434="","",'전기원장'!I434)</x:f>
      </x:c>
      <x:c r="I434" s="73" t="str">
        <x:f>IF('전기원장'!A434="","",'전기원장'!J434)</x:f>
      </x:c>
      <x:c r="J434" s="73" t="str">
        <x:f>IF('전기원장'!A434="","",'전기원장'!K434)</x:f>
      </x:c>
      <x:c r="K434" s="73" t="str">
        <x:f>IF(B434="","",IF(COUNTIF($B$5:B434,B434)=1,COUNT($K$4:K433)+1,""))</x:f>
      </x:c>
      <x:c r="L434" s="85" t="str">
        <x:f>IF(B434="","",IF(COUNTIFS('계정비교'!$A$5:$A$1004,B434,'계정비교'!$H$5:$H$1004,"원인분석 대상")&gt;0,COUNT($L$4:L433)+1,""))</x:f>
      </x:c>
    </x:row>
    <x:row r="435">
      <x:c r="A435" s="73" t="str">
        <x:f>IF('전기원장'!A435="","","전기")</x:f>
      </x:c>
      <x:c r="B435" s="73" t="str">
        <x:f>IF('전기원장'!A435="","",'전기원장'!A435)</x:f>
      </x:c>
      <x:c r="C435" s="73" t="str">
        <x:f>IF('전기원장'!A435="","",'전기원장'!B435)</x:f>
      </x:c>
      <x:c r="D435" s="74" t="str">
        <x:f>IF('전기원장'!A435="","",'전기원장'!C435)</x:f>
      </x:c>
      <x:c r="E435" s="73" t="str">
        <x:f>IF('전기원장'!A435="","",'전기원장'!D435)</x:f>
      </x:c>
      <x:c r="F435" s="73" t="str">
        <x:f>IF('전기원장'!A435="","",'전기원장'!E435)</x:f>
      </x:c>
      <x:c r="G435" s="75" t="str">
        <x:f>IF('전기원장'!A435="","",'전기원장'!H435)</x:f>
      </x:c>
      <x:c r="H435" s="73" t="str">
        <x:f>IF('전기원장'!A435="","",'전기원장'!I435)</x:f>
      </x:c>
      <x:c r="I435" s="73" t="str">
        <x:f>IF('전기원장'!A435="","",'전기원장'!J435)</x:f>
      </x:c>
      <x:c r="J435" s="73" t="str">
        <x:f>IF('전기원장'!A435="","",'전기원장'!K435)</x:f>
      </x:c>
      <x:c r="K435" s="73" t="str">
        <x:f>IF(B435="","",IF(COUNTIF($B$5:B435,B435)=1,COUNT($K$4:K434)+1,""))</x:f>
      </x:c>
      <x:c r="L435" s="85" t="str">
        <x:f>IF(B435="","",IF(COUNTIFS('계정비교'!$A$5:$A$1004,B435,'계정비교'!$H$5:$H$1004,"원인분석 대상")&gt;0,COUNT($L$4:L434)+1,""))</x:f>
      </x:c>
    </x:row>
    <x:row r="436">
      <x:c r="A436" s="73" t="str">
        <x:f>IF('전기원장'!A436="","","전기")</x:f>
      </x:c>
      <x:c r="B436" s="73" t="str">
        <x:f>IF('전기원장'!A436="","",'전기원장'!A436)</x:f>
      </x:c>
      <x:c r="C436" s="73" t="str">
        <x:f>IF('전기원장'!A436="","",'전기원장'!B436)</x:f>
      </x:c>
      <x:c r="D436" s="74" t="str">
        <x:f>IF('전기원장'!A436="","",'전기원장'!C436)</x:f>
      </x:c>
      <x:c r="E436" s="73" t="str">
        <x:f>IF('전기원장'!A436="","",'전기원장'!D436)</x:f>
      </x:c>
      <x:c r="F436" s="73" t="str">
        <x:f>IF('전기원장'!A436="","",'전기원장'!E436)</x:f>
      </x:c>
      <x:c r="G436" s="75" t="str">
        <x:f>IF('전기원장'!A436="","",'전기원장'!H436)</x:f>
      </x:c>
      <x:c r="H436" s="73" t="str">
        <x:f>IF('전기원장'!A436="","",'전기원장'!I436)</x:f>
      </x:c>
      <x:c r="I436" s="73" t="str">
        <x:f>IF('전기원장'!A436="","",'전기원장'!J436)</x:f>
      </x:c>
      <x:c r="J436" s="73" t="str">
        <x:f>IF('전기원장'!A436="","",'전기원장'!K436)</x:f>
      </x:c>
      <x:c r="K436" s="73" t="str">
        <x:f>IF(B436="","",IF(COUNTIF($B$5:B436,B436)=1,COUNT($K$4:K435)+1,""))</x:f>
      </x:c>
      <x:c r="L436" s="85" t="str">
        <x:f>IF(B436="","",IF(COUNTIFS('계정비교'!$A$5:$A$1004,B436,'계정비교'!$H$5:$H$1004,"원인분석 대상")&gt;0,COUNT($L$4:L435)+1,""))</x:f>
      </x:c>
    </x:row>
    <x:row r="437">
      <x:c r="A437" s="73" t="str">
        <x:f>IF('전기원장'!A437="","","전기")</x:f>
      </x:c>
      <x:c r="B437" s="73" t="str">
        <x:f>IF('전기원장'!A437="","",'전기원장'!A437)</x:f>
      </x:c>
      <x:c r="C437" s="73" t="str">
        <x:f>IF('전기원장'!A437="","",'전기원장'!B437)</x:f>
      </x:c>
      <x:c r="D437" s="74" t="str">
        <x:f>IF('전기원장'!A437="","",'전기원장'!C437)</x:f>
      </x:c>
      <x:c r="E437" s="73" t="str">
        <x:f>IF('전기원장'!A437="","",'전기원장'!D437)</x:f>
      </x:c>
      <x:c r="F437" s="73" t="str">
        <x:f>IF('전기원장'!A437="","",'전기원장'!E437)</x:f>
      </x:c>
      <x:c r="G437" s="75" t="str">
        <x:f>IF('전기원장'!A437="","",'전기원장'!H437)</x:f>
      </x:c>
      <x:c r="H437" s="73" t="str">
        <x:f>IF('전기원장'!A437="","",'전기원장'!I437)</x:f>
      </x:c>
      <x:c r="I437" s="73" t="str">
        <x:f>IF('전기원장'!A437="","",'전기원장'!J437)</x:f>
      </x:c>
      <x:c r="J437" s="73" t="str">
        <x:f>IF('전기원장'!A437="","",'전기원장'!K437)</x:f>
      </x:c>
      <x:c r="K437" s="73" t="str">
        <x:f>IF(B437="","",IF(COUNTIF($B$5:B437,B437)=1,COUNT($K$4:K436)+1,""))</x:f>
      </x:c>
      <x:c r="L437" s="85" t="str">
        <x:f>IF(B437="","",IF(COUNTIFS('계정비교'!$A$5:$A$1004,B437,'계정비교'!$H$5:$H$1004,"원인분석 대상")&gt;0,COUNT($L$4:L436)+1,""))</x:f>
      </x:c>
    </x:row>
    <x:row r="438">
      <x:c r="A438" s="73" t="str">
        <x:f>IF('전기원장'!A438="","","전기")</x:f>
      </x:c>
      <x:c r="B438" s="73" t="str">
        <x:f>IF('전기원장'!A438="","",'전기원장'!A438)</x:f>
      </x:c>
      <x:c r="C438" s="73" t="str">
        <x:f>IF('전기원장'!A438="","",'전기원장'!B438)</x:f>
      </x:c>
      <x:c r="D438" s="74" t="str">
        <x:f>IF('전기원장'!A438="","",'전기원장'!C438)</x:f>
      </x:c>
      <x:c r="E438" s="73" t="str">
        <x:f>IF('전기원장'!A438="","",'전기원장'!D438)</x:f>
      </x:c>
      <x:c r="F438" s="73" t="str">
        <x:f>IF('전기원장'!A438="","",'전기원장'!E438)</x:f>
      </x:c>
      <x:c r="G438" s="75" t="str">
        <x:f>IF('전기원장'!A438="","",'전기원장'!H438)</x:f>
      </x:c>
      <x:c r="H438" s="73" t="str">
        <x:f>IF('전기원장'!A438="","",'전기원장'!I438)</x:f>
      </x:c>
      <x:c r="I438" s="73" t="str">
        <x:f>IF('전기원장'!A438="","",'전기원장'!J438)</x:f>
      </x:c>
      <x:c r="J438" s="73" t="str">
        <x:f>IF('전기원장'!A438="","",'전기원장'!K438)</x:f>
      </x:c>
      <x:c r="K438" s="73" t="str">
        <x:f>IF(B438="","",IF(COUNTIF($B$5:B438,B438)=1,COUNT($K$4:K437)+1,""))</x:f>
      </x:c>
      <x:c r="L438" s="85" t="str">
        <x:f>IF(B438="","",IF(COUNTIFS('계정비교'!$A$5:$A$1004,B438,'계정비교'!$H$5:$H$1004,"원인분석 대상")&gt;0,COUNT($L$4:L437)+1,""))</x:f>
      </x:c>
    </x:row>
    <x:row r="439">
      <x:c r="A439" s="73" t="str">
        <x:f>IF('전기원장'!A439="","","전기")</x:f>
      </x:c>
      <x:c r="B439" s="73" t="str">
        <x:f>IF('전기원장'!A439="","",'전기원장'!A439)</x:f>
      </x:c>
      <x:c r="C439" s="73" t="str">
        <x:f>IF('전기원장'!A439="","",'전기원장'!B439)</x:f>
      </x:c>
      <x:c r="D439" s="74" t="str">
        <x:f>IF('전기원장'!A439="","",'전기원장'!C439)</x:f>
      </x:c>
      <x:c r="E439" s="73" t="str">
        <x:f>IF('전기원장'!A439="","",'전기원장'!D439)</x:f>
      </x:c>
      <x:c r="F439" s="73" t="str">
        <x:f>IF('전기원장'!A439="","",'전기원장'!E439)</x:f>
      </x:c>
      <x:c r="G439" s="75" t="str">
        <x:f>IF('전기원장'!A439="","",'전기원장'!H439)</x:f>
      </x:c>
      <x:c r="H439" s="73" t="str">
        <x:f>IF('전기원장'!A439="","",'전기원장'!I439)</x:f>
      </x:c>
      <x:c r="I439" s="73" t="str">
        <x:f>IF('전기원장'!A439="","",'전기원장'!J439)</x:f>
      </x:c>
      <x:c r="J439" s="73" t="str">
        <x:f>IF('전기원장'!A439="","",'전기원장'!K439)</x:f>
      </x:c>
      <x:c r="K439" s="73" t="str">
        <x:f>IF(B439="","",IF(COUNTIF($B$5:B439,B439)=1,COUNT($K$4:K438)+1,""))</x:f>
      </x:c>
      <x:c r="L439" s="85" t="str">
        <x:f>IF(B439="","",IF(COUNTIFS('계정비교'!$A$5:$A$1004,B439,'계정비교'!$H$5:$H$1004,"원인분석 대상")&gt;0,COUNT($L$4:L438)+1,""))</x:f>
      </x:c>
    </x:row>
    <x:row r="440">
      <x:c r="A440" s="73" t="str">
        <x:f>IF('전기원장'!A440="","","전기")</x:f>
      </x:c>
      <x:c r="B440" s="73" t="str">
        <x:f>IF('전기원장'!A440="","",'전기원장'!A440)</x:f>
      </x:c>
      <x:c r="C440" s="73" t="str">
        <x:f>IF('전기원장'!A440="","",'전기원장'!B440)</x:f>
      </x:c>
      <x:c r="D440" s="74" t="str">
        <x:f>IF('전기원장'!A440="","",'전기원장'!C440)</x:f>
      </x:c>
      <x:c r="E440" s="73" t="str">
        <x:f>IF('전기원장'!A440="","",'전기원장'!D440)</x:f>
      </x:c>
      <x:c r="F440" s="73" t="str">
        <x:f>IF('전기원장'!A440="","",'전기원장'!E440)</x:f>
      </x:c>
      <x:c r="G440" s="75" t="str">
        <x:f>IF('전기원장'!A440="","",'전기원장'!H440)</x:f>
      </x:c>
      <x:c r="H440" s="73" t="str">
        <x:f>IF('전기원장'!A440="","",'전기원장'!I440)</x:f>
      </x:c>
      <x:c r="I440" s="73" t="str">
        <x:f>IF('전기원장'!A440="","",'전기원장'!J440)</x:f>
      </x:c>
      <x:c r="J440" s="73" t="str">
        <x:f>IF('전기원장'!A440="","",'전기원장'!K440)</x:f>
      </x:c>
      <x:c r="K440" s="73" t="str">
        <x:f>IF(B440="","",IF(COUNTIF($B$5:B440,B440)=1,COUNT($K$4:K439)+1,""))</x:f>
      </x:c>
      <x:c r="L440" s="85" t="str">
        <x:f>IF(B440="","",IF(COUNTIFS('계정비교'!$A$5:$A$1004,B440,'계정비교'!$H$5:$H$1004,"원인분석 대상")&gt;0,COUNT($L$4:L439)+1,""))</x:f>
      </x:c>
    </x:row>
    <x:row r="441">
      <x:c r="A441" s="73" t="str">
        <x:f>IF('전기원장'!A441="","","전기")</x:f>
      </x:c>
      <x:c r="B441" s="73" t="str">
        <x:f>IF('전기원장'!A441="","",'전기원장'!A441)</x:f>
      </x:c>
      <x:c r="C441" s="73" t="str">
        <x:f>IF('전기원장'!A441="","",'전기원장'!B441)</x:f>
      </x:c>
      <x:c r="D441" s="74" t="str">
        <x:f>IF('전기원장'!A441="","",'전기원장'!C441)</x:f>
      </x:c>
      <x:c r="E441" s="73" t="str">
        <x:f>IF('전기원장'!A441="","",'전기원장'!D441)</x:f>
      </x:c>
      <x:c r="F441" s="73" t="str">
        <x:f>IF('전기원장'!A441="","",'전기원장'!E441)</x:f>
      </x:c>
      <x:c r="G441" s="75" t="str">
        <x:f>IF('전기원장'!A441="","",'전기원장'!H441)</x:f>
      </x:c>
      <x:c r="H441" s="73" t="str">
        <x:f>IF('전기원장'!A441="","",'전기원장'!I441)</x:f>
      </x:c>
      <x:c r="I441" s="73" t="str">
        <x:f>IF('전기원장'!A441="","",'전기원장'!J441)</x:f>
      </x:c>
      <x:c r="J441" s="73" t="str">
        <x:f>IF('전기원장'!A441="","",'전기원장'!K441)</x:f>
      </x:c>
      <x:c r="K441" s="73" t="str">
        <x:f>IF(B441="","",IF(COUNTIF($B$5:B441,B441)=1,COUNT($K$4:K440)+1,""))</x:f>
      </x:c>
      <x:c r="L441" s="85" t="str">
        <x:f>IF(B441="","",IF(COUNTIFS('계정비교'!$A$5:$A$1004,B441,'계정비교'!$H$5:$H$1004,"원인분석 대상")&gt;0,COUNT($L$4:L440)+1,""))</x:f>
      </x:c>
    </x:row>
    <x:row r="442">
      <x:c r="A442" s="73" t="str">
        <x:f>IF('전기원장'!A442="","","전기")</x:f>
      </x:c>
      <x:c r="B442" s="73" t="str">
        <x:f>IF('전기원장'!A442="","",'전기원장'!A442)</x:f>
      </x:c>
      <x:c r="C442" s="73" t="str">
        <x:f>IF('전기원장'!A442="","",'전기원장'!B442)</x:f>
      </x:c>
      <x:c r="D442" s="74" t="str">
        <x:f>IF('전기원장'!A442="","",'전기원장'!C442)</x:f>
      </x:c>
      <x:c r="E442" s="73" t="str">
        <x:f>IF('전기원장'!A442="","",'전기원장'!D442)</x:f>
      </x:c>
      <x:c r="F442" s="73" t="str">
        <x:f>IF('전기원장'!A442="","",'전기원장'!E442)</x:f>
      </x:c>
      <x:c r="G442" s="75" t="str">
        <x:f>IF('전기원장'!A442="","",'전기원장'!H442)</x:f>
      </x:c>
      <x:c r="H442" s="73" t="str">
        <x:f>IF('전기원장'!A442="","",'전기원장'!I442)</x:f>
      </x:c>
      <x:c r="I442" s="73" t="str">
        <x:f>IF('전기원장'!A442="","",'전기원장'!J442)</x:f>
      </x:c>
      <x:c r="J442" s="73" t="str">
        <x:f>IF('전기원장'!A442="","",'전기원장'!K442)</x:f>
      </x:c>
      <x:c r="K442" s="73" t="str">
        <x:f>IF(B442="","",IF(COUNTIF($B$5:B442,B442)=1,COUNT($K$4:K441)+1,""))</x:f>
      </x:c>
      <x:c r="L442" s="85" t="str">
        <x:f>IF(B442="","",IF(COUNTIFS('계정비교'!$A$5:$A$1004,B442,'계정비교'!$H$5:$H$1004,"원인분석 대상")&gt;0,COUNT($L$4:L441)+1,""))</x:f>
      </x:c>
    </x:row>
    <x:row r="443">
      <x:c r="A443" s="73" t="str">
        <x:f>IF('전기원장'!A443="","","전기")</x:f>
      </x:c>
      <x:c r="B443" s="73" t="str">
        <x:f>IF('전기원장'!A443="","",'전기원장'!A443)</x:f>
      </x:c>
      <x:c r="C443" s="73" t="str">
        <x:f>IF('전기원장'!A443="","",'전기원장'!B443)</x:f>
      </x:c>
      <x:c r="D443" s="74" t="str">
        <x:f>IF('전기원장'!A443="","",'전기원장'!C443)</x:f>
      </x:c>
      <x:c r="E443" s="73" t="str">
        <x:f>IF('전기원장'!A443="","",'전기원장'!D443)</x:f>
      </x:c>
      <x:c r="F443" s="73" t="str">
        <x:f>IF('전기원장'!A443="","",'전기원장'!E443)</x:f>
      </x:c>
      <x:c r="G443" s="75" t="str">
        <x:f>IF('전기원장'!A443="","",'전기원장'!H443)</x:f>
      </x:c>
      <x:c r="H443" s="73" t="str">
        <x:f>IF('전기원장'!A443="","",'전기원장'!I443)</x:f>
      </x:c>
      <x:c r="I443" s="73" t="str">
        <x:f>IF('전기원장'!A443="","",'전기원장'!J443)</x:f>
      </x:c>
      <x:c r="J443" s="73" t="str">
        <x:f>IF('전기원장'!A443="","",'전기원장'!K443)</x:f>
      </x:c>
      <x:c r="K443" s="73" t="str">
        <x:f>IF(B443="","",IF(COUNTIF($B$5:B443,B443)=1,COUNT($K$4:K442)+1,""))</x:f>
      </x:c>
      <x:c r="L443" s="85" t="str">
        <x:f>IF(B443="","",IF(COUNTIFS('계정비교'!$A$5:$A$1004,B443,'계정비교'!$H$5:$H$1004,"원인분석 대상")&gt;0,COUNT($L$4:L442)+1,""))</x:f>
      </x:c>
    </x:row>
    <x:row r="444">
      <x:c r="A444" s="73" t="str">
        <x:f>IF('전기원장'!A444="","","전기")</x:f>
      </x:c>
      <x:c r="B444" s="73" t="str">
        <x:f>IF('전기원장'!A444="","",'전기원장'!A444)</x:f>
      </x:c>
      <x:c r="C444" s="73" t="str">
        <x:f>IF('전기원장'!A444="","",'전기원장'!B444)</x:f>
      </x:c>
      <x:c r="D444" s="74" t="str">
        <x:f>IF('전기원장'!A444="","",'전기원장'!C444)</x:f>
      </x:c>
      <x:c r="E444" s="73" t="str">
        <x:f>IF('전기원장'!A444="","",'전기원장'!D444)</x:f>
      </x:c>
      <x:c r="F444" s="73" t="str">
        <x:f>IF('전기원장'!A444="","",'전기원장'!E444)</x:f>
      </x:c>
      <x:c r="G444" s="75" t="str">
        <x:f>IF('전기원장'!A444="","",'전기원장'!H444)</x:f>
      </x:c>
      <x:c r="H444" s="73" t="str">
        <x:f>IF('전기원장'!A444="","",'전기원장'!I444)</x:f>
      </x:c>
      <x:c r="I444" s="73" t="str">
        <x:f>IF('전기원장'!A444="","",'전기원장'!J444)</x:f>
      </x:c>
      <x:c r="J444" s="73" t="str">
        <x:f>IF('전기원장'!A444="","",'전기원장'!K444)</x:f>
      </x:c>
      <x:c r="K444" s="73" t="str">
        <x:f>IF(B444="","",IF(COUNTIF($B$5:B444,B444)=1,COUNT($K$4:K443)+1,""))</x:f>
      </x:c>
      <x:c r="L444" s="85" t="str">
        <x:f>IF(B444="","",IF(COUNTIFS('계정비교'!$A$5:$A$1004,B444,'계정비교'!$H$5:$H$1004,"원인분석 대상")&gt;0,COUNT($L$4:L443)+1,""))</x:f>
      </x:c>
    </x:row>
    <x:row r="445">
      <x:c r="A445" s="73" t="str">
        <x:f>IF('전기원장'!A445="","","전기")</x:f>
      </x:c>
      <x:c r="B445" s="73" t="str">
        <x:f>IF('전기원장'!A445="","",'전기원장'!A445)</x:f>
      </x:c>
      <x:c r="C445" s="73" t="str">
        <x:f>IF('전기원장'!A445="","",'전기원장'!B445)</x:f>
      </x:c>
      <x:c r="D445" s="74" t="str">
        <x:f>IF('전기원장'!A445="","",'전기원장'!C445)</x:f>
      </x:c>
      <x:c r="E445" s="73" t="str">
        <x:f>IF('전기원장'!A445="","",'전기원장'!D445)</x:f>
      </x:c>
      <x:c r="F445" s="73" t="str">
        <x:f>IF('전기원장'!A445="","",'전기원장'!E445)</x:f>
      </x:c>
      <x:c r="G445" s="75" t="str">
        <x:f>IF('전기원장'!A445="","",'전기원장'!H445)</x:f>
      </x:c>
      <x:c r="H445" s="73" t="str">
        <x:f>IF('전기원장'!A445="","",'전기원장'!I445)</x:f>
      </x:c>
      <x:c r="I445" s="73" t="str">
        <x:f>IF('전기원장'!A445="","",'전기원장'!J445)</x:f>
      </x:c>
      <x:c r="J445" s="73" t="str">
        <x:f>IF('전기원장'!A445="","",'전기원장'!K445)</x:f>
      </x:c>
      <x:c r="K445" s="73" t="str">
        <x:f>IF(B445="","",IF(COUNTIF($B$5:B445,B445)=1,COUNT($K$4:K444)+1,""))</x:f>
      </x:c>
      <x:c r="L445" s="85" t="str">
        <x:f>IF(B445="","",IF(COUNTIFS('계정비교'!$A$5:$A$1004,B445,'계정비교'!$H$5:$H$1004,"원인분석 대상")&gt;0,COUNT($L$4:L444)+1,""))</x:f>
      </x:c>
    </x:row>
    <x:row r="446">
      <x:c r="A446" s="73" t="str">
        <x:f>IF('전기원장'!A446="","","전기")</x:f>
      </x:c>
      <x:c r="B446" s="73" t="str">
        <x:f>IF('전기원장'!A446="","",'전기원장'!A446)</x:f>
      </x:c>
      <x:c r="C446" s="73" t="str">
        <x:f>IF('전기원장'!A446="","",'전기원장'!B446)</x:f>
      </x:c>
      <x:c r="D446" s="74" t="str">
        <x:f>IF('전기원장'!A446="","",'전기원장'!C446)</x:f>
      </x:c>
      <x:c r="E446" s="73" t="str">
        <x:f>IF('전기원장'!A446="","",'전기원장'!D446)</x:f>
      </x:c>
      <x:c r="F446" s="73" t="str">
        <x:f>IF('전기원장'!A446="","",'전기원장'!E446)</x:f>
      </x:c>
      <x:c r="G446" s="75" t="str">
        <x:f>IF('전기원장'!A446="","",'전기원장'!H446)</x:f>
      </x:c>
      <x:c r="H446" s="73" t="str">
        <x:f>IF('전기원장'!A446="","",'전기원장'!I446)</x:f>
      </x:c>
      <x:c r="I446" s="73" t="str">
        <x:f>IF('전기원장'!A446="","",'전기원장'!J446)</x:f>
      </x:c>
      <x:c r="J446" s="73" t="str">
        <x:f>IF('전기원장'!A446="","",'전기원장'!K446)</x:f>
      </x:c>
      <x:c r="K446" s="73" t="str">
        <x:f>IF(B446="","",IF(COUNTIF($B$5:B446,B446)=1,COUNT($K$4:K445)+1,""))</x:f>
      </x:c>
      <x:c r="L446" s="85" t="str">
        <x:f>IF(B446="","",IF(COUNTIFS('계정비교'!$A$5:$A$1004,B446,'계정비교'!$H$5:$H$1004,"원인분석 대상")&gt;0,COUNT($L$4:L445)+1,""))</x:f>
      </x:c>
    </x:row>
    <x:row r="447">
      <x:c r="A447" s="73" t="str">
        <x:f>IF('전기원장'!A447="","","전기")</x:f>
      </x:c>
      <x:c r="B447" s="73" t="str">
        <x:f>IF('전기원장'!A447="","",'전기원장'!A447)</x:f>
      </x:c>
      <x:c r="C447" s="73" t="str">
        <x:f>IF('전기원장'!A447="","",'전기원장'!B447)</x:f>
      </x:c>
      <x:c r="D447" s="74" t="str">
        <x:f>IF('전기원장'!A447="","",'전기원장'!C447)</x:f>
      </x:c>
      <x:c r="E447" s="73" t="str">
        <x:f>IF('전기원장'!A447="","",'전기원장'!D447)</x:f>
      </x:c>
      <x:c r="F447" s="73" t="str">
        <x:f>IF('전기원장'!A447="","",'전기원장'!E447)</x:f>
      </x:c>
      <x:c r="G447" s="75" t="str">
        <x:f>IF('전기원장'!A447="","",'전기원장'!H447)</x:f>
      </x:c>
      <x:c r="H447" s="73" t="str">
        <x:f>IF('전기원장'!A447="","",'전기원장'!I447)</x:f>
      </x:c>
      <x:c r="I447" s="73" t="str">
        <x:f>IF('전기원장'!A447="","",'전기원장'!J447)</x:f>
      </x:c>
      <x:c r="J447" s="73" t="str">
        <x:f>IF('전기원장'!A447="","",'전기원장'!K447)</x:f>
      </x:c>
      <x:c r="K447" s="73" t="str">
        <x:f>IF(B447="","",IF(COUNTIF($B$5:B447,B447)=1,COUNT($K$4:K446)+1,""))</x:f>
      </x:c>
      <x:c r="L447" s="85" t="str">
        <x:f>IF(B447="","",IF(COUNTIFS('계정비교'!$A$5:$A$1004,B447,'계정비교'!$H$5:$H$1004,"원인분석 대상")&gt;0,COUNT($L$4:L446)+1,""))</x:f>
      </x:c>
    </x:row>
    <x:row r="448">
      <x:c r="A448" s="73" t="str">
        <x:f>IF('전기원장'!A448="","","전기")</x:f>
      </x:c>
      <x:c r="B448" s="73" t="str">
        <x:f>IF('전기원장'!A448="","",'전기원장'!A448)</x:f>
      </x:c>
      <x:c r="C448" s="73" t="str">
        <x:f>IF('전기원장'!A448="","",'전기원장'!B448)</x:f>
      </x:c>
      <x:c r="D448" s="74" t="str">
        <x:f>IF('전기원장'!A448="","",'전기원장'!C448)</x:f>
      </x:c>
      <x:c r="E448" s="73" t="str">
        <x:f>IF('전기원장'!A448="","",'전기원장'!D448)</x:f>
      </x:c>
      <x:c r="F448" s="73" t="str">
        <x:f>IF('전기원장'!A448="","",'전기원장'!E448)</x:f>
      </x:c>
      <x:c r="G448" s="75" t="str">
        <x:f>IF('전기원장'!A448="","",'전기원장'!H448)</x:f>
      </x:c>
      <x:c r="H448" s="73" t="str">
        <x:f>IF('전기원장'!A448="","",'전기원장'!I448)</x:f>
      </x:c>
      <x:c r="I448" s="73" t="str">
        <x:f>IF('전기원장'!A448="","",'전기원장'!J448)</x:f>
      </x:c>
      <x:c r="J448" s="73" t="str">
        <x:f>IF('전기원장'!A448="","",'전기원장'!K448)</x:f>
      </x:c>
      <x:c r="K448" s="73" t="str">
        <x:f>IF(B448="","",IF(COUNTIF($B$5:B448,B448)=1,COUNT($K$4:K447)+1,""))</x:f>
      </x:c>
      <x:c r="L448" s="85" t="str">
        <x:f>IF(B448="","",IF(COUNTIFS('계정비교'!$A$5:$A$1004,B448,'계정비교'!$H$5:$H$1004,"원인분석 대상")&gt;0,COUNT($L$4:L447)+1,""))</x:f>
      </x:c>
    </x:row>
    <x:row r="449">
      <x:c r="A449" s="73" t="str">
        <x:f>IF('전기원장'!A449="","","전기")</x:f>
      </x:c>
      <x:c r="B449" s="73" t="str">
        <x:f>IF('전기원장'!A449="","",'전기원장'!A449)</x:f>
      </x:c>
      <x:c r="C449" s="73" t="str">
        <x:f>IF('전기원장'!A449="","",'전기원장'!B449)</x:f>
      </x:c>
      <x:c r="D449" s="74" t="str">
        <x:f>IF('전기원장'!A449="","",'전기원장'!C449)</x:f>
      </x:c>
      <x:c r="E449" s="73" t="str">
        <x:f>IF('전기원장'!A449="","",'전기원장'!D449)</x:f>
      </x:c>
      <x:c r="F449" s="73" t="str">
        <x:f>IF('전기원장'!A449="","",'전기원장'!E449)</x:f>
      </x:c>
      <x:c r="G449" s="75" t="str">
        <x:f>IF('전기원장'!A449="","",'전기원장'!H449)</x:f>
      </x:c>
      <x:c r="H449" s="73" t="str">
        <x:f>IF('전기원장'!A449="","",'전기원장'!I449)</x:f>
      </x:c>
      <x:c r="I449" s="73" t="str">
        <x:f>IF('전기원장'!A449="","",'전기원장'!J449)</x:f>
      </x:c>
      <x:c r="J449" s="73" t="str">
        <x:f>IF('전기원장'!A449="","",'전기원장'!K449)</x:f>
      </x:c>
      <x:c r="K449" s="73" t="str">
        <x:f>IF(B449="","",IF(COUNTIF($B$5:B449,B449)=1,COUNT($K$4:K448)+1,""))</x:f>
      </x:c>
      <x:c r="L449" s="85" t="str">
        <x:f>IF(B449="","",IF(COUNTIFS('계정비교'!$A$5:$A$1004,B449,'계정비교'!$H$5:$H$1004,"원인분석 대상")&gt;0,COUNT($L$4:L448)+1,""))</x:f>
      </x:c>
    </x:row>
    <x:row r="450">
      <x:c r="A450" s="73" t="str">
        <x:f>IF('전기원장'!A450="","","전기")</x:f>
      </x:c>
      <x:c r="B450" s="73" t="str">
        <x:f>IF('전기원장'!A450="","",'전기원장'!A450)</x:f>
      </x:c>
      <x:c r="C450" s="73" t="str">
        <x:f>IF('전기원장'!A450="","",'전기원장'!B450)</x:f>
      </x:c>
      <x:c r="D450" s="74" t="str">
        <x:f>IF('전기원장'!A450="","",'전기원장'!C450)</x:f>
      </x:c>
      <x:c r="E450" s="73" t="str">
        <x:f>IF('전기원장'!A450="","",'전기원장'!D450)</x:f>
      </x:c>
      <x:c r="F450" s="73" t="str">
        <x:f>IF('전기원장'!A450="","",'전기원장'!E450)</x:f>
      </x:c>
      <x:c r="G450" s="75" t="str">
        <x:f>IF('전기원장'!A450="","",'전기원장'!H450)</x:f>
      </x:c>
      <x:c r="H450" s="73" t="str">
        <x:f>IF('전기원장'!A450="","",'전기원장'!I450)</x:f>
      </x:c>
      <x:c r="I450" s="73" t="str">
        <x:f>IF('전기원장'!A450="","",'전기원장'!J450)</x:f>
      </x:c>
      <x:c r="J450" s="73" t="str">
        <x:f>IF('전기원장'!A450="","",'전기원장'!K450)</x:f>
      </x:c>
      <x:c r="K450" s="73" t="str">
        <x:f>IF(B450="","",IF(COUNTIF($B$5:B450,B450)=1,COUNT($K$4:K449)+1,""))</x:f>
      </x:c>
      <x:c r="L450" s="85" t="str">
        <x:f>IF(B450="","",IF(COUNTIFS('계정비교'!$A$5:$A$1004,B450,'계정비교'!$H$5:$H$1004,"원인분석 대상")&gt;0,COUNT($L$4:L449)+1,""))</x:f>
      </x:c>
    </x:row>
    <x:row r="451">
      <x:c r="A451" s="73" t="str">
        <x:f>IF('전기원장'!A451="","","전기")</x:f>
      </x:c>
      <x:c r="B451" s="73" t="str">
        <x:f>IF('전기원장'!A451="","",'전기원장'!A451)</x:f>
      </x:c>
      <x:c r="C451" s="73" t="str">
        <x:f>IF('전기원장'!A451="","",'전기원장'!B451)</x:f>
      </x:c>
      <x:c r="D451" s="74" t="str">
        <x:f>IF('전기원장'!A451="","",'전기원장'!C451)</x:f>
      </x:c>
      <x:c r="E451" s="73" t="str">
        <x:f>IF('전기원장'!A451="","",'전기원장'!D451)</x:f>
      </x:c>
      <x:c r="F451" s="73" t="str">
        <x:f>IF('전기원장'!A451="","",'전기원장'!E451)</x:f>
      </x:c>
      <x:c r="G451" s="75" t="str">
        <x:f>IF('전기원장'!A451="","",'전기원장'!H451)</x:f>
      </x:c>
      <x:c r="H451" s="73" t="str">
        <x:f>IF('전기원장'!A451="","",'전기원장'!I451)</x:f>
      </x:c>
      <x:c r="I451" s="73" t="str">
        <x:f>IF('전기원장'!A451="","",'전기원장'!J451)</x:f>
      </x:c>
      <x:c r="J451" s="73" t="str">
        <x:f>IF('전기원장'!A451="","",'전기원장'!K451)</x:f>
      </x:c>
      <x:c r="K451" s="73" t="str">
        <x:f>IF(B451="","",IF(COUNTIF($B$5:B451,B451)=1,COUNT($K$4:K450)+1,""))</x:f>
      </x:c>
      <x:c r="L451" s="85" t="str">
        <x:f>IF(B451="","",IF(COUNTIFS('계정비교'!$A$5:$A$1004,B451,'계정비교'!$H$5:$H$1004,"원인분석 대상")&gt;0,COUNT($L$4:L450)+1,""))</x:f>
      </x:c>
    </x:row>
    <x:row r="452">
      <x:c r="A452" s="73" t="str">
        <x:f>IF('전기원장'!A452="","","전기")</x:f>
      </x:c>
      <x:c r="B452" s="73" t="str">
        <x:f>IF('전기원장'!A452="","",'전기원장'!A452)</x:f>
      </x:c>
      <x:c r="C452" s="73" t="str">
        <x:f>IF('전기원장'!A452="","",'전기원장'!B452)</x:f>
      </x:c>
      <x:c r="D452" s="74" t="str">
        <x:f>IF('전기원장'!A452="","",'전기원장'!C452)</x:f>
      </x:c>
      <x:c r="E452" s="73" t="str">
        <x:f>IF('전기원장'!A452="","",'전기원장'!D452)</x:f>
      </x:c>
      <x:c r="F452" s="73" t="str">
        <x:f>IF('전기원장'!A452="","",'전기원장'!E452)</x:f>
      </x:c>
      <x:c r="G452" s="75" t="str">
        <x:f>IF('전기원장'!A452="","",'전기원장'!H452)</x:f>
      </x:c>
      <x:c r="H452" s="73" t="str">
        <x:f>IF('전기원장'!A452="","",'전기원장'!I452)</x:f>
      </x:c>
      <x:c r="I452" s="73" t="str">
        <x:f>IF('전기원장'!A452="","",'전기원장'!J452)</x:f>
      </x:c>
      <x:c r="J452" s="73" t="str">
        <x:f>IF('전기원장'!A452="","",'전기원장'!K452)</x:f>
      </x:c>
      <x:c r="K452" s="73" t="str">
        <x:f>IF(B452="","",IF(COUNTIF($B$5:B452,B452)=1,COUNT($K$4:K451)+1,""))</x:f>
      </x:c>
      <x:c r="L452" s="85" t="str">
        <x:f>IF(B452="","",IF(COUNTIFS('계정비교'!$A$5:$A$1004,B452,'계정비교'!$H$5:$H$1004,"원인분석 대상")&gt;0,COUNT($L$4:L451)+1,""))</x:f>
      </x:c>
    </x:row>
    <x:row r="453">
      <x:c r="A453" s="73" t="str">
        <x:f>IF('전기원장'!A453="","","전기")</x:f>
      </x:c>
      <x:c r="B453" s="73" t="str">
        <x:f>IF('전기원장'!A453="","",'전기원장'!A453)</x:f>
      </x:c>
      <x:c r="C453" s="73" t="str">
        <x:f>IF('전기원장'!A453="","",'전기원장'!B453)</x:f>
      </x:c>
      <x:c r="D453" s="74" t="str">
        <x:f>IF('전기원장'!A453="","",'전기원장'!C453)</x:f>
      </x:c>
      <x:c r="E453" s="73" t="str">
        <x:f>IF('전기원장'!A453="","",'전기원장'!D453)</x:f>
      </x:c>
      <x:c r="F453" s="73" t="str">
        <x:f>IF('전기원장'!A453="","",'전기원장'!E453)</x:f>
      </x:c>
      <x:c r="G453" s="75" t="str">
        <x:f>IF('전기원장'!A453="","",'전기원장'!H453)</x:f>
      </x:c>
      <x:c r="H453" s="73" t="str">
        <x:f>IF('전기원장'!A453="","",'전기원장'!I453)</x:f>
      </x:c>
      <x:c r="I453" s="73" t="str">
        <x:f>IF('전기원장'!A453="","",'전기원장'!J453)</x:f>
      </x:c>
      <x:c r="J453" s="73" t="str">
        <x:f>IF('전기원장'!A453="","",'전기원장'!K453)</x:f>
      </x:c>
      <x:c r="K453" s="73" t="str">
        <x:f>IF(B453="","",IF(COUNTIF($B$5:B453,B453)=1,COUNT($K$4:K452)+1,""))</x:f>
      </x:c>
      <x:c r="L453" s="85" t="str">
        <x:f>IF(B453="","",IF(COUNTIFS('계정비교'!$A$5:$A$1004,B453,'계정비교'!$H$5:$H$1004,"원인분석 대상")&gt;0,COUNT($L$4:L452)+1,""))</x:f>
      </x:c>
    </x:row>
    <x:row r="454">
      <x:c r="A454" s="73" t="str">
        <x:f>IF('전기원장'!A454="","","전기")</x:f>
      </x:c>
      <x:c r="B454" s="73" t="str">
        <x:f>IF('전기원장'!A454="","",'전기원장'!A454)</x:f>
      </x:c>
      <x:c r="C454" s="73" t="str">
        <x:f>IF('전기원장'!A454="","",'전기원장'!B454)</x:f>
      </x:c>
      <x:c r="D454" s="74" t="str">
        <x:f>IF('전기원장'!A454="","",'전기원장'!C454)</x:f>
      </x:c>
      <x:c r="E454" s="73" t="str">
        <x:f>IF('전기원장'!A454="","",'전기원장'!D454)</x:f>
      </x:c>
      <x:c r="F454" s="73" t="str">
        <x:f>IF('전기원장'!A454="","",'전기원장'!E454)</x:f>
      </x:c>
      <x:c r="G454" s="75" t="str">
        <x:f>IF('전기원장'!A454="","",'전기원장'!H454)</x:f>
      </x:c>
      <x:c r="H454" s="73" t="str">
        <x:f>IF('전기원장'!A454="","",'전기원장'!I454)</x:f>
      </x:c>
      <x:c r="I454" s="73" t="str">
        <x:f>IF('전기원장'!A454="","",'전기원장'!J454)</x:f>
      </x:c>
      <x:c r="J454" s="73" t="str">
        <x:f>IF('전기원장'!A454="","",'전기원장'!K454)</x:f>
      </x:c>
      <x:c r="K454" s="73" t="str">
        <x:f>IF(B454="","",IF(COUNTIF($B$5:B454,B454)=1,COUNT($K$4:K453)+1,""))</x:f>
      </x:c>
      <x:c r="L454" s="85" t="str">
        <x:f>IF(B454="","",IF(COUNTIFS('계정비교'!$A$5:$A$1004,B454,'계정비교'!$H$5:$H$1004,"원인분석 대상")&gt;0,COUNT($L$4:L453)+1,""))</x:f>
      </x:c>
    </x:row>
    <x:row r="455">
      <x:c r="A455" s="73" t="str">
        <x:f>IF('전기원장'!A455="","","전기")</x:f>
      </x:c>
      <x:c r="B455" s="73" t="str">
        <x:f>IF('전기원장'!A455="","",'전기원장'!A455)</x:f>
      </x:c>
      <x:c r="C455" s="73" t="str">
        <x:f>IF('전기원장'!A455="","",'전기원장'!B455)</x:f>
      </x:c>
      <x:c r="D455" s="74" t="str">
        <x:f>IF('전기원장'!A455="","",'전기원장'!C455)</x:f>
      </x:c>
      <x:c r="E455" s="73" t="str">
        <x:f>IF('전기원장'!A455="","",'전기원장'!D455)</x:f>
      </x:c>
      <x:c r="F455" s="73" t="str">
        <x:f>IF('전기원장'!A455="","",'전기원장'!E455)</x:f>
      </x:c>
      <x:c r="G455" s="75" t="str">
        <x:f>IF('전기원장'!A455="","",'전기원장'!H455)</x:f>
      </x:c>
      <x:c r="H455" s="73" t="str">
        <x:f>IF('전기원장'!A455="","",'전기원장'!I455)</x:f>
      </x:c>
      <x:c r="I455" s="73" t="str">
        <x:f>IF('전기원장'!A455="","",'전기원장'!J455)</x:f>
      </x:c>
      <x:c r="J455" s="73" t="str">
        <x:f>IF('전기원장'!A455="","",'전기원장'!K455)</x:f>
      </x:c>
      <x:c r="K455" s="73" t="str">
        <x:f>IF(B455="","",IF(COUNTIF($B$5:B455,B455)=1,COUNT($K$4:K454)+1,""))</x:f>
      </x:c>
      <x:c r="L455" s="85" t="str">
        <x:f>IF(B455="","",IF(COUNTIFS('계정비교'!$A$5:$A$1004,B455,'계정비교'!$H$5:$H$1004,"원인분석 대상")&gt;0,COUNT($L$4:L454)+1,""))</x:f>
      </x:c>
    </x:row>
    <x:row r="456">
      <x:c r="A456" s="73" t="str">
        <x:f>IF('전기원장'!A456="","","전기")</x:f>
      </x:c>
      <x:c r="B456" s="73" t="str">
        <x:f>IF('전기원장'!A456="","",'전기원장'!A456)</x:f>
      </x:c>
      <x:c r="C456" s="73" t="str">
        <x:f>IF('전기원장'!A456="","",'전기원장'!B456)</x:f>
      </x:c>
      <x:c r="D456" s="74" t="str">
        <x:f>IF('전기원장'!A456="","",'전기원장'!C456)</x:f>
      </x:c>
      <x:c r="E456" s="73" t="str">
        <x:f>IF('전기원장'!A456="","",'전기원장'!D456)</x:f>
      </x:c>
      <x:c r="F456" s="73" t="str">
        <x:f>IF('전기원장'!A456="","",'전기원장'!E456)</x:f>
      </x:c>
      <x:c r="G456" s="75" t="str">
        <x:f>IF('전기원장'!A456="","",'전기원장'!H456)</x:f>
      </x:c>
      <x:c r="H456" s="73" t="str">
        <x:f>IF('전기원장'!A456="","",'전기원장'!I456)</x:f>
      </x:c>
      <x:c r="I456" s="73" t="str">
        <x:f>IF('전기원장'!A456="","",'전기원장'!J456)</x:f>
      </x:c>
      <x:c r="J456" s="73" t="str">
        <x:f>IF('전기원장'!A456="","",'전기원장'!K456)</x:f>
      </x:c>
      <x:c r="K456" s="73" t="str">
        <x:f>IF(B456="","",IF(COUNTIF($B$5:B456,B456)=1,COUNT($K$4:K455)+1,""))</x:f>
      </x:c>
      <x:c r="L456" s="85" t="str">
        <x:f>IF(B456="","",IF(COUNTIFS('계정비교'!$A$5:$A$1004,B456,'계정비교'!$H$5:$H$1004,"원인분석 대상")&gt;0,COUNT($L$4:L455)+1,""))</x:f>
      </x:c>
    </x:row>
    <x:row r="457">
      <x:c r="A457" s="73" t="str">
        <x:f>IF('전기원장'!A457="","","전기")</x:f>
      </x:c>
      <x:c r="B457" s="73" t="str">
        <x:f>IF('전기원장'!A457="","",'전기원장'!A457)</x:f>
      </x:c>
      <x:c r="C457" s="73" t="str">
        <x:f>IF('전기원장'!A457="","",'전기원장'!B457)</x:f>
      </x:c>
      <x:c r="D457" s="74" t="str">
        <x:f>IF('전기원장'!A457="","",'전기원장'!C457)</x:f>
      </x:c>
      <x:c r="E457" s="73" t="str">
        <x:f>IF('전기원장'!A457="","",'전기원장'!D457)</x:f>
      </x:c>
      <x:c r="F457" s="73" t="str">
        <x:f>IF('전기원장'!A457="","",'전기원장'!E457)</x:f>
      </x:c>
      <x:c r="G457" s="75" t="str">
        <x:f>IF('전기원장'!A457="","",'전기원장'!H457)</x:f>
      </x:c>
      <x:c r="H457" s="73" t="str">
        <x:f>IF('전기원장'!A457="","",'전기원장'!I457)</x:f>
      </x:c>
      <x:c r="I457" s="73" t="str">
        <x:f>IF('전기원장'!A457="","",'전기원장'!J457)</x:f>
      </x:c>
      <x:c r="J457" s="73" t="str">
        <x:f>IF('전기원장'!A457="","",'전기원장'!K457)</x:f>
      </x:c>
      <x:c r="K457" s="73" t="str">
        <x:f>IF(B457="","",IF(COUNTIF($B$5:B457,B457)=1,COUNT($K$4:K456)+1,""))</x:f>
      </x:c>
      <x:c r="L457" s="85" t="str">
        <x:f>IF(B457="","",IF(COUNTIFS('계정비교'!$A$5:$A$1004,B457,'계정비교'!$H$5:$H$1004,"원인분석 대상")&gt;0,COUNT($L$4:L456)+1,""))</x:f>
      </x:c>
    </x:row>
    <x:row r="458">
      <x:c r="A458" s="73" t="str">
        <x:f>IF('전기원장'!A458="","","전기")</x:f>
      </x:c>
      <x:c r="B458" s="73" t="str">
        <x:f>IF('전기원장'!A458="","",'전기원장'!A458)</x:f>
      </x:c>
      <x:c r="C458" s="73" t="str">
        <x:f>IF('전기원장'!A458="","",'전기원장'!B458)</x:f>
      </x:c>
      <x:c r="D458" s="74" t="str">
        <x:f>IF('전기원장'!A458="","",'전기원장'!C458)</x:f>
      </x:c>
      <x:c r="E458" s="73" t="str">
        <x:f>IF('전기원장'!A458="","",'전기원장'!D458)</x:f>
      </x:c>
      <x:c r="F458" s="73" t="str">
        <x:f>IF('전기원장'!A458="","",'전기원장'!E458)</x:f>
      </x:c>
      <x:c r="G458" s="75" t="str">
        <x:f>IF('전기원장'!A458="","",'전기원장'!H458)</x:f>
      </x:c>
      <x:c r="H458" s="73" t="str">
        <x:f>IF('전기원장'!A458="","",'전기원장'!I458)</x:f>
      </x:c>
      <x:c r="I458" s="73" t="str">
        <x:f>IF('전기원장'!A458="","",'전기원장'!J458)</x:f>
      </x:c>
      <x:c r="J458" s="73" t="str">
        <x:f>IF('전기원장'!A458="","",'전기원장'!K458)</x:f>
      </x:c>
      <x:c r="K458" s="73" t="str">
        <x:f>IF(B458="","",IF(COUNTIF($B$5:B458,B458)=1,COUNT($K$4:K457)+1,""))</x:f>
      </x:c>
      <x:c r="L458" s="85" t="str">
        <x:f>IF(B458="","",IF(COUNTIFS('계정비교'!$A$5:$A$1004,B458,'계정비교'!$H$5:$H$1004,"원인분석 대상")&gt;0,COUNT($L$4:L457)+1,""))</x:f>
      </x:c>
    </x:row>
    <x:row r="459">
      <x:c r="A459" s="73" t="str">
        <x:f>IF('전기원장'!A459="","","전기")</x:f>
      </x:c>
      <x:c r="B459" s="73" t="str">
        <x:f>IF('전기원장'!A459="","",'전기원장'!A459)</x:f>
      </x:c>
      <x:c r="C459" s="73" t="str">
        <x:f>IF('전기원장'!A459="","",'전기원장'!B459)</x:f>
      </x:c>
      <x:c r="D459" s="74" t="str">
        <x:f>IF('전기원장'!A459="","",'전기원장'!C459)</x:f>
      </x:c>
      <x:c r="E459" s="73" t="str">
        <x:f>IF('전기원장'!A459="","",'전기원장'!D459)</x:f>
      </x:c>
      <x:c r="F459" s="73" t="str">
        <x:f>IF('전기원장'!A459="","",'전기원장'!E459)</x:f>
      </x:c>
      <x:c r="G459" s="75" t="str">
        <x:f>IF('전기원장'!A459="","",'전기원장'!H459)</x:f>
      </x:c>
      <x:c r="H459" s="73" t="str">
        <x:f>IF('전기원장'!A459="","",'전기원장'!I459)</x:f>
      </x:c>
      <x:c r="I459" s="73" t="str">
        <x:f>IF('전기원장'!A459="","",'전기원장'!J459)</x:f>
      </x:c>
      <x:c r="J459" s="73" t="str">
        <x:f>IF('전기원장'!A459="","",'전기원장'!K459)</x:f>
      </x:c>
      <x:c r="K459" s="73" t="str">
        <x:f>IF(B459="","",IF(COUNTIF($B$5:B459,B459)=1,COUNT($K$4:K458)+1,""))</x:f>
      </x:c>
      <x:c r="L459" s="85" t="str">
        <x:f>IF(B459="","",IF(COUNTIFS('계정비교'!$A$5:$A$1004,B459,'계정비교'!$H$5:$H$1004,"원인분석 대상")&gt;0,COUNT($L$4:L458)+1,""))</x:f>
      </x:c>
    </x:row>
    <x:row r="460">
      <x:c r="A460" s="73" t="str">
        <x:f>IF('전기원장'!A460="","","전기")</x:f>
      </x:c>
      <x:c r="B460" s="73" t="str">
        <x:f>IF('전기원장'!A460="","",'전기원장'!A460)</x:f>
      </x:c>
      <x:c r="C460" s="73" t="str">
        <x:f>IF('전기원장'!A460="","",'전기원장'!B460)</x:f>
      </x:c>
      <x:c r="D460" s="74" t="str">
        <x:f>IF('전기원장'!A460="","",'전기원장'!C460)</x:f>
      </x:c>
      <x:c r="E460" s="73" t="str">
        <x:f>IF('전기원장'!A460="","",'전기원장'!D460)</x:f>
      </x:c>
      <x:c r="F460" s="73" t="str">
        <x:f>IF('전기원장'!A460="","",'전기원장'!E460)</x:f>
      </x:c>
      <x:c r="G460" s="75" t="str">
        <x:f>IF('전기원장'!A460="","",'전기원장'!H460)</x:f>
      </x:c>
      <x:c r="H460" s="73" t="str">
        <x:f>IF('전기원장'!A460="","",'전기원장'!I460)</x:f>
      </x:c>
      <x:c r="I460" s="73" t="str">
        <x:f>IF('전기원장'!A460="","",'전기원장'!J460)</x:f>
      </x:c>
      <x:c r="J460" s="73" t="str">
        <x:f>IF('전기원장'!A460="","",'전기원장'!K460)</x:f>
      </x:c>
      <x:c r="K460" s="73" t="str">
        <x:f>IF(B460="","",IF(COUNTIF($B$5:B460,B460)=1,COUNT($K$4:K459)+1,""))</x:f>
      </x:c>
      <x:c r="L460" s="85" t="str">
        <x:f>IF(B460="","",IF(COUNTIFS('계정비교'!$A$5:$A$1004,B460,'계정비교'!$H$5:$H$1004,"원인분석 대상")&gt;0,COUNT($L$4:L459)+1,""))</x:f>
      </x:c>
    </x:row>
    <x:row r="461">
      <x:c r="A461" s="73" t="str">
        <x:f>IF('전기원장'!A461="","","전기")</x:f>
      </x:c>
      <x:c r="B461" s="73" t="str">
        <x:f>IF('전기원장'!A461="","",'전기원장'!A461)</x:f>
      </x:c>
      <x:c r="C461" s="73" t="str">
        <x:f>IF('전기원장'!A461="","",'전기원장'!B461)</x:f>
      </x:c>
      <x:c r="D461" s="74" t="str">
        <x:f>IF('전기원장'!A461="","",'전기원장'!C461)</x:f>
      </x:c>
      <x:c r="E461" s="73" t="str">
        <x:f>IF('전기원장'!A461="","",'전기원장'!D461)</x:f>
      </x:c>
      <x:c r="F461" s="73" t="str">
        <x:f>IF('전기원장'!A461="","",'전기원장'!E461)</x:f>
      </x:c>
      <x:c r="G461" s="75" t="str">
        <x:f>IF('전기원장'!A461="","",'전기원장'!H461)</x:f>
      </x:c>
      <x:c r="H461" s="73" t="str">
        <x:f>IF('전기원장'!A461="","",'전기원장'!I461)</x:f>
      </x:c>
      <x:c r="I461" s="73" t="str">
        <x:f>IF('전기원장'!A461="","",'전기원장'!J461)</x:f>
      </x:c>
      <x:c r="J461" s="73" t="str">
        <x:f>IF('전기원장'!A461="","",'전기원장'!K461)</x:f>
      </x:c>
      <x:c r="K461" s="73" t="str">
        <x:f>IF(B461="","",IF(COUNTIF($B$5:B461,B461)=1,COUNT($K$4:K460)+1,""))</x:f>
      </x:c>
      <x:c r="L461" s="85" t="str">
        <x:f>IF(B461="","",IF(COUNTIFS('계정비교'!$A$5:$A$1004,B461,'계정비교'!$H$5:$H$1004,"원인분석 대상")&gt;0,COUNT($L$4:L460)+1,""))</x:f>
      </x:c>
    </x:row>
    <x:row r="462">
      <x:c r="A462" s="73" t="str">
        <x:f>IF('전기원장'!A462="","","전기")</x:f>
      </x:c>
      <x:c r="B462" s="73" t="str">
        <x:f>IF('전기원장'!A462="","",'전기원장'!A462)</x:f>
      </x:c>
      <x:c r="C462" s="73" t="str">
        <x:f>IF('전기원장'!A462="","",'전기원장'!B462)</x:f>
      </x:c>
      <x:c r="D462" s="74" t="str">
        <x:f>IF('전기원장'!A462="","",'전기원장'!C462)</x:f>
      </x:c>
      <x:c r="E462" s="73" t="str">
        <x:f>IF('전기원장'!A462="","",'전기원장'!D462)</x:f>
      </x:c>
      <x:c r="F462" s="73" t="str">
        <x:f>IF('전기원장'!A462="","",'전기원장'!E462)</x:f>
      </x:c>
      <x:c r="G462" s="75" t="str">
        <x:f>IF('전기원장'!A462="","",'전기원장'!H462)</x:f>
      </x:c>
      <x:c r="H462" s="73" t="str">
        <x:f>IF('전기원장'!A462="","",'전기원장'!I462)</x:f>
      </x:c>
      <x:c r="I462" s="73" t="str">
        <x:f>IF('전기원장'!A462="","",'전기원장'!J462)</x:f>
      </x:c>
      <x:c r="J462" s="73" t="str">
        <x:f>IF('전기원장'!A462="","",'전기원장'!K462)</x:f>
      </x:c>
      <x:c r="K462" s="73" t="str">
        <x:f>IF(B462="","",IF(COUNTIF($B$5:B462,B462)=1,COUNT($K$4:K461)+1,""))</x:f>
      </x:c>
      <x:c r="L462" s="85" t="str">
        <x:f>IF(B462="","",IF(COUNTIFS('계정비교'!$A$5:$A$1004,B462,'계정비교'!$H$5:$H$1004,"원인분석 대상")&gt;0,COUNT($L$4:L461)+1,""))</x:f>
      </x:c>
    </x:row>
    <x:row r="463">
      <x:c r="A463" s="73" t="str">
        <x:f>IF('전기원장'!A463="","","전기")</x:f>
      </x:c>
      <x:c r="B463" s="73" t="str">
        <x:f>IF('전기원장'!A463="","",'전기원장'!A463)</x:f>
      </x:c>
      <x:c r="C463" s="73" t="str">
        <x:f>IF('전기원장'!A463="","",'전기원장'!B463)</x:f>
      </x:c>
      <x:c r="D463" s="74" t="str">
        <x:f>IF('전기원장'!A463="","",'전기원장'!C463)</x:f>
      </x:c>
      <x:c r="E463" s="73" t="str">
        <x:f>IF('전기원장'!A463="","",'전기원장'!D463)</x:f>
      </x:c>
      <x:c r="F463" s="73" t="str">
        <x:f>IF('전기원장'!A463="","",'전기원장'!E463)</x:f>
      </x:c>
      <x:c r="G463" s="75" t="str">
        <x:f>IF('전기원장'!A463="","",'전기원장'!H463)</x:f>
      </x:c>
      <x:c r="H463" s="73" t="str">
        <x:f>IF('전기원장'!A463="","",'전기원장'!I463)</x:f>
      </x:c>
      <x:c r="I463" s="73" t="str">
        <x:f>IF('전기원장'!A463="","",'전기원장'!J463)</x:f>
      </x:c>
      <x:c r="J463" s="73" t="str">
        <x:f>IF('전기원장'!A463="","",'전기원장'!K463)</x:f>
      </x:c>
      <x:c r="K463" s="73" t="str">
        <x:f>IF(B463="","",IF(COUNTIF($B$5:B463,B463)=1,COUNT($K$4:K462)+1,""))</x:f>
      </x:c>
      <x:c r="L463" s="85" t="str">
        <x:f>IF(B463="","",IF(COUNTIFS('계정비교'!$A$5:$A$1004,B463,'계정비교'!$H$5:$H$1004,"원인분석 대상")&gt;0,COUNT($L$4:L462)+1,""))</x:f>
      </x:c>
    </x:row>
    <x:row r="464">
      <x:c r="A464" s="73" t="str">
        <x:f>IF('전기원장'!A464="","","전기")</x:f>
      </x:c>
      <x:c r="B464" s="73" t="str">
        <x:f>IF('전기원장'!A464="","",'전기원장'!A464)</x:f>
      </x:c>
      <x:c r="C464" s="73" t="str">
        <x:f>IF('전기원장'!A464="","",'전기원장'!B464)</x:f>
      </x:c>
      <x:c r="D464" s="74" t="str">
        <x:f>IF('전기원장'!A464="","",'전기원장'!C464)</x:f>
      </x:c>
      <x:c r="E464" s="73" t="str">
        <x:f>IF('전기원장'!A464="","",'전기원장'!D464)</x:f>
      </x:c>
      <x:c r="F464" s="73" t="str">
        <x:f>IF('전기원장'!A464="","",'전기원장'!E464)</x:f>
      </x:c>
      <x:c r="G464" s="75" t="str">
        <x:f>IF('전기원장'!A464="","",'전기원장'!H464)</x:f>
      </x:c>
      <x:c r="H464" s="73" t="str">
        <x:f>IF('전기원장'!A464="","",'전기원장'!I464)</x:f>
      </x:c>
      <x:c r="I464" s="73" t="str">
        <x:f>IF('전기원장'!A464="","",'전기원장'!J464)</x:f>
      </x:c>
      <x:c r="J464" s="73" t="str">
        <x:f>IF('전기원장'!A464="","",'전기원장'!K464)</x:f>
      </x:c>
      <x:c r="K464" s="73" t="str">
        <x:f>IF(B464="","",IF(COUNTIF($B$5:B464,B464)=1,COUNT($K$4:K463)+1,""))</x:f>
      </x:c>
      <x:c r="L464" s="85" t="str">
        <x:f>IF(B464="","",IF(COUNTIFS('계정비교'!$A$5:$A$1004,B464,'계정비교'!$H$5:$H$1004,"원인분석 대상")&gt;0,COUNT($L$4:L463)+1,""))</x:f>
      </x:c>
    </x:row>
    <x:row r="465">
      <x:c r="A465" s="73" t="str">
        <x:f>IF('전기원장'!A465="","","전기")</x:f>
      </x:c>
      <x:c r="B465" s="73" t="str">
        <x:f>IF('전기원장'!A465="","",'전기원장'!A465)</x:f>
      </x:c>
      <x:c r="C465" s="73" t="str">
        <x:f>IF('전기원장'!A465="","",'전기원장'!B465)</x:f>
      </x:c>
      <x:c r="D465" s="74" t="str">
        <x:f>IF('전기원장'!A465="","",'전기원장'!C465)</x:f>
      </x:c>
      <x:c r="E465" s="73" t="str">
        <x:f>IF('전기원장'!A465="","",'전기원장'!D465)</x:f>
      </x:c>
      <x:c r="F465" s="73" t="str">
        <x:f>IF('전기원장'!A465="","",'전기원장'!E465)</x:f>
      </x:c>
      <x:c r="G465" s="75" t="str">
        <x:f>IF('전기원장'!A465="","",'전기원장'!H465)</x:f>
      </x:c>
      <x:c r="H465" s="73" t="str">
        <x:f>IF('전기원장'!A465="","",'전기원장'!I465)</x:f>
      </x:c>
      <x:c r="I465" s="73" t="str">
        <x:f>IF('전기원장'!A465="","",'전기원장'!J465)</x:f>
      </x:c>
      <x:c r="J465" s="73" t="str">
        <x:f>IF('전기원장'!A465="","",'전기원장'!K465)</x:f>
      </x:c>
      <x:c r="K465" s="73" t="str">
        <x:f>IF(B465="","",IF(COUNTIF($B$5:B465,B465)=1,COUNT($K$4:K464)+1,""))</x:f>
      </x:c>
      <x:c r="L465" s="85" t="str">
        <x:f>IF(B465="","",IF(COUNTIFS('계정비교'!$A$5:$A$1004,B465,'계정비교'!$H$5:$H$1004,"원인분석 대상")&gt;0,COUNT($L$4:L464)+1,""))</x:f>
      </x:c>
    </x:row>
    <x:row r="466">
      <x:c r="A466" s="73" t="str">
        <x:f>IF('전기원장'!A466="","","전기")</x:f>
      </x:c>
      <x:c r="B466" s="73" t="str">
        <x:f>IF('전기원장'!A466="","",'전기원장'!A466)</x:f>
      </x:c>
      <x:c r="C466" s="73" t="str">
        <x:f>IF('전기원장'!A466="","",'전기원장'!B466)</x:f>
      </x:c>
      <x:c r="D466" s="74" t="str">
        <x:f>IF('전기원장'!A466="","",'전기원장'!C466)</x:f>
      </x:c>
      <x:c r="E466" s="73" t="str">
        <x:f>IF('전기원장'!A466="","",'전기원장'!D466)</x:f>
      </x:c>
      <x:c r="F466" s="73" t="str">
        <x:f>IF('전기원장'!A466="","",'전기원장'!E466)</x:f>
      </x:c>
      <x:c r="G466" s="75" t="str">
        <x:f>IF('전기원장'!A466="","",'전기원장'!H466)</x:f>
      </x:c>
      <x:c r="H466" s="73" t="str">
        <x:f>IF('전기원장'!A466="","",'전기원장'!I466)</x:f>
      </x:c>
      <x:c r="I466" s="73" t="str">
        <x:f>IF('전기원장'!A466="","",'전기원장'!J466)</x:f>
      </x:c>
      <x:c r="J466" s="73" t="str">
        <x:f>IF('전기원장'!A466="","",'전기원장'!K466)</x:f>
      </x:c>
      <x:c r="K466" s="73" t="str">
        <x:f>IF(B466="","",IF(COUNTIF($B$5:B466,B466)=1,COUNT($K$4:K465)+1,""))</x:f>
      </x:c>
      <x:c r="L466" s="85" t="str">
        <x:f>IF(B466="","",IF(COUNTIFS('계정비교'!$A$5:$A$1004,B466,'계정비교'!$H$5:$H$1004,"원인분석 대상")&gt;0,COUNT($L$4:L465)+1,""))</x:f>
      </x:c>
    </x:row>
    <x:row r="467">
      <x:c r="A467" s="73" t="str">
        <x:f>IF('전기원장'!A467="","","전기")</x:f>
      </x:c>
      <x:c r="B467" s="73" t="str">
        <x:f>IF('전기원장'!A467="","",'전기원장'!A467)</x:f>
      </x:c>
      <x:c r="C467" s="73" t="str">
        <x:f>IF('전기원장'!A467="","",'전기원장'!B467)</x:f>
      </x:c>
      <x:c r="D467" s="74" t="str">
        <x:f>IF('전기원장'!A467="","",'전기원장'!C467)</x:f>
      </x:c>
      <x:c r="E467" s="73" t="str">
        <x:f>IF('전기원장'!A467="","",'전기원장'!D467)</x:f>
      </x:c>
      <x:c r="F467" s="73" t="str">
        <x:f>IF('전기원장'!A467="","",'전기원장'!E467)</x:f>
      </x:c>
      <x:c r="G467" s="75" t="str">
        <x:f>IF('전기원장'!A467="","",'전기원장'!H467)</x:f>
      </x:c>
      <x:c r="H467" s="73" t="str">
        <x:f>IF('전기원장'!A467="","",'전기원장'!I467)</x:f>
      </x:c>
      <x:c r="I467" s="73" t="str">
        <x:f>IF('전기원장'!A467="","",'전기원장'!J467)</x:f>
      </x:c>
      <x:c r="J467" s="73" t="str">
        <x:f>IF('전기원장'!A467="","",'전기원장'!K467)</x:f>
      </x:c>
      <x:c r="K467" s="73" t="str">
        <x:f>IF(B467="","",IF(COUNTIF($B$5:B467,B467)=1,COUNT($K$4:K466)+1,""))</x:f>
      </x:c>
      <x:c r="L467" s="85" t="str">
        <x:f>IF(B467="","",IF(COUNTIFS('계정비교'!$A$5:$A$1004,B467,'계정비교'!$H$5:$H$1004,"원인분석 대상")&gt;0,COUNT($L$4:L466)+1,""))</x:f>
      </x:c>
    </x:row>
    <x:row r="468">
      <x:c r="A468" s="73" t="str">
        <x:f>IF('전기원장'!A468="","","전기")</x:f>
      </x:c>
      <x:c r="B468" s="73" t="str">
        <x:f>IF('전기원장'!A468="","",'전기원장'!A468)</x:f>
      </x:c>
      <x:c r="C468" s="73" t="str">
        <x:f>IF('전기원장'!A468="","",'전기원장'!B468)</x:f>
      </x:c>
      <x:c r="D468" s="74" t="str">
        <x:f>IF('전기원장'!A468="","",'전기원장'!C468)</x:f>
      </x:c>
      <x:c r="E468" s="73" t="str">
        <x:f>IF('전기원장'!A468="","",'전기원장'!D468)</x:f>
      </x:c>
      <x:c r="F468" s="73" t="str">
        <x:f>IF('전기원장'!A468="","",'전기원장'!E468)</x:f>
      </x:c>
      <x:c r="G468" s="75" t="str">
        <x:f>IF('전기원장'!A468="","",'전기원장'!H468)</x:f>
      </x:c>
      <x:c r="H468" s="73" t="str">
        <x:f>IF('전기원장'!A468="","",'전기원장'!I468)</x:f>
      </x:c>
      <x:c r="I468" s="73" t="str">
        <x:f>IF('전기원장'!A468="","",'전기원장'!J468)</x:f>
      </x:c>
      <x:c r="J468" s="73" t="str">
        <x:f>IF('전기원장'!A468="","",'전기원장'!K468)</x:f>
      </x:c>
      <x:c r="K468" s="73" t="str">
        <x:f>IF(B468="","",IF(COUNTIF($B$5:B468,B468)=1,COUNT($K$4:K467)+1,""))</x:f>
      </x:c>
      <x:c r="L468" s="85" t="str">
        <x:f>IF(B468="","",IF(COUNTIFS('계정비교'!$A$5:$A$1004,B468,'계정비교'!$H$5:$H$1004,"원인분석 대상")&gt;0,COUNT($L$4:L467)+1,""))</x:f>
      </x:c>
    </x:row>
    <x:row r="469">
      <x:c r="A469" s="73" t="str">
        <x:f>IF('전기원장'!A469="","","전기")</x:f>
      </x:c>
      <x:c r="B469" s="73" t="str">
        <x:f>IF('전기원장'!A469="","",'전기원장'!A469)</x:f>
      </x:c>
      <x:c r="C469" s="73" t="str">
        <x:f>IF('전기원장'!A469="","",'전기원장'!B469)</x:f>
      </x:c>
      <x:c r="D469" s="74" t="str">
        <x:f>IF('전기원장'!A469="","",'전기원장'!C469)</x:f>
      </x:c>
      <x:c r="E469" s="73" t="str">
        <x:f>IF('전기원장'!A469="","",'전기원장'!D469)</x:f>
      </x:c>
      <x:c r="F469" s="73" t="str">
        <x:f>IF('전기원장'!A469="","",'전기원장'!E469)</x:f>
      </x:c>
      <x:c r="G469" s="75" t="str">
        <x:f>IF('전기원장'!A469="","",'전기원장'!H469)</x:f>
      </x:c>
      <x:c r="H469" s="73" t="str">
        <x:f>IF('전기원장'!A469="","",'전기원장'!I469)</x:f>
      </x:c>
      <x:c r="I469" s="73" t="str">
        <x:f>IF('전기원장'!A469="","",'전기원장'!J469)</x:f>
      </x:c>
      <x:c r="J469" s="73" t="str">
        <x:f>IF('전기원장'!A469="","",'전기원장'!K469)</x:f>
      </x:c>
      <x:c r="K469" s="73" t="str">
        <x:f>IF(B469="","",IF(COUNTIF($B$5:B469,B469)=1,COUNT($K$4:K468)+1,""))</x:f>
      </x:c>
      <x:c r="L469" s="85" t="str">
        <x:f>IF(B469="","",IF(COUNTIFS('계정비교'!$A$5:$A$1004,B469,'계정비교'!$H$5:$H$1004,"원인분석 대상")&gt;0,COUNT($L$4:L468)+1,""))</x:f>
      </x:c>
    </x:row>
    <x:row r="470">
      <x:c r="A470" s="73" t="str">
        <x:f>IF('전기원장'!A470="","","전기")</x:f>
      </x:c>
      <x:c r="B470" s="73" t="str">
        <x:f>IF('전기원장'!A470="","",'전기원장'!A470)</x:f>
      </x:c>
      <x:c r="C470" s="73" t="str">
        <x:f>IF('전기원장'!A470="","",'전기원장'!B470)</x:f>
      </x:c>
      <x:c r="D470" s="74" t="str">
        <x:f>IF('전기원장'!A470="","",'전기원장'!C470)</x:f>
      </x:c>
      <x:c r="E470" s="73" t="str">
        <x:f>IF('전기원장'!A470="","",'전기원장'!D470)</x:f>
      </x:c>
      <x:c r="F470" s="73" t="str">
        <x:f>IF('전기원장'!A470="","",'전기원장'!E470)</x:f>
      </x:c>
      <x:c r="G470" s="75" t="str">
        <x:f>IF('전기원장'!A470="","",'전기원장'!H470)</x:f>
      </x:c>
      <x:c r="H470" s="73" t="str">
        <x:f>IF('전기원장'!A470="","",'전기원장'!I470)</x:f>
      </x:c>
      <x:c r="I470" s="73" t="str">
        <x:f>IF('전기원장'!A470="","",'전기원장'!J470)</x:f>
      </x:c>
      <x:c r="J470" s="73" t="str">
        <x:f>IF('전기원장'!A470="","",'전기원장'!K470)</x:f>
      </x:c>
      <x:c r="K470" s="73" t="str">
        <x:f>IF(B470="","",IF(COUNTIF($B$5:B470,B470)=1,COUNT($K$4:K469)+1,""))</x:f>
      </x:c>
      <x:c r="L470" s="85" t="str">
        <x:f>IF(B470="","",IF(COUNTIFS('계정비교'!$A$5:$A$1004,B470,'계정비교'!$H$5:$H$1004,"원인분석 대상")&gt;0,COUNT($L$4:L469)+1,""))</x:f>
      </x:c>
    </x:row>
    <x:row r="471">
      <x:c r="A471" s="73" t="str">
        <x:f>IF('전기원장'!A471="","","전기")</x:f>
      </x:c>
      <x:c r="B471" s="73" t="str">
        <x:f>IF('전기원장'!A471="","",'전기원장'!A471)</x:f>
      </x:c>
      <x:c r="C471" s="73" t="str">
        <x:f>IF('전기원장'!A471="","",'전기원장'!B471)</x:f>
      </x:c>
      <x:c r="D471" s="74" t="str">
        <x:f>IF('전기원장'!A471="","",'전기원장'!C471)</x:f>
      </x:c>
      <x:c r="E471" s="73" t="str">
        <x:f>IF('전기원장'!A471="","",'전기원장'!D471)</x:f>
      </x:c>
      <x:c r="F471" s="73" t="str">
        <x:f>IF('전기원장'!A471="","",'전기원장'!E471)</x:f>
      </x:c>
      <x:c r="G471" s="75" t="str">
        <x:f>IF('전기원장'!A471="","",'전기원장'!H471)</x:f>
      </x:c>
      <x:c r="H471" s="73" t="str">
        <x:f>IF('전기원장'!A471="","",'전기원장'!I471)</x:f>
      </x:c>
      <x:c r="I471" s="73" t="str">
        <x:f>IF('전기원장'!A471="","",'전기원장'!J471)</x:f>
      </x:c>
      <x:c r="J471" s="73" t="str">
        <x:f>IF('전기원장'!A471="","",'전기원장'!K471)</x:f>
      </x:c>
      <x:c r="K471" s="73" t="str">
        <x:f>IF(B471="","",IF(COUNTIF($B$5:B471,B471)=1,COUNT($K$4:K470)+1,""))</x:f>
      </x:c>
      <x:c r="L471" s="85" t="str">
        <x:f>IF(B471="","",IF(COUNTIFS('계정비교'!$A$5:$A$1004,B471,'계정비교'!$H$5:$H$1004,"원인분석 대상")&gt;0,COUNT($L$4:L470)+1,""))</x:f>
      </x:c>
    </x:row>
    <x:row r="472">
      <x:c r="A472" s="73" t="str">
        <x:f>IF('전기원장'!A472="","","전기")</x:f>
      </x:c>
      <x:c r="B472" s="73" t="str">
        <x:f>IF('전기원장'!A472="","",'전기원장'!A472)</x:f>
      </x:c>
      <x:c r="C472" s="73" t="str">
        <x:f>IF('전기원장'!A472="","",'전기원장'!B472)</x:f>
      </x:c>
      <x:c r="D472" s="74" t="str">
        <x:f>IF('전기원장'!A472="","",'전기원장'!C472)</x:f>
      </x:c>
      <x:c r="E472" s="73" t="str">
        <x:f>IF('전기원장'!A472="","",'전기원장'!D472)</x:f>
      </x:c>
      <x:c r="F472" s="73" t="str">
        <x:f>IF('전기원장'!A472="","",'전기원장'!E472)</x:f>
      </x:c>
      <x:c r="G472" s="75" t="str">
        <x:f>IF('전기원장'!A472="","",'전기원장'!H472)</x:f>
      </x:c>
      <x:c r="H472" s="73" t="str">
        <x:f>IF('전기원장'!A472="","",'전기원장'!I472)</x:f>
      </x:c>
      <x:c r="I472" s="73" t="str">
        <x:f>IF('전기원장'!A472="","",'전기원장'!J472)</x:f>
      </x:c>
      <x:c r="J472" s="73" t="str">
        <x:f>IF('전기원장'!A472="","",'전기원장'!K472)</x:f>
      </x:c>
      <x:c r="K472" s="73" t="str">
        <x:f>IF(B472="","",IF(COUNTIF($B$5:B472,B472)=1,COUNT($K$4:K471)+1,""))</x:f>
      </x:c>
      <x:c r="L472" s="85" t="str">
        <x:f>IF(B472="","",IF(COUNTIFS('계정비교'!$A$5:$A$1004,B472,'계정비교'!$H$5:$H$1004,"원인분석 대상")&gt;0,COUNT($L$4:L471)+1,""))</x:f>
      </x:c>
    </x:row>
    <x:row r="473">
      <x:c r="A473" s="73" t="str">
        <x:f>IF('전기원장'!A473="","","전기")</x:f>
      </x:c>
      <x:c r="B473" s="73" t="str">
        <x:f>IF('전기원장'!A473="","",'전기원장'!A473)</x:f>
      </x:c>
      <x:c r="C473" s="73" t="str">
        <x:f>IF('전기원장'!A473="","",'전기원장'!B473)</x:f>
      </x:c>
      <x:c r="D473" s="74" t="str">
        <x:f>IF('전기원장'!A473="","",'전기원장'!C473)</x:f>
      </x:c>
      <x:c r="E473" s="73" t="str">
        <x:f>IF('전기원장'!A473="","",'전기원장'!D473)</x:f>
      </x:c>
      <x:c r="F473" s="73" t="str">
        <x:f>IF('전기원장'!A473="","",'전기원장'!E473)</x:f>
      </x:c>
      <x:c r="G473" s="75" t="str">
        <x:f>IF('전기원장'!A473="","",'전기원장'!H473)</x:f>
      </x:c>
      <x:c r="H473" s="73" t="str">
        <x:f>IF('전기원장'!A473="","",'전기원장'!I473)</x:f>
      </x:c>
      <x:c r="I473" s="73" t="str">
        <x:f>IF('전기원장'!A473="","",'전기원장'!J473)</x:f>
      </x:c>
      <x:c r="J473" s="73" t="str">
        <x:f>IF('전기원장'!A473="","",'전기원장'!K473)</x:f>
      </x:c>
      <x:c r="K473" s="73" t="str">
        <x:f>IF(B473="","",IF(COUNTIF($B$5:B473,B473)=1,COUNT($K$4:K472)+1,""))</x:f>
      </x:c>
      <x:c r="L473" s="85" t="str">
        <x:f>IF(B473="","",IF(COUNTIFS('계정비교'!$A$5:$A$1004,B473,'계정비교'!$H$5:$H$1004,"원인분석 대상")&gt;0,COUNT($L$4:L472)+1,""))</x:f>
      </x:c>
    </x:row>
    <x:row r="474">
      <x:c r="A474" s="73" t="str">
        <x:f>IF('전기원장'!A474="","","전기")</x:f>
      </x:c>
      <x:c r="B474" s="73" t="str">
        <x:f>IF('전기원장'!A474="","",'전기원장'!A474)</x:f>
      </x:c>
      <x:c r="C474" s="73" t="str">
        <x:f>IF('전기원장'!A474="","",'전기원장'!B474)</x:f>
      </x:c>
      <x:c r="D474" s="74" t="str">
        <x:f>IF('전기원장'!A474="","",'전기원장'!C474)</x:f>
      </x:c>
      <x:c r="E474" s="73" t="str">
        <x:f>IF('전기원장'!A474="","",'전기원장'!D474)</x:f>
      </x:c>
      <x:c r="F474" s="73" t="str">
        <x:f>IF('전기원장'!A474="","",'전기원장'!E474)</x:f>
      </x:c>
      <x:c r="G474" s="75" t="str">
        <x:f>IF('전기원장'!A474="","",'전기원장'!H474)</x:f>
      </x:c>
      <x:c r="H474" s="73" t="str">
        <x:f>IF('전기원장'!A474="","",'전기원장'!I474)</x:f>
      </x:c>
      <x:c r="I474" s="73" t="str">
        <x:f>IF('전기원장'!A474="","",'전기원장'!J474)</x:f>
      </x:c>
      <x:c r="J474" s="73" t="str">
        <x:f>IF('전기원장'!A474="","",'전기원장'!K474)</x:f>
      </x:c>
      <x:c r="K474" s="73" t="str">
        <x:f>IF(B474="","",IF(COUNTIF($B$5:B474,B474)=1,COUNT($K$4:K473)+1,""))</x:f>
      </x:c>
      <x:c r="L474" s="85" t="str">
        <x:f>IF(B474="","",IF(COUNTIFS('계정비교'!$A$5:$A$1004,B474,'계정비교'!$H$5:$H$1004,"원인분석 대상")&gt;0,COUNT($L$4:L473)+1,""))</x:f>
      </x:c>
    </x:row>
    <x:row r="475">
      <x:c r="A475" s="73" t="str">
        <x:f>IF('전기원장'!A475="","","전기")</x:f>
      </x:c>
      <x:c r="B475" s="73" t="str">
        <x:f>IF('전기원장'!A475="","",'전기원장'!A475)</x:f>
      </x:c>
      <x:c r="C475" s="73" t="str">
        <x:f>IF('전기원장'!A475="","",'전기원장'!B475)</x:f>
      </x:c>
      <x:c r="D475" s="74" t="str">
        <x:f>IF('전기원장'!A475="","",'전기원장'!C475)</x:f>
      </x:c>
      <x:c r="E475" s="73" t="str">
        <x:f>IF('전기원장'!A475="","",'전기원장'!D475)</x:f>
      </x:c>
      <x:c r="F475" s="73" t="str">
        <x:f>IF('전기원장'!A475="","",'전기원장'!E475)</x:f>
      </x:c>
      <x:c r="G475" s="75" t="str">
        <x:f>IF('전기원장'!A475="","",'전기원장'!H475)</x:f>
      </x:c>
      <x:c r="H475" s="73" t="str">
        <x:f>IF('전기원장'!A475="","",'전기원장'!I475)</x:f>
      </x:c>
      <x:c r="I475" s="73" t="str">
        <x:f>IF('전기원장'!A475="","",'전기원장'!J475)</x:f>
      </x:c>
      <x:c r="J475" s="73" t="str">
        <x:f>IF('전기원장'!A475="","",'전기원장'!K475)</x:f>
      </x:c>
      <x:c r="K475" s="73" t="str">
        <x:f>IF(B475="","",IF(COUNTIF($B$5:B475,B475)=1,COUNT($K$4:K474)+1,""))</x:f>
      </x:c>
      <x:c r="L475" s="85" t="str">
        <x:f>IF(B475="","",IF(COUNTIFS('계정비교'!$A$5:$A$1004,B475,'계정비교'!$H$5:$H$1004,"원인분석 대상")&gt;0,COUNT($L$4:L474)+1,""))</x:f>
      </x:c>
    </x:row>
    <x:row r="476">
      <x:c r="A476" s="73" t="str">
        <x:f>IF('전기원장'!A476="","","전기")</x:f>
      </x:c>
      <x:c r="B476" s="73" t="str">
        <x:f>IF('전기원장'!A476="","",'전기원장'!A476)</x:f>
      </x:c>
      <x:c r="C476" s="73" t="str">
        <x:f>IF('전기원장'!A476="","",'전기원장'!B476)</x:f>
      </x:c>
      <x:c r="D476" s="74" t="str">
        <x:f>IF('전기원장'!A476="","",'전기원장'!C476)</x:f>
      </x:c>
      <x:c r="E476" s="73" t="str">
        <x:f>IF('전기원장'!A476="","",'전기원장'!D476)</x:f>
      </x:c>
      <x:c r="F476" s="73" t="str">
        <x:f>IF('전기원장'!A476="","",'전기원장'!E476)</x:f>
      </x:c>
      <x:c r="G476" s="75" t="str">
        <x:f>IF('전기원장'!A476="","",'전기원장'!H476)</x:f>
      </x:c>
      <x:c r="H476" s="73" t="str">
        <x:f>IF('전기원장'!A476="","",'전기원장'!I476)</x:f>
      </x:c>
      <x:c r="I476" s="73" t="str">
        <x:f>IF('전기원장'!A476="","",'전기원장'!J476)</x:f>
      </x:c>
      <x:c r="J476" s="73" t="str">
        <x:f>IF('전기원장'!A476="","",'전기원장'!K476)</x:f>
      </x:c>
      <x:c r="K476" s="73" t="str">
        <x:f>IF(B476="","",IF(COUNTIF($B$5:B476,B476)=1,COUNT($K$4:K475)+1,""))</x:f>
      </x:c>
      <x:c r="L476" s="85" t="str">
        <x:f>IF(B476="","",IF(COUNTIFS('계정비교'!$A$5:$A$1004,B476,'계정비교'!$H$5:$H$1004,"원인분석 대상")&gt;0,COUNT($L$4:L475)+1,""))</x:f>
      </x:c>
    </x:row>
    <x:row r="477">
      <x:c r="A477" s="73" t="str">
        <x:f>IF('전기원장'!A477="","","전기")</x:f>
      </x:c>
      <x:c r="B477" s="73" t="str">
        <x:f>IF('전기원장'!A477="","",'전기원장'!A477)</x:f>
      </x:c>
      <x:c r="C477" s="73" t="str">
        <x:f>IF('전기원장'!A477="","",'전기원장'!B477)</x:f>
      </x:c>
      <x:c r="D477" s="74" t="str">
        <x:f>IF('전기원장'!A477="","",'전기원장'!C477)</x:f>
      </x:c>
      <x:c r="E477" s="73" t="str">
        <x:f>IF('전기원장'!A477="","",'전기원장'!D477)</x:f>
      </x:c>
      <x:c r="F477" s="73" t="str">
        <x:f>IF('전기원장'!A477="","",'전기원장'!E477)</x:f>
      </x:c>
      <x:c r="G477" s="75" t="str">
        <x:f>IF('전기원장'!A477="","",'전기원장'!H477)</x:f>
      </x:c>
      <x:c r="H477" s="73" t="str">
        <x:f>IF('전기원장'!A477="","",'전기원장'!I477)</x:f>
      </x:c>
      <x:c r="I477" s="73" t="str">
        <x:f>IF('전기원장'!A477="","",'전기원장'!J477)</x:f>
      </x:c>
      <x:c r="J477" s="73" t="str">
        <x:f>IF('전기원장'!A477="","",'전기원장'!K477)</x:f>
      </x:c>
      <x:c r="K477" s="73" t="str">
        <x:f>IF(B477="","",IF(COUNTIF($B$5:B477,B477)=1,COUNT($K$4:K476)+1,""))</x:f>
      </x:c>
      <x:c r="L477" s="85" t="str">
        <x:f>IF(B477="","",IF(COUNTIFS('계정비교'!$A$5:$A$1004,B477,'계정비교'!$H$5:$H$1004,"원인분석 대상")&gt;0,COUNT($L$4:L476)+1,""))</x:f>
      </x:c>
    </x:row>
    <x:row r="478">
      <x:c r="A478" s="73" t="str">
        <x:f>IF('전기원장'!A478="","","전기")</x:f>
      </x:c>
      <x:c r="B478" s="73" t="str">
        <x:f>IF('전기원장'!A478="","",'전기원장'!A478)</x:f>
      </x:c>
      <x:c r="C478" s="73" t="str">
        <x:f>IF('전기원장'!A478="","",'전기원장'!B478)</x:f>
      </x:c>
      <x:c r="D478" s="74" t="str">
        <x:f>IF('전기원장'!A478="","",'전기원장'!C478)</x:f>
      </x:c>
      <x:c r="E478" s="73" t="str">
        <x:f>IF('전기원장'!A478="","",'전기원장'!D478)</x:f>
      </x:c>
      <x:c r="F478" s="73" t="str">
        <x:f>IF('전기원장'!A478="","",'전기원장'!E478)</x:f>
      </x:c>
      <x:c r="G478" s="75" t="str">
        <x:f>IF('전기원장'!A478="","",'전기원장'!H478)</x:f>
      </x:c>
      <x:c r="H478" s="73" t="str">
        <x:f>IF('전기원장'!A478="","",'전기원장'!I478)</x:f>
      </x:c>
      <x:c r="I478" s="73" t="str">
        <x:f>IF('전기원장'!A478="","",'전기원장'!J478)</x:f>
      </x:c>
      <x:c r="J478" s="73" t="str">
        <x:f>IF('전기원장'!A478="","",'전기원장'!K478)</x:f>
      </x:c>
      <x:c r="K478" s="73" t="str">
        <x:f>IF(B478="","",IF(COUNTIF($B$5:B478,B478)=1,COUNT($K$4:K477)+1,""))</x:f>
      </x:c>
      <x:c r="L478" s="85" t="str">
        <x:f>IF(B478="","",IF(COUNTIFS('계정비교'!$A$5:$A$1004,B478,'계정비교'!$H$5:$H$1004,"원인분석 대상")&gt;0,COUNT($L$4:L477)+1,""))</x:f>
      </x:c>
    </x:row>
    <x:row r="479">
      <x:c r="A479" s="73" t="str">
        <x:f>IF('전기원장'!A479="","","전기")</x:f>
      </x:c>
      <x:c r="B479" s="73" t="str">
        <x:f>IF('전기원장'!A479="","",'전기원장'!A479)</x:f>
      </x:c>
      <x:c r="C479" s="73" t="str">
        <x:f>IF('전기원장'!A479="","",'전기원장'!B479)</x:f>
      </x:c>
      <x:c r="D479" s="74" t="str">
        <x:f>IF('전기원장'!A479="","",'전기원장'!C479)</x:f>
      </x:c>
      <x:c r="E479" s="73" t="str">
        <x:f>IF('전기원장'!A479="","",'전기원장'!D479)</x:f>
      </x:c>
      <x:c r="F479" s="73" t="str">
        <x:f>IF('전기원장'!A479="","",'전기원장'!E479)</x:f>
      </x:c>
      <x:c r="G479" s="75" t="str">
        <x:f>IF('전기원장'!A479="","",'전기원장'!H479)</x:f>
      </x:c>
      <x:c r="H479" s="73" t="str">
        <x:f>IF('전기원장'!A479="","",'전기원장'!I479)</x:f>
      </x:c>
      <x:c r="I479" s="73" t="str">
        <x:f>IF('전기원장'!A479="","",'전기원장'!J479)</x:f>
      </x:c>
      <x:c r="J479" s="73" t="str">
        <x:f>IF('전기원장'!A479="","",'전기원장'!K479)</x:f>
      </x:c>
      <x:c r="K479" s="73" t="str">
        <x:f>IF(B479="","",IF(COUNTIF($B$5:B479,B479)=1,COUNT($K$4:K478)+1,""))</x:f>
      </x:c>
      <x:c r="L479" s="85" t="str">
        <x:f>IF(B479="","",IF(COUNTIFS('계정비교'!$A$5:$A$1004,B479,'계정비교'!$H$5:$H$1004,"원인분석 대상")&gt;0,COUNT($L$4:L478)+1,""))</x:f>
      </x:c>
    </x:row>
    <x:row r="480">
      <x:c r="A480" s="73" t="str">
        <x:f>IF('전기원장'!A480="","","전기")</x:f>
      </x:c>
      <x:c r="B480" s="73" t="str">
        <x:f>IF('전기원장'!A480="","",'전기원장'!A480)</x:f>
      </x:c>
      <x:c r="C480" s="73" t="str">
        <x:f>IF('전기원장'!A480="","",'전기원장'!B480)</x:f>
      </x:c>
      <x:c r="D480" s="74" t="str">
        <x:f>IF('전기원장'!A480="","",'전기원장'!C480)</x:f>
      </x:c>
      <x:c r="E480" s="73" t="str">
        <x:f>IF('전기원장'!A480="","",'전기원장'!D480)</x:f>
      </x:c>
      <x:c r="F480" s="73" t="str">
        <x:f>IF('전기원장'!A480="","",'전기원장'!E480)</x:f>
      </x:c>
      <x:c r="G480" s="75" t="str">
        <x:f>IF('전기원장'!A480="","",'전기원장'!H480)</x:f>
      </x:c>
      <x:c r="H480" s="73" t="str">
        <x:f>IF('전기원장'!A480="","",'전기원장'!I480)</x:f>
      </x:c>
      <x:c r="I480" s="73" t="str">
        <x:f>IF('전기원장'!A480="","",'전기원장'!J480)</x:f>
      </x:c>
      <x:c r="J480" s="73" t="str">
        <x:f>IF('전기원장'!A480="","",'전기원장'!K480)</x:f>
      </x:c>
      <x:c r="K480" s="73" t="str">
        <x:f>IF(B480="","",IF(COUNTIF($B$5:B480,B480)=1,COUNT($K$4:K479)+1,""))</x:f>
      </x:c>
      <x:c r="L480" s="85" t="str">
        <x:f>IF(B480="","",IF(COUNTIFS('계정비교'!$A$5:$A$1004,B480,'계정비교'!$H$5:$H$1004,"원인분석 대상")&gt;0,COUNT($L$4:L479)+1,""))</x:f>
      </x:c>
    </x:row>
    <x:row r="481">
      <x:c r="A481" s="73" t="str">
        <x:f>IF('전기원장'!A481="","","전기")</x:f>
      </x:c>
      <x:c r="B481" s="73" t="str">
        <x:f>IF('전기원장'!A481="","",'전기원장'!A481)</x:f>
      </x:c>
      <x:c r="C481" s="73" t="str">
        <x:f>IF('전기원장'!A481="","",'전기원장'!B481)</x:f>
      </x:c>
      <x:c r="D481" s="74" t="str">
        <x:f>IF('전기원장'!A481="","",'전기원장'!C481)</x:f>
      </x:c>
      <x:c r="E481" s="73" t="str">
        <x:f>IF('전기원장'!A481="","",'전기원장'!D481)</x:f>
      </x:c>
      <x:c r="F481" s="73" t="str">
        <x:f>IF('전기원장'!A481="","",'전기원장'!E481)</x:f>
      </x:c>
      <x:c r="G481" s="75" t="str">
        <x:f>IF('전기원장'!A481="","",'전기원장'!H481)</x:f>
      </x:c>
      <x:c r="H481" s="73" t="str">
        <x:f>IF('전기원장'!A481="","",'전기원장'!I481)</x:f>
      </x:c>
      <x:c r="I481" s="73" t="str">
        <x:f>IF('전기원장'!A481="","",'전기원장'!J481)</x:f>
      </x:c>
      <x:c r="J481" s="73" t="str">
        <x:f>IF('전기원장'!A481="","",'전기원장'!K481)</x:f>
      </x:c>
      <x:c r="K481" s="73" t="str">
        <x:f>IF(B481="","",IF(COUNTIF($B$5:B481,B481)=1,COUNT($K$4:K480)+1,""))</x:f>
      </x:c>
      <x:c r="L481" s="85" t="str">
        <x:f>IF(B481="","",IF(COUNTIFS('계정비교'!$A$5:$A$1004,B481,'계정비교'!$H$5:$H$1004,"원인분석 대상")&gt;0,COUNT($L$4:L480)+1,""))</x:f>
      </x:c>
    </x:row>
    <x:row r="482">
      <x:c r="A482" s="73" t="str">
        <x:f>IF('전기원장'!A482="","","전기")</x:f>
      </x:c>
      <x:c r="B482" s="73" t="str">
        <x:f>IF('전기원장'!A482="","",'전기원장'!A482)</x:f>
      </x:c>
      <x:c r="C482" s="73" t="str">
        <x:f>IF('전기원장'!A482="","",'전기원장'!B482)</x:f>
      </x:c>
      <x:c r="D482" s="74" t="str">
        <x:f>IF('전기원장'!A482="","",'전기원장'!C482)</x:f>
      </x:c>
      <x:c r="E482" s="73" t="str">
        <x:f>IF('전기원장'!A482="","",'전기원장'!D482)</x:f>
      </x:c>
      <x:c r="F482" s="73" t="str">
        <x:f>IF('전기원장'!A482="","",'전기원장'!E482)</x:f>
      </x:c>
      <x:c r="G482" s="75" t="str">
        <x:f>IF('전기원장'!A482="","",'전기원장'!H482)</x:f>
      </x:c>
      <x:c r="H482" s="73" t="str">
        <x:f>IF('전기원장'!A482="","",'전기원장'!I482)</x:f>
      </x:c>
      <x:c r="I482" s="73" t="str">
        <x:f>IF('전기원장'!A482="","",'전기원장'!J482)</x:f>
      </x:c>
      <x:c r="J482" s="73" t="str">
        <x:f>IF('전기원장'!A482="","",'전기원장'!K482)</x:f>
      </x:c>
      <x:c r="K482" s="73" t="str">
        <x:f>IF(B482="","",IF(COUNTIF($B$5:B482,B482)=1,COUNT($K$4:K481)+1,""))</x:f>
      </x:c>
      <x:c r="L482" s="85" t="str">
        <x:f>IF(B482="","",IF(COUNTIFS('계정비교'!$A$5:$A$1004,B482,'계정비교'!$H$5:$H$1004,"원인분석 대상")&gt;0,COUNT($L$4:L481)+1,""))</x:f>
      </x:c>
    </x:row>
    <x:row r="483">
      <x:c r="A483" s="73" t="str">
        <x:f>IF('전기원장'!A483="","","전기")</x:f>
      </x:c>
      <x:c r="B483" s="73" t="str">
        <x:f>IF('전기원장'!A483="","",'전기원장'!A483)</x:f>
      </x:c>
      <x:c r="C483" s="73" t="str">
        <x:f>IF('전기원장'!A483="","",'전기원장'!B483)</x:f>
      </x:c>
      <x:c r="D483" s="74" t="str">
        <x:f>IF('전기원장'!A483="","",'전기원장'!C483)</x:f>
      </x:c>
      <x:c r="E483" s="73" t="str">
        <x:f>IF('전기원장'!A483="","",'전기원장'!D483)</x:f>
      </x:c>
      <x:c r="F483" s="73" t="str">
        <x:f>IF('전기원장'!A483="","",'전기원장'!E483)</x:f>
      </x:c>
      <x:c r="G483" s="75" t="str">
        <x:f>IF('전기원장'!A483="","",'전기원장'!H483)</x:f>
      </x:c>
      <x:c r="H483" s="73" t="str">
        <x:f>IF('전기원장'!A483="","",'전기원장'!I483)</x:f>
      </x:c>
      <x:c r="I483" s="73" t="str">
        <x:f>IF('전기원장'!A483="","",'전기원장'!J483)</x:f>
      </x:c>
      <x:c r="J483" s="73" t="str">
        <x:f>IF('전기원장'!A483="","",'전기원장'!K483)</x:f>
      </x:c>
      <x:c r="K483" s="73" t="str">
        <x:f>IF(B483="","",IF(COUNTIF($B$5:B483,B483)=1,COUNT($K$4:K482)+1,""))</x:f>
      </x:c>
      <x:c r="L483" s="85" t="str">
        <x:f>IF(B483="","",IF(COUNTIFS('계정비교'!$A$5:$A$1004,B483,'계정비교'!$H$5:$H$1004,"원인분석 대상")&gt;0,COUNT($L$4:L482)+1,""))</x:f>
      </x:c>
    </x:row>
    <x:row r="484">
      <x:c r="A484" s="73" t="str">
        <x:f>IF('전기원장'!A484="","","전기")</x:f>
      </x:c>
      <x:c r="B484" s="73" t="str">
        <x:f>IF('전기원장'!A484="","",'전기원장'!A484)</x:f>
      </x:c>
      <x:c r="C484" s="73" t="str">
        <x:f>IF('전기원장'!A484="","",'전기원장'!B484)</x:f>
      </x:c>
      <x:c r="D484" s="74" t="str">
        <x:f>IF('전기원장'!A484="","",'전기원장'!C484)</x:f>
      </x:c>
      <x:c r="E484" s="73" t="str">
        <x:f>IF('전기원장'!A484="","",'전기원장'!D484)</x:f>
      </x:c>
      <x:c r="F484" s="73" t="str">
        <x:f>IF('전기원장'!A484="","",'전기원장'!E484)</x:f>
      </x:c>
      <x:c r="G484" s="75" t="str">
        <x:f>IF('전기원장'!A484="","",'전기원장'!H484)</x:f>
      </x:c>
      <x:c r="H484" s="73" t="str">
        <x:f>IF('전기원장'!A484="","",'전기원장'!I484)</x:f>
      </x:c>
      <x:c r="I484" s="73" t="str">
        <x:f>IF('전기원장'!A484="","",'전기원장'!J484)</x:f>
      </x:c>
      <x:c r="J484" s="73" t="str">
        <x:f>IF('전기원장'!A484="","",'전기원장'!K484)</x:f>
      </x:c>
      <x:c r="K484" s="73" t="str">
        <x:f>IF(B484="","",IF(COUNTIF($B$5:B484,B484)=1,COUNT($K$4:K483)+1,""))</x:f>
      </x:c>
      <x:c r="L484" s="85" t="str">
        <x:f>IF(B484="","",IF(COUNTIFS('계정비교'!$A$5:$A$1004,B484,'계정비교'!$H$5:$H$1004,"원인분석 대상")&gt;0,COUNT($L$4:L483)+1,""))</x:f>
      </x:c>
    </x:row>
    <x:row r="485">
      <x:c r="A485" s="73" t="str">
        <x:f>IF('전기원장'!A485="","","전기")</x:f>
      </x:c>
      <x:c r="B485" s="73" t="str">
        <x:f>IF('전기원장'!A485="","",'전기원장'!A485)</x:f>
      </x:c>
      <x:c r="C485" s="73" t="str">
        <x:f>IF('전기원장'!A485="","",'전기원장'!B485)</x:f>
      </x:c>
      <x:c r="D485" s="74" t="str">
        <x:f>IF('전기원장'!A485="","",'전기원장'!C485)</x:f>
      </x:c>
      <x:c r="E485" s="73" t="str">
        <x:f>IF('전기원장'!A485="","",'전기원장'!D485)</x:f>
      </x:c>
      <x:c r="F485" s="73" t="str">
        <x:f>IF('전기원장'!A485="","",'전기원장'!E485)</x:f>
      </x:c>
      <x:c r="G485" s="75" t="str">
        <x:f>IF('전기원장'!A485="","",'전기원장'!H485)</x:f>
      </x:c>
      <x:c r="H485" s="73" t="str">
        <x:f>IF('전기원장'!A485="","",'전기원장'!I485)</x:f>
      </x:c>
      <x:c r="I485" s="73" t="str">
        <x:f>IF('전기원장'!A485="","",'전기원장'!J485)</x:f>
      </x:c>
      <x:c r="J485" s="73" t="str">
        <x:f>IF('전기원장'!A485="","",'전기원장'!K485)</x:f>
      </x:c>
      <x:c r="K485" s="73" t="str">
        <x:f>IF(B485="","",IF(COUNTIF($B$5:B485,B485)=1,COUNT($K$4:K484)+1,""))</x:f>
      </x:c>
      <x:c r="L485" s="85" t="str">
        <x:f>IF(B485="","",IF(COUNTIFS('계정비교'!$A$5:$A$1004,B485,'계정비교'!$H$5:$H$1004,"원인분석 대상")&gt;0,COUNT($L$4:L484)+1,""))</x:f>
      </x:c>
    </x:row>
    <x:row r="486">
      <x:c r="A486" s="73" t="str">
        <x:f>IF('전기원장'!A486="","","전기")</x:f>
      </x:c>
      <x:c r="B486" s="73" t="str">
        <x:f>IF('전기원장'!A486="","",'전기원장'!A486)</x:f>
      </x:c>
      <x:c r="C486" s="73" t="str">
        <x:f>IF('전기원장'!A486="","",'전기원장'!B486)</x:f>
      </x:c>
      <x:c r="D486" s="74" t="str">
        <x:f>IF('전기원장'!A486="","",'전기원장'!C486)</x:f>
      </x:c>
      <x:c r="E486" s="73" t="str">
        <x:f>IF('전기원장'!A486="","",'전기원장'!D486)</x:f>
      </x:c>
      <x:c r="F486" s="73" t="str">
        <x:f>IF('전기원장'!A486="","",'전기원장'!E486)</x:f>
      </x:c>
      <x:c r="G486" s="75" t="str">
        <x:f>IF('전기원장'!A486="","",'전기원장'!H486)</x:f>
      </x:c>
      <x:c r="H486" s="73" t="str">
        <x:f>IF('전기원장'!A486="","",'전기원장'!I486)</x:f>
      </x:c>
      <x:c r="I486" s="73" t="str">
        <x:f>IF('전기원장'!A486="","",'전기원장'!J486)</x:f>
      </x:c>
      <x:c r="J486" s="73" t="str">
        <x:f>IF('전기원장'!A486="","",'전기원장'!K486)</x:f>
      </x:c>
      <x:c r="K486" s="73" t="str">
        <x:f>IF(B486="","",IF(COUNTIF($B$5:B486,B486)=1,COUNT($K$4:K485)+1,""))</x:f>
      </x:c>
      <x:c r="L486" s="85" t="str">
        <x:f>IF(B486="","",IF(COUNTIFS('계정비교'!$A$5:$A$1004,B486,'계정비교'!$H$5:$H$1004,"원인분석 대상")&gt;0,COUNT($L$4:L485)+1,""))</x:f>
      </x:c>
    </x:row>
    <x:row r="487">
      <x:c r="A487" s="73" t="str">
        <x:f>IF('전기원장'!A487="","","전기")</x:f>
      </x:c>
      <x:c r="B487" s="73" t="str">
        <x:f>IF('전기원장'!A487="","",'전기원장'!A487)</x:f>
      </x:c>
      <x:c r="C487" s="73" t="str">
        <x:f>IF('전기원장'!A487="","",'전기원장'!B487)</x:f>
      </x:c>
      <x:c r="D487" s="74" t="str">
        <x:f>IF('전기원장'!A487="","",'전기원장'!C487)</x:f>
      </x:c>
      <x:c r="E487" s="73" t="str">
        <x:f>IF('전기원장'!A487="","",'전기원장'!D487)</x:f>
      </x:c>
      <x:c r="F487" s="73" t="str">
        <x:f>IF('전기원장'!A487="","",'전기원장'!E487)</x:f>
      </x:c>
      <x:c r="G487" s="75" t="str">
        <x:f>IF('전기원장'!A487="","",'전기원장'!H487)</x:f>
      </x:c>
      <x:c r="H487" s="73" t="str">
        <x:f>IF('전기원장'!A487="","",'전기원장'!I487)</x:f>
      </x:c>
      <x:c r="I487" s="73" t="str">
        <x:f>IF('전기원장'!A487="","",'전기원장'!J487)</x:f>
      </x:c>
      <x:c r="J487" s="73" t="str">
        <x:f>IF('전기원장'!A487="","",'전기원장'!K487)</x:f>
      </x:c>
      <x:c r="K487" s="73" t="str">
        <x:f>IF(B487="","",IF(COUNTIF($B$5:B487,B487)=1,COUNT($K$4:K486)+1,""))</x:f>
      </x:c>
      <x:c r="L487" s="85" t="str">
        <x:f>IF(B487="","",IF(COUNTIFS('계정비교'!$A$5:$A$1004,B487,'계정비교'!$H$5:$H$1004,"원인분석 대상")&gt;0,COUNT($L$4:L486)+1,""))</x:f>
      </x:c>
    </x:row>
    <x:row r="488">
      <x:c r="A488" s="73" t="str">
        <x:f>IF('전기원장'!A488="","","전기")</x:f>
      </x:c>
      <x:c r="B488" s="73" t="str">
        <x:f>IF('전기원장'!A488="","",'전기원장'!A488)</x:f>
      </x:c>
      <x:c r="C488" s="73" t="str">
        <x:f>IF('전기원장'!A488="","",'전기원장'!B488)</x:f>
      </x:c>
      <x:c r="D488" s="74" t="str">
        <x:f>IF('전기원장'!A488="","",'전기원장'!C488)</x:f>
      </x:c>
      <x:c r="E488" s="73" t="str">
        <x:f>IF('전기원장'!A488="","",'전기원장'!D488)</x:f>
      </x:c>
      <x:c r="F488" s="73" t="str">
        <x:f>IF('전기원장'!A488="","",'전기원장'!E488)</x:f>
      </x:c>
      <x:c r="G488" s="75" t="str">
        <x:f>IF('전기원장'!A488="","",'전기원장'!H488)</x:f>
      </x:c>
      <x:c r="H488" s="73" t="str">
        <x:f>IF('전기원장'!A488="","",'전기원장'!I488)</x:f>
      </x:c>
      <x:c r="I488" s="73" t="str">
        <x:f>IF('전기원장'!A488="","",'전기원장'!J488)</x:f>
      </x:c>
      <x:c r="J488" s="73" t="str">
        <x:f>IF('전기원장'!A488="","",'전기원장'!K488)</x:f>
      </x:c>
      <x:c r="K488" s="73" t="str">
        <x:f>IF(B488="","",IF(COUNTIF($B$5:B488,B488)=1,COUNT($K$4:K487)+1,""))</x:f>
      </x:c>
      <x:c r="L488" s="85" t="str">
        <x:f>IF(B488="","",IF(COUNTIFS('계정비교'!$A$5:$A$1004,B488,'계정비교'!$H$5:$H$1004,"원인분석 대상")&gt;0,COUNT($L$4:L487)+1,""))</x:f>
      </x:c>
    </x:row>
    <x:row r="489">
      <x:c r="A489" s="73" t="str">
        <x:f>IF('전기원장'!A489="","","전기")</x:f>
      </x:c>
      <x:c r="B489" s="73" t="str">
        <x:f>IF('전기원장'!A489="","",'전기원장'!A489)</x:f>
      </x:c>
      <x:c r="C489" s="73" t="str">
        <x:f>IF('전기원장'!A489="","",'전기원장'!B489)</x:f>
      </x:c>
      <x:c r="D489" s="74" t="str">
        <x:f>IF('전기원장'!A489="","",'전기원장'!C489)</x:f>
      </x:c>
      <x:c r="E489" s="73" t="str">
        <x:f>IF('전기원장'!A489="","",'전기원장'!D489)</x:f>
      </x:c>
      <x:c r="F489" s="73" t="str">
        <x:f>IF('전기원장'!A489="","",'전기원장'!E489)</x:f>
      </x:c>
      <x:c r="G489" s="75" t="str">
        <x:f>IF('전기원장'!A489="","",'전기원장'!H489)</x:f>
      </x:c>
      <x:c r="H489" s="73" t="str">
        <x:f>IF('전기원장'!A489="","",'전기원장'!I489)</x:f>
      </x:c>
      <x:c r="I489" s="73" t="str">
        <x:f>IF('전기원장'!A489="","",'전기원장'!J489)</x:f>
      </x:c>
      <x:c r="J489" s="73" t="str">
        <x:f>IF('전기원장'!A489="","",'전기원장'!K489)</x:f>
      </x:c>
      <x:c r="K489" s="73" t="str">
        <x:f>IF(B489="","",IF(COUNTIF($B$5:B489,B489)=1,COUNT($K$4:K488)+1,""))</x:f>
      </x:c>
      <x:c r="L489" s="85" t="str">
        <x:f>IF(B489="","",IF(COUNTIFS('계정비교'!$A$5:$A$1004,B489,'계정비교'!$H$5:$H$1004,"원인분석 대상")&gt;0,COUNT($L$4:L488)+1,""))</x:f>
      </x:c>
    </x:row>
    <x:row r="490">
      <x:c r="A490" s="73" t="str">
        <x:f>IF('전기원장'!A490="","","전기")</x:f>
      </x:c>
      <x:c r="B490" s="73" t="str">
        <x:f>IF('전기원장'!A490="","",'전기원장'!A490)</x:f>
      </x:c>
      <x:c r="C490" s="73" t="str">
        <x:f>IF('전기원장'!A490="","",'전기원장'!B490)</x:f>
      </x:c>
      <x:c r="D490" s="74" t="str">
        <x:f>IF('전기원장'!A490="","",'전기원장'!C490)</x:f>
      </x:c>
      <x:c r="E490" s="73" t="str">
        <x:f>IF('전기원장'!A490="","",'전기원장'!D490)</x:f>
      </x:c>
      <x:c r="F490" s="73" t="str">
        <x:f>IF('전기원장'!A490="","",'전기원장'!E490)</x:f>
      </x:c>
      <x:c r="G490" s="75" t="str">
        <x:f>IF('전기원장'!A490="","",'전기원장'!H490)</x:f>
      </x:c>
      <x:c r="H490" s="73" t="str">
        <x:f>IF('전기원장'!A490="","",'전기원장'!I490)</x:f>
      </x:c>
      <x:c r="I490" s="73" t="str">
        <x:f>IF('전기원장'!A490="","",'전기원장'!J490)</x:f>
      </x:c>
      <x:c r="J490" s="73" t="str">
        <x:f>IF('전기원장'!A490="","",'전기원장'!K490)</x:f>
      </x:c>
      <x:c r="K490" s="73" t="str">
        <x:f>IF(B490="","",IF(COUNTIF($B$5:B490,B490)=1,COUNT($K$4:K489)+1,""))</x:f>
      </x:c>
      <x:c r="L490" s="85" t="str">
        <x:f>IF(B490="","",IF(COUNTIFS('계정비교'!$A$5:$A$1004,B490,'계정비교'!$H$5:$H$1004,"원인분석 대상")&gt;0,COUNT($L$4:L489)+1,""))</x:f>
      </x:c>
    </x:row>
    <x:row r="491">
      <x:c r="A491" s="73" t="str">
        <x:f>IF('전기원장'!A491="","","전기")</x:f>
      </x:c>
      <x:c r="B491" s="73" t="str">
        <x:f>IF('전기원장'!A491="","",'전기원장'!A491)</x:f>
      </x:c>
      <x:c r="C491" s="73" t="str">
        <x:f>IF('전기원장'!A491="","",'전기원장'!B491)</x:f>
      </x:c>
      <x:c r="D491" s="74" t="str">
        <x:f>IF('전기원장'!A491="","",'전기원장'!C491)</x:f>
      </x:c>
      <x:c r="E491" s="73" t="str">
        <x:f>IF('전기원장'!A491="","",'전기원장'!D491)</x:f>
      </x:c>
      <x:c r="F491" s="73" t="str">
        <x:f>IF('전기원장'!A491="","",'전기원장'!E491)</x:f>
      </x:c>
      <x:c r="G491" s="75" t="str">
        <x:f>IF('전기원장'!A491="","",'전기원장'!H491)</x:f>
      </x:c>
      <x:c r="H491" s="73" t="str">
        <x:f>IF('전기원장'!A491="","",'전기원장'!I491)</x:f>
      </x:c>
      <x:c r="I491" s="73" t="str">
        <x:f>IF('전기원장'!A491="","",'전기원장'!J491)</x:f>
      </x:c>
      <x:c r="J491" s="73" t="str">
        <x:f>IF('전기원장'!A491="","",'전기원장'!K491)</x:f>
      </x:c>
      <x:c r="K491" s="73" t="str">
        <x:f>IF(B491="","",IF(COUNTIF($B$5:B491,B491)=1,COUNT($K$4:K490)+1,""))</x:f>
      </x:c>
      <x:c r="L491" s="85" t="str">
        <x:f>IF(B491="","",IF(COUNTIFS('계정비교'!$A$5:$A$1004,B491,'계정비교'!$H$5:$H$1004,"원인분석 대상")&gt;0,COUNT($L$4:L490)+1,""))</x:f>
      </x:c>
    </x:row>
    <x:row r="492">
      <x:c r="A492" s="73" t="str">
        <x:f>IF('전기원장'!A492="","","전기")</x:f>
      </x:c>
      <x:c r="B492" s="73" t="str">
        <x:f>IF('전기원장'!A492="","",'전기원장'!A492)</x:f>
      </x:c>
      <x:c r="C492" s="73" t="str">
        <x:f>IF('전기원장'!A492="","",'전기원장'!B492)</x:f>
      </x:c>
      <x:c r="D492" s="74" t="str">
        <x:f>IF('전기원장'!A492="","",'전기원장'!C492)</x:f>
      </x:c>
      <x:c r="E492" s="73" t="str">
        <x:f>IF('전기원장'!A492="","",'전기원장'!D492)</x:f>
      </x:c>
      <x:c r="F492" s="73" t="str">
        <x:f>IF('전기원장'!A492="","",'전기원장'!E492)</x:f>
      </x:c>
      <x:c r="G492" s="75" t="str">
        <x:f>IF('전기원장'!A492="","",'전기원장'!H492)</x:f>
      </x:c>
      <x:c r="H492" s="73" t="str">
        <x:f>IF('전기원장'!A492="","",'전기원장'!I492)</x:f>
      </x:c>
      <x:c r="I492" s="73" t="str">
        <x:f>IF('전기원장'!A492="","",'전기원장'!J492)</x:f>
      </x:c>
      <x:c r="J492" s="73" t="str">
        <x:f>IF('전기원장'!A492="","",'전기원장'!K492)</x:f>
      </x:c>
      <x:c r="K492" s="73" t="str">
        <x:f>IF(B492="","",IF(COUNTIF($B$5:B492,B492)=1,COUNT($K$4:K491)+1,""))</x:f>
      </x:c>
      <x:c r="L492" s="85" t="str">
        <x:f>IF(B492="","",IF(COUNTIFS('계정비교'!$A$5:$A$1004,B492,'계정비교'!$H$5:$H$1004,"원인분석 대상")&gt;0,COUNT($L$4:L491)+1,""))</x:f>
      </x:c>
    </x:row>
    <x:row r="493">
      <x:c r="A493" s="73" t="str">
        <x:f>IF('전기원장'!A493="","","전기")</x:f>
      </x:c>
      <x:c r="B493" s="73" t="str">
        <x:f>IF('전기원장'!A493="","",'전기원장'!A493)</x:f>
      </x:c>
      <x:c r="C493" s="73" t="str">
        <x:f>IF('전기원장'!A493="","",'전기원장'!B493)</x:f>
      </x:c>
      <x:c r="D493" s="74" t="str">
        <x:f>IF('전기원장'!A493="","",'전기원장'!C493)</x:f>
      </x:c>
      <x:c r="E493" s="73" t="str">
        <x:f>IF('전기원장'!A493="","",'전기원장'!D493)</x:f>
      </x:c>
      <x:c r="F493" s="73" t="str">
        <x:f>IF('전기원장'!A493="","",'전기원장'!E493)</x:f>
      </x:c>
      <x:c r="G493" s="75" t="str">
        <x:f>IF('전기원장'!A493="","",'전기원장'!H493)</x:f>
      </x:c>
      <x:c r="H493" s="73" t="str">
        <x:f>IF('전기원장'!A493="","",'전기원장'!I493)</x:f>
      </x:c>
      <x:c r="I493" s="73" t="str">
        <x:f>IF('전기원장'!A493="","",'전기원장'!J493)</x:f>
      </x:c>
      <x:c r="J493" s="73" t="str">
        <x:f>IF('전기원장'!A493="","",'전기원장'!K493)</x:f>
      </x:c>
      <x:c r="K493" s="73" t="str">
        <x:f>IF(B493="","",IF(COUNTIF($B$5:B493,B493)=1,COUNT($K$4:K492)+1,""))</x:f>
      </x:c>
      <x:c r="L493" s="85" t="str">
        <x:f>IF(B493="","",IF(COUNTIFS('계정비교'!$A$5:$A$1004,B493,'계정비교'!$H$5:$H$1004,"원인분석 대상")&gt;0,COUNT($L$4:L492)+1,""))</x:f>
      </x:c>
    </x:row>
    <x:row r="494">
      <x:c r="A494" s="73" t="str">
        <x:f>IF('전기원장'!A494="","","전기")</x:f>
      </x:c>
      <x:c r="B494" s="73" t="str">
        <x:f>IF('전기원장'!A494="","",'전기원장'!A494)</x:f>
      </x:c>
      <x:c r="C494" s="73" t="str">
        <x:f>IF('전기원장'!A494="","",'전기원장'!B494)</x:f>
      </x:c>
      <x:c r="D494" s="74" t="str">
        <x:f>IF('전기원장'!A494="","",'전기원장'!C494)</x:f>
      </x:c>
      <x:c r="E494" s="73" t="str">
        <x:f>IF('전기원장'!A494="","",'전기원장'!D494)</x:f>
      </x:c>
      <x:c r="F494" s="73" t="str">
        <x:f>IF('전기원장'!A494="","",'전기원장'!E494)</x:f>
      </x:c>
      <x:c r="G494" s="75" t="str">
        <x:f>IF('전기원장'!A494="","",'전기원장'!H494)</x:f>
      </x:c>
      <x:c r="H494" s="73" t="str">
        <x:f>IF('전기원장'!A494="","",'전기원장'!I494)</x:f>
      </x:c>
      <x:c r="I494" s="73" t="str">
        <x:f>IF('전기원장'!A494="","",'전기원장'!J494)</x:f>
      </x:c>
      <x:c r="J494" s="73" t="str">
        <x:f>IF('전기원장'!A494="","",'전기원장'!K494)</x:f>
      </x:c>
      <x:c r="K494" s="73" t="str">
        <x:f>IF(B494="","",IF(COUNTIF($B$5:B494,B494)=1,COUNT($K$4:K493)+1,""))</x:f>
      </x:c>
      <x:c r="L494" s="85" t="str">
        <x:f>IF(B494="","",IF(COUNTIFS('계정비교'!$A$5:$A$1004,B494,'계정비교'!$H$5:$H$1004,"원인분석 대상")&gt;0,COUNT($L$4:L493)+1,""))</x:f>
      </x:c>
    </x:row>
    <x:row r="495">
      <x:c r="A495" s="73" t="str">
        <x:f>IF('전기원장'!A495="","","전기")</x:f>
      </x:c>
      <x:c r="B495" s="73" t="str">
        <x:f>IF('전기원장'!A495="","",'전기원장'!A495)</x:f>
      </x:c>
      <x:c r="C495" s="73" t="str">
        <x:f>IF('전기원장'!A495="","",'전기원장'!B495)</x:f>
      </x:c>
      <x:c r="D495" s="74" t="str">
        <x:f>IF('전기원장'!A495="","",'전기원장'!C495)</x:f>
      </x:c>
      <x:c r="E495" s="73" t="str">
        <x:f>IF('전기원장'!A495="","",'전기원장'!D495)</x:f>
      </x:c>
      <x:c r="F495" s="73" t="str">
        <x:f>IF('전기원장'!A495="","",'전기원장'!E495)</x:f>
      </x:c>
      <x:c r="G495" s="75" t="str">
        <x:f>IF('전기원장'!A495="","",'전기원장'!H495)</x:f>
      </x:c>
      <x:c r="H495" s="73" t="str">
        <x:f>IF('전기원장'!A495="","",'전기원장'!I495)</x:f>
      </x:c>
      <x:c r="I495" s="73" t="str">
        <x:f>IF('전기원장'!A495="","",'전기원장'!J495)</x:f>
      </x:c>
      <x:c r="J495" s="73" t="str">
        <x:f>IF('전기원장'!A495="","",'전기원장'!K495)</x:f>
      </x:c>
      <x:c r="K495" s="73" t="str">
        <x:f>IF(B495="","",IF(COUNTIF($B$5:B495,B495)=1,COUNT($K$4:K494)+1,""))</x:f>
      </x:c>
      <x:c r="L495" s="85" t="str">
        <x:f>IF(B495="","",IF(COUNTIFS('계정비교'!$A$5:$A$1004,B495,'계정비교'!$H$5:$H$1004,"원인분석 대상")&gt;0,COUNT($L$4:L494)+1,""))</x:f>
      </x:c>
    </x:row>
    <x:row r="496">
      <x:c r="A496" s="73" t="str">
        <x:f>IF('전기원장'!A496="","","전기")</x:f>
      </x:c>
      <x:c r="B496" s="73" t="str">
        <x:f>IF('전기원장'!A496="","",'전기원장'!A496)</x:f>
      </x:c>
      <x:c r="C496" s="73" t="str">
        <x:f>IF('전기원장'!A496="","",'전기원장'!B496)</x:f>
      </x:c>
      <x:c r="D496" s="74" t="str">
        <x:f>IF('전기원장'!A496="","",'전기원장'!C496)</x:f>
      </x:c>
      <x:c r="E496" s="73" t="str">
        <x:f>IF('전기원장'!A496="","",'전기원장'!D496)</x:f>
      </x:c>
      <x:c r="F496" s="73" t="str">
        <x:f>IF('전기원장'!A496="","",'전기원장'!E496)</x:f>
      </x:c>
      <x:c r="G496" s="75" t="str">
        <x:f>IF('전기원장'!A496="","",'전기원장'!H496)</x:f>
      </x:c>
      <x:c r="H496" s="73" t="str">
        <x:f>IF('전기원장'!A496="","",'전기원장'!I496)</x:f>
      </x:c>
      <x:c r="I496" s="73" t="str">
        <x:f>IF('전기원장'!A496="","",'전기원장'!J496)</x:f>
      </x:c>
      <x:c r="J496" s="73" t="str">
        <x:f>IF('전기원장'!A496="","",'전기원장'!K496)</x:f>
      </x:c>
      <x:c r="K496" s="73" t="str">
        <x:f>IF(B496="","",IF(COUNTIF($B$5:B496,B496)=1,COUNT($K$4:K495)+1,""))</x:f>
      </x:c>
      <x:c r="L496" s="85" t="str">
        <x:f>IF(B496="","",IF(COUNTIFS('계정비교'!$A$5:$A$1004,B496,'계정비교'!$H$5:$H$1004,"원인분석 대상")&gt;0,COUNT($L$4:L495)+1,""))</x:f>
      </x:c>
    </x:row>
    <x:row r="497">
      <x:c r="A497" s="73" t="str">
        <x:f>IF('전기원장'!A497="","","전기")</x:f>
      </x:c>
      <x:c r="B497" s="73" t="str">
        <x:f>IF('전기원장'!A497="","",'전기원장'!A497)</x:f>
      </x:c>
      <x:c r="C497" s="73" t="str">
        <x:f>IF('전기원장'!A497="","",'전기원장'!B497)</x:f>
      </x:c>
      <x:c r="D497" s="74" t="str">
        <x:f>IF('전기원장'!A497="","",'전기원장'!C497)</x:f>
      </x:c>
      <x:c r="E497" s="73" t="str">
        <x:f>IF('전기원장'!A497="","",'전기원장'!D497)</x:f>
      </x:c>
      <x:c r="F497" s="73" t="str">
        <x:f>IF('전기원장'!A497="","",'전기원장'!E497)</x:f>
      </x:c>
      <x:c r="G497" s="75" t="str">
        <x:f>IF('전기원장'!A497="","",'전기원장'!H497)</x:f>
      </x:c>
      <x:c r="H497" s="73" t="str">
        <x:f>IF('전기원장'!A497="","",'전기원장'!I497)</x:f>
      </x:c>
      <x:c r="I497" s="73" t="str">
        <x:f>IF('전기원장'!A497="","",'전기원장'!J497)</x:f>
      </x:c>
      <x:c r="J497" s="73" t="str">
        <x:f>IF('전기원장'!A497="","",'전기원장'!K497)</x:f>
      </x:c>
      <x:c r="K497" s="73" t="str">
        <x:f>IF(B497="","",IF(COUNTIF($B$5:B497,B497)=1,COUNT($K$4:K496)+1,""))</x:f>
      </x:c>
      <x:c r="L497" s="85" t="str">
        <x:f>IF(B497="","",IF(COUNTIFS('계정비교'!$A$5:$A$1004,B497,'계정비교'!$H$5:$H$1004,"원인분석 대상")&gt;0,COUNT($L$4:L496)+1,""))</x:f>
      </x:c>
    </x:row>
    <x:row r="498">
      <x:c r="A498" s="73" t="str">
        <x:f>IF('전기원장'!A498="","","전기")</x:f>
      </x:c>
      <x:c r="B498" s="73" t="str">
        <x:f>IF('전기원장'!A498="","",'전기원장'!A498)</x:f>
      </x:c>
      <x:c r="C498" s="73" t="str">
        <x:f>IF('전기원장'!A498="","",'전기원장'!B498)</x:f>
      </x:c>
      <x:c r="D498" s="74" t="str">
        <x:f>IF('전기원장'!A498="","",'전기원장'!C498)</x:f>
      </x:c>
      <x:c r="E498" s="73" t="str">
        <x:f>IF('전기원장'!A498="","",'전기원장'!D498)</x:f>
      </x:c>
      <x:c r="F498" s="73" t="str">
        <x:f>IF('전기원장'!A498="","",'전기원장'!E498)</x:f>
      </x:c>
      <x:c r="G498" s="75" t="str">
        <x:f>IF('전기원장'!A498="","",'전기원장'!H498)</x:f>
      </x:c>
      <x:c r="H498" s="73" t="str">
        <x:f>IF('전기원장'!A498="","",'전기원장'!I498)</x:f>
      </x:c>
      <x:c r="I498" s="73" t="str">
        <x:f>IF('전기원장'!A498="","",'전기원장'!J498)</x:f>
      </x:c>
      <x:c r="J498" s="73" t="str">
        <x:f>IF('전기원장'!A498="","",'전기원장'!K498)</x:f>
      </x:c>
      <x:c r="K498" s="73" t="str">
        <x:f>IF(B498="","",IF(COUNTIF($B$5:B498,B498)=1,COUNT($K$4:K497)+1,""))</x:f>
      </x:c>
      <x:c r="L498" s="85" t="str">
        <x:f>IF(B498="","",IF(COUNTIFS('계정비교'!$A$5:$A$1004,B498,'계정비교'!$H$5:$H$1004,"원인분석 대상")&gt;0,COUNT($L$4:L497)+1,""))</x:f>
      </x:c>
    </x:row>
    <x:row r="499">
      <x:c r="A499" s="73" t="str">
        <x:f>IF('전기원장'!A499="","","전기")</x:f>
      </x:c>
      <x:c r="B499" s="73" t="str">
        <x:f>IF('전기원장'!A499="","",'전기원장'!A499)</x:f>
      </x:c>
      <x:c r="C499" s="73" t="str">
        <x:f>IF('전기원장'!A499="","",'전기원장'!B499)</x:f>
      </x:c>
      <x:c r="D499" s="74" t="str">
        <x:f>IF('전기원장'!A499="","",'전기원장'!C499)</x:f>
      </x:c>
      <x:c r="E499" s="73" t="str">
        <x:f>IF('전기원장'!A499="","",'전기원장'!D499)</x:f>
      </x:c>
      <x:c r="F499" s="73" t="str">
        <x:f>IF('전기원장'!A499="","",'전기원장'!E499)</x:f>
      </x:c>
      <x:c r="G499" s="75" t="str">
        <x:f>IF('전기원장'!A499="","",'전기원장'!H499)</x:f>
      </x:c>
      <x:c r="H499" s="73" t="str">
        <x:f>IF('전기원장'!A499="","",'전기원장'!I499)</x:f>
      </x:c>
      <x:c r="I499" s="73" t="str">
        <x:f>IF('전기원장'!A499="","",'전기원장'!J499)</x:f>
      </x:c>
      <x:c r="J499" s="73" t="str">
        <x:f>IF('전기원장'!A499="","",'전기원장'!K499)</x:f>
      </x:c>
      <x:c r="K499" s="73" t="str">
        <x:f>IF(B499="","",IF(COUNTIF($B$5:B499,B499)=1,COUNT($K$4:K498)+1,""))</x:f>
      </x:c>
      <x:c r="L499" s="85" t="str">
        <x:f>IF(B499="","",IF(COUNTIFS('계정비교'!$A$5:$A$1004,B499,'계정비교'!$H$5:$H$1004,"원인분석 대상")&gt;0,COUNT($L$4:L498)+1,""))</x:f>
      </x:c>
    </x:row>
    <x:row r="500">
      <x:c r="A500" s="73" t="str">
        <x:f>IF('전기원장'!A500="","","전기")</x:f>
      </x:c>
      <x:c r="B500" s="73" t="str">
        <x:f>IF('전기원장'!A500="","",'전기원장'!A500)</x:f>
      </x:c>
      <x:c r="C500" s="73" t="str">
        <x:f>IF('전기원장'!A500="","",'전기원장'!B500)</x:f>
      </x:c>
      <x:c r="D500" s="74" t="str">
        <x:f>IF('전기원장'!A500="","",'전기원장'!C500)</x:f>
      </x:c>
      <x:c r="E500" s="73" t="str">
        <x:f>IF('전기원장'!A500="","",'전기원장'!D500)</x:f>
      </x:c>
      <x:c r="F500" s="73" t="str">
        <x:f>IF('전기원장'!A500="","",'전기원장'!E500)</x:f>
      </x:c>
      <x:c r="G500" s="75" t="str">
        <x:f>IF('전기원장'!A500="","",'전기원장'!H500)</x:f>
      </x:c>
      <x:c r="H500" s="73" t="str">
        <x:f>IF('전기원장'!A500="","",'전기원장'!I500)</x:f>
      </x:c>
      <x:c r="I500" s="73" t="str">
        <x:f>IF('전기원장'!A500="","",'전기원장'!J500)</x:f>
      </x:c>
      <x:c r="J500" s="73" t="str">
        <x:f>IF('전기원장'!A500="","",'전기원장'!K500)</x:f>
      </x:c>
      <x:c r="K500" s="73" t="str">
        <x:f>IF(B500="","",IF(COUNTIF($B$5:B500,B500)=1,COUNT($K$4:K499)+1,""))</x:f>
      </x:c>
      <x:c r="L500" s="85" t="str">
        <x:f>IF(B500="","",IF(COUNTIFS('계정비교'!$A$5:$A$1004,B500,'계정비교'!$H$5:$H$1004,"원인분석 대상")&gt;0,COUNT($L$4:L499)+1,""))</x:f>
      </x:c>
    </x:row>
    <x:row r="501">
      <x:c r="A501" s="73" t="str">
        <x:f>IF('전기원장'!A501="","","전기")</x:f>
      </x:c>
      <x:c r="B501" s="73" t="str">
        <x:f>IF('전기원장'!A501="","",'전기원장'!A501)</x:f>
      </x:c>
      <x:c r="C501" s="73" t="str">
        <x:f>IF('전기원장'!A501="","",'전기원장'!B501)</x:f>
      </x:c>
      <x:c r="D501" s="74" t="str">
        <x:f>IF('전기원장'!A501="","",'전기원장'!C501)</x:f>
      </x:c>
      <x:c r="E501" s="73" t="str">
        <x:f>IF('전기원장'!A501="","",'전기원장'!D501)</x:f>
      </x:c>
      <x:c r="F501" s="73" t="str">
        <x:f>IF('전기원장'!A501="","",'전기원장'!E501)</x:f>
      </x:c>
      <x:c r="G501" s="75" t="str">
        <x:f>IF('전기원장'!A501="","",'전기원장'!H501)</x:f>
      </x:c>
      <x:c r="H501" s="73" t="str">
        <x:f>IF('전기원장'!A501="","",'전기원장'!I501)</x:f>
      </x:c>
      <x:c r="I501" s="73" t="str">
        <x:f>IF('전기원장'!A501="","",'전기원장'!J501)</x:f>
      </x:c>
      <x:c r="J501" s="73" t="str">
        <x:f>IF('전기원장'!A501="","",'전기원장'!K501)</x:f>
      </x:c>
      <x:c r="K501" s="73" t="str">
        <x:f>IF(B501="","",IF(COUNTIF($B$5:B501,B501)=1,COUNT($K$4:K500)+1,""))</x:f>
      </x:c>
      <x:c r="L501" s="85" t="str">
        <x:f>IF(B501="","",IF(COUNTIFS('계정비교'!$A$5:$A$1004,B501,'계정비교'!$H$5:$H$1004,"원인분석 대상")&gt;0,COUNT($L$4:L500)+1,""))</x:f>
      </x:c>
    </x:row>
    <x:row r="502">
      <x:c r="A502" s="73" t="str">
        <x:f>IF('전기원장'!A502="","","전기")</x:f>
      </x:c>
      <x:c r="B502" s="73" t="str">
        <x:f>IF('전기원장'!A502="","",'전기원장'!A502)</x:f>
      </x:c>
      <x:c r="C502" s="73" t="str">
        <x:f>IF('전기원장'!A502="","",'전기원장'!B502)</x:f>
      </x:c>
      <x:c r="D502" s="74" t="str">
        <x:f>IF('전기원장'!A502="","",'전기원장'!C502)</x:f>
      </x:c>
      <x:c r="E502" s="73" t="str">
        <x:f>IF('전기원장'!A502="","",'전기원장'!D502)</x:f>
      </x:c>
      <x:c r="F502" s="73" t="str">
        <x:f>IF('전기원장'!A502="","",'전기원장'!E502)</x:f>
      </x:c>
      <x:c r="G502" s="75" t="str">
        <x:f>IF('전기원장'!A502="","",'전기원장'!H502)</x:f>
      </x:c>
      <x:c r="H502" s="73" t="str">
        <x:f>IF('전기원장'!A502="","",'전기원장'!I502)</x:f>
      </x:c>
      <x:c r="I502" s="73" t="str">
        <x:f>IF('전기원장'!A502="","",'전기원장'!J502)</x:f>
      </x:c>
      <x:c r="J502" s="73" t="str">
        <x:f>IF('전기원장'!A502="","",'전기원장'!K502)</x:f>
      </x:c>
      <x:c r="K502" s="73" t="str">
        <x:f>IF(B502="","",IF(COUNTIF($B$5:B502,B502)=1,COUNT($K$4:K501)+1,""))</x:f>
      </x:c>
      <x:c r="L502" s="85" t="str">
        <x:f>IF(B502="","",IF(COUNTIFS('계정비교'!$A$5:$A$1004,B502,'계정비교'!$H$5:$H$1004,"원인분석 대상")&gt;0,COUNT($L$4:L501)+1,""))</x:f>
      </x:c>
    </x:row>
    <x:row r="503">
      <x:c r="A503" s="73" t="str">
        <x:f>IF('전기원장'!A503="","","전기")</x:f>
      </x:c>
      <x:c r="B503" s="73" t="str">
        <x:f>IF('전기원장'!A503="","",'전기원장'!A503)</x:f>
      </x:c>
      <x:c r="C503" s="73" t="str">
        <x:f>IF('전기원장'!A503="","",'전기원장'!B503)</x:f>
      </x:c>
      <x:c r="D503" s="74" t="str">
        <x:f>IF('전기원장'!A503="","",'전기원장'!C503)</x:f>
      </x:c>
      <x:c r="E503" s="73" t="str">
        <x:f>IF('전기원장'!A503="","",'전기원장'!D503)</x:f>
      </x:c>
      <x:c r="F503" s="73" t="str">
        <x:f>IF('전기원장'!A503="","",'전기원장'!E503)</x:f>
      </x:c>
      <x:c r="G503" s="75" t="str">
        <x:f>IF('전기원장'!A503="","",'전기원장'!H503)</x:f>
      </x:c>
      <x:c r="H503" s="73" t="str">
        <x:f>IF('전기원장'!A503="","",'전기원장'!I503)</x:f>
      </x:c>
      <x:c r="I503" s="73" t="str">
        <x:f>IF('전기원장'!A503="","",'전기원장'!J503)</x:f>
      </x:c>
      <x:c r="J503" s="73" t="str">
        <x:f>IF('전기원장'!A503="","",'전기원장'!K503)</x:f>
      </x:c>
      <x:c r="K503" s="73" t="str">
        <x:f>IF(B503="","",IF(COUNTIF($B$5:B503,B503)=1,COUNT($K$4:K502)+1,""))</x:f>
      </x:c>
      <x:c r="L503" s="85" t="str">
        <x:f>IF(B503="","",IF(COUNTIFS('계정비교'!$A$5:$A$1004,B503,'계정비교'!$H$5:$H$1004,"원인분석 대상")&gt;0,COUNT($L$4:L502)+1,""))</x:f>
      </x:c>
    </x:row>
    <x:row r="504">
      <x:c r="A504" s="73" t="str">
        <x:f>IF('전기원장'!A504="","","전기")</x:f>
      </x:c>
      <x:c r="B504" s="73" t="str">
        <x:f>IF('전기원장'!A504="","",'전기원장'!A504)</x:f>
      </x:c>
      <x:c r="C504" s="73" t="str">
        <x:f>IF('전기원장'!A504="","",'전기원장'!B504)</x:f>
      </x:c>
      <x:c r="D504" s="74" t="str">
        <x:f>IF('전기원장'!A504="","",'전기원장'!C504)</x:f>
      </x:c>
      <x:c r="E504" s="73" t="str">
        <x:f>IF('전기원장'!A504="","",'전기원장'!D504)</x:f>
      </x:c>
      <x:c r="F504" s="73" t="str">
        <x:f>IF('전기원장'!A504="","",'전기원장'!E504)</x:f>
      </x:c>
      <x:c r="G504" s="75" t="str">
        <x:f>IF('전기원장'!A504="","",'전기원장'!H504)</x:f>
      </x:c>
      <x:c r="H504" s="73" t="str">
        <x:f>IF('전기원장'!A504="","",'전기원장'!I504)</x:f>
      </x:c>
      <x:c r="I504" s="73" t="str">
        <x:f>IF('전기원장'!A504="","",'전기원장'!J504)</x:f>
      </x:c>
      <x:c r="J504" s="73" t="str">
        <x:f>IF('전기원장'!A504="","",'전기원장'!K504)</x:f>
      </x:c>
      <x:c r="K504" s="73" t="str">
        <x:f>IF(B504="","",IF(COUNTIF($B$5:B504,B504)=1,COUNT($K$4:K503)+1,""))</x:f>
      </x:c>
      <x:c r="L504" s="85" t="str">
        <x:f>IF(B504="","",IF(COUNTIFS('계정비교'!$A$5:$A$1004,B504,'계정비교'!$H$5:$H$1004,"원인분석 대상")&gt;0,COUNT($L$4:L503)+1,""))</x:f>
      </x:c>
    </x:row>
    <x:row r="505">
      <x:c r="A505" s="73" t="str">
        <x:f>IF('전기원장'!A505="","","전기")</x:f>
      </x:c>
      <x:c r="B505" s="73" t="str">
        <x:f>IF('전기원장'!A505="","",'전기원장'!A505)</x:f>
      </x:c>
      <x:c r="C505" s="73" t="str">
        <x:f>IF('전기원장'!A505="","",'전기원장'!B505)</x:f>
      </x:c>
      <x:c r="D505" s="74" t="str">
        <x:f>IF('전기원장'!A505="","",'전기원장'!C505)</x:f>
      </x:c>
      <x:c r="E505" s="73" t="str">
        <x:f>IF('전기원장'!A505="","",'전기원장'!D505)</x:f>
      </x:c>
      <x:c r="F505" s="73" t="str">
        <x:f>IF('전기원장'!A505="","",'전기원장'!E505)</x:f>
      </x:c>
      <x:c r="G505" s="75" t="str">
        <x:f>IF('전기원장'!A505="","",'전기원장'!H505)</x:f>
      </x:c>
      <x:c r="H505" s="73" t="str">
        <x:f>IF('전기원장'!A505="","",'전기원장'!I505)</x:f>
      </x:c>
      <x:c r="I505" s="73" t="str">
        <x:f>IF('전기원장'!A505="","",'전기원장'!J505)</x:f>
      </x:c>
      <x:c r="J505" s="73" t="str">
        <x:f>IF('전기원장'!A505="","",'전기원장'!K505)</x:f>
      </x:c>
      <x:c r="K505" s="73" t="str">
        <x:f>IF(B505="","",IF(COUNTIF($B$5:B505,B505)=1,COUNT($K$4:K504)+1,""))</x:f>
      </x:c>
      <x:c r="L505" s="85" t="str">
        <x:f>IF(B505="","",IF(COUNTIFS('계정비교'!$A$5:$A$1004,B505,'계정비교'!$H$5:$H$1004,"원인분석 대상")&gt;0,COUNT($L$4:L504)+1,""))</x:f>
      </x:c>
    </x:row>
    <x:row r="506">
      <x:c r="A506" s="73" t="str">
        <x:f>IF('전기원장'!A506="","","전기")</x:f>
      </x:c>
      <x:c r="B506" s="73" t="str">
        <x:f>IF('전기원장'!A506="","",'전기원장'!A506)</x:f>
      </x:c>
      <x:c r="C506" s="73" t="str">
        <x:f>IF('전기원장'!A506="","",'전기원장'!B506)</x:f>
      </x:c>
      <x:c r="D506" s="74" t="str">
        <x:f>IF('전기원장'!A506="","",'전기원장'!C506)</x:f>
      </x:c>
      <x:c r="E506" s="73" t="str">
        <x:f>IF('전기원장'!A506="","",'전기원장'!D506)</x:f>
      </x:c>
      <x:c r="F506" s="73" t="str">
        <x:f>IF('전기원장'!A506="","",'전기원장'!E506)</x:f>
      </x:c>
      <x:c r="G506" s="75" t="str">
        <x:f>IF('전기원장'!A506="","",'전기원장'!H506)</x:f>
      </x:c>
      <x:c r="H506" s="73" t="str">
        <x:f>IF('전기원장'!A506="","",'전기원장'!I506)</x:f>
      </x:c>
      <x:c r="I506" s="73" t="str">
        <x:f>IF('전기원장'!A506="","",'전기원장'!J506)</x:f>
      </x:c>
      <x:c r="J506" s="73" t="str">
        <x:f>IF('전기원장'!A506="","",'전기원장'!K506)</x:f>
      </x:c>
      <x:c r="K506" s="73" t="str">
        <x:f>IF(B506="","",IF(COUNTIF($B$5:B506,B506)=1,COUNT($K$4:K505)+1,""))</x:f>
      </x:c>
      <x:c r="L506" s="85" t="str">
        <x:f>IF(B506="","",IF(COUNTIFS('계정비교'!$A$5:$A$1004,B506,'계정비교'!$H$5:$H$1004,"원인분석 대상")&gt;0,COUNT($L$4:L505)+1,""))</x:f>
      </x:c>
    </x:row>
    <x:row r="507">
      <x:c r="A507" s="73" t="str">
        <x:f>IF('전기원장'!A507="","","전기")</x:f>
      </x:c>
      <x:c r="B507" s="73" t="str">
        <x:f>IF('전기원장'!A507="","",'전기원장'!A507)</x:f>
      </x:c>
      <x:c r="C507" s="73" t="str">
        <x:f>IF('전기원장'!A507="","",'전기원장'!B507)</x:f>
      </x:c>
      <x:c r="D507" s="74" t="str">
        <x:f>IF('전기원장'!A507="","",'전기원장'!C507)</x:f>
      </x:c>
      <x:c r="E507" s="73" t="str">
        <x:f>IF('전기원장'!A507="","",'전기원장'!D507)</x:f>
      </x:c>
      <x:c r="F507" s="73" t="str">
        <x:f>IF('전기원장'!A507="","",'전기원장'!E507)</x:f>
      </x:c>
      <x:c r="G507" s="75" t="str">
        <x:f>IF('전기원장'!A507="","",'전기원장'!H507)</x:f>
      </x:c>
      <x:c r="H507" s="73" t="str">
        <x:f>IF('전기원장'!A507="","",'전기원장'!I507)</x:f>
      </x:c>
      <x:c r="I507" s="73" t="str">
        <x:f>IF('전기원장'!A507="","",'전기원장'!J507)</x:f>
      </x:c>
      <x:c r="J507" s="73" t="str">
        <x:f>IF('전기원장'!A507="","",'전기원장'!K507)</x:f>
      </x:c>
      <x:c r="K507" s="73" t="str">
        <x:f>IF(B507="","",IF(COUNTIF($B$5:B507,B507)=1,COUNT($K$4:K506)+1,""))</x:f>
      </x:c>
      <x:c r="L507" s="85" t="str">
        <x:f>IF(B507="","",IF(COUNTIFS('계정비교'!$A$5:$A$1004,B507,'계정비교'!$H$5:$H$1004,"원인분석 대상")&gt;0,COUNT($L$4:L506)+1,""))</x:f>
      </x:c>
    </x:row>
    <x:row r="508">
      <x:c r="A508" s="73" t="str">
        <x:f>IF('전기원장'!A508="","","전기")</x:f>
      </x:c>
      <x:c r="B508" s="73" t="str">
        <x:f>IF('전기원장'!A508="","",'전기원장'!A508)</x:f>
      </x:c>
      <x:c r="C508" s="73" t="str">
        <x:f>IF('전기원장'!A508="","",'전기원장'!B508)</x:f>
      </x:c>
      <x:c r="D508" s="74" t="str">
        <x:f>IF('전기원장'!A508="","",'전기원장'!C508)</x:f>
      </x:c>
      <x:c r="E508" s="73" t="str">
        <x:f>IF('전기원장'!A508="","",'전기원장'!D508)</x:f>
      </x:c>
      <x:c r="F508" s="73" t="str">
        <x:f>IF('전기원장'!A508="","",'전기원장'!E508)</x:f>
      </x:c>
      <x:c r="G508" s="75" t="str">
        <x:f>IF('전기원장'!A508="","",'전기원장'!H508)</x:f>
      </x:c>
      <x:c r="H508" s="73" t="str">
        <x:f>IF('전기원장'!A508="","",'전기원장'!I508)</x:f>
      </x:c>
      <x:c r="I508" s="73" t="str">
        <x:f>IF('전기원장'!A508="","",'전기원장'!J508)</x:f>
      </x:c>
      <x:c r="J508" s="73" t="str">
        <x:f>IF('전기원장'!A508="","",'전기원장'!K508)</x:f>
      </x:c>
      <x:c r="K508" s="73" t="str">
        <x:f>IF(B508="","",IF(COUNTIF($B$5:B508,B508)=1,COUNT($K$4:K507)+1,""))</x:f>
      </x:c>
      <x:c r="L508" s="85" t="str">
        <x:f>IF(B508="","",IF(COUNTIFS('계정비교'!$A$5:$A$1004,B508,'계정비교'!$H$5:$H$1004,"원인분석 대상")&gt;0,COUNT($L$4:L507)+1,""))</x:f>
      </x:c>
    </x:row>
    <x:row r="509">
      <x:c r="A509" s="73" t="str">
        <x:f>IF('전기원장'!A509="","","전기")</x:f>
      </x:c>
      <x:c r="B509" s="73" t="str">
        <x:f>IF('전기원장'!A509="","",'전기원장'!A509)</x:f>
      </x:c>
      <x:c r="C509" s="73" t="str">
        <x:f>IF('전기원장'!A509="","",'전기원장'!B509)</x:f>
      </x:c>
      <x:c r="D509" s="74" t="str">
        <x:f>IF('전기원장'!A509="","",'전기원장'!C509)</x:f>
      </x:c>
      <x:c r="E509" s="73" t="str">
        <x:f>IF('전기원장'!A509="","",'전기원장'!D509)</x:f>
      </x:c>
      <x:c r="F509" s="73" t="str">
        <x:f>IF('전기원장'!A509="","",'전기원장'!E509)</x:f>
      </x:c>
      <x:c r="G509" s="75" t="str">
        <x:f>IF('전기원장'!A509="","",'전기원장'!H509)</x:f>
      </x:c>
      <x:c r="H509" s="73" t="str">
        <x:f>IF('전기원장'!A509="","",'전기원장'!I509)</x:f>
      </x:c>
      <x:c r="I509" s="73" t="str">
        <x:f>IF('전기원장'!A509="","",'전기원장'!J509)</x:f>
      </x:c>
      <x:c r="J509" s="73" t="str">
        <x:f>IF('전기원장'!A509="","",'전기원장'!K509)</x:f>
      </x:c>
      <x:c r="K509" s="73" t="str">
        <x:f>IF(B509="","",IF(COUNTIF($B$5:B509,B509)=1,COUNT($K$4:K508)+1,""))</x:f>
      </x:c>
      <x:c r="L509" s="85" t="str">
        <x:f>IF(B509="","",IF(COUNTIFS('계정비교'!$A$5:$A$1004,B509,'계정비교'!$H$5:$H$1004,"원인분석 대상")&gt;0,COUNT($L$4:L508)+1,""))</x:f>
      </x:c>
    </x:row>
    <x:row r="510">
      <x:c r="A510" s="73" t="str">
        <x:f>IF('전기원장'!A510="","","전기")</x:f>
      </x:c>
      <x:c r="B510" s="73" t="str">
        <x:f>IF('전기원장'!A510="","",'전기원장'!A510)</x:f>
      </x:c>
      <x:c r="C510" s="73" t="str">
        <x:f>IF('전기원장'!A510="","",'전기원장'!B510)</x:f>
      </x:c>
      <x:c r="D510" s="74" t="str">
        <x:f>IF('전기원장'!A510="","",'전기원장'!C510)</x:f>
      </x:c>
      <x:c r="E510" s="73" t="str">
        <x:f>IF('전기원장'!A510="","",'전기원장'!D510)</x:f>
      </x:c>
      <x:c r="F510" s="73" t="str">
        <x:f>IF('전기원장'!A510="","",'전기원장'!E510)</x:f>
      </x:c>
      <x:c r="G510" s="75" t="str">
        <x:f>IF('전기원장'!A510="","",'전기원장'!H510)</x:f>
      </x:c>
      <x:c r="H510" s="73" t="str">
        <x:f>IF('전기원장'!A510="","",'전기원장'!I510)</x:f>
      </x:c>
      <x:c r="I510" s="73" t="str">
        <x:f>IF('전기원장'!A510="","",'전기원장'!J510)</x:f>
      </x:c>
      <x:c r="J510" s="73" t="str">
        <x:f>IF('전기원장'!A510="","",'전기원장'!K510)</x:f>
      </x:c>
      <x:c r="K510" s="73" t="str">
        <x:f>IF(B510="","",IF(COUNTIF($B$5:B510,B510)=1,COUNT($K$4:K509)+1,""))</x:f>
      </x:c>
      <x:c r="L510" s="85" t="str">
        <x:f>IF(B510="","",IF(COUNTIFS('계정비교'!$A$5:$A$1004,B510,'계정비교'!$H$5:$H$1004,"원인분석 대상")&gt;0,COUNT($L$4:L509)+1,""))</x:f>
      </x:c>
    </x:row>
    <x:row r="511">
      <x:c r="A511" s="73" t="str">
        <x:f>IF('전기원장'!A511="","","전기")</x:f>
      </x:c>
      <x:c r="B511" s="73" t="str">
        <x:f>IF('전기원장'!A511="","",'전기원장'!A511)</x:f>
      </x:c>
      <x:c r="C511" s="73" t="str">
        <x:f>IF('전기원장'!A511="","",'전기원장'!B511)</x:f>
      </x:c>
      <x:c r="D511" s="74" t="str">
        <x:f>IF('전기원장'!A511="","",'전기원장'!C511)</x:f>
      </x:c>
      <x:c r="E511" s="73" t="str">
        <x:f>IF('전기원장'!A511="","",'전기원장'!D511)</x:f>
      </x:c>
      <x:c r="F511" s="73" t="str">
        <x:f>IF('전기원장'!A511="","",'전기원장'!E511)</x:f>
      </x:c>
      <x:c r="G511" s="75" t="str">
        <x:f>IF('전기원장'!A511="","",'전기원장'!H511)</x:f>
      </x:c>
      <x:c r="H511" s="73" t="str">
        <x:f>IF('전기원장'!A511="","",'전기원장'!I511)</x:f>
      </x:c>
      <x:c r="I511" s="73" t="str">
        <x:f>IF('전기원장'!A511="","",'전기원장'!J511)</x:f>
      </x:c>
      <x:c r="J511" s="73" t="str">
        <x:f>IF('전기원장'!A511="","",'전기원장'!K511)</x:f>
      </x:c>
      <x:c r="K511" s="73" t="str">
        <x:f>IF(B511="","",IF(COUNTIF($B$5:B511,B511)=1,COUNT($K$4:K510)+1,""))</x:f>
      </x:c>
      <x:c r="L511" s="85" t="str">
        <x:f>IF(B511="","",IF(COUNTIFS('계정비교'!$A$5:$A$1004,B511,'계정비교'!$H$5:$H$1004,"원인분석 대상")&gt;0,COUNT($L$4:L510)+1,""))</x:f>
      </x:c>
    </x:row>
    <x:row r="512">
      <x:c r="A512" s="73" t="str">
        <x:f>IF('전기원장'!A512="","","전기")</x:f>
      </x:c>
      <x:c r="B512" s="73" t="str">
        <x:f>IF('전기원장'!A512="","",'전기원장'!A512)</x:f>
      </x:c>
      <x:c r="C512" s="73" t="str">
        <x:f>IF('전기원장'!A512="","",'전기원장'!B512)</x:f>
      </x:c>
      <x:c r="D512" s="74" t="str">
        <x:f>IF('전기원장'!A512="","",'전기원장'!C512)</x:f>
      </x:c>
      <x:c r="E512" s="73" t="str">
        <x:f>IF('전기원장'!A512="","",'전기원장'!D512)</x:f>
      </x:c>
      <x:c r="F512" s="73" t="str">
        <x:f>IF('전기원장'!A512="","",'전기원장'!E512)</x:f>
      </x:c>
      <x:c r="G512" s="75" t="str">
        <x:f>IF('전기원장'!A512="","",'전기원장'!H512)</x:f>
      </x:c>
      <x:c r="H512" s="73" t="str">
        <x:f>IF('전기원장'!A512="","",'전기원장'!I512)</x:f>
      </x:c>
      <x:c r="I512" s="73" t="str">
        <x:f>IF('전기원장'!A512="","",'전기원장'!J512)</x:f>
      </x:c>
      <x:c r="J512" s="73" t="str">
        <x:f>IF('전기원장'!A512="","",'전기원장'!K512)</x:f>
      </x:c>
      <x:c r="K512" s="73" t="str">
        <x:f>IF(B512="","",IF(COUNTIF($B$5:B512,B512)=1,COUNT($K$4:K511)+1,""))</x:f>
      </x:c>
      <x:c r="L512" s="85" t="str">
        <x:f>IF(B512="","",IF(COUNTIFS('계정비교'!$A$5:$A$1004,B512,'계정비교'!$H$5:$H$1004,"원인분석 대상")&gt;0,COUNT($L$4:L511)+1,""))</x:f>
      </x:c>
    </x:row>
    <x:row r="513">
      <x:c r="A513" s="73" t="str">
        <x:f>IF('전기원장'!A513="","","전기")</x:f>
      </x:c>
      <x:c r="B513" s="73" t="str">
        <x:f>IF('전기원장'!A513="","",'전기원장'!A513)</x:f>
      </x:c>
      <x:c r="C513" s="73" t="str">
        <x:f>IF('전기원장'!A513="","",'전기원장'!B513)</x:f>
      </x:c>
      <x:c r="D513" s="74" t="str">
        <x:f>IF('전기원장'!A513="","",'전기원장'!C513)</x:f>
      </x:c>
      <x:c r="E513" s="73" t="str">
        <x:f>IF('전기원장'!A513="","",'전기원장'!D513)</x:f>
      </x:c>
      <x:c r="F513" s="73" t="str">
        <x:f>IF('전기원장'!A513="","",'전기원장'!E513)</x:f>
      </x:c>
      <x:c r="G513" s="75" t="str">
        <x:f>IF('전기원장'!A513="","",'전기원장'!H513)</x:f>
      </x:c>
      <x:c r="H513" s="73" t="str">
        <x:f>IF('전기원장'!A513="","",'전기원장'!I513)</x:f>
      </x:c>
      <x:c r="I513" s="73" t="str">
        <x:f>IF('전기원장'!A513="","",'전기원장'!J513)</x:f>
      </x:c>
      <x:c r="J513" s="73" t="str">
        <x:f>IF('전기원장'!A513="","",'전기원장'!K513)</x:f>
      </x:c>
      <x:c r="K513" s="73" t="str">
        <x:f>IF(B513="","",IF(COUNTIF($B$5:B513,B513)=1,COUNT($K$4:K512)+1,""))</x:f>
      </x:c>
      <x:c r="L513" s="85" t="str">
        <x:f>IF(B513="","",IF(COUNTIFS('계정비교'!$A$5:$A$1004,B513,'계정비교'!$H$5:$H$1004,"원인분석 대상")&gt;0,COUNT($L$4:L512)+1,""))</x:f>
      </x:c>
    </x:row>
    <x:row r="514">
      <x:c r="A514" s="73" t="str">
        <x:f>IF('전기원장'!A514="","","전기")</x:f>
      </x:c>
      <x:c r="B514" s="73" t="str">
        <x:f>IF('전기원장'!A514="","",'전기원장'!A514)</x:f>
      </x:c>
      <x:c r="C514" s="73" t="str">
        <x:f>IF('전기원장'!A514="","",'전기원장'!B514)</x:f>
      </x:c>
      <x:c r="D514" s="74" t="str">
        <x:f>IF('전기원장'!A514="","",'전기원장'!C514)</x:f>
      </x:c>
      <x:c r="E514" s="73" t="str">
        <x:f>IF('전기원장'!A514="","",'전기원장'!D514)</x:f>
      </x:c>
      <x:c r="F514" s="73" t="str">
        <x:f>IF('전기원장'!A514="","",'전기원장'!E514)</x:f>
      </x:c>
      <x:c r="G514" s="75" t="str">
        <x:f>IF('전기원장'!A514="","",'전기원장'!H514)</x:f>
      </x:c>
      <x:c r="H514" s="73" t="str">
        <x:f>IF('전기원장'!A514="","",'전기원장'!I514)</x:f>
      </x:c>
      <x:c r="I514" s="73" t="str">
        <x:f>IF('전기원장'!A514="","",'전기원장'!J514)</x:f>
      </x:c>
      <x:c r="J514" s="73" t="str">
        <x:f>IF('전기원장'!A514="","",'전기원장'!K514)</x:f>
      </x:c>
      <x:c r="K514" s="73" t="str">
        <x:f>IF(B514="","",IF(COUNTIF($B$5:B514,B514)=1,COUNT($K$4:K513)+1,""))</x:f>
      </x:c>
      <x:c r="L514" s="85" t="str">
        <x:f>IF(B514="","",IF(COUNTIFS('계정비교'!$A$5:$A$1004,B514,'계정비교'!$H$5:$H$1004,"원인분석 대상")&gt;0,COUNT($L$4:L513)+1,""))</x:f>
      </x:c>
    </x:row>
    <x:row r="515">
      <x:c r="A515" s="73" t="str">
        <x:f>IF('전기원장'!A515="","","전기")</x:f>
      </x:c>
      <x:c r="B515" s="73" t="str">
        <x:f>IF('전기원장'!A515="","",'전기원장'!A515)</x:f>
      </x:c>
      <x:c r="C515" s="73" t="str">
        <x:f>IF('전기원장'!A515="","",'전기원장'!B515)</x:f>
      </x:c>
      <x:c r="D515" s="74" t="str">
        <x:f>IF('전기원장'!A515="","",'전기원장'!C515)</x:f>
      </x:c>
      <x:c r="E515" s="73" t="str">
        <x:f>IF('전기원장'!A515="","",'전기원장'!D515)</x:f>
      </x:c>
      <x:c r="F515" s="73" t="str">
        <x:f>IF('전기원장'!A515="","",'전기원장'!E515)</x:f>
      </x:c>
      <x:c r="G515" s="75" t="str">
        <x:f>IF('전기원장'!A515="","",'전기원장'!H515)</x:f>
      </x:c>
      <x:c r="H515" s="73" t="str">
        <x:f>IF('전기원장'!A515="","",'전기원장'!I515)</x:f>
      </x:c>
      <x:c r="I515" s="73" t="str">
        <x:f>IF('전기원장'!A515="","",'전기원장'!J515)</x:f>
      </x:c>
      <x:c r="J515" s="73" t="str">
        <x:f>IF('전기원장'!A515="","",'전기원장'!K515)</x:f>
      </x:c>
      <x:c r="K515" s="73" t="str">
        <x:f>IF(B515="","",IF(COUNTIF($B$5:B515,B515)=1,COUNT($K$4:K514)+1,""))</x:f>
      </x:c>
      <x:c r="L515" s="85" t="str">
        <x:f>IF(B515="","",IF(COUNTIFS('계정비교'!$A$5:$A$1004,B515,'계정비교'!$H$5:$H$1004,"원인분석 대상")&gt;0,COUNT($L$4:L514)+1,""))</x:f>
      </x:c>
    </x:row>
    <x:row r="516">
      <x:c r="A516" s="73" t="str">
        <x:f>IF('전기원장'!A516="","","전기")</x:f>
      </x:c>
      <x:c r="B516" s="73" t="str">
        <x:f>IF('전기원장'!A516="","",'전기원장'!A516)</x:f>
      </x:c>
      <x:c r="C516" s="73" t="str">
        <x:f>IF('전기원장'!A516="","",'전기원장'!B516)</x:f>
      </x:c>
      <x:c r="D516" s="74" t="str">
        <x:f>IF('전기원장'!A516="","",'전기원장'!C516)</x:f>
      </x:c>
      <x:c r="E516" s="73" t="str">
        <x:f>IF('전기원장'!A516="","",'전기원장'!D516)</x:f>
      </x:c>
      <x:c r="F516" s="73" t="str">
        <x:f>IF('전기원장'!A516="","",'전기원장'!E516)</x:f>
      </x:c>
      <x:c r="G516" s="75" t="str">
        <x:f>IF('전기원장'!A516="","",'전기원장'!H516)</x:f>
      </x:c>
      <x:c r="H516" s="73" t="str">
        <x:f>IF('전기원장'!A516="","",'전기원장'!I516)</x:f>
      </x:c>
      <x:c r="I516" s="73" t="str">
        <x:f>IF('전기원장'!A516="","",'전기원장'!J516)</x:f>
      </x:c>
      <x:c r="J516" s="73" t="str">
        <x:f>IF('전기원장'!A516="","",'전기원장'!K516)</x:f>
      </x:c>
      <x:c r="K516" s="73" t="str">
        <x:f>IF(B516="","",IF(COUNTIF($B$5:B516,B516)=1,COUNT($K$4:K515)+1,""))</x:f>
      </x:c>
      <x:c r="L516" s="85" t="str">
        <x:f>IF(B516="","",IF(COUNTIFS('계정비교'!$A$5:$A$1004,B516,'계정비교'!$H$5:$H$1004,"원인분석 대상")&gt;0,COUNT($L$4:L515)+1,""))</x:f>
      </x:c>
    </x:row>
    <x:row r="517">
      <x:c r="A517" s="73" t="str">
        <x:f>IF('전기원장'!A517="","","전기")</x:f>
      </x:c>
      <x:c r="B517" s="73" t="str">
        <x:f>IF('전기원장'!A517="","",'전기원장'!A517)</x:f>
      </x:c>
      <x:c r="C517" s="73" t="str">
        <x:f>IF('전기원장'!A517="","",'전기원장'!B517)</x:f>
      </x:c>
      <x:c r="D517" s="74" t="str">
        <x:f>IF('전기원장'!A517="","",'전기원장'!C517)</x:f>
      </x:c>
      <x:c r="E517" s="73" t="str">
        <x:f>IF('전기원장'!A517="","",'전기원장'!D517)</x:f>
      </x:c>
      <x:c r="F517" s="73" t="str">
        <x:f>IF('전기원장'!A517="","",'전기원장'!E517)</x:f>
      </x:c>
      <x:c r="G517" s="75" t="str">
        <x:f>IF('전기원장'!A517="","",'전기원장'!H517)</x:f>
      </x:c>
      <x:c r="H517" s="73" t="str">
        <x:f>IF('전기원장'!A517="","",'전기원장'!I517)</x:f>
      </x:c>
      <x:c r="I517" s="73" t="str">
        <x:f>IF('전기원장'!A517="","",'전기원장'!J517)</x:f>
      </x:c>
      <x:c r="J517" s="73" t="str">
        <x:f>IF('전기원장'!A517="","",'전기원장'!K517)</x:f>
      </x:c>
      <x:c r="K517" s="73" t="str">
        <x:f>IF(B517="","",IF(COUNTIF($B$5:B517,B517)=1,COUNT($K$4:K516)+1,""))</x:f>
      </x:c>
      <x:c r="L517" s="85" t="str">
        <x:f>IF(B517="","",IF(COUNTIFS('계정비교'!$A$5:$A$1004,B517,'계정비교'!$H$5:$H$1004,"원인분석 대상")&gt;0,COUNT($L$4:L516)+1,""))</x:f>
      </x:c>
    </x:row>
    <x:row r="518">
      <x:c r="A518" s="73" t="str">
        <x:f>IF('전기원장'!A518="","","전기")</x:f>
      </x:c>
      <x:c r="B518" s="73" t="str">
        <x:f>IF('전기원장'!A518="","",'전기원장'!A518)</x:f>
      </x:c>
      <x:c r="C518" s="73" t="str">
        <x:f>IF('전기원장'!A518="","",'전기원장'!B518)</x:f>
      </x:c>
      <x:c r="D518" s="74" t="str">
        <x:f>IF('전기원장'!A518="","",'전기원장'!C518)</x:f>
      </x:c>
      <x:c r="E518" s="73" t="str">
        <x:f>IF('전기원장'!A518="","",'전기원장'!D518)</x:f>
      </x:c>
      <x:c r="F518" s="73" t="str">
        <x:f>IF('전기원장'!A518="","",'전기원장'!E518)</x:f>
      </x:c>
      <x:c r="G518" s="75" t="str">
        <x:f>IF('전기원장'!A518="","",'전기원장'!H518)</x:f>
      </x:c>
      <x:c r="H518" s="73" t="str">
        <x:f>IF('전기원장'!A518="","",'전기원장'!I518)</x:f>
      </x:c>
      <x:c r="I518" s="73" t="str">
        <x:f>IF('전기원장'!A518="","",'전기원장'!J518)</x:f>
      </x:c>
      <x:c r="J518" s="73" t="str">
        <x:f>IF('전기원장'!A518="","",'전기원장'!K518)</x:f>
      </x:c>
      <x:c r="K518" s="73" t="str">
        <x:f>IF(B518="","",IF(COUNTIF($B$5:B518,B518)=1,COUNT($K$4:K517)+1,""))</x:f>
      </x:c>
      <x:c r="L518" s="85" t="str">
        <x:f>IF(B518="","",IF(COUNTIFS('계정비교'!$A$5:$A$1004,B518,'계정비교'!$H$5:$H$1004,"원인분석 대상")&gt;0,COUNT($L$4:L517)+1,""))</x:f>
      </x:c>
    </x:row>
    <x:row r="519">
      <x:c r="A519" s="73" t="str">
        <x:f>IF('전기원장'!A519="","","전기")</x:f>
      </x:c>
      <x:c r="B519" s="73" t="str">
        <x:f>IF('전기원장'!A519="","",'전기원장'!A519)</x:f>
      </x:c>
      <x:c r="C519" s="73" t="str">
        <x:f>IF('전기원장'!A519="","",'전기원장'!B519)</x:f>
      </x:c>
      <x:c r="D519" s="74" t="str">
        <x:f>IF('전기원장'!A519="","",'전기원장'!C519)</x:f>
      </x:c>
      <x:c r="E519" s="73" t="str">
        <x:f>IF('전기원장'!A519="","",'전기원장'!D519)</x:f>
      </x:c>
      <x:c r="F519" s="73" t="str">
        <x:f>IF('전기원장'!A519="","",'전기원장'!E519)</x:f>
      </x:c>
      <x:c r="G519" s="75" t="str">
        <x:f>IF('전기원장'!A519="","",'전기원장'!H519)</x:f>
      </x:c>
      <x:c r="H519" s="73" t="str">
        <x:f>IF('전기원장'!A519="","",'전기원장'!I519)</x:f>
      </x:c>
      <x:c r="I519" s="73" t="str">
        <x:f>IF('전기원장'!A519="","",'전기원장'!J519)</x:f>
      </x:c>
      <x:c r="J519" s="73" t="str">
        <x:f>IF('전기원장'!A519="","",'전기원장'!K519)</x:f>
      </x:c>
      <x:c r="K519" s="73" t="str">
        <x:f>IF(B519="","",IF(COUNTIF($B$5:B519,B519)=1,COUNT($K$4:K518)+1,""))</x:f>
      </x:c>
      <x:c r="L519" s="85" t="str">
        <x:f>IF(B519="","",IF(COUNTIFS('계정비교'!$A$5:$A$1004,B519,'계정비교'!$H$5:$H$1004,"원인분석 대상")&gt;0,COUNT($L$4:L518)+1,""))</x:f>
      </x:c>
    </x:row>
    <x:row r="520">
      <x:c r="A520" s="73" t="str">
        <x:f>IF('전기원장'!A520="","","전기")</x:f>
      </x:c>
      <x:c r="B520" s="73" t="str">
        <x:f>IF('전기원장'!A520="","",'전기원장'!A520)</x:f>
      </x:c>
      <x:c r="C520" s="73" t="str">
        <x:f>IF('전기원장'!A520="","",'전기원장'!B520)</x:f>
      </x:c>
      <x:c r="D520" s="74" t="str">
        <x:f>IF('전기원장'!A520="","",'전기원장'!C520)</x:f>
      </x:c>
      <x:c r="E520" s="73" t="str">
        <x:f>IF('전기원장'!A520="","",'전기원장'!D520)</x:f>
      </x:c>
      <x:c r="F520" s="73" t="str">
        <x:f>IF('전기원장'!A520="","",'전기원장'!E520)</x:f>
      </x:c>
      <x:c r="G520" s="75" t="str">
        <x:f>IF('전기원장'!A520="","",'전기원장'!H520)</x:f>
      </x:c>
      <x:c r="H520" s="73" t="str">
        <x:f>IF('전기원장'!A520="","",'전기원장'!I520)</x:f>
      </x:c>
      <x:c r="I520" s="73" t="str">
        <x:f>IF('전기원장'!A520="","",'전기원장'!J520)</x:f>
      </x:c>
      <x:c r="J520" s="73" t="str">
        <x:f>IF('전기원장'!A520="","",'전기원장'!K520)</x:f>
      </x:c>
      <x:c r="K520" s="73" t="str">
        <x:f>IF(B520="","",IF(COUNTIF($B$5:B520,B520)=1,COUNT($K$4:K519)+1,""))</x:f>
      </x:c>
      <x:c r="L520" s="85" t="str">
        <x:f>IF(B520="","",IF(COUNTIFS('계정비교'!$A$5:$A$1004,B520,'계정비교'!$H$5:$H$1004,"원인분석 대상")&gt;0,COUNT($L$4:L519)+1,""))</x:f>
      </x:c>
    </x:row>
    <x:row r="521">
      <x:c r="A521" s="73" t="str">
        <x:f>IF('전기원장'!A521="","","전기")</x:f>
      </x:c>
      <x:c r="B521" s="73" t="str">
        <x:f>IF('전기원장'!A521="","",'전기원장'!A521)</x:f>
      </x:c>
      <x:c r="C521" s="73" t="str">
        <x:f>IF('전기원장'!A521="","",'전기원장'!B521)</x:f>
      </x:c>
      <x:c r="D521" s="74" t="str">
        <x:f>IF('전기원장'!A521="","",'전기원장'!C521)</x:f>
      </x:c>
      <x:c r="E521" s="73" t="str">
        <x:f>IF('전기원장'!A521="","",'전기원장'!D521)</x:f>
      </x:c>
      <x:c r="F521" s="73" t="str">
        <x:f>IF('전기원장'!A521="","",'전기원장'!E521)</x:f>
      </x:c>
      <x:c r="G521" s="75" t="str">
        <x:f>IF('전기원장'!A521="","",'전기원장'!H521)</x:f>
      </x:c>
      <x:c r="H521" s="73" t="str">
        <x:f>IF('전기원장'!A521="","",'전기원장'!I521)</x:f>
      </x:c>
      <x:c r="I521" s="73" t="str">
        <x:f>IF('전기원장'!A521="","",'전기원장'!J521)</x:f>
      </x:c>
      <x:c r="J521" s="73" t="str">
        <x:f>IF('전기원장'!A521="","",'전기원장'!K521)</x:f>
      </x:c>
      <x:c r="K521" s="73" t="str">
        <x:f>IF(B521="","",IF(COUNTIF($B$5:B521,B521)=1,COUNT($K$4:K520)+1,""))</x:f>
      </x:c>
      <x:c r="L521" s="85" t="str">
        <x:f>IF(B521="","",IF(COUNTIFS('계정비교'!$A$5:$A$1004,B521,'계정비교'!$H$5:$H$1004,"원인분석 대상")&gt;0,COUNT($L$4:L520)+1,""))</x:f>
      </x:c>
    </x:row>
    <x:row r="522">
      <x:c r="A522" s="73" t="str">
        <x:f>IF('전기원장'!A522="","","전기")</x:f>
      </x:c>
      <x:c r="B522" s="73" t="str">
        <x:f>IF('전기원장'!A522="","",'전기원장'!A522)</x:f>
      </x:c>
      <x:c r="C522" s="73" t="str">
        <x:f>IF('전기원장'!A522="","",'전기원장'!B522)</x:f>
      </x:c>
      <x:c r="D522" s="74" t="str">
        <x:f>IF('전기원장'!A522="","",'전기원장'!C522)</x:f>
      </x:c>
      <x:c r="E522" s="73" t="str">
        <x:f>IF('전기원장'!A522="","",'전기원장'!D522)</x:f>
      </x:c>
      <x:c r="F522" s="73" t="str">
        <x:f>IF('전기원장'!A522="","",'전기원장'!E522)</x:f>
      </x:c>
      <x:c r="G522" s="75" t="str">
        <x:f>IF('전기원장'!A522="","",'전기원장'!H522)</x:f>
      </x:c>
      <x:c r="H522" s="73" t="str">
        <x:f>IF('전기원장'!A522="","",'전기원장'!I522)</x:f>
      </x:c>
      <x:c r="I522" s="73" t="str">
        <x:f>IF('전기원장'!A522="","",'전기원장'!J522)</x:f>
      </x:c>
      <x:c r="J522" s="73" t="str">
        <x:f>IF('전기원장'!A522="","",'전기원장'!K522)</x:f>
      </x:c>
      <x:c r="K522" s="73" t="str">
        <x:f>IF(B522="","",IF(COUNTIF($B$5:B522,B522)=1,COUNT($K$4:K521)+1,""))</x:f>
      </x:c>
      <x:c r="L522" s="85" t="str">
        <x:f>IF(B522="","",IF(COUNTIFS('계정비교'!$A$5:$A$1004,B522,'계정비교'!$H$5:$H$1004,"원인분석 대상")&gt;0,COUNT($L$4:L521)+1,""))</x:f>
      </x:c>
    </x:row>
    <x:row r="523">
      <x:c r="A523" s="73" t="str">
        <x:f>IF('전기원장'!A523="","","전기")</x:f>
      </x:c>
      <x:c r="B523" s="73" t="str">
        <x:f>IF('전기원장'!A523="","",'전기원장'!A523)</x:f>
      </x:c>
      <x:c r="C523" s="73" t="str">
        <x:f>IF('전기원장'!A523="","",'전기원장'!B523)</x:f>
      </x:c>
      <x:c r="D523" s="74" t="str">
        <x:f>IF('전기원장'!A523="","",'전기원장'!C523)</x:f>
      </x:c>
      <x:c r="E523" s="73" t="str">
        <x:f>IF('전기원장'!A523="","",'전기원장'!D523)</x:f>
      </x:c>
      <x:c r="F523" s="73" t="str">
        <x:f>IF('전기원장'!A523="","",'전기원장'!E523)</x:f>
      </x:c>
      <x:c r="G523" s="75" t="str">
        <x:f>IF('전기원장'!A523="","",'전기원장'!H523)</x:f>
      </x:c>
      <x:c r="H523" s="73" t="str">
        <x:f>IF('전기원장'!A523="","",'전기원장'!I523)</x:f>
      </x:c>
      <x:c r="I523" s="73" t="str">
        <x:f>IF('전기원장'!A523="","",'전기원장'!J523)</x:f>
      </x:c>
      <x:c r="J523" s="73" t="str">
        <x:f>IF('전기원장'!A523="","",'전기원장'!K523)</x:f>
      </x:c>
      <x:c r="K523" s="73" t="str">
        <x:f>IF(B523="","",IF(COUNTIF($B$5:B523,B523)=1,COUNT($K$4:K522)+1,""))</x:f>
      </x:c>
      <x:c r="L523" s="85" t="str">
        <x:f>IF(B523="","",IF(COUNTIFS('계정비교'!$A$5:$A$1004,B523,'계정비교'!$H$5:$H$1004,"원인분석 대상")&gt;0,COUNT($L$4:L522)+1,""))</x:f>
      </x:c>
    </x:row>
    <x:row r="524">
      <x:c r="A524" s="73" t="str">
        <x:f>IF('전기원장'!A524="","","전기")</x:f>
      </x:c>
      <x:c r="B524" s="73" t="str">
        <x:f>IF('전기원장'!A524="","",'전기원장'!A524)</x:f>
      </x:c>
      <x:c r="C524" s="73" t="str">
        <x:f>IF('전기원장'!A524="","",'전기원장'!B524)</x:f>
      </x:c>
      <x:c r="D524" s="74" t="str">
        <x:f>IF('전기원장'!A524="","",'전기원장'!C524)</x:f>
      </x:c>
      <x:c r="E524" s="73" t="str">
        <x:f>IF('전기원장'!A524="","",'전기원장'!D524)</x:f>
      </x:c>
      <x:c r="F524" s="73" t="str">
        <x:f>IF('전기원장'!A524="","",'전기원장'!E524)</x:f>
      </x:c>
      <x:c r="G524" s="75" t="str">
        <x:f>IF('전기원장'!A524="","",'전기원장'!H524)</x:f>
      </x:c>
      <x:c r="H524" s="73" t="str">
        <x:f>IF('전기원장'!A524="","",'전기원장'!I524)</x:f>
      </x:c>
      <x:c r="I524" s="73" t="str">
        <x:f>IF('전기원장'!A524="","",'전기원장'!J524)</x:f>
      </x:c>
      <x:c r="J524" s="73" t="str">
        <x:f>IF('전기원장'!A524="","",'전기원장'!K524)</x:f>
      </x:c>
      <x:c r="K524" s="73" t="str">
        <x:f>IF(B524="","",IF(COUNTIF($B$5:B524,B524)=1,COUNT($K$4:K523)+1,""))</x:f>
      </x:c>
      <x:c r="L524" s="85" t="str">
        <x:f>IF(B524="","",IF(COUNTIFS('계정비교'!$A$5:$A$1004,B524,'계정비교'!$H$5:$H$1004,"원인분석 대상")&gt;0,COUNT($L$4:L523)+1,""))</x:f>
      </x:c>
    </x:row>
    <x:row r="525">
      <x:c r="A525" s="73" t="str">
        <x:f>IF('전기원장'!A525="","","전기")</x:f>
      </x:c>
      <x:c r="B525" s="73" t="str">
        <x:f>IF('전기원장'!A525="","",'전기원장'!A525)</x:f>
      </x:c>
      <x:c r="C525" s="73" t="str">
        <x:f>IF('전기원장'!A525="","",'전기원장'!B525)</x:f>
      </x:c>
      <x:c r="D525" s="74" t="str">
        <x:f>IF('전기원장'!A525="","",'전기원장'!C525)</x:f>
      </x:c>
      <x:c r="E525" s="73" t="str">
        <x:f>IF('전기원장'!A525="","",'전기원장'!D525)</x:f>
      </x:c>
      <x:c r="F525" s="73" t="str">
        <x:f>IF('전기원장'!A525="","",'전기원장'!E525)</x:f>
      </x:c>
      <x:c r="G525" s="75" t="str">
        <x:f>IF('전기원장'!A525="","",'전기원장'!H525)</x:f>
      </x:c>
      <x:c r="H525" s="73" t="str">
        <x:f>IF('전기원장'!A525="","",'전기원장'!I525)</x:f>
      </x:c>
      <x:c r="I525" s="73" t="str">
        <x:f>IF('전기원장'!A525="","",'전기원장'!J525)</x:f>
      </x:c>
      <x:c r="J525" s="73" t="str">
        <x:f>IF('전기원장'!A525="","",'전기원장'!K525)</x:f>
      </x:c>
      <x:c r="K525" s="73" t="str">
        <x:f>IF(B525="","",IF(COUNTIF($B$5:B525,B525)=1,COUNT($K$4:K524)+1,""))</x:f>
      </x:c>
      <x:c r="L525" s="85" t="str">
        <x:f>IF(B525="","",IF(COUNTIFS('계정비교'!$A$5:$A$1004,B525,'계정비교'!$H$5:$H$1004,"원인분석 대상")&gt;0,COUNT($L$4:L524)+1,""))</x:f>
      </x:c>
    </x:row>
    <x:row r="526">
      <x:c r="A526" s="73" t="str">
        <x:f>IF('전기원장'!A526="","","전기")</x:f>
      </x:c>
      <x:c r="B526" s="73" t="str">
        <x:f>IF('전기원장'!A526="","",'전기원장'!A526)</x:f>
      </x:c>
      <x:c r="C526" s="73" t="str">
        <x:f>IF('전기원장'!A526="","",'전기원장'!B526)</x:f>
      </x:c>
      <x:c r="D526" s="74" t="str">
        <x:f>IF('전기원장'!A526="","",'전기원장'!C526)</x:f>
      </x:c>
      <x:c r="E526" s="73" t="str">
        <x:f>IF('전기원장'!A526="","",'전기원장'!D526)</x:f>
      </x:c>
      <x:c r="F526" s="73" t="str">
        <x:f>IF('전기원장'!A526="","",'전기원장'!E526)</x:f>
      </x:c>
      <x:c r="G526" s="75" t="str">
        <x:f>IF('전기원장'!A526="","",'전기원장'!H526)</x:f>
      </x:c>
      <x:c r="H526" s="73" t="str">
        <x:f>IF('전기원장'!A526="","",'전기원장'!I526)</x:f>
      </x:c>
      <x:c r="I526" s="73" t="str">
        <x:f>IF('전기원장'!A526="","",'전기원장'!J526)</x:f>
      </x:c>
      <x:c r="J526" s="73" t="str">
        <x:f>IF('전기원장'!A526="","",'전기원장'!K526)</x:f>
      </x:c>
      <x:c r="K526" s="73" t="str">
        <x:f>IF(B526="","",IF(COUNTIF($B$5:B526,B526)=1,COUNT($K$4:K525)+1,""))</x:f>
      </x:c>
      <x:c r="L526" s="85" t="str">
        <x:f>IF(B526="","",IF(COUNTIFS('계정비교'!$A$5:$A$1004,B526,'계정비교'!$H$5:$H$1004,"원인분석 대상")&gt;0,COUNT($L$4:L525)+1,""))</x:f>
      </x:c>
    </x:row>
    <x:row r="527">
      <x:c r="A527" s="73" t="str">
        <x:f>IF('전기원장'!A527="","","전기")</x:f>
      </x:c>
      <x:c r="B527" s="73" t="str">
        <x:f>IF('전기원장'!A527="","",'전기원장'!A527)</x:f>
      </x:c>
      <x:c r="C527" s="73" t="str">
        <x:f>IF('전기원장'!A527="","",'전기원장'!B527)</x:f>
      </x:c>
      <x:c r="D527" s="74" t="str">
        <x:f>IF('전기원장'!A527="","",'전기원장'!C527)</x:f>
      </x:c>
      <x:c r="E527" s="73" t="str">
        <x:f>IF('전기원장'!A527="","",'전기원장'!D527)</x:f>
      </x:c>
      <x:c r="F527" s="73" t="str">
        <x:f>IF('전기원장'!A527="","",'전기원장'!E527)</x:f>
      </x:c>
      <x:c r="G527" s="75" t="str">
        <x:f>IF('전기원장'!A527="","",'전기원장'!H527)</x:f>
      </x:c>
      <x:c r="H527" s="73" t="str">
        <x:f>IF('전기원장'!A527="","",'전기원장'!I527)</x:f>
      </x:c>
      <x:c r="I527" s="73" t="str">
        <x:f>IF('전기원장'!A527="","",'전기원장'!J527)</x:f>
      </x:c>
      <x:c r="J527" s="73" t="str">
        <x:f>IF('전기원장'!A527="","",'전기원장'!K527)</x:f>
      </x:c>
      <x:c r="K527" s="73" t="str">
        <x:f>IF(B527="","",IF(COUNTIF($B$5:B527,B527)=1,COUNT($K$4:K526)+1,""))</x:f>
      </x:c>
      <x:c r="L527" s="85" t="str">
        <x:f>IF(B527="","",IF(COUNTIFS('계정비교'!$A$5:$A$1004,B527,'계정비교'!$H$5:$H$1004,"원인분석 대상")&gt;0,COUNT($L$4:L526)+1,""))</x:f>
      </x:c>
    </x:row>
    <x:row r="528">
      <x:c r="A528" s="73" t="str">
        <x:f>IF('전기원장'!A528="","","전기")</x:f>
      </x:c>
      <x:c r="B528" s="73" t="str">
        <x:f>IF('전기원장'!A528="","",'전기원장'!A528)</x:f>
      </x:c>
      <x:c r="C528" s="73" t="str">
        <x:f>IF('전기원장'!A528="","",'전기원장'!B528)</x:f>
      </x:c>
      <x:c r="D528" s="74" t="str">
        <x:f>IF('전기원장'!A528="","",'전기원장'!C528)</x:f>
      </x:c>
      <x:c r="E528" s="73" t="str">
        <x:f>IF('전기원장'!A528="","",'전기원장'!D528)</x:f>
      </x:c>
      <x:c r="F528" s="73" t="str">
        <x:f>IF('전기원장'!A528="","",'전기원장'!E528)</x:f>
      </x:c>
      <x:c r="G528" s="75" t="str">
        <x:f>IF('전기원장'!A528="","",'전기원장'!H528)</x:f>
      </x:c>
      <x:c r="H528" s="73" t="str">
        <x:f>IF('전기원장'!A528="","",'전기원장'!I528)</x:f>
      </x:c>
      <x:c r="I528" s="73" t="str">
        <x:f>IF('전기원장'!A528="","",'전기원장'!J528)</x:f>
      </x:c>
      <x:c r="J528" s="73" t="str">
        <x:f>IF('전기원장'!A528="","",'전기원장'!K528)</x:f>
      </x:c>
      <x:c r="K528" s="73" t="str">
        <x:f>IF(B528="","",IF(COUNTIF($B$5:B528,B528)=1,COUNT($K$4:K527)+1,""))</x:f>
      </x:c>
      <x:c r="L528" s="85" t="str">
        <x:f>IF(B528="","",IF(COUNTIFS('계정비교'!$A$5:$A$1004,B528,'계정비교'!$H$5:$H$1004,"원인분석 대상")&gt;0,COUNT($L$4:L527)+1,""))</x:f>
      </x:c>
    </x:row>
    <x:row r="529">
      <x:c r="A529" s="73" t="str">
        <x:f>IF('전기원장'!A529="","","전기")</x:f>
      </x:c>
      <x:c r="B529" s="73" t="str">
        <x:f>IF('전기원장'!A529="","",'전기원장'!A529)</x:f>
      </x:c>
      <x:c r="C529" s="73" t="str">
        <x:f>IF('전기원장'!A529="","",'전기원장'!B529)</x:f>
      </x:c>
      <x:c r="D529" s="74" t="str">
        <x:f>IF('전기원장'!A529="","",'전기원장'!C529)</x:f>
      </x:c>
      <x:c r="E529" s="73" t="str">
        <x:f>IF('전기원장'!A529="","",'전기원장'!D529)</x:f>
      </x:c>
      <x:c r="F529" s="73" t="str">
        <x:f>IF('전기원장'!A529="","",'전기원장'!E529)</x:f>
      </x:c>
      <x:c r="G529" s="75" t="str">
        <x:f>IF('전기원장'!A529="","",'전기원장'!H529)</x:f>
      </x:c>
      <x:c r="H529" s="73" t="str">
        <x:f>IF('전기원장'!A529="","",'전기원장'!I529)</x:f>
      </x:c>
      <x:c r="I529" s="73" t="str">
        <x:f>IF('전기원장'!A529="","",'전기원장'!J529)</x:f>
      </x:c>
      <x:c r="J529" s="73" t="str">
        <x:f>IF('전기원장'!A529="","",'전기원장'!K529)</x:f>
      </x:c>
      <x:c r="K529" s="73" t="str">
        <x:f>IF(B529="","",IF(COUNTIF($B$5:B529,B529)=1,COUNT($K$4:K528)+1,""))</x:f>
      </x:c>
      <x:c r="L529" s="85" t="str">
        <x:f>IF(B529="","",IF(COUNTIFS('계정비교'!$A$5:$A$1004,B529,'계정비교'!$H$5:$H$1004,"원인분석 대상")&gt;0,COUNT($L$4:L528)+1,""))</x:f>
      </x:c>
    </x:row>
    <x:row r="530">
      <x:c r="A530" s="73" t="str">
        <x:f>IF('전기원장'!A530="","","전기")</x:f>
      </x:c>
      <x:c r="B530" s="73" t="str">
        <x:f>IF('전기원장'!A530="","",'전기원장'!A530)</x:f>
      </x:c>
      <x:c r="C530" s="73" t="str">
        <x:f>IF('전기원장'!A530="","",'전기원장'!B530)</x:f>
      </x:c>
      <x:c r="D530" s="74" t="str">
        <x:f>IF('전기원장'!A530="","",'전기원장'!C530)</x:f>
      </x:c>
      <x:c r="E530" s="73" t="str">
        <x:f>IF('전기원장'!A530="","",'전기원장'!D530)</x:f>
      </x:c>
      <x:c r="F530" s="73" t="str">
        <x:f>IF('전기원장'!A530="","",'전기원장'!E530)</x:f>
      </x:c>
      <x:c r="G530" s="75" t="str">
        <x:f>IF('전기원장'!A530="","",'전기원장'!H530)</x:f>
      </x:c>
      <x:c r="H530" s="73" t="str">
        <x:f>IF('전기원장'!A530="","",'전기원장'!I530)</x:f>
      </x:c>
      <x:c r="I530" s="73" t="str">
        <x:f>IF('전기원장'!A530="","",'전기원장'!J530)</x:f>
      </x:c>
      <x:c r="J530" s="73" t="str">
        <x:f>IF('전기원장'!A530="","",'전기원장'!K530)</x:f>
      </x:c>
      <x:c r="K530" s="73" t="str">
        <x:f>IF(B530="","",IF(COUNTIF($B$5:B530,B530)=1,COUNT($K$4:K529)+1,""))</x:f>
      </x:c>
      <x:c r="L530" s="85" t="str">
        <x:f>IF(B530="","",IF(COUNTIFS('계정비교'!$A$5:$A$1004,B530,'계정비교'!$H$5:$H$1004,"원인분석 대상")&gt;0,COUNT($L$4:L529)+1,""))</x:f>
      </x:c>
    </x:row>
    <x:row r="531">
      <x:c r="A531" s="73" t="str">
        <x:f>IF('전기원장'!A531="","","전기")</x:f>
      </x:c>
      <x:c r="B531" s="73" t="str">
        <x:f>IF('전기원장'!A531="","",'전기원장'!A531)</x:f>
      </x:c>
      <x:c r="C531" s="73" t="str">
        <x:f>IF('전기원장'!A531="","",'전기원장'!B531)</x:f>
      </x:c>
      <x:c r="D531" s="74" t="str">
        <x:f>IF('전기원장'!A531="","",'전기원장'!C531)</x:f>
      </x:c>
      <x:c r="E531" s="73" t="str">
        <x:f>IF('전기원장'!A531="","",'전기원장'!D531)</x:f>
      </x:c>
      <x:c r="F531" s="73" t="str">
        <x:f>IF('전기원장'!A531="","",'전기원장'!E531)</x:f>
      </x:c>
      <x:c r="G531" s="75" t="str">
        <x:f>IF('전기원장'!A531="","",'전기원장'!H531)</x:f>
      </x:c>
      <x:c r="H531" s="73" t="str">
        <x:f>IF('전기원장'!A531="","",'전기원장'!I531)</x:f>
      </x:c>
      <x:c r="I531" s="73" t="str">
        <x:f>IF('전기원장'!A531="","",'전기원장'!J531)</x:f>
      </x:c>
      <x:c r="J531" s="73" t="str">
        <x:f>IF('전기원장'!A531="","",'전기원장'!K531)</x:f>
      </x:c>
      <x:c r="K531" s="73" t="str">
        <x:f>IF(B531="","",IF(COUNTIF($B$5:B531,B531)=1,COUNT($K$4:K530)+1,""))</x:f>
      </x:c>
      <x:c r="L531" s="85" t="str">
        <x:f>IF(B531="","",IF(COUNTIFS('계정비교'!$A$5:$A$1004,B531,'계정비교'!$H$5:$H$1004,"원인분석 대상")&gt;0,COUNT($L$4:L530)+1,""))</x:f>
      </x:c>
    </x:row>
    <x:row r="532">
      <x:c r="A532" s="73" t="str">
        <x:f>IF('전기원장'!A532="","","전기")</x:f>
      </x:c>
      <x:c r="B532" s="73" t="str">
        <x:f>IF('전기원장'!A532="","",'전기원장'!A532)</x:f>
      </x:c>
      <x:c r="C532" s="73" t="str">
        <x:f>IF('전기원장'!A532="","",'전기원장'!B532)</x:f>
      </x:c>
      <x:c r="D532" s="74" t="str">
        <x:f>IF('전기원장'!A532="","",'전기원장'!C532)</x:f>
      </x:c>
      <x:c r="E532" s="73" t="str">
        <x:f>IF('전기원장'!A532="","",'전기원장'!D532)</x:f>
      </x:c>
      <x:c r="F532" s="73" t="str">
        <x:f>IF('전기원장'!A532="","",'전기원장'!E532)</x:f>
      </x:c>
      <x:c r="G532" s="75" t="str">
        <x:f>IF('전기원장'!A532="","",'전기원장'!H532)</x:f>
      </x:c>
      <x:c r="H532" s="73" t="str">
        <x:f>IF('전기원장'!A532="","",'전기원장'!I532)</x:f>
      </x:c>
      <x:c r="I532" s="73" t="str">
        <x:f>IF('전기원장'!A532="","",'전기원장'!J532)</x:f>
      </x:c>
      <x:c r="J532" s="73" t="str">
        <x:f>IF('전기원장'!A532="","",'전기원장'!K532)</x:f>
      </x:c>
      <x:c r="K532" s="73" t="str">
        <x:f>IF(B532="","",IF(COUNTIF($B$5:B532,B532)=1,COUNT($K$4:K531)+1,""))</x:f>
      </x:c>
      <x:c r="L532" s="85" t="str">
        <x:f>IF(B532="","",IF(COUNTIFS('계정비교'!$A$5:$A$1004,B532,'계정비교'!$H$5:$H$1004,"원인분석 대상")&gt;0,COUNT($L$4:L531)+1,""))</x:f>
      </x:c>
    </x:row>
    <x:row r="533">
      <x:c r="A533" s="73" t="str">
        <x:f>IF('전기원장'!A533="","","전기")</x:f>
      </x:c>
      <x:c r="B533" s="73" t="str">
        <x:f>IF('전기원장'!A533="","",'전기원장'!A533)</x:f>
      </x:c>
      <x:c r="C533" s="73" t="str">
        <x:f>IF('전기원장'!A533="","",'전기원장'!B533)</x:f>
      </x:c>
      <x:c r="D533" s="74" t="str">
        <x:f>IF('전기원장'!A533="","",'전기원장'!C533)</x:f>
      </x:c>
      <x:c r="E533" s="73" t="str">
        <x:f>IF('전기원장'!A533="","",'전기원장'!D533)</x:f>
      </x:c>
      <x:c r="F533" s="73" t="str">
        <x:f>IF('전기원장'!A533="","",'전기원장'!E533)</x:f>
      </x:c>
      <x:c r="G533" s="75" t="str">
        <x:f>IF('전기원장'!A533="","",'전기원장'!H533)</x:f>
      </x:c>
      <x:c r="H533" s="73" t="str">
        <x:f>IF('전기원장'!A533="","",'전기원장'!I533)</x:f>
      </x:c>
      <x:c r="I533" s="73" t="str">
        <x:f>IF('전기원장'!A533="","",'전기원장'!J533)</x:f>
      </x:c>
      <x:c r="J533" s="73" t="str">
        <x:f>IF('전기원장'!A533="","",'전기원장'!K533)</x:f>
      </x:c>
      <x:c r="K533" s="73" t="str">
        <x:f>IF(B533="","",IF(COUNTIF($B$5:B533,B533)=1,COUNT($K$4:K532)+1,""))</x:f>
      </x:c>
      <x:c r="L533" s="85" t="str">
        <x:f>IF(B533="","",IF(COUNTIFS('계정비교'!$A$5:$A$1004,B533,'계정비교'!$H$5:$H$1004,"원인분석 대상")&gt;0,COUNT($L$4:L532)+1,""))</x:f>
      </x:c>
    </x:row>
    <x:row r="534">
      <x:c r="A534" s="73" t="str">
        <x:f>IF('전기원장'!A534="","","전기")</x:f>
      </x:c>
      <x:c r="B534" s="73" t="str">
        <x:f>IF('전기원장'!A534="","",'전기원장'!A534)</x:f>
      </x:c>
      <x:c r="C534" s="73" t="str">
        <x:f>IF('전기원장'!A534="","",'전기원장'!B534)</x:f>
      </x:c>
      <x:c r="D534" s="74" t="str">
        <x:f>IF('전기원장'!A534="","",'전기원장'!C534)</x:f>
      </x:c>
      <x:c r="E534" s="73" t="str">
        <x:f>IF('전기원장'!A534="","",'전기원장'!D534)</x:f>
      </x:c>
      <x:c r="F534" s="73" t="str">
        <x:f>IF('전기원장'!A534="","",'전기원장'!E534)</x:f>
      </x:c>
      <x:c r="G534" s="75" t="str">
        <x:f>IF('전기원장'!A534="","",'전기원장'!H534)</x:f>
      </x:c>
      <x:c r="H534" s="73" t="str">
        <x:f>IF('전기원장'!A534="","",'전기원장'!I534)</x:f>
      </x:c>
      <x:c r="I534" s="73" t="str">
        <x:f>IF('전기원장'!A534="","",'전기원장'!J534)</x:f>
      </x:c>
      <x:c r="J534" s="73" t="str">
        <x:f>IF('전기원장'!A534="","",'전기원장'!K534)</x:f>
      </x:c>
      <x:c r="K534" s="73" t="str">
        <x:f>IF(B534="","",IF(COUNTIF($B$5:B534,B534)=1,COUNT($K$4:K533)+1,""))</x:f>
      </x:c>
      <x:c r="L534" s="85" t="str">
        <x:f>IF(B534="","",IF(COUNTIFS('계정비교'!$A$5:$A$1004,B534,'계정비교'!$H$5:$H$1004,"원인분석 대상")&gt;0,COUNT($L$4:L533)+1,""))</x:f>
      </x:c>
    </x:row>
    <x:row r="535">
      <x:c r="A535" s="73" t="str">
        <x:f>IF('전기원장'!A535="","","전기")</x:f>
      </x:c>
      <x:c r="B535" s="73" t="str">
        <x:f>IF('전기원장'!A535="","",'전기원장'!A535)</x:f>
      </x:c>
      <x:c r="C535" s="73" t="str">
        <x:f>IF('전기원장'!A535="","",'전기원장'!B535)</x:f>
      </x:c>
      <x:c r="D535" s="74" t="str">
        <x:f>IF('전기원장'!A535="","",'전기원장'!C535)</x:f>
      </x:c>
      <x:c r="E535" s="73" t="str">
        <x:f>IF('전기원장'!A535="","",'전기원장'!D535)</x:f>
      </x:c>
      <x:c r="F535" s="73" t="str">
        <x:f>IF('전기원장'!A535="","",'전기원장'!E535)</x:f>
      </x:c>
      <x:c r="G535" s="75" t="str">
        <x:f>IF('전기원장'!A535="","",'전기원장'!H535)</x:f>
      </x:c>
      <x:c r="H535" s="73" t="str">
        <x:f>IF('전기원장'!A535="","",'전기원장'!I535)</x:f>
      </x:c>
      <x:c r="I535" s="73" t="str">
        <x:f>IF('전기원장'!A535="","",'전기원장'!J535)</x:f>
      </x:c>
      <x:c r="J535" s="73" t="str">
        <x:f>IF('전기원장'!A535="","",'전기원장'!K535)</x:f>
      </x:c>
      <x:c r="K535" s="73" t="str">
        <x:f>IF(B535="","",IF(COUNTIF($B$5:B535,B535)=1,COUNT($K$4:K534)+1,""))</x:f>
      </x:c>
      <x:c r="L535" s="85" t="str">
        <x:f>IF(B535="","",IF(COUNTIFS('계정비교'!$A$5:$A$1004,B535,'계정비교'!$H$5:$H$1004,"원인분석 대상")&gt;0,COUNT($L$4:L534)+1,""))</x:f>
      </x:c>
    </x:row>
    <x:row r="536">
      <x:c r="A536" s="73" t="str">
        <x:f>IF('전기원장'!A536="","","전기")</x:f>
      </x:c>
      <x:c r="B536" s="73" t="str">
        <x:f>IF('전기원장'!A536="","",'전기원장'!A536)</x:f>
      </x:c>
      <x:c r="C536" s="73" t="str">
        <x:f>IF('전기원장'!A536="","",'전기원장'!B536)</x:f>
      </x:c>
      <x:c r="D536" s="74" t="str">
        <x:f>IF('전기원장'!A536="","",'전기원장'!C536)</x:f>
      </x:c>
      <x:c r="E536" s="73" t="str">
        <x:f>IF('전기원장'!A536="","",'전기원장'!D536)</x:f>
      </x:c>
      <x:c r="F536" s="73" t="str">
        <x:f>IF('전기원장'!A536="","",'전기원장'!E536)</x:f>
      </x:c>
      <x:c r="G536" s="75" t="str">
        <x:f>IF('전기원장'!A536="","",'전기원장'!H536)</x:f>
      </x:c>
      <x:c r="H536" s="73" t="str">
        <x:f>IF('전기원장'!A536="","",'전기원장'!I536)</x:f>
      </x:c>
      <x:c r="I536" s="73" t="str">
        <x:f>IF('전기원장'!A536="","",'전기원장'!J536)</x:f>
      </x:c>
      <x:c r="J536" s="73" t="str">
        <x:f>IF('전기원장'!A536="","",'전기원장'!K536)</x:f>
      </x:c>
      <x:c r="K536" s="73" t="str">
        <x:f>IF(B536="","",IF(COUNTIF($B$5:B536,B536)=1,COUNT($K$4:K535)+1,""))</x:f>
      </x:c>
      <x:c r="L536" s="85" t="str">
        <x:f>IF(B536="","",IF(COUNTIFS('계정비교'!$A$5:$A$1004,B536,'계정비교'!$H$5:$H$1004,"원인분석 대상")&gt;0,COUNT($L$4:L535)+1,""))</x:f>
      </x:c>
    </x:row>
    <x:row r="537">
      <x:c r="A537" s="73" t="str">
        <x:f>IF('전기원장'!A537="","","전기")</x:f>
      </x:c>
      <x:c r="B537" s="73" t="str">
        <x:f>IF('전기원장'!A537="","",'전기원장'!A537)</x:f>
      </x:c>
      <x:c r="C537" s="73" t="str">
        <x:f>IF('전기원장'!A537="","",'전기원장'!B537)</x:f>
      </x:c>
      <x:c r="D537" s="74" t="str">
        <x:f>IF('전기원장'!A537="","",'전기원장'!C537)</x:f>
      </x:c>
      <x:c r="E537" s="73" t="str">
        <x:f>IF('전기원장'!A537="","",'전기원장'!D537)</x:f>
      </x:c>
      <x:c r="F537" s="73" t="str">
        <x:f>IF('전기원장'!A537="","",'전기원장'!E537)</x:f>
      </x:c>
      <x:c r="G537" s="75" t="str">
        <x:f>IF('전기원장'!A537="","",'전기원장'!H537)</x:f>
      </x:c>
      <x:c r="H537" s="73" t="str">
        <x:f>IF('전기원장'!A537="","",'전기원장'!I537)</x:f>
      </x:c>
      <x:c r="I537" s="73" t="str">
        <x:f>IF('전기원장'!A537="","",'전기원장'!J537)</x:f>
      </x:c>
      <x:c r="J537" s="73" t="str">
        <x:f>IF('전기원장'!A537="","",'전기원장'!K537)</x:f>
      </x:c>
      <x:c r="K537" s="73" t="str">
        <x:f>IF(B537="","",IF(COUNTIF($B$5:B537,B537)=1,COUNT($K$4:K536)+1,""))</x:f>
      </x:c>
      <x:c r="L537" s="85" t="str">
        <x:f>IF(B537="","",IF(COUNTIFS('계정비교'!$A$5:$A$1004,B537,'계정비교'!$H$5:$H$1004,"원인분석 대상")&gt;0,COUNT($L$4:L536)+1,""))</x:f>
      </x:c>
    </x:row>
    <x:row r="538">
      <x:c r="A538" s="73" t="str">
        <x:f>IF('전기원장'!A538="","","전기")</x:f>
      </x:c>
      <x:c r="B538" s="73" t="str">
        <x:f>IF('전기원장'!A538="","",'전기원장'!A538)</x:f>
      </x:c>
      <x:c r="C538" s="73" t="str">
        <x:f>IF('전기원장'!A538="","",'전기원장'!B538)</x:f>
      </x:c>
      <x:c r="D538" s="74" t="str">
        <x:f>IF('전기원장'!A538="","",'전기원장'!C538)</x:f>
      </x:c>
      <x:c r="E538" s="73" t="str">
        <x:f>IF('전기원장'!A538="","",'전기원장'!D538)</x:f>
      </x:c>
      <x:c r="F538" s="73" t="str">
        <x:f>IF('전기원장'!A538="","",'전기원장'!E538)</x:f>
      </x:c>
      <x:c r="G538" s="75" t="str">
        <x:f>IF('전기원장'!A538="","",'전기원장'!H538)</x:f>
      </x:c>
      <x:c r="H538" s="73" t="str">
        <x:f>IF('전기원장'!A538="","",'전기원장'!I538)</x:f>
      </x:c>
      <x:c r="I538" s="73" t="str">
        <x:f>IF('전기원장'!A538="","",'전기원장'!J538)</x:f>
      </x:c>
      <x:c r="J538" s="73" t="str">
        <x:f>IF('전기원장'!A538="","",'전기원장'!K538)</x:f>
      </x:c>
      <x:c r="K538" s="73" t="str">
        <x:f>IF(B538="","",IF(COUNTIF($B$5:B538,B538)=1,COUNT($K$4:K537)+1,""))</x:f>
      </x:c>
      <x:c r="L538" s="85" t="str">
        <x:f>IF(B538="","",IF(COUNTIFS('계정비교'!$A$5:$A$1004,B538,'계정비교'!$H$5:$H$1004,"원인분석 대상")&gt;0,COUNT($L$4:L537)+1,""))</x:f>
      </x:c>
    </x:row>
    <x:row r="539">
      <x:c r="A539" s="73" t="str">
        <x:f>IF('전기원장'!A539="","","전기")</x:f>
      </x:c>
      <x:c r="B539" s="73" t="str">
        <x:f>IF('전기원장'!A539="","",'전기원장'!A539)</x:f>
      </x:c>
      <x:c r="C539" s="73" t="str">
        <x:f>IF('전기원장'!A539="","",'전기원장'!B539)</x:f>
      </x:c>
      <x:c r="D539" s="74" t="str">
        <x:f>IF('전기원장'!A539="","",'전기원장'!C539)</x:f>
      </x:c>
      <x:c r="E539" s="73" t="str">
        <x:f>IF('전기원장'!A539="","",'전기원장'!D539)</x:f>
      </x:c>
      <x:c r="F539" s="73" t="str">
        <x:f>IF('전기원장'!A539="","",'전기원장'!E539)</x:f>
      </x:c>
      <x:c r="G539" s="75" t="str">
        <x:f>IF('전기원장'!A539="","",'전기원장'!H539)</x:f>
      </x:c>
      <x:c r="H539" s="73" t="str">
        <x:f>IF('전기원장'!A539="","",'전기원장'!I539)</x:f>
      </x:c>
      <x:c r="I539" s="73" t="str">
        <x:f>IF('전기원장'!A539="","",'전기원장'!J539)</x:f>
      </x:c>
      <x:c r="J539" s="73" t="str">
        <x:f>IF('전기원장'!A539="","",'전기원장'!K539)</x:f>
      </x:c>
      <x:c r="K539" s="73" t="str">
        <x:f>IF(B539="","",IF(COUNTIF($B$5:B539,B539)=1,COUNT($K$4:K538)+1,""))</x:f>
      </x:c>
      <x:c r="L539" s="85" t="str">
        <x:f>IF(B539="","",IF(COUNTIFS('계정비교'!$A$5:$A$1004,B539,'계정비교'!$H$5:$H$1004,"원인분석 대상")&gt;0,COUNT($L$4:L538)+1,""))</x:f>
      </x:c>
    </x:row>
    <x:row r="540">
      <x:c r="A540" s="73" t="str">
        <x:f>IF('전기원장'!A540="","","전기")</x:f>
      </x:c>
      <x:c r="B540" s="73" t="str">
        <x:f>IF('전기원장'!A540="","",'전기원장'!A540)</x:f>
      </x:c>
      <x:c r="C540" s="73" t="str">
        <x:f>IF('전기원장'!A540="","",'전기원장'!B540)</x:f>
      </x:c>
      <x:c r="D540" s="74" t="str">
        <x:f>IF('전기원장'!A540="","",'전기원장'!C540)</x:f>
      </x:c>
      <x:c r="E540" s="73" t="str">
        <x:f>IF('전기원장'!A540="","",'전기원장'!D540)</x:f>
      </x:c>
      <x:c r="F540" s="73" t="str">
        <x:f>IF('전기원장'!A540="","",'전기원장'!E540)</x:f>
      </x:c>
      <x:c r="G540" s="75" t="str">
        <x:f>IF('전기원장'!A540="","",'전기원장'!H540)</x:f>
      </x:c>
      <x:c r="H540" s="73" t="str">
        <x:f>IF('전기원장'!A540="","",'전기원장'!I540)</x:f>
      </x:c>
      <x:c r="I540" s="73" t="str">
        <x:f>IF('전기원장'!A540="","",'전기원장'!J540)</x:f>
      </x:c>
      <x:c r="J540" s="73" t="str">
        <x:f>IF('전기원장'!A540="","",'전기원장'!K540)</x:f>
      </x:c>
      <x:c r="K540" s="73" t="str">
        <x:f>IF(B540="","",IF(COUNTIF($B$5:B540,B540)=1,COUNT($K$4:K539)+1,""))</x:f>
      </x:c>
      <x:c r="L540" s="85" t="str">
        <x:f>IF(B540="","",IF(COUNTIFS('계정비교'!$A$5:$A$1004,B540,'계정비교'!$H$5:$H$1004,"원인분석 대상")&gt;0,COUNT($L$4:L539)+1,""))</x:f>
      </x:c>
    </x:row>
    <x:row r="541">
      <x:c r="A541" s="73" t="str">
        <x:f>IF('전기원장'!A541="","","전기")</x:f>
      </x:c>
      <x:c r="B541" s="73" t="str">
        <x:f>IF('전기원장'!A541="","",'전기원장'!A541)</x:f>
      </x:c>
      <x:c r="C541" s="73" t="str">
        <x:f>IF('전기원장'!A541="","",'전기원장'!B541)</x:f>
      </x:c>
      <x:c r="D541" s="74" t="str">
        <x:f>IF('전기원장'!A541="","",'전기원장'!C541)</x:f>
      </x:c>
      <x:c r="E541" s="73" t="str">
        <x:f>IF('전기원장'!A541="","",'전기원장'!D541)</x:f>
      </x:c>
      <x:c r="F541" s="73" t="str">
        <x:f>IF('전기원장'!A541="","",'전기원장'!E541)</x:f>
      </x:c>
      <x:c r="G541" s="75" t="str">
        <x:f>IF('전기원장'!A541="","",'전기원장'!H541)</x:f>
      </x:c>
      <x:c r="H541" s="73" t="str">
        <x:f>IF('전기원장'!A541="","",'전기원장'!I541)</x:f>
      </x:c>
      <x:c r="I541" s="73" t="str">
        <x:f>IF('전기원장'!A541="","",'전기원장'!J541)</x:f>
      </x:c>
      <x:c r="J541" s="73" t="str">
        <x:f>IF('전기원장'!A541="","",'전기원장'!K541)</x:f>
      </x:c>
      <x:c r="K541" s="73" t="str">
        <x:f>IF(B541="","",IF(COUNTIF($B$5:B541,B541)=1,COUNT($K$4:K540)+1,""))</x:f>
      </x:c>
      <x:c r="L541" s="85" t="str">
        <x:f>IF(B541="","",IF(COUNTIFS('계정비교'!$A$5:$A$1004,B541,'계정비교'!$H$5:$H$1004,"원인분석 대상")&gt;0,COUNT($L$4:L540)+1,""))</x:f>
      </x:c>
    </x:row>
    <x:row r="542">
      <x:c r="A542" s="73" t="str">
        <x:f>IF('전기원장'!A542="","","전기")</x:f>
      </x:c>
      <x:c r="B542" s="73" t="str">
        <x:f>IF('전기원장'!A542="","",'전기원장'!A542)</x:f>
      </x:c>
      <x:c r="C542" s="73" t="str">
        <x:f>IF('전기원장'!A542="","",'전기원장'!B542)</x:f>
      </x:c>
      <x:c r="D542" s="74" t="str">
        <x:f>IF('전기원장'!A542="","",'전기원장'!C542)</x:f>
      </x:c>
      <x:c r="E542" s="73" t="str">
        <x:f>IF('전기원장'!A542="","",'전기원장'!D542)</x:f>
      </x:c>
      <x:c r="F542" s="73" t="str">
        <x:f>IF('전기원장'!A542="","",'전기원장'!E542)</x:f>
      </x:c>
      <x:c r="G542" s="75" t="str">
        <x:f>IF('전기원장'!A542="","",'전기원장'!H542)</x:f>
      </x:c>
      <x:c r="H542" s="73" t="str">
        <x:f>IF('전기원장'!A542="","",'전기원장'!I542)</x:f>
      </x:c>
      <x:c r="I542" s="73" t="str">
        <x:f>IF('전기원장'!A542="","",'전기원장'!J542)</x:f>
      </x:c>
      <x:c r="J542" s="73" t="str">
        <x:f>IF('전기원장'!A542="","",'전기원장'!K542)</x:f>
      </x:c>
      <x:c r="K542" s="73" t="str">
        <x:f>IF(B542="","",IF(COUNTIF($B$5:B542,B542)=1,COUNT($K$4:K541)+1,""))</x:f>
      </x:c>
      <x:c r="L542" s="85" t="str">
        <x:f>IF(B542="","",IF(COUNTIFS('계정비교'!$A$5:$A$1004,B542,'계정비교'!$H$5:$H$1004,"원인분석 대상")&gt;0,COUNT($L$4:L541)+1,""))</x:f>
      </x:c>
    </x:row>
    <x:row r="543">
      <x:c r="A543" s="73" t="str">
        <x:f>IF('전기원장'!A543="","","전기")</x:f>
      </x:c>
      <x:c r="B543" s="73" t="str">
        <x:f>IF('전기원장'!A543="","",'전기원장'!A543)</x:f>
      </x:c>
      <x:c r="C543" s="73" t="str">
        <x:f>IF('전기원장'!A543="","",'전기원장'!B543)</x:f>
      </x:c>
      <x:c r="D543" s="74" t="str">
        <x:f>IF('전기원장'!A543="","",'전기원장'!C543)</x:f>
      </x:c>
      <x:c r="E543" s="73" t="str">
        <x:f>IF('전기원장'!A543="","",'전기원장'!D543)</x:f>
      </x:c>
      <x:c r="F543" s="73" t="str">
        <x:f>IF('전기원장'!A543="","",'전기원장'!E543)</x:f>
      </x:c>
      <x:c r="G543" s="75" t="str">
        <x:f>IF('전기원장'!A543="","",'전기원장'!H543)</x:f>
      </x:c>
      <x:c r="H543" s="73" t="str">
        <x:f>IF('전기원장'!A543="","",'전기원장'!I543)</x:f>
      </x:c>
      <x:c r="I543" s="73" t="str">
        <x:f>IF('전기원장'!A543="","",'전기원장'!J543)</x:f>
      </x:c>
      <x:c r="J543" s="73" t="str">
        <x:f>IF('전기원장'!A543="","",'전기원장'!K543)</x:f>
      </x:c>
      <x:c r="K543" s="73" t="str">
        <x:f>IF(B543="","",IF(COUNTIF($B$5:B543,B543)=1,COUNT($K$4:K542)+1,""))</x:f>
      </x:c>
      <x:c r="L543" s="85" t="str">
        <x:f>IF(B543="","",IF(COUNTIFS('계정비교'!$A$5:$A$1004,B543,'계정비교'!$H$5:$H$1004,"원인분석 대상")&gt;0,COUNT($L$4:L542)+1,""))</x:f>
      </x:c>
    </x:row>
    <x:row r="544">
      <x:c r="A544" s="73" t="str">
        <x:f>IF('전기원장'!A544="","","전기")</x:f>
      </x:c>
      <x:c r="B544" s="73" t="str">
        <x:f>IF('전기원장'!A544="","",'전기원장'!A544)</x:f>
      </x:c>
      <x:c r="C544" s="73" t="str">
        <x:f>IF('전기원장'!A544="","",'전기원장'!B544)</x:f>
      </x:c>
      <x:c r="D544" s="74" t="str">
        <x:f>IF('전기원장'!A544="","",'전기원장'!C544)</x:f>
      </x:c>
      <x:c r="E544" s="73" t="str">
        <x:f>IF('전기원장'!A544="","",'전기원장'!D544)</x:f>
      </x:c>
      <x:c r="F544" s="73" t="str">
        <x:f>IF('전기원장'!A544="","",'전기원장'!E544)</x:f>
      </x:c>
      <x:c r="G544" s="75" t="str">
        <x:f>IF('전기원장'!A544="","",'전기원장'!H544)</x:f>
      </x:c>
      <x:c r="H544" s="73" t="str">
        <x:f>IF('전기원장'!A544="","",'전기원장'!I544)</x:f>
      </x:c>
      <x:c r="I544" s="73" t="str">
        <x:f>IF('전기원장'!A544="","",'전기원장'!J544)</x:f>
      </x:c>
      <x:c r="J544" s="73" t="str">
        <x:f>IF('전기원장'!A544="","",'전기원장'!K544)</x:f>
      </x:c>
      <x:c r="K544" s="73" t="str">
        <x:f>IF(B544="","",IF(COUNTIF($B$5:B544,B544)=1,COUNT($K$4:K543)+1,""))</x:f>
      </x:c>
      <x:c r="L544" s="85" t="str">
        <x:f>IF(B544="","",IF(COUNTIFS('계정비교'!$A$5:$A$1004,B544,'계정비교'!$H$5:$H$1004,"원인분석 대상")&gt;0,COUNT($L$4:L543)+1,""))</x:f>
      </x:c>
    </x:row>
    <x:row r="545">
      <x:c r="A545" s="73" t="str">
        <x:f>IF('전기원장'!A545="","","전기")</x:f>
      </x:c>
      <x:c r="B545" s="73" t="str">
        <x:f>IF('전기원장'!A545="","",'전기원장'!A545)</x:f>
      </x:c>
      <x:c r="C545" s="73" t="str">
        <x:f>IF('전기원장'!A545="","",'전기원장'!B545)</x:f>
      </x:c>
      <x:c r="D545" s="74" t="str">
        <x:f>IF('전기원장'!A545="","",'전기원장'!C545)</x:f>
      </x:c>
      <x:c r="E545" s="73" t="str">
        <x:f>IF('전기원장'!A545="","",'전기원장'!D545)</x:f>
      </x:c>
      <x:c r="F545" s="73" t="str">
        <x:f>IF('전기원장'!A545="","",'전기원장'!E545)</x:f>
      </x:c>
      <x:c r="G545" s="75" t="str">
        <x:f>IF('전기원장'!A545="","",'전기원장'!H545)</x:f>
      </x:c>
      <x:c r="H545" s="73" t="str">
        <x:f>IF('전기원장'!A545="","",'전기원장'!I545)</x:f>
      </x:c>
      <x:c r="I545" s="73" t="str">
        <x:f>IF('전기원장'!A545="","",'전기원장'!J545)</x:f>
      </x:c>
      <x:c r="J545" s="73" t="str">
        <x:f>IF('전기원장'!A545="","",'전기원장'!K545)</x:f>
      </x:c>
      <x:c r="K545" s="73" t="str">
        <x:f>IF(B545="","",IF(COUNTIF($B$5:B545,B545)=1,COUNT($K$4:K544)+1,""))</x:f>
      </x:c>
      <x:c r="L545" s="85" t="str">
        <x:f>IF(B545="","",IF(COUNTIFS('계정비교'!$A$5:$A$1004,B545,'계정비교'!$H$5:$H$1004,"원인분석 대상")&gt;0,COUNT($L$4:L544)+1,""))</x:f>
      </x:c>
    </x:row>
    <x:row r="546">
      <x:c r="A546" s="73" t="str">
        <x:f>IF('전기원장'!A546="","","전기")</x:f>
      </x:c>
      <x:c r="B546" s="73" t="str">
        <x:f>IF('전기원장'!A546="","",'전기원장'!A546)</x:f>
      </x:c>
      <x:c r="C546" s="73" t="str">
        <x:f>IF('전기원장'!A546="","",'전기원장'!B546)</x:f>
      </x:c>
      <x:c r="D546" s="74" t="str">
        <x:f>IF('전기원장'!A546="","",'전기원장'!C546)</x:f>
      </x:c>
      <x:c r="E546" s="73" t="str">
        <x:f>IF('전기원장'!A546="","",'전기원장'!D546)</x:f>
      </x:c>
      <x:c r="F546" s="73" t="str">
        <x:f>IF('전기원장'!A546="","",'전기원장'!E546)</x:f>
      </x:c>
      <x:c r="G546" s="75" t="str">
        <x:f>IF('전기원장'!A546="","",'전기원장'!H546)</x:f>
      </x:c>
      <x:c r="H546" s="73" t="str">
        <x:f>IF('전기원장'!A546="","",'전기원장'!I546)</x:f>
      </x:c>
      <x:c r="I546" s="73" t="str">
        <x:f>IF('전기원장'!A546="","",'전기원장'!J546)</x:f>
      </x:c>
      <x:c r="J546" s="73" t="str">
        <x:f>IF('전기원장'!A546="","",'전기원장'!K546)</x:f>
      </x:c>
      <x:c r="K546" s="73" t="str">
        <x:f>IF(B546="","",IF(COUNTIF($B$5:B546,B546)=1,COUNT($K$4:K545)+1,""))</x:f>
      </x:c>
      <x:c r="L546" s="85" t="str">
        <x:f>IF(B546="","",IF(COUNTIFS('계정비교'!$A$5:$A$1004,B546,'계정비교'!$H$5:$H$1004,"원인분석 대상")&gt;0,COUNT($L$4:L545)+1,""))</x:f>
      </x:c>
    </x:row>
    <x:row r="547">
      <x:c r="A547" s="73" t="str">
        <x:f>IF('전기원장'!A547="","","전기")</x:f>
      </x:c>
      <x:c r="B547" s="73" t="str">
        <x:f>IF('전기원장'!A547="","",'전기원장'!A547)</x:f>
      </x:c>
      <x:c r="C547" s="73" t="str">
        <x:f>IF('전기원장'!A547="","",'전기원장'!B547)</x:f>
      </x:c>
      <x:c r="D547" s="74" t="str">
        <x:f>IF('전기원장'!A547="","",'전기원장'!C547)</x:f>
      </x:c>
      <x:c r="E547" s="73" t="str">
        <x:f>IF('전기원장'!A547="","",'전기원장'!D547)</x:f>
      </x:c>
      <x:c r="F547" s="73" t="str">
        <x:f>IF('전기원장'!A547="","",'전기원장'!E547)</x:f>
      </x:c>
      <x:c r="G547" s="75" t="str">
        <x:f>IF('전기원장'!A547="","",'전기원장'!H547)</x:f>
      </x:c>
      <x:c r="H547" s="73" t="str">
        <x:f>IF('전기원장'!A547="","",'전기원장'!I547)</x:f>
      </x:c>
      <x:c r="I547" s="73" t="str">
        <x:f>IF('전기원장'!A547="","",'전기원장'!J547)</x:f>
      </x:c>
      <x:c r="J547" s="73" t="str">
        <x:f>IF('전기원장'!A547="","",'전기원장'!K547)</x:f>
      </x:c>
      <x:c r="K547" s="73" t="str">
        <x:f>IF(B547="","",IF(COUNTIF($B$5:B547,B547)=1,COUNT($K$4:K546)+1,""))</x:f>
      </x:c>
      <x:c r="L547" s="85" t="str">
        <x:f>IF(B547="","",IF(COUNTIFS('계정비교'!$A$5:$A$1004,B547,'계정비교'!$H$5:$H$1004,"원인분석 대상")&gt;0,COUNT($L$4:L546)+1,""))</x:f>
      </x:c>
    </x:row>
    <x:row r="548">
      <x:c r="A548" s="73" t="str">
        <x:f>IF('전기원장'!A548="","","전기")</x:f>
      </x:c>
      <x:c r="B548" s="73" t="str">
        <x:f>IF('전기원장'!A548="","",'전기원장'!A548)</x:f>
      </x:c>
      <x:c r="C548" s="73" t="str">
        <x:f>IF('전기원장'!A548="","",'전기원장'!B548)</x:f>
      </x:c>
      <x:c r="D548" s="74" t="str">
        <x:f>IF('전기원장'!A548="","",'전기원장'!C548)</x:f>
      </x:c>
      <x:c r="E548" s="73" t="str">
        <x:f>IF('전기원장'!A548="","",'전기원장'!D548)</x:f>
      </x:c>
      <x:c r="F548" s="73" t="str">
        <x:f>IF('전기원장'!A548="","",'전기원장'!E548)</x:f>
      </x:c>
      <x:c r="G548" s="75" t="str">
        <x:f>IF('전기원장'!A548="","",'전기원장'!H548)</x:f>
      </x:c>
      <x:c r="H548" s="73" t="str">
        <x:f>IF('전기원장'!A548="","",'전기원장'!I548)</x:f>
      </x:c>
      <x:c r="I548" s="73" t="str">
        <x:f>IF('전기원장'!A548="","",'전기원장'!J548)</x:f>
      </x:c>
      <x:c r="J548" s="73" t="str">
        <x:f>IF('전기원장'!A548="","",'전기원장'!K548)</x:f>
      </x:c>
      <x:c r="K548" s="73" t="str">
        <x:f>IF(B548="","",IF(COUNTIF($B$5:B548,B548)=1,COUNT($K$4:K547)+1,""))</x:f>
      </x:c>
      <x:c r="L548" s="85" t="str">
        <x:f>IF(B548="","",IF(COUNTIFS('계정비교'!$A$5:$A$1004,B548,'계정비교'!$H$5:$H$1004,"원인분석 대상")&gt;0,COUNT($L$4:L547)+1,""))</x:f>
      </x:c>
    </x:row>
    <x:row r="549">
      <x:c r="A549" s="73" t="str">
        <x:f>IF('전기원장'!A549="","","전기")</x:f>
      </x:c>
      <x:c r="B549" s="73" t="str">
        <x:f>IF('전기원장'!A549="","",'전기원장'!A549)</x:f>
      </x:c>
      <x:c r="C549" s="73" t="str">
        <x:f>IF('전기원장'!A549="","",'전기원장'!B549)</x:f>
      </x:c>
      <x:c r="D549" s="74" t="str">
        <x:f>IF('전기원장'!A549="","",'전기원장'!C549)</x:f>
      </x:c>
      <x:c r="E549" s="73" t="str">
        <x:f>IF('전기원장'!A549="","",'전기원장'!D549)</x:f>
      </x:c>
      <x:c r="F549" s="73" t="str">
        <x:f>IF('전기원장'!A549="","",'전기원장'!E549)</x:f>
      </x:c>
      <x:c r="G549" s="75" t="str">
        <x:f>IF('전기원장'!A549="","",'전기원장'!H549)</x:f>
      </x:c>
      <x:c r="H549" s="73" t="str">
        <x:f>IF('전기원장'!A549="","",'전기원장'!I549)</x:f>
      </x:c>
      <x:c r="I549" s="73" t="str">
        <x:f>IF('전기원장'!A549="","",'전기원장'!J549)</x:f>
      </x:c>
      <x:c r="J549" s="73" t="str">
        <x:f>IF('전기원장'!A549="","",'전기원장'!K549)</x:f>
      </x:c>
      <x:c r="K549" s="73" t="str">
        <x:f>IF(B549="","",IF(COUNTIF($B$5:B549,B549)=1,COUNT($K$4:K548)+1,""))</x:f>
      </x:c>
      <x:c r="L549" s="85" t="str">
        <x:f>IF(B549="","",IF(COUNTIFS('계정비교'!$A$5:$A$1004,B549,'계정비교'!$H$5:$H$1004,"원인분석 대상")&gt;0,COUNT($L$4:L548)+1,""))</x:f>
      </x:c>
    </x:row>
    <x:row r="550">
      <x:c r="A550" s="73" t="str">
        <x:f>IF('전기원장'!A550="","","전기")</x:f>
      </x:c>
      <x:c r="B550" s="73" t="str">
        <x:f>IF('전기원장'!A550="","",'전기원장'!A550)</x:f>
      </x:c>
      <x:c r="C550" s="73" t="str">
        <x:f>IF('전기원장'!A550="","",'전기원장'!B550)</x:f>
      </x:c>
      <x:c r="D550" s="74" t="str">
        <x:f>IF('전기원장'!A550="","",'전기원장'!C550)</x:f>
      </x:c>
      <x:c r="E550" s="73" t="str">
        <x:f>IF('전기원장'!A550="","",'전기원장'!D550)</x:f>
      </x:c>
      <x:c r="F550" s="73" t="str">
        <x:f>IF('전기원장'!A550="","",'전기원장'!E550)</x:f>
      </x:c>
      <x:c r="G550" s="75" t="str">
        <x:f>IF('전기원장'!A550="","",'전기원장'!H550)</x:f>
      </x:c>
      <x:c r="H550" s="73" t="str">
        <x:f>IF('전기원장'!A550="","",'전기원장'!I550)</x:f>
      </x:c>
      <x:c r="I550" s="73" t="str">
        <x:f>IF('전기원장'!A550="","",'전기원장'!J550)</x:f>
      </x:c>
      <x:c r="J550" s="73" t="str">
        <x:f>IF('전기원장'!A550="","",'전기원장'!K550)</x:f>
      </x:c>
      <x:c r="K550" s="73" t="str">
        <x:f>IF(B550="","",IF(COUNTIF($B$5:B550,B550)=1,COUNT($K$4:K549)+1,""))</x:f>
      </x:c>
      <x:c r="L550" s="85" t="str">
        <x:f>IF(B550="","",IF(COUNTIFS('계정비교'!$A$5:$A$1004,B550,'계정비교'!$H$5:$H$1004,"원인분석 대상")&gt;0,COUNT($L$4:L549)+1,""))</x:f>
      </x:c>
    </x:row>
    <x:row r="551">
      <x:c r="A551" s="73" t="str">
        <x:f>IF('전기원장'!A551="","","전기")</x:f>
      </x:c>
      <x:c r="B551" s="73" t="str">
        <x:f>IF('전기원장'!A551="","",'전기원장'!A551)</x:f>
      </x:c>
      <x:c r="C551" s="73" t="str">
        <x:f>IF('전기원장'!A551="","",'전기원장'!B551)</x:f>
      </x:c>
      <x:c r="D551" s="74" t="str">
        <x:f>IF('전기원장'!A551="","",'전기원장'!C551)</x:f>
      </x:c>
      <x:c r="E551" s="73" t="str">
        <x:f>IF('전기원장'!A551="","",'전기원장'!D551)</x:f>
      </x:c>
      <x:c r="F551" s="73" t="str">
        <x:f>IF('전기원장'!A551="","",'전기원장'!E551)</x:f>
      </x:c>
      <x:c r="G551" s="75" t="str">
        <x:f>IF('전기원장'!A551="","",'전기원장'!H551)</x:f>
      </x:c>
      <x:c r="H551" s="73" t="str">
        <x:f>IF('전기원장'!A551="","",'전기원장'!I551)</x:f>
      </x:c>
      <x:c r="I551" s="73" t="str">
        <x:f>IF('전기원장'!A551="","",'전기원장'!J551)</x:f>
      </x:c>
      <x:c r="J551" s="73" t="str">
        <x:f>IF('전기원장'!A551="","",'전기원장'!K551)</x:f>
      </x:c>
      <x:c r="K551" s="73" t="str">
        <x:f>IF(B551="","",IF(COUNTIF($B$5:B551,B551)=1,COUNT($K$4:K550)+1,""))</x:f>
      </x:c>
      <x:c r="L551" s="85" t="str">
        <x:f>IF(B551="","",IF(COUNTIFS('계정비교'!$A$5:$A$1004,B551,'계정비교'!$H$5:$H$1004,"원인분석 대상")&gt;0,COUNT($L$4:L550)+1,""))</x:f>
      </x:c>
    </x:row>
    <x:row r="552">
      <x:c r="A552" s="73" t="str">
        <x:f>IF('전기원장'!A552="","","전기")</x:f>
      </x:c>
      <x:c r="B552" s="73" t="str">
        <x:f>IF('전기원장'!A552="","",'전기원장'!A552)</x:f>
      </x:c>
      <x:c r="C552" s="73" t="str">
        <x:f>IF('전기원장'!A552="","",'전기원장'!B552)</x:f>
      </x:c>
      <x:c r="D552" s="74" t="str">
        <x:f>IF('전기원장'!A552="","",'전기원장'!C552)</x:f>
      </x:c>
      <x:c r="E552" s="73" t="str">
        <x:f>IF('전기원장'!A552="","",'전기원장'!D552)</x:f>
      </x:c>
      <x:c r="F552" s="73" t="str">
        <x:f>IF('전기원장'!A552="","",'전기원장'!E552)</x:f>
      </x:c>
      <x:c r="G552" s="75" t="str">
        <x:f>IF('전기원장'!A552="","",'전기원장'!H552)</x:f>
      </x:c>
      <x:c r="H552" s="73" t="str">
        <x:f>IF('전기원장'!A552="","",'전기원장'!I552)</x:f>
      </x:c>
      <x:c r="I552" s="73" t="str">
        <x:f>IF('전기원장'!A552="","",'전기원장'!J552)</x:f>
      </x:c>
      <x:c r="J552" s="73" t="str">
        <x:f>IF('전기원장'!A552="","",'전기원장'!K552)</x:f>
      </x:c>
      <x:c r="K552" s="73" t="str">
        <x:f>IF(B552="","",IF(COUNTIF($B$5:B552,B552)=1,COUNT($K$4:K551)+1,""))</x:f>
      </x:c>
      <x:c r="L552" s="85" t="str">
        <x:f>IF(B552="","",IF(COUNTIFS('계정비교'!$A$5:$A$1004,B552,'계정비교'!$H$5:$H$1004,"원인분석 대상")&gt;0,COUNT($L$4:L551)+1,""))</x:f>
      </x:c>
    </x:row>
    <x:row r="553">
      <x:c r="A553" s="73" t="str">
        <x:f>IF('전기원장'!A553="","","전기")</x:f>
      </x:c>
      <x:c r="B553" s="73" t="str">
        <x:f>IF('전기원장'!A553="","",'전기원장'!A553)</x:f>
      </x:c>
      <x:c r="C553" s="73" t="str">
        <x:f>IF('전기원장'!A553="","",'전기원장'!B553)</x:f>
      </x:c>
      <x:c r="D553" s="74" t="str">
        <x:f>IF('전기원장'!A553="","",'전기원장'!C553)</x:f>
      </x:c>
      <x:c r="E553" s="73" t="str">
        <x:f>IF('전기원장'!A553="","",'전기원장'!D553)</x:f>
      </x:c>
      <x:c r="F553" s="73" t="str">
        <x:f>IF('전기원장'!A553="","",'전기원장'!E553)</x:f>
      </x:c>
      <x:c r="G553" s="75" t="str">
        <x:f>IF('전기원장'!A553="","",'전기원장'!H553)</x:f>
      </x:c>
      <x:c r="H553" s="73" t="str">
        <x:f>IF('전기원장'!A553="","",'전기원장'!I553)</x:f>
      </x:c>
      <x:c r="I553" s="73" t="str">
        <x:f>IF('전기원장'!A553="","",'전기원장'!J553)</x:f>
      </x:c>
      <x:c r="J553" s="73" t="str">
        <x:f>IF('전기원장'!A553="","",'전기원장'!K553)</x:f>
      </x:c>
      <x:c r="K553" s="73" t="str">
        <x:f>IF(B553="","",IF(COUNTIF($B$5:B553,B553)=1,COUNT($K$4:K552)+1,""))</x:f>
      </x:c>
      <x:c r="L553" s="85" t="str">
        <x:f>IF(B553="","",IF(COUNTIFS('계정비교'!$A$5:$A$1004,B553,'계정비교'!$H$5:$H$1004,"원인분석 대상")&gt;0,COUNT($L$4:L552)+1,""))</x:f>
      </x:c>
    </x:row>
    <x:row r="554">
      <x:c r="A554" s="73" t="str">
        <x:f>IF('전기원장'!A554="","","전기")</x:f>
      </x:c>
      <x:c r="B554" s="73" t="str">
        <x:f>IF('전기원장'!A554="","",'전기원장'!A554)</x:f>
      </x:c>
      <x:c r="C554" s="73" t="str">
        <x:f>IF('전기원장'!A554="","",'전기원장'!B554)</x:f>
      </x:c>
      <x:c r="D554" s="74" t="str">
        <x:f>IF('전기원장'!A554="","",'전기원장'!C554)</x:f>
      </x:c>
      <x:c r="E554" s="73" t="str">
        <x:f>IF('전기원장'!A554="","",'전기원장'!D554)</x:f>
      </x:c>
      <x:c r="F554" s="73" t="str">
        <x:f>IF('전기원장'!A554="","",'전기원장'!E554)</x:f>
      </x:c>
      <x:c r="G554" s="75" t="str">
        <x:f>IF('전기원장'!A554="","",'전기원장'!H554)</x:f>
      </x:c>
      <x:c r="H554" s="73" t="str">
        <x:f>IF('전기원장'!A554="","",'전기원장'!I554)</x:f>
      </x:c>
      <x:c r="I554" s="73" t="str">
        <x:f>IF('전기원장'!A554="","",'전기원장'!J554)</x:f>
      </x:c>
      <x:c r="J554" s="73" t="str">
        <x:f>IF('전기원장'!A554="","",'전기원장'!K554)</x:f>
      </x:c>
      <x:c r="K554" s="73" t="str">
        <x:f>IF(B554="","",IF(COUNTIF($B$5:B554,B554)=1,COUNT($K$4:K553)+1,""))</x:f>
      </x:c>
      <x:c r="L554" s="85" t="str">
        <x:f>IF(B554="","",IF(COUNTIFS('계정비교'!$A$5:$A$1004,B554,'계정비교'!$H$5:$H$1004,"원인분석 대상")&gt;0,COUNT($L$4:L553)+1,""))</x:f>
      </x:c>
    </x:row>
    <x:row r="555">
      <x:c r="A555" s="73" t="str">
        <x:f>IF('전기원장'!A555="","","전기")</x:f>
      </x:c>
      <x:c r="B555" s="73" t="str">
        <x:f>IF('전기원장'!A555="","",'전기원장'!A555)</x:f>
      </x:c>
      <x:c r="C555" s="73" t="str">
        <x:f>IF('전기원장'!A555="","",'전기원장'!B555)</x:f>
      </x:c>
      <x:c r="D555" s="74" t="str">
        <x:f>IF('전기원장'!A555="","",'전기원장'!C555)</x:f>
      </x:c>
      <x:c r="E555" s="73" t="str">
        <x:f>IF('전기원장'!A555="","",'전기원장'!D555)</x:f>
      </x:c>
      <x:c r="F555" s="73" t="str">
        <x:f>IF('전기원장'!A555="","",'전기원장'!E555)</x:f>
      </x:c>
      <x:c r="G555" s="75" t="str">
        <x:f>IF('전기원장'!A555="","",'전기원장'!H555)</x:f>
      </x:c>
      <x:c r="H555" s="73" t="str">
        <x:f>IF('전기원장'!A555="","",'전기원장'!I555)</x:f>
      </x:c>
      <x:c r="I555" s="73" t="str">
        <x:f>IF('전기원장'!A555="","",'전기원장'!J555)</x:f>
      </x:c>
      <x:c r="J555" s="73" t="str">
        <x:f>IF('전기원장'!A555="","",'전기원장'!K555)</x:f>
      </x:c>
      <x:c r="K555" s="73" t="str">
        <x:f>IF(B555="","",IF(COUNTIF($B$5:B555,B555)=1,COUNT($K$4:K554)+1,""))</x:f>
      </x:c>
      <x:c r="L555" s="85" t="str">
        <x:f>IF(B555="","",IF(COUNTIFS('계정비교'!$A$5:$A$1004,B555,'계정비교'!$H$5:$H$1004,"원인분석 대상")&gt;0,COUNT($L$4:L554)+1,""))</x:f>
      </x:c>
    </x:row>
    <x:row r="556">
      <x:c r="A556" s="73" t="str">
        <x:f>IF('전기원장'!A556="","","전기")</x:f>
      </x:c>
      <x:c r="B556" s="73" t="str">
        <x:f>IF('전기원장'!A556="","",'전기원장'!A556)</x:f>
      </x:c>
      <x:c r="C556" s="73" t="str">
        <x:f>IF('전기원장'!A556="","",'전기원장'!B556)</x:f>
      </x:c>
      <x:c r="D556" s="74" t="str">
        <x:f>IF('전기원장'!A556="","",'전기원장'!C556)</x:f>
      </x:c>
      <x:c r="E556" s="73" t="str">
        <x:f>IF('전기원장'!A556="","",'전기원장'!D556)</x:f>
      </x:c>
      <x:c r="F556" s="73" t="str">
        <x:f>IF('전기원장'!A556="","",'전기원장'!E556)</x:f>
      </x:c>
      <x:c r="G556" s="75" t="str">
        <x:f>IF('전기원장'!A556="","",'전기원장'!H556)</x:f>
      </x:c>
      <x:c r="H556" s="73" t="str">
        <x:f>IF('전기원장'!A556="","",'전기원장'!I556)</x:f>
      </x:c>
      <x:c r="I556" s="73" t="str">
        <x:f>IF('전기원장'!A556="","",'전기원장'!J556)</x:f>
      </x:c>
      <x:c r="J556" s="73" t="str">
        <x:f>IF('전기원장'!A556="","",'전기원장'!K556)</x:f>
      </x:c>
      <x:c r="K556" s="73" t="str">
        <x:f>IF(B556="","",IF(COUNTIF($B$5:B556,B556)=1,COUNT($K$4:K555)+1,""))</x:f>
      </x:c>
      <x:c r="L556" s="85" t="str">
        <x:f>IF(B556="","",IF(COUNTIFS('계정비교'!$A$5:$A$1004,B556,'계정비교'!$H$5:$H$1004,"원인분석 대상")&gt;0,COUNT($L$4:L555)+1,""))</x:f>
      </x:c>
    </x:row>
    <x:row r="557">
      <x:c r="A557" s="73" t="str">
        <x:f>IF('전기원장'!A557="","","전기")</x:f>
      </x:c>
      <x:c r="B557" s="73" t="str">
        <x:f>IF('전기원장'!A557="","",'전기원장'!A557)</x:f>
      </x:c>
      <x:c r="C557" s="73" t="str">
        <x:f>IF('전기원장'!A557="","",'전기원장'!B557)</x:f>
      </x:c>
      <x:c r="D557" s="74" t="str">
        <x:f>IF('전기원장'!A557="","",'전기원장'!C557)</x:f>
      </x:c>
      <x:c r="E557" s="73" t="str">
        <x:f>IF('전기원장'!A557="","",'전기원장'!D557)</x:f>
      </x:c>
      <x:c r="F557" s="73" t="str">
        <x:f>IF('전기원장'!A557="","",'전기원장'!E557)</x:f>
      </x:c>
      <x:c r="G557" s="75" t="str">
        <x:f>IF('전기원장'!A557="","",'전기원장'!H557)</x:f>
      </x:c>
      <x:c r="H557" s="73" t="str">
        <x:f>IF('전기원장'!A557="","",'전기원장'!I557)</x:f>
      </x:c>
      <x:c r="I557" s="73" t="str">
        <x:f>IF('전기원장'!A557="","",'전기원장'!J557)</x:f>
      </x:c>
      <x:c r="J557" s="73" t="str">
        <x:f>IF('전기원장'!A557="","",'전기원장'!K557)</x:f>
      </x:c>
      <x:c r="K557" s="73" t="str">
        <x:f>IF(B557="","",IF(COUNTIF($B$5:B557,B557)=1,COUNT($K$4:K556)+1,""))</x:f>
      </x:c>
      <x:c r="L557" s="85" t="str">
        <x:f>IF(B557="","",IF(COUNTIFS('계정비교'!$A$5:$A$1004,B557,'계정비교'!$H$5:$H$1004,"원인분석 대상")&gt;0,COUNT($L$4:L556)+1,""))</x:f>
      </x:c>
    </x:row>
    <x:row r="558">
      <x:c r="A558" s="73" t="str">
        <x:f>IF('전기원장'!A558="","","전기")</x:f>
      </x:c>
      <x:c r="B558" s="73" t="str">
        <x:f>IF('전기원장'!A558="","",'전기원장'!A558)</x:f>
      </x:c>
      <x:c r="C558" s="73" t="str">
        <x:f>IF('전기원장'!A558="","",'전기원장'!B558)</x:f>
      </x:c>
      <x:c r="D558" s="74" t="str">
        <x:f>IF('전기원장'!A558="","",'전기원장'!C558)</x:f>
      </x:c>
      <x:c r="E558" s="73" t="str">
        <x:f>IF('전기원장'!A558="","",'전기원장'!D558)</x:f>
      </x:c>
      <x:c r="F558" s="73" t="str">
        <x:f>IF('전기원장'!A558="","",'전기원장'!E558)</x:f>
      </x:c>
      <x:c r="G558" s="75" t="str">
        <x:f>IF('전기원장'!A558="","",'전기원장'!H558)</x:f>
      </x:c>
      <x:c r="H558" s="73" t="str">
        <x:f>IF('전기원장'!A558="","",'전기원장'!I558)</x:f>
      </x:c>
      <x:c r="I558" s="73" t="str">
        <x:f>IF('전기원장'!A558="","",'전기원장'!J558)</x:f>
      </x:c>
      <x:c r="J558" s="73" t="str">
        <x:f>IF('전기원장'!A558="","",'전기원장'!K558)</x:f>
      </x:c>
      <x:c r="K558" s="73" t="str">
        <x:f>IF(B558="","",IF(COUNTIF($B$5:B558,B558)=1,COUNT($K$4:K557)+1,""))</x:f>
      </x:c>
      <x:c r="L558" s="85" t="str">
        <x:f>IF(B558="","",IF(COUNTIFS('계정비교'!$A$5:$A$1004,B558,'계정비교'!$H$5:$H$1004,"원인분석 대상")&gt;0,COUNT($L$4:L557)+1,""))</x:f>
      </x:c>
    </x:row>
    <x:row r="559">
      <x:c r="A559" s="73" t="str">
        <x:f>IF('전기원장'!A559="","","전기")</x:f>
      </x:c>
      <x:c r="B559" s="73" t="str">
        <x:f>IF('전기원장'!A559="","",'전기원장'!A559)</x:f>
      </x:c>
      <x:c r="C559" s="73" t="str">
        <x:f>IF('전기원장'!A559="","",'전기원장'!B559)</x:f>
      </x:c>
      <x:c r="D559" s="74" t="str">
        <x:f>IF('전기원장'!A559="","",'전기원장'!C559)</x:f>
      </x:c>
      <x:c r="E559" s="73" t="str">
        <x:f>IF('전기원장'!A559="","",'전기원장'!D559)</x:f>
      </x:c>
      <x:c r="F559" s="73" t="str">
        <x:f>IF('전기원장'!A559="","",'전기원장'!E559)</x:f>
      </x:c>
      <x:c r="G559" s="75" t="str">
        <x:f>IF('전기원장'!A559="","",'전기원장'!H559)</x:f>
      </x:c>
      <x:c r="H559" s="73" t="str">
        <x:f>IF('전기원장'!A559="","",'전기원장'!I559)</x:f>
      </x:c>
      <x:c r="I559" s="73" t="str">
        <x:f>IF('전기원장'!A559="","",'전기원장'!J559)</x:f>
      </x:c>
      <x:c r="J559" s="73" t="str">
        <x:f>IF('전기원장'!A559="","",'전기원장'!K559)</x:f>
      </x:c>
      <x:c r="K559" s="73" t="str">
        <x:f>IF(B559="","",IF(COUNTIF($B$5:B559,B559)=1,COUNT($K$4:K558)+1,""))</x:f>
      </x:c>
      <x:c r="L559" s="85" t="str">
        <x:f>IF(B559="","",IF(COUNTIFS('계정비교'!$A$5:$A$1004,B559,'계정비교'!$H$5:$H$1004,"원인분석 대상")&gt;0,COUNT($L$4:L558)+1,""))</x:f>
      </x:c>
    </x:row>
    <x:row r="560">
      <x:c r="A560" s="73" t="str">
        <x:f>IF('전기원장'!A560="","","전기")</x:f>
      </x:c>
      <x:c r="B560" s="73" t="str">
        <x:f>IF('전기원장'!A560="","",'전기원장'!A560)</x:f>
      </x:c>
      <x:c r="C560" s="73" t="str">
        <x:f>IF('전기원장'!A560="","",'전기원장'!B560)</x:f>
      </x:c>
      <x:c r="D560" s="74" t="str">
        <x:f>IF('전기원장'!A560="","",'전기원장'!C560)</x:f>
      </x:c>
      <x:c r="E560" s="73" t="str">
        <x:f>IF('전기원장'!A560="","",'전기원장'!D560)</x:f>
      </x:c>
      <x:c r="F560" s="73" t="str">
        <x:f>IF('전기원장'!A560="","",'전기원장'!E560)</x:f>
      </x:c>
      <x:c r="G560" s="75" t="str">
        <x:f>IF('전기원장'!A560="","",'전기원장'!H560)</x:f>
      </x:c>
      <x:c r="H560" s="73" t="str">
        <x:f>IF('전기원장'!A560="","",'전기원장'!I560)</x:f>
      </x:c>
      <x:c r="I560" s="73" t="str">
        <x:f>IF('전기원장'!A560="","",'전기원장'!J560)</x:f>
      </x:c>
      <x:c r="J560" s="73" t="str">
        <x:f>IF('전기원장'!A560="","",'전기원장'!K560)</x:f>
      </x:c>
      <x:c r="K560" s="73" t="str">
        <x:f>IF(B560="","",IF(COUNTIF($B$5:B560,B560)=1,COUNT($K$4:K559)+1,""))</x:f>
      </x:c>
      <x:c r="L560" s="85" t="str">
        <x:f>IF(B560="","",IF(COUNTIFS('계정비교'!$A$5:$A$1004,B560,'계정비교'!$H$5:$H$1004,"원인분석 대상")&gt;0,COUNT($L$4:L559)+1,""))</x:f>
      </x:c>
    </x:row>
    <x:row r="561">
      <x:c r="A561" s="73" t="str">
        <x:f>IF('전기원장'!A561="","","전기")</x:f>
      </x:c>
      <x:c r="B561" s="73" t="str">
        <x:f>IF('전기원장'!A561="","",'전기원장'!A561)</x:f>
      </x:c>
      <x:c r="C561" s="73" t="str">
        <x:f>IF('전기원장'!A561="","",'전기원장'!B561)</x:f>
      </x:c>
      <x:c r="D561" s="74" t="str">
        <x:f>IF('전기원장'!A561="","",'전기원장'!C561)</x:f>
      </x:c>
      <x:c r="E561" s="73" t="str">
        <x:f>IF('전기원장'!A561="","",'전기원장'!D561)</x:f>
      </x:c>
      <x:c r="F561" s="73" t="str">
        <x:f>IF('전기원장'!A561="","",'전기원장'!E561)</x:f>
      </x:c>
      <x:c r="G561" s="75" t="str">
        <x:f>IF('전기원장'!A561="","",'전기원장'!H561)</x:f>
      </x:c>
      <x:c r="H561" s="73" t="str">
        <x:f>IF('전기원장'!A561="","",'전기원장'!I561)</x:f>
      </x:c>
      <x:c r="I561" s="73" t="str">
        <x:f>IF('전기원장'!A561="","",'전기원장'!J561)</x:f>
      </x:c>
      <x:c r="J561" s="73" t="str">
        <x:f>IF('전기원장'!A561="","",'전기원장'!K561)</x:f>
      </x:c>
      <x:c r="K561" s="73" t="str">
        <x:f>IF(B561="","",IF(COUNTIF($B$5:B561,B561)=1,COUNT($K$4:K560)+1,""))</x:f>
      </x:c>
      <x:c r="L561" s="85" t="str">
        <x:f>IF(B561="","",IF(COUNTIFS('계정비교'!$A$5:$A$1004,B561,'계정비교'!$H$5:$H$1004,"원인분석 대상")&gt;0,COUNT($L$4:L560)+1,""))</x:f>
      </x:c>
    </x:row>
    <x:row r="562">
      <x:c r="A562" s="73" t="str">
        <x:f>IF('전기원장'!A562="","","전기")</x:f>
      </x:c>
      <x:c r="B562" s="73" t="str">
        <x:f>IF('전기원장'!A562="","",'전기원장'!A562)</x:f>
      </x:c>
      <x:c r="C562" s="73" t="str">
        <x:f>IF('전기원장'!A562="","",'전기원장'!B562)</x:f>
      </x:c>
      <x:c r="D562" s="74" t="str">
        <x:f>IF('전기원장'!A562="","",'전기원장'!C562)</x:f>
      </x:c>
      <x:c r="E562" s="73" t="str">
        <x:f>IF('전기원장'!A562="","",'전기원장'!D562)</x:f>
      </x:c>
      <x:c r="F562" s="73" t="str">
        <x:f>IF('전기원장'!A562="","",'전기원장'!E562)</x:f>
      </x:c>
      <x:c r="G562" s="75" t="str">
        <x:f>IF('전기원장'!A562="","",'전기원장'!H562)</x:f>
      </x:c>
      <x:c r="H562" s="73" t="str">
        <x:f>IF('전기원장'!A562="","",'전기원장'!I562)</x:f>
      </x:c>
      <x:c r="I562" s="73" t="str">
        <x:f>IF('전기원장'!A562="","",'전기원장'!J562)</x:f>
      </x:c>
      <x:c r="J562" s="73" t="str">
        <x:f>IF('전기원장'!A562="","",'전기원장'!K562)</x:f>
      </x:c>
      <x:c r="K562" s="73" t="str">
        <x:f>IF(B562="","",IF(COUNTIF($B$5:B562,B562)=1,COUNT($K$4:K561)+1,""))</x:f>
      </x:c>
      <x:c r="L562" s="85" t="str">
        <x:f>IF(B562="","",IF(COUNTIFS('계정비교'!$A$5:$A$1004,B562,'계정비교'!$H$5:$H$1004,"원인분석 대상")&gt;0,COUNT($L$4:L561)+1,""))</x:f>
      </x:c>
    </x:row>
    <x:row r="563">
      <x:c r="A563" s="73" t="str">
        <x:f>IF('전기원장'!A563="","","전기")</x:f>
      </x:c>
      <x:c r="B563" s="73" t="str">
        <x:f>IF('전기원장'!A563="","",'전기원장'!A563)</x:f>
      </x:c>
      <x:c r="C563" s="73" t="str">
        <x:f>IF('전기원장'!A563="","",'전기원장'!B563)</x:f>
      </x:c>
      <x:c r="D563" s="74" t="str">
        <x:f>IF('전기원장'!A563="","",'전기원장'!C563)</x:f>
      </x:c>
      <x:c r="E563" s="73" t="str">
        <x:f>IF('전기원장'!A563="","",'전기원장'!D563)</x:f>
      </x:c>
      <x:c r="F563" s="73" t="str">
        <x:f>IF('전기원장'!A563="","",'전기원장'!E563)</x:f>
      </x:c>
      <x:c r="G563" s="75" t="str">
        <x:f>IF('전기원장'!A563="","",'전기원장'!H563)</x:f>
      </x:c>
      <x:c r="H563" s="73" t="str">
        <x:f>IF('전기원장'!A563="","",'전기원장'!I563)</x:f>
      </x:c>
      <x:c r="I563" s="73" t="str">
        <x:f>IF('전기원장'!A563="","",'전기원장'!J563)</x:f>
      </x:c>
      <x:c r="J563" s="73" t="str">
        <x:f>IF('전기원장'!A563="","",'전기원장'!K563)</x:f>
      </x:c>
      <x:c r="K563" s="73" t="str">
        <x:f>IF(B563="","",IF(COUNTIF($B$5:B563,B563)=1,COUNT($K$4:K562)+1,""))</x:f>
      </x:c>
      <x:c r="L563" s="85" t="str">
        <x:f>IF(B563="","",IF(COUNTIFS('계정비교'!$A$5:$A$1004,B563,'계정비교'!$H$5:$H$1004,"원인분석 대상")&gt;0,COUNT($L$4:L562)+1,""))</x:f>
      </x:c>
    </x:row>
    <x:row r="564">
      <x:c r="A564" s="73" t="str">
        <x:f>IF('전기원장'!A564="","","전기")</x:f>
      </x:c>
      <x:c r="B564" s="73" t="str">
        <x:f>IF('전기원장'!A564="","",'전기원장'!A564)</x:f>
      </x:c>
      <x:c r="C564" s="73" t="str">
        <x:f>IF('전기원장'!A564="","",'전기원장'!B564)</x:f>
      </x:c>
      <x:c r="D564" s="74" t="str">
        <x:f>IF('전기원장'!A564="","",'전기원장'!C564)</x:f>
      </x:c>
      <x:c r="E564" s="73" t="str">
        <x:f>IF('전기원장'!A564="","",'전기원장'!D564)</x:f>
      </x:c>
      <x:c r="F564" s="73" t="str">
        <x:f>IF('전기원장'!A564="","",'전기원장'!E564)</x:f>
      </x:c>
      <x:c r="G564" s="75" t="str">
        <x:f>IF('전기원장'!A564="","",'전기원장'!H564)</x:f>
      </x:c>
      <x:c r="H564" s="73" t="str">
        <x:f>IF('전기원장'!A564="","",'전기원장'!I564)</x:f>
      </x:c>
      <x:c r="I564" s="73" t="str">
        <x:f>IF('전기원장'!A564="","",'전기원장'!J564)</x:f>
      </x:c>
      <x:c r="J564" s="73" t="str">
        <x:f>IF('전기원장'!A564="","",'전기원장'!K564)</x:f>
      </x:c>
      <x:c r="K564" s="73" t="str">
        <x:f>IF(B564="","",IF(COUNTIF($B$5:B564,B564)=1,COUNT($K$4:K563)+1,""))</x:f>
      </x:c>
      <x:c r="L564" s="85" t="str">
        <x:f>IF(B564="","",IF(COUNTIFS('계정비교'!$A$5:$A$1004,B564,'계정비교'!$H$5:$H$1004,"원인분석 대상")&gt;0,COUNT($L$4:L563)+1,""))</x:f>
      </x:c>
    </x:row>
    <x:row r="565">
      <x:c r="A565" s="73" t="str">
        <x:f>IF('전기원장'!A565="","","전기")</x:f>
      </x:c>
      <x:c r="B565" s="73" t="str">
        <x:f>IF('전기원장'!A565="","",'전기원장'!A565)</x:f>
      </x:c>
      <x:c r="C565" s="73" t="str">
        <x:f>IF('전기원장'!A565="","",'전기원장'!B565)</x:f>
      </x:c>
      <x:c r="D565" s="74" t="str">
        <x:f>IF('전기원장'!A565="","",'전기원장'!C565)</x:f>
      </x:c>
      <x:c r="E565" s="73" t="str">
        <x:f>IF('전기원장'!A565="","",'전기원장'!D565)</x:f>
      </x:c>
      <x:c r="F565" s="73" t="str">
        <x:f>IF('전기원장'!A565="","",'전기원장'!E565)</x:f>
      </x:c>
      <x:c r="G565" s="75" t="str">
        <x:f>IF('전기원장'!A565="","",'전기원장'!H565)</x:f>
      </x:c>
      <x:c r="H565" s="73" t="str">
        <x:f>IF('전기원장'!A565="","",'전기원장'!I565)</x:f>
      </x:c>
      <x:c r="I565" s="73" t="str">
        <x:f>IF('전기원장'!A565="","",'전기원장'!J565)</x:f>
      </x:c>
      <x:c r="J565" s="73" t="str">
        <x:f>IF('전기원장'!A565="","",'전기원장'!K565)</x:f>
      </x:c>
      <x:c r="K565" s="73" t="str">
        <x:f>IF(B565="","",IF(COUNTIF($B$5:B565,B565)=1,COUNT($K$4:K564)+1,""))</x:f>
      </x:c>
      <x:c r="L565" s="85" t="str">
        <x:f>IF(B565="","",IF(COUNTIFS('계정비교'!$A$5:$A$1004,B565,'계정비교'!$H$5:$H$1004,"원인분석 대상")&gt;0,COUNT($L$4:L564)+1,""))</x:f>
      </x:c>
    </x:row>
    <x:row r="566">
      <x:c r="A566" s="73" t="str">
        <x:f>IF('전기원장'!A566="","","전기")</x:f>
      </x:c>
      <x:c r="B566" s="73" t="str">
        <x:f>IF('전기원장'!A566="","",'전기원장'!A566)</x:f>
      </x:c>
      <x:c r="C566" s="73" t="str">
        <x:f>IF('전기원장'!A566="","",'전기원장'!B566)</x:f>
      </x:c>
      <x:c r="D566" s="74" t="str">
        <x:f>IF('전기원장'!A566="","",'전기원장'!C566)</x:f>
      </x:c>
      <x:c r="E566" s="73" t="str">
        <x:f>IF('전기원장'!A566="","",'전기원장'!D566)</x:f>
      </x:c>
      <x:c r="F566" s="73" t="str">
        <x:f>IF('전기원장'!A566="","",'전기원장'!E566)</x:f>
      </x:c>
      <x:c r="G566" s="75" t="str">
        <x:f>IF('전기원장'!A566="","",'전기원장'!H566)</x:f>
      </x:c>
      <x:c r="H566" s="73" t="str">
        <x:f>IF('전기원장'!A566="","",'전기원장'!I566)</x:f>
      </x:c>
      <x:c r="I566" s="73" t="str">
        <x:f>IF('전기원장'!A566="","",'전기원장'!J566)</x:f>
      </x:c>
      <x:c r="J566" s="73" t="str">
        <x:f>IF('전기원장'!A566="","",'전기원장'!K566)</x:f>
      </x:c>
      <x:c r="K566" s="73" t="str">
        <x:f>IF(B566="","",IF(COUNTIF($B$5:B566,B566)=1,COUNT($K$4:K565)+1,""))</x:f>
      </x:c>
      <x:c r="L566" s="85" t="str">
        <x:f>IF(B566="","",IF(COUNTIFS('계정비교'!$A$5:$A$1004,B566,'계정비교'!$H$5:$H$1004,"원인분석 대상")&gt;0,COUNT($L$4:L565)+1,""))</x:f>
      </x:c>
    </x:row>
    <x:row r="567">
      <x:c r="A567" s="73" t="str">
        <x:f>IF('전기원장'!A567="","","전기")</x:f>
      </x:c>
      <x:c r="B567" s="73" t="str">
        <x:f>IF('전기원장'!A567="","",'전기원장'!A567)</x:f>
      </x:c>
      <x:c r="C567" s="73" t="str">
        <x:f>IF('전기원장'!A567="","",'전기원장'!B567)</x:f>
      </x:c>
      <x:c r="D567" s="74" t="str">
        <x:f>IF('전기원장'!A567="","",'전기원장'!C567)</x:f>
      </x:c>
      <x:c r="E567" s="73" t="str">
        <x:f>IF('전기원장'!A567="","",'전기원장'!D567)</x:f>
      </x:c>
      <x:c r="F567" s="73" t="str">
        <x:f>IF('전기원장'!A567="","",'전기원장'!E567)</x:f>
      </x:c>
      <x:c r="G567" s="75" t="str">
        <x:f>IF('전기원장'!A567="","",'전기원장'!H567)</x:f>
      </x:c>
      <x:c r="H567" s="73" t="str">
        <x:f>IF('전기원장'!A567="","",'전기원장'!I567)</x:f>
      </x:c>
      <x:c r="I567" s="73" t="str">
        <x:f>IF('전기원장'!A567="","",'전기원장'!J567)</x:f>
      </x:c>
      <x:c r="J567" s="73" t="str">
        <x:f>IF('전기원장'!A567="","",'전기원장'!K567)</x:f>
      </x:c>
      <x:c r="K567" s="73" t="str">
        <x:f>IF(B567="","",IF(COUNTIF($B$5:B567,B567)=1,COUNT($K$4:K566)+1,""))</x:f>
      </x:c>
      <x:c r="L567" s="85" t="str">
        <x:f>IF(B567="","",IF(COUNTIFS('계정비교'!$A$5:$A$1004,B567,'계정비교'!$H$5:$H$1004,"원인분석 대상")&gt;0,COUNT($L$4:L566)+1,""))</x:f>
      </x:c>
    </x:row>
    <x:row r="568">
      <x:c r="A568" s="73" t="str">
        <x:f>IF('전기원장'!A568="","","전기")</x:f>
      </x:c>
      <x:c r="B568" s="73" t="str">
        <x:f>IF('전기원장'!A568="","",'전기원장'!A568)</x:f>
      </x:c>
      <x:c r="C568" s="73" t="str">
        <x:f>IF('전기원장'!A568="","",'전기원장'!B568)</x:f>
      </x:c>
      <x:c r="D568" s="74" t="str">
        <x:f>IF('전기원장'!A568="","",'전기원장'!C568)</x:f>
      </x:c>
      <x:c r="E568" s="73" t="str">
        <x:f>IF('전기원장'!A568="","",'전기원장'!D568)</x:f>
      </x:c>
      <x:c r="F568" s="73" t="str">
        <x:f>IF('전기원장'!A568="","",'전기원장'!E568)</x:f>
      </x:c>
      <x:c r="G568" s="75" t="str">
        <x:f>IF('전기원장'!A568="","",'전기원장'!H568)</x:f>
      </x:c>
      <x:c r="H568" s="73" t="str">
        <x:f>IF('전기원장'!A568="","",'전기원장'!I568)</x:f>
      </x:c>
      <x:c r="I568" s="73" t="str">
        <x:f>IF('전기원장'!A568="","",'전기원장'!J568)</x:f>
      </x:c>
      <x:c r="J568" s="73" t="str">
        <x:f>IF('전기원장'!A568="","",'전기원장'!K568)</x:f>
      </x:c>
      <x:c r="K568" s="73" t="str">
        <x:f>IF(B568="","",IF(COUNTIF($B$5:B568,B568)=1,COUNT($K$4:K567)+1,""))</x:f>
      </x:c>
      <x:c r="L568" s="85" t="str">
        <x:f>IF(B568="","",IF(COUNTIFS('계정비교'!$A$5:$A$1004,B568,'계정비교'!$H$5:$H$1004,"원인분석 대상")&gt;0,COUNT($L$4:L567)+1,""))</x:f>
      </x:c>
    </x:row>
    <x:row r="569">
      <x:c r="A569" s="73" t="str">
        <x:f>IF('전기원장'!A569="","","전기")</x:f>
      </x:c>
      <x:c r="B569" s="73" t="str">
        <x:f>IF('전기원장'!A569="","",'전기원장'!A569)</x:f>
      </x:c>
      <x:c r="C569" s="73" t="str">
        <x:f>IF('전기원장'!A569="","",'전기원장'!B569)</x:f>
      </x:c>
      <x:c r="D569" s="74" t="str">
        <x:f>IF('전기원장'!A569="","",'전기원장'!C569)</x:f>
      </x:c>
      <x:c r="E569" s="73" t="str">
        <x:f>IF('전기원장'!A569="","",'전기원장'!D569)</x:f>
      </x:c>
      <x:c r="F569" s="73" t="str">
        <x:f>IF('전기원장'!A569="","",'전기원장'!E569)</x:f>
      </x:c>
      <x:c r="G569" s="75" t="str">
        <x:f>IF('전기원장'!A569="","",'전기원장'!H569)</x:f>
      </x:c>
      <x:c r="H569" s="73" t="str">
        <x:f>IF('전기원장'!A569="","",'전기원장'!I569)</x:f>
      </x:c>
      <x:c r="I569" s="73" t="str">
        <x:f>IF('전기원장'!A569="","",'전기원장'!J569)</x:f>
      </x:c>
      <x:c r="J569" s="73" t="str">
        <x:f>IF('전기원장'!A569="","",'전기원장'!K569)</x:f>
      </x:c>
      <x:c r="K569" s="73" t="str">
        <x:f>IF(B569="","",IF(COUNTIF($B$5:B569,B569)=1,COUNT($K$4:K568)+1,""))</x:f>
      </x:c>
      <x:c r="L569" s="85" t="str">
        <x:f>IF(B569="","",IF(COUNTIFS('계정비교'!$A$5:$A$1004,B569,'계정비교'!$H$5:$H$1004,"원인분석 대상")&gt;0,COUNT($L$4:L568)+1,""))</x:f>
      </x:c>
    </x:row>
    <x:row r="570">
      <x:c r="A570" s="73" t="str">
        <x:f>IF('전기원장'!A570="","","전기")</x:f>
      </x:c>
      <x:c r="B570" s="73" t="str">
        <x:f>IF('전기원장'!A570="","",'전기원장'!A570)</x:f>
      </x:c>
      <x:c r="C570" s="73" t="str">
        <x:f>IF('전기원장'!A570="","",'전기원장'!B570)</x:f>
      </x:c>
      <x:c r="D570" s="74" t="str">
        <x:f>IF('전기원장'!A570="","",'전기원장'!C570)</x:f>
      </x:c>
      <x:c r="E570" s="73" t="str">
        <x:f>IF('전기원장'!A570="","",'전기원장'!D570)</x:f>
      </x:c>
      <x:c r="F570" s="73" t="str">
        <x:f>IF('전기원장'!A570="","",'전기원장'!E570)</x:f>
      </x:c>
      <x:c r="G570" s="75" t="str">
        <x:f>IF('전기원장'!A570="","",'전기원장'!H570)</x:f>
      </x:c>
      <x:c r="H570" s="73" t="str">
        <x:f>IF('전기원장'!A570="","",'전기원장'!I570)</x:f>
      </x:c>
      <x:c r="I570" s="73" t="str">
        <x:f>IF('전기원장'!A570="","",'전기원장'!J570)</x:f>
      </x:c>
      <x:c r="J570" s="73" t="str">
        <x:f>IF('전기원장'!A570="","",'전기원장'!K570)</x:f>
      </x:c>
      <x:c r="K570" s="73" t="str">
        <x:f>IF(B570="","",IF(COUNTIF($B$5:B570,B570)=1,COUNT($K$4:K569)+1,""))</x:f>
      </x:c>
      <x:c r="L570" s="85" t="str">
        <x:f>IF(B570="","",IF(COUNTIFS('계정비교'!$A$5:$A$1004,B570,'계정비교'!$H$5:$H$1004,"원인분석 대상")&gt;0,COUNT($L$4:L569)+1,""))</x:f>
      </x:c>
    </x:row>
    <x:row r="571">
      <x:c r="A571" s="73" t="str">
        <x:f>IF('전기원장'!A571="","","전기")</x:f>
      </x:c>
      <x:c r="B571" s="73" t="str">
        <x:f>IF('전기원장'!A571="","",'전기원장'!A571)</x:f>
      </x:c>
      <x:c r="C571" s="73" t="str">
        <x:f>IF('전기원장'!A571="","",'전기원장'!B571)</x:f>
      </x:c>
      <x:c r="D571" s="74" t="str">
        <x:f>IF('전기원장'!A571="","",'전기원장'!C571)</x:f>
      </x:c>
      <x:c r="E571" s="73" t="str">
        <x:f>IF('전기원장'!A571="","",'전기원장'!D571)</x:f>
      </x:c>
      <x:c r="F571" s="73" t="str">
        <x:f>IF('전기원장'!A571="","",'전기원장'!E571)</x:f>
      </x:c>
      <x:c r="G571" s="75" t="str">
        <x:f>IF('전기원장'!A571="","",'전기원장'!H571)</x:f>
      </x:c>
      <x:c r="H571" s="73" t="str">
        <x:f>IF('전기원장'!A571="","",'전기원장'!I571)</x:f>
      </x:c>
      <x:c r="I571" s="73" t="str">
        <x:f>IF('전기원장'!A571="","",'전기원장'!J571)</x:f>
      </x:c>
      <x:c r="J571" s="73" t="str">
        <x:f>IF('전기원장'!A571="","",'전기원장'!K571)</x:f>
      </x:c>
      <x:c r="K571" s="73" t="str">
        <x:f>IF(B571="","",IF(COUNTIF($B$5:B571,B571)=1,COUNT($K$4:K570)+1,""))</x:f>
      </x:c>
      <x:c r="L571" s="85" t="str">
        <x:f>IF(B571="","",IF(COUNTIFS('계정비교'!$A$5:$A$1004,B571,'계정비교'!$H$5:$H$1004,"원인분석 대상")&gt;0,COUNT($L$4:L570)+1,""))</x:f>
      </x:c>
    </x:row>
    <x:row r="572">
      <x:c r="A572" s="73" t="str">
        <x:f>IF('전기원장'!A572="","","전기")</x:f>
      </x:c>
      <x:c r="B572" s="73" t="str">
        <x:f>IF('전기원장'!A572="","",'전기원장'!A572)</x:f>
      </x:c>
      <x:c r="C572" s="73" t="str">
        <x:f>IF('전기원장'!A572="","",'전기원장'!B572)</x:f>
      </x:c>
      <x:c r="D572" s="74" t="str">
        <x:f>IF('전기원장'!A572="","",'전기원장'!C572)</x:f>
      </x:c>
      <x:c r="E572" s="73" t="str">
        <x:f>IF('전기원장'!A572="","",'전기원장'!D572)</x:f>
      </x:c>
      <x:c r="F572" s="73" t="str">
        <x:f>IF('전기원장'!A572="","",'전기원장'!E572)</x:f>
      </x:c>
      <x:c r="G572" s="75" t="str">
        <x:f>IF('전기원장'!A572="","",'전기원장'!H572)</x:f>
      </x:c>
      <x:c r="H572" s="73" t="str">
        <x:f>IF('전기원장'!A572="","",'전기원장'!I572)</x:f>
      </x:c>
      <x:c r="I572" s="73" t="str">
        <x:f>IF('전기원장'!A572="","",'전기원장'!J572)</x:f>
      </x:c>
      <x:c r="J572" s="73" t="str">
        <x:f>IF('전기원장'!A572="","",'전기원장'!K572)</x:f>
      </x:c>
      <x:c r="K572" s="73" t="str">
        <x:f>IF(B572="","",IF(COUNTIF($B$5:B572,B572)=1,COUNT($K$4:K571)+1,""))</x:f>
      </x:c>
      <x:c r="L572" s="85" t="str">
        <x:f>IF(B572="","",IF(COUNTIFS('계정비교'!$A$5:$A$1004,B572,'계정비교'!$H$5:$H$1004,"원인분석 대상")&gt;0,COUNT($L$4:L571)+1,""))</x:f>
      </x:c>
    </x:row>
    <x:row r="573">
      <x:c r="A573" s="73" t="str">
        <x:f>IF('전기원장'!A573="","","전기")</x:f>
      </x:c>
      <x:c r="B573" s="73" t="str">
        <x:f>IF('전기원장'!A573="","",'전기원장'!A573)</x:f>
      </x:c>
      <x:c r="C573" s="73" t="str">
        <x:f>IF('전기원장'!A573="","",'전기원장'!B573)</x:f>
      </x:c>
      <x:c r="D573" s="74" t="str">
        <x:f>IF('전기원장'!A573="","",'전기원장'!C573)</x:f>
      </x:c>
      <x:c r="E573" s="73" t="str">
        <x:f>IF('전기원장'!A573="","",'전기원장'!D573)</x:f>
      </x:c>
      <x:c r="F573" s="73" t="str">
        <x:f>IF('전기원장'!A573="","",'전기원장'!E573)</x:f>
      </x:c>
      <x:c r="G573" s="75" t="str">
        <x:f>IF('전기원장'!A573="","",'전기원장'!H573)</x:f>
      </x:c>
      <x:c r="H573" s="73" t="str">
        <x:f>IF('전기원장'!A573="","",'전기원장'!I573)</x:f>
      </x:c>
      <x:c r="I573" s="73" t="str">
        <x:f>IF('전기원장'!A573="","",'전기원장'!J573)</x:f>
      </x:c>
      <x:c r="J573" s="73" t="str">
        <x:f>IF('전기원장'!A573="","",'전기원장'!K573)</x:f>
      </x:c>
      <x:c r="K573" s="73" t="str">
        <x:f>IF(B573="","",IF(COUNTIF($B$5:B573,B573)=1,COUNT($K$4:K572)+1,""))</x:f>
      </x:c>
      <x:c r="L573" s="85" t="str">
        <x:f>IF(B573="","",IF(COUNTIFS('계정비교'!$A$5:$A$1004,B573,'계정비교'!$H$5:$H$1004,"원인분석 대상")&gt;0,COUNT($L$4:L572)+1,""))</x:f>
      </x:c>
    </x:row>
    <x:row r="574">
      <x:c r="A574" s="73" t="str">
        <x:f>IF('전기원장'!A574="","","전기")</x:f>
      </x:c>
      <x:c r="B574" s="73" t="str">
        <x:f>IF('전기원장'!A574="","",'전기원장'!A574)</x:f>
      </x:c>
      <x:c r="C574" s="73" t="str">
        <x:f>IF('전기원장'!A574="","",'전기원장'!B574)</x:f>
      </x:c>
      <x:c r="D574" s="74" t="str">
        <x:f>IF('전기원장'!A574="","",'전기원장'!C574)</x:f>
      </x:c>
      <x:c r="E574" s="73" t="str">
        <x:f>IF('전기원장'!A574="","",'전기원장'!D574)</x:f>
      </x:c>
      <x:c r="F574" s="73" t="str">
        <x:f>IF('전기원장'!A574="","",'전기원장'!E574)</x:f>
      </x:c>
      <x:c r="G574" s="75" t="str">
        <x:f>IF('전기원장'!A574="","",'전기원장'!H574)</x:f>
      </x:c>
      <x:c r="H574" s="73" t="str">
        <x:f>IF('전기원장'!A574="","",'전기원장'!I574)</x:f>
      </x:c>
      <x:c r="I574" s="73" t="str">
        <x:f>IF('전기원장'!A574="","",'전기원장'!J574)</x:f>
      </x:c>
      <x:c r="J574" s="73" t="str">
        <x:f>IF('전기원장'!A574="","",'전기원장'!K574)</x:f>
      </x:c>
      <x:c r="K574" s="73" t="str">
        <x:f>IF(B574="","",IF(COUNTIF($B$5:B574,B574)=1,COUNT($K$4:K573)+1,""))</x:f>
      </x:c>
      <x:c r="L574" s="85" t="str">
        <x:f>IF(B574="","",IF(COUNTIFS('계정비교'!$A$5:$A$1004,B574,'계정비교'!$H$5:$H$1004,"원인분석 대상")&gt;0,COUNT($L$4:L573)+1,""))</x:f>
      </x:c>
    </x:row>
    <x:row r="575">
      <x:c r="A575" s="73" t="str">
        <x:f>IF('전기원장'!A575="","","전기")</x:f>
      </x:c>
      <x:c r="B575" s="73" t="str">
        <x:f>IF('전기원장'!A575="","",'전기원장'!A575)</x:f>
      </x:c>
      <x:c r="C575" s="73" t="str">
        <x:f>IF('전기원장'!A575="","",'전기원장'!B575)</x:f>
      </x:c>
      <x:c r="D575" s="74" t="str">
        <x:f>IF('전기원장'!A575="","",'전기원장'!C575)</x:f>
      </x:c>
      <x:c r="E575" s="73" t="str">
        <x:f>IF('전기원장'!A575="","",'전기원장'!D575)</x:f>
      </x:c>
      <x:c r="F575" s="73" t="str">
        <x:f>IF('전기원장'!A575="","",'전기원장'!E575)</x:f>
      </x:c>
      <x:c r="G575" s="75" t="str">
        <x:f>IF('전기원장'!A575="","",'전기원장'!H575)</x:f>
      </x:c>
      <x:c r="H575" s="73" t="str">
        <x:f>IF('전기원장'!A575="","",'전기원장'!I575)</x:f>
      </x:c>
      <x:c r="I575" s="73" t="str">
        <x:f>IF('전기원장'!A575="","",'전기원장'!J575)</x:f>
      </x:c>
      <x:c r="J575" s="73" t="str">
        <x:f>IF('전기원장'!A575="","",'전기원장'!K575)</x:f>
      </x:c>
      <x:c r="K575" s="73" t="str">
        <x:f>IF(B575="","",IF(COUNTIF($B$5:B575,B575)=1,COUNT($K$4:K574)+1,""))</x:f>
      </x:c>
      <x:c r="L575" s="85" t="str">
        <x:f>IF(B575="","",IF(COUNTIFS('계정비교'!$A$5:$A$1004,B575,'계정비교'!$H$5:$H$1004,"원인분석 대상")&gt;0,COUNT($L$4:L574)+1,""))</x:f>
      </x:c>
    </x:row>
    <x:row r="576">
      <x:c r="A576" s="73" t="str">
        <x:f>IF('전기원장'!A576="","","전기")</x:f>
      </x:c>
      <x:c r="B576" s="73" t="str">
        <x:f>IF('전기원장'!A576="","",'전기원장'!A576)</x:f>
      </x:c>
      <x:c r="C576" s="73" t="str">
        <x:f>IF('전기원장'!A576="","",'전기원장'!B576)</x:f>
      </x:c>
      <x:c r="D576" s="74" t="str">
        <x:f>IF('전기원장'!A576="","",'전기원장'!C576)</x:f>
      </x:c>
      <x:c r="E576" s="73" t="str">
        <x:f>IF('전기원장'!A576="","",'전기원장'!D576)</x:f>
      </x:c>
      <x:c r="F576" s="73" t="str">
        <x:f>IF('전기원장'!A576="","",'전기원장'!E576)</x:f>
      </x:c>
      <x:c r="G576" s="75" t="str">
        <x:f>IF('전기원장'!A576="","",'전기원장'!H576)</x:f>
      </x:c>
      <x:c r="H576" s="73" t="str">
        <x:f>IF('전기원장'!A576="","",'전기원장'!I576)</x:f>
      </x:c>
      <x:c r="I576" s="73" t="str">
        <x:f>IF('전기원장'!A576="","",'전기원장'!J576)</x:f>
      </x:c>
      <x:c r="J576" s="73" t="str">
        <x:f>IF('전기원장'!A576="","",'전기원장'!K576)</x:f>
      </x:c>
      <x:c r="K576" s="73" t="str">
        <x:f>IF(B576="","",IF(COUNTIF($B$5:B576,B576)=1,COUNT($K$4:K575)+1,""))</x:f>
      </x:c>
      <x:c r="L576" s="85" t="str">
        <x:f>IF(B576="","",IF(COUNTIFS('계정비교'!$A$5:$A$1004,B576,'계정비교'!$H$5:$H$1004,"원인분석 대상")&gt;0,COUNT($L$4:L575)+1,""))</x:f>
      </x:c>
    </x:row>
    <x:row r="577">
      <x:c r="A577" s="73" t="str">
        <x:f>IF('전기원장'!A577="","","전기")</x:f>
      </x:c>
      <x:c r="B577" s="73" t="str">
        <x:f>IF('전기원장'!A577="","",'전기원장'!A577)</x:f>
      </x:c>
      <x:c r="C577" s="73" t="str">
        <x:f>IF('전기원장'!A577="","",'전기원장'!B577)</x:f>
      </x:c>
      <x:c r="D577" s="74" t="str">
        <x:f>IF('전기원장'!A577="","",'전기원장'!C577)</x:f>
      </x:c>
      <x:c r="E577" s="73" t="str">
        <x:f>IF('전기원장'!A577="","",'전기원장'!D577)</x:f>
      </x:c>
      <x:c r="F577" s="73" t="str">
        <x:f>IF('전기원장'!A577="","",'전기원장'!E577)</x:f>
      </x:c>
      <x:c r="G577" s="75" t="str">
        <x:f>IF('전기원장'!A577="","",'전기원장'!H577)</x:f>
      </x:c>
      <x:c r="H577" s="73" t="str">
        <x:f>IF('전기원장'!A577="","",'전기원장'!I577)</x:f>
      </x:c>
      <x:c r="I577" s="73" t="str">
        <x:f>IF('전기원장'!A577="","",'전기원장'!J577)</x:f>
      </x:c>
      <x:c r="J577" s="73" t="str">
        <x:f>IF('전기원장'!A577="","",'전기원장'!K577)</x:f>
      </x:c>
      <x:c r="K577" s="73" t="str">
        <x:f>IF(B577="","",IF(COUNTIF($B$5:B577,B577)=1,COUNT($K$4:K576)+1,""))</x:f>
      </x:c>
      <x:c r="L577" s="85" t="str">
        <x:f>IF(B577="","",IF(COUNTIFS('계정비교'!$A$5:$A$1004,B577,'계정비교'!$H$5:$H$1004,"원인분석 대상")&gt;0,COUNT($L$4:L576)+1,""))</x:f>
      </x:c>
    </x:row>
    <x:row r="578">
      <x:c r="A578" s="73" t="str">
        <x:f>IF('전기원장'!A578="","","전기")</x:f>
      </x:c>
      <x:c r="B578" s="73" t="str">
        <x:f>IF('전기원장'!A578="","",'전기원장'!A578)</x:f>
      </x:c>
      <x:c r="C578" s="73" t="str">
        <x:f>IF('전기원장'!A578="","",'전기원장'!B578)</x:f>
      </x:c>
      <x:c r="D578" s="74" t="str">
        <x:f>IF('전기원장'!A578="","",'전기원장'!C578)</x:f>
      </x:c>
      <x:c r="E578" s="73" t="str">
        <x:f>IF('전기원장'!A578="","",'전기원장'!D578)</x:f>
      </x:c>
      <x:c r="F578" s="73" t="str">
        <x:f>IF('전기원장'!A578="","",'전기원장'!E578)</x:f>
      </x:c>
      <x:c r="G578" s="75" t="str">
        <x:f>IF('전기원장'!A578="","",'전기원장'!H578)</x:f>
      </x:c>
      <x:c r="H578" s="73" t="str">
        <x:f>IF('전기원장'!A578="","",'전기원장'!I578)</x:f>
      </x:c>
      <x:c r="I578" s="73" t="str">
        <x:f>IF('전기원장'!A578="","",'전기원장'!J578)</x:f>
      </x:c>
      <x:c r="J578" s="73" t="str">
        <x:f>IF('전기원장'!A578="","",'전기원장'!K578)</x:f>
      </x:c>
      <x:c r="K578" s="73" t="str">
        <x:f>IF(B578="","",IF(COUNTIF($B$5:B578,B578)=1,COUNT($K$4:K577)+1,""))</x:f>
      </x:c>
      <x:c r="L578" s="85" t="str">
        <x:f>IF(B578="","",IF(COUNTIFS('계정비교'!$A$5:$A$1004,B578,'계정비교'!$H$5:$H$1004,"원인분석 대상")&gt;0,COUNT($L$4:L577)+1,""))</x:f>
      </x:c>
    </x:row>
    <x:row r="579">
      <x:c r="A579" s="73" t="str">
        <x:f>IF('전기원장'!A579="","","전기")</x:f>
      </x:c>
      <x:c r="B579" s="73" t="str">
        <x:f>IF('전기원장'!A579="","",'전기원장'!A579)</x:f>
      </x:c>
      <x:c r="C579" s="73" t="str">
        <x:f>IF('전기원장'!A579="","",'전기원장'!B579)</x:f>
      </x:c>
      <x:c r="D579" s="74" t="str">
        <x:f>IF('전기원장'!A579="","",'전기원장'!C579)</x:f>
      </x:c>
      <x:c r="E579" s="73" t="str">
        <x:f>IF('전기원장'!A579="","",'전기원장'!D579)</x:f>
      </x:c>
      <x:c r="F579" s="73" t="str">
        <x:f>IF('전기원장'!A579="","",'전기원장'!E579)</x:f>
      </x:c>
      <x:c r="G579" s="75" t="str">
        <x:f>IF('전기원장'!A579="","",'전기원장'!H579)</x:f>
      </x:c>
      <x:c r="H579" s="73" t="str">
        <x:f>IF('전기원장'!A579="","",'전기원장'!I579)</x:f>
      </x:c>
      <x:c r="I579" s="73" t="str">
        <x:f>IF('전기원장'!A579="","",'전기원장'!J579)</x:f>
      </x:c>
      <x:c r="J579" s="73" t="str">
        <x:f>IF('전기원장'!A579="","",'전기원장'!K579)</x:f>
      </x:c>
      <x:c r="K579" s="73" t="str">
        <x:f>IF(B579="","",IF(COUNTIF($B$5:B579,B579)=1,COUNT($K$4:K578)+1,""))</x:f>
      </x:c>
      <x:c r="L579" s="85" t="str">
        <x:f>IF(B579="","",IF(COUNTIFS('계정비교'!$A$5:$A$1004,B579,'계정비교'!$H$5:$H$1004,"원인분석 대상")&gt;0,COUNT($L$4:L578)+1,""))</x:f>
      </x:c>
    </x:row>
    <x:row r="580">
      <x:c r="A580" s="73" t="str">
        <x:f>IF('전기원장'!A580="","","전기")</x:f>
      </x:c>
      <x:c r="B580" s="73" t="str">
        <x:f>IF('전기원장'!A580="","",'전기원장'!A580)</x:f>
      </x:c>
      <x:c r="C580" s="73" t="str">
        <x:f>IF('전기원장'!A580="","",'전기원장'!B580)</x:f>
      </x:c>
      <x:c r="D580" s="74" t="str">
        <x:f>IF('전기원장'!A580="","",'전기원장'!C580)</x:f>
      </x:c>
      <x:c r="E580" s="73" t="str">
        <x:f>IF('전기원장'!A580="","",'전기원장'!D580)</x:f>
      </x:c>
      <x:c r="F580" s="73" t="str">
        <x:f>IF('전기원장'!A580="","",'전기원장'!E580)</x:f>
      </x:c>
      <x:c r="G580" s="75" t="str">
        <x:f>IF('전기원장'!A580="","",'전기원장'!H580)</x:f>
      </x:c>
      <x:c r="H580" s="73" t="str">
        <x:f>IF('전기원장'!A580="","",'전기원장'!I580)</x:f>
      </x:c>
      <x:c r="I580" s="73" t="str">
        <x:f>IF('전기원장'!A580="","",'전기원장'!J580)</x:f>
      </x:c>
      <x:c r="J580" s="73" t="str">
        <x:f>IF('전기원장'!A580="","",'전기원장'!K580)</x:f>
      </x:c>
      <x:c r="K580" s="73" t="str">
        <x:f>IF(B580="","",IF(COUNTIF($B$5:B580,B580)=1,COUNT($K$4:K579)+1,""))</x:f>
      </x:c>
      <x:c r="L580" s="85" t="str">
        <x:f>IF(B580="","",IF(COUNTIFS('계정비교'!$A$5:$A$1004,B580,'계정비교'!$H$5:$H$1004,"원인분석 대상")&gt;0,COUNT($L$4:L579)+1,""))</x:f>
      </x:c>
    </x:row>
    <x:row r="581">
      <x:c r="A581" s="73" t="str">
        <x:f>IF('전기원장'!A581="","","전기")</x:f>
      </x:c>
      <x:c r="B581" s="73" t="str">
        <x:f>IF('전기원장'!A581="","",'전기원장'!A581)</x:f>
      </x:c>
      <x:c r="C581" s="73" t="str">
        <x:f>IF('전기원장'!A581="","",'전기원장'!B581)</x:f>
      </x:c>
      <x:c r="D581" s="74" t="str">
        <x:f>IF('전기원장'!A581="","",'전기원장'!C581)</x:f>
      </x:c>
      <x:c r="E581" s="73" t="str">
        <x:f>IF('전기원장'!A581="","",'전기원장'!D581)</x:f>
      </x:c>
      <x:c r="F581" s="73" t="str">
        <x:f>IF('전기원장'!A581="","",'전기원장'!E581)</x:f>
      </x:c>
      <x:c r="G581" s="75" t="str">
        <x:f>IF('전기원장'!A581="","",'전기원장'!H581)</x:f>
      </x:c>
      <x:c r="H581" s="73" t="str">
        <x:f>IF('전기원장'!A581="","",'전기원장'!I581)</x:f>
      </x:c>
      <x:c r="I581" s="73" t="str">
        <x:f>IF('전기원장'!A581="","",'전기원장'!J581)</x:f>
      </x:c>
      <x:c r="J581" s="73" t="str">
        <x:f>IF('전기원장'!A581="","",'전기원장'!K581)</x:f>
      </x:c>
      <x:c r="K581" s="73" t="str">
        <x:f>IF(B581="","",IF(COUNTIF($B$5:B581,B581)=1,COUNT($K$4:K580)+1,""))</x:f>
      </x:c>
      <x:c r="L581" s="85" t="str">
        <x:f>IF(B581="","",IF(COUNTIFS('계정비교'!$A$5:$A$1004,B581,'계정비교'!$H$5:$H$1004,"원인분석 대상")&gt;0,COUNT($L$4:L580)+1,""))</x:f>
      </x:c>
    </x:row>
    <x:row r="582">
      <x:c r="A582" s="73" t="str">
        <x:f>IF('전기원장'!A582="","","전기")</x:f>
      </x:c>
      <x:c r="B582" s="73" t="str">
        <x:f>IF('전기원장'!A582="","",'전기원장'!A582)</x:f>
      </x:c>
      <x:c r="C582" s="73" t="str">
        <x:f>IF('전기원장'!A582="","",'전기원장'!B582)</x:f>
      </x:c>
      <x:c r="D582" s="74" t="str">
        <x:f>IF('전기원장'!A582="","",'전기원장'!C582)</x:f>
      </x:c>
      <x:c r="E582" s="73" t="str">
        <x:f>IF('전기원장'!A582="","",'전기원장'!D582)</x:f>
      </x:c>
      <x:c r="F582" s="73" t="str">
        <x:f>IF('전기원장'!A582="","",'전기원장'!E582)</x:f>
      </x:c>
      <x:c r="G582" s="75" t="str">
        <x:f>IF('전기원장'!A582="","",'전기원장'!H582)</x:f>
      </x:c>
      <x:c r="H582" s="73" t="str">
        <x:f>IF('전기원장'!A582="","",'전기원장'!I582)</x:f>
      </x:c>
      <x:c r="I582" s="73" t="str">
        <x:f>IF('전기원장'!A582="","",'전기원장'!J582)</x:f>
      </x:c>
      <x:c r="J582" s="73" t="str">
        <x:f>IF('전기원장'!A582="","",'전기원장'!K582)</x:f>
      </x:c>
      <x:c r="K582" s="73" t="str">
        <x:f>IF(B582="","",IF(COUNTIF($B$5:B582,B582)=1,COUNT($K$4:K581)+1,""))</x:f>
      </x:c>
      <x:c r="L582" s="85" t="str">
        <x:f>IF(B582="","",IF(COUNTIFS('계정비교'!$A$5:$A$1004,B582,'계정비교'!$H$5:$H$1004,"원인분석 대상")&gt;0,COUNT($L$4:L581)+1,""))</x:f>
      </x:c>
    </x:row>
    <x:row r="583">
      <x:c r="A583" s="73" t="str">
        <x:f>IF('전기원장'!A583="","","전기")</x:f>
      </x:c>
      <x:c r="B583" s="73" t="str">
        <x:f>IF('전기원장'!A583="","",'전기원장'!A583)</x:f>
      </x:c>
      <x:c r="C583" s="73" t="str">
        <x:f>IF('전기원장'!A583="","",'전기원장'!B583)</x:f>
      </x:c>
      <x:c r="D583" s="74" t="str">
        <x:f>IF('전기원장'!A583="","",'전기원장'!C583)</x:f>
      </x:c>
      <x:c r="E583" s="73" t="str">
        <x:f>IF('전기원장'!A583="","",'전기원장'!D583)</x:f>
      </x:c>
      <x:c r="F583" s="73" t="str">
        <x:f>IF('전기원장'!A583="","",'전기원장'!E583)</x:f>
      </x:c>
      <x:c r="G583" s="75" t="str">
        <x:f>IF('전기원장'!A583="","",'전기원장'!H583)</x:f>
      </x:c>
      <x:c r="H583" s="73" t="str">
        <x:f>IF('전기원장'!A583="","",'전기원장'!I583)</x:f>
      </x:c>
      <x:c r="I583" s="73" t="str">
        <x:f>IF('전기원장'!A583="","",'전기원장'!J583)</x:f>
      </x:c>
      <x:c r="J583" s="73" t="str">
        <x:f>IF('전기원장'!A583="","",'전기원장'!K583)</x:f>
      </x:c>
      <x:c r="K583" s="73" t="str">
        <x:f>IF(B583="","",IF(COUNTIF($B$5:B583,B583)=1,COUNT($K$4:K582)+1,""))</x:f>
      </x:c>
      <x:c r="L583" s="85" t="str">
        <x:f>IF(B583="","",IF(COUNTIFS('계정비교'!$A$5:$A$1004,B583,'계정비교'!$H$5:$H$1004,"원인분석 대상")&gt;0,COUNT($L$4:L582)+1,""))</x:f>
      </x:c>
    </x:row>
    <x:row r="584">
      <x:c r="A584" s="73" t="str">
        <x:f>IF('전기원장'!A584="","","전기")</x:f>
      </x:c>
      <x:c r="B584" s="73" t="str">
        <x:f>IF('전기원장'!A584="","",'전기원장'!A584)</x:f>
      </x:c>
      <x:c r="C584" s="73" t="str">
        <x:f>IF('전기원장'!A584="","",'전기원장'!B584)</x:f>
      </x:c>
      <x:c r="D584" s="74" t="str">
        <x:f>IF('전기원장'!A584="","",'전기원장'!C584)</x:f>
      </x:c>
      <x:c r="E584" s="73" t="str">
        <x:f>IF('전기원장'!A584="","",'전기원장'!D584)</x:f>
      </x:c>
      <x:c r="F584" s="73" t="str">
        <x:f>IF('전기원장'!A584="","",'전기원장'!E584)</x:f>
      </x:c>
      <x:c r="G584" s="75" t="str">
        <x:f>IF('전기원장'!A584="","",'전기원장'!H584)</x:f>
      </x:c>
      <x:c r="H584" s="73" t="str">
        <x:f>IF('전기원장'!A584="","",'전기원장'!I584)</x:f>
      </x:c>
      <x:c r="I584" s="73" t="str">
        <x:f>IF('전기원장'!A584="","",'전기원장'!J584)</x:f>
      </x:c>
      <x:c r="J584" s="73" t="str">
        <x:f>IF('전기원장'!A584="","",'전기원장'!K584)</x:f>
      </x:c>
      <x:c r="K584" s="73" t="str">
        <x:f>IF(B584="","",IF(COUNTIF($B$5:B584,B584)=1,COUNT($K$4:K583)+1,""))</x:f>
      </x:c>
      <x:c r="L584" s="85" t="str">
        <x:f>IF(B584="","",IF(COUNTIFS('계정비교'!$A$5:$A$1004,B584,'계정비교'!$H$5:$H$1004,"원인분석 대상")&gt;0,COUNT($L$4:L583)+1,""))</x:f>
      </x:c>
    </x:row>
    <x:row r="585">
      <x:c r="A585" s="73" t="str">
        <x:f>IF('전기원장'!A585="","","전기")</x:f>
      </x:c>
      <x:c r="B585" s="73" t="str">
        <x:f>IF('전기원장'!A585="","",'전기원장'!A585)</x:f>
      </x:c>
      <x:c r="C585" s="73" t="str">
        <x:f>IF('전기원장'!A585="","",'전기원장'!B585)</x:f>
      </x:c>
      <x:c r="D585" s="74" t="str">
        <x:f>IF('전기원장'!A585="","",'전기원장'!C585)</x:f>
      </x:c>
      <x:c r="E585" s="73" t="str">
        <x:f>IF('전기원장'!A585="","",'전기원장'!D585)</x:f>
      </x:c>
      <x:c r="F585" s="73" t="str">
        <x:f>IF('전기원장'!A585="","",'전기원장'!E585)</x:f>
      </x:c>
      <x:c r="G585" s="75" t="str">
        <x:f>IF('전기원장'!A585="","",'전기원장'!H585)</x:f>
      </x:c>
      <x:c r="H585" s="73" t="str">
        <x:f>IF('전기원장'!A585="","",'전기원장'!I585)</x:f>
      </x:c>
      <x:c r="I585" s="73" t="str">
        <x:f>IF('전기원장'!A585="","",'전기원장'!J585)</x:f>
      </x:c>
      <x:c r="J585" s="73" t="str">
        <x:f>IF('전기원장'!A585="","",'전기원장'!K585)</x:f>
      </x:c>
      <x:c r="K585" s="73" t="str">
        <x:f>IF(B585="","",IF(COUNTIF($B$5:B585,B585)=1,COUNT($K$4:K584)+1,""))</x:f>
      </x:c>
      <x:c r="L585" s="85" t="str">
        <x:f>IF(B585="","",IF(COUNTIFS('계정비교'!$A$5:$A$1004,B585,'계정비교'!$H$5:$H$1004,"원인분석 대상")&gt;0,COUNT($L$4:L584)+1,""))</x:f>
      </x:c>
    </x:row>
    <x:row r="586">
      <x:c r="A586" s="73" t="str">
        <x:f>IF('전기원장'!A586="","","전기")</x:f>
      </x:c>
      <x:c r="B586" s="73" t="str">
        <x:f>IF('전기원장'!A586="","",'전기원장'!A586)</x:f>
      </x:c>
      <x:c r="C586" s="73" t="str">
        <x:f>IF('전기원장'!A586="","",'전기원장'!B586)</x:f>
      </x:c>
      <x:c r="D586" s="74" t="str">
        <x:f>IF('전기원장'!A586="","",'전기원장'!C586)</x:f>
      </x:c>
      <x:c r="E586" s="73" t="str">
        <x:f>IF('전기원장'!A586="","",'전기원장'!D586)</x:f>
      </x:c>
      <x:c r="F586" s="73" t="str">
        <x:f>IF('전기원장'!A586="","",'전기원장'!E586)</x:f>
      </x:c>
      <x:c r="G586" s="75" t="str">
        <x:f>IF('전기원장'!A586="","",'전기원장'!H586)</x:f>
      </x:c>
      <x:c r="H586" s="73" t="str">
        <x:f>IF('전기원장'!A586="","",'전기원장'!I586)</x:f>
      </x:c>
      <x:c r="I586" s="73" t="str">
        <x:f>IF('전기원장'!A586="","",'전기원장'!J586)</x:f>
      </x:c>
      <x:c r="J586" s="73" t="str">
        <x:f>IF('전기원장'!A586="","",'전기원장'!K586)</x:f>
      </x:c>
      <x:c r="K586" s="73" t="str">
        <x:f>IF(B586="","",IF(COUNTIF($B$5:B586,B586)=1,COUNT($K$4:K585)+1,""))</x:f>
      </x:c>
      <x:c r="L586" s="85" t="str">
        <x:f>IF(B586="","",IF(COUNTIFS('계정비교'!$A$5:$A$1004,B586,'계정비교'!$H$5:$H$1004,"원인분석 대상")&gt;0,COUNT($L$4:L585)+1,""))</x:f>
      </x:c>
    </x:row>
    <x:row r="587">
      <x:c r="A587" s="73" t="str">
        <x:f>IF('전기원장'!A587="","","전기")</x:f>
      </x:c>
      <x:c r="B587" s="73" t="str">
        <x:f>IF('전기원장'!A587="","",'전기원장'!A587)</x:f>
      </x:c>
      <x:c r="C587" s="73" t="str">
        <x:f>IF('전기원장'!A587="","",'전기원장'!B587)</x:f>
      </x:c>
      <x:c r="D587" s="74" t="str">
        <x:f>IF('전기원장'!A587="","",'전기원장'!C587)</x:f>
      </x:c>
      <x:c r="E587" s="73" t="str">
        <x:f>IF('전기원장'!A587="","",'전기원장'!D587)</x:f>
      </x:c>
      <x:c r="F587" s="73" t="str">
        <x:f>IF('전기원장'!A587="","",'전기원장'!E587)</x:f>
      </x:c>
      <x:c r="G587" s="75" t="str">
        <x:f>IF('전기원장'!A587="","",'전기원장'!H587)</x:f>
      </x:c>
      <x:c r="H587" s="73" t="str">
        <x:f>IF('전기원장'!A587="","",'전기원장'!I587)</x:f>
      </x:c>
      <x:c r="I587" s="73" t="str">
        <x:f>IF('전기원장'!A587="","",'전기원장'!J587)</x:f>
      </x:c>
      <x:c r="J587" s="73" t="str">
        <x:f>IF('전기원장'!A587="","",'전기원장'!K587)</x:f>
      </x:c>
      <x:c r="K587" s="73" t="str">
        <x:f>IF(B587="","",IF(COUNTIF($B$5:B587,B587)=1,COUNT($K$4:K586)+1,""))</x:f>
      </x:c>
      <x:c r="L587" s="85" t="str">
        <x:f>IF(B587="","",IF(COUNTIFS('계정비교'!$A$5:$A$1004,B587,'계정비교'!$H$5:$H$1004,"원인분석 대상")&gt;0,COUNT($L$4:L586)+1,""))</x:f>
      </x:c>
    </x:row>
    <x:row r="588">
      <x:c r="A588" s="73" t="str">
        <x:f>IF('전기원장'!A588="","","전기")</x:f>
      </x:c>
      <x:c r="B588" s="73" t="str">
        <x:f>IF('전기원장'!A588="","",'전기원장'!A588)</x:f>
      </x:c>
      <x:c r="C588" s="73" t="str">
        <x:f>IF('전기원장'!A588="","",'전기원장'!B588)</x:f>
      </x:c>
      <x:c r="D588" s="74" t="str">
        <x:f>IF('전기원장'!A588="","",'전기원장'!C588)</x:f>
      </x:c>
      <x:c r="E588" s="73" t="str">
        <x:f>IF('전기원장'!A588="","",'전기원장'!D588)</x:f>
      </x:c>
      <x:c r="F588" s="73" t="str">
        <x:f>IF('전기원장'!A588="","",'전기원장'!E588)</x:f>
      </x:c>
      <x:c r="G588" s="75" t="str">
        <x:f>IF('전기원장'!A588="","",'전기원장'!H588)</x:f>
      </x:c>
      <x:c r="H588" s="73" t="str">
        <x:f>IF('전기원장'!A588="","",'전기원장'!I588)</x:f>
      </x:c>
      <x:c r="I588" s="73" t="str">
        <x:f>IF('전기원장'!A588="","",'전기원장'!J588)</x:f>
      </x:c>
      <x:c r="J588" s="73" t="str">
        <x:f>IF('전기원장'!A588="","",'전기원장'!K588)</x:f>
      </x:c>
      <x:c r="K588" s="73" t="str">
        <x:f>IF(B588="","",IF(COUNTIF($B$5:B588,B588)=1,COUNT($K$4:K587)+1,""))</x:f>
      </x:c>
      <x:c r="L588" s="85" t="str">
        <x:f>IF(B588="","",IF(COUNTIFS('계정비교'!$A$5:$A$1004,B588,'계정비교'!$H$5:$H$1004,"원인분석 대상")&gt;0,COUNT($L$4:L587)+1,""))</x:f>
      </x:c>
    </x:row>
    <x:row r="589">
      <x:c r="A589" s="73" t="str">
        <x:f>IF('전기원장'!A589="","","전기")</x:f>
      </x:c>
      <x:c r="B589" s="73" t="str">
        <x:f>IF('전기원장'!A589="","",'전기원장'!A589)</x:f>
      </x:c>
      <x:c r="C589" s="73" t="str">
        <x:f>IF('전기원장'!A589="","",'전기원장'!B589)</x:f>
      </x:c>
      <x:c r="D589" s="74" t="str">
        <x:f>IF('전기원장'!A589="","",'전기원장'!C589)</x:f>
      </x:c>
      <x:c r="E589" s="73" t="str">
        <x:f>IF('전기원장'!A589="","",'전기원장'!D589)</x:f>
      </x:c>
      <x:c r="F589" s="73" t="str">
        <x:f>IF('전기원장'!A589="","",'전기원장'!E589)</x:f>
      </x:c>
      <x:c r="G589" s="75" t="str">
        <x:f>IF('전기원장'!A589="","",'전기원장'!H589)</x:f>
      </x:c>
      <x:c r="H589" s="73" t="str">
        <x:f>IF('전기원장'!A589="","",'전기원장'!I589)</x:f>
      </x:c>
      <x:c r="I589" s="73" t="str">
        <x:f>IF('전기원장'!A589="","",'전기원장'!J589)</x:f>
      </x:c>
      <x:c r="J589" s="73" t="str">
        <x:f>IF('전기원장'!A589="","",'전기원장'!K589)</x:f>
      </x:c>
      <x:c r="K589" s="73" t="str">
        <x:f>IF(B589="","",IF(COUNTIF($B$5:B589,B589)=1,COUNT($K$4:K588)+1,""))</x:f>
      </x:c>
      <x:c r="L589" s="85" t="str">
        <x:f>IF(B589="","",IF(COUNTIFS('계정비교'!$A$5:$A$1004,B589,'계정비교'!$H$5:$H$1004,"원인분석 대상")&gt;0,COUNT($L$4:L588)+1,""))</x:f>
      </x:c>
    </x:row>
    <x:row r="590">
      <x:c r="A590" s="73" t="str">
        <x:f>IF('전기원장'!A590="","","전기")</x:f>
      </x:c>
      <x:c r="B590" s="73" t="str">
        <x:f>IF('전기원장'!A590="","",'전기원장'!A590)</x:f>
      </x:c>
      <x:c r="C590" s="73" t="str">
        <x:f>IF('전기원장'!A590="","",'전기원장'!B590)</x:f>
      </x:c>
      <x:c r="D590" s="74" t="str">
        <x:f>IF('전기원장'!A590="","",'전기원장'!C590)</x:f>
      </x:c>
      <x:c r="E590" s="73" t="str">
        <x:f>IF('전기원장'!A590="","",'전기원장'!D590)</x:f>
      </x:c>
      <x:c r="F590" s="73" t="str">
        <x:f>IF('전기원장'!A590="","",'전기원장'!E590)</x:f>
      </x:c>
      <x:c r="G590" s="75" t="str">
        <x:f>IF('전기원장'!A590="","",'전기원장'!H590)</x:f>
      </x:c>
      <x:c r="H590" s="73" t="str">
        <x:f>IF('전기원장'!A590="","",'전기원장'!I590)</x:f>
      </x:c>
      <x:c r="I590" s="73" t="str">
        <x:f>IF('전기원장'!A590="","",'전기원장'!J590)</x:f>
      </x:c>
      <x:c r="J590" s="73" t="str">
        <x:f>IF('전기원장'!A590="","",'전기원장'!K590)</x:f>
      </x:c>
      <x:c r="K590" s="73" t="str">
        <x:f>IF(B590="","",IF(COUNTIF($B$5:B590,B590)=1,COUNT($K$4:K589)+1,""))</x:f>
      </x:c>
      <x:c r="L590" s="85" t="str">
        <x:f>IF(B590="","",IF(COUNTIFS('계정비교'!$A$5:$A$1004,B590,'계정비교'!$H$5:$H$1004,"원인분석 대상")&gt;0,COUNT($L$4:L589)+1,""))</x:f>
      </x:c>
    </x:row>
    <x:row r="591">
      <x:c r="A591" s="73" t="str">
        <x:f>IF('전기원장'!A591="","","전기")</x:f>
      </x:c>
      <x:c r="B591" s="73" t="str">
        <x:f>IF('전기원장'!A591="","",'전기원장'!A591)</x:f>
      </x:c>
      <x:c r="C591" s="73" t="str">
        <x:f>IF('전기원장'!A591="","",'전기원장'!B591)</x:f>
      </x:c>
      <x:c r="D591" s="74" t="str">
        <x:f>IF('전기원장'!A591="","",'전기원장'!C591)</x:f>
      </x:c>
      <x:c r="E591" s="73" t="str">
        <x:f>IF('전기원장'!A591="","",'전기원장'!D591)</x:f>
      </x:c>
      <x:c r="F591" s="73" t="str">
        <x:f>IF('전기원장'!A591="","",'전기원장'!E591)</x:f>
      </x:c>
      <x:c r="G591" s="75" t="str">
        <x:f>IF('전기원장'!A591="","",'전기원장'!H591)</x:f>
      </x:c>
      <x:c r="H591" s="73" t="str">
        <x:f>IF('전기원장'!A591="","",'전기원장'!I591)</x:f>
      </x:c>
      <x:c r="I591" s="73" t="str">
        <x:f>IF('전기원장'!A591="","",'전기원장'!J591)</x:f>
      </x:c>
      <x:c r="J591" s="73" t="str">
        <x:f>IF('전기원장'!A591="","",'전기원장'!K591)</x:f>
      </x:c>
      <x:c r="K591" s="73" t="str">
        <x:f>IF(B591="","",IF(COUNTIF($B$5:B591,B591)=1,COUNT($K$4:K590)+1,""))</x:f>
      </x:c>
      <x:c r="L591" s="85" t="str">
        <x:f>IF(B591="","",IF(COUNTIFS('계정비교'!$A$5:$A$1004,B591,'계정비교'!$H$5:$H$1004,"원인분석 대상")&gt;0,COUNT($L$4:L590)+1,""))</x:f>
      </x:c>
    </x:row>
    <x:row r="592">
      <x:c r="A592" s="73" t="str">
        <x:f>IF('전기원장'!A592="","","전기")</x:f>
      </x:c>
      <x:c r="B592" s="73" t="str">
        <x:f>IF('전기원장'!A592="","",'전기원장'!A592)</x:f>
      </x:c>
      <x:c r="C592" s="73" t="str">
        <x:f>IF('전기원장'!A592="","",'전기원장'!B592)</x:f>
      </x:c>
      <x:c r="D592" s="74" t="str">
        <x:f>IF('전기원장'!A592="","",'전기원장'!C592)</x:f>
      </x:c>
      <x:c r="E592" s="73" t="str">
        <x:f>IF('전기원장'!A592="","",'전기원장'!D592)</x:f>
      </x:c>
      <x:c r="F592" s="73" t="str">
        <x:f>IF('전기원장'!A592="","",'전기원장'!E592)</x:f>
      </x:c>
      <x:c r="G592" s="75" t="str">
        <x:f>IF('전기원장'!A592="","",'전기원장'!H592)</x:f>
      </x:c>
      <x:c r="H592" s="73" t="str">
        <x:f>IF('전기원장'!A592="","",'전기원장'!I592)</x:f>
      </x:c>
      <x:c r="I592" s="73" t="str">
        <x:f>IF('전기원장'!A592="","",'전기원장'!J592)</x:f>
      </x:c>
      <x:c r="J592" s="73" t="str">
        <x:f>IF('전기원장'!A592="","",'전기원장'!K592)</x:f>
      </x:c>
      <x:c r="K592" s="73" t="str">
        <x:f>IF(B592="","",IF(COUNTIF($B$5:B592,B592)=1,COUNT($K$4:K591)+1,""))</x:f>
      </x:c>
      <x:c r="L592" s="85" t="str">
        <x:f>IF(B592="","",IF(COUNTIFS('계정비교'!$A$5:$A$1004,B592,'계정비교'!$H$5:$H$1004,"원인분석 대상")&gt;0,COUNT($L$4:L591)+1,""))</x:f>
      </x:c>
    </x:row>
    <x:row r="593">
      <x:c r="A593" s="73" t="str">
        <x:f>IF('전기원장'!A593="","","전기")</x:f>
      </x:c>
      <x:c r="B593" s="73" t="str">
        <x:f>IF('전기원장'!A593="","",'전기원장'!A593)</x:f>
      </x:c>
      <x:c r="C593" s="73" t="str">
        <x:f>IF('전기원장'!A593="","",'전기원장'!B593)</x:f>
      </x:c>
      <x:c r="D593" s="74" t="str">
        <x:f>IF('전기원장'!A593="","",'전기원장'!C593)</x:f>
      </x:c>
      <x:c r="E593" s="73" t="str">
        <x:f>IF('전기원장'!A593="","",'전기원장'!D593)</x:f>
      </x:c>
      <x:c r="F593" s="73" t="str">
        <x:f>IF('전기원장'!A593="","",'전기원장'!E593)</x:f>
      </x:c>
      <x:c r="G593" s="75" t="str">
        <x:f>IF('전기원장'!A593="","",'전기원장'!H593)</x:f>
      </x:c>
      <x:c r="H593" s="73" t="str">
        <x:f>IF('전기원장'!A593="","",'전기원장'!I593)</x:f>
      </x:c>
      <x:c r="I593" s="73" t="str">
        <x:f>IF('전기원장'!A593="","",'전기원장'!J593)</x:f>
      </x:c>
      <x:c r="J593" s="73" t="str">
        <x:f>IF('전기원장'!A593="","",'전기원장'!K593)</x:f>
      </x:c>
      <x:c r="K593" s="73" t="str">
        <x:f>IF(B593="","",IF(COUNTIF($B$5:B593,B593)=1,COUNT($K$4:K592)+1,""))</x:f>
      </x:c>
      <x:c r="L593" s="85" t="str">
        <x:f>IF(B593="","",IF(COUNTIFS('계정비교'!$A$5:$A$1004,B593,'계정비교'!$H$5:$H$1004,"원인분석 대상")&gt;0,COUNT($L$4:L592)+1,""))</x:f>
      </x:c>
    </x:row>
    <x:row r="594">
      <x:c r="A594" s="73" t="str">
        <x:f>IF('전기원장'!A594="","","전기")</x:f>
      </x:c>
      <x:c r="B594" s="73" t="str">
        <x:f>IF('전기원장'!A594="","",'전기원장'!A594)</x:f>
      </x:c>
      <x:c r="C594" s="73" t="str">
        <x:f>IF('전기원장'!A594="","",'전기원장'!B594)</x:f>
      </x:c>
      <x:c r="D594" s="74" t="str">
        <x:f>IF('전기원장'!A594="","",'전기원장'!C594)</x:f>
      </x:c>
      <x:c r="E594" s="73" t="str">
        <x:f>IF('전기원장'!A594="","",'전기원장'!D594)</x:f>
      </x:c>
      <x:c r="F594" s="73" t="str">
        <x:f>IF('전기원장'!A594="","",'전기원장'!E594)</x:f>
      </x:c>
      <x:c r="G594" s="75" t="str">
        <x:f>IF('전기원장'!A594="","",'전기원장'!H594)</x:f>
      </x:c>
      <x:c r="H594" s="73" t="str">
        <x:f>IF('전기원장'!A594="","",'전기원장'!I594)</x:f>
      </x:c>
      <x:c r="I594" s="73" t="str">
        <x:f>IF('전기원장'!A594="","",'전기원장'!J594)</x:f>
      </x:c>
      <x:c r="J594" s="73" t="str">
        <x:f>IF('전기원장'!A594="","",'전기원장'!K594)</x:f>
      </x:c>
      <x:c r="K594" s="73" t="str">
        <x:f>IF(B594="","",IF(COUNTIF($B$5:B594,B594)=1,COUNT($K$4:K593)+1,""))</x:f>
      </x:c>
      <x:c r="L594" s="85" t="str">
        <x:f>IF(B594="","",IF(COUNTIFS('계정비교'!$A$5:$A$1004,B594,'계정비교'!$H$5:$H$1004,"원인분석 대상")&gt;0,COUNT($L$4:L593)+1,""))</x:f>
      </x:c>
    </x:row>
    <x:row r="595">
      <x:c r="A595" s="73" t="str">
        <x:f>IF('전기원장'!A595="","","전기")</x:f>
      </x:c>
      <x:c r="B595" s="73" t="str">
        <x:f>IF('전기원장'!A595="","",'전기원장'!A595)</x:f>
      </x:c>
      <x:c r="C595" s="73" t="str">
        <x:f>IF('전기원장'!A595="","",'전기원장'!B595)</x:f>
      </x:c>
      <x:c r="D595" s="74" t="str">
        <x:f>IF('전기원장'!A595="","",'전기원장'!C595)</x:f>
      </x:c>
      <x:c r="E595" s="73" t="str">
        <x:f>IF('전기원장'!A595="","",'전기원장'!D595)</x:f>
      </x:c>
      <x:c r="F595" s="73" t="str">
        <x:f>IF('전기원장'!A595="","",'전기원장'!E595)</x:f>
      </x:c>
      <x:c r="G595" s="75" t="str">
        <x:f>IF('전기원장'!A595="","",'전기원장'!H595)</x:f>
      </x:c>
      <x:c r="H595" s="73" t="str">
        <x:f>IF('전기원장'!A595="","",'전기원장'!I595)</x:f>
      </x:c>
      <x:c r="I595" s="73" t="str">
        <x:f>IF('전기원장'!A595="","",'전기원장'!J595)</x:f>
      </x:c>
      <x:c r="J595" s="73" t="str">
        <x:f>IF('전기원장'!A595="","",'전기원장'!K595)</x:f>
      </x:c>
      <x:c r="K595" s="73" t="str">
        <x:f>IF(B595="","",IF(COUNTIF($B$5:B595,B595)=1,COUNT($K$4:K594)+1,""))</x:f>
      </x:c>
      <x:c r="L595" s="85" t="str">
        <x:f>IF(B595="","",IF(COUNTIFS('계정비교'!$A$5:$A$1004,B595,'계정비교'!$H$5:$H$1004,"원인분석 대상")&gt;0,COUNT($L$4:L594)+1,""))</x:f>
      </x:c>
    </x:row>
    <x:row r="596">
      <x:c r="A596" s="73" t="str">
        <x:f>IF('전기원장'!A596="","","전기")</x:f>
      </x:c>
      <x:c r="B596" s="73" t="str">
        <x:f>IF('전기원장'!A596="","",'전기원장'!A596)</x:f>
      </x:c>
      <x:c r="C596" s="73" t="str">
        <x:f>IF('전기원장'!A596="","",'전기원장'!B596)</x:f>
      </x:c>
      <x:c r="D596" s="74" t="str">
        <x:f>IF('전기원장'!A596="","",'전기원장'!C596)</x:f>
      </x:c>
      <x:c r="E596" s="73" t="str">
        <x:f>IF('전기원장'!A596="","",'전기원장'!D596)</x:f>
      </x:c>
      <x:c r="F596" s="73" t="str">
        <x:f>IF('전기원장'!A596="","",'전기원장'!E596)</x:f>
      </x:c>
      <x:c r="G596" s="75" t="str">
        <x:f>IF('전기원장'!A596="","",'전기원장'!H596)</x:f>
      </x:c>
      <x:c r="H596" s="73" t="str">
        <x:f>IF('전기원장'!A596="","",'전기원장'!I596)</x:f>
      </x:c>
      <x:c r="I596" s="73" t="str">
        <x:f>IF('전기원장'!A596="","",'전기원장'!J596)</x:f>
      </x:c>
      <x:c r="J596" s="73" t="str">
        <x:f>IF('전기원장'!A596="","",'전기원장'!K596)</x:f>
      </x:c>
      <x:c r="K596" s="73" t="str">
        <x:f>IF(B596="","",IF(COUNTIF($B$5:B596,B596)=1,COUNT($K$4:K595)+1,""))</x:f>
      </x:c>
      <x:c r="L596" s="85" t="str">
        <x:f>IF(B596="","",IF(COUNTIFS('계정비교'!$A$5:$A$1004,B596,'계정비교'!$H$5:$H$1004,"원인분석 대상")&gt;0,COUNT($L$4:L595)+1,""))</x:f>
      </x:c>
    </x:row>
    <x:row r="597">
      <x:c r="A597" s="73" t="str">
        <x:f>IF('전기원장'!A597="","","전기")</x:f>
      </x:c>
      <x:c r="B597" s="73" t="str">
        <x:f>IF('전기원장'!A597="","",'전기원장'!A597)</x:f>
      </x:c>
      <x:c r="C597" s="73" t="str">
        <x:f>IF('전기원장'!A597="","",'전기원장'!B597)</x:f>
      </x:c>
      <x:c r="D597" s="74" t="str">
        <x:f>IF('전기원장'!A597="","",'전기원장'!C597)</x:f>
      </x:c>
      <x:c r="E597" s="73" t="str">
        <x:f>IF('전기원장'!A597="","",'전기원장'!D597)</x:f>
      </x:c>
      <x:c r="F597" s="73" t="str">
        <x:f>IF('전기원장'!A597="","",'전기원장'!E597)</x:f>
      </x:c>
      <x:c r="G597" s="75" t="str">
        <x:f>IF('전기원장'!A597="","",'전기원장'!H597)</x:f>
      </x:c>
      <x:c r="H597" s="73" t="str">
        <x:f>IF('전기원장'!A597="","",'전기원장'!I597)</x:f>
      </x:c>
      <x:c r="I597" s="73" t="str">
        <x:f>IF('전기원장'!A597="","",'전기원장'!J597)</x:f>
      </x:c>
      <x:c r="J597" s="73" t="str">
        <x:f>IF('전기원장'!A597="","",'전기원장'!K597)</x:f>
      </x:c>
      <x:c r="K597" s="73" t="str">
        <x:f>IF(B597="","",IF(COUNTIF($B$5:B597,B597)=1,COUNT($K$4:K596)+1,""))</x:f>
      </x:c>
      <x:c r="L597" s="85" t="str">
        <x:f>IF(B597="","",IF(COUNTIFS('계정비교'!$A$5:$A$1004,B597,'계정비교'!$H$5:$H$1004,"원인분석 대상")&gt;0,COUNT($L$4:L596)+1,""))</x:f>
      </x:c>
    </x:row>
    <x:row r="598">
      <x:c r="A598" s="73" t="str">
        <x:f>IF('전기원장'!A598="","","전기")</x:f>
      </x:c>
      <x:c r="B598" s="73" t="str">
        <x:f>IF('전기원장'!A598="","",'전기원장'!A598)</x:f>
      </x:c>
      <x:c r="C598" s="73" t="str">
        <x:f>IF('전기원장'!A598="","",'전기원장'!B598)</x:f>
      </x:c>
      <x:c r="D598" s="74" t="str">
        <x:f>IF('전기원장'!A598="","",'전기원장'!C598)</x:f>
      </x:c>
      <x:c r="E598" s="73" t="str">
        <x:f>IF('전기원장'!A598="","",'전기원장'!D598)</x:f>
      </x:c>
      <x:c r="F598" s="73" t="str">
        <x:f>IF('전기원장'!A598="","",'전기원장'!E598)</x:f>
      </x:c>
      <x:c r="G598" s="75" t="str">
        <x:f>IF('전기원장'!A598="","",'전기원장'!H598)</x:f>
      </x:c>
      <x:c r="H598" s="73" t="str">
        <x:f>IF('전기원장'!A598="","",'전기원장'!I598)</x:f>
      </x:c>
      <x:c r="I598" s="73" t="str">
        <x:f>IF('전기원장'!A598="","",'전기원장'!J598)</x:f>
      </x:c>
      <x:c r="J598" s="73" t="str">
        <x:f>IF('전기원장'!A598="","",'전기원장'!K598)</x:f>
      </x:c>
      <x:c r="K598" s="73" t="str">
        <x:f>IF(B598="","",IF(COUNTIF($B$5:B598,B598)=1,COUNT($K$4:K597)+1,""))</x:f>
      </x:c>
      <x:c r="L598" s="85" t="str">
        <x:f>IF(B598="","",IF(COUNTIFS('계정비교'!$A$5:$A$1004,B598,'계정비교'!$H$5:$H$1004,"원인분석 대상")&gt;0,COUNT($L$4:L597)+1,""))</x:f>
      </x:c>
    </x:row>
    <x:row r="599">
      <x:c r="A599" s="73" t="str">
        <x:f>IF('전기원장'!A599="","","전기")</x:f>
      </x:c>
      <x:c r="B599" s="73" t="str">
        <x:f>IF('전기원장'!A599="","",'전기원장'!A599)</x:f>
      </x:c>
      <x:c r="C599" s="73" t="str">
        <x:f>IF('전기원장'!A599="","",'전기원장'!B599)</x:f>
      </x:c>
      <x:c r="D599" s="74" t="str">
        <x:f>IF('전기원장'!A599="","",'전기원장'!C599)</x:f>
      </x:c>
      <x:c r="E599" s="73" t="str">
        <x:f>IF('전기원장'!A599="","",'전기원장'!D599)</x:f>
      </x:c>
      <x:c r="F599" s="73" t="str">
        <x:f>IF('전기원장'!A599="","",'전기원장'!E599)</x:f>
      </x:c>
      <x:c r="G599" s="75" t="str">
        <x:f>IF('전기원장'!A599="","",'전기원장'!H599)</x:f>
      </x:c>
      <x:c r="H599" s="73" t="str">
        <x:f>IF('전기원장'!A599="","",'전기원장'!I599)</x:f>
      </x:c>
      <x:c r="I599" s="73" t="str">
        <x:f>IF('전기원장'!A599="","",'전기원장'!J599)</x:f>
      </x:c>
      <x:c r="J599" s="73" t="str">
        <x:f>IF('전기원장'!A599="","",'전기원장'!K599)</x:f>
      </x:c>
      <x:c r="K599" s="73" t="str">
        <x:f>IF(B599="","",IF(COUNTIF($B$5:B599,B599)=1,COUNT($K$4:K598)+1,""))</x:f>
      </x:c>
      <x:c r="L599" s="85" t="str">
        <x:f>IF(B599="","",IF(COUNTIFS('계정비교'!$A$5:$A$1004,B599,'계정비교'!$H$5:$H$1004,"원인분석 대상")&gt;0,COUNT($L$4:L598)+1,""))</x:f>
      </x:c>
    </x:row>
    <x:row r="600">
      <x:c r="A600" s="73" t="str">
        <x:f>IF('전기원장'!A600="","","전기")</x:f>
      </x:c>
      <x:c r="B600" s="73" t="str">
        <x:f>IF('전기원장'!A600="","",'전기원장'!A600)</x:f>
      </x:c>
      <x:c r="C600" s="73" t="str">
        <x:f>IF('전기원장'!A600="","",'전기원장'!B600)</x:f>
      </x:c>
      <x:c r="D600" s="74" t="str">
        <x:f>IF('전기원장'!A600="","",'전기원장'!C600)</x:f>
      </x:c>
      <x:c r="E600" s="73" t="str">
        <x:f>IF('전기원장'!A600="","",'전기원장'!D600)</x:f>
      </x:c>
      <x:c r="F600" s="73" t="str">
        <x:f>IF('전기원장'!A600="","",'전기원장'!E600)</x:f>
      </x:c>
      <x:c r="G600" s="75" t="str">
        <x:f>IF('전기원장'!A600="","",'전기원장'!H600)</x:f>
      </x:c>
      <x:c r="H600" s="73" t="str">
        <x:f>IF('전기원장'!A600="","",'전기원장'!I600)</x:f>
      </x:c>
      <x:c r="I600" s="73" t="str">
        <x:f>IF('전기원장'!A600="","",'전기원장'!J600)</x:f>
      </x:c>
      <x:c r="J600" s="73" t="str">
        <x:f>IF('전기원장'!A600="","",'전기원장'!K600)</x:f>
      </x:c>
      <x:c r="K600" s="73" t="str">
        <x:f>IF(B600="","",IF(COUNTIF($B$5:B600,B600)=1,COUNT($K$4:K599)+1,""))</x:f>
      </x:c>
      <x:c r="L600" s="85" t="str">
        <x:f>IF(B600="","",IF(COUNTIFS('계정비교'!$A$5:$A$1004,B600,'계정비교'!$H$5:$H$1004,"원인분석 대상")&gt;0,COUNT($L$4:L599)+1,""))</x:f>
      </x:c>
    </x:row>
    <x:row r="601">
      <x:c r="A601" s="73" t="str">
        <x:f>IF('전기원장'!A601="","","전기")</x:f>
      </x:c>
      <x:c r="B601" s="73" t="str">
        <x:f>IF('전기원장'!A601="","",'전기원장'!A601)</x:f>
      </x:c>
      <x:c r="C601" s="73" t="str">
        <x:f>IF('전기원장'!A601="","",'전기원장'!B601)</x:f>
      </x:c>
      <x:c r="D601" s="74" t="str">
        <x:f>IF('전기원장'!A601="","",'전기원장'!C601)</x:f>
      </x:c>
      <x:c r="E601" s="73" t="str">
        <x:f>IF('전기원장'!A601="","",'전기원장'!D601)</x:f>
      </x:c>
      <x:c r="F601" s="73" t="str">
        <x:f>IF('전기원장'!A601="","",'전기원장'!E601)</x:f>
      </x:c>
      <x:c r="G601" s="75" t="str">
        <x:f>IF('전기원장'!A601="","",'전기원장'!H601)</x:f>
      </x:c>
      <x:c r="H601" s="73" t="str">
        <x:f>IF('전기원장'!A601="","",'전기원장'!I601)</x:f>
      </x:c>
      <x:c r="I601" s="73" t="str">
        <x:f>IF('전기원장'!A601="","",'전기원장'!J601)</x:f>
      </x:c>
      <x:c r="J601" s="73" t="str">
        <x:f>IF('전기원장'!A601="","",'전기원장'!K601)</x:f>
      </x:c>
      <x:c r="K601" s="73" t="str">
        <x:f>IF(B601="","",IF(COUNTIF($B$5:B601,B601)=1,COUNT($K$4:K600)+1,""))</x:f>
      </x:c>
      <x:c r="L601" s="85" t="str">
        <x:f>IF(B601="","",IF(COUNTIFS('계정비교'!$A$5:$A$1004,B601,'계정비교'!$H$5:$H$1004,"원인분석 대상")&gt;0,COUNT($L$4:L600)+1,""))</x:f>
      </x:c>
    </x:row>
    <x:row r="602">
      <x:c r="A602" s="73" t="str">
        <x:f>IF('전기원장'!A602="","","전기")</x:f>
      </x:c>
      <x:c r="B602" s="73" t="str">
        <x:f>IF('전기원장'!A602="","",'전기원장'!A602)</x:f>
      </x:c>
      <x:c r="C602" s="73" t="str">
        <x:f>IF('전기원장'!A602="","",'전기원장'!B602)</x:f>
      </x:c>
      <x:c r="D602" s="74" t="str">
        <x:f>IF('전기원장'!A602="","",'전기원장'!C602)</x:f>
      </x:c>
      <x:c r="E602" s="73" t="str">
        <x:f>IF('전기원장'!A602="","",'전기원장'!D602)</x:f>
      </x:c>
      <x:c r="F602" s="73" t="str">
        <x:f>IF('전기원장'!A602="","",'전기원장'!E602)</x:f>
      </x:c>
      <x:c r="G602" s="75" t="str">
        <x:f>IF('전기원장'!A602="","",'전기원장'!H602)</x:f>
      </x:c>
      <x:c r="H602" s="73" t="str">
        <x:f>IF('전기원장'!A602="","",'전기원장'!I602)</x:f>
      </x:c>
      <x:c r="I602" s="73" t="str">
        <x:f>IF('전기원장'!A602="","",'전기원장'!J602)</x:f>
      </x:c>
      <x:c r="J602" s="73" t="str">
        <x:f>IF('전기원장'!A602="","",'전기원장'!K602)</x:f>
      </x:c>
      <x:c r="K602" s="73" t="str">
        <x:f>IF(B602="","",IF(COUNTIF($B$5:B602,B602)=1,COUNT($K$4:K601)+1,""))</x:f>
      </x:c>
      <x:c r="L602" s="85" t="str">
        <x:f>IF(B602="","",IF(COUNTIFS('계정비교'!$A$5:$A$1004,B602,'계정비교'!$H$5:$H$1004,"원인분석 대상")&gt;0,COUNT($L$4:L601)+1,""))</x:f>
      </x:c>
    </x:row>
    <x:row r="603">
      <x:c r="A603" s="73" t="str">
        <x:f>IF('전기원장'!A603="","","전기")</x:f>
      </x:c>
      <x:c r="B603" s="73" t="str">
        <x:f>IF('전기원장'!A603="","",'전기원장'!A603)</x:f>
      </x:c>
      <x:c r="C603" s="73" t="str">
        <x:f>IF('전기원장'!A603="","",'전기원장'!B603)</x:f>
      </x:c>
      <x:c r="D603" s="74" t="str">
        <x:f>IF('전기원장'!A603="","",'전기원장'!C603)</x:f>
      </x:c>
      <x:c r="E603" s="73" t="str">
        <x:f>IF('전기원장'!A603="","",'전기원장'!D603)</x:f>
      </x:c>
      <x:c r="F603" s="73" t="str">
        <x:f>IF('전기원장'!A603="","",'전기원장'!E603)</x:f>
      </x:c>
      <x:c r="G603" s="75" t="str">
        <x:f>IF('전기원장'!A603="","",'전기원장'!H603)</x:f>
      </x:c>
      <x:c r="H603" s="73" t="str">
        <x:f>IF('전기원장'!A603="","",'전기원장'!I603)</x:f>
      </x:c>
      <x:c r="I603" s="73" t="str">
        <x:f>IF('전기원장'!A603="","",'전기원장'!J603)</x:f>
      </x:c>
      <x:c r="J603" s="73" t="str">
        <x:f>IF('전기원장'!A603="","",'전기원장'!K603)</x:f>
      </x:c>
      <x:c r="K603" s="73" t="str">
        <x:f>IF(B603="","",IF(COUNTIF($B$5:B603,B603)=1,COUNT($K$4:K602)+1,""))</x:f>
      </x:c>
      <x:c r="L603" s="85" t="str">
        <x:f>IF(B603="","",IF(COUNTIFS('계정비교'!$A$5:$A$1004,B603,'계정비교'!$H$5:$H$1004,"원인분석 대상")&gt;0,COUNT($L$4:L602)+1,""))</x:f>
      </x:c>
    </x:row>
    <x:row r="604">
      <x:c r="A604" s="73" t="str">
        <x:f>IF('전기원장'!A604="","","전기")</x:f>
      </x:c>
      <x:c r="B604" s="73" t="str">
        <x:f>IF('전기원장'!A604="","",'전기원장'!A604)</x:f>
      </x:c>
      <x:c r="C604" s="73" t="str">
        <x:f>IF('전기원장'!A604="","",'전기원장'!B604)</x:f>
      </x:c>
      <x:c r="D604" s="74" t="str">
        <x:f>IF('전기원장'!A604="","",'전기원장'!C604)</x:f>
      </x:c>
      <x:c r="E604" s="73" t="str">
        <x:f>IF('전기원장'!A604="","",'전기원장'!D604)</x:f>
      </x:c>
      <x:c r="F604" s="73" t="str">
        <x:f>IF('전기원장'!A604="","",'전기원장'!E604)</x:f>
      </x:c>
      <x:c r="G604" s="75" t="str">
        <x:f>IF('전기원장'!A604="","",'전기원장'!H604)</x:f>
      </x:c>
      <x:c r="H604" s="73" t="str">
        <x:f>IF('전기원장'!A604="","",'전기원장'!I604)</x:f>
      </x:c>
      <x:c r="I604" s="73" t="str">
        <x:f>IF('전기원장'!A604="","",'전기원장'!J604)</x:f>
      </x:c>
      <x:c r="J604" s="73" t="str">
        <x:f>IF('전기원장'!A604="","",'전기원장'!K604)</x:f>
      </x:c>
      <x:c r="K604" s="73" t="str">
        <x:f>IF(B604="","",IF(COUNTIF($B$5:B604,B604)=1,COUNT($K$4:K603)+1,""))</x:f>
      </x:c>
      <x:c r="L604" s="85" t="str">
        <x:f>IF(B604="","",IF(COUNTIFS('계정비교'!$A$5:$A$1004,B604,'계정비교'!$H$5:$H$1004,"원인분석 대상")&gt;0,COUNT($L$4:L603)+1,""))</x:f>
      </x:c>
    </x:row>
    <x:row r="605">
      <x:c r="A605" s="73" t="str">
        <x:f>IF('전기원장'!A605="","","전기")</x:f>
      </x:c>
      <x:c r="B605" s="73" t="str">
        <x:f>IF('전기원장'!A605="","",'전기원장'!A605)</x:f>
      </x:c>
      <x:c r="C605" s="73" t="str">
        <x:f>IF('전기원장'!A605="","",'전기원장'!B605)</x:f>
      </x:c>
      <x:c r="D605" s="74" t="str">
        <x:f>IF('전기원장'!A605="","",'전기원장'!C605)</x:f>
      </x:c>
      <x:c r="E605" s="73" t="str">
        <x:f>IF('전기원장'!A605="","",'전기원장'!D605)</x:f>
      </x:c>
      <x:c r="F605" s="73" t="str">
        <x:f>IF('전기원장'!A605="","",'전기원장'!E605)</x:f>
      </x:c>
      <x:c r="G605" s="75" t="str">
        <x:f>IF('전기원장'!A605="","",'전기원장'!H605)</x:f>
      </x:c>
      <x:c r="H605" s="73" t="str">
        <x:f>IF('전기원장'!A605="","",'전기원장'!I605)</x:f>
      </x:c>
      <x:c r="I605" s="73" t="str">
        <x:f>IF('전기원장'!A605="","",'전기원장'!J605)</x:f>
      </x:c>
      <x:c r="J605" s="73" t="str">
        <x:f>IF('전기원장'!A605="","",'전기원장'!K605)</x:f>
      </x:c>
      <x:c r="K605" s="73" t="str">
        <x:f>IF(B605="","",IF(COUNTIF($B$5:B605,B605)=1,COUNT($K$4:K604)+1,""))</x:f>
      </x:c>
      <x:c r="L605" s="85" t="str">
        <x:f>IF(B605="","",IF(COUNTIFS('계정비교'!$A$5:$A$1004,B605,'계정비교'!$H$5:$H$1004,"원인분석 대상")&gt;0,COUNT($L$4:L604)+1,""))</x:f>
      </x:c>
    </x:row>
    <x:row r="606">
      <x:c r="A606" s="73" t="str">
        <x:f>IF('전기원장'!A606="","","전기")</x:f>
      </x:c>
      <x:c r="B606" s="73" t="str">
        <x:f>IF('전기원장'!A606="","",'전기원장'!A606)</x:f>
      </x:c>
      <x:c r="C606" s="73" t="str">
        <x:f>IF('전기원장'!A606="","",'전기원장'!B606)</x:f>
      </x:c>
      <x:c r="D606" s="74" t="str">
        <x:f>IF('전기원장'!A606="","",'전기원장'!C606)</x:f>
      </x:c>
      <x:c r="E606" s="73" t="str">
        <x:f>IF('전기원장'!A606="","",'전기원장'!D606)</x:f>
      </x:c>
      <x:c r="F606" s="73" t="str">
        <x:f>IF('전기원장'!A606="","",'전기원장'!E606)</x:f>
      </x:c>
      <x:c r="G606" s="75" t="str">
        <x:f>IF('전기원장'!A606="","",'전기원장'!H606)</x:f>
      </x:c>
      <x:c r="H606" s="73" t="str">
        <x:f>IF('전기원장'!A606="","",'전기원장'!I606)</x:f>
      </x:c>
      <x:c r="I606" s="73" t="str">
        <x:f>IF('전기원장'!A606="","",'전기원장'!J606)</x:f>
      </x:c>
      <x:c r="J606" s="73" t="str">
        <x:f>IF('전기원장'!A606="","",'전기원장'!K606)</x:f>
      </x:c>
      <x:c r="K606" s="73" t="str">
        <x:f>IF(B606="","",IF(COUNTIF($B$5:B606,B606)=1,COUNT($K$4:K605)+1,""))</x:f>
      </x:c>
      <x:c r="L606" s="85" t="str">
        <x:f>IF(B606="","",IF(COUNTIFS('계정비교'!$A$5:$A$1004,B606,'계정비교'!$H$5:$H$1004,"원인분석 대상")&gt;0,COUNT($L$4:L605)+1,""))</x:f>
      </x:c>
    </x:row>
    <x:row r="607">
      <x:c r="A607" s="73" t="str">
        <x:f>IF('전기원장'!A607="","","전기")</x:f>
      </x:c>
      <x:c r="B607" s="73" t="str">
        <x:f>IF('전기원장'!A607="","",'전기원장'!A607)</x:f>
      </x:c>
      <x:c r="C607" s="73" t="str">
        <x:f>IF('전기원장'!A607="","",'전기원장'!B607)</x:f>
      </x:c>
      <x:c r="D607" s="74" t="str">
        <x:f>IF('전기원장'!A607="","",'전기원장'!C607)</x:f>
      </x:c>
      <x:c r="E607" s="73" t="str">
        <x:f>IF('전기원장'!A607="","",'전기원장'!D607)</x:f>
      </x:c>
      <x:c r="F607" s="73" t="str">
        <x:f>IF('전기원장'!A607="","",'전기원장'!E607)</x:f>
      </x:c>
      <x:c r="G607" s="75" t="str">
        <x:f>IF('전기원장'!A607="","",'전기원장'!H607)</x:f>
      </x:c>
      <x:c r="H607" s="73" t="str">
        <x:f>IF('전기원장'!A607="","",'전기원장'!I607)</x:f>
      </x:c>
      <x:c r="I607" s="73" t="str">
        <x:f>IF('전기원장'!A607="","",'전기원장'!J607)</x:f>
      </x:c>
      <x:c r="J607" s="73" t="str">
        <x:f>IF('전기원장'!A607="","",'전기원장'!K607)</x:f>
      </x:c>
      <x:c r="K607" s="73" t="str">
        <x:f>IF(B607="","",IF(COUNTIF($B$5:B607,B607)=1,COUNT($K$4:K606)+1,""))</x:f>
      </x:c>
      <x:c r="L607" s="85" t="str">
        <x:f>IF(B607="","",IF(COUNTIFS('계정비교'!$A$5:$A$1004,B607,'계정비교'!$H$5:$H$1004,"원인분석 대상")&gt;0,COUNT($L$4:L606)+1,""))</x:f>
      </x:c>
    </x:row>
    <x:row r="608">
      <x:c r="A608" s="73" t="str">
        <x:f>IF('전기원장'!A608="","","전기")</x:f>
      </x:c>
      <x:c r="B608" s="73" t="str">
        <x:f>IF('전기원장'!A608="","",'전기원장'!A608)</x:f>
      </x:c>
      <x:c r="C608" s="73" t="str">
        <x:f>IF('전기원장'!A608="","",'전기원장'!B608)</x:f>
      </x:c>
      <x:c r="D608" s="74" t="str">
        <x:f>IF('전기원장'!A608="","",'전기원장'!C608)</x:f>
      </x:c>
      <x:c r="E608" s="73" t="str">
        <x:f>IF('전기원장'!A608="","",'전기원장'!D608)</x:f>
      </x:c>
      <x:c r="F608" s="73" t="str">
        <x:f>IF('전기원장'!A608="","",'전기원장'!E608)</x:f>
      </x:c>
      <x:c r="G608" s="75" t="str">
        <x:f>IF('전기원장'!A608="","",'전기원장'!H608)</x:f>
      </x:c>
      <x:c r="H608" s="73" t="str">
        <x:f>IF('전기원장'!A608="","",'전기원장'!I608)</x:f>
      </x:c>
      <x:c r="I608" s="73" t="str">
        <x:f>IF('전기원장'!A608="","",'전기원장'!J608)</x:f>
      </x:c>
      <x:c r="J608" s="73" t="str">
        <x:f>IF('전기원장'!A608="","",'전기원장'!K608)</x:f>
      </x:c>
      <x:c r="K608" s="73" t="str">
        <x:f>IF(B608="","",IF(COUNTIF($B$5:B608,B608)=1,COUNT($K$4:K607)+1,""))</x:f>
      </x:c>
      <x:c r="L608" s="85" t="str">
        <x:f>IF(B608="","",IF(COUNTIFS('계정비교'!$A$5:$A$1004,B608,'계정비교'!$H$5:$H$1004,"원인분석 대상")&gt;0,COUNT($L$4:L607)+1,""))</x:f>
      </x:c>
    </x:row>
    <x:row r="609">
      <x:c r="A609" s="73" t="str">
        <x:f>IF('전기원장'!A609="","","전기")</x:f>
      </x:c>
      <x:c r="B609" s="73" t="str">
        <x:f>IF('전기원장'!A609="","",'전기원장'!A609)</x:f>
      </x:c>
      <x:c r="C609" s="73" t="str">
        <x:f>IF('전기원장'!A609="","",'전기원장'!B609)</x:f>
      </x:c>
      <x:c r="D609" s="74" t="str">
        <x:f>IF('전기원장'!A609="","",'전기원장'!C609)</x:f>
      </x:c>
      <x:c r="E609" s="73" t="str">
        <x:f>IF('전기원장'!A609="","",'전기원장'!D609)</x:f>
      </x:c>
      <x:c r="F609" s="73" t="str">
        <x:f>IF('전기원장'!A609="","",'전기원장'!E609)</x:f>
      </x:c>
      <x:c r="G609" s="75" t="str">
        <x:f>IF('전기원장'!A609="","",'전기원장'!H609)</x:f>
      </x:c>
      <x:c r="H609" s="73" t="str">
        <x:f>IF('전기원장'!A609="","",'전기원장'!I609)</x:f>
      </x:c>
      <x:c r="I609" s="73" t="str">
        <x:f>IF('전기원장'!A609="","",'전기원장'!J609)</x:f>
      </x:c>
      <x:c r="J609" s="73" t="str">
        <x:f>IF('전기원장'!A609="","",'전기원장'!K609)</x:f>
      </x:c>
      <x:c r="K609" s="73" t="str">
        <x:f>IF(B609="","",IF(COUNTIF($B$5:B609,B609)=1,COUNT($K$4:K608)+1,""))</x:f>
      </x:c>
      <x:c r="L609" s="85" t="str">
        <x:f>IF(B609="","",IF(COUNTIFS('계정비교'!$A$5:$A$1004,B609,'계정비교'!$H$5:$H$1004,"원인분석 대상")&gt;0,COUNT($L$4:L608)+1,""))</x:f>
      </x:c>
    </x:row>
    <x:row r="610">
      <x:c r="A610" s="73" t="str">
        <x:f>IF('전기원장'!A610="","","전기")</x:f>
      </x:c>
      <x:c r="B610" s="73" t="str">
        <x:f>IF('전기원장'!A610="","",'전기원장'!A610)</x:f>
      </x:c>
      <x:c r="C610" s="73" t="str">
        <x:f>IF('전기원장'!A610="","",'전기원장'!B610)</x:f>
      </x:c>
      <x:c r="D610" s="74" t="str">
        <x:f>IF('전기원장'!A610="","",'전기원장'!C610)</x:f>
      </x:c>
      <x:c r="E610" s="73" t="str">
        <x:f>IF('전기원장'!A610="","",'전기원장'!D610)</x:f>
      </x:c>
      <x:c r="F610" s="73" t="str">
        <x:f>IF('전기원장'!A610="","",'전기원장'!E610)</x:f>
      </x:c>
      <x:c r="G610" s="75" t="str">
        <x:f>IF('전기원장'!A610="","",'전기원장'!H610)</x:f>
      </x:c>
      <x:c r="H610" s="73" t="str">
        <x:f>IF('전기원장'!A610="","",'전기원장'!I610)</x:f>
      </x:c>
      <x:c r="I610" s="73" t="str">
        <x:f>IF('전기원장'!A610="","",'전기원장'!J610)</x:f>
      </x:c>
      <x:c r="J610" s="73" t="str">
        <x:f>IF('전기원장'!A610="","",'전기원장'!K610)</x:f>
      </x:c>
      <x:c r="K610" s="73" t="str">
        <x:f>IF(B610="","",IF(COUNTIF($B$5:B610,B610)=1,COUNT($K$4:K609)+1,""))</x:f>
      </x:c>
      <x:c r="L610" s="85" t="str">
        <x:f>IF(B610="","",IF(COUNTIFS('계정비교'!$A$5:$A$1004,B610,'계정비교'!$H$5:$H$1004,"원인분석 대상")&gt;0,COUNT($L$4:L609)+1,""))</x:f>
      </x:c>
    </x:row>
    <x:row r="611">
      <x:c r="A611" s="73" t="str">
        <x:f>IF('전기원장'!A611="","","전기")</x:f>
      </x:c>
      <x:c r="B611" s="73" t="str">
        <x:f>IF('전기원장'!A611="","",'전기원장'!A611)</x:f>
      </x:c>
      <x:c r="C611" s="73" t="str">
        <x:f>IF('전기원장'!A611="","",'전기원장'!B611)</x:f>
      </x:c>
      <x:c r="D611" s="74" t="str">
        <x:f>IF('전기원장'!A611="","",'전기원장'!C611)</x:f>
      </x:c>
      <x:c r="E611" s="73" t="str">
        <x:f>IF('전기원장'!A611="","",'전기원장'!D611)</x:f>
      </x:c>
      <x:c r="F611" s="73" t="str">
        <x:f>IF('전기원장'!A611="","",'전기원장'!E611)</x:f>
      </x:c>
      <x:c r="G611" s="75" t="str">
        <x:f>IF('전기원장'!A611="","",'전기원장'!H611)</x:f>
      </x:c>
      <x:c r="H611" s="73" t="str">
        <x:f>IF('전기원장'!A611="","",'전기원장'!I611)</x:f>
      </x:c>
      <x:c r="I611" s="73" t="str">
        <x:f>IF('전기원장'!A611="","",'전기원장'!J611)</x:f>
      </x:c>
      <x:c r="J611" s="73" t="str">
        <x:f>IF('전기원장'!A611="","",'전기원장'!K611)</x:f>
      </x:c>
      <x:c r="K611" s="73" t="str">
        <x:f>IF(B611="","",IF(COUNTIF($B$5:B611,B611)=1,COUNT($K$4:K610)+1,""))</x:f>
      </x:c>
      <x:c r="L611" s="85" t="str">
        <x:f>IF(B611="","",IF(COUNTIFS('계정비교'!$A$5:$A$1004,B611,'계정비교'!$H$5:$H$1004,"원인분석 대상")&gt;0,COUNT($L$4:L610)+1,""))</x:f>
      </x:c>
    </x:row>
    <x:row r="612">
      <x:c r="A612" s="73" t="str">
        <x:f>IF('전기원장'!A612="","","전기")</x:f>
      </x:c>
      <x:c r="B612" s="73" t="str">
        <x:f>IF('전기원장'!A612="","",'전기원장'!A612)</x:f>
      </x:c>
      <x:c r="C612" s="73" t="str">
        <x:f>IF('전기원장'!A612="","",'전기원장'!B612)</x:f>
      </x:c>
      <x:c r="D612" s="74" t="str">
        <x:f>IF('전기원장'!A612="","",'전기원장'!C612)</x:f>
      </x:c>
      <x:c r="E612" s="73" t="str">
        <x:f>IF('전기원장'!A612="","",'전기원장'!D612)</x:f>
      </x:c>
      <x:c r="F612" s="73" t="str">
        <x:f>IF('전기원장'!A612="","",'전기원장'!E612)</x:f>
      </x:c>
      <x:c r="G612" s="75" t="str">
        <x:f>IF('전기원장'!A612="","",'전기원장'!H612)</x:f>
      </x:c>
      <x:c r="H612" s="73" t="str">
        <x:f>IF('전기원장'!A612="","",'전기원장'!I612)</x:f>
      </x:c>
      <x:c r="I612" s="73" t="str">
        <x:f>IF('전기원장'!A612="","",'전기원장'!J612)</x:f>
      </x:c>
      <x:c r="J612" s="73" t="str">
        <x:f>IF('전기원장'!A612="","",'전기원장'!K612)</x:f>
      </x:c>
      <x:c r="K612" s="73" t="str">
        <x:f>IF(B612="","",IF(COUNTIF($B$5:B612,B612)=1,COUNT($K$4:K611)+1,""))</x:f>
      </x:c>
      <x:c r="L612" s="85" t="str">
        <x:f>IF(B612="","",IF(COUNTIFS('계정비교'!$A$5:$A$1004,B612,'계정비교'!$H$5:$H$1004,"원인분석 대상")&gt;0,COUNT($L$4:L611)+1,""))</x:f>
      </x:c>
    </x:row>
    <x:row r="613">
      <x:c r="A613" s="73" t="str">
        <x:f>IF('전기원장'!A613="","","전기")</x:f>
      </x:c>
      <x:c r="B613" s="73" t="str">
        <x:f>IF('전기원장'!A613="","",'전기원장'!A613)</x:f>
      </x:c>
      <x:c r="C613" s="73" t="str">
        <x:f>IF('전기원장'!A613="","",'전기원장'!B613)</x:f>
      </x:c>
      <x:c r="D613" s="74" t="str">
        <x:f>IF('전기원장'!A613="","",'전기원장'!C613)</x:f>
      </x:c>
      <x:c r="E613" s="73" t="str">
        <x:f>IF('전기원장'!A613="","",'전기원장'!D613)</x:f>
      </x:c>
      <x:c r="F613" s="73" t="str">
        <x:f>IF('전기원장'!A613="","",'전기원장'!E613)</x:f>
      </x:c>
      <x:c r="G613" s="75" t="str">
        <x:f>IF('전기원장'!A613="","",'전기원장'!H613)</x:f>
      </x:c>
      <x:c r="H613" s="73" t="str">
        <x:f>IF('전기원장'!A613="","",'전기원장'!I613)</x:f>
      </x:c>
      <x:c r="I613" s="73" t="str">
        <x:f>IF('전기원장'!A613="","",'전기원장'!J613)</x:f>
      </x:c>
      <x:c r="J613" s="73" t="str">
        <x:f>IF('전기원장'!A613="","",'전기원장'!K613)</x:f>
      </x:c>
      <x:c r="K613" s="73" t="str">
        <x:f>IF(B613="","",IF(COUNTIF($B$5:B613,B613)=1,COUNT($K$4:K612)+1,""))</x:f>
      </x:c>
      <x:c r="L613" s="85" t="str">
        <x:f>IF(B613="","",IF(COUNTIFS('계정비교'!$A$5:$A$1004,B613,'계정비교'!$H$5:$H$1004,"원인분석 대상")&gt;0,COUNT($L$4:L612)+1,""))</x:f>
      </x:c>
    </x:row>
    <x:row r="614">
      <x:c r="A614" s="73" t="str">
        <x:f>IF('전기원장'!A614="","","전기")</x:f>
      </x:c>
      <x:c r="B614" s="73" t="str">
        <x:f>IF('전기원장'!A614="","",'전기원장'!A614)</x:f>
      </x:c>
      <x:c r="C614" s="73" t="str">
        <x:f>IF('전기원장'!A614="","",'전기원장'!B614)</x:f>
      </x:c>
      <x:c r="D614" s="74" t="str">
        <x:f>IF('전기원장'!A614="","",'전기원장'!C614)</x:f>
      </x:c>
      <x:c r="E614" s="73" t="str">
        <x:f>IF('전기원장'!A614="","",'전기원장'!D614)</x:f>
      </x:c>
      <x:c r="F614" s="73" t="str">
        <x:f>IF('전기원장'!A614="","",'전기원장'!E614)</x:f>
      </x:c>
      <x:c r="G614" s="75" t="str">
        <x:f>IF('전기원장'!A614="","",'전기원장'!H614)</x:f>
      </x:c>
      <x:c r="H614" s="73" t="str">
        <x:f>IF('전기원장'!A614="","",'전기원장'!I614)</x:f>
      </x:c>
      <x:c r="I614" s="73" t="str">
        <x:f>IF('전기원장'!A614="","",'전기원장'!J614)</x:f>
      </x:c>
      <x:c r="J614" s="73" t="str">
        <x:f>IF('전기원장'!A614="","",'전기원장'!K614)</x:f>
      </x:c>
      <x:c r="K614" s="73" t="str">
        <x:f>IF(B614="","",IF(COUNTIF($B$5:B614,B614)=1,COUNT($K$4:K613)+1,""))</x:f>
      </x:c>
      <x:c r="L614" s="85" t="str">
        <x:f>IF(B614="","",IF(COUNTIFS('계정비교'!$A$5:$A$1004,B614,'계정비교'!$H$5:$H$1004,"원인분석 대상")&gt;0,COUNT($L$4:L613)+1,""))</x:f>
      </x:c>
    </x:row>
    <x:row r="615">
      <x:c r="A615" s="73" t="str">
        <x:f>IF('전기원장'!A615="","","전기")</x:f>
      </x:c>
      <x:c r="B615" s="73" t="str">
        <x:f>IF('전기원장'!A615="","",'전기원장'!A615)</x:f>
      </x:c>
      <x:c r="C615" s="73" t="str">
        <x:f>IF('전기원장'!A615="","",'전기원장'!B615)</x:f>
      </x:c>
      <x:c r="D615" s="74" t="str">
        <x:f>IF('전기원장'!A615="","",'전기원장'!C615)</x:f>
      </x:c>
      <x:c r="E615" s="73" t="str">
        <x:f>IF('전기원장'!A615="","",'전기원장'!D615)</x:f>
      </x:c>
      <x:c r="F615" s="73" t="str">
        <x:f>IF('전기원장'!A615="","",'전기원장'!E615)</x:f>
      </x:c>
      <x:c r="G615" s="75" t="str">
        <x:f>IF('전기원장'!A615="","",'전기원장'!H615)</x:f>
      </x:c>
      <x:c r="H615" s="73" t="str">
        <x:f>IF('전기원장'!A615="","",'전기원장'!I615)</x:f>
      </x:c>
      <x:c r="I615" s="73" t="str">
        <x:f>IF('전기원장'!A615="","",'전기원장'!J615)</x:f>
      </x:c>
      <x:c r="J615" s="73" t="str">
        <x:f>IF('전기원장'!A615="","",'전기원장'!K615)</x:f>
      </x:c>
      <x:c r="K615" s="73" t="str">
        <x:f>IF(B615="","",IF(COUNTIF($B$5:B615,B615)=1,COUNT($K$4:K614)+1,""))</x:f>
      </x:c>
      <x:c r="L615" s="85" t="str">
        <x:f>IF(B615="","",IF(COUNTIFS('계정비교'!$A$5:$A$1004,B615,'계정비교'!$H$5:$H$1004,"원인분석 대상")&gt;0,COUNT($L$4:L614)+1,""))</x:f>
      </x:c>
    </x:row>
    <x:row r="616">
      <x:c r="A616" s="73" t="str">
        <x:f>IF('전기원장'!A616="","","전기")</x:f>
      </x:c>
      <x:c r="B616" s="73" t="str">
        <x:f>IF('전기원장'!A616="","",'전기원장'!A616)</x:f>
      </x:c>
      <x:c r="C616" s="73" t="str">
        <x:f>IF('전기원장'!A616="","",'전기원장'!B616)</x:f>
      </x:c>
      <x:c r="D616" s="74" t="str">
        <x:f>IF('전기원장'!A616="","",'전기원장'!C616)</x:f>
      </x:c>
      <x:c r="E616" s="73" t="str">
        <x:f>IF('전기원장'!A616="","",'전기원장'!D616)</x:f>
      </x:c>
      <x:c r="F616" s="73" t="str">
        <x:f>IF('전기원장'!A616="","",'전기원장'!E616)</x:f>
      </x:c>
      <x:c r="G616" s="75" t="str">
        <x:f>IF('전기원장'!A616="","",'전기원장'!H616)</x:f>
      </x:c>
      <x:c r="H616" s="73" t="str">
        <x:f>IF('전기원장'!A616="","",'전기원장'!I616)</x:f>
      </x:c>
      <x:c r="I616" s="73" t="str">
        <x:f>IF('전기원장'!A616="","",'전기원장'!J616)</x:f>
      </x:c>
      <x:c r="J616" s="73" t="str">
        <x:f>IF('전기원장'!A616="","",'전기원장'!K616)</x:f>
      </x:c>
      <x:c r="K616" s="73" t="str">
        <x:f>IF(B616="","",IF(COUNTIF($B$5:B616,B616)=1,COUNT($K$4:K615)+1,""))</x:f>
      </x:c>
      <x:c r="L616" s="85" t="str">
        <x:f>IF(B616="","",IF(COUNTIFS('계정비교'!$A$5:$A$1004,B616,'계정비교'!$H$5:$H$1004,"원인분석 대상")&gt;0,COUNT($L$4:L615)+1,""))</x:f>
      </x:c>
    </x:row>
    <x:row r="617">
      <x:c r="A617" s="73" t="str">
        <x:f>IF('전기원장'!A617="","","전기")</x:f>
      </x:c>
      <x:c r="B617" s="73" t="str">
        <x:f>IF('전기원장'!A617="","",'전기원장'!A617)</x:f>
      </x:c>
      <x:c r="C617" s="73" t="str">
        <x:f>IF('전기원장'!A617="","",'전기원장'!B617)</x:f>
      </x:c>
      <x:c r="D617" s="74" t="str">
        <x:f>IF('전기원장'!A617="","",'전기원장'!C617)</x:f>
      </x:c>
      <x:c r="E617" s="73" t="str">
        <x:f>IF('전기원장'!A617="","",'전기원장'!D617)</x:f>
      </x:c>
      <x:c r="F617" s="73" t="str">
        <x:f>IF('전기원장'!A617="","",'전기원장'!E617)</x:f>
      </x:c>
      <x:c r="G617" s="75" t="str">
        <x:f>IF('전기원장'!A617="","",'전기원장'!H617)</x:f>
      </x:c>
      <x:c r="H617" s="73" t="str">
        <x:f>IF('전기원장'!A617="","",'전기원장'!I617)</x:f>
      </x:c>
      <x:c r="I617" s="73" t="str">
        <x:f>IF('전기원장'!A617="","",'전기원장'!J617)</x:f>
      </x:c>
      <x:c r="J617" s="73" t="str">
        <x:f>IF('전기원장'!A617="","",'전기원장'!K617)</x:f>
      </x:c>
      <x:c r="K617" s="73" t="str">
        <x:f>IF(B617="","",IF(COUNTIF($B$5:B617,B617)=1,COUNT($K$4:K616)+1,""))</x:f>
      </x:c>
      <x:c r="L617" s="85" t="str">
        <x:f>IF(B617="","",IF(COUNTIFS('계정비교'!$A$5:$A$1004,B617,'계정비교'!$H$5:$H$1004,"원인분석 대상")&gt;0,COUNT($L$4:L616)+1,""))</x:f>
      </x:c>
    </x:row>
    <x:row r="618">
      <x:c r="A618" s="73" t="str">
        <x:f>IF('전기원장'!A618="","","전기")</x:f>
      </x:c>
      <x:c r="B618" s="73" t="str">
        <x:f>IF('전기원장'!A618="","",'전기원장'!A618)</x:f>
      </x:c>
      <x:c r="C618" s="73" t="str">
        <x:f>IF('전기원장'!A618="","",'전기원장'!B618)</x:f>
      </x:c>
      <x:c r="D618" s="74" t="str">
        <x:f>IF('전기원장'!A618="","",'전기원장'!C618)</x:f>
      </x:c>
      <x:c r="E618" s="73" t="str">
        <x:f>IF('전기원장'!A618="","",'전기원장'!D618)</x:f>
      </x:c>
      <x:c r="F618" s="73" t="str">
        <x:f>IF('전기원장'!A618="","",'전기원장'!E618)</x:f>
      </x:c>
      <x:c r="G618" s="75" t="str">
        <x:f>IF('전기원장'!A618="","",'전기원장'!H618)</x:f>
      </x:c>
      <x:c r="H618" s="73" t="str">
        <x:f>IF('전기원장'!A618="","",'전기원장'!I618)</x:f>
      </x:c>
      <x:c r="I618" s="73" t="str">
        <x:f>IF('전기원장'!A618="","",'전기원장'!J618)</x:f>
      </x:c>
      <x:c r="J618" s="73" t="str">
        <x:f>IF('전기원장'!A618="","",'전기원장'!K618)</x:f>
      </x:c>
      <x:c r="K618" s="73" t="str">
        <x:f>IF(B618="","",IF(COUNTIF($B$5:B618,B618)=1,COUNT($K$4:K617)+1,""))</x:f>
      </x:c>
      <x:c r="L618" s="85" t="str">
        <x:f>IF(B618="","",IF(COUNTIFS('계정비교'!$A$5:$A$1004,B618,'계정비교'!$H$5:$H$1004,"원인분석 대상")&gt;0,COUNT($L$4:L617)+1,""))</x:f>
      </x:c>
    </x:row>
    <x:row r="619">
      <x:c r="A619" s="73" t="str">
        <x:f>IF('전기원장'!A619="","","전기")</x:f>
      </x:c>
      <x:c r="B619" s="73" t="str">
        <x:f>IF('전기원장'!A619="","",'전기원장'!A619)</x:f>
      </x:c>
      <x:c r="C619" s="73" t="str">
        <x:f>IF('전기원장'!A619="","",'전기원장'!B619)</x:f>
      </x:c>
      <x:c r="D619" s="74" t="str">
        <x:f>IF('전기원장'!A619="","",'전기원장'!C619)</x:f>
      </x:c>
      <x:c r="E619" s="73" t="str">
        <x:f>IF('전기원장'!A619="","",'전기원장'!D619)</x:f>
      </x:c>
      <x:c r="F619" s="73" t="str">
        <x:f>IF('전기원장'!A619="","",'전기원장'!E619)</x:f>
      </x:c>
      <x:c r="G619" s="75" t="str">
        <x:f>IF('전기원장'!A619="","",'전기원장'!H619)</x:f>
      </x:c>
      <x:c r="H619" s="73" t="str">
        <x:f>IF('전기원장'!A619="","",'전기원장'!I619)</x:f>
      </x:c>
      <x:c r="I619" s="73" t="str">
        <x:f>IF('전기원장'!A619="","",'전기원장'!J619)</x:f>
      </x:c>
      <x:c r="J619" s="73" t="str">
        <x:f>IF('전기원장'!A619="","",'전기원장'!K619)</x:f>
      </x:c>
      <x:c r="K619" s="73" t="str">
        <x:f>IF(B619="","",IF(COUNTIF($B$5:B619,B619)=1,COUNT($K$4:K618)+1,""))</x:f>
      </x:c>
      <x:c r="L619" s="85" t="str">
        <x:f>IF(B619="","",IF(COUNTIFS('계정비교'!$A$5:$A$1004,B619,'계정비교'!$H$5:$H$1004,"원인분석 대상")&gt;0,COUNT($L$4:L618)+1,""))</x:f>
      </x:c>
    </x:row>
    <x:row r="620">
      <x:c r="A620" s="73" t="str">
        <x:f>IF('전기원장'!A620="","","전기")</x:f>
      </x:c>
      <x:c r="B620" s="73" t="str">
        <x:f>IF('전기원장'!A620="","",'전기원장'!A620)</x:f>
      </x:c>
      <x:c r="C620" s="73" t="str">
        <x:f>IF('전기원장'!A620="","",'전기원장'!B620)</x:f>
      </x:c>
      <x:c r="D620" s="74" t="str">
        <x:f>IF('전기원장'!A620="","",'전기원장'!C620)</x:f>
      </x:c>
      <x:c r="E620" s="73" t="str">
        <x:f>IF('전기원장'!A620="","",'전기원장'!D620)</x:f>
      </x:c>
      <x:c r="F620" s="73" t="str">
        <x:f>IF('전기원장'!A620="","",'전기원장'!E620)</x:f>
      </x:c>
      <x:c r="G620" s="75" t="str">
        <x:f>IF('전기원장'!A620="","",'전기원장'!H620)</x:f>
      </x:c>
      <x:c r="H620" s="73" t="str">
        <x:f>IF('전기원장'!A620="","",'전기원장'!I620)</x:f>
      </x:c>
      <x:c r="I620" s="73" t="str">
        <x:f>IF('전기원장'!A620="","",'전기원장'!J620)</x:f>
      </x:c>
      <x:c r="J620" s="73" t="str">
        <x:f>IF('전기원장'!A620="","",'전기원장'!K620)</x:f>
      </x:c>
      <x:c r="K620" s="73" t="str">
        <x:f>IF(B620="","",IF(COUNTIF($B$5:B620,B620)=1,COUNT($K$4:K619)+1,""))</x:f>
      </x:c>
      <x:c r="L620" s="85" t="str">
        <x:f>IF(B620="","",IF(COUNTIFS('계정비교'!$A$5:$A$1004,B620,'계정비교'!$H$5:$H$1004,"원인분석 대상")&gt;0,COUNT($L$4:L619)+1,""))</x:f>
      </x:c>
    </x:row>
    <x:row r="621">
      <x:c r="A621" s="73" t="str">
        <x:f>IF('전기원장'!A621="","","전기")</x:f>
      </x:c>
      <x:c r="B621" s="73" t="str">
        <x:f>IF('전기원장'!A621="","",'전기원장'!A621)</x:f>
      </x:c>
      <x:c r="C621" s="73" t="str">
        <x:f>IF('전기원장'!A621="","",'전기원장'!B621)</x:f>
      </x:c>
      <x:c r="D621" s="74" t="str">
        <x:f>IF('전기원장'!A621="","",'전기원장'!C621)</x:f>
      </x:c>
      <x:c r="E621" s="73" t="str">
        <x:f>IF('전기원장'!A621="","",'전기원장'!D621)</x:f>
      </x:c>
      <x:c r="F621" s="73" t="str">
        <x:f>IF('전기원장'!A621="","",'전기원장'!E621)</x:f>
      </x:c>
      <x:c r="G621" s="75" t="str">
        <x:f>IF('전기원장'!A621="","",'전기원장'!H621)</x:f>
      </x:c>
      <x:c r="H621" s="73" t="str">
        <x:f>IF('전기원장'!A621="","",'전기원장'!I621)</x:f>
      </x:c>
      <x:c r="I621" s="73" t="str">
        <x:f>IF('전기원장'!A621="","",'전기원장'!J621)</x:f>
      </x:c>
      <x:c r="J621" s="73" t="str">
        <x:f>IF('전기원장'!A621="","",'전기원장'!K621)</x:f>
      </x:c>
      <x:c r="K621" s="73" t="str">
        <x:f>IF(B621="","",IF(COUNTIF($B$5:B621,B621)=1,COUNT($K$4:K620)+1,""))</x:f>
      </x:c>
      <x:c r="L621" s="85" t="str">
        <x:f>IF(B621="","",IF(COUNTIFS('계정비교'!$A$5:$A$1004,B621,'계정비교'!$H$5:$H$1004,"원인분석 대상")&gt;0,COUNT($L$4:L620)+1,""))</x:f>
      </x:c>
    </x:row>
    <x:row r="622">
      <x:c r="A622" s="73" t="str">
        <x:f>IF('전기원장'!A622="","","전기")</x:f>
      </x:c>
      <x:c r="B622" s="73" t="str">
        <x:f>IF('전기원장'!A622="","",'전기원장'!A622)</x:f>
      </x:c>
      <x:c r="C622" s="73" t="str">
        <x:f>IF('전기원장'!A622="","",'전기원장'!B622)</x:f>
      </x:c>
      <x:c r="D622" s="74" t="str">
        <x:f>IF('전기원장'!A622="","",'전기원장'!C622)</x:f>
      </x:c>
      <x:c r="E622" s="73" t="str">
        <x:f>IF('전기원장'!A622="","",'전기원장'!D622)</x:f>
      </x:c>
      <x:c r="F622" s="73" t="str">
        <x:f>IF('전기원장'!A622="","",'전기원장'!E622)</x:f>
      </x:c>
      <x:c r="G622" s="75" t="str">
        <x:f>IF('전기원장'!A622="","",'전기원장'!H622)</x:f>
      </x:c>
      <x:c r="H622" s="73" t="str">
        <x:f>IF('전기원장'!A622="","",'전기원장'!I622)</x:f>
      </x:c>
      <x:c r="I622" s="73" t="str">
        <x:f>IF('전기원장'!A622="","",'전기원장'!J622)</x:f>
      </x:c>
      <x:c r="J622" s="73" t="str">
        <x:f>IF('전기원장'!A622="","",'전기원장'!K622)</x:f>
      </x:c>
      <x:c r="K622" s="73" t="str">
        <x:f>IF(B622="","",IF(COUNTIF($B$5:B622,B622)=1,COUNT($K$4:K621)+1,""))</x:f>
      </x:c>
      <x:c r="L622" s="85" t="str">
        <x:f>IF(B622="","",IF(COUNTIFS('계정비교'!$A$5:$A$1004,B622,'계정비교'!$H$5:$H$1004,"원인분석 대상")&gt;0,COUNT($L$4:L621)+1,""))</x:f>
      </x:c>
    </x:row>
    <x:row r="623">
      <x:c r="A623" s="73" t="str">
        <x:f>IF('전기원장'!A623="","","전기")</x:f>
      </x:c>
      <x:c r="B623" s="73" t="str">
        <x:f>IF('전기원장'!A623="","",'전기원장'!A623)</x:f>
      </x:c>
      <x:c r="C623" s="73" t="str">
        <x:f>IF('전기원장'!A623="","",'전기원장'!B623)</x:f>
      </x:c>
      <x:c r="D623" s="74" t="str">
        <x:f>IF('전기원장'!A623="","",'전기원장'!C623)</x:f>
      </x:c>
      <x:c r="E623" s="73" t="str">
        <x:f>IF('전기원장'!A623="","",'전기원장'!D623)</x:f>
      </x:c>
      <x:c r="F623" s="73" t="str">
        <x:f>IF('전기원장'!A623="","",'전기원장'!E623)</x:f>
      </x:c>
      <x:c r="G623" s="75" t="str">
        <x:f>IF('전기원장'!A623="","",'전기원장'!H623)</x:f>
      </x:c>
      <x:c r="H623" s="73" t="str">
        <x:f>IF('전기원장'!A623="","",'전기원장'!I623)</x:f>
      </x:c>
      <x:c r="I623" s="73" t="str">
        <x:f>IF('전기원장'!A623="","",'전기원장'!J623)</x:f>
      </x:c>
      <x:c r="J623" s="73" t="str">
        <x:f>IF('전기원장'!A623="","",'전기원장'!K623)</x:f>
      </x:c>
      <x:c r="K623" s="73" t="str">
        <x:f>IF(B623="","",IF(COUNTIF($B$5:B623,B623)=1,COUNT($K$4:K622)+1,""))</x:f>
      </x:c>
      <x:c r="L623" s="85" t="str">
        <x:f>IF(B623="","",IF(COUNTIFS('계정비교'!$A$5:$A$1004,B623,'계정비교'!$H$5:$H$1004,"원인분석 대상")&gt;0,COUNT($L$4:L622)+1,""))</x:f>
      </x:c>
    </x:row>
    <x:row r="624">
      <x:c r="A624" s="73" t="str">
        <x:f>IF('전기원장'!A624="","","전기")</x:f>
      </x:c>
      <x:c r="B624" s="73" t="str">
        <x:f>IF('전기원장'!A624="","",'전기원장'!A624)</x:f>
      </x:c>
      <x:c r="C624" s="73" t="str">
        <x:f>IF('전기원장'!A624="","",'전기원장'!B624)</x:f>
      </x:c>
      <x:c r="D624" s="74" t="str">
        <x:f>IF('전기원장'!A624="","",'전기원장'!C624)</x:f>
      </x:c>
      <x:c r="E624" s="73" t="str">
        <x:f>IF('전기원장'!A624="","",'전기원장'!D624)</x:f>
      </x:c>
      <x:c r="F624" s="73" t="str">
        <x:f>IF('전기원장'!A624="","",'전기원장'!E624)</x:f>
      </x:c>
      <x:c r="G624" s="75" t="str">
        <x:f>IF('전기원장'!A624="","",'전기원장'!H624)</x:f>
      </x:c>
      <x:c r="H624" s="73" t="str">
        <x:f>IF('전기원장'!A624="","",'전기원장'!I624)</x:f>
      </x:c>
      <x:c r="I624" s="73" t="str">
        <x:f>IF('전기원장'!A624="","",'전기원장'!J624)</x:f>
      </x:c>
      <x:c r="J624" s="73" t="str">
        <x:f>IF('전기원장'!A624="","",'전기원장'!K624)</x:f>
      </x:c>
      <x:c r="K624" s="73" t="str">
        <x:f>IF(B624="","",IF(COUNTIF($B$5:B624,B624)=1,COUNT($K$4:K623)+1,""))</x:f>
      </x:c>
      <x:c r="L624" s="85" t="str">
        <x:f>IF(B624="","",IF(COUNTIFS('계정비교'!$A$5:$A$1004,B624,'계정비교'!$H$5:$H$1004,"원인분석 대상")&gt;0,COUNT($L$4:L623)+1,""))</x:f>
      </x:c>
    </x:row>
    <x:row r="625">
      <x:c r="A625" s="73" t="str">
        <x:f>IF('전기원장'!A625="","","전기")</x:f>
      </x:c>
      <x:c r="B625" s="73" t="str">
        <x:f>IF('전기원장'!A625="","",'전기원장'!A625)</x:f>
      </x:c>
      <x:c r="C625" s="73" t="str">
        <x:f>IF('전기원장'!A625="","",'전기원장'!B625)</x:f>
      </x:c>
      <x:c r="D625" s="74" t="str">
        <x:f>IF('전기원장'!A625="","",'전기원장'!C625)</x:f>
      </x:c>
      <x:c r="E625" s="73" t="str">
        <x:f>IF('전기원장'!A625="","",'전기원장'!D625)</x:f>
      </x:c>
      <x:c r="F625" s="73" t="str">
        <x:f>IF('전기원장'!A625="","",'전기원장'!E625)</x:f>
      </x:c>
      <x:c r="G625" s="75" t="str">
        <x:f>IF('전기원장'!A625="","",'전기원장'!H625)</x:f>
      </x:c>
      <x:c r="H625" s="73" t="str">
        <x:f>IF('전기원장'!A625="","",'전기원장'!I625)</x:f>
      </x:c>
      <x:c r="I625" s="73" t="str">
        <x:f>IF('전기원장'!A625="","",'전기원장'!J625)</x:f>
      </x:c>
      <x:c r="J625" s="73" t="str">
        <x:f>IF('전기원장'!A625="","",'전기원장'!K625)</x:f>
      </x:c>
      <x:c r="K625" s="73" t="str">
        <x:f>IF(B625="","",IF(COUNTIF($B$5:B625,B625)=1,COUNT($K$4:K624)+1,""))</x:f>
      </x:c>
      <x:c r="L625" s="85" t="str">
        <x:f>IF(B625="","",IF(COUNTIFS('계정비교'!$A$5:$A$1004,B625,'계정비교'!$H$5:$H$1004,"원인분석 대상")&gt;0,COUNT($L$4:L624)+1,""))</x:f>
      </x:c>
    </x:row>
    <x:row r="626">
      <x:c r="A626" s="73" t="str">
        <x:f>IF('전기원장'!A626="","","전기")</x:f>
      </x:c>
      <x:c r="B626" s="73" t="str">
        <x:f>IF('전기원장'!A626="","",'전기원장'!A626)</x:f>
      </x:c>
      <x:c r="C626" s="73" t="str">
        <x:f>IF('전기원장'!A626="","",'전기원장'!B626)</x:f>
      </x:c>
      <x:c r="D626" s="74" t="str">
        <x:f>IF('전기원장'!A626="","",'전기원장'!C626)</x:f>
      </x:c>
      <x:c r="E626" s="73" t="str">
        <x:f>IF('전기원장'!A626="","",'전기원장'!D626)</x:f>
      </x:c>
      <x:c r="F626" s="73" t="str">
        <x:f>IF('전기원장'!A626="","",'전기원장'!E626)</x:f>
      </x:c>
      <x:c r="G626" s="75" t="str">
        <x:f>IF('전기원장'!A626="","",'전기원장'!H626)</x:f>
      </x:c>
      <x:c r="H626" s="73" t="str">
        <x:f>IF('전기원장'!A626="","",'전기원장'!I626)</x:f>
      </x:c>
      <x:c r="I626" s="73" t="str">
        <x:f>IF('전기원장'!A626="","",'전기원장'!J626)</x:f>
      </x:c>
      <x:c r="J626" s="73" t="str">
        <x:f>IF('전기원장'!A626="","",'전기원장'!K626)</x:f>
      </x:c>
      <x:c r="K626" s="73" t="str">
        <x:f>IF(B626="","",IF(COUNTIF($B$5:B626,B626)=1,COUNT($K$4:K625)+1,""))</x:f>
      </x:c>
      <x:c r="L626" s="85" t="str">
        <x:f>IF(B626="","",IF(COUNTIFS('계정비교'!$A$5:$A$1004,B626,'계정비교'!$H$5:$H$1004,"원인분석 대상")&gt;0,COUNT($L$4:L625)+1,""))</x:f>
      </x:c>
    </x:row>
    <x:row r="627">
      <x:c r="A627" s="73" t="str">
        <x:f>IF('전기원장'!A627="","","전기")</x:f>
      </x:c>
      <x:c r="B627" s="73" t="str">
        <x:f>IF('전기원장'!A627="","",'전기원장'!A627)</x:f>
      </x:c>
      <x:c r="C627" s="73" t="str">
        <x:f>IF('전기원장'!A627="","",'전기원장'!B627)</x:f>
      </x:c>
      <x:c r="D627" s="74" t="str">
        <x:f>IF('전기원장'!A627="","",'전기원장'!C627)</x:f>
      </x:c>
      <x:c r="E627" s="73" t="str">
        <x:f>IF('전기원장'!A627="","",'전기원장'!D627)</x:f>
      </x:c>
      <x:c r="F627" s="73" t="str">
        <x:f>IF('전기원장'!A627="","",'전기원장'!E627)</x:f>
      </x:c>
      <x:c r="G627" s="75" t="str">
        <x:f>IF('전기원장'!A627="","",'전기원장'!H627)</x:f>
      </x:c>
      <x:c r="H627" s="73" t="str">
        <x:f>IF('전기원장'!A627="","",'전기원장'!I627)</x:f>
      </x:c>
      <x:c r="I627" s="73" t="str">
        <x:f>IF('전기원장'!A627="","",'전기원장'!J627)</x:f>
      </x:c>
      <x:c r="J627" s="73" t="str">
        <x:f>IF('전기원장'!A627="","",'전기원장'!K627)</x:f>
      </x:c>
      <x:c r="K627" s="73" t="str">
        <x:f>IF(B627="","",IF(COUNTIF($B$5:B627,B627)=1,COUNT($K$4:K626)+1,""))</x:f>
      </x:c>
      <x:c r="L627" s="85" t="str">
        <x:f>IF(B627="","",IF(COUNTIFS('계정비교'!$A$5:$A$1004,B627,'계정비교'!$H$5:$H$1004,"원인분석 대상")&gt;0,COUNT($L$4:L626)+1,""))</x:f>
      </x:c>
    </x:row>
    <x:row r="628">
      <x:c r="A628" s="73" t="str">
        <x:f>IF('전기원장'!A628="","","전기")</x:f>
      </x:c>
      <x:c r="B628" s="73" t="str">
        <x:f>IF('전기원장'!A628="","",'전기원장'!A628)</x:f>
      </x:c>
      <x:c r="C628" s="73" t="str">
        <x:f>IF('전기원장'!A628="","",'전기원장'!B628)</x:f>
      </x:c>
      <x:c r="D628" s="74" t="str">
        <x:f>IF('전기원장'!A628="","",'전기원장'!C628)</x:f>
      </x:c>
      <x:c r="E628" s="73" t="str">
        <x:f>IF('전기원장'!A628="","",'전기원장'!D628)</x:f>
      </x:c>
      <x:c r="F628" s="73" t="str">
        <x:f>IF('전기원장'!A628="","",'전기원장'!E628)</x:f>
      </x:c>
      <x:c r="G628" s="75" t="str">
        <x:f>IF('전기원장'!A628="","",'전기원장'!H628)</x:f>
      </x:c>
      <x:c r="H628" s="73" t="str">
        <x:f>IF('전기원장'!A628="","",'전기원장'!I628)</x:f>
      </x:c>
      <x:c r="I628" s="73" t="str">
        <x:f>IF('전기원장'!A628="","",'전기원장'!J628)</x:f>
      </x:c>
      <x:c r="J628" s="73" t="str">
        <x:f>IF('전기원장'!A628="","",'전기원장'!K628)</x:f>
      </x:c>
      <x:c r="K628" s="73" t="str">
        <x:f>IF(B628="","",IF(COUNTIF($B$5:B628,B628)=1,COUNT($K$4:K627)+1,""))</x:f>
      </x:c>
      <x:c r="L628" s="85" t="str">
        <x:f>IF(B628="","",IF(COUNTIFS('계정비교'!$A$5:$A$1004,B628,'계정비교'!$H$5:$H$1004,"원인분석 대상")&gt;0,COUNT($L$4:L627)+1,""))</x:f>
      </x:c>
    </x:row>
    <x:row r="629">
      <x:c r="A629" s="73" t="str">
        <x:f>IF('전기원장'!A629="","","전기")</x:f>
      </x:c>
      <x:c r="B629" s="73" t="str">
        <x:f>IF('전기원장'!A629="","",'전기원장'!A629)</x:f>
      </x:c>
      <x:c r="C629" s="73" t="str">
        <x:f>IF('전기원장'!A629="","",'전기원장'!B629)</x:f>
      </x:c>
      <x:c r="D629" s="74" t="str">
        <x:f>IF('전기원장'!A629="","",'전기원장'!C629)</x:f>
      </x:c>
      <x:c r="E629" s="73" t="str">
        <x:f>IF('전기원장'!A629="","",'전기원장'!D629)</x:f>
      </x:c>
      <x:c r="F629" s="73" t="str">
        <x:f>IF('전기원장'!A629="","",'전기원장'!E629)</x:f>
      </x:c>
      <x:c r="G629" s="75" t="str">
        <x:f>IF('전기원장'!A629="","",'전기원장'!H629)</x:f>
      </x:c>
      <x:c r="H629" s="73" t="str">
        <x:f>IF('전기원장'!A629="","",'전기원장'!I629)</x:f>
      </x:c>
      <x:c r="I629" s="73" t="str">
        <x:f>IF('전기원장'!A629="","",'전기원장'!J629)</x:f>
      </x:c>
      <x:c r="J629" s="73" t="str">
        <x:f>IF('전기원장'!A629="","",'전기원장'!K629)</x:f>
      </x:c>
      <x:c r="K629" s="73" t="str">
        <x:f>IF(B629="","",IF(COUNTIF($B$5:B629,B629)=1,COUNT($K$4:K628)+1,""))</x:f>
      </x:c>
      <x:c r="L629" s="85" t="str">
        <x:f>IF(B629="","",IF(COUNTIFS('계정비교'!$A$5:$A$1004,B629,'계정비교'!$H$5:$H$1004,"원인분석 대상")&gt;0,COUNT($L$4:L628)+1,""))</x:f>
      </x:c>
    </x:row>
    <x:row r="630">
      <x:c r="A630" s="73" t="str">
        <x:f>IF('전기원장'!A630="","","전기")</x:f>
      </x:c>
      <x:c r="B630" s="73" t="str">
        <x:f>IF('전기원장'!A630="","",'전기원장'!A630)</x:f>
      </x:c>
      <x:c r="C630" s="73" t="str">
        <x:f>IF('전기원장'!A630="","",'전기원장'!B630)</x:f>
      </x:c>
      <x:c r="D630" s="74" t="str">
        <x:f>IF('전기원장'!A630="","",'전기원장'!C630)</x:f>
      </x:c>
      <x:c r="E630" s="73" t="str">
        <x:f>IF('전기원장'!A630="","",'전기원장'!D630)</x:f>
      </x:c>
      <x:c r="F630" s="73" t="str">
        <x:f>IF('전기원장'!A630="","",'전기원장'!E630)</x:f>
      </x:c>
      <x:c r="G630" s="75" t="str">
        <x:f>IF('전기원장'!A630="","",'전기원장'!H630)</x:f>
      </x:c>
      <x:c r="H630" s="73" t="str">
        <x:f>IF('전기원장'!A630="","",'전기원장'!I630)</x:f>
      </x:c>
      <x:c r="I630" s="73" t="str">
        <x:f>IF('전기원장'!A630="","",'전기원장'!J630)</x:f>
      </x:c>
      <x:c r="J630" s="73" t="str">
        <x:f>IF('전기원장'!A630="","",'전기원장'!K630)</x:f>
      </x:c>
      <x:c r="K630" s="73" t="str">
        <x:f>IF(B630="","",IF(COUNTIF($B$5:B630,B630)=1,COUNT($K$4:K629)+1,""))</x:f>
      </x:c>
      <x:c r="L630" s="85" t="str">
        <x:f>IF(B630="","",IF(COUNTIFS('계정비교'!$A$5:$A$1004,B630,'계정비교'!$H$5:$H$1004,"원인분석 대상")&gt;0,COUNT($L$4:L629)+1,""))</x:f>
      </x:c>
    </x:row>
    <x:row r="631">
      <x:c r="A631" s="73" t="str">
        <x:f>IF('전기원장'!A631="","","전기")</x:f>
      </x:c>
      <x:c r="B631" s="73" t="str">
        <x:f>IF('전기원장'!A631="","",'전기원장'!A631)</x:f>
      </x:c>
      <x:c r="C631" s="73" t="str">
        <x:f>IF('전기원장'!A631="","",'전기원장'!B631)</x:f>
      </x:c>
      <x:c r="D631" s="74" t="str">
        <x:f>IF('전기원장'!A631="","",'전기원장'!C631)</x:f>
      </x:c>
      <x:c r="E631" s="73" t="str">
        <x:f>IF('전기원장'!A631="","",'전기원장'!D631)</x:f>
      </x:c>
      <x:c r="F631" s="73" t="str">
        <x:f>IF('전기원장'!A631="","",'전기원장'!E631)</x:f>
      </x:c>
      <x:c r="G631" s="75" t="str">
        <x:f>IF('전기원장'!A631="","",'전기원장'!H631)</x:f>
      </x:c>
      <x:c r="H631" s="73" t="str">
        <x:f>IF('전기원장'!A631="","",'전기원장'!I631)</x:f>
      </x:c>
      <x:c r="I631" s="73" t="str">
        <x:f>IF('전기원장'!A631="","",'전기원장'!J631)</x:f>
      </x:c>
      <x:c r="J631" s="73" t="str">
        <x:f>IF('전기원장'!A631="","",'전기원장'!K631)</x:f>
      </x:c>
      <x:c r="K631" s="73" t="str">
        <x:f>IF(B631="","",IF(COUNTIF($B$5:B631,B631)=1,COUNT($K$4:K630)+1,""))</x:f>
      </x:c>
      <x:c r="L631" s="85" t="str">
        <x:f>IF(B631="","",IF(COUNTIFS('계정비교'!$A$5:$A$1004,B631,'계정비교'!$H$5:$H$1004,"원인분석 대상")&gt;0,COUNT($L$4:L630)+1,""))</x:f>
      </x:c>
    </x:row>
    <x:row r="632">
      <x:c r="A632" s="73" t="str">
        <x:f>IF('전기원장'!A632="","","전기")</x:f>
      </x:c>
      <x:c r="B632" s="73" t="str">
        <x:f>IF('전기원장'!A632="","",'전기원장'!A632)</x:f>
      </x:c>
      <x:c r="C632" s="73" t="str">
        <x:f>IF('전기원장'!A632="","",'전기원장'!B632)</x:f>
      </x:c>
      <x:c r="D632" s="74" t="str">
        <x:f>IF('전기원장'!A632="","",'전기원장'!C632)</x:f>
      </x:c>
      <x:c r="E632" s="73" t="str">
        <x:f>IF('전기원장'!A632="","",'전기원장'!D632)</x:f>
      </x:c>
      <x:c r="F632" s="73" t="str">
        <x:f>IF('전기원장'!A632="","",'전기원장'!E632)</x:f>
      </x:c>
      <x:c r="G632" s="75" t="str">
        <x:f>IF('전기원장'!A632="","",'전기원장'!H632)</x:f>
      </x:c>
      <x:c r="H632" s="73" t="str">
        <x:f>IF('전기원장'!A632="","",'전기원장'!I632)</x:f>
      </x:c>
      <x:c r="I632" s="73" t="str">
        <x:f>IF('전기원장'!A632="","",'전기원장'!J632)</x:f>
      </x:c>
      <x:c r="J632" s="73" t="str">
        <x:f>IF('전기원장'!A632="","",'전기원장'!K632)</x:f>
      </x:c>
      <x:c r="K632" s="73" t="str">
        <x:f>IF(B632="","",IF(COUNTIF($B$5:B632,B632)=1,COUNT($K$4:K631)+1,""))</x:f>
      </x:c>
      <x:c r="L632" s="85" t="str">
        <x:f>IF(B632="","",IF(COUNTIFS('계정비교'!$A$5:$A$1004,B632,'계정비교'!$H$5:$H$1004,"원인분석 대상")&gt;0,COUNT($L$4:L631)+1,""))</x:f>
      </x:c>
    </x:row>
    <x:row r="633">
      <x:c r="A633" s="73" t="str">
        <x:f>IF('전기원장'!A633="","","전기")</x:f>
      </x:c>
      <x:c r="B633" s="73" t="str">
        <x:f>IF('전기원장'!A633="","",'전기원장'!A633)</x:f>
      </x:c>
      <x:c r="C633" s="73" t="str">
        <x:f>IF('전기원장'!A633="","",'전기원장'!B633)</x:f>
      </x:c>
      <x:c r="D633" s="74" t="str">
        <x:f>IF('전기원장'!A633="","",'전기원장'!C633)</x:f>
      </x:c>
      <x:c r="E633" s="73" t="str">
        <x:f>IF('전기원장'!A633="","",'전기원장'!D633)</x:f>
      </x:c>
      <x:c r="F633" s="73" t="str">
        <x:f>IF('전기원장'!A633="","",'전기원장'!E633)</x:f>
      </x:c>
      <x:c r="G633" s="75" t="str">
        <x:f>IF('전기원장'!A633="","",'전기원장'!H633)</x:f>
      </x:c>
      <x:c r="H633" s="73" t="str">
        <x:f>IF('전기원장'!A633="","",'전기원장'!I633)</x:f>
      </x:c>
      <x:c r="I633" s="73" t="str">
        <x:f>IF('전기원장'!A633="","",'전기원장'!J633)</x:f>
      </x:c>
      <x:c r="J633" s="73" t="str">
        <x:f>IF('전기원장'!A633="","",'전기원장'!K633)</x:f>
      </x:c>
      <x:c r="K633" s="73" t="str">
        <x:f>IF(B633="","",IF(COUNTIF($B$5:B633,B633)=1,COUNT($K$4:K632)+1,""))</x:f>
      </x:c>
      <x:c r="L633" s="85" t="str">
        <x:f>IF(B633="","",IF(COUNTIFS('계정비교'!$A$5:$A$1004,B633,'계정비교'!$H$5:$H$1004,"원인분석 대상")&gt;0,COUNT($L$4:L632)+1,""))</x:f>
      </x:c>
    </x:row>
    <x:row r="634">
      <x:c r="A634" s="73" t="str">
        <x:f>IF('전기원장'!A634="","","전기")</x:f>
      </x:c>
      <x:c r="B634" s="73" t="str">
        <x:f>IF('전기원장'!A634="","",'전기원장'!A634)</x:f>
      </x:c>
      <x:c r="C634" s="73" t="str">
        <x:f>IF('전기원장'!A634="","",'전기원장'!B634)</x:f>
      </x:c>
      <x:c r="D634" s="74" t="str">
        <x:f>IF('전기원장'!A634="","",'전기원장'!C634)</x:f>
      </x:c>
      <x:c r="E634" s="73" t="str">
        <x:f>IF('전기원장'!A634="","",'전기원장'!D634)</x:f>
      </x:c>
      <x:c r="F634" s="73" t="str">
        <x:f>IF('전기원장'!A634="","",'전기원장'!E634)</x:f>
      </x:c>
      <x:c r="G634" s="75" t="str">
        <x:f>IF('전기원장'!A634="","",'전기원장'!H634)</x:f>
      </x:c>
      <x:c r="H634" s="73" t="str">
        <x:f>IF('전기원장'!A634="","",'전기원장'!I634)</x:f>
      </x:c>
      <x:c r="I634" s="73" t="str">
        <x:f>IF('전기원장'!A634="","",'전기원장'!J634)</x:f>
      </x:c>
      <x:c r="J634" s="73" t="str">
        <x:f>IF('전기원장'!A634="","",'전기원장'!K634)</x:f>
      </x:c>
      <x:c r="K634" s="73" t="str">
        <x:f>IF(B634="","",IF(COUNTIF($B$5:B634,B634)=1,COUNT($K$4:K633)+1,""))</x:f>
      </x:c>
      <x:c r="L634" s="85" t="str">
        <x:f>IF(B634="","",IF(COUNTIFS('계정비교'!$A$5:$A$1004,B634,'계정비교'!$H$5:$H$1004,"원인분석 대상")&gt;0,COUNT($L$4:L633)+1,""))</x:f>
      </x:c>
    </x:row>
    <x:row r="635">
      <x:c r="A635" s="73" t="str">
        <x:f>IF('전기원장'!A635="","","전기")</x:f>
      </x:c>
      <x:c r="B635" s="73" t="str">
        <x:f>IF('전기원장'!A635="","",'전기원장'!A635)</x:f>
      </x:c>
      <x:c r="C635" s="73" t="str">
        <x:f>IF('전기원장'!A635="","",'전기원장'!B635)</x:f>
      </x:c>
      <x:c r="D635" s="74" t="str">
        <x:f>IF('전기원장'!A635="","",'전기원장'!C635)</x:f>
      </x:c>
      <x:c r="E635" s="73" t="str">
        <x:f>IF('전기원장'!A635="","",'전기원장'!D635)</x:f>
      </x:c>
      <x:c r="F635" s="73" t="str">
        <x:f>IF('전기원장'!A635="","",'전기원장'!E635)</x:f>
      </x:c>
      <x:c r="G635" s="75" t="str">
        <x:f>IF('전기원장'!A635="","",'전기원장'!H635)</x:f>
      </x:c>
      <x:c r="H635" s="73" t="str">
        <x:f>IF('전기원장'!A635="","",'전기원장'!I635)</x:f>
      </x:c>
      <x:c r="I635" s="73" t="str">
        <x:f>IF('전기원장'!A635="","",'전기원장'!J635)</x:f>
      </x:c>
      <x:c r="J635" s="73" t="str">
        <x:f>IF('전기원장'!A635="","",'전기원장'!K635)</x:f>
      </x:c>
      <x:c r="K635" s="73" t="str">
        <x:f>IF(B635="","",IF(COUNTIF($B$5:B635,B635)=1,COUNT($K$4:K634)+1,""))</x:f>
      </x:c>
      <x:c r="L635" s="85" t="str">
        <x:f>IF(B635="","",IF(COUNTIFS('계정비교'!$A$5:$A$1004,B635,'계정비교'!$H$5:$H$1004,"원인분석 대상")&gt;0,COUNT($L$4:L634)+1,""))</x:f>
      </x:c>
    </x:row>
    <x:row r="636">
      <x:c r="A636" s="73" t="str">
        <x:f>IF('전기원장'!A636="","","전기")</x:f>
      </x:c>
      <x:c r="B636" s="73" t="str">
        <x:f>IF('전기원장'!A636="","",'전기원장'!A636)</x:f>
      </x:c>
      <x:c r="C636" s="73" t="str">
        <x:f>IF('전기원장'!A636="","",'전기원장'!B636)</x:f>
      </x:c>
      <x:c r="D636" s="74" t="str">
        <x:f>IF('전기원장'!A636="","",'전기원장'!C636)</x:f>
      </x:c>
      <x:c r="E636" s="73" t="str">
        <x:f>IF('전기원장'!A636="","",'전기원장'!D636)</x:f>
      </x:c>
      <x:c r="F636" s="73" t="str">
        <x:f>IF('전기원장'!A636="","",'전기원장'!E636)</x:f>
      </x:c>
      <x:c r="G636" s="75" t="str">
        <x:f>IF('전기원장'!A636="","",'전기원장'!H636)</x:f>
      </x:c>
      <x:c r="H636" s="73" t="str">
        <x:f>IF('전기원장'!A636="","",'전기원장'!I636)</x:f>
      </x:c>
      <x:c r="I636" s="73" t="str">
        <x:f>IF('전기원장'!A636="","",'전기원장'!J636)</x:f>
      </x:c>
      <x:c r="J636" s="73" t="str">
        <x:f>IF('전기원장'!A636="","",'전기원장'!K636)</x:f>
      </x:c>
      <x:c r="K636" s="73" t="str">
        <x:f>IF(B636="","",IF(COUNTIF($B$5:B636,B636)=1,COUNT($K$4:K635)+1,""))</x:f>
      </x:c>
      <x:c r="L636" s="85" t="str">
        <x:f>IF(B636="","",IF(COUNTIFS('계정비교'!$A$5:$A$1004,B636,'계정비교'!$H$5:$H$1004,"원인분석 대상")&gt;0,COUNT($L$4:L635)+1,""))</x:f>
      </x:c>
    </x:row>
    <x:row r="637">
      <x:c r="A637" s="73" t="str">
        <x:f>IF('전기원장'!A637="","","전기")</x:f>
      </x:c>
      <x:c r="B637" s="73" t="str">
        <x:f>IF('전기원장'!A637="","",'전기원장'!A637)</x:f>
      </x:c>
      <x:c r="C637" s="73" t="str">
        <x:f>IF('전기원장'!A637="","",'전기원장'!B637)</x:f>
      </x:c>
      <x:c r="D637" s="74" t="str">
        <x:f>IF('전기원장'!A637="","",'전기원장'!C637)</x:f>
      </x:c>
      <x:c r="E637" s="73" t="str">
        <x:f>IF('전기원장'!A637="","",'전기원장'!D637)</x:f>
      </x:c>
      <x:c r="F637" s="73" t="str">
        <x:f>IF('전기원장'!A637="","",'전기원장'!E637)</x:f>
      </x:c>
      <x:c r="G637" s="75" t="str">
        <x:f>IF('전기원장'!A637="","",'전기원장'!H637)</x:f>
      </x:c>
      <x:c r="H637" s="73" t="str">
        <x:f>IF('전기원장'!A637="","",'전기원장'!I637)</x:f>
      </x:c>
      <x:c r="I637" s="73" t="str">
        <x:f>IF('전기원장'!A637="","",'전기원장'!J637)</x:f>
      </x:c>
      <x:c r="J637" s="73" t="str">
        <x:f>IF('전기원장'!A637="","",'전기원장'!K637)</x:f>
      </x:c>
      <x:c r="K637" s="73" t="str">
        <x:f>IF(B637="","",IF(COUNTIF($B$5:B637,B637)=1,COUNT($K$4:K636)+1,""))</x:f>
      </x:c>
      <x:c r="L637" s="85" t="str">
        <x:f>IF(B637="","",IF(COUNTIFS('계정비교'!$A$5:$A$1004,B637,'계정비교'!$H$5:$H$1004,"원인분석 대상")&gt;0,COUNT($L$4:L636)+1,""))</x:f>
      </x:c>
    </x:row>
    <x:row r="638">
      <x:c r="A638" s="73" t="str">
        <x:f>IF('전기원장'!A638="","","전기")</x:f>
      </x:c>
      <x:c r="B638" s="73" t="str">
        <x:f>IF('전기원장'!A638="","",'전기원장'!A638)</x:f>
      </x:c>
      <x:c r="C638" s="73" t="str">
        <x:f>IF('전기원장'!A638="","",'전기원장'!B638)</x:f>
      </x:c>
      <x:c r="D638" s="74" t="str">
        <x:f>IF('전기원장'!A638="","",'전기원장'!C638)</x:f>
      </x:c>
      <x:c r="E638" s="73" t="str">
        <x:f>IF('전기원장'!A638="","",'전기원장'!D638)</x:f>
      </x:c>
      <x:c r="F638" s="73" t="str">
        <x:f>IF('전기원장'!A638="","",'전기원장'!E638)</x:f>
      </x:c>
      <x:c r="G638" s="75" t="str">
        <x:f>IF('전기원장'!A638="","",'전기원장'!H638)</x:f>
      </x:c>
      <x:c r="H638" s="73" t="str">
        <x:f>IF('전기원장'!A638="","",'전기원장'!I638)</x:f>
      </x:c>
      <x:c r="I638" s="73" t="str">
        <x:f>IF('전기원장'!A638="","",'전기원장'!J638)</x:f>
      </x:c>
      <x:c r="J638" s="73" t="str">
        <x:f>IF('전기원장'!A638="","",'전기원장'!K638)</x:f>
      </x:c>
      <x:c r="K638" s="73" t="str">
        <x:f>IF(B638="","",IF(COUNTIF($B$5:B638,B638)=1,COUNT($K$4:K637)+1,""))</x:f>
      </x:c>
      <x:c r="L638" s="85" t="str">
        <x:f>IF(B638="","",IF(COUNTIFS('계정비교'!$A$5:$A$1004,B638,'계정비교'!$H$5:$H$1004,"원인분석 대상")&gt;0,COUNT($L$4:L637)+1,""))</x:f>
      </x:c>
    </x:row>
    <x:row r="639">
      <x:c r="A639" s="73" t="str">
        <x:f>IF('전기원장'!A639="","","전기")</x:f>
      </x:c>
      <x:c r="B639" s="73" t="str">
        <x:f>IF('전기원장'!A639="","",'전기원장'!A639)</x:f>
      </x:c>
      <x:c r="C639" s="73" t="str">
        <x:f>IF('전기원장'!A639="","",'전기원장'!B639)</x:f>
      </x:c>
      <x:c r="D639" s="74" t="str">
        <x:f>IF('전기원장'!A639="","",'전기원장'!C639)</x:f>
      </x:c>
      <x:c r="E639" s="73" t="str">
        <x:f>IF('전기원장'!A639="","",'전기원장'!D639)</x:f>
      </x:c>
      <x:c r="F639" s="73" t="str">
        <x:f>IF('전기원장'!A639="","",'전기원장'!E639)</x:f>
      </x:c>
      <x:c r="G639" s="75" t="str">
        <x:f>IF('전기원장'!A639="","",'전기원장'!H639)</x:f>
      </x:c>
      <x:c r="H639" s="73" t="str">
        <x:f>IF('전기원장'!A639="","",'전기원장'!I639)</x:f>
      </x:c>
      <x:c r="I639" s="73" t="str">
        <x:f>IF('전기원장'!A639="","",'전기원장'!J639)</x:f>
      </x:c>
      <x:c r="J639" s="73" t="str">
        <x:f>IF('전기원장'!A639="","",'전기원장'!K639)</x:f>
      </x:c>
      <x:c r="K639" s="73" t="str">
        <x:f>IF(B639="","",IF(COUNTIF($B$5:B639,B639)=1,COUNT($K$4:K638)+1,""))</x:f>
      </x:c>
      <x:c r="L639" s="85" t="str">
        <x:f>IF(B639="","",IF(COUNTIFS('계정비교'!$A$5:$A$1004,B639,'계정비교'!$H$5:$H$1004,"원인분석 대상")&gt;0,COUNT($L$4:L638)+1,""))</x:f>
      </x:c>
    </x:row>
    <x:row r="640">
      <x:c r="A640" s="73" t="str">
        <x:f>IF('전기원장'!A640="","","전기")</x:f>
      </x:c>
      <x:c r="B640" s="73" t="str">
        <x:f>IF('전기원장'!A640="","",'전기원장'!A640)</x:f>
      </x:c>
      <x:c r="C640" s="73" t="str">
        <x:f>IF('전기원장'!A640="","",'전기원장'!B640)</x:f>
      </x:c>
      <x:c r="D640" s="74" t="str">
        <x:f>IF('전기원장'!A640="","",'전기원장'!C640)</x:f>
      </x:c>
      <x:c r="E640" s="73" t="str">
        <x:f>IF('전기원장'!A640="","",'전기원장'!D640)</x:f>
      </x:c>
      <x:c r="F640" s="73" t="str">
        <x:f>IF('전기원장'!A640="","",'전기원장'!E640)</x:f>
      </x:c>
      <x:c r="G640" s="75" t="str">
        <x:f>IF('전기원장'!A640="","",'전기원장'!H640)</x:f>
      </x:c>
      <x:c r="H640" s="73" t="str">
        <x:f>IF('전기원장'!A640="","",'전기원장'!I640)</x:f>
      </x:c>
      <x:c r="I640" s="73" t="str">
        <x:f>IF('전기원장'!A640="","",'전기원장'!J640)</x:f>
      </x:c>
      <x:c r="J640" s="73" t="str">
        <x:f>IF('전기원장'!A640="","",'전기원장'!K640)</x:f>
      </x:c>
      <x:c r="K640" s="73" t="str">
        <x:f>IF(B640="","",IF(COUNTIF($B$5:B640,B640)=1,COUNT($K$4:K639)+1,""))</x:f>
      </x:c>
      <x:c r="L640" s="85" t="str">
        <x:f>IF(B640="","",IF(COUNTIFS('계정비교'!$A$5:$A$1004,B640,'계정비교'!$H$5:$H$1004,"원인분석 대상")&gt;0,COUNT($L$4:L639)+1,""))</x:f>
      </x:c>
    </x:row>
    <x:row r="641">
      <x:c r="A641" s="73" t="str">
        <x:f>IF('전기원장'!A641="","","전기")</x:f>
      </x:c>
      <x:c r="B641" s="73" t="str">
        <x:f>IF('전기원장'!A641="","",'전기원장'!A641)</x:f>
      </x:c>
      <x:c r="C641" s="73" t="str">
        <x:f>IF('전기원장'!A641="","",'전기원장'!B641)</x:f>
      </x:c>
      <x:c r="D641" s="74" t="str">
        <x:f>IF('전기원장'!A641="","",'전기원장'!C641)</x:f>
      </x:c>
      <x:c r="E641" s="73" t="str">
        <x:f>IF('전기원장'!A641="","",'전기원장'!D641)</x:f>
      </x:c>
      <x:c r="F641" s="73" t="str">
        <x:f>IF('전기원장'!A641="","",'전기원장'!E641)</x:f>
      </x:c>
      <x:c r="G641" s="75" t="str">
        <x:f>IF('전기원장'!A641="","",'전기원장'!H641)</x:f>
      </x:c>
      <x:c r="H641" s="73" t="str">
        <x:f>IF('전기원장'!A641="","",'전기원장'!I641)</x:f>
      </x:c>
      <x:c r="I641" s="73" t="str">
        <x:f>IF('전기원장'!A641="","",'전기원장'!J641)</x:f>
      </x:c>
      <x:c r="J641" s="73" t="str">
        <x:f>IF('전기원장'!A641="","",'전기원장'!K641)</x:f>
      </x:c>
      <x:c r="K641" s="73" t="str">
        <x:f>IF(B641="","",IF(COUNTIF($B$5:B641,B641)=1,COUNT($K$4:K640)+1,""))</x:f>
      </x:c>
      <x:c r="L641" s="85" t="str">
        <x:f>IF(B641="","",IF(COUNTIFS('계정비교'!$A$5:$A$1004,B641,'계정비교'!$H$5:$H$1004,"원인분석 대상")&gt;0,COUNT($L$4:L640)+1,""))</x:f>
      </x:c>
    </x:row>
    <x:row r="642">
      <x:c r="A642" s="73" t="str">
        <x:f>IF('전기원장'!A642="","","전기")</x:f>
      </x:c>
      <x:c r="B642" s="73" t="str">
        <x:f>IF('전기원장'!A642="","",'전기원장'!A642)</x:f>
      </x:c>
      <x:c r="C642" s="73" t="str">
        <x:f>IF('전기원장'!A642="","",'전기원장'!B642)</x:f>
      </x:c>
      <x:c r="D642" s="74" t="str">
        <x:f>IF('전기원장'!A642="","",'전기원장'!C642)</x:f>
      </x:c>
      <x:c r="E642" s="73" t="str">
        <x:f>IF('전기원장'!A642="","",'전기원장'!D642)</x:f>
      </x:c>
      <x:c r="F642" s="73" t="str">
        <x:f>IF('전기원장'!A642="","",'전기원장'!E642)</x:f>
      </x:c>
      <x:c r="G642" s="75" t="str">
        <x:f>IF('전기원장'!A642="","",'전기원장'!H642)</x:f>
      </x:c>
      <x:c r="H642" s="73" t="str">
        <x:f>IF('전기원장'!A642="","",'전기원장'!I642)</x:f>
      </x:c>
      <x:c r="I642" s="73" t="str">
        <x:f>IF('전기원장'!A642="","",'전기원장'!J642)</x:f>
      </x:c>
      <x:c r="J642" s="73" t="str">
        <x:f>IF('전기원장'!A642="","",'전기원장'!K642)</x:f>
      </x:c>
      <x:c r="K642" s="73" t="str">
        <x:f>IF(B642="","",IF(COUNTIF($B$5:B642,B642)=1,COUNT($K$4:K641)+1,""))</x:f>
      </x:c>
      <x:c r="L642" s="85" t="str">
        <x:f>IF(B642="","",IF(COUNTIFS('계정비교'!$A$5:$A$1004,B642,'계정비교'!$H$5:$H$1004,"원인분석 대상")&gt;0,COUNT($L$4:L641)+1,""))</x:f>
      </x:c>
    </x:row>
    <x:row r="643">
      <x:c r="A643" s="73" t="str">
        <x:f>IF('전기원장'!A643="","","전기")</x:f>
      </x:c>
      <x:c r="B643" s="73" t="str">
        <x:f>IF('전기원장'!A643="","",'전기원장'!A643)</x:f>
      </x:c>
      <x:c r="C643" s="73" t="str">
        <x:f>IF('전기원장'!A643="","",'전기원장'!B643)</x:f>
      </x:c>
      <x:c r="D643" s="74" t="str">
        <x:f>IF('전기원장'!A643="","",'전기원장'!C643)</x:f>
      </x:c>
      <x:c r="E643" s="73" t="str">
        <x:f>IF('전기원장'!A643="","",'전기원장'!D643)</x:f>
      </x:c>
      <x:c r="F643" s="73" t="str">
        <x:f>IF('전기원장'!A643="","",'전기원장'!E643)</x:f>
      </x:c>
      <x:c r="G643" s="75" t="str">
        <x:f>IF('전기원장'!A643="","",'전기원장'!H643)</x:f>
      </x:c>
      <x:c r="H643" s="73" t="str">
        <x:f>IF('전기원장'!A643="","",'전기원장'!I643)</x:f>
      </x:c>
      <x:c r="I643" s="73" t="str">
        <x:f>IF('전기원장'!A643="","",'전기원장'!J643)</x:f>
      </x:c>
      <x:c r="J643" s="73" t="str">
        <x:f>IF('전기원장'!A643="","",'전기원장'!K643)</x:f>
      </x:c>
      <x:c r="K643" s="73" t="str">
        <x:f>IF(B643="","",IF(COUNTIF($B$5:B643,B643)=1,COUNT($K$4:K642)+1,""))</x:f>
      </x:c>
      <x:c r="L643" s="85" t="str">
        <x:f>IF(B643="","",IF(COUNTIFS('계정비교'!$A$5:$A$1004,B643,'계정비교'!$H$5:$H$1004,"원인분석 대상")&gt;0,COUNT($L$4:L642)+1,""))</x:f>
      </x:c>
    </x:row>
    <x:row r="644">
      <x:c r="A644" s="73" t="str">
        <x:f>IF('전기원장'!A644="","","전기")</x:f>
      </x:c>
      <x:c r="B644" s="73" t="str">
        <x:f>IF('전기원장'!A644="","",'전기원장'!A644)</x:f>
      </x:c>
      <x:c r="C644" s="73" t="str">
        <x:f>IF('전기원장'!A644="","",'전기원장'!B644)</x:f>
      </x:c>
      <x:c r="D644" s="74" t="str">
        <x:f>IF('전기원장'!A644="","",'전기원장'!C644)</x:f>
      </x:c>
      <x:c r="E644" s="73" t="str">
        <x:f>IF('전기원장'!A644="","",'전기원장'!D644)</x:f>
      </x:c>
      <x:c r="F644" s="73" t="str">
        <x:f>IF('전기원장'!A644="","",'전기원장'!E644)</x:f>
      </x:c>
      <x:c r="G644" s="75" t="str">
        <x:f>IF('전기원장'!A644="","",'전기원장'!H644)</x:f>
      </x:c>
      <x:c r="H644" s="73" t="str">
        <x:f>IF('전기원장'!A644="","",'전기원장'!I644)</x:f>
      </x:c>
      <x:c r="I644" s="73" t="str">
        <x:f>IF('전기원장'!A644="","",'전기원장'!J644)</x:f>
      </x:c>
      <x:c r="J644" s="73" t="str">
        <x:f>IF('전기원장'!A644="","",'전기원장'!K644)</x:f>
      </x:c>
      <x:c r="K644" s="73" t="str">
        <x:f>IF(B644="","",IF(COUNTIF($B$5:B644,B644)=1,COUNT($K$4:K643)+1,""))</x:f>
      </x:c>
      <x:c r="L644" s="85" t="str">
        <x:f>IF(B644="","",IF(COUNTIFS('계정비교'!$A$5:$A$1004,B644,'계정비교'!$H$5:$H$1004,"원인분석 대상")&gt;0,COUNT($L$4:L643)+1,""))</x:f>
      </x:c>
    </x:row>
    <x:row r="645">
      <x:c r="A645" s="73" t="str">
        <x:f>IF('전기원장'!A645="","","전기")</x:f>
      </x:c>
      <x:c r="B645" s="73" t="str">
        <x:f>IF('전기원장'!A645="","",'전기원장'!A645)</x:f>
      </x:c>
      <x:c r="C645" s="73" t="str">
        <x:f>IF('전기원장'!A645="","",'전기원장'!B645)</x:f>
      </x:c>
      <x:c r="D645" s="74" t="str">
        <x:f>IF('전기원장'!A645="","",'전기원장'!C645)</x:f>
      </x:c>
      <x:c r="E645" s="73" t="str">
        <x:f>IF('전기원장'!A645="","",'전기원장'!D645)</x:f>
      </x:c>
      <x:c r="F645" s="73" t="str">
        <x:f>IF('전기원장'!A645="","",'전기원장'!E645)</x:f>
      </x:c>
      <x:c r="G645" s="75" t="str">
        <x:f>IF('전기원장'!A645="","",'전기원장'!H645)</x:f>
      </x:c>
      <x:c r="H645" s="73" t="str">
        <x:f>IF('전기원장'!A645="","",'전기원장'!I645)</x:f>
      </x:c>
      <x:c r="I645" s="73" t="str">
        <x:f>IF('전기원장'!A645="","",'전기원장'!J645)</x:f>
      </x:c>
      <x:c r="J645" s="73" t="str">
        <x:f>IF('전기원장'!A645="","",'전기원장'!K645)</x:f>
      </x:c>
      <x:c r="K645" s="73" t="str">
        <x:f>IF(B645="","",IF(COUNTIF($B$5:B645,B645)=1,COUNT($K$4:K644)+1,""))</x:f>
      </x:c>
      <x:c r="L645" s="85" t="str">
        <x:f>IF(B645="","",IF(COUNTIFS('계정비교'!$A$5:$A$1004,B645,'계정비교'!$H$5:$H$1004,"원인분석 대상")&gt;0,COUNT($L$4:L644)+1,""))</x:f>
      </x:c>
    </x:row>
    <x:row r="646">
      <x:c r="A646" s="73" t="str">
        <x:f>IF('전기원장'!A646="","","전기")</x:f>
      </x:c>
      <x:c r="B646" s="73" t="str">
        <x:f>IF('전기원장'!A646="","",'전기원장'!A646)</x:f>
      </x:c>
      <x:c r="C646" s="73" t="str">
        <x:f>IF('전기원장'!A646="","",'전기원장'!B646)</x:f>
      </x:c>
      <x:c r="D646" s="74" t="str">
        <x:f>IF('전기원장'!A646="","",'전기원장'!C646)</x:f>
      </x:c>
      <x:c r="E646" s="73" t="str">
        <x:f>IF('전기원장'!A646="","",'전기원장'!D646)</x:f>
      </x:c>
      <x:c r="F646" s="73" t="str">
        <x:f>IF('전기원장'!A646="","",'전기원장'!E646)</x:f>
      </x:c>
      <x:c r="G646" s="75" t="str">
        <x:f>IF('전기원장'!A646="","",'전기원장'!H646)</x:f>
      </x:c>
      <x:c r="H646" s="73" t="str">
        <x:f>IF('전기원장'!A646="","",'전기원장'!I646)</x:f>
      </x:c>
      <x:c r="I646" s="73" t="str">
        <x:f>IF('전기원장'!A646="","",'전기원장'!J646)</x:f>
      </x:c>
      <x:c r="J646" s="73" t="str">
        <x:f>IF('전기원장'!A646="","",'전기원장'!K646)</x:f>
      </x:c>
      <x:c r="K646" s="73" t="str">
        <x:f>IF(B646="","",IF(COUNTIF($B$5:B646,B646)=1,COUNT($K$4:K645)+1,""))</x:f>
      </x:c>
      <x:c r="L646" s="85" t="str">
        <x:f>IF(B646="","",IF(COUNTIFS('계정비교'!$A$5:$A$1004,B646,'계정비교'!$H$5:$H$1004,"원인분석 대상")&gt;0,COUNT($L$4:L645)+1,""))</x:f>
      </x:c>
    </x:row>
    <x:row r="647">
      <x:c r="A647" s="73" t="str">
        <x:f>IF('전기원장'!A647="","","전기")</x:f>
      </x:c>
      <x:c r="B647" s="73" t="str">
        <x:f>IF('전기원장'!A647="","",'전기원장'!A647)</x:f>
      </x:c>
      <x:c r="C647" s="73" t="str">
        <x:f>IF('전기원장'!A647="","",'전기원장'!B647)</x:f>
      </x:c>
      <x:c r="D647" s="74" t="str">
        <x:f>IF('전기원장'!A647="","",'전기원장'!C647)</x:f>
      </x:c>
      <x:c r="E647" s="73" t="str">
        <x:f>IF('전기원장'!A647="","",'전기원장'!D647)</x:f>
      </x:c>
      <x:c r="F647" s="73" t="str">
        <x:f>IF('전기원장'!A647="","",'전기원장'!E647)</x:f>
      </x:c>
      <x:c r="G647" s="75" t="str">
        <x:f>IF('전기원장'!A647="","",'전기원장'!H647)</x:f>
      </x:c>
      <x:c r="H647" s="73" t="str">
        <x:f>IF('전기원장'!A647="","",'전기원장'!I647)</x:f>
      </x:c>
      <x:c r="I647" s="73" t="str">
        <x:f>IF('전기원장'!A647="","",'전기원장'!J647)</x:f>
      </x:c>
      <x:c r="J647" s="73" t="str">
        <x:f>IF('전기원장'!A647="","",'전기원장'!K647)</x:f>
      </x:c>
      <x:c r="K647" s="73" t="str">
        <x:f>IF(B647="","",IF(COUNTIF($B$5:B647,B647)=1,COUNT($K$4:K646)+1,""))</x:f>
      </x:c>
      <x:c r="L647" s="85" t="str">
        <x:f>IF(B647="","",IF(COUNTIFS('계정비교'!$A$5:$A$1004,B647,'계정비교'!$H$5:$H$1004,"원인분석 대상")&gt;0,COUNT($L$4:L646)+1,""))</x:f>
      </x:c>
    </x:row>
    <x:row r="648">
      <x:c r="A648" s="73" t="str">
        <x:f>IF('전기원장'!A648="","","전기")</x:f>
      </x:c>
      <x:c r="B648" s="73" t="str">
        <x:f>IF('전기원장'!A648="","",'전기원장'!A648)</x:f>
      </x:c>
      <x:c r="C648" s="73" t="str">
        <x:f>IF('전기원장'!A648="","",'전기원장'!B648)</x:f>
      </x:c>
      <x:c r="D648" s="74" t="str">
        <x:f>IF('전기원장'!A648="","",'전기원장'!C648)</x:f>
      </x:c>
      <x:c r="E648" s="73" t="str">
        <x:f>IF('전기원장'!A648="","",'전기원장'!D648)</x:f>
      </x:c>
      <x:c r="F648" s="73" t="str">
        <x:f>IF('전기원장'!A648="","",'전기원장'!E648)</x:f>
      </x:c>
      <x:c r="G648" s="75" t="str">
        <x:f>IF('전기원장'!A648="","",'전기원장'!H648)</x:f>
      </x:c>
      <x:c r="H648" s="73" t="str">
        <x:f>IF('전기원장'!A648="","",'전기원장'!I648)</x:f>
      </x:c>
      <x:c r="I648" s="73" t="str">
        <x:f>IF('전기원장'!A648="","",'전기원장'!J648)</x:f>
      </x:c>
      <x:c r="J648" s="73" t="str">
        <x:f>IF('전기원장'!A648="","",'전기원장'!K648)</x:f>
      </x:c>
      <x:c r="K648" s="73" t="str">
        <x:f>IF(B648="","",IF(COUNTIF($B$5:B648,B648)=1,COUNT($K$4:K647)+1,""))</x:f>
      </x:c>
      <x:c r="L648" s="85" t="str">
        <x:f>IF(B648="","",IF(COUNTIFS('계정비교'!$A$5:$A$1004,B648,'계정비교'!$H$5:$H$1004,"원인분석 대상")&gt;0,COUNT($L$4:L647)+1,""))</x:f>
      </x:c>
    </x:row>
    <x:row r="649">
      <x:c r="A649" s="73" t="str">
        <x:f>IF('전기원장'!A649="","","전기")</x:f>
      </x:c>
      <x:c r="B649" s="73" t="str">
        <x:f>IF('전기원장'!A649="","",'전기원장'!A649)</x:f>
      </x:c>
      <x:c r="C649" s="73" t="str">
        <x:f>IF('전기원장'!A649="","",'전기원장'!B649)</x:f>
      </x:c>
      <x:c r="D649" s="74" t="str">
        <x:f>IF('전기원장'!A649="","",'전기원장'!C649)</x:f>
      </x:c>
      <x:c r="E649" s="73" t="str">
        <x:f>IF('전기원장'!A649="","",'전기원장'!D649)</x:f>
      </x:c>
      <x:c r="F649" s="73" t="str">
        <x:f>IF('전기원장'!A649="","",'전기원장'!E649)</x:f>
      </x:c>
      <x:c r="G649" s="75" t="str">
        <x:f>IF('전기원장'!A649="","",'전기원장'!H649)</x:f>
      </x:c>
      <x:c r="H649" s="73" t="str">
        <x:f>IF('전기원장'!A649="","",'전기원장'!I649)</x:f>
      </x:c>
      <x:c r="I649" s="73" t="str">
        <x:f>IF('전기원장'!A649="","",'전기원장'!J649)</x:f>
      </x:c>
      <x:c r="J649" s="73" t="str">
        <x:f>IF('전기원장'!A649="","",'전기원장'!K649)</x:f>
      </x:c>
      <x:c r="K649" s="73" t="str">
        <x:f>IF(B649="","",IF(COUNTIF($B$5:B649,B649)=1,COUNT($K$4:K648)+1,""))</x:f>
      </x:c>
      <x:c r="L649" s="85" t="str">
        <x:f>IF(B649="","",IF(COUNTIFS('계정비교'!$A$5:$A$1004,B649,'계정비교'!$H$5:$H$1004,"원인분석 대상")&gt;0,COUNT($L$4:L648)+1,""))</x:f>
      </x:c>
    </x:row>
    <x:row r="650">
      <x:c r="A650" s="73" t="str">
        <x:f>IF('전기원장'!A650="","","전기")</x:f>
      </x:c>
      <x:c r="B650" s="73" t="str">
        <x:f>IF('전기원장'!A650="","",'전기원장'!A650)</x:f>
      </x:c>
      <x:c r="C650" s="73" t="str">
        <x:f>IF('전기원장'!A650="","",'전기원장'!B650)</x:f>
      </x:c>
      <x:c r="D650" s="74" t="str">
        <x:f>IF('전기원장'!A650="","",'전기원장'!C650)</x:f>
      </x:c>
      <x:c r="E650" s="73" t="str">
        <x:f>IF('전기원장'!A650="","",'전기원장'!D650)</x:f>
      </x:c>
      <x:c r="F650" s="73" t="str">
        <x:f>IF('전기원장'!A650="","",'전기원장'!E650)</x:f>
      </x:c>
      <x:c r="G650" s="75" t="str">
        <x:f>IF('전기원장'!A650="","",'전기원장'!H650)</x:f>
      </x:c>
      <x:c r="H650" s="73" t="str">
        <x:f>IF('전기원장'!A650="","",'전기원장'!I650)</x:f>
      </x:c>
      <x:c r="I650" s="73" t="str">
        <x:f>IF('전기원장'!A650="","",'전기원장'!J650)</x:f>
      </x:c>
      <x:c r="J650" s="73" t="str">
        <x:f>IF('전기원장'!A650="","",'전기원장'!K650)</x:f>
      </x:c>
      <x:c r="K650" s="73" t="str">
        <x:f>IF(B650="","",IF(COUNTIF($B$5:B650,B650)=1,COUNT($K$4:K649)+1,""))</x:f>
      </x:c>
      <x:c r="L650" s="85" t="str">
        <x:f>IF(B650="","",IF(COUNTIFS('계정비교'!$A$5:$A$1004,B650,'계정비교'!$H$5:$H$1004,"원인분석 대상")&gt;0,COUNT($L$4:L649)+1,""))</x:f>
      </x:c>
    </x:row>
    <x:row r="651">
      <x:c r="A651" s="73" t="str">
        <x:f>IF('전기원장'!A651="","","전기")</x:f>
      </x:c>
      <x:c r="B651" s="73" t="str">
        <x:f>IF('전기원장'!A651="","",'전기원장'!A651)</x:f>
      </x:c>
      <x:c r="C651" s="73" t="str">
        <x:f>IF('전기원장'!A651="","",'전기원장'!B651)</x:f>
      </x:c>
      <x:c r="D651" s="74" t="str">
        <x:f>IF('전기원장'!A651="","",'전기원장'!C651)</x:f>
      </x:c>
      <x:c r="E651" s="73" t="str">
        <x:f>IF('전기원장'!A651="","",'전기원장'!D651)</x:f>
      </x:c>
      <x:c r="F651" s="73" t="str">
        <x:f>IF('전기원장'!A651="","",'전기원장'!E651)</x:f>
      </x:c>
      <x:c r="G651" s="75" t="str">
        <x:f>IF('전기원장'!A651="","",'전기원장'!H651)</x:f>
      </x:c>
      <x:c r="H651" s="73" t="str">
        <x:f>IF('전기원장'!A651="","",'전기원장'!I651)</x:f>
      </x:c>
      <x:c r="I651" s="73" t="str">
        <x:f>IF('전기원장'!A651="","",'전기원장'!J651)</x:f>
      </x:c>
      <x:c r="J651" s="73" t="str">
        <x:f>IF('전기원장'!A651="","",'전기원장'!K651)</x:f>
      </x:c>
      <x:c r="K651" s="73" t="str">
        <x:f>IF(B651="","",IF(COUNTIF($B$5:B651,B651)=1,COUNT($K$4:K650)+1,""))</x:f>
      </x:c>
      <x:c r="L651" s="85" t="str">
        <x:f>IF(B651="","",IF(COUNTIFS('계정비교'!$A$5:$A$1004,B651,'계정비교'!$H$5:$H$1004,"원인분석 대상")&gt;0,COUNT($L$4:L650)+1,""))</x:f>
      </x:c>
    </x:row>
    <x:row r="652">
      <x:c r="A652" s="73" t="str">
        <x:f>IF('전기원장'!A652="","","전기")</x:f>
      </x:c>
      <x:c r="B652" s="73" t="str">
        <x:f>IF('전기원장'!A652="","",'전기원장'!A652)</x:f>
      </x:c>
      <x:c r="C652" s="73" t="str">
        <x:f>IF('전기원장'!A652="","",'전기원장'!B652)</x:f>
      </x:c>
      <x:c r="D652" s="74" t="str">
        <x:f>IF('전기원장'!A652="","",'전기원장'!C652)</x:f>
      </x:c>
      <x:c r="E652" s="73" t="str">
        <x:f>IF('전기원장'!A652="","",'전기원장'!D652)</x:f>
      </x:c>
      <x:c r="F652" s="73" t="str">
        <x:f>IF('전기원장'!A652="","",'전기원장'!E652)</x:f>
      </x:c>
      <x:c r="G652" s="75" t="str">
        <x:f>IF('전기원장'!A652="","",'전기원장'!H652)</x:f>
      </x:c>
      <x:c r="H652" s="73" t="str">
        <x:f>IF('전기원장'!A652="","",'전기원장'!I652)</x:f>
      </x:c>
      <x:c r="I652" s="73" t="str">
        <x:f>IF('전기원장'!A652="","",'전기원장'!J652)</x:f>
      </x:c>
      <x:c r="J652" s="73" t="str">
        <x:f>IF('전기원장'!A652="","",'전기원장'!K652)</x:f>
      </x:c>
      <x:c r="K652" s="73" t="str">
        <x:f>IF(B652="","",IF(COUNTIF($B$5:B652,B652)=1,COUNT($K$4:K651)+1,""))</x:f>
      </x:c>
      <x:c r="L652" s="85" t="str">
        <x:f>IF(B652="","",IF(COUNTIFS('계정비교'!$A$5:$A$1004,B652,'계정비교'!$H$5:$H$1004,"원인분석 대상")&gt;0,COUNT($L$4:L651)+1,""))</x:f>
      </x:c>
    </x:row>
    <x:row r="653">
      <x:c r="A653" s="73" t="str">
        <x:f>IF('전기원장'!A653="","","전기")</x:f>
      </x:c>
      <x:c r="B653" s="73" t="str">
        <x:f>IF('전기원장'!A653="","",'전기원장'!A653)</x:f>
      </x:c>
      <x:c r="C653" s="73" t="str">
        <x:f>IF('전기원장'!A653="","",'전기원장'!B653)</x:f>
      </x:c>
      <x:c r="D653" s="74" t="str">
        <x:f>IF('전기원장'!A653="","",'전기원장'!C653)</x:f>
      </x:c>
      <x:c r="E653" s="73" t="str">
        <x:f>IF('전기원장'!A653="","",'전기원장'!D653)</x:f>
      </x:c>
      <x:c r="F653" s="73" t="str">
        <x:f>IF('전기원장'!A653="","",'전기원장'!E653)</x:f>
      </x:c>
      <x:c r="G653" s="75" t="str">
        <x:f>IF('전기원장'!A653="","",'전기원장'!H653)</x:f>
      </x:c>
      <x:c r="H653" s="73" t="str">
        <x:f>IF('전기원장'!A653="","",'전기원장'!I653)</x:f>
      </x:c>
      <x:c r="I653" s="73" t="str">
        <x:f>IF('전기원장'!A653="","",'전기원장'!J653)</x:f>
      </x:c>
      <x:c r="J653" s="73" t="str">
        <x:f>IF('전기원장'!A653="","",'전기원장'!K653)</x:f>
      </x:c>
      <x:c r="K653" s="73" t="str">
        <x:f>IF(B653="","",IF(COUNTIF($B$5:B653,B653)=1,COUNT($K$4:K652)+1,""))</x:f>
      </x:c>
      <x:c r="L653" s="85" t="str">
        <x:f>IF(B653="","",IF(COUNTIFS('계정비교'!$A$5:$A$1004,B653,'계정비교'!$H$5:$H$1004,"원인분석 대상")&gt;0,COUNT($L$4:L652)+1,""))</x:f>
      </x:c>
    </x:row>
    <x:row r="654">
      <x:c r="A654" s="73" t="str">
        <x:f>IF('전기원장'!A654="","","전기")</x:f>
      </x:c>
      <x:c r="B654" s="73" t="str">
        <x:f>IF('전기원장'!A654="","",'전기원장'!A654)</x:f>
      </x:c>
      <x:c r="C654" s="73" t="str">
        <x:f>IF('전기원장'!A654="","",'전기원장'!B654)</x:f>
      </x:c>
      <x:c r="D654" s="74" t="str">
        <x:f>IF('전기원장'!A654="","",'전기원장'!C654)</x:f>
      </x:c>
      <x:c r="E654" s="73" t="str">
        <x:f>IF('전기원장'!A654="","",'전기원장'!D654)</x:f>
      </x:c>
      <x:c r="F654" s="73" t="str">
        <x:f>IF('전기원장'!A654="","",'전기원장'!E654)</x:f>
      </x:c>
      <x:c r="G654" s="75" t="str">
        <x:f>IF('전기원장'!A654="","",'전기원장'!H654)</x:f>
      </x:c>
      <x:c r="H654" s="73" t="str">
        <x:f>IF('전기원장'!A654="","",'전기원장'!I654)</x:f>
      </x:c>
      <x:c r="I654" s="73" t="str">
        <x:f>IF('전기원장'!A654="","",'전기원장'!J654)</x:f>
      </x:c>
      <x:c r="J654" s="73" t="str">
        <x:f>IF('전기원장'!A654="","",'전기원장'!K654)</x:f>
      </x:c>
      <x:c r="K654" s="73" t="str">
        <x:f>IF(B654="","",IF(COUNTIF($B$5:B654,B654)=1,COUNT($K$4:K653)+1,""))</x:f>
      </x:c>
      <x:c r="L654" s="85" t="str">
        <x:f>IF(B654="","",IF(COUNTIFS('계정비교'!$A$5:$A$1004,B654,'계정비교'!$H$5:$H$1004,"원인분석 대상")&gt;0,COUNT($L$4:L653)+1,""))</x:f>
      </x:c>
    </x:row>
    <x:row r="655">
      <x:c r="A655" s="73" t="str">
        <x:f>IF('전기원장'!A655="","","전기")</x:f>
      </x:c>
      <x:c r="B655" s="73" t="str">
        <x:f>IF('전기원장'!A655="","",'전기원장'!A655)</x:f>
      </x:c>
      <x:c r="C655" s="73" t="str">
        <x:f>IF('전기원장'!A655="","",'전기원장'!B655)</x:f>
      </x:c>
      <x:c r="D655" s="74" t="str">
        <x:f>IF('전기원장'!A655="","",'전기원장'!C655)</x:f>
      </x:c>
      <x:c r="E655" s="73" t="str">
        <x:f>IF('전기원장'!A655="","",'전기원장'!D655)</x:f>
      </x:c>
      <x:c r="F655" s="73" t="str">
        <x:f>IF('전기원장'!A655="","",'전기원장'!E655)</x:f>
      </x:c>
      <x:c r="G655" s="75" t="str">
        <x:f>IF('전기원장'!A655="","",'전기원장'!H655)</x:f>
      </x:c>
      <x:c r="H655" s="73" t="str">
        <x:f>IF('전기원장'!A655="","",'전기원장'!I655)</x:f>
      </x:c>
      <x:c r="I655" s="73" t="str">
        <x:f>IF('전기원장'!A655="","",'전기원장'!J655)</x:f>
      </x:c>
      <x:c r="J655" s="73" t="str">
        <x:f>IF('전기원장'!A655="","",'전기원장'!K655)</x:f>
      </x:c>
      <x:c r="K655" s="73" t="str">
        <x:f>IF(B655="","",IF(COUNTIF($B$5:B655,B655)=1,COUNT($K$4:K654)+1,""))</x:f>
      </x:c>
      <x:c r="L655" s="85" t="str">
        <x:f>IF(B655="","",IF(COUNTIFS('계정비교'!$A$5:$A$1004,B655,'계정비교'!$H$5:$H$1004,"원인분석 대상")&gt;0,COUNT($L$4:L654)+1,""))</x:f>
      </x:c>
    </x:row>
    <x:row r="656">
      <x:c r="A656" s="73" t="str">
        <x:f>IF('전기원장'!A656="","","전기")</x:f>
      </x:c>
      <x:c r="B656" s="73" t="str">
        <x:f>IF('전기원장'!A656="","",'전기원장'!A656)</x:f>
      </x:c>
      <x:c r="C656" s="73" t="str">
        <x:f>IF('전기원장'!A656="","",'전기원장'!B656)</x:f>
      </x:c>
      <x:c r="D656" s="74" t="str">
        <x:f>IF('전기원장'!A656="","",'전기원장'!C656)</x:f>
      </x:c>
      <x:c r="E656" s="73" t="str">
        <x:f>IF('전기원장'!A656="","",'전기원장'!D656)</x:f>
      </x:c>
      <x:c r="F656" s="73" t="str">
        <x:f>IF('전기원장'!A656="","",'전기원장'!E656)</x:f>
      </x:c>
      <x:c r="G656" s="75" t="str">
        <x:f>IF('전기원장'!A656="","",'전기원장'!H656)</x:f>
      </x:c>
      <x:c r="H656" s="73" t="str">
        <x:f>IF('전기원장'!A656="","",'전기원장'!I656)</x:f>
      </x:c>
      <x:c r="I656" s="73" t="str">
        <x:f>IF('전기원장'!A656="","",'전기원장'!J656)</x:f>
      </x:c>
      <x:c r="J656" s="73" t="str">
        <x:f>IF('전기원장'!A656="","",'전기원장'!K656)</x:f>
      </x:c>
      <x:c r="K656" s="73" t="str">
        <x:f>IF(B656="","",IF(COUNTIF($B$5:B656,B656)=1,COUNT($K$4:K655)+1,""))</x:f>
      </x:c>
      <x:c r="L656" s="85" t="str">
        <x:f>IF(B656="","",IF(COUNTIFS('계정비교'!$A$5:$A$1004,B656,'계정비교'!$H$5:$H$1004,"원인분석 대상")&gt;0,COUNT($L$4:L655)+1,""))</x:f>
      </x:c>
    </x:row>
    <x:row r="657">
      <x:c r="A657" s="73" t="str">
        <x:f>IF('전기원장'!A657="","","전기")</x:f>
      </x:c>
      <x:c r="B657" s="73" t="str">
        <x:f>IF('전기원장'!A657="","",'전기원장'!A657)</x:f>
      </x:c>
      <x:c r="C657" s="73" t="str">
        <x:f>IF('전기원장'!A657="","",'전기원장'!B657)</x:f>
      </x:c>
      <x:c r="D657" s="74" t="str">
        <x:f>IF('전기원장'!A657="","",'전기원장'!C657)</x:f>
      </x:c>
      <x:c r="E657" s="73" t="str">
        <x:f>IF('전기원장'!A657="","",'전기원장'!D657)</x:f>
      </x:c>
      <x:c r="F657" s="73" t="str">
        <x:f>IF('전기원장'!A657="","",'전기원장'!E657)</x:f>
      </x:c>
      <x:c r="G657" s="75" t="str">
        <x:f>IF('전기원장'!A657="","",'전기원장'!H657)</x:f>
      </x:c>
      <x:c r="H657" s="73" t="str">
        <x:f>IF('전기원장'!A657="","",'전기원장'!I657)</x:f>
      </x:c>
      <x:c r="I657" s="73" t="str">
        <x:f>IF('전기원장'!A657="","",'전기원장'!J657)</x:f>
      </x:c>
      <x:c r="J657" s="73" t="str">
        <x:f>IF('전기원장'!A657="","",'전기원장'!K657)</x:f>
      </x:c>
      <x:c r="K657" s="73" t="str">
        <x:f>IF(B657="","",IF(COUNTIF($B$5:B657,B657)=1,COUNT($K$4:K656)+1,""))</x:f>
      </x:c>
      <x:c r="L657" s="85" t="str">
        <x:f>IF(B657="","",IF(COUNTIFS('계정비교'!$A$5:$A$1004,B657,'계정비교'!$H$5:$H$1004,"원인분석 대상")&gt;0,COUNT($L$4:L656)+1,""))</x:f>
      </x:c>
    </x:row>
    <x:row r="658">
      <x:c r="A658" s="73" t="str">
        <x:f>IF('전기원장'!A658="","","전기")</x:f>
      </x:c>
      <x:c r="B658" s="73" t="str">
        <x:f>IF('전기원장'!A658="","",'전기원장'!A658)</x:f>
      </x:c>
      <x:c r="C658" s="73" t="str">
        <x:f>IF('전기원장'!A658="","",'전기원장'!B658)</x:f>
      </x:c>
      <x:c r="D658" s="74" t="str">
        <x:f>IF('전기원장'!A658="","",'전기원장'!C658)</x:f>
      </x:c>
      <x:c r="E658" s="73" t="str">
        <x:f>IF('전기원장'!A658="","",'전기원장'!D658)</x:f>
      </x:c>
      <x:c r="F658" s="73" t="str">
        <x:f>IF('전기원장'!A658="","",'전기원장'!E658)</x:f>
      </x:c>
      <x:c r="G658" s="75" t="str">
        <x:f>IF('전기원장'!A658="","",'전기원장'!H658)</x:f>
      </x:c>
      <x:c r="H658" s="73" t="str">
        <x:f>IF('전기원장'!A658="","",'전기원장'!I658)</x:f>
      </x:c>
      <x:c r="I658" s="73" t="str">
        <x:f>IF('전기원장'!A658="","",'전기원장'!J658)</x:f>
      </x:c>
      <x:c r="J658" s="73" t="str">
        <x:f>IF('전기원장'!A658="","",'전기원장'!K658)</x:f>
      </x:c>
      <x:c r="K658" s="73" t="str">
        <x:f>IF(B658="","",IF(COUNTIF($B$5:B658,B658)=1,COUNT($K$4:K657)+1,""))</x:f>
      </x:c>
      <x:c r="L658" s="85" t="str">
        <x:f>IF(B658="","",IF(COUNTIFS('계정비교'!$A$5:$A$1004,B658,'계정비교'!$H$5:$H$1004,"원인분석 대상")&gt;0,COUNT($L$4:L657)+1,""))</x:f>
      </x:c>
    </x:row>
    <x:row r="659">
      <x:c r="A659" s="73" t="str">
        <x:f>IF('전기원장'!A659="","","전기")</x:f>
      </x:c>
      <x:c r="B659" s="73" t="str">
        <x:f>IF('전기원장'!A659="","",'전기원장'!A659)</x:f>
      </x:c>
      <x:c r="C659" s="73" t="str">
        <x:f>IF('전기원장'!A659="","",'전기원장'!B659)</x:f>
      </x:c>
      <x:c r="D659" s="74" t="str">
        <x:f>IF('전기원장'!A659="","",'전기원장'!C659)</x:f>
      </x:c>
      <x:c r="E659" s="73" t="str">
        <x:f>IF('전기원장'!A659="","",'전기원장'!D659)</x:f>
      </x:c>
      <x:c r="F659" s="73" t="str">
        <x:f>IF('전기원장'!A659="","",'전기원장'!E659)</x:f>
      </x:c>
      <x:c r="G659" s="75" t="str">
        <x:f>IF('전기원장'!A659="","",'전기원장'!H659)</x:f>
      </x:c>
      <x:c r="H659" s="73" t="str">
        <x:f>IF('전기원장'!A659="","",'전기원장'!I659)</x:f>
      </x:c>
      <x:c r="I659" s="73" t="str">
        <x:f>IF('전기원장'!A659="","",'전기원장'!J659)</x:f>
      </x:c>
      <x:c r="J659" s="73" t="str">
        <x:f>IF('전기원장'!A659="","",'전기원장'!K659)</x:f>
      </x:c>
      <x:c r="K659" s="73" t="str">
        <x:f>IF(B659="","",IF(COUNTIF($B$5:B659,B659)=1,COUNT($K$4:K658)+1,""))</x:f>
      </x:c>
      <x:c r="L659" s="85" t="str">
        <x:f>IF(B659="","",IF(COUNTIFS('계정비교'!$A$5:$A$1004,B659,'계정비교'!$H$5:$H$1004,"원인분석 대상")&gt;0,COUNT($L$4:L658)+1,""))</x:f>
      </x:c>
    </x:row>
    <x:row r="660">
      <x:c r="A660" s="73" t="str">
        <x:f>IF('전기원장'!A660="","","전기")</x:f>
      </x:c>
      <x:c r="B660" s="73" t="str">
        <x:f>IF('전기원장'!A660="","",'전기원장'!A660)</x:f>
      </x:c>
      <x:c r="C660" s="73" t="str">
        <x:f>IF('전기원장'!A660="","",'전기원장'!B660)</x:f>
      </x:c>
      <x:c r="D660" s="74" t="str">
        <x:f>IF('전기원장'!A660="","",'전기원장'!C660)</x:f>
      </x:c>
      <x:c r="E660" s="73" t="str">
        <x:f>IF('전기원장'!A660="","",'전기원장'!D660)</x:f>
      </x:c>
      <x:c r="F660" s="73" t="str">
        <x:f>IF('전기원장'!A660="","",'전기원장'!E660)</x:f>
      </x:c>
      <x:c r="G660" s="75" t="str">
        <x:f>IF('전기원장'!A660="","",'전기원장'!H660)</x:f>
      </x:c>
      <x:c r="H660" s="73" t="str">
        <x:f>IF('전기원장'!A660="","",'전기원장'!I660)</x:f>
      </x:c>
      <x:c r="I660" s="73" t="str">
        <x:f>IF('전기원장'!A660="","",'전기원장'!J660)</x:f>
      </x:c>
      <x:c r="J660" s="73" t="str">
        <x:f>IF('전기원장'!A660="","",'전기원장'!K660)</x:f>
      </x:c>
      <x:c r="K660" s="73" t="str">
        <x:f>IF(B660="","",IF(COUNTIF($B$5:B660,B660)=1,COUNT($K$4:K659)+1,""))</x:f>
      </x:c>
      <x:c r="L660" s="85" t="str">
        <x:f>IF(B660="","",IF(COUNTIFS('계정비교'!$A$5:$A$1004,B660,'계정비교'!$H$5:$H$1004,"원인분석 대상")&gt;0,COUNT($L$4:L659)+1,""))</x:f>
      </x:c>
    </x:row>
    <x:row r="661">
      <x:c r="A661" s="73" t="str">
        <x:f>IF('전기원장'!A661="","","전기")</x:f>
      </x:c>
      <x:c r="B661" s="73" t="str">
        <x:f>IF('전기원장'!A661="","",'전기원장'!A661)</x:f>
      </x:c>
      <x:c r="C661" s="73" t="str">
        <x:f>IF('전기원장'!A661="","",'전기원장'!B661)</x:f>
      </x:c>
      <x:c r="D661" s="74" t="str">
        <x:f>IF('전기원장'!A661="","",'전기원장'!C661)</x:f>
      </x:c>
      <x:c r="E661" s="73" t="str">
        <x:f>IF('전기원장'!A661="","",'전기원장'!D661)</x:f>
      </x:c>
      <x:c r="F661" s="73" t="str">
        <x:f>IF('전기원장'!A661="","",'전기원장'!E661)</x:f>
      </x:c>
      <x:c r="G661" s="75" t="str">
        <x:f>IF('전기원장'!A661="","",'전기원장'!H661)</x:f>
      </x:c>
      <x:c r="H661" s="73" t="str">
        <x:f>IF('전기원장'!A661="","",'전기원장'!I661)</x:f>
      </x:c>
      <x:c r="I661" s="73" t="str">
        <x:f>IF('전기원장'!A661="","",'전기원장'!J661)</x:f>
      </x:c>
      <x:c r="J661" s="73" t="str">
        <x:f>IF('전기원장'!A661="","",'전기원장'!K661)</x:f>
      </x:c>
      <x:c r="K661" s="73" t="str">
        <x:f>IF(B661="","",IF(COUNTIF($B$5:B661,B661)=1,COUNT($K$4:K660)+1,""))</x:f>
      </x:c>
      <x:c r="L661" s="85" t="str">
        <x:f>IF(B661="","",IF(COUNTIFS('계정비교'!$A$5:$A$1004,B661,'계정비교'!$H$5:$H$1004,"원인분석 대상")&gt;0,COUNT($L$4:L660)+1,""))</x:f>
      </x:c>
    </x:row>
    <x:row r="662">
      <x:c r="A662" s="73" t="str">
        <x:f>IF('전기원장'!A662="","","전기")</x:f>
      </x:c>
      <x:c r="B662" s="73" t="str">
        <x:f>IF('전기원장'!A662="","",'전기원장'!A662)</x:f>
      </x:c>
      <x:c r="C662" s="73" t="str">
        <x:f>IF('전기원장'!A662="","",'전기원장'!B662)</x:f>
      </x:c>
      <x:c r="D662" s="74" t="str">
        <x:f>IF('전기원장'!A662="","",'전기원장'!C662)</x:f>
      </x:c>
      <x:c r="E662" s="73" t="str">
        <x:f>IF('전기원장'!A662="","",'전기원장'!D662)</x:f>
      </x:c>
      <x:c r="F662" s="73" t="str">
        <x:f>IF('전기원장'!A662="","",'전기원장'!E662)</x:f>
      </x:c>
      <x:c r="G662" s="75" t="str">
        <x:f>IF('전기원장'!A662="","",'전기원장'!H662)</x:f>
      </x:c>
      <x:c r="H662" s="73" t="str">
        <x:f>IF('전기원장'!A662="","",'전기원장'!I662)</x:f>
      </x:c>
      <x:c r="I662" s="73" t="str">
        <x:f>IF('전기원장'!A662="","",'전기원장'!J662)</x:f>
      </x:c>
      <x:c r="J662" s="73" t="str">
        <x:f>IF('전기원장'!A662="","",'전기원장'!K662)</x:f>
      </x:c>
      <x:c r="K662" s="73" t="str">
        <x:f>IF(B662="","",IF(COUNTIF($B$5:B662,B662)=1,COUNT($K$4:K661)+1,""))</x:f>
      </x:c>
      <x:c r="L662" s="85" t="str">
        <x:f>IF(B662="","",IF(COUNTIFS('계정비교'!$A$5:$A$1004,B662,'계정비교'!$H$5:$H$1004,"원인분석 대상")&gt;0,COUNT($L$4:L661)+1,""))</x:f>
      </x:c>
    </x:row>
    <x:row r="663">
      <x:c r="A663" s="73" t="str">
        <x:f>IF('전기원장'!A663="","","전기")</x:f>
      </x:c>
      <x:c r="B663" s="73" t="str">
        <x:f>IF('전기원장'!A663="","",'전기원장'!A663)</x:f>
      </x:c>
      <x:c r="C663" s="73" t="str">
        <x:f>IF('전기원장'!A663="","",'전기원장'!B663)</x:f>
      </x:c>
      <x:c r="D663" s="74" t="str">
        <x:f>IF('전기원장'!A663="","",'전기원장'!C663)</x:f>
      </x:c>
      <x:c r="E663" s="73" t="str">
        <x:f>IF('전기원장'!A663="","",'전기원장'!D663)</x:f>
      </x:c>
      <x:c r="F663" s="73" t="str">
        <x:f>IF('전기원장'!A663="","",'전기원장'!E663)</x:f>
      </x:c>
      <x:c r="G663" s="75" t="str">
        <x:f>IF('전기원장'!A663="","",'전기원장'!H663)</x:f>
      </x:c>
      <x:c r="H663" s="73" t="str">
        <x:f>IF('전기원장'!A663="","",'전기원장'!I663)</x:f>
      </x:c>
      <x:c r="I663" s="73" t="str">
        <x:f>IF('전기원장'!A663="","",'전기원장'!J663)</x:f>
      </x:c>
      <x:c r="J663" s="73" t="str">
        <x:f>IF('전기원장'!A663="","",'전기원장'!K663)</x:f>
      </x:c>
      <x:c r="K663" s="73" t="str">
        <x:f>IF(B663="","",IF(COUNTIF($B$5:B663,B663)=1,COUNT($K$4:K662)+1,""))</x:f>
      </x:c>
      <x:c r="L663" s="85" t="str">
        <x:f>IF(B663="","",IF(COUNTIFS('계정비교'!$A$5:$A$1004,B663,'계정비교'!$H$5:$H$1004,"원인분석 대상")&gt;0,COUNT($L$4:L662)+1,""))</x:f>
      </x:c>
    </x:row>
    <x:row r="664">
      <x:c r="A664" s="73" t="str">
        <x:f>IF('전기원장'!A664="","","전기")</x:f>
      </x:c>
      <x:c r="B664" s="73" t="str">
        <x:f>IF('전기원장'!A664="","",'전기원장'!A664)</x:f>
      </x:c>
      <x:c r="C664" s="73" t="str">
        <x:f>IF('전기원장'!A664="","",'전기원장'!B664)</x:f>
      </x:c>
      <x:c r="D664" s="74" t="str">
        <x:f>IF('전기원장'!A664="","",'전기원장'!C664)</x:f>
      </x:c>
      <x:c r="E664" s="73" t="str">
        <x:f>IF('전기원장'!A664="","",'전기원장'!D664)</x:f>
      </x:c>
      <x:c r="F664" s="73" t="str">
        <x:f>IF('전기원장'!A664="","",'전기원장'!E664)</x:f>
      </x:c>
      <x:c r="G664" s="75" t="str">
        <x:f>IF('전기원장'!A664="","",'전기원장'!H664)</x:f>
      </x:c>
      <x:c r="H664" s="73" t="str">
        <x:f>IF('전기원장'!A664="","",'전기원장'!I664)</x:f>
      </x:c>
      <x:c r="I664" s="73" t="str">
        <x:f>IF('전기원장'!A664="","",'전기원장'!J664)</x:f>
      </x:c>
      <x:c r="J664" s="73" t="str">
        <x:f>IF('전기원장'!A664="","",'전기원장'!K664)</x:f>
      </x:c>
      <x:c r="K664" s="73" t="str">
        <x:f>IF(B664="","",IF(COUNTIF($B$5:B664,B664)=1,COUNT($K$4:K663)+1,""))</x:f>
      </x:c>
      <x:c r="L664" s="85" t="str">
        <x:f>IF(B664="","",IF(COUNTIFS('계정비교'!$A$5:$A$1004,B664,'계정비교'!$H$5:$H$1004,"원인분석 대상")&gt;0,COUNT($L$4:L663)+1,""))</x:f>
      </x:c>
    </x:row>
    <x:row r="665">
      <x:c r="A665" s="73" t="str">
        <x:f>IF('전기원장'!A665="","","전기")</x:f>
      </x:c>
      <x:c r="B665" s="73" t="str">
        <x:f>IF('전기원장'!A665="","",'전기원장'!A665)</x:f>
      </x:c>
      <x:c r="C665" s="73" t="str">
        <x:f>IF('전기원장'!A665="","",'전기원장'!B665)</x:f>
      </x:c>
      <x:c r="D665" s="74" t="str">
        <x:f>IF('전기원장'!A665="","",'전기원장'!C665)</x:f>
      </x:c>
      <x:c r="E665" s="73" t="str">
        <x:f>IF('전기원장'!A665="","",'전기원장'!D665)</x:f>
      </x:c>
      <x:c r="F665" s="73" t="str">
        <x:f>IF('전기원장'!A665="","",'전기원장'!E665)</x:f>
      </x:c>
      <x:c r="G665" s="75" t="str">
        <x:f>IF('전기원장'!A665="","",'전기원장'!H665)</x:f>
      </x:c>
      <x:c r="H665" s="73" t="str">
        <x:f>IF('전기원장'!A665="","",'전기원장'!I665)</x:f>
      </x:c>
      <x:c r="I665" s="73" t="str">
        <x:f>IF('전기원장'!A665="","",'전기원장'!J665)</x:f>
      </x:c>
      <x:c r="J665" s="73" t="str">
        <x:f>IF('전기원장'!A665="","",'전기원장'!K665)</x:f>
      </x:c>
      <x:c r="K665" s="73" t="str">
        <x:f>IF(B665="","",IF(COUNTIF($B$5:B665,B665)=1,COUNT($K$4:K664)+1,""))</x:f>
      </x:c>
      <x:c r="L665" s="85" t="str">
        <x:f>IF(B665="","",IF(COUNTIFS('계정비교'!$A$5:$A$1004,B665,'계정비교'!$H$5:$H$1004,"원인분석 대상")&gt;0,COUNT($L$4:L664)+1,""))</x:f>
      </x:c>
    </x:row>
    <x:row r="666">
      <x:c r="A666" s="73" t="str">
        <x:f>IF('전기원장'!A666="","","전기")</x:f>
      </x:c>
      <x:c r="B666" s="73" t="str">
        <x:f>IF('전기원장'!A666="","",'전기원장'!A666)</x:f>
      </x:c>
      <x:c r="C666" s="73" t="str">
        <x:f>IF('전기원장'!A666="","",'전기원장'!B666)</x:f>
      </x:c>
      <x:c r="D666" s="74" t="str">
        <x:f>IF('전기원장'!A666="","",'전기원장'!C666)</x:f>
      </x:c>
      <x:c r="E666" s="73" t="str">
        <x:f>IF('전기원장'!A666="","",'전기원장'!D666)</x:f>
      </x:c>
      <x:c r="F666" s="73" t="str">
        <x:f>IF('전기원장'!A666="","",'전기원장'!E666)</x:f>
      </x:c>
      <x:c r="G666" s="75" t="str">
        <x:f>IF('전기원장'!A666="","",'전기원장'!H666)</x:f>
      </x:c>
      <x:c r="H666" s="73" t="str">
        <x:f>IF('전기원장'!A666="","",'전기원장'!I666)</x:f>
      </x:c>
      <x:c r="I666" s="73" t="str">
        <x:f>IF('전기원장'!A666="","",'전기원장'!J666)</x:f>
      </x:c>
      <x:c r="J666" s="73" t="str">
        <x:f>IF('전기원장'!A666="","",'전기원장'!K666)</x:f>
      </x:c>
      <x:c r="K666" s="73" t="str">
        <x:f>IF(B666="","",IF(COUNTIF($B$5:B666,B666)=1,COUNT($K$4:K665)+1,""))</x:f>
      </x:c>
      <x:c r="L666" s="85" t="str">
        <x:f>IF(B666="","",IF(COUNTIFS('계정비교'!$A$5:$A$1004,B666,'계정비교'!$H$5:$H$1004,"원인분석 대상")&gt;0,COUNT($L$4:L665)+1,""))</x:f>
      </x:c>
    </x:row>
    <x:row r="667">
      <x:c r="A667" s="73" t="str">
        <x:f>IF('전기원장'!A667="","","전기")</x:f>
      </x:c>
      <x:c r="B667" s="73" t="str">
        <x:f>IF('전기원장'!A667="","",'전기원장'!A667)</x:f>
      </x:c>
      <x:c r="C667" s="73" t="str">
        <x:f>IF('전기원장'!A667="","",'전기원장'!B667)</x:f>
      </x:c>
      <x:c r="D667" s="74" t="str">
        <x:f>IF('전기원장'!A667="","",'전기원장'!C667)</x:f>
      </x:c>
      <x:c r="E667" s="73" t="str">
        <x:f>IF('전기원장'!A667="","",'전기원장'!D667)</x:f>
      </x:c>
      <x:c r="F667" s="73" t="str">
        <x:f>IF('전기원장'!A667="","",'전기원장'!E667)</x:f>
      </x:c>
      <x:c r="G667" s="75" t="str">
        <x:f>IF('전기원장'!A667="","",'전기원장'!H667)</x:f>
      </x:c>
      <x:c r="H667" s="73" t="str">
        <x:f>IF('전기원장'!A667="","",'전기원장'!I667)</x:f>
      </x:c>
      <x:c r="I667" s="73" t="str">
        <x:f>IF('전기원장'!A667="","",'전기원장'!J667)</x:f>
      </x:c>
      <x:c r="J667" s="73" t="str">
        <x:f>IF('전기원장'!A667="","",'전기원장'!K667)</x:f>
      </x:c>
      <x:c r="K667" s="73" t="str">
        <x:f>IF(B667="","",IF(COUNTIF($B$5:B667,B667)=1,COUNT($K$4:K666)+1,""))</x:f>
      </x:c>
      <x:c r="L667" s="85" t="str">
        <x:f>IF(B667="","",IF(COUNTIFS('계정비교'!$A$5:$A$1004,B667,'계정비교'!$H$5:$H$1004,"원인분석 대상")&gt;0,COUNT($L$4:L666)+1,""))</x:f>
      </x:c>
    </x:row>
    <x:row r="668">
      <x:c r="A668" s="73" t="str">
        <x:f>IF('전기원장'!A668="","","전기")</x:f>
      </x:c>
      <x:c r="B668" s="73" t="str">
        <x:f>IF('전기원장'!A668="","",'전기원장'!A668)</x:f>
      </x:c>
      <x:c r="C668" s="73" t="str">
        <x:f>IF('전기원장'!A668="","",'전기원장'!B668)</x:f>
      </x:c>
      <x:c r="D668" s="74" t="str">
        <x:f>IF('전기원장'!A668="","",'전기원장'!C668)</x:f>
      </x:c>
      <x:c r="E668" s="73" t="str">
        <x:f>IF('전기원장'!A668="","",'전기원장'!D668)</x:f>
      </x:c>
      <x:c r="F668" s="73" t="str">
        <x:f>IF('전기원장'!A668="","",'전기원장'!E668)</x:f>
      </x:c>
      <x:c r="G668" s="75" t="str">
        <x:f>IF('전기원장'!A668="","",'전기원장'!H668)</x:f>
      </x:c>
      <x:c r="H668" s="73" t="str">
        <x:f>IF('전기원장'!A668="","",'전기원장'!I668)</x:f>
      </x:c>
      <x:c r="I668" s="73" t="str">
        <x:f>IF('전기원장'!A668="","",'전기원장'!J668)</x:f>
      </x:c>
      <x:c r="J668" s="73" t="str">
        <x:f>IF('전기원장'!A668="","",'전기원장'!K668)</x:f>
      </x:c>
      <x:c r="K668" s="73" t="str">
        <x:f>IF(B668="","",IF(COUNTIF($B$5:B668,B668)=1,COUNT($K$4:K667)+1,""))</x:f>
      </x:c>
      <x:c r="L668" s="85" t="str">
        <x:f>IF(B668="","",IF(COUNTIFS('계정비교'!$A$5:$A$1004,B668,'계정비교'!$H$5:$H$1004,"원인분석 대상")&gt;0,COUNT($L$4:L667)+1,""))</x:f>
      </x:c>
    </x:row>
    <x:row r="669">
      <x:c r="A669" s="73" t="str">
        <x:f>IF('전기원장'!A669="","","전기")</x:f>
      </x:c>
      <x:c r="B669" s="73" t="str">
        <x:f>IF('전기원장'!A669="","",'전기원장'!A669)</x:f>
      </x:c>
      <x:c r="C669" s="73" t="str">
        <x:f>IF('전기원장'!A669="","",'전기원장'!B669)</x:f>
      </x:c>
      <x:c r="D669" s="74" t="str">
        <x:f>IF('전기원장'!A669="","",'전기원장'!C669)</x:f>
      </x:c>
      <x:c r="E669" s="73" t="str">
        <x:f>IF('전기원장'!A669="","",'전기원장'!D669)</x:f>
      </x:c>
      <x:c r="F669" s="73" t="str">
        <x:f>IF('전기원장'!A669="","",'전기원장'!E669)</x:f>
      </x:c>
      <x:c r="G669" s="75" t="str">
        <x:f>IF('전기원장'!A669="","",'전기원장'!H669)</x:f>
      </x:c>
      <x:c r="H669" s="73" t="str">
        <x:f>IF('전기원장'!A669="","",'전기원장'!I669)</x:f>
      </x:c>
      <x:c r="I669" s="73" t="str">
        <x:f>IF('전기원장'!A669="","",'전기원장'!J669)</x:f>
      </x:c>
      <x:c r="J669" s="73" t="str">
        <x:f>IF('전기원장'!A669="","",'전기원장'!K669)</x:f>
      </x:c>
      <x:c r="K669" s="73" t="str">
        <x:f>IF(B669="","",IF(COUNTIF($B$5:B669,B669)=1,COUNT($K$4:K668)+1,""))</x:f>
      </x:c>
      <x:c r="L669" s="85" t="str">
        <x:f>IF(B669="","",IF(COUNTIFS('계정비교'!$A$5:$A$1004,B669,'계정비교'!$H$5:$H$1004,"원인분석 대상")&gt;0,COUNT($L$4:L668)+1,""))</x:f>
      </x:c>
    </x:row>
    <x:row r="670">
      <x:c r="A670" s="73" t="str">
        <x:f>IF('전기원장'!A670="","","전기")</x:f>
      </x:c>
      <x:c r="B670" s="73" t="str">
        <x:f>IF('전기원장'!A670="","",'전기원장'!A670)</x:f>
      </x:c>
      <x:c r="C670" s="73" t="str">
        <x:f>IF('전기원장'!A670="","",'전기원장'!B670)</x:f>
      </x:c>
      <x:c r="D670" s="74" t="str">
        <x:f>IF('전기원장'!A670="","",'전기원장'!C670)</x:f>
      </x:c>
      <x:c r="E670" s="73" t="str">
        <x:f>IF('전기원장'!A670="","",'전기원장'!D670)</x:f>
      </x:c>
      <x:c r="F670" s="73" t="str">
        <x:f>IF('전기원장'!A670="","",'전기원장'!E670)</x:f>
      </x:c>
      <x:c r="G670" s="75" t="str">
        <x:f>IF('전기원장'!A670="","",'전기원장'!H670)</x:f>
      </x:c>
      <x:c r="H670" s="73" t="str">
        <x:f>IF('전기원장'!A670="","",'전기원장'!I670)</x:f>
      </x:c>
      <x:c r="I670" s="73" t="str">
        <x:f>IF('전기원장'!A670="","",'전기원장'!J670)</x:f>
      </x:c>
      <x:c r="J670" s="73" t="str">
        <x:f>IF('전기원장'!A670="","",'전기원장'!K670)</x:f>
      </x:c>
      <x:c r="K670" s="73" t="str">
        <x:f>IF(B670="","",IF(COUNTIF($B$5:B670,B670)=1,COUNT($K$4:K669)+1,""))</x:f>
      </x:c>
      <x:c r="L670" s="85" t="str">
        <x:f>IF(B670="","",IF(COUNTIFS('계정비교'!$A$5:$A$1004,B670,'계정비교'!$H$5:$H$1004,"원인분석 대상")&gt;0,COUNT($L$4:L669)+1,""))</x:f>
      </x:c>
    </x:row>
    <x:row r="671">
      <x:c r="A671" s="73" t="str">
        <x:f>IF('전기원장'!A671="","","전기")</x:f>
      </x:c>
      <x:c r="B671" s="73" t="str">
        <x:f>IF('전기원장'!A671="","",'전기원장'!A671)</x:f>
      </x:c>
      <x:c r="C671" s="73" t="str">
        <x:f>IF('전기원장'!A671="","",'전기원장'!B671)</x:f>
      </x:c>
      <x:c r="D671" s="74" t="str">
        <x:f>IF('전기원장'!A671="","",'전기원장'!C671)</x:f>
      </x:c>
      <x:c r="E671" s="73" t="str">
        <x:f>IF('전기원장'!A671="","",'전기원장'!D671)</x:f>
      </x:c>
      <x:c r="F671" s="73" t="str">
        <x:f>IF('전기원장'!A671="","",'전기원장'!E671)</x:f>
      </x:c>
      <x:c r="G671" s="75" t="str">
        <x:f>IF('전기원장'!A671="","",'전기원장'!H671)</x:f>
      </x:c>
      <x:c r="H671" s="73" t="str">
        <x:f>IF('전기원장'!A671="","",'전기원장'!I671)</x:f>
      </x:c>
      <x:c r="I671" s="73" t="str">
        <x:f>IF('전기원장'!A671="","",'전기원장'!J671)</x:f>
      </x:c>
      <x:c r="J671" s="73" t="str">
        <x:f>IF('전기원장'!A671="","",'전기원장'!K671)</x:f>
      </x:c>
      <x:c r="K671" s="73" t="str">
        <x:f>IF(B671="","",IF(COUNTIF($B$5:B671,B671)=1,COUNT($K$4:K670)+1,""))</x:f>
      </x:c>
      <x:c r="L671" s="85" t="str">
        <x:f>IF(B671="","",IF(COUNTIFS('계정비교'!$A$5:$A$1004,B671,'계정비교'!$H$5:$H$1004,"원인분석 대상")&gt;0,COUNT($L$4:L670)+1,""))</x:f>
      </x:c>
    </x:row>
    <x:row r="672">
      <x:c r="A672" s="73" t="str">
        <x:f>IF('전기원장'!A672="","","전기")</x:f>
      </x:c>
      <x:c r="B672" s="73" t="str">
        <x:f>IF('전기원장'!A672="","",'전기원장'!A672)</x:f>
      </x:c>
      <x:c r="C672" s="73" t="str">
        <x:f>IF('전기원장'!A672="","",'전기원장'!B672)</x:f>
      </x:c>
      <x:c r="D672" s="74" t="str">
        <x:f>IF('전기원장'!A672="","",'전기원장'!C672)</x:f>
      </x:c>
      <x:c r="E672" s="73" t="str">
        <x:f>IF('전기원장'!A672="","",'전기원장'!D672)</x:f>
      </x:c>
      <x:c r="F672" s="73" t="str">
        <x:f>IF('전기원장'!A672="","",'전기원장'!E672)</x:f>
      </x:c>
      <x:c r="G672" s="75" t="str">
        <x:f>IF('전기원장'!A672="","",'전기원장'!H672)</x:f>
      </x:c>
      <x:c r="H672" s="73" t="str">
        <x:f>IF('전기원장'!A672="","",'전기원장'!I672)</x:f>
      </x:c>
      <x:c r="I672" s="73" t="str">
        <x:f>IF('전기원장'!A672="","",'전기원장'!J672)</x:f>
      </x:c>
      <x:c r="J672" s="73" t="str">
        <x:f>IF('전기원장'!A672="","",'전기원장'!K672)</x:f>
      </x:c>
      <x:c r="K672" s="73" t="str">
        <x:f>IF(B672="","",IF(COUNTIF($B$5:B672,B672)=1,COUNT($K$4:K671)+1,""))</x:f>
      </x:c>
      <x:c r="L672" s="85" t="str">
        <x:f>IF(B672="","",IF(COUNTIFS('계정비교'!$A$5:$A$1004,B672,'계정비교'!$H$5:$H$1004,"원인분석 대상")&gt;0,COUNT($L$4:L671)+1,""))</x:f>
      </x:c>
    </x:row>
    <x:row r="673">
      <x:c r="A673" s="73" t="str">
        <x:f>IF('전기원장'!A673="","","전기")</x:f>
      </x:c>
      <x:c r="B673" s="73" t="str">
        <x:f>IF('전기원장'!A673="","",'전기원장'!A673)</x:f>
      </x:c>
      <x:c r="C673" s="73" t="str">
        <x:f>IF('전기원장'!A673="","",'전기원장'!B673)</x:f>
      </x:c>
      <x:c r="D673" s="74" t="str">
        <x:f>IF('전기원장'!A673="","",'전기원장'!C673)</x:f>
      </x:c>
      <x:c r="E673" s="73" t="str">
        <x:f>IF('전기원장'!A673="","",'전기원장'!D673)</x:f>
      </x:c>
      <x:c r="F673" s="73" t="str">
        <x:f>IF('전기원장'!A673="","",'전기원장'!E673)</x:f>
      </x:c>
      <x:c r="G673" s="75" t="str">
        <x:f>IF('전기원장'!A673="","",'전기원장'!H673)</x:f>
      </x:c>
      <x:c r="H673" s="73" t="str">
        <x:f>IF('전기원장'!A673="","",'전기원장'!I673)</x:f>
      </x:c>
      <x:c r="I673" s="73" t="str">
        <x:f>IF('전기원장'!A673="","",'전기원장'!J673)</x:f>
      </x:c>
      <x:c r="J673" s="73" t="str">
        <x:f>IF('전기원장'!A673="","",'전기원장'!K673)</x:f>
      </x:c>
      <x:c r="K673" s="73" t="str">
        <x:f>IF(B673="","",IF(COUNTIF($B$5:B673,B673)=1,COUNT($K$4:K672)+1,""))</x:f>
      </x:c>
      <x:c r="L673" s="85" t="str">
        <x:f>IF(B673="","",IF(COUNTIFS('계정비교'!$A$5:$A$1004,B673,'계정비교'!$H$5:$H$1004,"원인분석 대상")&gt;0,COUNT($L$4:L672)+1,""))</x:f>
      </x:c>
    </x:row>
    <x:row r="674">
      <x:c r="A674" s="73" t="str">
        <x:f>IF('전기원장'!A674="","","전기")</x:f>
      </x:c>
      <x:c r="B674" s="73" t="str">
        <x:f>IF('전기원장'!A674="","",'전기원장'!A674)</x:f>
      </x:c>
      <x:c r="C674" s="73" t="str">
        <x:f>IF('전기원장'!A674="","",'전기원장'!B674)</x:f>
      </x:c>
      <x:c r="D674" s="74" t="str">
        <x:f>IF('전기원장'!A674="","",'전기원장'!C674)</x:f>
      </x:c>
      <x:c r="E674" s="73" t="str">
        <x:f>IF('전기원장'!A674="","",'전기원장'!D674)</x:f>
      </x:c>
      <x:c r="F674" s="73" t="str">
        <x:f>IF('전기원장'!A674="","",'전기원장'!E674)</x:f>
      </x:c>
      <x:c r="G674" s="75" t="str">
        <x:f>IF('전기원장'!A674="","",'전기원장'!H674)</x:f>
      </x:c>
      <x:c r="H674" s="73" t="str">
        <x:f>IF('전기원장'!A674="","",'전기원장'!I674)</x:f>
      </x:c>
      <x:c r="I674" s="73" t="str">
        <x:f>IF('전기원장'!A674="","",'전기원장'!J674)</x:f>
      </x:c>
      <x:c r="J674" s="73" t="str">
        <x:f>IF('전기원장'!A674="","",'전기원장'!K674)</x:f>
      </x:c>
      <x:c r="K674" s="73" t="str">
        <x:f>IF(B674="","",IF(COUNTIF($B$5:B674,B674)=1,COUNT($K$4:K673)+1,""))</x:f>
      </x:c>
      <x:c r="L674" s="85" t="str">
        <x:f>IF(B674="","",IF(COUNTIFS('계정비교'!$A$5:$A$1004,B674,'계정비교'!$H$5:$H$1004,"원인분석 대상")&gt;0,COUNT($L$4:L673)+1,""))</x:f>
      </x:c>
    </x:row>
    <x:row r="675">
      <x:c r="A675" s="73" t="str">
        <x:f>IF('전기원장'!A675="","","전기")</x:f>
      </x:c>
      <x:c r="B675" s="73" t="str">
        <x:f>IF('전기원장'!A675="","",'전기원장'!A675)</x:f>
      </x:c>
      <x:c r="C675" s="73" t="str">
        <x:f>IF('전기원장'!A675="","",'전기원장'!B675)</x:f>
      </x:c>
      <x:c r="D675" s="74" t="str">
        <x:f>IF('전기원장'!A675="","",'전기원장'!C675)</x:f>
      </x:c>
      <x:c r="E675" s="73" t="str">
        <x:f>IF('전기원장'!A675="","",'전기원장'!D675)</x:f>
      </x:c>
      <x:c r="F675" s="73" t="str">
        <x:f>IF('전기원장'!A675="","",'전기원장'!E675)</x:f>
      </x:c>
      <x:c r="G675" s="75" t="str">
        <x:f>IF('전기원장'!A675="","",'전기원장'!H675)</x:f>
      </x:c>
      <x:c r="H675" s="73" t="str">
        <x:f>IF('전기원장'!A675="","",'전기원장'!I675)</x:f>
      </x:c>
      <x:c r="I675" s="73" t="str">
        <x:f>IF('전기원장'!A675="","",'전기원장'!J675)</x:f>
      </x:c>
      <x:c r="J675" s="73" t="str">
        <x:f>IF('전기원장'!A675="","",'전기원장'!K675)</x:f>
      </x:c>
      <x:c r="K675" s="73" t="str">
        <x:f>IF(B675="","",IF(COUNTIF($B$5:B675,B675)=1,COUNT($K$4:K674)+1,""))</x:f>
      </x:c>
      <x:c r="L675" s="85" t="str">
        <x:f>IF(B675="","",IF(COUNTIFS('계정비교'!$A$5:$A$1004,B675,'계정비교'!$H$5:$H$1004,"원인분석 대상")&gt;0,COUNT($L$4:L674)+1,""))</x:f>
      </x:c>
    </x:row>
    <x:row r="676">
      <x:c r="A676" s="73" t="str">
        <x:f>IF('전기원장'!A676="","","전기")</x:f>
      </x:c>
      <x:c r="B676" s="73" t="str">
        <x:f>IF('전기원장'!A676="","",'전기원장'!A676)</x:f>
      </x:c>
      <x:c r="C676" s="73" t="str">
        <x:f>IF('전기원장'!A676="","",'전기원장'!B676)</x:f>
      </x:c>
      <x:c r="D676" s="74" t="str">
        <x:f>IF('전기원장'!A676="","",'전기원장'!C676)</x:f>
      </x:c>
      <x:c r="E676" s="73" t="str">
        <x:f>IF('전기원장'!A676="","",'전기원장'!D676)</x:f>
      </x:c>
      <x:c r="F676" s="73" t="str">
        <x:f>IF('전기원장'!A676="","",'전기원장'!E676)</x:f>
      </x:c>
      <x:c r="G676" s="75" t="str">
        <x:f>IF('전기원장'!A676="","",'전기원장'!H676)</x:f>
      </x:c>
      <x:c r="H676" s="73" t="str">
        <x:f>IF('전기원장'!A676="","",'전기원장'!I676)</x:f>
      </x:c>
      <x:c r="I676" s="73" t="str">
        <x:f>IF('전기원장'!A676="","",'전기원장'!J676)</x:f>
      </x:c>
      <x:c r="J676" s="73" t="str">
        <x:f>IF('전기원장'!A676="","",'전기원장'!K676)</x:f>
      </x:c>
      <x:c r="K676" s="73" t="str">
        <x:f>IF(B676="","",IF(COUNTIF($B$5:B676,B676)=1,COUNT($K$4:K675)+1,""))</x:f>
      </x:c>
      <x:c r="L676" s="85" t="str">
        <x:f>IF(B676="","",IF(COUNTIFS('계정비교'!$A$5:$A$1004,B676,'계정비교'!$H$5:$H$1004,"원인분석 대상")&gt;0,COUNT($L$4:L675)+1,""))</x:f>
      </x:c>
    </x:row>
    <x:row r="677">
      <x:c r="A677" s="73" t="str">
        <x:f>IF('전기원장'!A677="","","전기")</x:f>
      </x:c>
      <x:c r="B677" s="73" t="str">
        <x:f>IF('전기원장'!A677="","",'전기원장'!A677)</x:f>
      </x:c>
      <x:c r="C677" s="73" t="str">
        <x:f>IF('전기원장'!A677="","",'전기원장'!B677)</x:f>
      </x:c>
      <x:c r="D677" s="74" t="str">
        <x:f>IF('전기원장'!A677="","",'전기원장'!C677)</x:f>
      </x:c>
      <x:c r="E677" s="73" t="str">
        <x:f>IF('전기원장'!A677="","",'전기원장'!D677)</x:f>
      </x:c>
      <x:c r="F677" s="73" t="str">
        <x:f>IF('전기원장'!A677="","",'전기원장'!E677)</x:f>
      </x:c>
      <x:c r="G677" s="75" t="str">
        <x:f>IF('전기원장'!A677="","",'전기원장'!H677)</x:f>
      </x:c>
      <x:c r="H677" s="73" t="str">
        <x:f>IF('전기원장'!A677="","",'전기원장'!I677)</x:f>
      </x:c>
      <x:c r="I677" s="73" t="str">
        <x:f>IF('전기원장'!A677="","",'전기원장'!J677)</x:f>
      </x:c>
      <x:c r="J677" s="73" t="str">
        <x:f>IF('전기원장'!A677="","",'전기원장'!K677)</x:f>
      </x:c>
      <x:c r="K677" s="73" t="str">
        <x:f>IF(B677="","",IF(COUNTIF($B$5:B677,B677)=1,COUNT($K$4:K676)+1,""))</x:f>
      </x:c>
      <x:c r="L677" s="85" t="str">
        <x:f>IF(B677="","",IF(COUNTIFS('계정비교'!$A$5:$A$1004,B677,'계정비교'!$H$5:$H$1004,"원인분석 대상")&gt;0,COUNT($L$4:L676)+1,""))</x:f>
      </x:c>
    </x:row>
    <x:row r="678">
      <x:c r="A678" s="73" t="str">
        <x:f>IF('전기원장'!A678="","","전기")</x:f>
      </x:c>
      <x:c r="B678" s="73" t="str">
        <x:f>IF('전기원장'!A678="","",'전기원장'!A678)</x:f>
      </x:c>
      <x:c r="C678" s="73" t="str">
        <x:f>IF('전기원장'!A678="","",'전기원장'!B678)</x:f>
      </x:c>
      <x:c r="D678" s="74" t="str">
        <x:f>IF('전기원장'!A678="","",'전기원장'!C678)</x:f>
      </x:c>
      <x:c r="E678" s="73" t="str">
        <x:f>IF('전기원장'!A678="","",'전기원장'!D678)</x:f>
      </x:c>
      <x:c r="F678" s="73" t="str">
        <x:f>IF('전기원장'!A678="","",'전기원장'!E678)</x:f>
      </x:c>
      <x:c r="G678" s="75" t="str">
        <x:f>IF('전기원장'!A678="","",'전기원장'!H678)</x:f>
      </x:c>
      <x:c r="H678" s="73" t="str">
        <x:f>IF('전기원장'!A678="","",'전기원장'!I678)</x:f>
      </x:c>
      <x:c r="I678" s="73" t="str">
        <x:f>IF('전기원장'!A678="","",'전기원장'!J678)</x:f>
      </x:c>
      <x:c r="J678" s="73" t="str">
        <x:f>IF('전기원장'!A678="","",'전기원장'!K678)</x:f>
      </x:c>
      <x:c r="K678" s="73" t="str">
        <x:f>IF(B678="","",IF(COUNTIF($B$5:B678,B678)=1,COUNT($K$4:K677)+1,""))</x:f>
      </x:c>
      <x:c r="L678" s="85" t="str">
        <x:f>IF(B678="","",IF(COUNTIFS('계정비교'!$A$5:$A$1004,B678,'계정비교'!$H$5:$H$1004,"원인분석 대상")&gt;0,COUNT($L$4:L677)+1,""))</x:f>
      </x:c>
    </x:row>
    <x:row r="679">
      <x:c r="A679" s="73" t="str">
        <x:f>IF('전기원장'!A679="","","전기")</x:f>
      </x:c>
      <x:c r="B679" s="73" t="str">
        <x:f>IF('전기원장'!A679="","",'전기원장'!A679)</x:f>
      </x:c>
      <x:c r="C679" s="73" t="str">
        <x:f>IF('전기원장'!A679="","",'전기원장'!B679)</x:f>
      </x:c>
      <x:c r="D679" s="74" t="str">
        <x:f>IF('전기원장'!A679="","",'전기원장'!C679)</x:f>
      </x:c>
      <x:c r="E679" s="73" t="str">
        <x:f>IF('전기원장'!A679="","",'전기원장'!D679)</x:f>
      </x:c>
      <x:c r="F679" s="73" t="str">
        <x:f>IF('전기원장'!A679="","",'전기원장'!E679)</x:f>
      </x:c>
      <x:c r="G679" s="75" t="str">
        <x:f>IF('전기원장'!A679="","",'전기원장'!H679)</x:f>
      </x:c>
      <x:c r="H679" s="73" t="str">
        <x:f>IF('전기원장'!A679="","",'전기원장'!I679)</x:f>
      </x:c>
      <x:c r="I679" s="73" t="str">
        <x:f>IF('전기원장'!A679="","",'전기원장'!J679)</x:f>
      </x:c>
      <x:c r="J679" s="73" t="str">
        <x:f>IF('전기원장'!A679="","",'전기원장'!K679)</x:f>
      </x:c>
      <x:c r="K679" s="73" t="str">
        <x:f>IF(B679="","",IF(COUNTIF($B$5:B679,B679)=1,COUNT($K$4:K678)+1,""))</x:f>
      </x:c>
      <x:c r="L679" s="85" t="str">
        <x:f>IF(B679="","",IF(COUNTIFS('계정비교'!$A$5:$A$1004,B679,'계정비교'!$H$5:$H$1004,"원인분석 대상")&gt;0,COUNT($L$4:L678)+1,""))</x:f>
      </x:c>
    </x:row>
    <x:row r="680">
      <x:c r="A680" s="73" t="str">
        <x:f>IF('전기원장'!A680="","","전기")</x:f>
      </x:c>
      <x:c r="B680" s="73" t="str">
        <x:f>IF('전기원장'!A680="","",'전기원장'!A680)</x:f>
      </x:c>
      <x:c r="C680" s="73" t="str">
        <x:f>IF('전기원장'!A680="","",'전기원장'!B680)</x:f>
      </x:c>
      <x:c r="D680" s="74" t="str">
        <x:f>IF('전기원장'!A680="","",'전기원장'!C680)</x:f>
      </x:c>
      <x:c r="E680" s="73" t="str">
        <x:f>IF('전기원장'!A680="","",'전기원장'!D680)</x:f>
      </x:c>
      <x:c r="F680" s="73" t="str">
        <x:f>IF('전기원장'!A680="","",'전기원장'!E680)</x:f>
      </x:c>
      <x:c r="G680" s="75" t="str">
        <x:f>IF('전기원장'!A680="","",'전기원장'!H680)</x:f>
      </x:c>
      <x:c r="H680" s="73" t="str">
        <x:f>IF('전기원장'!A680="","",'전기원장'!I680)</x:f>
      </x:c>
      <x:c r="I680" s="73" t="str">
        <x:f>IF('전기원장'!A680="","",'전기원장'!J680)</x:f>
      </x:c>
      <x:c r="J680" s="73" t="str">
        <x:f>IF('전기원장'!A680="","",'전기원장'!K680)</x:f>
      </x:c>
      <x:c r="K680" s="73" t="str">
        <x:f>IF(B680="","",IF(COUNTIF($B$5:B680,B680)=1,COUNT($K$4:K679)+1,""))</x:f>
      </x:c>
      <x:c r="L680" s="85" t="str">
        <x:f>IF(B680="","",IF(COUNTIFS('계정비교'!$A$5:$A$1004,B680,'계정비교'!$H$5:$H$1004,"원인분석 대상")&gt;0,COUNT($L$4:L679)+1,""))</x:f>
      </x:c>
    </x:row>
    <x:row r="681">
      <x:c r="A681" s="73" t="str">
        <x:f>IF('전기원장'!A681="","","전기")</x:f>
      </x:c>
      <x:c r="B681" s="73" t="str">
        <x:f>IF('전기원장'!A681="","",'전기원장'!A681)</x:f>
      </x:c>
      <x:c r="C681" s="73" t="str">
        <x:f>IF('전기원장'!A681="","",'전기원장'!B681)</x:f>
      </x:c>
      <x:c r="D681" s="74" t="str">
        <x:f>IF('전기원장'!A681="","",'전기원장'!C681)</x:f>
      </x:c>
      <x:c r="E681" s="73" t="str">
        <x:f>IF('전기원장'!A681="","",'전기원장'!D681)</x:f>
      </x:c>
      <x:c r="F681" s="73" t="str">
        <x:f>IF('전기원장'!A681="","",'전기원장'!E681)</x:f>
      </x:c>
      <x:c r="G681" s="75" t="str">
        <x:f>IF('전기원장'!A681="","",'전기원장'!H681)</x:f>
      </x:c>
      <x:c r="H681" s="73" t="str">
        <x:f>IF('전기원장'!A681="","",'전기원장'!I681)</x:f>
      </x:c>
      <x:c r="I681" s="73" t="str">
        <x:f>IF('전기원장'!A681="","",'전기원장'!J681)</x:f>
      </x:c>
      <x:c r="J681" s="73" t="str">
        <x:f>IF('전기원장'!A681="","",'전기원장'!K681)</x:f>
      </x:c>
      <x:c r="K681" s="73" t="str">
        <x:f>IF(B681="","",IF(COUNTIF($B$5:B681,B681)=1,COUNT($K$4:K680)+1,""))</x:f>
      </x:c>
      <x:c r="L681" s="85" t="str">
        <x:f>IF(B681="","",IF(COUNTIFS('계정비교'!$A$5:$A$1004,B681,'계정비교'!$H$5:$H$1004,"원인분석 대상")&gt;0,COUNT($L$4:L680)+1,""))</x:f>
      </x:c>
    </x:row>
    <x:row r="682">
      <x:c r="A682" s="73" t="str">
        <x:f>IF('전기원장'!A682="","","전기")</x:f>
      </x:c>
      <x:c r="B682" s="73" t="str">
        <x:f>IF('전기원장'!A682="","",'전기원장'!A682)</x:f>
      </x:c>
      <x:c r="C682" s="73" t="str">
        <x:f>IF('전기원장'!A682="","",'전기원장'!B682)</x:f>
      </x:c>
      <x:c r="D682" s="74" t="str">
        <x:f>IF('전기원장'!A682="","",'전기원장'!C682)</x:f>
      </x:c>
      <x:c r="E682" s="73" t="str">
        <x:f>IF('전기원장'!A682="","",'전기원장'!D682)</x:f>
      </x:c>
      <x:c r="F682" s="73" t="str">
        <x:f>IF('전기원장'!A682="","",'전기원장'!E682)</x:f>
      </x:c>
      <x:c r="G682" s="75" t="str">
        <x:f>IF('전기원장'!A682="","",'전기원장'!H682)</x:f>
      </x:c>
      <x:c r="H682" s="73" t="str">
        <x:f>IF('전기원장'!A682="","",'전기원장'!I682)</x:f>
      </x:c>
      <x:c r="I682" s="73" t="str">
        <x:f>IF('전기원장'!A682="","",'전기원장'!J682)</x:f>
      </x:c>
      <x:c r="J682" s="73" t="str">
        <x:f>IF('전기원장'!A682="","",'전기원장'!K682)</x:f>
      </x:c>
      <x:c r="K682" s="73" t="str">
        <x:f>IF(B682="","",IF(COUNTIF($B$5:B682,B682)=1,COUNT($K$4:K681)+1,""))</x:f>
      </x:c>
      <x:c r="L682" s="85" t="str">
        <x:f>IF(B682="","",IF(COUNTIFS('계정비교'!$A$5:$A$1004,B682,'계정비교'!$H$5:$H$1004,"원인분석 대상")&gt;0,COUNT($L$4:L681)+1,""))</x:f>
      </x:c>
    </x:row>
    <x:row r="683">
      <x:c r="A683" s="73" t="str">
        <x:f>IF('전기원장'!A683="","","전기")</x:f>
      </x:c>
      <x:c r="B683" s="73" t="str">
        <x:f>IF('전기원장'!A683="","",'전기원장'!A683)</x:f>
      </x:c>
      <x:c r="C683" s="73" t="str">
        <x:f>IF('전기원장'!A683="","",'전기원장'!B683)</x:f>
      </x:c>
      <x:c r="D683" s="74" t="str">
        <x:f>IF('전기원장'!A683="","",'전기원장'!C683)</x:f>
      </x:c>
      <x:c r="E683" s="73" t="str">
        <x:f>IF('전기원장'!A683="","",'전기원장'!D683)</x:f>
      </x:c>
      <x:c r="F683" s="73" t="str">
        <x:f>IF('전기원장'!A683="","",'전기원장'!E683)</x:f>
      </x:c>
      <x:c r="G683" s="75" t="str">
        <x:f>IF('전기원장'!A683="","",'전기원장'!H683)</x:f>
      </x:c>
      <x:c r="H683" s="73" t="str">
        <x:f>IF('전기원장'!A683="","",'전기원장'!I683)</x:f>
      </x:c>
      <x:c r="I683" s="73" t="str">
        <x:f>IF('전기원장'!A683="","",'전기원장'!J683)</x:f>
      </x:c>
      <x:c r="J683" s="73" t="str">
        <x:f>IF('전기원장'!A683="","",'전기원장'!K683)</x:f>
      </x:c>
      <x:c r="K683" s="73" t="str">
        <x:f>IF(B683="","",IF(COUNTIF($B$5:B683,B683)=1,COUNT($K$4:K682)+1,""))</x:f>
      </x:c>
      <x:c r="L683" s="85" t="str">
        <x:f>IF(B683="","",IF(COUNTIFS('계정비교'!$A$5:$A$1004,B683,'계정비교'!$H$5:$H$1004,"원인분석 대상")&gt;0,COUNT($L$4:L682)+1,""))</x:f>
      </x:c>
    </x:row>
    <x:row r="684">
      <x:c r="A684" s="73" t="str">
        <x:f>IF('전기원장'!A684="","","전기")</x:f>
      </x:c>
      <x:c r="B684" s="73" t="str">
        <x:f>IF('전기원장'!A684="","",'전기원장'!A684)</x:f>
      </x:c>
      <x:c r="C684" s="73" t="str">
        <x:f>IF('전기원장'!A684="","",'전기원장'!B684)</x:f>
      </x:c>
      <x:c r="D684" s="74" t="str">
        <x:f>IF('전기원장'!A684="","",'전기원장'!C684)</x:f>
      </x:c>
      <x:c r="E684" s="73" t="str">
        <x:f>IF('전기원장'!A684="","",'전기원장'!D684)</x:f>
      </x:c>
      <x:c r="F684" s="73" t="str">
        <x:f>IF('전기원장'!A684="","",'전기원장'!E684)</x:f>
      </x:c>
      <x:c r="G684" s="75" t="str">
        <x:f>IF('전기원장'!A684="","",'전기원장'!H684)</x:f>
      </x:c>
      <x:c r="H684" s="73" t="str">
        <x:f>IF('전기원장'!A684="","",'전기원장'!I684)</x:f>
      </x:c>
      <x:c r="I684" s="73" t="str">
        <x:f>IF('전기원장'!A684="","",'전기원장'!J684)</x:f>
      </x:c>
      <x:c r="J684" s="73" t="str">
        <x:f>IF('전기원장'!A684="","",'전기원장'!K684)</x:f>
      </x:c>
      <x:c r="K684" s="73" t="str">
        <x:f>IF(B684="","",IF(COUNTIF($B$5:B684,B684)=1,COUNT($K$4:K683)+1,""))</x:f>
      </x:c>
      <x:c r="L684" s="85" t="str">
        <x:f>IF(B684="","",IF(COUNTIFS('계정비교'!$A$5:$A$1004,B684,'계정비교'!$H$5:$H$1004,"원인분석 대상")&gt;0,COUNT($L$4:L683)+1,""))</x:f>
      </x:c>
    </x:row>
    <x:row r="685">
      <x:c r="A685" s="73" t="str">
        <x:f>IF('전기원장'!A685="","","전기")</x:f>
      </x:c>
      <x:c r="B685" s="73" t="str">
        <x:f>IF('전기원장'!A685="","",'전기원장'!A685)</x:f>
      </x:c>
      <x:c r="C685" s="73" t="str">
        <x:f>IF('전기원장'!A685="","",'전기원장'!B685)</x:f>
      </x:c>
      <x:c r="D685" s="74" t="str">
        <x:f>IF('전기원장'!A685="","",'전기원장'!C685)</x:f>
      </x:c>
      <x:c r="E685" s="73" t="str">
        <x:f>IF('전기원장'!A685="","",'전기원장'!D685)</x:f>
      </x:c>
      <x:c r="F685" s="73" t="str">
        <x:f>IF('전기원장'!A685="","",'전기원장'!E685)</x:f>
      </x:c>
      <x:c r="G685" s="75" t="str">
        <x:f>IF('전기원장'!A685="","",'전기원장'!H685)</x:f>
      </x:c>
      <x:c r="H685" s="73" t="str">
        <x:f>IF('전기원장'!A685="","",'전기원장'!I685)</x:f>
      </x:c>
      <x:c r="I685" s="73" t="str">
        <x:f>IF('전기원장'!A685="","",'전기원장'!J685)</x:f>
      </x:c>
      <x:c r="J685" s="73" t="str">
        <x:f>IF('전기원장'!A685="","",'전기원장'!K685)</x:f>
      </x:c>
      <x:c r="K685" s="73" t="str">
        <x:f>IF(B685="","",IF(COUNTIF($B$5:B685,B685)=1,COUNT($K$4:K684)+1,""))</x:f>
      </x:c>
      <x:c r="L685" s="85" t="str">
        <x:f>IF(B685="","",IF(COUNTIFS('계정비교'!$A$5:$A$1004,B685,'계정비교'!$H$5:$H$1004,"원인분석 대상")&gt;0,COUNT($L$4:L684)+1,""))</x:f>
      </x:c>
    </x:row>
    <x:row r="686">
      <x:c r="A686" s="73" t="str">
        <x:f>IF('전기원장'!A686="","","전기")</x:f>
      </x:c>
      <x:c r="B686" s="73" t="str">
        <x:f>IF('전기원장'!A686="","",'전기원장'!A686)</x:f>
      </x:c>
      <x:c r="C686" s="73" t="str">
        <x:f>IF('전기원장'!A686="","",'전기원장'!B686)</x:f>
      </x:c>
      <x:c r="D686" s="74" t="str">
        <x:f>IF('전기원장'!A686="","",'전기원장'!C686)</x:f>
      </x:c>
      <x:c r="E686" s="73" t="str">
        <x:f>IF('전기원장'!A686="","",'전기원장'!D686)</x:f>
      </x:c>
      <x:c r="F686" s="73" t="str">
        <x:f>IF('전기원장'!A686="","",'전기원장'!E686)</x:f>
      </x:c>
      <x:c r="G686" s="75" t="str">
        <x:f>IF('전기원장'!A686="","",'전기원장'!H686)</x:f>
      </x:c>
      <x:c r="H686" s="73" t="str">
        <x:f>IF('전기원장'!A686="","",'전기원장'!I686)</x:f>
      </x:c>
      <x:c r="I686" s="73" t="str">
        <x:f>IF('전기원장'!A686="","",'전기원장'!J686)</x:f>
      </x:c>
      <x:c r="J686" s="73" t="str">
        <x:f>IF('전기원장'!A686="","",'전기원장'!K686)</x:f>
      </x:c>
      <x:c r="K686" s="73" t="str">
        <x:f>IF(B686="","",IF(COUNTIF($B$5:B686,B686)=1,COUNT($K$4:K685)+1,""))</x:f>
      </x:c>
      <x:c r="L686" s="85" t="str">
        <x:f>IF(B686="","",IF(COUNTIFS('계정비교'!$A$5:$A$1004,B686,'계정비교'!$H$5:$H$1004,"원인분석 대상")&gt;0,COUNT($L$4:L685)+1,""))</x:f>
      </x:c>
    </x:row>
    <x:row r="687">
      <x:c r="A687" s="73" t="str">
        <x:f>IF('전기원장'!A687="","","전기")</x:f>
      </x:c>
      <x:c r="B687" s="73" t="str">
        <x:f>IF('전기원장'!A687="","",'전기원장'!A687)</x:f>
      </x:c>
      <x:c r="C687" s="73" t="str">
        <x:f>IF('전기원장'!A687="","",'전기원장'!B687)</x:f>
      </x:c>
      <x:c r="D687" s="74" t="str">
        <x:f>IF('전기원장'!A687="","",'전기원장'!C687)</x:f>
      </x:c>
      <x:c r="E687" s="73" t="str">
        <x:f>IF('전기원장'!A687="","",'전기원장'!D687)</x:f>
      </x:c>
      <x:c r="F687" s="73" t="str">
        <x:f>IF('전기원장'!A687="","",'전기원장'!E687)</x:f>
      </x:c>
      <x:c r="G687" s="75" t="str">
        <x:f>IF('전기원장'!A687="","",'전기원장'!H687)</x:f>
      </x:c>
      <x:c r="H687" s="73" t="str">
        <x:f>IF('전기원장'!A687="","",'전기원장'!I687)</x:f>
      </x:c>
      <x:c r="I687" s="73" t="str">
        <x:f>IF('전기원장'!A687="","",'전기원장'!J687)</x:f>
      </x:c>
      <x:c r="J687" s="73" t="str">
        <x:f>IF('전기원장'!A687="","",'전기원장'!K687)</x:f>
      </x:c>
      <x:c r="K687" s="73" t="str">
        <x:f>IF(B687="","",IF(COUNTIF($B$5:B687,B687)=1,COUNT($K$4:K686)+1,""))</x:f>
      </x:c>
      <x:c r="L687" s="85" t="str">
        <x:f>IF(B687="","",IF(COUNTIFS('계정비교'!$A$5:$A$1004,B687,'계정비교'!$H$5:$H$1004,"원인분석 대상")&gt;0,COUNT($L$4:L686)+1,""))</x:f>
      </x:c>
    </x:row>
    <x:row r="688">
      <x:c r="A688" s="73" t="str">
        <x:f>IF('전기원장'!A688="","","전기")</x:f>
      </x:c>
      <x:c r="B688" s="73" t="str">
        <x:f>IF('전기원장'!A688="","",'전기원장'!A688)</x:f>
      </x:c>
      <x:c r="C688" s="73" t="str">
        <x:f>IF('전기원장'!A688="","",'전기원장'!B688)</x:f>
      </x:c>
      <x:c r="D688" s="74" t="str">
        <x:f>IF('전기원장'!A688="","",'전기원장'!C688)</x:f>
      </x:c>
      <x:c r="E688" s="73" t="str">
        <x:f>IF('전기원장'!A688="","",'전기원장'!D688)</x:f>
      </x:c>
      <x:c r="F688" s="73" t="str">
        <x:f>IF('전기원장'!A688="","",'전기원장'!E688)</x:f>
      </x:c>
      <x:c r="G688" s="75" t="str">
        <x:f>IF('전기원장'!A688="","",'전기원장'!H688)</x:f>
      </x:c>
      <x:c r="H688" s="73" t="str">
        <x:f>IF('전기원장'!A688="","",'전기원장'!I688)</x:f>
      </x:c>
      <x:c r="I688" s="73" t="str">
        <x:f>IF('전기원장'!A688="","",'전기원장'!J688)</x:f>
      </x:c>
      <x:c r="J688" s="73" t="str">
        <x:f>IF('전기원장'!A688="","",'전기원장'!K688)</x:f>
      </x:c>
      <x:c r="K688" s="73" t="str">
        <x:f>IF(B688="","",IF(COUNTIF($B$5:B688,B688)=1,COUNT($K$4:K687)+1,""))</x:f>
      </x:c>
      <x:c r="L688" s="85" t="str">
        <x:f>IF(B688="","",IF(COUNTIFS('계정비교'!$A$5:$A$1004,B688,'계정비교'!$H$5:$H$1004,"원인분석 대상")&gt;0,COUNT($L$4:L687)+1,""))</x:f>
      </x:c>
    </x:row>
    <x:row r="689">
      <x:c r="A689" s="73" t="str">
        <x:f>IF('전기원장'!A689="","","전기")</x:f>
      </x:c>
      <x:c r="B689" s="73" t="str">
        <x:f>IF('전기원장'!A689="","",'전기원장'!A689)</x:f>
      </x:c>
      <x:c r="C689" s="73" t="str">
        <x:f>IF('전기원장'!A689="","",'전기원장'!B689)</x:f>
      </x:c>
      <x:c r="D689" s="74" t="str">
        <x:f>IF('전기원장'!A689="","",'전기원장'!C689)</x:f>
      </x:c>
      <x:c r="E689" s="73" t="str">
        <x:f>IF('전기원장'!A689="","",'전기원장'!D689)</x:f>
      </x:c>
      <x:c r="F689" s="73" t="str">
        <x:f>IF('전기원장'!A689="","",'전기원장'!E689)</x:f>
      </x:c>
      <x:c r="G689" s="75" t="str">
        <x:f>IF('전기원장'!A689="","",'전기원장'!H689)</x:f>
      </x:c>
      <x:c r="H689" s="73" t="str">
        <x:f>IF('전기원장'!A689="","",'전기원장'!I689)</x:f>
      </x:c>
      <x:c r="I689" s="73" t="str">
        <x:f>IF('전기원장'!A689="","",'전기원장'!J689)</x:f>
      </x:c>
      <x:c r="J689" s="73" t="str">
        <x:f>IF('전기원장'!A689="","",'전기원장'!K689)</x:f>
      </x:c>
      <x:c r="K689" s="73" t="str">
        <x:f>IF(B689="","",IF(COUNTIF($B$5:B689,B689)=1,COUNT($K$4:K688)+1,""))</x:f>
      </x:c>
      <x:c r="L689" s="85" t="str">
        <x:f>IF(B689="","",IF(COUNTIFS('계정비교'!$A$5:$A$1004,B689,'계정비교'!$H$5:$H$1004,"원인분석 대상")&gt;0,COUNT($L$4:L688)+1,""))</x:f>
      </x:c>
    </x:row>
    <x:row r="690">
      <x:c r="A690" s="73" t="str">
        <x:f>IF('전기원장'!A690="","","전기")</x:f>
      </x:c>
      <x:c r="B690" s="73" t="str">
        <x:f>IF('전기원장'!A690="","",'전기원장'!A690)</x:f>
      </x:c>
      <x:c r="C690" s="73" t="str">
        <x:f>IF('전기원장'!A690="","",'전기원장'!B690)</x:f>
      </x:c>
      <x:c r="D690" s="74" t="str">
        <x:f>IF('전기원장'!A690="","",'전기원장'!C690)</x:f>
      </x:c>
      <x:c r="E690" s="73" t="str">
        <x:f>IF('전기원장'!A690="","",'전기원장'!D690)</x:f>
      </x:c>
      <x:c r="F690" s="73" t="str">
        <x:f>IF('전기원장'!A690="","",'전기원장'!E690)</x:f>
      </x:c>
      <x:c r="G690" s="75" t="str">
        <x:f>IF('전기원장'!A690="","",'전기원장'!H690)</x:f>
      </x:c>
      <x:c r="H690" s="73" t="str">
        <x:f>IF('전기원장'!A690="","",'전기원장'!I690)</x:f>
      </x:c>
      <x:c r="I690" s="73" t="str">
        <x:f>IF('전기원장'!A690="","",'전기원장'!J690)</x:f>
      </x:c>
      <x:c r="J690" s="73" t="str">
        <x:f>IF('전기원장'!A690="","",'전기원장'!K690)</x:f>
      </x:c>
      <x:c r="K690" s="73" t="str">
        <x:f>IF(B690="","",IF(COUNTIF($B$5:B690,B690)=1,COUNT($K$4:K689)+1,""))</x:f>
      </x:c>
      <x:c r="L690" s="85" t="str">
        <x:f>IF(B690="","",IF(COUNTIFS('계정비교'!$A$5:$A$1004,B690,'계정비교'!$H$5:$H$1004,"원인분석 대상")&gt;0,COUNT($L$4:L689)+1,""))</x:f>
      </x:c>
    </x:row>
    <x:row r="691">
      <x:c r="A691" s="73" t="str">
        <x:f>IF('전기원장'!A691="","","전기")</x:f>
      </x:c>
      <x:c r="B691" s="73" t="str">
        <x:f>IF('전기원장'!A691="","",'전기원장'!A691)</x:f>
      </x:c>
      <x:c r="C691" s="73" t="str">
        <x:f>IF('전기원장'!A691="","",'전기원장'!B691)</x:f>
      </x:c>
      <x:c r="D691" s="74" t="str">
        <x:f>IF('전기원장'!A691="","",'전기원장'!C691)</x:f>
      </x:c>
      <x:c r="E691" s="73" t="str">
        <x:f>IF('전기원장'!A691="","",'전기원장'!D691)</x:f>
      </x:c>
      <x:c r="F691" s="73" t="str">
        <x:f>IF('전기원장'!A691="","",'전기원장'!E691)</x:f>
      </x:c>
      <x:c r="G691" s="75" t="str">
        <x:f>IF('전기원장'!A691="","",'전기원장'!H691)</x:f>
      </x:c>
      <x:c r="H691" s="73" t="str">
        <x:f>IF('전기원장'!A691="","",'전기원장'!I691)</x:f>
      </x:c>
      <x:c r="I691" s="73" t="str">
        <x:f>IF('전기원장'!A691="","",'전기원장'!J691)</x:f>
      </x:c>
      <x:c r="J691" s="73" t="str">
        <x:f>IF('전기원장'!A691="","",'전기원장'!K691)</x:f>
      </x:c>
      <x:c r="K691" s="73" t="str">
        <x:f>IF(B691="","",IF(COUNTIF($B$5:B691,B691)=1,COUNT($K$4:K690)+1,""))</x:f>
      </x:c>
      <x:c r="L691" s="85" t="str">
        <x:f>IF(B691="","",IF(COUNTIFS('계정비교'!$A$5:$A$1004,B691,'계정비교'!$H$5:$H$1004,"원인분석 대상")&gt;0,COUNT($L$4:L690)+1,""))</x:f>
      </x:c>
    </x:row>
    <x:row r="692">
      <x:c r="A692" s="73" t="str">
        <x:f>IF('전기원장'!A692="","","전기")</x:f>
      </x:c>
      <x:c r="B692" s="73" t="str">
        <x:f>IF('전기원장'!A692="","",'전기원장'!A692)</x:f>
      </x:c>
      <x:c r="C692" s="73" t="str">
        <x:f>IF('전기원장'!A692="","",'전기원장'!B692)</x:f>
      </x:c>
      <x:c r="D692" s="74" t="str">
        <x:f>IF('전기원장'!A692="","",'전기원장'!C692)</x:f>
      </x:c>
      <x:c r="E692" s="73" t="str">
        <x:f>IF('전기원장'!A692="","",'전기원장'!D692)</x:f>
      </x:c>
      <x:c r="F692" s="73" t="str">
        <x:f>IF('전기원장'!A692="","",'전기원장'!E692)</x:f>
      </x:c>
      <x:c r="G692" s="75" t="str">
        <x:f>IF('전기원장'!A692="","",'전기원장'!H692)</x:f>
      </x:c>
      <x:c r="H692" s="73" t="str">
        <x:f>IF('전기원장'!A692="","",'전기원장'!I692)</x:f>
      </x:c>
      <x:c r="I692" s="73" t="str">
        <x:f>IF('전기원장'!A692="","",'전기원장'!J692)</x:f>
      </x:c>
      <x:c r="J692" s="73" t="str">
        <x:f>IF('전기원장'!A692="","",'전기원장'!K692)</x:f>
      </x:c>
      <x:c r="K692" s="73" t="str">
        <x:f>IF(B692="","",IF(COUNTIF($B$5:B692,B692)=1,COUNT($K$4:K691)+1,""))</x:f>
      </x:c>
      <x:c r="L692" s="85" t="str">
        <x:f>IF(B692="","",IF(COUNTIFS('계정비교'!$A$5:$A$1004,B692,'계정비교'!$H$5:$H$1004,"원인분석 대상")&gt;0,COUNT($L$4:L691)+1,""))</x:f>
      </x:c>
    </x:row>
    <x:row r="693">
      <x:c r="A693" s="73" t="str">
        <x:f>IF('전기원장'!A693="","","전기")</x:f>
      </x:c>
      <x:c r="B693" s="73" t="str">
        <x:f>IF('전기원장'!A693="","",'전기원장'!A693)</x:f>
      </x:c>
      <x:c r="C693" s="73" t="str">
        <x:f>IF('전기원장'!A693="","",'전기원장'!B693)</x:f>
      </x:c>
      <x:c r="D693" s="74" t="str">
        <x:f>IF('전기원장'!A693="","",'전기원장'!C693)</x:f>
      </x:c>
      <x:c r="E693" s="73" t="str">
        <x:f>IF('전기원장'!A693="","",'전기원장'!D693)</x:f>
      </x:c>
      <x:c r="F693" s="73" t="str">
        <x:f>IF('전기원장'!A693="","",'전기원장'!E693)</x:f>
      </x:c>
      <x:c r="G693" s="75" t="str">
        <x:f>IF('전기원장'!A693="","",'전기원장'!H693)</x:f>
      </x:c>
      <x:c r="H693" s="73" t="str">
        <x:f>IF('전기원장'!A693="","",'전기원장'!I693)</x:f>
      </x:c>
      <x:c r="I693" s="73" t="str">
        <x:f>IF('전기원장'!A693="","",'전기원장'!J693)</x:f>
      </x:c>
      <x:c r="J693" s="73" t="str">
        <x:f>IF('전기원장'!A693="","",'전기원장'!K693)</x:f>
      </x:c>
      <x:c r="K693" s="73" t="str">
        <x:f>IF(B693="","",IF(COUNTIF($B$5:B693,B693)=1,COUNT($K$4:K692)+1,""))</x:f>
      </x:c>
      <x:c r="L693" s="85" t="str">
        <x:f>IF(B693="","",IF(COUNTIFS('계정비교'!$A$5:$A$1004,B693,'계정비교'!$H$5:$H$1004,"원인분석 대상")&gt;0,COUNT($L$4:L692)+1,""))</x:f>
      </x:c>
    </x:row>
    <x:row r="694">
      <x:c r="A694" s="73" t="str">
        <x:f>IF('전기원장'!A694="","","전기")</x:f>
      </x:c>
      <x:c r="B694" s="73" t="str">
        <x:f>IF('전기원장'!A694="","",'전기원장'!A694)</x:f>
      </x:c>
      <x:c r="C694" s="73" t="str">
        <x:f>IF('전기원장'!A694="","",'전기원장'!B694)</x:f>
      </x:c>
      <x:c r="D694" s="74" t="str">
        <x:f>IF('전기원장'!A694="","",'전기원장'!C694)</x:f>
      </x:c>
      <x:c r="E694" s="73" t="str">
        <x:f>IF('전기원장'!A694="","",'전기원장'!D694)</x:f>
      </x:c>
      <x:c r="F694" s="73" t="str">
        <x:f>IF('전기원장'!A694="","",'전기원장'!E694)</x:f>
      </x:c>
      <x:c r="G694" s="75" t="str">
        <x:f>IF('전기원장'!A694="","",'전기원장'!H694)</x:f>
      </x:c>
      <x:c r="H694" s="73" t="str">
        <x:f>IF('전기원장'!A694="","",'전기원장'!I694)</x:f>
      </x:c>
      <x:c r="I694" s="73" t="str">
        <x:f>IF('전기원장'!A694="","",'전기원장'!J694)</x:f>
      </x:c>
      <x:c r="J694" s="73" t="str">
        <x:f>IF('전기원장'!A694="","",'전기원장'!K694)</x:f>
      </x:c>
      <x:c r="K694" s="73" t="str">
        <x:f>IF(B694="","",IF(COUNTIF($B$5:B694,B694)=1,COUNT($K$4:K693)+1,""))</x:f>
      </x:c>
      <x:c r="L694" s="85" t="str">
        <x:f>IF(B694="","",IF(COUNTIFS('계정비교'!$A$5:$A$1004,B694,'계정비교'!$H$5:$H$1004,"원인분석 대상")&gt;0,COUNT($L$4:L693)+1,""))</x:f>
      </x:c>
    </x:row>
    <x:row r="695">
      <x:c r="A695" s="73" t="str">
        <x:f>IF('전기원장'!A695="","","전기")</x:f>
      </x:c>
      <x:c r="B695" s="73" t="str">
        <x:f>IF('전기원장'!A695="","",'전기원장'!A695)</x:f>
      </x:c>
      <x:c r="C695" s="73" t="str">
        <x:f>IF('전기원장'!A695="","",'전기원장'!B695)</x:f>
      </x:c>
      <x:c r="D695" s="74" t="str">
        <x:f>IF('전기원장'!A695="","",'전기원장'!C695)</x:f>
      </x:c>
      <x:c r="E695" s="73" t="str">
        <x:f>IF('전기원장'!A695="","",'전기원장'!D695)</x:f>
      </x:c>
      <x:c r="F695" s="73" t="str">
        <x:f>IF('전기원장'!A695="","",'전기원장'!E695)</x:f>
      </x:c>
      <x:c r="G695" s="75" t="str">
        <x:f>IF('전기원장'!A695="","",'전기원장'!H695)</x:f>
      </x:c>
      <x:c r="H695" s="73" t="str">
        <x:f>IF('전기원장'!A695="","",'전기원장'!I695)</x:f>
      </x:c>
      <x:c r="I695" s="73" t="str">
        <x:f>IF('전기원장'!A695="","",'전기원장'!J695)</x:f>
      </x:c>
      <x:c r="J695" s="73" t="str">
        <x:f>IF('전기원장'!A695="","",'전기원장'!K695)</x:f>
      </x:c>
      <x:c r="K695" s="73" t="str">
        <x:f>IF(B695="","",IF(COUNTIF($B$5:B695,B695)=1,COUNT($K$4:K694)+1,""))</x:f>
      </x:c>
      <x:c r="L695" s="85" t="str">
        <x:f>IF(B695="","",IF(COUNTIFS('계정비교'!$A$5:$A$1004,B695,'계정비교'!$H$5:$H$1004,"원인분석 대상")&gt;0,COUNT($L$4:L694)+1,""))</x:f>
      </x:c>
    </x:row>
    <x:row r="696">
      <x:c r="A696" s="73" t="str">
        <x:f>IF('전기원장'!A696="","","전기")</x:f>
      </x:c>
      <x:c r="B696" s="73" t="str">
        <x:f>IF('전기원장'!A696="","",'전기원장'!A696)</x:f>
      </x:c>
      <x:c r="C696" s="73" t="str">
        <x:f>IF('전기원장'!A696="","",'전기원장'!B696)</x:f>
      </x:c>
      <x:c r="D696" s="74" t="str">
        <x:f>IF('전기원장'!A696="","",'전기원장'!C696)</x:f>
      </x:c>
      <x:c r="E696" s="73" t="str">
        <x:f>IF('전기원장'!A696="","",'전기원장'!D696)</x:f>
      </x:c>
      <x:c r="F696" s="73" t="str">
        <x:f>IF('전기원장'!A696="","",'전기원장'!E696)</x:f>
      </x:c>
      <x:c r="G696" s="75" t="str">
        <x:f>IF('전기원장'!A696="","",'전기원장'!H696)</x:f>
      </x:c>
      <x:c r="H696" s="73" t="str">
        <x:f>IF('전기원장'!A696="","",'전기원장'!I696)</x:f>
      </x:c>
      <x:c r="I696" s="73" t="str">
        <x:f>IF('전기원장'!A696="","",'전기원장'!J696)</x:f>
      </x:c>
      <x:c r="J696" s="73" t="str">
        <x:f>IF('전기원장'!A696="","",'전기원장'!K696)</x:f>
      </x:c>
      <x:c r="K696" s="73" t="str">
        <x:f>IF(B696="","",IF(COUNTIF($B$5:B696,B696)=1,COUNT($K$4:K695)+1,""))</x:f>
      </x:c>
      <x:c r="L696" s="85" t="str">
        <x:f>IF(B696="","",IF(COUNTIFS('계정비교'!$A$5:$A$1004,B696,'계정비교'!$H$5:$H$1004,"원인분석 대상")&gt;0,COUNT($L$4:L695)+1,""))</x:f>
      </x:c>
    </x:row>
    <x:row r="697">
      <x:c r="A697" s="73" t="str">
        <x:f>IF('전기원장'!A697="","","전기")</x:f>
      </x:c>
      <x:c r="B697" s="73" t="str">
        <x:f>IF('전기원장'!A697="","",'전기원장'!A697)</x:f>
      </x:c>
      <x:c r="C697" s="73" t="str">
        <x:f>IF('전기원장'!A697="","",'전기원장'!B697)</x:f>
      </x:c>
      <x:c r="D697" s="74" t="str">
        <x:f>IF('전기원장'!A697="","",'전기원장'!C697)</x:f>
      </x:c>
      <x:c r="E697" s="73" t="str">
        <x:f>IF('전기원장'!A697="","",'전기원장'!D697)</x:f>
      </x:c>
      <x:c r="F697" s="73" t="str">
        <x:f>IF('전기원장'!A697="","",'전기원장'!E697)</x:f>
      </x:c>
      <x:c r="G697" s="75" t="str">
        <x:f>IF('전기원장'!A697="","",'전기원장'!H697)</x:f>
      </x:c>
      <x:c r="H697" s="73" t="str">
        <x:f>IF('전기원장'!A697="","",'전기원장'!I697)</x:f>
      </x:c>
      <x:c r="I697" s="73" t="str">
        <x:f>IF('전기원장'!A697="","",'전기원장'!J697)</x:f>
      </x:c>
      <x:c r="J697" s="73" t="str">
        <x:f>IF('전기원장'!A697="","",'전기원장'!K697)</x:f>
      </x:c>
      <x:c r="K697" s="73" t="str">
        <x:f>IF(B697="","",IF(COUNTIF($B$5:B697,B697)=1,COUNT($K$4:K696)+1,""))</x:f>
      </x:c>
      <x:c r="L697" s="85" t="str">
        <x:f>IF(B697="","",IF(COUNTIFS('계정비교'!$A$5:$A$1004,B697,'계정비교'!$H$5:$H$1004,"원인분석 대상")&gt;0,COUNT($L$4:L696)+1,""))</x:f>
      </x:c>
    </x:row>
    <x:row r="698">
      <x:c r="A698" s="73" t="str">
        <x:f>IF('전기원장'!A698="","","전기")</x:f>
      </x:c>
      <x:c r="B698" s="73" t="str">
        <x:f>IF('전기원장'!A698="","",'전기원장'!A698)</x:f>
      </x:c>
      <x:c r="C698" s="73" t="str">
        <x:f>IF('전기원장'!A698="","",'전기원장'!B698)</x:f>
      </x:c>
      <x:c r="D698" s="74" t="str">
        <x:f>IF('전기원장'!A698="","",'전기원장'!C698)</x:f>
      </x:c>
      <x:c r="E698" s="73" t="str">
        <x:f>IF('전기원장'!A698="","",'전기원장'!D698)</x:f>
      </x:c>
      <x:c r="F698" s="73" t="str">
        <x:f>IF('전기원장'!A698="","",'전기원장'!E698)</x:f>
      </x:c>
      <x:c r="G698" s="75" t="str">
        <x:f>IF('전기원장'!A698="","",'전기원장'!H698)</x:f>
      </x:c>
      <x:c r="H698" s="73" t="str">
        <x:f>IF('전기원장'!A698="","",'전기원장'!I698)</x:f>
      </x:c>
      <x:c r="I698" s="73" t="str">
        <x:f>IF('전기원장'!A698="","",'전기원장'!J698)</x:f>
      </x:c>
      <x:c r="J698" s="73" t="str">
        <x:f>IF('전기원장'!A698="","",'전기원장'!K698)</x:f>
      </x:c>
      <x:c r="K698" s="73" t="str">
        <x:f>IF(B698="","",IF(COUNTIF($B$5:B698,B698)=1,COUNT($K$4:K697)+1,""))</x:f>
      </x:c>
      <x:c r="L698" s="85" t="str">
        <x:f>IF(B698="","",IF(COUNTIFS('계정비교'!$A$5:$A$1004,B698,'계정비교'!$H$5:$H$1004,"원인분석 대상")&gt;0,COUNT($L$4:L697)+1,""))</x:f>
      </x:c>
    </x:row>
    <x:row r="699">
      <x:c r="A699" s="73" t="str">
        <x:f>IF('전기원장'!A699="","","전기")</x:f>
      </x:c>
      <x:c r="B699" s="73" t="str">
        <x:f>IF('전기원장'!A699="","",'전기원장'!A699)</x:f>
      </x:c>
      <x:c r="C699" s="73" t="str">
        <x:f>IF('전기원장'!A699="","",'전기원장'!B699)</x:f>
      </x:c>
      <x:c r="D699" s="74" t="str">
        <x:f>IF('전기원장'!A699="","",'전기원장'!C699)</x:f>
      </x:c>
      <x:c r="E699" s="73" t="str">
        <x:f>IF('전기원장'!A699="","",'전기원장'!D699)</x:f>
      </x:c>
      <x:c r="F699" s="73" t="str">
        <x:f>IF('전기원장'!A699="","",'전기원장'!E699)</x:f>
      </x:c>
      <x:c r="G699" s="75" t="str">
        <x:f>IF('전기원장'!A699="","",'전기원장'!H699)</x:f>
      </x:c>
      <x:c r="H699" s="73" t="str">
        <x:f>IF('전기원장'!A699="","",'전기원장'!I699)</x:f>
      </x:c>
      <x:c r="I699" s="73" t="str">
        <x:f>IF('전기원장'!A699="","",'전기원장'!J699)</x:f>
      </x:c>
      <x:c r="J699" s="73" t="str">
        <x:f>IF('전기원장'!A699="","",'전기원장'!K699)</x:f>
      </x:c>
      <x:c r="K699" s="73" t="str">
        <x:f>IF(B699="","",IF(COUNTIF($B$5:B699,B699)=1,COUNT($K$4:K698)+1,""))</x:f>
      </x:c>
      <x:c r="L699" s="85" t="str">
        <x:f>IF(B699="","",IF(COUNTIFS('계정비교'!$A$5:$A$1004,B699,'계정비교'!$H$5:$H$1004,"원인분석 대상")&gt;0,COUNT($L$4:L698)+1,""))</x:f>
      </x:c>
    </x:row>
    <x:row r="700">
      <x:c r="A700" s="73" t="str">
        <x:f>IF('전기원장'!A700="","","전기")</x:f>
      </x:c>
      <x:c r="B700" s="73" t="str">
        <x:f>IF('전기원장'!A700="","",'전기원장'!A700)</x:f>
      </x:c>
      <x:c r="C700" s="73" t="str">
        <x:f>IF('전기원장'!A700="","",'전기원장'!B700)</x:f>
      </x:c>
      <x:c r="D700" s="74" t="str">
        <x:f>IF('전기원장'!A700="","",'전기원장'!C700)</x:f>
      </x:c>
      <x:c r="E700" s="73" t="str">
        <x:f>IF('전기원장'!A700="","",'전기원장'!D700)</x:f>
      </x:c>
      <x:c r="F700" s="73" t="str">
        <x:f>IF('전기원장'!A700="","",'전기원장'!E700)</x:f>
      </x:c>
      <x:c r="G700" s="75" t="str">
        <x:f>IF('전기원장'!A700="","",'전기원장'!H700)</x:f>
      </x:c>
      <x:c r="H700" s="73" t="str">
        <x:f>IF('전기원장'!A700="","",'전기원장'!I700)</x:f>
      </x:c>
      <x:c r="I700" s="73" t="str">
        <x:f>IF('전기원장'!A700="","",'전기원장'!J700)</x:f>
      </x:c>
      <x:c r="J700" s="73" t="str">
        <x:f>IF('전기원장'!A700="","",'전기원장'!K700)</x:f>
      </x:c>
      <x:c r="K700" s="73" t="str">
        <x:f>IF(B700="","",IF(COUNTIF($B$5:B700,B700)=1,COUNT($K$4:K699)+1,""))</x:f>
      </x:c>
      <x:c r="L700" s="85" t="str">
        <x:f>IF(B700="","",IF(COUNTIFS('계정비교'!$A$5:$A$1004,B700,'계정비교'!$H$5:$H$1004,"원인분석 대상")&gt;0,COUNT($L$4:L699)+1,""))</x:f>
      </x:c>
    </x:row>
    <x:row r="701">
      <x:c r="A701" s="73" t="str">
        <x:f>IF('전기원장'!A701="","","전기")</x:f>
      </x:c>
      <x:c r="B701" s="73" t="str">
        <x:f>IF('전기원장'!A701="","",'전기원장'!A701)</x:f>
      </x:c>
      <x:c r="C701" s="73" t="str">
        <x:f>IF('전기원장'!A701="","",'전기원장'!B701)</x:f>
      </x:c>
      <x:c r="D701" s="74" t="str">
        <x:f>IF('전기원장'!A701="","",'전기원장'!C701)</x:f>
      </x:c>
      <x:c r="E701" s="73" t="str">
        <x:f>IF('전기원장'!A701="","",'전기원장'!D701)</x:f>
      </x:c>
      <x:c r="F701" s="73" t="str">
        <x:f>IF('전기원장'!A701="","",'전기원장'!E701)</x:f>
      </x:c>
      <x:c r="G701" s="75" t="str">
        <x:f>IF('전기원장'!A701="","",'전기원장'!H701)</x:f>
      </x:c>
      <x:c r="H701" s="73" t="str">
        <x:f>IF('전기원장'!A701="","",'전기원장'!I701)</x:f>
      </x:c>
      <x:c r="I701" s="73" t="str">
        <x:f>IF('전기원장'!A701="","",'전기원장'!J701)</x:f>
      </x:c>
      <x:c r="J701" s="73" t="str">
        <x:f>IF('전기원장'!A701="","",'전기원장'!K701)</x:f>
      </x:c>
      <x:c r="K701" s="73" t="str">
        <x:f>IF(B701="","",IF(COUNTIF($B$5:B701,B701)=1,COUNT($K$4:K700)+1,""))</x:f>
      </x:c>
      <x:c r="L701" s="85" t="str">
        <x:f>IF(B701="","",IF(COUNTIFS('계정비교'!$A$5:$A$1004,B701,'계정비교'!$H$5:$H$1004,"원인분석 대상")&gt;0,COUNT($L$4:L700)+1,""))</x:f>
      </x:c>
    </x:row>
    <x:row r="702">
      <x:c r="A702" s="73" t="str">
        <x:f>IF('전기원장'!A702="","","전기")</x:f>
      </x:c>
      <x:c r="B702" s="73" t="str">
        <x:f>IF('전기원장'!A702="","",'전기원장'!A702)</x:f>
      </x:c>
      <x:c r="C702" s="73" t="str">
        <x:f>IF('전기원장'!A702="","",'전기원장'!B702)</x:f>
      </x:c>
      <x:c r="D702" s="74" t="str">
        <x:f>IF('전기원장'!A702="","",'전기원장'!C702)</x:f>
      </x:c>
      <x:c r="E702" s="73" t="str">
        <x:f>IF('전기원장'!A702="","",'전기원장'!D702)</x:f>
      </x:c>
      <x:c r="F702" s="73" t="str">
        <x:f>IF('전기원장'!A702="","",'전기원장'!E702)</x:f>
      </x:c>
      <x:c r="G702" s="75" t="str">
        <x:f>IF('전기원장'!A702="","",'전기원장'!H702)</x:f>
      </x:c>
      <x:c r="H702" s="73" t="str">
        <x:f>IF('전기원장'!A702="","",'전기원장'!I702)</x:f>
      </x:c>
      <x:c r="I702" s="73" t="str">
        <x:f>IF('전기원장'!A702="","",'전기원장'!J702)</x:f>
      </x:c>
      <x:c r="J702" s="73" t="str">
        <x:f>IF('전기원장'!A702="","",'전기원장'!K702)</x:f>
      </x:c>
      <x:c r="K702" s="73" t="str">
        <x:f>IF(B702="","",IF(COUNTIF($B$5:B702,B702)=1,COUNT($K$4:K701)+1,""))</x:f>
      </x:c>
      <x:c r="L702" s="85" t="str">
        <x:f>IF(B702="","",IF(COUNTIFS('계정비교'!$A$5:$A$1004,B702,'계정비교'!$H$5:$H$1004,"원인분석 대상")&gt;0,COUNT($L$4:L701)+1,""))</x:f>
      </x:c>
    </x:row>
    <x:row r="703">
      <x:c r="A703" s="73" t="str">
        <x:f>IF('전기원장'!A703="","","전기")</x:f>
      </x:c>
      <x:c r="B703" s="73" t="str">
        <x:f>IF('전기원장'!A703="","",'전기원장'!A703)</x:f>
      </x:c>
      <x:c r="C703" s="73" t="str">
        <x:f>IF('전기원장'!A703="","",'전기원장'!B703)</x:f>
      </x:c>
      <x:c r="D703" s="74" t="str">
        <x:f>IF('전기원장'!A703="","",'전기원장'!C703)</x:f>
      </x:c>
      <x:c r="E703" s="73" t="str">
        <x:f>IF('전기원장'!A703="","",'전기원장'!D703)</x:f>
      </x:c>
      <x:c r="F703" s="73" t="str">
        <x:f>IF('전기원장'!A703="","",'전기원장'!E703)</x:f>
      </x:c>
      <x:c r="G703" s="75" t="str">
        <x:f>IF('전기원장'!A703="","",'전기원장'!H703)</x:f>
      </x:c>
      <x:c r="H703" s="73" t="str">
        <x:f>IF('전기원장'!A703="","",'전기원장'!I703)</x:f>
      </x:c>
      <x:c r="I703" s="73" t="str">
        <x:f>IF('전기원장'!A703="","",'전기원장'!J703)</x:f>
      </x:c>
      <x:c r="J703" s="73" t="str">
        <x:f>IF('전기원장'!A703="","",'전기원장'!K703)</x:f>
      </x:c>
      <x:c r="K703" s="73" t="str">
        <x:f>IF(B703="","",IF(COUNTIF($B$5:B703,B703)=1,COUNT($K$4:K702)+1,""))</x:f>
      </x:c>
      <x:c r="L703" s="85" t="str">
        <x:f>IF(B703="","",IF(COUNTIFS('계정비교'!$A$5:$A$1004,B703,'계정비교'!$H$5:$H$1004,"원인분석 대상")&gt;0,COUNT($L$4:L702)+1,""))</x:f>
      </x:c>
    </x:row>
    <x:row r="704">
      <x:c r="A704" s="73" t="str">
        <x:f>IF('전기원장'!A704="","","전기")</x:f>
      </x:c>
      <x:c r="B704" s="73" t="str">
        <x:f>IF('전기원장'!A704="","",'전기원장'!A704)</x:f>
      </x:c>
      <x:c r="C704" s="73" t="str">
        <x:f>IF('전기원장'!A704="","",'전기원장'!B704)</x:f>
      </x:c>
      <x:c r="D704" s="74" t="str">
        <x:f>IF('전기원장'!A704="","",'전기원장'!C704)</x:f>
      </x:c>
      <x:c r="E704" s="73" t="str">
        <x:f>IF('전기원장'!A704="","",'전기원장'!D704)</x:f>
      </x:c>
      <x:c r="F704" s="73" t="str">
        <x:f>IF('전기원장'!A704="","",'전기원장'!E704)</x:f>
      </x:c>
      <x:c r="G704" s="75" t="str">
        <x:f>IF('전기원장'!A704="","",'전기원장'!H704)</x:f>
      </x:c>
      <x:c r="H704" s="73" t="str">
        <x:f>IF('전기원장'!A704="","",'전기원장'!I704)</x:f>
      </x:c>
      <x:c r="I704" s="73" t="str">
        <x:f>IF('전기원장'!A704="","",'전기원장'!J704)</x:f>
      </x:c>
      <x:c r="J704" s="73" t="str">
        <x:f>IF('전기원장'!A704="","",'전기원장'!K704)</x:f>
      </x:c>
      <x:c r="K704" s="73" t="str">
        <x:f>IF(B704="","",IF(COUNTIF($B$5:B704,B704)=1,COUNT($K$4:K703)+1,""))</x:f>
      </x:c>
      <x:c r="L704" s="85" t="str">
        <x:f>IF(B704="","",IF(COUNTIFS('계정비교'!$A$5:$A$1004,B704,'계정비교'!$H$5:$H$1004,"원인분석 대상")&gt;0,COUNT($L$4:L703)+1,""))</x:f>
      </x:c>
    </x:row>
    <x:row r="705">
      <x:c r="A705" s="73" t="str">
        <x:f>IF('전기원장'!A705="","","전기")</x:f>
      </x:c>
      <x:c r="B705" s="73" t="str">
        <x:f>IF('전기원장'!A705="","",'전기원장'!A705)</x:f>
      </x:c>
      <x:c r="C705" s="73" t="str">
        <x:f>IF('전기원장'!A705="","",'전기원장'!B705)</x:f>
      </x:c>
      <x:c r="D705" s="74" t="str">
        <x:f>IF('전기원장'!A705="","",'전기원장'!C705)</x:f>
      </x:c>
      <x:c r="E705" s="73" t="str">
        <x:f>IF('전기원장'!A705="","",'전기원장'!D705)</x:f>
      </x:c>
      <x:c r="F705" s="73" t="str">
        <x:f>IF('전기원장'!A705="","",'전기원장'!E705)</x:f>
      </x:c>
      <x:c r="G705" s="75" t="str">
        <x:f>IF('전기원장'!A705="","",'전기원장'!H705)</x:f>
      </x:c>
      <x:c r="H705" s="73" t="str">
        <x:f>IF('전기원장'!A705="","",'전기원장'!I705)</x:f>
      </x:c>
      <x:c r="I705" s="73" t="str">
        <x:f>IF('전기원장'!A705="","",'전기원장'!J705)</x:f>
      </x:c>
      <x:c r="J705" s="73" t="str">
        <x:f>IF('전기원장'!A705="","",'전기원장'!K705)</x:f>
      </x:c>
      <x:c r="K705" s="73" t="str">
        <x:f>IF(B705="","",IF(COUNTIF($B$5:B705,B705)=1,COUNT($K$4:K704)+1,""))</x:f>
      </x:c>
      <x:c r="L705" s="85" t="str">
        <x:f>IF(B705="","",IF(COUNTIFS('계정비교'!$A$5:$A$1004,B705,'계정비교'!$H$5:$H$1004,"원인분석 대상")&gt;0,COUNT($L$4:L704)+1,""))</x:f>
      </x:c>
    </x:row>
    <x:row r="706">
      <x:c r="A706" s="73" t="str">
        <x:f>IF('전기원장'!A706="","","전기")</x:f>
      </x:c>
      <x:c r="B706" s="73" t="str">
        <x:f>IF('전기원장'!A706="","",'전기원장'!A706)</x:f>
      </x:c>
      <x:c r="C706" s="73" t="str">
        <x:f>IF('전기원장'!A706="","",'전기원장'!B706)</x:f>
      </x:c>
      <x:c r="D706" s="74" t="str">
        <x:f>IF('전기원장'!A706="","",'전기원장'!C706)</x:f>
      </x:c>
      <x:c r="E706" s="73" t="str">
        <x:f>IF('전기원장'!A706="","",'전기원장'!D706)</x:f>
      </x:c>
      <x:c r="F706" s="73" t="str">
        <x:f>IF('전기원장'!A706="","",'전기원장'!E706)</x:f>
      </x:c>
      <x:c r="G706" s="75" t="str">
        <x:f>IF('전기원장'!A706="","",'전기원장'!H706)</x:f>
      </x:c>
      <x:c r="H706" s="73" t="str">
        <x:f>IF('전기원장'!A706="","",'전기원장'!I706)</x:f>
      </x:c>
      <x:c r="I706" s="73" t="str">
        <x:f>IF('전기원장'!A706="","",'전기원장'!J706)</x:f>
      </x:c>
      <x:c r="J706" s="73" t="str">
        <x:f>IF('전기원장'!A706="","",'전기원장'!K706)</x:f>
      </x:c>
      <x:c r="K706" s="73" t="str">
        <x:f>IF(B706="","",IF(COUNTIF($B$5:B706,B706)=1,COUNT($K$4:K705)+1,""))</x:f>
      </x:c>
      <x:c r="L706" s="85" t="str">
        <x:f>IF(B706="","",IF(COUNTIFS('계정비교'!$A$5:$A$1004,B706,'계정비교'!$H$5:$H$1004,"원인분석 대상")&gt;0,COUNT($L$4:L705)+1,""))</x:f>
      </x:c>
    </x:row>
    <x:row r="707">
      <x:c r="A707" s="73" t="str">
        <x:f>IF('전기원장'!A707="","","전기")</x:f>
      </x:c>
      <x:c r="B707" s="73" t="str">
        <x:f>IF('전기원장'!A707="","",'전기원장'!A707)</x:f>
      </x:c>
      <x:c r="C707" s="73" t="str">
        <x:f>IF('전기원장'!A707="","",'전기원장'!B707)</x:f>
      </x:c>
      <x:c r="D707" s="74" t="str">
        <x:f>IF('전기원장'!A707="","",'전기원장'!C707)</x:f>
      </x:c>
      <x:c r="E707" s="73" t="str">
        <x:f>IF('전기원장'!A707="","",'전기원장'!D707)</x:f>
      </x:c>
      <x:c r="F707" s="73" t="str">
        <x:f>IF('전기원장'!A707="","",'전기원장'!E707)</x:f>
      </x:c>
      <x:c r="G707" s="75" t="str">
        <x:f>IF('전기원장'!A707="","",'전기원장'!H707)</x:f>
      </x:c>
      <x:c r="H707" s="73" t="str">
        <x:f>IF('전기원장'!A707="","",'전기원장'!I707)</x:f>
      </x:c>
      <x:c r="I707" s="73" t="str">
        <x:f>IF('전기원장'!A707="","",'전기원장'!J707)</x:f>
      </x:c>
      <x:c r="J707" s="73" t="str">
        <x:f>IF('전기원장'!A707="","",'전기원장'!K707)</x:f>
      </x:c>
      <x:c r="K707" s="73" t="str">
        <x:f>IF(B707="","",IF(COUNTIF($B$5:B707,B707)=1,COUNT($K$4:K706)+1,""))</x:f>
      </x:c>
      <x:c r="L707" s="85" t="str">
        <x:f>IF(B707="","",IF(COUNTIFS('계정비교'!$A$5:$A$1004,B707,'계정비교'!$H$5:$H$1004,"원인분석 대상")&gt;0,COUNT($L$4:L706)+1,""))</x:f>
      </x:c>
    </x:row>
    <x:row r="708">
      <x:c r="A708" s="73" t="str">
        <x:f>IF('전기원장'!A708="","","전기")</x:f>
      </x:c>
      <x:c r="B708" s="73" t="str">
        <x:f>IF('전기원장'!A708="","",'전기원장'!A708)</x:f>
      </x:c>
      <x:c r="C708" s="73" t="str">
        <x:f>IF('전기원장'!A708="","",'전기원장'!B708)</x:f>
      </x:c>
      <x:c r="D708" s="74" t="str">
        <x:f>IF('전기원장'!A708="","",'전기원장'!C708)</x:f>
      </x:c>
      <x:c r="E708" s="73" t="str">
        <x:f>IF('전기원장'!A708="","",'전기원장'!D708)</x:f>
      </x:c>
      <x:c r="F708" s="73" t="str">
        <x:f>IF('전기원장'!A708="","",'전기원장'!E708)</x:f>
      </x:c>
      <x:c r="G708" s="75" t="str">
        <x:f>IF('전기원장'!A708="","",'전기원장'!H708)</x:f>
      </x:c>
      <x:c r="H708" s="73" t="str">
        <x:f>IF('전기원장'!A708="","",'전기원장'!I708)</x:f>
      </x:c>
      <x:c r="I708" s="73" t="str">
        <x:f>IF('전기원장'!A708="","",'전기원장'!J708)</x:f>
      </x:c>
      <x:c r="J708" s="73" t="str">
        <x:f>IF('전기원장'!A708="","",'전기원장'!K708)</x:f>
      </x:c>
      <x:c r="K708" s="73" t="str">
        <x:f>IF(B708="","",IF(COUNTIF($B$5:B708,B708)=1,COUNT($K$4:K707)+1,""))</x:f>
      </x:c>
      <x:c r="L708" s="85" t="str">
        <x:f>IF(B708="","",IF(COUNTIFS('계정비교'!$A$5:$A$1004,B708,'계정비교'!$H$5:$H$1004,"원인분석 대상")&gt;0,COUNT($L$4:L707)+1,""))</x:f>
      </x:c>
    </x:row>
    <x:row r="709">
      <x:c r="A709" s="73" t="str">
        <x:f>IF('전기원장'!A709="","","전기")</x:f>
      </x:c>
      <x:c r="B709" s="73" t="str">
        <x:f>IF('전기원장'!A709="","",'전기원장'!A709)</x:f>
      </x:c>
      <x:c r="C709" s="73" t="str">
        <x:f>IF('전기원장'!A709="","",'전기원장'!B709)</x:f>
      </x:c>
      <x:c r="D709" s="74" t="str">
        <x:f>IF('전기원장'!A709="","",'전기원장'!C709)</x:f>
      </x:c>
      <x:c r="E709" s="73" t="str">
        <x:f>IF('전기원장'!A709="","",'전기원장'!D709)</x:f>
      </x:c>
      <x:c r="F709" s="73" t="str">
        <x:f>IF('전기원장'!A709="","",'전기원장'!E709)</x:f>
      </x:c>
      <x:c r="G709" s="75" t="str">
        <x:f>IF('전기원장'!A709="","",'전기원장'!H709)</x:f>
      </x:c>
      <x:c r="H709" s="73" t="str">
        <x:f>IF('전기원장'!A709="","",'전기원장'!I709)</x:f>
      </x:c>
      <x:c r="I709" s="73" t="str">
        <x:f>IF('전기원장'!A709="","",'전기원장'!J709)</x:f>
      </x:c>
      <x:c r="J709" s="73" t="str">
        <x:f>IF('전기원장'!A709="","",'전기원장'!K709)</x:f>
      </x:c>
      <x:c r="K709" s="73" t="str">
        <x:f>IF(B709="","",IF(COUNTIF($B$5:B709,B709)=1,COUNT($K$4:K708)+1,""))</x:f>
      </x:c>
      <x:c r="L709" s="85" t="str">
        <x:f>IF(B709="","",IF(COUNTIFS('계정비교'!$A$5:$A$1004,B709,'계정비교'!$H$5:$H$1004,"원인분석 대상")&gt;0,COUNT($L$4:L708)+1,""))</x:f>
      </x:c>
    </x:row>
    <x:row r="710">
      <x:c r="A710" s="73" t="str">
        <x:f>IF('전기원장'!A710="","","전기")</x:f>
      </x:c>
      <x:c r="B710" s="73" t="str">
        <x:f>IF('전기원장'!A710="","",'전기원장'!A710)</x:f>
      </x:c>
      <x:c r="C710" s="73" t="str">
        <x:f>IF('전기원장'!A710="","",'전기원장'!B710)</x:f>
      </x:c>
      <x:c r="D710" s="74" t="str">
        <x:f>IF('전기원장'!A710="","",'전기원장'!C710)</x:f>
      </x:c>
      <x:c r="E710" s="73" t="str">
        <x:f>IF('전기원장'!A710="","",'전기원장'!D710)</x:f>
      </x:c>
      <x:c r="F710" s="73" t="str">
        <x:f>IF('전기원장'!A710="","",'전기원장'!E710)</x:f>
      </x:c>
      <x:c r="G710" s="75" t="str">
        <x:f>IF('전기원장'!A710="","",'전기원장'!H710)</x:f>
      </x:c>
      <x:c r="H710" s="73" t="str">
        <x:f>IF('전기원장'!A710="","",'전기원장'!I710)</x:f>
      </x:c>
      <x:c r="I710" s="73" t="str">
        <x:f>IF('전기원장'!A710="","",'전기원장'!J710)</x:f>
      </x:c>
      <x:c r="J710" s="73" t="str">
        <x:f>IF('전기원장'!A710="","",'전기원장'!K710)</x:f>
      </x:c>
      <x:c r="K710" s="73" t="str">
        <x:f>IF(B710="","",IF(COUNTIF($B$5:B710,B710)=1,COUNT($K$4:K709)+1,""))</x:f>
      </x:c>
      <x:c r="L710" s="85" t="str">
        <x:f>IF(B710="","",IF(COUNTIFS('계정비교'!$A$5:$A$1004,B710,'계정비교'!$H$5:$H$1004,"원인분석 대상")&gt;0,COUNT($L$4:L709)+1,""))</x:f>
      </x:c>
    </x:row>
    <x:row r="711">
      <x:c r="A711" s="73" t="str">
        <x:f>IF('전기원장'!A711="","","전기")</x:f>
      </x:c>
      <x:c r="B711" s="73" t="str">
        <x:f>IF('전기원장'!A711="","",'전기원장'!A711)</x:f>
      </x:c>
      <x:c r="C711" s="73" t="str">
        <x:f>IF('전기원장'!A711="","",'전기원장'!B711)</x:f>
      </x:c>
      <x:c r="D711" s="74" t="str">
        <x:f>IF('전기원장'!A711="","",'전기원장'!C711)</x:f>
      </x:c>
      <x:c r="E711" s="73" t="str">
        <x:f>IF('전기원장'!A711="","",'전기원장'!D711)</x:f>
      </x:c>
      <x:c r="F711" s="73" t="str">
        <x:f>IF('전기원장'!A711="","",'전기원장'!E711)</x:f>
      </x:c>
      <x:c r="G711" s="75" t="str">
        <x:f>IF('전기원장'!A711="","",'전기원장'!H711)</x:f>
      </x:c>
      <x:c r="H711" s="73" t="str">
        <x:f>IF('전기원장'!A711="","",'전기원장'!I711)</x:f>
      </x:c>
      <x:c r="I711" s="73" t="str">
        <x:f>IF('전기원장'!A711="","",'전기원장'!J711)</x:f>
      </x:c>
      <x:c r="J711" s="73" t="str">
        <x:f>IF('전기원장'!A711="","",'전기원장'!K711)</x:f>
      </x:c>
      <x:c r="K711" s="73" t="str">
        <x:f>IF(B711="","",IF(COUNTIF($B$5:B711,B711)=1,COUNT($K$4:K710)+1,""))</x:f>
      </x:c>
      <x:c r="L711" s="85" t="str">
        <x:f>IF(B711="","",IF(COUNTIFS('계정비교'!$A$5:$A$1004,B711,'계정비교'!$H$5:$H$1004,"원인분석 대상")&gt;0,COUNT($L$4:L710)+1,""))</x:f>
      </x:c>
    </x:row>
    <x:row r="712">
      <x:c r="A712" s="73" t="str">
        <x:f>IF('전기원장'!A712="","","전기")</x:f>
      </x:c>
      <x:c r="B712" s="73" t="str">
        <x:f>IF('전기원장'!A712="","",'전기원장'!A712)</x:f>
      </x:c>
      <x:c r="C712" s="73" t="str">
        <x:f>IF('전기원장'!A712="","",'전기원장'!B712)</x:f>
      </x:c>
      <x:c r="D712" s="74" t="str">
        <x:f>IF('전기원장'!A712="","",'전기원장'!C712)</x:f>
      </x:c>
      <x:c r="E712" s="73" t="str">
        <x:f>IF('전기원장'!A712="","",'전기원장'!D712)</x:f>
      </x:c>
      <x:c r="F712" s="73" t="str">
        <x:f>IF('전기원장'!A712="","",'전기원장'!E712)</x:f>
      </x:c>
      <x:c r="G712" s="75" t="str">
        <x:f>IF('전기원장'!A712="","",'전기원장'!H712)</x:f>
      </x:c>
      <x:c r="H712" s="73" t="str">
        <x:f>IF('전기원장'!A712="","",'전기원장'!I712)</x:f>
      </x:c>
      <x:c r="I712" s="73" t="str">
        <x:f>IF('전기원장'!A712="","",'전기원장'!J712)</x:f>
      </x:c>
      <x:c r="J712" s="73" t="str">
        <x:f>IF('전기원장'!A712="","",'전기원장'!K712)</x:f>
      </x:c>
      <x:c r="K712" s="73" t="str">
        <x:f>IF(B712="","",IF(COUNTIF($B$5:B712,B712)=1,COUNT($K$4:K711)+1,""))</x:f>
      </x:c>
      <x:c r="L712" s="85" t="str">
        <x:f>IF(B712="","",IF(COUNTIFS('계정비교'!$A$5:$A$1004,B712,'계정비교'!$H$5:$H$1004,"원인분석 대상")&gt;0,COUNT($L$4:L711)+1,""))</x:f>
      </x:c>
    </x:row>
    <x:row r="713">
      <x:c r="A713" s="73" t="str">
        <x:f>IF('전기원장'!A713="","","전기")</x:f>
      </x:c>
      <x:c r="B713" s="73" t="str">
        <x:f>IF('전기원장'!A713="","",'전기원장'!A713)</x:f>
      </x:c>
      <x:c r="C713" s="73" t="str">
        <x:f>IF('전기원장'!A713="","",'전기원장'!B713)</x:f>
      </x:c>
      <x:c r="D713" s="74" t="str">
        <x:f>IF('전기원장'!A713="","",'전기원장'!C713)</x:f>
      </x:c>
      <x:c r="E713" s="73" t="str">
        <x:f>IF('전기원장'!A713="","",'전기원장'!D713)</x:f>
      </x:c>
      <x:c r="F713" s="73" t="str">
        <x:f>IF('전기원장'!A713="","",'전기원장'!E713)</x:f>
      </x:c>
      <x:c r="G713" s="75" t="str">
        <x:f>IF('전기원장'!A713="","",'전기원장'!H713)</x:f>
      </x:c>
      <x:c r="H713" s="73" t="str">
        <x:f>IF('전기원장'!A713="","",'전기원장'!I713)</x:f>
      </x:c>
      <x:c r="I713" s="73" t="str">
        <x:f>IF('전기원장'!A713="","",'전기원장'!J713)</x:f>
      </x:c>
      <x:c r="J713" s="73" t="str">
        <x:f>IF('전기원장'!A713="","",'전기원장'!K713)</x:f>
      </x:c>
      <x:c r="K713" s="73" t="str">
        <x:f>IF(B713="","",IF(COUNTIF($B$5:B713,B713)=1,COUNT($K$4:K712)+1,""))</x:f>
      </x:c>
      <x:c r="L713" s="85" t="str">
        <x:f>IF(B713="","",IF(COUNTIFS('계정비교'!$A$5:$A$1004,B713,'계정비교'!$H$5:$H$1004,"원인분석 대상")&gt;0,COUNT($L$4:L712)+1,""))</x:f>
      </x:c>
    </x:row>
    <x:row r="714">
      <x:c r="A714" s="73" t="str">
        <x:f>IF('전기원장'!A714="","","전기")</x:f>
      </x:c>
      <x:c r="B714" s="73" t="str">
        <x:f>IF('전기원장'!A714="","",'전기원장'!A714)</x:f>
      </x:c>
      <x:c r="C714" s="73" t="str">
        <x:f>IF('전기원장'!A714="","",'전기원장'!B714)</x:f>
      </x:c>
      <x:c r="D714" s="74" t="str">
        <x:f>IF('전기원장'!A714="","",'전기원장'!C714)</x:f>
      </x:c>
      <x:c r="E714" s="73" t="str">
        <x:f>IF('전기원장'!A714="","",'전기원장'!D714)</x:f>
      </x:c>
      <x:c r="F714" s="73" t="str">
        <x:f>IF('전기원장'!A714="","",'전기원장'!E714)</x:f>
      </x:c>
      <x:c r="G714" s="75" t="str">
        <x:f>IF('전기원장'!A714="","",'전기원장'!H714)</x:f>
      </x:c>
      <x:c r="H714" s="73" t="str">
        <x:f>IF('전기원장'!A714="","",'전기원장'!I714)</x:f>
      </x:c>
      <x:c r="I714" s="73" t="str">
        <x:f>IF('전기원장'!A714="","",'전기원장'!J714)</x:f>
      </x:c>
      <x:c r="J714" s="73" t="str">
        <x:f>IF('전기원장'!A714="","",'전기원장'!K714)</x:f>
      </x:c>
      <x:c r="K714" s="73" t="str">
        <x:f>IF(B714="","",IF(COUNTIF($B$5:B714,B714)=1,COUNT($K$4:K713)+1,""))</x:f>
      </x:c>
      <x:c r="L714" s="85" t="str">
        <x:f>IF(B714="","",IF(COUNTIFS('계정비교'!$A$5:$A$1004,B714,'계정비교'!$H$5:$H$1004,"원인분석 대상")&gt;0,COUNT($L$4:L713)+1,""))</x:f>
      </x:c>
    </x:row>
    <x:row r="715">
      <x:c r="A715" s="73" t="str">
        <x:f>IF('전기원장'!A715="","","전기")</x:f>
      </x:c>
      <x:c r="B715" s="73" t="str">
        <x:f>IF('전기원장'!A715="","",'전기원장'!A715)</x:f>
      </x:c>
      <x:c r="C715" s="73" t="str">
        <x:f>IF('전기원장'!A715="","",'전기원장'!B715)</x:f>
      </x:c>
      <x:c r="D715" s="74" t="str">
        <x:f>IF('전기원장'!A715="","",'전기원장'!C715)</x:f>
      </x:c>
      <x:c r="E715" s="73" t="str">
        <x:f>IF('전기원장'!A715="","",'전기원장'!D715)</x:f>
      </x:c>
      <x:c r="F715" s="73" t="str">
        <x:f>IF('전기원장'!A715="","",'전기원장'!E715)</x:f>
      </x:c>
      <x:c r="G715" s="75" t="str">
        <x:f>IF('전기원장'!A715="","",'전기원장'!H715)</x:f>
      </x:c>
      <x:c r="H715" s="73" t="str">
        <x:f>IF('전기원장'!A715="","",'전기원장'!I715)</x:f>
      </x:c>
      <x:c r="I715" s="73" t="str">
        <x:f>IF('전기원장'!A715="","",'전기원장'!J715)</x:f>
      </x:c>
      <x:c r="J715" s="73" t="str">
        <x:f>IF('전기원장'!A715="","",'전기원장'!K715)</x:f>
      </x:c>
      <x:c r="K715" s="73" t="str">
        <x:f>IF(B715="","",IF(COUNTIF($B$5:B715,B715)=1,COUNT($K$4:K714)+1,""))</x:f>
      </x:c>
      <x:c r="L715" s="85" t="str">
        <x:f>IF(B715="","",IF(COUNTIFS('계정비교'!$A$5:$A$1004,B715,'계정비교'!$H$5:$H$1004,"원인분석 대상")&gt;0,COUNT($L$4:L714)+1,""))</x:f>
      </x:c>
    </x:row>
    <x:row r="716">
      <x:c r="A716" s="73" t="str">
        <x:f>IF('전기원장'!A716="","","전기")</x:f>
      </x:c>
      <x:c r="B716" s="73" t="str">
        <x:f>IF('전기원장'!A716="","",'전기원장'!A716)</x:f>
      </x:c>
      <x:c r="C716" s="73" t="str">
        <x:f>IF('전기원장'!A716="","",'전기원장'!B716)</x:f>
      </x:c>
      <x:c r="D716" s="74" t="str">
        <x:f>IF('전기원장'!A716="","",'전기원장'!C716)</x:f>
      </x:c>
      <x:c r="E716" s="73" t="str">
        <x:f>IF('전기원장'!A716="","",'전기원장'!D716)</x:f>
      </x:c>
      <x:c r="F716" s="73" t="str">
        <x:f>IF('전기원장'!A716="","",'전기원장'!E716)</x:f>
      </x:c>
      <x:c r="G716" s="75" t="str">
        <x:f>IF('전기원장'!A716="","",'전기원장'!H716)</x:f>
      </x:c>
      <x:c r="H716" s="73" t="str">
        <x:f>IF('전기원장'!A716="","",'전기원장'!I716)</x:f>
      </x:c>
      <x:c r="I716" s="73" t="str">
        <x:f>IF('전기원장'!A716="","",'전기원장'!J716)</x:f>
      </x:c>
      <x:c r="J716" s="73" t="str">
        <x:f>IF('전기원장'!A716="","",'전기원장'!K716)</x:f>
      </x:c>
      <x:c r="K716" s="73" t="str">
        <x:f>IF(B716="","",IF(COUNTIF($B$5:B716,B716)=1,COUNT($K$4:K715)+1,""))</x:f>
      </x:c>
      <x:c r="L716" s="85" t="str">
        <x:f>IF(B716="","",IF(COUNTIFS('계정비교'!$A$5:$A$1004,B716,'계정비교'!$H$5:$H$1004,"원인분석 대상")&gt;0,COUNT($L$4:L715)+1,""))</x:f>
      </x:c>
    </x:row>
    <x:row r="717">
      <x:c r="A717" s="73" t="str">
        <x:f>IF('전기원장'!A717="","","전기")</x:f>
      </x:c>
      <x:c r="B717" s="73" t="str">
        <x:f>IF('전기원장'!A717="","",'전기원장'!A717)</x:f>
      </x:c>
      <x:c r="C717" s="73" t="str">
        <x:f>IF('전기원장'!A717="","",'전기원장'!B717)</x:f>
      </x:c>
      <x:c r="D717" s="74" t="str">
        <x:f>IF('전기원장'!A717="","",'전기원장'!C717)</x:f>
      </x:c>
      <x:c r="E717" s="73" t="str">
        <x:f>IF('전기원장'!A717="","",'전기원장'!D717)</x:f>
      </x:c>
      <x:c r="F717" s="73" t="str">
        <x:f>IF('전기원장'!A717="","",'전기원장'!E717)</x:f>
      </x:c>
      <x:c r="G717" s="75" t="str">
        <x:f>IF('전기원장'!A717="","",'전기원장'!H717)</x:f>
      </x:c>
      <x:c r="H717" s="73" t="str">
        <x:f>IF('전기원장'!A717="","",'전기원장'!I717)</x:f>
      </x:c>
      <x:c r="I717" s="73" t="str">
        <x:f>IF('전기원장'!A717="","",'전기원장'!J717)</x:f>
      </x:c>
      <x:c r="J717" s="73" t="str">
        <x:f>IF('전기원장'!A717="","",'전기원장'!K717)</x:f>
      </x:c>
      <x:c r="K717" s="73" t="str">
        <x:f>IF(B717="","",IF(COUNTIF($B$5:B717,B717)=1,COUNT($K$4:K716)+1,""))</x:f>
      </x:c>
      <x:c r="L717" s="85" t="str">
        <x:f>IF(B717="","",IF(COUNTIFS('계정비교'!$A$5:$A$1004,B717,'계정비교'!$H$5:$H$1004,"원인분석 대상")&gt;0,COUNT($L$4:L716)+1,""))</x:f>
      </x:c>
    </x:row>
    <x:row r="718">
      <x:c r="A718" s="73" t="str">
        <x:f>IF('전기원장'!A718="","","전기")</x:f>
      </x:c>
      <x:c r="B718" s="73" t="str">
        <x:f>IF('전기원장'!A718="","",'전기원장'!A718)</x:f>
      </x:c>
      <x:c r="C718" s="73" t="str">
        <x:f>IF('전기원장'!A718="","",'전기원장'!B718)</x:f>
      </x:c>
      <x:c r="D718" s="74" t="str">
        <x:f>IF('전기원장'!A718="","",'전기원장'!C718)</x:f>
      </x:c>
      <x:c r="E718" s="73" t="str">
        <x:f>IF('전기원장'!A718="","",'전기원장'!D718)</x:f>
      </x:c>
      <x:c r="F718" s="73" t="str">
        <x:f>IF('전기원장'!A718="","",'전기원장'!E718)</x:f>
      </x:c>
      <x:c r="G718" s="75" t="str">
        <x:f>IF('전기원장'!A718="","",'전기원장'!H718)</x:f>
      </x:c>
      <x:c r="H718" s="73" t="str">
        <x:f>IF('전기원장'!A718="","",'전기원장'!I718)</x:f>
      </x:c>
      <x:c r="I718" s="73" t="str">
        <x:f>IF('전기원장'!A718="","",'전기원장'!J718)</x:f>
      </x:c>
      <x:c r="J718" s="73" t="str">
        <x:f>IF('전기원장'!A718="","",'전기원장'!K718)</x:f>
      </x:c>
      <x:c r="K718" s="73" t="str">
        <x:f>IF(B718="","",IF(COUNTIF($B$5:B718,B718)=1,COUNT($K$4:K717)+1,""))</x:f>
      </x:c>
      <x:c r="L718" s="85" t="str">
        <x:f>IF(B718="","",IF(COUNTIFS('계정비교'!$A$5:$A$1004,B718,'계정비교'!$H$5:$H$1004,"원인분석 대상")&gt;0,COUNT($L$4:L717)+1,""))</x:f>
      </x:c>
    </x:row>
    <x:row r="719">
      <x:c r="A719" s="73" t="str">
        <x:f>IF('전기원장'!A719="","","전기")</x:f>
      </x:c>
      <x:c r="B719" s="73" t="str">
        <x:f>IF('전기원장'!A719="","",'전기원장'!A719)</x:f>
      </x:c>
      <x:c r="C719" s="73" t="str">
        <x:f>IF('전기원장'!A719="","",'전기원장'!B719)</x:f>
      </x:c>
      <x:c r="D719" s="74" t="str">
        <x:f>IF('전기원장'!A719="","",'전기원장'!C719)</x:f>
      </x:c>
      <x:c r="E719" s="73" t="str">
        <x:f>IF('전기원장'!A719="","",'전기원장'!D719)</x:f>
      </x:c>
      <x:c r="F719" s="73" t="str">
        <x:f>IF('전기원장'!A719="","",'전기원장'!E719)</x:f>
      </x:c>
      <x:c r="G719" s="75" t="str">
        <x:f>IF('전기원장'!A719="","",'전기원장'!H719)</x:f>
      </x:c>
      <x:c r="H719" s="73" t="str">
        <x:f>IF('전기원장'!A719="","",'전기원장'!I719)</x:f>
      </x:c>
      <x:c r="I719" s="73" t="str">
        <x:f>IF('전기원장'!A719="","",'전기원장'!J719)</x:f>
      </x:c>
      <x:c r="J719" s="73" t="str">
        <x:f>IF('전기원장'!A719="","",'전기원장'!K719)</x:f>
      </x:c>
      <x:c r="K719" s="73" t="str">
        <x:f>IF(B719="","",IF(COUNTIF($B$5:B719,B719)=1,COUNT($K$4:K718)+1,""))</x:f>
      </x:c>
      <x:c r="L719" s="85" t="str">
        <x:f>IF(B719="","",IF(COUNTIFS('계정비교'!$A$5:$A$1004,B719,'계정비교'!$H$5:$H$1004,"원인분석 대상")&gt;0,COUNT($L$4:L718)+1,""))</x:f>
      </x:c>
    </x:row>
    <x:row r="720">
      <x:c r="A720" s="73" t="str">
        <x:f>IF('전기원장'!A720="","","전기")</x:f>
      </x:c>
      <x:c r="B720" s="73" t="str">
        <x:f>IF('전기원장'!A720="","",'전기원장'!A720)</x:f>
      </x:c>
      <x:c r="C720" s="73" t="str">
        <x:f>IF('전기원장'!A720="","",'전기원장'!B720)</x:f>
      </x:c>
      <x:c r="D720" s="74" t="str">
        <x:f>IF('전기원장'!A720="","",'전기원장'!C720)</x:f>
      </x:c>
      <x:c r="E720" s="73" t="str">
        <x:f>IF('전기원장'!A720="","",'전기원장'!D720)</x:f>
      </x:c>
      <x:c r="F720" s="73" t="str">
        <x:f>IF('전기원장'!A720="","",'전기원장'!E720)</x:f>
      </x:c>
      <x:c r="G720" s="75" t="str">
        <x:f>IF('전기원장'!A720="","",'전기원장'!H720)</x:f>
      </x:c>
      <x:c r="H720" s="73" t="str">
        <x:f>IF('전기원장'!A720="","",'전기원장'!I720)</x:f>
      </x:c>
      <x:c r="I720" s="73" t="str">
        <x:f>IF('전기원장'!A720="","",'전기원장'!J720)</x:f>
      </x:c>
      <x:c r="J720" s="73" t="str">
        <x:f>IF('전기원장'!A720="","",'전기원장'!K720)</x:f>
      </x:c>
      <x:c r="K720" s="73" t="str">
        <x:f>IF(B720="","",IF(COUNTIF($B$5:B720,B720)=1,COUNT($K$4:K719)+1,""))</x:f>
      </x:c>
      <x:c r="L720" s="85" t="str">
        <x:f>IF(B720="","",IF(COUNTIFS('계정비교'!$A$5:$A$1004,B720,'계정비교'!$H$5:$H$1004,"원인분석 대상")&gt;0,COUNT($L$4:L719)+1,""))</x:f>
      </x:c>
    </x:row>
    <x:row r="721">
      <x:c r="A721" s="73" t="str">
        <x:f>IF('전기원장'!A721="","","전기")</x:f>
      </x:c>
      <x:c r="B721" s="73" t="str">
        <x:f>IF('전기원장'!A721="","",'전기원장'!A721)</x:f>
      </x:c>
      <x:c r="C721" s="73" t="str">
        <x:f>IF('전기원장'!A721="","",'전기원장'!B721)</x:f>
      </x:c>
      <x:c r="D721" s="74" t="str">
        <x:f>IF('전기원장'!A721="","",'전기원장'!C721)</x:f>
      </x:c>
      <x:c r="E721" s="73" t="str">
        <x:f>IF('전기원장'!A721="","",'전기원장'!D721)</x:f>
      </x:c>
      <x:c r="F721" s="73" t="str">
        <x:f>IF('전기원장'!A721="","",'전기원장'!E721)</x:f>
      </x:c>
      <x:c r="G721" s="75" t="str">
        <x:f>IF('전기원장'!A721="","",'전기원장'!H721)</x:f>
      </x:c>
      <x:c r="H721" s="73" t="str">
        <x:f>IF('전기원장'!A721="","",'전기원장'!I721)</x:f>
      </x:c>
      <x:c r="I721" s="73" t="str">
        <x:f>IF('전기원장'!A721="","",'전기원장'!J721)</x:f>
      </x:c>
      <x:c r="J721" s="73" t="str">
        <x:f>IF('전기원장'!A721="","",'전기원장'!K721)</x:f>
      </x:c>
      <x:c r="K721" s="73" t="str">
        <x:f>IF(B721="","",IF(COUNTIF($B$5:B721,B721)=1,COUNT($K$4:K720)+1,""))</x:f>
      </x:c>
      <x:c r="L721" s="85" t="str">
        <x:f>IF(B721="","",IF(COUNTIFS('계정비교'!$A$5:$A$1004,B721,'계정비교'!$H$5:$H$1004,"원인분석 대상")&gt;0,COUNT($L$4:L720)+1,""))</x:f>
      </x:c>
    </x:row>
    <x:row r="722">
      <x:c r="A722" s="73" t="str">
        <x:f>IF('전기원장'!A722="","","전기")</x:f>
      </x:c>
      <x:c r="B722" s="73" t="str">
        <x:f>IF('전기원장'!A722="","",'전기원장'!A722)</x:f>
      </x:c>
      <x:c r="C722" s="73" t="str">
        <x:f>IF('전기원장'!A722="","",'전기원장'!B722)</x:f>
      </x:c>
      <x:c r="D722" s="74" t="str">
        <x:f>IF('전기원장'!A722="","",'전기원장'!C722)</x:f>
      </x:c>
      <x:c r="E722" s="73" t="str">
        <x:f>IF('전기원장'!A722="","",'전기원장'!D722)</x:f>
      </x:c>
      <x:c r="F722" s="73" t="str">
        <x:f>IF('전기원장'!A722="","",'전기원장'!E722)</x:f>
      </x:c>
      <x:c r="G722" s="75" t="str">
        <x:f>IF('전기원장'!A722="","",'전기원장'!H722)</x:f>
      </x:c>
      <x:c r="H722" s="73" t="str">
        <x:f>IF('전기원장'!A722="","",'전기원장'!I722)</x:f>
      </x:c>
      <x:c r="I722" s="73" t="str">
        <x:f>IF('전기원장'!A722="","",'전기원장'!J722)</x:f>
      </x:c>
      <x:c r="J722" s="73" t="str">
        <x:f>IF('전기원장'!A722="","",'전기원장'!K722)</x:f>
      </x:c>
      <x:c r="K722" s="73" t="str">
        <x:f>IF(B722="","",IF(COUNTIF($B$5:B722,B722)=1,COUNT($K$4:K721)+1,""))</x:f>
      </x:c>
      <x:c r="L722" s="85" t="str">
        <x:f>IF(B722="","",IF(COUNTIFS('계정비교'!$A$5:$A$1004,B722,'계정비교'!$H$5:$H$1004,"원인분석 대상")&gt;0,COUNT($L$4:L721)+1,""))</x:f>
      </x:c>
    </x:row>
    <x:row r="723">
      <x:c r="A723" s="73" t="str">
        <x:f>IF('전기원장'!A723="","","전기")</x:f>
      </x:c>
      <x:c r="B723" s="73" t="str">
        <x:f>IF('전기원장'!A723="","",'전기원장'!A723)</x:f>
      </x:c>
      <x:c r="C723" s="73" t="str">
        <x:f>IF('전기원장'!A723="","",'전기원장'!B723)</x:f>
      </x:c>
      <x:c r="D723" s="74" t="str">
        <x:f>IF('전기원장'!A723="","",'전기원장'!C723)</x:f>
      </x:c>
      <x:c r="E723" s="73" t="str">
        <x:f>IF('전기원장'!A723="","",'전기원장'!D723)</x:f>
      </x:c>
      <x:c r="F723" s="73" t="str">
        <x:f>IF('전기원장'!A723="","",'전기원장'!E723)</x:f>
      </x:c>
      <x:c r="G723" s="75" t="str">
        <x:f>IF('전기원장'!A723="","",'전기원장'!H723)</x:f>
      </x:c>
      <x:c r="H723" s="73" t="str">
        <x:f>IF('전기원장'!A723="","",'전기원장'!I723)</x:f>
      </x:c>
      <x:c r="I723" s="73" t="str">
        <x:f>IF('전기원장'!A723="","",'전기원장'!J723)</x:f>
      </x:c>
      <x:c r="J723" s="73" t="str">
        <x:f>IF('전기원장'!A723="","",'전기원장'!K723)</x:f>
      </x:c>
      <x:c r="K723" s="73" t="str">
        <x:f>IF(B723="","",IF(COUNTIF($B$5:B723,B723)=1,COUNT($K$4:K722)+1,""))</x:f>
      </x:c>
      <x:c r="L723" s="85" t="str">
        <x:f>IF(B723="","",IF(COUNTIFS('계정비교'!$A$5:$A$1004,B723,'계정비교'!$H$5:$H$1004,"원인분석 대상")&gt;0,COUNT($L$4:L722)+1,""))</x:f>
      </x:c>
    </x:row>
    <x:row r="724">
      <x:c r="A724" s="73" t="str">
        <x:f>IF('전기원장'!A724="","","전기")</x:f>
      </x:c>
      <x:c r="B724" s="73" t="str">
        <x:f>IF('전기원장'!A724="","",'전기원장'!A724)</x:f>
      </x:c>
      <x:c r="C724" s="73" t="str">
        <x:f>IF('전기원장'!A724="","",'전기원장'!B724)</x:f>
      </x:c>
      <x:c r="D724" s="74" t="str">
        <x:f>IF('전기원장'!A724="","",'전기원장'!C724)</x:f>
      </x:c>
      <x:c r="E724" s="73" t="str">
        <x:f>IF('전기원장'!A724="","",'전기원장'!D724)</x:f>
      </x:c>
      <x:c r="F724" s="73" t="str">
        <x:f>IF('전기원장'!A724="","",'전기원장'!E724)</x:f>
      </x:c>
      <x:c r="G724" s="75" t="str">
        <x:f>IF('전기원장'!A724="","",'전기원장'!H724)</x:f>
      </x:c>
      <x:c r="H724" s="73" t="str">
        <x:f>IF('전기원장'!A724="","",'전기원장'!I724)</x:f>
      </x:c>
      <x:c r="I724" s="73" t="str">
        <x:f>IF('전기원장'!A724="","",'전기원장'!J724)</x:f>
      </x:c>
      <x:c r="J724" s="73" t="str">
        <x:f>IF('전기원장'!A724="","",'전기원장'!K724)</x:f>
      </x:c>
      <x:c r="K724" s="73" t="str">
        <x:f>IF(B724="","",IF(COUNTIF($B$5:B724,B724)=1,COUNT($K$4:K723)+1,""))</x:f>
      </x:c>
      <x:c r="L724" s="85" t="str">
        <x:f>IF(B724="","",IF(COUNTIFS('계정비교'!$A$5:$A$1004,B724,'계정비교'!$H$5:$H$1004,"원인분석 대상")&gt;0,COUNT($L$4:L723)+1,""))</x:f>
      </x:c>
    </x:row>
    <x:row r="725">
      <x:c r="A725" s="73" t="str">
        <x:f>IF('전기원장'!A725="","","전기")</x:f>
      </x:c>
      <x:c r="B725" s="73" t="str">
        <x:f>IF('전기원장'!A725="","",'전기원장'!A725)</x:f>
      </x:c>
      <x:c r="C725" s="73" t="str">
        <x:f>IF('전기원장'!A725="","",'전기원장'!B725)</x:f>
      </x:c>
      <x:c r="D725" s="74" t="str">
        <x:f>IF('전기원장'!A725="","",'전기원장'!C725)</x:f>
      </x:c>
      <x:c r="E725" s="73" t="str">
        <x:f>IF('전기원장'!A725="","",'전기원장'!D725)</x:f>
      </x:c>
      <x:c r="F725" s="73" t="str">
        <x:f>IF('전기원장'!A725="","",'전기원장'!E725)</x:f>
      </x:c>
      <x:c r="G725" s="75" t="str">
        <x:f>IF('전기원장'!A725="","",'전기원장'!H725)</x:f>
      </x:c>
      <x:c r="H725" s="73" t="str">
        <x:f>IF('전기원장'!A725="","",'전기원장'!I725)</x:f>
      </x:c>
      <x:c r="I725" s="73" t="str">
        <x:f>IF('전기원장'!A725="","",'전기원장'!J725)</x:f>
      </x:c>
      <x:c r="J725" s="73" t="str">
        <x:f>IF('전기원장'!A725="","",'전기원장'!K725)</x:f>
      </x:c>
      <x:c r="K725" s="73" t="str">
        <x:f>IF(B725="","",IF(COUNTIF($B$5:B725,B725)=1,COUNT($K$4:K724)+1,""))</x:f>
      </x:c>
      <x:c r="L725" s="85" t="str">
        <x:f>IF(B725="","",IF(COUNTIFS('계정비교'!$A$5:$A$1004,B725,'계정비교'!$H$5:$H$1004,"원인분석 대상")&gt;0,COUNT($L$4:L724)+1,""))</x:f>
      </x:c>
    </x:row>
    <x:row r="726">
      <x:c r="A726" s="73" t="str">
        <x:f>IF('전기원장'!A726="","","전기")</x:f>
      </x:c>
      <x:c r="B726" s="73" t="str">
        <x:f>IF('전기원장'!A726="","",'전기원장'!A726)</x:f>
      </x:c>
      <x:c r="C726" s="73" t="str">
        <x:f>IF('전기원장'!A726="","",'전기원장'!B726)</x:f>
      </x:c>
      <x:c r="D726" s="74" t="str">
        <x:f>IF('전기원장'!A726="","",'전기원장'!C726)</x:f>
      </x:c>
      <x:c r="E726" s="73" t="str">
        <x:f>IF('전기원장'!A726="","",'전기원장'!D726)</x:f>
      </x:c>
      <x:c r="F726" s="73" t="str">
        <x:f>IF('전기원장'!A726="","",'전기원장'!E726)</x:f>
      </x:c>
      <x:c r="G726" s="75" t="str">
        <x:f>IF('전기원장'!A726="","",'전기원장'!H726)</x:f>
      </x:c>
      <x:c r="H726" s="73" t="str">
        <x:f>IF('전기원장'!A726="","",'전기원장'!I726)</x:f>
      </x:c>
      <x:c r="I726" s="73" t="str">
        <x:f>IF('전기원장'!A726="","",'전기원장'!J726)</x:f>
      </x:c>
      <x:c r="J726" s="73" t="str">
        <x:f>IF('전기원장'!A726="","",'전기원장'!K726)</x:f>
      </x:c>
      <x:c r="K726" s="73" t="str">
        <x:f>IF(B726="","",IF(COUNTIF($B$5:B726,B726)=1,COUNT($K$4:K725)+1,""))</x:f>
      </x:c>
      <x:c r="L726" s="85" t="str">
        <x:f>IF(B726="","",IF(COUNTIFS('계정비교'!$A$5:$A$1004,B726,'계정비교'!$H$5:$H$1004,"원인분석 대상")&gt;0,COUNT($L$4:L725)+1,""))</x:f>
      </x:c>
    </x:row>
    <x:row r="727">
      <x:c r="A727" s="73" t="str">
        <x:f>IF('전기원장'!A727="","","전기")</x:f>
      </x:c>
      <x:c r="B727" s="73" t="str">
        <x:f>IF('전기원장'!A727="","",'전기원장'!A727)</x:f>
      </x:c>
      <x:c r="C727" s="73" t="str">
        <x:f>IF('전기원장'!A727="","",'전기원장'!B727)</x:f>
      </x:c>
      <x:c r="D727" s="74" t="str">
        <x:f>IF('전기원장'!A727="","",'전기원장'!C727)</x:f>
      </x:c>
      <x:c r="E727" s="73" t="str">
        <x:f>IF('전기원장'!A727="","",'전기원장'!D727)</x:f>
      </x:c>
      <x:c r="F727" s="73" t="str">
        <x:f>IF('전기원장'!A727="","",'전기원장'!E727)</x:f>
      </x:c>
      <x:c r="G727" s="75" t="str">
        <x:f>IF('전기원장'!A727="","",'전기원장'!H727)</x:f>
      </x:c>
      <x:c r="H727" s="73" t="str">
        <x:f>IF('전기원장'!A727="","",'전기원장'!I727)</x:f>
      </x:c>
      <x:c r="I727" s="73" t="str">
        <x:f>IF('전기원장'!A727="","",'전기원장'!J727)</x:f>
      </x:c>
      <x:c r="J727" s="73" t="str">
        <x:f>IF('전기원장'!A727="","",'전기원장'!K727)</x:f>
      </x:c>
      <x:c r="K727" s="73" t="str">
        <x:f>IF(B727="","",IF(COUNTIF($B$5:B727,B727)=1,COUNT($K$4:K726)+1,""))</x:f>
      </x:c>
      <x:c r="L727" s="85" t="str">
        <x:f>IF(B727="","",IF(COUNTIFS('계정비교'!$A$5:$A$1004,B727,'계정비교'!$H$5:$H$1004,"원인분석 대상")&gt;0,COUNT($L$4:L726)+1,""))</x:f>
      </x:c>
    </x:row>
    <x:row r="728">
      <x:c r="A728" s="73" t="str">
        <x:f>IF('전기원장'!A728="","","전기")</x:f>
      </x:c>
      <x:c r="B728" s="73" t="str">
        <x:f>IF('전기원장'!A728="","",'전기원장'!A728)</x:f>
      </x:c>
      <x:c r="C728" s="73" t="str">
        <x:f>IF('전기원장'!A728="","",'전기원장'!B728)</x:f>
      </x:c>
      <x:c r="D728" s="74" t="str">
        <x:f>IF('전기원장'!A728="","",'전기원장'!C728)</x:f>
      </x:c>
      <x:c r="E728" s="73" t="str">
        <x:f>IF('전기원장'!A728="","",'전기원장'!D728)</x:f>
      </x:c>
      <x:c r="F728" s="73" t="str">
        <x:f>IF('전기원장'!A728="","",'전기원장'!E728)</x:f>
      </x:c>
      <x:c r="G728" s="75" t="str">
        <x:f>IF('전기원장'!A728="","",'전기원장'!H728)</x:f>
      </x:c>
      <x:c r="H728" s="73" t="str">
        <x:f>IF('전기원장'!A728="","",'전기원장'!I728)</x:f>
      </x:c>
      <x:c r="I728" s="73" t="str">
        <x:f>IF('전기원장'!A728="","",'전기원장'!J728)</x:f>
      </x:c>
      <x:c r="J728" s="73" t="str">
        <x:f>IF('전기원장'!A728="","",'전기원장'!K728)</x:f>
      </x:c>
      <x:c r="K728" s="73" t="str">
        <x:f>IF(B728="","",IF(COUNTIF($B$5:B728,B728)=1,COUNT($K$4:K727)+1,""))</x:f>
      </x:c>
      <x:c r="L728" s="85" t="str">
        <x:f>IF(B728="","",IF(COUNTIFS('계정비교'!$A$5:$A$1004,B728,'계정비교'!$H$5:$H$1004,"원인분석 대상")&gt;0,COUNT($L$4:L727)+1,""))</x:f>
      </x:c>
    </x:row>
    <x:row r="729">
      <x:c r="A729" s="73" t="str">
        <x:f>IF('전기원장'!A729="","","전기")</x:f>
      </x:c>
      <x:c r="B729" s="73" t="str">
        <x:f>IF('전기원장'!A729="","",'전기원장'!A729)</x:f>
      </x:c>
      <x:c r="C729" s="73" t="str">
        <x:f>IF('전기원장'!A729="","",'전기원장'!B729)</x:f>
      </x:c>
      <x:c r="D729" s="74" t="str">
        <x:f>IF('전기원장'!A729="","",'전기원장'!C729)</x:f>
      </x:c>
      <x:c r="E729" s="73" t="str">
        <x:f>IF('전기원장'!A729="","",'전기원장'!D729)</x:f>
      </x:c>
      <x:c r="F729" s="73" t="str">
        <x:f>IF('전기원장'!A729="","",'전기원장'!E729)</x:f>
      </x:c>
      <x:c r="G729" s="75" t="str">
        <x:f>IF('전기원장'!A729="","",'전기원장'!H729)</x:f>
      </x:c>
      <x:c r="H729" s="73" t="str">
        <x:f>IF('전기원장'!A729="","",'전기원장'!I729)</x:f>
      </x:c>
      <x:c r="I729" s="73" t="str">
        <x:f>IF('전기원장'!A729="","",'전기원장'!J729)</x:f>
      </x:c>
      <x:c r="J729" s="73" t="str">
        <x:f>IF('전기원장'!A729="","",'전기원장'!K729)</x:f>
      </x:c>
      <x:c r="K729" s="73" t="str">
        <x:f>IF(B729="","",IF(COUNTIF($B$5:B729,B729)=1,COUNT($K$4:K728)+1,""))</x:f>
      </x:c>
      <x:c r="L729" s="85" t="str">
        <x:f>IF(B729="","",IF(COUNTIFS('계정비교'!$A$5:$A$1004,B729,'계정비교'!$H$5:$H$1004,"원인분석 대상")&gt;0,COUNT($L$4:L728)+1,""))</x:f>
      </x:c>
    </x:row>
    <x:row r="730">
      <x:c r="A730" s="73" t="str">
        <x:f>IF('전기원장'!A730="","","전기")</x:f>
      </x:c>
      <x:c r="B730" s="73" t="str">
        <x:f>IF('전기원장'!A730="","",'전기원장'!A730)</x:f>
      </x:c>
      <x:c r="C730" s="73" t="str">
        <x:f>IF('전기원장'!A730="","",'전기원장'!B730)</x:f>
      </x:c>
      <x:c r="D730" s="74" t="str">
        <x:f>IF('전기원장'!A730="","",'전기원장'!C730)</x:f>
      </x:c>
      <x:c r="E730" s="73" t="str">
        <x:f>IF('전기원장'!A730="","",'전기원장'!D730)</x:f>
      </x:c>
      <x:c r="F730" s="73" t="str">
        <x:f>IF('전기원장'!A730="","",'전기원장'!E730)</x:f>
      </x:c>
      <x:c r="G730" s="75" t="str">
        <x:f>IF('전기원장'!A730="","",'전기원장'!H730)</x:f>
      </x:c>
      <x:c r="H730" s="73" t="str">
        <x:f>IF('전기원장'!A730="","",'전기원장'!I730)</x:f>
      </x:c>
      <x:c r="I730" s="73" t="str">
        <x:f>IF('전기원장'!A730="","",'전기원장'!J730)</x:f>
      </x:c>
      <x:c r="J730" s="73" t="str">
        <x:f>IF('전기원장'!A730="","",'전기원장'!K730)</x:f>
      </x:c>
      <x:c r="K730" s="73" t="str">
        <x:f>IF(B730="","",IF(COUNTIF($B$5:B730,B730)=1,COUNT($K$4:K729)+1,""))</x:f>
      </x:c>
      <x:c r="L730" s="85" t="str">
        <x:f>IF(B730="","",IF(COUNTIFS('계정비교'!$A$5:$A$1004,B730,'계정비교'!$H$5:$H$1004,"원인분석 대상")&gt;0,COUNT($L$4:L729)+1,""))</x:f>
      </x:c>
    </x:row>
    <x:row r="731">
      <x:c r="A731" s="73" t="str">
        <x:f>IF('전기원장'!A731="","","전기")</x:f>
      </x:c>
      <x:c r="B731" s="73" t="str">
        <x:f>IF('전기원장'!A731="","",'전기원장'!A731)</x:f>
      </x:c>
      <x:c r="C731" s="73" t="str">
        <x:f>IF('전기원장'!A731="","",'전기원장'!B731)</x:f>
      </x:c>
      <x:c r="D731" s="74" t="str">
        <x:f>IF('전기원장'!A731="","",'전기원장'!C731)</x:f>
      </x:c>
      <x:c r="E731" s="73" t="str">
        <x:f>IF('전기원장'!A731="","",'전기원장'!D731)</x:f>
      </x:c>
      <x:c r="F731" s="73" t="str">
        <x:f>IF('전기원장'!A731="","",'전기원장'!E731)</x:f>
      </x:c>
      <x:c r="G731" s="75" t="str">
        <x:f>IF('전기원장'!A731="","",'전기원장'!H731)</x:f>
      </x:c>
      <x:c r="H731" s="73" t="str">
        <x:f>IF('전기원장'!A731="","",'전기원장'!I731)</x:f>
      </x:c>
      <x:c r="I731" s="73" t="str">
        <x:f>IF('전기원장'!A731="","",'전기원장'!J731)</x:f>
      </x:c>
      <x:c r="J731" s="73" t="str">
        <x:f>IF('전기원장'!A731="","",'전기원장'!K731)</x:f>
      </x:c>
      <x:c r="K731" s="73" t="str">
        <x:f>IF(B731="","",IF(COUNTIF($B$5:B731,B731)=1,COUNT($K$4:K730)+1,""))</x:f>
      </x:c>
      <x:c r="L731" s="85" t="str">
        <x:f>IF(B731="","",IF(COUNTIFS('계정비교'!$A$5:$A$1004,B731,'계정비교'!$H$5:$H$1004,"원인분석 대상")&gt;0,COUNT($L$4:L730)+1,""))</x:f>
      </x:c>
    </x:row>
    <x:row r="732">
      <x:c r="A732" s="73" t="str">
        <x:f>IF('전기원장'!A732="","","전기")</x:f>
      </x:c>
      <x:c r="B732" s="73" t="str">
        <x:f>IF('전기원장'!A732="","",'전기원장'!A732)</x:f>
      </x:c>
      <x:c r="C732" s="73" t="str">
        <x:f>IF('전기원장'!A732="","",'전기원장'!B732)</x:f>
      </x:c>
      <x:c r="D732" s="74" t="str">
        <x:f>IF('전기원장'!A732="","",'전기원장'!C732)</x:f>
      </x:c>
      <x:c r="E732" s="73" t="str">
        <x:f>IF('전기원장'!A732="","",'전기원장'!D732)</x:f>
      </x:c>
      <x:c r="F732" s="73" t="str">
        <x:f>IF('전기원장'!A732="","",'전기원장'!E732)</x:f>
      </x:c>
      <x:c r="G732" s="75" t="str">
        <x:f>IF('전기원장'!A732="","",'전기원장'!H732)</x:f>
      </x:c>
      <x:c r="H732" s="73" t="str">
        <x:f>IF('전기원장'!A732="","",'전기원장'!I732)</x:f>
      </x:c>
      <x:c r="I732" s="73" t="str">
        <x:f>IF('전기원장'!A732="","",'전기원장'!J732)</x:f>
      </x:c>
      <x:c r="J732" s="73" t="str">
        <x:f>IF('전기원장'!A732="","",'전기원장'!K732)</x:f>
      </x:c>
      <x:c r="K732" s="73" t="str">
        <x:f>IF(B732="","",IF(COUNTIF($B$5:B732,B732)=1,COUNT($K$4:K731)+1,""))</x:f>
      </x:c>
      <x:c r="L732" s="85" t="str">
        <x:f>IF(B732="","",IF(COUNTIFS('계정비교'!$A$5:$A$1004,B732,'계정비교'!$H$5:$H$1004,"원인분석 대상")&gt;0,COUNT($L$4:L731)+1,""))</x:f>
      </x:c>
    </x:row>
    <x:row r="733">
      <x:c r="A733" s="73" t="str">
        <x:f>IF('전기원장'!A733="","","전기")</x:f>
      </x:c>
      <x:c r="B733" s="73" t="str">
        <x:f>IF('전기원장'!A733="","",'전기원장'!A733)</x:f>
      </x:c>
      <x:c r="C733" s="73" t="str">
        <x:f>IF('전기원장'!A733="","",'전기원장'!B733)</x:f>
      </x:c>
      <x:c r="D733" s="74" t="str">
        <x:f>IF('전기원장'!A733="","",'전기원장'!C733)</x:f>
      </x:c>
      <x:c r="E733" s="73" t="str">
        <x:f>IF('전기원장'!A733="","",'전기원장'!D733)</x:f>
      </x:c>
      <x:c r="F733" s="73" t="str">
        <x:f>IF('전기원장'!A733="","",'전기원장'!E733)</x:f>
      </x:c>
      <x:c r="G733" s="75" t="str">
        <x:f>IF('전기원장'!A733="","",'전기원장'!H733)</x:f>
      </x:c>
      <x:c r="H733" s="73" t="str">
        <x:f>IF('전기원장'!A733="","",'전기원장'!I733)</x:f>
      </x:c>
      <x:c r="I733" s="73" t="str">
        <x:f>IF('전기원장'!A733="","",'전기원장'!J733)</x:f>
      </x:c>
      <x:c r="J733" s="73" t="str">
        <x:f>IF('전기원장'!A733="","",'전기원장'!K733)</x:f>
      </x:c>
      <x:c r="K733" s="73" t="str">
        <x:f>IF(B733="","",IF(COUNTIF($B$5:B733,B733)=1,COUNT($K$4:K732)+1,""))</x:f>
      </x:c>
      <x:c r="L733" s="85" t="str">
        <x:f>IF(B733="","",IF(COUNTIFS('계정비교'!$A$5:$A$1004,B733,'계정비교'!$H$5:$H$1004,"원인분석 대상")&gt;0,COUNT($L$4:L732)+1,""))</x:f>
      </x:c>
    </x:row>
    <x:row r="734">
      <x:c r="A734" s="73" t="str">
        <x:f>IF('전기원장'!A734="","","전기")</x:f>
      </x:c>
      <x:c r="B734" s="73" t="str">
        <x:f>IF('전기원장'!A734="","",'전기원장'!A734)</x:f>
      </x:c>
      <x:c r="C734" s="73" t="str">
        <x:f>IF('전기원장'!A734="","",'전기원장'!B734)</x:f>
      </x:c>
      <x:c r="D734" s="74" t="str">
        <x:f>IF('전기원장'!A734="","",'전기원장'!C734)</x:f>
      </x:c>
      <x:c r="E734" s="73" t="str">
        <x:f>IF('전기원장'!A734="","",'전기원장'!D734)</x:f>
      </x:c>
      <x:c r="F734" s="73" t="str">
        <x:f>IF('전기원장'!A734="","",'전기원장'!E734)</x:f>
      </x:c>
      <x:c r="G734" s="75" t="str">
        <x:f>IF('전기원장'!A734="","",'전기원장'!H734)</x:f>
      </x:c>
      <x:c r="H734" s="73" t="str">
        <x:f>IF('전기원장'!A734="","",'전기원장'!I734)</x:f>
      </x:c>
      <x:c r="I734" s="73" t="str">
        <x:f>IF('전기원장'!A734="","",'전기원장'!J734)</x:f>
      </x:c>
      <x:c r="J734" s="73" t="str">
        <x:f>IF('전기원장'!A734="","",'전기원장'!K734)</x:f>
      </x:c>
      <x:c r="K734" s="73" t="str">
        <x:f>IF(B734="","",IF(COUNTIF($B$5:B734,B734)=1,COUNT($K$4:K733)+1,""))</x:f>
      </x:c>
      <x:c r="L734" s="85" t="str">
        <x:f>IF(B734="","",IF(COUNTIFS('계정비교'!$A$5:$A$1004,B734,'계정비교'!$H$5:$H$1004,"원인분석 대상")&gt;0,COUNT($L$4:L733)+1,""))</x:f>
      </x:c>
    </x:row>
    <x:row r="735">
      <x:c r="A735" s="73" t="str">
        <x:f>IF('전기원장'!A735="","","전기")</x:f>
      </x:c>
      <x:c r="B735" s="73" t="str">
        <x:f>IF('전기원장'!A735="","",'전기원장'!A735)</x:f>
      </x:c>
      <x:c r="C735" s="73" t="str">
        <x:f>IF('전기원장'!A735="","",'전기원장'!B735)</x:f>
      </x:c>
      <x:c r="D735" s="74" t="str">
        <x:f>IF('전기원장'!A735="","",'전기원장'!C735)</x:f>
      </x:c>
      <x:c r="E735" s="73" t="str">
        <x:f>IF('전기원장'!A735="","",'전기원장'!D735)</x:f>
      </x:c>
      <x:c r="F735" s="73" t="str">
        <x:f>IF('전기원장'!A735="","",'전기원장'!E735)</x:f>
      </x:c>
      <x:c r="G735" s="75" t="str">
        <x:f>IF('전기원장'!A735="","",'전기원장'!H735)</x:f>
      </x:c>
      <x:c r="H735" s="73" t="str">
        <x:f>IF('전기원장'!A735="","",'전기원장'!I735)</x:f>
      </x:c>
      <x:c r="I735" s="73" t="str">
        <x:f>IF('전기원장'!A735="","",'전기원장'!J735)</x:f>
      </x:c>
      <x:c r="J735" s="73" t="str">
        <x:f>IF('전기원장'!A735="","",'전기원장'!K735)</x:f>
      </x:c>
      <x:c r="K735" s="73" t="str">
        <x:f>IF(B735="","",IF(COUNTIF($B$5:B735,B735)=1,COUNT($K$4:K734)+1,""))</x:f>
      </x:c>
      <x:c r="L735" s="85" t="str">
        <x:f>IF(B735="","",IF(COUNTIFS('계정비교'!$A$5:$A$1004,B735,'계정비교'!$H$5:$H$1004,"원인분석 대상")&gt;0,COUNT($L$4:L734)+1,""))</x:f>
      </x:c>
    </x:row>
    <x:row r="736">
      <x:c r="A736" s="73" t="str">
        <x:f>IF('전기원장'!A736="","","전기")</x:f>
      </x:c>
      <x:c r="B736" s="73" t="str">
        <x:f>IF('전기원장'!A736="","",'전기원장'!A736)</x:f>
      </x:c>
      <x:c r="C736" s="73" t="str">
        <x:f>IF('전기원장'!A736="","",'전기원장'!B736)</x:f>
      </x:c>
      <x:c r="D736" s="74" t="str">
        <x:f>IF('전기원장'!A736="","",'전기원장'!C736)</x:f>
      </x:c>
      <x:c r="E736" s="73" t="str">
        <x:f>IF('전기원장'!A736="","",'전기원장'!D736)</x:f>
      </x:c>
      <x:c r="F736" s="73" t="str">
        <x:f>IF('전기원장'!A736="","",'전기원장'!E736)</x:f>
      </x:c>
      <x:c r="G736" s="75" t="str">
        <x:f>IF('전기원장'!A736="","",'전기원장'!H736)</x:f>
      </x:c>
      <x:c r="H736" s="73" t="str">
        <x:f>IF('전기원장'!A736="","",'전기원장'!I736)</x:f>
      </x:c>
      <x:c r="I736" s="73" t="str">
        <x:f>IF('전기원장'!A736="","",'전기원장'!J736)</x:f>
      </x:c>
      <x:c r="J736" s="73" t="str">
        <x:f>IF('전기원장'!A736="","",'전기원장'!K736)</x:f>
      </x:c>
      <x:c r="K736" s="73" t="str">
        <x:f>IF(B736="","",IF(COUNTIF($B$5:B736,B736)=1,COUNT($K$4:K735)+1,""))</x:f>
      </x:c>
      <x:c r="L736" s="85" t="str">
        <x:f>IF(B736="","",IF(COUNTIFS('계정비교'!$A$5:$A$1004,B736,'계정비교'!$H$5:$H$1004,"원인분석 대상")&gt;0,COUNT($L$4:L735)+1,""))</x:f>
      </x:c>
    </x:row>
    <x:row r="737">
      <x:c r="A737" s="73" t="str">
        <x:f>IF('전기원장'!A737="","","전기")</x:f>
      </x:c>
      <x:c r="B737" s="73" t="str">
        <x:f>IF('전기원장'!A737="","",'전기원장'!A737)</x:f>
      </x:c>
      <x:c r="C737" s="73" t="str">
        <x:f>IF('전기원장'!A737="","",'전기원장'!B737)</x:f>
      </x:c>
      <x:c r="D737" s="74" t="str">
        <x:f>IF('전기원장'!A737="","",'전기원장'!C737)</x:f>
      </x:c>
      <x:c r="E737" s="73" t="str">
        <x:f>IF('전기원장'!A737="","",'전기원장'!D737)</x:f>
      </x:c>
      <x:c r="F737" s="73" t="str">
        <x:f>IF('전기원장'!A737="","",'전기원장'!E737)</x:f>
      </x:c>
      <x:c r="G737" s="75" t="str">
        <x:f>IF('전기원장'!A737="","",'전기원장'!H737)</x:f>
      </x:c>
      <x:c r="H737" s="73" t="str">
        <x:f>IF('전기원장'!A737="","",'전기원장'!I737)</x:f>
      </x:c>
      <x:c r="I737" s="73" t="str">
        <x:f>IF('전기원장'!A737="","",'전기원장'!J737)</x:f>
      </x:c>
      <x:c r="J737" s="73" t="str">
        <x:f>IF('전기원장'!A737="","",'전기원장'!K737)</x:f>
      </x:c>
      <x:c r="K737" s="73" t="str">
        <x:f>IF(B737="","",IF(COUNTIF($B$5:B737,B737)=1,COUNT($K$4:K736)+1,""))</x:f>
      </x:c>
      <x:c r="L737" s="85" t="str">
        <x:f>IF(B737="","",IF(COUNTIFS('계정비교'!$A$5:$A$1004,B737,'계정비교'!$H$5:$H$1004,"원인분석 대상")&gt;0,COUNT($L$4:L736)+1,""))</x:f>
      </x:c>
    </x:row>
    <x:row r="738">
      <x:c r="A738" s="73" t="str">
        <x:f>IF('전기원장'!A738="","","전기")</x:f>
      </x:c>
      <x:c r="B738" s="73" t="str">
        <x:f>IF('전기원장'!A738="","",'전기원장'!A738)</x:f>
      </x:c>
      <x:c r="C738" s="73" t="str">
        <x:f>IF('전기원장'!A738="","",'전기원장'!B738)</x:f>
      </x:c>
      <x:c r="D738" s="74" t="str">
        <x:f>IF('전기원장'!A738="","",'전기원장'!C738)</x:f>
      </x:c>
      <x:c r="E738" s="73" t="str">
        <x:f>IF('전기원장'!A738="","",'전기원장'!D738)</x:f>
      </x:c>
      <x:c r="F738" s="73" t="str">
        <x:f>IF('전기원장'!A738="","",'전기원장'!E738)</x:f>
      </x:c>
      <x:c r="G738" s="75" t="str">
        <x:f>IF('전기원장'!A738="","",'전기원장'!H738)</x:f>
      </x:c>
      <x:c r="H738" s="73" t="str">
        <x:f>IF('전기원장'!A738="","",'전기원장'!I738)</x:f>
      </x:c>
      <x:c r="I738" s="73" t="str">
        <x:f>IF('전기원장'!A738="","",'전기원장'!J738)</x:f>
      </x:c>
      <x:c r="J738" s="73" t="str">
        <x:f>IF('전기원장'!A738="","",'전기원장'!K738)</x:f>
      </x:c>
      <x:c r="K738" s="73" t="str">
        <x:f>IF(B738="","",IF(COUNTIF($B$5:B738,B738)=1,COUNT($K$4:K737)+1,""))</x:f>
      </x:c>
      <x:c r="L738" s="85" t="str">
        <x:f>IF(B738="","",IF(COUNTIFS('계정비교'!$A$5:$A$1004,B738,'계정비교'!$H$5:$H$1004,"원인분석 대상")&gt;0,COUNT($L$4:L737)+1,""))</x:f>
      </x:c>
    </x:row>
    <x:row r="739">
      <x:c r="A739" s="73" t="str">
        <x:f>IF('전기원장'!A739="","","전기")</x:f>
      </x:c>
      <x:c r="B739" s="73" t="str">
        <x:f>IF('전기원장'!A739="","",'전기원장'!A739)</x:f>
      </x:c>
      <x:c r="C739" s="73" t="str">
        <x:f>IF('전기원장'!A739="","",'전기원장'!B739)</x:f>
      </x:c>
      <x:c r="D739" s="74" t="str">
        <x:f>IF('전기원장'!A739="","",'전기원장'!C739)</x:f>
      </x:c>
      <x:c r="E739" s="73" t="str">
        <x:f>IF('전기원장'!A739="","",'전기원장'!D739)</x:f>
      </x:c>
      <x:c r="F739" s="73" t="str">
        <x:f>IF('전기원장'!A739="","",'전기원장'!E739)</x:f>
      </x:c>
      <x:c r="G739" s="75" t="str">
        <x:f>IF('전기원장'!A739="","",'전기원장'!H739)</x:f>
      </x:c>
      <x:c r="H739" s="73" t="str">
        <x:f>IF('전기원장'!A739="","",'전기원장'!I739)</x:f>
      </x:c>
      <x:c r="I739" s="73" t="str">
        <x:f>IF('전기원장'!A739="","",'전기원장'!J739)</x:f>
      </x:c>
      <x:c r="J739" s="73" t="str">
        <x:f>IF('전기원장'!A739="","",'전기원장'!K739)</x:f>
      </x:c>
      <x:c r="K739" s="73" t="str">
        <x:f>IF(B739="","",IF(COUNTIF($B$5:B739,B739)=1,COUNT($K$4:K738)+1,""))</x:f>
      </x:c>
      <x:c r="L739" s="85" t="str">
        <x:f>IF(B739="","",IF(COUNTIFS('계정비교'!$A$5:$A$1004,B739,'계정비교'!$H$5:$H$1004,"원인분석 대상")&gt;0,COUNT($L$4:L738)+1,""))</x:f>
      </x:c>
    </x:row>
    <x:row r="740">
      <x:c r="A740" s="73" t="str">
        <x:f>IF('전기원장'!A740="","","전기")</x:f>
      </x:c>
      <x:c r="B740" s="73" t="str">
        <x:f>IF('전기원장'!A740="","",'전기원장'!A740)</x:f>
      </x:c>
      <x:c r="C740" s="73" t="str">
        <x:f>IF('전기원장'!A740="","",'전기원장'!B740)</x:f>
      </x:c>
      <x:c r="D740" s="74" t="str">
        <x:f>IF('전기원장'!A740="","",'전기원장'!C740)</x:f>
      </x:c>
      <x:c r="E740" s="73" t="str">
        <x:f>IF('전기원장'!A740="","",'전기원장'!D740)</x:f>
      </x:c>
      <x:c r="F740" s="73" t="str">
        <x:f>IF('전기원장'!A740="","",'전기원장'!E740)</x:f>
      </x:c>
      <x:c r="G740" s="75" t="str">
        <x:f>IF('전기원장'!A740="","",'전기원장'!H740)</x:f>
      </x:c>
      <x:c r="H740" s="73" t="str">
        <x:f>IF('전기원장'!A740="","",'전기원장'!I740)</x:f>
      </x:c>
      <x:c r="I740" s="73" t="str">
        <x:f>IF('전기원장'!A740="","",'전기원장'!J740)</x:f>
      </x:c>
      <x:c r="J740" s="73" t="str">
        <x:f>IF('전기원장'!A740="","",'전기원장'!K740)</x:f>
      </x:c>
      <x:c r="K740" s="73" t="str">
        <x:f>IF(B740="","",IF(COUNTIF($B$5:B740,B740)=1,COUNT($K$4:K739)+1,""))</x:f>
      </x:c>
      <x:c r="L740" s="85" t="str">
        <x:f>IF(B740="","",IF(COUNTIFS('계정비교'!$A$5:$A$1004,B740,'계정비교'!$H$5:$H$1004,"원인분석 대상")&gt;0,COUNT($L$4:L739)+1,""))</x:f>
      </x:c>
    </x:row>
    <x:row r="741">
      <x:c r="A741" s="73" t="str">
        <x:f>IF('전기원장'!A741="","","전기")</x:f>
      </x:c>
      <x:c r="B741" s="73" t="str">
        <x:f>IF('전기원장'!A741="","",'전기원장'!A741)</x:f>
      </x:c>
      <x:c r="C741" s="73" t="str">
        <x:f>IF('전기원장'!A741="","",'전기원장'!B741)</x:f>
      </x:c>
      <x:c r="D741" s="74" t="str">
        <x:f>IF('전기원장'!A741="","",'전기원장'!C741)</x:f>
      </x:c>
      <x:c r="E741" s="73" t="str">
        <x:f>IF('전기원장'!A741="","",'전기원장'!D741)</x:f>
      </x:c>
      <x:c r="F741" s="73" t="str">
        <x:f>IF('전기원장'!A741="","",'전기원장'!E741)</x:f>
      </x:c>
      <x:c r="G741" s="75" t="str">
        <x:f>IF('전기원장'!A741="","",'전기원장'!H741)</x:f>
      </x:c>
      <x:c r="H741" s="73" t="str">
        <x:f>IF('전기원장'!A741="","",'전기원장'!I741)</x:f>
      </x:c>
      <x:c r="I741" s="73" t="str">
        <x:f>IF('전기원장'!A741="","",'전기원장'!J741)</x:f>
      </x:c>
      <x:c r="J741" s="73" t="str">
        <x:f>IF('전기원장'!A741="","",'전기원장'!K741)</x:f>
      </x:c>
      <x:c r="K741" s="73" t="str">
        <x:f>IF(B741="","",IF(COUNTIF($B$5:B741,B741)=1,COUNT($K$4:K740)+1,""))</x:f>
      </x:c>
      <x:c r="L741" s="85" t="str">
        <x:f>IF(B741="","",IF(COUNTIFS('계정비교'!$A$5:$A$1004,B741,'계정비교'!$H$5:$H$1004,"원인분석 대상")&gt;0,COUNT($L$4:L740)+1,""))</x:f>
      </x:c>
    </x:row>
    <x:row r="742">
      <x:c r="A742" s="73" t="str">
        <x:f>IF('전기원장'!A742="","","전기")</x:f>
      </x:c>
      <x:c r="B742" s="73" t="str">
        <x:f>IF('전기원장'!A742="","",'전기원장'!A742)</x:f>
      </x:c>
      <x:c r="C742" s="73" t="str">
        <x:f>IF('전기원장'!A742="","",'전기원장'!B742)</x:f>
      </x:c>
      <x:c r="D742" s="74" t="str">
        <x:f>IF('전기원장'!A742="","",'전기원장'!C742)</x:f>
      </x:c>
      <x:c r="E742" s="73" t="str">
        <x:f>IF('전기원장'!A742="","",'전기원장'!D742)</x:f>
      </x:c>
      <x:c r="F742" s="73" t="str">
        <x:f>IF('전기원장'!A742="","",'전기원장'!E742)</x:f>
      </x:c>
      <x:c r="G742" s="75" t="str">
        <x:f>IF('전기원장'!A742="","",'전기원장'!H742)</x:f>
      </x:c>
      <x:c r="H742" s="73" t="str">
        <x:f>IF('전기원장'!A742="","",'전기원장'!I742)</x:f>
      </x:c>
      <x:c r="I742" s="73" t="str">
        <x:f>IF('전기원장'!A742="","",'전기원장'!J742)</x:f>
      </x:c>
      <x:c r="J742" s="73" t="str">
        <x:f>IF('전기원장'!A742="","",'전기원장'!K742)</x:f>
      </x:c>
      <x:c r="K742" s="73" t="str">
        <x:f>IF(B742="","",IF(COUNTIF($B$5:B742,B742)=1,COUNT($K$4:K741)+1,""))</x:f>
      </x:c>
      <x:c r="L742" s="85" t="str">
        <x:f>IF(B742="","",IF(COUNTIFS('계정비교'!$A$5:$A$1004,B742,'계정비교'!$H$5:$H$1004,"원인분석 대상")&gt;0,COUNT($L$4:L741)+1,""))</x:f>
      </x:c>
    </x:row>
    <x:row r="743">
      <x:c r="A743" s="73" t="str">
        <x:f>IF('전기원장'!A743="","","전기")</x:f>
      </x:c>
      <x:c r="B743" s="73" t="str">
        <x:f>IF('전기원장'!A743="","",'전기원장'!A743)</x:f>
      </x:c>
      <x:c r="C743" s="73" t="str">
        <x:f>IF('전기원장'!A743="","",'전기원장'!B743)</x:f>
      </x:c>
      <x:c r="D743" s="74" t="str">
        <x:f>IF('전기원장'!A743="","",'전기원장'!C743)</x:f>
      </x:c>
      <x:c r="E743" s="73" t="str">
        <x:f>IF('전기원장'!A743="","",'전기원장'!D743)</x:f>
      </x:c>
      <x:c r="F743" s="73" t="str">
        <x:f>IF('전기원장'!A743="","",'전기원장'!E743)</x:f>
      </x:c>
      <x:c r="G743" s="75" t="str">
        <x:f>IF('전기원장'!A743="","",'전기원장'!H743)</x:f>
      </x:c>
      <x:c r="H743" s="73" t="str">
        <x:f>IF('전기원장'!A743="","",'전기원장'!I743)</x:f>
      </x:c>
      <x:c r="I743" s="73" t="str">
        <x:f>IF('전기원장'!A743="","",'전기원장'!J743)</x:f>
      </x:c>
      <x:c r="J743" s="73" t="str">
        <x:f>IF('전기원장'!A743="","",'전기원장'!K743)</x:f>
      </x:c>
      <x:c r="K743" s="73" t="str">
        <x:f>IF(B743="","",IF(COUNTIF($B$5:B743,B743)=1,COUNT($K$4:K742)+1,""))</x:f>
      </x:c>
      <x:c r="L743" s="85" t="str">
        <x:f>IF(B743="","",IF(COUNTIFS('계정비교'!$A$5:$A$1004,B743,'계정비교'!$H$5:$H$1004,"원인분석 대상")&gt;0,COUNT($L$4:L742)+1,""))</x:f>
      </x:c>
    </x:row>
    <x:row r="744">
      <x:c r="A744" s="73" t="str">
        <x:f>IF('전기원장'!A744="","","전기")</x:f>
      </x:c>
      <x:c r="B744" s="73" t="str">
        <x:f>IF('전기원장'!A744="","",'전기원장'!A744)</x:f>
      </x:c>
      <x:c r="C744" s="73" t="str">
        <x:f>IF('전기원장'!A744="","",'전기원장'!B744)</x:f>
      </x:c>
      <x:c r="D744" s="74" t="str">
        <x:f>IF('전기원장'!A744="","",'전기원장'!C744)</x:f>
      </x:c>
      <x:c r="E744" s="73" t="str">
        <x:f>IF('전기원장'!A744="","",'전기원장'!D744)</x:f>
      </x:c>
      <x:c r="F744" s="73" t="str">
        <x:f>IF('전기원장'!A744="","",'전기원장'!E744)</x:f>
      </x:c>
      <x:c r="G744" s="75" t="str">
        <x:f>IF('전기원장'!A744="","",'전기원장'!H744)</x:f>
      </x:c>
      <x:c r="H744" s="73" t="str">
        <x:f>IF('전기원장'!A744="","",'전기원장'!I744)</x:f>
      </x:c>
      <x:c r="I744" s="73" t="str">
        <x:f>IF('전기원장'!A744="","",'전기원장'!J744)</x:f>
      </x:c>
      <x:c r="J744" s="73" t="str">
        <x:f>IF('전기원장'!A744="","",'전기원장'!K744)</x:f>
      </x:c>
      <x:c r="K744" s="73" t="str">
        <x:f>IF(B744="","",IF(COUNTIF($B$5:B744,B744)=1,COUNT($K$4:K743)+1,""))</x:f>
      </x:c>
      <x:c r="L744" s="85" t="str">
        <x:f>IF(B744="","",IF(COUNTIFS('계정비교'!$A$5:$A$1004,B744,'계정비교'!$H$5:$H$1004,"원인분석 대상")&gt;0,COUNT($L$4:L743)+1,""))</x:f>
      </x:c>
    </x:row>
    <x:row r="745">
      <x:c r="A745" s="73" t="str">
        <x:f>IF('전기원장'!A745="","","전기")</x:f>
      </x:c>
      <x:c r="B745" s="73" t="str">
        <x:f>IF('전기원장'!A745="","",'전기원장'!A745)</x:f>
      </x:c>
      <x:c r="C745" s="73" t="str">
        <x:f>IF('전기원장'!A745="","",'전기원장'!B745)</x:f>
      </x:c>
      <x:c r="D745" s="74" t="str">
        <x:f>IF('전기원장'!A745="","",'전기원장'!C745)</x:f>
      </x:c>
      <x:c r="E745" s="73" t="str">
        <x:f>IF('전기원장'!A745="","",'전기원장'!D745)</x:f>
      </x:c>
      <x:c r="F745" s="73" t="str">
        <x:f>IF('전기원장'!A745="","",'전기원장'!E745)</x:f>
      </x:c>
      <x:c r="G745" s="75" t="str">
        <x:f>IF('전기원장'!A745="","",'전기원장'!H745)</x:f>
      </x:c>
      <x:c r="H745" s="73" t="str">
        <x:f>IF('전기원장'!A745="","",'전기원장'!I745)</x:f>
      </x:c>
      <x:c r="I745" s="73" t="str">
        <x:f>IF('전기원장'!A745="","",'전기원장'!J745)</x:f>
      </x:c>
      <x:c r="J745" s="73" t="str">
        <x:f>IF('전기원장'!A745="","",'전기원장'!K745)</x:f>
      </x:c>
      <x:c r="K745" s="73" t="str">
        <x:f>IF(B745="","",IF(COUNTIF($B$5:B745,B745)=1,COUNT($K$4:K744)+1,""))</x:f>
      </x:c>
      <x:c r="L745" s="85" t="str">
        <x:f>IF(B745="","",IF(COUNTIFS('계정비교'!$A$5:$A$1004,B745,'계정비교'!$H$5:$H$1004,"원인분석 대상")&gt;0,COUNT($L$4:L744)+1,""))</x:f>
      </x:c>
    </x:row>
    <x:row r="746">
      <x:c r="A746" s="73" t="str">
        <x:f>IF('전기원장'!A746="","","전기")</x:f>
      </x:c>
      <x:c r="B746" s="73" t="str">
        <x:f>IF('전기원장'!A746="","",'전기원장'!A746)</x:f>
      </x:c>
      <x:c r="C746" s="73" t="str">
        <x:f>IF('전기원장'!A746="","",'전기원장'!B746)</x:f>
      </x:c>
      <x:c r="D746" s="74" t="str">
        <x:f>IF('전기원장'!A746="","",'전기원장'!C746)</x:f>
      </x:c>
      <x:c r="E746" s="73" t="str">
        <x:f>IF('전기원장'!A746="","",'전기원장'!D746)</x:f>
      </x:c>
      <x:c r="F746" s="73" t="str">
        <x:f>IF('전기원장'!A746="","",'전기원장'!E746)</x:f>
      </x:c>
      <x:c r="G746" s="75" t="str">
        <x:f>IF('전기원장'!A746="","",'전기원장'!H746)</x:f>
      </x:c>
      <x:c r="H746" s="73" t="str">
        <x:f>IF('전기원장'!A746="","",'전기원장'!I746)</x:f>
      </x:c>
      <x:c r="I746" s="73" t="str">
        <x:f>IF('전기원장'!A746="","",'전기원장'!J746)</x:f>
      </x:c>
      <x:c r="J746" s="73" t="str">
        <x:f>IF('전기원장'!A746="","",'전기원장'!K746)</x:f>
      </x:c>
      <x:c r="K746" s="73" t="str">
        <x:f>IF(B746="","",IF(COUNTIF($B$5:B746,B746)=1,COUNT($K$4:K745)+1,""))</x:f>
      </x:c>
      <x:c r="L746" s="85" t="str">
        <x:f>IF(B746="","",IF(COUNTIFS('계정비교'!$A$5:$A$1004,B746,'계정비교'!$H$5:$H$1004,"원인분석 대상")&gt;0,COUNT($L$4:L745)+1,""))</x:f>
      </x:c>
    </x:row>
    <x:row r="747">
      <x:c r="A747" s="73" t="str">
        <x:f>IF('전기원장'!A747="","","전기")</x:f>
      </x:c>
      <x:c r="B747" s="73" t="str">
        <x:f>IF('전기원장'!A747="","",'전기원장'!A747)</x:f>
      </x:c>
      <x:c r="C747" s="73" t="str">
        <x:f>IF('전기원장'!A747="","",'전기원장'!B747)</x:f>
      </x:c>
      <x:c r="D747" s="74" t="str">
        <x:f>IF('전기원장'!A747="","",'전기원장'!C747)</x:f>
      </x:c>
      <x:c r="E747" s="73" t="str">
        <x:f>IF('전기원장'!A747="","",'전기원장'!D747)</x:f>
      </x:c>
      <x:c r="F747" s="73" t="str">
        <x:f>IF('전기원장'!A747="","",'전기원장'!E747)</x:f>
      </x:c>
      <x:c r="G747" s="75" t="str">
        <x:f>IF('전기원장'!A747="","",'전기원장'!H747)</x:f>
      </x:c>
      <x:c r="H747" s="73" t="str">
        <x:f>IF('전기원장'!A747="","",'전기원장'!I747)</x:f>
      </x:c>
      <x:c r="I747" s="73" t="str">
        <x:f>IF('전기원장'!A747="","",'전기원장'!J747)</x:f>
      </x:c>
      <x:c r="J747" s="73" t="str">
        <x:f>IF('전기원장'!A747="","",'전기원장'!K747)</x:f>
      </x:c>
      <x:c r="K747" s="73" t="str">
        <x:f>IF(B747="","",IF(COUNTIF($B$5:B747,B747)=1,COUNT($K$4:K746)+1,""))</x:f>
      </x:c>
      <x:c r="L747" s="85" t="str">
        <x:f>IF(B747="","",IF(COUNTIFS('계정비교'!$A$5:$A$1004,B747,'계정비교'!$H$5:$H$1004,"원인분석 대상")&gt;0,COUNT($L$4:L746)+1,""))</x:f>
      </x:c>
    </x:row>
    <x:row r="748">
      <x:c r="A748" s="73" t="str">
        <x:f>IF('전기원장'!A748="","","전기")</x:f>
      </x:c>
      <x:c r="B748" s="73" t="str">
        <x:f>IF('전기원장'!A748="","",'전기원장'!A748)</x:f>
      </x:c>
      <x:c r="C748" s="73" t="str">
        <x:f>IF('전기원장'!A748="","",'전기원장'!B748)</x:f>
      </x:c>
      <x:c r="D748" s="74" t="str">
        <x:f>IF('전기원장'!A748="","",'전기원장'!C748)</x:f>
      </x:c>
      <x:c r="E748" s="73" t="str">
        <x:f>IF('전기원장'!A748="","",'전기원장'!D748)</x:f>
      </x:c>
      <x:c r="F748" s="73" t="str">
        <x:f>IF('전기원장'!A748="","",'전기원장'!E748)</x:f>
      </x:c>
      <x:c r="G748" s="75" t="str">
        <x:f>IF('전기원장'!A748="","",'전기원장'!H748)</x:f>
      </x:c>
      <x:c r="H748" s="73" t="str">
        <x:f>IF('전기원장'!A748="","",'전기원장'!I748)</x:f>
      </x:c>
      <x:c r="I748" s="73" t="str">
        <x:f>IF('전기원장'!A748="","",'전기원장'!J748)</x:f>
      </x:c>
      <x:c r="J748" s="73" t="str">
        <x:f>IF('전기원장'!A748="","",'전기원장'!K748)</x:f>
      </x:c>
      <x:c r="K748" s="73" t="str">
        <x:f>IF(B748="","",IF(COUNTIF($B$5:B748,B748)=1,COUNT($K$4:K747)+1,""))</x:f>
      </x:c>
      <x:c r="L748" s="85" t="str">
        <x:f>IF(B748="","",IF(COUNTIFS('계정비교'!$A$5:$A$1004,B748,'계정비교'!$H$5:$H$1004,"원인분석 대상")&gt;0,COUNT($L$4:L747)+1,""))</x:f>
      </x:c>
    </x:row>
    <x:row r="749">
      <x:c r="A749" s="73" t="str">
        <x:f>IF('전기원장'!A749="","","전기")</x:f>
      </x:c>
      <x:c r="B749" s="73" t="str">
        <x:f>IF('전기원장'!A749="","",'전기원장'!A749)</x:f>
      </x:c>
      <x:c r="C749" s="73" t="str">
        <x:f>IF('전기원장'!A749="","",'전기원장'!B749)</x:f>
      </x:c>
      <x:c r="D749" s="74" t="str">
        <x:f>IF('전기원장'!A749="","",'전기원장'!C749)</x:f>
      </x:c>
      <x:c r="E749" s="73" t="str">
        <x:f>IF('전기원장'!A749="","",'전기원장'!D749)</x:f>
      </x:c>
      <x:c r="F749" s="73" t="str">
        <x:f>IF('전기원장'!A749="","",'전기원장'!E749)</x:f>
      </x:c>
      <x:c r="G749" s="75" t="str">
        <x:f>IF('전기원장'!A749="","",'전기원장'!H749)</x:f>
      </x:c>
      <x:c r="H749" s="73" t="str">
        <x:f>IF('전기원장'!A749="","",'전기원장'!I749)</x:f>
      </x:c>
      <x:c r="I749" s="73" t="str">
        <x:f>IF('전기원장'!A749="","",'전기원장'!J749)</x:f>
      </x:c>
      <x:c r="J749" s="73" t="str">
        <x:f>IF('전기원장'!A749="","",'전기원장'!K749)</x:f>
      </x:c>
      <x:c r="K749" s="73" t="str">
        <x:f>IF(B749="","",IF(COUNTIF($B$5:B749,B749)=1,COUNT($K$4:K748)+1,""))</x:f>
      </x:c>
      <x:c r="L749" s="85" t="str">
        <x:f>IF(B749="","",IF(COUNTIFS('계정비교'!$A$5:$A$1004,B749,'계정비교'!$H$5:$H$1004,"원인분석 대상")&gt;0,COUNT($L$4:L748)+1,""))</x:f>
      </x:c>
    </x:row>
    <x:row r="750">
      <x:c r="A750" s="73" t="str">
        <x:f>IF('전기원장'!A750="","","전기")</x:f>
      </x:c>
      <x:c r="B750" s="73" t="str">
        <x:f>IF('전기원장'!A750="","",'전기원장'!A750)</x:f>
      </x:c>
      <x:c r="C750" s="73" t="str">
        <x:f>IF('전기원장'!A750="","",'전기원장'!B750)</x:f>
      </x:c>
      <x:c r="D750" s="74" t="str">
        <x:f>IF('전기원장'!A750="","",'전기원장'!C750)</x:f>
      </x:c>
      <x:c r="E750" s="73" t="str">
        <x:f>IF('전기원장'!A750="","",'전기원장'!D750)</x:f>
      </x:c>
      <x:c r="F750" s="73" t="str">
        <x:f>IF('전기원장'!A750="","",'전기원장'!E750)</x:f>
      </x:c>
      <x:c r="G750" s="75" t="str">
        <x:f>IF('전기원장'!A750="","",'전기원장'!H750)</x:f>
      </x:c>
      <x:c r="H750" s="73" t="str">
        <x:f>IF('전기원장'!A750="","",'전기원장'!I750)</x:f>
      </x:c>
      <x:c r="I750" s="73" t="str">
        <x:f>IF('전기원장'!A750="","",'전기원장'!J750)</x:f>
      </x:c>
      <x:c r="J750" s="73" t="str">
        <x:f>IF('전기원장'!A750="","",'전기원장'!K750)</x:f>
      </x:c>
      <x:c r="K750" s="73" t="str">
        <x:f>IF(B750="","",IF(COUNTIF($B$5:B750,B750)=1,COUNT($K$4:K749)+1,""))</x:f>
      </x:c>
      <x:c r="L750" s="85" t="str">
        <x:f>IF(B750="","",IF(COUNTIFS('계정비교'!$A$5:$A$1004,B750,'계정비교'!$H$5:$H$1004,"원인분석 대상")&gt;0,COUNT($L$4:L749)+1,""))</x:f>
      </x:c>
    </x:row>
    <x:row r="751">
      <x:c r="A751" s="73" t="str">
        <x:f>IF('전기원장'!A751="","","전기")</x:f>
      </x:c>
      <x:c r="B751" s="73" t="str">
        <x:f>IF('전기원장'!A751="","",'전기원장'!A751)</x:f>
      </x:c>
      <x:c r="C751" s="73" t="str">
        <x:f>IF('전기원장'!A751="","",'전기원장'!B751)</x:f>
      </x:c>
      <x:c r="D751" s="74" t="str">
        <x:f>IF('전기원장'!A751="","",'전기원장'!C751)</x:f>
      </x:c>
      <x:c r="E751" s="73" t="str">
        <x:f>IF('전기원장'!A751="","",'전기원장'!D751)</x:f>
      </x:c>
      <x:c r="F751" s="73" t="str">
        <x:f>IF('전기원장'!A751="","",'전기원장'!E751)</x:f>
      </x:c>
      <x:c r="G751" s="75" t="str">
        <x:f>IF('전기원장'!A751="","",'전기원장'!H751)</x:f>
      </x:c>
      <x:c r="H751" s="73" t="str">
        <x:f>IF('전기원장'!A751="","",'전기원장'!I751)</x:f>
      </x:c>
      <x:c r="I751" s="73" t="str">
        <x:f>IF('전기원장'!A751="","",'전기원장'!J751)</x:f>
      </x:c>
      <x:c r="J751" s="73" t="str">
        <x:f>IF('전기원장'!A751="","",'전기원장'!K751)</x:f>
      </x:c>
      <x:c r="K751" s="73" t="str">
        <x:f>IF(B751="","",IF(COUNTIF($B$5:B751,B751)=1,COUNT($K$4:K750)+1,""))</x:f>
      </x:c>
      <x:c r="L751" s="85" t="str">
        <x:f>IF(B751="","",IF(COUNTIFS('계정비교'!$A$5:$A$1004,B751,'계정비교'!$H$5:$H$1004,"원인분석 대상")&gt;0,COUNT($L$4:L750)+1,""))</x:f>
      </x:c>
    </x:row>
    <x:row r="752">
      <x:c r="A752" s="73" t="str">
        <x:f>IF('전기원장'!A752="","","전기")</x:f>
      </x:c>
      <x:c r="B752" s="73" t="str">
        <x:f>IF('전기원장'!A752="","",'전기원장'!A752)</x:f>
      </x:c>
      <x:c r="C752" s="73" t="str">
        <x:f>IF('전기원장'!A752="","",'전기원장'!B752)</x:f>
      </x:c>
      <x:c r="D752" s="74" t="str">
        <x:f>IF('전기원장'!A752="","",'전기원장'!C752)</x:f>
      </x:c>
      <x:c r="E752" s="73" t="str">
        <x:f>IF('전기원장'!A752="","",'전기원장'!D752)</x:f>
      </x:c>
      <x:c r="F752" s="73" t="str">
        <x:f>IF('전기원장'!A752="","",'전기원장'!E752)</x:f>
      </x:c>
      <x:c r="G752" s="75" t="str">
        <x:f>IF('전기원장'!A752="","",'전기원장'!H752)</x:f>
      </x:c>
      <x:c r="H752" s="73" t="str">
        <x:f>IF('전기원장'!A752="","",'전기원장'!I752)</x:f>
      </x:c>
      <x:c r="I752" s="73" t="str">
        <x:f>IF('전기원장'!A752="","",'전기원장'!J752)</x:f>
      </x:c>
      <x:c r="J752" s="73" t="str">
        <x:f>IF('전기원장'!A752="","",'전기원장'!K752)</x:f>
      </x:c>
      <x:c r="K752" s="73" t="str">
        <x:f>IF(B752="","",IF(COUNTIF($B$5:B752,B752)=1,COUNT($K$4:K751)+1,""))</x:f>
      </x:c>
      <x:c r="L752" s="85" t="str">
        <x:f>IF(B752="","",IF(COUNTIFS('계정비교'!$A$5:$A$1004,B752,'계정비교'!$H$5:$H$1004,"원인분석 대상")&gt;0,COUNT($L$4:L751)+1,""))</x:f>
      </x:c>
    </x:row>
    <x:row r="753">
      <x:c r="A753" s="73" t="str">
        <x:f>IF('전기원장'!A753="","","전기")</x:f>
      </x:c>
      <x:c r="B753" s="73" t="str">
        <x:f>IF('전기원장'!A753="","",'전기원장'!A753)</x:f>
      </x:c>
      <x:c r="C753" s="73" t="str">
        <x:f>IF('전기원장'!A753="","",'전기원장'!B753)</x:f>
      </x:c>
      <x:c r="D753" s="74" t="str">
        <x:f>IF('전기원장'!A753="","",'전기원장'!C753)</x:f>
      </x:c>
      <x:c r="E753" s="73" t="str">
        <x:f>IF('전기원장'!A753="","",'전기원장'!D753)</x:f>
      </x:c>
      <x:c r="F753" s="73" t="str">
        <x:f>IF('전기원장'!A753="","",'전기원장'!E753)</x:f>
      </x:c>
      <x:c r="G753" s="75" t="str">
        <x:f>IF('전기원장'!A753="","",'전기원장'!H753)</x:f>
      </x:c>
      <x:c r="H753" s="73" t="str">
        <x:f>IF('전기원장'!A753="","",'전기원장'!I753)</x:f>
      </x:c>
      <x:c r="I753" s="73" t="str">
        <x:f>IF('전기원장'!A753="","",'전기원장'!J753)</x:f>
      </x:c>
      <x:c r="J753" s="73" t="str">
        <x:f>IF('전기원장'!A753="","",'전기원장'!K753)</x:f>
      </x:c>
      <x:c r="K753" s="73" t="str">
        <x:f>IF(B753="","",IF(COUNTIF($B$5:B753,B753)=1,COUNT($K$4:K752)+1,""))</x:f>
      </x:c>
      <x:c r="L753" s="85" t="str">
        <x:f>IF(B753="","",IF(COUNTIFS('계정비교'!$A$5:$A$1004,B753,'계정비교'!$H$5:$H$1004,"원인분석 대상")&gt;0,COUNT($L$4:L752)+1,""))</x:f>
      </x:c>
    </x:row>
    <x:row r="754">
      <x:c r="A754" s="73" t="str">
        <x:f>IF('전기원장'!A754="","","전기")</x:f>
      </x:c>
      <x:c r="B754" s="73" t="str">
        <x:f>IF('전기원장'!A754="","",'전기원장'!A754)</x:f>
      </x:c>
      <x:c r="C754" s="73" t="str">
        <x:f>IF('전기원장'!A754="","",'전기원장'!B754)</x:f>
      </x:c>
      <x:c r="D754" s="74" t="str">
        <x:f>IF('전기원장'!A754="","",'전기원장'!C754)</x:f>
      </x:c>
      <x:c r="E754" s="73" t="str">
        <x:f>IF('전기원장'!A754="","",'전기원장'!D754)</x:f>
      </x:c>
      <x:c r="F754" s="73" t="str">
        <x:f>IF('전기원장'!A754="","",'전기원장'!E754)</x:f>
      </x:c>
      <x:c r="G754" s="75" t="str">
        <x:f>IF('전기원장'!A754="","",'전기원장'!H754)</x:f>
      </x:c>
      <x:c r="H754" s="73" t="str">
        <x:f>IF('전기원장'!A754="","",'전기원장'!I754)</x:f>
      </x:c>
      <x:c r="I754" s="73" t="str">
        <x:f>IF('전기원장'!A754="","",'전기원장'!J754)</x:f>
      </x:c>
      <x:c r="J754" s="73" t="str">
        <x:f>IF('전기원장'!A754="","",'전기원장'!K754)</x:f>
      </x:c>
      <x:c r="K754" s="73" t="str">
        <x:f>IF(B754="","",IF(COUNTIF($B$5:B754,B754)=1,COUNT($K$4:K753)+1,""))</x:f>
      </x:c>
      <x:c r="L754" s="85" t="str">
        <x:f>IF(B754="","",IF(COUNTIFS('계정비교'!$A$5:$A$1004,B754,'계정비교'!$H$5:$H$1004,"원인분석 대상")&gt;0,COUNT($L$4:L753)+1,""))</x:f>
      </x:c>
    </x:row>
    <x:row r="755">
      <x:c r="A755" s="73" t="str">
        <x:f>IF('전기원장'!A755="","","전기")</x:f>
      </x:c>
      <x:c r="B755" s="73" t="str">
        <x:f>IF('전기원장'!A755="","",'전기원장'!A755)</x:f>
      </x:c>
      <x:c r="C755" s="73" t="str">
        <x:f>IF('전기원장'!A755="","",'전기원장'!B755)</x:f>
      </x:c>
      <x:c r="D755" s="74" t="str">
        <x:f>IF('전기원장'!A755="","",'전기원장'!C755)</x:f>
      </x:c>
      <x:c r="E755" s="73" t="str">
        <x:f>IF('전기원장'!A755="","",'전기원장'!D755)</x:f>
      </x:c>
      <x:c r="F755" s="73" t="str">
        <x:f>IF('전기원장'!A755="","",'전기원장'!E755)</x:f>
      </x:c>
      <x:c r="G755" s="75" t="str">
        <x:f>IF('전기원장'!A755="","",'전기원장'!H755)</x:f>
      </x:c>
      <x:c r="H755" s="73" t="str">
        <x:f>IF('전기원장'!A755="","",'전기원장'!I755)</x:f>
      </x:c>
      <x:c r="I755" s="73" t="str">
        <x:f>IF('전기원장'!A755="","",'전기원장'!J755)</x:f>
      </x:c>
      <x:c r="J755" s="73" t="str">
        <x:f>IF('전기원장'!A755="","",'전기원장'!K755)</x:f>
      </x:c>
      <x:c r="K755" s="73" t="str">
        <x:f>IF(B755="","",IF(COUNTIF($B$5:B755,B755)=1,COUNT($K$4:K754)+1,""))</x:f>
      </x:c>
      <x:c r="L755" s="85" t="str">
        <x:f>IF(B755="","",IF(COUNTIFS('계정비교'!$A$5:$A$1004,B755,'계정비교'!$H$5:$H$1004,"원인분석 대상")&gt;0,COUNT($L$4:L754)+1,""))</x:f>
      </x:c>
    </x:row>
    <x:row r="756">
      <x:c r="A756" s="73" t="str">
        <x:f>IF('전기원장'!A756="","","전기")</x:f>
      </x:c>
      <x:c r="B756" s="73" t="str">
        <x:f>IF('전기원장'!A756="","",'전기원장'!A756)</x:f>
      </x:c>
      <x:c r="C756" s="73" t="str">
        <x:f>IF('전기원장'!A756="","",'전기원장'!B756)</x:f>
      </x:c>
      <x:c r="D756" s="74" t="str">
        <x:f>IF('전기원장'!A756="","",'전기원장'!C756)</x:f>
      </x:c>
      <x:c r="E756" s="73" t="str">
        <x:f>IF('전기원장'!A756="","",'전기원장'!D756)</x:f>
      </x:c>
      <x:c r="F756" s="73" t="str">
        <x:f>IF('전기원장'!A756="","",'전기원장'!E756)</x:f>
      </x:c>
      <x:c r="G756" s="75" t="str">
        <x:f>IF('전기원장'!A756="","",'전기원장'!H756)</x:f>
      </x:c>
      <x:c r="H756" s="73" t="str">
        <x:f>IF('전기원장'!A756="","",'전기원장'!I756)</x:f>
      </x:c>
      <x:c r="I756" s="73" t="str">
        <x:f>IF('전기원장'!A756="","",'전기원장'!J756)</x:f>
      </x:c>
      <x:c r="J756" s="73" t="str">
        <x:f>IF('전기원장'!A756="","",'전기원장'!K756)</x:f>
      </x:c>
      <x:c r="K756" s="73" t="str">
        <x:f>IF(B756="","",IF(COUNTIF($B$5:B756,B756)=1,COUNT($K$4:K755)+1,""))</x:f>
      </x:c>
      <x:c r="L756" s="85" t="str">
        <x:f>IF(B756="","",IF(COUNTIFS('계정비교'!$A$5:$A$1004,B756,'계정비교'!$H$5:$H$1004,"원인분석 대상")&gt;0,COUNT($L$4:L755)+1,""))</x:f>
      </x:c>
    </x:row>
    <x:row r="757">
      <x:c r="A757" s="73" t="str">
        <x:f>IF('전기원장'!A757="","","전기")</x:f>
      </x:c>
      <x:c r="B757" s="73" t="str">
        <x:f>IF('전기원장'!A757="","",'전기원장'!A757)</x:f>
      </x:c>
      <x:c r="C757" s="73" t="str">
        <x:f>IF('전기원장'!A757="","",'전기원장'!B757)</x:f>
      </x:c>
      <x:c r="D757" s="74" t="str">
        <x:f>IF('전기원장'!A757="","",'전기원장'!C757)</x:f>
      </x:c>
      <x:c r="E757" s="73" t="str">
        <x:f>IF('전기원장'!A757="","",'전기원장'!D757)</x:f>
      </x:c>
      <x:c r="F757" s="73" t="str">
        <x:f>IF('전기원장'!A757="","",'전기원장'!E757)</x:f>
      </x:c>
      <x:c r="G757" s="75" t="str">
        <x:f>IF('전기원장'!A757="","",'전기원장'!H757)</x:f>
      </x:c>
      <x:c r="H757" s="73" t="str">
        <x:f>IF('전기원장'!A757="","",'전기원장'!I757)</x:f>
      </x:c>
      <x:c r="I757" s="73" t="str">
        <x:f>IF('전기원장'!A757="","",'전기원장'!J757)</x:f>
      </x:c>
      <x:c r="J757" s="73" t="str">
        <x:f>IF('전기원장'!A757="","",'전기원장'!K757)</x:f>
      </x:c>
      <x:c r="K757" s="73" t="str">
        <x:f>IF(B757="","",IF(COUNTIF($B$5:B757,B757)=1,COUNT($K$4:K756)+1,""))</x:f>
      </x:c>
      <x:c r="L757" s="85" t="str">
        <x:f>IF(B757="","",IF(COUNTIFS('계정비교'!$A$5:$A$1004,B757,'계정비교'!$H$5:$H$1004,"원인분석 대상")&gt;0,COUNT($L$4:L756)+1,""))</x:f>
      </x:c>
    </x:row>
    <x:row r="758">
      <x:c r="A758" s="73" t="str">
        <x:f>IF('전기원장'!A758="","","전기")</x:f>
      </x:c>
      <x:c r="B758" s="73" t="str">
        <x:f>IF('전기원장'!A758="","",'전기원장'!A758)</x:f>
      </x:c>
      <x:c r="C758" s="73" t="str">
        <x:f>IF('전기원장'!A758="","",'전기원장'!B758)</x:f>
      </x:c>
      <x:c r="D758" s="74" t="str">
        <x:f>IF('전기원장'!A758="","",'전기원장'!C758)</x:f>
      </x:c>
      <x:c r="E758" s="73" t="str">
        <x:f>IF('전기원장'!A758="","",'전기원장'!D758)</x:f>
      </x:c>
      <x:c r="F758" s="73" t="str">
        <x:f>IF('전기원장'!A758="","",'전기원장'!E758)</x:f>
      </x:c>
      <x:c r="G758" s="75" t="str">
        <x:f>IF('전기원장'!A758="","",'전기원장'!H758)</x:f>
      </x:c>
      <x:c r="H758" s="73" t="str">
        <x:f>IF('전기원장'!A758="","",'전기원장'!I758)</x:f>
      </x:c>
      <x:c r="I758" s="73" t="str">
        <x:f>IF('전기원장'!A758="","",'전기원장'!J758)</x:f>
      </x:c>
      <x:c r="J758" s="73" t="str">
        <x:f>IF('전기원장'!A758="","",'전기원장'!K758)</x:f>
      </x:c>
      <x:c r="K758" s="73" t="str">
        <x:f>IF(B758="","",IF(COUNTIF($B$5:B758,B758)=1,COUNT($K$4:K757)+1,""))</x:f>
      </x:c>
      <x:c r="L758" s="85" t="str">
        <x:f>IF(B758="","",IF(COUNTIFS('계정비교'!$A$5:$A$1004,B758,'계정비교'!$H$5:$H$1004,"원인분석 대상")&gt;0,COUNT($L$4:L757)+1,""))</x:f>
      </x:c>
    </x:row>
    <x:row r="759">
      <x:c r="A759" s="73" t="str">
        <x:f>IF('전기원장'!A759="","","전기")</x:f>
      </x:c>
      <x:c r="B759" s="73" t="str">
        <x:f>IF('전기원장'!A759="","",'전기원장'!A759)</x:f>
      </x:c>
      <x:c r="C759" s="73" t="str">
        <x:f>IF('전기원장'!A759="","",'전기원장'!B759)</x:f>
      </x:c>
      <x:c r="D759" s="74" t="str">
        <x:f>IF('전기원장'!A759="","",'전기원장'!C759)</x:f>
      </x:c>
      <x:c r="E759" s="73" t="str">
        <x:f>IF('전기원장'!A759="","",'전기원장'!D759)</x:f>
      </x:c>
      <x:c r="F759" s="73" t="str">
        <x:f>IF('전기원장'!A759="","",'전기원장'!E759)</x:f>
      </x:c>
      <x:c r="G759" s="75" t="str">
        <x:f>IF('전기원장'!A759="","",'전기원장'!H759)</x:f>
      </x:c>
      <x:c r="H759" s="73" t="str">
        <x:f>IF('전기원장'!A759="","",'전기원장'!I759)</x:f>
      </x:c>
      <x:c r="I759" s="73" t="str">
        <x:f>IF('전기원장'!A759="","",'전기원장'!J759)</x:f>
      </x:c>
      <x:c r="J759" s="73" t="str">
        <x:f>IF('전기원장'!A759="","",'전기원장'!K759)</x:f>
      </x:c>
      <x:c r="K759" s="73" t="str">
        <x:f>IF(B759="","",IF(COUNTIF($B$5:B759,B759)=1,COUNT($K$4:K758)+1,""))</x:f>
      </x:c>
      <x:c r="L759" s="85" t="str">
        <x:f>IF(B759="","",IF(COUNTIFS('계정비교'!$A$5:$A$1004,B759,'계정비교'!$H$5:$H$1004,"원인분석 대상")&gt;0,COUNT($L$4:L758)+1,""))</x:f>
      </x:c>
    </x:row>
    <x:row r="760">
      <x:c r="A760" s="73" t="str">
        <x:f>IF('전기원장'!A760="","","전기")</x:f>
      </x:c>
      <x:c r="B760" s="73" t="str">
        <x:f>IF('전기원장'!A760="","",'전기원장'!A760)</x:f>
      </x:c>
      <x:c r="C760" s="73" t="str">
        <x:f>IF('전기원장'!A760="","",'전기원장'!B760)</x:f>
      </x:c>
      <x:c r="D760" s="74" t="str">
        <x:f>IF('전기원장'!A760="","",'전기원장'!C760)</x:f>
      </x:c>
      <x:c r="E760" s="73" t="str">
        <x:f>IF('전기원장'!A760="","",'전기원장'!D760)</x:f>
      </x:c>
      <x:c r="F760" s="73" t="str">
        <x:f>IF('전기원장'!A760="","",'전기원장'!E760)</x:f>
      </x:c>
      <x:c r="G760" s="75" t="str">
        <x:f>IF('전기원장'!A760="","",'전기원장'!H760)</x:f>
      </x:c>
      <x:c r="H760" s="73" t="str">
        <x:f>IF('전기원장'!A760="","",'전기원장'!I760)</x:f>
      </x:c>
      <x:c r="I760" s="73" t="str">
        <x:f>IF('전기원장'!A760="","",'전기원장'!J760)</x:f>
      </x:c>
      <x:c r="J760" s="73" t="str">
        <x:f>IF('전기원장'!A760="","",'전기원장'!K760)</x:f>
      </x:c>
      <x:c r="K760" s="73" t="str">
        <x:f>IF(B760="","",IF(COUNTIF($B$5:B760,B760)=1,COUNT($K$4:K759)+1,""))</x:f>
      </x:c>
      <x:c r="L760" s="85" t="str">
        <x:f>IF(B760="","",IF(COUNTIFS('계정비교'!$A$5:$A$1004,B760,'계정비교'!$H$5:$H$1004,"원인분석 대상")&gt;0,COUNT($L$4:L759)+1,""))</x:f>
      </x:c>
    </x:row>
    <x:row r="761">
      <x:c r="A761" s="73" t="str">
        <x:f>IF('전기원장'!A761="","","전기")</x:f>
      </x:c>
      <x:c r="B761" s="73" t="str">
        <x:f>IF('전기원장'!A761="","",'전기원장'!A761)</x:f>
      </x:c>
      <x:c r="C761" s="73" t="str">
        <x:f>IF('전기원장'!A761="","",'전기원장'!B761)</x:f>
      </x:c>
      <x:c r="D761" s="74" t="str">
        <x:f>IF('전기원장'!A761="","",'전기원장'!C761)</x:f>
      </x:c>
      <x:c r="E761" s="73" t="str">
        <x:f>IF('전기원장'!A761="","",'전기원장'!D761)</x:f>
      </x:c>
      <x:c r="F761" s="73" t="str">
        <x:f>IF('전기원장'!A761="","",'전기원장'!E761)</x:f>
      </x:c>
      <x:c r="G761" s="75" t="str">
        <x:f>IF('전기원장'!A761="","",'전기원장'!H761)</x:f>
      </x:c>
      <x:c r="H761" s="73" t="str">
        <x:f>IF('전기원장'!A761="","",'전기원장'!I761)</x:f>
      </x:c>
      <x:c r="I761" s="73" t="str">
        <x:f>IF('전기원장'!A761="","",'전기원장'!J761)</x:f>
      </x:c>
      <x:c r="J761" s="73" t="str">
        <x:f>IF('전기원장'!A761="","",'전기원장'!K761)</x:f>
      </x:c>
      <x:c r="K761" s="73" t="str">
        <x:f>IF(B761="","",IF(COUNTIF($B$5:B761,B761)=1,COUNT($K$4:K760)+1,""))</x:f>
      </x:c>
      <x:c r="L761" s="85" t="str">
        <x:f>IF(B761="","",IF(COUNTIFS('계정비교'!$A$5:$A$1004,B761,'계정비교'!$H$5:$H$1004,"원인분석 대상")&gt;0,COUNT($L$4:L760)+1,""))</x:f>
      </x:c>
    </x:row>
    <x:row r="762">
      <x:c r="A762" s="73" t="str">
        <x:f>IF('전기원장'!A762="","","전기")</x:f>
      </x:c>
      <x:c r="B762" s="73" t="str">
        <x:f>IF('전기원장'!A762="","",'전기원장'!A762)</x:f>
      </x:c>
      <x:c r="C762" s="73" t="str">
        <x:f>IF('전기원장'!A762="","",'전기원장'!B762)</x:f>
      </x:c>
      <x:c r="D762" s="74" t="str">
        <x:f>IF('전기원장'!A762="","",'전기원장'!C762)</x:f>
      </x:c>
      <x:c r="E762" s="73" t="str">
        <x:f>IF('전기원장'!A762="","",'전기원장'!D762)</x:f>
      </x:c>
      <x:c r="F762" s="73" t="str">
        <x:f>IF('전기원장'!A762="","",'전기원장'!E762)</x:f>
      </x:c>
      <x:c r="G762" s="75" t="str">
        <x:f>IF('전기원장'!A762="","",'전기원장'!H762)</x:f>
      </x:c>
      <x:c r="H762" s="73" t="str">
        <x:f>IF('전기원장'!A762="","",'전기원장'!I762)</x:f>
      </x:c>
      <x:c r="I762" s="73" t="str">
        <x:f>IF('전기원장'!A762="","",'전기원장'!J762)</x:f>
      </x:c>
      <x:c r="J762" s="73" t="str">
        <x:f>IF('전기원장'!A762="","",'전기원장'!K762)</x:f>
      </x:c>
      <x:c r="K762" s="73" t="str">
        <x:f>IF(B762="","",IF(COUNTIF($B$5:B762,B762)=1,COUNT($K$4:K761)+1,""))</x:f>
      </x:c>
      <x:c r="L762" s="85" t="str">
        <x:f>IF(B762="","",IF(COUNTIFS('계정비교'!$A$5:$A$1004,B762,'계정비교'!$H$5:$H$1004,"원인분석 대상")&gt;0,COUNT($L$4:L761)+1,""))</x:f>
      </x:c>
    </x:row>
    <x:row r="763">
      <x:c r="A763" s="73" t="str">
        <x:f>IF('전기원장'!A763="","","전기")</x:f>
      </x:c>
      <x:c r="B763" s="73" t="str">
        <x:f>IF('전기원장'!A763="","",'전기원장'!A763)</x:f>
      </x:c>
      <x:c r="C763" s="73" t="str">
        <x:f>IF('전기원장'!A763="","",'전기원장'!B763)</x:f>
      </x:c>
      <x:c r="D763" s="74" t="str">
        <x:f>IF('전기원장'!A763="","",'전기원장'!C763)</x:f>
      </x:c>
      <x:c r="E763" s="73" t="str">
        <x:f>IF('전기원장'!A763="","",'전기원장'!D763)</x:f>
      </x:c>
      <x:c r="F763" s="73" t="str">
        <x:f>IF('전기원장'!A763="","",'전기원장'!E763)</x:f>
      </x:c>
      <x:c r="G763" s="75" t="str">
        <x:f>IF('전기원장'!A763="","",'전기원장'!H763)</x:f>
      </x:c>
      <x:c r="H763" s="73" t="str">
        <x:f>IF('전기원장'!A763="","",'전기원장'!I763)</x:f>
      </x:c>
      <x:c r="I763" s="73" t="str">
        <x:f>IF('전기원장'!A763="","",'전기원장'!J763)</x:f>
      </x:c>
      <x:c r="J763" s="73" t="str">
        <x:f>IF('전기원장'!A763="","",'전기원장'!K763)</x:f>
      </x:c>
      <x:c r="K763" s="73" t="str">
        <x:f>IF(B763="","",IF(COUNTIF($B$5:B763,B763)=1,COUNT($K$4:K762)+1,""))</x:f>
      </x:c>
      <x:c r="L763" s="85" t="str">
        <x:f>IF(B763="","",IF(COUNTIFS('계정비교'!$A$5:$A$1004,B763,'계정비교'!$H$5:$H$1004,"원인분석 대상")&gt;0,COUNT($L$4:L762)+1,""))</x:f>
      </x:c>
    </x:row>
    <x:row r="764">
      <x:c r="A764" s="73" t="str">
        <x:f>IF('전기원장'!A764="","","전기")</x:f>
      </x:c>
      <x:c r="B764" s="73" t="str">
        <x:f>IF('전기원장'!A764="","",'전기원장'!A764)</x:f>
      </x:c>
      <x:c r="C764" s="73" t="str">
        <x:f>IF('전기원장'!A764="","",'전기원장'!B764)</x:f>
      </x:c>
      <x:c r="D764" s="74" t="str">
        <x:f>IF('전기원장'!A764="","",'전기원장'!C764)</x:f>
      </x:c>
      <x:c r="E764" s="73" t="str">
        <x:f>IF('전기원장'!A764="","",'전기원장'!D764)</x:f>
      </x:c>
      <x:c r="F764" s="73" t="str">
        <x:f>IF('전기원장'!A764="","",'전기원장'!E764)</x:f>
      </x:c>
      <x:c r="G764" s="75" t="str">
        <x:f>IF('전기원장'!A764="","",'전기원장'!H764)</x:f>
      </x:c>
      <x:c r="H764" s="73" t="str">
        <x:f>IF('전기원장'!A764="","",'전기원장'!I764)</x:f>
      </x:c>
      <x:c r="I764" s="73" t="str">
        <x:f>IF('전기원장'!A764="","",'전기원장'!J764)</x:f>
      </x:c>
      <x:c r="J764" s="73" t="str">
        <x:f>IF('전기원장'!A764="","",'전기원장'!K764)</x:f>
      </x:c>
      <x:c r="K764" s="73" t="str">
        <x:f>IF(B764="","",IF(COUNTIF($B$5:B764,B764)=1,COUNT($K$4:K763)+1,""))</x:f>
      </x:c>
      <x:c r="L764" s="85" t="str">
        <x:f>IF(B764="","",IF(COUNTIFS('계정비교'!$A$5:$A$1004,B764,'계정비교'!$H$5:$H$1004,"원인분석 대상")&gt;0,COUNT($L$4:L763)+1,""))</x:f>
      </x:c>
    </x:row>
    <x:row r="765">
      <x:c r="A765" s="73" t="str">
        <x:f>IF('전기원장'!A765="","","전기")</x:f>
      </x:c>
      <x:c r="B765" s="73" t="str">
        <x:f>IF('전기원장'!A765="","",'전기원장'!A765)</x:f>
      </x:c>
      <x:c r="C765" s="73" t="str">
        <x:f>IF('전기원장'!A765="","",'전기원장'!B765)</x:f>
      </x:c>
      <x:c r="D765" s="74" t="str">
        <x:f>IF('전기원장'!A765="","",'전기원장'!C765)</x:f>
      </x:c>
      <x:c r="E765" s="73" t="str">
        <x:f>IF('전기원장'!A765="","",'전기원장'!D765)</x:f>
      </x:c>
      <x:c r="F765" s="73" t="str">
        <x:f>IF('전기원장'!A765="","",'전기원장'!E765)</x:f>
      </x:c>
      <x:c r="G765" s="75" t="str">
        <x:f>IF('전기원장'!A765="","",'전기원장'!H765)</x:f>
      </x:c>
      <x:c r="H765" s="73" t="str">
        <x:f>IF('전기원장'!A765="","",'전기원장'!I765)</x:f>
      </x:c>
      <x:c r="I765" s="73" t="str">
        <x:f>IF('전기원장'!A765="","",'전기원장'!J765)</x:f>
      </x:c>
      <x:c r="J765" s="73" t="str">
        <x:f>IF('전기원장'!A765="","",'전기원장'!K765)</x:f>
      </x:c>
      <x:c r="K765" s="73" t="str">
        <x:f>IF(B765="","",IF(COUNTIF($B$5:B765,B765)=1,COUNT($K$4:K764)+1,""))</x:f>
      </x:c>
      <x:c r="L765" s="85" t="str">
        <x:f>IF(B765="","",IF(COUNTIFS('계정비교'!$A$5:$A$1004,B765,'계정비교'!$H$5:$H$1004,"원인분석 대상")&gt;0,COUNT($L$4:L764)+1,""))</x:f>
      </x:c>
    </x:row>
    <x:row r="766">
      <x:c r="A766" s="73" t="str">
        <x:f>IF('전기원장'!A766="","","전기")</x:f>
      </x:c>
      <x:c r="B766" s="73" t="str">
        <x:f>IF('전기원장'!A766="","",'전기원장'!A766)</x:f>
      </x:c>
      <x:c r="C766" s="73" t="str">
        <x:f>IF('전기원장'!A766="","",'전기원장'!B766)</x:f>
      </x:c>
      <x:c r="D766" s="74" t="str">
        <x:f>IF('전기원장'!A766="","",'전기원장'!C766)</x:f>
      </x:c>
      <x:c r="E766" s="73" t="str">
        <x:f>IF('전기원장'!A766="","",'전기원장'!D766)</x:f>
      </x:c>
      <x:c r="F766" s="73" t="str">
        <x:f>IF('전기원장'!A766="","",'전기원장'!E766)</x:f>
      </x:c>
      <x:c r="G766" s="75" t="str">
        <x:f>IF('전기원장'!A766="","",'전기원장'!H766)</x:f>
      </x:c>
      <x:c r="H766" s="73" t="str">
        <x:f>IF('전기원장'!A766="","",'전기원장'!I766)</x:f>
      </x:c>
      <x:c r="I766" s="73" t="str">
        <x:f>IF('전기원장'!A766="","",'전기원장'!J766)</x:f>
      </x:c>
      <x:c r="J766" s="73" t="str">
        <x:f>IF('전기원장'!A766="","",'전기원장'!K766)</x:f>
      </x:c>
      <x:c r="K766" s="73" t="str">
        <x:f>IF(B766="","",IF(COUNTIF($B$5:B766,B766)=1,COUNT($K$4:K765)+1,""))</x:f>
      </x:c>
      <x:c r="L766" s="85" t="str">
        <x:f>IF(B766="","",IF(COUNTIFS('계정비교'!$A$5:$A$1004,B766,'계정비교'!$H$5:$H$1004,"원인분석 대상")&gt;0,COUNT($L$4:L765)+1,""))</x:f>
      </x:c>
    </x:row>
    <x:row r="767">
      <x:c r="A767" s="73" t="str">
        <x:f>IF('전기원장'!A767="","","전기")</x:f>
      </x:c>
      <x:c r="B767" s="73" t="str">
        <x:f>IF('전기원장'!A767="","",'전기원장'!A767)</x:f>
      </x:c>
      <x:c r="C767" s="73" t="str">
        <x:f>IF('전기원장'!A767="","",'전기원장'!B767)</x:f>
      </x:c>
      <x:c r="D767" s="74" t="str">
        <x:f>IF('전기원장'!A767="","",'전기원장'!C767)</x:f>
      </x:c>
      <x:c r="E767" s="73" t="str">
        <x:f>IF('전기원장'!A767="","",'전기원장'!D767)</x:f>
      </x:c>
      <x:c r="F767" s="73" t="str">
        <x:f>IF('전기원장'!A767="","",'전기원장'!E767)</x:f>
      </x:c>
      <x:c r="G767" s="75" t="str">
        <x:f>IF('전기원장'!A767="","",'전기원장'!H767)</x:f>
      </x:c>
      <x:c r="H767" s="73" t="str">
        <x:f>IF('전기원장'!A767="","",'전기원장'!I767)</x:f>
      </x:c>
      <x:c r="I767" s="73" t="str">
        <x:f>IF('전기원장'!A767="","",'전기원장'!J767)</x:f>
      </x:c>
      <x:c r="J767" s="73" t="str">
        <x:f>IF('전기원장'!A767="","",'전기원장'!K767)</x:f>
      </x:c>
      <x:c r="K767" s="73" t="str">
        <x:f>IF(B767="","",IF(COUNTIF($B$5:B767,B767)=1,COUNT($K$4:K766)+1,""))</x:f>
      </x:c>
      <x:c r="L767" s="85" t="str">
        <x:f>IF(B767="","",IF(COUNTIFS('계정비교'!$A$5:$A$1004,B767,'계정비교'!$H$5:$H$1004,"원인분석 대상")&gt;0,COUNT($L$4:L766)+1,""))</x:f>
      </x:c>
    </x:row>
    <x:row r="768">
      <x:c r="A768" s="73" t="str">
        <x:f>IF('전기원장'!A768="","","전기")</x:f>
      </x:c>
      <x:c r="B768" s="73" t="str">
        <x:f>IF('전기원장'!A768="","",'전기원장'!A768)</x:f>
      </x:c>
      <x:c r="C768" s="73" t="str">
        <x:f>IF('전기원장'!A768="","",'전기원장'!B768)</x:f>
      </x:c>
      <x:c r="D768" s="74" t="str">
        <x:f>IF('전기원장'!A768="","",'전기원장'!C768)</x:f>
      </x:c>
      <x:c r="E768" s="73" t="str">
        <x:f>IF('전기원장'!A768="","",'전기원장'!D768)</x:f>
      </x:c>
      <x:c r="F768" s="73" t="str">
        <x:f>IF('전기원장'!A768="","",'전기원장'!E768)</x:f>
      </x:c>
      <x:c r="G768" s="75" t="str">
        <x:f>IF('전기원장'!A768="","",'전기원장'!H768)</x:f>
      </x:c>
      <x:c r="H768" s="73" t="str">
        <x:f>IF('전기원장'!A768="","",'전기원장'!I768)</x:f>
      </x:c>
      <x:c r="I768" s="73" t="str">
        <x:f>IF('전기원장'!A768="","",'전기원장'!J768)</x:f>
      </x:c>
      <x:c r="J768" s="73" t="str">
        <x:f>IF('전기원장'!A768="","",'전기원장'!K768)</x:f>
      </x:c>
      <x:c r="K768" s="73" t="str">
        <x:f>IF(B768="","",IF(COUNTIF($B$5:B768,B768)=1,COUNT($K$4:K767)+1,""))</x:f>
      </x:c>
      <x:c r="L768" s="85" t="str">
        <x:f>IF(B768="","",IF(COUNTIFS('계정비교'!$A$5:$A$1004,B768,'계정비교'!$H$5:$H$1004,"원인분석 대상")&gt;0,COUNT($L$4:L767)+1,""))</x:f>
      </x:c>
    </x:row>
    <x:row r="769">
      <x:c r="A769" s="73" t="str">
        <x:f>IF('전기원장'!A769="","","전기")</x:f>
      </x:c>
      <x:c r="B769" s="73" t="str">
        <x:f>IF('전기원장'!A769="","",'전기원장'!A769)</x:f>
      </x:c>
      <x:c r="C769" s="73" t="str">
        <x:f>IF('전기원장'!A769="","",'전기원장'!B769)</x:f>
      </x:c>
      <x:c r="D769" s="74" t="str">
        <x:f>IF('전기원장'!A769="","",'전기원장'!C769)</x:f>
      </x:c>
      <x:c r="E769" s="73" t="str">
        <x:f>IF('전기원장'!A769="","",'전기원장'!D769)</x:f>
      </x:c>
      <x:c r="F769" s="73" t="str">
        <x:f>IF('전기원장'!A769="","",'전기원장'!E769)</x:f>
      </x:c>
      <x:c r="G769" s="75" t="str">
        <x:f>IF('전기원장'!A769="","",'전기원장'!H769)</x:f>
      </x:c>
      <x:c r="H769" s="73" t="str">
        <x:f>IF('전기원장'!A769="","",'전기원장'!I769)</x:f>
      </x:c>
      <x:c r="I769" s="73" t="str">
        <x:f>IF('전기원장'!A769="","",'전기원장'!J769)</x:f>
      </x:c>
      <x:c r="J769" s="73" t="str">
        <x:f>IF('전기원장'!A769="","",'전기원장'!K769)</x:f>
      </x:c>
      <x:c r="K769" s="73" t="str">
        <x:f>IF(B769="","",IF(COUNTIF($B$5:B769,B769)=1,COUNT($K$4:K768)+1,""))</x:f>
      </x:c>
      <x:c r="L769" s="85" t="str">
        <x:f>IF(B769="","",IF(COUNTIFS('계정비교'!$A$5:$A$1004,B769,'계정비교'!$H$5:$H$1004,"원인분석 대상")&gt;0,COUNT($L$4:L768)+1,""))</x:f>
      </x:c>
    </x:row>
    <x:row r="770">
      <x:c r="A770" s="73" t="str">
        <x:f>IF('전기원장'!A770="","","전기")</x:f>
      </x:c>
      <x:c r="B770" s="73" t="str">
        <x:f>IF('전기원장'!A770="","",'전기원장'!A770)</x:f>
      </x:c>
      <x:c r="C770" s="73" t="str">
        <x:f>IF('전기원장'!A770="","",'전기원장'!B770)</x:f>
      </x:c>
      <x:c r="D770" s="74" t="str">
        <x:f>IF('전기원장'!A770="","",'전기원장'!C770)</x:f>
      </x:c>
      <x:c r="E770" s="73" t="str">
        <x:f>IF('전기원장'!A770="","",'전기원장'!D770)</x:f>
      </x:c>
      <x:c r="F770" s="73" t="str">
        <x:f>IF('전기원장'!A770="","",'전기원장'!E770)</x:f>
      </x:c>
      <x:c r="G770" s="75" t="str">
        <x:f>IF('전기원장'!A770="","",'전기원장'!H770)</x:f>
      </x:c>
      <x:c r="H770" s="73" t="str">
        <x:f>IF('전기원장'!A770="","",'전기원장'!I770)</x:f>
      </x:c>
      <x:c r="I770" s="73" t="str">
        <x:f>IF('전기원장'!A770="","",'전기원장'!J770)</x:f>
      </x:c>
      <x:c r="J770" s="73" t="str">
        <x:f>IF('전기원장'!A770="","",'전기원장'!K770)</x:f>
      </x:c>
      <x:c r="K770" s="73" t="str">
        <x:f>IF(B770="","",IF(COUNTIF($B$5:B770,B770)=1,COUNT($K$4:K769)+1,""))</x:f>
      </x:c>
      <x:c r="L770" s="85" t="str">
        <x:f>IF(B770="","",IF(COUNTIFS('계정비교'!$A$5:$A$1004,B770,'계정비교'!$H$5:$H$1004,"원인분석 대상")&gt;0,COUNT($L$4:L769)+1,""))</x:f>
      </x:c>
    </x:row>
    <x:row r="771">
      <x:c r="A771" s="73" t="str">
        <x:f>IF('전기원장'!A771="","","전기")</x:f>
      </x:c>
      <x:c r="B771" s="73" t="str">
        <x:f>IF('전기원장'!A771="","",'전기원장'!A771)</x:f>
      </x:c>
      <x:c r="C771" s="73" t="str">
        <x:f>IF('전기원장'!A771="","",'전기원장'!B771)</x:f>
      </x:c>
      <x:c r="D771" s="74" t="str">
        <x:f>IF('전기원장'!A771="","",'전기원장'!C771)</x:f>
      </x:c>
      <x:c r="E771" s="73" t="str">
        <x:f>IF('전기원장'!A771="","",'전기원장'!D771)</x:f>
      </x:c>
      <x:c r="F771" s="73" t="str">
        <x:f>IF('전기원장'!A771="","",'전기원장'!E771)</x:f>
      </x:c>
      <x:c r="G771" s="75" t="str">
        <x:f>IF('전기원장'!A771="","",'전기원장'!H771)</x:f>
      </x:c>
      <x:c r="H771" s="73" t="str">
        <x:f>IF('전기원장'!A771="","",'전기원장'!I771)</x:f>
      </x:c>
      <x:c r="I771" s="73" t="str">
        <x:f>IF('전기원장'!A771="","",'전기원장'!J771)</x:f>
      </x:c>
      <x:c r="J771" s="73" t="str">
        <x:f>IF('전기원장'!A771="","",'전기원장'!K771)</x:f>
      </x:c>
      <x:c r="K771" s="73" t="str">
        <x:f>IF(B771="","",IF(COUNTIF($B$5:B771,B771)=1,COUNT($K$4:K770)+1,""))</x:f>
      </x:c>
      <x:c r="L771" s="85" t="str">
        <x:f>IF(B771="","",IF(COUNTIFS('계정비교'!$A$5:$A$1004,B771,'계정비교'!$H$5:$H$1004,"원인분석 대상")&gt;0,COUNT($L$4:L770)+1,""))</x:f>
      </x:c>
    </x:row>
    <x:row r="772">
      <x:c r="A772" s="73" t="str">
        <x:f>IF('전기원장'!A772="","","전기")</x:f>
      </x:c>
      <x:c r="B772" s="73" t="str">
        <x:f>IF('전기원장'!A772="","",'전기원장'!A772)</x:f>
      </x:c>
      <x:c r="C772" s="73" t="str">
        <x:f>IF('전기원장'!A772="","",'전기원장'!B772)</x:f>
      </x:c>
      <x:c r="D772" s="74" t="str">
        <x:f>IF('전기원장'!A772="","",'전기원장'!C772)</x:f>
      </x:c>
      <x:c r="E772" s="73" t="str">
        <x:f>IF('전기원장'!A772="","",'전기원장'!D772)</x:f>
      </x:c>
      <x:c r="F772" s="73" t="str">
        <x:f>IF('전기원장'!A772="","",'전기원장'!E772)</x:f>
      </x:c>
      <x:c r="G772" s="75" t="str">
        <x:f>IF('전기원장'!A772="","",'전기원장'!H772)</x:f>
      </x:c>
      <x:c r="H772" s="73" t="str">
        <x:f>IF('전기원장'!A772="","",'전기원장'!I772)</x:f>
      </x:c>
      <x:c r="I772" s="73" t="str">
        <x:f>IF('전기원장'!A772="","",'전기원장'!J772)</x:f>
      </x:c>
      <x:c r="J772" s="73" t="str">
        <x:f>IF('전기원장'!A772="","",'전기원장'!K772)</x:f>
      </x:c>
      <x:c r="K772" s="73" t="str">
        <x:f>IF(B772="","",IF(COUNTIF($B$5:B772,B772)=1,COUNT($K$4:K771)+1,""))</x:f>
      </x:c>
      <x:c r="L772" s="85" t="str">
        <x:f>IF(B772="","",IF(COUNTIFS('계정비교'!$A$5:$A$1004,B772,'계정비교'!$H$5:$H$1004,"원인분석 대상")&gt;0,COUNT($L$4:L771)+1,""))</x:f>
      </x:c>
    </x:row>
    <x:row r="773">
      <x:c r="A773" s="73" t="str">
        <x:f>IF('전기원장'!A773="","","전기")</x:f>
      </x:c>
      <x:c r="B773" s="73" t="str">
        <x:f>IF('전기원장'!A773="","",'전기원장'!A773)</x:f>
      </x:c>
      <x:c r="C773" s="73" t="str">
        <x:f>IF('전기원장'!A773="","",'전기원장'!B773)</x:f>
      </x:c>
      <x:c r="D773" s="74" t="str">
        <x:f>IF('전기원장'!A773="","",'전기원장'!C773)</x:f>
      </x:c>
      <x:c r="E773" s="73" t="str">
        <x:f>IF('전기원장'!A773="","",'전기원장'!D773)</x:f>
      </x:c>
      <x:c r="F773" s="73" t="str">
        <x:f>IF('전기원장'!A773="","",'전기원장'!E773)</x:f>
      </x:c>
      <x:c r="G773" s="75" t="str">
        <x:f>IF('전기원장'!A773="","",'전기원장'!H773)</x:f>
      </x:c>
      <x:c r="H773" s="73" t="str">
        <x:f>IF('전기원장'!A773="","",'전기원장'!I773)</x:f>
      </x:c>
      <x:c r="I773" s="73" t="str">
        <x:f>IF('전기원장'!A773="","",'전기원장'!J773)</x:f>
      </x:c>
      <x:c r="J773" s="73" t="str">
        <x:f>IF('전기원장'!A773="","",'전기원장'!K773)</x:f>
      </x:c>
      <x:c r="K773" s="73" t="str">
        <x:f>IF(B773="","",IF(COUNTIF($B$5:B773,B773)=1,COUNT($K$4:K772)+1,""))</x:f>
      </x:c>
      <x:c r="L773" s="85" t="str">
        <x:f>IF(B773="","",IF(COUNTIFS('계정비교'!$A$5:$A$1004,B773,'계정비교'!$H$5:$H$1004,"원인분석 대상")&gt;0,COUNT($L$4:L772)+1,""))</x:f>
      </x:c>
    </x:row>
    <x:row r="774">
      <x:c r="A774" s="73" t="str">
        <x:f>IF('전기원장'!A774="","","전기")</x:f>
      </x:c>
      <x:c r="B774" s="73" t="str">
        <x:f>IF('전기원장'!A774="","",'전기원장'!A774)</x:f>
      </x:c>
      <x:c r="C774" s="73" t="str">
        <x:f>IF('전기원장'!A774="","",'전기원장'!B774)</x:f>
      </x:c>
      <x:c r="D774" s="74" t="str">
        <x:f>IF('전기원장'!A774="","",'전기원장'!C774)</x:f>
      </x:c>
      <x:c r="E774" s="73" t="str">
        <x:f>IF('전기원장'!A774="","",'전기원장'!D774)</x:f>
      </x:c>
      <x:c r="F774" s="73" t="str">
        <x:f>IF('전기원장'!A774="","",'전기원장'!E774)</x:f>
      </x:c>
      <x:c r="G774" s="75" t="str">
        <x:f>IF('전기원장'!A774="","",'전기원장'!H774)</x:f>
      </x:c>
      <x:c r="H774" s="73" t="str">
        <x:f>IF('전기원장'!A774="","",'전기원장'!I774)</x:f>
      </x:c>
      <x:c r="I774" s="73" t="str">
        <x:f>IF('전기원장'!A774="","",'전기원장'!J774)</x:f>
      </x:c>
      <x:c r="J774" s="73" t="str">
        <x:f>IF('전기원장'!A774="","",'전기원장'!K774)</x:f>
      </x:c>
      <x:c r="K774" s="73" t="str">
        <x:f>IF(B774="","",IF(COUNTIF($B$5:B774,B774)=1,COUNT($K$4:K773)+1,""))</x:f>
      </x:c>
      <x:c r="L774" s="85" t="str">
        <x:f>IF(B774="","",IF(COUNTIFS('계정비교'!$A$5:$A$1004,B774,'계정비교'!$H$5:$H$1004,"원인분석 대상")&gt;0,COUNT($L$4:L773)+1,""))</x:f>
      </x:c>
    </x:row>
    <x:row r="775">
      <x:c r="A775" s="73" t="str">
        <x:f>IF('전기원장'!A775="","","전기")</x:f>
      </x:c>
      <x:c r="B775" s="73" t="str">
        <x:f>IF('전기원장'!A775="","",'전기원장'!A775)</x:f>
      </x:c>
      <x:c r="C775" s="73" t="str">
        <x:f>IF('전기원장'!A775="","",'전기원장'!B775)</x:f>
      </x:c>
      <x:c r="D775" s="74" t="str">
        <x:f>IF('전기원장'!A775="","",'전기원장'!C775)</x:f>
      </x:c>
      <x:c r="E775" s="73" t="str">
        <x:f>IF('전기원장'!A775="","",'전기원장'!D775)</x:f>
      </x:c>
      <x:c r="F775" s="73" t="str">
        <x:f>IF('전기원장'!A775="","",'전기원장'!E775)</x:f>
      </x:c>
      <x:c r="G775" s="75" t="str">
        <x:f>IF('전기원장'!A775="","",'전기원장'!H775)</x:f>
      </x:c>
      <x:c r="H775" s="73" t="str">
        <x:f>IF('전기원장'!A775="","",'전기원장'!I775)</x:f>
      </x:c>
      <x:c r="I775" s="73" t="str">
        <x:f>IF('전기원장'!A775="","",'전기원장'!J775)</x:f>
      </x:c>
      <x:c r="J775" s="73" t="str">
        <x:f>IF('전기원장'!A775="","",'전기원장'!K775)</x:f>
      </x:c>
      <x:c r="K775" s="73" t="str">
        <x:f>IF(B775="","",IF(COUNTIF($B$5:B775,B775)=1,COUNT($K$4:K774)+1,""))</x:f>
      </x:c>
      <x:c r="L775" s="85" t="str">
        <x:f>IF(B775="","",IF(COUNTIFS('계정비교'!$A$5:$A$1004,B775,'계정비교'!$H$5:$H$1004,"원인분석 대상")&gt;0,COUNT($L$4:L774)+1,""))</x:f>
      </x:c>
    </x:row>
    <x:row r="776">
      <x:c r="A776" s="73" t="str">
        <x:f>IF('전기원장'!A776="","","전기")</x:f>
      </x:c>
      <x:c r="B776" s="73" t="str">
        <x:f>IF('전기원장'!A776="","",'전기원장'!A776)</x:f>
      </x:c>
      <x:c r="C776" s="73" t="str">
        <x:f>IF('전기원장'!A776="","",'전기원장'!B776)</x:f>
      </x:c>
      <x:c r="D776" s="74" t="str">
        <x:f>IF('전기원장'!A776="","",'전기원장'!C776)</x:f>
      </x:c>
      <x:c r="E776" s="73" t="str">
        <x:f>IF('전기원장'!A776="","",'전기원장'!D776)</x:f>
      </x:c>
      <x:c r="F776" s="73" t="str">
        <x:f>IF('전기원장'!A776="","",'전기원장'!E776)</x:f>
      </x:c>
      <x:c r="G776" s="75" t="str">
        <x:f>IF('전기원장'!A776="","",'전기원장'!H776)</x:f>
      </x:c>
      <x:c r="H776" s="73" t="str">
        <x:f>IF('전기원장'!A776="","",'전기원장'!I776)</x:f>
      </x:c>
      <x:c r="I776" s="73" t="str">
        <x:f>IF('전기원장'!A776="","",'전기원장'!J776)</x:f>
      </x:c>
      <x:c r="J776" s="73" t="str">
        <x:f>IF('전기원장'!A776="","",'전기원장'!K776)</x:f>
      </x:c>
      <x:c r="K776" s="73" t="str">
        <x:f>IF(B776="","",IF(COUNTIF($B$5:B776,B776)=1,COUNT($K$4:K775)+1,""))</x:f>
      </x:c>
      <x:c r="L776" s="85" t="str">
        <x:f>IF(B776="","",IF(COUNTIFS('계정비교'!$A$5:$A$1004,B776,'계정비교'!$H$5:$H$1004,"원인분석 대상")&gt;0,COUNT($L$4:L775)+1,""))</x:f>
      </x:c>
    </x:row>
    <x:row r="777">
      <x:c r="A777" s="73" t="str">
        <x:f>IF('전기원장'!A777="","","전기")</x:f>
      </x:c>
      <x:c r="B777" s="73" t="str">
        <x:f>IF('전기원장'!A777="","",'전기원장'!A777)</x:f>
      </x:c>
      <x:c r="C777" s="73" t="str">
        <x:f>IF('전기원장'!A777="","",'전기원장'!B777)</x:f>
      </x:c>
      <x:c r="D777" s="74" t="str">
        <x:f>IF('전기원장'!A777="","",'전기원장'!C777)</x:f>
      </x:c>
      <x:c r="E777" s="73" t="str">
        <x:f>IF('전기원장'!A777="","",'전기원장'!D777)</x:f>
      </x:c>
      <x:c r="F777" s="73" t="str">
        <x:f>IF('전기원장'!A777="","",'전기원장'!E777)</x:f>
      </x:c>
      <x:c r="G777" s="75" t="str">
        <x:f>IF('전기원장'!A777="","",'전기원장'!H777)</x:f>
      </x:c>
      <x:c r="H777" s="73" t="str">
        <x:f>IF('전기원장'!A777="","",'전기원장'!I777)</x:f>
      </x:c>
      <x:c r="I777" s="73" t="str">
        <x:f>IF('전기원장'!A777="","",'전기원장'!J777)</x:f>
      </x:c>
      <x:c r="J777" s="73" t="str">
        <x:f>IF('전기원장'!A777="","",'전기원장'!K777)</x:f>
      </x:c>
      <x:c r="K777" s="73" t="str">
        <x:f>IF(B777="","",IF(COUNTIF($B$5:B777,B777)=1,COUNT($K$4:K776)+1,""))</x:f>
      </x:c>
      <x:c r="L777" s="85" t="str">
        <x:f>IF(B777="","",IF(COUNTIFS('계정비교'!$A$5:$A$1004,B777,'계정비교'!$H$5:$H$1004,"원인분석 대상")&gt;0,COUNT($L$4:L776)+1,""))</x:f>
      </x:c>
    </x:row>
    <x:row r="778">
      <x:c r="A778" s="73" t="str">
        <x:f>IF('전기원장'!A778="","","전기")</x:f>
      </x:c>
      <x:c r="B778" s="73" t="str">
        <x:f>IF('전기원장'!A778="","",'전기원장'!A778)</x:f>
      </x:c>
      <x:c r="C778" s="73" t="str">
        <x:f>IF('전기원장'!A778="","",'전기원장'!B778)</x:f>
      </x:c>
      <x:c r="D778" s="74" t="str">
        <x:f>IF('전기원장'!A778="","",'전기원장'!C778)</x:f>
      </x:c>
      <x:c r="E778" s="73" t="str">
        <x:f>IF('전기원장'!A778="","",'전기원장'!D778)</x:f>
      </x:c>
      <x:c r="F778" s="73" t="str">
        <x:f>IF('전기원장'!A778="","",'전기원장'!E778)</x:f>
      </x:c>
      <x:c r="G778" s="75" t="str">
        <x:f>IF('전기원장'!A778="","",'전기원장'!H778)</x:f>
      </x:c>
      <x:c r="H778" s="73" t="str">
        <x:f>IF('전기원장'!A778="","",'전기원장'!I778)</x:f>
      </x:c>
      <x:c r="I778" s="73" t="str">
        <x:f>IF('전기원장'!A778="","",'전기원장'!J778)</x:f>
      </x:c>
      <x:c r="J778" s="73" t="str">
        <x:f>IF('전기원장'!A778="","",'전기원장'!K778)</x:f>
      </x:c>
      <x:c r="K778" s="73" t="str">
        <x:f>IF(B778="","",IF(COUNTIF($B$5:B778,B778)=1,COUNT($K$4:K777)+1,""))</x:f>
      </x:c>
      <x:c r="L778" s="85" t="str">
        <x:f>IF(B778="","",IF(COUNTIFS('계정비교'!$A$5:$A$1004,B778,'계정비교'!$H$5:$H$1004,"원인분석 대상")&gt;0,COUNT($L$4:L777)+1,""))</x:f>
      </x:c>
    </x:row>
    <x:row r="779">
      <x:c r="A779" s="73" t="str">
        <x:f>IF('전기원장'!A779="","","전기")</x:f>
      </x:c>
      <x:c r="B779" s="73" t="str">
        <x:f>IF('전기원장'!A779="","",'전기원장'!A779)</x:f>
      </x:c>
      <x:c r="C779" s="73" t="str">
        <x:f>IF('전기원장'!A779="","",'전기원장'!B779)</x:f>
      </x:c>
      <x:c r="D779" s="74" t="str">
        <x:f>IF('전기원장'!A779="","",'전기원장'!C779)</x:f>
      </x:c>
      <x:c r="E779" s="73" t="str">
        <x:f>IF('전기원장'!A779="","",'전기원장'!D779)</x:f>
      </x:c>
      <x:c r="F779" s="73" t="str">
        <x:f>IF('전기원장'!A779="","",'전기원장'!E779)</x:f>
      </x:c>
      <x:c r="G779" s="75" t="str">
        <x:f>IF('전기원장'!A779="","",'전기원장'!H779)</x:f>
      </x:c>
      <x:c r="H779" s="73" t="str">
        <x:f>IF('전기원장'!A779="","",'전기원장'!I779)</x:f>
      </x:c>
      <x:c r="I779" s="73" t="str">
        <x:f>IF('전기원장'!A779="","",'전기원장'!J779)</x:f>
      </x:c>
      <x:c r="J779" s="73" t="str">
        <x:f>IF('전기원장'!A779="","",'전기원장'!K779)</x:f>
      </x:c>
      <x:c r="K779" s="73" t="str">
        <x:f>IF(B779="","",IF(COUNTIF($B$5:B779,B779)=1,COUNT($K$4:K778)+1,""))</x:f>
      </x:c>
      <x:c r="L779" s="85" t="str">
        <x:f>IF(B779="","",IF(COUNTIFS('계정비교'!$A$5:$A$1004,B779,'계정비교'!$H$5:$H$1004,"원인분석 대상")&gt;0,COUNT($L$4:L778)+1,""))</x:f>
      </x:c>
    </x:row>
    <x:row r="780">
      <x:c r="A780" s="73" t="str">
        <x:f>IF('전기원장'!A780="","","전기")</x:f>
      </x:c>
      <x:c r="B780" s="73" t="str">
        <x:f>IF('전기원장'!A780="","",'전기원장'!A780)</x:f>
      </x:c>
      <x:c r="C780" s="73" t="str">
        <x:f>IF('전기원장'!A780="","",'전기원장'!B780)</x:f>
      </x:c>
      <x:c r="D780" s="74" t="str">
        <x:f>IF('전기원장'!A780="","",'전기원장'!C780)</x:f>
      </x:c>
      <x:c r="E780" s="73" t="str">
        <x:f>IF('전기원장'!A780="","",'전기원장'!D780)</x:f>
      </x:c>
      <x:c r="F780" s="73" t="str">
        <x:f>IF('전기원장'!A780="","",'전기원장'!E780)</x:f>
      </x:c>
      <x:c r="G780" s="75" t="str">
        <x:f>IF('전기원장'!A780="","",'전기원장'!H780)</x:f>
      </x:c>
      <x:c r="H780" s="73" t="str">
        <x:f>IF('전기원장'!A780="","",'전기원장'!I780)</x:f>
      </x:c>
      <x:c r="I780" s="73" t="str">
        <x:f>IF('전기원장'!A780="","",'전기원장'!J780)</x:f>
      </x:c>
      <x:c r="J780" s="73" t="str">
        <x:f>IF('전기원장'!A780="","",'전기원장'!K780)</x:f>
      </x:c>
      <x:c r="K780" s="73" t="str">
        <x:f>IF(B780="","",IF(COUNTIF($B$5:B780,B780)=1,COUNT($K$4:K779)+1,""))</x:f>
      </x:c>
      <x:c r="L780" s="85" t="str">
        <x:f>IF(B780="","",IF(COUNTIFS('계정비교'!$A$5:$A$1004,B780,'계정비교'!$H$5:$H$1004,"원인분석 대상")&gt;0,COUNT($L$4:L779)+1,""))</x:f>
      </x:c>
    </x:row>
    <x:row r="781">
      <x:c r="A781" s="73" t="str">
        <x:f>IF('전기원장'!A781="","","전기")</x:f>
      </x:c>
      <x:c r="B781" s="73" t="str">
        <x:f>IF('전기원장'!A781="","",'전기원장'!A781)</x:f>
      </x:c>
      <x:c r="C781" s="73" t="str">
        <x:f>IF('전기원장'!A781="","",'전기원장'!B781)</x:f>
      </x:c>
      <x:c r="D781" s="74" t="str">
        <x:f>IF('전기원장'!A781="","",'전기원장'!C781)</x:f>
      </x:c>
      <x:c r="E781" s="73" t="str">
        <x:f>IF('전기원장'!A781="","",'전기원장'!D781)</x:f>
      </x:c>
      <x:c r="F781" s="73" t="str">
        <x:f>IF('전기원장'!A781="","",'전기원장'!E781)</x:f>
      </x:c>
      <x:c r="G781" s="75" t="str">
        <x:f>IF('전기원장'!A781="","",'전기원장'!H781)</x:f>
      </x:c>
      <x:c r="H781" s="73" t="str">
        <x:f>IF('전기원장'!A781="","",'전기원장'!I781)</x:f>
      </x:c>
      <x:c r="I781" s="73" t="str">
        <x:f>IF('전기원장'!A781="","",'전기원장'!J781)</x:f>
      </x:c>
      <x:c r="J781" s="73" t="str">
        <x:f>IF('전기원장'!A781="","",'전기원장'!K781)</x:f>
      </x:c>
      <x:c r="K781" s="73" t="str">
        <x:f>IF(B781="","",IF(COUNTIF($B$5:B781,B781)=1,COUNT($K$4:K780)+1,""))</x:f>
      </x:c>
      <x:c r="L781" s="85" t="str">
        <x:f>IF(B781="","",IF(COUNTIFS('계정비교'!$A$5:$A$1004,B781,'계정비교'!$H$5:$H$1004,"원인분석 대상")&gt;0,COUNT($L$4:L780)+1,""))</x:f>
      </x:c>
    </x:row>
    <x:row r="782">
      <x:c r="A782" s="73" t="str">
        <x:f>IF('전기원장'!A782="","","전기")</x:f>
      </x:c>
      <x:c r="B782" s="73" t="str">
        <x:f>IF('전기원장'!A782="","",'전기원장'!A782)</x:f>
      </x:c>
      <x:c r="C782" s="73" t="str">
        <x:f>IF('전기원장'!A782="","",'전기원장'!B782)</x:f>
      </x:c>
      <x:c r="D782" s="74" t="str">
        <x:f>IF('전기원장'!A782="","",'전기원장'!C782)</x:f>
      </x:c>
      <x:c r="E782" s="73" t="str">
        <x:f>IF('전기원장'!A782="","",'전기원장'!D782)</x:f>
      </x:c>
      <x:c r="F782" s="73" t="str">
        <x:f>IF('전기원장'!A782="","",'전기원장'!E782)</x:f>
      </x:c>
      <x:c r="G782" s="75" t="str">
        <x:f>IF('전기원장'!A782="","",'전기원장'!H782)</x:f>
      </x:c>
      <x:c r="H782" s="73" t="str">
        <x:f>IF('전기원장'!A782="","",'전기원장'!I782)</x:f>
      </x:c>
      <x:c r="I782" s="73" t="str">
        <x:f>IF('전기원장'!A782="","",'전기원장'!J782)</x:f>
      </x:c>
      <x:c r="J782" s="73" t="str">
        <x:f>IF('전기원장'!A782="","",'전기원장'!K782)</x:f>
      </x:c>
      <x:c r="K782" s="73" t="str">
        <x:f>IF(B782="","",IF(COUNTIF($B$5:B782,B782)=1,COUNT($K$4:K781)+1,""))</x:f>
      </x:c>
      <x:c r="L782" s="85" t="str">
        <x:f>IF(B782="","",IF(COUNTIFS('계정비교'!$A$5:$A$1004,B782,'계정비교'!$H$5:$H$1004,"원인분석 대상")&gt;0,COUNT($L$4:L781)+1,""))</x:f>
      </x:c>
    </x:row>
    <x:row r="783">
      <x:c r="A783" s="73" t="str">
        <x:f>IF('전기원장'!A783="","","전기")</x:f>
      </x:c>
      <x:c r="B783" s="73" t="str">
        <x:f>IF('전기원장'!A783="","",'전기원장'!A783)</x:f>
      </x:c>
      <x:c r="C783" s="73" t="str">
        <x:f>IF('전기원장'!A783="","",'전기원장'!B783)</x:f>
      </x:c>
      <x:c r="D783" s="74" t="str">
        <x:f>IF('전기원장'!A783="","",'전기원장'!C783)</x:f>
      </x:c>
      <x:c r="E783" s="73" t="str">
        <x:f>IF('전기원장'!A783="","",'전기원장'!D783)</x:f>
      </x:c>
      <x:c r="F783" s="73" t="str">
        <x:f>IF('전기원장'!A783="","",'전기원장'!E783)</x:f>
      </x:c>
      <x:c r="G783" s="75" t="str">
        <x:f>IF('전기원장'!A783="","",'전기원장'!H783)</x:f>
      </x:c>
      <x:c r="H783" s="73" t="str">
        <x:f>IF('전기원장'!A783="","",'전기원장'!I783)</x:f>
      </x:c>
      <x:c r="I783" s="73" t="str">
        <x:f>IF('전기원장'!A783="","",'전기원장'!J783)</x:f>
      </x:c>
      <x:c r="J783" s="73" t="str">
        <x:f>IF('전기원장'!A783="","",'전기원장'!K783)</x:f>
      </x:c>
      <x:c r="K783" s="73" t="str">
        <x:f>IF(B783="","",IF(COUNTIF($B$5:B783,B783)=1,COUNT($K$4:K782)+1,""))</x:f>
      </x:c>
      <x:c r="L783" s="85" t="str">
        <x:f>IF(B783="","",IF(COUNTIFS('계정비교'!$A$5:$A$1004,B783,'계정비교'!$H$5:$H$1004,"원인분석 대상")&gt;0,COUNT($L$4:L782)+1,""))</x:f>
      </x:c>
    </x:row>
    <x:row r="784">
      <x:c r="A784" s="73" t="str">
        <x:f>IF('전기원장'!A784="","","전기")</x:f>
      </x:c>
      <x:c r="B784" s="73" t="str">
        <x:f>IF('전기원장'!A784="","",'전기원장'!A784)</x:f>
      </x:c>
      <x:c r="C784" s="73" t="str">
        <x:f>IF('전기원장'!A784="","",'전기원장'!B784)</x:f>
      </x:c>
      <x:c r="D784" s="74" t="str">
        <x:f>IF('전기원장'!A784="","",'전기원장'!C784)</x:f>
      </x:c>
      <x:c r="E784" s="73" t="str">
        <x:f>IF('전기원장'!A784="","",'전기원장'!D784)</x:f>
      </x:c>
      <x:c r="F784" s="73" t="str">
        <x:f>IF('전기원장'!A784="","",'전기원장'!E784)</x:f>
      </x:c>
      <x:c r="G784" s="75" t="str">
        <x:f>IF('전기원장'!A784="","",'전기원장'!H784)</x:f>
      </x:c>
      <x:c r="H784" s="73" t="str">
        <x:f>IF('전기원장'!A784="","",'전기원장'!I784)</x:f>
      </x:c>
      <x:c r="I784" s="73" t="str">
        <x:f>IF('전기원장'!A784="","",'전기원장'!J784)</x:f>
      </x:c>
      <x:c r="J784" s="73" t="str">
        <x:f>IF('전기원장'!A784="","",'전기원장'!K784)</x:f>
      </x:c>
      <x:c r="K784" s="73" t="str">
        <x:f>IF(B784="","",IF(COUNTIF($B$5:B784,B784)=1,COUNT($K$4:K783)+1,""))</x:f>
      </x:c>
      <x:c r="L784" s="85" t="str">
        <x:f>IF(B784="","",IF(COUNTIFS('계정비교'!$A$5:$A$1004,B784,'계정비교'!$H$5:$H$1004,"원인분석 대상")&gt;0,COUNT($L$4:L783)+1,""))</x:f>
      </x:c>
    </x:row>
    <x:row r="785">
      <x:c r="A785" s="73" t="str">
        <x:f>IF('전기원장'!A785="","","전기")</x:f>
      </x:c>
      <x:c r="B785" s="73" t="str">
        <x:f>IF('전기원장'!A785="","",'전기원장'!A785)</x:f>
      </x:c>
      <x:c r="C785" s="73" t="str">
        <x:f>IF('전기원장'!A785="","",'전기원장'!B785)</x:f>
      </x:c>
      <x:c r="D785" s="74" t="str">
        <x:f>IF('전기원장'!A785="","",'전기원장'!C785)</x:f>
      </x:c>
      <x:c r="E785" s="73" t="str">
        <x:f>IF('전기원장'!A785="","",'전기원장'!D785)</x:f>
      </x:c>
      <x:c r="F785" s="73" t="str">
        <x:f>IF('전기원장'!A785="","",'전기원장'!E785)</x:f>
      </x:c>
      <x:c r="G785" s="75" t="str">
        <x:f>IF('전기원장'!A785="","",'전기원장'!H785)</x:f>
      </x:c>
      <x:c r="H785" s="73" t="str">
        <x:f>IF('전기원장'!A785="","",'전기원장'!I785)</x:f>
      </x:c>
      <x:c r="I785" s="73" t="str">
        <x:f>IF('전기원장'!A785="","",'전기원장'!J785)</x:f>
      </x:c>
      <x:c r="J785" s="73" t="str">
        <x:f>IF('전기원장'!A785="","",'전기원장'!K785)</x:f>
      </x:c>
      <x:c r="K785" s="73" t="str">
        <x:f>IF(B785="","",IF(COUNTIF($B$5:B785,B785)=1,COUNT($K$4:K784)+1,""))</x:f>
      </x:c>
      <x:c r="L785" s="85" t="str">
        <x:f>IF(B785="","",IF(COUNTIFS('계정비교'!$A$5:$A$1004,B785,'계정비교'!$H$5:$H$1004,"원인분석 대상")&gt;0,COUNT($L$4:L784)+1,""))</x:f>
      </x:c>
    </x:row>
    <x:row r="786">
      <x:c r="A786" s="73" t="str">
        <x:f>IF('전기원장'!A786="","","전기")</x:f>
      </x:c>
      <x:c r="B786" s="73" t="str">
        <x:f>IF('전기원장'!A786="","",'전기원장'!A786)</x:f>
      </x:c>
      <x:c r="C786" s="73" t="str">
        <x:f>IF('전기원장'!A786="","",'전기원장'!B786)</x:f>
      </x:c>
      <x:c r="D786" s="74" t="str">
        <x:f>IF('전기원장'!A786="","",'전기원장'!C786)</x:f>
      </x:c>
      <x:c r="E786" s="73" t="str">
        <x:f>IF('전기원장'!A786="","",'전기원장'!D786)</x:f>
      </x:c>
      <x:c r="F786" s="73" t="str">
        <x:f>IF('전기원장'!A786="","",'전기원장'!E786)</x:f>
      </x:c>
      <x:c r="G786" s="75" t="str">
        <x:f>IF('전기원장'!A786="","",'전기원장'!H786)</x:f>
      </x:c>
      <x:c r="H786" s="73" t="str">
        <x:f>IF('전기원장'!A786="","",'전기원장'!I786)</x:f>
      </x:c>
      <x:c r="I786" s="73" t="str">
        <x:f>IF('전기원장'!A786="","",'전기원장'!J786)</x:f>
      </x:c>
      <x:c r="J786" s="73" t="str">
        <x:f>IF('전기원장'!A786="","",'전기원장'!K786)</x:f>
      </x:c>
      <x:c r="K786" s="73" t="str">
        <x:f>IF(B786="","",IF(COUNTIF($B$5:B786,B786)=1,COUNT($K$4:K785)+1,""))</x:f>
      </x:c>
      <x:c r="L786" s="85" t="str">
        <x:f>IF(B786="","",IF(COUNTIFS('계정비교'!$A$5:$A$1004,B786,'계정비교'!$H$5:$H$1004,"원인분석 대상")&gt;0,COUNT($L$4:L785)+1,""))</x:f>
      </x:c>
    </x:row>
    <x:row r="787">
      <x:c r="A787" s="73" t="str">
        <x:f>IF('전기원장'!A787="","","전기")</x:f>
      </x:c>
      <x:c r="B787" s="73" t="str">
        <x:f>IF('전기원장'!A787="","",'전기원장'!A787)</x:f>
      </x:c>
      <x:c r="C787" s="73" t="str">
        <x:f>IF('전기원장'!A787="","",'전기원장'!B787)</x:f>
      </x:c>
      <x:c r="D787" s="74" t="str">
        <x:f>IF('전기원장'!A787="","",'전기원장'!C787)</x:f>
      </x:c>
      <x:c r="E787" s="73" t="str">
        <x:f>IF('전기원장'!A787="","",'전기원장'!D787)</x:f>
      </x:c>
      <x:c r="F787" s="73" t="str">
        <x:f>IF('전기원장'!A787="","",'전기원장'!E787)</x:f>
      </x:c>
      <x:c r="G787" s="75" t="str">
        <x:f>IF('전기원장'!A787="","",'전기원장'!H787)</x:f>
      </x:c>
      <x:c r="H787" s="73" t="str">
        <x:f>IF('전기원장'!A787="","",'전기원장'!I787)</x:f>
      </x:c>
      <x:c r="I787" s="73" t="str">
        <x:f>IF('전기원장'!A787="","",'전기원장'!J787)</x:f>
      </x:c>
      <x:c r="J787" s="73" t="str">
        <x:f>IF('전기원장'!A787="","",'전기원장'!K787)</x:f>
      </x:c>
      <x:c r="K787" s="73" t="str">
        <x:f>IF(B787="","",IF(COUNTIF($B$5:B787,B787)=1,COUNT($K$4:K786)+1,""))</x:f>
      </x:c>
      <x:c r="L787" s="85" t="str">
        <x:f>IF(B787="","",IF(COUNTIFS('계정비교'!$A$5:$A$1004,B787,'계정비교'!$H$5:$H$1004,"원인분석 대상")&gt;0,COUNT($L$4:L786)+1,""))</x:f>
      </x:c>
    </x:row>
    <x:row r="788">
      <x:c r="A788" s="73" t="str">
        <x:f>IF('전기원장'!A788="","","전기")</x:f>
      </x:c>
      <x:c r="B788" s="73" t="str">
        <x:f>IF('전기원장'!A788="","",'전기원장'!A788)</x:f>
      </x:c>
      <x:c r="C788" s="73" t="str">
        <x:f>IF('전기원장'!A788="","",'전기원장'!B788)</x:f>
      </x:c>
      <x:c r="D788" s="74" t="str">
        <x:f>IF('전기원장'!A788="","",'전기원장'!C788)</x:f>
      </x:c>
      <x:c r="E788" s="73" t="str">
        <x:f>IF('전기원장'!A788="","",'전기원장'!D788)</x:f>
      </x:c>
      <x:c r="F788" s="73" t="str">
        <x:f>IF('전기원장'!A788="","",'전기원장'!E788)</x:f>
      </x:c>
      <x:c r="G788" s="75" t="str">
        <x:f>IF('전기원장'!A788="","",'전기원장'!H788)</x:f>
      </x:c>
      <x:c r="H788" s="73" t="str">
        <x:f>IF('전기원장'!A788="","",'전기원장'!I788)</x:f>
      </x:c>
      <x:c r="I788" s="73" t="str">
        <x:f>IF('전기원장'!A788="","",'전기원장'!J788)</x:f>
      </x:c>
      <x:c r="J788" s="73" t="str">
        <x:f>IF('전기원장'!A788="","",'전기원장'!K788)</x:f>
      </x:c>
      <x:c r="K788" s="73" t="str">
        <x:f>IF(B788="","",IF(COUNTIF($B$5:B788,B788)=1,COUNT($K$4:K787)+1,""))</x:f>
      </x:c>
      <x:c r="L788" s="85" t="str">
        <x:f>IF(B788="","",IF(COUNTIFS('계정비교'!$A$5:$A$1004,B788,'계정비교'!$H$5:$H$1004,"원인분석 대상")&gt;0,COUNT($L$4:L787)+1,""))</x:f>
      </x:c>
    </x:row>
    <x:row r="789">
      <x:c r="A789" s="73" t="str">
        <x:f>IF('전기원장'!A789="","","전기")</x:f>
      </x:c>
      <x:c r="B789" s="73" t="str">
        <x:f>IF('전기원장'!A789="","",'전기원장'!A789)</x:f>
      </x:c>
      <x:c r="C789" s="73" t="str">
        <x:f>IF('전기원장'!A789="","",'전기원장'!B789)</x:f>
      </x:c>
      <x:c r="D789" s="74" t="str">
        <x:f>IF('전기원장'!A789="","",'전기원장'!C789)</x:f>
      </x:c>
      <x:c r="E789" s="73" t="str">
        <x:f>IF('전기원장'!A789="","",'전기원장'!D789)</x:f>
      </x:c>
      <x:c r="F789" s="73" t="str">
        <x:f>IF('전기원장'!A789="","",'전기원장'!E789)</x:f>
      </x:c>
      <x:c r="G789" s="75" t="str">
        <x:f>IF('전기원장'!A789="","",'전기원장'!H789)</x:f>
      </x:c>
      <x:c r="H789" s="73" t="str">
        <x:f>IF('전기원장'!A789="","",'전기원장'!I789)</x:f>
      </x:c>
      <x:c r="I789" s="73" t="str">
        <x:f>IF('전기원장'!A789="","",'전기원장'!J789)</x:f>
      </x:c>
      <x:c r="J789" s="73" t="str">
        <x:f>IF('전기원장'!A789="","",'전기원장'!K789)</x:f>
      </x:c>
      <x:c r="K789" s="73" t="str">
        <x:f>IF(B789="","",IF(COUNTIF($B$5:B789,B789)=1,COUNT($K$4:K788)+1,""))</x:f>
      </x:c>
      <x:c r="L789" s="85" t="str">
        <x:f>IF(B789="","",IF(COUNTIFS('계정비교'!$A$5:$A$1004,B789,'계정비교'!$H$5:$H$1004,"원인분석 대상")&gt;0,COUNT($L$4:L788)+1,""))</x:f>
      </x:c>
    </x:row>
    <x:row r="790">
      <x:c r="A790" s="73" t="str">
        <x:f>IF('전기원장'!A790="","","전기")</x:f>
      </x:c>
      <x:c r="B790" s="73" t="str">
        <x:f>IF('전기원장'!A790="","",'전기원장'!A790)</x:f>
      </x:c>
      <x:c r="C790" s="73" t="str">
        <x:f>IF('전기원장'!A790="","",'전기원장'!B790)</x:f>
      </x:c>
      <x:c r="D790" s="74" t="str">
        <x:f>IF('전기원장'!A790="","",'전기원장'!C790)</x:f>
      </x:c>
      <x:c r="E790" s="73" t="str">
        <x:f>IF('전기원장'!A790="","",'전기원장'!D790)</x:f>
      </x:c>
      <x:c r="F790" s="73" t="str">
        <x:f>IF('전기원장'!A790="","",'전기원장'!E790)</x:f>
      </x:c>
      <x:c r="G790" s="75" t="str">
        <x:f>IF('전기원장'!A790="","",'전기원장'!H790)</x:f>
      </x:c>
      <x:c r="H790" s="73" t="str">
        <x:f>IF('전기원장'!A790="","",'전기원장'!I790)</x:f>
      </x:c>
      <x:c r="I790" s="73" t="str">
        <x:f>IF('전기원장'!A790="","",'전기원장'!J790)</x:f>
      </x:c>
      <x:c r="J790" s="73" t="str">
        <x:f>IF('전기원장'!A790="","",'전기원장'!K790)</x:f>
      </x:c>
      <x:c r="K790" s="73" t="str">
        <x:f>IF(B790="","",IF(COUNTIF($B$5:B790,B790)=1,COUNT($K$4:K789)+1,""))</x:f>
      </x:c>
      <x:c r="L790" s="85" t="str">
        <x:f>IF(B790="","",IF(COUNTIFS('계정비교'!$A$5:$A$1004,B790,'계정비교'!$H$5:$H$1004,"원인분석 대상")&gt;0,COUNT($L$4:L789)+1,""))</x:f>
      </x:c>
    </x:row>
    <x:row r="791">
      <x:c r="A791" s="73" t="str">
        <x:f>IF('전기원장'!A791="","","전기")</x:f>
      </x:c>
      <x:c r="B791" s="73" t="str">
        <x:f>IF('전기원장'!A791="","",'전기원장'!A791)</x:f>
      </x:c>
      <x:c r="C791" s="73" t="str">
        <x:f>IF('전기원장'!A791="","",'전기원장'!B791)</x:f>
      </x:c>
      <x:c r="D791" s="74" t="str">
        <x:f>IF('전기원장'!A791="","",'전기원장'!C791)</x:f>
      </x:c>
      <x:c r="E791" s="73" t="str">
        <x:f>IF('전기원장'!A791="","",'전기원장'!D791)</x:f>
      </x:c>
      <x:c r="F791" s="73" t="str">
        <x:f>IF('전기원장'!A791="","",'전기원장'!E791)</x:f>
      </x:c>
      <x:c r="G791" s="75" t="str">
        <x:f>IF('전기원장'!A791="","",'전기원장'!H791)</x:f>
      </x:c>
      <x:c r="H791" s="73" t="str">
        <x:f>IF('전기원장'!A791="","",'전기원장'!I791)</x:f>
      </x:c>
      <x:c r="I791" s="73" t="str">
        <x:f>IF('전기원장'!A791="","",'전기원장'!J791)</x:f>
      </x:c>
      <x:c r="J791" s="73" t="str">
        <x:f>IF('전기원장'!A791="","",'전기원장'!K791)</x:f>
      </x:c>
      <x:c r="K791" s="73" t="str">
        <x:f>IF(B791="","",IF(COUNTIF($B$5:B791,B791)=1,COUNT($K$4:K790)+1,""))</x:f>
      </x:c>
      <x:c r="L791" s="85" t="str">
        <x:f>IF(B791="","",IF(COUNTIFS('계정비교'!$A$5:$A$1004,B791,'계정비교'!$H$5:$H$1004,"원인분석 대상")&gt;0,COUNT($L$4:L790)+1,""))</x:f>
      </x:c>
    </x:row>
    <x:row r="792">
      <x:c r="A792" s="73" t="str">
        <x:f>IF('전기원장'!A792="","","전기")</x:f>
      </x:c>
      <x:c r="B792" s="73" t="str">
        <x:f>IF('전기원장'!A792="","",'전기원장'!A792)</x:f>
      </x:c>
      <x:c r="C792" s="73" t="str">
        <x:f>IF('전기원장'!A792="","",'전기원장'!B792)</x:f>
      </x:c>
      <x:c r="D792" s="74" t="str">
        <x:f>IF('전기원장'!A792="","",'전기원장'!C792)</x:f>
      </x:c>
      <x:c r="E792" s="73" t="str">
        <x:f>IF('전기원장'!A792="","",'전기원장'!D792)</x:f>
      </x:c>
      <x:c r="F792" s="73" t="str">
        <x:f>IF('전기원장'!A792="","",'전기원장'!E792)</x:f>
      </x:c>
      <x:c r="G792" s="75" t="str">
        <x:f>IF('전기원장'!A792="","",'전기원장'!H792)</x:f>
      </x:c>
      <x:c r="H792" s="73" t="str">
        <x:f>IF('전기원장'!A792="","",'전기원장'!I792)</x:f>
      </x:c>
      <x:c r="I792" s="73" t="str">
        <x:f>IF('전기원장'!A792="","",'전기원장'!J792)</x:f>
      </x:c>
      <x:c r="J792" s="73" t="str">
        <x:f>IF('전기원장'!A792="","",'전기원장'!K792)</x:f>
      </x:c>
      <x:c r="K792" s="73" t="str">
        <x:f>IF(B792="","",IF(COUNTIF($B$5:B792,B792)=1,COUNT($K$4:K791)+1,""))</x:f>
      </x:c>
      <x:c r="L792" s="85" t="str">
        <x:f>IF(B792="","",IF(COUNTIFS('계정비교'!$A$5:$A$1004,B792,'계정비교'!$H$5:$H$1004,"원인분석 대상")&gt;0,COUNT($L$4:L791)+1,""))</x:f>
      </x:c>
    </x:row>
    <x:row r="793">
      <x:c r="A793" s="73" t="str">
        <x:f>IF('전기원장'!A793="","","전기")</x:f>
      </x:c>
      <x:c r="B793" s="73" t="str">
        <x:f>IF('전기원장'!A793="","",'전기원장'!A793)</x:f>
      </x:c>
      <x:c r="C793" s="73" t="str">
        <x:f>IF('전기원장'!A793="","",'전기원장'!B793)</x:f>
      </x:c>
      <x:c r="D793" s="74" t="str">
        <x:f>IF('전기원장'!A793="","",'전기원장'!C793)</x:f>
      </x:c>
      <x:c r="E793" s="73" t="str">
        <x:f>IF('전기원장'!A793="","",'전기원장'!D793)</x:f>
      </x:c>
      <x:c r="F793" s="73" t="str">
        <x:f>IF('전기원장'!A793="","",'전기원장'!E793)</x:f>
      </x:c>
      <x:c r="G793" s="75" t="str">
        <x:f>IF('전기원장'!A793="","",'전기원장'!H793)</x:f>
      </x:c>
      <x:c r="H793" s="73" t="str">
        <x:f>IF('전기원장'!A793="","",'전기원장'!I793)</x:f>
      </x:c>
      <x:c r="I793" s="73" t="str">
        <x:f>IF('전기원장'!A793="","",'전기원장'!J793)</x:f>
      </x:c>
      <x:c r="J793" s="73" t="str">
        <x:f>IF('전기원장'!A793="","",'전기원장'!K793)</x:f>
      </x:c>
      <x:c r="K793" s="73" t="str">
        <x:f>IF(B793="","",IF(COUNTIF($B$5:B793,B793)=1,COUNT($K$4:K792)+1,""))</x:f>
      </x:c>
      <x:c r="L793" s="85" t="str">
        <x:f>IF(B793="","",IF(COUNTIFS('계정비교'!$A$5:$A$1004,B793,'계정비교'!$H$5:$H$1004,"원인분석 대상")&gt;0,COUNT($L$4:L792)+1,""))</x:f>
      </x:c>
    </x:row>
    <x:row r="794">
      <x:c r="A794" s="73" t="str">
        <x:f>IF('전기원장'!A794="","","전기")</x:f>
      </x:c>
      <x:c r="B794" s="73" t="str">
        <x:f>IF('전기원장'!A794="","",'전기원장'!A794)</x:f>
      </x:c>
      <x:c r="C794" s="73" t="str">
        <x:f>IF('전기원장'!A794="","",'전기원장'!B794)</x:f>
      </x:c>
      <x:c r="D794" s="74" t="str">
        <x:f>IF('전기원장'!A794="","",'전기원장'!C794)</x:f>
      </x:c>
      <x:c r="E794" s="73" t="str">
        <x:f>IF('전기원장'!A794="","",'전기원장'!D794)</x:f>
      </x:c>
      <x:c r="F794" s="73" t="str">
        <x:f>IF('전기원장'!A794="","",'전기원장'!E794)</x:f>
      </x:c>
      <x:c r="G794" s="75" t="str">
        <x:f>IF('전기원장'!A794="","",'전기원장'!H794)</x:f>
      </x:c>
      <x:c r="H794" s="73" t="str">
        <x:f>IF('전기원장'!A794="","",'전기원장'!I794)</x:f>
      </x:c>
      <x:c r="I794" s="73" t="str">
        <x:f>IF('전기원장'!A794="","",'전기원장'!J794)</x:f>
      </x:c>
      <x:c r="J794" s="73" t="str">
        <x:f>IF('전기원장'!A794="","",'전기원장'!K794)</x:f>
      </x:c>
      <x:c r="K794" s="73" t="str">
        <x:f>IF(B794="","",IF(COUNTIF($B$5:B794,B794)=1,COUNT($K$4:K793)+1,""))</x:f>
      </x:c>
      <x:c r="L794" s="85" t="str">
        <x:f>IF(B794="","",IF(COUNTIFS('계정비교'!$A$5:$A$1004,B794,'계정비교'!$H$5:$H$1004,"원인분석 대상")&gt;0,COUNT($L$4:L793)+1,""))</x:f>
      </x:c>
    </x:row>
    <x:row r="795">
      <x:c r="A795" s="73" t="str">
        <x:f>IF('전기원장'!A795="","","전기")</x:f>
      </x:c>
      <x:c r="B795" s="73" t="str">
        <x:f>IF('전기원장'!A795="","",'전기원장'!A795)</x:f>
      </x:c>
      <x:c r="C795" s="73" t="str">
        <x:f>IF('전기원장'!A795="","",'전기원장'!B795)</x:f>
      </x:c>
      <x:c r="D795" s="74" t="str">
        <x:f>IF('전기원장'!A795="","",'전기원장'!C795)</x:f>
      </x:c>
      <x:c r="E795" s="73" t="str">
        <x:f>IF('전기원장'!A795="","",'전기원장'!D795)</x:f>
      </x:c>
      <x:c r="F795" s="73" t="str">
        <x:f>IF('전기원장'!A795="","",'전기원장'!E795)</x:f>
      </x:c>
      <x:c r="G795" s="75" t="str">
        <x:f>IF('전기원장'!A795="","",'전기원장'!H795)</x:f>
      </x:c>
      <x:c r="H795" s="73" t="str">
        <x:f>IF('전기원장'!A795="","",'전기원장'!I795)</x:f>
      </x:c>
      <x:c r="I795" s="73" t="str">
        <x:f>IF('전기원장'!A795="","",'전기원장'!J795)</x:f>
      </x:c>
      <x:c r="J795" s="73" t="str">
        <x:f>IF('전기원장'!A795="","",'전기원장'!K795)</x:f>
      </x:c>
      <x:c r="K795" s="73" t="str">
        <x:f>IF(B795="","",IF(COUNTIF($B$5:B795,B795)=1,COUNT($K$4:K794)+1,""))</x:f>
      </x:c>
      <x:c r="L795" s="85" t="str">
        <x:f>IF(B795="","",IF(COUNTIFS('계정비교'!$A$5:$A$1004,B795,'계정비교'!$H$5:$H$1004,"원인분석 대상")&gt;0,COUNT($L$4:L794)+1,""))</x:f>
      </x:c>
    </x:row>
    <x:row r="796">
      <x:c r="A796" s="73" t="str">
        <x:f>IF('전기원장'!A796="","","전기")</x:f>
      </x:c>
      <x:c r="B796" s="73" t="str">
        <x:f>IF('전기원장'!A796="","",'전기원장'!A796)</x:f>
      </x:c>
      <x:c r="C796" s="73" t="str">
        <x:f>IF('전기원장'!A796="","",'전기원장'!B796)</x:f>
      </x:c>
      <x:c r="D796" s="74" t="str">
        <x:f>IF('전기원장'!A796="","",'전기원장'!C796)</x:f>
      </x:c>
      <x:c r="E796" s="73" t="str">
        <x:f>IF('전기원장'!A796="","",'전기원장'!D796)</x:f>
      </x:c>
      <x:c r="F796" s="73" t="str">
        <x:f>IF('전기원장'!A796="","",'전기원장'!E796)</x:f>
      </x:c>
      <x:c r="G796" s="75" t="str">
        <x:f>IF('전기원장'!A796="","",'전기원장'!H796)</x:f>
      </x:c>
      <x:c r="H796" s="73" t="str">
        <x:f>IF('전기원장'!A796="","",'전기원장'!I796)</x:f>
      </x:c>
      <x:c r="I796" s="73" t="str">
        <x:f>IF('전기원장'!A796="","",'전기원장'!J796)</x:f>
      </x:c>
      <x:c r="J796" s="73" t="str">
        <x:f>IF('전기원장'!A796="","",'전기원장'!K796)</x:f>
      </x:c>
      <x:c r="K796" s="73" t="str">
        <x:f>IF(B796="","",IF(COUNTIF($B$5:B796,B796)=1,COUNT($K$4:K795)+1,""))</x:f>
      </x:c>
      <x:c r="L796" s="85" t="str">
        <x:f>IF(B796="","",IF(COUNTIFS('계정비교'!$A$5:$A$1004,B796,'계정비교'!$H$5:$H$1004,"원인분석 대상")&gt;0,COUNT($L$4:L795)+1,""))</x:f>
      </x:c>
    </x:row>
    <x:row r="797">
      <x:c r="A797" s="73" t="str">
        <x:f>IF('전기원장'!A797="","","전기")</x:f>
      </x:c>
      <x:c r="B797" s="73" t="str">
        <x:f>IF('전기원장'!A797="","",'전기원장'!A797)</x:f>
      </x:c>
      <x:c r="C797" s="73" t="str">
        <x:f>IF('전기원장'!A797="","",'전기원장'!B797)</x:f>
      </x:c>
      <x:c r="D797" s="74" t="str">
        <x:f>IF('전기원장'!A797="","",'전기원장'!C797)</x:f>
      </x:c>
      <x:c r="E797" s="73" t="str">
        <x:f>IF('전기원장'!A797="","",'전기원장'!D797)</x:f>
      </x:c>
      <x:c r="F797" s="73" t="str">
        <x:f>IF('전기원장'!A797="","",'전기원장'!E797)</x:f>
      </x:c>
      <x:c r="G797" s="75" t="str">
        <x:f>IF('전기원장'!A797="","",'전기원장'!H797)</x:f>
      </x:c>
      <x:c r="H797" s="73" t="str">
        <x:f>IF('전기원장'!A797="","",'전기원장'!I797)</x:f>
      </x:c>
      <x:c r="I797" s="73" t="str">
        <x:f>IF('전기원장'!A797="","",'전기원장'!J797)</x:f>
      </x:c>
      <x:c r="J797" s="73" t="str">
        <x:f>IF('전기원장'!A797="","",'전기원장'!K797)</x:f>
      </x:c>
      <x:c r="K797" s="73" t="str">
        <x:f>IF(B797="","",IF(COUNTIF($B$5:B797,B797)=1,COUNT($K$4:K796)+1,""))</x:f>
      </x:c>
      <x:c r="L797" s="85" t="str">
        <x:f>IF(B797="","",IF(COUNTIFS('계정비교'!$A$5:$A$1004,B797,'계정비교'!$H$5:$H$1004,"원인분석 대상")&gt;0,COUNT($L$4:L796)+1,""))</x:f>
      </x:c>
    </x:row>
    <x:row r="798">
      <x:c r="A798" s="73" t="str">
        <x:f>IF('전기원장'!A798="","","전기")</x:f>
      </x:c>
      <x:c r="B798" s="73" t="str">
        <x:f>IF('전기원장'!A798="","",'전기원장'!A798)</x:f>
      </x:c>
      <x:c r="C798" s="73" t="str">
        <x:f>IF('전기원장'!A798="","",'전기원장'!B798)</x:f>
      </x:c>
      <x:c r="D798" s="74" t="str">
        <x:f>IF('전기원장'!A798="","",'전기원장'!C798)</x:f>
      </x:c>
      <x:c r="E798" s="73" t="str">
        <x:f>IF('전기원장'!A798="","",'전기원장'!D798)</x:f>
      </x:c>
      <x:c r="F798" s="73" t="str">
        <x:f>IF('전기원장'!A798="","",'전기원장'!E798)</x:f>
      </x:c>
      <x:c r="G798" s="75" t="str">
        <x:f>IF('전기원장'!A798="","",'전기원장'!H798)</x:f>
      </x:c>
      <x:c r="H798" s="73" t="str">
        <x:f>IF('전기원장'!A798="","",'전기원장'!I798)</x:f>
      </x:c>
      <x:c r="I798" s="73" t="str">
        <x:f>IF('전기원장'!A798="","",'전기원장'!J798)</x:f>
      </x:c>
      <x:c r="J798" s="73" t="str">
        <x:f>IF('전기원장'!A798="","",'전기원장'!K798)</x:f>
      </x:c>
      <x:c r="K798" s="73" t="str">
        <x:f>IF(B798="","",IF(COUNTIF($B$5:B798,B798)=1,COUNT($K$4:K797)+1,""))</x:f>
      </x:c>
      <x:c r="L798" s="85" t="str">
        <x:f>IF(B798="","",IF(COUNTIFS('계정비교'!$A$5:$A$1004,B798,'계정비교'!$H$5:$H$1004,"원인분석 대상")&gt;0,COUNT($L$4:L797)+1,""))</x:f>
      </x:c>
    </x:row>
    <x:row r="799">
      <x:c r="A799" s="73" t="str">
        <x:f>IF('전기원장'!A799="","","전기")</x:f>
      </x:c>
      <x:c r="B799" s="73" t="str">
        <x:f>IF('전기원장'!A799="","",'전기원장'!A799)</x:f>
      </x:c>
      <x:c r="C799" s="73" t="str">
        <x:f>IF('전기원장'!A799="","",'전기원장'!B799)</x:f>
      </x:c>
      <x:c r="D799" s="74" t="str">
        <x:f>IF('전기원장'!A799="","",'전기원장'!C799)</x:f>
      </x:c>
      <x:c r="E799" s="73" t="str">
        <x:f>IF('전기원장'!A799="","",'전기원장'!D799)</x:f>
      </x:c>
      <x:c r="F799" s="73" t="str">
        <x:f>IF('전기원장'!A799="","",'전기원장'!E799)</x:f>
      </x:c>
      <x:c r="G799" s="75" t="str">
        <x:f>IF('전기원장'!A799="","",'전기원장'!H799)</x:f>
      </x:c>
      <x:c r="H799" s="73" t="str">
        <x:f>IF('전기원장'!A799="","",'전기원장'!I799)</x:f>
      </x:c>
      <x:c r="I799" s="73" t="str">
        <x:f>IF('전기원장'!A799="","",'전기원장'!J799)</x:f>
      </x:c>
      <x:c r="J799" s="73" t="str">
        <x:f>IF('전기원장'!A799="","",'전기원장'!K799)</x:f>
      </x:c>
      <x:c r="K799" s="73" t="str">
        <x:f>IF(B799="","",IF(COUNTIF($B$5:B799,B799)=1,COUNT($K$4:K798)+1,""))</x:f>
      </x:c>
      <x:c r="L799" s="85" t="str">
        <x:f>IF(B799="","",IF(COUNTIFS('계정비교'!$A$5:$A$1004,B799,'계정비교'!$H$5:$H$1004,"원인분석 대상")&gt;0,COUNT($L$4:L798)+1,""))</x:f>
      </x:c>
    </x:row>
    <x:row r="800">
      <x:c r="A800" s="73" t="str">
        <x:f>IF('전기원장'!A800="","","전기")</x:f>
      </x:c>
      <x:c r="B800" s="73" t="str">
        <x:f>IF('전기원장'!A800="","",'전기원장'!A800)</x:f>
      </x:c>
      <x:c r="C800" s="73" t="str">
        <x:f>IF('전기원장'!A800="","",'전기원장'!B800)</x:f>
      </x:c>
      <x:c r="D800" s="74" t="str">
        <x:f>IF('전기원장'!A800="","",'전기원장'!C800)</x:f>
      </x:c>
      <x:c r="E800" s="73" t="str">
        <x:f>IF('전기원장'!A800="","",'전기원장'!D800)</x:f>
      </x:c>
      <x:c r="F800" s="73" t="str">
        <x:f>IF('전기원장'!A800="","",'전기원장'!E800)</x:f>
      </x:c>
      <x:c r="G800" s="75" t="str">
        <x:f>IF('전기원장'!A800="","",'전기원장'!H800)</x:f>
      </x:c>
      <x:c r="H800" s="73" t="str">
        <x:f>IF('전기원장'!A800="","",'전기원장'!I800)</x:f>
      </x:c>
      <x:c r="I800" s="73" t="str">
        <x:f>IF('전기원장'!A800="","",'전기원장'!J800)</x:f>
      </x:c>
      <x:c r="J800" s="73" t="str">
        <x:f>IF('전기원장'!A800="","",'전기원장'!K800)</x:f>
      </x:c>
      <x:c r="K800" s="73" t="str">
        <x:f>IF(B800="","",IF(COUNTIF($B$5:B800,B800)=1,COUNT($K$4:K799)+1,""))</x:f>
      </x:c>
      <x:c r="L800" s="85" t="str">
        <x:f>IF(B800="","",IF(COUNTIFS('계정비교'!$A$5:$A$1004,B800,'계정비교'!$H$5:$H$1004,"원인분석 대상")&gt;0,COUNT($L$4:L799)+1,""))</x:f>
      </x:c>
    </x:row>
    <x:row r="801">
      <x:c r="A801" s="73" t="str">
        <x:f>IF('전기원장'!A801="","","전기")</x:f>
      </x:c>
      <x:c r="B801" s="73" t="str">
        <x:f>IF('전기원장'!A801="","",'전기원장'!A801)</x:f>
      </x:c>
      <x:c r="C801" s="73" t="str">
        <x:f>IF('전기원장'!A801="","",'전기원장'!B801)</x:f>
      </x:c>
      <x:c r="D801" s="74" t="str">
        <x:f>IF('전기원장'!A801="","",'전기원장'!C801)</x:f>
      </x:c>
      <x:c r="E801" s="73" t="str">
        <x:f>IF('전기원장'!A801="","",'전기원장'!D801)</x:f>
      </x:c>
      <x:c r="F801" s="73" t="str">
        <x:f>IF('전기원장'!A801="","",'전기원장'!E801)</x:f>
      </x:c>
      <x:c r="G801" s="75" t="str">
        <x:f>IF('전기원장'!A801="","",'전기원장'!H801)</x:f>
      </x:c>
      <x:c r="H801" s="73" t="str">
        <x:f>IF('전기원장'!A801="","",'전기원장'!I801)</x:f>
      </x:c>
      <x:c r="I801" s="73" t="str">
        <x:f>IF('전기원장'!A801="","",'전기원장'!J801)</x:f>
      </x:c>
      <x:c r="J801" s="73" t="str">
        <x:f>IF('전기원장'!A801="","",'전기원장'!K801)</x:f>
      </x:c>
      <x:c r="K801" s="73" t="str">
        <x:f>IF(B801="","",IF(COUNTIF($B$5:B801,B801)=1,COUNT($K$4:K800)+1,""))</x:f>
      </x:c>
      <x:c r="L801" s="85" t="str">
        <x:f>IF(B801="","",IF(COUNTIFS('계정비교'!$A$5:$A$1004,B801,'계정비교'!$H$5:$H$1004,"원인분석 대상")&gt;0,COUNT($L$4:L800)+1,""))</x:f>
      </x:c>
    </x:row>
    <x:row r="802">
      <x:c r="A802" s="73" t="str">
        <x:f>IF('전기원장'!A802="","","전기")</x:f>
      </x:c>
      <x:c r="B802" s="73" t="str">
        <x:f>IF('전기원장'!A802="","",'전기원장'!A802)</x:f>
      </x:c>
      <x:c r="C802" s="73" t="str">
        <x:f>IF('전기원장'!A802="","",'전기원장'!B802)</x:f>
      </x:c>
      <x:c r="D802" s="74" t="str">
        <x:f>IF('전기원장'!A802="","",'전기원장'!C802)</x:f>
      </x:c>
      <x:c r="E802" s="73" t="str">
        <x:f>IF('전기원장'!A802="","",'전기원장'!D802)</x:f>
      </x:c>
      <x:c r="F802" s="73" t="str">
        <x:f>IF('전기원장'!A802="","",'전기원장'!E802)</x:f>
      </x:c>
      <x:c r="G802" s="75" t="str">
        <x:f>IF('전기원장'!A802="","",'전기원장'!H802)</x:f>
      </x:c>
      <x:c r="H802" s="73" t="str">
        <x:f>IF('전기원장'!A802="","",'전기원장'!I802)</x:f>
      </x:c>
      <x:c r="I802" s="73" t="str">
        <x:f>IF('전기원장'!A802="","",'전기원장'!J802)</x:f>
      </x:c>
      <x:c r="J802" s="73" t="str">
        <x:f>IF('전기원장'!A802="","",'전기원장'!K802)</x:f>
      </x:c>
      <x:c r="K802" s="73" t="str">
        <x:f>IF(B802="","",IF(COUNTIF($B$5:B802,B802)=1,COUNT($K$4:K801)+1,""))</x:f>
      </x:c>
      <x:c r="L802" s="85" t="str">
        <x:f>IF(B802="","",IF(COUNTIFS('계정비교'!$A$5:$A$1004,B802,'계정비교'!$H$5:$H$1004,"원인분석 대상")&gt;0,COUNT($L$4:L801)+1,""))</x:f>
      </x:c>
    </x:row>
    <x:row r="803">
      <x:c r="A803" s="73" t="str">
        <x:f>IF('전기원장'!A803="","","전기")</x:f>
      </x:c>
      <x:c r="B803" s="73" t="str">
        <x:f>IF('전기원장'!A803="","",'전기원장'!A803)</x:f>
      </x:c>
      <x:c r="C803" s="73" t="str">
        <x:f>IF('전기원장'!A803="","",'전기원장'!B803)</x:f>
      </x:c>
      <x:c r="D803" s="74" t="str">
        <x:f>IF('전기원장'!A803="","",'전기원장'!C803)</x:f>
      </x:c>
      <x:c r="E803" s="73" t="str">
        <x:f>IF('전기원장'!A803="","",'전기원장'!D803)</x:f>
      </x:c>
      <x:c r="F803" s="73" t="str">
        <x:f>IF('전기원장'!A803="","",'전기원장'!E803)</x:f>
      </x:c>
      <x:c r="G803" s="75" t="str">
        <x:f>IF('전기원장'!A803="","",'전기원장'!H803)</x:f>
      </x:c>
      <x:c r="H803" s="73" t="str">
        <x:f>IF('전기원장'!A803="","",'전기원장'!I803)</x:f>
      </x:c>
      <x:c r="I803" s="73" t="str">
        <x:f>IF('전기원장'!A803="","",'전기원장'!J803)</x:f>
      </x:c>
      <x:c r="J803" s="73" t="str">
        <x:f>IF('전기원장'!A803="","",'전기원장'!K803)</x:f>
      </x:c>
      <x:c r="K803" s="73" t="str">
        <x:f>IF(B803="","",IF(COUNTIF($B$5:B803,B803)=1,COUNT($K$4:K802)+1,""))</x:f>
      </x:c>
      <x:c r="L803" s="85" t="str">
        <x:f>IF(B803="","",IF(COUNTIFS('계정비교'!$A$5:$A$1004,B803,'계정비교'!$H$5:$H$1004,"원인분석 대상")&gt;0,COUNT($L$4:L802)+1,""))</x:f>
      </x:c>
    </x:row>
    <x:row r="804">
      <x:c r="A804" s="73" t="str">
        <x:f>IF('전기원장'!A804="","","전기")</x:f>
      </x:c>
      <x:c r="B804" s="73" t="str">
        <x:f>IF('전기원장'!A804="","",'전기원장'!A804)</x:f>
      </x:c>
      <x:c r="C804" s="73" t="str">
        <x:f>IF('전기원장'!A804="","",'전기원장'!B804)</x:f>
      </x:c>
      <x:c r="D804" s="74" t="str">
        <x:f>IF('전기원장'!A804="","",'전기원장'!C804)</x:f>
      </x:c>
      <x:c r="E804" s="73" t="str">
        <x:f>IF('전기원장'!A804="","",'전기원장'!D804)</x:f>
      </x:c>
      <x:c r="F804" s="73" t="str">
        <x:f>IF('전기원장'!A804="","",'전기원장'!E804)</x:f>
      </x:c>
      <x:c r="G804" s="75" t="str">
        <x:f>IF('전기원장'!A804="","",'전기원장'!H804)</x:f>
      </x:c>
      <x:c r="H804" s="73" t="str">
        <x:f>IF('전기원장'!A804="","",'전기원장'!I804)</x:f>
      </x:c>
      <x:c r="I804" s="73" t="str">
        <x:f>IF('전기원장'!A804="","",'전기원장'!J804)</x:f>
      </x:c>
      <x:c r="J804" s="73" t="str">
        <x:f>IF('전기원장'!A804="","",'전기원장'!K804)</x:f>
      </x:c>
      <x:c r="K804" s="73" t="str">
        <x:f>IF(B804="","",IF(COUNTIF($B$5:B804,B804)=1,COUNT($K$4:K803)+1,""))</x:f>
      </x:c>
      <x:c r="L804" s="85" t="str">
        <x:f>IF(B804="","",IF(COUNTIFS('계정비교'!$A$5:$A$1004,B804,'계정비교'!$H$5:$H$1004,"원인분석 대상")&gt;0,COUNT($L$4:L803)+1,""))</x:f>
      </x:c>
    </x:row>
    <x:row r="805">
      <x:c r="A805" s="73" t="str">
        <x:f>IF('전기원장'!A805="","","전기")</x:f>
      </x:c>
      <x:c r="B805" s="73" t="str">
        <x:f>IF('전기원장'!A805="","",'전기원장'!A805)</x:f>
      </x:c>
      <x:c r="C805" s="73" t="str">
        <x:f>IF('전기원장'!A805="","",'전기원장'!B805)</x:f>
      </x:c>
      <x:c r="D805" s="74" t="str">
        <x:f>IF('전기원장'!A805="","",'전기원장'!C805)</x:f>
      </x:c>
      <x:c r="E805" s="73" t="str">
        <x:f>IF('전기원장'!A805="","",'전기원장'!D805)</x:f>
      </x:c>
      <x:c r="F805" s="73" t="str">
        <x:f>IF('전기원장'!A805="","",'전기원장'!E805)</x:f>
      </x:c>
      <x:c r="G805" s="75" t="str">
        <x:f>IF('전기원장'!A805="","",'전기원장'!H805)</x:f>
      </x:c>
      <x:c r="H805" s="73" t="str">
        <x:f>IF('전기원장'!A805="","",'전기원장'!I805)</x:f>
      </x:c>
      <x:c r="I805" s="73" t="str">
        <x:f>IF('전기원장'!A805="","",'전기원장'!J805)</x:f>
      </x:c>
      <x:c r="J805" s="73" t="str">
        <x:f>IF('전기원장'!A805="","",'전기원장'!K805)</x:f>
      </x:c>
      <x:c r="K805" s="73" t="str">
        <x:f>IF(B805="","",IF(COUNTIF($B$5:B805,B805)=1,COUNT($K$4:K804)+1,""))</x:f>
      </x:c>
      <x:c r="L805" s="85" t="str">
        <x:f>IF(B805="","",IF(COUNTIFS('계정비교'!$A$5:$A$1004,B805,'계정비교'!$H$5:$H$1004,"원인분석 대상")&gt;0,COUNT($L$4:L804)+1,""))</x:f>
      </x:c>
    </x:row>
    <x:row r="806">
      <x:c r="A806" s="73" t="str">
        <x:f>IF('전기원장'!A806="","","전기")</x:f>
      </x:c>
      <x:c r="B806" s="73" t="str">
        <x:f>IF('전기원장'!A806="","",'전기원장'!A806)</x:f>
      </x:c>
      <x:c r="C806" s="73" t="str">
        <x:f>IF('전기원장'!A806="","",'전기원장'!B806)</x:f>
      </x:c>
      <x:c r="D806" s="74" t="str">
        <x:f>IF('전기원장'!A806="","",'전기원장'!C806)</x:f>
      </x:c>
      <x:c r="E806" s="73" t="str">
        <x:f>IF('전기원장'!A806="","",'전기원장'!D806)</x:f>
      </x:c>
      <x:c r="F806" s="73" t="str">
        <x:f>IF('전기원장'!A806="","",'전기원장'!E806)</x:f>
      </x:c>
      <x:c r="G806" s="75" t="str">
        <x:f>IF('전기원장'!A806="","",'전기원장'!H806)</x:f>
      </x:c>
      <x:c r="H806" s="73" t="str">
        <x:f>IF('전기원장'!A806="","",'전기원장'!I806)</x:f>
      </x:c>
      <x:c r="I806" s="73" t="str">
        <x:f>IF('전기원장'!A806="","",'전기원장'!J806)</x:f>
      </x:c>
      <x:c r="J806" s="73" t="str">
        <x:f>IF('전기원장'!A806="","",'전기원장'!K806)</x:f>
      </x:c>
      <x:c r="K806" s="73" t="str">
        <x:f>IF(B806="","",IF(COUNTIF($B$5:B806,B806)=1,COUNT($K$4:K805)+1,""))</x:f>
      </x:c>
      <x:c r="L806" s="85" t="str">
        <x:f>IF(B806="","",IF(COUNTIFS('계정비교'!$A$5:$A$1004,B806,'계정비교'!$H$5:$H$1004,"원인분석 대상")&gt;0,COUNT($L$4:L805)+1,""))</x:f>
      </x:c>
    </x:row>
    <x:row r="807">
      <x:c r="A807" s="73" t="str">
        <x:f>IF('전기원장'!A807="","","전기")</x:f>
      </x:c>
      <x:c r="B807" s="73" t="str">
        <x:f>IF('전기원장'!A807="","",'전기원장'!A807)</x:f>
      </x:c>
      <x:c r="C807" s="73" t="str">
        <x:f>IF('전기원장'!A807="","",'전기원장'!B807)</x:f>
      </x:c>
      <x:c r="D807" s="74" t="str">
        <x:f>IF('전기원장'!A807="","",'전기원장'!C807)</x:f>
      </x:c>
      <x:c r="E807" s="73" t="str">
        <x:f>IF('전기원장'!A807="","",'전기원장'!D807)</x:f>
      </x:c>
      <x:c r="F807" s="73" t="str">
        <x:f>IF('전기원장'!A807="","",'전기원장'!E807)</x:f>
      </x:c>
      <x:c r="G807" s="75" t="str">
        <x:f>IF('전기원장'!A807="","",'전기원장'!H807)</x:f>
      </x:c>
      <x:c r="H807" s="73" t="str">
        <x:f>IF('전기원장'!A807="","",'전기원장'!I807)</x:f>
      </x:c>
      <x:c r="I807" s="73" t="str">
        <x:f>IF('전기원장'!A807="","",'전기원장'!J807)</x:f>
      </x:c>
      <x:c r="J807" s="73" t="str">
        <x:f>IF('전기원장'!A807="","",'전기원장'!K807)</x:f>
      </x:c>
      <x:c r="K807" s="73" t="str">
        <x:f>IF(B807="","",IF(COUNTIF($B$5:B807,B807)=1,COUNT($K$4:K806)+1,""))</x:f>
      </x:c>
      <x:c r="L807" s="85" t="str">
        <x:f>IF(B807="","",IF(COUNTIFS('계정비교'!$A$5:$A$1004,B807,'계정비교'!$H$5:$H$1004,"원인분석 대상")&gt;0,COUNT($L$4:L806)+1,""))</x:f>
      </x:c>
    </x:row>
    <x:row r="808">
      <x:c r="A808" s="73" t="str">
        <x:f>IF('전기원장'!A808="","","전기")</x:f>
      </x:c>
      <x:c r="B808" s="73" t="str">
        <x:f>IF('전기원장'!A808="","",'전기원장'!A808)</x:f>
      </x:c>
      <x:c r="C808" s="73" t="str">
        <x:f>IF('전기원장'!A808="","",'전기원장'!B808)</x:f>
      </x:c>
      <x:c r="D808" s="74" t="str">
        <x:f>IF('전기원장'!A808="","",'전기원장'!C808)</x:f>
      </x:c>
      <x:c r="E808" s="73" t="str">
        <x:f>IF('전기원장'!A808="","",'전기원장'!D808)</x:f>
      </x:c>
      <x:c r="F808" s="73" t="str">
        <x:f>IF('전기원장'!A808="","",'전기원장'!E808)</x:f>
      </x:c>
      <x:c r="G808" s="75" t="str">
        <x:f>IF('전기원장'!A808="","",'전기원장'!H808)</x:f>
      </x:c>
      <x:c r="H808" s="73" t="str">
        <x:f>IF('전기원장'!A808="","",'전기원장'!I808)</x:f>
      </x:c>
      <x:c r="I808" s="73" t="str">
        <x:f>IF('전기원장'!A808="","",'전기원장'!J808)</x:f>
      </x:c>
      <x:c r="J808" s="73" t="str">
        <x:f>IF('전기원장'!A808="","",'전기원장'!K808)</x:f>
      </x:c>
      <x:c r="K808" s="73" t="str">
        <x:f>IF(B808="","",IF(COUNTIF($B$5:B808,B808)=1,COUNT($K$4:K807)+1,""))</x:f>
      </x:c>
      <x:c r="L808" s="85" t="str">
        <x:f>IF(B808="","",IF(COUNTIFS('계정비교'!$A$5:$A$1004,B808,'계정비교'!$H$5:$H$1004,"원인분석 대상")&gt;0,COUNT($L$4:L807)+1,""))</x:f>
      </x:c>
    </x:row>
    <x:row r="809">
      <x:c r="A809" s="73" t="str">
        <x:f>IF('전기원장'!A809="","","전기")</x:f>
      </x:c>
      <x:c r="B809" s="73" t="str">
        <x:f>IF('전기원장'!A809="","",'전기원장'!A809)</x:f>
      </x:c>
      <x:c r="C809" s="73" t="str">
        <x:f>IF('전기원장'!A809="","",'전기원장'!B809)</x:f>
      </x:c>
      <x:c r="D809" s="74" t="str">
        <x:f>IF('전기원장'!A809="","",'전기원장'!C809)</x:f>
      </x:c>
      <x:c r="E809" s="73" t="str">
        <x:f>IF('전기원장'!A809="","",'전기원장'!D809)</x:f>
      </x:c>
      <x:c r="F809" s="73" t="str">
        <x:f>IF('전기원장'!A809="","",'전기원장'!E809)</x:f>
      </x:c>
      <x:c r="G809" s="75" t="str">
        <x:f>IF('전기원장'!A809="","",'전기원장'!H809)</x:f>
      </x:c>
      <x:c r="H809" s="73" t="str">
        <x:f>IF('전기원장'!A809="","",'전기원장'!I809)</x:f>
      </x:c>
      <x:c r="I809" s="73" t="str">
        <x:f>IF('전기원장'!A809="","",'전기원장'!J809)</x:f>
      </x:c>
      <x:c r="J809" s="73" t="str">
        <x:f>IF('전기원장'!A809="","",'전기원장'!K809)</x:f>
      </x:c>
      <x:c r="K809" s="73" t="str">
        <x:f>IF(B809="","",IF(COUNTIF($B$5:B809,B809)=1,COUNT($K$4:K808)+1,""))</x:f>
      </x:c>
      <x:c r="L809" s="85" t="str">
        <x:f>IF(B809="","",IF(COUNTIFS('계정비교'!$A$5:$A$1004,B809,'계정비교'!$H$5:$H$1004,"원인분석 대상")&gt;0,COUNT($L$4:L808)+1,""))</x:f>
      </x:c>
    </x:row>
    <x:row r="810">
      <x:c r="A810" s="73" t="str">
        <x:f>IF('전기원장'!A810="","","전기")</x:f>
      </x:c>
      <x:c r="B810" s="73" t="str">
        <x:f>IF('전기원장'!A810="","",'전기원장'!A810)</x:f>
      </x:c>
      <x:c r="C810" s="73" t="str">
        <x:f>IF('전기원장'!A810="","",'전기원장'!B810)</x:f>
      </x:c>
      <x:c r="D810" s="74" t="str">
        <x:f>IF('전기원장'!A810="","",'전기원장'!C810)</x:f>
      </x:c>
      <x:c r="E810" s="73" t="str">
        <x:f>IF('전기원장'!A810="","",'전기원장'!D810)</x:f>
      </x:c>
      <x:c r="F810" s="73" t="str">
        <x:f>IF('전기원장'!A810="","",'전기원장'!E810)</x:f>
      </x:c>
      <x:c r="G810" s="75" t="str">
        <x:f>IF('전기원장'!A810="","",'전기원장'!H810)</x:f>
      </x:c>
      <x:c r="H810" s="73" t="str">
        <x:f>IF('전기원장'!A810="","",'전기원장'!I810)</x:f>
      </x:c>
      <x:c r="I810" s="73" t="str">
        <x:f>IF('전기원장'!A810="","",'전기원장'!J810)</x:f>
      </x:c>
      <x:c r="J810" s="73" t="str">
        <x:f>IF('전기원장'!A810="","",'전기원장'!K810)</x:f>
      </x:c>
      <x:c r="K810" s="73" t="str">
        <x:f>IF(B810="","",IF(COUNTIF($B$5:B810,B810)=1,COUNT($K$4:K809)+1,""))</x:f>
      </x:c>
      <x:c r="L810" s="85" t="str">
        <x:f>IF(B810="","",IF(COUNTIFS('계정비교'!$A$5:$A$1004,B810,'계정비교'!$H$5:$H$1004,"원인분석 대상")&gt;0,COUNT($L$4:L809)+1,""))</x:f>
      </x:c>
    </x:row>
    <x:row r="811">
      <x:c r="A811" s="73" t="str">
        <x:f>IF('전기원장'!A811="","","전기")</x:f>
      </x:c>
      <x:c r="B811" s="73" t="str">
        <x:f>IF('전기원장'!A811="","",'전기원장'!A811)</x:f>
      </x:c>
      <x:c r="C811" s="73" t="str">
        <x:f>IF('전기원장'!A811="","",'전기원장'!B811)</x:f>
      </x:c>
      <x:c r="D811" s="74" t="str">
        <x:f>IF('전기원장'!A811="","",'전기원장'!C811)</x:f>
      </x:c>
      <x:c r="E811" s="73" t="str">
        <x:f>IF('전기원장'!A811="","",'전기원장'!D811)</x:f>
      </x:c>
      <x:c r="F811" s="73" t="str">
        <x:f>IF('전기원장'!A811="","",'전기원장'!E811)</x:f>
      </x:c>
      <x:c r="G811" s="75" t="str">
        <x:f>IF('전기원장'!A811="","",'전기원장'!H811)</x:f>
      </x:c>
      <x:c r="H811" s="73" t="str">
        <x:f>IF('전기원장'!A811="","",'전기원장'!I811)</x:f>
      </x:c>
      <x:c r="I811" s="73" t="str">
        <x:f>IF('전기원장'!A811="","",'전기원장'!J811)</x:f>
      </x:c>
      <x:c r="J811" s="73" t="str">
        <x:f>IF('전기원장'!A811="","",'전기원장'!K811)</x:f>
      </x:c>
      <x:c r="K811" s="73" t="str">
        <x:f>IF(B811="","",IF(COUNTIF($B$5:B811,B811)=1,COUNT($K$4:K810)+1,""))</x:f>
      </x:c>
      <x:c r="L811" s="85" t="str">
        <x:f>IF(B811="","",IF(COUNTIFS('계정비교'!$A$5:$A$1004,B811,'계정비교'!$H$5:$H$1004,"원인분석 대상")&gt;0,COUNT($L$4:L810)+1,""))</x:f>
      </x:c>
    </x:row>
    <x:row r="812">
      <x:c r="A812" s="73" t="str">
        <x:f>IF('전기원장'!A812="","","전기")</x:f>
      </x:c>
      <x:c r="B812" s="73" t="str">
        <x:f>IF('전기원장'!A812="","",'전기원장'!A812)</x:f>
      </x:c>
      <x:c r="C812" s="73" t="str">
        <x:f>IF('전기원장'!A812="","",'전기원장'!B812)</x:f>
      </x:c>
      <x:c r="D812" s="74" t="str">
        <x:f>IF('전기원장'!A812="","",'전기원장'!C812)</x:f>
      </x:c>
      <x:c r="E812" s="73" t="str">
        <x:f>IF('전기원장'!A812="","",'전기원장'!D812)</x:f>
      </x:c>
      <x:c r="F812" s="73" t="str">
        <x:f>IF('전기원장'!A812="","",'전기원장'!E812)</x:f>
      </x:c>
      <x:c r="G812" s="75" t="str">
        <x:f>IF('전기원장'!A812="","",'전기원장'!H812)</x:f>
      </x:c>
      <x:c r="H812" s="73" t="str">
        <x:f>IF('전기원장'!A812="","",'전기원장'!I812)</x:f>
      </x:c>
      <x:c r="I812" s="73" t="str">
        <x:f>IF('전기원장'!A812="","",'전기원장'!J812)</x:f>
      </x:c>
      <x:c r="J812" s="73" t="str">
        <x:f>IF('전기원장'!A812="","",'전기원장'!K812)</x:f>
      </x:c>
      <x:c r="K812" s="73" t="str">
        <x:f>IF(B812="","",IF(COUNTIF($B$5:B812,B812)=1,COUNT($K$4:K811)+1,""))</x:f>
      </x:c>
      <x:c r="L812" s="85" t="str">
        <x:f>IF(B812="","",IF(COUNTIFS('계정비교'!$A$5:$A$1004,B812,'계정비교'!$H$5:$H$1004,"원인분석 대상")&gt;0,COUNT($L$4:L811)+1,""))</x:f>
      </x:c>
    </x:row>
    <x:row r="813">
      <x:c r="A813" s="73" t="str">
        <x:f>IF('전기원장'!A813="","","전기")</x:f>
      </x:c>
      <x:c r="B813" s="73" t="str">
        <x:f>IF('전기원장'!A813="","",'전기원장'!A813)</x:f>
      </x:c>
      <x:c r="C813" s="73" t="str">
        <x:f>IF('전기원장'!A813="","",'전기원장'!B813)</x:f>
      </x:c>
      <x:c r="D813" s="74" t="str">
        <x:f>IF('전기원장'!A813="","",'전기원장'!C813)</x:f>
      </x:c>
      <x:c r="E813" s="73" t="str">
        <x:f>IF('전기원장'!A813="","",'전기원장'!D813)</x:f>
      </x:c>
      <x:c r="F813" s="73" t="str">
        <x:f>IF('전기원장'!A813="","",'전기원장'!E813)</x:f>
      </x:c>
      <x:c r="G813" s="75" t="str">
        <x:f>IF('전기원장'!A813="","",'전기원장'!H813)</x:f>
      </x:c>
      <x:c r="H813" s="73" t="str">
        <x:f>IF('전기원장'!A813="","",'전기원장'!I813)</x:f>
      </x:c>
      <x:c r="I813" s="73" t="str">
        <x:f>IF('전기원장'!A813="","",'전기원장'!J813)</x:f>
      </x:c>
      <x:c r="J813" s="73" t="str">
        <x:f>IF('전기원장'!A813="","",'전기원장'!K813)</x:f>
      </x:c>
      <x:c r="K813" s="73" t="str">
        <x:f>IF(B813="","",IF(COUNTIF($B$5:B813,B813)=1,COUNT($K$4:K812)+1,""))</x:f>
      </x:c>
      <x:c r="L813" s="85" t="str">
        <x:f>IF(B813="","",IF(COUNTIFS('계정비교'!$A$5:$A$1004,B813,'계정비교'!$H$5:$H$1004,"원인분석 대상")&gt;0,COUNT($L$4:L812)+1,""))</x:f>
      </x:c>
    </x:row>
    <x:row r="814">
      <x:c r="A814" s="73" t="str">
        <x:f>IF('전기원장'!A814="","","전기")</x:f>
      </x:c>
      <x:c r="B814" s="73" t="str">
        <x:f>IF('전기원장'!A814="","",'전기원장'!A814)</x:f>
      </x:c>
      <x:c r="C814" s="73" t="str">
        <x:f>IF('전기원장'!A814="","",'전기원장'!B814)</x:f>
      </x:c>
      <x:c r="D814" s="74" t="str">
        <x:f>IF('전기원장'!A814="","",'전기원장'!C814)</x:f>
      </x:c>
      <x:c r="E814" s="73" t="str">
        <x:f>IF('전기원장'!A814="","",'전기원장'!D814)</x:f>
      </x:c>
      <x:c r="F814" s="73" t="str">
        <x:f>IF('전기원장'!A814="","",'전기원장'!E814)</x:f>
      </x:c>
      <x:c r="G814" s="75" t="str">
        <x:f>IF('전기원장'!A814="","",'전기원장'!H814)</x:f>
      </x:c>
      <x:c r="H814" s="73" t="str">
        <x:f>IF('전기원장'!A814="","",'전기원장'!I814)</x:f>
      </x:c>
      <x:c r="I814" s="73" t="str">
        <x:f>IF('전기원장'!A814="","",'전기원장'!J814)</x:f>
      </x:c>
      <x:c r="J814" s="73" t="str">
        <x:f>IF('전기원장'!A814="","",'전기원장'!K814)</x:f>
      </x:c>
      <x:c r="K814" s="73" t="str">
        <x:f>IF(B814="","",IF(COUNTIF($B$5:B814,B814)=1,COUNT($K$4:K813)+1,""))</x:f>
      </x:c>
      <x:c r="L814" s="85" t="str">
        <x:f>IF(B814="","",IF(COUNTIFS('계정비교'!$A$5:$A$1004,B814,'계정비교'!$H$5:$H$1004,"원인분석 대상")&gt;0,COUNT($L$4:L813)+1,""))</x:f>
      </x:c>
    </x:row>
    <x:row r="815">
      <x:c r="A815" s="73" t="str">
        <x:f>IF('전기원장'!A815="","","전기")</x:f>
      </x:c>
      <x:c r="B815" s="73" t="str">
        <x:f>IF('전기원장'!A815="","",'전기원장'!A815)</x:f>
      </x:c>
      <x:c r="C815" s="73" t="str">
        <x:f>IF('전기원장'!A815="","",'전기원장'!B815)</x:f>
      </x:c>
      <x:c r="D815" s="74" t="str">
        <x:f>IF('전기원장'!A815="","",'전기원장'!C815)</x:f>
      </x:c>
      <x:c r="E815" s="73" t="str">
        <x:f>IF('전기원장'!A815="","",'전기원장'!D815)</x:f>
      </x:c>
      <x:c r="F815" s="73" t="str">
        <x:f>IF('전기원장'!A815="","",'전기원장'!E815)</x:f>
      </x:c>
      <x:c r="G815" s="75" t="str">
        <x:f>IF('전기원장'!A815="","",'전기원장'!H815)</x:f>
      </x:c>
      <x:c r="H815" s="73" t="str">
        <x:f>IF('전기원장'!A815="","",'전기원장'!I815)</x:f>
      </x:c>
      <x:c r="I815" s="73" t="str">
        <x:f>IF('전기원장'!A815="","",'전기원장'!J815)</x:f>
      </x:c>
      <x:c r="J815" s="73" t="str">
        <x:f>IF('전기원장'!A815="","",'전기원장'!K815)</x:f>
      </x:c>
      <x:c r="K815" s="73" t="str">
        <x:f>IF(B815="","",IF(COUNTIF($B$5:B815,B815)=1,COUNT($K$4:K814)+1,""))</x:f>
      </x:c>
      <x:c r="L815" s="85" t="str">
        <x:f>IF(B815="","",IF(COUNTIFS('계정비교'!$A$5:$A$1004,B815,'계정비교'!$H$5:$H$1004,"원인분석 대상")&gt;0,COUNT($L$4:L814)+1,""))</x:f>
      </x:c>
    </x:row>
    <x:row r="816">
      <x:c r="A816" s="73" t="str">
        <x:f>IF('전기원장'!A816="","","전기")</x:f>
      </x:c>
      <x:c r="B816" s="73" t="str">
        <x:f>IF('전기원장'!A816="","",'전기원장'!A816)</x:f>
      </x:c>
      <x:c r="C816" s="73" t="str">
        <x:f>IF('전기원장'!A816="","",'전기원장'!B816)</x:f>
      </x:c>
      <x:c r="D816" s="74" t="str">
        <x:f>IF('전기원장'!A816="","",'전기원장'!C816)</x:f>
      </x:c>
      <x:c r="E816" s="73" t="str">
        <x:f>IF('전기원장'!A816="","",'전기원장'!D816)</x:f>
      </x:c>
      <x:c r="F816" s="73" t="str">
        <x:f>IF('전기원장'!A816="","",'전기원장'!E816)</x:f>
      </x:c>
      <x:c r="G816" s="75" t="str">
        <x:f>IF('전기원장'!A816="","",'전기원장'!H816)</x:f>
      </x:c>
      <x:c r="H816" s="73" t="str">
        <x:f>IF('전기원장'!A816="","",'전기원장'!I816)</x:f>
      </x:c>
      <x:c r="I816" s="73" t="str">
        <x:f>IF('전기원장'!A816="","",'전기원장'!J816)</x:f>
      </x:c>
      <x:c r="J816" s="73" t="str">
        <x:f>IF('전기원장'!A816="","",'전기원장'!K816)</x:f>
      </x:c>
      <x:c r="K816" s="73" t="str">
        <x:f>IF(B816="","",IF(COUNTIF($B$5:B816,B816)=1,COUNT($K$4:K815)+1,""))</x:f>
      </x:c>
      <x:c r="L816" s="85" t="str">
        <x:f>IF(B816="","",IF(COUNTIFS('계정비교'!$A$5:$A$1004,B816,'계정비교'!$H$5:$H$1004,"원인분석 대상")&gt;0,COUNT($L$4:L815)+1,""))</x:f>
      </x:c>
    </x:row>
    <x:row r="817">
      <x:c r="A817" s="73" t="str">
        <x:f>IF('전기원장'!A817="","","전기")</x:f>
      </x:c>
      <x:c r="B817" s="73" t="str">
        <x:f>IF('전기원장'!A817="","",'전기원장'!A817)</x:f>
      </x:c>
      <x:c r="C817" s="73" t="str">
        <x:f>IF('전기원장'!A817="","",'전기원장'!B817)</x:f>
      </x:c>
      <x:c r="D817" s="74" t="str">
        <x:f>IF('전기원장'!A817="","",'전기원장'!C817)</x:f>
      </x:c>
      <x:c r="E817" s="73" t="str">
        <x:f>IF('전기원장'!A817="","",'전기원장'!D817)</x:f>
      </x:c>
      <x:c r="F817" s="73" t="str">
        <x:f>IF('전기원장'!A817="","",'전기원장'!E817)</x:f>
      </x:c>
      <x:c r="G817" s="75" t="str">
        <x:f>IF('전기원장'!A817="","",'전기원장'!H817)</x:f>
      </x:c>
      <x:c r="H817" s="73" t="str">
        <x:f>IF('전기원장'!A817="","",'전기원장'!I817)</x:f>
      </x:c>
      <x:c r="I817" s="73" t="str">
        <x:f>IF('전기원장'!A817="","",'전기원장'!J817)</x:f>
      </x:c>
      <x:c r="J817" s="73" t="str">
        <x:f>IF('전기원장'!A817="","",'전기원장'!K817)</x:f>
      </x:c>
      <x:c r="K817" s="73" t="str">
        <x:f>IF(B817="","",IF(COUNTIF($B$5:B817,B817)=1,COUNT($K$4:K816)+1,""))</x:f>
      </x:c>
      <x:c r="L817" s="85" t="str">
        <x:f>IF(B817="","",IF(COUNTIFS('계정비교'!$A$5:$A$1004,B817,'계정비교'!$H$5:$H$1004,"원인분석 대상")&gt;0,COUNT($L$4:L816)+1,""))</x:f>
      </x:c>
    </x:row>
    <x:row r="818">
      <x:c r="A818" s="73" t="str">
        <x:f>IF('전기원장'!A818="","","전기")</x:f>
      </x:c>
      <x:c r="B818" s="73" t="str">
        <x:f>IF('전기원장'!A818="","",'전기원장'!A818)</x:f>
      </x:c>
      <x:c r="C818" s="73" t="str">
        <x:f>IF('전기원장'!A818="","",'전기원장'!B818)</x:f>
      </x:c>
      <x:c r="D818" s="74" t="str">
        <x:f>IF('전기원장'!A818="","",'전기원장'!C818)</x:f>
      </x:c>
      <x:c r="E818" s="73" t="str">
        <x:f>IF('전기원장'!A818="","",'전기원장'!D818)</x:f>
      </x:c>
      <x:c r="F818" s="73" t="str">
        <x:f>IF('전기원장'!A818="","",'전기원장'!E818)</x:f>
      </x:c>
      <x:c r="G818" s="75" t="str">
        <x:f>IF('전기원장'!A818="","",'전기원장'!H818)</x:f>
      </x:c>
      <x:c r="H818" s="73" t="str">
        <x:f>IF('전기원장'!A818="","",'전기원장'!I818)</x:f>
      </x:c>
      <x:c r="I818" s="73" t="str">
        <x:f>IF('전기원장'!A818="","",'전기원장'!J818)</x:f>
      </x:c>
      <x:c r="J818" s="73" t="str">
        <x:f>IF('전기원장'!A818="","",'전기원장'!K818)</x:f>
      </x:c>
      <x:c r="K818" s="73" t="str">
        <x:f>IF(B818="","",IF(COUNTIF($B$5:B818,B818)=1,COUNT($K$4:K817)+1,""))</x:f>
      </x:c>
      <x:c r="L818" s="85" t="str">
        <x:f>IF(B818="","",IF(COUNTIFS('계정비교'!$A$5:$A$1004,B818,'계정비교'!$H$5:$H$1004,"원인분석 대상")&gt;0,COUNT($L$4:L817)+1,""))</x:f>
      </x:c>
    </x:row>
    <x:row r="819">
      <x:c r="A819" s="73" t="str">
        <x:f>IF('전기원장'!A819="","","전기")</x:f>
      </x:c>
      <x:c r="B819" s="73" t="str">
        <x:f>IF('전기원장'!A819="","",'전기원장'!A819)</x:f>
      </x:c>
      <x:c r="C819" s="73" t="str">
        <x:f>IF('전기원장'!A819="","",'전기원장'!B819)</x:f>
      </x:c>
      <x:c r="D819" s="74" t="str">
        <x:f>IF('전기원장'!A819="","",'전기원장'!C819)</x:f>
      </x:c>
      <x:c r="E819" s="73" t="str">
        <x:f>IF('전기원장'!A819="","",'전기원장'!D819)</x:f>
      </x:c>
      <x:c r="F819" s="73" t="str">
        <x:f>IF('전기원장'!A819="","",'전기원장'!E819)</x:f>
      </x:c>
      <x:c r="G819" s="75" t="str">
        <x:f>IF('전기원장'!A819="","",'전기원장'!H819)</x:f>
      </x:c>
      <x:c r="H819" s="73" t="str">
        <x:f>IF('전기원장'!A819="","",'전기원장'!I819)</x:f>
      </x:c>
      <x:c r="I819" s="73" t="str">
        <x:f>IF('전기원장'!A819="","",'전기원장'!J819)</x:f>
      </x:c>
      <x:c r="J819" s="73" t="str">
        <x:f>IF('전기원장'!A819="","",'전기원장'!K819)</x:f>
      </x:c>
      <x:c r="K819" s="73" t="str">
        <x:f>IF(B819="","",IF(COUNTIF($B$5:B819,B819)=1,COUNT($K$4:K818)+1,""))</x:f>
      </x:c>
      <x:c r="L819" s="85" t="str">
        <x:f>IF(B819="","",IF(COUNTIFS('계정비교'!$A$5:$A$1004,B819,'계정비교'!$H$5:$H$1004,"원인분석 대상")&gt;0,COUNT($L$4:L818)+1,""))</x:f>
      </x:c>
    </x:row>
    <x:row r="820">
      <x:c r="A820" s="73" t="str">
        <x:f>IF('전기원장'!A820="","","전기")</x:f>
      </x:c>
      <x:c r="B820" s="73" t="str">
        <x:f>IF('전기원장'!A820="","",'전기원장'!A820)</x:f>
      </x:c>
      <x:c r="C820" s="73" t="str">
        <x:f>IF('전기원장'!A820="","",'전기원장'!B820)</x:f>
      </x:c>
      <x:c r="D820" s="74" t="str">
        <x:f>IF('전기원장'!A820="","",'전기원장'!C820)</x:f>
      </x:c>
      <x:c r="E820" s="73" t="str">
        <x:f>IF('전기원장'!A820="","",'전기원장'!D820)</x:f>
      </x:c>
      <x:c r="F820" s="73" t="str">
        <x:f>IF('전기원장'!A820="","",'전기원장'!E820)</x:f>
      </x:c>
      <x:c r="G820" s="75" t="str">
        <x:f>IF('전기원장'!A820="","",'전기원장'!H820)</x:f>
      </x:c>
      <x:c r="H820" s="73" t="str">
        <x:f>IF('전기원장'!A820="","",'전기원장'!I820)</x:f>
      </x:c>
      <x:c r="I820" s="73" t="str">
        <x:f>IF('전기원장'!A820="","",'전기원장'!J820)</x:f>
      </x:c>
      <x:c r="J820" s="73" t="str">
        <x:f>IF('전기원장'!A820="","",'전기원장'!K820)</x:f>
      </x:c>
      <x:c r="K820" s="73" t="str">
        <x:f>IF(B820="","",IF(COUNTIF($B$5:B820,B820)=1,COUNT($K$4:K819)+1,""))</x:f>
      </x:c>
      <x:c r="L820" s="85" t="str">
        <x:f>IF(B820="","",IF(COUNTIFS('계정비교'!$A$5:$A$1004,B820,'계정비교'!$H$5:$H$1004,"원인분석 대상")&gt;0,COUNT($L$4:L819)+1,""))</x:f>
      </x:c>
    </x:row>
    <x:row r="821">
      <x:c r="A821" s="73" t="str">
        <x:f>IF('전기원장'!A821="","","전기")</x:f>
      </x:c>
      <x:c r="B821" s="73" t="str">
        <x:f>IF('전기원장'!A821="","",'전기원장'!A821)</x:f>
      </x:c>
      <x:c r="C821" s="73" t="str">
        <x:f>IF('전기원장'!A821="","",'전기원장'!B821)</x:f>
      </x:c>
      <x:c r="D821" s="74" t="str">
        <x:f>IF('전기원장'!A821="","",'전기원장'!C821)</x:f>
      </x:c>
      <x:c r="E821" s="73" t="str">
        <x:f>IF('전기원장'!A821="","",'전기원장'!D821)</x:f>
      </x:c>
      <x:c r="F821" s="73" t="str">
        <x:f>IF('전기원장'!A821="","",'전기원장'!E821)</x:f>
      </x:c>
      <x:c r="G821" s="75" t="str">
        <x:f>IF('전기원장'!A821="","",'전기원장'!H821)</x:f>
      </x:c>
      <x:c r="H821" s="73" t="str">
        <x:f>IF('전기원장'!A821="","",'전기원장'!I821)</x:f>
      </x:c>
      <x:c r="I821" s="73" t="str">
        <x:f>IF('전기원장'!A821="","",'전기원장'!J821)</x:f>
      </x:c>
      <x:c r="J821" s="73" t="str">
        <x:f>IF('전기원장'!A821="","",'전기원장'!K821)</x:f>
      </x:c>
      <x:c r="K821" s="73" t="str">
        <x:f>IF(B821="","",IF(COUNTIF($B$5:B821,B821)=1,COUNT($K$4:K820)+1,""))</x:f>
      </x:c>
      <x:c r="L821" s="85" t="str">
        <x:f>IF(B821="","",IF(COUNTIFS('계정비교'!$A$5:$A$1004,B821,'계정비교'!$H$5:$H$1004,"원인분석 대상")&gt;0,COUNT($L$4:L820)+1,""))</x:f>
      </x:c>
    </x:row>
    <x:row r="822">
      <x:c r="A822" s="73" t="str">
        <x:f>IF('전기원장'!A822="","","전기")</x:f>
      </x:c>
      <x:c r="B822" s="73" t="str">
        <x:f>IF('전기원장'!A822="","",'전기원장'!A822)</x:f>
      </x:c>
      <x:c r="C822" s="73" t="str">
        <x:f>IF('전기원장'!A822="","",'전기원장'!B822)</x:f>
      </x:c>
      <x:c r="D822" s="74" t="str">
        <x:f>IF('전기원장'!A822="","",'전기원장'!C822)</x:f>
      </x:c>
      <x:c r="E822" s="73" t="str">
        <x:f>IF('전기원장'!A822="","",'전기원장'!D822)</x:f>
      </x:c>
      <x:c r="F822" s="73" t="str">
        <x:f>IF('전기원장'!A822="","",'전기원장'!E822)</x:f>
      </x:c>
      <x:c r="G822" s="75" t="str">
        <x:f>IF('전기원장'!A822="","",'전기원장'!H822)</x:f>
      </x:c>
      <x:c r="H822" s="73" t="str">
        <x:f>IF('전기원장'!A822="","",'전기원장'!I822)</x:f>
      </x:c>
      <x:c r="I822" s="73" t="str">
        <x:f>IF('전기원장'!A822="","",'전기원장'!J822)</x:f>
      </x:c>
      <x:c r="J822" s="73" t="str">
        <x:f>IF('전기원장'!A822="","",'전기원장'!K822)</x:f>
      </x:c>
      <x:c r="K822" s="73" t="str">
        <x:f>IF(B822="","",IF(COUNTIF($B$5:B822,B822)=1,COUNT($K$4:K821)+1,""))</x:f>
      </x:c>
      <x:c r="L822" s="85" t="str">
        <x:f>IF(B822="","",IF(COUNTIFS('계정비교'!$A$5:$A$1004,B822,'계정비교'!$H$5:$H$1004,"원인분석 대상")&gt;0,COUNT($L$4:L821)+1,""))</x:f>
      </x:c>
    </x:row>
    <x:row r="823">
      <x:c r="A823" s="73" t="str">
        <x:f>IF('전기원장'!A823="","","전기")</x:f>
      </x:c>
      <x:c r="B823" s="73" t="str">
        <x:f>IF('전기원장'!A823="","",'전기원장'!A823)</x:f>
      </x:c>
      <x:c r="C823" s="73" t="str">
        <x:f>IF('전기원장'!A823="","",'전기원장'!B823)</x:f>
      </x:c>
      <x:c r="D823" s="74" t="str">
        <x:f>IF('전기원장'!A823="","",'전기원장'!C823)</x:f>
      </x:c>
      <x:c r="E823" s="73" t="str">
        <x:f>IF('전기원장'!A823="","",'전기원장'!D823)</x:f>
      </x:c>
      <x:c r="F823" s="73" t="str">
        <x:f>IF('전기원장'!A823="","",'전기원장'!E823)</x:f>
      </x:c>
      <x:c r="G823" s="75" t="str">
        <x:f>IF('전기원장'!A823="","",'전기원장'!H823)</x:f>
      </x:c>
      <x:c r="H823" s="73" t="str">
        <x:f>IF('전기원장'!A823="","",'전기원장'!I823)</x:f>
      </x:c>
      <x:c r="I823" s="73" t="str">
        <x:f>IF('전기원장'!A823="","",'전기원장'!J823)</x:f>
      </x:c>
      <x:c r="J823" s="73" t="str">
        <x:f>IF('전기원장'!A823="","",'전기원장'!K823)</x:f>
      </x:c>
      <x:c r="K823" s="73" t="str">
        <x:f>IF(B823="","",IF(COUNTIF($B$5:B823,B823)=1,COUNT($K$4:K822)+1,""))</x:f>
      </x:c>
      <x:c r="L823" s="85" t="str">
        <x:f>IF(B823="","",IF(COUNTIFS('계정비교'!$A$5:$A$1004,B823,'계정비교'!$H$5:$H$1004,"원인분석 대상")&gt;0,COUNT($L$4:L822)+1,""))</x:f>
      </x:c>
    </x:row>
    <x:row r="824">
      <x:c r="A824" s="73" t="str">
        <x:f>IF('전기원장'!A824="","","전기")</x:f>
      </x:c>
      <x:c r="B824" s="73" t="str">
        <x:f>IF('전기원장'!A824="","",'전기원장'!A824)</x:f>
      </x:c>
      <x:c r="C824" s="73" t="str">
        <x:f>IF('전기원장'!A824="","",'전기원장'!B824)</x:f>
      </x:c>
      <x:c r="D824" s="74" t="str">
        <x:f>IF('전기원장'!A824="","",'전기원장'!C824)</x:f>
      </x:c>
      <x:c r="E824" s="73" t="str">
        <x:f>IF('전기원장'!A824="","",'전기원장'!D824)</x:f>
      </x:c>
      <x:c r="F824" s="73" t="str">
        <x:f>IF('전기원장'!A824="","",'전기원장'!E824)</x:f>
      </x:c>
      <x:c r="G824" s="75" t="str">
        <x:f>IF('전기원장'!A824="","",'전기원장'!H824)</x:f>
      </x:c>
      <x:c r="H824" s="73" t="str">
        <x:f>IF('전기원장'!A824="","",'전기원장'!I824)</x:f>
      </x:c>
      <x:c r="I824" s="73" t="str">
        <x:f>IF('전기원장'!A824="","",'전기원장'!J824)</x:f>
      </x:c>
      <x:c r="J824" s="73" t="str">
        <x:f>IF('전기원장'!A824="","",'전기원장'!K824)</x:f>
      </x:c>
      <x:c r="K824" s="73" t="str">
        <x:f>IF(B824="","",IF(COUNTIF($B$5:B824,B824)=1,COUNT($K$4:K823)+1,""))</x:f>
      </x:c>
      <x:c r="L824" s="85" t="str">
        <x:f>IF(B824="","",IF(COUNTIFS('계정비교'!$A$5:$A$1004,B824,'계정비교'!$H$5:$H$1004,"원인분석 대상")&gt;0,COUNT($L$4:L823)+1,""))</x:f>
      </x:c>
    </x:row>
    <x:row r="825">
      <x:c r="A825" s="73" t="str">
        <x:f>IF('전기원장'!A825="","","전기")</x:f>
      </x:c>
      <x:c r="B825" s="73" t="str">
        <x:f>IF('전기원장'!A825="","",'전기원장'!A825)</x:f>
      </x:c>
      <x:c r="C825" s="73" t="str">
        <x:f>IF('전기원장'!A825="","",'전기원장'!B825)</x:f>
      </x:c>
      <x:c r="D825" s="74" t="str">
        <x:f>IF('전기원장'!A825="","",'전기원장'!C825)</x:f>
      </x:c>
      <x:c r="E825" s="73" t="str">
        <x:f>IF('전기원장'!A825="","",'전기원장'!D825)</x:f>
      </x:c>
      <x:c r="F825" s="73" t="str">
        <x:f>IF('전기원장'!A825="","",'전기원장'!E825)</x:f>
      </x:c>
      <x:c r="G825" s="75" t="str">
        <x:f>IF('전기원장'!A825="","",'전기원장'!H825)</x:f>
      </x:c>
      <x:c r="H825" s="73" t="str">
        <x:f>IF('전기원장'!A825="","",'전기원장'!I825)</x:f>
      </x:c>
      <x:c r="I825" s="73" t="str">
        <x:f>IF('전기원장'!A825="","",'전기원장'!J825)</x:f>
      </x:c>
      <x:c r="J825" s="73" t="str">
        <x:f>IF('전기원장'!A825="","",'전기원장'!K825)</x:f>
      </x:c>
      <x:c r="K825" s="73" t="str">
        <x:f>IF(B825="","",IF(COUNTIF($B$5:B825,B825)=1,COUNT($K$4:K824)+1,""))</x:f>
      </x:c>
      <x:c r="L825" s="85" t="str">
        <x:f>IF(B825="","",IF(COUNTIFS('계정비교'!$A$5:$A$1004,B825,'계정비교'!$H$5:$H$1004,"원인분석 대상")&gt;0,COUNT($L$4:L824)+1,""))</x:f>
      </x:c>
    </x:row>
    <x:row r="826">
      <x:c r="A826" s="73" t="str">
        <x:f>IF('전기원장'!A826="","","전기")</x:f>
      </x:c>
      <x:c r="B826" s="73" t="str">
        <x:f>IF('전기원장'!A826="","",'전기원장'!A826)</x:f>
      </x:c>
      <x:c r="C826" s="73" t="str">
        <x:f>IF('전기원장'!A826="","",'전기원장'!B826)</x:f>
      </x:c>
      <x:c r="D826" s="74" t="str">
        <x:f>IF('전기원장'!A826="","",'전기원장'!C826)</x:f>
      </x:c>
      <x:c r="E826" s="73" t="str">
        <x:f>IF('전기원장'!A826="","",'전기원장'!D826)</x:f>
      </x:c>
      <x:c r="F826" s="73" t="str">
        <x:f>IF('전기원장'!A826="","",'전기원장'!E826)</x:f>
      </x:c>
      <x:c r="G826" s="75" t="str">
        <x:f>IF('전기원장'!A826="","",'전기원장'!H826)</x:f>
      </x:c>
      <x:c r="H826" s="73" t="str">
        <x:f>IF('전기원장'!A826="","",'전기원장'!I826)</x:f>
      </x:c>
      <x:c r="I826" s="73" t="str">
        <x:f>IF('전기원장'!A826="","",'전기원장'!J826)</x:f>
      </x:c>
      <x:c r="J826" s="73" t="str">
        <x:f>IF('전기원장'!A826="","",'전기원장'!K826)</x:f>
      </x:c>
      <x:c r="K826" s="73" t="str">
        <x:f>IF(B826="","",IF(COUNTIF($B$5:B826,B826)=1,COUNT($K$4:K825)+1,""))</x:f>
      </x:c>
      <x:c r="L826" s="85" t="str">
        <x:f>IF(B826="","",IF(COUNTIFS('계정비교'!$A$5:$A$1004,B826,'계정비교'!$H$5:$H$1004,"원인분석 대상")&gt;0,COUNT($L$4:L825)+1,""))</x:f>
      </x:c>
    </x:row>
    <x:row r="827">
      <x:c r="A827" s="73" t="str">
        <x:f>IF('전기원장'!A827="","","전기")</x:f>
      </x:c>
      <x:c r="B827" s="73" t="str">
        <x:f>IF('전기원장'!A827="","",'전기원장'!A827)</x:f>
      </x:c>
      <x:c r="C827" s="73" t="str">
        <x:f>IF('전기원장'!A827="","",'전기원장'!B827)</x:f>
      </x:c>
      <x:c r="D827" s="74" t="str">
        <x:f>IF('전기원장'!A827="","",'전기원장'!C827)</x:f>
      </x:c>
      <x:c r="E827" s="73" t="str">
        <x:f>IF('전기원장'!A827="","",'전기원장'!D827)</x:f>
      </x:c>
      <x:c r="F827" s="73" t="str">
        <x:f>IF('전기원장'!A827="","",'전기원장'!E827)</x:f>
      </x:c>
      <x:c r="G827" s="75" t="str">
        <x:f>IF('전기원장'!A827="","",'전기원장'!H827)</x:f>
      </x:c>
      <x:c r="H827" s="73" t="str">
        <x:f>IF('전기원장'!A827="","",'전기원장'!I827)</x:f>
      </x:c>
      <x:c r="I827" s="73" t="str">
        <x:f>IF('전기원장'!A827="","",'전기원장'!J827)</x:f>
      </x:c>
      <x:c r="J827" s="73" t="str">
        <x:f>IF('전기원장'!A827="","",'전기원장'!K827)</x:f>
      </x:c>
      <x:c r="K827" s="73" t="str">
        <x:f>IF(B827="","",IF(COUNTIF($B$5:B827,B827)=1,COUNT($K$4:K826)+1,""))</x:f>
      </x:c>
      <x:c r="L827" s="85" t="str">
        <x:f>IF(B827="","",IF(COUNTIFS('계정비교'!$A$5:$A$1004,B827,'계정비교'!$H$5:$H$1004,"원인분석 대상")&gt;0,COUNT($L$4:L826)+1,""))</x:f>
      </x:c>
    </x:row>
    <x:row r="828">
      <x:c r="A828" s="73" t="str">
        <x:f>IF('전기원장'!A828="","","전기")</x:f>
      </x:c>
      <x:c r="B828" s="73" t="str">
        <x:f>IF('전기원장'!A828="","",'전기원장'!A828)</x:f>
      </x:c>
      <x:c r="C828" s="73" t="str">
        <x:f>IF('전기원장'!A828="","",'전기원장'!B828)</x:f>
      </x:c>
      <x:c r="D828" s="74" t="str">
        <x:f>IF('전기원장'!A828="","",'전기원장'!C828)</x:f>
      </x:c>
      <x:c r="E828" s="73" t="str">
        <x:f>IF('전기원장'!A828="","",'전기원장'!D828)</x:f>
      </x:c>
      <x:c r="F828" s="73" t="str">
        <x:f>IF('전기원장'!A828="","",'전기원장'!E828)</x:f>
      </x:c>
      <x:c r="G828" s="75" t="str">
        <x:f>IF('전기원장'!A828="","",'전기원장'!H828)</x:f>
      </x:c>
      <x:c r="H828" s="73" t="str">
        <x:f>IF('전기원장'!A828="","",'전기원장'!I828)</x:f>
      </x:c>
      <x:c r="I828" s="73" t="str">
        <x:f>IF('전기원장'!A828="","",'전기원장'!J828)</x:f>
      </x:c>
      <x:c r="J828" s="73" t="str">
        <x:f>IF('전기원장'!A828="","",'전기원장'!K828)</x:f>
      </x:c>
      <x:c r="K828" s="73" t="str">
        <x:f>IF(B828="","",IF(COUNTIF($B$5:B828,B828)=1,COUNT($K$4:K827)+1,""))</x:f>
      </x:c>
      <x:c r="L828" s="85" t="str">
        <x:f>IF(B828="","",IF(COUNTIFS('계정비교'!$A$5:$A$1004,B828,'계정비교'!$H$5:$H$1004,"원인분석 대상")&gt;0,COUNT($L$4:L827)+1,""))</x:f>
      </x:c>
    </x:row>
    <x:row r="829">
      <x:c r="A829" s="73" t="str">
        <x:f>IF('전기원장'!A829="","","전기")</x:f>
      </x:c>
      <x:c r="B829" s="73" t="str">
        <x:f>IF('전기원장'!A829="","",'전기원장'!A829)</x:f>
      </x:c>
      <x:c r="C829" s="73" t="str">
        <x:f>IF('전기원장'!A829="","",'전기원장'!B829)</x:f>
      </x:c>
      <x:c r="D829" s="74" t="str">
        <x:f>IF('전기원장'!A829="","",'전기원장'!C829)</x:f>
      </x:c>
      <x:c r="E829" s="73" t="str">
        <x:f>IF('전기원장'!A829="","",'전기원장'!D829)</x:f>
      </x:c>
      <x:c r="F829" s="73" t="str">
        <x:f>IF('전기원장'!A829="","",'전기원장'!E829)</x:f>
      </x:c>
      <x:c r="G829" s="75" t="str">
        <x:f>IF('전기원장'!A829="","",'전기원장'!H829)</x:f>
      </x:c>
      <x:c r="H829" s="73" t="str">
        <x:f>IF('전기원장'!A829="","",'전기원장'!I829)</x:f>
      </x:c>
      <x:c r="I829" s="73" t="str">
        <x:f>IF('전기원장'!A829="","",'전기원장'!J829)</x:f>
      </x:c>
      <x:c r="J829" s="73" t="str">
        <x:f>IF('전기원장'!A829="","",'전기원장'!K829)</x:f>
      </x:c>
      <x:c r="K829" s="73" t="str">
        <x:f>IF(B829="","",IF(COUNTIF($B$5:B829,B829)=1,COUNT($K$4:K828)+1,""))</x:f>
      </x:c>
      <x:c r="L829" s="85" t="str">
        <x:f>IF(B829="","",IF(COUNTIFS('계정비교'!$A$5:$A$1004,B829,'계정비교'!$H$5:$H$1004,"원인분석 대상")&gt;0,COUNT($L$4:L828)+1,""))</x:f>
      </x:c>
    </x:row>
    <x:row r="830">
      <x:c r="A830" s="73" t="str">
        <x:f>IF('전기원장'!A830="","","전기")</x:f>
      </x:c>
      <x:c r="B830" s="73" t="str">
        <x:f>IF('전기원장'!A830="","",'전기원장'!A830)</x:f>
      </x:c>
      <x:c r="C830" s="73" t="str">
        <x:f>IF('전기원장'!A830="","",'전기원장'!B830)</x:f>
      </x:c>
      <x:c r="D830" s="74" t="str">
        <x:f>IF('전기원장'!A830="","",'전기원장'!C830)</x:f>
      </x:c>
      <x:c r="E830" s="73" t="str">
        <x:f>IF('전기원장'!A830="","",'전기원장'!D830)</x:f>
      </x:c>
      <x:c r="F830" s="73" t="str">
        <x:f>IF('전기원장'!A830="","",'전기원장'!E830)</x:f>
      </x:c>
      <x:c r="G830" s="75" t="str">
        <x:f>IF('전기원장'!A830="","",'전기원장'!H830)</x:f>
      </x:c>
      <x:c r="H830" s="73" t="str">
        <x:f>IF('전기원장'!A830="","",'전기원장'!I830)</x:f>
      </x:c>
      <x:c r="I830" s="73" t="str">
        <x:f>IF('전기원장'!A830="","",'전기원장'!J830)</x:f>
      </x:c>
      <x:c r="J830" s="73" t="str">
        <x:f>IF('전기원장'!A830="","",'전기원장'!K830)</x:f>
      </x:c>
      <x:c r="K830" s="73" t="str">
        <x:f>IF(B830="","",IF(COUNTIF($B$5:B830,B830)=1,COUNT($K$4:K829)+1,""))</x:f>
      </x:c>
      <x:c r="L830" s="85" t="str">
        <x:f>IF(B830="","",IF(COUNTIFS('계정비교'!$A$5:$A$1004,B830,'계정비교'!$H$5:$H$1004,"원인분석 대상")&gt;0,COUNT($L$4:L829)+1,""))</x:f>
      </x:c>
    </x:row>
    <x:row r="831">
      <x:c r="A831" s="73" t="str">
        <x:f>IF('전기원장'!A831="","","전기")</x:f>
      </x:c>
      <x:c r="B831" s="73" t="str">
        <x:f>IF('전기원장'!A831="","",'전기원장'!A831)</x:f>
      </x:c>
      <x:c r="C831" s="73" t="str">
        <x:f>IF('전기원장'!A831="","",'전기원장'!B831)</x:f>
      </x:c>
      <x:c r="D831" s="74" t="str">
        <x:f>IF('전기원장'!A831="","",'전기원장'!C831)</x:f>
      </x:c>
      <x:c r="E831" s="73" t="str">
        <x:f>IF('전기원장'!A831="","",'전기원장'!D831)</x:f>
      </x:c>
      <x:c r="F831" s="73" t="str">
        <x:f>IF('전기원장'!A831="","",'전기원장'!E831)</x:f>
      </x:c>
      <x:c r="G831" s="75" t="str">
        <x:f>IF('전기원장'!A831="","",'전기원장'!H831)</x:f>
      </x:c>
      <x:c r="H831" s="73" t="str">
        <x:f>IF('전기원장'!A831="","",'전기원장'!I831)</x:f>
      </x:c>
      <x:c r="I831" s="73" t="str">
        <x:f>IF('전기원장'!A831="","",'전기원장'!J831)</x:f>
      </x:c>
      <x:c r="J831" s="73" t="str">
        <x:f>IF('전기원장'!A831="","",'전기원장'!K831)</x:f>
      </x:c>
      <x:c r="K831" s="73" t="str">
        <x:f>IF(B831="","",IF(COUNTIF($B$5:B831,B831)=1,COUNT($K$4:K830)+1,""))</x:f>
      </x:c>
      <x:c r="L831" s="85" t="str">
        <x:f>IF(B831="","",IF(COUNTIFS('계정비교'!$A$5:$A$1004,B831,'계정비교'!$H$5:$H$1004,"원인분석 대상")&gt;0,COUNT($L$4:L830)+1,""))</x:f>
      </x:c>
    </x:row>
    <x:row r="832">
      <x:c r="A832" s="73" t="str">
        <x:f>IF('전기원장'!A832="","","전기")</x:f>
      </x:c>
      <x:c r="B832" s="73" t="str">
        <x:f>IF('전기원장'!A832="","",'전기원장'!A832)</x:f>
      </x:c>
      <x:c r="C832" s="73" t="str">
        <x:f>IF('전기원장'!A832="","",'전기원장'!B832)</x:f>
      </x:c>
      <x:c r="D832" s="74" t="str">
        <x:f>IF('전기원장'!A832="","",'전기원장'!C832)</x:f>
      </x:c>
      <x:c r="E832" s="73" t="str">
        <x:f>IF('전기원장'!A832="","",'전기원장'!D832)</x:f>
      </x:c>
      <x:c r="F832" s="73" t="str">
        <x:f>IF('전기원장'!A832="","",'전기원장'!E832)</x:f>
      </x:c>
      <x:c r="G832" s="75" t="str">
        <x:f>IF('전기원장'!A832="","",'전기원장'!H832)</x:f>
      </x:c>
      <x:c r="H832" s="73" t="str">
        <x:f>IF('전기원장'!A832="","",'전기원장'!I832)</x:f>
      </x:c>
      <x:c r="I832" s="73" t="str">
        <x:f>IF('전기원장'!A832="","",'전기원장'!J832)</x:f>
      </x:c>
      <x:c r="J832" s="73" t="str">
        <x:f>IF('전기원장'!A832="","",'전기원장'!K832)</x:f>
      </x:c>
      <x:c r="K832" s="73" t="str">
        <x:f>IF(B832="","",IF(COUNTIF($B$5:B832,B832)=1,COUNT($K$4:K831)+1,""))</x:f>
      </x:c>
      <x:c r="L832" s="85" t="str">
        <x:f>IF(B832="","",IF(COUNTIFS('계정비교'!$A$5:$A$1004,B832,'계정비교'!$H$5:$H$1004,"원인분석 대상")&gt;0,COUNT($L$4:L831)+1,""))</x:f>
      </x:c>
    </x:row>
    <x:row r="833">
      <x:c r="A833" s="73" t="str">
        <x:f>IF('전기원장'!A833="","","전기")</x:f>
      </x:c>
      <x:c r="B833" s="73" t="str">
        <x:f>IF('전기원장'!A833="","",'전기원장'!A833)</x:f>
      </x:c>
      <x:c r="C833" s="73" t="str">
        <x:f>IF('전기원장'!A833="","",'전기원장'!B833)</x:f>
      </x:c>
      <x:c r="D833" s="74" t="str">
        <x:f>IF('전기원장'!A833="","",'전기원장'!C833)</x:f>
      </x:c>
      <x:c r="E833" s="73" t="str">
        <x:f>IF('전기원장'!A833="","",'전기원장'!D833)</x:f>
      </x:c>
      <x:c r="F833" s="73" t="str">
        <x:f>IF('전기원장'!A833="","",'전기원장'!E833)</x:f>
      </x:c>
      <x:c r="G833" s="75" t="str">
        <x:f>IF('전기원장'!A833="","",'전기원장'!H833)</x:f>
      </x:c>
      <x:c r="H833" s="73" t="str">
        <x:f>IF('전기원장'!A833="","",'전기원장'!I833)</x:f>
      </x:c>
      <x:c r="I833" s="73" t="str">
        <x:f>IF('전기원장'!A833="","",'전기원장'!J833)</x:f>
      </x:c>
      <x:c r="J833" s="73" t="str">
        <x:f>IF('전기원장'!A833="","",'전기원장'!K833)</x:f>
      </x:c>
      <x:c r="K833" s="73" t="str">
        <x:f>IF(B833="","",IF(COUNTIF($B$5:B833,B833)=1,COUNT($K$4:K832)+1,""))</x:f>
      </x:c>
      <x:c r="L833" s="85" t="str">
        <x:f>IF(B833="","",IF(COUNTIFS('계정비교'!$A$5:$A$1004,B833,'계정비교'!$H$5:$H$1004,"원인분석 대상")&gt;0,COUNT($L$4:L832)+1,""))</x:f>
      </x:c>
    </x:row>
    <x:row r="834">
      <x:c r="A834" s="73" t="str">
        <x:f>IF('전기원장'!A834="","","전기")</x:f>
      </x:c>
      <x:c r="B834" s="73" t="str">
        <x:f>IF('전기원장'!A834="","",'전기원장'!A834)</x:f>
      </x:c>
      <x:c r="C834" s="73" t="str">
        <x:f>IF('전기원장'!A834="","",'전기원장'!B834)</x:f>
      </x:c>
      <x:c r="D834" s="74" t="str">
        <x:f>IF('전기원장'!A834="","",'전기원장'!C834)</x:f>
      </x:c>
      <x:c r="E834" s="73" t="str">
        <x:f>IF('전기원장'!A834="","",'전기원장'!D834)</x:f>
      </x:c>
      <x:c r="F834" s="73" t="str">
        <x:f>IF('전기원장'!A834="","",'전기원장'!E834)</x:f>
      </x:c>
      <x:c r="G834" s="75" t="str">
        <x:f>IF('전기원장'!A834="","",'전기원장'!H834)</x:f>
      </x:c>
      <x:c r="H834" s="73" t="str">
        <x:f>IF('전기원장'!A834="","",'전기원장'!I834)</x:f>
      </x:c>
      <x:c r="I834" s="73" t="str">
        <x:f>IF('전기원장'!A834="","",'전기원장'!J834)</x:f>
      </x:c>
      <x:c r="J834" s="73" t="str">
        <x:f>IF('전기원장'!A834="","",'전기원장'!K834)</x:f>
      </x:c>
      <x:c r="K834" s="73" t="str">
        <x:f>IF(B834="","",IF(COUNTIF($B$5:B834,B834)=1,COUNT($K$4:K833)+1,""))</x:f>
      </x:c>
      <x:c r="L834" s="85" t="str">
        <x:f>IF(B834="","",IF(COUNTIFS('계정비교'!$A$5:$A$1004,B834,'계정비교'!$H$5:$H$1004,"원인분석 대상")&gt;0,COUNT($L$4:L833)+1,""))</x:f>
      </x:c>
    </x:row>
    <x:row r="835">
      <x:c r="A835" s="73" t="str">
        <x:f>IF('전기원장'!A835="","","전기")</x:f>
      </x:c>
      <x:c r="B835" s="73" t="str">
        <x:f>IF('전기원장'!A835="","",'전기원장'!A835)</x:f>
      </x:c>
      <x:c r="C835" s="73" t="str">
        <x:f>IF('전기원장'!A835="","",'전기원장'!B835)</x:f>
      </x:c>
      <x:c r="D835" s="74" t="str">
        <x:f>IF('전기원장'!A835="","",'전기원장'!C835)</x:f>
      </x:c>
      <x:c r="E835" s="73" t="str">
        <x:f>IF('전기원장'!A835="","",'전기원장'!D835)</x:f>
      </x:c>
      <x:c r="F835" s="73" t="str">
        <x:f>IF('전기원장'!A835="","",'전기원장'!E835)</x:f>
      </x:c>
      <x:c r="G835" s="75" t="str">
        <x:f>IF('전기원장'!A835="","",'전기원장'!H835)</x:f>
      </x:c>
      <x:c r="H835" s="73" t="str">
        <x:f>IF('전기원장'!A835="","",'전기원장'!I835)</x:f>
      </x:c>
      <x:c r="I835" s="73" t="str">
        <x:f>IF('전기원장'!A835="","",'전기원장'!J835)</x:f>
      </x:c>
      <x:c r="J835" s="73" t="str">
        <x:f>IF('전기원장'!A835="","",'전기원장'!K835)</x:f>
      </x:c>
      <x:c r="K835" s="73" t="str">
        <x:f>IF(B835="","",IF(COUNTIF($B$5:B835,B835)=1,COUNT($K$4:K834)+1,""))</x:f>
      </x:c>
      <x:c r="L835" s="85" t="str">
        <x:f>IF(B835="","",IF(COUNTIFS('계정비교'!$A$5:$A$1004,B835,'계정비교'!$H$5:$H$1004,"원인분석 대상")&gt;0,COUNT($L$4:L834)+1,""))</x:f>
      </x:c>
    </x:row>
    <x:row r="836">
      <x:c r="A836" s="73" t="str">
        <x:f>IF('전기원장'!A836="","","전기")</x:f>
      </x:c>
      <x:c r="B836" s="73" t="str">
        <x:f>IF('전기원장'!A836="","",'전기원장'!A836)</x:f>
      </x:c>
      <x:c r="C836" s="73" t="str">
        <x:f>IF('전기원장'!A836="","",'전기원장'!B836)</x:f>
      </x:c>
      <x:c r="D836" s="74" t="str">
        <x:f>IF('전기원장'!A836="","",'전기원장'!C836)</x:f>
      </x:c>
      <x:c r="E836" s="73" t="str">
        <x:f>IF('전기원장'!A836="","",'전기원장'!D836)</x:f>
      </x:c>
      <x:c r="F836" s="73" t="str">
        <x:f>IF('전기원장'!A836="","",'전기원장'!E836)</x:f>
      </x:c>
      <x:c r="G836" s="75" t="str">
        <x:f>IF('전기원장'!A836="","",'전기원장'!H836)</x:f>
      </x:c>
      <x:c r="H836" s="73" t="str">
        <x:f>IF('전기원장'!A836="","",'전기원장'!I836)</x:f>
      </x:c>
      <x:c r="I836" s="73" t="str">
        <x:f>IF('전기원장'!A836="","",'전기원장'!J836)</x:f>
      </x:c>
      <x:c r="J836" s="73" t="str">
        <x:f>IF('전기원장'!A836="","",'전기원장'!K836)</x:f>
      </x:c>
      <x:c r="K836" s="73" t="str">
        <x:f>IF(B836="","",IF(COUNTIF($B$5:B836,B836)=1,COUNT($K$4:K835)+1,""))</x:f>
      </x:c>
      <x:c r="L836" s="85" t="str">
        <x:f>IF(B836="","",IF(COUNTIFS('계정비교'!$A$5:$A$1004,B836,'계정비교'!$H$5:$H$1004,"원인분석 대상")&gt;0,COUNT($L$4:L835)+1,""))</x:f>
      </x:c>
    </x:row>
    <x:row r="837">
      <x:c r="A837" s="73" t="str">
        <x:f>IF('전기원장'!A837="","","전기")</x:f>
      </x:c>
      <x:c r="B837" s="73" t="str">
        <x:f>IF('전기원장'!A837="","",'전기원장'!A837)</x:f>
      </x:c>
      <x:c r="C837" s="73" t="str">
        <x:f>IF('전기원장'!A837="","",'전기원장'!B837)</x:f>
      </x:c>
      <x:c r="D837" s="74" t="str">
        <x:f>IF('전기원장'!A837="","",'전기원장'!C837)</x:f>
      </x:c>
      <x:c r="E837" s="73" t="str">
        <x:f>IF('전기원장'!A837="","",'전기원장'!D837)</x:f>
      </x:c>
      <x:c r="F837" s="73" t="str">
        <x:f>IF('전기원장'!A837="","",'전기원장'!E837)</x:f>
      </x:c>
      <x:c r="G837" s="75" t="str">
        <x:f>IF('전기원장'!A837="","",'전기원장'!H837)</x:f>
      </x:c>
      <x:c r="H837" s="73" t="str">
        <x:f>IF('전기원장'!A837="","",'전기원장'!I837)</x:f>
      </x:c>
      <x:c r="I837" s="73" t="str">
        <x:f>IF('전기원장'!A837="","",'전기원장'!J837)</x:f>
      </x:c>
      <x:c r="J837" s="73" t="str">
        <x:f>IF('전기원장'!A837="","",'전기원장'!K837)</x:f>
      </x:c>
      <x:c r="K837" s="73" t="str">
        <x:f>IF(B837="","",IF(COUNTIF($B$5:B837,B837)=1,COUNT($K$4:K836)+1,""))</x:f>
      </x:c>
      <x:c r="L837" s="85" t="str">
        <x:f>IF(B837="","",IF(COUNTIFS('계정비교'!$A$5:$A$1004,B837,'계정비교'!$H$5:$H$1004,"원인분석 대상")&gt;0,COUNT($L$4:L836)+1,""))</x:f>
      </x:c>
    </x:row>
    <x:row r="838">
      <x:c r="A838" s="73" t="str">
        <x:f>IF('전기원장'!A838="","","전기")</x:f>
      </x:c>
      <x:c r="B838" s="73" t="str">
        <x:f>IF('전기원장'!A838="","",'전기원장'!A838)</x:f>
      </x:c>
      <x:c r="C838" s="73" t="str">
        <x:f>IF('전기원장'!A838="","",'전기원장'!B838)</x:f>
      </x:c>
      <x:c r="D838" s="74" t="str">
        <x:f>IF('전기원장'!A838="","",'전기원장'!C838)</x:f>
      </x:c>
      <x:c r="E838" s="73" t="str">
        <x:f>IF('전기원장'!A838="","",'전기원장'!D838)</x:f>
      </x:c>
      <x:c r="F838" s="73" t="str">
        <x:f>IF('전기원장'!A838="","",'전기원장'!E838)</x:f>
      </x:c>
      <x:c r="G838" s="75" t="str">
        <x:f>IF('전기원장'!A838="","",'전기원장'!H838)</x:f>
      </x:c>
      <x:c r="H838" s="73" t="str">
        <x:f>IF('전기원장'!A838="","",'전기원장'!I838)</x:f>
      </x:c>
      <x:c r="I838" s="73" t="str">
        <x:f>IF('전기원장'!A838="","",'전기원장'!J838)</x:f>
      </x:c>
      <x:c r="J838" s="73" t="str">
        <x:f>IF('전기원장'!A838="","",'전기원장'!K838)</x:f>
      </x:c>
      <x:c r="K838" s="73" t="str">
        <x:f>IF(B838="","",IF(COUNTIF($B$5:B838,B838)=1,COUNT($K$4:K837)+1,""))</x:f>
      </x:c>
      <x:c r="L838" s="85" t="str">
        <x:f>IF(B838="","",IF(COUNTIFS('계정비교'!$A$5:$A$1004,B838,'계정비교'!$H$5:$H$1004,"원인분석 대상")&gt;0,COUNT($L$4:L837)+1,""))</x:f>
      </x:c>
    </x:row>
    <x:row r="839">
      <x:c r="A839" s="73" t="str">
        <x:f>IF('전기원장'!A839="","","전기")</x:f>
      </x:c>
      <x:c r="B839" s="73" t="str">
        <x:f>IF('전기원장'!A839="","",'전기원장'!A839)</x:f>
      </x:c>
      <x:c r="C839" s="73" t="str">
        <x:f>IF('전기원장'!A839="","",'전기원장'!B839)</x:f>
      </x:c>
      <x:c r="D839" s="74" t="str">
        <x:f>IF('전기원장'!A839="","",'전기원장'!C839)</x:f>
      </x:c>
      <x:c r="E839" s="73" t="str">
        <x:f>IF('전기원장'!A839="","",'전기원장'!D839)</x:f>
      </x:c>
      <x:c r="F839" s="73" t="str">
        <x:f>IF('전기원장'!A839="","",'전기원장'!E839)</x:f>
      </x:c>
      <x:c r="G839" s="75" t="str">
        <x:f>IF('전기원장'!A839="","",'전기원장'!H839)</x:f>
      </x:c>
      <x:c r="H839" s="73" t="str">
        <x:f>IF('전기원장'!A839="","",'전기원장'!I839)</x:f>
      </x:c>
      <x:c r="I839" s="73" t="str">
        <x:f>IF('전기원장'!A839="","",'전기원장'!J839)</x:f>
      </x:c>
      <x:c r="J839" s="73" t="str">
        <x:f>IF('전기원장'!A839="","",'전기원장'!K839)</x:f>
      </x:c>
      <x:c r="K839" s="73" t="str">
        <x:f>IF(B839="","",IF(COUNTIF($B$5:B839,B839)=1,COUNT($K$4:K838)+1,""))</x:f>
      </x:c>
      <x:c r="L839" s="85" t="str">
        <x:f>IF(B839="","",IF(COUNTIFS('계정비교'!$A$5:$A$1004,B839,'계정비교'!$H$5:$H$1004,"원인분석 대상")&gt;0,COUNT($L$4:L838)+1,""))</x:f>
      </x:c>
    </x:row>
    <x:row r="840">
      <x:c r="A840" s="73" t="str">
        <x:f>IF('전기원장'!A840="","","전기")</x:f>
      </x:c>
      <x:c r="B840" s="73" t="str">
        <x:f>IF('전기원장'!A840="","",'전기원장'!A840)</x:f>
      </x:c>
      <x:c r="C840" s="73" t="str">
        <x:f>IF('전기원장'!A840="","",'전기원장'!B840)</x:f>
      </x:c>
      <x:c r="D840" s="74" t="str">
        <x:f>IF('전기원장'!A840="","",'전기원장'!C840)</x:f>
      </x:c>
      <x:c r="E840" s="73" t="str">
        <x:f>IF('전기원장'!A840="","",'전기원장'!D840)</x:f>
      </x:c>
      <x:c r="F840" s="73" t="str">
        <x:f>IF('전기원장'!A840="","",'전기원장'!E840)</x:f>
      </x:c>
      <x:c r="G840" s="75" t="str">
        <x:f>IF('전기원장'!A840="","",'전기원장'!H840)</x:f>
      </x:c>
      <x:c r="H840" s="73" t="str">
        <x:f>IF('전기원장'!A840="","",'전기원장'!I840)</x:f>
      </x:c>
      <x:c r="I840" s="73" t="str">
        <x:f>IF('전기원장'!A840="","",'전기원장'!J840)</x:f>
      </x:c>
      <x:c r="J840" s="73" t="str">
        <x:f>IF('전기원장'!A840="","",'전기원장'!K840)</x:f>
      </x:c>
      <x:c r="K840" s="73" t="str">
        <x:f>IF(B840="","",IF(COUNTIF($B$5:B840,B840)=1,COUNT($K$4:K839)+1,""))</x:f>
      </x:c>
      <x:c r="L840" s="85" t="str">
        <x:f>IF(B840="","",IF(COUNTIFS('계정비교'!$A$5:$A$1004,B840,'계정비교'!$H$5:$H$1004,"원인분석 대상")&gt;0,COUNT($L$4:L839)+1,""))</x:f>
      </x:c>
    </x:row>
    <x:row r="841">
      <x:c r="A841" s="73" t="str">
        <x:f>IF('전기원장'!A841="","","전기")</x:f>
      </x:c>
      <x:c r="B841" s="73" t="str">
        <x:f>IF('전기원장'!A841="","",'전기원장'!A841)</x:f>
      </x:c>
      <x:c r="C841" s="73" t="str">
        <x:f>IF('전기원장'!A841="","",'전기원장'!B841)</x:f>
      </x:c>
      <x:c r="D841" s="74" t="str">
        <x:f>IF('전기원장'!A841="","",'전기원장'!C841)</x:f>
      </x:c>
      <x:c r="E841" s="73" t="str">
        <x:f>IF('전기원장'!A841="","",'전기원장'!D841)</x:f>
      </x:c>
      <x:c r="F841" s="73" t="str">
        <x:f>IF('전기원장'!A841="","",'전기원장'!E841)</x:f>
      </x:c>
      <x:c r="G841" s="75" t="str">
        <x:f>IF('전기원장'!A841="","",'전기원장'!H841)</x:f>
      </x:c>
      <x:c r="H841" s="73" t="str">
        <x:f>IF('전기원장'!A841="","",'전기원장'!I841)</x:f>
      </x:c>
      <x:c r="I841" s="73" t="str">
        <x:f>IF('전기원장'!A841="","",'전기원장'!J841)</x:f>
      </x:c>
      <x:c r="J841" s="73" t="str">
        <x:f>IF('전기원장'!A841="","",'전기원장'!K841)</x:f>
      </x:c>
      <x:c r="K841" s="73" t="str">
        <x:f>IF(B841="","",IF(COUNTIF($B$5:B841,B841)=1,COUNT($K$4:K840)+1,""))</x:f>
      </x:c>
      <x:c r="L841" s="85" t="str">
        <x:f>IF(B841="","",IF(COUNTIFS('계정비교'!$A$5:$A$1004,B841,'계정비교'!$H$5:$H$1004,"원인분석 대상")&gt;0,COUNT($L$4:L840)+1,""))</x:f>
      </x:c>
    </x:row>
    <x:row r="842">
      <x:c r="A842" s="73" t="str">
        <x:f>IF('전기원장'!A842="","","전기")</x:f>
      </x:c>
      <x:c r="B842" s="73" t="str">
        <x:f>IF('전기원장'!A842="","",'전기원장'!A842)</x:f>
      </x:c>
      <x:c r="C842" s="73" t="str">
        <x:f>IF('전기원장'!A842="","",'전기원장'!B842)</x:f>
      </x:c>
      <x:c r="D842" s="74" t="str">
        <x:f>IF('전기원장'!A842="","",'전기원장'!C842)</x:f>
      </x:c>
      <x:c r="E842" s="73" t="str">
        <x:f>IF('전기원장'!A842="","",'전기원장'!D842)</x:f>
      </x:c>
      <x:c r="F842" s="73" t="str">
        <x:f>IF('전기원장'!A842="","",'전기원장'!E842)</x:f>
      </x:c>
      <x:c r="G842" s="75" t="str">
        <x:f>IF('전기원장'!A842="","",'전기원장'!H842)</x:f>
      </x:c>
      <x:c r="H842" s="73" t="str">
        <x:f>IF('전기원장'!A842="","",'전기원장'!I842)</x:f>
      </x:c>
      <x:c r="I842" s="73" t="str">
        <x:f>IF('전기원장'!A842="","",'전기원장'!J842)</x:f>
      </x:c>
      <x:c r="J842" s="73" t="str">
        <x:f>IF('전기원장'!A842="","",'전기원장'!K842)</x:f>
      </x:c>
      <x:c r="K842" s="73" t="str">
        <x:f>IF(B842="","",IF(COUNTIF($B$5:B842,B842)=1,COUNT($K$4:K841)+1,""))</x:f>
      </x:c>
      <x:c r="L842" s="85" t="str">
        <x:f>IF(B842="","",IF(COUNTIFS('계정비교'!$A$5:$A$1004,B842,'계정비교'!$H$5:$H$1004,"원인분석 대상")&gt;0,COUNT($L$4:L841)+1,""))</x:f>
      </x:c>
    </x:row>
    <x:row r="843">
      <x:c r="A843" s="73" t="str">
        <x:f>IF('전기원장'!A843="","","전기")</x:f>
      </x:c>
      <x:c r="B843" s="73" t="str">
        <x:f>IF('전기원장'!A843="","",'전기원장'!A843)</x:f>
      </x:c>
      <x:c r="C843" s="73" t="str">
        <x:f>IF('전기원장'!A843="","",'전기원장'!B843)</x:f>
      </x:c>
      <x:c r="D843" s="74" t="str">
        <x:f>IF('전기원장'!A843="","",'전기원장'!C843)</x:f>
      </x:c>
      <x:c r="E843" s="73" t="str">
        <x:f>IF('전기원장'!A843="","",'전기원장'!D843)</x:f>
      </x:c>
      <x:c r="F843" s="73" t="str">
        <x:f>IF('전기원장'!A843="","",'전기원장'!E843)</x:f>
      </x:c>
      <x:c r="G843" s="75" t="str">
        <x:f>IF('전기원장'!A843="","",'전기원장'!H843)</x:f>
      </x:c>
      <x:c r="H843" s="73" t="str">
        <x:f>IF('전기원장'!A843="","",'전기원장'!I843)</x:f>
      </x:c>
      <x:c r="I843" s="73" t="str">
        <x:f>IF('전기원장'!A843="","",'전기원장'!J843)</x:f>
      </x:c>
      <x:c r="J843" s="73" t="str">
        <x:f>IF('전기원장'!A843="","",'전기원장'!K843)</x:f>
      </x:c>
      <x:c r="K843" s="73" t="str">
        <x:f>IF(B843="","",IF(COUNTIF($B$5:B843,B843)=1,COUNT($K$4:K842)+1,""))</x:f>
      </x:c>
      <x:c r="L843" s="85" t="str">
        <x:f>IF(B843="","",IF(COUNTIFS('계정비교'!$A$5:$A$1004,B843,'계정비교'!$H$5:$H$1004,"원인분석 대상")&gt;0,COUNT($L$4:L842)+1,""))</x:f>
      </x:c>
    </x:row>
    <x:row r="844">
      <x:c r="A844" s="73" t="str">
        <x:f>IF('전기원장'!A844="","","전기")</x:f>
      </x:c>
      <x:c r="B844" s="73" t="str">
        <x:f>IF('전기원장'!A844="","",'전기원장'!A844)</x:f>
      </x:c>
      <x:c r="C844" s="73" t="str">
        <x:f>IF('전기원장'!A844="","",'전기원장'!B844)</x:f>
      </x:c>
      <x:c r="D844" s="74" t="str">
        <x:f>IF('전기원장'!A844="","",'전기원장'!C844)</x:f>
      </x:c>
      <x:c r="E844" s="73" t="str">
        <x:f>IF('전기원장'!A844="","",'전기원장'!D844)</x:f>
      </x:c>
      <x:c r="F844" s="73" t="str">
        <x:f>IF('전기원장'!A844="","",'전기원장'!E844)</x:f>
      </x:c>
      <x:c r="G844" s="75" t="str">
        <x:f>IF('전기원장'!A844="","",'전기원장'!H844)</x:f>
      </x:c>
      <x:c r="H844" s="73" t="str">
        <x:f>IF('전기원장'!A844="","",'전기원장'!I844)</x:f>
      </x:c>
      <x:c r="I844" s="73" t="str">
        <x:f>IF('전기원장'!A844="","",'전기원장'!J844)</x:f>
      </x:c>
      <x:c r="J844" s="73" t="str">
        <x:f>IF('전기원장'!A844="","",'전기원장'!K844)</x:f>
      </x:c>
      <x:c r="K844" s="73" t="str">
        <x:f>IF(B844="","",IF(COUNTIF($B$5:B844,B844)=1,COUNT($K$4:K843)+1,""))</x:f>
      </x:c>
      <x:c r="L844" s="85" t="str">
        <x:f>IF(B844="","",IF(COUNTIFS('계정비교'!$A$5:$A$1004,B844,'계정비교'!$H$5:$H$1004,"원인분석 대상")&gt;0,COUNT($L$4:L843)+1,""))</x:f>
      </x:c>
    </x:row>
    <x:row r="845">
      <x:c r="A845" s="73" t="str">
        <x:f>IF('전기원장'!A845="","","전기")</x:f>
      </x:c>
      <x:c r="B845" s="73" t="str">
        <x:f>IF('전기원장'!A845="","",'전기원장'!A845)</x:f>
      </x:c>
      <x:c r="C845" s="73" t="str">
        <x:f>IF('전기원장'!A845="","",'전기원장'!B845)</x:f>
      </x:c>
      <x:c r="D845" s="74" t="str">
        <x:f>IF('전기원장'!A845="","",'전기원장'!C845)</x:f>
      </x:c>
      <x:c r="E845" s="73" t="str">
        <x:f>IF('전기원장'!A845="","",'전기원장'!D845)</x:f>
      </x:c>
      <x:c r="F845" s="73" t="str">
        <x:f>IF('전기원장'!A845="","",'전기원장'!E845)</x:f>
      </x:c>
      <x:c r="G845" s="75" t="str">
        <x:f>IF('전기원장'!A845="","",'전기원장'!H845)</x:f>
      </x:c>
      <x:c r="H845" s="73" t="str">
        <x:f>IF('전기원장'!A845="","",'전기원장'!I845)</x:f>
      </x:c>
      <x:c r="I845" s="73" t="str">
        <x:f>IF('전기원장'!A845="","",'전기원장'!J845)</x:f>
      </x:c>
      <x:c r="J845" s="73" t="str">
        <x:f>IF('전기원장'!A845="","",'전기원장'!K845)</x:f>
      </x:c>
      <x:c r="K845" s="73" t="str">
        <x:f>IF(B845="","",IF(COUNTIF($B$5:B845,B845)=1,COUNT($K$4:K844)+1,""))</x:f>
      </x:c>
      <x:c r="L845" s="85" t="str">
        <x:f>IF(B845="","",IF(COUNTIFS('계정비교'!$A$5:$A$1004,B845,'계정비교'!$H$5:$H$1004,"원인분석 대상")&gt;0,COUNT($L$4:L844)+1,""))</x:f>
      </x:c>
    </x:row>
    <x:row r="846">
      <x:c r="A846" s="73" t="str">
        <x:f>IF('전기원장'!A846="","","전기")</x:f>
      </x:c>
      <x:c r="B846" s="73" t="str">
        <x:f>IF('전기원장'!A846="","",'전기원장'!A846)</x:f>
      </x:c>
      <x:c r="C846" s="73" t="str">
        <x:f>IF('전기원장'!A846="","",'전기원장'!B846)</x:f>
      </x:c>
      <x:c r="D846" s="74" t="str">
        <x:f>IF('전기원장'!A846="","",'전기원장'!C846)</x:f>
      </x:c>
      <x:c r="E846" s="73" t="str">
        <x:f>IF('전기원장'!A846="","",'전기원장'!D846)</x:f>
      </x:c>
      <x:c r="F846" s="73" t="str">
        <x:f>IF('전기원장'!A846="","",'전기원장'!E846)</x:f>
      </x:c>
      <x:c r="G846" s="75" t="str">
        <x:f>IF('전기원장'!A846="","",'전기원장'!H846)</x:f>
      </x:c>
      <x:c r="H846" s="73" t="str">
        <x:f>IF('전기원장'!A846="","",'전기원장'!I846)</x:f>
      </x:c>
      <x:c r="I846" s="73" t="str">
        <x:f>IF('전기원장'!A846="","",'전기원장'!J846)</x:f>
      </x:c>
      <x:c r="J846" s="73" t="str">
        <x:f>IF('전기원장'!A846="","",'전기원장'!K846)</x:f>
      </x:c>
      <x:c r="K846" s="73" t="str">
        <x:f>IF(B846="","",IF(COUNTIF($B$5:B846,B846)=1,COUNT($K$4:K845)+1,""))</x:f>
      </x:c>
      <x:c r="L846" s="85" t="str">
        <x:f>IF(B846="","",IF(COUNTIFS('계정비교'!$A$5:$A$1004,B846,'계정비교'!$H$5:$H$1004,"원인분석 대상")&gt;0,COUNT($L$4:L845)+1,""))</x:f>
      </x:c>
    </x:row>
    <x:row r="847">
      <x:c r="A847" s="73" t="str">
        <x:f>IF('전기원장'!A847="","","전기")</x:f>
      </x:c>
      <x:c r="B847" s="73" t="str">
        <x:f>IF('전기원장'!A847="","",'전기원장'!A847)</x:f>
      </x:c>
      <x:c r="C847" s="73" t="str">
        <x:f>IF('전기원장'!A847="","",'전기원장'!B847)</x:f>
      </x:c>
      <x:c r="D847" s="74" t="str">
        <x:f>IF('전기원장'!A847="","",'전기원장'!C847)</x:f>
      </x:c>
      <x:c r="E847" s="73" t="str">
        <x:f>IF('전기원장'!A847="","",'전기원장'!D847)</x:f>
      </x:c>
      <x:c r="F847" s="73" t="str">
        <x:f>IF('전기원장'!A847="","",'전기원장'!E847)</x:f>
      </x:c>
      <x:c r="G847" s="75" t="str">
        <x:f>IF('전기원장'!A847="","",'전기원장'!H847)</x:f>
      </x:c>
      <x:c r="H847" s="73" t="str">
        <x:f>IF('전기원장'!A847="","",'전기원장'!I847)</x:f>
      </x:c>
      <x:c r="I847" s="73" t="str">
        <x:f>IF('전기원장'!A847="","",'전기원장'!J847)</x:f>
      </x:c>
      <x:c r="J847" s="73" t="str">
        <x:f>IF('전기원장'!A847="","",'전기원장'!K847)</x:f>
      </x:c>
      <x:c r="K847" s="73" t="str">
        <x:f>IF(B847="","",IF(COUNTIF($B$5:B847,B847)=1,COUNT($K$4:K846)+1,""))</x:f>
      </x:c>
      <x:c r="L847" s="85" t="str">
        <x:f>IF(B847="","",IF(COUNTIFS('계정비교'!$A$5:$A$1004,B847,'계정비교'!$H$5:$H$1004,"원인분석 대상")&gt;0,COUNT($L$4:L846)+1,""))</x:f>
      </x:c>
    </x:row>
    <x:row r="848">
      <x:c r="A848" s="73" t="str">
        <x:f>IF('전기원장'!A848="","","전기")</x:f>
      </x:c>
      <x:c r="B848" s="73" t="str">
        <x:f>IF('전기원장'!A848="","",'전기원장'!A848)</x:f>
      </x:c>
      <x:c r="C848" s="73" t="str">
        <x:f>IF('전기원장'!A848="","",'전기원장'!B848)</x:f>
      </x:c>
      <x:c r="D848" s="74" t="str">
        <x:f>IF('전기원장'!A848="","",'전기원장'!C848)</x:f>
      </x:c>
      <x:c r="E848" s="73" t="str">
        <x:f>IF('전기원장'!A848="","",'전기원장'!D848)</x:f>
      </x:c>
      <x:c r="F848" s="73" t="str">
        <x:f>IF('전기원장'!A848="","",'전기원장'!E848)</x:f>
      </x:c>
      <x:c r="G848" s="75" t="str">
        <x:f>IF('전기원장'!A848="","",'전기원장'!H848)</x:f>
      </x:c>
      <x:c r="H848" s="73" t="str">
        <x:f>IF('전기원장'!A848="","",'전기원장'!I848)</x:f>
      </x:c>
      <x:c r="I848" s="73" t="str">
        <x:f>IF('전기원장'!A848="","",'전기원장'!J848)</x:f>
      </x:c>
      <x:c r="J848" s="73" t="str">
        <x:f>IF('전기원장'!A848="","",'전기원장'!K848)</x:f>
      </x:c>
      <x:c r="K848" s="73" t="str">
        <x:f>IF(B848="","",IF(COUNTIF($B$5:B848,B848)=1,COUNT($K$4:K847)+1,""))</x:f>
      </x:c>
      <x:c r="L848" s="85" t="str">
        <x:f>IF(B848="","",IF(COUNTIFS('계정비교'!$A$5:$A$1004,B848,'계정비교'!$H$5:$H$1004,"원인분석 대상")&gt;0,COUNT($L$4:L847)+1,""))</x:f>
      </x:c>
    </x:row>
    <x:row r="849">
      <x:c r="A849" s="73" t="str">
        <x:f>IF('전기원장'!A849="","","전기")</x:f>
      </x:c>
      <x:c r="B849" s="73" t="str">
        <x:f>IF('전기원장'!A849="","",'전기원장'!A849)</x:f>
      </x:c>
      <x:c r="C849" s="73" t="str">
        <x:f>IF('전기원장'!A849="","",'전기원장'!B849)</x:f>
      </x:c>
      <x:c r="D849" s="74" t="str">
        <x:f>IF('전기원장'!A849="","",'전기원장'!C849)</x:f>
      </x:c>
      <x:c r="E849" s="73" t="str">
        <x:f>IF('전기원장'!A849="","",'전기원장'!D849)</x:f>
      </x:c>
      <x:c r="F849" s="73" t="str">
        <x:f>IF('전기원장'!A849="","",'전기원장'!E849)</x:f>
      </x:c>
      <x:c r="G849" s="75" t="str">
        <x:f>IF('전기원장'!A849="","",'전기원장'!H849)</x:f>
      </x:c>
      <x:c r="H849" s="73" t="str">
        <x:f>IF('전기원장'!A849="","",'전기원장'!I849)</x:f>
      </x:c>
      <x:c r="I849" s="73" t="str">
        <x:f>IF('전기원장'!A849="","",'전기원장'!J849)</x:f>
      </x:c>
      <x:c r="J849" s="73" t="str">
        <x:f>IF('전기원장'!A849="","",'전기원장'!K849)</x:f>
      </x:c>
      <x:c r="K849" s="73" t="str">
        <x:f>IF(B849="","",IF(COUNTIF($B$5:B849,B849)=1,COUNT($K$4:K848)+1,""))</x:f>
      </x:c>
      <x:c r="L849" s="85" t="str">
        <x:f>IF(B849="","",IF(COUNTIFS('계정비교'!$A$5:$A$1004,B849,'계정비교'!$H$5:$H$1004,"원인분석 대상")&gt;0,COUNT($L$4:L848)+1,""))</x:f>
      </x:c>
    </x:row>
    <x:row r="850">
      <x:c r="A850" s="73" t="str">
        <x:f>IF('전기원장'!A850="","","전기")</x:f>
      </x:c>
      <x:c r="B850" s="73" t="str">
        <x:f>IF('전기원장'!A850="","",'전기원장'!A850)</x:f>
      </x:c>
      <x:c r="C850" s="73" t="str">
        <x:f>IF('전기원장'!A850="","",'전기원장'!B850)</x:f>
      </x:c>
      <x:c r="D850" s="74" t="str">
        <x:f>IF('전기원장'!A850="","",'전기원장'!C850)</x:f>
      </x:c>
      <x:c r="E850" s="73" t="str">
        <x:f>IF('전기원장'!A850="","",'전기원장'!D850)</x:f>
      </x:c>
      <x:c r="F850" s="73" t="str">
        <x:f>IF('전기원장'!A850="","",'전기원장'!E850)</x:f>
      </x:c>
      <x:c r="G850" s="75" t="str">
        <x:f>IF('전기원장'!A850="","",'전기원장'!H850)</x:f>
      </x:c>
      <x:c r="H850" s="73" t="str">
        <x:f>IF('전기원장'!A850="","",'전기원장'!I850)</x:f>
      </x:c>
      <x:c r="I850" s="73" t="str">
        <x:f>IF('전기원장'!A850="","",'전기원장'!J850)</x:f>
      </x:c>
      <x:c r="J850" s="73" t="str">
        <x:f>IF('전기원장'!A850="","",'전기원장'!K850)</x:f>
      </x:c>
      <x:c r="K850" s="73" t="str">
        <x:f>IF(B850="","",IF(COUNTIF($B$5:B850,B850)=1,COUNT($K$4:K849)+1,""))</x:f>
      </x:c>
      <x:c r="L850" s="85" t="str">
        <x:f>IF(B850="","",IF(COUNTIFS('계정비교'!$A$5:$A$1004,B850,'계정비교'!$H$5:$H$1004,"원인분석 대상")&gt;0,COUNT($L$4:L849)+1,""))</x:f>
      </x:c>
    </x:row>
    <x:row r="851">
      <x:c r="A851" s="73" t="str">
        <x:f>IF('전기원장'!A851="","","전기")</x:f>
      </x:c>
      <x:c r="B851" s="73" t="str">
        <x:f>IF('전기원장'!A851="","",'전기원장'!A851)</x:f>
      </x:c>
      <x:c r="C851" s="73" t="str">
        <x:f>IF('전기원장'!A851="","",'전기원장'!B851)</x:f>
      </x:c>
      <x:c r="D851" s="74" t="str">
        <x:f>IF('전기원장'!A851="","",'전기원장'!C851)</x:f>
      </x:c>
      <x:c r="E851" s="73" t="str">
        <x:f>IF('전기원장'!A851="","",'전기원장'!D851)</x:f>
      </x:c>
      <x:c r="F851" s="73" t="str">
        <x:f>IF('전기원장'!A851="","",'전기원장'!E851)</x:f>
      </x:c>
      <x:c r="G851" s="75" t="str">
        <x:f>IF('전기원장'!A851="","",'전기원장'!H851)</x:f>
      </x:c>
      <x:c r="H851" s="73" t="str">
        <x:f>IF('전기원장'!A851="","",'전기원장'!I851)</x:f>
      </x:c>
      <x:c r="I851" s="73" t="str">
        <x:f>IF('전기원장'!A851="","",'전기원장'!J851)</x:f>
      </x:c>
      <x:c r="J851" s="73" t="str">
        <x:f>IF('전기원장'!A851="","",'전기원장'!K851)</x:f>
      </x:c>
      <x:c r="K851" s="73" t="str">
        <x:f>IF(B851="","",IF(COUNTIF($B$5:B851,B851)=1,COUNT($K$4:K850)+1,""))</x:f>
      </x:c>
      <x:c r="L851" s="85" t="str">
        <x:f>IF(B851="","",IF(COUNTIFS('계정비교'!$A$5:$A$1004,B851,'계정비교'!$H$5:$H$1004,"원인분석 대상")&gt;0,COUNT($L$4:L850)+1,""))</x:f>
      </x:c>
    </x:row>
    <x:row r="852">
      <x:c r="A852" s="73" t="str">
        <x:f>IF('전기원장'!A852="","","전기")</x:f>
      </x:c>
      <x:c r="B852" s="73" t="str">
        <x:f>IF('전기원장'!A852="","",'전기원장'!A852)</x:f>
      </x:c>
      <x:c r="C852" s="73" t="str">
        <x:f>IF('전기원장'!A852="","",'전기원장'!B852)</x:f>
      </x:c>
      <x:c r="D852" s="74" t="str">
        <x:f>IF('전기원장'!A852="","",'전기원장'!C852)</x:f>
      </x:c>
      <x:c r="E852" s="73" t="str">
        <x:f>IF('전기원장'!A852="","",'전기원장'!D852)</x:f>
      </x:c>
      <x:c r="F852" s="73" t="str">
        <x:f>IF('전기원장'!A852="","",'전기원장'!E852)</x:f>
      </x:c>
      <x:c r="G852" s="75" t="str">
        <x:f>IF('전기원장'!A852="","",'전기원장'!H852)</x:f>
      </x:c>
      <x:c r="H852" s="73" t="str">
        <x:f>IF('전기원장'!A852="","",'전기원장'!I852)</x:f>
      </x:c>
      <x:c r="I852" s="73" t="str">
        <x:f>IF('전기원장'!A852="","",'전기원장'!J852)</x:f>
      </x:c>
      <x:c r="J852" s="73" t="str">
        <x:f>IF('전기원장'!A852="","",'전기원장'!K852)</x:f>
      </x:c>
      <x:c r="K852" s="73" t="str">
        <x:f>IF(B852="","",IF(COUNTIF($B$5:B852,B852)=1,COUNT($K$4:K851)+1,""))</x:f>
      </x:c>
      <x:c r="L852" s="85" t="str">
        <x:f>IF(B852="","",IF(COUNTIFS('계정비교'!$A$5:$A$1004,B852,'계정비교'!$H$5:$H$1004,"원인분석 대상")&gt;0,COUNT($L$4:L851)+1,""))</x:f>
      </x:c>
    </x:row>
    <x:row r="853">
      <x:c r="A853" s="73" t="str">
        <x:f>IF('전기원장'!A853="","","전기")</x:f>
      </x:c>
      <x:c r="B853" s="73" t="str">
        <x:f>IF('전기원장'!A853="","",'전기원장'!A853)</x:f>
      </x:c>
      <x:c r="C853" s="73" t="str">
        <x:f>IF('전기원장'!A853="","",'전기원장'!B853)</x:f>
      </x:c>
      <x:c r="D853" s="74" t="str">
        <x:f>IF('전기원장'!A853="","",'전기원장'!C853)</x:f>
      </x:c>
      <x:c r="E853" s="73" t="str">
        <x:f>IF('전기원장'!A853="","",'전기원장'!D853)</x:f>
      </x:c>
      <x:c r="F853" s="73" t="str">
        <x:f>IF('전기원장'!A853="","",'전기원장'!E853)</x:f>
      </x:c>
      <x:c r="G853" s="75" t="str">
        <x:f>IF('전기원장'!A853="","",'전기원장'!H853)</x:f>
      </x:c>
      <x:c r="H853" s="73" t="str">
        <x:f>IF('전기원장'!A853="","",'전기원장'!I853)</x:f>
      </x:c>
      <x:c r="I853" s="73" t="str">
        <x:f>IF('전기원장'!A853="","",'전기원장'!J853)</x:f>
      </x:c>
      <x:c r="J853" s="73" t="str">
        <x:f>IF('전기원장'!A853="","",'전기원장'!K853)</x:f>
      </x:c>
      <x:c r="K853" s="73" t="str">
        <x:f>IF(B853="","",IF(COUNTIF($B$5:B853,B853)=1,COUNT($K$4:K852)+1,""))</x:f>
      </x:c>
      <x:c r="L853" s="85" t="str">
        <x:f>IF(B853="","",IF(COUNTIFS('계정비교'!$A$5:$A$1004,B853,'계정비교'!$H$5:$H$1004,"원인분석 대상")&gt;0,COUNT($L$4:L852)+1,""))</x:f>
      </x:c>
    </x:row>
    <x:row r="854">
      <x:c r="A854" s="73" t="str">
        <x:f>IF('전기원장'!A854="","","전기")</x:f>
      </x:c>
      <x:c r="B854" s="73" t="str">
        <x:f>IF('전기원장'!A854="","",'전기원장'!A854)</x:f>
      </x:c>
      <x:c r="C854" s="73" t="str">
        <x:f>IF('전기원장'!A854="","",'전기원장'!B854)</x:f>
      </x:c>
      <x:c r="D854" s="74" t="str">
        <x:f>IF('전기원장'!A854="","",'전기원장'!C854)</x:f>
      </x:c>
      <x:c r="E854" s="73" t="str">
        <x:f>IF('전기원장'!A854="","",'전기원장'!D854)</x:f>
      </x:c>
      <x:c r="F854" s="73" t="str">
        <x:f>IF('전기원장'!A854="","",'전기원장'!E854)</x:f>
      </x:c>
      <x:c r="G854" s="75" t="str">
        <x:f>IF('전기원장'!A854="","",'전기원장'!H854)</x:f>
      </x:c>
      <x:c r="H854" s="73" t="str">
        <x:f>IF('전기원장'!A854="","",'전기원장'!I854)</x:f>
      </x:c>
      <x:c r="I854" s="73" t="str">
        <x:f>IF('전기원장'!A854="","",'전기원장'!J854)</x:f>
      </x:c>
      <x:c r="J854" s="73" t="str">
        <x:f>IF('전기원장'!A854="","",'전기원장'!K854)</x:f>
      </x:c>
      <x:c r="K854" s="73" t="str">
        <x:f>IF(B854="","",IF(COUNTIF($B$5:B854,B854)=1,COUNT($K$4:K853)+1,""))</x:f>
      </x:c>
      <x:c r="L854" s="85" t="str">
        <x:f>IF(B854="","",IF(COUNTIFS('계정비교'!$A$5:$A$1004,B854,'계정비교'!$H$5:$H$1004,"원인분석 대상")&gt;0,COUNT($L$4:L853)+1,""))</x:f>
      </x:c>
    </x:row>
    <x:row r="855">
      <x:c r="A855" s="73" t="str">
        <x:f>IF('전기원장'!A855="","","전기")</x:f>
      </x:c>
      <x:c r="B855" s="73" t="str">
        <x:f>IF('전기원장'!A855="","",'전기원장'!A855)</x:f>
      </x:c>
      <x:c r="C855" s="73" t="str">
        <x:f>IF('전기원장'!A855="","",'전기원장'!B855)</x:f>
      </x:c>
      <x:c r="D855" s="74" t="str">
        <x:f>IF('전기원장'!A855="","",'전기원장'!C855)</x:f>
      </x:c>
      <x:c r="E855" s="73" t="str">
        <x:f>IF('전기원장'!A855="","",'전기원장'!D855)</x:f>
      </x:c>
      <x:c r="F855" s="73" t="str">
        <x:f>IF('전기원장'!A855="","",'전기원장'!E855)</x:f>
      </x:c>
      <x:c r="G855" s="75" t="str">
        <x:f>IF('전기원장'!A855="","",'전기원장'!H855)</x:f>
      </x:c>
      <x:c r="H855" s="73" t="str">
        <x:f>IF('전기원장'!A855="","",'전기원장'!I855)</x:f>
      </x:c>
      <x:c r="I855" s="73" t="str">
        <x:f>IF('전기원장'!A855="","",'전기원장'!J855)</x:f>
      </x:c>
      <x:c r="J855" s="73" t="str">
        <x:f>IF('전기원장'!A855="","",'전기원장'!K855)</x:f>
      </x:c>
      <x:c r="K855" s="73" t="str">
        <x:f>IF(B855="","",IF(COUNTIF($B$5:B855,B855)=1,COUNT($K$4:K854)+1,""))</x:f>
      </x:c>
      <x:c r="L855" s="85" t="str">
        <x:f>IF(B855="","",IF(COUNTIFS('계정비교'!$A$5:$A$1004,B855,'계정비교'!$H$5:$H$1004,"원인분석 대상")&gt;0,COUNT($L$4:L854)+1,""))</x:f>
      </x:c>
    </x:row>
    <x:row r="856">
      <x:c r="A856" s="73" t="str">
        <x:f>IF('전기원장'!A856="","","전기")</x:f>
      </x:c>
      <x:c r="B856" s="73" t="str">
        <x:f>IF('전기원장'!A856="","",'전기원장'!A856)</x:f>
      </x:c>
      <x:c r="C856" s="73" t="str">
        <x:f>IF('전기원장'!A856="","",'전기원장'!B856)</x:f>
      </x:c>
      <x:c r="D856" s="74" t="str">
        <x:f>IF('전기원장'!A856="","",'전기원장'!C856)</x:f>
      </x:c>
      <x:c r="E856" s="73" t="str">
        <x:f>IF('전기원장'!A856="","",'전기원장'!D856)</x:f>
      </x:c>
      <x:c r="F856" s="73" t="str">
        <x:f>IF('전기원장'!A856="","",'전기원장'!E856)</x:f>
      </x:c>
      <x:c r="G856" s="75" t="str">
        <x:f>IF('전기원장'!A856="","",'전기원장'!H856)</x:f>
      </x:c>
      <x:c r="H856" s="73" t="str">
        <x:f>IF('전기원장'!A856="","",'전기원장'!I856)</x:f>
      </x:c>
      <x:c r="I856" s="73" t="str">
        <x:f>IF('전기원장'!A856="","",'전기원장'!J856)</x:f>
      </x:c>
      <x:c r="J856" s="73" t="str">
        <x:f>IF('전기원장'!A856="","",'전기원장'!K856)</x:f>
      </x:c>
      <x:c r="K856" s="73" t="str">
        <x:f>IF(B856="","",IF(COUNTIF($B$5:B856,B856)=1,COUNT($K$4:K855)+1,""))</x:f>
      </x:c>
      <x:c r="L856" s="85" t="str">
        <x:f>IF(B856="","",IF(COUNTIFS('계정비교'!$A$5:$A$1004,B856,'계정비교'!$H$5:$H$1004,"원인분석 대상")&gt;0,COUNT($L$4:L855)+1,""))</x:f>
      </x:c>
    </x:row>
    <x:row r="857">
      <x:c r="A857" s="73" t="str">
        <x:f>IF('전기원장'!A857="","","전기")</x:f>
      </x:c>
      <x:c r="B857" s="73" t="str">
        <x:f>IF('전기원장'!A857="","",'전기원장'!A857)</x:f>
      </x:c>
      <x:c r="C857" s="73" t="str">
        <x:f>IF('전기원장'!A857="","",'전기원장'!B857)</x:f>
      </x:c>
      <x:c r="D857" s="74" t="str">
        <x:f>IF('전기원장'!A857="","",'전기원장'!C857)</x:f>
      </x:c>
      <x:c r="E857" s="73" t="str">
        <x:f>IF('전기원장'!A857="","",'전기원장'!D857)</x:f>
      </x:c>
      <x:c r="F857" s="73" t="str">
        <x:f>IF('전기원장'!A857="","",'전기원장'!E857)</x:f>
      </x:c>
      <x:c r="G857" s="75" t="str">
        <x:f>IF('전기원장'!A857="","",'전기원장'!H857)</x:f>
      </x:c>
      <x:c r="H857" s="73" t="str">
        <x:f>IF('전기원장'!A857="","",'전기원장'!I857)</x:f>
      </x:c>
      <x:c r="I857" s="73" t="str">
        <x:f>IF('전기원장'!A857="","",'전기원장'!J857)</x:f>
      </x:c>
      <x:c r="J857" s="73" t="str">
        <x:f>IF('전기원장'!A857="","",'전기원장'!K857)</x:f>
      </x:c>
      <x:c r="K857" s="73" t="str">
        <x:f>IF(B857="","",IF(COUNTIF($B$5:B857,B857)=1,COUNT($K$4:K856)+1,""))</x:f>
      </x:c>
      <x:c r="L857" s="85" t="str">
        <x:f>IF(B857="","",IF(COUNTIFS('계정비교'!$A$5:$A$1004,B857,'계정비교'!$H$5:$H$1004,"원인분석 대상")&gt;0,COUNT($L$4:L856)+1,""))</x:f>
      </x:c>
    </x:row>
    <x:row r="858">
      <x:c r="A858" s="73" t="str">
        <x:f>IF('전기원장'!A858="","","전기")</x:f>
      </x:c>
      <x:c r="B858" s="73" t="str">
        <x:f>IF('전기원장'!A858="","",'전기원장'!A858)</x:f>
      </x:c>
      <x:c r="C858" s="73" t="str">
        <x:f>IF('전기원장'!A858="","",'전기원장'!B858)</x:f>
      </x:c>
      <x:c r="D858" s="74" t="str">
        <x:f>IF('전기원장'!A858="","",'전기원장'!C858)</x:f>
      </x:c>
      <x:c r="E858" s="73" t="str">
        <x:f>IF('전기원장'!A858="","",'전기원장'!D858)</x:f>
      </x:c>
      <x:c r="F858" s="73" t="str">
        <x:f>IF('전기원장'!A858="","",'전기원장'!E858)</x:f>
      </x:c>
      <x:c r="G858" s="75" t="str">
        <x:f>IF('전기원장'!A858="","",'전기원장'!H858)</x:f>
      </x:c>
      <x:c r="H858" s="73" t="str">
        <x:f>IF('전기원장'!A858="","",'전기원장'!I858)</x:f>
      </x:c>
      <x:c r="I858" s="73" t="str">
        <x:f>IF('전기원장'!A858="","",'전기원장'!J858)</x:f>
      </x:c>
      <x:c r="J858" s="73" t="str">
        <x:f>IF('전기원장'!A858="","",'전기원장'!K858)</x:f>
      </x:c>
      <x:c r="K858" s="73" t="str">
        <x:f>IF(B858="","",IF(COUNTIF($B$5:B858,B858)=1,COUNT($K$4:K857)+1,""))</x:f>
      </x:c>
      <x:c r="L858" s="85" t="str">
        <x:f>IF(B858="","",IF(COUNTIFS('계정비교'!$A$5:$A$1004,B858,'계정비교'!$H$5:$H$1004,"원인분석 대상")&gt;0,COUNT($L$4:L857)+1,""))</x:f>
      </x:c>
    </x:row>
    <x:row r="859">
      <x:c r="A859" s="73" t="str">
        <x:f>IF('전기원장'!A859="","","전기")</x:f>
      </x:c>
      <x:c r="B859" s="73" t="str">
        <x:f>IF('전기원장'!A859="","",'전기원장'!A859)</x:f>
      </x:c>
      <x:c r="C859" s="73" t="str">
        <x:f>IF('전기원장'!A859="","",'전기원장'!B859)</x:f>
      </x:c>
      <x:c r="D859" s="74" t="str">
        <x:f>IF('전기원장'!A859="","",'전기원장'!C859)</x:f>
      </x:c>
      <x:c r="E859" s="73" t="str">
        <x:f>IF('전기원장'!A859="","",'전기원장'!D859)</x:f>
      </x:c>
      <x:c r="F859" s="73" t="str">
        <x:f>IF('전기원장'!A859="","",'전기원장'!E859)</x:f>
      </x:c>
      <x:c r="G859" s="75" t="str">
        <x:f>IF('전기원장'!A859="","",'전기원장'!H859)</x:f>
      </x:c>
      <x:c r="H859" s="73" t="str">
        <x:f>IF('전기원장'!A859="","",'전기원장'!I859)</x:f>
      </x:c>
      <x:c r="I859" s="73" t="str">
        <x:f>IF('전기원장'!A859="","",'전기원장'!J859)</x:f>
      </x:c>
      <x:c r="J859" s="73" t="str">
        <x:f>IF('전기원장'!A859="","",'전기원장'!K859)</x:f>
      </x:c>
      <x:c r="K859" s="73" t="str">
        <x:f>IF(B859="","",IF(COUNTIF($B$5:B859,B859)=1,COUNT($K$4:K858)+1,""))</x:f>
      </x:c>
      <x:c r="L859" s="85" t="str">
        <x:f>IF(B859="","",IF(COUNTIFS('계정비교'!$A$5:$A$1004,B859,'계정비교'!$H$5:$H$1004,"원인분석 대상")&gt;0,COUNT($L$4:L858)+1,""))</x:f>
      </x:c>
    </x:row>
    <x:row r="860">
      <x:c r="A860" s="73" t="str">
        <x:f>IF('전기원장'!A860="","","전기")</x:f>
      </x:c>
      <x:c r="B860" s="73" t="str">
        <x:f>IF('전기원장'!A860="","",'전기원장'!A860)</x:f>
      </x:c>
      <x:c r="C860" s="73" t="str">
        <x:f>IF('전기원장'!A860="","",'전기원장'!B860)</x:f>
      </x:c>
      <x:c r="D860" s="74" t="str">
        <x:f>IF('전기원장'!A860="","",'전기원장'!C860)</x:f>
      </x:c>
      <x:c r="E860" s="73" t="str">
        <x:f>IF('전기원장'!A860="","",'전기원장'!D860)</x:f>
      </x:c>
      <x:c r="F860" s="73" t="str">
        <x:f>IF('전기원장'!A860="","",'전기원장'!E860)</x:f>
      </x:c>
      <x:c r="G860" s="75" t="str">
        <x:f>IF('전기원장'!A860="","",'전기원장'!H860)</x:f>
      </x:c>
      <x:c r="H860" s="73" t="str">
        <x:f>IF('전기원장'!A860="","",'전기원장'!I860)</x:f>
      </x:c>
      <x:c r="I860" s="73" t="str">
        <x:f>IF('전기원장'!A860="","",'전기원장'!J860)</x:f>
      </x:c>
      <x:c r="J860" s="73" t="str">
        <x:f>IF('전기원장'!A860="","",'전기원장'!K860)</x:f>
      </x:c>
      <x:c r="K860" s="73" t="str">
        <x:f>IF(B860="","",IF(COUNTIF($B$5:B860,B860)=1,COUNT($K$4:K859)+1,""))</x:f>
      </x:c>
      <x:c r="L860" s="85" t="str">
        <x:f>IF(B860="","",IF(COUNTIFS('계정비교'!$A$5:$A$1004,B860,'계정비교'!$H$5:$H$1004,"원인분석 대상")&gt;0,COUNT($L$4:L859)+1,""))</x:f>
      </x:c>
    </x:row>
    <x:row r="861">
      <x:c r="A861" s="73" t="str">
        <x:f>IF('전기원장'!A861="","","전기")</x:f>
      </x:c>
      <x:c r="B861" s="73" t="str">
        <x:f>IF('전기원장'!A861="","",'전기원장'!A861)</x:f>
      </x:c>
      <x:c r="C861" s="73" t="str">
        <x:f>IF('전기원장'!A861="","",'전기원장'!B861)</x:f>
      </x:c>
      <x:c r="D861" s="74" t="str">
        <x:f>IF('전기원장'!A861="","",'전기원장'!C861)</x:f>
      </x:c>
      <x:c r="E861" s="73" t="str">
        <x:f>IF('전기원장'!A861="","",'전기원장'!D861)</x:f>
      </x:c>
      <x:c r="F861" s="73" t="str">
        <x:f>IF('전기원장'!A861="","",'전기원장'!E861)</x:f>
      </x:c>
      <x:c r="G861" s="75" t="str">
        <x:f>IF('전기원장'!A861="","",'전기원장'!H861)</x:f>
      </x:c>
      <x:c r="H861" s="73" t="str">
        <x:f>IF('전기원장'!A861="","",'전기원장'!I861)</x:f>
      </x:c>
      <x:c r="I861" s="73" t="str">
        <x:f>IF('전기원장'!A861="","",'전기원장'!J861)</x:f>
      </x:c>
      <x:c r="J861" s="73" t="str">
        <x:f>IF('전기원장'!A861="","",'전기원장'!K861)</x:f>
      </x:c>
      <x:c r="K861" s="73" t="str">
        <x:f>IF(B861="","",IF(COUNTIF($B$5:B861,B861)=1,COUNT($K$4:K860)+1,""))</x:f>
      </x:c>
      <x:c r="L861" s="85" t="str">
        <x:f>IF(B861="","",IF(COUNTIFS('계정비교'!$A$5:$A$1004,B861,'계정비교'!$H$5:$H$1004,"원인분석 대상")&gt;0,COUNT($L$4:L860)+1,""))</x:f>
      </x:c>
    </x:row>
    <x:row r="862">
      <x:c r="A862" s="73" t="str">
        <x:f>IF('전기원장'!A862="","","전기")</x:f>
      </x:c>
      <x:c r="B862" s="73" t="str">
        <x:f>IF('전기원장'!A862="","",'전기원장'!A862)</x:f>
      </x:c>
      <x:c r="C862" s="73" t="str">
        <x:f>IF('전기원장'!A862="","",'전기원장'!B862)</x:f>
      </x:c>
      <x:c r="D862" s="74" t="str">
        <x:f>IF('전기원장'!A862="","",'전기원장'!C862)</x:f>
      </x:c>
      <x:c r="E862" s="73" t="str">
        <x:f>IF('전기원장'!A862="","",'전기원장'!D862)</x:f>
      </x:c>
      <x:c r="F862" s="73" t="str">
        <x:f>IF('전기원장'!A862="","",'전기원장'!E862)</x:f>
      </x:c>
      <x:c r="G862" s="75" t="str">
        <x:f>IF('전기원장'!A862="","",'전기원장'!H862)</x:f>
      </x:c>
      <x:c r="H862" s="73" t="str">
        <x:f>IF('전기원장'!A862="","",'전기원장'!I862)</x:f>
      </x:c>
      <x:c r="I862" s="73" t="str">
        <x:f>IF('전기원장'!A862="","",'전기원장'!J862)</x:f>
      </x:c>
      <x:c r="J862" s="73" t="str">
        <x:f>IF('전기원장'!A862="","",'전기원장'!K862)</x:f>
      </x:c>
      <x:c r="K862" s="73" t="str">
        <x:f>IF(B862="","",IF(COUNTIF($B$5:B862,B862)=1,COUNT($K$4:K861)+1,""))</x:f>
      </x:c>
      <x:c r="L862" s="85" t="str">
        <x:f>IF(B862="","",IF(COUNTIFS('계정비교'!$A$5:$A$1004,B862,'계정비교'!$H$5:$H$1004,"원인분석 대상")&gt;0,COUNT($L$4:L861)+1,""))</x:f>
      </x:c>
    </x:row>
    <x:row r="863">
      <x:c r="A863" s="73" t="str">
        <x:f>IF('전기원장'!A863="","","전기")</x:f>
      </x:c>
      <x:c r="B863" s="73" t="str">
        <x:f>IF('전기원장'!A863="","",'전기원장'!A863)</x:f>
      </x:c>
      <x:c r="C863" s="73" t="str">
        <x:f>IF('전기원장'!A863="","",'전기원장'!B863)</x:f>
      </x:c>
      <x:c r="D863" s="74" t="str">
        <x:f>IF('전기원장'!A863="","",'전기원장'!C863)</x:f>
      </x:c>
      <x:c r="E863" s="73" t="str">
        <x:f>IF('전기원장'!A863="","",'전기원장'!D863)</x:f>
      </x:c>
      <x:c r="F863" s="73" t="str">
        <x:f>IF('전기원장'!A863="","",'전기원장'!E863)</x:f>
      </x:c>
      <x:c r="G863" s="75" t="str">
        <x:f>IF('전기원장'!A863="","",'전기원장'!H863)</x:f>
      </x:c>
      <x:c r="H863" s="73" t="str">
        <x:f>IF('전기원장'!A863="","",'전기원장'!I863)</x:f>
      </x:c>
      <x:c r="I863" s="73" t="str">
        <x:f>IF('전기원장'!A863="","",'전기원장'!J863)</x:f>
      </x:c>
      <x:c r="J863" s="73" t="str">
        <x:f>IF('전기원장'!A863="","",'전기원장'!K863)</x:f>
      </x:c>
      <x:c r="K863" s="73" t="str">
        <x:f>IF(B863="","",IF(COUNTIF($B$5:B863,B863)=1,COUNT($K$4:K862)+1,""))</x:f>
      </x:c>
      <x:c r="L863" s="85" t="str">
        <x:f>IF(B863="","",IF(COUNTIFS('계정비교'!$A$5:$A$1004,B863,'계정비교'!$H$5:$H$1004,"원인분석 대상")&gt;0,COUNT($L$4:L862)+1,""))</x:f>
      </x:c>
    </x:row>
    <x:row r="864">
      <x:c r="A864" s="73" t="str">
        <x:f>IF('전기원장'!A864="","","전기")</x:f>
      </x:c>
      <x:c r="B864" s="73" t="str">
        <x:f>IF('전기원장'!A864="","",'전기원장'!A864)</x:f>
      </x:c>
      <x:c r="C864" s="73" t="str">
        <x:f>IF('전기원장'!A864="","",'전기원장'!B864)</x:f>
      </x:c>
      <x:c r="D864" s="74" t="str">
        <x:f>IF('전기원장'!A864="","",'전기원장'!C864)</x:f>
      </x:c>
      <x:c r="E864" s="73" t="str">
        <x:f>IF('전기원장'!A864="","",'전기원장'!D864)</x:f>
      </x:c>
      <x:c r="F864" s="73" t="str">
        <x:f>IF('전기원장'!A864="","",'전기원장'!E864)</x:f>
      </x:c>
      <x:c r="G864" s="75" t="str">
        <x:f>IF('전기원장'!A864="","",'전기원장'!H864)</x:f>
      </x:c>
      <x:c r="H864" s="73" t="str">
        <x:f>IF('전기원장'!A864="","",'전기원장'!I864)</x:f>
      </x:c>
      <x:c r="I864" s="73" t="str">
        <x:f>IF('전기원장'!A864="","",'전기원장'!J864)</x:f>
      </x:c>
      <x:c r="J864" s="73" t="str">
        <x:f>IF('전기원장'!A864="","",'전기원장'!K864)</x:f>
      </x:c>
      <x:c r="K864" s="73" t="str">
        <x:f>IF(B864="","",IF(COUNTIF($B$5:B864,B864)=1,COUNT($K$4:K863)+1,""))</x:f>
      </x:c>
      <x:c r="L864" s="85" t="str">
        <x:f>IF(B864="","",IF(COUNTIFS('계정비교'!$A$5:$A$1004,B864,'계정비교'!$H$5:$H$1004,"원인분석 대상")&gt;0,COUNT($L$4:L863)+1,""))</x:f>
      </x:c>
    </x:row>
    <x:row r="865">
      <x:c r="A865" s="73" t="str">
        <x:f>IF('전기원장'!A865="","","전기")</x:f>
      </x:c>
      <x:c r="B865" s="73" t="str">
        <x:f>IF('전기원장'!A865="","",'전기원장'!A865)</x:f>
      </x:c>
      <x:c r="C865" s="73" t="str">
        <x:f>IF('전기원장'!A865="","",'전기원장'!B865)</x:f>
      </x:c>
      <x:c r="D865" s="74" t="str">
        <x:f>IF('전기원장'!A865="","",'전기원장'!C865)</x:f>
      </x:c>
      <x:c r="E865" s="73" t="str">
        <x:f>IF('전기원장'!A865="","",'전기원장'!D865)</x:f>
      </x:c>
      <x:c r="F865" s="73" t="str">
        <x:f>IF('전기원장'!A865="","",'전기원장'!E865)</x:f>
      </x:c>
      <x:c r="G865" s="75" t="str">
        <x:f>IF('전기원장'!A865="","",'전기원장'!H865)</x:f>
      </x:c>
      <x:c r="H865" s="73" t="str">
        <x:f>IF('전기원장'!A865="","",'전기원장'!I865)</x:f>
      </x:c>
      <x:c r="I865" s="73" t="str">
        <x:f>IF('전기원장'!A865="","",'전기원장'!J865)</x:f>
      </x:c>
      <x:c r="J865" s="73" t="str">
        <x:f>IF('전기원장'!A865="","",'전기원장'!K865)</x:f>
      </x:c>
      <x:c r="K865" s="73" t="str">
        <x:f>IF(B865="","",IF(COUNTIF($B$5:B865,B865)=1,COUNT($K$4:K864)+1,""))</x:f>
      </x:c>
      <x:c r="L865" s="85" t="str">
        <x:f>IF(B865="","",IF(COUNTIFS('계정비교'!$A$5:$A$1004,B865,'계정비교'!$H$5:$H$1004,"원인분석 대상")&gt;0,COUNT($L$4:L864)+1,""))</x:f>
      </x:c>
    </x:row>
    <x:row r="866">
      <x:c r="A866" s="73" t="str">
        <x:f>IF('전기원장'!A866="","","전기")</x:f>
      </x:c>
      <x:c r="B866" s="73" t="str">
        <x:f>IF('전기원장'!A866="","",'전기원장'!A866)</x:f>
      </x:c>
      <x:c r="C866" s="73" t="str">
        <x:f>IF('전기원장'!A866="","",'전기원장'!B866)</x:f>
      </x:c>
      <x:c r="D866" s="74" t="str">
        <x:f>IF('전기원장'!A866="","",'전기원장'!C866)</x:f>
      </x:c>
      <x:c r="E866" s="73" t="str">
        <x:f>IF('전기원장'!A866="","",'전기원장'!D866)</x:f>
      </x:c>
      <x:c r="F866" s="73" t="str">
        <x:f>IF('전기원장'!A866="","",'전기원장'!E866)</x:f>
      </x:c>
      <x:c r="G866" s="75" t="str">
        <x:f>IF('전기원장'!A866="","",'전기원장'!H866)</x:f>
      </x:c>
      <x:c r="H866" s="73" t="str">
        <x:f>IF('전기원장'!A866="","",'전기원장'!I866)</x:f>
      </x:c>
      <x:c r="I866" s="73" t="str">
        <x:f>IF('전기원장'!A866="","",'전기원장'!J866)</x:f>
      </x:c>
      <x:c r="J866" s="73" t="str">
        <x:f>IF('전기원장'!A866="","",'전기원장'!K866)</x:f>
      </x:c>
      <x:c r="K866" s="73" t="str">
        <x:f>IF(B866="","",IF(COUNTIF($B$5:B866,B866)=1,COUNT($K$4:K865)+1,""))</x:f>
      </x:c>
      <x:c r="L866" s="85" t="str">
        <x:f>IF(B866="","",IF(COUNTIFS('계정비교'!$A$5:$A$1004,B866,'계정비교'!$H$5:$H$1004,"원인분석 대상")&gt;0,COUNT($L$4:L865)+1,""))</x:f>
      </x:c>
    </x:row>
    <x:row r="867">
      <x:c r="A867" s="73" t="str">
        <x:f>IF('전기원장'!A867="","","전기")</x:f>
      </x:c>
      <x:c r="B867" s="73" t="str">
        <x:f>IF('전기원장'!A867="","",'전기원장'!A867)</x:f>
      </x:c>
      <x:c r="C867" s="73" t="str">
        <x:f>IF('전기원장'!A867="","",'전기원장'!B867)</x:f>
      </x:c>
      <x:c r="D867" s="74" t="str">
        <x:f>IF('전기원장'!A867="","",'전기원장'!C867)</x:f>
      </x:c>
      <x:c r="E867" s="73" t="str">
        <x:f>IF('전기원장'!A867="","",'전기원장'!D867)</x:f>
      </x:c>
      <x:c r="F867" s="73" t="str">
        <x:f>IF('전기원장'!A867="","",'전기원장'!E867)</x:f>
      </x:c>
      <x:c r="G867" s="75" t="str">
        <x:f>IF('전기원장'!A867="","",'전기원장'!H867)</x:f>
      </x:c>
      <x:c r="H867" s="73" t="str">
        <x:f>IF('전기원장'!A867="","",'전기원장'!I867)</x:f>
      </x:c>
      <x:c r="I867" s="73" t="str">
        <x:f>IF('전기원장'!A867="","",'전기원장'!J867)</x:f>
      </x:c>
      <x:c r="J867" s="73" t="str">
        <x:f>IF('전기원장'!A867="","",'전기원장'!K867)</x:f>
      </x:c>
      <x:c r="K867" s="73" t="str">
        <x:f>IF(B867="","",IF(COUNTIF($B$5:B867,B867)=1,COUNT($K$4:K866)+1,""))</x:f>
      </x:c>
      <x:c r="L867" s="85" t="str">
        <x:f>IF(B867="","",IF(COUNTIFS('계정비교'!$A$5:$A$1004,B867,'계정비교'!$H$5:$H$1004,"원인분석 대상")&gt;0,COUNT($L$4:L866)+1,""))</x:f>
      </x:c>
    </x:row>
    <x:row r="868">
      <x:c r="A868" s="73" t="str">
        <x:f>IF('전기원장'!A868="","","전기")</x:f>
      </x:c>
      <x:c r="B868" s="73" t="str">
        <x:f>IF('전기원장'!A868="","",'전기원장'!A868)</x:f>
      </x:c>
      <x:c r="C868" s="73" t="str">
        <x:f>IF('전기원장'!A868="","",'전기원장'!B868)</x:f>
      </x:c>
      <x:c r="D868" s="74" t="str">
        <x:f>IF('전기원장'!A868="","",'전기원장'!C868)</x:f>
      </x:c>
      <x:c r="E868" s="73" t="str">
        <x:f>IF('전기원장'!A868="","",'전기원장'!D868)</x:f>
      </x:c>
      <x:c r="F868" s="73" t="str">
        <x:f>IF('전기원장'!A868="","",'전기원장'!E868)</x:f>
      </x:c>
      <x:c r="G868" s="75" t="str">
        <x:f>IF('전기원장'!A868="","",'전기원장'!H868)</x:f>
      </x:c>
      <x:c r="H868" s="73" t="str">
        <x:f>IF('전기원장'!A868="","",'전기원장'!I868)</x:f>
      </x:c>
      <x:c r="I868" s="73" t="str">
        <x:f>IF('전기원장'!A868="","",'전기원장'!J868)</x:f>
      </x:c>
      <x:c r="J868" s="73" t="str">
        <x:f>IF('전기원장'!A868="","",'전기원장'!K868)</x:f>
      </x:c>
      <x:c r="K868" s="73" t="str">
        <x:f>IF(B868="","",IF(COUNTIF($B$5:B868,B868)=1,COUNT($K$4:K867)+1,""))</x:f>
      </x:c>
      <x:c r="L868" s="85" t="str">
        <x:f>IF(B868="","",IF(COUNTIFS('계정비교'!$A$5:$A$1004,B868,'계정비교'!$H$5:$H$1004,"원인분석 대상")&gt;0,COUNT($L$4:L867)+1,""))</x:f>
      </x:c>
    </x:row>
    <x:row r="869">
      <x:c r="A869" s="73" t="str">
        <x:f>IF('전기원장'!A869="","","전기")</x:f>
      </x:c>
      <x:c r="B869" s="73" t="str">
        <x:f>IF('전기원장'!A869="","",'전기원장'!A869)</x:f>
      </x:c>
      <x:c r="C869" s="73" t="str">
        <x:f>IF('전기원장'!A869="","",'전기원장'!B869)</x:f>
      </x:c>
      <x:c r="D869" s="74" t="str">
        <x:f>IF('전기원장'!A869="","",'전기원장'!C869)</x:f>
      </x:c>
      <x:c r="E869" s="73" t="str">
        <x:f>IF('전기원장'!A869="","",'전기원장'!D869)</x:f>
      </x:c>
      <x:c r="F869" s="73" t="str">
        <x:f>IF('전기원장'!A869="","",'전기원장'!E869)</x:f>
      </x:c>
      <x:c r="G869" s="75" t="str">
        <x:f>IF('전기원장'!A869="","",'전기원장'!H869)</x:f>
      </x:c>
      <x:c r="H869" s="73" t="str">
        <x:f>IF('전기원장'!A869="","",'전기원장'!I869)</x:f>
      </x:c>
      <x:c r="I869" s="73" t="str">
        <x:f>IF('전기원장'!A869="","",'전기원장'!J869)</x:f>
      </x:c>
      <x:c r="J869" s="73" t="str">
        <x:f>IF('전기원장'!A869="","",'전기원장'!K869)</x:f>
      </x:c>
      <x:c r="K869" s="73" t="str">
        <x:f>IF(B869="","",IF(COUNTIF($B$5:B869,B869)=1,COUNT($K$4:K868)+1,""))</x:f>
      </x:c>
      <x:c r="L869" s="85" t="str">
        <x:f>IF(B869="","",IF(COUNTIFS('계정비교'!$A$5:$A$1004,B869,'계정비교'!$H$5:$H$1004,"원인분석 대상")&gt;0,COUNT($L$4:L868)+1,""))</x:f>
      </x:c>
    </x:row>
    <x:row r="870">
      <x:c r="A870" s="73" t="str">
        <x:f>IF('전기원장'!A870="","","전기")</x:f>
      </x:c>
      <x:c r="B870" s="73" t="str">
        <x:f>IF('전기원장'!A870="","",'전기원장'!A870)</x:f>
      </x:c>
      <x:c r="C870" s="73" t="str">
        <x:f>IF('전기원장'!A870="","",'전기원장'!B870)</x:f>
      </x:c>
      <x:c r="D870" s="74" t="str">
        <x:f>IF('전기원장'!A870="","",'전기원장'!C870)</x:f>
      </x:c>
      <x:c r="E870" s="73" t="str">
        <x:f>IF('전기원장'!A870="","",'전기원장'!D870)</x:f>
      </x:c>
      <x:c r="F870" s="73" t="str">
        <x:f>IF('전기원장'!A870="","",'전기원장'!E870)</x:f>
      </x:c>
      <x:c r="G870" s="75" t="str">
        <x:f>IF('전기원장'!A870="","",'전기원장'!H870)</x:f>
      </x:c>
      <x:c r="H870" s="73" t="str">
        <x:f>IF('전기원장'!A870="","",'전기원장'!I870)</x:f>
      </x:c>
      <x:c r="I870" s="73" t="str">
        <x:f>IF('전기원장'!A870="","",'전기원장'!J870)</x:f>
      </x:c>
      <x:c r="J870" s="73" t="str">
        <x:f>IF('전기원장'!A870="","",'전기원장'!K870)</x:f>
      </x:c>
      <x:c r="K870" s="73" t="str">
        <x:f>IF(B870="","",IF(COUNTIF($B$5:B870,B870)=1,COUNT($K$4:K869)+1,""))</x:f>
      </x:c>
      <x:c r="L870" s="85" t="str">
        <x:f>IF(B870="","",IF(COUNTIFS('계정비교'!$A$5:$A$1004,B870,'계정비교'!$H$5:$H$1004,"원인분석 대상")&gt;0,COUNT($L$4:L869)+1,""))</x:f>
      </x:c>
    </x:row>
    <x:row r="871">
      <x:c r="A871" s="73" t="str">
        <x:f>IF('전기원장'!A871="","","전기")</x:f>
      </x:c>
      <x:c r="B871" s="73" t="str">
        <x:f>IF('전기원장'!A871="","",'전기원장'!A871)</x:f>
      </x:c>
      <x:c r="C871" s="73" t="str">
        <x:f>IF('전기원장'!A871="","",'전기원장'!B871)</x:f>
      </x:c>
      <x:c r="D871" s="74" t="str">
        <x:f>IF('전기원장'!A871="","",'전기원장'!C871)</x:f>
      </x:c>
      <x:c r="E871" s="73" t="str">
        <x:f>IF('전기원장'!A871="","",'전기원장'!D871)</x:f>
      </x:c>
      <x:c r="F871" s="73" t="str">
        <x:f>IF('전기원장'!A871="","",'전기원장'!E871)</x:f>
      </x:c>
      <x:c r="G871" s="75" t="str">
        <x:f>IF('전기원장'!A871="","",'전기원장'!H871)</x:f>
      </x:c>
      <x:c r="H871" s="73" t="str">
        <x:f>IF('전기원장'!A871="","",'전기원장'!I871)</x:f>
      </x:c>
      <x:c r="I871" s="73" t="str">
        <x:f>IF('전기원장'!A871="","",'전기원장'!J871)</x:f>
      </x:c>
      <x:c r="J871" s="73" t="str">
        <x:f>IF('전기원장'!A871="","",'전기원장'!K871)</x:f>
      </x:c>
      <x:c r="K871" s="73" t="str">
        <x:f>IF(B871="","",IF(COUNTIF($B$5:B871,B871)=1,COUNT($K$4:K870)+1,""))</x:f>
      </x:c>
      <x:c r="L871" s="85" t="str">
        <x:f>IF(B871="","",IF(COUNTIFS('계정비교'!$A$5:$A$1004,B871,'계정비교'!$H$5:$H$1004,"원인분석 대상")&gt;0,COUNT($L$4:L870)+1,""))</x:f>
      </x:c>
    </x:row>
    <x:row r="872">
      <x:c r="A872" s="73" t="str">
        <x:f>IF('전기원장'!A872="","","전기")</x:f>
      </x:c>
      <x:c r="B872" s="73" t="str">
        <x:f>IF('전기원장'!A872="","",'전기원장'!A872)</x:f>
      </x:c>
      <x:c r="C872" s="73" t="str">
        <x:f>IF('전기원장'!A872="","",'전기원장'!B872)</x:f>
      </x:c>
      <x:c r="D872" s="74" t="str">
        <x:f>IF('전기원장'!A872="","",'전기원장'!C872)</x:f>
      </x:c>
      <x:c r="E872" s="73" t="str">
        <x:f>IF('전기원장'!A872="","",'전기원장'!D872)</x:f>
      </x:c>
      <x:c r="F872" s="73" t="str">
        <x:f>IF('전기원장'!A872="","",'전기원장'!E872)</x:f>
      </x:c>
      <x:c r="G872" s="75" t="str">
        <x:f>IF('전기원장'!A872="","",'전기원장'!H872)</x:f>
      </x:c>
      <x:c r="H872" s="73" t="str">
        <x:f>IF('전기원장'!A872="","",'전기원장'!I872)</x:f>
      </x:c>
      <x:c r="I872" s="73" t="str">
        <x:f>IF('전기원장'!A872="","",'전기원장'!J872)</x:f>
      </x:c>
      <x:c r="J872" s="73" t="str">
        <x:f>IF('전기원장'!A872="","",'전기원장'!K872)</x:f>
      </x:c>
      <x:c r="K872" s="73" t="str">
        <x:f>IF(B872="","",IF(COUNTIF($B$5:B872,B872)=1,COUNT($K$4:K871)+1,""))</x:f>
      </x:c>
      <x:c r="L872" s="85" t="str">
        <x:f>IF(B872="","",IF(COUNTIFS('계정비교'!$A$5:$A$1004,B872,'계정비교'!$H$5:$H$1004,"원인분석 대상")&gt;0,COUNT($L$4:L871)+1,""))</x:f>
      </x:c>
    </x:row>
    <x:row r="873">
      <x:c r="A873" s="73" t="str">
        <x:f>IF('전기원장'!A873="","","전기")</x:f>
      </x:c>
      <x:c r="B873" s="73" t="str">
        <x:f>IF('전기원장'!A873="","",'전기원장'!A873)</x:f>
      </x:c>
      <x:c r="C873" s="73" t="str">
        <x:f>IF('전기원장'!A873="","",'전기원장'!B873)</x:f>
      </x:c>
      <x:c r="D873" s="74" t="str">
        <x:f>IF('전기원장'!A873="","",'전기원장'!C873)</x:f>
      </x:c>
      <x:c r="E873" s="73" t="str">
        <x:f>IF('전기원장'!A873="","",'전기원장'!D873)</x:f>
      </x:c>
      <x:c r="F873" s="73" t="str">
        <x:f>IF('전기원장'!A873="","",'전기원장'!E873)</x:f>
      </x:c>
      <x:c r="G873" s="75" t="str">
        <x:f>IF('전기원장'!A873="","",'전기원장'!H873)</x:f>
      </x:c>
      <x:c r="H873" s="73" t="str">
        <x:f>IF('전기원장'!A873="","",'전기원장'!I873)</x:f>
      </x:c>
      <x:c r="I873" s="73" t="str">
        <x:f>IF('전기원장'!A873="","",'전기원장'!J873)</x:f>
      </x:c>
      <x:c r="J873" s="73" t="str">
        <x:f>IF('전기원장'!A873="","",'전기원장'!K873)</x:f>
      </x:c>
      <x:c r="K873" s="73" t="str">
        <x:f>IF(B873="","",IF(COUNTIF($B$5:B873,B873)=1,COUNT($K$4:K872)+1,""))</x:f>
      </x:c>
      <x:c r="L873" s="85" t="str">
        <x:f>IF(B873="","",IF(COUNTIFS('계정비교'!$A$5:$A$1004,B873,'계정비교'!$H$5:$H$1004,"원인분석 대상")&gt;0,COUNT($L$4:L872)+1,""))</x:f>
      </x:c>
    </x:row>
    <x:row r="874">
      <x:c r="A874" s="73" t="str">
        <x:f>IF('전기원장'!A874="","","전기")</x:f>
      </x:c>
      <x:c r="B874" s="73" t="str">
        <x:f>IF('전기원장'!A874="","",'전기원장'!A874)</x:f>
      </x:c>
      <x:c r="C874" s="73" t="str">
        <x:f>IF('전기원장'!A874="","",'전기원장'!B874)</x:f>
      </x:c>
      <x:c r="D874" s="74" t="str">
        <x:f>IF('전기원장'!A874="","",'전기원장'!C874)</x:f>
      </x:c>
      <x:c r="E874" s="73" t="str">
        <x:f>IF('전기원장'!A874="","",'전기원장'!D874)</x:f>
      </x:c>
      <x:c r="F874" s="73" t="str">
        <x:f>IF('전기원장'!A874="","",'전기원장'!E874)</x:f>
      </x:c>
      <x:c r="G874" s="75" t="str">
        <x:f>IF('전기원장'!A874="","",'전기원장'!H874)</x:f>
      </x:c>
      <x:c r="H874" s="73" t="str">
        <x:f>IF('전기원장'!A874="","",'전기원장'!I874)</x:f>
      </x:c>
      <x:c r="I874" s="73" t="str">
        <x:f>IF('전기원장'!A874="","",'전기원장'!J874)</x:f>
      </x:c>
      <x:c r="J874" s="73" t="str">
        <x:f>IF('전기원장'!A874="","",'전기원장'!K874)</x:f>
      </x:c>
      <x:c r="K874" s="73" t="str">
        <x:f>IF(B874="","",IF(COUNTIF($B$5:B874,B874)=1,COUNT($K$4:K873)+1,""))</x:f>
      </x:c>
      <x:c r="L874" s="85" t="str">
        <x:f>IF(B874="","",IF(COUNTIFS('계정비교'!$A$5:$A$1004,B874,'계정비교'!$H$5:$H$1004,"원인분석 대상")&gt;0,COUNT($L$4:L873)+1,""))</x:f>
      </x:c>
    </x:row>
    <x:row r="875">
      <x:c r="A875" s="73" t="str">
        <x:f>IF('전기원장'!A875="","","전기")</x:f>
      </x:c>
      <x:c r="B875" s="73" t="str">
        <x:f>IF('전기원장'!A875="","",'전기원장'!A875)</x:f>
      </x:c>
      <x:c r="C875" s="73" t="str">
        <x:f>IF('전기원장'!A875="","",'전기원장'!B875)</x:f>
      </x:c>
      <x:c r="D875" s="74" t="str">
        <x:f>IF('전기원장'!A875="","",'전기원장'!C875)</x:f>
      </x:c>
      <x:c r="E875" s="73" t="str">
        <x:f>IF('전기원장'!A875="","",'전기원장'!D875)</x:f>
      </x:c>
      <x:c r="F875" s="73" t="str">
        <x:f>IF('전기원장'!A875="","",'전기원장'!E875)</x:f>
      </x:c>
      <x:c r="G875" s="75" t="str">
        <x:f>IF('전기원장'!A875="","",'전기원장'!H875)</x:f>
      </x:c>
      <x:c r="H875" s="73" t="str">
        <x:f>IF('전기원장'!A875="","",'전기원장'!I875)</x:f>
      </x:c>
      <x:c r="I875" s="73" t="str">
        <x:f>IF('전기원장'!A875="","",'전기원장'!J875)</x:f>
      </x:c>
      <x:c r="J875" s="73" t="str">
        <x:f>IF('전기원장'!A875="","",'전기원장'!K875)</x:f>
      </x:c>
      <x:c r="K875" s="73" t="str">
        <x:f>IF(B875="","",IF(COUNTIF($B$5:B875,B875)=1,COUNT($K$4:K874)+1,""))</x:f>
      </x:c>
      <x:c r="L875" s="85" t="str">
        <x:f>IF(B875="","",IF(COUNTIFS('계정비교'!$A$5:$A$1004,B875,'계정비교'!$H$5:$H$1004,"원인분석 대상")&gt;0,COUNT($L$4:L874)+1,""))</x:f>
      </x:c>
    </x:row>
    <x:row r="876">
      <x:c r="A876" s="73" t="str">
        <x:f>IF('전기원장'!A876="","","전기")</x:f>
      </x:c>
      <x:c r="B876" s="73" t="str">
        <x:f>IF('전기원장'!A876="","",'전기원장'!A876)</x:f>
      </x:c>
      <x:c r="C876" s="73" t="str">
        <x:f>IF('전기원장'!A876="","",'전기원장'!B876)</x:f>
      </x:c>
      <x:c r="D876" s="74" t="str">
        <x:f>IF('전기원장'!A876="","",'전기원장'!C876)</x:f>
      </x:c>
      <x:c r="E876" s="73" t="str">
        <x:f>IF('전기원장'!A876="","",'전기원장'!D876)</x:f>
      </x:c>
      <x:c r="F876" s="73" t="str">
        <x:f>IF('전기원장'!A876="","",'전기원장'!E876)</x:f>
      </x:c>
      <x:c r="G876" s="75" t="str">
        <x:f>IF('전기원장'!A876="","",'전기원장'!H876)</x:f>
      </x:c>
      <x:c r="H876" s="73" t="str">
        <x:f>IF('전기원장'!A876="","",'전기원장'!I876)</x:f>
      </x:c>
      <x:c r="I876" s="73" t="str">
        <x:f>IF('전기원장'!A876="","",'전기원장'!J876)</x:f>
      </x:c>
      <x:c r="J876" s="73" t="str">
        <x:f>IF('전기원장'!A876="","",'전기원장'!K876)</x:f>
      </x:c>
      <x:c r="K876" s="73" t="str">
        <x:f>IF(B876="","",IF(COUNTIF($B$5:B876,B876)=1,COUNT($K$4:K875)+1,""))</x:f>
      </x:c>
      <x:c r="L876" s="85" t="str">
        <x:f>IF(B876="","",IF(COUNTIFS('계정비교'!$A$5:$A$1004,B876,'계정비교'!$H$5:$H$1004,"원인분석 대상")&gt;0,COUNT($L$4:L875)+1,""))</x:f>
      </x:c>
    </x:row>
    <x:row r="877">
      <x:c r="A877" s="73" t="str">
        <x:f>IF('전기원장'!A877="","","전기")</x:f>
      </x:c>
      <x:c r="B877" s="73" t="str">
        <x:f>IF('전기원장'!A877="","",'전기원장'!A877)</x:f>
      </x:c>
      <x:c r="C877" s="73" t="str">
        <x:f>IF('전기원장'!A877="","",'전기원장'!B877)</x:f>
      </x:c>
      <x:c r="D877" s="74" t="str">
        <x:f>IF('전기원장'!A877="","",'전기원장'!C877)</x:f>
      </x:c>
      <x:c r="E877" s="73" t="str">
        <x:f>IF('전기원장'!A877="","",'전기원장'!D877)</x:f>
      </x:c>
      <x:c r="F877" s="73" t="str">
        <x:f>IF('전기원장'!A877="","",'전기원장'!E877)</x:f>
      </x:c>
      <x:c r="G877" s="75" t="str">
        <x:f>IF('전기원장'!A877="","",'전기원장'!H877)</x:f>
      </x:c>
      <x:c r="H877" s="73" t="str">
        <x:f>IF('전기원장'!A877="","",'전기원장'!I877)</x:f>
      </x:c>
      <x:c r="I877" s="73" t="str">
        <x:f>IF('전기원장'!A877="","",'전기원장'!J877)</x:f>
      </x:c>
      <x:c r="J877" s="73" t="str">
        <x:f>IF('전기원장'!A877="","",'전기원장'!K877)</x:f>
      </x:c>
      <x:c r="K877" s="73" t="str">
        <x:f>IF(B877="","",IF(COUNTIF($B$5:B877,B877)=1,COUNT($K$4:K876)+1,""))</x:f>
      </x:c>
      <x:c r="L877" s="85" t="str">
        <x:f>IF(B877="","",IF(COUNTIFS('계정비교'!$A$5:$A$1004,B877,'계정비교'!$H$5:$H$1004,"원인분석 대상")&gt;0,COUNT($L$4:L876)+1,""))</x:f>
      </x:c>
    </x:row>
    <x:row r="878">
      <x:c r="A878" s="73" t="str">
        <x:f>IF('전기원장'!A878="","","전기")</x:f>
      </x:c>
      <x:c r="B878" s="73" t="str">
        <x:f>IF('전기원장'!A878="","",'전기원장'!A878)</x:f>
      </x:c>
      <x:c r="C878" s="73" t="str">
        <x:f>IF('전기원장'!A878="","",'전기원장'!B878)</x:f>
      </x:c>
      <x:c r="D878" s="74" t="str">
        <x:f>IF('전기원장'!A878="","",'전기원장'!C878)</x:f>
      </x:c>
      <x:c r="E878" s="73" t="str">
        <x:f>IF('전기원장'!A878="","",'전기원장'!D878)</x:f>
      </x:c>
      <x:c r="F878" s="73" t="str">
        <x:f>IF('전기원장'!A878="","",'전기원장'!E878)</x:f>
      </x:c>
      <x:c r="G878" s="75" t="str">
        <x:f>IF('전기원장'!A878="","",'전기원장'!H878)</x:f>
      </x:c>
      <x:c r="H878" s="73" t="str">
        <x:f>IF('전기원장'!A878="","",'전기원장'!I878)</x:f>
      </x:c>
      <x:c r="I878" s="73" t="str">
        <x:f>IF('전기원장'!A878="","",'전기원장'!J878)</x:f>
      </x:c>
      <x:c r="J878" s="73" t="str">
        <x:f>IF('전기원장'!A878="","",'전기원장'!K878)</x:f>
      </x:c>
      <x:c r="K878" s="73" t="str">
        <x:f>IF(B878="","",IF(COUNTIF($B$5:B878,B878)=1,COUNT($K$4:K877)+1,""))</x:f>
      </x:c>
      <x:c r="L878" s="85" t="str">
        <x:f>IF(B878="","",IF(COUNTIFS('계정비교'!$A$5:$A$1004,B878,'계정비교'!$H$5:$H$1004,"원인분석 대상")&gt;0,COUNT($L$4:L877)+1,""))</x:f>
      </x:c>
    </x:row>
    <x:row r="879">
      <x:c r="A879" s="73" t="str">
        <x:f>IF('전기원장'!A879="","","전기")</x:f>
      </x:c>
      <x:c r="B879" s="73" t="str">
        <x:f>IF('전기원장'!A879="","",'전기원장'!A879)</x:f>
      </x:c>
      <x:c r="C879" s="73" t="str">
        <x:f>IF('전기원장'!A879="","",'전기원장'!B879)</x:f>
      </x:c>
      <x:c r="D879" s="74" t="str">
        <x:f>IF('전기원장'!A879="","",'전기원장'!C879)</x:f>
      </x:c>
      <x:c r="E879" s="73" t="str">
        <x:f>IF('전기원장'!A879="","",'전기원장'!D879)</x:f>
      </x:c>
      <x:c r="F879" s="73" t="str">
        <x:f>IF('전기원장'!A879="","",'전기원장'!E879)</x:f>
      </x:c>
      <x:c r="G879" s="75" t="str">
        <x:f>IF('전기원장'!A879="","",'전기원장'!H879)</x:f>
      </x:c>
      <x:c r="H879" s="73" t="str">
        <x:f>IF('전기원장'!A879="","",'전기원장'!I879)</x:f>
      </x:c>
      <x:c r="I879" s="73" t="str">
        <x:f>IF('전기원장'!A879="","",'전기원장'!J879)</x:f>
      </x:c>
      <x:c r="J879" s="73" t="str">
        <x:f>IF('전기원장'!A879="","",'전기원장'!K879)</x:f>
      </x:c>
      <x:c r="K879" s="73" t="str">
        <x:f>IF(B879="","",IF(COUNTIF($B$5:B879,B879)=1,COUNT($K$4:K878)+1,""))</x:f>
      </x:c>
      <x:c r="L879" s="85" t="str">
        <x:f>IF(B879="","",IF(COUNTIFS('계정비교'!$A$5:$A$1004,B879,'계정비교'!$H$5:$H$1004,"원인분석 대상")&gt;0,COUNT($L$4:L878)+1,""))</x:f>
      </x:c>
    </x:row>
    <x:row r="880">
      <x:c r="A880" s="73" t="str">
        <x:f>IF('전기원장'!A880="","","전기")</x:f>
      </x:c>
      <x:c r="B880" s="73" t="str">
        <x:f>IF('전기원장'!A880="","",'전기원장'!A880)</x:f>
      </x:c>
      <x:c r="C880" s="73" t="str">
        <x:f>IF('전기원장'!A880="","",'전기원장'!B880)</x:f>
      </x:c>
      <x:c r="D880" s="74" t="str">
        <x:f>IF('전기원장'!A880="","",'전기원장'!C880)</x:f>
      </x:c>
      <x:c r="E880" s="73" t="str">
        <x:f>IF('전기원장'!A880="","",'전기원장'!D880)</x:f>
      </x:c>
      <x:c r="F880" s="73" t="str">
        <x:f>IF('전기원장'!A880="","",'전기원장'!E880)</x:f>
      </x:c>
      <x:c r="G880" s="75" t="str">
        <x:f>IF('전기원장'!A880="","",'전기원장'!H880)</x:f>
      </x:c>
      <x:c r="H880" s="73" t="str">
        <x:f>IF('전기원장'!A880="","",'전기원장'!I880)</x:f>
      </x:c>
      <x:c r="I880" s="73" t="str">
        <x:f>IF('전기원장'!A880="","",'전기원장'!J880)</x:f>
      </x:c>
      <x:c r="J880" s="73" t="str">
        <x:f>IF('전기원장'!A880="","",'전기원장'!K880)</x:f>
      </x:c>
      <x:c r="K880" s="73" t="str">
        <x:f>IF(B880="","",IF(COUNTIF($B$5:B880,B880)=1,COUNT($K$4:K879)+1,""))</x:f>
      </x:c>
      <x:c r="L880" s="85" t="str">
        <x:f>IF(B880="","",IF(COUNTIFS('계정비교'!$A$5:$A$1004,B880,'계정비교'!$H$5:$H$1004,"원인분석 대상")&gt;0,COUNT($L$4:L879)+1,""))</x:f>
      </x:c>
    </x:row>
    <x:row r="881">
      <x:c r="A881" s="73" t="str">
        <x:f>IF('전기원장'!A881="","","전기")</x:f>
      </x:c>
      <x:c r="B881" s="73" t="str">
        <x:f>IF('전기원장'!A881="","",'전기원장'!A881)</x:f>
      </x:c>
      <x:c r="C881" s="73" t="str">
        <x:f>IF('전기원장'!A881="","",'전기원장'!B881)</x:f>
      </x:c>
      <x:c r="D881" s="74" t="str">
        <x:f>IF('전기원장'!A881="","",'전기원장'!C881)</x:f>
      </x:c>
      <x:c r="E881" s="73" t="str">
        <x:f>IF('전기원장'!A881="","",'전기원장'!D881)</x:f>
      </x:c>
      <x:c r="F881" s="73" t="str">
        <x:f>IF('전기원장'!A881="","",'전기원장'!E881)</x:f>
      </x:c>
      <x:c r="G881" s="75" t="str">
        <x:f>IF('전기원장'!A881="","",'전기원장'!H881)</x:f>
      </x:c>
      <x:c r="H881" s="73" t="str">
        <x:f>IF('전기원장'!A881="","",'전기원장'!I881)</x:f>
      </x:c>
      <x:c r="I881" s="73" t="str">
        <x:f>IF('전기원장'!A881="","",'전기원장'!J881)</x:f>
      </x:c>
      <x:c r="J881" s="73" t="str">
        <x:f>IF('전기원장'!A881="","",'전기원장'!K881)</x:f>
      </x:c>
      <x:c r="K881" s="73" t="str">
        <x:f>IF(B881="","",IF(COUNTIF($B$5:B881,B881)=1,COUNT($K$4:K880)+1,""))</x:f>
      </x:c>
      <x:c r="L881" s="85" t="str">
        <x:f>IF(B881="","",IF(COUNTIFS('계정비교'!$A$5:$A$1004,B881,'계정비교'!$H$5:$H$1004,"원인분석 대상")&gt;0,COUNT($L$4:L880)+1,""))</x:f>
      </x:c>
    </x:row>
    <x:row r="882">
      <x:c r="A882" s="73" t="str">
        <x:f>IF('전기원장'!A882="","","전기")</x:f>
      </x:c>
      <x:c r="B882" s="73" t="str">
        <x:f>IF('전기원장'!A882="","",'전기원장'!A882)</x:f>
      </x:c>
      <x:c r="C882" s="73" t="str">
        <x:f>IF('전기원장'!A882="","",'전기원장'!B882)</x:f>
      </x:c>
      <x:c r="D882" s="74" t="str">
        <x:f>IF('전기원장'!A882="","",'전기원장'!C882)</x:f>
      </x:c>
      <x:c r="E882" s="73" t="str">
        <x:f>IF('전기원장'!A882="","",'전기원장'!D882)</x:f>
      </x:c>
      <x:c r="F882" s="73" t="str">
        <x:f>IF('전기원장'!A882="","",'전기원장'!E882)</x:f>
      </x:c>
      <x:c r="G882" s="75" t="str">
        <x:f>IF('전기원장'!A882="","",'전기원장'!H882)</x:f>
      </x:c>
      <x:c r="H882" s="73" t="str">
        <x:f>IF('전기원장'!A882="","",'전기원장'!I882)</x:f>
      </x:c>
      <x:c r="I882" s="73" t="str">
        <x:f>IF('전기원장'!A882="","",'전기원장'!J882)</x:f>
      </x:c>
      <x:c r="J882" s="73" t="str">
        <x:f>IF('전기원장'!A882="","",'전기원장'!K882)</x:f>
      </x:c>
      <x:c r="K882" s="73" t="str">
        <x:f>IF(B882="","",IF(COUNTIF($B$5:B882,B882)=1,COUNT($K$4:K881)+1,""))</x:f>
      </x:c>
      <x:c r="L882" s="85" t="str">
        <x:f>IF(B882="","",IF(COUNTIFS('계정비교'!$A$5:$A$1004,B882,'계정비교'!$H$5:$H$1004,"원인분석 대상")&gt;0,COUNT($L$4:L881)+1,""))</x:f>
      </x:c>
    </x:row>
    <x:row r="883">
      <x:c r="A883" s="73" t="str">
        <x:f>IF('전기원장'!A883="","","전기")</x:f>
      </x:c>
      <x:c r="B883" s="73" t="str">
        <x:f>IF('전기원장'!A883="","",'전기원장'!A883)</x:f>
      </x:c>
      <x:c r="C883" s="73" t="str">
        <x:f>IF('전기원장'!A883="","",'전기원장'!B883)</x:f>
      </x:c>
      <x:c r="D883" s="74" t="str">
        <x:f>IF('전기원장'!A883="","",'전기원장'!C883)</x:f>
      </x:c>
      <x:c r="E883" s="73" t="str">
        <x:f>IF('전기원장'!A883="","",'전기원장'!D883)</x:f>
      </x:c>
      <x:c r="F883" s="73" t="str">
        <x:f>IF('전기원장'!A883="","",'전기원장'!E883)</x:f>
      </x:c>
      <x:c r="G883" s="75" t="str">
        <x:f>IF('전기원장'!A883="","",'전기원장'!H883)</x:f>
      </x:c>
      <x:c r="H883" s="73" t="str">
        <x:f>IF('전기원장'!A883="","",'전기원장'!I883)</x:f>
      </x:c>
      <x:c r="I883" s="73" t="str">
        <x:f>IF('전기원장'!A883="","",'전기원장'!J883)</x:f>
      </x:c>
      <x:c r="J883" s="73" t="str">
        <x:f>IF('전기원장'!A883="","",'전기원장'!K883)</x:f>
      </x:c>
      <x:c r="K883" s="73" t="str">
        <x:f>IF(B883="","",IF(COUNTIF($B$5:B883,B883)=1,COUNT($K$4:K882)+1,""))</x:f>
      </x:c>
      <x:c r="L883" s="85" t="str">
        <x:f>IF(B883="","",IF(COUNTIFS('계정비교'!$A$5:$A$1004,B883,'계정비교'!$H$5:$H$1004,"원인분석 대상")&gt;0,COUNT($L$4:L882)+1,""))</x:f>
      </x:c>
    </x:row>
    <x:row r="884">
      <x:c r="A884" s="73" t="str">
        <x:f>IF('전기원장'!A884="","","전기")</x:f>
      </x:c>
      <x:c r="B884" s="73" t="str">
        <x:f>IF('전기원장'!A884="","",'전기원장'!A884)</x:f>
      </x:c>
      <x:c r="C884" s="73" t="str">
        <x:f>IF('전기원장'!A884="","",'전기원장'!B884)</x:f>
      </x:c>
      <x:c r="D884" s="74" t="str">
        <x:f>IF('전기원장'!A884="","",'전기원장'!C884)</x:f>
      </x:c>
      <x:c r="E884" s="73" t="str">
        <x:f>IF('전기원장'!A884="","",'전기원장'!D884)</x:f>
      </x:c>
      <x:c r="F884" s="73" t="str">
        <x:f>IF('전기원장'!A884="","",'전기원장'!E884)</x:f>
      </x:c>
      <x:c r="G884" s="75" t="str">
        <x:f>IF('전기원장'!A884="","",'전기원장'!H884)</x:f>
      </x:c>
      <x:c r="H884" s="73" t="str">
        <x:f>IF('전기원장'!A884="","",'전기원장'!I884)</x:f>
      </x:c>
      <x:c r="I884" s="73" t="str">
        <x:f>IF('전기원장'!A884="","",'전기원장'!J884)</x:f>
      </x:c>
      <x:c r="J884" s="73" t="str">
        <x:f>IF('전기원장'!A884="","",'전기원장'!K884)</x:f>
      </x:c>
      <x:c r="K884" s="73" t="str">
        <x:f>IF(B884="","",IF(COUNTIF($B$5:B884,B884)=1,COUNT($K$4:K883)+1,""))</x:f>
      </x:c>
      <x:c r="L884" s="85" t="str">
        <x:f>IF(B884="","",IF(COUNTIFS('계정비교'!$A$5:$A$1004,B884,'계정비교'!$H$5:$H$1004,"원인분석 대상")&gt;0,COUNT($L$4:L883)+1,""))</x:f>
      </x:c>
    </x:row>
    <x:row r="885">
      <x:c r="A885" s="73" t="str">
        <x:f>IF('전기원장'!A885="","","전기")</x:f>
      </x:c>
      <x:c r="B885" s="73" t="str">
        <x:f>IF('전기원장'!A885="","",'전기원장'!A885)</x:f>
      </x:c>
      <x:c r="C885" s="73" t="str">
        <x:f>IF('전기원장'!A885="","",'전기원장'!B885)</x:f>
      </x:c>
      <x:c r="D885" s="74" t="str">
        <x:f>IF('전기원장'!A885="","",'전기원장'!C885)</x:f>
      </x:c>
      <x:c r="E885" s="73" t="str">
        <x:f>IF('전기원장'!A885="","",'전기원장'!D885)</x:f>
      </x:c>
      <x:c r="F885" s="73" t="str">
        <x:f>IF('전기원장'!A885="","",'전기원장'!E885)</x:f>
      </x:c>
      <x:c r="G885" s="75" t="str">
        <x:f>IF('전기원장'!A885="","",'전기원장'!H885)</x:f>
      </x:c>
      <x:c r="H885" s="73" t="str">
        <x:f>IF('전기원장'!A885="","",'전기원장'!I885)</x:f>
      </x:c>
      <x:c r="I885" s="73" t="str">
        <x:f>IF('전기원장'!A885="","",'전기원장'!J885)</x:f>
      </x:c>
      <x:c r="J885" s="73" t="str">
        <x:f>IF('전기원장'!A885="","",'전기원장'!K885)</x:f>
      </x:c>
      <x:c r="K885" s="73" t="str">
        <x:f>IF(B885="","",IF(COUNTIF($B$5:B885,B885)=1,COUNT($K$4:K884)+1,""))</x:f>
      </x:c>
      <x:c r="L885" s="85" t="str">
        <x:f>IF(B885="","",IF(COUNTIFS('계정비교'!$A$5:$A$1004,B885,'계정비교'!$H$5:$H$1004,"원인분석 대상")&gt;0,COUNT($L$4:L884)+1,""))</x:f>
      </x:c>
    </x:row>
    <x:row r="886">
      <x:c r="A886" s="73" t="str">
        <x:f>IF('전기원장'!A886="","","전기")</x:f>
      </x:c>
      <x:c r="B886" s="73" t="str">
        <x:f>IF('전기원장'!A886="","",'전기원장'!A886)</x:f>
      </x:c>
      <x:c r="C886" s="73" t="str">
        <x:f>IF('전기원장'!A886="","",'전기원장'!B886)</x:f>
      </x:c>
      <x:c r="D886" s="74" t="str">
        <x:f>IF('전기원장'!A886="","",'전기원장'!C886)</x:f>
      </x:c>
      <x:c r="E886" s="73" t="str">
        <x:f>IF('전기원장'!A886="","",'전기원장'!D886)</x:f>
      </x:c>
      <x:c r="F886" s="73" t="str">
        <x:f>IF('전기원장'!A886="","",'전기원장'!E886)</x:f>
      </x:c>
      <x:c r="G886" s="75" t="str">
        <x:f>IF('전기원장'!A886="","",'전기원장'!H886)</x:f>
      </x:c>
      <x:c r="H886" s="73" t="str">
        <x:f>IF('전기원장'!A886="","",'전기원장'!I886)</x:f>
      </x:c>
      <x:c r="I886" s="73" t="str">
        <x:f>IF('전기원장'!A886="","",'전기원장'!J886)</x:f>
      </x:c>
      <x:c r="J886" s="73" t="str">
        <x:f>IF('전기원장'!A886="","",'전기원장'!K886)</x:f>
      </x:c>
      <x:c r="K886" s="73" t="str">
        <x:f>IF(B886="","",IF(COUNTIF($B$5:B886,B886)=1,COUNT($K$4:K885)+1,""))</x:f>
      </x:c>
      <x:c r="L886" s="85" t="str">
        <x:f>IF(B886="","",IF(COUNTIFS('계정비교'!$A$5:$A$1004,B886,'계정비교'!$H$5:$H$1004,"원인분석 대상")&gt;0,COUNT($L$4:L885)+1,""))</x:f>
      </x:c>
    </x:row>
    <x:row r="887">
      <x:c r="A887" s="73" t="str">
        <x:f>IF('전기원장'!A887="","","전기")</x:f>
      </x:c>
      <x:c r="B887" s="73" t="str">
        <x:f>IF('전기원장'!A887="","",'전기원장'!A887)</x:f>
      </x:c>
      <x:c r="C887" s="73" t="str">
        <x:f>IF('전기원장'!A887="","",'전기원장'!B887)</x:f>
      </x:c>
      <x:c r="D887" s="74" t="str">
        <x:f>IF('전기원장'!A887="","",'전기원장'!C887)</x:f>
      </x:c>
      <x:c r="E887" s="73" t="str">
        <x:f>IF('전기원장'!A887="","",'전기원장'!D887)</x:f>
      </x:c>
      <x:c r="F887" s="73" t="str">
        <x:f>IF('전기원장'!A887="","",'전기원장'!E887)</x:f>
      </x:c>
      <x:c r="G887" s="75" t="str">
        <x:f>IF('전기원장'!A887="","",'전기원장'!H887)</x:f>
      </x:c>
      <x:c r="H887" s="73" t="str">
        <x:f>IF('전기원장'!A887="","",'전기원장'!I887)</x:f>
      </x:c>
      <x:c r="I887" s="73" t="str">
        <x:f>IF('전기원장'!A887="","",'전기원장'!J887)</x:f>
      </x:c>
      <x:c r="J887" s="73" t="str">
        <x:f>IF('전기원장'!A887="","",'전기원장'!K887)</x:f>
      </x:c>
      <x:c r="K887" s="73" t="str">
        <x:f>IF(B887="","",IF(COUNTIF($B$5:B887,B887)=1,COUNT($K$4:K886)+1,""))</x:f>
      </x:c>
      <x:c r="L887" s="85" t="str">
        <x:f>IF(B887="","",IF(COUNTIFS('계정비교'!$A$5:$A$1004,B887,'계정비교'!$H$5:$H$1004,"원인분석 대상")&gt;0,COUNT($L$4:L886)+1,""))</x:f>
      </x:c>
    </x:row>
    <x:row r="888">
      <x:c r="A888" s="73" t="str">
        <x:f>IF('전기원장'!A888="","","전기")</x:f>
      </x:c>
      <x:c r="B888" s="73" t="str">
        <x:f>IF('전기원장'!A888="","",'전기원장'!A888)</x:f>
      </x:c>
      <x:c r="C888" s="73" t="str">
        <x:f>IF('전기원장'!A888="","",'전기원장'!B888)</x:f>
      </x:c>
      <x:c r="D888" s="74" t="str">
        <x:f>IF('전기원장'!A888="","",'전기원장'!C888)</x:f>
      </x:c>
      <x:c r="E888" s="73" t="str">
        <x:f>IF('전기원장'!A888="","",'전기원장'!D888)</x:f>
      </x:c>
      <x:c r="F888" s="73" t="str">
        <x:f>IF('전기원장'!A888="","",'전기원장'!E888)</x:f>
      </x:c>
      <x:c r="G888" s="75" t="str">
        <x:f>IF('전기원장'!A888="","",'전기원장'!H888)</x:f>
      </x:c>
      <x:c r="H888" s="73" t="str">
        <x:f>IF('전기원장'!A888="","",'전기원장'!I888)</x:f>
      </x:c>
      <x:c r="I888" s="73" t="str">
        <x:f>IF('전기원장'!A888="","",'전기원장'!J888)</x:f>
      </x:c>
      <x:c r="J888" s="73" t="str">
        <x:f>IF('전기원장'!A888="","",'전기원장'!K888)</x:f>
      </x:c>
      <x:c r="K888" s="73" t="str">
        <x:f>IF(B888="","",IF(COUNTIF($B$5:B888,B888)=1,COUNT($K$4:K887)+1,""))</x:f>
      </x:c>
      <x:c r="L888" s="85" t="str">
        <x:f>IF(B888="","",IF(COUNTIFS('계정비교'!$A$5:$A$1004,B888,'계정비교'!$H$5:$H$1004,"원인분석 대상")&gt;0,COUNT($L$4:L887)+1,""))</x:f>
      </x:c>
    </x:row>
    <x:row r="889">
      <x:c r="A889" s="73" t="str">
        <x:f>IF('전기원장'!A889="","","전기")</x:f>
      </x:c>
      <x:c r="B889" s="73" t="str">
        <x:f>IF('전기원장'!A889="","",'전기원장'!A889)</x:f>
      </x:c>
      <x:c r="C889" s="73" t="str">
        <x:f>IF('전기원장'!A889="","",'전기원장'!B889)</x:f>
      </x:c>
      <x:c r="D889" s="74" t="str">
        <x:f>IF('전기원장'!A889="","",'전기원장'!C889)</x:f>
      </x:c>
      <x:c r="E889" s="73" t="str">
        <x:f>IF('전기원장'!A889="","",'전기원장'!D889)</x:f>
      </x:c>
      <x:c r="F889" s="73" t="str">
        <x:f>IF('전기원장'!A889="","",'전기원장'!E889)</x:f>
      </x:c>
      <x:c r="G889" s="75" t="str">
        <x:f>IF('전기원장'!A889="","",'전기원장'!H889)</x:f>
      </x:c>
      <x:c r="H889" s="73" t="str">
        <x:f>IF('전기원장'!A889="","",'전기원장'!I889)</x:f>
      </x:c>
      <x:c r="I889" s="73" t="str">
        <x:f>IF('전기원장'!A889="","",'전기원장'!J889)</x:f>
      </x:c>
      <x:c r="J889" s="73" t="str">
        <x:f>IF('전기원장'!A889="","",'전기원장'!K889)</x:f>
      </x:c>
      <x:c r="K889" s="73" t="str">
        <x:f>IF(B889="","",IF(COUNTIF($B$5:B889,B889)=1,COUNT($K$4:K888)+1,""))</x:f>
      </x:c>
      <x:c r="L889" s="85" t="str">
        <x:f>IF(B889="","",IF(COUNTIFS('계정비교'!$A$5:$A$1004,B889,'계정비교'!$H$5:$H$1004,"원인분석 대상")&gt;0,COUNT($L$4:L888)+1,""))</x:f>
      </x:c>
    </x:row>
    <x:row r="890">
      <x:c r="A890" s="73" t="str">
        <x:f>IF('전기원장'!A890="","","전기")</x:f>
      </x:c>
      <x:c r="B890" s="73" t="str">
        <x:f>IF('전기원장'!A890="","",'전기원장'!A890)</x:f>
      </x:c>
      <x:c r="C890" s="73" t="str">
        <x:f>IF('전기원장'!A890="","",'전기원장'!B890)</x:f>
      </x:c>
      <x:c r="D890" s="74" t="str">
        <x:f>IF('전기원장'!A890="","",'전기원장'!C890)</x:f>
      </x:c>
      <x:c r="E890" s="73" t="str">
        <x:f>IF('전기원장'!A890="","",'전기원장'!D890)</x:f>
      </x:c>
      <x:c r="F890" s="73" t="str">
        <x:f>IF('전기원장'!A890="","",'전기원장'!E890)</x:f>
      </x:c>
      <x:c r="G890" s="75" t="str">
        <x:f>IF('전기원장'!A890="","",'전기원장'!H890)</x:f>
      </x:c>
      <x:c r="H890" s="73" t="str">
        <x:f>IF('전기원장'!A890="","",'전기원장'!I890)</x:f>
      </x:c>
      <x:c r="I890" s="73" t="str">
        <x:f>IF('전기원장'!A890="","",'전기원장'!J890)</x:f>
      </x:c>
      <x:c r="J890" s="73" t="str">
        <x:f>IF('전기원장'!A890="","",'전기원장'!K890)</x:f>
      </x:c>
      <x:c r="K890" s="73" t="str">
        <x:f>IF(B890="","",IF(COUNTIF($B$5:B890,B890)=1,COUNT($K$4:K889)+1,""))</x:f>
      </x:c>
      <x:c r="L890" s="85" t="str">
        <x:f>IF(B890="","",IF(COUNTIFS('계정비교'!$A$5:$A$1004,B890,'계정비교'!$H$5:$H$1004,"원인분석 대상")&gt;0,COUNT($L$4:L889)+1,""))</x:f>
      </x:c>
    </x:row>
    <x:row r="891">
      <x:c r="A891" s="73" t="str">
        <x:f>IF('전기원장'!A891="","","전기")</x:f>
      </x:c>
      <x:c r="B891" s="73" t="str">
        <x:f>IF('전기원장'!A891="","",'전기원장'!A891)</x:f>
      </x:c>
      <x:c r="C891" s="73" t="str">
        <x:f>IF('전기원장'!A891="","",'전기원장'!B891)</x:f>
      </x:c>
      <x:c r="D891" s="74" t="str">
        <x:f>IF('전기원장'!A891="","",'전기원장'!C891)</x:f>
      </x:c>
      <x:c r="E891" s="73" t="str">
        <x:f>IF('전기원장'!A891="","",'전기원장'!D891)</x:f>
      </x:c>
      <x:c r="F891" s="73" t="str">
        <x:f>IF('전기원장'!A891="","",'전기원장'!E891)</x:f>
      </x:c>
      <x:c r="G891" s="75" t="str">
        <x:f>IF('전기원장'!A891="","",'전기원장'!H891)</x:f>
      </x:c>
      <x:c r="H891" s="73" t="str">
        <x:f>IF('전기원장'!A891="","",'전기원장'!I891)</x:f>
      </x:c>
      <x:c r="I891" s="73" t="str">
        <x:f>IF('전기원장'!A891="","",'전기원장'!J891)</x:f>
      </x:c>
      <x:c r="J891" s="73" t="str">
        <x:f>IF('전기원장'!A891="","",'전기원장'!K891)</x:f>
      </x:c>
      <x:c r="K891" s="73" t="str">
        <x:f>IF(B891="","",IF(COUNTIF($B$5:B891,B891)=1,COUNT($K$4:K890)+1,""))</x:f>
      </x:c>
      <x:c r="L891" s="85" t="str">
        <x:f>IF(B891="","",IF(COUNTIFS('계정비교'!$A$5:$A$1004,B891,'계정비교'!$H$5:$H$1004,"원인분석 대상")&gt;0,COUNT($L$4:L890)+1,""))</x:f>
      </x:c>
    </x:row>
    <x:row r="892">
      <x:c r="A892" s="73" t="str">
        <x:f>IF('전기원장'!A892="","","전기")</x:f>
      </x:c>
      <x:c r="B892" s="73" t="str">
        <x:f>IF('전기원장'!A892="","",'전기원장'!A892)</x:f>
      </x:c>
      <x:c r="C892" s="73" t="str">
        <x:f>IF('전기원장'!A892="","",'전기원장'!B892)</x:f>
      </x:c>
      <x:c r="D892" s="74" t="str">
        <x:f>IF('전기원장'!A892="","",'전기원장'!C892)</x:f>
      </x:c>
      <x:c r="E892" s="73" t="str">
        <x:f>IF('전기원장'!A892="","",'전기원장'!D892)</x:f>
      </x:c>
      <x:c r="F892" s="73" t="str">
        <x:f>IF('전기원장'!A892="","",'전기원장'!E892)</x:f>
      </x:c>
      <x:c r="G892" s="75" t="str">
        <x:f>IF('전기원장'!A892="","",'전기원장'!H892)</x:f>
      </x:c>
      <x:c r="H892" s="73" t="str">
        <x:f>IF('전기원장'!A892="","",'전기원장'!I892)</x:f>
      </x:c>
      <x:c r="I892" s="73" t="str">
        <x:f>IF('전기원장'!A892="","",'전기원장'!J892)</x:f>
      </x:c>
      <x:c r="J892" s="73" t="str">
        <x:f>IF('전기원장'!A892="","",'전기원장'!K892)</x:f>
      </x:c>
      <x:c r="K892" s="73" t="str">
        <x:f>IF(B892="","",IF(COUNTIF($B$5:B892,B892)=1,COUNT($K$4:K891)+1,""))</x:f>
      </x:c>
      <x:c r="L892" s="85" t="str">
        <x:f>IF(B892="","",IF(COUNTIFS('계정비교'!$A$5:$A$1004,B892,'계정비교'!$H$5:$H$1004,"원인분석 대상")&gt;0,COUNT($L$4:L891)+1,""))</x:f>
      </x:c>
    </x:row>
    <x:row r="893">
      <x:c r="A893" s="73" t="str">
        <x:f>IF('전기원장'!A893="","","전기")</x:f>
      </x:c>
      <x:c r="B893" s="73" t="str">
        <x:f>IF('전기원장'!A893="","",'전기원장'!A893)</x:f>
      </x:c>
      <x:c r="C893" s="73" t="str">
        <x:f>IF('전기원장'!A893="","",'전기원장'!B893)</x:f>
      </x:c>
      <x:c r="D893" s="74" t="str">
        <x:f>IF('전기원장'!A893="","",'전기원장'!C893)</x:f>
      </x:c>
      <x:c r="E893" s="73" t="str">
        <x:f>IF('전기원장'!A893="","",'전기원장'!D893)</x:f>
      </x:c>
      <x:c r="F893" s="73" t="str">
        <x:f>IF('전기원장'!A893="","",'전기원장'!E893)</x:f>
      </x:c>
      <x:c r="G893" s="75" t="str">
        <x:f>IF('전기원장'!A893="","",'전기원장'!H893)</x:f>
      </x:c>
      <x:c r="H893" s="73" t="str">
        <x:f>IF('전기원장'!A893="","",'전기원장'!I893)</x:f>
      </x:c>
      <x:c r="I893" s="73" t="str">
        <x:f>IF('전기원장'!A893="","",'전기원장'!J893)</x:f>
      </x:c>
      <x:c r="J893" s="73" t="str">
        <x:f>IF('전기원장'!A893="","",'전기원장'!K893)</x:f>
      </x:c>
      <x:c r="K893" s="73" t="str">
        <x:f>IF(B893="","",IF(COUNTIF($B$5:B893,B893)=1,COUNT($K$4:K892)+1,""))</x:f>
      </x:c>
      <x:c r="L893" s="85" t="str">
        <x:f>IF(B893="","",IF(COUNTIFS('계정비교'!$A$5:$A$1004,B893,'계정비교'!$H$5:$H$1004,"원인분석 대상")&gt;0,COUNT($L$4:L892)+1,""))</x:f>
      </x:c>
    </x:row>
    <x:row r="894">
      <x:c r="A894" s="73" t="str">
        <x:f>IF('전기원장'!A894="","","전기")</x:f>
      </x:c>
      <x:c r="B894" s="73" t="str">
        <x:f>IF('전기원장'!A894="","",'전기원장'!A894)</x:f>
      </x:c>
      <x:c r="C894" s="73" t="str">
        <x:f>IF('전기원장'!A894="","",'전기원장'!B894)</x:f>
      </x:c>
      <x:c r="D894" s="74" t="str">
        <x:f>IF('전기원장'!A894="","",'전기원장'!C894)</x:f>
      </x:c>
      <x:c r="E894" s="73" t="str">
        <x:f>IF('전기원장'!A894="","",'전기원장'!D894)</x:f>
      </x:c>
      <x:c r="F894" s="73" t="str">
        <x:f>IF('전기원장'!A894="","",'전기원장'!E894)</x:f>
      </x:c>
      <x:c r="G894" s="75" t="str">
        <x:f>IF('전기원장'!A894="","",'전기원장'!H894)</x:f>
      </x:c>
      <x:c r="H894" s="73" t="str">
        <x:f>IF('전기원장'!A894="","",'전기원장'!I894)</x:f>
      </x:c>
      <x:c r="I894" s="73" t="str">
        <x:f>IF('전기원장'!A894="","",'전기원장'!J894)</x:f>
      </x:c>
      <x:c r="J894" s="73" t="str">
        <x:f>IF('전기원장'!A894="","",'전기원장'!K894)</x:f>
      </x:c>
      <x:c r="K894" s="73" t="str">
        <x:f>IF(B894="","",IF(COUNTIF($B$5:B894,B894)=1,COUNT($K$4:K893)+1,""))</x:f>
      </x:c>
      <x:c r="L894" s="85" t="str">
        <x:f>IF(B894="","",IF(COUNTIFS('계정비교'!$A$5:$A$1004,B894,'계정비교'!$H$5:$H$1004,"원인분석 대상")&gt;0,COUNT($L$4:L893)+1,""))</x:f>
      </x:c>
    </x:row>
    <x:row r="895">
      <x:c r="A895" s="73" t="str">
        <x:f>IF('전기원장'!A895="","","전기")</x:f>
      </x:c>
      <x:c r="B895" s="73" t="str">
        <x:f>IF('전기원장'!A895="","",'전기원장'!A895)</x:f>
      </x:c>
      <x:c r="C895" s="73" t="str">
        <x:f>IF('전기원장'!A895="","",'전기원장'!B895)</x:f>
      </x:c>
      <x:c r="D895" s="74" t="str">
        <x:f>IF('전기원장'!A895="","",'전기원장'!C895)</x:f>
      </x:c>
      <x:c r="E895" s="73" t="str">
        <x:f>IF('전기원장'!A895="","",'전기원장'!D895)</x:f>
      </x:c>
      <x:c r="F895" s="73" t="str">
        <x:f>IF('전기원장'!A895="","",'전기원장'!E895)</x:f>
      </x:c>
      <x:c r="G895" s="75" t="str">
        <x:f>IF('전기원장'!A895="","",'전기원장'!H895)</x:f>
      </x:c>
      <x:c r="H895" s="73" t="str">
        <x:f>IF('전기원장'!A895="","",'전기원장'!I895)</x:f>
      </x:c>
      <x:c r="I895" s="73" t="str">
        <x:f>IF('전기원장'!A895="","",'전기원장'!J895)</x:f>
      </x:c>
      <x:c r="J895" s="73" t="str">
        <x:f>IF('전기원장'!A895="","",'전기원장'!K895)</x:f>
      </x:c>
      <x:c r="K895" s="73" t="str">
        <x:f>IF(B895="","",IF(COUNTIF($B$5:B895,B895)=1,COUNT($K$4:K894)+1,""))</x:f>
      </x:c>
      <x:c r="L895" s="85" t="str">
        <x:f>IF(B895="","",IF(COUNTIFS('계정비교'!$A$5:$A$1004,B895,'계정비교'!$H$5:$H$1004,"원인분석 대상")&gt;0,COUNT($L$4:L894)+1,""))</x:f>
      </x:c>
    </x:row>
    <x:row r="896">
      <x:c r="A896" s="73" t="str">
        <x:f>IF('전기원장'!A896="","","전기")</x:f>
      </x:c>
      <x:c r="B896" s="73" t="str">
        <x:f>IF('전기원장'!A896="","",'전기원장'!A896)</x:f>
      </x:c>
      <x:c r="C896" s="73" t="str">
        <x:f>IF('전기원장'!A896="","",'전기원장'!B896)</x:f>
      </x:c>
      <x:c r="D896" s="74" t="str">
        <x:f>IF('전기원장'!A896="","",'전기원장'!C896)</x:f>
      </x:c>
      <x:c r="E896" s="73" t="str">
        <x:f>IF('전기원장'!A896="","",'전기원장'!D896)</x:f>
      </x:c>
      <x:c r="F896" s="73" t="str">
        <x:f>IF('전기원장'!A896="","",'전기원장'!E896)</x:f>
      </x:c>
      <x:c r="G896" s="75" t="str">
        <x:f>IF('전기원장'!A896="","",'전기원장'!H896)</x:f>
      </x:c>
      <x:c r="H896" s="73" t="str">
        <x:f>IF('전기원장'!A896="","",'전기원장'!I896)</x:f>
      </x:c>
      <x:c r="I896" s="73" t="str">
        <x:f>IF('전기원장'!A896="","",'전기원장'!J896)</x:f>
      </x:c>
      <x:c r="J896" s="73" t="str">
        <x:f>IF('전기원장'!A896="","",'전기원장'!K896)</x:f>
      </x:c>
      <x:c r="K896" s="73" t="str">
        <x:f>IF(B896="","",IF(COUNTIF($B$5:B896,B896)=1,COUNT($K$4:K895)+1,""))</x:f>
      </x:c>
      <x:c r="L896" s="85" t="str">
        <x:f>IF(B896="","",IF(COUNTIFS('계정비교'!$A$5:$A$1004,B896,'계정비교'!$H$5:$H$1004,"원인분석 대상")&gt;0,COUNT($L$4:L895)+1,""))</x:f>
      </x:c>
    </x:row>
    <x:row r="897">
      <x:c r="A897" s="73" t="str">
        <x:f>IF('전기원장'!A897="","","전기")</x:f>
      </x:c>
      <x:c r="B897" s="73" t="str">
        <x:f>IF('전기원장'!A897="","",'전기원장'!A897)</x:f>
      </x:c>
      <x:c r="C897" s="73" t="str">
        <x:f>IF('전기원장'!A897="","",'전기원장'!B897)</x:f>
      </x:c>
      <x:c r="D897" s="74" t="str">
        <x:f>IF('전기원장'!A897="","",'전기원장'!C897)</x:f>
      </x:c>
      <x:c r="E897" s="73" t="str">
        <x:f>IF('전기원장'!A897="","",'전기원장'!D897)</x:f>
      </x:c>
      <x:c r="F897" s="73" t="str">
        <x:f>IF('전기원장'!A897="","",'전기원장'!E897)</x:f>
      </x:c>
      <x:c r="G897" s="75" t="str">
        <x:f>IF('전기원장'!A897="","",'전기원장'!H897)</x:f>
      </x:c>
      <x:c r="H897" s="73" t="str">
        <x:f>IF('전기원장'!A897="","",'전기원장'!I897)</x:f>
      </x:c>
      <x:c r="I897" s="73" t="str">
        <x:f>IF('전기원장'!A897="","",'전기원장'!J897)</x:f>
      </x:c>
      <x:c r="J897" s="73" t="str">
        <x:f>IF('전기원장'!A897="","",'전기원장'!K897)</x:f>
      </x:c>
      <x:c r="K897" s="73" t="str">
        <x:f>IF(B897="","",IF(COUNTIF($B$5:B897,B897)=1,COUNT($K$4:K896)+1,""))</x:f>
      </x:c>
      <x:c r="L897" s="85" t="str">
        <x:f>IF(B897="","",IF(COUNTIFS('계정비교'!$A$5:$A$1004,B897,'계정비교'!$H$5:$H$1004,"원인분석 대상")&gt;0,COUNT($L$4:L896)+1,""))</x:f>
      </x:c>
    </x:row>
    <x:row r="898">
      <x:c r="A898" s="73" t="str">
        <x:f>IF('전기원장'!A898="","","전기")</x:f>
      </x:c>
      <x:c r="B898" s="73" t="str">
        <x:f>IF('전기원장'!A898="","",'전기원장'!A898)</x:f>
      </x:c>
      <x:c r="C898" s="73" t="str">
        <x:f>IF('전기원장'!A898="","",'전기원장'!B898)</x:f>
      </x:c>
      <x:c r="D898" s="74" t="str">
        <x:f>IF('전기원장'!A898="","",'전기원장'!C898)</x:f>
      </x:c>
      <x:c r="E898" s="73" t="str">
        <x:f>IF('전기원장'!A898="","",'전기원장'!D898)</x:f>
      </x:c>
      <x:c r="F898" s="73" t="str">
        <x:f>IF('전기원장'!A898="","",'전기원장'!E898)</x:f>
      </x:c>
      <x:c r="G898" s="75" t="str">
        <x:f>IF('전기원장'!A898="","",'전기원장'!H898)</x:f>
      </x:c>
      <x:c r="H898" s="73" t="str">
        <x:f>IF('전기원장'!A898="","",'전기원장'!I898)</x:f>
      </x:c>
      <x:c r="I898" s="73" t="str">
        <x:f>IF('전기원장'!A898="","",'전기원장'!J898)</x:f>
      </x:c>
      <x:c r="J898" s="73" t="str">
        <x:f>IF('전기원장'!A898="","",'전기원장'!K898)</x:f>
      </x:c>
      <x:c r="K898" s="73" t="str">
        <x:f>IF(B898="","",IF(COUNTIF($B$5:B898,B898)=1,COUNT($K$4:K897)+1,""))</x:f>
      </x:c>
      <x:c r="L898" s="85" t="str">
        <x:f>IF(B898="","",IF(COUNTIFS('계정비교'!$A$5:$A$1004,B898,'계정비교'!$H$5:$H$1004,"원인분석 대상")&gt;0,COUNT($L$4:L897)+1,""))</x:f>
      </x:c>
    </x:row>
    <x:row r="899">
      <x:c r="A899" s="73" t="str">
        <x:f>IF('전기원장'!A899="","","전기")</x:f>
      </x:c>
      <x:c r="B899" s="73" t="str">
        <x:f>IF('전기원장'!A899="","",'전기원장'!A899)</x:f>
      </x:c>
      <x:c r="C899" s="73" t="str">
        <x:f>IF('전기원장'!A899="","",'전기원장'!B899)</x:f>
      </x:c>
      <x:c r="D899" s="74" t="str">
        <x:f>IF('전기원장'!A899="","",'전기원장'!C899)</x:f>
      </x:c>
      <x:c r="E899" s="73" t="str">
        <x:f>IF('전기원장'!A899="","",'전기원장'!D899)</x:f>
      </x:c>
      <x:c r="F899" s="73" t="str">
        <x:f>IF('전기원장'!A899="","",'전기원장'!E899)</x:f>
      </x:c>
      <x:c r="G899" s="75" t="str">
        <x:f>IF('전기원장'!A899="","",'전기원장'!H899)</x:f>
      </x:c>
      <x:c r="H899" s="73" t="str">
        <x:f>IF('전기원장'!A899="","",'전기원장'!I899)</x:f>
      </x:c>
      <x:c r="I899" s="73" t="str">
        <x:f>IF('전기원장'!A899="","",'전기원장'!J899)</x:f>
      </x:c>
      <x:c r="J899" s="73" t="str">
        <x:f>IF('전기원장'!A899="","",'전기원장'!K899)</x:f>
      </x:c>
      <x:c r="K899" s="73" t="str">
        <x:f>IF(B899="","",IF(COUNTIF($B$5:B899,B899)=1,COUNT($K$4:K898)+1,""))</x:f>
      </x:c>
      <x:c r="L899" s="85" t="str">
        <x:f>IF(B899="","",IF(COUNTIFS('계정비교'!$A$5:$A$1004,B899,'계정비교'!$H$5:$H$1004,"원인분석 대상")&gt;0,COUNT($L$4:L898)+1,""))</x:f>
      </x:c>
    </x:row>
    <x:row r="900">
      <x:c r="A900" s="73" t="str">
        <x:f>IF('전기원장'!A900="","","전기")</x:f>
      </x:c>
      <x:c r="B900" s="73" t="str">
        <x:f>IF('전기원장'!A900="","",'전기원장'!A900)</x:f>
      </x:c>
      <x:c r="C900" s="73" t="str">
        <x:f>IF('전기원장'!A900="","",'전기원장'!B900)</x:f>
      </x:c>
      <x:c r="D900" s="74" t="str">
        <x:f>IF('전기원장'!A900="","",'전기원장'!C900)</x:f>
      </x:c>
      <x:c r="E900" s="73" t="str">
        <x:f>IF('전기원장'!A900="","",'전기원장'!D900)</x:f>
      </x:c>
      <x:c r="F900" s="73" t="str">
        <x:f>IF('전기원장'!A900="","",'전기원장'!E900)</x:f>
      </x:c>
      <x:c r="G900" s="75" t="str">
        <x:f>IF('전기원장'!A900="","",'전기원장'!H900)</x:f>
      </x:c>
      <x:c r="H900" s="73" t="str">
        <x:f>IF('전기원장'!A900="","",'전기원장'!I900)</x:f>
      </x:c>
      <x:c r="I900" s="73" t="str">
        <x:f>IF('전기원장'!A900="","",'전기원장'!J900)</x:f>
      </x:c>
      <x:c r="J900" s="73" t="str">
        <x:f>IF('전기원장'!A900="","",'전기원장'!K900)</x:f>
      </x:c>
      <x:c r="K900" s="73" t="str">
        <x:f>IF(B900="","",IF(COUNTIF($B$5:B900,B900)=1,COUNT($K$4:K899)+1,""))</x:f>
      </x:c>
      <x:c r="L900" s="85" t="str">
        <x:f>IF(B900="","",IF(COUNTIFS('계정비교'!$A$5:$A$1004,B900,'계정비교'!$H$5:$H$1004,"원인분석 대상")&gt;0,COUNT($L$4:L899)+1,""))</x:f>
      </x:c>
    </x:row>
    <x:row r="901">
      <x:c r="A901" s="73" t="str">
        <x:f>IF('전기원장'!A901="","","전기")</x:f>
      </x:c>
      <x:c r="B901" s="73" t="str">
        <x:f>IF('전기원장'!A901="","",'전기원장'!A901)</x:f>
      </x:c>
      <x:c r="C901" s="73" t="str">
        <x:f>IF('전기원장'!A901="","",'전기원장'!B901)</x:f>
      </x:c>
      <x:c r="D901" s="74" t="str">
        <x:f>IF('전기원장'!A901="","",'전기원장'!C901)</x:f>
      </x:c>
      <x:c r="E901" s="73" t="str">
        <x:f>IF('전기원장'!A901="","",'전기원장'!D901)</x:f>
      </x:c>
      <x:c r="F901" s="73" t="str">
        <x:f>IF('전기원장'!A901="","",'전기원장'!E901)</x:f>
      </x:c>
      <x:c r="G901" s="75" t="str">
        <x:f>IF('전기원장'!A901="","",'전기원장'!H901)</x:f>
      </x:c>
      <x:c r="H901" s="73" t="str">
        <x:f>IF('전기원장'!A901="","",'전기원장'!I901)</x:f>
      </x:c>
      <x:c r="I901" s="73" t="str">
        <x:f>IF('전기원장'!A901="","",'전기원장'!J901)</x:f>
      </x:c>
      <x:c r="J901" s="73" t="str">
        <x:f>IF('전기원장'!A901="","",'전기원장'!K901)</x:f>
      </x:c>
      <x:c r="K901" s="73" t="str">
        <x:f>IF(B901="","",IF(COUNTIF($B$5:B901,B901)=1,COUNT($K$4:K900)+1,""))</x:f>
      </x:c>
      <x:c r="L901" s="85" t="str">
        <x:f>IF(B901="","",IF(COUNTIFS('계정비교'!$A$5:$A$1004,B901,'계정비교'!$H$5:$H$1004,"원인분석 대상")&gt;0,COUNT($L$4:L900)+1,""))</x:f>
      </x:c>
    </x:row>
    <x:row r="902">
      <x:c r="A902" s="73" t="str">
        <x:f>IF('전기원장'!A902="","","전기")</x:f>
      </x:c>
      <x:c r="B902" s="73" t="str">
        <x:f>IF('전기원장'!A902="","",'전기원장'!A902)</x:f>
      </x:c>
      <x:c r="C902" s="73" t="str">
        <x:f>IF('전기원장'!A902="","",'전기원장'!B902)</x:f>
      </x:c>
      <x:c r="D902" s="74" t="str">
        <x:f>IF('전기원장'!A902="","",'전기원장'!C902)</x:f>
      </x:c>
      <x:c r="E902" s="73" t="str">
        <x:f>IF('전기원장'!A902="","",'전기원장'!D902)</x:f>
      </x:c>
      <x:c r="F902" s="73" t="str">
        <x:f>IF('전기원장'!A902="","",'전기원장'!E902)</x:f>
      </x:c>
      <x:c r="G902" s="75" t="str">
        <x:f>IF('전기원장'!A902="","",'전기원장'!H902)</x:f>
      </x:c>
      <x:c r="H902" s="73" t="str">
        <x:f>IF('전기원장'!A902="","",'전기원장'!I902)</x:f>
      </x:c>
      <x:c r="I902" s="73" t="str">
        <x:f>IF('전기원장'!A902="","",'전기원장'!J902)</x:f>
      </x:c>
      <x:c r="J902" s="73" t="str">
        <x:f>IF('전기원장'!A902="","",'전기원장'!K902)</x:f>
      </x:c>
      <x:c r="K902" s="73" t="str">
        <x:f>IF(B902="","",IF(COUNTIF($B$5:B902,B902)=1,COUNT($K$4:K901)+1,""))</x:f>
      </x:c>
      <x:c r="L902" s="85" t="str">
        <x:f>IF(B902="","",IF(COUNTIFS('계정비교'!$A$5:$A$1004,B902,'계정비교'!$H$5:$H$1004,"원인분석 대상")&gt;0,COUNT($L$4:L901)+1,""))</x:f>
      </x:c>
    </x:row>
    <x:row r="903">
      <x:c r="A903" s="73" t="str">
        <x:f>IF('전기원장'!A903="","","전기")</x:f>
      </x:c>
      <x:c r="B903" s="73" t="str">
        <x:f>IF('전기원장'!A903="","",'전기원장'!A903)</x:f>
      </x:c>
      <x:c r="C903" s="73" t="str">
        <x:f>IF('전기원장'!A903="","",'전기원장'!B903)</x:f>
      </x:c>
      <x:c r="D903" s="74" t="str">
        <x:f>IF('전기원장'!A903="","",'전기원장'!C903)</x:f>
      </x:c>
      <x:c r="E903" s="73" t="str">
        <x:f>IF('전기원장'!A903="","",'전기원장'!D903)</x:f>
      </x:c>
      <x:c r="F903" s="73" t="str">
        <x:f>IF('전기원장'!A903="","",'전기원장'!E903)</x:f>
      </x:c>
      <x:c r="G903" s="75" t="str">
        <x:f>IF('전기원장'!A903="","",'전기원장'!H903)</x:f>
      </x:c>
      <x:c r="H903" s="73" t="str">
        <x:f>IF('전기원장'!A903="","",'전기원장'!I903)</x:f>
      </x:c>
      <x:c r="I903" s="73" t="str">
        <x:f>IF('전기원장'!A903="","",'전기원장'!J903)</x:f>
      </x:c>
      <x:c r="J903" s="73" t="str">
        <x:f>IF('전기원장'!A903="","",'전기원장'!K903)</x:f>
      </x:c>
      <x:c r="K903" s="73" t="str">
        <x:f>IF(B903="","",IF(COUNTIF($B$5:B903,B903)=1,COUNT($K$4:K902)+1,""))</x:f>
      </x:c>
      <x:c r="L903" s="85" t="str">
        <x:f>IF(B903="","",IF(COUNTIFS('계정비교'!$A$5:$A$1004,B903,'계정비교'!$H$5:$H$1004,"원인분석 대상")&gt;0,COUNT($L$4:L902)+1,""))</x:f>
      </x:c>
    </x:row>
    <x:row r="904">
      <x:c r="A904" s="73" t="str">
        <x:f>IF('전기원장'!A904="","","전기")</x:f>
      </x:c>
      <x:c r="B904" s="73" t="str">
        <x:f>IF('전기원장'!A904="","",'전기원장'!A904)</x:f>
      </x:c>
      <x:c r="C904" s="73" t="str">
        <x:f>IF('전기원장'!A904="","",'전기원장'!B904)</x:f>
      </x:c>
      <x:c r="D904" s="74" t="str">
        <x:f>IF('전기원장'!A904="","",'전기원장'!C904)</x:f>
      </x:c>
      <x:c r="E904" s="73" t="str">
        <x:f>IF('전기원장'!A904="","",'전기원장'!D904)</x:f>
      </x:c>
      <x:c r="F904" s="73" t="str">
        <x:f>IF('전기원장'!A904="","",'전기원장'!E904)</x:f>
      </x:c>
      <x:c r="G904" s="75" t="str">
        <x:f>IF('전기원장'!A904="","",'전기원장'!H904)</x:f>
      </x:c>
      <x:c r="H904" s="73" t="str">
        <x:f>IF('전기원장'!A904="","",'전기원장'!I904)</x:f>
      </x:c>
      <x:c r="I904" s="73" t="str">
        <x:f>IF('전기원장'!A904="","",'전기원장'!J904)</x:f>
      </x:c>
      <x:c r="J904" s="73" t="str">
        <x:f>IF('전기원장'!A904="","",'전기원장'!K904)</x:f>
      </x:c>
      <x:c r="K904" s="73" t="str">
        <x:f>IF(B904="","",IF(COUNTIF($B$5:B904,B904)=1,COUNT($K$4:K903)+1,""))</x:f>
      </x:c>
      <x:c r="L904" s="85" t="str">
        <x:f>IF(B904="","",IF(COUNTIFS('계정비교'!$A$5:$A$1004,B904,'계정비교'!$H$5:$H$1004,"원인분석 대상")&gt;0,COUNT($L$4:L903)+1,""))</x:f>
      </x:c>
    </x:row>
    <x:row r="905">
      <x:c r="A905" s="73" t="str">
        <x:f>IF('전기원장'!A905="","","전기")</x:f>
      </x:c>
      <x:c r="B905" s="73" t="str">
        <x:f>IF('전기원장'!A905="","",'전기원장'!A905)</x:f>
      </x:c>
      <x:c r="C905" s="73" t="str">
        <x:f>IF('전기원장'!A905="","",'전기원장'!B905)</x:f>
      </x:c>
      <x:c r="D905" s="74" t="str">
        <x:f>IF('전기원장'!A905="","",'전기원장'!C905)</x:f>
      </x:c>
      <x:c r="E905" s="73" t="str">
        <x:f>IF('전기원장'!A905="","",'전기원장'!D905)</x:f>
      </x:c>
      <x:c r="F905" s="73" t="str">
        <x:f>IF('전기원장'!A905="","",'전기원장'!E905)</x:f>
      </x:c>
      <x:c r="G905" s="75" t="str">
        <x:f>IF('전기원장'!A905="","",'전기원장'!H905)</x:f>
      </x:c>
      <x:c r="H905" s="73" t="str">
        <x:f>IF('전기원장'!A905="","",'전기원장'!I905)</x:f>
      </x:c>
      <x:c r="I905" s="73" t="str">
        <x:f>IF('전기원장'!A905="","",'전기원장'!J905)</x:f>
      </x:c>
      <x:c r="J905" s="73" t="str">
        <x:f>IF('전기원장'!A905="","",'전기원장'!K905)</x:f>
      </x:c>
      <x:c r="K905" s="73" t="str">
        <x:f>IF(B905="","",IF(COUNTIF($B$5:B905,B905)=1,COUNT($K$4:K904)+1,""))</x:f>
      </x:c>
      <x:c r="L905" s="85" t="str">
        <x:f>IF(B905="","",IF(COUNTIFS('계정비교'!$A$5:$A$1004,B905,'계정비교'!$H$5:$H$1004,"원인분석 대상")&gt;0,COUNT($L$4:L904)+1,""))</x:f>
      </x:c>
    </x:row>
    <x:row r="906">
      <x:c r="A906" s="73" t="str">
        <x:f>IF('전기원장'!A906="","","전기")</x:f>
      </x:c>
      <x:c r="B906" s="73" t="str">
        <x:f>IF('전기원장'!A906="","",'전기원장'!A906)</x:f>
      </x:c>
      <x:c r="C906" s="73" t="str">
        <x:f>IF('전기원장'!A906="","",'전기원장'!B906)</x:f>
      </x:c>
      <x:c r="D906" s="74" t="str">
        <x:f>IF('전기원장'!A906="","",'전기원장'!C906)</x:f>
      </x:c>
      <x:c r="E906" s="73" t="str">
        <x:f>IF('전기원장'!A906="","",'전기원장'!D906)</x:f>
      </x:c>
      <x:c r="F906" s="73" t="str">
        <x:f>IF('전기원장'!A906="","",'전기원장'!E906)</x:f>
      </x:c>
      <x:c r="G906" s="75" t="str">
        <x:f>IF('전기원장'!A906="","",'전기원장'!H906)</x:f>
      </x:c>
      <x:c r="H906" s="73" t="str">
        <x:f>IF('전기원장'!A906="","",'전기원장'!I906)</x:f>
      </x:c>
      <x:c r="I906" s="73" t="str">
        <x:f>IF('전기원장'!A906="","",'전기원장'!J906)</x:f>
      </x:c>
      <x:c r="J906" s="73" t="str">
        <x:f>IF('전기원장'!A906="","",'전기원장'!K906)</x:f>
      </x:c>
      <x:c r="K906" s="73" t="str">
        <x:f>IF(B906="","",IF(COUNTIF($B$5:B906,B906)=1,COUNT($K$4:K905)+1,""))</x:f>
      </x:c>
      <x:c r="L906" s="85" t="str">
        <x:f>IF(B906="","",IF(COUNTIFS('계정비교'!$A$5:$A$1004,B906,'계정비교'!$H$5:$H$1004,"원인분석 대상")&gt;0,COUNT($L$4:L905)+1,""))</x:f>
      </x:c>
    </x:row>
    <x:row r="907">
      <x:c r="A907" s="73" t="str">
        <x:f>IF('전기원장'!A907="","","전기")</x:f>
      </x:c>
      <x:c r="B907" s="73" t="str">
        <x:f>IF('전기원장'!A907="","",'전기원장'!A907)</x:f>
      </x:c>
      <x:c r="C907" s="73" t="str">
        <x:f>IF('전기원장'!A907="","",'전기원장'!B907)</x:f>
      </x:c>
      <x:c r="D907" s="74" t="str">
        <x:f>IF('전기원장'!A907="","",'전기원장'!C907)</x:f>
      </x:c>
      <x:c r="E907" s="73" t="str">
        <x:f>IF('전기원장'!A907="","",'전기원장'!D907)</x:f>
      </x:c>
      <x:c r="F907" s="73" t="str">
        <x:f>IF('전기원장'!A907="","",'전기원장'!E907)</x:f>
      </x:c>
      <x:c r="G907" s="75" t="str">
        <x:f>IF('전기원장'!A907="","",'전기원장'!H907)</x:f>
      </x:c>
      <x:c r="H907" s="73" t="str">
        <x:f>IF('전기원장'!A907="","",'전기원장'!I907)</x:f>
      </x:c>
      <x:c r="I907" s="73" t="str">
        <x:f>IF('전기원장'!A907="","",'전기원장'!J907)</x:f>
      </x:c>
      <x:c r="J907" s="73" t="str">
        <x:f>IF('전기원장'!A907="","",'전기원장'!K907)</x:f>
      </x:c>
      <x:c r="K907" s="73" t="str">
        <x:f>IF(B907="","",IF(COUNTIF($B$5:B907,B907)=1,COUNT($K$4:K906)+1,""))</x:f>
      </x:c>
      <x:c r="L907" s="85" t="str">
        <x:f>IF(B907="","",IF(COUNTIFS('계정비교'!$A$5:$A$1004,B907,'계정비교'!$H$5:$H$1004,"원인분석 대상")&gt;0,COUNT($L$4:L906)+1,""))</x:f>
      </x:c>
    </x:row>
    <x:row r="908">
      <x:c r="A908" s="73" t="str">
        <x:f>IF('전기원장'!A908="","","전기")</x:f>
      </x:c>
      <x:c r="B908" s="73" t="str">
        <x:f>IF('전기원장'!A908="","",'전기원장'!A908)</x:f>
      </x:c>
      <x:c r="C908" s="73" t="str">
        <x:f>IF('전기원장'!A908="","",'전기원장'!B908)</x:f>
      </x:c>
      <x:c r="D908" s="74" t="str">
        <x:f>IF('전기원장'!A908="","",'전기원장'!C908)</x:f>
      </x:c>
      <x:c r="E908" s="73" t="str">
        <x:f>IF('전기원장'!A908="","",'전기원장'!D908)</x:f>
      </x:c>
      <x:c r="F908" s="73" t="str">
        <x:f>IF('전기원장'!A908="","",'전기원장'!E908)</x:f>
      </x:c>
      <x:c r="G908" s="75" t="str">
        <x:f>IF('전기원장'!A908="","",'전기원장'!H908)</x:f>
      </x:c>
      <x:c r="H908" s="73" t="str">
        <x:f>IF('전기원장'!A908="","",'전기원장'!I908)</x:f>
      </x:c>
      <x:c r="I908" s="73" t="str">
        <x:f>IF('전기원장'!A908="","",'전기원장'!J908)</x:f>
      </x:c>
      <x:c r="J908" s="73" t="str">
        <x:f>IF('전기원장'!A908="","",'전기원장'!K908)</x:f>
      </x:c>
      <x:c r="K908" s="73" t="str">
        <x:f>IF(B908="","",IF(COUNTIF($B$5:B908,B908)=1,COUNT($K$4:K907)+1,""))</x:f>
      </x:c>
      <x:c r="L908" s="85" t="str">
        <x:f>IF(B908="","",IF(COUNTIFS('계정비교'!$A$5:$A$1004,B908,'계정비교'!$H$5:$H$1004,"원인분석 대상")&gt;0,COUNT($L$4:L907)+1,""))</x:f>
      </x:c>
    </x:row>
    <x:row r="909">
      <x:c r="A909" s="73" t="str">
        <x:f>IF('전기원장'!A909="","","전기")</x:f>
      </x:c>
      <x:c r="B909" s="73" t="str">
        <x:f>IF('전기원장'!A909="","",'전기원장'!A909)</x:f>
      </x:c>
      <x:c r="C909" s="73" t="str">
        <x:f>IF('전기원장'!A909="","",'전기원장'!B909)</x:f>
      </x:c>
      <x:c r="D909" s="74" t="str">
        <x:f>IF('전기원장'!A909="","",'전기원장'!C909)</x:f>
      </x:c>
      <x:c r="E909" s="73" t="str">
        <x:f>IF('전기원장'!A909="","",'전기원장'!D909)</x:f>
      </x:c>
      <x:c r="F909" s="73" t="str">
        <x:f>IF('전기원장'!A909="","",'전기원장'!E909)</x:f>
      </x:c>
      <x:c r="G909" s="75" t="str">
        <x:f>IF('전기원장'!A909="","",'전기원장'!H909)</x:f>
      </x:c>
      <x:c r="H909" s="73" t="str">
        <x:f>IF('전기원장'!A909="","",'전기원장'!I909)</x:f>
      </x:c>
      <x:c r="I909" s="73" t="str">
        <x:f>IF('전기원장'!A909="","",'전기원장'!J909)</x:f>
      </x:c>
      <x:c r="J909" s="73" t="str">
        <x:f>IF('전기원장'!A909="","",'전기원장'!K909)</x:f>
      </x:c>
      <x:c r="K909" s="73" t="str">
        <x:f>IF(B909="","",IF(COUNTIF($B$5:B909,B909)=1,COUNT($K$4:K908)+1,""))</x:f>
      </x:c>
      <x:c r="L909" s="85" t="str">
        <x:f>IF(B909="","",IF(COUNTIFS('계정비교'!$A$5:$A$1004,B909,'계정비교'!$H$5:$H$1004,"원인분석 대상")&gt;0,COUNT($L$4:L908)+1,""))</x:f>
      </x:c>
    </x:row>
    <x:row r="910">
      <x:c r="A910" s="73" t="str">
        <x:f>IF('전기원장'!A910="","","전기")</x:f>
      </x:c>
      <x:c r="B910" s="73" t="str">
        <x:f>IF('전기원장'!A910="","",'전기원장'!A910)</x:f>
      </x:c>
      <x:c r="C910" s="73" t="str">
        <x:f>IF('전기원장'!A910="","",'전기원장'!B910)</x:f>
      </x:c>
      <x:c r="D910" s="74" t="str">
        <x:f>IF('전기원장'!A910="","",'전기원장'!C910)</x:f>
      </x:c>
      <x:c r="E910" s="73" t="str">
        <x:f>IF('전기원장'!A910="","",'전기원장'!D910)</x:f>
      </x:c>
      <x:c r="F910" s="73" t="str">
        <x:f>IF('전기원장'!A910="","",'전기원장'!E910)</x:f>
      </x:c>
      <x:c r="G910" s="75" t="str">
        <x:f>IF('전기원장'!A910="","",'전기원장'!H910)</x:f>
      </x:c>
      <x:c r="H910" s="73" t="str">
        <x:f>IF('전기원장'!A910="","",'전기원장'!I910)</x:f>
      </x:c>
      <x:c r="I910" s="73" t="str">
        <x:f>IF('전기원장'!A910="","",'전기원장'!J910)</x:f>
      </x:c>
      <x:c r="J910" s="73" t="str">
        <x:f>IF('전기원장'!A910="","",'전기원장'!K910)</x:f>
      </x:c>
      <x:c r="K910" s="73" t="str">
        <x:f>IF(B910="","",IF(COUNTIF($B$5:B910,B910)=1,COUNT($K$4:K909)+1,""))</x:f>
      </x:c>
      <x:c r="L910" s="85" t="str">
        <x:f>IF(B910="","",IF(COUNTIFS('계정비교'!$A$5:$A$1004,B910,'계정비교'!$H$5:$H$1004,"원인분석 대상")&gt;0,COUNT($L$4:L909)+1,""))</x:f>
      </x:c>
    </x:row>
    <x:row r="911">
      <x:c r="A911" s="73" t="str">
        <x:f>IF('전기원장'!A911="","","전기")</x:f>
      </x:c>
      <x:c r="B911" s="73" t="str">
        <x:f>IF('전기원장'!A911="","",'전기원장'!A911)</x:f>
      </x:c>
      <x:c r="C911" s="73" t="str">
        <x:f>IF('전기원장'!A911="","",'전기원장'!B911)</x:f>
      </x:c>
      <x:c r="D911" s="74" t="str">
        <x:f>IF('전기원장'!A911="","",'전기원장'!C911)</x:f>
      </x:c>
      <x:c r="E911" s="73" t="str">
        <x:f>IF('전기원장'!A911="","",'전기원장'!D911)</x:f>
      </x:c>
      <x:c r="F911" s="73" t="str">
        <x:f>IF('전기원장'!A911="","",'전기원장'!E911)</x:f>
      </x:c>
      <x:c r="G911" s="75" t="str">
        <x:f>IF('전기원장'!A911="","",'전기원장'!H911)</x:f>
      </x:c>
      <x:c r="H911" s="73" t="str">
        <x:f>IF('전기원장'!A911="","",'전기원장'!I911)</x:f>
      </x:c>
      <x:c r="I911" s="73" t="str">
        <x:f>IF('전기원장'!A911="","",'전기원장'!J911)</x:f>
      </x:c>
      <x:c r="J911" s="73" t="str">
        <x:f>IF('전기원장'!A911="","",'전기원장'!K911)</x:f>
      </x:c>
      <x:c r="K911" s="73" t="str">
        <x:f>IF(B911="","",IF(COUNTIF($B$5:B911,B911)=1,COUNT($K$4:K910)+1,""))</x:f>
      </x:c>
      <x:c r="L911" s="85" t="str">
        <x:f>IF(B911="","",IF(COUNTIFS('계정비교'!$A$5:$A$1004,B911,'계정비교'!$H$5:$H$1004,"원인분석 대상")&gt;0,COUNT($L$4:L910)+1,""))</x:f>
      </x:c>
    </x:row>
    <x:row r="912">
      <x:c r="A912" s="73" t="str">
        <x:f>IF('전기원장'!A912="","","전기")</x:f>
      </x:c>
      <x:c r="B912" s="73" t="str">
        <x:f>IF('전기원장'!A912="","",'전기원장'!A912)</x:f>
      </x:c>
      <x:c r="C912" s="73" t="str">
        <x:f>IF('전기원장'!A912="","",'전기원장'!B912)</x:f>
      </x:c>
      <x:c r="D912" s="74" t="str">
        <x:f>IF('전기원장'!A912="","",'전기원장'!C912)</x:f>
      </x:c>
      <x:c r="E912" s="73" t="str">
        <x:f>IF('전기원장'!A912="","",'전기원장'!D912)</x:f>
      </x:c>
      <x:c r="F912" s="73" t="str">
        <x:f>IF('전기원장'!A912="","",'전기원장'!E912)</x:f>
      </x:c>
      <x:c r="G912" s="75" t="str">
        <x:f>IF('전기원장'!A912="","",'전기원장'!H912)</x:f>
      </x:c>
      <x:c r="H912" s="73" t="str">
        <x:f>IF('전기원장'!A912="","",'전기원장'!I912)</x:f>
      </x:c>
      <x:c r="I912" s="73" t="str">
        <x:f>IF('전기원장'!A912="","",'전기원장'!J912)</x:f>
      </x:c>
      <x:c r="J912" s="73" t="str">
        <x:f>IF('전기원장'!A912="","",'전기원장'!K912)</x:f>
      </x:c>
      <x:c r="K912" s="73" t="str">
        <x:f>IF(B912="","",IF(COUNTIF($B$5:B912,B912)=1,COUNT($K$4:K911)+1,""))</x:f>
      </x:c>
      <x:c r="L912" s="85" t="str">
        <x:f>IF(B912="","",IF(COUNTIFS('계정비교'!$A$5:$A$1004,B912,'계정비교'!$H$5:$H$1004,"원인분석 대상")&gt;0,COUNT($L$4:L911)+1,""))</x:f>
      </x:c>
    </x:row>
    <x:row r="913">
      <x:c r="A913" s="73" t="str">
        <x:f>IF('전기원장'!A913="","","전기")</x:f>
      </x:c>
      <x:c r="B913" s="73" t="str">
        <x:f>IF('전기원장'!A913="","",'전기원장'!A913)</x:f>
      </x:c>
      <x:c r="C913" s="73" t="str">
        <x:f>IF('전기원장'!A913="","",'전기원장'!B913)</x:f>
      </x:c>
      <x:c r="D913" s="74" t="str">
        <x:f>IF('전기원장'!A913="","",'전기원장'!C913)</x:f>
      </x:c>
      <x:c r="E913" s="73" t="str">
        <x:f>IF('전기원장'!A913="","",'전기원장'!D913)</x:f>
      </x:c>
      <x:c r="F913" s="73" t="str">
        <x:f>IF('전기원장'!A913="","",'전기원장'!E913)</x:f>
      </x:c>
      <x:c r="G913" s="75" t="str">
        <x:f>IF('전기원장'!A913="","",'전기원장'!H913)</x:f>
      </x:c>
      <x:c r="H913" s="73" t="str">
        <x:f>IF('전기원장'!A913="","",'전기원장'!I913)</x:f>
      </x:c>
      <x:c r="I913" s="73" t="str">
        <x:f>IF('전기원장'!A913="","",'전기원장'!J913)</x:f>
      </x:c>
      <x:c r="J913" s="73" t="str">
        <x:f>IF('전기원장'!A913="","",'전기원장'!K913)</x:f>
      </x:c>
      <x:c r="K913" s="73" t="str">
        <x:f>IF(B913="","",IF(COUNTIF($B$5:B913,B913)=1,COUNT($K$4:K912)+1,""))</x:f>
      </x:c>
      <x:c r="L913" s="85" t="str">
        <x:f>IF(B913="","",IF(COUNTIFS('계정비교'!$A$5:$A$1004,B913,'계정비교'!$H$5:$H$1004,"원인분석 대상")&gt;0,COUNT($L$4:L912)+1,""))</x:f>
      </x:c>
    </x:row>
    <x:row r="914">
      <x:c r="A914" s="73" t="str">
        <x:f>IF('전기원장'!A914="","","전기")</x:f>
      </x:c>
      <x:c r="B914" s="73" t="str">
        <x:f>IF('전기원장'!A914="","",'전기원장'!A914)</x:f>
      </x:c>
      <x:c r="C914" s="73" t="str">
        <x:f>IF('전기원장'!A914="","",'전기원장'!B914)</x:f>
      </x:c>
      <x:c r="D914" s="74" t="str">
        <x:f>IF('전기원장'!A914="","",'전기원장'!C914)</x:f>
      </x:c>
      <x:c r="E914" s="73" t="str">
        <x:f>IF('전기원장'!A914="","",'전기원장'!D914)</x:f>
      </x:c>
      <x:c r="F914" s="73" t="str">
        <x:f>IF('전기원장'!A914="","",'전기원장'!E914)</x:f>
      </x:c>
      <x:c r="G914" s="75" t="str">
        <x:f>IF('전기원장'!A914="","",'전기원장'!H914)</x:f>
      </x:c>
      <x:c r="H914" s="73" t="str">
        <x:f>IF('전기원장'!A914="","",'전기원장'!I914)</x:f>
      </x:c>
      <x:c r="I914" s="73" t="str">
        <x:f>IF('전기원장'!A914="","",'전기원장'!J914)</x:f>
      </x:c>
      <x:c r="J914" s="73" t="str">
        <x:f>IF('전기원장'!A914="","",'전기원장'!K914)</x:f>
      </x:c>
      <x:c r="K914" s="73" t="str">
        <x:f>IF(B914="","",IF(COUNTIF($B$5:B914,B914)=1,COUNT($K$4:K913)+1,""))</x:f>
      </x:c>
      <x:c r="L914" s="85" t="str">
        <x:f>IF(B914="","",IF(COUNTIFS('계정비교'!$A$5:$A$1004,B914,'계정비교'!$H$5:$H$1004,"원인분석 대상")&gt;0,COUNT($L$4:L913)+1,""))</x:f>
      </x:c>
    </x:row>
    <x:row r="915">
      <x:c r="A915" s="73" t="str">
        <x:f>IF('전기원장'!A915="","","전기")</x:f>
      </x:c>
      <x:c r="B915" s="73" t="str">
        <x:f>IF('전기원장'!A915="","",'전기원장'!A915)</x:f>
      </x:c>
      <x:c r="C915" s="73" t="str">
        <x:f>IF('전기원장'!A915="","",'전기원장'!B915)</x:f>
      </x:c>
      <x:c r="D915" s="74" t="str">
        <x:f>IF('전기원장'!A915="","",'전기원장'!C915)</x:f>
      </x:c>
      <x:c r="E915" s="73" t="str">
        <x:f>IF('전기원장'!A915="","",'전기원장'!D915)</x:f>
      </x:c>
      <x:c r="F915" s="73" t="str">
        <x:f>IF('전기원장'!A915="","",'전기원장'!E915)</x:f>
      </x:c>
      <x:c r="G915" s="75" t="str">
        <x:f>IF('전기원장'!A915="","",'전기원장'!H915)</x:f>
      </x:c>
      <x:c r="H915" s="73" t="str">
        <x:f>IF('전기원장'!A915="","",'전기원장'!I915)</x:f>
      </x:c>
      <x:c r="I915" s="73" t="str">
        <x:f>IF('전기원장'!A915="","",'전기원장'!J915)</x:f>
      </x:c>
      <x:c r="J915" s="73" t="str">
        <x:f>IF('전기원장'!A915="","",'전기원장'!K915)</x:f>
      </x:c>
      <x:c r="K915" s="73" t="str">
        <x:f>IF(B915="","",IF(COUNTIF($B$5:B915,B915)=1,COUNT($K$4:K914)+1,""))</x:f>
      </x:c>
      <x:c r="L915" s="85" t="str">
        <x:f>IF(B915="","",IF(COUNTIFS('계정비교'!$A$5:$A$1004,B915,'계정비교'!$H$5:$H$1004,"원인분석 대상")&gt;0,COUNT($L$4:L914)+1,""))</x:f>
      </x:c>
    </x:row>
    <x:row r="916">
      <x:c r="A916" s="73" t="str">
        <x:f>IF('전기원장'!A916="","","전기")</x:f>
      </x:c>
      <x:c r="B916" s="73" t="str">
        <x:f>IF('전기원장'!A916="","",'전기원장'!A916)</x:f>
      </x:c>
      <x:c r="C916" s="73" t="str">
        <x:f>IF('전기원장'!A916="","",'전기원장'!B916)</x:f>
      </x:c>
      <x:c r="D916" s="74" t="str">
        <x:f>IF('전기원장'!A916="","",'전기원장'!C916)</x:f>
      </x:c>
      <x:c r="E916" s="73" t="str">
        <x:f>IF('전기원장'!A916="","",'전기원장'!D916)</x:f>
      </x:c>
      <x:c r="F916" s="73" t="str">
        <x:f>IF('전기원장'!A916="","",'전기원장'!E916)</x:f>
      </x:c>
      <x:c r="G916" s="75" t="str">
        <x:f>IF('전기원장'!A916="","",'전기원장'!H916)</x:f>
      </x:c>
      <x:c r="H916" s="73" t="str">
        <x:f>IF('전기원장'!A916="","",'전기원장'!I916)</x:f>
      </x:c>
      <x:c r="I916" s="73" t="str">
        <x:f>IF('전기원장'!A916="","",'전기원장'!J916)</x:f>
      </x:c>
      <x:c r="J916" s="73" t="str">
        <x:f>IF('전기원장'!A916="","",'전기원장'!K916)</x:f>
      </x:c>
      <x:c r="K916" s="73" t="str">
        <x:f>IF(B916="","",IF(COUNTIF($B$5:B916,B916)=1,COUNT($K$4:K915)+1,""))</x:f>
      </x:c>
      <x:c r="L916" s="85" t="str">
        <x:f>IF(B916="","",IF(COUNTIFS('계정비교'!$A$5:$A$1004,B916,'계정비교'!$H$5:$H$1004,"원인분석 대상")&gt;0,COUNT($L$4:L915)+1,""))</x:f>
      </x:c>
    </x:row>
    <x:row r="917">
      <x:c r="A917" s="73" t="str">
        <x:f>IF('전기원장'!A917="","","전기")</x:f>
      </x:c>
      <x:c r="B917" s="73" t="str">
        <x:f>IF('전기원장'!A917="","",'전기원장'!A917)</x:f>
      </x:c>
      <x:c r="C917" s="73" t="str">
        <x:f>IF('전기원장'!A917="","",'전기원장'!B917)</x:f>
      </x:c>
      <x:c r="D917" s="74" t="str">
        <x:f>IF('전기원장'!A917="","",'전기원장'!C917)</x:f>
      </x:c>
      <x:c r="E917" s="73" t="str">
        <x:f>IF('전기원장'!A917="","",'전기원장'!D917)</x:f>
      </x:c>
      <x:c r="F917" s="73" t="str">
        <x:f>IF('전기원장'!A917="","",'전기원장'!E917)</x:f>
      </x:c>
      <x:c r="G917" s="75" t="str">
        <x:f>IF('전기원장'!A917="","",'전기원장'!H917)</x:f>
      </x:c>
      <x:c r="H917" s="73" t="str">
        <x:f>IF('전기원장'!A917="","",'전기원장'!I917)</x:f>
      </x:c>
      <x:c r="I917" s="73" t="str">
        <x:f>IF('전기원장'!A917="","",'전기원장'!J917)</x:f>
      </x:c>
      <x:c r="J917" s="73" t="str">
        <x:f>IF('전기원장'!A917="","",'전기원장'!K917)</x:f>
      </x:c>
      <x:c r="K917" s="73" t="str">
        <x:f>IF(B917="","",IF(COUNTIF($B$5:B917,B917)=1,COUNT($K$4:K916)+1,""))</x:f>
      </x:c>
      <x:c r="L917" s="85" t="str">
        <x:f>IF(B917="","",IF(COUNTIFS('계정비교'!$A$5:$A$1004,B917,'계정비교'!$H$5:$H$1004,"원인분석 대상")&gt;0,COUNT($L$4:L916)+1,""))</x:f>
      </x:c>
    </x:row>
    <x:row r="918">
      <x:c r="A918" s="73" t="str">
        <x:f>IF('전기원장'!A918="","","전기")</x:f>
      </x:c>
      <x:c r="B918" s="73" t="str">
        <x:f>IF('전기원장'!A918="","",'전기원장'!A918)</x:f>
      </x:c>
      <x:c r="C918" s="73" t="str">
        <x:f>IF('전기원장'!A918="","",'전기원장'!B918)</x:f>
      </x:c>
      <x:c r="D918" s="74" t="str">
        <x:f>IF('전기원장'!A918="","",'전기원장'!C918)</x:f>
      </x:c>
      <x:c r="E918" s="73" t="str">
        <x:f>IF('전기원장'!A918="","",'전기원장'!D918)</x:f>
      </x:c>
      <x:c r="F918" s="73" t="str">
        <x:f>IF('전기원장'!A918="","",'전기원장'!E918)</x:f>
      </x:c>
      <x:c r="G918" s="75" t="str">
        <x:f>IF('전기원장'!A918="","",'전기원장'!H918)</x:f>
      </x:c>
      <x:c r="H918" s="73" t="str">
        <x:f>IF('전기원장'!A918="","",'전기원장'!I918)</x:f>
      </x:c>
      <x:c r="I918" s="73" t="str">
        <x:f>IF('전기원장'!A918="","",'전기원장'!J918)</x:f>
      </x:c>
      <x:c r="J918" s="73" t="str">
        <x:f>IF('전기원장'!A918="","",'전기원장'!K918)</x:f>
      </x:c>
      <x:c r="K918" s="73" t="str">
        <x:f>IF(B918="","",IF(COUNTIF($B$5:B918,B918)=1,COUNT($K$4:K917)+1,""))</x:f>
      </x:c>
      <x:c r="L918" s="85" t="str">
        <x:f>IF(B918="","",IF(COUNTIFS('계정비교'!$A$5:$A$1004,B918,'계정비교'!$H$5:$H$1004,"원인분석 대상")&gt;0,COUNT($L$4:L917)+1,""))</x:f>
      </x:c>
    </x:row>
    <x:row r="919">
      <x:c r="A919" s="73" t="str">
        <x:f>IF('전기원장'!A919="","","전기")</x:f>
      </x:c>
      <x:c r="B919" s="73" t="str">
        <x:f>IF('전기원장'!A919="","",'전기원장'!A919)</x:f>
      </x:c>
      <x:c r="C919" s="73" t="str">
        <x:f>IF('전기원장'!A919="","",'전기원장'!B919)</x:f>
      </x:c>
      <x:c r="D919" s="74" t="str">
        <x:f>IF('전기원장'!A919="","",'전기원장'!C919)</x:f>
      </x:c>
      <x:c r="E919" s="73" t="str">
        <x:f>IF('전기원장'!A919="","",'전기원장'!D919)</x:f>
      </x:c>
      <x:c r="F919" s="73" t="str">
        <x:f>IF('전기원장'!A919="","",'전기원장'!E919)</x:f>
      </x:c>
      <x:c r="G919" s="75" t="str">
        <x:f>IF('전기원장'!A919="","",'전기원장'!H919)</x:f>
      </x:c>
      <x:c r="H919" s="73" t="str">
        <x:f>IF('전기원장'!A919="","",'전기원장'!I919)</x:f>
      </x:c>
      <x:c r="I919" s="73" t="str">
        <x:f>IF('전기원장'!A919="","",'전기원장'!J919)</x:f>
      </x:c>
      <x:c r="J919" s="73" t="str">
        <x:f>IF('전기원장'!A919="","",'전기원장'!K919)</x:f>
      </x:c>
      <x:c r="K919" s="73" t="str">
        <x:f>IF(B919="","",IF(COUNTIF($B$5:B919,B919)=1,COUNT($K$4:K918)+1,""))</x:f>
      </x:c>
      <x:c r="L919" s="85" t="str">
        <x:f>IF(B919="","",IF(COUNTIFS('계정비교'!$A$5:$A$1004,B919,'계정비교'!$H$5:$H$1004,"원인분석 대상")&gt;0,COUNT($L$4:L918)+1,""))</x:f>
      </x:c>
    </x:row>
    <x:row r="920">
      <x:c r="A920" s="73" t="str">
        <x:f>IF('전기원장'!A920="","","전기")</x:f>
      </x:c>
      <x:c r="B920" s="73" t="str">
        <x:f>IF('전기원장'!A920="","",'전기원장'!A920)</x:f>
      </x:c>
      <x:c r="C920" s="73" t="str">
        <x:f>IF('전기원장'!A920="","",'전기원장'!B920)</x:f>
      </x:c>
      <x:c r="D920" s="74" t="str">
        <x:f>IF('전기원장'!A920="","",'전기원장'!C920)</x:f>
      </x:c>
      <x:c r="E920" s="73" t="str">
        <x:f>IF('전기원장'!A920="","",'전기원장'!D920)</x:f>
      </x:c>
      <x:c r="F920" s="73" t="str">
        <x:f>IF('전기원장'!A920="","",'전기원장'!E920)</x:f>
      </x:c>
      <x:c r="G920" s="75" t="str">
        <x:f>IF('전기원장'!A920="","",'전기원장'!H920)</x:f>
      </x:c>
      <x:c r="H920" s="73" t="str">
        <x:f>IF('전기원장'!A920="","",'전기원장'!I920)</x:f>
      </x:c>
      <x:c r="I920" s="73" t="str">
        <x:f>IF('전기원장'!A920="","",'전기원장'!J920)</x:f>
      </x:c>
      <x:c r="J920" s="73" t="str">
        <x:f>IF('전기원장'!A920="","",'전기원장'!K920)</x:f>
      </x:c>
      <x:c r="K920" s="73" t="str">
        <x:f>IF(B920="","",IF(COUNTIF($B$5:B920,B920)=1,COUNT($K$4:K919)+1,""))</x:f>
      </x:c>
      <x:c r="L920" s="85" t="str">
        <x:f>IF(B920="","",IF(COUNTIFS('계정비교'!$A$5:$A$1004,B920,'계정비교'!$H$5:$H$1004,"원인분석 대상")&gt;0,COUNT($L$4:L919)+1,""))</x:f>
      </x:c>
    </x:row>
    <x:row r="921">
      <x:c r="A921" s="73" t="str">
        <x:f>IF('전기원장'!A921="","","전기")</x:f>
      </x:c>
      <x:c r="B921" s="73" t="str">
        <x:f>IF('전기원장'!A921="","",'전기원장'!A921)</x:f>
      </x:c>
      <x:c r="C921" s="73" t="str">
        <x:f>IF('전기원장'!A921="","",'전기원장'!B921)</x:f>
      </x:c>
      <x:c r="D921" s="74" t="str">
        <x:f>IF('전기원장'!A921="","",'전기원장'!C921)</x:f>
      </x:c>
      <x:c r="E921" s="73" t="str">
        <x:f>IF('전기원장'!A921="","",'전기원장'!D921)</x:f>
      </x:c>
      <x:c r="F921" s="73" t="str">
        <x:f>IF('전기원장'!A921="","",'전기원장'!E921)</x:f>
      </x:c>
      <x:c r="G921" s="75" t="str">
        <x:f>IF('전기원장'!A921="","",'전기원장'!H921)</x:f>
      </x:c>
      <x:c r="H921" s="73" t="str">
        <x:f>IF('전기원장'!A921="","",'전기원장'!I921)</x:f>
      </x:c>
      <x:c r="I921" s="73" t="str">
        <x:f>IF('전기원장'!A921="","",'전기원장'!J921)</x:f>
      </x:c>
      <x:c r="J921" s="73" t="str">
        <x:f>IF('전기원장'!A921="","",'전기원장'!K921)</x:f>
      </x:c>
      <x:c r="K921" s="73" t="str">
        <x:f>IF(B921="","",IF(COUNTIF($B$5:B921,B921)=1,COUNT($K$4:K920)+1,""))</x:f>
      </x:c>
      <x:c r="L921" s="85" t="str">
        <x:f>IF(B921="","",IF(COUNTIFS('계정비교'!$A$5:$A$1004,B921,'계정비교'!$H$5:$H$1004,"원인분석 대상")&gt;0,COUNT($L$4:L920)+1,""))</x:f>
      </x:c>
    </x:row>
    <x:row r="922">
      <x:c r="A922" s="73" t="str">
        <x:f>IF('전기원장'!A922="","","전기")</x:f>
      </x:c>
      <x:c r="B922" s="73" t="str">
        <x:f>IF('전기원장'!A922="","",'전기원장'!A922)</x:f>
      </x:c>
      <x:c r="C922" s="73" t="str">
        <x:f>IF('전기원장'!A922="","",'전기원장'!B922)</x:f>
      </x:c>
      <x:c r="D922" s="74" t="str">
        <x:f>IF('전기원장'!A922="","",'전기원장'!C922)</x:f>
      </x:c>
      <x:c r="E922" s="73" t="str">
        <x:f>IF('전기원장'!A922="","",'전기원장'!D922)</x:f>
      </x:c>
      <x:c r="F922" s="73" t="str">
        <x:f>IF('전기원장'!A922="","",'전기원장'!E922)</x:f>
      </x:c>
      <x:c r="G922" s="75" t="str">
        <x:f>IF('전기원장'!A922="","",'전기원장'!H922)</x:f>
      </x:c>
      <x:c r="H922" s="73" t="str">
        <x:f>IF('전기원장'!A922="","",'전기원장'!I922)</x:f>
      </x:c>
      <x:c r="I922" s="73" t="str">
        <x:f>IF('전기원장'!A922="","",'전기원장'!J922)</x:f>
      </x:c>
      <x:c r="J922" s="73" t="str">
        <x:f>IF('전기원장'!A922="","",'전기원장'!K922)</x:f>
      </x:c>
      <x:c r="K922" s="73" t="str">
        <x:f>IF(B922="","",IF(COUNTIF($B$5:B922,B922)=1,COUNT($K$4:K921)+1,""))</x:f>
      </x:c>
      <x:c r="L922" s="85" t="str">
        <x:f>IF(B922="","",IF(COUNTIFS('계정비교'!$A$5:$A$1004,B922,'계정비교'!$H$5:$H$1004,"원인분석 대상")&gt;0,COUNT($L$4:L921)+1,""))</x:f>
      </x:c>
    </x:row>
    <x:row r="923">
      <x:c r="A923" s="73" t="str">
        <x:f>IF('전기원장'!A923="","","전기")</x:f>
      </x:c>
      <x:c r="B923" s="73" t="str">
        <x:f>IF('전기원장'!A923="","",'전기원장'!A923)</x:f>
      </x:c>
      <x:c r="C923" s="73" t="str">
        <x:f>IF('전기원장'!A923="","",'전기원장'!B923)</x:f>
      </x:c>
      <x:c r="D923" s="74" t="str">
        <x:f>IF('전기원장'!A923="","",'전기원장'!C923)</x:f>
      </x:c>
      <x:c r="E923" s="73" t="str">
        <x:f>IF('전기원장'!A923="","",'전기원장'!D923)</x:f>
      </x:c>
      <x:c r="F923" s="73" t="str">
        <x:f>IF('전기원장'!A923="","",'전기원장'!E923)</x:f>
      </x:c>
      <x:c r="G923" s="75" t="str">
        <x:f>IF('전기원장'!A923="","",'전기원장'!H923)</x:f>
      </x:c>
      <x:c r="H923" s="73" t="str">
        <x:f>IF('전기원장'!A923="","",'전기원장'!I923)</x:f>
      </x:c>
      <x:c r="I923" s="73" t="str">
        <x:f>IF('전기원장'!A923="","",'전기원장'!J923)</x:f>
      </x:c>
      <x:c r="J923" s="73" t="str">
        <x:f>IF('전기원장'!A923="","",'전기원장'!K923)</x:f>
      </x:c>
      <x:c r="K923" s="73" t="str">
        <x:f>IF(B923="","",IF(COUNTIF($B$5:B923,B923)=1,COUNT($K$4:K922)+1,""))</x:f>
      </x:c>
      <x:c r="L923" s="85" t="str">
        <x:f>IF(B923="","",IF(COUNTIFS('계정비교'!$A$5:$A$1004,B923,'계정비교'!$H$5:$H$1004,"원인분석 대상")&gt;0,COUNT($L$4:L922)+1,""))</x:f>
      </x:c>
    </x:row>
    <x:row r="924">
      <x:c r="A924" s="73" t="str">
        <x:f>IF('전기원장'!A924="","","전기")</x:f>
      </x:c>
      <x:c r="B924" s="73" t="str">
        <x:f>IF('전기원장'!A924="","",'전기원장'!A924)</x:f>
      </x:c>
      <x:c r="C924" s="73" t="str">
        <x:f>IF('전기원장'!A924="","",'전기원장'!B924)</x:f>
      </x:c>
      <x:c r="D924" s="74" t="str">
        <x:f>IF('전기원장'!A924="","",'전기원장'!C924)</x:f>
      </x:c>
      <x:c r="E924" s="73" t="str">
        <x:f>IF('전기원장'!A924="","",'전기원장'!D924)</x:f>
      </x:c>
      <x:c r="F924" s="73" t="str">
        <x:f>IF('전기원장'!A924="","",'전기원장'!E924)</x:f>
      </x:c>
      <x:c r="G924" s="75" t="str">
        <x:f>IF('전기원장'!A924="","",'전기원장'!H924)</x:f>
      </x:c>
      <x:c r="H924" s="73" t="str">
        <x:f>IF('전기원장'!A924="","",'전기원장'!I924)</x:f>
      </x:c>
      <x:c r="I924" s="73" t="str">
        <x:f>IF('전기원장'!A924="","",'전기원장'!J924)</x:f>
      </x:c>
      <x:c r="J924" s="73" t="str">
        <x:f>IF('전기원장'!A924="","",'전기원장'!K924)</x:f>
      </x:c>
      <x:c r="K924" s="73" t="str">
        <x:f>IF(B924="","",IF(COUNTIF($B$5:B924,B924)=1,COUNT($K$4:K923)+1,""))</x:f>
      </x:c>
      <x:c r="L924" s="85" t="str">
        <x:f>IF(B924="","",IF(COUNTIFS('계정비교'!$A$5:$A$1004,B924,'계정비교'!$H$5:$H$1004,"원인분석 대상")&gt;0,COUNT($L$4:L923)+1,""))</x:f>
      </x:c>
    </x:row>
    <x:row r="925">
      <x:c r="A925" s="73" t="str">
        <x:f>IF('전기원장'!A925="","","전기")</x:f>
      </x:c>
      <x:c r="B925" s="73" t="str">
        <x:f>IF('전기원장'!A925="","",'전기원장'!A925)</x:f>
      </x:c>
      <x:c r="C925" s="73" t="str">
        <x:f>IF('전기원장'!A925="","",'전기원장'!B925)</x:f>
      </x:c>
      <x:c r="D925" s="74" t="str">
        <x:f>IF('전기원장'!A925="","",'전기원장'!C925)</x:f>
      </x:c>
      <x:c r="E925" s="73" t="str">
        <x:f>IF('전기원장'!A925="","",'전기원장'!D925)</x:f>
      </x:c>
      <x:c r="F925" s="73" t="str">
        <x:f>IF('전기원장'!A925="","",'전기원장'!E925)</x:f>
      </x:c>
      <x:c r="G925" s="75" t="str">
        <x:f>IF('전기원장'!A925="","",'전기원장'!H925)</x:f>
      </x:c>
      <x:c r="H925" s="73" t="str">
        <x:f>IF('전기원장'!A925="","",'전기원장'!I925)</x:f>
      </x:c>
      <x:c r="I925" s="73" t="str">
        <x:f>IF('전기원장'!A925="","",'전기원장'!J925)</x:f>
      </x:c>
      <x:c r="J925" s="73" t="str">
        <x:f>IF('전기원장'!A925="","",'전기원장'!K925)</x:f>
      </x:c>
      <x:c r="K925" s="73" t="str">
        <x:f>IF(B925="","",IF(COUNTIF($B$5:B925,B925)=1,COUNT($K$4:K924)+1,""))</x:f>
      </x:c>
      <x:c r="L925" s="85" t="str">
        <x:f>IF(B925="","",IF(COUNTIFS('계정비교'!$A$5:$A$1004,B925,'계정비교'!$H$5:$H$1004,"원인분석 대상")&gt;0,COUNT($L$4:L924)+1,""))</x:f>
      </x:c>
    </x:row>
    <x:row r="926">
      <x:c r="A926" s="73" t="str">
        <x:f>IF('전기원장'!A926="","","전기")</x:f>
      </x:c>
      <x:c r="B926" s="73" t="str">
        <x:f>IF('전기원장'!A926="","",'전기원장'!A926)</x:f>
      </x:c>
      <x:c r="C926" s="73" t="str">
        <x:f>IF('전기원장'!A926="","",'전기원장'!B926)</x:f>
      </x:c>
      <x:c r="D926" s="74" t="str">
        <x:f>IF('전기원장'!A926="","",'전기원장'!C926)</x:f>
      </x:c>
      <x:c r="E926" s="73" t="str">
        <x:f>IF('전기원장'!A926="","",'전기원장'!D926)</x:f>
      </x:c>
      <x:c r="F926" s="73" t="str">
        <x:f>IF('전기원장'!A926="","",'전기원장'!E926)</x:f>
      </x:c>
      <x:c r="G926" s="75" t="str">
        <x:f>IF('전기원장'!A926="","",'전기원장'!H926)</x:f>
      </x:c>
      <x:c r="H926" s="73" t="str">
        <x:f>IF('전기원장'!A926="","",'전기원장'!I926)</x:f>
      </x:c>
      <x:c r="I926" s="73" t="str">
        <x:f>IF('전기원장'!A926="","",'전기원장'!J926)</x:f>
      </x:c>
      <x:c r="J926" s="73" t="str">
        <x:f>IF('전기원장'!A926="","",'전기원장'!K926)</x:f>
      </x:c>
      <x:c r="K926" s="73" t="str">
        <x:f>IF(B926="","",IF(COUNTIF($B$5:B926,B926)=1,COUNT($K$4:K925)+1,""))</x:f>
      </x:c>
      <x:c r="L926" s="85" t="str">
        <x:f>IF(B926="","",IF(COUNTIFS('계정비교'!$A$5:$A$1004,B926,'계정비교'!$H$5:$H$1004,"원인분석 대상")&gt;0,COUNT($L$4:L925)+1,""))</x:f>
      </x:c>
    </x:row>
    <x:row r="927">
      <x:c r="A927" s="73" t="str">
        <x:f>IF('전기원장'!A927="","","전기")</x:f>
      </x:c>
      <x:c r="B927" s="73" t="str">
        <x:f>IF('전기원장'!A927="","",'전기원장'!A927)</x:f>
      </x:c>
      <x:c r="C927" s="73" t="str">
        <x:f>IF('전기원장'!A927="","",'전기원장'!B927)</x:f>
      </x:c>
      <x:c r="D927" s="74" t="str">
        <x:f>IF('전기원장'!A927="","",'전기원장'!C927)</x:f>
      </x:c>
      <x:c r="E927" s="73" t="str">
        <x:f>IF('전기원장'!A927="","",'전기원장'!D927)</x:f>
      </x:c>
      <x:c r="F927" s="73" t="str">
        <x:f>IF('전기원장'!A927="","",'전기원장'!E927)</x:f>
      </x:c>
      <x:c r="G927" s="75" t="str">
        <x:f>IF('전기원장'!A927="","",'전기원장'!H927)</x:f>
      </x:c>
      <x:c r="H927" s="73" t="str">
        <x:f>IF('전기원장'!A927="","",'전기원장'!I927)</x:f>
      </x:c>
      <x:c r="I927" s="73" t="str">
        <x:f>IF('전기원장'!A927="","",'전기원장'!J927)</x:f>
      </x:c>
      <x:c r="J927" s="73" t="str">
        <x:f>IF('전기원장'!A927="","",'전기원장'!K927)</x:f>
      </x:c>
      <x:c r="K927" s="73" t="str">
        <x:f>IF(B927="","",IF(COUNTIF($B$5:B927,B927)=1,COUNT($K$4:K926)+1,""))</x:f>
      </x:c>
      <x:c r="L927" s="85" t="str">
        <x:f>IF(B927="","",IF(COUNTIFS('계정비교'!$A$5:$A$1004,B927,'계정비교'!$H$5:$H$1004,"원인분석 대상")&gt;0,COUNT($L$4:L926)+1,""))</x:f>
      </x:c>
    </x:row>
    <x:row r="928">
      <x:c r="A928" s="73" t="str">
        <x:f>IF('전기원장'!A928="","","전기")</x:f>
      </x:c>
      <x:c r="B928" s="73" t="str">
        <x:f>IF('전기원장'!A928="","",'전기원장'!A928)</x:f>
      </x:c>
      <x:c r="C928" s="73" t="str">
        <x:f>IF('전기원장'!A928="","",'전기원장'!B928)</x:f>
      </x:c>
      <x:c r="D928" s="74" t="str">
        <x:f>IF('전기원장'!A928="","",'전기원장'!C928)</x:f>
      </x:c>
      <x:c r="E928" s="73" t="str">
        <x:f>IF('전기원장'!A928="","",'전기원장'!D928)</x:f>
      </x:c>
      <x:c r="F928" s="73" t="str">
        <x:f>IF('전기원장'!A928="","",'전기원장'!E928)</x:f>
      </x:c>
      <x:c r="G928" s="75" t="str">
        <x:f>IF('전기원장'!A928="","",'전기원장'!H928)</x:f>
      </x:c>
      <x:c r="H928" s="73" t="str">
        <x:f>IF('전기원장'!A928="","",'전기원장'!I928)</x:f>
      </x:c>
      <x:c r="I928" s="73" t="str">
        <x:f>IF('전기원장'!A928="","",'전기원장'!J928)</x:f>
      </x:c>
      <x:c r="J928" s="73" t="str">
        <x:f>IF('전기원장'!A928="","",'전기원장'!K928)</x:f>
      </x:c>
      <x:c r="K928" s="73" t="str">
        <x:f>IF(B928="","",IF(COUNTIF($B$5:B928,B928)=1,COUNT($K$4:K927)+1,""))</x:f>
      </x:c>
      <x:c r="L928" s="85" t="str">
        <x:f>IF(B928="","",IF(COUNTIFS('계정비교'!$A$5:$A$1004,B928,'계정비교'!$H$5:$H$1004,"원인분석 대상")&gt;0,COUNT($L$4:L927)+1,""))</x:f>
      </x:c>
    </x:row>
    <x:row r="929">
      <x:c r="A929" s="73" t="str">
        <x:f>IF('전기원장'!A929="","","전기")</x:f>
      </x:c>
      <x:c r="B929" s="73" t="str">
        <x:f>IF('전기원장'!A929="","",'전기원장'!A929)</x:f>
      </x:c>
      <x:c r="C929" s="73" t="str">
        <x:f>IF('전기원장'!A929="","",'전기원장'!B929)</x:f>
      </x:c>
      <x:c r="D929" s="74" t="str">
        <x:f>IF('전기원장'!A929="","",'전기원장'!C929)</x:f>
      </x:c>
      <x:c r="E929" s="73" t="str">
        <x:f>IF('전기원장'!A929="","",'전기원장'!D929)</x:f>
      </x:c>
      <x:c r="F929" s="73" t="str">
        <x:f>IF('전기원장'!A929="","",'전기원장'!E929)</x:f>
      </x:c>
      <x:c r="G929" s="75" t="str">
        <x:f>IF('전기원장'!A929="","",'전기원장'!H929)</x:f>
      </x:c>
      <x:c r="H929" s="73" t="str">
        <x:f>IF('전기원장'!A929="","",'전기원장'!I929)</x:f>
      </x:c>
      <x:c r="I929" s="73" t="str">
        <x:f>IF('전기원장'!A929="","",'전기원장'!J929)</x:f>
      </x:c>
      <x:c r="J929" s="73" t="str">
        <x:f>IF('전기원장'!A929="","",'전기원장'!K929)</x:f>
      </x:c>
      <x:c r="K929" s="73" t="str">
        <x:f>IF(B929="","",IF(COUNTIF($B$5:B929,B929)=1,COUNT($K$4:K928)+1,""))</x:f>
      </x:c>
      <x:c r="L929" s="85" t="str">
        <x:f>IF(B929="","",IF(COUNTIFS('계정비교'!$A$5:$A$1004,B929,'계정비교'!$H$5:$H$1004,"원인분석 대상")&gt;0,COUNT($L$4:L928)+1,""))</x:f>
      </x:c>
    </x:row>
    <x:row r="930">
      <x:c r="A930" s="73" t="str">
        <x:f>IF('전기원장'!A930="","","전기")</x:f>
      </x:c>
      <x:c r="B930" s="73" t="str">
        <x:f>IF('전기원장'!A930="","",'전기원장'!A930)</x:f>
      </x:c>
      <x:c r="C930" s="73" t="str">
        <x:f>IF('전기원장'!A930="","",'전기원장'!B930)</x:f>
      </x:c>
      <x:c r="D930" s="74" t="str">
        <x:f>IF('전기원장'!A930="","",'전기원장'!C930)</x:f>
      </x:c>
      <x:c r="E930" s="73" t="str">
        <x:f>IF('전기원장'!A930="","",'전기원장'!D930)</x:f>
      </x:c>
      <x:c r="F930" s="73" t="str">
        <x:f>IF('전기원장'!A930="","",'전기원장'!E930)</x:f>
      </x:c>
      <x:c r="G930" s="75" t="str">
        <x:f>IF('전기원장'!A930="","",'전기원장'!H930)</x:f>
      </x:c>
      <x:c r="H930" s="73" t="str">
        <x:f>IF('전기원장'!A930="","",'전기원장'!I930)</x:f>
      </x:c>
      <x:c r="I930" s="73" t="str">
        <x:f>IF('전기원장'!A930="","",'전기원장'!J930)</x:f>
      </x:c>
      <x:c r="J930" s="73" t="str">
        <x:f>IF('전기원장'!A930="","",'전기원장'!K930)</x:f>
      </x:c>
      <x:c r="K930" s="73" t="str">
        <x:f>IF(B930="","",IF(COUNTIF($B$5:B930,B930)=1,COUNT($K$4:K929)+1,""))</x:f>
      </x:c>
      <x:c r="L930" s="85" t="str">
        <x:f>IF(B930="","",IF(COUNTIFS('계정비교'!$A$5:$A$1004,B930,'계정비교'!$H$5:$H$1004,"원인분석 대상")&gt;0,COUNT($L$4:L929)+1,""))</x:f>
      </x:c>
    </x:row>
    <x:row r="931">
      <x:c r="A931" s="73" t="str">
        <x:f>IF('전기원장'!A931="","","전기")</x:f>
      </x:c>
      <x:c r="B931" s="73" t="str">
        <x:f>IF('전기원장'!A931="","",'전기원장'!A931)</x:f>
      </x:c>
      <x:c r="C931" s="73" t="str">
        <x:f>IF('전기원장'!A931="","",'전기원장'!B931)</x:f>
      </x:c>
      <x:c r="D931" s="74" t="str">
        <x:f>IF('전기원장'!A931="","",'전기원장'!C931)</x:f>
      </x:c>
      <x:c r="E931" s="73" t="str">
        <x:f>IF('전기원장'!A931="","",'전기원장'!D931)</x:f>
      </x:c>
      <x:c r="F931" s="73" t="str">
        <x:f>IF('전기원장'!A931="","",'전기원장'!E931)</x:f>
      </x:c>
      <x:c r="G931" s="75" t="str">
        <x:f>IF('전기원장'!A931="","",'전기원장'!H931)</x:f>
      </x:c>
      <x:c r="H931" s="73" t="str">
        <x:f>IF('전기원장'!A931="","",'전기원장'!I931)</x:f>
      </x:c>
      <x:c r="I931" s="73" t="str">
        <x:f>IF('전기원장'!A931="","",'전기원장'!J931)</x:f>
      </x:c>
      <x:c r="J931" s="73" t="str">
        <x:f>IF('전기원장'!A931="","",'전기원장'!K931)</x:f>
      </x:c>
      <x:c r="K931" s="73" t="str">
        <x:f>IF(B931="","",IF(COUNTIF($B$5:B931,B931)=1,COUNT($K$4:K930)+1,""))</x:f>
      </x:c>
      <x:c r="L931" s="85" t="str">
        <x:f>IF(B931="","",IF(COUNTIFS('계정비교'!$A$5:$A$1004,B931,'계정비교'!$H$5:$H$1004,"원인분석 대상")&gt;0,COUNT($L$4:L930)+1,""))</x:f>
      </x:c>
    </x:row>
    <x:row r="932">
      <x:c r="A932" s="73" t="str">
        <x:f>IF('전기원장'!A932="","","전기")</x:f>
      </x:c>
      <x:c r="B932" s="73" t="str">
        <x:f>IF('전기원장'!A932="","",'전기원장'!A932)</x:f>
      </x:c>
      <x:c r="C932" s="73" t="str">
        <x:f>IF('전기원장'!A932="","",'전기원장'!B932)</x:f>
      </x:c>
      <x:c r="D932" s="74" t="str">
        <x:f>IF('전기원장'!A932="","",'전기원장'!C932)</x:f>
      </x:c>
      <x:c r="E932" s="73" t="str">
        <x:f>IF('전기원장'!A932="","",'전기원장'!D932)</x:f>
      </x:c>
      <x:c r="F932" s="73" t="str">
        <x:f>IF('전기원장'!A932="","",'전기원장'!E932)</x:f>
      </x:c>
      <x:c r="G932" s="75" t="str">
        <x:f>IF('전기원장'!A932="","",'전기원장'!H932)</x:f>
      </x:c>
      <x:c r="H932" s="73" t="str">
        <x:f>IF('전기원장'!A932="","",'전기원장'!I932)</x:f>
      </x:c>
      <x:c r="I932" s="73" t="str">
        <x:f>IF('전기원장'!A932="","",'전기원장'!J932)</x:f>
      </x:c>
      <x:c r="J932" s="73" t="str">
        <x:f>IF('전기원장'!A932="","",'전기원장'!K932)</x:f>
      </x:c>
      <x:c r="K932" s="73" t="str">
        <x:f>IF(B932="","",IF(COUNTIF($B$5:B932,B932)=1,COUNT($K$4:K931)+1,""))</x:f>
      </x:c>
      <x:c r="L932" s="85" t="str">
        <x:f>IF(B932="","",IF(COUNTIFS('계정비교'!$A$5:$A$1004,B932,'계정비교'!$H$5:$H$1004,"원인분석 대상")&gt;0,COUNT($L$4:L931)+1,""))</x:f>
      </x:c>
    </x:row>
    <x:row r="933">
      <x:c r="A933" s="73" t="str">
        <x:f>IF('전기원장'!A933="","","전기")</x:f>
      </x:c>
      <x:c r="B933" s="73" t="str">
        <x:f>IF('전기원장'!A933="","",'전기원장'!A933)</x:f>
      </x:c>
      <x:c r="C933" s="73" t="str">
        <x:f>IF('전기원장'!A933="","",'전기원장'!B933)</x:f>
      </x:c>
      <x:c r="D933" s="74" t="str">
        <x:f>IF('전기원장'!A933="","",'전기원장'!C933)</x:f>
      </x:c>
      <x:c r="E933" s="73" t="str">
        <x:f>IF('전기원장'!A933="","",'전기원장'!D933)</x:f>
      </x:c>
      <x:c r="F933" s="73" t="str">
        <x:f>IF('전기원장'!A933="","",'전기원장'!E933)</x:f>
      </x:c>
      <x:c r="G933" s="75" t="str">
        <x:f>IF('전기원장'!A933="","",'전기원장'!H933)</x:f>
      </x:c>
      <x:c r="H933" s="73" t="str">
        <x:f>IF('전기원장'!A933="","",'전기원장'!I933)</x:f>
      </x:c>
      <x:c r="I933" s="73" t="str">
        <x:f>IF('전기원장'!A933="","",'전기원장'!J933)</x:f>
      </x:c>
      <x:c r="J933" s="73" t="str">
        <x:f>IF('전기원장'!A933="","",'전기원장'!K933)</x:f>
      </x:c>
      <x:c r="K933" s="73" t="str">
        <x:f>IF(B933="","",IF(COUNTIF($B$5:B933,B933)=1,COUNT($K$4:K932)+1,""))</x:f>
      </x:c>
      <x:c r="L933" s="85" t="str">
        <x:f>IF(B933="","",IF(COUNTIFS('계정비교'!$A$5:$A$1004,B933,'계정비교'!$H$5:$H$1004,"원인분석 대상")&gt;0,COUNT($L$4:L932)+1,""))</x:f>
      </x:c>
    </x:row>
    <x:row r="934">
      <x:c r="A934" s="73" t="str">
        <x:f>IF('전기원장'!A934="","","전기")</x:f>
      </x:c>
      <x:c r="B934" s="73" t="str">
        <x:f>IF('전기원장'!A934="","",'전기원장'!A934)</x:f>
      </x:c>
      <x:c r="C934" s="73" t="str">
        <x:f>IF('전기원장'!A934="","",'전기원장'!B934)</x:f>
      </x:c>
      <x:c r="D934" s="74" t="str">
        <x:f>IF('전기원장'!A934="","",'전기원장'!C934)</x:f>
      </x:c>
      <x:c r="E934" s="73" t="str">
        <x:f>IF('전기원장'!A934="","",'전기원장'!D934)</x:f>
      </x:c>
      <x:c r="F934" s="73" t="str">
        <x:f>IF('전기원장'!A934="","",'전기원장'!E934)</x:f>
      </x:c>
      <x:c r="G934" s="75" t="str">
        <x:f>IF('전기원장'!A934="","",'전기원장'!H934)</x:f>
      </x:c>
      <x:c r="H934" s="73" t="str">
        <x:f>IF('전기원장'!A934="","",'전기원장'!I934)</x:f>
      </x:c>
      <x:c r="I934" s="73" t="str">
        <x:f>IF('전기원장'!A934="","",'전기원장'!J934)</x:f>
      </x:c>
      <x:c r="J934" s="73" t="str">
        <x:f>IF('전기원장'!A934="","",'전기원장'!K934)</x:f>
      </x:c>
      <x:c r="K934" s="73" t="str">
        <x:f>IF(B934="","",IF(COUNTIF($B$5:B934,B934)=1,COUNT($K$4:K933)+1,""))</x:f>
      </x:c>
      <x:c r="L934" s="85" t="str">
        <x:f>IF(B934="","",IF(COUNTIFS('계정비교'!$A$5:$A$1004,B934,'계정비교'!$H$5:$H$1004,"원인분석 대상")&gt;0,COUNT($L$4:L933)+1,""))</x:f>
      </x:c>
    </x:row>
    <x:row r="935">
      <x:c r="A935" s="73" t="str">
        <x:f>IF('전기원장'!A935="","","전기")</x:f>
      </x:c>
      <x:c r="B935" s="73" t="str">
        <x:f>IF('전기원장'!A935="","",'전기원장'!A935)</x:f>
      </x:c>
      <x:c r="C935" s="73" t="str">
        <x:f>IF('전기원장'!A935="","",'전기원장'!B935)</x:f>
      </x:c>
      <x:c r="D935" s="74" t="str">
        <x:f>IF('전기원장'!A935="","",'전기원장'!C935)</x:f>
      </x:c>
      <x:c r="E935" s="73" t="str">
        <x:f>IF('전기원장'!A935="","",'전기원장'!D935)</x:f>
      </x:c>
      <x:c r="F935" s="73" t="str">
        <x:f>IF('전기원장'!A935="","",'전기원장'!E935)</x:f>
      </x:c>
      <x:c r="G935" s="75" t="str">
        <x:f>IF('전기원장'!A935="","",'전기원장'!H935)</x:f>
      </x:c>
      <x:c r="H935" s="73" t="str">
        <x:f>IF('전기원장'!A935="","",'전기원장'!I935)</x:f>
      </x:c>
      <x:c r="I935" s="73" t="str">
        <x:f>IF('전기원장'!A935="","",'전기원장'!J935)</x:f>
      </x:c>
      <x:c r="J935" s="73" t="str">
        <x:f>IF('전기원장'!A935="","",'전기원장'!K935)</x:f>
      </x:c>
      <x:c r="K935" s="73" t="str">
        <x:f>IF(B935="","",IF(COUNTIF($B$5:B935,B935)=1,COUNT($K$4:K934)+1,""))</x:f>
      </x:c>
      <x:c r="L935" s="85" t="str">
        <x:f>IF(B935="","",IF(COUNTIFS('계정비교'!$A$5:$A$1004,B935,'계정비교'!$H$5:$H$1004,"원인분석 대상")&gt;0,COUNT($L$4:L934)+1,""))</x:f>
      </x:c>
    </x:row>
    <x:row r="936">
      <x:c r="A936" s="73" t="str">
        <x:f>IF('전기원장'!A936="","","전기")</x:f>
      </x:c>
      <x:c r="B936" s="73" t="str">
        <x:f>IF('전기원장'!A936="","",'전기원장'!A936)</x:f>
      </x:c>
      <x:c r="C936" s="73" t="str">
        <x:f>IF('전기원장'!A936="","",'전기원장'!B936)</x:f>
      </x:c>
      <x:c r="D936" s="74" t="str">
        <x:f>IF('전기원장'!A936="","",'전기원장'!C936)</x:f>
      </x:c>
      <x:c r="E936" s="73" t="str">
        <x:f>IF('전기원장'!A936="","",'전기원장'!D936)</x:f>
      </x:c>
      <x:c r="F936" s="73" t="str">
        <x:f>IF('전기원장'!A936="","",'전기원장'!E936)</x:f>
      </x:c>
      <x:c r="G936" s="75" t="str">
        <x:f>IF('전기원장'!A936="","",'전기원장'!H936)</x:f>
      </x:c>
      <x:c r="H936" s="73" t="str">
        <x:f>IF('전기원장'!A936="","",'전기원장'!I936)</x:f>
      </x:c>
      <x:c r="I936" s="73" t="str">
        <x:f>IF('전기원장'!A936="","",'전기원장'!J936)</x:f>
      </x:c>
      <x:c r="J936" s="73" t="str">
        <x:f>IF('전기원장'!A936="","",'전기원장'!K936)</x:f>
      </x:c>
      <x:c r="K936" s="73" t="str">
        <x:f>IF(B936="","",IF(COUNTIF($B$5:B936,B936)=1,COUNT($K$4:K935)+1,""))</x:f>
      </x:c>
      <x:c r="L936" s="85" t="str">
        <x:f>IF(B936="","",IF(COUNTIFS('계정비교'!$A$5:$A$1004,B936,'계정비교'!$H$5:$H$1004,"원인분석 대상")&gt;0,COUNT($L$4:L935)+1,""))</x:f>
      </x:c>
    </x:row>
    <x:row r="937">
      <x:c r="A937" s="73" t="str">
        <x:f>IF('전기원장'!A937="","","전기")</x:f>
      </x:c>
      <x:c r="B937" s="73" t="str">
        <x:f>IF('전기원장'!A937="","",'전기원장'!A937)</x:f>
      </x:c>
      <x:c r="C937" s="73" t="str">
        <x:f>IF('전기원장'!A937="","",'전기원장'!B937)</x:f>
      </x:c>
      <x:c r="D937" s="74" t="str">
        <x:f>IF('전기원장'!A937="","",'전기원장'!C937)</x:f>
      </x:c>
      <x:c r="E937" s="73" t="str">
        <x:f>IF('전기원장'!A937="","",'전기원장'!D937)</x:f>
      </x:c>
      <x:c r="F937" s="73" t="str">
        <x:f>IF('전기원장'!A937="","",'전기원장'!E937)</x:f>
      </x:c>
      <x:c r="G937" s="75" t="str">
        <x:f>IF('전기원장'!A937="","",'전기원장'!H937)</x:f>
      </x:c>
      <x:c r="H937" s="73" t="str">
        <x:f>IF('전기원장'!A937="","",'전기원장'!I937)</x:f>
      </x:c>
      <x:c r="I937" s="73" t="str">
        <x:f>IF('전기원장'!A937="","",'전기원장'!J937)</x:f>
      </x:c>
      <x:c r="J937" s="73" t="str">
        <x:f>IF('전기원장'!A937="","",'전기원장'!K937)</x:f>
      </x:c>
      <x:c r="K937" s="73" t="str">
        <x:f>IF(B937="","",IF(COUNTIF($B$5:B937,B937)=1,COUNT($K$4:K936)+1,""))</x:f>
      </x:c>
      <x:c r="L937" s="85" t="str">
        <x:f>IF(B937="","",IF(COUNTIFS('계정비교'!$A$5:$A$1004,B937,'계정비교'!$H$5:$H$1004,"원인분석 대상")&gt;0,COUNT($L$4:L936)+1,""))</x:f>
      </x:c>
    </x:row>
    <x:row r="938">
      <x:c r="A938" s="73" t="str">
        <x:f>IF('전기원장'!A938="","","전기")</x:f>
      </x:c>
      <x:c r="B938" s="73" t="str">
        <x:f>IF('전기원장'!A938="","",'전기원장'!A938)</x:f>
      </x:c>
      <x:c r="C938" s="73" t="str">
        <x:f>IF('전기원장'!A938="","",'전기원장'!B938)</x:f>
      </x:c>
      <x:c r="D938" s="74" t="str">
        <x:f>IF('전기원장'!A938="","",'전기원장'!C938)</x:f>
      </x:c>
      <x:c r="E938" s="73" t="str">
        <x:f>IF('전기원장'!A938="","",'전기원장'!D938)</x:f>
      </x:c>
      <x:c r="F938" s="73" t="str">
        <x:f>IF('전기원장'!A938="","",'전기원장'!E938)</x:f>
      </x:c>
      <x:c r="G938" s="75" t="str">
        <x:f>IF('전기원장'!A938="","",'전기원장'!H938)</x:f>
      </x:c>
      <x:c r="H938" s="73" t="str">
        <x:f>IF('전기원장'!A938="","",'전기원장'!I938)</x:f>
      </x:c>
      <x:c r="I938" s="73" t="str">
        <x:f>IF('전기원장'!A938="","",'전기원장'!J938)</x:f>
      </x:c>
      <x:c r="J938" s="73" t="str">
        <x:f>IF('전기원장'!A938="","",'전기원장'!K938)</x:f>
      </x:c>
      <x:c r="K938" s="73" t="str">
        <x:f>IF(B938="","",IF(COUNTIF($B$5:B938,B938)=1,COUNT($K$4:K937)+1,""))</x:f>
      </x:c>
      <x:c r="L938" s="85" t="str">
        <x:f>IF(B938="","",IF(COUNTIFS('계정비교'!$A$5:$A$1004,B938,'계정비교'!$H$5:$H$1004,"원인분석 대상")&gt;0,COUNT($L$4:L937)+1,""))</x:f>
      </x:c>
    </x:row>
    <x:row r="939">
      <x:c r="A939" s="73" t="str">
        <x:f>IF('전기원장'!A939="","","전기")</x:f>
      </x:c>
      <x:c r="B939" s="73" t="str">
        <x:f>IF('전기원장'!A939="","",'전기원장'!A939)</x:f>
      </x:c>
      <x:c r="C939" s="73" t="str">
        <x:f>IF('전기원장'!A939="","",'전기원장'!B939)</x:f>
      </x:c>
      <x:c r="D939" s="74" t="str">
        <x:f>IF('전기원장'!A939="","",'전기원장'!C939)</x:f>
      </x:c>
      <x:c r="E939" s="73" t="str">
        <x:f>IF('전기원장'!A939="","",'전기원장'!D939)</x:f>
      </x:c>
      <x:c r="F939" s="73" t="str">
        <x:f>IF('전기원장'!A939="","",'전기원장'!E939)</x:f>
      </x:c>
      <x:c r="G939" s="75" t="str">
        <x:f>IF('전기원장'!A939="","",'전기원장'!H939)</x:f>
      </x:c>
      <x:c r="H939" s="73" t="str">
        <x:f>IF('전기원장'!A939="","",'전기원장'!I939)</x:f>
      </x:c>
      <x:c r="I939" s="73" t="str">
        <x:f>IF('전기원장'!A939="","",'전기원장'!J939)</x:f>
      </x:c>
      <x:c r="J939" s="73" t="str">
        <x:f>IF('전기원장'!A939="","",'전기원장'!K939)</x:f>
      </x:c>
      <x:c r="K939" s="73" t="str">
        <x:f>IF(B939="","",IF(COUNTIF($B$5:B939,B939)=1,COUNT($K$4:K938)+1,""))</x:f>
      </x:c>
      <x:c r="L939" s="85" t="str">
        <x:f>IF(B939="","",IF(COUNTIFS('계정비교'!$A$5:$A$1004,B939,'계정비교'!$H$5:$H$1004,"원인분석 대상")&gt;0,COUNT($L$4:L938)+1,""))</x:f>
      </x:c>
    </x:row>
    <x:row r="940">
      <x:c r="A940" s="73" t="str">
        <x:f>IF('전기원장'!A940="","","전기")</x:f>
      </x:c>
      <x:c r="B940" s="73" t="str">
        <x:f>IF('전기원장'!A940="","",'전기원장'!A940)</x:f>
      </x:c>
      <x:c r="C940" s="73" t="str">
        <x:f>IF('전기원장'!A940="","",'전기원장'!B940)</x:f>
      </x:c>
      <x:c r="D940" s="74" t="str">
        <x:f>IF('전기원장'!A940="","",'전기원장'!C940)</x:f>
      </x:c>
      <x:c r="E940" s="73" t="str">
        <x:f>IF('전기원장'!A940="","",'전기원장'!D940)</x:f>
      </x:c>
      <x:c r="F940" s="73" t="str">
        <x:f>IF('전기원장'!A940="","",'전기원장'!E940)</x:f>
      </x:c>
      <x:c r="G940" s="75" t="str">
        <x:f>IF('전기원장'!A940="","",'전기원장'!H940)</x:f>
      </x:c>
      <x:c r="H940" s="73" t="str">
        <x:f>IF('전기원장'!A940="","",'전기원장'!I940)</x:f>
      </x:c>
      <x:c r="I940" s="73" t="str">
        <x:f>IF('전기원장'!A940="","",'전기원장'!J940)</x:f>
      </x:c>
      <x:c r="J940" s="73" t="str">
        <x:f>IF('전기원장'!A940="","",'전기원장'!K940)</x:f>
      </x:c>
      <x:c r="K940" s="73" t="str">
        <x:f>IF(B940="","",IF(COUNTIF($B$5:B940,B940)=1,COUNT($K$4:K939)+1,""))</x:f>
      </x:c>
      <x:c r="L940" s="85" t="str">
        <x:f>IF(B940="","",IF(COUNTIFS('계정비교'!$A$5:$A$1004,B940,'계정비교'!$H$5:$H$1004,"원인분석 대상")&gt;0,COUNT($L$4:L939)+1,""))</x:f>
      </x:c>
    </x:row>
    <x:row r="941">
      <x:c r="A941" s="73" t="str">
        <x:f>IF('전기원장'!A941="","","전기")</x:f>
      </x:c>
      <x:c r="B941" s="73" t="str">
        <x:f>IF('전기원장'!A941="","",'전기원장'!A941)</x:f>
      </x:c>
      <x:c r="C941" s="73" t="str">
        <x:f>IF('전기원장'!A941="","",'전기원장'!B941)</x:f>
      </x:c>
      <x:c r="D941" s="74" t="str">
        <x:f>IF('전기원장'!A941="","",'전기원장'!C941)</x:f>
      </x:c>
      <x:c r="E941" s="73" t="str">
        <x:f>IF('전기원장'!A941="","",'전기원장'!D941)</x:f>
      </x:c>
      <x:c r="F941" s="73" t="str">
        <x:f>IF('전기원장'!A941="","",'전기원장'!E941)</x:f>
      </x:c>
      <x:c r="G941" s="75" t="str">
        <x:f>IF('전기원장'!A941="","",'전기원장'!H941)</x:f>
      </x:c>
      <x:c r="H941" s="73" t="str">
        <x:f>IF('전기원장'!A941="","",'전기원장'!I941)</x:f>
      </x:c>
      <x:c r="I941" s="73" t="str">
        <x:f>IF('전기원장'!A941="","",'전기원장'!J941)</x:f>
      </x:c>
      <x:c r="J941" s="73" t="str">
        <x:f>IF('전기원장'!A941="","",'전기원장'!K941)</x:f>
      </x:c>
      <x:c r="K941" s="73" t="str">
        <x:f>IF(B941="","",IF(COUNTIF($B$5:B941,B941)=1,COUNT($K$4:K940)+1,""))</x:f>
      </x:c>
      <x:c r="L941" s="85" t="str">
        <x:f>IF(B941="","",IF(COUNTIFS('계정비교'!$A$5:$A$1004,B941,'계정비교'!$H$5:$H$1004,"원인분석 대상")&gt;0,COUNT($L$4:L940)+1,""))</x:f>
      </x:c>
    </x:row>
    <x:row r="942">
      <x:c r="A942" s="73" t="str">
        <x:f>IF('전기원장'!A942="","","전기")</x:f>
      </x:c>
      <x:c r="B942" s="73" t="str">
        <x:f>IF('전기원장'!A942="","",'전기원장'!A942)</x:f>
      </x:c>
      <x:c r="C942" s="73" t="str">
        <x:f>IF('전기원장'!A942="","",'전기원장'!B942)</x:f>
      </x:c>
      <x:c r="D942" s="74" t="str">
        <x:f>IF('전기원장'!A942="","",'전기원장'!C942)</x:f>
      </x:c>
      <x:c r="E942" s="73" t="str">
        <x:f>IF('전기원장'!A942="","",'전기원장'!D942)</x:f>
      </x:c>
      <x:c r="F942" s="73" t="str">
        <x:f>IF('전기원장'!A942="","",'전기원장'!E942)</x:f>
      </x:c>
      <x:c r="G942" s="75" t="str">
        <x:f>IF('전기원장'!A942="","",'전기원장'!H942)</x:f>
      </x:c>
      <x:c r="H942" s="73" t="str">
        <x:f>IF('전기원장'!A942="","",'전기원장'!I942)</x:f>
      </x:c>
      <x:c r="I942" s="73" t="str">
        <x:f>IF('전기원장'!A942="","",'전기원장'!J942)</x:f>
      </x:c>
      <x:c r="J942" s="73" t="str">
        <x:f>IF('전기원장'!A942="","",'전기원장'!K942)</x:f>
      </x:c>
      <x:c r="K942" s="73" t="str">
        <x:f>IF(B942="","",IF(COUNTIF($B$5:B942,B942)=1,COUNT($K$4:K941)+1,""))</x:f>
      </x:c>
      <x:c r="L942" s="85" t="str">
        <x:f>IF(B942="","",IF(COUNTIFS('계정비교'!$A$5:$A$1004,B942,'계정비교'!$H$5:$H$1004,"원인분석 대상")&gt;0,COUNT($L$4:L941)+1,""))</x:f>
      </x:c>
    </x:row>
    <x:row r="943">
      <x:c r="A943" s="73" t="str">
        <x:f>IF('전기원장'!A943="","","전기")</x:f>
      </x:c>
      <x:c r="B943" s="73" t="str">
        <x:f>IF('전기원장'!A943="","",'전기원장'!A943)</x:f>
      </x:c>
      <x:c r="C943" s="73" t="str">
        <x:f>IF('전기원장'!A943="","",'전기원장'!B943)</x:f>
      </x:c>
      <x:c r="D943" s="74" t="str">
        <x:f>IF('전기원장'!A943="","",'전기원장'!C943)</x:f>
      </x:c>
      <x:c r="E943" s="73" t="str">
        <x:f>IF('전기원장'!A943="","",'전기원장'!D943)</x:f>
      </x:c>
      <x:c r="F943" s="73" t="str">
        <x:f>IF('전기원장'!A943="","",'전기원장'!E943)</x:f>
      </x:c>
      <x:c r="G943" s="75" t="str">
        <x:f>IF('전기원장'!A943="","",'전기원장'!H943)</x:f>
      </x:c>
      <x:c r="H943" s="73" t="str">
        <x:f>IF('전기원장'!A943="","",'전기원장'!I943)</x:f>
      </x:c>
      <x:c r="I943" s="73" t="str">
        <x:f>IF('전기원장'!A943="","",'전기원장'!J943)</x:f>
      </x:c>
      <x:c r="J943" s="73" t="str">
        <x:f>IF('전기원장'!A943="","",'전기원장'!K943)</x:f>
      </x:c>
      <x:c r="K943" s="73" t="str">
        <x:f>IF(B943="","",IF(COUNTIF($B$5:B943,B943)=1,COUNT($K$4:K942)+1,""))</x:f>
      </x:c>
      <x:c r="L943" s="85" t="str">
        <x:f>IF(B943="","",IF(COUNTIFS('계정비교'!$A$5:$A$1004,B943,'계정비교'!$H$5:$H$1004,"원인분석 대상")&gt;0,COUNT($L$4:L942)+1,""))</x:f>
      </x:c>
    </x:row>
    <x:row r="944">
      <x:c r="A944" s="73" t="str">
        <x:f>IF('전기원장'!A944="","","전기")</x:f>
      </x:c>
      <x:c r="B944" s="73" t="str">
        <x:f>IF('전기원장'!A944="","",'전기원장'!A944)</x:f>
      </x:c>
      <x:c r="C944" s="73" t="str">
        <x:f>IF('전기원장'!A944="","",'전기원장'!B944)</x:f>
      </x:c>
      <x:c r="D944" s="74" t="str">
        <x:f>IF('전기원장'!A944="","",'전기원장'!C944)</x:f>
      </x:c>
      <x:c r="E944" s="73" t="str">
        <x:f>IF('전기원장'!A944="","",'전기원장'!D944)</x:f>
      </x:c>
      <x:c r="F944" s="73" t="str">
        <x:f>IF('전기원장'!A944="","",'전기원장'!E944)</x:f>
      </x:c>
      <x:c r="G944" s="75" t="str">
        <x:f>IF('전기원장'!A944="","",'전기원장'!H944)</x:f>
      </x:c>
      <x:c r="H944" s="73" t="str">
        <x:f>IF('전기원장'!A944="","",'전기원장'!I944)</x:f>
      </x:c>
      <x:c r="I944" s="73" t="str">
        <x:f>IF('전기원장'!A944="","",'전기원장'!J944)</x:f>
      </x:c>
      <x:c r="J944" s="73" t="str">
        <x:f>IF('전기원장'!A944="","",'전기원장'!K944)</x:f>
      </x:c>
      <x:c r="K944" s="73" t="str">
        <x:f>IF(B944="","",IF(COUNTIF($B$5:B944,B944)=1,COUNT($K$4:K943)+1,""))</x:f>
      </x:c>
      <x:c r="L944" s="85" t="str">
        <x:f>IF(B944="","",IF(COUNTIFS('계정비교'!$A$5:$A$1004,B944,'계정비교'!$H$5:$H$1004,"원인분석 대상")&gt;0,COUNT($L$4:L943)+1,""))</x:f>
      </x:c>
    </x:row>
    <x:row r="945">
      <x:c r="A945" s="73" t="str">
        <x:f>IF('전기원장'!A945="","","전기")</x:f>
      </x:c>
      <x:c r="B945" s="73" t="str">
        <x:f>IF('전기원장'!A945="","",'전기원장'!A945)</x:f>
      </x:c>
      <x:c r="C945" s="73" t="str">
        <x:f>IF('전기원장'!A945="","",'전기원장'!B945)</x:f>
      </x:c>
      <x:c r="D945" s="74" t="str">
        <x:f>IF('전기원장'!A945="","",'전기원장'!C945)</x:f>
      </x:c>
      <x:c r="E945" s="73" t="str">
        <x:f>IF('전기원장'!A945="","",'전기원장'!D945)</x:f>
      </x:c>
      <x:c r="F945" s="73" t="str">
        <x:f>IF('전기원장'!A945="","",'전기원장'!E945)</x:f>
      </x:c>
      <x:c r="G945" s="75" t="str">
        <x:f>IF('전기원장'!A945="","",'전기원장'!H945)</x:f>
      </x:c>
      <x:c r="H945" s="73" t="str">
        <x:f>IF('전기원장'!A945="","",'전기원장'!I945)</x:f>
      </x:c>
      <x:c r="I945" s="73" t="str">
        <x:f>IF('전기원장'!A945="","",'전기원장'!J945)</x:f>
      </x:c>
      <x:c r="J945" s="73" t="str">
        <x:f>IF('전기원장'!A945="","",'전기원장'!K945)</x:f>
      </x:c>
      <x:c r="K945" s="73" t="str">
        <x:f>IF(B945="","",IF(COUNTIF($B$5:B945,B945)=1,COUNT($K$4:K944)+1,""))</x:f>
      </x:c>
      <x:c r="L945" s="85" t="str">
        <x:f>IF(B945="","",IF(COUNTIFS('계정비교'!$A$5:$A$1004,B945,'계정비교'!$H$5:$H$1004,"원인분석 대상")&gt;0,COUNT($L$4:L944)+1,""))</x:f>
      </x:c>
    </x:row>
    <x:row r="946">
      <x:c r="A946" s="73" t="str">
        <x:f>IF('전기원장'!A946="","","전기")</x:f>
      </x:c>
      <x:c r="B946" s="73" t="str">
        <x:f>IF('전기원장'!A946="","",'전기원장'!A946)</x:f>
      </x:c>
      <x:c r="C946" s="73" t="str">
        <x:f>IF('전기원장'!A946="","",'전기원장'!B946)</x:f>
      </x:c>
      <x:c r="D946" s="74" t="str">
        <x:f>IF('전기원장'!A946="","",'전기원장'!C946)</x:f>
      </x:c>
      <x:c r="E946" s="73" t="str">
        <x:f>IF('전기원장'!A946="","",'전기원장'!D946)</x:f>
      </x:c>
      <x:c r="F946" s="73" t="str">
        <x:f>IF('전기원장'!A946="","",'전기원장'!E946)</x:f>
      </x:c>
      <x:c r="G946" s="75" t="str">
        <x:f>IF('전기원장'!A946="","",'전기원장'!H946)</x:f>
      </x:c>
      <x:c r="H946" s="73" t="str">
        <x:f>IF('전기원장'!A946="","",'전기원장'!I946)</x:f>
      </x:c>
      <x:c r="I946" s="73" t="str">
        <x:f>IF('전기원장'!A946="","",'전기원장'!J946)</x:f>
      </x:c>
      <x:c r="J946" s="73" t="str">
        <x:f>IF('전기원장'!A946="","",'전기원장'!K946)</x:f>
      </x:c>
      <x:c r="K946" s="73" t="str">
        <x:f>IF(B946="","",IF(COUNTIF($B$5:B946,B946)=1,COUNT($K$4:K945)+1,""))</x:f>
      </x:c>
      <x:c r="L946" s="85" t="str">
        <x:f>IF(B946="","",IF(COUNTIFS('계정비교'!$A$5:$A$1004,B946,'계정비교'!$H$5:$H$1004,"원인분석 대상")&gt;0,COUNT($L$4:L945)+1,""))</x:f>
      </x:c>
    </x:row>
    <x:row r="947">
      <x:c r="A947" s="73" t="str">
        <x:f>IF('전기원장'!A947="","","전기")</x:f>
      </x:c>
      <x:c r="B947" s="73" t="str">
        <x:f>IF('전기원장'!A947="","",'전기원장'!A947)</x:f>
      </x:c>
      <x:c r="C947" s="73" t="str">
        <x:f>IF('전기원장'!A947="","",'전기원장'!B947)</x:f>
      </x:c>
      <x:c r="D947" s="74" t="str">
        <x:f>IF('전기원장'!A947="","",'전기원장'!C947)</x:f>
      </x:c>
      <x:c r="E947" s="73" t="str">
        <x:f>IF('전기원장'!A947="","",'전기원장'!D947)</x:f>
      </x:c>
      <x:c r="F947" s="73" t="str">
        <x:f>IF('전기원장'!A947="","",'전기원장'!E947)</x:f>
      </x:c>
      <x:c r="G947" s="75" t="str">
        <x:f>IF('전기원장'!A947="","",'전기원장'!H947)</x:f>
      </x:c>
      <x:c r="H947" s="73" t="str">
        <x:f>IF('전기원장'!A947="","",'전기원장'!I947)</x:f>
      </x:c>
      <x:c r="I947" s="73" t="str">
        <x:f>IF('전기원장'!A947="","",'전기원장'!J947)</x:f>
      </x:c>
      <x:c r="J947" s="73" t="str">
        <x:f>IF('전기원장'!A947="","",'전기원장'!K947)</x:f>
      </x:c>
      <x:c r="K947" s="73" t="str">
        <x:f>IF(B947="","",IF(COUNTIF($B$5:B947,B947)=1,COUNT($K$4:K946)+1,""))</x:f>
      </x:c>
      <x:c r="L947" s="85" t="str">
        <x:f>IF(B947="","",IF(COUNTIFS('계정비교'!$A$5:$A$1004,B947,'계정비교'!$H$5:$H$1004,"원인분석 대상")&gt;0,COUNT($L$4:L946)+1,""))</x:f>
      </x:c>
    </x:row>
    <x:row r="948">
      <x:c r="A948" s="73" t="str">
        <x:f>IF('전기원장'!A948="","","전기")</x:f>
      </x:c>
      <x:c r="B948" s="73" t="str">
        <x:f>IF('전기원장'!A948="","",'전기원장'!A948)</x:f>
      </x:c>
      <x:c r="C948" s="73" t="str">
        <x:f>IF('전기원장'!A948="","",'전기원장'!B948)</x:f>
      </x:c>
      <x:c r="D948" s="74" t="str">
        <x:f>IF('전기원장'!A948="","",'전기원장'!C948)</x:f>
      </x:c>
      <x:c r="E948" s="73" t="str">
        <x:f>IF('전기원장'!A948="","",'전기원장'!D948)</x:f>
      </x:c>
      <x:c r="F948" s="73" t="str">
        <x:f>IF('전기원장'!A948="","",'전기원장'!E948)</x:f>
      </x:c>
      <x:c r="G948" s="75" t="str">
        <x:f>IF('전기원장'!A948="","",'전기원장'!H948)</x:f>
      </x:c>
      <x:c r="H948" s="73" t="str">
        <x:f>IF('전기원장'!A948="","",'전기원장'!I948)</x:f>
      </x:c>
      <x:c r="I948" s="73" t="str">
        <x:f>IF('전기원장'!A948="","",'전기원장'!J948)</x:f>
      </x:c>
      <x:c r="J948" s="73" t="str">
        <x:f>IF('전기원장'!A948="","",'전기원장'!K948)</x:f>
      </x:c>
      <x:c r="K948" s="73" t="str">
        <x:f>IF(B948="","",IF(COUNTIF($B$5:B948,B948)=1,COUNT($K$4:K947)+1,""))</x:f>
      </x:c>
      <x:c r="L948" s="85" t="str">
        <x:f>IF(B948="","",IF(COUNTIFS('계정비교'!$A$5:$A$1004,B948,'계정비교'!$H$5:$H$1004,"원인분석 대상")&gt;0,COUNT($L$4:L947)+1,""))</x:f>
      </x:c>
    </x:row>
    <x:row r="949">
      <x:c r="A949" s="73" t="str">
        <x:f>IF('전기원장'!A949="","","전기")</x:f>
      </x:c>
      <x:c r="B949" s="73" t="str">
        <x:f>IF('전기원장'!A949="","",'전기원장'!A949)</x:f>
      </x:c>
      <x:c r="C949" s="73" t="str">
        <x:f>IF('전기원장'!A949="","",'전기원장'!B949)</x:f>
      </x:c>
      <x:c r="D949" s="74" t="str">
        <x:f>IF('전기원장'!A949="","",'전기원장'!C949)</x:f>
      </x:c>
      <x:c r="E949" s="73" t="str">
        <x:f>IF('전기원장'!A949="","",'전기원장'!D949)</x:f>
      </x:c>
      <x:c r="F949" s="73" t="str">
        <x:f>IF('전기원장'!A949="","",'전기원장'!E949)</x:f>
      </x:c>
      <x:c r="G949" s="75" t="str">
        <x:f>IF('전기원장'!A949="","",'전기원장'!H949)</x:f>
      </x:c>
      <x:c r="H949" s="73" t="str">
        <x:f>IF('전기원장'!A949="","",'전기원장'!I949)</x:f>
      </x:c>
      <x:c r="I949" s="73" t="str">
        <x:f>IF('전기원장'!A949="","",'전기원장'!J949)</x:f>
      </x:c>
      <x:c r="J949" s="73" t="str">
        <x:f>IF('전기원장'!A949="","",'전기원장'!K949)</x:f>
      </x:c>
      <x:c r="K949" s="73" t="str">
        <x:f>IF(B949="","",IF(COUNTIF($B$5:B949,B949)=1,COUNT($K$4:K948)+1,""))</x:f>
      </x:c>
      <x:c r="L949" s="85" t="str">
        <x:f>IF(B949="","",IF(COUNTIFS('계정비교'!$A$5:$A$1004,B949,'계정비교'!$H$5:$H$1004,"원인분석 대상")&gt;0,COUNT($L$4:L948)+1,""))</x:f>
      </x:c>
    </x:row>
    <x:row r="950">
      <x:c r="A950" s="73" t="str">
        <x:f>IF('전기원장'!A950="","","전기")</x:f>
      </x:c>
      <x:c r="B950" s="73" t="str">
        <x:f>IF('전기원장'!A950="","",'전기원장'!A950)</x:f>
      </x:c>
      <x:c r="C950" s="73" t="str">
        <x:f>IF('전기원장'!A950="","",'전기원장'!B950)</x:f>
      </x:c>
      <x:c r="D950" s="74" t="str">
        <x:f>IF('전기원장'!A950="","",'전기원장'!C950)</x:f>
      </x:c>
      <x:c r="E950" s="73" t="str">
        <x:f>IF('전기원장'!A950="","",'전기원장'!D950)</x:f>
      </x:c>
      <x:c r="F950" s="73" t="str">
        <x:f>IF('전기원장'!A950="","",'전기원장'!E950)</x:f>
      </x:c>
      <x:c r="G950" s="75" t="str">
        <x:f>IF('전기원장'!A950="","",'전기원장'!H950)</x:f>
      </x:c>
      <x:c r="H950" s="73" t="str">
        <x:f>IF('전기원장'!A950="","",'전기원장'!I950)</x:f>
      </x:c>
      <x:c r="I950" s="73" t="str">
        <x:f>IF('전기원장'!A950="","",'전기원장'!J950)</x:f>
      </x:c>
      <x:c r="J950" s="73" t="str">
        <x:f>IF('전기원장'!A950="","",'전기원장'!K950)</x:f>
      </x:c>
      <x:c r="K950" s="73" t="str">
        <x:f>IF(B950="","",IF(COUNTIF($B$5:B950,B950)=1,COUNT($K$4:K949)+1,""))</x:f>
      </x:c>
      <x:c r="L950" s="85" t="str">
        <x:f>IF(B950="","",IF(COUNTIFS('계정비교'!$A$5:$A$1004,B950,'계정비교'!$H$5:$H$1004,"원인분석 대상")&gt;0,COUNT($L$4:L949)+1,""))</x:f>
      </x:c>
    </x:row>
    <x:row r="951">
      <x:c r="A951" s="73" t="str">
        <x:f>IF('전기원장'!A951="","","전기")</x:f>
      </x:c>
      <x:c r="B951" s="73" t="str">
        <x:f>IF('전기원장'!A951="","",'전기원장'!A951)</x:f>
      </x:c>
      <x:c r="C951" s="73" t="str">
        <x:f>IF('전기원장'!A951="","",'전기원장'!B951)</x:f>
      </x:c>
      <x:c r="D951" s="74" t="str">
        <x:f>IF('전기원장'!A951="","",'전기원장'!C951)</x:f>
      </x:c>
      <x:c r="E951" s="73" t="str">
        <x:f>IF('전기원장'!A951="","",'전기원장'!D951)</x:f>
      </x:c>
      <x:c r="F951" s="73" t="str">
        <x:f>IF('전기원장'!A951="","",'전기원장'!E951)</x:f>
      </x:c>
      <x:c r="G951" s="75" t="str">
        <x:f>IF('전기원장'!A951="","",'전기원장'!H951)</x:f>
      </x:c>
      <x:c r="H951" s="73" t="str">
        <x:f>IF('전기원장'!A951="","",'전기원장'!I951)</x:f>
      </x:c>
      <x:c r="I951" s="73" t="str">
        <x:f>IF('전기원장'!A951="","",'전기원장'!J951)</x:f>
      </x:c>
      <x:c r="J951" s="73" t="str">
        <x:f>IF('전기원장'!A951="","",'전기원장'!K951)</x:f>
      </x:c>
      <x:c r="K951" s="73" t="str">
        <x:f>IF(B951="","",IF(COUNTIF($B$5:B951,B951)=1,COUNT($K$4:K950)+1,""))</x:f>
      </x:c>
      <x:c r="L951" s="85" t="str">
        <x:f>IF(B951="","",IF(COUNTIFS('계정비교'!$A$5:$A$1004,B951,'계정비교'!$H$5:$H$1004,"원인분석 대상")&gt;0,COUNT($L$4:L950)+1,""))</x:f>
      </x:c>
    </x:row>
    <x:row r="952">
      <x:c r="A952" s="73" t="str">
        <x:f>IF('전기원장'!A952="","","전기")</x:f>
      </x:c>
      <x:c r="B952" s="73" t="str">
        <x:f>IF('전기원장'!A952="","",'전기원장'!A952)</x:f>
      </x:c>
      <x:c r="C952" s="73" t="str">
        <x:f>IF('전기원장'!A952="","",'전기원장'!B952)</x:f>
      </x:c>
      <x:c r="D952" s="74" t="str">
        <x:f>IF('전기원장'!A952="","",'전기원장'!C952)</x:f>
      </x:c>
      <x:c r="E952" s="73" t="str">
        <x:f>IF('전기원장'!A952="","",'전기원장'!D952)</x:f>
      </x:c>
      <x:c r="F952" s="73" t="str">
        <x:f>IF('전기원장'!A952="","",'전기원장'!E952)</x:f>
      </x:c>
      <x:c r="G952" s="75" t="str">
        <x:f>IF('전기원장'!A952="","",'전기원장'!H952)</x:f>
      </x:c>
      <x:c r="H952" s="73" t="str">
        <x:f>IF('전기원장'!A952="","",'전기원장'!I952)</x:f>
      </x:c>
      <x:c r="I952" s="73" t="str">
        <x:f>IF('전기원장'!A952="","",'전기원장'!J952)</x:f>
      </x:c>
      <x:c r="J952" s="73" t="str">
        <x:f>IF('전기원장'!A952="","",'전기원장'!K952)</x:f>
      </x:c>
      <x:c r="K952" s="73" t="str">
        <x:f>IF(B952="","",IF(COUNTIF($B$5:B952,B952)=1,COUNT($K$4:K951)+1,""))</x:f>
      </x:c>
      <x:c r="L952" s="85" t="str">
        <x:f>IF(B952="","",IF(COUNTIFS('계정비교'!$A$5:$A$1004,B952,'계정비교'!$H$5:$H$1004,"원인분석 대상")&gt;0,COUNT($L$4:L951)+1,""))</x:f>
      </x:c>
    </x:row>
    <x:row r="953">
      <x:c r="A953" s="73" t="str">
        <x:f>IF('전기원장'!A953="","","전기")</x:f>
      </x:c>
      <x:c r="B953" s="73" t="str">
        <x:f>IF('전기원장'!A953="","",'전기원장'!A953)</x:f>
      </x:c>
      <x:c r="C953" s="73" t="str">
        <x:f>IF('전기원장'!A953="","",'전기원장'!B953)</x:f>
      </x:c>
      <x:c r="D953" s="74" t="str">
        <x:f>IF('전기원장'!A953="","",'전기원장'!C953)</x:f>
      </x:c>
      <x:c r="E953" s="73" t="str">
        <x:f>IF('전기원장'!A953="","",'전기원장'!D953)</x:f>
      </x:c>
      <x:c r="F953" s="73" t="str">
        <x:f>IF('전기원장'!A953="","",'전기원장'!E953)</x:f>
      </x:c>
      <x:c r="G953" s="75" t="str">
        <x:f>IF('전기원장'!A953="","",'전기원장'!H953)</x:f>
      </x:c>
      <x:c r="H953" s="73" t="str">
        <x:f>IF('전기원장'!A953="","",'전기원장'!I953)</x:f>
      </x:c>
      <x:c r="I953" s="73" t="str">
        <x:f>IF('전기원장'!A953="","",'전기원장'!J953)</x:f>
      </x:c>
      <x:c r="J953" s="73" t="str">
        <x:f>IF('전기원장'!A953="","",'전기원장'!K953)</x:f>
      </x:c>
      <x:c r="K953" s="73" t="str">
        <x:f>IF(B953="","",IF(COUNTIF($B$5:B953,B953)=1,COUNT($K$4:K952)+1,""))</x:f>
      </x:c>
      <x:c r="L953" s="85" t="str">
        <x:f>IF(B953="","",IF(COUNTIFS('계정비교'!$A$5:$A$1004,B953,'계정비교'!$H$5:$H$1004,"원인분석 대상")&gt;0,COUNT($L$4:L952)+1,""))</x:f>
      </x:c>
    </x:row>
    <x:row r="954">
      <x:c r="A954" s="73" t="str">
        <x:f>IF('전기원장'!A954="","","전기")</x:f>
      </x:c>
      <x:c r="B954" s="73" t="str">
        <x:f>IF('전기원장'!A954="","",'전기원장'!A954)</x:f>
      </x:c>
      <x:c r="C954" s="73" t="str">
        <x:f>IF('전기원장'!A954="","",'전기원장'!B954)</x:f>
      </x:c>
      <x:c r="D954" s="74" t="str">
        <x:f>IF('전기원장'!A954="","",'전기원장'!C954)</x:f>
      </x:c>
      <x:c r="E954" s="73" t="str">
        <x:f>IF('전기원장'!A954="","",'전기원장'!D954)</x:f>
      </x:c>
      <x:c r="F954" s="73" t="str">
        <x:f>IF('전기원장'!A954="","",'전기원장'!E954)</x:f>
      </x:c>
      <x:c r="G954" s="75" t="str">
        <x:f>IF('전기원장'!A954="","",'전기원장'!H954)</x:f>
      </x:c>
      <x:c r="H954" s="73" t="str">
        <x:f>IF('전기원장'!A954="","",'전기원장'!I954)</x:f>
      </x:c>
      <x:c r="I954" s="73" t="str">
        <x:f>IF('전기원장'!A954="","",'전기원장'!J954)</x:f>
      </x:c>
      <x:c r="J954" s="73" t="str">
        <x:f>IF('전기원장'!A954="","",'전기원장'!K954)</x:f>
      </x:c>
      <x:c r="K954" s="73" t="str">
        <x:f>IF(B954="","",IF(COUNTIF($B$5:B954,B954)=1,COUNT($K$4:K953)+1,""))</x:f>
      </x:c>
      <x:c r="L954" s="85" t="str">
        <x:f>IF(B954="","",IF(COUNTIFS('계정비교'!$A$5:$A$1004,B954,'계정비교'!$H$5:$H$1004,"원인분석 대상")&gt;0,COUNT($L$4:L953)+1,""))</x:f>
      </x:c>
    </x:row>
    <x:row r="955">
      <x:c r="A955" s="73" t="str">
        <x:f>IF('전기원장'!A955="","","전기")</x:f>
      </x:c>
      <x:c r="B955" s="73" t="str">
        <x:f>IF('전기원장'!A955="","",'전기원장'!A955)</x:f>
      </x:c>
      <x:c r="C955" s="73" t="str">
        <x:f>IF('전기원장'!A955="","",'전기원장'!B955)</x:f>
      </x:c>
      <x:c r="D955" s="74" t="str">
        <x:f>IF('전기원장'!A955="","",'전기원장'!C955)</x:f>
      </x:c>
      <x:c r="E955" s="73" t="str">
        <x:f>IF('전기원장'!A955="","",'전기원장'!D955)</x:f>
      </x:c>
      <x:c r="F955" s="73" t="str">
        <x:f>IF('전기원장'!A955="","",'전기원장'!E955)</x:f>
      </x:c>
      <x:c r="G955" s="75" t="str">
        <x:f>IF('전기원장'!A955="","",'전기원장'!H955)</x:f>
      </x:c>
      <x:c r="H955" s="73" t="str">
        <x:f>IF('전기원장'!A955="","",'전기원장'!I955)</x:f>
      </x:c>
      <x:c r="I955" s="73" t="str">
        <x:f>IF('전기원장'!A955="","",'전기원장'!J955)</x:f>
      </x:c>
      <x:c r="J955" s="73" t="str">
        <x:f>IF('전기원장'!A955="","",'전기원장'!K955)</x:f>
      </x:c>
      <x:c r="K955" s="73" t="str">
        <x:f>IF(B955="","",IF(COUNTIF($B$5:B955,B955)=1,COUNT($K$4:K954)+1,""))</x:f>
      </x:c>
      <x:c r="L955" s="85" t="str">
        <x:f>IF(B955="","",IF(COUNTIFS('계정비교'!$A$5:$A$1004,B955,'계정비교'!$H$5:$H$1004,"원인분석 대상")&gt;0,COUNT($L$4:L954)+1,""))</x:f>
      </x:c>
    </x:row>
    <x:row r="956">
      <x:c r="A956" s="73" t="str">
        <x:f>IF('전기원장'!A956="","","전기")</x:f>
      </x:c>
      <x:c r="B956" s="73" t="str">
        <x:f>IF('전기원장'!A956="","",'전기원장'!A956)</x:f>
      </x:c>
      <x:c r="C956" s="73" t="str">
        <x:f>IF('전기원장'!A956="","",'전기원장'!B956)</x:f>
      </x:c>
      <x:c r="D956" s="74" t="str">
        <x:f>IF('전기원장'!A956="","",'전기원장'!C956)</x:f>
      </x:c>
      <x:c r="E956" s="73" t="str">
        <x:f>IF('전기원장'!A956="","",'전기원장'!D956)</x:f>
      </x:c>
      <x:c r="F956" s="73" t="str">
        <x:f>IF('전기원장'!A956="","",'전기원장'!E956)</x:f>
      </x:c>
      <x:c r="G956" s="75" t="str">
        <x:f>IF('전기원장'!A956="","",'전기원장'!H956)</x:f>
      </x:c>
      <x:c r="H956" s="73" t="str">
        <x:f>IF('전기원장'!A956="","",'전기원장'!I956)</x:f>
      </x:c>
      <x:c r="I956" s="73" t="str">
        <x:f>IF('전기원장'!A956="","",'전기원장'!J956)</x:f>
      </x:c>
      <x:c r="J956" s="73" t="str">
        <x:f>IF('전기원장'!A956="","",'전기원장'!K956)</x:f>
      </x:c>
      <x:c r="K956" s="73" t="str">
        <x:f>IF(B956="","",IF(COUNTIF($B$5:B956,B956)=1,COUNT($K$4:K955)+1,""))</x:f>
      </x:c>
      <x:c r="L956" s="85" t="str">
        <x:f>IF(B956="","",IF(COUNTIFS('계정비교'!$A$5:$A$1004,B956,'계정비교'!$H$5:$H$1004,"원인분석 대상")&gt;0,COUNT($L$4:L955)+1,""))</x:f>
      </x:c>
    </x:row>
    <x:row r="957">
      <x:c r="A957" s="73" t="str">
        <x:f>IF('전기원장'!A957="","","전기")</x:f>
      </x:c>
      <x:c r="B957" s="73" t="str">
        <x:f>IF('전기원장'!A957="","",'전기원장'!A957)</x:f>
      </x:c>
      <x:c r="C957" s="73" t="str">
        <x:f>IF('전기원장'!A957="","",'전기원장'!B957)</x:f>
      </x:c>
      <x:c r="D957" s="74" t="str">
        <x:f>IF('전기원장'!A957="","",'전기원장'!C957)</x:f>
      </x:c>
      <x:c r="E957" s="73" t="str">
        <x:f>IF('전기원장'!A957="","",'전기원장'!D957)</x:f>
      </x:c>
      <x:c r="F957" s="73" t="str">
        <x:f>IF('전기원장'!A957="","",'전기원장'!E957)</x:f>
      </x:c>
      <x:c r="G957" s="75" t="str">
        <x:f>IF('전기원장'!A957="","",'전기원장'!H957)</x:f>
      </x:c>
      <x:c r="H957" s="73" t="str">
        <x:f>IF('전기원장'!A957="","",'전기원장'!I957)</x:f>
      </x:c>
      <x:c r="I957" s="73" t="str">
        <x:f>IF('전기원장'!A957="","",'전기원장'!J957)</x:f>
      </x:c>
      <x:c r="J957" s="73" t="str">
        <x:f>IF('전기원장'!A957="","",'전기원장'!K957)</x:f>
      </x:c>
      <x:c r="K957" s="73" t="str">
        <x:f>IF(B957="","",IF(COUNTIF($B$5:B957,B957)=1,COUNT($K$4:K956)+1,""))</x:f>
      </x:c>
      <x:c r="L957" s="85" t="str">
        <x:f>IF(B957="","",IF(COUNTIFS('계정비교'!$A$5:$A$1004,B957,'계정비교'!$H$5:$H$1004,"원인분석 대상")&gt;0,COUNT($L$4:L956)+1,""))</x:f>
      </x:c>
    </x:row>
    <x:row r="958">
      <x:c r="A958" s="73" t="str">
        <x:f>IF('전기원장'!A958="","","전기")</x:f>
      </x:c>
      <x:c r="B958" s="73" t="str">
        <x:f>IF('전기원장'!A958="","",'전기원장'!A958)</x:f>
      </x:c>
      <x:c r="C958" s="73" t="str">
        <x:f>IF('전기원장'!A958="","",'전기원장'!B958)</x:f>
      </x:c>
      <x:c r="D958" s="74" t="str">
        <x:f>IF('전기원장'!A958="","",'전기원장'!C958)</x:f>
      </x:c>
      <x:c r="E958" s="73" t="str">
        <x:f>IF('전기원장'!A958="","",'전기원장'!D958)</x:f>
      </x:c>
      <x:c r="F958" s="73" t="str">
        <x:f>IF('전기원장'!A958="","",'전기원장'!E958)</x:f>
      </x:c>
      <x:c r="G958" s="75" t="str">
        <x:f>IF('전기원장'!A958="","",'전기원장'!H958)</x:f>
      </x:c>
      <x:c r="H958" s="73" t="str">
        <x:f>IF('전기원장'!A958="","",'전기원장'!I958)</x:f>
      </x:c>
      <x:c r="I958" s="73" t="str">
        <x:f>IF('전기원장'!A958="","",'전기원장'!J958)</x:f>
      </x:c>
      <x:c r="J958" s="73" t="str">
        <x:f>IF('전기원장'!A958="","",'전기원장'!K958)</x:f>
      </x:c>
      <x:c r="K958" s="73" t="str">
        <x:f>IF(B958="","",IF(COUNTIF($B$5:B958,B958)=1,COUNT($K$4:K957)+1,""))</x:f>
      </x:c>
      <x:c r="L958" s="85" t="str">
        <x:f>IF(B958="","",IF(COUNTIFS('계정비교'!$A$5:$A$1004,B958,'계정비교'!$H$5:$H$1004,"원인분석 대상")&gt;0,COUNT($L$4:L957)+1,""))</x:f>
      </x:c>
    </x:row>
    <x:row r="959">
      <x:c r="A959" s="73" t="str">
        <x:f>IF('전기원장'!A959="","","전기")</x:f>
      </x:c>
      <x:c r="B959" s="73" t="str">
        <x:f>IF('전기원장'!A959="","",'전기원장'!A959)</x:f>
      </x:c>
      <x:c r="C959" s="73" t="str">
        <x:f>IF('전기원장'!A959="","",'전기원장'!B959)</x:f>
      </x:c>
      <x:c r="D959" s="74" t="str">
        <x:f>IF('전기원장'!A959="","",'전기원장'!C959)</x:f>
      </x:c>
      <x:c r="E959" s="73" t="str">
        <x:f>IF('전기원장'!A959="","",'전기원장'!D959)</x:f>
      </x:c>
      <x:c r="F959" s="73" t="str">
        <x:f>IF('전기원장'!A959="","",'전기원장'!E959)</x:f>
      </x:c>
      <x:c r="G959" s="75" t="str">
        <x:f>IF('전기원장'!A959="","",'전기원장'!H959)</x:f>
      </x:c>
      <x:c r="H959" s="73" t="str">
        <x:f>IF('전기원장'!A959="","",'전기원장'!I959)</x:f>
      </x:c>
      <x:c r="I959" s="73" t="str">
        <x:f>IF('전기원장'!A959="","",'전기원장'!J959)</x:f>
      </x:c>
      <x:c r="J959" s="73" t="str">
        <x:f>IF('전기원장'!A959="","",'전기원장'!K959)</x:f>
      </x:c>
      <x:c r="K959" s="73" t="str">
        <x:f>IF(B959="","",IF(COUNTIF($B$5:B959,B959)=1,COUNT($K$4:K958)+1,""))</x:f>
      </x:c>
      <x:c r="L959" s="85" t="str">
        <x:f>IF(B959="","",IF(COUNTIFS('계정비교'!$A$5:$A$1004,B959,'계정비교'!$H$5:$H$1004,"원인분석 대상")&gt;0,COUNT($L$4:L958)+1,""))</x:f>
      </x:c>
    </x:row>
    <x:row r="960">
      <x:c r="A960" s="73" t="str">
        <x:f>IF('전기원장'!A960="","","전기")</x:f>
      </x:c>
      <x:c r="B960" s="73" t="str">
        <x:f>IF('전기원장'!A960="","",'전기원장'!A960)</x:f>
      </x:c>
      <x:c r="C960" s="73" t="str">
        <x:f>IF('전기원장'!A960="","",'전기원장'!B960)</x:f>
      </x:c>
      <x:c r="D960" s="74" t="str">
        <x:f>IF('전기원장'!A960="","",'전기원장'!C960)</x:f>
      </x:c>
      <x:c r="E960" s="73" t="str">
        <x:f>IF('전기원장'!A960="","",'전기원장'!D960)</x:f>
      </x:c>
      <x:c r="F960" s="73" t="str">
        <x:f>IF('전기원장'!A960="","",'전기원장'!E960)</x:f>
      </x:c>
      <x:c r="G960" s="75" t="str">
        <x:f>IF('전기원장'!A960="","",'전기원장'!H960)</x:f>
      </x:c>
      <x:c r="H960" s="73" t="str">
        <x:f>IF('전기원장'!A960="","",'전기원장'!I960)</x:f>
      </x:c>
      <x:c r="I960" s="73" t="str">
        <x:f>IF('전기원장'!A960="","",'전기원장'!J960)</x:f>
      </x:c>
      <x:c r="J960" s="73" t="str">
        <x:f>IF('전기원장'!A960="","",'전기원장'!K960)</x:f>
      </x:c>
      <x:c r="K960" s="73" t="str">
        <x:f>IF(B960="","",IF(COUNTIF($B$5:B960,B960)=1,COUNT($K$4:K959)+1,""))</x:f>
      </x:c>
      <x:c r="L960" s="85" t="str">
        <x:f>IF(B960="","",IF(COUNTIFS('계정비교'!$A$5:$A$1004,B960,'계정비교'!$H$5:$H$1004,"원인분석 대상")&gt;0,COUNT($L$4:L959)+1,""))</x:f>
      </x:c>
    </x:row>
    <x:row r="961">
      <x:c r="A961" s="73" t="str">
        <x:f>IF('전기원장'!A961="","","전기")</x:f>
      </x:c>
      <x:c r="B961" s="73" t="str">
        <x:f>IF('전기원장'!A961="","",'전기원장'!A961)</x:f>
      </x:c>
      <x:c r="C961" s="73" t="str">
        <x:f>IF('전기원장'!A961="","",'전기원장'!B961)</x:f>
      </x:c>
      <x:c r="D961" s="74" t="str">
        <x:f>IF('전기원장'!A961="","",'전기원장'!C961)</x:f>
      </x:c>
      <x:c r="E961" s="73" t="str">
        <x:f>IF('전기원장'!A961="","",'전기원장'!D961)</x:f>
      </x:c>
      <x:c r="F961" s="73" t="str">
        <x:f>IF('전기원장'!A961="","",'전기원장'!E961)</x:f>
      </x:c>
      <x:c r="G961" s="75" t="str">
        <x:f>IF('전기원장'!A961="","",'전기원장'!H961)</x:f>
      </x:c>
      <x:c r="H961" s="73" t="str">
        <x:f>IF('전기원장'!A961="","",'전기원장'!I961)</x:f>
      </x:c>
      <x:c r="I961" s="73" t="str">
        <x:f>IF('전기원장'!A961="","",'전기원장'!J961)</x:f>
      </x:c>
      <x:c r="J961" s="73" t="str">
        <x:f>IF('전기원장'!A961="","",'전기원장'!K961)</x:f>
      </x:c>
      <x:c r="K961" s="73" t="str">
        <x:f>IF(B961="","",IF(COUNTIF($B$5:B961,B961)=1,COUNT($K$4:K960)+1,""))</x:f>
      </x:c>
      <x:c r="L961" s="85" t="str">
        <x:f>IF(B961="","",IF(COUNTIFS('계정비교'!$A$5:$A$1004,B961,'계정비교'!$H$5:$H$1004,"원인분석 대상")&gt;0,COUNT($L$4:L960)+1,""))</x:f>
      </x:c>
    </x:row>
    <x:row r="962">
      <x:c r="A962" s="73" t="str">
        <x:f>IF('전기원장'!A962="","","전기")</x:f>
      </x:c>
      <x:c r="B962" s="73" t="str">
        <x:f>IF('전기원장'!A962="","",'전기원장'!A962)</x:f>
      </x:c>
      <x:c r="C962" s="73" t="str">
        <x:f>IF('전기원장'!A962="","",'전기원장'!B962)</x:f>
      </x:c>
      <x:c r="D962" s="74" t="str">
        <x:f>IF('전기원장'!A962="","",'전기원장'!C962)</x:f>
      </x:c>
      <x:c r="E962" s="73" t="str">
        <x:f>IF('전기원장'!A962="","",'전기원장'!D962)</x:f>
      </x:c>
      <x:c r="F962" s="73" t="str">
        <x:f>IF('전기원장'!A962="","",'전기원장'!E962)</x:f>
      </x:c>
      <x:c r="G962" s="75" t="str">
        <x:f>IF('전기원장'!A962="","",'전기원장'!H962)</x:f>
      </x:c>
      <x:c r="H962" s="73" t="str">
        <x:f>IF('전기원장'!A962="","",'전기원장'!I962)</x:f>
      </x:c>
      <x:c r="I962" s="73" t="str">
        <x:f>IF('전기원장'!A962="","",'전기원장'!J962)</x:f>
      </x:c>
      <x:c r="J962" s="73" t="str">
        <x:f>IF('전기원장'!A962="","",'전기원장'!K962)</x:f>
      </x:c>
      <x:c r="K962" s="73" t="str">
        <x:f>IF(B962="","",IF(COUNTIF($B$5:B962,B962)=1,COUNT($K$4:K961)+1,""))</x:f>
      </x:c>
      <x:c r="L962" s="85" t="str">
        <x:f>IF(B962="","",IF(COUNTIFS('계정비교'!$A$5:$A$1004,B962,'계정비교'!$H$5:$H$1004,"원인분석 대상")&gt;0,COUNT($L$4:L961)+1,""))</x:f>
      </x:c>
    </x:row>
    <x:row r="963">
      <x:c r="A963" s="73" t="str">
        <x:f>IF('전기원장'!A963="","","전기")</x:f>
      </x:c>
      <x:c r="B963" s="73" t="str">
        <x:f>IF('전기원장'!A963="","",'전기원장'!A963)</x:f>
      </x:c>
      <x:c r="C963" s="73" t="str">
        <x:f>IF('전기원장'!A963="","",'전기원장'!B963)</x:f>
      </x:c>
      <x:c r="D963" s="74" t="str">
        <x:f>IF('전기원장'!A963="","",'전기원장'!C963)</x:f>
      </x:c>
      <x:c r="E963" s="73" t="str">
        <x:f>IF('전기원장'!A963="","",'전기원장'!D963)</x:f>
      </x:c>
      <x:c r="F963" s="73" t="str">
        <x:f>IF('전기원장'!A963="","",'전기원장'!E963)</x:f>
      </x:c>
      <x:c r="G963" s="75" t="str">
        <x:f>IF('전기원장'!A963="","",'전기원장'!H963)</x:f>
      </x:c>
      <x:c r="H963" s="73" t="str">
        <x:f>IF('전기원장'!A963="","",'전기원장'!I963)</x:f>
      </x:c>
      <x:c r="I963" s="73" t="str">
        <x:f>IF('전기원장'!A963="","",'전기원장'!J963)</x:f>
      </x:c>
      <x:c r="J963" s="73" t="str">
        <x:f>IF('전기원장'!A963="","",'전기원장'!K963)</x:f>
      </x:c>
      <x:c r="K963" s="73" t="str">
        <x:f>IF(B963="","",IF(COUNTIF($B$5:B963,B963)=1,COUNT($K$4:K962)+1,""))</x:f>
      </x:c>
      <x:c r="L963" s="85" t="str">
        <x:f>IF(B963="","",IF(COUNTIFS('계정비교'!$A$5:$A$1004,B963,'계정비교'!$H$5:$H$1004,"원인분석 대상")&gt;0,COUNT($L$4:L962)+1,""))</x:f>
      </x:c>
    </x:row>
    <x:row r="964">
      <x:c r="A964" s="73" t="str">
        <x:f>IF('전기원장'!A964="","","전기")</x:f>
      </x:c>
      <x:c r="B964" s="73" t="str">
        <x:f>IF('전기원장'!A964="","",'전기원장'!A964)</x:f>
      </x:c>
      <x:c r="C964" s="73" t="str">
        <x:f>IF('전기원장'!A964="","",'전기원장'!B964)</x:f>
      </x:c>
      <x:c r="D964" s="74" t="str">
        <x:f>IF('전기원장'!A964="","",'전기원장'!C964)</x:f>
      </x:c>
      <x:c r="E964" s="73" t="str">
        <x:f>IF('전기원장'!A964="","",'전기원장'!D964)</x:f>
      </x:c>
      <x:c r="F964" s="73" t="str">
        <x:f>IF('전기원장'!A964="","",'전기원장'!E964)</x:f>
      </x:c>
      <x:c r="G964" s="75" t="str">
        <x:f>IF('전기원장'!A964="","",'전기원장'!H964)</x:f>
      </x:c>
      <x:c r="H964" s="73" t="str">
        <x:f>IF('전기원장'!A964="","",'전기원장'!I964)</x:f>
      </x:c>
      <x:c r="I964" s="73" t="str">
        <x:f>IF('전기원장'!A964="","",'전기원장'!J964)</x:f>
      </x:c>
      <x:c r="J964" s="73" t="str">
        <x:f>IF('전기원장'!A964="","",'전기원장'!K964)</x:f>
      </x:c>
      <x:c r="K964" s="73" t="str">
        <x:f>IF(B964="","",IF(COUNTIF($B$5:B964,B964)=1,COUNT($K$4:K963)+1,""))</x:f>
      </x:c>
      <x:c r="L964" s="85" t="str">
        <x:f>IF(B964="","",IF(COUNTIFS('계정비교'!$A$5:$A$1004,B964,'계정비교'!$H$5:$H$1004,"원인분석 대상")&gt;0,COUNT($L$4:L963)+1,""))</x:f>
      </x:c>
    </x:row>
    <x:row r="965">
      <x:c r="A965" s="73" t="str">
        <x:f>IF('전기원장'!A965="","","전기")</x:f>
      </x:c>
      <x:c r="B965" s="73" t="str">
        <x:f>IF('전기원장'!A965="","",'전기원장'!A965)</x:f>
      </x:c>
      <x:c r="C965" s="73" t="str">
        <x:f>IF('전기원장'!A965="","",'전기원장'!B965)</x:f>
      </x:c>
      <x:c r="D965" s="74" t="str">
        <x:f>IF('전기원장'!A965="","",'전기원장'!C965)</x:f>
      </x:c>
      <x:c r="E965" s="73" t="str">
        <x:f>IF('전기원장'!A965="","",'전기원장'!D965)</x:f>
      </x:c>
      <x:c r="F965" s="73" t="str">
        <x:f>IF('전기원장'!A965="","",'전기원장'!E965)</x:f>
      </x:c>
      <x:c r="G965" s="75" t="str">
        <x:f>IF('전기원장'!A965="","",'전기원장'!H965)</x:f>
      </x:c>
      <x:c r="H965" s="73" t="str">
        <x:f>IF('전기원장'!A965="","",'전기원장'!I965)</x:f>
      </x:c>
      <x:c r="I965" s="73" t="str">
        <x:f>IF('전기원장'!A965="","",'전기원장'!J965)</x:f>
      </x:c>
      <x:c r="J965" s="73" t="str">
        <x:f>IF('전기원장'!A965="","",'전기원장'!K965)</x:f>
      </x:c>
      <x:c r="K965" s="73" t="str">
        <x:f>IF(B965="","",IF(COUNTIF($B$5:B965,B965)=1,COUNT($K$4:K964)+1,""))</x:f>
      </x:c>
      <x:c r="L965" s="85" t="str">
        <x:f>IF(B965="","",IF(COUNTIFS('계정비교'!$A$5:$A$1004,B965,'계정비교'!$H$5:$H$1004,"원인분석 대상")&gt;0,COUNT($L$4:L964)+1,""))</x:f>
      </x:c>
    </x:row>
    <x:row r="966">
      <x:c r="A966" s="73" t="str">
        <x:f>IF('전기원장'!A966="","","전기")</x:f>
      </x:c>
      <x:c r="B966" s="73" t="str">
        <x:f>IF('전기원장'!A966="","",'전기원장'!A966)</x:f>
      </x:c>
      <x:c r="C966" s="73" t="str">
        <x:f>IF('전기원장'!A966="","",'전기원장'!B966)</x:f>
      </x:c>
      <x:c r="D966" s="74" t="str">
        <x:f>IF('전기원장'!A966="","",'전기원장'!C966)</x:f>
      </x:c>
      <x:c r="E966" s="73" t="str">
        <x:f>IF('전기원장'!A966="","",'전기원장'!D966)</x:f>
      </x:c>
      <x:c r="F966" s="73" t="str">
        <x:f>IF('전기원장'!A966="","",'전기원장'!E966)</x:f>
      </x:c>
      <x:c r="G966" s="75" t="str">
        <x:f>IF('전기원장'!A966="","",'전기원장'!H966)</x:f>
      </x:c>
      <x:c r="H966" s="73" t="str">
        <x:f>IF('전기원장'!A966="","",'전기원장'!I966)</x:f>
      </x:c>
      <x:c r="I966" s="73" t="str">
        <x:f>IF('전기원장'!A966="","",'전기원장'!J966)</x:f>
      </x:c>
      <x:c r="J966" s="73" t="str">
        <x:f>IF('전기원장'!A966="","",'전기원장'!K966)</x:f>
      </x:c>
      <x:c r="K966" s="73" t="str">
        <x:f>IF(B966="","",IF(COUNTIF($B$5:B966,B966)=1,COUNT($K$4:K965)+1,""))</x:f>
      </x:c>
      <x:c r="L966" s="85" t="str">
        <x:f>IF(B966="","",IF(COUNTIFS('계정비교'!$A$5:$A$1004,B966,'계정비교'!$H$5:$H$1004,"원인분석 대상")&gt;0,COUNT($L$4:L965)+1,""))</x:f>
      </x:c>
    </x:row>
    <x:row r="967">
      <x:c r="A967" s="73" t="str">
        <x:f>IF('전기원장'!A967="","","전기")</x:f>
      </x:c>
      <x:c r="B967" s="73" t="str">
        <x:f>IF('전기원장'!A967="","",'전기원장'!A967)</x:f>
      </x:c>
      <x:c r="C967" s="73" t="str">
        <x:f>IF('전기원장'!A967="","",'전기원장'!B967)</x:f>
      </x:c>
      <x:c r="D967" s="74" t="str">
        <x:f>IF('전기원장'!A967="","",'전기원장'!C967)</x:f>
      </x:c>
      <x:c r="E967" s="73" t="str">
        <x:f>IF('전기원장'!A967="","",'전기원장'!D967)</x:f>
      </x:c>
      <x:c r="F967" s="73" t="str">
        <x:f>IF('전기원장'!A967="","",'전기원장'!E967)</x:f>
      </x:c>
      <x:c r="G967" s="75" t="str">
        <x:f>IF('전기원장'!A967="","",'전기원장'!H967)</x:f>
      </x:c>
      <x:c r="H967" s="73" t="str">
        <x:f>IF('전기원장'!A967="","",'전기원장'!I967)</x:f>
      </x:c>
      <x:c r="I967" s="73" t="str">
        <x:f>IF('전기원장'!A967="","",'전기원장'!J967)</x:f>
      </x:c>
      <x:c r="J967" s="73" t="str">
        <x:f>IF('전기원장'!A967="","",'전기원장'!K967)</x:f>
      </x:c>
      <x:c r="K967" s="73" t="str">
        <x:f>IF(B967="","",IF(COUNTIF($B$5:B967,B967)=1,COUNT($K$4:K966)+1,""))</x:f>
      </x:c>
      <x:c r="L967" s="85" t="str">
        <x:f>IF(B967="","",IF(COUNTIFS('계정비교'!$A$5:$A$1004,B967,'계정비교'!$H$5:$H$1004,"원인분석 대상")&gt;0,COUNT($L$4:L966)+1,""))</x:f>
      </x:c>
    </x:row>
    <x:row r="968">
      <x:c r="A968" s="73" t="str">
        <x:f>IF('전기원장'!A968="","","전기")</x:f>
      </x:c>
      <x:c r="B968" s="73" t="str">
        <x:f>IF('전기원장'!A968="","",'전기원장'!A968)</x:f>
      </x:c>
      <x:c r="C968" s="73" t="str">
        <x:f>IF('전기원장'!A968="","",'전기원장'!B968)</x:f>
      </x:c>
      <x:c r="D968" s="74" t="str">
        <x:f>IF('전기원장'!A968="","",'전기원장'!C968)</x:f>
      </x:c>
      <x:c r="E968" s="73" t="str">
        <x:f>IF('전기원장'!A968="","",'전기원장'!D968)</x:f>
      </x:c>
      <x:c r="F968" s="73" t="str">
        <x:f>IF('전기원장'!A968="","",'전기원장'!E968)</x:f>
      </x:c>
      <x:c r="G968" s="75" t="str">
        <x:f>IF('전기원장'!A968="","",'전기원장'!H968)</x:f>
      </x:c>
      <x:c r="H968" s="73" t="str">
        <x:f>IF('전기원장'!A968="","",'전기원장'!I968)</x:f>
      </x:c>
      <x:c r="I968" s="73" t="str">
        <x:f>IF('전기원장'!A968="","",'전기원장'!J968)</x:f>
      </x:c>
      <x:c r="J968" s="73" t="str">
        <x:f>IF('전기원장'!A968="","",'전기원장'!K968)</x:f>
      </x:c>
      <x:c r="K968" s="73" t="str">
        <x:f>IF(B968="","",IF(COUNTIF($B$5:B968,B968)=1,COUNT($K$4:K967)+1,""))</x:f>
      </x:c>
      <x:c r="L968" s="85" t="str">
        <x:f>IF(B968="","",IF(COUNTIFS('계정비교'!$A$5:$A$1004,B968,'계정비교'!$H$5:$H$1004,"원인분석 대상")&gt;0,COUNT($L$4:L967)+1,""))</x:f>
      </x:c>
    </x:row>
    <x:row r="969">
      <x:c r="A969" s="73" t="str">
        <x:f>IF('전기원장'!A969="","","전기")</x:f>
      </x:c>
      <x:c r="B969" s="73" t="str">
        <x:f>IF('전기원장'!A969="","",'전기원장'!A969)</x:f>
      </x:c>
      <x:c r="C969" s="73" t="str">
        <x:f>IF('전기원장'!A969="","",'전기원장'!B969)</x:f>
      </x:c>
      <x:c r="D969" s="74" t="str">
        <x:f>IF('전기원장'!A969="","",'전기원장'!C969)</x:f>
      </x:c>
      <x:c r="E969" s="73" t="str">
        <x:f>IF('전기원장'!A969="","",'전기원장'!D969)</x:f>
      </x:c>
      <x:c r="F969" s="73" t="str">
        <x:f>IF('전기원장'!A969="","",'전기원장'!E969)</x:f>
      </x:c>
      <x:c r="G969" s="75" t="str">
        <x:f>IF('전기원장'!A969="","",'전기원장'!H969)</x:f>
      </x:c>
      <x:c r="H969" s="73" t="str">
        <x:f>IF('전기원장'!A969="","",'전기원장'!I969)</x:f>
      </x:c>
      <x:c r="I969" s="73" t="str">
        <x:f>IF('전기원장'!A969="","",'전기원장'!J969)</x:f>
      </x:c>
      <x:c r="J969" s="73" t="str">
        <x:f>IF('전기원장'!A969="","",'전기원장'!K969)</x:f>
      </x:c>
      <x:c r="K969" s="73" t="str">
        <x:f>IF(B969="","",IF(COUNTIF($B$5:B969,B969)=1,COUNT($K$4:K968)+1,""))</x:f>
      </x:c>
      <x:c r="L969" s="85" t="str">
        <x:f>IF(B969="","",IF(COUNTIFS('계정비교'!$A$5:$A$1004,B969,'계정비교'!$H$5:$H$1004,"원인분석 대상")&gt;0,COUNT($L$4:L968)+1,""))</x:f>
      </x:c>
    </x:row>
    <x:row r="970">
      <x:c r="A970" s="73" t="str">
        <x:f>IF('전기원장'!A970="","","전기")</x:f>
      </x:c>
      <x:c r="B970" s="73" t="str">
        <x:f>IF('전기원장'!A970="","",'전기원장'!A970)</x:f>
      </x:c>
      <x:c r="C970" s="73" t="str">
        <x:f>IF('전기원장'!A970="","",'전기원장'!B970)</x:f>
      </x:c>
      <x:c r="D970" s="74" t="str">
        <x:f>IF('전기원장'!A970="","",'전기원장'!C970)</x:f>
      </x:c>
      <x:c r="E970" s="73" t="str">
        <x:f>IF('전기원장'!A970="","",'전기원장'!D970)</x:f>
      </x:c>
      <x:c r="F970" s="73" t="str">
        <x:f>IF('전기원장'!A970="","",'전기원장'!E970)</x:f>
      </x:c>
      <x:c r="G970" s="75" t="str">
        <x:f>IF('전기원장'!A970="","",'전기원장'!H970)</x:f>
      </x:c>
      <x:c r="H970" s="73" t="str">
        <x:f>IF('전기원장'!A970="","",'전기원장'!I970)</x:f>
      </x:c>
      <x:c r="I970" s="73" t="str">
        <x:f>IF('전기원장'!A970="","",'전기원장'!J970)</x:f>
      </x:c>
      <x:c r="J970" s="73" t="str">
        <x:f>IF('전기원장'!A970="","",'전기원장'!K970)</x:f>
      </x:c>
      <x:c r="K970" s="73" t="str">
        <x:f>IF(B970="","",IF(COUNTIF($B$5:B970,B970)=1,COUNT($K$4:K969)+1,""))</x:f>
      </x:c>
      <x:c r="L970" s="85" t="str">
        <x:f>IF(B970="","",IF(COUNTIFS('계정비교'!$A$5:$A$1004,B970,'계정비교'!$H$5:$H$1004,"원인분석 대상")&gt;0,COUNT($L$4:L969)+1,""))</x:f>
      </x:c>
    </x:row>
    <x:row r="971">
      <x:c r="A971" s="73" t="str">
        <x:f>IF('전기원장'!A971="","","전기")</x:f>
      </x:c>
      <x:c r="B971" s="73" t="str">
        <x:f>IF('전기원장'!A971="","",'전기원장'!A971)</x:f>
      </x:c>
      <x:c r="C971" s="73" t="str">
        <x:f>IF('전기원장'!A971="","",'전기원장'!B971)</x:f>
      </x:c>
      <x:c r="D971" s="74" t="str">
        <x:f>IF('전기원장'!A971="","",'전기원장'!C971)</x:f>
      </x:c>
      <x:c r="E971" s="73" t="str">
        <x:f>IF('전기원장'!A971="","",'전기원장'!D971)</x:f>
      </x:c>
      <x:c r="F971" s="73" t="str">
        <x:f>IF('전기원장'!A971="","",'전기원장'!E971)</x:f>
      </x:c>
      <x:c r="G971" s="75" t="str">
        <x:f>IF('전기원장'!A971="","",'전기원장'!H971)</x:f>
      </x:c>
      <x:c r="H971" s="73" t="str">
        <x:f>IF('전기원장'!A971="","",'전기원장'!I971)</x:f>
      </x:c>
      <x:c r="I971" s="73" t="str">
        <x:f>IF('전기원장'!A971="","",'전기원장'!J971)</x:f>
      </x:c>
      <x:c r="J971" s="73" t="str">
        <x:f>IF('전기원장'!A971="","",'전기원장'!K971)</x:f>
      </x:c>
      <x:c r="K971" s="73" t="str">
        <x:f>IF(B971="","",IF(COUNTIF($B$5:B971,B971)=1,COUNT($K$4:K970)+1,""))</x:f>
      </x:c>
      <x:c r="L971" s="85" t="str">
        <x:f>IF(B971="","",IF(COUNTIFS('계정비교'!$A$5:$A$1004,B971,'계정비교'!$H$5:$H$1004,"원인분석 대상")&gt;0,COUNT($L$4:L970)+1,""))</x:f>
      </x:c>
    </x:row>
    <x:row r="972">
      <x:c r="A972" s="73" t="str">
        <x:f>IF('전기원장'!A972="","","전기")</x:f>
      </x:c>
      <x:c r="B972" s="73" t="str">
        <x:f>IF('전기원장'!A972="","",'전기원장'!A972)</x:f>
      </x:c>
      <x:c r="C972" s="73" t="str">
        <x:f>IF('전기원장'!A972="","",'전기원장'!B972)</x:f>
      </x:c>
      <x:c r="D972" s="74" t="str">
        <x:f>IF('전기원장'!A972="","",'전기원장'!C972)</x:f>
      </x:c>
      <x:c r="E972" s="73" t="str">
        <x:f>IF('전기원장'!A972="","",'전기원장'!D972)</x:f>
      </x:c>
      <x:c r="F972" s="73" t="str">
        <x:f>IF('전기원장'!A972="","",'전기원장'!E972)</x:f>
      </x:c>
      <x:c r="G972" s="75" t="str">
        <x:f>IF('전기원장'!A972="","",'전기원장'!H972)</x:f>
      </x:c>
      <x:c r="H972" s="73" t="str">
        <x:f>IF('전기원장'!A972="","",'전기원장'!I972)</x:f>
      </x:c>
      <x:c r="I972" s="73" t="str">
        <x:f>IF('전기원장'!A972="","",'전기원장'!J972)</x:f>
      </x:c>
      <x:c r="J972" s="73" t="str">
        <x:f>IF('전기원장'!A972="","",'전기원장'!K972)</x:f>
      </x:c>
      <x:c r="K972" s="73" t="str">
        <x:f>IF(B972="","",IF(COUNTIF($B$5:B972,B972)=1,COUNT($K$4:K971)+1,""))</x:f>
      </x:c>
      <x:c r="L972" s="85" t="str">
        <x:f>IF(B972="","",IF(COUNTIFS('계정비교'!$A$5:$A$1004,B972,'계정비교'!$H$5:$H$1004,"원인분석 대상")&gt;0,COUNT($L$4:L971)+1,""))</x:f>
      </x:c>
    </x:row>
    <x:row r="973">
      <x:c r="A973" s="73" t="str">
        <x:f>IF('전기원장'!A973="","","전기")</x:f>
      </x:c>
      <x:c r="B973" s="73" t="str">
        <x:f>IF('전기원장'!A973="","",'전기원장'!A973)</x:f>
      </x:c>
      <x:c r="C973" s="73" t="str">
        <x:f>IF('전기원장'!A973="","",'전기원장'!B973)</x:f>
      </x:c>
      <x:c r="D973" s="74" t="str">
        <x:f>IF('전기원장'!A973="","",'전기원장'!C973)</x:f>
      </x:c>
      <x:c r="E973" s="73" t="str">
        <x:f>IF('전기원장'!A973="","",'전기원장'!D973)</x:f>
      </x:c>
      <x:c r="F973" s="73" t="str">
        <x:f>IF('전기원장'!A973="","",'전기원장'!E973)</x:f>
      </x:c>
      <x:c r="G973" s="75" t="str">
        <x:f>IF('전기원장'!A973="","",'전기원장'!H973)</x:f>
      </x:c>
      <x:c r="H973" s="73" t="str">
        <x:f>IF('전기원장'!A973="","",'전기원장'!I973)</x:f>
      </x:c>
      <x:c r="I973" s="73" t="str">
        <x:f>IF('전기원장'!A973="","",'전기원장'!J973)</x:f>
      </x:c>
      <x:c r="J973" s="73" t="str">
        <x:f>IF('전기원장'!A973="","",'전기원장'!K973)</x:f>
      </x:c>
      <x:c r="K973" s="73" t="str">
        <x:f>IF(B973="","",IF(COUNTIF($B$5:B973,B973)=1,COUNT($K$4:K972)+1,""))</x:f>
      </x:c>
      <x:c r="L973" s="85" t="str">
        <x:f>IF(B973="","",IF(COUNTIFS('계정비교'!$A$5:$A$1004,B973,'계정비교'!$H$5:$H$1004,"원인분석 대상")&gt;0,COUNT($L$4:L972)+1,""))</x:f>
      </x:c>
    </x:row>
    <x:row r="974">
      <x:c r="A974" s="73" t="str">
        <x:f>IF('전기원장'!A974="","","전기")</x:f>
      </x:c>
      <x:c r="B974" s="73" t="str">
        <x:f>IF('전기원장'!A974="","",'전기원장'!A974)</x:f>
      </x:c>
      <x:c r="C974" s="73" t="str">
        <x:f>IF('전기원장'!A974="","",'전기원장'!B974)</x:f>
      </x:c>
      <x:c r="D974" s="74" t="str">
        <x:f>IF('전기원장'!A974="","",'전기원장'!C974)</x:f>
      </x:c>
      <x:c r="E974" s="73" t="str">
        <x:f>IF('전기원장'!A974="","",'전기원장'!D974)</x:f>
      </x:c>
      <x:c r="F974" s="73" t="str">
        <x:f>IF('전기원장'!A974="","",'전기원장'!E974)</x:f>
      </x:c>
      <x:c r="G974" s="75" t="str">
        <x:f>IF('전기원장'!A974="","",'전기원장'!H974)</x:f>
      </x:c>
      <x:c r="H974" s="73" t="str">
        <x:f>IF('전기원장'!A974="","",'전기원장'!I974)</x:f>
      </x:c>
      <x:c r="I974" s="73" t="str">
        <x:f>IF('전기원장'!A974="","",'전기원장'!J974)</x:f>
      </x:c>
      <x:c r="J974" s="73" t="str">
        <x:f>IF('전기원장'!A974="","",'전기원장'!K974)</x:f>
      </x:c>
      <x:c r="K974" s="73" t="str">
        <x:f>IF(B974="","",IF(COUNTIF($B$5:B974,B974)=1,COUNT($K$4:K973)+1,""))</x:f>
      </x:c>
      <x:c r="L974" s="85" t="str">
        <x:f>IF(B974="","",IF(COUNTIFS('계정비교'!$A$5:$A$1004,B974,'계정비교'!$H$5:$H$1004,"원인분석 대상")&gt;0,COUNT($L$4:L973)+1,""))</x:f>
      </x:c>
    </x:row>
    <x:row r="975">
      <x:c r="A975" s="73" t="str">
        <x:f>IF('전기원장'!A975="","","전기")</x:f>
      </x:c>
      <x:c r="B975" s="73" t="str">
        <x:f>IF('전기원장'!A975="","",'전기원장'!A975)</x:f>
      </x:c>
      <x:c r="C975" s="73" t="str">
        <x:f>IF('전기원장'!A975="","",'전기원장'!B975)</x:f>
      </x:c>
      <x:c r="D975" s="74" t="str">
        <x:f>IF('전기원장'!A975="","",'전기원장'!C975)</x:f>
      </x:c>
      <x:c r="E975" s="73" t="str">
        <x:f>IF('전기원장'!A975="","",'전기원장'!D975)</x:f>
      </x:c>
      <x:c r="F975" s="73" t="str">
        <x:f>IF('전기원장'!A975="","",'전기원장'!E975)</x:f>
      </x:c>
      <x:c r="G975" s="75" t="str">
        <x:f>IF('전기원장'!A975="","",'전기원장'!H975)</x:f>
      </x:c>
      <x:c r="H975" s="73" t="str">
        <x:f>IF('전기원장'!A975="","",'전기원장'!I975)</x:f>
      </x:c>
      <x:c r="I975" s="73" t="str">
        <x:f>IF('전기원장'!A975="","",'전기원장'!J975)</x:f>
      </x:c>
      <x:c r="J975" s="73" t="str">
        <x:f>IF('전기원장'!A975="","",'전기원장'!K975)</x:f>
      </x:c>
      <x:c r="K975" s="73" t="str">
        <x:f>IF(B975="","",IF(COUNTIF($B$5:B975,B975)=1,COUNT($K$4:K974)+1,""))</x:f>
      </x:c>
      <x:c r="L975" s="85" t="str">
        <x:f>IF(B975="","",IF(COUNTIFS('계정비교'!$A$5:$A$1004,B975,'계정비교'!$H$5:$H$1004,"원인분석 대상")&gt;0,COUNT($L$4:L974)+1,""))</x:f>
      </x:c>
    </x:row>
    <x:row r="976">
      <x:c r="A976" s="73" t="str">
        <x:f>IF('전기원장'!A976="","","전기")</x:f>
      </x:c>
      <x:c r="B976" s="73" t="str">
        <x:f>IF('전기원장'!A976="","",'전기원장'!A976)</x:f>
      </x:c>
      <x:c r="C976" s="73" t="str">
        <x:f>IF('전기원장'!A976="","",'전기원장'!B976)</x:f>
      </x:c>
      <x:c r="D976" s="74" t="str">
        <x:f>IF('전기원장'!A976="","",'전기원장'!C976)</x:f>
      </x:c>
      <x:c r="E976" s="73" t="str">
        <x:f>IF('전기원장'!A976="","",'전기원장'!D976)</x:f>
      </x:c>
      <x:c r="F976" s="73" t="str">
        <x:f>IF('전기원장'!A976="","",'전기원장'!E976)</x:f>
      </x:c>
      <x:c r="G976" s="75" t="str">
        <x:f>IF('전기원장'!A976="","",'전기원장'!H976)</x:f>
      </x:c>
      <x:c r="H976" s="73" t="str">
        <x:f>IF('전기원장'!A976="","",'전기원장'!I976)</x:f>
      </x:c>
      <x:c r="I976" s="73" t="str">
        <x:f>IF('전기원장'!A976="","",'전기원장'!J976)</x:f>
      </x:c>
      <x:c r="J976" s="73" t="str">
        <x:f>IF('전기원장'!A976="","",'전기원장'!K976)</x:f>
      </x:c>
      <x:c r="K976" s="73" t="str">
        <x:f>IF(B976="","",IF(COUNTIF($B$5:B976,B976)=1,COUNT($K$4:K975)+1,""))</x:f>
      </x:c>
      <x:c r="L976" s="85" t="str">
        <x:f>IF(B976="","",IF(COUNTIFS('계정비교'!$A$5:$A$1004,B976,'계정비교'!$H$5:$H$1004,"원인분석 대상")&gt;0,COUNT($L$4:L975)+1,""))</x:f>
      </x:c>
    </x:row>
    <x:row r="977">
      <x:c r="A977" s="73" t="str">
        <x:f>IF('전기원장'!A977="","","전기")</x:f>
      </x:c>
      <x:c r="B977" s="73" t="str">
        <x:f>IF('전기원장'!A977="","",'전기원장'!A977)</x:f>
      </x:c>
      <x:c r="C977" s="73" t="str">
        <x:f>IF('전기원장'!A977="","",'전기원장'!B977)</x:f>
      </x:c>
      <x:c r="D977" s="74" t="str">
        <x:f>IF('전기원장'!A977="","",'전기원장'!C977)</x:f>
      </x:c>
      <x:c r="E977" s="73" t="str">
        <x:f>IF('전기원장'!A977="","",'전기원장'!D977)</x:f>
      </x:c>
      <x:c r="F977" s="73" t="str">
        <x:f>IF('전기원장'!A977="","",'전기원장'!E977)</x:f>
      </x:c>
      <x:c r="G977" s="75" t="str">
        <x:f>IF('전기원장'!A977="","",'전기원장'!H977)</x:f>
      </x:c>
      <x:c r="H977" s="73" t="str">
        <x:f>IF('전기원장'!A977="","",'전기원장'!I977)</x:f>
      </x:c>
      <x:c r="I977" s="73" t="str">
        <x:f>IF('전기원장'!A977="","",'전기원장'!J977)</x:f>
      </x:c>
      <x:c r="J977" s="73" t="str">
        <x:f>IF('전기원장'!A977="","",'전기원장'!K977)</x:f>
      </x:c>
      <x:c r="K977" s="73" t="str">
        <x:f>IF(B977="","",IF(COUNTIF($B$5:B977,B977)=1,COUNT($K$4:K976)+1,""))</x:f>
      </x:c>
      <x:c r="L977" s="85" t="str">
        <x:f>IF(B977="","",IF(COUNTIFS('계정비교'!$A$5:$A$1004,B977,'계정비교'!$H$5:$H$1004,"원인분석 대상")&gt;0,COUNT($L$4:L976)+1,""))</x:f>
      </x:c>
    </x:row>
    <x:row r="978">
      <x:c r="A978" s="73" t="str">
        <x:f>IF('전기원장'!A978="","","전기")</x:f>
      </x:c>
      <x:c r="B978" s="73" t="str">
        <x:f>IF('전기원장'!A978="","",'전기원장'!A978)</x:f>
      </x:c>
      <x:c r="C978" s="73" t="str">
        <x:f>IF('전기원장'!A978="","",'전기원장'!B978)</x:f>
      </x:c>
      <x:c r="D978" s="74" t="str">
        <x:f>IF('전기원장'!A978="","",'전기원장'!C978)</x:f>
      </x:c>
      <x:c r="E978" s="73" t="str">
        <x:f>IF('전기원장'!A978="","",'전기원장'!D978)</x:f>
      </x:c>
      <x:c r="F978" s="73" t="str">
        <x:f>IF('전기원장'!A978="","",'전기원장'!E978)</x:f>
      </x:c>
      <x:c r="G978" s="75" t="str">
        <x:f>IF('전기원장'!A978="","",'전기원장'!H978)</x:f>
      </x:c>
      <x:c r="H978" s="73" t="str">
        <x:f>IF('전기원장'!A978="","",'전기원장'!I978)</x:f>
      </x:c>
      <x:c r="I978" s="73" t="str">
        <x:f>IF('전기원장'!A978="","",'전기원장'!J978)</x:f>
      </x:c>
      <x:c r="J978" s="73" t="str">
        <x:f>IF('전기원장'!A978="","",'전기원장'!K978)</x:f>
      </x:c>
      <x:c r="K978" s="73" t="str">
        <x:f>IF(B978="","",IF(COUNTIF($B$5:B978,B978)=1,COUNT($K$4:K977)+1,""))</x:f>
      </x:c>
      <x:c r="L978" s="85" t="str">
        <x:f>IF(B978="","",IF(COUNTIFS('계정비교'!$A$5:$A$1004,B978,'계정비교'!$H$5:$H$1004,"원인분석 대상")&gt;0,COUNT($L$4:L977)+1,""))</x:f>
      </x:c>
    </x:row>
    <x:row r="979">
      <x:c r="A979" s="73" t="str">
        <x:f>IF('전기원장'!A979="","","전기")</x:f>
      </x:c>
      <x:c r="B979" s="73" t="str">
        <x:f>IF('전기원장'!A979="","",'전기원장'!A979)</x:f>
      </x:c>
      <x:c r="C979" s="73" t="str">
        <x:f>IF('전기원장'!A979="","",'전기원장'!B979)</x:f>
      </x:c>
      <x:c r="D979" s="74" t="str">
        <x:f>IF('전기원장'!A979="","",'전기원장'!C979)</x:f>
      </x:c>
      <x:c r="E979" s="73" t="str">
        <x:f>IF('전기원장'!A979="","",'전기원장'!D979)</x:f>
      </x:c>
      <x:c r="F979" s="73" t="str">
        <x:f>IF('전기원장'!A979="","",'전기원장'!E979)</x:f>
      </x:c>
      <x:c r="G979" s="75" t="str">
        <x:f>IF('전기원장'!A979="","",'전기원장'!H979)</x:f>
      </x:c>
      <x:c r="H979" s="73" t="str">
        <x:f>IF('전기원장'!A979="","",'전기원장'!I979)</x:f>
      </x:c>
      <x:c r="I979" s="73" t="str">
        <x:f>IF('전기원장'!A979="","",'전기원장'!J979)</x:f>
      </x:c>
      <x:c r="J979" s="73" t="str">
        <x:f>IF('전기원장'!A979="","",'전기원장'!K979)</x:f>
      </x:c>
      <x:c r="K979" s="73" t="str">
        <x:f>IF(B979="","",IF(COUNTIF($B$5:B979,B979)=1,COUNT($K$4:K978)+1,""))</x:f>
      </x:c>
      <x:c r="L979" s="85" t="str">
        <x:f>IF(B979="","",IF(COUNTIFS('계정비교'!$A$5:$A$1004,B979,'계정비교'!$H$5:$H$1004,"원인분석 대상")&gt;0,COUNT($L$4:L978)+1,""))</x:f>
      </x:c>
    </x:row>
    <x:row r="980">
      <x:c r="A980" s="73" t="str">
        <x:f>IF('전기원장'!A980="","","전기")</x:f>
      </x:c>
      <x:c r="B980" s="73" t="str">
        <x:f>IF('전기원장'!A980="","",'전기원장'!A980)</x:f>
      </x:c>
      <x:c r="C980" s="73" t="str">
        <x:f>IF('전기원장'!A980="","",'전기원장'!B980)</x:f>
      </x:c>
      <x:c r="D980" s="74" t="str">
        <x:f>IF('전기원장'!A980="","",'전기원장'!C980)</x:f>
      </x:c>
      <x:c r="E980" s="73" t="str">
        <x:f>IF('전기원장'!A980="","",'전기원장'!D980)</x:f>
      </x:c>
      <x:c r="F980" s="73" t="str">
        <x:f>IF('전기원장'!A980="","",'전기원장'!E980)</x:f>
      </x:c>
      <x:c r="G980" s="75" t="str">
        <x:f>IF('전기원장'!A980="","",'전기원장'!H980)</x:f>
      </x:c>
      <x:c r="H980" s="73" t="str">
        <x:f>IF('전기원장'!A980="","",'전기원장'!I980)</x:f>
      </x:c>
      <x:c r="I980" s="73" t="str">
        <x:f>IF('전기원장'!A980="","",'전기원장'!J980)</x:f>
      </x:c>
      <x:c r="J980" s="73" t="str">
        <x:f>IF('전기원장'!A980="","",'전기원장'!K980)</x:f>
      </x:c>
      <x:c r="K980" s="73" t="str">
        <x:f>IF(B980="","",IF(COUNTIF($B$5:B980,B980)=1,COUNT($K$4:K979)+1,""))</x:f>
      </x:c>
      <x:c r="L980" s="85" t="str">
        <x:f>IF(B980="","",IF(COUNTIFS('계정비교'!$A$5:$A$1004,B980,'계정비교'!$H$5:$H$1004,"원인분석 대상")&gt;0,COUNT($L$4:L979)+1,""))</x:f>
      </x:c>
    </x:row>
    <x:row r="981">
      <x:c r="A981" s="73" t="str">
        <x:f>IF('전기원장'!A981="","","전기")</x:f>
      </x:c>
      <x:c r="B981" s="73" t="str">
        <x:f>IF('전기원장'!A981="","",'전기원장'!A981)</x:f>
      </x:c>
      <x:c r="C981" s="73" t="str">
        <x:f>IF('전기원장'!A981="","",'전기원장'!B981)</x:f>
      </x:c>
      <x:c r="D981" s="74" t="str">
        <x:f>IF('전기원장'!A981="","",'전기원장'!C981)</x:f>
      </x:c>
      <x:c r="E981" s="73" t="str">
        <x:f>IF('전기원장'!A981="","",'전기원장'!D981)</x:f>
      </x:c>
      <x:c r="F981" s="73" t="str">
        <x:f>IF('전기원장'!A981="","",'전기원장'!E981)</x:f>
      </x:c>
      <x:c r="G981" s="75" t="str">
        <x:f>IF('전기원장'!A981="","",'전기원장'!H981)</x:f>
      </x:c>
      <x:c r="H981" s="73" t="str">
        <x:f>IF('전기원장'!A981="","",'전기원장'!I981)</x:f>
      </x:c>
      <x:c r="I981" s="73" t="str">
        <x:f>IF('전기원장'!A981="","",'전기원장'!J981)</x:f>
      </x:c>
      <x:c r="J981" s="73" t="str">
        <x:f>IF('전기원장'!A981="","",'전기원장'!K981)</x:f>
      </x:c>
      <x:c r="K981" s="73" t="str">
        <x:f>IF(B981="","",IF(COUNTIF($B$5:B981,B981)=1,COUNT($K$4:K980)+1,""))</x:f>
      </x:c>
      <x:c r="L981" s="85" t="str">
        <x:f>IF(B981="","",IF(COUNTIFS('계정비교'!$A$5:$A$1004,B981,'계정비교'!$H$5:$H$1004,"원인분석 대상")&gt;0,COUNT($L$4:L980)+1,""))</x:f>
      </x:c>
    </x:row>
    <x:row r="982">
      <x:c r="A982" s="73" t="str">
        <x:f>IF('전기원장'!A982="","","전기")</x:f>
      </x:c>
      <x:c r="B982" s="73" t="str">
        <x:f>IF('전기원장'!A982="","",'전기원장'!A982)</x:f>
      </x:c>
      <x:c r="C982" s="73" t="str">
        <x:f>IF('전기원장'!A982="","",'전기원장'!B982)</x:f>
      </x:c>
      <x:c r="D982" s="74" t="str">
        <x:f>IF('전기원장'!A982="","",'전기원장'!C982)</x:f>
      </x:c>
      <x:c r="E982" s="73" t="str">
        <x:f>IF('전기원장'!A982="","",'전기원장'!D982)</x:f>
      </x:c>
      <x:c r="F982" s="73" t="str">
        <x:f>IF('전기원장'!A982="","",'전기원장'!E982)</x:f>
      </x:c>
      <x:c r="G982" s="75" t="str">
        <x:f>IF('전기원장'!A982="","",'전기원장'!H982)</x:f>
      </x:c>
      <x:c r="H982" s="73" t="str">
        <x:f>IF('전기원장'!A982="","",'전기원장'!I982)</x:f>
      </x:c>
      <x:c r="I982" s="73" t="str">
        <x:f>IF('전기원장'!A982="","",'전기원장'!J982)</x:f>
      </x:c>
      <x:c r="J982" s="73" t="str">
        <x:f>IF('전기원장'!A982="","",'전기원장'!K982)</x:f>
      </x:c>
      <x:c r="K982" s="73" t="str">
        <x:f>IF(B982="","",IF(COUNTIF($B$5:B982,B982)=1,COUNT($K$4:K981)+1,""))</x:f>
      </x:c>
      <x:c r="L982" s="85" t="str">
        <x:f>IF(B982="","",IF(COUNTIFS('계정비교'!$A$5:$A$1004,B982,'계정비교'!$H$5:$H$1004,"원인분석 대상")&gt;0,COUNT($L$4:L981)+1,""))</x:f>
      </x:c>
    </x:row>
    <x:row r="983">
      <x:c r="A983" s="73" t="str">
        <x:f>IF('전기원장'!A983="","","전기")</x:f>
      </x:c>
      <x:c r="B983" s="73" t="str">
        <x:f>IF('전기원장'!A983="","",'전기원장'!A983)</x:f>
      </x:c>
      <x:c r="C983" s="73" t="str">
        <x:f>IF('전기원장'!A983="","",'전기원장'!B983)</x:f>
      </x:c>
      <x:c r="D983" s="74" t="str">
        <x:f>IF('전기원장'!A983="","",'전기원장'!C983)</x:f>
      </x:c>
      <x:c r="E983" s="73" t="str">
        <x:f>IF('전기원장'!A983="","",'전기원장'!D983)</x:f>
      </x:c>
      <x:c r="F983" s="73" t="str">
        <x:f>IF('전기원장'!A983="","",'전기원장'!E983)</x:f>
      </x:c>
      <x:c r="G983" s="75" t="str">
        <x:f>IF('전기원장'!A983="","",'전기원장'!H983)</x:f>
      </x:c>
      <x:c r="H983" s="73" t="str">
        <x:f>IF('전기원장'!A983="","",'전기원장'!I983)</x:f>
      </x:c>
      <x:c r="I983" s="73" t="str">
        <x:f>IF('전기원장'!A983="","",'전기원장'!J983)</x:f>
      </x:c>
      <x:c r="J983" s="73" t="str">
        <x:f>IF('전기원장'!A983="","",'전기원장'!K983)</x:f>
      </x:c>
      <x:c r="K983" s="73" t="str">
        <x:f>IF(B983="","",IF(COUNTIF($B$5:B983,B983)=1,COUNT($K$4:K982)+1,""))</x:f>
      </x:c>
      <x:c r="L983" s="85" t="str">
        <x:f>IF(B983="","",IF(COUNTIFS('계정비교'!$A$5:$A$1004,B983,'계정비교'!$H$5:$H$1004,"원인분석 대상")&gt;0,COUNT($L$4:L982)+1,""))</x:f>
      </x:c>
    </x:row>
    <x:row r="984">
      <x:c r="A984" s="73" t="str">
        <x:f>IF('전기원장'!A984="","","전기")</x:f>
      </x:c>
      <x:c r="B984" s="73" t="str">
        <x:f>IF('전기원장'!A984="","",'전기원장'!A984)</x:f>
      </x:c>
      <x:c r="C984" s="73" t="str">
        <x:f>IF('전기원장'!A984="","",'전기원장'!B984)</x:f>
      </x:c>
      <x:c r="D984" s="74" t="str">
        <x:f>IF('전기원장'!A984="","",'전기원장'!C984)</x:f>
      </x:c>
      <x:c r="E984" s="73" t="str">
        <x:f>IF('전기원장'!A984="","",'전기원장'!D984)</x:f>
      </x:c>
      <x:c r="F984" s="73" t="str">
        <x:f>IF('전기원장'!A984="","",'전기원장'!E984)</x:f>
      </x:c>
      <x:c r="G984" s="75" t="str">
        <x:f>IF('전기원장'!A984="","",'전기원장'!H984)</x:f>
      </x:c>
      <x:c r="H984" s="73" t="str">
        <x:f>IF('전기원장'!A984="","",'전기원장'!I984)</x:f>
      </x:c>
      <x:c r="I984" s="73" t="str">
        <x:f>IF('전기원장'!A984="","",'전기원장'!J984)</x:f>
      </x:c>
      <x:c r="J984" s="73" t="str">
        <x:f>IF('전기원장'!A984="","",'전기원장'!K984)</x:f>
      </x:c>
      <x:c r="K984" s="73" t="str">
        <x:f>IF(B984="","",IF(COUNTIF($B$5:B984,B984)=1,COUNT($K$4:K983)+1,""))</x:f>
      </x:c>
      <x:c r="L984" s="85" t="str">
        <x:f>IF(B984="","",IF(COUNTIFS('계정비교'!$A$5:$A$1004,B984,'계정비교'!$H$5:$H$1004,"원인분석 대상")&gt;0,COUNT($L$4:L983)+1,""))</x:f>
      </x:c>
    </x:row>
    <x:row r="985">
      <x:c r="A985" s="73" t="str">
        <x:f>IF('전기원장'!A985="","","전기")</x:f>
      </x:c>
      <x:c r="B985" s="73" t="str">
        <x:f>IF('전기원장'!A985="","",'전기원장'!A985)</x:f>
      </x:c>
      <x:c r="C985" s="73" t="str">
        <x:f>IF('전기원장'!A985="","",'전기원장'!B985)</x:f>
      </x:c>
      <x:c r="D985" s="74" t="str">
        <x:f>IF('전기원장'!A985="","",'전기원장'!C985)</x:f>
      </x:c>
      <x:c r="E985" s="73" t="str">
        <x:f>IF('전기원장'!A985="","",'전기원장'!D985)</x:f>
      </x:c>
      <x:c r="F985" s="73" t="str">
        <x:f>IF('전기원장'!A985="","",'전기원장'!E985)</x:f>
      </x:c>
      <x:c r="G985" s="75" t="str">
        <x:f>IF('전기원장'!A985="","",'전기원장'!H985)</x:f>
      </x:c>
      <x:c r="H985" s="73" t="str">
        <x:f>IF('전기원장'!A985="","",'전기원장'!I985)</x:f>
      </x:c>
      <x:c r="I985" s="73" t="str">
        <x:f>IF('전기원장'!A985="","",'전기원장'!J985)</x:f>
      </x:c>
      <x:c r="J985" s="73" t="str">
        <x:f>IF('전기원장'!A985="","",'전기원장'!K985)</x:f>
      </x:c>
      <x:c r="K985" s="73" t="str">
        <x:f>IF(B985="","",IF(COUNTIF($B$5:B985,B985)=1,COUNT($K$4:K984)+1,""))</x:f>
      </x:c>
      <x:c r="L985" s="85" t="str">
        <x:f>IF(B985="","",IF(COUNTIFS('계정비교'!$A$5:$A$1004,B985,'계정비교'!$H$5:$H$1004,"원인분석 대상")&gt;0,COUNT($L$4:L984)+1,""))</x:f>
      </x:c>
    </x:row>
    <x:row r="986">
      <x:c r="A986" s="73" t="str">
        <x:f>IF('전기원장'!A986="","","전기")</x:f>
      </x:c>
      <x:c r="B986" s="73" t="str">
        <x:f>IF('전기원장'!A986="","",'전기원장'!A986)</x:f>
      </x:c>
      <x:c r="C986" s="73" t="str">
        <x:f>IF('전기원장'!A986="","",'전기원장'!B986)</x:f>
      </x:c>
      <x:c r="D986" s="74" t="str">
        <x:f>IF('전기원장'!A986="","",'전기원장'!C986)</x:f>
      </x:c>
      <x:c r="E986" s="73" t="str">
        <x:f>IF('전기원장'!A986="","",'전기원장'!D986)</x:f>
      </x:c>
      <x:c r="F986" s="73" t="str">
        <x:f>IF('전기원장'!A986="","",'전기원장'!E986)</x:f>
      </x:c>
      <x:c r="G986" s="75" t="str">
        <x:f>IF('전기원장'!A986="","",'전기원장'!H986)</x:f>
      </x:c>
      <x:c r="H986" s="73" t="str">
        <x:f>IF('전기원장'!A986="","",'전기원장'!I986)</x:f>
      </x:c>
      <x:c r="I986" s="73" t="str">
        <x:f>IF('전기원장'!A986="","",'전기원장'!J986)</x:f>
      </x:c>
      <x:c r="J986" s="73" t="str">
        <x:f>IF('전기원장'!A986="","",'전기원장'!K986)</x:f>
      </x:c>
      <x:c r="K986" s="73" t="str">
        <x:f>IF(B986="","",IF(COUNTIF($B$5:B986,B986)=1,COUNT($K$4:K985)+1,""))</x:f>
      </x:c>
      <x:c r="L986" s="85" t="str">
        <x:f>IF(B986="","",IF(COUNTIFS('계정비교'!$A$5:$A$1004,B986,'계정비교'!$H$5:$H$1004,"원인분석 대상")&gt;0,COUNT($L$4:L985)+1,""))</x:f>
      </x:c>
    </x:row>
    <x:row r="987">
      <x:c r="A987" s="73" t="str">
        <x:f>IF('전기원장'!A987="","","전기")</x:f>
      </x:c>
      <x:c r="B987" s="73" t="str">
        <x:f>IF('전기원장'!A987="","",'전기원장'!A987)</x:f>
      </x:c>
      <x:c r="C987" s="73" t="str">
        <x:f>IF('전기원장'!A987="","",'전기원장'!B987)</x:f>
      </x:c>
      <x:c r="D987" s="74" t="str">
        <x:f>IF('전기원장'!A987="","",'전기원장'!C987)</x:f>
      </x:c>
      <x:c r="E987" s="73" t="str">
        <x:f>IF('전기원장'!A987="","",'전기원장'!D987)</x:f>
      </x:c>
      <x:c r="F987" s="73" t="str">
        <x:f>IF('전기원장'!A987="","",'전기원장'!E987)</x:f>
      </x:c>
      <x:c r="G987" s="75" t="str">
        <x:f>IF('전기원장'!A987="","",'전기원장'!H987)</x:f>
      </x:c>
      <x:c r="H987" s="73" t="str">
        <x:f>IF('전기원장'!A987="","",'전기원장'!I987)</x:f>
      </x:c>
      <x:c r="I987" s="73" t="str">
        <x:f>IF('전기원장'!A987="","",'전기원장'!J987)</x:f>
      </x:c>
      <x:c r="J987" s="73" t="str">
        <x:f>IF('전기원장'!A987="","",'전기원장'!K987)</x:f>
      </x:c>
      <x:c r="K987" s="73" t="str">
        <x:f>IF(B987="","",IF(COUNTIF($B$5:B987,B987)=1,COUNT($K$4:K986)+1,""))</x:f>
      </x:c>
      <x:c r="L987" s="85" t="str">
        <x:f>IF(B987="","",IF(COUNTIFS('계정비교'!$A$5:$A$1004,B987,'계정비교'!$H$5:$H$1004,"원인분석 대상")&gt;0,COUNT($L$4:L986)+1,""))</x:f>
      </x:c>
    </x:row>
    <x:row r="988">
      <x:c r="A988" s="73" t="str">
        <x:f>IF('전기원장'!A988="","","전기")</x:f>
      </x:c>
      <x:c r="B988" s="73" t="str">
        <x:f>IF('전기원장'!A988="","",'전기원장'!A988)</x:f>
      </x:c>
      <x:c r="C988" s="73" t="str">
        <x:f>IF('전기원장'!A988="","",'전기원장'!B988)</x:f>
      </x:c>
      <x:c r="D988" s="74" t="str">
        <x:f>IF('전기원장'!A988="","",'전기원장'!C988)</x:f>
      </x:c>
      <x:c r="E988" s="73" t="str">
        <x:f>IF('전기원장'!A988="","",'전기원장'!D988)</x:f>
      </x:c>
      <x:c r="F988" s="73" t="str">
        <x:f>IF('전기원장'!A988="","",'전기원장'!E988)</x:f>
      </x:c>
      <x:c r="G988" s="75" t="str">
        <x:f>IF('전기원장'!A988="","",'전기원장'!H988)</x:f>
      </x:c>
      <x:c r="H988" s="73" t="str">
        <x:f>IF('전기원장'!A988="","",'전기원장'!I988)</x:f>
      </x:c>
      <x:c r="I988" s="73" t="str">
        <x:f>IF('전기원장'!A988="","",'전기원장'!J988)</x:f>
      </x:c>
      <x:c r="J988" s="73" t="str">
        <x:f>IF('전기원장'!A988="","",'전기원장'!K988)</x:f>
      </x:c>
      <x:c r="K988" s="73" t="str">
        <x:f>IF(B988="","",IF(COUNTIF($B$5:B988,B988)=1,COUNT($K$4:K987)+1,""))</x:f>
      </x:c>
      <x:c r="L988" s="85" t="str">
        <x:f>IF(B988="","",IF(COUNTIFS('계정비교'!$A$5:$A$1004,B988,'계정비교'!$H$5:$H$1004,"원인분석 대상")&gt;0,COUNT($L$4:L987)+1,""))</x:f>
      </x:c>
    </x:row>
    <x:row r="989">
      <x:c r="A989" s="73" t="str">
        <x:f>IF('전기원장'!A989="","","전기")</x:f>
      </x:c>
      <x:c r="B989" s="73" t="str">
        <x:f>IF('전기원장'!A989="","",'전기원장'!A989)</x:f>
      </x:c>
      <x:c r="C989" s="73" t="str">
        <x:f>IF('전기원장'!A989="","",'전기원장'!B989)</x:f>
      </x:c>
      <x:c r="D989" s="74" t="str">
        <x:f>IF('전기원장'!A989="","",'전기원장'!C989)</x:f>
      </x:c>
      <x:c r="E989" s="73" t="str">
        <x:f>IF('전기원장'!A989="","",'전기원장'!D989)</x:f>
      </x:c>
      <x:c r="F989" s="73" t="str">
        <x:f>IF('전기원장'!A989="","",'전기원장'!E989)</x:f>
      </x:c>
      <x:c r="G989" s="75" t="str">
        <x:f>IF('전기원장'!A989="","",'전기원장'!H989)</x:f>
      </x:c>
      <x:c r="H989" s="73" t="str">
        <x:f>IF('전기원장'!A989="","",'전기원장'!I989)</x:f>
      </x:c>
      <x:c r="I989" s="73" t="str">
        <x:f>IF('전기원장'!A989="","",'전기원장'!J989)</x:f>
      </x:c>
      <x:c r="J989" s="73" t="str">
        <x:f>IF('전기원장'!A989="","",'전기원장'!K989)</x:f>
      </x:c>
      <x:c r="K989" s="73" t="str">
        <x:f>IF(B989="","",IF(COUNTIF($B$5:B989,B989)=1,COUNT($K$4:K988)+1,""))</x:f>
      </x:c>
      <x:c r="L989" s="85" t="str">
        <x:f>IF(B989="","",IF(COUNTIFS('계정비교'!$A$5:$A$1004,B989,'계정비교'!$H$5:$H$1004,"원인분석 대상")&gt;0,COUNT($L$4:L988)+1,""))</x:f>
      </x:c>
    </x:row>
    <x:row r="990">
      <x:c r="A990" s="73" t="str">
        <x:f>IF('전기원장'!A990="","","전기")</x:f>
      </x:c>
      <x:c r="B990" s="73" t="str">
        <x:f>IF('전기원장'!A990="","",'전기원장'!A990)</x:f>
      </x:c>
      <x:c r="C990" s="73" t="str">
        <x:f>IF('전기원장'!A990="","",'전기원장'!B990)</x:f>
      </x:c>
      <x:c r="D990" s="74" t="str">
        <x:f>IF('전기원장'!A990="","",'전기원장'!C990)</x:f>
      </x:c>
      <x:c r="E990" s="73" t="str">
        <x:f>IF('전기원장'!A990="","",'전기원장'!D990)</x:f>
      </x:c>
      <x:c r="F990" s="73" t="str">
        <x:f>IF('전기원장'!A990="","",'전기원장'!E990)</x:f>
      </x:c>
      <x:c r="G990" s="75" t="str">
        <x:f>IF('전기원장'!A990="","",'전기원장'!H990)</x:f>
      </x:c>
      <x:c r="H990" s="73" t="str">
        <x:f>IF('전기원장'!A990="","",'전기원장'!I990)</x:f>
      </x:c>
      <x:c r="I990" s="73" t="str">
        <x:f>IF('전기원장'!A990="","",'전기원장'!J990)</x:f>
      </x:c>
      <x:c r="J990" s="73" t="str">
        <x:f>IF('전기원장'!A990="","",'전기원장'!K990)</x:f>
      </x:c>
      <x:c r="K990" s="73" t="str">
        <x:f>IF(B990="","",IF(COUNTIF($B$5:B990,B990)=1,COUNT($K$4:K989)+1,""))</x:f>
      </x:c>
      <x:c r="L990" s="85" t="str">
        <x:f>IF(B990="","",IF(COUNTIFS('계정비교'!$A$5:$A$1004,B990,'계정비교'!$H$5:$H$1004,"원인분석 대상")&gt;0,COUNT($L$4:L989)+1,""))</x:f>
      </x:c>
    </x:row>
    <x:row r="991">
      <x:c r="A991" s="73" t="str">
        <x:f>IF('전기원장'!A991="","","전기")</x:f>
      </x:c>
      <x:c r="B991" s="73" t="str">
        <x:f>IF('전기원장'!A991="","",'전기원장'!A991)</x:f>
      </x:c>
      <x:c r="C991" s="73" t="str">
        <x:f>IF('전기원장'!A991="","",'전기원장'!B991)</x:f>
      </x:c>
      <x:c r="D991" s="74" t="str">
        <x:f>IF('전기원장'!A991="","",'전기원장'!C991)</x:f>
      </x:c>
      <x:c r="E991" s="73" t="str">
        <x:f>IF('전기원장'!A991="","",'전기원장'!D991)</x:f>
      </x:c>
      <x:c r="F991" s="73" t="str">
        <x:f>IF('전기원장'!A991="","",'전기원장'!E991)</x:f>
      </x:c>
      <x:c r="G991" s="75" t="str">
        <x:f>IF('전기원장'!A991="","",'전기원장'!H991)</x:f>
      </x:c>
      <x:c r="H991" s="73" t="str">
        <x:f>IF('전기원장'!A991="","",'전기원장'!I991)</x:f>
      </x:c>
      <x:c r="I991" s="73" t="str">
        <x:f>IF('전기원장'!A991="","",'전기원장'!J991)</x:f>
      </x:c>
      <x:c r="J991" s="73" t="str">
        <x:f>IF('전기원장'!A991="","",'전기원장'!K991)</x:f>
      </x:c>
      <x:c r="K991" s="73" t="str">
        <x:f>IF(B991="","",IF(COUNTIF($B$5:B991,B991)=1,COUNT($K$4:K990)+1,""))</x:f>
      </x:c>
      <x:c r="L991" s="85" t="str">
        <x:f>IF(B991="","",IF(COUNTIFS('계정비교'!$A$5:$A$1004,B991,'계정비교'!$H$5:$H$1004,"원인분석 대상")&gt;0,COUNT($L$4:L990)+1,""))</x:f>
      </x:c>
    </x:row>
    <x:row r="992">
      <x:c r="A992" s="73" t="str">
        <x:f>IF('전기원장'!A992="","","전기")</x:f>
      </x:c>
      <x:c r="B992" s="73" t="str">
        <x:f>IF('전기원장'!A992="","",'전기원장'!A992)</x:f>
      </x:c>
      <x:c r="C992" s="73" t="str">
        <x:f>IF('전기원장'!A992="","",'전기원장'!B992)</x:f>
      </x:c>
      <x:c r="D992" s="74" t="str">
        <x:f>IF('전기원장'!A992="","",'전기원장'!C992)</x:f>
      </x:c>
      <x:c r="E992" s="73" t="str">
        <x:f>IF('전기원장'!A992="","",'전기원장'!D992)</x:f>
      </x:c>
      <x:c r="F992" s="73" t="str">
        <x:f>IF('전기원장'!A992="","",'전기원장'!E992)</x:f>
      </x:c>
      <x:c r="G992" s="75" t="str">
        <x:f>IF('전기원장'!A992="","",'전기원장'!H992)</x:f>
      </x:c>
      <x:c r="H992" s="73" t="str">
        <x:f>IF('전기원장'!A992="","",'전기원장'!I992)</x:f>
      </x:c>
      <x:c r="I992" s="73" t="str">
        <x:f>IF('전기원장'!A992="","",'전기원장'!J992)</x:f>
      </x:c>
      <x:c r="J992" s="73" t="str">
        <x:f>IF('전기원장'!A992="","",'전기원장'!K992)</x:f>
      </x:c>
      <x:c r="K992" s="73" t="str">
        <x:f>IF(B992="","",IF(COUNTIF($B$5:B992,B992)=1,COUNT($K$4:K991)+1,""))</x:f>
      </x:c>
      <x:c r="L992" s="85" t="str">
        <x:f>IF(B992="","",IF(COUNTIFS('계정비교'!$A$5:$A$1004,B992,'계정비교'!$H$5:$H$1004,"원인분석 대상")&gt;0,COUNT($L$4:L991)+1,""))</x:f>
      </x:c>
    </x:row>
    <x:row r="993">
      <x:c r="A993" s="73" t="str">
        <x:f>IF('전기원장'!A993="","","전기")</x:f>
      </x:c>
      <x:c r="B993" s="73" t="str">
        <x:f>IF('전기원장'!A993="","",'전기원장'!A993)</x:f>
      </x:c>
      <x:c r="C993" s="73" t="str">
        <x:f>IF('전기원장'!A993="","",'전기원장'!B993)</x:f>
      </x:c>
      <x:c r="D993" s="74" t="str">
        <x:f>IF('전기원장'!A993="","",'전기원장'!C993)</x:f>
      </x:c>
      <x:c r="E993" s="73" t="str">
        <x:f>IF('전기원장'!A993="","",'전기원장'!D993)</x:f>
      </x:c>
      <x:c r="F993" s="73" t="str">
        <x:f>IF('전기원장'!A993="","",'전기원장'!E993)</x:f>
      </x:c>
      <x:c r="G993" s="75" t="str">
        <x:f>IF('전기원장'!A993="","",'전기원장'!H993)</x:f>
      </x:c>
      <x:c r="H993" s="73" t="str">
        <x:f>IF('전기원장'!A993="","",'전기원장'!I993)</x:f>
      </x:c>
      <x:c r="I993" s="73" t="str">
        <x:f>IF('전기원장'!A993="","",'전기원장'!J993)</x:f>
      </x:c>
      <x:c r="J993" s="73" t="str">
        <x:f>IF('전기원장'!A993="","",'전기원장'!K993)</x:f>
      </x:c>
      <x:c r="K993" s="73" t="str">
        <x:f>IF(B993="","",IF(COUNTIF($B$5:B993,B993)=1,COUNT($K$4:K992)+1,""))</x:f>
      </x:c>
      <x:c r="L993" s="85" t="str">
        <x:f>IF(B993="","",IF(COUNTIFS('계정비교'!$A$5:$A$1004,B993,'계정비교'!$H$5:$H$1004,"원인분석 대상")&gt;0,COUNT($L$4:L992)+1,""))</x:f>
      </x:c>
    </x:row>
    <x:row r="994">
      <x:c r="A994" s="73" t="str">
        <x:f>IF('전기원장'!A994="","","전기")</x:f>
      </x:c>
      <x:c r="B994" s="73" t="str">
        <x:f>IF('전기원장'!A994="","",'전기원장'!A994)</x:f>
      </x:c>
      <x:c r="C994" s="73" t="str">
        <x:f>IF('전기원장'!A994="","",'전기원장'!B994)</x:f>
      </x:c>
      <x:c r="D994" s="74" t="str">
        <x:f>IF('전기원장'!A994="","",'전기원장'!C994)</x:f>
      </x:c>
      <x:c r="E994" s="73" t="str">
        <x:f>IF('전기원장'!A994="","",'전기원장'!D994)</x:f>
      </x:c>
      <x:c r="F994" s="73" t="str">
        <x:f>IF('전기원장'!A994="","",'전기원장'!E994)</x:f>
      </x:c>
      <x:c r="G994" s="75" t="str">
        <x:f>IF('전기원장'!A994="","",'전기원장'!H994)</x:f>
      </x:c>
      <x:c r="H994" s="73" t="str">
        <x:f>IF('전기원장'!A994="","",'전기원장'!I994)</x:f>
      </x:c>
      <x:c r="I994" s="73" t="str">
        <x:f>IF('전기원장'!A994="","",'전기원장'!J994)</x:f>
      </x:c>
      <x:c r="J994" s="73" t="str">
        <x:f>IF('전기원장'!A994="","",'전기원장'!K994)</x:f>
      </x:c>
      <x:c r="K994" s="73" t="str">
        <x:f>IF(B994="","",IF(COUNTIF($B$5:B994,B994)=1,COUNT($K$4:K993)+1,""))</x:f>
      </x:c>
      <x:c r="L994" s="85" t="str">
        <x:f>IF(B994="","",IF(COUNTIFS('계정비교'!$A$5:$A$1004,B994,'계정비교'!$H$5:$H$1004,"원인분석 대상")&gt;0,COUNT($L$4:L993)+1,""))</x:f>
      </x:c>
    </x:row>
    <x:row r="995">
      <x:c r="A995" s="73" t="str">
        <x:f>IF('전기원장'!A995="","","전기")</x:f>
      </x:c>
      <x:c r="B995" s="73" t="str">
        <x:f>IF('전기원장'!A995="","",'전기원장'!A995)</x:f>
      </x:c>
      <x:c r="C995" s="73" t="str">
        <x:f>IF('전기원장'!A995="","",'전기원장'!B995)</x:f>
      </x:c>
      <x:c r="D995" s="74" t="str">
        <x:f>IF('전기원장'!A995="","",'전기원장'!C995)</x:f>
      </x:c>
      <x:c r="E995" s="73" t="str">
        <x:f>IF('전기원장'!A995="","",'전기원장'!D995)</x:f>
      </x:c>
      <x:c r="F995" s="73" t="str">
        <x:f>IF('전기원장'!A995="","",'전기원장'!E995)</x:f>
      </x:c>
      <x:c r="G995" s="75" t="str">
        <x:f>IF('전기원장'!A995="","",'전기원장'!H995)</x:f>
      </x:c>
      <x:c r="H995" s="73" t="str">
        <x:f>IF('전기원장'!A995="","",'전기원장'!I995)</x:f>
      </x:c>
      <x:c r="I995" s="73" t="str">
        <x:f>IF('전기원장'!A995="","",'전기원장'!J995)</x:f>
      </x:c>
      <x:c r="J995" s="73" t="str">
        <x:f>IF('전기원장'!A995="","",'전기원장'!K995)</x:f>
      </x:c>
      <x:c r="K995" s="73" t="str">
        <x:f>IF(B995="","",IF(COUNTIF($B$5:B995,B995)=1,COUNT($K$4:K994)+1,""))</x:f>
      </x:c>
      <x:c r="L995" s="85" t="str">
        <x:f>IF(B995="","",IF(COUNTIFS('계정비교'!$A$5:$A$1004,B995,'계정비교'!$H$5:$H$1004,"원인분석 대상")&gt;0,COUNT($L$4:L994)+1,""))</x:f>
      </x:c>
    </x:row>
    <x:row r="996">
      <x:c r="A996" s="73" t="str">
        <x:f>IF('전기원장'!A996="","","전기")</x:f>
      </x:c>
      <x:c r="B996" s="73" t="str">
        <x:f>IF('전기원장'!A996="","",'전기원장'!A996)</x:f>
      </x:c>
      <x:c r="C996" s="73" t="str">
        <x:f>IF('전기원장'!A996="","",'전기원장'!B996)</x:f>
      </x:c>
      <x:c r="D996" s="74" t="str">
        <x:f>IF('전기원장'!A996="","",'전기원장'!C996)</x:f>
      </x:c>
      <x:c r="E996" s="73" t="str">
        <x:f>IF('전기원장'!A996="","",'전기원장'!D996)</x:f>
      </x:c>
      <x:c r="F996" s="73" t="str">
        <x:f>IF('전기원장'!A996="","",'전기원장'!E996)</x:f>
      </x:c>
      <x:c r="G996" s="75" t="str">
        <x:f>IF('전기원장'!A996="","",'전기원장'!H996)</x:f>
      </x:c>
      <x:c r="H996" s="73" t="str">
        <x:f>IF('전기원장'!A996="","",'전기원장'!I996)</x:f>
      </x:c>
      <x:c r="I996" s="73" t="str">
        <x:f>IF('전기원장'!A996="","",'전기원장'!J996)</x:f>
      </x:c>
      <x:c r="J996" s="73" t="str">
        <x:f>IF('전기원장'!A996="","",'전기원장'!K996)</x:f>
      </x:c>
      <x:c r="K996" s="73" t="str">
        <x:f>IF(B996="","",IF(COUNTIF($B$5:B996,B996)=1,COUNT($K$4:K995)+1,""))</x:f>
      </x:c>
      <x:c r="L996" s="85" t="str">
        <x:f>IF(B996="","",IF(COUNTIFS('계정비교'!$A$5:$A$1004,B996,'계정비교'!$H$5:$H$1004,"원인분석 대상")&gt;0,COUNT($L$4:L995)+1,""))</x:f>
      </x:c>
    </x:row>
    <x:row r="997">
      <x:c r="A997" s="73" t="str">
        <x:f>IF('전기원장'!A997="","","전기")</x:f>
      </x:c>
      <x:c r="B997" s="73" t="str">
        <x:f>IF('전기원장'!A997="","",'전기원장'!A997)</x:f>
      </x:c>
      <x:c r="C997" s="73" t="str">
        <x:f>IF('전기원장'!A997="","",'전기원장'!B997)</x:f>
      </x:c>
      <x:c r="D997" s="74" t="str">
        <x:f>IF('전기원장'!A997="","",'전기원장'!C997)</x:f>
      </x:c>
      <x:c r="E997" s="73" t="str">
        <x:f>IF('전기원장'!A997="","",'전기원장'!D997)</x:f>
      </x:c>
      <x:c r="F997" s="73" t="str">
        <x:f>IF('전기원장'!A997="","",'전기원장'!E997)</x:f>
      </x:c>
      <x:c r="G997" s="75" t="str">
        <x:f>IF('전기원장'!A997="","",'전기원장'!H997)</x:f>
      </x:c>
      <x:c r="H997" s="73" t="str">
        <x:f>IF('전기원장'!A997="","",'전기원장'!I997)</x:f>
      </x:c>
      <x:c r="I997" s="73" t="str">
        <x:f>IF('전기원장'!A997="","",'전기원장'!J997)</x:f>
      </x:c>
      <x:c r="J997" s="73" t="str">
        <x:f>IF('전기원장'!A997="","",'전기원장'!K997)</x:f>
      </x:c>
      <x:c r="K997" s="73" t="str">
        <x:f>IF(B997="","",IF(COUNTIF($B$5:B997,B997)=1,COUNT($K$4:K996)+1,""))</x:f>
      </x:c>
      <x:c r="L997" s="85" t="str">
        <x:f>IF(B997="","",IF(COUNTIFS('계정비교'!$A$5:$A$1004,B997,'계정비교'!$H$5:$H$1004,"원인분석 대상")&gt;0,COUNT($L$4:L996)+1,""))</x:f>
      </x:c>
    </x:row>
    <x:row r="998">
      <x:c r="A998" s="73" t="str">
        <x:f>IF('전기원장'!A998="","","전기")</x:f>
      </x:c>
      <x:c r="B998" s="73" t="str">
        <x:f>IF('전기원장'!A998="","",'전기원장'!A998)</x:f>
      </x:c>
      <x:c r="C998" s="73" t="str">
        <x:f>IF('전기원장'!A998="","",'전기원장'!B998)</x:f>
      </x:c>
      <x:c r="D998" s="74" t="str">
        <x:f>IF('전기원장'!A998="","",'전기원장'!C998)</x:f>
      </x:c>
      <x:c r="E998" s="73" t="str">
        <x:f>IF('전기원장'!A998="","",'전기원장'!D998)</x:f>
      </x:c>
      <x:c r="F998" s="73" t="str">
        <x:f>IF('전기원장'!A998="","",'전기원장'!E998)</x:f>
      </x:c>
      <x:c r="G998" s="75" t="str">
        <x:f>IF('전기원장'!A998="","",'전기원장'!H998)</x:f>
      </x:c>
      <x:c r="H998" s="73" t="str">
        <x:f>IF('전기원장'!A998="","",'전기원장'!I998)</x:f>
      </x:c>
      <x:c r="I998" s="73" t="str">
        <x:f>IF('전기원장'!A998="","",'전기원장'!J998)</x:f>
      </x:c>
      <x:c r="J998" s="73" t="str">
        <x:f>IF('전기원장'!A998="","",'전기원장'!K998)</x:f>
      </x:c>
      <x:c r="K998" s="73" t="str">
        <x:f>IF(B998="","",IF(COUNTIF($B$5:B998,B998)=1,COUNT($K$4:K997)+1,""))</x:f>
      </x:c>
      <x:c r="L998" s="85" t="str">
        <x:f>IF(B998="","",IF(COUNTIFS('계정비교'!$A$5:$A$1004,B998,'계정비교'!$H$5:$H$1004,"원인분석 대상")&gt;0,COUNT($L$4:L997)+1,""))</x:f>
      </x:c>
    </x:row>
    <x:row r="999">
      <x:c r="A999" s="73" t="str">
        <x:f>IF('전기원장'!A999="","","전기")</x:f>
      </x:c>
      <x:c r="B999" s="73" t="str">
        <x:f>IF('전기원장'!A999="","",'전기원장'!A999)</x:f>
      </x:c>
      <x:c r="C999" s="73" t="str">
        <x:f>IF('전기원장'!A999="","",'전기원장'!B999)</x:f>
      </x:c>
      <x:c r="D999" s="74" t="str">
        <x:f>IF('전기원장'!A999="","",'전기원장'!C999)</x:f>
      </x:c>
      <x:c r="E999" s="73" t="str">
        <x:f>IF('전기원장'!A999="","",'전기원장'!D999)</x:f>
      </x:c>
      <x:c r="F999" s="73" t="str">
        <x:f>IF('전기원장'!A999="","",'전기원장'!E999)</x:f>
      </x:c>
      <x:c r="G999" s="75" t="str">
        <x:f>IF('전기원장'!A999="","",'전기원장'!H999)</x:f>
      </x:c>
      <x:c r="H999" s="73" t="str">
        <x:f>IF('전기원장'!A999="","",'전기원장'!I999)</x:f>
      </x:c>
      <x:c r="I999" s="73" t="str">
        <x:f>IF('전기원장'!A999="","",'전기원장'!J999)</x:f>
      </x:c>
      <x:c r="J999" s="73" t="str">
        <x:f>IF('전기원장'!A999="","",'전기원장'!K999)</x:f>
      </x:c>
      <x:c r="K999" s="73" t="str">
        <x:f>IF(B999="","",IF(COUNTIF($B$5:B999,B999)=1,COUNT($K$4:K998)+1,""))</x:f>
      </x:c>
      <x:c r="L999" s="85" t="str">
        <x:f>IF(B999="","",IF(COUNTIFS('계정비교'!$A$5:$A$1004,B999,'계정비교'!$H$5:$H$1004,"원인분석 대상")&gt;0,COUNT($L$4:L998)+1,""))</x:f>
      </x:c>
    </x:row>
    <x:row r="1000">
      <x:c r="A1000" s="73" t="str">
        <x:f>IF('전기원장'!A1000="","","전기")</x:f>
      </x:c>
      <x:c r="B1000" s="73" t="str">
        <x:f>IF('전기원장'!A1000="","",'전기원장'!A1000)</x:f>
      </x:c>
      <x:c r="C1000" s="73" t="str">
        <x:f>IF('전기원장'!A1000="","",'전기원장'!B1000)</x:f>
      </x:c>
      <x:c r="D1000" s="74" t="str">
        <x:f>IF('전기원장'!A1000="","",'전기원장'!C1000)</x:f>
      </x:c>
      <x:c r="E1000" s="73" t="str">
        <x:f>IF('전기원장'!A1000="","",'전기원장'!D1000)</x:f>
      </x:c>
      <x:c r="F1000" s="73" t="str">
        <x:f>IF('전기원장'!A1000="","",'전기원장'!E1000)</x:f>
      </x:c>
      <x:c r="G1000" s="75" t="str">
        <x:f>IF('전기원장'!A1000="","",'전기원장'!H1000)</x:f>
      </x:c>
      <x:c r="H1000" s="73" t="str">
        <x:f>IF('전기원장'!A1000="","",'전기원장'!I1000)</x:f>
      </x:c>
      <x:c r="I1000" s="73" t="str">
        <x:f>IF('전기원장'!A1000="","",'전기원장'!J1000)</x:f>
      </x:c>
      <x:c r="J1000" s="73" t="str">
        <x:f>IF('전기원장'!A1000="","",'전기원장'!K1000)</x:f>
      </x:c>
      <x:c r="K1000" s="73" t="str">
        <x:f>IF(B1000="","",IF(COUNTIF($B$5:B1000,B1000)=1,COUNT($K$4:K999)+1,""))</x:f>
      </x:c>
      <x:c r="L1000" s="85" t="str">
        <x:f>IF(B1000="","",IF(COUNTIFS('계정비교'!$A$5:$A$1004,B1000,'계정비교'!$H$5:$H$1004,"원인분석 대상")&gt;0,COUNT($L$4:L999)+1,""))</x:f>
      </x:c>
    </x:row>
    <x:row r="1001">
      <x:c r="A1001" s="73" t="str">
        <x:f>IF('전기원장'!A1001="","","전기")</x:f>
      </x:c>
      <x:c r="B1001" s="73" t="str">
        <x:f>IF('전기원장'!A1001="","",'전기원장'!A1001)</x:f>
      </x:c>
      <x:c r="C1001" s="73" t="str">
        <x:f>IF('전기원장'!A1001="","",'전기원장'!B1001)</x:f>
      </x:c>
      <x:c r="D1001" s="74" t="str">
        <x:f>IF('전기원장'!A1001="","",'전기원장'!C1001)</x:f>
      </x:c>
      <x:c r="E1001" s="73" t="str">
        <x:f>IF('전기원장'!A1001="","",'전기원장'!D1001)</x:f>
      </x:c>
      <x:c r="F1001" s="73" t="str">
        <x:f>IF('전기원장'!A1001="","",'전기원장'!E1001)</x:f>
      </x:c>
      <x:c r="G1001" s="75" t="str">
        <x:f>IF('전기원장'!A1001="","",'전기원장'!H1001)</x:f>
      </x:c>
      <x:c r="H1001" s="73" t="str">
        <x:f>IF('전기원장'!A1001="","",'전기원장'!I1001)</x:f>
      </x:c>
      <x:c r="I1001" s="73" t="str">
        <x:f>IF('전기원장'!A1001="","",'전기원장'!J1001)</x:f>
      </x:c>
      <x:c r="J1001" s="73" t="str">
        <x:f>IF('전기원장'!A1001="","",'전기원장'!K1001)</x:f>
      </x:c>
      <x:c r="K1001" s="73" t="str">
        <x:f>IF(B1001="","",IF(COUNTIF($B$5:B1001,B1001)=1,COUNT($K$4:K1000)+1,""))</x:f>
      </x:c>
      <x:c r="L1001" s="85" t="str">
        <x:f>IF(B1001="","",IF(COUNTIFS('계정비교'!$A$5:$A$1004,B1001,'계정비교'!$H$5:$H$1004,"원인분석 대상")&gt;0,COUNT($L$4:L1000)+1,""))</x:f>
      </x:c>
    </x:row>
    <x:row r="1002">
      <x:c r="A1002" s="73" t="str">
        <x:f>IF('전기원장'!A1002="","","전기")</x:f>
      </x:c>
      <x:c r="B1002" s="73" t="str">
        <x:f>IF('전기원장'!A1002="","",'전기원장'!A1002)</x:f>
      </x:c>
      <x:c r="C1002" s="73" t="str">
        <x:f>IF('전기원장'!A1002="","",'전기원장'!B1002)</x:f>
      </x:c>
      <x:c r="D1002" s="74" t="str">
        <x:f>IF('전기원장'!A1002="","",'전기원장'!C1002)</x:f>
      </x:c>
      <x:c r="E1002" s="73" t="str">
        <x:f>IF('전기원장'!A1002="","",'전기원장'!D1002)</x:f>
      </x:c>
      <x:c r="F1002" s="73" t="str">
        <x:f>IF('전기원장'!A1002="","",'전기원장'!E1002)</x:f>
      </x:c>
      <x:c r="G1002" s="75" t="str">
        <x:f>IF('전기원장'!A1002="","",'전기원장'!H1002)</x:f>
      </x:c>
      <x:c r="H1002" s="73" t="str">
        <x:f>IF('전기원장'!A1002="","",'전기원장'!I1002)</x:f>
      </x:c>
      <x:c r="I1002" s="73" t="str">
        <x:f>IF('전기원장'!A1002="","",'전기원장'!J1002)</x:f>
      </x:c>
      <x:c r="J1002" s="73" t="str">
        <x:f>IF('전기원장'!A1002="","",'전기원장'!K1002)</x:f>
      </x:c>
      <x:c r="K1002" s="73" t="str">
        <x:f>IF(B1002="","",IF(COUNTIF($B$5:B1002,B1002)=1,COUNT($K$4:K1001)+1,""))</x:f>
      </x:c>
      <x:c r="L1002" s="85" t="str">
        <x:f>IF(B1002="","",IF(COUNTIFS('계정비교'!$A$5:$A$1004,B1002,'계정비교'!$H$5:$H$1004,"원인분석 대상")&gt;0,COUNT($L$4:L1001)+1,""))</x:f>
      </x:c>
    </x:row>
    <x:row r="1003">
      <x:c r="A1003" s="73" t="str">
        <x:f>IF('전기원장'!A1003="","","전기")</x:f>
      </x:c>
      <x:c r="B1003" s="73" t="str">
        <x:f>IF('전기원장'!A1003="","",'전기원장'!A1003)</x:f>
      </x:c>
      <x:c r="C1003" s="73" t="str">
        <x:f>IF('전기원장'!A1003="","",'전기원장'!B1003)</x:f>
      </x:c>
      <x:c r="D1003" s="74" t="str">
        <x:f>IF('전기원장'!A1003="","",'전기원장'!C1003)</x:f>
      </x:c>
      <x:c r="E1003" s="73" t="str">
        <x:f>IF('전기원장'!A1003="","",'전기원장'!D1003)</x:f>
      </x:c>
      <x:c r="F1003" s="73" t="str">
        <x:f>IF('전기원장'!A1003="","",'전기원장'!E1003)</x:f>
      </x:c>
      <x:c r="G1003" s="75" t="str">
        <x:f>IF('전기원장'!A1003="","",'전기원장'!H1003)</x:f>
      </x:c>
      <x:c r="H1003" s="73" t="str">
        <x:f>IF('전기원장'!A1003="","",'전기원장'!I1003)</x:f>
      </x:c>
      <x:c r="I1003" s="73" t="str">
        <x:f>IF('전기원장'!A1003="","",'전기원장'!J1003)</x:f>
      </x:c>
      <x:c r="J1003" s="73" t="str">
        <x:f>IF('전기원장'!A1003="","",'전기원장'!K1003)</x:f>
      </x:c>
      <x:c r="K1003" s="73" t="str">
        <x:f>IF(B1003="","",IF(COUNTIF($B$5:B1003,B1003)=1,COUNT($K$4:K1002)+1,""))</x:f>
      </x:c>
      <x:c r="L1003" s="85" t="str">
        <x:f>IF(B1003="","",IF(COUNTIFS('계정비교'!$A$5:$A$1004,B1003,'계정비교'!$H$5:$H$1004,"원인분석 대상")&gt;0,COUNT($L$4:L1002)+1,""))</x:f>
      </x:c>
    </x:row>
    <x:row r="1004">
      <x:c r="A1004" s="73" t="str">
        <x:f>IF('전기원장'!A1004="","","전기")</x:f>
      </x:c>
      <x:c r="B1004" s="73" t="str">
        <x:f>IF('전기원장'!A1004="","",'전기원장'!A1004)</x:f>
      </x:c>
      <x:c r="C1004" s="73" t="str">
        <x:f>IF('전기원장'!A1004="","",'전기원장'!B1004)</x:f>
      </x:c>
      <x:c r="D1004" s="74" t="str">
        <x:f>IF('전기원장'!A1004="","",'전기원장'!C1004)</x:f>
      </x:c>
      <x:c r="E1004" s="73" t="str">
        <x:f>IF('전기원장'!A1004="","",'전기원장'!D1004)</x:f>
      </x:c>
      <x:c r="F1004" s="73" t="str">
        <x:f>IF('전기원장'!A1004="","",'전기원장'!E1004)</x:f>
      </x:c>
      <x:c r="G1004" s="75" t="str">
        <x:f>IF('전기원장'!A1004="","",'전기원장'!H1004)</x:f>
      </x:c>
      <x:c r="H1004" s="73" t="str">
        <x:f>IF('전기원장'!A1004="","",'전기원장'!I1004)</x:f>
      </x:c>
      <x:c r="I1004" s="73" t="str">
        <x:f>IF('전기원장'!A1004="","",'전기원장'!J1004)</x:f>
      </x:c>
      <x:c r="J1004" s="73" t="str">
        <x:f>IF('전기원장'!A1004="","",'전기원장'!K1004)</x:f>
      </x:c>
      <x:c r="K1004" s="73" t="str">
        <x:f>IF(B1004="","",IF(COUNTIF($B$5:B1004,B1004)=1,COUNT($K$4:K1003)+1,""))</x:f>
      </x:c>
      <x:c r="L1004" s="85" t="str">
        <x:f>IF(B1004="","",IF(COUNTIFS('계정비교'!$A$5:$A$1004,B1004,'계정비교'!$H$5:$H$1004,"원인분석 대상")&gt;0,COUNT($L$4:L1003)+1,""))</x:f>
      </x:c>
    </x:row>
    <x:row r="1005">
      <x:c r="A1005" s="73" t="str">
        <x:f>IF('당기원장'!A5="","","당기")</x:f>
        <x:v>당기</x:v>
      </x:c>
      <x:c r="B1005" s="73" t="str">
        <x:f>IF('당기원장'!A5="","",'당기원장'!A5)</x:f>
        <x:v>510100</x:v>
      </x:c>
      <x:c r="C1005" s="73" t="str">
        <x:f>IF('당기원장'!A5="","",'당기원장'!B5)</x:f>
        <x:v>급여</x:v>
      </x:c>
      <x:c r="D1005" s="74" t="n">
        <x:f>IF('당기원장'!A5="","",'당기원장'!C5)</x:f>
        <x:v>46053</x:v>
      </x:c>
      <x:c r="E1005" s="73" t="str">
        <x:f>IF('당기원장'!A5="","",'당기원장'!D5)</x:f>
        <x:v>C-001</x:v>
      </x:c>
      <x:c r="F1005" s="73" t="str">
        <x:f>IF('당기원장'!A5="","",'당기원장'!E5)</x:f>
        <x:v>1월 정규직 급여 및 신규채용 반영</x:v>
      </x:c>
      <x:c r="G1005" s="75" t="n">
        <x:f>IF('당기원장'!A5="","",'당기원장'!H5)</x:f>
        <x:v>470000000</x:v>
      </x:c>
      <x:c r="H1005" s="73" t="str">
        <x:f>IF('당기원장'!A5="","",'당기원장'!I5)</x:f>
        <x:v>인건비</x:v>
      </x:c>
      <x:c r="I1005" s="73" t="str">
        <x:f>IF('당기원장'!A5="","",'당기원장'!J5)</x:f>
        <x:v>결의서명으로 1차 확인</x:v>
      </x:c>
      <x:c r="J1005" s="73" t="str">
        <x:f>IF('당기원장'!A5="","",'당기원장'!K5)</x:f>
      </x:c>
      <x:c r="K1005" s="73" t="str">
        <x:f>IF(B1005="","",IF(COUNTIF($B$5:B1005,B1005)=1,COUNT($K$4:K1004)+1,""))</x:f>
      </x:c>
      <x:c r="L1005" s="85" t="n">
        <x:f>IF(B1005="","",IF(COUNTIFS('계정비교'!$A$5:$A$1004,B1005,'계정비교'!$H$5:$H$1004,"원인분석 대상")&gt;0,COUNT($L$4:L1004)+1,""))</x:f>
        <x:v>4</x:v>
      </x:c>
    </x:row>
    <x:row r="1006">
      <x:c r="A1006" s="73" t="str">
        <x:f>IF('당기원장'!A6="","","당기")</x:f>
        <x:v>당기</x:v>
      </x:c>
      <x:c r="B1006" s="73" t="str">
        <x:f>IF('당기원장'!A6="","",'당기원장'!A6)</x:f>
        <x:v>520300</x:v>
      </x:c>
      <x:c r="C1006" s="73" t="str">
        <x:f>IF('당기원장'!A6="","",'당기원장'!B6)</x:f>
        <x:v>광고선전비</x:v>
      </x:c>
      <x:c r="D1006" s="74" t="n">
        <x:f>IF('당기원장'!A6="","",'당기원장'!C6)</x:f>
        <x:v>46103</x:v>
      </x:c>
      <x:c r="E1006" s="73" t="str">
        <x:f>IF('당기원장'!A6="","",'당기원장'!D6)</x:f>
        <x:v>C-041</x:v>
      </x:c>
      <x:c r="F1006" s="73" t="str">
        <x:f>IF('당기원장'!A6="","",'당기원장'!E6)</x:f>
        <x:v>신제품 출시 광고 캠페인</x:v>
      </x:c>
      <x:c r="G1006" s="75" t="n">
        <x:f>IF('당기원장'!A6="","",'당기원장'!H6)</x:f>
        <x:v>260000000</x:v>
      </x:c>
      <x:c r="H1006" s="73" t="str">
        <x:f>IF('당기원장'!A6="","",'당기원장'!I6)</x:f>
        <x:v>광고·행사</x:v>
      </x:c>
      <x:c r="I1006" s="73" t="str">
        <x:f>IF('당기원장'!A6="","",'당기원장'!J6)</x:f>
        <x:v>결의서명으로 1차 확인</x:v>
      </x:c>
      <x:c r="J1006" s="73" t="str">
        <x:f>IF('당기원장'!A6="","",'당기원장'!K6)</x:f>
      </x:c>
      <x:c r="K1006" s="73" t="str">
        <x:f>IF(B1006="","",IF(COUNTIF($B$5:B1006,B1006)=1,COUNT($K$4:K1005)+1,""))</x:f>
      </x:c>
      <x:c r="L1006" s="85" t="n">
        <x:f>IF(B1006="","",IF(COUNTIFS('계정비교'!$A$5:$A$1004,B1006,'계정비교'!$H$5:$H$1004,"원인분석 대상")&gt;0,COUNT($L$4:L1005)+1,""))</x:f>
        <x:v>5</x:v>
      </x:c>
    </x:row>
    <x:row r="1007">
      <x:c r="A1007" s="73" t="str">
        <x:f>IF('당기원장'!A7="","","당기")</x:f>
        <x:v>당기</x:v>
      </x:c>
      <x:c r="B1007" s="73" t="str">
        <x:f>IF('당기원장'!A7="","",'당기원장'!A7)</x:f>
        <x:v>530100</x:v>
      </x:c>
      <x:c r="C1007" s="73" t="str">
        <x:f>IF('당기원장'!A7="","",'당기원장'!B7)</x:f>
        <x:v>임차료</x:v>
      </x:c>
      <x:c r="D1007" s="74" t="n">
        <x:f>IF('당기원장'!A7="","",'당기원장'!C7)</x:f>
        <x:v>46063</x:v>
      </x:c>
      <x:c r="E1007" s="73" t="str">
        <x:f>IF('당기원장'!A7="","",'당기원장'!D7)</x:f>
        <x:v>C-022</x:v>
      </x:c>
      <x:c r="F1007" s="73" t="str">
        <x:f>IF('당기원장'!A7="","",'당기원장'!E7)</x:f>
        <x:v>본사 사무실 임차료</x:v>
      </x:c>
      <x:c r="G1007" s="75" t="n">
        <x:f>IF('당기원장'!A7="","",'당기원장'!H7)</x:f>
        <x:v>240000000</x:v>
      </x:c>
      <x:c r="H1007" s="73" t="str">
        <x:f>IF('당기원장'!A7="","",'당기원장'!I7)</x:f>
        <x:v>임차·시설</x:v>
      </x:c>
      <x:c r="I1007" s="73" t="str">
        <x:f>IF('당기원장'!A7="","",'당기원장'!J7)</x:f>
        <x:v>결의서명으로 1차 확인</x:v>
      </x:c>
      <x:c r="J1007" s="73" t="str">
        <x:f>IF('당기원장'!A7="","",'당기원장'!K7)</x:f>
      </x:c>
      <x:c r="K1007" s="73" t="str">
        <x:f>IF(B1007="","",IF(COUNTIF($B$5:B1007,B1007)=1,COUNT($K$4:K1006)+1,""))</x:f>
      </x:c>
      <x:c r="L1007" s="85" t="str">
        <x:f>IF(B1007="","",IF(COUNTIFS('계정비교'!$A$5:$A$1004,B1007,'계정비교'!$H$5:$H$1004,"원인분석 대상")&gt;0,COUNT($L$4:L1006)+1,""))</x:f>
      </x:c>
    </x:row>
    <x:row r="1008">
      <x:c r="A1008" s="73" t="str">
        <x:f>IF('당기원장'!A8="","","당기")</x:f>
        <x:v>당기</x:v>
      </x:c>
      <x:c r="B1008" s="73" t="str">
        <x:f>IF('당기원장'!A8="","",'당기원장'!A8)</x:f>
        <x:v>550500</x:v>
      </x:c>
      <x:c r="C1008" s="73" t="str">
        <x:f>IF('당기원장'!A8="","",'당기원장'!B8)</x:f>
        <x:v>소프트웨어</x:v>
      </x:c>
      <x:c r="D1008" s="74" t="n">
        <x:f>IF('당기원장'!A8="","",'당기원장'!C8)</x:f>
        <x:v>46113</x:v>
      </x:c>
      <x:c r="E1008" s="73" t="str">
        <x:f>IF('당기원장'!A8="","",'당기원장'!D8)</x:f>
        <x:v>C-067</x:v>
      </x:c>
      <x:c r="F1008" s="73" t="str">
        <x:f>IF('당기원장'!A8="","",'당기원장'!E8)</x:f>
        <x:v>ERP 시스템 구축 용역</x:v>
      </x:c>
      <x:c r="G1008" s="75" t="n">
        <x:f>IF('당기원장'!A8="","",'당기원장'!H8)</x:f>
        <x:v>180000000</x:v>
      </x:c>
      <x:c r="H1008" s="73" t="str">
        <x:f>IF('당기원장'!A8="","",'당기원장'!I8)</x:f>
        <x:v>용역·수수료</x:v>
      </x:c>
      <x:c r="I1008" s="73" t="str">
        <x:f>IF('당기원장'!A8="","",'당기원장'!J8)</x:f>
        <x:v>결의서명으로 1차 확인</x:v>
      </x:c>
      <x:c r="J1008" s="73" t="str">
        <x:f>IF('당기원장'!A8="","",'당기원장'!K8)</x:f>
      </x:c>
      <x:c r="K1008" s="73" t="n">
        <x:f>IF(B1008="","",IF(COUNTIF($B$5:B1008,B1008)=1,COUNT($K$4:K1007)+1,""))</x:f>
        <x:v>5</x:v>
      </x:c>
      <x:c r="L1008" s="85" t="n">
        <x:f>IF(B1008="","",IF(COUNTIFS('계정비교'!$A$5:$A$1004,B1008,'계정비교'!$H$5:$H$1004,"원인분석 대상")&gt;0,COUNT($L$4:L1007)+1,""))</x:f>
        <x:v>6</x:v>
      </x:c>
    </x:row>
    <x:row r="1009">
      <x:c r="A1009" s="73" t="str">
        <x:f>IF('당기원장'!A9="","","당기")</x:f>
      </x:c>
      <x:c r="B1009" s="73" t="str">
        <x:f>IF('당기원장'!A9="","",'당기원장'!A9)</x:f>
      </x:c>
      <x:c r="C1009" s="73" t="str">
        <x:f>IF('당기원장'!A9="","",'당기원장'!B9)</x:f>
      </x:c>
      <x:c r="D1009" s="74" t="str">
        <x:f>IF('당기원장'!A9="","",'당기원장'!C9)</x:f>
      </x:c>
      <x:c r="E1009" s="73" t="str">
        <x:f>IF('당기원장'!A9="","",'당기원장'!D9)</x:f>
      </x:c>
      <x:c r="F1009" s="73" t="str">
        <x:f>IF('당기원장'!A9="","",'당기원장'!E9)</x:f>
      </x:c>
      <x:c r="G1009" s="75" t="str">
        <x:f>IF('당기원장'!A9="","",'당기원장'!H9)</x:f>
      </x:c>
      <x:c r="H1009" s="73" t="str">
        <x:f>IF('당기원장'!A9="","",'당기원장'!I9)</x:f>
      </x:c>
      <x:c r="I1009" s="73" t="str">
        <x:f>IF('당기원장'!A9="","",'당기원장'!J9)</x:f>
      </x:c>
      <x:c r="J1009" s="73" t="str">
        <x:f>IF('당기원장'!A9="","",'당기원장'!K9)</x:f>
      </x:c>
      <x:c r="K1009" s="73" t="str">
        <x:f>IF(B1009="","",IF(COUNTIF($B$5:B1009,B1009)=1,COUNT($K$4:K1008)+1,""))</x:f>
      </x:c>
      <x:c r="L1009" s="85" t="str">
        <x:f>IF(B1009="","",IF(COUNTIFS('계정비교'!$A$5:$A$1004,B1009,'계정비교'!$H$5:$H$1004,"원인분석 대상")&gt;0,COUNT($L$4:L1008)+1,""))</x:f>
      </x:c>
    </x:row>
    <x:row r="1010">
      <x:c r="A1010" s="73" t="str">
        <x:f>IF('당기원장'!A10="","","당기")</x:f>
      </x:c>
      <x:c r="B1010" s="73" t="str">
        <x:f>IF('당기원장'!A10="","",'당기원장'!A10)</x:f>
      </x:c>
      <x:c r="C1010" s="73" t="str">
        <x:f>IF('당기원장'!A10="","",'당기원장'!B10)</x:f>
      </x:c>
      <x:c r="D1010" s="74" t="str">
        <x:f>IF('당기원장'!A10="","",'당기원장'!C10)</x:f>
      </x:c>
      <x:c r="E1010" s="73" t="str">
        <x:f>IF('당기원장'!A10="","",'당기원장'!D10)</x:f>
      </x:c>
      <x:c r="F1010" s="73" t="str">
        <x:f>IF('당기원장'!A10="","",'당기원장'!E10)</x:f>
      </x:c>
      <x:c r="G1010" s="75" t="str">
        <x:f>IF('당기원장'!A10="","",'당기원장'!H10)</x:f>
      </x:c>
      <x:c r="H1010" s="73" t="str">
        <x:f>IF('당기원장'!A10="","",'당기원장'!I10)</x:f>
      </x:c>
      <x:c r="I1010" s="73" t="str">
        <x:f>IF('당기원장'!A10="","",'당기원장'!J10)</x:f>
      </x:c>
      <x:c r="J1010" s="73" t="str">
        <x:f>IF('당기원장'!A10="","",'당기원장'!K10)</x:f>
      </x:c>
      <x:c r="K1010" s="73" t="str">
        <x:f>IF(B1010="","",IF(COUNTIF($B$5:B1010,B1010)=1,COUNT($K$4:K1009)+1,""))</x:f>
      </x:c>
      <x:c r="L1010" s="85" t="str">
        <x:f>IF(B1010="","",IF(COUNTIFS('계정비교'!$A$5:$A$1004,B1010,'계정비교'!$H$5:$H$1004,"원인분석 대상")&gt;0,COUNT($L$4:L1009)+1,""))</x:f>
      </x:c>
    </x:row>
    <x:row r="1011">
      <x:c r="A1011" s="73" t="str">
        <x:f>IF('당기원장'!A11="","","당기")</x:f>
      </x:c>
      <x:c r="B1011" s="73" t="str">
        <x:f>IF('당기원장'!A11="","",'당기원장'!A11)</x:f>
      </x:c>
      <x:c r="C1011" s="73" t="str">
        <x:f>IF('당기원장'!A11="","",'당기원장'!B11)</x:f>
      </x:c>
      <x:c r="D1011" s="74" t="str">
        <x:f>IF('당기원장'!A11="","",'당기원장'!C11)</x:f>
      </x:c>
      <x:c r="E1011" s="73" t="str">
        <x:f>IF('당기원장'!A11="","",'당기원장'!D11)</x:f>
      </x:c>
      <x:c r="F1011" s="73" t="str">
        <x:f>IF('당기원장'!A11="","",'당기원장'!E11)</x:f>
      </x:c>
      <x:c r="G1011" s="75" t="str">
        <x:f>IF('당기원장'!A11="","",'당기원장'!H11)</x:f>
      </x:c>
      <x:c r="H1011" s="73" t="str">
        <x:f>IF('당기원장'!A11="","",'당기원장'!I11)</x:f>
      </x:c>
      <x:c r="I1011" s="73" t="str">
        <x:f>IF('당기원장'!A11="","",'당기원장'!J11)</x:f>
      </x:c>
      <x:c r="J1011" s="73" t="str">
        <x:f>IF('당기원장'!A11="","",'당기원장'!K11)</x:f>
      </x:c>
      <x:c r="K1011" s="73" t="str">
        <x:f>IF(B1011="","",IF(COUNTIF($B$5:B1011,B1011)=1,COUNT($K$4:K1010)+1,""))</x:f>
      </x:c>
      <x:c r="L1011" s="85" t="str">
        <x:f>IF(B1011="","",IF(COUNTIFS('계정비교'!$A$5:$A$1004,B1011,'계정비교'!$H$5:$H$1004,"원인분석 대상")&gt;0,COUNT($L$4:L1010)+1,""))</x:f>
      </x:c>
    </x:row>
    <x:row r="1012">
      <x:c r="A1012" s="73" t="str">
        <x:f>IF('당기원장'!A12="","","당기")</x:f>
      </x:c>
      <x:c r="B1012" s="73" t="str">
        <x:f>IF('당기원장'!A12="","",'당기원장'!A12)</x:f>
      </x:c>
      <x:c r="C1012" s="73" t="str">
        <x:f>IF('당기원장'!A12="","",'당기원장'!B12)</x:f>
      </x:c>
      <x:c r="D1012" s="74" t="str">
        <x:f>IF('당기원장'!A12="","",'당기원장'!C12)</x:f>
      </x:c>
      <x:c r="E1012" s="73" t="str">
        <x:f>IF('당기원장'!A12="","",'당기원장'!D12)</x:f>
      </x:c>
      <x:c r="F1012" s="73" t="str">
        <x:f>IF('당기원장'!A12="","",'당기원장'!E12)</x:f>
      </x:c>
      <x:c r="G1012" s="75" t="str">
        <x:f>IF('당기원장'!A12="","",'당기원장'!H12)</x:f>
      </x:c>
      <x:c r="H1012" s="73" t="str">
        <x:f>IF('당기원장'!A12="","",'당기원장'!I12)</x:f>
      </x:c>
      <x:c r="I1012" s="73" t="str">
        <x:f>IF('당기원장'!A12="","",'당기원장'!J12)</x:f>
      </x:c>
      <x:c r="J1012" s="73" t="str">
        <x:f>IF('당기원장'!A12="","",'당기원장'!K12)</x:f>
      </x:c>
      <x:c r="K1012" s="73" t="str">
        <x:f>IF(B1012="","",IF(COUNTIF($B$5:B1012,B1012)=1,COUNT($K$4:K1011)+1,""))</x:f>
      </x:c>
      <x:c r="L1012" s="85" t="str">
        <x:f>IF(B1012="","",IF(COUNTIFS('계정비교'!$A$5:$A$1004,B1012,'계정비교'!$H$5:$H$1004,"원인분석 대상")&gt;0,COUNT($L$4:L1011)+1,""))</x:f>
      </x:c>
    </x:row>
    <x:row r="1013">
      <x:c r="A1013" s="73" t="str">
        <x:f>IF('당기원장'!A13="","","당기")</x:f>
      </x:c>
      <x:c r="B1013" s="73" t="str">
        <x:f>IF('당기원장'!A13="","",'당기원장'!A13)</x:f>
      </x:c>
      <x:c r="C1013" s="73" t="str">
        <x:f>IF('당기원장'!A13="","",'당기원장'!B13)</x:f>
      </x:c>
      <x:c r="D1013" s="74" t="str">
        <x:f>IF('당기원장'!A13="","",'당기원장'!C13)</x:f>
      </x:c>
      <x:c r="E1013" s="73" t="str">
        <x:f>IF('당기원장'!A13="","",'당기원장'!D13)</x:f>
      </x:c>
      <x:c r="F1013" s="73" t="str">
        <x:f>IF('당기원장'!A13="","",'당기원장'!E13)</x:f>
      </x:c>
      <x:c r="G1013" s="75" t="str">
        <x:f>IF('당기원장'!A13="","",'당기원장'!H13)</x:f>
      </x:c>
      <x:c r="H1013" s="73" t="str">
        <x:f>IF('당기원장'!A13="","",'당기원장'!I13)</x:f>
      </x:c>
      <x:c r="I1013" s="73" t="str">
        <x:f>IF('당기원장'!A13="","",'당기원장'!J13)</x:f>
      </x:c>
      <x:c r="J1013" s="73" t="str">
        <x:f>IF('당기원장'!A13="","",'당기원장'!K13)</x:f>
      </x:c>
      <x:c r="K1013" s="73" t="str">
        <x:f>IF(B1013="","",IF(COUNTIF($B$5:B1013,B1013)=1,COUNT($K$4:K1012)+1,""))</x:f>
      </x:c>
      <x:c r="L1013" s="85" t="str">
        <x:f>IF(B1013="","",IF(COUNTIFS('계정비교'!$A$5:$A$1004,B1013,'계정비교'!$H$5:$H$1004,"원인분석 대상")&gt;0,COUNT($L$4:L1012)+1,""))</x:f>
      </x:c>
    </x:row>
    <x:row r="1014">
      <x:c r="A1014" s="73" t="str">
        <x:f>IF('당기원장'!A14="","","당기")</x:f>
      </x:c>
      <x:c r="B1014" s="73" t="str">
        <x:f>IF('당기원장'!A14="","",'당기원장'!A14)</x:f>
      </x:c>
      <x:c r="C1014" s="73" t="str">
        <x:f>IF('당기원장'!A14="","",'당기원장'!B14)</x:f>
      </x:c>
      <x:c r="D1014" s="74" t="str">
        <x:f>IF('당기원장'!A14="","",'당기원장'!C14)</x:f>
      </x:c>
      <x:c r="E1014" s="73" t="str">
        <x:f>IF('당기원장'!A14="","",'당기원장'!D14)</x:f>
      </x:c>
      <x:c r="F1014" s="73" t="str">
        <x:f>IF('당기원장'!A14="","",'당기원장'!E14)</x:f>
      </x:c>
      <x:c r="G1014" s="75" t="str">
        <x:f>IF('당기원장'!A14="","",'당기원장'!H14)</x:f>
      </x:c>
      <x:c r="H1014" s="73" t="str">
        <x:f>IF('당기원장'!A14="","",'당기원장'!I14)</x:f>
      </x:c>
      <x:c r="I1014" s="73" t="str">
        <x:f>IF('당기원장'!A14="","",'당기원장'!J14)</x:f>
      </x:c>
      <x:c r="J1014" s="73" t="str">
        <x:f>IF('당기원장'!A14="","",'당기원장'!K14)</x:f>
      </x:c>
      <x:c r="K1014" s="73" t="str">
        <x:f>IF(B1014="","",IF(COUNTIF($B$5:B1014,B1014)=1,COUNT($K$4:K1013)+1,""))</x:f>
      </x:c>
      <x:c r="L1014" s="85" t="str">
        <x:f>IF(B1014="","",IF(COUNTIFS('계정비교'!$A$5:$A$1004,B1014,'계정비교'!$H$5:$H$1004,"원인분석 대상")&gt;0,COUNT($L$4:L1013)+1,""))</x:f>
      </x:c>
    </x:row>
    <x:row r="1015">
      <x:c r="A1015" s="73" t="str">
        <x:f>IF('당기원장'!A15="","","당기")</x:f>
      </x:c>
      <x:c r="B1015" s="73" t="str">
        <x:f>IF('당기원장'!A15="","",'당기원장'!A15)</x:f>
      </x:c>
      <x:c r="C1015" s="73" t="str">
        <x:f>IF('당기원장'!A15="","",'당기원장'!B15)</x:f>
      </x:c>
      <x:c r="D1015" s="74" t="str">
        <x:f>IF('당기원장'!A15="","",'당기원장'!C15)</x:f>
      </x:c>
      <x:c r="E1015" s="73" t="str">
        <x:f>IF('당기원장'!A15="","",'당기원장'!D15)</x:f>
      </x:c>
      <x:c r="F1015" s="73" t="str">
        <x:f>IF('당기원장'!A15="","",'당기원장'!E15)</x:f>
      </x:c>
      <x:c r="G1015" s="75" t="str">
        <x:f>IF('당기원장'!A15="","",'당기원장'!H15)</x:f>
      </x:c>
      <x:c r="H1015" s="73" t="str">
        <x:f>IF('당기원장'!A15="","",'당기원장'!I15)</x:f>
      </x:c>
      <x:c r="I1015" s="73" t="str">
        <x:f>IF('당기원장'!A15="","",'당기원장'!J15)</x:f>
      </x:c>
      <x:c r="J1015" s="73" t="str">
        <x:f>IF('당기원장'!A15="","",'당기원장'!K15)</x:f>
      </x:c>
      <x:c r="K1015" s="73" t="str">
        <x:f>IF(B1015="","",IF(COUNTIF($B$5:B1015,B1015)=1,COUNT($K$4:K1014)+1,""))</x:f>
      </x:c>
      <x:c r="L1015" s="85" t="str">
        <x:f>IF(B1015="","",IF(COUNTIFS('계정비교'!$A$5:$A$1004,B1015,'계정비교'!$H$5:$H$1004,"원인분석 대상")&gt;0,COUNT($L$4:L1014)+1,""))</x:f>
      </x:c>
    </x:row>
    <x:row r="1016">
      <x:c r="A1016" s="73" t="str">
        <x:f>IF('당기원장'!A16="","","당기")</x:f>
      </x:c>
      <x:c r="B1016" s="73" t="str">
        <x:f>IF('당기원장'!A16="","",'당기원장'!A16)</x:f>
      </x:c>
      <x:c r="C1016" s="73" t="str">
        <x:f>IF('당기원장'!A16="","",'당기원장'!B16)</x:f>
      </x:c>
      <x:c r="D1016" s="74" t="str">
        <x:f>IF('당기원장'!A16="","",'당기원장'!C16)</x:f>
      </x:c>
      <x:c r="E1016" s="73" t="str">
        <x:f>IF('당기원장'!A16="","",'당기원장'!D16)</x:f>
      </x:c>
      <x:c r="F1016" s="73" t="str">
        <x:f>IF('당기원장'!A16="","",'당기원장'!E16)</x:f>
      </x:c>
      <x:c r="G1016" s="75" t="str">
        <x:f>IF('당기원장'!A16="","",'당기원장'!H16)</x:f>
      </x:c>
      <x:c r="H1016" s="73" t="str">
        <x:f>IF('당기원장'!A16="","",'당기원장'!I16)</x:f>
      </x:c>
      <x:c r="I1016" s="73" t="str">
        <x:f>IF('당기원장'!A16="","",'당기원장'!J16)</x:f>
      </x:c>
      <x:c r="J1016" s="73" t="str">
        <x:f>IF('당기원장'!A16="","",'당기원장'!K16)</x:f>
      </x:c>
      <x:c r="K1016" s="73" t="str">
        <x:f>IF(B1016="","",IF(COUNTIF($B$5:B1016,B1016)=1,COUNT($K$4:K1015)+1,""))</x:f>
      </x:c>
      <x:c r="L1016" s="85" t="str">
        <x:f>IF(B1016="","",IF(COUNTIFS('계정비교'!$A$5:$A$1004,B1016,'계정비교'!$H$5:$H$1004,"원인분석 대상")&gt;0,COUNT($L$4:L1015)+1,""))</x:f>
      </x:c>
    </x:row>
    <x:row r="1017">
      <x:c r="A1017" s="73" t="str">
        <x:f>IF('당기원장'!A17="","","당기")</x:f>
      </x:c>
      <x:c r="B1017" s="73" t="str">
        <x:f>IF('당기원장'!A17="","",'당기원장'!A17)</x:f>
      </x:c>
      <x:c r="C1017" s="73" t="str">
        <x:f>IF('당기원장'!A17="","",'당기원장'!B17)</x:f>
      </x:c>
      <x:c r="D1017" s="74" t="str">
        <x:f>IF('당기원장'!A17="","",'당기원장'!C17)</x:f>
      </x:c>
      <x:c r="E1017" s="73" t="str">
        <x:f>IF('당기원장'!A17="","",'당기원장'!D17)</x:f>
      </x:c>
      <x:c r="F1017" s="73" t="str">
        <x:f>IF('당기원장'!A17="","",'당기원장'!E17)</x:f>
      </x:c>
      <x:c r="G1017" s="75" t="str">
        <x:f>IF('당기원장'!A17="","",'당기원장'!H17)</x:f>
      </x:c>
      <x:c r="H1017" s="73" t="str">
        <x:f>IF('당기원장'!A17="","",'당기원장'!I17)</x:f>
      </x:c>
      <x:c r="I1017" s="73" t="str">
        <x:f>IF('당기원장'!A17="","",'당기원장'!J17)</x:f>
      </x:c>
      <x:c r="J1017" s="73" t="str">
        <x:f>IF('당기원장'!A17="","",'당기원장'!K17)</x:f>
      </x:c>
      <x:c r="K1017" s="73" t="str">
        <x:f>IF(B1017="","",IF(COUNTIF($B$5:B1017,B1017)=1,COUNT($K$4:K1016)+1,""))</x:f>
      </x:c>
      <x:c r="L1017" s="85" t="str">
        <x:f>IF(B1017="","",IF(COUNTIFS('계정비교'!$A$5:$A$1004,B1017,'계정비교'!$H$5:$H$1004,"원인분석 대상")&gt;0,COUNT($L$4:L1016)+1,""))</x:f>
      </x:c>
    </x:row>
    <x:row r="1018">
      <x:c r="A1018" s="73" t="str">
        <x:f>IF('당기원장'!A18="","","당기")</x:f>
      </x:c>
      <x:c r="B1018" s="73" t="str">
        <x:f>IF('당기원장'!A18="","",'당기원장'!A18)</x:f>
      </x:c>
      <x:c r="C1018" s="73" t="str">
        <x:f>IF('당기원장'!A18="","",'당기원장'!B18)</x:f>
      </x:c>
      <x:c r="D1018" s="74" t="str">
        <x:f>IF('당기원장'!A18="","",'당기원장'!C18)</x:f>
      </x:c>
      <x:c r="E1018" s="73" t="str">
        <x:f>IF('당기원장'!A18="","",'당기원장'!D18)</x:f>
      </x:c>
      <x:c r="F1018" s="73" t="str">
        <x:f>IF('당기원장'!A18="","",'당기원장'!E18)</x:f>
      </x:c>
      <x:c r="G1018" s="75" t="str">
        <x:f>IF('당기원장'!A18="","",'당기원장'!H18)</x:f>
      </x:c>
      <x:c r="H1018" s="73" t="str">
        <x:f>IF('당기원장'!A18="","",'당기원장'!I18)</x:f>
      </x:c>
      <x:c r="I1018" s="73" t="str">
        <x:f>IF('당기원장'!A18="","",'당기원장'!J18)</x:f>
      </x:c>
      <x:c r="J1018" s="73" t="str">
        <x:f>IF('당기원장'!A18="","",'당기원장'!K18)</x:f>
      </x:c>
      <x:c r="K1018" s="73" t="str">
        <x:f>IF(B1018="","",IF(COUNTIF($B$5:B1018,B1018)=1,COUNT($K$4:K1017)+1,""))</x:f>
      </x:c>
      <x:c r="L1018" s="85" t="str">
        <x:f>IF(B1018="","",IF(COUNTIFS('계정비교'!$A$5:$A$1004,B1018,'계정비교'!$H$5:$H$1004,"원인분석 대상")&gt;0,COUNT($L$4:L1017)+1,""))</x:f>
      </x:c>
    </x:row>
    <x:row r="1019">
      <x:c r="A1019" s="73" t="str">
        <x:f>IF('당기원장'!A19="","","당기")</x:f>
      </x:c>
      <x:c r="B1019" s="73" t="str">
        <x:f>IF('당기원장'!A19="","",'당기원장'!A19)</x:f>
      </x:c>
      <x:c r="C1019" s="73" t="str">
        <x:f>IF('당기원장'!A19="","",'당기원장'!B19)</x:f>
      </x:c>
      <x:c r="D1019" s="74" t="str">
        <x:f>IF('당기원장'!A19="","",'당기원장'!C19)</x:f>
      </x:c>
      <x:c r="E1019" s="73" t="str">
        <x:f>IF('당기원장'!A19="","",'당기원장'!D19)</x:f>
      </x:c>
      <x:c r="F1019" s="73" t="str">
        <x:f>IF('당기원장'!A19="","",'당기원장'!E19)</x:f>
      </x:c>
      <x:c r="G1019" s="75" t="str">
        <x:f>IF('당기원장'!A19="","",'당기원장'!H19)</x:f>
      </x:c>
      <x:c r="H1019" s="73" t="str">
        <x:f>IF('당기원장'!A19="","",'당기원장'!I19)</x:f>
      </x:c>
      <x:c r="I1019" s="73" t="str">
        <x:f>IF('당기원장'!A19="","",'당기원장'!J19)</x:f>
      </x:c>
      <x:c r="J1019" s="73" t="str">
        <x:f>IF('당기원장'!A19="","",'당기원장'!K19)</x:f>
      </x:c>
      <x:c r="K1019" s="73" t="str">
        <x:f>IF(B1019="","",IF(COUNTIF($B$5:B1019,B1019)=1,COUNT($K$4:K1018)+1,""))</x:f>
      </x:c>
      <x:c r="L1019" s="85" t="str">
        <x:f>IF(B1019="","",IF(COUNTIFS('계정비교'!$A$5:$A$1004,B1019,'계정비교'!$H$5:$H$1004,"원인분석 대상")&gt;0,COUNT($L$4:L1018)+1,""))</x:f>
      </x:c>
    </x:row>
    <x:row r="1020">
      <x:c r="A1020" s="73" t="str">
        <x:f>IF('당기원장'!A20="","","당기")</x:f>
      </x:c>
      <x:c r="B1020" s="73" t="str">
        <x:f>IF('당기원장'!A20="","",'당기원장'!A20)</x:f>
      </x:c>
      <x:c r="C1020" s="73" t="str">
        <x:f>IF('당기원장'!A20="","",'당기원장'!B20)</x:f>
      </x:c>
      <x:c r="D1020" s="74" t="str">
        <x:f>IF('당기원장'!A20="","",'당기원장'!C20)</x:f>
      </x:c>
      <x:c r="E1020" s="73" t="str">
        <x:f>IF('당기원장'!A20="","",'당기원장'!D20)</x:f>
      </x:c>
      <x:c r="F1020" s="73" t="str">
        <x:f>IF('당기원장'!A20="","",'당기원장'!E20)</x:f>
      </x:c>
      <x:c r="G1020" s="75" t="str">
        <x:f>IF('당기원장'!A20="","",'당기원장'!H20)</x:f>
      </x:c>
      <x:c r="H1020" s="73" t="str">
        <x:f>IF('당기원장'!A20="","",'당기원장'!I20)</x:f>
      </x:c>
      <x:c r="I1020" s="73" t="str">
        <x:f>IF('당기원장'!A20="","",'당기원장'!J20)</x:f>
      </x:c>
      <x:c r="J1020" s="73" t="str">
        <x:f>IF('당기원장'!A20="","",'당기원장'!K20)</x:f>
      </x:c>
      <x:c r="K1020" s="73" t="str">
        <x:f>IF(B1020="","",IF(COUNTIF($B$5:B1020,B1020)=1,COUNT($K$4:K1019)+1,""))</x:f>
      </x:c>
      <x:c r="L1020" s="85" t="str">
        <x:f>IF(B1020="","",IF(COUNTIFS('계정비교'!$A$5:$A$1004,B1020,'계정비교'!$H$5:$H$1004,"원인분석 대상")&gt;0,COUNT($L$4:L1019)+1,""))</x:f>
      </x:c>
    </x:row>
    <x:row r="1021">
      <x:c r="A1021" s="73" t="str">
        <x:f>IF('당기원장'!A21="","","당기")</x:f>
      </x:c>
      <x:c r="B1021" s="73" t="str">
        <x:f>IF('당기원장'!A21="","",'당기원장'!A21)</x:f>
      </x:c>
      <x:c r="C1021" s="73" t="str">
        <x:f>IF('당기원장'!A21="","",'당기원장'!B21)</x:f>
      </x:c>
      <x:c r="D1021" s="74" t="str">
        <x:f>IF('당기원장'!A21="","",'당기원장'!C21)</x:f>
      </x:c>
      <x:c r="E1021" s="73" t="str">
        <x:f>IF('당기원장'!A21="","",'당기원장'!D21)</x:f>
      </x:c>
      <x:c r="F1021" s="73" t="str">
        <x:f>IF('당기원장'!A21="","",'당기원장'!E21)</x:f>
      </x:c>
      <x:c r="G1021" s="75" t="str">
        <x:f>IF('당기원장'!A21="","",'당기원장'!H21)</x:f>
      </x:c>
      <x:c r="H1021" s="73" t="str">
        <x:f>IF('당기원장'!A21="","",'당기원장'!I21)</x:f>
      </x:c>
      <x:c r="I1021" s="73" t="str">
        <x:f>IF('당기원장'!A21="","",'당기원장'!J21)</x:f>
      </x:c>
      <x:c r="J1021" s="73" t="str">
        <x:f>IF('당기원장'!A21="","",'당기원장'!K21)</x:f>
      </x:c>
      <x:c r="K1021" s="73" t="str">
        <x:f>IF(B1021="","",IF(COUNTIF($B$5:B1021,B1021)=1,COUNT($K$4:K1020)+1,""))</x:f>
      </x:c>
      <x:c r="L1021" s="85" t="str">
        <x:f>IF(B1021="","",IF(COUNTIFS('계정비교'!$A$5:$A$1004,B1021,'계정비교'!$H$5:$H$1004,"원인분석 대상")&gt;0,COUNT($L$4:L1020)+1,""))</x:f>
      </x:c>
    </x:row>
    <x:row r="1022">
      <x:c r="A1022" s="73" t="str">
        <x:f>IF('당기원장'!A22="","","당기")</x:f>
      </x:c>
      <x:c r="B1022" s="73" t="str">
        <x:f>IF('당기원장'!A22="","",'당기원장'!A22)</x:f>
      </x:c>
      <x:c r="C1022" s="73" t="str">
        <x:f>IF('당기원장'!A22="","",'당기원장'!B22)</x:f>
      </x:c>
      <x:c r="D1022" s="74" t="str">
        <x:f>IF('당기원장'!A22="","",'당기원장'!C22)</x:f>
      </x:c>
      <x:c r="E1022" s="73" t="str">
        <x:f>IF('당기원장'!A22="","",'당기원장'!D22)</x:f>
      </x:c>
      <x:c r="F1022" s="73" t="str">
        <x:f>IF('당기원장'!A22="","",'당기원장'!E22)</x:f>
      </x:c>
      <x:c r="G1022" s="75" t="str">
        <x:f>IF('당기원장'!A22="","",'당기원장'!H22)</x:f>
      </x:c>
      <x:c r="H1022" s="73" t="str">
        <x:f>IF('당기원장'!A22="","",'당기원장'!I22)</x:f>
      </x:c>
      <x:c r="I1022" s="73" t="str">
        <x:f>IF('당기원장'!A22="","",'당기원장'!J22)</x:f>
      </x:c>
      <x:c r="J1022" s="73" t="str">
        <x:f>IF('당기원장'!A22="","",'당기원장'!K22)</x:f>
      </x:c>
      <x:c r="K1022" s="73" t="str">
        <x:f>IF(B1022="","",IF(COUNTIF($B$5:B1022,B1022)=1,COUNT($K$4:K1021)+1,""))</x:f>
      </x:c>
      <x:c r="L1022" s="85" t="str">
        <x:f>IF(B1022="","",IF(COUNTIFS('계정비교'!$A$5:$A$1004,B1022,'계정비교'!$H$5:$H$1004,"원인분석 대상")&gt;0,COUNT($L$4:L1021)+1,""))</x:f>
      </x:c>
    </x:row>
    <x:row r="1023">
      <x:c r="A1023" s="73" t="str">
        <x:f>IF('당기원장'!A23="","","당기")</x:f>
      </x:c>
      <x:c r="B1023" s="73" t="str">
        <x:f>IF('당기원장'!A23="","",'당기원장'!A23)</x:f>
      </x:c>
      <x:c r="C1023" s="73" t="str">
        <x:f>IF('당기원장'!A23="","",'당기원장'!B23)</x:f>
      </x:c>
      <x:c r="D1023" s="74" t="str">
        <x:f>IF('당기원장'!A23="","",'당기원장'!C23)</x:f>
      </x:c>
      <x:c r="E1023" s="73" t="str">
        <x:f>IF('당기원장'!A23="","",'당기원장'!D23)</x:f>
      </x:c>
      <x:c r="F1023" s="73" t="str">
        <x:f>IF('당기원장'!A23="","",'당기원장'!E23)</x:f>
      </x:c>
      <x:c r="G1023" s="75" t="str">
        <x:f>IF('당기원장'!A23="","",'당기원장'!H23)</x:f>
      </x:c>
      <x:c r="H1023" s="73" t="str">
        <x:f>IF('당기원장'!A23="","",'당기원장'!I23)</x:f>
      </x:c>
      <x:c r="I1023" s="73" t="str">
        <x:f>IF('당기원장'!A23="","",'당기원장'!J23)</x:f>
      </x:c>
      <x:c r="J1023" s="73" t="str">
        <x:f>IF('당기원장'!A23="","",'당기원장'!K23)</x:f>
      </x:c>
      <x:c r="K1023" s="73" t="str">
        <x:f>IF(B1023="","",IF(COUNTIF($B$5:B1023,B1023)=1,COUNT($K$4:K1022)+1,""))</x:f>
      </x:c>
      <x:c r="L1023" s="85" t="str">
        <x:f>IF(B1023="","",IF(COUNTIFS('계정비교'!$A$5:$A$1004,B1023,'계정비교'!$H$5:$H$1004,"원인분석 대상")&gt;0,COUNT($L$4:L1022)+1,""))</x:f>
      </x:c>
    </x:row>
    <x:row r="1024">
      <x:c r="A1024" s="73" t="str">
        <x:f>IF('당기원장'!A24="","","당기")</x:f>
      </x:c>
      <x:c r="B1024" s="73" t="str">
        <x:f>IF('당기원장'!A24="","",'당기원장'!A24)</x:f>
      </x:c>
      <x:c r="C1024" s="73" t="str">
        <x:f>IF('당기원장'!A24="","",'당기원장'!B24)</x:f>
      </x:c>
      <x:c r="D1024" s="74" t="str">
        <x:f>IF('당기원장'!A24="","",'당기원장'!C24)</x:f>
      </x:c>
      <x:c r="E1024" s="73" t="str">
        <x:f>IF('당기원장'!A24="","",'당기원장'!D24)</x:f>
      </x:c>
      <x:c r="F1024" s="73" t="str">
        <x:f>IF('당기원장'!A24="","",'당기원장'!E24)</x:f>
      </x:c>
      <x:c r="G1024" s="75" t="str">
        <x:f>IF('당기원장'!A24="","",'당기원장'!H24)</x:f>
      </x:c>
      <x:c r="H1024" s="73" t="str">
        <x:f>IF('당기원장'!A24="","",'당기원장'!I24)</x:f>
      </x:c>
      <x:c r="I1024" s="73" t="str">
        <x:f>IF('당기원장'!A24="","",'당기원장'!J24)</x:f>
      </x:c>
      <x:c r="J1024" s="73" t="str">
        <x:f>IF('당기원장'!A24="","",'당기원장'!K24)</x:f>
      </x:c>
      <x:c r="K1024" s="73" t="str">
        <x:f>IF(B1024="","",IF(COUNTIF($B$5:B1024,B1024)=1,COUNT($K$4:K1023)+1,""))</x:f>
      </x:c>
      <x:c r="L1024" s="85" t="str">
        <x:f>IF(B1024="","",IF(COUNTIFS('계정비교'!$A$5:$A$1004,B1024,'계정비교'!$H$5:$H$1004,"원인분석 대상")&gt;0,COUNT($L$4:L1023)+1,""))</x:f>
      </x:c>
    </x:row>
    <x:row r="1025">
      <x:c r="A1025" s="73" t="str">
        <x:f>IF('당기원장'!A25="","","당기")</x:f>
      </x:c>
      <x:c r="B1025" s="73" t="str">
        <x:f>IF('당기원장'!A25="","",'당기원장'!A25)</x:f>
      </x:c>
      <x:c r="C1025" s="73" t="str">
        <x:f>IF('당기원장'!A25="","",'당기원장'!B25)</x:f>
      </x:c>
      <x:c r="D1025" s="74" t="str">
        <x:f>IF('당기원장'!A25="","",'당기원장'!C25)</x:f>
      </x:c>
      <x:c r="E1025" s="73" t="str">
        <x:f>IF('당기원장'!A25="","",'당기원장'!D25)</x:f>
      </x:c>
      <x:c r="F1025" s="73" t="str">
        <x:f>IF('당기원장'!A25="","",'당기원장'!E25)</x:f>
      </x:c>
      <x:c r="G1025" s="75" t="str">
        <x:f>IF('당기원장'!A25="","",'당기원장'!H25)</x:f>
      </x:c>
      <x:c r="H1025" s="73" t="str">
        <x:f>IF('당기원장'!A25="","",'당기원장'!I25)</x:f>
      </x:c>
      <x:c r="I1025" s="73" t="str">
        <x:f>IF('당기원장'!A25="","",'당기원장'!J25)</x:f>
      </x:c>
      <x:c r="J1025" s="73" t="str">
        <x:f>IF('당기원장'!A25="","",'당기원장'!K25)</x:f>
      </x:c>
      <x:c r="K1025" s="73" t="str">
        <x:f>IF(B1025="","",IF(COUNTIF($B$5:B1025,B1025)=1,COUNT($K$4:K1024)+1,""))</x:f>
      </x:c>
      <x:c r="L1025" s="85" t="str">
        <x:f>IF(B1025="","",IF(COUNTIFS('계정비교'!$A$5:$A$1004,B1025,'계정비교'!$H$5:$H$1004,"원인분석 대상")&gt;0,COUNT($L$4:L1024)+1,""))</x:f>
      </x:c>
    </x:row>
    <x:row r="1026">
      <x:c r="A1026" s="73" t="str">
        <x:f>IF('당기원장'!A26="","","당기")</x:f>
      </x:c>
      <x:c r="B1026" s="73" t="str">
        <x:f>IF('당기원장'!A26="","",'당기원장'!A26)</x:f>
      </x:c>
      <x:c r="C1026" s="73" t="str">
        <x:f>IF('당기원장'!A26="","",'당기원장'!B26)</x:f>
      </x:c>
      <x:c r="D1026" s="74" t="str">
        <x:f>IF('당기원장'!A26="","",'당기원장'!C26)</x:f>
      </x:c>
      <x:c r="E1026" s="73" t="str">
        <x:f>IF('당기원장'!A26="","",'당기원장'!D26)</x:f>
      </x:c>
      <x:c r="F1026" s="73" t="str">
        <x:f>IF('당기원장'!A26="","",'당기원장'!E26)</x:f>
      </x:c>
      <x:c r="G1026" s="75" t="str">
        <x:f>IF('당기원장'!A26="","",'당기원장'!H26)</x:f>
      </x:c>
      <x:c r="H1026" s="73" t="str">
        <x:f>IF('당기원장'!A26="","",'당기원장'!I26)</x:f>
      </x:c>
      <x:c r="I1026" s="73" t="str">
        <x:f>IF('당기원장'!A26="","",'당기원장'!J26)</x:f>
      </x:c>
      <x:c r="J1026" s="73" t="str">
        <x:f>IF('당기원장'!A26="","",'당기원장'!K26)</x:f>
      </x:c>
      <x:c r="K1026" s="73" t="str">
        <x:f>IF(B1026="","",IF(COUNTIF($B$5:B1026,B1026)=1,COUNT($K$4:K1025)+1,""))</x:f>
      </x:c>
      <x:c r="L1026" s="85" t="str">
        <x:f>IF(B1026="","",IF(COUNTIFS('계정비교'!$A$5:$A$1004,B1026,'계정비교'!$H$5:$H$1004,"원인분석 대상")&gt;0,COUNT($L$4:L1025)+1,""))</x:f>
      </x:c>
    </x:row>
    <x:row r="1027">
      <x:c r="A1027" s="73" t="str">
        <x:f>IF('당기원장'!A27="","","당기")</x:f>
      </x:c>
      <x:c r="B1027" s="73" t="str">
        <x:f>IF('당기원장'!A27="","",'당기원장'!A27)</x:f>
      </x:c>
      <x:c r="C1027" s="73" t="str">
        <x:f>IF('당기원장'!A27="","",'당기원장'!B27)</x:f>
      </x:c>
      <x:c r="D1027" s="74" t="str">
        <x:f>IF('당기원장'!A27="","",'당기원장'!C27)</x:f>
      </x:c>
      <x:c r="E1027" s="73" t="str">
        <x:f>IF('당기원장'!A27="","",'당기원장'!D27)</x:f>
      </x:c>
      <x:c r="F1027" s="73" t="str">
        <x:f>IF('당기원장'!A27="","",'당기원장'!E27)</x:f>
      </x:c>
      <x:c r="G1027" s="75" t="str">
        <x:f>IF('당기원장'!A27="","",'당기원장'!H27)</x:f>
      </x:c>
      <x:c r="H1027" s="73" t="str">
        <x:f>IF('당기원장'!A27="","",'당기원장'!I27)</x:f>
      </x:c>
      <x:c r="I1027" s="73" t="str">
        <x:f>IF('당기원장'!A27="","",'당기원장'!J27)</x:f>
      </x:c>
      <x:c r="J1027" s="73" t="str">
        <x:f>IF('당기원장'!A27="","",'당기원장'!K27)</x:f>
      </x:c>
      <x:c r="K1027" s="73" t="str">
        <x:f>IF(B1027="","",IF(COUNTIF($B$5:B1027,B1027)=1,COUNT($K$4:K1026)+1,""))</x:f>
      </x:c>
      <x:c r="L1027" s="85" t="str">
        <x:f>IF(B1027="","",IF(COUNTIFS('계정비교'!$A$5:$A$1004,B1027,'계정비교'!$H$5:$H$1004,"원인분석 대상")&gt;0,COUNT($L$4:L1026)+1,""))</x:f>
      </x:c>
    </x:row>
    <x:row r="1028">
      <x:c r="A1028" s="73" t="str">
        <x:f>IF('당기원장'!A28="","","당기")</x:f>
      </x:c>
      <x:c r="B1028" s="73" t="str">
        <x:f>IF('당기원장'!A28="","",'당기원장'!A28)</x:f>
      </x:c>
      <x:c r="C1028" s="73" t="str">
        <x:f>IF('당기원장'!A28="","",'당기원장'!B28)</x:f>
      </x:c>
      <x:c r="D1028" s="74" t="str">
        <x:f>IF('당기원장'!A28="","",'당기원장'!C28)</x:f>
      </x:c>
      <x:c r="E1028" s="73" t="str">
        <x:f>IF('당기원장'!A28="","",'당기원장'!D28)</x:f>
      </x:c>
      <x:c r="F1028" s="73" t="str">
        <x:f>IF('당기원장'!A28="","",'당기원장'!E28)</x:f>
      </x:c>
      <x:c r="G1028" s="75" t="str">
        <x:f>IF('당기원장'!A28="","",'당기원장'!H28)</x:f>
      </x:c>
      <x:c r="H1028" s="73" t="str">
        <x:f>IF('당기원장'!A28="","",'당기원장'!I28)</x:f>
      </x:c>
      <x:c r="I1028" s="73" t="str">
        <x:f>IF('당기원장'!A28="","",'당기원장'!J28)</x:f>
      </x:c>
      <x:c r="J1028" s="73" t="str">
        <x:f>IF('당기원장'!A28="","",'당기원장'!K28)</x:f>
      </x:c>
      <x:c r="K1028" s="73" t="str">
        <x:f>IF(B1028="","",IF(COUNTIF($B$5:B1028,B1028)=1,COUNT($K$4:K1027)+1,""))</x:f>
      </x:c>
      <x:c r="L1028" s="85" t="str">
        <x:f>IF(B1028="","",IF(COUNTIFS('계정비교'!$A$5:$A$1004,B1028,'계정비교'!$H$5:$H$1004,"원인분석 대상")&gt;0,COUNT($L$4:L1027)+1,""))</x:f>
      </x:c>
    </x:row>
    <x:row r="1029">
      <x:c r="A1029" s="73" t="str">
        <x:f>IF('당기원장'!A29="","","당기")</x:f>
      </x:c>
      <x:c r="B1029" s="73" t="str">
        <x:f>IF('당기원장'!A29="","",'당기원장'!A29)</x:f>
      </x:c>
      <x:c r="C1029" s="73" t="str">
        <x:f>IF('당기원장'!A29="","",'당기원장'!B29)</x:f>
      </x:c>
      <x:c r="D1029" s="74" t="str">
        <x:f>IF('당기원장'!A29="","",'당기원장'!C29)</x:f>
      </x:c>
      <x:c r="E1029" s="73" t="str">
        <x:f>IF('당기원장'!A29="","",'당기원장'!D29)</x:f>
      </x:c>
      <x:c r="F1029" s="73" t="str">
        <x:f>IF('당기원장'!A29="","",'당기원장'!E29)</x:f>
      </x:c>
      <x:c r="G1029" s="75" t="str">
        <x:f>IF('당기원장'!A29="","",'당기원장'!H29)</x:f>
      </x:c>
      <x:c r="H1029" s="73" t="str">
        <x:f>IF('당기원장'!A29="","",'당기원장'!I29)</x:f>
      </x:c>
      <x:c r="I1029" s="73" t="str">
        <x:f>IF('당기원장'!A29="","",'당기원장'!J29)</x:f>
      </x:c>
      <x:c r="J1029" s="73" t="str">
        <x:f>IF('당기원장'!A29="","",'당기원장'!K29)</x:f>
      </x:c>
      <x:c r="K1029" s="73" t="str">
        <x:f>IF(B1029="","",IF(COUNTIF($B$5:B1029,B1029)=1,COUNT($K$4:K1028)+1,""))</x:f>
      </x:c>
      <x:c r="L1029" s="85" t="str">
        <x:f>IF(B1029="","",IF(COUNTIFS('계정비교'!$A$5:$A$1004,B1029,'계정비교'!$H$5:$H$1004,"원인분석 대상")&gt;0,COUNT($L$4:L1028)+1,""))</x:f>
      </x:c>
    </x:row>
    <x:row r="1030">
      <x:c r="A1030" s="73" t="str">
        <x:f>IF('당기원장'!A30="","","당기")</x:f>
      </x:c>
      <x:c r="B1030" s="73" t="str">
        <x:f>IF('당기원장'!A30="","",'당기원장'!A30)</x:f>
      </x:c>
      <x:c r="C1030" s="73" t="str">
        <x:f>IF('당기원장'!A30="","",'당기원장'!B30)</x:f>
      </x:c>
      <x:c r="D1030" s="74" t="str">
        <x:f>IF('당기원장'!A30="","",'당기원장'!C30)</x:f>
      </x:c>
      <x:c r="E1030" s="73" t="str">
        <x:f>IF('당기원장'!A30="","",'당기원장'!D30)</x:f>
      </x:c>
      <x:c r="F1030" s="73" t="str">
        <x:f>IF('당기원장'!A30="","",'당기원장'!E30)</x:f>
      </x:c>
      <x:c r="G1030" s="75" t="str">
        <x:f>IF('당기원장'!A30="","",'당기원장'!H30)</x:f>
      </x:c>
      <x:c r="H1030" s="73" t="str">
        <x:f>IF('당기원장'!A30="","",'당기원장'!I30)</x:f>
      </x:c>
      <x:c r="I1030" s="73" t="str">
        <x:f>IF('당기원장'!A30="","",'당기원장'!J30)</x:f>
      </x:c>
      <x:c r="J1030" s="73" t="str">
        <x:f>IF('당기원장'!A30="","",'당기원장'!K30)</x:f>
      </x:c>
      <x:c r="K1030" s="73" t="str">
        <x:f>IF(B1030="","",IF(COUNTIF($B$5:B1030,B1030)=1,COUNT($K$4:K1029)+1,""))</x:f>
      </x:c>
      <x:c r="L1030" s="85" t="str">
        <x:f>IF(B1030="","",IF(COUNTIFS('계정비교'!$A$5:$A$1004,B1030,'계정비교'!$H$5:$H$1004,"원인분석 대상")&gt;0,COUNT($L$4:L1029)+1,""))</x:f>
      </x:c>
    </x:row>
    <x:row r="1031">
      <x:c r="A1031" s="73" t="str">
        <x:f>IF('당기원장'!A31="","","당기")</x:f>
      </x:c>
      <x:c r="B1031" s="73" t="str">
        <x:f>IF('당기원장'!A31="","",'당기원장'!A31)</x:f>
      </x:c>
      <x:c r="C1031" s="73" t="str">
        <x:f>IF('당기원장'!A31="","",'당기원장'!B31)</x:f>
      </x:c>
      <x:c r="D1031" s="74" t="str">
        <x:f>IF('당기원장'!A31="","",'당기원장'!C31)</x:f>
      </x:c>
      <x:c r="E1031" s="73" t="str">
        <x:f>IF('당기원장'!A31="","",'당기원장'!D31)</x:f>
      </x:c>
      <x:c r="F1031" s="73" t="str">
        <x:f>IF('당기원장'!A31="","",'당기원장'!E31)</x:f>
      </x:c>
      <x:c r="G1031" s="75" t="str">
        <x:f>IF('당기원장'!A31="","",'당기원장'!H31)</x:f>
      </x:c>
      <x:c r="H1031" s="73" t="str">
        <x:f>IF('당기원장'!A31="","",'당기원장'!I31)</x:f>
      </x:c>
      <x:c r="I1031" s="73" t="str">
        <x:f>IF('당기원장'!A31="","",'당기원장'!J31)</x:f>
      </x:c>
      <x:c r="J1031" s="73" t="str">
        <x:f>IF('당기원장'!A31="","",'당기원장'!K31)</x:f>
      </x:c>
      <x:c r="K1031" s="73" t="str">
        <x:f>IF(B1031="","",IF(COUNTIF($B$5:B1031,B1031)=1,COUNT($K$4:K1030)+1,""))</x:f>
      </x:c>
      <x:c r="L1031" s="85" t="str">
        <x:f>IF(B1031="","",IF(COUNTIFS('계정비교'!$A$5:$A$1004,B1031,'계정비교'!$H$5:$H$1004,"원인분석 대상")&gt;0,COUNT($L$4:L1030)+1,""))</x:f>
      </x:c>
    </x:row>
    <x:row r="1032">
      <x:c r="A1032" s="73" t="str">
        <x:f>IF('당기원장'!A32="","","당기")</x:f>
      </x:c>
      <x:c r="B1032" s="73" t="str">
        <x:f>IF('당기원장'!A32="","",'당기원장'!A32)</x:f>
      </x:c>
      <x:c r="C1032" s="73" t="str">
        <x:f>IF('당기원장'!A32="","",'당기원장'!B32)</x:f>
      </x:c>
      <x:c r="D1032" s="74" t="str">
        <x:f>IF('당기원장'!A32="","",'당기원장'!C32)</x:f>
      </x:c>
      <x:c r="E1032" s="73" t="str">
        <x:f>IF('당기원장'!A32="","",'당기원장'!D32)</x:f>
      </x:c>
      <x:c r="F1032" s="73" t="str">
        <x:f>IF('당기원장'!A32="","",'당기원장'!E32)</x:f>
      </x:c>
      <x:c r="G1032" s="75" t="str">
        <x:f>IF('당기원장'!A32="","",'당기원장'!H32)</x:f>
      </x:c>
      <x:c r="H1032" s="73" t="str">
        <x:f>IF('당기원장'!A32="","",'당기원장'!I32)</x:f>
      </x:c>
      <x:c r="I1032" s="73" t="str">
        <x:f>IF('당기원장'!A32="","",'당기원장'!J32)</x:f>
      </x:c>
      <x:c r="J1032" s="73" t="str">
        <x:f>IF('당기원장'!A32="","",'당기원장'!K32)</x:f>
      </x:c>
      <x:c r="K1032" s="73" t="str">
        <x:f>IF(B1032="","",IF(COUNTIF($B$5:B1032,B1032)=1,COUNT($K$4:K1031)+1,""))</x:f>
      </x:c>
      <x:c r="L1032" s="85" t="str">
        <x:f>IF(B1032="","",IF(COUNTIFS('계정비교'!$A$5:$A$1004,B1032,'계정비교'!$H$5:$H$1004,"원인분석 대상")&gt;0,COUNT($L$4:L1031)+1,""))</x:f>
      </x:c>
    </x:row>
    <x:row r="1033">
      <x:c r="A1033" s="73" t="str">
        <x:f>IF('당기원장'!A33="","","당기")</x:f>
      </x:c>
      <x:c r="B1033" s="73" t="str">
        <x:f>IF('당기원장'!A33="","",'당기원장'!A33)</x:f>
      </x:c>
      <x:c r="C1033" s="73" t="str">
        <x:f>IF('당기원장'!A33="","",'당기원장'!B33)</x:f>
      </x:c>
      <x:c r="D1033" s="74" t="str">
        <x:f>IF('당기원장'!A33="","",'당기원장'!C33)</x:f>
      </x:c>
      <x:c r="E1033" s="73" t="str">
        <x:f>IF('당기원장'!A33="","",'당기원장'!D33)</x:f>
      </x:c>
      <x:c r="F1033" s="73" t="str">
        <x:f>IF('당기원장'!A33="","",'당기원장'!E33)</x:f>
      </x:c>
      <x:c r="G1033" s="75" t="str">
        <x:f>IF('당기원장'!A33="","",'당기원장'!H33)</x:f>
      </x:c>
      <x:c r="H1033" s="73" t="str">
        <x:f>IF('당기원장'!A33="","",'당기원장'!I33)</x:f>
      </x:c>
      <x:c r="I1033" s="73" t="str">
        <x:f>IF('당기원장'!A33="","",'당기원장'!J33)</x:f>
      </x:c>
      <x:c r="J1033" s="73" t="str">
        <x:f>IF('당기원장'!A33="","",'당기원장'!K33)</x:f>
      </x:c>
      <x:c r="K1033" s="73" t="str">
        <x:f>IF(B1033="","",IF(COUNTIF($B$5:B1033,B1033)=1,COUNT($K$4:K1032)+1,""))</x:f>
      </x:c>
      <x:c r="L1033" s="85" t="str">
        <x:f>IF(B1033="","",IF(COUNTIFS('계정비교'!$A$5:$A$1004,B1033,'계정비교'!$H$5:$H$1004,"원인분석 대상")&gt;0,COUNT($L$4:L1032)+1,""))</x:f>
      </x:c>
    </x:row>
    <x:row r="1034">
      <x:c r="A1034" s="73" t="str">
        <x:f>IF('당기원장'!A34="","","당기")</x:f>
      </x:c>
      <x:c r="B1034" s="73" t="str">
        <x:f>IF('당기원장'!A34="","",'당기원장'!A34)</x:f>
      </x:c>
      <x:c r="C1034" s="73" t="str">
        <x:f>IF('당기원장'!A34="","",'당기원장'!B34)</x:f>
      </x:c>
      <x:c r="D1034" s="74" t="str">
        <x:f>IF('당기원장'!A34="","",'당기원장'!C34)</x:f>
      </x:c>
      <x:c r="E1034" s="73" t="str">
        <x:f>IF('당기원장'!A34="","",'당기원장'!D34)</x:f>
      </x:c>
      <x:c r="F1034" s="73" t="str">
        <x:f>IF('당기원장'!A34="","",'당기원장'!E34)</x:f>
      </x:c>
      <x:c r="G1034" s="75" t="str">
        <x:f>IF('당기원장'!A34="","",'당기원장'!H34)</x:f>
      </x:c>
      <x:c r="H1034" s="73" t="str">
        <x:f>IF('당기원장'!A34="","",'당기원장'!I34)</x:f>
      </x:c>
      <x:c r="I1034" s="73" t="str">
        <x:f>IF('당기원장'!A34="","",'당기원장'!J34)</x:f>
      </x:c>
      <x:c r="J1034" s="73" t="str">
        <x:f>IF('당기원장'!A34="","",'당기원장'!K34)</x:f>
      </x:c>
      <x:c r="K1034" s="73" t="str">
        <x:f>IF(B1034="","",IF(COUNTIF($B$5:B1034,B1034)=1,COUNT($K$4:K1033)+1,""))</x:f>
      </x:c>
      <x:c r="L1034" s="85" t="str">
        <x:f>IF(B1034="","",IF(COUNTIFS('계정비교'!$A$5:$A$1004,B1034,'계정비교'!$H$5:$H$1004,"원인분석 대상")&gt;0,COUNT($L$4:L1033)+1,""))</x:f>
      </x:c>
    </x:row>
    <x:row r="1035">
      <x:c r="A1035" s="73" t="str">
        <x:f>IF('당기원장'!A35="","","당기")</x:f>
      </x:c>
      <x:c r="B1035" s="73" t="str">
        <x:f>IF('당기원장'!A35="","",'당기원장'!A35)</x:f>
      </x:c>
      <x:c r="C1035" s="73" t="str">
        <x:f>IF('당기원장'!A35="","",'당기원장'!B35)</x:f>
      </x:c>
      <x:c r="D1035" s="74" t="str">
        <x:f>IF('당기원장'!A35="","",'당기원장'!C35)</x:f>
      </x:c>
      <x:c r="E1035" s="73" t="str">
        <x:f>IF('당기원장'!A35="","",'당기원장'!D35)</x:f>
      </x:c>
      <x:c r="F1035" s="73" t="str">
        <x:f>IF('당기원장'!A35="","",'당기원장'!E35)</x:f>
      </x:c>
      <x:c r="G1035" s="75" t="str">
        <x:f>IF('당기원장'!A35="","",'당기원장'!H35)</x:f>
      </x:c>
      <x:c r="H1035" s="73" t="str">
        <x:f>IF('당기원장'!A35="","",'당기원장'!I35)</x:f>
      </x:c>
      <x:c r="I1035" s="73" t="str">
        <x:f>IF('당기원장'!A35="","",'당기원장'!J35)</x:f>
      </x:c>
      <x:c r="J1035" s="73" t="str">
        <x:f>IF('당기원장'!A35="","",'당기원장'!K35)</x:f>
      </x:c>
      <x:c r="K1035" s="73" t="str">
        <x:f>IF(B1035="","",IF(COUNTIF($B$5:B1035,B1035)=1,COUNT($K$4:K1034)+1,""))</x:f>
      </x:c>
      <x:c r="L1035" s="85" t="str">
        <x:f>IF(B1035="","",IF(COUNTIFS('계정비교'!$A$5:$A$1004,B1035,'계정비교'!$H$5:$H$1004,"원인분석 대상")&gt;0,COUNT($L$4:L1034)+1,""))</x:f>
      </x:c>
    </x:row>
    <x:row r="1036">
      <x:c r="A1036" s="73" t="str">
        <x:f>IF('당기원장'!A36="","","당기")</x:f>
      </x:c>
      <x:c r="B1036" s="73" t="str">
        <x:f>IF('당기원장'!A36="","",'당기원장'!A36)</x:f>
      </x:c>
      <x:c r="C1036" s="73" t="str">
        <x:f>IF('당기원장'!A36="","",'당기원장'!B36)</x:f>
      </x:c>
      <x:c r="D1036" s="74" t="str">
        <x:f>IF('당기원장'!A36="","",'당기원장'!C36)</x:f>
      </x:c>
      <x:c r="E1036" s="73" t="str">
        <x:f>IF('당기원장'!A36="","",'당기원장'!D36)</x:f>
      </x:c>
      <x:c r="F1036" s="73" t="str">
        <x:f>IF('당기원장'!A36="","",'당기원장'!E36)</x:f>
      </x:c>
      <x:c r="G1036" s="75" t="str">
        <x:f>IF('당기원장'!A36="","",'당기원장'!H36)</x:f>
      </x:c>
      <x:c r="H1036" s="73" t="str">
        <x:f>IF('당기원장'!A36="","",'당기원장'!I36)</x:f>
      </x:c>
      <x:c r="I1036" s="73" t="str">
        <x:f>IF('당기원장'!A36="","",'당기원장'!J36)</x:f>
      </x:c>
      <x:c r="J1036" s="73" t="str">
        <x:f>IF('당기원장'!A36="","",'당기원장'!K36)</x:f>
      </x:c>
      <x:c r="K1036" s="73" t="str">
        <x:f>IF(B1036="","",IF(COUNTIF($B$5:B1036,B1036)=1,COUNT($K$4:K1035)+1,""))</x:f>
      </x:c>
      <x:c r="L1036" s="85" t="str">
        <x:f>IF(B1036="","",IF(COUNTIFS('계정비교'!$A$5:$A$1004,B1036,'계정비교'!$H$5:$H$1004,"원인분석 대상")&gt;0,COUNT($L$4:L1035)+1,""))</x:f>
      </x:c>
    </x:row>
    <x:row r="1037">
      <x:c r="A1037" s="73" t="str">
        <x:f>IF('당기원장'!A37="","","당기")</x:f>
      </x:c>
      <x:c r="B1037" s="73" t="str">
        <x:f>IF('당기원장'!A37="","",'당기원장'!A37)</x:f>
      </x:c>
      <x:c r="C1037" s="73" t="str">
        <x:f>IF('당기원장'!A37="","",'당기원장'!B37)</x:f>
      </x:c>
      <x:c r="D1037" s="74" t="str">
        <x:f>IF('당기원장'!A37="","",'당기원장'!C37)</x:f>
      </x:c>
      <x:c r="E1037" s="73" t="str">
        <x:f>IF('당기원장'!A37="","",'당기원장'!D37)</x:f>
      </x:c>
      <x:c r="F1037" s="73" t="str">
        <x:f>IF('당기원장'!A37="","",'당기원장'!E37)</x:f>
      </x:c>
      <x:c r="G1037" s="75" t="str">
        <x:f>IF('당기원장'!A37="","",'당기원장'!H37)</x:f>
      </x:c>
      <x:c r="H1037" s="73" t="str">
        <x:f>IF('당기원장'!A37="","",'당기원장'!I37)</x:f>
      </x:c>
      <x:c r="I1037" s="73" t="str">
        <x:f>IF('당기원장'!A37="","",'당기원장'!J37)</x:f>
      </x:c>
      <x:c r="J1037" s="73" t="str">
        <x:f>IF('당기원장'!A37="","",'당기원장'!K37)</x:f>
      </x:c>
      <x:c r="K1037" s="73" t="str">
        <x:f>IF(B1037="","",IF(COUNTIF($B$5:B1037,B1037)=1,COUNT($K$4:K1036)+1,""))</x:f>
      </x:c>
      <x:c r="L1037" s="85" t="str">
        <x:f>IF(B1037="","",IF(COUNTIFS('계정비교'!$A$5:$A$1004,B1037,'계정비교'!$H$5:$H$1004,"원인분석 대상")&gt;0,COUNT($L$4:L1036)+1,""))</x:f>
      </x:c>
    </x:row>
    <x:row r="1038">
      <x:c r="A1038" s="73" t="str">
        <x:f>IF('당기원장'!A38="","","당기")</x:f>
      </x:c>
      <x:c r="B1038" s="73" t="str">
        <x:f>IF('당기원장'!A38="","",'당기원장'!A38)</x:f>
      </x:c>
      <x:c r="C1038" s="73" t="str">
        <x:f>IF('당기원장'!A38="","",'당기원장'!B38)</x:f>
      </x:c>
      <x:c r="D1038" s="74" t="str">
        <x:f>IF('당기원장'!A38="","",'당기원장'!C38)</x:f>
      </x:c>
      <x:c r="E1038" s="73" t="str">
        <x:f>IF('당기원장'!A38="","",'당기원장'!D38)</x:f>
      </x:c>
      <x:c r="F1038" s="73" t="str">
        <x:f>IF('당기원장'!A38="","",'당기원장'!E38)</x:f>
      </x:c>
      <x:c r="G1038" s="75" t="str">
        <x:f>IF('당기원장'!A38="","",'당기원장'!H38)</x:f>
      </x:c>
      <x:c r="H1038" s="73" t="str">
        <x:f>IF('당기원장'!A38="","",'당기원장'!I38)</x:f>
      </x:c>
      <x:c r="I1038" s="73" t="str">
        <x:f>IF('당기원장'!A38="","",'당기원장'!J38)</x:f>
      </x:c>
      <x:c r="J1038" s="73" t="str">
        <x:f>IF('당기원장'!A38="","",'당기원장'!K38)</x:f>
      </x:c>
      <x:c r="K1038" s="73" t="str">
        <x:f>IF(B1038="","",IF(COUNTIF($B$5:B1038,B1038)=1,COUNT($K$4:K1037)+1,""))</x:f>
      </x:c>
      <x:c r="L1038" s="85" t="str">
        <x:f>IF(B1038="","",IF(COUNTIFS('계정비교'!$A$5:$A$1004,B1038,'계정비교'!$H$5:$H$1004,"원인분석 대상")&gt;0,COUNT($L$4:L1037)+1,""))</x:f>
      </x:c>
    </x:row>
    <x:row r="1039">
      <x:c r="A1039" s="73" t="str">
        <x:f>IF('당기원장'!A39="","","당기")</x:f>
      </x:c>
      <x:c r="B1039" s="73" t="str">
        <x:f>IF('당기원장'!A39="","",'당기원장'!A39)</x:f>
      </x:c>
      <x:c r="C1039" s="73" t="str">
        <x:f>IF('당기원장'!A39="","",'당기원장'!B39)</x:f>
      </x:c>
      <x:c r="D1039" s="74" t="str">
        <x:f>IF('당기원장'!A39="","",'당기원장'!C39)</x:f>
      </x:c>
      <x:c r="E1039" s="73" t="str">
        <x:f>IF('당기원장'!A39="","",'당기원장'!D39)</x:f>
      </x:c>
      <x:c r="F1039" s="73" t="str">
        <x:f>IF('당기원장'!A39="","",'당기원장'!E39)</x:f>
      </x:c>
      <x:c r="G1039" s="75" t="str">
        <x:f>IF('당기원장'!A39="","",'당기원장'!H39)</x:f>
      </x:c>
      <x:c r="H1039" s="73" t="str">
        <x:f>IF('당기원장'!A39="","",'당기원장'!I39)</x:f>
      </x:c>
      <x:c r="I1039" s="73" t="str">
        <x:f>IF('당기원장'!A39="","",'당기원장'!J39)</x:f>
      </x:c>
      <x:c r="J1039" s="73" t="str">
        <x:f>IF('당기원장'!A39="","",'당기원장'!K39)</x:f>
      </x:c>
      <x:c r="K1039" s="73" t="str">
        <x:f>IF(B1039="","",IF(COUNTIF($B$5:B1039,B1039)=1,COUNT($K$4:K1038)+1,""))</x:f>
      </x:c>
      <x:c r="L1039" s="85" t="str">
        <x:f>IF(B1039="","",IF(COUNTIFS('계정비교'!$A$5:$A$1004,B1039,'계정비교'!$H$5:$H$1004,"원인분석 대상")&gt;0,COUNT($L$4:L1038)+1,""))</x:f>
      </x:c>
    </x:row>
    <x:row r="1040">
      <x:c r="A1040" s="73" t="str">
        <x:f>IF('당기원장'!A40="","","당기")</x:f>
      </x:c>
      <x:c r="B1040" s="73" t="str">
        <x:f>IF('당기원장'!A40="","",'당기원장'!A40)</x:f>
      </x:c>
      <x:c r="C1040" s="73" t="str">
        <x:f>IF('당기원장'!A40="","",'당기원장'!B40)</x:f>
      </x:c>
      <x:c r="D1040" s="74" t="str">
        <x:f>IF('당기원장'!A40="","",'당기원장'!C40)</x:f>
      </x:c>
      <x:c r="E1040" s="73" t="str">
        <x:f>IF('당기원장'!A40="","",'당기원장'!D40)</x:f>
      </x:c>
      <x:c r="F1040" s="73" t="str">
        <x:f>IF('당기원장'!A40="","",'당기원장'!E40)</x:f>
      </x:c>
      <x:c r="G1040" s="75" t="str">
        <x:f>IF('당기원장'!A40="","",'당기원장'!H40)</x:f>
      </x:c>
      <x:c r="H1040" s="73" t="str">
        <x:f>IF('당기원장'!A40="","",'당기원장'!I40)</x:f>
      </x:c>
      <x:c r="I1040" s="73" t="str">
        <x:f>IF('당기원장'!A40="","",'당기원장'!J40)</x:f>
      </x:c>
      <x:c r="J1040" s="73" t="str">
        <x:f>IF('당기원장'!A40="","",'당기원장'!K40)</x:f>
      </x:c>
      <x:c r="K1040" s="73" t="str">
        <x:f>IF(B1040="","",IF(COUNTIF($B$5:B1040,B1040)=1,COUNT($K$4:K1039)+1,""))</x:f>
      </x:c>
      <x:c r="L1040" s="85" t="str">
        <x:f>IF(B1040="","",IF(COUNTIFS('계정비교'!$A$5:$A$1004,B1040,'계정비교'!$H$5:$H$1004,"원인분석 대상")&gt;0,COUNT($L$4:L1039)+1,""))</x:f>
      </x:c>
    </x:row>
    <x:row r="1041">
      <x:c r="A1041" s="73" t="str">
        <x:f>IF('당기원장'!A41="","","당기")</x:f>
      </x:c>
      <x:c r="B1041" s="73" t="str">
        <x:f>IF('당기원장'!A41="","",'당기원장'!A41)</x:f>
      </x:c>
      <x:c r="C1041" s="73" t="str">
        <x:f>IF('당기원장'!A41="","",'당기원장'!B41)</x:f>
      </x:c>
      <x:c r="D1041" s="74" t="str">
        <x:f>IF('당기원장'!A41="","",'당기원장'!C41)</x:f>
      </x:c>
      <x:c r="E1041" s="73" t="str">
        <x:f>IF('당기원장'!A41="","",'당기원장'!D41)</x:f>
      </x:c>
      <x:c r="F1041" s="73" t="str">
        <x:f>IF('당기원장'!A41="","",'당기원장'!E41)</x:f>
      </x:c>
      <x:c r="G1041" s="75" t="str">
        <x:f>IF('당기원장'!A41="","",'당기원장'!H41)</x:f>
      </x:c>
      <x:c r="H1041" s="73" t="str">
        <x:f>IF('당기원장'!A41="","",'당기원장'!I41)</x:f>
      </x:c>
      <x:c r="I1041" s="73" t="str">
        <x:f>IF('당기원장'!A41="","",'당기원장'!J41)</x:f>
      </x:c>
      <x:c r="J1041" s="73" t="str">
        <x:f>IF('당기원장'!A41="","",'당기원장'!K41)</x:f>
      </x:c>
      <x:c r="K1041" s="73" t="str">
        <x:f>IF(B1041="","",IF(COUNTIF($B$5:B1041,B1041)=1,COUNT($K$4:K1040)+1,""))</x:f>
      </x:c>
      <x:c r="L1041" s="85" t="str">
        <x:f>IF(B1041="","",IF(COUNTIFS('계정비교'!$A$5:$A$1004,B1041,'계정비교'!$H$5:$H$1004,"원인분석 대상")&gt;0,COUNT($L$4:L1040)+1,""))</x:f>
      </x:c>
    </x:row>
    <x:row r="1042">
      <x:c r="A1042" s="73" t="str">
        <x:f>IF('당기원장'!A42="","","당기")</x:f>
      </x:c>
      <x:c r="B1042" s="73" t="str">
        <x:f>IF('당기원장'!A42="","",'당기원장'!A42)</x:f>
      </x:c>
      <x:c r="C1042" s="73" t="str">
        <x:f>IF('당기원장'!A42="","",'당기원장'!B42)</x:f>
      </x:c>
      <x:c r="D1042" s="74" t="str">
        <x:f>IF('당기원장'!A42="","",'당기원장'!C42)</x:f>
      </x:c>
      <x:c r="E1042" s="73" t="str">
        <x:f>IF('당기원장'!A42="","",'당기원장'!D42)</x:f>
      </x:c>
      <x:c r="F1042" s="73" t="str">
        <x:f>IF('당기원장'!A42="","",'당기원장'!E42)</x:f>
      </x:c>
      <x:c r="G1042" s="75" t="str">
        <x:f>IF('당기원장'!A42="","",'당기원장'!H42)</x:f>
      </x:c>
      <x:c r="H1042" s="73" t="str">
        <x:f>IF('당기원장'!A42="","",'당기원장'!I42)</x:f>
      </x:c>
      <x:c r="I1042" s="73" t="str">
        <x:f>IF('당기원장'!A42="","",'당기원장'!J42)</x:f>
      </x:c>
      <x:c r="J1042" s="73" t="str">
        <x:f>IF('당기원장'!A42="","",'당기원장'!K42)</x:f>
      </x:c>
      <x:c r="K1042" s="73" t="str">
        <x:f>IF(B1042="","",IF(COUNTIF($B$5:B1042,B1042)=1,COUNT($K$4:K1041)+1,""))</x:f>
      </x:c>
      <x:c r="L1042" s="85" t="str">
        <x:f>IF(B1042="","",IF(COUNTIFS('계정비교'!$A$5:$A$1004,B1042,'계정비교'!$H$5:$H$1004,"원인분석 대상")&gt;0,COUNT($L$4:L1041)+1,""))</x:f>
      </x:c>
    </x:row>
    <x:row r="1043">
      <x:c r="A1043" s="73" t="str">
        <x:f>IF('당기원장'!A43="","","당기")</x:f>
      </x:c>
      <x:c r="B1043" s="73" t="str">
        <x:f>IF('당기원장'!A43="","",'당기원장'!A43)</x:f>
      </x:c>
      <x:c r="C1043" s="73" t="str">
        <x:f>IF('당기원장'!A43="","",'당기원장'!B43)</x:f>
      </x:c>
      <x:c r="D1043" s="74" t="str">
        <x:f>IF('당기원장'!A43="","",'당기원장'!C43)</x:f>
      </x:c>
      <x:c r="E1043" s="73" t="str">
        <x:f>IF('당기원장'!A43="","",'당기원장'!D43)</x:f>
      </x:c>
      <x:c r="F1043" s="73" t="str">
        <x:f>IF('당기원장'!A43="","",'당기원장'!E43)</x:f>
      </x:c>
      <x:c r="G1043" s="75" t="str">
        <x:f>IF('당기원장'!A43="","",'당기원장'!H43)</x:f>
      </x:c>
      <x:c r="H1043" s="73" t="str">
        <x:f>IF('당기원장'!A43="","",'당기원장'!I43)</x:f>
      </x:c>
      <x:c r="I1043" s="73" t="str">
        <x:f>IF('당기원장'!A43="","",'당기원장'!J43)</x:f>
      </x:c>
      <x:c r="J1043" s="73" t="str">
        <x:f>IF('당기원장'!A43="","",'당기원장'!K43)</x:f>
      </x:c>
      <x:c r="K1043" s="73" t="str">
        <x:f>IF(B1043="","",IF(COUNTIF($B$5:B1043,B1043)=1,COUNT($K$4:K1042)+1,""))</x:f>
      </x:c>
      <x:c r="L1043" s="85" t="str">
        <x:f>IF(B1043="","",IF(COUNTIFS('계정비교'!$A$5:$A$1004,B1043,'계정비교'!$H$5:$H$1004,"원인분석 대상")&gt;0,COUNT($L$4:L1042)+1,""))</x:f>
      </x:c>
    </x:row>
    <x:row r="1044">
      <x:c r="A1044" s="73" t="str">
        <x:f>IF('당기원장'!A44="","","당기")</x:f>
      </x:c>
      <x:c r="B1044" s="73" t="str">
        <x:f>IF('당기원장'!A44="","",'당기원장'!A44)</x:f>
      </x:c>
      <x:c r="C1044" s="73" t="str">
        <x:f>IF('당기원장'!A44="","",'당기원장'!B44)</x:f>
      </x:c>
      <x:c r="D1044" s="74" t="str">
        <x:f>IF('당기원장'!A44="","",'당기원장'!C44)</x:f>
      </x:c>
      <x:c r="E1044" s="73" t="str">
        <x:f>IF('당기원장'!A44="","",'당기원장'!D44)</x:f>
      </x:c>
      <x:c r="F1044" s="73" t="str">
        <x:f>IF('당기원장'!A44="","",'당기원장'!E44)</x:f>
      </x:c>
      <x:c r="G1044" s="75" t="str">
        <x:f>IF('당기원장'!A44="","",'당기원장'!H44)</x:f>
      </x:c>
      <x:c r="H1044" s="73" t="str">
        <x:f>IF('당기원장'!A44="","",'당기원장'!I44)</x:f>
      </x:c>
      <x:c r="I1044" s="73" t="str">
        <x:f>IF('당기원장'!A44="","",'당기원장'!J44)</x:f>
      </x:c>
      <x:c r="J1044" s="73" t="str">
        <x:f>IF('당기원장'!A44="","",'당기원장'!K44)</x:f>
      </x:c>
      <x:c r="K1044" s="73" t="str">
        <x:f>IF(B1044="","",IF(COUNTIF($B$5:B1044,B1044)=1,COUNT($K$4:K1043)+1,""))</x:f>
      </x:c>
      <x:c r="L1044" s="85" t="str">
        <x:f>IF(B1044="","",IF(COUNTIFS('계정비교'!$A$5:$A$1004,B1044,'계정비교'!$H$5:$H$1004,"원인분석 대상")&gt;0,COUNT($L$4:L1043)+1,""))</x:f>
      </x:c>
    </x:row>
    <x:row r="1045">
      <x:c r="A1045" s="73" t="str">
        <x:f>IF('당기원장'!A45="","","당기")</x:f>
      </x:c>
      <x:c r="B1045" s="73" t="str">
        <x:f>IF('당기원장'!A45="","",'당기원장'!A45)</x:f>
      </x:c>
      <x:c r="C1045" s="73" t="str">
        <x:f>IF('당기원장'!A45="","",'당기원장'!B45)</x:f>
      </x:c>
      <x:c r="D1045" s="74" t="str">
        <x:f>IF('당기원장'!A45="","",'당기원장'!C45)</x:f>
      </x:c>
      <x:c r="E1045" s="73" t="str">
        <x:f>IF('당기원장'!A45="","",'당기원장'!D45)</x:f>
      </x:c>
      <x:c r="F1045" s="73" t="str">
        <x:f>IF('당기원장'!A45="","",'당기원장'!E45)</x:f>
      </x:c>
      <x:c r="G1045" s="75" t="str">
        <x:f>IF('당기원장'!A45="","",'당기원장'!H45)</x:f>
      </x:c>
      <x:c r="H1045" s="73" t="str">
        <x:f>IF('당기원장'!A45="","",'당기원장'!I45)</x:f>
      </x:c>
      <x:c r="I1045" s="73" t="str">
        <x:f>IF('당기원장'!A45="","",'당기원장'!J45)</x:f>
      </x:c>
      <x:c r="J1045" s="73" t="str">
        <x:f>IF('당기원장'!A45="","",'당기원장'!K45)</x:f>
      </x:c>
      <x:c r="K1045" s="73" t="str">
        <x:f>IF(B1045="","",IF(COUNTIF($B$5:B1045,B1045)=1,COUNT($K$4:K1044)+1,""))</x:f>
      </x:c>
      <x:c r="L1045" s="85" t="str">
        <x:f>IF(B1045="","",IF(COUNTIFS('계정비교'!$A$5:$A$1004,B1045,'계정비교'!$H$5:$H$1004,"원인분석 대상")&gt;0,COUNT($L$4:L1044)+1,""))</x:f>
      </x:c>
    </x:row>
    <x:row r="1046">
      <x:c r="A1046" s="73" t="str">
        <x:f>IF('당기원장'!A46="","","당기")</x:f>
      </x:c>
      <x:c r="B1046" s="73" t="str">
        <x:f>IF('당기원장'!A46="","",'당기원장'!A46)</x:f>
      </x:c>
      <x:c r="C1046" s="73" t="str">
        <x:f>IF('당기원장'!A46="","",'당기원장'!B46)</x:f>
      </x:c>
      <x:c r="D1046" s="74" t="str">
        <x:f>IF('당기원장'!A46="","",'당기원장'!C46)</x:f>
      </x:c>
      <x:c r="E1046" s="73" t="str">
        <x:f>IF('당기원장'!A46="","",'당기원장'!D46)</x:f>
      </x:c>
      <x:c r="F1046" s="73" t="str">
        <x:f>IF('당기원장'!A46="","",'당기원장'!E46)</x:f>
      </x:c>
      <x:c r="G1046" s="75" t="str">
        <x:f>IF('당기원장'!A46="","",'당기원장'!H46)</x:f>
      </x:c>
      <x:c r="H1046" s="73" t="str">
        <x:f>IF('당기원장'!A46="","",'당기원장'!I46)</x:f>
      </x:c>
      <x:c r="I1046" s="73" t="str">
        <x:f>IF('당기원장'!A46="","",'당기원장'!J46)</x:f>
      </x:c>
      <x:c r="J1046" s="73" t="str">
        <x:f>IF('당기원장'!A46="","",'당기원장'!K46)</x:f>
      </x:c>
      <x:c r="K1046" s="73" t="str">
        <x:f>IF(B1046="","",IF(COUNTIF($B$5:B1046,B1046)=1,COUNT($K$4:K1045)+1,""))</x:f>
      </x:c>
      <x:c r="L1046" s="85" t="str">
        <x:f>IF(B1046="","",IF(COUNTIFS('계정비교'!$A$5:$A$1004,B1046,'계정비교'!$H$5:$H$1004,"원인분석 대상")&gt;0,COUNT($L$4:L1045)+1,""))</x:f>
      </x:c>
    </x:row>
    <x:row r="1047">
      <x:c r="A1047" s="73" t="str">
        <x:f>IF('당기원장'!A47="","","당기")</x:f>
      </x:c>
      <x:c r="B1047" s="73" t="str">
        <x:f>IF('당기원장'!A47="","",'당기원장'!A47)</x:f>
      </x:c>
      <x:c r="C1047" s="73" t="str">
        <x:f>IF('당기원장'!A47="","",'당기원장'!B47)</x:f>
      </x:c>
      <x:c r="D1047" s="74" t="str">
        <x:f>IF('당기원장'!A47="","",'당기원장'!C47)</x:f>
      </x:c>
      <x:c r="E1047" s="73" t="str">
        <x:f>IF('당기원장'!A47="","",'당기원장'!D47)</x:f>
      </x:c>
      <x:c r="F1047" s="73" t="str">
        <x:f>IF('당기원장'!A47="","",'당기원장'!E47)</x:f>
      </x:c>
      <x:c r="G1047" s="75" t="str">
        <x:f>IF('당기원장'!A47="","",'당기원장'!H47)</x:f>
      </x:c>
      <x:c r="H1047" s="73" t="str">
        <x:f>IF('당기원장'!A47="","",'당기원장'!I47)</x:f>
      </x:c>
      <x:c r="I1047" s="73" t="str">
        <x:f>IF('당기원장'!A47="","",'당기원장'!J47)</x:f>
      </x:c>
      <x:c r="J1047" s="73" t="str">
        <x:f>IF('당기원장'!A47="","",'당기원장'!K47)</x:f>
      </x:c>
      <x:c r="K1047" s="73" t="str">
        <x:f>IF(B1047="","",IF(COUNTIF($B$5:B1047,B1047)=1,COUNT($K$4:K1046)+1,""))</x:f>
      </x:c>
      <x:c r="L1047" s="85" t="str">
        <x:f>IF(B1047="","",IF(COUNTIFS('계정비교'!$A$5:$A$1004,B1047,'계정비교'!$H$5:$H$1004,"원인분석 대상")&gt;0,COUNT($L$4:L1046)+1,""))</x:f>
      </x:c>
    </x:row>
    <x:row r="1048">
      <x:c r="A1048" s="73" t="str">
        <x:f>IF('당기원장'!A48="","","당기")</x:f>
      </x:c>
      <x:c r="B1048" s="73" t="str">
        <x:f>IF('당기원장'!A48="","",'당기원장'!A48)</x:f>
      </x:c>
      <x:c r="C1048" s="73" t="str">
        <x:f>IF('당기원장'!A48="","",'당기원장'!B48)</x:f>
      </x:c>
      <x:c r="D1048" s="74" t="str">
        <x:f>IF('당기원장'!A48="","",'당기원장'!C48)</x:f>
      </x:c>
      <x:c r="E1048" s="73" t="str">
        <x:f>IF('당기원장'!A48="","",'당기원장'!D48)</x:f>
      </x:c>
      <x:c r="F1048" s="73" t="str">
        <x:f>IF('당기원장'!A48="","",'당기원장'!E48)</x:f>
      </x:c>
      <x:c r="G1048" s="75" t="str">
        <x:f>IF('당기원장'!A48="","",'당기원장'!H48)</x:f>
      </x:c>
      <x:c r="H1048" s="73" t="str">
        <x:f>IF('당기원장'!A48="","",'당기원장'!I48)</x:f>
      </x:c>
      <x:c r="I1048" s="73" t="str">
        <x:f>IF('당기원장'!A48="","",'당기원장'!J48)</x:f>
      </x:c>
      <x:c r="J1048" s="73" t="str">
        <x:f>IF('당기원장'!A48="","",'당기원장'!K48)</x:f>
      </x:c>
      <x:c r="K1048" s="73" t="str">
        <x:f>IF(B1048="","",IF(COUNTIF($B$5:B1048,B1048)=1,COUNT($K$4:K1047)+1,""))</x:f>
      </x:c>
      <x:c r="L1048" s="85" t="str">
        <x:f>IF(B1048="","",IF(COUNTIFS('계정비교'!$A$5:$A$1004,B1048,'계정비교'!$H$5:$H$1004,"원인분석 대상")&gt;0,COUNT($L$4:L1047)+1,""))</x:f>
      </x:c>
    </x:row>
    <x:row r="1049">
      <x:c r="A1049" s="73" t="str">
        <x:f>IF('당기원장'!A49="","","당기")</x:f>
      </x:c>
      <x:c r="B1049" s="73" t="str">
        <x:f>IF('당기원장'!A49="","",'당기원장'!A49)</x:f>
      </x:c>
      <x:c r="C1049" s="73" t="str">
        <x:f>IF('당기원장'!A49="","",'당기원장'!B49)</x:f>
      </x:c>
      <x:c r="D1049" s="74" t="str">
        <x:f>IF('당기원장'!A49="","",'당기원장'!C49)</x:f>
      </x:c>
      <x:c r="E1049" s="73" t="str">
        <x:f>IF('당기원장'!A49="","",'당기원장'!D49)</x:f>
      </x:c>
      <x:c r="F1049" s="73" t="str">
        <x:f>IF('당기원장'!A49="","",'당기원장'!E49)</x:f>
      </x:c>
      <x:c r="G1049" s="75" t="str">
        <x:f>IF('당기원장'!A49="","",'당기원장'!H49)</x:f>
      </x:c>
      <x:c r="H1049" s="73" t="str">
        <x:f>IF('당기원장'!A49="","",'당기원장'!I49)</x:f>
      </x:c>
      <x:c r="I1049" s="73" t="str">
        <x:f>IF('당기원장'!A49="","",'당기원장'!J49)</x:f>
      </x:c>
      <x:c r="J1049" s="73" t="str">
        <x:f>IF('당기원장'!A49="","",'당기원장'!K49)</x:f>
      </x:c>
      <x:c r="K1049" s="73" t="str">
        <x:f>IF(B1049="","",IF(COUNTIF($B$5:B1049,B1049)=1,COUNT($K$4:K1048)+1,""))</x:f>
      </x:c>
      <x:c r="L1049" s="85" t="str">
        <x:f>IF(B1049="","",IF(COUNTIFS('계정비교'!$A$5:$A$1004,B1049,'계정비교'!$H$5:$H$1004,"원인분석 대상")&gt;0,COUNT($L$4:L1048)+1,""))</x:f>
      </x:c>
    </x:row>
    <x:row r="1050">
      <x:c r="A1050" s="73" t="str">
        <x:f>IF('당기원장'!A50="","","당기")</x:f>
      </x:c>
      <x:c r="B1050" s="73" t="str">
        <x:f>IF('당기원장'!A50="","",'당기원장'!A50)</x:f>
      </x:c>
      <x:c r="C1050" s="73" t="str">
        <x:f>IF('당기원장'!A50="","",'당기원장'!B50)</x:f>
      </x:c>
      <x:c r="D1050" s="74" t="str">
        <x:f>IF('당기원장'!A50="","",'당기원장'!C50)</x:f>
      </x:c>
      <x:c r="E1050" s="73" t="str">
        <x:f>IF('당기원장'!A50="","",'당기원장'!D50)</x:f>
      </x:c>
      <x:c r="F1050" s="73" t="str">
        <x:f>IF('당기원장'!A50="","",'당기원장'!E50)</x:f>
      </x:c>
      <x:c r="G1050" s="75" t="str">
        <x:f>IF('당기원장'!A50="","",'당기원장'!H50)</x:f>
      </x:c>
      <x:c r="H1050" s="73" t="str">
        <x:f>IF('당기원장'!A50="","",'당기원장'!I50)</x:f>
      </x:c>
      <x:c r="I1050" s="73" t="str">
        <x:f>IF('당기원장'!A50="","",'당기원장'!J50)</x:f>
      </x:c>
      <x:c r="J1050" s="73" t="str">
        <x:f>IF('당기원장'!A50="","",'당기원장'!K50)</x:f>
      </x:c>
      <x:c r="K1050" s="73" t="str">
        <x:f>IF(B1050="","",IF(COUNTIF($B$5:B1050,B1050)=1,COUNT($K$4:K1049)+1,""))</x:f>
      </x:c>
      <x:c r="L1050" s="85" t="str">
        <x:f>IF(B1050="","",IF(COUNTIFS('계정비교'!$A$5:$A$1004,B1050,'계정비교'!$H$5:$H$1004,"원인분석 대상")&gt;0,COUNT($L$4:L1049)+1,""))</x:f>
      </x:c>
    </x:row>
    <x:row r="1051">
      <x:c r="A1051" s="73" t="str">
        <x:f>IF('당기원장'!A51="","","당기")</x:f>
      </x:c>
      <x:c r="B1051" s="73" t="str">
        <x:f>IF('당기원장'!A51="","",'당기원장'!A51)</x:f>
      </x:c>
      <x:c r="C1051" s="73" t="str">
        <x:f>IF('당기원장'!A51="","",'당기원장'!B51)</x:f>
      </x:c>
      <x:c r="D1051" s="74" t="str">
        <x:f>IF('당기원장'!A51="","",'당기원장'!C51)</x:f>
      </x:c>
      <x:c r="E1051" s="73" t="str">
        <x:f>IF('당기원장'!A51="","",'당기원장'!D51)</x:f>
      </x:c>
      <x:c r="F1051" s="73" t="str">
        <x:f>IF('당기원장'!A51="","",'당기원장'!E51)</x:f>
      </x:c>
      <x:c r="G1051" s="75" t="str">
        <x:f>IF('당기원장'!A51="","",'당기원장'!H51)</x:f>
      </x:c>
      <x:c r="H1051" s="73" t="str">
        <x:f>IF('당기원장'!A51="","",'당기원장'!I51)</x:f>
      </x:c>
      <x:c r="I1051" s="73" t="str">
        <x:f>IF('당기원장'!A51="","",'당기원장'!J51)</x:f>
      </x:c>
      <x:c r="J1051" s="73" t="str">
        <x:f>IF('당기원장'!A51="","",'당기원장'!K51)</x:f>
      </x:c>
      <x:c r="K1051" s="73" t="str">
        <x:f>IF(B1051="","",IF(COUNTIF($B$5:B1051,B1051)=1,COUNT($K$4:K1050)+1,""))</x:f>
      </x:c>
      <x:c r="L1051" s="85" t="str">
        <x:f>IF(B1051="","",IF(COUNTIFS('계정비교'!$A$5:$A$1004,B1051,'계정비교'!$H$5:$H$1004,"원인분석 대상")&gt;0,COUNT($L$4:L1050)+1,""))</x:f>
      </x:c>
    </x:row>
    <x:row r="1052">
      <x:c r="A1052" s="73" t="str">
        <x:f>IF('당기원장'!A52="","","당기")</x:f>
      </x:c>
      <x:c r="B1052" s="73" t="str">
        <x:f>IF('당기원장'!A52="","",'당기원장'!A52)</x:f>
      </x:c>
      <x:c r="C1052" s="73" t="str">
        <x:f>IF('당기원장'!A52="","",'당기원장'!B52)</x:f>
      </x:c>
      <x:c r="D1052" s="74" t="str">
        <x:f>IF('당기원장'!A52="","",'당기원장'!C52)</x:f>
      </x:c>
      <x:c r="E1052" s="73" t="str">
        <x:f>IF('당기원장'!A52="","",'당기원장'!D52)</x:f>
      </x:c>
      <x:c r="F1052" s="73" t="str">
        <x:f>IF('당기원장'!A52="","",'당기원장'!E52)</x:f>
      </x:c>
      <x:c r="G1052" s="75" t="str">
        <x:f>IF('당기원장'!A52="","",'당기원장'!H52)</x:f>
      </x:c>
      <x:c r="H1052" s="73" t="str">
        <x:f>IF('당기원장'!A52="","",'당기원장'!I52)</x:f>
      </x:c>
      <x:c r="I1052" s="73" t="str">
        <x:f>IF('당기원장'!A52="","",'당기원장'!J52)</x:f>
      </x:c>
      <x:c r="J1052" s="73" t="str">
        <x:f>IF('당기원장'!A52="","",'당기원장'!K52)</x:f>
      </x:c>
      <x:c r="K1052" s="73" t="str">
        <x:f>IF(B1052="","",IF(COUNTIF($B$5:B1052,B1052)=1,COUNT($K$4:K1051)+1,""))</x:f>
      </x:c>
      <x:c r="L1052" s="85" t="str">
        <x:f>IF(B1052="","",IF(COUNTIFS('계정비교'!$A$5:$A$1004,B1052,'계정비교'!$H$5:$H$1004,"원인분석 대상")&gt;0,COUNT($L$4:L1051)+1,""))</x:f>
      </x:c>
    </x:row>
    <x:row r="1053">
      <x:c r="A1053" s="73" t="str">
        <x:f>IF('당기원장'!A53="","","당기")</x:f>
      </x:c>
      <x:c r="B1053" s="73" t="str">
        <x:f>IF('당기원장'!A53="","",'당기원장'!A53)</x:f>
      </x:c>
      <x:c r="C1053" s="73" t="str">
        <x:f>IF('당기원장'!A53="","",'당기원장'!B53)</x:f>
      </x:c>
      <x:c r="D1053" s="74" t="str">
        <x:f>IF('당기원장'!A53="","",'당기원장'!C53)</x:f>
      </x:c>
      <x:c r="E1053" s="73" t="str">
        <x:f>IF('당기원장'!A53="","",'당기원장'!D53)</x:f>
      </x:c>
      <x:c r="F1053" s="73" t="str">
        <x:f>IF('당기원장'!A53="","",'당기원장'!E53)</x:f>
      </x:c>
      <x:c r="G1053" s="75" t="str">
        <x:f>IF('당기원장'!A53="","",'당기원장'!H53)</x:f>
      </x:c>
      <x:c r="H1053" s="73" t="str">
        <x:f>IF('당기원장'!A53="","",'당기원장'!I53)</x:f>
      </x:c>
      <x:c r="I1053" s="73" t="str">
        <x:f>IF('당기원장'!A53="","",'당기원장'!J53)</x:f>
      </x:c>
      <x:c r="J1053" s="73" t="str">
        <x:f>IF('당기원장'!A53="","",'당기원장'!K53)</x:f>
      </x:c>
      <x:c r="K1053" s="73" t="str">
        <x:f>IF(B1053="","",IF(COUNTIF($B$5:B1053,B1053)=1,COUNT($K$4:K1052)+1,""))</x:f>
      </x:c>
      <x:c r="L1053" s="85" t="str">
        <x:f>IF(B1053="","",IF(COUNTIFS('계정비교'!$A$5:$A$1004,B1053,'계정비교'!$H$5:$H$1004,"원인분석 대상")&gt;0,COUNT($L$4:L1052)+1,""))</x:f>
      </x:c>
    </x:row>
    <x:row r="1054">
      <x:c r="A1054" s="73" t="str">
        <x:f>IF('당기원장'!A54="","","당기")</x:f>
      </x:c>
      <x:c r="B1054" s="73" t="str">
        <x:f>IF('당기원장'!A54="","",'당기원장'!A54)</x:f>
      </x:c>
      <x:c r="C1054" s="73" t="str">
        <x:f>IF('당기원장'!A54="","",'당기원장'!B54)</x:f>
      </x:c>
      <x:c r="D1054" s="74" t="str">
        <x:f>IF('당기원장'!A54="","",'당기원장'!C54)</x:f>
      </x:c>
      <x:c r="E1054" s="73" t="str">
        <x:f>IF('당기원장'!A54="","",'당기원장'!D54)</x:f>
      </x:c>
      <x:c r="F1054" s="73" t="str">
        <x:f>IF('당기원장'!A54="","",'당기원장'!E54)</x:f>
      </x:c>
      <x:c r="G1054" s="75" t="str">
        <x:f>IF('당기원장'!A54="","",'당기원장'!H54)</x:f>
      </x:c>
      <x:c r="H1054" s="73" t="str">
        <x:f>IF('당기원장'!A54="","",'당기원장'!I54)</x:f>
      </x:c>
      <x:c r="I1054" s="73" t="str">
        <x:f>IF('당기원장'!A54="","",'당기원장'!J54)</x:f>
      </x:c>
      <x:c r="J1054" s="73" t="str">
        <x:f>IF('당기원장'!A54="","",'당기원장'!K54)</x:f>
      </x:c>
      <x:c r="K1054" s="73" t="str">
        <x:f>IF(B1054="","",IF(COUNTIF($B$5:B1054,B1054)=1,COUNT($K$4:K1053)+1,""))</x:f>
      </x:c>
      <x:c r="L1054" s="85" t="str">
        <x:f>IF(B1054="","",IF(COUNTIFS('계정비교'!$A$5:$A$1004,B1054,'계정비교'!$H$5:$H$1004,"원인분석 대상")&gt;0,COUNT($L$4:L1053)+1,""))</x:f>
      </x:c>
    </x:row>
    <x:row r="1055">
      <x:c r="A1055" s="73" t="str">
        <x:f>IF('당기원장'!A55="","","당기")</x:f>
      </x:c>
      <x:c r="B1055" s="73" t="str">
        <x:f>IF('당기원장'!A55="","",'당기원장'!A55)</x:f>
      </x:c>
      <x:c r="C1055" s="73" t="str">
        <x:f>IF('당기원장'!A55="","",'당기원장'!B55)</x:f>
      </x:c>
      <x:c r="D1055" s="74" t="str">
        <x:f>IF('당기원장'!A55="","",'당기원장'!C55)</x:f>
      </x:c>
      <x:c r="E1055" s="73" t="str">
        <x:f>IF('당기원장'!A55="","",'당기원장'!D55)</x:f>
      </x:c>
      <x:c r="F1055" s="73" t="str">
        <x:f>IF('당기원장'!A55="","",'당기원장'!E55)</x:f>
      </x:c>
      <x:c r="G1055" s="75" t="str">
        <x:f>IF('당기원장'!A55="","",'당기원장'!H55)</x:f>
      </x:c>
      <x:c r="H1055" s="73" t="str">
        <x:f>IF('당기원장'!A55="","",'당기원장'!I55)</x:f>
      </x:c>
      <x:c r="I1055" s="73" t="str">
        <x:f>IF('당기원장'!A55="","",'당기원장'!J55)</x:f>
      </x:c>
      <x:c r="J1055" s="73" t="str">
        <x:f>IF('당기원장'!A55="","",'당기원장'!K55)</x:f>
      </x:c>
      <x:c r="K1055" s="73" t="str">
        <x:f>IF(B1055="","",IF(COUNTIF($B$5:B1055,B1055)=1,COUNT($K$4:K1054)+1,""))</x:f>
      </x:c>
      <x:c r="L1055" s="85" t="str">
        <x:f>IF(B1055="","",IF(COUNTIFS('계정비교'!$A$5:$A$1004,B1055,'계정비교'!$H$5:$H$1004,"원인분석 대상")&gt;0,COUNT($L$4:L1054)+1,""))</x:f>
      </x:c>
    </x:row>
    <x:row r="1056">
      <x:c r="A1056" s="73" t="str">
        <x:f>IF('당기원장'!A56="","","당기")</x:f>
      </x:c>
      <x:c r="B1056" s="73" t="str">
        <x:f>IF('당기원장'!A56="","",'당기원장'!A56)</x:f>
      </x:c>
      <x:c r="C1056" s="73" t="str">
        <x:f>IF('당기원장'!A56="","",'당기원장'!B56)</x:f>
      </x:c>
      <x:c r="D1056" s="74" t="str">
        <x:f>IF('당기원장'!A56="","",'당기원장'!C56)</x:f>
      </x:c>
      <x:c r="E1056" s="73" t="str">
        <x:f>IF('당기원장'!A56="","",'당기원장'!D56)</x:f>
      </x:c>
      <x:c r="F1056" s="73" t="str">
        <x:f>IF('당기원장'!A56="","",'당기원장'!E56)</x:f>
      </x:c>
      <x:c r="G1056" s="75" t="str">
        <x:f>IF('당기원장'!A56="","",'당기원장'!H56)</x:f>
      </x:c>
      <x:c r="H1056" s="73" t="str">
        <x:f>IF('당기원장'!A56="","",'당기원장'!I56)</x:f>
      </x:c>
      <x:c r="I1056" s="73" t="str">
        <x:f>IF('당기원장'!A56="","",'당기원장'!J56)</x:f>
      </x:c>
      <x:c r="J1056" s="73" t="str">
        <x:f>IF('당기원장'!A56="","",'당기원장'!K56)</x:f>
      </x:c>
      <x:c r="K1056" s="73" t="str">
        <x:f>IF(B1056="","",IF(COUNTIF($B$5:B1056,B1056)=1,COUNT($K$4:K1055)+1,""))</x:f>
      </x:c>
      <x:c r="L1056" s="85" t="str">
        <x:f>IF(B1056="","",IF(COUNTIFS('계정비교'!$A$5:$A$1004,B1056,'계정비교'!$H$5:$H$1004,"원인분석 대상")&gt;0,COUNT($L$4:L1055)+1,""))</x:f>
      </x:c>
    </x:row>
    <x:row r="1057">
      <x:c r="A1057" s="73" t="str">
        <x:f>IF('당기원장'!A57="","","당기")</x:f>
      </x:c>
      <x:c r="B1057" s="73" t="str">
        <x:f>IF('당기원장'!A57="","",'당기원장'!A57)</x:f>
      </x:c>
      <x:c r="C1057" s="73" t="str">
        <x:f>IF('당기원장'!A57="","",'당기원장'!B57)</x:f>
      </x:c>
      <x:c r="D1057" s="74" t="str">
        <x:f>IF('당기원장'!A57="","",'당기원장'!C57)</x:f>
      </x:c>
      <x:c r="E1057" s="73" t="str">
        <x:f>IF('당기원장'!A57="","",'당기원장'!D57)</x:f>
      </x:c>
      <x:c r="F1057" s="73" t="str">
        <x:f>IF('당기원장'!A57="","",'당기원장'!E57)</x:f>
      </x:c>
      <x:c r="G1057" s="75" t="str">
        <x:f>IF('당기원장'!A57="","",'당기원장'!H57)</x:f>
      </x:c>
      <x:c r="H1057" s="73" t="str">
        <x:f>IF('당기원장'!A57="","",'당기원장'!I57)</x:f>
      </x:c>
      <x:c r="I1057" s="73" t="str">
        <x:f>IF('당기원장'!A57="","",'당기원장'!J57)</x:f>
      </x:c>
      <x:c r="J1057" s="73" t="str">
        <x:f>IF('당기원장'!A57="","",'당기원장'!K57)</x:f>
      </x:c>
      <x:c r="K1057" s="73" t="str">
        <x:f>IF(B1057="","",IF(COUNTIF($B$5:B1057,B1057)=1,COUNT($K$4:K1056)+1,""))</x:f>
      </x:c>
      <x:c r="L1057" s="85" t="str">
        <x:f>IF(B1057="","",IF(COUNTIFS('계정비교'!$A$5:$A$1004,B1057,'계정비교'!$H$5:$H$1004,"원인분석 대상")&gt;0,COUNT($L$4:L1056)+1,""))</x:f>
      </x:c>
    </x:row>
    <x:row r="1058">
      <x:c r="A1058" s="73" t="str">
        <x:f>IF('당기원장'!A58="","","당기")</x:f>
      </x:c>
      <x:c r="B1058" s="73" t="str">
        <x:f>IF('당기원장'!A58="","",'당기원장'!A58)</x:f>
      </x:c>
      <x:c r="C1058" s="73" t="str">
        <x:f>IF('당기원장'!A58="","",'당기원장'!B58)</x:f>
      </x:c>
      <x:c r="D1058" s="74" t="str">
        <x:f>IF('당기원장'!A58="","",'당기원장'!C58)</x:f>
      </x:c>
      <x:c r="E1058" s="73" t="str">
        <x:f>IF('당기원장'!A58="","",'당기원장'!D58)</x:f>
      </x:c>
      <x:c r="F1058" s="73" t="str">
        <x:f>IF('당기원장'!A58="","",'당기원장'!E58)</x:f>
      </x:c>
      <x:c r="G1058" s="75" t="str">
        <x:f>IF('당기원장'!A58="","",'당기원장'!H58)</x:f>
      </x:c>
      <x:c r="H1058" s="73" t="str">
        <x:f>IF('당기원장'!A58="","",'당기원장'!I58)</x:f>
      </x:c>
      <x:c r="I1058" s="73" t="str">
        <x:f>IF('당기원장'!A58="","",'당기원장'!J58)</x:f>
      </x:c>
      <x:c r="J1058" s="73" t="str">
        <x:f>IF('당기원장'!A58="","",'당기원장'!K58)</x:f>
      </x:c>
      <x:c r="K1058" s="73" t="str">
        <x:f>IF(B1058="","",IF(COUNTIF($B$5:B1058,B1058)=1,COUNT($K$4:K1057)+1,""))</x:f>
      </x:c>
      <x:c r="L1058" s="85" t="str">
        <x:f>IF(B1058="","",IF(COUNTIFS('계정비교'!$A$5:$A$1004,B1058,'계정비교'!$H$5:$H$1004,"원인분석 대상")&gt;0,COUNT($L$4:L1057)+1,""))</x:f>
      </x:c>
    </x:row>
    <x:row r="1059">
      <x:c r="A1059" s="73" t="str">
        <x:f>IF('당기원장'!A59="","","당기")</x:f>
      </x:c>
      <x:c r="B1059" s="73" t="str">
        <x:f>IF('당기원장'!A59="","",'당기원장'!A59)</x:f>
      </x:c>
      <x:c r="C1059" s="73" t="str">
        <x:f>IF('당기원장'!A59="","",'당기원장'!B59)</x:f>
      </x:c>
      <x:c r="D1059" s="74" t="str">
        <x:f>IF('당기원장'!A59="","",'당기원장'!C59)</x:f>
      </x:c>
      <x:c r="E1059" s="73" t="str">
        <x:f>IF('당기원장'!A59="","",'당기원장'!D59)</x:f>
      </x:c>
      <x:c r="F1059" s="73" t="str">
        <x:f>IF('당기원장'!A59="","",'당기원장'!E59)</x:f>
      </x:c>
      <x:c r="G1059" s="75" t="str">
        <x:f>IF('당기원장'!A59="","",'당기원장'!H59)</x:f>
      </x:c>
      <x:c r="H1059" s="73" t="str">
        <x:f>IF('당기원장'!A59="","",'당기원장'!I59)</x:f>
      </x:c>
      <x:c r="I1059" s="73" t="str">
        <x:f>IF('당기원장'!A59="","",'당기원장'!J59)</x:f>
      </x:c>
      <x:c r="J1059" s="73" t="str">
        <x:f>IF('당기원장'!A59="","",'당기원장'!K59)</x:f>
      </x:c>
      <x:c r="K1059" s="73" t="str">
        <x:f>IF(B1059="","",IF(COUNTIF($B$5:B1059,B1059)=1,COUNT($K$4:K1058)+1,""))</x:f>
      </x:c>
      <x:c r="L1059" s="85" t="str">
        <x:f>IF(B1059="","",IF(COUNTIFS('계정비교'!$A$5:$A$1004,B1059,'계정비교'!$H$5:$H$1004,"원인분석 대상")&gt;0,COUNT($L$4:L1058)+1,""))</x:f>
      </x:c>
    </x:row>
    <x:row r="1060">
      <x:c r="A1060" s="73" t="str">
        <x:f>IF('당기원장'!A60="","","당기")</x:f>
      </x:c>
      <x:c r="B1060" s="73" t="str">
        <x:f>IF('당기원장'!A60="","",'당기원장'!A60)</x:f>
      </x:c>
      <x:c r="C1060" s="73" t="str">
        <x:f>IF('당기원장'!A60="","",'당기원장'!B60)</x:f>
      </x:c>
      <x:c r="D1060" s="74" t="str">
        <x:f>IF('당기원장'!A60="","",'당기원장'!C60)</x:f>
      </x:c>
      <x:c r="E1060" s="73" t="str">
        <x:f>IF('당기원장'!A60="","",'당기원장'!D60)</x:f>
      </x:c>
      <x:c r="F1060" s="73" t="str">
        <x:f>IF('당기원장'!A60="","",'당기원장'!E60)</x:f>
      </x:c>
      <x:c r="G1060" s="75" t="str">
        <x:f>IF('당기원장'!A60="","",'당기원장'!H60)</x:f>
      </x:c>
      <x:c r="H1060" s="73" t="str">
        <x:f>IF('당기원장'!A60="","",'당기원장'!I60)</x:f>
      </x:c>
      <x:c r="I1060" s="73" t="str">
        <x:f>IF('당기원장'!A60="","",'당기원장'!J60)</x:f>
      </x:c>
      <x:c r="J1060" s="73" t="str">
        <x:f>IF('당기원장'!A60="","",'당기원장'!K60)</x:f>
      </x:c>
      <x:c r="K1060" s="73" t="str">
        <x:f>IF(B1060="","",IF(COUNTIF($B$5:B1060,B1060)=1,COUNT($K$4:K1059)+1,""))</x:f>
      </x:c>
      <x:c r="L1060" s="85" t="str">
        <x:f>IF(B1060="","",IF(COUNTIFS('계정비교'!$A$5:$A$1004,B1060,'계정비교'!$H$5:$H$1004,"원인분석 대상")&gt;0,COUNT($L$4:L1059)+1,""))</x:f>
      </x:c>
    </x:row>
    <x:row r="1061">
      <x:c r="A1061" s="73" t="str">
        <x:f>IF('당기원장'!A61="","","당기")</x:f>
      </x:c>
      <x:c r="B1061" s="73" t="str">
        <x:f>IF('당기원장'!A61="","",'당기원장'!A61)</x:f>
      </x:c>
      <x:c r="C1061" s="73" t="str">
        <x:f>IF('당기원장'!A61="","",'당기원장'!B61)</x:f>
      </x:c>
      <x:c r="D1061" s="74" t="str">
        <x:f>IF('당기원장'!A61="","",'당기원장'!C61)</x:f>
      </x:c>
      <x:c r="E1061" s="73" t="str">
        <x:f>IF('당기원장'!A61="","",'당기원장'!D61)</x:f>
      </x:c>
      <x:c r="F1061" s="73" t="str">
        <x:f>IF('당기원장'!A61="","",'당기원장'!E61)</x:f>
      </x:c>
      <x:c r="G1061" s="75" t="str">
        <x:f>IF('당기원장'!A61="","",'당기원장'!H61)</x:f>
      </x:c>
      <x:c r="H1061" s="73" t="str">
        <x:f>IF('당기원장'!A61="","",'당기원장'!I61)</x:f>
      </x:c>
      <x:c r="I1061" s="73" t="str">
        <x:f>IF('당기원장'!A61="","",'당기원장'!J61)</x:f>
      </x:c>
      <x:c r="J1061" s="73" t="str">
        <x:f>IF('당기원장'!A61="","",'당기원장'!K61)</x:f>
      </x:c>
      <x:c r="K1061" s="73" t="str">
        <x:f>IF(B1061="","",IF(COUNTIF($B$5:B1061,B1061)=1,COUNT($K$4:K1060)+1,""))</x:f>
      </x:c>
      <x:c r="L1061" s="85" t="str">
        <x:f>IF(B1061="","",IF(COUNTIFS('계정비교'!$A$5:$A$1004,B1061,'계정비교'!$H$5:$H$1004,"원인분석 대상")&gt;0,COUNT($L$4:L1060)+1,""))</x:f>
      </x:c>
    </x:row>
    <x:row r="1062">
      <x:c r="A1062" s="73" t="str">
        <x:f>IF('당기원장'!A62="","","당기")</x:f>
      </x:c>
      <x:c r="B1062" s="73" t="str">
        <x:f>IF('당기원장'!A62="","",'당기원장'!A62)</x:f>
      </x:c>
      <x:c r="C1062" s="73" t="str">
        <x:f>IF('당기원장'!A62="","",'당기원장'!B62)</x:f>
      </x:c>
      <x:c r="D1062" s="74" t="str">
        <x:f>IF('당기원장'!A62="","",'당기원장'!C62)</x:f>
      </x:c>
      <x:c r="E1062" s="73" t="str">
        <x:f>IF('당기원장'!A62="","",'당기원장'!D62)</x:f>
      </x:c>
      <x:c r="F1062" s="73" t="str">
        <x:f>IF('당기원장'!A62="","",'당기원장'!E62)</x:f>
      </x:c>
      <x:c r="G1062" s="75" t="str">
        <x:f>IF('당기원장'!A62="","",'당기원장'!H62)</x:f>
      </x:c>
      <x:c r="H1062" s="73" t="str">
        <x:f>IF('당기원장'!A62="","",'당기원장'!I62)</x:f>
      </x:c>
      <x:c r="I1062" s="73" t="str">
        <x:f>IF('당기원장'!A62="","",'당기원장'!J62)</x:f>
      </x:c>
      <x:c r="J1062" s="73" t="str">
        <x:f>IF('당기원장'!A62="","",'당기원장'!K62)</x:f>
      </x:c>
      <x:c r="K1062" s="73" t="str">
        <x:f>IF(B1062="","",IF(COUNTIF($B$5:B1062,B1062)=1,COUNT($K$4:K1061)+1,""))</x:f>
      </x:c>
      <x:c r="L1062" s="85" t="str">
        <x:f>IF(B1062="","",IF(COUNTIFS('계정비교'!$A$5:$A$1004,B1062,'계정비교'!$H$5:$H$1004,"원인분석 대상")&gt;0,COUNT($L$4:L1061)+1,""))</x:f>
      </x:c>
    </x:row>
    <x:row r="1063">
      <x:c r="A1063" s="73" t="str">
        <x:f>IF('당기원장'!A63="","","당기")</x:f>
      </x:c>
      <x:c r="B1063" s="73" t="str">
        <x:f>IF('당기원장'!A63="","",'당기원장'!A63)</x:f>
      </x:c>
      <x:c r="C1063" s="73" t="str">
        <x:f>IF('당기원장'!A63="","",'당기원장'!B63)</x:f>
      </x:c>
      <x:c r="D1063" s="74" t="str">
        <x:f>IF('당기원장'!A63="","",'당기원장'!C63)</x:f>
      </x:c>
      <x:c r="E1063" s="73" t="str">
        <x:f>IF('당기원장'!A63="","",'당기원장'!D63)</x:f>
      </x:c>
      <x:c r="F1063" s="73" t="str">
        <x:f>IF('당기원장'!A63="","",'당기원장'!E63)</x:f>
      </x:c>
      <x:c r="G1063" s="75" t="str">
        <x:f>IF('당기원장'!A63="","",'당기원장'!H63)</x:f>
      </x:c>
      <x:c r="H1063" s="73" t="str">
        <x:f>IF('당기원장'!A63="","",'당기원장'!I63)</x:f>
      </x:c>
      <x:c r="I1063" s="73" t="str">
        <x:f>IF('당기원장'!A63="","",'당기원장'!J63)</x:f>
      </x:c>
      <x:c r="J1063" s="73" t="str">
        <x:f>IF('당기원장'!A63="","",'당기원장'!K63)</x:f>
      </x:c>
      <x:c r="K1063" s="73" t="str">
        <x:f>IF(B1063="","",IF(COUNTIF($B$5:B1063,B1063)=1,COUNT($K$4:K1062)+1,""))</x:f>
      </x:c>
      <x:c r="L1063" s="85" t="str">
        <x:f>IF(B1063="","",IF(COUNTIFS('계정비교'!$A$5:$A$1004,B1063,'계정비교'!$H$5:$H$1004,"원인분석 대상")&gt;0,COUNT($L$4:L1062)+1,""))</x:f>
      </x:c>
    </x:row>
    <x:row r="1064">
      <x:c r="A1064" s="73" t="str">
        <x:f>IF('당기원장'!A64="","","당기")</x:f>
      </x:c>
      <x:c r="B1064" s="73" t="str">
        <x:f>IF('당기원장'!A64="","",'당기원장'!A64)</x:f>
      </x:c>
      <x:c r="C1064" s="73" t="str">
        <x:f>IF('당기원장'!A64="","",'당기원장'!B64)</x:f>
      </x:c>
      <x:c r="D1064" s="74" t="str">
        <x:f>IF('당기원장'!A64="","",'당기원장'!C64)</x:f>
      </x:c>
      <x:c r="E1064" s="73" t="str">
        <x:f>IF('당기원장'!A64="","",'당기원장'!D64)</x:f>
      </x:c>
      <x:c r="F1064" s="73" t="str">
        <x:f>IF('당기원장'!A64="","",'당기원장'!E64)</x:f>
      </x:c>
      <x:c r="G1064" s="75" t="str">
        <x:f>IF('당기원장'!A64="","",'당기원장'!H64)</x:f>
      </x:c>
      <x:c r="H1064" s="73" t="str">
        <x:f>IF('당기원장'!A64="","",'당기원장'!I64)</x:f>
      </x:c>
      <x:c r="I1064" s="73" t="str">
        <x:f>IF('당기원장'!A64="","",'당기원장'!J64)</x:f>
      </x:c>
      <x:c r="J1064" s="73" t="str">
        <x:f>IF('당기원장'!A64="","",'당기원장'!K64)</x:f>
      </x:c>
      <x:c r="K1064" s="73" t="str">
        <x:f>IF(B1064="","",IF(COUNTIF($B$5:B1064,B1064)=1,COUNT($K$4:K1063)+1,""))</x:f>
      </x:c>
      <x:c r="L1064" s="85" t="str">
        <x:f>IF(B1064="","",IF(COUNTIFS('계정비교'!$A$5:$A$1004,B1064,'계정비교'!$H$5:$H$1004,"원인분석 대상")&gt;0,COUNT($L$4:L1063)+1,""))</x:f>
      </x:c>
    </x:row>
    <x:row r="1065">
      <x:c r="A1065" s="73" t="str">
        <x:f>IF('당기원장'!A65="","","당기")</x:f>
      </x:c>
      <x:c r="B1065" s="73" t="str">
        <x:f>IF('당기원장'!A65="","",'당기원장'!A65)</x:f>
      </x:c>
      <x:c r="C1065" s="73" t="str">
        <x:f>IF('당기원장'!A65="","",'당기원장'!B65)</x:f>
      </x:c>
      <x:c r="D1065" s="74" t="str">
        <x:f>IF('당기원장'!A65="","",'당기원장'!C65)</x:f>
      </x:c>
      <x:c r="E1065" s="73" t="str">
        <x:f>IF('당기원장'!A65="","",'당기원장'!D65)</x:f>
      </x:c>
      <x:c r="F1065" s="73" t="str">
        <x:f>IF('당기원장'!A65="","",'당기원장'!E65)</x:f>
      </x:c>
      <x:c r="G1065" s="75" t="str">
        <x:f>IF('당기원장'!A65="","",'당기원장'!H65)</x:f>
      </x:c>
      <x:c r="H1065" s="73" t="str">
        <x:f>IF('당기원장'!A65="","",'당기원장'!I65)</x:f>
      </x:c>
      <x:c r="I1065" s="73" t="str">
        <x:f>IF('당기원장'!A65="","",'당기원장'!J65)</x:f>
      </x:c>
      <x:c r="J1065" s="73" t="str">
        <x:f>IF('당기원장'!A65="","",'당기원장'!K65)</x:f>
      </x:c>
      <x:c r="K1065" s="73" t="str">
        <x:f>IF(B1065="","",IF(COUNTIF($B$5:B1065,B1065)=1,COUNT($K$4:K1064)+1,""))</x:f>
      </x:c>
      <x:c r="L1065" s="85" t="str">
        <x:f>IF(B1065="","",IF(COUNTIFS('계정비교'!$A$5:$A$1004,B1065,'계정비교'!$H$5:$H$1004,"원인분석 대상")&gt;0,COUNT($L$4:L1064)+1,""))</x:f>
      </x:c>
    </x:row>
    <x:row r="1066">
      <x:c r="A1066" s="73" t="str">
        <x:f>IF('당기원장'!A66="","","당기")</x:f>
      </x:c>
      <x:c r="B1066" s="73" t="str">
        <x:f>IF('당기원장'!A66="","",'당기원장'!A66)</x:f>
      </x:c>
      <x:c r="C1066" s="73" t="str">
        <x:f>IF('당기원장'!A66="","",'당기원장'!B66)</x:f>
      </x:c>
      <x:c r="D1066" s="74" t="str">
        <x:f>IF('당기원장'!A66="","",'당기원장'!C66)</x:f>
      </x:c>
      <x:c r="E1066" s="73" t="str">
        <x:f>IF('당기원장'!A66="","",'당기원장'!D66)</x:f>
      </x:c>
      <x:c r="F1066" s="73" t="str">
        <x:f>IF('당기원장'!A66="","",'당기원장'!E66)</x:f>
      </x:c>
      <x:c r="G1066" s="75" t="str">
        <x:f>IF('당기원장'!A66="","",'당기원장'!H66)</x:f>
      </x:c>
      <x:c r="H1066" s="73" t="str">
        <x:f>IF('당기원장'!A66="","",'당기원장'!I66)</x:f>
      </x:c>
      <x:c r="I1066" s="73" t="str">
        <x:f>IF('당기원장'!A66="","",'당기원장'!J66)</x:f>
      </x:c>
      <x:c r="J1066" s="73" t="str">
        <x:f>IF('당기원장'!A66="","",'당기원장'!K66)</x:f>
      </x:c>
      <x:c r="K1066" s="73" t="str">
        <x:f>IF(B1066="","",IF(COUNTIF($B$5:B1066,B1066)=1,COUNT($K$4:K1065)+1,""))</x:f>
      </x:c>
      <x:c r="L1066" s="85" t="str">
        <x:f>IF(B1066="","",IF(COUNTIFS('계정비교'!$A$5:$A$1004,B1066,'계정비교'!$H$5:$H$1004,"원인분석 대상")&gt;0,COUNT($L$4:L1065)+1,""))</x:f>
      </x:c>
    </x:row>
    <x:row r="1067">
      <x:c r="A1067" s="73" t="str">
        <x:f>IF('당기원장'!A67="","","당기")</x:f>
      </x:c>
      <x:c r="B1067" s="73" t="str">
        <x:f>IF('당기원장'!A67="","",'당기원장'!A67)</x:f>
      </x:c>
      <x:c r="C1067" s="73" t="str">
        <x:f>IF('당기원장'!A67="","",'당기원장'!B67)</x:f>
      </x:c>
      <x:c r="D1067" s="74" t="str">
        <x:f>IF('당기원장'!A67="","",'당기원장'!C67)</x:f>
      </x:c>
      <x:c r="E1067" s="73" t="str">
        <x:f>IF('당기원장'!A67="","",'당기원장'!D67)</x:f>
      </x:c>
      <x:c r="F1067" s="73" t="str">
        <x:f>IF('당기원장'!A67="","",'당기원장'!E67)</x:f>
      </x:c>
      <x:c r="G1067" s="75" t="str">
        <x:f>IF('당기원장'!A67="","",'당기원장'!H67)</x:f>
      </x:c>
      <x:c r="H1067" s="73" t="str">
        <x:f>IF('당기원장'!A67="","",'당기원장'!I67)</x:f>
      </x:c>
      <x:c r="I1067" s="73" t="str">
        <x:f>IF('당기원장'!A67="","",'당기원장'!J67)</x:f>
      </x:c>
      <x:c r="J1067" s="73" t="str">
        <x:f>IF('당기원장'!A67="","",'당기원장'!K67)</x:f>
      </x:c>
      <x:c r="K1067" s="73" t="str">
        <x:f>IF(B1067="","",IF(COUNTIF($B$5:B1067,B1067)=1,COUNT($K$4:K1066)+1,""))</x:f>
      </x:c>
      <x:c r="L1067" s="85" t="str">
        <x:f>IF(B1067="","",IF(COUNTIFS('계정비교'!$A$5:$A$1004,B1067,'계정비교'!$H$5:$H$1004,"원인분석 대상")&gt;0,COUNT($L$4:L1066)+1,""))</x:f>
      </x:c>
    </x:row>
    <x:row r="1068">
      <x:c r="A1068" s="73" t="str">
        <x:f>IF('당기원장'!A68="","","당기")</x:f>
      </x:c>
      <x:c r="B1068" s="73" t="str">
        <x:f>IF('당기원장'!A68="","",'당기원장'!A68)</x:f>
      </x:c>
      <x:c r="C1068" s="73" t="str">
        <x:f>IF('당기원장'!A68="","",'당기원장'!B68)</x:f>
      </x:c>
      <x:c r="D1068" s="74" t="str">
        <x:f>IF('당기원장'!A68="","",'당기원장'!C68)</x:f>
      </x:c>
      <x:c r="E1068" s="73" t="str">
        <x:f>IF('당기원장'!A68="","",'당기원장'!D68)</x:f>
      </x:c>
      <x:c r="F1068" s="73" t="str">
        <x:f>IF('당기원장'!A68="","",'당기원장'!E68)</x:f>
      </x:c>
      <x:c r="G1068" s="75" t="str">
        <x:f>IF('당기원장'!A68="","",'당기원장'!H68)</x:f>
      </x:c>
      <x:c r="H1068" s="73" t="str">
        <x:f>IF('당기원장'!A68="","",'당기원장'!I68)</x:f>
      </x:c>
      <x:c r="I1068" s="73" t="str">
        <x:f>IF('당기원장'!A68="","",'당기원장'!J68)</x:f>
      </x:c>
      <x:c r="J1068" s="73" t="str">
        <x:f>IF('당기원장'!A68="","",'당기원장'!K68)</x:f>
      </x:c>
      <x:c r="K1068" s="73" t="str">
        <x:f>IF(B1068="","",IF(COUNTIF($B$5:B1068,B1068)=1,COUNT($K$4:K1067)+1,""))</x:f>
      </x:c>
      <x:c r="L1068" s="85" t="str">
        <x:f>IF(B1068="","",IF(COUNTIFS('계정비교'!$A$5:$A$1004,B1068,'계정비교'!$H$5:$H$1004,"원인분석 대상")&gt;0,COUNT($L$4:L1067)+1,""))</x:f>
      </x:c>
    </x:row>
    <x:row r="1069">
      <x:c r="A1069" s="73" t="str">
        <x:f>IF('당기원장'!A69="","","당기")</x:f>
      </x:c>
      <x:c r="B1069" s="73" t="str">
        <x:f>IF('당기원장'!A69="","",'당기원장'!A69)</x:f>
      </x:c>
      <x:c r="C1069" s="73" t="str">
        <x:f>IF('당기원장'!A69="","",'당기원장'!B69)</x:f>
      </x:c>
      <x:c r="D1069" s="74" t="str">
        <x:f>IF('당기원장'!A69="","",'당기원장'!C69)</x:f>
      </x:c>
      <x:c r="E1069" s="73" t="str">
        <x:f>IF('당기원장'!A69="","",'당기원장'!D69)</x:f>
      </x:c>
      <x:c r="F1069" s="73" t="str">
        <x:f>IF('당기원장'!A69="","",'당기원장'!E69)</x:f>
      </x:c>
      <x:c r="G1069" s="75" t="str">
        <x:f>IF('당기원장'!A69="","",'당기원장'!H69)</x:f>
      </x:c>
      <x:c r="H1069" s="73" t="str">
        <x:f>IF('당기원장'!A69="","",'당기원장'!I69)</x:f>
      </x:c>
      <x:c r="I1069" s="73" t="str">
        <x:f>IF('당기원장'!A69="","",'당기원장'!J69)</x:f>
      </x:c>
      <x:c r="J1069" s="73" t="str">
        <x:f>IF('당기원장'!A69="","",'당기원장'!K69)</x:f>
      </x:c>
      <x:c r="K1069" s="73" t="str">
        <x:f>IF(B1069="","",IF(COUNTIF($B$5:B1069,B1069)=1,COUNT($K$4:K1068)+1,""))</x:f>
      </x:c>
      <x:c r="L1069" s="85" t="str">
        <x:f>IF(B1069="","",IF(COUNTIFS('계정비교'!$A$5:$A$1004,B1069,'계정비교'!$H$5:$H$1004,"원인분석 대상")&gt;0,COUNT($L$4:L1068)+1,""))</x:f>
      </x:c>
    </x:row>
    <x:row r="1070">
      <x:c r="A1070" s="73" t="str">
        <x:f>IF('당기원장'!A70="","","당기")</x:f>
      </x:c>
      <x:c r="B1070" s="73" t="str">
        <x:f>IF('당기원장'!A70="","",'당기원장'!A70)</x:f>
      </x:c>
      <x:c r="C1070" s="73" t="str">
        <x:f>IF('당기원장'!A70="","",'당기원장'!B70)</x:f>
      </x:c>
      <x:c r="D1070" s="74" t="str">
        <x:f>IF('당기원장'!A70="","",'당기원장'!C70)</x:f>
      </x:c>
      <x:c r="E1070" s="73" t="str">
        <x:f>IF('당기원장'!A70="","",'당기원장'!D70)</x:f>
      </x:c>
      <x:c r="F1070" s="73" t="str">
        <x:f>IF('당기원장'!A70="","",'당기원장'!E70)</x:f>
      </x:c>
      <x:c r="G1070" s="75" t="str">
        <x:f>IF('당기원장'!A70="","",'당기원장'!H70)</x:f>
      </x:c>
      <x:c r="H1070" s="73" t="str">
        <x:f>IF('당기원장'!A70="","",'당기원장'!I70)</x:f>
      </x:c>
      <x:c r="I1070" s="73" t="str">
        <x:f>IF('당기원장'!A70="","",'당기원장'!J70)</x:f>
      </x:c>
      <x:c r="J1070" s="73" t="str">
        <x:f>IF('당기원장'!A70="","",'당기원장'!K70)</x:f>
      </x:c>
      <x:c r="K1070" s="73" t="str">
        <x:f>IF(B1070="","",IF(COUNTIF($B$5:B1070,B1070)=1,COUNT($K$4:K1069)+1,""))</x:f>
      </x:c>
      <x:c r="L1070" s="85" t="str">
        <x:f>IF(B1070="","",IF(COUNTIFS('계정비교'!$A$5:$A$1004,B1070,'계정비교'!$H$5:$H$1004,"원인분석 대상")&gt;0,COUNT($L$4:L1069)+1,""))</x:f>
      </x:c>
    </x:row>
    <x:row r="1071">
      <x:c r="A1071" s="73" t="str">
        <x:f>IF('당기원장'!A71="","","당기")</x:f>
      </x:c>
      <x:c r="B1071" s="73" t="str">
        <x:f>IF('당기원장'!A71="","",'당기원장'!A71)</x:f>
      </x:c>
      <x:c r="C1071" s="73" t="str">
        <x:f>IF('당기원장'!A71="","",'당기원장'!B71)</x:f>
      </x:c>
      <x:c r="D1071" s="74" t="str">
        <x:f>IF('당기원장'!A71="","",'당기원장'!C71)</x:f>
      </x:c>
      <x:c r="E1071" s="73" t="str">
        <x:f>IF('당기원장'!A71="","",'당기원장'!D71)</x:f>
      </x:c>
      <x:c r="F1071" s="73" t="str">
        <x:f>IF('당기원장'!A71="","",'당기원장'!E71)</x:f>
      </x:c>
      <x:c r="G1071" s="75" t="str">
        <x:f>IF('당기원장'!A71="","",'당기원장'!H71)</x:f>
      </x:c>
      <x:c r="H1071" s="73" t="str">
        <x:f>IF('당기원장'!A71="","",'당기원장'!I71)</x:f>
      </x:c>
      <x:c r="I1071" s="73" t="str">
        <x:f>IF('당기원장'!A71="","",'당기원장'!J71)</x:f>
      </x:c>
      <x:c r="J1071" s="73" t="str">
        <x:f>IF('당기원장'!A71="","",'당기원장'!K71)</x:f>
      </x:c>
      <x:c r="K1071" s="73" t="str">
        <x:f>IF(B1071="","",IF(COUNTIF($B$5:B1071,B1071)=1,COUNT($K$4:K1070)+1,""))</x:f>
      </x:c>
      <x:c r="L1071" s="85" t="str">
        <x:f>IF(B1071="","",IF(COUNTIFS('계정비교'!$A$5:$A$1004,B1071,'계정비교'!$H$5:$H$1004,"원인분석 대상")&gt;0,COUNT($L$4:L1070)+1,""))</x:f>
      </x:c>
    </x:row>
    <x:row r="1072">
      <x:c r="A1072" s="73" t="str">
        <x:f>IF('당기원장'!A72="","","당기")</x:f>
      </x:c>
      <x:c r="B1072" s="73" t="str">
        <x:f>IF('당기원장'!A72="","",'당기원장'!A72)</x:f>
      </x:c>
      <x:c r="C1072" s="73" t="str">
        <x:f>IF('당기원장'!A72="","",'당기원장'!B72)</x:f>
      </x:c>
      <x:c r="D1072" s="74" t="str">
        <x:f>IF('당기원장'!A72="","",'당기원장'!C72)</x:f>
      </x:c>
      <x:c r="E1072" s="73" t="str">
        <x:f>IF('당기원장'!A72="","",'당기원장'!D72)</x:f>
      </x:c>
      <x:c r="F1072" s="73" t="str">
        <x:f>IF('당기원장'!A72="","",'당기원장'!E72)</x:f>
      </x:c>
      <x:c r="G1072" s="75" t="str">
        <x:f>IF('당기원장'!A72="","",'당기원장'!H72)</x:f>
      </x:c>
      <x:c r="H1072" s="73" t="str">
        <x:f>IF('당기원장'!A72="","",'당기원장'!I72)</x:f>
      </x:c>
      <x:c r="I1072" s="73" t="str">
        <x:f>IF('당기원장'!A72="","",'당기원장'!J72)</x:f>
      </x:c>
      <x:c r="J1072" s="73" t="str">
        <x:f>IF('당기원장'!A72="","",'당기원장'!K72)</x:f>
      </x:c>
      <x:c r="K1072" s="73" t="str">
        <x:f>IF(B1072="","",IF(COUNTIF($B$5:B1072,B1072)=1,COUNT($K$4:K1071)+1,""))</x:f>
      </x:c>
      <x:c r="L1072" s="85" t="str">
        <x:f>IF(B1072="","",IF(COUNTIFS('계정비교'!$A$5:$A$1004,B1072,'계정비교'!$H$5:$H$1004,"원인분석 대상")&gt;0,COUNT($L$4:L1071)+1,""))</x:f>
      </x:c>
    </x:row>
    <x:row r="1073">
      <x:c r="A1073" s="73" t="str">
        <x:f>IF('당기원장'!A73="","","당기")</x:f>
      </x:c>
      <x:c r="B1073" s="73" t="str">
        <x:f>IF('당기원장'!A73="","",'당기원장'!A73)</x:f>
      </x:c>
      <x:c r="C1073" s="73" t="str">
        <x:f>IF('당기원장'!A73="","",'당기원장'!B73)</x:f>
      </x:c>
      <x:c r="D1073" s="74" t="str">
        <x:f>IF('당기원장'!A73="","",'당기원장'!C73)</x:f>
      </x:c>
      <x:c r="E1073" s="73" t="str">
        <x:f>IF('당기원장'!A73="","",'당기원장'!D73)</x:f>
      </x:c>
      <x:c r="F1073" s="73" t="str">
        <x:f>IF('당기원장'!A73="","",'당기원장'!E73)</x:f>
      </x:c>
      <x:c r="G1073" s="75" t="str">
        <x:f>IF('당기원장'!A73="","",'당기원장'!H73)</x:f>
      </x:c>
      <x:c r="H1073" s="73" t="str">
        <x:f>IF('당기원장'!A73="","",'당기원장'!I73)</x:f>
      </x:c>
      <x:c r="I1073" s="73" t="str">
        <x:f>IF('당기원장'!A73="","",'당기원장'!J73)</x:f>
      </x:c>
      <x:c r="J1073" s="73" t="str">
        <x:f>IF('당기원장'!A73="","",'당기원장'!K73)</x:f>
      </x:c>
      <x:c r="K1073" s="73" t="str">
        <x:f>IF(B1073="","",IF(COUNTIF($B$5:B1073,B1073)=1,COUNT($K$4:K1072)+1,""))</x:f>
      </x:c>
      <x:c r="L1073" s="85" t="str">
        <x:f>IF(B1073="","",IF(COUNTIFS('계정비교'!$A$5:$A$1004,B1073,'계정비교'!$H$5:$H$1004,"원인분석 대상")&gt;0,COUNT($L$4:L1072)+1,""))</x:f>
      </x:c>
    </x:row>
    <x:row r="1074">
      <x:c r="A1074" s="73" t="str">
        <x:f>IF('당기원장'!A74="","","당기")</x:f>
      </x:c>
      <x:c r="B1074" s="73" t="str">
        <x:f>IF('당기원장'!A74="","",'당기원장'!A74)</x:f>
      </x:c>
      <x:c r="C1074" s="73" t="str">
        <x:f>IF('당기원장'!A74="","",'당기원장'!B74)</x:f>
      </x:c>
      <x:c r="D1074" s="74" t="str">
        <x:f>IF('당기원장'!A74="","",'당기원장'!C74)</x:f>
      </x:c>
      <x:c r="E1074" s="73" t="str">
        <x:f>IF('당기원장'!A74="","",'당기원장'!D74)</x:f>
      </x:c>
      <x:c r="F1074" s="73" t="str">
        <x:f>IF('당기원장'!A74="","",'당기원장'!E74)</x:f>
      </x:c>
      <x:c r="G1074" s="75" t="str">
        <x:f>IF('당기원장'!A74="","",'당기원장'!H74)</x:f>
      </x:c>
      <x:c r="H1074" s="73" t="str">
        <x:f>IF('당기원장'!A74="","",'당기원장'!I74)</x:f>
      </x:c>
      <x:c r="I1074" s="73" t="str">
        <x:f>IF('당기원장'!A74="","",'당기원장'!J74)</x:f>
      </x:c>
      <x:c r="J1074" s="73" t="str">
        <x:f>IF('당기원장'!A74="","",'당기원장'!K74)</x:f>
      </x:c>
      <x:c r="K1074" s="73" t="str">
        <x:f>IF(B1074="","",IF(COUNTIF($B$5:B1074,B1074)=1,COUNT($K$4:K1073)+1,""))</x:f>
      </x:c>
      <x:c r="L1074" s="85" t="str">
        <x:f>IF(B1074="","",IF(COUNTIFS('계정비교'!$A$5:$A$1004,B1074,'계정비교'!$H$5:$H$1004,"원인분석 대상")&gt;0,COUNT($L$4:L1073)+1,""))</x:f>
      </x:c>
    </x:row>
    <x:row r="1075">
      <x:c r="A1075" s="73" t="str">
        <x:f>IF('당기원장'!A75="","","당기")</x:f>
      </x:c>
      <x:c r="B1075" s="73" t="str">
        <x:f>IF('당기원장'!A75="","",'당기원장'!A75)</x:f>
      </x:c>
      <x:c r="C1075" s="73" t="str">
        <x:f>IF('당기원장'!A75="","",'당기원장'!B75)</x:f>
      </x:c>
      <x:c r="D1075" s="74" t="str">
        <x:f>IF('당기원장'!A75="","",'당기원장'!C75)</x:f>
      </x:c>
      <x:c r="E1075" s="73" t="str">
        <x:f>IF('당기원장'!A75="","",'당기원장'!D75)</x:f>
      </x:c>
      <x:c r="F1075" s="73" t="str">
        <x:f>IF('당기원장'!A75="","",'당기원장'!E75)</x:f>
      </x:c>
      <x:c r="G1075" s="75" t="str">
        <x:f>IF('당기원장'!A75="","",'당기원장'!H75)</x:f>
      </x:c>
      <x:c r="H1075" s="73" t="str">
        <x:f>IF('당기원장'!A75="","",'당기원장'!I75)</x:f>
      </x:c>
      <x:c r="I1075" s="73" t="str">
        <x:f>IF('당기원장'!A75="","",'당기원장'!J75)</x:f>
      </x:c>
      <x:c r="J1075" s="73" t="str">
        <x:f>IF('당기원장'!A75="","",'당기원장'!K75)</x:f>
      </x:c>
      <x:c r="K1075" s="73" t="str">
        <x:f>IF(B1075="","",IF(COUNTIF($B$5:B1075,B1075)=1,COUNT($K$4:K1074)+1,""))</x:f>
      </x:c>
      <x:c r="L1075" s="85" t="str">
        <x:f>IF(B1075="","",IF(COUNTIFS('계정비교'!$A$5:$A$1004,B1075,'계정비교'!$H$5:$H$1004,"원인분석 대상")&gt;0,COUNT($L$4:L1074)+1,""))</x:f>
      </x:c>
    </x:row>
    <x:row r="1076">
      <x:c r="A1076" s="73" t="str">
        <x:f>IF('당기원장'!A76="","","당기")</x:f>
      </x:c>
      <x:c r="B1076" s="73" t="str">
        <x:f>IF('당기원장'!A76="","",'당기원장'!A76)</x:f>
      </x:c>
      <x:c r="C1076" s="73" t="str">
        <x:f>IF('당기원장'!A76="","",'당기원장'!B76)</x:f>
      </x:c>
      <x:c r="D1076" s="74" t="str">
        <x:f>IF('당기원장'!A76="","",'당기원장'!C76)</x:f>
      </x:c>
      <x:c r="E1076" s="73" t="str">
        <x:f>IF('당기원장'!A76="","",'당기원장'!D76)</x:f>
      </x:c>
      <x:c r="F1076" s="73" t="str">
        <x:f>IF('당기원장'!A76="","",'당기원장'!E76)</x:f>
      </x:c>
      <x:c r="G1076" s="75" t="str">
        <x:f>IF('당기원장'!A76="","",'당기원장'!H76)</x:f>
      </x:c>
      <x:c r="H1076" s="73" t="str">
        <x:f>IF('당기원장'!A76="","",'당기원장'!I76)</x:f>
      </x:c>
      <x:c r="I1076" s="73" t="str">
        <x:f>IF('당기원장'!A76="","",'당기원장'!J76)</x:f>
      </x:c>
      <x:c r="J1076" s="73" t="str">
        <x:f>IF('당기원장'!A76="","",'당기원장'!K76)</x:f>
      </x:c>
      <x:c r="K1076" s="73" t="str">
        <x:f>IF(B1076="","",IF(COUNTIF($B$5:B1076,B1076)=1,COUNT($K$4:K1075)+1,""))</x:f>
      </x:c>
      <x:c r="L1076" s="85" t="str">
        <x:f>IF(B1076="","",IF(COUNTIFS('계정비교'!$A$5:$A$1004,B1076,'계정비교'!$H$5:$H$1004,"원인분석 대상")&gt;0,COUNT($L$4:L1075)+1,""))</x:f>
      </x:c>
    </x:row>
    <x:row r="1077">
      <x:c r="A1077" s="73" t="str">
        <x:f>IF('당기원장'!A77="","","당기")</x:f>
      </x:c>
      <x:c r="B1077" s="73" t="str">
        <x:f>IF('당기원장'!A77="","",'당기원장'!A77)</x:f>
      </x:c>
      <x:c r="C1077" s="73" t="str">
        <x:f>IF('당기원장'!A77="","",'당기원장'!B77)</x:f>
      </x:c>
      <x:c r="D1077" s="74" t="str">
        <x:f>IF('당기원장'!A77="","",'당기원장'!C77)</x:f>
      </x:c>
      <x:c r="E1077" s="73" t="str">
        <x:f>IF('당기원장'!A77="","",'당기원장'!D77)</x:f>
      </x:c>
      <x:c r="F1077" s="73" t="str">
        <x:f>IF('당기원장'!A77="","",'당기원장'!E77)</x:f>
      </x:c>
      <x:c r="G1077" s="75" t="str">
        <x:f>IF('당기원장'!A77="","",'당기원장'!H77)</x:f>
      </x:c>
      <x:c r="H1077" s="73" t="str">
        <x:f>IF('당기원장'!A77="","",'당기원장'!I77)</x:f>
      </x:c>
      <x:c r="I1077" s="73" t="str">
        <x:f>IF('당기원장'!A77="","",'당기원장'!J77)</x:f>
      </x:c>
      <x:c r="J1077" s="73" t="str">
        <x:f>IF('당기원장'!A77="","",'당기원장'!K77)</x:f>
      </x:c>
      <x:c r="K1077" s="73" t="str">
        <x:f>IF(B1077="","",IF(COUNTIF($B$5:B1077,B1077)=1,COUNT($K$4:K1076)+1,""))</x:f>
      </x:c>
      <x:c r="L1077" s="85" t="str">
        <x:f>IF(B1077="","",IF(COUNTIFS('계정비교'!$A$5:$A$1004,B1077,'계정비교'!$H$5:$H$1004,"원인분석 대상")&gt;0,COUNT($L$4:L1076)+1,""))</x:f>
      </x:c>
    </x:row>
    <x:row r="1078">
      <x:c r="A1078" s="73" t="str">
        <x:f>IF('당기원장'!A78="","","당기")</x:f>
      </x:c>
      <x:c r="B1078" s="73" t="str">
        <x:f>IF('당기원장'!A78="","",'당기원장'!A78)</x:f>
      </x:c>
      <x:c r="C1078" s="73" t="str">
        <x:f>IF('당기원장'!A78="","",'당기원장'!B78)</x:f>
      </x:c>
      <x:c r="D1078" s="74" t="str">
        <x:f>IF('당기원장'!A78="","",'당기원장'!C78)</x:f>
      </x:c>
      <x:c r="E1078" s="73" t="str">
        <x:f>IF('당기원장'!A78="","",'당기원장'!D78)</x:f>
      </x:c>
      <x:c r="F1078" s="73" t="str">
        <x:f>IF('당기원장'!A78="","",'당기원장'!E78)</x:f>
      </x:c>
      <x:c r="G1078" s="75" t="str">
        <x:f>IF('당기원장'!A78="","",'당기원장'!H78)</x:f>
      </x:c>
      <x:c r="H1078" s="73" t="str">
        <x:f>IF('당기원장'!A78="","",'당기원장'!I78)</x:f>
      </x:c>
      <x:c r="I1078" s="73" t="str">
        <x:f>IF('당기원장'!A78="","",'당기원장'!J78)</x:f>
      </x:c>
      <x:c r="J1078" s="73" t="str">
        <x:f>IF('당기원장'!A78="","",'당기원장'!K78)</x:f>
      </x:c>
      <x:c r="K1078" s="73" t="str">
        <x:f>IF(B1078="","",IF(COUNTIF($B$5:B1078,B1078)=1,COUNT($K$4:K1077)+1,""))</x:f>
      </x:c>
      <x:c r="L1078" s="85" t="str">
        <x:f>IF(B1078="","",IF(COUNTIFS('계정비교'!$A$5:$A$1004,B1078,'계정비교'!$H$5:$H$1004,"원인분석 대상")&gt;0,COUNT($L$4:L1077)+1,""))</x:f>
      </x:c>
    </x:row>
    <x:row r="1079">
      <x:c r="A1079" s="73" t="str">
        <x:f>IF('당기원장'!A79="","","당기")</x:f>
      </x:c>
      <x:c r="B1079" s="73" t="str">
        <x:f>IF('당기원장'!A79="","",'당기원장'!A79)</x:f>
      </x:c>
      <x:c r="C1079" s="73" t="str">
        <x:f>IF('당기원장'!A79="","",'당기원장'!B79)</x:f>
      </x:c>
      <x:c r="D1079" s="74" t="str">
        <x:f>IF('당기원장'!A79="","",'당기원장'!C79)</x:f>
      </x:c>
      <x:c r="E1079" s="73" t="str">
        <x:f>IF('당기원장'!A79="","",'당기원장'!D79)</x:f>
      </x:c>
      <x:c r="F1079" s="73" t="str">
        <x:f>IF('당기원장'!A79="","",'당기원장'!E79)</x:f>
      </x:c>
      <x:c r="G1079" s="75" t="str">
        <x:f>IF('당기원장'!A79="","",'당기원장'!H79)</x:f>
      </x:c>
      <x:c r="H1079" s="73" t="str">
        <x:f>IF('당기원장'!A79="","",'당기원장'!I79)</x:f>
      </x:c>
      <x:c r="I1079" s="73" t="str">
        <x:f>IF('당기원장'!A79="","",'당기원장'!J79)</x:f>
      </x:c>
      <x:c r="J1079" s="73" t="str">
        <x:f>IF('당기원장'!A79="","",'당기원장'!K79)</x:f>
      </x:c>
      <x:c r="K1079" s="73" t="str">
        <x:f>IF(B1079="","",IF(COUNTIF($B$5:B1079,B1079)=1,COUNT($K$4:K1078)+1,""))</x:f>
      </x:c>
      <x:c r="L1079" s="85" t="str">
        <x:f>IF(B1079="","",IF(COUNTIFS('계정비교'!$A$5:$A$1004,B1079,'계정비교'!$H$5:$H$1004,"원인분석 대상")&gt;0,COUNT($L$4:L1078)+1,""))</x:f>
      </x:c>
    </x:row>
    <x:row r="1080">
      <x:c r="A1080" s="73" t="str">
        <x:f>IF('당기원장'!A80="","","당기")</x:f>
      </x:c>
      <x:c r="B1080" s="73" t="str">
        <x:f>IF('당기원장'!A80="","",'당기원장'!A80)</x:f>
      </x:c>
      <x:c r="C1080" s="73" t="str">
        <x:f>IF('당기원장'!A80="","",'당기원장'!B80)</x:f>
      </x:c>
      <x:c r="D1080" s="74" t="str">
        <x:f>IF('당기원장'!A80="","",'당기원장'!C80)</x:f>
      </x:c>
      <x:c r="E1080" s="73" t="str">
        <x:f>IF('당기원장'!A80="","",'당기원장'!D80)</x:f>
      </x:c>
      <x:c r="F1080" s="73" t="str">
        <x:f>IF('당기원장'!A80="","",'당기원장'!E80)</x:f>
      </x:c>
      <x:c r="G1080" s="75" t="str">
        <x:f>IF('당기원장'!A80="","",'당기원장'!H80)</x:f>
      </x:c>
      <x:c r="H1080" s="73" t="str">
        <x:f>IF('당기원장'!A80="","",'당기원장'!I80)</x:f>
      </x:c>
      <x:c r="I1080" s="73" t="str">
        <x:f>IF('당기원장'!A80="","",'당기원장'!J80)</x:f>
      </x:c>
      <x:c r="J1080" s="73" t="str">
        <x:f>IF('당기원장'!A80="","",'당기원장'!K80)</x:f>
      </x:c>
      <x:c r="K1080" s="73" t="str">
        <x:f>IF(B1080="","",IF(COUNTIF($B$5:B1080,B1080)=1,COUNT($K$4:K1079)+1,""))</x:f>
      </x:c>
      <x:c r="L1080" s="85" t="str">
        <x:f>IF(B1080="","",IF(COUNTIFS('계정비교'!$A$5:$A$1004,B1080,'계정비교'!$H$5:$H$1004,"원인분석 대상")&gt;0,COUNT($L$4:L1079)+1,""))</x:f>
      </x:c>
    </x:row>
    <x:row r="1081">
      <x:c r="A1081" s="73" t="str">
        <x:f>IF('당기원장'!A81="","","당기")</x:f>
      </x:c>
      <x:c r="B1081" s="73" t="str">
        <x:f>IF('당기원장'!A81="","",'당기원장'!A81)</x:f>
      </x:c>
      <x:c r="C1081" s="73" t="str">
        <x:f>IF('당기원장'!A81="","",'당기원장'!B81)</x:f>
      </x:c>
      <x:c r="D1081" s="74" t="str">
        <x:f>IF('당기원장'!A81="","",'당기원장'!C81)</x:f>
      </x:c>
      <x:c r="E1081" s="73" t="str">
        <x:f>IF('당기원장'!A81="","",'당기원장'!D81)</x:f>
      </x:c>
      <x:c r="F1081" s="73" t="str">
        <x:f>IF('당기원장'!A81="","",'당기원장'!E81)</x:f>
      </x:c>
      <x:c r="G1081" s="75" t="str">
        <x:f>IF('당기원장'!A81="","",'당기원장'!H81)</x:f>
      </x:c>
      <x:c r="H1081" s="73" t="str">
        <x:f>IF('당기원장'!A81="","",'당기원장'!I81)</x:f>
      </x:c>
      <x:c r="I1081" s="73" t="str">
        <x:f>IF('당기원장'!A81="","",'당기원장'!J81)</x:f>
      </x:c>
      <x:c r="J1081" s="73" t="str">
        <x:f>IF('당기원장'!A81="","",'당기원장'!K81)</x:f>
      </x:c>
      <x:c r="K1081" s="73" t="str">
        <x:f>IF(B1081="","",IF(COUNTIF($B$5:B1081,B1081)=1,COUNT($K$4:K1080)+1,""))</x:f>
      </x:c>
      <x:c r="L1081" s="85" t="str">
        <x:f>IF(B1081="","",IF(COUNTIFS('계정비교'!$A$5:$A$1004,B1081,'계정비교'!$H$5:$H$1004,"원인분석 대상")&gt;0,COUNT($L$4:L1080)+1,""))</x:f>
      </x:c>
    </x:row>
    <x:row r="1082">
      <x:c r="A1082" s="73" t="str">
        <x:f>IF('당기원장'!A82="","","당기")</x:f>
      </x:c>
      <x:c r="B1082" s="73" t="str">
        <x:f>IF('당기원장'!A82="","",'당기원장'!A82)</x:f>
      </x:c>
      <x:c r="C1082" s="73" t="str">
        <x:f>IF('당기원장'!A82="","",'당기원장'!B82)</x:f>
      </x:c>
      <x:c r="D1082" s="74" t="str">
        <x:f>IF('당기원장'!A82="","",'당기원장'!C82)</x:f>
      </x:c>
      <x:c r="E1082" s="73" t="str">
        <x:f>IF('당기원장'!A82="","",'당기원장'!D82)</x:f>
      </x:c>
      <x:c r="F1082" s="73" t="str">
        <x:f>IF('당기원장'!A82="","",'당기원장'!E82)</x:f>
      </x:c>
      <x:c r="G1082" s="75" t="str">
        <x:f>IF('당기원장'!A82="","",'당기원장'!H82)</x:f>
      </x:c>
      <x:c r="H1082" s="73" t="str">
        <x:f>IF('당기원장'!A82="","",'당기원장'!I82)</x:f>
      </x:c>
      <x:c r="I1082" s="73" t="str">
        <x:f>IF('당기원장'!A82="","",'당기원장'!J82)</x:f>
      </x:c>
      <x:c r="J1082" s="73" t="str">
        <x:f>IF('당기원장'!A82="","",'당기원장'!K82)</x:f>
      </x:c>
      <x:c r="K1082" s="73" t="str">
        <x:f>IF(B1082="","",IF(COUNTIF($B$5:B1082,B1082)=1,COUNT($K$4:K1081)+1,""))</x:f>
      </x:c>
      <x:c r="L1082" s="85" t="str">
        <x:f>IF(B1082="","",IF(COUNTIFS('계정비교'!$A$5:$A$1004,B1082,'계정비교'!$H$5:$H$1004,"원인분석 대상")&gt;0,COUNT($L$4:L1081)+1,""))</x:f>
      </x:c>
    </x:row>
    <x:row r="1083">
      <x:c r="A1083" s="73" t="str">
        <x:f>IF('당기원장'!A83="","","당기")</x:f>
      </x:c>
      <x:c r="B1083" s="73" t="str">
        <x:f>IF('당기원장'!A83="","",'당기원장'!A83)</x:f>
      </x:c>
      <x:c r="C1083" s="73" t="str">
        <x:f>IF('당기원장'!A83="","",'당기원장'!B83)</x:f>
      </x:c>
      <x:c r="D1083" s="74" t="str">
        <x:f>IF('당기원장'!A83="","",'당기원장'!C83)</x:f>
      </x:c>
      <x:c r="E1083" s="73" t="str">
        <x:f>IF('당기원장'!A83="","",'당기원장'!D83)</x:f>
      </x:c>
      <x:c r="F1083" s="73" t="str">
        <x:f>IF('당기원장'!A83="","",'당기원장'!E83)</x:f>
      </x:c>
      <x:c r="G1083" s="75" t="str">
        <x:f>IF('당기원장'!A83="","",'당기원장'!H83)</x:f>
      </x:c>
      <x:c r="H1083" s="73" t="str">
        <x:f>IF('당기원장'!A83="","",'당기원장'!I83)</x:f>
      </x:c>
      <x:c r="I1083" s="73" t="str">
        <x:f>IF('당기원장'!A83="","",'당기원장'!J83)</x:f>
      </x:c>
      <x:c r="J1083" s="73" t="str">
        <x:f>IF('당기원장'!A83="","",'당기원장'!K83)</x:f>
      </x:c>
      <x:c r="K1083" s="73" t="str">
        <x:f>IF(B1083="","",IF(COUNTIF($B$5:B1083,B1083)=1,COUNT($K$4:K1082)+1,""))</x:f>
      </x:c>
      <x:c r="L1083" s="85" t="str">
        <x:f>IF(B1083="","",IF(COUNTIFS('계정비교'!$A$5:$A$1004,B1083,'계정비교'!$H$5:$H$1004,"원인분석 대상")&gt;0,COUNT($L$4:L1082)+1,""))</x:f>
      </x:c>
    </x:row>
    <x:row r="1084">
      <x:c r="A1084" s="73" t="str">
        <x:f>IF('당기원장'!A84="","","당기")</x:f>
      </x:c>
      <x:c r="B1084" s="73" t="str">
        <x:f>IF('당기원장'!A84="","",'당기원장'!A84)</x:f>
      </x:c>
      <x:c r="C1084" s="73" t="str">
        <x:f>IF('당기원장'!A84="","",'당기원장'!B84)</x:f>
      </x:c>
      <x:c r="D1084" s="74" t="str">
        <x:f>IF('당기원장'!A84="","",'당기원장'!C84)</x:f>
      </x:c>
      <x:c r="E1084" s="73" t="str">
        <x:f>IF('당기원장'!A84="","",'당기원장'!D84)</x:f>
      </x:c>
      <x:c r="F1084" s="73" t="str">
        <x:f>IF('당기원장'!A84="","",'당기원장'!E84)</x:f>
      </x:c>
      <x:c r="G1084" s="75" t="str">
        <x:f>IF('당기원장'!A84="","",'당기원장'!H84)</x:f>
      </x:c>
      <x:c r="H1084" s="73" t="str">
        <x:f>IF('당기원장'!A84="","",'당기원장'!I84)</x:f>
      </x:c>
      <x:c r="I1084" s="73" t="str">
        <x:f>IF('당기원장'!A84="","",'당기원장'!J84)</x:f>
      </x:c>
      <x:c r="J1084" s="73" t="str">
        <x:f>IF('당기원장'!A84="","",'당기원장'!K84)</x:f>
      </x:c>
      <x:c r="K1084" s="73" t="str">
        <x:f>IF(B1084="","",IF(COUNTIF($B$5:B1084,B1084)=1,COUNT($K$4:K1083)+1,""))</x:f>
      </x:c>
      <x:c r="L1084" s="85" t="str">
        <x:f>IF(B1084="","",IF(COUNTIFS('계정비교'!$A$5:$A$1004,B1084,'계정비교'!$H$5:$H$1004,"원인분석 대상")&gt;0,COUNT($L$4:L1083)+1,""))</x:f>
      </x:c>
    </x:row>
    <x:row r="1085">
      <x:c r="A1085" s="73" t="str">
        <x:f>IF('당기원장'!A85="","","당기")</x:f>
      </x:c>
      <x:c r="B1085" s="73" t="str">
        <x:f>IF('당기원장'!A85="","",'당기원장'!A85)</x:f>
      </x:c>
      <x:c r="C1085" s="73" t="str">
        <x:f>IF('당기원장'!A85="","",'당기원장'!B85)</x:f>
      </x:c>
      <x:c r="D1085" s="74" t="str">
        <x:f>IF('당기원장'!A85="","",'당기원장'!C85)</x:f>
      </x:c>
      <x:c r="E1085" s="73" t="str">
        <x:f>IF('당기원장'!A85="","",'당기원장'!D85)</x:f>
      </x:c>
      <x:c r="F1085" s="73" t="str">
        <x:f>IF('당기원장'!A85="","",'당기원장'!E85)</x:f>
      </x:c>
      <x:c r="G1085" s="75" t="str">
        <x:f>IF('당기원장'!A85="","",'당기원장'!H85)</x:f>
      </x:c>
      <x:c r="H1085" s="73" t="str">
        <x:f>IF('당기원장'!A85="","",'당기원장'!I85)</x:f>
      </x:c>
      <x:c r="I1085" s="73" t="str">
        <x:f>IF('당기원장'!A85="","",'당기원장'!J85)</x:f>
      </x:c>
      <x:c r="J1085" s="73" t="str">
        <x:f>IF('당기원장'!A85="","",'당기원장'!K85)</x:f>
      </x:c>
      <x:c r="K1085" s="73" t="str">
        <x:f>IF(B1085="","",IF(COUNTIF($B$5:B1085,B1085)=1,COUNT($K$4:K1084)+1,""))</x:f>
      </x:c>
      <x:c r="L1085" s="85" t="str">
        <x:f>IF(B1085="","",IF(COUNTIFS('계정비교'!$A$5:$A$1004,B1085,'계정비교'!$H$5:$H$1004,"원인분석 대상")&gt;0,COUNT($L$4:L1084)+1,""))</x:f>
      </x:c>
    </x:row>
    <x:row r="1086">
      <x:c r="A1086" s="73" t="str">
        <x:f>IF('당기원장'!A86="","","당기")</x:f>
      </x:c>
      <x:c r="B1086" s="73" t="str">
        <x:f>IF('당기원장'!A86="","",'당기원장'!A86)</x:f>
      </x:c>
      <x:c r="C1086" s="73" t="str">
        <x:f>IF('당기원장'!A86="","",'당기원장'!B86)</x:f>
      </x:c>
      <x:c r="D1086" s="74" t="str">
        <x:f>IF('당기원장'!A86="","",'당기원장'!C86)</x:f>
      </x:c>
      <x:c r="E1086" s="73" t="str">
        <x:f>IF('당기원장'!A86="","",'당기원장'!D86)</x:f>
      </x:c>
      <x:c r="F1086" s="73" t="str">
        <x:f>IF('당기원장'!A86="","",'당기원장'!E86)</x:f>
      </x:c>
      <x:c r="G1086" s="75" t="str">
        <x:f>IF('당기원장'!A86="","",'당기원장'!H86)</x:f>
      </x:c>
      <x:c r="H1086" s="73" t="str">
        <x:f>IF('당기원장'!A86="","",'당기원장'!I86)</x:f>
      </x:c>
      <x:c r="I1086" s="73" t="str">
        <x:f>IF('당기원장'!A86="","",'당기원장'!J86)</x:f>
      </x:c>
      <x:c r="J1086" s="73" t="str">
        <x:f>IF('당기원장'!A86="","",'당기원장'!K86)</x:f>
      </x:c>
      <x:c r="K1086" s="73" t="str">
        <x:f>IF(B1086="","",IF(COUNTIF($B$5:B1086,B1086)=1,COUNT($K$4:K1085)+1,""))</x:f>
      </x:c>
      <x:c r="L1086" s="85" t="str">
        <x:f>IF(B1086="","",IF(COUNTIFS('계정비교'!$A$5:$A$1004,B1086,'계정비교'!$H$5:$H$1004,"원인분석 대상")&gt;0,COUNT($L$4:L1085)+1,""))</x:f>
      </x:c>
    </x:row>
    <x:row r="1087">
      <x:c r="A1087" s="73" t="str">
        <x:f>IF('당기원장'!A87="","","당기")</x:f>
      </x:c>
      <x:c r="B1087" s="73" t="str">
        <x:f>IF('당기원장'!A87="","",'당기원장'!A87)</x:f>
      </x:c>
      <x:c r="C1087" s="73" t="str">
        <x:f>IF('당기원장'!A87="","",'당기원장'!B87)</x:f>
      </x:c>
      <x:c r="D1087" s="74" t="str">
        <x:f>IF('당기원장'!A87="","",'당기원장'!C87)</x:f>
      </x:c>
      <x:c r="E1087" s="73" t="str">
        <x:f>IF('당기원장'!A87="","",'당기원장'!D87)</x:f>
      </x:c>
      <x:c r="F1087" s="73" t="str">
        <x:f>IF('당기원장'!A87="","",'당기원장'!E87)</x:f>
      </x:c>
      <x:c r="G1087" s="75" t="str">
        <x:f>IF('당기원장'!A87="","",'당기원장'!H87)</x:f>
      </x:c>
      <x:c r="H1087" s="73" t="str">
        <x:f>IF('당기원장'!A87="","",'당기원장'!I87)</x:f>
      </x:c>
      <x:c r="I1087" s="73" t="str">
        <x:f>IF('당기원장'!A87="","",'당기원장'!J87)</x:f>
      </x:c>
      <x:c r="J1087" s="73" t="str">
        <x:f>IF('당기원장'!A87="","",'당기원장'!K87)</x:f>
      </x:c>
      <x:c r="K1087" s="73" t="str">
        <x:f>IF(B1087="","",IF(COUNTIF($B$5:B1087,B1087)=1,COUNT($K$4:K1086)+1,""))</x:f>
      </x:c>
      <x:c r="L1087" s="85" t="str">
        <x:f>IF(B1087="","",IF(COUNTIFS('계정비교'!$A$5:$A$1004,B1087,'계정비교'!$H$5:$H$1004,"원인분석 대상")&gt;0,COUNT($L$4:L1086)+1,""))</x:f>
      </x:c>
    </x:row>
    <x:row r="1088">
      <x:c r="A1088" s="73" t="str">
        <x:f>IF('당기원장'!A88="","","당기")</x:f>
      </x:c>
      <x:c r="B1088" s="73" t="str">
        <x:f>IF('당기원장'!A88="","",'당기원장'!A88)</x:f>
      </x:c>
      <x:c r="C1088" s="73" t="str">
        <x:f>IF('당기원장'!A88="","",'당기원장'!B88)</x:f>
      </x:c>
      <x:c r="D1088" s="74" t="str">
        <x:f>IF('당기원장'!A88="","",'당기원장'!C88)</x:f>
      </x:c>
      <x:c r="E1088" s="73" t="str">
        <x:f>IF('당기원장'!A88="","",'당기원장'!D88)</x:f>
      </x:c>
      <x:c r="F1088" s="73" t="str">
        <x:f>IF('당기원장'!A88="","",'당기원장'!E88)</x:f>
      </x:c>
      <x:c r="G1088" s="75" t="str">
        <x:f>IF('당기원장'!A88="","",'당기원장'!H88)</x:f>
      </x:c>
      <x:c r="H1088" s="73" t="str">
        <x:f>IF('당기원장'!A88="","",'당기원장'!I88)</x:f>
      </x:c>
      <x:c r="I1088" s="73" t="str">
        <x:f>IF('당기원장'!A88="","",'당기원장'!J88)</x:f>
      </x:c>
      <x:c r="J1088" s="73" t="str">
        <x:f>IF('당기원장'!A88="","",'당기원장'!K88)</x:f>
      </x:c>
      <x:c r="K1088" s="73" t="str">
        <x:f>IF(B1088="","",IF(COUNTIF($B$5:B1088,B1088)=1,COUNT($K$4:K1087)+1,""))</x:f>
      </x:c>
      <x:c r="L1088" s="85" t="str">
        <x:f>IF(B1088="","",IF(COUNTIFS('계정비교'!$A$5:$A$1004,B1088,'계정비교'!$H$5:$H$1004,"원인분석 대상")&gt;0,COUNT($L$4:L1087)+1,""))</x:f>
      </x:c>
    </x:row>
    <x:row r="1089">
      <x:c r="A1089" s="73" t="str">
        <x:f>IF('당기원장'!A89="","","당기")</x:f>
      </x:c>
      <x:c r="B1089" s="73" t="str">
        <x:f>IF('당기원장'!A89="","",'당기원장'!A89)</x:f>
      </x:c>
      <x:c r="C1089" s="73" t="str">
        <x:f>IF('당기원장'!A89="","",'당기원장'!B89)</x:f>
      </x:c>
      <x:c r="D1089" s="74" t="str">
        <x:f>IF('당기원장'!A89="","",'당기원장'!C89)</x:f>
      </x:c>
      <x:c r="E1089" s="73" t="str">
        <x:f>IF('당기원장'!A89="","",'당기원장'!D89)</x:f>
      </x:c>
      <x:c r="F1089" s="73" t="str">
        <x:f>IF('당기원장'!A89="","",'당기원장'!E89)</x:f>
      </x:c>
      <x:c r="G1089" s="75" t="str">
        <x:f>IF('당기원장'!A89="","",'당기원장'!H89)</x:f>
      </x:c>
      <x:c r="H1089" s="73" t="str">
        <x:f>IF('당기원장'!A89="","",'당기원장'!I89)</x:f>
      </x:c>
      <x:c r="I1089" s="73" t="str">
        <x:f>IF('당기원장'!A89="","",'당기원장'!J89)</x:f>
      </x:c>
      <x:c r="J1089" s="73" t="str">
        <x:f>IF('당기원장'!A89="","",'당기원장'!K89)</x:f>
      </x:c>
      <x:c r="K1089" s="73" t="str">
        <x:f>IF(B1089="","",IF(COUNTIF($B$5:B1089,B1089)=1,COUNT($K$4:K1088)+1,""))</x:f>
      </x:c>
      <x:c r="L1089" s="85" t="str">
        <x:f>IF(B1089="","",IF(COUNTIFS('계정비교'!$A$5:$A$1004,B1089,'계정비교'!$H$5:$H$1004,"원인분석 대상")&gt;0,COUNT($L$4:L1088)+1,""))</x:f>
      </x:c>
    </x:row>
    <x:row r="1090">
      <x:c r="A1090" s="73" t="str">
        <x:f>IF('당기원장'!A90="","","당기")</x:f>
      </x:c>
      <x:c r="B1090" s="73" t="str">
        <x:f>IF('당기원장'!A90="","",'당기원장'!A90)</x:f>
      </x:c>
      <x:c r="C1090" s="73" t="str">
        <x:f>IF('당기원장'!A90="","",'당기원장'!B90)</x:f>
      </x:c>
      <x:c r="D1090" s="74" t="str">
        <x:f>IF('당기원장'!A90="","",'당기원장'!C90)</x:f>
      </x:c>
      <x:c r="E1090" s="73" t="str">
        <x:f>IF('당기원장'!A90="","",'당기원장'!D90)</x:f>
      </x:c>
      <x:c r="F1090" s="73" t="str">
        <x:f>IF('당기원장'!A90="","",'당기원장'!E90)</x:f>
      </x:c>
      <x:c r="G1090" s="75" t="str">
        <x:f>IF('당기원장'!A90="","",'당기원장'!H90)</x:f>
      </x:c>
      <x:c r="H1090" s="73" t="str">
        <x:f>IF('당기원장'!A90="","",'당기원장'!I90)</x:f>
      </x:c>
      <x:c r="I1090" s="73" t="str">
        <x:f>IF('당기원장'!A90="","",'당기원장'!J90)</x:f>
      </x:c>
      <x:c r="J1090" s="73" t="str">
        <x:f>IF('당기원장'!A90="","",'당기원장'!K90)</x:f>
      </x:c>
      <x:c r="K1090" s="73" t="str">
        <x:f>IF(B1090="","",IF(COUNTIF($B$5:B1090,B1090)=1,COUNT($K$4:K1089)+1,""))</x:f>
      </x:c>
      <x:c r="L1090" s="85" t="str">
        <x:f>IF(B1090="","",IF(COUNTIFS('계정비교'!$A$5:$A$1004,B1090,'계정비교'!$H$5:$H$1004,"원인분석 대상")&gt;0,COUNT($L$4:L1089)+1,""))</x:f>
      </x:c>
    </x:row>
    <x:row r="1091">
      <x:c r="A1091" s="73" t="str">
        <x:f>IF('당기원장'!A91="","","당기")</x:f>
      </x:c>
      <x:c r="B1091" s="73" t="str">
        <x:f>IF('당기원장'!A91="","",'당기원장'!A91)</x:f>
      </x:c>
      <x:c r="C1091" s="73" t="str">
        <x:f>IF('당기원장'!A91="","",'당기원장'!B91)</x:f>
      </x:c>
      <x:c r="D1091" s="74" t="str">
        <x:f>IF('당기원장'!A91="","",'당기원장'!C91)</x:f>
      </x:c>
      <x:c r="E1091" s="73" t="str">
        <x:f>IF('당기원장'!A91="","",'당기원장'!D91)</x:f>
      </x:c>
      <x:c r="F1091" s="73" t="str">
        <x:f>IF('당기원장'!A91="","",'당기원장'!E91)</x:f>
      </x:c>
      <x:c r="G1091" s="75" t="str">
        <x:f>IF('당기원장'!A91="","",'당기원장'!H91)</x:f>
      </x:c>
      <x:c r="H1091" s="73" t="str">
        <x:f>IF('당기원장'!A91="","",'당기원장'!I91)</x:f>
      </x:c>
      <x:c r="I1091" s="73" t="str">
        <x:f>IF('당기원장'!A91="","",'당기원장'!J91)</x:f>
      </x:c>
      <x:c r="J1091" s="73" t="str">
        <x:f>IF('당기원장'!A91="","",'당기원장'!K91)</x:f>
      </x:c>
      <x:c r="K1091" s="73" t="str">
        <x:f>IF(B1091="","",IF(COUNTIF($B$5:B1091,B1091)=1,COUNT($K$4:K1090)+1,""))</x:f>
      </x:c>
      <x:c r="L1091" s="85" t="str">
        <x:f>IF(B1091="","",IF(COUNTIFS('계정비교'!$A$5:$A$1004,B1091,'계정비교'!$H$5:$H$1004,"원인분석 대상")&gt;0,COUNT($L$4:L1090)+1,""))</x:f>
      </x:c>
    </x:row>
    <x:row r="1092">
      <x:c r="A1092" s="73" t="str">
        <x:f>IF('당기원장'!A92="","","당기")</x:f>
      </x:c>
      <x:c r="B1092" s="73" t="str">
        <x:f>IF('당기원장'!A92="","",'당기원장'!A92)</x:f>
      </x:c>
      <x:c r="C1092" s="73" t="str">
        <x:f>IF('당기원장'!A92="","",'당기원장'!B92)</x:f>
      </x:c>
      <x:c r="D1092" s="74" t="str">
        <x:f>IF('당기원장'!A92="","",'당기원장'!C92)</x:f>
      </x:c>
      <x:c r="E1092" s="73" t="str">
        <x:f>IF('당기원장'!A92="","",'당기원장'!D92)</x:f>
      </x:c>
      <x:c r="F1092" s="73" t="str">
        <x:f>IF('당기원장'!A92="","",'당기원장'!E92)</x:f>
      </x:c>
      <x:c r="G1092" s="75" t="str">
        <x:f>IF('당기원장'!A92="","",'당기원장'!H92)</x:f>
      </x:c>
      <x:c r="H1092" s="73" t="str">
        <x:f>IF('당기원장'!A92="","",'당기원장'!I92)</x:f>
      </x:c>
      <x:c r="I1092" s="73" t="str">
        <x:f>IF('당기원장'!A92="","",'당기원장'!J92)</x:f>
      </x:c>
      <x:c r="J1092" s="73" t="str">
        <x:f>IF('당기원장'!A92="","",'당기원장'!K92)</x:f>
      </x:c>
      <x:c r="K1092" s="73" t="str">
        <x:f>IF(B1092="","",IF(COUNTIF($B$5:B1092,B1092)=1,COUNT($K$4:K1091)+1,""))</x:f>
      </x:c>
      <x:c r="L1092" s="85" t="str">
        <x:f>IF(B1092="","",IF(COUNTIFS('계정비교'!$A$5:$A$1004,B1092,'계정비교'!$H$5:$H$1004,"원인분석 대상")&gt;0,COUNT($L$4:L1091)+1,""))</x:f>
      </x:c>
    </x:row>
    <x:row r="1093">
      <x:c r="A1093" s="73" t="str">
        <x:f>IF('당기원장'!A93="","","당기")</x:f>
      </x:c>
      <x:c r="B1093" s="73" t="str">
        <x:f>IF('당기원장'!A93="","",'당기원장'!A93)</x:f>
      </x:c>
      <x:c r="C1093" s="73" t="str">
        <x:f>IF('당기원장'!A93="","",'당기원장'!B93)</x:f>
      </x:c>
      <x:c r="D1093" s="74" t="str">
        <x:f>IF('당기원장'!A93="","",'당기원장'!C93)</x:f>
      </x:c>
      <x:c r="E1093" s="73" t="str">
        <x:f>IF('당기원장'!A93="","",'당기원장'!D93)</x:f>
      </x:c>
      <x:c r="F1093" s="73" t="str">
        <x:f>IF('당기원장'!A93="","",'당기원장'!E93)</x:f>
      </x:c>
      <x:c r="G1093" s="75" t="str">
        <x:f>IF('당기원장'!A93="","",'당기원장'!H93)</x:f>
      </x:c>
      <x:c r="H1093" s="73" t="str">
        <x:f>IF('당기원장'!A93="","",'당기원장'!I93)</x:f>
      </x:c>
      <x:c r="I1093" s="73" t="str">
        <x:f>IF('당기원장'!A93="","",'당기원장'!J93)</x:f>
      </x:c>
      <x:c r="J1093" s="73" t="str">
        <x:f>IF('당기원장'!A93="","",'당기원장'!K93)</x:f>
      </x:c>
      <x:c r="K1093" s="73" t="str">
        <x:f>IF(B1093="","",IF(COUNTIF($B$5:B1093,B1093)=1,COUNT($K$4:K1092)+1,""))</x:f>
      </x:c>
      <x:c r="L1093" s="85" t="str">
        <x:f>IF(B1093="","",IF(COUNTIFS('계정비교'!$A$5:$A$1004,B1093,'계정비교'!$H$5:$H$1004,"원인분석 대상")&gt;0,COUNT($L$4:L1092)+1,""))</x:f>
      </x:c>
    </x:row>
    <x:row r="1094">
      <x:c r="A1094" s="73" t="str">
        <x:f>IF('당기원장'!A94="","","당기")</x:f>
      </x:c>
      <x:c r="B1094" s="73" t="str">
        <x:f>IF('당기원장'!A94="","",'당기원장'!A94)</x:f>
      </x:c>
      <x:c r="C1094" s="73" t="str">
        <x:f>IF('당기원장'!A94="","",'당기원장'!B94)</x:f>
      </x:c>
      <x:c r="D1094" s="74" t="str">
        <x:f>IF('당기원장'!A94="","",'당기원장'!C94)</x:f>
      </x:c>
      <x:c r="E1094" s="73" t="str">
        <x:f>IF('당기원장'!A94="","",'당기원장'!D94)</x:f>
      </x:c>
      <x:c r="F1094" s="73" t="str">
        <x:f>IF('당기원장'!A94="","",'당기원장'!E94)</x:f>
      </x:c>
      <x:c r="G1094" s="75" t="str">
        <x:f>IF('당기원장'!A94="","",'당기원장'!H94)</x:f>
      </x:c>
      <x:c r="H1094" s="73" t="str">
        <x:f>IF('당기원장'!A94="","",'당기원장'!I94)</x:f>
      </x:c>
      <x:c r="I1094" s="73" t="str">
        <x:f>IF('당기원장'!A94="","",'당기원장'!J94)</x:f>
      </x:c>
      <x:c r="J1094" s="73" t="str">
        <x:f>IF('당기원장'!A94="","",'당기원장'!K94)</x:f>
      </x:c>
      <x:c r="K1094" s="73" t="str">
        <x:f>IF(B1094="","",IF(COUNTIF($B$5:B1094,B1094)=1,COUNT($K$4:K1093)+1,""))</x:f>
      </x:c>
      <x:c r="L1094" s="85" t="str">
        <x:f>IF(B1094="","",IF(COUNTIFS('계정비교'!$A$5:$A$1004,B1094,'계정비교'!$H$5:$H$1004,"원인분석 대상")&gt;0,COUNT($L$4:L1093)+1,""))</x:f>
      </x:c>
    </x:row>
    <x:row r="1095">
      <x:c r="A1095" s="73" t="str">
        <x:f>IF('당기원장'!A95="","","당기")</x:f>
      </x:c>
      <x:c r="B1095" s="73" t="str">
        <x:f>IF('당기원장'!A95="","",'당기원장'!A95)</x:f>
      </x:c>
      <x:c r="C1095" s="73" t="str">
        <x:f>IF('당기원장'!A95="","",'당기원장'!B95)</x:f>
      </x:c>
      <x:c r="D1095" s="74" t="str">
        <x:f>IF('당기원장'!A95="","",'당기원장'!C95)</x:f>
      </x:c>
      <x:c r="E1095" s="73" t="str">
        <x:f>IF('당기원장'!A95="","",'당기원장'!D95)</x:f>
      </x:c>
      <x:c r="F1095" s="73" t="str">
        <x:f>IF('당기원장'!A95="","",'당기원장'!E95)</x:f>
      </x:c>
      <x:c r="G1095" s="75" t="str">
        <x:f>IF('당기원장'!A95="","",'당기원장'!H95)</x:f>
      </x:c>
      <x:c r="H1095" s="73" t="str">
        <x:f>IF('당기원장'!A95="","",'당기원장'!I95)</x:f>
      </x:c>
      <x:c r="I1095" s="73" t="str">
        <x:f>IF('당기원장'!A95="","",'당기원장'!J95)</x:f>
      </x:c>
      <x:c r="J1095" s="73" t="str">
        <x:f>IF('당기원장'!A95="","",'당기원장'!K95)</x:f>
      </x:c>
      <x:c r="K1095" s="73" t="str">
        <x:f>IF(B1095="","",IF(COUNTIF($B$5:B1095,B1095)=1,COUNT($K$4:K1094)+1,""))</x:f>
      </x:c>
      <x:c r="L1095" s="85" t="str">
        <x:f>IF(B1095="","",IF(COUNTIFS('계정비교'!$A$5:$A$1004,B1095,'계정비교'!$H$5:$H$1004,"원인분석 대상")&gt;0,COUNT($L$4:L1094)+1,""))</x:f>
      </x:c>
    </x:row>
    <x:row r="1096">
      <x:c r="A1096" s="73" t="str">
        <x:f>IF('당기원장'!A96="","","당기")</x:f>
      </x:c>
      <x:c r="B1096" s="73" t="str">
        <x:f>IF('당기원장'!A96="","",'당기원장'!A96)</x:f>
      </x:c>
      <x:c r="C1096" s="73" t="str">
        <x:f>IF('당기원장'!A96="","",'당기원장'!B96)</x:f>
      </x:c>
      <x:c r="D1096" s="74" t="str">
        <x:f>IF('당기원장'!A96="","",'당기원장'!C96)</x:f>
      </x:c>
      <x:c r="E1096" s="73" t="str">
        <x:f>IF('당기원장'!A96="","",'당기원장'!D96)</x:f>
      </x:c>
      <x:c r="F1096" s="73" t="str">
        <x:f>IF('당기원장'!A96="","",'당기원장'!E96)</x:f>
      </x:c>
      <x:c r="G1096" s="75" t="str">
        <x:f>IF('당기원장'!A96="","",'당기원장'!H96)</x:f>
      </x:c>
      <x:c r="H1096" s="73" t="str">
        <x:f>IF('당기원장'!A96="","",'당기원장'!I96)</x:f>
      </x:c>
      <x:c r="I1096" s="73" t="str">
        <x:f>IF('당기원장'!A96="","",'당기원장'!J96)</x:f>
      </x:c>
      <x:c r="J1096" s="73" t="str">
        <x:f>IF('당기원장'!A96="","",'당기원장'!K96)</x:f>
      </x:c>
      <x:c r="K1096" s="73" t="str">
        <x:f>IF(B1096="","",IF(COUNTIF($B$5:B1096,B1096)=1,COUNT($K$4:K1095)+1,""))</x:f>
      </x:c>
      <x:c r="L1096" s="85" t="str">
        <x:f>IF(B1096="","",IF(COUNTIFS('계정비교'!$A$5:$A$1004,B1096,'계정비교'!$H$5:$H$1004,"원인분석 대상")&gt;0,COUNT($L$4:L1095)+1,""))</x:f>
      </x:c>
    </x:row>
    <x:row r="1097">
      <x:c r="A1097" s="73" t="str">
        <x:f>IF('당기원장'!A97="","","당기")</x:f>
      </x:c>
      <x:c r="B1097" s="73" t="str">
        <x:f>IF('당기원장'!A97="","",'당기원장'!A97)</x:f>
      </x:c>
      <x:c r="C1097" s="73" t="str">
        <x:f>IF('당기원장'!A97="","",'당기원장'!B97)</x:f>
      </x:c>
      <x:c r="D1097" s="74" t="str">
        <x:f>IF('당기원장'!A97="","",'당기원장'!C97)</x:f>
      </x:c>
      <x:c r="E1097" s="73" t="str">
        <x:f>IF('당기원장'!A97="","",'당기원장'!D97)</x:f>
      </x:c>
      <x:c r="F1097" s="73" t="str">
        <x:f>IF('당기원장'!A97="","",'당기원장'!E97)</x:f>
      </x:c>
      <x:c r="G1097" s="75" t="str">
        <x:f>IF('당기원장'!A97="","",'당기원장'!H97)</x:f>
      </x:c>
      <x:c r="H1097" s="73" t="str">
        <x:f>IF('당기원장'!A97="","",'당기원장'!I97)</x:f>
      </x:c>
      <x:c r="I1097" s="73" t="str">
        <x:f>IF('당기원장'!A97="","",'당기원장'!J97)</x:f>
      </x:c>
      <x:c r="J1097" s="73" t="str">
        <x:f>IF('당기원장'!A97="","",'당기원장'!K97)</x:f>
      </x:c>
      <x:c r="K1097" s="73" t="str">
        <x:f>IF(B1097="","",IF(COUNTIF($B$5:B1097,B1097)=1,COUNT($K$4:K1096)+1,""))</x:f>
      </x:c>
      <x:c r="L1097" s="85" t="str">
        <x:f>IF(B1097="","",IF(COUNTIFS('계정비교'!$A$5:$A$1004,B1097,'계정비교'!$H$5:$H$1004,"원인분석 대상")&gt;0,COUNT($L$4:L1096)+1,""))</x:f>
      </x:c>
    </x:row>
    <x:row r="1098">
      <x:c r="A1098" s="73" t="str">
        <x:f>IF('당기원장'!A98="","","당기")</x:f>
      </x:c>
      <x:c r="B1098" s="73" t="str">
        <x:f>IF('당기원장'!A98="","",'당기원장'!A98)</x:f>
      </x:c>
      <x:c r="C1098" s="73" t="str">
        <x:f>IF('당기원장'!A98="","",'당기원장'!B98)</x:f>
      </x:c>
      <x:c r="D1098" s="74" t="str">
        <x:f>IF('당기원장'!A98="","",'당기원장'!C98)</x:f>
      </x:c>
      <x:c r="E1098" s="73" t="str">
        <x:f>IF('당기원장'!A98="","",'당기원장'!D98)</x:f>
      </x:c>
      <x:c r="F1098" s="73" t="str">
        <x:f>IF('당기원장'!A98="","",'당기원장'!E98)</x:f>
      </x:c>
      <x:c r="G1098" s="75" t="str">
        <x:f>IF('당기원장'!A98="","",'당기원장'!H98)</x:f>
      </x:c>
      <x:c r="H1098" s="73" t="str">
        <x:f>IF('당기원장'!A98="","",'당기원장'!I98)</x:f>
      </x:c>
      <x:c r="I1098" s="73" t="str">
        <x:f>IF('당기원장'!A98="","",'당기원장'!J98)</x:f>
      </x:c>
      <x:c r="J1098" s="73" t="str">
        <x:f>IF('당기원장'!A98="","",'당기원장'!K98)</x:f>
      </x:c>
      <x:c r="K1098" s="73" t="str">
        <x:f>IF(B1098="","",IF(COUNTIF($B$5:B1098,B1098)=1,COUNT($K$4:K1097)+1,""))</x:f>
      </x:c>
      <x:c r="L1098" s="85" t="str">
        <x:f>IF(B1098="","",IF(COUNTIFS('계정비교'!$A$5:$A$1004,B1098,'계정비교'!$H$5:$H$1004,"원인분석 대상")&gt;0,COUNT($L$4:L1097)+1,""))</x:f>
      </x:c>
    </x:row>
    <x:row r="1099">
      <x:c r="A1099" s="73" t="str">
        <x:f>IF('당기원장'!A99="","","당기")</x:f>
      </x:c>
      <x:c r="B1099" s="73" t="str">
        <x:f>IF('당기원장'!A99="","",'당기원장'!A99)</x:f>
      </x:c>
      <x:c r="C1099" s="73" t="str">
        <x:f>IF('당기원장'!A99="","",'당기원장'!B99)</x:f>
      </x:c>
      <x:c r="D1099" s="74" t="str">
        <x:f>IF('당기원장'!A99="","",'당기원장'!C99)</x:f>
      </x:c>
      <x:c r="E1099" s="73" t="str">
        <x:f>IF('당기원장'!A99="","",'당기원장'!D99)</x:f>
      </x:c>
      <x:c r="F1099" s="73" t="str">
        <x:f>IF('당기원장'!A99="","",'당기원장'!E99)</x:f>
      </x:c>
      <x:c r="G1099" s="75" t="str">
        <x:f>IF('당기원장'!A99="","",'당기원장'!H99)</x:f>
      </x:c>
      <x:c r="H1099" s="73" t="str">
        <x:f>IF('당기원장'!A99="","",'당기원장'!I99)</x:f>
      </x:c>
      <x:c r="I1099" s="73" t="str">
        <x:f>IF('당기원장'!A99="","",'당기원장'!J99)</x:f>
      </x:c>
      <x:c r="J1099" s="73" t="str">
        <x:f>IF('당기원장'!A99="","",'당기원장'!K99)</x:f>
      </x:c>
      <x:c r="K1099" s="73" t="str">
        <x:f>IF(B1099="","",IF(COUNTIF($B$5:B1099,B1099)=1,COUNT($K$4:K1098)+1,""))</x:f>
      </x:c>
      <x:c r="L1099" s="85" t="str">
        <x:f>IF(B1099="","",IF(COUNTIFS('계정비교'!$A$5:$A$1004,B1099,'계정비교'!$H$5:$H$1004,"원인분석 대상")&gt;0,COUNT($L$4:L1098)+1,""))</x:f>
      </x:c>
    </x:row>
    <x:row r="1100">
      <x:c r="A1100" s="73" t="str">
        <x:f>IF('당기원장'!A100="","","당기")</x:f>
      </x:c>
      <x:c r="B1100" s="73" t="str">
        <x:f>IF('당기원장'!A100="","",'당기원장'!A100)</x:f>
      </x:c>
      <x:c r="C1100" s="73" t="str">
        <x:f>IF('당기원장'!A100="","",'당기원장'!B100)</x:f>
      </x:c>
      <x:c r="D1100" s="74" t="str">
        <x:f>IF('당기원장'!A100="","",'당기원장'!C100)</x:f>
      </x:c>
      <x:c r="E1100" s="73" t="str">
        <x:f>IF('당기원장'!A100="","",'당기원장'!D100)</x:f>
      </x:c>
      <x:c r="F1100" s="73" t="str">
        <x:f>IF('당기원장'!A100="","",'당기원장'!E100)</x:f>
      </x:c>
      <x:c r="G1100" s="75" t="str">
        <x:f>IF('당기원장'!A100="","",'당기원장'!H100)</x:f>
      </x:c>
      <x:c r="H1100" s="73" t="str">
        <x:f>IF('당기원장'!A100="","",'당기원장'!I100)</x:f>
      </x:c>
      <x:c r="I1100" s="73" t="str">
        <x:f>IF('당기원장'!A100="","",'당기원장'!J100)</x:f>
      </x:c>
      <x:c r="J1100" s="73" t="str">
        <x:f>IF('당기원장'!A100="","",'당기원장'!K100)</x:f>
      </x:c>
      <x:c r="K1100" s="73" t="str">
        <x:f>IF(B1100="","",IF(COUNTIF($B$5:B1100,B1100)=1,COUNT($K$4:K1099)+1,""))</x:f>
      </x:c>
      <x:c r="L1100" s="85" t="str">
        <x:f>IF(B1100="","",IF(COUNTIFS('계정비교'!$A$5:$A$1004,B1100,'계정비교'!$H$5:$H$1004,"원인분석 대상")&gt;0,COUNT($L$4:L1099)+1,""))</x:f>
      </x:c>
    </x:row>
    <x:row r="1101">
      <x:c r="A1101" s="73" t="str">
        <x:f>IF('당기원장'!A101="","","당기")</x:f>
      </x:c>
      <x:c r="B1101" s="73" t="str">
        <x:f>IF('당기원장'!A101="","",'당기원장'!A101)</x:f>
      </x:c>
      <x:c r="C1101" s="73" t="str">
        <x:f>IF('당기원장'!A101="","",'당기원장'!B101)</x:f>
      </x:c>
      <x:c r="D1101" s="74" t="str">
        <x:f>IF('당기원장'!A101="","",'당기원장'!C101)</x:f>
      </x:c>
      <x:c r="E1101" s="73" t="str">
        <x:f>IF('당기원장'!A101="","",'당기원장'!D101)</x:f>
      </x:c>
      <x:c r="F1101" s="73" t="str">
        <x:f>IF('당기원장'!A101="","",'당기원장'!E101)</x:f>
      </x:c>
      <x:c r="G1101" s="75" t="str">
        <x:f>IF('당기원장'!A101="","",'당기원장'!H101)</x:f>
      </x:c>
      <x:c r="H1101" s="73" t="str">
        <x:f>IF('당기원장'!A101="","",'당기원장'!I101)</x:f>
      </x:c>
      <x:c r="I1101" s="73" t="str">
        <x:f>IF('당기원장'!A101="","",'당기원장'!J101)</x:f>
      </x:c>
      <x:c r="J1101" s="73" t="str">
        <x:f>IF('당기원장'!A101="","",'당기원장'!K101)</x:f>
      </x:c>
      <x:c r="K1101" s="73" t="str">
        <x:f>IF(B1101="","",IF(COUNTIF($B$5:B1101,B1101)=1,COUNT($K$4:K1100)+1,""))</x:f>
      </x:c>
      <x:c r="L1101" s="85" t="str">
        <x:f>IF(B1101="","",IF(COUNTIFS('계정비교'!$A$5:$A$1004,B1101,'계정비교'!$H$5:$H$1004,"원인분석 대상")&gt;0,COUNT($L$4:L1100)+1,""))</x:f>
      </x:c>
    </x:row>
    <x:row r="1102">
      <x:c r="A1102" s="73" t="str">
        <x:f>IF('당기원장'!A102="","","당기")</x:f>
      </x:c>
      <x:c r="B1102" s="73" t="str">
        <x:f>IF('당기원장'!A102="","",'당기원장'!A102)</x:f>
      </x:c>
      <x:c r="C1102" s="73" t="str">
        <x:f>IF('당기원장'!A102="","",'당기원장'!B102)</x:f>
      </x:c>
      <x:c r="D1102" s="74" t="str">
        <x:f>IF('당기원장'!A102="","",'당기원장'!C102)</x:f>
      </x:c>
      <x:c r="E1102" s="73" t="str">
        <x:f>IF('당기원장'!A102="","",'당기원장'!D102)</x:f>
      </x:c>
      <x:c r="F1102" s="73" t="str">
        <x:f>IF('당기원장'!A102="","",'당기원장'!E102)</x:f>
      </x:c>
      <x:c r="G1102" s="75" t="str">
        <x:f>IF('당기원장'!A102="","",'당기원장'!H102)</x:f>
      </x:c>
      <x:c r="H1102" s="73" t="str">
        <x:f>IF('당기원장'!A102="","",'당기원장'!I102)</x:f>
      </x:c>
      <x:c r="I1102" s="73" t="str">
        <x:f>IF('당기원장'!A102="","",'당기원장'!J102)</x:f>
      </x:c>
      <x:c r="J1102" s="73" t="str">
        <x:f>IF('당기원장'!A102="","",'당기원장'!K102)</x:f>
      </x:c>
      <x:c r="K1102" s="73" t="str">
        <x:f>IF(B1102="","",IF(COUNTIF($B$5:B1102,B1102)=1,COUNT($K$4:K1101)+1,""))</x:f>
      </x:c>
      <x:c r="L1102" s="85" t="str">
        <x:f>IF(B1102="","",IF(COUNTIFS('계정비교'!$A$5:$A$1004,B1102,'계정비교'!$H$5:$H$1004,"원인분석 대상")&gt;0,COUNT($L$4:L1101)+1,""))</x:f>
      </x:c>
    </x:row>
    <x:row r="1103">
      <x:c r="A1103" s="73" t="str">
        <x:f>IF('당기원장'!A103="","","당기")</x:f>
      </x:c>
      <x:c r="B1103" s="73" t="str">
        <x:f>IF('당기원장'!A103="","",'당기원장'!A103)</x:f>
      </x:c>
      <x:c r="C1103" s="73" t="str">
        <x:f>IF('당기원장'!A103="","",'당기원장'!B103)</x:f>
      </x:c>
      <x:c r="D1103" s="74" t="str">
        <x:f>IF('당기원장'!A103="","",'당기원장'!C103)</x:f>
      </x:c>
      <x:c r="E1103" s="73" t="str">
        <x:f>IF('당기원장'!A103="","",'당기원장'!D103)</x:f>
      </x:c>
      <x:c r="F1103" s="73" t="str">
        <x:f>IF('당기원장'!A103="","",'당기원장'!E103)</x:f>
      </x:c>
      <x:c r="G1103" s="75" t="str">
        <x:f>IF('당기원장'!A103="","",'당기원장'!H103)</x:f>
      </x:c>
      <x:c r="H1103" s="73" t="str">
        <x:f>IF('당기원장'!A103="","",'당기원장'!I103)</x:f>
      </x:c>
      <x:c r="I1103" s="73" t="str">
        <x:f>IF('당기원장'!A103="","",'당기원장'!J103)</x:f>
      </x:c>
      <x:c r="J1103" s="73" t="str">
        <x:f>IF('당기원장'!A103="","",'당기원장'!K103)</x:f>
      </x:c>
      <x:c r="K1103" s="73" t="str">
        <x:f>IF(B1103="","",IF(COUNTIF($B$5:B1103,B1103)=1,COUNT($K$4:K1102)+1,""))</x:f>
      </x:c>
      <x:c r="L1103" s="85" t="str">
        <x:f>IF(B1103="","",IF(COUNTIFS('계정비교'!$A$5:$A$1004,B1103,'계정비교'!$H$5:$H$1004,"원인분석 대상")&gt;0,COUNT($L$4:L1102)+1,""))</x:f>
      </x:c>
    </x:row>
    <x:row r="1104">
      <x:c r="A1104" s="73" t="str">
        <x:f>IF('당기원장'!A104="","","당기")</x:f>
      </x:c>
      <x:c r="B1104" s="73" t="str">
        <x:f>IF('당기원장'!A104="","",'당기원장'!A104)</x:f>
      </x:c>
      <x:c r="C1104" s="73" t="str">
        <x:f>IF('당기원장'!A104="","",'당기원장'!B104)</x:f>
      </x:c>
      <x:c r="D1104" s="74" t="str">
        <x:f>IF('당기원장'!A104="","",'당기원장'!C104)</x:f>
      </x:c>
      <x:c r="E1104" s="73" t="str">
        <x:f>IF('당기원장'!A104="","",'당기원장'!D104)</x:f>
      </x:c>
      <x:c r="F1104" s="73" t="str">
        <x:f>IF('당기원장'!A104="","",'당기원장'!E104)</x:f>
      </x:c>
      <x:c r="G1104" s="75" t="str">
        <x:f>IF('당기원장'!A104="","",'당기원장'!H104)</x:f>
      </x:c>
      <x:c r="H1104" s="73" t="str">
        <x:f>IF('당기원장'!A104="","",'당기원장'!I104)</x:f>
      </x:c>
      <x:c r="I1104" s="73" t="str">
        <x:f>IF('당기원장'!A104="","",'당기원장'!J104)</x:f>
      </x:c>
      <x:c r="J1104" s="73" t="str">
        <x:f>IF('당기원장'!A104="","",'당기원장'!K104)</x:f>
      </x:c>
      <x:c r="K1104" s="73" t="str">
        <x:f>IF(B1104="","",IF(COUNTIF($B$5:B1104,B1104)=1,COUNT($K$4:K1103)+1,""))</x:f>
      </x:c>
      <x:c r="L1104" s="85" t="str">
        <x:f>IF(B1104="","",IF(COUNTIFS('계정비교'!$A$5:$A$1004,B1104,'계정비교'!$H$5:$H$1004,"원인분석 대상")&gt;0,COUNT($L$4:L1103)+1,""))</x:f>
      </x:c>
    </x:row>
    <x:row r="1105">
      <x:c r="A1105" s="73" t="str">
        <x:f>IF('당기원장'!A105="","","당기")</x:f>
      </x:c>
      <x:c r="B1105" s="73" t="str">
        <x:f>IF('당기원장'!A105="","",'당기원장'!A105)</x:f>
      </x:c>
      <x:c r="C1105" s="73" t="str">
        <x:f>IF('당기원장'!A105="","",'당기원장'!B105)</x:f>
      </x:c>
      <x:c r="D1105" s="74" t="str">
        <x:f>IF('당기원장'!A105="","",'당기원장'!C105)</x:f>
      </x:c>
      <x:c r="E1105" s="73" t="str">
        <x:f>IF('당기원장'!A105="","",'당기원장'!D105)</x:f>
      </x:c>
      <x:c r="F1105" s="73" t="str">
        <x:f>IF('당기원장'!A105="","",'당기원장'!E105)</x:f>
      </x:c>
      <x:c r="G1105" s="75" t="str">
        <x:f>IF('당기원장'!A105="","",'당기원장'!H105)</x:f>
      </x:c>
      <x:c r="H1105" s="73" t="str">
        <x:f>IF('당기원장'!A105="","",'당기원장'!I105)</x:f>
      </x:c>
      <x:c r="I1105" s="73" t="str">
        <x:f>IF('당기원장'!A105="","",'당기원장'!J105)</x:f>
      </x:c>
      <x:c r="J1105" s="73" t="str">
        <x:f>IF('당기원장'!A105="","",'당기원장'!K105)</x:f>
      </x:c>
      <x:c r="K1105" s="73" t="str">
        <x:f>IF(B1105="","",IF(COUNTIF($B$5:B1105,B1105)=1,COUNT($K$4:K1104)+1,""))</x:f>
      </x:c>
      <x:c r="L1105" s="85" t="str">
        <x:f>IF(B1105="","",IF(COUNTIFS('계정비교'!$A$5:$A$1004,B1105,'계정비교'!$H$5:$H$1004,"원인분석 대상")&gt;0,COUNT($L$4:L1104)+1,""))</x:f>
      </x:c>
    </x:row>
    <x:row r="1106">
      <x:c r="A1106" s="73" t="str">
        <x:f>IF('당기원장'!A106="","","당기")</x:f>
      </x:c>
      <x:c r="B1106" s="73" t="str">
        <x:f>IF('당기원장'!A106="","",'당기원장'!A106)</x:f>
      </x:c>
      <x:c r="C1106" s="73" t="str">
        <x:f>IF('당기원장'!A106="","",'당기원장'!B106)</x:f>
      </x:c>
      <x:c r="D1106" s="74" t="str">
        <x:f>IF('당기원장'!A106="","",'당기원장'!C106)</x:f>
      </x:c>
      <x:c r="E1106" s="73" t="str">
        <x:f>IF('당기원장'!A106="","",'당기원장'!D106)</x:f>
      </x:c>
      <x:c r="F1106" s="73" t="str">
        <x:f>IF('당기원장'!A106="","",'당기원장'!E106)</x:f>
      </x:c>
      <x:c r="G1106" s="75" t="str">
        <x:f>IF('당기원장'!A106="","",'당기원장'!H106)</x:f>
      </x:c>
      <x:c r="H1106" s="73" t="str">
        <x:f>IF('당기원장'!A106="","",'당기원장'!I106)</x:f>
      </x:c>
      <x:c r="I1106" s="73" t="str">
        <x:f>IF('당기원장'!A106="","",'당기원장'!J106)</x:f>
      </x:c>
      <x:c r="J1106" s="73" t="str">
        <x:f>IF('당기원장'!A106="","",'당기원장'!K106)</x:f>
      </x:c>
      <x:c r="K1106" s="73" t="str">
        <x:f>IF(B1106="","",IF(COUNTIF($B$5:B1106,B1106)=1,COUNT($K$4:K1105)+1,""))</x:f>
      </x:c>
      <x:c r="L1106" s="85" t="str">
        <x:f>IF(B1106="","",IF(COUNTIFS('계정비교'!$A$5:$A$1004,B1106,'계정비교'!$H$5:$H$1004,"원인분석 대상")&gt;0,COUNT($L$4:L1105)+1,""))</x:f>
      </x:c>
    </x:row>
    <x:row r="1107">
      <x:c r="A1107" s="73" t="str">
        <x:f>IF('당기원장'!A107="","","당기")</x:f>
      </x:c>
      <x:c r="B1107" s="73" t="str">
        <x:f>IF('당기원장'!A107="","",'당기원장'!A107)</x:f>
      </x:c>
      <x:c r="C1107" s="73" t="str">
        <x:f>IF('당기원장'!A107="","",'당기원장'!B107)</x:f>
      </x:c>
      <x:c r="D1107" s="74" t="str">
        <x:f>IF('당기원장'!A107="","",'당기원장'!C107)</x:f>
      </x:c>
      <x:c r="E1107" s="73" t="str">
        <x:f>IF('당기원장'!A107="","",'당기원장'!D107)</x:f>
      </x:c>
      <x:c r="F1107" s="73" t="str">
        <x:f>IF('당기원장'!A107="","",'당기원장'!E107)</x:f>
      </x:c>
      <x:c r="G1107" s="75" t="str">
        <x:f>IF('당기원장'!A107="","",'당기원장'!H107)</x:f>
      </x:c>
      <x:c r="H1107" s="73" t="str">
        <x:f>IF('당기원장'!A107="","",'당기원장'!I107)</x:f>
      </x:c>
      <x:c r="I1107" s="73" t="str">
        <x:f>IF('당기원장'!A107="","",'당기원장'!J107)</x:f>
      </x:c>
      <x:c r="J1107" s="73" t="str">
        <x:f>IF('당기원장'!A107="","",'당기원장'!K107)</x:f>
      </x:c>
      <x:c r="K1107" s="73" t="str">
        <x:f>IF(B1107="","",IF(COUNTIF($B$5:B1107,B1107)=1,COUNT($K$4:K1106)+1,""))</x:f>
      </x:c>
      <x:c r="L1107" s="85" t="str">
        <x:f>IF(B1107="","",IF(COUNTIFS('계정비교'!$A$5:$A$1004,B1107,'계정비교'!$H$5:$H$1004,"원인분석 대상")&gt;0,COUNT($L$4:L1106)+1,""))</x:f>
      </x:c>
    </x:row>
    <x:row r="1108">
      <x:c r="A1108" s="73" t="str">
        <x:f>IF('당기원장'!A108="","","당기")</x:f>
      </x:c>
      <x:c r="B1108" s="73" t="str">
        <x:f>IF('당기원장'!A108="","",'당기원장'!A108)</x:f>
      </x:c>
      <x:c r="C1108" s="73" t="str">
        <x:f>IF('당기원장'!A108="","",'당기원장'!B108)</x:f>
      </x:c>
      <x:c r="D1108" s="74" t="str">
        <x:f>IF('당기원장'!A108="","",'당기원장'!C108)</x:f>
      </x:c>
      <x:c r="E1108" s="73" t="str">
        <x:f>IF('당기원장'!A108="","",'당기원장'!D108)</x:f>
      </x:c>
      <x:c r="F1108" s="73" t="str">
        <x:f>IF('당기원장'!A108="","",'당기원장'!E108)</x:f>
      </x:c>
      <x:c r="G1108" s="75" t="str">
        <x:f>IF('당기원장'!A108="","",'당기원장'!H108)</x:f>
      </x:c>
      <x:c r="H1108" s="73" t="str">
        <x:f>IF('당기원장'!A108="","",'당기원장'!I108)</x:f>
      </x:c>
      <x:c r="I1108" s="73" t="str">
        <x:f>IF('당기원장'!A108="","",'당기원장'!J108)</x:f>
      </x:c>
      <x:c r="J1108" s="73" t="str">
        <x:f>IF('당기원장'!A108="","",'당기원장'!K108)</x:f>
      </x:c>
      <x:c r="K1108" s="73" t="str">
        <x:f>IF(B1108="","",IF(COUNTIF($B$5:B1108,B1108)=1,COUNT($K$4:K1107)+1,""))</x:f>
      </x:c>
      <x:c r="L1108" s="85" t="str">
        <x:f>IF(B1108="","",IF(COUNTIFS('계정비교'!$A$5:$A$1004,B1108,'계정비교'!$H$5:$H$1004,"원인분석 대상")&gt;0,COUNT($L$4:L1107)+1,""))</x:f>
      </x:c>
    </x:row>
    <x:row r="1109">
      <x:c r="A1109" s="73" t="str">
        <x:f>IF('당기원장'!A109="","","당기")</x:f>
      </x:c>
      <x:c r="B1109" s="73" t="str">
        <x:f>IF('당기원장'!A109="","",'당기원장'!A109)</x:f>
      </x:c>
      <x:c r="C1109" s="73" t="str">
        <x:f>IF('당기원장'!A109="","",'당기원장'!B109)</x:f>
      </x:c>
      <x:c r="D1109" s="74" t="str">
        <x:f>IF('당기원장'!A109="","",'당기원장'!C109)</x:f>
      </x:c>
      <x:c r="E1109" s="73" t="str">
        <x:f>IF('당기원장'!A109="","",'당기원장'!D109)</x:f>
      </x:c>
      <x:c r="F1109" s="73" t="str">
        <x:f>IF('당기원장'!A109="","",'당기원장'!E109)</x:f>
      </x:c>
      <x:c r="G1109" s="75" t="str">
        <x:f>IF('당기원장'!A109="","",'당기원장'!H109)</x:f>
      </x:c>
      <x:c r="H1109" s="73" t="str">
        <x:f>IF('당기원장'!A109="","",'당기원장'!I109)</x:f>
      </x:c>
      <x:c r="I1109" s="73" t="str">
        <x:f>IF('당기원장'!A109="","",'당기원장'!J109)</x:f>
      </x:c>
      <x:c r="J1109" s="73" t="str">
        <x:f>IF('당기원장'!A109="","",'당기원장'!K109)</x:f>
      </x:c>
      <x:c r="K1109" s="73" t="str">
        <x:f>IF(B1109="","",IF(COUNTIF($B$5:B1109,B1109)=1,COUNT($K$4:K1108)+1,""))</x:f>
      </x:c>
      <x:c r="L1109" s="85" t="str">
        <x:f>IF(B1109="","",IF(COUNTIFS('계정비교'!$A$5:$A$1004,B1109,'계정비교'!$H$5:$H$1004,"원인분석 대상")&gt;0,COUNT($L$4:L1108)+1,""))</x:f>
      </x:c>
    </x:row>
    <x:row r="1110">
      <x:c r="A1110" s="73" t="str">
        <x:f>IF('당기원장'!A110="","","당기")</x:f>
      </x:c>
      <x:c r="B1110" s="73" t="str">
        <x:f>IF('당기원장'!A110="","",'당기원장'!A110)</x:f>
      </x:c>
      <x:c r="C1110" s="73" t="str">
        <x:f>IF('당기원장'!A110="","",'당기원장'!B110)</x:f>
      </x:c>
      <x:c r="D1110" s="74" t="str">
        <x:f>IF('당기원장'!A110="","",'당기원장'!C110)</x:f>
      </x:c>
      <x:c r="E1110" s="73" t="str">
        <x:f>IF('당기원장'!A110="","",'당기원장'!D110)</x:f>
      </x:c>
      <x:c r="F1110" s="73" t="str">
        <x:f>IF('당기원장'!A110="","",'당기원장'!E110)</x:f>
      </x:c>
      <x:c r="G1110" s="75" t="str">
        <x:f>IF('당기원장'!A110="","",'당기원장'!H110)</x:f>
      </x:c>
      <x:c r="H1110" s="73" t="str">
        <x:f>IF('당기원장'!A110="","",'당기원장'!I110)</x:f>
      </x:c>
      <x:c r="I1110" s="73" t="str">
        <x:f>IF('당기원장'!A110="","",'당기원장'!J110)</x:f>
      </x:c>
      <x:c r="J1110" s="73" t="str">
        <x:f>IF('당기원장'!A110="","",'당기원장'!K110)</x:f>
      </x:c>
      <x:c r="K1110" s="73" t="str">
        <x:f>IF(B1110="","",IF(COUNTIF($B$5:B1110,B1110)=1,COUNT($K$4:K1109)+1,""))</x:f>
      </x:c>
      <x:c r="L1110" s="85" t="str">
        <x:f>IF(B1110="","",IF(COUNTIFS('계정비교'!$A$5:$A$1004,B1110,'계정비교'!$H$5:$H$1004,"원인분석 대상")&gt;0,COUNT($L$4:L1109)+1,""))</x:f>
      </x:c>
    </x:row>
    <x:row r="1111">
      <x:c r="A1111" s="73" t="str">
        <x:f>IF('당기원장'!A111="","","당기")</x:f>
      </x:c>
      <x:c r="B1111" s="73" t="str">
        <x:f>IF('당기원장'!A111="","",'당기원장'!A111)</x:f>
      </x:c>
      <x:c r="C1111" s="73" t="str">
        <x:f>IF('당기원장'!A111="","",'당기원장'!B111)</x:f>
      </x:c>
      <x:c r="D1111" s="74" t="str">
        <x:f>IF('당기원장'!A111="","",'당기원장'!C111)</x:f>
      </x:c>
      <x:c r="E1111" s="73" t="str">
        <x:f>IF('당기원장'!A111="","",'당기원장'!D111)</x:f>
      </x:c>
      <x:c r="F1111" s="73" t="str">
        <x:f>IF('당기원장'!A111="","",'당기원장'!E111)</x:f>
      </x:c>
      <x:c r="G1111" s="75" t="str">
        <x:f>IF('당기원장'!A111="","",'당기원장'!H111)</x:f>
      </x:c>
      <x:c r="H1111" s="73" t="str">
        <x:f>IF('당기원장'!A111="","",'당기원장'!I111)</x:f>
      </x:c>
      <x:c r="I1111" s="73" t="str">
        <x:f>IF('당기원장'!A111="","",'당기원장'!J111)</x:f>
      </x:c>
      <x:c r="J1111" s="73" t="str">
        <x:f>IF('당기원장'!A111="","",'당기원장'!K111)</x:f>
      </x:c>
      <x:c r="K1111" s="73" t="str">
        <x:f>IF(B1111="","",IF(COUNTIF($B$5:B1111,B1111)=1,COUNT($K$4:K1110)+1,""))</x:f>
      </x:c>
      <x:c r="L1111" s="85" t="str">
        <x:f>IF(B1111="","",IF(COUNTIFS('계정비교'!$A$5:$A$1004,B1111,'계정비교'!$H$5:$H$1004,"원인분석 대상")&gt;0,COUNT($L$4:L1110)+1,""))</x:f>
      </x:c>
    </x:row>
    <x:row r="1112">
      <x:c r="A1112" s="73" t="str">
        <x:f>IF('당기원장'!A112="","","당기")</x:f>
      </x:c>
      <x:c r="B1112" s="73" t="str">
        <x:f>IF('당기원장'!A112="","",'당기원장'!A112)</x:f>
      </x:c>
      <x:c r="C1112" s="73" t="str">
        <x:f>IF('당기원장'!A112="","",'당기원장'!B112)</x:f>
      </x:c>
      <x:c r="D1112" s="74" t="str">
        <x:f>IF('당기원장'!A112="","",'당기원장'!C112)</x:f>
      </x:c>
      <x:c r="E1112" s="73" t="str">
        <x:f>IF('당기원장'!A112="","",'당기원장'!D112)</x:f>
      </x:c>
      <x:c r="F1112" s="73" t="str">
        <x:f>IF('당기원장'!A112="","",'당기원장'!E112)</x:f>
      </x:c>
      <x:c r="G1112" s="75" t="str">
        <x:f>IF('당기원장'!A112="","",'당기원장'!H112)</x:f>
      </x:c>
      <x:c r="H1112" s="73" t="str">
        <x:f>IF('당기원장'!A112="","",'당기원장'!I112)</x:f>
      </x:c>
      <x:c r="I1112" s="73" t="str">
        <x:f>IF('당기원장'!A112="","",'당기원장'!J112)</x:f>
      </x:c>
      <x:c r="J1112" s="73" t="str">
        <x:f>IF('당기원장'!A112="","",'당기원장'!K112)</x:f>
      </x:c>
      <x:c r="K1112" s="73" t="str">
        <x:f>IF(B1112="","",IF(COUNTIF($B$5:B1112,B1112)=1,COUNT($K$4:K1111)+1,""))</x:f>
      </x:c>
      <x:c r="L1112" s="85" t="str">
        <x:f>IF(B1112="","",IF(COUNTIFS('계정비교'!$A$5:$A$1004,B1112,'계정비교'!$H$5:$H$1004,"원인분석 대상")&gt;0,COUNT($L$4:L1111)+1,""))</x:f>
      </x:c>
    </x:row>
    <x:row r="1113">
      <x:c r="A1113" s="73" t="str">
        <x:f>IF('당기원장'!A113="","","당기")</x:f>
      </x:c>
      <x:c r="B1113" s="73" t="str">
        <x:f>IF('당기원장'!A113="","",'당기원장'!A113)</x:f>
      </x:c>
      <x:c r="C1113" s="73" t="str">
        <x:f>IF('당기원장'!A113="","",'당기원장'!B113)</x:f>
      </x:c>
      <x:c r="D1113" s="74" t="str">
        <x:f>IF('당기원장'!A113="","",'당기원장'!C113)</x:f>
      </x:c>
      <x:c r="E1113" s="73" t="str">
        <x:f>IF('당기원장'!A113="","",'당기원장'!D113)</x:f>
      </x:c>
      <x:c r="F1113" s="73" t="str">
        <x:f>IF('당기원장'!A113="","",'당기원장'!E113)</x:f>
      </x:c>
      <x:c r="G1113" s="75" t="str">
        <x:f>IF('당기원장'!A113="","",'당기원장'!H113)</x:f>
      </x:c>
      <x:c r="H1113" s="73" t="str">
        <x:f>IF('당기원장'!A113="","",'당기원장'!I113)</x:f>
      </x:c>
      <x:c r="I1113" s="73" t="str">
        <x:f>IF('당기원장'!A113="","",'당기원장'!J113)</x:f>
      </x:c>
      <x:c r="J1113" s="73" t="str">
        <x:f>IF('당기원장'!A113="","",'당기원장'!K113)</x:f>
      </x:c>
      <x:c r="K1113" s="73" t="str">
        <x:f>IF(B1113="","",IF(COUNTIF($B$5:B1113,B1113)=1,COUNT($K$4:K1112)+1,""))</x:f>
      </x:c>
      <x:c r="L1113" s="85" t="str">
        <x:f>IF(B1113="","",IF(COUNTIFS('계정비교'!$A$5:$A$1004,B1113,'계정비교'!$H$5:$H$1004,"원인분석 대상")&gt;0,COUNT($L$4:L1112)+1,""))</x:f>
      </x:c>
    </x:row>
    <x:row r="1114">
      <x:c r="A1114" s="73" t="str">
        <x:f>IF('당기원장'!A114="","","당기")</x:f>
      </x:c>
      <x:c r="B1114" s="73" t="str">
        <x:f>IF('당기원장'!A114="","",'당기원장'!A114)</x:f>
      </x:c>
      <x:c r="C1114" s="73" t="str">
        <x:f>IF('당기원장'!A114="","",'당기원장'!B114)</x:f>
      </x:c>
      <x:c r="D1114" s="74" t="str">
        <x:f>IF('당기원장'!A114="","",'당기원장'!C114)</x:f>
      </x:c>
      <x:c r="E1114" s="73" t="str">
        <x:f>IF('당기원장'!A114="","",'당기원장'!D114)</x:f>
      </x:c>
      <x:c r="F1114" s="73" t="str">
        <x:f>IF('당기원장'!A114="","",'당기원장'!E114)</x:f>
      </x:c>
      <x:c r="G1114" s="75" t="str">
        <x:f>IF('당기원장'!A114="","",'당기원장'!H114)</x:f>
      </x:c>
      <x:c r="H1114" s="73" t="str">
        <x:f>IF('당기원장'!A114="","",'당기원장'!I114)</x:f>
      </x:c>
      <x:c r="I1114" s="73" t="str">
        <x:f>IF('당기원장'!A114="","",'당기원장'!J114)</x:f>
      </x:c>
      <x:c r="J1114" s="73" t="str">
        <x:f>IF('당기원장'!A114="","",'당기원장'!K114)</x:f>
      </x:c>
      <x:c r="K1114" s="73" t="str">
        <x:f>IF(B1114="","",IF(COUNTIF($B$5:B1114,B1114)=1,COUNT($K$4:K1113)+1,""))</x:f>
      </x:c>
      <x:c r="L1114" s="85" t="str">
        <x:f>IF(B1114="","",IF(COUNTIFS('계정비교'!$A$5:$A$1004,B1114,'계정비교'!$H$5:$H$1004,"원인분석 대상")&gt;0,COUNT($L$4:L1113)+1,""))</x:f>
      </x:c>
    </x:row>
    <x:row r="1115">
      <x:c r="A1115" s="73" t="str">
        <x:f>IF('당기원장'!A115="","","당기")</x:f>
      </x:c>
      <x:c r="B1115" s="73" t="str">
        <x:f>IF('당기원장'!A115="","",'당기원장'!A115)</x:f>
      </x:c>
      <x:c r="C1115" s="73" t="str">
        <x:f>IF('당기원장'!A115="","",'당기원장'!B115)</x:f>
      </x:c>
      <x:c r="D1115" s="74" t="str">
        <x:f>IF('당기원장'!A115="","",'당기원장'!C115)</x:f>
      </x:c>
      <x:c r="E1115" s="73" t="str">
        <x:f>IF('당기원장'!A115="","",'당기원장'!D115)</x:f>
      </x:c>
      <x:c r="F1115" s="73" t="str">
        <x:f>IF('당기원장'!A115="","",'당기원장'!E115)</x:f>
      </x:c>
      <x:c r="G1115" s="75" t="str">
        <x:f>IF('당기원장'!A115="","",'당기원장'!H115)</x:f>
      </x:c>
      <x:c r="H1115" s="73" t="str">
        <x:f>IF('당기원장'!A115="","",'당기원장'!I115)</x:f>
      </x:c>
      <x:c r="I1115" s="73" t="str">
        <x:f>IF('당기원장'!A115="","",'당기원장'!J115)</x:f>
      </x:c>
      <x:c r="J1115" s="73" t="str">
        <x:f>IF('당기원장'!A115="","",'당기원장'!K115)</x:f>
      </x:c>
      <x:c r="K1115" s="73" t="str">
        <x:f>IF(B1115="","",IF(COUNTIF($B$5:B1115,B1115)=1,COUNT($K$4:K1114)+1,""))</x:f>
      </x:c>
      <x:c r="L1115" s="85" t="str">
        <x:f>IF(B1115="","",IF(COUNTIFS('계정비교'!$A$5:$A$1004,B1115,'계정비교'!$H$5:$H$1004,"원인분석 대상")&gt;0,COUNT($L$4:L1114)+1,""))</x:f>
      </x:c>
    </x:row>
    <x:row r="1116">
      <x:c r="A1116" s="73" t="str">
        <x:f>IF('당기원장'!A116="","","당기")</x:f>
      </x:c>
      <x:c r="B1116" s="73" t="str">
        <x:f>IF('당기원장'!A116="","",'당기원장'!A116)</x:f>
      </x:c>
      <x:c r="C1116" s="73" t="str">
        <x:f>IF('당기원장'!A116="","",'당기원장'!B116)</x:f>
      </x:c>
      <x:c r="D1116" s="74" t="str">
        <x:f>IF('당기원장'!A116="","",'당기원장'!C116)</x:f>
      </x:c>
      <x:c r="E1116" s="73" t="str">
        <x:f>IF('당기원장'!A116="","",'당기원장'!D116)</x:f>
      </x:c>
      <x:c r="F1116" s="73" t="str">
        <x:f>IF('당기원장'!A116="","",'당기원장'!E116)</x:f>
      </x:c>
      <x:c r="G1116" s="75" t="str">
        <x:f>IF('당기원장'!A116="","",'당기원장'!H116)</x:f>
      </x:c>
      <x:c r="H1116" s="73" t="str">
        <x:f>IF('당기원장'!A116="","",'당기원장'!I116)</x:f>
      </x:c>
      <x:c r="I1116" s="73" t="str">
        <x:f>IF('당기원장'!A116="","",'당기원장'!J116)</x:f>
      </x:c>
      <x:c r="J1116" s="73" t="str">
        <x:f>IF('당기원장'!A116="","",'당기원장'!K116)</x:f>
      </x:c>
      <x:c r="K1116" s="73" t="str">
        <x:f>IF(B1116="","",IF(COUNTIF($B$5:B1116,B1116)=1,COUNT($K$4:K1115)+1,""))</x:f>
      </x:c>
      <x:c r="L1116" s="85" t="str">
        <x:f>IF(B1116="","",IF(COUNTIFS('계정비교'!$A$5:$A$1004,B1116,'계정비교'!$H$5:$H$1004,"원인분석 대상")&gt;0,COUNT($L$4:L1115)+1,""))</x:f>
      </x:c>
    </x:row>
    <x:row r="1117">
      <x:c r="A1117" s="73" t="str">
        <x:f>IF('당기원장'!A117="","","당기")</x:f>
      </x:c>
      <x:c r="B1117" s="73" t="str">
        <x:f>IF('당기원장'!A117="","",'당기원장'!A117)</x:f>
      </x:c>
      <x:c r="C1117" s="73" t="str">
        <x:f>IF('당기원장'!A117="","",'당기원장'!B117)</x:f>
      </x:c>
      <x:c r="D1117" s="74" t="str">
        <x:f>IF('당기원장'!A117="","",'당기원장'!C117)</x:f>
      </x:c>
      <x:c r="E1117" s="73" t="str">
        <x:f>IF('당기원장'!A117="","",'당기원장'!D117)</x:f>
      </x:c>
      <x:c r="F1117" s="73" t="str">
        <x:f>IF('당기원장'!A117="","",'당기원장'!E117)</x:f>
      </x:c>
      <x:c r="G1117" s="75" t="str">
        <x:f>IF('당기원장'!A117="","",'당기원장'!H117)</x:f>
      </x:c>
      <x:c r="H1117" s="73" t="str">
        <x:f>IF('당기원장'!A117="","",'당기원장'!I117)</x:f>
      </x:c>
      <x:c r="I1117" s="73" t="str">
        <x:f>IF('당기원장'!A117="","",'당기원장'!J117)</x:f>
      </x:c>
      <x:c r="J1117" s="73" t="str">
        <x:f>IF('당기원장'!A117="","",'당기원장'!K117)</x:f>
      </x:c>
      <x:c r="K1117" s="73" t="str">
        <x:f>IF(B1117="","",IF(COUNTIF($B$5:B1117,B1117)=1,COUNT($K$4:K1116)+1,""))</x:f>
      </x:c>
      <x:c r="L1117" s="85" t="str">
        <x:f>IF(B1117="","",IF(COUNTIFS('계정비교'!$A$5:$A$1004,B1117,'계정비교'!$H$5:$H$1004,"원인분석 대상")&gt;0,COUNT($L$4:L1116)+1,""))</x:f>
      </x:c>
    </x:row>
    <x:row r="1118">
      <x:c r="A1118" s="73" t="str">
        <x:f>IF('당기원장'!A118="","","당기")</x:f>
      </x:c>
      <x:c r="B1118" s="73" t="str">
        <x:f>IF('당기원장'!A118="","",'당기원장'!A118)</x:f>
      </x:c>
      <x:c r="C1118" s="73" t="str">
        <x:f>IF('당기원장'!A118="","",'당기원장'!B118)</x:f>
      </x:c>
      <x:c r="D1118" s="74" t="str">
        <x:f>IF('당기원장'!A118="","",'당기원장'!C118)</x:f>
      </x:c>
      <x:c r="E1118" s="73" t="str">
        <x:f>IF('당기원장'!A118="","",'당기원장'!D118)</x:f>
      </x:c>
      <x:c r="F1118" s="73" t="str">
        <x:f>IF('당기원장'!A118="","",'당기원장'!E118)</x:f>
      </x:c>
      <x:c r="G1118" s="75" t="str">
        <x:f>IF('당기원장'!A118="","",'당기원장'!H118)</x:f>
      </x:c>
      <x:c r="H1118" s="73" t="str">
        <x:f>IF('당기원장'!A118="","",'당기원장'!I118)</x:f>
      </x:c>
      <x:c r="I1118" s="73" t="str">
        <x:f>IF('당기원장'!A118="","",'당기원장'!J118)</x:f>
      </x:c>
      <x:c r="J1118" s="73" t="str">
        <x:f>IF('당기원장'!A118="","",'당기원장'!K118)</x:f>
      </x:c>
      <x:c r="K1118" s="73" t="str">
        <x:f>IF(B1118="","",IF(COUNTIF($B$5:B1118,B1118)=1,COUNT($K$4:K1117)+1,""))</x:f>
      </x:c>
      <x:c r="L1118" s="85" t="str">
        <x:f>IF(B1118="","",IF(COUNTIFS('계정비교'!$A$5:$A$1004,B1118,'계정비교'!$H$5:$H$1004,"원인분석 대상")&gt;0,COUNT($L$4:L1117)+1,""))</x:f>
      </x:c>
    </x:row>
    <x:row r="1119">
      <x:c r="A1119" s="73" t="str">
        <x:f>IF('당기원장'!A119="","","당기")</x:f>
      </x:c>
      <x:c r="B1119" s="73" t="str">
        <x:f>IF('당기원장'!A119="","",'당기원장'!A119)</x:f>
      </x:c>
      <x:c r="C1119" s="73" t="str">
        <x:f>IF('당기원장'!A119="","",'당기원장'!B119)</x:f>
      </x:c>
      <x:c r="D1119" s="74" t="str">
        <x:f>IF('당기원장'!A119="","",'당기원장'!C119)</x:f>
      </x:c>
      <x:c r="E1119" s="73" t="str">
        <x:f>IF('당기원장'!A119="","",'당기원장'!D119)</x:f>
      </x:c>
      <x:c r="F1119" s="73" t="str">
        <x:f>IF('당기원장'!A119="","",'당기원장'!E119)</x:f>
      </x:c>
      <x:c r="G1119" s="75" t="str">
        <x:f>IF('당기원장'!A119="","",'당기원장'!H119)</x:f>
      </x:c>
      <x:c r="H1119" s="73" t="str">
        <x:f>IF('당기원장'!A119="","",'당기원장'!I119)</x:f>
      </x:c>
      <x:c r="I1119" s="73" t="str">
        <x:f>IF('당기원장'!A119="","",'당기원장'!J119)</x:f>
      </x:c>
      <x:c r="J1119" s="73" t="str">
        <x:f>IF('당기원장'!A119="","",'당기원장'!K119)</x:f>
      </x:c>
      <x:c r="K1119" s="73" t="str">
        <x:f>IF(B1119="","",IF(COUNTIF($B$5:B1119,B1119)=1,COUNT($K$4:K1118)+1,""))</x:f>
      </x:c>
      <x:c r="L1119" s="85" t="str">
        <x:f>IF(B1119="","",IF(COUNTIFS('계정비교'!$A$5:$A$1004,B1119,'계정비교'!$H$5:$H$1004,"원인분석 대상")&gt;0,COUNT($L$4:L1118)+1,""))</x:f>
      </x:c>
    </x:row>
    <x:row r="1120">
      <x:c r="A1120" s="73" t="str">
        <x:f>IF('당기원장'!A120="","","당기")</x:f>
      </x:c>
      <x:c r="B1120" s="73" t="str">
        <x:f>IF('당기원장'!A120="","",'당기원장'!A120)</x:f>
      </x:c>
      <x:c r="C1120" s="73" t="str">
        <x:f>IF('당기원장'!A120="","",'당기원장'!B120)</x:f>
      </x:c>
      <x:c r="D1120" s="74" t="str">
        <x:f>IF('당기원장'!A120="","",'당기원장'!C120)</x:f>
      </x:c>
      <x:c r="E1120" s="73" t="str">
        <x:f>IF('당기원장'!A120="","",'당기원장'!D120)</x:f>
      </x:c>
      <x:c r="F1120" s="73" t="str">
        <x:f>IF('당기원장'!A120="","",'당기원장'!E120)</x:f>
      </x:c>
      <x:c r="G1120" s="75" t="str">
        <x:f>IF('당기원장'!A120="","",'당기원장'!H120)</x:f>
      </x:c>
      <x:c r="H1120" s="73" t="str">
        <x:f>IF('당기원장'!A120="","",'당기원장'!I120)</x:f>
      </x:c>
      <x:c r="I1120" s="73" t="str">
        <x:f>IF('당기원장'!A120="","",'당기원장'!J120)</x:f>
      </x:c>
      <x:c r="J1120" s="73" t="str">
        <x:f>IF('당기원장'!A120="","",'당기원장'!K120)</x:f>
      </x:c>
      <x:c r="K1120" s="73" t="str">
        <x:f>IF(B1120="","",IF(COUNTIF($B$5:B1120,B1120)=1,COUNT($K$4:K1119)+1,""))</x:f>
      </x:c>
      <x:c r="L1120" s="85" t="str">
        <x:f>IF(B1120="","",IF(COUNTIFS('계정비교'!$A$5:$A$1004,B1120,'계정비교'!$H$5:$H$1004,"원인분석 대상")&gt;0,COUNT($L$4:L1119)+1,""))</x:f>
      </x:c>
    </x:row>
    <x:row r="1121">
      <x:c r="A1121" s="73" t="str">
        <x:f>IF('당기원장'!A121="","","당기")</x:f>
      </x:c>
      <x:c r="B1121" s="73" t="str">
        <x:f>IF('당기원장'!A121="","",'당기원장'!A121)</x:f>
      </x:c>
      <x:c r="C1121" s="73" t="str">
        <x:f>IF('당기원장'!A121="","",'당기원장'!B121)</x:f>
      </x:c>
      <x:c r="D1121" s="74" t="str">
        <x:f>IF('당기원장'!A121="","",'당기원장'!C121)</x:f>
      </x:c>
      <x:c r="E1121" s="73" t="str">
        <x:f>IF('당기원장'!A121="","",'당기원장'!D121)</x:f>
      </x:c>
      <x:c r="F1121" s="73" t="str">
        <x:f>IF('당기원장'!A121="","",'당기원장'!E121)</x:f>
      </x:c>
      <x:c r="G1121" s="75" t="str">
        <x:f>IF('당기원장'!A121="","",'당기원장'!H121)</x:f>
      </x:c>
      <x:c r="H1121" s="73" t="str">
        <x:f>IF('당기원장'!A121="","",'당기원장'!I121)</x:f>
      </x:c>
      <x:c r="I1121" s="73" t="str">
        <x:f>IF('당기원장'!A121="","",'당기원장'!J121)</x:f>
      </x:c>
      <x:c r="J1121" s="73" t="str">
        <x:f>IF('당기원장'!A121="","",'당기원장'!K121)</x:f>
      </x:c>
      <x:c r="K1121" s="73" t="str">
        <x:f>IF(B1121="","",IF(COUNTIF($B$5:B1121,B1121)=1,COUNT($K$4:K1120)+1,""))</x:f>
      </x:c>
      <x:c r="L1121" s="85" t="str">
        <x:f>IF(B1121="","",IF(COUNTIFS('계정비교'!$A$5:$A$1004,B1121,'계정비교'!$H$5:$H$1004,"원인분석 대상")&gt;0,COUNT($L$4:L1120)+1,""))</x:f>
      </x:c>
    </x:row>
    <x:row r="1122">
      <x:c r="A1122" s="73" t="str">
        <x:f>IF('당기원장'!A122="","","당기")</x:f>
      </x:c>
      <x:c r="B1122" s="73" t="str">
        <x:f>IF('당기원장'!A122="","",'당기원장'!A122)</x:f>
      </x:c>
      <x:c r="C1122" s="73" t="str">
        <x:f>IF('당기원장'!A122="","",'당기원장'!B122)</x:f>
      </x:c>
      <x:c r="D1122" s="74" t="str">
        <x:f>IF('당기원장'!A122="","",'당기원장'!C122)</x:f>
      </x:c>
      <x:c r="E1122" s="73" t="str">
        <x:f>IF('당기원장'!A122="","",'당기원장'!D122)</x:f>
      </x:c>
      <x:c r="F1122" s="73" t="str">
        <x:f>IF('당기원장'!A122="","",'당기원장'!E122)</x:f>
      </x:c>
      <x:c r="G1122" s="75" t="str">
        <x:f>IF('당기원장'!A122="","",'당기원장'!H122)</x:f>
      </x:c>
      <x:c r="H1122" s="73" t="str">
        <x:f>IF('당기원장'!A122="","",'당기원장'!I122)</x:f>
      </x:c>
      <x:c r="I1122" s="73" t="str">
        <x:f>IF('당기원장'!A122="","",'당기원장'!J122)</x:f>
      </x:c>
      <x:c r="J1122" s="73" t="str">
        <x:f>IF('당기원장'!A122="","",'당기원장'!K122)</x:f>
      </x:c>
      <x:c r="K1122" s="73" t="str">
        <x:f>IF(B1122="","",IF(COUNTIF($B$5:B1122,B1122)=1,COUNT($K$4:K1121)+1,""))</x:f>
      </x:c>
      <x:c r="L1122" s="85" t="str">
        <x:f>IF(B1122="","",IF(COUNTIFS('계정비교'!$A$5:$A$1004,B1122,'계정비교'!$H$5:$H$1004,"원인분석 대상")&gt;0,COUNT($L$4:L1121)+1,""))</x:f>
      </x:c>
    </x:row>
    <x:row r="1123">
      <x:c r="A1123" s="73" t="str">
        <x:f>IF('당기원장'!A123="","","당기")</x:f>
      </x:c>
      <x:c r="B1123" s="73" t="str">
        <x:f>IF('당기원장'!A123="","",'당기원장'!A123)</x:f>
      </x:c>
      <x:c r="C1123" s="73" t="str">
        <x:f>IF('당기원장'!A123="","",'당기원장'!B123)</x:f>
      </x:c>
      <x:c r="D1123" s="74" t="str">
        <x:f>IF('당기원장'!A123="","",'당기원장'!C123)</x:f>
      </x:c>
      <x:c r="E1123" s="73" t="str">
        <x:f>IF('당기원장'!A123="","",'당기원장'!D123)</x:f>
      </x:c>
      <x:c r="F1123" s="73" t="str">
        <x:f>IF('당기원장'!A123="","",'당기원장'!E123)</x:f>
      </x:c>
      <x:c r="G1123" s="75" t="str">
        <x:f>IF('당기원장'!A123="","",'당기원장'!H123)</x:f>
      </x:c>
      <x:c r="H1123" s="73" t="str">
        <x:f>IF('당기원장'!A123="","",'당기원장'!I123)</x:f>
      </x:c>
      <x:c r="I1123" s="73" t="str">
        <x:f>IF('당기원장'!A123="","",'당기원장'!J123)</x:f>
      </x:c>
      <x:c r="J1123" s="73" t="str">
        <x:f>IF('당기원장'!A123="","",'당기원장'!K123)</x:f>
      </x:c>
      <x:c r="K1123" s="73" t="str">
        <x:f>IF(B1123="","",IF(COUNTIF($B$5:B1123,B1123)=1,COUNT($K$4:K1122)+1,""))</x:f>
      </x:c>
      <x:c r="L1123" s="85" t="str">
        <x:f>IF(B1123="","",IF(COUNTIFS('계정비교'!$A$5:$A$1004,B1123,'계정비교'!$H$5:$H$1004,"원인분석 대상")&gt;0,COUNT($L$4:L1122)+1,""))</x:f>
      </x:c>
    </x:row>
    <x:row r="1124">
      <x:c r="A1124" s="73" t="str">
        <x:f>IF('당기원장'!A124="","","당기")</x:f>
      </x:c>
      <x:c r="B1124" s="73" t="str">
        <x:f>IF('당기원장'!A124="","",'당기원장'!A124)</x:f>
      </x:c>
      <x:c r="C1124" s="73" t="str">
        <x:f>IF('당기원장'!A124="","",'당기원장'!B124)</x:f>
      </x:c>
      <x:c r="D1124" s="74" t="str">
        <x:f>IF('당기원장'!A124="","",'당기원장'!C124)</x:f>
      </x:c>
      <x:c r="E1124" s="73" t="str">
        <x:f>IF('당기원장'!A124="","",'당기원장'!D124)</x:f>
      </x:c>
      <x:c r="F1124" s="73" t="str">
        <x:f>IF('당기원장'!A124="","",'당기원장'!E124)</x:f>
      </x:c>
      <x:c r="G1124" s="75" t="str">
        <x:f>IF('당기원장'!A124="","",'당기원장'!H124)</x:f>
      </x:c>
      <x:c r="H1124" s="73" t="str">
        <x:f>IF('당기원장'!A124="","",'당기원장'!I124)</x:f>
      </x:c>
      <x:c r="I1124" s="73" t="str">
        <x:f>IF('당기원장'!A124="","",'당기원장'!J124)</x:f>
      </x:c>
      <x:c r="J1124" s="73" t="str">
        <x:f>IF('당기원장'!A124="","",'당기원장'!K124)</x:f>
      </x:c>
      <x:c r="K1124" s="73" t="str">
        <x:f>IF(B1124="","",IF(COUNTIF($B$5:B1124,B1124)=1,COUNT($K$4:K1123)+1,""))</x:f>
      </x:c>
      <x:c r="L1124" s="85" t="str">
        <x:f>IF(B1124="","",IF(COUNTIFS('계정비교'!$A$5:$A$1004,B1124,'계정비교'!$H$5:$H$1004,"원인분석 대상")&gt;0,COUNT($L$4:L1123)+1,""))</x:f>
      </x:c>
    </x:row>
    <x:row r="1125">
      <x:c r="A1125" s="73" t="str">
        <x:f>IF('당기원장'!A125="","","당기")</x:f>
      </x:c>
      <x:c r="B1125" s="73" t="str">
        <x:f>IF('당기원장'!A125="","",'당기원장'!A125)</x:f>
      </x:c>
      <x:c r="C1125" s="73" t="str">
        <x:f>IF('당기원장'!A125="","",'당기원장'!B125)</x:f>
      </x:c>
      <x:c r="D1125" s="74" t="str">
        <x:f>IF('당기원장'!A125="","",'당기원장'!C125)</x:f>
      </x:c>
      <x:c r="E1125" s="73" t="str">
        <x:f>IF('당기원장'!A125="","",'당기원장'!D125)</x:f>
      </x:c>
      <x:c r="F1125" s="73" t="str">
        <x:f>IF('당기원장'!A125="","",'당기원장'!E125)</x:f>
      </x:c>
      <x:c r="G1125" s="75" t="str">
        <x:f>IF('당기원장'!A125="","",'당기원장'!H125)</x:f>
      </x:c>
      <x:c r="H1125" s="73" t="str">
        <x:f>IF('당기원장'!A125="","",'당기원장'!I125)</x:f>
      </x:c>
      <x:c r="I1125" s="73" t="str">
        <x:f>IF('당기원장'!A125="","",'당기원장'!J125)</x:f>
      </x:c>
      <x:c r="J1125" s="73" t="str">
        <x:f>IF('당기원장'!A125="","",'당기원장'!K125)</x:f>
      </x:c>
      <x:c r="K1125" s="73" t="str">
        <x:f>IF(B1125="","",IF(COUNTIF($B$5:B1125,B1125)=1,COUNT($K$4:K1124)+1,""))</x:f>
      </x:c>
      <x:c r="L1125" s="85" t="str">
        <x:f>IF(B1125="","",IF(COUNTIFS('계정비교'!$A$5:$A$1004,B1125,'계정비교'!$H$5:$H$1004,"원인분석 대상")&gt;0,COUNT($L$4:L1124)+1,""))</x:f>
      </x:c>
    </x:row>
    <x:row r="1126">
      <x:c r="A1126" s="73" t="str">
        <x:f>IF('당기원장'!A126="","","당기")</x:f>
      </x:c>
      <x:c r="B1126" s="73" t="str">
        <x:f>IF('당기원장'!A126="","",'당기원장'!A126)</x:f>
      </x:c>
      <x:c r="C1126" s="73" t="str">
        <x:f>IF('당기원장'!A126="","",'당기원장'!B126)</x:f>
      </x:c>
      <x:c r="D1126" s="74" t="str">
        <x:f>IF('당기원장'!A126="","",'당기원장'!C126)</x:f>
      </x:c>
      <x:c r="E1126" s="73" t="str">
        <x:f>IF('당기원장'!A126="","",'당기원장'!D126)</x:f>
      </x:c>
      <x:c r="F1126" s="73" t="str">
        <x:f>IF('당기원장'!A126="","",'당기원장'!E126)</x:f>
      </x:c>
      <x:c r="G1126" s="75" t="str">
        <x:f>IF('당기원장'!A126="","",'당기원장'!H126)</x:f>
      </x:c>
      <x:c r="H1126" s="73" t="str">
        <x:f>IF('당기원장'!A126="","",'당기원장'!I126)</x:f>
      </x:c>
      <x:c r="I1126" s="73" t="str">
        <x:f>IF('당기원장'!A126="","",'당기원장'!J126)</x:f>
      </x:c>
      <x:c r="J1126" s="73" t="str">
        <x:f>IF('당기원장'!A126="","",'당기원장'!K126)</x:f>
      </x:c>
      <x:c r="K1126" s="73" t="str">
        <x:f>IF(B1126="","",IF(COUNTIF($B$5:B1126,B1126)=1,COUNT($K$4:K1125)+1,""))</x:f>
      </x:c>
      <x:c r="L1126" s="85" t="str">
        <x:f>IF(B1126="","",IF(COUNTIFS('계정비교'!$A$5:$A$1004,B1126,'계정비교'!$H$5:$H$1004,"원인분석 대상")&gt;0,COUNT($L$4:L1125)+1,""))</x:f>
      </x:c>
    </x:row>
    <x:row r="1127">
      <x:c r="A1127" s="73" t="str">
        <x:f>IF('당기원장'!A127="","","당기")</x:f>
      </x:c>
      <x:c r="B1127" s="73" t="str">
        <x:f>IF('당기원장'!A127="","",'당기원장'!A127)</x:f>
      </x:c>
      <x:c r="C1127" s="73" t="str">
        <x:f>IF('당기원장'!A127="","",'당기원장'!B127)</x:f>
      </x:c>
      <x:c r="D1127" s="74" t="str">
        <x:f>IF('당기원장'!A127="","",'당기원장'!C127)</x:f>
      </x:c>
      <x:c r="E1127" s="73" t="str">
        <x:f>IF('당기원장'!A127="","",'당기원장'!D127)</x:f>
      </x:c>
      <x:c r="F1127" s="73" t="str">
        <x:f>IF('당기원장'!A127="","",'당기원장'!E127)</x:f>
      </x:c>
      <x:c r="G1127" s="75" t="str">
        <x:f>IF('당기원장'!A127="","",'당기원장'!H127)</x:f>
      </x:c>
      <x:c r="H1127" s="73" t="str">
        <x:f>IF('당기원장'!A127="","",'당기원장'!I127)</x:f>
      </x:c>
      <x:c r="I1127" s="73" t="str">
        <x:f>IF('당기원장'!A127="","",'당기원장'!J127)</x:f>
      </x:c>
      <x:c r="J1127" s="73" t="str">
        <x:f>IF('당기원장'!A127="","",'당기원장'!K127)</x:f>
      </x:c>
      <x:c r="K1127" s="73" t="str">
        <x:f>IF(B1127="","",IF(COUNTIF($B$5:B1127,B1127)=1,COUNT($K$4:K1126)+1,""))</x:f>
      </x:c>
      <x:c r="L1127" s="85" t="str">
        <x:f>IF(B1127="","",IF(COUNTIFS('계정비교'!$A$5:$A$1004,B1127,'계정비교'!$H$5:$H$1004,"원인분석 대상")&gt;0,COUNT($L$4:L1126)+1,""))</x:f>
      </x:c>
    </x:row>
    <x:row r="1128">
      <x:c r="A1128" s="73" t="str">
        <x:f>IF('당기원장'!A128="","","당기")</x:f>
      </x:c>
      <x:c r="B1128" s="73" t="str">
        <x:f>IF('당기원장'!A128="","",'당기원장'!A128)</x:f>
      </x:c>
      <x:c r="C1128" s="73" t="str">
        <x:f>IF('당기원장'!A128="","",'당기원장'!B128)</x:f>
      </x:c>
      <x:c r="D1128" s="74" t="str">
        <x:f>IF('당기원장'!A128="","",'당기원장'!C128)</x:f>
      </x:c>
      <x:c r="E1128" s="73" t="str">
        <x:f>IF('당기원장'!A128="","",'당기원장'!D128)</x:f>
      </x:c>
      <x:c r="F1128" s="73" t="str">
        <x:f>IF('당기원장'!A128="","",'당기원장'!E128)</x:f>
      </x:c>
      <x:c r="G1128" s="75" t="str">
        <x:f>IF('당기원장'!A128="","",'당기원장'!H128)</x:f>
      </x:c>
      <x:c r="H1128" s="73" t="str">
        <x:f>IF('당기원장'!A128="","",'당기원장'!I128)</x:f>
      </x:c>
      <x:c r="I1128" s="73" t="str">
        <x:f>IF('당기원장'!A128="","",'당기원장'!J128)</x:f>
      </x:c>
      <x:c r="J1128" s="73" t="str">
        <x:f>IF('당기원장'!A128="","",'당기원장'!K128)</x:f>
      </x:c>
      <x:c r="K1128" s="73" t="str">
        <x:f>IF(B1128="","",IF(COUNTIF($B$5:B1128,B1128)=1,COUNT($K$4:K1127)+1,""))</x:f>
      </x:c>
      <x:c r="L1128" s="85" t="str">
        <x:f>IF(B1128="","",IF(COUNTIFS('계정비교'!$A$5:$A$1004,B1128,'계정비교'!$H$5:$H$1004,"원인분석 대상")&gt;0,COUNT($L$4:L1127)+1,""))</x:f>
      </x:c>
    </x:row>
    <x:row r="1129">
      <x:c r="A1129" s="73" t="str">
        <x:f>IF('당기원장'!A129="","","당기")</x:f>
      </x:c>
      <x:c r="B1129" s="73" t="str">
        <x:f>IF('당기원장'!A129="","",'당기원장'!A129)</x:f>
      </x:c>
      <x:c r="C1129" s="73" t="str">
        <x:f>IF('당기원장'!A129="","",'당기원장'!B129)</x:f>
      </x:c>
      <x:c r="D1129" s="74" t="str">
        <x:f>IF('당기원장'!A129="","",'당기원장'!C129)</x:f>
      </x:c>
      <x:c r="E1129" s="73" t="str">
        <x:f>IF('당기원장'!A129="","",'당기원장'!D129)</x:f>
      </x:c>
      <x:c r="F1129" s="73" t="str">
        <x:f>IF('당기원장'!A129="","",'당기원장'!E129)</x:f>
      </x:c>
      <x:c r="G1129" s="75" t="str">
        <x:f>IF('당기원장'!A129="","",'당기원장'!H129)</x:f>
      </x:c>
      <x:c r="H1129" s="73" t="str">
        <x:f>IF('당기원장'!A129="","",'당기원장'!I129)</x:f>
      </x:c>
      <x:c r="I1129" s="73" t="str">
        <x:f>IF('당기원장'!A129="","",'당기원장'!J129)</x:f>
      </x:c>
      <x:c r="J1129" s="73" t="str">
        <x:f>IF('당기원장'!A129="","",'당기원장'!K129)</x:f>
      </x:c>
      <x:c r="K1129" s="73" t="str">
        <x:f>IF(B1129="","",IF(COUNTIF($B$5:B1129,B1129)=1,COUNT($K$4:K1128)+1,""))</x:f>
      </x:c>
      <x:c r="L1129" s="85" t="str">
        <x:f>IF(B1129="","",IF(COUNTIFS('계정비교'!$A$5:$A$1004,B1129,'계정비교'!$H$5:$H$1004,"원인분석 대상")&gt;0,COUNT($L$4:L1128)+1,""))</x:f>
      </x:c>
    </x:row>
    <x:row r="1130">
      <x:c r="A1130" s="73" t="str">
        <x:f>IF('당기원장'!A130="","","당기")</x:f>
      </x:c>
      <x:c r="B1130" s="73" t="str">
        <x:f>IF('당기원장'!A130="","",'당기원장'!A130)</x:f>
      </x:c>
      <x:c r="C1130" s="73" t="str">
        <x:f>IF('당기원장'!A130="","",'당기원장'!B130)</x:f>
      </x:c>
      <x:c r="D1130" s="74" t="str">
        <x:f>IF('당기원장'!A130="","",'당기원장'!C130)</x:f>
      </x:c>
      <x:c r="E1130" s="73" t="str">
        <x:f>IF('당기원장'!A130="","",'당기원장'!D130)</x:f>
      </x:c>
      <x:c r="F1130" s="73" t="str">
        <x:f>IF('당기원장'!A130="","",'당기원장'!E130)</x:f>
      </x:c>
      <x:c r="G1130" s="75" t="str">
        <x:f>IF('당기원장'!A130="","",'당기원장'!H130)</x:f>
      </x:c>
      <x:c r="H1130" s="73" t="str">
        <x:f>IF('당기원장'!A130="","",'당기원장'!I130)</x:f>
      </x:c>
      <x:c r="I1130" s="73" t="str">
        <x:f>IF('당기원장'!A130="","",'당기원장'!J130)</x:f>
      </x:c>
      <x:c r="J1130" s="73" t="str">
        <x:f>IF('당기원장'!A130="","",'당기원장'!K130)</x:f>
      </x:c>
      <x:c r="K1130" s="73" t="str">
        <x:f>IF(B1130="","",IF(COUNTIF($B$5:B1130,B1130)=1,COUNT($K$4:K1129)+1,""))</x:f>
      </x:c>
      <x:c r="L1130" s="85" t="str">
        <x:f>IF(B1130="","",IF(COUNTIFS('계정비교'!$A$5:$A$1004,B1130,'계정비교'!$H$5:$H$1004,"원인분석 대상")&gt;0,COUNT($L$4:L1129)+1,""))</x:f>
      </x:c>
    </x:row>
    <x:row r="1131">
      <x:c r="A1131" s="73" t="str">
        <x:f>IF('당기원장'!A131="","","당기")</x:f>
      </x:c>
      <x:c r="B1131" s="73" t="str">
        <x:f>IF('당기원장'!A131="","",'당기원장'!A131)</x:f>
      </x:c>
      <x:c r="C1131" s="73" t="str">
        <x:f>IF('당기원장'!A131="","",'당기원장'!B131)</x:f>
      </x:c>
      <x:c r="D1131" s="74" t="str">
        <x:f>IF('당기원장'!A131="","",'당기원장'!C131)</x:f>
      </x:c>
      <x:c r="E1131" s="73" t="str">
        <x:f>IF('당기원장'!A131="","",'당기원장'!D131)</x:f>
      </x:c>
      <x:c r="F1131" s="73" t="str">
        <x:f>IF('당기원장'!A131="","",'당기원장'!E131)</x:f>
      </x:c>
      <x:c r="G1131" s="75" t="str">
        <x:f>IF('당기원장'!A131="","",'당기원장'!H131)</x:f>
      </x:c>
      <x:c r="H1131" s="73" t="str">
        <x:f>IF('당기원장'!A131="","",'당기원장'!I131)</x:f>
      </x:c>
      <x:c r="I1131" s="73" t="str">
        <x:f>IF('당기원장'!A131="","",'당기원장'!J131)</x:f>
      </x:c>
      <x:c r="J1131" s="73" t="str">
        <x:f>IF('당기원장'!A131="","",'당기원장'!K131)</x:f>
      </x:c>
      <x:c r="K1131" s="73" t="str">
        <x:f>IF(B1131="","",IF(COUNTIF($B$5:B1131,B1131)=1,COUNT($K$4:K1130)+1,""))</x:f>
      </x:c>
      <x:c r="L1131" s="85" t="str">
        <x:f>IF(B1131="","",IF(COUNTIFS('계정비교'!$A$5:$A$1004,B1131,'계정비교'!$H$5:$H$1004,"원인분석 대상")&gt;0,COUNT($L$4:L1130)+1,""))</x:f>
      </x:c>
    </x:row>
    <x:row r="1132">
      <x:c r="A1132" s="73" t="str">
        <x:f>IF('당기원장'!A132="","","당기")</x:f>
      </x:c>
      <x:c r="B1132" s="73" t="str">
        <x:f>IF('당기원장'!A132="","",'당기원장'!A132)</x:f>
      </x:c>
      <x:c r="C1132" s="73" t="str">
        <x:f>IF('당기원장'!A132="","",'당기원장'!B132)</x:f>
      </x:c>
      <x:c r="D1132" s="74" t="str">
        <x:f>IF('당기원장'!A132="","",'당기원장'!C132)</x:f>
      </x:c>
      <x:c r="E1132" s="73" t="str">
        <x:f>IF('당기원장'!A132="","",'당기원장'!D132)</x:f>
      </x:c>
      <x:c r="F1132" s="73" t="str">
        <x:f>IF('당기원장'!A132="","",'당기원장'!E132)</x:f>
      </x:c>
      <x:c r="G1132" s="75" t="str">
        <x:f>IF('당기원장'!A132="","",'당기원장'!H132)</x:f>
      </x:c>
      <x:c r="H1132" s="73" t="str">
        <x:f>IF('당기원장'!A132="","",'당기원장'!I132)</x:f>
      </x:c>
      <x:c r="I1132" s="73" t="str">
        <x:f>IF('당기원장'!A132="","",'당기원장'!J132)</x:f>
      </x:c>
      <x:c r="J1132" s="73" t="str">
        <x:f>IF('당기원장'!A132="","",'당기원장'!K132)</x:f>
      </x:c>
      <x:c r="K1132" s="73" t="str">
        <x:f>IF(B1132="","",IF(COUNTIF($B$5:B1132,B1132)=1,COUNT($K$4:K1131)+1,""))</x:f>
      </x:c>
      <x:c r="L1132" s="85" t="str">
        <x:f>IF(B1132="","",IF(COUNTIFS('계정비교'!$A$5:$A$1004,B1132,'계정비교'!$H$5:$H$1004,"원인분석 대상")&gt;0,COUNT($L$4:L1131)+1,""))</x:f>
      </x:c>
    </x:row>
    <x:row r="1133">
      <x:c r="A1133" s="73" t="str">
        <x:f>IF('당기원장'!A133="","","당기")</x:f>
      </x:c>
      <x:c r="B1133" s="73" t="str">
        <x:f>IF('당기원장'!A133="","",'당기원장'!A133)</x:f>
      </x:c>
      <x:c r="C1133" s="73" t="str">
        <x:f>IF('당기원장'!A133="","",'당기원장'!B133)</x:f>
      </x:c>
      <x:c r="D1133" s="74" t="str">
        <x:f>IF('당기원장'!A133="","",'당기원장'!C133)</x:f>
      </x:c>
      <x:c r="E1133" s="73" t="str">
        <x:f>IF('당기원장'!A133="","",'당기원장'!D133)</x:f>
      </x:c>
      <x:c r="F1133" s="73" t="str">
        <x:f>IF('당기원장'!A133="","",'당기원장'!E133)</x:f>
      </x:c>
      <x:c r="G1133" s="75" t="str">
        <x:f>IF('당기원장'!A133="","",'당기원장'!H133)</x:f>
      </x:c>
      <x:c r="H1133" s="73" t="str">
        <x:f>IF('당기원장'!A133="","",'당기원장'!I133)</x:f>
      </x:c>
      <x:c r="I1133" s="73" t="str">
        <x:f>IF('당기원장'!A133="","",'당기원장'!J133)</x:f>
      </x:c>
      <x:c r="J1133" s="73" t="str">
        <x:f>IF('당기원장'!A133="","",'당기원장'!K133)</x:f>
      </x:c>
      <x:c r="K1133" s="73" t="str">
        <x:f>IF(B1133="","",IF(COUNTIF($B$5:B1133,B1133)=1,COUNT($K$4:K1132)+1,""))</x:f>
      </x:c>
      <x:c r="L1133" s="85" t="str">
        <x:f>IF(B1133="","",IF(COUNTIFS('계정비교'!$A$5:$A$1004,B1133,'계정비교'!$H$5:$H$1004,"원인분석 대상")&gt;0,COUNT($L$4:L1132)+1,""))</x:f>
      </x:c>
    </x:row>
    <x:row r="1134">
      <x:c r="A1134" s="73" t="str">
        <x:f>IF('당기원장'!A134="","","당기")</x:f>
      </x:c>
      <x:c r="B1134" s="73" t="str">
        <x:f>IF('당기원장'!A134="","",'당기원장'!A134)</x:f>
      </x:c>
      <x:c r="C1134" s="73" t="str">
        <x:f>IF('당기원장'!A134="","",'당기원장'!B134)</x:f>
      </x:c>
      <x:c r="D1134" s="74" t="str">
        <x:f>IF('당기원장'!A134="","",'당기원장'!C134)</x:f>
      </x:c>
      <x:c r="E1134" s="73" t="str">
        <x:f>IF('당기원장'!A134="","",'당기원장'!D134)</x:f>
      </x:c>
      <x:c r="F1134" s="73" t="str">
        <x:f>IF('당기원장'!A134="","",'당기원장'!E134)</x:f>
      </x:c>
      <x:c r="G1134" s="75" t="str">
        <x:f>IF('당기원장'!A134="","",'당기원장'!H134)</x:f>
      </x:c>
      <x:c r="H1134" s="73" t="str">
        <x:f>IF('당기원장'!A134="","",'당기원장'!I134)</x:f>
      </x:c>
      <x:c r="I1134" s="73" t="str">
        <x:f>IF('당기원장'!A134="","",'당기원장'!J134)</x:f>
      </x:c>
      <x:c r="J1134" s="73" t="str">
        <x:f>IF('당기원장'!A134="","",'당기원장'!K134)</x:f>
      </x:c>
      <x:c r="K1134" s="73" t="str">
        <x:f>IF(B1134="","",IF(COUNTIF($B$5:B1134,B1134)=1,COUNT($K$4:K1133)+1,""))</x:f>
      </x:c>
      <x:c r="L1134" s="85" t="str">
        <x:f>IF(B1134="","",IF(COUNTIFS('계정비교'!$A$5:$A$1004,B1134,'계정비교'!$H$5:$H$1004,"원인분석 대상")&gt;0,COUNT($L$4:L1133)+1,""))</x:f>
      </x:c>
    </x:row>
    <x:row r="1135">
      <x:c r="A1135" s="73" t="str">
        <x:f>IF('당기원장'!A135="","","당기")</x:f>
      </x:c>
      <x:c r="B1135" s="73" t="str">
        <x:f>IF('당기원장'!A135="","",'당기원장'!A135)</x:f>
      </x:c>
      <x:c r="C1135" s="73" t="str">
        <x:f>IF('당기원장'!A135="","",'당기원장'!B135)</x:f>
      </x:c>
      <x:c r="D1135" s="74" t="str">
        <x:f>IF('당기원장'!A135="","",'당기원장'!C135)</x:f>
      </x:c>
      <x:c r="E1135" s="73" t="str">
        <x:f>IF('당기원장'!A135="","",'당기원장'!D135)</x:f>
      </x:c>
      <x:c r="F1135" s="73" t="str">
        <x:f>IF('당기원장'!A135="","",'당기원장'!E135)</x:f>
      </x:c>
      <x:c r="G1135" s="75" t="str">
        <x:f>IF('당기원장'!A135="","",'당기원장'!H135)</x:f>
      </x:c>
      <x:c r="H1135" s="73" t="str">
        <x:f>IF('당기원장'!A135="","",'당기원장'!I135)</x:f>
      </x:c>
      <x:c r="I1135" s="73" t="str">
        <x:f>IF('당기원장'!A135="","",'당기원장'!J135)</x:f>
      </x:c>
      <x:c r="J1135" s="73" t="str">
        <x:f>IF('당기원장'!A135="","",'당기원장'!K135)</x:f>
      </x:c>
      <x:c r="K1135" s="73" t="str">
        <x:f>IF(B1135="","",IF(COUNTIF($B$5:B1135,B1135)=1,COUNT($K$4:K1134)+1,""))</x:f>
      </x:c>
      <x:c r="L1135" s="85" t="str">
        <x:f>IF(B1135="","",IF(COUNTIFS('계정비교'!$A$5:$A$1004,B1135,'계정비교'!$H$5:$H$1004,"원인분석 대상")&gt;0,COUNT($L$4:L1134)+1,""))</x:f>
      </x:c>
    </x:row>
    <x:row r="1136">
      <x:c r="A1136" s="73" t="str">
        <x:f>IF('당기원장'!A136="","","당기")</x:f>
      </x:c>
      <x:c r="B1136" s="73" t="str">
        <x:f>IF('당기원장'!A136="","",'당기원장'!A136)</x:f>
      </x:c>
      <x:c r="C1136" s="73" t="str">
        <x:f>IF('당기원장'!A136="","",'당기원장'!B136)</x:f>
      </x:c>
      <x:c r="D1136" s="74" t="str">
        <x:f>IF('당기원장'!A136="","",'당기원장'!C136)</x:f>
      </x:c>
      <x:c r="E1136" s="73" t="str">
        <x:f>IF('당기원장'!A136="","",'당기원장'!D136)</x:f>
      </x:c>
      <x:c r="F1136" s="73" t="str">
        <x:f>IF('당기원장'!A136="","",'당기원장'!E136)</x:f>
      </x:c>
      <x:c r="G1136" s="75" t="str">
        <x:f>IF('당기원장'!A136="","",'당기원장'!H136)</x:f>
      </x:c>
      <x:c r="H1136" s="73" t="str">
        <x:f>IF('당기원장'!A136="","",'당기원장'!I136)</x:f>
      </x:c>
      <x:c r="I1136" s="73" t="str">
        <x:f>IF('당기원장'!A136="","",'당기원장'!J136)</x:f>
      </x:c>
      <x:c r="J1136" s="73" t="str">
        <x:f>IF('당기원장'!A136="","",'당기원장'!K136)</x:f>
      </x:c>
      <x:c r="K1136" s="73" t="str">
        <x:f>IF(B1136="","",IF(COUNTIF($B$5:B1136,B1136)=1,COUNT($K$4:K1135)+1,""))</x:f>
      </x:c>
      <x:c r="L1136" s="85" t="str">
        <x:f>IF(B1136="","",IF(COUNTIFS('계정비교'!$A$5:$A$1004,B1136,'계정비교'!$H$5:$H$1004,"원인분석 대상")&gt;0,COUNT($L$4:L1135)+1,""))</x:f>
      </x:c>
    </x:row>
    <x:row r="1137">
      <x:c r="A1137" s="73" t="str">
        <x:f>IF('당기원장'!A137="","","당기")</x:f>
      </x:c>
      <x:c r="B1137" s="73" t="str">
        <x:f>IF('당기원장'!A137="","",'당기원장'!A137)</x:f>
      </x:c>
      <x:c r="C1137" s="73" t="str">
        <x:f>IF('당기원장'!A137="","",'당기원장'!B137)</x:f>
      </x:c>
      <x:c r="D1137" s="74" t="str">
        <x:f>IF('당기원장'!A137="","",'당기원장'!C137)</x:f>
      </x:c>
      <x:c r="E1137" s="73" t="str">
        <x:f>IF('당기원장'!A137="","",'당기원장'!D137)</x:f>
      </x:c>
      <x:c r="F1137" s="73" t="str">
        <x:f>IF('당기원장'!A137="","",'당기원장'!E137)</x:f>
      </x:c>
      <x:c r="G1137" s="75" t="str">
        <x:f>IF('당기원장'!A137="","",'당기원장'!H137)</x:f>
      </x:c>
      <x:c r="H1137" s="73" t="str">
        <x:f>IF('당기원장'!A137="","",'당기원장'!I137)</x:f>
      </x:c>
      <x:c r="I1137" s="73" t="str">
        <x:f>IF('당기원장'!A137="","",'당기원장'!J137)</x:f>
      </x:c>
      <x:c r="J1137" s="73" t="str">
        <x:f>IF('당기원장'!A137="","",'당기원장'!K137)</x:f>
      </x:c>
      <x:c r="K1137" s="73" t="str">
        <x:f>IF(B1137="","",IF(COUNTIF($B$5:B1137,B1137)=1,COUNT($K$4:K1136)+1,""))</x:f>
      </x:c>
      <x:c r="L1137" s="85" t="str">
        <x:f>IF(B1137="","",IF(COUNTIFS('계정비교'!$A$5:$A$1004,B1137,'계정비교'!$H$5:$H$1004,"원인분석 대상")&gt;0,COUNT($L$4:L1136)+1,""))</x:f>
      </x:c>
    </x:row>
    <x:row r="1138">
      <x:c r="A1138" s="73" t="str">
        <x:f>IF('당기원장'!A138="","","당기")</x:f>
      </x:c>
      <x:c r="B1138" s="73" t="str">
        <x:f>IF('당기원장'!A138="","",'당기원장'!A138)</x:f>
      </x:c>
      <x:c r="C1138" s="73" t="str">
        <x:f>IF('당기원장'!A138="","",'당기원장'!B138)</x:f>
      </x:c>
      <x:c r="D1138" s="74" t="str">
        <x:f>IF('당기원장'!A138="","",'당기원장'!C138)</x:f>
      </x:c>
      <x:c r="E1138" s="73" t="str">
        <x:f>IF('당기원장'!A138="","",'당기원장'!D138)</x:f>
      </x:c>
      <x:c r="F1138" s="73" t="str">
        <x:f>IF('당기원장'!A138="","",'당기원장'!E138)</x:f>
      </x:c>
      <x:c r="G1138" s="75" t="str">
        <x:f>IF('당기원장'!A138="","",'당기원장'!H138)</x:f>
      </x:c>
      <x:c r="H1138" s="73" t="str">
        <x:f>IF('당기원장'!A138="","",'당기원장'!I138)</x:f>
      </x:c>
      <x:c r="I1138" s="73" t="str">
        <x:f>IF('당기원장'!A138="","",'당기원장'!J138)</x:f>
      </x:c>
      <x:c r="J1138" s="73" t="str">
        <x:f>IF('당기원장'!A138="","",'당기원장'!K138)</x:f>
      </x:c>
      <x:c r="K1138" s="73" t="str">
        <x:f>IF(B1138="","",IF(COUNTIF($B$5:B1138,B1138)=1,COUNT($K$4:K1137)+1,""))</x:f>
      </x:c>
      <x:c r="L1138" s="85" t="str">
        <x:f>IF(B1138="","",IF(COUNTIFS('계정비교'!$A$5:$A$1004,B1138,'계정비교'!$H$5:$H$1004,"원인분석 대상")&gt;0,COUNT($L$4:L1137)+1,""))</x:f>
      </x:c>
    </x:row>
    <x:row r="1139">
      <x:c r="A1139" s="73" t="str">
        <x:f>IF('당기원장'!A139="","","당기")</x:f>
      </x:c>
      <x:c r="B1139" s="73" t="str">
        <x:f>IF('당기원장'!A139="","",'당기원장'!A139)</x:f>
      </x:c>
      <x:c r="C1139" s="73" t="str">
        <x:f>IF('당기원장'!A139="","",'당기원장'!B139)</x:f>
      </x:c>
      <x:c r="D1139" s="74" t="str">
        <x:f>IF('당기원장'!A139="","",'당기원장'!C139)</x:f>
      </x:c>
      <x:c r="E1139" s="73" t="str">
        <x:f>IF('당기원장'!A139="","",'당기원장'!D139)</x:f>
      </x:c>
      <x:c r="F1139" s="73" t="str">
        <x:f>IF('당기원장'!A139="","",'당기원장'!E139)</x:f>
      </x:c>
      <x:c r="G1139" s="75" t="str">
        <x:f>IF('당기원장'!A139="","",'당기원장'!H139)</x:f>
      </x:c>
      <x:c r="H1139" s="73" t="str">
        <x:f>IF('당기원장'!A139="","",'당기원장'!I139)</x:f>
      </x:c>
      <x:c r="I1139" s="73" t="str">
        <x:f>IF('당기원장'!A139="","",'당기원장'!J139)</x:f>
      </x:c>
      <x:c r="J1139" s="73" t="str">
        <x:f>IF('당기원장'!A139="","",'당기원장'!K139)</x:f>
      </x:c>
      <x:c r="K1139" s="73" t="str">
        <x:f>IF(B1139="","",IF(COUNTIF($B$5:B1139,B1139)=1,COUNT($K$4:K1138)+1,""))</x:f>
      </x:c>
      <x:c r="L1139" s="85" t="str">
        <x:f>IF(B1139="","",IF(COUNTIFS('계정비교'!$A$5:$A$1004,B1139,'계정비교'!$H$5:$H$1004,"원인분석 대상")&gt;0,COUNT($L$4:L1138)+1,""))</x:f>
      </x:c>
    </x:row>
    <x:row r="1140">
      <x:c r="A1140" s="73" t="str">
        <x:f>IF('당기원장'!A140="","","당기")</x:f>
      </x:c>
      <x:c r="B1140" s="73" t="str">
        <x:f>IF('당기원장'!A140="","",'당기원장'!A140)</x:f>
      </x:c>
      <x:c r="C1140" s="73" t="str">
        <x:f>IF('당기원장'!A140="","",'당기원장'!B140)</x:f>
      </x:c>
      <x:c r="D1140" s="74" t="str">
        <x:f>IF('당기원장'!A140="","",'당기원장'!C140)</x:f>
      </x:c>
      <x:c r="E1140" s="73" t="str">
        <x:f>IF('당기원장'!A140="","",'당기원장'!D140)</x:f>
      </x:c>
      <x:c r="F1140" s="73" t="str">
        <x:f>IF('당기원장'!A140="","",'당기원장'!E140)</x:f>
      </x:c>
      <x:c r="G1140" s="75" t="str">
        <x:f>IF('당기원장'!A140="","",'당기원장'!H140)</x:f>
      </x:c>
      <x:c r="H1140" s="73" t="str">
        <x:f>IF('당기원장'!A140="","",'당기원장'!I140)</x:f>
      </x:c>
      <x:c r="I1140" s="73" t="str">
        <x:f>IF('당기원장'!A140="","",'당기원장'!J140)</x:f>
      </x:c>
      <x:c r="J1140" s="73" t="str">
        <x:f>IF('당기원장'!A140="","",'당기원장'!K140)</x:f>
      </x:c>
      <x:c r="K1140" s="73" t="str">
        <x:f>IF(B1140="","",IF(COUNTIF($B$5:B1140,B1140)=1,COUNT($K$4:K1139)+1,""))</x:f>
      </x:c>
      <x:c r="L1140" s="85" t="str">
        <x:f>IF(B1140="","",IF(COUNTIFS('계정비교'!$A$5:$A$1004,B1140,'계정비교'!$H$5:$H$1004,"원인분석 대상")&gt;0,COUNT($L$4:L1139)+1,""))</x:f>
      </x:c>
    </x:row>
    <x:row r="1141">
      <x:c r="A1141" s="73" t="str">
        <x:f>IF('당기원장'!A141="","","당기")</x:f>
      </x:c>
      <x:c r="B1141" s="73" t="str">
        <x:f>IF('당기원장'!A141="","",'당기원장'!A141)</x:f>
      </x:c>
      <x:c r="C1141" s="73" t="str">
        <x:f>IF('당기원장'!A141="","",'당기원장'!B141)</x:f>
      </x:c>
      <x:c r="D1141" s="74" t="str">
        <x:f>IF('당기원장'!A141="","",'당기원장'!C141)</x:f>
      </x:c>
      <x:c r="E1141" s="73" t="str">
        <x:f>IF('당기원장'!A141="","",'당기원장'!D141)</x:f>
      </x:c>
      <x:c r="F1141" s="73" t="str">
        <x:f>IF('당기원장'!A141="","",'당기원장'!E141)</x:f>
      </x:c>
      <x:c r="G1141" s="75" t="str">
        <x:f>IF('당기원장'!A141="","",'당기원장'!H141)</x:f>
      </x:c>
      <x:c r="H1141" s="73" t="str">
        <x:f>IF('당기원장'!A141="","",'당기원장'!I141)</x:f>
      </x:c>
      <x:c r="I1141" s="73" t="str">
        <x:f>IF('당기원장'!A141="","",'당기원장'!J141)</x:f>
      </x:c>
      <x:c r="J1141" s="73" t="str">
        <x:f>IF('당기원장'!A141="","",'당기원장'!K141)</x:f>
      </x:c>
      <x:c r="K1141" s="73" t="str">
        <x:f>IF(B1141="","",IF(COUNTIF($B$5:B1141,B1141)=1,COUNT($K$4:K1140)+1,""))</x:f>
      </x:c>
      <x:c r="L1141" s="85" t="str">
        <x:f>IF(B1141="","",IF(COUNTIFS('계정비교'!$A$5:$A$1004,B1141,'계정비교'!$H$5:$H$1004,"원인분석 대상")&gt;0,COUNT($L$4:L1140)+1,""))</x:f>
      </x:c>
    </x:row>
    <x:row r="1142">
      <x:c r="A1142" s="73" t="str">
        <x:f>IF('당기원장'!A142="","","당기")</x:f>
      </x:c>
      <x:c r="B1142" s="73" t="str">
        <x:f>IF('당기원장'!A142="","",'당기원장'!A142)</x:f>
      </x:c>
      <x:c r="C1142" s="73" t="str">
        <x:f>IF('당기원장'!A142="","",'당기원장'!B142)</x:f>
      </x:c>
      <x:c r="D1142" s="74" t="str">
        <x:f>IF('당기원장'!A142="","",'당기원장'!C142)</x:f>
      </x:c>
      <x:c r="E1142" s="73" t="str">
        <x:f>IF('당기원장'!A142="","",'당기원장'!D142)</x:f>
      </x:c>
      <x:c r="F1142" s="73" t="str">
        <x:f>IF('당기원장'!A142="","",'당기원장'!E142)</x:f>
      </x:c>
      <x:c r="G1142" s="75" t="str">
        <x:f>IF('당기원장'!A142="","",'당기원장'!H142)</x:f>
      </x:c>
      <x:c r="H1142" s="73" t="str">
        <x:f>IF('당기원장'!A142="","",'당기원장'!I142)</x:f>
      </x:c>
      <x:c r="I1142" s="73" t="str">
        <x:f>IF('당기원장'!A142="","",'당기원장'!J142)</x:f>
      </x:c>
      <x:c r="J1142" s="73" t="str">
        <x:f>IF('당기원장'!A142="","",'당기원장'!K142)</x:f>
      </x:c>
      <x:c r="K1142" s="73" t="str">
        <x:f>IF(B1142="","",IF(COUNTIF($B$5:B1142,B1142)=1,COUNT($K$4:K1141)+1,""))</x:f>
      </x:c>
      <x:c r="L1142" s="85" t="str">
        <x:f>IF(B1142="","",IF(COUNTIFS('계정비교'!$A$5:$A$1004,B1142,'계정비교'!$H$5:$H$1004,"원인분석 대상")&gt;0,COUNT($L$4:L1141)+1,""))</x:f>
      </x:c>
    </x:row>
    <x:row r="1143">
      <x:c r="A1143" s="73" t="str">
        <x:f>IF('당기원장'!A143="","","당기")</x:f>
      </x:c>
      <x:c r="B1143" s="73" t="str">
        <x:f>IF('당기원장'!A143="","",'당기원장'!A143)</x:f>
      </x:c>
      <x:c r="C1143" s="73" t="str">
        <x:f>IF('당기원장'!A143="","",'당기원장'!B143)</x:f>
      </x:c>
      <x:c r="D1143" s="74" t="str">
        <x:f>IF('당기원장'!A143="","",'당기원장'!C143)</x:f>
      </x:c>
      <x:c r="E1143" s="73" t="str">
        <x:f>IF('당기원장'!A143="","",'당기원장'!D143)</x:f>
      </x:c>
      <x:c r="F1143" s="73" t="str">
        <x:f>IF('당기원장'!A143="","",'당기원장'!E143)</x:f>
      </x:c>
      <x:c r="G1143" s="75" t="str">
        <x:f>IF('당기원장'!A143="","",'당기원장'!H143)</x:f>
      </x:c>
      <x:c r="H1143" s="73" t="str">
        <x:f>IF('당기원장'!A143="","",'당기원장'!I143)</x:f>
      </x:c>
      <x:c r="I1143" s="73" t="str">
        <x:f>IF('당기원장'!A143="","",'당기원장'!J143)</x:f>
      </x:c>
      <x:c r="J1143" s="73" t="str">
        <x:f>IF('당기원장'!A143="","",'당기원장'!K143)</x:f>
      </x:c>
      <x:c r="K1143" s="73" t="str">
        <x:f>IF(B1143="","",IF(COUNTIF($B$5:B1143,B1143)=1,COUNT($K$4:K1142)+1,""))</x:f>
      </x:c>
      <x:c r="L1143" s="85" t="str">
        <x:f>IF(B1143="","",IF(COUNTIFS('계정비교'!$A$5:$A$1004,B1143,'계정비교'!$H$5:$H$1004,"원인분석 대상")&gt;0,COUNT($L$4:L1142)+1,""))</x:f>
      </x:c>
    </x:row>
    <x:row r="1144">
      <x:c r="A1144" s="73" t="str">
        <x:f>IF('당기원장'!A144="","","당기")</x:f>
      </x:c>
      <x:c r="B1144" s="73" t="str">
        <x:f>IF('당기원장'!A144="","",'당기원장'!A144)</x:f>
      </x:c>
      <x:c r="C1144" s="73" t="str">
        <x:f>IF('당기원장'!A144="","",'당기원장'!B144)</x:f>
      </x:c>
      <x:c r="D1144" s="74" t="str">
        <x:f>IF('당기원장'!A144="","",'당기원장'!C144)</x:f>
      </x:c>
      <x:c r="E1144" s="73" t="str">
        <x:f>IF('당기원장'!A144="","",'당기원장'!D144)</x:f>
      </x:c>
      <x:c r="F1144" s="73" t="str">
        <x:f>IF('당기원장'!A144="","",'당기원장'!E144)</x:f>
      </x:c>
      <x:c r="G1144" s="75" t="str">
        <x:f>IF('당기원장'!A144="","",'당기원장'!H144)</x:f>
      </x:c>
      <x:c r="H1144" s="73" t="str">
        <x:f>IF('당기원장'!A144="","",'당기원장'!I144)</x:f>
      </x:c>
      <x:c r="I1144" s="73" t="str">
        <x:f>IF('당기원장'!A144="","",'당기원장'!J144)</x:f>
      </x:c>
      <x:c r="J1144" s="73" t="str">
        <x:f>IF('당기원장'!A144="","",'당기원장'!K144)</x:f>
      </x:c>
      <x:c r="K1144" s="73" t="str">
        <x:f>IF(B1144="","",IF(COUNTIF($B$5:B1144,B1144)=1,COUNT($K$4:K1143)+1,""))</x:f>
      </x:c>
      <x:c r="L1144" s="85" t="str">
        <x:f>IF(B1144="","",IF(COUNTIFS('계정비교'!$A$5:$A$1004,B1144,'계정비교'!$H$5:$H$1004,"원인분석 대상")&gt;0,COUNT($L$4:L1143)+1,""))</x:f>
      </x:c>
    </x:row>
    <x:row r="1145">
      <x:c r="A1145" s="73" t="str">
        <x:f>IF('당기원장'!A145="","","당기")</x:f>
      </x:c>
      <x:c r="B1145" s="73" t="str">
        <x:f>IF('당기원장'!A145="","",'당기원장'!A145)</x:f>
      </x:c>
      <x:c r="C1145" s="73" t="str">
        <x:f>IF('당기원장'!A145="","",'당기원장'!B145)</x:f>
      </x:c>
      <x:c r="D1145" s="74" t="str">
        <x:f>IF('당기원장'!A145="","",'당기원장'!C145)</x:f>
      </x:c>
      <x:c r="E1145" s="73" t="str">
        <x:f>IF('당기원장'!A145="","",'당기원장'!D145)</x:f>
      </x:c>
      <x:c r="F1145" s="73" t="str">
        <x:f>IF('당기원장'!A145="","",'당기원장'!E145)</x:f>
      </x:c>
      <x:c r="G1145" s="75" t="str">
        <x:f>IF('당기원장'!A145="","",'당기원장'!H145)</x:f>
      </x:c>
      <x:c r="H1145" s="73" t="str">
        <x:f>IF('당기원장'!A145="","",'당기원장'!I145)</x:f>
      </x:c>
      <x:c r="I1145" s="73" t="str">
        <x:f>IF('당기원장'!A145="","",'당기원장'!J145)</x:f>
      </x:c>
      <x:c r="J1145" s="73" t="str">
        <x:f>IF('당기원장'!A145="","",'당기원장'!K145)</x:f>
      </x:c>
      <x:c r="K1145" s="73" t="str">
        <x:f>IF(B1145="","",IF(COUNTIF($B$5:B1145,B1145)=1,COUNT($K$4:K1144)+1,""))</x:f>
      </x:c>
      <x:c r="L1145" s="85" t="str">
        <x:f>IF(B1145="","",IF(COUNTIFS('계정비교'!$A$5:$A$1004,B1145,'계정비교'!$H$5:$H$1004,"원인분석 대상")&gt;0,COUNT($L$4:L1144)+1,""))</x:f>
      </x:c>
    </x:row>
    <x:row r="1146">
      <x:c r="A1146" s="73" t="str">
        <x:f>IF('당기원장'!A146="","","당기")</x:f>
      </x:c>
      <x:c r="B1146" s="73" t="str">
        <x:f>IF('당기원장'!A146="","",'당기원장'!A146)</x:f>
      </x:c>
      <x:c r="C1146" s="73" t="str">
        <x:f>IF('당기원장'!A146="","",'당기원장'!B146)</x:f>
      </x:c>
      <x:c r="D1146" s="74" t="str">
        <x:f>IF('당기원장'!A146="","",'당기원장'!C146)</x:f>
      </x:c>
      <x:c r="E1146" s="73" t="str">
        <x:f>IF('당기원장'!A146="","",'당기원장'!D146)</x:f>
      </x:c>
      <x:c r="F1146" s="73" t="str">
        <x:f>IF('당기원장'!A146="","",'당기원장'!E146)</x:f>
      </x:c>
      <x:c r="G1146" s="75" t="str">
        <x:f>IF('당기원장'!A146="","",'당기원장'!H146)</x:f>
      </x:c>
      <x:c r="H1146" s="73" t="str">
        <x:f>IF('당기원장'!A146="","",'당기원장'!I146)</x:f>
      </x:c>
      <x:c r="I1146" s="73" t="str">
        <x:f>IF('당기원장'!A146="","",'당기원장'!J146)</x:f>
      </x:c>
      <x:c r="J1146" s="73" t="str">
        <x:f>IF('당기원장'!A146="","",'당기원장'!K146)</x:f>
      </x:c>
      <x:c r="K1146" s="73" t="str">
        <x:f>IF(B1146="","",IF(COUNTIF($B$5:B1146,B1146)=1,COUNT($K$4:K1145)+1,""))</x:f>
      </x:c>
      <x:c r="L1146" s="85" t="str">
        <x:f>IF(B1146="","",IF(COUNTIFS('계정비교'!$A$5:$A$1004,B1146,'계정비교'!$H$5:$H$1004,"원인분석 대상")&gt;0,COUNT($L$4:L1145)+1,""))</x:f>
      </x:c>
    </x:row>
    <x:row r="1147">
      <x:c r="A1147" s="73" t="str">
        <x:f>IF('당기원장'!A147="","","당기")</x:f>
      </x:c>
      <x:c r="B1147" s="73" t="str">
        <x:f>IF('당기원장'!A147="","",'당기원장'!A147)</x:f>
      </x:c>
      <x:c r="C1147" s="73" t="str">
        <x:f>IF('당기원장'!A147="","",'당기원장'!B147)</x:f>
      </x:c>
      <x:c r="D1147" s="74" t="str">
        <x:f>IF('당기원장'!A147="","",'당기원장'!C147)</x:f>
      </x:c>
      <x:c r="E1147" s="73" t="str">
        <x:f>IF('당기원장'!A147="","",'당기원장'!D147)</x:f>
      </x:c>
      <x:c r="F1147" s="73" t="str">
        <x:f>IF('당기원장'!A147="","",'당기원장'!E147)</x:f>
      </x:c>
      <x:c r="G1147" s="75" t="str">
        <x:f>IF('당기원장'!A147="","",'당기원장'!H147)</x:f>
      </x:c>
      <x:c r="H1147" s="73" t="str">
        <x:f>IF('당기원장'!A147="","",'당기원장'!I147)</x:f>
      </x:c>
      <x:c r="I1147" s="73" t="str">
        <x:f>IF('당기원장'!A147="","",'당기원장'!J147)</x:f>
      </x:c>
      <x:c r="J1147" s="73" t="str">
        <x:f>IF('당기원장'!A147="","",'당기원장'!K147)</x:f>
      </x:c>
      <x:c r="K1147" s="73" t="str">
        <x:f>IF(B1147="","",IF(COUNTIF($B$5:B1147,B1147)=1,COUNT($K$4:K1146)+1,""))</x:f>
      </x:c>
      <x:c r="L1147" s="85" t="str">
        <x:f>IF(B1147="","",IF(COUNTIFS('계정비교'!$A$5:$A$1004,B1147,'계정비교'!$H$5:$H$1004,"원인분석 대상")&gt;0,COUNT($L$4:L1146)+1,""))</x:f>
      </x:c>
    </x:row>
    <x:row r="1148">
      <x:c r="A1148" s="73" t="str">
        <x:f>IF('당기원장'!A148="","","당기")</x:f>
      </x:c>
      <x:c r="B1148" s="73" t="str">
        <x:f>IF('당기원장'!A148="","",'당기원장'!A148)</x:f>
      </x:c>
      <x:c r="C1148" s="73" t="str">
        <x:f>IF('당기원장'!A148="","",'당기원장'!B148)</x:f>
      </x:c>
      <x:c r="D1148" s="74" t="str">
        <x:f>IF('당기원장'!A148="","",'당기원장'!C148)</x:f>
      </x:c>
      <x:c r="E1148" s="73" t="str">
        <x:f>IF('당기원장'!A148="","",'당기원장'!D148)</x:f>
      </x:c>
      <x:c r="F1148" s="73" t="str">
        <x:f>IF('당기원장'!A148="","",'당기원장'!E148)</x:f>
      </x:c>
      <x:c r="G1148" s="75" t="str">
        <x:f>IF('당기원장'!A148="","",'당기원장'!H148)</x:f>
      </x:c>
      <x:c r="H1148" s="73" t="str">
        <x:f>IF('당기원장'!A148="","",'당기원장'!I148)</x:f>
      </x:c>
      <x:c r="I1148" s="73" t="str">
        <x:f>IF('당기원장'!A148="","",'당기원장'!J148)</x:f>
      </x:c>
      <x:c r="J1148" s="73" t="str">
        <x:f>IF('당기원장'!A148="","",'당기원장'!K148)</x:f>
      </x:c>
      <x:c r="K1148" s="73" t="str">
        <x:f>IF(B1148="","",IF(COUNTIF($B$5:B1148,B1148)=1,COUNT($K$4:K1147)+1,""))</x:f>
      </x:c>
      <x:c r="L1148" s="85" t="str">
        <x:f>IF(B1148="","",IF(COUNTIFS('계정비교'!$A$5:$A$1004,B1148,'계정비교'!$H$5:$H$1004,"원인분석 대상")&gt;0,COUNT($L$4:L1147)+1,""))</x:f>
      </x:c>
    </x:row>
    <x:row r="1149">
      <x:c r="A1149" s="73" t="str">
        <x:f>IF('당기원장'!A149="","","당기")</x:f>
      </x:c>
      <x:c r="B1149" s="73" t="str">
        <x:f>IF('당기원장'!A149="","",'당기원장'!A149)</x:f>
      </x:c>
      <x:c r="C1149" s="73" t="str">
        <x:f>IF('당기원장'!A149="","",'당기원장'!B149)</x:f>
      </x:c>
      <x:c r="D1149" s="74" t="str">
        <x:f>IF('당기원장'!A149="","",'당기원장'!C149)</x:f>
      </x:c>
      <x:c r="E1149" s="73" t="str">
        <x:f>IF('당기원장'!A149="","",'당기원장'!D149)</x:f>
      </x:c>
      <x:c r="F1149" s="73" t="str">
        <x:f>IF('당기원장'!A149="","",'당기원장'!E149)</x:f>
      </x:c>
      <x:c r="G1149" s="75" t="str">
        <x:f>IF('당기원장'!A149="","",'당기원장'!H149)</x:f>
      </x:c>
      <x:c r="H1149" s="73" t="str">
        <x:f>IF('당기원장'!A149="","",'당기원장'!I149)</x:f>
      </x:c>
      <x:c r="I1149" s="73" t="str">
        <x:f>IF('당기원장'!A149="","",'당기원장'!J149)</x:f>
      </x:c>
      <x:c r="J1149" s="73" t="str">
        <x:f>IF('당기원장'!A149="","",'당기원장'!K149)</x:f>
      </x:c>
      <x:c r="K1149" s="73" t="str">
        <x:f>IF(B1149="","",IF(COUNTIF($B$5:B1149,B1149)=1,COUNT($K$4:K1148)+1,""))</x:f>
      </x:c>
      <x:c r="L1149" s="85" t="str">
        <x:f>IF(B1149="","",IF(COUNTIFS('계정비교'!$A$5:$A$1004,B1149,'계정비교'!$H$5:$H$1004,"원인분석 대상")&gt;0,COUNT($L$4:L1148)+1,""))</x:f>
      </x:c>
    </x:row>
    <x:row r="1150">
      <x:c r="A1150" s="73" t="str">
        <x:f>IF('당기원장'!A150="","","당기")</x:f>
      </x:c>
      <x:c r="B1150" s="73" t="str">
        <x:f>IF('당기원장'!A150="","",'당기원장'!A150)</x:f>
      </x:c>
      <x:c r="C1150" s="73" t="str">
        <x:f>IF('당기원장'!A150="","",'당기원장'!B150)</x:f>
      </x:c>
      <x:c r="D1150" s="74" t="str">
        <x:f>IF('당기원장'!A150="","",'당기원장'!C150)</x:f>
      </x:c>
      <x:c r="E1150" s="73" t="str">
        <x:f>IF('당기원장'!A150="","",'당기원장'!D150)</x:f>
      </x:c>
      <x:c r="F1150" s="73" t="str">
        <x:f>IF('당기원장'!A150="","",'당기원장'!E150)</x:f>
      </x:c>
      <x:c r="G1150" s="75" t="str">
        <x:f>IF('당기원장'!A150="","",'당기원장'!H150)</x:f>
      </x:c>
      <x:c r="H1150" s="73" t="str">
        <x:f>IF('당기원장'!A150="","",'당기원장'!I150)</x:f>
      </x:c>
      <x:c r="I1150" s="73" t="str">
        <x:f>IF('당기원장'!A150="","",'당기원장'!J150)</x:f>
      </x:c>
      <x:c r="J1150" s="73" t="str">
        <x:f>IF('당기원장'!A150="","",'당기원장'!K150)</x:f>
      </x:c>
      <x:c r="K1150" s="73" t="str">
        <x:f>IF(B1150="","",IF(COUNTIF($B$5:B1150,B1150)=1,COUNT($K$4:K1149)+1,""))</x:f>
      </x:c>
      <x:c r="L1150" s="85" t="str">
        <x:f>IF(B1150="","",IF(COUNTIFS('계정비교'!$A$5:$A$1004,B1150,'계정비교'!$H$5:$H$1004,"원인분석 대상")&gt;0,COUNT($L$4:L1149)+1,""))</x:f>
      </x:c>
    </x:row>
    <x:row r="1151">
      <x:c r="A1151" s="73" t="str">
        <x:f>IF('당기원장'!A151="","","당기")</x:f>
      </x:c>
      <x:c r="B1151" s="73" t="str">
        <x:f>IF('당기원장'!A151="","",'당기원장'!A151)</x:f>
      </x:c>
      <x:c r="C1151" s="73" t="str">
        <x:f>IF('당기원장'!A151="","",'당기원장'!B151)</x:f>
      </x:c>
      <x:c r="D1151" s="74" t="str">
        <x:f>IF('당기원장'!A151="","",'당기원장'!C151)</x:f>
      </x:c>
      <x:c r="E1151" s="73" t="str">
        <x:f>IF('당기원장'!A151="","",'당기원장'!D151)</x:f>
      </x:c>
      <x:c r="F1151" s="73" t="str">
        <x:f>IF('당기원장'!A151="","",'당기원장'!E151)</x:f>
      </x:c>
      <x:c r="G1151" s="75" t="str">
        <x:f>IF('당기원장'!A151="","",'당기원장'!H151)</x:f>
      </x:c>
      <x:c r="H1151" s="73" t="str">
        <x:f>IF('당기원장'!A151="","",'당기원장'!I151)</x:f>
      </x:c>
      <x:c r="I1151" s="73" t="str">
        <x:f>IF('당기원장'!A151="","",'당기원장'!J151)</x:f>
      </x:c>
      <x:c r="J1151" s="73" t="str">
        <x:f>IF('당기원장'!A151="","",'당기원장'!K151)</x:f>
      </x:c>
      <x:c r="K1151" s="73" t="str">
        <x:f>IF(B1151="","",IF(COUNTIF($B$5:B1151,B1151)=1,COUNT($K$4:K1150)+1,""))</x:f>
      </x:c>
      <x:c r="L1151" s="85" t="str">
        <x:f>IF(B1151="","",IF(COUNTIFS('계정비교'!$A$5:$A$1004,B1151,'계정비교'!$H$5:$H$1004,"원인분석 대상")&gt;0,COUNT($L$4:L1150)+1,""))</x:f>
      </x:c>
    </x:row>
    <x:row r="1152">
      <x:c r="A1152" s="73" t="str">
        <x:f>IF('당기원장'!A152="","","당기")</x:f>
      </x:c>
      <x:c r="B1152" s="73" t="str">
        <x:f>IF('당기원장'!A152="","",'당기원장'!A152)</x:f>
      </x:c>
      <x:c r="C1152" s="73" t="str">
        <x:f>IF('당기원장'!A152="","",'당기원장'!B152)</x:f>
      </x:c>
      <x:c r="D1152" s="74" t="str">
        <x:f>IF('당기원장'!A152="","",'당기원장'!C152)</x:f>
      </x:c>
      <x:c r="E1152" s="73" t="str">
        <x:f>IF('당기원장'!A152="","",'당기원장'!D152)</x:f>
      </x:c>
      <x:c r="F1152" s="73" t="str">
        <x:f>IF('당기원장'!A152="","",'당기원장'!E152)</x:f>
      </x:c>
      <x:c r="G1152" s="75" t="str">
        <x:f>IF('당기원장'!A152="","",'당기원장'!H152)</x:f>
      </x:c>
      <x:c r="H1152" s="73" t="str">
        <x:f>IF('당기원장'!A152="","",'당기원장'!I152)</x:f>
      </x:c>
      <x:c r="I1152" s="73" t="str">
        <x:f>IF('당기원장'!A152="","",'당기원장'!J152)</x:f>
      </x:c>
      <x:c r="J1152" s="73" t="str">
        <x:f>IF('당기원장'!A152="","",'당기원장'!K152)</x:f>
      </x:c>
      <x:c r="K1152" s="73" t="str">
        <x:f>IF(B1152="","",IF(COUNTIF($B$5:B1152,B1152)=1,COUNT($K$4:K1151)+1,""))</x:f>
      </x:c>
      <x:c r="L1152" s="85" t="str">
        <x:f>IF(B1152="","",IF(COUNTIFS('계정비교'!$A$5:$A$1004,B1152,'계정비교'!$H$5:$H$1004,"원인분석 대상")&gt;0,COUNT($L$4:L1151)+1,""))</x:f>
      </x:c>
    </x:row>
    <x:row r="1153">
      <x:c r="A1153" s="73" t="str">
        <x:f>IF('당기원장'!A153="","","당기")</x:f>
      </x:c>
      <x:c r="B1153" s="73" t="str">
        <x:f>IF('당기원장'!A153="","",'당기원장'!A153)</x:f>
      </x:c>
      <x:c r="C1153" s="73" t="str">
        <x:f>IF('당기원장'!A153="","",'당기원장'!B153)</x:f>
      </x:c>
      <x:c r="D1153" s="74" t="str">
        <x:f>IF('당기원장'!A153="","",'당기원장'!C153)</x:f>
      </x:c>
      <x:c r="E1153" s="73" t="str">
        <x:f>IF('당기원장'!A153="","",'당기원장'!D153)</x:f>
      </x:c>
      <x:c r="F1153" s="73" t="str">
        <x:f>IF('당기원장'!A153="","",'당기원장'!E153)</x:f>
      </x:c>
      <x:c r="G1153" s="75" t="str">
        <x:f>IF('당기원장'!A153="","",'당기원장'!H153)</x:f>
      </x:c>
      <x:c r="H1153" s="73" t="str">
        <x:f>IF('당기원장'!A153="","",'당기원장'!I153)</x:f>
      </x:c>
      <x:c r="I1153" s="73" t="str">
        <x:f>IF('당기원장'!A153="","",'당기원장'!J153)</x:f>
      </x:c>
      <x:c r="J1153" s="73" t="str">
        <x:f>IF('당기원장'!A153="","",'당기원장'!K153)</x:f>
      </x:c>
      <x:c r="K1153" s="73" t="str">
        <x:f>IF(B1153="","",IF(COUNTIF($B$5:B1153,B1153)=1,COUNT($K$4:K1152)+1,""))</x:f>
      </x:c>
      <x:c r="L1153" s="85" t="str">
        <x:f>IF(B1153="","",IF(COUNTIFS('계정비교'!$A$5:$A$1004,B1153,'계정비교'!$H$5:$H$1004,"원인분석 대상")&gt;0,COUNT($L$4:L1152)+1,""))</x:f>
      </x:c>
    </x:row>
    <x:row r="1154">
      <x:c r="A1154" s="73" t="str">
        <x:f>IF('당기원장'!A154="","","당기")</x:f>
      </x:c>
      <x:c r="B1154" s="73" t="str">
        <x:f>IF('당기원장'!A154="","",'당기원장'!A154)</x:f>
      </x:c>
      <x:c r="C1154" s="73" t="str">
        <x:f>IF('당기원장'!A154="","",'당기원장'!B154)</x:f>
      </x:c>
      <x:c r="D1154" s="74" t="str">
        <x:f>IF('당기원장'!A154="","",'당기원장'!C154)</x:f>
      </x:c>
      <x:c r="E1154" s="73" t="str">
        <x:f>IF('당기원장'!A154="","",'당기원장'!D154)</x:f>
      </x:c>
      <x:c r="F1154" s="73" t="str">
        <x:f>IF('당기원장'!A154="","",'당기원장'!E154)</x:f>
      </x:c>
      <x:c r="G1154" s="75" t="str">
        <x:f>IF('당기원장'!A154="","",'당기원장'!H154)</x:f>
      </x:c>
      <x:c r="H1154" s="73" t="str">
        <x:f>IF('당기원장'!A154="","",'당기원장'!I154)</x:f>
      </x:c>
      <x:c r="I1154" s="73" t="str">
        <x:f>IF('당기원장'!A154="","",'당기원장'!J154)</x:f>
      </x:c>
      <x:c r="J1154" s="73" t="str">
        <x:f>IF('당기원장'!A154="","",'당기원장'!K154)</x:f>
      </x:c>
      <x:c r="K1154" s="73" t="str">
        <x:f>IF(B1154="","",IF(COUNTIF($B$5:B1154,B1154)=1,COUNT($K$4:K1153)+1,""))</x:f>
      </x:c>
      <x:c r="L1154" s="85" t="str">
        <x:f>IF(B1154="","",IF(COUNTIFS('계정비교'!$A$5:$A$1004,B1154,'계정비교'!$H$5:$H$1004,"원인분석 대상")&gt;0,COUNT($L$4:L1153)+1,""))</x:f>
      </x:c>
    </x:row>
    <x:row r="1155">
      <x:c r="A1155" s="73" t="str">
        <x:f>IF('당기원장'!A155="","","당기")</x:f>
      </x:c>
      <x:c r="B1155" s="73" t="str">
        <x:f>IF('당기원장'!A155="","",'당기원장'!A155)</x:f>
      </x:c>
      <x:c r="C1155" s="73" t="str">
        <x:f>IF('당기원장'!A155="","",'당기원장'!B155)</x:f>
      </x:c>
      <x:c r="D1155" s="74" t="str">
        <x:f>IF('당기원장'!A155="","",'당기원장'!C155)</x:f>
      </x:c>
      <x:c r="E1155" s="73" t="str">
        <x:f>IF('당기원장'!A155="","",'당기원장'!D155)</x:f>
      </x:c>
      <x:c r="F1155" s="73" t="str">
        <x:f>IF('당기원장'!A155="","",'당기원장'!E155)</x:f>
      </x:c>
      <x:c r="G1155" s="75" t="str">
        <x:f>IF('당기원장'!A155="","",'당기원장'!H155)</x:f>
      </x:c>
      <x:c r="H1155" s="73" t="str">
        <x:f>IF('당기원장'!A155="","",'당기원장'!I155)</x:f>
      </x:c>
      <x:c r="I1155" s="73" t="str">
        <x:f>IF('당기원장'!A155="","",'당기원장'!J155)</x:f>
      </x:c>
      <x:c r="J1155" s="73" t="str">
        <x:f>IF('당기원장'!A155="","",'당기원장'!K155)</x:f>
      </x:c>
      <x:c r="K1155" s="73" t="str">
        <x:f>IF(B1155="","",IF(COUNTIF($B$5:B1155,B1155)=1,COUNT($K$4:K1154)+1,""))</x:f>
      </x:c>
      <x:c r="L1155" s="85" t="str">
        <x:f>IF(B1155="","",IF(COUNTIFS('계정비교'!$A$5:$A$1004,B1155,'계정비교'!$H$5:$H$1004,"원인분석 대상")&gt;0,COUNT($L$4:L1154)+1,""))</x:f>
      </x:c>
    </x:row>
    <x:row r="1156">
      <x:c r="A1156" s="73" t="str">
        <x:f>IF('당기원장'!A156="","","당기")</x:f>
      </x:c>
      <x:c r="B1156" s="73" t="str">
        <x:f>IF('당기원장'!A156="","",'당기원장'!A156)</x:f>
      </x:c>
      <x:c r="C1156" s="73" t="str">
        <x:f>IF('당기원장'!A156="","",'당기원장'!B156)</x:f>
      </x:c>
      <x:c r="D1156" s="74" t="str">
        <x:f>IF('당기원장'!A156="","",'당기원장'!C156)</x:f>
      </x:c>
      <x:c r="E1156" s="73" t="str">
        <x:f>IF('당기원장'!A156="","",'당기원장'!D156)</x:f>
      </x:c>
      <x:c r="F1156" s="73" t="str">
        <x:f>IF('당기원장'!A156="","",'당기원장'!E156)</x:f>
      </x:c>
      <x:c r="G1156" s="75" t="str">
        <x:f>IF('당기원장'!A156="","",'당기원장'!H156)</x:f>
      </x:c>
      <x:c r="H1156" s="73" t="str">
        <x:f>IF('당기원장'!A156="","",'당기원장'!I156)</x:f>
      </x:c>
      <x:c r="I1156" s="73" t="str">
        <x:f>IF('당기원장'!A156="","",'당기원장'!J156)</x:f>
      </x:c>
      <x:c r="J1156" s="73" t="str">
        <x:f>IF('당기원장'!A156="","",'당기원장'!K156)</x:f>
      </x:c>
      <x:c r="K1156" s="73" t="str">
        <x:f>IF(B1156="","",IF(COUNTIF($B$5:B1156,B1156)=1,COUNT($K$4:K1155)+1,""))</x:f>
      </x:c>
      <x:c r="L1156" s="85" t="str">
        <x:f>IF(B1156="","",IF(COUNTIFS('계정비교'!$A$5:$A$1004,B1156,'계정비교'!$H$5:$H$1004,"원인분석 대상")&gt;0,COUNT($L$4:L1155)+1,""))</x:f>
      </x:c>
    </x:row>
    <x:row r="1157">
      <x:c r="A1157" s="73" t="str">
        <x:f>IF('당기원장'!A157="","","당기")</x:f>
      </x:c>
      <x:c r="B1157" s="73" t="str">
        <x:f>IF('당기원장'!A157="","",'당기원장'!A157)</x:f>
      </x:c>
      <x:c r="C1157" s="73" t="str">
        <x:f>IF('당기원장'!A157="","",'당기원장'!B157)</x:f>
      </x:c>
      <x:c r="D1157" s="74" t="str">
        <x:f>IF('당기원장'!A157="","",'당기원장'!C157)</x:f>
      </x:c>
      <x:c r="E1157" s="73" t="str">
        <x:f>IF('당기원장'!A157="","",'당기원장'!D157)</x:f>
      </x:c>
      <x:c r="F1157" s="73" t="str">
        <x:f>IF('당기원장'!A157="","",'당기원장'!E157)</x:f>
      </x:c>
      <x:c r="G1157" s="75" t="str">
        <x:f>IF('당기원장'!A157="","",'당기원장'!H157)</x:f>
      </x:c>
      <x:c r="H1157" s="73" t="str">
        <x:f>IF('당기원장'!A157="","",'당기원장'!I157)</x:f>
      </x:c>
      <x:c r="I1157" s="73" t="str">
        <x:f>IF('당기원장'!A157="","",'당기원장'!J157)</x:f>
      </x:c>
      <x:c r="J1157" s="73" t="str">
        <x:f>IF('당기원장'!A157="","",'당기원장'!K157)</x:f>
      </x:c>
      <x:c r="K1157" s="73" t="str">
        <x:f>IF(B1157="","",IF(COUNTIF($B$5:B1157,B1157)=1,COUNT($K$4:K1156)+1,""))</x:f>
      </x:c>
      <x:c r="L1157" s="85" t="str">
        <x:f>IF(B1157="","",IF(COUNTIFS('계정비교'!$A$5:$A$1004,B1157,'계정비교'!$H$5:$H$1004,"원인분석 대상")&gt;0,COUNT($L$4:L1156)+1,""))</x:f>
      </x:c>
    </x:row>
    <x:row r="1158">
      <x:c r="A1158" s="73" t="str">
        <x:f>IF('당기원장'!A158="","","당기")</x:f>
      </x:c>
      <x:c r="B1158" s="73" t="str">
        <x:f>IF('당기원장'!A158="","",'당기원장'!A158)</x:f>
      </x:c>
      <x:c r="C1158" s="73" t="str">
        <x:f>IF('당기원장'!A158="","",'당기원장'!B158)</x:f>
      </x:c>
      <x:c r="D1158" s="74" t="str">
        <x:f>IF('당기원장'!A158="","",'당기원장'!C158)</x:f>
      </x:c>
      <x:c r="E1158" s="73" t="str">
        <x:f>IF('당기원장'!A158="","",'당기원장'!D158)</x:f>
      </x:c>
      <x:c r="F1158" s="73" t="str">
        <x:f>IF('당기원장'!A158="","",'당기원장'!E158)</x:f>
      </x:c>
      <x:c r="G1158" s="75" t="str">
        <x:f>IF('당기원장'!A158="","",'당기원장'!H158)</x:f>
      </x:c>
      <x:c r="H1158" s="73" t="str">
        <x:f>IF('당기원장'!A158="","",'당기원장'!I158)</x:f>
      </x:c>
      <x:c r="I1158" s="73" t="str">
        <x:f>IF('당기원장'!A158="","",'당기원장'!J158)</x:f>
      </x:c>
      <x:c r="J1158" s="73" t="str">
        <x:f>IF('당기원장'!A158="","",'당기원장'!K158)</x:f>
      </x:c>
      <x:c r="K1158" s="73" t="str">
        <x:f>IF(B1158="","",IF(COUNTIF($B$5:B1158,B1158)=1,COUNT($K$4:K1157)+1,""))</x:f>
      </x:c>
      <x:c r="L1158" s="85" t="str">
        <x:f>IF(B1158="","",IF(COUNTIFS('계정비교'!$A$5:$A$1004,B1158,'계정비교'!$H$5:$H$1004,"원인분석 대상")&gt;0,COUNT($L$4:L1157)+1,""))</x:f>
      </x:c>
    </x:row>
    <x:row r="1159">
      <x:c r="A1159" s="73" t="str">
        <x:f>IF('당기원장'!A159="","","당기")</x:f>
      </x:c>
      <x:c r="B1159" s="73" t="str">
        <x:f>IF('당기원장'!A159="","",'당기원장'!A159)</x:f>
      </x:c>
      <x:c r="C1159" s="73" t="str">
        <x:f>IF('당기원장'!A159="","",'당기원장'!B159)</x:f>
      </x:c>
      <x:c r="D1159" s="74" t="str">
        <x:f>IF('당기원장'!A159="","",'당기원장'!C159)</x:f>
      </x:c>
      <x:c r="E1159" s="73" t="str">
        <x:f>IF('당기원장'!A159="","",'당기원장'!D159)</x:f>
      </x:c>
      <x:c r="F1159" s="73" t="str">
        <x:f>IF('당기원장'!A159="","",'당기원장'!E159)</x:f>
      </x:c>
      <x:c r="G1159" s="75" t="str">
        <x:f>IF('당기원장'!A159="","",'당기원장'!H159)</x:f>
      </x:c>
      <x:c r="H1159" s="73" t="str">
        <x:f>IF('당기원장'!A159="","",'당기원장'!I159)</x:f>
      </x:c>
      <x:c r="I1159" s="73" t="str">
        <x:f>IF('당기원장'!A159="","",'당기원장'!J159)</x:f>
      </x:c>
      <x:c r="J1159" s="73" t="str">
        <x:f>IF('당기원장'!A159="","",'당기원장'!K159)</x:f>
      </x:c>
      <x:c r="K1159" s="73" t="str">
        <x:f>IF(B1159="","",IF(COUNTIF($B$5:B1159,B1159)=1,COUNT($K$4:K1158)+1,""))</x:f>
      </x:c>
      <x:c r="L1159" s="85" t="str">
        <x:f>IF(B1159="","",IF(COUNTIFS('계정비교'!$A$5:$A$1004,B1159,'계정비교'!$H$5:$H$1004,"원인분석 대상")&gt;0,COUNT($L$4:L1158)+1,""))</x:f>
      </x:c>
    </x:row>
    <x:row r="1160">
      <x:c r="A1160" s="73" t="str">
        <x:f>IF('당기원장'!A160="","","당기")</x:f>
      </x:c>
      <x:c r="B1160" s="73" t="str">
        <x:f>IF('당기원장'!A160="","",'당기원장'!A160)</x:f>
      </x:c>
      <x:c r="C1160" s="73" t="str">
        <x:f>IF('당기원장'!A160="","",'당기원장'!B160)</x:f>
      </x:c>
      <x:c r="D1160" s="74" t="str">
        <x:f>IF('당기원장'!A160="","",'당기원장'!C160)</x:f>
      </x:c>
      <x:c r="E1160" s="73" t="str">
        <x:f>IF('당기원장'!A160="","",'당기원장'!D160)</x:f>
      </x:c>
      <x:c r="F1160" s="73" t="str">
        <x:f>IF('당기원장'!A160="","",'당기원장'!E160)</x:f>
      </x:c>
      <x:c r="G1160" s="75" t="str">
        <x:f>IF('당기원장'!A160="","",'당기원장'!H160)</x:f>
      </x:c>
      <x:c r="H1160" s="73" t="str">
        <x:f>IF('당기원장'!A160="","",'당기원장'!I160)</x:f>
      </x:c>
      <x:c r="I1160" s="73" t="str">
        <x:f>IF('당기원장'!A160="","",'당기원장'!J160)</x:f>
      </x:c>
      <x:c r="J1160" s="73" t="str">
        <x:f>IF('당기원장'!A160="","",'당기원장'!K160)</x:f>
      </x:c>
      <x:c r="K1160" s="73" t="str">
        <x:f>IF(B1160="","",IF(COUNTIF($B$5:B1160,B1160)=1,COUNT($K$4:K1159)+1,""))</x:f>
      </x:c>
      <x:c r="L1160" s="85" t="str">
        <x:f>IF(B1160="","",IF(COUNTIFS('계정비교'!$A$5:$A$1004,B1160,'계정비교'!$H$5:$H$1004,"원인분석 대상")&gt;0,COUNT($L$4:L1159)+1,""))</x:f>
      </x:c>
    </x:row>
    <x:row r="1161">
      <x:c r="A1161" s="73" t="str">
        <x:f>IF('당기원장'!A161="","","당기")</x:f>
      </x:c>
      <x:c r="B1161" s="73" t="str">
        <x:f>IF('당기원장'!A161="","",'당기원장'!A161)</x:f>
      </x:c>
      <x:c r="C1161" s="73" t="str">
        <x:f>IF('당기원장'!A161="","",'당기원장'!B161)</x:f>
      </x:c>
      <x:c r="D1161" s="74" t="str">
        <x:f>IF('당기원장'!A161="","",'당기원장'!C161)</x:f>
      </x:c>
      <x:c r="E1161" s="73" t="str">
        <x:f>IF('당기원장'!A161="","",'당기원장'!D161)</x:f>
      </x:c>
      <x:c r="F1161" s="73" t="str">
        <x:f>IF('당기원장'!A161="","",'당기원장'!E161)</x:f>
      </x:c>
      <x:c r="G1161" s="75" t="str">
        <x:f>IF('당기원장'!A161="","",'당기원장'!H161)</x:f>
      </x:c>
      <x:c r="H1161" s="73" t="str">
        <x:f>IF('당기원장'!A161="","",'당기원장'!I161)</x:f>
      </x:c>
      <x:c r="I1161" s="73" t="str">
        <x:f>IF('당기원장'!A161="","",'당기원장'!J161)</x:f>
      </x:c>
      <x:c r="J1161" s="73" t="str">
        <x:f>IF('당기원장'!A161="","",'당기원장'!K161)</x:f>
      </x:c>
      <x:c r="K1161" s="73" t="str">
        <x:f>IF(B1161="","",IF(COUNTIF($B$5:B1161,B1161)=1,COUNT($K$4:K1160)+1,""))</x:f>
      </x:c>
      <x:c r="L1161" s="85" t="str">
        <x:f>IF(B1161="","",IF(COUNTIFS('계정비교'!$A$5:$A$1004,B1161,'계정비교'!$H$5:$H$1004,"원인분석 대상")&gt;0,COUNT($L$4:L1160)+1,""))</x:f>
      </x:c>
    </x:row>
    <x:row r="1162">
      <x:c r="A1162" s="73" t="str">
        <x:f>IF('당기원장'!A162="","","당기")</x:f>
      </x:c>
      <x:c r="B1162" s="73" t="str">
        <x:f>IF('당기원장'!A162="","",'당기원장'!A162)</x:f>
      </x:c>
      <x:c r="C1162" s="73" t="str">
        <x:f>IF('당기원장'!A162="","",'당기원장'!B162)</x:f>
      </x:c>
      <x:c r="D1162" s="74" t="str">
        <x:f>IF('당기원장'!A162="","",'당기원장'!C162)</x:f>
      </x:c>
      <x:c r="E1162" s="73" t="str">
        <x:f>IF('당기원장'!A162="","",'당기원장'!D162)</x:f>
      </x:c>
      <x:c r="F1162" s="73" t="str">
        <x:f>IF('당기원장'!A162="","",'당기원장'!E162)</x:f>
      </x:c>
      <x:c r="G1162" s="75" t="str">
        <x:f>IF('당기원장'!A162="","",'당기원장'!H162)</x:f>
      </x:c>
      <x:c r="H1162" s="73" t="str">
        <x:f>IF('당기원장'!A162="","",'당기원장'!I162)</x:f>
      </x:c>
      <x:c r="I1162" s="73" t="str">
        <x:f>IF('당기원장'!A162="","",'당기원장'!J162)</x:f>
      </x:c>
      <x:c r="J1162" s="73" t="str">
        <x:f>IF('당기원장'!A162="","",'당기원장'!K162)</x:f>
      </x:c>
      <x:c r="K1162" s="73" t="str">
        <x:f>IF(B1162="","",IF(COUNTIF($B$5:B1162,B1162)=1,COUNT($K$4:K1161)+1,""))</x:f>
      </x:c>
      <x:c r="L1162" s="85" t="str">
        <x:f>IF(B1162="","",IF(COUNTIFS('계정비교'!$A$5:$A$1004,B1162,'계정비교'!$H$5:$H$1004,"원인분석 대상")&gt;0,COUNT($L$4:L1161)+1,""))</x:f>
      </x:c>
    </x:row>
    <x:row r="1163">
      <x:c r="A1163" s="73" t="str">
        <x:f>IF('당기원장'!A163="","","당기")</x:f>
      </x:c>
      <x:c r="B1163" s="73" t="str">
        <x:f>IF('당기원장'!A163="","",'당기원장'!A163)</x:f>
      </x:c>
      <x:c r="C1163" s="73" t="str">
        <x:f>IF('당기원장'!A163="","",'당기원장'!B163)</x:f>
      </x:c>
      <x:c r="D1163" s="74" t="str">
        <x:f>IF('당기원장'!A163="","",'당기원장'!C163)</x:f>
      </x:c>
      <x:c r="E1163" s="73" t="str">
        <x:f>IF('당기원장'!A163="","",'당기원장'!D163)</x:f>
      </x:c>
      <x:c r="F1163" s="73" t="str">
        <x:f>IF('당기원장'!A163="","",'당기원장'!E163)</x:f>
      </x:c>
      <x:c r="G1163" s="75" t="str">
        <x:f>IF('당기원장'!A163="","",'당기원장'!H163)</x:f>
      </x:c>
      <x:c r="H1163" s="73" t="str">
        <x:f>IF('당기원장'!A163="","",'당기원장'!I163)</x:f>
      </x:c>
      <x:c r="I1163" s="73" t="str">
        <x:f>IF('당기원장'!A163="","",'당기원장'!J163)</x:f>
      </x:c>
      <x:c r="J1163" s="73" t="str">
        <x:f>IF('당기원장'!A163="","",'당기원장'!K163)</x:f>
      </x:c>
      <x:c r="K1163" s="73" t="str">
        <x:f>IF(B1163="","",IF(COUNTIF($B$5:B1163,B1163)=1,COUNT($K$4:K1162)+1,""))</x:f>
      </x:c>
      <x:c r="L1163" s="85" t="str">
        <x:f>IF(B1163="","",IF(COUNTIFS('계정비교'!$A$5:$A$1004,B1163,'계정비교'!$H$5:$H$1004,"원인분석 대상")&gt;0,COUNT($L$4:L1162)+1,""))</x:f>
      </x:c>
    </x:row>
    <x:row r="1164">
      <x:c r="A1164" s="73" t="str">
        <x:f>IF('당기원장'!A164="","","당기")</x:f>
      </x:c>
      <x:c r="B1164" s="73" t="str">
        <x:f>IF('당기원장'!A164="","",'당기원장'!A164)</x:f>
      </x:c>
      <x:c r="C1164" s="73" t="str">
        <x:f>IF('당기원장'!A164="","",'당기원장'!B164)</x:f>
      </x:c>
      <x:c r="D1164" s="74" t="str">
        <x:f>IF('당기원장'!A164="","",'당기원장'!C164)</x:f>
      </x:c>
      <x:c r="E1164" s="73" t="str">
        <x:f>IF('당기원장'!A164="","",'당기원장'!D164)</x:f>
      </x:c>
      <x:c r="F1164" s="73" t="str">
        <x:f>IF('당기원장'!A164="","",'당기원장'!E164)</x:f>
      </x:c>
      <x:c r="G1164" s="75" t="str">
        <x:f>IF('당기원장'!A164="","",'당기원장'!H164)</x:f>
      </x:c>
      <x:c r="H1164" s="73" t="str">
        <x:f>IF('당기원장'!A164="","",'당기원장'!I164)</x:f>
      </x:c>
      <x:c r="I1164" s="73" t="str">
        <x:f>IF('당기원장'!A164="","",'당기원장'!J164)</x:f>
      </x:c>
      <x:c r="J1164" s="73" t="str">
        <x:f>IF('당기원장'!A164="","",'당기원장'!K164)</x:f>
      </x:c>
      <x:c r="K1164" s="73" t="str">
        <x:f>IF(B1164="","",IF(COUNTIF($B$5:B1164,B1164)=1,COUNT($K$4:K1163)+1,""))</x:f>
      </x:c>
      <x:c r="L1164" s="85" t="str">
        <x:f>IF(B1164="","",IF(COUNTIFS('계정비교'!$A$5:$A$1004,B1164,'계정비교'!$H$5:$H$1004,"원인분석 대상")&gt;0,COUNT($L$4:L1163)+1,""))</x:f>
      </x:c>
    </x:row>
    <x:row r="1165">
      <x:c r="A1165" s="73" t="str">
        <x:f>IF('당기원장'!A165="","","당기")</x:f>
      </x:c>
      <x:c r="B1165" s="73" t="str">
        <x:f>IF('당기원장'!A165="","",'당기원장'!A165)</x:f>
      </x:c>
      <x:c r="C1165" s="73" t="str">
        <x:f>IF('당기원장'!A165="","",'당기원장'!B165)</x:f>
      </x:c>
      <x:c r="D1165" s="74" t="str">
        <x:f>IF('당기원장'!A165="","",'당기원장'!C165)</x:f>
      </x:c>
      <x:c r="E1165" s="73" t="str">
        <x:f>IF('당기원장'!A165="","",'당기원장'!D165)</x:f>
      </x:c>
      <x:c r="F1165" s="73" t="str">
        <x:f>IF('당기원장'!A165="","",'당기원장'!E165)</x:f>
      </x:c>
      <x:c r="G1165" s="75" t="str">
        <x:f>IF('당기원장'!A165="","",'당기원장'!H165)</x:f>
      </x:c>
      <x:c r="H1165" s="73" t="str">
        <x:f>IF('당기원장'!A165="","",'당기원장'!I165)</x:f>
      </x:c>
      <x:c r="I1165" s="73" t="str">
        <x:f>IF('당기원장'!A165="","",'당기원장'!J165)</x:f>
      </x:c>
      <x:c r="J1165" s="73" t="str">
        <x:f>IF('당기원장'!A165="","",'당기원장'!K165)</x:f>
      </x:c>
      <x:c r="K1165" s="73" t="str">
        <x:f>IF(B1165="","",IF(COUNTIF($B$5:B1165,B1165)=1,COUNT($K$4:K1164)+1,""))</x:f>
      </x:c>
      <x:c r="L1165" s="85" t="str">
        <x:f>IF(B1165="","",IF(COUNTIFS('계정비교'!$A$5:$A$1004,B1165,'계정비교'!$H$5:$H$1004,"원인분석 대상")&gt;0,COUNT($L$4:L1164)+1,""))</x:f>
      </x:c>
    </x:row>
    <x:row r="1166">
      <x:c r="A1166" s="73" t="str">
        <x:f>IF('당기원장'!A166="","","당기")</x:f>
      </x:c>
      <x:c r="B1166" s="73" t="str">
        <x:f>IF('당기원장'!A166="","",'당기원장'!A166)</x:f>
      </x:c>
      <x:c r="C1166" s="73" t="str">
        <x:f>IF('당기원장'!A166="","",'당기원장'!B166)</x:f>
      </x:c>
      <x:c r="D1166" s="74" t="str">
        <x:f>IF('당기원장'!A166="","",'당기원장'!C166)</x:f>
      </x:c>
      <x:c r="E1166" s="73" t="str">
        <x:f>IF('당기원장'!A166="","",'당기원장'!D166)</x:f>
      </x:c>
      <x:c r="F1166" s="73" t="str">
        <x:f>IF('당기원장'!A166="","",'당기원장'!E166)</x:f>
      </x:c>
      <x:c r="G1166" s="75" t="str">
        <x:f>IF('당기원장'!A166="","",'당기원장'!H166)</x:f>
      </x:c>
      <x:c r="H1166" s="73" t="str">
        <x:f>IF('당기원장'!A166="","",'당기원장'!I166)</x:f>
      </x:c>
      <x:c r="I1166" s="73" t="str">
        <x:f>IF('당기원장'!A166="","",'당기원장'!J166)</x:f>
      </x:c>
      <x:c r="J1166" s="73" t="str">
        <x:f>IF('당기원장'!A166="","",'당기원장'!K166)</x:f>
      </x:c>
      <x:c r="K1166" s="73" t="str">
        <x:f>IF(B1166="","",IF(COUNTIF($B$5:B1166,B1166)=1,COUNT($K$4:K1165)+1,""))</x:f>
      </x:c>
      <x:c r="L1166" s="85" t="str">
        <x:f>IF(B1166="","",IF(COUNTIFS('계정비교'!$A$5:$A$1004,B1166,'계정비교'!$H$5:$H$1004,"원인분석 대상")&gt;0,COUNT($L$4:L1165)+1,""))</x:f>
      </x:c>
    </x:row>
    <x:row r="1167">
      <x:c r="A1167" s="73" t="str">
        <x:f>IF('당기원장'!A167="","","당기")</x:f>
      </x:c>
      <x:c r="B1167" s="73" t="str">
        <x:f>IF('당기원장'!A167="","",'당기원장'!A167)</x:f>
      </x:c>
      <x:c r="C1167" s="73" t="str">
        <x:f>IF('당기원장'!A167="","",'당기원장'!B167)</x:f>
      </x:c>
      <x:c r="D1167" s="74" t="str">
        <x:f>IF('당기원장'!A167="","",'당기원장'!C167)</x:f>
      </x:c>
      <x:c r="E1167" s="73" t="str">
        <x:f>IF('당기원장'!A167="","",'당기원장'!D167)</x:f>
      </x:c>
      <x:c r="F1167" s="73" t="str">
        <x:f>IF('당기원장'!A167="","",'당기원장'!E167)</x:f>
      </x:c>
      <x:c r="G1167" s="75" t="str">
        <x:f>IF('당기원장'!A167="","",'당기원장'!H167)</x:f>
      </x:c>
      <x:c r="H1167" s="73" t="str">
        <x:f>IF('당기원장'!A167="","",'당기원장'!I167)</x:f>
      </x:c>
      <x:c r="I1167" s="73" t="str">
        <x:f>IF('당기원장'!A167="","",'당기원장'!J167)</x:f>
      </x:c>
      <x:c r="J1167" s="73" t="str">
        <x:f>IF('당기원장'!A167="","",'당기원장'!K167)</x:f>
      </x:c>
      <x:c r="K1167" s="73" t="str">
        <x:f>IF(B1167="","",IF(COUNTIF($B$5:B1167,B1167)=1,COUNT($K$4:K1166)+1,""))</x:f>
      </x:c>
      <x:c r="L1167" s="85" t="str">
        <x:f>IF(B1167="","",IF(COUNTIFS('계정비교'!$A$5:$A$1004,B1167,'계정비교'!$H$5:$H$1004,"원인분석 대상")&gt;0,COUNT($L$4:L1166)+1,""))</x:f>
      </x:c>
    </x:row>
    <x:row r="1168">
      <x:c r="A1168" s="73" t="str">
        <x:f>IF('당기원장'!A168="","","당기")</x:f>
      </x:c>
      <x:c r="B1168" s="73" t="str">
        <x:f>IF('당기원장'!A168="","",'당기원장'!A168)</x:f>
      </x:c>
      <x:c r="C1168" s="73" t="str">
        <x:f>IF('당기원장'!A168="","",'당기원장'!B168)</x:f>
      </x:c>
      <x:c r="D1168" s="74" t="str">
        <x:f>IF('당기원장'!A168="","",'당기원장'!C168)</x:f>
      </x:c>
      <x:c r="E1168" s="73" t="str">
        <x:f>IF('당기원장'!A168="","",'당기원장'!D168)</x:f>
      </x:c>
      <x:c r="F1168" s="73" t="str">
        <x:f>IF('당기원장'!A168="","",'당기원장'!E168)</x:f>
      </x:c>
      <x:c r="G1168" s="75" t="str">
        <x:f>IF('당기원장'!A168="","",'당기원장'!H168)</x:f>
      </x:c>
      <x:c r="H1168" s="73" t="str">
        <x:f>IF('당기원장'!A168="","",'당기원장'!I168)</x:f>
      </x:c>
      <x:c r="I1168" s="73" t="str">
        <x:f>IF('당기원장'!A168="","",'당기원장'!J168)</x:f>
      </x:c>
      <x:c r="J1168" s="73" t="str">
        <x:f>IF('당기원장'!A168="","",'당기원장'!K168)</x:f>
      </x:c>
      <x:c r="K1168" s="73" t="str">
        <x:f>IF(B1168="","",IF(COUNTIF($B$5:B1168,B1168)=1,COUNT($K$4:K1167)+1,""))</x:f>
      </x:c>
      <x:c r="L1168" s="85" t="str">
        <x:f>IF(B1168="","",IF(COUNTIFS('계정비교'!$A$5:$A$1004,B1168,'계정비교'!$H$5:$H$1004,"원인분석 대상")&gt;0,COUNT($L$4:L1167)+1,""))</x:f>
      </x:c>
    </x:row>
    <x:row r="1169">
      <x:c r="A1169" s="73" t="str">
        <x:f>IF('당기원장'!A169="","","당기")</x:f>
      </x:c>
      <x:c r="B1169" s="73" t="str">
        <x:f>IF('당기원장'!A169="","",'당기원장'!A169)</x:f>
      </x:c>
      <x:c r="C1169" s="73" t="str">
        <x:f>IF('당기원장'!A169="","",'당기원장'!B169)</x:f>
      </x:c>
      <x:c r="D1169" s="74" t="str">
        <x:f>IF('당기원장'!A169="","",'당기원장'!C169)</x:f>
      </x:c>
      <x:c r="E1169" s="73" t="str">
        <x:f>IF('당기원장'!A169="","",'당기원장'!D169)</x:f>
      </x:c>
      <x:c r="F1169" s="73" t="str">
        <x:f>IF('당기원장'!A169="","",'당기원장'!E169)</x:f>
      </x:c>
      <x:c r="G1169" s="75" t="str">
        <x:f>IF('당기원장'!A169="","",'당기원장'!H169)</x:f>
      </x:c>
      <x:c r="H1169" s="73" t="str">
        <x:f>IF('당기원장'!A169="","",'당기원장'!I169)</x:f>
      </x:c>
      <x:c r="I1169" s="73" t="str">
        <x:f>IF('당기원장'!A169="","",'당기원장'!J169)</x:f>
      </x:c>
      <x:c r="J1169" s="73" t="str">
        <x:f>IF('당기원장'!A169="","",'당기원장'!K169)</x:f>
      </x:c>
      <x:c r="K1169" s="73" t="str">
        <x:f>IF(B1169="","",IF(COUNTIF($B$5:B1169,B1169)=1,COUNT($K$4:K1168)+1,""))</x:f>
      </x:c>
      <x:c r="L1169" s="85" t="str">
        <x:f>IF(B1169="","",IF(COUNTIFS('계정비교'!$A$5:$A$1004,B1169,'계정비교'!$H$5:$H$1004,"원인분석 대상")&gt;0,COUNT($L$4:L1168)+1,""))</x:f>
      </x:c>
    </x:row>
    <x:row r="1170">
      <x:c r="A1170" s="73" t="str">
        <x:f>IF('당기원장'!A170="","","당기")</x:f>
      </x:c>
      <x:c r="B1170" s="73" t="str">
        <x:f>IF('당기원장'!A170="","",'당기원장'!A170)</x:f>
      </x:c>
      <x:c r="C1170" s="73" t="str">
        <x:f>IF('당기원장'!A170="","",'당기원장'!B170)</x:f>
      </x:c>
      <x:c r="D1170" s="74" t="str">
        <x:f>IF('당기원장'!A170="","",'당기원장'!C170)</x:f>
      </x:c>
      <x:c r="E1170" s="73" t="str">
        <x:f>IF('당기원장'!A170="","",'당기원장'!D170)</x:f>
      </x:c>
      <x:c r="F1170" s="73" t="str">
        <x:f>IF('당기원장'!A170="","",'당기원장'!E170)</x:f>
      </x:c>
      <x:c r="G1170" s="75" t="str">
        <x:f>IF('당기원장'!A170="","",'당기원장'!H170)</x:f>
      </x:c>
      <x:c r="H1170" s="73" t="str">
        <x:f>IF('당기원장'!A170="","",'당기원장'!I170)</x:f>
      </x:c>
      <x:c r="I1170" s="73" t="str">
        <x:f>IF('당기원장'!A170="","",'당기원장'!J170)</x:f>
      </x:c>
      <x:c r="J1170" s="73" t="str">
        <x:f>IF('당기원장'!A170="","",'당기원장'!K170)</x:f>
      </x:c>
      <x:c r="K1170" s="73" t="str">
        <x:f>IF(B1170="","",IF(COUNTIF($B$5:B1170,B1170)=1,COUNT($K$4:K1169)+1,""))</x:f>
      </x:c>
      <x:c r="L1170" s="85" t="str">
        <x:f>IF(B1170="","",IF(COUNTIFS('계정비교'!$A$5:$A$1004,B1170,'계정비교'!$H$5:$H$1004,"원인분석 대상")&gt;0,COUNT($L$4:L1169)+1,""))</x:f>
      </x:c>
    </x:row>
    <x:row r="1171">
      <x:c r="A1171" s="73" t="str">
        <x:f>IF('당기원장'!A171="","","당기")</x:f>
      </x:c>
      <x:c r="B1171" s="73" t="str">
        <x:f>IF('당기원장'!A171="","",'당기원장'!A171)</x:f>
      </x:c>
      <x:c r="C1171" s="73" t="str">
        <x:f>IF('당기원장'!A171="","",'당기원장'!B171)</x:f>
      </x:c>
      <x:c r="D1171" s="74" t="str">
        <x:f>IF('당기원장'!A171="","",'당기원장'!C171)</x:f>
      </x:c>
      <x:c r="E1171" s="73" t="str">
        <x:f>IF('당기원장'!A171="","",'당기원장'!D171)</x:f>
      </x:c>
      <x:c r="F1171" s="73" t="str">
        <x:f>IF('당기원장'!A171="","",'당기원장'!E171)</x:f>
      </x:c>
      <x:c r="G1171" s="75" t="str">
        <x:f>IF('당기원장'!A171="","",'당기원장'!H171)</x:f>
      </x:c>
      <x:c r="H1171" s="73" t="str">
        <x:f>IF('당기원장'!A171="","",'당기원장'!I171)</x:f>
      </x:c>
      <x:c r="I1171" s="73" t="str">
        <x:f>IF('당기원장'!A171="","",'당기원장'!J171)</x:f>
      </x:c>
      <x:c r="J1171" s="73" t="str">
        <x:f>IF('당기원장'!A171="","",'당기원장'!K171)</x:f>
      </x:c>
      <x:c r="K1171" s="73" t="str">
        <x:f>IF(B1171="","",IF(COUNTIF($B$5:B1171,B1171)=1,COUNT($K$4:K1170)+1,""))</x:f>
      </x:c>
      <x:c r="L1171" s="85" t="str">
        <x:f>IF(B1171="","",IF(COUNTIFS('계정비교'!$A$5:$A$1004,B1171,'계정비교'!$H$5:$H$1004,"원인분석 대상")&gt;0,COUNT($L$4:L1170)+1,""))</x:f>
      </x:c>
    </x:row>
    <x:row r="1172">
      <x:c r="A1172" s="73" t="str">
        <x:f>IF('당기원장'!A172="","","당기")</x:f>
      </x:c>
      <x:c r="B1172" s="73" t="str">
        <x:f>IF('당기원장'!A172="","",'당기원장'!A172)</x:f>
      </x:c>
      <x:c r="C1172" s="73" t="str">
        <x:f>IF('당기원장'!A172="","",'당기원장'!B172)</x:f>
      </x:c>
      <x:c r="D1172" s="74" t="str">
        <x:f>IF('당기원장'!A172="","",'당기원장'!C172)</x:f>
      </x:c>
      <x:c r="E1172" s="73" t="str">
        <x:f>IF('당기원장'!A172="","",'당기원장'!D172)</x:f>
      </x:c>
      <x:c r="F1172" s="73" t="str">
        <x:f>IF('당기원장'!A172="","",'당기원장'!E172)</x:f>
      </x:c>
      <x:c r="G1172" s="75" t="str">
        <x:f>IF('당기원장'!A172="","",'당기원장'!H172)</x:f>
      </x:c>
      <x:c r="H1172" s="73" t="str">
        <x:f>IF('당기원장'!A172="","",'당기원장'!I172)</x:f>
      </x:c>
      <x:c r="I1172" s="73" t="str">
        <x:f>IF('당기원장'!A172="","",'당기원장'!J172)</x:f>
      </x:c>
      <x:c r="J1172" s="73" t="str">
        <x:f>IF('당기원장'!A172="","",'당기원장'!K172)</x:f>
      </x:c>
      <x:c r="K1172" s="73" t="str">
        <x:f>IF(B1172="","",IF(COUNTIF($B$5:B1172,B1172)=1,COUNT($K$4:K1171)+1,""))</x:f>
      </x:c>
      <x:c r="L1172" s="85" t="str">
        <x:f>IF(B1172="","",IF(COUNTIFS('계정비교'!$A$5:$A$1004,B1172,'계정비교'!$H$5:$H$1004,"원인분석 대상")&gt;0,COUNT($L$4:L1171)+1,""))</x:f>
      </x:c>
    </x:row>
    <x:row r="1173">
      <x:c r="A1173" s="73" t="str">
        <x:f>IF('당기원장'!A173="","","당기")</x:f>
      </x:c>
      <x:c r="B1173" s="73" t="str">
        <x:f>IF('당기원장'!A173="","",'당기원장'!A173)</x:f>
      </x:c>
      <x:c r="C1173" s="73" t="str">
        <x:f>IF('당기원장'!A173="","",'당기원장'!B173)</x:f>
      </x:c>
      <x:c r="D1173" s="74" t="str">
        <x:f>IF('당기원장'!A173="","",'당기원장'!C173)</x:f>
      </x:c>
      <x:c r="E1173" s="73" t="str">
        <x:f>IF('당기원장'!A173="","",'당기원장'!D173)</x:f>
      </x:c>
      <x:c r="F1173" s="73" t="str">
        <x:f>IF('당기원장'!A173="","",'당기원장'!E173)</x:f>
      </x:c>
      <x:c r="G1173" s="75" t="str">
        <x:f>IF('당기원장'!A173="","",'당기원장'!H173)</x:f>
      </x:c>
      <x:c r="H1173" s="73" t="str">
        <x:f>IF('당기원장'!A173="","",'당기원장'!I173)</x:f>
      </x:c>
      <x:c r="I1173" s="73" t="str">
        <x:f>IF('당기원장'!A173="","",'당기원장'!J173)</x:f>
      </x:c>
      <x:c r="J1173" s="73" t="str">
        <x:f>IF('당기원장'!A173="","",'당기원장'!K173)</x:f>
      </x:c>
      <x:c r="K1173" s="73" t="str">
        <x:f>IF(B1173="","",IF(COUNTIF($B$5:B1173,B1173)=1,COUNT($K$4:K1172)+1,""))</x:f>
      </x:c>
      <x:c r="L1173" s="85" t="str">
        <x:f>IF(B1173="","",IF(COUNTIFS('계정비교'!$A$5:$A$1004,B1173,'계정비교'!$H$5:$H$1004,"원인분석 대상")&gt;0,COUNT($L$4:L1172)+1,""))</x:f>
      </x:c>
    </x:row>
    <x:row r="1174">
      <x:c r="A1174" s="73" t="str">
        <x:f>IF('당기원장'!A174="","","당기")</x:f>
      </x:c>
      <x:c r="B1174" s="73" t="str">
        <x:f>IF('당기원장'!A174="","",'당기원장'!A174)</x:f>
      </x:c>
      <x:c r="C1174" s="73" t="str">
        <x:f>IF('당기원장'!A174="","",'당기원장'!B174)</x:f>
      </x:c>
      <x:c r="D1174" s="74" t="str">
        <x:f>IF('당기원장'!A174="","",'당기원장'!C174)</x:f>
      </x:c>
      <x:c r="E1174" s="73" t="str">
        <x:f>IF('당기원장'!A174="","",'당기원장'!D174)</x:f>
      </x:c>
      <x:c r="F1174" s="73" t="str">
        <x:f>IF('당기원장'!A174="","",'당기원장'!E174)</x:f>
      </x:c>
      <x:c r="G1174" s="75" t="str">
        <x:f>IF('당기원장'!A174="","",'당기원장'!H174)</x:f>
      </x:c>
      <x:c r="H1174" s="73" t="str">
        <x:f>IF('당기원장'!A174="","",'당기원장'!I174)</x:f>
      </x:c>
      <x:c r="I1174" s="73" t="str">
        <x:f>IF('당기원장'!A174="","",'당기원장'!J174)</x:f>
      </x:c>
      <x:c r="J1174" s="73" t="str">
        <x:f>IF('당기원장'!A174="","",'당기원장'!K174)</x:f>
      </x:c>
      <x:c r="K1174" s="73" t="str">
        <x:f>IF(B1174="","",IF(COUNTIF($B$5:B1174,B1174)=1,COUNT($K$4:K1173)+1,""))</x:f>
      </x:c>
      <x:c r="L1174" s="85" t="str">
        <x:f>IF(B1174="","",IF(COUNTIFS('계정비교'!$A$5:$A$1004,B1174,'계정비교'!$H$5:$H$1004,"원인분석 대상")&gt;0,COUNT($L$4:L1173)+1,""))</x:f>
      </x:c>
    </x:row>
    <x:row r="1175">
      <x:c r="A1175" s="73" t="str">
        <x:f>IF('당기원장'!A175="","","당기")</x:f>
      </x:c>
      <x:c r="B1175" s="73" t="str">
        <x:f>IF('당기원장'!A175="","",'당기원장'!A175)</x:f>
      </x:c>
      <x:c r="C1175" s="73" t="str">
        <x:f>IF('당기원장'!A175="","",'당기원장'!B175)</x:f>
      </x:c>
      <x:c r="D1175" s="74" t="str">
        <x:f>IF('당기원장'!A175="","",'당기원장'!C175)</x:f>
      </x:c>
      <x:c r="E1175" s="73" t="str">
        <x:f>IF('당기원장'!A175="","",'당기원장'!D175)</x:f>
      </x:c>
      <x:c r="F1175" s="73" t="str">
        <x:f>IF('당기원장'!A175="","",'당기원장'!E175)</x:f>
      </x:c>
      <x:c r="G1175" s="75" t="str">
        <x:f>IF('당기원장'!A175="","",'당기원장'!H175)</x:f>
      </x:c>
      <x:c r="H1175" s="73" t="str">
        <x:f>IF('당기원장'!A175="","",'당기원장'!I175)</x:f>
      </x:c>
      <x:c r="I1175" s="73" t="str">
        <x:f>IF('당기원장'!A175="","",'당기원장'!J175)</x:f>
      </x:c>
      <x:c r="J1175" s="73" t="str">
        <x:f>IF('당기원장'!A175="","",'당기원장'!K175)</x:f>
      </x:c>
      <x:c r="K1175" s="73" t="str">
        <x:f>IF(B1175="","",IF(COUNTIF($B$5:B1175,B1175)=1,COUNT($K$4:K1174)+1,""))</x:f>
      </x:c>
      <x:c r="L1175" s="85" t="str">
        <x:f>IF(B1175="","",IF(COUNTIFS('계정비교'!$A$5:$A$1004,B1175,'계정비교'!$H$5:$H$1004,"원인분석 대상")&gt;0,COUNT($L$4:L1174)+1,""))</x:f>
      </x:c>
    </x:row>
    <x:row r="1176">
      <x:c r="A1176" s="73" t="str">
        <x:f>IF('당기원장'!A176="","","당기")</x:f>
      </x:c>
      <x:c r="B1176" s="73" t="str">
        <x:f>IF('당기원장'!A176="","",'당기원장'!A176)</x:f>
      </x:c>
      <x:c r="C1176" s="73" t="str">
        <x:f>IF('당기원장'!A176="","",'당기원장'!B176)</x:f>
      </x:c>
      <x:c r="D1176" s="74" t="str">
        <x:f>IF('당기원장'!A176="","",'당기원장'!C176)</x:f>
      </x:c>
      <x:c r="E1176" s="73" t="str">
        <x:f>IF('당기원장'!A176="","",'당기원장'!D176)</x:f>
      </x:c>
      <x:c r="F1176" s="73" t="str">
        <x:f>IF('당기원장'!A176="","",'당기원장'!E176)</x:f>
      </x:c>
      <x:c r="G1176" s="75" t="str">
        <x:f>IF('당기원장'!A176="","",'당기원장'!H176)</x:f>
      </x:c>
      <x:c r="H1176" s="73" t="str">
        <x:f>IF('당기원장'!A176="","",'당기원장'!I176)</x:f>
      </x:c>
      <x:c r="I1176" s="73" t="str">
        <x:f>IF('당기원장'!A176="","",'당기원장'!J176)</x:f>
      </x:c>
      <x:c r="J1176" s="73" t="str">
        <x:f>IF('당기원장'!A176="","",'당기원장'!K176)</x:f>
      </x:c>
      <x:c r="K1176" s="73" t="str">
        <x:f>IF(B1176="","",IF(COUNTIF($B$5:B1176,B1176)=1,COUNT($K$4:K1175)+1,""))</x:f>
      </x:c>
      <x:c r="L1176" s="85" t="str">
        <x:f>IF(B1176="","",IF(COUNTIFS('계정비교'!$A$5:$A$1004,B1176,'계정비교'!$H$5:$H$1004,"원인분석 대상")&gt;0,COUNT($L$4:L1175)+1,""))</x:f>
      </x:c>
    </x:row>
    <x:row r="1177">
      <x:c r="A1177" s="73" t="str">
        <x:f>IF('당기원장'!A177="","","당기")</x:f>
      </x:c>
      <x:c r="B1177" s="73" t="str">
        <x:f>IF('당기원장'!A177="","",'당기원장'!A177)</x:f>
      </x:c>
      <x:c r="C1177" s="73" t="str">
        <x:f>IF('당기원장'!A177="","",'당기원장'!B177)</x:f>
      </x:c>
      <x:c r="D1177" s="74" t="str">
        <x:f>IF('당기원장'!A177="","",'당기원장'!C177)</x:f>
      </x:c>
      <x:c r="E1177" s="73" t="str">
        <x:f>IF('당기원장'!A177="","",'당기원장'!D177)</x:f>
      </x:c>
      <x:c r="F1177" s="73" t="str">
        <x:f>IF('당기원장'!A177="","",'당기원장'!E177)</x:f>
      </x:c>
      <x:c r="G1177" s="75" t="str">
        <x:f>IF('당기원장'!A177="","",'당기원장'!H177)</x:f>
      </x:c>
      <x:c r="H1177" s="73" t="str">
        <x:f>IF('당기원장'!A177="","",'당기원장'!I177)</x:f>
      </x:c>
      <x:c r="I1177" s="73" t="str">
        <x:f>IF('당기원장'!A177="","",'당기원장'!J177)</x:f>
      </x:c>
      <x:c r="J1177" s="73" t="str">
        <x:f>IF('당기원장'!A177="","",'당기원장'!K177)</x:f>
      </x:c>
      <x:c r="K1177" s="73" t="str">
        <x:f>IF(B1177="","",IF(COUNTIF($B$5:B1177,B1177)=1,COUNT($K$4:K1176)+1,""))</x:f>
      </x:c>
      <x:c r="L1177" s="85" t="str">
        <x:f>IF(B1177="","",IF(COUNTIFS('계정비교'!$A$5:$A$1004,B1177,'계정비교'!$H$5:$H$1004,"원인분석 대상")&gt;0,COUNT($L$4:L1176)+1,""))</x:f>
      </x:c>
    </x:row>
    <x:row r="1178">
      <x:c r="A1178" s="73" t="str">
        <x:f>IF('당기원장'!A178="","","당기")</x:f>
      </x:c>
      <x:c r="B1178" s="73" t="str">
        <x:f>IF('당기원장'!A178="","",'당기원장'!A178)</x:f>
      </x:c>
      <x:c r="C1178" s="73" t="str">
        <x:f>IF('당기원장'!A178="","",'당기원장'!B178)</x:f>
      </x:c>
      <x:c r="D1178" s="74" t="str">
        <x:f>IF('당기원장'!A178="","",'당기원장'!C178)</x:f>
      </x:c>
      <x:c r="E1178" s="73" t="str">
        <x:f>IF('당기원장'!A178="","",'당기원장'!D178)</x:f>
      </x:c>
      <x:c r="F1178" s="73" t="str">
        <x:f>IF('당기원장'!A178="","",'당기원장'!E178)</x:f>
      </x:c>
      <x:c r="G1178" s="75" t="str">
        <x:f>IF('당기원장'!A178="","",'당기원장'!H178)</x:f>
      </x:c>
      <x:c r="H1178" s="73" t="str">
        <x:f>IF('당기원장'!A178="","",'당기원장'!I178)</x:f>
      </x:c>
      <x:c r="I1178" s="73" t="str">
        <x:f>IF('당기원장'!A178="","",'당기원장'!J178)</x:f>
      </x:c>
      <x:c r="J1178" s="73" t="str">
        <x:f>IF('당기원장'!A178="","",'당기원장'!K178)</x:f>
      </x:c>
      <x:c r="K1178" s="73" t="str">
        <x:f>IF(B1178="","",IF(COUNTIF($B$5:B1178,B1178)=1,COUNT($K$4:K1177)+1,""))</x:f>
      </x:c>
      <x:c r="L1178" s="85" t="str">
        <x:f>IF(B1178="","",IF(COUNTIFS('계정비교'!$A$5:$A$1004,B1178,'계정비교'!$H$5:$H$1004,"원인분석 대상")&gt;0,COUNT($L$4:L1177)+1,""))</x:f>
      </x:c>
    </x:row>
    <x:row r="1179">
      <x:c r="A1179" s="73" t="str">
        <x:f>IF('당기원장'!A179="","","당기")</x:f>
      </x:c>
      <x:c r="B1179" s="73" t="str">
        <x:f>IF('당기원장'!A179="","",'당기원장'!A179)</x:f>
      </x:c>
      <x:c r="C1179" s="73" t="str">
        <x:f>IF('당기원장'!A179="","",'당기원장'!B179)</x:f>
      </x:c>
      <x:c r="D1179" s="74" t="str">
        <x:f>IF('당기원장'!A179="","",'당기원장'!C179)</x:f>
      </x:c>
      <x:c r="E1179" s="73" t="str">
        <x:f>IF('당기원장'!A179="","",'당기원장'!D179)</x:f>
      </x:c>
      <x:c r="F1179" s="73" t="str">
        <x:f>IF('당기원장'!A179="","",'당기원장'!E179)</x:f>
      </x:c>
      <x:c r="G1179" s="75" t="str">
        <x:f>IF('당기원장'!A179="","",'당기원장'!H179)</x:f>
      </x:c>
      <x:c r="H1179" s="73" t="str">
        <x:f>IF('당기원장'!A179="","",'당기원장'!I179)</x:f>
      </x:c>
      <x:c r="I1179" s="73" t="str">
        <x:f>IF('당기원장'!A179="","",'당기원장'!J179)</x:f>
      </x:c>
      <x:c r="J1179" s="73" t="str">
        <x:f>IF('당기원장'!A179="","",'당기원장'!K179)</x:f>
      </x:c>
      <x:c r="K1179" s="73" t="str">
        <x:f>IF(B1179="","",IF(COUNTIF($B$5:B1179,B1179)=1,COUNT($K$4:K1178)+1,""))</x:f>
      </x:c>
      <x:c r="L1179" s="85" t="str">
        <x:f>IF(B1179="","",IF(COUNTIFS('계정비교'!$A$5:$A$1004,B1179,'계정비교'!$H$5:$H$1004,"원인분석 대상")&gt;0,COUNT($L$4:L1178)+1,""))</x:f>
      </x:c>
    </x:row>
    <x:row r="1180">
      <x:c r="A1180" s="73" t="str">
        <x:f>IF('당기원장'!A180="","","당기")</x:f>
      </x:c>
      <x:c r="B1180" s="73" t="str">
        <x:f>IF('당기원장'!A180="","",'당기원장'!A180)</x:f>
      </x:c>
      <x:c r="C1180" s="73" t="str">
        <x:f>IF('당기원장'!A180="","",'당기원장'!B180)</x:f>
      </x:c>
      <x:c r="D1180" s="74" t="str">
        <x:f>IF('당기원장'!A180="","",'당기원장'!C180)</x:f>
      </x:c>
      <x:c r="E1180" s="73" t="str">
        <x:f>IF('당기원장'!A180="","",'당기원장'!D180)</x:f>
      </x:c>
      <x:c r="F1180" s="73" t="str">
        <x:f>IF('당기원장'!A180="","",'당기원장'!E180)</x:f>
      </x:c>
      <x:c r="G1180" s="75" t="str">
        <x:f>IF('당기원장'!A180="","",'당기원장'!H180)</x:f>
      </x:c>
      <x:c r="H1180" s="73" t="str">
        <x:f>IF('당기원장'!A180="","",'당기원장'!I180)</x:f>
      </x:c>
      <x:c r="I1180" s="73" t="str">
        <x:f>IF('당기원장'!A180="","",'당기원장'!J180)</x:f>
      </x:c>
      <x:c r="J1180" s="73" t="str">
        <x:f>IF('당기원장'!A180="","",'당기원장'!K180)</x:f>
      </x:c>
      <x:c r="K1180" s="73" t="str">
        <x:f>IF(B1180="","",IF(COUNTIF($B$5:B1180,B1180)=1,COUNT($K$4:K1179)+1,""))</x:f>
      </x:c>
      <x:c r="L1180" s="85" t="str">
        <x:f>IF(B1180="","",IF(COUNTIFS('계정비교'!$A$5:$A$1004,B1180,'계정비교'!$H$5:$H$1004,"원인분석 대상")&gt;0,COUNT($L$4:L1179)+1,""))</x:f>
      </x:c>
    </x:row>
    <x:row r="1181">
      <x:c r="A1181" s="73" t="str">
        <x:f>IF('당기원장'!A181="","","당기")</x:f>
      </x:c>
      <x:c r="B1181" s="73" t="str">
        <x:f>IF('당기원장'!A181="","",'당기원장'!A181)</x:f>
      </x:c>
      <x:c r="C1181" s="73" t="str">
        <x:f>IF('당기원장'!A181="","",'당기원장'!B181)</x:f>
      </x:c>
      <x:c r="D1181" s="74" t="str">
        <x:f>IF('당기원장'!A181="","",'당기원장'!C181)</x:f>
      </x:c>
      <x:c r="E1181" s="73" t="str">
        <x:f>IF('당기원장'!A181="","",'당기원장'!D181)</x:f>
      </x:c>
      <x:c r="F1181" s="73" t="str">
        <x:f>IF('당기원장'!A181="","",'당기원장'!E181)</x:f>
      </x:c>
      <x:c r="G1181" s="75" t="str">
        <x:f>IF('당기원장'!A181="","",'당기원장'!H181)</x:f>
      </x:c>
      <x:c r="H1181" s="73" t="str">
        <x:f>IF('당기원장'!A181="","",'당기원장'!I181)</x:f>
      </x:c>
      <x:c r="I1181" s="73" t="str">
        <x:f>IF('당기원장'!A181="","",'당기원장'!J181)</x:f>
      </x:c>
      <x:c r="J1181" s="73" t="str">
        <x:f>IF('당기원장'!A181="","",'당기원장'!K181)</x:f>
      </x:c>
      <x:c r="K1181" s="73" t="str">
        <x:f>IF(B1181="","",IF(COUNTIF($B$5:B1181,B1181)=1,COUNT($K$4:K1180)+1,""))</x:f>
      </x:c>
      <x:c r="L1181" s="85" t="str">
        <x:f>IF(B1181="","",IF(COUNTIFS('계정비교'!$A$5:$A$1004,B1181,'계정비교'!$H$5:$H$1004,"원인분석 대상")&gt;0,COUNT($L$4:L1180)+1,""))</x:f>
      </x:c>
    </x:row>
    <x:row r="1182">
      <x:c r="A1182" s="73" t="str">
        <x:f>IF('당기원장'!A182="","","당기")</x:f>
      </x:c>
      <x:c r="B1182" s="73" t="str">
        <x:f>IF('당기원장'!A182="","",'당기원장'!A182)</x:f>
      </x:c>
      <x:c r="C1182" s="73" t="str">
        <x:f>IF('당기원장'!A182="","",'당기원장'!B182)</x:f>
      </x:c>
      <x:c r="D1182" s="74" t="str">
        <x:f>IF('당기원장'!A182="","",'당기원장'!C182)</x:f>
      </x:c>
      <x:c r="E1182" s="73" t="str">
        <x:f>IF('당기원장'!A182="","",'당기원장'!D182)</x:f>
      </x:c>
      <x:c r="F1182" s="73" t="str">
        <x:f>IF('당기원장'!A182="","",'당기원장'!E182)</x:f>
      </x:c>
      <x:c r="G1182" s="75" t="str">
        <x:f>IF('당기원장'!A182="","",'당기원장'!H182)</x:f>
      </x:c>
      <x:c r="H1182" s="73" t="str">
        <x:f>IF('당기원장'!A182="","",'당기원장'!I182)</x:f>
      </x:c>
      <x:c r="I1182" s="73" t="str">
        <x:f>IF('당기원장'!A182="","",'당기원장'!J182)</x:f>
      </x:c>
      <x:c r="J1182" s="73" t="str">
        <x:f>IF('당기원장'!A182="","",'당기원장'!K182)</x:f>
      </x:c>
      <x:c r="K1182" s="73" t="str">
        <x:f>IF(B1182="","",IF(COUNTIF($B$5:B1182,B1182)=1,COUNT($K$4:K1181)+1,""))</x:f>
      </x:c>
      <x:c r="L1182" s="85" t="str">
        <x:f>IF(B1182="","",IF(COUNTIFS('계정비교'!$A$5:$A$1004,B1182,'계정비교'!$H$5:$H$1004,"원인분석 대상")&gt;0,COUNT($L$4:L1181)+1,""))</x:f>
      </x:c>
    </x:row>
    <x:row r="1183">
      <x:c r="A1183" s="73" t="str">
        <x:f>IF('당기원장'!A183="","","당기")</x:f>
      </x:c>
      <x:c r="B1183" s="73" t="str">
        <x:f>IF('당기원장'!A183="","",'당기원장'!A183)</x:f>
      </x:c>
      <x:c r="C1183" s="73" t="str">
        <x:f>IF('당기원장'!A183="","",'당기원장'!B183)</x:f>
      </x:c>
      <x:c r="D1183" s="74" t="str">
        <x:f>IF('당기원장'!A183="","",'당기원장'!C183)</x:f>
      </x:c>
      <x:c r="E1183" s="73" t="str">
        <x:f>IF('당기원장'!A183="","",'당기원장'!D183)</x:f>
      </x:c>
      <x:c r="F1183" s="73" t="str">
        <x:f>IF('당기원장'!A183="","",'당기원장'!E183)</x:f>
      </x:c>
      <x:c r="G1183" s="75" t="str">
        <x:f>IF('당기원장'!A183="","",'당기원장'!H183)</x:f>
      </x:c>
      <x:c r="H1183" s="73" t="str">
        <x:f>IF('당기원장'!A183="","",'당기원장'!I183)</x:f>
      </x:c>
      <x:c r="I1183" s="73" t="str">
        <x:f>IF('당기원장'!A183="","",'당기원장'!J183)</x:f>
      </x:c>
      <x:c r="J1183" s="73" t="str">
        <x:f>IF('당기원장'!A183="","",'당기원장'!K183)</x:f>
      </x:c>
      <x:c r="K1183" s="73" t="str">
        <x:f>IF(B1183="","",IF(COUNTIF($B$5:B1183,B1183)=1,COUNT($K$4:K1182)+1,""))</x:f>
      </x:c>
      <x:c r="L1183" s="85" t="str">
        <x:f>IF(B1183="","",IF(COUNTIFS('계정비교'!$A$5:$A$1004,B1183,'계정비교'!$H$5:$H$1004,"원인분석 대상")&gt;0,COUNT($L$4:L1182)+1,""))</x:f>
      </x:c>
    </x:row>
    <x:row r="1184">
      <x:c r="A1184" s="73" t="str">
        <x:f>IF('당기원장'!A184="","","당기")</x:f>
      </x:c>
      <x:c r="B1184" s="73" t="str">
        <x:f>IF('당기원장'!A184="","",'당기원장'!A184)</x:f>
      </x:c>
      <x:c r="C1184" s="73" t="str">
        <x:f>IF('당기원장'!A184="","",'당기원장'!B184)</x:f>
      </x:c>
      <x:c r="D1184" s="74" t="str">
        <x:f>IF('당기원장'!A184="","",'당기원장'!C184)</x:f>
      </x:c>
      <x:c r="E1184" s="73" t="str">
        <x:f>IF('당기원장'!A184="","",'당기원장'!D184)</x:f>
      </x:c>
      <x:c r="F1184" s="73" t="str">
        <x:f>IF('당기원장'!A184="","",'당기원장'!E184)</x:f>
      </x:c>
      <x:c r="G1184" s="75" t="str">
        <x:f>IF('당기원장'!A184="","",'당기원장'!H184)</x:f>
      </x:c>
      <x:c r="H1184" s="73" t="str">
        <x:f>IF('당기원장'!A184="","",'당기원장'!I184)</x:f>
      </x:c>
      <x:c r="I1184" s="73" t="str">
        <x:f>IF('당기원장'!A184="","",'당기원장'!J184)</x:f>
      </x:c>
      <x:c r="J1184" s="73" t="str">
        <x:f>IF('당기원장'!A184="","",'당기원장'!K184)</x:f>
      </x:c>
      <x:c r="K1184" s="73" t="str">
        <x:f>IF(B1184="","",IF(COUNTIF($B$5:B1184,B1184)=1,COUNT($K$4:K1183)+1,""))</x:f>
      </x:c>
      <x:c r="L1184" s="85" t="str">
        <x:f>IF(B1184="","",IF(COUNTIFS('계정비교'!$A$5:$A$1004,B1184,'계정비교'!$H$5:$H$1004,"원인분석 대상")&gt;0,COUNT($L$4:L1183)+1,""))</x:f>
      </x:c>
    </x:row>
    <x:row r="1185">
      <x:c r="A1185" s="73" t="str">
        <x:f>IF('당기원장'!A185="","","당기")</x:f>
      </x:c>
      <x:c r="B1185" s="73" t="str">
        <x:f>IF('당기원장'!A185="","",'당기원장'!A185)</x:f>
      </x:c>
      <x:c r="C1185" s="73" t="str">
        <x:f>IF('당기원장'!A185="","",'당기원장'!B185)</x:f>
      </x:c>
      <x:c r="D1185" s="74" t="str">
        <x:f>IF('당기원장'!A185="","",'당기원장'!C185)</x:f>
      </x:c>
      <x:c r="E1185" s="73" t="str">
        <x:f>IF('당기원장'!A185="","",'당기원장'!D185)</x:f>
      </x:c>
      <x:c r="F1185" s="73" t="str">
        <x:f>IF('당기원장'!A185="","",'당기원장'!E185)</x:f>
      </x:c>
      <x:c r="G1185" s="75" t="str">
        <x:f>IF('당기원장'!A185="","",'당기원장'!H185)</x:f>
      </x:c>
      <x:c r="H1185" s="73" t="str">
        <x:f>IF('당기원장'!A185="","",'당기원장'!I185)</x:f>
      </x:c>
      <x:c r="I1185" s="73" t="str">
        <x:f>IF('당기원장'!A185="","",'당기원장'!J185)</x:f>
      </x:c>
      <x:c r="J1185" s="73" t="str">
        <x:f>IF('당기원장'!A185="","",'당기원장'!K185)</x:f>
      </x:c>
      <x:c r="K1185" s="73" t="str">
        <x:f>IF(B1185="","",IF(COUNTIF($B$5:B1185,B1185)=1,COUNT($K$4:K1184)+1,""))</x:f>
      </x:c>
      <x:c r="L1185" s="85" t="str">
        <x:f>IF(B1185="","",IF(COUNTIFS('계정비교'!$A$5:$A$1004,B1185,'계정비교'!$H$5:$H$1004,"원인분석 대상")&gt;0,COUNT($L$4:L1184)+1,""))</x:f>
      </x:c>
    </x:row>
    <x:row r="1186">
      <x:c r="A1186" s="73" t="str">
        <x:f>IF('당기원장'!A186="","","당기")</x:f>
      </x:c>
      <x:c r="B1186" s="73" t="str">
        <x:f>IF('당기원장'!A186="","",'당기원장'!A186)</x:f>
      </x:c>
      <x:c r="C1186" s="73" t="str">
        <x:f>IF('당기원장'!A186="","",'당기원장'!B186)</x:f>
      </x:c>
      <x:c r="D1186" s="74" t="str">
        <x:f>IF('당기원장'!A186="","",'당기원장'!C186)</x:f>
      </x:c>
      <x:c r="E1186" s="73" t="str">
        <x:f>IF('당기원장'!A186="","",'당기원장'!D186)</x:f>
      </x:c>
      <x:c r="F1186" s="73" t="str">
        <x:f>IF('당기원장'!A186="","",'당기원장'!E186)</x:f>
      </x:c>
      <x:c r="G1186" s="75" t="str">
        <x:f>IF('당기원장'!A186="","",'당기원장'!H186)</x:f>
      </x:c>
      <x:c r="H1186" s="73" t="str">
        <x:f>IF('당기원장'!A186="","",'당기원장'!I186)</x:f>
      </x:c>
      <x:c r="I1186" s="73" t="str">
        <x:f>IF('당기원장'!A186="","",'당기원장'!J186)</x:f>
      </x:c>
      <x:c r="J1186" s="73" t="str">
        <x:f>IF('당기원장'!A186="","",'당기원장'!K186)</x:f>
      </x:c>
      <x:c r="K1186" s="73" t="str">
        <x:f>IF(B1186="","",IF(COUNTIF($B$5:B1186,B1186)=1,COUNT($K$4:K1185)+1,""))</x:f>
      </x:c>
      <x:c r="L1186" s="85" t="str">
        <x:f>IF(B1186="","",IF(COUNTIFS('계정비교'!$A$5:$A$1004,B1186,'계정비교'!$H$5:$H$1004,"원인분석 대상")&gt;0,COUNT($L$4:L1185)+1,""))</x:f>
      </x:c>
    </x:row>
    <x:row r="1187">
      <x:c r="A1187" s="73" t="str">
        <x:f>IF('당기원장'!A187="","","당기")</x:f>
      </x:c>
      <x:c r="B1187" s="73" t="str">
        <x:f>IF('당기원장'!A187="","",'당기원장'!A187)</x:f>
      </x:c>
      <x:c r="C1187" s="73" t="str">
        <x:f>IF('당기원장'!A187="","",'당기원장'!B187)</x:f>
      </x:c>
      <x:c r="D1187" s="74" t="str">
        <x:f>IF('당기원장'!A187="","",'당기원장'!C187)</x:f>
      </x:c>
      <x:c r="E1187" s="73" t="str">
        <x:f>IF('당기원장'!A187="","",'당기원장'!D187)</x:f>
      </x:c>
      <x:c r="F1187" s="73" t="str">
        <x:f>IF('당기원장'!A187="","",'당기원장'!E187)</x:f>
      </x:c>
      <x:c r="G1187" s="75" t="str">
        <x:f>IF('당기원장'!A187="","",'당기원장'!H187)</x:f>
      </x:c>
      <x:c r="H1187" s="73" t="str">
        <x:f>IF('당기원장'!A187="","",'당기원장'!I187)</x:f>
      </x:c>
      <x:c r="I1187" s="73" t="str">
        <x:f>IF('당기원장'!A187="","",'당기원장'!J187)</x:f>
      </x:c>
      <x:c r="J1187" s="73" t="str">
        <x:f>IF('당기원장'!A187="","",'당기원장'!K187)</x:f>
      </x:c>
      <x:c r="K1187" s="73" t="str">
        <x:f>IF(B1187="","",IF(COUNTIF($B$5:B1187,B1187)=1,COUNT($K$4:K1186)+1,""))</x:f>
      </x:c>
      <x:c r="L1187" s="85" t="str">
        <x:f>IF(B1187="","",IF(COUNTIFS('계정비교'!$A$5:$A$1004,B1187,'계정비교'!$H$5:$H$1004,"원인분석 대상")&gt;0,COUNT($L$4:L1186)+1,""))</x:f>
      </x:c>
    </x:row>
    <x:row r="1188">
      <x:c r="A1188" s="73" t="str">
        <x:f>IF('당기원장'!A188="","","당기")</x:f>
      </x:c>
      <x:c r="B1188" s="73" t="str">
        <x:f>IF('당기원장'!A188="","",'당기원장'!A188)</x:f>
      </x:c>
      <x:c r="C1188" s="73" t="str">
        <x:f>IF('당기원장'!A188="","",'당기원장'!B188)</x:f>
      </x:c>
      <x:c r="D1188" s="74" t="str">
        <x:f>IF('당기원장'!A188="","",'당기원장'!C188)</x:f>
      </x:c>
      <x:c r="E1188" s="73" t="str">
        <x:f>IF('당기원장'!A188="","",'당기원장'!D188)</x:f>
      </x:c>
      <x:c r="F1188" s="73" t="str">
        <x:f>IF('당기원장'!A188="","",'당기원장'!E188)</x:f>
      </x:c>
      <x:c r="G1188" s="75" t="str">
        <x:f>IF('당기원장'!A188="","",'당기원장'!H188)</x:f>
      </x:c>
      <x:c r="H1188" s="73" t="str">
        <x:f>IF('당기원장'!A188="","",'당기원장'!I188)</x:f>
      </x:c>
      <x:c r="I1188" s="73" t="str">
        <x:f>IF('당기원장'!A188="","",'당기원장'!J188)</x:f>
      </x:c>
      <x:c r="J1188" s="73" t="str">
        <x:f>IF('당기원장'!A188="","",'당기원장'!K188)</x:f>
      </x:c>
      <x:c r="K1188" s="73" t="str">
        <x:f>IF(B1188="","",IF(COUNTIF($B$5:B1188,B1188)=1,COUNT($K$4:K1187)+1,""))</x:f>
      </x:c>
      <x:c r="L1188" s="85" t="str">
        <x:f>IF(B1188="","",IF(COUNTIFS('계정비교'!$A$5:$A$1004,B1188,'계정비교'!$H$5:$H$1004,"원인분석 대상")&gt;0,COUNT($L$4:L1187)+1,""))</x:f>
      </x:c>
    </x:row>
    <x:row r="1189">
      <x:c r="A1189" s="73" t="str">
        <x:f>IF('당기원장'!A189="","","당기")</x:f>
      </x:c>
      <x:c r="B1189" s="73" t="str">
        <x:f>IF('당기원장'!A189="","",'당기원장'!A189)</x:f>
      </x:c>
      <x:c r="C1189" s="73" t="str">
        <x:f>IF('당기원장'!A189="","",'당기원장'!B189)</x:f>
      </x:c>
      <x:c r="D1189" s="74" t="str">
        <x:f>IF('당기원장'!A189="","",'당기원장'!C189)</x:f>
      </x:c>
      <x:c r="E1189" s="73" t="str">
        <x:f>IF('당기원장'!A189="","",'당기원장'!D189)</x:f>
      </x:c>
      <x:c r="F1189" s="73" t="str">
        <x:f>IF('당기원장'!A189="","",'당기원장'!E189)</x:f>
      </x:c>
      <x:c r="G1189" s="75" t="str">
        <x:f>IF('당기원장'!A189="","",'당기원장'!H189)</x:f>
      </x:c>
      <x:c r="H1189" s="73" t="str">
        <x:f>IF('당기원장'!A189="","",'당기원장'!I189)</x:f>
      </x:c>
      <x:c r="I1189" s="73" t="str">
        <x:f>IF('당기원장'!A189="","",'당기원장'!J189)</x:f>
      </x:c>
      <x:c r="J1189" s="73" t="str">
        <x:f>IF('당기원장'!A189="","",'당기원장'!K189)</x:f>
      </x:c>
      <x:c r="K1189" s="73" t="str">
        <x:f>IF(B1189="","",IF(COUNTIF($B$5:B1189,B1189)=1,COUNT($K$4:K1188)+1,""))</x:f>
      </x:c>
      <x:c r="L1189" s="85" t="str">
        <x:f>IF(B1189="","",IF(COUNTIFS('계정비교'!$A$5:$A$1004,B1189,'계정비교'!$H$5:$H$1004,"원인분석 대상")&gt;0,COUNT($L$4:L1188)+1,""))</x:f>
      </x:c>
    </x:row>
    <x:row r="1190">
      <x:c r="A1190" s="73" t="str">
        <x:f>IF('당기원장'!A190="","","당기")</x:f>
      </x:c>
      <x:c r="B1190" s="73" t="str">
        <x:f>IF('당기원장'!A190="","",'당기원장'!A190)</x:f>
      </x:c>
      <x:c r="C1190" s="73" t="str">
        <x:f>IF('당기원장'!A190="","",'당기원장'!B190)</x:f>
      </x:c>
      <x:c r="D1190" s="74" t="str">
        <x:f>IF('당기원장'!A190="","",'당기원장'!C190)</x:f>
      </x:c>
      <x:c r="E1190" s="73" t="str">
        <x:f>IF('당기원장'!A190="","",'당기원장'!D190)</x:f>
      </x:c>
      <x:c r="F1190" s="73" t="str">
        <x:f>IF('당기원장'!A190="","",'당기원장'!E190)</x:f>
      </x:c>
      <x:c r="G1190" s="75" t="str">
        <x:f>IF('당기원장'!A190="","",'당기원장'!H190)</x:f>
      </x:c>
      <x:c r="H1190" s="73" t="str">
        <x:f>IF('당기원장'!A190="","",'당기원장'!I190)</x:f>
      </x:c>
      <x:c r="I1190" s="73" t="str">
        <x:f>IF('당기원장'!A190="","",'당기원장'!J190)</x:f>
      </x:c>
      <x:c r="J1190" s="73" t="str">
        <x:f>IF('당기원장'!A190="","",'당기원장'!K190)</x:f>
      </x:c>
      <x:c r="K1190" s="73" t="str">
        <x:f>IF(B1190="","",IF(COUNTIF($B$5:B1190,B1190)=1,COUNT($K$4:K1189)+1,""))</x:f>
      </x:c>
      <x:c r="L1190" s="85" t="str">
        <x:f>IF(B1190="","",IF(COUNTIFS('계정비교'!$A$5:$A$1004,B1190,'계정비교'!$H$5:$H$1004,"원인분석 대상")&gt;0,COUNT($L$4:L1189)+1,""))</x:f>
      </x:c>
    </x:row>
    <x:row r="1191">
      <x:c r="A1191" s="73" t="str">
        <x:f>IF('당기원장'!A191="","","당기")</x:f>
      </x:c>
      <x:c r="B1191" s="73" t="str">
        <x:f>IF('당기원장'!A191="","",'당기원장'!A191)</x:f>
      </x:c>
      <x:c r="C1191" s="73" t="str">
        <x:f>IF('당기원장'!A191="","",'당기원장'!B191)</x:f>
      </x:c>
      <x:c r="D1191" s="74" t="str">
        <x:f>IF('당기원장'!A191="","",'당기원장'!C191)</x:f>
      </x:c>
      <x:c r="E1191" s="73" t="str">
        <x:f>IF('당기원장'!A191="","",'당기원장'!D191)</x:f>
      </x:c>
      <x:c r="F1191" s="73" t="str">
        <x:f>IF('당기원장'!A191="","",'당기원장'!E191)</x:f>
      </x:c>
      <x:c r="G1191" s="75" t="str">
        <x:f>IF('당기원장'!A191="","",'당기원장'!H191)</x:f>
      </x:c>
      <x:c r="H1191" s="73" t="str">
        <x:f>IF('당기원장'!A191="","",'당기원장'!I191)</x:f>
      </x:c>
      <x:c r="I1191" s="73" t="str">
        <x:f>IF('당기원장'!A191="","",'당기원장'!J191)</x:f>
      </x:c>
      <x:c r="J1191" s="73" t="str">
        <x:f>IF('당기원장'!A191="","",'당기원장'!K191)</x:f>
      </x:c>
      <x:c r="K1191" s="73" t="str">
        <x:f>IF(B1191="","",IF(COUNTIF($B$5:B1191,B1191)=1,COUNT($K$4:K1190)+1,""))</x:f>
      </x:c>
      <x:c r="L1191" s="85" t="str">
        <x:f>IF(B1191="","",IF(COUNTIFS('계정비교'!$A$5:$A$1004,B1191,'계정비교'!$H$5:$H$1004,"원인분석 대상")&gt;0,COUNT($L$4:L1190)+1,""))</x:f>
      </x:c>
    </x:row>
    <x:row r="1192">
      <x:c r="A1192" s="73" t="str">
        <x:f>IF('당기원장'!A192="","","당기")</x:f>
      </x:c>
      <x:c r="B1192" s="73" t="str">
        <x:f>IF('당기원장'!A192="","",'당기원장'!A192)</x:f>
      </x:c>
      <x:c r="C1192" s="73" t="str">
        <x:f>IF('당기원장'!A192="","",'당기원장'!B192)</x:f>
      </x:c>
      <x:c r="D1192" s="74" t="str">
        <x:f>IF('당기원장'!A192="","",'당기원장'!C192)</x:f>
      </x:c>
      <x:c r="E1192" s="73" t="str">
        <x:f>IF('당기원장'!A192="","",'당기원장'!D192)</x:f>
      </x:c>
      <x:c r="F1192" s="73" t="str">
        <x:f>IF('당기원장'!A192="","",'당기원장'!E192)</x:f>
      </x:c>
      <x:c r="G1192" s="75" t="str">
        <x:f>IF('당기원장'!A192="","",'당기원장'!H192)</x:f>
      </x:c>
      <x:c r="H1192" s="73" t="str">
        <x:f>IF('당기원장'!A192="","",'당기원장'!I192)</x:f>
      </x:c>
      <x:c r="I1192" s="73" t="str">
        <x:f>IF('당기원장'!A192="","",'당기원장'!J192)</x:f>
      </x:c>
      <x:c r="J1192" s="73" t="str">
        <x:f>IF('당기원장'!A192="","",'당기원장'!K192)</x:f>
      </x:c>
      <x:c r="K1192" s="73" t="str">
        <x:f>IF(B1192="","",IF(COUNTIF($B$5:B1192,B1192)=1,COUNT($K$4:K1191)+1,""))</x:f>
      </x:c>
      <x:c r="L1192" s="85" t="str">
        <x:f>IF(B1192="","",IF(COUNTIFS('계정비교'!$A$5:$A$1004,B1192,'계정비교'!$H$5:$H$1004,"원인분석 대상")&gt;0,COUNT($L$4:L1191)+1,""))</x:f>
      </x:c>
    </x:row>
    <x:row r="1193">
      <x:c r="A1193" s="73" t="str">
        <x:f>IF('당기원장'!A193="","","당기")</x:f>
      </x:c>
      <x:c r="B1193" s="73" t="str">
        <x:f>IF('당기원장'!A193="","",'당기원장'!A193)</x:f>
      </x:c>
      <x:c r="C1193" s="73" t="str">
        <x:f>IF('당기원장'!A193="","",'당기원장'!B193)</x:f>
      </x:c>
      <x:c r="D1193" s="74" t="str">
        <x:f>IF('당기원장'!A193="","",'당기원장'!C193)</x:f>
      </x:c>
      <x:c r="E1193" s="73" t="str">
        <x:f>IF('당기원장'!A193="","",'당기원장'!D193)</x:f>
      </x:c>
      <x:c r="F1193" s="73" t="str">
        <x:f>IF('당기원장'!A193="","",'당기원장'!E193)</x:f>
      </x:c>
      <x:c r="G1193" s="75" t="str">
        <x:f>IF('당기원장'!A193="","",'당기원장'!H193)</x:f>
      </x:c>
      <x:c r="H1193" s="73" t="str">
        <x:f>IF('당기원장'!A193="","",'당기원장'!I193)</x:f>
      </x:c>
      <x:c r="I1193" s="73" t="str">
        <x:f>IF('당기원장'!A193="","",'당기원장'!J193)</x:f>
      </x:c>
      <x:c r="J1193" s="73" t="str">
        <x:f>IF('당기원장'!A193="","",'당기원장'!K193)</x:f>
      </x:c>
      <x:c r="K1193" s="73" t="str">
        <x:f>IF(B1193="","",IF(COUNTIF($B$5:B1193,B1193)=1,COUNT($K$4:K1192)+1,""))</x:f>
      </x:c>
      <x:c r="L1193" s="85" t="str">
        <x:f>IF(B1193="","",IF(COUNTIFS('계정비교'!$A$5:$A$1004,B1193,'계정비교'!$H$5:$H$1004,"원인분석 대상")&gt;0,COUNT($L$4:L1192)+1,""))</x:f>
      </x:c>
    </x:row>
    <x:row r="1194">
      <x:c r="A1194" s="73" t="str">
        <x:f>IF('당기원장'!A194="","","당기")</x:f>
      </x:c>
      <x:c r="B1194" s="73" t="str">
        <x:f>IF('당기원장'!A194="","",'당기원장'!A194)</x:f>
      </x:c>
      <x:c r="C1194" s="73" t="str">
        <x:f>IF('당기원장'!A194="","",'당기원장'!B194)</x:f>
      </x:c>
      <x:c r="D1194" s="74" t="str">
        <x:f>IF('당기원장'!A194="","",'당기원장'!C194)</x:f>
      </x:c>
      <x:c r="E1194" s="73" t="str">
        <x:f>IF('당기원장'!A194="","",'당기원장'!D194)</x:f>
      </x:c>
      <x:c r="F1194" s="73" t="str">
        <x:f>IF('당기원장'!A194="","",'당기원장'!E194)</x:f>
      </x:c>
      <x:c r="G1194" s="75" t="str">
        <x:f>IF('당기원장'!A194="","",'당기원장'!H194)</x:f>
      </x:c>
      <x:c r="H1194" s="73" t="str">
        <x:f>IF('당기원장'!A194="","",'당기원장'!I194)</x:f>
      </x:c>
      <x:c r="I1194" s="73" t="str">
        <x:f>IF('당기원장'!A194="","",'당기원장'!J194)</x:f>
      </x:c>
      <x:c r="J1194" s="73" t="str">
        <x:f>IF('당기원장'!A194="","",'당기원장'!K194)</x:f>
      </x:c>
      <x:c r="K1194" s="73" t="str">
        <x:f>IF(B1194="","",IF(COUNTIF($B$5:B1194,B1194)=1,COUNT($K$4:K1193)+1,""))</x:f>
      </x:c>
      <x:c r="L1194" s="85" t="str">
        <x:f>IF(B1194="","",IF(COUNTIFS('계정비교'!$A$5:$A$1004,B1194,'계정비교'!$H$5:$H$1004,"원인분석 대상")&gt;0,COUNT($L$4:L1193)+1,""))</x:f>
      </x:c>
    </x:row>
    <x:row r="1195">
      <x:c r="A1195" s="73" t="str">
        <x:f>IF('당기원장'!A195="","","당기")</x:f>
      </x:c>
      <x:c r="B1195" s="73" t="str">
        <x:f>IF('당기원장'!A195="","",'당기원장'!A195)</x:f>
      </x:c>
      <x:c r="C1195" s="73" t="str">
        <x:f>IF('당기원장'!A195="","",'당기원장'!B195)</x:f>
      </x:c>
      <x:c r="D1195" s="74" t="str">
        <x:f>IF('당기원장'!A195="","",'당기원장'!C195)</x:f>
      </x:c>
      <x:c r="E1195" s="73" t="str">
        <x:f>IF('당기원장'!A195="","",'당기원장'!D195)</x:f>
      </x:c>
      <x:c r="F1195" s="73" t="str">
        <x:f>IF('당기원장'!A195="","",'당기원장'!E195)</x:f>
      </x:c>
      <x:c r="G1195" s="75" t="str">
        <x:f>IF('당기원장'!A195="","",'당기원장'!H195)</x:f>
      </x:c>
      <x:c r="H1195" s="73" t="str">
        <x:f>IF('당기원장'!A195="","",'당기원장'!I195)</x:f>
      </x:c>
      <x:c r="I1195" s="73" t="str">
        <x:f>IF('당기원장'!A195="","",'당기원장'!J195)</x:f>
      </x:c>
      <x:c r="J1195" s="73" t="str">
        <x:f>IF('당기원장'!A195="","",'당기원장'!K195)</x:f>
      </x:c>
      <x:c r="K1195" s="73" t="str">
        <x:f>IF(B1195="","",IF(COUNTIF($B$5:B1195,B1195)=1,COUNT($K$4:K1194)+1,""))</x:f>
      </x:c>
      <x:c r="L1195" s="85" t="str">
        <x:f>IF(B1195="","",IF(COUNTIFS('계정비교'!$A$5:$A$1004,B1195,'계정비교'!$H$5:$H$1004,"원인분석 대상")&gt;0,COUNT($L$4:L1194)+1,""))</x:f>
      </x:c>
    </x:row>
    <x:row r="1196">
      <x:c r="A1196" s="73" t="str">
        <x:f>IF('당기원장'!A196="","","당기")</x:f>
      </x:c>
      <x:c r="B1196" s="73" t="str">
        <x:f>IF('당기원장'!A196="","",'당기원장'!A196)</x:f>
      </x:c>
      <x:c r="C1196" s="73" t="str">
        <x:f>IF('당기원장'!A196="","",'당기원장'!B196)</x:f>
      </x:c>
      <x:c r="D1196" s="74" t="str">
        <x:f>IF('당기원장'!A196="","",'당기원장'!C196)</x:f>
      </x:c>
      <x:c r="E1196" s="73" t="str">
        <x:f>IF('당기원장'!A196="","",'당기원장'!D196)</x:f>
      </x:c>
      <x:c r="F1196" s="73" t="str">
        <x:f>IF('당기원장'!A196="","",'당기원장'!E196)</x:f>
      </x:c>
      <x:c r="G1196" s="75" t="str">
        <x:f>IF('당기원장'!A196="","",'당기원장'!H196)</x:f>
      </x:c>
      <x:c r="H1196" s="73" t="str">
        <x:f>IF('당기원장'!A196="","",'당기원장'!I196)</x:f>
      </x:c>
      <x:c r="I1196" s="73" t="str">
        <x:f>IF('당기원장'!A196="","",'당기원장'!J196)</x:f>
      </x:c>
      <x:c r="J1196" s="73" t="str">
        <x:f>IF('당기원장'!A196="","",'당기원장'!K196)</x:f>
      </x:c>
      <x:c r="K1196" s="73" t="str">
        <x:f>IF(B1196="","",IF(COUNTIF($B$5:B1196,B1196)=1,COUNT($K$4:K1195)+1,""))</x:f>
      </x:c>
      <x:c r="L1196" s="85" t="str">
        <x:f>IF(B1196="","",IF(COUNTIFS('계정비교'!$A$5:$A$1004,B1196,'계정비교'!$H$5:$H$1004,"원인분석 대상")&gt;0,COUNT($L$4:L1195)+1,""))</x:f>
      </x:c>
    </x:row>
    <x:row r="1197">
      <x:c r="A1197" s="73" t="str">
        <x:f>IF('당기원장'!A197="","","당기")</x:f>
      </x:c>
      <x:c r="B1197" s="73" t="str">
        <x:f>IF('당기원장'!A197="","",'당기원장'!A197)</x:f>
      </x:c>
      <x:c r="C1197" s="73" t="str">
        <x:f>IF('당기원장'!A197="","",'당기원장'!B197)</x:f>
      </x:c>
      <x:c r="D1197" s="74" t="str">
        <x:f>IF('당기원장'!A197="","",'당기원장'!C197)</x:f>
      </x:c>
      <x:c r="E1197" s="73" t="str">
        <x:f>IF('당기원장'!A197="","",'당기원장'!D197)</x:f>
      </x:c>
      <x:c r="F1197" s="73" t="str">
        <x:f>IF('당기원장'!A197="","",'당기원장'!E197)</x:f>
      </x:c>
      <x:c r="G1197" s="75" t="str">
        <x:f>IF('당기원장'!A197="","",'당기원장'!H197)</x:f>
      </x:c>
      <x:c r="H1197" s="73" t="str">
        <x:f>IF('당기원장'!A197="","",'당기원장'!I197)</x:f>
      </x:c>
      <x:c r="I1197" s="73" t="str">
        <x:f>IF('당기원장'!A197="","",'당기원장'!J197)</x:f>
      </x:c>
      <x:c r="J1197" s="73" t="str">
        <x:f>IF('당기원장'!A197="","",'당기원장'!K197)</x:f>
      </x:c>
      <x:c r="K1197" s="73" t="str">
        <x:f>IF(B1197="","",IF(COUNTIF($B$5:B1197,B1197)=1,COUNT($K$4:K1196)+1,""))</x:f>
      </x:c>
      <x:c r="L1197" s="85" t="str">
        <x:f>IF(B1197="","",IF(COUNTIFS('계정비교'!$A$5:$A$1004,B1197,'계정비교'!$H$5:$H$1004,"원인분석 대상")&gt;0,COUNT($L$4:L1196)+1,""))</x:f>
      </x:c>
    </x:row>
    <x:row r="1198">
      <x:c r="A1198" s="73" t="str">
        <x:f>IF('당기원장'!A198="","","당기")</x:f>
      </x:c>
      <x:c r="B1198" s="73" t="str">
        <x:f>IF('당기원장'!A198="","",'당기원장'!A198)</x:f>
      </x:c>
      <x:c r="C1198" s="73" t="str">
        <x:f>IF('당기원장'!A198="","",'당기원장'!B198)</x:f>
      </x:c>
      <x:c r="D1198" s="74" t="str">
        <x:f>IF('당기원장'!A198="","",'당기원장'!C198)</x:f>
      </x:c>
      <x:c r="E1198" s="73" t="str">
        <x:f>IF('당기원장'!A198="","",'당기원장'!D198)</x:f>
      </x:c>
      <x:c r="F1198" s="73" t="str">
        <x:f>IF('당기원장'!A198="","",'당기원장'!E198)</x:f>
      </x:c>
      <x:c r="G1198" s="75" t="str">
        <x:f>IF('당기원장'!A198="","",'당기원장'!H198)</x:f>
      </x:c>
      <x:c r="H1198" s="73" t="str">
        <x:f>IF('당기원장'!A198="","",'당기원장'!I198)</x:f>
      </x:c>
      <x:c r="I1198" s="73" t="str">
        <x:f>IF('당기원장'!A198="","",'당기원장'!J198)</x:f>
      </x:c>
      <x:c r="J1198" s="73" t="str">
        <x:f>IF('당기원장'!A198="","",'당기원장'!K198)</x:f>
      </x:c>
      <x:c r="K1198" s="73" t="str">
        <x:f>IF(B1198="","",IF(COUNTIF($B$5:B1198,B1198)=1,COUNT($K$4:K1197)+1,""))</x:f>
      </x:c>
      <x:c r="L1198" s="85" t="str">
        <x:f>IF(B1198="","",IF(COUNTIFS('계정비교'!$A$5:$A$1004,B1198,'계정비교'!$H$5:$H$1004,"원인분석 대상")&gt;0,COUNT($L$4:L1197)+1,""))</x:f>
      </x:c>
    </x:row>
    <x:row r="1199">
      <x:c r="A1199" s="73" t="str">
        <x:f>IF('당기원장'!A199="","","당기")</x:f>
      </x:c>
      <x:c r="B1199" s="73" t="str">
        <x:f>IF('당기원장'!A199="","",'당기원장'!A199)</x:f>
      </x:c>
      <x:c r="C1199" s="73" t="str">
        <x:f>IF('당기원장'!A199="","",'당기원장'!B199)</x:f>
      </x:c>
      <x:c r="D1199" s="74" t="str">
        <x:f>IF('당기원장'!A199="","",'당기원장'!C199)</x:f>
      </x:c>
      <x:c r="E1199" s="73" t="str">
        <x:f>IF('당기원장'!A199="","",'당기원장'!D199)</x:f>
      </x:c>
      <x:c r="F1199" s="73" t="str">
        <x:f>IF('당기원장'!A199="","",'당기원장'!E199)</x:f>
      </x:c>
      <x:c r="G1199" s="75" t="str">
        <x:f>IF('당기원장'!A199="","",'당기원장'!H199)</x:f>
      </x:c>
      <x:c r="H1199" s="73" t="str">
        <x:f>IF('당기원장'!A199="","",'당기원장'!I199)</x:f>
      </x:c>
      <x:c r="I1199" s="73" t="str">
        <x:f>IF('당기원장'!A199="","",'당기원장'!J199)</x:f>
      </x:c>
      <x:c r="J1199" s="73" t="str">
        <x:f>IF('당기원장'!A199="","",'당기원장'!K199)</x:f>
      </x:c>
      <x:c r="K1199" s="73" t="str">
        <x:f>IF(B1199="","",IF(COUNTIF($B$5:B1199,B1199)=1,COUNT($K$4:K1198)+1,""))</x:f>
      </x:c>
      <x:c r="L1199" s="85" t="str">
        <x:f>IF(B1199="","",IF(COUNTIFS('계정비교'!$A$5:$A$1004,B1199,'계정비교'!$H$5:$H$1004,"원인분석 대상")&gt;0,COUNT($L$4:L1198)+1,""))</x:f>
      </x:c>
    </x:row>
    <x:row r="1200">
      <x:c r="A1200" s="73" t="str">
        <x:f>IF('당기원장'!A200="","","당기")</x:f>
      </x:c>
      <x:c r="B1200" s="73" t="str">
        <x:f>IF('당기원장'!A200="","",'당기원장'!A200)</x:f>
      </x:c>
      <x:c r="C1200" s="73" t="str">
        <x:f>IF('당기원장'!A200="","",'당기원장'!B200)</x:f>
      </x:c>
      <x:c r="D1200" s="74" t="str">
        <x:f>IF('당기원장'!A200="","",'당기원장'!C200)</x:f>
      </x:c>
      <x:c r="E1200" s="73" t="str">
        <x:f>IF('당기원장'!A200="","",'당기원장'!D200)</x:f>
      </x:c>
      <x:c r="F1200" s="73" t="str">
        <x:f>IF('당기원장'!A200="","",'당기원장'!E200)</x:f>
      </x:c>
      <x:c r="G1200" s="75" t="str">
        <x:f>IF('당기원장'!A200="","",'당기원장'!H200)</x:f>
      </x:c>
      <x:c r="H1200" s="73" t="str">
        <x:f>IF('당기원장'!A200="","",'당기원장'!I200)</x:f>
      </x:c>
      <x:c r="I1200" s="73" t="str">
        <x:f>IF('당기원장'!A200="","",'당기원장'!J200)</x:f>
      </x:c>
      <x:c r="J1200" s="73" t="str">
        <x:f>IF('당기원장'!A200="","",'당기원장'!K200)</x:f>
      </x:c>
      <x:c r="K1200" s="73" t="str">
        <x:f>IF(B1200="","",IF(COUNTIF($B$5:B1200,B1200)=1,COUNT($K$4:K1199)+1,""))</x:f>
      </x:c>
      <x:c r="L1200" s="85" t="str">
        <x:f>IF(B1200="","",IF(COUNTIFS('계정비교'!$A$5:$A$1004,B1200,'계정비교'!$H$5:$H$1004,"원인분석 대상")&gt;0,COUNT($L$4:L1199)+1,""))</x:f>
      </x:c>
    </x:row>
    <x:row r="1201">
      <x:c r="A1201" s="73" t="str">
        <x:f>IF('당기원장'!A201="","","당기")</x:f>
      </x:c>
      <x:c r="B1201" s="73" t="str">
        <x:f>IF('당기원장'!A201="","",'당기원장'!A201)</x:f>
      </x:c>
      <x:c r="C1201" s="73" t="str">
        <x:f>IF('당기원장'!A201="","",'당기원장'!B201)</x:f>
      </x:c>
      <x:c r="D1201" s="74" t="str">
        <x:f>IF('당기원장'!A201="","",'당기원장'!C201)</x:f>
      </x:c>
      <x:c r="E1201" s="73" t="str">
        <x:f>IF('당기원장'!A201="","",'당기원장'!D201)</x:f>
      </x:c>
      <x:c r="F1201" s="73" t="str">
        <x:f>IF('당기원장'!A201="","",'당기원장'!E201)</x:f>
      </x:c>
      <x:c r="G1201" s="75" t="str">
        <x:f>IF('당기원장'!A201="","",'당기원장'!H201)</x:f>
      </x:c>
      <x:c r="H1201" s="73" t="str">
        <x:f>IF('당기원장'!A201="","",'당기원장'!I201)</x:f>
      </x:c>
      <x:c r="I1201" s="73" t="str">
        <x:f>IF('당기원장'!A201="","",'당기원장'!J201)</x:f>
      </x:c>
      <x:c r="J1201" s="73" t="str">
        <x:f>IF('당기원장'!A201="","",'당기원장'!K201)</x:f>
      </x:c>
      <x:c r="K1201" s="73" t="str">
        <x:f>IF(B1201="","",IF(COUNTIF($B$5:B1201,B1201)=1,COUNT($K$4:K1200)+1,""))</x:f>
      </x:c>
      <x:c r="L1201" s="85" t="str">
        <x:f>IF(B1201="","",IF(COUNTIFS('계정비교'!$A$5:$A$1004,B1201,'계정비교'!$H$5:$H$1004,"원인분석 대상")&gt;0,COUNT($L$4:L1200)+1,""))</x:f>
      </x:c>
    </x:row>
    <x:row r="1202">
      <x:c r="A1202" s="73" t="str">
        <x:f>IF('당기원장'!A202="","","당기")</x:f>
      </x:c>
      <x:c r="B1202" s="73" t="str">
        <x:f>IF('당기원장'!A202="","",'당기원장'!A202)</x:f>
      </x:c>
      <x:c r="C1202" s="73" t="str">
        <x:f>IF('당기원장'!A202="","",'당기원장'!B202)</x:f>
      </x:c>
      <x:c r="D1202" s="74" t="str">
        <x:f>IF('당기원장'!A202="","",'당기원장'!C202)</x:f>
      </x:c>
      <x:c r="E1202" s="73" t="str">
        <x:f>IF('당기원장'!A202="","",'당기원장'!D202)</x:f>
      </x:c>
      <x:c r="F1202" s="73" t="str">
        <x:f>IF('당기원장'!A202="","",'당기원장'!E202)</x:f>
      </x:c>
      <x:c r="G1202" s="75" t="str">
        <x:f>IF('당기원장'!A202="","",'당기원장'!H202)</x:f>
      </x:c>
      <x:c r="H1202" s="73" t="str">
        <x:f>IF('당기원장'!A202="","",'당기원장'!I202)</x:f>
      </x:c>
      <x:c r="I1202" s="73" t="str">
        <x:f>IF('당기원장'!A202="","",'당기원장'!J202)</x:f>
      </x:c>
      <x:c r="J1202" s="73" t="str">
        <x:f>IF('당기원장'!A202="","",'당기원장'!K202)</x:f>
      </x:c>
      <x:c r="K1202" s="73" t="str">
        <x:f>IF(B1202="","",IF(COUNTIF($B$5:B1202,B1202)=1,COUNT($K$4:K1201)+1,""))</x:f>
      </x:c>
      <x:c r="L1202" s="85" t="str">
        <x:f>IF(B1202="","",IF(COUNTIFS('계정비교'!$A$5:$A$1004,B1202,'계정비교'!$H$5:$H$1004,"원인분석 대상")&gt;0,COUNT($L$4:L1201)+1,""))</x:f>
      </x:c>
    </x:row>
    <x:row r="1203">
      <x:c r="A1203" s="73" t="str">
        <x:f>IF('당기원장'!A203="","","당기")</x:f>
      </x:c>
      <x:c r="B1203" s="73" t="str">
        <x:f>IF('당기원장'!A203="","",'당기원장'!A203)</x:f>
      </x:c>
      <x:c r="C1203" s="73" t="str">
        <x:f>IF('당기원장'!A203="","",'당기원장'!B203)</x:f>
      </x:c>
      <x:c r="D1203" s="74" t="str">
        <x:f>IF('당기원장'!A203="","",'당기원장'!C203)</x:f>
      </x:c>
      <x:c r="E1203" s="73" t="str">
        <x:f>IF('당기원장'!A203="","",'당기원장'!D203)</x:f>
      </x:c>
      <x:c r="F1203" s="73" t="str">
        <x:f>IF('당기원장'!A203="","",'당기원장'!E203)</x:f>
      </x:c>
      <x:c r="G1203" s="75" t="str">
        <x:f>IF('당기원장'!A203="","",'당기원장'!H203)</x:f>
      </x:c>
      <x:c r="H1203" s="73" t="str">
        <x:f>IF('당기원장'!A203="","",'당기원장'!I203)</x:f>
      </x:c>
      <x:c r="I1203" s="73" t="str">
        <x:f>IF('당기원장'!A203="","",'당기원장'!J203)</x:f>
      </x:c>
      <x:c r="J1203" s="73" t="str">
        <x:f>IF('당기원장'!A203="","",'당기원장'!K203)</x:f>
      </x:c>
      <x:c r="K1203" s="73" t="str">
        <x:f>IF(B1203="","",IF(COUNTIF($B$5:B1203,B1203)=1,COUNT($K$4:K1202)+1,""))</x:f>
      </x:c>
      <x:c r="L1203" s="85" t="str">
        <x:f>IF(B1203="","",IF(COUNTIFS('계정비교'!$A$5:$A$1004,B1203,'계정비교'!$H$5:$H$1004,"원인분석 대상")&gt;0,COUNT($L$4:L1202)+1,""))</x:f>
      </x:c>
    </x:row>
    <x:row r="1204">
      <x:c r="A1204" s="73" t="str">
        <x:f>IF('당기원장'!A204="","","당기")</x:f>
      </x:c>
      <x:c r="B1204" s="73" t="str">
        <x:f>IF('당기원장'!A204="","",'당기원장'!A204)</x:f>
      </x:c>
      <x:c r="C1204" s="73" t="str">
        <x:f>IF('당기원장'!A204="","",'당기원장'!B204)</x:f>
      </x:c>
      <x:c r="D1204" s="74" t="str">
        <x:f>IF('당기원장'!A204="","",'당기원장'!C204)</x:f>
      </x:c>
      <x:c r="E1204" s="73" t="str">
        <x:f>IF('당기원장'!A204="","",'당기원장'!D204)</x:f>
      </x:c>
      <x:c r="F1204" s="73" t="str">
        <x:f>IF('당기원장'!A204="","",'당기원장'!E204)</x:f>
      </x:c>
      <x:c r="G1204" s="75" t="str">
        <x:f>IF('당기원장'!A204="","",'당기원장'!H204)</x:f>
      </x:c>
      <x:c r="H1204" s="73" t="str">
        <x:f>IF('당기원장'!A204="","",'당기원장'!I204)</x:f>
      </x:c>
      <x:c r="I1204" s="73" t="str">
        <x:f>IF('당기원장'!A204="","",'당기원장'!J204)</x:f>
      </x:c>
      <x:c r="J1204" s="73" t="str">
        <x:f>IF('당기원장'!A204="","",'당기원장'!K204)</x:f>
      </x:c>
      <x:c r="K1204" s="73" t="str">
        <x:f>IF(B1204="","",IF(COUNTIF($B$5:B1204,B1204)=1,COUNT($K$4:K1203)+1,""))</x:f>
      </x:c>
      <x:c r="L1204" s="85" t="str">
        <x:f>IF(B1204="","",IF(COUNTIFS('계정비교'!$A$5:$A$1004,B1204,'계정비교'!$H$5:$H$1004,"원인분석 대상")&gt;0,COUNT($L$4:L1203)+1,""))</x:f>
      </x:c>
    </x:row>
    <x:row r="1205">
      <x:c r="A1205" s="73" t="str">
        <x:f>IF('당기원장'!A205="","","당기")</x:f>
      </x:c>
      <x:c r="B1205" s="73" t="str">
        <x:f>IF('당기원장'!A205="","",'당기원장'!A205)</x:f>
      </x:c>
      <x:c r="C1205" s="73" t="str">
        <x:f>IF('당기원장'!A205="","",'당기원장'!B205)</x:f>
      </x:c>
      <x:c r="D1205" s="74" t="str">
        <x:f>IF('당기원장'!A205="","",'당기원장'!C205)</x:f>
      </x:c>
      <x:c r="E1205" s="73" t="str">
        <x:f>IF('당기원장'!A205="","",'당기원장'!D205)</x:f>
      </x:c>
      <x:c r="F1205" s="73" t="str">
        <x:f>IF('당기원장'!A205="","",'당기원장'!E205)</x:f>
      </x:c>
      <x:c r="G1205" s="75" t="str">
        <x:f>IF('당기원장'!A205="","",'당기원장'!H205)</x:f>
      </x:c>
      <x:c r="H1205" s="73" t="str">
        <x:f>IF('당기원장'!A205="","",'당기원장'!I205)</x:f>
      </x:c>
      <x:c r="I1205" s="73" t="str">
        <x:f>IF('당기원장'!A205="","",'당기원장'!J205)</x:f>
      </x:c>
      <x:c r="J1205" s="73" t="str">
        <x:f>IF('당기원장'!A205="","",'당기원장'!K205)</x:f>
      </x:c>
      <x:c r="K1205" s="73" t="str">
        <x:f>IF(B1205="","",IF(COUNTIF($B$5:B1205,B1205)=1,COUNT($K$4:K1204)+1,""))</x:f>
      </x:c>
      <x:c r="L1205" s="85" t="str">
        <x:f>IF(B1205="","",IF(COUNTIFS('계정비교'!$A$5:$A$1004,B1205,'계정비교'!$H$5:$H$1004,"원인분석 대상")&gt;0,COUNT($L$4:L1204)+1,""))</x:f>
      </x:c>
    </x:row>
    <x:row r="1206">
      <x:c r="A1206" s="73" t="str">
        <x:f>IF('당기원장'!A206="","","당기")</x:f>
      </x:c>
      <x:c r="B1206" s="73" t="str">
        <x:f>IF('당기원장'!A206="","",'당기원장'!A206)</x:f>
      </x:c>
      <x:c r="C1206" s="73" t="str">
        <x:f>IF('당기원장'!A206="","",'당기원장'!B206)</x:f>
      </x:c>
      <x:c r="D1206" s="74" t="str">
        <x:f>IF('당기원장'!A206="","",'당기원장'!C206)</x:f>
      </x:c>
      <x:c r="E1206" s="73" t="str">
        <x:f>IF('당기원장'!A206="","",'당기원장'!D206)</x:f>
      </x:c>
      <x:c r="F1206" s="73" t="str">
        <x:f>IF('당기원장'!A206="","",'당기원장'!E206)</x:f>
      </x:c>
      <x:c r="G1206" s="75" t="str">
        <x:f>IF('당기원장'!A206="","",'당기원장'!H206)</x:f>
      </x:c>
      <x:c r="H1206" s="73" t="str">
        <x:f>IF('당기원장'!A206="","",'당기원장'!I206)</x:f>
      </x:c>
      <x:c r="I1206" s="73" t="str">
        <x:f>IF('당기원장'!A206="","",'당기원장'!J206)</x:f>
      </x:c>
      <x:c r="J1206" s="73" t="str">
        <x:f>IF('당기원장'!A206="","",'당기원장'!K206)</x:f>
      </x:c>
      <x:c r="K1206" s="73" t="str">
        <x:f>IF(B1206="","",IF(COUNTIF($B$5:B1206,B1206)=1,COUNT($K$4:K1205)+1,""))</x:f>
      </x:c>
      <x:c r="L1206" s="85" t="str">
        <x:f>IF(B1206="","",IF(COUNTIFS('계정비교'!$A$5:$A$1004,B1206,'계정비교'!$H$5:$H$1004,"원인분석 대상")&gt;0,COUNT($L$4:L1205)+1,""))</x:f>
      </x:c>
    </x:row>
    <x:row r="1207">
      <x:c r="A1207" s="73" t="str">
        <x:f>IF('당기원장'!A207="","","당기")</x:f>
      </x:c>
      <x:c r="B1207" s="73" t="str">
        <x:f>IF('당기원장'!A207="","",'당기원장'!A207)</x:f>
      </x:c>
      <x:c r="C1207" s="73" t="str">
        <x:f>IF('당기원장'!A207="","",'당기원장'!B207)</x:f>
      </x:c>
      <x:c r="D1207" s="74" t="str">
        <x:f>IF('당기원장'!A207="","",'당기원장'!C207)</x:f>
      </x:c>
      <x:c r="E1207" s="73" t="str">
        <x:f>IF('당기원장'!A207="","",'당기원장'!D207)</x:f>
      </x:c>
      <x:c r="F1207" s="73" t="str">
        <x:f>IF('당기원장'!A207="","",'당기원장'!E207)</x:f>
      </x:c>
      <x:c r="G1207" s="75" t="str">
        <x:f>IF('당기원장'!A207="","",'당기원장'!H207)</x:f>
      </x:c>
      <x:c r="H1207" s="73" t="str">
        <x:f>IF('당기원장'!A207="","",'당기원장'!I207)</x:f>
      </x:c>
      <x:c r="I1207" s="73" t="str">
        <x:f>IF('당기원장'!A207="","",'당기원장'!J207)</x:f>
      </x:c>
      <x:c r="J1207" s="73" t="str">
        <x:f>IF('당기원장'!A207="","",'당기원장'!K207)</x:f>
      </x:c>
      <x:c r="K1207" s="73" t="str">
        <x:f>IF(B1207="","",IF(COUNTIF($B$5:B1207,B1207)=1,COUNT($K$4:K1206)+1,""))</x:f>
      </x:c>
      <x:c r="L1207" s="85" t="str">
        <x:f>IF(B1207="","",IF(COUNTIFS('계정비교'!$A$5:$A$1004,B1207,'계정비교'!$H$5:$H$1004,"원인분석 대상")&gt;0,COUNT($L$4:L1206)+1,""))</x:f>
      </x:c>
    </x:row>
    <x:row r="1208">
      <x:c r="A1208" s="73" t="str">
        <x:f>IF('당기원장'!A208="","","당기")</x:f>
      </x:c>
      <x:c r="B1208" s="73" t="str">
        <x:f>IF('당기원장'!A208="","",'당기원장'!A208)</x:f>
      </x:c>
      <x:c r="C1208" s="73" t="str">
        <x:f>IF('당기원장'!A208="","",'당기원장'!B208)</x:f>
      </x:c>
      <x:c r="D1208" s="74" t="str">
        <x:f>IF('당기원장'!A208="","",'당기원장'!C208)</x:f>
      </x:c>
      <x:c r="E1208" s="73" t="str">
        <x:f>IF('당기원장'!A208="","",'당기원장'!D208)</x:f>
      </x:c>
      <x:c r="F1208" s="73" t="str">
        <x:f>IF('당기원장'!A208="","",'당기원장'!E208)</x:f>
      </x:c>
      <x:c r="G1208" s="75" t="str">
        <x:f>IF('당기원장'!A208="","",'당기원장'!H208)</x:f>
      </x:c>
      <x:c r="H1208" s="73" t="str">
        <x:f>IF('당기원장'!A208="","",'당기원장'!I208)</x:f>
      </x:c>
      <x:c r="I1208" s="73" t="str">
        <x:f>IF('당기원장'!A208="","",'당기원장'!J208)</x:f>
      </x:c>
      <x:c r="J1208" s="73" t="str">
        <x:f>IF('당기원장'!A208="","",'당기원장'!K208)</x:f>
      </x:c>
      <x:c r="K1208" s="73" t="str">
        <x:f>IF(B1208="","",IF(COUNTIF($B$5:B1208,B1208)=1,COUNT($K$4:K1207)+1,""))</x:f>
      </x:c>
      <x:c r="L1208" s="85" t="str">
        <x:f>IF(B1208="","",IF(COUNTIFS('계정비교'!$A$5:$A$1004,B1208,'계정비교'!$H$5:$H$1004,"원인분석 대상")&gt;0,COUNT($L$4:L1207)+1,""))</x:f>
      </x:c>
    </x:row>
    <x:row r="1209">
      <x:c r="A1209" s="73" t="str">
        <x:f>IF('당기원장'!A209="","","당기")</x:f>
      </x:c>
      <x:c r="B1209" s="73" t="str">
        <x:f>IF('당기원장'!A209="","",'당기원장'!A209)</x:f>
      </x:c>
      <x:c r="C1209" s="73" t="str">
        <x:f>IF('당기원장'!A209="","",'당기원장'!B209)</x:f>
      </x:c>
      <x:c r="D1209" s="74" t="str">
        <x:f>IF('당기원장'!A209="","",'당기원장'!C209)</x:f>
      </x:c>
      <x:c r="E1209" s="73" t="str">
        <x:f>IF('당기원장'!A209="","",'당기원장'!D209)</x:f>
      </x:c>
      <x:c r="F1209" s="73" t="str">
        <x:f>IF('당기원장'!A209="","",'당기원장'!E209)</x:f>
      </x:c>
      <x:c r="G1209" s="75" t="str">
        <x:f>IF('당기원장'!A209="","",'당기원장'!H209)</x:f>
      </x:c>
      <x:c r="H1209" s="73" t="str">
        <x:f>IF('당기원장'!A209="","",'당기원장'!I209)</x:f>
      </x:c>
      <x:c r="I1209" s="73" t="str">
        <x:f>IF('당기원장'!A209="","",'당기원장'!J209)</x:f>
      </x:c>
      <x:c r="J1209" s="73" t="str">
        <x:f>IF('당기원장'!A209="","",'당기원장'!K209)</x:f>
      </x:c>
      <x:c r="K1209" s="73" t="str">
        <x:f>IF(B1209="","",IF(COUNTIF($B$5:B1209,B1209)=1,COUNT($K$4:K1208)+1,""))</x:f>
      </x:c>
      <x:c r="L1209" s="85" t="str">
        <x:f>IF(B1209="","",IF(COUNTIFS('계정비교'!$A$5:$A$1004,B1209,'계정비교'!$H$5:$H$1004,"원인분석 대상")&gt;0,COUNT($L$4:L1208)+1,""))</x:f>
      </x:c>
    </x:row>
    <x:row r="1210">
      <x:c r="A1210" s="73" t="str">
        <x:f>IF('당기원장'!A210="","","당기")</x:f>
      </x:c>
      <x:c r="B1210" s="73" t="str">
        <x:f>IF('당기원장'!A210="","",'당기원장'!A210)</x:f>
      </x:c>
      <x:c r="C1210" s="73" t="str">
        <x:f>IF('당기원장'!A210="","",'당기원장'!B210)</x:f>
      </x:c>
      <x:c r="D1210" s="74" t="str">
        <x:f>IF('당기원장'!A210="","",'당기원장'!C210)</x:f>
      </x:c>
      <x:c r="E1210" s="73" t="str">
        <x:f>IF('당기원장'!A210="","",'당기원장'!D210)</x:f>
      </x:c>
      <x:c r="F1210" s="73" t="str">
        <x:f>IF('당기원장'!A210="","",'당기원장'!E210)</x:f>
      </x:c>
      <x:c r="G1210" s="75" t="str">
        <x:f>IF('당기원장'!A210="","",'당기원장'!H210)</x:f>
      </x:c>
      <x:c r="H1210" s="73" t="str">
        <x:f>IF('당기원장'!A210="","",'당기원장'!I210)</x:f>
      </x:c>
      <x:c r="I1210" s="73" t="str">
        <x:f>IF('당기원장'!A210="","",'당기원장'!J210)</x:f>
      </x:c>
      <x:c r="J1210" s="73" t="str">
        <x:f>IF('당기원장'!A210="","",'당기원장'!K210)</x:f>
      </x:c>
      <x:c r="K1210" s="73" t="str">
        <x:f>IF(B1210="","",IF(COUNTIF($B$5:B1210,B1210)=1,COUNT($K$4:K1209)+1,""))</x:f>
      </x:c>
      <x:c r="L1210" s="85" t="str">
        <x:f>IF(B1210="","",IF(COUNTIFS('계정비교'!$A$5:$A$1004,B1210,'계정비교'!$H$5:$H$1004,"원인분석 대상")&gt;0,COUNT($L$4:L1209)+1,""))</x:f>
      </x:c>
    </x:row>
    <x:row r="1211">
      <x:c r="A1211" s="73" t="str">
        <x:f>IF('당기원장'!A211="","","당기")</x:f>
      </x:c>
      <x:c r="B1211" s="73" t="str">
        <x:f>IF('당기원장'!A211="","",'당기원장'!A211)</x:f>
      </x:c>
      <x:c r="C1211" s="73" t="str">
        <x:f>IF('당기원장'!A211="","",'당기원장'!B211)</x:f>
      </x:c>
      <x:c r="D1211" s="74" t="str">
        <x:f>IF('당기원장'!A211="","",'당기원장'!C211)</x:f>
      </x:c>
      <x:c r="E1211" s="73" t="str">
        <x:f>IF('당기원장'!A211="","",'당기원장'!D211)</x:f>
      </x:c>
      <x:c r="F1211" s="73" t="str">
        <x:f>IF('당기원장'!A211="","",'당기원장'!E211)</x:f>
      </x:c>
      <x:c r="G1211" s="75" t="str">
        <x:f>IF('당기원장'!A211="","",'당기원장'!H211)</x:f>
      </x:c>
      <x:c r="H1211" s="73" t="str">
        <x:f>IF('당기원장'!A211="","",'당기원장'!I211)</x:f>
      </x:c>
      <x:c r="I1211" s="73" t="str">
        <x:f>IF('당기원장'!A211="","",'당기원장'!J211)</x:f>
      </x:c>
      <x:c r="J1211" s="73" t="str">
        <x:f>IF('당기원장'!A211="","",'당기원장'!K211)</x:f>
      </x:c>
      <x:c r="K1211" s="73" t="str">
        <x:f>IF(B1211="","",IF(COUNTIF($B$5:B1211,B1211)=1,COUNT($K$4:K1210)+1,""))</x:f>
      </x:c>
      <x:c r="L1211" s="85" t="str">
        <x:f>IF(B1211="","",IF(COUNTIFS('계정비교'!$A$5:$A$1004,B1211,'계정비교'!$H$5:$H$1004,"원인분석 대상")&gt;0,COUNT($L$4:L1210)+1,""))</x:f>
      </x:c>
    </x:row>
    <x:row r="1212">
      <x:c r="A1212" s="73" t="str">
        <x:f>IF('당기원장'!A212="","","당기")</x:f>
      </x:c>
      <x:c r="B1212" s="73" t="str">
        <x:f>IF('당기원장'!A212="","",'당기원장'!A212)</x:f>
      </x:c>
      <x:c r="C1212" s="73" t="str">
        <x:f>IF('당기원장'!A212="","",'당기원장'!B212)</x:f>
      </x:c>
      <x:c r="D1212" s="74" t="str">
        <x:f>IF('당기원장'!A212="","",'당기원장'!C212)</x:f>
      </x:c>
      <x:c r="E1212" s="73" t="str">
        <x:f>IF('당기원장'!A212="","",'당기원장'!D212)</x:f>
      </x:c>
      <x:c r="F1212" s="73" t="str">
        <x:f>IF('당기원장'!A212="","",'당기원장'!E212)</x:f>
      </x:c>
      <x:c r="G1212" s="75" t="str">
        <x:f>IF('당기원장'!A212="","",'당기원장'!H212)</x:f>
      </x:c>
      <x:c r="H1212" s="73" t="str">
        <x:f>IF('당기원장'!A212="","",'당기원장'!I212)</x:f>
      </x:c>
      <x:c r="I1212" s="73" t="str">
        <x:f>IF('당기원장'!A212="","",'당기원장'!J212)</x:f>
      </x:c>
      <x:c r="J1212" s="73" t="str">
        <x:f>IF('당기원장'!A212="","",'당기원장'!K212)</x:f>
      </x:c>
      <x:c r="K1212" s="73" t="str">
        <x:f>IF(B1212="","",IF(COUNTIF($B$5:B1212,B1212)=1,COUNT($K$4:K1211)+1,""))</x:f>
      </x:c>
      <x:c r="L1212" s="85" t="str">
        <x:f>IF(B1212="","",IF(COUNTIFS('계정비교'!$A$5:$A$1004,B1212,'계정비교'!$H$5:$H$1004,"원인분석 대상")&gt;0,COUNT($L$4:L1211)+1,""))</x:f>
      </x:c>
    </x:row>
    <x:row r="1213">
      <x:c r="A1213" s="73" t="str">
        <x:f>IF('당기원장'!A213="","","당기")</x:f>
      </x:c>
      <x:c r="B1213" s="73" t="str">
        <x:f>IF('당기원장'!A213="","",'당기원장'!A213)</x:f>
      </x:c>
      <x:c r="C1213" s="73" t="str">
        <x:f>IF('당기원장'!A213="","",'당기원장'!B213)</x:f>
      </x:c>
      <x:c r="D1213" s="74" t="str">
        <x:f>IF('당기원장'!A213="","",'당기원장'!C213)</x:f>
      </x:c>
      <x:c r="E1213" s="73" t="str">
        <x:f>IF('당기원장'!A213="","",'당기원장'!D213)</x:f>
      </x:c>
      <x:c r="F1213" s="73" t="str">
        <x:f>IF('당기원장'!A213="","",'당기원장'!E213)</x:f>
      </x:c>
      <x:c r="G1213" s="75" t="str">
        <x:f>IF('당기원장'!A213="","",'당기원장'!H213)</x:f>
      </x:c>
      <x:c r="H1213" s="73" t="str">
        <x:f>IF('당기원장'!A213="","",'당기원장'!I213)</x:f>
      </x:c>
      <x:c r="I1213" s="73" t="str">
        <x:f>IF('당기원장'!A213="","",'당기원장'!J213)</x:f>
      </x:c>
      <x:c r="J1213" s="73" t="str">
        <x:f>IF('당기원장'!A213="","",'당기원장'!K213)</x:f>
      </x:c>
      <x:c r="K1213" s="73" t="str">
        <x:f>IF(B1213="","",IF(COUNTIF($B$5:B1213,B1213)=1,COUNT($K$4:K1212)+1,""))</x:f>
      </x:c>
      <x:c r="L1213" s="85" t="str">
        <x:f>IF(B1213="","",IF(COUNTIFS('계정비교'!$A$5:$A$1004,B1213,'계정비교'!$H$5:$H$1004,"원인분석 대상")&gt;0,COUNT($L$4:L1212)+1,""))</x:f>
      </x:c>
    </x:row>
    <x:row r="1214">
      <x:c r="A1214" s="73" t="str">
        <x:f>IF('당기원장'!A214="","","당기")</x:f>
      </x:c>
      <x:c r="B1214" s="73" t="str">
        <x:f>IF('당기원장'!A214="","",'당기원장'!A214)</x:f>
      </x:c>
      <x:c r="C1214" s="73" t="str">
        <x:f>IF('당기원장'!A214="","",'당기원장'!B214)</x:f>
      </x:c>
      <x:c r="D1214" s="74" t="str">
        <x:f>IF('당기원장'!A214="","",'당기원장'!C214)</x:f>
      </x:c>
      <x:c r="E1214" s="73" t="str">
        <x:f>IF('당기원장'!A214="","",'당기원장'!D214)</x:f>
      </x:c>
      <x:c r="F1214" s="73" t="str">
        <x:f>IF('당기원장'!A214="","",'당기원장'!E214)</x:f>
      </x:c>
      <x:c r="G1214" s="75" t="str">
        <x:f>IF('당기원장'!A214="","",'당기원장'!H214)</x:f>
      </x:c>
      <x:c r="H1214" s="73" t="str">
        <x:f>IF('당기원장'!A214="","",'당기원장'!I214)</x:f>
      </x:c>
      <x:c r="I1214" s="73" t="str">
        <x:f>IF('당기원장'!A214="","",'당기원장'!J214)</x:f>
      </x:c>
      <x:c r="J1214" s="73" t="str">
        <x:f>IF('당기원장'!A214="","",'당기원장'!K214)</x:f>
      </x:c>
      <x:c r="K1214" s="73" t="str">
        <x:f>IF(B1214="","",IF(COUNTIF($B$5:B1214,B1214)=1,COUNT($K$4:K1213)+1,""))</x:f>
      </x:c>
      <x:c r="L1214" s="85" t="str">
        <x:f>IF(B1214="","",IF(COUNTIFS('계정비교'!$A$5:$A$1004,B1214,'계정비교'!$H$5:$H$1004,"원인분석 대상")&gt;0,COUNT($L$4:L1213)+1,""))</x:f>
      </x:c>
    </x:row>
    <x:row r="1215">
      <x:c r="A1215" s="73" t="str">
        <x:f>IF('당기원장'!A215="","","당기")</x:f>
      </x:c>
      <x:c r="B1215" s="73" t="str">
        <x:f>IF('당기원장'!A215="","",'당기원장'!A215)</x:f>
      </x:c>
      <x:c r="C1215" s="73" t="str">
        <x:f>IF('당기원장'!A215="","",'당기원장'!B215)</x:f>
      </x:c>
      <x:c r="D1215" s="74" t="str">
        <x:f>IF('당기원장'!A215="","",'당기원장'!C215)</x:f>
      </x:c>
      <x:c r="E1215" s="73" t="str">
        <x:f>IF('당기원장'!A215="","",'당기원장'!D215)</x:f>
      </x:c>
      <x:c r="F1215" s="73" t="str">
        <x:f>IF('당기원장'!A215="","",'당기원장'!E215)</x:f>
      </x:c>
      <x:c r="G1215" s="75" t="str">
        <x:f>IF('당기원장'!A215="","",'당기원장'!H215)</x:f>
      </x:c>
      <x:c r="H1215" s="73" t="str">
        <x:f>IF('당기원장'!A215="","",'당기원장'!I215)</x:f>
      </x:c>
      <x:c r="I1215" s="73" t="str">
        <x:f>IF('당기원장'!A215="","",'당기원장'!J215)</x:f>
      </x:c>
      <x:c r="J1215" s="73" t="str">
        <x:f>IF('당기원장'!A215="","",'당기원장'!K215)</x:f>
      </x:c>
      <x:c r="K1215" s="73" t="str">
        <x:f>IF(B1215="","",IF(COUNTIF($B$5:B1215,B1215)=1,COUNT($K$4:K1214)+1,""))</x:f>
      </x:c>
      <x:c r="L1215" s="85" t="str">
        <x:f>IF(B1215="","",IF(COUNTIFS('계정비교'!$A$5:$A$1004,B1215,'계정비교'!$H$5:$H$1004,"원인분석 대상")&gt;0,COUNT($L$4:L1214)+1,""))</x:f>
      </x:c>
    </x:row>
    <x:row r="1216">
      <x:c r="A1216" s="73" t="str">
        <x:f>IF('당기원장'!A216="","","당기")</x:f>
      </x:c>
      <x:c r="B1216" s="73" t="str">
        <x:f>IF('당기원장'!A216="","",'당기원장'!A216)</x:f>
      </x:c>
      <x:c r="C1216" s="73" t="str">
        <x:f>IF('당기원장'!A216="","",'당기원장'!B216)</x:f>
      </x:c>
      <x:c r="D1216" s="74" t="str">
        <x:f>IF('당기원장'!A216="","",'당기원장'!C216)</x:f>
      </x:c>
      <x:c r="E1216" s="73" t="str">
        <x:f>IF('당기원장'!A216="","",'당기원장'!D216)</x:f>
      </x:c>
      <x:c r="F1216" s="73" t="str">
        <x:f>IF('당기원장'!A216="","",'당기원장'!E216)</x:f>
      </x:c>
      <x:c r="G1216" s="75" t="str">
        <x:f>IF('당기원장'!A216="","",'당기원장'!H216)</x:f>
      </x:c>
      <x:c r="H1216" s="73" t="str">
        <x:f>IF('당기원장'!A216="","",'당기원장'!I216)</x:f>
      </x:c>
      <x:c r="I1216" s="73" t="str">
        <x:f>IF('당기원장'!A216="","",'당기원장'!J216)</x:f>
      </x:c>
      <x:c r="J1216" s="73" t="str">
        <x:f>IF('당기원장'!A216="","",'당기원장'!K216)</x:f>
      </x:c>
      <x:c r="K1216" s="73" t="str">
        <x:f>IF(B1216="","",IF(COUNTIF($B$5:B1216,B1216)=1,COUNT($K$4:K1215)+1,""))</x:f>
      </x:c>
      <x:c r="L1216" s="85" t="str">
        <x:f>IF(B1216="","",IF(COUNTIFS('계정비교'!$A$5:$A$1004,B1216,'계정비교'!$H$5:$H$1004,"원인분석 대상")&gt;0,COUNT($L$4:L1215)+1,""))</x:f>
      </x:c>
    </x:row>
    <x:row r="1217">
      <x:c r="A1217" s="73" t="str">
        <x:f>IF('당기원장'!A217="","","당기")</x:f>
      </x:c>
      <x:c r="B1217" s="73" t="str">
        <x:f>IF('당기원장'!A217="","",'당기원장'!A217)</x:f>
      </x:c>
      <x:c r="C1217" s="73" t="str">
        <x:f>IF('당기원장'!A217="","",'당기원장'!B217)</x:f>
      </x:c>
      <x:c r="D1217" s="74" t="str">
        <x:f>IF('당기원장'!A217="","",'당기원장'!C217)</x:f>
      </x:c>
      <x:c r="E1217" s="73" t="str">
        <x:f>IF('당기원장'!A217="","",'당기원장'!D217)</x:f>
      </x:c>
      <x:c r="F1217" s="73" t="str">
        <x:f>IF('당기원장'!A217="","",'당기원장'!E217)</x:f>
      </x:c>
      <x:c r="G1217" s="75" t="str">
        <x:f>IF('당기원장'!A217="","",'당기원장'!H217)</x:f>
      </x:c>
      <x:c r="H1217" s="73" t="str">
        <x:f>IF('당기원장'!A217="","",'당기원장'!I217)</x:f>
      </x:c>
      <x:c r="I1217" s="73" t="str">
        <x:f>IF('당기원장'!A217="","",'당기원장'!J217)</x:f>
      </x:c>
      <x:c r="J1217" s="73" t="str">
        <x:f>IF('당기원장'!A217="","",'당기원장'!K217)</x:f>
      </x:c>
      <x:c r="K1217" s="73" t="str">
        <x:f>IF(B1217="","",IF(COUNTIF($B$5:B1217,B1217)=1,COUNT($K$4:K1216)+1,""))</x:f>
      </x:c>
      <x:c r="L1217" s="85" t="str">
        <x:f>IF(B1217="","",IF(COUNTIFS('계정비교'!$A$5:$A$1004,B1217,'계정비교'!$H$5:$H$1004,"원인분석 대상")&gt;0,COUNT($L$4:L1216)+1,""))</x:f>
      </x:c>
    </x:row>
    <x:row r="1218">
      <x:c r="A1218" s="73" t="str">
        <x:f>IF('당기원장'!A218="","","당기")</x:f>
      </x:c>
      <x:c r="B1218" s="73" t="str">
        <x:f>IF('당기원장'!A218="","",'당기원장'!A218)</x:f>
      </x:c>
      <x:c r="C1218" s="73" t="str">
        <x:f>IF('당기원장'!A218="","",'당기원장'!B218)</x:f>
      </x:c>
      <x:c r="D1218" s="74" t="str">
        <x:f>IF('당기원장'!A218="","",'당기원장'!C218)</x:f>
      </x:c>
      <x:c r="E1218" s="73" t="str">
        <x:f>IF('당기원장'!A218="","",'당기원장'!D218)</x:f>
      </x:c>
      <x:c r="F1218" s="73" t="str">
        <x:f>IF('당기원장'!A218="","",'당기원장'!E218)</x:f>
      </x:c>
      <x:c r="G1218" s="75" t="str">
        <x:f>IF('당기원장'!A218="","",'당기원장'!H218)</x:f>
      </x:c>
      <x:c r="H1218" s="73" t="str">
        <x:f>IF('당기원장'!A218="","",'당기원장'!I218)</x:f>
      </x:c>
      <x:c r="I1218" s="73" t="str">
        <x:f>IF('당기원장'!A218="","",'당기원장'!J218)</x:f>
      </x:c>
      <x:c r="J1218" s="73" t="str">
        <x:f>IF('당기원장'!A218="","",'당기원장'!K218)</x:f>
      </x:c>
      <x:c r="K1218" s="73" t="str">
        <x:f>IF(B1218="","",IF(COUNTIF($B$5:B1218,B1218)=1,COUNT($K$4:K1217)+1,""))</x:f>
      </x:c>
      <x:c r="L1218" s="85" t="str">
        <x:f>IF(B1218="","",IF(COUNTIFS('계정비교'!$A$5:$A$1004,B1218,'계정비교'!$H$5:$H$1004,"원인분석 대상")&gt;0,COUNT($L$4:L1217)+1,""))</x:f>
      </x:c>
    </x:row>
    <x:row r="1219">
      <x:c r="A1219" s="73" t="str">
        <x:f>IF('당기원장'!A219="","","당기")</x:f>
      </x:c>
      <x:c r="B1219" s="73" t="str">
        <x:f>IF('당기원장'!A219="","",'당기원장'!A219)</x:f>
      </x:c>
      <x:c r="C1219" s="73" t="str">
        <x:f>IF('당기원장'!A219="","",'당기원장'!B219)</x:f>
      </x:c>
      <x:c r="D1219" s="74" t="str">
        <x:f>IF('당기원장'!A219="","",'당기원장'!C219)</x:f>
      </x:c>
      <x:c r="E1219" s="73" t="str">
        <x:f>IF('당기원장'!A219="","",'당기원장'!D219)</x:f>
      </x:c>
      <x:c r="F1219" s="73" t="str">
        <x:f>IF('당기원장'!A219="","",'당기원장'!E219)</x:f>
      </x:c>
      <x:c r="G1219" s="75" t="str">
        <x:f>IF('당기원장'!A219="","",'당기원장'!H219)</x:f>
      </x:c>
      <x:c r="H1219" s="73" t="str">
        <x:f>IF('당기원장'!A219="","",'당기원장'!I219)</x:f>
      </x:c>
      <x:c r="I1219" s="73" t="str">
        <x:f>IF('당기원장'!A219="","",'당기원장'!J219)</x:f>
      </x:c>
      <x:c r="J1219" s="73" t="str">
        <x:f>IF('당기원장'!A219="","",'당기원장'!K219)</x:f>
      </x:c>
      <x:c r="K1219" s="73" t="str">
        <x:f>IF(B1219="","",IF(COUNTIF($B$5:B1219,B1219)=1,COUNT($K$4:K1218)+1,""))</x:f>
      </x:c>
      <x:c r="L1219" s="85" t="str">
        <x:f>IF(B1219="","",IF(COUNTIFS('계정비교'!$A$5:$A$1004,B1219,'계정비교'!$H$5:$H$1004,"원인분석 대상")&gt;0,COUNT($L$4:L1218)+1,""))</x:f>
      </x:c>
    </x:row>
    <x:row r="1220">
      <x:c r="A1220" s="73" t="str">
        <x:f>IF('당기원장'!A220="","","당기")</x:f>
      </x:c>
      <x:c r="B1220" s="73" t="str">
        <x:f>IF('당기원장'!A220="","",'당기원장'!A220)</x:f>
      </x:c>
      <x:c r="C1220" s="73" t="str">
        <x:f>IF('당기원장'!A220="","",'당기원장'!B220)</x:f>
      </x:c>
      <x:c r="D1220" s="74" t="str">
        <x:f>IF('당기원장'!A220="","",'당기원장'!C220)</x:f>
      </x:c>
      <x:c r="E1220" s="73" t="str">
        <x:f>IF('당기원장'!A220="","",'당기원장'!D220)</x:f>
      </x:c>
      <x:c r="F1220" s="73" t="str">
        <x:f>IF('당기원장'!A220="","",'당기원장'!E220)</x:f>
      </x:c>
      <x:c r="G1220" s="75" t="str">
        <x:f>IF('당기원장'!A220="","",'당기원장'!H220)</x:f>
      </x:c>
      <x:c r="H1220" s="73" t="str">
        <x:f>IF('당기원장'!A220="","",'당기원장'!I220)</x:f>
      </x:c>
      <x:c r="I1220" s="73" t="str">
        <x:f>IF('당기원장'!A220="","",'당기원장'!J220)</x:f>
      </x:c>
      <x:c r="J1220" s="73" t="str">
        <x:f>IF('당기원장'!A220="","",'당기원장'!K220)</x:f>
      </x:c>
      <x:c r="K1220" s="73" t="str">
        <x:f>IF(B1220="","",IF(COUNTIF($B$5:B1220,B1220)=1,COUNT($K$4:K1219)+1,""))</x:f>
      </x:c>
      <x:c r="L1220" s="85" t="str">
        <x:f>IF(B1220="","",IF(COUNTIFS('계정비교'!$A$5:$A$1004,B1220,'계정비교'!$H$5:$H$1004,"원인분석 대상")&gt;0,COUNT($L$4:L1219)+1,""))</x:f>
      </x:c>
    </x:row>
    <x:row r="1221">
      <x:c r="A1221" s="73" t="str">
        <x:f>IF('당기원장'!A221="","","당기")</x:f>
      </x:c>
      <x:c r="B1221" s="73" t="str">
        <x:f>IF('당기원장'!A221="","",'당기원장'!A221)</x:f>
      </x:c>
      <x:c r="C1221" s="73" t="str">
        <x:f>IF('당기원장'!A221="","",'당기원장'!B221)</x:f>
      </x:c>
      <x:c r="D1221" s="74" t="str">
        <x:f>IF('당기원장'!A221="","",'당기원장'!C221)</x:f>
      </x:c>
      <x:c r="E1221" s="73" t="str">
        <x:f>IF('당기원장'!A221="","",'당기원장'!D221)</x:f>
      </x:c>
      <x:c r="F1221" s="73" t="str">
        <x:f>IF('당기원장'!A221="","",'당기원장'!E221)</x:f>
      </x:c>
      <x:c r="G1221" s="75" t="str">
        <x:f>IF('당기원장'!A221="","",'당기원장'!H221)</x:f>
      </x:c>
      <x:c r="H1221" s="73" t="str">
        <x:f>IF('당기원장'!A221="","",'당기원장'!I221)</x:f>
      </x:c>
      <x:c r="I1221" s="73" t="str">
        <x:f>IF('당기원장'!A221="","",'당기원장'!J221)</x:f>
      </x:c>
      <x:c r="J1221" s="73" t="str">
        <x:f>IF('당기원장'!A221="","",'당기원장'!K221)</x:f>
      </x:c>
      <x:c r="K1221" s="73" t="str">
        <x:f>IF(B1221="","",IF(COUNTIF($B$5:B1221,B1221)=1,COUNT($K$4:K1220)+1,""))</x:f>
      </x:c>
      <x:c r="L1221" s="85" t="str">
        <x:f>IF(B1221="","",IF(COUNTIFS('계정비교'!$A$5:$A$1004,B1221,'계정비교'!$H$5:$H$1004,"원인분석 대상")&gt;0,COUNT($L$4:L1220)+1,""))</x:f>
      </x:c>
    </x:row>
    <x:row r="1222">
      <x:c r="A1222" s="73" t="str">
        <x:f>IF('당기원장'!A222="","","당기")</x:f>
      </x:c>
      <x:c r="B1222" s="73" t="str">
        <x:f>IF('당기원장'!A222="","",'당기원장'!A222)</x:f>
      </x:c>
      <x:c r="C1222" s="73" t="str">
        <x:f>IF('당기원장'!A222="","",'당기원장'!B222)</x:f>
      </x:c>
      <x:c r="D1222" s="74" t="str">
        <x:f>IF('당기원장'!A222="","",'당기원장'!C222)</x:f>
      </x:c>
      <x:c r="E1222" s="73" t="str">
        <x:f>IF('당기원장'!A222="","",'당기원장'!D222)</x:f>
      </x:c>
      <x:c r="F1222" s="73" t="str">
        <x:f>IF('당기원장'!A222="","",'당기원장'!E222)</x:f>
      </x:c>
      <x:c r="G1222" s="75" t="str">
        <x:f>IF('당기원장'!A222="","",'당기원장'!H222)</x:f>
      </x:c>
      <x:c r="H1222" s="73" t="str">
        <x:f>IF('당기원장'!A222="","",'당기원장'!I222)</x:f>
      </x:c>
      <x:c r="I1222" s="73" t="str">
        <x:f>IF('당기원장'!A222="","",'당기원장'!J222)</x:f>
      </x:c>
      <x:c r="J1222" s="73" t="str">
        <x:f>IF('당기원장'!A222="","",'당기원장'!K222)</x:f>
      </x:c>
      <x:c r="K1222" s="73" t="str">
        <x:f>IF(B1222="","",IF(COUNTIF($B$5:B1222,B1222)=1,COUNT($K$4:K1221)+1,""))</x:f>
      </x:c>
      <x:c r="L1222" s="85" t="str">
        <x:f>IF(B1222="","",IF(COUNTIFS('계정비교'!$A$5:$A$1004,B1222,'계정비교'!$H$5:$H$1004,"원인분석 대상")&gt;0,COUNT($L$4:L1221)+1,""))</x:f>
      </x:c>
    </x:row>
    <x:row r="1223">
      <x:c r="A1223" s="73" t="str">
        <x:f>IF('당기원장'!A223="","","당기")</x:f>
      </x:c>
      <x:c r="B1223" s="73" t="str">
        <x:f>IF('당기원장'!A223="","",'당기원장'!A223)</x:f>
      </x:c>
      <x:c r="C1223" s="73" t="str">
        <x:f>IF('당기원장'!A223="","",'당기원장'!B223)</x:f>
      </x:c>
      <x:c r="D1223" s="74" t="str">
        <x:f>IF('당기원장'!A223="","",'당기원장'!C223)</x:f>
      </x:c>
      <x:c r="E1223" s="73" t="str">
        <x:f>IF('당기원장'!A223="","",'당기원장'!D223)</x:f>
      </x:c>
      <x:c r="F1223" s="73" t="str">
        <x:f>IF('당기원장'!A223="","",'당기원장'!E223)</x:f>
      </x:c>
      <x:c r="G1223" s="75" t="str">
        <x:f>IF('당기원장'!A223="","",'당기원장'!H223)</x:f>
      </x:c>
      <x:c r="H1223" s="73" t="str">
        <x:f>IF('당기원장'!A223="","",'당기원장'!I223)</x:f>
      </x:c>
      <x:c r="I1223" s="73" t="str">
        <x:f>IF('당기원장'!A223="","",'당기원장'!J223)</x:f>
      </x:c>
      <x:c r="J1223" s="73" t="str">
        <x:f>IF('당기원장'!A223="","",'당기원장'!K223)</x:f>
      </x:c>
      <x:c r="K1223" s="73" t="str">
        <x:f>IF(B1223="","",IF(COUNTIF($B$5:B1223,B1223)=1,COUNT($K$4:K1222)+1,""))</x:f>
      </x:c>
      <x:c r="L1223" s="85" t="str">
        <x:f>IF(B1223="","",IF(COUNTIFS('계정비교'!$A$5:$A$1004,B1223,'계정비교'!$H$5:$H$1004,"원인분석 대상")&gt;0,COUNT($L$4:L1222)+1,""))</x:f>
      </x:c>
    </x:row>
    <x:row r="1224">
      <x:c r="A1224" s="73" t="str">
        <x:f>IF('당기원장'!A224="","","당기")</x:f>
      </x:c>
      <x:c r="B1224" s="73" t="str">
        <x:f>IF('당기원장'!A224="","",'당기원장'!A224)</x:f>
      </x:c>
      <x:c r="C1224" s="73" t="str">
        <x:f>IF('당기원장'!A224="","",'당기원장'!B224)</x:f>
      </x:c>
      <x:c r="D1224" s="74" t="str">
        <x:f>IF('당기원장'!A224="","",'당기원장'!C224)</x:f>
      </x:c>
      <x:c r="E1224" s="73" t="str">
        <x:f>IF('당기원장'!A224="","",'당기원장'!D224)</x:f>
      </x:c>
      <x:c r="F1224" s="73" t="str">
        <x:f>IF('당기원장'!A224="","",'당기원장'!E224)</x:f>
      </x:c>
      <x:c r="G1224" s="75" t="str">
        <x:f>IF('당기원장'!A224="","",'당기원장'!H224)</x:f>
      </x:c>
      <x:c r="H1224" s="73" t="str">
        <x:f>IF('당기원장'!A224="","",'당기원장'!I224)</x:f>
      </x:c>
      <x:c r="I1224" s="73" t="str">
        <x:f>IF('당기원장'!A224="","",'당기원장'!J224)</x:f>
      </x:c>
      <x:c r="J1224" s="73" t="str">
        <x:f>IF('당기원장'!A224="","",'당기원장'!K224)</x:f>
      </x:c>
      <x:c r="K1224" s="73" t="str">
        <x:f>IF(B1224="","",IF(COUNTIF($B$5:B1224,B1224)=1,COUNT($K$4:K1223)+1,""))</x:f>
      </x:c>
      <x:c r="L1224" s="85" t="str">
        <x:f>IF(B1224="","",IF(COUNTIFS('계정비교'!$A$5:$A$1004,B1224,'계정비교'!$H$5:$H$1004,"원인분석 대상")&gt;0,COUNT($L$4:L1223)+1,""))</x:f>
      </x:c>
    </x:row>
    <x:row r="1225">
      <x:c r="A1225" s="73" t="str">
        <x:f>IF('당기원장'!A225="","","당기")</x:f>
      </x:c>
      <x:c r="B1225" s="73" t="str">
        <x:f>IF('당기원장'!A225="","",'당기원장'!A225)</x:f>
      </x:c>
      <x:c r="C1225" s="73" t="str">
        <x:f>IF('당기원장'!A225="","",'당기원장'!B225)</x:f>
      </x:c>
      <x:c r="D1225" s="74" t="str">
        <x:f>IF('당기원장'!A225="","",'당기원장'!C225)</x:f>
      </x:c>
      <x:c r="E1225" s="73" t="str">
        <x:f>IF('당기원장'!A225="","",'당기원장'!D225)</x:f>
      </x:c>
      <x:c r="F1225" s="73" t="str">
        <x:f>IF('당기원장'!A225="","",'당기원장'!E225)</x:f>
      </x:c>
      <x:c r="G1225" s="75" t="str">
        <x:f>IF('당기원장'!A225="","",'당기원장'!H225)</x:f>
      </x:c>
      <x:c r="H1225" s="73" t="str">
        <x:f>IF('당기원장'!A225="","",'당기원장'!I225)</x:f>
      </x:c>
      <x:c r="I1225" s="73" t="str">
        <x:f>IF('당기원장'!A225="","",'당기원장'!J225)</x:f>
      </x:c>
      <x:c r="J1225" s="73" t="str">
        <x:f>IF('당기원장'!A225="","",'당기원장'!K225)</x:f>
      </x:c>
      <x:c r="K1225" s="73" t="str">
        <x:f>IF(B1225="","",IF(COUNTIF($B$5:B1225,B1225)=1,COUNT($K$4:K1224)+1,""))</x:f>
      </x:c>
      <x:c r="L1225" s="85" t="str">
        <x:f>IF(B1225="","",IF(COUNTIFS('계정비교'!$A$5:$A$1004,B1225,'계정비교'!$H$5:$H$1004,"원인분석 대상")&gt;0,COUNT($L$4:L1224)+1,""))</x:f>
      </x:c>
    </x:row>
    <x:row r="1226">
      <x:c r="A1226" s="73" t="str">
        <x:f>IF('당기원장'!A226="","","당기")</x:f>
      </x:c>
      <x:c r="B1226" s="73" t="str">
        <x:f>IF('당기원장'!A226="","",'당기원장'!A226)</x:f>
      </x:c>
      <x:c r="C1226" s="73" t="str">
        <x:f>IF('당기원장'!A226="","",'당기원장'!B226)</x:f>
      </x:c>
      <x:c r="D1226" s="74" t="str">
        <x:f>IF('당기원장'!A226="","",'당기원장'!C226)</x:f>
      </x:c>
      <x:c r="E1226" s="73" t="str">
        <x:f>IF('당기원장'!A226="","",'당기원장'!D226)</x:f>
      </x:c>
      <x:c r="F1226" s="73" t="str">
        <x:f>IF('당기원장'!A226="","",'당기원장'!E226)</x:f>
      </x:c>
      <x:c r="G1226" s="75" t="str">
        <x:f>IF('당기원장'!A226="","",'당기원장'!H226)</x:f>
      </x:c>
      <x:c r="H1226" s="73" t="str">
        <x:f>IF('당기원장'!A226="","",'당기원장'!I226)</x:f>
      </x:c>
      <x:c r="I1226" s="73" t="str">
        <x:f>IF('당기원장'!A226="","",'당기원장'!J226)</x:f>
      </x:c>
      <x:c r="J1226" s="73" t="str">
        <x:f>IF('당기원장'!A226="","",'당기원장'!K226)</x:f>
      </x:c>
      <x:c r="K1226" s="73" t="str">
        <x:f>IF(B1226="","",IF(COUNTIF($B$5:B1226,B1226)=1,COUNT($K$4:K1225)+1,""))</x:f>
      </x:c>
      <x:c r="L1226" s="85" t="str">
        <x:f>IF(B1226="","",IF(COUNTIFS('계정비교'!$A$5:$A$1004,B1226,'계정비교'!$H$5:$H$1004,"원인분석 대상")&gt;0,COUNT($L$4:L1225)+1,""))</x:f>
      </x:c>
    </x:row>
    <x:row r="1227">
      <x:c r="A1227" s="73" t="str">
        <x:f>IF('당기원장'!A227="","","당기")</x:f>
      </x:c>
      <x:c r="B1227" s="73" t="str">
        <x:f>IF('당기원장'!A227="","",'당기원장'!A227)</x:f>
      </x:c>
      <x:c r="C1227" s="73" t="str">
        <x:f>IF('당기원장'!A227="","",'당기원장'!B227)</x:f>
      </x:c>
      <x:c r="D1227" s="74" t="str">
        <x:f>IF('당기원장'!A227="","",'당기원장'!C227)</x:f>
      </x:c>
      <x:c r="E1227" s="73" t="str">
        <x:f>IF('당기원장'!A227="","",'당기원장'!D227)</x:f>
      </x:c>
      <x:c r="F1227" s="73" t="str">
        <x:f>IF('당기원장'!A227="","",'당기원장'!E227)</x:f>
      </x:c>
      <x:c r="G1227" s="75" t="str">
        <x:f>IF('당기원장'!A227="","",'당기원장'!H227)</x:f>
      </x:c>
      <x:c r="H1227" s="73" t="str">
        <x:f>IF('당기원장'!A227="","",'당기원장'!I227)</x:f>
      </x:c>
      <x:c r="I1227" s="73" t="str">
        <x:f>IF('당기원장'!A227="","",'당기원장'!J227)</x:f>
      </x:c>
      <x:c r="J1227" s="73" t="str">
        <x:f>IF('당기원장'!A227="","",'당기원장'!K227)</x:f>
      </x:c>
      <x:c r="K1227" s="73" t="str">
        <x:f>IF(B1227="","",IF(COUNTIF($B$5:B1227,B1227)=1,COUNT($K$4:K1226)+1,""))</x:f>
      </x:c>
      <x:c r="L1227" s="85" t="str">
        <x:f>IF(B1227="","",IF(COUNTIFS('계정비교'!$A$5:$A$1004,B1227,'계정비교'!$H$5:$H$1004,"원인분석 대상")&gt;0,COUNT($L$4:L1226)+1,""))</x:f>
      </x:c>
    </x:row>
    <x:row r="1228">
      <x:c r="A1228" s="73" t="str">
        <x:f>IF('당기원장'!A228="","","당기")</x:f>
      </x:c>
      <x:c r="B1228" s="73" t="str">
        <x:f>IF('당기원장'!A228="","",'당기원장'!A228)</x:f>
      </x:c>
      <x:c r="C1228" s="73" t="str">
        <x:f>IF('당기원장'!A228="","",'당기원장'!B228)</x:f>
      </x:c>
      <x:c r="D1228" s="74" t="str">
        <x:f>IF('당기원장'!A228="","",'당기원장'!C228)</x:f>
      </x:c>
      <x:c r="E1228" s="73" t="str">
        <x:f>IF('당기원장'!A228="","",'당기원장'!D228)</x:f>
      </x:c>
      <x:c r="F1228" s="73" t="str">
        <x:f>IF('당기원장'!A228="","",'당기원장'!E228)</x:f>
      </x:c>
      <x:c r="G1228" s="75" t="str">
        <x:f>IF('당기원장'!A228="","",'당기원장'!H228)</x:f>
      </x:c>
      <x:c r="H1228" s="73" t="str">
        <x:f>IF('당기원장'!A228="","",'당기원장'!I228)</x:f>
      </x:c>
      <x:c r="I1228" s="73" t="str">
        <x:f>IF('당기원장'!A228="","",'당기원장'!J228)</x:f>
      </x:c>
      <x:c r="J1228" s="73" t="str">
        <x:f>IF('당기원장'!A228="","",'당기원장'!K228)</x:f>
      </x:c>
      <x:c r="K1228" s="73" t="str">
        <x:f>IF(B1228="","",IF(COUNTIF($B$5:B1228,B1228)=1,COUNT($K$4:K1227)+1,""))</x:f>
      </x:c>
      <x:c r="L1228" s="85" t="str">
        <x:f>IF(B1228="","",IF(COUNTIFS('계정비교'!$A$5:$A$1004,B1228,'계정비교'!$H$5:$H$1004,"원인분석 대상")&gt;0,COUNT($L$4:L1227)+1,""))</x:f>
      </x:c>
    </x:row>
    <x:row r="1229">
      <x:c r="A1229" s="73" t="str">
        <x:f>IF('당기원장'!A229="","","당기")</x:f>
      </x:c>
      <x:c r="B1229" s="73" t="str">
        <x:f>IF('당기원장'!A229="","",'당기원장'!A229)</x:f>
      </x:c>
      <x:c r="C1229" s="73" t="str">
        <x:f>IF('당기원장'!A229="","",'당기원장'!B229)</x:f>
      </x:c>
      <x:c r="D1229" s="74" t="str">
        <x:f>IF('당기원장'!A229="","",'당기원장'!C229)</x:f>
      </x:c>
      <x:c r="E1229" s="73" t="str">
        <x:f>IF('당기원장'!A229="","",'당기원장'!D229)</x:f>
      </x:c>
      <x:c r="F1229" s="73" t="str">
        <x:f>IF('당기원장'!A229="","",'당기원장'!E229)</x:f>
      </x:c>
      <x:c r="G1229" s="75" t="str">
        <x:f>IF('당기원장'!A229="","",'당기원장'!H229)</x:f>
      </x:c>
      <x:c r="H1229" s="73" t="str">
        <x:f>IF('당기원장'!A229="","",'당기원장'!I229)</x:f>
      </x:c>
      <x:c r="I1229" s="73" t="str">
        <x:f>IF('당기원장'!A229="","",'당기원장'!J229)</x:f>
      </x:c>
      <x:c r="J1229" s="73" t="str">
        <x:f>IF('당기원장'!A229="","",'당기원장'!K229)</x:f>
      </x:c>
      <x:c r="K1229" s="73" t="str">
        <x:f>IF(B1229="","",IF(COUNTIF($B$5:B1229,B1229)=1,COUNT($K$4:K1228)+1,""))</x:f>
      </x:c>
      <x:c r="L1229" s="85" t="str">
        <x:f>IF(B1229="","",IF(COUNTIFS('계정비교'!$A$5:$A$1004,B1229,'계정비교'!$H$5:$H$1004,"원인분석 대상")&gt;0,COUNT($L$4:L1228)+1,""))</x:f>
      </x:c>
    </x:row>
    <x:row r="1230">
      <x:c r="A1230" s="73" t="str">
        <x:f>IF('당기원장'!A230="","","당기")</x:f>
      </x:c>
      <x:c r="B1230" s="73" t="str">
        <x:f>IF('당기원장'!A230="","",'당기원장'!A230)</x:f>
      </x:c>
      <x:c r="C1230" s="73" t="str">
        <x:f>IF('당기원장'!A230="","",'당기원장'!B230)</x:f>
      </x:c>
      <x:c r="D1230" s="74" t="str">
        <x:f>IF('당기원장'!A230="","",'당기원장'!C230)</x:f>
      </x:c>
      <x:c r="E1230" s="73" t="str">
        <x:f>IF('당기원장'!A230="","",'당기원장'!D230)</x:f>
      </x:c>
      <x:c r="F1230" s="73" t="str">
        <x:f>IF('당기원장'!A230="","",'당기원장'!E230)</x:f>
      </x:c>
      <x:c r="G1230" s="75" t="str">
        <x:f>IF('당기원장'!A230="","",'당기원장'!H230)</x:f>
      </x:c>
      <x:c r="H1230" s="73" t="str">
        <x:f>IF('당기원장'!A230="","",'당기원장'!I230)</x:f>
      </x:c>
      <x:c r="I1230" s="73" t="str">
        <x:f>IF('당기원장'!A230="","",'당기원장'!J230)</x:f>
      </x:c>
      <x:c r="J1230" s="73" t="str">
        <x:f>IF('당기원장'!A230="","",'당기원장'!K230)</x:f>
      </x:c>
      <x:c r="K1230" s="73" t="str">
        <x:f>IF(B1230="","",IF(COUNTIF($B$5:B1230,B1230)=1,COUNT($K$4:K1229)+1,""))</x:f>
      </x:c>
      <x:c r="L1230" s="85" t="str">
        <x:f>IF(B1230="","",IF(COUNTIFS('계정비교'!$A$5:$A$1004,B1230,'계정비교'!$H$5:$H$1004,"원인분석 대상")&gt;0,COUNT($L$4:L1229)+1,""))</x:f>
      </x:c>
    </x:row>
    <x:row r="1231">
      <x:c r="A1231" s="73" t="str">
        <x:f>IF('당기원장'!A231="","","당기")</x:f>
      </x:c>
      <x:c r="B1231" s="73" t="str">
        <x:f>IF('당기원장'!A231="","",'당기원장'!A231)</x:f>
      </x:c>
      <x:c r="C1231" s="73" t="str">
        <x:f>IF('당기원장'!A231="","",'당기원장'!B231)</x:f>
      </x:c>
      <x:c r="D1231" s="74" t="str">
        <x:f>IF('당기원장'!A231="","",'당기원장'!C231)</x:f>
      </x:c>
      <x:c r="E1231" s="73" t="str">
        <x:f>IF('당기원장'!A231="","",'당기원장'!D231)</x:f>
      </x:c>
      <x:c r="F1231" s="73" t="str">
        <x:f>IF('당기원장'!A231="","",'당기원장'!E231)</x:f>
      </x:c>
      <x:c r="G1231" s="75" t="str">
        <x:f>IF('당기원장'!A231="","",'당기원장'!H231)</x:f>
      </x:c>
      <x:c r="H1231" s="73" t="str">
        <x:f>IF('당기원장'!A231="","",'당기원장'!I231)</x:f>
      </x:c>
      <x:c r="I1231" s="73" t="str">
        <x:f>IF('당기원장'!A231="","",'당기원장'!J231)</x:f>
      </x:c>
      <x:c r="J1231" s="73" t="str">
        <x:f>IF('당기원장'!A231="","",'당기원장'!K231)</x:f>
      </x:c>
      <x:c r="K1231" s="73" t="str">
        <x:f>IF(B1231="","",IF(COUNTIF($B$5:B1231,B1231)=1,COUNT($K$4:K1230)+1,""))</x:f>
      </x:c>
      <x:c r="L1231" s="85" t="str">
        <x:f>IF(B1231="","",IF(COUNTIFS('계정비교'!$A$5:$A$1004,B1231,'계정비교'!$H$5:$H$1004,"원인분석 대상")&gt;0,COUNT($L$4:L1230)+1,""))</x:f>
      </x:c>
    </x:row>
    <x:row r="1232">
      <x:c r="A1232" s="73" t="str">
        <x:f>IF('당기원장'!A232="","","당기")</x:f>
      </x:c>
      <x:c r="B1232" s="73" t="str">
        <x:f>IF('당기원장'!A232="","",'당기원장'!A232)</x:f>
      </x:c>
      <x:c r="C1232" s="73" t="str">
        <x:f>IF('당기원장'!A232="","",'당기원장'!B232)</x:f>
      </x:c>
      <x:c r="D1232" s="74" t="str">
        <x:f>IF('당기원장'!A232="","",'당기원장'!C232)</x:f>
      </x:c>
      <x:c r="E1232" s="73" t="str">
        <x:f>IF('당기원장'!A232="","",'당기원장'!D232)</x:f>
      </x:c>
      <x:c r="F1232" s="73" t="str">
        <x:f>IF('당기원장'!A232="","",'당기원장'!E232)</x:f>
      </x:c>
      <x:c r="G1232" s="75" t="str">
        <x:f>IF('당기원장'!A232="","",'당기원장'!H232)</x:f>
      </x:c>
      <x:c r="H1232" s="73" t="str">
        <x:f>IF('당기원장'!A232="","",'당기원장'!I232)</x:f>
      </x:c>
      <x:c r="I1232" s="73" t="str">
        <x:f>IF('당기원장'!A232="","",'당기원장'!J232)</x:f>
      </x:c>
      <x:c r="J1232" s="73" t="str">
        <x:f>IF('당기원장'!A232="","",'당기원장'!K232)</x:f>
      </x:c>
      <x:c r="K1232" s="73" t="str">
        <x:f>IF(B1232="","",IF(COUNTIF($B$5:B1232,B1232)=1,COUNT($K$4:K1231)+1,""))</x:f>
      </x:c>
      <x:c r="L1232" s="85" t="str">
        <x:f>IF(B1232="","",IF(COUNTIFS('계정비교'!$A$5:$A$1004,B1232,'계정비교'!$H$5:$H$1004,"원인분석 대상")&gt;0,COUNT($L$4:L1231)+1,""))</x:f>
      </x:c>
    </x:row>
    <x:row r="1233">
      <x:c r="A1233" s="73" t="str">
        <x:f>IF('당기원장'!A233="","","당기")</x:f>
      </x:c>
      <x:c r="B1233" s="73" t="str">
        <x:f>IF('당기원장'!A233="","",'당기원장'!A233)</x:f>
      </x:c>
      <x:c r="C1233" s="73" t="str">
        <x:f>IF('당기원장'!A233="","",'당기원장'!B233)</x:f>
      </x:c>
      <x:c r="D1233" s="74" t="str">
        <x:f>IF('당기원장'!A233="","",'당기원장'!C233)</x:f>
      </x:c>
      <x:c r="E1233" s="73" t="str">
        <x:f>IF('당기원장'!A233="","",'당기원장'!D233)</x:f>
      </x:c>
      <x:c r="F1233" s="73" t="str">
        <x:f>IF('당기원장'!A233="","",'당기원장'!E233)</x:f>
      </x:c>
      <x:c r="G1233" s="75" t="str">
        <x:f>IF('당기원장'!A233="","",'당기원장'!H233)</x:f>
      </x:c>
      <x:c r="H1233" s="73" t="str">
        <x:f>IF('당기원장'!A233="","",'당기원장'!I233)</x:f>
      </x:c>
      <x:c r="I1233" s="73" t="str">
        <x:f>IF('당기원장'!A233="","",'당기원장'!J233)</x:f>
      </x:c>
      <x:c r="J1233" s="73" t="str">
        <x:f>IF('당기원장'!A233="","",'당기원장'!K233)</x:f>
      </x:c>
      <x:c r="K1233" s="73" t="str">
        <x:f>IF(B1233="","",IF(COUNTIF($B$5:B1233,B1233)=1,COUNT($K$4:K1232)+1,""))</x:f>
      </x:c>
      <x:c r="L1233" s="85" t="str">
        <x:f>IF(B1233="","",IF(COUNTIFS('계정비교'!$A$5:$A$1004,B1233,'계정비교'!$H$5:$H$1004,"원인분석 대상")&gt;0,COUNT($L$4:L1232)+1,""))</x:f>
      </x:c>
    </x:row>
    <x:row r="1234">
      <x:c r="A1234" s="73" t="str">
        <x:f>IF('당기원장'!A234="","","당기")</x:f>
      </x:c>
      <x:c r="B1234" s="73" t="str">
        <x:f>IF('당기원장'!A234="","",'당기원장'!A234)</x:f>
      </x:c>
      <x:c r="C1234" s="73" t="str">
        <x:f>IF('당기원장'!A234="","",'당기원장'!B234)</x:f>
      </x:c>
      <x:c r="D1234" s="74" t="str">
        <x:f>IF('당기원장'!A234="","",'당기원장'!C234)</x:f>
      </x:c>
      <x:c r="E1234" s="73" t="str">
        <x:f>IF('당기원장'!A234="","",'당기원장'!D234)</x:f>
      </x:c>
      <x:c r="F1234" s="73" t="str">
        <x:f>IF('당기원장'!A234="","",'당기원장'!E234)</x:f>
      </x:c>
      <x:c r="G1234" s="75" t="str">
        <x:f>IF('당기원장'!A234="","",'당기원장'!H234)</x:f>
      </x:c>
      <x:c r="H1234" s="73" t="str">
        <x:f>IF('당기원장'!A234="","",'당기원장'!I234)</x:f>
      </x:c>
      <x:c r="I1234" s="73" t="str">
        <x:f>IF('당기원장'!A234="","",'당기원장'!J234)</x:f>
      </x:c>
      <x:c r="J1234" s="73" t="str">
        <x:f>IF('당기원장'!A234="","",'당기원장'!K234)</x:f>
      </x:c>
      <x:c r="K1234" s="73" t="str">
        <x:f>IF(B1234="","",IF(COUNTIF($B$5:B1234,B1234)=1,COUNT($K$4:K1233)+1,""))</x:f>
      </x:c>
      <x:c r="L1234" s="85" t="str">
        <x:f>IF(B1234="","",IF(COUNTIFS('계정비교'!$A$5:$A$1004,B1234,'계정비교'!$H$5:$H$1004,"원인분석 대상")&gt;0,COUNT($L$4:L1233)+1,""))</x:f>
      </x:c>
    </x:row>
    <x:row r="1235">
      <x:c r="A1235" s="73" t="str">
        <x:f>IF('당기원장'!A235="","","당기")</x:f>
      </x:c>
      <x:c r="B1235" s="73" t="str">
        <x:f>IF('당기원장'!A235="","",'당기원장'!A235)</x:f>
      </x:c>
      <x:c r="C1235" s="73" t="str">
        <x:f>IF('당기원장'!A235="","",'당기원장'!B235)</x:f>
      </x:c>
      <x:c r="D1235" s="74" t="str">
        <x:f>IF('당기원장'!A235="","",'당기원장'!C235)</x:f>
      </x:c>
      <x:c r="E1235" s="73" t="str">
        <x:f>IF('당기원장'!A235="","",'당기원장'!D235)</x:f>
      </x:c>
      <x:c r="F1235" s="73" t="str">
        <x:f>IF('당기원장'!A235="","",'당기원장'!E235)</x:f>
      </x:c>
      <x:c r="G1235" s="75" t="str">
        <x:f>IF('당기원장'!A235="","",'당기원장'!H235)</x:f>
      </x:c>
      <x:c r="H1235" s="73" t="str">
        <x:f>IF('당기원장'!A235="","",'당기원장'!I235)</x:f>
      </x:c>
      <x:c r="I1235" s="73" t="str">
        <x:f>IF('당기원장'!A235="","",'당기원장'!J235)</x:f>
      </x:c>
      <x:c r="J1235" s="73" t="str">
        <x:f>IF('당기원장'!A235="","",'당기원장'!K235)</x:f>
      </x:c>
      <x:c r="K1235" s="73" t="str">
        <x:f>IF(B1235="","",IF(COUNTIF($B$5:B1235,B1235)=1,COUNT($K$4:K1234)+1,""))</x:f>
      </x:c>
      <x:c r="L1235" s="85" t="str">
        <x:f>IF(B1235="","",IF(COUNTIFS('계정비교'!$A$5:$A$1004,B1235,'계정비교'!$H$5:$H$1004,"원인분석 대상")&gt;0,COUNT($L$4:L1234)+1,""))</x:f>
      </x:c>
    </x:row>
    <x:row r="1236">
      <x:c r="A1236" s="73" t="str">
        <x:f>IF('당기원장'!A236="","","당기")</x:f>
      </x:c>
      <x:c r="B1236" s="73" t="str">
        <x:f>IF('당기원장'!A236="","",'당기원장'!A236)</x:f>
      </x:c>
      <x:c r="C1236" s="73" t="str">
        <x:f>IF('당기원장'!A236="","",'당기원장'!B236)</x:f>
      </x:c>
      <x:c r="D1236" s="74" t="str">
        <x:f>IF('당기원장'!A236="","",'당기원장'!C236)</x:f>
      </x:c>
      <x:c r="E1236" s="73" t="str">
        <x:f>IF('당기원장'!A236="","",'당기원장'!D236)</x:f>
      </x:c>
      <x:c r="F1236" s="73" t="str">
        <x:f>IF('당기원장'!A236="","",'당기원장'!E236)</x:f>
      </x:c>
      <x:c r="G1236" s="75" t="str">
        <x:f>IF('당기원장'!A236="","",'당기원장'!H236)</x:f>
      </x:c>
      <x:c r="H1236" s="73" t="str">
        <x:f>IF('당기원장'!A236="","",'당기원장'!I236)</x:f>
      </x:c>
      <x:c r="I1236" s="73" t="str">
        <x:f>IF('당기원장'!A236="","",'당기원장'!J236)</x:f>
      </x:c>
      <x:c r="J1236" s="73" t="str">
        <x:f>IF('당기원장'!A236="","",'당기원장'!K236)</x:f>
      </x:c>
      <x:c r="K1236" s="73" t="str">
        <x:f>IF(B1236="","",IF(COUNTIF($B$5:B1236,B1236)=1,COUNT($K$4:K1235)+1,""))</x:f>
      </x:c>
      <x:c r="L1236" s="85" t="str">
        <x:f>IF(B1236="","",IF(COUNTIFS('계정비교'!$A$5:$A$1004,B1236,'계정비교'!$H$5:$H$1004,"원인분석 대상")&gt;0,COUNT($L$4:L1235)+1,""))</x:f>
      </x:c>
    </x:row>
    <x:row r="1237">
      <x:c r="A1237" s="73" t="str">
        <x:f>IF('당기원장'!A237="","","당기")</x:f>
      </x:c>
      <x:c r="B1237" s="73" t="str">
        <x:f>IF('당기원장'!A237="","",'당기원장'!A237)</x:f>
      </x:c>
      <x:c r="C1237" s="73" t="str">
        <x:f>IF('당기원장'!A237="","",'당기원장'!B237)</x:f>
      </x:c>
      <x:c r="D1237" s="74" t="str">
        <x:f>IF('당기원장'!A237="","",'당기원장'!C237)</x:f>
      </x:c>
      <x:c r="E1237" s="73" t="str">
        <x:f>IF('당기원장'!A237="","",'당기원장'!D237)</x:f>
      </x:c>
      <x:c r="F1237" s="73" t="str">
        <x:f>IF('당기원장'!A237="","",'당기원장'!E237)</x:f>
      </x:c>
      <x:c r="G1237" s="75" t="str">
        <x:f>IF('당기원장'!A237="","",'당기원장'!H237)</x:f>
      </x:c>
      <x:c r="H1237" s="73" t="str">
        <x:f>IF('당기원장'!A237="","",'당기원장'!I237)</x:f>
      </x:c>
      <x:c r="I1237" s="73" t="str">
        <x:f>IF('당기원장'!A237="","",'당기원장'!J237)</x:f>
      </x:c>
      <x:c r="J1237" s="73" t="str">
        <x:f>IF('당기원장'!A237="","",'당기원장'!K237)</x:f>
      </x:c>
      <x:c r="K1237" s="73" t="str">
        <x:f>IF(B1237="","",IF(COUNTIF($B$5:B1237,B1237)=1,COUNT($K$4:K1236)+1,""))</x:f>
      </x:c>
      <x:c r="L1237" s="85" t="str">
        <x:f>IF(B1237="","",IF(COUNTIFS('계정비교'!$A$5:$A$1004,B1237,'계정비교'!$H$5:$H$1004,"원인분석 대상")&gt;0,COUNT($L$4:L1236)+1,""))</x:f>
      </x:c>
    </x:row>
    <x:row r="1238">
      <x:c r="A1238" s="73" t="str">
        <x:f>IF('당기원장'!A238="","","당기")</x:f>
      </x:c>
      <x:c r="B1238" s="73" t="str">
        <x:f>IF('당기원장'!A238="","",'당기원장'!A238)</x:f>
      </x:c>
      <x:c r="C1238" s="73" t="str">
        <x:f>IF('당기원장'!A238="","",'당기원장'!B238)</x:f>
      </x:c>
      <x:c r="D1238" s="74" t="str">
        <x:f>IF('당기원장'!A238="","",'당기원장'!C238)</x:f>
      </x:c>
      <x:c r="E1238" s="73" t="str">
        <x:f>IF('당기원장'!A238="","",'당기원장'!D238)</x:f>
      </x:c>
      <x:c r="F1238" s="73" t="str">
        <x:f>IF('당기원장'!A238="","",'당기원장'!E238)</x:f>
      </x:c>
      <x:c r="G1238" s="75" t="str">
        <x:f>IF('당기원장'!A238="","",'당기원장'!H238)</x:f>
      </x:c>
      <x:c r="H1238" s="73" t="str">
        <x:f>IF('당기원장'!A238="","",'당기원장'!I238)</x:f>
      </x:c>
      <x:c r="I1238" s="73" t="str">
        <x:f>IF('당기원장'!A238="","",'당기원장'!J238)</x:f>
      </x:c>
      <x:c r="J1238" s="73" t="str">
        <x:f>IF('당기원장'!A238="","",'당기원장'!K238)</x:f>
      </x:c>
      <x:c r="K1238" s="73" t="str">
        <x:f>IF(B1238="","",IF(COUNTIF($B$5:B1238,B1238)=1,COUNT($K$4:K1237)+1,""))</x:f>
      </x:c>
      <x:c r="L1238" s="85" t="str">
        <x:f>IF(B1238="","",IF(COUNTIFS('계정비교'!$A$5:$A$1004,B1238,'계정비교'!$H$5:$H$1004,"원인분석 대상")&gt;0,COUNT($L$4:L1237)+1,""))</x:f>
      </x:c>
    </x:row>
    <x:row r="1239">
      <x:c r="A1239" s="73" t="str">
        <x:f>IF('당기원장'!A239="","","당기")</x:f>
      </x:c>
      <x:c r="B1239" s="73" t="str">
        <x:f>IF('당기원장'!A239="","",'당기원장'!A239)</x:f>
      </x:c>
      <x:c r="C1239" s="73" t="str">
        <x:f>IF('당기원장'!A239="","",'당기원장'!B239)</x:f>
      </x:c>
      <x:c r="D1239" s="74" t="str">
        <x:f>IF('당기원장'!A239="","",'당기원장'!C239)</x:f>
      </x:c>
      <x:c r="E1239" s="73" t="str">
        <x:f>IF('당기원장'!A239="","",'당기원장'!D239)</x:f>
      </x:c>
      <x:c r="F1239" s="73" t="str">
        <x:f>IF('당기원장'!A239="","",'당기원장'!E239)</x:f>
      </x:c>
      <x:c r="G1239" s="75" t="str">
        <x:f>IF('당기원장'!A239="","",'당기원장'!H239)</x:f>
      </x:c>
      <x:c r="H1239" s="73" t="str">
        <x:f>IF('당기원장'!A239="","",'당기원장'!I239)</x:f>
      </x:c>
      <x:c r="I1239" s="73" t="str">
        <x:f>IF('당기원장'!A239="","",'당기원장'!J239)</x:f>
      </x:c>
      <x:c r="J1239" s="73" t="str">
        <x:f>IF('당기원장'!A239="","",'당기원장'!K239)</x:f>
      </x:c>
      <x:c r="K1239" s="73" t="str">
        <x:f>IF(B1239="","",IF(COUNTIF($B$5:B1239,B1239)=1,COUNT($K$4:K1238)+1,""))</x:f>
      </x:c>
      <x:c r="L1239" s="85" t="str">
        <x:f>IF(B1239="","",IF(COUNTIFS('계정비교'!$A$5:$A$1004,B1239,'계정비교'!$H$5:$H$1004,"원인분석 대상")&gt;0,COUNT($L$4:L1238)+1,""))</x:f>
      </x:c>
    </x:row>
    <x:row r="1240">
      <x:c r="A1240" s="73" t="str">
        <x:f>IF('당기원장'!A240="","","당기")</x:f>
      </x:c>
      <x:c r="B1240" s="73" t="str">
        <x:f>IF('당기원장'!A240="","",'당기원장'!A240)</x:f>
      </x:c>
      <x:c r="C1240" s="73" t="str">
        <x:f>IF('당기원장'!A240="","",'당기원장'!B240)</x:f>
      </x:c>
      <x:c r="D1240" s="74" t="str">
        <x:f>IF('당기원장'!A240="","",'당기원장'!C240)</x:f>
      </x:c>
      <x:c r="E1240" s="73" t="str">
        <x:f>IF('당기원장'!A240="","",'당기원장'!D240)</x:f>
      </x:c>
      <x:c r="F1240" s="73" t="str">
        <x:f>IF('당기원장'!A240="","",'당기원장'!E240)</x:f>
      </x:c>
      <x:c r="G1240" s="75" t="str">
        <x:f>IF('당기원장'!A240="","",'당기원장'!H240)</x:f>
      </x:c>
      <x:c r="H1240" s="73" t="str">
        <x:f>IF('당기원장'!A240="","",'당기원장'!I240)</x:f>
      </x:c>
      <x:c r="I1240" s="73" t="str">
        <x:f>IF('당기원장'!A240="","",'당기원장'!J240)</x:f>
      </x:c>
      <x:c r="J1240" s="73" t="str">
        <x:f>IF('당기원장'!A240="","",'당기원장'!K240)</x:f>
      </x:c>
      <x:c r="K1240" s="73" t="str">
        <x:f>IF(B1240="","",IF(COUNTIF($B$5:B1240,B1240)=1,COUNT($K$4:K1239)+1,""))</x:f>
      </x:c>
      <x:c r="L1240" s="85" t="str">
        <x:f>IF(B1240="","",IF(COUNTIFS('계정비교'!$A$5:$A$1004,B1240,'계정비교'!$H$5:$H$1004,"원인분석 대상")&gt;0,COUNT($L$4:L1239)+1,""))</x:f>
      </x:c>
    </x:row>
    <x:row r="1241">
      <x:c r="A1241" s="73" t="str">
        <x:f>IF('당기원장'!A241="","","당기")</x:f>
      </x:c>
      <x:c r="B1241" s="73" t="str">
        <x:f>IF('당기원장'!A241="","",'당기원장'!A241)</x:f>
      </x:c>
      <x:c r="C1241" s="73" t="str">
        <x:f>IF('당기원장'!A241="","",'당기원장'!B241)</x:f>
      </x:c>
      <x:c r="D1241" s="74" t="str">
        <x:f>IF('당기원장'!A241="","",'당기원장'!C241)</x:f>
      </x:c>
      <x:c r="E1241" s="73" t="str">
        <x:f>IF('당기원장'!A241="","",'당기원장'!D241)</x:f>
      </x:c>
      <x:c r="F1241" s="73" t="str">
        <x:f>IF('당기원장'!A241="","",'당기원장'!E241)</x:f>
      </x:c>
      <x:c r="G1241" s="75" t="str">
        <x:f>IF('당기원장'!A241="","",'당기원장'!H241)</x:f>
      </x:c>
      <x:c r="H1241" s="73" t="str">
        <x:f>IF('당기원장'!A241="","",'당기원장'!I241)</x:f>
      </x:c>
      <x:c r="I1241" s="73" t="str">
        <x:f>IF('당기원장'!A241="","",'당기원장'!J241)</x:f>
      </x:c>
      <x:c r="J1241" s="73" t="str">
        <x:f>IF('당기원장'!A241="","",'당기원장'!K241)</x:f>
      </x:c>
      <x:c r="K1241" s="73" t="str">
        <x:f>IF(B1241="","",IF(COUNTIF($B$5:B1241,B1241)=1,COUNT($K$4:K1240)+1,""))</x:f>
      </x:c>
      <x:c r="L1241" s="85" t="str">
        <x:f>IF(B1241="","",IF(COUNTIFS('계정비교'!$A$5:$A$1004,B1241,'계정비교'!$H$5:$H$1004,"원인분석 대상")&gt;0,COUNT($L$4:L1240)+1,""))</x:f>
      </x:c>
    </x:row>
    <x:row r="1242">
      <x:c r="A1242" s="73" t="str">
        <x:f>IF('당기원장'!A242="","","당기")</x:f>
      </x:c>
      <x:c r="B1242" s="73" t="str">
        <x:f>IF('당기원장'!A242="","",'당기원장'!A242)</x:f>
      </x:c>
      <x:c r="C1242" s="73" t="str">
        <x:f>IF('당기원장'!A242="","",'당기원장'!B242)</x:f>
      </x:c>
      <x:c r="D1242" s="74" t="str">
        <x:f>IF('당기원장'!A242="","",'당기원장'!C242)</x:f>
      </x:c>
      <x:c r="E1242" s="73" t="str">
        <x:f>IF('당기원장'!A242="","",'당기원장'!D242)</x:f>
      </x:c>
      <x:c r="F1242" s="73" t="str">
        <x:f>IF('당기원장'!A242="","",'당기원장'!E242)</x:f>
      </x:c>
      <x:c r="G1242" s="75" t="str">
        <x:f>IF('당기원장'!A242="","",'당기원장'!H242)</x:f>
      </x:c>
      <x:c r="H1242" s="73" t="str">
        <x:f>IF('당기원장'!A242="","",'당기원장'!I242)</x:f>
      </x:c>
      <x:c r="I1242" s="73" t="str">
        <x:f>IF('당기원장'!A242="","",'당기원장'!J242)</x:f>
      </x:c>
      <x:c r="J1242" s="73" t="str">
        <x:f>IF('당기원장'!A242="","",'당기원장'!K242)</x:f>
      </x:c>
      <x:c r="K1242" s="73" t="str">
        <x:f>IF(B1242="","",IF(COUNTIF($B$5:B1242,B1242)=1,COUNT($K$4:K1241)+1,""))</x:f>
      </x:c>
      <x:c r="L1242" s="85" t="str">
        <x:f>IF(B1242="","",IF(COUNTIFS('계정비교'!$A$5:$A$1004,B1242,'계정비교'!$H$5:$H$1004,"원인분석 대상")&gt;0,COUNT($L$4:L1241)+1,""))</x:f>
      </x:c>
    </x:row>
    <x:row r="1243">
      <x:c r="A1243" s="73" t="str">
        <x:f>IF('당기원장'!A243="","","당기")</x:f>
      </x:c>
      <x:c r="B1243" s="73" t="str">
        <x:f>IF('당기원장'!A243="","",'당기원장'!A243)</x:f>
      </x:c>
      <x:c r="C1243" s="73" t="str">
        <x:f>IF('당기원장'!A243="","",'당기원장'!B243)</x:f>
      </x:c>
      <x:c r="D1243" s="74" t="str">
        <x:f>IF('당기원장'!A243="","",'당기원장'!C243)</x:f>
      </x:c>
      <x:c r="E1243" s="73" t="str">
        <x:f>IF('당기원장'!A243="","",'당기원장'!D243)</x:f>
      </x:c>
      <x:c r="F1243" s="73" t="str">
        <x:f>IF('당기원장'!A243="","",'당기원장'!E243)</x:f>
      </x:c>
      <x:c r="G1243" s="75" t="str">
        <x:f>IF('당기원장'!A243="","",'당기원장'!H243)</x:f>
      </x:c>
      <x:c r="H1243" s="73" t="str">
        <x:f>IF('당기원장'!A243="","",'당기원장'!I243)</x:f>
      </x:c>
      <x:c r="I1243" s="73" t="str">
        <x:f>IF('당기원장'!A243="","",'당기원장'!J243)</x:f>
      </x:c>
      <x:c r="J1243" s="73" t="str">
        <x:f>IF('당기원장'!A243="","",'당기원장'!K243)</x:f>
      </x:c>
      <x:c r="K1243" s="73" t="str">
        <x:f>IF(B1243="","",IF(COUNTIF($B$5:B1243,B1243)=1,COUNT($K$4:K1242)+1,""))</x:f>
      </x:c>
      <x:c r="L1243" s="85" t="str">
        <x:f>IF(B1243="","",IF(COUNTIFS('계정비교'!$A$5:$A$1004,B1243,'계정비교'!$H$5:$H$1004,"원인분석 대상")&gt;0,COUNT($L$4:L1242)+1,""))</x:f>
      </x:c>
    </x:row>
    <x:row r="1244">
      <x:c r="A1244" s="73" t="str">
        <x:f>IF('당기원장'!A244="","","당기")</x:f>
      </x:c>
      <x:c r="B1244" s="73" t="str">
        <x:f>IF('당기원장'!A244="","",'당기원장'!A244)</x:f>
      </x:c>
      <x:c r="C1244" s="73" t="str">
        <x:f>IF('당기원장'!A244="","",'당기원장'!B244)</x:f>
      </x:c>
      <x:c r="D1244" s="74" t="str">
        <x:f>IF('당기원장'!A244="","",'당기원장'!C244)</x:f>
      </x:c>
      <x:c r="E1244" s="73" t="str">
        <x:f>IF('당기원장'!A244="","",'당기원장'!D244)</x:f>
      </x:c>
      <x:c r="F1244" s="73" t="str">
        <x:f>IF('당기원장'!A244="","",'당기원장'!E244)</x:f>
      </x:c>
      <x:c r="G1244" s="75" t="str">
        <x:f>IF('당기원장'!A244="","",'당기원장'!H244)</x:f>
      </x:c>
      <x:c r="H1244" s="73" t="str">
        <x:f>IF('당기원장'!A244="","",'당기원장'!I244)</x:f>
      </x:c>
      <x:c r="I1244" s="73" t="str">
        <x:f>IF('당기원장'!A244="","",'당기원장'!J244)</x:f>
      </x:c>
      <x:c r="J1244" s="73" t="str">
        <x:f>IF('당기원장'!A244="","",'당기원장'!K244)</x:f>
      </x:c>
      <x:c r="K1244" s="73" t="str">
        <x:f>IF(B1244="","",IF(COUNTIF($B$5:B1244,B1244)=1,COUNT($K$4:K1243)+1,""))</x:f>
      </x:c>
      <x:c r="L1244" s="85" t="str">
        <x:f>IF(B1244="","",IF(COUNTIFS('계정비교'!$A$5:$A$1004,B1244,'계정비교'!$H$5:$H$1004,"원인분석 대상")&gt;0,COUNT($L$4:L1243)+1,""))</x:f>
      </x:c>
    </x:row>
    <x:row r="1245">
      <x:c r="A1245" s="73" t="str">
        <x:f>IF('당기원장'!A245="","","당기")</x:f>
      </x:c>
      <x:c r="B1245" s="73" t="str">
        <x:f>IF('당기원장'!A245="","",'당기원장'!A245)</x:f>
      </x:c>
      <x:c r="C1245" s="73" t="str">
        <x:f>IF('당기원장'!A245="","",'당기원장'!B245)</x:f>
      </x:c>
      <x:c r="D1245" s="74" t="str">
        <x:f>IF('당기원장'!A245="","",'당기원장'!C245)</x:f>
      </x:c>
      <x:c r="E1245" s="73" t="str">
        <x:f>IF('당기원장'!A245="","",'당기원장'!D245)</x:f>
      </x:c>
      <x:c r="F1245" s="73" t="str">
        <x:f>IF('당기원장'!A245="","",'당기원장'!E245)</x:f>
      </x:c>
      <x:c r="G1245" s="75" t="str">
        <x:f>IF('당기원장'!A245="","",'당기원장'!H245)</x:f>
      </x:c>
      <x:c r="H1245" s="73" t="str">
        <x:f>IF('당기원장'!A245="","",'당기원장'!I245)</x:f>
      </x:c>
      <x:c r="I1245" s="73" t="str">
        <x:f>IF('당기원장'!A245="","",'당기원장'!J245)</x:f>
      </x:c>
      <x:c r="J1245" s="73" t="str">
        <x:f>IF('당기원장'!A245="","",'당기원장'!K245)</x:f>
      </x:c>
      <x:c r="K1245" s="73" t="str">
        <x:f>IF(B1245="","",IF(COUNTIF($B$5:B1245,B1245)=1,COUNT($K$4:K1244)+1,""))</x:f>
      </x:c>
      <x:c r="L1245" s="85" t="str">
        <x:f>IF(B1245="","",IF(COUNTIFS('계정비교'!$A$5:$A$1004,B1245,'계정비교'!$H$5:$H$1004,"원인분석 대상")&gt;0,COUNT($L$4:L1244)+1,""))</x:f>
      </x:c>
    </x:row>
    <x:row r="1246">
      <x:c r="A1246" s="73" t="str">
        <x:f>IF('당기원장'!A246="","","당기")</x:f>
      </x:c>
      <x:c r="B1246" s="73" t="str">
        <x:f>IF('당기원장'!A246="","",'당기원장'!A246)</x:f>
      </x:c>
      <x:c r="C1246" s="73" t="str">
        <x:f>IF('당기원장'!A246="","",'당기원장'!B246)</x:f>
      </x:c>
      <x:c r="D1246" s="74" t="str">
        <x:f>IF('당기원장'!A246="","",'당기원장'!C246)</x:f>
      </x:c>
      <x:c r="E1246" s="73" t="str">
        <x:f>IF('당기원장'!A246="","",'당기원장'!D246)</x:f>
      </x:c>
      <x:c r="F1246" s="73" t="str">
        <x:f>IF('당기원장'!A246="","",'당기원장'!E246)</x:f>
      </x:c>
      <x:c r="G1246" s="75" t="str">
        <x:f>IF('당기원장'!A246="","",'당기원장'!H246)</x:f>
      </x:c>
      <x:c r="H1246" s="73" t="str">
        <x:f>IF('당기원장'!A246="","",'당기원장'!I246)</x:f>
      </x:c>
      <x:c r="I1246" s="73" t="str">
        <x:f>IF('당기원장'!A246="","",'당기원장'!J246)</x:f>
      </x:c>
      <x:c r="J1246" s="73" t="str">
        <x:f>IF('당기원장'!A246="","",'당기원장'!K246)</x:f>
      </x:c>
      <x:c r="K1246" s="73" t="str">
        <x:f>IF(B1246="","",IF(COUNTIF($B$5:B1246,B1246)=1,COUNT($K$4:K1245)+1,""))</x:f>
      </x:c>
      <x:c r="L1246" s="85" t="str">
        <x:f>IF(B1246="","",IF(COUNTIFS('계정비교'!$A$5:$A$1004,B1246,'계정비교'!$H$5:$H$1004,"원인분석 대상")&gt;0,COUNT($L$4:L1245)+1,""))</x:f>
      </x:c>
    </x:row>
    <x:row r="1247">
      <x:c r="A1247" s="73" t="str">
        <x:f>IF('당기원장'!A247="","","당기")</x:f>
      </x:c>
      <x:c r="B1247" s="73" t="str">
        <x:f>IF('당기원장'!A247="","",'당기원장'!A247)</x:f>
      </x:c>
      <x:c r="C1247" s="73" t="str">
        <x:f>IF('당기원장'!A247="","",'당기원장'!B247)</x:f>
      </x:c>
      <x:c r="D1247" s="74" t="str">
        <x:f>IF('당기원장'!A247="","",'당기원장'!C247)</x:f>
      </x:c>
      <x:c r="E1247" s="73" t="str">
        <x:f>IF('당기원장'!A247="","",'당기원장'!D247)</x:f>
      </x:c>
      <x:c r="F1247" s="73" t="str">
        <x:f>IF('당기원장'!A247="","",'당기원장'!E247)</x:f>
      </x:c>
      <x:c r="G1247" s="75" t="str">
        <x:f>IF('당기원장'!A247="","",'당기원장'!H247)</x:f>
      </x:c>
      <x:c r="H1247" s="73" t="str">
        <x:f>IF('당기원장'!A247="","",'당기원장'!I247)</x:f>
      </x:c>
      <x:c r="I1247" s="73" t="str">
        <x:f>IF('당기원장'!A247="","",'당기원장'!J247)</x:f>
      </x:c>
      <x:c r="J1247" s="73" t="str">
        <x:f>IF('당기원장'!A247="","",'당기원장'!K247)</x:f>
      </x:c>
      <x:c r="K1247" s="73" t="str">
        <x:f>IF(B1247="","",IF(COUNTIF($B$5:B1247,B1247)=1,COUNT($K$4:K1246)+1,""))</x:f>
      </x:c>
      <x:c r="L1247" s="85" t="str">
        <x:f>IF(B1247="","",IF(COUNTIFS('계정비교'!$A$5:$A$1004,B1247,'계정비교'!$H$5:$H$1004,"원인분석 대상")&gt;0,COUNT($L$4:L1246)+1,""))</x:f>
      </x:c>
    </x:row>
    <x:row r="1248">
      <x:c r="A1248" s="73" t="str">
        <x:f>IF('당기원장'!A248="","","당기")</x:f>
      </x:c>
      <x:c r="B1248" s="73" t="str">
        <x:f>IF('당기원장'!A248="","",'당기원장'!A248)</x:f>
      </x:c>
      <x:c r="C1248" s="73" t="str">
        <x:f>IF('당기원장'!A248="","",'당기원장'!B248)</x:f>
      </x:c>
      <x:c r="D1248" s="74" t="str">
        <x:f>IF('당기원장'!A248="","",'당기원장'!C248)</x:f>
      </x:c>
      <x:c r="E1248" s="73" t="str">
        <x:f>IF('당기원장'!A248="","",'당기원장'!D248)</x:f>
      </x:c>
      <x:c r="F1248" s="73" t="str">
        <x:f>IF('당기원장'!A248="","",'당기원장'!E248)</x:f>
      </x:c>
      <x:c r="G1248" s="75" t="str">
        <x:f>IF('당기원장'!A248="","",'당기원장'!H248)</x:f>
      </x:c>
      <x:c r="H1248" s="73" t="str">
        <x:f>IF('당기원장'!A248="","",'당기원장'!I248)</x:f>
      </x:c>
      <x:c r="I1248" s="73" t="str">
        <x:f>IF('당기원장'!A248="","",'당기원장'!J248)</x:f>
      </x:c>
      <x:c r="J1248" s="73" t="str">
        <x:f>IF('당기원장'!A248="","",'당기원장'!K248)</x:f>
      </x:c>
      <x:c r="K1248" s="73" t="str">
        <x:f>IF(B1248="","",IF(COUNTIF($B$5:B1248,B1248)=1,COUNT($K$4:K1247)+1,""))</x:f>
      </x:c>
      <x:c r="L1248" s="85" t="str">
        <x:f>IF(B1248="","",IF(COUNTIFS('계정비교'!$A$5:$A$1004,B1248,'계정비교'!$H$5:$H$1004,"원인분석 대상")&gt;0,COUNT($L$4:L1247)+1,""))</x:f>
      </x:c>
    </x:row>
    <x:row r="1249">
      <x:c r="A1249" s="73" t="str">
        <x:f>IF('당기원장'!A249="","","당기")</x:f>
      </x:c>
      <x:c r="B1249" s="73" t="str">
        <x:f>IF('당기원장'!A249="","",'당기원장'!A249)</x:f>
      </x:c>
      <x:c r="C1249" s="73" t="str">
        <x:f>IF('당기원장'!A249="","",'당기원장'!B249)</x:f>
      </x:c>
      <x:c r="D1249" s="74" t="str">
        <x:f>IF('당기원장'!A249="","",'당기원장'!C249)</x:f>
      </x:c>
      <x:c r="E1249" s="73" t="str">
        <x:f>IF('당기원장'!A249="","",'당기원장'!D249)</x:f>
      </x:c>
      <x:c r="F1249" s="73" t="str">
        <x:f>IF('당기원장'!A249="","",'당기원장'!E249)</x:f>
      </x:c>
      <x:c r="G1249" s="75" t="str">
        <x:f>IF('당기원장'!A249="","",'당기원장'!H249)</x:f>
      </x:c>
      <x:c r="H1249" s="73" t="str">
        <x:f>IF('당기원장'!A249="","",'당기원장'!I249)</x:f>
      </x:c>
      <x:c r="I1249" s="73" t="str">
        <x:f>IF('당기원장'!A249="","",'당기원장'!J249)</x:f>
      </x:c>
      <x:c r="J1249" s="73" t="str">
        <x:f>IF('당기원장'!A249="","",'당기원장'!K249)</x:f>
      </x:c>
      <x:c r="K1249" s="73" t="str">
        <x:f>IF(B1249="","",IF(COUNTIF($B$5:B1249,B1249)=1,COUNT($K$4:K1248)+1,""))</x:f>
      </x:c>
      <x:c r="L1249" s="85" t="str">
        <x:f>IF(B1249="","",IF(COUNTIFS('계정비교'!$A$5:$A$1004,B1249,'계정비교'!$H$5:$H$1004,"원인분석 대상")&gt;0,COUNT($L$4:L1248)+1,""))</x:f>
      </x:c>
    </x:row>
    <x:row r="1250">
      <x:c r="A1250" s="73" t="str">
        <x:f>IF('당기원장'!A250="","","당기")</x:f>
      </x:c>
      <x:c r="B1250" s="73" t="str">
        <x:f>IF('당기원장'!A250="","",'당기원장'!A250)</x:f>
      </x:c>
      <x:c r="C1250" s="73" t="str">
        <x:f>IF('당기원장'!A250="","",'당기원장'!B250)</x:f>
      </x:c>
      <x:c r="D1250" s="74" t="str">
        <x:f>IF('당기원장'!A250="","",'당기원장'!C250)</x:f>
      </x:c>
      <x:c r="E1250" s="73" t="str">
        <x:f>IF('당기원장'!A250="","",'당기원장'!D250)</x:f>
      </x:c>
      <x:c r="F1250" s="73" t="str">
        <x:f>IF('당기원장'!A250="","",'당기원장'!E250)</x:f>
      </x:c>
      <x:c r="G1250" s="75" t="str">
        <x:f>IF('당기원장'!A250="","",'당기원장'!H250)</x:f>
      </x:c>
      <x:c r="H1250" s="73" t="str">
        <x:f>IF('당기원장'!A250="","",'당기원장'!I250)</x:f>
      </x:c>
      <x:c r="I1250" s="73" t="str">
        <x:f>IF('당기원장'!A250="","",'당기원장'!J250)</x:f>
      </x:c>
      <x:c r="J1250" s="73" t="str">
        <x:f>IF('당기원장'!A250="","",'당기원장'!K250)</x:f>
      </x:c>
      <x:c r="K1250" s="73" t="str">
        <x:f>IF(B1250="","",IF(COUNTIF($B$5:B1250,B1250)=1,COUNT($K$4:K1249)+1,""))</x:f>
      </x:c>
      <x:c r="L1250" s="85" t="str">
        <x:f>IF(B1250="","",IF(COUNTIFS('계정비교'!$A$5:$A$1004,B1250,'계정비교'!$H$5:$H$1004,"원인분석 대상")&gt;0,COUNT($L$4:L1249)+1,""))</x:f>
      </x:c>
    </x:row>
    <x:row r="1251">
      <x:c r="A1251" s="73" t="str">
        <x:f>IF('당기원장'!A251="","","당기")</x:f>
      </x:c>
      <x:c r="B1251" s="73" t="str">
        <x:f>IF('당기원장'!A251="","",'당기원장'!A251)</x:f>
      </x:c>
      <x:c r="C1251" s="73" t="str">
        <x:f>IF('당기원장'!A251="","",'당기원장'!B251)</x:f>
      </x:c>
      <x:c r="D1251" s="74" t="str">
        <x:f>IF('당기원장'!A251="","",'당기원장'!C251)</x:f>
      </x:c>
      <x:c r="E1251" s="73" t="str">
        <x:f>IF('당기원장'!A251="","",'당기원장'!D251)</x:f>
      </x:c>
      <x:c r="F1251" s="73" t="str">
        <x:f>IF('당기원장'!A251="","",'당기원장'!E251)</x:f>
      </x:c>
      <x:c r="G1251" s="75" t="str">
        <x:f>IF('당기원장'!A251="","",'당기원장'!H251)</x:f>
      </x:c>
      <x:c r="H1251" s="73" t="str">
        <x:f>IF('당기원장'!A251="","",'당기원장'!I251)</x:f>
      </x:c>
      <x:c r="I1251" s="73" t="str">
        <x:f>IF('당기원장'!A251="","",'당기원장'!J251)</x:f>
      </x:c>
      <x:c r="J1251" s="73" t="str">
        <x:f>IF('당기원장'!A251="","",'당기원장'!K251)</x:f>
      </x:c>
      <x:c r="K1251" s="73" t="str">
        <x:f>IF(B1251="","",IF(COUNTIF($B$5:B1251,B1251)=1,COUNT($K$4:K1250)+1,""))</x:f>
      </x:c>
      <x:c r="L1251" s="85" t="str">
        <x:f>IF(B1251="","",IF(COUNTIFS('계정비교'!$A$5:$A$1004,B1251,'계정비교'!$H$5:$H$1004,"원인분석 대상")&gt;0,COUNT($L$4:L1250)+1,""))</x:f>
      </x:c>
    </x:row>
    <x:row r="1252">
      <x:c r="A1252" s="73" t="str">
        <x:f>IF('당기원장'!A252="","","당기")</x:f>
      </x:c>
      <x:c r="B1252" s="73" t="str">
        <x:f>IF('당기원장'!A252="","",'당기원장'!A252)</x:f>
      </x:c>
      <x:c r="C1252" s="73" t="str">
        <x:f>IF('당기원장'!A252="","",'당기원장'!B252)</x:f>
      </x:c>
      <x:c r="D1252" s="74" t="str">
        <x:f>IF('당기원장'!A252="","",'당기원장'!C252)</x:f>
      </x:c>
      <x:c r="E1252" s="73" t="str">
        <x:f>IF('당기원장'!A252="","",'당기원장'!D252)</x:f>
      </x:c>
      <x:c r="F1252" s="73" t="str">
        <x:f>IF('당기원장'!A252="","",'당기원장'!E252)</x:f>
      </x:c>
      <x:c r="G1252" s="75" t="str">
        <x:f>IF('당기원장'!A252="","",'당기원장'!H252)</x:f>
      </x:c>
      <x:c r="H1252" s="73" t="str">
        <x:f>IF('당기원장'!A252="","",'당기원장'!I252)</x:f>
      </x:c>
      <x:c r="I1252" s="73" t="str">
        <x:f>IF('당기원장'!A252="","",'당기원장'!J252)</x:f>
      </x:c>
      <x:c r="J1252" s="73" t="str">
        <x:f>IF('당기원장'!A252="","",'당기원장'!K252)</x:f>
      </x:c>
      <x:c r="K1252" s="73" t="str">
        <x:f>IF(B1252="","",IF(COUNTIF($B$5:B1252,B1252)=1,COUNT($K$4:K1251)+1,""))</x:f>
      </x:c>
      <x:c r="L1252" s="85" t="str">
        <x:f>IF(B1252="","",IF(COUNTIFS('계정비교'!$A$5:$A$1004,B1252,'계정비교'!$H$5:$H$1004,"원인분석 대상")&gt;0,COUNT($L$4:L1251)+1,""))</x:f>
      </x:c>
    </x:row>
    <x:row r="1253">
      <x:c r="A1253" s="73" t="str">
        <x:f>IF('당기원장'!A253="","","당기")</x:f>
      </x:c>
      <x:c r="B1253" s="73" t="str">
        <x:f>IF('당기원장'!A253="","",'당기원장'!A253)</x:f>
      </x:c>
      <x:c r="C1253" s="73" t="str">
        <x:f>IF('당기원장'!A253="","",'당기원장'!B253)</x:f>
      </x:c>
      <x:c r="D1253" s="74" t="str">
        <x:f>IF('당기원장'!A253="","",'당기원장'!C253)</x:f>
      </x:c>
      <x:c r="E1253" s="73" t="str">
        <x:f>IF('당기원장'!A253="","",'당기원장'!D253)</x:f>
      </x:c>
      <x:c r="F1253" s="73" t="str">
        <x:f>IF('당기원장'!A253="","",'당기원장'!E253)</x:f>
      </x:c>
      <x:c r="G1253" s="75" t="str">
        <x:f>IF('당기원장'!A253="","",'당기원장'!H253)</x:f>
      </x:c>
      <x:c r="H1253" s="73" t="str">
        <x:f>IF('당기원장'!A253="","",'당기원장'!I253)</x:f>
      </x:c>
      <x:c r="I1253" s="73" t="str">
        <x:f>IF('당기원장'!A253="","",'당기원장'!J253)</x:f>
      </x:c>
      <x:c r="J1253" s="73" t="str">
        <x:f>IF('당기원장'!A253="","",'당기원장'!K253)</x:f>
      </x:c>
      <x:c r="K1253" s="73" t="str">
        <x:f>IF(B1253="","",IF(COUNTIF($B$5:B1253,B1253)=1,COUNT($K$4:K1252)+1,""))</x:f>
      </x:c>
      <x:c r="L1253" s="85" t="str">
        <x:f>IF(B1253="","",IF(COUNTIFS('계정비교'!$A$5:$A$1004,B1253,'계정비교'!$H$5:$H$1004,"원인분석 대상")&gt;0,COUNT($L$4:L1252)+1,""))</x:f>
      </x:c>
    </x:row>
    <x:row r="1254">
      <x:c r="A1254" s="73" t="str">
        <x:f>IF('당기원장'!A254="","","당기")</x:f>
      </x:c>
      <x:c r="B1254" s="73" t="str">
        <x:f>IF('당기원장'!A254="","",'당기원장'!A254)</x:f>
      </x:c>
      <x:c r="C1254" s="73" t="str">
        <x:f>IF('당기원장'!A254="","",'당기원장'!B254)</x:f>
      </x:c>
      <x:c r="D1254" s="74" t="str">
        <x:f>IF('당기원장'!A254="","",'당기원장'!C254)</x:f>
      </x:c>
      <x:c r="E1254" s="73" t="str">
        <x:f>IF('당기원장'!A254="","",'당기원장'!D254)</x:f>
      </x:c>
      <x:c r="F1254" s="73" t="str">
        <x:f>IF('당기원장'!A254="","",'당기원장'!E254)</x:f>
      </x:c>
      <x:c r="G1254" s="75" t="str">
        <x:f>IF('당기원장'!A254="","",'당기원장'!H254)</x:f>
      </x:c>
      <x:c r="H1254" s="73" t="str">
        <x:f>IF('당기원장'!A254="","",'당기원장'!I254)</x:f>
      </x:c>
      <x:c r="I1254" s="73" t="str">
        <x:f>IF('당기원장'!A254="","",'당기원장'!J254)</x:f>
      </x:c>
      <x:c r="J1254" s="73" t="str">
        <x:f>IF('당기원장'!A254="","",'당기원장'!K254)</x:f>
      </x:c>
      <x:c r="K1254" s="73" t="str">
        <x:f>IF(B1254="","",IF(COUNTIF($B$5:B1254,B1254)=1,COUNT($K$4:K1253)+1,""))</x:f>
      </x:c>
      <x:c r="L1254" s="85" t="str">
        <x:f>IF(B1254="","",IF(COUNTIFS('계정비교'!$A$5:$A$1004,B1254,'계정비교'!$H$5:$H$1004,"원인분석 대상")&gt;0,COUNT($L$4:L1253)+1,""))</x:f>
      </x:c>
    </x:row>
    <x:row r="1255">
      <x:c r="A1255" s="73" t="str">
        <x:f>IF('당기원장'!A255="","","당기")</x:f>
      </x:c>
      <x:c r="B1255" s="73" t="str">
        <x:f>IF('당기원장'!A255="","",'당기원장'!A255)</x:f>
      </x:c>
      <x:c r="C1255" s="73" t="str">
        <x:f>IF('당기원장'!A255="","",'당기원장'!B255)</x:f>
      </x:c>
      <x:c r="D1255" s="74" t="str">
        <x:f>IF('당기원장'!A255="","",'당기원장'!C255)</x:f>
      </x:c>
      <x:c r="E1255" s="73" t="str">
        <x:f>IF('당기원장'!A255="","",'당기원장'!D255)</x:f>
      </x:c>
      <x:c r="F1255" s="73" t="str">
        <x:f>IF('당기원장'!A255="","",'당기원장'!E255)</x:f>
      </x:c>
      <x:c r="G1255" s="75" t="str">
        <x:f>IF('당기원장'!A255="","",'당기원장'!H255)</x:f>
      </x:c>
      <x:c r="H1255" s="73" t="str">
        <x:f>IF('당기원장'!A255="","",'당기원장'!I255)</x:f>
      </x:c>
      <x:c r="I1255" s="73" t="str">
        <x:f>IF('당기원장'!A255="","",'당기원장'!J255)</x:f>
      </x:c>
      <x:c r="J1255" s="73" t="str">
        <x:f>IF('당기원장'!A255="","",'당기원장'!K255)</x:f>
      </x:c>
      <x:c r="K1255" s="73" t="str">
        <x:f>IF(B1255="","",IF(COUNTIF($B$5:B1255,B1255)=1,COUNT($K$4:K1254)+1,""))</x:f>
      </x:c>
      <x:c r="L1255" s="85" t="str">
        <x:f>IF(B1255="","",IF(COUNTIFS('계정비교'!$A$5:$A$1004,B1255,'계정비교'!$H$5:$H$1004,"원인분석 대상")&gt;0,COUNT($L$4:L1254)+1,""))</x:f>
      </x:c>
    </x:row>
    <x:row r="1256">
      <x:c r="A1256" s="73" t="str">
        <x:f>IF('당기원장'!A256="","","당기")</x:f>
      </x:c>
      <x:c r="B1256" s="73" t="str">
        <x:f>IF('당기원장'!A256="","",'당기원장'!A256)</x:f>
      </x:c>
      <x:c r="C1256" s="73" t="str">
        <x:f>IF('당기원장'!A256="","",'당기원장'!B256)</x:f>
      </x:c>
      <x:c r="D1256" s="74" t="str">
        <x:f>IF('당기원장'!A256="","",'당기원장'!C256)</x:f>
      </x:c>
      <x:c r="E1256" s="73" t="str">
        <x:f>IF('당기원장'!A256="","",'당기원장'!D256)</x:f>
      </x:c>
      <x:c r="F1256" s="73" t="str">
        <x:f>IF('당기원장'!A256="","",'당기원장'!E256)</x:f>
      </x:c>
      <x:c r="G1256" s="75" t="str">
        <x:f>IF('당기원장'!A256="","",'당기원장'!H256)</x:f>
      </x:c>
      <x:c r="H1256" s="73" t="str">
        <x:f>IF('당기원장'!A256="","",'당기원장'!I256)</x:f>
      </x:c>
      <x:c r="I1256" s="73" t="str">
        <x:f>IF('당기원장'!A256="","",'당기원장'!J256)</x:f>
      </x:c>
      <x:c r="J1256" s="73" t="str">
        <x:f>IF('당기원장'!A256="","",'당기원장'!K256)</x:f>
      </x:c>
      <x:c r="K1256" s="73" t="str">
        <x:f>IF(B1256="","",IF(COUNTIF($B$5:B1256,B1256)=1,COUNT($K$4:K1255)+1,""))</x:f>
      </x:c>
      <x:c r="L1256" s="85" t="str">
        <x:f>IF(B1256="","",IF(COUNTIFS('계정비교'!$A$5:$A$1004,B1256,'계정비교'!$H$5:$H$1004,"원인분석 대상")&gt;0,COUNT($L$4:L1255)+1,""))</x:f>
      </x:c>
    </x:row>
    <x:row r="1257">
      <x:c r="A1257" s="73" t="str">
        <x:f>IF('당기원장'!A257="","","당기")</x:f>
      </x:c>
      <x:c r="B1257" s="73" t="str">
        <x:f>IF('당기원장'!A257="","",'당기원장'!A257)</x:f>
      </x:c>
      <x:c r="C1257" s="73" t="str">
        <x:f>IF('당기원장'!A257="","",'당기원장'!B257)</x:f>
      </x:c>
      <x:c r="D1257" s="74" t="str">
        <x:f>IF('당기원장'!A257="","",'당기원장'!C257)</x:f>
      </x:c>
      <x:c r="E1257" s="73" t="str">
        <x:f>IF('당기원장'!A257="","",'당기원장'!D257)</x:f>
      </x:c>
      <x:c r="F1257" s="73" t="str">
        <x:f>IF('당기원장'!A257="","",'당기원장'!E257)</x:f>
      </x:c>
      <x:c r="G1257" s="75" t="str">
        <x:f>IF('당기원장'!A257="","",'당기원장'!H257)</x:f>
      </x:c>
      <x:c r="H1257" s="73" t="str">
        <x:f>IF('당기원장'!A257="","",'당기원장'!I257)</x:f>
      </x:c>
      <x:c r="I1257" s="73" t="str">
        <x:f>IF('당기원장'!A257="","",'당기원장'!J257)</x:f>
      </x:c>
      <x:c r="J1257" s="73" t="str">
        <x:f>IF('당기원장'!A257="","",'당기원장'!K257)</x:f>
      </x:c>
      <x:c r="K1257" s="73" t="str">
        <x:f>IF(B1257="","",IF(COUNTIF($B$5:B1257,B1257)=1,COUNT($K$4:K1256)+1,""))</x:f>
      </x:c>
      <x:c r="L1257" s="85" t="str">
        <x:f>IF(B1257="","",IF(COUNTIFS('계정비교'!$A$5:$A$1004,B1257,'계정비교'!$H$5:$H$1004,"원인분석 대상")&gt;0,COUNT($L$4:L1256)+1,""))</x:f>
      </x:c>
    </x:row>
    <x:row r="1258">
      <x:c r="A1258" s="73" t="str">
        <x:f>IF('당기원장'!A258="","","당기")</x:f>
      </x:c>
      <x:c r="B1258" s="73" t="str">
        <x:f>IF('당기원장'!A258="","",'당기원장'!A258)</x:f>
      </x:c>
      <x:c r="C1258" s="73" t="str">
        <x:f>IF('당기원장'!A258="","",'당기원장'!B258)</x:f>
      </x:c>
      <x:c r="D1258" s="74" t="str">
        <x:f>IF('당기원장'!A258="","",'당기원장'!C258)</x:f>
      </x:c>
      <x:c r="E1258" s="73" t="str">
        <x:f>IF('당기원장'!A258="","",'당기원장'!D258)</x:f>
      </x:c>
      <x:c r="F1258" s="73" t="str">
        <x:f>IF('당기원장'!A258="","",'당기원장'!E258)</x:f>
      </x:c>
      <x:c r="G1258" s="75" t="str">
        <x:f>IF('당기원장'!A258="","",'당기원장'!H258)</x:f>
      </x:c>
      <x:c r="H1258" s="73" t="str">
        <x:f>IF('당기원장'!A258="","",'당기원장'!I258)</x:f>
      </x:c>
      <x:c r="I1258" s="73" t="str">
        <x:f>IF('당기원장'!A258="","",'당기원장'!J258)</x:f>
      </x:c>
      <x:c r="J1258" s="73" t="str">
        <x:f>IF('당기원장'!A258="","",'당기원장'!K258)</x:f>
      </x:c>
      <x:c r="K1258" s="73" t="str">
        <x:f>IF(B1258="","",IF(COUNTIF($B$5:B1258,B1258)=1,COUNT($K$4:K1257)+1,""))</x:f>
      </x:c>
      <x:c r="L1258" s="85" t="str">
        <x:f>IF(B1258="","",IF(COUNTIFS('계정비교'!$A$5:$A$1004,B1258,'계정비교'!$H$5:$H$1004,"원인분석 대상")&gt;0,COUNT($L$4:L1257)+1,""))</x:f>
      </x:c>
    </x:row>
    <x:row r="1259">
      <x:c r="A1259" s="73" t="str">
        <x:f>IF('당기원장'!A259="","","당기")</x:f>
      </x:c>
      <x:c r="B1259" s="73" t="str">
        <x:f>IF('당기원장'!A259="","",'당기원장'!A259)</x:f>
      </x:c>
      <x:c r="C1259" s="73" t="str">
        <x:f>IF('당기원장'!A259="","",'당기원장'!B259)</x:f>
      </x:c>
      <x:c r="D1259" s="74" t="str">
        <x:f>IF('당기원장'!A259="","",'당기원장'!C259)</x:f>
      </x:c>
      <x:c r="E1259" s="73" t="str">
        <x:f>IF('당기원장'!A259="","",'당기원장'!D259)</x:f>
      </x:c>
      <x:c r="F1259" s="73" t="str">
        <x:f>IF('당기원장'!A259="","",'당기원장'!E259)</x:f>
      </x:c>
      <x:c r="G1259" s="75" t="str">
        <x:f>IF('당기원장'!A259="","",'당기원장'!H259)</x:f>
      </x:c>
      <x:c r="H1259" s="73" t="str">
        <x:f>IF('당기원장'!A259="","",'당기원장'!I259)</x:f>
      </x:c>
      <x:c r="I1259" s="73" t="str">
        <x:f>IF('당기원장'!A259="","",'당기원장'!J259)</x:f>
      </x:c>
      <x:c r="J1259" s="73" t="str">
        <x:f>IF('당기원장'!A259="","",'당기원장'!K259)</x:f>
      </x:c>
      <x:c r="K1259" s="73" t="str">
        <x:f>IF(B1259="","",IF(COUNTIF($B$5:B1259,B1259)=1,COUNT($K$4:K1258)+1,""))</x:f>
      </x:c>
      <x:c r="L1259" s="85" t="str">
        <x:f>IF(B1259="","",IF(COUNTIFS('계정비교'!$A$5:$A$1004,B1259,'계정비교'!$H$5:$H$1004,"원인분석 대상")&gt;0,COUNT($L$4:L1258)+1,""))</x:f>
      </x:c>
    </x:row>
    <x:row r="1260">
      <x:c r="A1260" s="73" t="str">
        <x:f>IF('당기원장'!A260="","","당기")</x:f>
      </x:c>
      <x:c r="B1260" s="73" t="str">
        <x:f>IF('당기원장'!A260="","",'당기원장'!A260)</x:f>
      </x:c>
      <x:c r="C1260" s="73" t="str">
        <x:f>IF('당기원장'!A260="","",'당기원장'!B260)</x:f>
      </x:c>
      <x:c r="D1260" s="74" t="str">
        <x:f>IF('당기원장'!A260="","",'당기원장'!C260)</x:f>
      </x:c>
      <x:c r="E1260" s="73" t="str">
        <x:f>IF('당기원장'!A260="","",'당기원장'!D260)</x:f>
      </x:c>
      <x:c r="F1260" s="73" t="str">
        <x:f>IF('당기원장'!A260="","",'당기원장'!E260)</x:f>
      </x:c>
      <x:c r="G1260" s="75" t="str">
        <x:f>IF('당기원장'!A260="","",'당기원장'!H260)</x:f>
      </x:c>
      <x:c r="H1260" s="73" t="str">
        <x:f>IF('당기원장'!A260="","",'당기원장'!I260)</x:f>
      </x:c>
      <x:c r="I1260" s="73" t="str">
        <x:f>IF('당기원장'!A260="","",'당기원장'!J260)</x:f>
      </x:c>
      <x:c r="J1260" s="73" t="str">
        <x:f>IF('당기원장'!A260="","",'당기원장'!K260)</x:f>
      </x:c>
      <x:c r="K1260" s="73" t="str">
        <x:f>IF(B1260="","",IF(COUNTIF($B$5:B1260,B1260)=1,COUNT($K$4:K1259)+1,""))</x:f>
      </x:c>
      <x:c r="L1260" s="85" t="str">
        <x:f>IF(B1260="","",IF(COUNTIFS('계정비교'!$A$5:$A$1004,B1260,'계정비교'!$H$5:$H$1004,"원인분석 대상")&gt;0,COUNT($L$4:L1259)+1,""))</x:f>
      </x:c>
    </x:row>
    <x:row r="1261">
      <x:c r="A1261" s="73" t="str">
        <x:f>IF('당기원장'!A261="","","당기")</x:f>
      </x:c>
      <x:c r="B1261" s="73" t="str">
        <x:f>IF('당기원장'!A261="","",'당기원장'!A261)</x:f>
      </x:c>
      <x:c r="C1261" s="73" t="str">
        <x:f>IF('당기원장'!A261="","",'당기원장'!B261)</x:f>
      </x:c>
      <x:c r="D1261" s="74" t="str">
        <x:f>IF('당기원장'!A261="","",'당기원장'!C261)</x:f>
      </x:c>
      <x:c r="E1261" s="73" t="str">
        <x:f>IF('당기원장'!A261="","",'당기원장'!D261)</x:f>
      </x:c>
      <x:c r="F1261" s="73" t="str">
        <x:f>IF('당기원장'!A261="","",'당기원장'!E261)</x:f>
      </x:c>
      <x:c r="G1261" s="75" t="str">
        <x:f>IF('당기원장'!A261="","",'당기원장'!H261)</x:f>
      </x:c>
      <x:c r="H1261" s="73" t="str">
        <x:f>IF('당기원장'!A261="","",'당기원장'!I261)</x:f>
      </x:c>
      <x:c r="I1261" s="73" t="str">
        <x:f>IF('당기원장'!A261="","",'당기원장'!J261)</x:f>
      </x:c>
      <x:c r="J1261" s="73" t="str">
        <x:f>IF('당기원장'!A261="","",'당기원장'!K261)</x:f>
      </x:c>
      <x:c r="K1261" s="73" t="str">
        <x:f>IF(B1261="","",IF(COUNTIF($B$5:B1261,B1261)=1,COUNT($K$4:K1260)+1,""))</x:f>
      </x:c>
      <x:c r="L1261" s="85" t="str">
        <x:f>IF(B1261="","",IF(COUNTIFS('계정비교'!$A$5:$A$1004,B1261,'계정비교'!$H$5:$H$1004,"원인분석 대상")&gt;0,COUNT($L$4:L1260)+1,""))</x:f>
      </x:c>
    </x:row>
    <x:row r="1262">
      <x:c r="A1262" s="73" t="str">
        <x:f>IF('당기원장'!A262="","","당기")</x:f>
      </x:c>
      <x:c r="B1262" s="73" t="str">
        <x:f>IF('당기원장'!A262="","",'당기원장'!A262)</x:f>
      </x:c>
      <x:c r="C1262" s="73" t="str">
        <x:f>IF('당기원장'!A262="","",'당기원장'!B262)</x:f>
      </x:c>
      <x:c r="D1262" s="74" t="str">
        <x:f>IF('당기원장'!A262="","",'당기원장'!C262)</x:f>
      </x:c>
      <x:c r="E1262" s="73" t="str">
        <x:f>IF('당기원장'!A262="","",'당기원장'!D262)</x:f>
      </x:c>
      <x:c r="F1262" s="73" t="str">
        <x:f>IF('당기원장'!A262="","",'당기원장'!E262)</x:f>
      </x:c>
      <x:c r="G1262" s="75" t="str">
        <x:f>IF('당기원장'!A262="","",'당기원장'!H262)</x:f>
      </x:c>
      <x:c r="H1262" s="73" t="str">
        <x:f>IF('당기원장'!A262="","",'당기원장'!I262)</x:f>
      </x:c>
      <x:c r="I1262" s="73" t="str">
        <x:f>IF('당기원장'!A262="","",'당기원장'!J262)</x:f>
      </x:c>
      <x:c r="J1262" s="73" t="str">
        <x:f>IF('당기원장'!A262="","",'당기원장'!K262)</x:f>
      </x:c>
      <x:c r="K1262" s="73" t="str">
        <x:f>IF(B1262="","",IF(COUNTIF($B$5:B1262,B1262)=1,COUNT($K$4:K1261)+1,""))</x:f>
      </x:c>
      <x:c r="L1262" s="85" t="str">
        <x:f>IF(B1262="","",IF(COUNTIFS('계정비교'!$A$5:$A$1004,B1262,'계정비교'!$H$5:$H$1004,"원인분석 대상")&gt;0,COUNT($L$4:L1261)+1,""))</x:f>
      </x:c>
    </x:row>
    <x:row r="1263">
      <x:c r="A1263" s="73" t="str">
        <x:f>IF('당기원장'!A263="","","당기")</x:f>
      </x:c>
      <x:c r="B1263" s="73" t="str">
        <x:f>IF('당기원장'!A263="","",'당기원장'!A263)</x:f>
      </x:c>
      <x:c r="C1263" s="73" t="str">
        <x:f>IF('당기원장'!A263="","",'당기원장'!B263)</x:f>
      </x:c>
      <x:c r="D1263" s="74" t="str">
        <x:f>IF('당기원장'!A263="","",'당기원장'!C263)</x:f>
      </x:c>
      <x:c r="E1263" s="73" t="str">
        <x:f>IF('당기원장'!A263="","",'당기원장'!D263)</x:f>
      </x:c>
      <x:c r="F1263" s="73" t="str">
        <x:f>IF('당기원장'!A263="","",'당기원장'!E263)</x:f>
      </x:c>
      <x:c r="G1263" s="75" t="str">
        <x:f>IF('당기원장'!A263="","",'당기원장'!H263)</x:f>
      </x:c>
      <x:c r="H1263" s="73" t="str">
        <x:f>IF('당기원장'!A263="","",'당기원장'!I263)</x:f>
      </x:c>
      <x:c r="I1263" s="73" t="str">
        <x:f>IF('당기원장'!A263="","",'당기원장'!J263)</x:f>
      </x:c>
      <x:c r="J1263" s="73" t="str">
        <x:f>IF('당기원장'!A263="","",'당기원장'!K263)</x:f>
      </x:c>
      <x:c r="K1263" s="73" t="str">
        <x:f>IF(B1263="","",IF(COUNTIF($B$5:B1263,B1263)=1,COUNT($K$4:K1262)+1,""))</x:f>
      </x:c>
      <x:c r="L1263" s="85" t="str">
        <x:f>IF(B1263="","",IF(COUNTIFS('계정비교'!$A$5:$A$1004,B1263,'계정비교'!$H$5:$H$1004,"원인분석 대상")&gt;0,COUNT($L$4:L1262)+1,""))</x:f>
      </x:c>
    </x:row>
    <x:row r="1264">
      <x:c r="A1264" s="73" t="str">
        <x:f>IF('당기원장'!A264="","","당기")</x:f>
      </x:c>
      <x:c r="B1264" s="73" t="str">
        <x:f>IF('당기원장'!A264="","",'당기원장'!A264)</x:f>
      </x:c>
      <x:c r="C1264" s="73" t="str">
        <x:f>IF('당기원장'!A264="","",'당기원장'!B264)</x:f>
      </x:c>
      <x:c r="D1264" s="74" t="str">
        <x:f>IF('당기원장'!A264="","",'당기원장'!C264)</x:f>
      </x:c>
      <x:c r="E1264" s="73" t="str">
        <x:f>IF('당기원장'!A264="","",'당기원장'!D264)</x:f>
      </x:c>
      <x:c r="F1264" s="73" t="str">
        <x:f>IF('당기원장'!A264="","",'당기원장'!E264)</x:f>
      </x:c>
      <x:c r="G1264" s="75" t="str">
        <x:f>IF('당기원장'!A264="","",'당기원장'!H264)</x:f>
      </x:c>
      <x:c r="H1264" s="73" t="str">
        <x:f>IF('당기원장'!A264="","",'당기원장'!I264)</x:f>
      </x:c>
      <x:c r="I1264" s="73" t="str">
        <x:f>IF('당기원장'!A264="","",'당기원장'!J264)</x:f>
      </x:c>
      <x:c r="J1264" s="73" t="str">
        <x:f>IF('당기원장'!A264="","",'당기원장'!K264)</x:f>
      </x:c>
      <x:c r="K1264" s="73" t="str">
        <x:f>IF(B1264="","",IF(COUNTIF($B$5:B1264,B1264)=1,COUNT($K$4:K1263)+1,""))</x:f>
      </x:c>
      <x:c r="L1264" s="85" t="str">
        <x:f>IF(B1264="","",IF(COUNTIFS('계정비교'!$A$5:$A$1004,B1264,'계정비교'!$H$5:$H$1004,"원인분석 대상")&gt;0,COUNT($L$4:L1263)+1,""))</x:f>
      </x:c>
    </x:row>
    <x:row r="1265">
      <x:c r="A1265" s="73" t="str">
        <x:f>IF('당기원장'!A265="","","당기")</x:f>
      </x:c>
      <x:c r="B1265" s="73" t="str">
        <x:f>IF('당기원장'!A265="","",'당기원장'!A265)</x:f>
      </x:c>
      <x:c r="C1265" s="73" t="str">
        <x:f>IF('당기원장'!A265="","",'당기원장'!B265)</x:f>
      </x:c>
      <x:c r="D1265" s="74" t="str">
        <x:f>IF('당기원장'!A265="","",'당기원장'!C265)</x:f>
      </x:c>
      <x:c r="E1265" s="73" t="str">
        <x:f>IF('당기원장'!A265="","",'당기원장'!D265)</x:f>
      </x:c>
      <x:c r="F1265" s="73" t="str">
        <x:f>IF('당기원장'!A265="","",'당기원장'!E265)</x:f>
      </x:c>
      <x:c r="G1265" s="75" t="str">
        <x:f>IF('당기원장'!A265="","",'당기원장'!H265)</x:f>
      </x:c>
      <x:c r="H1265" s="73" t="str">
        <x:f>IF('당기원장'!A265="","",'당기원장'!I265)</x:f>
      </x:c>
      <x:c r="I1265" s="73" t="str">
        <x:f>IF('당기원장'!A265="","",'당기원장'!J265)</x:f>
      </x:c>
      <x:c r="J1265" s="73" t="str">
        <x:f>IF('당기원장'!A265="","",'당기원장'!K265)</x:f>
      </x:c>
      <x:c r="K1265" s="73" t="str">
        <x:f>IF(B1265="","",IF(COUNTIF($B$5:B1265,B1265)=1,COUNT($K$4:K1264)+1,""))</x:f>
      </x:c>
      <x:c r="L1265" s="85" t="str">
        <x:f>IF(B1265="","",IF(COUNTIFS('계정비교'!$A$5:$A$1004,B1265,'계정비교'!$H$5:$H$1004,"원인분석 대상")&gt;0,COUNT($L$4:L1264)+1,""))</x:f>
      </x:c>
    </x:row>
    <x:row r="1266">
      <x:c r="A1266" s="73" t="str">
        <x:f>IF('당기원장'!A266="","","당기")</x:f>
      </x:c>
      <x:c r="B1266" s="73" t="str">
        <x:f>IF('당기원장'!A266="","",'당기원장'!A266)</x:f>
      </x:c>
      <x:c r="C1266" s="73" t="str">
        <x:f>IF('당기원장'!A266="","",'당기원장'!B266)</x:f>
      </x:c>
      <x:c r="D1266" s="74" t="str">
        <x:f>IF('당기원장'!A266="","",'당기원장'!C266)</x:f>
      </x:c>
      <x:c r="E1266" s="73" t="str">
        <x:f>IF('당기원장'!A266="","",'당기원장'!D266)</x:f>
      </x:c>
      <x:c r="F1266" s="73" t="str">
        <x:f>IF('당기원장'!A266="","",'당기원장'!E266)</x:f>
      </x:c>
      <x:c r="G1266" s="75" t="str">
        <x:f>IF('당기원장'!A266="","",'당기원장'!H266)</x:f>
      </x:c>
      <x:c r="H1266" s="73" t="str">
        <x:f>IF('당기원장'!A266="","",'당기원장'!I266)</x:f>
      </x:c>
      <x:c r="I1266" s="73" t="str">
        <x:f>IF('당기원장'!A266="","",'당기원장'!J266)</x:f>
      </x:c>
      <x:c r="J1266" s="73" t="str">
        <x:f>IF('당기원장'!A266="","",'당기원장'!K266)</x:f>
      </x:c>
      <x:c r="K1266" s="73" t="str">
        <x:f>IF(B1266="","",IF(COUNTIF($B$5:B1266,B1266)=1,COUNT($K$4:K1265)+1,""))</x:f>
      </x:c>
      <x:c r="L1266" s="85" t="str">
        <x:f>IF(B1266="","",IF(COUNTIFS('계정비교'!$A$5:$A$1004,B1266,'계정비교'!$H$5:$H$1004,"원인분석 대상")&gt;0,COUNT($L$4:L1265)+1,""))</x:f>
      </x:c>
    </x:row>
    <x:row r="1267">
      <x:c r="A1267" s="73" t="str">
        <x:f>IF('당기원장'!A267="","","당기")</x:f>
      </x:c>
      <x:c r="B1267" s="73" t="str">
        <x:f>IF('당기원장'!A267="","",'당기원장'!A267)</x:f>
      </x:c>
      <x:c r="C1267" s="73" t="str">
        <x:f>IF('당기원장'!A267="","",'당기원장'!B267)</x:f>
      </x:c>
      <x:c r="D1267" s="74" t="str">
        <x:f>IF('당기원장'!A267="","",'당기원장'!C267)</x:f>
      </x:c>
      <x:c r="E1267" s="73" t="str">
        <x:f>IF('당기원장'!A267="","",'당기원장'!D267)</x:f>
      </x:c>
      <x:c r="F1267" s="73" t="str">
        <x:f>IF('당기원장'!A267="","",'당기원장'!E267)</x:f>
      </x:c>
      <x:c r="G1267" s="75" t="str">
        <x:f>IF('당기원장'!A267="","",'당기원장'!H267)</x:f>
      </x:c>
      <x:c r="H1267" s="73" t="str">
        <x:f>IF('당기원장'!A267="","",'당기원장'!I267)</x:f>
      </x:c>
      <x:c r="I1267" s="73" t="str">
        <x:f>IF('당기원장'!A267="","",'당기원장'!J267)</x:f>
      </x:c>
      <x:c r="J1267" s="73" t="str">
        <x:f>IF('당기원장'!A267="","",'당기원장'!K267)</x:f>
      </x:c>
      <x:c r="K1267" s="73" t="str">
        <x:f>IF(B1267="","",IF(COUNTIF($B$5:B1267,B1267)=1,COUNT($K$4:K1266)+1,""))</x:f>
      </x:c>
      <x:c r="L1267" s="85" t="str">
        <x:f>IF(B1267="","",IF(COUNTIFS('계정비교'!$A$5:$A$1004,B1267,'계정비교'!$H$5:$H$1004,"원인분석 대상")&gt;0,COUNT($L$4:L1266)+1,""))</x:f>
      </x:c>
    </x:row>
    <x:row r="1268">
      <x:c r="A1268" s="73" t="str">
        <x:f>IF('당기원장'!A268="","","당기")</x:f>
      </x:c>
      <x:c r="B1268" s="73" t="str">
        <x:f>IF('당기원장'!A268="","",'당기원장'!A268)</x:f>
      </x:c>
      <x:c r="C1268" s="73" t="str">
        <x:f>IF('당기원장'!A268="","",'당기원장'!B268)</x:f>
      </x:c>
      <x:c r="D1268" s="74" t="str">
        <x:f>IF('당기원장'!A268="","",'당기원장'!C268)</x:f>
      </x:c>
      <x:c r="E1268" s="73" t="str">
        <x:f>IF('당기원장'!A268="","",'당기원장'!D268)</x:f>
      </x:c>
      <x:c r="F1268" s="73" t="str">
        <x:f>IF('당기원장'!A268="","",'당기원장'!E268)</x:f>
      </x:c>
      <x:c r="G1268" s="75" t="str">
        <x:f>IF('당기원장'!A268="","",'당기원장'!H268)</x:f>
      </x:c>
      <x:c r="H1268" s="73" t="str">
        <x:f>IF('당기원장'!A268="","",'당기원장'!I268)</x:f>
      </x:c>
      <x:c r="I1268" s="73" t="str">
        <x:f>IF('당기원장'!A268="","",'당기원장'!J268)</x:f>
      </x:c>
      <x:c r="J1268" s="73" t="str">
        <x:f>IF('당기원장'!A268="","",'당기원장'!K268)</x:f>
      </x:c>
      <x:c r="K1268" s="73" t="str">
        <x:f>IF(B1268="","",IF(COUNTIF($B$5:B1268,B1268)=1,COUNT($K$4:K1267)+1,""))</x:f>
      </x:c>
      <x:c r="L1268" s="85" t="str">
        <x:f>IF(B1268="","",IF(COUNTIFS('계정비교'!$A$5:$A$1004,B1268,'계정비교'!$H$5:$H$1004,"원인분석 대상")&gt;0,COUNT($L$4:L1267)+1,""))</x:f>
      </x:c>
    </x:row>
    <x:row r="1269">
      <x:c r="A1269" s="73" t="str">
        <x:f>IF('당기원장'!A269="","","당기")</x:f>
      </x:c>
      <x:c r="B1269" s="73" t="str">
        <x:f>IF('당기원장'!A269="","",'당기원장'!A269)</x:f>
      </x:c>
      <x:c r="C1269" s="73" t="str">
        <x:f>IF('당기원장'!A269="","",'당기원장'!B269)</x:f>
      </x:c>
      <x:c r="D1269" s="74" t="str">
        <x:f>IF('당기원장'!A269="","",'당기원장'!C269)</x:f>
      </x:c>
      <x:c r="E1269" s="73" t="str">
        <x:f>IF('당기원장'!A269="","",'당기원장'!D269)</x:f>
      </x:c>
      <x:c r="F1269" s="73" t="str">
        <x:f>IF('당기원장'!A269="","",'당기원장'!E269)</x:f>
      </x:c>
      <x:c r="G1269" s="75" t="str">
        <x:f>IF('당기원장'!A269="","",'당기원장'!H269)</x:f>
      </x:c>
      <x:c r="H1269" s="73" t="str">
        <x:f>IF('당기원장'!A269="","",'당기원장'!I269)</x:f>
      </x:c>
      <x:c r="I1269" s="73" t="str">
        <x:f>IF('당기원장'!A269="","",'당기원장'!J269)</x:f>
      </x:c>
      <x:c r="J1269" s="73" t="str">
        <x:f>IF('당기원장'!A269="","",'당기원장'!K269)</x:f>
      </x:c>
      <x:c r="K1269" s="73" t="str">
        <x:f>IF(B1269="","",IF(COUNTIF($B$5:B1269,B1269)=1,COUNT($K$4:K1268)+1,""))</x:f>
      </x:c>
      <x:c r="L1269" s="85" t="str">
        <x:f>IF(B1269="","",IF(COUNTIFS('계정비교'!$A$5:$A$1004,B1269,'계정비교'!$H$5:$H$1004,"원인분석 대상")&gt;0,COUNT($L$4:L1268)+1,""))</x:f>
      </x:c>
    </x:row>
    <x:row r="1270">
      <x:c r="A1270" s="73" t="str">
        <x:f>IF('당기원장'!A270="","","당기")</x:f>
      </x:c>
      <x:c r="B1270" s="73" t="str">
        <x:f>IF('당기원장'!A270="","",'당기원장'!A270)</x:f>
      </x:c>
      <x:c r="C1270" s="73" t="str">
        <x:f>IF('당기원장'!A270="","",'당기원장'!B270)</x:f>
      </x:c>
      <x:c r="D1270" s="74" t="str">
        <x:f>IF('당기원장'!A270="","",'당기원장'!C270)</x:f>
      </x:c>
      <x:c r="E1270" s="73" t="str">
        <x:f>IF('당기원장'!A270="","",'당기원장'!D270)</x:f>
      </x:c>
      <x:c r="F1270" s="73" t="str">
        <x:f>IF('당기원장'!A270="","",'당기원장'!E270)</x:f>
      </x:c>
      <x:c r="G1270" s="75" t="str">
        <x:f>IF('당기원장'!A270="","",'당기원장'!H270)</x:f>
      </x:c>
      <x:c r="H1270" s="73" t="str">
        <x:f>IF('당기원장'!A270="","",'당기원장'!I270)</x:f>
      </x:c>
      <x:c r="I1270" s="73" t="str">
        <x:f>IF('당기원장'!A270="","",'당기원장'!J270)</x:f>
      </x:c>
      <x:c r="J1270" s="73" t="str">
        <x:f>IF('당기원장'!A270="","",'당기원장'!K270)</x:f>
      </x:c>
      <x:c r="K1270" s="73" t="str">
        <x:f>IF(B1270="","",IF(COUNTIF($B$5:B1270,B1270)=1,COUNT($K$4:K1269)+1,""))</x:f>
      </x:c>
      <x:c r="L1270" s="85" t="str">
        <x:f>IF(B1270="","",IF(COUNTIFS('계정비교'!$A$5:$A$1004,B1270,'계정비교'!$H$5:$H$1004,"원인분석 대상")&gt;0,COUNT($L$4:L1269)+1,""))</x:f>
      </x:c>
    </x:row>
    <x:row r="1271">
      <x:c r="A1271" s="73" t="str">
        <x:f>IF('당기원장'!A271="","","당기")</x:f>
      </x:c>
      <x:c r="B1271" s="73" t="str">
        <x:f>IF('당기원장'!A271="","",'당기원장'!A271)</x:f>
      </x:c>
      <x:c r="C1271" s="73" t="str">
        <x:f>IF('당기원장'!A271="","",'당기원장'!B271)</x:f>
      </x:c>
      <x:c r="D1271" s="74" t="str">
        <x:f>IF('당기원장'!A271="","",'당기원장'!C271)</x:f>
      </x:c>
      <x:c r="E1271" s="73" t="str">
        <x:f>IF('당기원장'!A271="","",'당기원장'!D271)</x:f>
      </x:c>
      <x:c r="F1271" s="73" t="str">
        <x:f>IF('당기원장'!A271="","",'당기원장'!E271)</x:f>
      </x:c>
      <x:c r="G1271" s="75" t="str">
        <x:f>IF('당기원장'!A271="","",'당기원장'!H271)</x:f>
      </x:c>
      <x:c r="H1271" s="73" t="str">
        <x:f>IF('당기원장'!A271="","",'당기원장'!I271)</x:f>
      </x:c>
      <x:c r="I1271" s="73" t="str">
        <x:f>IF('당기원장'!A271="","",'당기원장'!J271)</x:f>
      </x:c>
      <x:c r="J1271" s="73" t="str">
        <x:f>IF('당기원장'!A271="","",'당기원장'!K271)</x:f>
      </x:c>
      <x:c r="K1271" s="73" t="str">
        <x:f>IF(B1271="","",IF(COUNTIF($B$5:B1271,B1271)=1,COUNT($K$4:K1270)+1,""))</x:f>
      </x:c>
      <x:c r="L1271" s="85" t="str">
        <x:f>IF(B1271="","",IF(COUNTIFS('계정비교'!$A$5:$A$1004,B1271,'계정비교'!$H$5:$H$1004,"원인분석 대상")&gt;0,COUNT($L$4:L1270)+1,""))</x:f>
      </x:c>
    </x:row>
    <x:row r="1272">
      <x:c r="A1272" s="73" t="str">
        <x:f>IF('당기원장'!A272="","","당기")</x:f>
      </x:c>
      <x:c r="B1272" s="73" t="str">
        <x:f>IF('당기원장'!A272="","",'당기원장'!A272)</x:f>
      </x:c>
      <x:c r="C1272" s="73" t="str">
        <x:f>IF('당기원장'!A272="","",'당기원장'!B272)</x:f>
      </x:c>
      <x:c r="D1272" s="74" t="str">
        <x:f>IF('당기원장'!A272="","",'당기원장'!C272)</x:f>
      </x:c>
      <x:c r="E1272" s="73" t="str">
        <x:f>IF('당기원장'!A272="","",'당기원장'!D272)</x:f>
      </x:c>
      <x:c r="F1272" s="73" t="str">
        <x:f>IF('당기원장'!A272="","",'당기원장'!E272)</x:f>
      </x:c>
      <x:c r="G1272" s="75" t="str">
        <x:f>IF('당기원장'!A272="","",'당기원장'!H272)</x:f>
      </x:c>
      <x:c r="H1272" s="73" t="str">
        <x:f>IF('당기원장'!A272="","",'당기원장'!I272)</x:f>
      </x:c>
      <x:c r="I1272" s="73" t="str">
        <x:f>IF('당기원장'!A272="","",'당기원장'!J272)</x:f>
      </x:c>
      <x:c r="J1272" s="73" t="str">
        <x:f>IF('당기원장'!A272="","",'당기원장'!K272)</x:f>
      </x:c>
      <x:c r="K1272" s="73" t="str">
        <x:f>IF(B1272="","",IF(COUNTIF($B$5:B1272,B1272)=1,COUNT($K$4:K1271)+1,""))</x:f>
      </x:c>
      <x:c r="L1272" s="85" t="str">
        <x:f>IF(B1272="","",IF(COUNTIFS('계정비교'!$A$5:$A$1004,B1272,'계정비교'!$H$5:$H$1004,"원인분석 대상")&gt;0,COUNT($L$4:L1271)+1,""))</x:f>
      </x:c>
    </x:row>
    <x:row r="1273">
      <x:c r="A1273" s="73" t="str">
        <x:f>IF('당기원장'!A273="","","당기")</x:f>
      </x:c>
      <x:c r="B1273" s="73" t="str">
        <x:f>IF('당기원장'!A273="","",'당기원장'!A273)</x:f>
      </x:c>
      <x:c r="C1273" s="73" t="str">
        <x:f>IF('당기원장'!A273="","",'당기원장'!B273)</x:f>
      </x:c>
      <x:c r="D1273" s="74" t="str">
        <x:f>IF('당기원장'!A273="","",'당기원장'!C273)</x:f>
      </x:c>
      <x:c r="E1273" s="73" t="str">
        <x:f>IF('당기원장'!A273="","",'당기원장'!D273)</x:f>
      </x:c>
      <x:c r="F1273" s="73" t="str">
        <x:f>IF('당기원장'!A273="","",'당기원장'!E273)</x:f>
      </x:c>
      <x:c r="G1273" s="75" t="str">
        <x:f>IF('당기원장'!A273="","",'당기원장'!H273)</x:f>
      </x:c>
      <x:c r="H1273" s="73" t="str">
        <x:f>IF('당기원장'!A273="","",'당기원장'!I273)</x:f>
      </x:c>
      <x:c r="I1273" s="73" t="str">
        <x:f>IF('당기원장'!A273="","",'당기원장'!J273)</x:f>
      </x:c>
      <x:c r="J1273" s="73" t="str">
        <x:f>IF('당기원장'!A273="","",'당기원장'!K273)</x:f>
      </x:c>
      <x:c r="K1273" s="73" t="str">
        <x:f>IF(B1273="","",IF(COUNTIF($B$5:B1273,B1273)=1,COUNT($K$4:K1272)+1,""))</x:f>
      </x:c>
      <x:c r="L1273" s="85" t="str">
        <x:f>IF(B1273="","",IF(COUNTIFS('계정비교'!$A$5:$A$1004,B1273,'계정비교'!$H$5:$H$1004,"원인분석 대상")&gt;0,COUNT($L$4:L1272)+1,""))</x:f>
      </x:c>
    </x:row>
    <x:row r="1274">
      <x:c r="A1274" s="73" t="str">
        <x:f>IF('당기원장'!A274="","","당기")</x:f>
      </x:c>
      <x:c r="B1274" s="73" t="str">
        <x:f>IF('당기원장'!A274="","",'당기원장'!A274)</x:f>
      </x:c>
      <x:c r="C1274" s="73" t="str">
        <x:f>IF('당기원장'!A274="","",'당기원장'!B274)</x:f>
      </x:c>
      <x:c r="D1274" s="74" t="str">
        <x:f>IF('당기원장'!A274="","",'당기원장'!C274)</x:f>
      </x:c>
      <x:c r="E1274" s="73" t="str">
        <x:f>IF('당기원장'!A274="","",'당기원장'!D274)</x:f>
      </x:c>
      <x:c r="F1274" s="73" t="str">
        <x:f>IF('당기원장'!A274="","",'당기원장'!E274)</x:f>
      </x:c>
      <x:c r="G1274" s="75" t="str">
        <x:f>IF('당기원장'!A274="","",'당기원장'!H274)</x:f>
      </x:c>
      <x:c r="H1274" s="73" t="str">
        <x:f>IF('당기원장'!A274="","",'당기원장'!I274)</x:f>
      </x:c>
      <x:c r="I1274" s="73" t="str">
        <x:f>IF('당기원장'!A274="","",'당기원장'!J274)</x:f>
      </x:c>
      <x:c r="J1274" s="73" t="str">
        <x:f>IF('당기원장'!A274="","",'당기원장'!K274)</x:f>
      </x:c>
      <x:c r="K1274" s="73" t="str">
        <x:f>IF(B1274="","",IF(COUNTIF($B$5:B1274,B1274)=1,COUNT($K$4:K1273)+1,""))</x:f>
      </x:c>
      <x:c r="L1274" s="85" t="str">
        <x:f>IF(B1274="","",IF(COUNTIFS('계정비교'!$A$5:$A$1004,B1274,'계정비교'!$H$5:$H$1004,"원인분석 대상")&gt;0,COUNT($L$4:L1273)+1,""))</x:f>
      </x:c>
    </x:row>
    <x:row r="1275">
      <x:c r="A1275" s="73" t="str">
        <x:f>IF('당기원장'!A275="","","당기")</x:f>
      </x:c>
      <x:c r="B1275" s="73" t="str">
        <x:f>IF('당기원장'!A275="","",'당기원장'!A275)</x:f>
      </x:c>
      <x:c r="C1275" s="73" t="str">
        <x:f>IF('당기원장'!A275="","",'당기원장'!B275)</x:f>
      </x:c>
      <x:c r="D1275" s="74" t="str">
        <x:f>IF('당기원장'!A275="","",'당기원장'!C275)</x:f>
      </x:c>
      <x:c r="E1275" s="73" t="str">
        <x:f>IF('당기원장'!A275="","",'당기원장'!D275)</x:f>
      </x:c>
      <x:c r="F1275" s="73" t="str">
        <x:f>IF('당기원장'!A275="","",'당기원장'!E275)</x:f>
      </x:c>
      <x:c r="G1275" s="75" t="str">
        <x:f>IF('당기원장'!A275="","",'당기원장'!H275)</x:f>
      </x:c>
      <x:c r="H1275" s="73" t="str">
        <x:f>IF('당기원장'!A275="","",'당기원장'!I275)</x:f>
      </x:c>
      <x:c r="I1275" s="73" t="str">
        <x:f>IF('당기원장'!A275="","",'당기원장'!J275)</x:f>
      </x:c>
      <x:c r="J1275" s="73" t="str">
        <x:f>IF('당기원장'!A275="","",'당기원장'!K275)</x:f>
      </x:c>
      <x:c r="K1275" s="73" t="str">
        <x:f>IF(B1275="","",IF(COUNTIF($B$5:B1275,B1275)=1,COUNT($K$4:K1274)+1,""))</x:f>
      </x:c>
      <x:c r="L1275" s="85" t="str">
        <x:f>IF(B1275="","",IF(COUNTIFS('계정비교'!$A$5:$A$1004,B1275,'계정비교'!$H$5:$H$1004,"원인분석 대상")&gt;0,COUNT($L$4:L1274)+1,""))</x:f>
      </x:c>
    </x:row>
    <x:row r="1276">
      <x:c r="A1276" s="73" t="str">
        <x:f>IF('당기원장'!A276="","","당기")</x:f>
      </x:c>
      <x:c r="B1276" s="73" t="str">
        <x:f>IF('당기원장'!A276="","",'당기원장'!A276)</x:f>
      </x:c>
      <x:c r="C1276" s="73" t="str">
        <x:f>IF('당기원장'!A276="","",'당기원장'!B276)</x:f>
      </x:c>
      <x:c r="D1276" s="74" t="str">
        <x:f>IF('당기원장'!A276="","",'당기원장'!C276)</x:f>
      </x:c>
      <x:c r="E1276" s="73" t="str">
        <x:f>IF('당기원장'!A276="","",'당기원장'!D276)</x:f>
      </x:c>
      <x:c r="F1276" s="73" t="str">
        <x:f>IF('당기원장'!A276="","",'당기원장'!E276)</x:f>
      </x:c>
      <x:c r="G1276" s="75" t="str">
        <x:f>IF('당기원장'!A276="","",'당기원장'!H276)</x:f>
      </x:c>
      <x:c r="H1276" s="73" t="str">
        <x:f>IF('당기원장'!A276="","",'당기원장'!I276)</x:f>
      </x:c>
      <x:c r="I1276" s="73" t="str">
        <x:f>IF('당기원장'!A276="","",'당기원장'!J276)</x:f>
      </x:c>
      <x:c r="J1276" s="73" t="str">
        <x:f>IF('당기원장'!A276="","",'당기원장'!K276)</x:f>
      </x:c>
      <x:c r="K1276" s="73" t="str">
        <x:f>IF(B1276="","",IF(COUNTIF($B$5:B1276,B1276)=1,COUNT($K$4:K1275)+1,""))</x:f>
      </x:c>
      <x:c r="L1276" s="85" t="str">
        <x:f>IF(B1276="","",IF(COUNTIFS('계정비교'!$A$5:$A$1004,B1276,'계정비교'!$H$5:$H$1004,"원인분석 대상")&gt;0,COUNT($L$4:L1275)+1,""))</x:f>
      </x:c>
    </x:row>
    <x:row r="1277">
      <x:c r="A1277" s="73" t="str">
        <x:f>IF('당기원장'!A277="","","당기")</x:f>
      </x:c>
      <x:c r="B1277" s="73" t="str">
        <x:f>IF('당기원장'!A277="","",'당기원장'!A277)</x:f>
      </x:c>
      <x:c r="C1277" s="73" t="str">
        <x:f>IF('당기원장'!A277="","",'당기원장'!B277)</x:f>
      </x:c>
      <x:c r="D1277" s="74" t="str">
        <x:f>IF('당기원장'!A277="","",'당기원장'!C277)</x:f>
      </x:c>
      <x:c r="E1277" s="73" t="str">
        <x:f>IF('당기원장'!A277="","",'당기원장'!D277)</x:f>
      </x:c>
      <x:c r="F1277" s="73" t="str">
        <x:f>IF('당기원장'!A277="","",'당기원장'!E277)</x:f>
      </x:c>
      <x:c r="G1277" s="75" t="str">
        <x:f>IF('당기원장'!A277="","",'당기원장'!H277)</x:f>
      </x:c>
      <x:c r="H1277" s="73" t="str">
        <x:f>IF('당기원장'!A277="","",'당기원장'!I277)</x:f>
      </x:c>
      <x:c r="I1277" s="73" t="str">
        <x:f>IF('당기원장'!A277="","",'당기원장'!J277)</x:f>
      </x:c>
      <x:c r="J1277" s="73" t="str">
        <x:f>IF('당기원장'!A277="","",'당기원장'!K277)</x:f>
      </x:c>
      <x:c r="K1277" s="73" t="str">
        <x:f>IF(B1277="","",IF(COUNTIF($B$5:B1277,B1277)=1,COUNT($K$4:K1276)+1,""))</x:f>
      </x:c>
      <x:c r="L1277" s="85" t="str">
        <x:f>IF(B1277="","",IF(COUNTIFS('계정비교'!$A$5:$A$1004,B1277,'계정비교'!$H$5:$H$1004,"원인분석 대상")&gt;0,COUNT($L$4:L1276)+1,""))</x:f>
      </x:c>
    </x:row>
    <x:row r="1278">
      <x:c r="A1278" s="73" t="str">
        <x:f>IF('당기원장'!A278="","","당기")</x:f>
      </x:c>
      <x:c r="B1278" s="73" t="str">
        <x:f>IF('당기원장'!A278="","",'당기원장'!A278)</x:f>
      </x:c>
      <x:c r="C1278" s="73" t="str">
        <x:f>IF('당기원장'!A278="","",'당기원장'!B278)</x:f>
      </x:c>
      <x:c r="D1278" s="74" t="str">
        <x:f>IF('당기원장'!A278="","",'당기원장'!C278)</x:f>
      </x:c>
      <x:c r="E1278" s="73" t="str">
        <x:f>IF('당기원장'!A278="","",'당기원장'!D278)</x:f>
      </x:c>
      <x:c r="F1278" s="73" t="str">
        <x:f>IF('당기원장'!A278="","",'당기원장'!E278)</x:f>
      </x:c>
      <x:c r="G1278" s="75" t="str">
        <x:f>IF('당기원장'!A278="","",'당기원장'!H278)</x:f>
      </x:c>
      <x:c r="H1278" s="73" t="str">
        <x:f>IF('당기원장'!A278="","",'당기원장'!I278)</x:f>
      </x:c>
      <x:c r="I1278" s="73" t="str">
        <x:f>IF('당기원장'!A278="","",'당기원장'!J278)</x:f>
      </x:c>
      <x:c r="J1278" s="73" t="str">
        <x:f>IF('당기원장'!A278="","",'당기원장'!K278)</x:f>
      </x:c>
      <x:c r="K1278" s="73" t="str">
        <x:f>IF(B1278="","",IF(COUNTIF($B$5:B1278,B1278)=1,COUNT($K$4:K1277)+1,""))</x:f>
      </x:c>
      <x:c r="L1278" s="85" t="str">
        <x:f>IF(B1278="","",IF(COUNTIFS('계정비교'!$A$5:$A$1004,B1278,'계정비교'!$H$5:$H$1004,"원인분석 대상")&gt;0,COUNT($L$4:L1277)+1,""))</x:f>
      </x:c>
    </x:row>
    <x:row r="1279">
      <x:c r="A1279" s="73" t="str">
        <x:f>IF('당기원장'!A279="","","당기")</x:f>
      </x:c>
      <x:c r="B1279" s="73" t="str">
        <x:f>IF('당기원장'!A279="","",'당기원장'!A279)</x:f>
      </x:c>
      <x:c r="C1279" s="73" t="str">
        <x:f>IF('당기원장'!A279="","",'당기원장'!B279)</x:f>
      </x:c>
      <x:c r="D1279" s="74" t="str">
        <x:f>IF('당기원장'!A279="","",'당기원장'!C279)</x:f>
      </x:c>
      <x:c r="E1279" s="73" t="str">
        <x:f>IF('당기원장'!A279="","",'당기원장'!D279)</x:f>
      </x:c>
      <x:c r="F1279" s="73" t="str">
        <x:f>IF('당기원장'!A279="","",'당기원장'!E279)</x:f>
      </x:c>
      <x:c r="G1279" s="75" t="str">
        <x:f>IF('당기원장'!A279="","",'당기원장'!H279)</x:f>
      </x:c>
      <x:c r="H1279" s="73" t="str">
        <x:f>IF('당기원장'!A279="","",'당기원장'!I279)</x:f>
      </x:c>
      <x:c r="I1279" s="73" t="str">
        <x:f>IF('당기원장'!A279="","",'당기원장'!J279)</x:f>
      </x:c>
      <x:c r="J1279" s="73" t="str">
        <x:f>IF('당기원장'!A279="","",'당기원장'!K279)</x:f>
      </x:c>
      <x:c r="K1279" s="73" t="str">
        <x:f>IF(B1279="","",IF(COUNTIF($B$5:B1279,B1279)=1,COUNT($K$4:K1278)+1,""))</x:f>
      </x:c>
      <x:c r="L1279" s="85" t="str">
        <x:f>IF(B1279="","",IF(COUNTIFS('계정비교'!$A$5:$A$1004,B1279,'계정비교'!$H$5:$H$1004,"원인분석 대상")&gt;0,COUNT($L$4:L1278)+1,""))</x:f>
      </x:c>
    </x:row>
    <x:row r="1280">
      <x:c r="A1280" s="73" t="str">
        <x:f>IF('당기원장'!A280="","","당기")</x:f>
      </x:c>
      <x:c r="B1280" s="73" t="str">
        <x:f>IF('당기원장'!A280="","",'당기원장'!A280)</x:f>
      </x:c>
      <x:c r="C1280" s="73" t="str">
        <x:f>IF('당기원장'!A280="","",'당기원장'!B280)</x:f>
      </x:c>
      <x:c r="D1280" s="74" t="str">
        <x:f>IF('당기원장'!A280="","",'당기원장'!C280)</x:f>
      </x:c>
      <x:c r="E1280" s="73" t="str">
        <x:f>IF('당기원장'!A280="","",'당기원장'!D280)</x:f>
      </x:c>
      <x:c r="F1280" s="73" t="str">
        <x:f>IF('당기원장'!A280="","",'당기원장'!E280)</x:f>
      </x:c>
      <x:c r="G1280" s="75" t="str">
        <x:f>IF('당기원장'!A280="","",'당기원장'!H280)</x:f>
      </x:c>
      <x:c r="H1280" s="73" t="str">
        <x:f>IF('당기원장'!A280="","",'당기원장'!I280)</x:f>
      </x:c>
      <x:c r="I1280" s="73" t="str">
        <x:f>IF('당기원장'!A280="","",'당기원장'!J280)</x:f>
      </x:c>
      <x:c r="J1280" s="73" t="str">
        <x:f>IF('당기원장'!A280="","",'당기원장'!K280)</x:f>
      </x:c>
      <x:c r="K1280" s="73" t="str">
        <x:f>IF(B1280="","",IF(COUNTIF($B$5:B1280,B1280)=1,COUNT($K$4:K1279)+1,""))</x:f>
      </x:c>
      <x:c r="L1280" s="85" t="str">
        <x:f>IF(B1280="","",IF(COUNTIFS('계정비교'!$A$5:$A$1004,B1280,'계정비교'!$H$5:$H$1004,"원인분석 대상")&gt;0,COUNT($L$4:L1279)+1,""))</x:f>
      </x:c>
    </x:row>
    <x:row r="1281">
      <x:c r="A1281" s="73" t="str">
        <x:f>IF('당기원장'!A281="","","당기")</x:f>
      </x:c>
      <x:c r="B1281" s="73" t="str">
        <x:f>IF('당기원장'!A281="","",'당기원장'!A281)</x:f>
      </x:c>
      <x:c r="C1281" s="73" t="str">
        <x:f>IF('당기원장'!A281="","",'당기원장'!B281)</x:f>
      </x:c>
      <x:c r="D1281" s="74" t="str">
        <x:f>IF('당기원장'!A281="","",'당기원장'!C281)</x:f>
      </x:c>
      <x:c r="E1281" s="73" t="str">
        <x:f>IF('당기원장'!A281="","",'당기원장'!D281)</x:f>
      </x:c>
      <x:c r="F1281" s="73" t="str">
        <x:f>IF('당기원장'!A281="","",'당기원장'!E281)</x:f>
      </x:c>
      <x:c r="G1281" s="75" t="str">
        <x:f>IF('당기원장'!A281="","",'당기원장'!H281)</x:f>
      </x:c>
      <x:c r="H1281" s="73" t="str">
        <x:f>IF('당기원장'!A281="","",'당기원장'!I281)</x:f>
      </x:c>
      <x:c r="I1281" s="73" t="str">
        <x:f>IF('당기원장'!A281="","",'당기원장'!J281)</x:f>
      </x:c>
      <x:c r="J1281" s="73" t="str">
        <x:f>IF('당기원장'!A281="","",'당기원장'!K281)</x:f>
      </x:c>
      <x:c r="K1281" s="73" t="str">
        <x:f>IF(B1281="","",IF(COUNTIF($B$5:B1281,B1281)=1,COUNT($K$4:K1280)+1,""))</x:f>
      </x:c>
      <x:c r="L1281" s="85" t="str">
        <x:f>IF(B1281="","",IF(COUNTIFS('계정비교'!$A$5:$A$1004,B1281,'계정비교'!$H$5:$H$1004,"원인분석 대상")&gt;0,COUNT($L$4:L1280)+1,""))</x:f>
      </x:c>
    </x:row>
    <x:row r="1282">
      <x:c r="A1282" s="73" t="str">
        <x:f>IF('당기원장'!A282="","","당기")</x:f>
      </x:c>
      <x:c r="B1282" s="73" t="str">
        <x:f>IF('당기원장'!A282="","",'당기원장'!A282)</x:f>
      </x:c>
      <x:c r="C1282" s="73" t="str">
        <x:f>IF('당기원장'!A282="","",'당기원장'!B282)</x:f>
      </x:c>
      <x:c r="D1282" s="74" t="str">
        <x:f>IF('당기원장'!A282="","",'당기원장'!C282)</x:f>
      </x:c>
      <x:c r="E1282" s="73" t="str">
        <x:f>IF('당기원장'!A282="","",'당기원장'!D282)</x:f>
      </x:c>
      <x:c r="F1282" s="73" t="str">
        <x:f>IF('당기원장'!A282="","",'당기원장'!E282)</x:f>
      </x:c>
      <x:c r="G1282" s="75" t="str">
        <x:f>IF('당기원장'!A282="","",'당기원장'!H282)</x:f>
      </x:c>
      <x:c r="H1282" s="73" t="str">
        <x:f>IF('당기원장'!A282="","",'당기원장'!I282)</x:f>
      </x:c>
      <x:c r="I1282" s="73" t="str">
        <x:f>IF('당기원장'!A282="","",'당기원장'!J282)</x:f>
      </x:c>
      <x:c r="J1282" s="73" t="str">
        <x:f>IF('당기원장'!A282="","",'당기원장'!K282)</x:f>
      </x:c>
      <x:c r="K1282" s="73" t="str">
        <x:f>IF(B1282="","",IF(COUNTIF($B$5:B1282,B1282)=1,COUNT($K$4:K1281)+1,""))</x:f>
      </x:c>
      <x:c r="L1282" s="85" t="str">
        <x:f>IF(B1282="","",IF(COUNTIFS('계정비교'!$A$5:$A$1004,B1282,'계정비교'!$H$5:$H$1004,"원인분석 대상")&gt;0,COUNT($L$4:L1281)+1,""))</x:f>
      </x:c>
    </x:row>
    <x:row r="1283">
      <x:c r="A1283" s="73" t="str">
        <x:f>IF('당기원장'!A283="","","당기")</x:f>
      </x:c>
      <x:c r="B1283" s="73" t="str">
        <x:f>IF('당기원장'!A283="","",'당기원장'!A283)</x:f>
      </x:c>
      <x:c r="C1283" s="73" t="str">
        <x:f>IF('당기원장'!A283="","",'당기원장'!B283)</x:f>
      </x:c>
      <x:c r="D1283" s="74" t="str">
        <x:f>IF('당기원장'!A283="","",'당기원장'!C283)</x:f>
      </x:c>
      <x:c r="E1283" s="73" t="str">
        <x:f>IF('당기원장'!A283="","",'당기원장'!D283)</x:f>
      </x:c>
      <x:c r="F1283" s="73" t="str">
        <x:f>IF('당기원장'!A283="","",'당기원장'!E283)</x:f>
      </x:c>
      <x:c r="G1283" s="75" t="str">
        <x:f>IF('당기원장'!A283="","",'당기원장'!H283)</x:f>
      </x:c>
      <x:c r="H1283" s="73" t="str">
        <x:f>IF('당기원장'!A283="","",'당기원장'!I283)</x:f>
      </x:c>
      <x:c r="I1283" s="73" t="str">
        <x:f>IF('당기원장'!A283="","",'당기원장'!J283)</x:f>
      </x:c>
      <x:c r="J1283" s="73" t="str">
        <x:f>IF('당기원장'!A283="","",'당기원장'!K283)</x:f>
      </x:c>
      <x:c r="K1283" s="73" t="str">
        <x:f>IF(B1283="","",IF(COUNTIF($B$5:B1283,B1283)=1,COUNT($K$4:K1282)+1,""))</x:f>
      </x:c>
      <x:c r="L1283" s="85" t="str">
        <x:f>IF(B1283="","",IF(COUNTIFS('계정비교'!$A$5:$A$1004,B1283,'계정비교'!$H$5:$H$1004,"원인분석 대상")&gt;0,COUNT($L$4:L1282)+1,""))</x:f>
      </x:c>
    </x:row>
    <x:row r="1284">
      <x:c r="A1284" s="73" t="str">
        <x:f>IF('당기원장'!A284="","","당기")</x:f>
      </x:c>
      <x:c r="B1284" s="73" t="str">
        <x:f>IF('당기원장'!A284="","",'당기원장'!A284)</x:f>
      </x:c>
      <x:c r="C1284" s="73" t="str">
        <x:f>IF('당기원장'!A284="","",'당기원장'!B284)</x:f>
      </x:c>
      <x:c r="D1284" s="74" t="str">
        <x:f>IF('당기원장'!A284="","",'당기원장'!C284)</x:f>
      </x:c>
      <x:c r="E1284" s="73" t="str">
        <x:f>IF('당기원장'!A284="","",'당기원장'!D284)</x:f>
      </x:c>
      <x:c r="F1284" s="73" t="str">
        <x:f>IF('당기원장'!A284="","",'당기원장'!E284)</x:f>
      </x:c>
      <x:c r="G1284" s="75" t="str">
        <x:f>IF('당기원장'!A284="","",'당기원장'!H284)</x:f>
      </x:c>
      <x:c r="H1284" s="73" t="str">
        <x:f>IF('당기원장'!A284="","",'당기원장'!I284)</x:f>
      </x:c>
      <x:c r="I1284" s="73" t="str">
        <x:f>IF('당기원장'!A284="","",'당기원장'!J284)</x:f>
      </x:c>
      <x:c r="J1284" s="73" t="str">
        <x:f>IF('당기원장'!A284="","",'당기원장'!K284)</x:f>
      </x:c>
      <x:c r="K1284" s="73" t="str">
        <x:f>IF(B1284="","",IF(COUNTIF($B$5:B1284,B1284)=1,COUNT($K$4:K1283)+1,""))</x:f>
      </x:c>
      <x:c r="L1284" s="85" t="str">
        <x:f>IF(B1284="","",IF(COUNTIFS('계정비교'!$A$5:$A$1004,B1284,'계정비교'!$H$5:$H$1004,"원인분석 대상")&gt;0,COUNT($L$4:L1283)+1,""))</x:f>
      </x:c>
    </x:row>
    <x:row r="1285">
      <x:c r="A1285" s="73" t="str">
        <x:f>IF('당기원장'!A285="","","당기")</x:f>
      </x:c>
      <x:c r="B1285" s="73" t="str">
        <x:f>IF('당기원장'!A285="","",'당기원장'!A285)</x:f>
      </x:c>
      <x:c r="C1285" s="73" t="str">
        <x:f>IF('당기원장'!A285="","",'당기원장'!B285)</x:f>
      </x:c>
      <x:c r="D1285" s="74" t="str">
        <x:f>IF('당기원장'!A285="","",'당기원장'!C285)</x:f>
      </x:c>
      <x:c r="E1285" s="73" t="str">
        <x:f>IF('당기원장'!A285="","",'당기원장'!D285)</x:f>
      </x:c>
      <x:c r="F1285" s="73" t="str">
        <x:f>IF('당기원장'!A285="","",'당기원장'!E285)</x:f>
      </x:c>
      <x:c r="G1285" s="75" t="str">
        <x:f>IF('당기원장'!A285="","",'당기원장'!H285)</x:f>
      </x:c>
      <x:c r="H1285" s="73" t="str">
        <x:f>IF('당기원장'!A285="","",'당기원장'!I285)</x:f>
      </x:c>
      <x:c r="I1285" s="73" t="str">
        <x:f>IF('당기원장'!A285="","",'당기원장'!J285)</x:f>
      </x:c>
      <x:c r="J1285" s="73" t="str">
        <x:f>IF('당기원장'!A285="","",'당기원장'!K285)</x:f>
      </x:c>
      <x:c r="K1285" s="73" t="str">
        <x:f>IF(B1285="","",IF(COUNTIF($B$5:B1285,B1285)=1,COUNT($K$4:K1284)+1,""))</x:f>
      </x:c>
      <x:c r="L1285" s="85" t="str">
        <x:f>IF(B1285="","",IF(COUNTIFS('계정비교'!$A$5:$A$1004,B1285,'계정비교'!$H$5:$H$1004,"원인분석 대상")&gt;0,COUNT($L$4:L1284)+1,""))</x:f>
      </x:c>
    </x:row>
    <x:row r="1286">
      <x:c r="A1286" s="73" t="str">
        <x:f>IF('당기원장'!A286="","","당기")</x:f>
      </x:c>
      <x:c r="B1286" s="73" t="str">
        <x:f>IF('당기원장'!A286="","",'당기원장'!A286)</x:f>
      </x:c>
      <x:c r="C1286" s="73" t="str">
        <x:f>IF('당기원장'!A286="","",'당기원장'!B286)</x:f>
      </x:c>
      <x:c r="D1286" s="74" t="str">
        <x:f>IF('당기원장'!A286="","",'당기원장'!C286)</x:f>
      </x:c>
      <x:c r="E1286" s="73" t="str">
        <x:f>IF('당기원장'!A286="","",'당기원장'!D286)</x:f>
      </x:c>
      <x:c r="F1286" s="73" t="str">
        <x:f>IF('당기원장'!A286="","",'당기원장'!E286)</x:f>
      </x:c>
      <x:c r="G1286" s="75" t="str">
        <x:f>IF('당기원장'!A286="","",'당기원장'!H286)</x:f>
      </x:c>
      <x:c r="H1286" s="73" t="str">
        <x:f>IF('당기원장'!A286="","",'당기원장'!I286)</x:f>
      </x:c>
      <x:c r="I1286" s="73" t="str">
        <x:f>IF('당기원장'!A286="","",'당기원장'!J286)</x:f>
      </x:c>
      <x:c r="J1286" s="73" t="str">
        <x:f>IF('당기원장'!A286="","",'당기원장'!K286)</x:f>
      </x:c>
      <x:c r="K1286" s="73" t="str">
        <x:f>IF(B1286="","",IF(COUNTIF($B$5:B1286,B1286)=1,COUNT($K$4:K1285)+1,""))</x:f>
      </x:c>
      <x:c r="L1286" s="85" t="str">
        <x:f>IF(B1286="","",IF(COUNTIFS('계정비교'!$A$5:$A$1004,B1286,'계정비교'!$H$5:$H$1004,"원인분석 대상")&gt;0,COUNT($L$4:L1285)+1,""))</x:f>
      </x:c>
    </x:row>
    <x:row r="1287">
      <x:c r="A1287" s="73" t="str">
        <x:f>IF('당기원장'!A287="","","당기")</x:f>
      </x:c>
      <x:c r="B1287" s="73" t="str">
        <x:f>IF('당기원장'!A287="","",'당기원장'!A287)</x:f>
      </x:c>
      <x:c r="C1287" s="73" t="str">
        <x:f>IF('당기원장'!A287="","",'당기원장'!B287)</x:f>
      </x:c>
      <x:c r="D1287" s="74" t="str">
        <x:f>IF('당기원장'!A287="","",'당기원장'!C287)</x:f>
      </x:c>
      <x:c r="E1287" s="73" t="str">
        <x:f>IF('당기원장'!A287="","",'당기원장'!D287)</x:f>
      </x:c>
      <x:c r="F1287" s="73" t="str">
        <x:f>IF('당기원장'!A287="","",'당기원장'!E287)</x:f>
      </x:c>
      <x:c r="G1287" s="75" t="str">
        <x:f>IF('당기원장'!A287="","",'당기원장'!H287)</x:f>
      </x:c>
      <x:c r="H1287" s="73" t="str">
        <x:f>IF('당기원장'!A287="","",'당기원장'!I287)</x:f>
      </x:c>
      <x:c r="I1287" s="73" t="str">
        <x:f>IF('당기원장'!A287="","",'당기원장'!J287)</x:f>
      </x:c>
      <x:c r="J1287" s="73" t="str">
        <x:f>IF('당기원장'!A287="","",'당기원장'!K287)</x:f>
      </x:c>
      <x:c r="K1287" s="73" t="str">
        <x:f>IF(B1287="","",IF(COUNTIF($B$5:B1287,B1287)=1,COUNT($K$4:K1286)+1,""))</x:f>
      </x:c>
      <x:c r="L1287" s="85" t="str">
        <x:f>IF(B1287="","",IF(COUNTIFS('계정비교'!$A$5:$A$1004,B1287,'계정비교'!$H$5:$H$1004,"원인분석 대상")&gt;0,COUNT($L$4:L1286)+1,""))</x:f>
      </x:c>
    </x:row>
    <x:row r="1288">
      <x:c r="A1288" s="73" t="str">
        <x:f>IF('당기원장'!A288="","","당기")</x:f>
      </x:c>
      <x:c r="B1288" s="73" t="str">
        <x:f>IF('당기원장'!A288="","",'당기원장'!A288)</x:f>
      </x:c>
      <x:c r="C1288" s="73" t="str">
        <x:f>IF('당기원장'!A288="","",'당기원장'!B288)</x:f>
      </x:c>
      <x:c r="D1288" s="74" t="str">
        <x:f>IF('당기원장'!A288="","",'당기원장'!C288)</x:f>
      </x:c>
      <x:c r="E1288" s="73" t="str">
        <x:f>IF('당기원장'!A288="","",'당기원장'!D288)</x:f>
      </x:c>
      <x:c r="F1288" s="73" t="str">
        <x:f>IF('당기원장'!A288="","",'당기원장'!E288)</x:f>
      </x:c>
      <x:c r="G1288" s="75" t="str">
        <x:f>IF('당기원장'!A288="","",'당기원장'!H288)</x:f>
      </x:c>
      <x:c r="H1288" s="73" t="str">
        <x:f>IF('당기원장'!A288="","",'당기원장'!I288)</x:f>
      </x:c>
      <x:c r="I1288" s="73" t="str">
        <x:f>IF('당기원장'!A288="","",'당기원장'!J288)</x:f>
      </x:c>
      <x:c r="J1288" s="73" t="str">
        <x:f>IF('당기원장'!A288="","",'당기원장'!K288)</x:f>
      </x:c>
      <x:c r="K1288" s="73" t="str">
        <x:f>IF(B1288="","",IF(COUNTIF($B$5:B1288,B1288)=1,COUNT($K$4:K1287)+1,""))</x:f>
      </x:c>
      <x:c r="L1288" s="85" t="str">
        <x:f>IF(B1288="","",IF(COUNTIFS('계정비교'!$A$5:$A$1004,B1288,'계정비교'!$H$5:$H$1004,"원인분석 대상")&gt;0,COUNT($L$4:L1287)+1,""))</x:f>
      </x:c>
    </x:row>
    <x:row r="1289">
      <x:c r="A1289" s="73" t="str">
        <x:f>IF('당기원장'!A289="","","당기")</x:f>
      </x:c>
      <x:c r="B1289" s="73" t="str">
        <x:f>IF('당기원장'!A289="","",'당기원장'!A289)</x:f>
      </x:c>
      <x:c r="C1289" s="73" t="str">
        <x:f>IF('당기원장'!A289="","",'당기원장'!B289)</x:f>
      </x:c>
      <x:c r="D1289" s="74" t="str">
        <x:f>IF('당기원장'!A289="","",'당기원장'!C289)</x:f>
      </x:c>
      <x:c r="E1289" s="73" t="str">
        <x:f>IF('당기원장'!A289="","",'당기원장'!D289)</x:f>
      </x:c>
      <x:c r="F1289" s="73" t="str">
        <x:f>IF('당기원장'!A289="","",'당기원장'!E289)</x:f>
      </x:c>
      <x:c r="G1289" s="75" t="str">
        <x:f>IF('당기원장'!A289="","",'당기원장'!H289)</x:f>
      </x:c>
      <x:c r="H1289" s="73" t="str">
        <x:f>IF('당기원장'!A289="","",'당기원장'!I289)</x:f>
      </x:c>
      <x:c r="I1289" s="73" t="str">
        <x:f>IF('당기원장'!A289="","",'당기원장'!J289)</x:f>
      </x:c>
      <x:c r="J1289" s="73" t="str">
        <x:f>IF('당기원장'!A289="","",'당기원장'!K289)</x:f>
      </x:c>
      <x:c r="K1289" s="73" t="str">
        <x:f>IF(B1289="","",IF(COUNTIF($B$5:B1289,B1289)=1,COUNT($K$4:K1288)+1,""))</x:f>
      </x:c>
      <x:c r="L1289" s="85" t="str">
        <x:f>IF(B1289="","",IF(COUNTIFS('계정비교'!$A$5:$A$1004,B1289,'계정비교'!$H$5:$H$1004,"원인분석 대상")&gt;0,COUNT($L$4:L1288)+1,""))</x:f>
      </x:c>
    </x:row>
    <x:row r="1290">
      <x:c r="A1290" s="73" t="str">
        <x:f>IF('당기원장'!A290="","","당기")</x:f>
      </x:c>
      <x:c r="B1290" s="73" t="str">
        <x:f>IF('당기원장'!A290="","",'당기원장'!A290)</x:f>
      </x:c>
      <x:c r="C1290" s="73" t="str">
        <x:f>IF('당기원장'!A290="","",'당기원장'!B290)</x:f>
      </x:c>
      <x:c r="D1290" s="74" t="str">
        <x:f>IF('당기원장'!A290="","",'당기원장'!C290)</x:f>
      </x:c>
      <x:c r="E1290" s="73" t="str">
        <x:f>IF('당기원장'!A290="","",'당기원장'!D290)</x:f>
      </x:c>
      <x:c r="F1290" s="73" t="str">
        <x:f>IF('당기원장'!A290="","",'당기원장'!E290)</x:f>
      </x:c>
      <x:c r="G1290" s="75" t="str">
        <x:f>IF('당기원장'!A290="","",'당기원장'!H290)</x:f>
      </x:c>
      <x:c r="H1290" s="73" t="str">
        <x:f>IF('당기원장'!A290="","",'당기원장'!I290)</x:f>
      </x:c>
      <x:c r="I1290" s="73" t="str">
        <x:f>IF('당기원장'!A290="","",'당기원장'!J290)</x:f>
      </x:c>
      <x:c r="J1290" s="73" t="str">
        <x:f>IF('당기원장'!A290="","",'당기원장'!K290)</x:f>
      </x:c>
      <x:c r="K1290" s="73" t="str">
        <x:f>IF(B1290="","",IF(COUNTIF($B$5:B1290,B1290)=1,COUNT($K$4:K1289)+1,""))</x:f>
      </x:c>
      <x:c r="L1290" s="85" t="str">
        <x:f>IF(B1290="","",IF(COUNTIFS('계정비교'!$A$5:$A$1004,B1290,'계정비교'!$H$5:$H$1004,"원인분석 대상")&gt;0,COUNT($L$4:L1289)+1,""))</x:f>
      </x:c>
    </x:row>
    <x:row r="1291">
      <x:c r="A1291" s="73" t="str">
        <x:f>IF('당기원장'!A291="","","당기")</x:f>
      </x:c>
      <x:c r="B1291" s="73" t="str">
        <x:f>IF('당기원장'!A291="","",'당기원장'!A291)</x:f>
      </x:c>
      <x:c r="C1291" s="73" t="str">
        <x:f>IF('당기원장'!A291="","",'당기원장'!B291)</x:f>
      </x:c>
      <x:c r="D1291" s="74" t="str">
        <x:f>IF('당기원장'!A291="","",'당기원장'!C291)</x:f>
      </x:c>
      <x:c r="E1291" s="73" t="str">
        <x:f>IF('당기원장'!A291="","",'당기원장'!D291)</x:f>
      </x:c>
      <x:c r="F1291" s="73" t="str">
        <x:f>IF('당기원장'!A291="","",'당기원장'!E291)</x:f>
      </x:c>
      <x:c r="G1291" s="75" t="str">
        <x:f>IF('당기원장'!A291="","",'당기원장'!H291)</x:f>
      </x:c>
      <x:c r="H1291" s="73" t="str">
        <x:f>IF('당기원장'!A291="","",'당기원장'!I291)</x:f>
      </x:c>
      <x:c r="I1291" s="73" t="str">
        <x:f>IF('당기원장'!A291="","",'당기원장'!J291)</x:f>
      </x:c>
      <x:c r="J1291" s="73" t="str">
        <x:f>IF('당기원장'!A291="","",'당기원장'!K291)</x:f>
      </x:c>
      <x:c r="K1291" s="73" t="str">
        <x:f>IF(B1291="","",IF(COUNTIF($B$5:B1291,B1291)=1,COUNT($K$4:K1290)+1,""))</x:f>
      </x:c>
      <x:c r="L1291" s="85" t="str">
        <x:f>IF(B1291="","",IF(COUNTIFS('계정비교'!$A$5:$A$1004,B1291,'계정비교'!$H$5:$H$1004,"원인분석 대상")&gt;0,COUNT($L$4:L1290)+1,""))</x:f>
      </x:c>
    </x:row>
    <x:row r="1292">
      <x:c r="A1292" s="73" t="str">
        <x:f>IF('당기원장'!A292="","","당기")</x:f>
      </x:c>
      <x:c r="B1292" s="73" t="str">
        <x:f>IF('당기원장'!A292="","",'당기원장'!A292)</x:f>
      </x:c>
      <x:c r="C1292" s="73" t="str">
        <x:f>IF('당기원장'!A292="","",'당기원장'!B292)</x:f>
      </x:c>
      <x:c r="D1292" s="74" t="str">
        <x:f>IF('당기원장'!A292="","",'당기원장'!C292)</x:f>
      </x:c>
      <x:c r="E1292" s="73" t="str">
        <x:f>IF('당기원장'!A292="","",'당기원장'!D292)</x:f>
      </x:c>
      <x:c r="F1292" s="73" t="str">
        <x:f>IF('당기원장'!A292="","",'당기원장'!E292)</x:f>
      </x:c>
      <x:c r="G1292" s="75" t="str">
        <x:f>IF('당기원장'!A292="","",'당기원장'!H292)</x:f>
      </x:c>
      <x:c r="H1292" s="73" t="str">
        <x:f>IF('당기원장'!A292="","",'당기원장'!I292)</x:f>
      </x:c>
      <x:c r="I1292" s="73" t="str">
        <x:f>IF('당기원장'!A292="","",'당기원장'!J292)</x:f>
      </x:c>
      <x:c r="J1292" s="73" t="str">
        <x:f>IF('당기원장'!A292="","",'당기원장'!K292)</x:f>
      </x:c>
      <x:c r="K1292" s="73" t="str">
        <x:f>IF(B1292="","",IF(COUNTIF($B$5:B1292,B1292)=1,COUNT($K$4:K1291)+1,""))</x:f>
      </x:c>
      <x:c r="L1292" s="85" t="str">
        <x:f>IF(B1292="","",IF(COUNTIFS('계정비교'!$A$5:$A$1004,B1292,'계정비교'!$H$5:$H$1004,"원인분석 대상")&gt;0,COUNT($L$4:L1291)+1,""))</x:f>
      </x:c>
    </x:row>
    <x:row r="1293">
      <x:c r="A1293" s="73" t="str">
        <x:f>IF('당기원장'!A293="","","당기")</x:f>
      </x:c>
      <x:c r="B1293" s="73" t="str">
        <x:f>IF('당기원장'!A293="","",'당기원장'!A293)</x:f>
      </x:c>
      <x:c r="C1293" s="73" t="str">
        <x:f>IF('당기원장'!A293="","",'당기원장'!B293)</x:f>
      </x:c>
      <x:c r="D1293" s="74" t="str">
        <x:f>IF('당기원장'!A293="","",'당기원장'!C293)</x:f>
      </x:c>
      <x:c r="E1293" s="73" t="str">
        <x:f>IF('당기원장'!A293="","",'당기원장'!D293)</x:f>
      </x:c>
      <x:c r="F1293" s="73" t="str">
        <x:f>IF('당기원장'!A293="","",'당기원장'!E293)</x:f>
      </x:c>
      <x:c r="G1293" s="75" t="str">
        <x:f>IF('당기원장'!A293="","",'당기원장'!H293)</x:f>
      </x:c>
      <x:c r="H1293" s="73" t="str">
        <x:f>IF('당기원장'!A293="","",'당기원장'!I293)</x:f>
      </x:c>
      <x:c r="I1293" s="73" t="str">
        <x:f>IF('당기원장'!A293="","",'당기원장'!J293)</x:f>
      </x:c>
      <x:c r="J1293" s="73" t="str">
        <x:f>IF('당기원장'!A293="","",'당기원장'!K293)</x:f>
      </x:c>
      <x:c r="K1293" s="73" t="str">
        <x:f>IF(B1293="","",IF(COUNTIF($B$5:B1293,B1293)=1,COUNT($K$4:K1292)+1,""))</x:f>
      </x:c>
      <x:c r="L1293" s="85" t="str">
        <x:f>IF(B1293="","",IF(COUNTIFS('계정비교'!$A$5:$A$1004,B1293,'계정비교'!$H$5:$H$1004,"원인분석 대상")&gt;0,COUNT($L$4:L1292)+1,""))</x:f>
      </x:c>
    </x:row>
    <x:row r="1294">
      <x:c r="A1294" s="73" t="str">
        <x:f>IF('당기원장'!A294="","","당기")</x:f>
      </x:c>
      <x:c r="B1294" s="73" t="str">
        <x:f>IF('당기원장'!A294="","",'당기원장'!A294)</x:f>
      </x:c>
      <x:c r="C1294" s="73" t="str">
        <x:f>IF('당기원장'!A294="","",'당기원장'!B294)</x:f>
      </x:c>
      <x:c r="D1294" s="74" t="str">
        <x:f>IF('당기원장'!A294="","",'당기원장'!C294)</x:f>
      </x:c>
      <x:c r="E1294" s="73" t="str">
        <x:f>IF('당기원장'!A294="","",'당기원장'!D294)</x:f>
      </x:c>
      <x:c r="F1294" s="73" t="str">
        <x:f>IF('당기원장'!A294="","",'당기원장'!E294)</x:f>
      </x:c>
      <x:c r="G1294" s="75" t="str">
        <x:f>IF('당기원장'!A294="","",'당기원장'!H294)</x:f>
      </x:c>
      <x:c r="H1294" s="73" t="str">
        <x:f>IF('당기원장'!A294="","",'당기원장'!I294)</x:f>
      </x:c>
      <x:c r="I1294" s="73" t="str">
        <x:f>IF('당기원장'!A294="","",'당기원장'!J294)</x:f>
      </x:c>
      <x:c r="J1294" s="73" t="str">
        <x:f>IF('당기원장'!A294="","",'당기원장'!K294)</x:f>
      </x:c>
      <x:c r="K1294" s="73" t="str">
        <x:f>IF(B1294="","",IF(COUNTIF($B$5:B1294,B1294)=1,COUNT($K$4:K1293)+1,""))</x:f>
      </x:c>
      <x:c r="L1294" s="85" t="str">
        <x:f>IF(B1294="","",IF(COUNTIFS('계정비교'!$A$5:$A$1004,B1294,'계정비교'!$H$5:$H$1004,"원인분석 대상")&gt;0,COUNT($L$4:L1293)+1,""))</x:f>
      </x:c>
    </x:row>
    <x:row r="1295">
      <x:c r="A1295" s="73" t="str">
        <x:f>IF('당기원장'!A295="","","당기")</x:f>
      </x:c>
      <x:c r="B1295" s="73" t="str">
        <x:f>IF('당기원장'!A295="","",'당기원장'!A295)</x:f>
      </x:c>
      <x:c r="C1295" s="73" t="str">
        <x:f>IF('당기원장'!A295="","",'당기원장'!B295)</x:f>
      </x:c>
      <x:c r="D1295" s="74" t="str">
        <x:f>IF('당기원장'!A295="","",'당기원장'!C295)</x:f>
      </x:c>
      <x:c r="E1295" s="73" t="str">
        <x:f>IF('당기원장'!A295="","",'당기원장'!D295)</x:f>
      </x:c>
      <x:c r="F1295" s="73" t="str">
        <x:f>IF('당기원장'!A295="","",'당기원장'!E295)</x:f>
      </x:c>
      <x:c r="G1295" s="75" t="str">
        <x:f>IF('당기원장'!A295="","",'당기원장'!H295)</x:f>
      </x:c>
      <x:c r="H1295" s="73" t="str">
        <x:f>IF('당기원장'!A295="","",'당기원장'!I295)</x:f>
      </x:c>
      <x:c r="I1295" s="73" t="str">
        <x:f>IF('당기원장'!A295="","",'당기원장'!J295)</x:f>
      </x:c>
      <x:c r="J1295" s="73" t="str">
        <x:f>IF('당기원장'!A295="","",'당기원장'!K295)</x:f>
      </x:c>
      <x:c r="K1295" s="73" t="str">
        <x:f>IF(B1295="","",IF(COUNTIF($B$5:B1295,B1295)=1,COUNT($K$4:K1294)+1,""))</x:f>
      </x:c>
      <x:c r="L1295" s="85" t="str">
        <x:f>IF(B1295="","",IF(COUNTIFS('계정비교'!$A$5:$A$1004,B1295,'계정비교'!$H$5:$H$1004,"원인분석 대상")&gt;0,COUNT($L$4:L1294)+1,""))</x:f>
      </x:c>
    </x:row>
    <x:row r="1296">
      <x:c r="A1296" s="73" t="str">
        <x:f>IF('당기원장'!A296="","","당기")</x:f>
      </x:c>
      <x:c r="B1296" s="73" t="str">
        <x:f>IF('당기원장'!A296="","",'당기원장'!A296)</x:f>
      </x:c>
      <x:c r="C1296" s="73" t="str">
        <x:f>IF('당기원장'!A296="","",'당기원장'!B296)</x:f>
      </x:c>
      <x:c r="D1296" s="74" t="str">
        <x:f>IF('당기원장'!A296="","",'당기원장'!C296)</x:f>
      </x:c>
      <x:c r="E1296" s="73" t="str">
        <x:f>IF('당기원장'!A296="","",'당기원장'!D296)</x:f>
      </x:c>
      <x:c r="F1296" s="73" t="str">
        <x:f>IF('당기원장'!A296="","",'당기원장'!E296)</x:f>
      </x:c>
      <x:c r="G1296" s="75" t="str">
        <x:f>IF('당기원장'!A296="","",'당기원장'!H296)</x:f>
      </x:c>
      <x:c r="H1296" s="73" t="str">
        <x:f>IF('당기원장'!A296="","",'당기원장'!I296)</x:f>
      </x:c>
      <x:c r="I1296" s="73" t="str">
        <x:f>IF('당기원장'!A296="","",'당기원장'!J296)</x:f>
      </x:c>
      <x:c r="J1296" s="73" t="str">
        <x:f>IF('당기원장'!A296="","",'당기원장'!K296)</x:f>
      </x:c>
      <x:c r="K1296" s="73" t="str">
        <x:f>IF(B1296="","",IF(COUNTIF($B$5:B1296,B1296)=1,COUNT($K$4:K1295)+1,""))</x:f>
      </x:c>
      <x:c r="L1296" s="85" t="str">
        <x:f>IF(B1296="","",IF(COUNTIFS('계정비교'!$A$5:$A$1004,B1296,'계정비교'!$H$5:$H$1004,"원인분석 대상")&gt;0,COUNT($L$4:L1295)+1,""))</x:f>
      </x:c>
    </x:row>
    <x:row r="1297">
      <x:c r="A1297" s="73" t="str">
        <x:f>IF('당기원장'!A297="","","당기")</x:f>
      </x:c>
      <x:c r="B1297" s="73" t="str">
        <x:f>IF('당기원장'!A297="","",'당기원장'!A297)</x:f>
      </x:c>
      <x:c r="C1297" s="73" t="str">
        <x:f>IF('당기원장'!A297="","",'당기원장'!B297)</x:f>
      </x:c>
      <x:c r="D1297" s="74" t="str">
        <x:f>IF('당기원장'!A297="","",'당기원장'!C297)</x:f>
      </x:c>
      <x:c r="E1297" s="73" t="str">
        <x:f>IF('당기원장'!A297="","",'당기원장'!D297)</x:f>
      </x:c>
      <x:c r="F1297" s="73" t="str">
        <x:f>IF('당기원장'!A297="","",'당기원장'!E297)</x:f>
      </x:c>
      <x:c r="G1297" s="75" t="str">
        <x:f>IF('당기원장'!A297="","",'당기원장'!H297)</x:f>
      </x:c>
      <x:c r="H1297" s="73" t="str">
        <x:f>IF('당기원장'!A297="","",'당기원장'!I297)</x:f>
      </x:c>
      <x:c r="I1297" s="73" t="str">
        <x:f>IF('당기원장'!A297="","",'당기원장'!J297)</x:f>
      </x:c>
      <x:c r="J1297" s="73" t="str">
        <x:f>IF('당기원장'!A297="","",'당기원장'!K297)</x:f>
      </x:c>
      <x:c r="K1297" s="73" t="str">
        <x:f>IF(B1297="","",IF(COUNTIF($B$5:B1297,B1297)=1,COUNT($K$4:K1296)+1,""))</x:f>
      </x:c>
      <x:c r="L1297" s="85" t="str">
        <x:f>IF(B1297="","",IF(COUNTIFS('계정비교'!$A$5:$A$1004,B1297,'계정비교'!$H$5:$H$1004,"원인분석 대상")&gt;0,COUNT($L$4:L1296)+1,""))</x:f>
      </x:c>
    </x:row>
    <x:row r="1298">
      <x:c r="A1298" s="73" t="str">
        <x:f>IF('당기원장'!A298="","","당기")</x:f>
      </x:c>
      <x:c r="B1298" s="73" t="str">
        <x:f>IF('당기원장'!A298="","",'당기원장'!A298)</x:f>
      </x:c>
      <x:c r="C1298" s="73" t="str">
        <x:f>IF('당기원장'!A298="","",'당기원장'!B298)</x:f>
      </x:c>
      <x:c r="D1298" s="74" t="str">
        <x:f>IF('당기원장'!A298="","",'당기원장'!C298)</x:f>
      </x:c>
      <x:c r="E1298" s="73" t="str">
        <x:f>IF('당기원장'!A298="","",'당기원장'!D298)</x:f>
      </x:c>
      <x:c r="F1298" s="73" t="str">
        <x:f>IF('당기원장'!A298="","",'당기원장'!E298)</x:f>
      </x:c>
      <x:c r="G1298" s="75" t="str">
        <x:f>IF('당기원장'!A298="","",'당기원장'!H298)</x:f>
      </x:c>
      <x:c r="H1298" s="73" t="str">
        <x:f>IF('당기원장'!A298="","",'당기원장'!I298)</x:f>
      </x:c>
      <x:c r="I1298" s="73" t="str">
        <x:f>IF('당기원장'!A298="","",'당기원장'!J298)</x:f>
      </x:c>
      <x:c r="J1298" s="73" t="str">
        <x:f>IF('당기원장'!A298="","",'당기원장'!K298)</x:f>
      </x:c>
      <x:c r="K1298" s="73" t="str">
        <x:f>IF(B1298="","",IF(COUNTIF($B$5:B1298,B1298)=1,COUNT($K$4:K1297)+1,""))</x:f>
      </x:c>
      <x:c r="L1298" s="85" t="str">
        <x:f>IF(B1298="","",IF(COUNTIFS('계정비교'!$A$5:$A$1004,B1298,'계정비교'!$H$5:$H$1004,"원인분석 대상")&gt;0,COUNT($L$4:L1297)+1,""))</x:f>
      </x:c>
    </x:row>
    <x:row r="1299">
      <x:c r="A1299" s="73" t="str">
        <x:f>IF('당기원장'!A299="","","당기")</x:f>
      </x:c>
      <x:c r="B1299" s="73" t="str">
        <x:f>IF('당기원장'!A299="","",'당기원장'!A299)</x:f>
      </x:c>
      <x:c r="C1299" s="73" t="str">
        <x:f>IF('당기원장'!A299="","",'당기원장'!B299)</x:f>
      </x:c>
      <x:c r="D1299" s="74" t="str">
        <x:f>IF('당기원장'!A299="","",'당기원장'!C299)</x:f>
      </x:c>
      <x:c r="E1299" s="73" t="str">
        <x:f>IF('당기원장'!A299="","",'당기원장'!D299)</x:f>
      </x:c>
      <x:c r="F1299" s="73" t="str">
        <x:f>IF('당기원장'!A299="","",'당기원장'!E299)</x:f>
      </x:c>
      <x:c r="G1299" s="75" t="str">
        <x:f>IF('당기원장'!A299="","",'당기원장'!H299)</x:f>
      </x:c>
      <x:c r="H1299" s="73" t="str">
        <x:f>IF('당기원장'!A299="","",'당기원장'!I299)</x:f>
      </x:c>
      <x:c r="I1299" s="73" t="str">
        <x:f>IF('당기원장'!A299="","",'당기원장'!J299)</x:f>
      </x:c>
      <x:c r="J1299" s="73" t="str">
        <x:f>IF('당기원장'!A299="","",'당기원장'!K299)</x:f>
      </x:c>
      <x:c r="K1299" s="73" t="str">
        <x:f>IF(B1299="","",IF(COUNTIF($B$5:B1299,B1299)=1,COUNT($K$4:K1298)+1,""))</x:f>
      </x:c>
      <x:c r="L1299" s="85" t="str">
        <x:f>IF(B1299="","",IF(COUNTIFS('계정비교'!$A$5:$A$1004,B1299,'계정비교'!$H$5:$H$1004,"원인분석 대상")&gt;0,COUNT($L$4:L1298)+1,""))</x:f>
      </x:c>
    </x:row>
    <x:row r="1300">
      <x:c r="A1300" s="73" t="str">
        <x:f>IF('당기원장'!A300="","","당기")</x:f>
      </x:c>
      <x:c r="B1300" s="73" t="str">
        <x:f>IF('당기원장'!A300="","",'당기원장'!A300)</x:f>
      </x:c>
      <x:c r="C1300" s="73" t="str">
        <x:f>IF('당기원장'!A300="","",'당기원장'!B300)</x:f>
      </x:c>
      <x:c r="D1300" s="74" t="str">
        <x:f>IF('당기원장'!A300="","",'당기원장'!C300)</x:f>
      </x:c>
      <x:c r="E1300" s="73" t="str">
        <x:f>IF('당기원장'!A300="","",'당기원장'!D300)</x:f>
      </x:c>
      <x:c r="F1300" s="73" t="str">
        <x:f>IF('당기원장'!A300="","",'당기원장'!E300)</x:f>
      </x:c>
      <x:c r="G1300" s="75" t="str">
        <x:f>IF('당기원장'!A300="","",'당기원장'!H300)</x:f>
      </x:c>
      <x:c r="H1300" s="73" t="str">
        <x:f>IF('당기원장'!A300="","",'당기원장'!I300)</x:f>
      </x:c>
      <x:c r="I1300" s="73" t="str">
        <x:f>IF('당기원장'!A300="","",'당기원장'!J300)</x:f>
      </x:c>
      <x:c r="J1300" s="73" t="str">
        <x:f>IF('당기원장'!A300="","",'당기원장'!K300)</x:f>
      </x:c>
      <x:c r="K1300" s="73" t="str">
        <x:f>IF(B1300="","",IF(COUNTIF($B$5:B1300,B1300)=1,COUNT($K$4:K1299)+1,""))</x:f>
      </x:c>
      <x:c r="L1300" s="85" t="str">
        <x:f>IF(B1300="","",IF(COUNTIFS('계정비교'!$A$5:$A$1004,B1300,'계정비교'!$H$5:$H$1004,"원인분석 대상")&gt;0,COUNT($L$4:L1299)+1,""))</x:f>
      </x:c>
    </x:row>
    <x:row r="1301">
      <x:c r="A1301" s="73" t="str">
        <x:f>IF('당기원장'!A301="","","당기")</x:f>
      </x:c>
      <x:c r="B1301" s="73" t="str">
        <x:f>IF('당기원장'!A301="","",'당기원장'!A301)</x:f>
      </x:c>
      <x:c r="C1301" s="73" t="str">
        <x:f>IF('당기원장'!A301="","",'당기원장'!B301)</x:f>
      </x:c>
      <x:c r="D1301" s="74" t="str">
        <x:f>IF('당기원장'!A301="","",'당기원장'!C301)</x:f>
      </x:c>
      <x:c r="E1301" s="73" t="str">
        <x:f>IF('당기원장'!A301="","",'당기원장'!D301)</x:f>
      </x:c>
      <x:c r="F1301" s="73" t="str">
        <x:f>IF('당기원장'!A301="","",'당기원장'!E301)</x:f>
      </x:c>
      <x:c r="G1301" s="75" t="str">
        <x:f>IF('당기원장'!A301="","",'당기원장'!H301)</x:f>
      </x:c>
      <x:c r="H1301" s="73" t="str">
        <x:f>IF('당기원장'!A301="","",'당기원장'!I301)</x:f>
      </x:c>
      <x:c r="I1301" s="73" t="str">
        <x:f>IF('당기원장'!A301="","",'당기원장'!J301)</x:f>
      </x:c>
      <x:c r="J1301" s="73" t="str">
        <x:f>IF('당기원장'!A301="","",'당기원장'!K301)</x:f>
      </x:c>
      <x:c r="K1301" s="73" t="str">
        <x:f>IF(B1301="","",IF(COUNTIF($B$5:B1301,B1301)=1,COUNT($K$4:K1300)+1,""))</x:f>
      </x:c>
      <x:c r="L1301" s="85" t="str">
        <x:f>IF(B1301="","",IF(COUNTIFS('계정비교'!$A$5:$A$1004,B1301,'계정비교'!$H$5:$H$1004,"원인분석 대상")&gt;0,COUNT($L$4:L1300)+1,""))</x:f>
      </x:c>
    </x:row>
    <x:row r="1302">
      <x:c r="A1302" s="73" t="str">
        <x:f>IF('당기원장'!A302="","","당기")</x:f>
      </x:c>
      <x:c r="B1302" s="73" t="str">
        <x:f>IF('당기원장'!A302="","",'당기원장'!A302)</x:f>
      </x:c>
      <x:c r="C1302" s="73" t="str">
        <x:f>IF('당기원장'!A302="","",'당기원장'!B302)</x:f>
      </x:c>
      <x:c r="D1302" s="74" t="str">
        <x:f>IF('당기원장'!A302="","",'당기원장'!C302)</x:f>
      </x:c>
      <x:c r="E1302" s="73" t="str">
        <x:f>IF('당기원장'!A302="","",'당기원장'!D302)</x:f>
      </x:c>
      <x:c r="F1302" s="73" t="str">
        <x:f>IF('당기원장'!A302="","",'당기원장'!E302)</x:f>
      </x:c>
      <x:c r="G1302" s="75" t="str">
        <x:f>IF('당기원장'!A302="","",'당기원장'!H302)</x:f>
      </x:c>
      <x:c r="H1302" s="73" t="str">
        <x:f>IF('당기원장'!A302="","",'당기원장'!I302)</x:f>
      </x:c>
      <x:c r="I1302" s="73" t="str">
        <x:f>IF('당기원장'!A302="","",'당기원장'!J302)</x:f>
      </x:c>
      <x:c r="J1302" s="73" t="str">
        <x:f>IF('당기원장'!A302="","",'당기원장'!K302)</x:f>
      </x:c>
      <x:c r="K1302" s="73" t="str">
        <x:f>IF(B1302="","",IF(COUNTIF($B$5:B1302,B1302)=1,COUNT($K$4:K1301)+1,""))</x:f>
      </x:c>
      <x:c r="L1302" s="85" t="str">
        <x:f>IF(B1302="","",IF(COUNTIFS('계정비교'!$A$5:$A$1004,B1302,'계정비교'!$H$5:$H$1004,"원인분석 대상")&gt;0,COUNT($L$4:L1301)+1,""))</x:f>
      </x:c>
    </x:row>
    <x:row r="1303">
      <x:c r="A1303" s="73" t="str">
        <x:f>IF('당기원장'!A303="","","당기")</x:f>
      </x:c>
      <x:c r="B1303" s="73" t="str">
        <x:f>IF('당기원장'!A303="","",'당기원장'!A303)</x:f>
      </x:c>
      <x:c r="C1303" s="73" t="str">
        <x:f>IF('당기원장'!A303="","",'당기원장'!B303)</x:f>
      </x:c>
      <x:c r="D1303" s="74" t="str">
        <x:f>IF('당기원장'!A303="","",'당기원장'!C303)</x:f>
      </x:c>
      <x:c r="E1303" s="73" t="str">
        <x:f>IF('당기원장'!A303="","",'당기원장'!D303)</x:f>
      </x:c>
      <x:c r="F1303" s="73" t="str">
        <x:f>IF('당기원장'!A303="","",'당기원장'!E303)</x:f>
      </x:c>
      <x:c r="G1303" s="75" t="str">
        <x:f>IF('당기원장'!A303="","",'당기원장'!H303)</x:f>
      </x:c>
      <x:c r="H1303" s="73" t="str">
        <x:f>IF('당기원장'!A303="","",'당기원장'!I303)</x:f>
      </x:c>
      <x:c r="I1303" s="73" t="str">
        <x:f>IF('당기원장'!A303="","",'당기원장'!J303)</x:f>
      </x:c>
      <x:c r="J1303" s="73" t="str">
        <x:f>IF('당기원장'!A303="","",'당기원장'!K303)</x:f>
      </x:c>
      <x:c r="K1303" s="73" t="str">
        <x:f>IF(B1303="","",IF(COUNTIF($B$5:B1303,B1303)=1,COUNT($K$4:K1302)+1,""))</x:f>
      </x:c>
      <x:c r="L1303" s="85" t="str">
        <x:f>IF(B1303="","",IF(COUNTIFS('계정비교'!$A$5:$A$1004,B1303,'계정비교'!$H$5:$H$1004,"원인분석 대상")&gt;0,COUNT($L$4:L1302)+1,""))</x:f>
      </x:c>
    </x:row>
    <x:row r="1304">
      <x:c r="A1304" s="73" t="str">
        <x:f>IF('당기원장'!A304="","","당기")</x:f>
      </x:c>
      <x:c r="B1304" s="73" t="str">
        <x:f>IF('당기원장'!A304="","",'당기원장'!A304)</x:f>
      </x:c>
      <x:c r="C1304" s="73" t="str">
        <x:f>IF('당기원장'!A304="","",'당기원장'!B304)</x:f>
      </x:c>
      <x:c r="D1304" s="74" t="str">
        <x:f>IF('당기원장'!A304="","",'당기원장'!C304)</x:f>
      </x:c>
      <x:c r="E1304" s="73" t="str">
        <x:f>IF('당기원장'!A304="","",'당기원장'!D304)</x:f>
      </x:c>
      <x:c r="F1304" s="73" t="str">
        <x:f>IF('당기원장'!A304="","",'당기원장'!E304)</x:f>
      </x:c>
      <x:c r="G1304" s="75" t="str">
        <x:f>IF('당기원장'!A304="","",'당기원장'!H304)</x:f>
      </x:c>
      <x:c r="H1304" s="73" t="str">
        <x:f>IF('당기원장'!A304="","",'당기원장'!I304)</x:f>
      </x:c>
      <x:c r="I1304" s="73" t="str">
        <x:f>IF('당기원장'!A304="","",'당기원장'!J304)</x:f>
      </x:c>
      <x:c r="J1304" s="73" t="str">
        <x:f>IF('당기원장'!A304="","",'당기원장'!K304)</x:f>
      </x:c>
      <x:c r="K1304" s="73" t="str">
        <x:f>IF(B1304="","",IF(COUNTIF($B$5:B1304,B1304)=1,COUNT($K$4:K1303)+1,""))</x:f>
      </x:c>
      <x:c r="L1304" s="85" t="str">
        <x:f>IF(B1304="","",IF(COUNTIFS('계정비교'!$A$5:$A$1004,B1304,'계정비교'!$H$5:$H$1004,"원인분석 대상")&gt;0,COUNT($L$4:L1303)+1,""))</x:f>
      </x:c>
    </x:row>
    <x:row r="1305">
      <x:c r="A1305" s="73" t="str">
        <x:f>IF('당기원장'!A305="","","당기")</x:f>
      </x:c>
      <x:c r="B1305" s="73" t="str">
        <x:f>IF('당기원장'!A305="","",'당기원장'!A305)</x:f>
      </x:c>
      <x:c r="C1305" s="73" t="str">
        <x:f>IF('당기원장'!A305="","",'당기원장'!B305)</x:f>
      </x:c>
      <x:c r="D1305" s="74" t="str">
        <x:f>IF('당기원장'!A305="","",'당기원장'!C305)</x:f>
      </x:c>
      <x:c r="E1305" s="73" t="str">
        <x:f>IF('당기원장'!A305="","",'당기원장'!D305)</x:f>
      </x:c>
      <x:c r="F1305" s="73" t="str">
        <x:f>IF('당기원장'!A305="","",'당기원장'!E305)</x:f>
      </x:c>
      <x:c r="G1305" s="75" t="str">
        <x:f>IF('당기원장'!A305="","",'당기원장'!H305)</x:f>
      </x:c>
      <x:c r="H1305" s="73" t="str">
        <x:f>IF('당기원장'!A305="","",'당기원장'!I305)</x:f>
      </x:c>
      <x:c r="I1305" s="73" t="str">
        <x:f>IF('당기원장'!A305="","",'당기원장'!J305)</x:f>
      </x:c>
      <x:c r="J1305" s="73" t="str">
        <x:f>IF('당기원장'!A305="","",'당기원장'!K305)</x:f>
      </x:c>
      <x:c r="K1305" s="73" t="str">
        <x:f>IF(B1305="","",IF(COUNTIF($B$5:B1305,B1305)=1,COUNT($K$4:K1304)+1,""))</x:f>
      </x:c>
      <x:c r="L1305" s="85" t="str">
        <x:f>IF(B1305="","",IF(COUNTIFS('계정비교'!$A$5:$A$1004,B1305,'계정비교'!$H$5:$H$1004,"원인분석 대상")&gt;0,COUNT($L$4:L1304)+1,""))</x:f>
      </x:c>
    </x:row>
    <x:row r="1306">
      <x:c r="A1306" s="73" t="str">
        <x:f>IF('당기원장'!A306="","","당기")</x:f>
      </x:c>
      <x:c r="B1306" s="73" t="str">
        <x:f>IF('당기원장'!A306="","",'당기원장'!A306)</x:f>
      </x:c>
      <x:c r="C1306" s="73" t="str">
        <x:f>IF('당기원장'!A306="","",'당기원장'!B306)</x:f>
      </x:c>
      <x:c r="D1306" s="74" t="str">
        <x:f>IF('당기원장'!A306="","",'당기원장'!C306)</x:f>
      </x:c>
      <x:c r="E1306" s="73" t="str">
        <x:f>IF('당기원장'!A306="","",'당기원장'!D306)</x:f>
      </x:c>
      <x:c r="F1306" s="73" t="str">
        <x:f>IF('당기원장'!A306="","",'당기원장'!E306)</x:f>
      </x:c>
      <x:c r="G1306" s="75" t="str">
        <x:f>IF('당기원장'!A306="","",'당기원장'!H306)</x:f>
      </x:c>
      <x:c r="H1306" s="73" t="str">
        <x:f>IF('당기원장'!A306="","",'당기원장'!I306)</x:f>
      </x:c>
      <x:c r="I1306" s="73" t="str">
        <x:f>IF('당기원장'!A306="","",'당기원장'!J306)</x:f>
      </x:c>
      <x:c r="J1306" s="73" t="str">
        <x:f>IF('당기원장'!A306="","",'당기원장'!K306)</x:f>
      </x:c>
      <x:c r="K1306" s="73" t="str">
        <x:f>IF(B1306="","",IF(COUNTIF($B$5:B1306,B1306)=1,COUNT($K$4:K1305)+1,""))</x:f>
      </x:c>
      <x:c r="L1306" s="85" t="str">
        <x:f>IF(B1306="","",IF(COUNTIFS('계정비교'!$A$5:$A$1004,B1306,'계정비교'!$H$5:$H$1004,"원인분석 대상")&gt;0,COUNT($L$4:L1305)+1,""))</x:f>
      </x:c>
    </x:row>
    <x:row r="1307">
      <x:c r="A1307" s="73" t="str">
        <x:f>IF('당기원장'!A307="","","당기")</x:f>
      </x:c>
      <x:c r="B1307" s="73" t="str">
        <x:f>IF('당기원장'!A307="","",'당기원장'!A307)</x:f>
      </x:c>
      <x:c r="C1307" s="73" t="str">
        <x:f>IF('당기원장'!A307="","",'당기원장'!B307)</x:f>
      </x:c>
      <x:c r="D1307" s="74" t="str">
        <x:f>IF('당기원장'!A307="","",'당기원장'!C307)</x:f>
      </x:c>
      <x:c r="E1307" s="73" t="str">
        <x:f>IF('당기원장'!A307="","",'당기원장'!D307)</x:f>
      </x:c>
      <x:c r="F1307" s="73" t="str">
        <x:f>IF('당기원장'!A307="","",'당기원장'!E307)</x:f>
      </x:c>
      <x:c r="G1307" s="75" t="str">
        <x:f>IF('당기원장'!A307="","",'당기원장'!H307)</x:f>
      </x:c>
      <x:c r="H1307" s="73" t="str">
        <x:f>IF('당기원장'!A307="","",'당기원장'!I307)</x:f>
      </x:c>
      <x:c r="I1307" s="73" t="str">
        <x:f>IF('당기원장'!A307="","",'당기원장'!J307)</x:f>
      </x:c>
      <x:c r="J1307" s="73" t="str">
        <x:f>IF('당기원장'!A307="","",'당기원장'!K307)</x:f>
      </x:c>
      <x:c r="K1307" s="73" t="str">
        <x:f>IF(B1307="","",IF(COUNTIF($B$5:B1307,B1307)=1,COUNT($K$4:K1306)+1,""))</x:f>
      </x:c>
      <x:c r="L1307" s="85" t="str">
        <x:f>IF(B1307="","",IF(COUNTIFS('계정비교'!$A$5:$A$1004,B1307,'계정비교'!$H$5:$H$1004,"원인분석 대상")&gt;0,COUNT($L$4:L1306)+1,""))</x:f>
      </x:c>
    </x:row>
    <x:row r="1308">
      <x:c r="A1308" s="73" t="str">
        <x:f>IF('당기원장'!A308="","","당기")</x:f>
      </x:c>
      <x:c r="B1308" s="73" t="str">
        <x:f>IF('당기원장'!A308="","",'당기원장'!A308)</x:f>
      </x:c>
      <x:c r="C1308" s="73" t="str">
        <x:f>IF('당기원장'!A308="","",'당기원장'!B308)</x:f>
      </x:c>
      <x:c r="D1308" s="74" t="str">
        <x:f>IF('당기원장'!A308="","",'당기원장'!C308)</x:f>
      </x:c>
      <x:c r="E1308" s="73" t="str">
        <x:f>IF('당기원장'!A308="","",'당기원장'!D308)</x:f>
      </x:c>
      <x:c r="F1308" s="73" t="str">
        <x:f>IF('당기원장'!A308="","",'당기원장'!E308)</x:f>
      </x:c>
      <x:c r="G1308" s="75" t="str">
        <x:f>IF('당기원장'!A308="","",'당기원장'!H308)</x:f>
      </x:c>
      <x:c r="H1308" s="73" t="str">
        <x:f>IF('당기원장'!A308="","",'당기원장'!I308)</x:f>
      </x:c>
      <x:c r="I1308" s="73" t="str">
        <x:f>IF('당기원장'!A308="","",'당기원장'!J308)</x:f>
      </x:c>
      <x:c r="J1308" s="73" t="str">
        <x:f>IF('당기원장'!A308="","",'당기원장'!K308)</x:f>
      </x:c>
      <x:c r="K1308" s="73" t="str">
        <x:f>IF(B1308="","",IF(COUNTIF($B$5:B1308,B1308)=1,COUNT($K$4:K1307)+1,""))</x:f>
      </x:c>
      <x:c r="L1308" s="85" t="str">
        <x:f>IF(B1308="","",IF(COUNTIFS('계정비교'!$A$5:$A$1004,B1308,'계정비교'!$H$5:$H$1004,"원인분석 대상")&gt;0,COUNT($L$4:L1307)+1,""))</x:f>
      </x:c>
    </x:row>
    <x:row r="1309">
      <x:c r="A1309" s="73" t="str">
        <x:f>IF('당기원장'!A309="","","당기")</x:f>
      </x:c>
      <x:c r="B1309" s="73" t="str">
        <x:f>IF('당기원장'!A309="","",'당기원장'!A309)</x:f>
      </x:c>
      <x:c r="C1309" s="73" t="str">
        <x:f>IF('당기원장'!A309="","",'당기원장'!B309)</x:f>
      </x:c>
      <x:c r="D1309" s="74" t="str">
        <x:f>IF('당기원장'!A309="","",'당기원장'!C309)</x:f>
      </x:c>
      <x:c r="E1309" s="73" t="str">
        <x:f>IF('당기원장'!A309="","",'당기원장'!D309)</x:f>
      </x:c>
      <x:c r="F1309" s="73" t="str">
        <x:f>IF('당기원장'!A309="","",'당기원장'!E309)</x:f>
      </x:c>
      <x:c r="G1309" s="75" t="str">
        <x:f>IF('당기원장'!A309="","",'당기원장'!H309)</x:f>
      </x:c>
      <x:c r="H1309" s="73" t="str">
        <x:f>IF('당기원장'!A309="","",'당기원장'!I309)</x:f>
      </x:c>
      <x:c r="I1309" s="73" t="str">
        <x:f>IF('당기원장'!A309="","",'당기원장'!J309)</x:f>
      </x:c>
      <x:c r="J1309" s="73" t="str">
        <x:f>IF('당기원장'!A309="","",'당기원장'!K309)</x:f>
      </x:c>
      <x:c r="K1309" s="73" t="str">
        <x:f>IF(B1309="","",IF(COUNTIF($B$5:B1309,B1309)=1,COUNT($K$4:K1308)+1,""))</x:f>
      </x:c>
      <x:c r="L1309" s="85" t="str">
        <x:f>IF(B1309="","",IF(COUNTIFS('계정비교'!$A$5:$A$1004,B1309,'계정비교'!$H$5:$H$1004,"원인분석 대상")&gt;0,COUNT($L$4:L1308)+1,""))</x:f>
      </x:c>
    </x:row>
    <x:row r="1310">
      <x:c r="A1310" s="73" t="str">
        <x:f>IF('당기원장'!A310="","","당기")</x:f>
      </x:c>
      <x:c r="B1310" s="73" t="str">
        <x:f>IF('당기원장'!A310="","",'당기원장'!A310)</x:f>
      </x:c>
      <x:c r="C1310" s="73" t="str">
        <x:f>IF('당기원장'!A310="","",'당기원장'!B310)</x:f>
      </x:c>
      <x:c r="D1310" s="74" t="str">
        <x:f>IF('당기원장'!A310="","",'당기원장'!C310)</x:f>
      </x:c>
      <x:c r="E1310" s="73" t="str">
        <x:f>IF('당기원장'!A310="","",'당기원장'!D310)</x:f>
      </x:c>
      <x:c r="F1310" s="73" t="str">
        <x:f>IF('당기원장'!A310="","",'당기원장'!E310)</x:f>
      </x:c>
      <x:c r="G1310" s="75" t="str">
        <x:f>IF('당기원장'!A310="","",'당기원장'!H310)</x:f>
      </x:c>
      <x:c r="H1310" s="73" t="str">
        <x:f>IF('당기원장'!A310="","",'당기원장'!I310)</x:f>
      </x:c>
      <x:c r="I1310" s="73" t="str">
        <x:f>IF('당기원장'!A310="","",'당기원장'!J310)</x:f>
      </x:c>
      <x:c r="J1310" s="73" t="str">
        <x:f>IF('당기원장'!A310="","",'당기원장'!K310)</x:f>
      </x:c>
      <x:c r="K1310" s="73" t="str">
        <x:f>IF(B1310="","",IF(COUNTIF($B$5:B1310,B1310)=1,COUNT($K$4:K1309)+1,""))</x:f>
      </x:c>
      <x:c r="L1310" s="85" t="str">
        <x:f>IF(B1310="","",IF(COUNTIFS('계정비교'!$A$5:$A$1004,B1310,'계정비교'!$H$5:$H$1004,"원인분석 대상")&gt;0,COUNT($L$4:L1309)+1,""))</x:f>
      </x:c>
    </x:row>
    <x:row r="1311">
      <x:c r="A1311" s="73" t="str">
        <x:f>IF('당기원장'!A311="","","당기")</x:f>
      </x:c>
      <x:c r="B1311" s="73" t="str">
        <x:f>IF('당기원장'!A311="","",'당기원장'!A311)</x:f>
      </x:c>
      <x:c r="C1311" s="73" t="str">
        <x:f>IF('당기원장'!A311="","",'당기원장'!B311)</x:f>
      </x:c>
      <x:c r="D1311" s="74" t="str">
        <x:f>IF('당기원장'!A311="","",'당기원장'!C311)</x:f>
      </x:c>
      <x:c r="E1311" s="73" t="str">
        <x:f>IF('당기원장'!A311="","",'당기원장'!D311)</x:f>
      </x:c>
      <x:c r="F1311" s="73" t="str">
        <x:f>IF('당기원장'!A311="","",'당기원장'!E311)</x:f>
      </x:c>
      <x:c r="G1311" s="75" t="str">
        <x:f>IF('당기원장'!A311="","",'당기원장'!H311)</x:f>
      </x:c>
      <x:c r="H1311" s="73" t="str">
        <x:f>IF('당기원장'!A311="","",'당기원장'!I311)</x:f>
      </x:c>
      <x:c r="I1311" s="73" t="str">
        <x:f>IF('당기원장'!A311="","",'당기원장'!J311)</x:f>
      </x:c>
      <x:c r="J1311" s="73" t="str">
        <x:f>IF('당기원장'!A311="","",'당기원장'!K311)</x:f>
      </x:c>
      <x:c r="K1311" s="73" t="str">
        <x:f>IF(B1311="","",IF(COUNTIF($B$5:B1311,B1311)=1,COUNT($K$4:K1310)+1,""))</x:f>
      </x:c>
      <x:c r="L1311" s="85" t="str">
        <x:f>IF(B1311="","",IF(COUNTIFS('계정비교'!$A$5:$A$1004,B1311,'계정비교'!$H$5:$H$1004,"원인분석 대상")&gt;0,COUNT($L$4:L1310)+1,""))</x:f>
      </x:c>
    </x:row>
    <x:row r="1312">
      <x:c r="A1312" s="73" t="str">
        <x:f>IF('당기원장'!A312="","","당기")</x:f>
      </x:c>
      <x:c r="B1312" s="73" t="str">
        <x:f>IF('당기원장'!A312="","",'당기원장'!A312)</x:f>
      </x:c>
      <x:c r="C1312" s="73" t="str">
        <x:f>IF('당기원장'!A312="","",'당기원장'!B312)</x:f>
      </x:c>
      <x:c r="D1312" s="74" t="str">
        <x:f>IF('당기원장'!A312="","",'당기원장'!C312)</x:f>
      </x:c>
      <x:c r="E1312" s="73" t="str">
        <x:f>IF('당기원장'!A312="","",'당기원장'!D312)</x:f>
      </x:c>
      <x:c r="F1312" s="73" t="str">
        <x:f>IF('당기원장'!A312="","",'당기원장'!E312)</x:f>
      </x:c>
      <x:c r="G1312" s="75" t="str">
        <x:f>IF('당기원장'!A312="","",'당기원장'!H312)</x:f>
      </x:c>
      <x:c r="H1312" s="73" t="str">
        <x:f>IF('당기원장'!A312="","",'당기원장'!I312)</x:f>
      </x:c>
      <x:c r="I1312" s="73" t="str">
        <x:f>IF('당기원장'!A312="","",'당기원장'!J312)</x:f>
      </x:c>
      <x:c r="J1312" s="73" t="str">
        <x:f>IF('당기원장'!A312="","",'당기원장'!K312)</x:f>
      </x:c>
      <x:c r="K1312" s="73" t="str">
        <x:f>IF(B1312="","",IF(COUNTIF($B$5:B1312,B1312)=1,COUNT($K$4:K1311)+1,""))</x:f>
      </x:c>
      <x:c r="L1312" s="85" t="str">
        <x:f>IF(B1312="","",IF(COUNTIFS('계정비교'!$A$5:$A$1004,B1312,'계정비교'!$H$5:$H$1004,"원인분석 대상")&gt;0,COUNT($L$4:L1311)+1,""))</x:f>
      </x:c>
    </x:row>
    <x:row r="1313">
      <x:c r="A1313" s="73" t="str">
        <x:f>IF('당기원장'!A313="","","당기")</x:f>
      </x:c>
      <x:c r="B1313" s="73" t="str">
        <x:f>IF('당기원장'!A313="","",'당기원장'!A313)</x:f>
      </x:c>
      <x:c r="C1313" s="73" t="str">
        <x:f>IF('당기원장'!A313="","",'당기원장'!B313)</x:f>
      </x:c>
      <x:c r="D1313" s="74" t="str">
        <x:f>IF('당기원장'!A313="","",'당기원장'!C313)</x:f>
      </x:c>
      <x:c r="E1313" s="73" t="str">
        <x:f>IF('당기원장'!A313="","",'당기원장'!D313)</x:f>
      </x:c>
      <x:c r="F1313" s="73" t="str">
        <x:f>IF('당기원장'!A313="","",'당기원장'!E313)</x:f>
      </x:c>
      <x:c r="G1313" s="75" t="str">
        <x:f>IF('당기원장'!A313="","",'당기원장'!H313)</x:f>
      </x:c>
      <x:c r="H1313" s="73" t="str">
        <x:f>IF('당기원장'!A313="","",'당기원장'!I313)</x:f>
      </x:c>
      <x:c r="I1313" s="73" t="str">
        <x:f>IF('당기원장'!A313="","",'당기원장'!J313)</x:f>
      </x:c>
      <x:c r="J1313" s="73" t="str">
        <x:f>IF('당기원장'!A313="","",'당기원장'!K313)</x:f>
      </x:c>
      <x:c r="K1313" s="73" t="str">
        <x:f>IF(B1313="","",IF(COUNTIF($B$5:B1313,B1313)=1,COUNT($K$4:K1312)+1,""))</x:f>
      </x:c>
      <x:c r="L1313" s="85" t="str">
        <x:f>IF(B1313="","",IF(COUNTIFS('계정비교'!$A$5:$A$1004,B1313,'계정비교'!$H$5:$H$1004,"원인분석 대상")&gt;0,COUNT($L$4:L1312)+1,""))</x:f>
      </x:c>
    </x:row>
    <x:row r="1314">
      <x:c r="A1314" s="73" t="str">
        <x:f>IF('당기원장'!A314="","","당기")</x:f>
      </x:c>
      <x:c r="B1314" s="73" t="str">
        <x:f>IF('당기원장'!A314="","",'당기원장'!A314)</x:f>
      </x:c>
      <x:c r="C1314" s="73" t="str">
        <x:f>IF('당기원장'!A314="","",'당기원장'!B314)</x:f>
      </x:c>
      <x:c r="D1314" s="74" t="str">
        <x:f>IF('당기원장'!A314="","",'당기원장'!C314)</x:f>
      </x:c>
      <x:c r="E1314" s="73" t="str">
        <x:f>IF('당기원장'!A314="","",'당기원장'!D314)</x:f>
      </x:c>
      <x:c r="F1314" s="73" t="str">
        <x:f>IF('당기원장'!A314="","",'당기원장'!E314)</x:f>
      </x:c>
      <x:c r="G1314" s="75" t="str">
        <x:f>IF('당기원장'!A314="","",'당기원장'!H314)</x:f>
      </x:c>
      <x:c r="H1314" s="73" t="str">
        <x:f>IF('당기원장'!A314="","",'당기원장'!I314)</x:f>
      </x:c>
      <x:c r="I1314" s="73" t="str">
        <x:f>IF('당기원장'!A314="","",'당기원장'!J314)</x:f>
      </x:c>
      <x:c r="J1314" s="73" t="str">
        <x:f>IF('당기원장'!A314="","",'당기원장'!K314)</x:f>
      </x:c>
      <x:c r="K1314" s="73" t="str">
        <x:f>IF(B1314="","",IF(COUNTIF($B$5:B1314,B1314)=1,COUNT($K$4:K1313)+1,""))</x:f>
      </x:c>
      <x:c r="L1314" s="85" t="str">
        <x:f>IF(B1314="","",IF(COUNTIFS('계정비교'!$A$5:$A$1004,B1314,'계정비교'!$H$5:$H$1004,"원인분석 대상")&gt;0,COUNT($L$4:L1313)+1,""))</x:f>
      </x:c>
    </x:row>
    <x:row r="1315">
      <x:c r="A1315" s="73" t="str">
        <x:f>IF('당기원장'!A315="","","당기")</x:f>
      </x:c>
      <x:c r="B1315" s="73" t="str">
        <x:f>IF('당기원장'!A315="","",'당기원장'!A315)</x:f>
      </x:c>
      <x:c r="C1315" s="73" t="str">
        <x:f>IF('당기원장'!A315="","",'당기원장'!B315)</x:f>
      </x:c>
      <x:c r="D1315" s="74" t="str">
        <x:f>IF('당기원장'!A315="","",'당기원장'!C315)</x:f>
      </x:c>
      <x:c r="E1315" s="73" t="str">
        <x:f>IF('당기원장'!A315="","",'당기원장'!D315)</x:f>
      </x:c>
      <x:c r="F1315" s="73" t="str">
        <x:f>IF('당기원장'!A315="","",'당기원장'!E315)</x:f>
      </x:c>
      <x:c r="G1315" s="75" t="str">
        <x:f>IF('당기원장'!A315="","",'당기원장'!H315)</x:f>
      </x:c>
      <x:c r="H1315" s="73" t="str">
        <x:f>IF('당기원장'!A315="","",'당기원장'!I315)</x:f>
      </x:c>
      <x:c r="I1315" s="73" t="str">
        <x:f>IF('당기원장'!A315="","",'당기원장'!J315)</x:f>
      </x:c>
      <x:c r="J1315" s="73" t="str">
        <x:f>IF('당기원장'!A315="","",'당기원장'!K315)</x:f>
      </x:c>
      <x:c r="K1315" s="73" t="str">
        <x:f>IF(B1315="","",IF(COUNTIF($B$5:B1315,B1315)=1,COUNT($K$4:K1314)+1,""))</x:f>
      </x:c>
      <x:c r="L1315" s="85" t="str">
        <x:f>IF(B1315="","",IF(COUNTIFS('계정비교'!$A$5:$A$1004,B1315,'계정비교'!$H$5:$H$1004,"원인분석 대상")&gt;0,COUNT($L$4:L1314)+1,""))</x:f>
      </x:c>
    </x:row>
    <x:row r="1316">
      <x:c r="A1316" s="73" t="str">
        <x:f>IF('당기원장'!A316="","","당기")</x:f>
      </x:c>
      <x:c r="B1316" s="73" t="str">
        <x:f>IF('당기원장'!A316="","",'당기원장'!A316)</x:f>
      </x:c>
      <x:c r="C1316" s="73" t="str">
        <x:f>IF('당기원장'!A316="","",'당기원장'!B316)</x:f>
      </x:c>
      <x:c r="D1316" s="74" t="str">
        <x:f>IF('당기원장'!A316="","",'당기원장'!C316)</x:f>
      </x:c>
      <x:c r="E1316" s="73" t="str">
        <x:f>IF('당기원장'!A316="","",'당기원장'!D316)</x:f>
      </x:c>
      <x:c r="F1316" s="73" t="str">
        <x:f>IF('당기원장'!A316="","",'당기원장'!E316)</x:f>
      </x:c>
      <x:c r="G1316" s="75" t="str">
        <x:f>IF('당기원장'!A316="","",'당기원장'!H316)</x:f>
      </x:c>
      <x:c r="H1316" s="73" t="str">
        <x:f>IF('당기원장'!A316="","",'당기원장'!I316)</x:f>
      </x:c>
      <x:c r="I1316" s="73" t="str">
        <x:f>IF('당기원장'!A316="","",'당기원장'!J316)</x:f>
      </x:c>
      <x:c r="J1316" s="73" t="str">
        <x:f>IF('당기원장'!A316="","",'당기원장'!K316)</x:f>
      </x:c>
      <x:c r="K1316" s="73" t="str">
        <x:f>IF(B1316="","",IF(COUNTIF($B$5:B1316,B1316)=1,COUNT($K$4:K1315)+1,""))</x:f>
      </x:c>
      <x:c r="L1316" s="85" t="str">
        <x:f>IF(B1316="","",IF(COUNTIFS('계정비교'!$A$5:$A$1004,B1316,'계정비교'!$H$5:$H$1004,"원인분석 대상")&gt;0,COUNT($L$4:L1315)+1,""))</x:f>
      </x:c>
    </x:row>
    <x:row r="1317">
      <x:c r="A1317" s="73" t="str">
        <x:f>IF('당기원장'!A317="","","당기")</x:f>
      </x:c>
      <x:c r="B1317" s="73" t="str">
        <x:f>IF('당기원장'!A317="","",'당기원장'!A317)</x:f>
      </x:c>
      <x:c r="C1317" s="73" t="str">
        <x:f>IF('당기원장'!A317="","",'당기원장'!B317)</x:f>
      </x:c>
      <x:c r="D1317" s="74" t="str">
        <x:f>IF('당기원장'!A317="","",'당기원장'!C317)</x:f>
      </x:c>
      <x:c r="E1317" s="73" t="str">
        <x:f>IF('당기원장'!A317="","",'당기원장'!D317)</x:f>
      </x:c>
      <x:c r="F1317" s="73" t="str">
        <x:f>IF('당기원장'!A317="","",'당기원장'!E317)</x:f>
      </x:c>
      <x:c r="G1317" s="75" t="str">
        <x:f>IF('당기원장'!A317="","",'당기원장'!H317)</x:f>
      </x:c>
      <x:c r="H1317" s="73" t="str">
        <x:f>IF('당기원장'!A317="","",'당기원장'!I317)</x:f>
      </x:c>
      <x:c r="I1317" s="73" t="str">
        <x:f>IF('당기원장'!A317="","",'당기원장'!J317)</x:f>
      </x:c>
      <x:c r="J1317" s="73" t="str">
        <x:f>IF('당기원장'!A317="","",'당기원장'!K317)</x:f>
      </x:c>
      <x:c r="K1317" s="73" t="str">
        <x:f>IF(B1317="","",IF(COUNTIF($B$5:B1317,B1317)=1,COUNT($K$4:K1316)+1,""))</x:f>
      </x:c>
      <x:c r="L1317" s="85" t="str">
        <x:f>IF(B1317="","",IF(COUNTIFS('계정비교'!$A$5:$A$1004,B1317,'계정비교'!$H$5:$H$1004,"원인분석 대상")&gt;0,COUNT($L$4:L1316)+1,""))</x:f>
      </x:c>
    </x:row>
    <x:row r="1318">
      <x:c r="A1318" s="73" t="str">
        <x:f>IF('당기원장'!A318="","","당기")</x:f>
      </x:c>
      <x:c r="B1318" s="73" t="str">
        <x:f>IF('당기원장'!A318="","",'당기원장'!A318)</x:f>
      </x:c>
      <x:c r="C1318" s="73" t="str">
        <x:f>IF('당기원장'!A318="","",'당기원장'!B318)</x:f>
      </x:c>
      <x:c r="D1318" s="74" t="str">
        <x:f>IF('당기원장'!A318="","",'당기원장'!C318)</x:f>
      </x:c>
      <x:c r="E1318" s="73" t="str">
        <x:f>IF('당기원장'!A318="","",'당기원장'!D318)</x:f>
      </x:c>
      <x:c r="F1318" s="73" t="str">
        <x:f>IF('당기원장'!A318="","",'당기원장'!E318)</x:f>
      </x:c>
      <x:c r="G1318" s="75" t="str">
        <x:f>IF('당기원장'!A318="","",'당기원장'!H318)</x:f>
      </x:c>
      <x:c r="H1318" s="73" t="str">
        <x:f>IF('당기원장'!A318="","",'당기원장'!I318)</x:f>
      </x:c>
      <x:c r="I1318" s="73" t="str">
        <x:f>IF('당기원장'!A318="","",'당기원장'!J318)</x:f>
      </x:c>
      <x:c r="J1318" s="73" t="str">
        <x:f>IF('당기원장'!A318="","",'당기원장'!K318)</x:f>
      </x:c>
      <x:c r="K1318" s="73" t="str">
        <x:f>IF(B1318="","",IF(COUNTIF($B$5:B1318,B1318)=1,COUNT($K$4:K1317)+1,""))</x:f>
      </x:c>
      <x:c r="L1318" s="85" t="str">
        <x:f>IF(B1318="","",IF(COUNTIFS('계정비교'!$A$5:$A$1004,B1318,'계정비교'!$H$5:$H$1004,"원인분석 대상")&gt;0,COUNT($L$4:L1317)+1,""))</x:f>
      </x:c>
    </x:row>
    <x:row r="1319">
      <x:c r="A1319" s="73" t="str">
        <x:f>IF('당기원장'!A319="","","당기")</x:f>
      </x:c>
      <x:c r="B1319" s="73" t="str">
        <x:f>IF('당기원장'!A319="","",'당기원장'!A319)</x:f>
      </x:c>
      <x:c r="C1319" s="73" t="str">
        <x:f>IF('당기원장'!A319="","",'당기원장'!B319)</x:f>
      </x:c>
      <x:c r="D1319" s="74" t="str">
        <x:f>IF('당기원장'!A319="","",'당기원장'!C319)</x:f>
      </x:c>
      <x:c r="E1319" s="73" t="str">
        <x:f>IF('당기원장'!A319="","",'당기원장'!D319)</x:f>
      </x:c>
      <x:c r="F1319" s="73" t="str">
        <x:f>IF('당기원장'!A319="","",'당기원장'!E319)</x:f>
      </x:c>
      <x:c r="G1319" s="75" t="str">
        <x:f>IF('당기원장'!A319="","",'당기원장'!H319)</x:f>
      </x:c>
      <x:c r="H1319" s="73" t="str">
        <x:f>IF('당기원장'!A319="","",'당기원장'!I319)</x:f>
      </x:c>
      <x:c r="I1319" s="73" t="str">
        <x:f>IF('당기원장'!A319="","",'당기원장'!J319)</x:f>
      </x:c>
      <x:c r="J1319" s="73" t="str">
        <x:f>IF('당기원장'!A319="","",'당기원장'!K319)</x:f>
      </x:c>
      <x:c r="K1319" s="73" t="str">
        <x:f>IF(B1319="","",IF(COUNTIF($B$5:B1319,B1319)=1,COUNT($K$4:K1318)+1,""))</x:f>
      </x:c>
      <x:c r="L1319" s="85" t="str">
        <x:f>IF(B1319="","",IF(COUNTIFS('계정비교'!$A$5:$A$1004,B1319,'계정비교'!$H$5:$H$1004,"원인분석 대상")&gt;0,COUNT($L$4:L1318)+1,""))</x:f>
      </x:c>
    </x:row>
    <x:row r="1320">
      <x:c r="A1320" s="73" t="str">
        <x:f>IF('당기원장'!A320="","","당기")</x:f>
      </x:c>
      <x:c r="B1320" s="73" t="str">
        <x:f>IF('당기원장'!A320="","",'당기원장'!A320)</x:f>
      </x:c>
      <x:c r="C1320" s="73" t="str">
        <x:f>IF('당기원장'!A320="","",'당기원장'!B320)</x:f>
      </x:c>
      <x:c r="D1320" s="74" t="str">
        <x:f>IF('당기원장'!A320="","",'당기원장'!C320)</x:f>
      </x:c>
      <x:c r="E1320" s="73" t="str">
        <x:f>IF('당기원장'!A320="","",'당기원장'!D320)</x:f>
      </x:c>
      <x:c r="F1320" s="73" t="str">
        <x:f>IF('당기원장'!A320="","",'당기원장'!E320)</x:f>
      </x:c>
      <x:c r="G1320" s="75" t="str">
        <x:f>IF('당기원장'!A320="","",'당기원장'!H320)</x:f>
      </x:c>
      <x:c r="H1320" s="73" t="str">
        <x:f>IF('당기원장'!A320="","",'당기원장'!I320)</x:f>
      </x:c>
      <x:c r="I1320" s="73" t="str">
        <x:f>IF('당기원장'!A320="","",'당기원장'!J320)</x:f>
      </x:c>
      <x:c r="J1320" s="73" t="str">
        <x:f>IF('당기원장'!A320="","",'당기원장'!K320)</x:f>
      </x:c>
      <x:c r="K1320" s="73" t="str">
        <x:f>IF(B1320="","",IF(COUNTIF($B$5:B1320,B1320)=1,COUNT($K$4:K1319)+1,""))</x:f>
      </x:c>
      <x:c r="L1320" s="85" t="str">
        <x:f>IF(B1320="","",IF(COUNTIFS('계정비교'!$A$5:$A$1004,B1320,'계정비교'!$H$5:$H$1004,"원인분석 대상")&gt;0,COUNT($L$4:L1319)+1,""))</x:f>
      </x:c>
    </x:row>
    <x:row r="1321">
      <x:c r="A1321" s="73" t="str">
        <x:f>IF('당기원장'!A321="","","당기")</x:f>
      </x:c>
      <x:c r="B1321" s="73" t="str">
        <x:f>IF('당기원장'!A321="","",'당기원장'!A321)</x:f>
      </x:c>
      <x:c r="C1321" s="73" t="str">
        <x:f>IF('당기원장'!A321="","",'당기원장'!B321)</x:f>
      </x:c>
      <x:c r="D1321" s="74" t="str">
        <x:f>IF('당기원장'!A321="","",'당기원장'!C321)</x:f>
      </x:c>
      <x:c r="E1321" s="73" t="str">
        <x:f>IF('당기원장'!A321="","",'당기원장'!D321)</x:f>
      </x:c>
      <x:c r="F1321" s="73" t="str">
        <x:f>IF('당기원장'!A321="","",'당기원장'!E321)</x:f>
      </x:c>
      <x:c r="G1321" s="75" t="str">
        <x:f>IF('당기원장'!A321="","",'당기원장'!H321)</x:f>
      </x:c>
      <x:c r="H1321" s="73" t="str">
        <x:f>IF('당기원장'!A321="","",'당기원장'!I321)</x:f>
      </x:c>
      <x:c r="I1321" s="73" t="str">
        <x:f>IF('당기원장'!A321="","",'당기원장'!J321)</x:f>
      </x:c>
      <x:c r="J1321" s="73" t="str">
        <x:f>IF('당기원장'!A321="","",'당기원장'!K321)</x:f>
      </x:c>
      <x:c r="K1321" s="73" t="str">
        <x:f>IF(B1321="","",IF(COUNTIF($B$5:B1321,B1321)=1,COUNT($K$4:K1320)+1,""))</x:f>
      </x:c>
      <x:c r="L1321" s="85" t="str">
        <x:f>IF(B1321="","",IF(COUNTIFS('계정비교'!$A$5:$A$1004,B1321,'계정비교'!$H$5:$H$1004,"원인분석 대상")&gt;0,COUNT($L$4:L1320)+1,""))</x:f>
      </x:c>
    </x:row>
    <x:row r="1322">
      <x:c r="A1322" s="73" t="str">
        <x:f>IF('당기원장'!A322="","","당기")</x:f>
      </x:c>
      <x:c r="B1322" s="73" t="str">
        <x:f>IF('당기원장'!A322="","",'당기원장'!A322)</x:f>
      </x:c>
      <x:c r="C1322" s="73" t="str">
        <x:f>IF('당기원장'!A322="","",'당기원장'!B322)</x:f>
      </x:c>
      <x:c r="D1322" s="74" t="str">
        <x:f>IF('당기원장'!A322="","",'당기원장'!C322)</x:f>
      </x:c>
      <x:c r="E1322" s="73" t="str">
        <x:f>IF('당기원장'!A322="","",'당기원장'!D322)</x:f>
      </x:c>
      <x:c r="F1322" s="73" t="str">
        <x:f>IF('당기원장'!A322="","",'당기원장'!E322)</x:f>
      </x:c>
      <x:c r="G1322" s="75" t="str">
        <x:f>IF('당기원장'!A322="","",'당기원장'!H322)</x:f>
      </x:c>
      <x:c r="H1322" s="73" t="str">
        <x:f>IF('당기원장'!A322="","",'당기원장'!I322)</x:f>
      </x:c>
      <x:c r="I1322" s="73" t="str">
        <x:f>IF('당기원장'!A322="","",'당기원장'!J322)</x:f>
      </x:c>
      <x:c r="J1322" s="73" t="str">
        <x:f>IF('당기원장'!A322="","",'당기원장'!K322)</x:f>
      </x:c>
      <x:c r="K1322" s="73" t="str">
        <x:f>IF(B1322="","",IF(COUNTIF($B$5:B1322,B1322)=1,COUNT($K$4:K1321)+1,""))</x:f>
      </x:c>
      <x:c r="L1322" s="85" t="str">
        <x:f>IF(B1322="","",IF(COUNTIFS('계정비교'!$A$5:$A$1004,B1322,'계정비교'!$H$5:$H$1004,"원인분석 대상")&gt;0,COUNT($L$4:L1321)+1,""))</x:f>
      </x:c>
    </x:row>
    <x:row r="1323">
      <x:c r="A1323" s="73" t="str">
        <x:f>IF('당기원장'!A323="","","당기")</x:f>
      </x:c>
      <x:c r="B1323" s="73" t="str">
        <x:f>IF('당기원장'!A323="","",'당기원장'!A323)</x:f>
      </x:c>
      <x:c r="C1323" s="73" t="str">
        <x:f>IF('당기원장'!A323="","",'당기원장'!B323)</x:f>
      </x:c>
      <x:c r="D1323" s="74" t="str">
        <x:f>IF('당기원장'!A323="","",'당기원장'!C323)</x:f>
      </x:c>
      <x:c r="E1323" s="73" t="str">
        <x:f>IF('당기원장'!A323="","",'당기원장'!D323)</x:f>
      </x:c>
      <x:c r="F1323" s="73" t="str">
        <x:f>IF('당기원장'!A323="","",'당기원장'!E323)</x:f>
      </x:c>
      <x:c r="G1323" s="75" t="str">
        <x:f>IF('당기원장'!A323="","",'당기원장'!H323)</x:f>
      </x:c>
      <x:c r="H1323" s="73" t="str">
        <x:f>IF('당기원장'!A323="","",'당기원장'!I323)</x:f>
      </x:c>
      <x:c r="I1323" s="73" t="str">
        <x:f>IF('당기원장'!A323="","",'당기원장'!J323)</x:f>
      </x:c>
      <x:c r="J1323" s="73" t="str">
        <x:f>IF('당기원장'!A323="","",'당기원장'!K323)</x:f>
      </x:c>
      <x:c r="K1323" s="73" t="str">
        <x:f>IF(B1323="","",IF(COUNTIF($B$5:B1323,B1323)=1,COUNT($K$4:K1322)+1,""))</x:f>
      </x:c>
      <x:c r="L1323" s="85" t="str">
        <x:f>IF(B1323="","",IF(COUNTIFS('계정비교'!$A$5:$A$1004,B1323,'계정비교'!$H$5:$H$1004,"원인분석 대상")&gt;0,COUNT($L$4:L1322)+1,""))</x:f>
      </x:c>
    </x:row>
    <x:row r="1324">
      <x:c r="A1324" s="73" t="str">
        <x:f>IF('당기원장'!A324="","","당기")</x:f>
      </x:c>
      <x:c r="B1324" s="73" t="str">
        <x:f>IF('당기원장'!A324="","",'당기원장'!A324)</x:f>
      </x:c>
      <x:c r="C1324" s="73" t="str">
        <x:f>IF('당기원장'!A324="","",'당기원장'!B324)</x:f>
      </x:c>
      <x:c r="D1324" s="74" t="str">
        <x:f>IF('당기원장'!A324="","",'당기원장'!C324)</x:f>
      </x:c>
      <x:c r="E1324" s="73" t="str">
        <x:f>IF('당기원장'!A324="","",'당기원장'!D324)</x:f>
      </x:c>
      <x:c r="F1324" s="73" t="str">
        <x:f>IF('당기원장'!A324="","",'당기원장'!E324)</x:f>
      </x:c>
      <x:c r="G1324" s="75" t="str">
        <x:f>IF('당기원장'!A324="","",'당기원장'!H324)</x:f>
      </x:c>
      <x:c r="H1324" s="73" t="str">
        <x:f>IF('당기원장'!A324="","",'당기원장'!I324)</x:f>
      </x:c>
      <x:c r="I1324" s="73" t="str">
        <x:f>IF('당기원장'!A324="","",'당기원장'!J324)</x:f>
      </x:c>
      <x:c r="J1324" s="73" t="str">
        <x:f>IF('당기원장'!A324="","",'당기원장'!K324)</x:f>
      </x:c>
      <x:c r="K1324" s="73" t="str">
        <x:f>IF(B1324="","",IF(COUNTIF($B$5:B1324,B1324)=1,COUNT($K$4:K1323)+1,""))</x:f>
      </x:c>
      <x:c r="L1324" s="85" t="str">
        <x:f>IF(B1324="","",IF(COUNTIFS('계정비교'!$A$5:$A$1004,B1324,'계정비교'!$H$5:$H$1004,"원인분석 대상")&gt;0,COUNT($L$4:L1323)+1,""))</x:f>
      </x:c>
    </x:row>
    <x:row r="1325">
      <x:c r="A1325" s="73" t="str">
        <x:f>IF('당기원장'!A325="","","당기")</x:f>
      </x:c>
      <x:c r="B1325" s="73" t="str">
        <x:f>IF('당기원장'!A325="","",'당기원장'!A325)</x:f>
      </x:c>
      <x:c r="C1325" s="73" t="str">
        <x:f>IF('당기원장'!A325="","",'당기원장'!B325)</x:f>
      </x:c>
      <x:c r="D1325" s="74" t="str">
        <x:f>IF('당기원장'!A325="","",'당기원장'!C325)</x:f>
      </x:c>
      <x:c r="E1325" s="73" t="str">
        <x:f>IF('당기원장'!A325="","",'당기원장'!D325)</x:f>
      </x:c>
      <x:c r="F1325" s="73" t="str">
        <x:f>IF('당기원장'!A325="","",'당기원장'!E325)</x:f>
      </x:c>
      <x:c r="G1325" s="75" t="str">
        <x:f>IF('당기원장'!A325="","",'당기원장'!H325)</x:f>
      </x:c>
      <x:c r="H1325" s="73" t="str">
        <x:f>IF('당기원장'!A325="","",'당기원장'!I325)</x:f>
      </x:c>
      <x:c r="I1325" s="73" t="str">
        <x:f>IF('당기원장'!A325="","",'당기원장'!J325)</x:f>
      </x:c>
      <x:c r="J1325" s="73" t="str">
        <x:f>IF('당기원장'!A325="","",'당기원장'!K325)</x:f>
      </x:c>
      <x:c r="K1325" s="73" t="str">
        <x:f>IF(B1325="","",IF(COUNTIF($B$5:B1325,B1325)=1,COUNT($K$4:K1324)+1,""))</x:f>
      </x:c>
      <x:c r="L1325" s="85" t="str">
        <x:f>IF(B1325="","",IF(COUNTIFS('계정비교'!$A$5:$A$1004,B1325,'계정비교'!$H$5:$H$1004,"원인분석 대상")&gt;0,COUNT($L$4:L1324)+1,""))</x:f>
      </x:c>
    </x:row>
    <x:row r="1326">
      <x:c r="A1326" s="73" t="str">
        <x:f>IF('당기원장'!A326="","","당기")</x:f>
      </x:c>
      <x:c r="B1326" s="73" t="str">
        <x:f>IF('당기원장'!A326="","",'당기원장'!A326)</x:f>
      </x:c>
      <x:c r="C1326" s="73" t="str">
        <x:f>IF('당기원장'!A326="","",'당기원장'!B326)</x:f>
      </x:c>
      <x:c r="D1326" s="74" t="str">
        <x:f>IF('당기원장'!A326="","",'당기원장'!C326)</x:f>
      </x:c>
      <x:c r="E1326" s="73" t="str">
        <x:f>IF('당기원장'!A326="","",'당기원장'!D326)</x:f>
      </x:c>
      <x:c r="F1326" s="73" t="str">
        <x:f>IF('당기원장'!A326="","",'당기원장'!E326)</x:f>
      </x:c>
      <x:c r="G1326" s="75" t="str">
        <x:f>IF('당기원장'!A326="","",'당기원장'!H326)</x:f>
      </x:c>
      <x:c r="H1326" s="73" t="str">
        <x:f>IF('당기원장'!A326="","",'당기원장'!I326)</x:f>
      </x:c>
      <x:c r="I1326" s="73" t="str">
        <x:f>IF('당기원장'!A326="","",'당기원장'!J326)</x:f>
      </x:c>
      <x:c r="J1326" s="73" t="str">
        <x:f>IF('당기원장'!A326="","",'당기원장'!K326)</x:f>
      </x:c>
      <x:c r="K1326" s="73" t="str">
        <x:f>IF(B1326="","",IF(COUNTIF($B$5:B1326,B1326)=1,COUNT($K$4:K1325)+1,""))</x:f>
      </x:c>
      <x:c r="L1326" s="85" t="str">
        <x:f>IF(B1326="","",IF(COUNTIFS('계정비교'!$A$5:$A$1004,B1326,'계정비교'!$H$5:$H$1004,"원인분석 대상")&gt;0,COUNT($L$4:L1325)+1,""))</x:f>
      </x:c>
    </x:row>
    <x:row r="1327">
      <x:c r="A1327" s="73" t="str">
        <x:f>IF('당기원장'!A327="","","당기")</x:f>
      </x:c>
      <x:c r="B1327" s="73" t="str">
        <x:f>IF('당기원장'!A327="","",'당기원장'!A327)</x:f>
      </x:c>
      <x:c r="C1327" s="73" t="str">
        <x:f>IF('당기원장'!A327="","",'당기원장'!B327)</x:f>
      </x:c>
      <x:c r="D1327" s="74" t="str">
        <x:f>IF('당기원장'!A327="","",'당기원장'!C327)</x:f>
      </x:c>
      <x:c r="E1327" s="73" t="str">
        <x:f>IF('당기원장'!A327="","",'당기원장'!D327)</x:f>
      </x:c>
      <x:c r="F1327" s="73" t="str">
        <x:f>IF('당기원장'!A327="","",'당기원장'!E327)</x:f>
      </x:c>
      <x:c r="G1327" s="75" t="str">
        <x:f>IF('당기원장'!A327="","",'당기원장'!H327)</x:f>
      </x:c>
      <x:c r="H1327" s="73" t="str">
        <x:f>IF('당기원장'!A327="","",'당기원장'!I327)</x:f>
      </x:c>
      <x:c r="I1327" s="73" t="str">
        <x:f>IF('당기원장'!A327="","",'당기원장'!J327)</x:f>
      </x:c>
      <x:c r="J1327" s="73" t="str">
        <x:f>IF('당기원장'!A327="","",'당기원장'!K327)</x:f>
      </x:c>
      <x:c r="K1327" s="73" t="str">
        <x:f>IF(B1327="","",IF(COUNTIF($B$5:B1327,B1327)=1,COUNT($K$4:K1326)+1,""))</x:f>
      </x:c>
      <x:c r="L1327" s="85" t="str">
        <x:f>IF(B1327="","",IF(COUNTIFS('계정비교'!$A$5:$A$1004,B1327,'계정비교'!$H$5:$H$1004,"원인분석 대상")&gt;0,COUNT($L$4:L1326)+1,""))</x:f>
      </x:c>
    </x:row>
    <x:row r="1328">
      <x:c r="A1328" s="73" t="str">
        <x:f>IF('당기원장'!A328="","","당기")</x:f>
      </x:c>
      <x:c r="B1328" s="73" t="str">
        <x:f>IF('당기원장'!A328="","",'당기원장'!A328)</x:f>
      </x:c>
      <x:c r="C1328" s="73" t="str">
        <x:f>IF('당기원장'!A328="","",'당기원장'!B328)</x:f>
      </x:c>
      <x:c r="D1328" s="74" t="str">
        <x:f>IF('당기원장'!A328="","",'당기원장'!C328)</x:f>
      </x:c>
      <x:c r="E1328" s="73" t="str">
        <x:f>IF('당기원장'!A328="","",'당기원장'!D328)</x:f>
      </x:c>
      <x:c r="F1328" s="73" t="str">
        <x:f>IF('당기원장'!A328="","",'당기원장'!E328)</x:f>
      </x:c>
      <x:c r="G1328" s="75" t="str">
        <x:f>IF('당기원장'!A328="","",'당기원장'!H328)</x:f>
      </x:c>
      <x:c r="H1328" s="73" t="str">
        <x:f>IF('당기원장'!A328="","",'당기원장'!I328)</x:f>
      </x:c>
      <x:c r="I1328" s="73" t="str">
        <x:f>IF('당기원장'!A328="","",'당기원장'!J328)</x:f>
      </x:c>
      <x:c r="J1328" s="73" t="str">
        <x:f>IF('당기원장'!A328="","",'당기원장'!K328)</x:f>
      </x:c>
      <x:c r="K1328" s="73" t="str">
        <x:f>IF(B1328="","",IF(COUNTIF($B$5:B1328,B1328)=1,COUNT($K$4:K1327)+1,""))</x:f>
      </x:c>
      <x:c r="L1328" s="85" t="str">
        <x:f>IF(B1328="","",IF(COUNTIFS('계정비교'!$A$5:$A$1004,B1328,'계정비교'!$H$5:$H$1004,"원인분석 대상")&gt;0,COUNT($L$4:L1327)+1,""))</x:f>
      </x:c>
    </x:row>
    <x:row r="1329">
      <x:c r="A1329" s="73" t="str">
        <x:f>IF('당기원장'!A329="","","당기")</x:f>
      </x:c>
      <x:c r="B1329" s="73" t="str">
        <x:f>IF('당기원장'!A329="","",'당기원장'!A329)</x:f>
      </x:c>
      <x:c r="C1329" s="73" t="str">
        <x:f>IF('당기원장'!A329="","",'당기원장'!B329)</x:f>
      </x:c>
      <x:c r="D1329" s="74" t="str">
        <x:f>IF('당기원장'!A329="","",'당기원장'!C329)</x:f>
      </x:c>
      <x:c r="E1329" s="73" t="str">
        <x:f>IF('당기원장'!A329="","",'당기원장'!D329)</x:f>
      </x:c>
      <x:c r="F1329" s="73" t="str">
        <x:f>IF('당기원장'!A329="","",'당기원장'!E329)</x:f>
      </x:c>
      <x:c r="G1329" s="75" t="str">
        <x:f>IF('당기원장'!A329="","",'당기원장'!H329)</x:f>
      </x:c>
      <x:c r="H1329" s="73" t="str">
        <x:f>IF('당기원장'!A329="","",'당기원장'!I329)</x:f>
      </x:c>
      <x:c r="I1329" s="73" t="str">
        <x:f>IF('당기원장'!A329="","",'당기원장'!J329)</x:f>
      </x:c>
      <x:c r="J1329" s="73" t="str">
        <x:f>IF('당기원장'!A329="","",'당기원장'!K329)</x:f>
      </x:c>
      <x:c r="K1329" s="73" t="str">
        <x:f>IF(B1329="","",IF(COUNTIF($B$5:B1329,B1329)=1,COUNT($K$4:K1328)+1,""))</x:f>
      </x:c>
      <x:c r="L1329" s="85" t="str">
        <x:f>IF(B1329="","",IF(COUNTIFS('계정비교'!$A$5:$A$1004,B1329,'계정비교'!$H$5:$H$1004,"원인분석 대상")&gt;0,COUNT($L$4:L1328)+1,""))</x:f>
      </x:c>
    </x:row>
    <x:row r="1330">
      <x:c r="A1330" s="73" t="str">
        <x:f>IF('당기원장'!A330="","","당기")</x:f>
      </x:c>
      <x:c r="B1330" s="73" t="str">
        <x:f>IF('당기원장'!A330="","",'당기원장'!A330)</x:f>
      </x:c>
      <x:c r="C1330" s="73" t="str">
        <x:f>IF('당기원장'!A330="","",'당기원장'!B330)</x:f>
      </x:c>
      <x:c r="D1330" s="74" t="str">
        <x:f>IF('당기원장'!A330="","",'당기원장'!C330)</x:f>
      </x:c>
      <x:c r="E1330" s="73" t="str">
        <x:f>IF('당기원장'!A330="","",'당기원장'!D330)</x:f>
      </x:c>
      <x:c r="F1330" s="73" t="str">
        <x:f>IF('당기원장'!A330="","",'당기원장'!E330)</x:f>
      </x:c>
      <x:c r="G1330" s="75" t="str">
        <x:f>IF('당기원장'!A330="","",'당기원장'!H330)</x:f>
      </x:c>
      <x:c r="H1330" s="73" t="str">
        <x:f>IF('당기원장'!A330="","",'당기원장'!I330)</x:f>
      </x:c>
      <x:c r="I1330" s="73" t="str">
        <x:f>IF('당기원장'!A330="","",'당기원장'!J330)</x:f>
      </x:c>
      <x:c r="J1330" s="73" t="str">
        <x:f>IF('당기원장'!A330="","",'당기원장'!K330)</x:f>
      </x:c>
      <x:c r="K1330" s="73" t="str">
        <x:f>IF(B1330="","",IF(COUNTIF($B$5:B1330,B1330)=1,COUNT($K$4:K1329)+1,""))</x:f>
      </x:c>
      <x:c r="L1330" s="85" t="str">
        <x:f>IF(B1330="","",IF(COUNTIFS('계정비교'!$A$5:$A$1004,B1330,'계정비교'!$H$5:$H$1004,"원인분석 대상")&gt;0,COUNT($L$4:L1329)+1,""))</x:f>
      </x:c>
    </x:row>
    <x:row r="1331">
      <x:c r="A1331" s="73" t="str">
        <x:f>IF('당기원장'!A331="","","당기")</x:f>
      </x:c>
      <x:c r="B1331" s="73" t="str">
        <x:f>IF('당기원장'!A331="","",'당기원장'!A331)</x:f>
      </x:c>
      <x:c r="C1331" s="73" t="str">
        <x:f>IF('당기원장'!A331="","",'당기원장'!B331)</x:f>
      </x:c>
      <x:c r="D1331" s="74" t="str">
        <x:f>IF('당기원장'!A331="","",'당기원장'!C331)</x:f>
      </x:c>
      <x:c r="E1331" s="73" t="str">
        <x:f>IF('당기원장'!A331="","",'당기원장'!D331)</x:f>
      </x:c>
      <x:c r="F1331" s="73" t="str">
        <x:f>IF('당기원장'!A331="","",'당기원장'!E331)</x:f>
      </x:c>
      <x:c r="G1331" s="75" t="str">
        <x:f>IF('당기원장'!A331="","",'당기원장'!H331)</x:f>
      </x:c>
      <x:c r="H1331" s="73" t="str">
        <x:f>IF('당기원장'!A331="","",'당기원장'!I331)</x:f>
      </x:c>
      <x:c r="I1331" s="73" t="str">
        <x:f>IF('당기원장'!A331="","",'당기원장'!J331)</x:f>
      </x:c>
      <x:c r="J1331" s="73" t="str">
        <x:f>IF('당기원장'!A331="","",'당기원장'!K331)</x:f>
      </x:c>
      <x:c r="K1331" s="73" t="str">
        <x:f>IF(B1331="","",IF(COUNTIF($B$5:B1331,B1331)=1,COUNT($K$4:K1330)+1,""))</x:f>
      </x:c>
      <x:c r="L1331" s="85" t="str">
        <x:f>IF(B1331="","",IF(COUNTIFS('계정비교'!$A$5:$A$1004,B1331,'계정비교'!$H$5:$H$1004,"원인분석 대상")&gt;0,COUNT($L$4:L1330)+1,""))</x:f>
      </x:c>
    </x:row>
    <x:row r="1332">
      <x:c r="A1332" s="73" t="str">
        <x:f>IF('당기원장'!A332="","","당기")</x:f>
      </x:c>
      <x:c r="B1332" s="73" t="str">
        <x:f>IF('당기원장'!A332="","",'당기원장'!A332)</x:f>
      </x:c>
      <x:c r="C1332" s="73" t="str">
        <x:f>IF('당기원장'!A332="","",'당기원장'!B332)</x:f>
      </x:c>
      <x:c r="D1332" s="74" t="str">
        <x:f>IF('당기원장'!A332="","",'당기원장'!C332)</x:f>
      </x:c>
      <x:c r="E1332" s="73" t="str">
        <x:f>IF('당기원장'!A332="","",'당기원장'!D332)</x:f>
      </x:c>
      <x:c r="F1332" s="73" t="str">
        <x:f>IF('당기원장'!A332="","",'당기원장'!E332)</x:f>
      </x:c>
      <x:c r="G1332" s="75" t="str">
        <x:f>IF('당기원장'!A332="","",'당기원장'!H332)</x:f>
      </x:c>
      <x:c r="H1332" s="73" t="str">
        <x:f>IF('당기원장'!A332="","",'당기원장'!I332)</x:f>
      </x:c>
      <x:c r="I1332" s="73" t="str">
        <x:f>IF('당기원장'!A332="","",'당기원장'!J332)</x:f>
      </x:c>
      <x:c r="J1332" s="73" t="str">
        <x:f>IF('당기원장'!A332="","",'당기원장'!K332)</x:f>
      </x:c>
      <x:c r="K1332" s="73" t="str">
        <x:f>IF(B1332="","",IF(COUNTIF($B$5:B1332,B1332)=1,COUNT($K$4:K1331)+1,""))</x:f>
      </x:c>
      <x:c r="L1332" s="85" t="str">
        <x:f>IF(B1332="","",IF(COUNTIFS('계정비교'!$A$5:$A$1004,B1332,'계정비교'!$H$5:$H$1004,"원인분석 대상")&gt;0,COUNT($L$4:L1331)+1,""))</x:f>
      </x:c>
    </x:row>
    <x:row r="1333">
      <x:c r="A1333" s="73" t="str">
        <x:f>IF('당기원장'!A333="","","당기")</x:f>
      </x:c>
      <x:c r="B1333" s="73" t="str">
        <x:f>IF('당기원장'!A333="","",'당기원장'!A333)</x:f>
      </x:c>
      <x:c r="C1333" s="73" t="str">
        <x:f>IF('당기원장'!A333="","",'당기원장'!B333)</x:f>
      </x:c>
      <x:c r="D1333" s="74" t="str">
        <x:f>IF('당기원장'!A333="","",'당기원장'!C333)</x:f>
      </x:c>
      <x:c r="E1333" s="73" t="str">
        <x:f>IF('당기원장'!A333="","",'당기원장'!D333)</x:f>
      </x:c>
      <x:c r="F1333" s="73" t="str">
        <x:f>IF('당기원장'!A333="","",'당기원장'!E333)</x:f>
      </x:c>
      <x:c r="G1333" s="75" t="str">
        <x:f>IF('당기원장'!A333="","",'당기원장'!H333)</x:f>
      </x:c>
      <x:c r="H1333" s="73" t="str">
        <x:f>IF('당기원장'!A333="","",'당기원장'!I333)</x:f>
      </x:c>
      <x:c r="I1333" s="73" t="str">
        <x:f>IF('당기원장'!A333="","",'당기원장'!J333)</x:f>
      </x:c>
      <x:c r="J1333" s="73" t="str">
        <x:f>IF('당기원장'!A333="","",'당기원장'!K333)</x:f>
      </x:c>
      <x:c r="K1333" s="73" t="str">
        <x:f>IF(B1333="","",IF(COUNTIF($B$5:B1333,B1333)=1,COUNT($K$4:K1332)+1,""))</x:f>
      </x:c>
      <x:c r="L1333" s="85" t="str">
        <x:f>IF(B1333="","",IF(COUNTIFS('계정비교'!$A$5:$A$1004,B1333,'계정비교'!$H$5:$H$1004,"원인분석 대상")&gt;0,COUNT($L$4:L1332)+1,""))</x:f>
      </x:c>
    </x:row>
    <x:row r="1334">
      <x:c r="A1334" s="73" t="str">
        <x:f>IF('당기원장'!A334="","","당기")</x:f>
      </x:c>
      <x:c r="B1334" s="73" t="str">
        <x:f>IF('당기원장'!A334="","",'당기원장'!A334)</x:f>
      </x:c>
      <x:c r="C1334" s="73" t="str">
        <x:f>IF('당기원장'!A334="","",'당기원장'!B334)</x:f>
      </x:c>
      <x:c r="D1334" s="74" t="str">
        <x:f>IF('당기원장'!A334="","",'당기원장'!C334)</x:f>
      </x:c>
      <x:c r="E1334" s="73" t="str">
        <x:f>IF('당기원장'!A334="","",'당기원장'!D334)</x:f>
      </x:c>
      <x:c r="F1334" s="73" t="str">
        <x:f>IF('당기원장'!A334="","",'당기원장'!E334)</x:f>
      </x:c>
      <x:c r="G1334" s="75" t="str">
        <x:f>IF('당기원장'!A334="","",'당기원장'!H334)</x:f>
      </x:c>
      <x:c r="H1334" s="73" t="str">
        <x:f>IF('당기원장'!A334="","",'당기원장'!I334)</x:f>
      </x:c>
      <x:c r="I1334" s="73" t="str">
        <x:f>IF('당기원장'!A334="","",'당기원장'!J334)</x:f>
      </x:c>
      <x:c r="J1334" s="73" t="str">
        <x:f>IF('당기원장'!A334="","",'당기원장'!K334)</x:f>
      </x:c>
      <x:c r="K1334" s="73" t="str">
        <x:f>IF(B1334="","",IF(COUNTIF($B$5:B1334,B1334)=1,COUNT($K$4:K1333)+1,""))</x:f>
      </x:c>
      <x:c r="L1334" s="85" t="str">
        <x:f>IF(B1334="","",IF(COUNTIFS('계정비교'!$A$5:$A$1004,B1334,'계정비교'!$H$5:$H$1004,"원인분석 대상")&gt;0,COUNT($L$4:L1333)+1,""))</x:f>
      </x:c>
    </x:row>
    <x:row r="1335">
      <x:c r="A1335" s="73" t="str">
        <x:f>IF('당기원장'!A335="","","당기")</x:f>
      </x:c>
      <x:c r="B1335" s="73" t="str">
        <x:f>IF('당기원장'!A335="","",'당기원장'!A335)</x:f>
      </x:c>
      <x:c r="C1335" s="73" t="str">
        <x:f>IF('당기원장'!A335="","",'당기원장'!B335)</x:f>
      </x:c>
      <x:c r="D1335" s="74" t="str">
        <x:f>IF('당기원장'!A335="","",'당기원장'!C335)</x:f>
      </x:c>
      <x:c r="E1335" s="73" t="str">
        <x:f>IF('당기원장'!A335="","",'당기원장'!D335)</x:f>
      </x:c>
      <x:c r="F1335" s="73" t="str">
        <x:f>IF('당기원장'!A335="","",'당기원장'!E335)</x:f>
      </x:c>
      <x:c r="G1335" s="75" t="str">
        <x:f>IF('당기원장'!A335="","",'당기원장'!H335)</x:f>
      </x:c>
      <x:c r="H1335" s="73" t="str">
        <x:f>IF('당기원장'!A335="","",'당기원장'!I335)</x:f>
      </x:c>
      <x:c r="I1335" s="73" t="str">
        <x:f>IF('당기원장'!A335="","",'당기원장'!J335)</x:f>
      </x:c>
      <x:c r="J1335" s="73" t="str">
        <x:f>IF('당기원장'!A335="","",'당기원장'!K335)</x:f>
      </x:c>
      <x:c r="K1335" s="73" t="str">
        <x:f>IF(B1335="","",IF(COUNTIF($B$5:B1335,B1335)=1,COUNT($K$4:K1334)+1,""))</x:f>
      </x:c>
      <x:c r="L1335" s="85" t="str">
        <x:f>IF(B1335="","",IF(COUNTIFS('계정비교'!$A$5:$A$1004,B1335,'계정비교'!$H$5:$H$1004,"원인분석 대상")&gt;0,COUNT($L$4:L1334)+1,""))</x:f>
      </x:c>
    </x:row>
    <x:row r="1336">
      <x:c r="A1336" s="73" t="str">
        <x:f>IF('당기원장'!A336="","","당기")</x:f>
      </x:c>
      <x:c r="B1336" s="73" t="str">
        <x:f>IF('당기원장'!A336="","",'당기원장'!A336)</x:f>
      </x:c>
      <x:c r="C1336" s="73" t="str">
        <x:f>IF('당기원장'!A336="","",'당기원장'!B336)</x:f>
      </x:c>
      <x:c r="D1336" s="74" t="str">
        <x:f>IF('당기원장'!A336="","",'당기원장'!C336)</x:f>
      </x:c>
      <x:c r="E1336" s="73" t="str">
        <x:f>IF('당기원장'!A336="","",'당기원장'!D336)</x:f>
      </x:c>
      <x:c r="F1336" s="73" t="str">
        <x:f>IF('당기원장'!A336="","",'당기원장'!E336)</x:f>
      </x:c>
      <x:c r="G1336" s="75" t="str">
        <x:f>IF('당기원장'!A336="","",'당기원장'!H336)</x:f>
      </x:c>
      <x:c r="H1336" s="73" t="str">
        <x:f>IF('당기원장'!A336="","",'당기원장'!I336)</x:f>
      </x:c>
      <x:c r="I1336" s="73" t="str">
        <x:f>IF('당기원장'!A336="","",'당기원장'!J336)</x:f>
      </x:c>
      <x:c r="J1336" s="73" t="str">
        <x:f>IF('당기원장'!A336="","",'당기원장'!K336)</x:f>
      </x:c>
      <x:c r="K1336" s="73" t="str">
        <x:f>IF(B1336="","",IF(COUNTIF($B$5:B1336,B1336)=1,COUNT($K$4:K1335)+1,""))</x:f>
      </x:c>
      <x:c r="L1336" s="85" t="str">
        <x:f>IF(B1336="","",IF(COUNTIFS('계정비교'!$A$5:$A$1004,B1336,'계정비교'!$H$5:$H$1004,"원인분석 대상")&gt;0,COUNT($L$4:L1335)+1,""))</x:f>
      </x:c>
    </x:row>
    <x:row r="1337">
      <x:c r="A1337" s="73" t="str">
        <x:f>IF('당기원장'!A337="","","당기")</x:f>
      </x:c>
      <x:c r="B1337" s="73" t="str">
        <x:f>IF('당기원장'!A337="","",'당기원장'!A337)</x:f>
      </x:c>
      <x:c r="C1337" s="73" t="str">
        <x:f>IF('당기원장'!A337="","",'당기원장'!B337)</x:f>
      </x:c>
      <x:c r="D1337" s="74" t="str">
        <x:f>IF('당기원장'!A337="","",'당기원장'!C337)</x:f>
      </x:c>
      <x:c r="E1337" s="73" t="str">
        <x:f>IF('당기원장'!A337="","",'당기원장'!D337)</x:f>
      </x:c>
      <x:c r="F1337" s="73" t="str">
        <x:f>IF('당기원장'!A337="","",'당기원장'!E337)</x:f>
      </x:c>
      <x:c r="G1337" s="75" t="str">
        <x:f>IF('당기원장'!A337="","",'당기원장'!H337)</x:f>
      </x:c>
      <x:c r="H1337" s="73" t="str">
        <x:f>IF('당기원장'!A337="","",'당기원장'!I337)</x:f>
      </x:c>
      <x:c r="I1337" s="73" t="str">
        <x:f>IF('당기원장'!A337="","",'당기원장'!J337)</x:f>
      </x:c>
      <x:c r="J1337" s="73" t="str">
        <x:f>IF('당기원장'!A337="","",'당기원장'!K337)</x:f>
      </x:c>
      <x:c r="K1337" s="73" t="str">
        <x:f>IF(B1337="","",IF(COUNTIF($B$5:B1337,B1337)=1,COUNT($K$4:K1336)+1,""))</x:f>
      </x:c>
      <x:c r="L1337" s="85" t="str">
        <x:f>IF(B1337="","",IF(COUNTIFS('계정비교'!$A$5:$A$1004,B1337,'계정비교'!$H$5:$H$1004,"원인분석 대상")&gt;0,COUNT($L$4:L1336)+1,""))</x:f>
      </x:c>
    </x:row>
    <x:row r="1338">
      <x:c r="A1338" s="73" t="str">
        <x:f>IF('당기원장'!A338="","","당기")</x:f>
      </x:c>
      <x:c r="B1338" s="73" t="str">
        <x:f>IF('당기원장'!A338="","",'당기원장'!A338)</x:f>
      </x:c>
      <x:c r="C1338" s="73" t="str">
        <x:f>IF('당기원장'!A338="","",'당기원장'!B338)</x:f>
      </x:c>
      <x:c r="D1338" s="74" t="str">
        <x:f>IF('당기원장'!A338="","",'당기원장'!C338)</x:f>
      </x:c>
      <x:c r="E1338" s="73" t="str">
        <x:f>IF('당기원장'!A338="","",'당기원장'!D338)</x:f>
      </x:c>
      <x:c r="F1338" s="73" t="str">
        <x:f>IF('당기원장'!A338="","",'당기원장'!E338)</x:f>
      </x:c>
      <x:c r="G1338" s="75" t="str">
        <x:f>IF('당기원장'!A338="","",'당기원장'!H338)</x:f>
      </x:c>
      <x:c r="H1338" s="73" t="str">
        <x:f>IF('당기원장'!A338="","",'당기원장'!I338)</x:f>
      </x:c>
      <x:c r="I1338" s="73" t="str">
        <x:f>IF('당기원장'!A338="","",'당기원장'!J338)</x:f>
      </x:c>
      <x:c r="J1338" s="73" t="str">
        <x:f>IF('당기원장'!A338="","",'당기원장'!K338)</x:f>
      </x:c>
      <x:c r="K1338" s="73" t="str">
        <x:f>IF(B1338="","",IF(COUNTIF($B$5:B1338,B1338)=1,COUNT($K$4:K1337)+1,""))</x:f>
      </x:c>
      <x:c r="L1338" s="85" t="str">
        <x:f>IF(B1338="","",IF(COUNTIFS('계정비교'!$A$5:$A$1004,B1338,'계정비교'!$H$5:$H$1004,"원인분석 대상")&gt;0,COUNT($L$4:L1337)+1,""))</x:f>
      </x:c>
    </x:row>
    <x:row r="1339">
      <x:c r="A1339" s="73" t="str">
        <x:f>IF('당기원장'!A339="","","당기")</x:f>
      </x:c>
      <x:c r="B1339" s="73" t="str">
        <x:f>IF('당기원장'!A339="","",'당기원장'!A339)</x:f>
      </x:c>
      <x:c r="C1339" s="73" t="str">
        <x:f>IF('당기원장'!A339="","",'당기원장'!B339)</x:f>
      </x:c>
      <x:c r="D1339" s="74" t="str">
        <x:f>IF('당기원장'!A339="","",'당기원장'!C339)</x:f>
      </x:c>
      <x:c r="E1339" s="73" t="str">
        <x:f>IF('당기원장'!A339="","",'당기원장'!D339)</x:f>
      </x:c>
      <x:c r="F1339" s="73" t="str">
        <x:f>IF('당기원장'!A339="","",'당기원장'!E339)</x:f>
      </x:c>
      <x:c r="G1339" s="75" t="str">
        <x:f>IF('당기원장'!A339="","",'당기원장'!H339)</x:f>
      </x:c>
      <x:c r="H1339" s="73" t="str">
        <x:f>IF('당기원장'!A339="","",'당기원장'!I339)</x:f>
      </x:c>
      <x:c r="I1339" s="73" t="str">
        <x:f>IF('당기원장'!A339="","",'당기원장'!J339)</x:f>
      </x:c>
      <x:c r="J1339" s="73" t="str">
        <x:f>IF('당기원장'!A339="","",'당기원장'!K339)</x:f>
      </x:c>
      <x:c r="K1339" s="73" t="str">
        <x:f>IF(B1339="","",IF(COUNTIF($B$5:B1339,B1339)=1,COUNT($K$4:K1338)+1,""))</x:f>
      </x:c>
      <x:c r="L1339" s="85" t="str">
        <x:f>IF(B1339="","",IF(COUNTIFS('계정비교'!$A$5:$A$1004,B1339,'계정비교'!$H$5:$H$1004,"원인분석 대상")&gt;0,COUNT($L$4:L1338)+1,""))</x:f>
      </x:c>
    </x:row>
    <x:row r="1340">
      <x:c r="A1340" s="73" t="str">
        <x:f>IF('당기원장'!A340="","","당기")</x:f>
      </x:c>
      <x:c r="B1340" s="73" t="str">
        <x:f>IF('당기원장'!A340="","",'당기원장'!A340)</x:f>
      </x:c>
      <x:c r="C1340" s="73" t="str">
        <x:f>IF('당기원장'!A340="","",'당기원장'!B340)</x:f>
      </x:c>
      <x:c r="D1340" s="74" t="str">
        <x:f>IF('당기원장'!A340="","",'당기원장'!C340)</x:f>
      </x:c>
      <x:c r="E1340" s="73" t="str">
        <x:f>IF('당기원장'!A340="","",'당기원장'!D340)</x:f>
      </x:c>
      <x:c r="F1340" s="73" t="str">
        <x:f>IF('당기원장'!A340="","",'당기원장'!E340)</x:f>
      </x:c>
      <x:c r="G1340" s="75" t="str">
        <x:f>IF('당기원장'!A340="","",'당기원장'!H340)</x:f>
      </x:c>
      <x:c r="H1340" s="73" t="str">
        <x:f>IF('당기원장'!A340="","",'당기원장'!I340)</x:f>
      </x:c>
      <x:c r="I1340" s="73" t="str">
        <x:f>IF('당기원장'!A340="","",'당기원장'!J340)</x:f>
      </x:c>
      <x:c r="J1340" s="73" t="str">
        <x:f>IF('당기원장'!A340="","",'당기원장'!K340)</x:f>
      </x:c>
      <x:c r="K1340" s="73" t="str">
        <x:f>IF(B1340="","",IF(COUNTIF($B$5:B1340,B1340)=1,COUNT($K$4:K1339)+1,""))</x:f>
      </x:c>
      <x:c r="L1340" s="85" t="str">
        <x:f>IF(B1340="","",IF(COUNTIFS('계정비교'!$A$5:$A$1004,B1340,'계정비교'!$H$5:$H$1004,"원인분석 대상")&gt;0,COUNT($L$4:L1339)+1,""))</x:f>
      </x:c>
    </x:row>
    <x:row r="1341">
      <x:c r="A1341" s="73" t="str">
        <x:f>IF('당기원장'!A341="","","당기")</x:f>
      </x:c>
      <x:c r="B1341" s="73" t="str">
        <x:f>IF('당기원장'!A341="","",'당기원장'!A341)</x:f>
      </x:c>
      <x:c r="C1341" s="73" t="str">
        <x:f>IF('당기원장'!A341="","",'당기원장'!B341)</x:f>
      </x:c>
      <x:c r="D1341" s="74" t="str">
        <x:f>IF('당기원장'!A341="","",'당기원장'!C341)</x:f>
      </x:c>
      <x:c r="E1341" s="73" t="str">
        <x:f>IF('당기원장'!A341="","",'당기원장'!D341)</x:f>
      </x:c>
      <x:c r="F1341" s="73" t="str">
        <x:f>IF('당기원장'!A341="","",'당기원장'!E341)</x:f>
      </x:c>
      <x:c r="G1341" s="75" t="str">
        <x:f>IF('당기원장'!A341="","",'당기원장'!H341)</x:f>
      </x:c>
      <x:c r="H1341" s="73" t="str">
        <x:f>IF('당기원장'!A341="","",'당기원장'!I341)</x:f>
      </x:c>
      <x:c r="I1341" s="73" t="str">
        <x:f>IF('당기원장'!A341="","",'당기원장'!J341)</x:f>
      </x:c>
      <x:c r="J1341" s="73" t="str">
        <x:f>IF('당기원장'!A341="","",'당기원장'!K341)</x:f>
      </x:c>
      <x:c r="K1341" s="73" t="str">
        <x:f>IF(B1341="","",IF(COUNTIF($B$5:B1341,B1341)=1,COUNT($K$4:K1340)+1,""))</x:f>
      </x:c>
      <x:c r="L1341" s="85" t="str">
        <x:f>IF(B1341="","",IF(COUNTIFS('계정비교'!$A$5:$A$1004,B1341,'계정비교'!$H$5:$H$1004,"원인분석 대상")&gt;0,COUNT($L$4:L1340)+1,""))</x:f>
      </x:c>
    </x:row>
    <x:row r="1342">
      <x:c r="A1342" s="73" t="str">
        <x:f>IF('당기원장'!A342="","","당기")</x:f>
      </x:c>
      <x:c r="B1342" s="73" t="str">
        <x:f>IF('당기원장'!A342="","",'당기원장'!A342)</x:f>
      </x:c>
      <x:c r="C1342" s="73" t="str">
        <x:f>IF('당기원장'!A342="","",'당기원장'!B342)</x:f>
      </x:c>
      <x:c r="D1342" s="74" t="str">
        <x:f>IF('당기원장'!A342="","",'당기원장'!C342)</x:f>
      </x:c>
      <x:c r="E1342" s="73" t="str">
        <x:f>IF('당기원장'!A342="","",'당기원장'!D342)</x:f>
      </x:c>
      <x:c r="F1342" s="73" t="str">
        <x:f>IF('당기원장'!A342="","",'당기원장'!E342)</x:f>
      </x:c>
      <x:c r="G1342" s="75" t="str">
        <x:f>IF('당기원장'!A342="","",'당기원장'!H342)</x:f>
      </x:c>
      <x:c r="H1342" s="73" t="str">
        <x:f>IF('당기원장'!A342="","",'당기원장'!I342)</x:f>
      </x:c>
      <x:c r="I1342" s="73" t="str">
        <x:f>IF('당기원장'!A342="","",'당기원장'!J342)</x:f>
      </x:c>
      <x:c r="J1342" s="73" t="str">
        <x:f>IF('당기원장'!A342="","",'당기원장'!K342)</x:f>
      </x:c>
      <x:c r="K1342" s="73" t="str">
        <x:f>IF(B1342="","",IF(COUNTIF($B$5:B1342,B1342)=1,COUNT($K$4:K1341)+1,""))</x:f>
      </x:c>
      <x:c r="L1342" s="85" t="str">
        <x:f>IF(B1342="","",IF(COUNTIFS('계정비교'!$A$5:$A$1004,B1342,'계정비교'!$H$5:$H$1004,"원인분석 대상")&gt;0,COUNT($L$4:L1341)+1,""))</x:f>
      </x:c>
    </x:row>
    <x:row r="1343">
      <x:c r="A1343" s="73" t="str">
        <x:f>IF('당기원장'!A343="","","당기")</x:f>
      </x:c>
      <x:c r="B1343" s="73" t="str">
        <x:f>IF('당기원장'!A343="","",'당기원장'!A343)</x:f>
      </x:c>
      <x:c r="C1343" s="73" t="str">
        <x:f>IF('당기원장'!A343="","",'당기원장'!B343)</x:f>
      </x:c>
      <x:c r="D1343" s="74" t="str">
        <x:f>IF('당기원장'!A343="","",'당기원장'!C343)</x:f>
      </x:c>
      <x:c r="E1343" s="73" t="str">
        <x:f>IF('당기원장'!A343="","",'당기원장'!D343)</x:f>
      </x:c>
      <x:c r="F1343" s="73" t="str">
        <x:f>IF('당기원장'!A343="","",'당기원장'!E343)</x:f>
      </x:c>
      <x:c r="G1343" s="75" t="str">
        <x:f>IF('당기원장'!A343="","",'당기원장'!H343)</x:f>
      </x:c>
      <x:c r="H1343" s="73" t="str">
        <x:f>IF('당기원장'!A343="","",'당기원장'!I343)</x:f>
      </x:c>
      <x:c r="I1343" s="73" t="str">
        <x:f>IF('당기원장'!A343="","",'당기원장'!J343)</x:f>
      </x:c>
      <x:c r="J1343" s="73" t="str">
        <x:f>IF('당기원장'!A343="","",'당기원장'!K343)</x:f>
      </x:c>
      <x:c r="K1343" s="73" t="str">
        <x:f>IF(B1343="","",IF(COUNTIF($B$5:B1343,B1343)=1,COUNT($K$4:K1342)+1,""))</x:f>
      </x:c>
      <x:c r="L1343" s="85" t="str">
        <x:f>IF(B1343="","",IF(COUNTIFS('계정비교'!$A$5:$A$1004,B1343,'계정비교'!$H$5:$H$1004,"원인분석 대상")&gt;0,COUNT($L$4:L1342)+1,""))</x:f>
      </x:c>
    </x:row>
    <x:row r="1344">
      <x:c r="A1344" s="73" t="str">
        <x:f>IF('당기원장'!A344="","","당기")</x:f>
      </x:c>
      <x:c r="B1344" s="73" t="str">
        <x:f>IF('당기원장'!A344="","",'당기원장'!A344)</x:f>
      </x:c>
      <x:c r="C1344" s="73" t="str">
        <x:f>IF('당기원장'!A344="","",'당기원장'!B344)</x:f>
      </x:c>
      <x:c r="D1344" s="74" t="str">
        <x:f>IF('당기원장'!A344="","",'당기원장'!C344)</x:f>
      </x:c>
      <x:c r="E1344" s="73" t="str">
        <x:f>IF('당기원장'!A344="","",'당기원장'!D344)</x:f>
      </x:c>
      <x:c r="F1344" s="73" t="str">
        <x:f>IF('당기원장'!A344="","",'당기원장'!E344)</x:f>
      </x:c>
      <x:c r="G1344" s="75" t="str">
        <x:f>IF('당기원장'!A344="","",'당기원장'!H344)</x:f>
      </x:c>
      <x:c r="H1344" s="73" t="str">
        <x:f>IF('당기원장'!A344="","",'당기원장'!I344)</x:f>
      </x:c>
      <x:c r="I1344" s="73" t="str">
        <x:f>IF('당기원장'!A344="","",'당기원장'!J344)</x:f>
      </x:c>
      <x:c r="J1344" s="73" t="str">
        <x:f>IF('당기원장'!A344="","",'당기원장'!K344)</x:f>
      </x:c>
      <x:c r="K1344" s="73" t="str">
        <x:f>IF(B1344="","",IF(COUNTIF($B$5:B1344,B1344)=1,COUNT($K$4:K1343)+1,""))</x:f>
      </x:c>
      <x:c r="L1344" s="85" t="str">
        <x:f>IF(B1344="","",IF(COUNTIFS('계정비교'!$A$5:$A$1004,B1344,'계정비교'!$H$5:$H$1004,"원인분석 대상")&gt;0,COUNT($L$4:L1343)+1,""))</x:f>
      </x:c>
    </x:row>
    <x:row r="1345">
      <x:c r="A1345" s="73" t="str">
        <x:f>IF('당기원장'!A345="","","당기")</x:f>
      </x:c>
      <x:c r="B1345" s="73" t="str">
        <x:f>IF('당기원장'!A345="","",'당기원장'!A345)</x:f>
      </x:c>
      <x:c r="C1345" s="73" t="str">
        <x:f>IF('당기원장'!A345="","",'당기원장'!B345)</x:f>
      </x:c>
      <x:c r="D1345" s="74" t="str">
        <x:f>IF('당기원장'!A345="","",'당기원장'!C345)</x:f>
      </x:c>
      <x:c r="E1345" s="73" t="str">
        <x:f>IF('당기원장'!A345="","",'당기원장'!D345)</x:f>
      </x:c>
      <x:c r="F1345" s="73" t="str">
        <x:f>IF('당기원장'!A345="","",'당기원장'!E345)</x:f>
      </x:c>
      <x:c r="G1345" s="75" t="str">
        <x:f>IF('당기원장'!A345="","",'당기원장'!H345)</x:f>
      </x:c>
      <x:c r="H1345" s="73" t="str">
        <x:f>IF('당기원장'!A345="","",'당기원장'!I345)</x:f>
      </x:c>
      <x:c r="I1345" s="73" t="str">
        <x:f>IF('당기원장'!A345="","",'당기원장'!J345)</x:f>
      </x:c>
      <x:c r="J1345" s="73" t="str">
        <x:f>IF('당기원장'!A345="","",'당기원장'!K345)</x:f>
      </x:c>
      <x:c r="K1345" s="73" t="str">
        <x:f>IF(B1345="","",IF(COUNTIF($B$5:B1345,B1345)=1,COUNT($K$4:K1344)+1,""))</x:f>
      </x:c>
      <x:c r="L1345" s="85" t="str">
        <x:f>IF(B1345="","",IF(COUNTIFS('계정비교'!$A$5:$A$1004,B1345,'계정비교'!$H$5:$H$1004,"원인분석 대상")&gt;0,COUNT($L$4:L1344)+1,""))</x:f>
      </x:c>
    </x:row>
    <x:row r="1346">
      <x:c r="A1346" s="73" t="str">
        <x:f>IF('당기원장'!A346="","","당기")</x:f>
      </x:c>
      <x:c r="B1346" s="73" t="str">
        <x:f>IF('당기원장'!A346="","",'당기원장'!A346)</x:f>
      </x:c>
      <x:c r="C1346" s="73" t="str">
        <x:f>IF('당기원장'!A346="","",'당기원장'!B346)</x:f>
      </x:c>
      <x:c r="D1346" s="74" t="str">
        <x:f>IF('당기원장'!A346="","",'당기원장'!C346)</x:f>
      </x:c>
      <x:c r="E1346" s="73" t="str">
        <x:f>IF('당기원장'!A346="","",'당기원장'!D346)</x:f>
      </x:c>
      <x:c r="F1346" s="73" t="str">
        <x:f>IF('당기원장'!A346="","",'당기원장'!E346)</x:f>
      </x:c>
      <x:c r="G1346" s="75" t="str">
        <x:f>IF('당기원장'!A346="","",'당기원장'!H346)</x:f>
      </x:c>
      <x:c r="H1346" s="73" t="str">
        <x:f>IF('당기원장'!A346="","",'당기원장'!I346)</x:f>
      </x:c>
      <x:c r="I1346" s="73" t="str">
        <x:f>IF('당기원장'!A346="","",'당기원장'!J346)</x:f>
      </x:c>
      <x:c r="J1346" s="73" t="str">
        <x:f>IF('당기원장'!A346="","",'당기원장'!K346)</x:f>
      </x:c>
      <x:c r="K1346" s="73" t="str">
        <x:f>IF(B1346="","",IF(COUNTIF($B$5:B1346,B1346)=1,COUNT($K$4:K1345)+1,""))</x:f>
      </x:c>
      <x:c r="L1346" s="85" t="str">
        <x:f>IF(B1346="","",IF(COUNTIFS('계정비교'!$A$5:$A$1004,B1346,'계정비교'!$H$5:$H$1004,"원인분석 대상")&gt;0,COUNT($L$4:L1345)+1,""))</x:f>
      </x:c>
    </x:row>
    <x:row r="1347">
      <x:c r="A1347" s="73" t="str">
        <x:f>IF('당기원장'!A347="","","당기")</x:f>
      </x:c>
      <x:c r="B1347" s="73" t="str">
        <x:f>IF('당기원장'!A347="","",'당기원장'!A347)</x:f>
      </x:c>
      <x:c r="C1347" s="73" t="str">
        <x:f>IF('당기원장'!A347="","",'당기원장'!B347)</x:f>
      </x:c>
      <x:c r="D1347" s="74" t="str">
        <x:f>IF('당기원장'!A347="","",'당기원장'!C347)</x:f>
      </x:c>
      <x:c r="E1347" s="73" t="str">
        <x:f>IF('당기원장'!A347="","",'당기원장'!D347)</x:f>
      </x:c>
      <x:c r="F1347" s="73" t="str">
        <x:f>IF('당기원장'!A347="","",'당기원장'!E347)</x:f>
      </x:c>
      <x:c r="G1347" s="75" t="str">
        <x:f>IF('당기원장'!A347="","",'당기원장'!H347)</x:f>
      </x:c>
      <x:c r="H1347" s="73" t="str">
        <x:f>IF('당기원장'!A347="","",'당기원장'!I347)</x:f>
      </x:c>
      <x:c r="I1347" s="73" t="str">
        <x:f>IF('당기원장'!A347="","",'당기원장'!J347)</x:f>
      </x:c>
      <x:c r="J1347" s="73" t="str">
        <x:f>IF('당기원장'!A347="","",'당기원장'!K347)</x:f>
      </x:c>
      <x:c r="K1347" s="73" t="str">
        <x:f>IF(B1347="","",IF(COUNTIF($B$5:B1347,B1347)=1,COUNT($K$4:K1346)+1,""))</x:f>
      </x:c>
      <x:c r="L1347" s="85" t="str">
        <x:f>IF(B1347="","",IF(COUNTIFS('계정비교'!$A$5:$A$1004,B1347,'계정비교'!$H$5:$H$1004,"원인분석 대상")&gt;0,COUNT($L$4:L1346)+1,""))</x:f>
      </x:c>
    </x:row>
    <x:row r="1348">
      <x:c r="A1348" s="73" t="str">
        <x:f>IF('당기원장'!A348="","","당기")</x:f>
      </x:c>
      <x:c r="B1348" s="73" t="str">
        <x:f>IF('당기원장'!A348="","",'당기원장'!A348)</x:f>
      </x:c>
      <x:c r="C1348" s="73" t="str">
        <x:f>IF('당기원장'!A348="","",'당기원장'!B348)</x:f>
      </x:c>
      <x:c r="D1348" s="74" t="str">
        <x:f>IF('당기원장'!A348="","",'당기원장'!C348)</x:f>
      </x:c>
      <x:c r="E1348" s="73" t="str">
        <x:f>IF('당기원장'!A348="","",'당기원장'!D348)</x:f>
      </x:c>
      <x:c r="F1348" s="73" t="str">
        <x:f>IF('당기원장'!A348="","",'당기원장'!E348)</x:f>
      </x:c>
      <x:c r="G1348" s="75" t="str">
        <x:f>IF('당기원장'!A348="","",'당기원장'!H348)</x:f>
      </x:c>
      <x:c r="H1348" s="73" t="str">
        <x:f>IF('당기원장'!A348="","",'당기원장'!I348)</x:f>
      </x:c>
      <x:c r="I1348" s="73" t="str">
        <x:f>IF('당기원장'!A348="","",'당기원장'!J348)</x:f>
      </x:c>
      <x:c r="J1348" s="73" t="str">
        <x:f>IF('당기원장'!A348="","",'당기원장'!K348)</x:f>
      </x:c>
      <x:c r="K1348" s="73" t="str">
        <x:f>IF(B1348="","",IF(COUNTIF($B$5:B1348,B1348)=1,COUNT($K$4:K1347)+1,""))</x:f>
      </x:c>
      <x:c r="L1348" s="85" t="str">
        <x:f>IF(B1348="","",IF(COUNTIFS('계정비교'!$A$5:$A$1004,B1348,'계정비교'!$H$5:$H$1004,"원인분석 대상")&gt;0,COUNT($L$4:L1347)+1,""))</x:f>
      </x:c>
    </x:row>
    <x:row r="1349">
      <x:c r="A1349" s="73" t="str">
        <x:f>IF('당기원장'!A349="","","당기")</x:f>
      </x:c>
      <x:c r="B1349" s="73" t="str">
        <x:f>IF('당기원장'!A349="","",'당기원장'!A349)</x:f>
      </x:c>
      <x:c r="C1349" s="73" t="str">
        <x:f>IF('당기원장'!A349="","",'당기원장'!B349)</x:f>
      </x:c>
      <x:c r="D1349" s="74" t="str">
        <x:f>IF('당기원장'!A349="","",'당기원장'!C349)</x:f>
      </x:c>
      <x:c r="E1349" s="73" t="str">
        <x:f>IF('당기원장'!A349="","",'당기원장'!D349)</x:f>
      </x:c>
      <x:c r="F1349" s="73" t="str">
        <x:f>IF('당기원장'!A349="","",'당기원장'!E349)</x:f>
      </x:c>
      <x:c r="G1349" s="75" t="str">
        <x:f>IF('당기원장'!A349="","",'당기원장'!H349)</x:f>
      </x:c>
      <x:c r="H1349" s="73" t="str">
        <x:f>IF('당기원장'!A349="","",'당기원장'!I349)</x:f>
      </x:c>
      <x:c r="I1349" s="73" t="str">
        <x:f>IF('당기원장'!A349="","",'당기원장'!J349)</x:f>
      </x:c>
      <x:c r="J1349" s="73" t="str">
        <x:f>IF('당기원장'!A349="","",'당기원장'!K349)</x:f>
      </x:c>
      <x:c r="K1349" s="73" t="str">
        <x:f>IF(B1349="","",IF(COUNTIF($B$5:B1349,B1349)=1,COUNT($K$4:K1348)+1,""))</x:f>
      </x:c>
      <x:c r="L1349" s="85" t="str">
        <x:f>IF(B1349="","",IF(COUNTIFS('계정비교'!$A$5:$A$1004,B1349,'계정비교'!$H$5:$H$1004,"원인분석 대상")&gt;0,COUNT($L$4:L1348)+1,""))</x:f>
      </x:c>
    </x:row>
    <x:row r="1350">
      <x:c r="A1350" s="73" t="str">
        <x:f>IF('당기원장'!A350="","","당기")</x:f>
      </x:c>
      <x:c r="B1350" s="73" t="str">
        <x:f>IF('당기원장'!A350="","",'당기원장'!A350)</x:f>
      </x:c>
      <x:c r="C1350" s="73" t="str">
        <x:f>IF('당기원장'!A350="","",'당기원장'!B350)</x:f>
      </x:c>
      <x:c r="D1350" s="74" t="str">
        <x:f>IF('당기원장'!A350="","",'당기원장'!C350)</x:f>
      </x:c>
      <x:c r="E1350" s="73" t="str">
        <x:f>IF('당기원장'!A350="","",'당기원장'!D350)</x:f>
      </x:c>
      <x:c r="F1350" s="73" t="str">
        <x:f>IF('당기원장'!A350="","",'당기원장'!E350)</x:f>
      </x:c>
      <x:c r="G1350" s="75" t="str">
        <x:f>IF('당기원장'!A350="","",'당기원장'!H350)</x:f>
      </x:c>
      <x:c r="H1350" s="73" t="str">
        <x:f>IF('당기원장'!A350="","",'당기원장'!I350)</x:f>
      </x:c>
      <x:c r="I1350" s="73" t="str">
        <x:f>IF('당기원장'!A350="","",'당기원장'!J350)</x:f>
      </x:c>
      <x:c r="J1350" s="73" t="str">
        <x:f>IF('당기원장'!A350="","",'당기원장'!K350)</x:f>
      </x:c>
      <x:c r="K1350" s="73" t="str">
        <x:f>IF(B1350="","",IF(COUNTIF($B$5:B1350,B1350)=1,COUNT($K$4:K1349)+1,""))</x:f>
      </x:c>
      <x:c r="L1350" s="85" t="str">
        <x:f>IF(B1350="","",IF(COUNTIFS('계정비교'!$A$5:$A$1004,B1350,'계정비교'!$H$5:$H$1004,"원인분석 대상")&gt;0,COUNT($L$4:L1349)+1,""))</x:f>
      </x:c>
    </x:row>
    <x:row r="1351">
      <x:c r="A1351" s="73" t="str">
        <x:f>IF('당기원장'!A351="","","당기")</x:f>
      </x:c>
      <x:c r="B1351" s="73" t="str">
        <x:f>IF('당기원장'!A351="","",'당기원장'!A351)</x:f>
      </x:c>
      <x:c r="C1351" s="73" t="str">
        <x:f>IF('당기원장'!A351="","",'당기원장'!B351)</x:f>
      </x:c>
      <x:c r="D1351" s="74" t="str">
        <x:f>IF('당기원장'!A351="","",'당기원장'!C351)</x:f>
      </x:c>
      <x:c r="E1351" s="73" t="str">
        <x:f>IF('당기원장'!A351="","",'당기원장'!D351)</x:f>
      </x:c>
      <x:c r="F1351" s="73" t="str">
        <x:f>IF('당기원장'!A351="","",'당기원장'!E351)</x:f>
      </x:c>
      <x:c r="G1351" s="75" t="str">
        <x:f>IF('당기원장'!A351="","",'당기원장'!H351)</x:f>
      </x:c>
      <x:c r="H1351" s="73" t="str">
        <x:f>IF('당기원장'!A351="","",'당기원장'!I351)</x:f>
      </x:c>
      <x:c r="I1351" s="73" t="str">
        <x:f>IF('당기원장'!A351="","",'당기원장'!J351)</x:f>
      </x:c>
      <x:c r="J1351" s="73" t="str">
        <x:f>IF('당기원장'!A351="","",'당기원장'!K351)</x:f>
      </x:c>
      <x:c r="K1351" s="73" t="str">
        <x:f>IF(B1351="","",IF(COUNTIF($B$5:B1351,B1351)=1,COUNT($K$4:K1350)+1,""))</x:f>
      </x:c>
      <x:c r="L1351" s="85" t="str">
        <x:f>IF(B1351="","",IF(COUNTIFS('계정비교'!$A$5:$A$1004,B1351,'계정비교'!$H$5:$H$1004,"원인분석 대상")&gt;0,COUNT($L$4:L1350)+1,""))</x:f>
      </x:c>
    </x:row>
    <x:row r="1352">
      <x:c r="A1352" s="73" t="str">
        <x:f>IF('당기원장'!A352="","","당기")</x:f>
      </x:c>
      <x:c r="B1352" s="73" t="str">
        <x:f>IF('당기원장'!A352="","",'당기원장'!A352)</x:f>
      </x:c>
      <x:c r="C1352" s="73" t="str">
        <x:f>IF('당기원장'!A352="","",'당기원장'!B352)</x:f>
      </x:c>
      <x:c r="D1352" s="74" t="str">
        <x:f>IF('당기원장'!A352="","",'당기원장'!C352)</x:f>
      </x:c>
      <x:c r="E1352" s="73" t="str">
        <x:f>IF('당기원장'!A352="","",'당기원장'!D352)</x:f>
      </x:c>
      <x:c r="F1352" s="73" t="str">
        <x:f>IF('당기원장'!A352="","",'당기원장'!E352)</x:f>
      </x:c>
      <x:c r="G1352" s="75" t="str">
        <x:f>IF('당기원장'!A352="","",'당기원장'!H352)</x:f>
      </x:c>
      <x:c r="H1352" s="73" t="str">
        <x:f>IF('당기원장'!A352="","",'당기원장'!I352)</x:f>
      </x:c>
      <x:c r="I1352" s="73" t="str">
        <x:f>IF('당기원장'!A352="","",'당기원장'!J352)</x:f>
      </x:c>
      <x:c r="J1352" s="73" t="str">
        <x:f>IF('당기원장'!A352="","",'당기원장'!K352)</x:f>
      </x:c>
      <x:c r="K1352" s="73" t="str">
        <x:f>IF(B1352="","",IF(COUNTIF($B$5:B1352,B1352)=1,COUNT($K$4:K1351)+1,""))</x:f>
      </x:c>
      <x:c r="L1352" s="85" t="str">
        <x:f>IF(B1352="","",IF(COUNTIFS('계정비교'!$A$5:$A$1004,B1352,'계정비교'!$H$5:$H$1004,"원인분석 대상")&gt;0,COUNT($L$4:L1351)+1,""))</x:f>
      </x:c>
    </x:row>
    <x:row r="1353">
      <x:c r="A1353" s="73" t="str">
        <x:f>IF('당기원장'!A353="","","당기")</x:f>
      </x:c>
      <x:c r="B1353" s="73" t="str">
        <x:f>IF('당기원장'!A353="","",'당기원장'!A353)</x:f>
      </x:c>
      <x:c r="C1353" s="73" t="str">
        <x:f>IF('당기원장'!A353="","",'당기원장'!B353)</x:f>
      </x:c>
      <x:c r="D1353" s="74" t="str">
        <x:f>IF('당기원장'!A353="","",'당기원장'!C353)</x:f>
      </x:c>
      <x:c r="E1353" s="73" t="str">
        <x:f>IF('당기원장'!A353="","",'당기원장'!D353)</x:f>
      </x:c>
      <x:c r="F1353" s="73" t="str">
        <x:f>IF('당기원장'!A353="","",'당기원장'!E353)</x:f>
      </x:c>
      <x:c r="G1353" s="75" t="str">
        <x:f>IF('당기원장'!A353="","",'당기원장'!H353)</x:f>
      </x:c>
      <x:c r="H1353" s="73" t="str">
        <x:f>IF('당기원장'!A353="","",'당기원장'!I353)</x:f>
      </x:c>
      <x:c r="I1353" s="73" t="str">
        <x:f>IF('당기원장'!A353="","",'당기원장'!J353)</x:f>
      </x:c>
      <x:c r="J1353" s="73" t="str">
        <x:f>IF('당기원장'!A353="","",'당기원장'!K353)</x:f>
      </x:c>
      <x:c r="K1353" s="73" t="str">
        <x:f>IF(B1353="","",IF(COUNTIF($B$5:B1353,B1353)=1,COUNT($K$4:K1352)+1,""))</x:f>
      </x:c>
      <x:c r="L1353" s="85" t="str">
        <x:f>IF(B1353="","",IF(COUNTIFS('계정비교'!$A$5:$A$1004,B1353,'계정비교'!$H$5:$H$1004,"원인분석 대상")&gt;0,COUNT($L$4:L1352)+1,""))</x:f>
      </x:c>
    </x:row>
    <x:row r="1354">
      <x:c r="A1354" s="73" t="str">
        <x:f>IF('당기원장'!A354="","","당기")</x:f>
      </x:c>
      <x:c r="B1354" s="73" t="str">
        <x:f>IF('당기원장'!A354="","",'당기원장'!A354)</x:f>
      </x:c>
      <x:c r="C1354" s="73" t="str">
        <x:f>IF('당기원장'!A354="","",'당기원장'!B354)</x:f>
      </x:c>
      <x:c r="D1354" s="74" t="str">
        <x:f>IF('당기원장'!A354="","",'당기원장'!C354)</x:f>
      </x:c>
      <x:c r="E1354" s="73" t="str">
        <x:f>IF('당기원장'!A354="","",'당기원장'!D354)</x:f>
      </x:c>
      <x:c r="F1354" s="73" t="str">
        <x:f>IF('당기원장'!A354="","",'당기원장'!E354)</x:f>
      </x:c>
      <x:c r="G1354" s="75" t="str">
        <x:f>IF('당기원장'!A354="","",'당기원장'!H354)</x:f>
      </x:c>
      <x:c r="H1354" s="73" t="str">
        <x:f>IF('당기원장'!A354="","",'당기원장'!I354)</x:f>
      </x:c>
      <x:c r="I1354" s="73" t="str">
        <x:f>IF('당기원장'!A354="","",'당기원장'!J354)</x:f>
      </x:c>
      <x:c r="J1354" s="73" t="str">
        <x:f>IF('당기원장'!A354="","",'당기원장'!K354)</x:f>
      </x:c>
      <x:c r="K1354" s="73" t="str">
        <x:f>IF(B1354="","",IF(COUNTIF($B$5:B1354,B1354)=1,COUNT($K$4:K1353)+1,""))</x:f>
      </x:c>
      <x:c r="L1354" s="85" t="str">
        <x:f>IF(B1354="","",IF(COUNTIFS('계정비교'!$A$5:$A$1004,B1354,'계정비교'!$H$5:$H$1004,"원인분석 대상")&gt;0,COUNT($L$4:L1353)+1,""))</x:f>
      </x:c>
    </x:row>
    <x:row r="1355">
      <x:c r="A1355" s="73" t="str">
        <x:f>IF('당기원장'!A355="","","당기")</x:f>
      </x:c>
      <x:c r="B1355" s="73" t="str">
        <x:f>IF('당기원장'!A355="","",'당기원장'!A355)</x:f>
      </x:c>
      <x:c r="C1355" s="73" t="str">
        <x:f>IF('당기원장'!A355="","",'당기원장'!B355)</x:f>
      </x:c>
      <x:c r="D1355" s="74" t="str">
        <x:f>IF('당기원장'!A355="","",'당기원장'!C355)</x:f>
      </x:c>
      <x:c r="E1355" s="73" t="str">
        <x:f>IF('당기원장'!A355="","",'당기원장'!D355)</x:f>
      </x:c>
      <x:c r="F1355" s="73" t="str">
        <x:f>IF('당기원장'!A355="","",'당기원장'!E355)</x:f>
      </x:c>
      <x:c r="G1355" s="75" t="str">
        <x:f>IF('당기원장'!A355="","",'당기원장'!H355)</x:f>
      </x:c>
      <x:c r="H1355" s="73" t="str">
        <x:f>IF('당기원장'!A355="","",'당기원장'!I355)</x:f>
      </x:c>
      <x:c r="I1355" s="73" t="str">
        <x:f>IF('당기원장'!A355="","",'당기원장'!J355)</x:f>
      </x:c>
      <x:c r="J1355" s="73" t="str">
        <x:f>IF('당기원장'!A355="","",'당기원장'!K355)</x:f>
      </x:c>
      <x:c r="K1355" s="73" t="str">
        <x:f>IF(B1355="","",IF(COUNTIF($B$5:B1355,B1355)=1,COUNT($K$4:K1354)+1,""))</x:f>
      </x:c>
      <x:c r="L1355" s="85" t="str">
        <x:f>IF(B1355="","",IF(COUNTIFS('계정비교'!$A$5:$A$1004,B1355,'계정비교'!$H$5:$H$1004,"원인분석 대상")&gt;0,COUNT($L$4:L1354)+1,""))</x:f>
      </x:c>
    </x:row>
    <x:row r="1356">
      <x:c r="A1356" s="73" t="str">
        <x:f>IF('당기원장'!A356="","","당기")</x:f>
      </x:c>
      <x:c r="B1356" s="73" t="str">
        <x:f>IF('당기원장'!A356="","",'당기원장'!A356)</x:f>
      </x:c>
      <x:c r="C1356" s="73" t="str">
        <x:f>IF('당기원장'!A356="","",'당기원장'!B356)</x:f>
      </x:c>
      <x:c r="D1356" s="74" t="str">
        <x:f>IF('당기원장'!A356="","",'당기원장'!C356)</x:f>
      </x:c>
      <x:c r="E1356" s="73" t="str">
        <x:f>IF('당기원장'!A356="","",'당기원장'!D356)</x:f>
      </x:c>
      <x:c r="F1356" s="73" t="str">
        <x:f>IF('당기원장'!A356="","",'당기원장'!E356)</x:f>
      </x:c>
      <x:c r="G1356" s="75" t="str">
        <x:f>IF('당기원장'!A356="","",'당기원장'!H356)</x:f>
      </x:c>
      <x:c r="H1356" s="73" t="str">
        <x:f>IF('당기원장'!A356="","",'당기원장'!I356)</x:f>
      </x:c>
      <x:c r="I1356" s="73" t="str">
        <x:f>IF('당기원장'!A356="","",'당기원장'!J356)</x:f>
      </x:c>
      <x:c r="J1356" s="73" t="str">
        <x:f>IF('당기원장'!A356="","",'당기원장'!K356)</x:f>
      </x:c>
      <x:c r="K1356" s="73" t="str">
        <x:f>IF(B1356="","",IF(COUNTIF($B$5:B1356,B1356)=1,COUNT($K$4:K1355)+1,""))</x:f>
      </x:c>
      <x:c r="L1356" s="85" t="str">
        <x:f>IF(B1356="","",IF(COUNTIFS('계정비교'!$A$5:$A$1004,B1356,'계정비교'!$H$5:$H$1004,"원인분석 대상")&gt;0,COUNT($L$4:L1355)+1,""))</x:f>
      </x:c>
    </x:row>
    <x:row r="1357">
      <x:c r="A1357" s="73" t="str">
        <x:f>IF('당기원장'!A357="","","당기")</x:f>
      </x:c>
      <x:c r="B1357" s="73" t="str">
        <x:f>IF('당기원장'!A357="","",'당기원장'!A357)</x:f>
      </x:c>
      <x:c r="C1357" s="73" t="str">
        <x:f>IF('당기원장'!A357="","",'당기원장'!B357)</x:f>
      </x:c>
      <x:c r="D1357" s="74" t="str">
        <x:f>IF('당기원장'!A357="","",'당기원장'!C357)</x:f>
      </x:c>
      <x:c r="E1357" s="73" t="str">
        <x:f>IF('당기원장'!A357="","",'당기원장'!D357)</x:f>
      </x:c>
      <x:c r="F1357" s="73" t="str">
        <x:f>IF('당기원장'!A357="","",'당기원장'!E357)</x:f>
      </x:c>
      <x:c r="G1357" s="75" t="str">
        <x:f>IF('당기원장'!A357="","",'당기원장'!H357)</x:f>
      </x:c>
      <x:c r="H1357" s="73" t="str">
        <x:f>IF('당기원장'!A357="","",'당기원장'!I357)</x:f>
      </x:c>
      <x:c r="I1357" s="73" t="str">
        <x:f>IF('당기원장'!A357="","",'당기원장'!J357)</x:f>
      </x:c>
      <x:c r="J1357" s="73" t="str">
        <x:f>IF('당기원장'!A357="","",'당기원장'!K357)</x:f>
      </x:c>
      <x:c r="K1357" s="73" t="str">
        <x:f>IF(B1357="","",IF(COUNTIF($B$5:B1357,B1357)=1,COUNT($K$4:K1356)+1,""))</x:f>
      </x:c>
      <x:c r="L1357" s="85" t="str">
        <x:f>IF(B1357="","",IF(COUNTIFS('계정비교'!$A$5:$A$1004,B1357,'계정비교'!$H$5:$H$1004,"원인분석 대상")&gt;0,COUNT($L$4:L1356)+1,""))</x:f>
      </x:c>
    </x:row>
    <x:row r="1358">
      <x:c r="A1358" s="73" t="str">
        <x:f>IF('당기원장'!A358="","","당기")</x:f>
      </x:c>
      <x:c r="B1358" s="73" t="str">
        <x:f>IF('당기원장'!A358="","",'당기원장'!A358)</x:f>
      </x:c>
      <x:c r="C1358" s="73" t="str">
        <x:f>IF('당기원장'!A358="","",'당기원장'!B358)</x:f>
      </x:c>
      <x:c r="D1358" s="74" t="str">
        <x:f>IF('당기원장'!A358="","",'당기원장'!C358)</x:f>
      </x:c>
      <x:c r="E1358" s="73" t="str">
        <x:f>IF('당기원장'!A358="","",'당기원장'!D358)</x:f>
      </x:c>
      <x:c r="F1358" s="73" t="str">
        <x:f>IF('당기원장'!A358="","",'당기원장'!E358)</x:f>
      </x:c>
      <x:c r="G1358" s="75" t="str">
        <x:f>IF('당기원장'!A358="","",'당기원장'!H358)</x:f>
      </x:c>
      <x:c r="H1358" s="73" t="str">
        <x:f>IF('당기원장'!A358="","",'당기원장'!I358)</x:f>
      </x:c>
      <x:c r="I1358" s="73" t="str">
        <x:f>IF('당기원장'!A358="","",'당기원장'!J358)</x:f>
      </x:c>
      <x:c r="J1358" s="73" t="str">
        <x:f>IF('당기원장'!A358="","",'당기원장'!K358)</x:f>
      </x:c>
      <x:c r="K1358" s="73" t="str">
        <x:f>IF(B1358="","",IF(COUNTIF($B$5:B1358,B1358)=1,COUNT($K$4:K1357)+1,""))</x:f>
      </x:c>
      <x:c r="L1358" s="85" t="str">
        <x:f>IF(B1358="","",IF(COUNTIFS('계정비교'!$A$5:$A$1004,B1358,'계정비교'!$H$5:$H$1004,"원인분석 대상")&gt;0,COUNT($L$4:L1357)+1,""))</x:f>
      </x:c>
    </x:row>
    <x:row r="1359">
      <x:c r="A1359" s="73" t="str">
        <x:f>IF('당기원장'!A359="","","당기")</x:f>
      </x:c>
      <x:c r="B1359" s="73" t="str">
        <x:f>IF('당기원장'!A359="","",'당기원장'!A359)</x:f>
      </x:c>
      <x:c r="C1359" s="73" t="str">
        <x:f>IF('당기원장'!A359="","",'당기원장'!B359)</x:f>
      </x:c>
      <x:c r="D1359" s="74" t="str">
        <x:f>IF('당기원장'!A359="","",'당기원장'!C359)</x:f>
      </x:c>
      <x:c r="E1359" s="73" t="str">
        <x:f>IF('당기원장'!A359="","",'당기원장'!D359)</x:f>
      </x:c>
      <x:c r="F1359" s="73" t="str">
        <x:f>IF('당기원장'!A359="","",'당기원장'!E359)</x:f>
      </x:c>
      <x:c r="G1359" s="75" t="str">
        <x:f>IF('당기원장'!A359="","",'당기원장'!H359)</x:f>
      </x:c>
      <x:c r="H1359" s="73" t="str">
        <x:f>IF('당기원장'!A359="","",'당기원장'!I359)</x:f>
      </x:c>
      <x:c r="I1359" s="73" t="str">
        <x:f>IF('당기원장'!A359="","",'당기원장'!J359)</x:f>
      </x:c>
      <x:c r="J1359" s="73" t="str">
        <x:f>IF('당기원장'!A359="","",'당기원장'!K359)</x:f>
      </x:c>
      <x:c r="K1359" s="73" t="str">
        <x:f>IF(B1359="","",IF(COUNTIF($B$5:B1359,B1359)=1,COUNT($K$4:K1358)+1,""))</x:f>
      </x:c>
      <x:c r="L1359" s="85" t="str">
        <x:f>IF(B1359="","",IF(COUNTIFS('계정비교'!$A$5:$A$1004,B1359,'계정비교'!$H$5:$H$1004,"원인분석 대상")&gt;0,COUNT($L$4:L1358)+1,""))</x:f>
      </x:c>
    </x:row>
    <x:row r="1360">
      <x:c r="A1360" s="73" t="str">
        <x:f>IF('당기원장'!A360="","","당기")</x:f>
      </x:c>
      <x:c r="B1360" s="73" t="str">
        <x:f>IF('당기원장'!A360="","",'당기원장'!A360)</x:f>
      </x:c>
      <x:c r="C1360" s="73" t="str">
        <x:f>IF('당기원장'!A360="","",'당기원장'!B360)</x:f>
      </x:c>
      <x:c r="D1360" s="74" t="str">
        <x:f>IF('당기원장'!A360="","",'당기원장'!C360)</x:f>
      </x:c>
      <x:c r="E1360" s="73" t="str">
        <x:f>IF('당기원장'!A360="","",'당기원장'!D360)</x:f>
      </x:c>
      <x:c r="F1360" s="73" t="str">
        <x:f>IF('당기원장'!A360="","",'당기원장'!E360)</x:f>
      </x:c>
      <x:c r="G1360" s="75" t="str">
        <x:f>IF('당기원장'!A360="","",'당기원장'!H360)</x:f>
      </x:c>
      <x:c r="H1360" s="73" t="str">
        <x:f>IF('당기원장'!A360="","",'당기원장'!I360)</x:f>
      </x:c>
      <x:c r="I1360" s="73" t="str">
        <x:f>IF('당기원장'!A360="","",'당기원장'!J360)</x:f>
      </x:c>
      <x:c r="J1360" s="73" t="str">
        <x:f>IF('당기원장'!A360="","",'당기원장'!K360)</x:f>
      </x:c>
      <x:c r="K1360" s="73" t="str">
        <x:f>IF(B1360="","",IF(COUNTIF($B$5:B1360,B1360)=1,COUNT($K$4:K1359)+1,""))</x:f>
      </x:c>
      <x:c r="L1360" s="85" t="str">
        <x:f>IF(B1360="","",IF(COUNTIFS('계정비교'!$A$5:$A$1004,B1360,'계정비교'!$H$5:$H$1004,"원인분석 대상")&gt;0,COUNT($L$4:L1359)+1,""))</x:f>
      </x:c>
    </x:row>
    <x:row r="1361">
      <x:c r="A1361" s="73" t="str">
        <x:f>IF('당기원장'!A361="","","당기")</x:f>
      </x:c>
      <x:c r="B1361" s="73" t="str">
        <x:f>IF('당기원장'!A361="","",'당기원장'!A361)</x:f>
      </x:c>
      <x:c r="C1361" s="73" t="str">
        <x:f>IF('당기원장'!A361="","",'당기원장'!B361)</x:f>
      </x:c>
      <x:c r="D1361" s="74" t="str">
        <x:f>IF('당기원장'!A361="","",'당기원장'!C361)</x:f>
      </x:c>
      <x:c r="E1361" s="73" t="str">
        <x:f>IF('당기원장'!A361="","",'당기원장'!D361)</x:f>
      </x:c>
      <x:c r="F1361" s="73" t="str">
        <x:f>IF('당기원장'!A361="","",'당기원장'!E361)</x:f>
      </x:c>
      <x:c r="G1361" s="75" t="str">
        <x:f>IF('당기원장'!A361="","",'당기원장'!H361)</x:f>
      </x:c>
      <x:c r="H1361" s="73" t="str">
        <x:f>IF('당기원장'!A361="","",'당기원장'!I361)</x:f>
      </x:c>
      <x:c r="I1361" s="73" t="str">
        <x:f>IF('당기원장'!A361="","",'당기원장'!J361)</x:f>
      </x:c>
      <x:c r="J1361" s="73" t="str">
        <x:f>IF('당기원장'!A361="","",'당기원장'!K361)</x:f>
      </x:c>
      <x:c r="K1361" s="73" t="str">
        <x:f>IF(B1361="","",IF(COUNTIF($B$5:B1361,B1361)=1,COUNT($K$4:K1360)+1,""))</x:f>
      </x:c>
      <x:c r="L1361" s="85" t="str">
        <x:f>IF(B1361="","",IF(COUNTIFS('계정비교'!$A$5:$A$1004,B1361,'계정비교'!$H$5:$H$1004,"원인분석 대상")&gt;0,COUNT($L$4:L1360)+1,""))</x:f>
      </x:c>
    </x:row>
    <x:row r="1362">
      <x:c r="A1362" s="73" t="str">
        <x:f>IF('당기원장'!A362="","","당기")</x:f>
      </x:c>
      <x:c r="B1362" s="73" t="str">
        <x:f>IF('당기원장'!A362="","",'당기원장'!A362)</x:f>
      </x:c>
      <x:c r="C1362" s="73" t="str">
        <x:f>IF('당기원장'!A362="","",'당기원장'!B362)</x:f>
      </x:c>
      <x:c r="D1362" s="74" t="str">
        <x:f>IF('당기원장'!A362="","",'당기원장'!C362)</x:f>
      </x:c>
      <x:c r="E1362" s="73" t="str">
        <x:f>IF('당기원장'!A362="","",'당기원장'!D362)</x:f>
      </x:c>
      <x:c r="F1362" s="73" t="str">
        <x:f>IF('당기원장'!A362="","",'당기원장'!E362)</x:f>
      </x:c>
      <x:c r="G1362" s="75" t="str">
        <x:f>IF('당기원장'!A362="","",'당기원장'!H362)</x:f>
      </x:c>
      <x:c r="H1362" s="73" t="str">
        <x:f>IF('당기원장'!A362="","",'당기원장'!I362)</x:f>
      </x:c>
      <x:c r="I1362" s="73" t="str">
        <x:f>IF('당기원장'!A362="","",'당기원장'!J362)</x:f>
      </x:c>
      <x:c r="J1362" s="73" t="str">
        <x:f>IF('당기원장'!A362="","",'당기원장'!K362)</x:f>
      </x:c>
      <x:c r="K1362" s="73" t="str">
        <x:f>IF(B1362="","",IF(COUNTIF($B$5:B1362,B1362)=1,COUNT($K$4:K1361)+1,""))</x:f>
      </x:c>
      <x:c r="L1362" s="85" t="str">
        <x:f>IF(B1362="","",IF(COUNTIFS('계정비교'!$A$5:$A$1004,B1362,'계정비교'!$H$5:$H$1004,"원인분석 대상")&gt;0,COUNT($L$4:L1361)+1,""))</x:f>
      </x:c>
    </x:row>
    <x:row r="1363">
      <x:c r="A1363" s="73" t="str">
        <x:f>IF('당기원장'!A363="","","당기")</x:f>
      </x:c>
      <x:c r="B1363" s="73" t="str">
        <x:f>IF('당기원장'!A363="","",'당기원장'!A363)</x:f>
      </x:c>
      <x:c r="C1363" s="73" t="str">
        <x:f>IF('당기원장'!A363="","",'당기원장'!B363)</x:f>
      </x:c>
      <x:c r="D1363" s="74" t="str">
        <x:f>IF('당기원장'!A363="","",'당기원장'!C363)</x:f>
      </x:c>
      <x:c r="E1363" s="73" t="str">
        <x:f>IF('당기원장'!A363="","",'당기원장'!D363)</x:f>
      </x:c>
      <x:c r="F1363" s="73" t="str">
        <x:f>IF('당기원장'!A363="","",'당기원장'!E363)</x:f>
      </x:c>
      <x:c r="G1363" s="75" t="str">
        <x:f>IF('당기원장'!A363="","",'당기원장'!H363)</x:f>
      </x:c>
      <x:c r="H1363" s="73" t="str">
        <x:f>IF('당기원장'!A363="","",'당기원장'!I363)</x:f>
      </x:c>
      <x:c r="I1363" s="73" t="str">
        <x:f>IF('당기원장'!A363="","",'당기원장'!J363)</x:f>
      </x:c>
      <x:c r="J1363" s="73" t="str">
        <x:f>IF('당기원장'!A363="","",'당기원장'!K363)</x:f>
      </x:c>
      <x:c r="K1363" s="73" t="str">
        <x:f>IF(B1363="","",IF(COUNTIF($B$5:B1363,B1363)=1,COUNT($K$4:K1362)+1,""))</x:f>
      </x:c>
      <x:c r="L1363" s="85" t="str">
        <x:f>IF(B1363="","",IF(COUNTIFS('계정비교'!$A$5:$A$1004,B1363,'계정비교'!$H$5:$H$1004,"원인분석 대상")&gt;0,COUNT($L$4:L1362)+1,""))</x:f>
      </x:c>
    </x:row>
    <x:row r="1364">
      <x:c r="A1364" s="73" t="str">
        <x:f>IF('당기원장'!A364="","","당기")</x:f>
      </x:c>
      <x:c r="B1364" s="73" t="str">
        <x:f>IF('당기원장'!A364="","",'당기원장'!A364)</x:f>
      </x:c>
      <x:c r="C1364" s="73" t="str">
        <x:f>IF('당기원장'!A364="","",'당기원장'!B364)</x:f>
      </x:c>
      <x:c r="D1364" s="74" t="str">
        <x:f>IF('당기원장'!A364="","",'당기원장'!C364)</x:f>
      </x:c>
      <x:c r="E1364" s="73" t="str">
        <x:f>IF('당기원장'!A364="","",'당기원장'!D364)</x:f>
      </x:c>
      <x:c r="F1364" s="73" t="str">
        <x:f>IF('당기원장'!A364="","",'당기원장'!E364)</x:f>
      </x:c>
      <x:c r="G1364" s="75" t="str">
        <x:f>IF('당기원장'!A364="","",'당기원장'!H364)</x:f>
      </x:c>
      <x:c r="H1364" s="73" t="str">
        <x:f>IF('당기원장'!A364="","",'당기원장'!I364)</x:f>
      </x:c>
      <x:c r="I1364" s="73" t="str">
        <x:f>IF('당기원장'!A364="","",'당기원장'!J364)</x:f>
      </x:c>
      <x:c r="J1364" s="73" t="str">
        <x:f>IF('당기원장'!A364="","",'당기원장'!K364)</x:f>
      </x:c>
      <x:c r="K1364" s="73" t="str">
        <x:f>IF(B1364="","",IF(COUNTIF($B$5:B1364,B1364)=1,COUNT($K$4:K1363)+1,""))</x:f>
      </x:c>
      <x:c r="L1364" s="85" t="str">
        <x:f>IF(B1364="","",IF(COUNTIFS('계정비교'!$A$5:$A$1004,B1364,'계정비교'!$H$5:$H$1004,"원인분석 대상")&gt;0,COUNT($L$4:L1363)+1,""))</x:f>
      </x:c>
    </x:row>
    <x:row r="1365">
      <x:c r="A1365" s="73" t="str">
        <x:f>IF('당기원장'!A365="","","당기")</x:f>
      </x:c>
      <x:c r="B1365" s="73" t="str">
        <x:f>IF('당기원장'!A365="","",'당기원장'!A365)</x:f>
      </x:c>
      <x:c r="C1365" s="73" t="str">
        <x:f>IF('당기원장'!A365="","",'당기원장'!B365)</x:f>
      </x:c>
      <x:c r="D1365" s="74" t="str">
        <x:f>IF('당기원장'!A365="","",'당기원장'!C365)</x:f>
      </x:c>
      <x:c r="E1365" s="73" t="str">
        <x:f>IF('당기원장'!A365="","",'당기원장'!D365)</x:f>
      </x:c>
      <x:c r="F1365" s="73" t="str">
        <x:f>IF('당기원장'!A365="","",'당기원장'!E365)</x:f>
      </x:c>
      <x:c r="G1365" s="75" t="str">
        <x:f>IF('당기원장'!A365="","",'당기원장'!H365)</x:f>
      </x:c>
      <x:c r="H1365" s="73" t="str">
        <x:f>IF('당기원장'!A365="","",'당기원장'!I365)</x:f>
      </x:c>
      <x:c r="I1365" s="73" t="str">
        <x:f>IF('당기원장'!A365="","",'당기원장'!J365)</x:f>
      </x:c>
      <x:c r="J1365" s="73" t="str">
        <x:f>IF('당기원장'!A365="","",'당기원장'!K365)</x:f>
      </x:c>
      <x:c r="K1365" s="73" t="str">
        <x:f>IF(B1365="","",IF(COUNTIF($B$5:B1365,B1365)=1,COUNT($K$4:K1364)+1,""))</x:f>
      </x:c>
      <x:c r="L1365" s="85" t="str">
        <x:f>IF(B1365="","",IF(COUNTIFS('계정비교'!$A$5:$A$1004,B1365,'계정비교'!$H$5:$H$1004,"원인분석 대상")&gt;0,COUNT($L$4:L1364)+1,""))</x:f>
      </x:c>
    </x:row>
    <x:row r="1366">
      <x:c r="A1366" s="73" t="str">
        <x:f>IF('당기원장'!A366="","","당기")</x:f>
      </x:c>
      <x:c r="B1366" s="73" t="str">
        <x:f>IF('당기원장'!A366="","",'당기원장'!A366)</x:f>
      </x:c>
      <x:c r="C1366" s="73" t="str">
        <x:f>IF('당기원장'!A366="","",'당기원장'!B366)</x:f>
      </x:c>
      <x:c r="D1366" s="74" t="str">
        <x:f>IF('당기원장'!A366="","",'당기원장'!C366)</x:f>
      </x:c>
      <x:c r="E1366" s="73" t="str">
        <x:f>IF('당기원장'!A366="","",'당기원장'!D366)</x:f>
      </x:c>
      <x:c r="F1366" s="73" t="str">
        <x:f>IF('당기원장'!A366="","",'당기원장'!E366)</x:f>
      </x:c>
      <x:c r="G1366" s="75" t="str">
        <x:f>IF('당기원장'!A366="","",'당기원장'!H366)</x:f>
      </x:c>
      <x:c r="H1366" s="73" t="str">
        <x:f>IF('당기원장'!A366="","",'당기원장'!I366)</x:f>
      </x:c>
      <x:c r="I1366" s="73" t="str">
        <x:f>IF('당기원장'!A366="","",'당기원장'!J366)</x:f>
      </x:c>
      <x:c r="J1366" s="73" t="str">
        <x:f>IF('당기원장'!A366="","",'당기원장'!K366)</x:f>
      </x:c>
      <x:c r="K1366" s="73" t="str">
        <x:f>IF(B1366="","",IF(COUNTIF($B$5:B1366,B1366)=1,COUNT($K$4:K1365)+1,""))</x:f>
      </x:c>
      <x:c r="L1366" s="85" t="str">
        <x:f>IF(B1366="","",IF(COUNTIFS('계정비교'!$A$5:$A$1004,B1366,'계정비교'!$H$5:$H$1004,"원인분석 대상")&gt;0,COUNT($L$4:L1365)+1,""))</x:f>
      </x:c>
    </x:row>
    <x:row r="1367">
      <x:c r="A1367" s="73" t="str">
        <x:f>IF('당기원장'!A367="","","당기")</x:f>
      </x:c>
      <x:c r="B1367" s="73" t="str">
        <x:f>IF('당기원장'!A367="","",'당기원장'!A367)</x:f>
      </x:c>
      <x:c r="C1367" s="73" t="str">
        <x:f>IF('당기원장'!A367="","",'당기원장'!B367)</x:f>
      </x:c>
      <x:c r="D1367" s="74" t="str">
        <x:f>IF('당기원장'!A367="","",'당기원장'!C367)</x:f>
      </x:c>
      <x:c r="E1367" s="73" t="str">
        <x:f>IF('당기원장'!A367="","",'당기원장'!D367)</x:f>
      </x:c>
      <x:c r="F1367" s="73" t="str">
        <x:f>IF('당기원장'!A367="","",'당기원장'!E367)</x:f>
      </x:c>
      <x:c r="G1367" s="75" t="str">
        <x:f>IF('당기원장'!A367="","",'당기원장'!H367)</x:f>
      </x:c>
      <x:c r="H1367" s="73" t="str">
        <x:f>IF('당기원장'!A367="","",'당기원장'!I367)</x:f>
      </x:c>
      <x:c r="I1367" s="73" t="str">
        <x:f>IF('당기원장'!A367="","",'당기원장'!J367)</x:f>
      </x:c>
      <x:c r="J1367" s="73" t="str">
        <x:f>IF('당기원장'!A367="","",'당기원장'!K367)</x:f>
      </x:c>
      <x:c r="K1367" s="73" t="str">
        <x:f>IF(B1367="","",IF(COUNTIF($B$5:B1367,B1367)=1,COUNT($K$4:K1366)+1,""))</x:f>
      </x:c>
      <x:c r="L1367" s="85" t="str">
        <x:f>IF(B1367="","",IF(COUNTIFS('계정비교'!$A$5:$A$1004,B1367,'계정비교'!$H$5:$H$1004,"원인분석 대상")&gt;0,COUNT($L$4:L1366)+1,""))</x:f>
      </x:c>
    </x:row>
    <x:row r="1368">
      <x:c r="A1368" s="73" t="str">
        <x:f>IF('당기원장'!A368="","","당기")</x:f>
      </x:c>
      <x:c r="B1368" s="73" t="str">
        <x:f>IF('당기원장'!A368="","",'당기원장'!A368)</x:f>
      </x:c>
      <x:c r="C1368" s="73" t="str">
        <x:f>IF('당기원장'!A368="","",'당기원장'!B368)</x:f>
      </x:c>
      <x:c r="D1368" s="74" t="str">
        <x:f>IF('당기원장'!A368="","",'당기원장'!C368)</x:f>
      </x:c>
      <x:c r="E1368" s="73" t="str">
        <x:f>IF('당기원장'!A368="","",'당기원장'!D368)</x:f>
      </x:c>
      <x:c r="F1368" s="73" t="str">
        <x:f>IF('당기원장'!A368="","",'당기원장'!E368)</x:f>
      </x:c>
      <x:c r="G1368" s="75" t="str">
        <x:f>IF('당기원장'!A368="","",'당기원장'!H368)</x:f>
      </x:c>
      <x:c r="H1368" s="73" t="str">
        <x:f>IF('당기원장'!A368="","",'당기원장'!I368)</x:f>
      </x:c>
      <x:c r="I1368" s="73" t="str">
        <x:f>IF('당기원장'!A368="","",'당기원장'!J368)</x:f>
      </x:c>
      <x:c r="J1368" s="73" t="str">
        <x:f>IF('당기원장'!A368="","",'당기원장'!K368)</x:f>
      </x:c>
      <x:c r="K1368" s="73" t="str">
        <x:f>IF(B1368="","",IF(COUNTIF($B$5:B1368,B1368)=1,COUNT($K$4:K1367)+1,""))</x:f>
      </x:c>
      <x:c r="L1368" s="85" t="str">
        <x:f>IF(B1368="","",IF(COUNTIFS('계정비교'!$A$5:$A$1004,B1368,'계정비교'!$H$5:$H$1004,"원인분석 대상")&gt;0,COUNT($L$4:L1367)+1,""))</x:f>
      </x:c>
    </x:row>
    <x:row r="1369">
      <x:c r="A1369" s="73" t="str">
        <x:f>IF('당기원장'!A369="","","당기")</x:f>
      </x:c>
      <x:c r="B1369" s="73" t="str">
        <x:f>IF('당기원장'!A369="","",'당기원장'!A369)</x:f>
      </x:c>
      <x:c r="C1369" s="73" t="str">
        <x:f>IF('당기원장'!A369="","",'당기원장'!B369)</x:f>
      </x:c>
      <x:c r="D1369" s="74" t="str">
        <x:f>IF('당기원장'!A369="","",'당기원장'!C369)</x:f>
      </x:c>
      <x:c r="E1369" s="73" t="str">
        <x:f>IF('당기원장'!A369="","",'당기원장'!D369)</x:f>
      </x:c>
      <x:c r="F1369" s="73" t="str">
        <x:f>IF('당기원장'!A369="","",'당기원장'!E369)</x:f>
      </x:c>
      <x:c r="G1369" s="75" t="str">
        <x:f>IF('당기원장'!A369="","",'당기원장'!H369)</x:f>
      </x:c>
      <x:c r="H1369" s="73" t="str">
        <x:f>IF('당기원장'!A369="","",'당기원장'!I369)</x:f>
      </x:c>
      <x:c r="I1369" s="73" t="str">
        <x:f>IF('당기원장'!A369="","",'당기원장'!J369)</x:f>
      </x:c>
      <x:c r="J1369" s="73" t="str">
        <x:f>IF('당기원장'!A369="","",'당기원장'!K369)</x:f>
      </x:c>
      <x:c r="K1369" s="73" t="str">
        <x:f>IF(B1369="","",IF(COUNTIF($B$5:B1369,B1369)=1,COUNT($K$4:K1368)+1,""))</x:f>
      </x:c>
      <x:c r="L1369" s="85" t="str">
        <x:f>IF(B1369="","",IF(COUNTIFS('계정비교'!$A$5:$A$1004,B1369,'계정비교'!$H$5:$H$1004,"원인분석 대상")&gt;0,COUNT($L$4:L1368)+1,""))</x:f>
      </x:c>
    </x:row>
    <x:row r="1370">
      <x:c r="A1370" s="73" t="str">
        <x:f>IF('당기원장'!A370="","","당기")</x:f>
      </x:c>
      <x:c r="B1370" s="73" t="str">
        <x:f>IF('당기원장'!A370="","",'당기원장'!A370)</x:f>
      </x:c>
      <x:c r="C1370" s="73" t="str">
        <x:f>IF('당기원장'!A370="","",'당기원장'!B370)</x:f>
      </x:c>
      <x:c r="D1370" s="74" t="str">
        <x:f>IF('당기원장'!A370="","",'당기원장'!C370)</x:f>
      </x:c>
      <x:c r="E1370" s="73" t="str">
        <x:f>IF('당기원장'!A370="","",'당기원장'!D370)</x:f>
      </x:c>
      <x:c r="F1370" s="73" t="str">
        <x:f>IF('당기원장'!A370="","",'당기원장'!E370)</x:f>
      </x:c>
      <x:c r="G1370" s="75" t="str">
        <x:f>IF('당기원장'!A370="","",'당기원장'!H370)</x:f>
      </x:c>
      <x:c r="H1370" s="73" t="str">
        <x:f>IF('당기원장'!A370="","",'당기원장'!I370)</x:f>
      </x:c>
      <x:c r="I1370" s="73" t="str">
        <x:f>IF('당기원장'!A370="","",'당기원장'!J370)</x:f>
      </x:c>
      <x:c r="J1370" s="73" t="str">
        <x:f>IF('당기원장'!A370="","",'당기원장'!K370)</x:f>
      </x:c>
      <x:c r="K1370" s="73" t="str">
        <x:f>IF(B1370="","",IF(COUNTIF($B$5:B1370,B1370)=1,COUNT($K$4:K1369)+1,""))</x:f>
      </x:c>
      <x:c r="L1370" s="85" t="str">
        <x:f>IF(B1370="","",IF(COUNTIFS('계정비교'!$A$5:$A$1004,B1370,'계정비교'!$H$5:$H$1004,"원인분석 대상")&gt;0,COUNT($L$4:L1369)+1,""))</x:f>
      </x:c>
    </x:row>
    <x:row r="1371">
      <x:c r="A1371" s="73" t="str">
        <x:f>IF('당기원장'!A371="","","당기")</x:f>
      </x:c>
      <x:c r="B1371" s="73" t="str">
        <x:f>IF('당기원장'!A371="","",'당기원장'!A371)</x:f>
      </x:c>
      <x:c r="C1371" s="73" t="str">
        <x:f>IF('당기원장'!A371="","",'당기원장'!B371)</x:f>
      </x:c>
      <x:c r="D1371" s="74" t="str">
        <x:f>IF('당기원장'!A371="","",'당기원장'!C371)</x:f>
      </x:c>
      <x:c r="E1371" s="73" t="str">
        <x:f>IF('당기원장'!A371="","",'당기원장'!D371)</x:f>
      </x:c>
      <x:c r="F1371" s="73" t="str">
        <x:f>IF('당기원장'!A371="","",'당기원장'!E371)</x:f>
      </x:c>
      <x:c r="G1371" s="75" t="str">
        <x:f>IF('당기원장'!A371="","",'당기원장'!H371)</x:f>
      </x:c>
      <x:c r="H1371" s="73" t="str">
        <x:f>IF('당기원장'!A371="","",'당기원장'!I371)</x:f>
      </x:c>
      <x:c r="I1371" s="73" t="str">
        <x:f>IF('당기원장'!A371="","",'당기원장'!J371)</x:f>
      </x:c>
      <x:c r="J1371" s="73" t="str">
        <x:f>IF('당기원장'!A371="","",'당기원장'!K371)</x:f>
      </x:c>
      <x:c r="K1371" s="73" t="str">
        <x:f>IF(B1371="","",IF(COUNTIF($B$5:B1371,B1371)=1,COUNT($K$4:K1370)+1,""))</x:f>
      </x:c>
      <x:c r="L1371" s="85" t="str">
        <x:f>IF(B1371="","",IF(COUNTIFS('계정비교'!$A$5:$A$1004,B1371,'계정비교'!$H$5:$H$1004,"원인분석 대상")&gt;0,COUNT($L$4:L1370)+1,""))</x:f>
      </x:c>
    </x:row>
    <x:row r="1372">
      <x:c r="A1372" s="73" t="str">
        <x:f>IF('당기원장'!A372="","","당기")</x:f>
      </x:c>
      <x:c r="B1372" s="73" t="str">
        <x:f>IF('당기원장'!A372="","",'당기원장'!A372)</x:f>
      </x:c>
      <x:c r="C1372" s="73" t="str">
        <x:f>IF('당기원장'!A372="","",'당기원장'!B372)</x:f>
      </x:c>
      <x:c r="D1372" s="74" t="str">
        <x:f>IF('당기원장'!A372="","",'당기원장'!C372)</x:f>
      </x:c>
      <x:c r="E1372" s="73" t="str">
        <x:f>IF('당기원장'!A372="","",'당기원장'!D372)</x:f>
      </x:c>
      <x:c r="F1372" s="73" t="str">
        <x:f>IF('당기원장'!A372="","",'당기원장'!E372)</x:f>
      </x:c>
      <x:c r="G1372" s="75" t="str">
        <x:f>IF('당기원장'!A372="","",'당기원장'!H372)</x:f>
      </x:c>
      <x:c r="H1372" s="73" t="str">
        <x:f>IF('당기원장'!A372="","",'당기원장'!I372)</x:f>
      </x:c>
      <x:c r="I1372" s="73" t="str">
        <x:f>IF('당기원장'!A372="","",'당기원장'!J372)</x:f>
      </x:c>
      <x:c r="J1372" s="73" t="str">
        <x:f>IF('당기원장'!A372="","",'당기원장'!K372)</x:f>
      </x:c>
      <x:c r="K1372" s="73" t="str">
        <x:f>IF(B1372="","",IF(COUNTIF($B$5:B1372,B1372)=1,COUNT($K$4:K1371)+1,""))</x:f>
      </x:c>
      <x:c r="L1372" s="85" t="str">
        <x:f>IF(B1372="","",IF(COUNTIFS('계정비교'!$A$5:$A$1004,B1372,'계정비교'!$H$5:$H$1004,"원인분석 대상")&gt;0,COUNT($L$4:L1371)+1,""))</x:f>
      </x:c>
    </x:row>
    <x:row r="1373">
      <x:c r="A1373" s="73" t="str">
        <x:f>IF('당기원장'!A373="","","당기")</x:f>
      </x:c>
      <x:c r="B1373" s="73" t="str">
        <x:f>IF('당기원장'!A373="","",'당기원장'!A373)</x:f>
      </x:c>
      <x:c r="C1373" s="73" t="str">
        <x:f>IF('당기원장'!A373="","",'당기원장'!B373)</x:f>
      </x:c>
      <x:c r="D1373" s="74" t="str">
        <x:f>IF('당기원장'!A373="","",'당기원장'!C373)</x:f>
      </x:c>
      <x:c r="E1373" s="73" t="str">
        <x:f>IF('당기원장'!A373="","",'당기원장'!D373)</x:f>
      </x:c>
      <x:c r="F1373" s="73" t="str">
        <x:f>IF('당기원장'!A373="","",'당기원장'!E373)</x:f>
      </x:c>
      <x:c r="G1373" s="75" t="str">
        <x:f>IF('당기원장'!A373="","",'당기원장'!H373)</x:f>
      </x:c>
      <x:c r="H1373" s="73" t="str">
        <x:f>IF('당기원장'!A373="","",'당기원장'!I373)</x:f>
      </x:c>
      <x:c r="I1373" s="73" t="str">
        <x:f>IF('당기원장'!A373="","",'당기원장'!J373)</x:f>
      </x:c>
      <x:c r="J1373" s="73" t="str">
        <x:f>IF('당기원장'!A373="","",'당기원장'!K373)</x:f>
      </x:c>
      <x:c r="K1373" s="73" t="str">
        <x:f>IF(B1373="","",IF(COUNTIF($B$5:B1373,B1373)=1,COUNT($K$4:K1372)+1,""))</x:f>
      </x:c>
      <x:c r="L1373" s="85" t="str">
        <x:f>IF(B1373="","",IF(COUNTIFS('계정비교'!$A$5:$A$1004,B1373,'계정비교'!$H$5:$H$1004,"원인분석 대상")&gt;0,COUNT($L$4:L1372)+1,""))</x:f>
      </x:c>
    </x:row>
    <x:row r="1374">
      <x:c r="A1374" s="73" t="str">
        <x:f>IF('당기원장'!A374="","","당기")</x:f>
      </x:c>
      <x:c r="B1374" s="73" t="str">
        <x:f>IF('당기원장'!A374="","",'당기원장'!A374)</x:f>
      </x:c>
      <x:c r="C1374" s="73" t="str">
        <x:f>IF('당기원장'!A374="","",'당기원장'!B374)</x:f>
      </x:c>
      <x:c r="D1374" s="74" t="str">
        <x:f>IF('당기원장'!A374="","",'당기원장'!C374)</x:f>
      </x:c>
      <x:c r="E1374" s="73" t="str">
        <x:f>IF('당기원장'!A374="","",'당기원장'!D374)</x:f>
      </x:c>
      <x:c r="F1374" s="73" t="str">
        <x:f>IF('당기원장'!A374="","",'당기원장'!E374)</x:f>
      </x:c>
      <x:c r="G1374" s="75" t="str">
        <x:f>IF('당기원장'!A374="","",'당기원장'!H374)</x:f>
      </x:c>
      <x:c r="H1374" s="73" t="str">
        <x:f>IF('당기원장'!A374="","",'당기원장'!I374)</x:f>
      </x:c>
      <x:c r="I1374" s="73" t="str">
        <x:f>IF('당기원장'!A374="","",'당기원장'!J374)</x:f>
      </x:c>
      <x:c r="J1374" s="73" t="str">
        <x:f>IF('당기원장'!A374="","",'당기원장'!K374)</x:f>
      </x:c>
      <x:c r="K1374" s="73" t="str">
        <x:f>IF(B1374="","",IF(COUNTIF($B$5:B1374,B1374)=1,COUNT($K$4:K1373)+1,""))</x:f>
      </x:c>
      <x:c r="L1374" s="85" t="str">
        <x:f>IF(B1374="","",IF(COUNTIFS('계정비교'!$A$5:$A$1004,B1374,'계정비교'!$H$5:$H$1004,"원인분석 대상")&gt;0,COUNT($L$4:L1373)+1,""))</x:f>
      </x:c>
    </x:row>
    <x:row r="1375">
      <x:c r="A1375" s="73" t="str">
        <x:f>IF('당기원장'!A375="","","당기")</x:f>
      </x:c>
      <x:c r="B1375" s="73" t="str">
        <x:f>IF('당기원장'!A375="","",'당기원장'!A375)</x:f>
      </x:c>
      <x:c r="C1375" s="73" t="str">
        <x:f>IF('당기원장'!A375="","",'당기원장'!B375)</x:f>
      </x:c>
      <x:c r="D1375" s="74" t="str">
        <x:f>IF('당기원장'!A375="","",'당기원장'!C375)</x:f>
      </x:c>
      <x:c r="E1375" s="73" t="str">
        <x:f>IF('당기원장'!A375="","",'당기원장'!D375)</x:f>
      </x:c>
      <x:c r="F1375" s="73" t="str">
        <x:f>IF('당기원장'!A375="","",'당기원장'!E375)</x:f>
      </x:c>
      <x:c r="G1375" s="75" t="str">
        <x:f>IF('당기원장'!A375="","",'당기원장'!H375)</x:f>
      </x:c>
      <x:c r="H1375" s="73" t="str">
        <x:f>IF('당기원장'!A375="","",'당기원장'!I375)</x:f>
      </x:c>
      <x:c r="I1375" s="73" t="str">
        <x:f>IF('당기원장'!A375="","",'당기원장'!J375)</x:f>
      </x:c>
      <x:c r="J1375" s="73" t="str">
        <x:f>IF('당기원장'!A375="","",'당기원장'!K375)</x:f>
      </x:c>
      <x:c r="K1375" s="73" t="str">
        <x:f>IF(B1375="","",IF(COUNTIF($B$5:B1375,B1375)=1,COUNT($K$4:K1374)+1,""))</x:f>
      </x:c>
      <x:c r="L1375" s="85" t="str">
        <x:f>IF(B1375="","",IF(COUNTIFS('계정비교'!$A$5:$A$1004,B1375,'계정비교'!$H$5:$H$1004,"원인분석 대상")&gt;0,COUNT($L$4:L1374)+1,""))</x:f>
      </x:c>
    </x:row>
    <x:row r="1376">
      <x:c r="A1376" s="73" t="str">
        <x:f>IF('당기원장'!A376="","","당기")</x:f>
      </x:c>
      <x:c r="B1376" s="73" t="str">
        <x:f>IF('당기원장'!A376="","",'당기원장'!A376)</x:f>
      </x:c>
      <x:c r="C1376" s="73" t="str">
        <x:f>IF('당기원장'!A376="","",'당기원장'!B376)</x:f>
      </x:c>
      <x:c r="D1376" s="74" t="str">
        <x:f>IF('당기원장'!A376="","",'당기원장'!C376)</x:f>
      </x:c>
      <x:c r="E1376" s="73" t="str">
        <x:f>IF('당기원장'!A376="","",'당기원장'!D376)</x:f>
      </x:c>
      <x:c r="F1376" s="73" t="str">
        <x:f>IF('당기원장'!A376="","",'당기원장'!E376)</x:f>
      </x:c>
      <x:c r="G1376" s="75" t="str">
        <x:f>IF('당기원장'!A376="","",'당기원장'!H376)</x:f>
      </x:c>
      <x:c r="H1376" s="73" t="str">
        <x:f>IF('당기원장'!A376="","",'당기원장'!I376)</x:f>
      </x:c>
      <x:c r="I1376" s="73" t="str">
        <x:f>IF('당기원장'!A376="","",'당기원장'!J376)</x:f>
      </x:c>
      <x:c r="J1376" s="73" t="str">
        <x:f>IF('당기원장'!A376="","",'당기원장'!K376)</x:f>
      </x:c>
      <x:c r="K1376" s="73" t="str">
        <x:f>IF(B1376="","",IF(COUNTIF($B$5:B1376,B1376)=1,COUNT($K$4:K1375)+1,""))</x:f>
      </x:c>
      <x:c r="L1376" s="85" t="str">
        <x:f>IF(B1376="","",IF(COUNTIFS('계정비교'!$A$5:$A$1004,B1376,'계정비교'!$H$5:$H$1004,"원인분석 대상")&gt;0,COUNT($L$4:L1375)+1,""))</x:f>
      </x:c>
    </x:row>
    <x:row r="1377">
      <x:c r="A1377" s="73" t="str">
        <x:f>IF('당기원장'!A377="","","당기")</x:f>
      </x:c>
      <x:c r="B1377" s="73" t="str">
        <x:f>IF('당기원장'!A377="","",'당기원장'!A377)</x:f>
      </x:c>
      <x:c r="C1377" s="73" t="str">
        <x:f>IF('당기원장'!A377="","",'당기원장'!B377)</x:f>
      </x:c>
      <x:c r="D1377" s="74" t="str">
        <x:f>IF('당기원장'!A377="","",'당기원장'!C377)</x:f>
      </x:c>
      <x:c r="E1377" s="73" t="str">
        <x:f>IF('당기원장'!A377="","",'당기원장'!D377)</x:f>
      </x:c>
      <x:c r="F1377" s="73" t="str">
        <x:f>IF('당기원장'!A377="","",'당기원장'!E377)</x:f>
      </x:c>
      <x:c r="G1377" s="75" t="str">
        <x:f>IF('당기원장'!A377="","",'당기원장'!H377)</x:f>
      </x:c>
      <x:c r="H1377" s="73" t="str">
        <x:f>IF('당기원장'!A377="","",'당기원장'!I377)</x:f>
      </x:c>
      <x:c r="I1377" s="73" t="str">
        <x:f>IF('당기원장'!A377="","",'당기원장'!J377)</x:f>
      </x:c>
      <x:c r="J1377" s="73" t="str">
        <x:f>IF('당기원장'!A377="","",'당기원장'!K377)</x:f>
      </x:c>
      <x:c r="K1377" s="73" t="str">
        <x:f>IF(B1377="","",IF(COUNTIF($B$5:B1377,B1377)=1,COUNT($K$4:K1376)+1,""))</x:f>
      </x:c>
      <x:c r="L1377" s="85" t="str">
        <x:f>IF(B1377="","",IF(COUNTIFS('계정비교'!$A$5:$A$1004,B1377,'계정비교'!$H$5:$H$1004,"원인분석 대상")&gt;0,COUNT($L$4:L1376)+1,""))</x:f>
      </x:c>
    </x:row>
    <x:row r="1378">
      <x:c r="A1378" s="73" t="str">
        <x:f>IF('당기원장'!A378="","","당기")</x:f>
      </x:c>
      <x:c r="B1378" s="73" t="str">
        <x:f>IF('당기원장'!A378="","",'당기원장'!A378)</x:f>
      </x:c>
      <x:c r="C1378" s="73" t="str">
        <x:f>IF('당기원장'!A378="","",'당기원장'!B378)</x:f>
      </x:c>
      <x:c r="D1378" s="74" t="str">
        <x:f>IF('당기원장'!A378="","",'당기원장'!C378)</x:f>
      </x:c>
      <x:c r="E1378" s="73" t="str">
        <x:f>IF('당기원장'!A378="","",'당기원장'!D378)</x:f>
      </x:c>
      <x:c r="F1378" s="73" t="str">
        <x:f>IF('당기원장'!A378="","",'당기원장'!E378)</x:f>
      </x:c>
      <x:c r="G1378" s="75" t="str">
        <x:f>IF('당기원장'!A378="","",'당기원장'!H378)</x:f>
      </x:c>
      <x:c r="H1378" s="73" t="str">
        <x:f>IF('당기원장'!A378="","",'당기원장'!I378)</x:f>
      </x:c>
      <x:c r="I1378" s="73" t="str">
        <x:f>IF('당기원장'!A378="","",'당기원장'!J378)</x:f>
      </x:c>
      <x:c r="J1378" s="73" t="str">
        <x:f>IF('당기원장'!A378="","",'당기원장'!K378)</x:f>
      </x:c>
      <x:c r="K1378" s="73" t="str">
        <x:f>IF(B1378="","",IF(COUNTIF($B$5:B1378,B1378)=1,COUNT($K$4:K1377)+1,""))</x:f>
      </x:c>
      <x:c r="L1378" s="85" t="str">
        <x:f>IF(B1378="","",IF(COUNTIFS('계정비교'!$A$5:$A$1004,B1378,'계정비교'!$H$5:$H$1004,"원인분석 대상")&gt;0,COUNT($L$4:L1377)+1,""))</x:f>
      </x:c>
    </x:row>
    <x:row r="1379">
      <x:c r="A1379" s="73" t="str">
        <x:f>IF('당기원장'!A379="","","당기")</x:f>
      </x:c>
      <x:c r="B1379" s="73" t="str">
        <x:f>IF('당기원장'!A379="","",'당기원장'!A379)</x:f>
      </x:c>
      <x:c r="C1379" s="73" t="str">
        <x:f>IF('당기원장'!A379="","",'당기원장'!B379)</x:f>
      </x:c>
      <x:c r="D1379" s="74" t="str">
        <x:f>IF('당기원장'!A379="","",'당기원장'!C379)</x:f>
      </x:c>
      <x:c r="E1379" s="73" t="str">
        <x:f>IF('당기원장'!A379="","",'당기원장'!D379)</x:f>
      </x:c>
      <x:c r="F1379" s="73" t="str">
        <x:f>IF('당기원장'!A379="","",'당기원장'!E379)</x:f>
      </x:c>
      <x:c r="G1379" s="75" t="str">
        <x:f>IF('당기원장'!A379="","",'당기원장'!H379)</x:f>
      </x:c>
      <x:c r="H1379" s="73" t="str">
        <x:f>IF('당기원장'!A379="","",'당기원장'!I379)</x:f>
      </x:c>
      <x:c r="I1379" s="73" t="str">
        <x:f>IF('당기원장'!A379="","",'당기원장'!J379)</x:f>
      </x:c>
      <x:c r="J1379" s="73" t="str">
        <x:f>IF('당기원장'!A379="","",'당기원장'!K379)</x:f>
      </x:c>
      <x:c r="K1379" s="73" t="str">
        <x:f>IF(B1379="","",IF(COUNTIF($B$5:B1379,B1379)=1,COUNT($K$4:K1378)+1,""))</x:f>
      </x:c>
      <x:c r="L1379" s="85" t="str">
        <x:f>IF(B1379="","",IF(COUNTIFS('계정비교'!$A$5:$A$1004,B1379,'계정비교'!$H$5:$H$1004,"원인분석 대상")&gt;0,COUNT($L$4:L1378)+1,""))</x:f>
      </x:c>
    </x:row>
    <x:row r="1380">
      <x:c r="A1380" s="73" t="str">
        <x:f>IF('당기원장'!A380="","","당기")</x:f>
      </x:c>
      <x:c r="B1380" s="73" t="str">
        <x:f>IF('당기원장'!A380="","",'당기원장'!A380)</x:f>
      </x:c>
      <x:c r="C1380" s="73" t="str">
        <x:f>IF('당기원장'!A380="","",'당기원장'!B380)</x:f>
      </x:c>
      <x:c r="D1380" s="74" t="str">
        <x:f>IF('당기원장'!A380="","",'당기원장'!C380)</x:f>
      </x:c>
      <x:c r="E1380" s="73" t="str">
        <x:f>IF('당기원장'!A380="","",'당기원장'!D380)</x:f>
      </x:c>
      <x:c r="F1380" s="73" t="str">
        <x:f>IF('당기원장'!A380="","",'당기원장'!E380)</x:f>
      </x:c>
      <x:c r="G1380" s="75" t="str">
        <x:f>IF('당기원장'!A380="","",'당기원장'!H380)</x:f>
      </x:c>
      <x:c r="H1380" s="73" t="str">
        <x:f>IF('당기원장'!A380="","",'당기원장'!I380)</x:f>
      </x:c>
      <x:c r="I1380" s="73" t="str">
        <x:f>IF('당기원장'!A380="","",'당기원장'!J380)</x:f>
      </x:c>
      <x:c r="J1380" s="73" t="str">
        <x:f>IF('당기원장'!A380="","",'당기원장'!K380)</x:f>
      </x:c>
      <x:c r="K1380" s="73" t="str">
        <x:f>IF(B1380="","",IF(COUNTIF($B$5:B1380,B1380)=1,COUNT($K$4:K1379)+1,""))</x:f>
      </x:c>
      <x:c r="L1380" s="85" t="str">
        <x:f>IF(B1380="","",IF(COUNTIFS('계정비교'!$A$5:$A$1004,B1380,'계정비교'!$H$5:$H$1004,"원인분석 대상")&gt;0,COUNT($L$4:L1379)+1,""))</x:f>
      </x:c>
    </x:row>
    <x:row r="1381">
      <x:c r="A1381" s="73" t="str">
        <x:f>IF('당기원장'!A381="","","당기")</x:f>
      </x:c>
      <x:c r="B1381" s="73" t="str">
        <x:f>IF('당기원장'!A381="","",'당기원장'!A381)</x:f>
      </x:c>
      <x:c r="C1381" s="73" t="str">
        <x:f>IF('당기원장'!A381="","",'당기원장'!B381)</x:f>
      </x:c>
      <x:c r="D1381" s="74" t="str">
        <x:f>IF('당기원장'!A381="","",'당기원장'!C381)</x:f>
      </x:c>
      <x:c r="E1381" s="73" t="str">
        <x:f>IF('당기원장'!A381="","",'당기원장'!D381)</x:f>
      </x:c>
      <x:c r="F1381" s="73" t="str">
        <x:f>IF('당기원장'!A381="","",'당기원장'!E381)</x:f>
      </x:c>
      <x:c r="G1381" s="75" t="str">
        <x:f>IF('당기원장'!A381="","",'당기원장'!H381)</x:f>
      </x:c>
      <x:c r="H1381" s="73" t="str">
        <x:f>IF('당기원장'!A381="","",'당기원장'!I381)</x:f>
      </x:c>
      <x:c r="I1381" s="73" t="str">
        <x:f>IF('당기원장'!A381="","",'당기원장'!J381)</x:f>
      </x:c>
      <x:c r="J1381" s="73" t="str">
        <x:f>IF('당기원장'!A381="","",'당기원장'!K381)</x:f>
      </x:c>
      <x:c r="K1381" s="73" t="str">
        <x:f>IF(B1381="","",IF(COUNTIF($B$5:B1381,B1381)=1,COUNT($K$4:K1380)+1,""))</x:f>
      </x:c>
      <x:c r="L1381" s="85" t="str">
        <x:f>IF(B1381="","",IF(COUNTIFS('계정비교'!$A$5:$A$1004,B1381,'계정비교'!$H$5:$H$1004,"원인분석 대상")&gt;0,COUNT($L$4:L1380)+1,""))</x:f>
      </x:c>
    </x:row>
    <x:row r="1382">
      <x:c r="A1382" s="73" t="str">
        <x:f>IF('당기원장'!A382="","","당기")</x:f>
      </x:c>
      <x:c r="B1382" s="73" t="str">
        <x:f>IF('당기원장'!A382="","",'당기원장'!A382)</x:f>
      </x:c>
      <x:c r="C1382" s="73" t="str">
        <x:f>IF('당기원장'!A382="","",'당기원장'!B382)</x:f>
      </x:c>
      <x:c r="D1382" s="74" t="str">
        <x:f>IF('당기원장'!A382="","",'당기원장'!C382)</x:f>
      </x:c>
      <x:c r="E1382" s="73" t="str">
        <x:f>IF('당기원장'!A382="","",'당기원장'!D382)</x:f>
      </x:c>
      <x:c r="F1382" s="73" t="str">
        <x:f>IF('당기원장'!A382="","",'당기원장'!E382)</x:f>
      </x:c>
      <x:c r="G1382" s="75" t="str">
        <x:f>IF('당기원장'!A382="","",'당기원장'!H382)</x:f>
      </x:c>
      <x:c r="H1382" s="73" t="str">
        <x:f>IF('당기원장'!A382="","",'당기원장'!I382)</x:f>
      </x:c>
      <x:c r="I1382" s="73" t="str">
        <x:f>IF('당기원장'!A382="","",'당기원장'!J382)</x:f>
      </x:c>
      <x:c r="J1382" s="73" t="str">
        <x:f>IF('당기원장'!A382="","",'당기원장'!K382)</x:f>
      </x:c>
      <x:c r="K1382" s="73" t="str">
        <x:f>IF(B1382="","",IF(COUNTIF($B$5:B1382,B1382)=1,COUNT($K$4:K1381)+1,""))</x:f>
      </x:c>
      <x:c r="L1382" s="85" t="str">
        <x:f>IF(B1382="","",IF(COUNTIFS('계정비교'!$A$5:$A$1004,B1382,'계정비교'!$H$5:$H$1004,"원인분석 대상")&gt;0,COUNT($L$4:L1381)+1,""))</x:f>
      </x:c>
    </x:row>
    <x:row r="1383">
      <x:c r="A1383" s="73" t="str">
        <x:f>IF('당기원장'!A383="","","당기")</x:f>
      </x:c>
      <x:c r="B1383" s="73" t="str">
        <x:f>IF('당기원장'!A383="","",'당기원장'!A383)</x:f>
      </x:c>
      <x:c r="C1383" s="73" t="str">
        <x:f>IF('당기원장'!A383="","",'당기원장'!B383)</x:f>
      </x:c>
      <x:c r="D1383" s="74" t="str">
        <x:f>IF('당기원장'!A383="","",'당기원장'!C383)</x:f>
      </x:c>
      <x:c r="E1383" s="73" t="str">
        <x:f>IF('당기원장'!A383="","",'당기원장'!D383)</x:f>
      </x:c>
      <x:c r="F1383" s="73" t="str">
        <x:f>IF('당기원장'!A383="","",'당기원장'!E383)</x:f>
      </x:c>
      <x:c r="G1383" s="75" t="str">
        <x:f>IF('당기원장'!A383="","",'당기원장'!H383)</x:f>
      </x:c>
      <x:c r="H1383" s="73" t="str">
        <x:f>IF('당기원장'!A383="","",'당기원장'!I383)</x:f>
      </x:c>
      <x:c r="I1383" s="73" t="str">
        <x:f>IF('당기원장'!A383="","",'당기원장'!J383)</x:f>
      </x:c>
      <x:c r="J1383" s="73" t="str">
        <x:f>IF('당기원장'!A383="","",'당기원장'!K383)</x:f>
      </x:c>
      <x:c r="K1383" s="73" t="str">
        <x:f>IF(B1383="","",IF(COUNTIF($B$5:B1383,B1383)=1,COUNT($K$4:K1382)+1,""))</x:f>
      </x:c>
      <x:c r="L1383" s="85" t="str">
        <x:f>IF(B1383="","",IF(COUNTIFS('계정비교'!$A$5:$A$1004,B1383,'계정비교'!$H$5:$H$1004,"원인분석 대상")&gt;0,COUNT($L$4:L1382)+1,""))</x:f>
      </x:c>
    </x:row>
    <x:row r="1384">
      <x:c r="A1384" s="73" t="str">
        <x:f>IF('당기원장'!A384="","","당기")</x:f>
      </x:c>
      <x:c r="B1384" s="73" t="str">
        <x:f>IF('당기원장'!A384="","",'당기원장'!A384)</x:f>
      </x:c>
      <x:c r="C1384" s="73" t="str">
        <x:f>IF('당기원장'!A384="","",'당기원장'!B384)</x:f>
      </x:c>
      <x:c r="D1384" s="74" t="str">
        <x:f>IF('당기원장'!A384="","",'당기원장'!C384)</x:f>
      </x:c>
      <x:c r="E1384" s="73" t="str">
        <x:f>IF('당기원장'!A384="","",'당기원장'!D384)</x:f>
      </x:c>
      <x:c r="F1384" s="73" t="str">
        <x:f>IF('당기원장'!A384="","",'당기원장'!E384)</x:f>
      </x:c>
      <x:c r="G1384" s="75" t="str">
        <x:f>IF('당기원장'!A384="","",'당기원장'!H384)</x:f>
      </x:c>
      <x:c r="H1384" s="73" t="str">
        <x:f>IF('당기원장'!A384="","",'당기원장'!I384)</x:f>
      </x:c>
      <x:c r="I1384" s="73" t="str">
        <x:f>IF('당기원장'!A384="","",'당기원장'!J384)</x:f>
      </x:c>
      <x:c r="J1384" s="73" t="str">
        <x:f>IF('당기원장'!A384="","",'당기원장'!K384)</x:f>
      </x:c>
      <x:c r="K1384" s="73" t="str">
        <x:f>IF(B1384="","",IF(COUNTIF($B$5:B1384,B1384)=1,COUNT($K$4:K1383)+1,""))</x:f>
      </x:c>
      <x:c r="L1384" s="85" t="str">
        <x:f>IF(B1384="","",IF(COUNTIFS('계정비교'!$A$5:$A$1004,B1384,'계정비교'!$H$5:$H$1004,"원인분석 대상")&gt;0,COUNT($L$4:L1383)+1,""))</x:f>
      </x:c>
    </x:row>
    <x:row r="1385">
      <x:c r="A1385" s="73" t="str">
        <x:f>IF('당기원장'!A385="","","당기")</x:f>
      </x:c>
      <x:c r="B1385" s="73" t="str">
        <x:f>IF('당기원장'!A385="","",'당기원장'!A385)</x:f>
      </x:c>
      <x:c r="C1385" s="73" t="str">
        <x:f>IF('당기원장'!A385="","",'당기원장'!B385)</x:f>
      </x:c>
      <x:c r="D1385" s="74" t="str">
        <x:f>IF('당기원장'!A385="","",'당기원장'!C385)</x:f>
      </x:c>
      <x:c r="E1385" s="73" t="str">
        <x:f>IF('당기원장'!A385="","",'당기원장'!D385)</x:f>
      </x:c>
      <x:c r="F1385" s="73" t="str">
        <x:f>IF('당기원장'!A385="","",'당기원장'!E385)</x:f>
      </x:c>
      <x:c r="G1385" s="75" t="str">
        <x:f>IF('당기원장'!A385="","",'당기원장'!H385)</x:f>
      </x:c>
      <x:c r="H1385" s="73" t="str">
        <x:f>IF('당기원장'!A385="","",'당기원장'!I385)</x:f>
      </x:c>
      <x:c r="I1385" s="73" t="str">
        <x:f>IF('당기원장'!A385="","",'당기원장'!J385)</x:f>
      </x:c>
      <x:c r="J1385" s="73" t="str">
        <x:f>IF('당기원장'!A385="","",'당기원장'!K385)</x:f>
      </x:c>
      <x:c r="K1385" s="73" t="str">
        <x:f>IF(B1385="","",IF(COUNTIF($B$5:B1385,B1385)=1,COUNT($K$4:K1384)+1,""))</x:f>
      </x:c>
      <x:c r="L1385" s="85" t="str">
        <x:f>IF(B1385="","",IF(COUNTIFS('계정비교'!$A$5:$A$1004,B1385,'계정비교'!$H$5:$H$1004,"원인분석 대상")&gt;0,COUNT($L$4:L1384)+1,""))</x:f>
      </x:c>
    </x:row>
    <x:row r="1386">
      <x:c r="A1386" s="73" t="str">
        <x:f>IF('당기원장'!A386="","","당기")</x:f>
      </x:c>
      <x:c r="B1386" s="73" t="str">
        <x:f>IF('당기원장'!A386="","",'당기원장'!A386)</x:f>
      </x:c>
      <x:c r="C1386" s="73" t="str">
        <x:f>IF('당기원장'!A386="","",'당기원장'!B386)</x:f>
      </x:c>
      <x:c r="D1386" s="74" t="str">
        <x:f>IF('당기원장'!A386="","",'당기원장'!C386)</x:f>
      </x:c>
      <x:c r="E1386" s="73" t="str">
        <x:f>IF('당기원장'!A386="","",'당기원장'!D386)</x:f>
      </x:c>
      <x:c r="F1386" s="73" t="str">
        <x:f>IF('당기원장'!A386="","",'당기원장'!E386)</x:f>
      </x:c>
      <x:c r="G1386" s="75" t="str">
        <x:f>IF('당기원장'!A386="","",'당기원장'!H386)</x:f>
      </x:c>
      <x:c r="H1386" s="73" t="str">
        <x:f>IF('당기원장'!A386="","",'당기원장'!I386)</x:f>
      </x:c>
      <x:c r="I1386" s="73" t="str">
        <x:f>IF('당기원장'!A386="","",'당기원장'!J386)</x:f>
      </x:c>
      <x:c r="J1386" s="73" t="str">
        <x:f>IF('당기원장'!A386="","",'당기원장'!K386)</x:f>
      </x:c>
      <x:c r="K1386" s="73" t="str">
        <x:f>IF(B1386="","",IF(COUNTIF($B$5:B1386,B1386)=1,COUNT($K$4:K1385)+1,""))</x:f>
      </x:c>
      <x:c r="L1386" s="85" t="str">
        <x:f>IF(B1386="","",IF(COUNTIFS('계정비교'!$A$5:$A$1004,B1386,'계정비교'!$H$5:$H$1004,"원인분석 대상")&gt;0,COUNT($L$4:L1385)+1,""))</x:f>
      </x:c>
    </x:row>
    <x:row r="1387">
      <x:c r="A1387" s="73" t="str">
        <x:f>IF('당기원장'!A387="","","당기")</x:f>
      </x:c>
      <x:c r="B1387" s="73" t="str">
        <x:f>IF('당기원장'!A387="","",'당기원장'!A387)</x:f>
      </x:c>
      <x:c r="C1387" s="73" t="str">
        <x:f>IF('당기원장'!A387="","",'당기원장'!B387)</x:f>
      </x:c>
      <x:c r="D1387" s="74" t="str">
        <x:f>IF('당기원장'!A387="","",'당기원장'!C387)</x:f>
      </x:c>
      <x:c r="E1387" s="73" t="str">
        <x:f>IF('당기원장'!A387="","",'당기원장'!D387)</x:f>
      </x:c>
      <x:c r="F1387" s="73" t="str">
        <x:f>IF('당기원장'!A387="","",'당기원장'!E387)</x:f>
      </x:c>
      <x:c r="G1387" s="75" t="str">
        <x:f>IF('당기원장'!A387="","",'당기원장'!H387)</x:f>
      </x:c>
      <x:c r="H1387" s="73" t="str">
        <x:f>IF('당기원장'!A387="","",'당기원장'!I387)</x:f>
      </x:c>
      <x:c r="I1387" s="73" t="str">
        <x:f>IF('당기원장'!A387="","",'당기원장'!J387)</x:f>
      </x:c>
      <x:c r="J1387" s="73" t="str">
        <x:f>IF('당기원장'!A387="","",'당기원장'!K387)</x:f>
      </x:c>
      <x:c r="K1387" s="73" t="str">
        <x:f>IF(B1387="","",IF(COUNTIF($B$5:B1387,B1387)=1,COUNT($K$4:K1386)+1,""))</x:f>
      </x:c>
      <x:c r="L1387" s="85" t="str">
        <x:f>IF(B1387="","",IF(COUNTIFS('계정비교'!$A$5:$A$1004,B1387,'계정비교'!$H$5:$H$1004,"원인분석 대상")&gt;0,COUNT($L$4:L1386)+1,""))</x:f>
      </x:c>
    </x:row>
    <x:row r="1388">
      <x:c r="A1388" s="73" t="str">
        <x:f>IF('당기원장'!A388="","","당기")</x:f>
      </x:c>
      <x:c r="B1388" s="73" t="str">
        <x:f>IF('당기원장'!A388="","",'당기원장'!A388)</x:f>
      </x:c>
      <x:c r="C1388" s="73" t="str">
        <x:f>IF('당기원장'!A388="","",'당기원장'!B388)</x:f>
      </x:c>
      <x:c r="D1388" s="74" t="str">
        <x:f>IF('당기원장'!A388="","",'당기원장'!C388)</x:f>
      </x:c>
      <x:c r="E1388" s="73" t="str">
        <x:f>IF('당기원장'!A388="","",'당기원장'!D388)</x:f>
      </x:c>
      <x:c r="F1388" s="73" t="str">
        <x:f>IF('당기원장'!A388="","",'당기원장'!E388)</x:f>
      </x:c>
      <x:c r="G1388" s="75" t="str">
        <x:f>IF('당기원장'!A388="","",'당기원장'!H388)</x:f>
      </x:c>
      <x:c r="H1388" s="73" t="str">
        <x:f>IF('당기원장'!A388="","",'당기원장'!I388)</x:f>
      </x:c>
      <x:c r="I1388" s="73" t="str">
        <x:f>IF('당기원장'!A388="","",'당기원장'!J388)</x:f>
      </x:c>
      <x:c r="J1388" s="73" t="str">
        <x:f>IF('당기원장'!A388="","",'당기원장'!K388)</x:f>
      </x:c>
      <x:c r="K1388" s="73" t="str">
        <x:f>IF(B1388="","",IF(COUNTIF($B$5:B1388,B1388)=1,COUNT($K$4:K1387)+1,""))</x:f>
      </x:c>
      <x:c r="L1388" s="85" t="str">
        <x:f>IF(B1388="","",IF(COUNTIFS('계정비교'!$A$5:$A$1004,B1388,'계정비교'!$H$5:$H$1004,"원인분석 대상")&gt;0,COUNT($L$4:L1387)+1,""))</x:f>
      </x:c>
    </x:row>
    <x:row r="1389">
      <x:c r="A1389" s="73" t="str">
        <x:f>IF('당기원장'!A389="","","당기")</x:f>
      </x:c>
      <x:c r="B1389" s="73" t="str">
        <x:f>IF('당기원장'!A389="","",'당기원장'!A389)</x:f>
      </x:c>
      <x:c r="C1389" s="73" t="str">
        <x:f>IF('당기원장'!A389="","",'당기원장'!B389)</x:f>
      </x:c>
      <x:c r="D1389" s="74" t="str">
        <x:f>IF('당기원장'!A389="","",'당기원장'!C389)</x:f>
      </x:c>
      <x:c r="E1389" s="73" t="str">
        <x:f>IF('당기원장'!A389="","",'당기원장'!D389)</x:f>
      </x:c>
      <x:c r="F1389" s="73" t="str">
        <x:f>IF('당기원장'!A389="","",'당기원장'!E389)</x:f>
      </x:c>
      <x:c r="G1389" s="75" t="str">
        <x:f>IF('당기원장'!A389="","",'당기원장'!H389)</x:f>
      </x:c>
      <x:c r="H1389" s="73" t="str">
        <x:f>IF('당기원장'!A389="","",'당기원장'!I389)</x:f>
      </x:c>
      <x:c r="I1389" s="73" t="str">
        <x:f>IF('당기원장'!A389="","",'당기원장'!J389)</x:f>
      </x:c>
      <x:c r="J1389" s="73" t="str">
        <x:f>IF('당기원장'!A389="","",'당기원장'!K389)</x:f>
      </x:c>
      <x:c r="K1389" s="73" t="str">
        <x:f>IF(B1389="","",IF(COUNTIF($B$5:B1389,B1389)=1,COUNT($K$4:K1388)+1,""))</x:f>
      </x:c>
      <x:c r="L1389" s="85" t="str">
        <x:f>IF(B1389="","",IF(COUNTIFS('계정비교'!$A$5:$A$1004,B1389,'계정비교'!$H$5:$H$1004,"원인분석 대상")&gt;0,COUNT($L$4:L1388)+1,""))</x:f>
      </x:c>
    </x:row>
    <x:row r="1390">
      <x:c r="A1390" s="73" t="str">
        <x:f>IF('당기원장'!A390="","","당기")</x:f>
      </x:c>
      <x:c r="B1390" s="73" t="str">
        <x:f>IF('당기원장'!A390="","",'당기원장'!A390)</x:f>
      </x:c>
      <x:c r="C1390" s="73" t="str">
        <x:f>IF('당기원장'!A390="","",'당기원장'!B390)</x:f>
      </x:c>
      <x:c r="D1390" s="74" t="str">
        <x:f>IF('당기원장'!A390="","",'당기원장'!C390)</x:f>
      </x:c>
      <x:c r="E1390" s="73" t="str">
        <x:f>IF('당기원장'!A390="","",'당기원장'!D390)</x:f>
      </x:c>
      <x:c r="F1390" s="73" t="str">
        <x:f>IF('당기원장'!A390="","",'당기원장'!E390)</x:f>
      </x:c>
      <x:c r="G1390" s="75" t="str">
        <x:f>IF('당기원장'!A390="","",'당기원장'!H390)</x:f>
      </x:c>
      <x:c r="H1390" s="73" t="str">
        <x:f>IF('당기원장'!A390="","",'당기원장'!I390)</x:f>
      </x:c>
      <x:c r="I1390" s="73" t="str">
        <x:f>IF('당기원장'!A390="","",'당기원장'!J390)</x:f>
      </x:c>
      <x:c r="J1390" s="73" t="str">
        <x:f>IF('당기원장'!A390="","",'당기원장'!K390)</x:f>
      </x:c>
      <x:c r="K1390" s="73" t="str">
        <x:f>IF(B1390="","",IF(COUNTIF($B$5:B1390,B1390)=1,COUNT($K$4:K1389)+1,""))</x:f>
      </x:c>
      <x:c r="L1390" s="85" t="str">
        <x:f>IF(B1390="","",IF(COUNTIFS('계정비교'!$A$5:$A$1004,B1390,'계정비교'!$H$5:$H$1004,"원인분석 대상")&gt;0,COUNT($L$4:L1389)+1,""))</x:f>
      </x:c>
    </x:row>
    <x:row r="1391">
      <x:c r="A1391" s="73" t="str">
        <x:f>IF('당기원장'!A391="","","당기")</x:f>
      </x:c>
      <x:c r="B1391" s="73" t="str">
        <x:f>IF('당기원장'!A391="","",'당기원장'!A391)</x:f>
      </x:c>
      <x:c r="C1391" s="73" t="str">
        <x:f>IF('당기원장'!A391="","",'당기원장'!B391)</x:f>
      </x:c>
      <x:c r="D1391" s="74" t="str">
        <x:f>IF('당기원장'!A391="","",'당기원장'!C391)</x:f>
      </x:c>
      <x:c r="E1391" s="73" t="str">
        <x:f>IF('당기원장'!A391="","",'당기원장'!D391)</x:f>
      </x:c>
      <x:c r="F1391" s="73" t="str">
        <x:f>IF('당기원장'!A391="","",'당기원장'!E391)</x:f>
      </x:c>
      <x:c r="G1391" s="75" t="str">
        <x:f>IF('당기원장'!A391="","",'당기원장'!H391)</x:f>
      </x:c>
      <x:c r="H1391" s="73" t="str">
        <x:f>IF('당기원장'!A391="","",'당기원장'!I391)</x:f>
      </x:c>
      <x:c r="I1391" s="73" t="str">
        <x:f>IF('당기원장'!A391="","",'당기원장'!J391)</x:f>
      </x:c>
      <x:c r="J1391" s="73" t="str">
        <x:f>IF('당기원장'!A391="","",'당기원장'!K391)</x:f>
      </x:c>
      <x:c r="K1391" s="73" t="str">
        <x:f>IF(B1391="","",IF(COUNTIF($B$5:B1391,B1391)=1,COUNT($K$4:K1390)+1,""))</x:f>
      </x:c>
      <x:c r="L1391" s="85" t="str">
        <x:f>IF(B1391="","",IF(COUNTIFS('계정비교'!$A$5:$A$1004,B1391,'계정비교'!$H$5:$H$1004,"원인분석 대상")&gt;0,COUNT($L$4:L1390)+1,""))</x:f>
      </x:c>
    </x:row>
    <x:row r="1392">
      <x:c r="A1392" s="73" t="str">
        <x:f>IF('당기원장'!A392="","","당기")</x:f>
      </x:c>
      <x:c r="B1392" s="73" t="str">
        <x:f>IF('당기원장'!A392="","",'당기원장'!A392)</x:f>
      </x:c>
      <x:c r="C1392" s="73" t="str">
        <x:f>IF('당기원장'!A392="","",'당기원장'!B392)</x:f>
      </x:c>
      <x:c r="D1392" s="74" t="str">
        <x:f>IF('당기원장'!A392="","",'당기원장'!C392)</x:f>
      </x:c>
      <x:c r="E1392" s="73" t="str">
        <x:f>IF('당기원장'!A392="","",'당기원장'!D392)</x:f>
      </x:c>
      <x:c r="F1392" s="73" t="str">
        <x:f>IF('당기원장'!A392="","",'당기원장'!E392)</x:f>
      </x:c>
      <x:c r="G1392" s="75" t="str">
        <x:f>IF('당기원장'!A392="","",'당기원장'!H392)</x:f>
      </x:c>
      <x:c r="H1392" s="73" t="str">
        <x:f>IF('당기원장'!A392="","",'당기원장'!I392)</x:f>
      </x:c>
      <x:c r="I1392" s="73" t="str">
        <x:f>IF('당기원장'!A392="","",'당기원장'!J392)</x:f>
      </x:c>
      <x:c r="J1392" s="73" t="str">
        <x:f>IF('당기원장'!A392="","",'당기원장'!K392)</x:f>
      </x:c>
      <x:c r="K1392" s="73" t="str">
        <x:f>IF(B1392="","",IF(COUNTIF($B$5:B1392,B1392)=1,COUNT($K$4:K1391)+1,""))</x:f>
      </x:c>
      <x:c r="L1392" s="85" t="str">
        <x:f>IF(B1392="","",IF(COUNTIFS('계정비교'!$A$5:$A$1004,B1392,'계정비교'!$H$5:$H$1004,"원인분석 대상")&gt;0,COUNT($L$4:L1391)+1,""))</x:f>
      </x:c>
    </x:row>
    <x:row r="1393">
      <x:c r="A1393" s="73" t="str">
        <x:f>IF('당기원장'!A393="","","당기")</x:f>
      </x:c>
      <x:c r="B1393" s="73" t="str">
        <x:f>IF('당기원장'!A393="","",'당기원장'!A393)</x:f>
      </x:c>
      <x:c r="C1393" s="73" t="str">
        <x:f>IF('당기원장'!A393="","",'당기원장'!B393)</x:f>
      </x:c>
      <x:c r="D1393" s="74" t="str">
        <x:f>IF('당기원장'!A393="","",'당기원장'!C393)</x:f>
      </x:c>
      <x:c r="E1393" s="73" t="str">
        <x:f>IF('당기원장'!A393="","",'당기원장'!D393)</x:f>
      </x:c>
      <x:c r="F1393" s="73" t="str">
        <x:f>IF('당기원장'!A393="","",'당기원장'!E393)</x:f>
      </x:c>
      <x:c r="G1393" s="75" t="str">
        <x:f>IF('당기원장'!A393="","",'당기원장'!H393)</x:f>
      </x:c>
      <x:c r="H1393" s="73" t="str">
        <x:f>IF('당기원장'!A393="","",'당기원장'!I393)</x:f>
      </x:c>
      <x:c r="I1393" s="73" t="str">
        <x:f>IF('당기원장'!A393="","",'당기원장'!J393)</x:f>
      </x:c>
      <x:c r="J1393" s="73" t="str">
        <x:f>IF('당기원장'!A393="","",'당기원장'!K393)</x:f>
      </x:c>
      <x:c r="K1393" s="73" t="str">
        <x:f>IF(B1393="","",IF(COUNTIF($B$5:B1393,B1393)=1,COUNT($K$4:K1392)+1,""))</x:f>
      </x:c>
      <x:c r="L1393" s="85" t="str">
        <x:f>IF(B1393="","",IF(COUNTIFS('계정비교'!$A$5:$A$1004,B1393,'계정비교'!$H$5:$H$1004,"원인분석 대상")&gt;0,COUNT($L$4:L1392)+1,""))</x:f>
      </x:c>
    </x:row>
    <x:row r="1394">
      <x:c r="A1394" s="73" t="str">
        <x:f>IF('당기원장'!A394="","","당기")</x:f>
      </x:c>
      <x:c r="B1394" s="73" t="str">
        <x:f>IF('당기원장'!A394="","",'당기원장'!A394)</x:f>
      </x:c>
      <x:c r="C1394" s="73" t="str">
        <x:f>IF('당기원장'!A394="","",'당기원장'!B394)</x:f>
      </x:c>
      <x:c r="D1394" s="74" t="str">
        <x:f>IF('당기원장'!A394="","",'당기원장'!C394)</x:f>
      </x:c>
      <x:c r="E1394" s="73" t="str">
        <x:f>IF('당기원장'!A394="","",'당기원장'!D394)</x:f>
      </x:c>
      <x:c r="F1394" s="73" t="str">
        <x:f>IF('당기원장'!A394="","",'당기원장'!E394)</x:f>
      </x:c>
      <x:c r="G1394" s="75" t="str">
        <x:f>IF('당기원장'!A394="","",'당기원장'!H394)</x:f>
      </x:c>
      <x:c r="H1394" s="73" t="str">
        <x:f>IF('당기원장'!A394="","",'당기원장'!I394)</x:f>
      </x:c>
      <x:c r="I1394" s="73" t="str">
        <x:f>IF('당기원장'!A394="","",'당기원장'!J394)</x:f>
      </x:c>
      <x:c r="J1394" s="73" t="str">
        <x:f>IF('당기원장'!A394="","",'당기원장'!K394)</x:f>
      </x:c>
      <x:c r="K1394" s="73" t="str">
        <x:f>IF(B1394="","",IF(COUNTIF($B$5:B1394,B1394)=1,COUNT($K$4:K1393)+1,""))</x:f>
      </x:c>
      <x:c r="L1394" s="85" t="str">
        <x:f>IF(B1394="","",IF(COUNTIFS('계정비교'!$A$5:$A$1004,B1394,'계정비교'!$H$5:$H$1004,"원인분석 대상")&gt;0,COUNT($L$4:L1393)+1,""))</x:f>
      </x:c>
    </x:row>
    <x:row r="1395">
      <x:c r="A1395" s="73" t="str">
        <x:f>IF('당기원장'!A395="","","당기")</x:f>
      </x:c>
      <x:c r="B1395" s="73" t="str">
        <x:f>IF('당기원장'!A395="","",'당기원장'!A395)</x:f>
      </x:c>
      <x:c r="C1395" s="73" t="str">
        <x:f>IF('당기원장'!A395="","",'당기원장'!B395)</x:f>
      </x:c>
      <x:c r="D1395" s="74" t="str">
        <x:f>IF('당기원장'!A395="","",'당기원장'!C395)</x:f>
      </x:c>
      <x:c r="E1395" s="73" t="str">
        <x:f>IF('당기원장'!A395="","",'당기원장'!D395)</x:f>
      </x:c>
      <x:c r="F1395" s="73" t="str">
        <x:f>IF('당기원장'!A395="","",'당기원장'!E395)</x:f>
      </x:c>
      <x:c r="G1395" s="75" t="str">
        <x:f>IF('당기원장'!A395="","",'당기원장'!H395)</x:f>
      </x:c>
      <x:c r="H1395" s="73" t="str">
        <x:f>IF('당기원장'!A395="","",'당기원장'!I395)</x:f>
      </x:c>
      <x:c r="I1395" s="73" t="str">
        <x:f>IF('당기원장'!A395="","",'당기원장'!J395)</x:f>
      </x:c>
      <x:c r="J1395" s="73" t="str">
        <x:f>IF('당기원장'!A395="","",'당기원장'!K395)</x:f>
      </x:c>
      <x:c r="K1395" s="73" t="str">
        <x:f>IF(B1395="","",IF(COUNTIF($B$5:B1395,B1395)=1,COUNT($K$4:K1394)+1,""))</x:f>
      </x:c>
      <x:c r="L1395" s="85" t="str">
        <x:f>IF(B1395="","",IF(COUNTIFS('계정비교'!$A$5:$A$1004,B1395,'계정비교'!$H$5:$H$1004,"원인분석 대상")&gt;0,COUNT($L$4:L1394)+1,""))</x:f>
      </x:c>
    </x:row>
    <x:row r="1396">
      <x:c r="A1396" s="73" t="str">
        <x:f>IF('당기원장'!A396="","","당기")</x:f>
      </x:c>
      <x:c r="B1396" s="73" t="str">
        <x:f>IF('당기원장'!A396="","",'당기원장'!A396)</x:f>
      </x:c>
      <x:c r="C1396" s="73" t="str">
        <x:f>IF('당기원장'!A396="","",'당기원장'!B396)</x:f>
      </x:c>
      <x:c r="D1396" s="74" t="str">
        <x:f>IF('당기원장'!A396="","",'당기원장'!C396)</x:f>
      </x:c>
      <x:c r="E1396" s="73" t="str">
        <x:f>IF('당기원장'!A396="","",'당기원장'!D396)</x:f>
      </x:c>
      <x:c r="F1396" s="73" t="str">
        <x:f>IF('당기원장'!A396="","",'당기원장'!E396)</x:f>
      </x:c>
      <x:c r="G1396" s="75" t="str">
        <x:f>IF('당기원장'!A396="","",'당기원장'!H396)</x:f>
      </x:c>
      <x:c r="H1396" s="73" t="str">
        <x:f>IF('당기원장'!A396="","",'당기원장'!I396)</x:f>
      </x:c>
      <x:c r="I1396" s="73" t="str">
        <x:f>IF('당기원장'!A396="","",'당기원장'!J396)</x:f>
      </x:c>
      <x:c r="J1396" s="73" t="str">
        <x:f>IF('당기원장'!A396="","",'당기원장'!K396)</x:f>
      </x:c>
      <x:c r="K1396" s="73" t="str">
        <x:f>IF(B1396="","",IF(COUNTIF($B$5:B1396,B1396)=1,COUNT($K$4:K1395)+1,""))</x:f>
      </x:c>
      <x:c r="L1396" s="85" t="str">
        <x:f>IF(B1396="","",IF(COUNTIFS('계정비교'!$A$5:$A$1004,B1396,'계정비교'!$H$5:$H$1004,"원인분석 대상")&gt;0,COUNT($L$4:L1395)+1,""))</x:f>
      </x:c>
    </x:row>
    <x:row r="1397">
      <x:c r="A1397" s="73" t="str">
        <x:f>IF('당기원장'!A397="","","당기")</x:f>
      </x:c>
      <x:c r="B1397" s="73" t="str">
        <x:f>IF('당기원장'!A397="","",'당기원장'!A397)</x:f>
      </x:c>
      <x:c r="C1397" s="73" t="str">
        <x:f>IF('당기원장'!A397="","",'당기원장'!B397)</x:f>
      </x:c>
      <x:c r="D1397" s="74" t="str">
        <x:f>IF('당기원장'!A397="","",'당기원장'!C397)</x:f>
      </x:c>
      <x:c r="E1397" s="73" t="str">
        <x:f>IF('당기원장'!A397="","",'당기원장'!D397)</x:f>
      </x:c>
      <x:c r="F1397" s="73" t="str">
        <x:f>IF('당기원장'!A397="","",'당기원장'!E397)</x:f>
      </x:c>
      <x:c r="G1397" s="75" t="str">
        <x:f>IF('당기원장'!A397="","",'당기원장'!H397)</x:f>
      </x:c>
      <x:c r="H1397" s="73" t="str">
        <x:f>IF('당기원장'!A397="","",'당기원장'!I397)</x:f>
      </x:c>
      <x:c r="I1397" s="73" t="str">
        <x:f>IF('당기원장'!A397="","",'당기원장'!J397)</x:f>
      </x:c>
      <x:c r="J1397" s="73" t="str">
        <x:f>IF('당기원장'!A397="","",'당기원장'!K397)</x:f>
      </x:c>
      <x:c r="K1397" s="73" t="str">
        <x:f>IF(B1397="","",IF(COUNTIF($B$5:B1397,B1397)=1,COUNT($K$4:K1396)+1,""))</x:f>
      </x:c>
      <x:c r="L1397" s="85" t="str">
        <x:f>IF(B1397="","",IF(COUNTIFS('계정비교'!$A$5:$A$1004,B1397,'계정비교'!$H$5:$H$1004,"원인분석 대상")&gt;0,COUNT($L$4:L1396)+1,""))</x:f>
      </x:c>
    </x:row>
    <x:row r="1398">
      <x:c r="A1398" s="73" t="str">
        <x:f>IF('당기원장'!A398="","","당기")</x:f>
      </x:c>
      <x:c r="B1398" s="73" t="str">
        <x:f>IF('당기원장'!A398="","",'당기원장'!A398)</x:f>
      </x:c>
      <x:c r="C1398" s="73" t="str">
        <x:f>IF('당기원장'!A398="","",'당기원장'!B398)</x:f>
      </x:c>
      <x:c r="D1398" s="74" t="str">
        <x:f>IF('당기원장'!A398="","",'당기원장'!C398)</x:f>
      </x:c>
      <x:c r="E1398" s="73" t="str">
        <x:f>IF('당기원장'!A398="","",'당기원장'!D398)</x:f>
      </x:c>
      <x:c r="F1398" s="73" t="str">
        <x:f>IF('당기원장'!A398="","",'당기원장'!E398)</x:f>
      </x:c>
      <x:c r="G1398" s="75" t="str">
        <x:f>IF('당기원장'!A398="","",'당기원장'!H398)</x:f>
      </x:c>
      <x:c r="H1398" s="73" t="str">
        <x:f>IF('당기원장'!A398="","",'당기원장'!I398)</x:f>
      </x:c>
      <x:c r="I1398" s="73" t="str">
        <x:f>IF('당기원장'!A398="","",'당기원장'!J398)</x:f>
      </x:c>
      <x:c r="J1398" s="73" t="str">
        <x:f>IF('당기원장'!A398="","",'당기원장'!K398)</x:f>
      </x:c>
      <x:c r="K1398" s="73" t="str">
        <x:f>IF(B1398="","",IF(COUNTIF($B$5:B1398,B1398)=1,COUNT($K$4:K1397)+1,""))</x:f>
      </x:c>
      <x:c r="L1398" s="85" t="str">
        <x:f>IF(B1398="","",IF(COUNTIFS('계정비교'!$A$5:$A$1004,B1398,'계정비교'!$H$5:$H$1004,"원인분석 대상")&gt;0,COUNT($L$4:L1397)+1,""))</x:f>
      </x:c>
    </x:row>
    <x:row r="1399">
      <x:c r="A1399" s="73" t="str">
        <x:f>IF('당기원장'!A399="","","당기")</x:f>
      </x:c>
      <x:c r="B1399" s="73" t="str">
        <x:f>IF('당기원장'!A399="","",'당기원장'!A399)</x:f>
      </x:c>
      <x:c r="C1399" s="73" t="str">
        <x:f>IF('당기원장'!A399="","",'당기원장'!B399)</x:f>
      </x:c>
      <x:c r="D1399" s="74" t="str">
        <x:f>IF('당기원장'!A399="","",'당기원장'!C399)</x:f>
      </x:c>
      <x:c r="E1399" s="73" t="str">
        <x:f>IF('당기원장'!A399="","",'당기원장'!D399)</x:f>
      </x:c>
      <x:c r="F1399" s="73" t="str">
        <x:f>IF('당기원장'!A399="","",'당기원장'!E399)</x:f>
      </x:c>
      <x:c r="G1399" s="75" t="str">
        <x:f>IF('당기원장'!A399="","",'당기원장'!H399)</x:f>
      </x:c>
      <x:c r="H1399" s="73" t="str">
        <x:f>IF('당기원장'!A399="","",'당기원장'!I399)</x:f>
      </x:c>
      <x:c r="I1399" s="73" t="str">
        <x:f>IF('당기원장'!A399="","",'당기원장'!J399)</x:f>
      </x:c>
      <x:c r="J1399" s="73" t="str">
        <x:f>IF('당기원장'!A399="","",'당기원장'!K399)</x:f>
      </x:c>
      <x:c r="K1399" s="73" t="str">
        <x:f>IF(B1399="","",IF(COUNTIF($B$5:B1399,B1399)=1,COUNT($K$4:K1398)+1,""))</x:f>
      </x:c>
      <x:c r="L1399" s="85" t="str">
        <x:f>IF(B1399="","",IF(COUNTIFS('계정비교'!$A$5:$A$1004,B1399,'계정비교'!$H$5:$H$1004,"원인분석 대상")&gt;0,COUNT($L$4:L1398)+1,""))</x:f>
      </x:c>
    </x:row>
    <x:row r="1400">
      <x:c r="A1400" s="73" t="str">
        <x:f>IF('당기원장'!A400="","","당기")</x:f>
      </x:c>
      <x:c r="B1400" s="73" t="str">
        <x:f>IF('당기원장'!A400="","",'당기원장'!A400)</x:f>
      </x:c>
      <x:c r="C1400" s="73" t="str">
        <x:f>IF('당기원장'!A400="","",'당기원장'!B400)</x:f>
      </x:c>
      <x:c r="D1400" s="74" t="str">
        <x:f>IF('당기원장'!A400="","",'당기원장'!C400)</x:f>
      </x:c>
      <x:c r="E1400" s="73" t="str">
        <x:f>IF('당기원장'!A400="","",'당기원장'!D400)</x:f>
      </x:c>
      <x:c r="F1400" s="73" t="str">
        <x:f>IF('당기원장'!A400="","",'당기원장'!E400)</x:f>
      </x:c>
      <x:c r="G1400" s="75" t="str">
        <x:f>IF('당기원장'!A400="","",'당기원장'!H400)</x:f>
      </x:c>
      <x:c r="H1400" s="73" t="str">
        <x:f>IF('당기원장'!A400="","",'당기원장'!I400)</x:f>
      </x:c>
      <x:c r="I1400" s="73" t="str">
        <x:f>IF('당기원장'!A400="","",'당기원장'!J400)</x:f>
      </x:c>
      <x:c r="J1400" s="73" t="str">
        <x:f>IF('당기원장'!A400="","",'당기원장'!K400)</x:f>
      </x:c>
      <x:c r="K1400" s="73" t="str">
        <x:f>IF(B1400="","",IF(COUNTIF($B$5:B1400,B1400)=1,COUNT($K$4:K1399)+1,""))</x:f>
      </x:c>
      <x:c r="L1400" s="85" t="str">
        <x:f>IF(B1400="","",IF(COUNTIFS('계정비교'!$A$5:$A$1004,B1400,'계정비교'!$H$5:$H$1004,"원인분석 대상")&gt;0,COUNT($L$4:L1399)+1,""))</x:f>
      </x:c>
    </x:row>
    <x:row r="1401">
      <x:c r="A1401" s="73" t="str">
        <x:f>IF('당기원장'!A401="","","당기")</x:f>
      </x:c>
      <x:c r="B1401" s="73" t="str">
        <x:f>IF('당기원장'!A401="","",'당기원장'!A401)</x:f>
      </x:c>
      <x:c r="C1401" s="73" t="str">
        <x:f>IF('당기원장'!A401="","",'당기원장'!B401)</x:f>
      </x:c>
      <x:c r="D1401" s="74" t="str">
        <x:f>IF('당기원장'!A401="","",'당기원장'!C401)</x:f>
      </x:c>
      <x:c r="E1401" s="73" t="str">
        <x:f>IF('당기원장'!A401="","",'당기원장'!D401)</x:f>
      </x:c>
      <x:c r="F1401" s="73" t="str">
        <x:f>IF('당기원장'!A401="","",'당기원장'!E401)</x:f>
      </x:c>
      <x:c r="G1401" s="75" t="str">
        <x:f>IF('당기원장'!A401="","",'당기원장'!H401)</x:f>
      </x:c>
      <x:c r="H1401" s="73" t="str">
        <x:f>IF('당기원장'!A401="","",'당기원장'!I401)</x:f>
      </x:c>
      <x:c r="I1401" s="73" t="str">
        <x:f>IF('당기원장'!A401="","",'당기원장'!J401)</x:f>
      </x:c>
      <x:c r="J1401" s="73" t="str">
        <x:f>IF('당기원장'!A401="","",'당기원장'!K401)</x:f>
      </x:c>
      <x:c r="K1401" s="73" t="str">
        <x:f>IF(B1401="","",IF(COUNTIF($B$5:B1401,B1401)=1,COUNT($K$4:K1400)+1,""))</x:f>
      </x:c>
      <x:c r="L1401" s="85" t="str">
        <x:f>IF(B1401="","",IF(COUNTIFS('계정비교'!$A$5:$A$1004,B1401,'계정비교'!$H$5:$H$1004,"원인분석 대상")&gt;0,COUNT($L$4:L1400)+1,""))</x:f>
      </x:c>
    </x:row>
    <x:row r="1402">
      <x:c r="A1402" s="73" t="str">
        <x:f>IF('당기원장'!A402="","","당기")</x:f>
      </x:c>
      <x:c r="B1402" s="73" t="str">
        <x:f>IF('당기원장'!A402="","",'당기원장'!A402)</x:f>
      </x:c>
      <x:c r="C1402" s="73" t="str">
        <x:f>IF('당기원장'!A402="","",'당기원장'!B402)</x:f>
      </x:c>
      <x:c r="D1402" s="74" t="str">
        <x:f>IF('당기원장'!A402="","",'당기원장'!C402)</x:f>
      </x:c>
      <x:c r="E1402" s="73" t="str">
        <x:f>IF('당기원장'!A402="","",'당기원장'!D402)</x:f>
      </x:c>
      <x:c r="F1402" s="73" t="str">
        <x:f>IF('당기원장'!A402="","",'당기원장'!E402)</x:f>
      </x:c>
      <x:c r="G1402" s="75" t="str">
        <x:f>IF('당기원장'!A402="","",'당기원장'!H402)</x:f>
      </x:c>
      <x:c r="H1402" s="73" t="str">
        <x:f>IF('당기원장'!A402="","",'당기원장'!I402)</x:f>
      </x:c>
      <x:c r="I1402" s="73" t="str">
        <x:f>IF('당기원장'!A402="","",'당기원장'!J402)</x:f>
      </x:c>
      <x:c r="J1402" s="73" t="str">
        <x:f>IF('당기원장'!A402="","",'당기원장'!K402)</x:f>
      </x:c>
      <x:c r="K1402" s="73" t="str">
        <x:f>IF(B1402="","",IF(COUNTIF($B$5:B1402,B1402)=1,COUNT($K$4:K1401)+1,""))</x:f>
      </x:c>
      <x:c r="L1402" s="85" t="str">
        <x:f>IF(B1402="","",IF(COUNTIFS('계정비교'!$A$5:$A$1004,B1402,'계정비교'!$H$5:$H$1004,"원인분석 대상")&gt;0,COUNT($L$4:L1401)+1,""))</x:f>
      </x:c>
    </x:row>
    <x:row r="1403">
      <x:c r="A1403" s="73" t="str">
        <x:f>IF('당기원장'!A403="","","당기")</x:f>
      </x:c>
      <x:c r="B1403" s="73" t="str">
        <x:f>IF('당기원장'!A403="","",'당기원장'!A403)</x:f>
      </x:c>
      <x:c r="C1403" s="73" t="str">
        <x:f>IF('당기원장'!A403="","",'당기원장'!B403)</x:f>
      </x:c>
      <x:c r="D1403" s="74" t="str">
        <x:f>IF('당기원장'!A403="","",'당기원장'!C403)</x:f>
      </x:c>
      <x:c r="E1403" s="73" t="str">
        <x:f>IF('당기원장'!A403="","",'당기원장'!D403)</x:f>
      </x:c>
      <x:c r="F1403" s="73" t="str">
        <x:f>IF('당기원장'!A403="","",'당기원장'!E403)</x:f>
      </x:c>
      <x:c r="G1403" s="75" t="str">
        <x:f>IF('당기원장'!A403="","",'당기원장'!H403)</x:f>
      </x:c>
      <x:c r="H1403" s="73" t="str">
        <x:f>IF('당기원장'!A403="","",'당기원장'!I403)</x:f>
      </x:c>
      <x:c r="I1403" s="73" t="str">
        <x:f>IF('당기원장'!A403="","",'당기원장'!J403)</x:f>
      </x:c>
      <x:c r="J1403" s="73" t="str">
        <x:f>IF('당기원장'!A403="","",'당기원장'!K403)</x:f>
      </x:c>
      <x:c r="K1403" s="73" t="str">
        <x:f>IF(B1403="","",IF(COUNTIF($B$5:B1403,B1403)=1,COUNT($K$4:K1402)+1,""))</x:f>
      </x:c>
      <x:c r="L1403" s="85" t="str">
        <x:f>IF(B1403="","",IF(COUNTIFS('계정비교'!$A$5:$A$1004,B1403,'계정비교'!$H$5:$H$1004,"원인분석 대상")&gt;0,COUNT($L$4:L1402)+1,""))</x:f>
      </x:c>
    </x:row>
    <x:row r="1404">
      <x:c r="A1404" s="73" t="str">
        <x:f>IF('당기원장'!A404="","","당기")</x:f>
      </x:c>
      <x:c r="B1404" s="73" t="str">
        <x:f>IF('당기원장'!A404="","",'당기원장'!A404)</x:f>
      </x:c>
      <x:c r="C1404" s="73" t="str">
        <x:f>IF('당기원장'!A404="","",'당기원장'!B404)</x:f>
      </x:c>
      <x:c r="D1404" s="74" t="str">
        <x:f>IF('당기원장'!A404="","",'당기원장'!C404)</x:f>
      </x:c>
      <x:c r="E1404" s="73" t="str">
        <x:f>IF('당기원장'!A404="","",'당기원장'!D404)</x:f>
      </x:c>
      <x:c r="F1404" s="73" t="str">
        <x:f>IF('당기원장'!A404="","",'당기원장'!E404)</x:f>
      </x:c>
      <x:c r="G1404" s="75" t="str">
        <x:f>IF('당기원장'!A404="","",'당기원장'!H404)</x:f>
      </x:c>
      <x:c r="H1404" s="73" t="str">
        <x:f>IF('당기원장'!A404="","",'당기원장'!I404)</x:f>
      </x:c>
      <x:c r="I1404" s="73" t="str">
        <x:f>IF('당기원장'!A404="","",'당기원장'!J404)</x:f>
      </x:c>
      <x:c r="J1404" s="73" t="str">
        <x:f>IF('당기원장'!A404="","",'당기원장'!K404)</x:f>
      </x:c>
      <x:c r="K1404" s="73" t="str">
        <x:f>IF(B1404="","",IF(COUNTIF($B$5:B1404,B1404)=1,COUNT($K$4:K1403)+1,""))</x:f>
      </x:c>
      <x:c r="L1404" s="85" t="str">
        <x:f>IF(B1404="","",IF(COUNTIFS('계정비교'!$A$5:$A$1004,B1404,'계정비교'!$H$5:$H$1004,"원인분석 대상")&gt;0,COUNT($L$4:L1403)+1,""))</x:f>
      </x:c>
    </x:row>
    <x:row r="1405">
      <x:c r="A1405" s="73" t="str">
        <x:f>IF('당기원장'!A405="","","당기")</x:f>
      </x:c>
      <x:c r="B1405" s="73" t="str">
        <x:f>IF('당기원장'!A405="","",'당기원장'!A405)</x:f>
      </x:c>
      <x:c r="C1405" s="73" t="str">
        <x:f>IF('당기원장'!A405="","",'당기원장'!B405)</x:f>
      </x:c>
      <x:c r="D1405" s="74" t="str">
        <x:f>IF('당기원장'!A405="","",'당기원장'!C405)</x:f>
      </x:c>
      <x:c r="E1405" s="73" t="str">
        <x:f>IF('당기원장'!A405="","",'당기원장'!D405)</x:f>
      </x:c>
      <x:c r="F1405" s="73" t="str">
        <x:f>IF('당기원장'!A405="","",'당기원장'!E405)</x:f>
      </x:c>
      <x:c r="G1405" s="75" t="str">
        <x:f>IF('당기원장'!A405="","",'당기원장'!H405)</x:f>
      </x:c>
      <x:c r="H1405" s="73" t="str">
        <x:f>IF('당기원장'!A405="","",'당기원장'!I405)</x:f>
      </x:c>
      <x:c r="I1405" s="73" t="str">
        <x:f>IF('당기원장'!A405="","",'당기원장'!J405)</x:f>
      </x:c>
      <x:c r="J1405" s="73" t="str">
        <x:f>IF('당기원장'!A405="","",'당기원장'!K405)</x:f>
      </x:c>
      <x:c r="K1405" s="73" t="str">
        <x:f>IF(B1405="","",IF(COUNTIF($B$5:B1405,B1405)=1,COUNT($K$4:K1404)+1,""))</x:f>
      </x:c>
      <x:c r="L1405" s="85" t="str">
        <x:f>IF(B1405="","",IF(COUNTIFS('계정비교'!$A$5:$A$1004,B1405,'계정비교'!$H$5:$H$1004,"원인분석 대상")&gt;0,COUNT($L$4:L1404)+1,""))</x:f>
      </x:c>
    </x:row>
    <x:row r="1406">
      <x:c r="A1406" s="73" t="str">
        <x:f>IF('당기원장'!A406="","","당기")</x:f>
      </x:c>
      <x:c r="B1406" s="73" t="str">
        <x:f>IF('당기원장'!A406="","",'당기원장'!A406)</x:f>
      </x:c>
      <x:c r="C1406" s="73" t="str">
        <x:f>IF('당기원장'!A406="","",'당기원장'!B406)</x:f>
      </x:c>
      <x:c r="D1406" s="74" t="str">
        <x:f>IF('당기원장'!A406="","",'당기원장'!C406)</x:f>
      </x:c>
      <x:c r="E1406" s="73" t="str">
        <x:f>IF('당기원장'!A406="","",'당기원장'!D406)</x:f>
      </x:c>
      <x:c r="F1406" s="73" t="str">
        <x:f>IF('당기원장'!A406="","",'당기원장'!E406)</x:f>
      </x:c>
      <x:c r="G1406" s="75" t="str">
        <x:f>IF('당기원장'!A406="","",'당기원장'!H406)</x:f>
      </x:c>
      <x:c r="H1406" s="73" t="str">
        <x:f>IF('당기원장'!A406="","",'당기원장'!I406)</x:f>
      </x:c>
      <x:c r="I1406" s="73" t="str">
        <x:f>IF('당기원장'!A406="","",'당기원장'!J406)</x:f>
      </x:c>
      <x:c r="J1406" s="73" t="str">
        <x:f>IF('당기원장'!A406="","",'당기원장'!K406)</x:f>
      </x:c>
      <x:c r="K1406" s="73" t="str">
        <x:f>IF(B1406="","",IF(COUNTIF($B$5:B1406,B1406)=1,COUNT($K$4:K1405)+1,""))</x:f>
      </x:c>
      <x:c r="L1406" s="85" t="str">
        <x:f>IF(B1406="","",IF(COUNTIFS('계정비교'!$A$5:$A$1004,B1406,'계정비교'!$H$5:$H$1004,"원인분석 대상")&gt;0,COUNT($L$4:L1405)+1,""))</x:f>
      </x:c>
    </x:row>
    <x:row r="1407">
      <x:c r="A1407" s="73" t="str">
        <x:f>IF('당기원장'!A407="","","당기")</x:f>
      </x:c>
      <x:c r="B1407" s="73" t="str">
        <x:f>IF('당기원장'!A407="","",'당기원장'!A407)</x:f>
      </x:c>
      <x:c r="C1407" s="73" t="str">
        <x:f>IF('당기원장'!A407="","",'당기원장'!B407)</x:f>
      </x:c>
      <x:c r="D1407" s="74" t="str">
        <x:f>IF('당기원장'!A407="","",'당기원장'!C407)</x:f>
      </x:c>
      <x:c r="E1407" s="73" t="str">
        <x:f>IF('당기원장'!A407="","",'당기원장'!D407)</x:f>
      </x:c>
      <x:c r="F1407" s="73" t="str">
        <x:f>IF('당기원장'!A407="","",'당기원장'!E407)</x:f>
      </x:c>
      <x:c r="G1407" s="75" t="str">
        <x:f>IF('당기원장'!A407="","",'당기원장'!H407)</x:f>
      </x:c>
      <x:c r="H1407" s="73" t="str">
        <x:f>IF('당기원장'!A407="","",'당기원장'!I407)</x:f>
      </x:c>
      <x:c r="I1407" s="73" t="str">
        <x:f>IF('당기원장'!A407="","",'당기원장'!J407)</x:f>
      </x:c>
      <x:c r="J1407" s="73" t="str">
        <x:f>IF('당기원장'!A407="","",'당기원장'!K407)</x:f>
      </x:c>
      <x:c r="K1407" s="73" t="str">
        <x:f>IF(B1407="","",IF(COUNTIF($B$5:B1407,B1407)=1,COUNT($K$4:K1406)+1,""))</x:f>
      </x:c>
      <x:c r="L1407" s="85" t="str">
        <x:f>IF(B1407="","",IF(COUNTIFS('계정비교'!$A$5:$A$1004,B1407,'계정비교'!$H$5:$H$1004,"원인분석 대상")&gt;0,COUNT($L$4:L1406)+1,""))</x:f>
      </x:c>
    </x:row>
    <x:row r="1408">
      <x:c r="A1408" s="73" t="str">
        <x:f>IF('당기원장'!A408="","","당기")</x:f>
      </x:c>
      <x:c r="B1408" s="73" t="str">
        <x:f>IF('당기원장'!A408="","",'당기원장'!A408)</x:f>
      </x:c>
      <x:c r="C1408" s="73" t="str">
        <x:f>IF('당기원장'!A408="","",'당기원장'!B408)</x:f>
      </x:c>
      <x:c r="D1408" s="74" t="str">
        <x:f>IF('당기원장'!A408="","",'당기원장'!C408)</x:f>
      </x:c>
      <x:c r="E1408" s="73" t="str">
        <x:f>IF('당기원장'!A408="","",'당기원장'!D408)</x:f>
      </x:c>
      <x:c r="F1408" s="73" t="str">
        <x:f>IF('당기원장'!A408="","",'당기원장'!E408)</x:f>
      </x:c>
      <x:c r="G1408" s="75" t="str">
        <x:f>IF('당기원장'!A408="","",'당기원장'!H408)</x:f>
      </x:c>
      <x:c r="H1408" s="73" t="str">
        <x:f>IF('당기원장'!A408="","",'당기원장'!I408)</x:f>
      </x:c>
      <x:c r="I1408" s="73" t="str">
        <x:f>IF('당기원장'!A408="","",'당기원장'!J408)</x:f>
      </x:c>
      <x:c r="J1408" s="73" t="str">
        <x:f>IF('당기원장'!A408="","",'당기원장'!K408)</x:f>
      </x:c>
      <x:c r="K1408" s="73" t="str">
        <x:f>IF(B1408="","",IF(COUNTIF($B$5:B1408,B1408)=1,COUNT($K$4:K1407)+1,""))</x:f>
      </x:c>
      <x:c r="L1408" s="85" t="str">
        <x:f>IF(B1408="","",IF(COUNTIFS('계정비교'!$A$5:$A$1004,B1408,'계정비교'!$H$5:$H$1004,"원인분석 대상")&gt;0,COUNT($L$4:L1407)+1,""))</x:f>
      </x:c>
    </x:row>
    <x:row r="1409">
      <x:c r="A1409" s="73" t="str">
        <x:f>IF('당기원장'!A409="","","당기")</x:f>
      </x:c>
      <x:c r="B1409" s="73" t="str">
        <x:f>IF('당기원장'!A409="","",'당기원장'!A409)</x:f>
      </x:c>
      <x:c r="C1409" s="73" t="str">
        <x:f>IF('당기원장'!A409="","",'당기원장'!B409)</x:f>
      </x:c>
      <x:c r="D1409" s="74" t="str">
        <x:f>IF('당기원장'!A409="","",'당기원장'!C409)</x:f>
      </x:c>
      <x:c r="E1409" s="73" t="str">
        <x:f>IF('당기원장'!A409="","",'당기원장'!D409)</x:f>
      </x:c>
      <x:c r="F1409" s="73" t="str">
        <x:f>IF('당기원장'!A409="","",'당기원장'!E409)</x:f>
      </x:c>
      <x:c r="G1409" s="75" t="str">
        <x:f>IF('당기원장'!A409="","",'당기원장'!H409)</x:f>
      </x:c>
      <x:c r="H1409" s="73" t="str">
        <x:f>IF('당기원장'!A409="","",'당기원장'!I409)</x:f>
      </x:c>
      <x:c r="I1409" s="73" t="str">
        <x:f>IF('당기원장'!A409="","",'당기원장'!J409)</x:f>
      </x:c>
      <x:c r="J1409" s="73" t="str">
        <x:f>IF('당기원장'!A409="","",'당기원장'!K409)</x:f>
      </x:c>
      <x:c r="K1409" s="73" t="str">
        <x:f>IF(B1409="","",IF(COUNTIF($B$5:B1409,B1409)=1,COUNT($K$4:K1408)+1,""))</x:f>
      </x:c>
      <x:c r="L1409" s="85" t="str">
        <x:f>IF(B1409="","",IF(COUNTIFS('계정비교'!$A$5:$A$1004,B1409,'계정비교'!$H$5:$H$1004,"원인분석 대상")&gt;0,COUNT($L$4:L1408)+1,""))</x:f>
      </x:c>
    </x:row>
    <x:row r="1410">
      <x:c r="A1410" s="73" t="str">
        <x:f>IF('당기원장'!A410="","","당기")</x:f>
      </x:c>
      <x:c r="B1410" s="73" t="str">
        <x:f>IF('당기원장'!A410="","",'당기원장'!A410)</x:f>
      </x:c>
      <x:c r="C1410" s="73" t="str">
        <x:f>IF('당기원장'!A410="","",'당기원장'!B410)</x:f>
      </x:c>
      <x:c r="D1410" s="74" t="str">
        <x:f>IF('당기원장'!A410="","",'당기원장'!C410)</x:f>
      </x:c>
      <x:c r="E1410" s="73" t="str">
        <x:f>IF('당기원장'!A410="","",'당기원장'!D410)</x:f>
      </x:c>
      <x:c r="F1410" s="73" t="str">
        <x:f>IF('당기원장'!A410="","",'당기원장'!E410)</x:f>
      </x:c>
      <x:c r="G1410" s="75" t="str">
        <x:f>IF('당기원장'!A410="","",'당기원장'!H410)</x:f>
      </x:c>
      <x:c r="H1410" s="73" t="str">
        <x:f>IF('당기원장'!A410="","",'당기원장'!I410)</x:f>
      </x:c>
      <x:c r="I1410" s="73" t="str">
        <x:f>IF('당기원장'!A410="","",'당기원장'!J410)</x:f>
      </x:c>
      <x:c r="J1410" s="73" t="str">
        <x:f>IF('당기원장'!A410="","",'당기원장'!K410)</x:f>
      </x:c>
      <x:c r="K1410" s="73" t="str">
        <x:f>IF(B1410="","",IF(COUNTIF($B$5:B1410,B1410)=1,COUNT($K$4:K1409)+1,""))</x:f>
      </x:c>
      <x:c r="L1410" s="85" t="str">
        <x:f>IF(B1410="","",IF(COUNTIFS('계정비교'!$A$5:$A$1004,B1410,'계정비교'!$H$5:$H$1004,"원인분석 대상")&gt;0,COUNT($L$4:L1409)+1,""))</x:f>
      </x:c>
    </x:row>
    <x:row r="1411">
      <x:c r="A1411" s="73" t="str">
        <x:f>IF('당기원장'!A411="","","당기")</x:f>
      </x:c>
      <x:c r="B1411" s="73" t="str">
        <x:f>IF('당기원장'!A411="","",'당기원장'!A411)</x:f>
      </x:c>
      <x:c r="C1411" s="73" t="str">
        <x:f>IF('당기원장'!A411="","",'당기원장'!B411)</x:f>
      </x:c>
      <x:c r="D1411" s="74" t="str">
        <x:f>IF('당기원장'!A411="","",'당기원장'!C411)</x:f>
      </x:c>
      <x:c r="E1411" s="73" t="str">
        <x:f>IF('당기원장'!A411="","",'당기원장'!D411)</x:f>
      </x:c>
      <x:c r="F1411" s="73" t="str">
        <x:f>IF('당기원장'!A411="","",'당기원장'!E411)</x:f>
      </x:c>
      <x:c r="G1411" s="75" t="str">
        <x:f>IF('당기원장'!A411="","",'당기원장'!H411)</x:f>
      </x:c>
      <x:c r="H1411" s="73" t="str">
        <x:f>IF('당기원장'!A411="","",'당기원장'!I411)</x:f>
      </x:c>
      <x:c r="I1411" s="73" t="str">
        <x:f>IF('당기원장'!A411="","",'당기원장'!J411)</x:f>
      </x:c>
      <x:c r="J1411" s="73" t="str">
        <x:f>IF('당기원장'!A411="","",'당기원장'!K411)</x:f>
      </x:c>
      <x:c r="K1411" s="73" t="str">
        <x:f>IF(B1411="","",IF(COUNTIF($B$5:B1411,B1411)=1,COUNT($K$4:K1410)+1,""))</x:f>
      </x:c>
      <x:c r="L1411" s="85" t="str">
        <x:f>IF(B1411="","",IF(COUNTIFS('계정비교'!$A$5:$A$1004,B1411,'계정비교'!$H$5:$H$1004,"원인분석 대상")&gt;0,COUNT($L$4:L1410)+1,""))</x:f>
      </x:c>
    </x:row>
    <x:row r="1412">
      <x:c r="A1412" s="73" t="str">
        <x:f>IF('당기원장'!A412="","","당기")</x:f>
      </x:c>
      <x:c r="B1412" s="73" t="str">
        <x:f>IF('당기원장'!A412="","",'당기원장'!A412)</x:f>
      </x:c>
      <x:c r="C1412" s="73" t="str">
        <x:f>IF('당기원장'!A412="","",'당기원장'!B412)</x:f>
      </x:c>
      <x:c r="D1412" s="74" t="str">
        <x:f>IF('당기원장'!A412="","",'당기원장'!C412)</x:f>
      </x:c>
      <x:c r="E1412" s="73" t="str">
        <x:f>IF('당기원장'!A412="","",'당기원장'!D412)</x:f>
      </x:c>
      <x:c r="F1412" s="73" t="str">
        <x:f>IF('당기원장'!A412="","",'당기원장'!E412)</x:f>
      </x:c>
      <x:c r="G1412" s="75" t="str">
        <x:f>IF('당기원장'!A412="","",'당기원장'!H412)</x:f>
      </x:c>
      <x:c r="H1412" s="73" t="str">
        <x:f>IF('당기원장'!A412="","",'당기원장'!I412)</x:f>
      </x:c>
      <x:c r="I1412" s="73" t="str">
        <x:f>IF('당기원장'!A412="","",'당기원장'!J412)</x:f>
      </x:c>
      <x:c r="J1412" s="73" t="str">
        <x:f>IF('당기원장'!A412="","",'당기원장'!K412)</x:f>
      </x:c>
      <x:c r="K1412" s="73" t="str">
        <x:f>IF(B1412="","",IF(COUNTIF($B$5:B1412,B1412)=1,COUNT($K$4:K1411)+1,""))</x:f>
      </x:c>
      <x:c r="L1412" s="85" t="str">
        <x:f>IF(B1412="","",IF(COUNTIFS('계정비교'!$A$5:$A$1004,B1412,'계정비교'!$H$5:$H$1004,"원인분석 대상")&gt;0,COUNT($L$4:L1411)+1,""))</x:f>
      </x:c>
    </x:row>
    <x:row r="1413">
      <x:c r="A1413" s="73" t="str">
        <x:f>IF('당기원장'!A413="","","당기")</x:f>
      </x:c>
      <x:c r="B1413" s="73" t="str">
        <x:f>IF('당기원장'!A413="","",'당기원장'!A413)</x:f>
      </x:c>
      <x:c r="C1413" s="73" t="str">
        <x:f>IF('당기원장'!A413="","",'당기원장'!B413)</x:f>
      </x:c>
      <x:c r="D1413" s="74" t="str">
        <x:f>IF('당기원장'!A413="","",'당기원장'!C413)</x:f>
      </x:c>
      <x:c r="E1413" s="73" t="str">
        <x:f>IF('당기원장'!A413="","",'당기원장'!D413)</x:f>
      </x:c>
      <x:c r="F1413" s="73" t="str">
        <x:f>IF('당기원장'!A413="","",'당기원장'!E413)</x:f>
      </x:c>
      <x:c r="G1413" s="75" t="str">
        <x:f>IF('당기원장'!A413="","",'당기원장'!H413)</x:f>
      </x:c>
      <x:c r="H1413" s="73" t="str">
        <x:f>IF('당기원장'!A413="","",'당기원장'!I413)</x:f>
      </x:c>
      <x:c r="I1413" s="73" t="str">
        <x:f>IF('당기원장'!A413="","",'당기원장'!J413)</x:f>
      </x:c>
      <x:c r="J1413" s="73" t="str">
        <x:f>IF('당기원장'!A413="","",'당기원장'!K413)</x:f>
      </x:c>
      <x:c r="K1413" s="73" t="str">
        <x:f>IF(B1413="","",IF(COUNTIF($B$5:B1413,B1413)=1,COUNT($K$4:K1412)+1,""))</x:f>
      </x:c>
      <x:c r="L1413" s="85" t="str">
        <x:f>IF(B1413="","",IF(COUNTIFS('계정비교'!$A$5:$A$1004,B1413,'계정비교'!$H$5:$H$1004,"원인분석 대상")&gt;0,COUNT($L$4:L1412)+1,""))</x:f>
      </x:c>
    </x:row>
    <x:row r="1414">
      <x:c r="A1414" s="73" t="str">
        <x:f>IF('당기원장'!A414="","","당기")</x:f>
      </x:c>
      <x:c r="B1414" s="73" t="str">
        <x:f>IF('당기원장'!A414="","",'당기원장'!A414)</x:f>
      </x:c>
      <x:c r="C1414" s="73" t="str">
        <x:f>IF('당기원장'!A414="","",'당기원장'!B414)</x:f>
      </x:c>
      <x:c r="D1414" s="74" t="str">
        <x:f>IF('당기원장'!A414="","",'당기원장'!C414)</x:f>
      </x:c>
      <x:c r="E1414" s="73" t="str">
        <x:f>IF('당기원장'!A414="","",'당기원장'!D414)</x:f>
      </x:c>
      <x:c r="F1414" s="73" t="str">
        <x:f>IF('당기원장'!A414="","",'당기원장'!E414)</x:f>
      </x:c>
      <x:c r="G1414" s="75" t="str">
        <x:f>IF('당기원장'!A414="","",'당기원장'!H414)</x:f>
      </x:c>
      <x:c r="H1414" s="73" t="str">
        <x:f>IF('당기원장'!A414="","",'당기원장'!I414)</x:f>
      </x:c>
      <x:c r="I1414" s="73" t="str">
        <x:f>IF('당기원장'!A414="","",'당기원장'!J414)</x:f>
      </x:c>
      <x:c r="J1414" s="73" t="str">
        <x:f>IF('당기원장'!A414="","",'당기원장'!K414)</x:f>
      </x:c>
      <x:c r="K1414" s="73" t="str">
        <x:f>IF(B1414="","",IF(COUNTIF($B$5:B1414,B1414)=1,COUNT($K$4:K1413)+1,""))</x:f>
      </x:c>
      <x:c r="L1414" s="85" t="str">
        <x:f>IF(B1414="","",IF(COUNTIFS('계정비교'!$A$5:$A$1004,B1414,'계정비교'!$H$5:$H$1004,"원인분석 대상")&gt;0,COUNT($L$4:L1413)+1,""))</x:f>
      </x:c>
    </x:row>
    <x:row r="1415">
      <x:c r="A1415" s="73" t="str">
        <x:f>IF('당기원장'!A415="","","당기")</x:f>
      </x:c>
      <x:c r="B1415" s="73" t="str">
        <x:f>IF('당기원장'!A415="","",'당기원장'!A415)</x:f>
      </x:c>
      <x:c r="C1415" s="73" t="str">
        <x:f>IF('당기원장'!A415="","",'당기원장'!B415)</x:f>
      </x:c>
      <x:c r="D1415" s="74" t="str">
        <x:f>IF('당기원장'!A415="","",'당기원장'!C415)</x:f>
      </x:c>
      <x:c r="E1415" s="73" t="str">
        <x:f>IF('당기원장'!A415="","",'당기원장'!D415)</x:f>
      </x:c>
      <x:c r="F1415" s="73" t="str">
        <x:f>IF('당기원장'!A415="","",'당기원장'!E415)</x:f>
      </x:c>
      <x:c r="G1415" s="75" t="str">
        <x:f>IF('당기원장'!A415="","",'당기원장'!H415)</x:f>
      </x:c>
      <x:c r="H1415" s="73" t="str">
        <x:f>IF('당기원장'!A415="","",'당기원장'!I415)</x:f>
      </x:c>
      <x:c r="I1415" s="73" t="str">
        <x:f>IF('당기원장'!A415="","",'당기원장'!J415)</x:f>
      </x:c>
      <x:c r="J1415" s="73" t="str">
        <x:f>IF('당기원장'!A415="","",'당기원장'!K415)</x:f>
      </x:c>
      <x:c r="K1415" s="73" t="str">
        <x:f>IF(B1415="","",IF(COUNTIF($B$5:B1415,B1415)=1,COUNT($K$4:K1414)+1,""))</x:f>
      </x:c>
      <x:c r="L1415" s="85" t="str">
        <x:f>IF(B1415="","",IF(COUNTIFS('계정비교'!$A$5:$A$1004,B1415,'계정비교'!$H$5:$H$1004,"원인분석 대상")&gt;0,COUNT($L$4:L1414)+1,""))</x:f>
      </x:c>
    </x:row>
    <x:row r="1416">
      <x:c r="A1416" s="73" t="str">
        <x:f>IF('당기원장'!A416="","","당기")</x:f>
      </x:c>
      <x:c r="B1416" s="73" t="str">
        <x:f>IF('당기원장'!A416="","",'당기원장'!A416)</x:f>
      </x:c>
      <x:c r="C1416" s="73" t="str">
        <x:f>IF('당기원장'!A416="","",'당기원장'!B416)</x:f>
      </x:c>
      <x:c r="D1416" s="74" t="str">
        <x:f>IF('당기원장'!A416="","",'당기원장'!C416)</x:f>
      </x:c>
      <x:c r="E1416" s="73" t="str">
        <x:f>IF('당기원장'!A416="","",'당기원장'!D416)</x:f>
      </x:c>
      <x:c r="F1416" s="73" t="str">
        <x:f>IF('당기원장'!A416="","",'당기원장'!E416)</x:f>
      </x:c>
      <x:c r="G1416" s="75" t="str">
        <x:f>IF('당기원장'!A416="","",'당기원장'!H416)</x:f>
      </x:c>
      <x:c r="H1416" s="73" t="str">
        <x:f>IF('당기원장'!A416="","",'당기원장'!I416)</x:f>
      </x:c>
      <x:c r="I1416" s="73" t="str">
        <x:f>IF('당기원장'!A416="","",'당기원장'!J416)</x:f>
      </x:c>
      <x:c r="J1416" s="73" t="str">
        <x:f>IF('당기원장'!A416="","",'당기원장'!K416)</x:f>
      </x:c>
      <x:c r="K1416" s="73" t="str">
        <x:f>IF(B1416="","",IF(COUNTIF($B$5:B1416,B1416)=1,COUNT($K$4:K1415)+1,""))</x:f>
      </x:c>
      <x:c r="L1416" s="85" t="str">
        <x:f>IF(B1416="","",IF(COUNTIFS('계정비교'!$A$5:$A$1004,B1416,'계정비교'!$H$5:$H$1004,"원인분석 대상")&gt;0,COUNT($L$4:L1415)+1,""))</x:f>
      </x:c>
    </x:row>
    <x:row r="1417">
      <x:c r="A1417" s="73" t="str">
        <x:f>IF('당기원장'!A417="","","당기")</x:f>
      </x:c>
      <x:c r="B1417" s="73" t="str">
        <x:f>IF('당기원장'!A417="","",'당기원장'!A417)</x:f>
      </x:c>
      <x:c r="C1417" s="73" t="str">
        <x:f>IF('당기원장'!A417="","",'당기원장'!B417)</x:f>
      </x:c>
      <x:c r="D1417" s="74" t="str">
        <x:f>IF('당기원장'!A417="","",'당기원장'!C417)</x:f>
      </x:c>
      <x:c r="E1417" s="73" t="str">
        <x:f>IF('당기원장'!A417="","",'당기원장'!D417)</x:f>
      </x:c>
      <x:c r="F1417" s="73" t="str">
        <x:f>IF('당기원장'!A417="","",'당기원장'!E417)</x:f>
      </x:c>
      <x:c r="G1417" s="75" t="str">
        <x:f>IF('당기원장'!A417="","",'당기원장'!H417)</x:f>
      </x:c>
      <x:c r="H1417" s="73" t="str">
        <x:f>IF('당기원장'!A417="","",'당기원장'!I417)</x:f>
      </x:c>
      <x:c r="I1417" s="73" t="str">
        <x:f>IF('당기원장'!A417="","",'당기원장'!J417)</x:f>
      </x:c>
      <x:c r="J1417" s="73" t="str">
        <x:f>IF('당기원장'!A417="","",'당기원장'!K417)</x:f>
      </x:c>
      <x:c r="K1417" s="73" t="str">
        <x:f>IF(B1417="","",IF(COUNTIF($B$5:B1417,B1417)=1,COUNT($K$4:K1416)+1,""))</x:f>
      </x:c>
      <x:c r="L1417" s="85" t="str">
        <x:f>IF(B1417="","",IF(COUNTIFS('계정비교'!$A$5:$A$1004,B1417,'계정비교'!$H$5:$H$1004,"원인분석 대상")&gt;0,COUNT($L$4:L1416)+1,""))</x:f>
      </x:c>
    </x:row>
    <x:row r="1418">
      <x:c r="A1418" s="73" t="str">
        <x:f>IF('당기원장'!A418="","","당기")</x:f>
      </x:c>
      <x:c r="B1418" s="73" t="str">
        <x:f>IF('당기원장'!A418="","",'당기원장'!A418)</x:f>
      </x:c>
      <x:c r="C1418" s="73" t="str">
        <x:f>IF('당기원장'!A418="","",'당기원장'!B418)</x:f>
      </x:c>
      <x:c r="D1418" s="74" t="str">
        <x:f>IF('당기원장'!A418="","",'당기원장'!C418)</x:f>
      </x:c>
      <x:c r="E1418" s="73" t="str">
        <x:f>IF('당기원장'!A418="","",'당기원장'!D418)</x:f>
      </x:c>
      <x:c r="F1418" s="73" t="str">
        <x:f>IF('당기원장'!A418="","",'당기원장'!E418)</x:f>
      </x:c>
      <x:c r="G1418" s="75" t="str">
        <x:f>IF('당기원장'!A418="","",'당기원장'!H418)</x:f>
      </x:c>
      <x:c r="H1418" s="73" t="str">
        <x:f>IF('당기원장'!A418="","",'당기원장'!I418)</x:f>
      </x:c>
      <x:c r="I1418" s="73" t="str">
        <x:f>IF('당기원장'!A418="","",'당기원장'!J418)</x:f>
      </x:c>
      <x:c r="J1418" s="73" t="str">
        <x:f>IF('당기원장'!A418="","",'당기원장'!K418)</x:f>
      </x:c>
      <x:c r="K1418" s="73" t="str">
        <x:f>IF(B1418="","",IF(COUNTIF($B$5:B1418,B1418)=1,COUNT($K$4:K1417)+1,""))</x:f>
      </x:c>
      <x:c r="L1418" s="85" t="str">
        <x:f>IF(B1418="","",IF(COUNTIFS('계정비교'!$A$5:$A$1004,B1418,'계정비교'!$H$5:$H$1004,"원인분석 대상")&gt;0,COUNT($L$4:L1417)+1,""))</x:f>
      </x:c>
    </x:row>
    <x:row r="1419">
      <x:c r="A1419" s="73" t="str">
        <x:f>IF('당기원장'!A419="","","당기")</x:f>
      </x:c>
      <x:c r="B1419" s="73" t="str">
        <x:f>IF('당기원장'!A419="","",'당기원장'!A419)</x:f>
      </x:c>
      <x:c r="C1419" s="73" t="str">
        <x:f>IF('당기원장'!A419="","",'당기원장'!B419)</x:f>
      </x:c>
      <x:c r="D1419" s="74" t="str">
        <x:f>IF('당기원장'!A419="","",'당기원장'!C419)</x:f>
      </x:c>
      <x:c r="E1419" s="73" t="str">
        <x:f>IF('당기원장'!A419="","",'당기원장'!D419)</x:f>
      </x:c>
      <x:c r="F1419" s="73" t="str">
        <x:f>IF('당기원장'!A419="","",'당기원장'!E419)</x:f>
      </x:c>
      <x:c r="G1419" s="75" t="str">
        <x:f>IF('당기원장'!A419="","",'당기원장'!H419)</x:f>
      </x:c>
      <x:c r="H1419" s="73" t="str">
        <x:f>IF('당기원장'!A419="","",'당기원장'!I419)</x:f>
      </x:c>
      <x:c r="I1419" s="73" t="str">
        <x:f>IF('당기원장'!A419="","",'당기원장'!J419)</x:f>
      </x:c>
      <x:c r="J1419" s="73" t="str">
        <x:f>IF('당기원장'!A419="","",'당기원장'!K419)</x:f>
      </x:c>
      <x:c r="K1419" s="73" t="str">
        <x:f>IF(B1419="","",IF(COUNTIF($B$5:B1419,B1419)=1,COUNT($K$4:K1418)+1,""))</x:f>
      </x:c>
      <x:c r="L1419" s="85" t="str">
        <x:f>IF(B1419="","",IF(COUNTIFS('계정비교'!$A$5:$A$1004,B1419,'계정비교'!$H$5:$H$1004,"원인분석 대상")&gt;0,COUNT($L$4:L1418)+1,""))</x:f>
      </x:c>
    </x:row>
    <x:row r="1420">
      <x:c r="A1420" s="73" t="str">
        <x:f>IF('당기원장'!A420="","","당기")</x:f>
      </x:c>
      <x:c r="B1420" s="73" t="str">
        <x:f>IF('당기원장'!A420="","",'당기원장'!A420)</x:f>
      </x:c>
      <x:c r="C1420" s="73" t="str">
        <x:f>IF('당기원장'!A420="","",'당기원장'!B420)</x:f>
      </x:c>
      <x:c r="D1420" s="74" t="str">
        <x:f>IF('당기원장'!A420="","",'당기원장'!C420)</x:f>
      </x:c>
      <x:c r="E1420" s="73" t="str">
        <x:f>IF('당기원장'!A420="","",'당기원장'!D420)</x:f>
      </x:c>
      <x:c r="F1420" s="73" t="str">
        <x:f>IF('당기원장'!A420="","",'당기원장'!E420)</x:f>
      </x:c>
      <x:c r="G1420" s="75" t="str">
        <x:f>IF('당기원장'!A420="","",'당기원장'!H420)</x:f>
      </x:c>
      <x:c r="H1420" s="73" t="str">
        <x:f>IF('당기원장'!A420="","",'당기원장'!I420)</x:f>
      </x:c>
      <x:c r="I1420" s="73" t="str">
        <x:f>IF('당기원장'!A420="","",'당기원장'!J420)</x:f>
      </x:c>
      <x:c r="J1420" s="73" t="str">
        <x:f>IF('당기원장'!A420="","",'당기원장'!K420)</x:f>
      </x:c>
      <x:c r="K1420" s="73" t="str">
        <x:f>IF(B1420="","",IF(COUNTIF($B$5:B1420,B1420)=1,COUNT($K$4:K1419)+1,""))</x:f>
      </x:c>
      <x:c r="L1420" s="85" t="str">
        <x:f>IF(B1420="","",IF(COUNTIFS('계정비교'!$A$5:$A$1004,B1420,'계정비교'!$H$5:$H$1004,"원인분석 대상")&gt;0,COUNT($L$4:L1419)+1,""))</x:f>
      </x:c>
    </x:row>
    <x:row r="1421">
      <x:c r="A1421" s="73" t="str">
        <x:f>IF('당기원장'!A421="","","당기")</x:f>
      </x:c>
      <x:c r="B1421" s="73" t="str">
        <x:f>IF('당기원장'!A421="","",'당기원장'!A421)</x:f>
      </x:c>
      <x:c r="C1421" s="73" t="str">
        <x:f>IF('당기원장'!A421="","",'당기원장'!B421)</x:f>
      </x:c>
      <x:c r="D1421" s="74" t="str">
        <x:f>IF('당기원장'!A421="","",'당기원장'!C421)</x:f>
      </x:c>
      <x:c r="E1421" s="73" t="str">
        <x:f>IF('당기원장'!A421="","",'당기원장'!D421)</x:f>
      </x:c>
      <x:c r="F1421" s="73" t="str">
        <x:f>IF('당기원장'!A421="","",'당기원장'!E421)</x:f>
      </x:c>
      <x:c r="G1421" s="75" t="str">
        <x:f>IF('당기원장'!A421="","",'당기원장'!H421)</x:f>
      </x:c>
      <x:c r="H1421" s="73" t="str">
        <x:f>IF('당기원장'!A421="","",'당기원장'!I421)</x:f>
      </x:c>
      <x:c r="I1421" s="73" t="str">
        <x:f>IF('당기원장'!A421="","",'당기원장'!J421)</x:f>
      </x:c>
      <x:c r="J1421" s="73" t="str">
        <x:f>IF('당기원장'!A421="","",'당기원장'!K421)</x:f>
      </x:c>
      <x:c r="K1421" s="73" t="str">
        <x:f>IF(B1421="","",IF(COUNTIF($B$5:B1421,B1421)=1,COUNT($K$4:K1420)+1,""))</x:f>
      </x:c>
      <x:c r="L1421" s="85" t="str">
        <x:f>IF(B1421="","",IF(COUNTIFS('계정비교'!$A$5:$A$1004,B1421,'계정비교'!$H$5:$H$1004,"원인분석 대상")&gt;0,COUNT($L$4:L1420)+1,""))</x:f>
      </x:c>
    </x:row>
    <x:row r="1422">
      <x:c r="A1422" s="73" t="str">
        <x:f>IF('당기원장'!A422="","","당기")</x:f>
      </x:c>
      <x:c r="B1422" s="73" t="str">
        <x:f>IF('당기원장'!A422="","",'당기원장'!A422)</x:f>
      </x:c>
      <x:c r="C1422" s="73" t="str">
        <x:f>IF('당기원장'!A422="","",'당기원장'!B422)</x:f>
      </x:c>
      <x:c r="D1422" s="74" t="str">
        <x:f>IF('당기원장'!A422="","",'당기원장'!C422)</x:f>
      </x:c>
      <x:c r="E1422" s="73" t="str">
        <x:f>IF('당기원장'!A422="","",'당기원장'!D422)</x:f>
      </x:c>
      <x:c r="F1422" s="73" t="str">
        <x:f>IF('당기원장'!A422="","",'당기원장'!E422)</x:f>
      </x:c>
      <x:c r="G1422" s="75" t="str">
        <x:f>IF('당기원장'!A422="","",'당기원장'!H422)</x:f>
      </x:c>
      <x:c r="H1422" s="73" t="str">
        <x:f>IF('당기원장'!A422="","",'당기원장'!I422)</x:f>
      </x:c>
      <x:c r="I1422" s="73" t="str">
        <x:f>IF('당기원장'!A422="","",'당기원장'!J422)</x:f>
      </x:c>
      <x:c r="J1422" s="73" t="str">
        <x:f>IF('당기원장'!A422="","",'당기원장'!K422)</x:f>
      </x:c>
      <x:c r="K1422" s="73" t="str">
        <x:f>IF(B1422="","",IF(COUNTIF($B$5:B1422,B1422)=1,COUNT($K$4:K1421)+1,""))</x:f>
      </x:c>
      <x:c r="L1422" s="85" t="str">
        <x:f>IF(B1422="","",IF(COUNTIFS('계정비교'!$A$5:$A$1004,B1422,'계정비교'!$H$5:$H$1004,"원인분석 대상")&gt;0,COUNT($L$4:L1421)+1,""))</x:f>
      </x:c>
    </x:row>
    <x:row r="1423">
      <x:c r="A1423" s="73" t="str">
        <x:f>IF('당기원장'!A423="","","당기")</x:f>
      </x:c>
      <x:c r="B1423" s="73" t="str">
        <x:f>IF('당기원장'!A423="","",'당기원장'!A423)</x:f>
      </x:c>
      <x:c r="C1423" s="73" t="str">
        <x:f>IF('당기원장'!A423="","",'당기원장'!B423)</x:f>
      </x:c>
      <x:c r="D1423" s="74" t="str">
        <x:f>IF('당기원장'!A423="","",'당기원장'!C423)</x:f>
      </x:c>
      <x:c r="E1423" s="73" t="str">
        <x:f>IF('당기원장'!A423="","",'당기원장'!D423)</x:f>
      </x:c>
      <x:c r="F1423" s="73" t="str">
        <x:f>IF('당기원장'!A423="","",'당기원장'!E423)</x:f>
      </x:c>
      <x:c r="G1423" s="75" t="str">
        <x:f>IF('당기원장'!A423="","",'당기원장'!H423)</x:f>
      </x:c>
      <x:c r="H1423" s="73" t="str">
        <x:f>IF('당기원장'!A423="","",'당기원장'!I423)</x:f>
      </x:c>
      <x:c r="I1423" s="73" t="str">
        <x:f>IF('당기원장'!A423="","",'당기원장'!J423)</x:f>
      </x:c>
      <x:c r="J1423" s="73" t="str">
        <x:f>IF('당기원장'!A423="","",'당기원장'!K423)</x:f>
      </x:c>
      <x:c r="K1423" s="73" t="str">
        <x:f>IF(B1423="","",IF(COUNTIF($B$5:B1423,B1423)=1,COUNT($K$4:K1422)+1,""))</x:f>
      </x:c>
      <x:c r="L1423" s="85" t="str">
        <x:f>IF(B1423="","",IF(COUNTIFS('계정비교'!$A$5:$A$1004,B1423,'계정비교'!$H$5:$H$1004,"원인분석 대상")&gt;0,COUNT($L$4:L1422)+1,""))</x:f>
      </x:c>
    </x:row>
    <x:row r="1424">
      <x:c r="A1424" s="73" t="str">
        <x:f>IF('당기원장'!A424="","","당기")</x:f>
      </x:c>
      <x:c r="B1424" s="73" t="str">
        <x:f>IF('당기원장'!A424="","",'당기원장'!A424)</x:f>
      </x:c>
      <x:c r="C1424" s="73" t="str">
        <x:f>IF('당기원장'!A424="","",'당기원장'!B424)</x:f>
      </x:c>
      <x:c r="D1424" s="74" t="str">
        <x:f>IF('당기원장'!A424="","",'당기원장'!C424)</x:f>
      </x:c>
      <x:c r="E1424" s="73" t="str">
        <x:f>IF('당기원장'!A424="","",'당기원장'!D424)</x:f>
      </x:c>
      <x:c r="F1424" s="73" t="str">
        <x:f>IF('당기원장'!A424="","",'당기원장'!E424)</x:f>
      </x:c>
      <x:c r="G1424" s="75" t="str">
        <x:f>IF('당기원장'!A424="","",'당기원장'!H424)</x:f>
      </x:c>
      <x:c r="H1424" s="73" t="str">
        <x:f>IF('당기원장'!A424="","",'당기원장'!I424)</x:f>
      </x:c>
      <x:c r="I1424" s="73" t="str">
        <x:f>IF('당기원장'!A424="","",'당기원장'!J424)</x:f>
      </x:c>
      <x:c r="J1424" s="73" t="str">
        <x:f>IF('당기원장'!A424="","",'당기원장'!K424)</x:f>
      </x:c>
      <x:c r="K1424" s="73" t="str">
        <x:f>IF(B1424="","",IF(COUNTIF($B$5:B1424,B1424)=1,COUNT($K$4:K1423)+1,""))</x:f>
      </x:c>
      <x:c r="L1424" s="85" t="str">
        <x:f>IF(B1424="","",IF(COUNTIFS('계정비교'!$A$5:$A$1004,B1424,'계정비교'!$H$5:$H$1004,"원인분석 대상")&gt;0,COUNT($L$4:L1423)+1,""))</x:f>
      </x:c>
    </x:row>
    <x:row r="1425">
      <x:c r="A1425" s="73" t="str">
        <x:f>IF('당기원장'!A425="","","당기")</x:f>
      </x:c>
      <x:c r="B1425" s="73" t="str">
        <x:f>IF('당기원장'!A425="","",'당기원장'!A425)</x:f>
      </x:c>
      <x:c r="C1425" s="73" t="str">
        <x:f>IF('당기원장'!A425="","",'당기원장'!B425)</x:f>
      </x:c>
      <x:c r="D1425" s="74" t="str">
        <x:f>IF('당기원장'!A425="","",'당기원장'!C425)</x:f>
      </x:c>
      <x:c r="E1425" s="73" t="str">
        <x:f>IF('당기원장'!A425="","",'당기원장'!D425)</x:f>
      </x:c>
      <x:c r="F1425" s="73" t="str">
        <x:f>IF('당기원장'!A425="","",'당기원장'!E425)</x:f>
      </x:c>
      <x:c r="G1425" s="75" t="str">
        <x:f>IF('당기원장'!A425="","",'당기원장'!H425)</x:f>
      </x:c>
      <x:c r="H1425" s="73" t="str">
        <x:f>IF('당기원장'!A425="","",'당기원장'!I425)</x:f>
      </x:c>
      <x:c r="I1425" s="73" t="str">
        <x:f>IF('당기원장'!A425="","",'당기원장'!J425)</x:f>
      </x:c>
      <x:c r="J1425" s="73" t="str">
        <x:f>IF('당기원장'!A425="","",'당기원장'!K425)</x:f>
      </x:c>
      <x:c r="K1425" s="73" t="str">
        <x:f>IF(B1425="","",IF(COUNTIF($B$5:B1425,B1425)=1,COUNT($K$4:K1424)+1,""))</x:f>
      </x:c>
      <x:c r="L1425" s="85" t="str">
        <x:f>IF(B1425="","",IF(COUNTIFS('계정비교'!$A$5:$A$1004,B1425,'계정비교'!$H$5:$H$1004,"원인분석 대상")&gt;0,COUNT($L$4:L1424)+1,""))</x:f>
      </x:c>
    </x:row>
    <x:row r="1426">
      <x:c r="A1426" s="73" t="str">
        <x:f>IF('당기원장'!A426="","","당기")</x:f>
      </x:c>
      <x:c r="B1426" s="73" t="str">
        <x:f>IF('당기원장'!A426="","",'당기원장'!A426)</x:f>
      </x:c>
      <x:c r="C1426" s="73" t="str">
        <x:f>IF('당기원장'!A426="","",'당기원장'!B426)</x:f>
      </x:c>
      <x:c r="D1426" s="74" t="str">
        <x:f>IF('당기원장'!A426="","",'당기원장'!C426)</x:f>
      </x:c>
      <x:c r="E1426" s="73" t="str">
        <x:f>IF('당기원장'!A426="","",'당기원장'!D426)</x:f>
      </x:c>
      <x:c r="F1426" s="73" t="str">
        <x:f>IF('당기원장'!A426="","",'당기원장'!E426)</x:f>
      </x:c>
      <x:c r="G1426" s="75" t="str">
        <x:f>IF('당기원장'!A426="","",'당기원장'!H426)</x:f>
      </x:c>
      <x:c r="H1426" s="73" t="str">
        <x:f>IF('당기원장'!A426="","",'당기원장'!I426)</x:f>
      </x:c>
      <x:c r="I1426" s="73" t="str">
        <x:f>IF('당기원장'!A426="","",'당기원장'!J426)</x:f>
      </x:c>
      <x:c r="J1426" s="73" t="str">
        <x:f>IF('당기원장'!A426="","",'당기원장'!K426)</x:f>
      </x:c>
      <x:c r="K1426" s="73" t="str">
        <x:f>IF(B1426="","",IF(COUNTIF($B$5:B1426,B1426)=1,COUNT($K$4:K1425)+1,""))</x:f>
      </x:c>
      <x:c r="L1426" s="85" t="str">
        <x:f>IF(B1426="","",IF(COUNTIFS('계정비교'!$A$5:$A$1004,B1426,'계정비교'!$H$5:$H$1004,"원인분석 대상")&gt;0,COUNT($L$4:L1425)+1,""))</x:f>
      </x:c>
    </x:row>
    <x:row r="1427">
      <x:c r="A1427" s="73" t="str">
        <x:f>IF('당기원장'!A427="","","당기")</x:f>
      </x:c>
      <x:c r="B1427" s="73" t="str">
        <x:f>IF('당기원장'!A427="","",'당기원장'!A427)</x:f>
      </x:c>
      <x:c r="C1427" s="73" t="str">
        <x:f>IF('당기원장'!A427="","",'당기원장'!B427)</x:f>
      </x:c>
      <x:c r="D1427" s="74" t="str">
        <x:f>IF('당기원장'!A427="","",'당기원장'!C427)</x:f>
      </x:c>
      <x:c r="E1427" s="73" t="str">
        <x:f>IF('당기원장'!A427="","",'당기원장'!D427)</x:f>
      </x:c>
      <x:c r="F1427" s="73" t="str">
        <x:f>IF('당기원장'!A427="","",'당기원장'!E427)</x:f>
      </x:c>
      <x:c r="G1427" s="75" t="str">
        <x:f>IF('당기원장'!A427="","",'당기원장'!H427)</x:f>
      </x:c>
      <x:c r="H1427" s="73" t="str">
        <x:f>IF('당기원장'!A427="","",'당기원장'!I427)</x:f>
      </x:c>
      <x:c r="I1427" s="73" t="str">
        <x:f>IF('당기원장'!A427="","",'당기원장'!J427)</x:f>
      </x:c>
      <x:c r="J1427" s="73" t="str">
        <x:f>IF('당기원장'!A427="","",'당기원장'!K427)</x:f>
      </x:c>
      <x:c r="K1427" s="73" t="str">
        <x:f>IF(B1427="","",IF(COUNTIF($B$5:B1427,B1427)=1,COUNT($K$4:K1426)+1,""))</x:f>
      </x:c>
      <x:c r="L1427" s="85" t="str">
        <x:f>IF(B1427="","",IF(COUNTIFS('계정비교'!$A$5:$A$1004,B1427,'계정비교'!$H$5:$H$1004,"원인분석 대상")&gt;0,COUNT($L$4:L1426)+1,""))</x:f>
      </x:c>
    </x:row>
    <x:row r="1428">
      <x:c r="A1428" s="73" t="str">
        <x:f>IF('당기원장'!A428="","","당기")</x:f>
      </x:c>
      <x:c r="B1428" s="73" t="str">
        <x:f>IF('당기원장'!A428="","",'당기원장'!A428)</x:f>
      </x:c>
      <x:c r="C1428" s="73" t="str">
        <x:f>IF('당기원장'!A428="","",'당기원장'!B428)</x:f>
      </x:c>
      <x:c r="D1428" s="74" t="str">
        <x:f>IF('당기원장'!A428="","",'당기원장'!C428)</x:f>
      </x:c>
      <x:c r="E1428" s="73" t="str">
        <x:f>IF('당기원장'!A428="","",'당기원장'!D428)</x:f>
      </x:c>
      <x:c r="F1428" s="73" t="str">
        <x:f>IF('당기원장'!A428="","",'당기원장'!E428)</x:f>
      </x:c>
      <x:c r="G1428" s="75" t="str">
        <x:f>IF('당기원장'!A428="","",'당기원장'!H428)</x:f>
      </x:c>
      <x:c r="H1428" s="73" t="str">
        <x:f>IF('당기원장'!A428="","",'당기원장'!I428)</x:f>
      </x:c>
      <x:c r="I1428" s="73" t="str">
        <x:f>IF('당기원장'!A428="","",'당기원장'!J428)</x:f>
      </x:c>
      <x:c r="J1428" s="73" t="str">
        <x:f>IF('당기원장'!A428="","",'당기원장'!K428)</x:f>
      </x:c>
      <x:c r="K1428" s="73" t="str">
        <x:f>IF(B1428="","",IF(COUNTIF($B$5:B1428,B1428)=1,COUNT($K$4:K1427)+1,""))</x:f>
      </x:c>
      <x:c r="L1428" s="85" t="str">
        <x:f>IF(B1428="","",IF(COUNTIFS('계정비교'!$A$5:$A$1004,B1428,'계정비교'!$H$5:$H$1004,"원인분석 대상")&gt;0,COUNT($L$4:L1427)+1,""))</x:f>
      </x:c>
    </x:row>
    <x:row r="1429">
      <x:c r="A1429" s="73" t="str">
        <x:f>IF('당기원장'!A429="","","당기")</x:f>
      </x:c>
      <x:c r="B1429" s="73" t="str">
        <x:f>IF('당기원장'!A429="","",'당기원장'!A429)</x:f>
      </x:c>
      <x:c r="C1429" s="73" t="str">
        <x:f>IF('당기원장'!A429="","",'당기원장'!B429)</x:f>
      </x:c>
      <x:c r="D1429" s="74" t="str">
        <x:f>IF('당기원장'!A429="","",'당기원장'!C429)</x:f>
      </x:c>
      <x:c r="E1429" s="73" t="str">
        <x:f>IF('당기원장'!A429="","",'당기원장'!D429)</x:f>
      </x:c>
      <x:c r="F1429" s="73" t="str">
        <x:f>IF('당기원장'!A429="","",'당기원장'!E429)</x:f>
      </x:c>
      <x:c r="G1429" s="75" t="str">
        <x:f>IF('당기원장'!A429="","",'당기원장'!H429)</x:f>
      </x:c>
      <x:c r="H1429" s="73" t="str">
        <x:f>IF('당기원장'!A429="","",'당기원장'!I429)</x:f>
      </x:c>
      <x:c r="I1429" s="73" t="str">
        <x:f>IF('당기원장'!A429="","",'당기원장'!J429)</x:f>
      </x:c>
      <x:c r="J1429" s="73" t="str">
        <x:f>IF('당기원장'!A429="","",'당기원장'!K429)</x:f>
      </x:c>
      <x:c r="K1429" s="73" t="str">
        <x:f>IF(B1429="","",IF(COUNTIF($B$5:B1429,B1429)=1,COUNT($K$4:K1428)+1,""))</x:f>
      </x:c>
      <x:c r="L1429" s="85" t="str">
        <x:f>IF(B1429="","",IF(COUNTIFS('계정비교'!$A$5:$A$1004,B1429,'계정비교'!$H$5:$H$1004,"원인분석 대상")&gt;0,COUNT($L$4:L1428)+1,""))</x:f>
      </x:c>
    </x:row>
    <x:row r="1430">
      <x:c r="A1430" s="73" t="str">
        <x:f>IF('당기원장'!A430="","","당기")</x:f>
      </x:c>
      <x:c r="B1430" s="73" t="str">
        <x:f>IF('당기원장'!A430="","",'당기원장'!A430)</x:f>
      </x:c>
      <x:c r="C1430" s="73" t="str">
        <x:f>IF('당기원장'!A430="","",'당기원장'!B430)</x:f>
      </x:c>
      <x:c r="D1430" s="74" t="str">
        <x:f>IF('당기원장'!A430="","",'당기원장'!C430)</x:f>
      </x:c>
      <x:c r="E1430" s="73" t="str">
        <x:f>IF('당기원장'!A430="","",'당기원장'!D430)</x:f>
      </x:c>
      <x:c r="F1430" s="73" t="str">
        <x:f>IF('당기원장'!A430="","",'당기원장'!E430)</x:f>
      </x:c>
      <x:c r="G1430" s="75" t="str">
        <x:f>IF('당기원장'!A430="","",'당기원장'!H430)</x:f>
      </x:c>
      <x:c r="H1430" s="73" t="str">
        <x:f>IF('당기원장'!A430="","",'당기원장'!I430)</x:f>
      </x:c>
      <x:c r="I1430" s="73" t="str">
        <x:f>IF('당기원장'!A430="","",'당기원장'!J430)</x:f>
      </x:c>
      <x:c r="J1430" s="73" t="str">
        <x:f>IF('당기원장'!A430="","",'당기원장'!K430)</x:f>
      </x:c>
      <x:c r="K1430" s="73" t="str">
        <x:f>IF(B1430="","",IF(COUNTIF($B$5:B1430,B1430)=1,COUNT($K$4:K1429)+1,""))</x:f>
      </x:c>
      <x:c r="L1430" s="85" t="str">
        <x:f>IF(B1430="","",IF(COUNTIFS('계정비교'!$A$5:$A$1004,B1430,'계정비교'!$H$5:$H$1004,"원인분석 대상")&gt;0,COUNT($L$4:L1429)+1,""))</x:f>
      </x:c>
    </x:row>
    <x:row r="1431">
      <x:c r="A1431" s="73" t="str">
        <x:f>IF('당기원장'!A431="","","당기")</x:f>
      </x:c>
      <x:c r="B1431" s="73" t="str">
        <x:f>IF('당기원장'!A431="","",'당기원장'!A431)</x:f>
      </x:c>
      <x:c r="C1431" s="73" t="str">
        <x:f>IF('당기원장'!A431="","",'당기원장'!B431)</x:f>
      </x:c>
      <x:c r="D1431" s="74" t="str">
        <x:f>IF('당기원장'!A431="","",'당기원장'!C431)</x:f>
      </x:c>
      <x:c r="E1431" s="73" t="str">
        <x:f>IF('당기원장'!A431="","",'당기원장'!D431)</x:f>
      </x:c>
      <x:c r="F1431" s="73" t="str">
        <x:f>IF('당기원장'!A431="","",'당기원장'!E431)</x:f>
      </x:c>
      <x:c r="G1431" s="75" t="str">
        <x:f>IF('당기원장'!A431="","",'당기원장'!H431)</x:f>
      </x:c>
      <x:c r="H1431" s="73" t="str">
        <x:f>IF('당기원장'!A431="","",'당기원장'!I431)</x:f>
      </x:c>
      <x:c r="I1431" s="73" t="str">
        <x:f>IF('당기원장'!A431="","",'당기원장'!J431)</x:f>
      </x:c>
      <x:c r="J1431" s="73" t="str">
        <x:f>IF('당기원장'!A431="","",'당기원장'!K431)</x:f>
      </x:c>
      <x:c r="K1431" s="73" t="str">
        <x:f>IF(B1431="","",IF(COUNTIF($B$5:B1431,B1431)=1,COUNT($K$4:K1430)+1,""))</x:f>
      </x:c>
      <x:c r="L1431" s="85" t="str">
        <x:f>IF(B1431="","",IF(COUNTIFS('계정비교'!$A$5:$A$1004,B1431,'계정비교'!$H$5:$H$1004,"원인분석 대상")&gt;0,COUNT($L$4:L1430)+1,""))</x:f>
      </x:c>
    </x:row>
    <x:row r="1432">
      <x:c r="A1432" s="73" t="str">
        <x:f>IF('당기원장'!A432="","","당기")</x:f>
      </x:c>
      <x:c r="B1432" s="73" t="str">
        <x:f>IF('당기원장'!A432="","",'당기원장'!A432)</x:f>
      </x:c>
      <x:c r="C1432" s="73" t="str">
        <x:f>IF('당기원장'!A432="","",'당기원장'!B432)</x:f>
      </x:c>
      <x:c r="D1432" s="74" t="str">
        <x:f>IF('당기원장'!A432="","",'당기원장'!C432)</x:f>
      </x:c>
      <x:c r="E1432" s="73" t="str">
        <x:f>IF('당기원장'!A432="","",'당기원장'!D432)</x:f>
      </x:c>
      <x:c r="F1432" s="73" t="str">
        <x:f>IF('당기원장'!A432="","",'당기원장'!E432)</x:f>
      </x:c>
      <x:c r="G1432" s="75" t="str">
        <x:f>IF('당기원장'!A432="","",'당기원장'!H432)</x:f>
      </x:c>
      <x:c r="H1432" s="73" t="str">
        <x:f>IF('당기원장'!A432="","",'당기원장'!I432)</x:f>
      </x:c>
      <x:c r="I1432" s="73" t="str">
        <x:f>IF('당기원장'!A432="","",'당기원장'!J432)</x:f>
      </x:c>
      <x:c r="J1432" s="73" t="str">
        <x:f>IF('당기원장'!A432="","",'당기원장'!K432)</x:f>
      </x:c>
      <x:c r="K1432" s="73" t="str">
        <x:f>IF(B1432="","",IF(COUNTIF($B$5:B1432,B1432)=1,COUNT($K$4:K1431)+1,""))</x:f>
      </x:c>
      <x:c r="L1432" s="85" t="str">
        <x:f>IF(B1432="","",IF(COUNTIFS('계정비교'!$A$5:$A$1004,B1432,'계정비교'!$H$5:$H$1004,"원인분석 대상")&gt;0,COUNT($L$4:L1431)+1,""))</x:f>
      </x:c>
    </x:row>
    <x:row r="1433">
      <x:c r="A1433" s="73" t="str">
        <x:f>IF('당기원장'!A433="","","당기")</x:f>
      </x:c>
      <x:c r="B1433" s="73" t="str">
        <x:f>IF('당기원장'!A433="","",'당기원장'!A433)</x:f>
      </x:c>
      <x:c r="C1433" s="73" t="str">
        <x:f>IF('당기원장'!A433="","",'당기원장'!B433)</x:f>
      </x:c>
      <x:c r="D1433" s="74" t="str">
        <x:f>IF('당기원장'!A433="","",'당기원장'!C433)</x:f>
      </x:c>
      <x:c r="E1433" s="73" t="str">
        <x:f>IF('당기원장'!A433="","",'당기원장'!D433)</x:f>
      </x:c>
      <x:c r="F1433" s="73" t="str">
        <x:f>IF('당기원장'!A433="","",'당기원장'!E433)</x:f>
      </x:c>
      <x:c r="G1433" s="75" t="str">
        <x:f>IF('당기원장'!A433="","",'당기원장'!H433)</x:f>
      </x:c>
      <x:c r="H1433" s="73" t="str">
        <x:f>IF('당기원장'!A433="","",'당기원장'!I433)</x:f>
      </x:c>
      <x:c r="I1433" s="73" t="str">
        <x:f>IF('당기원장'!A433="","",'당기원장'!J433)</x:f>
      </x:c>
      <x:c r="J1433" s="73" t="str">
        <x:f>IF('당기원장'!A433="","",'당기원장'!K433)</x:f>
      </x:c>
      <x:c r="K1433" s="73" t="str">
        <x:f>IF(B1433="","",IF(COUNTIF($B$5:B1433,B1433)=1,COUNT($K$4:K1432)+1,""))</x:f>
      </x:c>
      <x:c r="L1433" s="85" t="str">
        <x:f>IF(B1433="","",IF(COUNTIFS('계정비교'!$A$5:$A$1004,B1433,'계정비교'!$H$5:$H$1004,"원인분석 대상")&gt;0,COUNT($L$4:L1432)+1,""))</x:f>
      </x:c>
    </x:row>
    <x:row r="1434">
      <x:c r="A1434" s="73" t="str">
        <x:f>IF('당기원장'!A434="","","당기")</x:f>
      </x:c>
      <x:c r="B1434" s="73" t="str">
        <x:f>IF('당기원장'!A434="","",'당기원장'!A434)</x:f>
      </x:c>
      <x:c r="C1434" s="73" t="str">
        <x:f>IF('당기원장'!A434="","",'당기원장'!B434)</x:f>
      </x:c>
      <x:c r="D1434" s="74" t="str">
        <x:f>IF('당기원장'!A434="","",'당기원장'!C434)</x:f>
      </x:c>
      <x:c r="E1434" s="73" t="str">
        <x:f>IF('당기원장'!A434="","",'당기원장'!D434)</x:f>
      </x:c>
      <x:c r="F1434" s="73" t="str">
        <x:f>IF('당기원장'!A434="","",'당기원장'!E434)</x:f>
      </x:c>
      <x:c r="G1434" s="75" t="str">
        <x:f>IF('당기원장'!A434="","",'당기원장'!H434)</x:f>
      </x:c>
      <x:c r="H1434" s="73" t="str">
        <x:f>IF('당기원장'!A434="","",'당기원장'!I434)</x:f>
      </x:c>
      <x:c r="I1434" s="73" t="str">
        <x:f>IF('당기원장'!A434="","",'당기원장'!J434)</x:f>
      </x:c>
      <x:c r="J1434" s="73" t="str">
        <x:f>IF('당기원장'!A434="","",'당기원장'!K434)</x:f>
      </x:c>
      <x:c r="K1434" s="73" t="str">
        <x:f>IF(B1434="","",IF(COUNTIF($B$5:B1434,B1434)=1,COUNT($K$4:K1433)+1,""))</x:f>
      </x:c>
      <x:c r="L1434" s="85" t="str">
        <x:f>IF(B1434="","",IF(COUNTIFS('계정비교'!$A$5:$A$1004,B1434,'계정비교'!$H$5:$H$1004,"원인분석 대상")&gt;0,COUNT($L$4:L1433)+1,""))</x:f>
      </x:c>
    </x:row>
    <x:row r="1435">
      <x:c r="A1435" s="73" t="str">
        <x:f>IF('당기원장'!A435="","","당기")</x:f>
      </x:c>
      <x:c r="B1435" s="73" t="str">
        <x:f>IF('당기원장'!A435="","",'당기원장'!A435)</x:f>
      </x:c>
      <x:c r="C1435" s="73" t="str">
        <x:f>IF('당기원장'!A435="","",'당기원장'!B435)</x:f>
      </x:c>
      <x:c r="D1435" s="74" t="str">
        <x:f>IF('당기원장'!A435="","",'당기원장'!C435)</x:f>
      </x:c>
      <x:c r="E1435" s="73" t="str">
        <x:f>IF('당기원장'!A435="","",'당기원장'!D435)</x:f>
      </x:c>
      <x:c r="F1435" s="73" t="str">
        <x:f>IF('당기원장'!A435="","",'당기원장'!E435)</x:f>
      </x:c>
      <x:c r="G1435" s="75" t="str">
        <x:f>IF('당기원장'!A435="","",'당기원장'!H435)</x:f>
      </x:c>
      <x:c r="H1435" s="73" t="str">
        <x:f>IF('당기원장'!A435="","",'당기원장'!I435)</x:f>
      </x:c>
      <x:c r="I1435" s="73" t="str">
        <x:f>IF('당기원장'!A435="","",'당기원장'!J435)</x:f>
      </x:c>
      <x:c r="J1435" s="73" t="str">
        <x:f>IF('당기원장'!A435="","",'당기원장'!K435)</x:f>
      </x:c>
      <x:c r="K1435" s="73" t="str">
        <x:f>IF(B1435="","",IF(COUNTIF($B$5:B1435,B1435)=1,COUNT($K$4:K1434)+1,""))</x:f>
      </x:c>
      <x:c r="L1435" s="85" t="str">
        <x:f>IF(B1435="","",IF(COUNTIFS('계정비교'!$A$5:$A$1004,B1435,'계정비교'!$H$5:$H$1004,"원인분석 대상")&gt;0,COUNT($L$4:L1434)+1,""))</x:f>
      </x:c>
    </x:row>
    <x:row r="1436">
      <x:c r="A1436" s="73" t="str">
        <x:f>IF('당기원장'!A436="","","당기")</x:f>
      </x:c>
      <x:c r="B1436" s="73" t="str">
        <x:f>IF('당기원장'!A436="","",'당기원장'!A436)</x:f>
      </x:c>
      <x:c r="C1436" s="73" t="str">
        <x:f>IF('당기원장'!A436="","",'당기원장'!B436)</x:f>
      </x:c>
      <x:c r="D1436" s="74" t="str">
        <x:f>IF('당기원장'!A436="","",'당기원장'!C436)</x:f>
      </x:c>
      <x:c r="E1436" s="73" t="str">
        <x:f>IF('당기원장'!A436="","",'당기원장'!D436)</x:f>
      </x:c>
      <x:c r="F1436" s="73" t="str">
        <x:f>IF('당기원장'!A436="","",'당기원장'!E436)</x:f>
      </x:c>
      <x:c r="G1436" s="75" t="str">
        <x:f>IF('당기원장'!A436="","",'당기원장'!H436)</x:f>
      </x:c>
      <x:c r="H1436" s="73" t="str">
        <x:f>IF('당기원장'!A436="","",'당기원장'!I436)</x:f>
      </x:c>
      <x:c r="I1436" s="73" t="str">
        <x:f>IF('당기원장'!A436="","",'당기원장'!J436)</x:f>
      </x:c>
      <x:c r="J1436" s="73" t="str">
        <x:f>IF('당기원장'!A436="","",'당기원장'!K436)</x:f>
      </x:c>
      <x:c r="K1436" s="73" t="str">
        <x:f>IF(B1436="","",IF(COUNTIF($B$5:B1436,B1436)=1,COUNT($K$4:K1435)+1,""))</x:f>
      </x:c>
      <x:c r="L1436" s="85" t="str">
        <x:f>IF(B1436="","",IF(COUNTIFS('계정비교'!$A$5:$A$1004,B1436,'계정비교'!$H$5:$H$1004,"원인분석 대상")&gt;0,COUNT($L$4:L1435)+1,""))</x:f>
      </x:c>
    </x:row>
    <x:row r="1437">
      <x:c r="A1437" s="73" t="str">
        <x:f>IF('당기원장'!A437="","","당기")</x:f>
      </x:c>
      <x:c r="B1437" s="73" t="str">
        <x:f>IF('당기원장'!A437="","",'당기원장'!A437)</x:f>
      </x:c>
      <x:c r="C1437" s="73" t="str">
        <x:f>IF('당기원장'!A437="","",'당기원장'!B437)</x:f>
      </x:c>
      <x:c r="D1437" s="74" t="str">
        <x:f>IF('당기원장'!A437="","",'당기원장'!C437)</x:f>
      </x:c>
      <x:c r="E1437" s="73" t="str">
        <x:f>IF('당기원장'!A437="","",'당기원장'!D437)</x:f>
      </x:c>
      <x:c r="F1437" s="73" t="str">
        <x:f>IF('당기원장'!A437="","",'당기원장'!E437)</x:f>
      </x:c>
      <x:c r="G1437" s="75" t="str">
        <x:f>IF('당기원장'!A437="","",'당기원장'!H437)</x:f>
      </x:c>
      <x:c r="H1437" s="73" t="str">
        <x:f>IF('당기원장'!A437="","",'당기원장'!I437)</x:f>
      </x:c>
      <x:c r="I1437" s="73" t="str">
        <x:f>IF('당기원장'!A437="","",'당기원장'!J437)</x:f>
      </x:c>
      <x:c r="J1437" s="73" t="str">
        <x:f>IF('당기원장'!A437="","",'당기원장'!K437)</x:f>
      </x:c>
      <x:c r="K1437" s="73" t="str">
        <x:f>IF(B1437="","",IF(COUNTIF($B$5:B1437,B1437)=1,COUNT($K$4:K1436)+1,""))</x:f>
      </x:c>
      <x:c r="L1437" s="85" t="str">
        <x:f>IF(B1437="","",IF(COUNTIFS('계정비교'!$A$5:$A$1004,B1437,'계정비교'!$H$5:$H$1004,"원인분석 대상")&gt;0,COUNT($L$4:L1436)+1,""))</x:f>
      </x:c>
    </x:row>
    <x:row r="1438">
      <x:c r="A1438" s="73" t="str">
        <x:f>IF('당기원장'!A438="","","당기")</x:f>
      </x:c>
      <x:c r="B1438" s="73" t="str">
        <x:f>IF('당기원장'!A438="","",'당기원장'!A438)</x:f>
      </x:c>
      <x:c r="C1438" s="73" t="str">
        <x:f>IF('당기원장'!A438="","",'당기원장'!B438)</x:f>
      </x:c>
      <x:c r="D1438" s="74" t="str">
        <x:f>IF('당기원장'!A438="","",'당기원장'!C438)</x:f>
      </x:c>
      <x:c r="E1438" s="73" t="str">
        <x:f>IF('당기원장'!A438="","",'당기원장'!D438)</x:f>
      </x:c>
      <x:c r="F1438" s="73" t="str">
        <x:f>IF('당기원장'!A438="","",'당기원장'!E438)</x:f>
      </x:c>
      <x:c r="G1438" s="75" t="str">
        <x:f>IF('당기원장'!A438="","",'당기원장'!H438)</x:f>
      </x:c>
      <x:c r="H1438" s="73" t="str">
        <x:f>IF('당기원장'!A438="","",'당기원장'!I438)</x:f>
      </x:c>
      <x:c r="I1438" s="73" t="str">
        <x:f>IF('당기원장'!A438="","",'당기원장'!J438)</x:f>
      </x:c>
      <x:c r="J1438" s="73" t="str">
        <x:f>IF('당기원장'!A438="","",'당기원장'!K438)</x:f>
      </x:c>
      <x:c r="K1438" s="73" t="str">
        <x:f>IF(B1438="","",IF(COUNTIF($B$5:B1438,B1438)=1,COUNT($K$4:K1437)+1,""))</x:f>
      </x:c>
      <x:c r="L1438" s="85" t="str">
        <x:f>IF(B1438="","",IF(COUNTIFS('계정비교'!$A$5:$A$1004,B1438,'계정비교'!$H$5:$H$1004,"원인분석 대상")&gt;0,COUNT($L$4:L1437)+1,""))</x:f>
      </x:c>
    </x:row>
    <x:row r="1439">
      <x:c r="A1439" s="73" t="str">
        <x:f>IF('당기원장'!A439="","","당기")</x:f>
      </x:c>
      <x:c r="B1439" s="73" t="str">
        <x:f>IF('당기원장'!A439="","",'당기원장'!A439)</x:f>
      </x:c>
      <x:c r="C1439" s="73" t="str">
        <x:f>IF('당기원장'!A439="","",'당기원장'!B439)</x:f>
      </x:c>
      <x:c r="D1439" s="74" t="str">
        <x:f>IF('당기원장'!A439="","",'당기원장'!C439)</x:f>
      </x:c>
      <x:c r="E1439" s="73" t="str">
        <x:f>IF('당기원장'!A439="","",'당기원장'!D439)</x:f>
      </x:c>
      <x:c r="F1439" s="73" t="str">
        <x:f>IF('당기원장'!A439="","",'당기원장'!E439)</x:f>
      </x:c>
      <x:c r="G1439" s="75" t="str">
        <x:f>IF('당기원장'!A439="","",'당기원장'!H439)</x:f>
      </x:c>
      <x:c r="H1439" s="73" t="str">
        <x:f>IF('당기원장'!A439="","",'당기원장'!I439)</x:f>
      </x:c>
      <x:c r="I1439" s="73" t="str">
        <x:f>IF('당기원장'!A439="","",'당기원장'!J439)</x:f>
      </x:c>
      <x:c r="J1439" s="73" t="str">
        <x:f>IF('당기원장'!A439="","",'당기원장'!K439)</x:f>
      </x:c>
      <x:c r="K1439" s="73" t="str">
        <x:f>IF(B1439="","",IF(COUNTIF($B$5:B1439,B1439)=1,COUNT($K$4:K1438)+1,""))</x:f>
      </x:c>
      <x:c r="L1439" s="85" t="str">
        <x:f>IF(B1439="","",IF(COUNTIFS('계정비교'!$A$5:$A$1004,B1439,'계정비교'!$H$5:$H$1004,"원인분석 대상")&gt;0,COUNT($L$4:L1438)+1,""))</x:f>
      </x:c>
    </x:row>
    <x:row r="1440">
      <x:c r="A1440" s="73" t="str">
        <x:f>IF('당기원장'!A440="","","당기")</x:f>
      </x:c>
      <x:c r="B1440" s="73" t="str">
        <x:f>IF('당기원장'!A440="","",'당기원장'!A440)</x:f>
      </x:c>
      <x:c r="C1440" s="73" t="str">
        <x:f>IF('당기원장'!A440="","",'당기원장'!B440)</x:f>
      </x:c>
      <x:c r="D1440" s="74" t="str">
        <x:f>IF('당기원장'!A440="","",'당기원장'!C440)</x:f>
      </x:c>
      <x:c r="E1440" s="73" t="str">
        <x:f>IF('당기원장'!A440="","",'당기원장'!D440)</x:f>
      </x:c>
      <x:c r="F1440" s="73" t="str">
        <x:f>IF('당기원장'!A440="","",'당기원장'!E440)</x:f>
      </x:c>
      <x:c r="G1440" s="75" t="str">
        <x:f>IF('당기원장'!A440="","",'당기원장'!H440)</x:f>
      </x:c>
      <x:c r="H1440" s="73" t="str">
        <x:f>IF('당기원장'!A440="","",'당기원장'!I440)</x:f>
      </x:c>
      <x:c r="I1440" s="73" t="str">
        <x:f>IF('당기원장'!A440="","",'당기원장'!J440)</x:f>
      </x:c>
      <x:c r="J1440" s="73" t="str">
        <x:f>IF('당기원장'!A440="","",'당기원장'!K440)</x:f>
      </x:c>
      <x:c r="K1440" s="73" t="str">
        <x:f>IF(B1440="","",IF(COUNTIF($B$5:B1440,B1440)=1,COUNT($K$4:K1439)+1,""))</x:f>
      </x:c>
      <x:c r="L1440" s="85" t="str">
        <x:f>IF(B1440="","",IF(COUNTIFS('계정비교'!$A$5:$A$1004,B1440,'계정비교'!$H$5:$H$1004,"원인분석 대상")&gt;0,COUNT($L$4:L1439)+1,""))</x:f>
      </x:c>
    </x:row>
    <x:row r="1441">
      <x:c r="A1441" s="73" t="str">
        <x:f>IF('당기원장'!A441="","","당기")</x:f>
      </x:c>
      <x:c r="B1441" s="73" t="str">
        <x:f>IF('당기원장'!A441="","",'당기원장'!A441)</x:f>
      </x:c>
      <x:c r="C1441" s="73" t="str">
        <x:f>IF('당기원장'!A441="","",'당기원장'!B441)</x:f>
      </x:c>
      <x:c r="D1441" s="74" t="str">
        <x:f>IF('당기원장'!A441="","",'당기원장'!C441)</x:f>
      </x:c>
      <x:c r="E1441" s="73" t="str">
        <x:f>IF('당기원장'!A441="","",'당기원장'!D441)</x:f>
      </x:c>
      <x:c r="F1441" s="73" t="str">
        <x:f>IF('당기원장'!A441="","",'당기원장'!E441)</x:f>
      </x:c>
      <x:c r="G1441" s="75" t="str">
        <x:f>IF('당기원장'!A441="","",'당기원장'!H441)</x:f>
      </x:c>
      <x:c r="H1441" s="73" t="str">
        <x:f>IF('당기원장'!A441="","",'당기원장'!I441)</x:f>
      </x:c>
      <x:c r="I1441" s="73" t="str">
        <x:f>IF('당기원장'!A441="","",'당기원장'!J441)</x:f>
      </x:c>
      <x:c r="J1441" s="73" t="str">
        <x:f>IF('당기원장'!A441="","",'당기원장'!K441)</x:f>
      </x:c>
      <x:c r="K1441" s="73" t="str">
        <x:f>IF(B1441="","",IF(COUNTIF($B$5:B1441,B1441)=1,COUNT($K$4:K1440)+1,""))</x:f>
      </x:c>
      <x:c r="L1441" s="85" t="str">
        <x:f>IF(B1441="","",IF(COUNTIFS('계정비교'!$A$5:$A$1004,B1441,'계정비교'!$H$5:$H$1004,"원인분석 대상")&gt;0,COUNT($L$4:L1440)+1,""))</x:f>
      </x:c>
    </x:row>
    <x:row r="1442">
      <x:c r="A1442" s="73" t="str">
        <x:f>IF('당기원장'!A442="","","당기")</x:f>
      </x:c>
      <x:c r="B1442" s="73" t="str">
        <x:f>IF('당기원장'!A442="","",'당기원장'!A442)</x:f>
      </x:c>
      <x:c r="C1442" s="73" t="str">
        <x:f>IF('당기원장'!A442="","",'당기원장'!B442)</x:f>
      </x:c>
      <x:c r="D1442" s="74" t="str">
        <x:f>IF('당기원장'!A442="","",'당기원장'!C442)</x:f>
      </x:c>
      <x:c r="E1442" s="73" t="str">
        <x:f>IF('당기원장'!A442="","",'당기원장'!D442)</x:f>
      </x:c>
      <x:c r="F1442" s="73" t="str">
        <x:f>IF('당기원장'!A442="","",'당기원장'!E442)</x:f>
      </x:c>
      <x:c r="G1442" s="75" t="str">
        <x:f>IF('당기원장'!A442="","",'당기원장'!H442)</x:f>
      </x:c>
      <x:c r="H1442" s="73" t="str">
        <x:f>IF('당기원장'!A442="","",'당기원장'!I442)</x:f>
      </x:c>
      <x:c r="I1442" s="73" t="str">
        <x:f>IF('당기원장'!A442="","",'당기원장'!J442)</x:f>
      </x:c>
      <x:c r="J1442" s="73" t="str">
        <x:f>IF('당기원장'!A442="","",'당기원장'!K442)</x:f>
      </x:c>
      <x:c r="K1442" s="73" t="str">
        <x:f>IF(B1442="","",IF(COUNTIF($B$5:B1442,B1442)=1,COUNT($K$4:K1441)+1,""))</x:f>
      </x:c>
      <x:c r="L1442" s="85" t="str">
        <x:f>IF(B1442="","",IF(COUNTIFS('계정비교'!$A$5:$A$1004,B1442,'계정비교'!$H$5:$H$1004,"원인분석 대상")&gt;0,COUNT($L$4:L1441)+1,""))</x:f>
      </x:c>
    </x:row>
    <x:row r="1443">
      <x:c r="A1443" s="73" t="str">
        <x:f>IF('당기원장'!A443="","","당기")</x:f>
      </x:c>
      <x:c r="B1443" s="73" t="str">
        <x:f>IF('당기원장'!A443="","",'당기원장'!A443)</x:f>
      </x:c>
      <x:c r="C1443" s="73" t="str">
        <x:f>IF('당기원장'!A443="","",'당기원장'!B443)</x:f>
      </x:c>
      <x:c r="D1443" s="74" t="str">
        <x:f>IF('당기원장'!A443="","",'당기원장'!C443)</x:f>
      </x:c>
      <x:c r="E1443" s="73" t="str">
        <x:f>IF('당기원장'!A443="","",'당기원장'!D443)</x:f>
      </x:c>
      <x:c r="F1443" s="73" t="str">
        <x:f>IF('당기원장'!A443="","",'당기원장'!E443)</x:f>
      </x:c>
      <x:c r="G1443" s="75" t="str">
        <x:f>IF('당기원장'!A443="","",'당기원장'!H443)</x:f>
      </x:c>
      <x:c r="H1443" s="73" t="str">
        <x:f>IF('당기원장'!A443="","",'당기원장'!I443)</x:f>
      </x:c>
      <x:c r="I1443" s="73" t="str">
        <x:f>IF('당기원장'!A443="","",'당기원장'!J443)</x:f>
      </x:c>
      <x:c r="J1443" s="73" t="str">
        <x:f>IF('당기원장'!A443="","",'당기원장'!K443)</x:f>
      </x:c>
      <x:c r="K1443" s="73" t="str">
        <x:f>IF(B1443="","",IF(COUNTIF($B$5:B1443,B1443)=1,COUNT($K$4:K1442)+1,""))</x:f>
      </x:c>
      <x:c r="L1443" s="85" t="str">
        <x:f>IF(B1443="","",IF(COUNTIFS('계정비교'!$A$5:$A$1004,B1443,'계정비교'!$H$5:$H$1004,"원인분석 대상")&gt;0,COUNT($L$4:L1442)+1,""))</x:f>
      </x:c>
    </x:row>
    <x:row r="1444">
      <x:c r="A1444" s="73" t="str">
        <x:f>IF('당기원장'!A444="","","당기")</x:f>
      </x:c>
      <x:c r="B1444" s="73" t="str">
        <x:f>IF('당기원장'!A444="","",'당기원장'!A444)</x:f>
      </x:c>
      <x:c r="C1444" s="73" t="str">
        <x:f>IF('당기원장'!A444="","",'당기원장'!B444)</x:f>
      </x:c>
      <x:c r="D1444" s="74" t="str">
        <x:f>IF('당기원장'!A444="","",'당기원장'!C444)</x:f>
      </x:c>
      <x:c r="E1444" s="73" t="str">
        <x:f>IF('당기원장'!A444="","",'당기원장'!D444)</x:f>
      </x:c>
      <x:c r="F1444" s="73" t="str">
        <x:f>IF('당기원장'!A444="","",'당기원장'!E444)</x:f>
      </x:c>
      <x:c r="G1444" s="75" t="str">
        <x:f>IF('당기원장'!A444="","",'당기원장'!H444)</x:f>
      </x:c>
      <x:c r="H1444" s="73" t="str">
        <x:f>IF('당기원장'!A444="","",'당기원장'!I444)</x:f>
      </x:c>
      <x:c r="I1444" s="73" t="str">
        <x:f>IF('당기원장'!A444="","",'당기원장'!J444)</x:f>
      </x:c>
      <x:c r="J1444" s="73" t="str">
        <x:f>IF('당기원장'!A444="","",'당기원장'!K444)</x:f>
      </x:c>
      <x:c r="K1444" s="73" t="str">
        <x:f>IF(B1444="","",IF(COUNTIF($B$5:B1444,B1444)=1,COUNT($K$4:K1443)+1,""))</x:f>
      </x:c>
      <x:c r="L1444" s="85" t="str">
        <x:f>IF(B1444="","",IF(COUNTIFS('계정비교'!$A$5:$A$1004,B1444,'계정비교'!$H$5:$H$1004,"원인분석 대상")&gt;0,COUNT($L$4:L1443)+1,""))</x:f>
      </x:c>
    </x:row>
    <x:row r="1445">
      <x:c r="A1445" s="73" t="str">
        <x:f>IF('당기원장'!A445="","","당기")</x:f>
      </x:c>
      <x:c r="B1445" s="73" t="str">
        <x:f>IF('당기원장'!A445="","",'당기원장'!A445)</x:f>
      </x:c>
      <x:c r="C1445" s="73" t="str">
        <x:f>IF('당기원장'!A445="","",'당기원장'!B445)</x:f>
      </x:c>
      <x:c r="D1445" s="74" t="str">
        <x:f>IF('당기원장'!A445="","",'당기원장'!C445)</x:f>
      </x:c>
      <x:c r="E1445" s="73" t="str">
        <x:f>IF('당기원장'!A445="","",'당기원장'!D445)</x:f>
      </x:c>
      <x:c r="F1445" s="73" t="str">
        <x:f>IF('당기원장'!A445="","",'당기원장'!E445)</x:f>
      </x:c>
      <x:c r="G1445" s="75" t="str">
        <x:f>IF('당기원장'!A445="","",'당기원장'!H445)</x:f>
      </x:c>
      <x:c r="H1445" s="73" t="str">
        <x:f>IF('당기원장'!A445="","",'당기원장'!I445)</x:f>
      </x:c>
      <x:c r="I1445" s="73" t="str">
        <x:f>IF('당기원장'!A445="","",'당기원장'!J445)</x:f>
      </x:c>
      <x:c r="J1445" s="73" t="str">
        <x:f>IF('당기원장'!A445="","",'당기원장'!K445)</x:f>
      </x:c>
      <x:c r="K1445" s="73" t="str">
        <x:f>IF(B1445="","",IF(COUNTIF($B$5:B1445,B1445)=1,COUNT($K$4:K1444)+1,""))</x:f>
      </x:c>
      <x:c r="L1445" s="85" t="str">
        <x:f>IF(B1445="","",IF(COUNTIFS('계정비교'!$A$5:$A$1004,B1445,'계정비교'!$H$5:$H$1004,"원인분석 대상")&gt;0,COUNT($L$4:L1444)+1,""))</x:f>
      </x:c>
    </x:row>
    <x:row r="1446">
      <x:c r="A1446" s="73" t="str">
        <x:f>IF('당기원장'!A446="","","당기")</x:f>
      </x:c>
      <x:c r="B1446" s="73" t="str">
        <x:f>IF('당기원장'!A446="","",'당기원장'!A446)</x:f>
      </x:c>
      <x:c r="C1446" s="73" t="str">
        <x:f>IF('당기원장'!A446="","",'당기원장'!B446)</x:f>
      </x:c>
      <x:c r="D1446" s="74" t="str">
        <x:f>IF('당기원장'!A446="","",'당기원장'!C446)</x:f>
      </x:c>
      <x:c r="E1446" s="73" t="str">
        <x:f>IF('당기원장'!A446="","",'당기원장'!D446)</x:f>
      </x:c>
      <x:c r="F1446" s="73" t="str">
        <x:f>IF('당기원장'!A446="","",'당기원장'!E446)</x:f>
      </x:c>
      <x:c r="G1446" s="75" t="str">
        <x:f>IF('당기원장'!A446="","",'당기원장'!H446)</x:f>
      </x:c>
      <x:c r="H1446" s="73" t="str">
        <x:f>IF('당기원장'!A446="","",'당기원장'!I446)</x:f>
      </x:c>
      <x:c r="I1446" s="73" t="str">
        <x:f>IF('당기원장'!A446="","",'당기원장'!J446)</x:f>
      </x:c>
      <x:c r="J1446" s="73" t="str">
        <x:f>IF('당기원장'!A446="","",'당기원장'!K446)</x:f>
      </x:c>
      <x:c r="K1446" s="73" t="str">
        <x:f>IF(B1446="","",IF(COUNTIF($B$5:B1446,B1446)=1,COUNT($K$4:K1445)+1,""))</x:f>
      </x:c>
      <x:c r="L1446" s="85" t="str">
        <x:f>IF(B1446="","",IF(COUNTIFS('계정비교'!$A$5:$A$1004,B1446,'계정비교'!$H$5:$H$1004,"원인분석 대상")&gt;0,COUNT($L$4:L1445)+1,""))</x:f>
      </x:c>
    </x:row>
    <x:row r="1447">
      <x:c r="A1447" s="73" t="str">
        <x:f>IF('당기원장'!A447="","","당기")</x:f>
      </x:c>
      <x:c r="B1447" s="73" t="str">
        <x:f>IF('당기원장'!A447="","",'당기원장'!A447)</x:f>
      </x:c>
      <x:c r="C1447" s="73" t="str">
        <x:f>IF('당기원장'!A447="","",'당기원장'!B447)</x:f>
      </x:c>
      <x:c r="D1447" s="74" t="str">
        <x:f>IF('당기원장'!A447="","",'당기원장'!C447)</x:f>
      </x:c>
      <x:c r="E1447" s="73" t="str">
        <x:f>IF('당기원장'!A447="","",'당기원장'!D447)</x:f>
      </x:c>
      <x:c r="F1447" s="73" t="str">
        <x:f>IF('당기원장'!A447="","",'당기원장'!E447)</x:f>
      </x:c>
      <x:c r="G1447" s="75" t="str">
        <x:f>IF('당기원장'!A447="","",'당기원장'!H447)</x:f>
      </x:c>
      <x:c r="H1447" s="73" t="str">
        <x:f>IF('당기원장'!A447="","",'당기원장'!I447)</x:f>
      </x:c>
      <x:c r="I1447" s="73" t="str">
        <x:f>IF('당기원장'!A447="","",'당기원장'!J447)</x:f>
      </x:c>
      <x:c r="J1447" s="73" t="str">
        <x:f>IF('당기원장'!A447="","",'당기원장'!K447)</x:f>
      </x:c>
      <x:c r="K1447" s="73" t="str">
        <x:f>IF(B1447="","",IF(COUNTIF($B$5:B1447,B1447)=1,COUNT($K$4:K1446)+1,""))</x:f>
      </x:c>
      <x:c r="L1447" s="85" t="str">
        <x:f>IF(B1447="","",IF(COUNTIFS('계정비교'!$A$5:$A$1004,B1447,'계정비교'!$H$5:$H$1004,"원인분석 대상")&gt;0,COUNT($L$4:L1446)+1,""))</x:f>
      </x:c>
    </x:row>
    <x:row r="1448">
      <x:c r="A1448" s="73" t="str">
        <x:f>IF('당기원장'!A448="","","당기")</x:f>
      </x:c>
      <x:c r="B1448" s="73" t="str">
        <x:f>IF('당기원장'!A448="","",'당기원장'!A448)</x:f>
      </x:c>
      <x:c r="C1448" s="73" t="str">
        <x:f>IF('당기원장'!A448="","",'당기원장'!B448)</x:f>
      </x:c>
      <x:c r="D1448" s="74" t="str">
        <x:f>IF('당기원장'!A448="","",'당기원장'!C448)</x:f>
      </x:c>
      <x:c r="E1448" s="73" t="str">
        <x:f>IF('당기원장'!A448="","",'당기원장'!D448)</x:f>
      </x:c>
      <x:c r="F1448" s="73" t="str">
        <x:f>IF('당기원장'!A448="","",'당기원장'!E448)</x:f>
      </x:c>
      <x:c r="G1448" s="75" t="str">
        <x:f>IF('당기원장'!A448="","",'당기원장'!H448)</x:f>
      </x:c>
      <x:c r="H1448" s="73" t="str">
        <x:f>IF('당기원장'!A448="","",'당기원장'!I448)</x:f>
      </x:c>
      <x:c r="I1448" s="73" t="str">
        <x:f>IF('당기원장'!A448="","",'당기원장'!J448)</x:f>
      </x:c>
      <x:c r="J1448" s="73" t="str">
        <x:f>IF('당기원장'!A448="","",'당기원장'!K448)</x:f>
      </x:c>
      <x:c r="K1448" s="73" t="str">
        <x:f>IF(B1448="","",IF(COUNTIF($B$5:B1448,B1448)=1,COUNT($K$4:K1447)+1,""))</x:f>
      </x:c>
      <x:c r="L1448" s="85" t="str">
        <x:f>IF(B1448="","",IF(COUNTIFS('계정비교'!$A$5:$A$1004,B1448,'계정비교'!$H$5:$H$1004,"원인분석 대상")&gt;0,COUNT($L$4:L1447)+1,""))</x:f>
      </x:c>
    </x:row>
    <x:row r="1449">
      <x:c r="A1449" s="73" t="str">
        <x:f>IF('당기원장'!A449="","","당기")</x:f>
      </x:c>
      <x:c r="B1449" s="73" t="str">
        <x:f>IF('당기원장'!A449="","",'당기원장'!A449)</x:f>
      </x:c>
      <x:c r="C1449" s="73" t="str">
        <x:f>IF('당기원장'!A449="","",'당기원장'!B449)</x:f>
      </x:c>
      <x:c r="D1449" s="74" t="str">
        <x:f>IF('당기원장'!A449="","",'당기원장'!C449)</x:f>
      </x:c>
      <x:c r="E1449" s="73" t="str">
        <x:f>IF('당기원장'!A449="","",'당기원장'!D449)</x:f>
      </x:c>
      <x:c r="F1449" s="73" t="str">
        <x:f>IF('당기원장'!A449="","",'당기원장'!E449)</x:f>
      </x:c>
      <x:c r="G1449" s="75" t="str">
        <x:f>IF('당기원장'!A449="","",'당기원장'!H449)</x:f>
      </x:c>
      <x:c r="H1449" s="73" t="str">
        <x:f>IF('당기원장'!A449="","",'당기원장'!I449)</x:f>
      </x:c>
      <x:c r="I1449" s="73" t="str">
        <x:f>IF('당기원장'!A449="","",'당기원장'!J449)</x:f>
      </x:c>
      <x:c r="J1449" s="73" t="str">
        <x:f>IF('당기원장'!A449="","",'당기원장'!K449)</x:f>
      </x:c>
      <x:c r="K1449" s="73" t="str">
        <x:f>IF(B1449="","",IF(COUNTIF($B$5:B1449,B1449)=1,COUNT($K$4:K1448)+1,""))</x:f>
      </x:c>
      <x:c r="L1449" s="85" t="str">
        <x:f>IF(B1449="","",IF(COUNTIFS('계정비교'!$A$5:$A$1004,B1449,'계정비교'!$H$5:$H$1004,"원인분석 대상")&gt;0,COUNT($L$4:L1448)+1,""))</x:f>
      </x:c>
    </x:row>
    <x:row r="1450">
      <x:c r="A1450" s="73" t="str">
        <x:f>IF('당기원장'!A450="","","당기")</x:f>
      </x:c>
      <x:c r="B1450" s="73" t="str">
        <x:f>IF('당기원장'!A450="","",'당기원장'!A450)</x:f>
      </x:c>
      <x:c r="C1450" s="73" t="str">
        <x:f>IF('당기원장'!A450="","",'당기원장'!B450)</x:f>
      </x:c>
      <x:c r="D1450" s="74" t="str">
        <x:f>IF('당기원장'!A450="","",'당기원장'!C450)</x:f>
      </x:c>
      <x:c r="E1450" s="73" t="str">
        <x:f>IF('당기원장'!A450="","",'당기원장'!D450)</x:f>
      </x:c>
      <x:c r="F1450" s="73" t="str">
        <x:f>IF('당기원장'!A450="","",'당기원장'!E450)</x:f>
      </x:c>
      <x:c r="G1450" s="75" t="str">
        <x:f>IF('당기원장'!A450="","",'당기원장'!H450)</x:f>
      </x:c>
      <x:c r="H1450" s="73" t="str">
        <x:f>IF('당기원장'!A450="","",'당기원장'!I450)</x:f>
      </x:c>
      <x:c r="I1450" s="73" t="str">
        <x:f>IF('당기원장'!A450="","",'당기원장'!J450)</x:f>
      </x:c>
      <x:c r="J1450" s="73" t="str">
        <x:f>IF('당기원장'!A450="","",'당기원장'!K450)</x:f>
      </x:c>
      <x:c r="K1450" s="73" t="str">
        <x:f>IF(B1450="","",IF(COUNTIF($B$5:B1450,B1450)=1,COUNT($K$4:K1449)+1,""))</x:f>
      </x:c>
      <x:c r="L1450" s="85" t="str">
        <x:f>IF(B1450="","",IF(COUNTIFS('계정비교'!$A$5:$A$1004,B1450,'계정비교'!$H$5:$H$1004,"원인분석 대상")&gt;0,COUNT($L$4:L1449)+1,""))</x:f>
      </x:c>
    </x:row>
    <x:row r="1451">
      <x:c r="A1451" s="73" t="str">
        <x:f>IF('당기원장'!A451="","","당기")</x:f>
      </x:c>
      <x:c r="B1451" s="73" t="str">
        <x:f>IF('당기원장'!A451="","",'당기원장'!A451)</x:f>
      </x:c>
      <x:c r="C1451" s="73" t="str">
        <x:f>IF('당기원장'!A451="","",'당기원장'!B451)</x:f>
      </x:c>
      <x:c r="D1451" s="74" t="str">
        <x:f>IF('당기원장'!A451="","",'당기원장'!C451)</x:f>
      </x:c>
      <x:c r="E1451" s="73" t="str">
        <x:f>IF('당기원장'!A451="","",'당기원장'!D451)</x:f>
      </x:c>
      <x:c r="F1451" s="73" t="str">
        <x:f>IF('당기원장'!A451="","",'당기원장'!E451)</x:f>
      </x:c>
      <x:c r="G1451" s="75" t="str">
        <x:f>IF('당기원장'!A451="","",'당기원장'!H451)</x:f>
      </x:c>
      <x:c r="H1451" s="73" t="str">
        <x:f>IF('당기원장'!A451="","",'당기원장'!I451)</x:f>
      </x:c>
      <x:c r="I1451" s="73" t="str">
        <x:f>IF('당기원장'!A451="","",'당기원장'!J451)</x:f>
      </x:c>
      <x:c r="J1451" s="73" t="str">
        <x:f>IF('당기원장'!A451="","",'당기원장'!K451)</x:f>
      </x:c>
      <x:c r="K1451" s="73" t="str">
        <x:f>IF(B1451="","",IF(COUNTIF($B$5:B1451,B1451)=1,COUNT($K$4:K1450)+1,""))</x:f>
      </x:c>
      <x:c r="L1451" s="85" t="str">
        <x:f>IF(B1451="","",IF(COUNTIFS('계정비교'!$A$5:$A$1004,B1451,'계정비교'!$H$5:$H$1004,"원인분석 대상")&gt;0,COUNT($L$4:L1450)+1,""))</x:f>
      </x:c>
    </x:row>
    <x:row r="1452">
      <x:c r="A1452" s="73" t="str">
        <x:f>IF('당기원장'!A452="","","당기")</x:f>
      </x:c>
      <x:c r="B1452" s="73" t="str">
        <x:f>IF('당기원장'!A452="","",'당기원장'!A452)</x:f>
      </x:c>
      <x:c r="C1452" s="73" t="str">
        <x:f>IF('당기원장'!A452="","",'당기원장'!B452)</x:f>
      </x:c>
      <x:c r="D1452" s="74" t="str">
        <x:f>IF('당기원장'!A452="","",'당기원장'!C452)</x:f>
      </x:c>
      <x:c r="E1452" s="73" t="str">
        <x:f>IF('당기원장'!A452="","",'당기원장'!D452)</x:f>
      </x:c>
      <x:c r="F1452" s="73" t="str">
        <x:f>IF('당기원장'!A452="","",'당기원장'!E452)</x:f>
      </x:c>
      <x:c r="G1452" s="75" t="str">
        <x:f>IF('당기원장'!A452="","",'당기원장'!H452)</x:f>
      </x:c>
      <x:c r="H1452" s="73" t="str">
        <x:f>IF('당기원장'!A452="","",'당기원장'!I452)</x:f>
      </x:c>
      <x:c r="I1452" s="73" t="str">
        <x:f>IF('당기원장'!A452="","",'당기원장'!J452)</x:f>
      </x:c>
      <x:c r="J1452" s="73" t="str">
        <x:f>IF('당기원장'!A452="","",'당기원장'!K452)</x:f>
      </x:c>
      <x:c r="K1452" s="73" t="str">
        <x:f>IF(B1452="","",IF(COUNTIF($B$5:B1452,B1452)=1,COUNT($K$4:K1451)+1,""))</x:f>
      </x:c>
      <x:c r="L1452" s="85" t="str">
        <x:f>IF(B1452="","",IF(COUNTIFS('계정비교'!$A$5:$A$1004,B1452,'계정비교'!$H$5:$H$1004,"원인분석 대상")&gt;0,COUNT($L$4:L1451)+1,""))</x:f>
      </x:c>
    </x:row>
    <x:row r="1453">
      <x:c r="A1453" s="73" t="str">
        <x:f>IF('당기원장'!A453="","","당기")</x:f>
      </x:c>
      <x:c r="B1453" s="73" t="str">
        <x:f>IF('당기원장'!A453="","",'당기원장'!A453)</x:f>
      </x:c>
      <x:c r="C1453" s="73" t="str">
        <x:f>IF('당기원장'!A453="","",'당기원장'!B453)</x:f>
      </x:c>
      <x:c r="D1453" s="74" t="str">
        <x:f>IF('당기원장'!A453="","",'당기원장'!C453)</x:f>
      </x:c>
      <x:c r="E1453" s="73" t="str">
        <x:f>IF('당기원장'!A453="","",'당기원장'!D453)</x:f>
      </x:c>
      <x:c r="F1453" s="73" t="str">
        <x:f>IF('당기원장'!A453="","",'당기원장'!E453)</x:f>
      </x:c>
      <x:c r="G1453" s="75" t="str">
        <x:f>IF('당기원장'!A453="","",'당기원장'!H453)</x:f>
      </x:c>
      <x:c r="H1453" s="73" t="str">
        <x:f>IF('당기원장'!A453="","",'당기원장'!I453)</x:f>
      </x:c>
      <x:c r="I1453" s="73" t="str">
        <x:f>IF('당기원장'!A453="","",'당기원장'!J453)</x:f>
      </x:c>
      <x:c r="J1453" s="73" t="str">
        <x:f>IF('당기원장'!A453="","",'당기원장'!K453)</x:f>
      </x:c>
      <x:c r="K1453" s="73" t="str">
        <x:f>IF(B1453="","",IF(COUNTIF($B$5:B1453,B1453)=1,COUNT($K$4:K1452)+1,""))</x:f>
      </x:c>
      <x:c r="L1453" s="85" t="str">
        <x:f>IF(B1453="","",IF(COUNTIFS('계정비교'!$A$5:$A$1004,B1453,'계정비교'!$H$5:$H$1004,"원인분석 대상")&gt;0,COUNT($L$4:L1452)+1,""))</x:f>
      </x:c>
    </x:row>
    <x:row r="1454">
      <x:c r="A1454" s="73" t="str">
        <x:f>IF('당기원장'!A454="","","당기")</x:f>
      </x:c>
      <x:c r="B1454" s="73" t="str">
        <x:f>IF('당기원장'!A454="","",'당기원장'!A454)</x:f>
      </x:c>
      <x:c r="C1454" s="73" t="str">
        <x:f>IF('당기원장'!A454="","",'당기원장'!B454)</x:f>
      </x:c>
      <x:c r="D1454" s="74" t="str">
        <x:f>IF('당기원장'!A454="","",'당기원장'!C454)</x:f>
      </x:c>
      <x:c r="E1454" s="73" t="str">
        <x:f>IF('당기원장'!A454="","",'당기원장'!D454)</x:f>
      </x:c>
      <x:c r="F1454" s="73" t="str">
        <x:f>IF('당기원장'!A454="","",'당기원장'!E454)</x:f>
      </x:c>
      <x:c r="G1454" s="75" t="str">
        <x:f>IF('당기원장'!A454="","",'당기원장'!H454)</x:f>
      </x:c>
      <x:c r="H1454" s="73" t="str">
        <x:f>IF('당기원장'!A454="","",'당기원장'!I454)</x:f>
      </x:c>
      <x:c r="I1454" s="73" t="str">
        <x:f>IF('당기원장'!A454="","",'당기원장'!J454)</x:f>
      </x:c>
      <x:c r="J1454" s="73" t="str">
        <x:f>IF('당기원장'!A454="","",'당기원장'!K454)</x:f>
      </x:c>
      <x:c r="K1454" s="73" t="str">
        <x:f>IF(B1454="","",IF(COUNTIF($B$5:B1454,B1454)=1,COUNT($K$4:K1453)+1,""))</x:f>
      </x:c>
      <x:c r="L1454" s="85" t="str">
        <x:f>IF(B1454="","",IF(COUNTIFS('계정비교'!$A$5:$A$1004,B1454,'계정비교'!$H$5:$H$1004,"원인분석 대상")&gt;0,COUNT($L$4:L1453)+1,""))</x:f>
      </x:c>
    </x:row>
    <x:row r="1455">
      <x:c r="A1455" s="73" t="str">
        <x:f>IF('당기원장'!A455="","","당기")</x:f>
      </x:c>
      <x:c r="B1455" s="73" t="str">
        <x:f>IF('당기원장'!A455="","",'당기원장'!A455)</x:f>
      </x:c>
      <x:c r="C1455" s="73" t="str">
        <x:f>IF('당기원장'!A455="","",'당기원장'!B455)</x:f>
      </x:c>
      <x:c r="D1455" s="74" t="str">
        <x:f>IF('당기원장'!A455="","",'당기원장'!C455)</x:f>
      </x:c>
      <x:c r="E1455" s="73" t="str">
        <x:f>IF('당기원장'!A455="","",'당기원장'!D455)</x:f>
      </x:c>
      <x:c r="F1455" s="73" t="str">
        <x:f>IF('당기원장'!A455="","",'당기원장'!E455)</x:f>
      </x:c>
      <x:c r="G1455" s="75" t="str">
        <x:f>IF('당기원장'!A455="","",'당기원장'!H455)</x:f>
      </x:c>
      <x:c r="H1455" s="73" t="str">
        <x:f>IF('당기원장'!A455="","",'당기원장'!I455)</x:f>
      </x:c>
      <x:c r="I1455" s="73" t="str">
        <x:f>IF('당기원장'!A455="","",'당기원장'!J455)</x:f>
      </x:c>
      <x:c r="J1455" s="73" t="str">
        <x:f>IF('당기원장'!A455="","",'당기원장'!K455)</x:f>
      </x:c>
      <x:c r="K1455" s="73" t="str">
        <x:f>IF(B1455="","",IF(COUNTIF($B$5:B1455,B1455)=1,COUNT($K$4:K1454)+1,""))</x:f>
      </x:c>
      <x:c r="L1455" s="85" t="str">
        <x:f>IF(B1455="","",IF(COUNTIFS('계정비교'!$A$5:$A$1004,B1455,'계정비교'!$H$5:$H$1004,"원인분석 대상")&gt;0,COUNT($L$4:L1454)+1,""))</x:f>
      </x:c>
    </x:row>
    <x:row r="1456">
      <x:c r="A1456" s="73" t="str">
        <x:f>IF('당기원장'!A456="","","당기")</x:f>
      </x:c>
      <x:c r="B1456" s="73" t="str">
        <x:f>IF('당기원장'!A456="","",'당기원장'!A456)</x:f>
      </x:c>
      <x:c r="C1456" s="73" t="str">
        <x:f>IF('당기원장'!A456="","",'당기원장'!B456)</x:f>
      </x:c>
      <x:c r="D1456" s="74" t="str">
        <x:f>IF('당기원장'!A456="","",'당기원장'!C456)</x:f>
      </x:c>
      <x:c r="E1456" s="73" t="str">
        <x:f>IF('당기원장'!A456="","",'당기원장'!D456)</x:f>
      </x:c>
      <x:c r="F1456" s="73" t="str">
        <x:f>IF('당기원장'!A456="","",'당기원장'!E456)</x:f>
      </x:c>
      <x:c r="G1456" s="75" t="str">
        <x:f>IF('당기원장'!A456="","",'당기원장'!H456)</x:f>
      </x:c>
      <x:c r="H1456" s="73" t="str">
        <x:f>IF('당기원장'!A456="","",'당기원장'!I456)</x:f>
      </x:c>
      <x:c r="I1456" s="73" t="str">
        <x:f>IF('당기원장'!A456="","",'당기원장'!J456)</x:f>
      </x:c>
      <x:c r="J1456" s="73" t="str">
        <x:f>IF('당기원장'!A456="","",'당기원장'!K456)</x:f>
      </x:c>
      <x:c r="K1456" s="73" t="str">
        <x:f>IF(B1456="","",IF(COUNTIF($B$5:B1456,B1456)=1,COUNT($K$4:K1455)+1,""))</x:f>
      </x:c>
      <x:c r="L1456" s="85" t="str">
        <x:f>IF(B1456="","",IF(COUNTIFS('계정비교'!$A$5:$A$1004,B1456,'계정비교'!$H$5:$H$1004,"원인분석 대상")&gt;0,COUNT($L$4:L1455)+1,""))</x:f>
      </x:c>
    </x:row>
    <x:row r="1457">
      <x:c r="A1457" s="73" t="str">
        <x:f>IF('당기원장'!A457="","","당기")</x:f>
      </x:c>
      <x:c r="B1457" s="73" t="str">
        <x:f>IF('당기원장'!A457="","",'당기원장'!A457)</x:f>
      </x:c>
      <x:c r="C1457" s="73" t="str">
        <x:f>IF('당기원장'!A457="","",'당기원장'!B457)</x:f>
      </x:c>
      <x:c r="D1457" s="74" t="str">
        <x:f>IF('당기원장'!A457="","",'당기원장'!C457)</x:f>
      </x:c>
      <x:c r="E1457" s="73" t="str">
        <x:f>IF('당기원장'!A457="","",'당기원장'!D457)</x:f>
      </x:c>
      <x:c r="F1457" s="73" t="str">
        <x:f>IF('당기원장'!A457="","",'당기원장'!E457)</x:f>
      </x:c>
      <x:c r="G1457" s="75" t="str">
        <x:f>IF('당기원장'!A457="","",'당기원장'!H457)</x:f>
      </x:c>
      <x:c r="H1457" s="73" t="str">
        <x:f>IF('당기원장'!A457="","",'당기원장'!I457)</x:f>
      </x:c>
      <x:c r="I1457" s="73" t="str">
        <x:f>IF('당기원장'!A457="","",'당기원장'!J457)</x:f>
      </x:c>
      <x:c r="J1457" s="73" t="str">
        <x:f>IF('당기원장'!A457="","",'당기원장'!K457)</x:f>
      </x:c>
      <x:c r="K1457" s="73" t="str">
        <x:f>IF(B1457="","",IF(COUNTIF($B$5:B1457,B1457)=1,COUNT($K$4:K1456)+1,""))</x:f>
      </x:c>
      <x:c r="L1457" s="85" t="str">
        <x:f>IF(B1457="","",IF(COUNTIFS('계정비교'!$A$5:$A$1004,B1457,'계정비교'!$H$5:$H$1004,"원인분석 대상")&gt;0,COUNT($L$4:L1456)+1,""))</x:f>
      </x:c>
    </x:row>
    <x:row r="1458">
      <x:c r="A1458" s="73" t="str">
        <x:f>IF('당기원장'!A458="","","당기")</x:f>
      </x:c>
      <x:c r="B1458" s="73" t="str">
        <x:f>IF('당기원장'!A458="","",'당기원장'!A458)</x:f>
      </x:c>
      <x:c r="C1458" s="73" t="str">
        <x:f>IF('당기원장'!A458="","",'당기원장'!B458)</x:f>
      </x:c>
      <x:c r="D1458" s="74" t="str">
        <x:f>IF('당기원장'!A458="","",'당기원장'!C458)</x:f>
      </x:c>
      <x:c r="E1458" s="73" t="str">
        <x:f>IF('당기원장'!A458="","",'당기원장'!D458)</x:f>
      </x:c>
      <x:c r="F1458" s="73" t="str">
        <x:f>IF('당기원장'!A458="","",'당기원장'!E458)</x:f>
      </x:c>
      <x:c r="G1458" s="75" t="str">
        <x:f>IF('당기원장'!A458="","",'당기원장'!H458)</x:f>
      </x:c>
      <x:c r="H1458" s="73" t="str">
        <x:f>IF('당기원장'!A458="","",'당기원장'!I458)</x:f>
      </x:c>
      <x:c r="I1458" s="73" t="str">
        <x:f>IF('당기원장'!A458="","",'당기원장'!J458)</x:f>
      </x:c>
      <x:c r="J1458" s="73" t="str">
        <x:f>IF('당기원장'!A458="","",'당기원장'!K458)</x:f>
      </x:c>
      <x:c r="K1458" s="73" t="str">
        <x:f>IF(B1458="","",IF(COUNTIF($B$5:B1458,B1458)=1,COUNT($K$4:K1457)+1,""))</x:f>
      </x:c>
      <x:c r="L1458" s="85" t="str">
        <x:f>IF(B1458="","",IF(COUNTIFS('계정비교'!$A$5:$A$1004,B1458,'계정비교'!$H$5:$H$1004,"원인분석 대상")&gt;0,COUNT($L$4:L1457)+1,""))</x:f>
      </x:c>
    </x:row>
    <x:row r="1459">
      <x:c r="A1459" s="73" t="str">
        <x:f>IF('당기원장'!A459="","","당기")</x:f>
      </x:c>
      <x:c r="B1459" s="73" t="str">
        <x:f>IF('당기원장'!A459="","",'당기원장'!A459)</x:f>
      </x:c>
      <x:c r="C1459" s="73" t="str">
        <x:f>IF('당기원장'!A459="","",'당기원장'!B459)</x:f>
      </x:c>
      <x:c r="D1459" s="74" t="str">
        <x:f>IF('당기원장'!A459="","",'당기원장'!C459)</x:f>
      </x:c>
      <x:c r="E1459" s="73" t="str">
        <x:f>IF('당기원장'!A459="","",'당기원장'!D459)</x:f>
      </x:c>
      <x:c r="F1459" s="73" t="str">
        <x:f>IF('당기원장'!A459="","",'당기원장'!E459)</x:f>
      </x:c>
      <x:c r="G1459" s="75" t="str">
        <x:f>IF('당기원장'!A459="","",'당기원장'!H459)</x:f>
      </x:c>
      <x:c r="H1459" s="73" t="str">
        <x:f>IF('당기원장'!A459="","",'당기원장'!I459)</x:f>
      </x:c>
      <x:c r="I1459" s="73" t="str">
        <x:f>IF('당기원장'!A459="","",'당기원장'!J459)</x:f>
      </x:c>
      <x:c r="J1459" s="73" t="str">
        <x:f>IF('당기원장'!A459="","",'당기원장'!K459)</x:f>
      </x:c>
      <x:c r="K1459" s="73" t="str">
        <x:f>IF(B1459="","",IF(COUNTIF($B$5:B1459,B1459)=1,COUNT($K$4:K1458)+1,""))</x:f>
      </x:c>
      <x:c r="L1459" s="85" t="str">
        <x:f>IF(B1459="","",IF(COUNTIFS('계정비교'!$A$5:$A$1004,B1459,'계정비교'!$H$5:$H$1004,"원인분석 대상")&gt;0,COUNT($L$4:L1458)+1,""))</x:f>
      </x:c>
    </x:row>
    <x:row r="1460">
      <x:c r="A1460" s="73" t="str">
        <x:f>IF('당기원장'!A460="","","당기")</x:f>
      </x:c>
      <x:c r="B1460" s="73" t="str">
        <x:f>IF('당기원장'!A460="","",'당기원장'!A460)</x:f>
      </x:c>
      <x:c r="C1460" s="73" t="str">
        <x:f>IF('당기원장'!A460="","",'당기원장'!B460)</x:f>
      </x:c>
      <x:c r="D1460" s="74" t="str">
        <x:f>IF('당기원장'!A460="","",'당기원장'!C460)</x:f>
      </x:c>
      <x:c r="E1460" s="73" t="str">
        <x:f>IF('당기원장'!A460="","",'당기원장'!D460)</x:f>
      </x:c>
      <x:c r="F1460" s="73" t="str">
        <x:f>IF('당기원장'!A460="","",'당기원장'!E460)</x:f>
      </x:c>
      <x:c r="G1460" s="75" t="str">
        <x:f>IF('당기원장'!A460="","",'당기원장'!H460)</x:f>
      </x:c>
      <x:c r="H1460" s="73" t="str">
        <x:f>IF('당기원장'!A460="","",'당기원장'!I460)</x:f>
      </x:c>
      <x:c r="I1460" s="73" t="str">
        <x:f>IF('당기원장'!A460="","",'당기원장'!J460)</x:f>
      </x:c>
      <x:c r="J1460" s="73" t="str">
        <x:f>IF('당기원장'!A460="","",'당기원장'!K460)</x:f>
      </x:c>
      <x:c r="K1460" s="73" t="str">
        <x:f>IF(B1460="","",IF(COUNTIF($B$5:B1460,B1460)=1,COUNT($K$4:K1459)+1,""))</x:f>
      </x:c>
      <x:c r="L1460" s="85" t="str">
        <x:f>IF(B1460="","",IF(COUNTIFS('계정비교'!$A$5:$A$1004,B1460,'계정비교'!$H$5:$H$1004,"원인분석 대상")&gt;0,COUNT($L$4:L1459)+1,""))</x:f>
      </x:c>
    </x:row>
    <x:row r="1461">
      <x:c r="A1461" s="73" t="str">
        <x:f>IF('당기원장'!A461="","","당기")</x:f>
      </x:c>
      <x:c r="B1461" s="73" t="str">
        <x:f>IF('당기원장'!A461="","",'당기원장'!A461)</x:f>
      </x:c>
      <x:c r="C1461" s="73" t="str">
        <x:f>IF('당기원장'!A461="","",'당기원장'!B461)</x:f>
      </x:c>
      <x:c r="D1461" s="74" t="str">
        <x:f>IF('당기원장'!A461="","",'당기원장'!C461)</x:f>
      </x:c>
      <x:c r="E1461" s="73" t="str">
        <x:f>IF('당기원장'!A461="","",'당기원장'!D461)</x:f>
      </x:c>
      <x:c r="F1461" s="73" t="str">
        <x:f>IF('당기원장'!A461="","",'당기원장'!E461)</x:f>
      </x:c>
      <x:c r="G1461" s="75" t="str">
        <x:f>IF('당기원장'!A461="","",'당기원장'!H461)</x:f>
      </x:c>
      <x:c r="H1461" s="73" t="str">
        <x:f>IF('당기원장'!A461="","",'당기원장'!I461)</x:f>
      </x:c>
      <x:c r="I1461" s="73" t="str">
        <x:f>IF('당기원장'!A461="","",'당기원장'!J461)</x:f>
      </x:c>
      <x:c r="J1461" s="73" t="str">
        <x:f>IF('당기원장'!A461="","",'당기원장'!K461)</x:f>
      </x:c>
      <x:c r="K1461" s="73" t="str">
        <x:f>IF(B1461="","",IF(COUNTIF($B$5:B1461,B1461)=1,COUNT($K$4:K1460)+1,""))</x:f>
      </x:c>
      <x:c r="L1461" s="85" t="str">
        <x:f>IF(B1461="","",IF(COUNTIFS('계정비교'!$A$5:$A$1004,B1461,'계정비교'!$H$5:$H$1004,"원인분석 대상")&gt;0,COUNT($L$4:L1460)+1,""))</x:f>
      </x:c>
    </x:row>
    <x:row r="1462">
      <x:c r="A1462" s="73" t="str">
        <x:f>IF('당기원장'!A462="","","당기")</x:f>
      </x:c>
      <x:c r="B1462" s="73" t="str">
        <x:f>IF('당기원장'!A462="","",'당기원장'!A462)</x:f>
      </x:c>
      <x:c r="C1462" s="73" t="str">
        <x:f>IF('당기원장'!A462="","",'당기원장'!B462)</x:f>
      </x:c>
      <x:c r="D1462" s="74" t="str">
        <x:f>IF('당기원장'!A462="","",'당기원장'!C462)</x:f>
      </x:c>
      <x:c r="E1462" s="73" t="str">
        <x:f>IF('당기원장'!A462="","",'당기원장'!D462)</x:f>
      </x:c>
      <x:c r="F1462" s="73" t="str">
        <x:f>IF('당기원장'!A462="","",'당기원장'!E462)</x:f>
      </x:c>
      <x:c r="G1462" s="75" t="str">
        <x:f>IF('당기원장'!A462="","",'당기원장'!H462)</x:f>
      </x:c>
      <x:c r="H1462" s="73" t="str">
        <x:f>IF('당기원장'!A462="","",'당기원장'!I462)</x:f>
      </x:c>
      <x:c r="I1462" s="73" t="str">
        <x:f>IF('당기원장'!A462="","",'당기원장'!J462)</x:f>
      </x:c>
      <x:c r="J1462" s="73" t="str">
        <x:f>IF('당기원장'!A462="","",'당기원장'!K462)</x:f>
      </x:c>
      <x:c r="K1462" s="73" t="str">
        <x:f>IF(B1462="","",IF(COUNTIF($B$5:B1462,B1462)=1,COUNT($K$4:K1461)+1,""))</x:f>
      </x:c>
      <x:c r="L1462" s="85" t="str">
        <x:f>IF(B1462="","",IF(COUNTIFS('계정비교'!$A$5:$A$1004,B1462,'계정비교'!$H$5:$H$1004,"원인분석 대상")&gt;0,COUNT($L$4:L1461)+1,""))</x:f>
      </x:c>
    </x:row>
    <x:row r="1463">
      <x:c r="A1463" s="73" t="str">
        <x:f>IF('당기원장'!A463="","","당기")</x:f>
      </x:c>
      <x:c r="B1463" s="73" t="str">
        <x:f>IF('당기원장'!A463="","",'당기원장'!A463)</x:f>
      </x:c>
      <x:c r="C1463" s="73" t="str">
        <x:f>IF('당기원장'!A463="","",'당기원장'!B463)</x:f>
      </x:c>
      <x:c r="D1463" s="74" t="str">
        <x:f>IF('당기원장'!A463="","",'당기원장'!C463)</x:f>
      </x:c>
      <x:c r="E1463" s="73" t="str">
        <x:f>IF('당기원장'!A463="","",'당기원장'!D463)</x:f>
      </x:c>
      <x:c r="F1463" s="73" t="str">
        <x:f>IF('당기원장'!A463="","",'당기원장'!E463)</x:f>
      </x:c>
      <x:c r="G1463" s="75" t="str">
        <x:f>IF('당기원장'!A463="","",'당기원장'!H463)</x:f>
      </x:c>
      <x:c r="H1463" s="73" t="str">
        <x:f>IF('당기원장'!A463="","",'당기원장'!I463)</x:f>
      </x:c>
      <x:c r="I1463" s="73" t="str">
        <x:f>IF('당기원장'!A463="","",'당기원장'!J463)</x:f>
      </x:c>
      <x:c r="J1463" s="73" t="str">
        <x:f>IF('당기원장'!A463="","",'당기원장'!K463)</x:f>
      </x:c>
      <x:c r="K1463" s="73" t="str">
        <x:f>IF(B1463="","",IF(COUNTIF($B$5:B1463,B1463)=1,COUNT($K$4:K1462)+1,""))</x:f>
      </x:c>
      <x:c r="L1463" s="85" t="str">
        <x:f>IF(B1463="","",IF(COUNTIFS('계정비교'!$A$5:$A$1004,B1463,'계정비교'!$H$5:$H$1004,"원인분석 대상")&gt;0,COUNT($L$4:L1462)+1,""))</x:f>
      </x:c>
    </x:row>
    <x:row r="1464">
      <x:c r="A1464" s="73" t="str">
        <x:f>IF('당기원장'!A464="","","당기")</x:f>
      </x:c>
      <x:c r="B1464" s="73" t="str">
        <x:f>IF('당기원장'!A464="","",'당기원장'!A464)</x:f>
      </x:c>
      <x:c r="C1464" s="73" t="str">
        <x:f>IF('당기원장'!A464="","",'당기원장'!B464)</x:f>
      </x:c>
      <x:c r="D1464" s="74" t="str">
        <x:f>IF('당기원장'!A464="","",'당기원장'!C464)</x:f>
      </x:c>
      <x:c r="E1464" s="73" t="str">
        <x:f>IF('당기원장'!A464="","",'당기원장'!D464)</x:f>
      </x:c>
      <x:c r="F1464" s="73" t="str">
        <x:f>IF('당기원장'!A464="","",'당기원장'!E464)</x:f>
      </x:c>
      <x:c r="G1464" s="75" t="str">
        <x:f>IF('당기원장'!A464="","",'당기원장'!H464)</x:f>
      </x:c>
      <x:c r="H1464" s="73" t="str">
        <x:f>IF('당기원장'!A464="","",'당기원장'!I464)</x:f>
      </x:c>
      <x:c r="I1464" s="73" t="str">
        <x:f>IF('당기원장'!A464="","",'당기원장'!J464)</x:f>
      </x:c>
      <x:c r="J1464" s="73" t="str">
        <x:f>IF('당기원장'!A464="","",'당기원장'!K464)</x:f>
      </x:c>
      <x:c r="K1464" s="73" t="str">
        <x:f>IF(B1464="","",IF(COUNTIF($B$5:B1464,B1464)=1,COUNT($K$4:K1463)+1,""))</x:f>
      </x:c>
      <x:c r="L1464" s="85" t="str">
        <x:f>IF(B1464="","",IF(COUNTIFS('계정비교'!$A$5:$A$1004,B1464,'계정비교'!$H$5:$H$1004,"원인분석 대상")&gt;0,COUNT($L$4:L1463)+1,""))</x:f>
      </x:c>
    </x:row>
    <x:row r="1465">
      <x:c r="A1465" s="73" t="str">
        <x:f>IF('당기원장'!A465="","","당기")</x:f>
      </x:c>
      <x:c r="B1465" s="73" t="str">
        <x:f>IF('당기원장'!A465="","",'당기원장'!A465)</x:f>
      </x:c>
      <x:c r="C1465" s="73" t="str">
        <x:f>IF('당기원장'!A465="","",'당기원장'!B465)</x:f>
      </x:c>
      <x:c r="D1465" s="74" t="str">
        <x:f>IF('당기원장'!A465="","",'당기원장'!C465)</x:f>
      </x:c>
      <x:c r="E1465" s="73" t="str">
        <x:f>IF('당기원장'!A465="","",'당기원장'!D465)</x:f>
      </x:c>
      <x:c r="F1465" s="73" t="str">
        <x:f>IF('당기원장'!A465="","",'당기원장'!E465)</x:f>
      </x:c>
      <x:c r="G1465" s="75" t="str">
        <x:f>IF('당기원장'!A465="","",'당기원장'!H465)</x:f>
      </x:c>
      <x:c r="H1465" s="73" t="str">
        <x:f>IF('당기원장'!A465="","",'당기원장'!I465)</x:f>
      </x:c>
      <x:c r="I1465" s="73" t="str">
        <x:f>IF('당기원장'!A465="","",'당기원장'!J465)</x:f>
      </x:c>
      <x:c r="J1465" s="73" t="str">
        <x:f>IF('당기원장'!A465="","",'당기원장'!K465)</x:f>
      </x:c>
      <x:c r="K1465" s="73" t="str">
        <x:f>IF(B1465="","",IF(COUNTIF($B$5:B1465,B1465)=1,COUNT($K$4:K1464)+1,""))</x:f>
      </x:c>
      <x:c r="L1465" s="85" t="str">
        <x:f>IF(B1465="","",IF(COUNTIFS('계정비교'!$A$5:$A$1004,B1465,'계정비교'!$H$5:$H$1004,"원인분석 대상")&gt;0,COUNT($L$4:L1464)+1,""))</x:f>
      </x:c>
    </x:row>
    <x:row r="1466">
      <x:c r="A1466" s="73" t="str">
        <x:f>IF('당기원장'!A466="","","당기")</x:f>
      </x:c>
      <x:c r="B1466" s="73" t="str">
        <x:f>IF('당기원장'!A466="","",'당기원장'!A466)</x:f>
      </x:c>
      <x:c r="C1466" s="73" t="str">
        <x:f>IF('당기원장'!A466="","",'당기원장'!B466)</x:f>
      </x:c>
      <x:c r="D1466" s="74" t="str">
        <x:f>IF('당기원장'!A466="","",'당기원장'!C466)</x:f>
      </x:c>
      <x:c r="E1466" s="73" t="str">
        <x:f>IF('당기원장'!A466="","",'당기원장'!D466)</x:f>
      </x:c>
      <x:c r="F1466" s="73" t="str">
        <x:f>IF('당기원장'!A466="","",'당기원장'!E466)</x:f>
      </x:c>
      <x:c r="G1466" s="75" t="str">
        <x:f>IF('당기원장'!A466="","",'당기원장'!H466)</x:f>
      </x:c>
      <x:c r="H1466" s="73" t="str">
        <x:f>IF('당기원장'!A466="","",'당기원장'!I466)</x:f>
      </x:c>
      <x:c r="I1466" s="73" t="str">
        <x:f>IF('당기원장'!A466="","",'당기원장'!J466)</x:f>
      </x:c>
      <x:c r="J1466" s="73" t="str">
        <x:f>IF('당기원장'!A466="","",'당기원장'!K466)</x:f>
      </x:c>
      <x:c r="K1466" s="73" t="str">
        <x:f>IF(B1466="","",IF(COUNTIF($B$5:B1466,B1466)=1,COUNT($K$4:K1465)+1,""))</x:f>
      </x:c>
      <x:c r="L1466" s="85" t="str">
        <x:f>IF(B1466="","",IF(COUNTIFS('계정비교'!$A$5:$A$1004,B1466,'계정비교'!$H$5:$H$1004,"원인분석 대상")&gt;0,COUNT($L$4:L1465)+1,""))</x:f>
      </x:c>
    </x:row>
    <x:row r="1467">
      <x:c r="A1467" s="73" t="str">
        <x:f>IF('당기원장'!A467="","","당기")</x:f>
      </x:c>
      <x:c r="B1467" s="73" t="str">
        <x:f>IF('당기원장'!A467="","",'당기원장'!A467)</x:f>
      </x:c>
      <x:c r="C1467" s="73" t="str">
        <x:f>IF('당기원장'!A467="","",'당기원장'!B467)</x:f>
      </x:c>
      <x:c r="D1467" s="74" t="str">
        <x:f>IF('당기원장'!A467="","",'당기원장'!C467)</x:f>
      </x:c>
      <x:c r="E1467" s="73" t="str">
        <x:f>IF('당기원장'!A467="","",'당기원장'!D467)</x:f>
      </x:c>
      <x:c r="F1467" s="73" t="str">
        <x:f>IF('당기원장'!A467="","",'당기원장'!E467)</x:f>
      </x:c>
      <x:c r="G1467" s="75" t="str">
        <x:f>IF('당기원장'!A467="","",'당기원장'!H467)</x:f>
      </x:c>
      <x:c r="H1467" s="73" t="str">
        <x:f>IF('당기원장'!A467="","",'당기원장'!I467)</x:f>
      </x:c>
      <x:c r="I1467" s="73" t="str">
        <x:f>IF('당기원장'!A467="","",'당기원장'!J467)</x:f>
      </x:c>
      <x:c r="J1467" s="73" t="str">
        <x:f>IF('당기원장'!A467="","",'당기원장'!K467)</x:f>
      </x:c>
      <x:c r="K1467" s="73" t="str">
        <x:f>IF(B1467="","",IF(COUNTIF($B$5:B1467,B1467)=1,COUNT($K$4:K1466)+1,""))</x:f>
      </x:c>
      <x:c r="L1467" s="85" t="str">
        <x:f>IF(B1467="","",IF(COUNTIFS('계정비교'!$A$5:$A$1004,B1467,'계정비교'!$H$5:$H$1004,"원인분석 대상")&gt;0,COUNT($L$4:L1466)+1,""))</x:f>
      </x:c>
    </x:row>
    <x:row r="1468">
      <x:c r="A1468" s="73" t="str">
        <x:f>IF('당기원장'!A468="","","당기")</x:f>
      </x:c>
      <x:c r="B1468" s="73" t="str">
        <x:f>IF('당기원장'!A468="","",'당기원장'!A468)</x:f>
      </x:c>
      <x:c r="C1468" s="73" t="str">
        <x:f>IF('당기원장'!A468="","",'당기원장'!B468)</x:f>
      </x:c>
      <x:c r="D1468" s="74" t="str">
        <x:f>IF('당기원장'!A468="","",'당기원장'!C468)</x:f>
      </x:c>
      <x:c r="E1468" s="73" t="str">
        <x:f>IF('당기원장'!A468="","",'당기원장'!D468)</x:f>
      </x:c>
      <x:c r="F1468" s="73" t="str">
        <x:f>IF('당기원장'!A468="","",'당기원장'!E468)</x:f>
      </x:c>
      <x:c r="G1468" s="75" t="str">
        <x:f>IF('당기원장'!A468="","",'당기원장'!H468)</x:f>
      </x:c>
      <x:c r="H1468" s="73" t="str">
        <x:f>IF('당기원장'!A468="","",'당기원장'!I468)</x:f>
      </x:c>
      <x:c r="I1468" s="73" t="str">
        <x:f>IF('당기원장'!A468="","",'당기원장'!J468)</x:f>
      </x:c>
      <x:c r="J1468" s="73" t="str">
        <x:f>IF('당기원장'!A468="","",'당기원장'!K468)</x:f>
      </x:c>
      <x:c r="K1468" s="73" t="str">
        <x:f>IF(B1468="","",IF(COUNTIF($B$5:B1468,B1468)=1,COUNT($K$4:K1467)+1,""))</x:f>
      </x:c>
      <x:c r="L1468" s="85" t="str">
        <x:f>IF(B1468="","",IF(COUNTIFS('계정비교'!$A$5:$A$1004,B1468,'계정비교'!$H$5:$H$1004,"원인분석 대상")&gt;0,COUNT($L$4:L1467)+1,""))</x:f>
      </x:c>
    </x:row>
    <x:row r="1469">
      <x:c r="A1469" s="73" t="str">
        <x:f>IF('당기원장'!A469="","","당기")</x:f>
      </x:c>
      <x:c r="B1469" s="73" t="str">
        <x:f>IF('당기원장'!A469="","",'당기원장'!A469)</x:f>
      </x:c>
      <x:c r="C1469" s="73" t="str">
        <x:f>IF('당기원장'!A469="","",'당기원장'!B469)</x:f>
      </x:c>
      <x:c r="D1469" s="74" t="str">
        <x:f>IF('당기원장'!A469="","",'당기원장'!C469)</x:f>
      </x:c>
      <x:c r="E1469" s="73" t="str">
        <x:f>IF('당기원장'!A469="","",'당기원장'!D469)</x:f>
      </x:c>
      <x:c r="F1469" s="73" t="str">
        <x:f>IF('당기원장'!A469="","",'당기원장'!E469)</x:f>
      </x:c>
      <x:c r="G1469" s="75" t="str">
        <x:f>IF('당기원장'!A469="","",'당기원장'!H469)</x:f>
      </x:c>
      <x:c r="H1469" s="73" t="str">
        <x:f>IF('당기원장'!A469="","",'당기원장'!I469)</x:f>
      </x:c>
      <x:c r="I1469" s="73" t="str">
        <x:f>IF('당기원장'!A469="","",'당기원장'!J469)</x:f>
      </x:c>
      <x:c r="J1469" s="73" t="str">
        <x:f>IF('당기원장'!A469="","",'당기원장'!K469)</x:f>
      </x:c>
      <x:c r="K1469" s="73" t="str">
        <x:f>IF(B1469="","",IF(COUNTIF($B$5:B1469,B1469)=1,COUNT($K$4:K1468)+1,""))</x:f>
      </x:c>
      <x:c r="L1469" s="85" t="str">
        <x:f>IF(B1469="","",IF(COUNTIFS('계정비교'!$A$5:$A$1004,B1469,'계정비교'!$H$5:$H$1004,"원인분석 대상")&gt;0,COUNT($L$4:L1468)+1,""))</x:f>
      </x:c>
    </x:row>
    <x:row r="1470">
      <x:c r="A1470" s="73" t="str">
        <x:f>IF('당기원장'!A470="","","당기")</x:f>
      </x:c>
      <x:c r="B1470" s="73" t="str">
        <x:f>IF('당기원장'!A470="","",'당기원장'!A470)</x:f>
      </x:c>
      <x:c r="C1470" s="73" t="str">
        <x:f>IF('당기원장'!A470="","",'당기원장'!B470)</x:f>
      </x:c>
      <x:c r="D1470" s="74" t="str">
        <x:f>IF('당기원장'!A470="","",'당기원장'!C470)</x:f>
      </x:c>
      <x:c r="E1470" s="73" t="str">
        <x:f>IF('당기원장'!A470="","",'당기원장'!D470)</x:f>
      </x:c>
      <x:c r="F1470" s="73" t="str">
        <x:f>IF('당기원장'!A470="","",'당기원장'!E470)</x:f>
      </x:c>
      <x:c r="G1470" s="75" t="str">
        <x:f>IF('당기원장'!A470="","",'당기원장'!H470)</x:f>
      </x:c>
      <x:c r="H1470" s="73" t="str">
        <x:f>IF('당기원장'!A470="","",'당기원장'!I470)</x:f>
      </x:c>
      <x:c r="I1470" s="73" t="str">
        <x:f>IF('당기원장'!A470="","",'당기원장'!J470)</x:f>
      </x:c>
      <x:c r="J1470" s="73" t="str">
        <x:f>IF('당기원장'!A470="","",'당기원장'!K470)</x:f>
      </x:c>
      <x:c r="K1470" s="73" t="str">
        <x:f>IF(B1470="","",IF(COUNTIF($B$5:B1470,B1470)=1,COUNT($K$4:K1469)+1,""))</x:f>
      </x:c>
      <x:c r="L1470" s="85" t="str">
        <x:f>IF(B1470="","",IF(COUNTIFS('계정비교'!$A$5:$A$1004,B1470,'계정비교'!$H$5:$H$1004,"원인분석 대상")&gt;0,COUNT($L$4:L1469)+1,""))</x:f>
      </x:c>
    </x:row>
    <x:row r="1471">
      <x:c r="A1471" s="73" t="str">
        <x:f>IF('당기원장'!A471="","","당기")</x:f>
      </x:c>
      <x:c r="B1471" s="73" t="str">
        <x:f>IF('당기원장'!A471="","",'당기원장'!A471)</x:f>
      </x:c>
      <x:c r="C1471" s="73" t="str">
        <x:f>IF('당기원장'!A471="","",'당기원장'!B471)</x:f>
      </x:c>
      <x:c r="D1471" s="74" t="str">
        <x:f>IF('당기원장'!A471="","",'당기원장'!C471)</x:f>
      </x:c>
      <x:c r="E1471" s="73" t="str">
        <x:f>IF('당기원장'!A471="","",'당기원장'!D471)</x:f>
      </x:c>
      <x:c r="F1471" s="73" t="str">
        <x:f>IF('당기원장'!A471="","",'당기원장'!E471)</x:f>
      </x:c>
      <x:c r="G1471" s="75" t="str">
        <x:f>IF('당기원장'!A471="","",'당기원장'!H471)</x:f>
      </x:c>
      <x:c r="H1471" s="73" t="str">
        <x:f>IF('당기원장'!A471="","",'당기원장'!I471)</x:f>
      </x:c>
      <x:c r="I1471" s="73" t="str">
        <x:f>IF('당기원장'!A471="","",'당기원장'!J471)</x:f>
      </x:c>
      <x:c r="J1471" s="73" t="str">
        <x:f>IF('당기원장'!A471="","",'당기원장'!K471)</x:f>
      </x:c>
      <x:c r="K1471" s="73" t="str">
        <x:f>IF(B1471="","",IF(COUNTIF($B$5:B1471,B1471)=1,COUNT($K$4:K1470)+1,""))</x:f>
      </x:c>
      <x:c r="L1471" s="85" t="str">
        <x:f>IF(B1471="","",IF(COUNTIFS('계정비교'!$A$5:$A$1004,B1471,'계정비교'!$H$5:$H$1004,"원인분석 대상")&gt;0,COUNT($L$4:L1470)+1,""))</x:f>
      </x:c>
    </x:row>
    <x:row r="1472">
      <x:c r="A1472" s="73" t="str">
        <x:f>IF('당기원장'!A472="","","당기")</x:f>
      </x:c>
      <x:c r="B1472" s="73" t="str">
        <x:f>IF('당기원장'!A472="","",'당기원장'!A472)</x:f>
      </x:c>
      <x:c r="C1472" s="73" t="str">
        <x:f>IF('당기원장'!A472="","",'당기원장'!B472)</x:f>
      </x:c>
      <x:c r="D1472" s="74" t="str">
        <x:f>IF('당기원장'!A472="","",'당기원장'!C472)</x:f>
      </x:c>
      <x:c r="E1472" s="73" t="str">
        <x:f>IF('당기원장'!A472="","",'당기원장'!D472)</x:f>
      </x:c>
      <x:c r="F1472" s="73" t="str">
        <x:f>IF('당기원장'!A472="","",'당기원장'!E472)</x:f>
      </x:c>
      <x:c r="G1472" s="75" t="str">
        <x:f>IF('당기원장'!A472="","",'당기원장'!H472)</x:f>
      </x:c>
      <x:c r="H1472" s="73" t="str">
        <x:f>IF('당기원장'!A472="","",'당기원장'!I472)</x:f>
      </x:c>
      <x:c r="I1472" s="73" t="str">
        <x:f>IF('당기원장'!A472="","",'당기원장'!J472)</x:f>
      </x:c>
      <x:c r="J1472" s="73" t="str">
        <x:f>IF('당기원장'!A472="","",'당기원장'!K472)</x:f>
      </x:c>
      <x:c r="K1472" s="73" t="str">
        <x:f>IF(B1472="","",IF(COUNTIF($B$5:B1472,B1472)=1,COUNT($K$4:K1471)+1,""))</x:f>
      </x:c>
      <x:c r="L1472" s="85" t="str">
        <x:f>IF(B1472="","",IF(COUNTIFS('계정비교'!$A$5:$A$1004,B1472,'계정비교'!$H$5:$H$1004,"원인분석 대상")&gt;0,COUNT($L$4:L1471)+1,""))</x:f>
      </x:c>
    </x:row>
    <x:row r="1473">
      <x:c r="A1473" s="73" t="str">
        <x:f>IF('당기원장'!A473="","","당기")</x:f>
      </x:c>
      <x:c r="B1473" s="73" t="str">
        <x:f>IF('당기원장'!A473="","",'당기원장'!A473)</x:f>
      </x:c>
      <x:c r="C1473" s="73" t="str">
        <x:f>IF('당기원장'!A473="","",'당기원장'!B473)</x:f>
      </x:c>
      <x:c r="D1473" s="74" t="str">
        <x:f>IF('당기원장'!A473="","",'당기원장'!C473)</x:f>
      </x:c>
      <x:c r="E1473" s="73" t="str">
        <x:f>IF('당기원장'!A473="","",'당기원장'!D473)</x:f>
      </x:c>
      <x:c r="F1473" s="73" t="str">
        <x:f>IF('당기원장'!A473="","",'당기원장'!E473)</x:f>
      </x:c>
      <x:c r="G1473" s="75" t="str">
        <x:f>IF('당기원장'!A473="","",'당기원장'!H473)</x:f>
      </x:c>
      <x:c r="H1473" s="73" t="str">
        <x:f>IF('당기원장'!A473="","",'당기원장'!I473)</x:f>
      </x:c>
      <x:c r="I1473" s="73" t="str">
        <x:f>IF('당기원장'!A473="","",'당기원장'!J473)</x:f>
      </x:c>
      <x:c r="J1473" s="73" t="str">
        <x:f>IF('당기원장'!A473="","",'당기원장'!K473)</x:f>
      </x:c>
      <x:c r="K1473" s="73" t="str">
        <x:f>IF(B1473="","",IF(COUNTIF($B$5:B1473,B1473)=1,COUNT($K$4:K1472)+1,""))</x:f>
      </x:c>
      <x:c r="L1473" s="85" t="str">
        <x:f>IF(B1473="","",IF(COUNTIFS('계정비교'!$A$5:$A$1004,B1473,'계정비교'!$H$5:$H$1004,"원인분석 대상")&gt;0,COUNT($L$4:L1472)+1,""))</x:f>
      </x:c>
    </x:row>
    <x:row r="1474">
      <x:c r="A1474" s="73" t="str">
        <x:f>IF('당기원장'!A474="","","당기")</x:f>
      </x:c>
      <x:c r="B1474" s="73" t="str">
        <x:f>IF('당기원장'!A474="","",'당기원장'!A474)</x:f>
      </x:c>
      <x:c r="C1474" s="73" t="str">
        <x:f>IF('당기원장'!A474="","",'당기원장'!B474)</x:f>
      </x:c>
      <x:c r="D1474" s="74" t="str">
        <x:f>IF('당기원장'!A474="","",'당기원장'!C474)</x:f>
      </x:c>
      <x:c r="E1474" s="73" t="str">
        <x:f>IF('당기원장'!A474="","",'당기원장'!D474)</x:f>
      </x:c>
      <x:c r="F1474" s="73" t="str">
        <x:f>IF('당기원장'!A474="","",'당기원장'!E474)</x:f>
      </x:c>
      <x:c r="G1474" s="75" t="str">
        <x:f>IF('당기원장'!A474="","",'당기원장'!H474)</x:f>
      </x:c>
      <x:c r="H1474" s="73" t="str">
        <x:f>IF('당기원장'!A474="","",'당기원장'!I474)</x:f>
      </x:c>
      <x:c r="I1474" s="73" t="str">
        <x:f>IF('당기원장'!A474="","",'당기원장'!J474)</x:f>
      </x:c>
      <x:c r="J1474" s="73" t="str">
        <x:f>IF('당기원장'!A474="","",'당기원장'!K474)</x:f>
      </x:c>
      <x:c r="K1474" s="73" t="str">
        <x:f>IF(B1474="","",IF(COUNTIF($B$5:B1474,B1474)=1,COUNT($K$4:K1473)+1,""))</x:f>
      </x:c>
      <x:c r="L1474" s="85" t="str">
        <x:f>IF(B1474="","",IF(COUNTIFS('계정비교'!$A$5:$A$1004,B1474,'계정비교'!$H$5:$H$1004,"원인분석 대상")&gt;0,COUNT($L$4:L1473)+1,""))</x:f>
      </x:c>
    </x:row>
    <x:row r="1475">
      <x:c r="A1475" s="73" t="str">
        <x:f>IF('당기원장'!A475="","","당기")</x:f>
      </x:c>
      <x:c r="B1475" s="73" t="str">
        <x:f>IF('당기원장'!A475="","",'당기원장'!A475)</x:f>
      </x:c>
      <x:c r="C1475" s="73" t="str">
        <x:f>IF('당기원장'!A475="","",'당기원장'!B475)</x:f>
      </x:c>
      <x:c r="D1475" s="74" t="str">
        <x:f>IF('당기원장'!A475="","",'당기원장'!C475)</x:f>
      </x:c>
      <x:c r="E1475" s="73" t="str">
        <x:f>IF('당기원장'!A475="","",'당기원장'!D475)</x:f>
      </x:c>
      <x:c r="F1475" s="73" t="str">
        <x:f>IF('당기원장'!A475="","",'당기원장'!E475)</x:f>
      </x:c>
      <x:c r="G1475" s="75" t="str">
        <x:f>IF('당기원장'!A475="","",'당기원장'!H475)</x:f>
      </x:c>
      <x:c r="H1475" s="73" t="str">
        <x:f>IF('당기원장'!A475="","",'당기원장'!I475)</x:f>
      </x:c>
      <x:c r="I1475" s="73" t="str">
        <x:f>IF('당기원장'!A475="","",'당기원장'!J475)</x:f>
      </x:c>
      <x:c r="J1475" s="73" t="str">
        <x:f>IF('당기원장'!A475="","",'당기원장'!K475)</x:f>
      </x:c>
      <x:c r="K1475" s="73" t="str">
        <x:f>IF(B1475="","",IF(COUNTIF($B$5:B1475,B1475)=1,COUNT($K$4:K1474)+1,""))</x:f>
      </x:c>
      <x:c r="L1475" s="85" t="str">
        <x:f>IF(B1475="","",IF(COUNTIFS('계정비교'!$A$5:$A$1004,B1475,'계정비교'!$H$5:$H$1004,"원인분석 대상")&gt;0,COUNT($L$4:L1474)+1,""))</x:f>
      </x:c>
    </x:row>
    <x:row r="1476">
      <x:c r="A1476" s="73" t="str">
        <x:f>IF('당기원장'!A476="","","당기")</x:f>
      </x:c>
      <x:c r="B1476" s="73" t="str">
        <x:f>IF('당기원장'!A476="","",'당기원장'!A476)</x:f>
      </x:c>
      <x:c r="C1476" s="73" t="str">
        <x:f>IF('당기원장'!A476="","",'당기원장'!B476)</x:f>
      </x:c>
      <x:c r="D1476" s="74" t="str">
        <x:f>IF('당기원장'!A476="","",'당기원장'!C476)</x:f>
      </x:c>
      <x:c r="E1476" s="73" t="str">
        <x:f>IF('당기원장'!A476="","",'당기원장'!D476)</x:f>
      </x:c>
      <x:c r="F1476" s="73" t="str">
        <x:f>IF('당기원장'!A476="","",'당기원장'!E476)</x:f>
      </x:c>
      <x:c r="G1476" s="75" t="str">
        <x:f>IF('당기원장'!A476="","",'당기원장'!H476)</x:f>
      </x:c>
      <x:c r="H1476" s="73" t="str">
        <x:f>IF('당기원장'!A476="","",'당기원장'!I476)</x:f>
      </x:c>
      <x:c r="I1476" s="73" t="str">
        <x:f>IF('당기원장'!A476="","",'당기원장'!J476)</x:f>
      </x:c>
      <x:c r="J1476" s="73" t="str">
        <x:f>IF('당기원장'!A476="","",'당기원장'!K476)</x:f>
      </x:c>
      <x:c r="K1476" s="73" t="str">
        <x:f>IF(B1476="","",IF(COUNTIF($B$5:B1476,B1476)=1,COUNT($K$4:K1475)+1,""))</x:f>
      </x:c>
      <x:c r="L1476" s="85" t="str">
        <x:f>IF(B1476="","",IF(COUNTIFS('계정비교'!$A$5:$A$1004,B1476,'계정비교'!$H$5:$H$1004,"원인분석 대상")&gt;0,COUNT($L$4:L1475)+1,""))</x:f>
      </x:c>
    </x:row>
    <x:row r="1477">
      <x:c r="A1477" s="73" t="str">
        <x:f>IF('당기원장'!A477="","","당기")</x:f>
      </x:c>
      <x:c r="B1477" s="73" t="str">
        <x:f>IF('당기원장'!A477="","",'당기원장'!A477)</x:f>
      </x:c>
      <x:c r="C1477" s="73" t="str">
        <x:f>IF('당기원장'!A477="","",'당기원장'!B477)</x:f>
      </x:c>
      <x:c r="D1477" s="74" t="str">
        <x:f>IF('당기원장'!A477="","",'당기원장'!C477)</x:f>
      </x:c>
      <x:c r="E1477" s="73" t="str">
        <x:f>IF('당기원장'!A477="","",'당기원장'!D477)</x:f>
      </x:c>
      <x:c r="F1477" s="73" t="str">
        <x:f>IF('당기원장'!A477="","",'당기원장'!E477)</x:f>
      </x:c>
      <x:c r="G1477" s="75" t="str">
        <x:f>IF('당기원장'!A477="","",'당기원장'!H477)</x:f>
      </x:c>
      <x:c r="H1477" s="73" t="str">
        <x:f>IF('당기원장'!A477="","",'당기원장'!I477)</x:f>
      </x:c>
      <x:c r="I1477" s="73" t="str">
        <x:f>IF('당기원장'!A477="","",'당기원장'!J477)</x:f>
      </x:c>
      <x:c r="J1477" s="73" t="str">
        <x:f>IF('당기원장'!A477="","",'당기원장'!K477)</x:f>
      </x:c>
      <x:c r="K1477" s="73" t="str">
        <x:f>IF(B1477="","",IF(COUNTIF($B$5:B1477,B1477)=1,COUNT($K$4:K1476)+1,""))</x:f>
      </x:c>
      <x:c r="L1477" s="85" t="str">
        <x:f>IF(B1477="","",IF(COUNTIFS('계정비교'!$A$5:$A$1004,B1477,'계정비교'!$H$5:$H$1004,"원인분석 대상")&gt;0,COUNT($L$4:L1476)+1,""))</x:f>
      </x:c>
    </x:row>
    <x:row r="1478">
      <x:c r="A1478" s="73" t="str">
        <x:f>IF('당기원장'!A478="","","당기")</x:f>
      </x:c>
      <x:c r="B1478" s="73" t="str">
        <x:f>IF('당기원장'!A478="","",'당기원장'!A478)</x:f>
      </x:c>
      <x:c r="C1478" s="73" t="str">
        <x:f>IF('당기원장'!A478="","",'당기원장'!B478)</x:f>
      </x:c>
      <x:c r="D1478" s="74" t="str">
        <x:f>IF('당기원장'!A478="","",'당기원장'!C478)</x:f>
      </x:c>
      <x:c r="E1478" s="73" t="str">
        <x:f>IF('당기원장'!A478="","",'당기원장'!D478)</x:f>
      </x:c>
      <x:c r="F1478" s="73" t="str">
        <x:f>IF('당기원장'!A478="","",'당기원장'!E478)</x:f>
      </x:c>
      <x:c r="G1478" s="75" t="str">
        <x:f>IF('당기원장'!A478="","",'당기원장'!H478)</x:f>
      </x:c>
      <x:c r="H1478" s="73" t="str">
        <x:f>IF('당기원장'!A478="","",'당기원장'!I478)</x:f>
      </x:c>
      <x:c r="I1478" s="73" t="str">
        <x:f>IF('당기원장'!A478="","",'당기원장'!J478)</x:f>
      </x:c>
      <x:c r="J1478" s="73" t="str">
        <x:f>IF('당기원장'!A478="","",'당기원장'!K478)</x:f>
      </x:c>
      <x:c r="K1478" s="73" t="str">
        <x:f>IF(B1478="","",IF(COUNTIF($B$5:B1478,B1478)=1,COUNT($K$4:K1477)+1,""))</x:f>
      </x:c>
      <x:c r="L1478" s="85" t="str">
        <x:f>IF(B1478="","",IF(COUNTIFS('계정비교'!$A$5:$A$1004,B1478,'계정비교'!$H$5:$H$1004,"원인분석 대상")&gt;0,COUNT($L$4:L1477)+1,""))</x:f>
      </x:c>
    </x:row>
    <x:row r="1479">
      <x:c r="A1479" s="73" t="str">
        <x:f>IF('당기원장'!A479="","","당기")</x:f>
      </x:c>
      <x:c r="B1479" s="73" t="str">
        <x:f>IF('당기원장'!A479="","",'당기원장'!A479)</x:f>
      </x:c>
      <x:c r="C1479" s="73" t="str">
        <x:f>IF('당기원장'!A479="","",'당기원장'!B479)</x:f>
      </x:c>
      <x:c r="D1479" s="74" t="str">
        <x:f>IF('당기원장'!A479="","",'당기원장'!C479)</x:f>
      </x:c>
      <x:c r="E1479" s="73" t="str">
        <x:f>IF('당기원장'!A479="","",'당기원장'!D479)</x:f>
      </x:c>
      <x:c r="F1479" s="73" t="str">
        <x:f>IF('당기원장'!A479="","",'당기원장'!E479)</x:f>
      </x:c>
      <x:c r="G1479" s="75" t="str">
        <x:f>IF('당기원장'!A479="","",'당기원장'!H479)</x:f>
      </x:c>
      <x:c r="H1479" s="73" t="str">
        <x:f>IF('당기원장'!A479="","",'당기원장'!I479)</x:f>
      </x:c>
      <x:c r="I1479" s="73" t="str">
        <x:f>IF('당기원장'!A479="","",'당기원장'!J479)</x:f>
      </x:c>
      <x:c r="J1479" s="73" t="str">
        <x:f>IF('당기원장'!A479="","",'당기원장'!K479)</x:f>
      </x:c>
      <x:c r="K1479" s="73" t="str">
        <x:f>IF(B1479="","",IF(COUNTIF($B$5:B1479,B1479)=1,COUNT($K$4:K1478)+1,""))</x:f>
      </x:c>
      <x:c r="L1479" s="85" t="str">
        <x:f>IF(B1479="","",IF(COUNTIFS('계정비교'!$A$5:$A$1004,B1479,'계정비교'!$H$5:$H$1004,"원인분석 대상")&gt;0,COUNT($L$4:L1478)+1,""))</x:f>
      </x:c>
    </x:row>
    <x:row r="1480">
      <x:c r="A1480" s="73" t="str">
        <x:f>IF('당기원장'!A480="","","당기")</x:f>
      </x:c>
      <x:c r="B1480" s="73" t="str">
        <x:f>IF('당기원장'!A480="","",'당기원장'!A480)</x:f>
      </x:c>
      <x:c r="C1480" s="73" t="str">
        <x:f>IF('당기원장'!A480="","",'당기원장'!B480)</x:f>
      </x:c>
      <x:c r="D1480" s="74" t="str">
        <x:f>IF('당기원장'!A480="","",'당기원장'!C480)</x:f>
      </x:c>
      <x:c r="E1480" s="73" t="str">
        <x:f>IF('당기원장'!A480="","",'당기원장'!D480)</x:f>
      </x:c>
      <x:c r="F1480" s="73" t="str">
        <x:f>IF('당기원장'!A480="","",'당기원장'!E480)</x:f>
      </x:c>
      <x:c r="G1480" s="75" t="str">
        <x:f>IF('당기원장'!A480="","",'당기원장'!H480)</x:f>
      </x:c>
      <x:c r="H1480" s="73" t="str">
        <x:f>IF('당기원장'!A480="","",'당기원장'!I480)</x:f>
      </x:c>
      <x:c r="I1480" s="73" t="str">
        <x:f>IF('당기원장'!A480="","",'당기원장'!J480)</x:f>
      </x:c>
      <x:c r="J1480" s="73" t="str">
        <x:f>IF('당기원장'!A480="","",'당기원장'!K480)</x:f>
      </x:c>
      <x:c r="K1480" s="73" t="str">
        <x:f>IF(B1480="","",IF(COUNTIF($B$5:B1480,B1480)=1,COUNT($K$4:K1479)+1,""))</x:f>
      </x:c>
      <x:c r="L1480" s="85" t="str">
        <x:f>IF(B1480="","",IF(COUNTIFS('계정비교'!$A$5:$A$1004,B1480,'계정비교'!$H$5:$H$1004,"원인분석 대상")&gt;0,COUNT($L$4:L1479)+1,""))</x:f>
      </x:c>
    </x:row>
    <x:row r="1481">
      <x:c r="A1481" s="73" t="str">
        <x:f>IF('당기원장'!A481="","","당기")</x:f>
      </x:c>
      <x:c r="B1481" s="73" t="str">
        <x:f>IF('당기원장'!A481="","",'당기원장'!A481)</x:f>
      </x:c>
      <x:c r="C1481" s="73" t="str">
        <x:f>IF('당기원장'!A481="","",'당기원장'!B481)</x:f>
      </x:c>
      <x:c r="D1481" s="74" t="str">
        <x:f>IF('당기원장'!A481="","",'당기원장'!C481)</x:f>
      </x:c>
      <x:c r="E1481" s="73" t="str">
        <x:f>IF('당기원장'!A481="","",'당기원장'!D481)</x:f>
      </x:c>
      <x:c r="F1481" s="73" t="str">
        <x:f>IF('당기원장'!A481="","",'당기원장'!E481)</x:f>
      </x:c>
      <x:c r="G1481" s="75" t="str">
        <x:f>IF('당기원장'!A481="","",'당기원장'!H481)</x:f>
      </x:c>
      <x:c r="H1481" s="73" t="str">
        <x:f>IF('당기원장'!A481="","",'당기원장'!I481)</x:f>
      </x:c>
      <x:c r="I1481" s="73" t="str">
        <x:f>IF('당기원장'!A481="","",'당기원장'!J481)</x:f>
      </x:c>
      <x:c r="J1481" s="73" t="str">
        <x:f>IF('당기원장'!A481="","",'당기원장'!K481)</x:f>
      </x:c>
      <x:c r="K1481" s="73" t="str">
        <x:f>IF(B1481="","",IF(COUNTIF($B$5:B1481,B1481)=1,COUNT($K$4:K1480)+1,""))</x:f>
      </x:c>
      <x:c r="L1481" s="85" t="str">
        <x:f>IF(B1481="","",IF(COUNTIFS('계정비교'!$A$5:$A$1004,B1481,'계정비교'!$H$5:$H$1004,"원인분석 대상")&gt;0,COUNT($L$4:L1480)+1,""))</x:f>
      </x:c>
    </x:row>
    <x:row r="1482">
      <x:c r="A1482" s="73" t="str">
        <x:f>IF('당기원장'!A482="","","당기")</x:f>
      </x:c>
      <x:c r="B1482" s="73" t="str">
        <x:f>IF('당기원장'!A482="","",'당기원장'!A482)</x:f>
      </x:c>
      <x:c r="C1482" s="73" t="str">
        <x:f>IF('당기원장'!A482="","",'당기원장'!B482)</x:f>
      </x:c>
      <x:c r="D1482" s="74" t="str">
        <x:f>IF('당기원장'!A482="","",'당기원장'!C482)</x:f>
      </x:c>
      <x:c r="E1482" s="73" t="str">
        <x:f>IF('당기원장'!A482="","",'당기원장'!D482)</x:f>
      </x:c>
      <x:c r="F1482" s="73" t="str">
        <x:f>IF('당기원장'!A482="","",'당기원장'!E482)</x:f>
      </x:c>
      <x:c r="G1482" s="75" t="str">
        <x:f>IF('당기원장'!A482="","",'당기원장'!H482)</x:f>
      </x:c>
      <x:c r="H1482" s="73" t="str">
        <x:f>IF('당기원장'!A482="","",'당기원장'!I482)</x:f>
      </x:c>
      <x:c r="I1482" s="73" t="str">
        <x:f>IF('당기원장'!A482="","",'당기원장'!J482)</x:f>
      </x:c>
      <x:c r="J1482" s="73" t="str">
        <x:f>IF('당기원장'!A482="","",'당기원장'!K482)</x:f>
      </x:c>
      <x:c r="K1482" s="73" t="str">
        <x:f>IF(B1482="","",IF(COUNTIF($B$5:B1482,B1482)=1,COUNT($K$4:K1481)+1,""))</x:f>
      </x:c>
      <x:c r="L1482" s="85" t="str">
        <x:f>IF(B1482="","",IF(COUNTIFS('계정비교'!$A$5:$A$1004,B1482,'계정비교'!$H$5:$H$1004,"원인분석 대상")&gt;0,COUNT($L$4:L1481)+1,""))</x:f>
      </x:c>
    </x:row>
    <x:row r="1483">
      <x:c r="A1483" s="73" t="str">
        <x:f>IF('당기원장'!A483="","","당기")</x:f>
      </x:c>
      <x:c r="B1483" s="73" t="str">
        <x:f>IF('당기원장'!A483="","",'당기원장'!A483)</x:f>
      </x:c>
      <x:c r="C1483" s="73" t="str">
        <x:f>IF('당기원장'!A483="","",'당기원장'!B483)</x:f>
      </x:c>
      <x:c r="D1483" s="74" t="str">
        <x:f>IF('당기원장'!A483="","",'당기원장'!C483)</x:f>
      </x:c>
      <x:c r="E1483" s="73" t="str">
        <x:f>IF('당기원장'!A483="","",'당기원장'!D483)</x:f>
      </x:c>
      <x:c r="F1483" s="73" t="str">
        <x:f>IF('당기원장'!A483="","",'당기원장'!E483)</x:f>
      </x:c>
      <x:c r="G1483" s="75" t="str">
        <x:f>IF('당기원장'!A483="","",'당기원장'!H483)</x:f>
      </x:c>
      <x:c r="H1483" s="73" t="str">
        <x:f>IF('당기원장'!A483="","",'당기원장'!I483)</x:f>
      </x:c>
      <x:c r="I1483" s="73" t="str">
        <x:f>IF('당기원장'!A483="","",'당기원장'!J483)</x:f>
      </x:c>
      <x:c r="J1483" s="73" t="str">
        <x:f>IF('당기원장'!A483="","",'당기원장'!K483)</x:f>
      </x:c>
      <x:c r="K1483" s="73" t="str">
        <x:f>IF(B1483="","",IF(COUNTIF($B$5:B1483,B1483)=1,COUNT($K$4:K1482)+1,""))</x:f>
      </x:c>
      <x:c r="L1483" s="85" t="str">
        <x:f>IF(B1483="","",IF(COUNTIFS('계정비교'!$A$5:$A$1004,B1483,'계정비교'!$H$5:$H$1004,"원인분석 대상")&gt;0,COUNT($L$4:L1482)+1,""))</x:f>
      </x:c>
    </x:row>
    <x:row r="1484">
      <x:c r="A1484" s="73" t="str">
        <x:f>IF('당기원장'!A484="","","당기")</x:f>
      </x:c>
      <x:c r="B1484" s="73" t="str">
        <x:f>IF('당기원장'!A484="","",'당기원장'!A484)</x:f>
      </x:c>
      <x:c r="C1484" s="73" t="str">
        <x:f>IF('당기원장'!A484="","",'당기원장'!B484)</x:f>
      </x:c>
      <x:c r="D1484" s="74" t="str">
        <x:f>IF('당기원장'!A484="","",'당기원장'!C484)</x:f>
      </x:c>
      <x:c r="E1484" s="73" t="str">
        <x:f>IF('당기원장'!A484="","",'당기원장'!D484)</x:f>
      </x:c>
      <x:c r="F1484" s="73" t="str">
        <x:f>IF('당기원장'!A484="","",'당기원장'!E484)</x:f>
      </x:c>
      <x:c r="G1484" s="75" t="str">
        <x:f>IF('당기원장'!A484="","",'당기원장'!H484)</x:f>
      </x:c>
      <x:c r="H1484" s="73" t="str">
        <x:f>IF('당기원장'!A484="","",'당기원장'!I484)</x:f>
      </x:c>
      <x:c r="I1484" s="73" t="str">
        <x:f>IF('당기원장'!A484="","",'당기원장'!J484)</x:f>
      </x:c>
      <x:c r="J1484" s="73" t="str">
        <x:f>IF('당기원장'!A484="","",'당기원장'!K484)</x:f>
      </x:c>
      <x:c r="K1484" s="73" t="str">
        <x:f>IF(B1484="","",IF(COUNTIF($B$5:B1484,B1484)=1,COUNT($K$4:K1483)+1,""))</x:f>
      </x:c>
      <x:c r="L1484" s="85" t="str">
        <x:f>IF(B1484="","",IF(COUNTIFS('계정비교'!$A$5:$A$1004,B1484,'계정비교'!$H$5:$H$1004,"원인분석 대상")&gt;0,COUNT($L$4:L1483)+1,""))</x:f>
      </x:c>
    </x:row>
    <x:row r="1485">
      <x:c r="A1485" s="73" t="str">
        <x:f>IF('당기원장'!A485="","","당기")</x:f>
      </x:c>
      <x:c r="B1485" s="73" t="str">
        <x:f>IF('당기원장'!A485="","",'당기원장'!A485)</x:f>
      </x:c>
      <x:c r="C1485" s="73" t="str">
        <x:f>IF('당기원장'!A485="","",'당기원장'!B485)</x:f>
      </x:c>
      <x:c r="D1485" s="74" t="str">
        <x:f>IF('당기원장'!A485="","",'당기원장'!C485)</x:f>
      </x:c>
      <x:c r="E1485" s="73" t="str">
        <x:f>IF('당기원장'!A485="","",'당기원장'!D485)</x:f>
      </x:c>
      <x:c r="F1485" s="73" t="str">
        <x:f>IF('당기원장'!A485="","",'당기원장'!E485)</x:f>
      </x:c>
      <x:c r="G1485" s="75" t="str">
        <x:f>IF('당기원장'!A485="","",'당기원장'!H485)</x:f>
      </x:c>
      <x:c r="H1485" s="73" t="str">
        <x:f>IF('당기원장'!A485="","",'당기원장'!I485)</x:f>
      </x:c>
      <x:c r="I1485" s="73" t="str">
        <x:f>IF('당기원장'!A485="","",'당기원장'!J485)</x:f>
      </x:c>
      <x:c r="J1485" s="73" t="str">
        <x:f>IF('당기원장'!A485="","",'당기원장'!K485)</x:f>
      </x:c>
      <x:c r="K1485" s="73" t="str">
        <x:f>IF(B1485="","",IF(COUNTIF($B$5:B1485,B1485)=1,COUNT($K$4:K1484)+1,""))</x:f>
      </x:c>
      <x:c r="L1485" s="85" t="str">
        <x:f>IF(B1485="","",IF(COUNTIFS('계정비교'!$A$5:$A$1004,B1485,'계정비교'!$H$5:$H$1004,"원인분석 대상")&gt;0,COUNT($L$4:L1484)+1,""))</x:f>
      </x:c>
    </x:row>
    <x:row r="1486">
      <x:c r="A1486" s="73" t="str">
        <x:f>IF('당기원장'!A486="","","당기")</x:f>
      </x:c>
      <x:c r="B1486" s="73" t="str">
        <x:f>IF('당기원장'!A486="","",'당기원장'!A486)</x:f>
      </x:c>
      <x:c r="C1486" s="73" t="str">
        <x:f>IF('당기원장'!A486="","",'당기원장'!B486)</x:f>
      </x:c>
      <x:c r="D1486" s="74" t="str">
        <x:f>IF('당기원장'!A486="","",'당기원장'!C486)</x:f>
      </x:c>
      <x:c r="E1486" s="73" t="str">
        <x:f>IF('당기원장'!A486="","",'당기원장'!D486)</x:f>
      </x:c>
      <x:c r="F1486" s="73" t="str">
        <x:f>IF('당기원장'!A486="","",'당기원장'!E486)</x:f>
      </x:c>
      <x:c r="G1486" s="75" t="str">
        <x:f>IF('당기원장'!A486="","",'당기원장'!H486)</x:f>
      </x:c>
      <x:c r="H1486" s="73" t="str">
        <x:f>IF('당기원장'!A486="","",'당기원장'!I486)</x:f>
      </x:c>
      <x:c r="I1486" s="73" t="str">
        <x:f>IF('당기원장'!A486="","",'당기원장'!J486)</x:f>
      </x:c>
      <x:c r="J1486" s="73" t="str">
        <x:f>IF('당기원장'!A486="","",'당기원장'!K486)</x:f>
      </x:c>
      <x:c r="K1486" s="73" t="str">
        <x:f>IF(B1486="","",IF(COUNTIF($B$5:B1486,B1486)=1,COUNT($K$4:K1485)+1,""))</x:f>
      </x:c>
      <x:c r="L1486" s="85" t="str">
        <x:f>IF(B1486="","",IF(COUNTIFS('계정비교'!$A$5:$A$1004,B1486,'계정비교'!$H$5:$H$1004,"원인분석 대상")&gt;0,COUNT($L$4:L1485)+1,""))</x:f>
      </x:c>
    </x:row>
    <x:row r="1487">
      <x:c r="A1487" s="73" t="str">
        <x:f>IF('당기원장'!A487="","","당기")</x:f>
      </x:c>
      <x:c r="B1487" s="73" t="str">
        <x:f>IF('당기원장'!A487="","",'당기원장'!A487)</x:f>
      </x:c>
      <x:c r="C1487" s="73" t="str">
        <x:f>IF('당기원장'!A487="","",'당기원장'!B487)</x:f>
      </x:c>
      <x:c r="D1487" s="74" t="str">
        <x:f>IF('당기원장'!A487="","",'당기원장'!C487)</x:f>
      </x:c>
      <x:c r="E1487" s="73" t="str">
        <x:f>IF('당기원장'!A487="","",'당기원장'!D487)</x:f>
      </x:c>
      <x:c r="F1487" s="73" t="str">
        <x:f>IF('당기원장'!A487="","",'당기원장'!E487)</x:f>
      </x:c>
      <x:c r="G1487" s="75" t="str">
        <x:f>IF('당기원장'!A487="","",'당기원장'!H487)</x:f>
      </x:c>
      <x:c r="H1487" s="73" t="str">
        <x:f>IF('당기원장'!A487="","",'당기원장'!I487)</x:f>
      </x:c>
      <x:c r="I1487" s="73" t="str">
        <x:f>IF('당기원장'!A487="","",'당기원장'!J487)</x:f>
      </x:c>
      <x:c r="J1487" s="73" t="str">
        <x:f>IF('당기원장'!A487="","",'당기원장'!K487)</x:f>
      </x:c>
      <x:c r="K1487" s="73" t="str">
        <x:f>IF(B1487="","",IF(COUNTIF($B$5:B1487,B1487)=1,COUNT($K$4:K1486)+1,""))</x:f>
      </x:c>
      <x:c r="L1487" s="85" t="str">
        <x:f>IF(B1487="","",IF(COUNTIFS('계정비교'!$A$5:$A$1004,B1487,'계정비교'!$H$5:$H$1004,"원인분석 대상")&gt;0,COUNT($L$4:L1486)+1,""))</x:f>
      </x:c>
    </x:row>
    <x:row r="1488">
      <x:c r="A1488" s="73" t="str">
        <x:f>IF('당기원장'!A488="","","당기")</x:f>
      </x:c>
      <x:c r="B1488" s="73" t="str">
        <x:f>IF('당기원장'!A488="","",'당기원장'!A488)</x:f>
      </x:c>
      <x:c r="C1488" s="73" t="str">
        <x:f>IF('당기원장'!A488="","",'당기원장'!B488)</x:f>
      </x:c>
      <x:c r="D1488" s="74" t="str">
        <x:f>IF('당기원장'!A488="","",'당기원장'!C488)</x:f>
      </x:c>
      <x:c r="E1488" s="73" t="str">
        <x:f>IF('당기원장'!A488="","",'당기원장'!D488)</x:f>
      </x:c>
      <x:c r="F1488" s="73" t="str">
        <x:f>IF('당기원장'!A488="","",'당기원장'!E488)</x:f>
      </x:c>
      <x:c r="G1488" s="75" t="str">
        <x:f>IF('당기원장'!A488="","",'당기원장'!H488)</x:f>
      </x:c>
      <x:c r="H1488" s="73" t="str">
        <x:f>IF('당기원장'!A488="","",'당기원장'!I488)</x:f>
      </x:c>
      <x:c r="I1488" s="73" t="str">
        <x:f>IF('당기원장'!A488="","",'당기원장'!J488)</x:f>
      </x:c>
      <x:c r="J1488" s="73" t="str">
        <x:f>IF('당기원장'!A488="","",'당기원장'!K488)</x:f>
      </x:c>
      <x:c r="K1488" s="73" t="str">
        <x:f>IF(B1488="","",IF(COUNTIF($B$5:B1488,B1488)=1,COUNT($K$4:K1487)+1,""))</x:f>
      </x:c>
      <x:c r="L1488" s="85" t="str">
        <x:f>IF(B1488="","",IF(COUNTIFS('계정비교'!$A$5:$A$1004,B1488,'계정비교'!$H$5:$H$1004,"원인분석 대상")&gt;0,COUNT($L$4:L1487)+1,""))</x:f>
      </x:c>
    </x:row>
    <x:row r="1489">
      <x:c r="A1489" s="73" t="str">
        <x:f>IF('당기원장'!A489="","","당기")</x:f>
      </x:c>
      <x:c r="B1489" s="73" t="str">
        <x:f>IF('당기원장'!A489="","",'당기원장'!A489)</x:f>
      </x:c>
      <x:c r="C1489" s="73" t="str">
        <x:f>IF('당기원장'!A489="","",'당기원장'!B489)</x:f>
      </x:c>
      <x:c r="D1489" s="74" t="str">
        <x:f>IF('당기원장'!A489="","",'당기원장'!C489)</x:f>
      </x:c>
      <x:c r="E1489" s="73" t="str">
        <x:f>IF('당기원장'!A489="","",'당기원장'!D489)</x:f>
      </x:c>
      <x:c r="F1489" s="73" t="str">
        <x:f>IF('당기원장'!A489="","",'당기원장'!E489)</x:f>
      </x:c>
      <x:c r="G1489" s="75" t="str">
        <x:f>IF('당기원장'!A489="","",'당기원장'!H489)</x:f>
      </x:c>
      <x:c r="H1489" s="73" t="str">
        <x:f>IF('당기원장'!A489="","",'당기원장'!I489)</x:f>
      </x:c>
      <x:c r="I1489" s="73" t="str">
        <x:f>IF('당기원장'!A489="","",'당기원장'!J489)</x:f>
      </x:c>
      <x:c r="J1489" s="73" t="str">
        <x:f>IF('당기원장'!A489="","",'당기원장'!K489)</x:f>
      </x:c>
      <x:c r="K1489" s="73" t="str">
        <x:f>IF(B1489="","",IF(COUNTIF($B$5:B1489,B1489)=1,COUNT($K$4:K1488)+1,""))</x:f>
      </x:c>
      <x:c r="L1489" s="85" t="str">
        <x:f>IF(B1489="","",IF(COUNTIFS('계정비교'!$A$5:$A$1004,B1489,'계정비교'!$H$5:$H$1004,"원인분석 대상")&gt;0,COUNT($L$4:L1488)+1,""))</x:f>
      </x:c>
    </x:row>
    <x:row r="1490">
      <x:c r="A1490" s="73" t="str">
        <x:f>IF('당기원장'!A490="","","당기")</x:f>
      </x:c>
      <x:c r="B1490" s="73" t="str">
        <x:f>IF('당기원장'!A490="","",'당기원장'!A490)</x:f>
      </x:c>
      <x:c r="C1490" s="73" t="str">
        <x:f>IF('당기원장'!A490="","",'당기원장'!B490)</x:f>
      </x:c>
      <x:c r="D1490" s="74" t="str">
        <x:f>IF('당기원장'!A490="","",'당기원장'!C490)</x:f>
      </x:c>
      <x:c r="E1490" s="73" t="str">
        <x:f>IF('당기원장'!A490="","",'당기원장'!D490)</x:f>
      </x:c>
      <x:c r="F1490" s="73" t="str">
        <x:f>IF('당기원장'!A490="","",'당기원장'!E490)</x:f>
      </x:c>
      <x:c r="G1490" s="75" t="str">
        <x:f>IF('당기원장'!A490="","",'당기원장'!H490)</x:f>
      </x:c>
      <x:c r="H1490" s="73" t="str">
        <x:f>IF('당기원장'!A490="","",'당기원장'!I490)</x:f>
      </x:c>
      <x:c r="I1490" s="73" t="str">
        <x:f>IF('당기원장'!A490="","",'당기원장'!J490)</x:f>
      </x:c>
      <x:c r="J1490" s="73" t="str">
        <x:f>IF('당기원장'!A490="","",'당기원장'!K490)</x:f>
      </x:c>
      <x:c r="K1490" s="73" t="str">
        <x:f>IF(B1490="","",IF(COUNTIF($B$5:B1490,B1490)=1,COUNT($K$4:K1489)+1,""))</x:f>
      </x:c>
      <x:c r="L1490" s="85" t="str">
        <x:f>IF(B1490="","",IF(COUNTIFS('계정비교'!$A$5:$A$1004,B1490,'계정비교'!$H$5:$H$1004,"원인분석 대상")&gt;0,COUNT($L$4:L1489)+1,""))</x:f>
      </x:c>
    </x:row>
    <x:row r="1491">
      <x:c r="A1491" s="73" t="str">
        <x:f>IF('당기원장'!A491="","","당기")</x:f>
      </x:c>
      <x:c r="B1491" s="73" t="str">
        <x:f>IF('당기원장'!A491="","",'당기원장'!A491)</x:f>
      </x:c>
      <x:c r="C1491" s="73" t="str">
        <x:f>IF('당기원장'!A491="","",'당기원장'!B491)</x:f>
      </x:c>
      <x:c r="D1491" s="74" t="str">
        <x:f>IF('당기원장'!A491="","",'당기원장'!C491)</x:f>
      </x:c>
      <x:c r="E1491" s="73" t="str">
        <x:f>IF('당기원장'!A491="","",'당기원장'!D491)</x:f>
      </x:c>
      <x:c r="F1491" s="73" t="str">
        <x:f>IF('당기원장'!A491="","",'당기원장'!E491)</x:f>
      </x:c>
      <x:c r="G1491" s="75" t="str">
        <x:f>IF('당기원장'!A491="","",'당기원장'!H491)</x:f>
      </x:c>
      <x:c r="H1491" s="73" t="str">
        <x:f>IF('당기원장'!A491="","",'당기원장'!I491)</x:f>
      </x:c>
      <x:c r="I1491" s="73" t="str">
        <x:f>IF('당기원장'!A491="","",'당기원장'!J491)</x:f>
      </x:c>
      <x:c r="J1491" s="73" t="str">
        <x:f>IF('당기원장'!A491="","",'당기원장'!K491)</x:f>
      </x:c>
      <x:c r="K1491" s="73" t="str">
        <x:f>IF(B1491="","",IF(COUNTIF($B$5:B1491,B1491)=1,COUNT($K$4:K1490)+1,""))</x:f>
      </x:c>
      <x:c r="L1491" s="85" t="str">
        <x:f>IF(B1491="","",IF(COUNTIFS('계정비교'!$A$5:$A$1004,B1491,'계정비교'!$H$5:$H$1004,"원인분석 대상")&gt;0,COUNT($L$4:L1490)+1,""))</x:f>
      </x:c>
    </x:row>
    <x:row r="1492">
      <x:c r="A1492" s="73" t="str">
        <x:f>IF('당기원장'!A492="","","당기")</x:f>
      </x:c>
      <x:c r="B1492" s="73" t="str">
        <x:f>IF('당기원장'!A492="","",'당기원장'!A492)</x:f>
      </x:c>
      <x:c r="C1492" s="73" t="str">
        <x:f>IF('당기원장'!A492="","",'당기원장'!B492)</x:f>
      </x:c>
      <x:c r="D1492" s="74" t="str">
        <x:f>IF('당기원장'!A492="","",'당기원장'!C492)</x:f>
      </x:c>
      <x:c r="E1492" s="73" t="str">
        <x:f>IF('당기원장'!A492="","",'당기원장'!D492)</x:f>
      </x:c>
      <x:c r="F1492" s="73" t="str">
        <x:f>IF('당기원장'!A492="","",'당기원장'!E492)</x:f>
      </x:c>
      <x:c r="G1492" s="75" t="str">
        <x:f>IF('당기원장'!A492="","",'당기원장'!H492)</x:f>
      </x:c>
      <x:c r="H1492" s="73" t="str">
        <x:f>IF('당기원장'!A492="","",'당기원장'!I492)</x:f>
      </x:c>
      <x:c r="I1492" s="73" t="str">
        <x:f>IF('당기원장'!A492="","",'당기원장'!J492)</x:f>
      </x:c>
      <x:c r="J1492" s="73" t="str">
        <x:f>IF('당기원장'!A492="","",'당기원장'!K492)</x:f>
      </x:c>
      <x:c r="K1492" s="73" t="str">
        <x:f>IF(B1492="","",IF(COUNTIF($B$5:B1492,B1492)=1,COUNT($K$4:K1491)+1,""))</x:f>
      </x:c>
      <x:c r="L1492" s="85" t="str">
        <x:f>IF(B1492="","",IF(COUNTIFS('계정비교'!$A$5:$A$1004,B1492,'계정비교'!$H$5:$H$1004,"원인분석 대상")&gt;0,COUNT($L$4:L1491)+1,""))</x:f>
      </x:c>
    </x:row>
    <x:row r="1493">
      <x:c r="A1493" s="73" t="str">
        <x:f>IF('당기원장'!A493="","","당기")</x:f>
      </x:c>
      <x:c r="B1493" s="73" t="str">
        <x:f>IF('당기원장'!A493="","",'당기원장'!A493)</x:f>
      </x:c>
      <x:c r="C1493" s="73" t="str">
        <x:f>IF('당기원장'!A493="","",'당기원장'!B493)</x:f>
      </x:c>
      <x:c r="D1493" s="74" t="str">
        <x:f>IF('당기원장'!A493="","",'당기원장'!C493)</x:f>
      </x:c>
      <x:c r="E1493" s="73" t="str">
        <x:f>IF('당기원장'!A493="","",'당기원장'!D493)</x:f>
      </x:c>
      <x:c r="F1493" s="73" t="str">
        <x:f>IF('당기원장'!A493="","",'당기원장'!E493)</x:f>
      </x:c>
      <x:c r="G1493" s="75" t="str">
        <x:f>IF('당기원장'!A493="","",'당기원장'!H493)</x:f>
      </x:c>
      <x:c r="H1493" s="73" t="str">
        <x:f>IF('당기원장'!A493="","",'당기원장'!I493)</x:f>
      </x:c>
      <x:c r="I1493" s="73" t="str">
        <x:f>IF('당기원장'!A493="","",'당기원장'!J493)</x:f>
      </x:c>
      <x:c r="J1493" s="73" t="str">
        <x:f>IF('당기원장'!A493="","",'당기원장'!K493)</x:f>
      </x:c>
      <x:c r="K1493" s="73" t="str">
        <x:f>IF(B1493="","",IF(COUNTIF($B$5:B1493,B1493)=1,COUNT($K$4:K1492)+1,""))</x:f>
      </x:c>
      <x:c r="L1493" s="85" t="str">
        <x:f>IF(B1493="","",IF(COUNTIFS('계정비교'!$A$5:$A$1004,B1493,'계정비교'!$H$5:$H$1004,"원인분석 대상")&gt;0,COUNT($L$4:L1492)+1,""))</x:f>
      </x:c>
    </x:row>
    <x:row r="1494">
      <x:c r="A1494" s="73" t="str">
        <x:f>IF('당기원장'!A494="","","당기")</x:f>
      </x:c>
      <x:c r="B1494" s="73" t="str">
        <x:f>IF('당기원장'!A494="","",'당기원장'!A494)</x:f>
      </x:c>
      <x:c r="C1494" s="73" t="str">
        <x:f>IF('당기원장'!A494="","",'당기원장'!B494)</x:f>
      </x:c>
      <x:c r="D1494" s="74" t="str">
        <x:f>IF('당기원장'!A494="","",'당기원장'!C494)</x:f>
      </x:c>
      <x:c r="E1494" s="73" t="str">
        <x:f>IF('당기원장'!A494="","",'당기원장'!D494)</x:f>
      </x:c>
      <x:c r="F1494" s="73" t="str">
        <x:f>IF('당기원장'!A494="","",'당기원장'!E494)</x:f>
      </x:c>
      <x:c r="G1494" s="75" t="str">
        <x:f>IF('당기원장'!A494="","",'당기원장'!H494)</x:f>
      </x:c>
      <x:c r="H1494" s="73" t="str">
        <x:f>IF('당기원장'!A494="","",'당기원장'!I494)</x:f>
      </x:c>
      <x:c r="I1494" s="73" t="str">
        <x:f>IF('당기원장'!A494="","",'당기원장'!J494)</x:f>
      </x:c>
      <x:c r="J1494" s="73" t="str">
        <x:f>IF('당기원장'!A494="","",'당기원장'!K494)</x:f>
      </x:c>
      <x:c r="K1494" s="73" t="str">
        <x:f>IF(B1494="","",IF(COUNTIF($B$5:B1494,B1494)=1,COUNT($K$4:K1493)+1,""))</x:f>
      </x:c>
      <x:c r="L1494" s="85" t="str">
        <x:f>IF(B1494="","",IF(COUNTIFS('계정비교'!$A$5:$A$1004,B1494,'계정비교'!$H$5:$H$1004,"원인분석 대상")&gt;0,COUNT($L$4:L1493)+1,""))</x:f>
      </x:c>
    </x:row>
    <x:row r="1495">
      <x:c r="A1495" s="73" t="str">
        <x:f>IF('당기원장'!A495="","","당기")</x:f>
      </x:c>
      <x:c r="B1495" s="73" t="str">
        <x:f>IF('당기원장'!A495="","",'당기원장'!A495)</x:f>
      </x:c>
      <x:c r="C1495" s="73" t="str">
        <x:f>IF('당기원장'!A495="","",'당기원장'!B495)</x:f>
      </x:c>
      <x:c r="D1495" s="74" t="str">
        <x:f>IF('당기원장'!A495="","",'당기원장'!C495)</x:f>
      </x:c>
      <x:c r="E1495" s="73" t="str">
        <x:f>IF('당기원장'!A495="","",'당기원장'!D495)</x:f>
      </x:c>
      <x:c r="F1495" s="73" t="str">
        <x:f>IF('당기원장'!A495="","",'당기원장'!E495)</x:f>
      </x:c>
      <x:c r="G1495" s="75" t="str">
        <x:f>IF('당기원장'!A495="","",'당기원장'!H495)</x:f>
      </x:c>
      <x:c r="H1495" s="73" t="str">
        <x:f>IF('당기원장'!A495="","",'당기원장'!I495)</x:f>
      </x:c>
      <x:c r="I1495" s="73" t="str">
        <x:f>IF('당기원장'!A495="","",'당기원장'!J495)</x:f>
      </x:c>
      <x:c r="J1495" s="73" t="str">
        <x:f>IF('당기원장'!A495="","",'당기원장'!K495)</x:f>
      </x:c>
      <x:c r="K1495" s="73" t="str">
        <x:f>IF(B1495="","",IF(COUNTIF($B$5:B1495,B1495)=1,COUNT($K$4:K1494)+1,""))</x:f>
      </x:c>
      <x:c r="L1495" s="85" t="str">
        <x:f>IF(B1495="","",IF(COUNTIFS('계정비교'!$A$5:$A$1004,B1495,'계정비교'!$H$5:$H$1004,"원인분석 대상")&gt;0,COUNT($L$4:L1494)+1,""))</x:f>
      </x:c>
    </x:row>
    <x:row r="1496">
      <x:c r="A1496" s="73" t="str">
        <x:f>IF('당기원장'!A496="","","당기")</x:f>
      </x:c>
      <x:c r="B1496" s="73" t="str">
        <x:f>IF('당기원장'!A496="","",'당기원장'!A496)</x:f>
      </x:c>
      <x:c r="C1496" s="73" t="str">
        <x:f>IF('당기원장'!A496="","",'당기원장'!B496)</x:f>
      </x:c>
      <x:c r="D1496" s="74" t="str">
        <x:f>IF('당기원장'!A496="","",'당기원장'!C496)</x:f>
      </x:c>
      <x:c r="E1496" s="73" t="str">
        <x:f>IF('당기원장'!A496="","",'당기원장'!D496)</x:f>
      </x:c>
      <x:c r="F1496" s="73" t="str">
        <x:f>IF('당기원장'!A496="","",'당기원장'!E496)</x:f>
      </x:c>
      <x:c r="G1496" s="75" t="str">
        <x:f>IF('당기원장'!A496="","",'당기원장'!H496)</x:f>
      </x:c>
      <x:c r="H1496" s="73" t="str">
        <x:f>IF('당기원장'!A496="","",'당기원장'!I496)</x:f>
      </x:c>
      <x:c r="I1496" s="73" t="str">
        <x:f>IF('당기원장'!A496="","",'당기원장'!J496)</x:f>
      </x:c>
      <x:c r="J1496" s="73" t="str">
        <x:f>IF('당기원장'!A496="","",'당기원장'!K496)</x:f>
      </x:c>
      <x:c r="K1496" s="73" t="str">
        <x:f>IF(B1496="","",IF(COUNTIF($B$5:B1496,B1496)=1,COUNT($K$4:K1495)+1,""))</x:f>
      </x:c>
      <x:c r="L1496" s="85" t="str">
        <x:f>IF(B1496="","",IF(COUNTIFS('계정비교'!$A$5:$A$1004,B1496,'계정비교'!$H$5:$H$1004,"원인분석 대상")&gt;0,COUNT($L$4:L1495)+1,""))</x:f>
      </x:c>
    </x:row>
    <x:row r="1497">
      <x:c r="A1497" s="73" t="str">
        <x:f>IF('당기원장'!A497="","","당기")</x:f>
      </x:c>
      <x:c r="B1497" s="73" t="str">
        <x:f>IF('당기원장'!A497="","",'당기원장'!A497)</x:f>
      </x:c>
      <x:c r="C1497" s="73" t="str">
        <x:f>IF('당기원장'!A497="","",'당기원장'!B497)</x:f>
      </x:c>
      <x:c r="D1497" s="74" t="str">
        <x:f>IF('당기원장'!A497="","",'당기원장'!C497)</x:f>
      </x:c>
      <x:c r="E1497" s="73" t="str">
        <x:f>IF('당기원장'!A497="","",'당기원장'!D497)</x:f>
      </x:c>
      <x:c r="F1497" s="73" t="str">
        <x:f>IF('당기원장'!A497="","",'당기원장'!E497)</x:f>
      </x:c>
      <x:c r="G1497" s="75" t="str">
        <x:f>IF('당기원장'!A497="","",'당기원장'!H497)</x:f>
      </x:c>
      <x:c r="H1497" s="73" t="str">
        <x:f>IF('당기원장'!A497="","",'당기원장'!I497)</x:f>
      </x:c>
      <x:c r="I1497" s="73" t="str">
        <x:f>IF('당기원장'!A497="","",'당기원장'!J497)</x:f>
      </x:c>
      <x:c r="J1497" s="73" t="str">
        <x:f>IF('당기원장'!A497="","",'당기원장'!K497)</x:f>
      </x:c>
      <x:c r="K1497" s="73" t="str">
        <x:f>IF(B1497="","",IF(COUNTIF($B$5:B1497,B1497)=1,COUNT($K$4:K1496)+1,""))</x:f>
      </x:c>
      <x:c r="L1497" s="85" t="str">
        <x:f>IF(B1497="","",IF(COUNTIFS('계정비교'!$A$5:$A$1004,B1497,'계정비교'!$H$5:$H$1004,"원인분석 대상")&gt;0,COUNT($L$4:L1496)+1,""))</x:f>
      </x:c>
    </x:row>
    <x:row r="1498">
      <x:c r="A1498" s="73" t="str">
        <x:f>IF('당기원장'!A498="","","당기")</x:f>
      </x:c>
      <x:c r="B1498" s="73" t="str">
        <x:f>IF('당기원장'!A498="","",'당기원장'!A498)</x:f>
      </x:c>
      <x:c r="C1498" s="73" t="str">
        <x:f>IF('당기원장'!A498="","",'당기원장'!B498)</x:f>
      </x:c>
      <x:c r="D1498" s="74" t="str">
        <x:f>IF('당기원장'!A498="","",'당기원장'!C498)</x:f>
      </x:c>
      <x:c r="E1498" s="73" t="str">
        <x:f>IF('당기원장'!A498="","",'당기원장'!D498)</x:f>
      </x:c>
      <x:c r="F1498" s="73" t="str">
        <x:f>IF('당기원장'!A498="","",'당기원장'!E498)</x:f>
      </x:c>
      <x:c r="G1498" s="75" t="str">
        <x:f>IF('당기원장'!A498="","",'당기원장'!H498)</x:f>
      </x:c>
      <x:c r="H1498" s="73" t="str">
        <x:f>IF('당기원장'!A498="","",'당기원장'!I498)</x:f>
      </x:c>
      <x:c r="I1498" s="73" t="str">
        <x:f>IF('당기원장'!A498="","",'당기원장'!J498)</x:f>
      </x:c>
      <x:c r="J1498" s="73" t="str">
        <x:f>IF('당기원장'!A498="","",'당기원장'!K498)</x:f>
      </x:c>
      <x:c r="K1498" s="73" t="str">
        <x:f>IF(B1498="","",IF(COUNTIF($B$5:B1498,B1498)=1,COUNT($K$4:K1497)+1,""))</x:f>
      </x:c>
      <x:c r="L1498" s="85" t="str">
        <x:f>IF(B1498="","",IF(COUNTIFS('계정비교'!$A$5:$A$1004,B1498,'계정비교'!$H$5:$H$1004,"원인분석 대상")&gt;0,COUNT($L$4:L1497)+1,""))</x:f>
      </x:c>
    </x:row>
    <x:row r="1499">
      <x:c r="A1499" s="73" t="str">
        <x:f>IF('당기원장'!A499="","","당기")</x:f>
      </x:c>
      <x:c r="B1499" s="73" t="str">
        <x:f>IF('당기원장'!A499="","",'당기원장'!A499)</x:f>
      </x:c>
      <x:c r="C1499" s="73" t="str">
        <x:f>IF('당기원장'!A499="","",'당기원장'!B499)</x:f>
      </x:c>
      <x:c r="D1499" s="74" t="str">
        <x:f>IF('당기원장'!A499="","",'당기원장'!C499)</x:f>
      </x:c>
      <x:c r="E1499" s="73" t="str">
        <x:f>IF('당기원장'!A499="","",'당기원장'!D499)</x:f>
      </x:c>
      <x:c r="F1499" s="73" t="str">
        <x:f>IF('당기원장'!A499="","",'당기원장'!E499)</x:f>
      </x:c>
      <x:c r="G1499" s="75" t="str">
        <x:f>IF('당기원장'!A499="","",'당기원장'!H499)</x:f>
      </x:c>
      <x:c r="H1499" s="73" t="str">
        <x:f>IF('당기원장'!A499="","",'당기원장'!I499)</x:f>
      </x:c>
      <x:c r="I1499" s="73" t="str">
        <x:f>IF('당기원장'!A499="","",'당기원장'!J499)</x:f>
      </x:c>
      <x:c r="J1499" s="73" t="str">
        <x:f>IF('당기원장'!A499="","",'당기원장'!K499)</x:f>
      </x:c>
      <x:c r="K1499" s="73" t="str">
        <x:f>IF(B1499="","",IF(COUNTIF($B$5:B1499,B1499)=1,COUNT($K$4:K1498)+1,""))</x:f>
      </x:c>
      <x:c r="L1499" s="85" t="str">
        <x:f>IF(B1499="","",IF(COUNTIFS('계정비교'!$A$5:$A$1004,B1499,'계정비교'!$H$5:$H$1004,"원인분석 대상")&gt;0,COUNT($L$4:L1498)+1,""))</x:f>
      </x:c>
    </x:row>
    <x:row r="1500">
      <x:c r="A1500" s="73" t="str">
        <x:f>IF('당기원장'!A500="","","당기")</x:f>
      </x:c>
      <x:c r="B1500" s="73" t="str">
        <x:f>IF('당기원장'!A500="","",'당기원장'!A500)</x:f>
      </x:c>
      <x:c r="C1500" s="73" t="str">
        <x:f>IF('당기원장'!A500="","",'당기원장'!B500)</x:f>
      </x:c>
      <x:c r="D1500" s="74" t="str">
        <x:f>IF('당기원장'!A500="","",'당기원장'!C500)</x:f>
      </x:c>
      <x:c r="E1500" s="73" t="str">
        <x:f>IF('당기원장'!A500="","",'당기원장'!D500)</x:f>
      </x:c>
      <x:c r="F1500" s="73" t="str">
        <x:f>IF('당기원장'!A500="","",'당기원장'!E500)</x:f>
      </x:c>
      <x:c r="G1500" s="75" t="str">
        <x:f>IF('당기원장'!A500="","",'당기원장'!H500)</x:f>
      </x:c>
      <x:c r="H1500" s="73" t="str">
        <x:f>IF('당기원장'!A500="","",'당기원장'!I500)</x:f>
      </x:c>
      <x:c r="I1500" s="73" t="str">
        <x:f>IF('당기원장'!A500="","",'당기원장'!J500)</x:f>
      </x:c>
      <x:c r="J1500" s="73" t="str">
        <x:f>IF('당기원장'!A500="","",'당기원장'!K500)</x:f>
      </x:c>
      <x:c r="K1500" s="73" t="str">
        <x:f>IF(B1500="","",IF(COUNTIF($B$5:B1500,B1500)=1,COUNT($K$4:K1499)+1,""))</x:f>
      </x:c>
      <x:c r="L1500" s="85" t="str">
        <x:f>IF(B1500="","",IF(COUNTIFS('계정비교'!$A$5:$A$1004,B1500,'계정비교'!$H$5:$H$1004,"원인분석 대상")&gt;0,COUNT($L$4:L1499)+1,""))</x:f>
      </x:c>
    </x:row>
    <x:row r="1501">
      <x:c r="A1501" s="73" t="str">
        <x:f>IF('당기원장'!A501="","","당기")</x:f>
      </x:c>
      <x:c r="B1501" s="73" t="str">
        <x:f>IF('당기원장'!A501="","",'당기원장'!A501)</x:f>
      </x:c>
      <x:c r="C1501" s="73" t="str">
        <x:f>IF('당기원장'!A501="","",'당기원장'!B501)</x:f>
      </x:c>
      <x:c r="D1501" s="74" t="str">
        <x:f>IF('당기원장'!A501="","",'당기원장'!C501)</x:f>
      </x:c>
      <x:c r="E1501" s="73" t="str">
        <x:f>IF('당기원장'!A501="","",'당기원장'!D501)</x:f>
      </x:c>
      <x:c r="F1501" s="73" t="str">
        <x:f>IF('당기원장'!A501="","",'당기원장'!E501)</x:f>
      </x:c>
      <x:c r="G1501" s="75" t="str">
        <x:f>IF('당기원장'!A501="","",'당기원장'!H501)</x:f>
      </x:c>
      <x:c r="H1501" s="73" t="str">
        <x:f>IF('당기원장'!A501="","",'당기원장'!I501)</x:f>
      </x:c>
      <x:c r="I1501" s="73" t="str">
        <x:f>IF('당기원장'!A501="","",'당기원장'!J501)</x:f>
      </x:c>
      <x:c r="J1501" s="73" t="str">
        <x:f>IF('당기원장'!A501="","",'당기원장'!K501)</x:f>
      </x:c>
      <x:c r="K1501" s="73" t="str">
        <x:f>IF(B1501="","",IF(COUNTIF($B$5:B1501,B1501)=1,COUNT($K$4:K1500)+1,""))</x:f>
      </x:c>
      <x:c r="L1501" s="85" t="str">
        <x:f>IF(B1501="","",IF(COUNTIFS('계정비교'!$A$5:$A$1004,B1501,'계정비교'!$H$5:$H$1004,"원인분석 대상")&gt;0,COUNT($L$4:L1500)+1,""))</x:f>
      </x:c>
    </x:row>
    <x:row r="1502">
      <x:c r="A1502" s="73" t="str">
        <x:f>IF('당기원장'!A502="","","당기")</x:f>
      </x:c>
      <x:c r="B1502" s="73" t="str">
        <x:f>IF('당기원장'!A502="","",'당기원장'!A502)</x:f>
      </x:c>
      <x:c r="C1502" s="73" t="str">
        <x:f>IF('당기원장'!A502="","",'당기원장'!B502)</x:f>
      </x:c>
      <x:c r="D1502" s="74" t="str">
        <x:f>IF('당기원장'!A502="","",'당기원장'!C502)</x:f>
      </x:c>
      <x:c r="E1502" s="73" t="str">
        <x:f>IF('당기원장'!A502="","",'당기원장'!D502)</x:f>
      </x:c>
      <x:c r="F1502" s="73" t="str">
        <x:f>IF('당기원장'!A502="","",'당기원장'!E502)</x:f>
      </x:c>
      <x:c r="G1502" s="75" t="str">
        <x:f>IF('당기원장'!A502="","",'당기원장'!H502)</x:f>
      </x:c>
      <x:c r="H1502" s="73" t="str">
        <x:f>IF('당기원장'!A502="","",'당기원장'!I502)</x:f>
      </x:c>
      <x:c r="I1502" s="73" t="str">
        <x:f>IF('당기원장'!A502="","",'당기원장'!J502)</x:f>
      </x:c>
      <x:c r="J1502" s="73" t="str">
        <x:f>IF('당기원장'!A502="","",'당기원장'!K502)</x:f>
      </x:c>
      <x:c r="K1502" s="73" t="str">
        <x:f>IF(B1502="","",IF(COUNTIF($B$5:B1502,B1502)=1,COUNT($K$4:K1501)+1,""))</x:f>
      </x:c>
      <x:c r="L1502" s="85" t="str">
        <x:f>IF(B1502="","",IF(COUNTIFS('계정비교'!$A$5:$A$1004,B1502,'계정비교'!$H$5:$H$1004,"원인분석 대상")&gt;0,COUNT($L$4:L1501)+1,""))</x:f>
      </x:c>
    </x:row>
    <x:row r="1503">
      <x:c r="A1503" s="73" t="str">
        <x:f>IF('당기원장'!A503="","","당기")</x:f>
      </x:c>
      <x:c r="B1503" s="73" t="str">
        <x:f>IF('당기원장'!A503="","",'당기원장'!A503)</x:f>
      </x:c>
      <x:c r="C1503" s="73" t="str">
        <x:f>IF('당기원장'!A503="","",'당기원장'!B503)</x:f>
      </x:c>
      <x:c r="D1503" s="74" t="str">
        <x:f>IF('당기원장'!A503="","",'당기원장'!C503)</x:f>
      </x:c>
      <x:c r="E1503" s="73" t="str">
        <x:f>IF('당기원장'!A503="","",'당기원장'!D503)</x:f>
      </x:c>
      <x:c r="F1503" s="73" t="str">
        <x:f>IF('당기원장'!A503="","",'당기원장'!E503)</x:f>
      </x:c>
      <x:c r="G1503" s="75" t="str">
        <x:f>IF('당기원장'!A503="","",'당기원장'!H503)</x:f>
      </x:c>
      <x:c r="H1503" s="73" t="str">
        <x:f>IF('당기원장'!A503="","",'당기원장'!I503)</x:f>
      </x:c>
      <x:c r="I1503" s="73" t="str">
        <x:f>IF('당기원장'!A503="","",'당기원장'!J503)</x:f>
      </x:c>
      <x:c r="J1503" s="73" t="str">
        <x:f>IF('당기원장'!A503="","",'당기원장'!K503)</x:f>
      </x:c>
      <x:c r="K1503" s="73" t="str">
        <x:f>IF(B1503="","",IF(COUNTIF($B$5:B1503,B1503)=1,COUNT($K$4:K1502)+1,""))</x:f>
      </x:c>
      <x:c r="L1503" s="85" t="str">
        <x:f>IF(B1503="","",IF(COUNTIFS('계정비교'!$A$5:$A$1004,B1503,'계정비교'!$H$5:$H$1004,"원인분석 대상")&gt;0,COUNT($L$4:L1502)+1,""))</x:f>
      </x:c>
    </x:row>
    <x:row r="1504">
      <x:c r="A1504" s="73" t="str">
        <x:f>IF('당기원장'!A504="","","당기")</x:f>
      </x:c>
      <x:c r="B1504" s="73" t="str">
        <x:f>IF('당기원장'!A504="","",'당기원장'!A504)</x:f>
      </x:c>
      <x:c r="C1504" s="73" t="str">
        <x:f>IF('당기원장'!A504="","",'당기원장'!B504)</x:f>
      </x:c>
      <x:c r="D1504" s="74" t="str">
        <x:f>IF('당기원장'!A504="","",'당기원장'!C504)</x:f>
      </x:c>
      <x:c r="E1504" s="73" t="str">
        <x:f>IF('당기원장'!A504="","",'당기원장'!D504)</x:f>
      </x:c>
      <x:c r="F1504" s="73" t="str">
        <x:f>IF('당기원장'!A504="","",'당기원장'!E504)</x:f>
      </x:c>
      <x:c r="G1504" s="75" t="str">
        <x:f>IF('당기원장'!A504="","",'당기원장'!H504)</x:f>
      </x:c>
      <x:c r="H1504" s="73" t="str">
        <x:f>IF('당기원장'!A504="","",'당기원장'!I504)</x:f>
      </x:c>
      <x:c r="I1504" s="73" t="str">
        <x:f>IF('당기원장'!A504="","",'당기원장'!J504)</x:f>
      </x:c>
      <x:c r="J1504" s="73" t="str">
        <x:f>IF('당기원장'!A504="","",'당기원장'!K504)</x:f>
      </x:c>
      <x:c r="K1504" s="73" t="str">
        <x:f>IF(B1504="","",IF(COUNTIF($B$5:B1504,B1504)=1,COUNT($K$4:K1503)+1,""))</x:f>
      </x:c>
      <x:c r="L1504" s="85" t="str">
        <x:f>IF(B1504="","",IF(COUNTIFS('계정비교'!$A$5:$A$1004,B1504,'계정비교'!$H$5:$H$1004,"원인분석 대상")&gt;0,COUNT($L$4:L1503)+1,""))</x:f>
      </x:c>
    </x:row>
    <x:row r="1505">
      <x:c r="A1505" s="73" t="str">
        <x:f>IF('당기원장'!A505="","","당기")</x:f>
      </x:c>
      <x:c r="B1505" s="73" t="str">
        <x:f>IF('당기원장'!A505="","",'당기원장'!A505)</x:f>
      </x:c>
      <x:c r="C1505" s="73" t="str">
        <x:f>IF('당기원장'!A505="","",'당기원장'!B505)</x:f>
      </x:c>
      <x:c r="D1505" s="74" t="str">
        <x:f>IF('당기원장'!A505="","",'당기원장'!C505)</x:f>
      </x:c>
      <x:c r="E1505" s="73" t="str">
        <x:f>IF('당기원장'!A505="","",'당기원장'!D505)</x:f>
      </x:c>
      <x:c r="F1505" s="73" t="str">
        <x:f>IF('당기원장'!A505="","",'당기원장'!E505)</x:f>
      </x:c>
      <x:c r="G1505" s="75" t="str">
        <x:f>IF('당기원장'!A505="","",'당기원장'!H505)</x:f>
      </x:c>
      <x:c r="H1505" s="73" t="str">
        <x:f>IF('당기원장'!A505="","",'당기원장'!I505)</x:f>
      </x:c>
      <x:c r="I1505" s="73" t="str">
        <x:f>IF('당기원장'!A505="","",'당기원장'!J505)</x:f>
      </x:c>
      <x:c r="J1505" s="73" t="str">
        <x:f>IF('당기원장'!A505="","",'당기원장'!K505)</x:f>
      </x:c>
      <x:c r="K1505" s="73" t="str">
        <x:f>IF(B1505="","",IF(COUNTIF($B$5:B1505,B1505)=1,COUNT($K$4:K1504)+1,""))</x:f>
      </x:c>
      <x:c r="L1505" s="85" t="str">
        <x:f>IF(B1505="","",IF(COUNTIFS('계정비교'!$A$5:$A$1004,B1505,'계정비교'!$H$5:$H$1004,"원인분석 대상")&gt;0,COUNT($L$4:L1504)+1,""))</x:f>
      </x:c>
    </x:row>
    <x:row r="1506">
      <x:c r="A1506" s="73" t="str">
        <x:f>IF('당기원장'!A506="","","당기")</x:f>
      </x:c>
      <x:c r="B1506" s="73" t="str">
        <x:f>IF('당기원장'!A506="","",'당기원장'!A506)</x:f>
      </x:c>
      <x:c r="C1506" s="73" t="str">
        <x:f>IF('당기원장'!A506="","",'당기원장'!B506)</x:f>
      </x:c>
      <x:c r="D1506" s="74" t="str">
        <x:f>IF('당기원장'!A506="","",'당기원장'!C506)</x:f>
      </x:c>
      <x:c r="E1506" s="73" t="str">
        <x:f>IF('당기원장'!A506="","",'당기원장'!D506)</x:f>
      </x:c>
      <x:c r="F1506" s="73" t="str">
        <x:f>IF('당기원장'!A506="","",'당기원장'!E506)</x:f>
      </x:c>
      <x:c r="G1506" s="75" t="str">
        <x:f>IF('당기원장'!A506="","",'당기원장'!H506)</x:f>
      </x:c>
      <x:c r="H1506" s="73" t="str">
        <x:f>IF('당기원장'!A506="","",'당기원장'!I506)</x:f>
      </x:c>
      <x:c r="I1506" s="73" t="str">
        <x:f>IF('당기원장'!A506="","",'당기원장'!J506)</x:f>
      </x:c>
      <x:c r="J1506" s="73" t="str">
        <x:f>IF('당기원장'!A506="","",'당기원장'!K506)</x:f>
      </x:c>
      <x:c r="K1506" s="73" t="str">
        <x:f>IF(B1506="","",IF(COUNTIF($B$5:B1506,B1506)=1,COUNT($K$4:K1505)+1,""))</x:f>
      </x:c>
      <x:c r="L1506" s="85" t="str">
        <x:f>IF(B1506="","",IF(COUNTIFS('계정비교'!$A$5:$A$1004,B1506,'계정비교'!$H$5:$H$1004,"원인분석 대상")&gt;0,COUNT($L$4:L1505)+1,""))</x:f>
      </x:c>
    </x:row>
    <x:row r="1507">
      <x:c r="A1507" s="73" t="str">
        <x:f>IF('당기원장'!A507="","","당기")</x:f>
      </x:c>
      <x:c r="B1507" s="73" t="str">
        <x:f>IF('당기원장'!A507="","",'당기원장'!A507)</x:f>
      </x:c>
      <x:c r="C1507" s="73" t="str">
        <x:f>IF('당기원장'!A507="","",'당기원장'!B507)</x:f>
      </x:c>
      <x:c r="D1507" s="74" t="str">
        <x:f>IF('당기원장'!A507="","",'당기원장'!C507)</x:f>
      </x:c>
      <x:c r="E1507" s="73" t="str">
        <x:f>IF('당기원장'!A507="","",'당기원장'!D507)</x:f>
      </x:c>
      <x:c r="F1507" s="73" t="str">
        <x:f>IF('당기원장'!A507="","",'당기원장'!E507)</x:f>
      </x:c>
      <x:c r="G1507" s="75" t="str">
        <x:f>IF('당기원장'!A507="","",'당기원장'!H507)</x:f>
      </x:c>
      <x:c r="H1507" s="73" t="str">
        <x:f>IF('당기원장'!A507="","",'당기원장'!I507)</x:f>
      </x:c>
      <x:c r="I1507" s="73" t="str">
        <x:f>IF('당기원장'!A507="","",'당기원장'!J507)</x:f>
      </x:c>
      <x:c r="J1507" s="73" t="str">
        <x:f>IF('당기원장'!A507="","",'당기원장'!K507)</x:f>
      </x:c>
      <x:c r="K1507" s="73" t="str">
        <x:f>IF(B1507="","",IF(COUNTIF($B$5:B1507,B1507)=1,COUNT($K$4:K1506)+1,""))</x:f>
      </x:c>
      <x:c r="L1507" s="85" t="str">
        <x:f>IF(B1507="","",IF(COUNTIFS('계정비교'!$A$5:$A$1004,B1507,'계정비교'!$H$5:$H$1004,"원인분석 대상")&gt;0,COUNT($L$4:L1506)+1,""))</x:f>
      </x:c>
    </x:row>
    <x:row r="1508">
      <x:c r="A1508" s="73" t="str">
        <x:f>IF('당기원장'!A508="","","당기")</x:f>
      </x:c>
      <x:c r="B1508" s="73" t="str">
        <x:f>IF('당기원장'!A508="","",'당기원장'!A508)</x:f>
      </x:c>
      <x:c r="C1508" s="73" t="str">
        <x:f>IF('당기원장'!A508="","",'당기원장'!B508)</x:f>
      </x:c>
      <x:c r="D1508" s="74" t="str">
        <x:f>IF('당기원장'!A508="","",'당기원장'!C508)</x:f>
      </x:c>
      <x:c r="E1508" s="73" t="str">
        <x:f>IF('당기원장'!A508="","",'당기원장'!D508)</x:f>
      </x:c>
      <x:c r="F1508" s="73" t="str">
        <x:f>IF('당기원장'!A508="","",'당기원장'!E508)</x:f>
      </x:c>
      <x:c r="G1508" s="75" t="str">
        <x:f>IF('당기원장'!A508="","",'당기원장'!H508)</x:f>
      </x:c>
      <x:c r="H1508" s="73" t="str">
        <x:f>IF('당기원장'!A508="","",'당기원장'!I508)</x:f>
      </x:c>
      <x:c r="I1508" s="73" t="str">
        <x:f>IF('당기원장'!A508="","",'당기원장'!J508)</x:f>
      </x:c>
      <x:c r="J1508" s="73" t="str">
        <x:f>IF('당기원장'!A508="","",'당기원장'!K508)</x:f>
      </x:c>
      <x:c r="K1508" s="73" t="str">
        <x:f>IF(B1508="","",IF(COUNTIF($B$5:B1508,B1508)=1,COUNT($K$4:K1507)+1,""))</x:f>
      </x:c>
      <x:c r="L1508" s="85" t="str">
        <x:f>IF(B1508="","",IF(COUNTIFS('계정비교'!$A$5:$A$1004,B1508,'계정비교'!$H$5:$H$1004,"원인분석 대상")&gt;0,COUNT($L$4:L1507)+1,""))</x:f>
      </x:c>
    </x:row>
    <x:row r="1509">
      <x:c r="A1509" s="73" t="str">
        <x:f>IF('당기원장'!A509="","","당기")</x:f>
      </x:c>
      <x:c r="B1509" s="73" t="str">
        <x:f>IF('당기원장'!A509="","",'당기원장'!A509)</x:f>
      </x:c>
      <x:c r="C1509" s="73" t="str">
        <x:f>IF('당기원장'!A509="","",'당기원장'!B509)</x:f>
      </x:c>
      <x:c r="D1509" s="74" t="str">
        <x:f>IF('당기원장'!A509="","",'당기원장'!C509)</x:f>
      </x:c>
      <x:c r="E1509" s="73" t="str">
        <x:f>IF('당기원장'!A509="","",'당기원장'!D509)</x:f>
      </x:c>
      <x:c r="F1509" s="73" t="str">
        <x:f>IF('당기원장'!A509="","",'당기원장'!E509)</x:f>
      </x:c>
      <x:c r="G1509" s="75" t="str">
        <x:f>IF('당기원장'!A509="","",'당기원장'!H509)</x:f>
      </x:c>
      <x:c r="H1509" s="73" t="str">
        <x:f>IF('당기원장'!A509="","",'당기원장'!I509)</x:f>
      </x:c>
      <x:c r="I1509" s="73" t="str">
        <x:f>IF('당기원장'!A509="","",'당기원장'!J509)</x:f>
      </x:c>
      <x:c r="J1509" s="73" t="str">
        <x:f>IF('당기원장'!A509="","",'당기원장'!K509)</x:f>
      </x:c>
      <x:c r="K1509" s="73" t="str">
        <x:f>IF(B1509="","",IF(COUNTIF($B$5:B1509,B1509)=1,COUNT($K$4:K1508)+1,""))</x:f>
      </x:c>
      <x:c r="L1509" s="85" t="str">
        <x:f>IF(B1509="","",IF(COUNTIFS('계정비교'!$A$5:$A$1004,B1509,'계정비교'!$H$5:$H$1004,"원인분석 대상")&gt;0,COUNT($L$4:L1508)+1,""))</x:f>
      </x:c>
    </x:row>
    <x:row r="1510">
      <x:c r="A1510" s="73" t="str">
        <x:f>IF('당기원장'!A510="","","당기")</x:f>
      </x:c>
      <x:c r="B1510" s="73" t="str">
        <x:f>IF('당기원장'!A510="","",'당기원장'!A510)</x:f>
      </x:c>
      <x:c r="C1510" s="73" t="str">
        <x:f>IF('당기원장'!A510="","",'당기원장'!B510)</x:f>
      </x:c>
      <x:c r="D1510" s="74" t="str">
        <x:f>IF('당기원장'!A510="","",'당기원장'!C510)</x:f>
      </x:c>
      <x:c r="E1510" s="73" t="str">
        <x:f>IF('당기원장'!A510="","",'당기원장'!D510)</x:f>
      </x:c>
      <x:c r="F1510" s="73" t="str">
        <x:f>IF('당기원장'!A510="","",'당기원장'!E510)</x:f>
      </x:c>
      <x:c r="G1510" s="75" t="str">
        <x:f>IF('당기원장'!A510="","",'당기원장'!H510)</x:f>
      </x:c>
      <x:c r="H1510" s="73" t="str">
        <x:f>IF('당기원장'!A510="","",'당기원장'!I510)</x:f>
      </x:c>
      <x:c r="I1510" s="73" t="str">
        <x:f>IF('당기원장'!A510="","",'당기원장'!J510)</x:f>
      </x:c>
      <x:c r="J1510" s="73" t="str">
        <x:f>IF('당기원장'!A510="","",'당기원장'!K510)</x:f>
      </x:c>
      <x:c r="K1510" s="73" t="str">
        <x:f>IF(B1510="","",IF(COUNTIF($B$5:B1510,B1510)=1,COUNT($K$4:K1509)+1,""))</x:f>
      </x:c>
      <x:c r="L1510" s="85" t="str">
        <x:f>IF(B1510="","",IF(COUNTIFS('계정비교'!$A$5:$A$1004,B1510,'계정비교'!$H$5:$H$1004,"원인분석 대상")&gt;0,COUNT($L$4:L1509)+1,""))</x:f>
      </x:c>
    </x:row>
    <x:row r="1511">
      <x:c r="A1511" s="73" t="str">
        <x:f>IF('당기원장'!A511="","","당기")</x:f>
      </x:c>
      <x:c r="B1511" s="73" t="str">
        <x:f>IF('당기원장'!A511="","",'당기원장'!A511)</x:f>
      </x:c>
      <x:c r="C1511" s="73" t="str">
        <x:f>IF('당기원장'!A511="","",'당기원장'!B511)</x:f>
      </x:c>
      <x:c r="D1511" s="74" t="str">
        <x:f>IF('당기원장'!A511="","",'당기원장'!C511)</x:f>
      </x:c>
      <x:c r="E1511" s="73" t="str">
        <x:f>IF('당기원장'!A511="","",'당기원장'!D511)</x:f>
      </x:c>
      <x:c r="F1511" s="73" t="str">
        <x:f>IF('당기원장'!A511="","",'당기원장'!E511)</x:f>
      </x:c>
      <x:c r="G1511" s="75" t="str">
        <x:f>IF('당기원장'!A511="","",'당기원장'!H511)</x:f>
      </x:c>
      <x:c r="H1511" s="73" t="str">
        <x:f>IF('당기원장'!A511="","",'당기원장'!I511)</x:f>
      </x:c>
      <x:c r="I1511" s="73" t="str">
        <x:f>IF('당기원장'!A511="","",'당기원장'!J511)</x:f>
      </x:c>
      <x:c r="J1511" s="73" t="str">
        <x:f>IF('당기원장'!A511="","",'당기원장'!K511)</x:f>
      </x:c>
      <x:c r="K1511" s="73" t="str">
        <x:f>IF(B1511="","",IF(COUNTIF($B$5:B1511,B1511)=1,COUNT($K$4:K1510)+1,""))</x:f>
      </x:c>
      <x:c r="L1511" s="85" t="str">
        <x:f>IF(B1511="","",IF(COUNTIFS('계정비교'!$A$5:$A$1004,B1511,'계정비교'!$H$5:$H$1004,"원인분석 대상")&gt;0,COUNT($L$4:L1510)+1,""))</x:f>
      </x:c>
    </x:row>
    <x:row r="1512">
      <x:c r="A1512" s="73" t="str">
        <x:f>IF('당기원장'!A512="","","당기")</x:f>
      </x:c>
      <x:c r="B1512" s="73" t="str">
        <x:f>IF('당기원장'!A512="","",'당기원장'!A512)</x:f>
      </x:c>
      <x:c r="C1512" s="73" t="str">
        <x:f>IF('당기원장'!A512="","",'당기원장'!B512)</x:f>
      </x:c>
      <x:c r="D1512" s="74" t="str">
        <x:f>IF('당기원장'!A512="","",'당기원장'!C512)</x:f>
      </x:c>
      <x:c r="E1512" s="73" t="str">
        <x:f>IF('당기원장'!A512="","",'당기원장'!D512)</x:f>
      </x:c>
      <x:c r="F1512" s="73" t="str">
        <x:f>IF('당기원장'!A512="","",'당기원장'!E512)</x:f>
      </x:c>
      <x:c r="G1512" s="75" t="str">
        <x:f>IF('당기원장'!A512="","",'당기원장'!H512)</x:f>
      </x:c>
      <x:c r="H1512" s="73" t="str">
        <x:f>IF('당기원장'!A512="","",'당기원장'!I512)</x:f>
      </x:c>
      <x:c r="I1512" s="73" t="str">
        <x:f>IF('당기원장'!A512="","",'당기원장'!J512)</x:f>
      </x:c>
      <x:c r="J1512" s="73" t="str">
        <x:f>IF('당기원장'!A512="","",'당기원장'!K512)</x:f>
      </x:c>
      <x:c r="K1512" s="73" t="str">
        <x:f>IF(B1512="","",IF(COUNTIF($B$5:B1512,B1512)=1,COUNT($K$4:K1511)+1,""))</x:f>
      </x:c>
      <x:c r="L1512" s="85" t="str">
        <x:f>IF(B1512="","",IF(COUNTIFS('계정비교'!$A$5:$A$1004,B1512,'계정비교'!$H$5:$H$1004,"원인분석 대상")&gt;0,COUNT($L$4:L1511)+1,""))</x:f>
      </x:c>
    </x:row>
    <x:row r="1513">
      <x:c r="A1513" s="73" t="str">
        <x:f>IF('당기원장'!A513="","","당기")</x:f>
      </x:c>
      <x:c r="B1513" s="73" t="str">
        <x:f>IF('당기원장'!A513="","",'당기원장'!A513)</x:f>
      </x:c>
      <x:c r="C1513" s="73" t="str">
        <x:f>IF('당기원장'!A513="","",'당기원장'!B513)</x:f>
      </x:c>
      <x:c r="D1513" s="74" t="str">
        <x:f>IF('당기원장'!A513="","",'당기원장'!C513)</x:f>
      </x:c>
      <x:c r="E1513" s="73" t="str">
        <x:f>IF('당기원장'!A513="","",'당기원장'!D513)</x:f>
      </x:c>
      <x:c r="F1513" s="73" t="str">
        <x:f>IF('당기원장'!A513="","",'당기원장'!E513)</x:f>
      </x:c>
      <x:c r="G1513" s="75" t="str">
        <x:f>IF('당기원장'!A513="","",'당기원장'!H513)</x:f>
      </x:c>
      <x:c r="H1513" s="73" t="str">
        <x:f>IF('당기원장'!A513="","",'당기원장'!I513)</x:f>
      </x:c>
      <x:c r="I1513" s="73" t="str">
        <x:f>IF('당기원장'!A513="","",'당기원장'!J513)</x:f>
      </x:c>
      <x:c r="J1513" s="73" t="str">
        <x:f>IF('당기원장'!A513="","",'당기원장'!K513)</x:f>
      </x:c>
      <x:c r="K1513" s="73" t="str">
        <x:f>IF(B1513="","",IF(COUNTIF($B$5:B1513,B1513)=1,COUNT($K$4:K1512)+1,""))</x:f>
      </x:c>
      <x:c r="L1513" s="85" t="str">
        <x:f>IF(B1513="","",IF(COUNTIFS('계정비교'!$A$5:$A$1004,B1513,'계정비교'!$H$5:$H$1004,"원인분석 대상")&gt;0,COUNT($L$4:L1512)+1,""))</x:f>
      </x:c>
    </x:row>
    <x:row r="1514">
      <x:c r="A1514" s="73" t="str">
        <x:f>IF('당기원장'!A514="","","당기")</x:f>
      </x:c>
      <x:c r="B1514" s="73" t="str">
        <x:f>IF('당기원장'!A514="","",'당기원장'!A514)</x:f>
      </x:c>
      <x:c r="C1514" s="73" t="str">
        <x:f>IF('당기원장'!A514="","",'당기원장'!B514)</x:f>
      </x:c>
      <x:c r="D1514" s="74" t="str">
        <x:f>IF('당기원장'!A514="","",'당기원장'!C514)</x:f>
      </x:c>
      <x:c r="E1514" s="73" t="str">
        <x:f>IF('당기원장'!A514="","",'당기원장'!D514)</x:f>
      </x:c>
      <x:c r="F1514" s="73" t="str">
        <x:f>IF('당기원장'!A514="","",'당기원장'!E514)</x:f>
      </x:c>
      <x:c r="G1514" s="75" t="str">
        <x:f>IF('당기원장'!A514="","",'당기원장'!H514)</x:f>
      </x:c>
      <x:c r="H1514" s="73" t="str">
        <x:f>IF('당기원장'!A514="","",'당기원장'!I514)</x:f>
      </x:c>
      <x:c r="I1514" s="73" t="str">
        <x:f>IF('당기원장'!A514="","",'당기원장'!J514)</x:f>
      </x:c>
      <x:c r="J1514" s="73" t="str">
        <x:f>IF('당기원장'!A514="","",'당기원장'!K514)</x:f>
      </x:c>
      <x:c r="K1514" s="73" t="str">
        <x:f>IF(B1514="","",IF(COUNTIF($B$5:B1514,B1514)=1,COUNT($K$4:K1513)+1,""))</x:f>
      </x:c>
      <x:c r="L1514" s="85" t="str">
        <x:f>IF(B1514="","",IF(COUNTIFS('계정비교'!$A$5:$A$1004,B1514,'계정비교'!$H$5:$H$1004,"원인분석 대상")&gt;0,COUNT($L$4:L1513)+1,""))</x:f>
      </x:c>
    </x:row>
    <x:row r="1515">
      <x:c r="A1515" s="73" t="str">
        <x:f>IF('당기원장'!A515="","","당기")</x:f>
      </x:c>
      <x:c r="B1515" s="73" t="str">
        <x:f>IF('당기원장'!A515="","",'당기원장'!A515)</x:f>
      </x:c>
      <x:c r="C1515" s="73" t="str">
        <x:f>IF('당기원장'!A515="","",'당기원장'!B515)</x:f>
      </x:c>
      <x:c r="D1515" s="74" t="str">
        <x:f>IF('당기원장'!A515="","",'당기원장'!C515)</x:f>
      </x:c>
      <x:c r="E1515" s="73" t="str">
        <x:f>IF('당기원장'!A515="","",'당기원장'!D515)</x:f>
      </x:c>
      <x:c r="F1515" s="73" t="str">
        <x:f>IF('당기원장'!A515="","",'당기원장'!E515)</x:f>
      </x:c>
      <x:c r="G1515" s="75" t="str">
        <x:f>IF('당기원장'!A515="","",'당기원장'!H515)</x:f>
      </x:c>
      <x:c r="H1515" s="73" t="str">
        <x:f>IF('당기원장'!A515="","",'당기원장'!I515)</x:f>
      </x:c>
      <x:c r="I1515" s="73" t="str">
        <x:f>IF('당기원장'!A515="","",'당기원장'!J515)</x:f>
      </x:c>
      <x:c r="J1515" s="73" t="str">
        <x:f>IF('당기원장'!A515="","",'당기원장'!K515)</x:f>
      </x:c>
      <x:c r="K1515" s="73" t="str">
        <x:f>IF(B1515="","",IF(COUNTIF($B$5:B1515,B1515)=1,COUNT($K$4:K1514)+1,""))</x:f>
      </x:c>
      <x:c r="L1515" s="85" t="str">
        <x:f>IF(B1515="","",IF(COUNTIFS('계정비교'!$A$5:$A$1004,B1515,'계정비교'!$H$5:$H$1004,"원인분석 대상")&gt;0,COUNT($L$4:L1514)+1,""))</x:f>
      </x:c>
    </x:row>
    <x:row r="1516">
      <x:c r="A1516" s="73" t="str">
        <x:f>IF('당기원장'!A516="","","당기")</x:f>
      </x:c>
      <x:c r="B1516" s="73" t="str">
        <x:f>IF('당기원장'!A516="","",'당기원장'!A516)</x:f>
      </x:c>
      <x:c r="C1516" s="73" t="str">
        <x:f>IF('당기원장'!A516="","",'당기원장'!B516)</x:f>
      </x:c>
      <x:c r="D1516" s="74" t="str">
        <x:f>IF('당기원장'!A516="","",'당기원장'!C516)</x:f>
      </x:c>
      <x:c r="E1516" s="73" t="str">
        <x:f>IF('당기원장'!A516="","",'당기원장'!D516)</x:f>
      </x:c>
      <x:c r="F1516" s="73" t="str">
        <x:f>IF('당기원장'!A516="","",'당기원장'!E516)</x:f>
      </x:c>
      <x:c r="G1516" s="75" t="str">
        <x:f>IF('당기원장'!A516="","",'당기원장'!H516)</x:f>
      </x:c>
      <x:c r="H1516" s="73" t="str">
        <x:f>IF('당기원장'!A516="","",'당기원장'!I516)</x:f>
      </x:c>
      <x:c r="I1516" s="73" t="str">
        <x:f>IF('당기원장'!A516="","",'당기원장'!J516)</x:f>
      </x:c>
      <x:c r="J1516" s="73" t="str">
        <x:f>IF('당기원장'!A516="","",'당기원장'!K516)</x:f>
      </x:c>
      <x:c r="K1516" s="73" t="str">
        <x:f>IF(B1516="","",IF(COUNTIF($B$5:B1516,B1516)=1,COUNT($K$4:K1515)+1,""))</x:f>
      </x:c>
      <x:c r="L1516" s="85" t="str">
        <x:f>IF(B1516="","",IF(COUNTIFS('계정비교'!$A$5:$A$1004,B1516,'계정비교'!$H$5:$H$1004,"원인분석 대상")&gt;0,COUNT($L$4:L1515)+1,""))</x:f>
      </x:c>
    </x:row>
    <x:row r="1517">
      <x:c r="A1517" s="73" t="str">
        <x:f>IF('당기원장'!A517="","","당기")</x:f>
      </x:c>
      <x:c r="B1517" s="73" t="str">
        <x:f>IF('당기원장'!A517="","",'당기원장'!A517)</x:f>
      </x:c>
      <x:c r="C1517" s="73" t="str">
        <x:f>IF('당기원장'!A517="","",'당기원장'!B517)</x:f>
      </x:c>
      <x:c r="D1517" s="74" t="str">
        <x:f>IF('당기원장'!A517="","",'당기원장'!C517)</x:f>
      </x:c>
      <x:c r="E1517" s="73" t="str">
        <x:f>IF('당기원장'!A517="","",'당기원장'!D517)</x:f>
      </x:c>
      <x:c r="F1517" s="73" t="str">
        <x:f>IF('당기원장'!A517="","",'당기원장'!E517)</x:f>
      </x:c>
      <x:c r="G1517" s="75" t="str">
        <x:f>IF('당기원장'!A517="","",'당기원장'!H517)</x:f>
      </x:c>
      <x:c r="H1517" s="73" t="str">
        <x:f>IF('당기원장'!A517="","",'당기원장'!I517)</x:f>
      </x:c>
      <x:c r="I1517" s="73" t="str">
        <x:f>IF('당기원장'!A517="","",'당기원장'!J517)</x:f>
      </x:c>
      <x:c r="J1517" s="73" t="str">
        <x:f>IF('당기원장'!A517="","",'당기원장'!K517)</x:f>
      </x:c>
      <x:c r="K1517" s="73" t="str">
        <x:f>IF(B1517="","",IF(COUNTIF($B$5:B1517,B1517)=1,COUNT($K$4:K1516)+1,""))</x:f>
      </x:c>
      <x:c r="L1517" s="85" t="str">
        <x:f>IF(B1517="","",IF(COUNTIFS('계정비교'!$A$5:$A$1004,B1517,'계정비교'!$H$5:$H$1004,"원인분석 대상")&gt;0,COUNT($L$4:L1516)+1,""))</x:f>
      </x:c>
    </x:row>
    <x:row r="1518">
      <x:c r="A1518" s="73" t="str">
        <x:f>IF('당기원장'!A518="","","당기")</x:f>
      </x:c>
      <x:c r="B1518" s="73" t="str">
        <x:f>IF('당기원장'!A518="","",'당기원장'!A518)</x:f>
      </x:c>
      <x:c r="C1518" s="73" t="str">
        <x:f>IF('당기원장'!A518="","",'당기원장'!B518)</x:f>
      </x:c>
      <x:c r="D1518" s="74" t="str">
        <x:f>IF('당기원장'!A518="","",'당기원장'!C518)</x:f>
      </x:c>
      <x:c r="E1518" s="73" t="str">
        <x:f>IF('당기원장'!A518="","",'당기원장'!D518)</x:f>
      </x:c>
      <x:c r="F1518" s="73" t="str">
        <x:f>IF('당기원장'!A518="","",'당기원장'!E518)</x:f>
      </x:c>
      <x:c r="G1518" s="75" t="str">
        <x:f>IF('당기원장'!A518="","",'당기원장'!H518)</x:f>
      </x:c>
      <x:c r="H1518" s="73" t="str">
        <x:f>IF('당기원장'!A518="","",'당기원장'!I518)</x:f>
      </x:c>
      <x:c r="I1518" s="73" t="str">
        <x:f>IF('당기원장'!A518="","",'당기원장'!J518)</x:f>
      </x:c>
      <x:c r="J1518" s="73" t="str">
        <x:f>IF('당기원장'!A518="","",'당기원장'!K518)</x:f>
      </x:c>
      <x:c r="K1518" s="73" t="str">
        <x:f>IF(B1518="","",IF(COUNTIF($B$5:B1518,B1518)=1,COUNT($K$4:K1517)+1,""))</x:f>
      </x:c>
      <x:c r="L1518" s="85" t="str">
        <x:f>IF(B1518="","",IF(COUNTIFS('계정비교'!$A$5:$A$1004,B1518,'계정비교'!$H$5:$H$1004,"원인분석 대상")&gt;0,COUNT($L$4:L1517)+1,""))</x:f>
      </x:c>
    </x:row>
    <x:row r="1519">
      <x:c r="A1519" s="73" t="str">
        <x:f>IF('당기원장'!A519="","","당기")</x:f>
      </x:c>
      <x:c r="B1519" s="73" t="str">
        <x:f>IF('당기원장'!A519="","",'당기원장'!A519)</x:f>
      </x:c>
      <x:c r="C1519" s="73" t="str">
        <x:f>IF('당기원장'!A519="","",'당기원장'!B519)</x:f>
      </x:c>
      <x:c r="D1519" s="74" t="str">
        <x:f>IF('당기원장'!A519="","",'당기원장'!C519)</x:f>
      </x:c>
      <x:c r="E1519" s="73" t="str">
        <x:f>IF('당기원장'!A519="","",'당기원장'!D519)</x:f>
      </x:c>
      <x:c r="F1519" s="73" t="str">
        <x:f>IF('당기원장'!A519="","",'당기원장'!E519)</x:f>
      </x:c>
      <x:c r="G1519" s="75" t="str">
        <x:f>IF('당기원장'!A519="","",'당기원장'!H519)</x:f>
      </x:c>
      <x:c r="H1519" s="73" t="str">
        <x:f>IF('당기원장'!A519="","",'당기원장'!I519)</x:f>
      </x:c>
      <x:c r="I1519" s="73" t="str">
        <x:f>IF('당기원장'!A519="","",'당기원장'!J519)</x:f>
      </x:c>
      <x:c r="J1519" s="73" t="str">
        <x:f>IF('당기원장'!A519="","",'당기원장'!K519)</x:f>
      </x:c>
      <x:c r="K1519" s="73" t="str">
        <x:f>IF(B1519="","",IF(COUNTIF($B$5:B1519,B1519)=1,COUNT($K$4:K1518)+1,""))</x:f>
      </x:c>
      <x:c r="L1519" s="85" t="str">
        <x:f>IF(B1519="","",IF(COUNTIFS('계정비교'!$A$5:$A$1004,B1519,'계정비교'!$H$5:$H$1004,"원인분석 대상")&gt;0,COUNT($L$4:L1518)+1,""))</x:f>
      </x:c>
    </x:row>
    <x:row r="1520">
      <x:c r="A1520" s="73" t="str">
        <x:f>IF('당기원장'!A520="","","당기")</x:f>
      </x:c>
      <x:c r="B1520" s="73" t="str">
        <x:f>IF('당기원장'!A520="","",'당기원장'!A520)</x:f>
      </x:c>
      <x:c r="C1520" s="73" t="str">
        <x:f>IF('당기원장'!A520="","",'당기원장'!B520)</x:f>
      </x:c>
      <x:c r="D1520" s="74" t="str">
        <x:f>IF('당기원장'!A520="","",'당기원장'!C520)</x:f>
      </x:c>
      <x:c r="E1520" s="73" t="str">
        <x:f>IF('당기원장'!A520="","",'당기원장'!D520)</x:f>
      </x:c>
      <x:c r="F1520" s="73" t="str">
        <x:f>IF('당기원장'!A520="","",'당기원장'!E520)</x:f>
      </x:c>
      <x:c r="G1520" s="75" t="str">
        <x:f>IF('당기원장'!A520="","",'당기원장'!H520)</x:f>
      </x:c>
      <x:c r="H1520" s="73" t="str">
        <x:f>IF('당기원장'!A520="","",'당기원장'!I520)</x:f>
      </x:c>
      <x:c r="I1520" s="73" t="str">
        <x:f>IF('당기원장'!A520="","",'당기원장'!J520)</x:f>
      </x:c>
      <x:c r="J1520" s="73" t="str">
        <x:f>IF('당기원장'!A520="","",'당기원장'!K520)</x:f>
      </x:c>
      <x:c r="K1520" s="73" t="str">
        <x:f>IF(B1520="","",IF(COUNTIF($B$5:B1520,B1520)=1,COUNT($K$4:K1519)+1,""))</x:f>
      </x:c>
      <x:c r="L1520" s="85" t="str">
        <x:f>IF(B1520="","",IF(COUNTIFS('계정비교'!$A$5:$A$1004,B1520,'계정비교'!$H$5:$H$1004,"원인분석 대상")&gt;0,COUNT($L$4:L1519)+1,""))</x:f>
      </x:c>
    </x:row>
    <x:row r="1521">
      <x:c r="A1521" s="73" t="str">
        <x:f>IF('당기원장'!A521="","","당기")</x:f>
      </x:c>
      <x:c r="B1521" s="73" t="str">
        <x:f>IF('당기원장'!A521="","",'당기원장'!A521)</x:f>
      </x:c>
      <x:c r="C1521" s="73" t="str">
        <x:f>IF('당기원장'!A521="","",'당기원장'!B521)</x:f>
      </x:c>
      <x:c r="D1521" s="74" t="str">
        <x:f>IF('당기원장'!A521="","",'당기원장'!C521)</x:f>
      </x:c>
      <x:c r="E1521" s="73" t="str">
        <x:f>IF('당기원장'!A521="","",'당기원장'!D521)</x:f>
      </x:c>
      <x:c r="F1521" s="73" t="str">
        <x:f>IF('당기원장'!A521="","",'당기원장'!E521)</x:f>
      </x:c>
      <x:c r="G1521" s="75" t="str">
        <x:f>IF('당기원장'!A521="","",'당기원장'!H521)</x:f>
      </x:c>
      <x:c r="H1521" s="73" t="str">
        <x:f>IF('당기원장'!A521="","",'당기원장'!I521)</x:f>
      </x:c>
      <x:c r="I1521" s="73" t="str">
        <x:f>IF('당기원장'!A521="","",'당기원장'!J521)</x:f>
      </x:c>
      <x:c r="J1521" s="73" t="str">
        <x:f>IF('당기원장'!A521="","",'당기원장'!K521)</x:f>
      </x:c>
      <x:c r="K1521" s="73" t="str">
        <x:f>IF(B1521="","",IF(COUNTIF($B$5:B1521,B1521)=1,COUNT($K$4:K1520)+1,""))</x:f>
      </x:c>
      <x:c r="L1521" s="85" t="str">
        <x:f>IF(B1521="","",IF(COUNTIFS('계정비교'!$A$5:$A$1004,B1521,'계정비교'!$H$5:$H$1004,"원인분석 대상")&gt;0,COUNT($L$4:L1520)+1,""))</x:f>
      </x:c>
    </x:row>
    <x:row r="1522">
      <x:c r="A1522" s="73" t="str">
        <x:f>IF('당기원장'!A522="","","당기")</x:f>
      </x:c>
      <x:c r="B1522" s="73" t="str">
        <x:f>IF('당기원장'!A522="","",'당기원장'!A522)</x:f>
      </x:c>
      <x:c r="C1522" s="73" t="str">
        <x:f>IF('당기원장'!A522="","",'당기원장'!B522)</x:f>
      </x:c>
      <x:c r="D1522" s="74" t="str">
        <x:f>IF('당기원장'!A522="","",'당기원장'!C522)</x:f>
      </x:c>
      <x:c r="E1522" s="73" t="str">
        <x:f>IF('당기원장'!A522="","",'당기원장'!D522)</x:f>
      </x:c>
      <x:c r="F1522" s="73" t="str">
        <x:f>IF('당기원장'!A522="","",'당기원장'!E522)</x:f>
      </x:c>
      <x:c r="G1522" s="75" t="str">
        <x:f>IF('당기원장'!A522="","",'당기원장'!H522)</x:f>
      </x:c>
      <x:c r="H1522" s="73" t="str">
        <x:f>IF('당기원장'!A522="","",'당기원장'!I522)</x:f>
      </x:c>
      <x:c r="I1522" s="73" t="str">
        <x:f>IF('당기원장'!A522="","",'당기원장'!J522)</x:f>
      </x:c>
      <x:c r="J1522" s="73" t="str">
        <x:f>IF('당기원장'!A522="","",'당기원장'!K522)</x:f>
      </x:c>
      <x:c r="K1522" s="73" t="str">
        <x:f>IF(B1522="","",IF(COUNTIF($B$5:B1522,B1522)=1,COUNT($K$4:K1521)+1,""))</x:f>
      </x:c>
      <x:c r="L1522" s="85" t="str">
        <x:f>IF(B1522="","",IF(COUNTIFS('계정비교'!$A$5:$A$1004,B1522,'계정비교'!$H$5:$H$1004,"원인분석 대상")&gt;0,COUNT($L$4:L1521)+1,""))</x:f>
      </x:c>
    </x:row>
    <x:row r="1523">
      <x:c r="A1523" s="73" t="str">
        <x:f>IF('당기원장'!A523="","","당기")</x:f>
      </x:c>
      <x:c r="B1523" s="73" t="str">
        <x:f>IF('당기원장'!A523="","",'당기원장'!A523)</x:f>
      </x:c>
      <x:c r="C1523" s="73" t="str">
        <x:f>IF('당기원장'!A523="","",'당기원장'!B523)</x:f>
      </x:c>
      <x:c r="D1523" s="74" t="str">
        <x:f>IF('당기원장'!A523="","",'당기원장'!C523)</x:f>
      </x:c>
      <x:c r="E1523" s="73" t="str">
        <x:f>IF('당기원장'!A523="","",'당기원장'!D523)</x:f>
      </x:c>
      <x:c r="F1523" s="73" t="str">
        <x:f>IF('당기원장'!A523="","",'당기원장'!E523)</x:f>
      </x:c>
      <x:c r="G1523" s="75" t="str">
        <x:f>IF('당기원장'!A523="","",'당기원장'!H523)</x:f>
      </x:c>
      <x:c r="H1523" s="73" t="str">
        <x:f>IF('당기원장'!A523="","",'당기원장'!I523)</x:f>
      </x:c>
      <x:c r="I1523" s="73" t="str">
        <x:f>IF('당기원장'!A523="","",'당기원장'!J523)</x:f>
      </x:c>
      <x:c r="J1523" s="73" t="str">
        <x:f>IF('당기원장'!A523="","",'당기원장'!K523)</x:f>
      </x:c>
      <x:c r="K1523" s="73" t="str">
        <x:f>IF(B1523="","",IF(COUNTIF($B$5:B1523,B1523)=1,COUNT($K$4:K1522)+1,""))</x:f>
      </x:c>
      <x:c r="L1523" s="85" t="str">
        <x:f>IF(B1523="","",IF(COUNTIFS('계정비교'!$A$5:$A$1004,B1523,'계정비교'!$H$5:$H$1004,"원인분석 대상")&gt;0,COUNT($L$4:L1522)+1,""))</x:f>
      </x:c>
    </x:row>
    <x:row r="1524">
      <x:c r="A1524" s="73" t="str">
        <x:f>IF('당기원장'!A524="","","당기")</x:f>
      </x:c>
      <x:c r="B1524" s="73" t="str">
        <x:f>IF('당기원장'!A524="","",'당기원장'!A524)</x:f>
      </x:c>
      <x:c r="C1524" s="73" t="str">
        <x:f>IF('당기원장'!A524="","",'당기원장'!B524)</x:f>
      </x:c>
      <x:c r="D1524" s="74" t="str">
        <x:f>IF('당기원장'!A524="","",'당기원장'!C524)</x:f>
      </x:c>
      <x:c r="E1524" s="73" t="str">
        <x:f>IF('당기원장'!A524="","",'당기원장'!D524)</x:f>
      </x:c>
      <x:c r="F1524" s="73" t="str">
        <x:f>IF('당기원장'!A524="","",'당기원장'!E524)</x:f>
      </x:c>
      <x:c r="G1524" s="75" t="str">
        <x:f>IF('당기원장'!A524="","",'당기원장'!H524)</x:f>
      </x:c>
      <x:c r="H1524" s="73" t="str">
        <x:f>IF('당기원장'!A524="","",'당기원장'!I524)</x:f>
      </x:c>
      <x:c r="I1524" s="73" t="str">
        <x:f>IF('당기원장'!A524="","",'당기원장'!J524)</x:f>
      </x:c>
      <x:c r="J1524" s="73" t="str">
        <x:f>IF('당기원장'!A524="","",'당기원장'!K524)</x:f>
      </x:c>
      <x:c r="K1524" s="73" t="str">
        <x:f>IF(B1524="","",IF(COUNTIF($B$5:B1524,B1524)=1,COUNT($K$4:K1523)+1,""))</x:f>
      </x:c>
      <x:c r="L1524" s="85" t="str">
        <x:f>IF(B1524="","",IF(COUNTIFS('계정비교'!$A$5:$A$1004,B1524,'계정비교'!$H$5:$H$1004,"원인분석 대상")&gt;0,COUNT($L$4:L1523)+1,""))</x:f>
      </x:c>
    </x:row>
    <x:row r="1525">
      <x:c r="A1525" s="73" t="str">
        <x:f>IF('당기원장'!A525="","","당기")</x:f>
      </x:c>
      <x:c r="B1525" s="73" t="str">
        <x:f>IF('당기원장'!A525="","",'당기원장'!A525)</x:f>
      </x:c>
      <x:c r="C1525" s="73" t="str">
        <x:f>IF('당기원장'!A525="","",'당기원장'!B525)</x:f>
      </x:c>
      <x:c r="D1525" s="74" t="str">
        <x:f>IF('당기원장'!A525="","",'당기원장'!C525)</x:f>
      </x:c>
      <x:c r="E1525" s="73" t="str">
        <x:f>IF('당기원장'!A525="","",'당기원장'!D525)</x:f>
      </x:c>
      <x:c r="F1525" s="73" t="str">
        <x:f>IF('당기원장'!A525="","",'당기원장'!E525)</x:f>
      </x:c>
      <x:c r="G1525" s="75" t="str">
        <x:f>IF('당기원장'!A525="","",'당기원장'!H525)</x:f>
      </x:c>
      <x:c r="H1525" s="73" t="str">
        <x:f>IF('당기원장'!A525="","",'당기원장'!I525)</x:f>
      </x:c>
      <x:c r="I1525" s="73" t="str">
        <x:f>IF('당기원장'!A525="","",'당기원장'!J525)</x:f>
      </x:c>
      <x:c r="J1525" s="73" t="str">
        <x:f>IF('당기원장'!A525="","",'당기원장'!K525)</x:f>
      </x:c>
      <x:c r="K1525" s="73" t="str">
        <x:f>IF(B1525="","",IF(COUNTIF($B$5:B1525,B1525)=1,COUNT($K$4:K1524)+1,""))</x:f>
      </x:c>
      <x:c r="L1525" s="85" t="str">
        <x:f>IF(B1525="","",IF(COUNTIFS('계정비교'!$A$5:$A$1004,B1525,'계정비교'!$H$5:$H$1004,"원인분석 대상")&gt;0,COUNT($L$4:L1524)+1,""))</x:f>
      </x:c>
    </x:row>
    <x:row r="1526">
      <x:c r="A1526" s="73" t="str">
        <x:f>IF('당기원장'!A526="","","당기")</x:f>
      </x:c>
      <x:c r="B1526" s="73" t="str">
        <x:f>IF('당기원장'!A526="","",'당기원장'!A526)</x:f>
      </x:c>
      <x:c r="C1526" s="73" t="str">
        <x:f>IF('당기원장'!A526="","",'당기원장'!B526)</x:f>
      </x:c>
      <x:c r="D1526" s="74" t="str">
        <x:f>IF('당기원장'!A526="","",'당기원장'!C526)</x:f>
      </x:c>
      <x:c r="E1526" s="73" t="str">
        <x:f>IF('당기원장'!A526="","",'당기원장'!D526)</x:f>
      </x:c>
      <x:c r="F1526" s="73" t="str">
        <x:f>IF('당기원장'!A526="","",'당기원장'!E526)</x:f>
      </x:c>
      <x:c r="G1526" s="75" t="str">
        <x:f>IF('당기원장'!A526="","",'당기원장'!H526)</x:f>
      </x:c>
      <x:c r="H1526" s="73" t="str">
        <x:f>IF('당기원장'!A526="","",'당기원장'!I526)</x:f>
      </x:c>
      <x:c r="I1526" s="73" t="str">
        <x:f>IF('당기원장'!A526="","",'당기원장'!J526)</x:f>
      </x:c>
      <x:c r="J1526" s="73" t="str">
        <x:f>IF('당기원장'!A526="","",'당기원장'!K526)</x:f>
      </x:c>
      <x:c r="K1526" s="73" t="str">
        <x:f>IF(B1526="","",IF(COUNTIF($B$5:B1526,B1526)=1,COUNT($K$4:K1525)+1,""))</x:f>
      </x:c>
      <x:c r="L1526" s="85" t="str">
        <x:f>IF(B1526="","",IF(COUNTIFS('계정비교'!$A$5:$A$1004,B1526,'계정비교'!$H$5:$H$1004,"원인분석 대상")&gt;0,COUNT($L$4:L1525)+1,""))</x:f>
      </x:c>
    </x:row>
    <x:row r="1527">
      <x:c r="A1527" s="73" t="str">
        <x:f>IF('당기원장'!A527="","","당기")</x:f>
      </x:c>
      <x:c r="B1527" s="73" t="str">
        <x:f>IF('당기원장'!A527="","",'당기원장'!A527)</x:f>
      </x:c>
      <x:c r="C1527" s="73" t="str">
        <x:f>IF('당기원장'!A527="","",'당기원장'!B527)</x:f>
      </x:c>
      <x:c r="D1527" s="74" t="str">
        <x:f>IF('당기원장'!A527="","",'당기원장'!C527)</x:f>
      </x:c>
      <x:c r="E1527" s="73" t="str">
        <x:f>IF('당기원장'!A527="","",'당기원장'!D527)</x:f>
      </x:c>
      <x:c r="F1527" s="73" t="str">
        <x:f>IF('당기원장'!A527="","",'당기원장'!E527)</x:f>
      </x:c>
      <x:c r="G1527" s="75" t="str">
        <x:f>IF('당기원장'!A527="","",'당기원장'!H527)</x:f>
      </x:c>
      <x:c r="H1527" s="73" t="str">
        <x:f>IF('당기원장'!A527="","",'당기원장'!I527)</x:f>
      </x:c>
      <x:c r="I1527" s="73" t="str">
        <x:f>IF('당기원장'!A527="","",'당기원장'!J527)</x:f>
      </x:c>
      <x:c r="J1527" s="73" t="str">
        <x:f>IF('당기원장'!A527="","",'당기원장'!K527)</x:f>
      </x:c>
      <x:c r="K1527" s="73" t="str">
        <x:f>IF(B1527="","",IF(COUNTIF($B$5:B1527,B1527)=1,COUNT($K$4:K1526)+1,""))</x:f>
      </x:c>
      <x:c r="L1527" s="85" t="str">
        <x:f>IF(B1527="","",IF(COUNTIFS('계정비교'!$A$5:$A$1004,B1527,'계정비교'!$H$5:$H$1004,"원인분석 대상")&gt;0,COUNT($L$4:L1526)+1,""))</x:f>
      </x:c>
    </x:row>
    <x:row r="1528">
      <x:c r="A1528" s="73" t="str">
        <x:f>IF('당기원장'!A528="","","당기")</x:f>
      </x:c>
      <x:c r="B1528" s="73" t="str">
        <x:f>IF('당기원장'!A528="","",'당기원장'!A528)</x:f>
      </x:c>
      <x:c r="C1528" s="73" t="str">
        <x:f>IF('당기원장'!A528="","",'당기원장'!B528)</x:f>
      </x:c>
      <x:c r="D1528" s="74" t="str">
        <x:f>IF('당기원장'!A528="","",'당기원장'!C528)</x:f>
      </x:c>
      <x:c r="E1528" s="73" t="str">
        <x:f>IF('당기원장'!A528="","",'당기원장'!D528)</x:f>
      </x:c>
      <x:c r="F1528" s="73" t="str">
        <x:f>IF('당기원장'!A528="","",'당기원장'!E528)</x:f>
      </x:c>
      <x:c r="G1528" s="75" t="str">
        <x:f>IF('당기원장'!A528="","",'당기원장'!H528)</x:f>
      </x:c>
      <x:c r="H1528" s="73" t="str">
        <x:f>IF('당기원장'!A528="","",'당기원장'!I528)</x:f>
      </x:c>
      <x:c r="I1528" s="73" t="str">
        <x:f>IF('당기원장'!A528="","",'당기원장'!J528)</x:f>
      </x:c>
      <x:c r="J1528" s="73" t="str">
        <x:f>IF('당기원장'!A528="","",'당기원장'!K528)</x:f>
      </x:c>
      <x:c r="K1528" s="73" t="str">
        <x:f>IF(B1528="","",IF(COUNTIF($B$5:B1528,B1528)=1,COUNT($K$4:K1527)+1,""))</x:f>
      </x:c>
      <x:c r="L1528" s="85" t="str">
        <x:f>IF(B1528="","",IF(COUNTIFS('계정비교'!$A$5:$A$1004,B1528,'계정비교'!$H$5:$H$1004,"원인분석 대상")&gt;0,COUNT($L$4:L1527)+1,""))</x:f>
      </x:c>
    </x:row>
    <x:row r="1529">
      <x:c r="A1529" s="73" t="str">
        <x:f>IF('당기원장'!A529="","","당기")</x:f>
      </x:c>
      <x:c r="B1529" s="73" t="str">
        <x:f>IF('당기원장'!A529="","",'당기원장'!A529)</x:f>
      </x:c>
      <x:c r="C1529" s="73" t="str">
        <x:f>IF('당기원장'!A529="","",'당기원장'!B529)</x:f>
      </x:c>
      <x:c r="D1529" s="74" t="str">
        <x:f>IF('당기원장'!A529="","",'당기원장'!C529)</x:f>
      </x:c>
      <x:c r="E1529" s="73" t="str">
        <x:f>IF('당기원장'!A529="","",'당기원장'!D529)</x:f>
      </x:c>
      <x:c r="F1529" s="73" t="str">
        <x:f>IF('당기원장'!A529="","",'당기원장'!E529)</x:f>
      </x:c>
      <x:c r="G1529" s="75" t="str">
        <x:f>IF('당기원장'!A529="","",'당기원장'!H529)</x:f>
      </x:c>
      <x:c r="H1529" s="73" t="str">
        <x:f>IF('당기원장'!A529="","",'당기원장'!I529)</x:f>
      </x:c>
      <x:c r="I1529" s="73" t="str">
        <x:f>IF('당기원장'!A529="","",'당기원장'!J529)</x:f>
      </x:c>
      <x:c r="J1529" s="73" t="str">
        <x:f>IF('당기원장'!A529="","",'당기원장'!K529)</x:f>
      </x:c>
      <x:c r="K1529" s="73" t="str">
        <x:f>IF(B1529="","",IF(COUNTIF($B$5:B1529,B1529)=1,COUNT($K$4:K1528)+1,""))</x:f>
      </x:c>
      <x:c r="L1529" s="85" t="str">
        <x:f>IF(B1529="","",IF(COUNTIFS('계정비교'!$A$5:$A$1004,B1529,'계정비교'!$H$5:$H$1004,"원인분석 대상")&gt;0,COUNT($L$4:L1528)+1,""))</x:f>
      </x:c>
    </x:row>
    <x:row r="1530">
      <x:c r="A1530" s="73" t="str">
        <x:f>IF('당기원장'!A530="","","당기")</x:f>
      </x:c>
      <x:c r="B1530" s="73" t="str">
        <x:f>IF('당기원장'!A530="","",'당기원장'!A530)</x:f>
      </x:c>
      <x:c r="C1530" s="73" t="str">
        <x:f>IF('당기원장'!A530="","",'당기원장'!B530)</x:f>
      </x:c>
      <x:c r="D1530" s="74" t="str">
        <x:f>IF('당기원장'!A530="","",'당기원장'!C530)</x:f>
      </x:c>
      <x:c r="E1530" s="73" t="str">
        <x:f>IF('당기원장'!A530="","",'당기원장'!D530)</x:f>
      </x:c>
      <x:c r="F1530" s="73" t="str">
        <x:f>IF('당기원장'!A530="","",'당기원장'!E530)</x:f>
      </x:c>
      <x:c r="G1530" s="75" t="str">
        <x:f>IF('당기원장'!A530="","",'당기원장'!H530)</x:f>
      </x:c>
      <x:c r="H1530" s="73" t="str">
        <x:f>IF('당기원장'!A530="","",'당기원장'!I530)</x:f>
      </x:c>
      <x:c r="I1530" s="73" t="str">
        <x:f>IF('당기원장'!A530="","",'당기원장'!J530)</x:f>
      </x:c>
      <x:c r="J1530" s="73" t="str">
        <x:f>IF('당기원장'!A530="","",'당기원장'!K530)</x:f>
      </x:c>
      <x:c r="K1530" s="73" t="str">
        <x:f>IF(B1530="","",IF(COUNTIF($B$5:B1530,B1530)=1,COUNT($K$4:K1529)+1,""))</x:f>
      </x:c>
      <x:c r="L1530" s="85" t="str">
        <x:f>IF(B1530="","",IF(COUNTIFS('계정비교'!$A$5:$A$1004,B1530,'계정비교'!$H$5:$H$1004,"원인분석 대상")&gt;0,COUNT($L$4:L1529)+1,""))</x:f>
      </x:c>
    </x:row>
    <x:row r="1531">
      <x:c r="A1531" s="73" t="str">
        <x:f>IF('당기원장'!A531="","","당기")</x:f>
      </x:c>
      <x:c r="B1531" s="73" t="str">
        <x:f>IF('당기원장'!A531="","",'당기원장'!A531)</x:f>
      </x:c>
      <x:c r="C1531" s="73" t="str">
        <x:f>IF('당기원장'!A531="","",'당기원장'!B531)</x:f>
      </x:c>
      <x:c r="D1531" s="74" t="str">
        <x:f>IF('당기원장'!A531="","",'당기원장'!C531)</x:f>
      </x:c>
      <x:c r="E1531" s="73" t="str">
        <x:f>IF('당기원장'!A531="","",'당기원장'!D531)</x:f>
      </x:c>
      <x:c r="F1531" s="73" t="str">
        <x:f>IF('당기원장'!A531="","",'당기원장'!E531)</x:f>
      </x:c>
      <x:c r="G1531" s="75" t="str">
        <x:f>IF('당기원장'!A531="","",'당기원장'!H531)</x:f>
      </x:c>
      <x:c r="H1531" s="73" t="str">
        <x:f>IF('당기원장'!A531="","",'당기원장'!I531)</x:f>
      </x:c>
      <x:c r="I1531" s="73" t="str">
        <x:f>IF('당기원장'!A531="","",'당기원장'!J531)</x:f>
      </x:c>
      <x:c r="J1531" s="73" t="str">
        <x:f>IF('당기원장'!A531="","",'당기원장'!K531)</x:f>
      </x:c>
      <x:c r="K1531" s="73" t="str">
        <x:f>IF(B1531="","",IF(COUNTIF($B$5:B1531,B1531)=1,COUNT($K$4:K1530)+1,""))</x:f>
      </x:c>
      <x:c r="L1531" s="85" t="str">
        <x:f>IF(B1531="","",IF(COUNTIFS('계정비교'!$A$5:$A$1004,B1531,'계정비교'!$H$5:$H$1004,"원인분석 대상")&gt;0,COUNT($L$4:L1530)+1,""))</x:f>
      </x:c>
    </x:row>
    <x:row r="1532">
      <x:c r="A1532" s="73" t="str">
        <x:f>IF('당기원장'!A532="","","당기")</x:f>
      </x:c>
      <x:c r="B1532" s="73" t="str">
        <x:f>IF('당기원장'!A532="","",'당기원장'!A532)</x:f>
      </x:c>
      <x:c r="C1532" s="73" t="str">
        <x:f>IF('당기원장'!A532="","",'당기원장'!B532)</x:f>
      </x:c>
      <x:c r="D1532" s="74" t="str">
        <x:f>IF('당기원장'!A532="","",'당기원장'!C532)</x:f>
      </x:c>
      <x:c r="E1532" s="73" t="str">
        <x:f>IF('당기원장'!A532="","",'당기원장'!D532)</x:f>
      </x:c>
      <x:c r="F1532" s="73" t="str">
        <x:f>IF('당기원장'!A532="","",'당기원장'!E532)</x:f>
      </x:c>
      <x:c r="G1532" s="75" t="str">
        <x:f>IF('당기원장'!A532="","",'당기원장'!H532)</x:f>
      </x:c>
      <x:c r="H1532" s="73" t="str">
        <x:f>IF('당기원장'!A532="","",'당기원장'!I532)</x:f>
      </x:c>
      <x:c r="I1532" s="73" t="str">
        <x:f>IF('당기원장'!A532="","",'당기원장'!J532)</x:f>
      </x:c>
      <x:c r="J1532" s="73" t="str">
        <x:f>IF('당기원장'!A532="","",'당기원장'!K532)</x:f>
      </x:c>
      <x:c r="K1532" s="73" t="str">
        <x:f>IF(B1532="","",IF(COUNTIF($B$5:B1532,B1532)=1,COUNT($K$4:K1531)+1,""))</x:f>
      </x:c>
      <x:c r="L1532" s="85" t="str">
        <x:f>IF(B1532="","",IF(COUNTIFS('계정비교'!$A$5:$A$1004,B1532,'계정비교'!$H$5:$H$1004,"원인분석 대상")&gt;0,COUNT($L$4:L1531)+1,""))</x:f>
      </x:c>
    </x:row>
    <x:row r="1533">
      <x:c r="A1533" s="73" t="str">
        <x:f>IF('당기원장'!A533="","","당기")</x:f>
      </x:c>
      <x:c r="B1533" s="73" t="str">
        <x:f>IF('당기원장'!A533="","",'당기원장'!A533)</x:f>
      </x:c>
      <x:c r="C1533" s="73" t="str">
        <x:f>IF('당기원장'!A533="","",'당기원장'!B533)</x:f>
      </x:c>
      <x:c r="D1533" s="74" t="str">
        <x:f>IF('당기원장'!A533="","",'당기원장'!C533)</x:f>
      </x:c>
      <x:c r="E1533" s="73" t="str">
        <x:f>IF('당기원장'!A533="","",'당기원장'!D533)</x:f>
      </x:c>
      <x:c r="F1533" s="73" t="str">
        <x:f>IF('당기원장'!A533="","",'당기원장'!E533)</x:f>
      </x:c>
      <x:c r="G1533" s="75" t="str">
        <x:f>IF('당기원장'!A533="","",'당기원장'!H533)</x:f>
      </x:c>
      <x:c r="H1533" s="73" t="str">
        <x:f>IF('당기원장'!A533="","",'당기원장'!I533)</x:f>
      </x:c>
      <x:c r="I1533" s="73" t="str">
        <x:f>IF('당기원장'!A533="","",'당기원장'!J533)</x:f>
      </x:c>
      <x:c r="J1533" s="73" t="str">
        <x:f>IF('당기원장'!A533="","",'당기원장'!K533)</x:f>
      </x:c>
      <x:c r="K1533" s="73" t="str">
        <x:f>IF(B1533="","",IF(COUNTIF($B$5:B1533,B1533)=1,COUNT($K$4:K1532)+1,""))</x:f>
      </x:c>
      <x:c r="L1533" s="85" t="str">
        <x:f>IF(B1533="","",IF(COUNTIFS('계정비교'!$A$5:$A$1004,B1533,'계정비교'!$H$5:$H$1004,"원인분석 대상")&gt;0,COUNT($L$4:L1532)+1,""))</x:f>
      </x:c>
    </x:row>
    <x:row r="1534">
      <x:c r="A1534" s="73" t="str">
        <x:f>IF('당기원장'!A534="","","당기")</x:f>
      </x:c>
      <x:c r="B1534" s="73" t="str">
        <x:f>IF('당기원장'!A534="","",'당기원장'!A534)</x:f>
      </x:c>
      <x:c r="C1534" s="73" t="str">
        <x:f>IF('당기원장'!A534="","",'당기원장'!B534)</x:f>
      </x:c>
      <x:c r="D1534" s="74" t="str">
        <x:f>IF('당기원장'!A534="","",'당기원장'!C534)</x:f>
      </x:c>
      <x:c r="E1534" s="73" t="str">
        <x:f>IF('당기원장'!A534="","",'당기원장'!D534)</x:f>
      </x:c>
      <x:c r="F1534" s="73" t="str">
        <x:f>IF('당기원장'!A534="","",'당기원장'!E534)</x:f>
      </x:c>
      <x:c r="G1534" s="75" t="str">
        <x:f>IF('당기원장'!A534="","",'당기원장'!H534)</x:f>
      </x:c>
      <x:c r="H1534" s="73" t="str">
        <x:f>IF('당기원장'!A534="","",'당기원장'!I534)</x:f>
      </x:c>
      <x:c r="I1534" s="73" t="str">
        <x:f>IF('당기원장'!A534="","",'당기원장'!J534)</x:f>
      </x:c>
      <x:c r="J1534" s="73" t="str">
        <x:f>IF('당기원장'!A534="","",'당기원장'!K534)</x:f>
      </x:c>
      <x:c r="K1534" s="73" t="str">
        <x:f>IF(B1534="","",IF(COUNTIF($B$5:B1534,B1534)=1,COUNT($K$4:K1533)+1,""))</x:f>
      </x:c>
      <x:c r="L1534" s="85" t="str">
        <x:f>IF(B1534="","",IF(COUNTIFS('계정비교'!$A$5:$A$1004,B1534,'계정비교'!$H$5:$H$1004,"원인분석 대상")&gt;0,COUNT($L$4:L1533)+1,""))</x:f>
      </x:c>
    </x:row>
    <x:row r="1535">
      <x:c r="A1535" s="73" t="str">
        <x:f>IF('당기원장'!A535="","","당기")</x:f>
      </x:c>
      <x:c r="B1535" s="73" t="str">
        <x:f>IF('당기원장'!A535="","",'당기원장'!A535)</x:f>
      </x:c>
      <x:c r="C1535" s="73" t="str">
        <x:f>IF('당기원장'!A535="","",'당기원장'!B535)</x:f>
      </x:c>
      <x:c r="D1535" s="74" t="str">
        <x:f>IF('당기원장'!A535="","",'당기원장'!C535)</x:f>
      </x:c>
      <x:c r="E1535" s="73" t="str">
        <x:f>IF('당기원장'!A535="","",'당기원장'!D535)</x:f>
      </x:c>
      <x:c r="F1535" s="73" t="str">
        <x:f>IF('당기원장'!A535="","",'당기원장'!E535)</x:f>
      </x:c>
      <x:c r="G1535" s="75" t="str">
        <x:f>IF('당기원장'!A535="","",'당기원장'!H535)</x:f>
      </x:c>
      <x:c r="H1535" s="73" t="str">
        <x:f>IF('당기원장'!A535="","",'당기원장'!I535)</x:f>
      </x:c>
      <x:c r="I1535" s="73" t="str">
        <x:f>IF('당기원장'!A535="","",'당기원장'!J535)</x:f>
      </x:c>
      <x:c r="J1535" s="73" t="str">
        <x:f>IF('당기원장'!A535="","",'당기원장'!K535)</x:f>
      </x:c>
      <x:c r="K1535" s="73" t="str">
        <x:f>IF(B1535="","",IF(COUNTIF($B$5:B1535,B1535)=1,COUNT($K$4:K1534)+1,""))</x:f>
      </x:c>
      <x:c r="L1535" s="85" t="str">
        <x:f>IF(B1535="","",IF(COUNTIFS('계정비교'!$A$5:$A$1004,B1535,'계정비교'!$H$5:$H$1004,"원인분석 대상")&gt;0,COUNT($L$4:L1534)+1,""))</x:f>
      </x:c>
    </x:row>
    <x:row r="1536">
      <x:c r="A1536" s="73" t="str">
        <x:f>IF('당기원장'!A536="","","당기")</x:f>
      </x:c>
      <x:c r="B1536" s="73" t="str">
        <x:f>IF('당기원장'!A536="","",'당기원장'!A536)</x:f>
      </x:c>
      <x:c r="C1536" s="73" t="str">
        <x:f>IF('당기원장'!A536="","",'당기원장'!B536)</x:f>
      </x:c>
      <x:c r="D1536" s="74" t="str">
        <x:f>IF('당기원장'!A536="","",'당기원장'!C536)</x:f>
      </x:c>
      <x:c r="E1536" s="73" t="str">
        <x:f>IF('당기원장'!A536="","",'당기원장'!D536)</x:f>
      </x:c>
      <x:c r="F1536" s="73" t="str">
        <x:f>IF('당기원장'!A536="","",'당기원장'!E536)</x:f>
      </x:c>
      <x:c r="G1536" s="75" t="str">
        <x:f>IF('당기원장'!A536="","",'당기원장'!H536)</x:f>
      </x:c>
      <x:c r="H1536" s="73" t="str">
        <x:f>IF('당기원장'!A536="","",'당기원장'!I536)</x:f>
      </x:c>
      <x:c r="I1536" s="73" t="str">
        <x:f>IF('당기원장'!A536="","",'당기원장'!J536)</x:f>
      </x:c>
      <x:c r="J1536" s="73" t="str">
        <x:f>IF('당기원장'!A536="","",'당기원장'!K536)</x:f>
      </x:c>
      <x:c r="K1536" s="73" t="str">
        <x:f>IF(B1536="","",IF(COUNTIF($B$5:B1536,B1536)=1,COUNT($K$4:K1535)+1,""))</x:f>
      </x:c>
      <x:c r="L1536" s="85" t="str">
        <x:f>IF(B1536="","",IF(COUNTIFS('계정비교'!$A$5:$A$1004,B1536,'계정비교'!$H$5:$H$1004,"원인분석 대상")&gt;0,COUNT($L$4:L1535)+1,""))</x:f>
      </x:c>
    </x:row>
    <x:row r="1537">
      <x:c r="A1537" s="73" t="str">
        <x:f>IF('당기원장'!A537="","","당기")</x:f>
      </x:c>
      <x:c r="B1537" s="73" t="str">
        <x:f>IF('당기원장'!A537="","",'당기원장'!A537)</x:f>
      </x:c>
      <x:c r="C1537" s="73" t="str">
        <x:f>IF('당기원장'!A537="","",'당기원장'!B537)</x:f>
      </x:c>
      <x:c r="D1537" s="74" t="str">
        <x:f>IF('당기원장'!A537="","",'당기원장'!C537)</x:f>
      </x:c>
      <x:c r="E1537" s="73" t="str">
        <x:f>IF('당기원장'!A537="","",'당기원장'!D537)</x:f>
      </x:c>
      <x:c r="F1537" s="73" t="str">
        <x:f>IF('당기원장'!A537="","",'당기원장'!E537)</x:f>
      </x:c>
      <x:c r="G1537" s="75" t="str">
        <x:f>IF('당기원장'!A537="","",'당기원장'!H537)</x:f>
      </x:c>
      <x:c r="H1537" s="73" t="str">
        <x:f>IF('당기원장'!A537="","",'당기원장'!I537)</x:f>
      </x:c>
      <x:c r="I1537" s="73" t="str">
        <x:f>IF('당기원장'!A537="","",'당기원장'!J537)</x:f>
      </x:c>
      <x:c r="J1537" s="73" t="str">
        <x:f>IF('당기원장'!A537="","",'당기원장'!K537)</x:f>
      </x:c>
      <x:c r="K1537" s="73" t="str">
        <x:f>IF(B1537="","",IF(COUNTIF($B$5:B1537,B1537)=1,COUNT($K$4:K1536)+1,""))</x:f>
      </x:c>
      <x:c r="L1537" s="85" t="str">
        <x:f>IF(B1537="","",IF(COUNTIFS('계정비교'!$A$5:$A$1004,B1537,'계정비교'!$H$5:$H$1004,"원인분석 대상")&gt;0,COUNT($L$4:L1536)+1,""))</x:f>
      </x:c>
    </x:row>
    <x:row r="1538">
      <x:c r="A1538" s="73" t="str">
        <x:f>IF('당기원장'!A538="","","당기")</x:f>
      </x:c>
      <x:c r="B1538" s="73" t="str">
        <x:f>IF('당기원장'!A538="","",'당기원장'!A538)</x:f>
      </x:c>
      <x:c r="C1538" s="73" t="str">
        <x:f>IF('당기원장'!A538="","",'당기원장'!B538)</x:f>
      </x:c>
      <x:c r="D1538" s="74" t="str">
        <x:f>IF('당기원장'!A538="","",'당기원장'!C538)</x:f>
      </x:c>
      <x:c r="E1538" s="73" t="str">
        <x:f>IF('당기원장'!A538="","",'당기원장'!D538)</x:f>
      </x:c>
      <x:c r="F1538" s="73" t="str">
        <x:f>IF('당기원장'!A538="","",'당기원장'!E538)</x:f>
      </x:c>
      <x:c r="G1538" s="75" t="str">
        <x:f>IF('당기원장'!A538="","",'당기원장'!H538)</x:f>
      </x:c>
      <x:c r="H1538" s="73" t="str">
        <x:f>IF('당기원장'!A538="","",'당기원장'!I538)</x:f>
      </x:c>
      <x:c r="I1538" s="73" t="str">
        <x:f>IF('당기원장'!A538="","",'당기원장'!J538)</x:f>
      </x:c>
      <x:c r="J1538" s="73" t="str">
        <x:f>IF('당기원장'!A538="","",'당기원장'!K538)</x:f>
      </x:c>
      <x:c r="K1538" s="73" t="str">
        <x:f>IF(B1538="","",IF(COUNTIF($B$5:B1538,B1538)=1,COUNT($K$4:K1537)+1,""))</x:f>
      </x:c>
      <x:c r="L1538" s="85" t="str">
        <x:f>IF(B1538="","",IF(COUNTIFS('계정비교'!$A$5:$A$1004,B1538,'계정비교'!$H$5:$H$1004,"원인분석 대상")&gt;0,COUNT($L$4:L1537)+1,""))</x:f>
      </x:c>
    </x:row>
    <x:row r="1539">
      <x:c r="A1539" s="73" t="str">
        <x:f>IF('당기원장'!A539="","","당기")</x:f>
      </x:c>
      <x:c r="B1539" s="73" t="str">
        <x:f>IF('당기원장'!A539="","",'당기원장'!A539)</x:f>
      </x:c>
      <x:c r="C1539" s="73" t="str">
        <x:f>IF('당기원장'!A539="","",'당기원장'!B539)</x:f>
      </x:c>
      <x:c r="D1539" s="74" t="str">
        <x:f>IF('당기원장'!A539="","",'당기원장'!C539)</x:f>
      </x:c>
      <x:c r="E1539" s="73" t="str">
        <x:f>IF('당기원장'!A539="","",'당기원장'!D539)</x:f>
      </x:c>
      <x:c r="F1539" s="73" t="str">
        <x:f>IF('당기원장'!A539="","",'당기원장'!E539)</x:f>
      </x:c>
      <x:c r="G1539" s="75" t="str">
        <x:f>IF('당기원장'!A539="","",'당기원장'!H539)</x:f>
      </x:c>
      <x:c r="H1539" s="73" t="str">
        <x:f>IF('당기원장'!A539="","",'당기원장'!I539)</x:f>
      </x:c>
      <x:c r="I1539" s="73" t="str">
        <x:f>IF('당기원장'!A539="","",'당기원장'!J539)</x:f>
      </x:c>
      <x:c r="J1539" s="73" t="str">
        <x:f>IF('당기원장'!A539="","",'당기원장'!K539)</x:f>
      </x:c>
      <x:c r="K1539" s="73" t="str">
        <x:f>IF(B1539="","",IF(COUNTIF($B$5:B1539,B1539)=1,COUNT($K$4:K1538)+1,""))</x:f>
      </x:c>
      <x:c r="L1539" s="85" t="str">
        <x:f>IF(B1539="","",IF(COUNTIFS('계정비교'!$A$5:$A$1004,B1539,'계정비교'!$H$5:$H$1004,"원인분석 대상")&gt;0,COUNT($L$4:L1538)+1,""))</x:f>
      </x:c>
    </x:row>
    <x:row r="1540">
      <x:c r="A1540" s="73" t="str">
        <x:f>IF('당기원장'!A540="","","당기")</x:f>
      </x:c>
      <x:c r="B1540" s="73" t="str">
        <x:f>IF('당기원장'!A540="","",'당기원장'!A540)</x:f>
      </x:c>
      <x:c r="C1540" s="73" t="str">
        <x:f>IF('당기원장'!A540="","",'당기원장'!B540)</x:f>
      </x:c>
      <x:c r="D1540" s="74" t="str">
        <x:f>IF('당기원장'!A540="","",'당기원장'!C540)</x:f>
      </x:c>
      <x:c r="E1540" s="73" t="str">
        <x:f>IF('당기원장'!A540="","",'당기원장'!D540)</x:f>
      </x:c>
      <x:c r="F1540" s="73" t="str">
        <x:f>IF('당기원장'!A540="","",'당기원장'!E540)</x:f>
      </x:c>
      <x:c r="G1540" s="75" t="str">
        <x:f>IF('당기원장'!A540="","",'당기원장'!H540)</x:f>
      </x:c>
      <x:c r="H1540" s="73" t="str">
        <x:f>IF('당기원장'!A540="","",'당기원장'!I540)</x:f>
      </x:c>
      <x:c r="I1540" s="73" t="str">
        <x:f>IF('당기원장'!A540="","",'당기원장'!J540)</x:f>
      </x:c>
      <x:c r="J1540" s="73" t="str">
        <x:f>IF('당기원장'!A540="","",'당기원장'!K540)</x:f>
      </x:c>
      <x:c r="K1540" s="73" t="str">
        <x:f>IF(B1540="","",IF(COUNTIF($B$5:B1540,B1540)=1,COUNT($K$4:K1539)+1,""))</x:f>
      </x:c>
      <x:c r="L1540" s="85" t="str">
        <x:f>IF(B1540="","",IF(COUNTIFS('계정비교'!$A$5:$A$1004,B1540,'계정비교'!$H$5:$H$1004,"원인분석 대상")&gt;0,COUNT($L$4:L1539)+1,""))</x:f>
      </x:c>
    </x:row>
    <x:row r="1541">
      <x:c r="A1541" s="73" t="str">
        <x:f>IF('당기원장'!A541="","","당기")</x:f>
      </x:c>
      <x:c r="B1541" s="73" t="str">
        <x:f>IF('당기원장'!A541="","",'당기원장'!A541)</x:f>
      </x:c>
      <x:c r="C1541" s="73" t="str">
        <x:f>IF('당기원장'!A541="","",'당기원장'!B541)</x:f>
      </x:c>
      <x:c r="D1541" s="74" t="str">
        <x:f>IF('당기원장'!A541="","",'당기원장'!C541)</x:f>
      </x:c>
      <x:c r="E1541" s="73" t="str">
        <x:f>IF('당기원장'!A541="","",'당기원장'!D541)</x:f>
      </x:c>
      <x:c r="F1541" s="73" t="str">
        <x:f>IF('당기원장'!A541="","",'당기원장'!E541)</x:f>
      </x:c>
      <x:c r="G1541" s="75" t="str">
        <x:f>IF('당기원장'!A541="","",'당기원장'!H541)</x:f>
      </x:c>
      <x:c r="H1541" s="73" t="str">
        <x:f>IF('당기원장'!A541="","",'당기원장'!I541)</x:f>
      </x:c>
      <x:c r="I1541" s="73" t="str">
        <x:f>IF('당기원장'!A541="","",'당기원장'!J541)</x:f>
      </x:c>
      <x:c r="J1541" s="73" t="str">
        <x:f>IF('당기원장'!A541="","",'당기원장'!K541)</x:f>
      </x:c>
      <x:c r="K1541" s="73" t="str">
        <x:f>IF(B1541="","",IF(COUNTIF($B$5:B1541,B1541)=1,COUNT($K$4:K1540)+1,""))</x:f>
      </x:c>
      <x:c r="L1541" s="85" t="str">
        <x:f>IF(B1541="","",IF(COUNTIFS('계정비교'!$A$5:$A$1004,B1541,'계정비교'!$H$5:$H$1004,"원인분석 대상")&gt;0,COUNT($L$4:L1540)+1,""))</x:f>
      </x:c>
    </x:row>
    <x:row r="1542">
      <x:c r="A1542" s="73" t="str">
        <x:f>IF('당기원장'!A542="","","당기")</x:f>
      </x:c>
      <x:c r="B1542" s="73" t="str">
        <x:f>IF('당기원장'!A542="","",'당기원장'!A542)</x:f>
      </x:c>
      <x:c r="C1542" s="73" t="str">
        <x:f>IF('당기원장'!A542="","",'당기원장'!B542)</x:f>
      </x:c>
      <x:c r="D1542" s="74" t="str">
        <x:f>IF('당기원장'!A542="","",'당기원장'!C542)</x:f>
      </x:c>
      <x:c r="E1542" s="73" t="str">
        <x:f>IF('당기원장'!A542="","",'당기원장'!D542)</x:f>
      </x:c>
      <x:c r="F1542" s="73" t="str">
        <x:f>IF('당기원장'!A542="","",'당기원장'!E542)</x:f>
      </x:c>
      <x:c r="G1542" s="75" t="str">
        <x:f>IF('당기원장'!A542="","",'당기원장'!H542)</x:f>
      </x:c>
      <x:c r="H1542" s="73" t="str">
        <x:f>IF('당기원장'!A542="","",'당기원장'!I542)</x:f>
      </x:c>
      <x:c r="I1542" s="73" t="str">
        <x:f>IF('당기원장'!A542="","",'당기원장'!J542)</x:f>
      </x:c>
      <x:c r="J1542" s="73" t="str">
        <x:f>IF('당기원장'!A542="","",'당기원장'!K542)</x:f>
      </x:c>
      <x:c r="K1542" s="73" t="str">
        <x:f>IF(B1542="","",IF(COUNTIF($B$5:B1542,B1542)=1,COUNT($K$4:K1541)+1,""))</x:f>
      </x:c>
      <x:c r="L1542" s="85" t="str">
        <x:f>IF(B1542="","",IF(COUNTIFS('계정비교'!$A$5:$A$1004,B1542,'계정비교'!$H$5:$H$1004,"원인분석 대상")&gt;0,COUNT($L$4:L1541)+1,""))</x:f>
      </x:c>
    </x:row>
    <x:row r="1543">
      <x:c r="A1543" s="73" t="str">
        <x:f>IF('당기원장'!A543="","","당기")</x:f>
      </x:c>
      <x:c r="B1543" s="73" t="str">
        <x:f>IF('당기원장'!A543="","",'당기원장'!A543)</x:f>
      </x:c>
      <x:c r="C1543" s="73" t="str">
        <x:f>IF('당기원장'!A543="","",'당기원장'!B543)</x:f>
      </x:c>
      <x:c r="D1543" s="74" t="str">
        <x:f>IF('당기원장'!A543="","",'당기원장'!C543)</x:f>
      </x:c>
      <x:c r="E1543" s="73" t="str">
        <x:f>IF('당기원장'!A543="","",'당기원장'!D543)</x:f>
      </x:c>
      <x:c r="F1543" s="73" t="str">
        <x:f>IF('당기원장'!A543="","",'당기원장'!E543)</x:f>
      </x:c>
      <x:c r="G1543" s="75" t="str">
        <x:f>IF('당기원장'!A543="","",'당기원장'!H543)</x:f>
      </x:c>
      <x:c r="H1543" s="73" t="str">
        <x:f>IF('당기원장'!A543="","",'당기원장'!I543)</x:f>
      </x:c>
      <x:c r="I1543" s="73" t="str">
        <x:f>IF('당기원장'!A543="","",'당기원장'!J543)</x:f>
      </x:c>
      <x:c r="J1543" s="73" t="str">
        <x:f>IF('당기원장'!A543="","",'당기원장'!K543)</x:f>
      </x:c>
      <x:c r="K1543" s="73" t="str">
        <x:f>IF(B1543="","",IF(COUNTIF($B$5:B1543,B1543)=1,COUNT($K$4:K1542)+1,""))</x:f>
      </x:c>
      <x:c r="L1543" s="85" t="str">
        <x:f>IF(B1543="","",IF(COUNTIFS('계정비교'!$A$5:$A$1004,B1543,'계정비교'!$H$5:$H$1004,"원인분석 대상")&gt;0,COUNT($L$4:L1542)+1,""))</x:f>
      </x:c>
    </x:row>
    <x:row r="1544">
      <x:c r="A1544" s="73" t="str">
        <x:f>IF('당기원장'!A544="","","당기")</x:f>
      </x:c>
      <x:c r="B1544" s="73" t="str">
        <x:f>IF('당기원장'!A544="","",'당기원장'!A544)</x:f>
      </x:c>
      <x:c r="C1544" s="73" t="str">
        <x:f>IF('당기원장'!A544="","",'당기원장'!B544)</x:f>
      </x:c>
      <x:c r="D1544" s="74" t="str">
        <x:f>IF('당기원장'!A544="","",'당기원장'!C544)</x:f>
      </x:c>
      <x:c r="E1544" s="73" t="str">
        <x:f>IF('당기원장'!A544="","",'당기원장'!D544)</x:f>
      </x:c>
      <x:c r="F1544" s="73" t="str">
        <x:f>IF('당기원장'!A544="","",'당기원장'!E544)</x:f>
      </x:c>
      <x:c r="G1544" s="75" t="str">
        <x:f>IF('당기원장'!A544="","",'당기원장'!H544)</x:f>
      </x:c>
      <x:c r="H1544" s="73" t="str">
        <x:f>IF('당기원장'!A544="","",'당기원장'!I544)</x:f>
      </x:c>
      <x:c r="I1544" s="73" t="str">
        <x:f>IF('당기원장'!A544="","",'당기원장'!J544)</x:f>
      </x:c>
      <x:c r="J1544" s="73" t="str">
        <x:f>IF('당기원장'!A544="","",'당기원장'!K544)</x:f>
      </x:c>
      <x:c r="K1544" s="73" t="str">
        <x:f>IF(B1544="","",IF(COUNTIF($B$5:B1544,B1544)=1,COUNT($K$4:K1543)+1,""))</x:f>
      </x:c>
      <x:c r="L1544" s="85" t="str">
        <x:f>IF(B1544="","",IF(COUNTIFS('계정비교'!$A$5:$A$1004,B1544,'계정비교'!$H$5:$H$1004,"원인분석 대상")&gt;0,COUNT($L$4:L1543)+1,""))</x:f>
      </x:c>
    </x:row>
    <x:row r="1545">
      <x:c r="A1545" s="73" t="str">
        <x:f>IF('당기원장'!A545="","","당기")</x:f>
      </x:c>
      <x:c r="B1545" s="73" t="str">
        <x:f>IF('당기원장'!A545="","",'당기원장'!A545)</x:f>
      </x:c>
      <x:c r="C1545" s="73" t="str">
        <x:f>IF('당기원장'!A545="","",'당기원장'!B545)</x:f>
      </x:c>
      <x:c r="D1545" s="74" t="str">
        <x:f>IF('당기원장'!A545="","",'당기원장'!C545)</x:f>
      </x:c>
      <x:c r="E1545" s="73" t="str">
        <x:f>IF('당기원장'!A545="","",'당기원장'!D545)</x:f>
      </x:c>
      <x:c r="F1545" s="73" t="str">
        <x:f>IF('당기원장'!A545="","",'당기원장'!E545)</x:f>
      </x:c>
      <x:c r="G1545" s="75" t="str">
        <x:f>IF('당기원장'!A545="","",'당기원장'!H545)</x:f>
      </x:c>
      <x:c r="H1545" s="73" t="str">
        <x:f>IF('당기원장'!A545="","",'당기원장'!I545)</x:f>
      </x:c>
      <x:c r="I1545" s="73" t="str">
        <x:f>IF('당기원장'!A545="","",'당기원장'!J545)</x:f>
      </x:c>
      <x:c r="J1545" s="73" t="str">
        <x:f>IF('당기원장'!A545="","",'당기원장'!K545)</x:f>
      </x:c>
      <x:c r="K1545" s="73" t="str">
        <x:f>IF(B1545="","",IF(COUNTIF($B$5:B1545,B1545)=1,COUNT($K$4:K1544)+1,""))</x:f>
      </x:c>
      <x:c r="L1545" s="85" t="str">
        <x:f>IF(B1545="","",IF(COUNTIFS('계정비교'!$A$5:$A$1004,B1545,'계정비교'!$H$5:$H$1004,"원인분석 대상")&gt;0,COUNT($L$4:L1544)+1,""))</x:f>
      </x:c>
    </x:row>
    <x:row r="1546">
      <x:c r="A1546" s="73" t="str">
        <x:f>IF('당기원장'!A546="","","당기")</x:f>
      </x:c>
      <x:c r="B1546" s="73" t="str">
        <x:f>IF('당기원장'!A546="","",'당기원장'!A546)</x:f>
      </x:c>
      <x:c r="C1546" s="73" t="str">
        <x:f>IF('당기원장'!A546="","",'당기원장'!B546)</x:f>
      </x:c>
      <x:c r="D1546" s="74" t="str">
        <x:f>IF('당기원장'!A546="","",'당기원장'!C546)</x:f>
      </x:c>
      <x:c r="E1546" s="73" t="str">
        <x:f>IF('당기원장'!A546="","",'당기원장'!D546)</x:f>
      </x:c>
      <x:c r="F1546" s="73" t="str">
        <x:f>IF('당기원장'!A546="","",'당기원장'!E546)</x:f>
      </x:c>
      <x:c r="G1546" s="75" t="str">
        <x:f>IF('당기원장'!A546="","",'당기원장'!H546)</x:f>
      </x:c>
      <x:c r="H1546" s="73" t="str">
        <x:f>IF('당기원장'!A546="","",'당기원장'!I546)</x:f>
      </x:c>
      <x:c r="I1546" s="73" t="str">
        <x:f>IF('당기원장'!A546="","",'당기원장'!J546)</x:f>
      </x:c>
      <x:c r="J1546" s="73" t="str">
        <x:f>IF('당기원장'!A546="","",'당기원장'!K546)</x:f>
      </x:c>
      <x:c r="K1546" s="73" t="str">
        <x:f>IF(B1546="","",IF(COUNTIF($B$5:B1546,B1546)=1,COUNT($K$4:K1545)+1,""))</x:f>
      </x:c>
      <x:c r="L1546" s="85" t="str">
        <x:f>IF(B1546="","",IF(COUNTIFS('계정비교'!$A$5:$A$1004,B1546,'계정비교'!$H$5:$H$1004,"원인분석 대상")&gt;0,COUNT($L$4:L1545)+1,""))</x:f>
      </x:c>
    </x:row>
    <x:row r="1547">
      <x:c r="A1547" s="73" t="str">
        <x:f>IF('당기원장'!A547="","","당기")</x:f>
      </x:c>
      <x:c r="B1547" s="73" t="str">
        <x:f>IF('당기원장'!A547="","",'당기원장'!A547)</x:f>
      </x:c>
      <x:c r="C1547" s="73" t="str">
        <x:f>IF('당기원장'!A547="","",'당기원장'!B547)</x:f>
      </x:c>
      <x:c r="D1547" s="74" t="str">
        <x:f>IF('당기원장'!A547="","",'당기원장'!C547)</x:f>
      </x:c>
      <x:c r="E1547" s="73" t="str">
        <x:f>IF('당기원장'!A547="","",'당기원장'!D547)</x:f>
      </x:c>
      <x:c r="F1547" s="73" t="str">
        <x:f>IF('당기원장'!A547="","",'당기원장'!E547)</x:f>
      </x:c>
      <x:c r="G1547" s="75" t="str">
        <x:f>IF('당기원장'!A547="","",'당기원장'!H547)</x:f>
      </x:c>
      <x:c r="H1547" s="73" t="str">
        <x:f>IF('당기원장'!A547="","",'당기원장'!I547)</x:f>
      </x:c>
      <x:c r="I1547" s="73" t="str">
        <x:f>IF('당기원장'!A547="","",'당기원장'!J547)</x:f>
      </x:c>
      <x:c r="J1547" s="73" t="str">
        <x:f>IF('당기원장'!A547="","",'당기원장'!K547)</x:f>
      </x:c>
      <x:c r="K1547" s="73" t="str">
        <x:f>IF(B1547="","",IF(COUNTIF($B$5:B1547,B1547)=1,COUNT($K$4:K1546)+1,""))</x:f>
      </x:c>
      <x:c r="L1547" s="85" t="str">
        <x:f>IF(B1547="","",IF(COUNTIFS('계정비교'!$A$5:$A$1004,B1547,'계정비교'!$H$5:$H$1004,"원인분석 대상")&gt;0,COUNT($L$4:L1546)+1,""))</x:f>
      </x:c>
    </x:row>
    <x:row r="1548">
      <x:c r="A1548" s="73" t="str">
        <x:f>IF('당기원장'!A548="","","당기")</x:f>
      </x:c>
      <x:c r="B1548" s="73" t="str">
        <x:f>IF('당기원장'!A548="","",'당기원장'!A548)</x:f>
      </x:c>
      <x:c r="C1548" s="73" t="str">
        <x:f>IF('당기원장'!A548="","",'당기원장'!B548)</x:f>
      </x:c>
      <x:c r="D1548" s="74" t="str">
        <x:f>IF('당기원장'!A548="","",'당기원장'!C548)</x:f>
      </x:c>
      <x:c r="E1548" s="73" t="str">
        <x:f>IF('당기원장'!A548="","",'당기원장'!D548)</x:f>
      </x:c>
      <x:c r="F1548" s="73" t="str">
        <x:f>IF('당기원장'!A548="","",'당기원장'!E548)</x:f>
      </x:c>
      <x:c r="G1548" s="75" t="str">
        <x:f>IF('당기원장'!A548="","",'당기원장'!H548)</x:f>
      </x:c>
      <x:c r="H1548" s="73" t="str">
        <x:f>IF('당기원장'!A548="","",'당기원장'!I548)</x:f>
      </x:c>
      <x:c r="I1548" s="73" t="str">
        <x:f>IF('당기원장'!A548="","",'당기원장'!J548)</x:f>
      </x:c>
      <x:c r="J1548" s="73" t="str">
        <x:f>IF('당기원장'!A548="","",'당기원장'!K548)</x:f>
      </x:c>
      <x:c r="K1548" s="73" t="str">
        <x:f>IF(B1548="","",IF(COUNTIF($B$5:B1548,B1548)=1,COUNT($K$4:K1547)+1,""))</x:f>
      </x:c>
      <x:c r="L1548" s="85" t="str">
        <x:f>IF(B1548="","",IF(COUNTIFS('계정비교'!$A$5:$A$1004,B1548,'계정비교'!$H$5:$H$1004,"원인분석 대상")&gt;0,COUNT($L$4:L1547)+1,""))</x:f>
      </x:c>
    </x:row>
    <x:row r="1549">
      <x:c r="A1549" s="73" t="str">
        <x:f>IF('당기원장'!A549="","","당기")</x:f>
      </x:c>
      <x:c r="B1549" s="73" t="str">
        <x:f>IF('당기원장'!A549="","",'당기원장'!A549)</x:f>
      </x:c>
      <x:c r="C1549" s="73" t="str">
        <x:f>IF('당기원장'!A549="","",'당기원장'!B549)</x:f>
      </x:c>
      <x:c r="D1549" s="74" t="str">
        <x:f>IF('당기원장'!A549="","",'당기원장'!C549)</x:f>
      </x:c>
      <x:c r="E1549" s="73" t="str">
        <x:f>IF('당기원장'!A549="","",'당기원장'!D549)</x:f>
      </x:c>
      <x:c r="F1549" s="73" t="str">
        <x:f>IF('당기원장'!A549="","",'당기원장'!E549)</x:f>
      </x:c>
      <x:c r="G1549" s="75" t="str">
        <x:f>IF('당기원장'!A549="","",'당기원장'!H549)</x:f>
      </x:c>
      <x:c r="H1549" s="73" t="str">
        <x:f>IF('당기원장'!A549="","",'당기원장'!I549)</x:f>
      </x:c>
      <x:c r="I1549" s="73" t="str">
        <x:f>IF('당기원장'!A549="","",'당기원장'!J549)</x:f>
      </x:c>
      <x:c r="J1549" s="73" t="str">
        <x:f>IF('당기원장'!A549="","",'당기원장'!K549)</x:f>
      </x:c>
      <x:c r="K1549" s="73" t="str">
        <x:f>IF(B1549="","",IF(COUNTIF($B$5:B1549,B1549)=1,COUNT($K$4:K1548)+1,""))</x:f>
      </x:c>
      <x:c r="L1549" s="85" t="str">
        <x:f>IF(B1549="","",IF(COUNTIFS('계정비교'!$A$5:$A$1004,B1549,'계정비교'!$H$5:$H$1004,"원인분석 대상")&gt;0,COUNT($L$4:L1548)+1,""))</x:f>
      </x:c>
    </x:row>
    <x:row r="1550">
      <x:c r="A1550" s="73" t="str">
        <x:f>IF('당기원장'!A550="","","당기")</x:f>
      </x:c>
      <x:c r="B1550" s="73" t="str">
        <x:f>IF('당기원장'!A550="","",'당기원장'!A550)</x:f>
      </x:c>
      <x:c r="C1550" s="73" t="str">
        <x:f>IF('당기원장'!A550="","",'당기원장'!B550)</x:f>
      </x:c>
      <x:c r="D1550" s="74" t="str">
        <x:f>IF('당기원장'!A550="","",'당기원장'!C550)</x:f>
      </x:c>
      <x:c r="E1550" s="73" t="str">
        <x:f>IF('당기원장'!A550="","",'당기원장'!D550)</x:f>
      </x:c>
      <x:c r="F1550" s="73" t="str">
        <x:f>IF('당기원장'!A550="","",'당기원장'!E550)</x:f>
      </x:c>
      <x:c r="G1550" s="75" t="str">
        <x:f>IF('당기원장'!A550="","",'당기원장'!H550)</x:f>
      </x:c>
      <x:c r="H1550" s="73" t="str">
        <x:f>IF('당기원장'!A550="","",'당기원장'!I550)</x:f>
      </x:c>
      <x:c r="I1550" s="73" t="str">
        <x:f>IF('당기원장'!A550="","",'당기원장'!J550)</x:f>
      </x:c>
      <x:c r="J1550" s="73" t="str">
        <x:f>IF('당기원장'!A550="","",'당기원장'!K550)</x:f>
      </x:c>
      <x:c r="K1550" s="73" t="str">
        <x:f>IF(B1550="","",IF(COUNTIF($B$5:B1550,B1550)=1,COUNT($K$4:K1549)+1,""))</x:f>
      </x:c>
      <x:c r="L1550" s="85" t="str">
        <x:f>IF(B1550="","",IF(COUNTIFS('계정비교'!$A$5:$A$1004,B1550,'계정비교'!$H$5:$H$1004,"원인분석 대상")&gt;0,COUNT($L$4:L1549)+1,""))</x:f>
      </x:c>
    </x:row>
    <x:row r="1551">
      <x:c r="A1551" s="73" t="str">
        <x:f>IF('당기원장'!A551="","","당기")</x:f>
      </x:c>
      <x:c r="B1551" s="73" t="str">
        <x:f>IF('당기원장'!A551="","",'당기원장'!A551)</x:f>
      </x:c>
      <x:c r="C1551" s="73" t="str">
        <x:f>IF('당기원장'!A551="","",'당기원장'!B551)</x:f>
      </x:c>
      <x:c r="D1551" s="74" t="str">
        <x:f>IF('당기원장'!A551="","",'당기원장'!C551)</x:f>
      </x:c>
      <x:c r="E1551" s="73" t="str">
        <x:f>IF('당기원장'!A551="","",'당기원장'!D551)</x:f>
      </x:c>
      <x:c r="F1551" s="73" t="str">
        <x:f>IF('당기원장'!A551="","",'당기원장'!E551)</x:f>
      </x:c>
      <x:c r="G1551" s="75" t="str">
        <x:f>IF('당기원장'!A551="","",'당기원장'!H551)</x:f>
      </x:c>
      <x:c r="H1551" s="73" t="str">
        <x:f>IF('당기원장'!A551="","",'당기원장'!I551)</x:f>
      </x:c>
      <x:c r="I1551" s="73" t="str">
        <x:f>IF('당기원장'!A551="","",'당기원장'!J551)</x:f>
      </x:c>
      <x:c r="J1551" s="73" t="str">
        <x:f>IF('당기원장'!A551="","",'당기원장'!K551)</x:f>
      </x:c>
      <x:c r="K1551" s="73" t="str">
        <x:f>IF(B1551="","",IF(COUNTIF($B$5:B1551,B1551)=1,COUNT($K$4:K1550)+1,""))</x:f>
      </x:c>
      <x:c r="L1551" s="85" t="str">
        <x:f>IF(B1551="","",IF(COUNTIFS('계정비교'!$A$5:$A$1004,B1551,'계정비교'!$H$5:$H$1004,"원인분석 대상")&gt;0,COUNT($L$4:L1550)+1,""))</x:f>
      </x:c>
    </x:row>
    <x:row r="1552">
      <x:c r="A1552" s="73" t="str">
        <x:f>IF('당기원장'!A552="","","당기")</x:f>
      </x:c>
      <x:c r="B1552" s="73" t="str">
        <x:f>IF('당기원장'!A552="","",'당기원장'!A552)</x:f>
      </x:c>
      <x:c r="C1552" s="73" t="str">
        <x:f>IF('당기원장'!A552="","",'당기원장'!B552)</x:f>
      </x:c>
      <x:c r="D1552" s="74" t="str">
        <x:f>IF('당기원장'!A552="","",'당기원장'!C552)</x:f>
      </x:c>
      <x:c r="E1552" s="73" t="str">
        <x:f>IF('당기원장'!A552="","",'당기원장'!D552)</x:f>
      </x:c>
      <x:c r="F1552" s="73" t="str">
        <x:f>IF('당기원장'!A552="","",'당기원장'!E552)</x:f>
      </x:c>
      <x:c r="G1552" s="75" t="str">
        <x:f>IF('당기원장'!A552="","",'당기원장'!H552)</x:f>
      </x:c>
      <x:c r="H1552" s="73" t="str">
        <x:f>IF('당기원장'!A552="","",'당기원장'!I552)</x:f>
      </x:c>
      <x:c r="I1552" s="73" t="str">
        <x:f>IF('당기원장'!A552="","",'당기원장'!J552)</x:f>
      </x:c>
      <x:c r="J1552" s="73" t="str">
        <x:f>IF('당기원장'!A552="","",'당기원장'!K552)</x:f>
      </x:c>
      <x:c r="K1552" s="73" t="str">
        <x:f>IF(B1552="","",IF(COUNTIF($B$5:B1552,B1552)=1,COUNT($K$4:K1551)+1,""))</x:f>
      </x:c>
      <x:c r="L1552" s="85" t="str">
        <x:f>IF(B1552="","",IF(COUNTIFS('계정비교'!$A$5:$A$1004,B1552,'계정비교'!$H$5:$H$1004,"원인분석 대상")&gt;0,COUNT($L$4:L1551)+1,""))</x:f>
      </x:c>
    </x:row>
    <x:row r="1553">
      <x:c r="A1553" s="73" t="str">
        <x:f>IF('당기원장'!A553="","","당기")</x:f>
      </x:c>
      <x:c r="B1553" s="73" t="str">
        <x:f>IF('당기원장'!A553="","",'당기원장'!A553)</x:f>
      </x:c>
      <x:c r="C1553" s="73" t="str">
        <x:f>IF('당기원장'!A553="","",'당기원장'!B553)</x:f>
      </x:c>
      <x:c r="D1553" s="74" t="str">
        <x:f>IF('당기원장'!A553="","",'당기원장'!C553)</x:f>
      </x:c>
      <x:c r="E1553" s="73" t="str">
        <x:f>IF('당기원장'!A553="","",'당기원장'!D553)</x:f>
      </x:c>
      <x:c r="F1553" s="73" t="str">
        <x:f>IF('당기원장'!A553="","",'당기원장'!E553)</x:f>
      </x:c>
      <x:c r="G1553" s="75" t="str">
        <x:f>IF('당기원장'!A553="","",'당기원장'!H553)</x:f>
      </x:c>
      <x:c r="H1553" s="73" t="str">
        <x:f>IF('당기원장'!A553="","",'당기원장'!I553)</x:f>
      </x:c>
      <x:c r="I1553" s="73" t="str">
        <x:f>IF('당기원장'!A553="","",'당기원장'!J553)</x:f>
      </x:c>
      <x:c r="J1553" s="73" t="str">
        <x:f>IF('당기원장'!A553="","",'당기원장'!K553)</x:f>
      </x:c>
      <x:c r="K1553" s="73" t="str">
        <x:f>IF(B1553="","",IF(COUNTIF($B$5:B1553,B1553)=1,COUNT($K$4:K1552)+1,""))</x:f>
      </x:c>
      <x:c r="L1553" s="85" t="str">
        <x:f>IF(B1553="","",IF(COUNTIFS('계정비교'!$A$5:$A$1004,B1553,'계정비교'!$H$5:$H$1004,"원인분석 대상")&gt;0,COUNT($L$4:L1552)+1,""))</x:f>
      </x:c>
    </x:row>
    <x:row r="1554">
      <x:c r="A1554" s="73" t="str">
        <x:f>IF('당기원장'!A554="","","당기")</x:f>
      </x:c>
      <x:c r="B1554" s="73" t="str">
        <x:f>IF('당기원장'!A554="","",'당기원장'!A554)</x:f>
      </x:c>
      <x:c r="C1554" s="73" t="str">
        <x:f>IF('당기원장'!A554="","",'당기원장'!B554)</x:f>
      </x:c>
      <x:c r="D1554" s="74" t="str">
        <x:f>IF('당기원장'!A554="","",'당기원장'!C554)</x:f>
      </x:c>
      <x:c r="E1554" s="73" t="str">
        <x:f>IF('당기원장'!A554="","",'당기원장'!D554)</x:f>
      </x:c>
      <x:c r="F1554" s="73" t="str">
        <x:f>IF('당기원장'!A554="","",'당기원장'!E554)</x:f>
      </x:c>
      <x:c r="G1554" s="75" t="str">
        <x:f>IF('당기원장'!A554="","",'당기원장'!H554)</x:f>
      </x:c>
      <x:c r="H1554" s="73" t="str">
        <x:f>IF('당기원장'!A554="","",'당기원장'!I554)</x:f>
      </x:c>
      <x:c r="I1554" s="73" t="str">
        <x:f>IF('당기원장'!A554="","",'당기원장'!J554)</x:f>
      </x:c>
      <x:c r="J1554" s="73" t="str">
        <x:f>IF('당기원장'!A554="","",'당기원장'!K554)</x:f>
      </x:c>
      <x:c r="K1554" s="73" t="str">
        <x:f>IF(B1554="","",IF(COUNTIF($B$5:B1554,B1554)=1,COUNT($K$4:K1553)+1,""))</x:f>
      </x:c>
      <x:c r="L1554" s="85" t="str">
        <x:f>IF(B1554="","",IF(COUNTIFS('계정비교'!$A$5:$A$1004,B1554,'계정비교'!$H$5:$H$1004,"원인분석 대상")&gt;0,COUNT($L$4:L1553)+1,""))</x:f>
      </x:c>
    </x:row>
    <x:row r="1555">
      <x:c r="A1555" s="73" t="str">
        <x:f>IF('당기원장'!A555="","","당기")</x:f>
      </x:c>
      <x:c r="B1555" s="73" t="str">
        <x:f>IF('당기원장'!A555="","",'당기원장'!A555)</x:f>
      </x:c>
      <x:c r="C1555" s="73" t="str">
        <x:f>IF('당기원장'!A555="","",'당기원장'!B555)</x:f>
      </x:c>
      <x:c r="D1555" s="74" t="str">
        <x:f>IF('당기원장'!A555="","",'당기원장'!C555)</x:f>
      </x:c>
      <x:c r="E1555" s="73" t="str">
        <x:f>IF('당기원장'!A555="","",'당기원장'!D555)</x:f>
      </x:c>
      <x:c r="F1555" s="73" t="str">
        <x:f>IF('당기원장'!A555="","",'당기원장'!E555)</x:f>
      </x:c>
      <x:c r="G1555" s="75" t="str">
        <x:f>IF('당기원장'!A555="","",'당기원장'!H555)</x:f>
      </x:c>
      <x:c r="H1555" s="73" t="str">
        <x:f>IF('당기원장'!A555="","",'당기원장'!I555)</x:f>
      </x:c>
      <x:c r="I1555" s="73" t="str">
        <x:f>IF('당기원장'!A555="","",'당기원장'!J555)</x:f>
      </x:c>
      <x:c r="J1555" s="73" t="str">
        <x:f>IF('당기원장'!A555="","",'당기원장'!K555)</x:f>
      </x:c>
      <x:c r="K1555" s="73" t="str">
        <x:f>IF(B1555="","",IF(COUNTIF($B$5:B1555,B1555)=1,COUNT($K$4:K1554)+1,""))</x:f>
      </x:c>
      <x:c r="L1555" s="85" t="str">
        <x:f>IF(B1555="","",IF(COUNTIFS('계정비교'!$A$5:$A$1004,B1555,'계정비교'!$H$5:$H$1004,"원인분석 대상")&gt;0,COUNT($L$4:L1554)+1,""))</x:f>
      </x:c>
    </x:row>
    <x:row r="1556">
      <x:c r="A1556" s="73" t="str">
        <x:f>IF('당기원장'!A556="","","당기")</x:f>
      </x:c>
      <x:c r="B1556" s="73" t="str">
        <x:f>IF('당기원장'!A556="","",'당기원장'!A556)</x:f>
      </x:c>
      <x:c r="C1556" s="73" t="str">
        <x:f>IF('당기원장'!A556="","",'당기원장'!B556)</x:f>
      </x:c>
      <x:c r="D1556" s="74" t="str">
        <x:f>IF('당기원장'!A556="","",'당기원장'!C556)</x:f>
      </x:c>
      <x:c r="E1556" s="73" t="str">
        <x:f>IF('당기원장'!A556="","",'당기원장'!D556)</x:f>
      </x:c>
      <x:c r="F1556" s="73" t="str">
        <x:f>IF('당기원장'!A556="","",'당기원장'!E556)</x:f>
      </x:c>
      <x:c r="G1556" s="75" t="str">
        <x:f>IF('당기원장'!A556="","",'당기원장'!H556)</x:f>
      </x:c>
      <x:c r="H1556" s="73" t="str">
        <x:f>IF('당기원장'!A556="","",'당기원장'!I556)</x:f>
      </x:c>
      <x:c r="I1556" s="73" t="str">
        <x:f>IF('당기원장'!A556="","",'당기원장'!J556)</x:f>
      </x:c>
      <x:c r="J1556" s="73" t="str">
        <x:f>IF('당기원장'!A556="","",'당기원장'!K556)</x:f>
      </x:c>
      <x:c r="K1556" s="73" t="str">
        <x:f>IF(B1556="","",IF(COUNTIF($B$5:B1556,B1556)=1,COUNT($K$4:K1555)+1,""))</x:f>
      </x:c>
      <x:c r="L1556" s="85" t="str">
        <x:f>IF(B1556="","",IF(COUNTIFS('계정비교'!$A$5:$A$1004,B1556,'계정비교'!$H$5:$H$1004,"원인분석 대상")&gt;0,COUNT($L$4:L1555)+1,""))</x:f>
      </x:c>
    </x:row>
    <x:row r="1557">
      <x:c r="A1557" s="73" t="str">
        <x:f>IF('당기원장'!A557="","","당기")</x:f>
      </x:c>
      <x:c r="B1557" s="73" t="str">
        <x:f>IF('당기원장'!A557="","",'당기원장'!A557)</x:f>
      </x:c>
      <x:c r="C1557" s="73" t="str">
        <x:f>IF('당기원장'!A557="","",'당기원장'!B557)</x:f>
      </x:c>
      <x:c r="D1557" s="74" t="str">
        <x:f>IF('당기원장'!A557="","",'당기원장'!C557)</x:f>
      </x:c>
      <x:c r="E1557" s="73" t="str">
        <x:f>IF('당기원장'!A557="","",'당기원장'!D557)</x:f>
      </x:c>
      <x:c r="F1557" s="73" t="str">
        <x:f>IF('당기원장'!A557="","",'당기원장'!E557)</x:f>
      </x:c>
      <x:c r="G1557" s="75" t="str">
        <x:f>IF('당기원장'!A557="","",'당기원장'!H557)</x:f>
      </x:c>
      <x:c r="H1557" s="73" t="str">
        <x:f>IF('당기원장'!A557="","",'당기원장'!I557)</x:f>
      </x:c>
      <x:c r="I1557" s="73" t="str">
        <x:f>IF('당기원장'!A557="","",'당기원장'!J557)</x:f>
      </x:c>
      <x:c r="J1557" s="73" t="str">
        <x:f>IF('당기원장'!A557="","",'당기원장'!K557)</x:f>
      </x:c>
      <x:c r="K1557" s="73" t="str">
        <x:f>IF(B1557="","",IF(COUNTIF($B$5:B1557,B1557)=1,COUNT($K$4:K1556)+1,""))</x:f>
      </x:c>
      <x:c r="L1557" s="85" t="str">
        <x:f>IF(B1557="","",IF(COUNTIFS('계정비교'!$A$5:$A$1004,B1557,'계정비교'!$H$5:$H$1004,"원인분석 대상")&gt;0,COUNT($L$4:L1556)+1,""))</x:f>
      </x:c>
    </x:row>
    <x:row r="1558">
      <x:c r="A1558" s="73" t="str">
        <x:f>IF('당기원장'!A558="","","당기")</x:f>
      </x:c>
      <x:c r="B1558" s="73" t="str">
        <x:f>IF('당기원장'!A558="","",'당기원장'!A558)</x:f>
      </x:c>
      <x:c r="C1558" s="73" t="str">
        <x:f>IF('당기원장'!A558="","",'당기원장'!B558)</x:f>
      </x:c>
      <x:c r="D1558" s="74" t="str">
        <x:f>IF('당기원장'!A558="","",'당기원장'!C558)</x:f>
      </x:c>
      <x:c r="E1558" s="73" t="str">
        <x:f>IF('당기원장'!A558="","",'당기원장'!D558)</x:f>
      </x:c>
      <x:c r="F1558" s="73" t="str">
        <x:f>IF('당기원장'!A558="","",'당기원장'!E558)</x:f>
      </x:c>
      <x:c r="G1558" s="75" t="str">
        <x:f>IF('당기원장'!A558="","",'당기원장'!H558)</x:f>
      </x:c>
      <x:c r="H1558" s="73" t="str">
        <x:f>IF('당기원장'!A558="","",'당기원장'!I558)</x:f>
      </x:c>
      <x:c r="I1558" s="73" t="str">
        <x:f>IF('당기원장'!A558="","",'당기원장'!J558)</x:f>
      </x:c>
      <x:c r="J1558" s="73" t="str">
        <x:f>IF('당기원장'!A558="","",'당기원장'!K558)</x:f>
      </x:c>
      <x:c r="K1558" s="73" t="str">
        <x:f>IF(B1558="","",IF(COUNTIF($B$5:B1558,B1558)=1,COUNT($K$4:K1557)+1,""))</x:f>
      </x:c>
      <x:c r="L1558" s="85" t="str">
        <x:f>IF(B1558="","",IF(COUNTIFS('계정비교'!$A$5:$A$1004,B1558,'계정비교'!$H$5:$H$1004,"원인분석 대상")&gt;0,COUNT($L$4:L1557)+1,""))</x:f>
      </x:c>
    </x:row>
    <x:row r="1559">
      <x:c r="A1559" s="73" t="str">
        <x:f>IF('당기원장'!A559="","","당기")</x:f>
      </x:c>
      <x:c r="B1559" s="73" t="str">
        <x:f>IF('당기원장'!A559="","",'당기원장'!A559)</x:f>
      </x:c>
      <x:c r="C1559" s="73" t="str">
        <x:f>IF('당기원장'!A559="","",'당기원장'!B559)</x:f>
      </x:c>
      <x:c r="D1559" s="74" t="str">
        <x:f>IF('당기원장'!A559="","",'당기원장'!C559)</x:f>
      </x:c>
      <x:c r="E1559" s="73" t="str">
        <x:f>IF('당기원장'!A559="","",'당기원장'!D559)</x:f>
      </x:c>
      <x:c r="F1559" s="73" t="str">
        <x:f>IF('당기원장'!A559="","",'당기원장'!E559)</x:f>
      </x:c>
      <x:c r="G1559" s="75" t="str">
        <x:f>IF('당기원장'!A559="","",'당기원장'!H559)</x:f>
      </x:c>
      <x:c r="H1559" s="73" t="str">
        <x:f>IF('당기원장'!A559="","",'당기원장'!I559)</x:f>
      </x:c>
      <x:c r="I1559" s="73" t="str">
        <x:f>IF('당기원장'!A559="","",'당기원장'!J559)</x:f>
      </x:c>
      <x:c r="J1559" s="73" t="str">
        <x:f>IF('당기원장'!A559="","",'당기원장'!K559)</x:f>
      </x:c>
      <x:c r="K1559" s="73" t="str">
        <x:f>IF(B1559="","",IF(COUNTIF($B$5:B1559,B1559)=1,COUNT($K$4:K1558)+1,""))</x:f>
      </x:c>
      <x:c r="L1559" s="85" t="str">
        <x:f>IF(B1559="","",IF(COUNTIFS('계정비교'!$A$5:$A$1004,B1559,'계정비교'!$H$5:$H$1004,"원인분석 대상")&gt;0,COUNT($L$4:L1558)+1,""))</x:f>
      </x:c>
    </x:row>
    <x:row r="1560">
      <x:c r="A1560" s="73" t="str">
        <x:f>IF('당기원장'!A560="","","당기")</x:f>
      </x:c>
      <x:c r="B1560" s="73" t="str">
        <x:f>IF('당기원장'!A560="","",'당기원장'!A560)</x:f>
      </x:c>
      <x:c r="C1560" s="73" t="str">
        <x:f>IF('당기원장'!A560="","",'당기원장'!B560)</x:f>
      </x:c>
      <x:c r="D1560" s="74" t="str">
        <x:f>IF('당기원장'!A560="","",'당기원장'!C560)</x:f>
      </x:c>
      <x:c r="E1560" s="73" t="str">
        <x:f>IF('당기원장'!A560="","",'당기원장'!D560)</x:f>
      </x:c>
      <x:c r="F1560" s="73" t="str">
        <x:f>IF('당기원장'!A560="","",'당기원장'!E560)</x:f>
      </x:c>
      <x:c r="G1560" s="75" t="str">
        <x:f>IF('당기원장'!A560="","",'당기원장'!H560)</x:f>
      </x:c>
      <x:c r="H1560" s="73" t="str">
        <x:f>IF('당기원장'!A560="","",'당기원장'!I560)</x:f>
      </x:c>
      <x:c r="I1560" s="73" t="str">
        <x:f>IF('당기원장'!A560="","",'당기원장'!J560)</x:f>
      </x:c>
      <x:c r="J1560" s="73" t="str">
        <x:f>IF('당기원장'!A560="","",'당기원장'!K560)</x:f>
      </x:c>
      <x:c r="K1560" s="73" t="str">
        <x:f>IF(B1560="","",IF(COUNTIF($B$5:B1560,B1560)=1,COUNT($K$4:K1559)+1,""))</x:f>
      </x:c>
      <x:c r="L1560" s="85" t="str">
        <x:f>IF(B1560="","",IF(COUNTIFS('계정비교'!$A$5:$A$1004,B1560,'계정비교'!$H$5:$H$1004,"원인분석 대상")&gt;0,COUNT($L$4:L1559)+1,""))</x:f>
      </x:c>
    </x:row>
    <x:row r="1561">
      <x:c r="A1561" s="73" t="str">
        <x:f>IF('당기원장'!A561="","","당기")</x:f>
      </x:c>
      <x:c r="B1561" s="73" t="str">
        <x:f>IF('당기원장'!A561="","",'당기원장'!A561)</x:f>
      </x:c>
      <x:c r="C1561" s="73" t="str">
        <x:f>IF('당기원장'!A561="","",'당기원장'!B561)</x:f>
      </x:c>
      <x:c r="D1561" s="74" t="str">
        <x:f>IF('당기원장'!A561="","",'당기원장'!C561)</x:f>
      </x:c>
      <x:c r="E1561" s="73" t="str">
        <x:f>IF('당기원장'!A561="","",'당기원장'!D561)</x:f>
      </x:c>
      <x:c r="F1561" s="73" t="str">
        <x:f>IF('당기원장'!A561="","",'당기원장'!E561)</x:f>
      </x:c>
      <x:c r="G1561" s="75" t="str">
        <x:f>IF('당기원장'!A561="","",'당기원장'!H561)</x:f>
      </x:c>
      <x:c r="H1561" s="73" t="str">
        <x:f>IF('당기원장'!A561="","",'당기원장'!I561)</x:f>
      </x:c>
      <x:c r="I1561" s="73" t="str">
        <x:f>IF('당기원장'!A561="","",'당기원장'!J561)</x:f>
      </x:c>
      <x:c r="J1561" s="73" t="str">
        <x:f>IF('당기원장'!A561="","",'당기원장'!K561)</x:f>
      </x:c>
      <x:c r="K1561" s="73" t="str">
        <x:f>IF(B1561="","",IF(COUNTIF($B$5:B1561,B1561)=1,COUNT($K$4:K1560)+1,""))</x:f>
      </x:c>
      <x:c r="L1561" s="85" t="str">
        <x:f>IF(B1561="","",IF(COUNTIFS('계정비교'!$A$5:$A$1004,B1561,'계정비교'!$H$5:$H$1004,"원인분석 대상")&gt;0,COUNT($L$4:L1560)+1,""))</x:f>
      </x:c>
    </x:row>
    <x:row r="1562">
      <x:c r="A1562" s="73" t="str">
        <x:f>IF('당기원장'!A562="","","당기")</x:f>
      </x:c>
      <x:c r="B1562" s="73" t="str">
        <x:f>IF('당기원장'!A562="","",'당기원장'!A562)</x:f>
      </x:c>
      <x:c r="C1562" s="73" t="str">
        <x:f>IF('당기원장'!A562="","",'당기원장'!B562)</x:f>
      </x:c>
      <x:c r="D1562" s="74" t="str">
        <x:f>IF('당기원장'!A562="","",'당기원장'!C562)</x:f>
      </x:c>
      <x:c r="E1562" s="73" t="str">
        <x:f>IF('당기원장'!A562="","",'당기원장'!D562)</x:f>
      </x:c>
      <x:c r="F1562" s="73" t="str">
        <x:f>IF('당기원장'!A562="","",'당기원장'!E562)</x:f>
      </x:c>
      <x:c r="G1562" s="75" t="str">
        <x:f>IF('당기원장'!A562="","",'당기원장'!H562)</x:f>
      </x:c>
      <x:c r="H1562" s="73" t="str">
        <x:f>IF('당기원장'!A562="","",'당기원장'!I562)</x:f>
      </x:c>
      <x:c r="I1562" s="73" t="str">
        <x:f>IF('당기원장'!A562="","",'당기원장'!J562)</x:f>
      </x:c>
      <x:c r="J1562" s="73" t="str">
        <x:f>IF('당기원장'!A562="","",'당기원장'!K562)</x:f>
      </x:c>
      <x:c r="K1562" s="73" t="str">
        <x:f>IF(B1562="","",IF(COUNTIF($B$5:B1562,B1562)=1,COUNT($K$4:K1561)+1,""))</x:f>
      </x:c>
      <x:c r="L1562" s="85" t="str">
        <x:f>IF(B1562="","",IF(COUNTIFS('계정비교'!$A$5:$A$1004,B1562,'계정비교'!$H$5:$H$1004,"원인분석 대상")&gt;0,COUNT($L$4:L1561)+1,""))</x:f>
      </x:c>
    </x:row>
    <x:row r="1563">
      <x:c r="A1563" s="73" t="str">
        <x:f>IF('당기원장'!A563="","","당기")</x:f>
      </x:c>
      <x:c r="B1563" s="73" t="str">
        <x:f>IF('당기원장'!A563="","",'당기원장'!A563)</x:f>
      </x:c>
      <x:c r="C1563" s="73" t="str">
        <x:f>IF('당기원장'!A563="","",'당기원장'!B563)</x:f>
      </x:c>
      <x:c r="D1563" s="74" t="str">
        <x:f>IF('당기원장'!A563="","",'당기원장'!C563)</x:f>
      </x:c>
      <x:c r="E1563" s="73" t="str">
        <x:f>IF('당기원장'!A563="","",'당기원장'!D563)</x:f>
      </x:c>
      <x:c r="F1563" s="73" t="str">
        <x:f>IF('당기원장'!A563="","",'당기원장'!E563)</x:f>
      </x:c>
      <x:c r="G1563" s="75" t="str">
        <x:f>IF('당기원장'!A563="","",'당기원장'!H563)</x:f>
      </x:c>
      <x:c r="H1563" s="73" t="str">
        <x:f>IF('당기원장'!A563="","",'당기원장'!I563)</x:f>
      </x:c>
      <x:c r="I1563" s="73" t="str">
        <x:f>IF('당기원장'!A563="","",'당기원장'!J563)</x:f>
      </x:c>
      <x:c r="J1563" s="73" t="str">
        <x:f>IF('당기원장'!A563="","",'당기원장'!K563)</x:f>
      </x:c>
      <x:c r="K1563" s="73" t="str">
        <x:f>IF(B1563="","",IF(COUNTIF($B$5:B1563,B1563)=1,COUNT($K$4:K1562)+1,""))</x:f>
      </x:c>
      <x:c r="L1563" s="85" t="str">
        <x:f>IF(B1563="","",IF(COUNTIFS('계정비교'!$A$5:$A$1004,B1563,'계정비교'!$H$5:$H$1004,"원인분석 대상")&gt;0,COUNT($L$4:L1562)+1,""))</x:f>
      </x:c>
    </x:row>
    <x:row r="1564">
      <x:c r="A1564" s="73" t="str">
        <x:f>IF('당기원장'!A564="","","당기")</x:f>
      </x:c>
      <x:c r="B1564" s="73" t="str">
        <x:f>IF('당기원장'!A564="","",'당기원장'!A564)</x:f>
      </x:c>
      <x:c r="C1564" s="73" t="str">
        <x:f>IF('당기원장'!A564="","",'당기원장'!B564)</x:f>
      </x:c>
      <x:c r="D1564" s="74" t="str">
        <x:f>IF('당기원장'!A564="","",'당기원장'!C564)</x:f>
      </x:c>
      <x:c r="E1564" s="73" t="str">
        <x:f>IF('당기원장'!A564="","",'당기원장'!D564)</x:f>
      </x:c>
      <x:c r="F1564" s="73" t="str">
        <x:f>IF('당기원장'!A564="","",'당기원장'!E564)</x:f>
      </x:c>
      <x:c r="G1564" s="75" t="str">
        <x:f>IF('당기원장'!A564="","",'당기원장'!H564)</x:f>
      </x:c>
      <x:c r="H1564" s="73" t="str">
        <x:f>IF('당기원장'!A564="","",'당기원장'!I564)</x:f>
      </x:c>
      <x:c r="I1564" s="73" t="str">
        <x:f>IF('당기원장'!A564="","",'당기원장'!J564)</x:f>
      </x:c>
      <x:c r="J1564" s="73" t="str">
        <x:f>IF('당기원장'!A564="","",'당기원장'!K564)</x:f>
      </x:c>
      <x:c r="K1564" s="73" t="str">
        <x:f>IF(B1564="","",IF(COUNTIF($B$5:B1564,B1564)=1,COUNT($K$4:K1563)+1,""))</x:f>
      </x:c>
      <x:c r="L1564" s="85" t="str">
        <x:f>IF(B1564="","",IF(COUNTIFS('계정비교'!$A$5:$A$1004,B1564,'계정비교'!$H$5:$H$1004,"원인분석 대상")&gt;0,COUNT($L$4:L1563)+1,""))</x:f>
      </x:c>
    </x:row>
    <x:row r="1565">
      <x:c r="A1565" s="73" t="str">
        <x:f>IF('당기원장'!A565="","","당기")</x:f>
      </x:c>
      <x:c r="B1565" s="73" t="str">
        <x:f>IF('당기원장'!A565="","",'당기원장'!A565)</x:f>
      </x:c>
      <x:c r="C1565" s="73" t="str">
        <x:f>IF('당기원장'!A565="","",'당기원장'!B565)</x:f>
      </x:c>
      <x:c r="D1565" s="74" t="str">
        <x:f>IF('당기원장'!A565="","",'당기원장'!C565)</x:f>
      </x:c>
      <x:c r="E1565" s="73" t="str">
        <x:f>IF('당기원장'!A565="","",'당기원장'!D565)</x:f>
      </x:c>
      <x:c r="F1565" s="73" t="str">
        <x:f>IF('당기원장'!A565="","",'당기원장'!E565)</x:f>
      </x:c>
      <x:c r="G1565" s="75" t="str">
        <x:f>IF('당기원장'!A565="","",'당기원장'!H565)</x:f>
      </x:c>
      <x:c r="H1565" s="73" t="str">
        <x:f>IF('당기원장'!A565="","",'당기원장'!I565)</x:f>
      </x:c>
      <x:c r="I1565" s="73" t="str">
        <x:f>IF('당기원장'!A565="","",'당기원장'!J565)</x:f>
      </x:c>
      <x:c r="J1565" s="73" t="str">
        <x:f>IF('당기원장'!A565="","",'당기원장'!K565)</x:f>
      </x:c>
      <x:c r="K1565" s="73" t="str">
        <x:f>IF(B1565="","",IF(COUNTIF($B$5:B1565,B1565)=1,COUNT($K$4:K1564)+1,""))</x:f>
      </x:c>
      <x:c r="L1565" s="85" t="str">
        <x:f>IF(B1565="","",IF(COUNTIFS('계정비교'!$A$5:$A$1004,B1565,'계정비교'!$H$5:$H$1004,"원인분석 대상")&gt;0,COUNT($L$4:L1564)+1,""))</x:f>
      </x:c>
    </x:row>
    <x:row r="1566">
      <x:c r="A1566" s="73" t="str">
        <x:f>IF('당기원장'!A566="","","당기")</x:f>
      </x:c>
      <x:c r="B1566" s="73" t="str">
        <x:f>IF('당기원장'!A566="","",'당기원장'!A566)</x:f>
      </x:c>
      <x:c r="C1566" s="73" t="str">
        <x:f>IF('당기원장'!A566="","",'당기원장'!B566)</x:f>
      </x:c>
      <x:c r="D1566" s="74" t="str">
        <x:f>IF('당기원장'!A566="","",'당기원장'!C566)</x:f>
      </x:c>
      <x:c r="E1566" s="73" t="str">
        <x:f>IF('당기원장'!A566="","",'당기원장'!D566)</x:f>
      </x:c>
      <x:c r="F1566" s="73" t="str">
        <x:f>IF('당기원장'!A566="","",'당기원장'!E566)</x:f>
      </x:c>
      <x:c r="G1566" s="75" t="str">
        <x:f>IF('당기원장'!A566="","",'당기원장'!H566)</x:f>
      </x:c>
      <x:c r="H1566" s="73" t="str">
        <x:f>IF('당기원장'!A566="","",'당기원장'!I566)</x:f>
      </x:c>
      <x:c r="I1566" s="73" t="str">
        <x:f>IF('당기원장'!A566="","",'당기원장'!J566)</x:f>
      </x:c>
      <x:c r="J1566" s="73" t="str">
        <x:f>IF('당기원장'!A566="","",'당기원장'!K566)</x:f>
      </x:c>
      <x:c r="K1566" s="73" t="str">
        <x:f>IF(B1566="","",IF(COUNTIF($B$5:B1566,B1566)=1,COUNT($K$4:K1565)+1,""))</x:f>
      </x:c>
      <x:c r="L1566" s="85" t="str">
        <x:f>IF(B1566="","",IF(COUNTIFS('계정비교'!$A$5:$A$1004,B1566,'계정비교'!$H$5:$H$1004,"원인분석 대상")&gt;0,COUNT($L$4:L1565)+1,""))</x:f>
      </x:c>
    </x:row>
    <x:row r="1567">
      <x:c r="A1567" s="73" t="str">
        <x:f>IF('당기원장'!A567="","","당기")</x:f>
      </x:c>
      <x:c r="B1567" s="73" t="str">
        <x:f>IF('당기원장'!A567="","",'당기원장'!A567)</x:f>
      </x:c>
      <x:c r="C1567" s="73" t="str">
        <x:f>IF('당기원장'!A567="","",'당기원장'!B567)</x:f>
      </x:c>
      <x:c r="D1567" s="74" t="str">
        <x:f>IF('당기원장'!A567="","",'당기원장'!C567)</x:f>
      </x:c>
      <x:c r="E1567" s="73" t="str">
        <x:f>IF('당기원장'!A567="","",'당기원장'!D567)</x:f>
      </x:c>
      <x:c r="F1567" s="73" t="str">
        <x:f>IF('당기원장'!A567="","",'당기원장'!E567)</x:f>
      </x:c>
      <x:c r="G1567" s="75" t="str">
        <x:f>IF('당기원장'!A567="","",'당기원장'!H567)</x:f>
      </x:c>
      <x:c r="H1567" s="73" t="str">
        <x:f>IF('당기원장'!A567="","",'당기원장'!I567)</x:f>
      </x:c>
      <x:c r="I1567" s="73" t="str">
        <x:f>IF('당기원장'!A567="","",'당기원장'!J567)</x:f>
      </x:c>
      <x:c r="J1567" s="73" t="str">
        <x:f>IF('당기원장'!A567="","",'당기원장'!K567)</x:f>
      </x:c>
      <x:c r="K1567" s="73" t="str">
        <x:f>IF(B1567="","",IF(COUNTIF($B$5:B1567,B1567)=1,COUNT($K$4:K1566)+1,""))</x:f>
      </x:c>
      <x:c r="L1567" s="85" t="str">
        <x:f>IF(B1567="","",IF(COUNTIFS('계정비교'!$A$5:$A$1004,B1567,'계정비교'!$H$5:$H$1004,"원인분석 대상")&gt;0,COUNT($L$4:L1566)+1,""))</x:f>
      </x:c>
    </x:row>
    <x:row r="1568">
      <x:c r="A1568" s="73" t="str">
        <x:f>IF('당기원장'!A568="","","당기")</x:f>
      </x:c>
      <x:c r="B1568" s="73" t="str">
        <x:f>IF('당기원장'!A568="","",'당기원장'!A568)</x:f>
      </x:c>
      <x:c r="C1568" s="73" t="str">
        <x:f>IF('당기원장'!A568="","",'당기원장'!B568)</x:f>
      </x:c>
      <x:c r="D1568" s="74" t="str">
        <x:f>IF('당기원장'!A568="","",'당기원장'!C568)</x:f>
      </x:c>
      <x:c r="E1568" s="73" t="str">
        <x:f>IF('당기원장'!A568="","",'당기원장'!D568)</x:f>
      </x:c>
      <x:c r="F1568" s="73" t="str">
        <x:f>IF('당기원장'!A568="","",'당기원장'!E568)</x:f>
      </x:c>
      <x:c r="G1568" s="75" t="str">
        <x:f>IF('당기원장'!A568="","",'당기원장'!H568)</x:f>
      </x:c>
      <x:c r="H1568" s="73" t="str">
        <x:f>IF('당기원장'!A568="","",'당기원장'!I568)</x:f>
      </x:c>
      <x:c r="I1568" s="73" t="str">
        <x:f>IF('당기원장'!A568="","",'당기원장'!J568)</x:f>
      </x:c>
      <x:c r="J1568" s="73" t="str">
        <x:f>IF('당기원장'!A568="","",'당기원장'!K568)</x:f>
      </x:c>
      <x:c r="K1568" s="73" t="str">
        <x:f>IF(B1568="","",IF(COUNTIF($B$5:B1568,B1568)=1,COUNT($K$4:K1567)+1,""))</x:f>
      </x:c>
      <x:c r="L1568" s="85" t="str">
        <x:f>IF(B1568="","",IF(COUNTIFS('계정비교'!$A$5:$A$1004,B1568,'계정비교'!$H$5:$H$1004,"원인분석 대상")&gt;0,COUNT($L$4:L1567)+1,""))</x:f>
      </x:c>
    </x:row>
    <x:row r="1569">
      <x:c r="A1569" s="73" t="str">
        <x:f>IF('당기원장'!A569="","","당기")</x:f>
      </x:c>
      <x:c r="B1569" s="73" t="str">
        <x:f>IF('당기원장'!A569="","",'당기원장'!A569)</x:f>
      </x:c>
      <x:c r="C1569" s="73" t="str">
        <x:f>IF('당기원장'!A569="","",'당기원장'!B569)</x:f>
      </x:c>
      <x:c r="D1569" s="74" t="str">
        <x:f>IF('당기원장'!A569="","",'당기원장'!C569)</x:f>
      </x:c>
      <x:c r="E1569" s="73" t="str">
        <x:f>IF('당기원장'!A569="","",'당기원장'!D569)</x:f>
      </x:c>
      <x:c r="F1569" s="73" t="str">
        <x:f>IF('당기원장'!A569="","",'당기원장'!E569)</x:f>
      </x:c>
      <x:c r="G1569" s="75" t="str">
        <x:f>IF('당기원장'!A569="","",'당기원장'!H569)</x:f>
      </x:c>
      <x:c r="H1569" s="73" t="str">
        <x:f>IF('당기원장'!A569="","",'당기원장'!I569)</x:f>
      </x:c>
      <x:c r="I1569" s="73" t="str">
        <x:f>IF('당기원장'!A569="","",'당기원장'!J569)</x:f>
      </x:c>
      <x:c r="J1569" s="73" t="str">
        <x:f>IF('당기원장'!A569="","",'당기원장'!K569)</x:f>
      </x:c>
      <x:c r="K1569" s="73" t="str">
        <x:f>IF(B1569="","",IF(COUNTIF($B$5:B1569,B1569)=1,COUNT($K$4:K1568)+1,""))</x:f>
      </x:c>
      <x:c r="L1569" s="85" t="str">
        <x:f>IF(B1569="","",IF(COUNTIFS('계정비교'!$A$5:$A$1004,B1569,'계정비교'!$H$5:$H$1004,"원인분석 대상")&gt;0,COUNT($L$4:L1568)+1,""))</x:f>
      </x:c>
    </x:row>
    <x:row r="1570">
      <x:c r="A1570" s="73" t="str">
        <x:f>IF('당기원장'!A570="","","당기")</x:f>
      </x:c>
      <x:c r="B1570" s="73" t="str">
        <x:f>IF('당기원장'!A570="","",'당기원장'!A570)</x:f>
      </x:c>
      <x:c r="C1570" s="73" t="str">
        <x:f>IF('당기원장'!A570="","",'당기원장'!B570)</x:f>
      </x:c>
      <x:c r="D1570" s="74" t="str">
        <x:f>IF('당기원장'!A570="","",'당기원장'!C570)</x:f>
      </x:c>
      <x:c r="E1570" s="73" t="str">
        <x:f>IF('당기원장'!A570="","",'당기원장'!D570)</x:f>
      </x:c>
      <x:c r="F1570" s="73" t="str">
        <x:f>IF('당기원장'!A570="","",'당기원장'!E570)</x:f>
      </x:c>
      <x:c r="G1570" s="75" t="str">
        <x:f>IF('당기원장'!A570="","",'당기원장'!H570)</x:f>
      </x:c>
      <x:c r="H1570" s="73" t="str">
        <x:f>IF('당기원장'!A570="","",'당기원장'!I570)</x:f>
      </x:c>
      <x:c r="I1570" s="73" t="str">
        <x:f>IF('당기원장'!A570="","",'당기원장'!J570)</x:f>
      </x:c>
      <x:c r="J1570" s="73" t="str">
        <x:f>IF('당기원장'!A570="","",'당기원장'!K570)</x:f>
      </x:c>
      <x:c r="K1570" s="73" t="str">
        <x:f>IF(B1570="","",IF(COUNTIF($B$5:B1570,B1570)=1,COUNT($K$4:K1569)+1,""))</x:f>
      </x:c>
      <x:c r="L1570" s="85" t="str">
        <x:f>IF(B1570="","",IF(COUNTIFS('계정비교'!$A$5:$A$1004,B1570,'계정비교'!$H$5:$H$1004,"원인분석 대상")&gt;0,COUNT($L$4:L1569)+1,""))</x:f>
      </x:c>
    </x:row>
    <x:row r="1571">
      <x:c r="A1571" s="73" t="str">
        <x:f>IF('당기원장'!A571="","","당기")</x:f>
      </x:c>
      <x:c r="B1571" s="73" t="str">
        <x:f>IF('당기원장'!A571="","",'당기원장'!A571)</x:f>
      </x:c>
      <x:c r="C1571" s="73" t="str">
        <x:f>IF('당기원장'!A571="","",'당기원장'!B571)</x:f>
      </x:c>
      <x:c r="D1571" s="74" t="str">
        <x:f>IF('당기원장'!A571="","",'당기원장'!C571)</x:f>
      </x:c>
      <x:c r="E1571" s="73" t="str">
        <x:f>IF('당기원장'!A571="","",'당기원장'!D571)</x:f>
      </x:c>
      <x:c r="F1571" s="73" t="str">
        <x:f>IF('당기원장'!A571="","",'당기원장'!E571)</x:f>
      </x:c>
      <x:c r="G1571" s="75" t="str">
        <x:f>IF('당기원장'!A571="","",'당기원장'!H571)</x:f>
      </x:c>
      <x:c r="H1571" s="73" t="str">
        <x:f>IF('당기원장'!A571="","",'당기원장'!I571)</x:f>
      </x:c>
      <x:c r="I1571" s="73" t="str">
        <x:f>IF('당기원장'!A571="","",'당기원장'!J571)</x:f>
      </x:c>
      <x:c r="J1571" s="73" t="str">
        <x:f>IF('당기원장'!A571="","",'당기원장'!K571)</x:f>
      </x:c>
      <x:c r="K1571" s="73" t="str">
        <x:f>IF(B1571="","",IF(COUNTIF($B$5:B1571,B1571)=1,COUNT($K$4:K1570)+1,""))</x:f>
      </x:c>
      <x:c r="L1571" s="85" t="str">
        <x:f>IF(B1571="","",IF(COUNTIFS('계정비교'!$A$5:$A$1004,B1571,'계정비교'!$H$5:$H$1004,"원인분석 대상")&gt;0,COUNT($L$4:L1570)+1,""))</x:f>
      </x:c>
    </x:row>
    <x:row r="1572">
      <x:c r="A1572" s="73" t="str">
        <x:f>IF('당기원장'!A572="","","당기")</x:f>
      </x:c>
      <x:c r="B1572" s="73" t="str">
        <x:f>IF('당기원장'!A572="","",'당기원장'!A572)</x:f>
      </x:c>
      <x:c r="C1572" s="73" t="str">
        <x:f>IF('당기원장'!A572="","",'당기원장'!B572)</x:f>
      </x:c>
      <x:c r="D1572" s="74" t="str">
        <x:f>IF('당기원장'!A572="","",'당기원장'!C572)</x:f>
      </x:c>
      <x:c r="E1572" s="73" t="str">
        <x:f>IF('당기원장'!A572="","",'당기원장'!D572)</x:f>
      </x:c>
      <x:c r="F1572" s="73" t="str">
        <x:f>IF('당기원장'!A572="","",'당기원장'!E572)</x:f>
      </x:c>
      <x:c r="G1572" s="75" t="str">
        <x:f>IF('당기원장'!A572="","",'당기원장'!H572)</x:f>
      </x:c>
      <x:c r="H1572" s="73" t="str">
        <x:f>IF('당기원장'!A572="","",'당기원장'!I572)</x:f>
      </x:c>
      <x:c r="I1572" s="73" t="str">
        <x:f>IF('당기원장'!A572="","",'당기원장'!J572)</x:f>
      </x:c>
      <x:c r="J1572" s="73" t="str">
        <x:f>IF('당기원장'!A572="","",'당기원장'!K572)</x:f>
      </x:c>
      <x:c r="K1572" s="73" t="str">
        <x:f>IF(B1572="","",IF(COUNTIF($B$5:B1572,B1572)=1,COUNT($K$4:K1571)+1,""))</x:f>
      </x:c>
      <x:c r="L1572" s="85" t="str">
        <x:f>IF(B1572="","",IF(COUNTIFS('계정비교'!$A$5:$A$1004,B1572,'계정비교'!$H$5:$H$1004,"원인분석 대상")&gt;0,COUNT($L$4:L1571)+1,""))</x:f>
      </x:c>
    </x:row>
    <x:row r="1573">
      <x:c r="A1573" s="73" t="str">
        <x:f>IF('당기원장'!A573="","","당기")</x:f>
      </x:c>
      <x:c r="B1573" s="73" t="str">
        <x:f>IF('당기원장'!A573="","",'당기원장'!A573)</x:f>
      </x:c>
      <x:c r="C1573" s="73" t="str">
        <x:f>IF('당기원장'!A573="","",'당기원장'!B573)</x:f>
      </x:c>
      <x:c r="D1573" s="74" t="str">
        <x:f>IF('당기원장'!A573="","",'당기원장'!C573)</x:f>
      </x:c>
      <x:c r="E1573" s="73" t="str">
        <x:f>IF('당기원장'!A573="","",'당기원장'!D573)</x:f>
      </x:c>
      <x:c r="F1573" s="73" t="str">
        <x:f>IF('당기원장'!A573="","",'당기원장'!E573)</x:f>
      </x:c>
      <x:c r="G1573" s="75" t="str">
        <x:f>IF('당기원장'!A573="","",'당기원장'!H573)</x:f>
      </x:c>
      <x:c r="H1573" s="73" t="str">
        <x:f>IF('당기원장'!A573="","",'당기원장'!I573)</x:f>
      </x:c>
      <x:c r="I1573" s="73" t="str">
        <x:f>IF('당기원장'!A573="","",'당기원장'!J573)</x:f>
      </x:c>
      <x:c r="J1573" s="73" t="str">
        <x:f>IF('당기원장'!A573="","",'당기원장'!K573)</x:f>
      </x:c>
      <x:c r="K1573" s="73" t="str">
        <x:f>IF(B1573="","",IF(COUNTIF($B$5:B1573,B1573)=1,COUNT($K$4:K1572)+1,""))</x:f>
      </x:c>
      <x:c r="L1573" s="85" t="str">
        <x:f>IF(B1573="","",IF(COUNTIFS('계정비교'!$A$5:$A$1004,B1573,'계정비교'!$H$5:$H$1004,"원인분석 대상")&gt;0,COUNT($L$4:L1572)+1,""))</x:f>
      </x:c>
    </x:row>
    <x:row r="1574">
      <x:c r="A1574" s="73" t="str">
        <x:f>IF('당기원장'!A574="","","당기")</x:f>
      </x:c>
      <x:c r="B1574" s="73" t="str">
        <x:f>IF('당기원장'!A574="","",'당기원장'!A574)</x:f>
      </x:c>
      <x:c r="C1574" s="73" t="str">
        <x:f>IF('당기원장'!A574="","",'당기원장'!B574)</x:f>
      </x:c>
      <x:c r="D1574" s="74" t="str">
        <x:f>IF('당기원장'!A574="","",'당기원장'!C574)</x:f>
      </x:c>
      <x:c r="E1574" s="73" t="str">
        <x:f>IF('당기원장'!A574="","",'당기원장'!D574)</x:f>
      </x:c>
      <x:c r="F1574" s="73" t="str">
        <x:f>IF('당기원장'!A574="","",'당기원장'!E574)</x:f>
      </x:c>
      <x:c r="G1574" s="75" t="str">
        <x:f>IF('당기원장'!A574="","",'당기원장'!H574)</x:f>
      </x:c>
      <x:c r="H1574" s="73" t="str">
        <x:f>IF('당기원장'!A574="","",'당기원장'!I574)</x:f>
      </x:c>
      <x:c r="I1574" s="73" t="str">
        <x:f>IF('당기원장'!A574="","",'당기원장'!J574)</x:f>
      </x:c>
      <x:c r="J1574" s="73" t="str">
        <x:f>IF('당기원장'!A574="","",'당기원장'!K574)</x:f>
      </x:c>
      <x:c r="K1574" s="73" t="str">
        <x:f>IF(B1574="","",IF(COUNTIF($B$5:B1574,B1574)=1,COUNT($K$4:K1573)+1,""))</x:f>
      </x:c>
      <x:c r="L1574" s="85" t="str">
        <x:f>IF(B1574="","",IF(COUNTIFS('계정비교'!$A$5:$A$1004,B1574,'계정비교'!$H$5:$H$1004,"원인분석 대상")&gt;0,COUNT($L$4:L1573)+1,""))</x:f>
      </x:c>
    </x:row>
    <x:row r="1575">
      <x:c r="A1575" s="73" t="str">
        <x:f>IF('당기원장'!A575="","","당기")</x:f>
      </x:c>
      <x:c r="B1575" s="73" t="str">
        <x:f>IF('당기원장'!A575="","",'당기원장'!A575)</x:f>
      </x:c>
      <x:c r="C1575" s="73" t="str">
        <x:f>IF('당기원장'!A575="","",'당기원장'!B575)</x:f>
      </x:c>
      <x:c r="D1575" s="74" t="str">
        <x:f>IF('당기원장'!A575="","",'당기원장'!C575)</x:f>
      </x:c>
      <x:c r="E1575" s="73" t="str">
        <x:f>IF('당기원장'!A575="","",'당기원장'!D575)</x:f>
      </x:c>
      <x:c r="F1575" s="73" t="str">
        <x:f>IF('당기원장'!A575="","",'당기원장'!E575)</x:f>
      </x:c>
      <x:c r="G1575" s="75" t="str">
        <x:f>IF('당기원장'!A575="","",'당기원장'!H575)</x:f>
      </x:c>
      <x:c r="H1575" s="73" t="str">
        <x:f>IF('당기원장'!A575="","",'당기원장'!I575)</x:f>
      </x:c>
      <x:c r="I1575" s="73" t="str">
        <x:f>IF('당기원장'!A575="","",'당기원장'!J575)</x:f>
      </x:c>
      <x:c r="J1575" s="73" t="str">
        <x:f>IF('당기원장'!A575="","",'당기원장'!K575)</x:f>
      </x:c>
      <x:c r="K1575" s="73" t="str">
        <x:f>IF(B1575="","",IF(COUNTIF($B$5:B1575,B1575)=1,COUNT($K$4:K1574)+1,""))</x:f>
      </x:c>
      <x:c r="L1575" s="85" t="str">
        <x:f>IF(B1575="","",IF(COUNTIFS('계정비교'!$A$5:$A$1004,B1575,'계정비교'!$H$5:$H$1004,"원인분석 대상")&gt;0,COUNT($L$4:L1574)+1,""))</x:f>
      </x:c>
    </x:row>
    <x:row r="1576">
      <x:c r="A1576" s="73" t="str">
        <x:f>IF('당기원장'!A576="","","당기")</x:f>
      </x:c>
      <x:c r="B1576" s="73" t="str">
        <x:f>IF('당기원장'!A576="","",'당기원장'!A576)</x:f>
      </x:c>
      <x:c r="C1576" s="73" t="str">
        <x:f>IF('당기원장'!A576="","",'당기원장'!B576)</x:f>
      </x:c>
      <x:c r="D1576" s="74" t="str">
        <x:f>IF('당기원장'!A576="","",'당기원장'!C576)</x:f>
      </x:c>
      <x:c r="E1576" s="73" t="str">
        <x:f>IF('당기원장'!A576="","",'당기원장'!D576)</x:f>
      </x:c>
      <x:c r="F1576" s="73" t="str">
        <x:f>IF('당기원장'!A576="","",'당기원장'!E576)</x:f>
      </x:c>
      <x:c r="G1576" s="75" t="str">
        <x:f>IF('당기원장'!A576="","",'당기원장'!H576)</x:f>
      </x:c>
      <x:c r="H1576" s="73" t="str">
        <x:f>IF('당기원장'!A576="","",'당기원장'!I576)</x:f>
      </x:c>
      <x:c r="I1576" s="73" t="str">
        <x:f>IF('당기원장'!A576="","",'당기원장'!J576)</x:f>
      </x:c>
      <x:c r="J1576" s="73" t="str">
        <x:f>IF('당기원장'!A576="","",'당기원장'!K576)</x:f>
      </x:c>
      <x:c r="K1576" s="73" t="str">
        <x:f>IF(B1576="","",IF(COUNTIF($B$5:B1576,B1576)=1,COUNT($K$4:K1575)+1,""))</x:f>
      </x:c>
      <x:c r="L1576" s="85" t="str">
        <x:f>IF(B1576="","",IF(COUNTIFS('계정비교'!$A$5:$A$1004,B1576,'계정비교'!$H$5:$H$1004,"원인분석 대상")&gt;0,COUNT($L$4:L1575)+1,""))</x:f>
      </x:c>
    </x:row>
    <x:row r="1577">
      <x:c r="A1577" s="73" t="str">
        <x:f>IF('당기원장'!A577="","","당기")</x:f>
      </x:c>
      <x:c r="B1577" s="73" t="str">
        <x:f>IF('당기원장'!A577="","",'당기원장'!A577)</x:f>
      </x:c>
      <x:c r="C1577" s="73" t="str">
        <x:f>IF('당기원장'!A577="","",'당기원장'!B577)</x:f>
      </x:c>
      <x:c r="D1577" s="74" t="str">
        <x:f>IF('당기원장'!A577="","",'당기원장'!C577)</x:f>
      </x:c>
      <x:c r="E1577" s="73" t="str">
        <x:f>IF('당기원장'!A577="","",'당기원장'!D577)</x:f>
      </x:c>
      <x:c r="F1577" s="73" t="str">
        <x:f>IF('당기원장'!A577="","",'당기원장'!E577)</x:f>
      </x:c>
      <x:c r="G1577" s="75" t="str">
        <x:f>IF('당기원장'!A577="","",'당기원장'!H577)</x:f>
      </x:c>
      <x:c r="H1577" s="73" t="str">
        <x:f>IF('당기원장'!A577="","",'당기원장'!I577)</x:f>
      </x:c>
      <x:c r="I1577" s="73" t="str">
        <x:f>IF('당기원장'!A577="","",'당기원장'!J577)</x:f>
      </x:c>
      <x:c r="J1577" s="73" t="str">
        <x:f>IF('당기원장'!A577="","",'당기원장'!K577)</x:f>
      </x:c>
      <x:c r="K1577" s="73" t="str">
        <x:f>IF(B1577="","",IF(COUNTIF($B$5:B1577,B1577)=1,COUNT($K$4:K1576)+1,""))</x:f>
      </x:c>
      <x:c r="L1577" s="85" t="str">
        <x:f>IF(B1577="","",IF(COUNTIFS('계정비교'!$A$5:$A$1004,B1577,'계정비교'!$H$5:$H$1004,"원인분석 대상")&gt;0,COUNT($L$4:L1576)+1,""))</x:f>
      </x:c>
    </x:row>
    <x:row r="1578">
      <x:c r="A1578" s="73" t="str">
        <x:f>IF('당기원장'!A578="","","당기")</x:f>
      </x:c>
      <x:c r="B1578" s="73" t="str">
        <x:f>IF('당기원장'!A578="","",'당기원장'!A578)</x:f>
      </x:c>
      <x:c r="C1578" s="73" t="str">
        <x:f>IF('당기원장'!A578="","",'당기원장'!B578)</x:f>
      </x:c>
      <x:c r="D1578" s="74" t="str">
        <x:f>IF('당기원장'!A578="","",'당기원장'!C578)</x:f>
      </x:c>
      <x:c r="E1578" s="73" t="str">
        <x:f>IF('당기원장'!A578="","",'당기원장'!D578)</x:f>
      </x:c>
      <x:c r="F1578" s="73" t="str">
        <x:f>IF('당기원장'!A578="","",'당기원장'!E578)</x:f>
      </x:c>
      <x:c r="G1578" s="75" t="str">
        <x:f>IF('당기원장'!A578="","",'당기원장'!H578)</x:f>
      </x:c>
      <x:c r="H1578" s="73" t="str">
        <x:f>IF('당기원장'!A578="","",'당기원장'!I578)</x:f>
      </x:c>
      <x:c r="I1578" s="73" t="str">
        <x:f>IF('당기원장'!A578="","",'당기원장'!J578)</x:f>
      </x:c>
      <x:c r="J1578" s="73" t="str">
        <x:f>IF('당기원장'!A578="","",'당기원장'!K578)</x:f>
      </x:c>
      <x:c r="K1578" s="73" t="str">
        <x:f>IF(B1578="","",IF(COUNTIF($B$5:B1578,B1578)=1,COUNT($K$4:K1577)+1,""))</x:f>
      </x:c>
      <x:c r="L1578" s="85" t="str">
        <x:f>IF(B1578="","",IF(COUNTIFS('계정비교'!$A$5:$A$1004,B1578,'계정비교'!$H$5:$H$1004,"원인분석 대상")&gt;0,COUNT($L$4:L1577)+1,""))</x:f>
      </x:c>
    </x:row>
    <x:row r="1579">
      <x:c r="A1579" s="73" t="str">
        <x:f>IF('당기원장'!A579="","","당기")</x:f>
      </x:c>
      <x:c r="B1579" s="73" t="str">
        <x:f>IF('당기원장'!A579="","",'당기원장'!A579)</x:f>
      </x:c>
      <x:c r="C1579" s="73" t="str">
        <x:f>IF('당기원장'!A579="","",'당기원장'!B579)</x:f>
      </x:c>
      <x:c r="D1579" s="74" t="str">
        <x:f>IF('당기원장'!A579="","",'당기원장'!C579)</x:f>
      </x:c>
      <x:c r="E1579" s="73" t="str">
        <x:f>IF('당기원장'!A579="","",'당기원장'!D579)</x:f>
      </x:c>
      <x:c r="F1579" s="73" t="str">
        <x:f>IF('당기원장'!A579="","",'당기원장'!E579)</x:f>
      </x:c>
      <x:c r="G1579" s="75" t="str">
        <x:f>IF('당기원장'!A579="","",'당기원장'!H579)</x:f>
      </x:c>
      <x:c r="H1579" s="73" t="str">
        <x:f>IF('당기원장'!A579="","",'당기원장'!I579)</x:f>
      </x:c>
      <x:c r="I1579" s="73" t="str">
        <x:f>IF('당기원장'!A579="","",'당기원장'!J579)</x:f>
      </x:c>
      <x:c r="J1579" s="73" t="str">
        <x:f>IF('당기원장'!A579="","",'당기원장'!K579)</x:f>
      </x:c>
      <x:c r="K1579" s="73" t="str">
        <x:f>IF(B1579="","",IF(COUNTIF($B$5:B1579,B1579)=1,COUNT($K$4:K1578)+1,""))</x:f>
      </x:c>
      <x:c r="L1579" s="85" t="str">
        <x:f>IF(B1579="","",IF(COUNTIFS('계정비교'!$A$5:$A$1004,B1579,'계정비교'!$H$5:$H$1004,"원인분석 대상")&gt;0,COUNT($L$4:L1578)+1,""))</x:f>
      </x:c>
    </x:row>
    <x:row r="1580">
      <x:c r="A1580" s="73" t="str">
        <x:f>IF('당기원장'!A580="","","당기")</x:f>
      </x:c>
      <x:c r="B1580" s="73" t="str">
        <x:f>IF('당기원장'!A580="","",'당기원장'!A580)</x:f>
      </x:c>
      <x:c r="C1580" s="73" t="str">
        <x:f>IF('당기원장'!A580="","",'당기원장'!B580)</x:f>
      </x:c>
      <x:c r="D1580" s="74" t="str">
        <x:f>IF('당기원장'!A580="","",'당기원장'!C580)</x:f>
      </x:c>
      <x:c r="E1580" s="73" t="str">
        <x:f>IF('당기원장'!A580="","",'당기원장'!D580)</x:f>
      </x:c>
      <x:c r="F1580" s="73" t="str">
        <x:f>IF('당기원장'!A580="","",'당기원장'!E580)</x:f>
      </x:c>
      <x:c r="G1580" s="75" t="str">
        <x:f>IF('당기원장'!A580="","",'당기원장'!H580)</x:f>
      </x:c>
      <x:c r="H1580" s="73" t="str">
        <x:f>IF('당기원장'!A580="","",'당기원장'!I580)</x:f>
      </x:c>
      <x:c r="I1580" s="73" t="str">
        <x:f>IF('당기원장'!A580="","",'당기원장'!J580)</x:f>
      </x:c>
      <x:c r="J1580" s="73" t="str">
        <x:f>IF('당기원장'!A580="","",'당기원장'!K580)</x:f>
      </x:c>
      <x:c r="K1580" s="73" t="str">
        <x:f>IF(B1580="","",IF(COUNTIF($B$5:B1580,B1580)=1,COUNT($K$4:K1579)+1,""))</x:f>
      </x:c>
      <x:c r="L1580" s="85" t="str">
        <x:f>IF(B1580="","",IF(COUNTIFS('계정비교'!$A$5:$A$1004,B1580,'계정비교'!$H$5:$H$1004,"원인분석 대상")&gt;0,COUNT($L$4:L1579)+1,""))</x:f>
      </x:c>
    </x:row>
    <x:row r="1581">
      <x:c r="A1581" s="73" t="str">
        <x:f>IF('당기원장'!A581="","","당기")</x:f>
      </x:c>
      <x:c r="B1581" s="73" t="str">
        <x:f>IF('당기원장'!A581="","",'당기원장'!A581)</x:f>
      </x:c>
      <x:c r="C1581" s="73" t="str">
        <x:f>IF('당기원장'!A581="","",'당기원장'!B581)</x:f>
      </x:c>
      <x:c r="D1581" s="74" t="str">
        <x:f>IF('당기원장'!A581="","",'당기원장'!C581)</x:f>
      </x:c>
      <x:c r="E1581" s="73" t="str">
        <x:f>IF('당기원장'!A581="","",'당기원장'!D581)</x:f>
      </x:c>
      <x:c r="F1581" s="73" t="str">
        <x:f>IF('당기원장'!A581="","",'당기원장'!E581)</x:f>
      </x:c>
      <x:c r="G1581" s="75" t="str">
        <x:f>IF('당기원장'!A581="","",'당기원장'!H581)</x:f>
      </x:c>
      <x:c r="H1581" s="73" t="str">
        <x:f>IF('당기원장'!A581="","",'당기원장'!I581)</x:f>
      </x:c>
      <x:c r="I1581" s="73" t="str">
        <x:f>IF('당기원장'!A581="","",'당기원장'!J581)</x:f>
      </x:c>
      <x:c r="J1581" s="73" t="str">
        <x:f>IF('당기원장'!A581="","",'당기원장'!K581)</x:f>
      </x:c>
      <x:c r="K1581" s="73" t="str">
        <x:f>IF(B1581="","",IF(COUNTIF($B$5:B1581,B1581)=1,COUNT($K$4:K1580)+1,""))</x:f>
      </x:c>
      <x:c r="L1581" s="85" t="str">
        <x:f>IF(B1581="","",IF(COUNTIFS('계정비교'!$A$5:$A$1004,B1581,'계정비교'!$H$5:$H$1004,"원인분석 대상")&gt;0,COUNT($L$4:L1580)+1,""))</x:f>
      </x:c>
    </x:row>
    <x:row r="1582">
      <x:c r="A1582" s="73" t="str">
        <x:f>IF('당기원장'!A582="","","당기")</x:f>
      </x:c>
      <x:c r="B1582" s="73" t="str">
        <x:f>IF('당기원장'!A582="","",'당기원장'!A582)</x:f>
      </x:c>
      <x:c r="C1582" s="73" t="str">
        <x:f>IF('당기원장'!A582="","",'당기원장'!B582)</x:f>
      </x:c>
      <x:c r="D1582" s="74" t="str">
        <x:f>IF('당기원장'!A582="","",'당기원장'!C582)</x:f>
      </x:c>
      <x:c r="E1582" s="73" t="str">
        <x:f>IF('당기원장'!A582="","",'당기원장'!D582)</x:f>
      </x:c>
      <x:c r="F1582" s="73" t="str">
        <x:f>IF('당기원장'!A582="","",'당기원장'!E582)</x:f>
      </x:c>
      <x:c r="G1582" s="75" t="str">
        <x:f>IF('당기원장'!A582="","",'당기원장'!H582)</x:f>
      </x:c>
      <x:c r="H1582" s="73" t="str">
        <x:f>IF('당기원장'!A582="","",'당기원장'!I582)</x:f>
      </x:c>
      <x:c r="I1582" s="73" t="str">
        <x:f>IF('당기원장'!A582="","",'당기원장'!J582)</x:f>
      </x:c>
      <x:c r="J1582" s="73" t="str">
        <x:f>IF('당기원장'!A582="","",'당기원장'!K582)</x:f>
      </x:c>
      <x:c r="K1582" s="73" t="str">
        <x:f>IF(B1582="","",IF(COUNTIF($B$5:B1582,B1582)=1,COUNT($K$4:K1581)+1,""))</x:f>
      </x:c>
      <x:c r="L1582" s="85" t="str">
        <x:f>IF(B1582="","",IF(COUNTIFS('계정비교'!$A$5:$A$1004,B1582,'계정비교'!$H$5:$H$1004,"원인분석 대상")&gt;0,COUNT($L$4:L1581)+1,""))</x:f>
      </x:c>
    </x:row>
    <x:row r="1583">
      <x:c r="A1583" s="73" t="str">
        <x:f>IF('당기원장'!A583="","","당기")</x:f>
      </x:c>
      <x:c r="B1583" s="73" t="str">
        <x:f>IF('당기원장'!A583="","",'당기원장'!A583)</x:f>
      </x:c>
      <x:c r="C1583" s="73" t="str">
        <x:f>IF('당기원장'!A583="","",'당기원장'!B583)</x:f>
      </x:c>
      <x:c r="D1583" s="74" t="str">
        <x:f>IF('당기원장'!A583="","",'당기원장'!C583)</x:f>
      </x:c>
      <x:c r="E1583" s="73" t="str">
        <x:f>IF('당기원장'!A583="","",'당기원장'!D583)</x:f>
      </x:c>
      <x:c r="F1583" s="73" t="str">
        <x:f>IF('당기원장'!A583="","",'당기원장'!E583)</x:f>
      </x:c>
      <x:c r="G1583" s="75" t="str">
        <x:f>IF('당기원장'!A583="","",'당기원장'!H583)</x:f>
      </x:c>
      <x:c r="H1583" s="73" t="str">
        <x:f>IF('당기원장'!A583="","",'당기원장'!I583)</x:f>
      </x:c>
      <x:c r="I1583" s="73" t="str">
        <x:f>IF('당기원장'!A583="","",'당기원장'!J583)</x:f>
      </x:c>
      <x:c r="J1583" s="73" t="str">
        <x:f>IF('당기원장'!A583="","",'당기원장'!K583)</x:f>
      </x:c>
      <x:c r="K1583" s="73" t="str">
        <x:f>IF(B1583="","",IF(COUNTIF($B$5:B1583,B1583)=1,COUNT($K$4:K1582)+1,""))</x:f>
      </x:c>
      <x:c r="L1583" s="85" t="str">
        <x:f>IF(B1583="","",IF(COUNTIFS('계정비교'!$A$5:$A$1004,B1583,'계정비교'!$H$5:$H$1004,"원인분석 대상")&gt;0,COUNT($L$4:L1582)+1,""))</x:f>
      </x:c>
    </x:row>
    <x:row r="1584">
      <x:c r="A1584" s="73" t="str">
        <x:f>IF('당기원장'!A584="","","당기")</x:f>
      </x:c>
      <x:c r="B1584" s="73" t="str">
        <x:f>IF('당기원장'!A584="","",'당기원장'!A584)</x:f>
      </x:c>
      <x:c r="C1584" s="73" t="str">
        <x:f>IF('당기원장'!A584="","",'당기원장'!B584)</x:f>
      </x:c>
      <x:c r="D1584" s="74" t="str">
        <x:f>IF('당기원장'!A584="","",'당기원장'!C584)</x:f>
      </x:c>
      <x:c r="E1584" s="73" t="str">
        <x:f>IF('당기원장'!A584="","",'당기원장'!D584)</x:f>
      </x:c>
      <x:c r="F1584" s="73" t="str">
        <x:f>IF('당기원장'!A584="","",'당기원장'!E584)</x:f>
      </x:c>
      <x:c r="G1584" s="75" t="str">
        <x:f>IF('당기원장'!A584="","",'당기원장'!H584)</x:f>
      </x:c>
      <x:c r="H1584" s="73" t="str">
        <x:f>IF('당기원장'!A584="","",'당기원장'!I584)</x:f>
      </x:c>
      <x:c r="I1584" s="73" t="str">
        <x:f>IF('당기원장'!A584="","",'당기원장'!J584)</x:f>
      </x:c>
      <x:c r="J1584" s="73" t="str">
        <x:f>IF('당기원장'!A584="","",'당기원장'!K584)</x:f>
      </x:c>
      <x:c r="K1584" s="73" t="str">
        <x:f>IF(B1584="","",IF(COUNTIF($B$5:B1584,B1584)=1,COUNT($K$4:K1583)+1,""))</x:f>
      </x:c>
      <x:c r="L1584" s="85" t="str">
        <x:f>IF(B1584="","",IF(COUNTIFS('계정비교'!$A$5:$A$1004,B1584,'계정비교'!$H$5:$H$1004,"원인분석 대상")&gt;0,COUNT($L$4:L1583)+1,""))</x:f>
      </x:c>
    </x:row>
    <x:row r="1585">
      <x:c r="A1585" s="73" t="str">
        <x:f>IF('당기원장'!A585="","","당기")</x:f>
      </x:c>
      <x:c r="B1585" s="73" t="str">
        <x:f>IF('당기원장'!A585="","",'당기원장'!A585)</x:f>
      </x:c>
      <x:c r="C1585" s="73" t="str">
        <x:f>IF('당기원장'!A585="","",'당기원장'!B585)</x:f>
      </x:c>
      <x:c r="D1585" s="74" t="str">
        <x:f>IF('당기원장'!A585="","",'당기원장'!C585)</x:f>
      </x:c>
      <x:c r="E1585" s="73" t="str">
        <x:f>IF('당기원장'!A585="","",'당기원장'!D585)</x:f>
      </x:c>
      <x:c r="F1585" s="73" t="str">
        <x:f>IF('당기원장'!A585="","",'당기원장'!E585)</x:f>
      </x:c>
      <x:c r="G1585" s="75" t="str">
        <x:f>IF('당기원장'!A585="","",'당기원장'!H585)</x:f>
      </x:c>
      <x:c r="H1585" s="73" t="str">
        <x:f>IF('당기원장'!A585="","",'당기원장'!I585)</x:f>
      </x:c>
      <x:c r="I1585" s="73" t="str">
        <x:f>IF('당기원장'!A585="","",'당기원장'!J585)</x:f>
      </x:c>
      <x:c r="J1585" s="73" t="str">
        <x:f>IF('당기원장'!A585="","",'당기원장'!K585)</x:f>
      </x:c>
      <x:c r="K1585" s="73" t="str">
        <x:f>IF(B1585="","",IF(COUNTIF($B$5:B1585,B1585)=1,COUNT($K$4:K1584)+1,""))</x:f>
      </x:c>
      <x:c r="L1585" s="85" t="str">
        <x:f>IF(B1585="","",IF(COUNTIFS('계정비교'!$A$5:$A$1004,B1585,'계정비교'!$H$5:$H$1004,"원인분석 대상")&gt;0,COUNT($L$4:L1584)+1,""))</x:f>
      </x:c>
    </x:row>
    <x:row r="1586">
      <x:c r="A1586" s="73" t="str">
        <x:f>IF('당기원장'!A586="","","당기")</x:f>
      </x:c>
      <x:c r="B1586" s="73" t="str">
        <x:f>IF('당기원장'!A586="","",'당기원장'!A586)</x:f>
      </x:c>
      <x:c r="C1586" s="73" t="str">
        <x:f>IF('당기원장'!A586="","",'당기원장'!B586)</x:f>
      </x:c>
      <x:c r="D1586" s="74" t="str">
        <x:f>IF('당기원장'!A586="","",'당기원장'!C586)</x:f>
      </x:c>
      <x:c r="E1586" s="73" t="str">
        <x:f>IF('당기원장'!A586="","",'당기원장'!D586)</x:f>
      </x:c>
      <x:c r="F1586" s="73" t="str">
        <x:f>IF('당기원장'!A586="","",'당기원장'!E586)</x:f>
      </x:c>
      <x:c r="G1586" s="75" t="str">
        <x:f>IF('당기원장'!A586="","",'당기원장'!H586)</x:f>
      </x:c>
      <x:c r="H1586" s="73" t="str">
        <x:f>IF('당기원장'!A586="","",'당기원장'!I586)</x:f>
      </x:c>
      <x:c r="I1586" s="73" t="str">
        <x:f>IF('당기원장'!A586="","",'당기원장'!J586)</x:f>
      </x:c>
      <x:c r="J1586" s="73" t="str">
        <x:f>IF('당기원장'!A586="","",'당기원장'!K586)</x:f>
      </x:c>
      <x:c r="K1586" s="73" t="str">
        <x:f>IF(B1586="","",IF(COUNTIF($B$5:B1586,B1586)=1,COUNT($K$4:K1585)+1,""))</x:f>
      </x:c>
      <x:c r="L1586" s="85" t="str">
        <x:f>IF(B1586="","",IF(COUNTIFS('계정비교'!$A$5:$A$1004,B1586,'계정비교'!$H$5:$H$1004,"원인분석 대상")&gt;0,COUNT($L$4:L1585)+1,""))</x:f>
      </x:c>
    </x:row>
    <x:row r="1587">
      <x:c r="A1587" s="73" t="str">
        <x:f>IF('당기원장'!A587="","","당기")</x:f>
      </x:c>
      <x:c r="B1587" s="73" t="str">
        <x:f>IF('당기원장'!A587="","",'당기원장'!A587)</x:f>
      </x:c>
      <x:c r="C1587" s="73" t="str">
        <x:f>IF('당기원장'!A587="","",'당기원장'!B587)</x:f>
      </x:c>
      <x:c r="D1587" s="74" t="str">
        <x:f>IF('당기원장'!A587="","",'당기원장'!C587)</x:f>
      </x:c>
      <x:c r="E1587" s="73" t="str">
        <x:f>IF('당기원장'!A587="","",'당기원장'!D587)</x:f>
      </x:c>
      <x:c r="F1587" s="73" t="str">
        <x:f>IF('당기원장'!A587="","",'당기원장'!E587)</x:f>
      </x:c>
      <x:c r="G1587" s="75" t="str">
        <x:f>IF('당기원장'!A587="","",'당기원장'!H587)</x:f>
      </x:c>
      <x:c r="H1587" s="73" t="str">
        <x:f>IF('당기원장'!A587="","",'당기원장'!I587)</x:f>
      </x:c>
      <x:c r="I1587" s="73" t="str">
        <x:f>IF('당기원장'!A587="","",'당기원장'!J587)</x:f>
      </x:c>
      <x:c r="J1587" s="73" t="str">
        <x:f>IF('당기원장'!A587="","",'당기원장'!K587)</x:f>
      </x:c>
      <x:c r="K1587" s="73" t="str">
        <x:f>IF(B1587="","",IF(COUNTIF($B$5:B1587,B1587)=1,COUNT($K$4:K1586)+1,""))</x:f>
      </x:c>
      <x:c r="L1587" s="85" t="str">
        <x:f>IF(B1587="","",IF(COUNTIFS('계정비교'!$A$5:$A$1004,B1587,'계정비교'!$H$5:$H$1004,"원인분석 대상")&gt;0,COUNT($L$4:L1586)+1,""))</x:f>
      </x:c>
    </x:row>
    <x:row r="1588">
      <x:c r="A1588" s="73" t="str">
        <x:f>IF('당기원장'!A588="","","당기")</x:f>
      </x:c>
      <x:c r="B1588" s="73" t="str">
        <x:f>IF('당기원장'!A588="","",'당기원장'!A588)</x:f>
      </x:c>
      <x:c r="C1588" s="73" t="str">
        <x:f>IF('당기원장'!A588="","",'당기원장'!B588)</x:f>
      </x:c>
      <x:c r="D1588" s="74" t="str">
        <x:f>IF('당기원장'!A588="","",'당기원장'!C588)</x:f>
      </x:c>
      <x:c r="E1588" s="73" t="str">
        <x:f>IF('당기원장'!A588="","",'당기원장'!D588)</x:f>
      </x:c>
      <x:c r="F1588" s="73" t="str">
        <x:f>IF('당기원장'!A588="","",'당기원장'!E588)</x:f>
      </x:c>
      <x:c r="G1588" s="75" t="str">
        <x:f>IF('당기원장'!A588="","",'당기원장'!H588)</x:f>
      </x:c>
      <x:c r="H1588" s="73" t="str">
        <x:f>IF('당기원장'!A588="","",'당기원장'!I588)</x:f>
      </x:c>
      <x:c r="I1588" s="73" t="str">
        <x:f>IF('당기원장'!A588="","",'당기원장'!J588)</x:f>
      </x:c>
      <x:c r="J1588" s="73" t="str">
        <x:f>IF('당기원장'!A588="","",'당기원장'!K588)</x:f>
      </x:c>
      <x:c r="K1588" s="73" t="str">
        <x:f>IF(B1588="","",IF(COUNTIF($B$5:B1588,B1588)=1,COUNT($K$4:K1587)+1,""))</x:f>
      </x:c>
      <x:c r="L1588" s="85" t="str">
        <x:f>IF(B1588="","",IF(COUNTIFS('계정비교'!$A$5:$A$1004,B1588,'계정비교'!$H$5:$H$1004,"원인분석 대상")&gt;0,COUNT($L$4:L1587)+1,""))</x:f>
      </x:c>
    </x:row>
    <x:row r="1589">
      <x:c r="A1589" s="73" t="str">
        <x:f>IF('당기원장'!A589="","","당기")</x:f>
      </x:c>
      <x:c r="B1589" s="73" t="str">
        <x:f>IF('당기원장'!A589="","",'당기원장'!A589)</x:f>
      </x:c>
      <x:c r="C1589" s="73" t="str">
        <x:f>IF('당기원장'!A589="","",'당기원장'!B589)</x:f>
      </x:c>
      <x:c r="D1589" s="74" t="str">
        <x:f>IF('당기원장'!A589="","",'당기원장'!C589)</x:f>
      </x:c>
      <x:c r="E1589" s="73" t="str">
        <x:f>IF('당기원장'!A589="","",'당기원장'!D589)</x:f>
      </x:c>
      <x:c r="F1589" s="73" t="str">
        <x:f>IF('당기원장'!A589="","",'당기원장'!E589)</x:f>
      </x:c>
      <x:c r="G1589" s="75" t="str">
        <x:f>IF('당기원장'!A589="","",'당기원장'!H589)</x:f>
      </x:c>
      <x:c r="H1589" s="73" t="str">
        <x:f>IF('당기원장'!A589="","",'당기원장'!I589)</x:f>
      </x:c>
      <x:c r="I1589" s="73" t="str">
        <x:f>IF('당기원장'!A589="","",'당기원장'!J589)</x:f>
      </x:c>
      <x:c r="J1589" s="73" t="str">
        <x:f>IF('당기원장'!A589="","",'당기원장'!K589)</x:f>
      </x:c>
      <x:c r="K1589" s="73" t="str">
        <x:f>IF(B1589="","",IF(COUNTIF($B$5:B1589,B1589)=1,COUNT($K$4:K1588)+1,""))</x:f>
      </x:c>
      <x:c r="L1589" s="85" t="str">
        <x:f>IF(B1589="","",IF(COUNTIFS('계정비교'!$A$5:$A$1004,B1589,'계정비교'!$H$5:$H$1004,"원인분석 대상")&gt;0,COUNT($L$4:L1588)+1,""))</x:f>
      </x:c>
    </x:row>
    <x:row r="1590">
      <x:c r="A1590" s="73" t="str">
        <x:f>IF('당기원장'!A590="","","당기")</x:f>
      </x:c>
      <x:c r="B1590" s="73" t="str">
        <x:f>IF('당기원장'!A590="","",'당기원장'!A590)</x:f>
      </x:c>
      <x:c r="C1590" s="73" t="str">
        <x:f>IF('당기원장'!A590="","",'당기원장'!B590)</x:f>
      </x:c>
      <x:c r="D1590" s="74" t="str">
        <x:f>IF('당기원장'!A590="","",'당기원장'!C590)</x:f>
      </x:c>
      <x:c r="E1590" s="73" t="str">
        <x:f>IF('당기원장'!A590="","",'당기원장'!D590)</x:f>
      </x:c>
      <x:c r="F1590" s="73" t="str">
        <x:f>IF('당기원장'!A590="","",'당기원장'!E590)</x:f>
      </x:c>
      <x:c r="G1590" s="75" t="str">
        <x:f>IF('당기원장'!A590="","",'당기원장'!H590)</x:f>
      </x:c>
      <x:c r="H1590" s="73" t="str">
        <x:f>IF('당기원장'!A590="","",'당기원장'!I590)</x:f>
      </x:c>
      <x:c r="I1590" s="73" t="str">
        <x:f>IF('당기원장'!A590="","",'당기원장'!J590)</x:f>
      </x:c>
      <x:c r="J1590" s="73" t="str">
        <x:f>IF('당기원장'!A590="","",'당기원장'!K590)</x:f>
      </x:c>
      <x:c r="K1590" s="73" t="str">
        <x:f>IF(B1590="","",IF(COUNTIF($B$5:B1590,B1590)=1,COUNT($K$4:K1589)+1,""))</x:f>
      </x:c>
      <x:c r="L1590" s="85" t="str">
        <x:f>IF(B1590="","",IF(COUNTIFS('계정비교'!$A$5:$A$1004,B1590,'계정비교'!$H$5:$H$1004,"원인분석 대상")&gt;0,COUNT($L$4:L1589)+1,""))</x:f>
      </x:c>
    </x:row>
    <x:row r="1591">
      <x:c r="A1591" s="73" t="str">
        <x:f>IF('당기원장'!A591="","","당기")</x:f>
      </x:c>
      <x:c r="B1591" s="73" t="str">
        <x:f>IF('당기원장'!A591="","",'당기원장'!A591)</x:f>
      </x:c>
      <x:c r="C1591" s="73" t="str">
        <x:f>IF('당기원장'!A591="","",'당기원장'!B591)</x:f>
      </x:c>
      <x:c r="D1591" s="74" t="str">
        <x:f>IF('당기원장'!A591="","",'당기원장'!C591)</x:f>
      </x:c>
      <x:c r="E1591" s="73" t="str">
        <x:f>IF('당기원장'!A591="","",'당기원장'!D591)</x:f>
      </x:c>
      <x:c r="F1591" s="73" t="str">
        <x:f>IF('당기원장'!A591="","",'당기원장'!E591)</x:f>
      </x:c>
      <x:c r="G1591" s="75" t="str">
        <x:f>IF('당기원장'!A591="","",'당기원장'!H591)</x:f>
      </x:c>
      <x:c r="H1591" s="73" t="str">
        <x:f>IF('당기원장'!A591="","",'당기원장'!I591)</x:f>
      </x:c>
      <x:c r="I1591" s="73" t="str">
        <x:f>IF('당기원장'!A591="","",'당기원장'!J591)</x:f>
      </x:c>
      <x:c r="J1591" s="73" t="str">
        <x:f>IF('당기원장'!A591="","",'당기원장'!K591)</x:f>
      </x:c>
      <x:c r="K1591" s="73" t="str">
        <x:f>IF(B1591="","",IF(COUNTIF($B$5:B1591,B1591)=1,COUNT($K$4:K1590)+1,""))</x:f>
      </x:c>
      <x:c r="L1591" s="85" t="str">
        <x:f>IF(B1591="","",IF(COUNTIFS('계정비교'!$A$5:$A$1004,B1591,'계정비교'!$H$5:$H$1004,"원인분석 대상")&gt;0,COUNT($L$4:L1590)+1,""))</x:f>
      </x:c>
    </x:row>
    <x:row r="1592">
      <x:c r="A1592" s="73" t="str">
        <x:f>IF('당기원장'!A592="","","당기")</x:f>
      </x:c>
      <x:c r="B1592" s="73" t="str">
        <x:f>IF('당기원장'!A592="","",'당기원장'!A592)</x:f>
      </x:c>
      <x:c r="C1592" s="73" t="str">
        <x:f>IF('당기원장'!A592="","",'당기원장'!B592)</x:f>
      </x:c>
      <x:c r="D1592" s="74" t="str">
        <x:f>IF('당기원장'!A592="","",'당기원장'!C592)</x:f>
      </x:c>
      <x:c r="E1592" s="73" t="str">
        <x:f>IF('당기원장'!A592="","",'당기원장'!D592)</x:f>
      </x:c>
      <x:c r="F1592" s="73" t="str">
        <x:f>IF('당기원장'!A592="","",'당기원장'!E592)</x:f>
      </x:c>
      <x:c r="G1592" s="75" t="str">
        <x:f>IF('당기원장'!A592="","",'당기원장'!H592)</x:f>
      </x:c>
      <x:c r="H1592" s="73" t="str">
        <x:f>IF('당기원장'!A592="","",'당기원장'!I592)</x:f>
      </x:c>
      <x:c r="I1592" s="73" t="str">
        <x:f>IF('당기원장'!A592="","",'당기원장'!J592)</x:f>
      </x:c>
      <x:c r="J1592" s="73" t="str">
        <x:f>IF('당기원장'!A592="","",'당기원장'!K592)</x:f>
      </x:c>
      <x:c r="K1592" s="73" t="str">
        <x:f>IF(B1592="","",IF(COUNTIF($B$5:B1592,B1592)=1,COUNT($K$4:K1591)+1,""))</x:f>
      </x:c>
      <x:c r="L1592" s="85" t="str">
        <x:f>IF(B1592="","",IF(COUNTIFS('계정비교'!$A$5:$A$1004,B1592,'계정비교'!$H$5:$H$1004,"원인분석 대상")&gt;0,COUNT($L$4:L1591)+1,""))</x:f>
      </x:c>
    </x:row>
    <x:row r="1593">
      <x:c r="A1593" s="73" t="str">
        <x:f>IF('당기원장'!A593="","","당기")</x:f>
      </x:c>
      <x:c r="B1593" s="73" t="str">
        <x:f>IF('당기원장'!A593="","",'당기원장'!A593)</x:f>
      </x:c>
      <x:c r="C1593" s="73" t="str">
        <x:f>IF('당기원장'!A593="","",'당기원장'!B593)</x:f>
      </x:c>
      <x:c r="D1593" s="74" t="str">
        <x:f>IF('당기원장'!A593="","",'당기원장'!C593)</x:f>
      </x:c>
      <x:c r="E1593" s="73" t="str">
        <x:f>IF('당기원장'!A593="","",'당기원장'!D593)</x:f>
      </x:c>
      <x:c r="F1593" s="73" t="str">
        <x:f>IF('당기원장'!A593="","",'당기원장'!E593)</x:f>
      </x:c>
      <x:c r="G1593" s="75" t="str">
        <x:f>IF('당기원장'!A593="","",'당기원장'!H593)</x:f>
      </x:c>
      <x:c r="H1593" s="73" t="str">
        <x:f>IF('당기원장'!A593="","",'당기원장'!I593)</x:f>
      </x:c>
      <x:c r="I1593" s="73" t="str">
        <x:f>IF('당기원장'!A593="","",'당기원장'!J593)</x:f>
      </x:c>
      <x:c r="J1593" s="73" t="str">
        <x:f>IF('당기원장'!A593="","",'당기원장'!K593)</x:f>
      </x:c>
      <x:c r="K1593" s="73" t="str">
        <x:f>IF(B1593="","",IF(COUNTIF($B$5:B1593,B1593)=1,COUNT($K$4:K1592)+1,""))</x:f>
      </x:c>
      <x:c r="L1593" s="85" t="str">
        <x:f>IF(B1593="","",IF(COUNTIFS('계정비교'!$A$5:$A$1004,B1593,'계정비교'!$H$5:$H$1004,"원인분석 대상")&gt;0,COUNT($L$4:L1592)+1,""))</x:f>
      </x:c>
    </x:row>
    <x:row r="1594">
      <x:c r="A1594" s="73" t="str">
        <x:f>IF('당기원장'!A594="","","당기")</x:f>
      </x:c>
      <x:c r="B1594" s="73" t="str">
        <x:f>IF('당기원장'!A594="","",'당기원장'!A594)</x:f>
      </x:c>
      <x:c r="C1594" s="73" t="str">
        <x:f>IF('당기원장'!A594="","",'당기원장'!B594)</x:f>
      </x:c>
      <x:c r="D1594" s="74" t="str">
        <x:f>IF('당기원장'!A594="","",'당기원장'!C594)</x:f>
      </x:c>
      <x:c r="E1594" s="73" t="str">
        <x:f>IF('당기원장'!A594="","",'당기원장'!D594)</x:f>
      </x:c>
      <x:c r="F1594" s="73" t="str">
        <x:f>IF('당기원장'!A594="","",'당기원장'!E594)</x:f>
      </x:c>
      <x:c r="G1594" s="75" t="str">
        <x:f>IF('당기원장'!A594="","",'당기원장'!H594)</x:f>
      </x:c>
      <x:c r="H1594" s="73" t="str">
        <x:f>IF('당기원장'!A594="","",'당기원장'!I594)</x:f>
      </x:c>
      <x:c r="I1594" s="73" t="str">
        <x:f>IF('당기원장'!A594="","",'당기원장'!J594)</x:f>
      </x:c>
      <x:c r="J1594" s="73" t="str">
        <x:f>IF('당기원장'!A594="","",'당기원장'!K594)</x:f>
      </x:c>
      <x:c r="K1594" s="73" t="str">
        <x:f>IF(B1594="","",IF(COUNTIF($B$5:B1594,B1594)=1,COUNT($K$4:K1593)+1,""))</x:f>
      </x:c>
      <x:c r="L1594" s="85" t="str">
        <x:f>IF(B1594="","",IF(COUNTIFS('계정비교'!$A$5:$A$1004,B1594,'계정비교'!$H$5:$H$1004,"원인분석 대상")&gt;0,COUNT($L$4:L1593)+1,""))</x:f>
      </x:c>
    </x:row>
    <x:row r="1595">
      <x:c r="A1595" s="73" t="str">
        <x:f>IF('당기원장'!A595="","","당기")</x:f>
      </x:c>
      <x:c r="B1595" s="73" t="str">
        <x:f>IF('당기원장'!A595="","",'당기원장'!A595)</x:f>
      </x:c>
      <x:c r="C1595" s="73" t="str">
        <x:f>IF('당기원장'!A595="","",'당기원장'!B595)</x:f>
      </x:c>
      <x:c r="D1595" s="74" t="str">
        <x:f>IF('당기원장'!A595="","",'당기원장'!C595)</x:f>
      </x:c>
      <x:c r="E1595" s="73" t="str">
        <x:f>IF('당기원장'!A595="","",'당기원장'!D595)</x:f>
      </x:c>
      <x:c r="F1595" s="73" t="str">
        <x:f>IF('당기원장'!A595="","",'당기원장'!E595)</x:f>
      </x:c>
      <x:c r="G1595" s="75" t="str">
        <x:f>IF('당기원장'!A595="","",'당기원장'!H595)</x:f>
      </x:c>
      <x:c r="H1595" s="73" t="str">
        <x:f>IF('당기원장'!A595="","",'당기원장'!I595)</x:f>
      </x:c>
      <x:c r="I1595" s="73" t="str">
        <x:f>IF('당기원장'!A595="","",'당기원장'!J595)</x:f>
      </x:c>
      <x:c r="J1595" s="73" t="str">
        <x:f>IF('당기원장'!A595="","",'당기원장'!K595)</x:f>
      </x:c>
      <x:c r="K1595" s="73" t="str">
        <x:f>IF(B1595="","",IF(COUNTIF($B$5:B1595,B1595)=1,COUNT($K$4:K1594)+1,""))</x:f>
      </x:c>
      <x:c r="L1595" s="85" t="str">
        <x:f>IF(B1595="","",IF(COUNTIFS('계정비교'!$A$5:$A$1004,B1595,'계정비교'!$H$5:$H$1004,"원인분석 대상")&gt;0,COUNT($L$4:L1594)+1,""))</x:f>
      </x:c>
    </x:row>
    <x:row r="1596">
      <x:c r="A1596" s="73" t="str">
        <x:f>IF('당기원장'!A596="","","당기")</x:f>
      </x:c>
      <x:c r="B1596" s="73" t="str">
        <x:f>IF('당기원장'!A596="","",'당기원장'!A596)</x:f>
      </x:c>
      <x:c r="C1596" s="73" t="str">
        <x:f>IF('당기원장'!A596="","",'당기원장'!B596)</x:f>
      </x:c>
      <x:c r="D1596" s="74" t="str">
        <x:f>IF('당기원장'!A596="","",'당기원장'!C596)</x:f>
      </x:c>
      <x:c r="E1596" s="73" t="str">
        <x:f>IF('당기원장'!A596="","",'당기원장'!D596)</x:f>
      </x:c>
      <x:c r="F1596" s="73" t="str">
        <x:f>IF('당기원장'!A596="","",'당기원장'!E596)</x:f>
      </x:c>
      <x:c r="G1596" s="75" t="str">
        <x:f>IF('당기원장'!A596="","",'당기원장'!H596)</x:f>
      </x:c>
      <x:c r="H1596" s="73" t="str">
        <x:f>IF('당기원장'!A596="","",'당기원장'!I596)</x:f>
      </x:c>
      <x:c r="I1596" s="73" t="str">
        <x:f>IF('당기원장'!A596="","",'당기원장'!J596)</x:f>
      </x:c>
      <x:c r="J1596" s="73" t="str">
        <x:f>IF('당기원장'!A596="","",'당기원장'!K596)</x:f>
      </x:c>
      <x:c r="K1596" s="73" t="str">
        <x:f>IF(B1596="","",IF(COUNTIF($B$5:B1596,B1596)=1,COUNT($K$4:K1595)+1,""))</x:f>
      </x:c>
      <x:c r="L1596" s="85" t="str">
        <x:f>IF(B1596="","",IF(COUNTIFS('계정비교'!$A$5:$A$1004,B1596,'계정비교'!$H$5:$H$1004,"원인분석 대상")&gt;0,COUNT($L$4:L1595)+1,""))</x:f>
      </x:c>
    </x:row>
    <x:row r="1597">
      <x:c r="A1597" s="73" t="str">
        <x:f>IF('당기원장'!A597="","","당기")</x:f>
      </x:c>
      <x:c r="B1597" s="73" t="str">
        <x:f>IF('당기원장'!A597="","",'당기원장'!A597)</x:f>
      </x:c>
      <x:c r="C1597" s="73" t="str">
        <x:f>IF('당기원장'!A597="","",'당기원장'!B597)</x:f>
      </x:c>
      <x:c r="D1597" s="74" t="str">
        <x:f>IF('당기원장'!A597="","",'당기원장'!C597)</x:f>
      </x:c>
      <x:c r="E1597" s="73" t="str">
        <x:f>IF('당기원장'!A597="","",'당기원장'!D597)</x:f>
      </x:c>
      <x:c r="F1597" s="73" t="str">
        <x:f>IF('당기원장'!A597="","",'당기원장'!E597)</x:f>
      </x:c>
      <x:c r="G1597" s="75" t="str">
        <x:f>IF('당기원장'!A597="","",'당기원장'!H597)</x:f>
      </x:c>
      <x:c r="H1597" s="73" t="str">
        <x:f>IF('당기원장'!A597="","",'당기원장'!I597)</x:f>
      </x:c>
      <x:c r="I1597" s="73" t="str">
        <x:f>IF('당기원장'!A597="","",'당기원장'!J597)</x:f>
      </x:c>
      <x:c r="J1597" s="73" t="str">
        <x:f>IF('당기원장'!A597="","",'당기원장'!K597)</x:f>
      </x:c>
      <x:c r="K1597" s="73" t="str">
        <x:f>IF(B1597="","",IF(COUNTIF($B$5:B1597,B1597)=1,COUNT($K$4:K1596)+1,""))</x:f>
      </x:c>
      <x:c r="L1597" s="85" t="str">
        <x:f>IF(B1597="","",IF(COUNTIFS('계정비교'!$A$5:$A$1004,B1597,'계정비교'!$H$5:$H$1004,"원인분석 대상")&gt;0,COUNT($L$4:L1596)+1,""))</x:f>
      </x:c>
    </x:row>
    <x:row r="1598">
      <x:c r="A1598" s="73" t="str">
        <x:f>IF('당기원장'!A598="","","당기")</x:f>
      </x:c>
      <x:c r="B1598" s="73" t="str">
        <x:f>IF('당기원장'!A598="","",'당기원장'!A598)</x:f>
      </x:c>
      <x:c r="C1598" s="73" t="str">
        <x:f>IF('당기원장'!A598="","",'당기원장'!B598)</x:f>
      </x:c>
      <x:c r="D1598" s="74" t="str">
        <x:f>IF('당기원장'!A598="","",'당기원장'!C598)</x:f>
      </x:c>
      <x:c r="E1598" s="73" t="str">
        <x:f>IF('당기원장'!A598="","",'당기원장'!D598)</x:f>
      </x:c>
      <x:c r="F1598" s="73" t="str">
        <x:f>IF('당기원장'!A598="","",'당기원장'!E598)</x:f>
      </x:c>
      <x:c r="G1598" s="75" t="str">
        <x:f>IF('당기원장'!A598="","",'당기원장'!H598)</x:f>
      </x:c>
      <x:c r="H1598" s="73" t="str">
        <x:f>IF('당기원장'!A598="","",'당기원장'!I598)</x:f>
      </x:c>
      <x:c r="I1598" s="73" t="str">
        <x:f>IF('당기원장'!A598="","",'당기원장'!J598)</x:f>
      </x:c>
      <x:c r="J1598" s="73" t="str">
        <x:f>IF('당기원장'!A598="","",'당기원장'!K598)</x:f>
      </x:c>
      <x:c r="K1598" s="73" t="str">
        <x:f>IF(B1598="","",IF(COUNTIF($B$5:B1598,B1598)=1,COUNT($K$4:K1597)+1,""))</x:f>
      </x:c>
      <x:c r="L1598" s="85" t="str">
        <x:f>IF(B1598="","",IF(COUNTIFS('계정비교'!$A$5:$A$1004,B1598,'계정비교'!$H$5:$H$1004,"원인분석 대상")&gt;0,COUNT($L$4:L1597)+1,""))</x:f>
      </x:c>
    </x:row>
    <x:row r="1599">
      <x:c r="A1599" s="73" t="str">
        <x:f>IF('당기원장'!A599="","","당기")</x:f>
      </x:c>
      <x:c r="B1599" s="73" t="str">
        <x:f>IF('당기원장'!A599="","",'당기원장'!A599)</x:f>
      </x:c>
      <x:c r="C1599" s="73" t="str">
        <x:f>IF('당기원장'!A599="","",'당기원장'!B599)</x:f>
      </x:c>
      <x:c r="D1599" s="74" t="str">
        <x:f>IF('당기원장'!A599="","",'당기원장'!C599)</x:f>
      </x:c>
      <x:c r="E1599" s="73" t="str">
        <x:f>IF('당기원장'!A599="","",'당기원장'!D599)</x:f>
      </x:c>
      <x:c r="F1599" s="73" t="str">
        <x:f>IF('당기원장'!A599="","",'당기원장'!E599)</x:f>
      </x:c>
      <x:c r="G1599" s="75" t="str">
        <x:f>IF('당기원장'!A599="","",'당기원장'!H599)</x:f>
      </x:c>
      <x:c r="H1599" s="73" t="str">
        <x:f>IF('당기원장'!A599="","",'당기원장'!I599)</x:f>
      </x:c>
      <x:c r="I1599" s="73" t="str">
        <x:f>IF('당기원장'!A599="","",'당기원장'!J599)</x:f>
      </x:c>
      <x:c r="J1599" s="73" t="str">
        <x:f>IF('당기원장'!A599="","",'당기원장'!K599)</x:f>
      </x:c>
      <x:c r="K1599" s="73" t="str">
        <x:f>IF(B1599="","",IF(COUNTIF($B$5:B1599,B1599)=1,COUNT($K$4:K1598)+1,""))</x:f>
      </x:c>
      <x:c r="L1599" s="85" t="str">
        <x:f>IF(B1599="","",IF(COUNTIFS('계정비교'!$A$5:$A$1004,B1599,'계정비교'!$H$5:$H$1004,"원인분석 대상")&gt;0,COUNT($L$4:L1598)+1,""))</x:f>
      </x:c>
    </x:row>
    <x:row r="1600">
      <x:c r="A1600" s="73" t="str">
        <x:f>IF('당기원장'!A600="","","당기")</x:f>
      </x:c>
      <x:c r="B1600" s="73" t="str">
        <x:f>IF('당기원장'!A600="","",'당기원장'!A600)</x:f>
      </x:c>
      <x:c r="C1600" s="73" t="str">
        <x:f>IF('당기원장'!A600="","",'당기원장'!B600)</x:f>
      </x:c>
      <x:c r="D1600" s="74" t="str">
        <x:f>IF('당기원장'!A600="","",'당기원장'!C600)</x:f>
      </x:c>
      <x:c r="E1600" s="73" t="str">
        <x:f>IF('당기원장'!A600="","",'당기원장'!D600)</x:f>
      </x:c>
      <x:c r="F1600" s="73" t="str">
        <x:f>IF('당기원장'!A600="","",'당기원장'!E600)</x:f>
      </x:c>
      <x:c r="G1600" s="75" t="str">
        <x:f>IF('당기원장'!A600="","",'당기원장'!H600)</x:f>
      </x:c>
      <x:c r="H1600" s="73" t="str">
        <x:f>IF('당기원장'!A600="","",'당기원장'!I600)</x:f>
      </x:c>
      <x:c r="I1600" s="73" t="str">
        <x:f>IF('당기원장'!A600="","",'당기원장'!J600)</x:f>
      </x:c>
      <x:c r="J1600" s="73" t="str">
        <x:f>IF('당기원장'!A600="","",'당기원장'!K600)</x:f>
      </x:c>
      <x:c r="K1600" s="73" t="str">
        <x:f>IF(B1600="","",IF(COUNTIF($B$5:B1600,B1600)=1,COUNT($K$4:K1599)+1,""))</x:f>
      </x:c>
      <x:c r="L1600" s="85" t="str">
        <x:f>IF(B1600="","",IF(COUNTIFS('계정비교'!$A$5:$A$1004,B1600,'계정비교'!$H$5:$H$1004,"원인분석 대상")&gt;0,COUNT($L$4:L1599)+1,""))</x:f>
      </x:c>
    </x:row>
    <x:row r="1601">
      <x:c r="A1601" s="73" t="str">
        <x:f>IF('당기원장'!A601="","","당기")</x:f>
      </x:c>
      <x:c r="B1601" s="73" t="str">
        <x:f>IF('당기원장'!A601="","",'당기원장'!A601)</x:f>
      </x:c>
      <x:c r="C1601" s="73" t="str">
        <x:f>IF('당기원장'!A601="","",'당기원장'!B601)</x:f>
      </x:c>
      <x:c r="D1601" s="74" t="str">
        <x:f>IF('당기원장'!A601="","",'당기원장'!C601)</x:f>
      </x:c>
      <x:c r="E1601" s="73" t="str">
        <x:f>IF('당기원장'!A601="","",'당기원장'!D601)</x:f>
      </x:c>
      <x:c r="F1601" s="73" t="str">
        <x:f>IF('당기원장'!A601="","",'당기원장'!E601)</x:f>
      </x:c>
      <x:c r="G1601" s="75" t="str">
        <x:f>IF('당기원장'!A601="","",'당기원장'!H601)</x:f>
      </x:c>
      <x:c r="H1601" s="73" t="str">
        <x:f>IF('당기원장'!A601="","",'당기원장'!I601)</x:f>
      </x:c>
      <x:c r="I1601" s="73" t="str">
        <x:f>IF('당기원장'!A601="","",'당기원장'!J601)</x:f>
      </x:c>
      <x:c r="J1601" s="73" t="str">
        <x:f>IF('당기원장'!A601="","",'당기원장'!K601)</x:f>
      </x:c>
      <x:c r="K1601" s="73" t="str">
        <x:f>IF(B1601="","",IF(COUNTIF($B$5:B1601,B1601)=1,COUNT($K$4:K1600)+1,""))</x:f>
      </x:c>
      <x:c r="L1601" s="85" t="str">
        <x:f>IF(B1601="","",IF(COUNTIFS('계정비교'!$A$5:$A$1004,B1601,'계정비교'!$H$5:$H$1004,"원인분석 대상")&gt;0,COUNT($L$4:L1600)+1,""))</x:f>
      </x:c>
    </x:row>
    <x:row r="1602">
      <x:c r="A1602" s="73" t="str">
        <x:f>IF('당기원장'!A602="","","당기")</x:f>
      </x:c>
      <x:c r="B1602" s="73" t="str">
        <x:f>IF('당기원장'!A602="","",'당기원장'!A602)</x:f>
      </x:c>
      <x:c r="C1602" s="73" t="str">
        <x:f>IF('당기원장'!A602="","",'당기원장'!B602)</x:f>
      </x:c>
      <x:c r="D1602" s="74" t="str">
        <x:f>IF('당기원장'!A602="","",'당기원장'!C602)</x:f>
      </x:c>
      <x:c r="E1602" s="73" t="str">
        <x:f>IF('당기원장'!A602="","",'당기원장'!D602)</x:f>
      </x:c>
      <x:c r="F1602" s="73" t="str">
        <x:f>IF('당기원장'!A602="","",'당기원장'!E602)</x:f>
      </x:c>
      <x:c r="G1602" s="75" t="str">
        <x:f>IF('당기원장'!A602="","",'당기원장'!H602)</x:f>
      </x:c>
      <x:c r="H1602" s="73" t="str">
        <x:f>IF('당기원장'!A602="","",'당기원장'!I602)</x:f>
      </x:c>
      <x:c r="I1602" s="73" t="str">
        <x:f>IF('당기원장'!A602="","",'당기원장'!J602)</x:f>
      </x:c>
      <x:c r="J1602" s="73" t="str">
        <x:f>IF('당기원장'!A602="","",'당기원장'!K602)</x:f>
      </x:c>
      <x:c r="K1602" s="73" t="str">
        <x:f>IF(B1602="","",IF(COUNTIF($B$5:B1602,B1602)=1,COUNT($K$4:K1601)+1,""))</x:f>
      </x:c>
      <x:c r="L1602" s="85" t="str">
        <x:f>IF(B1602="","",IF(COUNTIFS('계정비교'!$A$5:$A$1004,B1602,'계정비교'!$H$5:$H$1004,"원인분석 대상")&gt;0,COUNT($L$4:L1601)+1,""))</x:f>
      </x:c>
    </x:row>
    <x:row r="1603">
      <x:c r="A1603" s="73" t="str">
        <x:f>IF('당기원장'!A603="","","당기")</x:f>
      </x:c>
      <x:c r="B1603" s="73" t="str">
        <x:f>IF('당기원장'!A603="","",'당기원장'!A603)</x:f>
      </x:c>
      <x:c r="C1603" s="73" t="str">
        <x:f>IF('당기원장'!A603="","",'당기원장'!B603)</x:f>
      </x:c>
      <x:c r="D1603" s="74" t="str">
        <x:f>IF('당기원장'!A603="","",'당기원장'!C603)</x:f>
      </x:c>
      <x:c r="E1603" s="73" t="str">
        <x:f>IF('당기원장'!A603="","",'당기원장'!D603)</x:f>
      </x:c>
      <x:c r="F1603" s="73" t="str">
        <x:f>IF('당기원장'!A603="","",'당기원장'!E603)</x:f>
      </x:c>
      <x:c r="G1603" s="75" t="str">
        <x:f>IF('당기원장'!A603="","",'당기원장'!H603)</x:f>
      </x:c>
      <x:c r="H1603" s="73" t="str">
        <x:f>IF('당기원장'!A603="","",'당기원장'!I603)</x:f>
      </x:c>
      <x:c r="I1603" s="73" t="str">
        <x:f>IF('당기원장'!A603="","",'당기원장'!J603)</x:f>
      </x:c>
      <x:c r="J1603" s="73" t="str">
        <x:f>IF('당기원장'!A603="","",'당기원장'!K603)</x:f>
      </x:c>
      <x:c r="K1603" s="73" t="str">
        <x:f>IF(B1603="","",IF(COUNTIF($B$5:B1603,B1603)=1,COUNT($K$4:K1602)+1,""))</x:f>
      </x:c>
      <x:c r="L1603" s="85" t="str">
        <x:f>IF(B1603="","",IF(COUNTIFS('계정비교'!$A$5:$A$1004,B1603,'계정비교'!$H$5:$H$1004,"원인분석 대상")&gt;0,COUNT($L$4:L1602)+1,""))</x:f>
      </x:c>
    </x:row>
    <x:row r="1604">
      <x:c r="A1604" s="73" t="str">
        <x:f>IF('당기원장'!A604="","","당기")</x:f>
      </x:c>
      <x:c r="B1604" s="73" t="str">
        <x:f>IF('당기원장'!A604="","",'당기원장'!A604)</x:f>
      </x:c>
      <x:c r="C1604" s="73" t="str">
        <x:f>IF('당기원장'!A604="","",'당기원장'!B604)</x:f>
      </x:c>
      <x:c r="D1604" s="74" t="str">
        <x:f>IF('당기원장'!A604="","",'당기원장'!C604)</x:f>
      </x:c>
      <x:c r="E1604" s="73" t="str">
        <x:f>IF('당기원장'!A604="","",'당기원장'!D604)</x:f>
      </x:c>
      <x:c r="F1604" s="73" t="str">
        <x:f>IF('당기원장'!A604="","",'당기원장'!E604)</x:f>
      </x:c>
      <x:c r="G1604" s="75" t="str">
        <x:f>IF('당기원장'!A604="","",'당기원장'!H604)</x:f>
      </x:c>
      <x:c r="H1604" s="73" t="str">
        <x:f>IF('당기원장'!A604="","",'당기원장'!I604)</x:f>
      </x:c>
      <x:c r="I1604" s="73" t="str">
        <x:f>IF('당기원장'!A604="","",'당기원장'!J604)</x:f>
      </x:c>
      <x:c r="J1604" s="73" t="str">
        <x:f>IF('당기원장'!A604="","",'당기원장'!K604)</x:f>
      </x:c>
      <x:c r="K1604" s="73" t="str">
        <x:f>IF(B1604="","",IF(COUNTIF($B$5:B1604,B1604)=1,COUNT($K$4:K1603)+1,""))</x:f>
      </x:c>
      <x:c r="L1604" s="85" t="str">
        <x:f>IF(B1604="","",IF(COUNTIFS('계정비교'!$A$5:$A$1004,B1604,'계정비교'!$H$5:$H$1004,"원인분석 대상")&gt;0,COUNT($L$4:L1603)+1,""))</x:f>
      </x:c>
    </x:row>
    <x:row r="1605">
      <x:c r="A1605" s="73" t="str">
        <x:f>IF('당기원장'!A605="","","당기")</x:f>
      </x:c>
      <x:c r="B1605" s="73" t="str">
        <x:f>IF('당기원장'!A605="","",'당기원장'!A605)</x:f>
      </x:c>
      <x:c r="C1605" s="73" t="str">
        <x:f>IF('당기원장'!A605="","",'당기원장'!B605)</x:f>
      </x:c>
      <x:c r="D1605" s="74" t="str">
        <x:f>IF('당기원장'!A605="","",'당기원장'!C605)</x:f>
      </x:c>
      <x:c r="E1605" s="73" t="str">
        <x:f>IF('당기원장'!A605="","",'당기원장'!D605)</x:f>
      </x:c>
      <x:c r="F1605" s="73" t="str">
        <x:f>IF('당기원장'!A605="","",'당기원장'!E605)</x:f>
      </x:c>
      <x:c r="G1605" s="75" t="str">
        <x:f>IF('당기원장'!A605="","",'당기원장'!H605)</x:f>
      </x:c>
      <x:c r="H1605" s="73" t="str">
        <x:f>IF('당기원장'!A605="","",'당기원장'!I605)</x:f>
      </x:c>
      <x:c r="I1605" s="73" t="str">
        <x:f>IF('당기원장'!A605="","",'당기원장'!J605)</x:f>
      </x:c>
      <x:c r="J1605" s="73" t="str">
        <x:f>IF('당기원장'!A605="","",'당기원장'!K605)</x:f>
      </x:c>
      <x:c r="K1605" s="73" t="str">
        <x:f>IF(B1605="","",IF(COUNTIF($B$5:B1605,B1605)=1,COUNT($K$4:K1604)+1,""))</x:f>
      </x:c>
      <x:c r="L1605" s="85" t="str">
        <x:f>IF(B1605="","",IF(COUNTIFS('계정비교'!$A$5:$A$1004,B1605,'계정비교'!$H$5:$H$1004,"원인분석 대상")&gt;0,COUNT($L$4:L1604)+1,""))</x:f>
      </x:c>
    </x:row>
    <x:row r="1606">
      <x:c r="A1606" s="73" t="str">
        <x:f>IF('당기원장'!A606="","","당기")</x:f>
      </x:c>
      <x:c r="B1606" s="73" t="str">
        <x:f>IF('당기원장'!A606="","",'당기원장'!A606)</x:f>
      </x:c>
      <x:c r="C1606" s="73" t="str">
        <x:f>IF('당기원장'!A606="","",'당기원장'!B606)</x:f>
      </x:c>
      <x:c r="D1606" s="74" t="str">
        <x:f>IF('당기원장'!A606="","",'당기원장'!C606)</x:f>
      </x:c>
      <x:c r="E1606" s="73" t="str">
        <x:f>IF('당기원장'!A606="","",'당기원장'!D606)</x:f>
      </x:c>
      <x:c r="F1606" s="73" t="str">
        <x:f>IF('당기원장'!A606="","",'당기원장'!E606)</x:f>
      </x:c>
      <x:c r="G1606" s="75" t="str">
        <x:f>IF('당기원장'!A606="","",'당기원장'!H606)</x:f>
      </x:c>
      <x:c r="H1606" s="73" t="str">
        <x:f>IF('당기원장'!A606="","",'당기원장'!I606)</x:f>
      </x:c>
      <x:c r="I1606" s="73" t="str">
        <x:f>IF('당기원장'!A606="","",'당기원장'!J606)</x:f>
      </x:c>
      <x:c r="J1606" s="73" t="str">
        <x:f>IF('당기원장'!A606="","",'당기원장'!K606)</x:f>
      </x:c>
      <x:c r="K1606" s="73" t="str">
        <x:f>IF(B1606="","",IF(COUNTIF($B$5:B1606,B1606)=1,COUNT($K$4:K1605)+1,""))</x:f>
      </x:c>
      <x:c r="L1606" s="85" t="str">
        <x:f>IF(B1606="","",IF(COUNTIFS('계정비교'!$A$5:$A$1004,B1606,'계정비교'!$H$5:$H$1004,"원인분석 대상")&gt;0,COUNT($L$4:L1605)+1,""))</x:f>
      </x:c>
    </x:row>
    <x:row r="1607">
      <x:c r="A1607" s="73" t="str">
        <x:f>IF('당기원장'!A607="","","당기")</x:f>
      </x:c>
      <x:c r="B1607" s="73" t="str">
        <x:f>IF('당기원장'!A607="","",'당기원장'!A607)</x:f>
      </x:c>
      <x:c r="C1607" s="73" t="str">
        <x:f>IF('당기원장'!A607="","",'당기원장'!B607)</x:f>
      </x:c>
      <x:c r="D1607" s="74" t="str">
        <x:f>IF('당기원장'!A607="","",'당기원장'!C607)</x:f>
      </x:c>
      <x:c r="E1607" s="73" t="str">
        <x:f>IF('당기원장'!A607="","",'당기원장'!D607)</x:f>
      </x:c>
      <x:c r="F1607" s="73" t="str">
        <x:f>IF('당기원장'!A607="","",'당기원장'!E607)</x:f>
      </x:c>
      <x:c r="G1607" s="75" t="str">
        <x:f>IF('당기원장'!A607="","",'당기원장'!H607)</x:f>
      </x:c>
      <x:c r="H1607" s="73" t="str">
        <x:f>IF('당기원장'!A607="","",'당기원장'!I607)</x:f>
      </x:c>
      <x:c r="I1607" s="73" t="str">
        <x:f>IF('당기원장'!A607="","",'당기원장'!J607)</x:f>
      </x:c>
      <x:c r="J1607" s="73" t="str">
        <x:f>IF('당기원장'!A607="","",'당기원장'!K607)</x:f>
      </x:c>
      <x:c r="K1607" s="73" t="str">
        <x:f>IF(B1607="","",IF(COUNTIF($B$5:B1607,B1607)=1,COUNT($K$4:K1606)+1,""))</x:f>
      </x:c>
      <x:c r="L1607" s="85" t="str">
        <x:f>IF(B1607="","",IF(COUNTIFS('계정비교'!$A$5:$A$1004,B1607,'계정비교'!$H$5:$H$1004,"원인분석 대상")&gt;0,COUNT($L$4:L1606)+1,""))</x:f>
      </x:c>
    </x:row>
    <x:row r="1608">
      <x:c r="A1608" s="73" t="str">
        <x:f>IF('당기원장'!A608="","","당기")</x:f>
      </x:c>
      <x:c r="B1608" s="73" t="str">
        <x:f>IF('당기원장'!A608="","",'당기원장'!A608)</x:f>
      </x:c>
      <x:c r="C1608" s="73" t="str">
        <x:f>IF('당기원장'!A608="","",'당기원장'!B608)</x:f>
      </x:c>
      <x:c r="D1608" s="74" t="str">
        <x:f>IF('당기원장'!A608="","",'당기원장'!C608)</x:f>
      </x:c>
      <x:c r="E1608" s="73" t="str">
        <x:f>IF('당기원장'!A608="","",'당기원장'!D608)</x:f>
      </x:c>
      <x:c r="F1608" s="73" t="str">
        <x:f>IF('당기원장'!A608="","",'당기원장'!E608)</x:f>
      </x:c>
      <x:c r="G1608" s="75" t="str">
        <x:f>IF('당기원장'!A608="","",'당기원장'!H608)</x:f>
      </x:c>
      <x:c r="H1608" s="73" t="str">
        <x:f>IF('당기원장'!A608="","",'당기원장'!I608)</x:f>
      </x:c>
      <x:c r="I1608" s="73" t="str">
        <x:f>IF('당기원장'!A608="","",'당기원장'!J608)</x:f>
      </x:c>
      <x:c r="J1608" s="73" t="str">
        <x:f>IF('당기원장'!A608="","",'당기원장'!K608)</x:f>
      </x:c>
      <x:c r="K1608" s="73" t="str">
        <x:f>IF(B1608="","",IF(COUNTIF($B$5:B1608,B1608)=1,COUNT($K$4:K1607)+1,""))</x:f>
      </x:c>
      <x:c r="L1608" s="85" t="str">
        <x:f>IF(B1608="","",IF(COUNTIFS('계정비교'!$A$5:$A$1004,B1608,'계정비교'!$H$5:$H$1004,"원인분석 대상")&gt;0,COUNT($L$4:L1607)+1,""))</x:f>
      </x:c>
    </x:row>
    <x:row r="1609">
      <x:c r="A1609" s="73" t="str">
        <x:f>IF('당기원장'!A609="","","당기")</x:f>
      </x:c>
      <x:c r="B1609" s="73" t="str">
        <x:f>IF('당기원장'!A609="","",'당기원장'!A609)</x:f>
      </x:c>
      <x:c r="C1609" s="73" t="str">
        <x:f>IF('당기원장'!A609="","",'당기원장'!B609)</x:f>
      </x:c>
      <x:c r="D1609" s="74" t="str">
        <x:f>IF('당기원장'!A609="","",'당기원장'!C609)</x:f>
      </x:c>
      <x:c r="E1609" s="73" t="str">
        <x:f>IF('당기원장'!A609="","",'당기원장'!D609)</x:f>
      </x:c>
      <x:c r="F1609" s="73" t="str">
        <x:f>IF('당기원장'!A609="","",'당기원장'!E609)</x:f>
      </x:c>
      <x:c r="G1609" s="75" t="str">
        <x:f>IF('당기원장'!A609="","",'당기원장'!H609)</x:f>
      </x:c>
      <x:c r="H1609" s="73" t="str">
        <x:f>IF('당기원장'!A609="","",'당기원장'!I609)</x:f>
      </x:c>
      <x:c r="I1609" s="73" t="str">
        <x:f>IF('당기원장'!A609="","",'당기원장'!J609)</x:f>
      </x:c>
      <x:c r="J1609" s="73" t="str">
        <x:f>IF('당기원장'!A609="","",'당기원장'!K609)</x:f>
      </x:c>
      <x:c r="K1609" s="73" t="str">
        <x:f>IF(B1609="","",IF(COUNTIF($B$5:B1609,B1609)=1,COUNT($K$4:K1608)+1,""))</x:f>
      </x:c>
      <x:c r="L1609" s="85" t="str">
        <x:f>IF(B1609="","",IF(COUNTIFS('계정비교'!$A$5:$A$1004,B1609,'계정비교'!$H$5:$H$1004,"원인분석 대상")&gt;0,COUNT($L$4:L1608)+1,""))</x:f>
      </x:c>
    </x:row>
    <x:row r="1610">
      <x:c r="A1610" s="73" t="str">
        <x:f>IF('당기원장'!A610="","","당기")</x:f>
      </x:c>
      <x:c r="B1610" s="73" t="str">
        <x:f>IF('당기원장'!A610="","",'당기원장'!A610)</x:f>
      </x:c>
      <x:c r="C1610" s="73" t="str">
        <x:f>IF('당기원장'!A610="","",'당기원장'!B610)</x:f>
      </x:c>
      <x:c r="D1610" s="74" t="str">
        <x:f>IF('당기원장'!A610="","",'당기원장'!C610)</x:f>
      </x:c>
      <x:c r="E1610" s="73" t="str">
        <x:f>IF('당기원장'!A610="","",'당기원장'!D610)</x:f>
      </x:c>
      <x:c r="F1610" s="73" t="str">
        <x:f>IF('당기원장'!A610="","",'당기원장'!E610)</x:f>
      </x:c>
      <x:c r="G1610" s="75" t="str">
        <x:f>IF('당기원장'!A610="","",'당기원장'!H610)</x:f>
      </x:c>
      <x:c r="H1610" s="73" t="str">
        <x:f>IF('당기원장'!A610="","",'당기원장'!I610)</x:f>
      </x:c>
      <x:c r="I1610" s="73" t="str">
        <x:f>IF('당기원장'!A610="","",'당기원장'!J610)</x:f>
      </x:c>
      <x:c r="J1610" s="73" t="str">
        <x:f>IF('당기원장'!A610="","",'당기원장'!K610)</x:f>
      </x:c>
      <x:c r="K1610" s="73" t="str">
        <x:f>IF(B1610="","",IF(COUNTIF($B$5:B1610,B1610)=1,COUNT($K$4:K1609)+1,""))</x:f>
      </x:c>
      <x:c r="L1610" s="85" t="str">
        <x:f>IF(B1610="","",IF(COUNTIFS('계정비교'!$A$5:$A$1004,B1610,'계정비교'!$H$5:$H$1004,"원인분석 대상")&gt;0,COUNT($L$4:L1609)+1,""))</x:f>
      </x:c>
    </x:row>
    <x:row r="1611">
      <x:c r="A1611" s="73" t="str">
        <x:f>IF('당기원장'!A611="","","당기")</x:f>
      </x:c>
      <x:c r="B1611" s="73" t="str">
        <x:f>IF('당기원장'!A611="","",'당기원장'!A611)</x:f>
      </x:c>
      <x:c r="C1611" s="73" t="str">
        <x:f>IF('당기원장'!A611="","",'당기원장'!B611)</x:f>
      </x:c>
      <x:c r="D1611" s="74" t="str">
        <x:f>IF('당기원장'!A611="","",'당기원장'!C611)</x:f>
      </x:c>
      <x:c r="E1611" s="73" t="str">
        <x:f>IF('당기원장'!A611="","",'당기원장'!D611)</x:f>
      </x:c>
      <x:c r="F1611" s="73" t="str">
        <x:f>IF('당기원장'!A611="","",'당기원장'!E611)</x:f>
      </x:c>
      <x:c r="G1611" s="75" t="str">
        <x:f>IF('당기원장'!A611="","",'당기원장'!H611)</x:f>
      </x:c>
      <x:c r="H1611" s="73" t="str">
        <x:f>IF('당기원장'!A611="","",'당기원장'!I611)</x:f>
      </x:c>
      <x:c r="I1611" s="73" t="str">
        <x:f>IF('당기원장'!A611="","",'당기원장'!J611)</x:f>
      </x:c>
      <x:c r="J1611" s="73" t="str">
        <x:f>IF('당기원장'!A611="","",'당기원장'!K611)</x:f>
      </x:c>
      <x:c r="K1611" s="73" t="str">
        <x:f>IF(B1611="","",IF(COUNTIF($B$5:B1611,B1611)=1,COUNT($K$4:K1610)+1,""))</x:f>
      </x:c>
      <x:c r="L1611" s="85" t="str">
        <x:f>IF(B1611="","",IF(COUNTIFS('계정비교'!$A$5:$A$1004,B1611,'계정비교'!$H$5:$H$1004,"원인분석 대상")&gt;0,COUNT($L$4:L1610)+1,""))</x:f>
      </x:c>
    </x:row>
    <x:row r="1612">
      <x:c r="A1612" s="73" t="str">
        <x:f>IF('당기원장'!A612="","","당기")</x:f>
      </x:c>
      <x:c r="B1612" s="73" t="str">
        <x:f>IF('당기원장'!A612="","",'당기원장'!A612)</x:f>
      </x:c>
      <x:c r="C1612" s="73" t="str">
        <x:f>IF('당기원장'!A612="","",'당기원장'!B612)</x:f>
      </x:c>
      <x:c r="D1612" s="74" t="str">
        <x:f>IF('당기원장'!A612="","",'당기원장'!C612)</x:f>
      </x:c>
      <x:c r="E1612" s="73" t="str">
        <x:f>IF('당기원장'!A612="","",'당기원장'!D612)</x:f>
      </x:c>
      <x:c r="F1612" s="73" t="str">
        <x:f>IF('당기원장'!A612="","",'당기원장'!E612)</x:f>
      </x:c>
      <x:c r="G1612" s="75" t="str">
        <x:f>IF('당기원장'!A612="","",'당기원장'!H612)</x:f>
      </x:c>
      <x:c r="H1612" s="73" t="str">
        <x:f>IF('당기원장'!A612="","",'당기원장'!I612)</x:f>
      </x:c>
      <x:c r="I1612" s="73" t="str">
        <x:f>IF('당기원장'!A612="","",'당기원장'!J612)</x:f>
      </x:c>
      <x:c r="J1612" s="73" t="str">
        <x:f>IF('당기원장'!A612="","",'당기원장'!K612)</x:f>
      </x:c>
      <x:c r="K1612" s="73" t="str">
        <x:f>IF(B1612="","",IF(COUNTIF($B$5:B1612,B1612)=1,COUNT($K$4:K1611)+1,""))</x:f>
      </x:c>
      <x:c r="L1612" s="85" t="str">
        <x:f>IF(B1612="","",IF(COUNTIFS('계정비교'!$A$5:$A$1004,B1612,'계정비교'!$H$5:$H$1004,"원인분석 대상")&gt;0,COUNT($L$4:L1611)+1,""))</x:f>
      </x:c>
    </x:row>
    <x:row r="1613">
      <x:c r="A1613" s="73" t="str">
        <x:f>IF('당기원장'!A613="","","당기")</x:f>
      </x:c>
      <x:c r="B1613" s="73" t="str">
        <x:f>IF('당기원장'!A613="","",'당기원장'!A613)</x:f>
      </x:c>
      <x:c r="C1613" s="73" t="str">
        <x:f>IF('당기원장'!A613="","",'당기원장'!B613)</x:f>
      </x:c>
      <x:c r="D1613" s="74" t="str">
        <x:f>IF('당기원장'!A613="","",'당기원장'!C613)</x:f>
      </x:c>
      <x:c r="E1613" s="73" t="str">
        <x:f>IF('당기원장'!A613="","",'당기원장'!D613)</x:f>
      </x:c>
      <x:c r="F1613" s="73" t="str">
        <x:f>IF('당기원장'!A613="","",'당기원장'!E613)</x:f>
      </x:c>
      <x:c r="G1613" s="75" t="str">
        <x:f>IF('당기원장'!A613="","",'당기원장'!H613)</x:f>
      </x:c>
      <x:c r="H1613" s="73" t="str">
        <x:f>IF('당기원장'!A613="","",'당기원장'!I613)</x:f>
      </x:c>
      <x:c r="I1613" s="73" t="str">
        <x:f>IF('당기원장'!A613="","",'당기원장'!J613)</x:f>
      </x:c>
      <x:c r="J1613" s="73" t="str">
        <x:f>IF('당기원장'!A613="","",'당기원장'!K613)</x:f>
      </x:c>
      <x:c r="K1613" s="73" t="str">
        <x:f>IF(B1613="","",IF(COUNTIF($B$5:B1613,B1613)=1,COUNT($K$4:K1612)+1,""))</x:f>
      </x:c>
      <x:c r="L1613" s="85" t="str">
        <x:f>IF(B1613="","",IF(COUNTIFS('계정비교'!$A$5:$A$1004,B1613,'계정비교'!$H$5:$H$1004,"원인분석 대상")&gt;0,COUNT($L$4:L1612)+1,""))</x:f>
      </x:c>
    </x:row>
    <x:row r="1614">
      <x:c r="A1614" s="73" t="str">
        <x:f>IF('당기원장'!A614="","","당기")</x:f>
      </x:c>
      <x:c r="B1614" s="73" t="str">
        <x:f>IF('당기원장'!A614="","",'당기원장'!A614)</x:f>
      </x:c>
      <x:c r="C1614" s="73" t="str">
        <x:f>IF('당기원장'!A614="","",'당기원장'!B614)</x:f>
      </x:c>
      <x:c r="D1614" s="74" t="str">
        <x:f>IF('당기원장'!A614="","",'당기원장'!C614)</x:f>
      </x:c>
      <x:c r="E1614" s="73" t="str">
        <x:f>IF('당기원장'!A614="","",'당기원장'!D614)</x:f>
      </x:c>
      <x:c r="F1614" s="73" t="str">
        <x:f>IF('당기원장'!A614="","",'당기원장'!E614)</x:f>
      </x:c>
      <x:c r="G1614" s="75" t="str">
        <x:f>IF('당기원장'!A614="","",'당기원장'!H614)</x:f>
      </x:c>
      <x:c r="H1614" s="73" t="str">
        <x:f>IF('당기원장'!A614="","",'당기원장'!I614)</x:f>
      </x:c>
      <x:c r="I1614" s="73" t="str">
        <x:f>IF('당기원장'!A614="","",'당기원장'!J614)</x:f>
      </x:c>
      <x:c r="J1614" s="73" t="str">
        <x:f>IF('당기원장'!A614="","",'당기원장'!K614)</x:f>
      </x:c>
      <x:c r="K1614" s="73" t="str">
        <x:f>IF(B1614="","",IF(COUNTIF($B$5:B1614,B1614)=1,COUNT($K$4:K1613)+1,""))</x:f>
      </x:c>
      <x:c r="L1614" s="85" t="str">
        <x:f>IF(B1614="","",IF(COUNTIFS('계정비교'!$A$5:$A$1004,B1614,'계정비교'!$H$5:$H$1004,"원인분석 대상")&gt;0,COUNT($L$4:L1613)+1,""))</x:f>
      </x:c>
    </x:row>
    <x:row r="1615">
      <x:c r="A1615" s="73" t="str">
        <x:f>IF('당기원장'!A615="","","당기")</x:f>
      </x:c>
      <x:c r="B1615" s="73" t="str">
        <x:f>IF('당기원장'!A615="","",'당기원장'!A615)</x:f>
      </x:c>
      <x:c r="C1615" s="73" t="str">
        <x:f>IF('당기원장'!A615="","",'당기원장'!B615)</x:f>
      </x:c>
      <x:c r="D1615" s="74" t="str">
        <x:f>IF('당기원장'!A615="","",'당기원장'!C615)</x:f>
      </x:c>
      <x:c r="E1615" s="73" t="str">
        <x:f>IF('당기원장'!A615="","",'당기원장'!D615)</x:f>
      </x:c>
      <x:c r="F1615" s="73" t="str">
        <x:f>IF('당기원장'!A615="","",'당기원장'!E615)</x:f>
      </x:c>
      <x:c r="G1615" s="75" t="str">
        <x:f>IF('당기원장'!A615="","",'당기원장'!H615)</x:f>
      </x:c>
      <x:c r="H1615" s="73" t="str">
        <x:f>IF('당기원장'!A615="","",'당기원장'!I615)</x:f>
      </x:c>
      <x:c r="I1615" s="73" t="str">
        <x:f>IF('당기원장'!A615="","",'당기원장'!J615)</x:f>
      </x:c>
      <x:c r="J1615" s="73" t="str">
        <x:f>IF('당기원장'!A615="","",'당기원장'!K615)</x:f>
      </x:c>
      <x:c r="K1615" s="73" t="str">
        <x:f>IF(B1615="","",IF(COUNTIF($B$5:B1615,B1615)=1,COUNT($K$4:K1614)+1,""))</x:f>
      </x:c>
      <x:c r="L1615" s="85" t="str">
        <x:f>IF(B1615="","",IF(COUNTIFS('계정비교'!$A$5:$A$1004,B1615,'계정비교'!$H$5:$H$1004,"원인분석 대상")&gt;0,COUNT($L$4:L1614)+1,""))</x:f>
      </x:c>
    </x:row>
    <x:row r="1616">
      <x:c r="A1616" s="73" t="str">
        <x:f>IF('당기원장'!A616="","","당기")</x:f>
      </x:c>
      <x:c r="B1616" s="73" t="str">
        <x:f>IF('당기원장'!A616="","",'당기원장'!A616)</x:f>
      </x:c>
      <x:c r="C1616" s="73" t="str">
        <x:f>IF('당기원장'!A616="","",'당기원장'!B616)</x:f>
      </x:c>
      <x:c r="D1616" s="74" t="str">
        <x:f>IF('당기원장'!A616="","",'당기원장'!C616)</x:f>
      </x:c>
      <x:c r="E1616" s="73" t="str">
        <x:f>IF('당기원장'!A616="","",'당기원장'!D616)</x:f>
      </x:c>
      <x:c r="F1616" s="73" t="str">
        <x:f>IF('당기원장'!A616="","",'당기원장'!E616)</x:f>
      </x:c>
      <x:c r="G1616" s="75" t="str">
        <x:f>IF('당기원장'!A616="","",'당기원장'!H616)</x:f>
      </x:c>
      <x:c r="H1616" s="73" t="str">
        <x:f>IF('당기원장'!A616="","",'당기원장'!I616)</x:f>
      </x:c>
      <x:c r="I1616" s="73" t="str">
        <x:f>IF('당기원장'!A616="","",'당기원장'!J616)</x:f>
      </x:c>
      <x:c r="J1616" s="73" t="str">
        <x:f>IF('당기원장'!A616="","",'당기원장'!K616)</x:f>
      </x:c>
      <x:c r="K1616" s="73" t="str">
        <x:f>IF(B1616="","",IF(COUNTIF($B$5:B1616,B1616)=1,COUNT($K$4:K1615)+1,""))</x:f>
      </x:c>
      <x:c r="L1616" s="85" t="str">
        <x:f>IF(B1616="","",IF(COUNTIFS('계정비교'!$A$5:$A$1004,B1616,'계정비교'!$H$5:$H$1004,"원인분석 대상")&gt;0,COUNT($L$4:L1615)+1,""))</x:f>
      </x:c>
    </x:row>
    <x:row r="1617">
      <x:c r="A1617" s="73" t="str">
        <x:f>IF('당기원장'!A617="","","당기")</x:f>
      </x:c>
      <x:c r="B1617" s="73" t="str">
        <x:f>IF('당기원장'!A617="","",'당기원장'!A617)</x:f>
      </x:c>
      <x:c r="C1617" s="73" t="str">
        <x:f>IF('당기원장'!A617="","",'당기원장'!B617)</x:f>
      </x:c>
      <x:c r="D1617" s="74" t="str">
        <x:f>IF('당기원장'!A617="","",'당기원장'!C617)</x:f>
      </x:c>
      <x:c r="E1617" s="73" t="str">
        <x:f>IF('당기원장'!A617="","",'당기원장'!D617)</x:f>
      </x:c>
      <x:c r="F1617" s="73" t="str">
        <x:f>IF('당기원장'!A617="","",'당기원장'!E617)</x:f>
      </x:c>
      <x:c r="G1617" s="75" t="str">
        <x:f>IF('당기원장'!A617="","",'당기원장'!H617)</x:f>
      </x:c>
      <x:c r="H1617" s="73" t="str">
        <x:f>IF('당기원장'!A617="","",'당기원장'!I617)</x:f>
      </x:c>
      <x:c r="I1617" s="73" t="str">
        <x:f>IF('당기원장'!A617="","",'당기원장'!J617)</x:f>
      </x:c>
      <x:c r="J1617" s="73" t="str">
        <x:f>IF('당기원장'!A617="","",'당기원장'!K617)</x:f>
      </x:c>
      <x:c r="K1617" s="73" t="str">
        <x:f>IF(B1617="","",IF(COUNTIF($B$5:B1617,B1617)=1,COUNT($K$4:K1616)+1,""))</x:f>
      </x:c>
      <x:c r="L1617" s="85" t="str">
        <x:f>IF(B1617="","",IF(COUNTIFS('계정비교'!$A$5:$A$1004,B1617,'계정비교'!$H$5:$H$1004,"원인분석 대상")&gt;0,COUNT($L$4:L1616)+1,""))</x:f>
      </x:c>
    </x:row>
    <x:row r="1618">
      <x:c r="A1618" s="73" t="str">
        <x:f>IF('당기원장'!A618="","","당기")</x:f>
      </x:c>
      <x:c r="B1618" s="73" t="str">
        <x:f>IF('당기원장'!A618="","",'당기원장'!A618)</x:f>
      </x:c>
      <x:c r="C1618" s="73" t="str">
        <x:f>IF('당기원장'!A618="","",'당기원장'!B618)</x:f>
      </x:c>
      <x:c r="D1618" s="74" t="str">
        <x:f>IF('당기원장'!A618="","",'당기원장'!C618)</x:f>
      </x:c>
      <x:c r="E1618" s="73" t="str">
        <x:f>IF('당기원장'!A618="","",'당기원장'!D618)</x:f>
      </x:c>
      <x:c r="F1618" s="73" t="str">
        <x:f>IF('당기원장'!A618="","",'당기원장'!E618)</x:f>
      </x:c>
      <x:c r="G1618" s="75" t="str">
        <x:f>IF('당기원장'!A618="","",'당기원장'!H618)</x:f>
      </x:c>
      <x:c r="H1618" s="73" t="str">
        <x:f>IF('당기원장'!A618="","",'당기원장'!I618)</x:f>
      </x:c>
      <x:c r="I1618" s="73" t="str">
        <x:f>IF('당기원장'!A618="","",'당기원장'!J618)</x:f>
      </x:c>
      <x:c r="J1618" s="73" t="str">
        <x:f>IF('당기원장'!A618="","",'당기원장'!K618)</x:f>
      </x:c>
      <x:c r="K1618" s="73" t="str">
        <x:f>IF(B1618="","",IF(COUNTIF($B$5:B1618,B1618)=1,COUNT($K$4:K1617)+1,""))</x:f>
      </x:c>
      <x:c r="L1618" s="85" t="str">
        <x:f>IF(B1618="","",IF(COUNTIFS('계정비교'!$A$5:$A$1004,B1618,'계정비교'!$H$5:$H$1004,"원인분석 대상")&gt;0,COUNT($L$4:L1617)+1,""))</x:f>
      </x:c>
    </x:row>
    <x:row r="1619">
      <x:c r="A1619" s="73" t="str">
        <x:f>IF('당기원장'!A619="","","당기")</x:f>
      </x:c>
      <x:c r="B1619" s="73" t="str">
        <x:f>IF('당기원장'!A619="","",'당기원장'!A619)</x:f>
      </x:c>
      <x:c r="C1619" s="73" t="str">
        <x:f>IF('당기원장'!A619="","",'당기원장'!B619)</x:f>
      </x:c>
      <x:c r="D1619" s="74" t="str">
        <x:f>IF('당기원장'!A619="","",'당기원장'!C619)</x:f>
      </x:c>
      <x:c r="E1619" s="73" t="str">
        <x:f>IF('당기원장'!A619="","",'당기원장'!D619)</x:f>
      </x:c>
      <x:c r="F1619" s="73" t="str">
        <x:f>IF('당기원장'!A619="","",'당기원장'!E619)</x:f>
      </x:c>
      <x:c r="G1619" s="75" t="str">
        <x:f>IF('당기원장'!A619="","",'당기원장'!H619)</x:f>
      </x:c>
      <x:c r="H1619" s="73" t="str">
        <x:f>IF('당기원장'!A619="","",'당기원장'!I619)</x:f>
      </x:c>
      <x:c r="I1619" s="73" t="str">
        <x:f>IF('당기원장'!A619="","",'당기원장'!J619)</x:f>
      </x:c>
      <x:c r="J1619" s="73" t="str">
        <x:f>IF('당기원장'!A619="","",'당기원장'!K619)</x:f>
      </x:c>
      <x:c r="K1619" s="73" t="str">
        <x:f>IF(B1619="","",IF(COUNTIF($B$5:B1619,B1619)=1,COUNT($K$4:K1618)+1,""))</x:f>
      </x:c>
      <x:c r="L1619" s="85" t="str">
        <x:f>IF(B1619="","",IF(COUNTIFS('계정비교'!$A$5:$A$1004,B1619,'계정비교'!$H$5:$H$1004,"원인분석 대상")&gt;0,COUNT($L$4:L1618)+1,""))</x:f>
      </x:c>
    </x:row>
    <x:row r="1620">
      <x:c r="A1620" s="73" t="str">
        <x:f>IF('당기원장'!A620="","","당기")</x:f>
      </x:c>
      <x:c r="B1620" s="73" t="str">
        <x:f>IF('당기원장'!A620="","",'당기원장'!A620)</x:f>
      </x:c>
      <x:c r="C1620" s="73" t="str">
        <x:f>IF('당기원장'!A620="","",'당기원장'!B620)</x:f>
      </x:c>
      <x:c r="D1620" s="74" t="str">
        <x:f>IF('당기원장'!A620="","",'당기원장'!C620)</x:f>
      </x:c>
      <x:c r="E1620" s="73" t="str">
        <x:f>IF('당기원장'!A620="","",'당기원장'!D620)</x:f>
      </x:c>
      <x:c r="F1620" s="73" t="str">
        <x:f>IF('당기원장'!A620="","",'당기원장'!E620)</x:f>
      </x:c>
      <x:c r="G1620" s="75" t="str">
        <x:f>IF('당기원장'!A620="","",'당기원장'!H620)</x:f>
      </x:c>
      <x:c r="H1620" s="73" t="str">
        <x:f>IF('당기원장'!A620="","",'당기원장'!I620)</x:f>
      </x:c>
      <x:c r="I1620" s="73" t="str">
        <x:f>IF('당기원장'!A620="","",'당기원장'!J620)</x:f>
      </x:c>
      <x:c r="J1620" s="73" t="str">
        <x:f>IF('당기원장'!A620="","",'당기원장'!K620)</x:f>
      </x:c>
      <x:c r="K1620" s="73" t="str">
        <x:f>IF(B1620="","",IF(COUNTIF($B$5:B1620,B1620)=1,COUNT($K$4:K1619)+1,""))</x:f>
      </x:c>
      <x:c r="L1620" s="85" t="str">
        <x:f>IF(B1620="","",IF(COUNTIFS('계정비교'!$A$5:$A$1004,B1620,'계정비교'!$H$5:$H$1004,"원인분석 대상")&gt;0,COUNT($L$4:L1619)+1,""))</x:f>
      </x:c>
    </x:row>
    <x:row r="1621">
      <x:c r="A1621" s="73" t="str">
        <x:f>IF('당기원장'!A621="","","당기")</x:f>
      </x:c>
      <x:c r="B1621" s="73" t="str">
        <x:f>IF('당기원장'!A621="","",'당기원장'!A621)</x:f>
      </x:c>
      <x:c r="C1621" s="73" t="str">
        <x:f>IF('당기원장'!A621="","",'당기원장'!B621)</x:f>
      </x:c>
      <x:c r="D1621" s="74" t="str">
        <x:f>IF('당기원장'!A621="","",'당기원장'!C621)</x:f>
      </x:c>
      <x:c r="E1621" s="73" t="str">
        <x:f>IF('당기원장'!A621="","",'당기원장'!D621)</x:f>
      </x:c>
      <x:c r="F1621" s="73" t="str">
        <x:f>IF('당기원장'!A621="","",'당기원장'!E621)</x:f>
      </x:c>
      <x:c r="G1621" s="75" t="str">
        <x:f>IF('당기원장'!A621="","",'당기원장'!H621)</x:f>
      </x:c>
      <x:c r="H1621" s="73" t="str">
        <x:f>IF('당기원장'!A621="","",'당기원장'!I621)</x:f>
      </x:c>
      <x:c r="I1621" s="73" t="str">
        <x:f>IF('당기원장'!A621="","",'당기원장'!J621)</x:f>
      </x:c>
      <x:c r="J1621" s="73" t="str">
        <x:f>IF('당기원장'!A621="","",'당기원장'!K621)</x:f>
      </x:c>
      <x:c r="K1621" s="73" t="str">
        <x:f>IF(B1621="","",IF(COUNTIF($B$5:B1621,B1621)=1,COUNT($K$4:K1620)+1,""))</x:f>
      </x:c>
      <x:c r="L1621" s="85" t="str">
        <x:f>IF(B1621="","",IF(COUNTIFS('계정비교'!$A$5:$A$1004,B1621,'계정비교'!$H$5:$H$1004,"원인분석 대상")&gt;0,COUNT($L$4:L1620)+1,""))</x:f>
      </x:c>
    </x:row>
    <x:row r="1622">
      <x:c r="A1622" s="73" t="str">
        <x:f>IF('당기원장'!A622="","","당기")</x:f>
      </x:c>
      <x:c r="B1622" s="73" t="str">
        <x:f>IF('당기원장'!A622="","",'당기원장'!A622)</x:f>
      </x:c>
      <x:c r="C1622" s="73" t="str">
        <x:f>IF('당기원장'!A622="","",'당기원장'!B622)</x:f>
      </x:c>
      <x:c r="D1622" s="74" t="str">
        <x:f>IF('당기원장'!A622="","",'당기원장'!C622)</x:f>
      </x:c>
      <x:c r="E1622" s="73" t="str">
        <x:f>IF('당기원장'!A622="","",'당기원장'!D622)</x:f>
      </x:c>
      <x:c r="F1622" s="73" t="str">
        <x:f>IF('당기원장'!A622="","",'당기원장'!E622)</x:f>
      </x:c>
      <x:c r="G1622" s="75" t="str">
        <x:f>IF('당기원장'!A622="","",'당기원장'!H622)</x:f>
      </x:c>
      <x:c r="H1622" s="73" t="str">
        <x:f>IF('당기원장'!A622="","",'당기원장'!I622)</x:f>
      </x:c>
      <x:c r="I1622" s="73" t="str">
        <x:f>IF('당기원장'!A622="","",'당기원장'!J622)</x:f>
      </x:c>
      <x:c r="J1622" s="73" t="str">
        <x:f>IF('당기원장'!A622="","",'당기원장'!K622)</x:f>
      </x:c>
      <x:c r="K1622" s="73" t="str">
        <x:f>IF(B1622="","",IF(COUNTIF($B$5:B1622,B1622)=1,COUNT($K$4:K1621)+1,""))</x:f>
      </x:c>
      <x:c r="L1622" s="85" t="str">
        <x:f>IF(B1622="","",IF(COUNTIFS('계정비교'!$A$5:$A$1004,B1622,'계정비교'!$H$5:$H$1004,"원인분석 대상")&gt;0,COUNT($L$4:L1621)+1,""))</x:f>
      </x:c>
    </x:row>
    <x:row r="1623">
      <x:c r="A1623" s="73" t="str">
        <x:f>IF('당기원장'!A623="","","당기")</x:f>
      </x:c>
      <x:c r="B1623" s="73" t="str">
        <x:f>IF('당기원장'!A623="","",'당기원장'!A623)</x:f>
      </x:c>
      <x:c r="C1623" s="73" t="str">
        <x:f>IF('당기원장'!A623="","",'당기원장'!B623)</x:f>
      </x:c>
      <x:c r="D1623" s="74" t="str">
        <x:f>IF('당기원장'!A623="","",'당기원장'!C623)</x:f>
      </x:c>
      <x:c r="E1623" s="73" t="str">
        <x:f>IF('당기원장'!A623="","",'당기원장'!D623)</x:f>
      </x:c>
      <x:c r="F1623" s="73" t="str">
        <x:f>IF('당기원장'!A623="","",'당기원장'!E623)</x:f>
      </x:c>
      <x:c r="G1623" s="75" t="str">
        <x:f>IF('당기원장'!A623="","",'당기원장'!H623)</x:f>
      </x:c>
      <x:c r="H1623" s="73" t="str">
        <x:f>IF('당기원장'!A623="","",'당기원장'!I623)</x:f>
      </x:c>
      <x:c r="I1623" s="73" t="str">
        <x:f>IF('당기원장'!A623="","",'당기원장'!J623)</x:f>
      </x:c>
      <x:c r="J1623" s="73" t="str">
        <x:f>IF('당기원장'!A623="","",'당기원장'!K623)</x:f>
      </x:c>
      <x:c r="K1623" s="73" t="str">
        <x:f>IF(B1623="","",IF(COUNTIF($B$5:B1623,B1623)=1,COUNT($K$4:K1622)+1,""))</x:f>
      </x:c>
      <x:c r="L1623" s="85" t="str">
        <x:f>IF(B1623="","",IF(COUNTIFS('계정비교'!$A$5:$A$1004,B1623,'계정비교'!$H$5:$H$1004,"원인분석 대상")&gt;0,COUNT($L$4:L1622)+1,""))</x:f>
      </x:c>
    </x:row>
    <x:row r="1624">
      <x:c r="A1624" s="73" t="str">
        <x:f>IF('당기원장'!A624="","","당기")</x:f>
      </x:c>
      <x:c r="B1624" s="73" t="str">
        <x:f>IF('당기원장'!A624="","",'당기원장'!A624)</x:f>
      </x:c>
      <x:c r="C1624" s="73" t="str">
        <x:f>IF('당기원장'!A624="","",'당기원장'!B624)</x:f>
      </x:c>
      <x:c r="D1624" s="74" t="str">
        <x:f>IF('당기원장'!A624="","",'당기원장'!C624)</x:f>
      </x:c>
      <x:c r="E1624" s="73" t="str">
        <x:f>IF('당기원장'!A624="","",'당기원장'!D624)</x:f>
      </x:c>
      <x:c r="F1624" s="73" t="str">
        <x:f>IF('당기원장'!A624="","",'당기원장'!E624)</x:f>
      </x:c>
      <x:c r="G1624" s="75" t="str">
        <x:f>IF('당기원장'!A624="","",'당기원장'!H624)</x:f>
      </x:c>
      <x:c r="H1624" s="73" t="str">
        <x:f>IF('당기원장'!A624="","",'당기원장'!I624)</x:f>
      </x:c>
      <x:c r="I1624" s="73" t="str">
        <x:f>IF('당기원장'!A624="","",'당기원장'!J624)</x:f>
      </x:c>
      <x:c r="J1624" s="73" t="str">
        <x:f>IF('당기원장'!A624="","",'당기원장'!K624)</x:f>
      </x:c>
      <x:c r="K1624" s="73" t="str">
        <x:f>IF(B1624="","",IF(COUNTIF($B$5:B1624,B1624)=1,COUNT($K$4:K1623)+1,""))</x:f>
      </x:c>
      <x:c r="L1624" s="85" t="str">
        <x:f>IF(B1624="","",IF(COUNTIFS('계정비교'!$A$5:$A$1004,B1624,'계정비교'!$H$5:$H$1004,"원인분석 대상")&gt;0,COUNT($L$4:L1623)+1,""))</x:f>
      </x:c>
    </x:row>
    <x:row r="1625">
      <x:c r="A1625" s="73" t="str">
        <x:f>IF('당기원장'!A625="","","당기")</x:f>
      </x:c>
      <x:c r="B1625" s="73" t="str">
        <x:f>IF('당기원장'!A625="","",'당기원장'!A625)</x:f>
      </x:c>
      <x:c r="C1625" s="73" t="str">
        <x:f>IF('당기원장'!A625="","",'당기원장'!B625)</x:f>
      </x:c>
      <x:c r="D1625" s="74" t="str">
        <x:f>IF('당기원장'!A625="","",'당기원장'!C625)</x:f>
      </x:c>
      <x:c r="E1625" s="73" t="str">
        <x:f>IF('당기원장'!A625="","",'당기원장'!D625)</x:f>
      </x:c>
      <x:c r="F1625" s="73" t="str">
        <x:f>IF('당기원장'!A625="","",'당기원장'!E625)</x:f>
      </x:c>
      <x:c r="G1625" s="75" t="str">
        <x:f>IF('당기원장'!A625="","",'당기원장'!H625)</x:f>
      </x:c>
      <x:c r="H1625" s="73" t="str">
        <x:f>IF('당기원장'!A625="","",'당기원장'!I625)</x:f>
      </x:c>
      <x:c r="I1625" s="73" t="str">
        <x:f>IF('당기원장'!A625="","",'당기원장'!J625)</x:f>
      </x:c>
      <x:c r="J1625" s="73" t="str">
        <x:f>IF('당기원장'!A625="","",'당기원장'!K625)</x:f>
      </x:c>
      <x:c r="K1625" s="73" t="str">
        <x:f>IF(B1625="","",IF(COUNTIF($B$5:B1625,B1625)=1,COUNT($K$4:K1624)+1,""))</x:f>
      </x:c>
      <x:c r="L1625" s="85" t="str">
        <x:f>IF(B1625="","",IF(COUNTIFS('계정비교'!$A$5:$A$1004,B1625,'계정비교'!$H$5:$H$1004,"원인분석 대상")&gt;0,COUNT($L$4:L1624)+1,""))</x:f>
      </x:c>
    </x:row>
    <x:row r="1626">
      <x:c r="A1626" s="73" t="str">
        <x:f>IF('당기원장'!A626="","","당기")</x:f>
      </x:c>
      <x:c r="B1626" s="73" t="str">
        <x:f>IF('당기원장'!A626="","",'당기원장'!A626)</x:f>
      </x:c>
      <x:c r="C1626" s="73" t="str">
        <x:f>IF('당기원장'!A626="","",'당기원장'!B626)</x:f>
      </x:c>
      <x:c r="D1626" s="74" t="str">
        <x:f>IF('당기원장'!A626="","",'당기원장'!C626)</x:f>
      </x:c>
      <x:c r="E1626" s="73" t="str">
        <x:f>IF('당기원장'!A626="","",'당기원장'!D626)</x:f>
      </x:c>
      <x:c r="F1626" s="73" t="str">
        <x:f>IF('당기원장'!A626="","",'당기원장'!E626)</x:f>
      </x:c>
      <x:c r="G1626" s="75" t="str">
        <x:f>IF('당기원장'!A626="","",'당기원장'!H626)</x:f>
      </x:c>
      <x:c r="H1626" s="73" t="str">
        <x:f>IF('당기원장'!A626="","",'당기원장'!I626)</x:f>
      </x:c>
      <x:c r="I1626" s="73" t="str">
        <x:f>IF('당기원장'!A626="","",'당기원장'!J626)</x:f>
      </x:c>
      <x:c r="J1626" s="73" t="str">
        <x:f>IF('당기원장'!A626="","",'당기원장'!K626)</x:f>
      </x:c>
      <x:c r="K1626" s="73" t="str">
        <x:f>IF(B1626="","",IF(COUNTIF($B$5:B1626,B1626)=1,COUNT($K$4:K1625)+1,""))</x:f>
      </x:c>
      <x:c r="L1626" s="85" t="str">
        <x:f>IF(B1626="","",IF(COUNTIFS('계정비교'!$A$5:$A$1004,B1626,'계정비교'!$H$5:$H$1004,"원인분석 대상")&gt;0,COUNT($L$4:L1625)+1,""))</x:f>
      </x:c>
    </x:row>
    <x:row r="1627">
      <x:c r="A1627" s="73" t="str">
        <x:f>IF('당기원장'!A627="","","당기")</x:f>
      </x:c>
      <x:c r="B1627" s="73" t="str">
        <x:f>IF('당기원장'!A627="","",'당기원장'!A627)</x:f>
      </x:c>
      <x:c r="C1627" s="73" t="str">
        <x:f>IF('당기원장'!A627="","",'당기원장'!B627)</x:f>
      </x:c>
      <x:c r="D1627" s="74" t="str">
        <x:f>IF('당기원장'!A627="","",'당기원장'!C627)</x:f>
      </x:c>
      <x:c r="E1627" s="73" t="str">
        <x:f>IF('당기원장'!A627="","",'당기원장'!D627)</x:f>
      </x:c>
      <x:c r="F1627" s="73" t="str">
        <x:f>IF('당기원장'!A627="","",'당기원장'!E627)</x:f>
      </x:c>
      <x:c r="G1627" s="75" t="str">
        <x:f>IF('당기원장'!A627="","",'당기원장'!H627)</x:f>
      </x:c>
      <x:c r="H1627" s="73" t="str">
        <x:f>IF('당기원장'!A627="","",'당기원장'!I627)</x:f>
      </x:c>
      <x:c r="I1627" s="73" t="str">
        <x:f>IF('당기원장'!A627="","",'당기원장'!J627)</x:f>
      </x:c>
      <x:c r="J1627" s="73" t="str">
        <x:f>IF('당기원장'!A627="","",'당기원장'!K627)</x:f>
      </x:c>
      <x:c r="K1627" s="73" t="str">
        <x:f>IF(B1627="","",IF(COUNTIF($B$5:B1627,B1627)=1,COUNT($K$4:K1626)+1,""))</x:f>
      </x:c>
      <x:c r="L1627" s="85" t="str">
        <x:f>IF(B1627="","",IF(COUNTIFS('계정비교'!$A$5:$A$1004,B1627,'계정비교'!$H$5:$H$1004,"원인분석 대상")&gt;0,COUNT($L$4:L1626)+1,""))</x:f>
      </x:c>
    </x:row>
    <x:row r="1628">
      <x:c r="A1628" s="73" t="str">
        <x:f>IF('당기원장'!A628="","","당기")</x:f>
      </x:c>
      <x:c r="B1628" s="73" t="str">
        <x:f>IF('당기원장'!A628="","",'당기원장'!A628)</x:f>
      </x:c>
      <x:c r="C1628" s="73" t="str">
        <x:f>IF('당기원장'!A628="","",'당기원장'!B628)</x:f>
      </x:c>
      <x:c r="D1628" s="74" t="str">
        <x:f>IF('당기원장'!A628="","",'당기원장'!C628)</x:f>
      </x:c>
      <x:c r="E1628" s="73" t="str">
        <x:f>IF('당기원장'!A628="","",'당기원장'!D628)</x:f>
      </x:c>
      <x:c r="F1628" s="73" t="str">
        <x:f>IF('당기원장'!A628="","",'당기원장'!E628)</x:f>
      </x:c>
      <x:c r="G1628" s="75" t="str">
        <x:f>IF('당기원장'!A628="","",'당기원장'!H628)</x:f>
      </x:c>
      <x:c r="H1628" s="73" t="str">
        <x:f>IF('당기원장'!A628="","",'당기원장'!I628)</x:f>
      </x:c>
      <x:c r="I1628" s="73" t="str">
        <x:f>IF('당기원장'!A628="","",'당기원장'!J628)</x:f>
      </x:c>
      <x:c r="J1628" s="73" t="str">
        <x:f>IF('당기원장'!A628="","",'당기원장'!K628)</x:f>
      </x:c>
      <x:c r="K1628" s="73" t="str">
        <x:f>IF(B1628="","",IF(COUNTIF($B$5:B1628,B1628)=1,COUNT($K$4:K1627)+1,""))</x:f>
      </x:c>
      <x:c r="L1628" s="85" t="str">
        <x:f>IF(B1628="","",IF(COUNTIFS('계정비교'!$A$5:$A$1004,B1628,'계정비교'!$H$5:$H$1004,"원인분석 대상")&gt;0,COUNT($L$4:L1627)+1,""))</x:f>
      </x:c>
    </x:row>
    <x:row r="1629">
      <x:c r="A1629" s="73" t="str">
        <x:f>IF('당기원장'!A629="","","당기")</x:f>
      </x:c>
      <x:c r="B1629" s="73" t="str">
        <x:f>IF('당기원장'!A629="","",'당기원장'!A629)</x:f>
      </x:c>
      <x:c r="C1629" s="73" t="str">
        <x:f>IF('당기원장'!A629="","",'당기원장'!B629)</x:f>
      </x:c>
      <x:c r="D1629" s="74" t="str">
        <x:f>IF('당기원장'!A629="","",'당기원장'!C629)</x:f>
      </x:c>
      <x:c r="E1629" s="73" t="str">
        <x:f>IF('당기원장'!A629="","",'당기원장'!D629)</x:f>
      </x:c>
      <x:c r="F1629" s="73" t="str">
        <x:f>IF('당기원장'!A629="","",'당기원장'!E629)</x:f>
      </x:c>
      <x:c r="G1629" s="75" t="str">
        <x:f>IF('당기원장'!A629="","",'당기원장'!H629)</x:f>
      </x:c>
      <x:c r="H1629" s="73" t="str">
        <x:f>IF('당기원장'!A629="","",'당기원장'!I629)</x:f>
      </x:c>
      <x:c r="I1629" s="73" t="str">
        <x:f>IF('당기원장'!A629="","",'당기원장'!J629)</x:f>
      </x:c>
      <x:c r="J1629" s="73" t="str">
        <x:f>IF('당기원장'!A629="","",'당기원장'!K629)</x:f>
      </x:c>
      <x:c r="K1629" s="73" t="str">
        <x:f>IF(B1629="","",IF(COUNTIF($B$5:B1629,B1629)=1,COUNT($K$4:K1628)+1,""))</x:f>
      </x:c>
      <x:c r="L1629" s="85" t="str">
        <x:f>IF(B1629="","",IF(COUNTIFS('계정비교'!$A$5:$A$1004,B1629,'계정비교'!$H$5:$H$1004,"원인분석 대상")&gt;0,COUNT($L$4:L1628)+1,""))</x:f>
      </x:c>
    </x:row>
    <x:row r="1630">
      <x:c r="A1630" s="73" t="str">
        <x:f>IF('당기원장'!A630="","","당기")</x:f>
      </x:c>
      <x:c r="B1630" s="73" t="str">
        <x:f>IF('당기원장'!A630="","",'당기원장'!A630)</x:f>
      </x:c>
      <x:c r="C1630" s="73" t="str">
        <x:f>IF('당기원장'!A630="","",'당기원장'!B630)</x:f>
      </x:c>
      <x:c r="D1630" s="74" t="str">
        <x:f>IF('당기원장'!A630="","",'당기원장'!C630)</x:f>
      </x:c>
      <x:c r="E1630" s="73" t="str">
        <x:f>IF('당기원장'!A630="","",'당기원장'!D630)</x:f>
      </x:c>
      <x:c r="F1630" s="73" t="str">
        <x:f>IF('당기원장'!A630="","",'당기원장'!E630)</x:f>
      </x:c>
      <x:c r="G1630" s="75" t="str">
        <x:f>IF('당기원장'!A630="","",'당기원장'!H630)</x:f>
      </x:c>
      <x:c r="H1630" s="73" t="str">
        <x:f>IF('당기원장'!A630="","",'당기원장'!I630)</x:f>
      </x:c>
      <x:c r="I1630" s="73" t="str">
        <x:f>IF('당기원장'!A630="","",'당기원장'!J630)</x:f>
      </x:c>
      <x:c r="J1630" s="73" t="str">
        <x:f>IF('당기원장'!A630="","",'당기원장'!K630)</x:f>
      </x:c>
      <x:c r="K1630" s="73" t="str">
        <x:f>IF(B1630="","",IF(COUNTIF($B$5:B1630,B1630)=1,COUNT($K$4:K1629)+1,""))</x:f>
      </x:c>
      <x:c r="L1630" s="85" t="str">
        <x:f>IF(B1630="","",IF(COUNTIFS('계정비교'!$A$5:$A$1004,B1630,'계정비교'!$H$5:$H$1004,"원인분석 대상")&gt;0,COUNT($L$4:L1629)+1,""))</x:f>
      </x:c>
    </x:row>
    <x:row r="1631">
      <x:c r="A1631" s="73" t="str">
        <x:f>IF('당기원장'!A631="","","당기")</x:f>
      </x:c>
      <x:c r="B1631" s="73" t="str">
        <x:f>IF('당기원장'!A631="","",'당기원장'!A631)</x:f>
      </x:c>
      <x:c r="C1631" s="73" t="str">
        <x:f>IF('당기원장'!A631="","",'당기원장'!B631)</x:f>
      </x:c>
      <x:c r="D1631" s="74" t="str">
        <x:f>IF('당기원장'!A631="","",'당기원장'!C631)</x:f>
      </x:c>
      <x:c r="E1631" s="73" t="str">
        <x:f>IF('당기원장'!A631="","",'당기원장'!D631)</x:f>
      </x:c>
      <x:c r="F1631" s="73" t="str">
        <x:f>IF('당기원장'!A631="","",'당기원장'!E631)</x:f>
      </x:c>
      <x:c r="G1631" s="75" t="str">
        <x:f>IF('당기원장'!A631="","",'당기원장'!H631)</x:f>
      </x:c>
      <x:c r="H1631" s="73" t="str">
        <x:f>IF('당기원장'!A631="","",'당기원장'!I631)</x:f>
      </x:c>
      <x:c r="I1631" s="73" t="str">
        <x:f>IF('당기원장'!A631="","",'당기원장'!J631)</x:f>
      </x:c>
      <x:c r="J1631" s="73" t="str">
        <x:f>IF('당기원장'!A631="","",'당기원장'!K631)</x:f>
      </x:c>
      <x:c r="K1631" s="73" t="str">
        <x:f>IF(B1631="","",IF(COUNTIF($B$5:B1631,B1631)=1,COUNT($K$4:K1630)+1,""))</x:f>
      </x:c>
      <x:c r="L1631" s="85" t="str">
        <x:f>IF(B1631="","",IF(COUNTIFS('계정비교'!$A$5:$A$1004,B1631,'계정비교'!$H$5:$H$1004,"원인분석 대상")&gt;0,COUNT($L$4:L1630)+1,""))</x:f>
      </x:c>
    </x:row>
    <x:row r="1632">
      <x:c r="A1632" s="73" t="str">
        <x:f>IF('당기원장'!A632="","","당기")</x:f>
      </x:c>
      <x:c r="B1632" s="73" t="str">
        <x:f>IF('당기원장'!A632="","",'당기원장'!A632)</x:f>
      </x:c>
      <x:c r="C1632" s="73" t="str">
        <x:f>IF('당기원장'!A632="","",'당기원장'!B632)</x:f>
      </x:c>
      <x:c r="D1632" s="74" t="str">
        <x:f>IF('당기원장'!A632="","",'당기원장'!C632)</x:f>
      </x:c>
      <x:c r="E1632" s="73" t="str">
        <x:f>IF('당기원장'!A632="","",'당기원장'!D632)</x:f>
      </x:c>
      <x:c r="F1632" s="73" t="str">
        <x:f>IF('당기원장'!A632="","",'당기원장'!E632)</x:f>
      </x:c>
      <x:c r="G1632" s="75" t="str">
        <x:f>IF('당기원장'!A632="","",'당기원장'!H632)</x:f>
      </x:c>
      <x:c r="H1632" s="73" t="str">
        <x:f>IF('당기원장'!A632="","",'당기원장'!I632)</x:f>
      </x:c>
      <x:c r="I1632" s="73" t="str">
        <x:f>IF('당기원장'!A632="","",'당기원장'!J632)</x:f>
      </x:c>
      <x:c r="J1632" s="73" t="str">
        <x:f>IF('당기원장'!A632="","",'당기원장'!K632)</x:f>
      </x:c>
      <x:c r="K1632" s="73" t="str">
        <x:f>IF(B1632="","",IF(COUNTIF($B$5:B1632,B1632)=1,COUNT($K$4:K1631)+1,""))</x:f>
      </x:c>
      <x:c r="L1632" s="85" t="str">
        <x:f>IF(B1632="","",IF(COUNTIFS('계정비교'!$A$5:$A$1004,B1632,'계정비교'!$H$5:$H$1004,"원인분석 대상")&gt;0,COUNT($L$4:L1631)+1,""))</x:f>
      </x:c>
    </x:row>
    <x:row r="1633">
      <x:c r="A1633" s="73" t="str">
        <x:f>IF('당기원장'!A633="","","당기")</x:f>
      </x:c>
      <x:c r="B1633" s="73" t="str">
        <x:f>IF('당기원장'!A633="","",'당기원장'!A633)</x:f>
      </x:c>
      <x:c r="C1633" s="73" t="str">
        <x:f>IF('당기원장'!A633="","",'당기원장'!B633)</x:f>
      </x:c>
      <x:c r="D1633" s="74" t="str">
        <x:f>IF('당기원장'!A633="","",'당기원장'!C633)</x:f>
      </x:c>
      <x:c r="E1633" s="73" t="str">
        <x:f>IF('당기원장'!A633="","",'당기원장'!D633)</x:f>
      </x:c>
      <x:c r="F1633" s="73" t="str">
        <x:f>IF('당기원장'!A633="","",'당기원장'!E633)</x:f>
      </x:c>
      <x:c r="G1633" s="75" t="str">
        <x:f>IF('당기원장'!A633="","",'당기원장'!H633)</x:f>
      </x:c>
      <x:c r="H1633" s="73" t="str">
        <x:f>IF('당기원장'!A633="","",'당기원장'!I633)</x:f>
      </x:c>
      <x:c r="I1633" s="73" t="str">
        <x:f>IF('당기원장'!A633="","",'당기원장'!J633)</x:f>
      </x:c>
      <x:c r="J1633" s="73" t="str">
        <x:f>IF('당기원장'!A633="","",'당기원장'!K633)</x:f>
      </x:c>
      <x:c r="K1633" s="73" t="str">
        <x:f>IF(B1633="","",IF(COUNTIF($B$5:B1633,B1633)=1,COUNT($K$4:K1632)+1,""))</x:f>
      </x:c>
      <x:c r="L1633" s="85" t="str">
        <x:f>IF(B1633="","",IF(COUNTIFS('계정비교'!$A$5:$A$1004,B1633,'계정비교'!$H$5:$H$1004,"원인분석 대상")&gt;0,COUNT($L$4:L1632)+1,""))</x:f>
      </x:c>
    </x:row>
    <x:row r="1634">
      <x:c r="A1634" s="73" t="str">
        <x:f>IF('당기원장'!A634="","","당기")</x:f>
      </x:c>
      <x:c r="B1634" s="73" t="str">
        <x:f>IF('당기원장'!A634="","",'당기원장'!A634)</x:f>
      </x:c>
      <x:c r="C1634" s="73" t="str">
        <x:f>IF('당기원장'!A634="","",'당기원장'!B634)</x:f>
      </x:c>
      <x:c r="D1634" s="74" t="str">
        <x:f>IF('당기원장'!A634="","",'당기원장'!C634)</x:f>
      </x:c>
      <x:c r="E1634" s="73" t="str">
        <x:f>IF('당기원장'!A634="","",'당기원장'!D634)</x:f>
      </x:c>
      <x:c r="F1634" s="73" t="str">
        <x:f>IF('당기원장'!A634="","",'당기원장'!E634)</x:f>
      </x:c>
      <x:c r="G1634" s="75" t="str">
        <x:f>IF('당기원장'!A634="","",'당기원장'!H634)</x:f>
      </x:c>
      <x:c r="H1634" s="73" t="str">
        <x:f>IF('당기원장'!A634="","",'당기원장'!I634)</x:f>
      </x:c>
      <x:c r="I1634" s="73" t="str">
        <x:f>IF('당기원장'!A634="","",'당기원장'!J634)</x:f>
      </x:c>
      <x:c r="J1634" s="73" t="str">
        <x:f>IF('당기원장'!A634="","",'당기원장'!K634)</x:f>
      </x:c>
      <x:c r="K1634" s="73" t="str">
        <x:f>IF(B1634="","",IF(COUNTIF($B$5:B1634,B1634)=1,COUNT($K$4:K1633)+1,""))</x:f>
      </x:c>
      <x:c r="L1634" s="85" t="str">
        <x:f>IF(B1634="","",IF(COUNTIFS('계정비교'!$A$5:$A$1004,B1634,'계정비교'!$H$5:$H$1004,"원인분석 대상")&gt;0,COUNT($L$4:L1633)+1,""))</x:f>
      </x:c>
    </x:row>
    <x:row r="1635">
      <x:c r="A1635" s="73" t="str">
        <x:f>IF('당기원장'!A635="","","당기")</x:f>
      </x:c>
      <x:c r="B1635" s="73" t="str">
        <x:f>IF('당기원장'!A635="","",'당기원장'!A635)</x:f>
      </x:c>
      <x:c r="C1635" s="73" t="str">
        <x:f>IF('당기원장'!A635="","",'당기원장'!B635)</x:f>
      </x:c>
      <x:c r="D1635" s="74" t="str">
        <x:f>IF('당기원장'!A635="","",'당기원장'!C635)</x:f>
      </x:c>
      <x:c r="E1635" s="73" t="str">
        <x:f>IF('당기원장'!A635="","",'당기원장'!D635)</x:f>
      </x:c>
      <x:c r="F1635" s="73" t="str">
        <x:f>IF('당기원장'!A635="","",'당기원장'!E635)</x:f>
      </x:c>
      <x:c r="G1635" s="75" t="str">
        <x:f>IF('당기원장'!A635="","",'당기원장'!H635)</x:f>
      </x:c>
      <x:c r="H1635" s="73" t="str">
        <x:f>IF('당기원장'!A635="","",'당기원장'!I635)</x:f>
      </x:c>
      <x:c r="I1635" s="73" t="str">
        <x:f>IF('당기원장'!A635="","",'당기원장'!J635)</x:f>
      </x:c>
      <x:c r="J1635" s="73" t="str">
        <x:f>IF('당기원장'!A635="","",'당기원장'!K635)</x:f>
      </x:c>
      <x:c r="K1635" s="73" t="str">
        <x:f>IF(B1635="","",IF(COUNTIF($B$5:B1635,B1635)=1,COUNT($K$4:K1634)+1,""))</x:f>
      </x:c>
      <x:c r="L1635" s="85" t="str">
        <x:f>IF(B1635="","",IF(COUNTIFS('계정비교'!$A$5:$A$1004,B1635,'계정비교'!$H$5:$H$1004,"원인분석 대상")&gt;0,COUNT($L$4:L1634)+1,""))</x:f>
      </x:c>
    </x:row>
    <x:row r="1636">
      <x:c r="A1636" s="73" t="str">
        <x:f>IF('당기원장'!A636="","","당기")</x:f>
      </x:c>
      <x:c r="B1636" s="73" t="str">
        <x:f>IF('당기원장'!A636="","",'당기원장'!A636)</x:f>
      </x:c>
      <x:c r="C1636" s="73" t="str">
        <x:f>IF('당기원장'!A636="","",'당기원장'!B636)</x:f>
      </x:c>
      <x:c r="D1636" s="74" t="str">
        <x:f>IF('당기원장'!A636="","",'당기원장'!C636)</x:f>
      </x:c>
      <x:c r="E1636" s="73" t="str">
        <x:f>IF('당기원장'!A636="","",'당기원장'!D636)</x:f>
      </x:c>
      <x:c r="F1636" s="73" t="str">
        <x:f>IF('당기원장'!A636="","",'당기원장'!E636)</x:f>
      </x:c>
      <x:c r="G1636" s="75" t="str">
        <x:f>IF('당기원장'!A636="","",'당기원장'!H636)</x:f>
      </x:c>
      <x:c r="H1636" s="73" t="str">
        <x:f>IF('당기원장'!A636="","",'당기원장'!I636)</x:f>
      </x:c>
      <x:c r="I1636" s="73" t="str">
        <x:f>IF('당기원장'!A636="","",'당기원장'!J636)</x:f>
      </x:c>
      <x:c r="J1636" s="73" t="str">
        <x:f>IF('당기원장'!A636="","",'당기원장'!K636)</x:f>
      </x:c>
      <x:c r="K1636" s="73" t="str">
        <x:f>IF(B1636="","",IF(COUNTIF($B$5:B1636,B1636)=1,COUNT($K$4:K1635)+1,""))</x:f>
      </x:c>
      <x:c r="L1636" s="85" t="str">
        <x:f>IF(B1636="","",IF(COUNTIFS('계정비교'!$A$5:$A$1004,B1636,'계정비교'!$H$5:$H$1004,"원인분석 대상")&gt;0,COUNT($L$4:L1635)+1,""))</x:f>
      </x:c>
    </x:row>
    <x:row r="1637">
      <x:c r="A1637" s="73" t="str">
        <x:f>IF('당기원장'!A637="","","당기")</x:f>
      </x:c>
      <x:c r="B1637" s="73" t="str">
        <x:f>IF('당기원장'!A637="","",'당기원장'!A637)</x:f>
      </x:c>
      <x:c r="C1637" s="73" t="str">
        <x:f>IF('당기원장'!A637="","",'당기원장'!B637)</x:f>
      </x:c>
      <x:c r="D1637" s="74" t="str">
        <x:f>IF('당기원장'!A637="","",'당기원장'!C637)</x:f>
      </x:c>
      <x:c r="E1637" s="73" t="str">
        <x:f>IF('당기원장'!A637="","",'당기원장'!D637)</x:f>
      </x:c>
      <x:c r="F1637" s="73" t="str">
        <x:f>IF('당기원장'!A637="","",'당기원장'!E637)</x:f>
      </x:c>
      <x:c r="G1637" s="75" t="str">
        <x:f>IF('당기원장'!A637="","",'당기원장'!H637)</x:f>
      </x:c>
      <x:c r="H1637" s="73" t="str">
        <x:f>IF('당기원장'!A637="","",'당기원장'!I637)</x:f>
      </x:c>
      <x:c r="I1637" s="73" t="str">
        <x:f>IF('당기원장'!A637="","",'당기원장'!J637)</x:f>
      </x:c>
      <x:c r="J1637" s="73" t="str">
        <x:f>IF('당기원장'!A637="","",'당기원장'!K637)</x:f>
      </x:c>
      <x:c r="K1637" s="73" t="str">
        <x:f>IF(B1637="","",IF(COUNTIF($B$5:B1637,B1637)=1,COUNT($K$4:K1636)+1,""))</x:f>
      </x:c>
      <x:c r="L1637" s="85" t="str">
        <x:f>IF(B1637="","",IF(COUNTIFS('계정비교'!$A$5:$A$1004,B1637,'계정비교'!$H$5:$H$1004,"원인분석 대상")&gt;0,COUNT($L$4:L1636)+1,""))</x:f>
      </x:c>
    </x:row>
    <x:row r="1638">
      <x:c r="A1638" s="73" t="str">
        <x:f>IF('당기원장'!A638="","","당기")</x:f>
      </x:c>
      <x:c r="B1638" s="73" t="str">
        <x:f>IF('당기원장'!A638="","",'당기원장'!A638)</x:f>
      </x:c>
      <x:c r="C1638" s="73" t="str">
        <x:f>IF('당기원장'!A638="","",'당기원장'!B638)</x:f>
      </x:c>
      <x:c r="D1638" s="74" t="str">
        <x:f>IF('당기원장'!A638="","",'당기원장'!C638)</x:f>
      </x:c>
      <x:c r="E1638" s="73" t="str">
        <x:f>IF('당기원장'!A638="","",'당기원장'!D638)</x:f>
      </x:c>
      <x:c r="F1638" s="73" t="str">
        <x:f>IF('당기원장'!A638="","",'당기원장'!E638)</x:f>
      </x:c>
      <x:c r="G1638" s="75" t="str">
        <x:f>IF('당기원장'!A638="","",'당기원장'!H638)</x:f>
      </x:c>
      <x:c r="H1638" s="73" t="str">
        <x:f>IF('당기원장'!A638="","",'당기원장'!I638)</x:f>
      </x:c>
      <x:c r="I1638" s="73" t="str">
        <x:f>IF('당기원장'!A638="","",'당기원장'!J638)</x:f>
      </x:c>
      <x:c r="J1638" s="73" t="str">
        <x:f>IF('당기원장'!A638="","",'당기원장'!K638)</x:f>
      </x:c>
      <x:c r="K1638" s="73" t="str">
        <x:f>IF(B1638="","",IF(COUNTIF($B$5:B1638,B1638)=1,COUNT($K$4:K1637)+1,""))</x:f>
      </x:c>
      <x:c r="L1638" s="85" t="str">
        <x:f>IF(B1638="","",IF(COUNTIFS('계정비교'!$A$5:$A$1004,B1638,'계정비교'!$H$5:$H$1004,"원인분석 대상")&gt;0,COUNT($L$4:L1637)+1,""))</x:f>
      </x:c>
    </x:row>
    <x:row r="1639">
      <x:c r="A1639" s="73" t="str">
        <x:f>IF('당기원장'!A639="","","당기")</x:f>
      </x:c>
      <x:c r="B1639" s="73" t="str">
        <x:f>IF('당기원장'!A639="","",'당기원장'!A639)</x:f>
      </x:c>
      <x:c r="C1639" s="73" t="str">
        <x:f>IF('당기원장'!A639="","",'당기원장'!B639)</x:f>
      </x:c>
      <x:c r="D1639" s="74" t="str">
        <x:f>IF('당기원장'!A639="","",'당기원장'!C639)</x:f>
      </x:c>
      <x:c r="E1639" s="73" t="str">
        <x:f>IF('당기원장'!A639="","",'당기원장'!D639)</x:f>
      </x:c>
      <x:c r="F1639" s="73" t="str">
        <x:f>IF('당기원장'!A639="","",'당기원장'!E639)</x:f>
      </x:c>
      <x:c r="G1639" s="75" t="str">
        <x:f>IF('당기원장'!A639="","",'당기원장'!H639)</x:f>
      </x:c>
      <x:c r="H1639" s="73" t="str">
        <x:f>IF('당기원장'!A639="","",'당기원장'!I639)</x:f>
      </x:c>
      <x:c r="I1639" s="73" t="str">
        <x:f>IF('당기원장'!A639="","",'당기원장'!J639)</x:f>
      </x:c>
      <x:c r="J1639" s="73" t="str">
        <x:f>IF('당기원장'!A639="","",'당기원장'!K639)</x:f>
      </x:c>
      <x:c r="K1639" s="73" t="str">
        <x:f>IF(B1639="","",IF(COUNTIF($B$5:B1639,B1639)=1,COUNT($K$4:K1638)+1,""))</x:f>
      </x:c>
      <x:c r="L1639" s="85" t="str">
        <x:f>IF(B1639="","",IF(COUNTIFS('계정비교'!$A$5:$A$1004,B1639,'계정비교'!$H$5:$H$1004,"원인분석 대상")&gt;0,COUNT($L$4:L1638)+1,""))</x:f>
      </x:c>
    </x:row>
    <x:row r="1640">
      <x:c r="A1640" s="73" t="str">
        <x:f>IF('당기원장'!A640="","","당기")</x:f>
      </x:c>
      <x:c r="B1640" s="73" t="str">
        <x:f>IF('당기원장'!A640="","",'당기원장'!A640)</x:f>
      </x:c>
      <x:c r="C1640" s="73" t="str">
        <x:f>IF('당기원장'!A640="","",'당기원장'!B640)</x:f>
      </x:c>
      <x:c r="D1640" s="74" t="str">
        <x:f>IF('당기원장'!A640="","",'당기원장'!C640)</x:f>
      </x:c>
      <x:c r="E1640" s="73" t="str">
        <x:f>IF('당기원장'!A640="","",'당기원장'!D640)</x:f>
      </x:c>
      <x:c r="F1640" s="73" t="str">
        <x:f>IF('당기원장'!A640="","",'당기원장'!E640)</x:f>
      </x:c>
      <x:c r="G1640" s="75" t="str">
        <x:f>IF('당기원장'!A640="","",'당기원장'!H640)</x:f>
      </x:c>
      <x:c r="H1640" s="73" t="str">
        <x:f>IF('당기원장'!A640="","",'당기원장'!I640)</x:f>
      </x:c>
      <x:c r="I1640" s="73" t="str">
        <x:f>IF('당기원장'!A640="","",'당기원장'!J640)</x:f>
      </x:c>
      <x:c r="J1640" s="73" t="str">
        <x:f>IF('당기원장'!A640="","",'당기원장'!K640)</x:f>
      </x:c>
      <x:c r="K1640" s="73" t="str">
        <x:f>IF(B1640="","",IF(COUNTIF($B$5:B1640,B1640)=1,COUNT($K$4:K1639)+1,""))</x:f>
      </x:c>
      <x:c r="L1640" s="85" t="str">
        <x:f>IF(B1640="","",IF(COUNTIFS('계정비교'!$A$5:$A$1004,B1640,'계정비교'!$H$5:$H$1004,"원인분석 대상")&gt;0,COUNT($L$4:L1639)+1,""))</x:f>
      </x:c>
    </x:row>
    <x:row r="1641">
      <x:c r="A1641" s="73" t="str">
        <x:f>IF('당기원장'!A641="","","당기")</x:f>
      </x:c>
      <x:c r="B1641" s="73" t="str">
        <x:f>IF('당기원장'!A641="","",'당기원장'!A641)</x:f>
      </x:c>
      <x:c r="C1641" s="73" t="str">
        <x:f>IF('당기원장'!A641="","",'당기원장'!B641)</x:f>
      </x:c>
      <x:c r="D1641" s="74" t="str">
        <x:f>IF('당기원장'!A641="","",'당기원장'!C641)</x:f>
      </x:c>
      <x:c r="E1641" s="73" t="str">
        <x:f>IF('당기원장'!A641="","",'당기원장'!D641)</x:f>
      </x:c>
      <x:c r="F1641" s="73" t="str">
        <x:f>IF('당기원장'!A641="","",'당기원장'!E641)</x:f>
      </x:c>
      <x:c r="G1641" s="75" t="str">
        <x:f>IF('당기원장'!A641="","",'당기원장'!H641)</x:f>
      </x:c>
      <x:c r="H1641" s="73" t="str">
        <x:f>IF('당기원장'!A641="","",'당기원장'!I641)</x:f>
      </x:c>
      <x:c r="I1641" s="73" t="str">
        <x:f>IF('당기원장'!A641="","",'당기원장'!J641)</x:f>
      </x:c>
      <x:c r="J1641" s="73" t="str">
        <x:f>IF('당기원장'!A641="","",'당기원장'!K641)</x:f>
      </x:c>
      <x:c r="K1641" s="73" t="str">
        <x:f>IF(B1641="","",IF(COUNTIF($B$5:B1641,B1641)=1,COUNT($K$4:K1640)+1,""))</x:f>
      </x:c>
      <x:c r="L1641" s="85" t="str">
        <x:f>IF(B1641="","",IF(COUNTIFS('계정비교'!$A$5:$A$1004,B1641,'계정비교'!$H$5:$H$1004,"원인분석 대상")&gt;0,COUNT($L$4:L1640)+1,""))</x:f>
      </x:c>
    </x:row>
    <x:row r="1642">
      <x:c r="A1642" s="73" t="str">
        <x:f>IF('당기원장'!A642="","","당기")</x:f>
      </x:c>
      <x:c r="B1642" s="73" t="str">
        <x:f>IF('당기원장'!A642="","",'당기원장'!A642)</x:f>
      </x:c>
      <x:c r="C1642" s="73" t="str">
        <x:f>IF('당기원장'!A642="","",'당기원장'!B642)</x:f>
      </x:c>
      <x:c r="D1642" s="74" t="str">
        <x:f>IF('당기원장'!A642="","",'당기원장'!C642)</x:f>
      </x:c>
      <x:c r="E1642" s="73" t="str">
        <x:f>IF('당기원장'!A642="","",'당기원장'!D642)</x:f>
      </x:c>
      <x:c r="F1642" s="73" t="str">
        <x:f>IF('당기원장'!A642="","",'당기원장'!E642)</x:f>
      </x:c>
      <x:c r="G1642" s="75" t="str">
        <x:f>IF('당기원장'!A642="","",'당기원장'!H642)</x:f>
      </x:c>
      <x:c r="H1642" s="73" t="str">
        <x:f>IF('당기원장'!A642="","",'당기원장'!I642)</x:f>
      </x:c>
      <x:c r="I1642" s="73" t="str">
        <x:f>IF('당기원장'!A642="","",'당기원장'!J642)</x:f>
      </x:c>
      <x:c r="J1642" s="73" t="str">
        <x:f>IF('당기원장'!A642="","",'당기원장'!K642)</x:f>
      </x:c>
      <x:c r="K1642" s="73" t="str">
        <x:f>IF(B1642="","",IF(COUNTIF($B$5:B1642,B1642)=1,COUNT($K$4:K1641)+1,""))</x:f>
      </x:c>
      <x:c r="L1642" s="85" t="str">
        <x:f>IF(B1642="","",IF(COUNTIFS('계정비교'!$A$5:$A$1004,B1642,'계정비교'!$H$5:$H$1004,"원인분석 대상")&gt;0,COUNT($L$4:L1641)+1,""))</x:f>
      </x:c>
    </x:row>
    <x:row r="1643">
      <x:c r="A1643" s="73" t="str">
        <x:f>IF('당기원장'!A643="","","당기")</x:f>
      </x:c>
      <x:c r="B1643" s="73" t="str">
        <x:f>IF('당기원장'!A643="","",'당기원장'!A643)</x:f>
      </x:c>
      <x:c r="C1643" s="73" t="str">
        <x:f>IF('당기원장'!A643="","",'당기원장'!B643)</x:f>
      </x:c>
      <x:c r="D1643" s="74" t="str">
        <x:f>IF('당기원장'!A643="","",'당기원장'!C643)</x:f>
      </x:c>
      <x:c r="E1643" s="73" t="str">
        <x:f>IF('당기원장'!A643="","",'당기원장'!D643)</x:f>
      </x:c>
      <x:c r="F1643" s="73" t="str">
        <x:f>IF('당기원장'!A643="","",'당기원장'!E643)</x:f>
      </x:c>
      <x:c r="G1643" s="75" t="str">
        <x:f>IF('당기원장'!A643="","",'당기원장'!H643)</x:f>
      </x:c>
      <x:c r="H1643" s="73" t="str">
        <x:f>IF('당기원장'!A643="","",'당기원장'!I643)</x:f>
      </x:c>
      <x:c r="I1643" s="73" t="str">
        <x:f>IF('당기원장'!A643="","",'당기원장'!J643)</x:f>
      </x:c>
      <x:c r="J1643" s="73" t="str">
        <x:f>IF('당기원장'!A643="","",'당기원장'!K643)</x:f>
      </x:c>
      <x:c r="K1643" s="73" t="str">
        <x:f>IF(B1643="","",IF(COUNTIF($B$5:B1643,B1643)=1,COUNT($K$4:K1642)+1,""))</x:f>
      </x:c>
      <x:c r="L1643" s="85" t="str">
        <x:f>IF(B1643="","",IF(COUNTIFS('계정비교'!$A$5:$A$1004,B1643,'계정비교'!$H$5:$H$1004,"원인분석 대상")&gt;0,COUNT($L$4:L1642)+1,""))</x:f>
      </x:c>
    </x:row>
    <x:row r="1644">
      <x:c r="A1644" s="73" t="str">
        <x:f>IF('당기원장'!A644="","","당기")</x:f>
      </x:c>
      <x:c r="B1644" s="73" t="str">
        <x:f>IF('당기원장'!A644="","",'당기원장'!A644)</x:f>
      </x:c>
      <x:c r="C1644" s="73" t="str">
        <x:f>IF('당기원장'!A644="","",'당기원장'!B644)</x:f>
      </x:c>
      <x:c r="D1644" s="74" t="str">
        <x:f>IF('당기원장'!A644="","",'당기원장'!C644)</x:f>
      </x:c>
      <x:c r="E1644" s="73" t="str">
        <x:f>IF('당기원장'!A644="","",'당기원장'!D644)</x:f>
      </x:c>
      <x:c r="F1644" s="73" t="str">
        <x:f>IF('당기원장'!A644="","",'당기원장'!E644)</x:f>
      </x:c>
      <x:c r="G1644" s="75" t="str">
        <x:f>IF('당기원장'!A644="","",'당기원장'!H644)</x:f>
      </x:c>
      <x:c r="H1644" s="73" t="str">
        <x:f>IF('당기원장'!A644="","",'당기원장'!I644)</x:f>
      </x:c>
      <x:c r="I1644" s="73" t="str">
        <x:f>IF('당기원장'!A644="","",'당기원장'!J644)</x:f>
      </x:c>
      <x:c r="J1644" s="73" t="str">
        <x:f>IF('당기원장'!A644="","",'당기원장'!K644)</x:f>
      </x:c>
      <x:c r="K1644" s="73" t="str">
        <x:f>IF(B1644="","",IF(COUNTIF($B$5:B1644,B1644)=1,COUNT($K$4:K1643)+1,""))</x:f>
      </x:c>
      <x:c r="L1644" s="85" t="str">
        <x:f>IF(B1644="","",IF(COUNTIFS('계정비교'!$A$5:$A$1004,B1644,'계정비교'!$H$5:$H$1004,"원인분석 대상")&gt;0,COUNT($L$4:L1643)+1,""))</x:f>
      </x:c>
    </x:row>
    <x:row r="1645">
      <x:c r="A1645" s="73" t="str">
        <x:f>IF('당기원장'!A645="","","당기")</x:f>
      </x:c>
      <x:c r="B1645" s="73" t="str">
        <x:f>IF('당기원장'!A645="","",'당기원장'!A645)</x:f>
      </x:c>
      <x:c r="C1645" s="73" t="str">
        <x:f>IF('당기원장'!A645="","",'당기원장'!B645)</x:f>
      </x:c>
      <x:c r="D1645" s="74" t="str">
        <x:f>IF('당기원장'!A645="","",'당기원장'!C645)</x:f>
      </x:c>
      <x:c r="E1645" s="73" t="str">
        <x:f>IF('당기원장'!A645="","",'당기원장'!D645)</x:f>
      </x:c>
      <x:c r="F1645" s="73" t="str">
        <x:f>IF('당기원장'!A645="","",'당기원장'!E645)</x:f>
      </x:c>
      <x:c r="G1645" s="75" t="str">
        <x:f>IF('당기원장'!A645="","",'당기원장'!H645)</x:f>
      </x:c>
      <x:c r="H1645" s="73" t="str">
        <x:f>IF('당기원장'!A645="","",'당기원장'!I645)</x:f>
      </x:c>
      <x:c r="I1645" s="73" t="str">
        <x:f>IF('당기원장'!A645="","",'당기원장'!J645)</x:f>
      </x:c>
      <x:c r="J1645" s="73" t="str">
        <x:f>IF('당기원장'!A645="","",'당기원장'!K645)</x:f>
      </x:c>
      <x:c r="K1645" s="73" t="str">
        <x:f>IF(B1645="","",IF(COUNTIF($B$5:B1645,B1645)=1,COUNT($K$4:K1644)+1,""))</x:f>
      </x:c>
      <x:c r="L1645" s="85" t="str">
        <x:f>IF(B1645="","",IF(COUNTIFS('계정비교'!$A$5:$A$1004,B1645,'계정비교'!$H$5:$H$1004,"원인분석 대상")&gt;0,COUNT($L$4:L1644)+1,""))</x:f>
      </x:c>
    </x:row>
    <x:row r="1646">
      <x:c r="A1646" s="73" t="str">
        <x:f>IF('당기원장'!A646="","","당기")</x:f>
      </x:c>
      <x:c r="B1646" s="73" t="str">
        <x:f>IF('당기원장'!A646="","",'당기원장'!A646)</x:f>
      </x:c>
      <x:c r="C1646" s="73" t="str">
        <x:f>IF('당기원장'!A646="","",'당기원장'!B646)</x:f>
      </x:c>
      <x:c r="D1646" s="74" t="str">
        <x:f>IF('당기원장'!A646="","",'당기원장'!C646)</x:f>
      </x:c>
      <x:c r="E1646" s="73" t="str">
        <x:f>IF('당기원장'!A646="","",'당기원장'!D646)</x:f>
      </x:c>
      <x:c r="F1646" s="73" t="str">
        <x:f>IF('당기원장'!A646="","",'당기원장'!E646)</x:f>
      </x:c>
      <x:c r="G1646" s="75" t="str">
        <x:f>IF('당기원장'!A646="","",'당기원장'!H646)</x:f>
      </x:c>
      <x:c r="H1646" s="73" t="str">
        <x:f>IF('당기원장'!A646="","",'당기원장'!I646)</x:f>
      </x:c>
      <x:c r="I1646" s="73" t="str">
        <x:f>IF('당기원장'!A646="","",'당기원장'!J646)</x:f>
      </x:c>
      <x:c r="J1646" s="73" t="str">
        <x:f>IF('당기원장'!A646="","",'당기원장'!K646)</x:f>
      </x:c>
      <x:c r="K1646" s="73" t="str">
        <x:f>IF(B1646="","",IF(COUNTIF($B$5:B1646,B1646)=1,COUNT($K$4:K1645)+1,""))</x:f>
      </x:c>
      <x:c r="L1646" s="85" t="str">
        <x:f>IF(B1646="","",IF(COUNTIFS('계정비교'!$A$5:$A$1004,B1646,'계정비교'!$H$5:$H$1004,"원인분석 대상")&gt;0,COUNT($L$4:L1645)+1,""))</x:f>
      </x:c>
    </x:row>
    <x:row r="1647">
      <x:c r="A1647" s="73" t="str">
        <x:f>IF('당기원장'!A647="","","당기")</x:f>
      </x:c>
      <x:c r="B1647" s="73" t="str">
        <x:f>IF('당기원장'!A647="","",'당기원장'!A647)</x:f>
      </x:c>
      <x:c r="C1647" s="73" t="str">
        <x:f>IF('당기원장'!A647="","",'당기원장'!B647)</x:f>
      </x:c>
      <x:c r="D1647" s="74" t="str">
        <x:f>IF('당기원장'!A647="","",'당기원장'!C647)</x:f>
      </x:c>
      <x:c r="E1647" s="73" t="str">
        <x:f>IF('당기원장'!A647="","",'당기원장'!D647)</x:f>
      </x:c>
      <x:c r="F1647" s="73" t="str">
        <x:f>IF('당기원장'!A647="","",'당기원장'!E647)</x:f>
      </x:c>
      <x:c r="G1647" s="75" t="str">
        <x:f>IF('당기원장'!A647="","",'당기원장'!H647)</x:f>
      </x:c>
      <x:c r="H1647" s="73" t="str">
        <x:f>IF('당기원장'!A647="","",'당기원장'!I647)</x:f>
      </x:c>
      <x:c r="I1647" s="73" t="str">
        <x:f>IF('당기원장'!A647="","",'당기원장'!J647)</x:f>
      </x:c>
      <x:c r="J1647" s="73" t="str">
        <x:f>IF('당기원장'!A647="","",'당기원장'!K647)</x:f>
      </x:c>
      <x:c r="K1647" s="73" t="str">
        <x:f>IF(B1647="","",IF(COUNTIF($B$5:B1647,B1647)=1,COUNT($K$4:K1646)+1,""))</x:f>
      </x:c>
      <x:c r="L1647" s="85" t="str">
        <x:f>IF(B1647="","",IF(COUNTIFS('계정비교'!$A$5:$A$1004,B1647,'계정비교'!$H$5:$H$1004,"원인분석 대상")&gt;0,COUNT($L$4:L1646)+1,""))</x:f>
      </x:c>
    </x:row>
    <x:row r="1648">
      <x:c r="A1648" s="73" t="str">
        <x:f>IF('당기원장'!A648="","","당기")</x:f>
      </x:c>
      <x:c r="B1648" s="73" t="str">
        <x:f>IF('당기원장'!A648="","",'당기원장'!A648)</x:f>
      </x:c>
      <x:c r="C1648" s="73" t="str">
        <x:f>IF('당기원장'!A648="","",'당기원장'!B648)</x:f>
      </x:c>
      <x:c r="D1648" s="74" t="str">
        <x:f>IF('당기원장'!A648="","",'당기원장'!C648)</x:f>
      </x:c>
      <x:c r="E1648" s="73" t="str">
        <x:f>IF('당기원장'!A648="","",'당기원장'!D648)</x:f>
      </x:c>
      <x:c r="F1648" s="73" t="str">
        <x:f>IF('당기원장'!A648="","",'당기원장'!E648)</x:f>
      </x:c>
      <x:c r="G1648" s="75" t="str">
        <x:f>IF('당기원장'!A648="","",'당기원장'!H648)</x:f>
      </x:c>
      <x:c r="H1648" s="73" t="str">
        <x:f>IF('당기원장'!A648="","",'당기원장'!I648)</x:f>
      </x:c>
      <x:c r="I1648" s="73" t="str">
        <x:f>IF('당기원장'!A648="","",'당기원장'!J648)</x:f>
      </x:c>
      <x:c r="J1648" s="73" t="str">
        <x:f>IF('당기원장'!A648="","",'당기원장'!K648)</x:f>
      </x:c>
      <x:c r="K1648" s="73" t="str">
        <x:f>IF(B1648="","",IF(COUNTIF($B$5:B1648,B1648)=1,COUNT($K$4:K1647)+1,""))</x:f>
      </x:c>
      <x:c r="L1648" s="85" t="str">
        <x:f>IF(B1648="","",IF(COUNTIFS('계정비교'!$A$5:$A$1004,B1648,'계정비교'!$H$5:$H$1004,"원인분석 대상")&gt;0,COUNT($L$4:L1647)+1,""))</x:f>
      </x:c>
    </x:row>
    <x:row r="1649">
      <x:c r="A1649" s="73" t="str">
        <x:f>IF('당기원장'!A649="","","당기")</x:f>
      </x:c>
      <x:c r="B1649" s="73" t="str">
        <x:f>IF('당기원장'!A649="","",'당기원장'!A649)</x:f>
      </x:c>
      <x:c r="C1649" s="73" t="str">
        <x:f>IF('당기원장'!A649="","",'당기원장'!B649)</x:f>
      </x:c>
      <x:c r="D1649" s="74" t="str">
        <x:f>IF('당기원장'!A649="","",'당기원장'!C649)</x:f>
      </x:c>
      <x:c r="E1649" s="73" t="str">
        <x:f>IF('당기원장'!A649="","",'당기원장'!D649)</x:f>
      </x:c>
      <x:c r="F1649" s="73" t="str">
        <x:f>IF('당기원장'!A649="","",'당기원장'!E649)</x:f>
      </x:c>
      <x:c r="G1649" s="75" t="str">
        <x:f>IF('당기원장'!A649="","",'당기원장'!H649)</x:f>
      </x:c>
      <x:c r="H1649" s="73" t="str">
        <x:f>IF('당기원장'!A649="","",'당기원장'!I649)</x:f>
      </x:c>
      <x:c r="I1649" s="73" t="str">
        <x:f>IF('당기원장'!A649="","",'당기원장'!J649)</x:f>
      </x:c>
      <x:c r="J1649" s="73" t="str">
        <x:f>IF('당기원장'!A649="","",'당기원장'!K649)</x:f>
      </x:c>
      <x:c r="K1649" s="73" t="str">
        <x:f>IF(B1649="","",IF(COUNTIF($B$5:B1649,B1649)=1,COUNT($K$4:K1648)+1,""))</x:f>
      </x:c>
      <x:c r="L1649" s="85" t="str">
        <x:f>IF(B1649="","",IF(COUNTIFS('계정비교'!$A$5:$A$1004,B1649,'계정비교'!$H$5:$H$1004,"원인분석 대상")&gt;0,COUNT($L$4:L1648)+1,""))</x:f>
      </x:c>
    </x:row>
    <x:row r="1650">
      <x:c r="A1650" s="73" t="str">
        <x:f>IF('당기원장'!A650="","","당기")</x:f>
      </x:c>
      <x:c r="B1650" s="73" t="str">
        <x:f>IF('당기원장'!A650="","",'당기원장'!A650)</x:f>
      </x:c>
      <x:c r="C1650" s="73" t="str">
        <x:f>IF('당기원장'!A650="","",'당기원장'!B650)</x:f>
      </x:c>
      <x:c r="D1650" s="74" t="str">
        <x:f>IF('당기원장'!A650="","",'당기원장'!C650)</x:f>
      </x:c>
      <x:c r="E1650" s="73" t="str">
        <x:f>IF('당기원장'!A650="","",'당기원장'!D650)</x:f>
      </x:c>
      <x:c r="F1650" s="73" t="str">
        <x:f>IF('당기원장'!A650="","",'당기원장'!E650)</x:f>
      </x:c>
      <x:c r="G1650" s="75" t="str">
        <x:f>IF('당기원장'!A650="","",'당기원장'!H650)</x:f>
      </x:c>
      <x:c r="H1650" s="73" t="str">
        <x:f>IF('당기원장'!A650="","",'당기원장'!I650)</x:f>
      </x:c>
      <x:c r="I1650" s="73" t="str">
        <x:f>IF('당기원장'!A650="","",'당기원장'!J650)</x:f>
      </x:c>
      <x:c r="J1650" s="73" t="str">
        <x:f>IF('당기원장'!A650="","",'당기원장'!K650)</x:f>
      </x:c>
      <x:c r="K1650" s="73" t="str">
        <x:f>IF(B1650="","",IF(COUNTIF($B$5:B1650,B1650)=1,COUNT($K$4:K1649)+1,""))</x:f>
      </x:c>
      <x:c r="L1650" s="85" t="str">
        <x:f>IF(B1650="","",IF(COUNTIFS('계정비교'!$A$5:$A$1004,B1650,'계정비교'!$H$5:$H$1004,"원인분석 대상")&gt;0,COUNT($L$4:L1649)+1,""))</x:f>
      </x:c>
    </x:row>
    <x:row r="1651">
      <x:c r="A1651" s="73" t="str">
        <x:f>IF('당기원장'!A651="","","당기")</x:f>
      </x:c>
      <x:c r="B1651" s="73" t="str">
        <x:f>IF('당기원장'!A651="","",'당기원장'!A651)</x:f>
      </x:c>
      <x:c r="C1651" s="73" t="str">
        <x:f>IF('당기원장'!A651="","",'당기원장'!B651)</x:f>
      </x:c>
      <x:c r="D1651" s="74" t="str">
        <x:f>IF('당기원장'!A651="","",'당기원장'!C651)</x:f>
      </x:c>
      <x:c r="E1651" s="73" t="str">
        <x:f>IF('당기원장'!A651="","",'당기원장'!D651)</x:f>
      </x:c>
      <x:c r="F1651" s="73" t="str">
        <x:f>IF('당기원장'!A651="","",'당기원장'!E651)</x:f>
      </x:c>
      <x:c r="G1651" s="75" t="str">
        <x:f>IF('당기원장'!A651="","",'당기원장'!H651)</x:f>
      </x:c>
      <x:c r="H1651" s="73" t="str">
        <x:f>IF('당기원장'!A651="","",'당기원장'!I651)</x:f>
      </x:c>
      <x:c r="I1651" s="73" t="str">
        <x:f>IF('당기원장'!A651="","",'당기원장'!J651)</x:f>
      </x:c>
      <x:c r="J1651" s="73" t="str">
        <x:f>IF('당기원장'!A651="","",'당기원장'!K651)</x:f>
      </x:c>
      <x:c r="K1651" s="73" t="str">
        <x:f>IF(B1651="","",IF(COUNTIF($B$5:B1651,B1651)=1,COUNT($K$4:K1650)+1,""))</x:f>
      </x:c>
      <x:c r="L1651" s="85" t="str">
        <x:f>IF(B1651="","",IF(COUNTIFS('계정비교'!$A$5:$A$1004,B1651,'계정비교'!$H$5:$H$1004,"원인분석 대상")&gt;0,COUNT($L$4:L1650)+1,""))</x:f>
      </x:c>
    </x:row>
    <x:row r="1652">
      <x:c r="A1652" s="73" t="str">
        <x:f>IF('당기원장'!A652="","","당기")</x:f>
      </x:c>
      <x:c r="B1652" s="73" t="str">
        <x:f>IF('당기원장'!A652="","",'당기원장'!A652)</x:f>
      </x:c>
      <x:c r="C1652" s="73" t="str">
        <x:f>IF('당기원장'!A652="","",'당기원장'!B652)</x:f>
      </x:c>
      <x:c r="D1652" s="74" t="str">
        <x:f>IF('당기원장'!A652="","",'당기원장'!C652)</x:f>
      </x:c>
      <x:c r="E1652" s="73" t="str">
        <x:f>IF('당기원장'!A652="","",'당기원장'!D652)</x:f>
      </x:c>
      <x:c r="F1652" s="73" t="str">
        <x:f>IF('당기원장'!A652="","",'당기원장'!E652)</x:f>
      </x:c>
      <x:c r="G1652" s="75" t="str">
        <x:f>IF('당기원장'!A652="","",'당기원장'!H652)</x:f>
      </x:c>
      <x:c r="H1652" s="73" t="str">
        <x:f>IF('당기원장'!A652="","",'당기원장'!I652)</x:f>
      </x:c>
      <x:c r="I1652" s="73" t="str">
        <x:f>IF('당기원장'!A652="","",'당기원장'!J652)</x:f>
      </x:c>
      <x:c r="J1652" s="73" t="str">
        <x:f>IF('당기원장'!A652="","",'당기원장'!K652)</x:f>
      </x:c>
      <x:c r="K1652" s="73" t="str">
        <x:f>IF(B1652="","",IF(COUNTIF($B$5:B1652,B1652)=1,COUNT($K$4:K1651)+1,""))</x:f>
      </x:c>
      <x:c r="L1652" s="85" t="str">
        <x:f>IF(B1652="","",IF(COUNTIFS('계정비교'!$A$5:$A$1004,B1652,'계정비교'!$H$5:$H$1004,"원인분석 대상")&gt;0,COUNT($L$4:L1651)+1,""))</x:f>
      </x:c>
    </x:row>
    <x:row r="1653">
      <x:c r="A1653" s="73" t="str">
        <x:f>IF('당기원장'!A653="","","당기")</x:f>
      </x:c>
      <x:c r="B1653" s="73" t="str">
        <x:f>IF('당기원장'!A653="","",'당기원장'!A653)</x:f>
      </x:c>
      <x:c r="C1653" s="73" t="str">
        <x:f>IF('당기원장'!A653="","",'당기원장'!B653)</x:f>
      </x:c>
      <x:c r="D1653" s="74" t="str">
        <x:f>IF('당기원장'!A653="","",'당기원장'!C653)</x:f>
      </x:c>
      <x:c r="E1653" s="73" t="str">
        <x:f>IF('당기원장'!A653="","",'당기원장'!D653)</x:f>
      </x:c>
      <x:c r="F1653" s="73" t="str">
        <x:f>IF('당기원장'!A653="","",'당기원장'!E653)</x:f>
      </x:c>
      <x:c r="G1653" s="75" t="str">
        <x:f>IF('당기원장'!A653="","",'당기원장'!H653)</x:f>
      </x:c>
      <x:c r="H1653" s="73" t="str">
        <x:f>IF('당기원장'!A653="","",'당기원장'!I653)</x:f>
      </x:c>
      <x:c r="I1653" s="73" t="str">
        <x:f>IF('당기원장'!A653="","",'당기원장'!J653)</x:f>
      </x:c>
      <x:c r="J1653" s="73" t="str">
        <x:f>IF('당기원장'!A653="","",'당기원장'!K653)</x:f>
      </x:c>
      <x:c r="K1653" s="73" t="str">
        <x:f>IF(B1653="","",IF(COUNTIF($B$5:B1653,B1653)=1,COUNT($K$4:K1652)+1,""))</x:f>
      </x:c>
      <x:c r="L1653" s="85" t="str">
        <x:f>IF(B1653="","",IF(COUNTIFS('계정비교'!$A$5:$A$1004,B1653,'계정비교'!$H$5:$H$1004,"원인분석 대상")&gt;0,COUNT($L$4:L1652)+1,""))</x:f>
      </x:c>
    </x:row>
    <x:row r="1654">
      <x:c r="A1654" s="73" t="str">
        <x:f>IF('당기원장'!A654="","","당기")</x:f>
      </x:c>
      <x:c r="B1654" s="73" t="str">
        <x:f>IF('당기원장'!A654="","",'당기원장'!A654)</x:f>
      </x:c>
      <x:c r="C1654" s="73" t="str">
        <x:f>IF('당기원장'!A654="","",'당기원장'!B654)</x:f>
      </x:c>
      <x:c r="D1654" s="74" t="str">
        <x:f>IF('당기원장'!A654="","",'당기원장'!C654)</x:f>
      </x:c>
      <x:c r="E1654" s="73" t="str">
        <x:f>IF('당기원장'!A654="","",'당기원장'!D654)</x:f>
      </x:c>
      <x:c r="F1654" s="73" t="str">
        <x:f>IF('당기원장'!A654="","",'당기원장'!E654)</x:f>
      </x:c>
      <x:c r="G1654" s="75" t="str">
        <x:f>IF('당기원장'!A654="","",'당기원장'!H654)</x:f>
      </x:c>
      <x:c r="H1654" s="73" t="str">
        <x:f>IF('당기원장'!A654="","",'당기원장'!I654)</x:f>
      </x:c>
      <x:c r="I1654" s="73" t="str">
        <x:f>IF('당기원장'!A654="","",'당기원장'!J654)</x:f>
      </x:c>
      <x:c r="J1654" s="73" t="str">
        <x:f>IF('당기원장'!A654="","",'당기원장'!K654)</x:f>
      </x:c>
      <x:c r="K1654" s="73" t="str">
        <x:f>IF(B1654="","",IF(COUNTIF($B$5:B1654,B1654)=1,COUNT($K$4:K1653)+1,""))</x:f>
      </x:c>
      <x:c r="L1654" s="85" t="str">
        <x:f>IF(B1654="","",IF(COUNTIFS('계정비교'!$A$5:$A$1004,B1654,'계정비교'!$H$5:$H$1004,"원인분석 대상")&gt;0,COUNT($L$4:L1653)+1,""))</x:f>
      </x:c>
    </x:row>
    <x:row r="1655">
      <x:c r="A1655" s="73" t="str">
        <x:f>IF('당기원장'!A655="","","당기")</x:f>
      </x:c>
      <x:c r="B1655" s="73" t="str">
        <x:f>IF('당기원장'!A655="","",'당기원장'!A655)</x:f>
      </x:c>
      <x:c r="C1655" s="73" t="str">
        <x:f>IF('당기원장'!A655="","",'당기원장'!B655)</x:f>
      </x:c>
      <x:c r="D1655" s="74" t="str">
        <x:f>IF('당기원장'!A655="","",'당기원장'!C655)</x:f>
      </x:c>
      <x:c r="E1655" s="73" t="str">
        <x:f>IF('당기원장'!A655="","",'당기원장'!D655)</x:f>
      </x:c>
      <x:c r="F1655" s="73" t="str">
        <x:f>IF('당기원장'!A655="","",'당기원장'!E655)</x:f>
      </x:c>
      <x:c r="G1655" s="75" t="str">
        <x:f>IF('당기원장'!A655="","",'당기원장'!H655)</x:f>
      </x:c>
      <x:c r="H1655" s="73" t="str">
        <x:f>IF('당기원장'!A655="","",'당기원장'!I655)</x:f>
      </x:c>
      <x:c r="I1655" s="73" t="str">
        <x:f>IF('당기원장'!A655="","",'당기원장'!J655)</x:f>
      </x:c>
      <x:c r="J1655" s="73" t="str">
        <x:f>IF('당기원장'!A655="","",'당기원장'!K655)</x:f>
      </x:c>
      <x:c r="K1655" s="73" t="str">
        <x:f>IF(B1655="","",IF(COUNTIF($B$5:B1655,B1655)=1,COUNT($K$4:K1654)+1,""))</x:f>
      </x:c>
      <x:c r="L1655" s="85" t="str">
        <x:f>IF(B1655="","",IF(COUNTIFS('계정비교'!$A$5:$A$1004,B1655,'계정비교'!$H$5:$H$1004,"원인분석 대상")&gt;0,COUNT($L$4:L1654)+1,""))</x:f>
      </x:c>
    </x:row>
    <x:row r="1656">
      <x:c r="A1656" s="73" t="str">
        <x:f>IF('당기원장'!A656="","","당기")</x:f>
      </x:c>
      <x:c r="B1656" s="73" t="str">
        <x:f>IF('당기원장'!A656="","",'당기원장'!A656)</x:f>
      </x:c>
      <x:c r="C1656" s="73" t="str">
        <x:f>IF('당기원장'!A656="","",'당기원장'!B656)</x:f>
      </x:c>
      <x:c r="D1656" s="74" t="str">
        <x:f>IF('당기원장'!A656="","",'당기원장'!C656)</x:f>
      </x:c>
      <x:c r="E1656" s="73" t="str">
        <x:f>IF('당기원장'!A656="","",'당기원장'!D656)</x:f>
      </x:c>
      <x:c r="F1656" s="73" t="str">
        <x:f>IF('당기원장'!A656="","",'당기원장'!E656)</x:f>
      </x:c>
      <x:c r="G1656" s="75" t="str">
        <x:f>IF('당기원장'!A656="","",'당기원장'!H656)</x:f>
      </x:c>
      <x:c r="H1656" s="73" t="str">
        <x:f>IF('당기원장'!A656="","",'당기원장'!I656)</x:f>
      </x:c>
      <x:c r="I1656" s="73" t="str">
        <x:f>IF('당기원장'!A656="","",'당기원장'!J656)</x:f>
      </x:c>
      <x:c r="J1656" s="73" t="str">
        <x:f>IF('당기원장'!A656="","",'당기원장'!K656)</x:f>
      </x:c>
      <x:c r="K1656" s="73" t="str">
        <x:f>IF(B1656="","",IF(COUNTIF($B$5:B1656,B1656)=1,COUNT($K$4:K1655)+1,""))</x:f>
      </x:c>
      <x:c r="L1656" s="85" t="str">
        <x:f>IF(B1656="","",IF(COUNTIFS('계정비교'!$A$5:$A$1004,B1656,'계정비교'!$H$5:$H$1004,"원인분석 대상")&gt;0,COUNT($L$4:L1655)+1,""))</x:f>
      </x:c>
    </x:row>
    <x:row r="1657">
      <x:c r="A1657" s="73" t="str">
        <x:f>IF('당기원장'!A657="","","당기")</x:f>
      </x:c>
      <x:c r="B1657" s="73" t="str">
        <x:f>IF('당기원장'!A657="","",'당기원장'!A657)</x:f>
      </x:c>
      <x:c r="C1657" s="73" t="str">
        <x:f>IF('당기원장'!A657="","",'당기원장'!B657)</x:f>
      </x:c>
      <x:c r="D1657" s="74" t="str">
        <x:f>IF('당기원장'!A657="","",'당기원장'!C657)</x:f>
      </x:c>
      <x:c r="E1657" s="73" t="str">
        <x:f>IF('당기원장'!A657="","",'당기원장'!D657)</x:f>
      </x:c>
      <x:c r="F1657" s="73" t="str">
        <x:f>IF('당기원장'!A657="","",'당기원장'!E657)</x:f>
      </x:c>
      <x:c r="G1657" s="75" t="str">
        <x:f>IF('당기원장'!A657="","",'당기원장'!H657)</x:f>
      </x:c>
      <x:c r="H1657" s="73" t="str">
        <x:f>IF('당기원장'!A657="","",'당기원장'!I657)</x:f>
      </x:c>
      <x:c r="I1657" s="73" t="str">
        <x:f>IF('당기원장'!A657="","",'당기원장'!J657)</x:f>
      </x:c>
      <x:c r="J1657" s="73" t="str">
        <x:f>IF('당기원장'!A657="","",'당기원장'!K657)</x:f>
      </x:c>
      <x:c r="K1657" s="73" t="str">
        <x:f>IF(B1657="","",IF(COUNTIF($B$5:B1657,B1657)=1,COUNT($K$4:K1656)+1,""))</x:f>
      </x:c>
      <x:c r="L1657" s="85" t="str">
        <x:f>IF(B1657="","",IF(COUNTIFS('계정비교'!$A$5:$A$1004,B1657,'계정비교'!$H$5:$H$1004,"원인분석 대상")&gt;0,COUNT($L$4:L1656)+1,""))</x:f>
      </x:c>
    </x:row>
    <x:row r="1658">
      <x:c r="A1658" s="73" t="str">
        <x:f>IF('당기원장'!A658="","","당기")</x:f>
      </x:c>
      <x:c r="B1658" s="73" t="str">
        <x:f>IF('당기원장'!A658="","",'당기원장'!A658)</x:f>
      </x:c>
      <x:c r="C1658" s="73" t="str">
        <x:f>IF('당기원장'!A658="","",'당기원장'!B658)</x:f>
      </x:c>
      <x:c r="D1658" s="74" t="str">
        <x:f>IF('당기원장'!A658="","",'당기원장'!C658)</x:f>
      </x:c>
      <x:c r="E1658" s="73" t="str">
        <x:f>IF('당기원장'!A658="","",'당기원장'!D658)</x:f>
      </x:c>
      <x:c r="F1658" s="73" t="str">
        <x:f>IF('당기원장'!A658="","",'당기원장'!E658)</x:f>
      </x:c>
      <x:c r="G1658" s="75" t="str">
        <x:f>IF('당기원장'!A658="","",'당기원장'!H658)</x:f>
      </x:c>
      <x:c r="H1658" s="73" t="str">
        <x:f>IF('당기원장'!A658="","",'당기원장'!I658)</x:f>
      </x:c>
      <x:c r="I1658" s="73" t="str">
        <x:f>IF('당기원장'!A658="","",'당기원장'!J658)</x:f>
      </x:c>
      <x:c r="J1658" s="73" t="str">
        <x:f>IF('당기원장'!A658="","",'당기원장'!K658)</x:f>
      </x:c>
      <x:c r="K1658" s="73" t="str">
        <x:f>IF(B1658="","",IF(COUNTIF($B$5:B1658,B1658)=1,COUNT($K$4:K1657)+1,""))</x:f>
      </x:c>
      <x:c r="L1658" s="85" t="str">
        <x:f>IF(B1658="","",IF(COUNTIFS('계정비교'!$A$5:$A$1004,B1658,'계정비교'!$H$5:$H$1004,"원인분석 대상")&gt;0,COUNT($L$4:L1657)+1,""))</x:f>
      </x:c>
    </x:row>
    <x:row r="1659">
      <x:c r="A1659" s="73" t="str">
        <x:f>IF('당기원장'!A659="","","당기")</x:f>
      </x:c>
      <x:c r="B1659" s="73" t="str">
        <x:f>IF('당기원장'!A659="","",'당기원장'!A659)</x:f>
      </x:c>
      <x:c r="C1659" s="73" t="str">
        <x:f>IF('당기원장'!A659="","",'당기원장'!B659)</x:f>
      </x:c>
      <x:c r="D1659" s="74" t="str">
        <x:f>IF('당기원장'!A659="","",'당기원장'!C659)</x:f>
      </x:c>
      <x:c r="E1659" s="73" t="str">
        <x:f>IF('당기원장'!A659="","",'당기원장'!D659)</x:f>
      </x:c>
      <x:c r="F1659" s="73" t="str">
        <x:f>IF('당기원장'!A659="","",'당기원장'!E659)</x:f>
      </x:c>
      <x:c r="G1659" s="75" t="str">
        <x:f>IF('당기원장'!A659="","",'당기원장'!H659)</x:f>
      </x:c>
      <x:c r="H1659" s="73" t="str">
        <x:f>IF('당기원장'!A659="","",'당기원장'!I659)</x:f>
      </x:c>
      <x:c r="I1659" s="73" t="str">
        <x:f>IF('당기원장'!A659="","",'당기원장'!J659)</x:f>
      </x:c>
      <x:c r="J1659" s="73" t="str">
        <x:f>IF('당기원장'!A659="","",'당기원장'!K659)</x:f>
      </x:c>
      <x:c r="K1659" s="73" t="str">
        <x:f>IF(B1659="","",IF(COUNTIF($B$5:B1659,B1659)=1,COUNT($K$4:K1658)+1,""))</x:f>
      </x:c>
      <x:c r="L1659" s="85" t="str">
        <x:f>IF(B1659="","",IF(COUNTIFS('계정비교'!$A$5:$A$1004,B1659,'계정비교'!$H$5:$H$1004,"원인분석 대상")&gt;0,COUNT($L$4:L1658)+1,""))</x:f>
      </x:c>
    </x:row>
    <x:row r="1660">
      <x:c r="A1660" s="73" t="str">
        <x:f>IF('당기원장'!A660="","","당기")</x:f>
      </x:c>
      <x:c r="B1660" s="73" t="str">
        <x:f>IF('당기원장'!A660="","",'당기원장'!A660)</x:f>
      </x:c>
      <x:c r="C1660" s="73" t="str">
        <x:f>IF('당기원장'!A660="","",'당기원장'!B660)</x:f>
      </x:c>
      <x:c r="D1660" s="74" t="str">
        <x:f>IF('당기원장'!A660="","",'당기원장'!C660)</x:f>
      </x:c>
      <x:c r="E1660" s="73" t="str">
        <x:f>IF('당기원장'!A660="","",'당기원장'!D660)</x:f>
      </x:c>
      <x:c r="F1660" s="73" t="str">
        <x:f>IF('당기원장'!A660="","",'당기원장'!E660)</x:f>
      </x:c>
      <x:c r="G1660" s="75" t="str">
        <x:f>IF('당기원장'!A660="","",'당기원장'!H660)</x:f>
      </x:c>
      <x:c r="H1660" s="73" t="str">
        <x:f>IF('당기원장'!A660="","",'당기원장'!I660)</x:f>
      </x:c>
      <x:c r="I1660" s="73" t="str">
        <x:f>IF('당기원장'!A660="","",'당기원장'!J660)</x:f>
      </x:c>
      <x:c r="J1660" s="73" t="str">
        <x:f>IF('당기원장'!A660="","",'당기원장'!K660)</x:f>
      </x:c>
      <x:c r="K1660" s="73" t="str">
        <x:f>IF(B1660="","",IF(COUNTIF($B$5:B1660,B1660)=1,COUNT($K$4:K1659)+1,""))</x:f>
      </x:c>
      <x:c r="L1660" s="85" t="str">
        <x:f>IF(B1660="","",IF(COUNTIFS('계정비교'!$A$5:$A$1004,B1660,'계정비교'!$H$5:$H$1004,"원인분석 대상")&gt;0,COUNT($L$4:L1659)+1,""))</x:f>
      </x:c>
    </x:row>
    <x:row r="1661">
      <x:c r="A1661" s="73" t="str">
        <x:f>IF('당기원장'!A661="","","당기")</x:f>
      </x:c>
      <x:c r="B1661" s="73" t="str">
        <x:f>IF('당기원장'!A661="","",'당기원장'!A661)</x:f>
      </x:c>
      <x:c r="C1661" s="73" t="str">
        <x:f>IF('당기원장'!A661="","",'당기원장'!B661)</x:f>
      </x:c>
      <x:c r="D1661" s="74" t="str">
        <x:f>IF('당기원장'!A661="","",'당기원장'!C661)</x:f>
      </x:c>
      <x:c r="E1661" s="73" t="str">
        <x:f>IF('당기원장'!A661="","",'당기원장'!D661)</x:f>
      </x:c>
      <x:c r="F1661" s="73" t="str">
        <x:f>IF('당기원장'!A661="","",'당기원장'!E661)</x:f>
      </x:c>
      <x:c r="G1661" s="75" t="str">
        <x:f>IF('당기원장'!A661="","",'당기원장'!H661)</x:f>
      </x:c>
      <x:c r="H1661" s="73" t="str">
        <x:f>IF('당기원장'!A661="","",'당기원장'!I661)</x:f>
      </x:c>
      <x:c r="I1661" s="73" t="str">
        <x:f>IF('당기원장'!A661="","",'당기원장'!J661)</x:f>
      </x:c>
      <x:c r="J1661" s="73" t="str">
        <x:f>IF('당기원장'!A661="","",'당기원장'!K661)</x:f>
      </x:c>
      <x:c r="K1661" s="73" t="str">
        <x:f>IF(B1661="","",IF(COUNTIF($B$5:B1661,B1661)=1,COUNT($K$4:K1660)+1,""))</x:f>
      </x:c>
      <x:c r="L1661" s="85" t="str">
        <x:f>IF(B1661="","",IF(COUNTIFS('계정비교'!$A$5:$A$1004,B1661,'계정비교'!$H$5:$H$1004,"원인분석 대상")&gt;0,COUNT($L$4:L1660)+1,""))</x:f>
      </x:c>
    </x:row>
    <x:row r="1662">
      <x:c r="A1662" s="73" t="str">
        <x:f>IF('당기원장'!A662="","","당기")</x:f>
      </x:c>
      <x:c r="B1662" s="73" t="str">
        <x:f>IF('당기원장'!A662="","",'당기원장'!A662)</x:f>
      </x:c>
      <x:c r="C1662" s="73" t="str">
        <x:f>IF('당기원장'!A662="","",'당기원장'!B662)</x:f>
      </x:c>
      <x:c r="D1662" s="74" t="str">
        <x:f>IF('당기원장'!A662="","",'당기원장'!C662)</x:f>
      </x:c>
      <x:c r="E1662" s="73" t="str">
        <x:f>IF('당기원장'!A662="","",'당기원장'!D662)</x:f>
      </x:c>
      <x:c r="F1662" s="73" t="str">
        <x:f>IF('당기원장'!A662="","",'당기원장'!E662)</x:f>
      </x:c>
      <x:c r="G1662" s="75" t="str">
        <x:f>IF('당기원장'!A662="","",'당기원장'!H662)</x:f>
      </x:c>
      <x:c r="H1662" s="73" t="str">
        <x:f>IF('당기원장'!A662="","",'당기원장'!I662)</x:f>
      </x:c>
      <x:c r="I1662" s="73" t="str">
        <x:f>IF('당기원장'!A662="","",'당기원장'!J662)</x:f>
      </x:c>
      <x:c r="J1662" s="73" t="str">
        <x:f>IF('당기원장'!A662="","",'당기원장'!K662)</x:f>
      </x:c>
      <x:c r="K1662" s="73" t="str">
        <x:f>IF(B1662="","",IF(COUNTIF($B$5:B1662,B1662)=1,COUNT($K$4:K1661)+1,""))</x:f>
      </x:c>
      <x:c r="L1662" s="85" t="str">
        <x:f>IF(B1662="","",IF(COUNTIFS('계정비교'!$A$5:$A$1004,B1662,'계정비교'!$H$5:$H$1004,"원인분석 대상")&gt;0,COUNT($L$4:L1661)+1,""))</x:f>
      </x:c>
    </x:row>
    <x:row r="1663">
      <x:c r="A1663" s="73" t="str">
        <x:f>IF('당기원장'!A663="","","당기")</x:f>
      </x:c>
      <x:c r="B1663" s="73" t="str">
        <x:f>IF('당기원장'!A663="","",'당기원장'!A663)</x:f>
      </x:c>
      <x:c r="C1663" s="73" t="str">
        <x:f>IF('당기원장'!A663="","",'당기원장'!B663)</x:f>
      </x:c>
      <x:c r="D1663" s="74" t="str">
        <x:f>IF('당기원장'!A663="","",'당기원장'!C663)</x:f>
      </x:c>
      <x:c r="E1663" s="73" t="str">
        <x:f>IF('당기원장'!A663="","",'당기원장'!D663)</x:f>
      </x:c>
      <x:c r="F1663" s="73" t="str">
        <x:f>IF('당기원장'!A663="","",'당기원장'!E663)</x:f>
      </x:c>
      <x:c r="G1663" s="75" t="str">
        <x:f>IF('당기원장'!A663="","",'당기원장'!H663)</x:f>
      </x:c>
      <x:c r="H1663" s="73" t="str">
        <x:f>IF('당기원장'!A663="","",'당기원장'!I663)</x:f>
      </x:c>
      <x:c r="I1663" s="73" t="str">
        <x:f>IF('당기원장'!A663="","",'당기원장'!J663)</x:f>
      </x:c>
      <x:c r="J1663" s="73" t="str">
        <x:f>IF('당기원장'!A663="","",'당기원장'!K663)</x:f>
      </x:c>
      <x:c r="K1663" s="73" t="str">
        <x:f>IF(B1663="","",IF(COUNTIF($B$5:B1663,B1663)=1,COUNT($K$4:K1662)+1,""))</x:f>
      </x:c>
      <x:c r="L1663" s="85" t="str">
        <x:f>IF(B1663="","",IF(COUNTIFS('계정비교'!$A$5:$A$1004,B1663,'계정비교'!$H$5:$H$1004,"원인분석 대상")&gt;0,COUNT($L$4:L1662)+1,""))</x:f>
      </x:c>
    </x:row>
    <x:row r="1664">
      <x:c r="A1664" s="73" t="str">
        <x:f>IF('당기원장'!A664="","","당기")</x:f>
      </x:c>
      <x:c r="B1664" s="73" t="str">
        <x:f>IF('당기원장'!A664="","",'당기원장'!A664)</x:f>
      </x:c>
      <x:c r="C1664" s="73" t="str">
        <x:f>IF('당기원장'!A664="","",'당기원장'!B664)</x:f>
      </x:c>
      <x:c r="D1664" s="74" t="str">
        <x:f>IF('당기원장'!A664="","",'당기원장'!C664)</x:f>
      </x:c>
      <x:c r="E1664" s="73" t="str">
        <x:f>IF('당기원장'!A664="","",'당기원장'!D664)</x:f>
      </x:c>
      <x:c r="F1664" s="73" t="str">
        <x:f>IF('당기원장'!A664="","",'당기원장'!E664)</x:f>
      </x:c>
      <x:c r="G1664" s="75" t="str">
        <x:f>IF('당기원장'!A664="","",'당기원장'!H664)</x:f>
      </x:c>
      <x:c r="H1664" s="73" t="str">
        <x:f>IF('당기원장'!A664="","",'당기원장'!I664)</x:f>
      </x:c>
      <x:c r="I1664" s="73" t="str">
        <x:f>IF('당기원장'!A664="","",'당기원장'!J664)</x:f>
      </x:c>
      <x:c r="J1664" s="73" t="str">
        <x:f>IF('당기원장'!A664="","",'당기원장'!K664)</x:f>
      </x:c>
      <x:c r="K1664" s="73" t="str">
        <x:f>IF(B1664="","",IF(COUNTIF($B$5:B1664,B1664)=1,COUNT($K$4:K1663)+1,""))</x:f>
      </x:c>
      <x:c r="L1664" s="85" t="str">
        <x:f>IF(B1664="","",IF(COUNTIFS('계정비교'!$A$5:$A$1004,B1664,'계정비교'!$H$5:$H$1004,"원인분석 대상")&gt;0,COUNT($L$4:L1663)+1,""))</x:f>
      </x:c>
    </x:row>
    <x:row r="1665">
      <x:c r="A1665" s="73" t="str">
        <x:f>IF('당기원장'!A665="","","당기")</x:f>
      </x:c>
      <x:c r="B1665" s="73" t="str">
        <x:f>IF('당기원장'!A665="","",'당기원장'!A665)</x:f>
      </x:c>
      <x:c r="C1665" s="73" t="str">
        <x:f>IF('당기원장'!A665="","",'당기원장'!B665)</x:f>
      </x:c>
      <x:c r="D1665" s="74" t="str">
        <x:f>IF('당기원장'!A665="","",'당기원장'!C665)</x:f>
      </x:c>
      <x:c r="E1665" s="73" t="str">
        <x:f>IF('당기원장'!A665="","",'당기원장'!D665)</x:f>
      </x:c>
      <x:c r="F1665" s="73" t="str">
        <x:f>IF('당기원장'!A665="","",'당기원장'!E665)</x:f>
      </x:c>
      <x:c r="G1665" s="75" t="str">
        <x:f>IF('당기원장'!A665="","",'당기원장'!H665)</x:f>
      </x:c>
      <x:c r="H1665" s="73" t="str">
        <x:f>IF('당기원장'!A665="","",'당기원장'!I665)</x:f>
      </x:c>
      <x:c r="I1665" s="73" t="str">
        <x:f>IF('당기원장'!A665="","",'당기원장'!J665)</x:f>
      </x:c>
      <x:c r="J1665" s="73" t="str">
        <x:f>IF('당기원장'!A665="","",'당기원장'!K665)</x:f>
      </x:c>
      <x:c r="K1665" s="73" t="str">
        <x:f>IF(B1665="","",IF(COUNTIF($B$5:B1665,B1665)=1,COUNT($K$4:K1664)+1,""))</x:f>
      </x:c>
      <x:c r="L1665" s="85" t="str">
        <x:f>IF(B1665="","",IF(COUNTIFS('계정비교'!$A$5:$A$1004,B1665,'계정비교'!$H$5:$H$1004,"원인분석 대상")&gt;0,COUNT($L$4:L1664)+1,""))</x:f>
      </x:c>
    </x:row>
    <x:row r="1666">
      <x:c r="A1666" s="73" t="str">
        <x:f>IF('당기원장'!A666="","","당기")</x:f>
      </x:c>
      <x:c r="B1666" s="73" t="str">
        <x:f>IF('당기원장'!A666="","",'당기원장'!A666)</x:f>
      </x:c>
      <x:c r="C1666" s="73" t="str">
        <x:f>IF('당기원장'!A666="","",'당기원장'!B666)</x:f>
      </x:c>
      <x:c r="D1666" s="74" t="str">
        <x:f>IF('당기원장'!A666="","",'당기원장'!C666)</x:f>
      </x:c>
      <x:c r="E1666" s="73" t="str">
        <x:f>IF('당기원장'!A666="","",'당기원장'!D666)</x:f>
      </x:c>
      <x:c r="F1666" s="73" t="str">
        <x:f>IF('당기원장'!A666="","",'당기원장'!E666)</x:f>
      </x:c>
      <x:c r="G1666" s="75" t="str">
        <x:f>IF('당기원장'!A666="","",'당기원장'!H666)</x:f>
      </x:c>
      <x:c r="H1666" s="73" t="str">
        <x:f>IF('당기원장'!A666="","",'당기원장'!I666)</x:f>
      </x:c>
      <x:c r="I1666" s="73" t="str">
        <x:f>IF('당기원장'!A666="","",'당기원장'!J666)</x:f>
      </x:c>
      <x:c r="J1666" s="73" t="str">
        <x:f>IF('당기원장'!A666="","",'당기원장'!K666)</x:f>
      </x:c>
      <x:c r="K1666" s="73" t="str">
        <x:f>IF(B1666="","",IF(COUNTIF($B$5:B1666,B1666)=1,COUNT($K$4:K1665)+1,""))</x:f>
      </x:c>
      <x:c r="L1666" s="85" t="str">
        <x:f>IF(B1666="","",IF(COUNTIFS('계정비교'!$A$5:$A$1004,B1666,'계정비교'!$H$5:$H$1004,"원인분석 대상")&gt;0,COUNT($L$4:L1665)+1,""))</x:f>
      </x:c>
    </x:row>
    <x:row r="1667">
      <x:c r="A1667" s="73" t="str">
        <x:f>IF('당기원장'!A667="","","당기")</x:f>
      </x:c>
      <x:c r="B1667" s="73" t="str">
        <x:f>IF('당기원장'!A667="","",'당기원장'!A667)</x:f>
      </x:c>
      <x:c r="C1667" s="73" t="str">
        <x:f>IF('당기원장'!A667="","",'당기원장'!B667)</x:f>
      </x:c>
      <x:c r="D1667" s="74" t="str">
        <x:f>IF('당기원장'!A667="","",'당기원장'!C667)</x:f>
      </x:c>
      <x:c r="E1667" s="73" t="str">
        <x:f>IF('당기원장'!A667="","",'당기원장'!D667)</x:f>
      </x:c>
      <x:c r="F1667" s="73" t="str">
        <x:f>IF('당기원장'!A667="","",'당기원장'!E667)</x:f>
      </x:c>
      <x:c r="G1667" s="75" t="str">
        <x:f>IF('당기원장'!A667="","",'당기원장'!H667)</x:f>
      </x:c>
      <x:c r="H1667" s="73" t="str">
        <x:f>IF('당기원장'!A667="","",'당기원장'!I667)</x:f>
      </x:c>
      <x:c r="I1667" s="73" t="str">
        <x:f>IF('당기원장'!A667="","",'당기원장'!J667)</x:f>
      </x:c>
      <x:c r="J1667" s="73" t="str">
        <x:f>IF('당기원장'!A667="","",'당기원장'!K667)</x:f>
      </x:c>
      <x:c r="K1667" s="73" t="str">
        <x:f>IF(B1667="","",IF(COUNTIF($B$5:B1667,B1667)=1,COUNT($K$4:K1666)+1,""))</x:f>
      </x:c>
      <x:c r="L1667" s="85" t="str">
        <x:f>IF(B1667="","",IF(COUNTIFS('계정비교'!$A$5:$A$1004,B1667,'계정비교'!$H$5:$H$1004,"원인분석 대상")&gt;0,COUNT($L$4:L1666)+1,""))</x:f>
      </x:c>
    </x:row>
    <x:row r="1668">
      <x:c r="A1668" s="73" t="str">
        <x:f>IF('당기원장'!A668="","","당기")</x:f>
      </x:c>
      <x:c r="B1668" s="73" t="str">
        <x:f>IF('당기원장'!A668="","",'당기원장'!A668)</x:f>
      </x:c>
      <x:c r="C1668" s="73" t="str">
        <x:f>IF('당기원장'!A668="","",'당기원장'!B668)</x:f>
      </x:c>
      <x:c r="D1668" s="74" t="str">
        <x:f>IF('당기원장'!A668="","",'당기원장'!C668)</x:f>
      </x:c>
      <x:c r="E1668" s="73" t="str">
        <x:f>IF('당기원장'!A668="","",'당기원장'!D668)</x:f>
      </x:c>
      <x:c r="F1668" s="73" t="str">
        <x:f>IF('당기원장'!A668="","",'당기원장'!E668)</x:f>
      </x:c>
      <x:c r="G1668" s="75" t="str">
        <x:f>IF('당기원장'!A668="","",'당기원장'!H668)</x:f>
      </x:c>
      <x:c r="H1668" s="73" t="str">
        <x:f>IF('당기원장'!A668="","",'당기원장'!I668)</x:f>
      </x:c>
      <x:c r="I1668" s="73" t="str">
        <x:f>IF('당기원장'!A668="","",'당기원장'!J668)</x:f>
      </x:c>
      <x:c r="J1668" s="73" t="str">
        <x:f>IF('당기원장'!A668="","",'당기원장'!K668)</x:f>
      </x:c>
      <x:c r="K1668" s="73" t="str">
        <x:f>IF(B1668="","",IF(COUNTIF($B$5:B1668,B1668)=1,COUNT($K$4:K1667)+1,""))</x:f>
      </x:c>
      <x:c r="L1668" s="85" t="str">
        <x:f>IF(B1668="","",IF(COUNTIFS('계정비교'!$A$5:$A$1004,B1668,'계정비교'!$H$5:$H$1004,"원인분석 대상")&gt;0,COUNT($L$4:L1667)+1,""))</x:f>
      </x:c>
    </x:row>
    <x:row r="1669">
      <x:c r="A1669" s="73" t="str">
        <x:f>IF('당기원장'!A669="","","당기")</x:f>
      </x:c>
      <x:c r="B1669" s="73" t="str">
        <x:f>IF('당기원장'!A669="","",'당기원장'!A669)</x:f>
      </x:c>
      <x:c r="C1669" s="73" t="str">
        <x:f>IF('당기원장'!A669="","",'당기원장'!B669)</x:f>
      </x:c>
      <x:c r="D1669" s="74" t="str">
        <x:f>IF('당기원장'!A669="","",'당기원장'!C669)</x:f>
      </x:c>
      <x:c r="E1669" s="73" t="str">
        <x:f>IF('당기원장'!A669="","",'당기원장'!D669)</x:f>
      </x:c>
      <x:c r="F1669" s="73" t="str">
        <x:f>IF('당기원장'!A669="","",'당기원장'!E669)</x:f>
      </x:c>
      <x:c r="G1669" s="75" t="str">
        <x:f>IF('당기원장'!A669="","",'당기원장'!H669)</x:f>
      </x:c>
      <x:c r="H1669" s="73" t="str">
        <x:f>IF('당기원장'!A669="","",'당기원장'!I669)</x:f>
      </x:c>
      <x:c r="I1669" s="73" t="str">
        <x:f>IF('당기원장'!A669="","",'당기원장'!J669)</x:f>
      </x:c>
      <x:c r="J1669" s="73" t="str">
        <x:f>IF('당기원장'!A669="","",'당기원장'!K669)</x:f>
      </x:c>
      <x:c r="K1669" s="73" t="str">
        <x:f>IF(B1669="","",IF(COUNTIF($B$5:B1669,B1669)=1,COUNT($K$4:K1668)+1,""))</x:f>
      </x:c>
      <x:c r="L1669" s="85" t="str">
        <x:f>IF(B1669="","",IF(COUNTIFS('계정비교'!$A$5:$A$1004,B1669,'계정비교'!$H$5:$H$1004,"원인분석 대상")&gt;0,COUNT($L$4:L1668)+1,""))</x:f>
      </x:c>
    </x:row>
    <x:row r="1670">
      <x:c r="A1670" s="73" t="str">
        <x:f>IF('당기원장'!A670="","","당기")</x:f>
      </x:c>
      <x:c r="B1670" s="73" t="str">
        <x:f>IF('당기원장'!A670="","",'당기원장'!A670)</x:f>
      </x:c>
      <x:c r="C1670" s="73" t="str">
        <x:f>IF('당기원장'!A670="","",'당기원장'!B670)</x:f>
      </x:c>
      <x:c r="D1670" s="74" t="str">
        <x:f>IF('당기원장'!A670="","",'당기원장'!C670)</x:f>
      </x:c>
      <x:c r="E1670" s="73" t="str">
        <x:f>IF('당기원장'!A670="","",'당기원장'!D670)</x:f>
      </x:c>
      <x:c r="F1670" s="73" t="str">
        <x:f>IF('당기원장'!A670="","",'당기원장'!E670)</x:f>
      </x:c>
      <x:c r="G1670" s="75" t="str">
        <x:f>IF('당기원장'!A670="","",'당기원장'!H670)</x:f>
      </x:c>
      <x:c r="H1670" s="73" t="str">
        <x:f>IF('당기원장'!A670="","",'당기원장'!I670)</x:f>
      </x:c>
      <x:c r="I1670" s="73" t="str">
        <x:f>IF('당기원장'!A670="","",'당기원장'!J670)</x:f>
      </x:c>
      <x:c r="J1670" s="73" t="str">
        <x:f>IF('당기원장'!A670="","",'당기원장'!K670)</x:f>
      </x:c>
      <x:c r="K1670" s="73" t="str">
        <x:f>IF(B1670="","",IF(COUNTIF($B$5:B1670,B1670)=1,COUNT($K$4:K1669)+1,""))</x:f>
      </x:c>
      <x:c r="L1670" s="85" t="str">
        <x:f>IF(B1670="","",IF(COUNTIFS('계정비교'!$A$5:$A$1004,B1670,'계정비교'!$H$5:$H$1004,"원인분석 대상")&gt;0,COUNT($L$4:L1669)+1,""))</x:f>
      </x:c>
    </x:row>
    <x:row r="1671">
      <x:c r="A1671" s="73" t="str">
        <x:f>IF('당기원장'!A671="","","당기")</x:f>
      </x:c>
      <x:c r="B1671" s="73" t="str">
        <x:f>IF('당기원장'!A671="","",'당기원장'!A671)</x:f>
      </x:c>
      <x:c r="C1671" s="73" t="str">
        <x:f>IF('당기원장'!A671="","",'당기원장'!B671)</x:f>
      </x:c>
      <x:c r="D1671" s="74" t="str">
        <x:f>IF('당기원장'!A671="","",'당기원장'!C671)</x:f>
      </x:c>
      <x:c r="E1671" s="73" t="str">
        <x:f>IF('당기원장'!A671="","",'당기원장'!D671)</x:f>
      </x:c>
      <x:c r="F1671" s="73" t="str">
        <x:f>IF('당기원장'!A671="","",'당기원장'!E671)</x:f>
      </x:c>
      <x:c r="G1671" s="75" t="str">
        <x:f>IF('당기원장'!A671="","",'당기원장'!H671)</x:f>
      </x:c>
      <x:c r="H1671" s="73" t="str">
        <x:f>IF('당기원장'!A671="","",'당기원장'!I671)</x:f>
      </x:c>
      <x:c r="I1671" s="73" t="str">
        <x:f>IF('당기원장'!A671="","",'당기원장'!J671)</x:f>
      </x:c>
      <x:c r="J1671" s="73" t="str">
        <x:f>IF('당기원장'!A671="","",'당기원장'!K671)</x:f>
      </x:c>
      <x:c r="K1671" s="73" t="str">
        <x:f>IF(B1671="","",IF(COUNTIF($B$5:B1671,B1671)=1,COUNT($K$4:K1670)+1,""))</x:f>
      </x:c>
      <x:c r="L1671" s="85" t="str">
        <x:f>IF(B1671="","",IF(COUNTIFS('계정비교'!$A$5:$A$1004,B1671,'계정비교'!$H$5:$H$1004,"원인분석 대상")&gt;0,COUNT($L$4:L1670)+1,""))</x:f>
      </x:c>
    </x:row>
    <x:row r="1672">
      <x:c r="A1672" s="73" t="str">
        <x:f>IF('당기원장'!A672="","","당기")</x:f>
      </x:c>
      <x:c r="B1672" s="73" t="str">
        <x:f>IF('당기원장'!A672="","",'당기원장'!A672)</x:f>
      </x:c>
      <x:c r="C1672" s="73" t="str">
        <x:f>IF('당기원장'!A672="","",'당기원장'!B672)</x:f>
      </x:c>
      <x:c r="D1672" s="74" t="str">
        <x:f>IF('당기원장'!A672="","",'당기원장'!C672)</x:f>
      </x:c>
      <x:c r="E1672" s="73" t="str">
        <x:f>IF('당기원장'!A672="","",'당기원장'!D672)</x:f>
      </x:c>
      <x:c r="F1672" s="73" t="str">
        <x:f>IF('당기원장'!A672="","",'당기원장'!E672)</x:f>
      </x:c>
      <x:c r="G1672" s="75" t="str">
        <x:f>IF('당기원장'!A672="","",'당기원장'!H672)</x:f>
      </x:c>
      <x:c r="H1672" s="73" t="str">
        <x:f>IF('당기원장'!A672="","",'당기원장'!I672)</x:f>
      </x:c>
      <x:c r="I1672" s="73" t="str">
        <x:f>IF('당기원장'!A672="","",'당기원장'!J672)</x:f>
      </x:c>
      <x:c r="J1672" s="73" t="str">
        <x:f>IF('당기원장'!A672="","",'당기원장'!K672)</x:f>
      </x:c>
      <x:c r="K1672" s="73" t="str">
        <x:f>IF(B1672="","",IF(COUNTIF($B$5:B1672,B1672)=1,COUNT($K$4:K1671)+1,""))</x:f>
      </x:c>
      <x:c r="L1672" s="85" t="str">
        <x:f>IF(B1672="","",IF(COUNTIFS('계정비교'!$A$5:$A$1004,B1672,'계정비교'!$H$5:$H$1004,"원인분석 대상")&gt;0,COUNT($L$4:L1671)+1,""))</x:f>
      </x:c>
    </x:row>
    <x:row r="1673">
      <x:c r="A1673" s="73" t="str">
        <x:f>IF('당기원장'!A673="","","당기")</x:f>
      </x:c>
      <x:c r="B1673" s="73" t="str">
        <x:f>IF('당기원장'!A673="","",'당기원장'!A673)</x:f>
      </x:c>
      <x:c r="C1673" s="73" t="str">
        <x:f>IF('당기원장'!A673="","",'당기원장'!B673)</x:f>
      </x:c>
      <x:c r="D1673" s="74" t="str">
        <x:f>IF('당기원장'!A673="","",'당기원장'!C673)</x:f>
      </x:c>
      <x:c r="E1673" s="73" t="str">
        <x:f>IF('당기원장'!A673="","",'당기원장'!D673)</x:f>
      </x:c>
      <x:c r="F1673" s="73" t="str">
        <x:f>IF('당기원장'!A673="","",'당기원장'!E673)</x:f>
      </x:c>
      <x:c r="G1673" s="75" t="str">
        <x:f>IF('당기원장'!A673="","",'당기원장'!H673)</x:f>
      </x:c>
      <x:c r="H1673" s="73" t="str">
        <x:f>IF('당기원장'!A673="","",'당기원장'!I673)</x:f>
      </x:c>
      <x:c r="I1673" s="73" t="str">
        <x:f>IF('당기원장'!A673="","",'당기원장'!J673)</x:f>
      </x:c>
      <x:c r="J1673" s="73" t="str">
        <x:f>IF('당기원장'!A673="","",'당기원장'!K673)</x:f>
      </x:c>
      <x:c r="K1673" s="73" t="str">
        <x:f>IF(B1673="","",IF(COUNTIF($B$5:B1673,B1673)=1,COUNT($K$4:K1672)+1,""))</x:f>
      </x:c>
      <x:c r="L1673" s="85" t="str">
        <x:f>IF(B1673="","",IF(COUNTIFS('계정비교'!$A$5:$A$1004,B1673,'계정비교'!$H$5:$H$1004,"원인분석 대상")&gt;0,COUNT($L$4:L1672)+1,""))</x:f>
      </x:c>
    </x:row>
    <x:row r="1674">
      <x:c r="A1674" s="73" t="str">
        <x:f>IF('당기원장'!A674="","","당기")</x:f>
      </x:c>
      <x:c r="B1674" s="73" t="str">
        <x:f>IF('당기원장'!A674="","",'당기원장'!A674)</x:f>
      </x:c>
      <x:c r="C1674" s="73" t="str">
        <x:f>IF('당기원장'!A674="","",'당기원장'!B674)</x:f>
      </x:c>
      <x:c r="D1674" s="74" t="str">
        <x:f>IF('당기원장'!A674="","",'당기원장'!C674)</x:f>
      </x:c>
      <x:c r="E1674" s="73" t="str">
        <x:f>IF('당기원장'!A674="","",'당기원장'!D674)</x:f>
      </x:c>
      <x:c r="F1674" s="73" t="str">
        <x:f>IF('당기원장'!A674="","",'당기원장'!E674)</x:f>
      </x:c>
      <x:c r="G1674" s="75" t="str">
        <x:f>IF('당기원장'!A674="","",'당기원장'!H674)</x:f>
      </x:c>
      <x:c r="H1674" s="73" t="str">
        <x:f>IF('당기원장'!A674="","",'당기원장'!I674)</x:f>
      </x:c>
      <x:c r="I1674" s="73" t="str">
        <x:f>IF('당기원장'!A674="","",'당기원장'!J674)</x:f>
      </x:c>
      <x:c r="J1674" s="73" t="str">
        <x:f>IF('당기원장'!A674="","",'당기원장'!K674)</x:f>
      </x:c>
      <x:c r="K1674" s="73" t="str">
        <x:f>IF(B1674="","",IF(COUNTIF($B$5:B1674,B1674)=1,COUNT($K$4:K1673)+1,""))</x:f>
      </x:c>
      <x:c r="L1674" s="85" t="str">
        <x:f>IF(B1674="","",IF(COUNTIFS('계정비교'!$A$5:$A$1004,B1674,'계정비교'!$H$5:$H$1004,"원인분석 대상")&gt;0,COUNT($L$4:L1673)+1,""))</x:f>
      </x:c>
    </x:row>
    <x:row r="1675">
      <x:c r="A1675" s="73" t="str">
        <x:f>IF('당기원장'!A675="","","당기")</x:f>
      </x:c>
      <x:c r="B1675" s="73" t="str">
        <x:f>IF('당기원장'!A675="","",'당기원장'!A675)</x:f>
      </x:c>
      <x:c r="C1675" s="73" t="str">
        <x:f>IF('당기원장'!A675="","",'당기원장'!B675)</x:f>
      </x:c>
      <x:c r="D1675" s="74" t="str">
        <x:f>IF('당기원장'!A675="","",'당기원장'!C675)</x:f>
      </x:c>
      <x:c r="E1675" s="73" t="str">
        <x:f>IF('당기원장'!A675="","",'당기원장'!D675)</x:f>
      </x:c>
      <x:c r="F1675" s="73" t="str">
        <x:f>IF('당기원장'!A675="","",'당기원장'!E675)</x:f>
      </x:c>
      <x:c r="G1675" s="75" t="str">
        <x:f>IF('당기원장'!A675="","",'당기원장'!H675)</x:f>
      </x:c>
      <x:c r="H1675" s="73" t="str">
        <x:f>IF('당기원장'!A675="","",'당기원장'!I675)</x:f>
      </x:c>
      <x:c r="I1675" s="73" t="str">
        <x:f>IF('당기원장'!A675="","",'당기원장'!J675)</x:f>
      </x:c>
      <x:c r="J1675" s="73" t="str">
        <x:f>IF('당기원장'!A675="","",'당기원장'!K675)</x:f>
      </x:c>
      <x:c r="K1675" s="73" t="str">
        <x:f>IF(B1675="","",IF(COUNTIF($B$5:B1675,B1675)=1,COUNT($K$4:K1674)+1,""))</x:f>
      </x:c>
      <x:c r="L1675" s="85" t="str">
        <x:f>IF(B1675="","",IF(COUNTIFS('계정비교'!$A$5:$A$1004,B1675,'계정비교'!$H$5:$H$1004,"원인분석 대상")&gt;0,COUNT($L$4:L1674)+1,""))</x:f>
      </x:c>
    </x:row>
    <x:row r="1676">
      <x:c r="A1676" s="73" t="str">
        <x:f>IF('당기원장'!A676="","","당기")</x:f>
      </x:c>
      <x:c r="B1676" s="73" t="str">
        <x:f>IF('당기원장'!A676="","",'당기원장'!A676)</x:f>
      </x:c>
      <x:c r="C1676" s="73" t="str">
        <x:f>IF('당기원장'!A676="","",'당기원장'!B676)</x:f>
      </x:c>
      <x:c r="D1676" s="74" t="str">
        <x:f>IF('당기원장'!A676="","",'당기원장'!C676)</x:f>
      </x:c>
      <x:c r="E1676" s="73" t="str">
        <x:f>IF('당기원장'!A676="","",'당기원장'!D676)</x:f>
      </x:c>
      <x:c r="F1676" s="73" t="str">
        <x:f>IF('당기원장'!A676="","",'당기원장'!E676)</x:f>
      </x:c>
      <x:c r="G1676" s="75" t="str">
        <x:f>IF('당기원장'!A676="","",'당기원장'!H676)</x:f>
      </x:c>
      <x:c r="H1676" s="73" t="str">
        <x:f>IF('당기원장'!A676="","",'당기원장'!I676)</x:f>
      </x:c>
      <x:c r="I1676" s="73" t="str">
        <x:f>IF('당기원장'!A676="","",'당기원장'!J676)</x:f>
      </x:c>
      <x:c r="J1676" s="73" t="str">
        <x:f>IF('당기원장'!A676="","",'당기원장'!K676)</x:f>
      </x:c>
      <x:c r="K1676" s="73" t="str">
        <x:f>IF(B1676="","",IF(COUNTIF($B$5:B1676,B1676)=1,COUNT($K$4:K1675)+1,""))</x:f>
      </x:c>
      <x:c r="L1676" s="85" t="str">
        <x:f>IF(B1676="","",IF(COUNTIFS('계정비교'!$A$5:$A$1004,B1676,'계정비교'!$H$5:$H$1004,"원인분석 대상")&gt;0,COUNT($L$4:L1675)+1,""))</x:f>
      </x:c>
    </x:row>
    <x:row r="1677">
      <x:c r="A1677" s="73" t="str">
        <x:f>IF('당기원장'!A677="","","당기")</x:f>
      </x:c>
      <x:c r="B1677" s="73" t="str">
        <x:f>IF('당기원장'!A677="","",'당기원장'!A677)</x:f>
      </x:c>
      <x:c r="C1677" s="73" t="str">
        <x:f>IF('당기원장'!A677="","",'당기원장'!B677)</x:f>
      </x:c>
      <x:c r="D1677" s="74" t="str">
        <x:f>IF('당기원장'!A677="","",'당기원장'!C677)</x:f>
      </x:c>
      <x:c r="E1677" s="73" t="str">
        <x:f>IF('당기원장'!A677="","",'당기원장'!D677)</x:f>
      </x:c>
      <x:c r="F1677" s="73" t="str">
        <x:f>IF('당기원장'!A677="","",'당기원장'!E677)</x:f>
      </x:c>
      <x:c r="G1677" s="75" t="str">
        <x:f>IF('당기원장'!A677="","",'당기원장'!H677)</x:f>
      </x:c>
      <x:c r="H1677" s="73" t="str">
        <x:f>IF('당기원장'!A677="","",'당기원장'!I677)</x:f>
      </x:c>
      <x:c r="I1677" s="73" t="str">
        <x:f>IF('당기원장'!A677="","",'당기원장'!J677)</x:f>
      </x:c>
      <x:c r="J1677" s="73" t="str">
        <x:f>IF('당기원장'!A677="","",'당기원장'!K677)</x:f>
      </x:c>
      <x:c r="K1677" s="73" t="str">
        <x:f>IF(B1677="","",IF(COUNTIF($B$5:B1677,B1677)=1,COUNT($K$4:K1676)+1,""))</x:f>
      </x:c>
      <x:c r="L1677" s="85" t="str">
        <x:f>IF(B1677="","",IF(COUNTIFS('계정비교'!$A$5:$A$1004,B1677,'계정비교'!$H$5:$H$1004,"원인분석 대상")&gt;0,COUNT($L$4:L1676)+1,""))</x:f>
      </x:c>
    </x:row>
    <x:row r="1678">
      <x:c r="A1678" s="73" t="str">
        <x:f>IF('당기원장'!A678="","","당기")</x:f>
      </x:c>
      <x:c r="B1678" s="73" t="str">
        <x:f>IF('당기원장'!A678="","",'당기원장'!A678)</x:f>
      </x:c>
      <x:c r="C1678" s="73" t="str">
        <x:f>IF('당기원장'!A678="","",'당기원장'!B678)</x:f>
      </x:c>
      <x:c r="D1678" s="74" t="str">
        <x:f>IF('당기원장'!A678="","",'당기원장'!C678)</x:f>
      </x:c>
      <x:c r="E1678" s="73" t="str">
        <x:f>IF('당기원장'!A678="","",'당기원장'!D678)</x:f>
      </x:c>
      <x:c r="F1678" s="73" t="str">
        <x:f>IF('당기원장'!A678="","",'당기원장'!E678)</x:f>
      </x:c>
      <x:c r="G1678" s="75" t="str">
        <x:f>IF('당기원장'!A678="","",'당기원장'!H678)</x:f>
      </x:c>
      <x:c r="H1678" s="73" t="str">
        <x:f>IF('당기원장'!A678="","",'당기원장'!I678)</x:f>
      </x:c>
      <x:c r="I1678" s="73" t="str">
        <x:f>IF('당기원장'!A678="","",'당기원장'!J678)</x:f>
      </x:c>
      <x:c r="J1678" s="73" t="str">
        <x:f>IF('당기원장'!A678="","",'당기원장'!K678)</x:f>
      </x:c>
      <x:c r="K1678" s="73" t="str">
        <x:f>IF(B1678="","",IF(COUNTIF($B$5:B1678,B1678)=1,COUNT($K$4:K1677)+1,""))</x:f>
      </x:c>
      <x:c r="L1678" s="85" t="str">
        <x:f>IF(B1678="","",IF(COUNTIFS('계정비교'!$A$5:$A$1004,B1678,'계정비교'!$H$5:$H$1004,"원인분석 대상")&gt;0,COUNT($L$4:L1677)+1,""))</x:f>
      </x:c>
    </x:row>
    <x:row r="1679">
      <x:c r="A1679" s="73" t="str">
        <x:f>IF('당기원장'!A679="","","당기")</x:f>
      </x:c>
      <x:c r="B1679" s="73" t="str">
        <x:f>IF('당기원장'!A679="","",'당기원장'!A679)</x:f>
      </x:c>
      <x:c r="C1679" s="73" t="str">
        <x:f>IF('당기원장'!A679="","",'당기원장'!B679)</x:f>
      </x:c>
      <x:c r="D1679" s="74" t="str">
        <x:f>IF('당기원장'!A679="","",'당기원장'!C679)</x:f>
      </x:c>
      <x:c r="E1679" s="73" t="str">
        <x:f>IF('당기원장'!A679="","",'당기원장'!D679)</x:f>
      </x:c>
      <x:c r="F1679" s="73" t="str">
        <x:f>IF('당기원장'!A679="","",'당기원장'!E679)</x:f>
      </x:c>
      <x:c r="G1679" s="75" t="str">
        <x:f>IF('당기원장'!A679="","",'당기원장'!H679)</x:f>
      </x:c>
      <x:c r="H1679" s="73" t="str">
        <x:f>IF('당기원장'!A679="","",'당기원장'!I679)</x:f>
      </x:c>
      <x:c r="I1679" s="73" t="str">
        <x:f>IF('당기원장'!A679="","",'당기원장'!J679)</x:f>
      </x:c>
      <x:c r="J1679" s="73" t="str">
        <x:f>IF('당기원장'!A679="","",'당기원장'!K679)</x:f>
      </x:c>
      <x:c r="K1679" s="73" t="str">
        <x:f>IF(B1679="","",IF(COUNTIF($B$5:B1679,B1679)=1,COUNT($K$4:K1678)+1,""))</x:f>
      </x:c>
      <x:c r="L1679" s="85" t="str">
        <x:f>IF(B1679="","",IF(COUNTIFS('계정비교'!$A$5:$A$1004,B1679,'계정비교'!$H$5:$H$1004,"원인분석 대상")&gt;0,COUNT($L$4:L1678)+1,""))</x:f>
      </x:c>
    </x:row>
    <x:row r="1680">
      <x:c r="A1680" s="73" t="str">
        <x:f>IF('당기원장'!A680="","","당기")</x:f>
      </x:c>
      <x:c r="B1680" s="73" t="str">
        <x:f>IF('당기원장'!A680="","",'당기원장'!A680)</x:f>
      </x:c>
      <x:c r="C1680" s="73" t="str">
        <x:f>IF('당기원장'!A680="","",'당기원장'!B680)</x:f>
      </x:c>
      <x:c r="D1680" s="74" t="str">
        <x:f>IF('당기원장'!A680="","",'당기원장'!C680)</x:f>
      </x:c>
      <x:c r="E1680" s="73" t="str">
        <x:f>IF('당기원장'!A680="","",'당기원장'!D680)</x:f>
      </x:c>
      <x:c r="F1680" s="73" t="str">
        <x:f>IF('당기원장'!A680="","",'당기원장'!E680)</x:f>
      </x:c>
      <x:c r="G1680" s="75" t="str">
        <x:f>IF('당기원장'!A680="","",'당기원장'!H680)</x:f>
      </x:c>
      <x:c r="H1680" s="73" t="str">
        <x:f>IF('당기원장'!A680="","",'당기원장'!I680)</x:f>
      </x:c>
      <x:c r="I1680" s="73" t="str">
        <x:f>IF('당기원장'!A680="","",'당기원장'!J680)</x:f>
      </x:c>
      <x:c r="J1680" s="73" t="str">
        <x:f>IF('당기원장'!A680="","",'당기원장'!K680)</x:f>
      </x:c>
      <x:c r="K1680" s="73" t="str">
        <x:f>IF(B1680="","",IF(COUNTIF($B$5:B1680,B1680)=1,COUNT($K$4:K1679)+1,""))</x:f>
      </x:c>
      <x:c r="L1680" s="85" t="str">
        <x:f>IF(B1680="","",IF(COUNTIFS('계정비교'!$A$5:$A$1004,B1680,'계정비교'!$H$5:$H$1004,"원인분석 대상")&gt;0,COUNT($L$4:L1679)+1,""))</x:f>
      </x:c>
    </x:row>
    <x:row r="1681">
      <x:c r="A1681" s="73" t="str">
        <x:f>IF('당기원장'!A681="","","당기")</x:f>
      </x:c>
      <x:c r="B1681" s="73" t="str">
        <x:f>IF('당기원장'!A681="","",'당기원장'!A681)</x:f>
      </x:c>
      <x:c r="C1681" s="73" t="str">
        <x:f>IF('당기원장'!A681="","",'당기원장'!B681)</x:f>
      </x:c>
      <x:c r="D1681" s="74" t="str">
        <x:f>IF('당기원장'!A681="","",'당기원장'!C681)</x:f>
      </x:c>
      <x:c r="E1681" s="73" t="str">
        <x:f>IF('당기원장'!A681="","",'당기원장'!D681)</x:f>
      </x:c>
      <x:c r="F1681" s="73" t="str">
        <x:f>IF('당기원장'!A681="","",'당기원장'!E681)</x:f>
      </x:c>
      <x:c r="G1681" s="75" t="str">
        <x:f>IF('당기원장'!A681="","",'당기원장'!H681)</x:f>
      </x:c>
      <x:c r="H1681" s="73" t="str">
        <x:f>IF('당기원장'!A681="","",'당기원장'!I681)</x:f>
      </x:c>
      <x:c r="I1681" s="73" t="str">
        <x:f>IF('당기원장'!A681="","",'당기원장'!J681)</x:f>
      </x:c>
      <x:c r="J1681" s="73" t="str">
        <x:f>IF('당기원장'!A681="","",'당기원장'!K681)</x:f>
      </x:c>
      <x:c r="K1681" s="73" t="str">
        <x:f>IF(B1681="","",IF(COUNTIF($B$5:B1681,B1681)=1,COUNT($K$4:K1680)+1,""))</x:f>
      </x:c>
      <x:c r="L1681" s="85" t="str">
        <x:f>IF(B1681="","",IF(COUNTIFS('계정비교'!$A$5:$A$1004,B1681,'계정비교'!$H$5:$H$1004,"원인분석 대상")&gt;0,COUNT($L$4:L1680)+1,""))</x:f>
      </x:c>
    </x:row>
    <x:row r="1682">
      <x:c r="A1682" s="73" t="str">
        <x:f>IF('당기원장'!A682="","","당기")</x:f>
      </x:c>
      <x:c r="B1682" s="73" t="str">
        <x:f>IF('당기원장'!A682="","",'당기원장'!A682)</x:f>
      </x:c>
      <x:c r="C1682" s="73" t="str">
        <x:f>IF('당기원장'!A682="","",'당기원장'!B682)</x:f>
      </x:c>
      <x:c r="D1682" s="74" t="str">
        <x:f>IF('당기원장'!A682="","",'당기원장'!C682)</x:f>
      </x:c>
      <x:c r="E1682" s="73" t="str">
        <x:f>IF('당기원장'!A682="","",'당기원장'!D682)</x:f>
      </x:c>
      <x:c r="F1682" s="73" t="str">
        <x:f>IF('당기원장'!A682="","",'당기원장'!E682)</x:f>
      </x:c>
      <x:c r="G1682" s="75" t="str">
        <x:f>IF('당기원장'!A682="","",'당기원장'!H682)</x:f>
      </x:c>
      <x:c r="H1682" s="73" t="str">
        <x:f>IF('당기원장'!A682="","",'당기원장'!I682)</x:f>
      </x:c>
      <x:c r="I1682" s="73" t="str">
        <x:f>IF('당기원장'!A682="","",'당기원장'!J682)</x:f>
      </x:c>
      <x:c r="J1682" s="73" t="str">
        <x:f>IF('당기원장'!A682="","",'당기원장'!K682)</x:f>
      </x:c>
      <x:c r="K1682" s="73" t="str">
        <x:f>IF(B1682="","",IF(COUNTIF($B$5:B1682,B1682)=1,COUNT($K$4:K1681)+1,""))</x:f>
      </x:c>
      <x:c r="L1682" s="85" t="str">
        <x:f>IF(B1682="","",IF(COUNTIFS('계정비교'!$A$5:$A$1004,B1682,'계정비교'!$H$5:$H$1004,"원인분석 대상")&gt;0,COUNT($L$4:L1681)+1,""))</x:f>
      </x:c>
    </x:row>
    <x:row r="1683">
      <x:c r="A1683" s="73" t="str">
        <x:f>IF('당기원장'!A683="","","당기")</x:f>
      </x:c>
      <x:c r="B1683" s="73" t="str">
        <x:f>IF('당기원장'!A683="","",'당기원장'!A683)</x:f>
      </x:c>
      <x:c r="C1683" s="73" t="str">
        <x:f>IF('당기원장'!A683="","",'당기원장'!B683)</x:f>
      </x:c>
      <x:c r="D1683" s="74" t="str">
        <x:f>IF('당기원장'!A683="","",'당기원장'!C683)</x:f>
      </x:c>
      <x:c r="E1683" s="73" t="str">
        <x:f>IF('당기원장'!A683="","",'당기원장'!D683)</x:f>
      </x:c>
      <x:c r="F1683" s="73" t="str">
        <x:f>IF('당기원장'!A683="","",'당기원장'!E683)</x:f>
      </x:c>
      <x:c r="G1683" s="75" t="str">
        <x:f>IF('당기원장'!A683="","",'당기원장'!H683)</x:f>
      </x:c>
      <x:c r="H1683" s="73" t="str">
        <x:f>IF('당기원장'!A683="","",'당기원장'!I683)</x:f>
      </x:c>
      <x:c r="I1683" s="73" t="str">
        <x:f>IF('당기원장'!A683="","",'당기원장'!J683)</x:f>
      </x:c>
      <x:c r="J1683" s="73" t="str">
        <x:f>IF('당기원장'!A683="","",'당기원장'!K683)</x:f>
      </x:c>
      <x:c r="K1683" s="73" t="str">
        <x:f>IF(B1683="","",IF(COUNTIF($B$5:B1683,B1683)=1,COUNT($K$4:K1682)+1,""))</x:f>
      </x:c>
      <x:c r="L1683" s="85" t="str">
        <x:f>IF(B1683="","",IF(COUNTIFS('계정비교'!$A$5:$A$1004,B1683,'계정비교'!$H$5:$H$1004,"원인분석 대상")&gt;0,COUNT($L$4:L1682)+1,""))</x:f>
      </x:c>
    </x:row>
    <x:row r="1684">
      <x:c r="A1684" s="73" t="str">
        <x:f>IF('당기원장'!A684="","","당기")</x:f>
      </x:c>
      <x:c r="B1684" s="73" t="str">
        <x:f>IF('당기원장'!A684="","",'당기원장'!A684)</x:f>
      </x:c>
      <x:c r="C1684" s="73" t="str">
        <x:f>IF('당기원장'!A684="","",'당기원장'!B684)</x:f>
      </x:c>
      <x:c r="D1684" s="74" t="str">
        <x:f>IF('당기원장'!A684="","",'당기원장'!C684)</x:f>
      </x:c>
      <x:c r="E1684" s="73" t="str">
        <x:f>IF('당기원장'!A684="","",'당기원장'!D684)</x:f>
      </x:c>
      <x:c r="F1684" s="73" t="str">
        <x:f>IF('당기원장'!A684="","",'당기원장'!E684)</x:f>
      </x:c>
      <x:c r="G1684" s="75" t="str">
        <x:f>IF('당기원장'!A684="","",'당기원장'!H684)</x:f>
      </x:c>
      <x:c r="H1684" s="73" t="str">
        <x:f>IF('당기원장'!A684="","",'당기원장'!I684)</x:f>
      </x:c>
      <x:c r="I1684" s="73" t="str">
        <x:f>IF('당기원장'!A684="","",'당기원장'!J684)</x:f>
      </x:c>
      <x:c r="J1684" s="73" t="str">
        <x:f>IF('당기원장'!A684="","",'당기원장'!K684)</x:f>
      </x:c>
      <x:c r="K1684" s="73" t="str">
        <x:f>IF(B1684="","",IF(COUNTIF($B$5:B1684,B1684)=1,COUNT($K$4:K1683)+1,""))</x:f>
      </x:c>
      <x:c r="L1684" s="85" t="str">
        <x:f>IF(B1684="","",IF(COUNTIFS('계정비교'!$A$5:$A$1004,B1684,'계정비교'!$H$5:$H$1004,"원인분석 대상")&gt;0,COUNT($L$4:L1683)+1,""))</x:f>
      </x:c>
    </x:row>
    <x:row r="1685">
      <x:c r="A1685" s="73" t="str">
        <x:f>IF('당기원장'!A685="","","당기")</x:f>
      </x:c>
      <x:c r="B1685" s="73" t="str">
        <x:f>IF('당기원장'!A685="","",'당기원장'!A685)</x:f>
      </x:c>
      <x:c r="C1685" s="73" t="str">
        <x:f>IF('당기원장'!A685="","",'당기원장'!B685)</x:f>
      </x:c>
      <x:c r="D1685" s="74" t="str">
        <x:f>IF('당기원장'!A685="","",'당기원장'!C685)</x:f>
      </x:c>
      <x:c r="E1685" s="73" t="str">
        <x:f>IF('당기원장'!A685="","",'당기원장'!D685)</x:f>
      </x:c>
      <x:c r="F1685" s="73" t="str">
        <x:f>IF('당기원장'!A685="","",'당기원장'!E685)</x:f>
      </x:c>
      <x:c r="G1685" s="75" t="str">
        <x:f>IF('당기원장'!A685="","",'당기원장'!H685)</x:f>
      </x:c>
      <x:c r="H1685" s="73" t="str">
        <x:f>IF('당기원장'!A685="","",'당기원장'!I685)</x:f>
      </x:c>
      <x:c r="I1685" s="73" t="str">
        <x:f>IF('당기원장'!A685="","",'당기원장'!J685)</x:f>
      </x:c>
      <x:c r="J1685" s="73" t="str">
        <x:f>IF('당기원장'!A685="","",'당기원장'!K685)</x:f>
      </x:c>
      <x:c r="K1685" s="73" t="str">
        <x:f>IF(B1685="","",IF(COUNTIF($B$5:B1685,B1685)=1,COUNT($K$4:K1684)+1,""))</x:f>
      </x:c>
      <x:c r="L1685" s="85" t="str">
        <x:f>IF(B1685="","",IF(COUNTIFS('계정비교'!$A$5:$A$1004,B1685,'계정비교'!$H$5:$H$1004,"원인분석 대상")&gt;0,COUNT($L$4:L1684)+1,""))</x:f>
      </x:c>
    </x:row>
    <x:row r="1686">
      <x:c r="A1686" s="73" t="str">
        <x:f>IF('당기원장'!A686="","","당기")</x:f>
      </x:c>
      <x:c r="B1686" s="73" t="str">
        <x:f>IF('당기원장'!A686="","",'당기원장'!A686)</x:f>
      </x:c>
      <x:c r="C1686" s="73" t="str">
        <x:f>IF('당기원장'!A686="","",'당기원장'!B686)</x:f>
      </x:c>
      <x:c r="D1686" s="74" t="str">
        <x:f>IF('당기원장'!A686="","",'당기원장'!C686)</x:f>
      </x:c>
      <x:c r="E1686" s="73" t="str">
        <x:f>IF('당기원장'!A686="","",'당기원장'!D686)</x:f>
      </x:c>
      <x:c r="F1686" s="73" t="str">
        <x:f>IF('당기원장'!A686="","",'당기원장'!E686)</x:f>
      </x:c>
      <x:c r="G1686" s="75" t="str">
        <x:f>IF('당기원장'!A686="","",'당기원장'!H686)</x:f>
      </x:c>
      <x:c r="H1686" s="73" t="str">
        <x:f>IF('당기원장'!A686="","",'당기원장'!I686)</x:f>
      </x:c>
      <x:c r="I1686" s="73" t="str">
        <x:f>IF('당기원장'!A686="","",'당기원장'!J686)</x:f>
      </x:c>
      <x:c r="J1686" s="73" t="str">
        <x:f>IF('당기원장'!A686="","",'당기원장'!K686)</x:f>
      </x:c>
      <x:c r="K1686" s="73" t="str">
        <x:f>IF(B1686="","",IF(COUNTIF($B$5:B1686,B1686)=1,COUNT($K$4:K1685)+1,""))</x:f>
      </x:c>
      <x:c r="L1686" s="85" t="str">
        <x:f>IF(B1686="","",IF(COUNTIFS('계정비교'!$A$5:$A$1004,B1686,'계정비교'!$H$5:$H$1004,"원인분석 대상")&gt;0,COUNT($L$4:L1685)+1,""))</x:f>
      </x:c>
    </x:row>
    <x:row r="1687">
      <x:c r="A1687" s="73" t="str">
        <x:f>IF('당기원장'!A687="","","당기")</x:f>
      </x:c>
      <x:c r="B1687" s="73" t="str">
        <x:f>IF('당기원장'!A687="","",'당기원장'!A687)</x:f>
      </x:c>
      <x:c r="C1687" s="73" t="str">
        <x:f>IF('당기원장'!A687="","",'당기원장'!B687)</x:f>
      </x:c>
      <x:c r="D1687" s="74" t="str">
        <x:f>IF('당기원장'!A687="","",'당기원장'!C687)</x:f>
      </x:c>
      <x:c r="E1687" s="73" t="str">
        <x:f>IF('당기원장'!A687="","",'당기원장'!D687)</x:f>
      </x:c>
      <x:c r="F1687" s="73" t="str">
        <x:f>IF('당기원장'!A687="","",'당기원장'!E687)</x:f>
      </x:c>
      <x:c r="G1687" s="75" t="str">
        <x:f>IF('당기원장'!A687="","",'당기원장'!H687)</x:f>
      </x:c>
      <x:c r="H1687" s="73" t="str">
        <x:f>IF('당기원장'!A687="","",'당기원장'!I687)</x:f>
      </x:c>
      <x:c r="I1687" s="73" t="str">
        <x:f>IF('당기원장'!A687="","",'당기원장'!J687)</x:f>
      </x:c>
      <x:c r="J1687" s="73" t="str">
        <x:f>IF('당기원장'!A687="","",'당기원장'!K687)</x:f>
      </x:c>
      <x:c r="K1687" s="73" t="str">
        <x:f>IF(B1687="","",IF(COUNTIF($B$5:B1687,B1687)=1,COUNT($K$4:K1686)+1,""))</x:f>
      </x:c>
      <x:c r="L1687" s="85" t="str">
        <x:f>IF(B1687="","",IF(COUNTIFS('계정비교'!$A$5:$A$1004,B1687,'계정비교'!$H$5:$H$1004,"원인분석 대상")&gt;0,COUNT($L$4:L1686)+1,""))</x:f>
      </x:c>
    </x:row>
    <x:row r="1688">
      <x:c r="A1688" s="73" t="str">
        <x:f>IF('당기원장'!A688="","","당기")</x:f>
      </x:c>
      <x:c r="B1688" s="73" t="str">
        <x:f>IF('당기원장'!A688="","",'당기원장'!A688)</x:f>
      </x:c>
      <x:c r="C1688" s="73" t="str">
        <x:f>IF('당기원장'!A688="","",'당기원장'!B688)</x:f>
      </x:c>
      <x:c r="D1688" s="74" t="str">
        <x:f>IF('당기원장'!A688="","",'당기원장'!C688)</x:f>
      </x:c>
      <x:c r="E1688" s="73" t="str">
        <x:f>IF('당기원장'!A688="","",'당기원장'!D688)</x:f>
      </x:c>
      <x:c r="F1688" s="73" t="str">
        <x:f>IF('당기원장'!A688="","",'당기원장'!E688)</x:f>
      </x:c>
      <x:c r="G1688" s="75" t="str">
        <x:f>IF('당기원장'!A688="","",'당기원장'!H688)</x:f>
      </x:c>
      <x:c r="H1688" s="73" t="str">
        <x:f>IF('당기원장'!A688="","",'당기원장'!I688)</x:f>
      </x:c>
      <x:c r="I1688" s="73" t="str">
        <x:f>IF('당기원장'!A688="","",'당기원장'!J688)</x:f>
      </x:c>
      <x:c r="J1688" s="73" t="str">
        <x:f>IF('당기원장'!A688="","",'당기원장'!K688)</x:f>
      </x:c>
      <x:c r="K1688" s="73" t="str">
        <x:f>IF(B1688="","",IF(COUNTIF($B$5:B1688,B1688)=1,COUNT($K$4:K1687)+1,""))</x:f>
      </x:c>
      <x:c r="L1688" s="85" t="str">
        <x:f>IF(B1688="","",IF(COUNTIFS('계정비교'!$A$5:$A$1004,B1688,'계정비교'!$H$5:$H$1004,"원인분석 대상")&gt;0,COUNT($L$4:L1687)+1,""))</x:f>
      </x:c>
    </x:row>
    <x:row r="1689">
      <x:c r="A1689" s="73" t="str">
        <x:f>IF('당기원장'!A689="","","당기")</x:f>
      </x:c>
      <x:c r="B1689" s="73" t="str">
        <x:f>IF('당기원장'!A689="","",'당기원장'!A689)</x:f>
      </x:c>
      <x:c r="C1689" s="73" t="str">
        <x:f>IF('당기원장'!A689="","",'당기원장'!B689)</x:f>
      </x:c>
      <x:c r="D1689" s="74" t="str">
        <x:f>IF('당기원장'!A689="","",'당기원장'!C689)</x:f>
      </x:c>
      <x:c r="E1689" s="73" t="str">
        <x:f>IF('당기원장'!A689="","",'당기원장'!D689)</x:f>
      </x:c>
      <x:c r="F1689" s="73" t="str">
        <x:f>IF('당기원장'!A689="","",'당기원장'!E689)</x:f>
      </x:c>
      <x:c r="G1689" s="75" t="str">
        <x:f>IF('당기원장'!A689="","",'당기원장'!H689)</x:f>
      </x:c>
      <x:c r="H1689" s="73" t="str">
        <x:f>IF('당기원장'!A689="","",'당기원장'!I689)</x:f>
      </x:c>
      <x:c r="I1689" s="73" t="str">
        <x:f>IF('당기원장'!A689="","",'당기원장'!J689)</x:f>
      </x:c>
      <x:c r="J1689" s="73" t="str">
        <x:f>IF('당기원장'!A689="","",'당기원장'!K689)</x:f>
      </x:c>
      <x:c r="K1689" s="73" t="str">
        <x:f>IF(B1689="","",IF(COUNTIF($B$5:B1689,B1689)=1,COUNT($K$4:K1688)+1,""))</x:f>
      </x:c>
      <x:c r="L1689" s="85" t="str">
        <x:f>IF(B1689="","",IF(COUNTIFS('계정비교'!$A$5:$A$1004,B1689,'계정비교'!$H$5:$H$1004,"원인분석 대상")&gt;0,COUNT($L$4:L1688)+1,""))</x:f>
      </x:c>
    </x:row>
    <x:row r="1690">
      <x:c r="A1690" s="73" t="str">
        <x:f>IF('당기원장'!A690="","","당기")</x:f>
      </x:c>
      <x:c r="B1690" s="73" t="str">
        <x:f>IF('당기원장'!A690="","",'당기원장'!A690)</x:f>
      </x:c>
      <x:c r="C1690" s="73" t="str">
        <x:f>IF('당기원장'!A690="","",'당기원장'!B690)</x:f>
      </x:c>
      <x:c r="D1690" s="74" t="str">
        <x:f>IF('당기원장'!A690="","",'당기원장'!C690)</x:f>
      </x:c>
      <x:c r="E1690" s="73" t="str">
        <x:f>IF('당기원장'!A690="","",'당기원장'!D690)</x:f>
      </x:c>
      <x:c r="F1690" s="73" t="str">
        <x:f>IF('당기원장'!A690="","",'당기원장'!E690)</x:f>
      </x:c>
      <x:c r="G1690" s="75" t="str">
        <x:f>IF('당기원장'!A690="","",'당기원장'!H690)</x:f>
      </x:c>
      <x:c r="H1690" s="73" t="str">
        <x:f>IF('당기원장'!A690="","",'당기원장'!I690)</x:f>
      </x:c>
      <x:c r="I1690" s="73" t="str">
        <x:f>IF('당기원장'!A690="","",'당기원장'!J690)</x:f>
      </x:c>
      <x:c r="J1690" s="73" t="str">
        <x:f>IF('당기원장'!A690="","",'당기원장'!K690)</x:f>
      </x:c>
      <x:c r="K1690" s="73" t="str">
        <x:f>IF(B1690="","",IF(COUNTIF($B$5:B1690,B1690)=1,COUNT($K$4:K1689)+1,""))</x:f>
      </x:c>
      <x:c r="L1690" s="85" t="str">
        <x:f>IF(B1690="","",IF(COUNTIFS('계정비교'!$A$5:$A$1004,B1690,'계정비교'!$H$5:$H$1004,"원인분석 대상")&gt;0,COUNT($L$4:L1689)+1,""))</x:f>
      </x:c>
    </x:row>
    <x:row r="1691">
      <x:c r="A1691" s="73" t="str">
        <x:f>IF('당기원장'!A691="","","당기")</x:f>
      </x:c>
      <x:c r="B1691" s="73" t="str">
        <x:f>IF('당기원장'!A691="","",'당기원장'!A691)</x:f>
      </x:c>
      <x:c r="C1691" s="73" t="str">
        <x:f>IF('당기원장'!A691="","",'당기원장'!B691)</x:f>
      </x:c>
      <x:c r="D1691" s="74" t="str">
        <x:f>IF('당기원장'!A691="","",'당기원장'!C691)</x:f>
      </x:c>
      <x:c r="E1691" s="73" t="str">
        <x:f>IF('당기원장'!A691="","",'당기원장'!D691)</x:f>
      </x:c>
      <x:c r="F1691" s="73" t="str">
        <x:f>IF('당기원장'!A691="","",'당기원장'!E691)</x:f>
      </x:c>
      <x:c r="G1691" s="75" t="str">
        <x:f>IF('당기원장'!A691="","",'당기원장'!H691)</x:f>
      </x:c>
      <x:c r="H1691" s="73" t="str">
        <x:f>IF('당기원장'!A691="","",'당기원장'!I691)</x:f>
      </x:c>
      <x:c r="I1691" s="73" t="str">
        <x:f>IF('당기원장'!A691="","",'당기원장'!J691)</x:f>
      </x:c>
      <x:c r="J1691" s="73" t="str">
        <x:f>IF('당기원장'!A691="","",'당기원장'!K691)</x:f>
      </x:c>
      <x:c r="K1691" s="73" t="str">
        <x:f>IF(B1691="","",IF(COUNTIF($B$5:B1691,B1691)=1,COUNT($K$4:K1690)+1,""))</x:f>
      </x:c>
      <x:c r="L1691" s="85" t="str">
        <x:f>IF(B1691="","",IF(COUNTIFS('계정비교'!$A$5:$A$1004,B1691,'계정비교'!$H$5:$H$1004,"원인분석 대상")&gt;0,COUNT($L$4:L1690)+1,""))</x:f>
      </x:c>
    </x:row>
    <x:row r="1692">
      <x:c r="A1692" s="73" t="str">
        <x:f>IF('당기원장'!A692="","","당기")</x:f>
      </x:c>
      <x:c r="B1692" s="73" t="str">
        <x:f>IF('당기원장'!A692="","",'당기원장'!A692)</x:f>
      </x:c>
      <x:c r="C1692" s="73" t="str">
        <x:f>IF('당기원장'!A692="","",'당기원장'!B692)</x:f>
      </x:c>
      <x:c r="D1692" s="74" t="str">
        <x:f>IF('당기원장'!A692="","",'당기원장'!C692)</x:f>
      </x:c>
      <x:c r="E1692" s="73" t="str">
        <x:f>IF('당기원장'!A692="","",'당기원장'!D692)</x:f>
      </x:c>
      <x:c r="F1692" s="73" t="str">
        <x:f>IF('당기원장'!A692="","",'당기원장'!E692)</x:f>
      </x:c>
      <x:c r="G1692" s="75" t="str">
        <x:f>IF('당기원장'!A692="","",'당기원장'!H692)</x:f>
      </x:c>
      <x:c r="H1692" s="73" t="str">
        <x:f>IF('당기원장'!A692="","",'당기원장'!I692)</x:f>
      </x:c>
      <x:c r="I1692" s="73" t="str">
        <x:f>IF('당기원장'!A692="","",'당기원장'!J692)</x:f>
      </x:c>
      <x:c r="J1692" s="73" t="str">
        <x:f>IF('당기원장'!A692="","",'당기원장'!K692)</x:f>
      </x:c>
      <x:c r="K1692" s="73" t="str">
        <x:f>IF(B1692="","",IF(COUNTIF($B$5:B1692,B1692)=1,COUNT($K$4:K1691)+1,""))</x:f>
      </x:c>
      <x:c r="L1692" s="85" t="str">
        <x:f>IF(B1692="","",IF(COUNTIFS('계정비교'!$A$5:$A$1004,B1692,'계정비교'!$H$5:$H$1004,"원인분석 대상")&gt;0,COUNT($L$4:L1691)+1,""))</x:f>
      </x:c>
    </x:row>
    <x:row r="1693">
      <x:c r="A1693" s="73" t="str">
        <x:f>IF('당기원장'!A693="","","당기")</x:f>
      </x:c>
      <x:c r="B1693" s="73" t="str">
        <x:f>IF('당기원장'!A693="","",'당기원장'!A693)</x:f>
      </x:c>
      <x:c r="C1693" s="73" t="str">
        <x:f>IF('당기원장'!A693="","",'당기원장'!B693)</x:f>
      </x:c>
      <x:c r="D1693" s="74" t="str">
        <x:f>IF('당기원장'!A693="","",'당기원장'!C693)</x:f>
      </x:c>
      <x:c r="E1693" s="73" t="str">
        <x:f>IF('당기원장'!A693="","",'당기원장'!D693)</x:f>
      </x:c>
      <x:c r="F1693" s="73" t="str">
        <x:f>IF('당기원장'!A693="","",'당기원장'!E693)</x:f>
      </x:c>
      <x:c r="G1693" s="75" t="str">
        <x:f>IF('당기원장'!A693="","",'당기원장'!H693)</x:f>
      </x:c>
      <x:c r="H1693" s="73" t="str">
        <x:f>IF('당기원장'!A693="","",'당기원장'!I693)</x:f>
      </x:c>
      <x:c r="I1693" s="73" t="str">
        <x:f>IF('당기원장'!A693="","",'당기원장'!J693)</x:f>
      </x:c>
      <x:c r="J1693" s="73" t="str">
        <x:f>IF('당기원장'!A693="","",'당기원장'!K693)</x:f>
      </x:c>
      <x:c r="K1693" s="73" t="str">
        <x:f>IF(B1693="","",IF(COUNTIF($B$5:B1693,B1693)=1,COUNT($K$4:K1692)+1,""))</x:f>
      </x:c>
      <x:c r="L1693" s="85" t="str">
        <x:f>IF(B1693="","",IF(COUNTIFS('계정비교'!$A$5:$A$1004,B1693,'계정비교'!$H$5:$H$1004,"원인분석 대상")&gt;0,COUNT($L$4:L1692)+1,""))</x:f>
      </x:c>
    </x:row>
    <x:row r="1694">
      <x:c r="A1694" s="73" t="str">
        <x:f>IF('당기원장'!A694="","","당기")</x:f>
      </x:c>
      <x:c r="B1694" s="73" t="str">
        <x:f>IF('당기원장'!A694="","",'당기원장'!A694)</x:f>
      </x:c>
      <x:c r="C1694" s="73" t="str">
        <x:f>IF('당기원장'!A694="","",'당기원장'!B694)</x:f>
      </x:c>
      <x:c r="D1694" s="74" t="str">
        <x:f>IF('당기원장'!A694="","",'당기원장'!C694)</x:f>
      </x:c>
      <x:c r="E1694" s="73" t="str">
        <x:f>IF('당기원장'!A694="","",'당기원장'!D694)</x:f>
      </x:c>
      <x:c r="F1694" s="73" t="str">
        <x:f>IF('당기원장'!A694="","",'당기원장'!E694)</x:f>
      </x:c>
      <x:c r="G1694" s="75" t="str">
        <x:f>IF('당기원장'!A694="","",'당기원장'!H694)</x:f>
      </x:c>
      <x:c r="H1694" s="73" t="str">
        <x:f>IF('당기원장'!A694="","",'당기원장'!I694)</x:f>
      </x:c>
      <x:c r="I1694" s="73" t="str">
        <x:f>IF('당기원장'!A694="","",'당기원장'!J694)</x:f>
      </x:c>
      <x:c r="J1694" s="73" t="str">
        <x:f>IF('당기원장'!A694="","",'당기원장'!K694)</x:f>
      </x:c>
      <x:c r="K1694" s="73" t="str">
        <x:f>IF(B1694="","",IF(COUNTIF($B$5:B1694,B1694)=1,COUNT($K$4:K1693)+1,""))</x:f>
      </x:c>
      <x:c r="L1694" s="85" t="str">
        <x:f>IF(B1694="","",IF(COUNTIFS('계정비교'!$A$5:$A$1004,B1694,'계정비교'!$H$5:$H$1004,"원인분석 대상")&gt;0,COUNT($L$4:L1693)+1,""))</x:f>
      </x:c>
    </x:row>
    <x:row r="1695">
      <x:c r="A1695" s="73" t="str">
        <x:f>IF('당기원장'!A695="","","당기")</x:f>
      </x:c>
      <x:c r="B1695" s="73" t="str">
        <x:f>IF('당기원장'!A695="","",'당기원장'!A695)</x:f>
      </x:c>
      <x:c r="C1695" s="73" t="str">
        <x:f>IF('당기원장'!A695="","",'당기원장'!B695)</x:f>
      </x:c>
      <x:c r="D1695" s="74" t="str">
        <x:f>IF('당기원장'!A695="","",'당기원장'!C695)</x:f>
      </x:c>
      <x:c r="E1695" s="73" t="str">
        <x:f>IF('당기원장'!A695="","",'당기원장'!D695)</x:f>
      </x:c>
      <x:c r="F1695" s="73" t="str">
        <x:f>IF('당기원장'!A695="","",'당기원장'!E695)</x:f>
      </x:c>
      <x:c r="G1695" s="75" t="str">
        <x:f>IF('당기원장'!A695="","",'당기원장'!H695)</x:f>
      </x:c>
      <x:c r="H1695" s="73" t="str">
        <x:f>IF('당기원장'!A695="","",'당기원장'!I695)</x:f>
      </x:c>
      <x:c r="I1695" s="73" t="str">
        <x:f>IF('당기원장'!A695="","",'당기원장'!J695)</x:f>
      </x:c>
      <x:c r="J1695" s="73" t="str">
        <x:f>IF('당기원장'!A695="","",'당기원장'!K695)</x:f>
      </x:c>
      <x:c r="K1695" s="73" t="str">
        <x:f>IF(B1695="","",IF(COUNTIF($B$5:B1695,B1695)=1,COUNT($K$4:K1694)+1,""))</x:f>
      </x:c>
      <x:c r="L1695" s="85" t="str">
        <x:f>IF(B1695="","",IF(COUNTIFS('계정비교'!$A$5:$A$1004,B1695,'계정비교'!$H$5:$H$1004,"원인분석 대상")&gt;0,COUNT($L$4:L1694)+1,""))</x:f>
      </x:c>
    </x:row>
    <x:row r="1696">
      <x:c r="A1696" s="73" t="str">
        <x:f>IF('당기원장'!A696="","","당기")</x:f>
      </x:c>
      <x:c r="B1696" s="73" t="str">
        <x:f>IF('당기원장'!A696="","",'당기원장'!A696)</x:f>
      </x:c>
      <x:c r="C1696" s="73" t="str">
        <x:f>IF('당기원장'!A696="","",'당기원장'!B696)</x:f>
      </x:c>
      <x:c r="D1696" s="74" t="str">
        <x:f>IF('당기원장'!A696="","",'당기원장'!C696)</x:f>
      </x:c>
      <x:c r="E1696" s="73" t="str">
        <x:f>IF('당기원장'!A696="","",'당기원장'!D696)</x:f>
      </x:c>
      <x:c r="F1696" s="73" t="str">
        <x:f>IF('당기원장'!A696="","",'당기원장'!E696)</x:f>
      </x:c>
      <x:c r="G1696" s="75" t="str">
        <x:f>IF('당기원장'!A696="","",'당기원장'!H696)</x:f>
      </x:c>
      <x:c r="H1696" s="73" t="str">
        <x:f>IF('당기원장'!A696="","",'당기원장'!I696)</x:f>
      </x:c>
      <x:c r="I1696" s="73" t="str">
        <x:f>IF('당기원장'!A696="","",'당기원장'!J696)</x:f>
      </x:c>
      <x:c r="J1696" s="73" t="str">
        <x:f>IF('당기원장'!A696="","",'당기원장'!K696)</x:f>
      </x:c>
      <x:c r="K1696" s="73" t="str">
        <x:f>IF(B1696="","",IF(COUNTIF($B$5:B1696,B1696)=1,COUNT($K$4:K1695)+1,""))</x:f>
      </x:c>
      <x:c r="L1696" s="85" t="str">
        <x:f>IF(B1696="","",IF(COUNTIFS('계정비교'!$A$5:$A$1004,B1696,'계정비교'!$H$5:$H$1004,"원인분석 대상")&gt;0,COUNT($L$4:L1695)+1,""))</x:f>
      </x:c>
    </x:row>
    <x:row r="1697">
      <x:c r="A1697" s="73" t="str">
        <x:f>IF('당기원장'!A697="","","당기")</x:f>
      </x:c>
      <x:c r="B1697" s="73" t="str">
        <x:f>IF('당기원장'!A697="","",'당기원장'!A697)</x:f>
      </x:c>
      <x:c r="C1697" s="73" t="str">
        <x:f>IF('당기원장'!A697="","",'당기원장'!B697)</x:f>
      </x:c>
      <x:c r="D1697" s="74" t="str">
        <x:f>IF('당기원장'!A697="","",'당기원장'!C697)</x:f>
      </x:c>
      <x:c r="E1697" s="73" t="str">
        <x:f>IF('당기원장'!A697="","",'당기원장'!D697)</x:f>
      </x:c>
      <x:c r="F1697" s="73" t="str">
        <x:f>IF('당기원장'!A697="","",'당기원장'!E697)</x:f>
      </x:c>
      <x:c r="G1697" s="75" t="str">
        <x:f>IF('당기원장'!A697="","",'당기원장'!H697)</x:f>
      </x:c>
      <x:c r="H1697" s="73" t="str">
        <x:f>IF('당기원장'!A697="","",'당기원장'!I697)</x:f>
      </x:c>
      <x:c r="I1697" s="73" t="str">
        <x:f>IF('당기원장'!A697="","",'당기원장'!J697)</x:f>
      </x:c>
      <x:c r="J1697" s="73" t="str">
        <x:f>IF('당기원장'!A697="","",'당기원장'!K697)</x:f>
      </x:c>
      <x:c r="K1697" s="73" t="str">
        <x:f>IF(B1697="","",IF(COUNTIF($B$5:B1697,B1697)=1,COUNT($K$4:K1696)+1,""))</x:f>
      </x:c>
      <x:c r="L1697" s="85" t="str">
        <x:f>IF(B1697="","",IF(COUNTIFS('계정비교'!$A$5:$A$1004,B1697,'계정비교'!$H$5:$H$1004,"원인분석 대상")&gt;0,COUNT($L$4:L1696)+1,""))</x:f>
      </x:c>
    </x:row>
    <x:row r="1698">
      <x:c r="A1698" s="73" t="str">
        <x:f>IF('당기원장'!A698="","","당기")</x:f>
      </x:c>
      <x:c r="B1698" s="73" t="str">
        <x:f>IF('당기원장'!A698="","",'당기원장'!A698)</x:f>
      </x:c>
      <x:c r="C1698" s="73" t="str">
        <x:f>IF('당기원장'!A698="","",'당기원장'!B698)</x:f>
      </x:c>
      <x:c r="D1698" s="74" t="str">
        <x:f>IF('당기원장'!A698="","",'당기원장'!C698)</x:f>
      </x:c>
      <x:c r="E1698" s="73" t="str">
        <x:f>IF('당기원장'!A698="","",'당기원장'!D698)</x:f>
      </x:c>
      <x:c r="F1698" s="73" t="str">
        <x:f>IF('당기원장'!A698="","",'당기원장'!E698)</x:f>
      </x:c>
      <x:c r="G1698" s="75" t="str">
        <x:f>IF('당기원장'!A698="","",'당기원장'!H698)</x:f>
      </x:c>
      <x:c r="H1698" s="73" t="str">
        <x:f>IF('당기원장'!A698="","",'당기원장'!I698)</x:f>
      </x:c>
      <x:c r="I1698" s="73" t="str">
        <x:f>IF('당기원장'!A698="","",'당기원장'!J698)</x:f>
      </x:c>
      <x:c r="J1698" s="73" t="str">
        <x:f>IF('당기원장'!A698="","",'당기원장'!K698)</x:f>
      </x:c>
      <x:c r="K1698" s="73" t="str">
        <x:f>IF(B1698="","",IF(COUNTIF($B$5:B1698,B1698)=1,COUNT($K$4:K1697)+1,""))</x:f>
      </x:c>
      <x:c r="L1698" s="85" t="str">
        <x:f>IF(B1698="","",IF(COUNTIFS('계정비교'!$A$5:$A$1004,B1698,'계정비교'!$H$5:$H$1004,"원인분석 대상")&gt;0,COUNT($L$4:L1697)+1,""))</x:f>
      </x:c>
    </x:row>
    <x:row r="1699">
      <x:c r="A1699" s="73" t="str">
        <x:f>IF('당기원장'!A699="","","당기")</x:f>
      </x:c>
      <x:c r="B1699" s="73" t="str">
        <x:f>IF('당기원장'!A699="","",'당기원장'!A699)</x:f>
      </x:c>
      <x:c r="C1699" s="73" t="str">
        <x:f>IF('당기원장'!A699="","",'당기원장'!B699)</x:f>
      </x:c>
      <x:c r="D1699" s="74" t="str">
        <x:f>IF('당기원장'!A699="","",'당기원장'!C699)</x:f>
      </x:c>
      <x:c r="E1699" s="73" t="str">
        <x:f>IF('당기원장'!A699="","",'당기원장'!D699)</x:f>
      </x:c>
      <x:c r="F1699" s="73" t="str">
        <x:f>IF('당기원장'!A699="","",'당기원장'!E699)</x:f>
      </x:c>
      <x:c r="G1699" s="75" t="str">
        <x:f>IF('당기원장'!A699="","",'당기원장'!H699)</x:f>
      </x:c>
      <x:c r="H1699" s="73" t="str">
        <x:f>IF('당기원장'!A699="","",'당기원장'!I699)</x:f>
      </x:c>
      <x:c r="I1699" s="73" t="str">
        <x:f>IF('당기원장'!A699="","",'당기원장'!J699)</x:f>
      </x:c>
      <x:c r="J1699" s="73" t="str">
        <x:f>IF('당기원장'!A699="","",'당기원장'!K699)</x:f>
      </x:c>
      <x:c r="K1699" s="73" t="str">
        <x:f>IF(B1699="","",IF(COUNTIF($B$5:B1699,B1699)=1,COUNT($K$4:K1698)+1,""))</x:f>
      </x:c>
      <x:c r="L1699" s="85" t="str">
        <x:f>IF(B1699="","",IF(COUNTIFS('계정비교'!$A$5:$A$1004,B1699,'계정비교'!$H$5:$H$1004,"원인분석 대상")&gt;0,COUNT($L$4:L1698)+1,""))</x:f>
      </x:c>
    </x:row>
    <x:row r="1700">
      <x:c r="A1700" s="73" t="str">
        <x:f>IF('당기원장'!A700="","","당기")</x:f>
      </x:c>
      <x:c r="B1700" s="73" t="str">
        <x:f>IF('당기원장'!A700="","",'당기원장'!A700)</x:f>
      </x:c>
      <x:c r="C1700" s="73" t="str">
        <x:f>IF('당기원장'!A700="","",'당기원장'!B700)</x:f>
      </x:c>
      <x:c r="D1700" s="74" t="str">
        <x:f>IF('당기원장'!A700="","",'당기원장'!C700)</x:f>
      </x:c>
      <x:c r="E1700" s="73" t="str">
        <x:f>IF('당기원장'!A700="","",'당기원장'!D700)</x:f>
      </x:c>
      <x:c r="F1700" s="73" t="str">
        <x:f>IF('당기원장'!A700="","",'당기원장'!E700)</x:f>
      </x:c>
      <x:c r="G1700" s="75" t="str">
        <x:f>IF('당기원장'!A700="","",'당기원장'!H700)</x:f>
      </x:c>
      <x:c r="H1700" s="73" t="str">
        <x:f>IF('당기원장'!A700="","",'당기원장'!I700)</x:f>
      </x:c>
      <x:c r="I1700" s="73" t="str">
        <x:f>IF('당기원장'!A700="","",'당기원장'!J700)</x:f>
      </x:c>
      <x:c r="J1700" s="73" t="str">
        <x:f>IF('당기원장'!A700="","",'당기원장'!K700)</x:f>
      </x:c>
      <x:c r="K1700" s="73" t="str">
        <x:f>IF(B1700="","",IF(COUNTIF($B$5:B1700,B1700)=1,COUNT($K$4:K1699)+1,""))</x:f>
      </x:c>
      <x:c r="L1700" s="85" t="str">
        <x:f>IF(B1700="","",IF(COUNTIFS('계정비교'!$A$5:$A$1004,B1700,'계정비교'!$H$5:$H$1004,"원인분석 대상")&gt;0,COUNT($L$4:L1699)+1,""))</x:f>
      </x:c>
    </x:row>
    <x:row r="1701">
      <x:c r="A1701" s="73" t="str">
        <x:f>IF('당기원장'!A701="","","당기")</x:f>
      </x:c>
      <x:c r="B1701" s="73" t="str">
        <x:f>IF('당기원장'!A701="","",'당기원장'!A701)</x:f>
      </x:c>
      <x:c r="C1701" s="73" t="str">
        <x:f>IF('당기원장'!A701="","",'당기원장'!B701)</x:f>
      </x:c>
      <x:c r="D1701" s="74" t="str">
        <x:f>IF('당기원장'!A701="","",'당기원장'!C701)</x:f>
      </x:c>
      <x:c r="E1701" s="73" t="str">
        <x:f>IF('당기원장'!A701="","",'당기원장'!D701)</x:f>
      </x:c>
      <x:c r="F1701" s="73" t="str">
        <x:f>IF('당기원장'!A701="","",'당기원장'!E701)</x:f>
      </x:c>
      <x:c r="G1701" s="75" t="str">
        <x:f>IF('당기원장'!A701="","",'당기원장'!H701)</x:f>
      </x:c>
      <x:c r="H1701" s="73" t="str">
        <x:f>IF('당기원장'!A701="","",'당기원장'!I701)</x:f>
      </x:c>
      <x:c r="I1701" s="73" t="str">
        <x:f>IF('당기원장'!A701="","",'당기원장'!J701)</x:f>
      </x:c>
      <x:c r="J1701" s="73" t="str">
        <x:f>IF('당기원장'!A701="","",'당기원장'!K701)</x:f>
      </x:c>
      <x:c r="K1701" s="73" t="str">
        <x:f>IF(B1701="","",IF(COUNTIF($B$5:B1701,B1701)=1,COUNT($K$4:K1700)+1,""))</x:f>
      </x:c>
      <x:c r="L1701" s="85" t="str">
        <x:f>IF(B1701="","",IF(COUNTIFS('계정비교'!$A$5:$A$1004,B1701,'계정비교'!$H$5:$H$1004,"원인분석 대상")&gt;0,COUNT($L$4:L1700)+1,""))</x:f>
      </x:c>
    </x:row>
    <x:row r="1702">
      <x:c r="A1702" s="73" t="str">
        <x:f>IF('당기원장'!A702="","","당기")</x:f>
      </x:c>
      <x:c r="B1702" s="73" t="str">
        <x:f>IF('당기원장'!A702="","",'당기원장'!A702)</x:f>
      </x:c>
      <x:c r="C1702" s="73" t="str">
        <x:f>IF('당기원장'!A702="","",'당기원장'!B702)</x:f>
      </x:c>
      <x:c r="D1702" s="74" t="str">
        <x:f>IF('당기원장'!A702="","",'당기원장'!C702)</x:f>
      </x:c>
      <x:c r="E1702" s="73" t="str">
        <x:f>IF('당기원장'!A702="","",'당기원장'!D702)</x:f>
      </x:c>
      <x:c r="F1702" s="73" t="str">
        <x:f>IF('당기원장'!A702="","",'당기원장'!E702)</x:f>
      </x:c>
      <x:c r="G1702" s="75" t="str">
        <x:f>IF('당기원장'!A702="","",'당기원장'!H702)</x:f>
      </x:c>
      <x:c r="H1702" s="73" t="str">
        <x:f>IF('당기원장'!A702="","",'당기원장'!I702)</x:f>
      </x:c>
      <x:c r="I1702" s="73" t="str">
        <x:f>IF('당기원장'!A702="","",'당기원장'!J702)</x:f>
      </x:c>
      <x:c r="J1702" s="73" t="str">
        <x:f>IF('당기원장'!A702="","",'당기원장'!K702)</x:f>
      </x:c>
      <x:c r="K1702" s="73" t="str">
        <x:f>IF(B1702="","",IF(COUNTIF($B$5:B1702,B1702)=1,COUNT($K$4:K1701)+1,""))</x:f>
      </x:c>
      <x:c r="L1702" s="85" t="str">
        <x:f>IF(B1702="","",IF(COUNTIFS('계정비교'!$A$5:$A$1004,B1702,'계정비교'!$H$5:$H$1004,"원인분석 대상")&gt;0,COUNT($L$4:L1701)+1,""))</x:f>
      </x:c>
    </x:row>
    <x:row r="1703">
      <x:c r="A1703" s="73" t="str">
        <x:f>IF('당기원장'!A703="","","당기")</x:f>
      </x:c>
      <x:c r="B1703" s="73" t="str">
        <x:f>IF('당기원장'!A703="","",'당기원장'!A703)</x:f>
      </x:c>
      <x:c r="C1703" s="73" t="str">
        <x:f>IF('당기원장'!A703="","",'당기원장'!B703)</x:f>
      </x:c>
      <x:c r="D1703" s="74" t="str">
        <x:f>IF('당기원장'!A703="","",'당기원장'!C703)</x:f>
      </x:c>
      <x:c r="E1703" s="73" t="str">
        <x:f>IF('당기원장'!A703="","",'당기원장'!D703)</x:f>
      </x:c>
      <x:c r="F1703" s="73" t="str">
        <x:f>IF('당기원장'!A703="","",'당기원장'!E703)</x:f>
      </x:c>
      <x:c r="G1703" s="75" t="str">
        <x:f>IF('당기원장'!A703="","",'당기원장'!H703)</x:f>
      </x:c>
      <x:c r="H1703" s="73" t="str">
        <x:f>IF('당기원장'!A703="","",'당기원장'!I703)</x:f>
      </x:c>
      <x:c r="I1703" s="73" t="str">
        <x:f>IF('당기원장'!A703="","",'당기원장'!J703)</x:f>
      </x:c>
      <x:c r="J1703" s="73" t="str">
        <x:f>IF('당기원장'!A703="","",'당기원장'!K703)</x:f>
      </x:c>
      <x:c r="K1703" s="73" t="str">
        <x:f>IF(B1703="","",IF(COUNTIF($B$5:B1703,B1703)=1,COUNT($K$4:K1702)+1,""))</x:f>
      </x:c>
      <x:c r="L1703" s="85" t="str">
        <x:f>IF(B1703="","",IF(COUNTIFS('계정비교'!$A$5:$A$1004,B1703,'계정비교'!$H$5:$H$1004,"원인분석 대상")&gt;0,COUNT($L$4:L1702)+1,""))</x:f>
      </x:c>
    </x:row>
    <x:row r="1704">
      <x:c r="A1704" s="73" t="str">
        <x:f>IF('당기원장'!A704="","","당기")</x:f>
      </x:c>
      <x:c r="B1704" s="73" t="str">
        <x:f>IF('당기원장'!A704="","",'당기원장'!A704)</x:f>
      </x:c>
      <x:c r="C1704" s="73" t="str">
        <x:f>IF('당기원장'!A704="","",'당기원장'!B704)</x:f>
      </x:c>
      <x:c r="D1704" s="74" t="str">
        <x:f>IF('당기원장'!A704="","",'당기원장'!C704)</x:f>
      </x:c>
      <x:c r="E1704" s="73" t="str">
        <x:f>IF('당기원장'!A704="","",'당기원장'!D704)</x:f>
      </x:c>
      <x:c r="F1704" s="73" t="str">
        <x:f>IF('당기원장'!A704="","",'당기원장'!E704)</x:f>
      </x:c>
      <x:c r="G1704" s="75" t="str">
        <x:f>IF('당기원장'!A704="","",'당기원장'!H704)</x:f>
      </x:c>
      <x:c r="H1704" s="73" t="str">
        <x:f>IF('당기원장'!A704="","",'당기원장'!I704)</x:f>
      </x:c>
      <x:c r="I1704" s="73" t="str">
        <x:f>IF('당기원장'!A704="","",'당기원장'!J704)</x:f>
      </x:c>
      <x:c r="J1704" s="73" t="str">
        <x:f>IF('당기원장'!A704="","",'당기원장'!K704)</x:f>
      </x:c>
      <x:c r="K1704" s="73" t="str">
        <x:f>IF(B1704="","",IF(COUNTIF($B$5:B1704,B1704)=1,COUNT($K$4:K1703)+1,""))</x:f>
      </x:c>
      <x:c r="L1704" s="85" t="str">
        <x:f>IF(B1704="","",IF(COUNTIFS('계정비교'!$A$5:$A$1004,B1704,'계정비교'!$H$5:$H$1004,"원인분석 대상")&gt;0,COUNT($L$4:L1703)+1,""))</x:f>
      </x:c>
    </x:row>
    <x:row r="1705">
      <x:c r="A1705" s="73" t="str">
        <x:f>IF('당기원장'!A705="","","당기")</x:f>
      </x:c>
      <x:c r="B1705" s="73" t="str">
        <x:f>IF('당기원장'!A705="","",'당기원장'!A705)</x:f>
      </x:c>
      <x:c r="C1705" s="73" t="str">
        <x:f>IF('당기원장'!A705="","",'당기원장'!B705)</x:f>
      </x:c>
      <x:c r="D1705" s="74" t="str">
        <x:f>IF('당기원장'!A705="","",'당기원장'!C705)</x:f>
      </x:c>
      <x:c r="E1705" s="73" t="str">
        <x:f>IF('당기원장'!A705="","",'당기원장'!D705)</x:f>
      </x:c>
      <x:c r="F1705" s="73" t="str">
        <x:f>IF('당기원장'!A705="","",'당기원장'!E705)</x:f>
      </x:c>
      <x:c r="G1705" s="75" t="str">
        <x:f>IF('당기원장'!A705="","",'당기원장'!H705)</x:f>
      </x:c>
      <x:c r="H1705" s="73" t="str">
        <x:f>IF('당기원장'!A705="","",'당기원장'!I705)</x:f>
      </x:c>
      <x:c r="I1705" s="73" t="str">
        <x:f>IF('당기원장'!A705="","",'당기원장'!J705)</x:f>
      </x:c>
      <x:c r="J1705" s="73" t="str">
        <x:f>IF('당기원장'!A705="","",'당기원장'!K705)</x:f>
      </x:c>
      <x:c r="K1705" s="73" t="str">
        <x:f>IF(B1705="","",IF(COUNTIF($B$5:B1705,B1705)=1,COUNT($K$4:K1704)+1,""))</x:f>
      </x:c>
      <x:c r="L1705" s="85" t="str">
        <x:f>IF(B1705="","",IF(COUNTIFS('계정비교'!$A$5:$A$1004,B1705,'계정비교'!$H$5:$H$1004,"원인분석 대상")&gt;0,COUNT($L$4:L1704)+1,""))</x:f>
      </x:c>
    </x:row>
    <x:row r="1706">
      <x:c r="A1706" s="73" t="str">
        <x:f>IF('당기원장'!A706="","","당기")</x:f>
      </x:c>
      <x:c r="B1706" s="73" t="str">
        <x:f>IF('당기원장'!A706="","",'당기원장'!A706)</x:f>
      </x:c>
      <x:c r="C1706" s="73" t="str">
        <x:f>IF('당기원장'!A706="","",'당기원장'!B706)</x:f>
      </x:c>
      <x:c r="D1706" s="74" t="str">
        <x:f>IF('당기원장'!A706="","",'당기원장'!C706)</x:f>
      </x:c>
      <x:c r="E1706" s="73" t="str">
        <x:f>IF('당기원장'!A706="","",'당기원장'!D706)</x:f>
      </x:c>
      <x:c r="F1706" s="73" t="str">
        <x:f>IF('당기원장'!A706="","",'당기원장'!E706)</x:f>
      </x:c>
      <x:c r="G1706" s="75" t="str">
        <x:f>IF('당기원장'!A706="","",'당기원장'!H706)</x:f>
      </x:c>
      <x:c r="H1706" s="73" t="str">
        <x:f>IF('당기원장'!A706="","",'당기원장'!I706)</x:f>
      </x:c>
      <x:c r="I1706" s="73" t="str">
        <x:f>IF('당기원장'!A706="","",'당기원장'!J706)</x:f>
      </x:c>
      <x:c r="J1706" s="73" t="str">
        <x:f>IF('당기원장'!A706="","",'당기원장'!K706)</x:f>
      </x:c>
      <x:c r="K1706" s="73" t="str">
        <x:f>IF(B1706="","",IF(COUNTIF($B$5:B1706,B1706)=1,COUNT($K$4:K1705)+1,""))</x:f>
      </x:c>
      <x:c r="L1706" s="85" t="str">
        <x:f>IF(B1706="","",IF(COUNTIFS('계정비교'!$A$5:$A$1004,B1706,'계정비교'!$H$5:$H$1004,"원인분석 대상")&gt;0,COUNT($L$4:L1705)+1,""))</x:f>
      </x:c>
    </x:row>
    <x:row r="1707">
      <x:c r="A1707" s="73" t="str">
        <x:f>IF('당기원장'!A707="","","당기")</x:f>
      </x:c>
      <x:c r="B1707" s="73" t="str">
        <x:f>IF('당기원장'!A707="","",'당기원장'!A707)</x:f>
      </x:c>
      <x:c r="C1707" s="73" t="str">
        <x:f>IF('당기원장'!A707="","",'당기원장'!B707)</x:f>
      </x:c>
      <x:c r="D1707" s="74" t="str">
        <x:f>IF('당기원장'!A707="","",'당기원장'!C707)</x:f>
      </x:c>
      <x:c r="E1707" s="73" t="str">
        <x:f>IF('당기원장'!A707="","",'당기원장'!D707)</x:f>
      </x:c>
      <x:c r="F1707" s="73" t="str">
        <x:f>IF('당기원장'!A707="","",'당기원장'!E707)</x:f>
      </x:c>
      <x:c r="G1707" s="75" t="str">
        <x:f>IF('당기원장'!A707="","",'당기원장'!H707)</x:f>
      </x:c>
      <x:c r="H1707" s="73" t="str">
        <x:f>IF('당기원장'!A707="","",'당기원장'!I707)</x:f>
      </x:c>
      <x:c r="I1707" s="73" t="str">
        <x:f>IF('당기원장'!A707="","",'당기원장'!J707)</x:f>
      </x:c>
      <x:c r="J1707" s="73" t="str">
        <x:f>IF('당기원장'!A707="","",'당기원장'!K707)</x:f>
      </x:c>
      <x:c r="K1707" s="73" t="str">
        <x:f>IF(B1707="","",IF(COUNTIF($B$5:B1707,B1707)=1,COUNT($K$4:K1706)+1,""))</x:f>
      </x:c>
      <x:c r="L1707" s="85" t="str">
        <x:f>IF(B1707="","",IF(COUNTIFS('계정비교'!$A$5:$A$1004,B1707,'계정비교'!$H$5:$H$1004,"원인분석 대상")&gt;0,COUNT($L$4:L1706)+1,""))</x:f>
      </x:c>
    </x:row>
    <x:row r="1708">
      <x:c r="A1708" s="73" t="str">
        <x:f>IF('당기원장'!A708="","","당기")</x:f>
      </x:c>
      <x:c r="B1708" s="73" t="str">
        <x:f>IF('당기원장'!A708="","",'당기원장'!A708)</x:f>
      </x:c>
      <x:c r="C1708" s="73" t="str">
        <x:f>IF('당기원장'!A708="","",'당기원장'!B708)</x:f>
      </x:c>
      <x:c r="D1708" s="74" t="str">
        <x:f>IF('당기원장'!A708="","",'당기원장'!C708)</x:f>
      </x:c>
      <x:c r="E1708" s="73" t="str">
        <x:f>IF('당기원장'!A708="","",'당기원장'!D708)</x:f>
      </x:c>
      <x:c r="F1708" s="73" t="str">
        <x:f>IF('당기원장'!A708="","",'당기원장'!E708)</x:f>
      </x:c>
      <x:c r="G1708" s="75" t="str">
        <x:f>IF('당기원장'!A708="","",'당기원장'!H708)</x:f>
      </x:c>
      <x:c r="H1708" s="73" t="str">
        <x:f>IF('당기원장'!A708="","",'당기원장'!I708)</x:f>
      </x:c>
      <x:c r="I1708" s="73" t="str">
        <x:f>IF('당기원장'!A708="","",'당기원장'!J708)</x:f>
      </x:c>
      <x:c r="J1708" s="73" t="str">
        <x:f>IF('당기원장'!A708="","",'당기원장'!K708)</x:f>
      </x:c>
      <x:c r="K1708" s="73" t="str">
        <x:f>IF(B1708="","",IF(COUNTIF($B$5:B1708,B1708)=1,COUNT($K$4:K1707)+1,""))</x:f>
      </x:c>
      <x:c r="L1708" s="85" t="str">
        <x:f>IF(B1708="","",IF(COUNTIFS('계정비교'!$A$5:$A$1004,B1708,'계정비교'!$H$5:$H$1004,"원인분석 대상")&gt;0,COUNT($L$4:L1707)+1,""))</x:f>
      </x:c>
    </x:row>
    <x:row r="1709">
      <x:c r="A1709" s="73" t="str">
        <x:f>IF('당기원장'!A709="","","당기")</x:f>
      </x:c>
      <x:c r="B1709" s="73" t="str">
        <x:f>IF('당기원장'!A709="","",'당기원장'!A709)</x:f>
      </x:c>
      <x:c r="C1709" s="73" t="str">
        <x:f>IF('당기원장'!A709="","",'당기원장'!B709)</x:f>
      </x:c>
      <x:c r="D1709" s="74" t="str">
        <x:f>IF('당기원장'!A709="","",'당기원장'!C709)</x:f>
      </x:c>
      <x:c r="E1709" s="73" t="str">
        <x:f>IF('당기원장'!A709="","",'당기원장'!D709)</x:f>
      </x:c>
      <x:c r="F1709" s="73" t="str">
        <x:f>IF('당기원장'!A709="","",'당기원장'!E709)</x:f>
      </x:c>
      <x:c r="G1709" s="75" t="str">
        <x:f>IF('당기원장'!A709="","",'당기원장'!H709)</x:f>
      </x:c>
      <x:c r="H1709" s="73" t="str">
        <x:f>IF('당기원장'!A709="","",'당기원장'!I709)</x:f>
      </x:c>
      <x:c r="I1709" s="73" t="str">
        <x:f>IF('당기원장'!A709="","",'당기원장'!J709)</x:f>
      </x:c>
      <x:c r="J1709" s="73" t="str">
        <x:f>IF('당기원장'!A709="","",'당기원장'!K709)</x:f>
      </x:c>
      <x:c r="K1709" s="73" t="str">
        <x:f>IF(B1709="","",IF(COUNTIF($B$5:B1709,B1709)=1,COUNT($K$4:K1708)+1,""))</x:f>
      </x:c>
      <x:c r="L1709" s="85" t="str">
        <x:f>IF(B1709="","",IF(COUNTIFS('계정비교'!$A$5:$A$1004,B1709,'계정비교'!$H$5:$H$1004,"원인분석 대상")&gt;0,COUNT($L$4:L1708)+1,""))</x:f>
      </x:c>
    </x:row>
    <x:row r="1710">
      <x:c r="A1710" s="73" t="str">
        <x:f>IF('당기원장'!A710="","","당기")</x:f>
      </x:c>
      <x:c r="B1710" s="73" t="str">
        <x:f>IF('당기원장'!A710="","",'당기원장'!A710)</x:f>
      </x:c>
      <x:c r="C1710" s="73" t="str">
        <x:f>IF('당기원장'!A710="","",'당기원장'!B710)</x:f>
      </x:c>
      <x:c r="D1710" s="74" t="str">
        <x:f>IF('당기원장'!A710="","",'당기원장'!C710)</x:f>
      </x:c>
      <x:c r="E1710" s="73" t="str">
        <x:f>IF('당기원장'!A710="","",'당기원장'!D710)</x:f>
      </x:c>
      <x:c r="F1710" s="73" t="str">
        <x:f>IF('당기원장'!A710="","",'당기원장'!E710)</x:f>
      </x:c>
      <x:c r="G1710" s="75" t="str">
        <x:f>IF('당기원장'!A710="","",'당기원장'!H710)</x:f>
      </x:c>
      <x:c r="H1710" s="73" t="str">
        <x:f>IF('당기원장'!A710="","",'당기원장'!I710)</x:f>
      </x:c>
      <x:c r="I1710" s="73" t="str">
        <x:f>IF('당기원장'!A710="","",'당기원장'!J710)</x:f>
      </x:c>
      <x:c r="J1710" s="73" t="str">
        <x:f>IF('당기원장'!A710="","",'당기원장'!K710)</x:f>
      </x:c>
      <x:c r="K1710" s="73" t="str">
        <x:f>IF(B1710="","",IF(COUNTIF($B$5:B1710,B1710)=1,COUNT($K$4:K1709)+1,""))</x:f>
      </x:c>
      <x:c r="L1710" s="85" t="str">
        <x:f>IF(B1710="","",IF(COUNTIFS('계정비교'!$A$5:$A$1004,B1710,'계정비교'!$H$5:$H$1004,"원인분석 대상")&gt;0,COUNT($L$4:L1709)+1,""))</x:f>
      </x:c>
    </x:row>
    <x:row r="1711">
      <x:c r="A1711" s="73" t="str">
        <x:f>IF('당기원장'!A711="","","당기")</x:f>
      </x:c>
      <x:c r="B1711" s="73" t="str">
        <x:f>IF('당기원장'!A711="","",'당기원장'!A711)</x:f>
      </x:c>
      <x:c r="C1711" s="73" t="str">
        <x:f>IF('당기원장'!A711="","",'당기원장'!B711)</x:f>
      </x:c>
      <x:c r="D1711" s="74" t="str">
        <x:f>IF('당기원장'!A711="","",'당기원장'!C711)</x:f>
      </x:c>
      <x:c r="E1711" s="73" t="str">
        <x:f>IF('당기원장'!A711="","",'당기원장'!D711)</x:f>
      </x:c>
      <x:c r="F1711" s="73" t="str">
        <x:f>IF('당기원장'!A711="","",'당기원장'!E711)</x:f>
      </x:c>
      <x:c r="G1711" s="75" t="str">
        <x:f>IF('당기원장'!A711="","",'당기원장'!H711)</x:f>
      </x:c>
      <x:c r="H1711" s="73" t="str">
        <x:f>IF('당기원장'!A711="","",'당기원장'!I711)</x:f>
      </x:c>
      <x:c r="I1711" s="73" t="str">
        <x:f>IF('당기원장'!A711="","",'당기원장'!J711)</x:f>
      </x:c>
      <x:c r="J1711" s="73" t="str">
        <x:f>IF('당기원장'!A711="","",'당기원장'!K711)</x:f>
      </x:c>
      <x:c r="K1711" s="73" t="str">
        <x:f>IF(B1711="","",IF(COUNTIF($B$5:B1711,B1711)=1,COUNT($K$4:K1710)+1,""))</x:f>
      </x:c>
      <x:c r="L1711" s="85" t="str">
        <x:f>IF(B1711="","",IF(COUNTIFS('계정비교'!$A$5:$A$1004,B1711,'계정비교'!$H$5:$H$1004,"원인분석 대상")&gt;0,COUNT($L$4:L1710)+1,""))</x:f>
      </x:c>
    </x:row>
    <x:row r="1712">
      <x:c r="A1712" s="73" t="str">
        <x:f>IF('당기원장'!A712="","","당기")</x:f>
      </x:c>
      <x:c r="B1712" s="73" t="str">
        <x:f>IF('당기원장'!A712="","",'당기원장'!A712)</x:f>
      </x:c>
      <x:c r="C1712" s="73" t="str">
        <x:f>IF('당기원장'!A712="","",'당기원장'!B712)</x:f>
      </x:c>
      <x:c r="D1712" s="74" t="str">
        <x:f>IF('당기원장'!A712="","",'당기원장'!C712)</x:f>
      </x:c>
      <x:c r="E1712" s="73" t="str">
        <x:f>IF('당기원장'!A712="","",'당기원장'!D712)</x:f>
      </x:c>
      <x:c r="F1712" s="73" t="str">
        <x:f>IF('당기원장'!A712="","",'당기원장'!E712)</x:f>
      </x:c>
      <x:c r="G1712" s="75" t="str">
        <x:f>IF('당기원장'!A712="","",'당기원장'!H712)</x:f>
      </x:c>
      <x:c r="H1712" s="73" t="str">
        <x:f>IF('당기원장'!A712="","",'당기원장'!I712)</x:f>
      </x:c>
      <x:c r="I1712" s="73" t="str">
        <x:f>IF('당기원장'!A712="","",'당기원장'!J712)</x:f>
      </x:c>
      <x:c r="J1712" s="73" t="str">
        <x:f>IF('당기원장'!A712="","",'당기원장'!K712)</x:f>
      </x:c>
      <x:c r="K1712" s="73" t="str">
        <x:f>IF(B1712="","",IF(COUNTIF($B$5:B1712,B1712)=1,COUNT($K$4:K1711)+1,""))</x:f>
      </x:c>
      <x:c r="L1712" s="85" t="str">
        <x:f>IF(B1712="","",IF(COUNTIFS('계정비교'!$A$5:$A$1004,B1712,'계정비교'!$H$5:$H$1004,"원인분석 대상")&gt;0,COUNT($L$4:L1711)+1,""))</x:f>
      </x:c>
    </x:row>
    <x:row r="1713">
      <x:c r="A1713" s="73" t="str">
        <x:f>IF('당기원장'!A713="","","당기")</x:f>
      </x:c>
      <x:c r="B1713" s="73" t="str">
        <x:f>IF('당기원장'!A713="","",'당기원장'!A713)</x:f>
      </x:c>
      <x:c r="C1713" s="73" t="str">
        <x:f>IF('당기원장'!A713="","",'당기원장'!B713)</x:f>
      </x:c>
      <x:c r="D1713" s="74" t="str">
        <x:f>IF('당기원장'!A713="","",'당기원장'!C713)</x:f>
      </x:c>
      <x:c r="E1713" s="73" t="str">
        <x:f>IF('당기원장'!A713="","",'당기원장'!D713)</x:f>
      </x:c>
      <x:c r="F1713" s="73" t="str">
        <x:f>IF('당기원장'!A713="","",'당기원장'!E713)</x:f>
      </x:c>
      <x:c r="G1713" s="75" t="str">
        <x:f>IF('당기원장'!A713="","",'당기원장'!H713)</x:f>
      </x:c>
      <x:c r="H1713" s="73" t="str">
        <x:f>IF('당기원장'!A713="","",'당기원장'!I713)</x:f>
      </x:c>
      <x:c r="I1713" s="73" t="str">
        <x:f>IF('당기원장'!A713="","",'당기원장'!J713)</x:f>
      </x:c>
      <x:c r="J1713" s="73" t="str">
        <x:f>IF('당기원장'!A713="","",'당기원장'!K713)</x:f>
      </x:c>
      <x:c r="K1713" s="73" t="str">
        <x:f>IF(B1713="","",IF(COUNTIF($B$5:B1713,B1713)=1,COUNT($K$4:K1712)+1,""))</x:f>
      </x:c>
      <x:c r="L1713" s="85" t="str">
        <x:f>IF(B1713="","",IF(COUNTIFS('계정비교'!$A$5:$A$1004,B1713,'계정비교'!$H$5:$H$1004,"원인분석 대상")&gt;0,COUNT($L$4:L1712)+1,""))</x:f>
      </x:c>
    </x:row>
    <x:row r="1714">
      <x:c r="A1714" s="73" t="str">
        <x:f>IF('당기원장'!A714="","","당기")</x:f>
      </x:c>
      <x:c r="B1714" s="73" t="str">
        <x:f>IF('당기원장'!A714="","",'당기원장'!A714)</x:f>
      </x:c>
      <x:c r="C1714" s="73" t="str">
        <x:f>IF('당기원장'!A714="","",'당기원장'!B714)</x:f>
      </x:c>
      <x:c r="D1714" s="74" t="str">
        <x:f>IF('당기원장'!A714="","",'당기원장'!C714)</x:f>
      </x:c>
      <x:c r="E1714" s="73" t="str">
        <x:f>IF('당기원장'!A714="","",'당기원장'!D714)</x:f>
      </x:c>
      <x:c r="F1714" s="73" t="str">
        <x:f>IF('당기원장'!A714="","",'당기원장'!E714)</x:f>
      </x:c>
      <x:c r="G1714" s="75" t="str">
        <x:f>IF('당기원장'!A714="","",'당기원장'!H714)</x:f>
      </x:c>
      <x:c r="H1714" s="73" t="str">
        <x:f>IF('당기원장'!A714="","",'당기원장'!I714)</x:f>
      </x:c>
      <x:c r="I1714" s="73" t="str">
        <x:f>IF('당기원장'!A714="","",'당기원장'!J714)</x:f>
      </x:c>
      <x:c r="J1714" s="73" t="str">
        <x:f>IF('당기원장'!A714="","",'당기원장'!K714)</x:f>
      </x:c>
      <x:c r="K1714" s="73" t="str">
        <x:f>IF(B1714="","",IF(COUNTIF($B$5:B1714,B1714)=1,COUNT($K$4:K1713)+1,""))</x:f>
      </x:c>
      <x:c r="L1714" s="85" t="str">
        <x:f>IF(B1714="","",IF(COUNTIFS('계정비교'!$A$5:$A$1004,B1714,'계정비교'!$H$5:$H$1004,"원인분석 대상")&gt;0,COUNT($L$4:L1713)+1,""))</x:f>
      </x:c>
    </x:row>
    <x:row r="1715">
      <x:c r="A1715" s="73" t="str">
        <x:f>IF('당기원장'!A715="","","당기")</x:f>
      </x:c>
      <x:c r="B1715" s="73" t="str">
        <x:f>IF('당기원장'!A715="","",'당기원장'!A715)</x:f>
      </x:c>
      <x:c r="C1715" s="73" t="str">
        <x:f>IF('당기원장'!A715="","",'당기원장'!B715)</x:f>
      </x:c>
      <x:c r="D1715" s="74" t="str">
        <x:f>IF('당기원장'!A715="","",'당기원장'!C715)</x:f>
      </x:c>
      <x:c r="E1715" s="73" t="str">
        <x:f>IF('당기원장'!A715="","",'당기원장'!D715)</x:f>
      </x:c>
      <x:c r="F1715" s="73" t="str">
        <x:f>IF('당기원장'!A715="","",'당기원장'!E715)</x:f>
      </x:c>
      <x:c r="G1715" s="75" t="str">
        <x:f>IF('당기원장'!A715="","",'당기원장'!H715)</x:f>
      </x:c>
      <x:c r="H1715" s="73" t="str">
        <x:f>IF('당기원장'!A715="","",'당기원장'!I715)</x:f>
      </x:c>
      <x:c r="I1715" s="73" t="str">
        <x:f>IF('당기원장'!A715="","",'당기원장'!J715)</x:f>
      </x:c>
      <x:c r="J1715" s="73" t="str">
        <x:f>IF('당기원장'!A715="","",'당기원장'!K715)</x:f>
      </x:c>
      <x:c r="K1715" s="73" t="str">
        <x:f>IF(B1715="","",IF(COUNTIF($B$5:B1715,B1715)=1,COUNT($K$4:K1714)+1,""))</x:f>
      </x:c>
      <x:c r="L1715" s="85" t="str">
        <x:f>IF(B1715="","",IF(COUNTIFS('계정비교'!$A$5:$A$1004,B1715,'계정비교'!$H$5:$H$1004,"원인분석 대상")&gt;0,COUNT($L$4:L1714)+1,""))</x:f>
      </x:c>
    </x:row>
    <x:row r="1716">
      <x:c r="A1716" s="73" t="str">
        <x:f>IF('당기원장'!A716="","","당기")</x:f>
      </x:c>
      <x:c r="B1716" s="73" t="str">
        <x:f>IF('당기원장'!A716="","",'당기원장'!A716)</x:f>
      </x:c>
      <x:c r="C1716" s="73" t="str">
        <x:f>IF('당기원장'!A716="","",'당기원장'!B716)</x:f>
      </x:c>
      <x:c r="D1716" s="74" t="str">
        <x:f>IF('당기원장'!A716="","",'당기원장'!C716)</x:f>
      </x:c>
      <x:c r="E1716" s="73" t="str">
        <x:f>IF('당기원장'!A716="","",'당기원장'!D716)</x:f>
      </x:c>
      <x:c r="F1716" s="73" t="str">
        <x:f>IF('당기원장'!A716="","",'당기원장'!E716)</x:f>
      </x:c>
      <x:c r="G1716" s="75" t="str">
        <x:f>IF('당기원장'!A716="","",'당기원장'!H716)</x:f>
      </x:c>
      <x:c r="H1716" s="73" t="str">
        <x:f>IF('당기원장'!A716="","",'당기원장'!I716)</x:f>
      </x:c>
      <x:c r="I1716" s="73" t="str">
        <x:f>IF('당기원장'!A716="","",'당기원장'!J716)</x:f>
      </x:c>
      <x:c r="J1716" s="73" t="str">
        <x:f>IF('당기원장'!A716="","",'당기원장'!K716)</x:f>
      </x:c>
      <x:c r="K1716" s="73" t="str">
        <x:f>IF(B1716="","",IF(COUNTIF($B$5:B1716,B1716)=1,COUNT($K$4:K1715)+1,""))</x:f>
      </x:c>
      <x:c r="L1716" s="85" t="str">
        <x:f>IF(B1716="","",IF(COUNTIFS('계정비교'!$A$5:$A$1004,B1716,'계정비교'!$H$5:$H$1004,"원인분석 대상")&gt;0,COUNT($L$4:L1715)+1,""))</x:f>
      </x:c>
    </x:row>
    <x:row r="1717">
      <x:c r="A1717" s="73" t="str">
        <x:f>IF('당기원장'!A717="","","당기")</x:f>
      </x:c>
      <x:c r="B1717" s="73" t="str">
        <x:f>IF('당기원장'!A717="","",'당기원장'!A717)</x:f>
      </x:c>
      <x:c r="C1717" s="73" t="str">
        <x:f>IF('당기원장'!A717="","",'당기원장'!B717)</x:f>
      </x:c>
      <x:c r="D1717" s="74" t="str">
        <x:f>IF('당기원장'!A717="","",'당기원장'!C717)</x:f>
      </x:c>
      <x:c r="E1717" s="73" t="str">
        <x:f>IF('당기원장'!A717="","",'당기원장'!D717)</x:f>
      </x:c>
      <x:c r="F1717" s="73" t="str">
        <x:f>IF('당기원장'!A717="","",'당기원장'!E717)</x:f>
      </x:c>
      <x:c r="G1717" s="75" t="str">
        <x:f>IF('당기원장'!A717="","",'당기원장'!H717)</x:f>
      </x:c>
      <x:c r="H1717" s="73" t="str">
        <x:f>IF('당기원장'!A717="","",'당기원장'!I717)</x:f>
      </x:c>
      <x:c r="I1717" s="73" t="str">
        <x:f>IF('당기원장'!A717="","",'당기원장'!J717)</x:f>
      </x:c>
      <x:c r="J1717" s="73" t="str">
        <x:f>IF('당기원장'!A717="","",'당기원장'!K717)</x:f>
      </x:c>
      <x:c r="K1717" s="73" t="str">
        <x:f>IF(B1717="","",IF(COUNTIF($B$5:B1717,B1717)=1,COUNT($K$4:K1716)+1,""))</x:f>
      </x:c>
      <x:c r="L1717" s="85" t="str">
        <x:f>IF(B1717="","",IF(COUNTIFS('계정비교'!$A$5:$A$1004,B1717,'계정비교'!$H$5:$H$1004,"원인분석 대상")&gt;0,COUNT($L$4:L1716)+1,""))</x:f>
      </x:c>
    </x:row>
    <x:row r="1718">
      <x:c r="A1718" s="73" t="str">
        <x:f>IF('당기원장'!A718="","","당기")</x:f>
      </x:c>
      <x:c r="B1718" s="73" t="str">
        <x:f>IF('당기원장'!A718="","",'당기원장'!A718)</x:f>
      </x:c>
      <x:c r="C1718" s="73" t="str">
        <x:f>IF('당기원장'!A718="","",'당기원장'!B718)</x:f>
      </x:c>
      <x:c r="D1718" s="74" t="str">
        <x:f>IF('당기원장'!A718="","",'당기원장'!C718)</x:f>
      </x:c>
      <x:c r="E1718" s="73" t="str">
        <x:f>IF('당기원장'!A718="","",'당기원장'!D718)</x:f>
      </x:c>
      <x:c r="F1718" s="73" t="str">
        <x:f>IF('당기원장'!A718="","",'당기원장'!E718)</x:f>
      </x:c>
      <x:c r="G1718" s="75" t="str">
        <x:f>IF('당기원장'!A718="","",'당기원장'!H718)</x:f>
      </x:c>
      <x:c r="H1718" s="73" t="str">
        <x:f>IF('당기원장'!A718="","",'당기원장'!I718)</x:f>
      </x:c>
      <x:c r="I1718" s="73" t="str">
        <x:f>IF('당기원장'!A718="","",'당기원장'!J718)</x:f>
      </x:c>
      <x:c r="J1718" s="73" t="str">
        <x:f>IF('당기원장'!A718="","",'당기원장'!K718)</x:f>
      </x:c>
      <x:c r="K1718" s="73" t="str">
        <x:f>IF(B1718="","",IF(COUNTIF($B$5:B1718,B1718)=1,COUNT($K$4:K1717)+1,""))</x:f>
      </x:c>
      <x:c r="L1718" s="85" t="str">
        <x:f>IF(B1718="","",IF(COUNTIFS('계정비교'!$A$5:$A$1004,B1718,'계정비교'!$H$5:$H$1004,"원인분석 대상")&gt;0,COUNT($L$4:L1717)+1,""))</x:f>
      </x:c>
    </x:row>
    <x:row r="1719">
      <x:c r="A1719" s="73" t="str">
        <x:f>IF('당기원장'!A719="","","당기")</x:f>
      </x:c>
      <x:c r="B1719" s="73" t="str">
        <x:f>IF('당기원장'!A719="","",'당기원장'!A719)</x:f>
      </x:c>
      <x:c r="C1719" s="73" t="str">
        <x:f>IF('당기원장'!A719="","",'당기원장'!B719)</x:f>
      </x:c>
      <x:c r="D1719" s="74" t="str">
        <x:f>IF('당기원장'!A719="","",'당기원장'!C719)</x:f>
      </x:c>
      <x:c r="E1719" s="73" t="str">
        <x:f>IF('당기원장'!A719="","",'당기원장'!D719)</x:f>
      </x:c>
      <x:c r="F1719" s="73" t="str">
        <x:f>IF('당기원장'!A719="","",'당기원장'!E719)</x:f>
      </x:c>
      <x:c r="G1719" s="75" t="str">
        <x:f>IF('당기원장'!A719="","",'당기원장'!H719)</x:f>
      </x:c>
      <x:c r="H1719" s="73" t="str">
        <x:f>IF('당기원장'!A719="","",'당기원장'!I719)</x:f>
      </x:c>
      <x:c r="I1719" s="73" t="str">
        <x:f>IF('당기원장'!A719="","",'당기원장'!J719)</x:f>
      </x:c>
      <x:c r="J1719" s="73" t="str">
        <x:f>IF('당기원장'!A719="","",'당기원장'!K719)</x:f>
      </x:c>
      <x:c r="K1719" s="73" t="str">
        <x:f>IF(B1719="","",IF(COUNTIF($B$5:B1719,B1719)=1,COUNT($K$4:K1718)+1,""))</x:f>
      </x:c>
      <x:c r="L1719" s="85" t="str">
        <x:f>IF(B1719="","",IF(COUNTIFS('계정비교'!$A$5:$A$1004,B1719,'계정비교'!$H$5:$H$1004,"원인분석 대상")&gt;0,COUNT($L$4:L1718)+1,""))</x:f>
      </x:c>
    </x:row>
    <x:row r="1720">
      <x:c r="A1720" s="73" t="str">
        <x:f>IF('당기원장'!A720="","","당기")</x:f>
      </x:c>
      <x:c r="B1720" s="73" t="str">
        <x:f>IF('당기원장'!A720="","",'당기원장'!A720)</x:f>
      </x:c>
      <x:c r="C1720" s="73" t="str">
        <x:f>IF('당기원장'!A720="","",'당기원장'!B720)</x:f>
      </x:c>
      <x:c r="D1720" s="74" t="str">
        <x:f>IF('당기원장'!A720="","",'당기원장'!C720)</x:f>
      </x:c>
      <x:c r="E1720" s="73" t="str">
        <x:f>IF('당기원장'!A720="","",'당기원장'!D720)</x:f>
      </x:c>
      <x:c r="F1720" s="73" t="str">
        <x:f>IF('당기원장'!A720="","",'당기원장'!E720)</x:f>
      </x:c>
      <x:c r="G1720" s="75" t="str">
        <x:f>IF('당기원장'!A720="","",'당기원장'!H720)</x:f>
      </x:c>
      <x:c r="H1720" s="73" t="str">
        <x:f>IF('당기원장'!A720="","",'당기원장'!I720)</x:f>
      </x:c>
      <x:c r="I1720" s="73" t="str">
        <x:f>IF('당기원장'!A720="","",'당기원장'!J720)</x:f>
      </x:c>
      <x:c r="J1720" s="73" t="str">
        <x:f>IF('당기원장'!A720="","",'당기원장'!K720)</x:f>
      </x:c>
      <x:c r="K1720" s="73" t="str">
        <x:f>IF(B1720="","",IF(COUNTIF($B$5:B1720,B1720)=1,COUNT($K$4:K1719)+1,""))</x:f>
      </x:c>
      <x:c r="L1720" s="85" t="str">
        <x:f>IF(B1720="","",IF(COUNTIFS('계정비교'!$A$5:$A$1004,B1720,'계정비교'!$H$5:$H$1004,"원인분석 대상")&gt;0,COUNT($L$4:L1719)+1,""))</x:f>
      </x:c>
    </x:row>
    <x:row r="1721">
      <x:c r="A1721" s="73" t="str">
        <x:f>IF('당기원장'!A721="","","당기")</x:f>
      </x:c>
      <x:c r="B1721" s="73" t="str">
        <x:f>IF('당기원장'!A721="","",'당기원장'!A721)</x:f>
      </x:c>
      <x:c r="C1721" s="73" t="str">
        <x:f>IF('당기원장'!A721="","",'당기원장'!B721)</x:f>
      </x:c>
      <x:c r="D1721" s="74" t="str">
        <x:f>IF('당기원장'!A721="","",'당기원장'!C721)</x:f>
      </x:c>
      <x:c r="E1721" s="73" t="str">
        <x:f>IF('당기원장'!A721="","",'당기원장'!D721)</x:f>
      </x:c>
      <x:c r="F1721" s="73" t="str">
        <x:f>IF('당기원장'!A721="","",'당기원장'!E721)</x:f>
      </x:c>
      <x:c r="G1721" s="75" t="str">
        <x:f>IF('당기원장'!A721="","",'당기원장'!H721)</x:f>
      </x:c>
      <x:c r="H1721" s="73" t="str">
        <x:f>IF('당기원장'!A721="","",'당기원장'!I721)</x:f>
      </x:c>
      <x:c r="I1721" s="73" t="str">
        <x:f>IF('당기원장'!A721="","",'당기원장'!J721)</x:f>
      </x:c>
      <x:c r="J1721" s="73" t="str">
        <x:f>IF('당기원장'!A721="","",'당기원장'!K721)</x:f>
      </x:c>
      <x:c r="K1721" s="73" t="str">
        <x:f>IF(B1721="","",IF(COUNTIF($B$5:B1721,B1721)=1,COUNT($K$4:K1720)+1,""))</x:f>
      </x:c>
      <x:c r="L1721" s="85" t="str">
        <x:f>IF(B1721="","",IF(COUNTIFS('계정비교'!$A$5:$A$1004,B1721,'계정비교'!$H$5:$H$1004,"원인분석 대상")&gt;0,COUNT($L$4:L1720)+1,""))</x:f>
      </x:c>
    </x:row>
    <x:row r="1722">
      <x:c r="A1722" s="73" t="str">
        <x:f>IF('당기원장'!A722="","","당기")</x:f>
      </x:c>
      <x:c r="B1722" s="73" t="str">
        <x:f>IF('당기원장'!A722="","",'당기원장'!A722)</x:f>
      </x:c>
      <x:c r="C1722" s="73" t="str">
        <x:f>IF('당기원장'!A722="","",'당기원장'!B722)</x:f>
      </x:c>
      <x:c r="D1722" s="74" t="str">
        <x:f>IF('당기원장'!A722="","",'당기원장'!C722)</x:f>
      </x:c>
      <x:c r="E1722" s="73" t="str">
        <x:f>IF('당기원장'!A722="","",'당기원장'!D722)</x:f>
      </x:c>
      <x:c r="F1722" s="73" t="str">
        <x:f>IF('당기원장'!A722="","",'당기원장'!E722)</x:f>
      </x:c>
      <x:c r="G1722" s="75" t="str">
        <x:f>IF('당기원장'!A722="","",'당기원장'!H722)</x:f>
      </x:c>
      <x:c r="H1722" s="73" t="str">
        <x:f>IF('당기원장'!A722="","",'당기원장'!I722)</x:f>
      </x:c>
      <x:c r="I1722" s="73" t="str">
        <x:f>IF('당기원장'!A722="","",'당기원장'!J722)</x:f>
      </x:c>
      <x:c r="J1722" s="73" t="str">
        <x:f>IF('당기원장'!A722="","",'당기원장'!K722)</x:f>
      </x:c>
      <x:c r="K1722" s="73" t="str">
        <x:f>IF(B1722="","",IF(COUNTIF($B$5:B1722,B1722)=1,COUNT($K$4:K1721)+1,""))</x:f>
      </x:c>
      <x:c r="L1722" s="85" t="str">
        <x:f>IF(B1722="","",IF(COUNTIFS('계정비교'!$A$5:$A$1004,B1722,'계정비교'!$H$5:$H$1004,"원인분석 대상")&gt;0,COUNT($L$4:L1721)+1,""))</x:f>
      </x:c>
    </x:row>
    <x:row r="1723">
      <x:c r="A1723" s="73" t="str">
        <x:f>IF('당기원장'!A723="","","당기")</x:f>
      </x:c>
      <x:c r="B1723" s="73" t="str">
        <x:f>IF('당기원장'!A723="","",'당기원장'!A723)</x:f>
      </x:c>
      <x:c r="C1723" s="73" t="str">
        <x:f>IF('당기원장'!A723="","",'당기원장'!B723)</x:f>
      </x:c>
      <x:c r="D1723" s="74" t="str">
        <x:f>IF('당기원장'!A723="","",'당기원장'!C723)</x:f>
      </x:c>
      <x:c r="E1723" s="73" t="str">
        <x:f>IF('당기원장'!A723="","",'당기원장'!D723)</x:f>
      </x:c>
      <x:c r="F1723" s="73" t="str">
        <x:f>IF('당기원장'!A723="","",'당기원장'!E723)</x:f>
      </x:c>
      <x:c r="G1723" s="75" t="str">
        <x:f>IF('당기원장'!A723="","",'당기원장'!H723)</x:f>
      </x:c>
      <x:c r="H1723" s="73" t="str">
        <x:f>IF('당기원장'!A723="","",'당기원장'!I723)</x:f>
      </x:c>
      <x:c r="I1723" s="73" t="str">
        <x:f>IF('당기원장'!A723="","",'당기원장'!J723)</x:f>
      </x:c>
      <x:c r="J1723" s="73" t="str">
        <x:f>IF('당기원장'!A723="","",'당기원장'!K723)</x:f>
      </x:c>
      <x:c r="K1723" s="73" t="str">
        <x:f>IF(B1723="","",IF(COUNTIF($B$5:B1723,B1723)=1,COUNT($K$4:K1722)+1,""))</x:f>
      </x:c>
      <x:c r="L1723" s="85" t="str">
        <x:f>IF(B1723="","",IF(COUNTIFS('계정비교'!$A$5:$A$1004,B1723,'계정비교'!$H$5:$H$1004,"원인분석 대상")&gt;0,COUNT($L$4:L1722)+1,""))</x:f>
      </x:c>
    </x:row>
    <x:row r="1724">
      <x:c r="A1724" s="73" t="str">
        <x:f>IF('당기원장'!A724="","","당기")</x:f>
      </x:c>
      <x:c r="B1724" s="73" t="str">
        <x:f>IF('당기원장'!A724="","",'당기원장'!A724)</x:f>
      </x:c>
      <x:c r="C1724" s="73" t="str">
        <x:f>IF('당기원장'!A724="","",'당기원장'!B724)</x:f>
      </x:c>
      <x:c r="D1724" s="74" t="str">
        <x:f>IF('당기원장'!A724="","",'당기원장'!C724)</x:f>
      </x:c>
      <x:c r="E1724" s="73" t="str">
        <x:f>IF('당기원장'!A724="","",'당기원장'!D724)</x:f>
      </x:c>
      <x:c r="F1724" s="73" t="str">
        <x:f>IF('당기원장'!A724="","",'당기원장'!E724)</x:f>
      </x:c>
      <x:c r="G1724" s="75" t="str">
        <x:f>IF('당기원장'!A724="","",'당기원장'!H724)</x:f>
      </x:c>
      <x:c r="H1724" s="73" t="str">
        <x:f>IF('당기원장'!A724="","",'당기원장'!I724)</x:f>
      </x:c>
      <x:c r="I1724" s="73" t="str">
        <x:f>IF('당기원장'!A724="","",'당기원장'!J724)</x:f>
      </x:c>
      <x:c r="J1724" s="73" t="str">
        <x:f>IF('당기원장'!A724="","",'당기원장'!K724)</x:f>
      </x:c>
      <x:c r="K1724" s="73" t="str">
        <x:f>IF(B1724="","",IF(COUNTIF($B$5:B1724,B1724)=1,COUNT($K$4:K1723)+1,""))</x:f>
      </x:c>
      <x:c r="L1724" s="85" t="str">
        <x:f>IF(B1724="","",IF(COUNTIFS('계정비교'!$A$5:$A$1004,B1724,'계정비교'!$H$5:$H$1004,"원인분석 대상")&gt;0,COUNT($L$4:L1723)+1,""))</x:f>
      </x:c>
    </x:row>
    <x:row r="1725">
      <x:c r="A1725" s="73" t="str">
        <x:f>IF('당기원장'!A725="","","당기")</x:f>
      </x:c>
      <x:c r="B1725" s="73" t="str">
        <x:f>IF('당기원장'!A725="","",'당기원장'!A725)</x:f>
      </x:c>
      <x:c r="C1725" s="73" t="str">
        <x:f>IF('당기원장'!A725="","",'당기원장'!B725)</x:f>
      </x:c>
      <x:c r="D1725" s="74" t="str">
        <x:f>IF('당기원장'!A725="","",'당기원장'!C725)</x:f>
      </x:c>
      <x:c r="E1725" s="73" t="str">
        <x:f>IF('당기원장'!A725="","",'당기원장'!D725)</x:f>
      </x:c>
      <x:c r="F1725" s="73" t="str">
        <x:f>IF('당기원장'!A725="","",'당기원장'!E725)</x:f>
      </x:c>
      <x:c r="G1725" s="75" t="str">
        <x:f>IF('당기원장'!A725="","",'당기원장'!H725)</x:f>
      </x:c>
      <x:c r="H1725" s="73" t="str">
        <x:f>IF('당기원장'!A725="","",'당기원장'!I725)</x:f>
      </x:c>
      <x:c r="I1725" s="73" t="str">
        <x:f>IF('당기원장'!A725="","",'당기원장'!J725)</x:f>
      </x:c>
      <x:c r="J1725" s="73" t="str">
        <x:f>IF('당기원장'!A725="","",'당기원장'!K725)</x:f>
      </x:c>
      <x:c r="K1725" s="73" t="str">
        <x:f>IF(B1725="","",IF(COUNTIF($B$5:B1725,B1725)=1,COUNT($K$4:K1724)+1,""))</x:f>
      </x:c>
      <x:c r="L1725" s="85" t="str">
        <x:f>IF(B1725="","",IF(COUNTIFS('계정비교'!$A$5:$A$1004,B1725,'계정비교'!$H$5:$H$1004,"원인분석 대상")&gt;0,COUNT($L$4:L1724)+1,""))</x:f>
      </x:c>
    </x:row>
    <x:row r="1726">
      <x:c r="A1726" s="73" t="str">
        <x:f>IF('당기원장'!A726="","","당기")</x:f>
      </x:c>
      <x:c r="B1726" s="73" t="str">
        <x:f>IF('당기원장'!A726="","",'당기원장'!A726)</x:f>
      </x:c>
      <x:c r="C1726" s="73" t="str">
        <x:f>IF('당기원장'!A726="","",'당기원장'!B726)</x:f>
      </x:c>
      <x:c r="D1726" s="74" t="str">
        <x:f>IF('당기원장'!A726="","",'당기원장'!C726)</x:f>
      </x:c>
      <x:c r="E1726" s="73" t="str">
        <x:f>IF('당기원장'!A726="","",'당기원장'!D726)</x:f>
      </x:c>
      <x:c r="F1726" s="73" t="str">
        <x:f>IF('당기원장'!A726="","",'당기원장'!E726)</x:f>
      </x:c>
      <x:c r="G1726" s="75" t="str">
        <x:f>IF('당기원장'!A726="","",'당기원장'!H726)</x:f>
      </x:c>
      <x:c r="H1726" s="73" t="str">
        <x:f>IF('당기원장'!A726="","",'당기원장'!I726)</x:f>
      </x:c>
      <x:c r="I1726" s="73" t="str">
        <x:f>IF('당기원장'!A726="","",'당기원장'!J726)</x:f>
      </x:c>
      <x:c r="J1726" s="73" t="str">
        <x:f>IF('당기원장'!A726="","",'당기원장'!K726)</x:f>
      </x:c>
      <x:c r="K1726" s="73" t="str">
        <x:f>IF(B1726="","",IF(COUNTIF($B$5:B1726,B1726)=1,COUNT($K$4:K1725)+1,""))</x:f>
      </x:c>
      <x:c r="L1726" s="85" t="str">
        <x:f>IF(B1726="","",IF(COUNTIFS('계정비교'!$A$5:$A$1004,B1726,'계정비교'!$H$5:$H$1004,"원인분석 대상")&gt;0,COUNT($L$4:L1725)+1,""))</x:f>
      </x:c>
    </x:row>
    <x:row r="1727">
      <x:c r="A1727" s="73" t="str">
        <x:f>IF('당기원장'!A727="","","당기")</x:f>
      </x:c>
      <x:c r="B1727" s="73" t="str">
        <x:f>IF('당기원장'!A727="","",'당기원장'!A727)</x:f>
      </x:c>
      <x:c r="C1727" s="73" t="str">
        <x:f>IF('당기원장'!A727="","",'당기원장'!B727)</x:f>
      </x:c>
      <x:c r="D1727" s="74" t="str">
        <x:f>IF('당기원장'!A727="","",'당기원장'!C727)</x:f>
      </x:c>
      <x:c r="E1727" s="73" t="str">
        <x:f>IF('당기원장'!A727="","",'당기원장'!D727)</x:f>
      </x:c>
      <x:c r="F1727" s="73" t="str">
        <x:f>IF('당기원장'!A727="","",'당기원장'!E727)</x:f>
      </x:c>
      <x:c r="G1727" s="75" t="str">
        <x:f>IF('당기원장'!A727="","",'당기원장'!H727)</x:f>
      </x:c>
      <x:c r="H1727" s="73" t="str">
        <x:f>IF('당기원장'!A727="","",'당기원장'!I727)</x:f>
      </x:c>
      <x:c r="I1727" s="73" t="str">
        <x:f>IF('당기원장'!A727="","",'당기원장'!J727)</x:f>
      </x:c>
      <x:c r="J1727" s="73" t="str">
        <x:f>IF('당기원장'!A727="","",'당기원장'!K727)</x:f>
      </x:c>
      <x:c r="K1727" s="73" t="str">
        <x:f>IF(B1727="","",IF(COUNTIF($B$5:B1727,B1727)=1,COUNT($K$4:K1726)+1,""))</x:f>
      </x:c>
      <x:c r="L1727" s="85" t="str">
        <x:f>IF(B1727="","",IF(COUNTIFS('계정비교'!$A$5:$A$1004,B1727,'계정비교'!$H$5:$H$1004,"원인분석 대상")&gt;0,COUNT($L$4:L1726)+1,""))</x:f>
      </x:c>
    </x:row>
    <x:row r="1728">
      <x:c r="A1728" s="73" t="str">
        <x:f>IF('당기원장'!A728="","","당기")</x:f>
      </x:c>
      <x:c r="B1728" s="73" t="str">
        <x:f>IF('당기원장'!A728="","",'당기원장'!A728)</x:f>
      </x:c>
      <x:c r="C1728" s="73" t="str">
        <x:f>IF('당기원장'!A728="","",'당기원장'!B728)</x:f>
      </x:c>
      <x:c r="D1728" s="74" t="str">
        <x:f>IF('당기원장'!A728="","",'당기원장'!C728)</x:f>
      </x:c>
      <x:c r="E1728" s="73" t="str">
        <x:f>IF('당기원장'!A728="","",'당기원장'!D728)</x:f>
      </x:c>
      <x:c r="F1728" s="73" t="str">
        <x:f>IF('당기원장'!A728="","",'당기원장'!E728)</x:f>
      </x:c>
      <x:c r="G1728" s="75" t="str">
        <x:f>IF('당기원장'!A728="","",'당기원장'!H728)</x:f>
      </x:c>
      <x:c r="H1728" s="73" t="str">
        <x:f>IF('당기원장'!A728="","",'당기원장'!I728)</x:f>
      </x:c>
      <x:c r="I1728" s="73" t="str">
        <x:f>IF('당기원장'!A728="","",'당기원장'!J728)</x:f>
      </x:c>
      <x:c r="J1728" s="73" t="str">
        <x:f>IF('당기원장'!A728="","",'당기원장'!K728)</x:f>
      </x:c>
      <x:c r="K1728" s="73" t="str">
        <x:f>IF(B1728="","",IF(COUNTIF($B$5:B1728,B1728)=1,COUNT($K$4:K1727)+1,""))</x:f>
      </x:c>
      <x:c r="L1728" s="85" t="str">
        <x:f>IF(B1728="","",IF(COUNTIFS('계정비교'!$A$5:$A$1004,B1728,'계정비교'!$H$5:$H$1004,"원인분석 대상")&gt;0,COUNT($L$4:L1727)+1,""))</x:f>
      </x:c>
    </x:row>
    <x:row r="1729">
      <x:c r="A1729" s="73" t="str">
        <x:f>IF('당기원장'!A729="","","당기")</x:f>
      </x:c>
      <x:c r="B1729" s="73" t="str">
        <x:f>IF('당기원장'!A729="","",'당기원장'!A729)</x:f>
      </x:c>
      <x:c r="C1729" s="73" t="str">
        <x:f>IF('당기원장'!A729="","",'당기원장'!B729)</x:f>
      </x:c>
      <x:c r="D1729" s="74" t="str">
        <x:f>IF('당기원장'!A729="","",'당기원장'!C729)</x:f>
      </x:c>
      <x:c r="E1729" s="73" t="str">
        <x:f>IF('당기원장'!A729="","",'당기원장'!D729)</x:f>
      </x:c>
      <x:c r="F1729" s="73" t="str">
        <x:f>IF('당기원장'!A729="","",'당기원장'!E729)</x:f>
      </x:c>
      <x:c r="G1729" s="75" t="str">
        <x:f>IF('당기원장'!A729="","",'당기원장'!H729)</x:f>
      </x:c>
      <x:c r="H1729" s="73" t="str">
        <x:f>IF('당기원장'!A729="","",'당기원장'!I729)</x:f>
      </x:c>
      <x:c r="I1729" s="73" t="str">
        <x:f>IF('당기원장'!A729="","",'당기원장'!J729)</x:f>
      </x:c>
      <x:c r="J1729" s="73" t="str">
        <x:f>IF('당기원장'!A729="","",'당기원장'!K729)</x:f>
      </x:c>
      <x:c r="K1729" s="73" t="str">
        <x:f>IF(B1729="","",IF(COUNTIF($B$5:B1729,B1729)=1,COUNT($K$4:K1728)+1,""))</x:f>
      </x:c>
      <x:c r="L1729" s="85" t="str">
        <x:f>IF(B1729="","",IF(COUNTIFS('계정비교'!$A$5:$A$1004,B1729,'계정비교'!$H$5:$H$1004,"원인분석 대상")&gt;0,COUNT($L$4:L1728)+1,""))</x:f>
      </x:c>
    </x:row>
    <x:row r="1730">
      <x:c r="A1730" s="73" t="str">
        <x:f>IF('당기원장'!A730="","","당기")</x:f>
      </x:c>
      <x:c r="B1730" s="73" t="str">
        <x:f>IF('당기원장'!A730="","",'당기원장'!A730)</x:f>
      </x:c>
      <x:c r="C1730" s="73" t="str">
        <x:f>IF('당기원장'!A730="","",'당기원장'!B730)</x:f>
      </x:c>
      <x:c r="D1730" s="74" t="str">
        <x:f>IF('당기원장'!A730="","",'당기원장'!C730)</x:f>
      </x:c>
      <x:c r="E1730" s="73" t="str">
        <x:f>IF('당기원장'!A730="","",'당기원장'!D730)</x:f>
      </x:c>
      <x:c r="F1730" s="73" t="str">
        <x:f>IF('당기원장'!A730="","",'당기원장'!E730)</x:f>
      </x:c>
      <x:c r="G1730" s="75" t="str">
        <x:f>IF('당기원장'!A730="","",'당기원장'!H730)</x:f>
      </x:c>
      <x:c r="H1730" s="73" t="str">
        <x:f>IF('당기원장'!A730="","",'당기원장'!I730)</x:f>
      </x:c>
      <x:c r="I1730" s="73" t="str">
        <x:f>IF('당기원장'!A730="","",'당기원장'!J730)</x:f>
      </x:c>
      <x:c r="J1730" s="73" t="str">
        <x:f>IF('당기원장'!A730="","",'당기원장'!K730)</x:f>
      </x:c>
      <x:c r="K1730" s="73" t="str">
        <x:f>IF(B1730="","",IF(COUNTIF($B$5:B1730,B1730)=1,COUNT($K$4:K1729)+1,""))</x:f>
      </x:c>
      <x:c r="L1730" s="85" t="str">
        <x:f>IF(B1730="","",IF(COUNTIFS('계정비교'!$A$5:$A$1004,B1730,'계정비교'!$H$5:$H$1004,"원인분석 대상")&gt;0,COUNT($L$4:L1729)+1,""))</x:f>
      </x:c>
    </x:row>
    <x:row r="1731">
      <x:c r="A1731" s="73" t="str">
        <x:f>IF('당기원장'!A731="","","당기")</x:f>
      </x:c>
      <x:c r="B1731" s="73" t="str">
        <x:f>IF('당기원장'!A731="","",'당기원장'!A731)</x:f>
      </x:c>
      <x:c r="C1731" s="73" t="str">
        <x:f>IF('당기원장'!A731="","",'당기원장'!B731)</x:f>
      </x:c>
      <x:c r="D1731" s="74" t="str">
        <x:f>IF('당기원장'!A731="","",'당기원장'!C731)</x:f>
      </x:c>
      <x:c r="E1731" s="73" t="str">
        <x:f>IF('당기원장'!A731="","",'당기원장'!D731)</x:f>
      </x:c>
      <x:c r="F1731" s="73" t="str">
        <x:f>IF('당기원장'!A731="","",'당기원장'!E731)</x:f>
      </x:c>
      <x:c r="G1731" s="75" t="str">
        <x:f>IF('당기원장'!A731="","",'당기원장'!H731)</x:f>
      </x:c>
      <x:c r="H1731" s="73" t="str">
        <x:f>IF('당기원장'!A731="","",'당기원장'!I731)</x:f>
      </x:c>
      <x:c r="I1731" s="73" t="str">
        <x:f>IF('당기원장'!A731="","",'당기원장'!J731)</x:f>
      </x:c>
      <x:c r="J1731" s="73" t="str">
        <x:f>IF('당기원장'!A731="","",'당기원장'!K731)</x:f>
      </x:c>
      <x:c r="K1731" s="73" t="str">
        <x:f>IF(B1731="","",IF(COUNTIF($B$5:B1731,B1731)=1,COUNT($K$4:K1730)+1,""))</x:f>
      </x:c>
      <x:c r="L1731" s="85" t="str">
        <x:f>IF(B1731="","",IF(COUNTIFS('계정비교'!$A$5:$A$1004,B1731,'계정비교'!$H$5:$H$1004,"원인분석 대상")&gt;0,COUNT($L$4:L1730)+1,""))</x:f>
      </x:c>
    </x:row>
    <x:row r="1732">
      <x:c r="A1732" s="73" t="str">
        <x:f>IF('당기원장'!A732="","","당기")</x:f>
      </x:c>
      <x:c r="B1732" s="73" t="str">
        <x:f>IF('당기원장'!A732="","",'당기원장'!A732)</x:f>
      </x:c>
      <x:c r="C1732" s="73" t="str">
        <x:f>IF('당기원장'!A732="","",'당기원장'!B732)</x:f>
      </x:c>
      <x:c r="D1732" s="74" t="str">
        <x:f>IF('당기원장'!A732="","",'당기원장'!C732)</x:f>
      </x:c>
      <x:c r="E1732" s="73" t="str">
        <x:f>IF('당기원장'!A732="","",'당기원장'!D732)</x:f>
      </x:c>
      <x:c r="F1732" s="73" t="str">
        <x:f>IF('당기원장'!A732="","",'당기원장'!E732)</x:f>
      </x:c>
      <x:c r="G1732" s="75" t="str">
        <x:f>IF('당기원장'!A732="","",'당기원장'!H732)</x:f>
      </x:c>
      <x:c r="H1732" s="73" t="str">
        <x:f>IF('당기원장'!A732="","",'당기원장'!I732)</x:f>
      </x:c>
      <x:c r="I1732" s="73" t="str">
        <x:f>IF('당기원장'!A732="","",'당기원장'!J732)</x:f>
      </x:c>
      <x:c r="J1732" s="73" t="str">
        <x:f>IF('당기원장'!A732="","",'당기원장'!K732)</x:f>
      </x:c>
      <x:c r="K1732" s="73" t="str">
        <x:f>IF(B1732="","",IF(COUNTIF($B$5:B1732,B1732)=1,COUNT($K$4:K1731)+1,""))</x:f>
      </x:c>
      <x:c r="L1732" s="85" t="str">
        <x:f>IF(B1732="","",IF(COUNTIFS('계정비교'!$A$5:$A$1004,B1732,'계정비교'!$H$5:$H$1004,"원인분석 대상")&gt;0,COUNT($L$4:L1731)+1,""))</x:f>
      </x:c>
    </x:row>
    <x:row r="1733">
      <x:c r="A1733" s="73" t="str">
        <x:f>IF('당기원장'!A733="","","당기")</x:f>
      </x:c>
      <x:c r="B1733" s="73" t="str">
        <x:f>IF('당기원장'!A733="","",'당기원장'!A733)</x:f>
      </x:c>
      <x:c r="C1733" s="73" t="str">
        <x:f>IF('당기원장'!A733="","",'당기원장'!B733)</x:f>
      </x:c>
      <x:c r="D1733" s="74" t="str">
        <x:f>IF('당기원장'!A733="","",'당기원장'!C733)</x:f>
      </x:c>
      <x:c r="E1733" s="73" t="str">
        <x:f>IF('당기원장'!A733="","",'당기원장'!D733)</x:f>
      </x:c>
      <x:c r="F1733" s="73" t="str">
        <x:f>IF('당기원장'!A733="","",'당기원장'!E733)</x:f>
      </x:c>
      <x:c r="G1733" s="75" t="str">
        <x:f>IF('당기원장'!A733="","",'당기원장'!H733)</x:f>
      </x:c>
      <x:c r="H1733" s="73" t="str">
        <x:f>IF('당기원장'!A733="","",'당기원장'!I733)</x:f>
      </x:c>
      <x:c r="I1733" s="73" t="str">
        <x:f>IF('당기원장'!A733="","",'당기원장'!J733)</x:f>
      </x:c>
      <x:c r="J1733" s="73" t="str">
        <x:f>IF('당기원장'!A733="","",'당기원장'!K733)</x:f>
      </x:c>
      <x:c r="K1733" s="73" t="str">
        <x:f>IF(B1733="","",IF(COUNTIF($B$5:B1733,B1733)=1,COUNT($K$4:K1732)+1,""))</x:f>
      </x:c>
      <x:c r="L1733" s="85" t="str">
        <x:f>IF(B1733="","",IF(COUNTIFS('계정비교'!$A$5:$A$1004,B1733,'계정비교'!$H$5:$H$1004,"원인분석 대상")&gt;0,COUNT($L$4:L1732)+1,""))</x:f>
      </x:c>
    </x:row>
    <x:row r="1734">
      <x:c r="A1734" s="73" t="str">
        <x:f>IF('당기원장'!A734="","","당기")</x:f>
      </x:c>
      <x:c r="B1734" s="73" t="str">
        <x:f>IF('당기원장'!A734="","",'당기원장'!A734)</x:f>
      </x:c>
      <x:c r="C1734" s="73" t="str">
        <x:f>IF('당기원장'!A734="","",'당기원장'!B734)</x:f>
      </x:c>
      <x:c r="D1734" s="74" t="str">
        <x:f>IF('당기원장'!A734="","",'당기원장'!C734)</x:f>
      </x:c>
      <x:c r="E1734" s="73" t="str">
        <x:f>IF('당기원장'!A734="","",'당기원장'!D734)</x:f>
      </x:c>
      <x:c r="F1734" s="73" t="str">
        <x:f>IF('당기원장'!A734="","",'당기원장'!E734)</x:f>
      </x:c>
      <x:c r="G1734" s="75" t="str">
        <x:f>IF('당기원장'!A734="","",'당기원장'!H734)</x:f>
      </x:c>
      <x:c r="H1734" s="73" t="str">
        <x:f>IF('당기원장'!A734="","",'당기원장'!I734)</x:f>
      </x:c>
      <x:c r="I1734" s="73" t="str">
        <x:f>IF('당기원장'!A734="","",'당기원장'!J734)</x:f>
      </x:c>
      <x:c r="J1734" s="73" t="str">
        <x:f>IF('당기원장'!A734="","",'당기원장'!K734)</x:f>
      </x:c>
      <x:c r="K1734" s="73" t="str">
        <x:f>IF(B1734="","",IF(COUNTIF($B$5:B1734,B1734)=1,COUNT($K$4:K1733)+1,""))</x:f>
      </x:c>
      <x:c r="L1734" s="85" t="str">
        <x:f>IF(B1734="","",IF(COUNTIFS('계정비교'!$A$5:$A$1004,B1734,'계정비교'!$H$5:$H$1004,"원인분석 대상")&gt;0,COUNT($L$4:L1733)+1,""))</x:f>
      </x:c>
    </x:row>
    <x:row r="1735">
      <x:c r="A1735" s="73" t="str">
        <x:f>IF('당기원장'!A735="","","당기")</x:f>
      </x:c>
      <x:c r="B1735" s="73" t="str">
        <x:f>IF('당기원장'!A735="","",'당기원장'!A735)</x:f>
      </x:c>
      <x:c r="C1735" s="73" t="str">
        <x:f>IF('당기원장'!A735="","",'당기원장'!B735)</x:f>
      </x:c>
      <x:c r="D1735" s="74" t="str">
        <x:f>IF('당기원장'!A735="","",'당기원장'!C735)</x:f>
      </x:c>
      <x:c r="E1735" s="73" t="str">
        <x:f>IF('당기원장'!A735="","",'당기원장'!D735)</x:f>
      </x:c>
      <x:c r="F1735" s="73" t="str">
        <x:f>IF('당기원장'!A735="","",'당기원장'!E735)</x:f>
      </x:c>
      <x:c r="G1735" s="75" t="str">
        <x:f>IF('당기원장'!A735="","",'당기원장'!H735)</x:f>
      </x:c>
      <x:c r="H1735" s="73" t="str">
        <x:f>IF('당기원장'!A735="","",'당기원장'!I735)</x:f>
      </x:c>
      <x:c r="I1735" s="73" t="str">
        <x:f>IF('당기원장'!A735="","",'당기원장'!J735)</x:f>
      </x:c>
      <x:c r="J1735" s="73" t="str">
        <x:f>IF('당기원장'!A735="","",'당기원장'!K735)</x:f>
      </x:c>
      <x:c r="K1735" s="73" t="str">
        <x:f>IF(B1735="","",IF(COUNTIF($B$5:B1735,B1735)=1,COUNT($K$4:K1734)+1,""))</x:f>
      </x:c>
      <x:c r="L1735" s="85" t="str">
        <x:f>IF(B1735="","",IF(COUNTIFS('계정비교'!$A$5:$A$1004,B1735,'계정비교'!$H$5:$H$1004,"원인분석 대상")&gt;0,COUNT($L$4:L1734)+1,""))</x:f>
      </x:c>
    </x:row>
    <x:row r="1736">
      <x:c r="A1736" s="73" t="str">
        <x:f>IF('당기원장'!A736="","","당기")</x:f>
      </x:c>
      <x:c r="B1736" s="73" t="str">
        <x:f>IF('당기원장'!A736="","",'당기원장'!A736)</x:f>
      </x:c>
      <x:c r="C1736" s="73" t="str">
        <x:f>IF('당기원장'!A736="","",'당기원장'!B736)</x:f>
      </x:c>
      <x:c r="D1736" s="74" t="str">
        <x:f>IF('당기원장'!A736="","",'당기원장'!C736)</x:f>
      </x:c>
      <x:c r="E1736" s="73" t="str">
        <x:f>IF('당기원장'!A736="","",'당기원장'!D736)</x:f>
      </x:c>
      <x:c r="F1736" s="73" t="str">
        <x:f>IF('당기원장'!A736="","",'당기원장'!E736)</x:f>
      </x:c>
      <x:c r="G1736" s="75" t="str">
        <x:f>IF('당기원장'!A736="","",'당기원장'!H736)</x:f>
      </x:c>
      <x:c r="H1736" s="73" t="str">
        <x:f>IF('당기원장'!A736="","",'당기원장'!I736)</x:f>
      </x:c>
      <x:c r="I1736" s="73" t="str">
        <x:f>IF('당기원장'!A736="","",'당기원장'!J736)</x:f>
      </x:c>
      <x:c r="J1736" s="73" t="str">
        <x:f>IF('당기원장'!A736="","",'당기원장'!K736)</x:f>
      </x:c>
      <x:c r="K1736" s="73" t="str">
        <x:f>IF(B1736="","",IF(COUNTIF($B$5:B1736,B1736)=1,COUNT($K$4:K1735)+1,""))</x:f>
      </x:c>
      <x:c r="L1736" s="85" t="str">
        <x:f>IF(B1736="","",IF(COUNTIFS('계정비교'!$A$5:$A$1004,B1736,'계정비교'!$H$5:$H$1004,"원인분석 대상")&gt;0,COUNT($L$4:L1735)+1,""))</x:f>
      </x:c>
    </x:row>
    <x:row r="1737">
      <x:c r="A1737" s="73" t="str">
        <x:f>IF('당기원장'!A737="","","당기")</x:f>
      </x:c>
      <x:c r="B1737" s="73" t="str">
        <x:f>IF('당기원장'!A737="","",'당기원장'!A737)</x:f>
      </x:c>
      <x:c r="C1737" s="73" t="str">
        <x:f>IF('당기원장'!A737="","",'당기원장'!B737)</x:f>
      </x:c>
      <x:c r="D1737" s="74" t="str">
        <x:f>IF('당기원장'!A737="","",'당기원장'!C737)</x:f>
      </x:c>
      <x:c r="E1737" s="73" t="str">
        <x:f>IF('당기원장'!A737="","",'당기원장'!D737)</x:f>
      </x:c>
      <x:c r="F1737" s="73" t="str">
        <x:f>IF('당기원장'!A737="","",'당기원장'!E737)</x:f>
      </x:c>
      <x:c r="G1737" s="75" t="str">
        <x:f>IF('당기원장'!A737="","",'당기원장'!H737)</x:f>
      </x:c>
      <x:c r="H1737" s="73" t="str">
        <x:f>IF('당기원장'!A737="","",'당기원장'!I737)</x:f>
      </x:c>
      <x:c r="I1737" s="73" t="str">
        <x:f>IF('당기원장'!A737="","",'당기원장'!J737)</x:f>
      </x:c>
      <x:c r="J1737" s="73" t="str">
        <x:f>IF('당기원장'!A737="","",'당기원장'!K737)</x:f>
      </x:c>
      <x:c r="K1737" s="73" t="str">
        <x:f>IF(B1737="","",IF(COUNTIF($B$5:B1737,B1737)=1,COUNT($K$4:K1736)+1,""))</x:f>
      </x:c>
      <x:c r="L1737" s="85" t="str">
        <x:f>IF(B1737="","",IF(COUNTIFS('계정비교'!$A$5:$A$1004,B1737,'계정비교'!$H$5:$H$1004,"원인분석 대상")&gt;0,COUNT($L$4:L1736)+1,""))</x:f>
      </x:c>
    </x:row>
    <x:row r="1738">
      <x:c r="A1738" s="73" t="str">
        <x:f>IF('당기원장'!A738="","","당기")</x:f>
      </x:c>
      <x:c r="B1738" s="73" t="str">
        <x:f>IF('당기원장'!A738="","",'당기원장'!A738)</x:f>
      </x:c>
      <x:c r="C1738" s="73" t="str">
        <x:f>IF('당기원장'!A738="","",'당기원장'!B738)</x:f>
      </x:c>
      <x:c r="D1738" s="74" t="str">
        <x:f>IF('당기원장'!A738="","",'당기원장'!C738)</x:f>
      </x:c>
      <x:c r="E1738" s="73" t="str">
        <x:f>IF('당기원장'!A738="","",'당기원장'!D738)</x:f>
      </x:c>
      <x:c r="F1738" s="73" t="str">
        <x:f>IF('당기원장'!A738="","",'당기원장'!E738)</x:f>
      </x:c>
      <x:c r="G1738" s="75" t="str">
        <x:f>IF('당기원장'!A738="","",'당기원장'!H738)</x:f>
      </x:c>
      <x:c r="H1738" s="73" t="str">
        <x:f>IF('당기원장'!A738="","",'당기원장'!I738)</x:f>
      </x:c>
      <x:c r="I1738" s="73" t="str">
        <x:f>IF('당기원장'!A738="","",'당기원장'!J738)</x:f>
      </x:c>
      <x:c r="J1738" s="73" t="str">
        <x:f>IF('당기원장'!A738="","",'당기원장'!K738)</x:f>
      </x:c>
      <x:c r="K1738" s="73" t="str">
        <x:f>IF(B1738="","",IF(COUNTIF($B$5:B1738,B1738)=1,COUNT($K$4:K1737)+1,""))</x:f>
      </x:c>
      <x:c r="L1738" s="85" t="str">
        <x:f>IF(B1738="","",IF(COUNTIFS('계정비교'!$A$5:$A$1004,B1738,'계정비교'!$H$5:$H$1004,"원인분석 대상")&gt;0,COUNT($L$4:L1737)+1,""))</x:f>
      </x:c>
    </x:row>
    <x:row r="1739">
      <x:c r="A1739" s="73" t="str">
        <x:f>IF('당기원장'!A739="","","당기")</x:f>
      </x:c>
      <x:c r="B1739" s="73" t="str">
        <x:f>IF('당기원장'!A739="","",'당기원장'!A739)</x:f>
      </x:c>
      <x:c r="C1739" s="73" t="str">
        <x:f>IF('당기원장'!A739="","",'당기원장'!B739)</x:f>
      </x:c>
      <x:c r="D1739" s="74" t="str">
        <x:f>IF('당기원장'!A739="","",'당기원장'!C739)</x:f>
      </x:c>
      <x:c r="E1739" s="73" t="str">
        <x:f>IF('당기원장'!A739="","",'당기원장'!D739)</x:f>
      </x:c>
      <x:c r="F1739" s="73" t="str">
        <x:f>IF('당기원장'!A739="","",'당기원장'!E739)</x:f>
      </x:c>
      <x:c r="G1739" s="75" t="str">
        <x:f>IF('당기원장'!A739="","",'당기원장'!H739)</x:f>
      </x:c>
      <x:c r="H1739" s="73" t="str">
        <x:f>IF('당기원장'!A739="","",'당기원장'!I739)</x:f>
      </x:c>
      <x:c r="I1739" s="73" t="str">
        <x:f>IF('당기원장'!A739="","",'당기원장'!J739)</x:f>
      </x:c>
      <x:c r="J1739" s="73" t="str">
        <x:f>IF('당기원장'!A739="","",'당기원장'!K739)</x:f>
      </x:c>
      <x:c r="K1739" s="73" t="str">
        <x:f>IF(B1739="","",IF(COUNTIF($B$5:B1739,B1739)=1,COUNT($K$4:K1738)+1,""))</x:f>
      </x:c>
      <x:c r="L1739" s="85" t="str">
        <x:f>IF(B1739="","",IF(COUNTIFS('계정비교'!$A$5:$A$1004,B1739,'계정비교'!$H$5:$H$1004,"원인분석 대상")&gt;0,COUNT($L$4:L1738)+1,""))</x:f>
      </x:c>
    </x:row>
    <x:row r="1740">
      <x:c r="A1740" s="73" t="str">
        <x:f>IF('당기원장'!A740="","","당기")</x:f>
      </x:c>
      <x:c r="B1740" s="73" t="str">
        <x:f>IF('당기원장'!A740="","",'당기원장'!A740)</x:f>
      </x:c>
      <x:c r="C1740" s="73" t="str">
        <x:f>IF('당기원장'!A740="","",'당기원장'!B740)</x:f>
      </x:c>
      <x:c r="D1740" s="74" t="str">
        <x:f>IF('당기원장'!A740="","",'당기원장'!C740)</x:f>
      </x:c>
      <x:c r="E1740" s="73" t="str">
        <x:f>IF('당기원장'!A740="","",'당기원장'!D740)</x:f>
      </x:c>
      <x:c r="F1740" s="73" t="str">
        <x:f>IF('당기원장'!A740="","",'당기원장'!E740)</x:f>
      </x:c>
      <x:c r="G1740" s="75" t="str">
        <x:f>IF('당기원장'!A740="","",'당기원장'!H740)</x:f>
      </x:c>
      <x:c r="H1740" s="73" t="str">
        <x:f>IF('당기원장'!A740="","",'당기원장'!I740)</x:f>
      </x:c>
      <x:c r="I1740" s="73" t="str">
        <x:f>IF('당기원장'!A740="","",'당기원장'!J740)</x:f>
      </x:c>
      <x:c r="J1740" s="73" t="str">
        <x:f>IF('당기원장'!A740="","",'당기원장'!K740)</x:f>
      </x:c>
      <x:c r="K1740" s="73" t="str">
        <x:f>IF(B1740="","",IF(COUNTIF($B$5:B1740,B1740)=1,COUNT($K$4:K1739)+1,""))</x:f>
      </x:c>
      <x:c r="L1740" s="85" t="str">
        <x:f>IF(B1740="","",IF(COUNTIFS('계정비교'!$A$5:$A$1004,B1740,'계정비교'!$H$5:$H$1004,"원인분석 대상")&gt;0,COUNT($L$4:L1739)+1,""))</x:f>
      </x:c>
    </x:row>
    <x:row r="1741">
      <x:c r="A1741" s="73" t="str">
        <x:f>IF('당기원장'!A741="","","당기")</x:f>
      </x:c>
      <x:c r="B1741" s="73" t="str">
        <x:f>IF('당기원장'!A741="","",'당기원장'!A741)</x:f>
      </x:c>
      <x:c r="C1741" s="73" t="str">
        <x:f>IF('당기원장'!A741="","",'당기원장'!B741)</x:f>
      </x:c>
      <x:c r="D1741" s="74" t="str">
        <x:f>IF('당기원장'!A741="","",'당기원장'!C741)</x:f>
      </x:c>
      <x:c r="E1741" s="73" t="str">
        <x:f>IF('당기원장'!A741="","",'당기원장'!D741)</x:f>
      </x:c>
      <x:c r="F1741" s="73" t="str">
        <x:f>IF('당기원장'!A741="","",'당기원장'!E741)</x:f>
      </x:c>
      <x:c r="G1741" s="75" t="str">
        <x:f>IF('당기원장'!A741="","",'당기원장'!H741)</x:f>
      </x:c>
      <x:c r="H1741" s="73" t="str">
        <x:f>IF('당기원장'!A741="","",'당기원장'!I741)</x:f>
      </x:c>
      <x:c r="I1741" s="73" t="str">
        <x:f>IF('당기원장'!A741="","",'당기원장'!J741)</x:f>
      </x:c>
      <x:c r="J1741" s="73" t="str">
        <x:f>IF('당기원장'!A741="","",'당기원장'!K741)</x:f>
      </x:c>
      <x:c r="K1741" s="73" t="str">
        <x:f>IF(B1741="","",IF(COUNTIF($B$5:B1741,B1741)=1,COUNT($K$4:K1740)+1,""))</x:f>
      </x:c>
      <x:c r="L1741" s="85" t="str">
        <x:f>IF(B1741="","",IF(COUNTIFS('계정비교'!$A$5:$A$1004,B1741,'계정비교'!$H$5:$H$1004,"원인분석 대상")&gt;0,COUNT($L$4:L1740)+1,""))</x:f>
      </x:c>
    </x:row>
    <x:row r="1742">
      <x:c r="A1742" s="73" t="str">
        <x:f>IF('당기원장'!A742="","","당기")</x:f>
      </x:c>
      <x:c r="B1742" s="73" t="str">
        <x:f>IF('당기원장'!A742="","",'당기원장'!A742)</x:f>
      </x:c>
      <x:c r="C1742" s="73" t="str">
        <x:f>IF('당기원장'!A742="","",'당기원장'!B742)</x:f>
      </x:c>
      <x:c r="D1742" s="74" t="str">
        <x:f>IF('당기원장'!A742="","",'당기원장'!C742)</x:f>
      </x:c>
      <x:c r="E1742" s="73" t="str">
        <x:f>IF('당기원장'!A742="","",'당기원장'!D742)</x:f>
      </x:c>
      <x:c r="F1742" s="73" t="str">
        <x:f>IF('당기원장'!A742="","",'당기원장'!E742)</x:f>
      </x:c>
      <x:c r="G1742" s="75" t="str">
        <x:f>IF('당기원장'!A742="","",'당기원장'!H742)</x:f>
      </x:c>
      <x:c r="H1742" s="73" t="str">
        <x:f>IF('당기원장'!A742="","",'당기원장'!I742)</x:f>
      </x:c>
      <x:c r="I1742" s="73" t="str">
        <x:f>IF('당기원장'!A742="","",'당기원장'!J742)</x:f>
      </x:c>
      <x:c r="J1742" s="73" t="str">
        <x:f>IF('당기원장'!A742="","",'당기원장'!K742)</x:f>
      </x:c>
      <x:c r="K1742" s="73" t="str">
        <x:f>IF(B1742="","",IF(COUNTIF($B$5:B1742,B1742)=1,COUNT($K$4:K1741)+1,""))</x:f>
      </x:c>
      <x:c r="L1742" s="85" t="str">
        <x:f>IF(B1742="","",IF(COUNTIFS('계정비교'!$A$5:$A$1004,B1742,'계정비교'!$H$5:$H$1004,"원인분석 대상")&gt;0,COUNT($L$4:L1741)+1,""))</x:f>
      </x:c>
    </x:row>
    <x:row r="1743">
      <x:c r="A1743" s="73" t="str">
        <x:f>IF('당기원장'!A743="","","당기")</x:f>
      </x:c>
      <x:c r="B1743" s="73" t="str">
        <x:f>IF('당기원장'!A743="","",'당기원장'!A743)</x:f>
      </x:c>
      <x:c r="C1743" s="73" t="str">
        <x:f>IF('당기원장'!A743="","",'당기원장'!B743)</x:f>
      </x:c>
      <x:c r="D1743" s="74" t="str">
        <x:f>IF('당기원장'!A743="","",'당기원장'!C743)</x:f>
      </x:c>
      <x:c r="E1743" s="73" t="str">
        <x:f>IF('당기원장'!A743="","",'당기원장'!D743)</x:f>
      </x:c>
      <x:c r="F1743" s="73" t="str">
        <x:f>IF('당기원장'!A743="","",'당기원장'!E743)</x:f>
      </x:c>
      <x:c r="G1743" s="75" t="str">
        <x:f>IF('당기원장'!A743="","",'당기원장'!H743)</x:f>
      </x:c>
      <x:c r="H1743" s="73" t="str">
        <x:f>IF('당기원장'!A743="","",'당기원장'!I743)</x:f>
      </x:c>
      <x:c r="I1743" s="73" t="str">
        <x:f>IF('당기원장'!A743="","",'당기원장'!J743)</x:f>
      </x:c>
      <x:c r="J1743" s="73" t="str">
        <x:f>IF('당기원장'!A743="","",'당기원장'!K743)</x:f>
      </x:c>
      <x:c r="K1743" s="73" t="str">
        <x:f>IF(B1743="","",IF(COUNTIF($B$5:B1743,B1743)=1,COUNT($K$4:K1742)+1,""))</x:f>
      </x:c>
      <x:c r="L1743" s="85" t="str">
        <x:f>IF(B1743="","",IF(COUNTIFS('계정비교'!$A$5:$A$1004,B1743,'계정비교'!$H$5:$H$1004,"원인분석 대상")&gt;0,COUNT($L$4:L1742)+1,""))</x:f>
      </x:c>
    </x:row>
    <x:row r="1744">
      <x:c r="A1744" s="73" t="str">
        <x:f>IF('당기원장'!A744="","","당기")</x:f>
      </x:c>
      <x:c r="B1744" s="73" t="str">
        <x:f>IF('당기원장'!A744="","",'당기원장'!A744)</x:f>
      </x:c>
      <x:c r="C1744" s="73" t="str">
        <x:f>IF('당기원장'!A744="","",'당기원장'!B744)</x:f>
      </x:c>
      <x:c r="D1744" s="74" t="str">
        <x:f>IF('당기원장'!A744="","",'당기원장'!C744)</x:f>
      </x:c>
      <x:c r="E1744" s="73" t="str">
        <x:f>IF('당기원장'!A744="","",'당기원장'!D744)</x:f>
      </x:c>
      <x:c r="F1744" s="73" t="str">
        <x:f>IF('당기원장'!A744="","",'당기원장'!E744)</x:f>
      </x:c>
      <x:c r="G1744" s="75" t="str">
        <x:f>IF('당기원장'!A744="","",'당기원장'!H744)</x:f>
      </x:c>
      <x:c r="H1744" s="73" t="str">
        <x:f>IF('당기원장'!A744="","",'당기원장'!I744)</x:f>
      </x:c>
      <x:c r="I1744" s="73" t="str">
        <x:f>IF('당기원장'!A744="","",'당기원장'!J744)</x:f>
      </x:c>
      <x:c r="J1744" s="73" t="str">
        <x:f>IF('당기원장'!A744="","",'당기원장'!K744)</x:f>
      </x:c>
      <x:c r="K1744" s="73" t="str">
        <x:f>IF(B1744="","",IF(COUNTIF($B$5:B1744,B1744)=1,COUNT($K$4:K1743)+1,""))</x:f>
      </x:c>
      <x:c r="L1744" s="85" t="str">
        <x:f>IF(B1744="","",IF(COUNTIFS('계정비교'!$A$5:$A$1004,B1744,'계정비교'!$H$5:$H$1004,"원인분석 대상")&gt;0,COUNT($L$4:L1743)+1,""))</x:f>
      </x:c>
    </x:row>
    <x:row r="1745">
      <x:c r="A1745" s="73" t="str">
        <x:f>IF('당기원장'!A745="","","당기")</x:f>
      </x:c>
      <x:c r="B1745" s="73" t="str">
        <x:f>IF('당기원장'!A745="","",'당기원장'!A745)</x:f>
      </x:c>
      <x:c r="C1745" s="73" t="str">
        <x:f>IF('당기원장'!A745="","",'당기원장'!B745)</x:f>
      </x:c>
      <x:c r="D1745" s="74" t="str">
        <x:f>IF('당기원장'!A745="","",'당기원장'!C745)</x:f>
      </x:c>
      <x:c r="E1745" s="73" t="str">
        <x:f>IF('당기원장'!A745="","",'당기원장'!D745)</x:f>
      </x:c>
      <x:c r="F1745" s="73" t="str">
        <x:f>IF('당기원장'!A745="","",'당기원장'!E745)</x:f>
      </x:c>
      <x:c r="G1745" s="75" t="str">
        <x:f>IF('당기원장'!A745="","",'당기원장'!H745)</x:f>
      </x:c>
      <x:c r="H1745" s="73" t="str">
        <x:f>IF('당기원장'!A745="","",'당기원장'!I745)</x:f>
      </x:c>
      <x:c r="I1745" s="73" t="str">
        <x:f>IF('당기원장'!A745="","",'당기원장'!J745)</x:f>
      </x:c>
      <x:c r="J1745" s="73" t="str">
        <x:f>IF('당기원장'!A745="","",'당기원장'!K745)</x:f>
      </x:c>
      <x:c r="K1745" s="73" t="str">
        <x:f>IF(B1745="","",IF(COUNTIF($B$5:B1745,B1745)=1,COUNT($K$4:K1744)+1,""))</x:f>
      </x:c>
      <x:c r="L1745" s="85" t="str">
        <x:f>IF(B1745="","",IF(COUNTIFS('계정비교'!$A$5:$A$1004,B1745,'계정비교'!$H$5:$H$1004,"원인분석 대상")&gt;0,COUNT($L$4:L1744)+1,""))</x:f>
      </x:c>
    </x:row>
    <x:row r="1746">
      <x:c r="A1746" s="73" t="str">
        <x:f>IF('당기원장'!A746="","","당기")</x:f>
      </x:c>
      <x:c r="B1746" s="73" t="str">
        <x:f>IF('당기원장'!A746="","",'당기원장'!A746)</x:f>
      </x:c>
      <x:c r="C1746" s="73" t="str">
        <x:f>IF('당기원장'!A746="","",'당기원장'!B746)</x:f>
      </x:c>
      <x:c r="D1746" s="74" t="str">
        <x:f>IF('당기원장'!A746="","",'당기원장'!C746)</x:f>
      </x:c>
      <x:c r="E1746" s="73" t="str">
        <x:f>IF('당기원장'!A746="","",'당기원장'!D746)</x:f>
      </x:c>
      <x:c r="F1746" s="73" t="str">
        <x:f>IF('당기원장'!A746="","",'당기원장'!E746)</x:f>
      </x:c>
      <x:c r="G1746" s="75" t="str">
        <x:f>IF('당기원장'!A746="","",'당기원장'!H746)</x:f>
      </x:c>
      <x:c r="H1746" s="73" t="str">
        <x:f>IF('당기원장'!A746="","",'당기원장'!I746)</x:f>
      </x:c>
      <x:c r="I1746" s="73" t="str">
        <x:f>IF('당기원장'!A746="","",'당기원장'!J746)</x:f>
      </x:c>
      <x:c r="J1746" s="73" t="str">
        <x:f>IF('당기원장'!A746="","",'당기원장'!K746)</x:f>
      </x:c>
      <x:c r="K1746" s="73" t="str">
        <x:f>IF(B1746="","",IF(COUNTIF($B$5:B1746,B1746)=1,COUNT($K$4:K1745)+1,""))</x:f>
      </x:c>
      <x:c r="L1746" s="85" t="str">
        <x:f>IF(B1746="","",IF(COUNTIFS('계정비교'!$A$5:$A$1004,B1746,'계정비교'!$H$5:$H$1004,"원인분석 대상")&gt;0,COUNT($L$4:L1745)+1,""))</x:f>
      </x:c>
    </x:row>
    <x:row r="1747">
      <x:c r="A1747" s="73" t="str">
        <x:f>IF('당기원장'!A747="","","당기")</x:f>
      </x:c>
      <x:c r="B1747" s="73" t="str">
        <x:f>IF('당기원장'!A747="","",'당기원장'!A747)</x:f>
      </x:c>
      <x:c r="C1747" s="73" t="str">
        <x:f>IF('당기원장'!A747="","",'당기원장'!B747)</x:f>
      </x:c>
      <x:c r="D1747" s="74" t="str">
        <x:f>IF('당기원장'!A747="","",'당기원장'!C747)</x:f>
      </x:c>
      <x:c r="E1747" s="73" t="str">
        <x:f>IF('당기원장'!A747="","",'당기원장'!D747)</x:f>
      </x:c>
      <x:c r="F1747" s="73" t="str">
        <x:f>IF('당기원장'!A747="","",'당기원장'!E747)</x:f>
      </x:c>
      <x:c r="G1747" s="75" t="str">
        <x:f>IF('당기원장'!A747="","",'당기원장'!H747)</x:f>
      </x:c>
      <x:c r="H1747" s="73" t="str">
        <x:f>IF('당기원장'!A747="","",'당기원장'!I747)</x:f>
      </x:c>
      <x:c r="I1747" s="73" t="str">
        <x:f>IF('당기원장'!A747="","",'당기원장'!J747)</x:f>
      </x:c>
      <x:c r="J1747" s="73" t="str">
        <x:f>IF('당기원장'!A747="","",'당기원장'!K747)</x:f>
      </x:c>
      <x:c r="K1747" s="73" t="str">
        <x:f>IF(B1747="","",IF(COUNTIF($B$5:B1747,B1747)=1,COUNT($K$4:K1746)+1,""))</x:f>
      </x:c>
      <x:c r="L1747" s="85" t="str">
        <x:f>IF(B1747="","",IF(COUNTIFS('계정비교'!$A$5:$A$1004,B1747,'계정비교'!$H$5:$H$1004,"원인분석 대상")&gt;0,COUNT($L$4:L1746)+1,""))</x:f>
      </x:c>
    </x:row>
    <x:row r="1748">
      <x:c r="A1748" s="73" t="str">
        <x:f>IF('당기원장'!A748="","","당기")</x:f>
      </x:c>
      <x:c r="B1748" s="73" t="str">
        <x:f>IF('당기원장'!A748="","",'당기원장'!A748)</x:f>
      </x:c>
      <x:c r="C1748" s="73" t="str">
        <x:f>IF('당기원장'!A748="","",'당기원장'!B748)</x:f>
      </x:c>
      <x:c r="D1748" s="74" t="str">
        <x:f>IF('당기원장'!A748="","",'당기원장'!C748)</x:f>
      </x:c>
      <x:c r="E1748" s="73" t="str">
        <x:f>IF('당기원장'!A748="","",'당기원장'!D748)</x:f>
      </x:c>
      <x:c r="F1748" s="73" t="str">
        <x:f>IF('당기원장'!A748="","",'당기원장'!E748)</x:f>
      </x:c>
      <x:c r="G1748" s="75" t="str">
        <x:f>IF('당기원장'!A748="","",'당기원장'!H748)</x:f>
      </x:c>
      <x:c r="H1748" s="73" t="str">
        <x:f>IF('당기원장'!A748="","",'당기원장'!I748)</x:f>
      </x:c>
      <x:c r="I1748" s="73" t="str">
        <x:f>IF('당기원장'!A748="","",'당기원장'!J748)</x:f>
      </x:c>
      <x:c r="J1748" s="73" t="str">
        <x:f>IF('당기원장'!A748="","",'당기원장'!K748)</x:f>
      </x:c>
      <x:c r="K1748" s="73" t="str">
        <x:f>IF(B1748="","",IF(COUNTIF($B$5:B1748,B1748)=1,COUNT($K$4:K1747)+1,""))</x:f>
      </x:c>
      <x:c r="L1748" s="85" t="str">
        <x:f>IF(B1748="","",IF(COUNTIFS('계정비교'!$A$5:$A$1004,B1748,'계정비교'!$H$5:$H$1004,"원인분석 대상")&gt;0,COUNT($L$4:L1747)+1,""))</x:f>
      </x:c>
    </x:row>
    <x:row r="1749">
      <x:c r="A1749" s="73" t="str">
        <x:f>IF('당기원장'!A749="","","당기")</x:f>
      </x:c>
      <x:c r="B1749" s="73" t="str">
        <x:f>IF('당기원장'!A749="","",'당기원장'!A749)</x:f>
      </x:c>
      <x:c r="C1749" s="73" t="str">
        <x:f>IF('당기원장'!A749="","",'당기원장'!B749)</x:f>
      </x:c>
      <x:c r="D1749" s="74" t="str">
        <x:f>IF('당기원장'!A749="","",'당기원장'!C749)</x:f>
      </x:c>
      <x:c r="E1749" s="73" t="str">
        <x:f>IF('당기원장'!A749="","",'당기원장'!D749)</x:f>
      </x:c>
      <x:c r="F1749" s="73" t="str">
        <x:f>IF('당기원장'!A749="","",'당기원장'!E749)</x:f>
      </x:c>
      <x:c r="G1749" s="75" t="str">
        <x:f>IF('당기원장'!A749="","",'당기원장'!H749)</x:f>
      </x:c>
      <x:c r="H1749" s="73" t="str">
        <x:f>IF('당기원장'!A749="","",'당기원장'!I749)</x:f>
      </x:c>
      <x:c r="I1749" s="73" t="str">
        <x:f>IF('당기원장'!A749="","",'당기원장'!J749)</x:f>
      </x:c>
      <x:c r="J1749" s="73" t="str">
        <x:f>IF('당기원장'!A749="","",'당기원장'!K749)</x:f>
      </x:c>
      <x:c r="K1749" s="73" t="str">
        <x:f>IF(B1749="","",IF(COUNTIF($B$5:B1749,B1749)=1,COUNT($K$4:K1748)+1,""))</x:f>
      </x:c>
      <x:c r="L1749" s="85" t="str">
        <x:f>IF(B1749="","",IF(COUNTIFS('계정비교'!$A$5:$A$1004,B1749,'계정비교'!$H$5:$H$1004,"원인분석 대상")&gt;0,COUNT($L$4:L1748)+1,""))</x:f>
      </x:c>
    </x:row>
    <x:row r="1750">
      <x:c r="A1750" s="73" t="str">
        <x:f>IF('당기원장'!A750="","","당기")</x:f>
      </x:c>
      <x:c r="B1750" s="73" t="str">
        <x:f>IF('당기원장'!A750="","",'당기원장'!A750)</x:f>
      </x:c>
      <x:c r="C1750" s="73" t="str">
        <x:f>IF('당기원장'!A750="","",'당기원장'!B750)</x:f>
      </x:c>
      <x:c r="D1750" s="74" t="str">
        <x:f>IF('당기원장'!A750="","",'당기원장'!C750)</x:f>
      </x:c>
      <x:c r="E1750" s="73" t="str">
        <x:f>IF('당기원장'!A750="","",'당기원장'!D750)</x:f>
      </x:c>
      <x:c r="F1750" s="73" t="str">
        <x:f>IF('당기원장'!A750="","",'당기원장'!E750)</x:f>
      </x:c>
      <x:c r="G1750" s="75" t="str">
        <x:f>IF('당기원장'!A750="","",'당기원장'!H750)</x:f>
      </x:c>
      <x:c r="H1750" s="73" t="str">
        <x:f>IF('당기원장'!A750="","",'당기원장'!I750)</x:f>
      </x:c>
      <x:c r="I1750" s="73" t="str">
        <x:f>IF('당기원장'!A750="","",'당기원장'!J750)</x:f>
      </x:c>
      <x:c r="J1750" s="73" t="str">
        <x:f>IF('당기원장'!A750="","",'당기원장'!K750)</x:f>
      </x:c>
      <x:c r="K1750" s="73" t="str">
        <x:f>IF(B1750="","",IF(COUNTIF($B$5:B1750,B1750)=1,COUNT($K$4:K1749)+1,""))</x:f>
      </x:c>
      <x:c r="L1750" s="85" t="str">
        <x:f>IF(B1750="","",IF(COUNTIFS('계정비교'!$A$5:$A$1004,B1750,'계정비교'!$H$5:$H$1004,"원인분석 대상")&gt;0,COUNT($L$4:L1749)+1,""))</x:f>
      </x:c>
    </x:row>
    <x:row r="1751">
      <x:c r="A1751" s="73" t="str">
        <x:f>IF('당기원장'!A751="","","당기")</x:f>
      </x:c>
      <x:c r="B1751" s="73" t="str">
        <x:f>IF('당기원장'!A751="","",'당기원장'!A751)</x:f>
      </x:c>
      <x:c r="C1751" s="73" t="str">
        <x:f>IF('당기원장'!A751="","",'당기원장'!B751)</x:f>
      </x:c>
      <x:c r="D1751" s="74" t="str">
        <x:f>IF('당기원장'!A751="","",'당기원장'!C751)</x:f>
      </x:c>
      <x:c r="E1751" s="73" t="str">
        <x:f>IF('당기원장'!A751="","",'당기원장'!D751)</x:f>
      </x:c>
      <x:c r="F1751" s="73" t="str">
        <x:f>IF('당기원장'!A751="","",'당기원장'!E751)</x:f>
      </x:c>
      <x:c r="G1751" s="75" t="str">
        <x:f>IF('당기원장'!A751="","",'당기원장'!H751)</x:f>
      </x:c>
      <x:c r="H1751" s="73" t="str">
        <x:f>IF('당기원장'!A751="","",'당기원장'!I751)</x:f>
      </x:c>
      <x:c r="I1751" s="73" t="str">
        <x:f>IF('당기원장'!A751="","",'당기원장'!J751)</x:f>
      </x:c>
      <x:c r="J1751" s="73" t="str">
        <x:f>IF('당기원장'!A751="","",'당기원장'!K751)</x:f>
      </x:c>
      <x:c r="K1751" s="73" t="str">
        <x:f>IF(B1751="","",IF(COUNTIF($B$5:B1751,B1751)=1,COUNT($K$4:K1750)+1,""))</x:f>
      </x:c>
      <x:c r="L1751" s="85" t="str">
        <x:f>IF(B1751="","",IF(COUNTIFS('계정비교'!$A$5:$A$1004,B1751,'계정비교'!$H$5:$H$1004,"원인분석 대상")&gt;0,COUNT($L$4:L1750)+1,""))</x:f>
      </x:c>
    </x:row>
    <x:row r="1752">
      <x:c r="A1752" s="73" t="str">
        <x:f>IF('당기원장'!A752="","","당기")</x:f>
      </x:c>
      <x:c r="B1752" s="73" t="str">
        <x:f>IF('당기원장'!A752="","",'당기원장'!A752)</x:f>
      </x:c>
      <x:c r="C1752" s="73" t="str">
        <x:f>IF('당기원장'!A752="","",'당기원장'!B752)</x:f>
      </x:c>
      <x:c r="D1752" s="74" t="str">
        <x:f>IF('당기원장'!A752="","",'당기원장'!C752)</x:f>
      </x:c>
      <x:c r="E1752" s="73" t="str">
        <x:f>IF('당기원장'!A752="","",'당기원장'!D752)</x:f>
      </x:c>
      <x:c r="F1752" s="73" t="str">
        <x:f>IF('당기원장'!A752="","",'당기원장'!E752)</x:f>
      </x:c>
      <x:c r="G1752" s="75" t="str">
        <x:f>IF('당기원장'!A752="","",'당기원장'!H752)</x:f>
      </x:c>
      <x:c r="H1752" s="73" t="str">
        <x:f>IF('당기원장'!A752="","",'당기원장'!I752)</x:f>
      </x:c>
      <x:c r="I1752" s="73" t="str">
        <x:f>IF('당기원장'!A752="","",'당기원장'!J752)</x:f>
      </x:c>
      <x:c r="J1752" s="73" t="str">
        <x:f>IF('당기원장'!A752="","",'당기원장'!K752)</x:f>
      </x:c>
      <x:c r="K1752" s="73" t="str">
        <x:f>IF(B1752="","",IF(COUNTIF($B$5:B1752,B1752)=1,COUNT($K$4:K1751)+1,""))</x:f>
      </x:c>
      <x:c r="L1752" s="85" t="str">
        <x:f>IF(B1752="","",IF(COUNTIFS('계정비교'!$A$5:$A$1004,B1752,'계정비교'!$H$5:$H$1004,"원인분석 대상")&gt;0,COUNT($L$4:L1751)+1,""))</x:f>
      </x:c>
    </x:row>
    <x:row r="1753">
      <x:c r="A1753" s="73" t="str">
        <x:f>IF('당기원장'!A753="","","당기")</x:f>
      </x:c>
      <x:c r="B1753" s="73" t="str">
        <x:f>IF('당기원장'!A753="","",'당기원장'!A753)</x:f>
      </x:c>
      <x:c r="C1753" s="73" t="str">
        <x:f>IF('당기원장'!A753="","",'당기원장'!B753)</x:f>
      </x:c>
      <x:c r="D1753" s="74" t="str">
        <x:f>IF('당기원장'!A753="","",'당기원장'!C753)</x:f>
      </x:c>
      <x:c r="E1753" s="73" t="str">
        <x:f>IF('당기원장'!A753="","",'당기원장'!D753)</x:f>
      </x:c>
      <x:c r="F1753" s="73" t="str">
        <x:f>IF('당기원장'!A753="","",'당기원장'!E753)</x:f>
      </x:c>
      <x:c r="G1753" s="75" t="str">
        <x:f>IF('당기원장'!A753="","",'당기원장'!H753)</x:f>
      </x:c>
      <x:c r="H1753" s="73" t="str">
        <x:f>IF('당기원장'!A753="","",'당기원장'!I753)</x:f>
      </x:c>
      <x:c r="I1753" s="73" t="str">
        <x:f>IF('당기원장'!A753="","",'당기원장'!J753)</x:f>
      </x:c>
      <x:c r="J1753" s="73" t="str">
        <x:f>IF('당기원장'!A753="","",'당기원장'!K753)</x:f>
      </x:c>
      <x:c r="K1753" s="73" t="str">
        <x:f>IF(B1753="","",IF(COUNTIF($B$5:B1753,B1753)=1,COUNT($K$4:K1752)+1,""))</x:f>
      </x:c>
      <x:c r="L1753" s="85" t="str">
        <x:f>IF(B1753="","",IF(COUNTIFS('계정비교'!$A$5:$A$1004,B1753,'계정비교'!$H$5:$H$1004,"원인분석 대상")&gt;0,COUNT($L$4:L1752)+1,""))</x:f>
      </x:c>
    </x:row>
    <x:row r="1754">
      <x:c r="A1754" s="73" t="str">
        <x:f>IF('당기원장'!A754="","","당기")</x:f>
      </x:c>
      <x:c r="B1754" s="73" t="str">
        <x:f>IF('당기원장'!A754="","",'당기원장'!A754)</x:f>
      </x:c>
      <x:c r="C1754" s="73" t="str">
        <x:f>IF('당기원장'!A754="","",'당기원장'!B754)</x:f>
      </x:c>
      <x:c r="D1754" s="74" t="str">
        <x:f>IF('당기원장'!A754="","",'당기원장'!C754)</x:f>
      </x:c>
      <x:c r="E1754" s="73" t="str">
        <x:f>IF('당기원장'!A754="","",'당기원장'!D754)</x:f>
      </x:c>
      <x:c r="F1754" s="73" t="str">
        <x:f>IF('당기원장'!A754="","",'당기원장'!E754)</x:f>
      </x:c>
      <x:c r="G1754" s="75" t="str">
        <x:f>IF('당기원장'!A754="","",'당기원장'!H754)</x:f>
      </x:c>
      <x:c r="H1754" s="73" t="str">
        <x:f>IF('당기원장'!A754="","",'당기원장'!I754)</x:f>
      </x:c>
      <x:c r="I1754" s="73" t="str">
        <x:f>IF('당기원장'!A754="","",'당기원장'!J754)</x:f>
      </x:c>
      <x:c r="J1754" s="73" t="str">
        <x:f>IF('당기원장'!A754="","",'당기원장'!K754)</x:f>
      </x:c>
      <x:c r="K1754" s="73" t="str">
        <x:f>IF(B1754="","",IF(COUNTIF($B$5:B1754,B1754)=1,COUNT($K$4:K1753)+1,""))</x:f>
      </x:c>
      <x:c r="L1754" s="85" t="str">
        <x:f>IF(B1754="","",IF(COUNTIFS('계정비교'!$A$5:$A$1004,B1754,'계정비교'!$H$5:$H$1004,"원인분석 대상")&gt;0,COUNT($L$4:L1753)+1,""))</x:f>
      </x:c>
    </x:row>
    <x:row r="1755">
      <x:c r="A1755" s="73" t="str">
        <x:f>IF('당기원장'!A755="","","당기")</x:f>
      </x:c>
      <x:c r="B1755" s="73" t="str">
        <x:f>IF('당기원장'!A755="","",'당기원장'!A755)</x:f>
      </x:c>
      <x:c r="C1755" s="73" t="str">
        <x:f>IF('당기원장'!A755="","",'당기원장'!B755)</x:f>
      </x:c>
      <x:c r="D1755" s="74" t="str">
        <x:f>IF('당기원장'!A755="","",'당기원장'!C755)</x:f>
      </x:c>
      <x:c r="E1755" s="73" t="str">
        <x:f>IF('당기원장'!A755="","",'당기원장'!D755)</x:f>
      </x:c>
      <x:c r="F1755" s="73" t="str">
        <x:f>IF('당기원장'!A755="","",'당기원장'!E755)</x:f>
      </x:c>
      <x:c r="G1755" s="75" t="str">
        <x:f>IF('당기원장'!A755="","",'당기원장'!H755)</x:f>
      </x:c>
      <x:c r="H1755" s="73" t="str">
        <x:f>IF('당기원장'!A755="","",'당기원장'!I755)</x:f>
      </x:c>
      <x:c r="I1755" s="73" t="str">
        <x:f>IF('당기원장'!A755="","",'당기원장'!J755)</x:f>
      </x:c>
      <x:c r="J1755" s="73" t="str">
        <x:f>IF('당기원장'!A755="","",'당기원장'!K755)</x:f>
      </x:c>
      <x:c r="K1755" s="73" t="str">
        <x:f>IF(B1755="","",IF(COUNTIF($B$5:B1755,B1755)=1,COUNT($K$4:K1754)+1,""))</x:f>
      </x:c>
      <x:c r="L1755" s="85" t="str">
        <x:f>IF(B1755="","",IF(COUNTIFS('계정비교'!$A$5:$A$1004,B1755,'계정비교'!$H$5:$H$1004,"원인분석 대상")&gt;0,COUNT($L$4:L1754)+1,""))</x:f>
      </x:c>
    </x:row>
    <x:row r="1756">
      <x:c r="A1756" s="73" t="str">
        <x:f>IF('당기원장'!A756="","","당기")</x:f>
      </x:c>
      <x:c r="B1756" s="73" t="str">
        <x:f>IF('당기원장'!A756="","",'당기원장'!A756)</x:f>
      </x:c>
      <x:c r="C1756" s="73" t="str">
        <x:f>IF('당기원장'!A756="","",'당기원장'!B756)</x:f>
      </x:c>
      <x:c r="D1756" s="74" t="str">
        <x:f>IF('당기원장'!A756="","",'당기원장'!C756)</x:f>
      </x:c>
      <x:c r="E1756" s="73" t="str">
        <x:f>IF('당기원장'!A756="","",'당기원장'!D756)</x:f>
      </x:c>
      <x:c r="F1756" s="73" t="str">
        <x:f>IF('당기원장'!A756="","",'당기원장'!E756)</x:f>
      </x:c>
      <x:c r="G1756" s="75" t="str">
        <x:f>IF('당기원장'!A756="","",'당기원장'!H756)</x:f>
      </x:c>
      <x:c r="H1756" s="73" t="str">
        <x:f>IF('당기원장'!A756="","",'당기원장'!I756)</x:f>
      </x:c>
      <x:c r="I1756" s="73" t="str">
        <x:f>IF('당기원장'!A756="","",'당기원장'!J756)</x:f>
      </x:c>
      <x:c r="J1756" s="73" t="str">
        <x:f>IF('당기원장'!A756="","",'당기원장'!K756)</x:f>
      </x:c>
      <x:c r="K1756" s="73" t="str">
        <x:f>IF(B1756="","",IF(COUNTIF($B$5:B1756,B1756)=1,COUNT($K$4:K1755)+1,""))</x:f>
      </x:c>
      <x:c r="L1756" s="85" t="str">
        <x:f>IF(B1756="","",IF(COUNTIFS('계정비교'!$A$5:$A$1004,B1756,'계정비교'!$H$5:$H$1004,"원인분석 대상")&gt;0,COUNT($L$4:L1755)+1,""))</x:f>
      </x:c>
    </x:row>
    <x:row r="1757">
      <x:c r="A1757" s="73" t="str">
        <x:f>IF('당기원장'!A757="","","당기")</x:f>
      </x:c>
      <x:c r="B1757" s="73" t="str">
        <x:f>IF('당기원장'!A757="","",'당기원장'!A757)</x:f>
      </x:c>
      <x:c r="C1757" s="73" t="str">
        <x:f>IF('당기원장'!A757="","",'당기원장'!B757)</x:f>
      </x:c>
      <x:c r="D1757" s="74" t="str">
        <x:f>IF('당기원장'!A757="","",'당기원장'!C757)</x:f>
      </x:c>
      <x:c r="E1757" s="73" t="str">
        <x:f>IF('당기원장'!A757="","",'당기원장'!D757)</x:f>
      </x:c>
      <x:c r="F1757" s="73" t="str">
        <x:f>IF('당기원장'!A757="","",'당기원장'!E757)</x:f>
      </x:c>
      <x:c r="G1757" s="75" t="str">
        <x:f>IF('당기원장'!A757="","",'당기원장'!H757)</x:f>
      </x:c>
      <x:c r="H1757" s="73" t="str">
        <x:f>IF('당기원장'!A757="","",'당기원장'!I757)</x:f>
      </x:c>
      <x:c r="I1757" s="73" t="str">
        <x:f>IF('당기원장'!A757="","",'당기원장'!J757)</x:f>
      </x:c>
      <x:c r="J1757" s="73" t="str">
        <x:f>IF('당기원장'!A757="","",'당기원장'!K757)</x:f>
      </x:c>
      <x:c r="K1757" s="73" t="str">
        <x:f>IF(B1757="","",IF(COUNTIF($B$5:B1757,B1757)=1,COUNT($K$4:K1756)+1,""))</x:f>
      </x:c>
      <x:c r="L1757" s="85" t="str">
        <x:f>IF(B1757="","",IF(COUNTIFS('계정비교'!$A$5:$A$1004,B1757,'계정비교'!$H$5:$H$1004,"원인분석 대상")&gt;0,COUNT($L$4:L1756)+1,""))</x:f>
      </x:c>
    </x:row>
    <x:row r="1758">
      <x:c r="A1758" s="73" t="str">
        <x:f>IF('당기원장'!A758="","","당기")</x:f>
      </x:c>
      <x:c r="B1758" s="73" t="str">
        <x:f>IF('당기원장'!A758="","",'당기원장'!A758)</x:f>
      </x:c>
      <x:c r="C1758" s="73" t="str">
        <x:f>IF('당기원장'!A758="","",'당기원장'!B758)</x:f>
      </x:c>
      <x:c r="D1758" s="74" t="str">
        <x:f>IF('당기원장'!A758="","",'당기원장'!C758)</x:f>
      </x:c>
      <x:c r="E1758" s="73" t="str">
        <x:f>IF('당기원장'!A758="","",'당기원장'!D758)</x:f>
      </x:c>
      <x:c r="F1758" s="73" t="str">
        <x:f>IF('당기원장'!A758="","",'당기원장'!E758)</x:f>
      </x:c>
      <x:c r="G1758" s="75" t="str">
        <x:f>IF('당기원장'!A758="","",'당기원장'!H758)</x:f>
      </x:c>
      <x:c r="H1758" s="73" t="str">
        <x:f>IF('당기원장'!A758="","",'당기원장'!I758)</x:f>
      </x:c>
      <x:c r="I1758" s="73" t="str">
        <x:f>IF('당기원장'!A758="","",'당기원장'!J758)</x:f>
      </x:c>
      <x:c r="J1758" s="73" t="str">
        <x:f>IF('당기원장'!A758="","",'당기원장'!K758)</x:f>
      </x:c>
      <x:c r="K1758" s="73" t="str">
        <x:f>IF(B1758="","",IF(COUNTIF($B$5:B1758,B1758)=1,COUNT($K$4:K1757)+1,""))</x:f>
      </x:c>
      <x:c r="L1758" s="85" t="str">
        <x:f>IF(B1758="","",IF(COUNTIFS('계정비교'!$A$5:$A$1004,B1758,'계정비교'!$H$5:$H$1004,"원인분석 대상")&gt;0,COUNT($L$4:L1757)+1,""))</x:f>
      </x:c>
    </x:row>
    <x:row r="1759">
      <x:c r="A1759" s="73" t="str">
        <x:f>IF('당기원장'!A759="","","당기")</x:f>
      </x:c>
      <x:c r="B1759" s="73" t="str">
        <x:f>IF('당기원장'!A759="","",'당기원장'!A759)</x:f>
      </x:c>
      <x:c r="C1759" s="73" t="str">
        <x:f>IF('당기원장'!A759="","",'당기원장'!B759)</x:f>
      </x:c>
      <x:c r="D1759" s="74" t="str">
        <x:f>IF('당기원장'!A759="","",'당기원장'!C759)</x:f>
      </x:c>
      <x:c r="E1759" s="73" t="str">
        <x:f>IF('당기원장'!A759="","",'당기원장'!D759)</x:f>
      </x:c>
      <x:c r="F1759" s="73" t="str">
        <x:f>IF('당기원장'!A759="","",'당기원장'!E759)</x:f>
      </x:c>
      <x:c r="G1759" s="75" t="str">
        <x:f>IF('당기원장'!A759="","",'당기원장'!H759)</x:f>
      </x:c>
      <x:c r="H1759" s="73" t="str">
        <x:f>IF('당기원장'!A759="","",'당기원장'!I759)</x:f>
      </x:c>
      <x:c r="I1759" s="73" t="str">
        <x:f>IF('당기원장'!A759="","",'당기원장'!J759)</x:f>
      </x:c>
      <x:c r="J1759" s="73" t="str">
        <x:f>IF('당기원장'!A759="","",'당기원장'!K759)</x:f>
      </x:c>
      <x:c r="K1759" s="73" t="str">
        <x:f>IF(B1759="","",IF(COUNTIF($B$5:B1759,B1759)=1,COUNT($K$4:K1758)+1,""))</x:f>
      </x:c>
      <x:c r="L1759" s="85" t="str">
        <x:f>IF(B1759="","",IF(COUNTIFS('계정비교'!$A$5:$A$1004,B1759,'계정비교'!$H$5:$H$1004,"원인분석 대상")&gt;0,COUNT($L$4:L1758)+1,""))</x:f>
      </x:c>
    </x:row>
    <x:row r="1760">
      <x:c r="A1760" s="73" t="str">
        <x:f>IF('당기원장'!A760="","","당기")</x:f>
      </x:c>
      <x:c r="B1760" s="73" t="str">
        <x:f>IF('당기원장'!A760="","",'당기원장'!A760)</x:f>
      </x:c>
      <x:c r="C1760" s="73" t="str">
        <x:f>IF('당기원장'!A760="","",'당기원장'!B760)</x:f>
      </x:c>
      <x:c r="D1760" s="74" t="str">
        <x:f>IF('당기원장'!A760="","",'당기원장'!C760)</x:f>
      </x:c>
      <x:c r="E1760" s="73" t="str">
        <x:f>IF('당기원장'!A760="","",'당기원장'!D760)</x:f>
      </x:c>
      <x:c r="F1760" s="73" t="str">
        <x:f>IF('당기원장'!A760="","",'당기원장'!E760)</x:f>
      </x:c>
      <x:c r="G1760" s="75" t="str">
        <x:f>IF('당기원장'!A760="","",'당기원장'!H760)</x:f>
      </x:c>
      <x:c r="H1760" s="73" t="str">
        <x:f>IF('당기원장'!A760="","",'당기원장'!I760)</x:f>
      </x:c>
      <x:c r="I1760" s="73" t="str">
        <x:f>IF('당기원장'!A760="","",'당기원장'!J760)</x:f>
      </x:c>
      <x:c r="J1760" s="73" t="str">
        <x:f>IF('당기원장'!A760="","",'당기원장'!K760)</x:f>
      </x:c>
      <x:c r="K1760" s="73" t="str">
        <x:f>IF(B1760="","",IF(COUNTIF($B$5:B1760,B1760)=1,COUNT($K$4:K1759)+1,""))</x:f>
      </x:c>
      <x:c r="L1760" s="85" t="str">
        <x:f>IF(B1760="","",IF(COUNTIFS('계정비교'!$A$5:$A$1004,B1760,'계정비교'!$H$5:$H$1004,"원인분석 대상")&gt;0,COUNT($L$4:L1759)+1,""))</x:f>
      </x:c>
    </x:row>
    <x:row r="1761">
      <x:c r="A1761" s="73" t="str">
        <x:f>IF('당기원장'!A761="","","당기")</x:f>
      </x:c>
      <x:c r="B1761" s="73" t="str">
        <x:f>IF('당기원장'!A761="","",'당기원장'!A761)</x:f>
      </x:c>
      <x:c r="C1761" s="73" t="str">
        <x:f>IF('당기원장'!A761="","",'당기원장'!B761)</x:f>
      </x:c>
      <x:c r="D1761" s="74" t="str">
        <x:f>IF('당기원장'!A761="","",'당기원장'!C761)</x:f>
      </x:c>
      <x:c r="E1761" s="73" t="str">
        <x:f>IF('당기원장'!A761="","",'당기원장'!D761)</x:f>
      </x:c>
      <x:c r="F1761" s="73" t="str">
        <x:f>IF('당기원장'!A761="","",'당기원장'!E761)</x:f>
      </x:c>
      <x:c r="G1761" s="75" t="str">
        <x:f>IF('당기원장'!A761="","",'당기원장'!H761)</x:f>
      </x:c>
      <x:c r="H1761" s="73" t="str">
        <x:f>IF('당기원장'!A761="","",'당기원장'!I761)</x:f>
      </x:c>
      <x:c r="I1761" s="73" t="str">
        <x:f>IF('당기원장'!A761="","",'당기원장'!J761)</x:f>
      </x:c>
      <x:c r="J1761" s="73" t="str">
        <x:f>IF('당기원장'!A761="","",'당기원장'!K761)</x:f>
      </x:c>
      <x:c r="K1761" s="73" t="str">
        <x:f>IF(B1761="","",IF(COUNTIF($B$5:B1761,B1761)=1,COUNT($K$4:K1760)+1,""))</x:f>
      </x:c>
      <x:c r="L1761" s="85" t="str">
        <x:f>IF(B1761="","",IF(COUNTIFS('계정비교'!$A$5:$A$1004,B1761,'계정비교'!$H$5:$H$1004,"원인분석 대상")&gt;0,COUNT($L$4:L1760)+1,""))</x:f>
      </x:c>
    </x:row>
    <x:row r="1762">
      <x:c r="A1762" s="73" t="str">
        <x:f>IF('당기원장'!A762="","","당기")</x:f>
      </x:c>
      <x:c r="B1762" s="73" t="str">
        <x:f>IF('당기원장'!A762="","",'당기원장'!A762)</x:f>
      </x:c>
      <x:c r="C1762" s="73" t="str">
        <x:f>IF('당기원장'!A762="","",'당기원장'!B762)</x:f>
      </x:c>
      <x:c r="D1762" s="74" t="str">
        <x:f>IF('당기원장'!A762="","",'당기원장'!C762)</x:f>
      </x:c>
      <x:c r="E1762" s="73" t="str">
        <x:f>IF('당기원장'!A762="","",'당기원장'!D762)</x:f>
      </x:c>
      <x:c r="F1762" s="73" t="str">
        <x:f>IF('당기원장'!A762="","",'당기원장'!E762)</x:f>
      </x:c>
      <x:c r="G1762" s="75" t="str">
        <x:f>IF('당기원장'!A762="","",'당기원장'!H762)</x:f>
      </x:c>
      <x:c r="H1762" s="73" t="str">
        <x:f>IF('당기원장'!A762="","",'당기원장'!I762)</x:f>
      </x:c>
      <x:c r="I1762" s="73" t="str">
        <x:f>IF('당기원장'!A762="","",'당기원장'!J762)</x:f>
      </x:c>
      <x:c r="J1762" s="73" t="str">
        <x:f>IF('당기원장'!A762="","",'당기원장'!K762)</x:f>
      </x:c>
      <x:c r="K1762" s="73" t="str">
        <x:f>IF(B1762="","",IF(COUNTIF($B$5:B1762,B1762)=1,COUNT($K$4:K1761)+1,""))</x:f>
      </x:c>
      <x:c r="L1762" s="85" t="str">
        <x:f>IF(B1762="","",IF(COUNTIFS('계정비교'!$A$5:$A$1004,B1762,'계정비교'!$H$5:$H$1004,"원인분석 대상")&gt;0,COUNT($L$4:L1761)+1,""))</x:f>
      </x:c>
    </x:row>
    <x:row r="1763">
      <x:c r="A1763" s="73" t="str">
        <x:f>IF('당기원장'!A763="","","당기")</x:f>
      </x:c>
      <x:c r="B1763" s="73" t="str">
        <x:f>IF('당기원장'!A763="","",'당기원장'!A763)</x:f>
      </x:c>
      <x:c r="C1763" s="73" t="str">
        <x:f>IF('당기원장'!A763="","",'당기원장'!B763)</x:f>
      </x:c>
      <x:c r="D1763" s="74" t="str">
        <x:f>IF('당기원장'!A763="","",'당기원장'!C763)</x:f>
      </x:c>
      <x:c r="E1763" s="73" t="str">
        <x:f>IF('당기원장'!A763="","",'당기원장'!D763)</x:f>
      </x:c>
      <x:c r="F1763" s="73" t="str">
        <x:f>IF('당기원장'!A763="","",'당기원장'!E763)</x:f>
      </x:c>
      <x:c r="G1763" s="75" t="str">
        <x:f>IF('당기원장'!A763="","",'당기원장'!H763)</x:f>
      </x:c>
      <x:c r="H1763" s="73" t="str">
        <x:f>IF('당기원장'!A763="","",'당기원장'!I763)</x:f>
      </x:c>
      <x:c r="I1763" s="73" t="str">
        <x:f>IF('당기원장'!A763="","",'당기원장'!J763)</x:f>
      </x:c>
      <x:c r="J1763" s="73" t="str">
        <x:f>IF('당기원장'!A763="","",'당기원장'!K763)</x:f>
      </x:c>
      <x:c r="K1763" s="73" t="str">
        <x:f>IF(B1763="","",IF(COUNTIF($B$5:B1763,B1763)=1,COUNT($K$4:K1762)+1,""))</x:f>
      </x:c>
      <x:c r="L1763" s="85" t="str">
        <x:f>IF(B1763="","",IF(COUNTIFS('계정비교'!$A$5:$A$1004,B1763,'계정비교'!$H$5:$H$1004,"원인분석 대상")&gt;0,COUNT($L$4:L1762)+1,""))</x:f>
      </x:c>
    </x:row>
    <x:row r="1764">
      <x:c r="A1764" s="73" t="str">
        <x:f>IF('당기원장'!A764="","","당기")</x:f>
      </x:c>
      <x:c r="B1764" s="73" t="str">
        <x:f>IF('당기원장'!A764="","",'당기원장'!A764)</x:f>
      </x:c>
      <x:c r="C1764" s="73" t="str">
        <x:f>IF('당기원장'!A764="","",'당기원장'!B764)</x:f>
      </x:c>
      <x:c r="D1764" s="74" t="str">
        <x:f>IF('당기원장'!A764="","",'당기원장'!C764)</x:f>
      </x:c>
      <x:c r="E1764" s="73" t="str">
        <x:f>IF('당기원장'!A764="","",'당기원장'!D764)</x:f>
      </x:c>
      <x:c r="F1764" s="73" t="str">
        <x:f>IF('당기원장'!A764="","",'당기원장'!E764)</x:f>
      </x:c>
      <x:c r="G1764" s="75" t="str">
        <x:f>IF('당기원장'!A764="","",'당기원장'!H764)</x:f>
      </x:c>
      <x:c r="H1764" s="73" t="str">
        <x:f>IF('당기원장'!A764="","",'당기원장'!I764)</x:f>
      </x:c>
      <x:c r="I1764" s="73" t="str">
        <x:f>IF('당기원장'!A764="","",'당기원장'!J764)</x:f>
      </x:c>
      <x:c r="J1764" s="73" t="str">
        <x:f>IF('당기원장'!A764="","",'당기원장'!K764)</x:f>
      </x:c>
      <x:c r="K1764" s="73" t="str">
        <x:f>IF(B1764="","",IF(COUNTIF($B$5:B1764,B1764)=1,COUNT($K$4:K1763)+1,""))</x:f>
      </x:c>
      <x:c r="L1764" s="85" t="str">
        <x:f>IF(B1764="","",IF(COUNTIFS('계정비교'!$A$5:$A$1004,B1764,'계정비교'!$H$5:$H$1004,"원인분석 대상")&gt;0,COUNT($L$4:L1763)+1,""))</x:f>
      </x:c>
    </x:row>
    <x:row r="1765">
      <x:c r="A1765" s="73" t="str">
        <x:f>IF('당기원장'!A765="","","당기")</x:f>
      </x:c>
      <x:c r="B1765" s="73" t="str">
        <x:f>IF('당기원장'!A765="","",'당기원장'!A765)</x:f>
      </x:c>
      <x:c r="C1765" s="73" t="str">
        <x:f>IF('당기원장'!A765="","",'당기원장'!B765)</x:f>
      </x:c>
      <x:c r="D1765" s="74" t="str">
        <x:f>IF('당기원장'!A765="","",'당기원장'!C765)</x:f>
      </x:c>
      <x:c r="E1765" s="73" t="str">
        <x:f>IF('당기원장'!A765="","",'당기원장'!D765)</x:f>
      </x:c>
      <x:c r="F1765" s="73" t="str">
        <x:f>IF('당기원장'!A765="","",'당기원장'!E765)</x:f>
      </x:c>
      <x:c r="G1765" s="75" t="str">
        <x:f>IF('당기원장'!A765="","",'당기원장'!H765)</x:f>
      </x:c>
      <x:c r="H1765" s="73" t="str">
        <x:f>IF('당기원장'!A765="","",'당기원장'!I765)</x:f>
      </x:c>
      <x:c r="I1765" s="73" t="str">
        <x:f>IF('당기원장'!A765="","",'당기원장'!J765)</x:f>
      </x:c>
      <x:c r="J1765" s="73" t="str">
        <x:f>IF('당기원장'!A765="","",'당기원장'!K765)</x:f>
      </x:c>
      <x:c r="K1765" s="73" t="str">
        <x:f>IF(B1765="","",IF(COUNTIF($B$5:B1765,B1765)=1,COUNT($K$4:K1764)+1,""))</x:f>
      </x:c>
      <x:c r="L1765" s="85" t="str">
        <x:f>IF(B1765="","",IF(COUNTIFS('계정비교'!$A$5:$A$1004,B1765,'계정비교'!$H$5:$H$1004,"원인분석 대상")&gt;0,COUNT($L$4:L1764)+1,""))</x:f>
      </x:c>
    </x:row>
    <x:row r="1766">
      <x:c r="A1766" s="73" t="str">
        <x:f>IF('당기원장'!A766="","","당기")</x:f>
      </x:c>
      <x:c r="B1766" s="73" t="str">
        <x:f>IF('당기원장'!A766="","",'당기원장'!A766)</x:f>
      </x:c>
      <x:c r="C1766" s="73" t="str">
        <x:f>IF('당기원장'!A766="","",'당기원장'!B766)</x:f>
      </x:c>
      <x:c r="D1766" s="74" t="str">
        <x:f>IF('당기원장'!A766="","",'당기원장'!C766)</x:f>
      </x:c>
      <x:c r="E1766" s="73" t="str">
        <x:f>IF('당기원장'!A766="","",'당기원장'!D766)</x:f>
      </x:c>
      <x:c r="F1766" s="73" t="str">
        <x:f>IF('당기원장'!A766="","",'당기원장'!E766)</x:f>
      </x:c>
      <x:c r="G1766" s="75" t="str">
        <x:f>IF('당기원장'!A766="","",'당기원장'!H766)</x:f>
      </x:c>
      <x:c r="H1766" s="73" t="str">
        <x:f>IF('당기원장'!A766="","",'당기원장'!I766)</x:f>
      </x:c>
      <x:c r="I1766" s="73" t="str">
        <x:f>IF('당기원장'!A766="","",'당기원장'!J766)</x:f>
      </x:c>
      <x:c r="J1766" s="73" t="str">
        <x:f>IF('당기원장'!A766="","",'당기원장'!K766)</x:f>
      </x:c>
      <x:c r="K1766" s="73" t="str">
        <x:f>IF(B1766="","",IF(COUNTIF($B$5:B1766,B1766)=1,COUNT($K$4:K1765)+1,""))</x:f>
      </x:c>
      <x:c r="L1766" s="85" t="str">
        <x:f>IF(B1766="","",IF(COUNTIFS('계정비교'!$A$5:$A$1004,B1766,'계정비교'!$H$5:$H$1004,"원인분석 대상")&gt;0,COUNT($L$4:L1765)+1,""))</x:f>
      </x:c>
    </x:row>
    <x:row r="1767">
      <x:c r="A1767" s="73" t="str">
        <x:f>IF('당기원장'!A767="","","당기")</x:f>
      </x:c>
      <x:c r="B1767" s="73" t="str">
        <x:f>IF('당기원장'!A767="","",'당기원장'!A767)</x:f>
      </x:c>
      <x:c r="C1767" s="73" t="str">
        <x:f>IF('당기원장'!A767="","",'당기원장'!B767)</x:f>
      </x:c>
      <x:c r="D1767" s="74" t="str">
        <x:f>IF('당기원장'!A767="","",'당기원장'!C767)</x:f>
      </x:c>
      <x:c r="E1767" s="73" t="str">
        <x:f>IF('당기원장'!A767="","",'당기원장'!D767)</x:f>
      </x:c>
      <x:c r="F1767" s="73" t="str">
        <x:f>IF('당기원장'!A767="","",'당기원장'!E767)</x:f>
      </x:c>
      <x:c r="G1767" s="75" t="str">
        <x:f>IF('당기원장'!A767="","",'당기원장'!H767)</x:f>
      </x:c>
      <x:c r="H1767" s="73" t="str">
        <x:f>IF('당기원장'!A767="","",'당기원장'!I767)</x:f>
      </x:c>
      <x:c r="I1767" s="73" t="str">
        <x:f>IF('당기원장'!A767="","",'당기원장'!J767)</x:f>
      </x:c>
      <x:c r="J1767" s="73" t="str">
        <x:f>IF('당기원장'!A767="","",'당기원장'!K767)</x:f>
      </x:c>
      <x:c r="K1767" s="73" t="str">
        <x:f>IF(B1767="","",IF(COUNTIF($B$5:B1767,B1767)=1,COUNT($K$4:K1766)+1,""))</x:f>
      </x:c>
      <x:c r="L1767" s="85" t="str">
        <x:f>IF(B1767="","",IF(COUNTIFS('계정비교'!$A$5:$A$1004,B1767,'계정비교'!$H$5:$H$1004,"원인분석 대상")&gt;0,COUNT($L$4:L1766)+1,""))</x:f>
      </x:c>
    </x:row>
    <x:row r="1768">
      <x:c r="A1768" s="73" t="str">
        <x:f>IF('당기원장'!A768="","","당기")</x:f>
      </x:c>
      <x:c r="B1768" s="73" t="str">
        <x:f>IF('당기원장'!A768="","",'당기원장'!A768)</x:f>
      </x:c>
      <x:c r="C1768" s="73" t="str">
        <x:f>IF('당기원장'!A768="","",'당기원장'!B768)</x:f>
      </x:c>
      <x:c r="D1768" s="74" t="str">
        <x:f>IF('당기원장'!A768="","",'당기원장'!C768)</x:f>
      </x:c>
      <x:c r="E1768" s="73" t="str">
        <x:f>IF('당기원장'!A768="","",'당기원장'!D768)</x:f>
      </x:c>
      <x:c r="F1768" s="73" t="str">
        <x:f>IF('당기원장'!A768="","",'당기원장'!E768)</x:f>
      </x:c>
      <x:c r="G1768" s="75" t="str">
        <x:f>IF('당기원장'!A768="","",'당기원장'!H768)</x:f>
      </x:c>
      <x:c r="H1768" s="73" t="str">
        <x:f>IF('당기원장'!A768="","",'당기원장'!I768)</x:f>
      </x:c>
      <x:c r="I1768" s="73" t="str">
        <x:f>IF('당기원장'!A768="","",'당기원장'!J768)</x:f>
      </x:c>
      <x:c r="J1768" s="73" t="str">
        <x:f>IF('당기원장'!A768="","",'당기원장'!K768)</x:f>
      </x:c>
      <x:c r="K1768" s="73" t="str">
        <x:f>IF(B1768="","",IF(COUNTIF($B$5:B1768,B1768)=1,COUNT($K$4:K1767)+1,""))</x:f>
      </x:c>
      <x:c r="L1768" s="85" t="str">
        <x:f>IF(B1768="","",IF(COUNTIFS('계정비교'!$A$5:$A$1004,B1768,'계정비교'!$H$5:$H$1004,"원인분석 대상")&gt;0,COUNT($L$4:L1767)+1,""))</x:f>
      </x:c>
    </x:row>
    <x:row r="1769">
      <x:c r="A1769" s="73" t="str">
        <x:f>IF('당기원장'!A769="","","당기")</x:f>
      </x:c>
      <x:c r="B1769" s="73" t="str">
        <x:f>IF('당기원장'!A769="","",'당기원장'!A769)</x:f>
      </x:c>
      <x:c r="C1769" s="73" t="str">
        <x:f>IF('당기원장'!A769="","",'당기원장'!B769)</x:f>
      </x:c>
      <x:c r="D1769" s="74" t="str">
        <x:f>IF('당기원장'!A769="","",'당기원장'!C769)</x:f>
      </x:c>
      <x:c r="E1769" s="73" t="str">
        <x:f>IF('당기원장'!A769="","",'당기원장'!D769)</x:f>
      </x:c>
      <x:c r="F1769" s="73" t="str">
        <x:f>IF('당기원장'!A769="","",'당기원장'!E769)</x:f>
      </x:c>
      <x:c r="G1769" s="75" t="str">
        <x:f>IF('당기원장'!A769="","",'당기원장'!H769)</x:f>
      </x:c>
      <x:c r="H1769" s="73" t="str">
        <x:f>IF('당기원장'!A769="","",'당기원장'!I769)</x:f>
      </x:c>
      <x:c r="I1769" s="73" t="str">
        <x:f>IF('당기원장'!A769="","",'당기원장'!J769)</x:f>
      </x:c>
      <x:c r="J1769" s="73" t="str">
        <x:f>IF('당기원장'!A769="","",'당기원장'!K769)</x:f>
      </x:c>
      <x:c r="K1769" s="73" t="str">
        <x:f>IF(B1769="","",IF(COUNTIF($B$5:B1769,B1769)=1,COUNT($K$4:K1768)+1,""))</x:f>
      </x:c>
      <x:c r="L1769" s="85" t="str">
        <x:f>IF(B1769="","",IF(COUNTIFS('계정비교'!$A$5:$A$1004,B1769,'계정비교'!$H$5:$H$1004,"원인분석 대상")&gt;0,COUNT($L$4:L1768)+1,""))</x:f>
      </x:c>
    </x:row>
    <x:row r="1770">
      <x:c r="A1770" s="73" t="str">
        <x:f>IF('당기원장'!A770="","","당기")</x:f>
      </x:c>
      <x:c r="B1770" s="73" t="str">
        <x:f>IF('당기원장'!A770="","",'당기원장'!A770)</x:f>
      </x:c>
      <x:c r="C1770" s="73" t="str">
        <x:f>IF('당기원장'!A770="","",'당기원장'!B770)</x:f>
      </x:c>
      <x:c r="D1770" s="74" t="str">
        <x:f>IF('당기원장'!A770="","",'당기원장'!C770)</x:f>
      </x:c>
      <x:c r="E1770" s="73" t="str">
        <x:f>IF('당기원장'!A770="","",'당기원장'!D770)</x:f>
      </x:c>
      <x:c r="F1770" s="73" t="str">
        <x:f>IF('당기원장'!A770="","",'당기원장'!E770)</x:f>
      </x:c>
      <x:c r="G1770" s="75" t="str">
        <x:f>IF('당기원장'!A770="","",'당기원장'!H770)</x:f>
      </x:c>
      <x:c r="H1770" s="73" t="str">
        <x:f>IF('당기원장'!A770="","",'당기원장'!I770)</x:f>
      </x:c>
      <x:c r="I1770" s="73" t="str">
        <x:f>IF('당기원장'!A770="","",'당기원장'!J770)</x:f>
      </x:c>
      <x:c r="J1770" s="73" t="str">
        <x:f>IF('당기원장'!A770="","",'당기원장'!K770)</x:f>
      </x:c>
      <x:c r="K1770" s="73" t="str">
        <x:f>IF(B1770="","",IF(COUNTIF($B$5:B1770,B1770)=1,COUNT($K$4:K1769)+1,""))</x:f>
      </x:c>
      <x:c r="L1770" s="85" t="str">
        <x:f>IF(B1770="","",IF(COUNTIFS('계정비교'!$A$5:$A$1004,B1770,'계정비교'!$H$5:$H$1004,"원인분석 대상")&gt;0,COUNT($L$4:L1769)+1,""))</x:f>
      </x:c>
    </x:row>
    <x:row r="1771">
      <x:c r="A1771" s="73" t="str">
        <x:f>IF('당기원장'!A771="","","당기")</x:f>
      </x:c>
      <x:c r="B1771" s="73" t="str">
        <x:f>IF('당기원장'!A771="","",'당기원장'!A771)</x:f>
      </x:c>
      <x:c r="C1771" s="73" t="str">
        <x:f>IF('당기원장'!A771="","",'당기원장'!B771)</x:f>
      </x:c>
      <x:c r="D1771" s="74" t="str">
        <x:f>IF('당기원장'!A771="","",'당기원장'!C771)</x:f>
      </x:c>
      <x:c r="E1771" s="73" t="str">
        <x:f>IF('당기원장'!A771="","",'당기원장'!D771)</x:f>
      </x:c>
      <x:c r="F1771" s="73" t="str">
        <x:f>IF('당기원장'!A771="","",'당기원장'!E771)</x:f>
      </x:c>
      <x:c r="G1771" s="75" t="str">
        <x:f>IF('당기원장'!A771="","",'당기원장'!H771)</x:f>
      </x:c>
      <x:c r="H1771" s="73" t="str">
        <x:f>IF('당기원장'!A771="","",'당기원장'!I771)</x:f>
      </x:c>
      <x:c r="I1771" s="73" t="str">
        <x:f>IF('당기원장'!A771="","",'당기원장'!J771)</x:f>
      </x:c>
      <x:c r="J1771" s="73" t="str">
        <x:f>IF('당기원장'!A771="","",'당기원장'!K771)</x:f>
      </x:c>
      <x:c r="K1771" s="73" t="str">
        <x:f>IF(B1771="","",IF(COUNTIF($B$5:B1771,B1771)=1,COUNT($K$4:K1770)+1,""))</x:f>
      </x:c>
      <x:c r="L1771" s="85" t="str">
        <x:f>IF(B1771="","",IF(COUNTIFS('계정비교'!$A$5:$A$1004,B1771,'계정비교'!$H$5:$H$1004,"원인분석 대상")&gt;0,COUNT($L$4:L1770)+1,""))</x:f>
      </x:c>
    </x:row>
    <x:row r="1772">
      <x:c r="A1772" s="73" t="str">
        <x:f>IF('당기원장'!A772="","","당기")</x:f>
      </x:c>
      <x:c r="B1772" s="73" t="str">
        <x:f>IF('당기원장'!A772="","",'당기원장'!A772)</x:f>
      </x:c>
      <x:c r="C1772" s="73" t="str">
        <x:f>IF('당기원장'!A772="","",'당기원장'!B772)</x:f>
      </x:c>
      <x:c r="D1772" s="74" t="str">
        <x:f>IF('당기원장'!A772="","",'당기원장'!C772)</x:f>
      </x:c>
      <x:c r="E1772" s="73" t="str">
        <x:f>IF('당기원장'!A772="","",'당기원장'!D772)</x:f>
      </x:c>
      <x:c r="F1772" s="73" t="str">
        <x:f>IF('당기원장'!A772="","",'당기원장'!E772)</x:f>
      </x:c>
      <x:c r="G1772" s="75" t="str">
        <x:f>IF('당기원장'!A772="","",'당기원장'!H772)</x:f>
      </x:c>
      <x:c r="H1772" s="73" t="str">
        <x:f>IF('당기원장'!A772="","",'당기원장'!I772)</x:f>
      </x:c>
      <x:c r="I1772" s="73" t="str">
        <x:f>IF('당기원장'!A772="","",'당기원장'!J772)</x:f>
      </x:c>
      <x:c r="J1772" s="73" t="str">
        <x:f>IF('당기원장'!A772="","",'당기원장'!K772)</x:f>
      </x:c>
      <x:c r="K1772" s="73" t="str">
        <x:f>IF(B1772="","",IF(COUNTIF($B$5:B1772,B1772)=1,COUNT($K$4:K1771)+1,""))</x:f>
      </x:c>
      <x:c r="L1772" s="85" t="str">
        <x:f>IF(B1772="","",IF(COUNTIFS('계정비교'!$A$5:$A$1004,B1772,'계정비교'!$H$5:$H$1004,"원인분석 대상")&gt;0,COUNT($L$4:L1771)+1,""))</x:f>
      </x:c>
    </x:row>
    <x:row r="1773">
      <x:c r="A1773" s="73" t="str">
        <x:f>IF('당기원장'!A773="","","당기")</x:f>
      </x:c>
      <x:c r="B1773" s="73" t="str">
        <x:f>IF('당기원장'!A773="","",'당기원장'!A773)</x:f>
      </x:c>
      <x:c r="C1773" s="73" t="str">
        <x:f>IF('당기원장'!A773="","",'당기원장'!B773)</x:f>
      </x:c>
      <x:c r="D1773" s="74" t="str">
        <x:f>IF('당기원장'!A773="","",'당기원장'!C773)</x:f>
      </x:c>
      <x:c r="E1773" s="73" t="str">
        <x:f>IF('당기원장'!A773="","",'당기원장'!D773)</x:f>
      </x:c>
      <x:c r="F1773" s="73" t="str">
        <x:f>IF('당기원장'!A773="","",'당기원장'!E773)</x:f>
      </x:c>
      <x:c r="G1773" s="75" t="str">
        <x:f>IF('당기원장'!A773="","",'당기원장'!H773)</x:f>
      </x:c>
      <x:c r="H1773" s="73" t="str">
        <x:f>IF('당기원장'!A773="","",'당기원장'!I773)</x:f>
      </x:c>
      <x:c r="I1773" s="73" t="str">
        <x:f>IF('당기원장'!A773="","",'당기원장'!J773)</x:f>
      </x:c>
      <x:c r="J1773" s="73" t="str">
        <x:f>IF('당기원장'!A773="","",'당기원장'!K773)</x:f>
      </x:c>
      <x:c r="K1773" s="73" t="str">
        <x:f>IF(B1773="","",IF(COUNTIF($B$5:B1773,B1773)=1,COUNT($K$4:K1772)+1,""))</x:f>
      </x:c>
      <x:c r="L1773" s="85" t="str">
        <x:f>IF(B1773="","",IF(COUNTIFS('계정비교'!$A$5:$A$1004,B1773,'계정비교'!$H$5:$H$1004,"원인분석 대상")&gt;0,COUNT($L$4:L1772)+1,""))</x:f>
      </x:c>
    </x:row>
    <x:row r="1774">
      <x:c r="A1774" s="73" t="str">
        <x:f>IF('당기원장'!A774="","","당기")</x:f>
      </x:c>
      <x:c r="B1774" s="73" t="str">
        <x:f>IF('당기원장'!A774="","",'당기원장'!A774)</x:f>
      </x:c>
      <x:c r="C1774" s="73" t="str">
        <x:f>IF('당기원장'!A774="","",'당기원장'!B774)</x:f>
      </x:c>
      <x:c r="D1774" s="74" t="str">
        <x:f>IF('당기원장'!A774="","",'당기원장'!C774)</x:f>
      </x:c>
      <x:c r="E1774" s="73" t="str">
        <x:f>IF('당기원장'!A774="","",'당기원장'!D774)</x:f>
      </x:c>
      <x:c r="F1774" s="73" t="str">
        <x:f>IF('당기원장'!A774="","",'당기원장'!E774)</x:f>
      </x:c>
      <x:c r="G1774" s="75" t="str">
        <x:f>IF('당기원장'!A774="","",'당기원장'!H774)</x:f>
      </x:c>
      <x:c r="H1774" s="73" t="str">
        <x:f>IF('당기원장'!A774="","",'당기원장'!I774)</x:f>
      </x:c>
      <x:c r="I1774" s="73" t="str">
        <x:f>IF('당기원장'!A774="","",'당기원장'!J774)</x:f>
      </x:c>
      <x:c r="J1774" s="73" t="str">
        <x:f>IF('당기원장'!A774="","",'당기원장'!K774)</x:f>
      </x:c>
      <x:c r="K1774" s="73" t="str">
        <x:f>IF(B1774="","",IF(COUNTIF($B$5:B1774,B1774)=1,COUNT($K$4:K1773)+1,""))</x:f>
      </x:c>
      <x:c r="L1774" s="85" t="str">
        <x:f>IF(B1774="","",IF(COUNTIFS('계정비교'!$A$5:$A$1004,B1774,'계정비교'!$H$5:$H$1004,"원인분석 대상")&gt;0,COUNT($L$4:L1773)+1,""))</x:f>
      </x:c>
    </x:row>
    <x:row r="1775">
      <x:c r="A1775" s="73" t="str">
        <x:f>IF('당기원장'!A775="","","당기")</x:f>
      </x:c>
      <x:c r="B1775" s="73" t="str">
        <x:f>IF('당기원장'!A775="","",'당기원장'!A775)</x:f>
      </x:c>
      <x:c r="C1775" s="73" t="str">
        <x:f>IF('당기원장'!A775="","",'당기원장'!B775)</x:f>
      </x:c>
      <x:c r="D1775" s="74" t="str">
        <x:f>IF('당기원장'!A775="","",'당기원장'!C775)</x:f>
      </x:c>
      <x:c r="E1775" s="73" t="str">
        <x:f>IF('당기원장'!A775="","",'당기원장'!D775)</x:f>
      </x:c>
      <x:c r="F1775" s="73" t="str">
        <x:f>IF('당기원장'!A775="","",'당기원장'!E775)</x:f>
      </x:c>
      <x:c r="G1775" s="75" t="str">
        <x:f>IF('당기원장'!A775="","",'당기원장'!H775)</x:f>
      </x:c>
      <x:c r="H1775" s="73" t="str">
        <x:f>IF('당기원장'!A775="","",'당기원장'!I775)</x:f>
      </x:c>
      <x:c r="I1775" s="73" t="str">
        <x:f>IF('당기원장'!A775="","",'당기원장'!J775)</x:f>
      </x:c>
      <x:c r="J1775" s="73" t="str">
        <x:f>IF('당기원장'!A775="","",'당기원장'!K775)</x:f>
      </x:c>
      <x:c r="K1775" s="73" t="str">
        <x:f>IF(B1775="","",IF(COUNTIF($B$5:B1775,B1775)=1,COUNT($K$4:K1774)+1,""))</x:f>
      </x:c>
      <x:c r="L1775" s="85" t="str">
        <x:f>IF(B1775="","",IF(COUNTIFS('계정비교'!$A$5:$A$1004,B1775,'계정비교'!$H$5:$H$1004,"원인분석 대상")&gt;0,COUNT($L$4:L1774)+1,""))</x:f>
      </x:c>
    </x:row>
    <x:row r="1776">
      <x:c r="A1776" s="73" t="str">
        <x:f>IF('당기원장'!A776="","","당기")</x:f>
      </x:c>
      <x:c r="B1776" s="73" t="str">
        <x:f>IF('당기원장'!A776="","",'당기원장'!A776)</x:f>
      </x:c>
      <x:c r="C1776" s="73" t="str">
        <x:f>IF('당기원장'!A776="","",'당기원장'!B776)</x:f>
      </x:c>
      <x:c r="D1776" s="74" t="str">
        <x:f>IF('당기원장'!A776="","",'당기원장'!C776)</x:f>
      </x:c>
      <x:c r="E1776" s="73" t="str">
        <x:f>IF('당기원장'!A776="","",'당기원장'!D776)</x:f>
      </x:c>
      <x:c r="F1776" s="73" t="str">
        <x:f>IF('당기원장'!A776="","",'당기원장'!E776)</x:f>
      </x:c>
      <x:c r="G1776" s="75" t="str">
        <x:f>IF('당기원장'!A776="","",'당기원장'!H776)</x:f>
      </x:c>
      <x:c r="H1776" s="73" t="str">
        <x:f>IF('당기원장'!A776="","",'당기원장'!I776)</x:f>
      </x:c>
      <x:c r="I1776" s="73" t="str">
        <x:f>IF('당기원장'!A776="","",'당기원장'!J776)</x:f>
      </x:c>
      <x:c r="J1776" s="73" t="str">
        <x:f>IF('당기원장'!A776="","",'당기원장'!K776)</x:f>
      </x:c>
      <x:c r="K1776" s="73" t="str">
        <x:f>IF(B1776="","",IF(COUNTIF($B$5:B1776,B1776)=1,COUNT($K$4:K1775)+1,""))</x:f>
      </x:c>
      <x:c r="L1776" s="85" t="str">
        <x:f>IF(B1776="","",IF(COUNTIFS('계정비교'!$A$5:$A$1004,B1776,'계정비교'!$H$5:$H$1004,"원인분석 대상")&gt;0,COUNT($L$4:L1775)+1,""))</x:f>
      </x:c>
    </x:row>
    <x:row r="1777">
      <x:c r="A1777" s="73" t="str">
        <x:f>IF('당기원장'!A777="","","당기")</x:f>
      </x:c>
      <x:c r="B1777" s="73" t="str">
        <x:f>IF('당기원장'!A777="","",'당기원장'!A777)</x:f>
      </x:c>
      <x:c r="C1777" s="73" t="str">
        <x:f>IF('당기원장'!A777="","",'당기원장'!B777)</x:f>
      </x:c>
      <x:c r="D1777" s="74" t="str">
        <x:f>IF('당기원장'!A777="","",'당기원장'!C777)</x:f>
      </x:c>
      <x:c r="E1777" s="73" t="str">
        <x:f>IF('당기원장'!A777="","",'당기원장'!D777)</x:f>
      </x:c>
      <x:c r="F1777" s="73" t="str">
        <x:f>IF('당기원장'!A777="","",'당기원장'!E777)</x:f>
      </x:c>
      <x:c r="G1777" s="75" t="str">
        <x:f>IF('당기원장'!A777="","",'당기원장'!H777)</x:f>
      </x:c>
      <x:c r="H1777" s="73" t="str">
        <x:f>IF('당기원장'!A777="","",'당기원장'!I777)</x:f>
      </x:c>
      <x:c r="I1777" s="73" t="str">
        <x:f>IF('당기원장'!A777="","",'당기원장'!J777)</x:f>
      </x:c>
      <x:c r="J1777" s="73" t="str">
        <x:f>IF('당기원장'!A777="","",'당기원장'!K777)</x:f>
      </x:c>
      <x:c r="K1777" s="73" t="str">
        <x:f>IF(B1777="","",IF(COUNTIF($B$5:B1777,B1777)=1,COUNT($K$4:K1776)+1,""))</x:f>
      </x:c>
      <x:c r="L1777" s="85" t="str">
        <x:f>IF(B1777="","",IF(COUNTIFS('계정비교'!$A$5:$A$1004,B1777,'계정비교'!$H$5:$H$1004,"원인분석 대상")&gt;0,COUNT($L$4:L1776)+1,""))</x:f>
      </x:c>
    </x:row>
    <x:row r="1778">
      <x:c r="A1778" s="73" t="str">
        <x:f>IF('당기원장'!A778="","","당기")</x:f>
      </x:c>
      <x:c r="B1778" s="73" t="str">
        <x:f>IF('당기원장'!A778="","",'당기원장'!A778)</x:f>
      </x:c>
      <x:c r="C1778" s="73" t="str">
        <x:f>IF('당기원장'!A778="","",'당기원장'!B778)</x:f>
      </x:c>
      <x:c r="D1778" s="74" t="str">
        <x:f>IF('당기원장'!A778="","",'당기원장'!C778)</x:f>
      </x:c>
      <x:c r="E1778" s="73" t="str">
        <x:f>IF('당기원장'!A778="","",'당기원장'!D778)</x:f>
      </x:c>
      <x:c r="F1778" s="73" t="str">
        <x:f>IF('당기원장'!A778="","",'당기원장'!E778)</x:f>
      </x:c>
      <x:c r="G1778" s="75" t="str">
        <x:f>IF('당기원장'!A778="","",'당기원장'!H778)</x:f>
      </x:c>
      <x:c r="H1778" s="73" t="str">
        <x:f>IF('당기원장'!A778="","",'당기원장'!I778)</x:f>
      </x:c>
      <x:c r="I1778" s="73" t="str">
        <x:f>IF('당기원장'!A778="","",'당기원장'!J778)</x:f>
      </x:c>
      <x:c r="J1778" s="73" t="str">
        <x:f>IF('당기원장'!A778="","",'당기원장'!K778)</x:f>
      </x:c>
      <x:c r="K1778" s="73" t="str">
        <x:f>IF(B1778="","",IF(COUNTIF($B$5:B1778,B1778)=1,COUNT($K$4:K1777)+1,""))</x:f>
      </x:c>
      <x:c r="L1778" s="85" t="str">
        <x:f>IF(B1778="","",IF(COUNTIFS('계정비교'!$A$5:$A$1004,B1778,'계정비교'!$H$5:$H$1004,"원인분석 대상")&gt;0,COUNT($L$4:L1777)+1,""))</x:f>
      </x:c>
    </x:row>
    <x:row r="1779">
      <x:c r="A1779" s="73" t="str">
        <x:f>IF('당기원장'!A779="","","당기")</x:f>
      </x:c>
      <x:c r="B1779" s="73" t="str">
        <x:f>IF('당기원장'!A779="","",'당기원장'!A779)</x:f>
      </x:c>
      <x:c r="C1779" s="73" t="str">
        <x:f>IF('당기원장'!A779="","",'당기원장'!B779)</x:f>
      </x:c>
      <x:c r="D1779" s="74" t="str">
        <x:f>IF('당기원장'!A779="","",'당기원장'!C779)</x:f>
      </x:c>
      <x:c r="E1779" s="73" t="str">
        <x:f>IF('당기원장'!A779="","",'당기원장'!D779)</x:f>
      </x:c>
      <x:c r="F1779" s="73" t="str">
        <x:f>IF('당기원장'!A779="","",'당기원장'!E779)</x:f>
      </x:c>
      <x:c r="G1779" s="75" t="str">
        <x:f>IF('당기원장'!A779="","",'당기원장'!H779)</x:f>
      </x:c>
      <x:c r="H1779" s="73" t="str">
        <x:f>IF('당기원장'!A779="","",'당기원장'!I779)</x:f>
      </x:c>
      <x:c r="I1779" s="73" t="str">
        <x:f>IF('당기원장'!A779="","",'당기원장'!J779)</x:f>
      </x:c>
      <x:c r="J1779" s="73" t="str">
        <x:f>IF('당기원장'!A779="","",'당기원장'!K779)</x:f>
      </x:c>
      <x:c r="K1779" s="73" t="str">
        <x:f>IF(B1779="","",IF(COUNTIF($B$5:B1779,B1779)=1,COUNT($K$4:K1778)+1,""))</x:f>
      </x:c>
      <x:c r="L1779" s="85" t="str">
        <x:f>IF(B1779="","",IF(COUNTIFS('계정비교'!$A$5:$A$1004,B1779,'계정비교'!$H$5:$H$1004,"원인분석 대상")&gt;0,COUNT($L$4:L1778)+1,""))</x:f>
      </x:c>
    </x:row>
    <x:row r="1780">
      <x:c r="A1780" s="73" t="str">
        <x:f>IF('당기원장'!A780="","","당기")</x:f>
      </x:c>
      <x:c r="B1780" s="73" t="str">
        <x:f>IF('당기원장'!A780="","",'당기원장'!A780)</x:f>
      </x:c>
      <x:c r="C1780" s="73" t="str">
        <x:f>IF('당기원장'!A780="","",'당기원장'!B780)</x:f>
      </x:c>
      <x:c r="D1780" s="74" t="str">
        <x:f>IF('당기원장'!A780="","",'당기원장'!C780)</x:f>
      </x:c>
      <x:c r="E1780" s="73" t="str">
        <x:f>IF('당기원장'!A780="","",'당기원장'!D780)</x:f>
      </x:c>
      <x:c r="F1780" s="73" t="str">
        <x:f>IF('당기원장'!A780="","",'당기원장'!E780)</x:f>
      </x:c>
      <x:c r="G1780" s="75" t="str">
        <x:f>IF('당기원장'!A780="","",'당기원장'!H780)</x:f>
      </x:c>
      <x:c r="H1780" s="73" t="str">
        <x:f>IF('당기원장'!A780="","",'당기원장'!I780)</x:f>
      </x:c>
      <x:c r="I1780" s="73" t="str">
        <x:f>IF('당기원장'!A780="","",'당기원장'!J780)</x:f>
      </x:c>
      <x:c r="J1780" s="73" t="str">
        <x:f>IF('당기원장'!A780="","",'당기원장'!K780)</x:f>
      </x:c>
      <x:c r="K1780" s="73" t="str">
        <x:f>IF(B1780="","",IF(COUNTIF($B$5:B1780,B1780)=1,COUNT($K$4:K1779)+1,""))</x:f>
      </x:c>
      <x:c r="L1780" s="85" t="str">
        <x:f>IF(B1780="","",IF(COUNTIFS('계정비교'!$A$5:$A$1004,B1780,'계정비교'!$H$5:$H$1004,"원인분석 대상")&gt;0,COUNT($L$4:L1779)+1,""))</x:f>
      </x:c>
    </x:row>
    <x:row r="1781">
      <x:c r="A1781" s="73" t="str">
        <x:f>IF('당기원장'!A781="","","당기")</x:f>
      </x:c>
      <x:c r="B1781" s="73" t="str">
        <x:f>IF('당기원장'!A781="","",'당기원장'!A781)</x:f>
      </x:c>
      <x:c r="C1781" s="73" t="str">
        <x:f>IF('당기원장'!A781="","",'당기원장'!B781)</x:f>
      </x:c>
      <x:c r="D1781" s="74" t="str">
        <x:f>IF('당기원장'!A781="","",'당기원장'!C781)</x:f>
      </x:c>
      <x:c r="E1781" s="73" t="str">
        <x:f>IF('당기원장'!A781="","",'당기원장'!D781)</x:f>
      </x:c>
      <x:c r="F1781" s="73" t="str">
        <x:f>IF('당기원장'!A781="","",'당기원장'!E781)</x:f>
      </x:c>
      <x:c r="G1781" s="75" t="str">
        <x:f>IF('당기원장'!A781="","",'당기원장'!H781)</x:f>
      </x:c>
      <x:c r="H1781" s="73" t="str">
        <x:f>IF('당기원장'!A781="","",'당기원장'!I781)</x:f>
      </x:c>
      <x:c r="I1781" s="73" t="str">
        <x:f>IF('당기원장'!A781="","",'당기원장'!J781)</x:f>
      </x:c>
      <x:c r="J1781" s="73" t="str">
        <x:f>IF('당기원장'!A781="","",'당기원장'!K781)</x:f>
      </x:c>
      <x:c r="K1781" s="73" t="str">
        <x:f>IF(B1781="","",IF(COUNTIF($B$5:B1781,B1781)=1,COUNT($K$4:K1780)+1,""))</x:f>
      </x:c>
      <x:c r="L1781" s="85" t="str">
        <x:f>IF(B1781="","",IF(COUNTIFS('계정비교'!$A$5:$A$1004,B1781,'계정비교'!$H$5:$H$1004,"원인분석 대상")&gt;0,COUNT($L$4:L1780)+1,""))</x:f>
      </x:c>
    </x:row>
    <x:row r="1782">
      <x:c r="A1782" s="73" t="str">
        <x:f>IF('당기원장'!A782="","","당기")</x:f>
      </x:c>
      <x:c r="B1782" s="73" t="str">
        <x:f>IF('당기원장'!A782="","",'당기원장'!A782)</x:f>
      </x:c>
      <x:c r="C1782" s="73" t="str">
        <x:f>IF('당기원장'!A782="","",'당기원장'!B782)</x:f>
      </x:c>
      <x:c r="D1782" s="74" t="str">
        <x:f>IF('당기원장'!A782="","",'당기원장'!C782)</x:f>
      </x:c>
      <x:c r="E1782" s="73" t="str">
        <x:f>IF('당기원장'!A782="","",'당기원장'!D782)</x:f>
      </x:c>
      <x:c r="F1782" s="73" t="str">
        <x:f>IF('당기원장'!A782="","",'당기원장'!E782)</x:f>
      </x:c>
      <x:c r="G1782" s="75" t="str">
        <x:f>IF('당기원장'!A782="","",'당기원장'!H782)</x:f>
      </x:c>
      <x:c r="H1782" s="73" t="str">
        <x:f>IF('당기원장'!A782="","",'당기원장'!I782)</x:f>
      </x:c>
      <x:c r="I1782" s="73" t="str">
        <x:f>IF('당기원장'!A782="","",'당기원장'!J782)</x:f>
      </x:c>
      <x:c r="J1782" s="73" t="str">
        <x:f>IF('당기원장'!A782="","",'당기원장'!K782)</x:f>
      </x:c>
      <x:c r="K1782" s="73" t="str">
        <x:f>IF(B1782="","",IF(COUNTIF($B$5:B1782,B1782)=1,COUNT($K$4:K1781)+1,""))</x:f>
      </x:c>
      <x:c r="L1782" s="85" t="str">
        <x:f>IF(B1782="","",IF(COUNTIFS('계정비교'!$A$5:$A$1004,B1782,'계정비교'!$H$5:$H$1004,"원인분석 대상")&gt;0,COUNT($L$4:L1781)+1,""))</x:f>
      </x:c>
    </x:row>
    <x:row r="1783">
      <x:c r="A1783" s="73" t="str">
        <x:f>IF('당기원장'!A783="","","당기")</x:f>
      </x:c>
      <x:c r="B1783" s="73" t="str">
        <x:f>IF('당기원장'!A783="","",'당기원장'!A783)</x:f>
      </x:c>
      <x:c r="C1783" s="73" t="str">
        <x:f>IF('당기원장'!A783="","",'당기원장'!B783)</x:f>
      </x:c>
      <x:c r="D1783" s="74" t="str">
        <x:f>IF('당기원장'!A783="","",'당기원장'!C783)</x:f>
      </x:c>
      <x:c r="E1783" s="73" t="str">
        <x:f>IF('당기원장'!A783="","",'당기원장'!D783)</x:f>
      </x:c>
      <x:c r="F1783" s="73" t="str">
        <x:f>IF('당기원장'!A783="","",'당기원장'!E783)</x:f>
      </x:c>
      <x:c r="G1783" s="75" t="str">
        <x:f>IF('당기원장'!A783="","",'당기원장'!H783)</x:f>
      </x:c>
      <x:c r="H1783" s="73" t="str">
        <x:f>IF('당기원장'!A783="","",'당기원장'!I783)</x:f>
      </x:c>
      <x:c r="I1783" s="73" t="str">
        <x:f>IF('당기원장'!A783="","",'당기원장'!J783)</x:f>
      </x:c>
      <x:c r="J1783" s="73" t="str">
        <x:f>IF('당기원장'!A783="","",'당기원장'!K783)</x:f>
      </x:c>
      <x:c r="K1783" s="73" t="str">
        <x:f>IF(B1783="","",IF(COUNTIF($B$5:B1783,B1783)=1,COUNT($K$4:K1782)+1,""))</x:f>
      </x:c>
      <x:c r="L1783" s="85" t="str">
        <x:f>IF(B1783="","",IF(COUNTIFS('계정비교'!$A$5:$A$1004,B1783,'계정비교'!$H$5:$H$1004,"원인분석 대상")&gt;0,COUNT($L$4:L1782)+1,""))</x:f>
      </x:c>
    </x:row>
    <x:row r="1784">
      <x:c r="A1784" s="73" t="str">
        <x:f>IF('당기원장'!A784="","","당기")</x:f>
      </x:c>
      <x:c r="B1784" s="73" t="str">
        <x:f>IF('당기원장'!A784="","",'당기원장'!A784)</x:f>
      </x:c>
      <x:c r="C1784" s="73" t="str">
        <x:f>IF('당기원장'!A784="","",'당기원장'!B784)</x:f>
      </x:c>
      <x:c r="D1784" s="74" t="str">
        <x:f>IF('당기원장'!A784="","",'당기원장'!C784)</x:f>
      </x:c>
      <x:c r="E1784" s="73" t="str">
        <x:f>IF('당기원장'!A784="","",'당기원장'!D784)</x:f>
      </x:c>
      <x:c r="F1784" s="73" t="str">
        <x:f>IF('당기원장'!A784="","",'당기원장'!E784)</x:f>
      </x:c>
      <x:c r="G1784" s="75" t="str">
        <x:f>IF('당기원장'!A784="","",'당기원장'!H784)</x:f>
      </x:c>
      <x:c r="H1784" s="73" t="str">
        <x:f>IF('당기원장'!A784="","",'당기원장'!I784)</x:f>
      </x:c>
      <x:c r="I1784" s="73" t="str">
        <x:f>IF('당기원장'!A784="","",'당기원장'!J784)</x:f>
      </x:c>
      <x:c r="J1784" s="73" t="str">
        <x:f>IF('당기원장'!A784="","",'당기원장'!K784)</x:f>
      </x:c>
      <x:c r="K1784" s="73" t="str">
        <x:f>IF(B1784="","",IF(COUNTIF($B$5:B1784,B1784)=1,COUNT($K$4:K1783)+1,""))</x:f>
      </x:c>
      <x:c r="L1784" s="85" t="str">
        <x:f>IF(B1784="","",IF(COUNTIFS('계정비교'!$A$5:$A$1004,B1784,'계정비교'!$H$5:$H$1004,"원인분석 대상")&gt;0,COUNT($L$4:L1783)+1,""))</x:f>
      </x:c>
    </x:row>
    <x:row r="1785">
      <x:c r="A1785" s="73" t="str">
        <x:f>IF('당기원장'!A785="","","당기")</x:f>
      </x:c>
      <x:c r="B1785" s="73" t="str">
        <x:f>IF('당기원장'!A785="","",'당기원장'!A785)</x:f>
      </x:c>
      <x:c r="C1785" s="73" t="str">
        <x:f>IF('당기원장'!A785="","",'당기원장'!B785)</x:f>
      </x:c>
      <x:c r="D1785" s="74" t="str">
        <x:f>IF('당기원장'!A785="","",'당기원장'!C785)</x:f>
      </x:c>
      <x:c r="E1785" s="73" t="str">
        <x:f>IF('당기원장'!A785="","",'당기원장'!D785)</x:f>
      </x:c>
      <x:c r="F1785" s="73" t="str">
        <x:f>IF('당기원장'!A785="","",'당기원장'!E785)</x:f>
      </x:c>
      <x:c r="G1785" s="75" t="str">
        <x:f>IF('당기원장'!A785="","",'당기원장'!H785)</x:f>
      </x:c>
      <x:c r="H1785" s="73" t="str">
        <x:f>IF('당기원장'!A785="","",'당기원장'!I785)</x:f>
      </x:c>
      <x:c r="I1785" s="73" t="str">
        <x:f>IF('당기원장'!A785="","",'당기원장'!J785)</x:f>
      </x:c>
      <x:c r="J1785" s="73" t="str">
        <x:f>IF('당기원장'!A785="","",'당기원장'!K785)</x:f>
      </x:c>
      <x:c r="K1785" s="73" t="str">
        <x:f>IF(B1785="","",IF(COUNTIF($B$5:B1785,B1785)=1,COUNT($K$4:K1784)+1,""))</x:f>
      </x:c>
      <x:c r="L1785" s="85" t="str">
        <x:f>IF(B1785="","",IF(COUNTIFS('계정비교'!$A$5:$A$1004,B1785,'계정비교'!$H$5:$H$1004,"원인분석 대상")&gt;0,COUNT($L$4:L1784)+1,""))</x:f>
      </x:c>
    </x:row>
    <x:row r="1786">
      <x:c r="A1786" s="73" t="str">
        <x:f>IF('당기원장'!A786="","","당기")</x:f>
      </x:c>
      <x:c r="B1786" s="73" t="str">
        <x:f>IF('당기원장'!A786="","",'당기원장'!A786)</x:f>
      </x:c>
      <x:c r="C1786" s="73" t="str">
        <x:f>IF('당기원장'!A786="","",'당기원장'!B786)</x:f>
      </x:c>
      <x:c r="D1786" s="74" t="str">
        <x:f>IF('당기원장'!A786="","",'당기원장'!C786)</x:f>
      </x:c>
      <x:c r="E1786" s="73" t="str">
        <x:f>IF('당기원장'!A786="","",'당기원장'!D786)</x:f>
      </x:c>
      <x:c r="F1786" s="73" t="str">
        <x:f>IF('당기원장'!A786="","",'당기원장'!E786)</x:f>
      </x:c>
      <x:c r="G1786" s="75" t="str">
        <x:f>IF('당기원장'!A786="","",'당기원장'!H786)</x:f>
      </x:c>
      <x:c r="H1786" s="73" t="str">
        <x:f>IF('당기원장'!A786="","",'당기원장'!I786)</x:f>
      </x:c>
      <x:c r="I1786" s="73" t="str">
        <x:f>IF('당기원장'!A786="","",'당기원장'!J786)</x:f>
      </x:c>
      <x:c r="J1786" s="73" t="str">
        <x:f>IF('당기원장'!A786="","",'당기원장'!K786)</x:f>
      </x:c>
      <x:c r="K1786" s="73" t="str">
        <x:f>IF(B1786="","",IF(COUNTIF($B$5:B1786,B1786)=1,COUNT($K$4:K1785)+1,""))</x:f>
      </x:c>
      <x:c r="L1786" s="85" t="str">
        <x:f>IF(B1786="","",IF(COUNTIFS('계정비교'!$A$5:$A$1004,B1786,'계정비교'!$H$5:$H$1004,"원인분석 대상")&gt;0,COUNT($L$4:L1785)+1,""))</x:f>
      </x:c>
    </x:row>
    <x:row r="1787">
      <x:c r="A1787" s="73" t="str">
        <x:f>IF('당기원장'!A787="","","당기")</x:f>
      </x:c>
      <x:c r="B1787" s="73" t="str">
        <x:f>IF('당기원장'!A787="","",'당기원장'!A787)</x:f>
      </x:c>
      <x:c r="C1787" s="73" t="str">
        <x:f>IF('당기원장'!A787="","",'당기원장'!B787)</x:f>
      </x:c>
      <x:c r="D1787" s="74" t="str">
        <x:f>IF('당기원장'!A787="","",'당기원장'!C787)</x:f>
      </x:c>
      <x:c r="E1787" s="73" t="str">
        <x:f>IF('당기원장'!A787="","",'당기원장'!D787)</x:f>
      </x:c>
      <x:c r="F1787" s="73" t="str">
        <x:f>IF('당기원장'!A787="","",'당기원장'!E787)</x:f>
      </x:c>
      <x:c r="G1787" s="75" t="str">
        <x:f>IF('당기원장'!A787="","",'당기원장'!H787)</x:f>
      </x:c>
      <x:c r="H1787" s="73" t="str">
        <x:f>IF('당기원장'!A787="","",'당기원장'!I787)</x:f>
      </x:c>
      <x:c r="I1787" s="73" t="str">
        <x:f>IF('당기원장'!A787="","",'당기원장'!J787)</x:f>
      </x:c>
      <x:c r="J1787" s="73" t="str">
        <x:f>IF('당기원장'!A787="","",'당기원장'!K787)</x:f>
      </x:c>
      <x:c r="K1787" s="73" t="str">
        <x:f>IF(B1787="","",IF(COUNTIF($B$5:B1787,B1787)=1,COUNT($K$4:K1786)+1,""))</x:f>
      </x:c>
      <x:c r="L1787" s="85" t="str">
        <x:f>IF(B1787="","",IF(COUNTIFS('계정비교'!$A$5:$A$1004,B1787,'계정비교'!$H$5:$H$1004,"원인분석 대상")&gt;0,COUNT($L$4:L1786)+1,""))</x:f>
      </x:c>
    </x:row>
    <x:row r="1788">
      <x:c r="A1788" s="73" t="str">
        <x:f>IF('당기원장'!A788="","","당기")</x:f>
      </x:c>
      <x:c r="B1788" s="73" t="str">
        <x:f>IF('당기원장'!A788="","",'당기원장'!A788)</x:f>
      </x:c>
      <x:c r="C1788" s="73" t="str">
        <x:f>IF('당기원장'!A788="","",'당기원장'!B788)</x:f>
      </x:c>
      <x:c r="D1788" s="74" t="str">
        <x:f>IF('당기원장'!A788="","",'당기원장'!C788)</x:f>
      </x:c>
      <x:c r="E1788" s="73" t="str">
        <x:f>IF('당기원장'!A788="","",'당기원장'!D788)</x:f>
      </x:c>
      <x:c r="F1788" s="73" t="str">
        <x:f>IF('당기원장'!A788="","",'당기원장'!E788)</x:f>
      </x:c>
      <x:c r="G1788" s="75" t="str">
        <x:f>IF('당기원장'!A788="","",'당기원장'!H788)</x:f>
      </x:c>
      <x:c r="H1788" s="73" t="str">
        <x:f>IF('당기원장'!A788="","",'당기원장'!I788)</x:f>
      </x:c>
      <x:c r="I1788" s="73" t="str">
        <x:f>IF('당기원장'!A788="","",'당기원장'!J788)</x:f>
      </x:c>
      <x:c r="J1788" s="73" t="str">
        <x:f>IF('당기원장'!A788="","",'당기원장'!K788)</x:f>
      </x:c>
      <x:c r="K1788" s="73" t="str">
        <x:f>IF(B1788="","",IF(COUNTIF($B$5:B1788,B1788)=1,COUNT($K$4:K1787)+1,""))</x:f>
      </x:c>
      <x:c r="L1788" s="85" t="str">
        <x:f>IF(B1788="","",IF(COUNTIFS('계정비교'!$A$5:$A$1004,B1788,'계정비교'!$H$5:$H$1004,"원인분석 대상")&gt;0,COUNT($L$4:L1787)+1,""))</x:f>
      </x:c>
    </x:row>
    <x:row r="1789">
      <x:c r="A1789" s="73" t="str">
        <x:f>IF('당기원장'!A789="","","당기")</x:f>
      </x:c>
      <x:c r="B1789" s="73" t="str">
        <x:f>IF('당기원장'!A789="","",'당기원장'!A789)</x:f>
      </x:c>
      <x:c r="C1789" s="73" t="str">
        <x:f>IF('당기원장'!A789="","",'당기원장'!B789)</x:f>
      </x:c>
      <x:c r="D1789" s="74" t="str">
        <x:f>IF('당기원장'!A789="","",'당기원장'!C789)</x:f>
      </x:c>
      <x:c r="E1789" s="73" t="str">
        <x:f>IF('당기원장'!A789="","",'당기원장'!D789)</x:f>
      </x:c>
      <x:c r="F1789" s="73" t="str">
        <x:f>IF('당기원장'!A789="","",'당기원장'!E789)</x:f>
      </x:c>
      <x:c r="G1789" s="75" t="str">
        <x:f>IF('당기원장'!A789="","",'당기원장'!H789)</x:f>
      </x:c>
      <x:c r="H1789" s="73" t="str">
        <x:f>IF('당기원장'!A789="","",'당기원장'!I789)</x:f>
      </x:c>
      <x:c r="I1789" s="73" t="str">
        <x:f>IF('당기원장'!A789="","",'당기원장'!J789)</x:f>
      </x:c>
      <x:c r="J1789" s="73" t="str">
        <x:f>IF('당기원장'!A789="","",'당기원장'!K789)</x:f>
      </x:c>
      <x:c r="K1789" s="73" t="str">
        <x:f>IF(B1789="","",IF(COUNTIF($B$5:B1789,B1789)=1,COUNT($K$4:K1788)+1,""))</x:f>
      </x:c>
      <x:c r="L1789" s="85" t="str">
        <x:f>IF(B1789="","",IF(COUNTIFS('계정비교'!$A$5:$A$1004,B1789,'계정비교'!$H$5:$H$1004,"원인분석 대상")&gt;0,COUNT($L$4:L1788)+1,""))</x:f>
      </x:c>
    </x:row>
    <x:row r="1790">
      <x:c r="A1790" s="73" t="str">
        <x:f>IF('당기원장'!A790="","","당기")</x:f>
      </x:c>
      <x:c r="B1790" s="73" t="str">
        <x:f>IF('당기원장'!A790="","",'당기원장'!A790)</x:f>
      </x:c>
      <x:c r="C1790" s="73" t="str">
        <x:f>IF('당기원장'!A790="","",'당기원장'!B790)</x:f>
      </x:c>
      <x:c r="D1790" s="74" t="str">
        <x:f>IF('당기원장'!A790="","",'당기원장'!C790)</x:f>
      </x:c>
      <x:c r="E1790" s="73" t="str">
        <x:f>IF('당기원장'!A790="","",'당기원장'!D790)</x:f>
      </x:c>
      <x:c r="F1790" s="73" t="str">
        <x:f>IF('당기원장'!A790="","",'당기원장'!E790)</x:f>
      </x:c>
      <x:c r="G1790" s="75" t="str">
        <x:f>IF('당기원장'!A790="","",'당기원장'!H790)</x:f>
      </x:c>
      <x:c r="H1790" s="73" t="str">
        <x:f>IF('당기원장'!A790="","",'당기원장'!I790)</x:f>
      </x:c>
      <x:c r="I1790" s="73" t="str">
        <x:f>IF('당기원장'!A790="","",'당기원장'!J790)</x:f>
      </x:c>
      <x:c r="J1790" s="73" t="str">
        <x:f>IF('당기원장'!A790="","",'당기원장'!K790)</x:f>
      </x:c>
      <x:c r="K1790" s="73" t="str">
        <x:f>IF(B1790="","",IF(COUNTIF($B$5:B1790,B1790)=1,COUNT($K$4:K1789)+1,""))</x:f>
      </x:c>
      <x:c r="L1790" s="85" t="str">
        <x:f>IF(B1790="","",IF(COUNTIFS('계정비교'!$A$5:$A$1004,B1790,'계정비교'!$H$5:$H$1004,"원인분석 대상")&gt;0,COUNT($L$4:L1789)+1,""))</x:f>
      </x:c>
    </x:row>
    <x:row r="1791">
      <x:c r="A1791" s="73" t="str">
        <x:f>IF('당기원장'!A791="","","당기")</x:f>
      </x:c>
      <x:c r="B1791" s="73" t="str">
        <x:f>IF('당기원장'!A791="","",'당기원장'!A791)</x:f>
      </x:c>
      <x:c r="C1791" s="73" t="str">
        <x:f>IF('당기원장'!A791="","",'당기원장'!B791)</x:f>
      </x:c>
      <x:c r="D1791" s="74" t="str">
        <x:f>IF('당기원장'!A791="","",'당기원장'!C791)</x:f>
      </x:c>
      <x:c r="E1791" s="73" t="str">
        <x:f>IF('당기원장'!A791="","",'당기원장'!D791)</x:f>
      </x:c>
      <x:c r="F1791" s="73" t="str">
        <x:f>IF('당기원장'!A791="","",'당기원장'!E791)</x:f>
      </x:c>
      <x:c r="G1791" s="75" t="str">
        <x:f>IF('당기원장'!A791="","",'당기원장'!H791)</x:f>
      </x:c>
      <x:c r="H1791" s="73" t="str">
        <x:f>IF('당기원장'!A791="","",'당기원장'!I791)</x:f>
      </x:c>
      <x:c r="I1791" s="73" t="str">
        <x:f>IF('당기원장'!A791="","",'당기원장'!J791)</x:f>
      </x:c>
      <x:c r="J1791" s="73" t="str">
        <x:f>IF('당기원장'!A791="","",'당기원장'!K791)</x:f>
      </x:c>
      <x:c r="K1791" s="73" t="str">
        <x:f>IF(B1791="","",IF(COUNTIF($B$5:B1791,B1791)=1,COUNT($K$4:K1790)+1,""))</x:f>
      </x:c>
      <x:c r="L1791" s="85" t="str">
        <x:f>IF(B1791="","",IF(COUNTIFS('계정비교'!$A$5:$A$1004,B1791,'계정비교'!$H$5:$H$1004,"원인분석 대상")&gt;0,COUNT($L$4:L1790)+1,""))</x:f>
      </x:c>
    </x:row>
    <x:row r="1792">
      <x:c r="A1792" s="73" t="str">
        <x:f>IF('당기원장'!A792="","","당기")</x:f>
      </x:c>
      <x:c r="B1792" s="73" t="str">
        <x:f>IF('당기원장'!A792="","",'당기원장'!A792)</x:f>
      </x:c>
      <x:c r="C1792" s="73" t="str">
        <x:f>IF('당기원장'!A792="","",'당기원장'!B792)</x:f>
      </x:c>
      <x:c r="D1792" s="74" t="str">
        <x:f>IF('당기원장'!A792="","",'당기원장'!C792)</x:f>
      </x:c>
      <x:c r="E1792" s="73" t="str">
        <x:f>IF('당기원장'!A792="","",'당기원장'!D792)</x:f>
      </x:c>
      <x:c r="F1792" s="73" t="str">
        <x:f>IF('당기원장'!A792="","",'당기원장'!E792)</x:f>
      </x:c>
      <x:c r="G1792" s="75" t="str">
        <x:f>IF('당기원장'!A792="","",'당기원장'!H792)</x:f>
      </x:c>
      <x:c r="H1792" s="73" t="str">
        <x:f>IF('당기원장'!A792="","",'당기원장'!I792)</x:f>
      </x:c>
      <x:c r="I1792" s="73" t="str">
        <x:f>IF('당기원장'!A792="","",'당기원장'!J792)</x:f>
      </x:c>
      <x:c r="J1792" s="73" t="str">
        <x:f>IF('당기원장'!A792="","",'당기원장'!K792)</x:f>
      </x:c>
      <x:c r="K1792" s="73" t="str">
        <x:f>IF(B1792="","",IF(COUNTIF($B$5:B1792,B1792)=1,COUNT($K$4:K1791)+1,""))</x:f>
      </x:c>
      <x:c r="L1792" s="85" t="str">
        <x:f>IF(B1792="","",IF(COUNTIFS('계정비교'!$A$5:$A$1004,B1792,'계정비교'!$H$5:$H$1004,"원인분석 대상")&gt;0,COUNT($L$4:L1791)+1,""))</x:f>
      </x:c>
    </x:row>
    <x:row r="1793">
      <x:c r="A1793" s="73" t="str">
        <x:f>IF('당기원장'!A793="","","당기")</x:f>
      </x:c>
      <x:c r="B1793" s="73" t="str">
        <x:f>IF('당기원장'!A793="","",'당기원장'!A793)</x:f>
      </x:c>
      <x:c r="C1793" s="73" t="str">
        <x:f>IF('당기원장'!A793="","",'당기원장'!B793)</x:f>
      </x:c>
      <x:c r="D1793" s="74" t="str">
        <x:f>IF('당기원장'!A793="","",'당기원장'!C793)</x:f>
      </x:c>
      <x:c r="E1793" s="73" t="str">
        <x:f>IF('당기원장'!A793="","",'당기원장'!D793)</x:f>
      </x:c>
      <x:c r="F1793" s="73" t="str">
        <x:f>IF('당기원장'!A793="","",'당기원장'!E793)</x:f>
      </x:c>
      <x:c r="G1793" s="75" t="str">
        <x:f>IF('당기원장'!A793="","",'당기원장'!H793)</x:f>
      </x:c>
      <x:c r="H1793" s="73" t="str">
        <x:f>IF('당기원장'!A793="","",'당기원장'!I793)</x:f>
      </x:c>
      <x:c r="I1793" s="73" t="str">
        <x:f>IF('당기원장'!A793="","",'당기원장'!J793)</x:f>
      </x:c>
      <x:c r="J1793" s="73" t="str">
        <x:f>IF('당기원장'!A793="","",'당기원장'!K793)</x:f>
      </x:c>
      <x:c r="K1793" s="73" t="str">
        <x:f>IF(B1793="","",IF(COUNTIF($B$5:B1793,B1793)=1,COUNT($K$4:K1792)+1,""))</x:f>
      </x:c>
      <x:c r="L1793" s="85" t="str">
        <x:f>IF(B1793="","",IF(COUNTIFS('계정비교'!$A$5:$A$1004,B1793,'계정비교'!$H$5:$H$1004,"원인분석 대상")&gt;0,COUNT($L$4:L1792)+1,""))</x:f>
      </x:c>
    </x:row>
    <x:row r="1794">
      <x:c r="A1794" s="73" t="str">
        <x:f>IF('당기원장'!A794="","","당기")</x:f>
      </x:c>
      <x:c r="B1794" s="73" t="str">
        <x:f>IF('당기원장'!A794="","",'당기원장'!A794)</x:f>
      </x:c>
      <x:c r="C1794" s="73" t="str">
        <x:f>IF('당기원장'!A794="","",'당기원장'!B794)</x:f>
      </x:c>
      <x:c r="D1794" s="74" t="str">
        <x:f>IF('당기원장'!A794="","",'당기원장'!C794)</x:f>
      </x:c>
      <x:c r="E1794" s="73" t="str">
        <x:f>IF('당기원장'!A794="","",'당기원장'!D794)</x:f>
      </x:c>
      <x:c r="F1794" s="73" t="str">
        <x:f>IF('당기원장'!A794="","",'당기원장'!E794)</x:f>
      </x:c>
      <x:c r="G1794" s="75" t="str">
        <x:f>IF('당기원장'!A794="","",'당기원장'!H794)</x:f>
      </x:c>
      <x:c r="H1794" s="73" t="str">
        <x:f>IF('당기원장'!A794="","",'당기원장'!I794)</x:f>
      </x:c>
      <x:c r="I1794" s="73" t="str">
        <x:f>IF('당기원장'!A794="","",'당기원장'!J794)</x:f>
      </x:c>
      <x:c r="J1794" s="73" t="str">
        <x:f>IF('당기원장'!A794="","",'당기원장'!K794)</x:f>
      </x:c>
      <x:c r="K1794" s="73" t="str">
        <x:f>IF(B1794="","",IF(COUNTIF($B$5:B1794,B1794)=1,COUNT($K$4:K1793)+1,""))</x:f>
      </x:c>
      <x:c r="L1794" s="85" t="str">
        <x:f>IF(B1794="","",IF(COUNTIFS('계정비교'!$A$5:$A$1004,B1794,'계정비교'!$H$5:$H$1004,"원인분석 대상")&gt;0,COUNT($L$4:L1793)+1,""))</x:f>
      </x:c>
    </x:row>
    <x:row r="1795">
      <x:c r="A1795" s="73" t="str">
        <x:f>IF('당기원장'!A795="","","당기")</x:f>
      </x:c>
      <x:c r="B1795" s="73" t="str">
        <x:f>IF('당기원장'!A795="","",'당기원장'!A795)</x:f>
      </x:c>
      <x:c r="C1795" s="73" t="str">
        <x:f>IF('당기원장'!A795="","",'당기원장'!B795)</x:f>
      </x:c>
      <x:c r="D1795" s="74" t="str">
        <x:f>IF('당기원장'!A795="","",'당기원장'!C795)</x:f>
      </x:c>
      <x:c r="E1795" s="73" t="str">
        <x:f>IF('당기원장'!A795="","",'당기원장'!D795)</x:f>
      </x:c>
      <x:c r="F1795" s="73" t="str">
        <x:f>IF('당기원장'!A795="","",'당기원장'!E795)</x:f>
      </x:c>
      <x:c r="G1795" s="75" t="str">
        <x:f>IF('당기원장'!A795="","",'당기원장'!H795)</x:f>
      </x:c>
      <x:c r="H1795" s="73" t="str">
        <x:f>IF('당기원장'!A795="","",'당기원장'!I795)</x:f>
      </x:c>
      <x:c r="I1795" s="73" t="str">
        <x:f>IF('당기원장'!A795="","",'당기원장'!J795)</x:f>
      </x:c>
      <x:c r="J1795" s="73" t="str">
        <x:f>IF('당기원장'!A795="","",'당기원장'!K795)</x:f>
      </x:c>
      <x:c r="K1795" s="73" t="str">
        <x:f>IF(B1795="","",IF(COUNTIF($B$5:B1795,B1795)=1,COUNT($K$4:K1794)+1,""))</x:f>
      </x:c>
      <x:c r="L1795" s="85" t="str">
        <x:f>IF(B1795="","",IF(COUNTIFS('계정비교'!$A$5:$A$1004,B1795,'계정비교'!$H$5:$H$1004,"원인분석 대상")&gt;0,COUNT($L$4:L1794)+1,""))</x:f>
      </x:c>
    </x:row>
    <x:row r="1796">
      <x:c r="A1796" s="73" t="str">
        <x:f>IF('당기원장'!A796="","","당기")</x:f>
      </x:c>
      <x:c r="B1796" s="73" t="str">
        <x:f>IF('당기원장'!A796="","",'당기원장'!A796)</x:f>
      </x:c>
      <x:c r="C1796" s="73" t="str">
        <x:f>IF('당기원장'!A796="","",'당기원장'!B796)</x:f>
      </x:c>
      <x:c r="D1796" s="74" t="str">
        <x:f>IF('당기원장'!A796="","",'당기원장'!C796)</x:f>
      </x:c>
      <x:c r="E1796" s="73" t="str">
        <x:f>IF('당기원장'!A796="","",'당기원장'!D796)</x:f>
      </x:c>
      <x:c r="F1796" s="73" t="str">
        <x:f>IF('당기원장'!A796="","",'당기원장'!E796)</x:f>
      </x:c>
      <x:c r="G1796" s="75" t="str">
        <x:f>IF('당기원장'!A796="","",'당기원장'!H796)</x:f>
      </x:c>
      <x:c r="H1796" s="73" t="str">
        <x:f>IF('당기원장'!A796="","",'당기원장'!I796)</x:f>
      </x:c>
      <x:c r="I1796" s="73" t="str">
        <x:f>IF('당기원장'!A796="","",'당기원장'!J796)</x:f>
      </x:c>
      <x:c r="J1796" s="73" t="str">
        <x:f>IF('당기원장'!A796="","",'당기원장'!K796)</x:f>
      </x:c>
      <x:c r="K1796" s="73" t="str">
        <x:f>IF(B1796="","",IF(COUNTIF($B$5:B1796,B1796)=1,COUNT($K$4:K1795)+1,""))</x:f>
      </x:c>
      <x:c r="L1796" s="85" t="str">
        <x:f>IF(B1796="","",IF(COUNTIFS('계정비교'!$A$5:$A$1004,B1796,'계정비교'!$H$5:$H$1004,"원인분석 대상")&gt;0,COUNT($L$4:L1795)+1,""))</x:f>
      </x:c>
    </x:row>
    <x:row r="1797">
      <x:c r="A1797" s="73" t="str">
        <x:f>IF('당기원장'!A797="","","당기")</x:f>
      </x:c>
      <x:c r="B1797" s="73" t="str">
        <x:f>IF('당기원장'!A797="","",'당기원장'!A797)</x:f>
      </x:c>
      <x:c r="C1797" s="73" t="str">
        <x:f>IF('당기원장'!A797="","",'당기원장'!B797)</x:f>
      </x:c>
      <x:c r="D1797" s="74" t="str">
        <x:f>IF('당기원장'!A797="","",'당기원장'!C797)</x:f>
      </x:c>
      <x:c r="E1797" s="73" t="str">
        <x:f>IF('당기원장'!A797="","",'당기원장'!D797)</x:f>
      </x:c>
      <x:c r="F1797" s="73" t="str">
        <x:f>IF('당기원장'!A797="","",'당기원장'!E797)</x:f>
      </x:c>
      <x:c r="G1797" s="75" t="str">
        <x:f>IF('당기원장'!A797="","",'당기원장'!H797)</x:f>
      </x:c>
      <x:c r="H1797" s="73" t="str">
        <x:f>IF('당기원장'!A797="","",'당기원장'!I797)</x:f>
      </x:c>
      <x:c r="I1797" s="73" t="str">
        <x:f>IF('당기원장'!A797="","",'당기원장'!J797)</x:f>
      </x:c>
      <x:c r="J1797" s="73" t="str">
        <x:f>IF('당기원장'!A797="","",'당기원장'!K797)</x:f>
      </x:c>
      <x:c r="K1797" s="73" t="str">
        <x:f>IF(B1797="","",IF(COUNTIF($B$5:B1797,B1797)=1,COUNT($K$4:K1796)+1,""))</x:f>
      </x:c>
      <x:c r="L1797" s="85" t="str">
        <x:f>IF(B1797="","",IF(COUNTIFS('계정비교'!$A$5:$A$1004,B1797,'계정비교'!$H$5:$H$1004,"원인분석 대상")&gt;0,COUNT($L$4:L1796)+1,""))</x:f>
      </x:c>
    </x:row>
    <x:row r="1798">
      <x:c r="A1798" s="73" t="str">
        <x:f>IF('당기원장'!A798="","","당기")</x:f>
      </x:c>
      <x:c r="B1798" s="73" t="str">
        <x:f>IF('당기원장'!A798="","",'당기원장'!A798)</x:f>
      </x:c>
      <x:c r="C1798" s="73" t="str">
        <x:f>IF('당기원장'!A798="","",'당기원장'!B798)</x:f>
      </x:c>
      <x:c r="D1798" s="74" t="str">
        <x:f>IF('당기원장'!A798="","",'당기원장'!C798)</x:f>
      </x:c>
      <x:c r="E1798" s="73" t="str">
        <x:f>IF('당기원장'!A798="","",'당기원장'!D798)</x:f>
      </x:c>
      <x:c r="F1798" s="73" t="str">
        <x:f>IF('당기원장'!A798="","",'당기원장'!E798)</x:f>
      </x:c>
      <x:c r="G1798" s="75" t="str">
        <x:f>IF('당기원장'!A798="","",'당기원장'!H798)</x:f>
      </x:c>
      <x:c r="H1798" s="73" t="str">
        <x:f>IF('당기원장'!A798="","",'당기원장'!I798)</x:f>
      </x:c>
      <x:c r="I1798" s="73" t="str">
        <x:f>IF('당기원장'!A798="","",'당기원장'!J798)</x:f>
      </x:c>
      <x:c r="J1798" s="73" t="str">
        <x:f>IF('당기원장'!A798="","",'당기원장'!K798)</x:f>
      </x:c>
      <x:c r="K1798" s="73" t="str">
        <x:f>IF(B1798="","",IF(COUNTIF($B$5:B1798,B1798)=1,COUNT($K$4:K1797)+1,""))</x:f>
      </x:c>
      <x:c r="L1798" s="85" t="str">
        <x:f>IF(B1798="","",IF(COUNTIFS('계정비교'!$A$5:$A$1004,B1798,'계정비교'!$H$5:$H$1004,"원인분석 대상")&gt;0,COUNT($L$4:L1797)+1,""))</x:f>
      </x:c>
    </x:row>
    <x:row r="1799">
      <x:c r="A1799" s="73" t="str">
        <x:f>IF('당기원장'!A799="","","당기")</x:f>
      </x:c>
      <x:c r="B1799" s="73" t="str">
        <x:f>IF('당기원장'!A799="","",'당기원장'!A799)</x:f>
      </x:c>
      <x:c r="C1799" s="73" t="str">
        <x:f>IF('당기원장'!A799="","",'당기원장'!B799)</x:f>
      </x:c>
      <x:c r="D1799" s="74" t="str">
        <x:f>IF('당기원장'!A799="","",'당기원장'!C799)</x:f>
      </x:c>
      <x:c r="E1799" s="73" t="str">
        <x:f>IF('당기원장'!A799="","",'당기원장'!D799)</x:f>
      </x:c>
      <x:c r="F1799" s="73" t="str">
        <x:f>IF('당기원장'!A799="","",'당기원장'!E799)</x:f>
      </x:c>
      <x:c r="G1799" s="75" t="str">
        <x:f>IF('당기원장'!A799="","",'당기원장'!H799)</x:f>
      </x:c>
      <x:c r="H1799" s="73" t="str">
        <x:f>IF('당기원장'!A799="","",'당기원장'!I799)</x:f>
      </x:c>
      <x:c r="I1799" s="73" t="str">
        <x:f>IF('당기원장'!A799="","",'당기원장'!J799)</x:f>
      </x:c>
      <x:c r="J1799" s="73" t="str">
        <x:f>IF('당기원장'!A799="","",'당기원장'!K799)</x:f>
      </x:c>
      <x:c r="K1799" s="73" t="str">
        <x:f>IF(B1799="","",IF(COUNTIF($B$5:B1799,B1799)=1,COUNT($K$4:K1798)+1,""))</x:f>
      </x:c>
      <x:c r="L1799" s="85" t="str">
        <x:f>IF(B1799="","",IF(COUNTIFS('계정비교'!$A$5:$A$1004,B1799,'계정비교'!$H$5:$H$1004,"원인분석 대상")&gt;0,COUNT($L$4:L1798)+1,""))</x:f>
      </x:c>
    </x:row>
    <x:row r="1800">
      <x:c r="A1800" s="73" t="str">
        <x:f>IF('당기원장'!A800="","","당기")</x:f>
      </x:c>
      <x:c r="B1800" s="73" t="str">
        <x:f>IF('당기원장'!A800="","",'당기원장'!A800)</x:f>
      </x:c>
      <x:c r="C1800" s="73" t="str">
        <x:f>IF('당기원장'!A800="","",'당기원장'!B800)</x:f>
      </x:c>
      <x:c r="D1800" s="74" t="str">
        <x:f>IF('당기원장'!A800="","",'당기원장'!C800)</x:f>
      </x:c>
      <x:c r="E1800" s="73" t="str">
        <x:f>IF('당기원장'!A800="","",'당기원장'!D800)</x:f>
      </x:c>
      <x:c r="F1800" s="73" t="str">
        <x:f>IF('당기원장'!A800="","",'당기원장'!E800)</x:f>
      </x:c>
      <x:c r="G1800" s="75" t="str">
        <x:f>IF('당기원장'!A800="","",'당기원장'!H800)</x:f>
      </x:c>
      <x:c r="H1800" s="73" t="str">
        <x:f>IF('당기원장'!A800="","",'당기원장'!I800)</x:f>
      </x:c>
      <x:c r="I1800" s="73" t="str">
        <x:f>IF('당기원장'!A800="","",'당기원장'!J800)</x:f>
      </x:c>
      <x:c r="J1800" s="73" t="str">
        <x:f>IF('당기원장'!A800="","",'당기원장'!K800)</x:f>
      </x:c>
      <x:c r="K1800" s="73" t="str">
        <x:f>IF(B1800="","",IF(COUNTIF($B$5:B1800,B1800)=1,COUNT($K$4:K1799)+1,""))</x:f>
      </x:c>
      <x:c r="L1800" s="85" t="str">
        <x:f>IF(B1800="","",IF(COUNTIFS('계정비교'!$A$5:$A$1004,B1800,'계정비교'!$H$5:$H$1004,"원인분석 대상")&gt;0,COUNT($L$4:L1799)+1,""))</x:f>
      </x:c>
    </x:row>
    <x:row r="1801">
      <x:c r="A1801" s="73" t="str">
        <x:f>IF('당기원장'!A801="","","당기")</x:f>
      </x:c>
      <x:c r="B1801" s="73" t="str">
        <x:f>IF('당기원장'!A801="","",'당기원장'!A801)</x:f>
      </x:c>
      <x:c r="C1801" s="73" t="str">
        <x:f>IF('당기원장'!A801="","",'당기원장'!B801)</x:f>
      </x:c>
      <x:c r="D1801" s="74" t="str">
        <x:f>IF('당기원장'!A801="","",'당기원장'!C801)</x:f>
      </x:c>
      <x:c r="E1801" s="73" t="str">
        <x:f>IF('당기원장'!A801="","",'당기원장'!D801)</x:f>
      </x:c>
      <x:c r="F1801" s="73" t="str">
        <x:f>IF('당기원장'!A801="","",'당기원장'!E801)</x:f>
      </x:c>
      <x:c r="G1801" s="75" t="str">
        <x:f>IF('당기원장'!A801="","",'당기원장'!H801)</x:f>
      </x:c>
      <x:c r="H1801" s="73" t="str">
        <x:f>IF('당기원장'!A801="","",'당기원장'!I801)</x:f>
      </x:c>
      <x:c r="I1801" s="73" t="str">
        <x:f>IF('당기원장'!A801="","",'당기원장'!J801)</x:f>
      </x:c>
      <x:c r="J1801" s="73" t="str">
        <x:f>IF('당기원장'!A801="","",'당기원장'!K801)</x:f>
      </x:c>
      <x:c r="K1801" s="73" t="str">
        <x:f>IF(B1801="","",IF(COUNTIF($B$5:B1801,B1801)=1,COUNT($K$4:K1800)+1,""))</x:f>
      </x:c>
      <x:c r="L1801" s="85" t="str">
        <x:f>IF(B1801="","",IF(COUNTIFS('계정비교'!$A$5:$A$1004,B1801,'계정비교'!$H$5:$H$1004,"원인분석 대상")&gt;0,COUNT($L$4:L1800)+1,""))</x:f>
      </x:c>
    </x:row>
    <x:row r="1802">
      <x:c r="A1802" s="73" t="str">
        <x:f>IF('당기원장'!A802="","","당기")</x:f>
      </x:c>
      <x:c r="B1802" s="73" t="str">
        <x:f>IF('당기원장'!A802="","",'당기원장'!A802)</x:f>
      </x:c>
      <x:c r="C1802" s="73" t="str">
        <x:f>IF('당기원장'!A802="","",'당기원장'!B802)</x:f>
      </x:c>
      <x:c r="D1802" s="74" t="str">
        <x:f>IF('당기원장'!A802="","",'당기원장'!C802)</x:f>
      </x:c>
      <x:c r="E1802" s="73" t="str">
        <x:f>IF('당기원장'!A802="","",'당기원장'!D802)</x:f>
      </x:c>
      <x:c r="F1802" s="73" t="str">
        <x:f>IF('당기원장'!A802="","",'당기원장'!E802)</x:f>
      </x:c>
      <x:c r="G1802" s="75" t="str">
        <x:f>IF('당기원장'!A802="","",'당기원장'!H802)</x:f>
      </x:c>
      <x:c r="H1802" s="73" t="str">
        <x:f>IF('당기원장'!A802="","",'당기원장'!I802)</x:f>
      </x:c>
      <x:c r="I1802" s="73" t="str">
        <x:f>IF('당기원장'!A802="","",'당기원장'!J802)</x:f>
      </x:c>
      <x:c r="J1802" s="73" t="str">
        <x:f>IF('당기원장'!A802="","",'당기원장'!K802)</x:f>
      </x:c>
      <x:c r="K1802" s="73" t="str">
        <x:f>IF(B1802="","",IF(COUNTIF($B$5:B1802,B1802)=1,COUNT($K$4:K1801)+1,""))</x:f>
      </x:c>
      <x:c r="L1802" s="85" t="str">
        <x:f>IF(B1802="","",IF(COUNTIFS('계정비교'!$A$5:$A$1004,B1802,'계정비교'!$H$5:$H$1004,"원인분석 대상")&gt;0,COUNT($L$4:L1801)+1,""))</x:f>
      </x:c>
    </x:row>
    <x:row r="1803">
      <x:c r="A1803" s="73" t="str">
        <x:f>IF('당기원장'!A803="","","당기")</x:f>
      </x:c>
      <x:c r="B1803" s="73" t="str">
        <x:f>IF('당기원장'!A803="","",'당기원장'!A803)</x:f>
      </x:c>
      <x:c r="C1803" s="73" t="str">
        <x:f>IF('당기원장'!A803="","",'당기원장'!B803)</x:f>
      </x:c>
      <x:c r="D1803" s="74" t="str">
        <x:f>IF('당기원장'!A803="","",'당기원장'!C803)</x:f>
      </x:c>
      <x:c r="E1803" s="73" t="str">
        <x:f>IF('당기원장'!A803="","",'당기원장'!D803)</x:f>
      </x:c>
      <x:c r="F1803" s="73" t="str">
        <x:f>IF('당기원장'!A803="","",'당기원장'!E803)</x:f>
      </x:c>
      <x:c r="G1803" s="75" t="str">
        <x:f>IF('당기원장'!A803="","",'당기원장'!H803)</x:f>
      </x:c>
      <x:c r="H1803" s="73" t="str">
        <x:f>IF('당기원장'!A803="","",'당기원장'!I803)</x:f>
      </x:c>
      <x:c r="I1803" s="73" t="str">
        <x:f>IF('당기원장'!A803="","",'당기원장'!J803)</x:f>
      </x:c>
      <x:c r="J1803" s="73" t="str">
        <x:f>IF('당기원장'!A803="","",'당기원장'!K803)</x:f>
      </x:c>
      <x:c r="K1803" s="73" t="str">
        <x:f>IF(B1803="","",IF(COUNTIF($B$5:B1803,B1803)=1,COUNT($K$4:K1802)+1,""))</x:f>
      </x:c>
      <x:c r="L1803" s="85" t="str">
        <x:f>IF(B1803="","",IF(COUNTIFS('계정비교'!$A$5:$A$1004,B1803,'계정비교'!$H$5:$H$1004,"원인분석 대상")&gt;0,COUNT($L$4:L1802)+1,""))</x:f>
      </x:c>
    </x:row>
    <x:row r="1804">
      <x:c r="A1804" s="73" t="str">
        <x:f>IF('당기원장'!A804="","","당기")</x:f>
      </x:c>
      <x:c r="B1804" s="73" t="str">
        <x:f>IF('당기원장'!A804="","",'당기원장'!A804)</x:f>
      </x:c>
      <x:c r="C1804" s="73" t="str">
        <x:f>IF('당기원장'!A804="","",'당기원장'!B804)</x:f>
      </x:c>
      <x:c r="D1804" s="74" t="str">
        <x:f>IF('당기원장'!A804="","",'당기원장'!C804)</x:f>
      </x:c>
      <x:c r="E1804" s="73" t="str">
        <x:f>IF('당기원장'!A804="","",'당기원장'!D804)</x:f>
      </x:c>
      <x:c r="F1804" s="73" t="str">
        <x:f>IF('당기원장'!A804="","",'당기원장'!E804)</x:f>
      </x:c>
      <x:c r="G1804" s="75" t="str">
        <x:f>IF('당기원장'!A804="","",'당기원장'!H804)</x:f>
      </x:c>
      <x:c r="H1804" s="73" t="str">
        <x:f>IF('당기원장'!A804="","",'당기원장'!I804)</x:f>
      </x:c>
      <x:c r="I1804" s="73" t="str">
        <x:f>IF('당기원장'!A804="","",'당기원장'!J804)</x:f>
      </x:c>
      <x:c r="J1804" s="73" t="str">
        <x:f>IF('당기원장'!A804="","",'당기원장'!K804)</x:f>
      </x:c>
      <x:c r="K1804" s="73" t="str">
        <x:f>IF(B1804="","",IF(COUNTIF($B$5:B1804,B1804)=1,COUNT($K$4:K1803)+1,""))</x:f>
      </x:c>
      <x:c r="L1804" s="85" t="str">
        <x:f>IF(B1804="","",IF(COUNTIFS('계정비교'!$A$5:$A$1004,B1804,'계정비교'!$H$5:$H$1004,"원인분석 대상")&gt;0,COUNT($L$4:L1803)+1,""))</x:f>
      </x:c>
    </x:row>
    <x:row r="1805">
      <x:c r="A1805" s="73" t="str">
        <x:f>IF('당기원장'!A805="","","당기")</x:f>
      </x:c>
      <x:c r="B1805" s="73" t="str">
        <x:f>IF('당기원장'!A805="","",'당기원장'!A805)</x:f>
      </x:c>
      <x:c r="C1805" s="73" t="str">
        <x:f>IF('당기원장'!A805="","",'당기원장'!B805)</x:f>
      </x:c>
      <x:c r="D1805" s="74" t="str">
        <x:f>IF('당기원장'!A805="","",'당기원장'!C805)</x:f>
      </x:c>
      <x:c r="E1805" s="73" t="str">
        <x:f>IF('당기원장'!A805="","",'당기원장'!D805)</x:f>
      </x:c>
      <x:c r="F1805" s="73" t="str">
        <x:f>IF('당기원장'!A805="","",'당기원장'!E805)</x:f>
      </x:c>
      <x:c r="G1805" s="75" t="str">
        <x:f>IF('당기원장'!A805="","",'당기원장'!H805)</x:f>
      </x:c>
      <x:c r="H1805" s="73" t="str">
        <x:f>IF('당기원장'!A805="","",'당기원장'!I805)</x:f>
      </x:c>
      <x:c r="I1805" s="73" t="str">
        <x:f>IF('당기원장'!A805="","",'당기원장'!J805)</x:f>
      </x:c>
      <x:c r="J1805" s="73" t="str">
        <x:f>IF('당기원장'!A805="","",'당기원장'!K805)</x:f>
      </x:c>
      <x:c r="K1805" s="73" t="str">
        <x:f>IF(B1805="","",IF(COUNTIF($B$5:B1805,B1805)=1,COUNT($K$4:K1804)+1,""))</x:f>
      </x:c>
      <x:c r="L1805" s="85" t="str">
        <x:f>IF(B1805="","",IF(COUNTIFS('계정비교'!$A$5:$A$1004,B1805,'계정비교'!$H$5:$H$1004,"원인분석 대상")&gt;0,COUNT($L$4:L1804)+1,""))</x:f>
      </x:c>
    </x:row>
    <x:row r="1806">
      <x:c r="A1806" s="73" t="str">
        <x:f>IF('당기원장'!A806="","","당기")</x:f>
      </x:c>
      <x:c r="B1806" s="73" t="str">
        <x:f>IF('당기원장'!A806="","",'당기원장'!A806)</x:f>
      </x:c>
      <x:c r="C1806" s="73" t="str">
        <x:f>IF('당기원장'!A806="","",'당기원장'!B806)</x:f>
      </x:c>
      <x:c r="D1806" s="74" t="str">
        <x:f>IF('당기원장'!A806="","",'당기원장'!C806)</x:f>
      </x:c>
      <x:c r="E1806" s="73" t="str">
        <x:f>IF('당기원장'!A806="","",'당기원장'!D806)</x:f>
      </x:c>
      <x:c r="F1806" s="73" t="str">
        <x:f>IF('당기원장'!A806="","",'당기원장'!E806)</x:f>
      </x:c>
      <x:c r="G1806" s="75" t="str">
        <x:f>IF('당기원장'!A806="","",'당기원장'!H806)</x:f>
      </x:c>
      <x:c r="H1806" s="73" t="str">
        <x:f>IF('당기원장'!A806="","",'당기원장'!I806)</x:f>
      </x:c>
      <x:c r="I1806" s="73" t="str">
        <x:f>IF('당기원장'!A806="","",'당기원장'!J806)</x:f>
      </x:c>
      <x:c r="J1806" s="73" t="str">
        <x:f>IF('당기원장'!A806="","",'당기원장'!K806)</x:f>
      </x:c>
      <x:c r="K1806" s="73" t="str">
        <x:f>IF(B1806="","",IF(COUNTIF($B$5:B1806,B1806)=1,COUNT($K$4:K1805)+1,""))</x:f>
      </x:c>
      <x:c r="L1806" s="85" t="str">
        <x:f>IF(B1806="","",IF(COUNTIFS('계정비교'!$A$5:$A$1004,B1806,'계정비교'!$H$5:$H$1004,"원인분석 대상")&gt;0,COUNT($L$4:L1805)+1,""))</x:f>
      </x:c>
    </x:row>
    <x:row r="1807">
      <x:c r="A1807" s="73" t="str">
        <x:f>IF('당기원장'!A807="","","당기")</x:f>
      </x:c>
      <x:c r="B1807" s="73" t="str">
        <x:f>IF('당기원장'!A807="","",'당기원장'!A807)</x:f>
      </x:c>
      <x:c r="C1807" s="73" t="str">
        <x:f>IF('당기원장'!A807="","",'당기원장'!B807)</x:f>
      </x:c>
      <x:c r="D1807" s="74" t="str">
        <x:f>IF('당기원장'!A807="","",'당기원장'!C807)</x:f>
      </x:c>
      <x:c r="E1807" s="73" t="str">
        <x:f>IF('당기원장'!A807="","",'당기원장'!D807)</x:f>
      </x:c>
      <x:c r="F1807" s="73" t="str">
        <x:f>IF('당기원장'!A807="","",'당기원장'!E807)</x:f>
      </x:c>
      <x:c r="G1807" s="75" t="str">
        <x:f>IF('당기원장'!A807="","",'당기원장'!H807)</x:f>
      </x:c>
      <x:c r="H1807" s="73" t="str">
        <x:f>IF('당기원장'!A807="","",'당기원장'!I807)</x:f>
      </x:c>
      <x:c r="I1807" s="73" t="str">
        <x:f>IF('당기원장'!A807="","",'당기원장'!J807)</x:f>
      </x:c>
      <x:c r="J1807" s="73" t="str">
        <x:f>IF('당기원장'!A807="","",'당기원장'!K807)</x:f>
      </x:c>
      <x:c r="K1807" s="73" t="str">
        <x:f>IF(B1807="","",IF(COUNTIF($B$5:B1807,B1807)=1,COUNT($K$4:K1806)+1,""))</x:f>
      </x:c>
      <x:c r="L1807" s="85" t="str">
        <x:f>IF(B1807="","",IF(COUNTIFS('계정비교'!$A$5:$A$1004,B1807,'계정비교'!$H$5:$H$1004,"원인분석 대상")&gt;0,COUNT($L$4:L1806)+1,""))</x:f>
      </x:c>
    </x:row>
    <x:row r="1808">
      <x:c r="A1808" s="73" t="str">
        <x:f>IF('당기원장'!A808="","","당기")</x:f>
      </x:c>
      <x:c r="B1808" s="73" t="str">
        <x:f>IF('당기원장'!A808="","",'당기원장'!A808)</x:f>
      </x:c>
      <x:c r="C1808" s="73" t="str">
        <x:f>IF('당기원장'!A808="","",'당기원장'!B808)</x:f>
      </x:c>
      <x:c r="D1808" s="74" t="str">
        <x:f>IF('당기원장'!A808="","",'당기원장'!C808)</x:f>
      </x:c>
      <x:c r="E1808" s="73" t="str">
        <x:f>IF('당기원장'!A808="","",'당기원장'!D808)</x:f>
      </x:c>
      <x:c r="F1808" s="73" t="str">
        <x:f>IF('당기원장'!A808="","",'당기원장'!E808)</x:f>
      </x:c>
      <x:c r="G1808" s="75" t="str">
        <x:f>IF('당기원장'!A808="","",'당기원장'!H808)</x:f>
      </x:c>
      <x:c r="H1808" s="73" t="str">
        <x:f>IF('당기원장'!A808="","",'당기원장'!I808)</x:f>
      </x:c>
      <x:c r="I1808" s="73" t="str">
        <x:f>IF('당기원장'!A808="","",'당기원장'!J808)</x:f>
      </x:c>
      <x:c r="J1808" s="73" t="str">
        <x:f>IF('당기원장'!A808="","",'당기원장'!K808)</x:f>
      </x:c>
      <x:c r="K1808" s="73" t="str">
        <x:f>IF(B1808="","",IF(COUNTIF($B$5:B1808,B1808)=1,COUNT($K$4:K1807)+1,""))</x:f>
      </x:c>
      <x:c r="L1808" s="85" t="str">
        <x:f>IF(B1808="","",IF(COUNTIFS('계정비교'!$A$5:$A$1004,B1808,'계정비교'!$H$5:$H$1004,"원인분석 대상")&gt;0,COUNT($L$4:L1807)+1,""))</x:f>
      </x:c>
    </x:row>
    <x:row r="1809">
      <x:c r="A1809" s="73" t="str">
        <x:f>IF('당기원장'!A809="","","당기")</x:f>
      </x:c>
      <x:c r="B1809" s="73" t="str">
        <x:f>IF('당기원장'!A809="","",'당기원장'!A809)</x:f>
      </x:c>
      <x:c r="C1809" s="73" t="str">
        <x:f>IF('당기원장'!A809="","",'당기원장'!B809)</x:f>
      </x:c>
      <x:c r="D1809" s="74" t="str">
        <x:f>IF('당기원장'!A809="","",'당기원장'!C809)</x:f>
      </x:c>
      <x:c r="E1809" s="73" t="str">
        <x:f>IF('당기원장'!A809="","",'당기원장'!D809)</x:f>
      </x:c>
      <x:c r="F1809" s="73" t="str">
        <x:f>IF('당기원장'!A809="","",'당기원장'!E809)</x:f>
      </x:c>
      <x:c r="G1809" s="75" t="str">
        <x:f>IF('당기원장'!A809="","",'당기원장'!H809)</x:f>
      </x:c>
      <x:c r="H1809" s="73" t="str">
        <x:f>IF('당기원장'!A809="","",'당기원장'!I809)</x:f>
      </x:c>
      <x:c r="I1809" s="73" t="str">
        <x:f>IF('당기원장'!A809="","",'당기원장'!J809)</x:f>
      </x:c>
      <x:c r="J1809" s="73" t="str">
        <x:f>IF('당기원장'!A809="","",'당기원장'!K809)</x:f>
      </x:c>
      <x:c r="K1809" s="73" t="str">
        <x:f>IF(B1809="","",IF(COUNTIF($B$5:B1809,B1809)=1,COUNT($K$4:K1808)+1,""))</x:f>
      </x:c>
      <x:c r="L1809" s="85" t="str">
        <x:f>IF(B1809="","",IF(COUNTIFS('계정비교'!$A$5:$A$1004,B1809,'계정비교'!$H$5:$H$1004,"원인분석 대상")&gt;0,COUNT($L$4:L1808)+1,""))</x:f>
      </x:c>
    </x:row>
    <x:row r="1810">
      <x:c r="A1810" s="73" t="str">
        <x:f>IF('당기원장'!A810="","","당기")</x:f>
      </x:c>
      <x:c r="B1810" s="73" t="str">
        <x:f>IF('당기원장'!A810="","",'당기원장'!A810)</x:f>
      </x:c>
      <x:c r="C1810" s="73" t="str">
        <x:f>IF('당기원장'!A810="","",'당기원장'!B810)</x:f>
      </x:c>
      <x:c r="D1810" s="74" t="str">
        <x:f>IF('당기원장'!A810="","",'당기원장'!C810)</x:f>
      </x:c>
      <x:c r="E1810" s="73" t="str">
        <x:f>IF('당기원장'!A810="","",'당기원장'!D810)</x:f>
      </x:c>
      <x:c r="F1810" s="73" t="str">
        <x:f>IF('당기원장'!A810="","",'당기원장'!E810)</x:f>
      </x:c>
      <x:c r="G1810" s="75" t="str">
        <x:f>IF('당기원장'!A810="","",'당기원장'!H810)</x:f>
      </x:c>
      <x:c r="H1810" s="73" t="str">
        <x:f>IF('당기원장'!A810="","",'당기원장'!I810)</x:f>
      </x:c>
      <x:c r="I1810" s="73" t="str">
        <x:f>IF('당기원장'!A810="","",'당기원장'!J810)</x:f>
      </x:c>
      <x:c r="J1810" s="73" t="str">
        <x:f>IF('당기원장'!A810="","",'당기원장'!K810)</x:f>
      </x:c>
      <x:c r="K1810" s="73" t="str">
        <x:f>IF(B1810="","",IF(COUNTIF($B$5:B1810,B1810)=1,COUNT($K$4:K1809)+1,""))</x:f>
      </x:c>
      <x:c r="L1810" s="85" t="str">
        <x:f>IF(B1810="","",IF(COUNTIFS('계정비교'!$A$5:$A$1004,B1810,'계정비교'!$H$5:$H$1004,"원인분석 대상")&gt;0,COUNT($L$4:L1809)+1,""))</x:f>
      </x:c>
    </x:row>
    <x:row r="1811">
      <x:c r="A1811" s="73" t="str">
        <x:f>IF('당기원장'!A811="","","당기")</x:f>
      </x:c>
      <x:c r="B1811" s="73" t="str">
        <x:f>IF('당기원장'!A811="","",'당기원장'!A811)</x:f>
      </x:c>
      <x:c r="C1811" s="73" t="str">
        <x:f>IF('당기원장'!A811="","",'당기원장'!B811)</x:f>
      </x:c>
      <x:c r="D1811" s="74" t="str">
        <x:f>IF('당기원장'!A811="","",'당기원장'!C811)</x:f>
      </x:c>
      <x:c r="E1811" s="73" t="str">
        <x:f>IF('당기원장'!A811="","",'당기원장'!D811)</x:f>
      </x:c>
      <x:c r="F1811" s="73" t="str">
        <x:f>IF('당기원장'!A811="","",'당기원장'!E811)</x:f>
      </x:c>
      <x:c r="G1811" s="75" t="str">
        <x:f>IF('당기원장'!A811="","",'당기원장'!H811)</x:f>
      </x:c>
      <x:c r="H1811" s="73" t="str">
        <x:f>IF('당기원장'!A811="","",'당기원장'!I811)</x:f>
      </x:c>
      <x:c r="I1811" s="73" t="str">
        <x:f>IF('당기원장'!A811="","",'당기원장'!J811)</x:f>
      </x:c>
      <x:c r="J1811" s="73" t="str">
        <x:f>IF('당기원장'!A811="","",'당기원장'!K811)</x:f>
      </x:c>
      <x:c r="K1811" s="73" t="str">
        <x:f>IF(B1811="","",IF(COUNTIF($B$5:B1811,B1811)=1,COUNT($K$4:K1810)+1,""))</x:f>
      </x:c>
      <x:c r="L1811" s="85" t="str">
        <x:f>IF(B1811="","",IF(COUNTIFS('계정비교'!$A$5:$A$1004,B1811,'계정비교'!$H$5:$H$1004,"원인분석 대상")&gt;0,COUNT($L$4:L1810)+1,""))</x:f>
      </x:c>
    </x:row>
    <x:row r="1812">
      <x:c r="A1812" s="73" t="str">
        <x:f>IF('당기원장'!A812="","","당기")</x:f>
      </x:c>
      <x:c r="B1812" s="73" t="str">
        <x:f>IF('당기원장'!A812="","",'당기원장'!A812)</x:f>
      </x:c>
      <x:c r="C1812" s="73" t="str">
        <x:f>IF('당기원장'!A812="","",'당기원장'!B812)</x:f>
      </x:c>
      <x:c r="D1812" s="74" t="str">
        <x:f>IF('당기원장'!A812="","",'당기원장'!C812)</x:f>
      </x:c>
      <x:c r="E1812" s="73" t="str">
        <x:f>IF('당기원장'!A812="","",'당기원장'!D812)</x:f>
      </x:c>
      <x:c r="F1812" s="73" t="str">
        <x:f>IF('당기원장'!A812="","",'당기원장'!E812)</x:f>
      </x:c>
      <x:c r="G1812" s="75" t="str">
        <x:f>IF('당기원장'!A812="","",'당기원장'!H812)</x:f>
      </x:c>
      <x:c r="H1812" s="73" t="str">
        <x:f>IF('당기원장'!A812="","",'당기원장'!I812)</x:f>
      </x:c>
      <x:c r="I1812" s="73" t="str">
        <x:f>IF('당기원장'!A812="","",'당기원장'!J812)</x:f>
      </x:c>
      <x:c r="J1812" s="73" t="str">
        <x:f>IF('당기원장'!A812="","",'당기원장'!K812)</x:f>
      </x:c>
      <x:c r="K1812" s="73" t="str">
        <x:f>IF(B1812="","",IF(COUNTIF($B$5:B1812,B1812)=1,COUNT($K$4:K1811)+1,""))</x:f>
      </x:c>
      <x:c r="L1812" s="85" t="str">
        <x:f>IF(B1812="","",IF(COUNTIFS('계정비교'!$A$5:$A$1004,B1812,'계정비교'!$H$5:$H$1004,"원인분석 대상")&gt;0,COUNT($L$4:L1811)+1,""))</x:f>
      </x:c>
    </x:row>
    <x:row r="1813">
      <x:c r="A1813" s="73" t="str">
        <x:f>IF('당기원장'!A813="","","당기")</x:f>
      </x:c>
      <x:c r="B1813" s="73" t="str">
        <x:f>IF('당기원장'!A813="","",'당기원장'!A813)</x:f>
      </x:c>
      <x:c r="C1813" s="73" t="str">
        <x:f>IF('당기원장'!A813="","",'당기원장'!B813)</x:f>
      </x:c>
      <x:c r="D1813" s="74" t="str">
        <x:f>IF('당기원장'!A813="","",'당기원장'!C813)</x:f>
      </x:c>
      <x:c r="E1813" s="73" t="str">
        <x:f>IF('당기원장'!A813="","",'당기원장'!D813)</x:f>
      </x:c>
      <x:c r="F1813" s="73" t="str">
        <x:f>IF('당기원장'!A813="","",'당기원장'!E813)</x:f>
      </x:c>
      <x:c r="G1813" s="75" t="str">
        <x:f>IF('당기원장'!A813="","",'당기원장'!H813)</x:f>
      </x:c>
      <x:c r="H1813" s="73" t="str">
        <x:f>IF('당기원장'!A813="","",'당기원장'!I813)</x:f>
      </x:c>
      <x:c r="I1813" s="73" t="str">
        <x:f>IF('당기원장'!A813="","",'당기원장'!J813)</x:f>
      </x:c>
      <x:c r="J1813" s="73" t="str">
        <x:f>IF('당기원장'!A813="","",'당기원장'!K813)</x:f>
      </x:c>
      <x:c r="K1813" s="73" t="str">
        <x:f>IF(B1813="","",IF(COUNTIF($B$5:B1813,B1813)=1,COUNT($K$4:K1812)+1,""))</x:f>
      </x:c>
      <x:c r="L1813" s="85" t="str">
        <x:f>IF(B1813="","",IF(COUNTIFS('계정비교'!$A$5:$A$1004,B1813,'계정비교'!$H$5:$H$1004,"원인분석 대상")&gt;0,COUNT($L$4:L1812)+1,""))</x:f>
      </x:c>
    </x:row>
    <x:row r="1814">
      <x:c r="A1814" s="73" t="str">
        <x:f>IF('당기원장'!A814="","","당기")</x:f>
      </x:c>
      <x:c r="B1814" s="73" t="str">
        <x:f>IF('당기원장'!A814="","",'당기원장'!A814)</x:f>
      </x:c>
      <x:c r="C1814" s="73" t="str">
        <x:f>IF('당기원장'!A814="","",'당기원장'!B814)</x:f>
      </x:c>
      <x:c r="D1814" s="74" t="str">
        <x:f>IF('당기원장'!A814="","",'당기원장'!C814)</x:f>
      </x:c>
      <x:c r="E1814" s="73" t="str">
        <x:f>IF('당기원장'!A814="","",'당기원장'!D814)</x:f>
      </x:c>
      <x:c r="F1814" s="73" t="str">
        <x:f>IF('당기원장'!A814="","",'당기원장'!E814)</x:f>
      </x:c>
      <x:c r="G1814" s="75" t="str">
        <x:f>IF('당기원장'!A814="","",'당기원장'!H814)</x:f>
      </x:c>
      <x:c r="H1814" s="73" t="str">
        <x:f>IF('당기원장'!A814="","",'당기원장'!I814)</x:f>
      </x:c>
      <x:c r="I1814" s="73" t="str">
        <x:f>IF('당기원장'!A814="","",'당기원장'!J814)</x:f>
      </x:c>
      <x:c r="J1814" s="73" t="str">
        <x:f>IF('당기원장'!A814="","",'당기원장'!K814)</x:f>
      </x:c>
      <x:c r="K1814" s="73" t="str">
        <x:f>IF(B1814="","",IF(COUNTIF($B$5:B1814,B1814)=1,COUNT($K$4:K1813)+1,""))</x:f>
      </x:c>
      <x:c r="L1814" s="85" t="str">
        <x:f>IF(B1814="","",IF(COUNTIFS('계정비교'!$A$5:$A$1004,B1814,'계정비교'!$H$5:$H$1004,"원인분석 대상")&gt;0,COUNT($L$4:L1813)+1,""))</x:f>
      </x:c>
    </x:row>
    <x:row r="1815">
      <x:c r="A1815" s="73" t="str">
        <x:f>IF('당기원장'!A815="","","당기")</x:f>
      </x:c>
      <x:c r="B1815" s="73" t="str">
        <x:f>IF('당기원장'!A815="","",'당기원장'!A815)</x:f>
      </x:c>
      <x:c r="C1815" s="73" t="str">
        <x:f>IF('당기원장'!A815="","",'당기원장'!B815)</x:f>
      </x:c>
      <x:c r="D1815" s="74" t="str">
        <x:f>IF('당기원장'!A815="","",'당기원장'!C815)</x:f>
      </x:c>
      <x:c r="E1815" s="73" t="str">
        <x:f>IF('당기원장'!A815="","",'당기원장'!D815)</x:f>
      </x:c>
      <x:c r="F1815" s="73" t="str">
        <x:f>IF('당기원장'!A815="","",'당기원장'!E815)</x:f>
      </x:c>
      <x:c r="G1815" s="75" t="str">
        <x:f>IF('당기원장'!A815="","",'당기원장'!H815)</x:f>
      </x:c>
      <x:c r="H1815" s="73" t="str">
        <x:f>IF('당기원장'!A815="","",'당기원장'!I815)</x:f>
      </x:c>
      <x:c r="I1815" s="73" t="str">
        <x:f>IF('당기원장'!A815="","",'당기원장'!J815)</x:f>
      </x:c>
      <x:c r="J1815" s="73" t="str">
        <x:f>IF('당기원장'!A815="","",'당기원장'!K815)</x:f>
      </x:c>
      <x:c r="K1815" s="73" t="str">
        <x:f>IF(B1815="","",IF(COUNTIF($B$5:B1815,B1815)=1,COUNT($K$4:K1814)+1,""))</x:f>
      </x:c>
      <x:c r="L1815" s="85" t="str">
        <x:f>IF(B1815="","",IF(COUNTIFS('계정비교'!$A$5:$A$1004,B1815,'계정비교'!$H$5:$H$1004,"원인분석 대상")&gt;0,COUNT($L$4:L1814)+1,""))</x:f>
      </x:c>
    </x:row>
    <x:row r="1816">
      <x:c r="A1816" s="73" t="str">
        <x:f>IF('당기원장'!A816="","","당기")</x:f>
      </x:c>
      <x:c r="B1816" s="73" t="str">
        <x:f>IF('당기원장'!A816="","",'당기원장'!A816)</x:f>
      </x:c>
      <x:c r="C1816" s="73" t="str">
        <x:f>IF('당기원장'!A816="","",'당기원장'!B816)</x:f>
      </x:c>
      <x:c r="D1816" s="74" t="str">
        <x:f>IF('당기원장'!A816="","",'당기원장'!C816)</x:f>
      </x:c>
      <x:c r="E1816" s="73" t="str">
        <x:f>IF('당기원장'!A816="","",'당기원장'!D816)</x:f>
      </x:c>
      <x:c r="F1816" s="73" t="str">
        <x:f>IF('당기원장'!A816="","",'당기원장'!E816)</x:f>
      </x:c>
      <x:c r="G1816" s="75" t="str">
        <x:f>IF('당기원장'!A816="","",'당기원장'!H816)</x:f>
      </x:c>
      <x:c r="H1816" s="73" t="str">
        <x:f>IF('당기원장'!A816="","",'당기원장'!I816)</x:f>
      </x:c>
      <x:c r="I1816" s="73" t="str">
        <x:f>IF('당기원장'!A816="","",'당기원장'!J816)</x:f>
      </x:c>
      <x:c r="J1816" s="73" t="str">
        <x:f>IF('당기원장'!A816="","",'당기원장'!K816)</x:f>
      </x:c>
      <x:c r="K1816" s="73" t="str">
        <x:f>IF(B1816="","",IF(COUNTIF($B$5:B1816,B1816)=1,COUNT($K$4:K1815)+1,""))</x:f>
      </x:c>
      <x:c r="L1816" s="85" t="str">
        <x:f>IF(B1816="","",IF(COUNTIFS('계정비교'!$A$5:$A$1004,B1816,'계정비교'!$H$5:$H$1004,"원인분석 대상")&gt;0,COUNT($L$4:L1815)+1,""))</x:f>
      </x:c>
    </x:row>
    <x:row r="1817">
      <x:c r="A1817" s="73" t="str">
        <x:f>IF('당기원장'!A817="","","당기")</x:f>
      </x:c>
      <x:c r="B1817" s="73" t="str">
        <x:f>IF('당기원장'!A817="","",'당기원장'!A817)</x:f>
      </x:c>
      <x:c r="C1817" s="73" t="str">
        <x:f>IF('당기원장'!A817="","",'당기원장'!B817)</x:f>
      </x:c>
      <x:c r="D1817" s="74" t="str">
        <x:f>IF('당기원장'!A817="","",'당기원장'!C817)</x:f>
      </x:c>
      <x:c r="E1817" s="73" t="str">
        <x:f>IF('당기원장'!A817="","",'당기원장'!D817)</x:f>
      </x:c>
      <x:c r="F1817" s="73" t="str">
        <x:f>IF('당기원장'!A817="","",'당기원장'!E817)</x:f>
      </x:c>
      <x:c r="G1817" s="75" t="str">
        <x:f>IF('당기원장'!A817="","",'당기원장'!H817)</x:f>
      </x:c>
      <x:c r="H1817" s="73" t="str">
        <x:f>IF('당기원장'!A817="","",'당기원장'!I817)</x:f>
      </x:c>
      <x:c r="I1817" s="73" t="str">
        <x:f>IF('당기원장'!A817="","",'당기원장'!J817)</x:f>
      </x:c>
      <x:c r="J1817" s="73" t="str">
        <x:f>IF('당기원장'!A817="","",'당기원장'!K817)</x:f>
      </x:c>
      <x:c r="K1817" s="73" t="str">
        <x:f>IF(B1817="","",IF(COUNTIF($B$5:B1817,B1817)=1,COUNT($K$4:K1816)+1,""))</x:f>
      </x:c>
      <x:c r="L1817" s="85" t="str">
        <x:f>IF(B1817="","",IF(COUNTIFS('계정비교'!$A$5:$A$1004,B1817,'계정비교'!$H$5:$H$1004,"원인분석 대상")&gt;0,COUNT($L$4:L1816)+1,""))</x:f>
      </x:c>
    </x:row>
    <x:row r="1818">
      <x:c r="A1818" s="73" t="str">
        <x:f>IF('당기원장'!A818="","","당기")</x:f>
      </x:c>
      <x:c r="B1818" s="73" t="str">
        <x:f>IF('당기원장'!A818="","",'당기원장'!A818)</x:f>
      </x:c>
      <x:c r="C1818" s="73" t="str">
        <x:f>IF('당기원장'!A818="","",'당기원장'!B818)</x:f>
      </x:c>
      <x:c r="D1818" s="74" t="str">
        <x:f>IF('당기원장'!A818="","",'당기원장'!C818)</x:f>
      </x:c>
      <x:c r="E1818" s="73" t="str">
        <x:f>IF('당기원장'!A818="","",'당기원장'!D818)</x:f>
      </x:c>
      <x:c r="F1818" s="73" t="str">
        <x:f>IF('당기원장'!A818="","",'당기원장'!E818)</x:f>
      </x:c>
      <x:c r="G1818" s="75" t="str">
        <x:f>IF('당기원장'!A818="","",'당기원장'!H818)</x:f>
      </x:c>
      <x:c r="H1818" s="73" t="str">
        <x:f>IF('당기원장'!A818="","",'당기원장'!I818)</x:f>
      </x:c>
      <x:c r="I1818" s="73" t="str">
        <x:f>IF('당기원장'!A818="","",'당기원장'!J818)</x:f>
      </x:c>
      <x:c r="J1818" s="73" t="str">
        <x:f>IF('당기원장'!A818="","",'당기원장'!K818)</x:f>
      </x:c>
      <x:c r="K1818" s="73" t="str">
        <x:f>IF(B1818="","",IF(COUNTIF($B$5:B1818,B1818)=1,COUNT($K$4:K1817)+1,""))</x:f>
      </x:c>
      <x:c r="L1818" s="85" t="str">
        <x:f>IF(B1818="","",IF(COUNTIFS('계정비교'!$A$5:$A$1004,B1818,'계정비교'!$H$5:$H$1004,"원인분석 대상")&gt;0,COUNT($L$4:L1817)+1,""))</x:f>
      </x:c>
    </x:row>
    <x:row r="1819">
      <x:c r="A1819" s="73" t="str">
        <x:f>IF('당기원장'!A819="","","당기")</x:f>
      </x:c>
      <x:c r="B1819" s="73" t="str">
        <x:f>IF('당기원장'!A819="","",'당기원장'!A819)</x:f>
      </x:c>
      <x:c r="C1819" s="73" t="str">
        <x:f>IF('당기원장'!A819="","",'당기원장'!B819)</x:f>
      </x:c>
      <x:c r="D1819" s="74" t="str">
        <x:f>IF('당기원장'!A819="","",'당기원장'!C819)</x:f>
      </x:c>
      <x:c r="E1819" s="73" t="str">
        <x:f>IF('당기원장'!A819="","",'당기원장'!D819)</x:f>
      </x:c>
      <x:c r="F1819" s="73" t="str">
        <x:f>IF('당기원장'!A819="","",'당기원장'!E819)</x:f>
      </x:c>
      <x:c r="G1819" s="75" t="str">
        <x:f>IF('당기원장'!A819="","",'당기원장'!H819)</x:f>
      </x:c>
      <x:c r="H1819" s="73" t="str">
        <x:f>IF('당기원장'!A819="","",'당기원장'!I819)</x:f>
      </x:c>
      <x:c r="I1819" s="73" t="str">
        <x:f>IF('당기원장'!A819="","",'당기원장'!J819)</x:f>
      </x:c>
      <x:c r="J1819" s="73" t="str">
        <x:f>IF('당기원장'!A819="","",'당기원장'!K819)</x:f>
      </x:c>
      <x:c r="K1819" s="73" t="str">
        <x:f>IF(B1819="","",IF(COUNTIF($B$5:B1819,B1819)=1,COUNT($K$4:K1818)+1,""))</x:f>
      </x:c>
      <x:c r="L1819" s="85" t="str">
        <x:f>IF(B1819="","",IF(COUNTIFS('계정비교'!$A$5:$A$1004,B1819,'계정비교'!$H$5:$H$1004,"원인분석 대상")&gt;0,COUNT($L$4:L1818)+1,""))</x:f>
      </x:c>
    </x:row>
    <x:row r="1820">
      <x:c r="A1820" s="73" t="str">
        <x:f>IF('당기원장'!A820="","","당기")</x:f>
      </x:c>
      <x:c r="B1820" s="73" t="str">
        <x:f>IF('당기원장'!A820="","",'당기원장'!A820)</x:f>
      </x:c>
      <x:c r="C1820" s="73" t="str">
        <x:f>IF('당기원장'!A820="","",'당기원장'!B820)</x:f>
      </x:c>
      <x:c r="D1820" s="74" t="str">
        <x:f>IF('당기원장'!A820="","",'당기원장'!C820)</x:f>
      </x:c>
      <x:c r="E1820" s="73" t="str">
        <x:f>IF('당기원장'!A820="","",'당기원장'!D820)</x:f>
      </x:c>
      <x:c r="F1820" s="73" t="str">
        <x:f>IF('당기원장'!A820="","",'당기원장'!E820)</x:f>
      </x:c>
      <x:c r="G1820" s="75" t="str">
        <x:f>IF('당기원장'!A820="","",'당기원장'!H820)</x:f>
      </x:c>
      <x:c r="H1820" s="73" t="str">
        <x:f>IF('당기원장'!A820="","",'당기원장'!I820)</x:f>
      </x:c>
      <x:c r="I1820" s="73" t="str">
        <x:f>IF('당기원장'!A820="","",'당기원장'!J820)</x:f>
      </x:c>
      <x:c r="J1820" s="73" t="str">
        <x:f>IF('당기원장'!A820="","",'당기원장'!K820)</x:f>
      </x:c>
      <x:c r="K1820" s="73" t="str">
        <x:f>IF(B1820="","",IF(COUNTIF($B$5:B1820,B1820)=1,COUNT($K$4:K1819)+1,""))</x:f>
      </x:c>
      <x:c r="L1820" s="85" t="str">
        <x:f>IF(B1820="","",IF(COUNTIFS('계정비교'!$A$5:$A$1004,B1820,'계정비교'!$H$5:$H$1004,"원인분석 대상")&gt;0,COUNT($L$4:L1819)+1,""))</x:f>
      </x:c>
    </x:row>
    <x:row r="1821">
      <x:c r="A1821" s="73" t="str">
        <x:f>IF('당기원장'!A821="","","당기")</x:f>
      </x:c>
      <x:c r="B1821" s="73" t="str">
        <x:f>IF('당기원장'!A821="","",'당기원장'!A821)</x:f>
      </x:c>
      <x:c r="C1821" s="73" t="str">
        <x:f>IF('당기원장'!A821="","",'당기원장'!B821)</x:f>
      </x:c>
      <x:c r="D1821" s="74" t="str">
        <x:f>IF('당기원장'!A821="","",'당기원장'!C821)</x:f>
      </x:c>
      <x:c r="E1821" s="73" t="str">
        <x:f>IF('당기원장'!A821="","",'당기원장'!D821)</x:f>
      </x:c>
      <x:c r="F1821" s="73" t="str">
        <x:f>IF('당기원장'!A821="","",'당기원장'!E821)</x:f>
      </x:c>
      <x:c r="G1821" s="75" t="str">
        <x:f>IF('당기원장'!A821="","",'당기원장'!H821)</x:f>
      </x:c>
      <x:c r="H1821" s="73" t="str">
        <x:f>IF('당기원장'!A821="","",'당기원장'!I821)</x:f>
      </x:c>
      <x:c r="I1821" s="73" t="str">
        <x:f>IF('당기원장'!A821="","",'당기원장'!J821)</x:f>
      </x:c>
      <x:c r="J1821" s="73" t="str">
        <x:f>IF('당기원장'!A821="","",'당기원장'!K821)</x:f>
      </x:c>
      <x:c r="K1821" s="73" t="str">
        <x:f>IF(B1821="","",IF(COUNTIF($B$5:B1821,B1821)=1,COUNT($K$4:K1820)+1,""))</x:f>
      </x:c>
      <x:c r="L1821" s="85" t="str">
        <x:f>IF(B1821="","",IF(COUNTIFS('계정비교'!$A$5:$A$1004,B1821,'계정비교'!$H$5:$H$1004,"원인분석 대상")&gt;0,COUNT($L$4:L1820)+1,""))</x:f>
      </x:c>
    </x:row>
    <x:row r="1822">
      <x:c r="A1822" s="73" t="str">
        <x:f>IF('당기원장'!A822="","","당기")</x:f>
      </x:c>
      <x:c r="B1822" s="73" t="str">
        <x:f>IF('당기원장'!A822="","",'당기원장'!A822)</x:f>
      </x:c>
      <x:c r="C1822" s="73" t="str">
        <x:f>IF('당기원장'!A822="","",'당기원장'!B822)</x:f>
      </x:c>
      <x:c r="D1822" s="74" t="str">
        <x:f>IF('당기원장'!A822="","",'당기원장'!C822)</x:f>
      </x:c>
      <x:c r="E1822" s="73" t="str">
        <x:f>IF('당기원장'!A822="","",'당기원장'!D822)</x:f>
      </x:c>
      <x:c r="F1822" s="73" t="str">
        <x:f>IF('당기원장'!A822="","",'당기원장'!E822)</x:f>
      </x:c>
      <x:c r="G1822" s="75" t="str">
        <x:f>IF('당기원장'!A822="","",'당기원장'!H822)</x:f>
      </x:c>
      <x:c r="H1822" s="73" t="str">
        <x:f>IF('당기원장'!A822="","",'당기원장'!I822)</x:f>
      </x:c>
      <x:c r="I1822" s="73" t="str">
        <x:f>IF('당기원장'!A822="","",'당기원장'!J822)</x:f>
      </x:c>
      <x:c r="J1822" s="73" t="str">
        <x:f>IF('당기원장'!A822="","",'당기원장'!K822)</x:f>
      </x:c>
      <x:c r="K1822" s="73" t="str">
        <x:f>IF(B1822="","",IF(COUNTIF($B$5:B1822,B1822)=1,COUNT($K$4:K1821)+1,""))</x:f>
      </x:c>
      <x:c r="L1822" s="85" t="str">
        <x:f>IF(B1822="","",IF(COUNTIFS('계정비교'!$A$5:$A$1004,B1822,'계정비교'!$H$5:$H$1004,"원인분석 대상")&gt;0,COUNT($L$4:L1821)+1,""))</x:f>
      </x:c>
    </x:row>
    <x:row r="1823">
      <x:c r="A1823" s="73" t="str">
        <x:f>IF('당기원장'!A823="","","당기")</x:f>
      </x:c>
      <x:c r="B1823" s="73" t="str">
        <x:f>IF('당기원장'!A823="","",'당기원장'!A823)</x:f>
      </x:c>
      <x:c r="C1823" s="73" t="str">
        <x:f>IF('당기원장'!A823="","",'당기원장'!B823)</x:f>
      </x:c>
      <x:c r="D1823" s="74" t="str">
        <x:f>IF('당기원장'!A823="","",'당기원장'!C823)</x:f>
      </x:c>
      <x:c r="E1823" s="73" t="str">
        <x:f>IF('당기원장'!A823="","",'당기원장'!D823)</x:f>
      </x:c>
      <x:c r="F1823" s="73" t="str">
        <x:f>IF('당기원장'!A823="","",'당기원장'!E823)</x:f>
      </x:c>
      <x:c r="G1823" s="75" t="str">
        <x:f>IF('당기원장'!A823="","",'당기원장'!H823)</x:f>
      </x:c>
      <x:c r="H1823" s="73" t="str">
        <x:f>IF('당기원장'!A823="","",'당기원장'!I823)</x:f>
      </x:c>
      <x:c r="I1823" s="73" t="str">
        <x:f>IF('당기원장'!A823="","",'당기원장'!J823)</x:f>
      </x:c>
      <x:c r="J1823" s="73" t="str">
        <x:f>IF('당기원장'!A823="","",'당기원장'!K823)</x:f>
      </x:c>
      <x:c r="K1823" s="73" t="str">
        <x:f>IF(B1823="","",IF(COUNTIF($B$5:B1823,B1823)=1,COUNT($K$4:K1822)+1,""))</x:f>
      </x:c>
      <x:c r="L1823" s="85" t="str">
        <x:f>IF(B1823="","",IF(COUNTIFS('계정비교'!$A$5:$A$1004,B1823,'계정비교'!$H$5:$H$1004,"원인분석 대상")&gt;0,COUNT($L$4:L1822)+1,""))</x:f>
      </x:c>
    </x:row>
    <x:row r="1824">
      <x:c r="A1824" s="73" t="str">
        <x:f>IF('당기원장'!A824="","","당기")</x:f>
      </x:c>
      <x:c r="B1824" s="73" t="str">
        <x:f>IF('당기원장'!A824="","",'당기원장'!A824)</x:f>
      </x:c>
      <x:c r="C1824" s="73" t="str">
        <x:f>IF('당기원장'!A824="","",'당기원장'!B824)</x:f>
      </x:c>
      <x:c r="D1824" s="74" t="str">
        <x:f>IF('당기원장'!A824="","",'당기원장'!C824)</x:f>
      </x:c>
      <x:c r="E1824" s="73" t="str">
        <x:f>IF('당기원장'!A824="","",'당기원장'!D824)</x:f>
      </x:c>
      <x:c r="F1824" s="73" t="str">
        <x:f>IF('당기원장'!A824="","",'당기원장'!E824)</x:f>
      </x:c>
      <x:c r="G1824" s="75" t="str">
        <x:f>IF('당기원장'!A824="","",'당기원장'!H824)</x:f>
      </x:c>
      <x:c r="H1824" s="73" t="str">
        <x:f>IF('당기원장'!A824="","",'당기원장'!I824)</x:f>
      </x:c>
      <x:c r="I1824" s="73" t="str">
        <x:f>IF('당기원장'!A824="","",'당기원장'!J824)</x:f>
      </x:c>
      <x:c r="J1824" s="73" t="str">
        <x:f>IF('당기원장'!A824="","",'당기원장'!K824)</x:f>
      </x:c>
      <x:c r="K1824" s="73" t="str">
        <x:f>IF(B1824="","",IF(COUNTIF($B$5:B1824,B1824)=1,COUNT($K$4:K1823)+1,""))</x:f>
      </x:c>
      <x:c r="L1824" s="85" t="str">
        <x:f>IF(B1824="","",IF(COUNTIFS('계정비교'!$A$5:$A$1004,B1824,'계정비교'!$H$5:$H$1004,"원인분석 대상")&gt;0,COUNT($L$4:L1823)+1,""))</x:f>
      </x:c>
    </x:row>
    <x:row r="1825">
      <x:c r="A1825" s="73" t="str">
        <x:f>IF('당기원장'!A825="","","당기")</x:f>
      </x:c>
      <x:c r="B1825" s="73" t="str">
        <x:f>IF('당기원장'!A825="","",'당기원장'!A825)</x:f>
      </x:c>
      <x:c r="C1825" s="73" t="str">
        <x:f>IF('당기원장'!A825="","",'당기원장'!B825)</x:f>
      </x:c>
      <x:c r="D1825" s="74" t="str">
        <x:f>IF('당기원장'!A825="","",'당기원장'!C825)</x:f>
      </x:c>
      <x:c r="E1825" s="73" t="str">
        <x:f>IF('당기원장'!A825="","",'당기원장'!D825)</x:f>
      </x:c>
      <x:c r="F1825" s="73" t="str">
        <x:f>IF('당기원장'!A825="","",'당기원장'!E825)</x:f>
      </x:c>
      <x:c r="G1825" s="75" t="str">
        <x:f>IF('당기원장'!A825="","",'당기원장'!H825)</x:f>
      </x:c>
      <x:c r="H1825" s="73" t="str">
        <x:f>IF('당기원장'!A825="","",'당기원장'!I825)</x:f>
      </x:c>
      <x:c r="I1825" s="73" t="str">
        <x:f>IF('당기원장'!A825="","",'당기원장'!J825)</x:f>
      </x:c>
      <x:c r="J1825" s="73" t="str">
        <x:f>IF('당기원장'!A825="","",'당기원장'!K825)</x:f>
      </x:c>
      <x:c r="K1825" s="73" t="str">
        <x:f>IF(B1825="","",IF(COUNTIF($B$5:B1825,B1825)=1,COUNT($K$4:K1824)+1,""))</x:f>
      </x:c>
      <x:c r="L1825" s="85" t="str">
        <x:f>IF(B1825="","",IF(COUNTIFS('계정비교'!$A$5:$A$1004,B1825,'계정비교'!$H$5:$H$1004,"원인분석 대상")&gt;0,COUNT($L$4:L1824)+1,""))</x:f>
      </x:c>
    </x:row>
    <x:row r="1826">
      <x:c r="A1826" s="73" t="str">
        <x:f>IF('당기원장'!A826="","","당기")</x:f>
      </x:c>
      <x:c r="B1826" s="73" t="str">
        <x:f>IF('당기원장'!A826="","",'당기원장'!A826)</x:f>
      </x:c>
      <x:c r="C1826" s="73" t="str">
        <x:f>IF('당기원장'!A826="","",'당기원장'!B826)</x:f>
      </x:c>
      <x:c r="D1826" s="74" t="str">
        <x:f>IF('당기원장'!A826="","",'당기원장'!C826)</x:f>
      </x:c>
      <x:c r="E1826" s="73" t="str">
        <x:f>IF('당기원장'!A826="","",'당기원장'!D826)</x:f>
      </x:c>
      <x:c r="F1826" s="73" t="str">
        <x:f>IF('당기원장'!A826="","",'당기원장'!E826)</x:f>
      </x:c>
      <x:c r="G1826" s="75" t="str">
        <x:f>IF('당기원장'!A826="","",'당기원장'!H826)</x:f>
      </x:c>
      <x:c r="H1826" s="73" t="str">
        <x:f>IF('당기원장'!A826="","",'당기원장'!I826)</x:f>
      </x:c>
      <x:c r="I1826" s="73" t="str">
        <x:f>IF('당기원장'!A826="","",'당기원장'!J826)</x:f>
      </x:c>
      <x:c r="J1826" s="73" t="str">
        <x:f>IF('당기원장'!A826="","",'당기원장'!K826)</x:f>
      </x:c>
      <x:c r="K1826" s="73" t="str">
        <x:f>IF(B1826="","",IF(COUNTIF($B$5:B1826,B1826)=1,COUNT($K$4:K1825)+1,""))</x:f>
      </x:c>
      <x:c r="L1826" s="85" t="str">
        <x:f>IF(B1826="","",IF(COUNTIFS('계정비교'!$A$5:$A$1004,B1826,'계정비교'!$H$5:$H$1004,"원인분석 대상")&gt;0,COUNT($L$4:L1825)+1,""))</x:f>
      </x:c>
    </x:row>
    <x:row r="1827">
      <x:c r="A1827" s="73" t="str">
        <x:f>IF('당기원장'!A827="","","당기")</x:f>
      </x:c>
      <x:c r="B1827" s="73" t="str">
        <x:f>IF('당기원장'!A827="","",'당기원장'!A827)</x:f>
      </x:c>
      <x:c r="C1827" s="73" t="str">
        <x:f>IF('당기원장'!A827="","",'당기원장'!B827)</x:f>
      </x:c>
      <x:c r="D1827" s="74" t="str">
        <x:f>IF('당기원장'!A827="","",'당기원장'!C827)</x:f>
      </x:c>
      <x:c r="E1827" s="73" t="str">
        <x:f>IF('당기원장'!A827="","",'당기원장'!D827)</x:f>
      </x:c>
      <x:c r="F1827" s="73" t="str">
        <x:f>IF('당기원장'!A827="","",'당기원장'!E827)</x:f>
      </x:c>
      <x:c r="G1827" s="75" t="str">
        <x:f>IF('당기원장'!A827="","",'당기원장'!H827)</x:f>
      </x:c>
      <x:c r="H1827" s="73" t="str">
        <x:f>IF('당기원장'!A827="","",'당기원장'!I827)</x:f>
      </x:c>
      <x:c r="I1827" s="73" t="str">
        <x:f>IF('당기원장'!A827="","",'당기원장'!J827)</x:f>
      </x:c>
      <x:c r="J1827" s="73" t="str">
        <x:f>IF('당기원장'!A827="","",'당기원장'!K827)</x:f>
      </x:c>
      <x:c r="K1827" s="73" t="str">
        <x:f>IF(B1827="","",IF(COUNTIF($B$5:B1827,B1827)=1,COUNT($K$4:K1826)+1,""))</x:f>
      </x:c>
      <x:c r="L1827" s="85" t="str">
        <x:f>IF(B1827="","",IF(COUNTIFS('계정비교'!$A$5:$A$1004,B1827,'계정비교'!$H$5:$H$1004,"원인분석 대상")&gt;0,COUNT($L$4:L1826)+1,""))</x:f>
      </x:c>
    </x:row>
    <x:row r="1828">
      <x:c r="A1828" s="73" t="str">
        <x:f>IF('당기원장'!A828="","","당기")</x:f>
      </x:c>
      <x:c r="B1828" s="73" t="str">
        <x:f>IF('당기원장'!A828="","",'당기원장'!A828)</x:f>
      </x:c>
      <x:c r="C1828" s="73" t="str">
        <x:f>IF('당기원장'!A828="","",'당기원장'!B828)</x:f>
      </x:c>
      <x:c r="D1828" s="74" t="str">
        <x:f>IF('당기원장'!A828="","",'당기원장'!C828)</x:f>
      </x:c>
      <x:c r="E1828" s="73" t="str">
        <x:f>IF('당기원장'!A828="","",'당기원장'!D828)</x:f>
      </x:c>
      <x:c r="F1828" s="73" t="str">
        <x:f>IF('당기원장'!A828="","",'당기원장'!E828)</x:f>
      </x:c>
      <x:c r="G1828" s="75" t="str">
        <x:f>IF('당기원장'!A828="","",'당기원장'!H828)</x:f>
      </x:c>
      <x:c r="H1828" s="73" t="str">
        <x:f>IF('당기원장'!A828="","",'당기원장'!I828)</x:f>
      </x:c>
      <x:c r="I1828" s="73" t="str">
        <x:f>IF('당기원장'!A828="","",'당기원장'!J828)</x:f>
      </x:c>
      <x:c r="J1828" s="73" t="str">
        <x:f>IF('당기원장'!A828="","",'당기원장'!K828)</x:f>
      </x:c>
      <x:c r="K1828" s="73" t="str">
        <x:f>IF(B1828="","",IF(COUNTIF($B$5:B1828,B1828)=1,COUNT($K$4:K1827)+1,""))</x:f>
      </x:c>
      <x:c r="L1828" s="85" t="str">
        <x:f>IF(B1828="","",IF(COUNTIFS('계정비교'!$A$5:$A$1004,B1828,'계정비교'!$H$5:$H$1004,"원인분석 대상")&gt;0,COUNT($L$4:L1827)+1,""))</x:f>
      </x:c>
    </x:row>
    <x:row r="1829">
      <x:c r="A1829" s="73" t="str">
        <x:f>IF('당기원장'!A829="","","당기")</x:f>
      </x:c>
      <x:c r="B1829" s="73" t="str">
        <x:f>IF('당기원장'!A829="","",'당기원장'!A829)</x:f>
      </x:c>
      <x:c r="C1829" s="73" t="str">
        <x:f>IF('당기원장'!A829="","",'당기원장'!B829)</x:f>
      </x:c>
      <x:c r="D1829" s="74" t="str">
        <x:f>IF('당기원장'!A829="","",'당기원장'!C829)</x:f>
      </x:c>
      <x:c r="E1829" s="73" t="str">
        <x:f>IF('당기원장'!A829="","",'당기원장'!D829)</x:f>
      </x:c>
      <x:c r="F1829" s="73" t="str">
        <x:f>IF('당기원장'!A829="","",'당기원장'!E829)</x:f>
      </x:c>
      <x:c r="G1829" s="75" t="str">
        <x:f>IF('당기원장'!A829="","",'당기원장'!H829)</x:f>
      </x:c>
      <x:c r="H1829" s="73" t="str">
        <x:f>IF('당기원장'!A829="","",'당기원장'!I829)</x:f>
      </x:c>
      <x:c r="I1829" s="73" t="str">
        <x:f>IF('당기원장'!A829="","",'당기원장'!J829)</x:f>
      </x:c>
      <x:c r="J1829" s="73" t="str">
        <x:f>IF('당기원장'!A829="","",'당기원장'!K829)</x:f>
      </x:c>
      <x:c r="K1829" s="73" t="str">
        <x:f>IF(B1829="","",IF(COUNTIF($B$5:B1829,B1829)=1,COUNT($K$4:K1828)+1,""))</x:f>
      </x:c>
      <x:c r="L1829" s="85" t="str">
        <x:f>IF(B1829="","",IF(COUNTIFS('계정비교'!$A$5:$A$1004,B1829,'계정비교'!$H$5:$H$1004,"원인분석 대상")&gt;0,COUNT($L$4:L1828)+1,""))</x:f>
      </x:c>
    </x:row>
    <x:row r="1830">
      <x:c r="A1830" s="73" t="str">
        <x:f>IF('당기원장'!A830="","","당기")</x:f>
      </x:c>
      <x:c r="B1830" s="73" t="str">
        <x:f>IF('당기원장'!A830="","",'당기원장'!A830)</x:f>
      </x:c>
      <x:c r="C1830" s="73" t="str">
        <x:f>IF('당기원장'!A830="","",'당기원장'!B830)</x:f>
      </x:c>
      <x:c r="D1830" s="74" t="str">
        <x:f>IF('당기원장'!A830="","",'당기원장'!C830)</x:f>
      </x:c>
      <x:c r="E1830" s="73" t="str">
        <x:f>IF('당기원장'!A830="","",'당기원장'!D830)</x:f>
      </x:c>
      <x:c r="F1830" s="73" t="str">
        <x:f>IF('당기원장'!A830="","",'당기원장'!E830)</x:f>
      </x:c>
      <x:c r="G1830" s="75" t="str">
        <x:f>IF('당기원장'!A830="","",'당기원장'!H830)</x:f>
      </x:c>
      <x:c r="H1830" s="73" t="str">
        <x:f>IF('당기원장'!A830="","",'당기원장'!I830)</x:f>
      </x:c>
      <x:c r="I1830" s="73" t="str">
        <x:f>IF('당기원장'!A830="","",'당기원장'!J830)</x:f>
      </x:c>
      <x:c r="J1830" s="73" t="str">
        <x:f>IF('당기원장'!A830="","",'당기원장'!K830)</x:f>
      </x:c>
      <x:c r="K1830" s="73" t="str">
        <x:f>IF(B1830="","",IF(COUNTIF($B$5:B1830,B1830)=1,COUNT($K$4:K1829)+1,""))</x:f>
      </x:c>
      <x:c r="L1830" s="85" t="str">
        <x:f>IF(B1830="","",IF(COUNTIFS('계정비교'!$A$5:$A$1004,B1830,'계정비교'!$H$5:$H$1004,"원인분석 대상")&gt;0,COUNT($L$4:L1829)+1,""))</x:f>
      </x:c>
    </x:row>
    <x:row r="1831">
      <x:c r="A1831" s="73" t="str">
        <x:f>IF('당기원장'!A831="","","당기")</x:f>
      </x:c>
      <x:c r="B1831" s="73" t="str">
        <x:f>IF('당기원장'!A831="","",'당기원장'!A831)</x:f>
      </x:c>
      <x:c r="C1831" s="73" t="str">
        <x:f>IF('당기원장'!A831="","",'당기원장'!B831)</x:f>
      </x:c>
      <x:c r="D1831" s="74" t="str">
        <x:f>IF('당기원장'!A831="","",'당기원장'!C831)</x:f>
      </x:c>
      <x:c r="E1831" s="73" t="str">
        <x:f>IF('당기원장'!A831="","",'당기원장'!D831)</x:f>
      </x:c>
      <x:c r="F1831" s="73" t="str">
        <x:f>IF('당기원장'!A831="","",'당기원장'!E831)</x:f>
      </x:c>
      <x:c r="G1831" s="75" t="str">
        <x:f>IF('당기원장'!A831="","",'당기원장'!H831)</x:f>
      </x:c>
      <x:c r="H1831" s="73" t="str">
        <x:f>IF('당기원장'!A831="","",'당기원장'!I831)</x:f>
      </x:c>
      <x:c r="I1831" s="73" t="str">
        <x:f>IF('당기원장'!A831="","",'당기원장'!J831)</x:f>
      </x:c>
      <x:c r="J1831" s="73" t="str">
        <x:f>IF('당기원장'!A831="","",'당기원장'!K831)</x:f>
      </x:c>
      <x:c r="K1831" s="73" t="str">
        <x:f>IF(B1831="","",IF(COUNTIF($B$5:B1831,B1831)=1,COUNT($K$4:K1830)+1,""))</x:f>
      </x:c>
      <x:c r="L1831" s="85" t="str">
        <x:f>IF(B1831="","",IF(COUNTIFS('계정비교'!$A$5:$A$1004,B1831,'계정비교'!$H$5:$H$1004,"원인분석 대상")&gt;0,COUNT($L$4:L1830)+1,""))</x:f>
      </x:c>
    </x:row>
    <x:row r="1832">
      <x:c r="A1832" s="73" t="str">
        <x:f>IF('당기원장'!A832="","","당기")</x:f>
      </x:c>
      <x:c r="B1832" s="73" t="str">
        <x:f>IF('당기원장'!A832="","",'당기원장'!A832)</x:f>
      </x:c>
      <x:c r="C1832" s="73" t="str">
        <x:f>IF('당기원장'!A832="","",'당기원장'!B832)</x:f>
      </x:c>
      <x:c r="D1832" s="74" t="str">
        <x:f>IF('당기원장'!A832="","",'당기원장'!C832)</x:f>
      </x:c>
      <x:c r="E1832" s="73" t="str">
        <x:f>IF('당기원장'!A832="","",'당기원장'!D832)</x:f>
      </x:c>
      <x:c r="F1832" s="73" t="str">
        <x:f>IF('당기원장'!A832="","",'당기원장'!E832)</x:f>
      </x:c>
      <x:c r="G1832" s="75" t="str">
        <x:f>IF('당기원장'!A832="","",'당기원장'!H832)</x:f>
      </x:c>
      <x:c r="H1832" s="73" t="str">
        <x:f>IF('당기원장'!A832="","",'당기원장'!I832)</x:f>
      </x:c>
      <x:c r="I1832" s="73" t="str">
        <x:f>IF('당기원장'!A832="","",'당기원장'!J832)</x:f>
      </x:c>
      <x:c r="J1832" s="73" t="str">
        <x:f>IF('당기원장'!A832="","",'당기원장'!K832)</x:f>
      </x:c>
      <x:c r="K1832" s="73" t="str">
        <x:f>IF(B1832="","",IF(COUNTIF($B$5:B1832,B1832)=1,COUNT($K$4:K1831)+1,""))</x:f>
      </x:c>
      <x:c r="L1832" s="85" t="str">
        <x:f>IF(B1832="","",IF(COUNTIFS('계정비교'!$A$5:$A$1004,B1832,'계정비교'!$H$5:$H$1004,"원인분석 대상")&gt;0,COUNT($L$4:L1831)+1,""))</x:f>
      </x:c>
    </x:row>
    <x:row r="1833">
      <x:c r="A1833" s="73" t="str">
        <x:f>IF('당기원장'!A833="","","당기")</x:f>
      </x:c>
      <x:c r="B1833" s="73" t="str">
        <x:f>IF('당기원장'!A833="","",'당기원장'!A833)</x:f>
      </x:c>
      <x:c r="C1833" s="73" t="str">
        <x:f>IF('당기원장'!A833="","",'당기원장'!B833)</x:f>
      </x:c>
      <x:c r="D1833" s="74" t="str">
        <x:f>IF('당기원장'!A833="","",'당기원장'!C833)</x:f>
      </x:c>
      <x:c r="E1833" s="73" t="str">
        <x:f>IF('당기원장'!A833="","",'당기원장'!D833)</x:f>
      </x:c>
      <x:c r="F1833" s="73" t="str">
        <x:f>IF('당기원장'!A833="","",'당기원장'!E833)</x:f>
      </x:c>
      <x:c r="G1833" s="75" t="str">
        <x:f>IF('당기원장'!A833="","",'당기원장'!H833)</x:f>
      </x:c>
      <x:c r="H1833" s="73" t="str">
        <x:f>IF('당기원장'!A833="","",'당기원장'!I833)</x:f>
      </x:c>
      <x:c r="I1833" s="73" t="str">
        <x:f>IF('당기원장'!A833="","",'당기원장'!J833)</x:f>
      </x:c>
      <x:c r="J1833" s="73" t="str">
        <x:f>IF('당기원장'!A833="","",'당기원장'!K833)</x:f>
      </x:c>
      <x:c r="K1833" s="73" t="str">
        <x:f>IF(B1833="","",IF(COUNTIF($B$5:B1833,B1833)=1,COUNT($K$4:K1832)+1,""))</x:f>
      </x:c>
      <x:c r="L1833" s="85" t="str">
        <x:f>IF(B1833="","",IF(COUNTIFS('계정비교'!$A$5:$A$1004,B1833,'계정비교'!$H$5:$H$1004,"원인분석 대상")&gt;0,COUNT($L$4:L1832)+1,""))</x:f>
      </x:c>
    </x:row>
    <x:row r="1834">
      <x:c r="A1834" s="73" t="str">
        <x:f>IF('당기원장'!A834="","","당기")</x:f>
      </x:c>
      <x:c r="B1834" s="73" t="str">
        <x:f>IF('당기원장'!A834="","",'당기원장'!A834)</x:f>
      </x:c>
      <x:c r="C1834" s="73" t="str">
        <x:f>IF('당기원장'!A834="","",'당기원장'!B834)</x:f>
      </x:c>
      <x:c r="D1834" s="74" t="str">
        <x:f>IF('당기원장'!A834="","",'당기원장'!C834)</x:f>
      </x:c>
      <x:c r="E1834" s="73" t="str">
        <x:f>IF('당기원장'!A834="","",'당기원장'!D834)</x:f>
      </x:c>
      <x:c r="F1834" s="73" t="str">
        <x:f>IF('당기원장'!A834="","",'당기원장'!E834)</x:f>
      </x:c>
      <x:c r="G1834" s="75" t="str">
        <x:f>IF('당기원장'!A834="","",'당기원장'!H834)</x:f>
      </x:c>
      <x:c r="H1834" s="73" t="str">
        <x:f>IF('당기원장'!A834="","",'당기원장'!I834)</x:f>
      </x:c>
      <x:c r="I1834" s="73" t="str">
        <x:f>IF('당기원장'!A834="","",'당기원장'!J834)</x:f>
      </x:c>
      <x:c r="J1834" s="73" t="str">
        <x:f>IF('당기원장'!A834="","",'당기원장'!K834)</x:f>
      </x:c>
      <x:c r="K1834" s="73" t="str">
        <x:f>IF(B1834="","",IF(COUNTIF($B$5:B1834,B1834)=1,COUNT($K$4:K1833)+1,""))</x:f>
      </x:c>
      <x:c r="L1834" s="85" t="str">
        <x:f>IF(B1834="","",IF(COUNTIFS('계정비교'!$A$5:$A$1004,B1834,'계정비교'!$H$5:$H$1004,"원인분석 대상")&gt;0,COUNT($L$4:L1833)+1,""))</x:f>
      </x:c>
    </x:row>
    <x:row r="1835">
      <x:c r="A1835" s="73" t="str">
        <x:f>IF('당기원장'!A835="","","당기")</x:f>
      </x:c>
      <x:c r="B1835" s="73" t="str">
        <x:f>IF('당기원장'!A835="","",'당기원장'!A835)</x:f>
      </x:c>
      <x:c r="C1835" s="73" t="str">
        <x:f>IF('당기원장'!A835="","",'당기원장'!B835)</x:f>
      </x:c>
      <x:c r="D1835" s="74" t="str">
        <x:f>IF('당기원장'!A835="","",'당기원장'!C835)</x:f>
      </x:c>
      <x:c r="E1835" s="73" t="str">
        <x:f>IF('당기원장'!A835="","",'당기원장'!D835)</x:f>
      </x:c>
      <x:c r="F1835" s="73" t="str">
        <x:f>IF('당기원장'!A835="","",'당기원장'!E835)</x:f>
      </x:c>
      <x:c r="G1835" s="75" t="str">
        <x:f>IF('당기원장'!A835="","",'당기원장'!H835)</x:f>
      </x:c>
      <x:c r="H1835" s="73" t="str">
        <x:f>IF('당기원장'!A835="","",'당기원장'!I835)</x:f>
      </x:c>
      <x:c r="I1835" s="73" t="str">
        <x:f>IF('당기원장'!A835="","",'당기원장'!J835)</x:f>
      </x:c>
      <x:c r="J1835" s="73" t="str">
        <x:f>IF('당기원장'!A835="","",'당기원장'!K835)</x:f>
      </x:c>
      <x:c r="K1835" s="73" t="str">
        <x:f>IF(B1835="","",IF(COUNTIF($B$5:B1835,B1835)=1,COUNT($K$4:K1834)+1,""))</x:f>
      </x:c>
      <x:c r="L1835" s="85" t="str">
        <x:f>IF(B1835="","",IF(COUNTIFS('계정비교'!$A$5:$A$1004,B1835,'계정비교'!$H$5:$H$1004,"원인분석 대상")&gt;0,COUNT($L$4:L1834)+1,""))</x:f>
      </x:c>
    </x:row>
    <x:row r="1836">
      <x:c r="A1836" s="73" t="str">
        <x:f>IF('당기원장'!A836="","","당기")</x:f>
      </x:c>
      <x:c r="B1836" s="73" t="str">
        <x:f>IF('당기원장'!A836="","",'당기원장'!A836)</x:f>
      </x:c>
      <x:c r="C1836" s="73" t="str">
        <x:f>IF('당기원장'!A836="","",'당기원장'!B836)</x:f>
      </x:c>
      <x:c r="D1836" s="74" t="str">
        <x:f>IF('당기원장'!A836="","",'당기원장'!C836)</x:f>
      </x:c>
      <x:c r="E1836" s="73" t="str">
        <x:f>IF('당기원장'!A836="","",'당기원장'!D836)</x:f>
      </x:c>
      <x:c r="F1836" s="73" t="str">
        <x:f>IF('당기원장'!A836="","",'당기원장'!E836)</x:f>
      </x:c>
      <x:c r="G1836" s="75" t="str">
        <x:f>IF('당기원장'!A836="","",'당기원장'!H836)</x:f>
      </x:c>
      <x:c r="H1836" s="73" t="str">
        <x:f>IF('당기원장'!A836="","",'당기원장'!I836)</x:f>
      </x:c>
      <x:c r="I1836" s="73" t="str">
        <x:f>IF('당기원장'!A836="","",'당기원장'!J836)</x:f>
      </x:c>
      <x:c r="J1836" s="73" t="str">
        <x:f>IF('당기원장'!A836="","",'당기원장'!K836)</x:f>
      </x:c>
      <x:c r="K1836" s="73" t="str">
        <x:f>IF(B1836="","",IF(COUNTIF($B$5:B1836,B1836)=1,COUNT($K$4:K1835)+1,""))</x:f>
      </x:c>
      <x:c r="L1836" s="85" t="str">
        <x:f>IF(B1836="","",IF(COUNTIFS('계정비교'!$A$5:$A$1004,B1836,'계정비교'!$H$5:$H$1004,"원인분석 대상")&gt;0,COUNT($L$4:L1835)+1,""))</x:f>
      </x:c>
    </x:row>
    <x:row r="1837">
      <x:c r="A1837" s="73" t="str">
        <x:f>IF('당기원장'!A837="","","당기")</x:f>
      </x:c>
      <x:c r="B1837" s="73" t="str">
        <x:f>IF('당기원장'!A837="","",'당기원장'!A837)</x:f>
      </x:c>
      <x:c r="C1837" s="73" t="str">
        <x:f>IF('당기원장'!A837="","",'당기원장'!B837)</x:f>
      </x:c>
      <x:c r="D1837" s="74" t="str">
        <x:f>IF('당기원장'!A837="","",'당기원장'!C837)</x:f>
      </x:c>
      <x:c r="E1837" s="73" t="str">
        <x:f>IF('당기원장'!A837="","",'당기원장'!D837)</x:f>
      </x:c>
      <x:c r="F1837" s="73" t="str">
        <x:f>IF('당기원장'!A837="","",'당기원장'!E837)</x:f>
      </x:c>
      <x:c r="G1837" s="75" t="str">
        <x:f>IF('당기원장'!A837="","",'당기원장'!H837)</x:f>
      </x:c>
      <x:c r="H1837" s="73" t="str">
        <x:f>IF('당기원장'!A837="","",'당기원장'!I837)</x:f>
      </x:c>
      <x:c r="I1837" s="73" t="str">
        <x:f>IF('당기원장'!A837="","",'당기원장'!J837)</x:f>
      </x:c>
      <x:c r="J1837" s="73" t="str">
        <x:f>IF('당기원장'!A837="","",'당기원장'!K837)</x:f>
      </x:c>
      <x:c r="K1837" s="73" t="str">
        <x:f>IF(B1837="","",IF(COUNTIF($B$5:B1837,B1837)=1,COUNT($K$4:K1836)+1,""))</x:f>
      </x:c>
      <x:c r="L1837" s="85" t="str">
        <x:f>IF(B1837="","",IF(COUNTIFS('계정비교'!$A$5:$A$1004,B1837,'계정비교'!$H$5:$H$1004,"원인분석 대상")&gt;0,COUNT($L$4:L1836)+1,""))</x:f>
      </x:c>
    </x:row>
    <x:row r="1838">
      <x:c r="A1838" s="73" t="str">
        <x:f>IF('당기원장'!A838="","","당기")</x:f>
      </x:c>
      <x:c r="B1838" s="73" t="str">
        <x:f>IF('당기원장'!A838="","",'당기원장'!A838)</x:f>
      </x:c>
      <x:c r="C1838" s="73" t="str">
        <x:f>IF('당기원장'!A838="","",'당기원장'!B838)</x:f>
      </x:c>
      <x:c r="D1838" s="74" t="str">
        <x:f>IF('당기원장'!A838="","",'당기원장'!C838)</x:f>
      </x:c>
      <x:c r="E1838" s="73" t="str">
        <x:f>IF('당기원장'!A838="","",'당기원장'!D838)</x:f>
      </x:c>
      <x:c r="F1838" s="73" t="str">
        <x:f>IF('당기원장'!A838="","",'당기원장'!E838)</x:f>
      </x:c>
      <x:c r="G1838" s="75" t="str">
        <x:f>IF('당기원장'!A838="","",'당기원장'!H838)</x:f>
      </x:c>
      <x:c r="H1838" s="73" t="str">
        <x:f>IF('당기원장'!A838="","",'당기원장'!I838)</x:f>
      </x:c>
      <x:c r="I1838" s="73" t="str">
        <x:f>IF('당기원장'!A838="","",'당기원장'!J838)</x:f>
      </x:c>
      <x:c r="J1838" s="73" t="str">
        <x:f>IF('당기원장'!A838="","",'당기원장'!K838)</x:f>
      </x:c>
      <x:c r="K1838" s="73" t="str">
        <x:f>IF(B1838="","",IF(COUNTIF($B$5:B1838,B1838)=1,COUNT($K$4:K1837)+1,""))</x:f>
      </x:c>
      <x:c r="L1838" s="85" t="str">
        <x:f>IF(B1838="","",IF(COUNTIFS('계정비교'!$A$5:$A$1004,B1838,'계정비교'!$H$5:$H$1004,"원인분석 대상")&gt;0,COUNT($L$4:L1837)+1,""))</x:f>
      </x:c>
    </x:row>
    <x:row r="1839">
      <x:c r="A1839" s="73" t="str">
        <x:f>IF('당기원장'!A839="","","당기")</x:f>
      </x:c>
      <x:c r="B1839" s="73" t="str">
        <x:f>IF('당기원장'!A839="","",'당기원장'!A839)</x:f>
      </x:c>
      <x:c r="C1839" s="73" t="str">
        <x:f>IF('당기원장'!A839="","",'당기원장'!B839)</x:f>
      </x:c>
      <x:c r="D1839" s="74" t="str">
        <x:f>IF('당기원장'!A839="","",'당기원장'!C839)</x:f>
      </x:c>
      <x:c r="E1839" s="73" t="str">
        <x:f>IF('당기원장'!A839="","",'당기원장'!D839)</x:f>
      </x:c>
      <x:c r="F1839" s="73" t="str">
        <x:f>IF('당기원장'!A839="","",'당기원장'!E839)</x:f>
      </x:c>
      <x:c r="G1839" s="75" t="str">
        <x:f>IF('당기원장'!A839="","",'당기원장'!H839)</x:f>
      </x:c>
      <x:c r="H1839" s="73" t="str">
        <x:f>IF('당기원장'!A839="","",'당기원장'!I839)</x:f>
      </x:c>
      <x:c r="I1839" s="73" t="str">
        <x:f>IF('당기원장'!A839="","",'당기원장'!J839)</x:f>
      </x:c>
      <x:c r="J1839" s="73" t="str">
        <x:f>IF('당기원장'!A839="","",'당기원장'!K839)</x:f>
      </x:c>
      <x:c r="K1839" s="73" t="str">
        <x:f>IF(B1839="","",IF(COUNTIF($B$5:B1839,B1839)=1,COUNT($K$4:K1838)+1,""))</x:f>
      </x:c>
      <x:c r="L1839" s="85" t="str">
        <x:f>IF(B1839="","",IF(COUNTIFS('계정비교'!$A$5:$A$1004,B1839,'계정비교'!$H$5:$H$1004,"원인분석 대상")&gt;0,COUNT($L$4:L1838)+1,""))</x:f>
      </x:c>
    </x:row>
    <x:row r="1840">
      <x:c r="A1840" s="73" t="str">
        <x:f>IF('당기원장'!A840="","","당기")</x:f>
      </x:c>
      <x:c r="B1840" s="73" t="str">
        <x:f>IF('당기원장'!A840="","",'당기원장'!A840)</x:f>
      </x:c>
      <x:c r="C1840" s="73" t="str">
        <x:f>IF('당기원장'!A840="","",'당기원장'!B840)</x:f>
      </x:c>
      <x:c r="D1840" s="74" t="str">
        <x:f>IF('당기원장'!A840="","",'당기원장'!C840)</x:f>
      </x:c>
      <x:c r="E1840" s="73" t="str">
        <x:f>IF('당기원장'!A840="","",'당기원장'!D840)</x:f>
      </x:c>
      <x:c r="F1840" s="73" t="str">
        <x:f>IF('당기원장'!A840="","",'당기원장'!E840)</x:f>
      </x:c>
      <x:c r="G1840" s="75" t="str">
        <x:f>IF('당기원장'!A840="","",'당기원장'!H840)</x:f>
      </x:c>
      <x:c r="H1840" s="73" t="str">
        <x:f>IF('당기원장'!A840="","",'당기원장'!I840)</x:f>
      </x:c>
      <x:c r="I1840" s="73" t="str">
        <x:f>IF('당기원장'!A840="","",'당기원장'!J840)</x:f>
      </x:c>
      <x:c r="J1840" s="73" t="str">
        <x:f>IF('당기원장'!A840="","",'당기원장'!K840)</x:f>
      </x:c>
      <x:c r="K1840" s="73" t="str">
        <x:f>IF(B1840="","",IF(COUNTIF($B$5:B1840,B1840)=1,COUNT($K$4:K1839)+1,""))</x:f>
      </x:c>
      <x:c r="L1840" s="85" t="str">
        <x:f>IF(B1840="","",IF(COUNTIFS('계정비교'!$A$5:$A$1004,B1840,'계정비교'!$H$5:$H$1004,"원인분석 대상")&gt;0,COUNT($L$4:L1839)+1,""))</x:f>
      </x:c>
    </x:row>
    <x:row r="1841">
      <x:c r="A1841" s="73" t="str">
        <x:f>IF('당기원장'!A841="","","당기")</x:f>
      </x:c>
      <x:c r="B1841" s="73" t="str">
        <x:f>IF('당기원장'!A841="","",'당기원장'!A841)</x:f>
      </x:c>
      <x:c r="C1841" s="73" t="str">
        <x:f>IF('당기원장'!A841="","",'당기원장'!B841)</x:f>
      </x:c>
      <x:c r="D1841" s="74" t="str">
        <x:f>IF('당기원장'!A841="","",'당기원장'!C841)</x:f>
      </x:c>
      <x:c r="E1841" s="73" t="str">
        <x:f>IF('당기원장'!A841="","",'당기원장'!D841)</x:f>
      </x:c>
      <x:c r="F1841" s="73" t="str">
        <x:f>IF('당기원장'!A841="","",'당기원장'!E841)</x:f>
      </x:c>
      <x:c r="G1841" s="75" t="str">
        <x:f>IF('당기원장'!A841="","",'당기원장'!H841)</x:f>
      </x:c>
      <x:c r="H1841" s="73" t="str">
        <x:f>IF('당기원장'!A841="","",'당기원장'!I841)</x:f>
      </x:c>
      <x:c r="I1841" s="73" t="str">
        <x:f>IF('당기원장'!A841="","",'당기원장'!J841)</x:f>
      </x:c>
      <x:c r="J1841" s="73" t="str">
        <x:f>IF('당기원장'!A841="","",'당기원장'!K841)</x:f>
      </x:c>
      <x:c r="K1841" s="73" t="str">
        <x:f>IF(B1841="","",IF(COUNTIF($B$5:B1841,B1841)=1,COUNT($K$4:K1840)+1,""))</x:f>
      </x:c>
      <x:c r="L1841" s="85" t="str">
        <x:f>IF(B1841="","",IF(COUNTIFS('계정비교'!$A$5:$A$1004,B1841,'계정비교'!$H$5:$H$1004,"원인분석 대상")&gt;0,COUNT($L$4:L1840)+1,""))</x:f>
      </x:c>
    </x:row>
    <x:row r="1842">
      <x:c r="A1842" s="73" t="str">
        <x:f>IF('당기원장'!A842="","","당기")</x:f>
      </x:c>
      <x:c r="B1842" s="73" t="str">
        <x:f>IF('당기원장'!A842="","",'당기원장'!A842)</x:f>
      </x:c>
      <x:c r="C1842" s="73" t="str">
        <x:f>IF('당기원장'!A842="","",'당기원장'!B842)</x:f>
      </x:c>
      <x:c r="D1842" s="74" t="str">
        <x:f>IF('당기원장'!A842="","",'당기원장'!C842)</x:f>
      </x:c>
      <x:c r="E1842" s="73" t="str">
        <x:f>IF('당기원장'!A842="","",'당기원장'!D842)</x:f>
      </x:c>
      <x:c r="F1842" s="73" t="str">
        <x:f>IF('당기원장'!A842="","",'당기원장'!E842)</x:f>
      </x:c>
      <x:c r="G1842" s="75" t="str">
        <x:f>IF('당기원장'!A842="","",'당기원장'!H842)</x:f>
      </x:c>
      <x:c r="H1842" s="73" t="str">
        <x:f>IF('당기원장'!A842="","",'당기원장'!I842)</x:f>
      </x:c>
      <x:c r="I1842" s="73" t="str">
        <x:f>IF('당기원장'!A842="","",'당기원장'!J842)</x:f>
      </x:c>
      <x:c r="J1842" s="73" t="str">
        <x:f>IF('당기원장'!A842="","",'당기원장'!K842)</x:f>
      </x:c>
      <x:c r="K1842" s="73" t="str">
        <x:f>IF(B1842="","",IF(COUNTIF($B$5:B1842,B1842)=1,COUNT($K$4:K1841)+1,""))</x:f>
      </x:c>
      <x:c r="L1842" s="85" t="str">
        <x:f>IF(B1842="","",IF(COUNTIFS('계정비교'!$A$5:$A$1004,B1842,'계정비교'!$H$5:$H$1004,"원인분석 대상")&gt;0,COUNT($L$4:L1841)+1,""))</x:f>
      </x:c>
    </x:row>
    <x:row r="1843">
      <x:c r="A1843" s="73" t="str">
        <x:f>IF('당기원장'!A843="","","당기")</x:f>
      </x:c>
      <x:c r="B1843" s="73" t="str">
        <x:f>IF('당기원장'!A843="","",'당기원장'!A843)</x:f>
      </x:c>
      <x:c r="C1843" s="73" t="str">
        <x:f>IF('당기원장'!A843="","",'당기원장'!B843)</x:f>
      </x:c>
      <x:c r="D1843" s="74" t="str">
        <x:f>IF('당기원장'!A843="","",'당기원장'!C843)</x:f>
      </x:c>
      <x:c r="E1843" s="73" t="str">
        <x:f>IF('당기원장'!A843="","",'당기원장'!D843)</x:f>
      </x:c>
      <x:c r="F1843" s="73" t="str">
        <x:f>IF('당기원장'!A843="","",'당기원장'!E843)</x:f>
      </x:c>
      <x:c r="G1843" s="75" t="str">
        <x:f>IF('당기원장'!A843="","",'당기원장'!H843)</x:f>
      </x:c>
      <x:c r="H1843" s="73" t="str">
        <x:f>IF('당기원장'!A843="","",'당기원장'!I843)</x:f>
      </x:c>
      <x:c r="I1843" s="73" t="str">
        <x:f>IF('당기원장'!A843="","",'당기원장'!J843)</x:f>
      </x:c>
      <x:c r="J1843" s="73" t="str">
        <x:f>IF('당기원장'!A843="","",'당기원장'!K843)</x:f>
      </x:c>
      <x:c r="K1843" s="73" t="str">
        <x:f>IF(B1843="","",IF(COUNTIF($B$5:B1843,B1843)=1,COUNT($K$4:K1842)+1,""))</x:f>
      </x:c>
      <x:c r="L1843" s="85" t="str">
        <x:f>IF(B1843="","",IF(COUNTIFS('계정비교'!$A$5:$A$1004,B1843,'계정비교'!$H$5:$H$1004,"원인분석 대상")&gt;0,COUNT($L$4:L1842)+1,""))</x:f>
      </x:c>
    </x:row>
    <x:row r="1844">
      <x:c r="A1844" s="73" t="str">
        <x:f>IF('당기원장'!A844="","","당기")</x:f>
      </x:c>
      <x:c r="B1844" s="73" t="str">
        <x:f>IF('당기원장'!A844="","",'당기원장'!A844)</x:f>
      </x:c>
      <x:c r="C1844" s="73" t="str">
        <x:f>IF('당기원장'!A844="","",'당기원장'!B844)</x:f>
      </x:c>
      <x:c r="D1844" s="74" t="str">
        <x:f>IF('당기원장'!A844="","",'당기원장'!C844)</x:f>
      </x:c>
      <x:c r="E1844" s="73" t="str">
        <x:f>IF('당기원장'!A844="","",'당기원장'!D844)</x:f>
      </x:c>
      <x:c r="F1844" s="73" t="str">
        <x:f>IF('당기원장'!A844="","",'당기원장'!E844)</x:f>
      </x:c>
      <x:c r="G1844" s="75" t="str">
        <x:f>IF('당기원장'!A844="","",'당기원장'!H844)</x:f>
      </x:c>
      <x:c r="H1844" s="73" t="str">
        <x:f>IF('당기원장'!A844="","",'당기원장'!I844)</x:f>
      </x:c>
      <x:c r="I1844" s="73" t="str">
        <x:f>IF('당기원장'!A844="","",'당기원장'!J844)</x:f>
      </x:c>
      <x:c r="J1844" s="73" t="str">
        <x:f>IF('당기원장'!A844="","",'당기원장'!K844)</x:f>
      </x:c>
      <x:c r="K1844" s="73" t="str">
        <x:f>IF(B1844="","",IF(COUNTIF($B$5:B1844,B1844)=1,COUNT($K$4:K1843)+1,""))</x:f>
      </x:c>
      <x:c r="L1844" s="85" t="str">
        <x:f>IF(B1844="","",IF(COUNTIFS('계정비교'!$A$5:$A$1004,B1844,'계정비교'!$H$5:$H$1004,"원인분석 대상")&gt;0,COUNT($L$4:L1843)+1,""))</x:f>
      </x:c>
    </x:row>
    <x:row r="1845">
      <x:c r="A1845" s="73" t="str">
        <x:f>IF('당기원장'!A845="","","당기")</x:f>
      </x:c>
      <x:c r="B1845" s="73" t="str">
        <x:f>IF('당기원장'!A845="","",'당기원장'!A845)</x:f>
      </x:c>
      <x:c r="C1845" s="73" t="str">
        <x:f>IF('당기원장'!A845="","",'당기원장'!B845)</x:f>
      </x:c>
      <x:c r="D1845" s="74" t="str">
        <x:f>IF('당기원장'!A845="","",'당기원장'!C845)</x:f>
      </x:c>
      <x:c r="E1845" s="73" t="str">
        <x:f>IF('당기원장'!A845="","",'당기원장'!D845)</x:f>
      </x:c>
      <x:c r="F1845" s="73" t="str">
        <x:f>IF('당기원장'!A845="","",'당기원장'!E845)</x:f>
      </x:c>
      <x:c r="G1845" s="75" t="str">
        <x:f>IF('당기원장'!A845="","",'당기원장'!H845)</x:f>
      </x:c>
      <x:c r="H1845" s="73" t="str">
        <x:f>IF('당기원장'!A845="","",'당기원장'!I845)</x:f>
      </x:c>
      <x:c r="I1845" s="73" t="str">
        <x:f>IF('당기원장'!A845="","",'당기원장'!J845)</x:f>
      </x:c>
      <x:c r="J1845" s="73" t="str">
        <x:f>IF('당기원장'!A845="","",'당기원장'!K845)</x:f>
      </x:c>
      <x:c r="K1845" s="73" t="str">
        <x:f>IF(B1845="","",IF(COUNTIF($B$5:B1845,B1845)=1,COUNT($K$4:K1844)+1,""))</x:f>
      </x:c>
      <x:c r="L1845" s="85" t="str">
        <x:f>IF(B1845="","",IF(COUNTIFS('계정비교'!$A$5:$A$1004,B1845,'계정비교'!$H$5:$H$1004,"원인분석 대상")&gt;0,COUNT($L$4:L1844)+1,""))</x:f>
      </x:c>
    </x:row>
    <x:row r="1846">
      <x:c r="A1846" s="73" t="str">
        <x:f>IF('당기원장'!A846="","","당기")</x:f>
      </x:c>
      <x:c r="B1846" s="73" t="str">
        <x:f>IF('당기원장'!A846="","",'당기원장'!A846)</x:f>
      </x:c>
      <x:c r="C1846" s="73" t="str">
        <x:f>IF('당기원장'!A846="","",'당기원장'!B846)</x:f>
      </x:c>
      <x:c r="D1846" s="74" t="str">
        <x:f>IF('당기원장'!A846="","",'당기원장'!C846)</x:f>
      </x:c>
      <x:c r="E1846" s="73" t="str">
        <x:f>IF('당기원장'!A846="","",'당기원장'!D846)</x:f>
      </x:c>
      <x:c r="F1846" s="73" t="str">
        <x:f>IF('당기원장'!A846="","",'당기원장'!E846)</x:f>
      </x:c>
      <x:c r="G1846" s="75" t="str">
        <x:f>IF('당기원장'!A846="","",'당기원장'!H846)</x:f>
      </x:c>
      <x:c r="H1846" s="73" t="str">
        <x:f>IF('당기원장'!A846="","",'당기원장'!I846)</x:f>
      </x:c>
      <x:c r="I1846" s="73" t="str">
        <x:f>IF('당기원장'!A846="","",'당기원장'!J846)</x:f>
      </x:c>
      <x:c r="J1846" s="73" t="str">
        <x:f>IF('당기원장'!A846="","",'당기원장'!K846)</x:f>
      </x:c>
      <x:c r="K1846" s="73" t="str">
        <x:f>IF(B1846="","",IF(COUNTIF($B$5:B1846,B1846)=1,COUNT($K$4:K1845)+1,""))</x:f>
      </x:c>
      <x:c r="L1846" s="85" t="str">
        <x:f>IF(B1846="","",IF(COUNTIFS('계정비교'!$A$5:$A$1004,B1846,'계정비교'!$H$5:$H$1004,"원인분석 대상")&gt;0,COUNT($L$4:L1845)+1,""))</x:f>
      </x:c>
    </x:row>
    <x:row r="1847">
      <x:c r="A1847" s="73" t="str">
        <x:f>IF('당기원장'!A847="","","당기")</x:f>
      </x:c>
      <x:c r="B1847" s="73" t="str">
        <x:f>IF('당기원장'!A847="","",'당기원장'!A847)</x:f>
      </x:c>
      <x:c r="C1847" s="73" t="str">
        <x:f>IF('당기원장'!A847="","",'당기원장'!B847)</x:f>
      </x:c>
      <x:c r="D1847" s="74" t="str">
        <x:f>IF('당기원장'!A847="","",'당기원장'!C847)</x:f>
      </x:c>
      <x:c r="E1847" s="73" t="str">
        <x:f>IF('당기원장'!A847="","",'당기원장'!D847)</x:f>
      </x:c>
      <x:c r="F1847" s="73" t="str">
        <x:f>IF('당기원장'!A847="","",'당기원장'!E847)</x:f>
      </x:c>
      <x:c r="G1847" s="75" t="str">
        <x:f>IF('당기원장'!A847="","",'당기원장'!H847)</x:f>
      </x:c>
      <x:c r="H1847" s="73" t="str">
        <x:f>IF('당기원장'!A847="","",'당기원장'!I847)</x:f>
      </x:c>
      <x:c r="I1847" s="73" t="str">
        <x:f>IF('당기원장'!A847="","",'당기원장'!J847)</x:f>
      </x:c>
      <x:c r="J1847" s="73" t="str">
        <x:f>IF('당기원장'!A847="","",'당기원장'!K847)</x:f>
      </x:c>
      <x:c r="K1847" s="73" t="str">
        <x:f>IF(B1847="","",IF(COUNTIF($B$5:B1847,B1847)=1,COUNT($K$4:K1846)+1,""))</x:f>
      </x:c>
      <x:c r="L1847" s="85" t="str">
        <x:f>IF(B1847="","",IF(COUNTIFS('계정비교'!$A$5:$A$1004,B1847,'계정비교'!$H$5:$H$1004,"원인분석 대상")&gt;0,COUNT($L$4:L1846)+1,""))</x:f>
      </x:c>
    </x:row>
    <x:row r="1848">
      <x:c r="A1848" s="73" t="str">
        <x:f>IF('당기원장'!A848="","","당기")</x:f>
      </x:c>
      <x:c r="B1848" s="73" t="str">
        <x:f>IF('당기원장'!A848="","",'당기원장'!A848)</x:f>
      </x:c>
      <x:c r="C1848" s="73" t="str">
        <x:f>IF('당기원장'!A848="","",'당기원장'!B848)</x:f>
      </x:c>
      <x:c r="D1848" s="74" t="str">
        <x:f>IF('당기원장'!A848="","",'당기원장'!C848)</x:f>
      </x:c>
      <x:c r="E1848" s="73" t="str">
        <x:f>IF('당기원장'!A848="","",'당기원장'!D848)</x:f>
      </x:c>
      <x:c r="F1848" s="73" t="str">
        <x:f>IF('당기원장'!A848="","",'당기원장'!E848)</x:f>
      </x:c>
      <x:c r="G1848" s="75" t="str">
        <x:f>IF('당기원장'!A848="","",'당기원장'!H848)</x:f>
      </x:c>
      <x:c r="H1848" s="73" t="str">
        <x:f>IF('당기원장'!A848="","",'당기원장'!I848)</x:f>
      </x:c>
      <x:c r="I1848" s="73" t="str">
        <x:f>IF('당기원장'!A848="","",'당기원장'!J848)</x:f>
      </x:c>
      <x:c r="J1848" s="73" t="str">
        <x:f>IF('당기원장'!A848="","",'당기원장'!K848)</x:f>
      </x:c>
      <x:c r="K1848" s="73" t="str">
        <x:f>IF(B1848="","",IF(COUNTIF($B$5:B1848,B1848)=1,COUNT($K$4:K1847)+1,""))</x:f>
      </x:c>
      <x:c r="L1848" s="85" t="str">
        <x:f>IF(B1848="","",IF(COUNTIFS('계정비교'!$A$5:$A$1004,B1848,'계정비교'!$H$5:$H$1004,"원인분석 대상")&gt;0,COUNT($L$4:L1847)+1,""))</x:f>
      </x:c>
    </x:row>
    <x:row r="1849">
      <x:c r="A1849" s="73" t="str">
        <x:f>IF('당기원장'!A849="","","당기")</x:f>
      </x:c>
      <x:c r="B1849" s="73" t="str">
        <x:f>IF('당기원장'!A849="","",'당기원장'!A849)</x:f>
      </x:c>
      <x:c r="C1849" s="73" t="str">
        <x:f>IF('당기원장'!A849="","",'당기원장'!B849)</x:f>
      </x:c>
      <x:c r="D1849" s="74" t="str">
        <x:f>IF('당기원장'!A849="","",'당기원장'!C849)</x:f>
      </x:c>
      <x:c r="E1849" s="73" t="str">
        <x:f>IF('당기원장'!A849="","",'당기원장'!D849)</x:f>
      </x:c>
      <x:c r="F1849" s="73" t="str">
        <x:f>IF('당기원장'!A849="","",'당기원장'!E849)</x:f>
      </x:c>
      <x:c r="G1849" s="75" t="str">
        <x:f>IF('당기원장'!A849="","",'당기원장'!H849)</x:f>
      </x:c>
      <x:c r="H1849" s="73" t="str">
        <x:f>IF('당기원장'!A849="","",'당기원장'!I849)</x:f>
      </x:c>
      <x:c r="I1849" s="73" t="str">
        <x:f>IF('당기원장'!A849="","",'당기원장'!J849)</x:f>
      </x:c>
      <x:c r="J1849" s="73" t="str">
        <x:f>IF('당기원장'!A849="","",'당기원장'!K849)</x:f>
      </x:c>
      <x:c r="K1849" s="73" t="str">
        <x:f>IF(B1849="","",IF(COUNTIF($B$5:B1849,B1849)=1,COUNT($K$4:K1848)+1,""))</x:f>
      </x:c>
      <x:c r="L1849" s="85" t="str">
        <x:f>IF(B1849="","",IF(COUNTIFS('계정비교'!$A$5:$A$1004,B1849,'계정비교'!$H$5:$H$1004,"원인분석 대상")&gt;0,COUNT($L$4:L1848)+1,""))</x:f>
      </x:c>
    </x:row>
    <x:row r="1850">
      <x:c r="A1850" s="73" t="str">
        <x:f>IF('당기원장'!A850="","","당기")</x:f>
      </x:c>
      <x:c r="B1850" s="73" t="str">
        <x:f>IF('당기원장'!A850="","",'당기원장'!A850)</x:f>
      </x:c>
      <x:c r="C1850" s="73" t="str">
        <x:f>IF('당기원장'!A850="","",'당기원장'!B850)</x:f>
      </x:c>
      <x:c r="D1850" s="74" t="str">
        <x:f>IF('당기원장'!A850="","",'당기원장'!C850)</x:f>
      </x:c>
      <x:c r="E1850" s="73" t="str">
        <x:f>IF('당기원장'!A850="","",'당기원장'!D850)</x:f>
      </x:c>
      <x:c r="F1850" s="73" t="str">
        <x:f>IF('당기원장'!A850="","",'당기원장'!E850)</x:f>
      </x:c>
      <x:c r="G1850" s="75" t="str">
        <x:f>IF('당기원장'!A850="","",'당기원장'!H850)</x:f>
      </x:c>
      <x:c r="H1850" s="73" t="str">
        <x:f>IF('당기원장'!A850="","",'당기원장'!I850)</x:f>
      </x:c>
      <x:c r="I1850" s="73" t="str">
        <x:f>IF('당기원장'!A850="","",'당기원장'!J850)</x:f>
      </x:c>
      <x:c r="J1850" s="73" t="str">
        <x:f>IF('당기원장'!A850="","",'당기원장'!K850)</x:f>
      </x:c>
      <x:c r="K1850" s="73" t="str">
        <x:f>IF(B1850="","",IF(COUNTIF($B$5:B1850,B1850)=1,COUNT($K$4:K1849)+1,""))</x:f>
      </x:c>
      <x:c r="L1850" s="85" t="str">
        <x:f>IF(B1850="","",IF(COUNTIFS('계정비교'!$A$5:$A$1004,B1850,'계정비교'!$H$5:$H$1004,"원인분석 대상")&gt;0,COUNT($L$4:L1849)+1,""))</x:f>
      </x:c>
    </x:row>
    <x:row r="1851">
      <x:c r="A1851" s="73" t="str">
        <x:f>IF('당기원장'!A851="","","당기")</x:f>
      </x:c>
      <x:c r="B1851" s="73" t="str">
        <x:f>IF('당기원장'!A851="","",'당기원장'!A851)</x:f>
      </x:c>
      <x:c r="C1851" s="73" t="str">
        <x:f>IF('당기원장'!A851="","",'당기원장'!B851)</x:f>
      </x:c>
      <x:c r="D1851" s="74" t="str">
        <x:f>IF('당기원장'!A851="","",'당기원장'!C851)</x:f>
      </x:c>
      <x:c r="E1851" s="73" t="str">
        <x:f>IF('당기원장'!A851="","",'당기원장'!D851)</x:f>
      </x:c>
      <x:c r="F1851" s="73" t="str">
        <x:f>IF('당기원장'!A851="","",'당기원장'!E851)</x:f>
      </x:c>
      <x:c r="G1851" s="75" t="str">
        <x:f>IF('당기원장'!A851="","",'당기원장'!H851)</x:f>
      </x:c>
      <x:c r="H1851" s="73" t="str">
        <x:f>IF('당기원장'!A851="","",'당기원장'!I851)</x:f>
      </x:c>
      <x:c r="I1851" s="73" t="str">
        <x:f>IF('당기원장'!A851="","",'당기원장'!J851)</x:f>
      </x:c>
      <x:c r="J1851" s="73" t="str">
        <x:f>IF('당기원장'!A851="","",'당기원장'!K851)</x:f>
      </x:c>
      <x:c r="K1851" s="73" t="str">
        <x:f>IF(B1851="","",IF(COUNTIF($B$5:B1851,B1851)=1,COUNT($K$4:K1850)+1,""))</x:f>
      </x:c>
      <x:c r="L1851" s="85" t="str">
        <x:f>IF(B1851="","",IF(COUNTIFS('계정비교'!$A$5:$A$1004,B1851,'계정비교'!$H$5:$H$1004,"원인분석 대상")&gt;0,COUNT($L$4:L1850)+1,""))</x:f>
      </x:c>
    </x:row>
    <x:row r="1852">
      <x:c r="A1852" s="73" t="str">
        <x:f>IF('당기원장'!A852="","","당기")</x:f>
      </x:c>
      <x:c r="B1852" s="73" t="str">
        <x:f>IF('당기원장'!A852="","",'당기원장'!A852)</x:f>
      </x:c>
      <x:c r="C1852" s="73" t="str">
        <x:f>IF('당기원장'!A852="","",'당기원장'!B852)</x:f>
      </x:c>
      <x:c r="D1852" s="74" t="str">
        <x:f>IF('당기원장'!A852="","",'당기원장'!C852)</x:f>
      </x:c>
      <x:c r="E1852" s="73" t="str">
        <x:f>IF('당기원장'!A852="","",'당기원장'!D852)</x:f>
      </x:c>
      <x:c r="F1852" s="73" t="str">
        <x:f>IF('당기원장'!A852="","",'당기원장'!E852)</x:f>
      </x:c>
      <x:c r="G1852" s="75" t="str">
        <x:f>IF('당기원장'!A852="","",'당기원장'!H852)</x:f>
      </x:c>
      <x:c r="H1852" s="73" t="str">
        <x:f>IF('당기원장'!A852="","",'당기원장'!I852)</x:f>
      </x:c>
      <x:c r="I1852" s="73" t="str">
        <x:f>IF('당기원장'!A852="","",'당기원장'!J852)</x:f>
      </x:c>
      <x:c r="J1852" s="73" t="str">
        <x:f>IF('당기원장'!A852="","",'당기원장'!K852)</x:f>
      </x:c>
      <x:c r="K1852" s="73" t="str">
        <x:f>IF(B1852="","",IF(COUNTIF($B$5:B1852,B1852)=1,COUNT($K$4:K1851)+1,""))</x:f>
      </x:c>
      <x:c r="L1852" s="85" t="str">
        <x:f>IF(B1852="","",IF(COUNTIFS('계정비교'!$A$5:$A$1004,B1852,'계정비교'!$H$5:$H$1004,"원인분석 대상")&gt;0,COUNT($L$4:L1851)+1,""))</x:f>
      </x:c>
    </x:row>
    <x:row r="1853">
      <x:c r="A1853" s="73" t="str">
        <x:f>IF('당기원장'!A853="","","당기")</x:f>
      </x:c>
      <x:c r="B1853" s="73" t="str">
        <x:f>IF('당기원장'!A853="","",'당기원장'!A853)</x:f>
      </x:c>
      <x:c r="C1853" s="73" t="str">
        <x:f>IF('당기원장'!A853="","",'당기원장'!B853)</x:f>
      </x:c>
      <x:c r="D1853" s="74" t="str">
        <x:f>IF('당기원장'!A853="","",'당기원장'!C853)</x:f>
      </x:c>
      <x:c r="E1853" s="73" t="str">
        <x:f>IF('당기원장'!A853="","",'당기원장'!D853)</x:f>
      </x:c>
      <x:c r="F1853" s="73" t="str">
        <x:f>IF('당기원장'!A853="","",'당기원장'!E853)</x:f>
      </x:c>
      <x:c r="G1853" s="75" t="str">
        <x:f>IF('당기원장'!A853="","",'당기원장'!H853)</x:f>
      </x:c>
      <x:c r="H1853" s="73" t="str">
        <x:f>IF('당기원장'!A853="","",'당기원장'!I853)</x:f>
      </x:c>
      <x:c r="I1853" s="73" t="str">
        <x:f>IF('당기원장'!A853="","",'당기원장'!J853)</x:f>
      </x:c>
      <x:c r="J1853" s="73" t="str">
        <x:f>IF('당기원장'!A853="","",'당기원장'!K853)</x:f>
      </x:c>
      <x:c r="K1853" s="73" t="str">
        <x:f>IF(B1853="","",IF(COUNTIF($B$5:B1853,B1853)=1,COUNT($K$4:K1852)+1,""))</x:f>
      </x:c>
      <x:c r="L1853" s="85" t="str">
        <x:f>IF(B1853="","",IF(COUNTIFS('계정비교'!$A$5:$A$1004,B1853,'계정비교'!$H$5:$H$1004,"원인분석 대상")&gt;0,COUNT($L$4:L1852)+1,""))</x:f>
      </x:c>
    </x:row>
    <x:row r="1854">
      <x:c r="A1854" s="73" t="str">
        <x:f>IF('당기원장'!A854="","","당기")</x:f>
      </x:c>
      <x:c r="B1854" s="73" t="str">
        <x:f>IF('당기원장'!A854="","",'당기원장'!A854)</x:f>
      </x:c>
      <x:c r="C1854" s="73" t="str">
        <x:f>IF('당기원장'!A854="","",'당기원장'!B854)</x:f>
      </x:c>
      <x:c r="D1854" s="74" t="str">
        <x:f>IF('당기원장'!A854="","",'당기원장'!C854)</x:f>
      </x:c>
      <x:c r="E1854" s="73" t="str">
        <x:f>IF('당기원장'!A854="","",'당기원장'!D854)</x:f>
      </x:c>
      <x:c r="F1854" s="73" t="str">
        <x:f>IF('당기원장'!A854="","",'당기원장'!E854)</x:f>
      </x:c>
      <x:c r="G1854" s="75" t="str">
        <x:f>IF('당기원장'!A854="","",'당기원장'!H854)</x:f>
      </x:c>
      <x:c r="H1854" s="73" t="str">
        <x:f>IF('당기원장'!A854="","",'당기원장'!I854)</x:f>
      </x:c>
      <x:c r="I1854" s="73" t="str">
        <x:f>IF('당기원장'!A854="","",'당기원장'!J854)</x:f>
      </x:c>
      <x:c r="J1854" s="73" t="str">
        <x:f>IF('당기원장'!A854="","",'당기원장'!K854)</x:f>
      </x:c>
      <x:c r="K1854" s="73" t="str">
        <x:f>IF(B1854="","",IF(COUNTIF($B$5:B1854,B1854)=1,COUNT($K$4:K1853)+1,""))</x:f>
      </x:c>
      <x:c r="L1854" s="85" t="str">
        <x:f>IF(B1854="","",IF(COUNTIFS('계정비교'!$A$5:$A$1004,B1854,'계정비교'!$H$5:$H$1004,"원인분석 대상")&gt;0,COUNT($L$4:L1853)+1,""))</x:f>
      </x:c>
    </x:row>
    <x:row r="1855">
      <x:c r="A1855" s="73" t="str">
        <x:f>IF('당기원장'!A855="","","당기")</x:f>
      </x:c>
      <x:c r="B1855" s="73" t="str">
        <x:f>IF('당기원장'!A855="","",'당기원장'!A855)</x:f>
      </x:c>
      <x:c r="C1855" s="73" t="str">
        <x:f>IF('당기원장'!A855="","",'당기원장'!B855)</x:f>
      </x:c>
      <x:c r="D1855" s="74" t="str">
        <x:f>IF('당기원장'!A855="","",'당기원장'!C855)</x:f>
      </x:c>
      <x:c r="E1855" s="73" t="str">
        <x:f>IF('당기원장'!A855="","",'당기원장'!D855)</x:f>
      </x:c>
      <x:c r="F1855" s="73" t="str">
        <x:f>IF('당기원장'!A855="","",'당기원장'!E855)</x:f>
      </x:c>
      <x:c r="G1855" s="75" t="str">
        <x:f>IF('당기원장'!A855="","",'당기원장'!H855)</x:f>
      </x:c>
      <x:c r="H1855" s="73" t="str">
        <x:f>IF('당기원장'!A855="","",'당기원장'!I855)</x:f>
      </x:c>
      <x:c r="I1855" s="73" t="str">
        <x:f>IF('당기원장'!A855="","",'당기원장'!J855)</x:f>
      </x:c>
      <x:c r="J1855" s="73" t="str">
        <x:f>IF('당기원장'!A855="","",'당기원장'!K855)</x:f>
      </x:c>
      <x:c r="K1855" s="73" t="str">
        <x:f>IF(B1855="","",IF(COUNTIF($B$5:B1855,B1855)=1,COUNT($K$4:K1854)+1,""))</x:f>
      </x:c>
      <x:c r="L1855" s="85" t="str">
        <x:f>IF(B1855="","",IF(COUNTIFS('계정비교'!$A$5:$A$1004,B1855,'계정비교'!$H$5:$H$1004,"원인분석 대상")&gt;0,COUNT($L$4:L1854)+1,""))</x:f>
      </x:c>
    </x:row>
    <x:row r="1856">
      <x:c r="A1856" s="73" t="str">
        <x:f>IF('당기원장'!A856="","","당기")</x:f>
      </x:c>
      <x:c r="B1856" s="73" t="str">
        <x:f>IF('당기원장'!A856="","",'당기원장'!A856)</x:f>
      </x:c>
      <x:c r="C1856" s="73" t="str">
        <x:f>IF('당기원장'!A856="","",'당기원장'!B856)</x:f>
      </x:c>
      <x:c r="D1856" s="74" t="str">
        <x:f>IF('당기원장'!A856="","",'당기원장'!C856)</x:f>
      </x:c>
      <x:c r="E1856" s="73" t="str">
        <x:f>IF('당기원장'!A856="","",'당기원장'!D856)</x:f>
      </x:c>
      <x:c r="F1856" s="73" t="str">
        <x:f>IF('당기원장'!A856="","",'당기원장'!E856)</x:f>
      </x:c>
      <x:c r="G1856" s="75" t="str">
        <x:f>IF('당기원장'!A856="","",'당기원장'!H856)</x:f>
      </x:c>
      <x:c r="H1856" s="73" t="str">
        <x:f>IF('당기원장'!A856="","",'당기원장'!I856)</x:f>
      </x:c>
      <x:c r="I1856" s="73" t="str">
        <x:f>IF('당기원장'!A856="","",'당기원장'!J856)</x:f>
      </x:c>
      <x:c r="J1856" s="73" t="str">
        <x:f>IF('당기원장'!A856="","",'당기원장'!K856)</x:f>
      </x:c>
      <x:c r="K1856" s="73" t="str">
        <x:f>IF(B1856="","",IF(COUNTIF($B$5:B1856,B1856)=1,COUNT($K$4:K1855)+1,""))</x:f>
      </x:c>
      <x:c r="L1856" s="85" t="str">
        <x:f>IF(B1856="","",IF(COUNTIFS('계정비교'!$A$5:$A$1004,B1856,'계정비교'!$H$5:$H$1004,"원인분석 대상")&gt;0,COUNT($L$4:L1855)+1,""))</x:f>
      </x:c>
    </x:row>
    <x:row r="1857">
      <x:c r="A1857" s="73" t="str">
        <x:f>IF('당기원장'!A857="","","당기")</x:f>
      </x:c>
      <x:c r="B1857" s="73" t="str">
        <x:f>IF('당기원장'!A857="","",'당기원장'!A857)</x:f>
      </x:c>
      <x:c r="C1857" s="73" t="str">
        <x:f>IF('당기원장'!A857="","",'당기원장'!B857)</x:f>
      </x:c>
      <x:c r="D1857" s="74" t="str">
        <x:f>IF('당기원장'!A857="","",'당기원장'!C857)</x:f>
      </x:c>
      <x:c r="E1857" s="73" t="str">
        <x:f>IF('당기원장'!A857="","",'당기원장'!D857)</x:f>
      </x:c>
      <x:c r="F1857" s="73" t="str">
        <x:f>IF('당기원장'!A857="","",'당기원장'!E857)</x:f>
      </x:c>
      <x:c r="G1857" s="75" t="str">
        <x:f>IF('당기원장'!A857="","",'당기원장'!H857)</x:f>
      </x:c>
      <x:c r="H1857" s="73" t="str">
        <x:f>IF('당기원장'!A857="","",'당기원장'!I857)</x:f>
      </x:c>
      <x:c r="I1857" s="73" t="str">
        <x:f>IF('당기원장'!A857="","",'당기원장'!J857)</x:f>
      </x:c>
      <x:c r="J1857" s="73" t="str">
        <x:f>IF('당기원장'!A857="","",'당기원장'!K857)</x:f>
      </x:c>
      <x:c r="K1857" s="73" t="str">
        <x:f>IF(B1857="","",IF(COUNTIF($B$5:B1857,B1857)=1,COUNT($K$4:K1856)+1,""))</x:f>
      </x:c>
      <x:c r="L1857" s="85" t="str">
        <x:f>IF(B1857="","",IF(COUNTIFS('계정비교'!$A$5:$A$1004,B1857,'계정비교'!$H$5:$H$1004,"원인분석 대상")&gt;0,COUNT($L$4:L1856)+1,""))</x:f>
      </x:c>
    </x:row>
    <x:row r="1858">
      <x:c r="A1858" s="73" t="str">
        <x:f>IF('당기원장'!A858="","","당기")</x:f>
      </x:c>
      <x:c r="B1858" s="73" t="str">
        <x:f>IF('당기원장'!A858="","",'당기원장'!A858)</x:f>
      </x:c>
      <x:c r="C1858" s="73" t="str">
        <x:f>IF('당기원장'!A858="","",'당기원장'!B858)</x:f>
      </x:c>
      <x:c r="D1858" s="74" t="str">
        <x:f>IF('당기원장'!A858="","",'당기원장'!C858)</x:f>
      </x:c>
      <x:c r="E1858" s="73" t="str">
        <x:f>IF('당기원장'!A858="","",'당기원장'!D858)</x:f>
      </x:c>
      <x:c r="F1858" s="73" t="str">
        <x:f>IF('당기원장'!A858="","",'당기원장'!E858)</x:f>
      </x:c>
      <x:c r="G1858" s="75" t="str">
        <x:f>IF('당기원장'!A858="","",'당기원장'!H858)</x:f>
      </x:c>
      <x:c r="H1858" s="73" t="str">
        <x:f>IF('당기원장'!A858="","",'당기원장'!I858)</x:f>
      </x:c>
      <x:c r="I1858" s="73" t="str">
        <x:f>IF('당기원장'!A858="","",'당기원장'!J858)</x:f>
      </x:c>
      <x:c r="J1858" s="73" t="str">
        <x:f>IF('당기원장'!A858="","",'당기원장'!K858)</x:f>
      </x:c>
      <x:c r="K1858" s="73" t="str">
        <x:f>IF(B1858="","",IF(COUNTIF($B$5:B1858,B1858)=1,COUNT($K$4:K1857)+1,""))</x:f>
      </x:c>
      <x:c r="L1858" s="85" t="str">
        <x:f>IF(B1858="","",IF(COUNTIFS('계정비교'!$A$5:$A$1004,B1858,'계정비교'!$H$5:$H$1004,"원인분석 대상")&gt;0,COUNT($L$4:L1857)+1,""))</x:f>
      </x:c>
    </x:row>
    <x:row r="1859">
      <x:c r="A1859" s="73" t="str">
        <x:f>IF('당기원장'!A859="","","당기")</x:f>
      </x:c>
      <x:c r="B1859" s="73" t="str">
        <x:f>IF('당기원장'!A859="","",'당기원장'!A859)</x:f>
      </x:c>
      <x:c r="C1859" s="73" t="str">
        <x:f>IF('당기원장'!A859="","",'당기원장'!B859)</x:f>
      </x:c>
      <x:c r="D1859" s="74" t="str">
        <x:f>IF('당기원장'!A859="","",'당기원장'!C859)</x:f>
      </x:c>
      <x:c r="E1859" s="73" t="str">
        <x:f>IF('당기원장'!A859="","",'당기원장'!D859)</x:f>
      </x:c>
      <x:c r="F1859" s="73" t="str">
        <x:f>IF('당기원장'!A859="","",'당기원장'!E859)</x:f>
      </x:c>
      <x:c r="G1859" s="75" t="str">
        <x:f>IF('당기원장'!A859="","",'당기원장'!H859)</x:f>
      </x:c>
      <x:c r="H1859" s="73" t="str">
        <x:f>IF('당기원장'!A859="","",'당기원장'!I859)</x:f>
      </x:c>
      <x:c r="I1859" s="73" t="str">
        <x:f>IF('당기원장'!A859="","",'당기원장'!J859)</x:f>
      </x:c>
      <x:c r="J1859" s="73" t="str">
        <x:f>IF('당기원장'!A859="","",'당기원장'!K859)</x:f>
      </x:c>
      <x:c r="K1859" s="73" t="str">
        <x:f>IF(B1859="","",IF(COUNTIF($B$5:B1859,B1859)=1,COUNT($K$4:K1858)+1,""))</x:f>
      </x:c>
      <x:c r="L1859" s="85" t="str">
        <x:f>IF(B1859="","",IF(COUNTIFS('계정비교'!$A$5:$A$1004,B1859,'계정비교'!$H$5:$H$1004,"원인분석 대상")&gt;0,COUNT($L$4:L1858)+1,""))</x:f>
      </x:c>
    </x:row>
    <x:row r="1860">
      <x:c r="A1860" s="73" t="str">
        <x:f>IF('당기원장'!A860="","","당기")</x:f>
      </x:c>
      <x:c r="B1860" s="73" t="str">
        <x:f>IF('당기원장'!A860="","",'당기원장'!A860)</x:f>
      </x:c>
      <x:c r="C1860" s="73" t="str">
        <x:f>IF('당기원장'!A860="","",'당기원장'!B860)</x:f>
      </x:c>
      <x:c r="D1860" s="74" t="str">
        <x:f>IF('당기원장'!A860="","",'당기원장'!C860)</x:f>
      </x:c>
      <x:c r="E1860" s="73" t="str">
        <x:f>IF('당기원장'!A860="","",'당기원장'!D860)</x:f>
      </x:c>
      <x:c r="F1860" s="73" t="str">
        <x:f>IF('당기원장'!A860="","",'당기원장'!E860)</x:f>
      </x:c>
      <x:c r="G1860" s="75" t="str">
        <x:f>IF('당기원장'!A860="","",'당기원장'!H860)</x:f>
      </x:c>
      <x:c r="H1860" s="73" t="str">
        <x:f>IF('당기원장'!A860="","",'당기원장'!I860)</x:f>
      </x:c>
      <x:c r="I1860" s="73" t="str">
        <x:f>IF('당기원장'!A860="","",'당기원장'!J860)</x:f>
      </x:c>
      <x:c r="J1860" s="73" t="str">
        <x:f>IF('당기원장'!A860="","",'당기원장'!K860)</x:f>
      </x:c>
      <x:c r="K1860" s="73" t="str">
        <x:f>IF(B1860="","",IF(COUNTIF($B$5:B1860,B1860)=1,COUNT($K$4:K1859)+1,""))</x:f>
      </x:c>
      <x:c r="L1860" s="85" t="str">
        <x:f>IF(B1860="","",IF(COUNTIFS('계정비교'!$A$5:$A$1004,B1860,'계정비교'!$H$5:$H$1004,"원인분석 대상")&gt;0,COUNT($L$4:L1859)+1,""))</x:f>
      </x:c>
    </x:row>
    <x:row r="1861">
      <x:c r="A1861" s="73" t="str">
        <x:f>IF('당기원장'!A861="","","당기")</x:f>
      </x:c>
      <x:c r="B1861" s="73" t="str">
        <x:f>IF('당기원장'!A861="","",'당기원장'!A861)</x:f>
      </x:c>
      <x:c r="C1861" s="73" t="str">
        <x:f>IF('당기원장'!A861="","",'당기원장'!B861)</x:f>
      </x:c>
      <x:c r="D1861" s="74" t="str">
        <x:f>IF('당기원장'!A861="","",'당기원장'!C861)</x:f>
      </x:c>
      <x:c r="E1861" s="73" t="str">
        <x:f>IF('당기원장'!A861="","",'당기원장'!D861)</x:f>
      </x:c>
      <x:c r="F1861" s="73" t="str">
        <x:f>IF('당기원장'!A861="","",'당기원장'!E861)</x:f>
      </x:c>
      <x:c r="G1861" s="75" t="str">
        <x:f>IF('당기원장'!A861="","",'당기원장'!H861)</x:f>
      </x:c>
      <x:c r="H1861" s="73" t="str">
        <x:f>IF('당기원장'!A861="","",'당기원장'!I861)</x:f>
      </x:c>
      <x:c r="I1861" s="73" t="str">
        <x:f>IF('당기원장'!A861="","",'당기원장'!J861)</x:f>
      </x:c>
      <x:c r="J1861" s="73" t="str">
        <x:f>IF('당기원장'!A861="","",'당기원장'!K861)</x:f>
      </x:c>
      <x:c r="K1861" s="73" t="str">
        <x:f>IF(B1861="","",IF(COUNTIF($B$5:B1861,B1861)=1,COUNT($K$4:K1860)+1,""))</x:f>
      </x:c>
      <x:c r="L1861" s="85" t="str">
        <x:f>IF(B1861="","",IF(COUNTIFS('계정비교'!$A$5:$A$1004,B1861,'계정비교'!$H$5:$H$1004,"원인분석 대상")&gt;0,COUNT($L$4:L1860)+1,""))</x:f>
      </x:c>
    </x:row>
    <x:row r="1862">
      <x:c r="A1862" s="73" t="str">
        <x:f>IF('당기원장'!A862="","","당기")</x:f>
      </x:c>
      <x:c r="B1862" s="73" t="str">
        <x:f>IF('당기원장'!A862="","",'당기원장'!A862)</x:f>
      </x:c>
      <x:c r="C1862" s="73" t="str">
        <x:f>IF('당기원장'!A862="","",'당기원장'!B862)</x:f>
      </x:c>
      <x:c r="D1862" s="74" t="str">
        <x:f>IF('당기원장'!A862="","",'당기원장'!C862)</x:f>
      </x:c>
      <x:c r="E1862" s="73" t="str">
        <x:f>IF('당기원장'!A862="","",'당기원장'!D862)</x:f>
      </x:c>
      <x:c r="F1862" s="73" t="str">
        <x:f>IF('당기원장'!A862="","",'당기원장'!E862)</x:f>
      </x:c>
      <x:c r="G1862" s="75" t="str">
        <x:f>IF('당기원장'!A862="","",'당기원장'!H862)</x:f>
      </x:c>
      <x:c r="H1862" s="73" t="str">
        <x:f>IF('당기원장'!A862="","",'당기원장'!I862)</x:f>
      </x:c>
      <x:c r="I1862" s="73" t="str">
        <x:f>IF('당기원장'!A862="","",'당기원장'!J862)</x:f>
      </x:c>
      <x:c r="J1862" s="73" t="str">
        <x:f>IF('당기원장'!A862="","",'당기원장'!K862)</x:f>
      </x:c>
      <x:c r="K1862" s="73" t="str">
        <x:f>IF(B1862="","",IF(COUNTIF($B$5:B1862,B1862)=1,COUNT($K$4:K1861)+1,""))</x:f>
      </x:c>
      <x:c r="L1862" s="85" t="str">
        <x:f>IF(B1862="","",IF(COUNTIFS('계정비교'!$A$5:$A$1004,B1862,'계정비교'!$H$5:$H$1004,"원인분석 대상")&gt;0,COUNT($L$4:L1861)+1,""))</x:f>
      </x:c>
    </x:row>
    <x:row r="1863">
      <x:c r="A1863" s="73" t="str">
        <x:f>IF('당기원장'!A863="","","당기")</x:f>
      </x:c>
      <x:c r="B1863" s="73" t="str">
        <x:f>IF('당기원장'!A863="","",'당기원장'!A863)</x:f>
      </x:c>
      <x:c r="C1863" s="73" t="str">
        <x:f>IF('당기원장'!A863="","",'당기원장'!B863)</x:f>
      </x:c>
      <x:c r="D1863" s="74" t="str">
        <x:f>IF('당기원장'!A863="","",'당기원장'!C863)</x:f>
      </x:c>
      <x:c r="E1863" s="73" t="str">
        <x:f>IF('당기원장'!A863="","",'당기원장'!D863)</x:f>
      </x:c>
      <x:c r="F1863" s="73" t="str">
        <x:f>IF('당기원장'!A863="","",'당기원장'!E863)</x:f>
      </x:c>
      <x:c r="G1863" s="75" t="str">
        <x:f>IF('당기원장'!A863="","",'당기원장'!H863)</x:f>
      </x:c>
      <x:c r="H1863" s="73" t="str">
        <x:f>IF('당기원장'!A863="","",'당기원장'!I863)</x:f>
      </x:c>
      <x:c r="I1863" s="73" t="str">
        <x:f>IF('당기원장'!A863="","",'당기원장'!J863)</x:f>
      </x:c>
      <x:c r="J1863" s="73" t="str">
        <x:f>IF('당기원장'!A863="","",'당기원장'!K863)</x:f>
      </x:c>
      <x:c r="K1863" s="73" t="str">
        <x:f>IF(B1863="","",IF(COUNTIF($B$5:B1863,B1863)=1,COUNT($K$4:K1862)+1,""))</x:f>
      </x:c>
      <x:c r="L1863" s="85" t="str">
        <x:f>IF(B1863="","",IF(COUNTIFS('계정비교'!$A$5:$A$1004,B1863,'계정비교'!$H$5:$H$1004,"원인분석 대상")&gt;0,COUNT($L$4:L1862)+1,""))</x:f>
      </x:c>
    </x:row>
    <x:row r="1864">
      <x:c r="A1864" s="73" t="str">
        <x:f>IF('당기원장'!A864="","","당기")</x:f>
      </x:c>
      <x:c r="B1864" s="73" t="str">
        <x:f>IF('당기원장'!A864="","",'당기원장'!A864)</x:f>
      </x:c>
      <x:c r="C1864" s="73" t="str">
        <x:f>IF('당기원장'!A864="","",'당기원장'!B864)</x:f>
      </x:c>
      <x:c r="D1864" s="74" t="str">
        <x:f>IF('당기원장'!A864="","",'당기원장'!C864)</x:f>
      </x:c>
      <x:c r="E1864" s="73" t="str">
        <x:f>IF('당기원장'!A864="","",'당기원장'!D864)</x:f>
      </x:c>
      <x:c r="F1864" s="73" t="str">
        <x:f>IF('당기원장'!A864="","",'당기원장'!E864)</x:f>
      </x:c>
      <x:c r="G1864" s="75" t="str">
        <x:f>IF('당기원장'!A864="","",'당기원장'!H864)</x:f>
      </x:c>
      <x:c r="H1864" s="73" t="str">
        <x:f>IF('당기원장'!A864="","",'당기원장'!I864)</x:f>
      </x:c>
      <x:c r="I1864" s="73" t="str">
        <x:f>IF('당기원장'!A864="","",'당기원장'!J864)</x:f>
      </x:c>
      <x:c r="J1864" s="73" t="str">
        <x:f>IF('당기원장'!A864="","",'당기원장'!K864)</x:f>
      </x:c>
      <x:c r="K1864" s="73" t="str">
        <x:f>IF(B1864="","",IF(COUNTIF($B$5:B1864,B1864)=1,COUNT($K$4:K1863)+1,""))</x:f>
      </x:c>
      <x:c r="L1864" s="85" t="str">
        <x:f>IF(B1864="","",IF(COUNTIFS('계정비교'!$A$5:$A$1004,B1864,'계정비교'!$H$5:$H$1004,"원인분석 대상")&gt;0,COUNT($L$4:L1863)+1,""))</x:f>
      </x:c>
    </x:row>
    <x:row r="1865">
      <x:c r="A1865" s="73" t="str">
        <x:f>IF('당기원장'!A865="","","당기")</x:f>
      </x:c>
      <x:c r="B1865" s="73" t="str">
        <x:f>IF('당기원장'!A865="","",'당기원장'!A865)</x:f>
      </x:c>
      <x:c r="C1865" s="73" t="str">
        <x:f>IF('당기원장'!A865="","",'당기원장'!B865)</x:f>
      </x:c>
      <x:c r="D1865" s="74" t="str">
        <x:f>IF('당기원장'!A865="","",'당기원장'!C865)</x:f>
      </x:c>
      <x:c r="E1865" s="73" t="str">
        <x:f>IF('당기원장'!A865="","",'당기원장'!D865)</x:f>
      </x:c>
      <x:c r="F1865" s="73" t="str">
        <x:f>IF('당기원장'!A865="","",'당기원장'!E865)</x:f>
      </x:c>
      <x:c r="G1865" s="75" t="str">
        <x:f>IF('당기원장'!A865="","",'당기원장'!H865)</x:f>
      </x:c>
      <x:c r="H1865" s="73" t="str">
        <x:f>IF('당기원장'!A865="","",'당기원장'!I865)</x:f>
      </x:c>
      <x:c r="I1865" s="73" t="str">
        <x:f>IF('당기원장'!A865="","",'당기원장'!J865)</x:f>
      </x:c>
      <x:c r="J1865" s="73" t="str">
        <x:f>IF('당기원장'!A865="","",'당기원장'!K865)</x:f>
      </x:c>
      <x:c r="K1865" s="73" t="str">
        <x:f>IF(B1865="","",IF(COUNTIF($B$5:B1865,B1865)=1,COUNT($K$4:K1864)+1,""))</x:f>
      </x:c>
      <x:c r="L1865" s="85" t="str">
        <x:f>IF(B1865="","",IF(COUNTIFS('계정비교'!$A$5:$A$1004,B1865,'계정비교'!$H$5:$H$1004,"원인분석 대상")&gt;0,COUNT($L$4:L1864)+1,""))</x:f>
      </x:c>
    </x:row>
    <x:row r="1866">
      <x:c r="A1866" s="73" t="str">
        <x:f>IF('당기원장'!A866="","","당기")</x:f>
      </x:c>
      <x:c r="B1866" s="73" t="str">
        <x:f>IF('당기원장'!A866="","",'당기원장'!A866)</x:f>
      </x:c>
      <x:c r="C1866" s="73" t="str">
        <x:f>IF('당기원장'!A866="","",'당기원장'!B866)</x:f>
      </x:c>
      <x:c r="D1866" s="74" t="str">
        <x:f>IF('당기원장'!A866="","",'당기원장'!C866)</x:f>
      </x:c>
      <x:c r="E1866" s="73" t="str">
        <x:f>IF('당기원장'!A866="","",'당기원장'!D866)</x:f>
      </x:c>
      <x:c r="F1866" s="73" t="str">
        <x:f>IF('당기원장'!A866="","",'당기원장'!E866)</x:f>
      </x:c>
      <x:c r="G1866" s="75" t="str">
        <x:f>IF('당기원장'!A866="","",'당기원장'!H866)</x:f>
      </x:c>
      <x:c r="H1866" s="73" t="str">
        <x:f>IF('당기원장'!A866="","",'당기원장'!I866)</x:f>
      </x:c>
      <x:c r="I1866" s="73" t="str">
        <x:f>IF('당기원장'!A866="","",'당기원장'!J866)</x:f>
      </x:c>
      <x:c r="J1866" s="73" t="str">
        <x:f>IF('당기원장'!A866="","",'당기원장'!K866)</x:f>
      </x:c>
      <x:c r="K1866" s="73" t="str">
        <x:f>IF(B1866="","",IF(COUNTIF($B$5:B1866,B1866)=1,COUNT($K$4:K1865)+1,""))</x:f>
      </x:c>
      <x:c r="L1866" s="85" t="str">
        <x:f>IF(B1866="","",IF(COUNTIFS('계정비교'!$A$5:$A$1004,B1866,'계정비교'!$H$5:$H$1004,"원인분석 대상")&gt;0,COUNT($L$4:L1865)+1,""))</x:f>
      </x:c>
    </x:row>
    <x:row r="1867">
      <x:c r="A1867" s="73" t="str">
        <x:f>IF('당기원장'!A867="","","당기")</x:f>
      </x:c>
      <x:c r="B1867" s="73" t="str">
        <x:f>IF('당기원장'!A867="","",'당기원장'!A867)</x:f>
      </x:c>
      <x:c r="C1867" s="73" t="str">
        <x:f>IF('당기원장'!A867="","",'당기원장'!B867)</x:f>
      </x:c>
      <x:c r="D1867" s="74" t="str">
        <x:f>IF('당기원장'!A867="","",'당기원장'!C867)</x:f>
      </x:c>
      <x:c r="E1867" s="73" t="str">
        <x:f>IF('당기원장'!A867="","",'당기원장'!D867)</x:f>
      </x:c>
      <x:c r="F1867" s="73" t="str">
        <x:f>IF('당기원장'!A867="","",'당기원장'!E867)</x:f>
      </x:c>
      <x:c r="G1867" s="75" t="str">
        <x:f>IF('당기원장'!A867="","",'당기원장'!H867)</x:f>
      </x:c>
      <x:c r="H1867" s="73" t="str">
        <x:f>IF('당기원장'!A867="","",'당기원장'!I867)</x:f>
      </x:c>
      <x:c r="I1867" s="73" t="str">
        <x:f>IF('당기원장'!A867="","",'당기원장'!J867)</x:f>
      </x:c>
      <x:c r="J1867" s="73" t="str">
        <x:f>IF('당기원장'!A867="","",'당기원장'!K867)</x:f>
      </x:c>
      <x:c r="K1867" s="73" t="str">
        <x:f>IF(B1867="","",IF(COUNTIF($B$5:B1867,B1867)=1,COUNT($K$4:K1866)+1,""))</x:f>
      </x:c>
      <x:c r="L1867" s="85" t="str">
        <x:f>IF(B1867="","",IF(COUNTIFS('계정비교'!$A$5:$A$1004,B1867,'계정비교'!$H$5:$H$1004,"원인분석 대상")&gt;0,COUNT($L$4:L1866)+1,""))</x:f>
      </x:c>
    </x:row>
    <x:row r="1868">
      <x:c r="A1868" s="73" t="str">
        <x:f>IF('당기원장'!A868="","","당기")</x:f>
      </x:c>
      <x:c r="B1868" s="73" t="str">
        <x:f>IF('당기원장'!A868="","",'당기원장'!A868)</x:f>
      </x:c>
      <x:c r="C1868" s="73" t="str">
        <x:f>IF('당기원장'!A868="","",'당기원장'!B868)</x:f>
      </x:c>
      <x:c r="D1868" s="74" t="str">
        <x:f>IF('당기원장'!A868="","",'당기원장'!C868)</x:f>
      </x:c>
      <x:c r="E1868" s="73" t="str">
        <x:f>IF('당기원장'!A868="","",'당기원장'!D868)</x:f>
      </x:c>
      <x:c r="F1868" s="73" t="str">
        <x:f>IF('당기원장'!A868="","",'당기원장'!E868)</x:f>
      </x:c>
      <x:c r="G1868" s="75" t="str">
        <x:f>IF('당기원장'!A868="","",'당기원장'!H868)</x:f>
      </x:c>
      <x:c r="H1868" s="73" t="str">
        <x:f>IF('당기원장'!A868="","",'당기원장'!I868)</x:f>
      </x:c>
      <x:c r="I1868" s="73" t="str">
        <x:f>IF('당기원장'!A868="","",'당기원장'!J868)</x:f>
      </x:c>
      <x:c r="J1868" s="73" t="str">
        <x:f>IF('당기원장'!A868="","",'당기원장'!K868)</x:f>
      </x:c>
      <x:c r="K1868" s="73" t="str">
        <x:f>IF(B1868="","",IF(COUNTIF($B$5:B1868,B1868)=1,COUNT($K$4:K1867)+1,""))</x:f>
      </x:c>
      <x:c r="L1868" s="85" t="str">
        <x:f>IF(B1868="","",IF(COUNTIFS('계정비교'!$A$5:$A$1004,B1868,'계정비교'!$H$5:$H$1004,"원인분석 대상")&gt;0,COUNT($L$4:L1867)+1,""))</x:f>
      </x:c>
    </x:row>
    <x:row r="1869">
      <x:c r="A1869" s="73" t="str">
        <x:f>IF('당기원장'!A869="","","당기")</x:f>
      </x:c>
      <x:c r="B1869" s="73" t="str">
        <x:f>IF('당기원장'!A869="","",'당기원장'!A869)</x:f>
      </x:c>
      <x:c r="C1869" s="73" t="str">
        <x:f>IF('당기원장'!A869="","",'당기원장'!B869)</x:f>
      </x:c>
      <x:c r="D1869" s="74" t="str">
        <x:f>IF('당기원장'!A869="","",'당기원장'!C869)</x:f>
      </x:c>
      <x:c r="E1869" s="73" t="str">
        <x:f>IF('당기원장'!A869="","",'당기원장'!D869)</x:f>
      </x:c>
      <x:c r="F1869" s="73" t="str">
        <x:f>IF('당기원장'!A869="","",'당기원장'!E869)</x:f>
      </x:c>
      <x:c r="G1869" s="75" t="str">
        <x:f>IF('당기원장'!A869="","",'당기원장'!H869)</x:f>
      </x:c>
      <x:c r="H1869" s="73" t="str">
        <x:f>IF('당기원장'!A869="","",'당기원장'!I869)</x:f>
      </x:c>
      <x:c r="I1869" s="73" t="str">
        <x:f>IF('당기원장'!A869="","",'당기원장'!J869)</x:f>
      </x:c>
      <x:c r="J1869" s="73" t="str">
        <x:f>IF('당기원장'!A869="","",'당기원장'!K869)</x:f>
      </x:c>
      <x:c r="K1869" s="73" t="str">
        <x:f>IF(B1869="","",IF(COUNTIF($B$5:B1869,B1869)=1,COUNT($K$4:K1868)+1,""))</x:f>
      </x:c>
      <x:c r="L1869" s="85" t="str">
        <x:f>IF(B1869="","",IF(COUNTIFS('계정비교'!$A$5:$A$1004,B1869,'계정비교'!$H$5:$H$1004,"원인분석 대상")&gt;0,COUNT($L$4:L1868)+1,""))</x:f>
      </x:c>
    </x:row>
    <x:row r="1870">
      <x:c r="A1870" s="73" t="str">
        <x:f>IF('당기원장'!A870="","","당기")</x:f>
      </x:c>
      <x:c r="B1870" s="73" t="str">
        <x:f>IF('당기원장'!A870="","",'당기원장'!A870)</x:f>
      </x:c>
      <x:c r="C1870" s="73" t="str">
        <x:f>IF('당기원장'!A870="","",'당기원장'!B870)</x:f>
      </x:c>
      <x:c r="D1870" s="74" t="str">
        <x:f>IF('당기원장'!A870="","",'당기원장'!C870)</x:f>
      </x:c>
      <x:c r="E1870" s="73" t="str">
        <x:f>IF('당기원장'!A870="","",'당기원장'!D870)</x:f>
      </x:c>
      <x:c r="F1870" s="73" t="str">
        <x:f>IF('당기원장'!A870="","",'당기원장'!E870)</x:f>
      </x:c>
      <x:c r="G1870" s="75" t="str">
        <x:f>IF('당기원장'!A870="","",'당기원장'!H870)</x:f>
      </x:c>
      <x:c r="H1870" s="73" t="str">
        <x:f>IF('당기원장'!A870="","",'당기원장'!I870)</x:f>
      </x:c>
      <x:c r="I1870" s="73" t="str">
        <x:f>IF('당기원장'!A870="","",'당기원장'!J870)</x:f>
      </x:c>
      <x:c r="J1870" s="73" t="str">
        <x:f>IF('당기원장'!A870="","",'당기원장'!K870)</x:f>
      </x:c>
      <x:c r="K1870" s="73" t="str">
        <x:f>IF(B1870="","",IF(COUNTIF($B$5:B1870,B1870)=1,COUNT($K$4:K1869)+1,""))</x:f>
      </x:c>
      <x:c r="L1870" s="85" t="str">
        <x:f>IF(B1870="","",IF(COUNTIFS('계정비교'!$A$5:$A$1004,B1870,'계정비교'!$H$5:$H$1004,"원인분석 대상")&gt;0,COUNT($L$4:L1869)+1,""))</x:f>
      </x:c>
    </x:row>
    <x:row r="1871">
      <x:c r="A1871" s="73" t="str">
        <x:f>IF('당기원장'!A871="","","당기")</x:f>
      </x:c>
      <x:c r="B1871" s="73" t="str">
        <x:f>IF('당기원장'!A871="","",'당기원장'!A871)</x:f>
      </x:c>
      <x:c r="C1871" s="73" t="str">
        <x:f>IF('당기원장'!A871="","",'당기원장'!B871)</x:f>
      </x:c>
      <x:c r="D1871" s="74" t="str">
        <x:f>IF('당기원장'!A871="","",'당기원장'!C871)</x:f>
      </x:c>
      <x:c r="E1871" s="73" t="str">
        <x:f>IF('당기원장'!A871="","",'당기원장'!D871)</x:f>
      </x:c>
      <x:c r="F1871" s="73" t="str">
        <x:f>IF('당기원장'!A871="","",'당기원장'!E871)</x:f>
      </x:c>
      <x:c r="G1871" s="75" t="str">
        <x:f>IF('당기원장'!A871="","",'당기원장'!H871)</x:f>
      </x:c>
      <x:c r="H1871" s="73" t="str">
        <x:f>IF('당기원장'!A871="","",'당기원장'!I871)</x:f>
      </x:c>
      <x:c r="I1871" s="73" t="str">
        <x:f>IF('당기원장'!A871="","",'당기원장'!J871)</x:f>
      </x:c>
      <x:c r="J1871" s="73" t="str">
        <x:f>IF('당기원장'!A871="","",'당기원장'!K871)</x:f>
      </x:c>
      <x:c r="K1871" s="73" t="str">
        <x:f>IF(B1871="","",IF(COUNTIF($B$5:B1871,B1871)=1,COUNT($K$4:K1870)+1,""))</x:f>
      </x:c>
      <x:c r="L1871" s="85" t="str">
        <x:f>IF(B1871="","",IF(COUNTIFS('계정비교'!$A$5:$A$1004,B1871,'계정비교'!$H$5:$H$1004,"원인분석 대상")&gt;0,COUNT($L$4:L1870)+1,""))</x:f>
      </x:c>
    </x:row>
    <x:row r="1872">
      <x:c r="A1872" s="73" t="str">
        <x:f>IF('당기원장'!A872="","","당기")</x:f>
      </x:c>
      <x:c r="B1872" s="73" t="str">
        <x:f>IF('당기원장'!A872="","",'당기원장'!A872)</x:f>
      </x:c>
      <x:c r="C1872" s="73" t="str">
        <x:f>IF('당기원장'!A872="","",'당기원장'!B872)</x:f>
      </x:c>
      <x:c r="D1872" s="74" t="str">
        <x:f>IF('당기원장'!A872="","",'당기원장'!C872)</x:f>
      </x:c>
      <x:c r="E1872" s="73" t="str">
        <x:f>IF('당기원장'!A872="","",'당기원장'!D872)</x:f>
      </x:c>
      <x:c r="F1872" s="73" t="str">
        <x:f>IF('당기원장'!A872="","",'당기원장'!E872)</x:f>
      </x:c>
      <x:c r="G1872" s="75" t="str">
        <x:f>IF('당기원장'!A872="","",'당기원장'!H872)</x:f>
      </x:c>
      <x:c r="H1872" s="73" t="str">
        <x:f>IF('당기원장'!A872="","",'당기원장'!I872)</x:f>
      </x:c>
      <x:c r="I1872" s="73" t="str">
        <x:f>IF('당기원장'!A872="","",'당기원장'!J872)</x:f>
      </x:c>
      <x:c r="J1872" s="73" t="str">
        <x:f>IF('당기원장'!A872="","",'당기원장'!K872)</x:f>
      </x:c>
      <x:c r="K1872" s="73" t="str">
        <x:f>IF(B1872="","",IF(COUNTIF($B$5:B1872,B1872)=1,COUNT($K$4:K1871)+1,""))</x:f>
      </x:c>
      <x:c r="L1872" s="85" t="str">
        <x:f>IF(B1872="","",IF(COUNTIFS('계정비교'!$A$5:$A$1004,B1872,'계정비교'!$H$5:$H$1004,"원인분석 대상")&gt;0,COUNT($L$4:L1871)+1,""))</x:f>
      </x:c>
    </x:row>
    <x:row r="1873">
      <x:c r="A1873" s="73" t="str">
        <x:f>IF('당기원장'!A873="","","당기")</x:f>
      </x:c>
      <x:c r="B1873" s="73" t="str">
        <x:f>IF('당기원장'!A873="","",'당기원장'!A873)</x:f>
      </x:c>
      <x:c r="C1873" s="73" t="str">
        <x:f>IF('당기원장'!A873="","",'당기원장'!B873)</x:f>
      </x:c>
      <x:c r="D1873" s="74" t="str">
        <x:f>IF('당기원장'!A873="","",'당기원장'!C873)</x:f>
      </x:c>
      <x:c r="E1873" s="73" t="str">
        <x:f>IF('당기원장'!A873="","",'당기원장'!D873)</x:f>
      </x:c>
      <x:c r="F1873" s="73" t="str">
        <x:f>IF('당기원장'!A873="","",'당기원장'!E873)</x:f>
      </x:c>
      <x:c r="G1873" s="75" t="str">
        <x:f>IF('당기원장'!A873="","",'당기원장'!H873)</x:f>
      </x:c>
      <x:c r="H1873" s="73" t="str">
        <x:f>IF('당기원장'!A873="","",'당기원장'!I873)</x:f>
      </x:c>
      <x:c r="I1873" s="73" t="str">
        <x:f>IF('당기원장'!A873="","",'당기원장'!J873)</x:f>
      </x:c>
      <x:c r="J1873" s="73" t="str">
        <x:f>IF('당기원장'!A873="","",'당기원장'!K873)</x:f>
      </x:c>
      <x:c r="K1873" s="73" t="str">
        <x:f>IF(B1873="","",IF(COUNTIF($B$5:B1873,B1873)=1,COUNT($K$4:K1872)+1,""))</x:f>
      </x:c>
      <x:c r="L1873" s="85" t="str">
        <x:f>IF(B1873="","",IF(COUNTIFS('계정비교'!$A$5:$A$1004,B1873,'계정비교'!$H$5:$H$1004,"원인분석 대상")&gt;0,COUNT($L$4:L1872)+1,""))</x:f>
      </x:c>
    </x:row>
    <x:row r="1874">
      <x:c r="A1874" s="73" t="str">
        <x:f>IF('당기원장'!A874="","","당기")</x:f>
      </x:c>
      <x:c r="B1874" s="73" t="str">
        <x:f>IF('당기원장'!A874="","",'당기원장'!A874)</x:f>
      </x:c>
      <x:c r="C1874" s="73" t="str">
        <x:f>IF('당기원장'!A874="","",'당기원장'!B874)</x:f>
      </x:c>
      <x:c r="D1874" s="74" t="str">
        <x:f>IF('당기원장'!A874="","",'당기원장'!C874)</x:f>
      </x:c>
      <x:c r="E1874" s="73" t="str">
        <x:f>IF('당기원장'!A874="","",'당기원장'!D874)</x:f>
      </x:c>
      <x:c r="F1874" s="73" t="str">
        <x:f>IF('당기원장'!A874="","",'당기원장'!E874)</x:f>
      </x:c>
      <x:c r="G1874" s="75" t="str">
        <x:f>IF('당기원장'!A874="","",'당기원장'!H874)</x:f>
      </x:c>
      <x:c r="H1874" s="73" t="str">
        <x:f>IF('당기원장'!A874="","",'당기원장'!I874)</x:f>
      </x:c>
      <x:c r="I1874" s="73" t="str">
        <x:f>IF('당기원장'!A874="","",'당기원장'!J874)</x:f>
      </x:c>
      <x:c r="J1874" s="73" t="str">
        <x:f>IF('당기원장'!A874="","",'당기원장'!K874)</x:f>
      </x:c>
      <x:c r="K1874" s="73" t="str">
        <x:f>IF(B1874="","",IF(COUNTIF($B$5:B1874,B1874)=1,COUNT($K$4:K1873)+1,""))</x:f>
      </x:c>
      <x:c r="L1874" s="85" t="str">
        <x:f>IF(B1874="","",IF(COUNTIFS('계정비교'!$A$5:$A$1004,B1874,'계정비교'!$H$5:$H$1004,"원인분석 대상")&gt;0,COUNT($L$4:L1873)+1,""))</x:f>
      </x:c>
    </x:row>
    <x:row r="1875">
      <x:c r="A1875" s="73" t="str">
        <x:f>IF('당기원장'!A875="","","당기")</x:f>
      </x:c>
      <x:c r="B1875" s="73" t="str">
        <x:f>IF('당기원장'!A875="","",'당기원장'!A875)</x:f>
      </x:c>
      <x:c r="C1875" s="73" t="str">
        <x:f>IF('당기원장'!A875="","",'당기원장'!B875)</x:f>
      </x:c>
      <x:c r="D1875" s="74" t="str">
        <x:f>IF('당기원장'!A875="","",'당기원장'!C875)</x:f>
      </x:c>
      <x:c r="E1875" s="73" t="str">
        <x:f>IF('당기원장'!A875="","",'당기원장'!D875)</x:f>
      </x:c>
      <x:c r="F1875" s="73" t="str">
        <x:f>IF('당기원장'!A875="","",'당기원장'!E875)</x:f>
      </x:c>
      <x:c r="G1875" s="75" t="str">
        <x:f>IF('당기원장'!A875="","",'당기원장'!H875)</x:f>
      </x:c>
      <x:c r="H1875" s="73" t="str">
        <x:f>IF('당기원장'!A875="","",'당기원장'!I875)</x:f>
      </x:c>
      <x:c r="I1875" s="73" t="str">
        <x:f>IF('당기원장'!A875="","",'당기원장'!J875)</x:f>
      </x:c>
      <x:c r="J1875" s="73" t="str">
        <x:f>IF('당기원장'!A875="","",'당기원장'!K875)</x:f>
      </x:c>
      <x:c r="K1875" s="73" t="str">
        <x:f>IF(B1875="","",IF(COUNTIF($B$5:B1875,B1875)=1,COUNT($K$4:K1874)+1,""))</x:f>
      </x:c>
      <x:c r="L1875" s="85" t="str">
        <x:f>IF(B1875="","",IF(COUNTIFS('계정비교'!$A$5:$A$1004,B1875,'계정비교'!$H$5:$H$1004,"원인분석 대상")&gt;0,COUNT($L$4:L1874)+1,""))</x:f>
      </x:c>
    </x:row>
    <x:row r="1876">
      <x:c r="A1876" s="73" t="str">
        <x:f>IF('당기원장'!A876="","","당기")</x:f>
      </x:c>
      <x:c r="B1876" s="73" t="str">
        <x:f>IF('당기원장'!A876="","",'당기원장'!A876)</x:f>
      </x:c>
      <x:c r="C1876" s="73" t="str">
        <x:f>IF('당기원장'!A876="","",'당기원장'!B876)</x:f>
      </x:c>
      <x:c r="D1876" s="74" t="str">
        <x:f>IF('당기원장'!A876="","",'당기원장'!C876)</x:f>
      </x:c>
      <x:c r="E1876" s="73" t="str">
        <x:f>IF('당기원장'!A876="","",'당기원장'!D876)</x:f>
      </x:c>
      <x:c r="F1876" s="73" t="str">
        <x:f>IF('당기원장'!A876="","",'당기원장'!E876)</x:f>
      </x:c>
      <x:c r="G1876" s="75" t="str">
        <x:f>IF('당기원장'!A876="","",'당기원장'!H876)</x:f>
      </x:c>
      <x:c r="H1876" s="73" t="str">
        <x:f>IF('당기원장'!A876="","",'당기원장'!I876)</x:f>
      </x:c>
      <x:c r="I1876" s="73" t="str">
        <x:f>IF('당기원장'!A876="","",'당기원장'!J876)</x:f>
      </x:c>
      <x:c r="J1876" s="73" t="str">
        <x:f>IF('당기원장'!A876="","",'당기원장'!K876)</x:f>
      </x:c>
      <x:c r="K1876" s="73" t="str">
        <x:f>IF(B1876="","",IF(COUNTIF($B$5:B1876,B1876)=1,COUNT($K$4:K1875)+1,""))</x:f>
      </x:c>
      <x:c r="L1876" s="85" t="str">
        <x:f>IF(B1876="","",IF(COUNTIFS('계정비교'!$A$5:$A$1004,B1876,'계정비교'!$H$5:$H$1004,"원인분석 대상")&gt;0,COUNT($L$4:L1875)+1,""))</x:f>
      </x:c>
    </x:row>
    <x:row r="1877">
      <x:c r="A1877" s="73" t="str">
        <x:f>IF('당기원장'!A877="","","당기")</x:f>
      </x:c>
      <x:c r="B1877" s="73" t="str">
        <x:f>IF('당기원장'!A877="","",'당기원장'!A877)</x:f>
      </x:c>
      <x:c r="C1877" s="73" t="str">
        <x:f>IF('당기원장'!A877="","",'당기원장'!B877)</x:f>
      </x:c>
      <x:c r="D1877" s="74" t="str">
        <x:f>IF('당기원장'!A877="","",'당기원장'!C877)</x:f>
      </x:c>
      <x:c r="E1877" s="73" t="str">
        <x:f>IF('당기원장'!A877="","",'당기원장'!D877)</x:f>
      </x:c>
      <x:c r="F1877" s="73" t="str">
        <x:f>IF('당기원장'!A877="","",'당기원장'!E877)</x:f>
      </x:c>
      <x:c r="G1877" s="75" t="str">
        <x:f>IF('당기원장'!A877="","",'당기원장'!H877)</x:f>
      </x:c>
      <x:c r="H1877" s="73" t="str">
        <x:f>IF('당기원장'!A877="","",'당기원장'!I877)</x:f>
      </x:c>
      <x:c r="I1877" s="73" t="str">
        <x:f>IF('당기원장'!A877="","",'당기원장'!J877)</x:f>
      </x:c>
      <x:c r="J1877" s="73" t="str">
        <x:f>IF('당기원장'!A877="","",'당기원장'!K877)</x:f>
      </x:c>
      <x:c r="K1877" s="73" t="str">
        <x:f>IF(B1877="","",IF(COUNTIF($B$5:B1877,B1877)=1,COUNT($K$4:K1876)+1,""))</x:f>
      </x:c>
      <x:c r="L1877" s="85" t="str">
        <x:f>IF(B1877="","",IF(COUNTIFS('계정비교'!$A$5:$A$1004,B1877,'계정비교'!$H$5:$H$1004,"원인분석 대상")&gt;0,COUNT($L$4:L1876)+1,""))</x:f>
      </x:c>
    </x:row>
    <x:row r="1878">
      <x:c r="A1878" s="73" t="str">
        <x:f>IF('당기원장'!A878="","","당기")</x:f>
      </x:c>
      <x:c r="B1878" s="73" t="str">
        <x:f>IF('당기원장'!A878="","",'당기원장'!A878)</x:f>
      </x:c>
      <x:c r="C1878" s="73" t="str">
        <x:f>IF('당기원장'!A878="","",'당기원장'!B878)</x:f>
      </x:c>
      <x:c r="D1878" s="74" t="str">
        <x:f>IF('당기원장'!A878="","",'당기원장'!C878)</x:f>
      </x:c>
      <x:c r="E1878" s="73" t="str">
        <x:f>IF('당기원장'!A878="","",'당기원장'!D878)</x:f>
      </x:c>
      <x:c r="F1878" s="73" t="str">
        <x:f>IF('당기원장'!A878="","",'당기원장'!E878)</x:f>
      </x:c>
      <x:c r="G1878" s="75" t="str">
        <x:f>IF('당기원장'!A878="","",'당기원장'!H878)</x:f>
      </x:c>
      <x:c r="H1878" s="73" t="str">
        <x:f>IF('당기원장'!A878="","",'당기원장'!I878)</x:f>
      </x:c>
      <x:c r="I1878" s="73" t="str">
        <x:f>IF('당기원장'!A878="","",'당기원장'!J878)</x:f>
      </x:c>
      <x:c r="J1878" s="73" t="str">
        <x:f>IF('당기원장'!A878="","",'당기원장'!K878)</x:f>
      </x:c>
      <x:c r="K1878" s="73" t="str">
        <x:f>IF(B1878="","",IF(COUNTIF($B$5:B1878,B1878)=1,COUNT($K$4:K1877)+1,""))</x:f>
      </x:c>
      <x:c r="L1878" s="85" t="str">
        <x:f>IF(B1878="","",IF(COUNTIFS('계정비교'!$A$5:$A$1004,B1878,'계정비교'!$H$5:$H$1004,"원인분석 대상")&gt;0,COUNT($L$4:L1877)+1,""))</x:f>
      </x:c>
    </x:row>
    <x:row r="1879">
      <x:c r="A1879" s="73" t="str">
        <x:f>IF('당기원장'!A879="","","당기")</x:f>
      </x:c>
      <x:c r="B1879" s="73" t="str">
        <x:f>IF('당기원장'!A879="","",'당기원장'!A879)</x:f>
      </x:c>
      <x:c r="C1879" s="73" t="str">
        <x:f>IF('당기원장'!A879="","",'당기원장'!B879)</x:f>
      </x:c>
      <x:c r="D1879" s="74" t="str">
        <x:f>IF('당기원장'!A879="","",'당기원장'!C879)</x:f>
      </x:c>
      <x:c r="E1879" s="73" t="str">
        <x:f>IF('당기원장'!A879="","",'당기원장'!D879)</x:f>
      </x:c>
      <x:c r="F1879" s="73" t="str">
        <x:f>IF('당기원장'!A879="","",'당기원장'!E879)</x:f>
      </x:c>
      <x:c r="G1879" s="75" t="str">
        <x:f>IF('당기원장'!A879="","",'당기원장'!H879)</x:f>
      </x:c>
      <x:c r="H1879" s="73" t="str">
        <x:f>IF('당기원장'!A879="","",'당기원장'!I879)</x:f>
      </x:c>
      <x:c r="I1879" s="73" t="str">
        <x:f>IF('당기원장'!A879="","",'당기원장'!J879)</x:f>
      </x:c>
      <x:c r="J1879" s="73" t="str">
        <x:f>IF('당기원장'!A879="","",'당기원장'!K879)</x:f>
      </x:c>
      <x:c r="K1879" s="73" t="str">
        <x:f>IF(B1879="","",IF(COUNTIF($B$5:B1879,B1879)=1,COUNT($K$4:K1878)+1,""))</x:f>
      </x:c>
      <x:c r="L1879" s="85" t="str">
        <x:f>IF(B1879="","",IF(COUNTIFS('계정비교'!$A$5:$A$1004,B1879,'계정비교'!$H$5:$H$1004,"원인분석 대상")&gt;0,COUNT($L$4:L1878)+1,""))</x:f>
      </x:c>
    </x:row>
    <x:row r="1880">
      <x:c r="A1880" s="73" t="str">
        <x:f>IF('당기원장'!A880="","","당기")</x:f>
      </x:c>
      <x:c r="B1880" s="73" t="str">
        <x:f>IF('당기원장'!A880="","",'당기원장'!A880)</x:f>
      </x:c>
      <x:c r="C1880" s="73" t="str">
        <x:f>IF('당기원장'!A880="","",'당기원장'!B880)</x:f>
      </x:c>
      <x:c r="D1880" s="74" t="str">
        <x:f>IF('당기원장'!A880="","",'당기원장'!C880)</x:f>
      </x:c>
      <x:c r="E1880" s="73" t="str">
        <x:f>IF('당기원장'!A880="","",'당기원장'!D880)</x:f>
      </x:c>
      <x:c r="F1880" s="73" t="str">
        <x:f>IF('당기원장'!A880="","",'당기원장'!E880)</x:f>
      </x:c>
      <x:c r="G1880" s="75" t="str">
        <x:f>IF('당기원장'!A880="","",'당기원장'!H880)</x:f>
      </x:c>
      <x:c r="H1880" s="73" t="str">
        <x:f>IF('당기원장'!A880="","",'당기원장'!I880)</x:f>
      </x:c>
      <x:c r="I1880" s="73" t="str">
        <x:f>IF('당기원장'!A880="","",'당기원장'!J880)</x:f>
      </x:c>
      <x:c r="J1880" s="73" t="str">
        <x:f>IF('당기원장'!A880="","",'당기원장'!K880)</x:f>
      </x:c>
      <x:c r="K1880" s="73" t="str">
        <x:f>IF(B1880="","",IF(COUNTIF($B$5:B1880,B1880)=1,COUNT($K$4:K1879)+1,""))</x:f>
      </x:c>
      <x:c r="L1880" s="85" t="str">
        <x:f>IF(B1880="","",IF(COUNTIFS('계정비교'!$A$5:$A$1004,B1880,'계정비교'!$H$5:$H$1004,"원인분석 대상")&gt;0,COUNT($L$4:L1879)+1,""))</x:f>
      </x:c>
    </x:row>
    <x:row r="1881">
      <x:c r="A1881" s="73" t="str">
        <x:f>IF('당기원장'!A881="","","당기")</x:f>
      </x:c>
      <x:c r="B1881" s="73" t="str">
        <x:f>IF('당기원장'!A881="","",'당기원장'!A881)</x:f>
      </x:c>
      <x:c r="C1881" s="73" t="str">
        <x:f>IF('당기원장'!A881="","",'당기원장'!B881)</x:f>
      </x:c>
      <x:c r="D1881" s="74" t="str">
        <x:f>IF('당기원장'!A881="","",'당기원장'!C881)</x:f>
      </x:c>
      <x:c r="E1881" s="73" t="str">
        <x:f>IF('당기원장'!A881="","",'당기원장'!D881)</x:f>
      </x:c>
      <x:c r="F1881" s="73" t="str">
        <x:f>IF('당기원장'!A881="","",'당기원장'!E881)</x:f>
      </x:c>
      <x:c r="G1881" s="75" t="str">
        <x:f>IF('당기원장'!A881="","",'당기원장'!H881)</x:f>
      </x:c>
      <x:c r="H1881" s="73" t="str">
        <x:f>IF('당기원장'!A881="","",'당기원장'!I881)</x:f>
      </x:c>
      <x:c r="I1881" s="73" t="str">
        <x:f>IF('당기원장'!A881="","",'당기원장'!J881)</x:f>
      </x:c>
      <x:c r="J1881" s="73" t="str">
        <x:f>IF('당기원장'!A881="","",'당기원장'!K881)</x:f>
      </x:c>
      <x:c r="K1881" s="73" t="str">
        <x:f>IF(B1881="","",IF(COUNTIF($B$5:B1881,B1881)=1,COUNT($K$4:K1880)+1,""))</x:f>
      </x:c>
      <x:c r="L1881" s="85" t="str">
        <x:f>IF(B1881="","",IF(COUNTIFS('계정비교'!$A$5:$A$1004,B1881,'계정비교'!$H$5:$H$1004,"원인분석 대상")&gt;0,COUNT($L$4:L1880)+1,""))</x:f>
      </x:c>
    </x:row>
    <x:row r="1882">
      <x:c r="A1882" s="73" t="str">
        <x:f>IF('당기원장'!A882="","","당기")</x:f>
      </x:c>
      <x:c r="B1882" s="73" t="str">
        <x:f>IF('당기원장'!A882="","",'당기원장'!A882)</x:f>
      </x:c>
      <x:c r="C1882" s="73" t="str">
        <x:f>IF('당기원장'!A882="","",'당기원장'!B882)</x:f>
      </x:c>
      <x:c r="D1882" s="74" t="str">
        <x:f>IF('당기원장'!A882="","",'당기원장'!C882)</x:f>
      </x:c>
      <x:c r="E1882" s="73" t="str">
        <x:f>IF('당기원장'!A882="","",'당기원장'!D882)</x:f>
      </x:c>
      <x:c r="F1882" s="73" t="str">
        <x:f>IF('당기원장'!A882="","",'당기원장'!E882)</x:f>
      </x:c>
      <x:c r="G1882" s="75" t="str">
        <x:f>IF('당기원장'!A882="","",'당기원장'!H882)</x:f>
      </x:c>
      <x:c r="H1882" s="73" t="str">
        <x:f>IF('당기원장'!A882="","",'당기원장'!I882)</x:f>
      </x:c>
      <x:c r="I1882" s="73" t="str">
        <x:f>IF('당기원장'!A882="","",'당기원장'!J882)</x:f>
      </x:c>
      <x:c r="J1882" s="73" t="str">
        <x:f>IF('당기원장'!A882="","",'당기원장'!K882)</x:f>
      </x:c>
      <x:c r="K1882" s="73" t="str">
        <x:f>IF(B1882="","",IF(COUNTIF($B$5:B1882,B1882)=1,COUNT($K$4:K1881)+1,""))</x:f>
      </x:c>
      <x:c r="L1882" s="85" t="str">
        <x:f>IF(B1882="","",IF(COUNTIFS('계정비교'!$A$5:$A$1004,B1882,'계정비교'!$H$5:$H$1004,"원인분석 대상")&gt;0,COUNT($L$4:L1881)+1,""))</x:f>
      </x:c>
    </x:row>
    <x:row r="1883">
      <x:c r="A1883" s="73" t="str">
        <x:f>IF('당기원장'!A883="","","당기")</x:f>
      </x:c>
      <x:c r="B1883" s="73" t="str">
        <x:f>IF('당기원장'!A883="","",'당기원장'!A883)</x:f>
      </x:c>
      <x:c r="C1883" s="73" t="str">
        <x:f>IF('당기원장'!A883="","",'당기원장'!B883)</x:f>
      </x:c>
      <x:c r="D1883" s="74" t="str">
        <x:f>IF('당기원장'!A883="","",'당기원장'!C883)</x:f>
      </x:c>
      <x:c r="E1883" s="73" t="str">
        <x:f>IF('당기원장'!A883="","",'당기원장'!D883)</x:f>
      </x:c>
      <x:c r="F1883" s="73" t="str">
        <x:f>IF('당기원장'!A883="","",'당기원장'!E883)</x:f>
      </x:c>
      <x:c r="G1883" s="75" t="str">
        <x:f>IF('당기원장'!A883="","",'당기원장'!H883)</x:f>
      </x:c>
      <x:c r="H1883" s="73" t="str">
        <x:f>IF('당기원장'!A883="","",'당기원장'!I883)</x:f>
      </x:c>
      <x:c r="I1883" s="73" t="str">
        <x:f>IF('당기원장'!A883="","",'당기원장'!J883)</x:f>
      </x:c>
      <x:c r="J1883" s="73" t="str">
        <x:f>IF('당기원장'!A883="","",'당기원장'!K883)</x:f>
      </x:c>
      <x:c r="K1883" s="73" t="str">
        <x:f>IF(B1883="","",IF(COUNTIF($B$5:B1883,B1883)=1,COUNT($K$4:K1882)+1,""))</x:f>
      </x:c>
      <x:c r="L1883" s="85" t="str">
        <x:f>IF(B1883="","",IF(COUNTIFS('계정비교'!$A$5:$A$1004,B1883,'계정비교'!$H$5:$H$1004,"원인분석 대상")&gt;0,COUNT($L$4:L1882)+1,""))</x:f>
      </x:c>
    </x:row>
    <x:row r="1884">
      <x:c r="A1884" s="73" t="str">
        <x:f>IF('당기원장'!A884="","","당기")</x:f>
      </x:c>
      <x:c r="B1884" s="73" t="str">
        <x:f>IF('당기원장'!A884="","",'당기원장'!A884)</x:f>
      </x:c>
      <x:c r="C1884" s="73" t="str">
        <x:f>IF('당기원장'!A884="","",'당기원장'!B884)</x:f>
      </x:c>
      <x:c r="D1884" s="74" t="str">
        <x:f>IF('당기원장'!A884="","",'당기원장'!C884)</x:f>
      </x:c>
      <x:c r="E1884" s="73" t="str">
        <x:f>IF('당기원장'!A884="","",'당기원장'!D884)</x:f>
      </x:c>
      <x:c r="F1884" s="73" t="str">
        <x:f>IF('당기원장'!A884="","",'당기원장'!E884)</x:f>
      </x:c>
      <x:c r="G1884" s="75" t="str">
        <x:f>IF('당기원장'!A884="","",'당기원장'!H884)</x:f>
      </x:c>
      <x:c r="H1884" s="73" t="str">
        <x:f>IF('당기원장'!A884="","",'당기원장'!I884)</x:f>
      </x:c>
      <x:c r="I1884" s="73" t="str">
        <x:f>IF('당기원장'!A884="","",'당기원장'!J884)</x:f>
      </x:c>
      <x:c r="J1884" s="73" t="str">
        <x:f>IF('당기원장'!A884="","",'당기원장'!K884)</x:f>
      </x:c>
      <x:c r="K1884" s="73" t="str">
        <x:f>IF(B1884="","",IF(COUNTIF($B$5:B1884,B1884)=1,COUNT($K$4:K1883)+1,""))</x:f>
      </x:c>
      <x:c r="L1884" s="85" t="str">
        <x:f>IF(B1884="","",IF(COUNTIFS('계정비교'!$A$5:$A$1004,B1884,'계정비교'!$H$5:$H$1004,"원인분석 대상")&gt;0,COUNT($L$4:L1883)+1,""))</x:f>
      </x:c>
    </x:row>
    <x:row r="1885">
      <x:c r="A1885" s="73" t="str">
        <x:f>IF('당기원장'!A885="","","당기")</x:f>
      </x:c>
      <x:c r="B1885" s="73" t="str">
        <x:f>IF('당기원장'!A885="","",'당기원장'!A885)</x:f>
      </x:c>
      <x:c r="C1885" s="73" t="str">
        <x:f>IF('당기원장'!A885="","",'당기원장'!B885)</x:f>
      </x:c>
      <x:c r="D1885" s="74" t="str">
        <x:f>IF('당기원장'!A885="","",'당기원장'!C885)</x:f>
      </x:c>
      <x:c r="E1885" s="73" t="str">
        <x:f>IF('당기원장'!A885="","",'당기원장'!D885)</x:f>
      </x:c>
      <x:c r="F1885" s="73" t="str">
        <x:f>IF('당기원장'!A885="","",'당기원장'!E885)</x:f>
      </x:c>
      <x:c r="G1885" s="75" t="str">
        <x:f>IF('당기원장'!A885="","",'당기원장'!H885)</x:f>
      </x:c>
      <x:c r="H1885" s="73" t="str">
        <x:f>IF('당기원장'!A885="","",'당기원장'!I885)</x:f>
      </x:c>
      <x:c r="I1885" s="73" t="str">
        <x:f>IF('당기원장'!A885="","",'당기원장'!J885)</x:f>
      </x:c>
      <x:c r="J1885" s="73" t="str">
        <x:f>IF('당기원장'!A885="","",'당기원장'!K885)</x:f>
      </x:c>
      <x:c r="K1885" s="73" t="str">
        <x:f>IF(B1885="","",IF(COUNTIF($B$5:B1885,B1885)=1,COUNT($K$4:K1884)+1,""))</x:f>
      </x:c>
      <x:c r="L1885" s="85" t="str">
        <x:f>IF(B1885="","",IF(COUNTIFS('계정비교'!$A$5:$A$1004,B1885,'계정비교'!$H$5:$H$1004,"원인분석 대상")&gt;0,COUNT($L$4:L1884)+1,""))</x:f>
      </x:c>
    </x:row>
    <x:row r="1886">
      <x:c r="A1886" s="73" t="str">
        <x:f>IF('당기원장'!A886="","","당기")</x:f>
      </x:c>
      <x:c r="B1886" s="73" t="str">
        <x:f>IF('당기원장'!A886="","",'당기원장'!A886)</x:f>
      </x:c>
      <x:c r="C1886" s="73" t="str">
        <x:f>IF('당기원장'!A886="","",'당기원장'!B886)</x:f>
      </x:c>
      <x:c r="D1886" s="74" t="str">
        <x:f>IF('당기원장'!A886="","",'당기원장'!C886)</x:f>
      </x:c>
      <x:c r="E1886" s="73" t="str">
        <x:f>IF('당기원장'!A886="","",'당기원장'!D886)</x:f>
      </x:c>
      <x:c r="F1886" s="73" t="str">
        <x:f>IF('당기원장'!A886="","",'당기원장'!E886)</x:f>
      </x:c>
      <x:c r="G1886" s="75" t="str">
        <x:f>IF('당기원장'!A886="","",'당기원장'!H886)</x:f>
      </x:c>
      <x:c r="H1886" s="73" t="str">
        <x:f>IF('당기원장'!A886="","",'당기원장'!I886)</x:f>
      </x:c>
      <x:c r="I1886" s="73" t="str">
        <x:f>IF('당기원장'!A886="","",'당기원장'!J886)</x:f>
      </x:c>
      <x:c r="J1886" s="73" t="str">
        <x:f>IF('당기원장'!A886="","",'당기원장'!K886)</x:f>
      </x:c>
      <x:c r="K1886" s="73" t="str">
        <x:f>IF(B1886="","",IF(COUNTIF($B$5:B1886,B1886)=1,COUNT($K$4:K1885)+1,""))</x:f>
      </x:c>
      <x:c r="L1886" s="85" t="str">
        <x:f>IF(B1886="","",IF(COUNTIFS('계정비교'!$A$5:$A$1004,B1886,'계정비교'!$H$5:$H$1004,"원인분석 대상")&gt;0,COUNT($L$4:L1885)+1,""))</x:f>
      </x:c>
    </x:row>
    <x:row r="1887">
      <x:c r="A1887" s="73" t="str">
        <x:f>IF('당기원장'!A887="","","당기")</x:f>
      </x:c>
      <x:c r="B1887" s="73" t="str">
        <x:f>IF('당기원장'!A887="","",'당기원장'!A887)</x:f>
      </x:c>
      <x:c r="C1887" s="73" t="str">
        <x:f>IF('당기원장'!A887="","",'당기원장'!B887)</x:f>
      </x:c>
      <x:c r="D1887" s="74" t="str">
        <x:f>IF('당기원장'!A887="","",'당기원장'!C887)</x:f>
      </x:c>
      <x:c r="E1887" s="73" t="str">
        <x:f>IF('당기원장'!A887="","",'당기원장'!D887)</x:f>
      </x:c>
      <x:c r="F1887" s="73" t="str">
        <x:f>IF('당기원장'!A887="","",'당기원장'!E887)</x:f>
      </x:c>
      <x:c r="G1887" s="75" t="str">
        <x:f>IF('당기원장'!A887="","",'당기원장'!H887)</x:f>
      </x:c>
      <x:c r="H1887" s="73" t="str">
        <x:f>IF('당기원장'!A887="","",'당기원장'!I887)</x:f>
      </x:c>
      <x:c r="I1887" s="73" t="str">
        <x:f>IF('당기원장'!A887="","",'당기원장'!J887)</x:f>
      </x:c>
      <x:c r="J1887" s="73" t="str">
        <x:f>IF('당기원장'!A887="","",'당기원장'!K887)</x:f>
      </x:c>
      <x:c r="K1887" s="73" t="str">
        <x:f>IF(B1887="","",IF(COUNTIF($B$5:B1887,B1887)=1,COUNT($K$4:K1886)+1,""))</x:f>
      </x:c>
      <x:c r="L1887" s="85" t="str">
        <x:f>IF(B1887="","",IF(COUNTIFS('계정비교'!$A$5:$A$1004,B1887,'계정비교'!$H$5:$H$1004,"원인분석 대상")&gt;0,COUNT($L$4:L1886)+1,""))</x:f>
      </x:c>
    </x:row>
    <x:row r="1888">
      <x:c r="A1888" s="73" t="str">
        <x:f>IF('당기원장'!A888="","","당기")</x:f>
      </x:c>
      <x:c r="B1888" s="73" t="str">
        <x:f>IF('당기원장'!A888="","",'당기원장'!A888)</x:f>
      </x:c>
      <x:c r="C1888" s="73" t="str">
        <x:f>IF('당기원장'!A888="","",'당기원장'!B888)</x:f>
      </x:c>
      <x:c r="D1888" s="74" t="str">
        <x:f>IF('당기원장'!A888="","",'당기원장'!C888)</x:f>
      </x:c>
      <x:c r="E1888" s="73" t="str">
        <x:f>IF('당기원장'!A888="","",'당기원장'!D888)</x:f>
      </x:c>
      <x:c r="F1888" s="73" t="str">
        <x:f>IF('당기원장'!A888="","",'당기원장'!E888)</x:f>
      </x:c>
      <x:c r="G1888" s="75" t="str">
        <x:f>IF('당기원장'!A888="","",'당기원장'!H888)</x:f>
      </x:c>
      <x:c r="H1888" s="73" t="str">
        <x:f>IF('당기원장'!A888="","",'당기원장'!I888)</x:f>
      </x:c>
      <x:c r="I1888" s="73" t="str">
        <x:f>IF('당기원장'!A888="","",'당기원장'!J888)</x:f>
      </x:c>
      <x:c r="J1888" s="73" t="str">
        <x:f>IF('당기원장'!A888="","",'당기원장'!K888)</x:f>
      </x:c>
      <x:c r="K1888" s="73" t="str">
        <x:f>IF(B1888="","",IF(COUNTIF($B$5:B1888,B1888)=1,COUNT($K$4:K1887)+1,""))</x:f>
      </x:c>
      <x:c r="L1888" s="85" t="str">
        <x:f>IF(B1888="","",IF(COUNTIFS('계정비교'!$A$5:$A$1004,B1888,'계정비교'!$H$5:$H$1004,"원인분석 대상")&gt;0,COUNT($L$4:L1887)+1,""))</x:f>
      </x:c>
    </x:row>
    <x:row r="1889">
      <x:c r="A1889" s="73" t="str">
        <x:f>IF('당기원장'!A889="","","당기")</x:f>
      </x:c>
      <x:c r="B1889" s="73" t="str">
        <x:f>IF('당기원장'!A889="","",'당기원장'!A889)</x:f>
      </x:c>
      <x:c r="C1889" s="73" t="str">
        <x:f>IF('당기원장'!A889="","",'당기원장'!B889)</x:f>
      </x:c>
      <x:c r="D1889" s="74" t="str">
        <x:f>IF('당기원장'!A889="","",'당기원장'!C889)</x:f>
      </x:c>
      <x:c r="E1889" s="73" t="str">
        <x:f>IF('당기원장'!A889="","",'당기원장'!D889)</x:f>
      </x:c>
      <x:c r="F1889" s="73" t="str">
        <x:f>IF('당기원장'!A889="","",'당기원장'!E889)</x:f>
      </x:c>
      <x:c r="G1889" s="75" t="str">
        <x:f>IF('당기원장'!A889="","",'당기원장'!H889)</x:f>
      </x:c>
      <x:c r="H1889" s="73" t="str">
        <x:f>IF('당기원장'!A889="","",'당기원장'!I889)</x:f>
      </x:c>
      <x:c r="I1889" s="73" t="str">
        <x:f>IF('당기원장'!A889="","",'당기원장'!J889)</x:f>
      </x:c>
      <x:c r="J1889" s="73" t="str">
        <x:f>IF('당기원장'!A889="","",'당기원장'!K889)</x:f>
      </x:c>
      <x:c r="K1889" s="73" t="str">
        <x:f>IF(B1889="","",IF(COUNTIF($B$5:B1889,B1889)=1,COUNT($K$4:K1888)+1,""))</x:f>
      </x:c>
      <x:c r="L1889" s="85" t="str">
        <x:f>IF(B1889="","",IF(COUNTIFS('계정비교'!$A$5:$A$1004,B1889,'계정비교'!$H$5:$H$1004,"원인분석 대상")&gt;0,COUNT($L$4:L1888)+1,""))</x:f>
      </x:c>
    </x:row>
    <x:row r="1890">
      <x:c r="A1890" s="73" t="str">
        <x:f>IF('당기원장'!A890="","","당기")</x:f>
      </x:c>
      <x:c r="B1890" s="73" t="str">
        <x:f>IF('당기원장'!A890="","",'당기원장'!A890)</x:f>
      </x:c>
      <x:c r="C1890" s="73" t="str">
        <x:f>IF('당기원장'!A890="","",'당기원장'!B890)</x:f>
      </x:c>
      <x:c r="D1890" s="74" t="str">
        <x:f>IF('당기원장'!A890="","",'당기원장'!C890)</x:f>
      </x:c>
      <x:c r="E1890" s="73" t="str">
        <x:f>IF('당기원장'!A890="","",'당기원장'!D890)</x:f>
      </x:c>
      <x:c r="F1890" s="73" t="str">
        <x:f>IF('당기원장'!A890="","",'당기원장'!E890)</x:f>
      </x:c>
      <x:c r="G1890" s="75" t="str">
        <x:f>IF('당기원장'!A890="","",'당기원장'!H890)</x:f>
      </x:c>
      <x:c r="H1890" s="73" t="str">
        <x:f>IF('당기원장'!A890="","",'당기원장'!I890)</x:f>
      </x:c>
      <x:c r="I1890" s="73" t="str">
        <x:f>IF('당기원장'!A890="","",'당기원장'!J890)</x:f>
      </x:c>
      <x:c r="J1890" s="73" t="str">
        <x:f>IF('당기원장'!A890="","",'당기원장'!K890)</x:f>
      </x:c>
      <x:c r="K1890" s="73" t="str">
        <x:f>IF(B1890="","",IF(COUNTIF($B$5:B1890,B1890)=1,COUNT($K$4:K1889)+1,""))</x:f>
      </x:c>
      <x:c r="L1890" s="85" t="str">
        <x:f>IF(B1890="","",IF(COUNTIFS('계정비교'!$A$5:$A$1004,B1890,'계정비교'!$H$5:$H$1004,"원인분석 대상")&gt;0,COUNT($L$4:L1889)+1,""))</x:f>
      </x:c>
    </x:row>
    <x:row r="1891">
      <x:c r="A1891" s="73" t="str">
        <x:f>IF('당기원장'!A891="","","당기")</x:f>
      </x:c>
      <x:c r="B1891" s="73" t="str">
        <x:f>IF('당기원장'!A891="","",'당기원장'!A891)</x:f>
      </x:c>
      <x:c r="C1891" s="73" t="str">
        <x:f>IF('당기원장'!A891="","",'당기원장'!B891)</x:f>
      </x:c>
      <x:c r="D1891" s="74" t="str">
        <x:f>IF('당기원장'!A891="","",'당기원장'!C891)</x:f>
      </x:c>
      <x:c r="E1891" s="73" t="str">
        <x:f>IF('당기원장'!A891="","",'당기원장'!D891)</x:f>
      </x:c>
      <x:c r="F1891" s="73" t="str">
        <x:f>IF('당기원장'!A891="","",'당기원장'!E891)</x:f>
      </x:c>
      <x:c r="G1891" s="75" t="str">
        <x:f>IF('당기원장'!A891="","",'당기원장'!H891)</x:f>
      </x:c>
      <x:c r="H1891" s="73" t="str">
        <x:f>IF('당기원장'!A891="","",'당기원장'!I891)</x:f>
      </x:c>
      <x:c r="I1891" s="73" t="str">
        <x:f>IF('당기원장'!A891="","",'당기원장'!J891)</x:f>
      </x:c>
      <x:c r="J1891" s="73" t="str">
        <x:f>IF('당기원장'!A891="","",'당기원장'!K891)</x:f>
      </x:c>
      <x:c r="K1891" s="73" t="str">
        <x:f>IF(B1891="","",IF(COUNTIF($B$5:B1891,B1891)=1,COUNT($K$4:K1890)+1,""))</x:f>
      </x:c>
      <x:c r="L1891" s="85" t="str">
        <x:f>IF(B1891="","",IF(COUNTIFS('계정비교'!$A$5:$A$1004,B1891,'계정비교'!$H$5:$H$1004,"원인분석 대상")&gt;0,COUNT($L$4:L1890)+1,""))</x:f>
      </x:c>
    </x:row>
    <x:row r="1892">
      <x:c r="A1892" s="73" t="str">
        <x:f>IF('당기원장'!A892="","","당기")</x:f>
      </x:c>
      <x:c r="B1892" s="73" t="str">
        <x:f>IF('당기원장'!A892="","",'당기원장'!A892)</x:f>
      </x:c>
      <x:c r="C1892" s="73" t="str">
        <x:f>IF('당기원장'!A892="","",'당기원장'!B892)</x:f>
      </x:c>
      <x:c r="D1892" s="74" t="str">
        <x:f>IF('당기원장'!A892="","",'당기원장'!C892)</x:f>
      </x:c>
      <x:c r="E1892" s="73" t="str">
        <x:f>IF('당기원장'!A892="","",'당기원장'!D892)</x:f>
      </x:c>
      <x:c r="F1892" s="73" t="str">
        <x:f>IF('당기원장'!A892="","",'당기원장'!E892)</x:f>
      </x:c>
      <x:c r="G1892" s="75" t="str">
        <x:f>IF('당기원장'!A892="","",'당기원장'!H892)</x:f>
      </x:c>
      <x:c r="H1892" s="73" t="str">
        <x:f>IF('당기원장'!A892="","",'당기원장'!I892)</x:f>
      </x:c>
      <x:c r="I1892" s="73" t="str">
        <x:f>IF('당기원장'!A892="","",'당기원장'!J892)</x:f>
      </x:c>
      <x:c r="J1892" s="73" t="str">
        <x:f>IF('당기원장'!A892="","",'당기원장'!K892)</x:f>
      </x:c>
      <x:c r="K1892" s="73" t="str">
        <x:f>IF(B1892="","",IF(COUNTIF($B$5:B1892,B1892)=1,COUNT($K$4:K1891)+1,""))</x:f>
      </x:c>
      <x:c r="L1892" s="85" t="str">
        <x:f>IF(B1892="","",IF(COUNTIFS('계정비교'!$A$5:$A$1004,B1892,'계정비교'!$H$5:$H$1004,"원인분석 대상")&gt;0,COUNT($L$4:L1891)+1,""))</x:f>
      </x:c>
    </x:row>
    <x:row r="1893">
      <x:c r="A1893" s="73" t="str">
        <x:f>IF('당기원장'!A893="","","당기")</x:f>
      </x:c>
      <x:c r="B1893" s="73" t="str">
        <x:f>IF('당기원장'!A893="","",'당기원장'!A893)</x:f>
      </x:c>
      <x:c r="C1893" s="73" t="str">
        <x:f>IF('당기원장'!A893="","",'당기원장'!B893)</x:f>
      </x:c>
      <x:c r="D1893" s="74" t="str">
        <x:f>IF('당기원장'!A893="","",'당기원장'!C893)</x:f>
      </x:c>
      <x:c r="E1893" s="73" t="str">
        <x:f>IF('당기원장'!A893="","",'당기원장'!D893)</x:f>
      </x:c>
      <x:c r="F1893" s="73" t="str">
        <x:f>IF('당기원장'!A893="","",'당기원장'!E893)</x:f>
      </x:c>
      <x:c r="G1893" s="75" t="str">
        <x:f>IF('당기원장'!A893="","",'당기원장'!H893)</x:f>
      </x:c>
      <x:c r="H1893" s="73" t="str">
        <x:f>IF('당기원장'!A893="","",'당기원장'!I893)</x:f>
      </x:c>
      <x:c r="I1893" s="73" t="str">
        <x:f>IF('당기원장'!A893="","",'당기원장'!J893)</x:f>
      </x:c>
      <x:c r="J1893" s="73" t="str">
        <x:f>IF('당기원장'!A893="","",'당기원장'!K893)</x:f>
      </x:c>
      <x:c r="K1893" s="73" t="str">
        <x:f>IF(B1893="","",IF(COUNTIF($B$5:B1893,B1893)=1,COUNT($K$4:K1892)+1,""))</x:f>
      </x:c>
      <x:c r="L1893" s="85" t="str">
        <x:f>IF(B1893="","",IF(COUNTIFS('계정비교'!$A$5:$A$1004,B1893,'계정비교'!$H$5:$H$1004,"원인분석 대상")&gt;0,COUNT($L$4:L1892)+1,""))</x:f>
      </x:c>
    </x:row>
    <x:row r="1894">
      <x:c r="A1894" s="73" t="str">
        <x:f>IF('당기원장'!A894="","","당기")</x:f>
      </x:c>
      <x:c r="B1894" s="73" t="str">
        <x:f>IF('당기원장'!A894="","",'당기원장'!A894)</x:f>
      </x:c>
      <x:c r="C1894" s="73" t="str">
        <x:f>IF('당기원장'!A894="","",'당기원장'!B894)</x:f>
      </x:c>
      <x:c r="D1894" s="74" t="str">
        <x:f>IF('당기원장'!A894="","",'당기원장'!C894)</x:f>
      </x:c>
      <x:c r="E1894" s="73" t="str">
        <x:f>IF('당기원장'!A894="","",'당기원장'!D894)</x:f>
      </x:c>
      <x:c r="F1894" s="73" t="str">
        <x:f>IF('당기원장'!A894="","",'당기원장'!E894)</x:f>
      </x:c>
      <x:c r="G1894" s="75" t="str">
        <x:f>IF('당기원장'!A894="","",'당기원장'!H894)</x:f>
      </x:c>
      <x:c r="H1894" s="73" t="str">
        <x:f>IF('당기원장'!A894="","",'당기원장'!I894)</x:f>
      </x:c>
      <x:c r="I1894" s="73" t="str">
        <x:f>IF('당기원장'!A894="","",'당기원장'!J894)</x:f>
      </x:c>
      <x:c r="J1894" s="73" t="str">
        <x:f>IF('당기원장'!A894="","",'당기원장'!K894)</x:f>
      </x:c>
      <x:c r="K1894" s="73" t="str">
        <x:f>IF(B1894="","",IF(COUNTIF($B$5:B1894,B1894)=1,COUNT($K$4:K1893)+1,""))</x:f>
      </x:c>
      <x:c r="L1894" s="85" t="str">
        <x:f>IF(B1894="","",IF(COUNTIFS('계정비교'!$A$5:$A$1004,B1894,'계정비교'!$H$5:$H$1004,"원인분석 대상")&gt;0,COUNT($L$4:L1893)+1,""))</x:f>
      </x:c>
    </x:row>
    <x:row r="1895">
      <x:c r="A1895" s="73" t="str">
        <x:f>IF('당기원장'!A895="","","당기")</x:f>
      </x:c>
      <x:c r="B1895" s="73" t="str">
        <x:f>IF('당기원장'!A895="","",'당기원장'!A895)</x:f>
      </x:c>
      <x:c r="C1895" s="73" t="str">
        <x:f>IF('당기원장'!A895="","",'당기원장'!B895)</x:f>
      </x:c>
      <x:c r="D1895" s="74" t="str">
        <x:f>IF('당기원장'!A895="","",'당기원장'!C895)</x:f>
      </x:c>
      <x:c r="E1895" s="73" t="str">
        <x:f>IF('당기원장'!A895="","",'당기원장'!D895)</x:f>
      </x:c>
      <x:c r="F1895" s="73" t="str">
        <x:f>IF('당기원장'!A895="","",'당기원장'!E895)</x:f>
      </x:c>
      <x:c r="G1895" s="75" t="str">
        <x:f>IF('당기원장'!A895="","",'당기원장'!H895)</x:f>
      </x:c>
      <x:c r="H1895" s="73" t="str">
        <x:f>IF('당기원장'!A895="","",'당기원장'!I895)</x:f>
      </x:c>
      <x:c r="I1895" s="73" t="str">
        <x:f>IF('당기원장'!A895="","",'당기원장'!J895)</x:f>
      </x:c>
      <x:c r="J1895" s="73" t="str">
        <x:f>IF('당기원장'!A895="","",'당기원장'!K895)</x:f>
      </x:c>
      <x:c r="K1895" s="73" t="str">
        <x:f>IF(B1895="","",IF(COUNTIF($B$5:B1895,B1895)=1,COUNT($K$4:K1894)+1,""))</x:f>
      </x:c>
      <x:c r="L1895" s="85" t="str">
        <x:f>IF(B1895="","",IF(COUNTIFS('계정비교'!$A$5:$A$1004,B1895,'계정비교'!$H$5:$H$1004,"원인분석 대상")&gt;0,COUNT($L$4:L1894)+1,""))</x:f>
      </x:c>
    </x:row>
    <x:row r="1896">
      <x:c r="A1896" s="73" t="str">
        <x:f>IF('당기원장'!A896="","","당기")</x:f>
      </x:c>
      <x:c r="B1896" s="73" t="str">
        <x:f>IF('당기원장'!A896="","",'당기원장'!A896)</x:f>
      </x:c>
      <x:c r="C1896" s="73" t="str">
        <x:f>IF('당기원장'!A896="","",'당기원장'!B896)</x:f>
      </x:c>
      <x:c r="D1896" s="74" t="str">
        <x:f>IF('당기원장'!A896="","",'당기원장'!C896)</x:f>
      </x:c>
      <x:c r="E1896" s="73" t="str">
        <x:f>IF('당기원장'!A896="","",'당기원장'!D896)</x:f>
      </x:c>
      <x:c r="F1896" s="73" t="str">
        <x:f>IF('당기원장'!A896="","",'당기원장'!E896)</x:f>
      </x:c>
      <x:c r="G1896" s="75" t="str">
        <x:f>IF('당기원장'!A896="","",'당기원장'!H896)</x:f>
      </x:c>
      <x:c r="H1896" s="73" t="str">
        <x:f>IF('당기원장'!A896="","",'당기원장'!I896)</x:f>
      </x:c>
      <x:c r="I1896" s="73" t="str">
        <x:f>IF('당기원장'!A896="","",'당기원장'!J896)</x:f>
      </x:c>
      <x:c r="J1896" s="73" t="str">
        <x:f>IF('당기원장'!A896="","",'당기원장'!K896)</x:f>
      </x:c>
      <x:c r="K1896" s="73" t="str">
        <x:f>IF(B1896="","",IF(COUNTIF($B$5:B1896,B1896)=1,COUNT($K$4:K1895)+1,""))</x:f>
      </x:c>
      <x:c r="L1896" s="85" t="str">
        <x:f>IF(B1896="","",IF(COUNTIFS('계정비교'!$A$5:$A$1004,B1896,'계정비교'!$H$5:$H$1004,"원인분석 대상")&gt;0,COUNT($L$4:L1895)+1,""))</x:f>
      </x:c>
    </x:row>
    <x:row r="1897">
      <x:c r="A1897" s="73" t="str">
        <x:f>IF('당기원장'!A897="","","당기")</x:f>
      </x:c>
      <x:c r="B1897" s="73" t="str">
        <x:f>IF('당기원장'!A897="","",'당기원장'!A897)</x:f>
      </x:c>
      <x:c r="C1897" s="73" t="str">
        <x:f>IF('당기원장'!A897="","",'당기원장'!B897)</x:f>
      </x:c>
      <x:c r="D1897" s="74" t="str">
        <x:f>IF('당기원장'!A897="","",'당기원장'!C897)</x:f>
      </x:c>
      <x:c r="E1897" s="73" t="str">
        <x:f>IF('당기원장'!A897="","",'당기원장'!D897)</x:f>
      </x:c>
      <x:c r="F1897" s="73" t="str">
        <x:f>IF('당기원장'!A897="","",'당기원장'!E897)</x:f>
      </x:c>
      <x:c r="G1897" s="75" t="str">
        <x:f>IF('당기원장'!A897="","",'당기원장'!H897)</x:f>
      </x:c>
      <x:c r="H1897" s="73" t="str">
        <x:f>IF('당기원장'!A897="","",'당기원장'!I897)</x:f>
      </x:c>
      <x:c r="I1897" s="73" t="str">
        <x:f>IF('당기원장'!A897="","",'당기원장'!J897)</x:f>
      </x:c>
      <x:c r="J1897" s="73" t="str">
        <x:f>IF('당기원장'!A897="","",'당기원장'!K897)</x:f>
      </x:c>
      <x:c r="K1897" s="73" t="str">
        <x:f>IF(B1897="","",IF(COUNTIF($B$5:B1897,B1897)=1,COUNT($K$4:K1896)+1,""))</x:f>
      </x:c>
      <x:c r="L1897" s="85" t="str">
        <x:f>IF(B1897="","",IF(COUNTIFS('계정비교'!$A$5:$A$1004,B1897,'계정비교'!$H$5:$H$1004,"원인분석 대상")&gt;0,COUNT($L$4:L1896)+1,""))</x:f>
      </x:c>
    </x:row>
    <x:row r="1898">
      <x:c r="A1898" s="73" t="str">
        <x:f>IF('당기원장'!A898="","","당기")</x:f>
      </x:c>
      <x:c r="B1898" s="73" t="str">
        <x:f>IF('당기원장'!A898="","",'당기원장'!A898)</x:f>
      </x:c>
      <x:c r="C1898" s="73" t="str">
        <x:f>IF('당기원장'!A898="","",'당기원장'!B898)</x:f>
      </x:c>
      <x:c r="D1898" s="74" t="str">
        <x:f>IF('당기원장'!A898="","",'당기원장'!C898)</x:f>
      </x:c>
      <x:c r="E1898" s="73" t="str">
        <x:f>IF('당기원장'!A898="","",'당기원장'!D898)</x:f>
      </x:c>
      <x:c r="F1898" s="73" t="str">
        <x:f>IF('당기원장'!A898="","",'당기원장'!E898)</x:f>
      </x:c>
      <x:c r="G1898" s="75" t="str">
        <x:f>IF('당기원장'!A898="","",'당기원장'!H898)</x:f>
      </x:c>
      <x:c r="H1898" s="73" t="str">
        <x:f>IF('당기원장'!A898="","",'당기원장'!I898)</x:f>
      </x:c>
      <x:c r="I1898" s="73" t="str">
        <x:f>IF('당기원장'!A898="","",'당기원장'!J898)</x:f>
      </x:c>
      <x:c r="J1898" s="73" t="str">
        <x:f>IF('당기원장'!A898="","",'당기원장'!K898)</x:f>
      </x:c>
      <x:c r="K1898" s="73" t="str">
        <x:f>IF(B1898="","",IF(COUNTIF($B$5:B1898,B1898)=1,COUNT($K$4:K1897)+1,""))</x:f>
      </x:c>
      <x:c r="L1898" s="85" t="str">
        <x:f>IF(B1898="","",IF(COUNTIFS('계정비교'!$A$5:$A$1004,B1898,'계정비교'!$H$5:$H$1004,"원인분석 대상")&gt;0,COUNT($L$4:L1897)+1,""))</x:f>
      </x:c>
    </x:row>
    <x:row r="1899">
      <x:c r="A1899" s="73" t="str">
        <x:f>IF('당기원장'!A899="","","당기")</x:f>
      </x:c>
      <x:c r="B1899" s="73" t="str">
        <x:f>IF('당기원장'!A899="","",'당기원장'!A899)</x:f>
      </x:c>
      <x:c r="C1899" s="73" t="str">
        <x:f>IF('당기원장'!A899="","",'당기원장'!B899)</x:f>
      </x:c>
      <x:c r="D1899" s="74" t="str">
        <x:f>IF('당기원장'!A899="","",'당기원장'!C899)</x:f>
      </x:c>
      <x:c r="E1899" s="73" t="str">
        <x:f>IF('당기원장'!A899="","",'당기원장'!D899)</x:f>
      </x:c>
      <x:c r="F1899" s="73" t="str">
        <x:f>IF('당기원장'!A899="","",'당기원장'!E899)</x:f>
      </x:c>
      <x:c r="G1899" s="75" t="str">
        <x:f>IF('당기원장'!A899="","",'당기원장'!H899)</x:f>
      </x:c>
      <x:c r="H1899" s="73" t="str">
        <x:f>IF('당기원장'!A899="","",'당기원장'!I899)</x:f>
      </x:c>
      <x:c r="I1899" s="73" t="str">
        <x:f>IF('당기원장'!A899="","",'당기원장'!J899)</x:f>
      </x:c>
      <x:c r="J1899" s="73" t="str">
        <x:f>IF('당기원장'!A899="","",'당기원장'!K899)</x:f>
      </x:c>
      <x:c r="K1899" s="73" t="str">
        <x:f>IF(B1899="","",IF(COUNTIF($B$5:B1899,B1899)=1,COUNT($K$4:K1898)+1,""))</x:f>
      </x:c>
      <x:c r="L1899" s="85" t="str">
        <x:f>IF(B1899="","",IF(COUNTIFS('계정비교'!$A$5:$A$1004,B1899,'계정비교'!$H$5:$H$1004,"원인분석 대상")&gt;0,COUNT($L$4:L1898)+1,""))</x:f>
      </x:c>
    </x:row>
    <x:row r="1900">
      <x:c r="A1900" s="73" t="str">
        <x:f>IF('당기원장'!A900="","","당기")</x:f>
      </x:c>
      <x:c r="B1900" s="73" t="str">
        <x:f>IF('당기원장'!A900="","",'당기원장'!A900)</x:f>
      </x:c>
      <x:c r="C1900" s="73" t="str">
        <x:f>IF('당기원장'!A900="","",'당기원장'!B900)</x:f>
      </x:c>
      <x:c r="D1900" s="74" t="str">
        <x:f>IF('당기원장'!A900="","",'당기원장'!C900)</x:f>
      </x:c>
      <x:c r="E1900" s="73" t="str">
        <x:f>IF('당기원장'!A900="","",'당기원장'!D900)</x:f>
      </x:c>
      <x:c r="F1900" s="73" t="str">
        <x:f>IF('당기원장'!A900="","",'당기원장'!E900)</x:f>
      </x:c>
      <x:c r="G1900" s="75" t="str">
        <x:f>IF('당기원장'!A900="","",'당기원장'!H900)</x:f>
      </x:c>
      <x:c r="H1900" s="73" t="str">
        <x:f>IF('당기원장'!A900="","",'당기원장'!I900)</x:f>
      </x:c>
      <x:c r="I1900" s="73" t="str">
        <x:f>IF('당기원장'!A900="","",'당기원장'!J900)</x:f>
      </x:c>
      <x:c r="J1900" s="73" t="str">
        <x:f>IF('당기원장'!A900="","",'당기원장'!K900)</x:f>
      </x:c>
      <x:c r="K1900" s="73" t="str">
        <x:f>IF(B1900="","",IF(COUNTIF($B$5:B1900,B1900)=1,COUNT($K$4:K1899)+1,""))</x:f>
      </x:c>
      <x:c r="L1900" s="85" t="str">
        <x:f>IF(B1900="","",IF(COUNTIFS('계정비교'!$A$5:$A$1004,B1900,'계정비교'!$H$5:$H$1004,"원인분석 대상")&gt;0,COUNT($L$4:L1899)+1,""))</x:f>
      </x:c>
    </x:row>
    <x:row r="1901">
      <x:c r="A1901" s="73" t="str">
        <x:f>IF('당기원장'!A901="","","당기")</x:f>
      </x:c>
      <x:c r="B1901" s="73" t="str">
        <x:f>IF('당기원장'!A901="","",'당기원장'!A901)</x:f>
      </x:c>
      <x:c r="C1901" s="73" t="str">
        <x:f>IF('당기원장'!A901="","",'당기원장'!B901)</x:f>
      </x:c>
      <x:c r="D1901" s="74" t="str">
        <x:f>IF('당기원장'!A901="","",'당기원장'!C901)</x:f>
      </x:c>
      <x:c r="E1901" s="73" t="str">
        <x:f>IF('당기원장'!A901="","",'당기원장'!D901)</x:f>
      </x:c>
      <x:c r="F1901" s="73" t="str">
        <x:f>IF('당기원장'!A901="","",'당기원장'!E901)</x:f>
      </x:c>
      <x:c r="G1901" s="75" t="str">
        <x:f>IF('당기원장'!A901="","",'당기원장'!H901)</x:f>
      </x:c>
      <x:c r="H1901" s="73" t="str">
        <x:f>IF('당기원장'!A901="","",'당기원장'!I901)</x:f>
      </x:c>
      <x:c r="I1901" s="73" t="str">
        <x:f>IF('당기원장'!A901="","",'당기원장'!J901)</x:f>
      </x:c>
      <x:c r="J1901" s="73" t="str">
        <x:f>IF('당기원장'!A901="","",'당기원장'!K901)</x:f>
      </x:c>
      <x:c r="K1901" s="73" t="str">
        <x:f>IF(B1901="","",IF(COUNTIF($B$5:B1901,B1901)=1,COUNT($K$4:K1900)+1,""))</x:f>
      </x:c>
      <x:c r="L1901" s="85" t="str">
        <x:f>IF(B1901="","",IF(COUNTIFS('계정비교'!$A$5:$A$1004,B1901,'계정비교'!$H$5:$H$1004,"원인분석 대상")&gt;0,COUNT($L$4:L1900)+1,""))</x:f>
      </x:c>
    </x:row>
    <x:row r="1902">
      <x:c r="A1902" s="73" t="str">
        <x:f>IF('당기원장'!A902="","","당기")</x:f>
      </x:c>
      <x:c r="B1902" s="73" t="str">
        <x:f>IF('당기원장'!A902="","",'당기원장'!A902)</x:f>
      </x:c>
      <x:c r="C1902" s="73" t="str">
        <x:f>IF('당기원장'!A902="","",'당기원장'!B902)</x:f>
      </x:c>
      <x:c r="D1902" s="74" t="str">
        <x:f>IF('당기원장'!A902="","",'당기원장'!C902)</x:f>
      </x:c>
      <x:c r="E1902" s="73" t="str">
        <x:f>IF('당기원장'!A902="","",'당기원장'!D902)</x:f>
      </x:c>
      <x:c r="F1902" s="73" t="str">
        <x:f>IF('당기원장'!A902="","",'당기원장'!E902)</x:f>
      </x:c>
      <x:c r="G1902" s="75" t="str">
        <x:f>IF('당기원장'!A902="","",'당기원장'!H902)</x:f>
      </x:c>
      <x:c r="H1902" s="73" t="str">
        <x:f>IF('당기원장'!A902="","",'당기원장'!I902)</x:f>
      </x:c>
      <x:c r="I1902" s="73" t="str">
        <x:f>IF('당기원장'!A902="","",'당기원장'!J902)</x:f>
      </x:c>
      <x:c r="J1902" s="73" t="str">
        <x:f>IF('당기원장'!A902="","",'당기원장'!K902)</x:f>
      </x:c>
      <x:c r="K1902" s="73" t="str">
        <x:f>IF(B1902="","",IF(COUNTIF($B$5:B1902,B1902)=1,COUNT($K$4:K1901)+1,""))</x:f>
      </x:c>
      <x:c r="L1902" s="85" t="str">
        <x:f>IF(B1902="","",IF(COUNTIFS('계정비교'!$A$5:$A$1004,B1902,'계정비교'!$H$5:$H$1004,"원인분석 대상")&gt;0,COUNT($L$4:L1901)+1,""))</x:f>
      </x:c>
    </x:row>
    <x:row r="1903">
      <x:c r="A1903" s="73" t="str">
        <x:f>IF('당기원장'!A903="","","당기")</x:f>
      </x:c>
      <x:c r="B1903" s="73" t="str">
        <x:f>IF('당기원장'!A903="","",'당기원장'!A903)</x:f>
      </x:c>
      <x:c r="C1903" s="73" t="str">
        <x:f>IF('당기원장'!A903="","",'당기원장'!B903)</x:f>
      </x:c>
      <x:c r="D1903" s="74" t="str">
        <x:f>IF('당기원장'!A903="","",'당기원장'!C903)</x:f>
      </x:c>
      <x:c r="E1903" s="73" t="str">
        <x:f>IF('당기원장'!A903="","",'당기원장'!D903)</x:f>
      </x:c>
      <x:c r="F1903" s="73" t="str">
        <x:f>IF('당기원장'!A903="","",'당기원장'!E903)</x:f>
      </x:c>
      <x:c r="G1903" s="75" t="str">
        <x:f>IF('당기원장'!A903="","",'당기원장'!H903)</x:f>
      </x:c>
      <x:c r="H1903" s="73" t="str">
        <x:f>IF('당기원장'!A903="","",'당기원장'!I903)</x:f>
      </x:c>
      <x:c r="I1903" s="73" t="str">
        <x:f>IF('당기원장'!A903="","",'당기원장'!J903)</x:f>
      </x:c>
      <x:c r="J1903" s="73" t="str">
        <x:f>IF('당기원장'!A903="","",'당기원장'!K903)</x:f>
      </x:c>
      <x:c r="K1903" s="73" t="str">
        <x:f>IF(B1903="","",IF(COUNTIF($B$5:B1903,B1903)=1,COUNT($K$4:K1902)+1,""))</x:f>
      </x:c>
      <x:c r="L1903" s="85" t="str">
        <x:f>IF(B1903="","",IF(COUNTIFS('계정비교'!$A$5:$A$1004,B1903,'계정비교'!$H$5:$H$1004,"원인분석 대상")&gt;0,COUNT($L$4:L1902)+1,""))</x:f>
      </x:c>
    </x:row>
    <x:row r="1904">
      <x:c r="A1904" s="73" t="str">
        <x:f>IF('당기원장'!A904="","","당기")</x:f>
      </x:c>
      <x:c r="B1904" s="73" t="str">
        <x:f>IF('당기원장'!A904="","",'당기원장'!A904)</x:f>
      </x:c>
      <x:c r="C1904" s="73" t="str">
        <x:f>IF('당기원장'!A904="","",'당기원장'!B904)</x:f>
      </x:c>
      <x:c r="D1904" s="74" t="str">
        <x:f>IF('당기원장'!A904="","",'당기원장'!C904)</x:f>
      </x:c>
      <x:c r="E1904" s="73" t="str">
        <x:f>IF('당기원장'!A904="","",'당기원장'!D904)</x:f>
      </x:c>
      <x:c r="F1904" s="73" t="str">
        <x:f>IF('당기원장'!A904="","",'당기원장'!E904)</x:f>
      </x:c>
      <x:c r="G1904" s="75" t="str">
        <x:f>IF('당기원장'!A904="","",'당기원장'!H904)</x:f>
      </x:c>
      <x:c r="H1904" s="73" t="str">
        <x:f>IF('당기원장'!A904="","",'당기원장'!I904)</x:f>
      </x:c>
      <x:c r="I1904" s="73" t="str">
        <x:f>IF('당기원장'!A904="","",'당기원장'!J904)</x:f>
      </x:c>
      <x:c r="J1904" s="73" t="str">
        <x:f>IF('당기원장'!A904="","",'당기원장'!K904)</x:f>
      </x:c>
      <x:c r="K1904" s="73" t="str">
        <x:f>IF(B1904="","",IF(COUNTIF($B$5:B1904,B1904)=1,COUNT($K$4:K1903)+1,""))</x:f>
      </x:c>
      <x:c r="L1904" s="85" t="str">
        <x:f>IF(B1904="","",IF(COUNTIFS('계정비교'!$A$5:$A$1004,B1904,'계정비교'!$H$5:$H$1004,"원인분석 대상")&gt;0,COUNT($L$4:L1903)+1,""))</x:f>
      </x:c>
    </x:row>
    <x:row r="1905">
      <x:c r="A1905" s="73" t="str">
        <x:f>IF('당기원장'!A905="","","당기")</x:f>
      </x:c>
      <x:c r="B1905" s="73" t="str">
        <x:f>IF('당기원장'!A905="","",'당기원장'!A905)</x:f>
      </x:c>
      <x:c r="C1905" s="73" t="str">
        <x:f>IF('당기원장'!A905="","",'당기원장'!B905)</x:f>
      </x:c>
      <x:c r="D1905" s="74" t="str">
        <x:f>IF('당기원장'!A905="","",'당기원장'!C905)</x:f>
      </x:c>
      <x:c r="E1905" s="73" t="str">
        <x:f>IF('당기원장'!A905="","",'당기원장'!D905)</x:f>
      </x:c>
      <x:c r="F1905" s="73" t="str">
        <x:f>IF('당기원장'!A905="","",'당기원장'!E905)</x:f>
      </x:c>
      <x:c r="G1905" s="75" t="str">
        <x:f>IF('당기원장'!A905="","",'당기원장'!H905)</x:f>
      </x:c>
      <x:c r="H1905" s="73" t="str">
        <x:f>IF('당기원장'!A905="","",'당기원장'!I905)</x:f>
      </x:c>
      <x:c r="I1905" s="73" t="str">
        <x:f>IF('당기원장'!A905="","",'당기원장'!J905)</x:f>
      </x:c>
      <x:c r="J1905" s="73" t="str">
        <x:f>IF('당기원장'!A905="","",'당기원장'!K905)</x:f>
      </x:c>
      <x:c r="K1905" s="73" t="str">
        <x:f>IF(B1905="","",IF(COUNTIF($B$5:B1905,B1905)=1,COUNT($K$4:K1904)+1,""))</x:f>
      </x:c>
      <x:c r="L1905" s="85" t="str">
        <x:f>IF(B1905="","",IF(COUNTIFS('계정비교'!$A$5:$A$1004,B1905,'계정비교'!$H$5:$H$1004,"원인분석 대상")&gt;0,COUNT($L$4:L1904)+1,""))</x:f>
      </x:c>
    </x:row>
    <x:row r="1906">
      <x:c r="A1906" s="73" t="str">
        <x:f>IF('당기원장'!A906="","","당기")</x:f>
      </x:c>
      <x:c r="B1906" s="73" t="str">
        <x:f>IF('당기원장'!A906="","",'당기원장'!A906)</x:f>
      </x:c>
      <x:c r="C1906" s="73" t="str">
        <x:f>IF('당기원장'!A906="","",'당기원장'!B906)</x:f>
      </x:c>
      <x:c r="D1906" s="74" t="str">
        <x:f>IF('당기원장'!A906="","",'당기원장'!C906)</x:f>
      </x:c>
      <x:c r="E1906" s="73" t="str">
        <x:f>IF('당기원장'!A906="","",'당기원장'!D906)</x:f>
      </x:c>
      <x:c r="F1906" s="73" t="str">
        <x:f>IF('당기원장'!A906="","",'당기원장'!E906)</x:f>
      </x:c>
      <x:c r="G1906" s="75" t="str">
        <x:f>IF('당기원장'!A906="","",'당기원장'!H906)</x:f>
      </x:c>
      <x:c r="H1906" s="73" t="str">
        <x:f>IF('당기원장'!A906="","",'당기원장'!I906)</x:f>
      </x:c>
      <x:c r="I1906" s="73" t="str">
        <x:f>IF('당기원장'!A906="","",'당기원장'!J906)</x:f>
      </x:c>
      <x:c r="J1906" s="73" t="str">
        <x:f>IF('당기원장'!A906="","",'당기원장'!K906)</x:f>
      </x:c>
      <x:c r="K1906" s="73" t="str">
        <x:f>IF(B1906="","",IF(COUNTIF($B$5:B1906,B1906)=1,COUNT($K$4:K1905)+1,""))</x:f>
      </x:c>
      <x:c r="L1906" s="85" t="str">
        <x:f>IF(B1906="","",IF(COUNTIFS('계정비교'!$A$5:$A$1004,B1906,'계정비교'!$H$5:$H$1004,"원인분석 대상")&gt;0,COUNT($L$4:L1905)+1,""))</x:f>
      </x:c>
    </x:row>
    <x:row r="1907">
      <x:c r="A1907" s="73" t="str">
        <x:f>IF('당기원장'!A907="","","당기")</x:f>
      </x:c>
      <x:c r="B1907" s="73" t="str">
        <x:f>IF('당기원장'!A907="","",'당기원장'!A907)</x:f>
      </x:c>
      <x:c r="C1907" s="73" t="str">
        <x:f>IF('당기원장'!A907="","",'당기원장'!B907)</x:f>
      </x:c>
      <x:c r="D1907" s="74" t="str">
        <x:f>IF('당기원장'!A907="","",'당기원장'!C907)</x:f>
      </x:c>
      <x:c r="E1907" s="73" t="str">
        <x:f>IF('당기원장'!A907="","",'당기원장'!D907)</x:f>
      </x:c>
      <x:c r="F1907" s="73" t="str">
        <x:f>IF('당기원장'!A907="","",'당기원장'!E907)</x:f>
      </x:c>
      <x:c r="G1907" s="75" t="str">
        <x:f>IF('당기원장'!A907="","",'당기원장'!H907)</x:f>
      </x:c>
      <x:c r="H1907" s="73" t="str">
        <x:f>IF('당기원장'!A907="","",'당기원장'!I907)</x:f>
      </x:c>
      <x:c r="I1907" s="73" t="str">
        <x:f>IF('당기원장'!A907="","",'당기원장'!J907)</x:f>
      </x:c>
      <x:c r="J1907" s="73" t="str">
        <x:f>IF('당기원장'!A907="","",'당기원장'!K907)</x:f>
      </x:c>
      <x:c r="K1907" s="73" t="str">
        <x:f>IF(B1907="","",IF(COUNTIF($B$5:B1907,B1907)=1,COUNT($K$4:K1906)+1,""))</x:f>
      </x:c>
      <x:c r="L1907" s="85" t="str">
        <x:f>IF(B1907="","",IF(COUNTIFS('계정비교'!$A$5:$A$1004,B1907,'계정비교'!$H$5:$H$1004,"원인분석 대상")&gt;0,COUNT($L$4:L1906)+1,""))</x:f>
      </x:c>
    </x:row>
    <x:row r="1908">
      <x:c r="A1908" s="73" t="str">
        <x:f>IF('당기원장'!A908="","","당기")</x:f>
      </x:c>
      <x:c r="B1908" s="73" t="str">
        <x:f>IF('당기원장'!A908="","",'당기원장'!A908)</x:f>
      </x:c>
      <x:c r="C1908" s="73" t="str">
        <x:f>IF('당기원장'!A908="","",'당기원장'!B908)</x:f>
      </x:c>
      <x:c r="D1908" s="74" t="str">
        <x:f>IF('당기원장'!A908="","",'당기원장'!C908)</x:f>
      </x:c>
      <x:c r="E1908" s="73" t="str">
        <x:f>IF('당기원장'!A908="","",'당기원장'!D908)</x:f>
      </x:c>
      <x:c r="F1908" s="73" t="str">
        <x:f>IF('당기원장'!A908="","",'당기원장'!E908)</x:f>
      </x:c>
      <x:c r="G1908" s="75" t="str">
        <x:f>IF('당기원장'!A908="","",'당기원장'!H908)</x:f>
      </x:c>
      <x:c r="H1908" s="73" t="str">
        <x:f>IF('당기원장'!A908="","",'당기원장'!I908)</x:f>
      </x:c>
      <x:c r="I1908" s="73" t="str">
        <x:f>IF('당기원장'!A908="","",'당기원장'!J908)</x:f>
      </x:c>
      <x:c r="J1908" s="73" t="str">
        <x:f>IF('당기원장'!A908="","",'당기원장'!K908)</x:f>
      </x:c>
      <x:c r="K1908" s="73" t="str">
        <x:f>IF(B1908="","",IF(COUNTIF($B$5:B1908,B1908)=1,COUNT($K$4:K1907)+1,""))</x:f>
      </x:c>
      <x:c r="L1908" s="85" t="str">
        <x:f>IF(B1908="","",IF(COUNTIFS('계정비교'!$A$5:$A$1004,B1908,'계정비교'!$H$5:$H$1004,"원인분석 대상")&gt;0,COUNT($L$4:L1907)+1,""))</x:f>
      </x:c>
    </x:row>
    <x:row r="1909">
      <x:c r="A1909" s="73" t="str">
        <x:f>IF('당기원장'!A909="","","당기")</x:f>
      </x:c>
      <x:c r="B1909" s="73" t="str">
        <x:f>IF('당기원장'!A909="","",'당기원장'!A909)</x:f>
      </x:c>
      <x:c r="C1909" s="73" t="str">
        <x:f>IF('당기원장'!A909="","",'당기원장'!B909)</x:f>
      </x:c>
      <x:c r="D1909" s="74" t="str">
        <x:f>IF('당기원장'!A909="","",'당기원장'!C909)</x:f>
      </x:c>
      <x:c r="E1909" s="73" t="str">
        <x:f>IF('당기원장'!A909="","",'당기원장'!D909)</x:f>
      </x:c>
      <x:c r="F1909" s="73" t="str">
        <x:f>IF('당기원장'!A909="","",'당기원장'!E909)</x:f>
      </x:c>
      <x:c r="G1909" s="75" t="str">
        <x:f>IF('당기원장'!A909="","",'당기원장'!H909)</x:f>
      </x:c>
      <x:c r="H1909" s="73" t="str">
        <x:f>IF('당기원장'!A909="","",'당기원장'!I909)</x:f>
      </x:c>
      <x:c r="I1909" s="73" t="str">
        <x:f>IF('당기원장'!A909="","",'당기원장'!J909)</x:f>
      </x:c>
      <x:c r="J1909" s="73" t="str">
        <x:f>IF('당기원장'!A909="","",'당기원장'!K909)</x:f>
      </x:c>
      <x:c r="K1909" s="73" t="str">
        <x:f>IF(B1909="","",IF(COUNTIF($B$5:B1909,B1909)=1,COUNT($K$4:K1908)+1,""))</x:f>
      </x:c>
      <x:c r="L1909" s="85" t="str">
        <x:f>IF(B1909="","",IF(COUNTIFS('계정비교'!$A$5:$A$1004,B1909,'계정비교'!$H$5:$H$1004,"원인분석 대상")&gt;0,COUNT($L$4:L1908)+1,""))</x:f>
      </x:c>
    </x:row>
    <x:row r="1910">
      <x:c r="A1910" s="73" t="str">
        <x:f>IF('당기원장'!A910="","","당기")</x:f>
      </x:c>
      <x:c r="B1910" s="73" t="str">
        <x:f>IF('당기원장'!A910="","",'당기원장'!A910)</x:f>
      </x:c>
      <x:c r="C1910" s="73" t="str">
        <x:f>IF('당기원장'!A910="","",'당기원장'!B910)</x:f>
      </x:c>
      <x:c r="D1910" s="74" t="str">
        <x:f>IF('당기원장'!A910="","",'당기원장'!C910)</x:f>
      </x:c>
      <x:c r="E1910" s="73" t="str">
        <x:f>IF('당기원장'!A910="","",'당기원장'!D910)</x:f>
      </x:c>
      <x:c r="F1910" s="73" t="str">
        <x:f>IF('당기원장'!A910="","",'당기원장'!E910)</x:f>
      </x:c>
      <x:c r="G1910" s="75" t="str">
        <x:f>IF('당기원장'!A910="","",'당기원장'!H910)</x:f>
      </x:c>
      <x:c r="H1910" s="73" t="str">
        <x:f>IF('당기원장'!A910="","",'당기원장'!I910)</x:f>
      </x:c>
      <x:c r="I1910" s="73" t="str">
        <x:f>IF('당기원장'!A910="","",'당기원장'!J910)</x:f>
      </x:c>
      <x:c r="J1910" s="73" t="str">
        <x:f>IF('당기원장'!A910="","",'당기원장'!K910)</x:f>
      </x:c>
      <x:c r="K1910" s="73" t="str">
        <x:f>IF(B1910="","",IF(COUNTIF($B$5:B1910,B1910)=1,COUNT($K$4:K1909)+1,""))</x:f>
      </x:c>
      <x:c r="L1910" s="85" t="str">
        <x:f>IF(B1910="","",IF(COUNTIFS('계정비교'!$A$5:$A$1004,B1910,'계정비교'!$H$5:$H$1004,"원인분석 대상")&gt;0,COUNT($L$4:L1909)+1,""))</x:f>
      </x:c>
    </x:row>
    <x:row r="1911">
      <x:c r="A1911" s="73" t="str">
        <x:f>IF('당기원장'!A911="","","당기")</x:f>
      </x:c>
      <x:c r="B1911" s="73" t="str">
        <x:f>IF('당기원장'!A911="","",'당기원장'!A911)</x:f>
      </x:c>
      <x:c r="C1911" s="73" t="str">
        <x:f>IF('당기원장'!A911="","",'당기원장'!B911)</x:f>
      </x:c>
      <x:c r="D1911" s="74" t="str">
        <x:f>IF('당기원장'!A911="","",'당기원장'!C911)</x:f>
      </x:c>
      <x:c r="E1911" s="73" t="str">
        <x:f>IF('당기원장'!A911="","",'당기원장'!D911)</x:f>
      </x:c>
      <x:c r="F1911" s="73" t="str">
        <x:f>IF('당기원장'!A911="","",'당기원장'!E911)</x:f>
      </x:c>
      <x:c r="G1911" s="75" t="str">
        <x:f>IF('당기원장'!A911="","",'당기원장'!H911)</x:f>
      </x:c>
      <x:c r="H1911" s="73" t="str">
        <x:f>IF('당기원장'!A911="","",'당기원장'!I911)</x:f>
      </x:c>
      <x:c r="I1911" s="73" t="str">
        <x:f>IF('당기원장'!A911="","",'당기원장'!J911)</x:f>
      </x:c>
      <x:c r="J1911" s="73" t="str">
        <x:f>IF('당기원장'!A911="","",'당기원장'!K911)</x:f>
      </x:c>
      <x:c r="K1911" s="73" t="str">
        <x:f>IF(B1911="","",IF(COUNTIF($B$5:B1911,B1911)=1,COUNT($K$4:K1910)+1,""))</x:f>
      </x:c>
      <x:c r="L1911" s="85" t="str">
        <x:f>IF(B1911="","",IF(COUNTIFS('계정비교'!$A$5:$A$1004,B1911,'계정비교'!$H$5:$H$1004,"원인분석 대상")&gt;0,COUNT($L$4:L1910)+1,""))</x:f>
      </x:c>
    </x:row>
    <x:row r="1912">
      <x:c r="A1912" s="73" t="str">
        <x:f>IF('당기원장'!A912="","","당기")</x:f>
      </x:c>
      <x:c r="B1912" s="73" t="str">
        <x:f>IF('당기원장'!A912="","",'당기원장'!A912)</x:f>
      </x:c>
      <x:c r="C1912" s="73" t="str">
        <x:f>IF('당기원장'!A912="","",'당기원장'!B912)</x:f>
      </x:c>
      <x:c r="D1912" s="74" t="str">
        <x:f>IF('당기원장'!A912="","",'당기원장'!C912)</x:f>
      </x:c>
      <x:c r="E1912" s="73" t="str">
        <x:f>IF('당기원장'!A912="","",'당기원장'!D912)</x:f>
      </x:c>
      <x:c r="F1912" s="73" t="str">
        <x:f>IF('당기원장'!A912="","",'당기원장'!E912)</x:f>
      </x:c>
      <x:c r="G1912" s="75" t="str">
        <x:f>IF('당기원장'!A912="","",'당기원장'!H912)</x:f>
      </x:c>
      <x:c r="H1912" s="73" t="str">
        <x:f>IF('당기원장'!A912="","",'당기원장'!I912)</x:f>
      </x:c>
      <x:c r="I1912" s="73" t="str">
        <x:f>IF('당기원장'!A912="","",'당기원장'!J912)</x:f>
      </x:c>
      <x:c r="J1912" s="73" t="str">
        <x:f>IF('당기원장'!A912="","",'당기원장'!K912)</x:f>
      </x:c>
      <x:c r="K1912" s="73" t="str">
        <x:f>IF(B1912="","",IF(COUNTIF($B$5:B1912,B1912)=1,COUNT($K$4:K1911)+1,""))</x:f>
      </x:c>
      <x:c r="L1912" s="85" t="str">
        <x:f>IF(B1912="","",IF(COUNTIFS('계정비교'!$A$5:$A$1004,B1912,'계정비교'!$H$5:$H$1004,"원인분석 대상")&gt;0,COUNT($L$4:L1911)+1,""))</x:f>
      </x:c>
    </x:row>
    <x:row r="1913">
      <x:c r="A1913" s="73" t="str">
        <x:f>IF('당기원장'!A913="","","당기")</x:f>
      </x:c>
      <x:c r="B1913" s="73" t="str">
        <x:f>IF('당기원장'!A913="","",'당기원장'!A913)</x:f>
      </x:c>
      <x:c r="C1913" s="73" t="str">
        <x:f>IF('당기원장'!A913="","",'당기원장'!B913)</x:f>
      </x:c>
      <x:c r="D1913" s="74" t="str">
        <x:f>IF('당기원장'!A913="","",'당기원장'!C913)</x:f>
      </x:c>
      <x:c r="E1913" s="73" t="str">
        <x:f>IF('당기원장'!A913="","",'당기원장'!D913)</x:f>
      </x:c>
      <x:c r="F1913" s="73" t="str">
        <x:f>IF('당기원장'!A913="","",'당기원장'!E913)</x:f>
      </x:c>
      <x:c r="G1913" s="75" t="str">
        <x:f>IF('당기원장'!A913="","",'당기원장'!H913)</x:f>
      </x:c>
      <x:c r="H1913" s="73" t="str">
        <x:f>IF('당기원장'!A913="","",'당기원장'!I913)</x:f>
      </x:c>
      <x:c r="I1913" s="73" t="str">
        <x:f>IF('당기원장'!A913="","",'당기원장'!J913)</x:f>
      </x:c>
      <x:c r="J1913" s="73" t="str">
        <x:f>IF('당기원장'!A913="","",'당기원장'!K913)</x:f>
      </x:c>
      <x:c r="K1913" s="73" t="str">
        <x:f>IF(B1913="","",IF(COUNTIF($B$5:B1913,B1913)=1,COUNT($K$4:K1912)+1,""))</x:f>
      </x:c>
      <x:c r="L1913" s="85" t="str">
        <x:f>IF(B1913="","",IF(COUNTIFS('계정비교'!$A$5:$A$1004,B1913,'계정비교'!$H$5:$H$1004,"원인분석 대상")&gt;0,COUNT($L$4:L1912)+1,""))</x:f>
      </x:c>
    </x:row>
    <x:row r="1914">
      <x:c r="A1914" s="73" t="str">
        <x:f>IF('당기원장'!A914="","","당기")</x:f>
      </x:c>
      <x:c r="B1914" s="73" t="str">
        <x:f>IF('당기원장'!A914="","",'당기원장'!A914)</x:f>
      </x:c>
      <x:c r="C1914" s="73" t="str">
        <x:f>IF('당기원장'!A914="","",'당기원장'!B914)</x:f>
      </x:c>
      <x:c r="D1914" s="74" t="str">
        <x:f>IF('당기원장'!A914="","",'당기원장'!C914)</x:f>
      </x:c>
      <x:c r="E1914" s="73" t="str">
        <x:f>IF('당기원장'!A914="","",'당기원장'!D914)</x:f>
      </x:c>
      <x:c r="F1914" s="73" t="str">
        <x:f>IF('당기원장'!A914="","",'당기원장'!E914)</x:f>
      </x:c>
      <x:c r="G1914" s="75" t="str">
        <x:f>IF('당기원장'!A914="","",'당기원장'!H914)</x:f>
      </x:c>
      <x:c r="H1914" s="73" t="str">
        <x:f>IF('당기원장'!A914="","",'당기원장'!I914)</x:f>
      </x:c>
      <x:c r="I1914" s="73" t="str">
        <x:f>IF('당기원장'!A914="","",'당기원장'!J914)</x:f>
      </x:c>
      <x:c r="J1914" s="73" t="str">
        <x:f>IF('당기원장'!A914="","",'당기원장'!K914)</x:f>
      </x:c>
      <x:c r="K1914" s="73" t="str">
        <x:f>IF(B1914="","",IF(COUNTIF($B$5:B1914,B1914)=1,COUNT($K$4:K1913)+1,""))</x:f>
      </x:c>
      <x:c r="L1914" s="85" t="str">
        <x:f>IF(B1914="","",IF(COUNTIFS('계정비교'!$A$5:$A$1004,B1914,'계정비교'!$H$5:$H$1004,"원인분석 대상")&gt;0,COUNT($L$4:L1913)+1,""))</x:f>
      </x:c>
    </x:row>
    <x:row r="1915">
      <x:c r="A1915" s="73" t="str">
        <x:f>IF('당기원장'!A915="","","당기")</x:f>
      </x:c>
      <x:c r="B1915" s="73" t="str">
        <x:f>IF('당기원장'!A915="","",'당기원장'!A915)</x:f>
      </x:c>
      <x:c r="C1915" s="73" t="str">
        <x:f>IF('당기원장'!A915="","",'당기원장'!B915)</x:f>
      </x:c>
      <x:c r="D1915" s="74" t="str">
        <x:f>IF('당기원장'!A915="","",'당기원장'!C915)</x:f>
      </x:c>
      <x:c r="E1915" s="73" t="str">
        <x:f>IF('당기원장'!A915="","",'당기원장'!D915)</x:f>
      </x:c>
      <x:c r="F1915" s="73" t="str">
        <x:f>IF('당기원장'!A915="","",'당기원장'!E915)</x:f>
      </x:c>
      <x:c r="G1915" s="75" t="str">
        <x:f>IF('당기원장'!A915="","",'당기원장'!H915)</x:f>
      </x:c>
      <x:c r="H1915" s="73" t="str">
        <x:f>IF('당기원장'!A915="","",'당기원장'!I915)</x:f>
      </x:c>
      <x:c r="I1915" s="73" t="str">
        <x:f>IF('당기원장'!A915="","",'당기원장'!J915)</x:f>
      </x:c>
      <x:c r="J1915" s="73" t="str">
        <x:f>IF('당기원장'!A915="","",'당기원장'!K915)</x:f>
      </x:c>
      <x:c r="K1915" s="73" t="str">
        <x:f>IF(B1915="","",IF(COUNTIF($B$5:B1915,B1915)=1,COUNT($K$4:K1914)+1,""))</x:f>
      </x:c>
      <x:c r="L1915" s="85" t="str">
        <x:f>IF(B1915="","",IF(COUNTIFS('계정비교'!$A$5:$A$1004,B1915,'계정비교'!$H$5:$H$1004,"원인분석 대상")&gt;0,COUNT($L$4:L1914)+1,""))</x:f>
      </x:c>
    </x:row>
    <x:row r="1916">
      <x:c r="A1916" s="73" t="str">
        <x:f>IF('당기원장'!A916="","","당기")</x:f>
      </x:c>
      <x:c r="B1916" s="73" t="str">
        <x:f>IF('당기원장'!A916="","",'당기원장'!A916)</x:f>
      </x:c>
      <x:c r="C1916" s="73" t="str">
        <x:f>IF('당기원장'!A916="","",'당기원장'!B916)</x:f>
      </x:c>
      <x:c r="D1916" s="74" t="str">
        <x:f>IF('당기원장'!A916="","",'당기원장'!C916)</x:f>
      </x:c>
      <x:c r="E1916" s="73" t="str">
        <x:f>IF('당기원장'!A916="","",'당기원장'!D916)</x:f>
      </x:c>
      <x:c r="F1916" s="73" t="str">
        <x:f>IF('당기원장'!A916="","",'당기원장'!E916)</x:f>
      </x:c>
      <x:c r="G1916" s="75" t="str">
        <x:f>IF('당기원장'!A916="","",'당기원장'!H916)</x:f>
      </x:c>
      <x:c r="H1916" s="73" t="str">
        <x:f>IF('당기원장'!A916="","",'당기원장'!I916)</x:f>
      </x:c>
      <x:c r="I1916" s="73" t="str">
        <x:f>IF('당기원장'!A916="","",'당기원장'!J916)</x:f>
      </x:c>
      <x:c r="J1916" s="73" t="str">
        <x:f>IF('당기원장'!A916="","",'당기원장'!K916)</x:f>
      </x:c>
      <x:c r="K1916" s="73" t="str">
        <x:f>IF(B1916="","",IF(COUNTIF($B$5:B1916,B1916)=1,COUNT($K$4:K1915)+1,""))</x:f>
      </x:c>
      <x:c r="L1916" s="85" t="str">
        <x:f>IF(B1916="","",IF(COUNTIFS('계정비교'!$A$5:$A$1004,B1916,'계정비교'!$H$5:$H$1004,"원인분석 대상")&gt;0,COUNT($L$4:L1915)+1,""))</x:f>
      </x:c>
    </x:row>
    <x:row r="1917">
      <x:c r="A1917" s="73" t="str">
        <x:f>IF('당기원장'!A917="","","당기")</x:f>
      </x:c>
      <x:c r="B1917" s="73" t="str">
        <x:f>IF('당기원장'!A917="","",'당기원장'!A917)</x:f>
      </x:c>
      <x:c r="C1917" s="73" t="str">
        <x:f>IF('당기원장'!A917="","",'당기원장'!B917)</x:f>
      </x:c>
      <x:c r="D1917" s="74" t="str">
        <x:f>IF('당기원장'!A917="","",'당기원장'!C917)</x:f>
      </x:c>
      <x:c r="E1917" s="73" t="str">
        <x:f>IF('당기원장'!A917="","",'당기원장'!D917)</x:f>
      </x:c>
      <x:c r="F1917" s="73" t="str">
        <x:f>IF('당기원장'!A917="","",'당기원장'!E917)</x:f>
      </x:c>
      <x:c r="G1917" s="75" t="str">
        <x:f>IF('당기원장'!A917="","",'당기원장'!H917)</x:f>
      </x:c>
      <x:c r="H1917" s="73" t="str">
        <x:f>IF('당기원장'!A917="","",'당기원장'!I917)</x:f>
      </x:c>
      <x:c r="I1917" s="73" t="str">
        <x:f>IF('당기원장'!A917="","",'당기원장'!J917)</x:f>
      </x:c>
      <x:c r="J1917" s="73" t="str">
        <x:f>IF('당기원장'!A917="","",'당기원장'!K917)</x:f>
      </x:c>
      <x:c r="K1917" s="73" t="str">
        <x:f>IF(B1917="","",IF(COUNTIF($B$5:B1917,B1917)=1,COUNT($K$4:K1916)+1,""))</x:f>
      </x:c>
      <x:c r="L1917" s="85" t="str">
        <x:f>IF(B1917="","",IF(COUNTIFS('계정비교'!$A$5:$A$1004,B1917,'계정비교'!$H$5:$H$1004,"원인분석 대상")&gt;0,COUNT($L$4:L1916)+1,""))</x:f>
      </x:c>
    </x:row>
    <x:row r="1918">
      <x:c r="A1918" s="73" t="str">
        <x:f>IF('당기원장'!A918="","","당기")</x:f>
      </x:c>
      <x:c r="B1918" s="73" t="str">
        <x:f>IF('당기원장'!A918="","",'당기원장'!A918)</x:f>
      </x:c>
      <x:c r="C1918" s="73" t="str">
        <x:f>IF('당기원장'!A918="","",'당기원장'!B918)</x:f>
      </x:c>
      <x:c r="D1918" s="74" t="str">
        <x:f>IF('당기원장'!A918="","",'당기원장'!C918)</x:f>
      </x:c>
      <x:c r="E1918" s="73" t="str">
        <x:f>IF('당기원장'!A918="","",'당기원장'!D918)</x:f>
      </x:c>
      <x:c r="F1918" s="73" t="str">
        <x:f>IF('당기원장'!A918="","",'당기원장'!E918)</x:f>
      </x:c>
      <x:c r="G1918" s="75" t="str">
        <x:f>IF('당기원장'!A918="","",'당기원장'!H918)</x:f>
      </x:c>
      <x:c r="H1918" s="73" t="str">
        <x:f>IF('당기원장'!A918="","",'당기원장'!I918)</x:f>
      </x:c>
      <x:c r="I1918" s="73" t="str">
        <x:f>IF('당기원장'!A918="","",'당기원장'!J918)</x:f>
      </x:c>
      <x:c r="J1918" s="73" t="str">
        <x:f>IF('당기원장'!A918="","",'당기원장'!K918)</x:f>
      </x:c>
      <x:c r="K1918" s="73" t="str">
        <x:f>IF(B1918="","",IF(COUNTIF($B$5:B1918,B1918)=1,COUNT($K$4:K1917)+1,""))</x:f>
      </x:c>
      <x:c r="L1918" s="85" t="str">
        <x:f>IF(B1918="","",IF(COUNTIFS('계정비교'!$A$5:$A$1004,B1918,'계정비교'!$H$5:$H$1004,"원인분석 대상")&gt;0,COUNT($L$4:L1917)+1,""))</x:f>
      </x:c>
    </x:row>
    <x:row r="1919">
      <x:c r="A1919" s="73" t="str">
        <x:f>IF('당기원장'!A919="","","당기")</x:f>
      </x:c>
      <x:c r="B1919" s="73" t="str">
        <x:f>IF('당기원장'!A919="","",'당기원장'!A919)</x:f>
      </x:c>
      <x:c r="C1919" s="73" t="str">
        <x:f>IF('당기원장'!A919="","",'당기원장'!B919)</x:f>
      </x:c>
      <x:c r="D1919" s="74" t="str">
        <x:f>IF('당기원장'!A919="","",'당기원장'!C919)</x:f>
      </x:c>
      <x:c r="E1919" s="73" t="str">
        <x:f>IF('당기원장'!A919="","",'당기원장'!D919)</x:f>
      </x:c>
      <x:c r="F1919" s="73" t="str">
        <x:f>IF('당기원장'!A919="","",'당기원장'!E919)</x:f>
      </x:c>
      <x:c r="G1919" s="75" t="str">
        <x:f>IF('당기원장'!A919="","",'당기원장'!H919)</x:f>
      </x:c>
      <x:c r="H1919" s="73" t="str">
        <x:f>IF('당기원장'!A919="","",'당기원장'!I919)</x:f>
      </x:c>
      <x:c r="I1919" s="73" t="str">
        <x:f>IF('당기원장'!A919="","",'당기원장'!J919)</x:f>
      </x:c>
      <x:c r="J1919" s="73" t="str">
        <x:f>IF('당기원장'!A919="","",'당기원장'!K919)</x:f>
      </x:c>
      <x:c r="K1919" s="73" t="str">
        <x:f>IF(B1919="","",IF(COUNTIF($B$5:B1919,B1919)=1,COUNT($K$4:K1918)+1,""))</x:f>
      </x:c>
      <x:c r="L1919" s="85" t="str">
        <x:f>IF(B1919="","",IF(COUNTIFS('계정비교'!$A$5:$A$1004,B1919,'계정비교'!$H$5:$H$1004,"원인분석 대상")&gt;0,COUNT($L$4:L1918)+1,""))</x:f>
      </x:c>
    </x:row>
    <x:row r="1920">
      <x:c r="A1920" s="73" t="str">
        <x:f>IF('당기원장'!A920="","","당기")</x:f>
      </x:c>
      <x:c r="B1920" s="73" t="str">
        <x:f>IF('당기원장'!A920="","",'당기원장'!A920)</x:f>
      </x:c>
      <x:c r="C1920" s="73" t="str">
        <x:f>IF('당기원장'!A920="","",'당기원장'!B920)</x:f>
      </x:c>
      <x:c r="D1920" s="74" t="str">
        <x:f>IF('당기원장'!A920="","",'당기원장'!C920)</x:f>
      </x:c>
      <x:c r="E1920" s="73" t="str">
        <x:f>IF('당기원장'!A920="","",'당기원장'!D920)</x:f>
      </x:c>
      <x:c r="F1920" s="73" t="str">
        <x:f>IF('당기원장'!A920="","",'당기원장'!E920)</x:f>
      </x:c>
      <x:c r="G1920" s="75" t="str">
        <x:f>IF('당기원장'!A920="","",'당기원장'!H920)</x:f>
      </x:c>
      <x:c r="H1920" s="73" t="str">
        <x:f>IF('당기원장'!A920="","",'당기원장'!I920)</x:f>
      </x:c>
      <x:c r="I1920" s="73" t="str">
        <x:f>IF('당기원장'!A920="","",'당기원장'!J920)</x:f>
      </x:c>
      <x:c r="J1920" s="73" t="str">
        <x:f>IF('당기원장'!A920="","",'당기원장'!K920)</x:f>
      </x:c>
      <x:c r="K1920" s="73" t="str">
        <x:f>IF(B1920="","",IF(COUNTIF($B$5:B1920,B1920)=1,COUNT($K$4:K1919)+1,""))</x:f>
      </x:c>
      <x:c r="L1920" s="85" t="str">
        <x:f>IF(B1920="","",IF(COUNTIFS('계정비교'!$A$5:$A$1004,B1920,'계정비교'!$H$5:$H$1004,"원인분석 대상")&gt;0,COUNT($L$4:L1919)+1,""))</x:f>
      </x:c>
    </x:row>
    <x:row r="1921">
      <x:c r="A1921" s="73" t="str">
        <x:f>IF('당기원장'!A921="","","당기")</x:f>
      </x:c>
      <x:c r="B1921" s="73" t="str">
        <x:f>IF('당기원장'!A921="","",'당기원장'!A921)</x:f>
      </x:c>
      <x:c r="C1921" s="73" t="str">
        <x:f>IF('당기원장'!A921="","",'당기원장'!B921)</x:f>
      </x:c>
      <x:c r="D1921" s="74" t="str">
        <x:f>IF('당기원장'!A921="","",'당기원장'!C921)</x:f>
      </x:c>
      <x:c r="E1921" s="73" t="str">
        <x:f>IF('당기원장'!A921="","",'당기원장'!D921)</x:f>
      </x:c>
      <x:c r="F1921" s="73" t="str">
        <x:f>IF('당기원장'!A921="","",'당기원장'!E921)</x:f>
      </x:c>
      <x:c r="G1921" s="75" t="str">
        <x:f>IF('당기원장'!A921="","",'당기원장'!H921)</x:f>
      </x:c>
      <x:c r="H1921" s="73" t="str">
        <x:f>IF('당기원장'!A921="","",'당기원장'!I921)</x:f>
      </x:c>
      <x:c r="I1921" s="73" t="str">
        <x:f>IF('당기원장'!A921="","",'당기원장'!J921)</x:f>
      </x:c>
      <x:c r="J1921" s="73" t="str">
        <x:f>IF('당기원장'!A921="","",'당기원장'!K921)</x:f>
      </x:c>
      <x:c r="K1921" s="73" t="str">
        <x:f>IF(B1921="","",IF(COUNTIF($B$5:B1921,B1921)=1,COUNT($K$4:K1920)+1,""))</x:f>
      </x:c>
      <x:c r="L1921" s="85" t="str">
        <x:f>IF(B1921="","",IF(COUNTIFS('계정비교'!$A$5:$A$1004,B1921,'계정비교'!$H$5:$H$1004,"원인분석 대상")&gt;0,COUNT($L$4:L1920)+1,""))</x:f>
      </x:c>
    </x:row>
    <x:row r="1922">
      <x:c r="A1922" s="73" t="str">
        <x:f>IF('당기원장'!A922="","","당기")</x:f>
      </x:c>
      <x:c r="B1922" s="73" t="str">
        <x:f>IF('당기원장'!A922="","",'당기원장'!A922)</x:f>
      </x:c>
      <x:c r="C1922" s="73" t="str">
        <x:f>IF('당기원장'!A922="","",'당기원장'!B922)</x:f>
      </x:c>
      <x:c r="D1922" s="74" t="str">
        <x:f>IF('당기원장'!A922="","",'당기원장'!C922)</x:f>
      </x:c>
      <x:c r="E1922" s="73" t="str">
        <x:f>IF('당기원장'!A922="","",'당기원장'!D922)</x:f>
      </x:c>
      <x:c r="F1922" s="73" t="str">
        <x:f>IF('당기원장'!A922="","",'당기원장'!E922)</x:f>
      </x:c>
      <x:c r="G1922" s="75" t="str">
        <x:f>IF('당기원장'!A922="","",'당기원장'!H922)</x:f>
      </x:c>
      <x:c r="H1922" s="73" t="str">
        <x:f>IF('당기원장'!A922="","",'당기원장'!I922)</x:f>
      </x:c>
      <x:c r="I1922" s="73" t="str">
        <x:f>IF('당기원장'!A922="","",'당기원장'!J922)</x:f>
      </x:c>
      <x:c r="J1922" s="73" t="str">
        <x:f>IF('당기원장'!A922="","",'당기원장'!K922)</x:f>
      </x:c>
      <x:c r="K1922" s="73" t="str">
        <x:f>IF(B1922="","",IF(COUNTIF($B$5:B1922,B1922)=1,COUNT($K$4:K1921)+1,""))</x:f>
      </x:c>
      <x:c r="L1922" s="85" t="str">
        <x:f>IF(B1922="","",IF(COUNTIFS('계정비교'!$A$5:$A$1004,B1922,'계정비교'!$H$5:$H$1004,"원인분석 대상")&gt;0,COUNT($L$4:L1921)+1,""))</x:f>
      </x:c>
    </x:row>
    <x:row r="1923">
      <x:c r="A1923" s="73" t="str">
        <x:f>IF('당기원장'!A923="","","당기")</x:f>
      </x:c>
      <x:c r="B1923" s="73" t="str">
        <x:f>IF('당기원장'!A923="","",'당기원장'!A923)</x:f>
      </x:c>
      <x:c r="C1923" s="73" t="str">
        <x:f>IF('당기원장'!A923="","",'당기원장'!B923)</x:f>
      </x:c>
      <x:c r="D1923" s="74" t="str">
        <x:f>IF('당기원장'!A923="","",'당기원장'!C923)</x:f>
      </x:c>
      <x:c r="E1923" s="73" t="str">
        <x:f>IF('당기원장'!A923="","",'당기원장'!D923)</x:f>
      </x:c>
      <x:c r="F1923" s="73" t="str">
        <x:f>IF('당기원장'!A923="","",'당기원장'!E923)</x:f>
      </x:c>
      <x:c r="G1923" s="75" t="str">
        <x:f>IF('당기원장'!A923="","",'당기원장'!H923)</x:f>
      </x:c>
      <x:c r="H1923" s="73" t="str">
        <x:f>IF('당기원장'!A923="","",'당기원장'!I923)</x:f>
      </x:c>
      <x:c r="I1923" s="73" t="str">
        <x:f>IF('당기원장'!A923="","",'당기원장'!J923)</x:f>
      </x:c>
      <x:c r="J1923" s="73" t="str">
        <x:f>IF('당기원장'!A923="","",'당기원장'!K923)</x:f>
      </x:c>
      <x:c r="K1923" s="73" t="str">
        <x:f>IF(B1923="","",IF(COUNTIF($B$5:B1923,B1923)=1,COUNT($K$4:K1922)+1,""))</x:f>
      </x:c>
      <x:c r="L1923" s="85" t="str">
        <x:f>IF(B1923="","",IF(COUNTIFS('계정비교'!$A$5:$A$1004,B1923,'계정비교'!$H$5:$H$1004,"원인분석 대상")&gt;0,COUNT($L$4:L1922)+1,""))</x:f>
      </x:c>
    </x:row>
    <x:row r="1924">
      <x:c r="A1924" s="73" t="str">
        <x:f>IF('당기원장'!A924="","","당기")</x:f>
      </x:c>
      <x:c r="B1924" s="73" t="str">
        <x:f>IF('당기원장'!A924="","",'당기원장'!A924)</x:f>
      </x:c>
      <x:c r="C1924" s="73" t="str">
        <x:f>IF('당기원장'!A924="","",'당기원장'!B924)</x:f>
      </x:c>
      <x:c r="D1924" s="74" t="str">
        <x:f>IF('당기원장'!A924="","",'당기원장'!C924)</x:f>
      </x:c>
      <x:c r="E1924" s="73" t="str">
        <x:f>IF('당기원장'!A924="","",'당기원장'!D924)</x:f>
      </x:c>
      <x:c r="F1924" s="73" t="str">
        <x:f>IF('당기원장'!A924="","",'당기원장'!E924)</x:f>
      </x:c>
      <x:c r="G1924" s="75" t="str">
        <x:f>IF('당기원장'!A924="","",'당기원장'!H924)</x:f>
      </x:c>
      <x:c r="H1924" s="73" t="str">
        <x:f>IF('당기원장'!A924="","",'당기원장'!I924)</x:f>
      </x:c>
      <x:c r="I1924" s="73" t="str">
        <x:f>IF('당기원장'!A924="","",'당기원장'!J924)</x:f>
      </x:c>
      <x:c r="J1924" s="73" t="str">
        <x:f>IF('당기원장'!A924="","",'당기원장'!K924)</x:f>
      </x:c>
      <x:c r="K1924" s="73" t="str">
        <x:f>IF(B1924="","",IF(COUNTIF($B$5:B1924,B1924)=1,COUNT($K$4:K1923)+1,""))</x:f>
      </x:c>
      <x:c r="L1924" s="85" t="str">
        <x:f>IF(B1924="","",IF(COUNTIFS('계정비교'!$A$5:$A$1004,B1924,'계정비교'!$H$5:$H$1004,"원인분석 대상")&gt;0,COUNT($L$4:L1923)+1,""))</x:f>
      </x:c>
    </x:row>
    <x:row r="1925">
      <x:c r="A1925" s="73" t="str">
        <x:f>IF('당기원장'!A925="","","당기")</x:f>
      </x:c>
      <x:c r="B1925" s="73" t="str">
        <x:f>IF('당기원장'!A925="","",'당기원장'!A925)</x:f>
      </x:c>
      <x:c r="C1925" s="73" t="str">
        <x:f>IF('당기원장'!A925="","",'당기원장'!B925)</x:f>
      </x:c>
      <x:c r="D1925" s="74" t="str">
        <x:f>IF('당기원장'!A925="","",'당기원장'!C925)</x:f>
      </x:c>
      <x:c r="E1925" s="73" t="str">
        <x:f>IF('당기원장'!A925="","",'당기원장'!D925)</x:f>
      </x:c>
      <x:c r="F1925" s="73" t="str">
        <x:f>IF('당기원장'!A925="","",'당기원장'!E925)</x:f>
      </x:c>
      <x:c r="G1925" s="75" t="str">
        <x:f>IF('당기원장'!A925="","",'당기원장'!H925)</x:f>
      </x:c>
      <x:c r="H1925" s="73" t="str">
        <x:f>IF('당기원장'!A925="","",'당기원장'!I925)</x:f>
      </x:c>
      <x:c r="I1925" s="73" t="str">
        <x:f>IF('당기원장'!A925="","",'당기원장'!J925)</x:f>
      </x:c>
      <x:c r="J1925" s="73" t="str">
        <x:f>IF('당기원장'!A925="","",'당기원장'!K925)</x:f>
      </x:c>
      <x:c r="K1925" s="73" t="str">
        <x:f>IF(B1925="","",IF(COUNTIF($B$5:B1925,B1925)=1,COUNT($K$4:K1924)+1,""))</x:f>
      </x:c>
      <x:c r="L1925" s="85" t="str">
        <x:f>IF(B1925="","",IF(COUNTIFS('계정비교'!$A$5:$A$1004,B1925,'계정비교'!$H$5:$H$1004,"원인분석 대상")&gt;0,COUNT($L$4:L1924)+1,""))</x:f>
      </x:c>
    </x:row>
    <x:row r="1926">
      <x:c r="A1926" s="73" t="str">
        <x:f>IF('당기원장'!A926="","","당기")</x:f>
      </x:c>
      <x:c r="B1926" s="73" t="str">
        <x:f>IF('당기원장'!A926="","",'당기원장'!A926)</x:f>
      </x:c>
      <x:c r="C1926" s="73" t="str">
        <x:f>IF('당기원장'!A926="","",'당기원장'!B926)</x:f>
      </x:c>
      <x:c r="D1926" s="74" t="str">
        <x:f>IF('당기원장'!A926="","",'당기원장'!C926)</x:f>
      </x:c>
      <x:c r="E1926" s="73" t="str">
        <x:f>IF('당기원장'!A926="","",'당기원장'!D926)</x:f>
      </x:c>
      <x:c r="F1926" s="73" t="str">
        <x:f>IF('당기원장'!A926="","",'당기원장'!E926)</x:f>
      </x:c>
      <x:c r="G1926" s="75" t="str">
        <x:f>IF('당기원장'!A926="","",'당기원장'!H926)</x:f>
      </x:c>
      <x:c r="H1926" s="73" t="str">
        <x:f>IF('당기원장'!A926="","",'당기원장'!I926)</x:f>
      </x:c>
      <x:c r="I1926" s="73" t="str">
        <x:f>IF('당기원장'!A926="","",'당기원장'!J926)</x:f>
      </x:c>
      <x:c r="J1926" s="73" t="str">
        <x:f>IF('당기원장'!A926="","",'당기원장'!K926)</x:f>
      </x:c>
      <x:c r="K1926" s="73" t="str">
        <x:f>IF(B1926="","",IF(COUNTIF($B$5:B1926,B1926)=1,COUNT($K$4:K1925)+1,""))</x:f>
      </x:c>
      <x:c r="L1926" s="85" t="str">
        <x:f>IF(B1926="","",IF(COUNTIFS('계정비교'!$A$5:$A$1004,B1926,'계정비교'!$H$5:$H$1004,"원인분석 대상")&gt;0,COUNT($L$4:L1925)+1,""))</x:f>
      </x:c>
    </x:row>
    <x:row r="1927">
      <x:c r="A1927" s="73" t="str">
        <x:f>IF('당기원장'!A927="","","당기")</x:f>
      </x:c>
      <x:c r="B1927" s="73" t="str">
        <x:f>IF('당기원장'!A927="","",'당기원장'!A927)</x:f>
      </x:c>
      <x:c r="C1927" s="73" t="str">
        <x:f>IF('당기원장'!A927="","",'당기원장'!B927)</x:f>
      </x:c>
      <x:c r="D1927" s="74" t="str">
        <x:f>IF('당기원장'!A927="","",'당기원장'!C927)</x:f>
      </x:c>
      <x:c r="E1927" s="73" t="str">
        <x:f>IF('당기원장'!A927="","",'당기원장'!D927)</x:f>
      </x:c>
      <x:c r="F1927" s="73" t="str">
        <x:f>IF('당기원장'!A927="","",'당기원장'!E927)</x:f>
      </x:c>
      <x:c r="G1927" s="75" t="str">
        <x:f>IF('당기원장'!A927="","",'당기원장'!H927)</x:f>
      </x:c>
      <x:c r="H1927" s="73" t="str">
        <x:f>IF('당기원장'!A927="","",'당기원장'!I927)</x:f>
      </x:c>
      <x:c r="I1927" s="73" t="str">
        <x:f>IF('당기원장'!A927="","",'당기원장'!J927)</x:f>
      </x:c>
      <x:c r="J1927" s="73" t="str">
        <x:f>IF('당기원장'!A927="","",'당기원장'!K927)</x:f>
      </x:c>
      <x:c r="K1927" s="73" t="str">
        <x:f>IF(B1927="","",IF(COUNTIF($B$5:B1927,B1927)=1,COUNT($K$4:K1926)+1,""))</x:f>
      </x:c>
      <x:c r="L1927" s="85" t="str">
        <x:f>IF(B1927="","",IF(COUNTIFS('계정비교'!$A$5:$A$1004,B1927,'계정비교'!$H$5:$H$1004,"원인분석 대상")&gt;0,COUNT($L$4:L1926)+1,""))</x:f>
      </x:c>
    </x:row>
    <x:row r="1928">
      <x:c r="A1928" s="73" t="str">
        <x:f>IF('당기원장'!A928="","","당기")</x:f>
      </x:c>
      <x:c r="B1928" s="73" t="str">
        <x:f>IF('당기원장'!A928="","",'당기원장'!A928)</x:f>
      </x:c>
      <x:c r="C1928" s="73" t="str">
        <x:f>IF('당기원장'!A928="","",'당기원장'!B928)</x:f>
      </x:c>
      <x:c r="D1928" s="74" t="str">
        <x:f>IF('당기원장'!A928="","",'당기원장'!C928)</x:f>
      </x:c>
      <x:c r="E1928" s="73" t="str">
        <x:f>IF('당기원장'!A928="","",'당기원장'!D928)</x:f>
      </x:c>
      <x:c r="F1928" s="73" t="str">
        <x:f>IF('당기원장'!A928="","",'당기원장'!E928)</x:f>
      </x:c>
      <x:c r="G1928" s="75" t="str">
        <x:f>IF('당기원장'!A928="","",'당기원장'!H928)</x:f>
      </x:c>
      <x:c r="H1928" s="73" t="str">
        <x:f>IF('당기원장'!A928="","",'당기원장'!I928)</x:f>
      </x:c>
      <x:c r="I1928" s="73" t="str">
        <x:f>IF('당기원장'!A928="","",'당기원장'!J928)</x:f>
      </x:c>
      <x:c r="J1928" s="73" t="str">
        <x:f>IF('당기원장'!A928="","",'당기원장'!K928)</x:f>
      </x:c>
      <x:c r="K1928" s="73" t="str">
        <x:f>IF(B1928="","",IF(COUNTIF($B$5:B1928,B1928)=1,COUNT($K$4:K1927)+1,""))</x:f>
      </x:c>
      <x:c r="L1928" s="85" t="str">
        <x:f>IF(B1928="","",IF(COUNTIFS('계정비교'!$A$5:$A$1004,B1928,'계정비교'!$H$5:$H$1004,"원인분석 대상")&gt;0,COUNT($L$4:L1927)+1,""))</x:f>
      </x:c>
    </x:row>
    <x:row r="1929">
      <x:c r="A1929" s="73" t="str">
        <x:f>IF('당기원장'!A929="","","당기")</x:f>
      </x:c>
      <x:c r="B1929" s="73" t="str">
        <x:f>IF('당기원장'!A929="","",'당기원장'!A929)</x:f>
      </x:c>
      <x:c r="C1929" s="73" t="str">
        <x:f>IF('당기원장'!A929="","",'당기원장'!B929)</x:f>
      </x:c>
      <x:c r="D1929" s="74" t="str">
        <x:f>IF('당기원장'!A929="","",'당기원장'!C929)</x:f>
      </x:c>
      <x:c r="E1929" s="73" t="str">
        <x:f>IF('당기원장'!A929="","",'당기원장'!D929)</x:f>
      </x:c>
      <x:c r="F1929" s="73" t="str">
        <x:f>IF('당기원장'!A929="","",'당기원장'!E929)</x:f>
      </x:c>
      <x:c r="G1929" s="75" t="str">
        <x:f>IF('당기원장'!A929="","",'당기원장'!H929)</x:f>
      </x:c>
      <x:c r="H1929" s="73" t="str">
        <x:f>IF('당기원장'!A929="","",'당기원장'!I929)</x:f>
      </x:c>
      <x:c r="I1929" s="73" t="str">
        <x:f>IF('당기원장'!A929="","",'당기원장'!J929)</x:f>
      </x:c>
      <x:c r="J1929" s="73" t="str">
        <x:f>IF('당기원장'!A929="","",'당기원장'!K929)</x:f>
      </x:c>
      <x:c r="K1929" s="73" t="str">
        <x:f>IF(B1929="","",IF(COUNTIF($B$5:B1929,B1929)=1,COUNT($K$4:K1928)+1,""))</x:f>
      </x:c>
      <x:c r="L1929" s="85" t="str">
        <x:f>IF(B1929="","",IF(COUNTIFS('계정비교'!$A$5:$A$1004,B1929,'계정비교'!$H$5:$H$1004,"원인분석 대상")&gt;0,COUNT($L$4:L1928)+1,""))</x:f>
      </x:c>
    </x:row>
    <x:row r="1930">
      <x:c r="A1930" s="73" t="str">
        <x:f>IF('당기원장'!A930="","","당기")</x:f>
      </x:c>
      <x:c r="B1930" s="73" t="str">
        <x:f>IF('당기원장'!A930="","",'당기원장'!A930)</x:f>
      </x:c>
      <x:c r="C1930" s="73" t="str">
        <x:f>IF('당기원장'!A930="","",'당기원장'!B930)</x:f>
      </x:c>
      <x:c r="D1930" s="74" t="str">
        <x:f>IF('당기원장'!A930="","",'당기원장'!C930)</x:f>
      </x:c>
      <x:c r="E1930" s="73" t="str">
        <x:f>IF('당기원장'!A930="","",'당기원장'!D930)</x:f>
      </x:c>
      <x:c r="F1930" s="73" t="str">
        <x:f>IF('당기원장'!A930="","",'당기원장'!E930)</x:f>
      </x:c>
      <x:c r="G1930" s="75" t="str">
        <x:f>IF('당기원장'!A930="","",'당기원장'!H930)</x:f>
      </x:c>
      <x:c r="H1930" s="73" t="str">
        <x:f>IF('당기원장'!A930="","",'당기원장'!I930)</x:f>
      </x:c>
      <x:c r="I1930" s="73" t="str">
        <x:f>IF('당기원장'!A930="","",'당기원장'!J930)</x:f>
      </x:c>
      <x:c r="J1930" s="73" t="str">
        <x:f>IF('당기원장'!A930="","",'당기원장'!K930)</x:f>
      </x:c>
      <x:c r="K1930" s="73" t="str">
        <x:f>IF(B1930="","",IF(COUNTIF($B$5:B1930,B1930)=1,COUNT($K$4:K1929)+1,""))</x:f>
      </x:c>
      <x:c r="L1930" s="85" t="str">
        <x:f>IF(B1930="","",IF(COUNTIFS('계정비교'!$A$5:$A$1004,B1930,'계정비교'!$H$5:$H$1004,"원인분석 대상")&gt;0,COUNT($L$4:L1929)+1,""))</x:f>
      </x:c>
    </x:row>
    <x:row r="1931">
      <x:c r="A1931" s="73" t="str">
        <x:f>IF('당기원장'!A931="","","당기")</x:f>
      </x:c>
      <x:c r="B1931" s="73" t="str">
        <x:f>IF('당기원장'!A931="","",'당기원장'!A931)</x:f>
      </x:c>
      <x:c r="C1931" s="73" t="str">
        <x:f>IF('당기원장'!A931="","",'당기원장'!B931)</x:f>
      </x:c>
      <x:c r="D1931" s="74" t="str">
        <x:f>IF('당기원장'!A931="","",'당기원장'!C931)</x:f>
      </x:c>
      <x:c r="E1931" s="73" t="str">
        <x:f>IF('당기원장'!A931="","",'당기원장'!D931)</x:f>
      </x:c>
      <x:c r="F1931" s="73" t="str">
        <x:f>IF('당기원장'!A931="","",'당기원장'!E931)</x:f>
      </x:c>
      <x:c r="G1931" s="75" t="str">
        <x:f>IF('당기원장'!A931="","",'당기원장'!H931)</x:f>
      </x:c>
      <x:c r="H1931" s="73" t="str">
        <x:f>IF('당기원장'!A931="","",'당기원장'!I931)</x:f>
      </x:c>
      <x:c r="I1931" s="73" t="str">
        <x:f>IF('당기원장'!A931="","",'당기원장'!J931)</x:f>
      </x:c>
      <x:c r="J1931" s="73" t="str">
        <x:f>IF('당기원장'!A931="","",'당기원장'!K931)</x:f>
      </x:c>
      <x:c r="K1931" s="73" t="str">
        <x:f>IF(B1931="","",IF(COUNTIF($B$5:B1931,B1931)=1,COUNT($K$4:K1930)+1,""))</x:f>
      </x:c>
      <x:c r="L1931" s="85" t="str">
        <x:f>IF(B1931="","",IF(COUNTIFS('계정비교'!$A$5:$A$1004,B1931,'계정비교'!$H$5:$H$1004,"원인분석 대상")&gt;0,COUNT($L$4:L1930)+1,""))</x:f>
      </x:c>
    </x:row>
    <x:row r="1932">
      <x:c r="A1932" s="73" t="str">
        <x:f>IF('당기원장'!A932="","","당기")</x:f>
      </x:c>
      <x:c r="B1932" s="73" t="str">
        <x:f>IF('당기원장'!A932="","",'당기원장'!A932)</x:f>
      </x:c>
      <x:c r="C1932" s="73" t="str">
        <x:f>IF('당기원장'!A932="","",'당기원장'!B932)</x:f>
      </x:c>
      <x:c r="D1932" s="74" t="str">
        <x:f>IF('당기원장'!A932="","",'당기원장'!C932)</x:f>
      </x:c>
      <x:c r="E1932" s="73" t="str">
        <x:f>IF('당기원장'!A932="","",'당기원장'!D932)</x:f>
      </x:c>
      <x:c r="F1932" s="73" t="str">
        <x:f>IF('당기원장'!A932="","",'당기원장'!E932)</x:f>
      </x:c>
      <x:c r="G1932" s="75" t="str">
        <x:f>IF('당기원장'!A932="","",'당기원장'!H932)</x:f>
      </x:c>
      <x:c r="H1932" s="73" t="str">
        <x:f>IF('당기원장'!A932="","",'당기원장'!I932)</x:f>
      </x:c>
      <x:c r="I1932" s="73" t="str">
        <x:f>IF('당기원장'!A932="","",'당기원장'!J932)</x:f>
      </x:c>
      <x:c r="J1932" s="73" t="str">
        <x:f>IF('당기원장'!A932="","",'당기원장'!K932)</x:f>
      </x:c>
      <x:c r="K1932" s="73" t="str">
        <x:f>IF(B1932="","",IF(COUNTIF($B$5:B1932,B1932)=1,COUNT($K$4:K1931)+1,""))</x:f>
      </x:c>
      <x:c r="L1932" s="85" t="str">
        <x:f>IF(B1932="","",IF(COUNTIFS('계정비교'!$A$5:$A$1004,B1932,'계정비교'!$H$5:$H$1004,"원인분석 대상")&gt;0,COUNT($L$4:L1931)+1,""))</x:f>
      </x:c>
    </x:row>
    <x:row r="1933">
      <x:c r="A1933" s="73" t="str">
        <x:f>IF('당기원장'!A933="","","당기")</x:f>
      </x:c>
      <x:c r="B1933" s="73" t="str">
        <x:f>IF('당기원장'!A933="","",'당기원장'!A933)</x:f>
      </x:c>
      <x:c r="C1933" s="73" t="str">
        <x:f>IF('당기원장'!A933="","",'당기원장'!B933)</x:f>
      </x:c>
      <x:c r="D1933" s="74" t="str">
        <x:f>IF('당기원장'!A933="","",'당기원장'!C933)</x:f>
      </x:c>
      <x:c r="E1933" s="73" t="str">
        <x:f>IF('당기원장'!A933="","",'당기원장'!D933)</x:f>
      </x:c>
      <x:c r="F1933" s="73" t="str">
        <x:f>IF('당기원장'!A933="","",'당기원장'!E933)</x:f>
      </x:c>
      <x:c r="G1933" s="75" t="str">
        <x:f>IF('당기원장'!A933="","",'당기원장'!H933)</x:f>
      </x:c>
      <x:c r="H1933" s="73" t="str">
        <x:f>IF('당기원장'!A933="","",'당기원장'!I933)</x:f>
      </x:c>
      <x:c r="I1933" s="73" t="str">
        <x:f>IF('당기원장'!A933="","",'당기원장'!J933)</x:f>
      </x:c>
      <x:c r="J1933" s="73" t="str">
        <x:f>IF('당기원장'!A933="","",'당기원장'!K933)</x:f>
      </x:c>
      <x:c r="K1933" s="73" t="str">
        <x:f>IF(B1933="","",IF(COUNTIF($B$5:B1933,B1933)=1,COUNT($K$4:K1932)+1,""))</x:f>
      </x:c>
      <x:c r="L1933" s="85" t="str">
        <x:f>IF(B1933="","",IF(COUNTIFS('계정비교'!$A$5:$A$1004,B1933,'계정비교'!$H$5:$H$1004,"원인분석 대상")&gt;0,COUNT($L$4:L1932)+1,""))</x:f>
      </x:c>
    </x:row>
    <x:row r="1934">
      <x:c r="A1934" s="73" t="str">
        <x:f>IF('당기원장'!A934="","","당기")</x:f>
      </x:c>
      <x:c r="B1934" s="73" t="str">
        <x:f>IF('당기원장'!A934="","",'당기원장'!A934)</x:f>
      </x:c>
      <x:c r="C1934" s="73" t="str">
        <x:f>IF('당기원장'!A934="","",'당기원장'!B934)</x:f>
      </x:c>
      <x:c r="D1934" s="74" t="str">
        <x:f>IF('당기원장'!A934="","",'당기원장'!C934)</x:f>
      </x:c>
      <x:c r="E1934" s="73" t="str">
        <x:f>IF('당기원장'!A934="","",'당기원장'!D934)</x:f>
      </x:c>
      <x:c r="F1934" s="73" t="str">
        <x:f>IF('당기원장'!A934="","",'당기원장'!E934)</x:f>
      </x:c>
      <x:c r="G1934" s="75" t="str">
        <x:f>IF('당기원장'!A934="","",'당기원장'!H934)</x:f>
      </x:c>
      <x:c r="H1934" s="73" t="str">
        <x:f>IF('당기원장'!A934="","",'당기원장'!I934)</x:f>
      </x:c>
      <x:c r="I1934" s="73" t="str">
        <x:f>IF('당기원장'!A934="","",'당기원장'!J934)</x:f>
      </x:c>
      <x:c r="J1934" s="73" t="str">
        <x:f>IF('당기원장'!A934="","",'당기원장'!K934)</x:f>
      </x:c>
      <x:c r="K1934" s="73" t="str">
        <x:f>IF(B1934="","",IF(COUNTIF($B$5:B1934,B1934)=1,COUNT($K$4:K1933)+1,""))</x:f>
      </x:c>
      <x:c r="L1934" s="85" t="str">
        <x:f>IF(B1934="","",IF(COUNTIFS('계정비교'!$A$5:$A$1004,B1934,'계정비교'!$H$5:$H$1004,"원인분석 대상")&gt;0,COUNT($L$4:L1933)+1,""))</x:f>
      </x:c>
    </x:row>
    <x:row r="1935">
      <x:c r="A1935" s="73" t="str">
        <x:f>IF('당기원장'!A935="","","당기")</x:f>
      </x:c>
      <x:c r="B1935" s="73" t="str">
        <x:f>IF('당기원장'!A935="","",'당기원장'!A935)</x:f>
      </x:c>
      <x:c r="C1935" s="73" t="str">
        <x:f>IF('당기원장'!A935="","",'당기원장'!B935)</x:f>
      </x:c>
      <x:c r="D1935" s="74" t="str">
        <x:f>IF('당기원장'!A935="","",'당기원장'!C935)</x:f>
      </x:c>
      <x:c r="E1935" s="73" t="str">
        <x:f>IF('당기원장'!A935="","",'당기원장'!D935)</x:f>
      </x:c>
      <x:c r="F1935" s="73" t="str">
        <x:f>IF('당기원장'!A935="","",'당기원장'!E935)</x:f>
      </x:c>
      <x:c r="G1935" s="75" t="str">
        <x:f>IF('당기원장'!A935="","",'당기원장'!H935)</x:f>
      </x:c>
      <x:c r="H1935" s="73" t="str">
        <x:f>IF('당기원장'!A935="","",'당기원장'!I935)</x:f>
      </x:c>
      <x:c r="I1935" s="73" t="str">
        <x:f>IF('당기원장'!A935="","",'당기원장'!J935)</x:f>
      </x:c>
      <x:c r="J1935" s="73" t="str">
        <x:f>IF('당기원장'!A935="","",'당기원장'!K935)</x:f>
      </x:c>
      <x:c r="K1935" s="73" t="str">
        <x:f>IF(B1935="","",IF(COUNTIF($B$5:B1935,B1935)=1,COUNT($K$4:K1934)+1,""))</x:f>
      </x:c>
      <x:c r="L1935" s="85" t="str">
        <x:f>IF(B1935="","",IF(COUNTIFS('계정비교'!$A$5:$A$1004,B1935,'계정비교'!$H$5:$H$1004,"원인분석 대상")&gt;0,COUNT($L$4:L1934)+1,""))</x:f>
      </x:c>
    </x:row>
    <x:row r="1936">
      <x:c r="A1936" s="73" t="str">
        <x:f>IF('당기원장'!A936="","","당기")</x:f>
      </x:c>
      <x:c r="B1936" s="73" t="str">
        <x:f>IF('당기원장'!A936="","",'당기원장'!A936)</x:f>
      </x:c>
      <x:c r="C1936" s="73" t="str">
        <x:f>IF('당기원장'!A936="","",'당기원장'!B936)</x:f>
      </x:c>
      <x:c r="D1936" s="74" t="str">
        <x:f>IF('당기원장'!A936="","",'당기원장'!C936)</x:f>
      </x:c>
      <x:c r="E1936" s="73" t="str">
        <x:f>IF('당기원장'!A936="","",'당기원장'!D936)</x:f>
      </x:c>
      <x:c r="F1936" s="73" t="str">
        <x:f>IF('당기원장'!A936="","",'당기원장'!E936)</x:f>
      </x:c>
      <x:c r="G1936" s="75" t="str">
        <x:f>IF('당기원장'!A936="","",'당기원장'!H936)</x:f>
      </x:c>
      <x:c r="H1936" s="73" t="str">
        <x:f>IF('당기원장'!A936="","",'당기원장'!I936)</x:f>
      </x:c>
      <x:c r="I1936" s="73" t="str">
        <x:f>IF('당기원장'!A936="","",'당기원장'!J936)</x:f>
      </x:c>
      <x:c r="J1936" s="73" t="str">
        <x:f>IF('당기원장'!A936="","",'당기원장'!K936)</x:f>
      </x:c>
      <x:c r="K1936" s="73" t="str">
        <x:f>IF(B1936="","",IF(COUNTIF($B$5:B1936,B1936)=1,COUNT($K$4:K1935)+1,""))</x:f>
      </x:c>
      <x:c r="L1936" s="85" t="str">
        <x:f>IF(B1936="","",IF(COUNTIFS('계정비교'!$A$5:$A$1004,B1936,'계정비교'!$H$5:$H$1004,"원인분석 대상")&gt;0,COUNT($L$4:L1935)+1,""))</x:f>
      </x:c>
    </x:row>
    <x:row r="1937">
      <x:c r="A1937" s="73" t="str">
        <x:f>IF('당기원장'!A937="","","당기")</x:f>
      </x:c>
      <x:c r="B1937" s="73" t="str">
        <x:f>IF('당기원장'!A937="","",'당기원장'!A937)</x:f>
      </x:c>
      <x:c r="C1937" s="73" t="str">
        <x:f>IF('당기원장'!A937="","",'당기원장'!B937)</x:f>
      </x:c>
      <x:c r="D1937" s="74" t="str">
        <x:f>IF('당기원장'!A937="","",'당기원장'!C937)</x:f>
      </x:c>
      <x:c r="E1937" s="73" t="str">
        <x:f>IF('당기원장'!A937="","",'당기원장'!D937)</x:f>
      </x:c>
      <x:c r="F1937" s="73" t="str">
        <x:f>IF('당기원장'!A937="","",'당기원장'!E937)</x:f>
      </x:c>
      <x:c r="G1937" s="75" t="str">
        <x:f>IF('당기원장'!A937="","",'당기원장'!H937)</x:f>
      </x:c>
      <x:c r="H1937" s="73" t="str">
        <x:f>IF('당기원장'!A937="","",'당기원장'!I937)</x:f>
      </x:c>
      <x:c r="I1937" s="73" t="str">
        <x:f>IF('당기원장'!A937="","",'당기원장'!J937)</x:f>
      </x:c>
      <x:c r="J1937" s="73" t="str">
        <x:f>IF('당기원장'!A937="","",'당기원장'!K937)</x:f>
      </x:c>
      <x:c r="K1937" s="73" t="str">
        <x:f>IF(B1937="","",IF(COUNTIF($B$5:B1937,B1937)=1,COUNT($K$4:K1936)+1,""))</x:f>
      </x:c>
      <x:c r="L1937" s="85" t="str">
        <x:f>IF(B1937="","",IF(COUNTIFS('계정비교'!$A$5:$A$1004,B1937,'계정비교'!$H$5:$H$1004,"원인분석 대상")&gt;0,COUNT($L$4:L1936)+1,""))</x:f>
      </x:c>
    </x:row>
    <x:row r="1938">
      <x:c r="A1938" s="73" t="str">
        <x:f>IF('당기원장'!A938="","","당기")</x:f>
      </x:c>
      <x:c r="B1938" s="73" t="str">
        <x:f>IF('당기원장'!A938="","",'당기원장'!A938)</x:f>
      </x:c>
      <x:c r="C1938" s="73" t="str">
        <x:f>IF('당기원장'!A938="","",'당기원장'!B938)</x:f>
      </x:c>
      <x:c r="D1938" s="74" t="str">
        <x:f>IF('당기원장'!A938="","",'당기원장'!C938)</x:f>
      </x:c>
      <x:c r="E1938" s="73" t="str">
        <x:f>IF('당기원장'!A938="","",'당기원장'!D938)</x:f>
      </x:c>
      <x:c r="F1938" s="73" t="str">
        <x:f>IF('당기원장'!A938="","",'당기원장'!E938)</x:f>
      </x:c>
      <x:c r="G1938" s="75" t="str">
        <x:f>IF('당기원장'!A938="","",'당기원장'!H938)</x:f>
      </x:c>
      <x:c r="H1938" s="73" t="str">
        <x:f>IF('당기원장'!A938="","",'당기원장'!I938)</x:f>
      </x:c>
      <x:c r="I1938" s="73" t="str">
        <x:f>IF('당기원장'!A938="","",'당기원장'!J938)</x:f>
      </x:c>
      <x:c r="J1938" s="73" t="str">
        <x:f>IF('당기원장'!A938="","",'당기원장'!K938)</x:f>
      </x:c>
      <x:c r="K1938" s="73" t="str">
        <x:f>IF(B1938="","",IF(COUNTIF($B$5:B1938,B1938)=1,COUNT($K$4:K1937)+1,""))</x:f>
      </x:c>
      <x:c r="L1938" s="85" t="str">
        <x:f>IF(B1938="","",IF(COUNTIFS('계정비교'!$A$5:$A$1004,B1938,'계정비교'!$H$5:$H$1004,"원인분석 대상")&gt;0,COUNT($L$4:L1937)+1,""))</x:f>
      </x:c>
    </x:row>
    <x:row r="1939">
      <x:c r="A1939" s="73" t="str">
        <x:f>IF('당기원장'!A939="","","당기")</x:f>
      </x:c>
      <x:c r="B1939" s="73" t="str">
        <x:f>IF('당기원장'!A939="","",'당기원장'!A939)</x:f>
      </x:c>
      <x:c r="C1939" s="73" t="str">
        <x:f>IF('당기원장'!A939="","",'당기원장'!B939)</x:f>
      </x:c>
      <x:c r="D1939" s="74" t="str">
        <x:f>IF('당기원장'!A939="","",'당기원장'!C939)</x:f>
      </x:c>
      <x:c r="E1939" s="73" t="str">
        <x:f>IF('당기원장'!A939="","",'당기원장'!D939)</x:f>
      </x:c>
      <x:c r="F1939" s="73" t="str">
        <x:f>IF('당기원장'!A939="","",'당기원장'!E939)</x:f>
      </x:c>
      <x:c r="G1939" s="75" t="str">
        <x:f>IF('당기원장'!A939="","",'당기원장'!H939)</x:f>
      </x:c>
      <x:c r="H1939" s="73" t="str">
        <x:f>IF('당기원장'!A939="","",'당기원장'!I939)</x:f>
      </x:c>
      <x:c r="I1939" s="73" t="str">
        <x:f>IF('당기원장'!A939="","",'당기원장'!J939)</x:f>
      </x:c>
      <x:c r="J1939" s="73" t="str">
        <x:f>IF('당기원장'!A939="","",'당기원장'!K939)</x:f>
      </x:c>
      <x:c r="K1939" s="73" t="str">
        <x:f>IF(B1939="","",IF(COUNTIF($B$5:B1939,B1939)=1,COUNT($K$4:K1938)+1,""))</x:f>
      </x:c>
      <x:c r="L1939" s="85" t="str">
        <x:f>IF(B1939="","",IF(COUNTIFS('계정비교'!$A$5:$A$1004,B1939,'계정비교'!$H$5:$H$1004,"원인분석 대상")&gt;0,COUNT($L$4:L1938)+1,""))</x:f>
      </x:c>
    </x:row>
    <x:row r="1940">
      <x:c r="A1940" s="73" t="str">
        <x:f>IF('당기원장'!A940="","","당기")</x:f>
      </x:c>
      <x:c r="B1940" s="73" t="str">
        <x:f>IF('당기원장'!A940="","",'당기원장'!A940)</x:f>
      </x:c>
      <x:c r="C1940" s="73" t="str">
        <x:f>IF('당기원장'!A940="","",'당기원장'!B940)</x:f>
      </x:c>
      <x:c r="D1940" s="74" t="str">
        <x:f>IF('당기원장'!A940="","",'당기원장'!C940)</x:f>
      </x:c>
      <x:c r="E1940" s="73" t="str">
        <x:f>IF('당기원장'!A940="","",'당기원장'!D940)</x:f>
      </x:c>
      <x:c r="F1940" s="73" t="str">
        <x:f>IF('당기원장'!A940="","",'당기원장'!E940)</x:f>
      </x:c>
      <x:c r="G1940" s="75" t="str">
        <x:f>IF('당기원장'!A940="","",'당기원장'!H940)</x:f>
      </x:c>
      <x:c r="H1940" s="73" t="str">
        <x:f>IF('당기원장'!A940="","",'당기원장'!I940)</x:f>
      </x:c>
      <x:c r="I1940" s="73" t="str">
        <x:f>IF('당기원장'!A940="","",'당기원장'!J940)</x:f>
      </x:c>
      <x:c r="J1940" s="73" t="str">
        <x:f>IF('당기원장'!A940="","",'당기원장'!K940)</x:f>
      </x:c>
      <x:c r="K1940" s="73" t="str">
        <x:f>IF(B1940="","",IF(COUNTIF($B$5:B1940,B1940)=1,COUNT($K$4:K1939)+1,""))</x:f>
      </x:c>
      <x:c r="L1940" s="85" t="str">
        <x:f>IF(B1940="","",IF(COUNTIFS('계정비교'!$A$5:$A$1004,B1940,'계정비교'!$H$5:$H$1004,"원인분석 대상")&gt;0,COUNT($L$4:L1939)+1,""))</x:f>
      </x:c>
    </x:row>
    <x:row r="1941">
      <x:c r="A1941" s="73" t="str">
        <x:f>IF('당기원장'!A941="","","당기")</x:f>
      </x:c>
      <x:c r="B1941" s="73" t="str">
        <x:f>IF('당기원장'!A941="","",'당기원장'!A941)</x:f>
      </x:c>
      <x:c r="C1941" s="73" t="str">
        <x:f>IF('당기원장'!A941="","",'당기원장'!B941)</x:f>
      </x:c>
      <x:c r="D1941" s="74" t="str">
        <x:f>IF('당기원장'!A941="","",'당기원장'!C941)</x:f>
      </x:c>
      <x:c r="E1941" s="73" t="str">
        <x:f>IF('당기원장'!A941="","",'당기원장'!D941)</x:f>
      </x:c>
      <x:c r="F1941" s="73" t="str">
        <x:f>IF('당기원장'!A941="","",'당기원장'!E941)</x:f>
      </x:c>
      <x:c r="G1941" s="75" t="str">
        <x:f>IF('당기원장'!A941="","",'당기원장'!H941)</x:f>
      </x:c>
      <x:c r="H1941" s="73" t="str">
        <x:f>IF('당기원장'!A941="","",'당기원장'!I941)</x:f>
      </x:c>
      <x:c r="I1941" s="73" t="str">
        <x:f>IF('당기원장'!A941="","",'당기원장'!J941)</x:f>
      </x:c>
      <x:c r="J1941" s="73" t="str">
        <x:f>IF('당기원장'!A941="","",'당기원장'!K941)</x:f>
      </x:c>
      <x:c r="K1941" s="73" t="str">
        <x:f>IF(B1941="","",IF(COUNTIF($B$5:B1941,B1941)=1,COUNT($K$4:K1940)+1,""))</x:f>
      </x:c>
      <x:c r="L1941" s="85" t="str">
        <x:f>IF(B1941="","",IF(COUNTIFS('계정비교'!$A$5:$A$1004,B1941,'계정비교'!$H$5:$H$1004,"원인분석 대상")&gt;0,COUNT($L$4:L1940)+1,""))</x:f>
      </x:c>
    </x:row>
    <x:row r="1942">
      <x:c r="A1942" s="73" t="str">
        <x:f>IF('당기원장'!A942="","","당기")</x:f>
      </x:c>
      <x:c r="B1942" s="73" t="str">
        <x:f>IF('당기원장'!A942="","",'당기원장'!A942)</x:f>
      </x:c>
      <x:c r="C1942" s="73" t="str">
        <x:f>IF('당기원장'!A942="","",'당기원장'!B942)</x:f>
      </x:c>
      <x:c r="D1942" s="74" t="str">
        <x:f>IF('당기원장'!A942="","",'당기원장'!C942)</x:f>
      </x:c>
      <x:c r="E1942" s="73" t="str">
        <x:f>IF('당기원장'!A942="","",'당기원장'!D942)</x:f>
      </x:c>
      <x:c r="F1942" s="73" t="str">
        <x:f>IF('당기원장'!A942="","",'당기원장'!E942)</x:f>
      </x:c>
      <x:c r="G1942" s="75" t="str">
        <x:f>IF('당기원장'!A942="","",'당기원장'!H942)</x:f>
      </x:c>
      <x:c r="H1942" s="73" t="str">
        <x:f>IF('당기원장'!A942="","",'당기원장'!I942)</x:f>
      </x:c>
      <x:c r="I1942" s="73" t="str">
        <x:f>IF('당기원장'!A942="","",'당기원장'!J942)</x:f>
      </x:c>
      <x:c r="J1942" s="73" t="str">
        <x:f>IF('당기원장'!A942="","",'당기원장'!K942)</x:f>
      </x:c>
      <x:c r="K1942" s="73" t="str">
        <x:f>IF(B1942="","",IF(COUNTIF($B$5:B1942,B1942)=1,COUNT($K$4:K1941)+1,""))</x:f>
      </x:c>
      <x:c r="L1942" s="85" t="str">
        <x:f>IF(B1942="","",IF(COUNTIFS('계정비교'!$A$5:$A$1004,B1942,'계정비교'!$H$5:$H$1004,"원인분석 대상")&gt;0,COUNT($L$4:L1941)+1,""))</x:f>
      </x:c>
    </x:row>
    <x:row r="1943">
      <x:c r="A1943" s="73" t="str">
        <x:f>IF('당기원장'!A943="","","당기")</x:f>
      </x:c>
      <x:c r="B1943" s="73" t="str">
        <x:f>IF('당기원장'!A943="","",'당기원장'!A943)</x:f>
      </x:c>
      <x:c r="C1943" s="73" t="str">
        <x:f>IF('당기원장'!A943="","",'당기원장'!B943)</x:f>
      </x:c>
      <x:c r="D1943" s="74" t="str">
        <x:f>IF('당기원장'!A943="","",'당기원장'!C943)</x:f>
      </x:c>
      <x:c r="E1943" s="73" t="str">
        <x:f>IF('당기원장'!A943="","",'당기원장'!D943)</x:f>
      </x:c>
      <x:c r="F1943" s="73" t="str">
        <x:f>IF('당기원장'!A943="","",'당기원장'!E943)</x:f>
      </x:c>
      <x:c r="G1943" s="75" t="str">
        <x:f>IF('당기원장'!A943="","",'당기원장'!H943)</x:f>
      </x:c>
      <x:c r="H1943" s="73" t="str">
        <x:f>IF('당기원장'!A943="","",'당기원장'!I943)</x:f>
      </x:c>
      <x:c r="I1943" s="73" t="str">
        <x:f>IF('당기원장'!A943="","",'당기원장'!J943)</x:f>
      </x:c>
      <x:c r="J1943" s="73" t="str">
        <x:f>IF('당기원장'!A943="","",'당기원장'!K943)</x:f>
      </x:c>
      <x:c r="K1943" s="73" t="str">
        <x:f>IF(B1943="","",IF(COUNTIF($B$5:B1943,B1943)=1,COUNT($K$4:K1942)+1,""))</x:f>
      </x:c>
      <x:c r="L1943" s="85" t="str">
        <x:f>IF(B1943="","",IF(COUNTIFS('계정비교'!$A$5:$A$1004,B1943,'계정비교'!$H$5:$H$1004,"원인분석 대상")&gt;0,COUNT($L$4:L1942)+1,""))</x:f>
      </x:c>
    </x:row>
    <x:row r="1944">
      <x:c r="A1944" s="73" t="str">
        <x:f>IF('당기원장'!A944="","","당기")</x:f>
      </x:c>
      <x:c r="B1944" s="73" t="str">
        <x:f>IF('당기원장'!A944="","",'당기원장'!A944)</x:f>
      </x:c>
      <x:c r="C1944" s="73" t="str">
        <x:f>IF('당기원장'!A944="","",'당기원장'!B944)</x:f>
      </x:c>
      <x:c r="D1944" s="74" t="str">
        <x:f>IF('당기원장'!A944="","",'당기원장'!C944)</x:f>
      </x:c>
      <x:c r="E1944" s="73" t="str">
        <x:f>IF('당기원장'!A944="","",'당기원장'!D944)</x:f>
      </x:c>
      <x:c r="F1944" s="73" t="str">
        <x:f>IF('당기원장'!A944="","",'당기원장'!E944)</x:f>
      </x:c>
      <x:c r="G1944" s="75" t="str">
        <x:f>IF('당기원장'!A944="","",'당기원장'!H944)</x:f>
      </x:c>
      <x:c r="H1944" s="73" t="str">
        <x:f>IF('당기원장'!A944="","",'당기원장'!I944)</x:f>
      </x:c>
      <x:c r="I1944" s="73" t="str">
        <x:f>IF('당기원장'!A944="","",'당기원장'!J944)</x:f>
      </x:c>
      <x:c r="J1944" s="73" t="str">
        <x:f>IF('당기원장'!A944="","",'당기원장'!K944)</x:f>
      </x:c>
      <x:c r="K1944" s="73" t="str">
        <x:f>IF(B1944="","",IF(COUNTIF($B$5:B1944,B1944)=1,COUNT($K$4:K1943)+1,""))</x:f>
      </x:c>
      <x:c r="L1944" s="85" t="str">
        <x:f>IF(B1944="","",IF(COUNTIFS('계정비교'!$A$5:$A$1004,B1944,'계정비교'!$H$5:$H$1004,"원인분석 대상")&gt;0,COUNT($L$4:L1943)+1,""))</x:f>
      </x:c>
    </x:row>
    <x:row r="1945">
      <x:c r="A1945" s="73" t="str">
        <x:f>IF('당기원장'!A945="","","당기")</x:f>
      </x:c>
      <x:c r="B1945" s="73" t="str">
        <x:f>IF('당기원장'!A945="","",'당기원장'!A945)</x:f>
      </x:c>
      <x:c r="C1945" s="73" t="str">
        <x:f>IF('당기원장'!A945="","",'당기원장'!B945)</x:f>
      </x:c>
      <x:c r="D1945" s="74" t="str">
        <x:f>IF('당기원장'!A945="","",'당기원장'!C945)</x:f>
      </x:c>
      <x:c r="E1945" s="73" t="str">
        <x:f>IF('당기원장'!A945="","",'당기원장'!D945)</x:f>
      </x:c>
      <x:c r="F1945" s="73" t="str">
        <x:f>IF('당기원장'!A945="","",'당기원장'!E945)</x:f>
      </x:c>
      <x:c r="G1945" s="75" t="str">
        <x:f>IF('당기원장'!A945="","",'당기원장'!H945)</x:f>
      </x:c>
      <x:c r="H1945" s="73" t="str">
        <x:f>IF('당기원장'!A945="","",'당기원장'!I945)</x:f>
      </x:c>
      <x:c r="I1945" s="73" t="str">
        <x:f>IF('당기원장'!A945="","",'당기원장'!J945)</x:f>
      </x:c>
      <x:c r="J1945" s="73" t="str">
        <x:f>IF('당기원장'!A945="","",'당기원장'!K945)</x:f>
      </x:c>
      <x:c r="K1945" s="73" t="str">
        <x:f>IF(B1945="","",IF(COUNTIF($B$5:B1945,B1945)=1,COUNT($K$4:K1944)+1,""))</x:f>
      </x:c>
      <x:c r="L1945" s="85" t="str">
        <x:f>IF(B1945="","",IF(COUNTIFS('계정비교'!$A$5:$A$1004,B1945,'계정비교'!$H$5:$H$1004,"원인분석 대상")&gt;0,COUNT($L$4:L1944)+1,""))</x:f>
      </x:c>
    </x:row>
    <x:row r="1946">
      <x:c r="A1946" s="73" t="str">
        <x:f>IF('당기원장'!A946="","","당기")</x:f>
      </x:c>
      <x:c r="B1946" s="73" t="str">
        <x:f>IF('당기원장'!A946="","",'당기원장'!A946)</x:f>
      </x:c>
      <x:c r="C1946" s="73" t="str">
        <x:f>IF('당기원장'!A946="","",'당기원장'!B946)</x:f>
      </x:c>
      <x:c r="D1946" s="74" t="str">
        <x:f>IF('당기원장'!A946="","",'당기원장'!C946)</x:f>
      </x:c>
      <x:c r="E1946" s="73" t="str">
        <x:f>IF('당기원장'!A946="","",'당기원장'!D946)</x:f>
      </x:c>
      <x:c r="F1946" s="73" t="str">
        <x:f>IF('당기원장'!A946="","",'당기원장'!E946)</x:f>
      </x:c>
      <x:c r="G1946" s="75" t="str">
        <x:f>IF('당기원장'!A946="","",'당기원장'!H946)</x:f>
      </x:c>
      <x:c r="H1946" s="73" t="str">
        <x:f>IF('당기원장'!A946="","",'당기원장'!I946)</x:f>
      </x:c>
      <x:c r="I1946" s="73" t="str">
        <x:f>IF('당기원장'!A946="","",'당기원장'!J946)</x:f>
      </x:c>
      <x:c r="J1946" s="73" t="str">
        <x:f>IF('당기원장'!A946="","",'당기원장'!K946)</x:f>
      </x:c>
      <x:c r="K1946" s="73" t="str">
        <x:f>IF(B1946="","",IF(COUNTIF($B$5:B1946,B1946)=1,COUNT($K$4:K1945)+1,""))</x:f>
      </x:c>
      <x:c r="L1946" s="85" t="str">
        <x:f>IF(B1946="","",IF(COUNTIFS('계정비교'!$A$5:$A$1004,B1946,'계정비교'!$H$5:$H$1004,"원인분석 대상")&gt;0,COUNT($L$4:L1945)+1,""))</x:f>
      </x:c>
    </x:row>
    <x:row r="1947">
      <x:c r="A1947" s="73" t="str">
        <x:f>IF('당기원장'!A947="","","당기")</x:f>
      </x:c>
      <x:c r="B1947" s="73" t="str">
        <x:f>IF('당기원장'!A947="","",'당기원장'!A947)</x:f>
      </x:c>
      <x:c r="C1947" s="73" t="str">
        <x:f>IF('당기원장'!A947="","",'당기원장'!B947)</x:f>
      </x:c>
      <x:c r="D1947" s="74" t="str">
        <x:f>IF('당기원장'!A947="","",'당기원장'!C947)</x:f>
      </x:c>
      <x:c r="E1947" s="73" t="str">
        <x:f>IF('당기원장'!A947="","",'당기원장'!D947)</x:f>
      </x:c>
      <x:c r="F1947" s="73" t="str">
        <x:f>IF('당기원장'!A947="","",'당기원장'!E947)</x:f>
      </x:c>
      <x:c r="G1947" s="75" t="str">
        <x:f>IF('당기원장'!A947="","",'당기원장'!H947)</x:f>
      </x:c>
      <x:c r="H1947" s="73" t="str">
        <x:f>IF('당기원장'!A947="","",'당기원장'!I947)</x:f>
      </x:c>
      <x:c r="I1947" s="73" t="str">
        <x:f>IF('당기원장'!A947="","",'당기원장'!J947)</x:f>
      </x:c>
      <x:c r="J1947" s="73" t="str">
        <x:f>IF('당기원장'!A947="","",'당기원장'!K947)</x:f>
      </x:c>
      <x:c r="K1947" s="73" t="str">
        <x:f>IF(B1947="","",IF(COUNTIF($B$5:B1947,B1947)=1,COUNT($K$4:K1946)+1,""))</x:f>
      </x:c>
      <x:c r="L1947" s="85" t="str">
        <x:f>IF(B1947="","",IF(COUNTIFS('계정비교'!$A$5:$A$1004,B1947,'계정비교'!$H$5:$H$1004,"원인분석 대상")&gt;0,COUNT($L$4:L1946)+1,""))</x:f>
      </x:c>
    </x:row>
    <x:row r="1948">
      <x:c r="A1948" s="73" t="str">
        <x:f>IF('당기원장'!A948="","","당기")</x:f>
      </x:c>
      <x:c r="B1948" s="73" t="str">
        <x:f>IF('당기원장'!A948="","",'당기원장'!A948)</x:f>
      </x:c>
      <x:c r="C1948" s="73" t="str">
        <x:f>IF('당기원장'!A948="","",'당기원장'!B948)</x:f>
      </x:c>
      <x:c r="D1948" s="74" t="str">
        <x:f>IF('당기원장'!A948="","",'당기원장'!C948)</x:f>
      </x:c>
      <x:c r="E1948" s="73" t="str">
        <x:f>IF('당기원장'!A948="","",'당기원장'!D948)</x:f>
      </x:c>
      <x:c r="F1948" s="73" t="str">
        <x:f>IF('당기원장'!A948="","",'당기원장'!E948)</x:f>
      </x:c>
      <x:c r="G1948" s="75" t="str">
        <x:f>IF('당기원장'!A948="","",'당기원장'!H948)</x:f>
      </x:c>
      <x:c r="H1948" s="73" t="str">
        <x:f>IF('당기원장'!A948="","",'당기원장'!I948)</x:f>
      </x:c>
      <x:c r="I1948" s="73" t="str">
        <x:f>IF('당기원장'!A948="","",'당기원장'!J948)</x:f>
      </x:c>
      <x:c r="J1948" s="73" t="str">
        <x:f>IF('당기원장'!A948="","",'당기원장'!K948)</x:f>
      </x:c>
      <x:c r="K1948" s="73" t="str">
        <x:f>IF(B1948="","",IF(COUNTIF($B$5:B1948,B1948)=1,COUNT($K$4:K1947)+1,""))</x:f>
      </x:c>
      <x:c r="L1948" s="85" t="str">
        <x:f>IF(B1948="","",IF(COUNTIFS('계정비교'!$A$5:$A$1004,B1948,'계정비교'!$H$5:$H$1004,"원인분석 대상")&gt;0,COUNT($L$4:L1947)+1,""))</x:f>
      </x:c>
    </x:row>
    <x:row r="1949">
      <x:c r="A1949" s="73" t="str">
        <x:f>IF('당기원장'!A949="","","당기")</x:f>
      </x:c>
      <x:c r="B1949" s="73" t="str">
        <x:f>IF('당기원장'!A949="","",'당기원장'!A949)</x:f>
      </x:c>
      <x:c r="C1949" s="73" t="str">
        <x:f>IF('당기원장'!A949="","",'당기원장'!B949)</x:f>
      </x:c>
      <x:c r="D1949" s="74" t="str">
        <x:f>IF('당기원장'!A949="","",'당기원장'!C949)</x:f>
      </x:c>
      <x:c r="E1949" s="73" t="str">
        <x:f>IF('당기원장'!A949="","",'당기원장'!D949)</x:f>
      </x:c>
      <x:c r="F1949" s="73" t="str">
        <x:f>IF('당기원장'!A949="","",'당기원장'!E949)</x:f>
      </x:c>
      <x:c r="G1949" s="75" t="str">
        <x:f>IF('당기원장'!A949="","",'당기원장'!H949)</x:f>
      </x:c>
      <x:c r="H1949" s="73" t="str">
        <x:f>IF('당기원장'!A949="","",'당기원장'!I949)</x:f>
      </x:c>
      <x:c r="I1949" s="73" t="str">
        <x:f>IF('당기원장'!A949="","",'당기원장'!J949)</x:f>
      </x:c>
      <x:c r="J1949" s="73" t="str">
        <x:f>IF('당기원장'!A949="","",'당기원장'!K949)</x:f>
      </x:c>
      <x:c r="K1949" s="73" t="str">
        <x:f>IF(B1949="","",IF(COUNTIF($B$5:B1949,B1949)=1,COUNT($K$4:K1948)+1,""))</x:f>
      </x:c>
      <x:c r="L1949" s="85" t="str">
        <x:f>IF(B1949="","",IF(COUNTIFS('계정비교'!$A$5:$A$1004,B1949,'계정비교'!$H$5:$H$1004,"원인분석 대상")&gt;0,COUNT($L$4:L1948)+1,""))</x:f>
      </x:c>
    </x:row>
    <x:row r="1950">
      <x:c r="A1950" s="73" t="str">
        <x:f>IF('당기원장'!A950="","","당기")</x:f>
      </x:c>
      <x:c r="B1950" s="73" t="str">
        <x:f>IF('당기원장'!A950="","",'당기원장'!A950)</x:f>
      </x:c>
      <x:c r="C1950" s="73" t="str">
        <x:f>IF('당기원장'!A950="","",'당기원장'!B950)</x:f>
      </x:c>
      <x:c r="D1950" s="74" t="str">
        <x:f>IF('당기원장'!A950="","",'당기원장'!C950)</x:f>
      </x:c>
      <x:c r="E1950" s="73" t="str">
        <x:f>IF('당기원장'!A950="","",'당기원장'!D950)</x:f>
      </x:c>
      <x:c r="F1950" s="73" t="str">
        <x:f>IF('당기원장'!A950="","",'당기원장'!E950)</x:f>
      </x:c>
      <x:c r="G1950" s="75" t="str">
        <x:f>IF('당기원장'!A950="","",'당기원장'!H950)</x:f>
      </x:c>
      <x:c r="H1950" s="73" t="str">
        <x:f>IF('당기원장'!A950="","",'당기원장'!I950)</x:f>
      </x:c>
      <x:c r="I1950" s="73" t="str">
        <x:f>IF('당기원장'!A950="","",'당기원장'!J950)</x:f>
      </x:c>
      <x:c r="J1950" s="73" t="str">
        <x:f>IF('당기원장'!A950="","",'당기원장'!K950)</x:f>
      </x:c>
      <x:c r="K1950" s="73" t="str">
        <x:f>IF(B1950="","",IF(COUNTIF($B$5:B1950,B1950)=1,COUNT($K$4:K1949)+1,""))</x:f>
      </x:c>
      <x:c r="L1950" s="85" t="str">
        <x:f>IF(B1950="","",IF(COUNTIFS('계정비교'!$A$5:$A$1004,B1950,'계정비교'!$H$5:$H$1004,"원인분석 대상")&gt;0,COUNT($L$4:L1949)+1,""))</x:f>
      </x:c>
    </x:row>
    <x:row r="1951">
      <x:c r="A1951" s="73" t="str">
        <x:f>IF('당기원장'!A951="","","당기")</x:f>
      </x:c>
      <x:c r="B1951" s="73" t="str">
        <x:f>IF('당기원장'!A951="","",'당기원장'!A951)</x:f>
      </x:c>
      <x:c r="C1951" s="73" t="str">
        <x:f>IF('당기원장'!A951="","",'당기원장'!B951)</x:f>
      </x:c>
      <x:c r="D1951" s="74" t="str">
        <x:f>IF('당기원장'!A951="","",'당기원장'!C951)</x:f>
      </x:c>
      <x:c r="E1951" s="73" t="str">
        <x:f>IF('당기원장'!A951="","",'당기원장'!D951)</x:f>
      </x:c>
      <x:c r="F1951" s="73" t="str">
        <x:f>IF('당기원장'!A951="","",'당기원장'!E951)</x:f>
      </x:c>
      <x:c r="G1951" s="75" t="str">
        <x:f>IF('당기원장'!A951="","",'당기원장'!H951)</x:f>
      </x:c>
      <x:c r="H1951" s="73" t="str">
        <x:f>IF('당기원장'!A951="","",'당기원장'!I951)</x:f>
      </x:c>
      <x:c r="I1951" s="73" t="str">
        <x:f>IF('당기원장'!A951="","",'당기원장'!J951)</x:f>
      </x:c>
      <x:c r="J1951" s="73" t="str">
        <x:f>IF('당기원장'!A951="","",'당기원장'!K951)</x:f>
      </x:c>
      <x:c r="K1951" s="73" t="str">
        <x:f>IF(B1951="","",IF(COUNTIF($B$5:B1951,B1951)=1,COUNT($K$4:K1950)+1,""))</x:f>
      </x:c>
      <x:c r="L1951" s="85" t="str">
        <x:f>IF(B1951="","",IF(COUNTIFS('계정비교'!$A$5:$A$1004,B1951,'계정비교'!$H$5:$H$1004,"원인분석 대상")&gt;0,COUNT($L$4:L1950)+1,""))</x:f>
      </x:c>
    </x:row>
    <x:row r="1952">
      <x:c r="A1952" s="73" t="str">
        <x:f>IF('당기원장'!A952="","","당기")</x:f>
      </x:c>
      <x:c r="B1952" s="73" t="str">
        <x:f>IF('당기원장'!A952="","",'당기원장'!A952)</x:f>
      </x:c>
      <x:c r="C1952" s="73" t="str">
        <x:f>IF('당기원장'!A952="","",'당기원장'!B952)</x:f>
      </x:c>
      <x:c r="D1952" s="74" t="str">
        <x:f>IF('당기원장'!A952="","",'당기원장'!C952)</x:f>
      </x:c>
      <x:c r="E1952" s="73" t="str">
        <x:f>IF('당기원장'!A952="","",'당기원장'!D952)</x:f>
      </x:c>
      <x:c r="F1952" s="73" t="str">
        <x:f>IF('당기원장'!A952="","",'당기원장'!E952)</x:f>
      </x:c>
      <x:c r="G1952" s="75" t="str">
        <x:f>IF('당기원장'!A952="","",'당기원장'!H952)</x:f>
      </x:c>
      <x:c r="H1952" s="73" t="str">
        <x:f>IF('당기원장'!A952="","",'당기원장'!I952)</x:f>
      </x:c>
      <x:c r="I1952" s="73" t="str">
        <x:f>IF('당기원장'!A952="","",'당기원장'!J952)</x:f>
      </x:c>
      <x:c r="J1952" s="73" t="str">
        <x:f>IF('당기원장'!A952="","",'당기원장'!K952)</x:f>
      </x:c>
      <x:c r="K1952" s="73" t="str">
        <x:f>IF(B1952="","",IF(COUNTIF($B$5:B1952,B1952)=1,COUNT($K$4:K1951)+1,""))</x:f>
      </x:c>
      <x:c r="L1952" s="85" t="str">
        <x:f>IF(B1952="","",IF(COUNTIFS('계정비교'!$A$5:$A$1004,B1952,'계정비교'!$H$5:$H$1004,"원인분석 대상")&gt;0,COUNT($L$4:L1951)+1,""))</x:f>
      </x:c>
    </x:row>
    <x:row r="1953">
      <x:c r="A1953" s="73" t="str">
        <x:f>IF('당기원장'!A953="","","당기")</x:f>
      </x:c>
      <x:c r="B1953" s="73" t="str">
        <x:f>IF('당기원장'!A953="","",'당기원장'!A953)</x:f>
      </x:c>
      <x:c r="C1953" s="73" t="str">
        <x:f>IF('당기원장'!A953="","",'당기원장'!B953)</x:f>
      </x:c>
      <x:c r="D1953" s="74" t="str">
        <x:f>IF('당기원장'!A953="","",'당기원장'!C953)</x:f>
      </x:c>
      <x:c r="E1953" s="73" t="str">
        <x:f>IF('당기원장'!A953="","",'당기원장'!D953)</x:f>
      </x:c>
      <x:c r="F1953" s="73" t="str">
        <x:f>IF('당기원장'!A953="","",'당기원장'!E953)</x:f>
      </x:c>
      <x:c r="G1953" s="75" t="str">
        <x:f>IF('당기원장'!A953="","",'당기원장'!H953)</x:f>
      </x:c>
      <x:c r="H1953" s="73" t="str">
        <x:f>IF('당기원장'!A953="","",'당기원장'!I953)</x:f>
      </x:c>
      <x:c r="I1953" s="73" t="str">
        <x:f>IF('당기원장'!A953="","",'당기원장'!J953)</x:f>
      </x:c>
      <x:c r="J1953" s="73" t="str">
        <x:f>IF('당기원장'!A953="","",'당기원장'!K953)</x:f>
      </x:c>
      <x:c r="K1953" s="73" t="str">
        <x:f>IF(B1953="","",IF(COUNTIF($B$5:B1953,B1953)=1,COUNT($K$4:K1952)+1,""))</x:f>
      </x:c>
      <x:c r="L1953" s="85" t="str">
        <x:f>IF(B1953="","",IF(COUNTIFS('계정비교'!$A$5:$A$1004,B1953,'계정비교'!$H$5:$H$1004,"원인분석 대상")&gt;0,COUNT($L$4:L1952)+1,""))</x:f>
      </x:c>
    </x:row>
    <x:row r="1954">
      <x:c r="A1954" s="73" t="str">
        <x:f>IF('당기원장'!A954="","","당기")</x:f>
      </x:c>
      <x:c r="B1954" s="73" t="str">
        <x:f>IF('당기원장'!A954="","",'당기원장'!A954)</x:f>
      </x:c>
      <x:c r="C1954" s="73" t="str">
        <x:f>IF('당기원장'!A954="","",'당기원장'!B954)</x:f>
      </x:c>
      <x:c r="D1954" s="74" t="str">
        <x:f>IF('당기원장'!A954="","",'당기원장'!C954)</x:f>
      </x:c>
      <x:c r="E1954" s="73" t="str">
        <x:f>IF('당기원장'!A954="","",'당기원장'!D954)</x:f>
      </x:c>
      <x:c r="F1954" s="73" t="str">
        <x:f>IF('당기원장'!A954="","",'당기원장'!E954)</x:f>
      </x:c>
      <x:c r="G1954" s="75" t="str">
        <x:f>IF('당기원장'!A954="","",'당기원장'!H954)</x:f>
      </x:c>
      <x:c r="H1954" s="73" t="str">
        <x:f>IF('당기원장'!A954="","",'당기원장'!I954)</x:f>
      </x:c>
      <x:c r="I1954" s="73" t="str">
        <x:f>IF('당기원장'!A954="","",'당기원장'!J954)</x:f>
      </x:c>
      <x:c r="J1954" s="73" t="str">
        <x:f>IF('당기원장'!A954="","",'당기원장'!K954)</x:f>
      </x:c>
      <x:c r="K1954" s="73" t="str">
        <x:f>IF(B1954="","",IF(COUNTIF($B$5:B1954,B1954)=1,COUNT($K$4:K1953)+1,""))</x:f>
      </x:c>
      <x:c r="L1954" s="85" t="str">
        <x:f>IF(B1954="","",IF(COUNTIFS('계정비교'!$A$5:$A$1004,B1954,'계정비교'!$H$5:$H$1004,"원인분석 대상")&gt;0,COUNT($L$4:L1953)+1,""))</x:f>
      </x:c>
    </x:row>
    <x:row r="1955">
      <x:c r="A1955" s="73" t="str">
        <x:f>IF('당기원장'!A955="","","당기")</x:f>
      </x:c>
      <x:c r="B1955" s="73" t="str">
        <x:f>IF('당기원장'!A955="","",'당기원장'!A955)</x:f>
      </x:c>
      <x:c r="C1955" s="73" t="str">
        <x:f>IF('당기원장'!A955="","",'당기원장'!B955)</x:f>
      </x:c>
      <x:c r="D1955" s="74" t="str">
        <x:f>IF('당기원장'!A955="","",'당기원장'!C955)</x:f>
      </x:c>
      <x:c r="E1955" s="73" t="str">
        <x:f>IF('당기원장'!A955="","",'당기원장'!D955)</x:f>
      </x:c>
      <x:c r="F1955" s="73" t="str">
        <x:f>IF('당기원장'!A955="","",'당기원장'!E955)</x:f>
      </x:c>
      <x:c r="G1955" s="75" t="str">
        <x:f>IF('당기원장'!A955="","",'당기원장'!H955)</x:f>
      </x:c>
      <x:c r="H1955" s="73" t="str">
        <x:f>IF('당기원장'!A955="","",'당기원장'!I955)</x:f>
      </x:c>
      <x:c r="I1955" s="73" t="str">
        <x:f>IF('당기원장'!A955="","",'당기원장'!J955)</x:f>
      </x:c>
      <x:c r="J1955" s="73" t="str">
        <x:f>IF('당기원장'!A955="","",'당기원장'!K955)</x:f>
      </x:c>
      <x:c r="K1955" s="73" t="str">
        <x:f>IF(B1955="","",IF(COUNTIF($B$5:B1955,B1955)=1,COUNT($K$4:K1954)+1,""))</x:f>
      </x:c>
      <x:c r="L1955" s="85" t="str">
        <x:f>IF(B1955="","",IF(COUNTIFS('계정비교'!$A$5:$A$1004,B1955,'계정비교'!$H$5:$H$1004,"원인분석 대상")&gt;0,COUNT($L$4:L1954)+1,""))</x:f>
      </x:c>
    </x:row>
    <x:row r="1956">
      <x:c r="A1956" s="73" t="str">
        <x:f>IF('당기원장'!A956="","","당기")</x:f>
      </x:c>
      <x:c r="B1956" s="73" t="str">
        <x:f>IF('당기원장'!A956="","",'당기원장'!A956)</x:f>
      </x:c>
      <x:c r="C1956" s="73" t="str">
        <x:f>IF('당기원장'!A956="","",'당기원장'!B956)</x:f>
      </x:c>
      <x:c r="D1956" s="74" t="str">
        <x:f>IF('당기원장'!A956="","",'당기원장'!C956)</x:f>
      </x:c>
      <x:c r="E1956" s="73" t="str">
        <x:f>IF('당기원장'!A956="","",'당기원장'!D956)</x:f>
      </x:c>
      <x:c r="F1956" s="73" t="str">
        <x:f>IF('당기원장'!A956="","",'당기원장'!E956)</x:f>
      </x:c>
      <x:c r="G1956" s="75" t="str">
        <x:f>IF('당기원장'!A956="","",'당기원장'!H956)</x:f>
      </x:c>
      <x:c r="H1956" s="73" t="str">
        <x:f>IF('당기원장'!A956="","",'당기원장'!I956)</x:f>
      </x:c>
      <x:c r="I1956" s="73" t="str">
        <x:f>IF('당기원장'!A956="","",'당기원장'!J956)</x:f>
      </x:c>
      <x:c r="J1956" s="73" t="str">
        <x:f>IF('당기원장'!A956="","",'당기원장'!K956)</x:f>
      </x:c>
      <x:c r="K1956" s="73" t="str">
        <x:f>IF(B1956="","",IF(COUNTIF($B$5:B1956,B1956)=1,COUNT($K$4:K1955)+1,""))</x:f>
      </x:c>
      <x:c r="L1956" s="85" t="str">
        <x:f>IF(B1956="","",IF(COUNTIFS('계정비교'!$A$5:$A$1004,B1956,'계정비교'!$H$5:$H$1004,"원인분석 대상")&gt;0,COUNT($L$4:L1955)+1,""))</x:f>
      </x:c>
    </x:row>
    <x:row r="1957">
      <x:c r="A1957" s="73" t="str">
        <x:f>IF('당기원장'!A957="","","당기")</x:f>
      </x:c>
      <x:c r="B1957" s="73" t="str">
        <x:f>IF('당기원장'!A957="","",'당기원장'!A957)</x:f>
      </x:c>
      <x:c r="C1957" s="73" t="str">
        <x:f>IF('당기원장'!A957="","",'당기원장'!B957)</x:f>
      </x:c>
      <x:c r="D1957" s="74" t="str">
        <x:f>IF('당기원장'!A957="","",'당기원장'!C957)</x:f>
      </x:c>
      <x:c r="E1957" s="73" t="str">
        <x:f>IF('당기원장'!A957="","",'당기원장'!D957)</x:f>
      </x:c>
      <x:c r="F1957" s="73" t="str">
        <x:f>IF('당기원장'!A957="","",'당기원장'!E957)</x:f>
      </x:c>
      <x:c r="G1957" s="75" t="str">
        <x:f>IF('당기원장'!A957="","",'당기원장'!H957)</x:f>
      </x:c>
      <x:c r="H1957" s="73" t="str">
        <x:f>IF('당기원장'!A957="","",'당기원장'!I957)</x:f>
      </x:c>
      <x:c r="I1957" s="73" t="str">
        <x:f>IF('당기원장'!A957="","",'당기원장'!J957)</x:f>
      </x:c>
      <x:c r="J1957" s="73" t="str">
        <x:f>IF('당기원장'!A957="","",'당기원장'!K957)</x:f>
      </x:c>
      <x:c r="K1957" s="73" t="str">
        <x:f>IF(B1957="","",IF(COUNTIF($B$5:B1957,B1957)=1,COUNT($K$4:K1956)+1,""))</x:f>
      </x:c>
      <x:c r="L1957" s="85" t="str">
        <x:f>IF(B1957="","",IF(COUNTIFS('계정비교'!$A$5:$A$1004,B1957,'계정비교'!$H$5:$H$1004,"원인분석 대상")&gt;0,COUNT($L$4:L1956)+1,""))</x:f>
      </x:c>
    </x:row>
    <x:row r="1958">
      <x:c r="A1958" s="73" t="str">
        <x:f>IF('당기원장'!A958="","","당기")</x:f>
      </x:c>
      <x:c r="B1958" s="73" t="str">
        <x:f>IF('당기원장'!A958="","",'당기원장'!A958)</x:f>
      </x:c>
      <x:c r="C1958" s="73" t="str">
        <x:f>IF('당기원장'!A958="","",'당기원장'!B958)</x:f>
      </x:c>
      <x:c r="D1958" s="74" t="str">
        <x:f>IF('당기원장'!A958="","",'당기원장'!C958)</x:f>
      </x:c>
      <x:c r="E1958" s="73" t="str">
        <x:f>IF('당기원장'!A958="","",'당기원장'!D958)</x:f>
      </x:c>
      <x:c r="F1958" s="73" t="str">
        <x:f>IF('당기원장'!A958="","",'당기원장'!E958)</x:f>
      </x:c>
      <x:c r="G1958" s="75" t="str">
        <x:f>IF('당기원장'!A958="","",'당기원장'!H958)</x:f>
      </x:c>
      <x:c r="H1958" s="73" t="str">
        <x:f>IF('당기원장'!A958="","",'당기원장'!I958)</x:f>
      </x:c>
      <x:c r="I1958" s="73" t="str">
        <x:f>IF('당기원장'!A958="","",'당기원장'!J958)</x:f>
      </x:c>
      <x:c r="J1958" s="73" t="str">
        <x:f>IF('당기원장'!A958="","",'당기원장'!K958)</x:f>
      </x:c>
      <x:c r="K1958" s="73" t="str">
        <x:f>IF(B1958="","",IF(COUNTIF($B$5:B1958,B1958)=1,COUNT($K$4:K1957)+1,""))</x:f>
      </x:c>
      <x:c r="L1958" s="85" t="str">
        <x:f>IF(B1958="","",IF(COUNTIFS('계정비교'!$A$5:$A$1004,B1958,'계정비교'!$H$5:$H$1004,"원인분석 대상")&gt;0,COUNT($L$4:L1957)+1,""))</x:f>
      </x:c>
    </x:row>
    <x:row r="1959">
      <x:c r="A1959" s="73" t="str">
        <x:f>IF('당기원장'!A959="","","당기")</x:f>
      </x:c>
      <x:c r="B1959" s="73" t="str">
        <x:f>IF('당기원장'!A959="","",'당기원장'!A959)</x:f>
      </x:c>
      <x:c r="C1959" s="73" t="str">
        <x:f>IF('당기원장'!A959="","",'당기원장'!B959)</x:f>
      </x:c>
      <x:c r="D1959" s="74" t="str">
        <x:f>IF('당기원장'!A959="","",'당기원장'!C959)</x:f>
      </x:c>
      <x:c r="E1959" s="73" t="str">
        <x:f>IF('당기원장'!A959="","",'당기원장'!D959)</x:f>
      </x:c>
      <x:c r="F1959" s="73" t="str">
        <x:f>IF('당기원장'!A959="","",'당기원장'!E959)</x:f>
      </x:c>
      <x:c r="G1959" s="75" t="str">
        <x:f>IF('당기원장'!A959="","",'당기원장'!H959)</x:f>
      </x:c>
      <x:c r="H1959" s="73" t="str">
        <x:f>IF('당기원장'!A959="","",'당기원장'!I959)</x:f>
      </x:c>
      <x:c r="I1959" s="73" t="str">
        <x:f>IF('당기원장'!A959="","",'당기원장'!J959)</x:f>
      </x:c>
      <x:c r="J1959" s="73" t="str">
        <x:f>IF('당기원장'!A959="","",'당기원장'!K959)</x:f>
      </x:c>
      <x:c r="K1959" s="73" t="str">
        <x:f>IF(B1959="","",IF(COUNTIF($B$5:B1959,B1959)=1,COUNT($K$4:K1958)+1,""))</x:f>
      </x:c>
      <x:c r="L1959" s="85" t="str">
        <x:f>IF(B1959="","",IF(COUNTIFS('계정비교'!$A$5:$A$1004,B1959,'계정비교'!$H$5:$H$1004,"원인분석 대상")&gt;0,COUNT($L$4:L1958)+1,""))</x:f>
      </x:c>
    </x:row>
    <x:row r="1960">
      <x:c r="A1960" s="73" t="str">
        <x:f>IF('당기원장'!A960="","","당기")</x:f>
      </x:c>
      <x:c r="B1960" s="73" t="str">
        <x:f>IF('당기원장'!A960="","",'당기원장'!A960)</x:f>
      </x:c>
      <x:c r="C1960" s="73" t="str">
        <x:f>IF('당기원장'!A960="","",'당기원장'!B960)</x:f>
      </x:c>
      <x:c r="D1960" s="74" t="str">
        <x:f>IF('당기원장'!A960="","",'당기원장'!C960)</x:f>
      </x:c>
      <x:c r="E1960" s="73" t="str">
        <x:f>IF('당기원장'!A960="","",'당기원장'!D960)</x:f>
      </x:c>
      <x:c r="F1960" s="73" t="str">
        <x:f>IF('당기원장'!A960="","",'당기원장'!E960)</x:f>
      </x:c>
      <x:c r="G1960" s="75" t="str">
        <x:f>IF('당기원장'!A960="","",'당기원장'!H960)</x:f>
      </x:c>
      <x:c r="H1960" s="73" t="str">
        <x:f>IF('당기원장'!A960="","",'당기원장'!I960)</x:f>
      </x:c>
      <x:c r="I1960" s="73" t="str">
        <x:f>IF('당기원장'!A960="","",'당기원장'!J960)</x:f>
      </x:c>
      <x:c r="J1960" s="73" t="str">
        <x:f>IF('당기원장'!A960="","",'당기원장'!K960)</x:f>
      </x:c>
      <x:c r="K1960" s="73" t="str">
        <x:f>IF(B1960="","",IF(COUNTIF($B$5:B1960,B1960)=1,COUNT($K$4:K1959)+1,""))</x:f>
      </x:c>
      <x:c r="L1960" s="85" t="str">
        <x:f>IF(B1960="","",IF(COUNTIFS('계정비교'!$A$5:$A$1004,B1960,'계정비교'!$H$5:$H$1004,"원인분석 대상")&gt;0,COUNT($L$4:L1959)+1,""))</x:f>
      </x:c>
    </x:row>
    <x:row r="1961">
      <x:c r="A1961" s="73" t="str">
        <x:f>IF('당기원장'!A961="","","당기")</x:f>
      </x:c>
      <x:c r="B1961" s="73" t="str">
        <x:f>IF('당기원장'!A961="","",'당기원장'!A961)</x:f>
      </x:c>
      <x:c r="C1961" s="73" t="str">
        <x:f>IF('당기원장'!A961="","",'당기원장'!B961)</x:f>
      </x:c>
      <x:c r="D1961" s="74" t="str">
        <x:f>IF('당기원장'!A961="","",'당기원장'!C961)</x:f>
      </x:c>
      <x:c r="E1961" s="73" t="str">
        <x:f>IF('당기원장'!A961="","",'당기원장'!D961)</x:f>
      </x:c>
      <x:c r="F1961" s="73" t="str">
        <x:f>IF('당기원장'!A961="","",'당기원장'!E961)</x:f>
      </x:c>
      <x:c r="G1961" s="75" t="str">
        <x:f>IF('당기원장'!A961="","",'당기원장'!H961)</x:f>
      </x:c>
      <x:c r="H1961" s="73" t="str">
        <x:f>IF('당기원장'!A961="","",'당기원장'!I961)</x:f>
      </x:c>
      <x:c r="I1961" s="73" t="str">
        <x:f>IF('당기원장'!A961="","",'당기원장'!J961)</x:f>
      </x:c>
      <x:c r="J1961" s="73" t="str">
        <x:f>IF('당기원장'!A961="","",'당기원장'!K961)</x:f>
      </x:c>
      <x:c r="K1961" s="73" t="str">
        <x:f>IF(B1961="","",IF(COUNTIF($B$5:B1961,B1961)=1,COUNT($K$4:K1960)+1,""))</x:f>
      </x:c>
      <x:c r="L1961" s="85" t="str">
        <x:f>IF(B1961="","",IF(COUNTIFS('계정비교'!$A$5:$A$1004,B1961,'계정비교'!$H$5:$H$1004,"원인분석 대상")&gt;0,COUNT($L$4:L1960)+1,""))</x:f>
      </x:c>
    </x:row>
    <x:row r="1962">
      <x:c r="A1962" s="73" t="str">
        <x:f>IF('당기원장'!A962="","","당기")</x:f>
      </x:c>
      <x:c r="B1962" s="73" t="str">
        <x:f>IF('당기원장'!A962="","",'당기원장'!A962)</x:f>
      </x:c>
      <x:c r="C1962" s="73" t="str">
        <x:f>IF('당기원장'!A962="","",'당기원장'!B962)</x:f>
      </x:c>
      <x:c r="D1962" s="74" t="str">
        <x:f>IF('당기원장'!A962="","",'당기원장'!C962)</x:f>
      </x:c>
      <x:c r="E1962" s="73" t="str">
        <x:f>IF('당기원장'!A962="","",'당기원장'!D962)</x:f>
      </x:c>
      <x:c r="F1962" s="73" t="str">
        <x:f>IF('당기원장'!A962="","",'당기원장'!E962)</x:f>
      </x:c>
      <x:c r="G1962" s="75" t="str">
        <x:f>IF('당기원장'!A962="","",'당기원장'!H962)</x:f>
      </x:c>
      <x:c r="H1962" s="73" t="str">
        <x:f>IF('당기원장'!A962="","",'당기원장'!I962)</x:f>
      </x:c>
      <x:c r="I1962" s="73" t="str">
        <x:f>IF('당기원장'!A962="","",'당기원장'!J962)</x:f>
      </x:c>
      <x:c r="J1962" s="73" t="str">
        <x:f>IF('당기원장'!A962="","",'당기원장'!K962)</x:f>
      </x:c>
      <x:c r="K1962" s="73" t="str">
        <x:f>IF(B1962="","",IF(COUNTIF($B$5:B1962,B1962)=1,COUNT($K$4:K1961)+1,""))</x:f>
      </x:c>
      <x:c r="L1962" s="85" t="str">
        <x:f>IF(B1962="","",IF(COUNTIFS('계정비교'!$A$5:$A$1004,B1962,'계정비교'!$H$5:$H$1004,"원인분석 대상")&gt;0,COUNT($L$4:L1961)+1,""))</x:f>
      </x:c>
    </x:row>
    <x:row r="1963">
      <x:c r="A1963" s="73" t="str">
        <x:f>IF('당기원장'!A963="","","당기")</x:f>
      </x:c>
      <x:c r="B1963" s="73" t="str">
        <x:f>IF('당기원장'!A963="","",'당기원장'!A963)</x:f>
      </x:c>
      <x:c r="C1963" s="73" t="str">
        <x:f>IF('당기원장'!A963="","",'당기원장'!B963)</x:f>
      </x:c>
      <x:c r="D1963" s="74" t="str">
        <x:f>IF('당기원장'!A963="","",'당기원장'!C963)</x:f>
      </x:c>
      <x:c r="E1963" s="73" t="str">
        <x:f>IF('당기원장'!A963="","",'당기원장'!D963)</x:f>
      </x:c>
      <x:c r="F1963" s="73" t="str">
        <x:f>IF('당기원장'!A963="","",'당기원장'!E963)</x:f>
      </x:c>
      <x:c r="G1963" s="75" t="str">
        <x:f>IF('당기원장'!A963="","",'당기원장'!H963)</x:f>
      </x:c>
      <x:c r="H1963" s="73" t="str">
        <x:f>IF('당기원장'!A963="","",'당기원장'!I963)</x:f>
      </x:c>
      <x:c r="I1963" s="73" t="str">
        <x:f>IF('당기원장'!A963="","",'당기원장'!J963)</x:f>
      </x:c>
      <x:c r="J1963" s="73" t="str">
        <x:f>IF('당기원장'!A963="","",'당기원장'!K963)</x:f>
      </x:c>
      <x:c r="K1963" s="73" t="str">
        <x:f>IF(B1963="","",IF(COUNTIF($B$5:B1963,B1963)=1,COUNT($K$4:K1962)+1,""))</x:f>
      </x:c>
      <x:c r="L1963" s="85" t="str">
        <x:f>IF(B1963="","",IF(COUNTIFS('계정비교'!$A$5:$A$1004,B1963,'계정비교'!$H$5:$H$1004,"원인분석 대상")&gt;0,COUNT($L$4:L1962)+1,""))</x:f>
      </x:c>
    </x:row>
    <x:row r="1964">
      <x:c r="A1964" s="73" t="str">
        <x:f>IF('당기원장'!A964="","","당기")</x:f>
      </x:c>
      <x:c r="B1964" s="73" t="str">
        <x:f>IF('당기원장'!A964="","",'당기원장'!A964)</x:f>
      </x:c>
      <x:c r="C1964" s="73" t="str">
        <x:f>IF('당기원장'!A964="","",'당기원장'!B964)</x:f>
      </x:c>
      <x:c r="D1964" s="74" t="str">
        <x:f>IF('당기원장'!A964="","",'당기원장'!C964)</x:f>
      </x:c>
      <x:c r="E1964" s="73" t="str">
        <x:f>IF('당기원장'!A964="","",'당기원장'!D964)</x:f>
      </x:c>
      <x:c r="F1964" s="73" t="str">
        <x:f>IF('당기원장'!A964="","",'당기원장'!E964)</x:f>
      </x:c>
      <x:c r="G1964" s="75" t="str">
        <x:f>IF('당기원장'!A964="","",'당기원장'!H964)</x:f>
      </x:c>
      <x:c r="H1964" s="73" t="str">
        <x:f>IF('당기원장'!A964="","",'당기원장'!I964)</x:f>
      </x:c>
      <x:c r="I1964" s="73" t="str">
        <x:f>IF('당기원장'!A964="","",'당기원장'!J964)</x:f>
      </x:c>
      <x:c r="J1964" s="73" t="str">
        <x:f>IF('당기원장'!A964="","",'당기원장'!K964)</x:f>
      </x:c>
      <x:c r="K1964" s="73" t="str">
        <x:f>IF(B1964="","",IF(COUNTIF($B$5:B1964,B1964)=1,COUNT($K$4:K1963)+1,""))</x:f>
      </x:c>
      <x:c r="L1964" s="85" t="str">
        <x:f>IF(B1964="","",IF(COUNTIFS('계정비교'!$A$5:$A$1004,B1964,'계정비교'!$H$5:$H$1004,"원인분석 대상")&gt;0,COUNT($L$4:L1963)+1,""))</x:f>
      </x:c>
    </x:row>
    <x:row r="1965">
      <x:c r="A1965" s="73" t="str">
        <x:f>IF('당기원장'!A965="","","당기")</x:f>
      </x:c>
      <x:c r="B1965" s="73" t="str">
        <x:f>IF('당기원장'!A965="","",'당기원장'!A965)</x:f>
      </x:c>
      <x:c r="C1965" s="73" t="str">
        <x:f>IF('당기원장'!A965="","",'당기원장'!B965)</x:f>
      </x:c>
      <x:c r="D1965" s="74" t="str">
        <x:f>IF('당기원장'!A965="","",'당기원장'!C965)</x:f>
      </x:c>
      <x:c r="E1965" s="73" t="str">
        <x:f>IF('당기원장'!A965="","",'당기원장'!D965)</x:f>
      </x:c>
      <x:c r="F1965" s="73" t="str">
        <x:f>IF('당기원장'!A965="","",'당기원장'!E965)</x:f>
      </x:c>
      <x:c r="G1965" s="75" t="str">
        <x:f>IF('당기원장'!A965="","",'당기원장'!H965)</x:f>
      </x:c>
      <x:c r="H1965" s="73" t="str">
        <x:f>IF('당기원장'!A965="","",'당기원장'!I965)</x:f>
      </x:c>
      <x:c r="I1965" s="73" t="str">
        <x:f>IF('당기원장'!A965="","",'당기원장'!J965)</x:f>
      </x:c>
      <x:c r="J1965" s="73" t="str">
        <x:f>IF('당기원장'!A965="","",'당기원장'!K965)</x:f>
      </x:c>
      <x:c r="K1965" s="73" t="str">
        <x:f>IF(B1965="","",IF(COUNTIF($B$5:B1965,B1965)=1,COUNT($K$4:K1964)+1,""))</x:f>
      </x:c>
      <x:c r="L1965" s="85" t="str">
        <x:f>IF(B1965="","",IF(COUNTIFS('계정비교'!$A$5:$A$1004,B1965,'계정비교'!$H$5:$H$1004,"원인분석 대상")&gt;0,COUNT($L$4:L1964)+1,""))</x:f>
      </x:c>
    </x:row>
    <x:row r="1966">
      <x:c r="A1966" s="73" t="str">
        <x:f>IF('당기원장'!A966="","","당기")</x:f>
      </x:c>
      <x:c r="B1966" s="73" t="str">
        <x:f>IF('당기원장'!A966="","",'당기원장'!A966)</x:f>
      </x:c>
      <x:c r="C1966" s="73" t="str">
        <x:f>IF('당기원장'!A966="","",'당기원장'!B966)</x:f>
      </x:c>
      <x:c r="D1966" s="74" t="str">
        <x:f>IF('당기원장'!A966="","",'당기원장'!C966)</x:f>
      </x:c>
      <x:c r="E1966" s="73" t="str">
        <x:f>IF('당기원장'!A966="","",'당기원장'!D966)</x:f>
      </x:c>
      <x:c r="F1966" s="73" t="str">
        <x:f>IF('당기원장'!A966="","",'당기원장'!E966)</x:f>
      </x:c>
      <x:c r="G1966" s="75" t="str">
        <x:f>IF('당기원장'!A966="","",'당기원장'!H966)</x:f>
      </x:c>
      <x:c r="H1966" s="73" t="str">
        <x:f>IF('당기원장'!A966="","",'당기원장'!I966)</x:f>
      </x:c>
      <x:c r="I1966" s="73" t="str">
        <x:f>IF('당기원장'!A966="","",'당기원장'!J966)</x:f>
      </x:c>
      <x:c r="J1966" s="73" t="str">
        <x:f>IF('당기원장'!A966="","",'당기원장'!K966)</x:f>
      </x:c>
      <x:c r="K1966" s="73" t="str">
        <x:f>IF(B1966="","",IF(COUNTIF($B$5:B1966,B1966)=1,COUNT($K$4:K1965)+1,""))</x:f>
      </x:c>
      <x:c r="L1966" s="85" t="str">
        <x:f>IF(B1966="","",IF(COUNTIFS('계정비교'!$A$5:$A$1004,B1966,'계정비교'!$H$5:$H$1004,"원인분석 대상")&gt;0,COUNT($L$4:L1965)+1,""))</x:f>
      </x:c>
    </x:row>
    <x:row r="1967">
      <x:c r="A1967" s="73" t="str">
        <x:f>IF('당기원장'!A967="","","당기")</x:f>
      </x:c>
      <x:c r="B1967" s="73" t="str">
        <x:f>IF('당기원장'!A967="","",'당기원장'!A967)</x:f>
      </x:c>
      <x:c r="C1967" s="73" t="str">
        <x:f>IF('당기원장'!A967="","",'당기원장'!B967)</x:f>
      </x:c>
      <x:c r="D1967" s="74" t="str">
        <x:f>IF('당기원장'!A967="","",'당기원장'!C967)</x:f>
      </x:c>
      <x:c r="E1967" s="73" t="str">
        <x:f>IF('당기원장'!A967="","",'당기원장'!D967)</x:f>
      </x:c>
      <x:c r="F1967" s="73" t="str">
        <x:f>IF('당기원장'!A967="","",'당기원장'!E967)</x:f>
      </x:c>
      <x:c r="G1967" s="75" t="str">
        <x:f>IF('당기원장'!A967="","",'당기원장'!H967)</x:f>
      </x:c>
      <x:c r="H1967" s="73" t="str">
        <x:f>IF('당기원장'!A967="","",'당기원장'!I967)</x:f>
      </x:c>
      <x:c r="I1967" s="73" t="str">
        <x:f>IF('당기원장'!A967="","",'당기원장'!J967)</x:f>
      </x:c>
      <x:c r="J1967" s="73" t="str">
        <x:f>IF('당기원장'!A967="","",'당기원장'!K967)</x:f>
      </x:c>
      <x:c r="K1967" s="73" t="str">
        <x:f>IF(B1967="","",IF(COUNTIF($B$5:B1967,B1967)=1,COUNT($K$4:K1966)+1,""))</x:f>
      </x:c>
      <x:c r="L1967" s="85" t="str">
        <x:f>IF(B1967="","",IF(COUNTIFS('계정비교'!$A$5:$A$1004,B1967,'계정비교'!$H$5:$H$1004,"원인분석 대상")&gt;0,COUNT($L$4:L1966)+1,""))</x:f>
      </x:c>
    </x:row>
    <x:row r="1968">
      <x:c r="A1968" s="73" t="str">
        <x:f>IF('당기원장'!A968="","","당기")</x:f>
      </x:c>
      <x:c r="B1968" s="73" t="str">
        <x:f>IF('당기원장'!A968="","",'당기원장'!A968)</x:f>
      </x:c>
      <x:c r="C1968" s="73" t="str">
        <x:f>IF('당기원장'!A968="","",'당기원장'!B968)</x:f>
      </x:c>
      <x:c r="D1968" s="74" t="str">
        <x:f>IF('당기원장'!A968="","",'당기원장'!C968)</x:f>
      </x:c>
      <x:c r="E1968" s="73" t="str">
        <x:f>IF('당기원장'!A968="","",'당기원장'!D968)</x:f>
      </x:c>
      <x:c r="F1968" s="73" t="str">
        <x:f>IF('당기원장'!A968="","",'당기원장'!E968)</x:f>
      </x:c>
      <x:c r="G1968" s="75" t="str">
        <x:f>IF('당기원장'!A968="","",'당기원장'!H968)</x:f>
      </x:c>
      <x:c r="H1968" s="73" t="str">
        <x:f>IF('당기원장'!A968="","",'당기원장'!I968)</x:f>
      </x:c>
      <x:c r="I1968" s="73" t="str">
        <x:f>IF('당기원장'!A968="","",'당기원장'!J968)</x:f>
      </x:c>
      <x:c r="J1968" s="73" t="str">
        <x:f>IF('당기원장'!A968="","",'당기원장'!K968)</x:f>
      </x:c>
      <x:c r="K1968" s="73" t="str">
        <x:f>IF(B1968="","",IF(COUNTIF($B$5:B1968,B1968)=1,COUNT($K$4:K1967)+1,""))</x:f>
      </x:c>
      <x:c r="L1968" s="85" t="str">
        <x:f>IF(B1968="","",IF(COUNTIFS('계정비교'!$A$5:$A$1004,B1968,'계정비교'!$H$5:$H$1004,"원인분석 대상")&gt;0,COUNT($L$4:L1967)+1,""))</x:f>
      </x:c>
    </x:row>
    <x:row r="1969">
      <x:c r="A1969" s="73" t="str">
        <x:f>IF('당기원장'!A969="","","당기")</x:f>
      </x:c>
      <x:c r="B1969" s="73" t="str">
        <x:f>IF('당기원장'!A969="","",'당기원장'!A969)</x:f>
      </x:c>
      <x:c r="C1969" s="73" t="str">
        <x:f>IF('당기원장'!A969="","",'당기원장'!B969)</x:f>
      </x:c>
      <x:c r="D1969" s="74" t="str">
        <x:f>IF('당기원장'!A969="","",'당기원장'!C969)</x:f>
      </x:c>
      <x:c r="E1969" s="73" t="str">
        <x:f>IF('당기원장'!A969="","",'당기원장'!D969)</x:f>
      </x:c>
      <x:c r="F1969" s="73" t="str">
        <x:f>IF('당기원장'!A969="","",'당기원장'!E969)</x:f>
      </x:c>
      <x:c r="G1969" s="75" t="str">
        <x:f>IF('당기원장'!A969="","",'당기원장'!H969)</x:f>
      </x:c>
      <x:c r="H1969" s="73" t="str">
        <x:f>IF('당기원장'!A969="","",'당기원장'!I969)</x:f>
      </x:c>
      <x:c r="I1969" s="73" t="str">
        <x:f>IF('당기원장'!A969="","",'당기원장'!J969)</x:f>
      </x:c>
      <x:c r="J1969" s="73" t="str">
        <x:f>IF('당기원장'!A969="","",'당기원장'!K969)</x:f>
      </x:c>
      <x:c r="K1969" s="73" t="str">
        <x:f>IF(B1969="","",IF(COUNTIF($B$5:B1969,B1969)=1,COUNT($K$4:K1968)+1,""))</x:f>
      </x:c>
      <x:c r="L1969" s="85" t="str">
        <x:f>IF(B1969="","",IF(COUNTIFS('계정비교'!$A$5:$A$1004,B1969,'계정비교'!$H$5:$H$1004,"원인분석 대상")&gt;0,COUNT($L$4:L1968)+1,""))</x:f>
      </x:c>
    </x:row>
    <x:row r="1970">
      <x:c r="A1970" s="73" t="str">
        <x:f>IF('당기원장'!A970="","","당기")</x:f>
      </x:c>
      <x:c r="B1970" s="73" t="str">
        <x:f>IF('당기원장'!A970="","",'당기원장'!A970)</x:f>
      </x:c>
      <x:c r="C1970" s="73" t="str">
        <x:f>IF('당기원장'!A970="","",'당기원장'!B970)</x:f>
      </x:c>
      <x:c r="D1970" s="74" t="str">
        <x:f>IF('당기원장'!A970="","",'당기원장'!C970)</x:f>
      </x:c>
      <x:c r="E1970" s="73" t="str">
        <x:f>IF('당기원장'!A970="","",'당기원장'!D970)</x:f>
      </x:c>
      <x:c r="F1970" s="73" t="str">
        <x:f>IF('당기원장'!A970="","",'당기원장'!E970)</x:f>
      </x:c>
      <x:c r="G1970" s="75" t="str">
        <x:f>IF('당기원장'!A970="","",'당기원장'!H970)</x:f>
      </x:c>
      <x:c r="H1970" s="73" t="str">
        <x:f>IF('당기원장'!A970="","",'당기원장'!I970)</x:f>
      </x:c>
      <x:c r="I1970" s="73" t="str">
        <x:f>IF('당기원장'!A970="","",'당기원장'!J970)</x:f>
      </x:c>
      <x:c r="J1970" s="73" t="str">
        <x:f>IF('당기원장'!A970="","",'당기원장'!K970)</x:f>
      </x:c>
      <x:c r="K1970" s="73" t="str">
        <x:f>IF(B1970="","",IF(COUNTIF($B$5:B1970,B1970)=1,COUNT($K$4:K1969)+1,""))</x:f>
      </x:c>
      <x:c r="L1970" s="85" t="str">
        <x:f>IF(B1970="","",IF(COUNTIFS('계정비교'!$A$5:$A$1004,B1970,'계정비교'!$H$5:$H$1004,"원인분석 대상")&gt;0,COUNT($L$4:L1969)+1,""))</x:f>
      </x:c>
    </x:row>
    <x:row r="1971">
      <x:c r="A1971" s="73" t="str">
        <x:f>IF('당기원장'!A971="","","당기")</x:f>
      </x:c>
      <x:c r="B1971" s="73" t="str">
        <x:f>IF('당기원장'!A971="","",'당기원장'!A971)</x:f>
      </x:c>
      <x:c r="C1971" s="73" t="str">
        <x:f>IF('당기원장'!A971="","",'당기원장'!B971)</x:f>
      </x:c>
      <x:c r="D1971" s="74" t="str">
        <x:f>IF('당기원장'!A971="","",'당기원장'!C971)</x:f>
      </x:c>
      <x:c r="E1971" s="73" t="str">
        <x:f>IF('당기원장'!A971="","",'당기원장'!D971)</x:f>
      </x:c>
      <x:c r="F1971" s="73" t="str">
        <x:f>IF('당기원장'!A971="","",'당기원장'!E971)</x:f>
      </x:c>
      <x:c r="G1971" s="75" t="str">
        <x:f>IF('당기원장'!A971="","",'당기원장'!H971)</x:f>
      </x:c>
      <x:c r="H1971" s="73" t="str">
        <x:f>IF('당기원장'!A971="","",'당기원장'!I971)</x:f>
      </x:c>
      <x:c r="I1971" s="73" t="str">
        <x:f>IF('당기원장'!A971="","",'당기원장'!J971)</x:f>
      </x:c>
      <x:c r="J1971" s="73" t="str">
        <x:f>IF('당기원장'!A971="","",'당기원장'!K971)</x:f>
      </x:c>
      <x:c r="K1971" s="73" t="str">
        <x:f>IF(B1971="","",IF(COUNTIF($B$5:B1971,B1971)=1,COUNT($K$4:K1970)+1,""))</x:f>
      </x:c>
      <x:c r="L1971" s="85" t="str">
        <x:f>IF(B1971="","",IF(COUNTIFS('계정비교'!$A$5:$A$1004,B1971,'계정비교'!$H$5:$H$1004,"원인분석 대상")&gt;0,COUNT($L$4:L1970)+1,""))</x:f>
      </x:c>
    </x:row>
    <x:row r="1972">
      <x:c r="A1972" s="73" t="str">
        <x:f>IF('당기원장'!A972="","","당기")</x:f>
      </x:c>
      <x:c r="B1972" s="73" t="str">
        <x:f>IF('당기원장'!A972="","",'당기원장'!A972)</x:f>
      </x:c>
      <x:c r="C1972" s="73" t="str">
        <x:f>IF('당기원장'!A972="","",'당기원장'!B972)</x:f>
      </x:c>
      <x:c r="D1972" s="74" t="str">
        <x:f>IF('당기원장'!A972="","",'당기원장'!C972)</x:f>
      </x:c>
      <x:c r="E1972" s="73" t="str">
        <x:f>IF('당기원장'!A972="","",'당기원장'!D972)</x:f>
      </x:c>
      <x:c r="F1972" s="73" t="str">
        <x:f>IF('당기원장'!A972="","",'당기원장'!E972)</x:f>
      </x:c>
      <x:c r="G1972" s="75" t="str">
        <x:f>IF('당기원장'!A972="","",'당기원장'!H972)</x:f>
      </x:c>
      <x:c r="H1972" s="73" t="str">
        <x:f>IF('당기원장'!A972="","",'당기원장'!I972)</x:f>
      </x:c>
      <x:c r="I1972" s="73" t="str">
        <x:f>IF('당기원장'!A972="","",'당기원장'!J972)</x:f>
      </x:c>
      <x:c r="J1972" s="73" t="str">
        <x:f>IF('당기원장'!A972="","",'당기원장'!K972)</x:f>
      </x:c>
      <x:c r="K1972" s="73" t="str">
        <x:f>IF(B1972="","",IF(COUNTIF($B$5:B1972,B1972)=1,COUNT($K$4:K1971)+1,""))</x:f>
      </x:c>
      <x:c r="L1972" s="85" t="str">
        <x:f>IF(B1972="","",IF(COUNTIFS('계정비교'!$A$5:$A$1004,B1972,'계정비교'!$H$5:$H$1004,"원인분석 대상")&gt;0,COUNT($L$4:L1971)+1,""))</x:f>
      </x:c>
    </x:row>
    <x:row r="1973">
      <x:c r="A1973" s="73" t="str">
        <x:f>IF('당기원장'!A973="","","당기")</x:f>
      </x:c>
      <x:c r="B1973" s="73" t="str">
        <x:f>IF('당기원장'!A973="","",'당기원장'!A973)</x:f>
      </x:c>
      <x:c r="C1973" s="73" t="str">
        <x:f>IF('당기원장'!A973="","",'당기원장'!B973)</x:f>
      </x:c>
      <x:c r="D1973" s="74" t="str">
        <x:f>IF('당기원장'!A973="","",'당기원장'!C973)</x:f>
      </x:c>
      <x:c r="E1973" s="73" t="str">
        <x:f>IF('당기원장'!A973="","",'당기원장'!D973)</x:f>
      </x:c>
      <x:c r="F1973" s="73" t="str">
        <x:f>IF('당기원장'!A973="","",'당기원장'!E973)</x:f>
      </x:c>
      <x:c r="G1973" s="75" t="str">
        <x:f>IF('당기원장'!A973="","",'당기원장'!H973)</x:f>
      </x:c>
      <x:c r="H1973" s="73" t="str">
        <x:f>IF('당기원장'!A973="","",'당기원장'!I973)</x:f>
      </x:c>
      <x:c r="I1973" s="73" t="str">
        <x:f>IF('당기원장'!A973="","",'당기원장'!J973)</x:f>
      </x:c>
      <x:c r="J1973" s="73" t="str">
        <x:f>IF('당기원장'!A973="","",'당기원장'!K973)</x:f>
      </x:c>
      <x:c r="K1973" s="73" t="str">
        <x:f>IF(B1973="","",IF(COUNTIF($B$5:B1973,B1973)=1,COUNT($K$4:K1972)+1,""))</x:f>
      </x:c>
      <x:c r="L1973" s="85" t="str">
        <x:f>IF(B1973="","",IF(COUNTIFS('계정비교'!$A$5:$A$1004,B1973,'계정비교'!$H$5:$H$1004,"원인분석 대상")&gt;0,COUNT($L$4:L1972)+1,""))</x:f>
      </x:c>
    </x:row>
    <x:row r="1974">
      <x:c r="A1974" s="73" t="str">
        <x:f>IF('당기원장'!A974="","","당기")</x:f>
      </x:c>
      <x:c r="B1974" s="73" t="str">
        <x:f>IF('당기원장'!A974="","",'당기원장'!A974)</x:f>
      </x:c>
      <x:c r="C1974" s="73" t="str">
        <x:f>IF('당기원장'!A974="","",'당기원장'!B974)</x:f>
      </x:c>
      <x:c r="D1974" s="74" t="str">
        <x:f>IF('당기원장'!A974="","",'당기원장'!C974)</x:f>
      </x:c>
      <x:c r="E1974" s="73" t="str">
        <x:f>IF('당기원장'!A974="","",'당기원장'!D974)</x:f>
      </x:c>
      <x:c r="F1974" s="73" t="str">
        <x:f>IF('당기원장'!A974="","",'당기원장'!E974)</x:f>
      </x:c>
      <x:c r="G1974" s="75" t="str">
        <x:f>IF('당기원장'!A974="","",'당기원장'!H974)</x:f>
      </x:c>
      <x:c r="H1974" s="73" t="str">
        <x:f>IF('당기원장'!A974="","",'당기원장'!I974)</x:f>
      </x:c>
      <x:c r="I1974" s="73" t="str">
        <x:f>IF('당기원장'!A974="","",'당기원장'!J974)</x:f>
      </x:c>
      <x:c r="J1974" s="73" t="str">
        <x:f>IF('당기원장'!A974="","",'당기원장'!K974)</x:f>
      </x:c>
      <x:c r="K1974" s="73" t="str">
        <x:f>IF(B1974="","",IF(COUNTIF($B$5:B1974,B1974)=1,COUNT($K$4:K1973)+1,""))</x:f>
      </x:c>
      <x:c r="L1974" s="85" t="str">
        <x:f>IF(B1974="","",IF(COUNTIFS('계정비교'!$A$5:$A$1004,B1974,'계정비교'!$H$5:$H$1004,"원인분석 대상")&gt;0,COUNT($L$4:L1973)+1,""))</x:f>
      </x:c>
    </x:row>
    <x:row r="1975">
      <x:c r="A1975" s="73" t="str">
        <x:f>IF('당기원장'!A975="","","당기")</x:f>
      </x:c>
      <x:c r="B1975" s="73" t="str">
        <x:f>IF('당기원장'!A975="","",'당기원장'!A975)</x:f>
      </x:c>
      <x:c r="C1975" s="73" t="str">
        <x:f>IF('당기원장'!A975="","",'당기원장'!B975)</x:f>
      </x:c>
      <x:c r="D1975" s="74" t="str">
        <x:f>IF('당기원장'!A975="","",'당기원장'!C975)</x:f>
      </x:c>
      <x:c r="E1975" s="73" t="str">
        <x:f>IF('당기원장'!A975="","",'당기원장'!D975)</x:f>
      </x:c>
      <x:c r="F1975" s="73" t="str">
        <x:f>IF('당기원장'!A975="","",'당기원장'!E975)</x:f>
      </x:c>
      <x:c r="G1975" s="75" t="str">
        <x:f>IF('당기원장'!A975="","",'당기원장'!H975)</x:f>
      </x:c>
      <x:c r="H1975" s="73" t="str">
        <x:f>IF('당기원장'!A975="","",'당기원장'!I975)</x:f>
      </x:c>
      <x:c r="I1975" s="73" t="str">
        <x:f>IF('당기원장'!A975="","",'당기원장'!J975)</x:f>
      </x:c>
      <x:c r="J1975" s="73" t="str">
        <x:f>IF('당기원장'!A975="","",'당기원장'!K975)</x:f>
      </x:c>
      <x:c r="K1975" s="73" t="str">
        <x:f>IF(B1975="","",IF(COUNTIF($B$5:B1975,B1975)=1,COUNT($K$4:K1974)+1,""))</x:f>
      </x:c>
      <x:c r="L1975" s="85" t="str">
        <x:f>IF(B1975="","",IF(COUNTIFS('계정비교'!$A$5:$A$1004,B1975,'계정비교'!$H$5:$H$1004,"원인분석 대상")&gt;0,COUNT($L$4:L1974)+1,""))</x:f>
      </x:c>
    </x:row>
    <x:row r="1976">
      <x:c r="A1976" s="73" t="str">
        <x:f>IF('당기원장'!A976="","","당기")</x:f>
      </x:c>
      <x:c r="B1976" s="73" t="str">
        <x:f>IF('당기원장'!A976="","",'당기원장'!A976)</x:f>
      </x:c>
      <x:c r="C1976" s="73" t="str">
        <x:f>IF('당기원장'!A976="","",'당기원장'!B976)</x:f>
      </x:c>
      <x:c r="D1976" s="74" t="str">
        <x:f>IF('당기원장'!A976="","",'당기원장'!C976)</x:f>
      </x:c>
      <x:c r="E1976" s="73" t="str">
        <x:f>IF('당기원장'!A976="","",'당기원장'!D976)</x:f>
      </x:c>
      <x:c r="F1976" s="73" t="str">
        <x:f>IF('당기원장'!A976="","",'당기원장'!E976)</x:f>
      </x:c>
      <x:c r="G1976" s="75" t="str">
        <x:f>IF('당기원장'!A976="","",'당기원장'!H976)</x:f>
      </x:c>
      <x:c r="H1976" s="73" t="str">
        <x:f>IF('당기원장'!A976="","",'당기원장'!I976)</x:f>
      </x:c>
      <x:c r="I1976" s="73" t="str">
        <x:f>IF('당기원장'!A976="","",'당기원장'!J976)</x:f>
      </x:c>
      <x:c r="J1976" s="73" t="str">
        <x:f>IF('당기원장'!A976="","",'당기원장'!K976)</x:f>
      </x:c>
      <x:c r="K1976" s="73" t="str">
        <x:f>IF(B1976="","",IF(COUNTIF($B$5:B1976,B1976)=1,COUNT($K$4:K1975)+1,""))</x:f>
      </x:c>
      <x:c r="L1976" s="85" t="str">
        <x:f>IF(B1976="","",IF(COUNTIFS('계정비교'!$A$5:$A$1004,B1976,'계정비교'!$H$5:$H$1004,"원인분석 대상")&gt;0,COUNT($L$4:L1975)+1,""))</x:f>
      </x:c>
    </x:row>
    <x:row r="1977">
      <x:c r="A1977" s="73" t="str">
        <x:f>IF('당기원장'!A977="","","당기")</x:f>
      </x:c>
      <x:c r="B1977" s="73" t="str">
        <x:f>IF('당기원장'!A977="","",'당기원장'!A977)</x:f>
      </x:c>
      <x:c r="C1977" s="73" t="str">
        <x:f>IF('당기원장'!A977="","",'당기원장'!B977)</x:f>
      </x:c>
      <x:c r="D1977" s="74" t="str">
        <x:f>IF('당기원장'!A977="","",'당기원장'!C977)</x:f>
      </x:c>
      <x:c r="E1977" s="73" t="str">
        <x:f>IF('당기원장'!A977="","",'당기원장'!D977)</x:f>
      </x:c>
      <x:c r="F1977" s="73" t="str">
        <x:f>IF('당기원장'!A977="","",'당기원장'!E977)</x:f>
      </x:c>
      <x:c r="G1977" s="75" t="str">
        <x:f>IF('당기원장'!A977="","",'당기원장'!H977)</x:f>
      </x:c>
      <x:c r="H1977" s="73" t="str">
        <x:f>IF('당기원장'!A977="","",'당기원장'!I977)</x:f>
      </x:c>
      <x:c r="I1977" s="73" t="str">
        <x:f>IF('당기원장'!A977="","",'당기원장'!J977)</x:f>
      </x:c>
      <x:c r="J1977" s="73" t="str">
        <x:f>IF('당기원장'!A977="","",'당기원장'!K977)</x:f>
      </x:c>
      <x:c r="K1977" s="73" t="str">
        <x:f>IF(B1977="","",IF(COUNTIF($B$5:B1977,B1977)=1,COUNT($K$4:K1976)+1,""))</x:f>
      </x:c>
      <x:c r="L1977" s="85" t="str">
        <x:f>IF(B1977="","",IF(COUNTIFS('계정비교'!$A$5:$A$1004,B1977,'계정비교'!$H$5:$H$1004,"원인분석 대상")&gt;0,COUNT($L$4:L1976)+1,""))</x:f>
      </x:c>
    </x:row>
    <x:row r="1978">
      <x:c r="A1978" s="73" t="str">
        <x:f>IF('당기원장'!A978="","","당기")</x:f>
      </x:c>
      <x:c r="B1978" s="73" t="str">
        <x:f>IF('당기원장'!A978="","",'당기원장'!A978)</x:f>
      </x:c>
      <x:c r="C1978" s="73" t="str">
        <x:f>IF('당기원장'!A978="","",'당기원장'!B978)</x:f>
      </x:c>
      <x:c r="D1978" s="74" t="str">
        <x:f>IF('당기원장'!A978="","",'당기원장'!C978)</x:f>
      </x:c>
      <x:c r="E1978" s="73" t="str">
        <x:f>IF('당기원장'!A978="","",'당기원장'!D978)</x:f>
      </x:c>
      <x:c r="F1978" s="73" t="str">
        <x:f>IF('당기원장'!A978="","",'당기원장'!E978)</x:f>
      </x:c>
      <x:c r="G1978" s="75" t="str">
        <x:f>IF('당기원장'!A978="","",'당기원장'!H978)</x:f>
      </x:c>
      <x:c r="H1978" s="73" t="str">
        <x:f>IF('당기원장'!A978="","",'당기원장'!I978)</x:f>
      </x:c>
      <x:c r="I1978" s="73" t="str">
        <x:f>IF('당기원장'!A978="","",'당기원장'!J978)</x:f>
      </x:c>
      <x:c r="J1978" s="73" t="str">
        <x:f>IF('당기원장'!A978="","",'당기원장'!K978)</x:f>
      </x:c>
      <x:c r="K1978" s="73" t="str">
        <x:f>IF(B1978="","",IF(COUNTIF($B$5:B1978,B1978)=1,COUNT($K$4:K1977)+1,""))</x:f>
      </x:c>
      <x:c r="L1978" s="85" t="str">
        <x:f>IF(B1978="","",IF(COUNTIFS('계정비교'!$A$5:$A$1004,B1978,'계정비교'!$H$5:$H$1004,"원인분석 대상")&gt;0,COUNT($L$4:L1977)+1,""))</x:f>
      </x:c>
    </x:row>
    <x:row r="1979">
      <x:c r="A1979" s="73" t="str">
        <x:f>IF('당기원장'!A979="","","당기")</x:f>
      </x:c>
      <x:c r="B1979" s="73" t="str">
        <x:f>IF('당기원장'!A979="","",'당기원장'!A979)</x:f>
      </x:c>
      <x:c r="C1979" s="73" t="str">
        <x:f>IF('당기원장'!A979="","",'당기원장'!B979)</x:f>
      </x:c>
      <x:c r="D1979" s="74" t="str">
        <x:f>IF('당기원장'!A979="","",'당기원장'!C979)</x:f>
      </x:c>
      <x:c r="E1979" s="73" t="str">
        <x:f>IF('당기원장'!A979="","",'당기원장'!D979)</x:f>
      </x:c>
      <x:c r="F1979" s="73" t="str">
        <x:f>IF('당기원장'!A979="","",'당기원장'!E979)</x:f>
      </x:c>
      <x:c r="G1979" s="75" t="str">
        <x:f>IF('당기원장'!A979="","",'당기원장'!H979)</x:f>
      </x:c>
      <x:c r="H1979" s="73" t="str">
        <x:f>IF('당기원장'!A979="","",'당기원장'!I979)</x:f>
      </x:c>
      <x:c r="I1979" s="73" t="str">
        <x:f>IF('당기원장'!A979="","",'당기원장'!J979)</x:f>
      </x:c>
      <x:c r="J1979" s="73" t="str">
        <x:f>IF('당기원장'!A979="","",'당기원장'!K979)</x:f>
      </x:c>
      <x:c r="K1979" s="73" t="str">
        <x:f>IF(B1979="","",IF(COUNTIF($B$5:B1979,B1979)=1,COUNT($K$4:K1978)+1,""))</x:f>
      </x:c>
      <x:c r="L1979" s="85" t="str">
        <x:f>IF(B1979="","",IF(COUNTIFS('계정비교'!$A$5:$A$1004,B1979,'계정비교'!$H$5:$H$1004,"원인분석 대상")&gt;0,COUNT($L$4:L1978)+1,""))</x:f>
      </x:c>
    </x:row>
    <x:row r="1980">
      <x:c r="A1980" s="73" t="str">
        <x:f>IF('당기원장'!A980="","","당기")</x:f>
      </x:c>
      <x:c r="B1980" s="73" t="str">
        <x:f>IF('당기원장'!A980="","",'당기원장'!A980)</x:f>
      </x:c>
      <x:c r="C1980" s="73" t="str">
        <x:f>IF('당기원장'!A980="","",'당기원장'!B980)</x:f>
      </x:c>
      <x:c r="D1980" s="74" t="str">
        <x:f>IF('당기원장'!A980="","",'당기원장'!C980)</x:f>
      </x:c>
      <x:c r="E1980" s="73" t="str">
        <x:f>IF('당기원장'!A980="","",'당기원장'!D980)</x:f>
      </x:c>
      <x:c r="F1980" s="73" t="str">
        <x:f>IF('당기원장'!A980="","",'당기원장'!E980)</x:f>
      </x:c>
      <x:c r="G1980" s="75" t="str">
        <x:f>IF('당기원장'!A980="","",'당기원장'!H980)</x:f>
      </x:c>
      <x:c r="H1980" s="73" t="str">
        <x:f>IF('당기원장'!A980="","",'당기원장'!I980)</x:f>
      </x:c>
      <x:c r="I1980" s="73" t="str">
        <x:f>IF('당기원장'!A980="","",'당기원장'!J980)</x:f>
      </x:c>
      <x:c r="J1980" s="73" t="str">
        <x:f>IF('당기원장'!A980="","",'당기원장'!K980)</x:f>
      </x:c>
      <x:c r="K1980" s="73" t="str">
        <x:f>IF(B1980="","",IF(COUNTIF($B$5:B1980,B1980)=1,COUNT($K$4:K1979)+1,""))</x:f>
      </x:c>
      <x:c r="L1980" s="85" t="str">
        <x:f>IF(B1980="","",IF(COUNTIFS('계정비교'!$A$5:$A$1004,B1980,'계정비교'!$H$5:$H$1004,"원인분석 대상")&gt;0,COUNT($L$4:L1979)+1,""))</x:f>
      </x:c>
    </x:row>
    <x:row r="1981">
      <x:c r="A1981" s="73" t="str">
        <x:f>IF('당기원장'!A981="","","당기")</x:f>
      </x:c>
      <x:c r="B1981" s="73" t="str">
        <x:f>IF('당기원장'!A981="","",'당기원장'!A981)</x:f>
      </x:c>
      <x:c r="C1981" s="73" t="str">
        <x:f>IF('당기원장'!A981="","",'당기원장'!B981)</x:f>
      </x:c>
      <x:c r="D1981" s="74" t="str">
        <x:f>IF('당기원장'!A981="","",'당기원장'!C981)</x:f>
      </x:c>
      <x:c r="E1981" s="73" t="str">
        <x:f>IF('당기원장'!A981="","",'당기원장'!D981)</x:f>
      </x:c>
      <x:c r="F1981" s="73" t="str">
        <x:f>IF('당기원장'!A981="","",'당기원장'!E981)</x:f>
      </x:c>
      <x:c r="G1981" s="75" t="str">
        <x:f>IF('당기원장'!A981="","",'당기원장'!H981)</x:f>
      </x:c>
      <x:c r="H1981" s="73" t="str">
        <x:f>IF('당기원장'!A981="","",'당기원장'!I981)</x:f>
      </x:c>
      <x:c r="I1981" s="73" t="str">
        <x:f>IF('당기원장'!A981="","",'당기원장'!J981)</x:f>
      </x:c>
      <x:c r="J1981" s="73" t="str">
        <x:f>IF('당기원장'!A981="","",'당기원장'!K981)</x:f>
      </x:c>
      <x:c r="K1981" s="73" t="str">
        <x:f>IF(B1981="","",IF(COUNTIF($B$5:B1981,B1981)=1,COUNT($K$4:K1980)+1,""))</x:f>
      </x:c>
      <x:c r="L1981" s="85" t="str">
        <x:f>IF(B1981="","",IF(COUNTIFS('계정비교'!$A$5:$A$1004,B1981,'계정비교'!$H$5:$H$1004,"원인분석 대상")&gt;0,COUNT($L$4:L1980)+1,""))</x:f>
      </x:c>
    </x:row>
    <x:row r="1982">
      <x:c r="A1982" s="73" t="str">
        <x:f>IF('당기원장'!A982="","","당기")</x:f>
      </x:c>
      <x:c r="B1982" s="73" t="str">
        <x:f>IF('당기원장'!A982="","",'당기원장'!A982)</x:f>
      </x:c>
      <x:c r="C1982" s="73" t="str">
        <x:f>IF('당기원장'!A982="","",'당기원장'!B982)</x:f>
      </x:c>
      <x:c r="D1982" s="74" t="str">
        <x:f>IF('당기원장'!A982="","",'당기원장'!C982)</x:f>
      </x:c>
      <x:c r="E1982" s="73" t="str">
        <x:f>IF('당기원장'!A982="","",'당기원장'!D982)</x:f>
      </x:c>
      <x:c r="F1982" s="73" t="str">
        <x:f>IF('당기원장'!A982="","",'당기원장'!E982)</x:f>
      </x:c>
      <x:c r="G1982" s="75" t="str">
        <x:f>IF('당기원장'!A982="","",'당기원장'!H982)</x:f>
      </x:c>
      <x:c r="H1982" s="73" t="str">
        <x:f>IF('당기원장'!A982="","",'당기원장'!I982)</x:f>
      </x:c>
      <x:c r="I1982" s="73" t="str">
        <x:f>IF('당기원장'!A982="","",'당기원장'!J982)</x:f>
      </x:c>
      <x:c r="J1982" s="73" t="str">
        <x:f>IF('당기원장'!A982="","",'당기원장'!K982)</x:f>
      </x:c>
      <x:c r="K1982" s="73" t="str">
        <x:f>IF(B1982="","",IF(COUNTIF($B$5:B1982,B1982)=1,COUNT($K$4:K1981)+1,""))</x:f>
      </x:c>
      <x:c r="L1982" s="85" t="str">
        <x:f>IF(B1982="","",IF(COUNTIFS('계정비교'!$A$5:$A$1004,B1982,'계정비교'!$H$5:$H$1004,"원인분석 대상")&gt;0,COUNT($L$4:L1981)+1,""))</x:f>
      </x:c>
    </x:row>
    <x:row r="1983">
      <x:c r="A1983" s="73" t="str">
        <x:f>IF('당기원장'!A983="","","당기")</x:f>
      </x:c>
      <x:c r="B1983" s="73" t="str">
        <x:f>IF('당기원장'!A983="","",'당기원장'!A983)</x:f>
      </x:c>
      <x:c r="C1983" s="73" t="str">
        <x:f>IF('당기원장'!A983="","",'당기원장'!B983)</x:f>
      </x:c>
      <x:c r="D1983" s="74" t="str">
        <x:f>IF('당기원장'!A983="","",'당기원장'!C983)</x:f>
      </x:c>
      <x:c r="E1983" s="73" t="str">
        <x:f>IF('당기원장'!A983="","",'당기원장'!D983)</x:f>
      </x:c>
      <x:c r="F1983" s="73" t="str">
        <x:f>IF('당기원장'!A983="","",'당기원장'!E983)</x:f>
      </x:c>
      <x:c r="G1983" s="75" t="str">
        <x:f>IF('당기원장'!A983="","",'당기원장'!H983)</x:f>
      </x:c>
      <x:c r="H1983" s="73" t="str">
        <x:f>IF('당기원장'!A983="","",'당기원장'!I983)</x:f>
      </x:c>
      <x:c r="I1983" s="73" t="str">
        <x:f>IF('당기원장'!A983="","",'당기원장'!J983)</x:f>
      </x:c>
      <x:c r="J1983" s="73" t="str">
        <x:f>IF('당기원장'!A983="","",'당기원장'!K983)</x:f>
      </x:c>
      <x:c r="K1983" s="73" t="str">
        <x:f>IF(B1983="","",IF(COUNTIF($B$5:B1983,B1983)=1,COUNT($K$4:K1982)+1,""))</x:f>
      </x:c>
      <x:c r="L1983" s="85" t="str">
        <x:f>IF(B1983="","",IF(COUNTIFS('계정비교'!$A$5:$A$1004,B1983,'계정비교'!$H$5:$H$1004,"원인분석 대상")&gt;0,COUNT($L$4:L1982)+1,""))</x:f>
      </x:c>
    </x:row>
    <x:row r="1984">
      <x:c r="A1984" s="73" t="str">
        <x:f>IF('당기원장'!A984="","","당기")</x:f>
      </x:c>
      <x:c r="B1984" s="73" t="str">
        <x:f>IF('당기원장'!A984="","",'당기원장'!A984)</x:f>
      </x:c>
      <x:c r="C1984" s="73" t="str">
        <x:f>IF('당기원장'!A984="","",'당기원장'!B984)</x:f>
      </x:c>
      <x:c r="D1984" s="74" t="str">
        <x:f>IF('당기원장'!A984="","",'당기원장'!C984)</x:f>
      </x:c>
      <x:c r="E1984" s="73" t="str">
        <x:f>IF('당기원장'!A984="","",'당기원장'!D984)</x:f>
      </x:c>
      <x:c r="F1984" s="73" t="str">
        <x:f>IF('당기원장'!A984="","",'당기원장'!E984)</x:f>
      </x:c>
      <x:c r="G1984" s="75" t="str">
        <x:f>IF('당기원장'!A984="","",'당기원장'!H984)</x:f>
      </x:c>
      <x:c r="H1984" s="73" t="str">
        <x:f>IF('당기원장'!A984="","",'당기원장'!I984)</x:f>
      </x:c>
      <x:c r="I1984" s="73" t="str">
        <x:f>IF('당기원장'!A984="","",'당기원장'!J984)</x:f>
      </x:c>
      <x:c r="J1984" s="73" t="str">
        <x:f>IF('당기원장'!A984="","",'당기원장'!K984)</x:f>
      </x:c>
      <x:c r="K1984" s="73" t="str">
        <x:f>IF(B1984="","",IF(COUNTIF($B$5:B1984,B1984)=1,COUNT($K$4:K1983)+1,""))</x:f>
      </x:c>
      <x:c r="L1984" s="85" t="str">
        <x:f>IF(B1984="","",IF(COUNTIFS('계정비교'!$A$5:$A$1004,B1984,'계정비교'!$H$5:$H$1004,"원인분석 대상")&gt;0,COUNT($L$4:L1983)+1,""))</x:f>
      </x:c>
    </x:row>
    <x:row r="1985">
      <x:c r="A1985" s="73" t="str">
        <x:f>IF('당기원장'!A985="","","당기")</x:f>
      </x:c>
      <x:c r="B1985" s="73" t="str">
        <x:f>IF('당기원장'!A985="","",'당기원장'!A985)</x:f>
      </x:c>
      <x:c r="C1985" s="73" t="str">
        <x:f>IF('당기원장'!A985="","",'당기원장'!B985)</x:f>
      </x:c>
      <x:c r="D1985" s="74" t="str">
        <x:f>IF('당기원장'!A985="","",'당기원장'!C985)</x:f>
      </x:c>
      <x:c r="E1985" s="73" t="str">
        <x:f>IF('당기원장'!A985="","",'당기원장'!D985)</x:f>
      </x:c>
      <x:c r="F1985" s="73" t="str">
        <x:f>IF('당기원장'!A985="","",'당기원장'!E985)</x:f>
      </x:c>
      <x:c r="G1985" s="75" t="str">
        <x:f>IF('당기원장'!A985="","",'당기원장'!H985)</x:f>
      </x:c>
      <x:c r="H1985" s="73" t="str">
        <x:f>IF('당기원장'!A985="","",'당기원장'!I985)</x:f>
      </x:c>
      <x:c r="I1985" s="73" t="str">
        <x:f>IF('당기원장'!A985="","",'당기원장'!J985)</x:f>
      </x:c>
      <x:c r="J1985" s="73" t="str">
        <x:f>IF('당기원장'!A985="","",'당기원장'!K985)</x:f>
      </x:c>
      <x:c r="K1985" s="73" t="str">
        <x:f>IF(B1985="","",IF(COUNTIF($B$5:B1985,B1985)=1,COUNT($K$4:K1984)+1,""))</x:f>
      </x:c>
      <x:c r="L1985" s="85" t="str">
        <x:f>IF(B1985="","",IF(COUNTIFS('계정비교'!$A$5:$A$1004,B1985,'계정비교'!$H$5:$H$1004,"원인분석 대상")&gt;0,COUNT($L$4:L1984)+1,""))</x:f>
      </x:c>
    </x:row>
    <x:row r="1986">
      <x:c r="A1986" s="73" t="str">
        <x:f>IF('당기원장'!A986="","","당기")</x:f>
      </x:c>
      <x:c r="B1986" s="73" t="str">
        <x:f>IF('당기원장'!A986="","",'당기원장'!A986)</x:f>
      </x:c>
      <x:c r="C1986" s="73" t="str">
        <x:f>IF('당기원장'!A986="","",'당기원장'!B986)</x:f>
      </x:c>
      <x:c r="D1986" s="74" t="str">
        <x:f>IF('당기원장'!A986="","",'당기원장'!C986)</x:f>
      </x:c>
      <x:c r="E1986" s="73" t="str">
        <x:f>IF('당기원장'!A986="","",'당기원장'!D986)</x:f>
      </x:c>
      <x:c r="F1986" s="73" t="str">
        <x:f>IF('당기원장'!A986="","",'당기원장'!E986)</x:f>
      </x:c>
      <x:c r="G1986" s="75" t="str">
        <x:f>IF('당기원장'!A986="","",'당기원장'!H986)</x:f>
      </x:c>
      <x:c r="H1986" s="73" t="str">
        <x:f>IF('당기원장'!A986="","",'당기원장'!I986)</x:f>
      </x:c>
      <x:c r="I1986" s="73" t="str">
        <x:f>IF('당기원장'!A986="","",'당기원장'!J986)</x:f>
      </x:c>
      <x:c r="J1986" s="73" t="str">
        <x:f>IF('당기원장'!A986="","",'당기원장'!K986)</x:f>
      </x:c>
      <x:c r="K1986" s="73" t="str">
        <x:f>IF(B1986="","",IF(COUNTIF($B$5:B1986,B1986)=1,COUNT($K$4:K1985)+1,""))</x:f>
      </x:c>
      <x:c r="L1986" s="85" t="str">
        <x:f>IF(B1986="","",IF(COUNTIFS('계정비교'!$A$5:$A$1004,B1986,'계정비교'!$H$5:$H$1004,"원인분석 대상")&gt;0,COUNT($L$4:L1985)+1,""))</x:f>
      </x:c>
    </x:row>
    <x:row r="1987">
      <x:c r="A1987" s="73" t="str">
        <x:f>IF('당기원장'!A987="","","당기")</x:f>
      </x:c>
      <x:c r="B1987" s="73" t="str">
        <x:f>IF('당기원장'!A987="","",'당기원장'!A987)</x:f>
      </x:c>
      <x:c r="C1987" s="73" t="str">
        <x:f>IF('당기원장'!A987="","",'당기원장'!B987)</x:f>
      </x:c>
      <x:c r="D1987" s="74" t="str">
        <x:f>IF('당기원장'!A987="","",'당기원장'!C987)</x:f>
      </x:c>
      <x:c r="E1987" s="73" t="str">
        <x:f>IF('당기원장'!A987="","",'당기원장'!D987)</x:f>
      </x:c>
      <x:c r="F1987" s="73" t="str">
        <x:f>IF('당기원장'!A987="","",'당기원장'!E987)</x:f>
      </x:c>
      <x:c r="G1987" s="75" t="str">
        <x:f>IF('당기원장'!A987="","",'당기원장'!H987)</x:f>
      </x:c>
      <x:c r="H1987" s="73" t="str">
        <x:f>IF('당기원장'!A987="","",'당기원장'!I987)</x:f>
      </x:c>
      <x:c r="I1987" s="73" t="str">
        <x:f>IF('당기원장'!A987="","",'당기원장'!J987)</x:f>
      </x:c>
      <x:c r="J1987" s="73" t="str">
        <x:f>IF('당기원장'!A987="","",'당기원장'!K987)</x:f>
      </x:c>
      <x:c r="K1987" s="73" t="str">
        <x:f>IF(B1987="","",IF(COUNTIF($B$5:B1987,B1987)=1,COUNT($K$4:K1986)+1,""))</x:f>
      </x:c>
      <x:c r="L1987" s="85" t="str">
        <x:f>IF(B1987="","",IF(COUNTIFS('계정비교'!$A$5:$A$1004,B1987,'계정비교'!$H$5:$H$1004,"원인분석 대상")&gt;0,COUNT($L$4:L1986)+1,""))</x:f>
      </x:c>
    </x:row>
    <x:row r="1988">
      <x:c r="A1988" s="73" t="str">
        <x:f>IF('당기원장'!A988="","","당기")</x:f>
      </x:c>
      <x:c r="B1988" s="73" t="str">
        <x:f>IF('당기원장'!A988="","",'당기원장'!A988)</x:f>
      </x:c>
      <x:c r="C1988" s="73" t="str">
        <x:f>IF('당기원장'!A988="","",'당기원장'!B988)</x:f>
      </x:c>
      <x:c r="D1988" s="74" t="str">
        <x:f>IF('당기원장'!A988="","",'당기원장'!C988)</x:f>
      </x:c>
      <x:c r="E1988" s="73" t="str">
        <x:f>IF('당기원장'!A988="","",'당기원장'!D988)</x:f>
      </x:c>
      <x:c r="F1988" s="73" t="str">
        <x:f>IF('당기원장'!A988="","",'당기원장'!E988)</x:f>
      </x:c>
      <x:c r="G1988" s="75" t="str">
        <x:f>IF('당기원장'!A988="","",'당기원장'!H988)</x:f>
      </x:c>
      <x:c r="H1988" s="73" t="str">
        <x:f>IF('당기원장'!A988="","",'당기원장'!I988)</x:f>
      </x:c>
      <x:c r="I1988" s="73" t="str">
        <x:f>IF('당기원장'!A988="","",'당기원장'!J988)</x:f>
      </x:c>
      <x:c r="J1988" s="73" t="str">
        <x:f>IF('당기원장'!A988="","",'당기원장'!K988)</x:f>
      </x:c>
      <x:c r="K1988" s="73" t="str">
        <x:f>IF(B1988="","",IF(COUNTIF($B$5:B1988,B1988)=1,COUNT($K$4:K1987)+1,""))</x:f>
      </x:c>
      <x:c r="L1988" s="85" t="str">
        <x:f>IF(B1988="","",IF(COUNTIFS('계정비교'!$A$5:$A$1004,B1988,'계정비교'!$H$5:$H$1004,"원인분석 대상")&gt;0,COUNT($L$4:L1987)+1,""))</x:f>
      </x:c>
    </x:row>
    <x:row r="1989">
      <x:c r="A1989" s="73" t="str">
        <x:f>IF('당기원장'!A989="","","당기")</x:f>
      </x:c>
      <x:c r="B1989" s="73" t="str">
        <x:f>IF('당기원장'!A989="","",'당기원장'!A989)</x:f>
      </x:c>
      <x:c r="C1989" s="73" t="str">
        <x:f>IF('당기원장'!A989="","",'당기원장'!B989)</x:f>
      </x:c>
      <x:c r="D1989" s="74" t="str">
        <x:f>IF('당기원장'!A989="","",'당기원장'!C989)</x:f>
      </x:c>
      <x:c r="E1989" s="73" t="str">
        <x:f>IF('당기원장'!A989="","",'당기원장'!D989)</x:f>
      </x:c>
      <x:c r="F1989" s="73" t="str">
        <x:f>IF('당기원장'!A989="","",'당기원장'!E989)</x:f>
      </x:c>
      <x:c r="G1989" s="75" t="str">
        <x:f>IF('당기원장'!A989="","",'당기원장'!H989)</x:f>
      </x:c>
      <x:c r="H1989" s="73" t="str">
        <x:f>IF('당기원장'!A989="","",'당기원장'!I989)</x:f>
      </x:c>
      <x:c r="I1989" s="73" t="str">
        <x:f>IF('당기원장'!A989="","",'당기원장'!J989)</x:f>
      </x:c>
      <x:c r="J1989" s="73" t="str">
        <x:f>IF('당기원장'!A989="","",'당기원장'!K989)</x:f>
      </x:c>
      <x:c r="K1989" s="73" t="str">
        <x:f>IF(B1989="","",IF(COUNTIF($B$5:B1989,B1989)=1,COUNT($K$4:K1988)+1,""))</x:f>
      </x:c>
      <x:c r="L1989" s="85" t="str">
        <x:f>IF(B1989="","",IF(COUNTIFS('계정비교'!$A$5:$A$1004,B1989,'계정비교'!$H$5:$H$1004,"원인분석 대상")&gt;0,COUNT($L$4:L1988)+1,""))</x:f>
      </x:c>
    </x:row>
    <x:row r="1990">
      <x:c r="A1990" s="73" t="str">
        <x:f>IF('당기원장'!A990="","","당기")</x:f>
      </x:c>
      <x:c r="B1990" s="73" t="str">
        <x:f>IF('당기원장'!A990="","",'당기원장'!A990)</x:f>
      </x:c>
      <x:c r="C1990" s="73" t="str">
        <x:f>IF('당기원장'!A990="","",'당기원장'!B990)</x:f>
      </x:c>
      <x:c r="D1990" s="74" t="str">
        <x:f>IF('당기원장'!A990="","",'당기원장'!C990)</x:f>
      </x:c>
      <x:c r="E1990" s="73" t="str">
        <x:f>IF('당기원장'!A990="","",'당기원장'!D990)</x:f>
      </x:c>
      <x:c r="F1990" s="73" t="str">
        <x:f>IF('당기원장'!A990="","",'당기원장'!E990)</x:f>
      </x:c>
      <x:c r="G1990" s="75" t="str">
        <x:f>IF('당기원장'!A990="","",'당기원장'!H990)</x:f>
      </x:c>
      <x:c r="H1990" s="73" t="str">
        <x:f>IF('당기원장'!A990="","",'당기원장'!I990)</x:f>
      </x:c>
      <x:c r="I1990" s="73" t="str">
        <x:f>IF('당기원장'!A990="","",'당기원장'!J990)</x:f>
      </x:c>
      <x:c r="J1990" s="73" t="str">
        <x:f>IF('당기원장'!A990="","",'당기원장'!K990)</x:f>
      </x:c>
      <x:c r="K1990" s="73" t="str">
        <x:f>IF(B1990="","",IF(COUNTIF($B$5:B1990,B1990)=1,COUNT($K$4:K1989)+1,""))</x:f>
      </x:c>
      <x:c r="L1990" s="85" t="str">
        <x:f>IF(B1990="","",IF(COUNTIFS('계정비교'!$A$5:$A$1004,B1990,'계정비교'!$H$5:$H$1004,"원인분석 대상")&gt;0,COUNT($L$4:L1989)+1,""))</x:f>
      </x:c>
    </x:row>
    <x:row r="1991">
      <x:c r="A1991" s="73" t="str">
        <x:f>IF('당기원장'!A991="","","당기")</x:f>
      </x:c>
      <x:c r="B1991" s="73" t="str">
        <x:f>IF('당기원장'!A991="","",'당기원장'!A991)</x:f>
      </x:c>
      <x:c r="C1991" s="73" t="str">
        <x:f>IF('당기원장'!A991="","",'당기원장'!B991)</x:f>
      </x:c>
      <x:c r="D1991" s="74" t="str">
        <x:f>IF('당기원장'!A991="","",'당기원장'!C991)</x:f>
      </x:c>
      <x:c r="E1991" s="73" t="str">
        <x:f>IF('당기원장'!A991="","",'당기원장'!D991)</x:f>
      </x:c>
      <x:c r="F1991" s="73" t="str">
        <x:f>IF('당기원장'!A991="","",'당기원장'!E991)</x:f>
      </x:c>
      <x:c r="G1991" s="75" t="str">
        <x:f>IF('당기원장'!A991="","",'당기원장'!H991)</x:f>
      </x:c>
      <x:c r="H1991" s="73" t="str">
        <x:f>IF('당기원장'!A991="","",'당기원장'!I991)</x:f>
      </x:c>
      <x:c r="I1991" s="73" t="str">
        <x:f>IF('당기원장'!A991="","",'당기원장'!J991)</x:f>
      </x:c>
      <x:c r="J1991" s="73" t="str">
        <x:f>IF('당기원장'!A991="","",'당기원장'!K991)</x:f>
      </x:c>
      <x:c r="K1991" s="73" t="str">
        <x:f>IF(B1991="","",IF(COUNTIF($B$5:B1991,B1991)=1,COUNT($K$4:K1990)+1,""))</x:f>
      </x:c>
      <x:c r="L1991" s="85" t="str">
        <x:f>IF(B1991="","",IF(COUNTIFS('계정비교'!$A$5:$A$1004,B1991,'계정비교'!$H$5:$H$1004,"원인분석 대상")&gt;0,COUNT($L$4:L1990)+1,""))</x:f>
      </x:c>
    </x:row>
    <x:row r="1992">
      <x:c r="A1992" s="73" t="str">
        <x:f>IF('당기원장'!A992="","","당기")</x:f>
      </x:c>
      <x:c r="B1992" s="73" t="str">
        <x:f>IF('당기원장'!A992="","",'당기원장'!A992)</x:f>
      </x:c>
      <x:c r="C1992" s="73" t="str">
        <x:f>IF('당기원장'!A992="","",'당기원장'!B992)</x:f>
      </x:c>
      <x:c r="D1992" s="74" t="str">
        <x:f>IF('당기원장'!A992="","",'당기원장'!C992)</x:f>
      </x:c>
      <x:c r="E1992" s="73" t="str">
        <x:f>IF('당기원장'!A992="","",'당기원장'!D992)</x:f>
      </x:c>
      <x:c r="F1992" s="73" t="str">
        <x:f>IF('당기원장'!A992="","",'당기원장'!E992)</x:f>
      </x:c>
      <x:c r="G1992" s="75" t="str">
        <x:f>IF('당기원장'!A992="","",'당기원장'!H992)</x:f>
      </x:c>
      <x:c r="H1992" s="73" t="str">
        <x:f>IF('당기원장'!A992="","",'당기원장'!I992)</x:f>
      </x:c>
      <x:c r="I1992" s="73" t="str">
        <x:f>IF('당기원장'!A992="","",'당기원장'!J992)</x:f>
      </x:c>
      <x:c r="J1992" s="73" t="str">
        <x:f>IF('당기원장'!A992="","",'당기원장'!K992)</x:f>
      </x:c>
      <x:c r="K1992" s="73" t="str">
        <x:f>IF(B1992="","",IF(COUNTIF($B$5:B1992,B1992)=1,COUNT($K$4:K1991)+1,""))</x:f>
      </x:c>
      <x:c r="L1992" s="85" t="str">
        <x:f>IF(B1992="","",IF(COUNTIFS('계정비교'!$A$5:$A$1004,B1992,'계정비교'!$H$5:$H$1004,"원인분석 대상")&gt;0,COUNT($L$4:L1991)+1,""))</x:f>
      </x:c>
    </x:row>
    <x:row r="1993">
      <x:c r="A1993" s="73" t="str">
        <x:f>IF('당기원장'!A993="","","당기")</x:f>
      </x:c>
      <x:c r="B1993" s="73" t="str">
        <x:f>IF('당기원장'!A993="","",'당기원장'!A993)</x:f>
      </x:c>
      <x:c r="C1993" s="73" t="str">
        <x:f>IF('당기원장'!A993="","",'당기원장'!B993)</x:f>
      </x:c>
      <x:c r="D1993" s="74" t="str">
        <x:f>IF('당기원장'!A993="","",'당기원장'!C993)</x:f>
      </x:c>
      <x:c r="E1993" s="73" t="str">
        <x:f>IF('당기원장'!A993="","",'당기원장'!D993)</x:f>
      </x:c>
      <x:c r="F1993" s="73" t="str">
        <x:f>IF('당기원장'!A993="","",'당기원장'!E993)</x:f>
      </x:c>
      <x:c r="G1993" s="75" t="str">
        <x:f>IF('당기원장'!A993="","",'당기원장'!H993)</x:f>
      </x:c>
      <x:c r="H1993" s="73" t="str">
        <x:f>IF('당기원장'!A993="","",'당기원장'!I993)</x:f>
      </x:c>
      <x:c r="I1993" s="73" t="str">
        <x:f>IF('당기원장'!A993="","",'당기원장'!J993)</x:f>
      </x:c>
      <x:c r="J1993" s="73" t="str">
        <x:f>IF('당기원장'!A993="","",'당기원장'!K993)</x:f>
      </x:c>
      <x:c r="K1993" s="73" t="str">
        <x:f>IF(B1993="","",IF(COUNTIF($B$5:B1993,B1993)=1,COUNT($K$4:K1992)+1,""))</x:f>
      </x:c>
      <x:c r="L1993" s="85" t="str">
        <x:f>IF(B1993="","",IF(COUNTIFS('계정비교'!$A$5:$A$1004,B1993,'계정비교'!$H$5:$H$1004,"원인분석 대상")&gt;0,COUNT($L$4:L1992)+1,""))</x:f>
      </x:c>
    </x:row>
    <x:row r="1994">
      <x:c r="A1994" s="73" t="str">
        <x:f>IF('당기원장'!A994="","","당기")</x:f>
      </x:c>
      <x:c r="B1994" s="73" t="str">
        <x:f>IF('당기원장'!A994="","",'당기원장'!A994)</x:f>
      </x:c>
      <x:c r="C1994" s="73" t="str">
        <x:f>IF('당기원장'!A994="","",'당기원장'!B994)</x:f>
      </x:c>
      <x:c r="D1994" s="74" t="str">
        <x:f>IF('당기원장'!A994="","",'당기원장'!C994)</x:f>
      </x:c>
      <x:c r="E1994" s="73" t="str">
        <x:f>IF('당기원장'!A994="","",'당기원장'!D994)</x:f>
      </x:c>
      <x:c r="F1994" s="73" t="str">
        <x:f>IF('당기원장'!A994="","",'당기원장'!E994)</x:f>
      </x:c>
      <x:c r="G1994" s="75" t="str">
        <x:f>IF('당기원장'!A994="","",'당기원장'!H994)</x:f>
      </x:c>
      <x:c r="H1994" s="73" t="str">
        <x:f>IF('당기원장'!A994="","",'당기원장'!I994)</x:f>
      </x:c>
      <x:c r="I1994" s="73" t="str">
        <x:f>IF('당기원장'!A994="","",'당기원장'!J994)</x:f>
      </x:c>
      <x:c r="J1994" s="73" t="str">
        <x:f>IF('당기원장'!A994="","",'당기원장'!K994)</x:f>
      </x:c>
      <x:c r="K1994" s="73" t="str">
        <x:f>IF(B1994="","",IF(COUNTIF($B$5:B1994,B1994)=1,COUNT($K$4:K1993)+1,""))</x:f>
      </x:c>
      <x:c r="L1994" s="85" t="str">
        <x:f>IF(B1994="","",IF(COUNTIFS('계정비교'!$A$5:$A$1004,B1994,'계정비교'!$H$5:$H$1004,"원인분석 대상")&gt;0,COUNT($L$4:L1993)+1,""))</x:f>
      </x:c>
    </x:row>
    <x:row r="1995">
      <x:c r="A1995" s="73" t="str">
        <x:f>IF('당기원장'!A995="","","당기")</x:f>
      </x:c>
      <x:c r="B1995" s="73" t="str">
        <x:f>IF('당기원장'!A995="","",'당기원장'!A995)</x:f>
      </x:c>
      <x:c r="C1995" s="73" t="str">
        <x:f>IF('당기원장'!A995="","",'당기원장'!B995)</x:f>
      </x:c>
      <x:c r="D1995" s="74" t="str">
        <x:f>IF('당기원장'!A995="","",'당기원장'!C995)</x:f>
      </x:c>
      <x:c r="E1995" s="73" t="str">
        <x:f>IF('당기원장'!A995="","",'당기원장'!D995)</x:f>
      </x:c>
      <x:c r="F1995" s="73" t="str">
        <x:f>IF('당기원장'!A995="","",'당기원장'!E995)</x:f>
      </x:c>
      <x:c r="G1995" s="75" t="str">
        <x:f>IF('당기원장'!A995="","",'당기원장'!H995)</x:f>
      </x:c>
      <x:c r="H1995" s="73" t="str">
        <x:f>IF('당기원장'!A995="","",'당기원장'!I995)</x:f>
      </x:c>
      <x:c r="I1995" s="73" t="str">
        <x:f>IF('당기원장'!A995="","",'당기원장'!J995)</x:f>
      </x:c>
      <x:c r="J1995" s="73" t="str">
        <x:f>IF('당기원장'!A995="","",'당기원장'!K995)</x:f>
      </x:c>
      <x:c r="K1995" s="73" t="str">
        <x:f>IF(B1995="","",IF(COUNTIF($B$5:B1995,B1995)=1,COUNT($K$4:K1994)+1,""))</x:f>
      </x:c>
      <x:c r="L1995" s="85" t="str">
        <x:f>IF(B1995="","",IF(COUNTIFS('계정비교'!$A$5:$A$1004,B1995,'계정비교'!$H$5:$H$1004,"원인분석 대상")&gt;0,COUNT($L$4:L1994)+1,""))</x:f>
      </x:c>
    </x:row>
    <x:row r="1996">
      <x:c r="A1996" s="73" t="str">
        <x:f>IF('당기원장'!A996="","","당기")</x:f>
      </x:c>
      <x:c r="B1996" s="73" t="str">
        <x:f>IF('당기원장'!A996="","",'당기원장'!A996)</x:f>
      </x:c>
      <x:c r="C1996" s="73" t="str">
        <x:f>IF('당기원장'!A996="","",'당기원장'!B996)</x:f>
      </x:c>
      <x:c r="D1996" s="74" t="str">
        <x:f>IF('당기원장'!A996="","",'당기원장'!C996)</x:f>
      </x:c>
      <x:c r="E1996" s="73" t="str">
        <x:f>IF('당기원장'!A996="","",'당기원장'!D996)</x:f>
      </x:c>
      <x:c r="F1996" s="73" t="str">
        <x:f>IF('당기원장'!A996="","",'당기원장'!E996)</x:f>
      </x:c>
      <x:c r="G1996" s="75" t="str">
        <x:f>IF('당기원장'!A996="","",'당기원장'!H996)</x:f>
      </x:c>
      <x:c r="H1996" s="73" t="str">
        <x:f>IF('당기원장'!A996="","",'당기원장'!I996)</x:f>
      </x:c>
      <x:c r="I1996" s="73" t="str">
        <x:f>IF('당기원장'!A996="","",'당기원장'!J996)</x:f>
      </x:c>
      <x:c r="J1996" s="73" t="str">
        <x:f>IF('당기원장'!A996="","",'당기원장'!K996)</x:f>
      </x:c>
      <x:c r="K1996" s="73" t="str">
        <x:f>IF(B1996="","",IF(COUNTIF($B$5:B1996,B1996)=1,COUNT($K$4:K1995)+1,""))</x:f>
      </x:c>
      <x:c r="L1996" s="85" t="str">
        <x:f>IF(B1996="","",IF(COUNTIFS('계정비교'!$A$5:$A$1004,B1996,'계정비교'!$H$5:$H$1004,"원인분석 대상")&gt;0,COUNT($L$4:L1995)+1,""))</x:f>
      </x:c>
    </x:row>
    <x:row r="1997">
      <x:c r="A1997" s="73" t="str">
        <x:f>IF('당기원장'!A997="","","당기")</x:f>
      </x:c>
      <x:c r="B1997" s="73" t="str">
        <x:f>IF('당기원장'!A997="","",'당기원장'!A997)</x:f>
      </x:c>
      <x:c r="C1997" s="73" t="str">
        <x:f>IF('당기원장'!A997="","",'당기원장'!B997)</x:f>
      </x:c>
      <x:c r="D1997" s="74" t="str">
        <x:f>IF('당기원장'!A997="","",'당기원장'!C997)</x:f>
      </x:c>
      <x:c r="E1997" s="73" t="str">
        <x:f>IF('당기원장'!A997="","",'당기원장'!D997)</x:f>
      </x:c>
      <x:c r="F1997" s="73" t="str">
        <x:f>IF('당기원장'!A997="","",'당기원장'!E997)</x:f>
      </x:c>
      <x:c r="G1997" s="75" t="str">
        <x:f>IF('당기원장'!A997="","",'당기원장'!H997)</x:f>
      </x:c>
      <x:c r="H1997" s="73" t="str">
        <x:f>IF('당기원장'!A997="","",'당기원장'!I997)</x:f>
      </x:c>
      <x:c r="I1997" s="73" t="str">
        <x:f>IF('당기원장'!A997="","",'당기원장'!J997)</x:f>
      </x:c>
      <x:c r="J1997" s="73" t="str">
        <x:f>IF('당기원장'!A997="","",'당기원장'!K997)</x:f>
      </x:c>
      <x:c r="K1997" s="73" t="str">
        <x:f>IF(B1997="","",IF(COUNTIF($B$5:B1997,B1997)=1,COUNT($K$4:K1996)+1,""))</x:f>
      </x:c>
      <x:c r="L1997" s="85" t="str">
        <x:f>IF(B1997="","",IF(COUNTIFS('계정비교'!$A$5:$A$1004,B1997,'계정비교'!$H$5:$H$1004,"원인분석 대상")&gt;0,COUNT($L$4:L1996)+1,""))</x:f>
      </x:c>
    </x:row>
    <x:row r="1998">
      <x:c r="A1998" s="73" t="str">
        <x:f>IF('당기원장'!A998="","","당기")</x:f>
      </x:c>
      <x:c r="B1998" s="73" t="str">
        <x:f>IF('당기원장'!A998="","",'당기원장'!A998)</x:f>
      </x:c>
      <x:c r="C1998" s="73" t="str">
        <x:f>IF('당기원장'!A998="","",'당기원장'!B998)</x:f>
      </x:c>
      <x:c r="D1998" s="74" t="str">
        <x:f>IF('당기원장'!A998="","",'당기원장'!C998)</x:f>
      </x:c>
      <x:c r="E1998" s="73" t="str">
        <x:f>IF('당기원장'!A998="","",'당기원장'!D998)</x:f>
      </x:c>
      <x:c r="F1998" s="73" t="str">
        <x:f>IF('당기원장'!A998="","",'당기원장'!E998)</x:f>
      </x:c>
      <x:c r="G1998" s="75" t="str">
        <x:f>IF('당기원장'!A998="","",'당기원장'!H998)</x:f>
      </x:c>
      <x:c r="H1998" s="73" t="str">
        <x:f>IF('당기원장'!A998="","",'당기원장'!I998)</x:f>
      </x:c>
      <x:c r="I1998" s="73" t="str">
        <x:f>IF('당기원장'!A998="","",'당기원장'!J998)</x:f>
      </x:c>
      <x:c r="J1998" s="73" t="str">
        <x:f>IF('당기원장'!A998="","",'당기원장'!K998)</x:f>
      </x:c>
      <x:c r="K1998" s="73" t="str">
        <x:f>IF(B1998="","",IF(COUNTIF($B$5:B1998,B1998)=1,COUNT($K$4:K1997)+1,""))</x:f>
      </x:c>
      <x:c r="L1998" s="85" t="str">
        <x:f>IF(B1998="","",IF(COUNTIFS('계정비교'!$A$5:$A$1004,B1998,'계정비교'!$H$5:$H$1004,"원인분석 대상")&gt;0,COUNT($L$4:L1997)+1,""))</x:f>
      </x:c>
    </x:row>
    <x:row r="1999">
      <x:c r="A1999" s="73" t="str">
        <x:f>IF('당기원장'!A999="","","당기")</x:f>
      </x:c>
      <x:c r="B1999" s="73" t="str">
        <x:f>IF('당기원장'!A999="","",'당기원장'!A999)</x:f>
      </x:c>
      <x:c r="C1999" s="73" t="str">
        <x:f>IF('당기원장'!A999="","",'당기원장'!B999)</x:f>
      </x:c>
      <x:c r="D1999" s="74" t="str">
        <x:f>IF('당기원장'!A999="","",'당기원장'!C999)</x:f>
      </x:c>
      <x:c r="E1999" s="73" t="str">
        <x:f>IF('당기원장'!A999="","",'당기원장'!D999)</x:f>
      </x:c>
      <x:c r="F1999" s="73" t="str">
        <x:f>IF('당기원장'!A999="","",'당기원장'!E999)</x:f>
      </x:c>
      <x:c r="G1999" s="75" t="str">
        <x:f>IF('당기원장'!A999="","",'당기원장'!H999)</x:f>
      </x:c>
      <x:c r="H1999" s="73" t="str">
        <x:f>IF('당기원장'!A999="","",'당기원장'!I999)</x:f>
      </x:c>
      <x:c r="I1999" s="73" t="str">
        <x:f>IF('당기원장'!A999="","",'당기원장'!J999)</x:f>
      </x:c>
      <x:c r="J1999" s="73" t="str">
        <x:f>IF('당기원장'!A999="","",'당기원장'!K999)</x:f>
      </x:c>
      <x:c r="K1999" s="73" t="str">
        <x:f>IF(B1999="","",IF(COUNTIF($B$5:B1999,B1999)=1,COUNT($K$4:K1998)+1,""))</x:f>
      </x:c>
      <x:c r="L1999" s="85" t="str">
        <x:f>IF(B1999="","",IF(COUNTIFS('계정비교'!$A$5:$A$1004,B1999,'계정비교'!$H$5:$H$1004,"원인분석 대상")&gt;0,COUNT($L$4:L1998)+1,""))</x:f>
      </x:c>
    </x:row>
    <x:row r="2000">
      <x:c r="A2000" s="73" t="str">
        <x:f>IF('당기원장'!A1000="","","당기")</x:f>
      </x:c>
      <x:c r="B2000" s="73" t="str">
        <x:f>IF('당기원장'!A1000="","",'당기원장'!A1000)</x:f>
      </x:c>
      <x:c r="C2000" s="73" t="str">
        <x:f>IF('당기원장'!A1000="","",'당기원장'!B1000)</x:f>
      </x:c>
      <x:c r="D2000" s="74" t="str">
        <x:f>IF('당기원장'!A1000="","",'당기원장'!C1000)</x:f>
      </x:c>
      <x:c r="E2000" s="73" t="str">
        <x:f>IF('당기원장'!A1000="","",'당기원장'!D1000)</x:f>
      </x:c>
      <x:c r="F2000" s="73" t="str">
        <x:f>IF('당기원장'!A1000="","",'당기원장'!E1000)</x:f>
      </x:c>
      <x:c r="G2000" s="75" t="str">
        <x:f>IF('당기원장'!A1000="","",'당기원장'!H1000)</x:f>
      </x:c>
      <x:c r="H2000" s="73" t="str">
        <x:f>IF('당기원장'!A1000="","",'당기원장'!I1000)</x:f>
      </x:c>
      <x:c r="I2000" s="73" t="str">
        <x:f>IF('당기원장'!A1000="","",'당기원장'!J1000)</x:f>
      </x:c>
      <x:c r="J2000" s="73" t="str">
        <x:f>IF('당기원장'!A1000="","",'당기원장'!K1000)</x:f>
      </x:c>
      <x:c r="K2000" s="73" t="str">
        <x:f>IF(B2000="","",IF(COUNTIF($B$5:B2000,B2000)=1,COUNT($K$4:K1999)+1,""))</x:f>
      </x:c>
      <x:c r="L2000" s="85" t="str">
        <x:f>IF(B2000="","",IF(COUNTIFS('계정비교'!$A$5:$A$1004,B2000,'계정비교'!$H$5:$H$1004,"원인분석 대상")&gt;0,COUNT($L$4:L1999)+1,""))</x:f>
      </x:c>
    </x:row>
    <x:row r="2001">
      <x:c r="A2001" s="73" t="str">
        <x:f>IF('당기원장'!A1001="","","당기")</x:f>
      </x:c>
      <x:c r="B2001" s="73" t="str">
        <x:f>IF('당기원장'!A1001="","",'당기원장'!A1001)</x:f>
      </x:c>
      <x:c r="C2001" s="73" t="str">
        <x:f>IF('당기원장'!A1001="","",'당기원장'!B1001)</x:f>
      </x:c>
      <x:c r="D2001" s="74" t="str">
        <x:f>IF('당기원장'!A1001="","",'당기원장'!C1001)</x:f>
      </x:c>
      <x:c r="E2001" s="73" t="str">
        <x:f>IF('당기원장'!A1001="","",'당기원장'!D1001)</x:f>
      </x:c>
      <x:c r="F2001" s="73" t="str">
        <x:f>IF('당기원장'!A1001="","",'당기원장'!E1001)</x:f>
      </x:c>
      <x:c r="G2001" s="75" t="str">
        <x:f>IF('당기원장'!A1001="","",'당기원장'!H1001)</x:f>
      </x:c>
      <x:c r="H2001" s="73" t="str">
        <x:f>IF('당기원장'!A1001="","",'당기원장'!I1001)</x:f>
      </x:c>
      <x:c r="I2001" s="73" t="str">
        <x:f>IF('당기원장'!A1001="","",'당기원장'!J1001)</x:f>
      </x:c>
      <x:c r="J2001" s="73" t="str">
        <x:f>IF('당기원장'!A1001="","",'당기원장'!K1001)</x:f>
      </x:c>
      <x:c r="K2001" s="73" t="str">
        <x:f>IF(B2001="","",IF(COUNTIF($B$5:B2001,B2001)=1,COUNT($K$4:K2000)+1,""))</x:f>
      </x:c>
      <x:c r="L2001" s="85" t="str">
        <x:f>IF(B2001="","",IF(COUNTIFS('계정비교'!$A$5:$A$1004,B2001,'계정비교'!$H$5:$H$1004,"원인분석 대상")&gt;0,COUNT($L$4:L2000)+1,""))</x:f>
      </x:c>
    </x:row>
    <x:row r="2002">
      <x:c r="A2002" s="73" t="str">
        <x:f>IF('당기원장'!A1002="","","당기")</x:f>
      </x:c>
      <x:c r="B2002" s="73" t="str">
        <x:f>IF('당기원장'!A1002="","",'당기원장'!A1002)</x:f>
      </x:c>
      <x:c r="C2002" s="73" t="str">
        <x:f>IF('당기원장'!A1002="","",'당기원장'!B1002)</x:f>
      </x:c>
      <x:c r="D2002" s="74" t="str">
        <x:f>IF('당기원장'!A1002="","",'당기원장'!C1002)</x:f>
      </x:c>
      <x:c r="E2002" s="73" t="str">
        <x:f>IF('당기원장'!A1002="","",'당기원장'!D1002)</x:f>
      </x:c>
      <x:c r="F2002" s="73" t="str">
        <x:f>IF('당기원장'!A1002="","",'당기원장'!E1002)</x:f>
      </x:c>
      <x:c r="G2002" s="75" t="str">
        <x:f>IF('당기원장'!A1002="","",'당기원장'!H1002)</x:f>
      </x:c>
      <x:c r="H2002" s="73" t="str">
        <x:f>IF('당기원장'!A1002="","",'당기원장'!I1002)</x:f>
      </x:c>
      <x:c r="I2002" s="73" t="str">
        <x:f>IF('당기원장'!A1002="","",'당기원장'!J1002)</x:f>
      </x:c>
      <x:c r="J2002" s="73" t="str">
        <x:f>IF('당기원장'!A1002="","",'당기원장'!K1002)</x:f>
      </x:c>
      <x:c r="K2002" s="73" t="str">
        <x:f>IF(B2002="","",IF(COUNTIF($B$5:B2002,B2002)=1,COUNT($K$4:K2001)+1,""))</x:f>
      </x:c>
      <x:c r="L2002" s="85" t="str">
        <x:f>IF(B2002="","",IF(COUNTIFS('계정비교'!$A$5:$A$1004,B2002,'계정비교'!$H$5:$H$1004,"원인분석 대상")&gt;0,COUNT($L$4:L2001)+1,""))</x:f>
      </x:c>
    </x:row>
    <x:row r="2003">
      <x:c r="A2003" s="73" t="str">
        <x:f>IF('당기원장'!A1003="","","당기")</x:f>
      </x:c>
      <x:c r="B2003" s="73" t="str">
        <x:f>IF('당기원장'!A1003="","",'당기원장'!A1003)</x:f>
      </x:c>
      <x:c r="C2003" s="73" t="str">
        <x:f>IF('당기원장'!A1003="","",'당기원장'!B1003)</x:f>
      </x:c>
      <x:c r="D2003" s="74" t="str">
        <x:f>IF('당기원장'!A1003="","",'당기원장'!C1003)</x:f>
      </x:c>
      <x:c r="E2003" s="73" t="str">
        <x:f>IF('당기원장'!A1003="","",'당기원장'!D1003)</x:f>
      </x:c>
      <x:c r="F2003" s="73" t="str">
        <x:f>IF('당기원장'!A1003="","",'당기원장'!E1003)</x:f>
      </x:c>
      <x:c r="G2003" s="75" t="str">
        <x:f>IF('당기원장'!A1003="","",'당기원장'!H1003)</x:f>
      </x:c>
      <x:c r="H2003" s="73" t="str">
        <x:f>IF('당기원장'!A1003="","",'당기원장'!I1003)</x:f>
      </x:c>
      <x:c r="I2003" s="73" t="str">
        <x:f>IF('당기원장'!A1003="","",'당기원장'!J1003)</x:f>
      </x:c>
      <x:c r="J2003" s="73" t="str">
        <x:f>IF('당기원장'!A1003="","",'당기원장'!K1003)</x:f>
      </x:c>
      <x:c r="K2003" s="73" t="str">
        <x:f>IF(B2003="","",IF(COUNTIF($B$5:B2003,B2003)=1,COUNT($K$4:K2002)+1,""))</x:f>
      </x:c>
      <x:c r="L2003" s="85" t="str">
        <x:f>IF(B2003="","",IF(COUNTIFS('계정비교'!$A$5:$A$1004,B2003,'계정비교'!$H$5:$H$1004,"원인분석 대상")&gt;0,COUNT($L$4:L2002)+1,""))</x:f>
      </x:c>
    </x:row>
    <x:row r="2004">
      <x:c r="A2004" s="79" t="str">
        <x:f>IF('당기원장'!A1004="","","당기")</x:f>
      </x:c>
      <x:c r="B2004" s="79" t="str">
        <x:f>IF('당기원장'!A1004="","",'당기원장'!A1004)</x:f>
      </x:c>
      <x:c r="C2004" s="79" t="str">
        <x:f>IF('당기원장'!A1004="","",'당기원장'!B1004)</x:f>
      </x:c>
      <x:c r="D2004" s="80" t="str">
        <x:f>IF('당기원장'!A1004="","",'당기원장'!C1004)</x:f>
      </x:c>
      <x:c r="E2004" s="79" t="str">
        <x:f>IF('당기원장'!A1004="","",'당기원장'!D1004)</x:f>
      </x:c>
      <x:c r="F2004" s="79" t="str">
        <x:f>IF('당기원장'!A1004="","",'당기원장'!E1004)</x:f>
      </x:c>
      <x:c r="G2004" s="81" t="str">
        <x:f>IF('당기원장'!A1004="","",'당기원장'!H1004)</x:f>
      </x:c>
      <x:c r="H2004" s="79" t="str">
        <x:f>IF('당기원장'!A1004="","",'당기원장'!I1004)</x:f>
      </x:c>
      <x:c r="I2004" s="79" t="str">
        <x:f>IF('당기원장'!A1004="","",'당기원장'!J1004)</x:f>
      </x:c>
      <x:c r="J2004" s="79" t="str">
        <x:f>IF('당기원장'!A1004="","",'당기원장'!K1004)</x:f>
      </x:c>
      <x:c r="K2004" s="79" t="str">
        <x:f>IF(B2004="","",IF(COUNTIF($B$5:B2004,B2004)=1,COUNT($K$4:K2003)+1,""))</x:f>
      </x:c>
      <x:c r="L2004" s="86" t="str">
        <x:f>IF(B2004="","",IF(COUNTIFS('계정비교'!$A$5:$A$1004,B2004,'계정비교'!$H$5:$H$1004,"원인분석 대상")&gt;0,COUNT($L$4:L2003)+1,""))</x:f>
      </x:c>
    </x:row>
  </x:sheetData>
  <x:mergeCells>
    <x:mergeCell ref="A1:L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0" hidden="0" customWidth="1"/>
    <x:col min="3" max="3" width="17" hidden="0" customWidth="1"/>
    <x:col min="4" max="4" width="17" hidden="0" customWidth="1"/>
    <x:col min="5" max="5" width="17" hidden="0" customWidth="1"/>
    <x:col min="6" max="6" width="12" hidden="0" customWidth="1"/>
    <x:col min="7" max="7" width="17" hidden="0" customWidth="1"/>
    <x:col min="8" max="8" width="17" hidden="0" customWidth="1"/>
    <x:col min="9" max="9" width="35" hidden="0" customWidth="1"/>
    <x:col min="10" max="10" width="17" hidden="0" customWidth="1"/>
    <x:col min="11" max="11" width="34" hidden="0" customWidth="1"/>
  </x:cols>
  <x:sheetData>
    <x:row r="1" ht="34" customHeight="1">
      <x:c r="A1" s="4" t="str">
        <x:v>계정별 증감 비교</x:v>
      </x:c>
      <x:c r="B1" s="4" t="str">
        <x:v>계정별 증감 비교</x:v>
      </x:c>
      <x:c r="C1" s="4" t="str">
        <x:v>계정별 증감 비교</x:v>
      </x:c>
      <x:c r="D1" s="4" t="str">
        <x:v>계정별 증감 비교</x:v>
      </x:c>
      <x:c r="E1" s="4" t="str">
        <x:v>계정별 증감 비교</x:v>
      </x:c>
      <x:c r="F1" s="4" t="str">
        <x:v>계정별 증감 비교</x:v>
      </x:c>
      <x:c r="G1" s="4" t="str">
        <x:v>계정별 증감 비교</x:v>
      </x:c>
      <x:c r="H1" s="4" t="str">
        <x:v>계정별 증감 비교</x:v>
      </x:c>
      <x:c r="I1" s="4" t="str">
        <x:v>계정별 증감 비교</x:v>
      </x:c>
      <x:c r="J1" s="4" t="str">
        <x:v>계정별 증감 비교</x:v>
      </x:c>
      <x:c r="K1" s="4" t="str">
        <x:v>계정별 증감 비교</x:v>
      </x:c>
    </x:row>
    <x:row r="2">
      <x:c r="A2" s="5" t="str">
        <x:v>전기·당기 계정코드의 합집합을 기준으로 신규·소멸·금액변동을 판정합니다.</x:v>
      </x:c>
    </x:row>
    <x:row r="4" ht="30" customHeight="1">
      <x:c r="A4" s="71" t="str">
        <x:v>계정코드</x:v>
      </x:c>
      <x:c r="B4" s="72" t="str">
        <x:v>계정명</x:v>
      </x:c>
      <x:c r="C4" s="72" t="str">
        <x:v>전기 순액</x:v>
      </x:c>
      <x:c r="D4" s="72" t="str">
        <x:v>당기 순액</x:v>
      </x:c>
      <x:c r="E4" s="72" t="str">
        <x:v>증감액</x:v>
      </x:c>
      <x:c r="F4" s="72" t="str">
        <x:v>증감률</x:v>
      </x:c>
      <x:c r="G4" s="72" t="str">
        <x:v>변동유형</x:v>
      </x:c>
      <x:c r="H4" s="72" t="str">
        <x:v>판정</x:v>
      </x:c>
      <x:c r="I4" s="72" t="str">
        <x:v>검토 안내</x:v>
      </x:c>
      <x:c r="J4" s="72" t="str">
        <x:v>붙임 확인 필요 건수</x:v>
      </x:c>
      <x:c r="K4" s="72" t="str">
        <x:v>원인분석 메모</x:v>
      </x:c>
    </x:row>
    <x:row r="5">
      <x:c r="A5" s="73" t="n">
        <x:f>IFERROR(INDEX('계산도우미'!$B$5:$B$2004,MATCH(ROWS($A$5:A5),'계산도우미'!$K$5:$K$2004,0)),"")</x:f>
        <x:v>510100</x:v>
      </x:c>
      <x:c r="B5" s="73" t="str">
        <x:f>IF(A5="","",IFERROR(INDEX('당기원장'!$B$5:$B$1004,MATCH(A5,'당기원장'!$A$5:$A$1004,0)),IFERROR(INDEX('전기원장'!$B$5:$B$1004,MATCH(A5,'전기원장'!$A$5:$A$1004,0)),"")))</x:f>
        <x:v>급여</x:v>
      </x:c>
      <x:c r="C5" s="75" t="n">
        <x:f>IF(A5="","",SUMIF('전기원장'!$A$5:$A$1004,A5,'전기원장'!$H$5:$H$1004))</x:f>
        <x:v>350000000</x:v>
      </x:c>
      <x:c r="D5" s="75" t="n">
        <x:f>IF(A5="","",SUMIF('당기원장'!$A$5:$A$1004,A5,'당기원장'!$H$5:$H$1004))</x:f>
        <x:v>470000000</x:v>
      </x:c>
      <x:c r="E5" s="75" t="n">
        <x:f>IF(A5="","",D5-C5)</x:f>
        <x:v>120000000</x:v>
      </x:c>
      <x:c r="F5" s="88" t="n">
        <x:f>IF(A5="","",IF(C5=0,IF(D5=0,0,1),ABS(E5)/ABS(C5)))</x:f>
        <x:v>0.34285714285714286</x:v>
      </x:c>
      <x:c r="G5" s="73" t="str">
        <x:f>IF(A5="","",IF(AND(C5=0,D5&lt;&gt;0),"신규",IF(AND(C5&lt;&gt;0,D5=0),"소멸",IF(E5=0,"변동없음","금액변동"))))</x:f>
        <x:v>금액변동</x:v>
      </x:c>
      <x:c r="H5" s="73" t="str">
        <x:f>IF(A5="","",IF(AND(ABS(E5)&gt;='기준설정'!$B$6,OR(G5="신규",G5="소멸",F5&gt;='기준설정'!$B$5)),"원인분석 대상","일반"))</x:f>
        <x:v>원인분석 대상</x:v>
      </x:c>
      <x:c r="I5" s="73" t="str">
        <x:f>IF(A5="","",IF(H5="원인분석 대상","세부원인분석 시트에서 거래별 원인을 검토","-"))</x:f>
        <x:v>세부원인분석 시트에서 거래별 원인을 검토</x:v>
      </x:c>
      <x:c r="J5" s="73" t="n">
        <x:f>IF(A5="","",COUNTIFS('전기원장'!$A$5:$A$1004,A5,'전기원장'!$J$5:$J$1004,"확인 필요")+COUNTIFS('당기원장'!$A$5:$A$1004,A5,'당기원장'!$J$5:$J$1004,"확인 필요"))</x:f>
        <x:v>0</x:v>
      </x:c>
      <x:c r="K5" s="85" t="str">
        <x:f>IF(A5="","",IF(H5&lt;&gt;"원인분석 대상","",IF(J5&gt;0,"붙임 문서 확인 후 원인 확정 필요","결의서명 기반 원인분류 검토")))</x:f>
        <x:v>결의서명 기반 원인분류 검토</x:v>
      </x:c>
    </x:row>
    <x:row r="6">
      <x:c r="A6" s="73" t="n">
        <x:f>IFERROR(INDEX('계산도우미'!$B$5:$B$2004,MATCH(ROWS($A$5:A6),'계산도우미'!$K$5:$K$2004,0)),"")</x:f>
        <x:v>520300</x:v>
      </x:c>
      <x:c r="B6" s="73" t="str">
        <x:f>IF(A6="","",IFERROR(INDEX('당기원장'!$B$5:$B$1004,MATCH(A6,'당기원장'!$A$5:$A$1004,0)),IFERROR(INDEX('전기원장'!$B$5:$B$1004,MATCH(A6,'전기원장'!$A$5:$A$1004,0)),"")))</x:f>
        <x:v>광고선전비</x:v>
      </x:c>
      <x:c r="C6" s="75" t="n">
        <x:f>IF(A6="","",SUMIF('전기원장'!$A$5:$A$1004,A6,'전기원장'!$H$5:$H$1004))</x:f>
        <x:v>120000000</x:v>
      </x:c>
      <x:c r="D6" s="75" t="n">
        <x:f>IF(A6="","",SUMIF('당기원장'!$A$5:$A$1004,A6,'당기원장'!$H$5:$H$1004))</x:f>
        <x:v>260000000</x:v>
      </x:c>
      <x:c r="E6" s="75" t="n">
        <x:f>IF(A6="","",D6-C6)</x:f>
        <x:v>140000000</x:v>
      </x:c>
      <x:c r="F6" s="88" t="n">
        <x:f>IF(A6="","",IF(C6=0,IF(D6=0,0,1),ABS(E6)/ABS(C6)))</x:f>
        <x:v>1.1666666666666667</x:v>
      </x:c>
      <x:c r="G6" s="73" t="str">
        <x:f>IF(A6="","",IF(AND(C6=0,D6&lt;&gt;0),"신규",IF(AND(C6&lt;&gt;0,D6=0),"소멸",IF(E6=0,"변동없음","금액변동"))))</x:f>
        <x:v>금액변동</x:v>
      </x:c>
      <x:c r="H6" s="73" t="str">
        <x:f>IF(A6="","",IF(AND(ABS(E6)&gt;='기준설정'!$B$6,OR(G6="신규",G6="소멸",F6&gt;='기준설정'!$B$5)),"원인분석 대상","일반"))</x:f>
        <x:v>원인분석 대상</x:v>
      </x:c>
      <x:c r="I6" s="73" t="str">
        <x:f>IF(A6="","",IF(H6="원인분석 대상","세부원인분석 시트에서 거래별 원인을 검토","-"))</x:f>
        <x:v>세부원인분석 시트에서 거래별 원인을 검토</x:v>
      </x:c>
      <x:c r="J6" s="73" t="n">
        <x:f>IF(A6="","",COUNTIFS('전기원장'!$A$5:$A$1004,A6,'전기원장'!$J$5:$J$1004,"확인 필요")+COUNTIFS('당기원장'!$A$5:$A$1004,A6,'당기원장'!$J$5:$J$1004,"확인 필요"))</x:f>
        <x:v>0</x:v>
      </x:c>
      <x:c r="K6" s="85" t="str">
        <x:f>IF(A6="","",IF(H6&lt;&gt;"원인분석 대상","",IF(J6&gt;0,"붙임 문서 확인 후 원인 확정 필요","결의서명 기반 원인분류 검토")))</x:f>
        <x:v>결의서명 기반 원인분류 검토</x:v>
      </x:c>
    </x:row>
    <x:row r="7">
      <x:c r="A7" s="73" t="n">
        <x:f>IFERROR(INDEX('계산도우미'!$B$5:$B$2004,MATCH(ROWS($A$5:A7),'계산도우미'!$K$5:$K$2004,0)),"")</x:f>
        <x:v>530100</x:v>
      </x:c>
      <x:c r="B7" s="73" t="str">
        <x:f>IF(A7="","",IFERROR(INDEX('당기원장'!$B$5:$B$1004,MATCH(A7,'당기원장'!$A$5:$A$1004,0)),IFERROR(INDEX('전기원장'!$B$5:$B$1004,MATCH(A7,'전기원장'!$A$5:$A$1004,0)),"")))</x:f>
        <x:v>임차료</x:v>
      </x:c>
      <x:c r="C7" s="75" t="n">
        <x:f>IF(A7="","",SUMIF('전기원장'!$A$5:$A$1004,A7,'전기원장'!$H$5:$H$1004))</x:f>
        <x:v>240000000</x:v>
      </x:c>
      <x:c r="D7" s="75" t="n">
        <x:f>IF(A7="","",SUMIF('당기원장'!$A$5:$A$1004,A7,'당기원장'!$H$5:$H$1004))</x:f>
        <x:v>240000000</x:v>
      </x:c>
      <x:c r="E7" s="75" t="n">
        <x:f>IF(A7="","",D7-C7)</x:f>
        <x:v>0</x:v>
      </x:c>
      <x:c r="F7" s="88" t="n">
        <x:f>IF(A7="","",IF(C7=0,IF(D7=0,0,1),ABS(E7)/ABS(C7)))</x:f>
        <x:v>0</x:v>
      </x:c>
      <x:c r="G7" s="73" t="str">
        <x:f>IF(A7="","",IF(AND(C7=0,D7&lt;&gt;0),"신규",IF(AND(C7&lt;&gt;0,D7=0),"소멸",IF(E7=0,"변동없음","금액변동"))))</x:f>
        <x:v>변동없음</x:v>
      </x:c>
      <x:c r="H7" s="73" t="str">
        <x:f>IF(A7="","",IF(AND(ABS(E7)&gt;='기준설정'!$B$6,OR(G7="신규",G7="소멸",F7&gt;='기준설정'!$B$5)),"원인분석 대상","일반"))</x:f>
        <x:v>일반</x:v>
      </x:c>
      <x:c r="I7" s="73" t="str">
        <x:f>IF(A7="","",IF(H7="원인분석 대상","세부원인분석 시트에서 거래별 원인을 검토","-"))</x:f>
        <x:v>-</x:v>
      </x:c>
      <x:c r="J7" s="73" t="n">
        <x:f>IF(A7="","",COUNTIFS('전기원장'!$A$5:$A$1004,A7,'전기원장'!$J$5:$J$1004,"확인 필요")+COUNTIFS('당기원장'!$A$5:$A$1004,A7,'당기원장'!$J$5:$J$1004,"확인 필요"))</x:f>
        <x:v>0</x:v>
      </x:c>
      <x:c r="K7" s="85" t="str">
        <x:f>IF(A7="","",IF(H7&lt;&gt;"원인분석 대상","",IF(J7&gt;0,"붙임 문서 확인 후 원인 확정 필요","결의서명 기반 원인분류 검토")))</x:f>
      </x:c>
    </x:row>
    <x:row r="8">
      <x:c r="A8" s="73" t="n">
        <x:f>IFERROR(INDEX('계산도우미'!$B$5:$B$2004,MATCH(ROWS($A$5:A8),'계산도우미'!$K$5:$K$2004,0)),"")</x:f>
        <x:v>540200</x:v>
      </x:c>
      <x:c r="B8" s="73" t="str">
        <x:f>IF(A8="","",IFERROR(INDEX('당기원장'!$B$5:$B$1004,MATCH(A8,'당기원장'!$A$5:$A$1004,0)),IFERROR(INDEX('전기원장'!$B$5:$B$1004,MATCH(A8,'전기원장'!$A$5:$A$1004,0)),"")))</x:f>
        <x:v>지급수수료</x:v>
      </x:c>
      <x:c r="C8" s="75" t="n">
        <x:f>IF(A8="","",SUMIF('전기원장'!$A$5:$A$1004,A8,'전기원장'!$H$5:$H$1004))</x:f>
        <x:v>150000000</x:v>
      </x:c>
      <x:c r="D8" s="75" t="n">
        <x:f>IF(A8="","",SUMIF('당기원장'!$A$5:$A$1004,A8,'당기원장'!$H$5:$H$1004))</x:f>
        <x:v>0</x:v>
      </x:c>
      <x:c r="E8" s="75" t="n">
        <x:f>IF(A8="","",D8-C8)</x:f>
        <x:v>-150000000</x:v>
      </x:c>
      <x:c r="F8" s="88" t="n">
        <x:f>IF(A8="","",IF(C8=0,IF(D8=0,0,1),ABS(E8)/ABS(C8)))</x:f>
        <x:v>1</x:v>
      </x:c>
      <x:c r="G8" s="73" t="str">
        <x:f>IF(A8="","",IF(AND(C8=0,D8&lt;&gt;0),"신규",IF(AND(C8&lt;&gt;0,D8=0),"소멸",IF(E8=0,"변동없음","금액변동"))))</x:f>
        <x:v>소멸</x:v>
      </x:c>
      <x:c r="H8" s="73" t="str">
        <x:f>IF(A8="","",IF(AND(ABS(E8)&gt;='기준설정'!$B$6,OR(G8="신규",G8="소멸",F8&gt;='기준설정'!$B$5)),"원인분석 대상","일반"))</x:f>
        <x:v>원인분석 대상</x:v>
      </x:c>
      <x:c r="I8" s="73" t="str">
        <x:f>IF(A8="","",IF(H8="원인분석 대상","세부원인분석 시트에서 거래별 원인을 검토","-"))</x:f>
        <x:v>세부원인분석 시트에서 거래별 원인을 검토</x:v>
      </x:c>
      <x:c r="J8" s="73" t="n">
        <x:f>IF(A8="","",COUNTIFS('전기원장'!$A$5:$A$1004,A8,'전기원장'!$J$5:$J$1004,"확인 필요")+COUNTIFS('당기원장'!$A$5:$A$1004,A8,'당기원장'!$J$5:$J$1004,"확인 필요"))</x:f>
        <x:v>1</x:v>
      </x:c>
      <x:c r="K8" s="85" t="str">
        <x:f>IF(A8="","",IF(H8&lt;&gt;"원인분석 대상","",IF(J8&gt;0,"붙임 문서 확인 후 원인 확정 필요","결의서명 기반 원인분류 검토")))</x:f>
        <x:v>붙임 문서 확인 후 원인 확정 필요</x:v>
      </x:c>
    </x:row>
    <x:row r="9">
      <x:c r="A9" s="73" t="n">
        <x:f>IFERROR(INDEX('계산도우미'!$B$5:$B$2004,MATCH(ROWS($A$5:A9),'계산도우미'!$K$5:$K$2004,0)),"")</x:f>
        <x:v>550500</x:v>
      </x:c>
      <x:c r="B9" s="73" t="str">
        <x:f>IF(A9="","",IFERROR(INDEX('당기원장'!$B$5:$B$1004,MATCH(A9,'당기원장'!$A$5:$A$1004,0)),IFERROR(INDEX('전기원장'!$B$5:$B$1004,MATCH(A9,'전기원장'!$A$5:$A$1004,0)),"")))</x:f>
        <x:v>소프트웨어</x:v>
      </x:c>
      <x:c r="C9" s="75" t="n">
        <x:f>IF(A9="","",SUMIF('전기원장'!$A$5:$A$1004,A9,'전기원장'!$H$5:$H$1004))</x:f>
        <x:v>0</x:v>
      </x:c>
      <x:c r="D9" s="75" t="n">
        <x:f>IF(A9="","",SUMIF('당기원장'!$A$5:$A$1004,A9,'당기원장'!$H$5:$H$1004))</x:f>
        <x:v>180000000</x:v>
      </x:c>
      <x:c r="E9" s="75" t="n">
        <x:f>IF(A9="","",D9-C9)</x:f>
        <x:v>180000000</x:v>
      </x:c>
      <x:c r="F9" s="88" t="n">
        <x:f>IF(A9="","",IF(C9=0,IF(D9=0,0,1),ABS(E9)/ABS(C9)))</x:f>
        <x:v>1</x:v>
      </x:c>
      <x:c r="G9" s="73" t="str">
        <x:f>IF(A9="","",IF(AND(C9=0,D9&lt;&gt;0),"신규",IF(AND(C9&lt;&gt;0,D9=0),"소멸",IF(E9=0,"변동없음","금액변동"))))</x:f>
        <x:v>신규</x:v>
      </x:c>
      <x:c r="H9" s="73" t="str">
        <x:f>IF(A9="","",IF(AND(ABS(E9)&gt;='기준설정'!$B$6,OR(G9="신규",G9="소멸",F9&gt;='기준설정'!$B$5)),"원인분석 대상","일반"))</x:f>
        <x:v>원인분석 대상</x:v>
      </x:c>
      <x:c r="I9" s="73" t="str">
        <x:f>IF(A9="","",IF(H9="원인분석 대상","세부원인분석 시트에서 거래별 원인을 검토","-"))</x:f>
        <x:v>세부원인분석 시트에서 거래별 원인을 검토</x:v>
      </x:c>
      <x:c r="J9" s="73" t="n">
        <x:f>IF(A9="","",COUNTIFS('전기원장'!$A$5:$A$1004,A9,'전기원장'!$J$5:$J$1004,"확인 필요")+COUNTIFS('당기원장'!$A$5:$A$1004,A9,'당기원장'!$J$5:$J$1004,"확인 필요"))</x:f>
        <x:v>0</x:v>
      </x:c>
      <x:c r="K9" s="85" t="str">
        <x:f>IF(A9="","",IF(H9&lt;&gt;"원인분석 대상","",IF(J9&gt;0,"붙임 문서 확인 후 원인 확정 필요","결의서명 기반 원인분류 검토")))</x:f>
        <x:v>결의서명 기반 원인분류 검토</x:v>
      </x:c>
    </x:row>
    <x:row r="10">
      <x:c r="A10" s="73" t="str">
        <x:f>IFERROR(INDEX('계산도우미'!$B$5:$B$2004,MATCH(ROWS($A$5:A10),'계산도우미'!$K$5:$K$2004,0)),"")</x:f>
      </x:c>
      <x:c r="B10" s="73" t="str">
        <x:f>IF(A10="","",IFERROR(INDEX('당기원장'!$B$5:$B$1004,MATCH(A10,'당기원장'!$A$5:$A$1004,0)),IFERROR(INDEX('전기원장'!$B$5:$B$1004,MATCH(A10,'전기원장'!$A$5:$A$1004,0)),"")))</x:f>
      </x:c>
      <x:c r="C10" s="75" t="str">
        <x:f>IF(A10="","",SUMIF('전기원장'!$A$5:$A$1004,A10,'전기원장'!$H$5:$H$1004))</x:f>
      </x:c>
      <x:c r="D10" s="75" t="str">
        <x:f>IF(A10="","",SUMIF('당기원장'!$A$5:$A$1004,A10,'당기원장'!$H$5:$H$1004))</x:f>
      </x:c>
      <x:c r="E10" s="75" t="str">
        <x:f>IF(A10="","",D10-C10)</x:f>
      </x:c>
      <x:c r="F10" s="88" t="str">
        <x:f>IF(A10="","",IF(C10=0,IF(D10=0,0,1),ABS(E10)/ABS(C10)))</x:f>
      </x:c>
      <x:c r="G10" s="73" t="str">
        <x:f>IF(A10="","",IF(AND(C10=0,D10&lt;&gt;0),"신규",IF(AND(C10&lt;&gt;0,D10=0),"소멸",IF(E10=0,"변동없음","금액변동"))))</x:f>
      </x:c>
      <x:c r="H10" s="73" t="str">
        <x:f>IF(A10="","",IF(AND(ABS(E10)&gt;='기준설정'!$B$6,OR(G10="신규",G10="소멸",F10&gt;='기준설정'!$B$5)),"원인분석 대상","일반"))</x:f>
      </x:c>
      <x:c r="I10" s="73" t="str">
        <x:f>IF(A10="","",IF(H10="원인분석 대상","세부원인분석 시트에서 거래별 원인을 검토","-"))</x:f>
      </x:c>
      <x:c r="J10" s="73" t="str">
        <x:f>IF(A10="","",COUNTIFS('전기원장'!$A$5:$A$1004,A10,'전기원장'!$J$5:$J$1004,"확인 필요")+COUNTIFS('당기원장'!$A$5:$A$1004,A10,'당기원장'!$J$5:$J$1004,"확인 필요"))</x:f>
      </x:c>
      <x:c r="K10" s="85" t="str">
        <x:f>IF(A10="","",IF(H10&lt;&gt;"원인분석 대상","",IF(J10&gt;0,"붙임 문서 확인 후 원인 확정 필요","결의서명 기반 원인분류 검토")))</x:f>
      </x:c>
    </x:row>
    <x:row r="11">
      <x:c r="A11" s="73" t="str">
        <x:f>IFERROR(INDEX('계산도우미'!$B$5:$B$2004,MATCH(ROWS($A$5:A11),'계산도우미'!$K$5:$K$2004,0)),"")</x:f>
      </x:c>
      <x:c r="B11" s="73" t="str">
        <x:f>IF(A11="","",IFERROR(INDEX('당기원장'!$B$5:$B$1004,MATCH(A11,'당기원장'!$A$5:$A$1004,0)),IFERROR(INDEX('전기원장'!$B$5:$B$1004,MATCH(A11,'전기원장'!$A$5:$A$1004,0)),"")))</x:f>
      </x:c>
      <x:c r="C11" s="75" t="str">
        <x:f>IF(A11="","",SUMIF('전기원장'!$A$5:$A$1004,A11,'전기원장'!$H$5:$H$1004))</x:f>
      </x:c>
      <x:c r="D11" s="75" t="str">
        <x:f>IF(A11="","",SUMIF('당기원장'!$A$5:$A$1004,A11,'당기원장'!$H$5:$H$1004))</x:f>
      </x:c>
      <x:c r="E11" s="75" t="str">
        <x:f>IF(A11="","",D11-C11)</x:f>
      </x:c>
      <x:c r="F11" s="88" t="str">
        <x:f>IF(A11="","",IF(C11=0,IF(D11=0,0,1),ABS(E11)/ABS(C11)))</x:f>
      </x:c>
      <x:c r="G11" s="73" t="str">
        <x:f>IF(A11="","",IF(AND(C11=0,D11&lt;&gt;0),"신규",IF(AND(C11&lt;&gt;0,D11=0),"소멸",IF(E11=0,"변동없음","금액변동"))))</x:f>
      </x:c>
      <x:c r="H11" s="73" t="str">
        <x:f>IF(A11="","",IF(AND(ABS(E11)&gt;='기준설정'!$B$6,OR(G11="신규",G11="소멸",F11&gt;='기준설정'!$B$5)),"원인분석 대상","일반"))</x:f>
      </x:c>
      <x:c r="I11" s="73" t="str">
        <x:f>IF(A11="","",IF(H11="원인분석 대상","세부원인분석 시트에서 거래별 원인을 검토","-"))</x:f>
      </x:c>
      <x:c r="J11" s="73" t="str">
        <x:f>IF(A11="","",COUNTIFS('전기원장'!$A$5:$A$1004,A11,'전기원장'!$J$5:$J$1004,"확인 필요")+COUNTIFS('당기원장'!$A$5:$A$1004,A11,'당기원장'!$J$5:$J$1004,"확인 필요"))</x:f>
      </x:c>
      <x:c r="K11" s="85" t="str">
        <x:f>IF(A11="","",IF(H11&lt;&gt;"원인분석 대상","",IF(J11&gt;0,"붙임 문서 확인 후 원인 확정 필요","결의서명 기반 원인분류 검토")))</x:f>
      </x:c>
    </x:row>
    <x:row r="12">
      <x:c r="A12" s="73" t="str">
        <x:f>IFERROR(INDEX('계산도우미'!$B$5:$B$2004,MATCH(ROWS($A$5:A12),'계산도우미'!$K$5:$K$2004,0)),"")</x:f>
      </x:c>
      <x:c r="B12" s="73" t="str">
        <x:f>IF(A12="","",IFERROR(INDEX('당기원장'!$B$5:$B$1004,MATCH(A12,'당기원장'!$A$5:$A$1004,0)),IFERROR(INDEX('전기원장'!$B$5:$B$1004,MATCH(A12,'전기원장'!$A$5:$A$1004,0)),"")))</x:f>
      </x:c>
      <x:c r="C12" s="75" t="str">
        <x:f>IF(A12="","",SUMIF('전기원장'!$A$5:$A$1004,A12,'전기원장'!$H$5:$H$1004))</x:f>
      </x:c>
      <x:c r="D12" s="75" t="str">
        <x:f>IF(A12="","",SUMIF('당기원장'!$A$5:$A$1004,A12,'당기원장'!$H$5:$H$1004))</x:f>
      </x:c>
      <x:c r="E12" s="75" t="str">
        <x:f>IF(A12="","",D12-C12)</x:f>
      </x:c>
      <x:c r="F12" s="88" t="str">
        <x:f>IF(A12="","",IF(C12=0,IF(D12=0,0,1),ABS(E12)/ABS(C12)))</x:f>
      </x:c>
      <x:c r="G12" s="73" t="str">
        <x:f>IF(A12="","",IF(AND(C12=0,D12&lt;&gt;0),"신규",IF(AND(C12&lt;&gt;0,D12=0),"소멸",IF(E12=0,"변동없음","금액변동"))))</x:f>
      </x:c>
      <x:c r="H12" s="73" t="str">
        <x:f>IF(A12="","",IF(AND(ABS(E12)&gt;='기준설정'!$B$6,OR(G12="신규",G12="소멸",F12&gt;='기준설정'!$B$5)),"원인분석 대상","일반"))</x:f>
      </x:c>
      <x:c r="I12" s="73" t="str">
        <x:f>IF(A12="","",IF(H12="원인분석 대상","세부원인분석 시트에서 거래별 원인을 검토","-"))</x:f>
      </x:c>
      <x:c r="J12" s="73" t="str">
        <x:f>IF(A12="","",COUNTIFS('전기원장'!$A$5:$A$1004,A12,'전기원장'!$J$5:$J$1004,"확인 필요")+COUNTIFS('당기원장'!$A$5:$A$1004,A12,'당기원장'!$J$5:$J$1004,"확인 필요"))</x:f>
      </x:c>
      <x:c r="K12" s="85" t="str">
        <x:f>IF(A12="","",IF(H12&lt;&gt;"원인분석 대상","",IF(J12&gt;0,"붙임 문서 확인 후 원인 확정 필요","결의서명 기반 원인분류 검토")))</x:f>
      </x:c>
    </x:row>
    <x:row r="13">
      <x:c r="A13" s="73" t="str">
        <x:f>IFERROR(INDEX('계산도우미'!$B$5:$B$2004,MATCH(ROWS($A$5:A13),'계산도우미'!$K$5:$K$2004,0)),"")</x:f>
      </x:c>
      <x:c r="B13" s="73" t="str">
        <x:f>IF(A13="","",IFERROR(INDEX('당기원장'!$B$5:$B$1004,MATCH(A13,'당기원장'!$A$5:$A$1004,0)),IFERROR(INDEX('전기원장'!$B$5:$B$1004,MATCH(A13,'전기원장'!$A$5:$A$1004,0)),"")))</x:f>
      </x:c>
      <x:c r="C13" s="75" t="str">
        <x:f>IF(A13="","",SUMIF('전기원장'!$A$5:$A$1004,A13,'전기원장'!$H$5:$H$1004))</x:f>
      </x:c>
      <x:c r="D13" s="75" t="str">
        <x:f>IF(A13="","",SUMIF('당기원장'!$A$5:$A$1004,A13,'당기원장'!$H$5:$H$1004))</x:f>
      </x:c>
      <x:c r="E13" s="75" t="str">
        <x:f>IF(A13="","",D13-C13)</x:f>
      </x:c>
      <x:c r="F13" s="88" t="str">
        <x:f>IF(A13="","",IF(C13=0,IF(D13=0,0,1),ABS(E13)/ABS(C13)))</x:f>
      </x:c>
      <x:c r="G13" s="73" t="str">
        <x:f>IF(A13="","",IF(AND(C13=0,D13&lt;&gt;0),"신규",IF(AND(C13&lt;&gt;0,D13=0),"소멸",IF(E13=0,"변동없음","금액변동"))))</x:f>
      </x:c>
      <x:c r="H13" s="73" t="str">
        <x:f>IF(A13="","",IF(AND(ABS(E13)&gt;='기준설정'!$B$6,OR(G13="신규",G13="소멸",F13&gt;='기준설정'!$B$5)),"원인분석 대상","일반"))</x:f>
      </x:c>
      <x:c r="I13" s="73" t="str">
        <x:f>IF(A13="","",IF(H13="원인분석 대상","세부원인분석 시트에서 거래별 원인을 검토","-"))</x:f>
      </x:c>
      <x:c r="J13" s="73" t="str">
        <x:f>IF(A13="","",COUNTIFS('전기원장'!$A$5:$A$1004,A13,'전기원장'!$J$5:$J$1004,"확인 필요")+COUNTIFS('당기원장'!$A$5:$A$1004,A13,'당기원장'!$J$5:$J$1004,"확인 필요"))</x:f>
      </x:c>
      <x:c r="K13" s="85" t="str">
        <x:f>IF(A13="","",IF(H13&lt;&gt;"원인분석 대상","",IF(J13&gt;0,"붙임 문서 확인 후 원인 확정 필요","결의서명 기반 원인분류 검토")))</x:f>
      </x:c>
    </x:row>
    <x:row r="14">
      <x:c r="A14" s="73" t="str">
        <x:f>IFERROR(INDEX('계산도우미'!$B$5:$B$2004,MATCH(ROWS($A$5:A14),'계산도우미'!$K$5:$K$2004,0)),"")</x:f>
      </x:c>
      <x:c r="B14" s="73" t="str">
        <x:f>IF(A14="","",IFERROR(INDEX('당기원장'!$B$5:$B$1004,MATCH(A14,'당기원장'!$A$5:$A$1004,0)),IFERROR(INDEX('전기원장'!$B$5:$B$1004,MATCH(A14,'전기원장'!$A$5:$A$1004,0)),"")))</x:f>
      </x:c>
      <x:c r="C14" s="75" t="str">
        <x:f>IF(A14="","",SUMIF('전기원장'!$A$5:$A$1004,A14,'전기원장'!$H$5:$H$1004))</x:f>
      </x:c>
      <x:c r="D14" s="75" t="str">
        <x:f>IF(A14="","",SUMIF('당기원장'!$A$5:$A$1004,A14,'당기원장'!$H$5:$H$1004))</x:f>
      </x:c>
      <x:c r="E14" s="75" t="str">
        <x:f>IF(A14="","",D14-C14)</x:f>
      </x:c>
      <x:c r="F14" s="88" t="str">
        <x:f>IF(A14="","",IF(C14=0,IF(D14=0,0,1),ABS(E14)/ABS(C14)))</x:f>
      </x:c>
      <x:c r="G14" s="73" t="str">
        <x:f>IF(A14="","",IF(AND(C14=0,D14&lt;&gt;0),"신규",IF(AND(C14&lt;&gt;0,D14=0),"소멸",IF(E14=0,"변동없음","금액변동"))))</x:f>
      </x:c>
      <x:c r="H14" s="73" t="str">
        <x:f>IF(A14="","",IF(AND(ABS(E14)&gt;='기준설정'!$B$6,OR(G14="신규",G14="소멸",F14&gt;='기준설정'!$B$5)),"원인분석 대상","일반"))</x:f>
      </x:c>
      <x:c r="I14" s="73" t="str">
        <x:f>IF(A14="","",IF(H14="원인분석 대상","세부원인분석 시트에서 거래별 원인을 검토","-"))</x:f>
      </x:c>
      <x:c r="J14" s="73" t="str">
        <x:f>IF(A14="","",COUNTIFS('전기원장'!$A$5:$A$1004,A14,'전기원장'!$J$5:$J$1004,"확인 필요")+COUNTIFS('당기원장'!$A$5:$A$1004,A14,'당기원장'!$J$5:$J$1004,"확인 필요"))</x:f>
      </x:c>
      <x:c r="K14" s="85" t="str">
        <x:f>IF(A14="","",IF(H14&lt;&gt;"원인분석 대상","",IF(J14&gt;0,"붙임 문서 확인 후 원인 확정 필요","결의서명 기반 원인분류 검토")))</x:f>
      </x:c>
    </x:row>
    <x:row r="15">
      <x:c r="A15" s="73" t="str">
        <x:f>IFERROR(INDEX('계산도우미'!$B$5:$B$2004,MATCH(ROWS($A$5:A15),'계산도우미'!$K$5:$K$2004,0)),"")</x:f>
      </x:c>
      <x:c r="B15" s="73" t="str">
        <x:f>IF(A15="","",IFERROR(INDEX('당기원장'!$B$5:$B$1004,MATCH(A15,'당기원장'!$A$5:$A$1004,0)),IFERROR(INDEX('전기원장'!$B$5:$B$1004,MATCH(A15,'전기원장'!$A$5:$A$1004,0)),"")))</x:f>
      </x:c>
      <x:c r="C15" s="75" t="str">
        <x:f>IF(A15="","",SUMIF('전기원장'!$A$5:$A$1004,A15,'전기원장'!$H$5:$H$1004))</x:f>
      </x:c>
      <x:c r="D15" s="75" t="str">
        <x:f>IF(A15="","",SUMIF('당기원장'!$A$5:$A$1004,A15,'당기원장'!$H$5:$H$1004))</x:f>
      </x:c>
      <x:c r="E15" s="75" t="str">
        <x:f>IF(A15="","",D15-C15)</x:f>
      </x:c>
      <x:c r="F15" s="88" t="str">
        <x:f>IF(A15="","",IF(C15=0,IF(D15=0,0,1),ABS(E15)/ABS(C15)))</x:f>
      </x:c>
      <x:c r="G15" s="73" t="str">
        <x:f>IF(A15="","",IF(AND(C15=0,D15&lt;&gt;0),"신규",IF(AND(C15&lt;&gt;0,D15=0),"소멸",IF(E15=0,"변동없음","금액변동"))))</x:f>
      </x:c>
      <x:c r="H15" s="73" t="str">
        <x:f>IF(A15="","",IF(AND(ABS(E15)&gt;='기준설정'!$B$6,OR(G15="신규",G15="소멸",F15&gt;='기준설정'!$B$5)),"원인분석 대상","일반"))</x:f>
      </x:c>
      <x:c r="I15" s="73" t="str">
        <x:f>IF(A15="","",IF(H15="원인분석 대상","세부원인분석 시트에서 거래별 원인을 검토","-"))</x:f>
      </x:c>
      <x:c r="J15" s="73" t="str">
        <x:f>IF(A15="","",COUNTIFS('전기원장'!$A$5:$A$1004,A15,'전기원장'!$J$5:$J$1004,"확인 필요")+COUNTIFS('당기원장'!$A$5:$A$1004,A15,'당기원장'!$J$5:$J$1004,"확인 필요"))</x:f>
      </x:c>
      <x:c r="K15" s="85" t="str">
        <x:f>IF(A15="","",IF(H15&lt;&gt;"원인분석 대상","",IF(J15&gt;0,"붙임 문서 확인 후 원인 확정 필요","결의서명 기반 원인분류 검토")))</x:f>
      </x:c>
    </x:row>
    <x:row r="16">
      <x:c r="A16" s="73" t="str">
        <x:f>IFERROR(INDEX('계산도우미'!$B$5:$B$2004,MATCH(ROWS($A$5:A16),'계산도우미'!$K$5:$K$2004,0)),"")</x:f>
      </x:c>
      <x:c r="B16" s="73" t="str">
        <x:f>IF(A16="","",IFERROR(INDEX('당기원장'!$B$5:$B$1004,MATCH(A16,'당기원장'!$A$5:$A$1004,0)),IFERROR(INDEX('전기원장'!$B$5:$B$1004,MATCH(A16,'전기원장'!$A$5:$A$1004,0)),"")))</x:f>
      </x:c>
      <x:c r="C16" s="75" t="str">
        <x:f>IF(A16="","",SUMIF('전기원장'!$A$5:$A$1004,A16,'전기원장'!$H$5:$H$1004))</x:f>
      </x:c>
      <x:c r="D16" s="75" t="str">
        <x:f>IF(A16="","",SUMIF('당기원장'!$A$5:$A$1004,A16,'당기원장'!$H$5:$H$1004))</x:f>
      </x:c>
      <x:c r="E16" s="75" t="str">
        <x:f>IF(A16="","",D16-C16)</x:f>
      </x:c>
      <x:c r="F16" s="88" t="str">
        <x:f>IF(A16="","",IF(C16=0,IF(D16=0,0,1),ABS(E16)/ABS(C16)))</x:f>
      </x:c>
      <x:c r="G16" s="73" t="str">
        <x:f>IF(A16="","",IF(AND(C16=0,D16&lt;&gt;0),"신규",IF(AND(C16&lt;&gt;0,D16=0),"소멸",IF(E16=0,"변동없음","금액변동"))))</x:f>
      </x:c>
      <x:c r="H16" s="73" t="str">
        <x:f>IF(A16="","",IF(AND(ABS(E16)&gt;='기준설정'!$B$6,OR(G16="신규",G16="소멸",F16&gt;='기준설정'!$B$5)),"원인분석 대상","일반"))</x:f>
      </x:c>
      <x:c r="I16" s="73" t="str">
        <x:f>IF(A16="","",IF(H16="원인분석 대상","세부원인분석 시트에서 거래별 원인을 검토","-"))</x:f>
      </x:c>
      <x:c r="J16" s="73" t="str">
        <x:f>IF(A16="","",COUNTIFS('전기원장'!$A$5:$A$1004,A16,'전기원장'!$J$5:$J$1004,"확인 필요")+COUNTIFS('당기원장'!$A$5:$A$1004,A16,'당기원장'!$J$5:$J$1004,"확인 필요"))</x:f>
      </x:c>
      <x:c r="K16" s="85" t="str">
        <x:f>IF(A16="","",IF(H16&lt;&gt;"원인분석 대상","",IF(J16&gt;0,"붙임 문서 확인 후 원인 확정 필요","결의서명 기반 원인분류 검토")))</x:f>
      </x:c>
    </x:row>
    <x:row r="17">
      <x:c r="A17" s="73" t="str">
        <x:f>IFERROR(INDEX('계산도우미'!$B$5:$B$2004,MATCH(ROWS($A$5:A17),'계산도우미'!$K$5:$K$2004,0)),"")</x:f>
      </x:c>
      <x:c r="B17" s="73" t="str">
        <x:f>IF(A17="","",IFERROR(INDEX('당기원장'!$B$5:$B$1004,MATCH(A17,'당기원장'!$A$5:$A$1004,0)),IFERROR(INDEX('전기원장'!$B$5:$B$1004,MATCH(A17,'전기원장'!$A$5:$A$1004,0)),"")))</x:f>
      </x:c>
      <x:c r="C17" s="75" t="str">
        <x:f>IF(A17="","",SUMIF('전기원장'!$A$5:$A$1004,A17,'전기원장'!$H$5:$H$1004))</x:f>
      </x:c>
      <x:c r="D17" s="75" t="str">
        <x:f>IF(A17="","",SUMIF('당기원장'!$A$5:$A$1004,A17,'당기원장'!$H$5:$H$1004))</x:f>
      </x:c>
      <x:c r="E17" s="75" t="str">
        <x:f>IF(A17="","",D17-C17)</x:f>
      </x:c>
      <x:c r="F17" s="88" t="str">
        <x:f>IF(A17="","",IF(C17=0,IF(D17=0,0,1),ABS(E17)/ABS(C17)))</x:f>
      </x:c>
      <x:c r="G17" s="73" t="str">
        <x:f>IF(A17="","",IF(AND(C17=0,D17&lt;&gt;0),"신규",IF(AND(C17&lt;&gt;0,D17=0),"소멸",IF(E17=0,"변동없음","금액변동"))))</x:f>
      </x:c>
      <x:c r="H17" s="73" t="str">
        <x:f>IF(A17="","",IF(AND(ABS(E17)&gt;='기준설정'!$B$6,OR(G17="신규",G17="소멸",F17&gt;='기준설정'!$B$5)),"원인분석 대상","일반"))</x:f>
      </x:c>
      <x:c r="I17" s="73" t="str">
        <x:f>IF(A17="","",IF(H17="원인분석 대상","세부원인분석 시트에서 거래별 원인을 검토","-"))</x:f>
      </x:c>
      <x:c r="J17" s="73" t="str">
        <x:f>IF(A17="","",COUNTIFS('전기원장'!$A$5:$A$1004,A17,'전기원장'!$J$5:$J$1004,"확인 필요")+COUNTIFS('당기원장'!$A$5:$A$1004,A17,'당기원장'!$J$5:$J$1004,"확인 필요"))</x:f>
      </x:c>
      <x:c r="K17" s="85" t="str">
        <x:f>IF(A17="","",IF(H17&lt;&gt;"원인분석 대상","",IF(J17&gt;0,"붙임 문서 확인 후 원인 확정 필요","결의서명 기반 원인분류 검토")))</x:f>
      </x:c>
    </x:row>
    <x:row r="18">
      <x:c r="A18" s="73" t="str">
        <x:f>IFERROR(INDEX('계산도우미'!$B$5:$B$2004,MATCH(ROWS($A$5:A18),'계산도우미'!$K$5:$K$2004,0)),"")</x:f>
      </x:c>
      <x:c r="B18" s="73" t="str">
        <x:f>IF(A18="","",IFERROR(INDEX('당기원장'!$B$5:$B$1004,MATCH(A18,'당기원장'!$A$5:$A$1004,0)),IFERROR(INDEX('전기원장'!$B$5:$B$1004,MATCH(A18,'전기원장'!$A$5:$A$1004,0)),"")))</x:f>
      </x:c>
      <x:c r="C18" s="75" t="str">
        <x:f>IF(A18="","",SUMIF('전기원장'!$A$5:$A$1004,A18,'전기원장'!$H$5:$H$1004))</x:f>
      </x:c>
      <x:c r="D18" s="75" t="str">
        <x:f>IF(A18="","",SUMIF('당기원장'!$A$5:$A$1004,A18,'당기원장'!$H$5:$H$1004))</x:f>
      </x:c>
      <x:c r="E18" s="75" t="str">
        <x:f>IF(A18="","",D18-C18)</x:f>
      </x:c>
      <x:c r="F18" s="88" t="str">
        <x:f>IF(A18="","",IF(C18=0,IF(D18=0,0,1),ABS(E18)/ABS(C18)))</x:f>
      </x:c>
      <x:c r="G18" s="73" t="str">
        <x:f>IF(A18="","",IF(AND(C18=0,D18&lt;&gt;0),"신규",IF(AND(C18&lt;&gt;0,D18=0),"소멸",IF(E18=0,"변동없음","금액변동"))))</x:f>
      </x:c>
      <x:c r="H18" s="73" t="str">
        <x:f>IF(A18="","",IF(AND(ABS(E18)&gt;='기준설정'!$B$6,OR(G18="신규",G18="소멸",F18&gt;='기준설정'!$B$5)),"원인분석 대상","일반"))</x:f>
      </x:c>
      <x:c r="I18" s="73" t="str">
        <x:f>IF(A18="","",IF(H18="원인분석 대상","세부원인분석 시트에서 거래별 원인을 검토","-"))</x:f>
      </x:c>
      <x:c r="J18" s="73" t="str">
        <x:f>IF(A18="","",COUNTIFS('전기원장'!$A$5:$A$1004,A18,'전기원장'!$J$5:$J$1004,"확인 필요")+COUNTIFS('당기원장'!$A$5:$A$1004,A18,'당기원장'!$J$5:$J$1004,"확인 필요"))</x:f>
      </x:c>
      <x:c r="K18" s="85" t="str">
        <x:f>IF(A18="","",IF(H18&lt;&gt;"원인분석 대상","",IF(J18&gt;0,"붙임 문서 확인 후 원인 확정 필요","결의서명 기반 원인분류 검토")))</x:f>
      </x:c>
    </x:row>
    <x:row r="19">
      <x:c r="A19" s="73" t="str">
        <x:f>IFERROR(INDEX('계산도우미'!$B$5:$B$2004,MATCH(ROWS($A$5:A19),'계산도우미'!$K$5:$K$2004,0)),"")</x:f>
      </x:c>
      <x:c r="B19" s="73" t="str">
        <x:f>IF(A19="","",IFERROR(INDEX('당기원장'!$B$5:$B$1004,MATCH(A19,'당기원장'!$A$5:$A$1004,0)),IFERROR(INDEX('전기원장'!$B$5:$B$1004,MATCH(A19,'전기원장'!$A$5:$A$1004,0)),"")))</x:f>
      </x:c>
      <x:c r="C19" s="75" t="str">
        <x:f>IF(A19="","",SUMIF('전기원장'!$A$5:$A$1004,A19,'전기원장'!$H$5:$H$1004))</x:f>
      </x:c>
      <x:c r="D19" s="75" t="str">
        <x:f>IF(A19="","",SUMIF('당기원장'!$A$5:$A$1004,A19,'당기원장'!$H$5:$H$1004))</x:f>
      </x:c>
      <x:c r="E19" s="75" t="str">
        <x:f>IF(A19="","",D19-C19)</x:f>
      </x:c>
      <x:c r="F19" s="88" t="str">
        <x:f>IF(A19="","",IF(C19=0,IF(D19=0,0,1),ABS(E19)/ABS(C19)))</x:f>
      </x:c>
      <x:c r="G19" s="73" t="str">
        <x:f>IF(A19="","",IF(AND(C19=0,D19&lt;&gt;0),"신규",IF(AND(C19&lt;&gt;0,D19=0),"소멸",IF(E19=0,"변동없음","금액변동"))))</x:f>
      </x:c>
      <x:c r="H19" s="73" t="str">
        <x:f>IF(A19="","",IF(AND(ABS(E19)&gt;='기준설정'!$B$6,OR(G19="신규",G19="소멸",F19&gt;='기준설정'!$B$5)),"원인분석 대상","일반"))</x:f>
      </x:c>
      <x:c r="I19" s="73" t="str">
        <x:f>IF(A19="","",IF(H19="원인분석 대상","세부원인분석 시트에서 거래별 원인을 검토","-"))</x:f>
      </x:c>
      <x:c r="J19" s="73" t="str">
        <x:f>IF(A19="","",COUNTIFS('전기원장'!$A$5:$A$1004,A19,'전기원장'!$J$5:$J$1004,"확인 필요")+COUNTIFS('당기원장'!$A$5:$A$1004,A19,'당기원장'!$J$5:$J$1004,"확인 필요"))</x:f>
      </x:c>
      <x:c r="K19" s="85" t="str">
        <x:f>IF(A19="","",IF(H19&lt;&gt;"원인분석 대상","",IF(J19&gt;0,"붙임 문서 확인 후 원인 확정 필요","결의서명 기반 원인분류 검토")))</x:f>
      </x:c>
    </x:row>
    <x:row r="20">
      <x:c r="A20" s="73" t="str">
        <x:f>IFERROR(INDEX('계산도우미'!$B$5:$B$2004,MATCH(ROWS($A$5:A20),'계산도우미'!$K$5:$K$2004,0)),"")</x:f>
      </x:c>
      <x:c r="B20" s="73" t="str">
        <x:f>IF(A20="","",IFERROR(INDEX('당기원장'!$B$5:$B$1004,MATCH(A20,'당기원장'!$A$5:$A$1004,0)),IFERROR(INDEX('전기원장'!$B$5:$B$1004,MATCH(A20,'전기원장'!$A$5:$A$1004,0)),"")))</x:f>
      </x:c>
      <x:c r="C20" s="75" t="str">
        <x:f>IF(A20="","",SUMIF('전기원장'!$A$5:$A$1004,A20,'전기원장'!$H$5:$H$1004))</x:f>
      </x:c>
      <x:c r="D20" s="75" t="str">
        <x:f>IF(A20="","",SUMIF('당기원장'!$A$5:$A$1004,A20,'당기원장'!$H$5:$H$1004))</x:f>
      </x:c>
      <x:c r="E20" s="75" t="str">
        <x:f>IF(A20="","",D20-C20)</x:f>
      </x:c>
      <x:c r="F20" s="88" t="str">
        <x:f>IF(A20="","",IF(C20=0,IF(D20=0,0,1),ABS(E20)/ABS(C20)))</x:f>
      </x:c>
      <x:c r="G20" s="73" t="str">
        <x:f>IF(A20="","",IF(AND(C20=0,D20&lt;&gt;0),"신규",IF(AND(C20&lt;&gt;0,D20=0),"소멸",IF(E20=0,"변동없음","금액변동"))))</x:f>
      </x:c>
      <x:c r="H20" s="73" t="str">
        <x:f>IF(A20="","",IF(AND(ABS(E20)&gt;='기준설정'!$B$6,OR(G20="신규",G20="소멸",F20&gt;='기준설정'!$B$5)),"원인분석 대상","일반"))</x:f>
      </x:c>
      <x:c r="I20" s="73" t="str">
        <x:f>IF(A20="","",IF(H20="원인분석 대상","세부원인분석 시트에서 거래별 원인을 검토","-"))</x:f>
      </x:c>
      <x:c r="J20" s="73" t="str">
        <x:f>IF(A20="","",COUNTIFS('전기원장'!$A$5:$A$1004,A20,'전기원장'!$J$5:$J$1004,"확인 필요")+COUNTIFS('당기원장'!$A$5:$A$1004,A20,'당기원장'!$J$5:$J$1004,"확인 필요"))</x:f>
      </x:c>
      <x:c r="K20" s="85" t="str">
        <x:f>IF(A20="","",IF(H20&lt;&gt;"원인분석 대상","",IF(J20&gt;0,"붙임 문서 확인 후 원인 확정 필요","결의서명 기반 원인분류 검토")))</x:f>
      </x:c>
    </x:row>
    <x:row r="21">
      <x:c r="A21" s="73" t="str">
        <x:f>IFERROR(INDEX('계산도우미'!$B$5:$B$2004,MATCH(ROWS($A$5:A21),'계산도우미'!$K$5:$K$2004,0)),"")</x:f>
      </x:c>
      <x:c r="B21" s="73" t="str">
        <x:f>IF(A21="","",IFERROR(INDEX('당기원장'!$B$5:$B$1004,MATCH(A21,'당기원장'!$A$5:$A$1004,0)),IFERROR(INDEX('전기원장'!$B$5:$B$1004,MATCH(A21,'전기원장'!$A$5:$A$1004,0)),"")))</x:f>
      </x:c>
      <x:c r="C21" s="75" t="str">
        <x:f>IF(A21="","",SUMIF('전기원장'!$A$5:$A$1004,A21,'전기원장'!$H$5:$H$1004))</x:f>
      </x:c>
      <x:c r="D21" s="75" t="str">
        <x:f>IF(A21="","",SUMIF('당기원장'!$A$5:$A$1004,A21,'당기원장'!$H$5:$H$1004))</x:f>
      </x:c>
      <x:c r="E21" s="75" t="str">
        <x:f>IF(A21="","",D21-C21)</x:f>
      </x:c>
      <x:c r="F21" s="88" t="str">
        <x:f>IF(A21="","",IF(C21=0,IF(D21=0,0,1),ABS(E21)/ABS(C21)))</x:f>
      </x:c>
      <x:c r="G21" s="73" t="str">
        <x:f>IF(A21="","",IF(AND(C21=0,D21&lt;&gt;0),"신규",IF(AND(C21&lt;&gt;0,D21=0),"소멸",IF(E21=0,"변동없음","금액변동"))))</x:f>
      </x:c>
      <x:c r="H21" s="73" t="str">
        <x:f>IF(A21="","",IF(AND(ABS(E21)&gt;='기준설정'!$B$6,OR(G21="신규",G21="소멸",F21&gt;='기준설정'!$B$5)),"원인분석 대상","일반"))</x:f>
      </x:c>
      <x:c r="I21" s="73" t="str">
        <x:f>IF(A21="","",IF(H21="원인분석 대상","세부원인분석 시트에서 거래별 원인을 검토","-"))</x:f>
      </x:c>
      <x:c r="J21" s="73" t="str">
        <x:f>IF(A21="","",COUNTIFS('전기원장'!$A$5:$A$1004,A21,'전기원장'!$J$5:$J$1004,"확인 필요")+COUNTIFS('당기원장'!$A$5:$A$1004,A21,'당기원장'!$J$5:$J$1004,"확인 필요"))</x:f>
      </x:c>
      <x:c r="K21" s="85" t="str">
        <x:f>IF(A21="","",IF(H21&lt;&gt;"원인분석 대상","",IF(J21&gt;0,"붙임 문서 확인 후 원인 확정 필요","결의서명 기반 원인분류 검토")))</x:f>
      </x:c>
    </x:row>
    <x:row r="22">
      <x:c r="A22" s="73" t="str">
        <x:f>IFERROR(INDEX('계산도우미'!$B$5:$B$2004,MATCH(ROWS($A$5:A22),'계산도우미'!$K$5:$K$2004,0)),"")</x:f>
      </x:c>
      <x:c r="B22" s="73" t="str">
        <x:f>IF(A22="","",IFERROR(INDEX('당기원장'!$B$5:$B$1004,MATCH(A22,'당기원장'!$A$5:$A$1004,0)),IFERROR(INDEX('전기원장'!$B$5:$B$1004,MATCH(A22,'전기원장'!$A$5:$A$1004,0)),"")))</x:f>
      </x:c>
      <x:c r="C22" s="75" t="str">
        <x:f>IF(A22="","",SUMIF('전기원장'!$A$5:$A$1004,A22,'전기원장'!$H$5:$H$1004))</x:f>
      </x:c>
      <x:c r="D22" s="75" t="str">
        <x:f>IF(A22="","",SUMIF('당기원장'!$A$5:$A$1004,A22,'당기원장'!$H$5:$H$1004))</x:f>
      </x:c>
      <x:c r="E22" s="75" t="str">
        <x:f>IF(A22="","",D22-C22)</x:f>
      </x:c>
      <x:c r="F22" s="88" t="str">
        <x:f>IF(A22="","",IF(C22=0,IF(D22=0,0,1),ABS(E22)/ABS(C22)))</x:f>
      </x:c>
      <x:c r="G22" s="73" t="str">
        <x:f>IF(A22="","",IF(AND(C22=0,D22&lt;&gt;0),"신규",IF(AND(C22&lt;&gt;0,D22=0),"소멸",IF(E22=0,"변동없음","금액변동"))))</x:f>
      </x:c>
      <x:c r="H22" s="73" t="str">
        <x:f>IF(A22="","",IF(AND(ABS(E22)&gt;='기준설정'!$B$6,OR(G22="신규",G22="소멸",F22&gt;='기준설정'!$B$5)),"원인분석 대상","일반"))</x:f>
      </x:c>
      <x:c r="I22" s="73" t="str">
        <x:f>IF(A22="","",IF(H22="원인분석 대상","세부원인분석 시트에서 거래별 원인을 검토","-"))</x:f>
      </x:c>
      <x:c r="J22" s="73" t="str">
        <x:f>IF(A22="","",COUNTIFS('전기원장'!$A$5:$A$1004,A22,'전기원장'!$J$5:$J$1004,"확인 필요")+COUNTIFS('당기원장'!$A$5:$A$1004,A22,'당기원장'!$J$5:$J$1004,"확인 필요"))</x:f>
      </x:c>
      <x:c r="K22" s="85" t="str">
        <x:f>IF(A22="","",IF(H22&lt;&gt;"원인분석 대상","",IF(J22&gt;0,"붙임 문서 확인 후 원인 확정 필요","결의서명 기반 원인분류 검토")))</x:f>
      </x:c>
    </x:row>
    <x:row r="23">
      <x:c r="A23" s="73" t="str">
        <x:f>IFERROR(INDEX('계산도우미'!$B$5:$B$2004,MATCH(ROWS($A$5:A23),'계산도우미'!$K$5:$K$2004,0)),"")</x:f>
      </x:c>
      <x:c r="B23" s="73" t="str">
        <x:f>IF(A23="","",IFERROR(INDEX('당기원장'!$B$5:$B$1004,MATCH(A23,'당기원장'!$A$5:$A$1004,0)),IFERROR(INDEX('전기원장'!$B$5:$B$1004,MATCH(A23,'전기원장'!$A$5:$A$1004,0)),"")))</x:f>
      </x:c>
      <x:c r="C23" s="75" t="str">
        <x:f>IF(A23="","",SUMIF('전기원장'!$A$5:$A$1004,A23,'전기원장'!$H$5:$H$1004))</x:f>
      </x:c>
      <x:c r="D23" s="75" t="str">
        <x:f>IF(A23="","",SUMIF('당기원장'!$A$5:$A$1004,A23,'당기원장'!$H$5:$H$1004))</x:f>
      </x:c>
      <x:c r="E23" s="75" t="str">
        <x:f>IF(A23="","",D23-C23)</x:f>
      </x:c>
      <x:c r="F23" s="88" t="str">
        <x:f>IF(A23="","",IF(C23=0,IF(D23=0,0,1),ABS(E23)/ABS(C23)))</x:f>
      </x:c>
      <x:c r="G23" s="73" t="str">
        <x:f>IF(A23="","",IF(AND(C23=0,D23&lt;&gt;0),"신규",IF(AND(C23&lt;&gt;0,D23=0),"소멸",IF(E23=0,"변동없음","금액변동"))))</x:f>
      </x:c>
      <x:c r="H23" s="73" t="str">
        <x:f>IF(A23="","",IF(AND(ABS(E23)&gt;='기준설정'!$B$6,OR(G23="신규",G23="소멸",F23&gt;='기준설정'!$B$5)),"원인분석 대상","일반"))</x:f>
      </x:c>
      <x:c r="I23" s="73" t="str">
        <x:f>IF(A23="","",IF(H23="원인분석 대상","세부원인분석 시트에서 거래별 원인을 검토","-"))</x:f>
      </x:c>
      <x:c r="J23" s="73" t="str">
        <x:f>IF(A23="","",COUNTIFS('전기원장'!$A$5:$A$1004,A23,'전기원장'!$J$5:$J$1004,"확인 필요")+COUNTIFS('당기원장'!$A$5:$A$1004,A23,'당기원장'!$J$5:$J$1004,"확인 필요"))</x:f>
      </x:c>
      <x:c r="K23" s="85" t="str">
        <x:f>IF(A23="","",IF(H23&lt;&gt;"원인분석 대상","",IF(J23&gt;0,"붙임 문서 확인 후 원인 확정 필요","결의서명 기반 원인분류 검토")))</x:f>
      </x:c>
    </x:row>
    <x:row r="24">
      <x:c r="A24" s="73" t="str">
        <x:f>IFERROR(INDEX('계산도우미'!$B$5:$B$2004,MATCH(ROWS($A$5:A24),'계산도우미'!$K$5:$K$2004,0)),"")</x:f>
      </x:c>
      <x:c r="B24" s="73" t="str">
        <x:f>IF(A24="","",IFERROR(INDEX('당기원장'!$B$5:$B$1004,MATCH(A24,'당기원장'!$A$5:$A$1004,0)),IFERROR(INDEX('전기원장'!$B$5:$B$1004,MATCH(A24,'전기원장'!$A$5:$A$1004,0)),"")))</x:f>
      </x:c>
      <x:c r="C24" s="75" t="str">
        <x:f>IF(A24="","",SUMIF('전기원장'!$A$5:$A$1004,A24,'전기원장'!$H$5:$H$1004))</x:f>
      </x:c>
      <x:c r="D24" s="75" t="str">
        <x:f>IF(A24="","",SUMIF('당기원장'!$A$5:$A$1004,A24,'당기원장'!$H$5:$H$1004))</x:f>
      </x:c>
      <x:c r="E24" s="75" t="str">
        <x:f>IF(A24="","",D24-C24)</x:f>
      </x:c>
      <x:c r="F24" s="88" t="str">
        <x:f>IF(A24="","",IF(C24=0,IF(D24=0,0,1),ABS(E24)/ABS(C24)))</x:f>
      </x:c>
      <x:c r="G24" s="73" t="str">
        <x:f>IF(A24="","",IF(AND(C24=0,D24&lt;&gt;0),"신규",IF(AND(C24&lt;&gt;0,D24=0),"소멸",IF(E24=0,"변동없음","금액변동"))))</x:f>
      </x:c>
      <x:c r="H24" s="73" t="str">
        <x:f>IF(A24="","",IF(AND(ABS(E24)&gt;='기준설정'!$B$6,OR(G24="신규",G24="소멸",F24&gt;='기준설정'!$B$5)),"원인분석 대상","일반"))</x:f>
      </x:c>
      <x:c r="I24" s="73" t="str">
        <x:f>IF(A24="","",IF(H24="원인분석 대상","세부원인분석 시트에서 거래별 원인을 검토","-"))</x:f>
      </x:c>
      <x:c r="J24" s="73" t="str">
        <x:f>IF(A24="","",COUNTIFS('전기원장'!$A$5:$A$1004,A24,'전기원장'!$J$5:$J$1004,"확인 필요")+COUNTIFS('당기원장'!$A$5:$A$1004,A24,'당기원장'!$J$5:$J$1004,"확인 필요"))</x:f>
      </x:c>
      <x:c r="K24" s="85" t="str">
        <x:f>IF(A24="","",IF(H24&lt;&gt;"원인분석 대상","",IF(J24&gt;0,"붙임 문서 확인 후 원인 확정 필요","결의서명 기반 원인분류 검토")))</x:f>
      </x:c>
    </x:row>
    <x:row r="25">
      <x:c r="A25" s="73" t="str">
        <x:f>IFERROR(INDEX('계산도우미'!$B$5:$B$2004,MATCH(ROWS($A$5:A25),'계산도우미'!$K$5:$K$2004,0)),"")</x:f>
      </x:c>
      <x:c r="B25" s="73" t="str">
        <x:f>IF(A25="","",IFERROR(INDEX('당기원장'!$B$5:$B$1004,MATCH(A25,'당기원장'!$A$5:$A$1004,0)),IFERROR(INDEX('전기원장'!$B$5:$B$1004,MATCH(A25,'전기원장'!$A$5:$A$1004,0)),"")))</x:f>
      </x:c>
      <x:c r="C25" s="75" t="str">
        <x:f>IF(A25="","",SUMIF('전기원장'!$A$5:$A$1004,A25,'전기원장'!$H$5:$H$1004))</x:f>
      </x:c>
      <x:c r="D25" s="75" t="str">
        <x:f>IF(A25="","",SUMIF('당기원장'!$A$5:$A$1004,A25,'당기원장'!$H$5:$H$1004))</x:f>
      </x:c>
      <x:c r="E25" s="75" t="str">
        <x:f>IF(A25="","",D25-C25)</x:f>
      </x:c>
      <x:c r="F25" s="88" t="str">
        <x:f>IF(A25="","",IF(C25=0,IF(D25=0,0,1),ABS(E25)/ABS(C25)))</x:f>
      </x:c>
      <x:c r="G25" s="73" t="str">
        <x:f>IF(A25="","",IF(AND(C25=0,D25&lt;&gt;0),"신규",IF(AND(C25&lt;&gt;0,D25=0),"소멸",IF(E25=0,"변동없음","금액변동"))))</x:f>
      </x:c>
      <x:c r="H25" s="73" t="str">
        <x:f>IF(A25="","",IF(AND(ABS(E25)&gt;='기준설정'!$B$6,OR(G25="신규",G25="소멸",F25&gt;='기준설정'!$B$5)),"원인분석 대상","일반"))</x:f>
      </x:c>
      <x:c r="I25" s="73" t="str">
        <x:f>IF(A25="","",IF(H25="원인분석 대상","세부원인분석 시트에서 거래별 원인을 검토","-"))</x:f>
      </x:c>
      <x:c r="J25" s="73" t="str">
        <x:f>IF(A25="","",COUNTIFS('전기원장'!$A$5:$A$1004,A25,'전기원장'!$J$5:$J$1004,"확인 필요")+COUNTIFS('당기원장'!$A$5:$A$1004,A25,'당기원장'!$J$5:$J$1004,"확인 필요"))</x:f>
      </x:c>
      <x:c r="K25" s="85" t="str">
        <x:f>IF(A25="","",IF(H25&lt;&gt;"원인분석 대상","",IF(J25&gt;0,"붙임 문서 확인 후 원인 확정 필요","결의서명 기반 원인분류 검토")))</x:f>
      </x:c>
    </x:row>
    <x:row r="26">
      <x:c r="A26" s="73" t="str">
        <x:f>IFERROR(INDEX('계산도우미'!$B$5:$B$2004,MATCH(ROWS($A$5:A26),'계산도우미'!$K$5:$K$2004,0)),"")</x:f>
      </x:c>
      <x:c r="B26" s="73" t="str">
        <x:f>IF(A26="","",IFERROR(INDEX('당기원장'!$B$5:$B$1004,MATCH(A26,'당기원장'!$A$5:$A$1004,0)),IFERROR(INDEX('전기원장'!$B$5:$B$1004,MATCH(A26,'전기원장'!$A$5:$A$1004,0)),"")))</x:f>
      </x:c>
      <x:c r="C26" s="75" t="str">
        <x:f>IF(A26="","",SUMIF('전기원장'!$A$5:$A$1004,A26,'전기원장'!$H$5:$H$1004))</x:f>
      </x:c>
      <x:c r="D26" s="75" t="str">
        <x:f>IF(A26="","",SUMIF('당기원장'!$A$5:$A$1004,A26,'당기원장'!$H$5:$H$1004))</x:f>
      </x:c>
      <x:c r="E26" s="75" t="str">
        <x:f>IF(A26="","",D26-C26)</x:f>
      </x:c>
      <x:c r="F26" s="88" t="str">
        <x:f>IF(A26="","",IF(C26=0,IF(D26=0,0,1),ABS(E26)/ABS(C26)))</x:f>
      </x:c>
      <x:c r="G26" s="73" t="str">
        <x:f>IF(A26="","",IF(AND(C26=0,D26&lt;&gt;0),"신규",IF(AND(C26&lt;&gt;0,D26=0),"소멸",IF(E26=0,"변동없음","금액변동"))))</x:f>
      </x:c>
      <x:c r="H26" s="73" t="str">
        <x:f>IF(A26="","",IF(AND(ABS(E26)&gt;='기준설정'!$B$6,OR(G26="신규",G26="소멸",F26&gt;='기준설정'!$B$5)),"원인분석 대상","일반"))</x:f>
      </x:c>
      <x:c r="I26" s="73" t="str">
        <x:f>IF(A26="","",IF(H26="원인분석 대상","세부원인분석 시트에서 거래별 원인을 검토","-"))</x:f>
      </x:c>
      <x:c r="J26" s="73" t="str">
        <x:f>IF(A26="","",COUNTIFS('전기원장'!$A$5:$A$1004,A26,'전기원장'!$J$5:$J$1004,"확인 필요")+COUNTIFS('당기원장'!$A$5:$A$1004,A26,'당기원장'!$J$5:$J$1004,"확인 필요"))</x:f>
      </x:c>
      <x:c r="K26" s="85" t="str">
        <x:f>IF(A26="","",IF(H26&lt;&gt;"원인분석 대상","",IF(J26&gt;0,"붙임 문서 확인 후 원인 확정 필요","결의서명 기반 원인분류 검토")))</x:f>
      </x:c>
    </x:row>
    <x:row r="27">
      <x:c r="A27" s="73" t="str">
        <x:f>IFERROR(INDEX('계산도우미'!$B$5:$B$2004,MATCH(ROWS($A$5:A27),'계산도우미'!$K$5:$K$2004,0)),"")</x:f>
      </x:c>
      <x:c r="B27" s="73" t="str">
        <x:f>IF(A27="","",IFERROR(INDEX('당기원장'!$B$5:$B$1004,MATCH(A27,'당기원장'!$A$5:$A$1004,0)),IFERROR(INDEX('전기원장'!$B$5:$B$1004,MATCH(A27,'전기원장'!$A$5:$A$1004,0)),"")))</x:f>
      </x:c>
      <x:c r="C27" s="75" t="str">
        <x:f>IF(A27="","",SUMIF('전기원장'!$A$5:$A$1004,A27,'전기원장'!$H$5:$H$1004))</x:f>
      </x:c>
      <x:c r="D27" s="75" t="str">
        <x:f>IF(A27="","",SUMIF('당기원장'!$A$5:$A$1004,A27,'당기원장'!$H$5:$H$1004))</x:f>
      </x:c>
      <x:c r="E27" s="75" t="str">
        <x:f>IF(A27="","",D27-C27)</x:f>
      </x:c>
      <x:c r="F27" s="88" t="str">
        <x:f>IF(A27="","",IF(C27=0,IF(D27=0,0,1),ABS(E27)/ABS(C27)))</x:f>
      </x:c>
      <x:c r="G27" s="73" t="str">
        <x:f>IF(A27="","",IF(AND(C27=0,D27&lt;&gt;0),"신규",IF(AND(C27&lt;&gt;0,D27=0),"소멸",IF(E27=0,"변동없음","금액변동"))))</x:f>
      </x:c>
      <x:c r="H27" s="73" t="str">
        <x:f>IF(A27="","",IF(AND(ABS(E27)&gt;='기준설정'!$B$6,OR(G27="신규",G27="소멸",F27&gt;='기준설정'!$B$5)),"원인분석 대상","일반"))</x:f>
      </x:c>
      <x:c r="I27" s="73" t="str">
        <x:f>IF(A27="","",IF(H27="원인분석 대상","세부원인분석 시트에서 거래별 원인을 검토","-"))</x:f>
      </x:c>
      <x:c r="J27" s="73" t="str">
        <x:f>IF(A27="","",COUNTIFS('전기원장'!$A$5:$A$1004,A27,'전기원장'!$J$5:$J$1004,"확인 필요")+COUNTIFS('당기원장'!$A$5:$A$1004,A27,'당기원장'!$J$5:$J$1004,"확인 필요"))</x:f>
      </x:c>
      <x:c r="K27" s="85" t="str">
        <x:f>IF(A27="","",IF(H27&lt;&gt;"원인분석 대상","",IF(J27&gt;0,"붙임 문서 확인 후 원인 확정 필요","결의서명 기반 원인분류 검토")))</x:f>
      </x:c>
    </x:row>
    <x:row r="28">
      <x:c r="A28" s="73" t="str">
        <x:f>IFERROR(INDEX('계산도우미'!$B$5:$B$2004,MATCH(ROWS($A$5:A28),'계산도우미'!$K$5:$K$2004,0)),"")</x:f>
      </x:c>
      <x:c r="B28" s="73" t="str">
        <x:f>IF(A28="","",IFERROR(INDEX('당기원장'!$B$5:$B$1004,MATCH(A28,'당기원장'!$A$5:$A$1004,0)),IFERROR(INDEX('전기원장'!$B$5:$B$1004,MATCH(A28,'전기원장'!$A$5:$A$1004,0)),"")))</x:f>
      </x:c>
      <x:c r="C28" s="75" t="str">
        <x:f>IF(A28="","",SUMIF('전기원장'!$A$5:$A$1004,A28,'전기원장'!$H$5:$H$1004))</x:f>
      </x:c>
      <x:c r="D28" s="75" t="str">
        <x:f>IF(A28="","",SUMIF('당기원장'!$A$5:$A$1004,A28,'당기원장'!$H$5:$H$1004))</x:f>
      </x:c>
      <x:c r="E28" s="75" t="str">
        <x:f>IF(A28="","",D28-C28)</x:f>
      </x:c>
      <x:c r="F28" s="88" t="str">
        <x:f>IF(A28="","",IF(C28=0,IF(D28=0,0,1),ABS(E28)/ABS(C28)))</x:f>
      </x:c>
      <x:c r="G28" s="73" t="str">
        <x:f>IF(A28="","",IF(AND(C28=0,D28&lt;&gt;0),"신규",IF(AND(C28&lt;&gt;0,D28=0),"소멸",IF(E28=0,"변동없음","금액변동"))))</x:f>
      </x:c>
      <x:c r="H28" s="73" t="str">
        <x:f>IF(A28="","",IF(AND(ABS(E28)&gt;='기준설정'!$B$6,OR(G28="신규",G28="소멸",F28&gt;='기준설정'!$B$5)),"원인분석 대상","일반"))</x:f>
      </x:c>
      <x:c r="I28" s="73" t="str">
        <x:f>IF(A28="","",IF(H28="원인분석 대상","세부원인분석 시트에서 거래별 원인을 검토","-"))</x:f>
      </x:c>
      <x:c r="J28" s="73" t="str">
        <x:f>IF(A28="","",COUNTIFS('전기원장'!$A$5:$A$1004,A28,'전기원장'!$J$5:$J$1004,"확인 필요")+COUNTIFS('당기원장'!$A$5:$A$1004,A28,'당기원장'!$J$5:$J$1004,"확인 필요"))</x:f>
      </x:c>
      <x:c r="K28" s="85" t="str">
        <x:f>IF(A28="","",IF(H28&lt;&gt;"원인분석 대상","",IF(J28&gt;0,"붙임 문서 확인 후 원인 확정 필요","결의서명 기반 원인분류 검토")))</x:f>
      </x:c>
    </x:row>
    <x:row r="29">
      <x:c r="A29" s="73" t="str">
        <x:f>IFERROR(INDEX('계산도우미'!$B$5:$B$2004,MATCH(ROWS($A$5:A29),'계산도우미'!$K$5:$K$2004,0)),"")</x:f>
      </x:c>
      <x:c r="B29" s="73" t="str">
        <x:f>IF(A29="","",IFERROR(INDEX('당기원장'!$B$5:$B$1004,MATCH(A29,'당기원장'!$A$5:$A$1004,0)),IFERROR(INDEX('전기원장'!$B$5:$B$1004,MATCH(A29,'전기원장'!$A$5:$A$1004,0)),"")))</x:f>
      </x:c>
      <x:c r="C29" s="75" t="str">
        <x:f>IF(A29="","",SUMIF('전기원장'!$A$5:$A$1004,A29,'전기원장'!$H$5:$H$1004))</x:f>
      </x:c>
      <x:c r="D29" s="75" t="str">
        <x:f>IF(A29="","",SUMIF('당기원장'!$A$5:$A$1004,A29,'당기원장'!$H$5:$H$1004))</x:f>
      </x:c>
      <x:c r="E29" s="75" t="str">
        <x:f>IF(A29="","",D29-C29)</x:f>
      </x:c>
      <x:c r="F29" s="88" t="str">
        <x:f>IF(A29="","",IF(C29=0,IF(D29=0,0,1),ABS(E29)/ABS(C29)))</x:f>
      </x:c>
      <x:c r="G29" s="73" t="str">
        <x:f>IF(A29="","",IF(AND(C29=0,D29&lt;&gt;0),"신규",IF(AND(C29&lt;&gt;0,D29=0),"소멸",IF(E29=0,"변동없음","금액변동"))))</x:f>
      </x:c>
      <x:c r="H29" s="73" t="str">
        <x:f>IF(A29="","",IF(AND(ABS(E29)&gt;='기준설정'!$B$6,OR(G29="신규",G29="소멸",F29&gt;='기준설정'!$B$5)),"원인분석 대상","일반"))</x:f>
      </x:c>
      <x:c r="I29" s="73" t="str">
        <x:f>IF(A29="","",IF(H29="원인분석 대상","세부원인분석 시트에서 거래별 원인을 검토","-"))</x:f>
      </x:c>
      <x:c r="J29" s="73" t="str">
        <x:f>IF(A29="","",COUNTIFS('전기원장'!$A$5:$A$1004,A29,'전기원장'!$J$5:$J$1004,"확인 필요")+COUNTIFS('당기원장'!$A$5:$A$1004,A29,'당기원장'!$J$5:$J$1004,"확인 필요"))</x:f>
      </x:c>
      <x:c r="K29" s="85" t="str">
        <x:f>IF(A29="","",IF(H29&lt;&gt;"원인분석 대상","",IF(J29&gt;0,"붙임 문서 확인 후 원인 확정 필요","결의서명 기반 원인분류 검토")))</x:f>
      </x:c>
    </x:row>
    <x:row r="30">
      <x:c r="A30" s="73" t="str">
        <x:f>IFERROR(INDEX('계산도우미'!$B$5:$B$2004,MATCH(ROWS($A$5:A30),'계산도우미'!$K$5:$K$2004,0)),"")</x:f>
      </x:c>
      <x:c r="B30" s="73" t="str">
        <x:f>IF(A30="","",IFERROR(INDEX('당기원장'!$B$5:$B$1004,MATCH(A30,'당기원장'!$A$5:$A$1004,0)),IFERROR(INDEX('전기원장'!$B$5:$B$1004,MATCH(A30,'전기원장'!$A$5:$A$1004,0)),"")))</x:f>
      </x:c>
      <x:c r="C30" s="75" t="str">
        <x:f>IF(A30="","",SUMIF('전기원장'!$A$5:$A$1004,A30,'전기원장'!$H$5:$H$1004))</x:f>
      </x:c>
      <x:c r="D30" s="75" t="str">
        <x:f>IF(A30="","",SUMIF('당기원장'!$A$5:$A$1004,A30,'당기원장'!$H$5:$H$1004))</x:f>
      </x:c>
      <x:c r="E30" s="75" t="str">
        <x:f>IF(A30="","",D30-C30)</x:f>
      </x:c>
      <x:c r="F30" s="88" t="str">
        <x:f>IF(A30="","",IF(C30=0,IF(D30=0,0,1),ABS(E30)/ABS(C30)))</x:f>
      </x:c>
      <x:c r="G30" s="73" t="str">
        <x:f>IF(A30="","",IF(AND(C30=0,D30&lt;&gt;0),"신규",IF(AND(C30&lt;&gt;0,D30=0),"소멸",IF(E30=0,"변동없음","금액변동"))))</x:f>
      </x:c>
      <x:c r="H30" s="73" t="str">
        <x:f>IF(A30="","",IF(AND(ABS(E30)&gt;='기준설정'!$B$6,OR(G30="신규",G30="소멸",F30&gt;='기준설정'!$B$5)),"원인분석 대상","일반"))</x:f>
      </x:c>
      <x:c r="I30" s="73" t="str">
        <x:f>IF(A30="","",IF(H30="원인분석 대상","세부원인분석 시트에서 거래별 원인을 검토","-"))</x:f>
      </x:c>
      <x:c r="J30" s="73" t="str">
        <x:f>IF(A30="","",COUNTIFS('전기원장'!$A$5:$A$1004,A30,'전기원장'!$J$5:$J$1004,"확인 필요")+COUNTIFS('당기원장'!$A$5:$A$1004,A30,'당기원장'!$J$5:$J$1004,"확인 필요"))</x:f>
      </x:c>
      <x:c r="K30" s="85" t="str">
        <x:f>IF(A30="","",IF(H30&lt;&gt;"원인분석 대상","",IF(J30&gt;0,"붙임 문서 확인 후 원인 확정 필요","결의서명 기반 원인분류 검토")))</x:f>
      </x:c>
    </x:row>
    <x:row r="31">
      <x:c r="A31" s="73" t="str">
        <x:f>IFERROR(INDEX('계산도우미'!$B$5:$B$2004,MATCH(ROWS($A$5:A31),'계산도우미'!$K$5:$K$2004,0)),"")</x:f>
      </x:c>
      <x:c r="B31" s="73" t="str">
        <x:f>IF(A31="","",IFERROR(INDEX('당기원장'!$B$5:$B$1004,MATCH(A31,'당기원장'!$A$5:$A$1004,0)),IFERROR(INDEX('전기원장'!$B$5:$B$1004,MATCH(A31,'전기원장'!$A$5:$A$1004,0)),"")))</x:f>
      </x:c>
      <x:c r="C31" s="75" t="str">
        <x:f>IF(A31="","",SUMIF('전기원장'!$A$5:$A$1004,A31,'전기원장'!$H$5:$H$1004))</x:f>
      </x:c>
      <x:c r="D31" s="75" t="str">
        <x:f>IF(A31="","",SUMIF('당기원장'!$A$5:$A$1004,A31,'당기원장'!$H$5:$H$1004))</x:f>
      </x:c>
      <x:c r="E31" s="75" t="str">
        <x:f>IF(A31="","",D31-C31)</x:f>
      </x:c>
      <x:c r="F31" s="88" t="str">
        <x:f>IF(A31="","",IF(C31=0,IF(D31=0,0,1),ABS(E31)/ABS(C31)))</x:f>
      </x:c>
      <x:c r="G31" s="73" t="str">
        <x:f>IF(A31="","",IF(AND(C31=0,D31&lt;&gt;0),"신규",IF(AND(C31&lt;&gt;0,D31=0),"소멸",IF(E31=0,"변동없음","금액변동"))))</x:f>
      </x:c>
      <x:c r="H31" s="73" t="str">
        <x:f>IF(A31="","",IF(AND(ABS(E31)&gt;='기준설정'!$B$6,OR(G31="신규",G31="소멸",F31&gt;='기준설정'!$B$5)),"원인분석 대상","일반"))</x:f>
      </x:c>
      <x:c r="I31" s="73" t="str">
        <x:f>IF(A31="","",IF(H31="원인분석 대상","세부원인분석 시트에서 거래별 원인을 검토","-"))</x:f>
      </x:c>
      <x:c r="J31" s="73" t="str">
        <x:f>IF(A31="","",COUNTIFS('전기원장'!$A$5:$A$1004,A31,'전기원장'!$J$5:$J$1004,"확인 필요")+COUNTIFS('당기원장'!$A$5:$A$1004,A31,'당기원장'!$J$5:$J$1004,"확인 필요"))</x:f>
      </x:c>
      <x:c r="K31" s="85" t="str">
        <x:f>IF(A31="","",IF(H31&lt;&gt;"원인분석 대상","",IF(J31&gt;0,"붙임 문서 확인 후 원인 확정 필요","결의서명 기반 원인분류 검토")))</x:f>
      </x:c>
    </x:row>
    <x:row r="32">
      <x:c r="A32" s="73" t="str">
        <x:f>IFERROR(INDEX('계산도우미'!$B$5:$B$2004,MATCH(ROWS($A$5:A32),'계산도우미'!$K$5:$K$2004,0)),"")</x:f>
      </x:c>
      <x:c r="B32" s="73" t="str">
        <x:f>IF(A32="","",IFERROR(INDEX('당기원장'!$B$5:$B$1004,MATCH(A32,'당기원장'!$A$5:$A$1004,0)),IFERROR(INDEX('전기원장'!$B$5:$B$1004,MATCH(A32,'전기원장'!$A$5:$A$1004,0)),"")))</x:f>
      </x:c>
      <x:c r="C32" s="75" t="str">
        <x:f>IF(A32="","",SUMIF('전기원장'!$A$5:$A$1004,A32,'전기원장'!$H$5:$H$1004))</x:f>
      </x:c>
      <x:c r="D32" s="75" t="str">
        <x:f>IF(A32="","",SUMIF('당기원장'!$A$5:$A$1004,A32,'당기원장'!$H$5:$H$1004))</x:f>
      </x:c>
      <x:c r="E32" s="75" t="str">
        <x:f>IF(A32="","",D32-C32)</x:f>
      </x:c>
      <x:c r="F32" s="88" t="str">
        <x:f>IF(A32="","",IF(C32=0,IF(D32=0,0,1),ABS(E32)/ABS(C32)))</x:f>
      </x:c>
      <x:c r="G32" s="73" t="str">
        <x:f>IF(A32="","",IF(AND(C32=0,D32&lt;&gt;0),"신규",IF(AND(C32&lt;&gt;0,D32=0),"소멸",IF(E32=0,"변동없음","금액변동"))))</x:f>
      </x:c>
      <x:c r="H32" s="73" t="str">
        <x:f>IF(A32="","",IF(AND(ABS(E32)&gt;='기준설정'!$B$6,OR(G32="신규",G32="소멸",F32&gt;='기준설정'!$B$5)),"원인분석 대상","일반"))</x:f>
      </x:c>
      <x:c r="I32" s="73" t="str">
        <x:f>IF(A32="","",IF(H32="원인분석 대상","세부원인분석 시트에서 거래별 원인을 검토","-"))</x:f>
      </x:c>
      <x:c r="J32" s="73" t="str">
        <x:f>IF(A32="","",COUNTIFS('전기원장'!$A$5:$A$1004,A32,'전기원장'!$J$5:$J$1004,"확인 필요")+COUNTIFS('당기원장'!$A$5:$A$1004,A32,'당기원장'!$J$5:$J$1004,"확인 필요"))</x:f>
      </x:c>
      <x:c r="K32" s="85" t="str">
        <x:f>IF(A32="","",IF(H32&lt;&gt;"원인분석 대상","",IF(J32&gt;0,"붙임 문서 확인 후 원인 확정 필요","결의서명 기반 원인분류 검토")))</x:f>
      </x:c>
    </x:row>
    <x:row r="33">
      <x:c r="A33" s="73" t="str">
        <x:f>IFERROR(INDEX('계산도우미'!$B$5:$B$2004,MATCH(ROWS($A$5:A33),'계산도우미'!$K$5:$K$2004,0)),"")</x:f>
      </x:c>
      <x:c r="B33" s="73" t="str">
        <x:f>IF(A33="","",IFERROR(INDEX('당기원장'!$B$5:$B$1004,MATCH(A33,'당기원장'!$A$5:$A$1004,0)),IFERROR(INDEX('전기원장'!$B$5:$B$1004,MATCH(A33,'전기원장'!$A$5:$A$1004,0)),"")))</x:f>
      </x:c>
      <x:c r="C33" s="75" t="str">
        <x:f>IF(A33="","",SUMIF('전기원장'!$A$5:$A$1004,A33,'전기원장'!$H$5:$H$1004))</x:f>
      </x:c>
      <x:c r="D33" s="75" t="str">
        <x:f>IF(A33="","",SUMIF('당기원장'!$A$5:$A$1004,A33,'당기원장'!$H$5:$H$1004))</x:f>
      </x:c>
      <x:c r="E33" s="75" t="str">
        <x:f>IF(A33="","",D33-C33)</x:f>
      </x:c>
      <x:c r="F33" s="88" t="str">
        <x:f>IF(A33="","",IF(C33=0,IF(D33=0,0,1),ABS(E33)/ABS(C33)))</x:f>
      </x:c>
      <x:c r="G33" s="73" t="str">
        <x:f>IF(A33="","",IF(AND(C33=0,D33&lt;&gt;0),"신규",IF(AND(C33&lt;&gt;0,D33=0),"소멸",IF(E33=0,"변동없음","금액변동"))))</x:f>
      </x:c>
      <x:c r="H33" s="73" t="str">
        <x:f>IF(A33="","",IF(AND(ABS(E33)&gt;='기준설정'!$B$6,OR(G33="신규",G33="소멸",F33&gt;='기준설정'!$B$5)),"원인분석 대상","일반"))</x:f>
      </x:c>
      <x:c r="I33" s="73" t="str">
        <x:f>IF(A33="","",IF(H33="원인분석 대상","세부원인분석 시트에서 거래별 원인을 검토","-"))</x:f>
      </x:c>
      <x:c r="J33" s="73" t="str">
        <x:f>IF(A33="","",COUNTIFS('전기원장'!$A$5:$A$1004,A33,'전기원장'!$J$5:$J$1004,"확인 필요")+COUNTIFS('당기원장'!$A$5:$A$1004,A33,'당기원장'!$J$5:$J$1004,"확인 필요"))</x:f>
      </x:c>
      <x:c r="K33" s="85" t="str">
        <x:f>IF(A33="","",IF(H33&lt;&gt;"원인분석 대상","",IF(J33&gt;0,"붙임 문서 확인 후 원인 확정 필요","결의서명 기반 원인분류 검토")))</x:f>
      </x:c>
    </x:row>
    <x:row r="34">
      <x:c r="A34" s="73" t="str">
        <x:f>IFERROR(INDEX('계산도우미'!$B$5:$B$2004,MATCH(ROWS($A$5:A34),'계산도우미'!$K$5:$K$2004,0)),"")</x:f>
      </x:c>
      <x:c r="B34" s="73" t="str">
        <x:f>IF(A34="","",IFERROR(INDEX('당기원장'!$B$5:$B$1004,MATCH(A34,'당기원장'!$A$5:$A$1004,0)),IFERROR(INDEX('전기원장'!$B$5:$B$1004,MATCH(A34,'전기원장'!$A$5:$A$1004,0)),"")))</x:f>
      </x:c>
      <x:c r="C34" s="75" t="str">
        <x:f>IF(A34="","",SUMIF('전기원장'!$A$5:$A$1004,A34,'전기원장'!$H$5:$H$1004))</x:f>
      </x:c>
      <x:c r="D34" s="75" t="str">
        <x:f>IF(A34="","",SUMIF('당기원장'!$A$5:$A$1004,A34,'당기원장'!$H$5:$H$1004))</x:f>
      </x:c>
      <x:c r="E34" s="75" t="str">
        <x:f>IF(A34="","",D34-C34)</x:f>
      </x:c>
      <x:c r="F34" s="88" t="str">
        <x:f>IF(A34="","",IF(C34=0,IF(D34=0,0,1),ABS(E34)/ABS(C34)))</x:f>
      </x:c>
      <x:c r="G34" s="73" t="str">
        <x:f>IF(A34="","",IF(AND(C34=0,D34&lt;&gt;0),"신규",IF(AND(C34&lt;&gt;0,D34=0),"소멸",IF(E34=0,"변동없음","금액변동"))))</x:f>
      </x:c>
      <x:c r="H34" s="73" t="str">
        <x:f>IF(A34="","",IF(AND(ABS(E34)&gt;='기준설정'!$B$6,OR(G34="신규",G34="소멸",F34&gt;='기준설정'!$B$5)),"원인분석 대상","일반"))</x:f>
      </x:c>
      <x:c r="I34" s="73" t="str">
        <x:f>IF(A34="","",IF(H34="원인분석 대상","세부원인분석 시트에서 거래별 원인을 검토","-"))</x:f>
      </x:c>
      <x:c r="J34" s="73" t="str">
        <x:f>IF(A34="","",COUNTIFS('전기원장'!$A$5:$A$1004,A34,'전기원장'!$J$5:$J$1004,"확인 필요")+COUNTIFS('당기원장'!$A$5:$A$1004,A34,'당기원장'!$J$5:$J$1004,"확인 필요"))</x:f>
      </x:c>
      <x:c r="K34" s="85" t="str">
        <x:f>IF(A34="","",IF(H34&lt;&gt;"원인분석 대상","",IF(J34&gt;0,"붙임 문서 확인 후 원인 확정 필요","결의서명 기반 원인분류 검토")))</x:f>
      </x:c>
    </x:row>
    <x:row r="35">
      <x:c r="A35" s="73" t="str">
        <x:f>IFERROR(INDEX('계산도우미'!$B$5:$B$2004,MATCH(ROWS($A$5:A35),'계산도우미'!$K$5:$K$2004,0)),"")</x:f>
      </x:c>
      <x:c r="B35" s="73" t="str">
        <x:f>IF(A35="","",IFERROR(INDEX('당기원장'!$B$5:$B$1004,MATCH(A35,'당기원장'!$A$5:$A$1004,0)),IFERROR(INDEX('전기원장'!$B$5:$B$1004,MATCH(A35,'전기원장'!$A$5:$A$1004,0)),"")))</x:f>
      </x:c>
      <x:c r="C35" s="75" t="str">
        <x:f>IF(A35="","",SUMIF('전기원장'!$A$5:$A$1004,A35,'전기원장'!$H$5:$H$1004))</x:f>
      </x:c>
      <x:c r="D35" s="75" t="str">
        <x:f>IF(A35="","",SUMIF('당기원장'!$A$5:$A$1004,A35,'당기원장'!$H$5:$H$1004))</x:f>
      </x:c>
      <x:c r="E35" s="75" t="str">
        <x:f>IF(A35="","",D35-C35)</x:f>
      </x:c>
      <x:c r="F35" s="88" t="str">
        <x:f>IF(A35="","",IF(C35=0,IF(D35=0,0,1),ABS(E35)/ABS(C35)))</x:f>
      </x:c>
      <x:c r="G35" s="73" t="str">
        <x:f>IF(A35="","",IF(AND(C35=0,D35&lt;&gt;0),"신규",IF(AND(C35&lt;&gt;0,D35=0),"소멸",IF(E35=0,"변동없음","금액변동"))))</x:f>
      </x:c>
      <x:c r="H35" s="73" t="str">
        <x:f>IF(A35="","",IF(AND(ABS(E35)&gt;='기준설정'!$B$6,OR(G35="신규",G35="소멸",F35&gt;='기준설정'!$B$5)),"원인분석 대상","일반"))</x:f>
      </x:c>
      <x:c r="I35" s="73" t="str">
        <x:f>IF(A35="","",IF(H35="원인분석 대상","세부원인분석 시트에서 거래별 원인을 검토","-"))</x:f>
      </x:c>
      <x:c r="J35" s="73" t="str">
        <x:f>IF(A35="","",COUNTIFS('전기원장'!$A$5:$A$1004,A35,'전기원장'!$J$5:$J$1004,"확인 필요")+COUNTIFS('당기원장'!$A$5:$A$1004,A35,'당기원장'!$J$5:$J$1004,"확인 필요"))</x:f>
      </x:c>
      <x:c r="K35" s="85" t="str">
        <x:f>IF(A35="","",IF(H35&lt;&gt;"원인분석 대상","",IF(J35&gt;0,"붙임 문서 확인 후 원인 확정 필요","결의서명 기반 원인분류 검토")))</x:f>
      </x:c>
    </x:row>
    <x:row r="36">
      <x:c r="A36" s="73" t="str">
        <x:f>IFERROR(INDEX('계산도우미'!$B$5:$B$2004,MATCH(ROWS($A$5:A36),'계산도우미'!$K$5:$K$2004,0)),"")</x:f>
      </x:c>
      <x:c r="B36" s="73" t="str">
        <x:f>IF(A36="","",IFERROR(INDEX('당기원장'!$B$5:$B$1004,MATCH(A36,'당기원장'!$A$5:$A$1004,0)),IFERROR(INDEX('전기원장'!$B$5:$B$1004,MATCH(A36,'전기원장'!$A$5:$A$1004,0)),"")))</x:f>
      </x:c>
      <x:c r="C36" s="75" t="str">
        <x:f>IF(A36="","",SUMIF('전기원장'!$A$5:$A$1004,A36,'전기원장'!$H$5:$H$1004))</x:f>
      </x:c>
      <x:c r="D36" s="75" t="str">
        <x:f>IF(A36="","",SUMIF('당기원장'!$A$5:$A$1004,A36,'당기원장'!$H$5:$H$1004))</x:f>
      </x:c>
      <x:c r="E36" s="75" t="str">
        <x:f>IF(A36="","",D36-C36)</x:f>
      </x:c>
      <x:c r="F36" s="88" t="str">
        <x:f>IF(A36="","",IF(C36=0,IF(D36=0,0,1),ABS(E36)/ABS(C36)))</x:f>
      </x:c>
      <x:c r="G36" s="73" t="str">
        <x:f>IF(A36="","",IF(AND(C36=0,D36&lt;&gt;0),"신규",IF(AND(C36&lt;&gt;0,D36=0),"소멸",IF(E36=0,"변동없음","금액변동"))))</x:f>
      </x:c>
      <x:c r="H36" s="73" t="str">
        <x:f>IF(A36="","",IF(AND(ABS(E36)&gt;='기준설정'!$B$6,OR(G36="신규",G36="소멸",F36&gt;='기준설정'!$B$5)),"원인분석 대상","일반"))</x:f>
      </x:c>
      <x:c r="I36" s="73" t="str">
        <x:f>IF(A36="","",IF(H36="원인분석 대상","세부원인분석 시트에서 거래별 원인을 검토","-"))</x:f>
      </x:c>
      <x:c r="J36" s="73" t="str">
        <x:f>IF(A36="","",COUNTIFS('전기원장'!$A$5:$A$1004,A36,'전기원장'!$J$5:$J$1004,"확인 필요")+COUNTIFS('당기원장'!$A$5:$A$1004,A36,'당기원장'!$J$5:$J$1004,"확인 필요"))</x:f>
      </x:c>
      <x:c r="K36" s="85" t="str">
        <x:f>IF(A36="","",IF(H36&lt;&gt;"원인분석 대상","",IF(J36&gt;0,"붙임 문서 확인 후 원인 확정 필요","결의서명 기반 원인분류 검토")))</x:f>
      </x:c>
    </x:row>
    <x:row r="37">
      <x:c r="A37" s="73" t="str">
        <x:f>IFERROR(INDEX('계산도우미'!$B$5:$B$2004,MATCH(ROWS($A$5:A37),'계산도우미'!$K$5:$K$2004,0)),"")</x:f>
      </x:c>
      <x:c r="B37" s="73" t="str">
        <x:f>IF(A37="","",IFERROR(INDEX('당기원장'!$B$5:$B$1004,MATCH(A37,'당기원장'!$A$5:$A$1004,0)),IFERROR(INDEX('전기원장'!$B$5:$B$1004,MATCH(A37,'전기원장'!$A$5:$A$1004,0)),"")))</x:f>
      </x:c>
      <x:c r="C37" s="75" t="str">
        <x:f>IF(A37="","",SUMIF('전기원장'!$A$5:$A$1004,A37,'전기원장'!$H$5:$H$1004))</x:f>
      </x:c>
      <x:c r="D37" s="75" t="str">
        <x:f>IF(A37="","",SUMIF('당기원장'!$A$5:$A$1004,A37,'당기원장'!$H$5:$H$1004))</x:f>
      </x:c>
      <x:c r="E37" s="75" t="str">
        <x:f>IF(A37="","",D37-C37)</x:f>
      </x:c>
      <x:c r="F37" s="88" t="str">
        <x:f>IF(A37="","",IF(C37=0,IF(D37=0,0,1),ABS(E37)/ABS(C37)))</x:f>
      </x:c>
      <x:c r="G37" s="73" t="str">
        <x:f>IF(A37="","",IF(AND(C37=0,D37&lt;&gt;0),"신규",IF(AND(C37&lt;&gt;0,D37=0),"소멸",IF(E37=0,"변동없음","금액변동"))))</x:f>
      </x:c>
      <x:c r="H37" s="73" t="str">
        <x:f>IF(A37="","",IF(AND(ABS(E37)&gt;='기준설정'!$B$6,OR(G37="신규",G37="소멸",F37&gt;='기준설정'!$B$5)),"원인분석 대상","일반"))</x:f>
      </x:c>
      <x:c r="I37" s="73" t="str">
        <x:f>IF(A37="","",IF(H37="원인분석 대상","세부원인분석 시트에서 거래별 원인을 검토","-"))</x:f>
      </x:c>
      <x:c r="J37" s="73" t="str">
        <x:f>IF(A37="","",COUNTIFS('전기원장'!$A$5:$A$1004,A37,'전기원장'!$J$5:$J$1004,"확인 필요")+COUNTIFS('당기원장'!$A$5:$A$1004,A37,'당기원장'!$J$5:$J$1004,"확인 필요"))</x:f>
      </x:c>
      <x:c r="K37" s="85" t="str">
        <x:f>IF(A37="","",IF(H37&lt;&gt;"원인분석 대상","",IF(J37&gt;0,"붙임 문서 확인 후 원인 확정 필요","결의서명 기반 원인분류 검토")))</x:f>
      </x:c>
    </x:row>
    <x:row r="38">
      <x:c r="A38" s="73" t="str">
        <x:f>IFERROR(INDEX('계산도우미'!$B$5:$B$2004,MATCH(ROWS($A$5:A38),'계산도우미'!$K$5:$K$2004,0)),"")</x:f>
      </x:c>
      <x:c r="B38" s="73" t="str">
        <x:f>IF(A38="","",IFERROR(INDEX('당기원장'!$B$5:$B$1004,MATCH(A38,'당기원장'!$A$5:$A$1004,0)),IFERROR(INDEX('전기원장'!$B$5:$B$1004,MATCH(A38,'전기원장'!$A$5:$A$1004,0)),"")))</x:f>
      </x:c>
      <x:c r="C38" s="75" t="str">
        <x:f>IF(A38="","",SUMIF('전기원장'!$A$5:$A$1004,A38,'전기원장'!$H$5:$H$1004))</x:f>
      </x:c>
      <x:c r="D38" s="75" t="str">
        <x:f>IF(A38="","",SUMIF('당기원장'!$A$5:$A$1004,A38,'당기원장'!$H$5:$H$1004))</x:f>
      </x:c>
      <x:c r="E38" s="75" t="str">
        <x:f>IF(A38="","",D38-C38)</x:f>
      </x:c>
      <x:c r="F38" s="88" t="str">
        <x:f>IF(A38="","",IF(C38=0,IF(D38=0,0,1),ABS(E38)/ABS(C38)))</x:f>
      </x:c>
      <x:c r="G38" s="73" t="str">
        <x:f>IF(A38="","",IF(AND(C38=0,D38&lt;&gt;0),"신규",IF(AND(C38&lt;&gt;0,D38=0),"소멸",IF(E38=0,"변동없음","금액변동"))))</x:f>
      </x:c>
      <x:c r="H38" s="73" t="str">
        <x:f>IF(A38="","",IF(AND(ABS(E38)&gt;='기준설정'!$B$6,OR(G38="신규",G38="소멸",F38&gt;='기준설정'!$B$5)),"원인분석 대상","일반"))</x:f>
      </x:c>
      <x:c r="I38" s="73" t="str">
        <x:f>IF(A38="","",IF(H38="원인분석 대상","세부원인분석 시트에서 거래별 원인을 검토","-"))</x:f>
      </x:c>
      <x:c r="J38" s="73" t="str">
        <x:f>IF(A38="","",COUNTIFS('전기원장'!$A$5:$A$1004,A38,'전기원장'!$J$5:$J$1004,"확인 필요")+COUNTIFS('당기원장'!$A$5:$A$1004,A38,'당기원장'!$J$5:$J$1004,"확인 필요"))</x:f>
      </x:c>
      <x:c r="K38" s="85" t="str">
        <x:f>IF(A38="","",IF(H38&lt;&gt;"원인분석 대상","",IF(J38&gt;0,"붙임 문서 확인 후 원인 확정 필요","결의서명 기반 원인분류 검토")))</x:f>
      </x:c>
    </x:row>
    <x:row r="39">
      <x:c r="A39" s="73" t="str">
        <x:f>IFERROR(INDEX('계산도우미'!$B$5:$B$2004,MATCH(ROWS($A$5:A39),'계산도우미'!$K$5:$K$2004,0)),"")</x:f>
      </x:c>
      <x:c r="B39" s="73" t="str">
        <x:f>IF(A39="","",IFERROR(INDEX('당기원장'!$B$5:$B$1004,MATCH(A39,'당기원장'!$A$5:$A$1004,0)),IFERROR(INDEX('전기원장'!$B$5:$B$1004,MATCH(A39,'전기원장'!$A$5:$A$1004,0)),"")))</x:f>
      </x:c>
      <x:c r="C39" s="75" t="str">
        <x:f>IF(A39="","",SUMIF('전기원장'!$A$5:$A$1004,A39,'전기원장'!$H$5:$H$1004))</x:f>
      </x:c>
      <x:c r="D39" s="75" t="str">
        <x:f>IF(A39="","",SUMIF('당기원장'!$A$5:$A$1004,A39,'당기원장'!$H$5:$H$1004))</x:f>
      </x:c>
      <x:c r="E39" s="75" t="str">
        <x:f>IF(A39="","",D39-C39)</x:f>
      </x:c>
      <x:c r="F39" s="88" t="str">
        <x:f>IF(A39="","",IF(C39=0,IF(D39=0,0,1),ABS(E39)/ABS(C39)))</x:f>
      </x:c>
      <x:c r="G39" s="73" t="str">
        <x:f>IF(A39="","",IF(AND(C39=0,D39&lt;&gt;0),"신규",IF(AND(C39&lt;&gt;0,D39=0),"소멸",IF(E39=0,"변동없음","금액변동"))))</x:f>
      </x:c>
      <x:c r="H39" s="73" t="str">
        <x:f>IF(A39="","",IF(AND(ABS(E39)&gt;='기준설정'!$B$6,OR(G39="신규",G39="소멸",F39&gt;='기준설정'!$B$5)),"원인분석 대상","일반"))</x:f>
      </x:c>
      <x:c r="I39" s="73" t="str">
        <x:f>IF(A39="","",IF(H39="원인분석 대상","세부원인분석 시트에서 거래별 원인을 검토","-"))</x:f>
      </x:c>
      <x:c r="J39" s="73" t="str">
        <x:f>IF(A39="","",COUNTIFS('전기원장'!$A$5:$A$1004,A39,'전기원장'!$J$5:$J$1004,"확인 필요")+COUNTIFS('당기원장'!$A$5:$A$1004,A39,'당기원장'!$J$5:$J$1004,"확인 필요"))</x:f>
      </x:c>
      <x:c r="K39" s="85" t="str">
        <x:f>IF(A39="","",IF(H39&lt;&gt;"원인분석 대상","",IF(J39&gt;0,"붙임 문서 확인 후 원인 확정 필요","결의서명 기반 원인분류 검토")))</x:f>
      </x:c>
    </x:row>
    <x:row r="40">
      <x:c r="A40" s="73" t="str">
        <x:f>IFERROR(INDEX('계산도우미'!$B$5:$B$2004,MATCH(ROWS($A$5:A40),'계산도우미'!$K$5:$K$2004,0)),"")</x:f>
      </x:c>
      <x:c r="B40" s="73" t="str">
        <x:f>IF(A40="","",IFERROR(INDEX('당기원장'!$B$5:$B$1004,MATCH(A40,'당기원장'!$A$5:$A$1004,0)),IFERROR(INDEX('전기원장'!$B$5:$B$1004,MATCH(A40,'전기원장'!$A$5:$A$1004,0)),"")))</x:f>
      </x:c>
      <x:c r="C40" s="75" t="str">
        <x:f>IF(A40="","",SUMIF('전기원장'!$A$5:$A$1004,A40,'전기원장'!$H$5:$H$1004))</x:f>
      </x:c>
      <x:c r="D40" s="75" t="str">
        <x:f>IF(A40="","",SUMIF('당기원장'!$A$5:$A$1004,A40,'당기원장'!$H$5:$H$1004))</x:f>
      </x:c>
      <x:c r="E40" s="75" t="str">
        <x:f>IF(A40="","",D40-C40)</x:f>
      </x:c>
      <x:c r="F40" s="88" t="str">
        <x:f>IF(A40="","",IF(C40=0,IF(D40=0,0,1),ABS(E40)/ABS(C40)))</x:f>
      </x:c>
      <x:c r="G40" s="73" t="str">
        <x:f>IF(A40="","",IF(AND(C40=0,D40&lt;&gt;0),"신규",IF(AND(C40&lt;&gt;0,D40=0),"소멸",IF(E40=0,"변동없음","금액변동"))))</x:f>
      </x:c>
      <x:c r="H40" s="73" t="str">
        <x:f>IF(A40="","",IF(AND(ABS(E40)&gt;='기준설정'!$B$6,OR(G40="신규",G40="소멸",F40&gt;='기준설정'!$B$5)),"원인분석 대상","일반"))</x:f>
      </x:c>
      <x:c r="I40" s="73" t="str">
        <x:f>IF(A40="","",IF(H40="원인분석 대상","세부원인분석 시트에서 거래별 원인을 검토","-"))</x:f>
      </x:c>
      <x:c r="J40" s="73" t="str">
        <x:f>IF(A40="","",COUNTIFS('전기원장'!$A$5:$A$1004,A40,'전기원장'!$J$5:$J$1004,"확인 필요")+COUNTIFS('당기원장'!$A$5:$A$1004,A40,'당기원장'!$J$5:$J$1004,"확인 필요"))</x:f>
      </x:c>
      <x:c r="K40" s="85" t="str">
        <x:f>IF(A40="","",IF(H40&lt;&gt;"원인분석 대상","",IF(J40&gt;0,"붙임 문서 확인 후 원인 확정 필요","결의서명 기반 원인분류 검토")))</x:f>
      </x:c>
    </x:row>
    <x:row r="41">
      <x:c r="A41" s="73" t="str">
        <x:f>IFERROR(INDEX('계산도우미'!$B$5:$B$2004,MATCH(ROWS($A$5:A41),'계산도우미'!$K$5:$K$2004,0)),"")</x:f>
      </x:c>
      <x:c r="B41" s="73" t="str">
        <x:f>IF(A41="","",IFERROR(INDEX('당기원장'!$B$5:$B$1004,MATCH(A41,'당기원장'!$A$5:$A$1004,0)),IFERROR(INDEX('전기원장'!$B$5:$B$1004,MATCH(A41,'전기원장'!$A$5:$A$1004,0)),"")))</x:f>
      </x:c>
      <x:c r="C41" s="75" t="str">
        <x:f>IF(A41="","",SUMIF('전기원장'!$A$5:$A$1004,A41,'전기원장'!$H$5:$H$1004))</x:f>
      </x:c>
      <x:c r="D41" s="75" t="str">
        <x:f>IF(A41="","",SUMIF('당기원장'!$A$5:$A$1004,A41,'당기원장'!$H$5:$H$1004))</x:f>
      </x:c>
      <x:c r="E41" s="75" t="str">
        <x:f>IF(A41="","",D41-C41)</x:f>
      </x:c>
      <x:c r="F41" s="88" t="str">
        <x:f>IF(A41="","",IF(C41=0,IF(D41=0,0,1),ABS(E41)/ABS(C41)))</x:f>
      </x:c>
      <x:c r="G41" s="73" t="str">
        <x:f>IF(A41="","",IF(AND(C41=0,D41&lt;&gt;0),"신규",IF(AND(C41&lt;&gt;0,D41=0),"소멸",IF(E41=0,"변동없음","금액변동"))))</x:f>
      </x:c>
      <x:c r="H41" s="73" t="str">
        <x:f>IF(A41="","",IF(AND(ABS(E41)&gt;='기준설정'!$B$6,OR(G41="신규",G41="소멸",F41&gt;='기준설정'!$B$5)),"원인분석 대상","일반"))</x:f>
      </x:c>
      <x:c r="I41" s="73" t="str">
        <x:f>IF(A41="","",IF(H41="원인분석 대상","세부원인분석 시트에서 거래별 원인을 검토","-"))</x:f>
      </x:c>
      <x:c r="J41" s="73" t="str">
        <x:f>IF(A41="","",COUNTIFS('전기원장'!$A$5:$A$1004,A41,'전기원장'!$J$5:$J$1004,"확인 필요")+COUNTIFS('당기원장'!$A$5:$A$1004,A41,'당기원장'!$J$5:$J$1004,"확인 필요"))</x:f>
      </x:c>
      <x:c r="K41" s="85" t="str">
        <x:f>IF(A41="","",IF(H41&lt;&gt;"원인분석 대상","",IF(J41&gt;0,"붙임 문서 확인 후 원인 확정 필요","결의서명 기반 원인분류 검토")))</x:f>
      </x:c>
    </x:row>
    <x:row r="42">
      <x:c r="A42" s="73" t="str">
        <x:f>IFERROR(INDEX('계산도우미'!$B$5:$B$2004,MATCH(ROWS($A$5:A42),'계산도우미'!$K$5:$K$2004,0)),"")</x:f>
      </x:c>
      <x:c r="B42" s="73" t="str">
        <x:f>IF(A42="","",IFERROR(INDEX('당기원장'!$B$5:$B$1004,MATCH(A42,'당기원장'!$A$5:$A$1004,0)),IFERROR(INDEX('전기원장'!$B$5:$B$1004,MATCH(A42,'전기원장'!$A$5:$A$1004,0)),"")))</x:f>
      </x:c>
      <x:c r="C42" s="75" t="str">
        <x:f>IF(A42="","",SUMIF('전기원장'!$A$5:$A$1004,A42,'전기원장'!$H$5:$H$1004))</x:f>
      </x:c>
      <x:c r="D42" s="75" t="str">
        <x:f>IF(A42="","",SUMIF('당기원장'!$A$5:$A$1004,A42,'당기원장'!$H$5:$H$1004))</x:f>
      </x:c>
      <x:c r="E42" s="75" t="str">
        <x:f>IF(A42="","",D42-C42)</x:f>
      </x:c>
      <x:c r="F42" s="88" t="str">
        <x:f>IF(A42="","",IF(C42=0,IF(D42=0,0,1),ABS(E42)/ABS(C42)))</x:f>
      </x:c>
      <x:c r="G42" s="73" t="str">
        <x:f>IF(A42="","",IF(AND(C42=0,D42&lt;&gt;0),"신규",IF(AND(C42&lt;&gt;0,D42=0),"소멸",IF(E42=0,"변동없음","금액변동"))))</x:f>
      </x:c>
      <x:c r="H42" s="73" t="str">
        <x:f>IF(A42="","",IF(AND(ABS(E42)&gt;='기준설정'!$B$6,OR(G42="신규",G42="소멸",F42&gt;='기준설정'!$B$5)),"원인분석 대상","일반"))</x:f>
      </x:c>
      <x:c r="I42" s="73" t="str">
        <x:f>IF(A42="","",IF(H42="원인분석 대상","세부원인분석 시트에서 거래별 원인을 검토","-"))</x:f>
      </x:c>
      <x:c r="J42" s="73" t="str">
        <x:f>IF(A42="","",COUNTIFS('전기원장'!$A$5:$A$1004,A42,'전기원장'!$J$5:$J$1004,"확인 필요")+COUNTIFS('당기원장'!$A$5:$A$1004,A42,'당기원장'!$J$5:$J$1004,"확인 필요"))</x:f>
      </x:c>
      <x:c r="K42" s="85" t="str">
        <x:f>IF(A42="","",IF(H42&lt;&gt;"원인분석 대상","",IF(J42&gt;0,"붙임 문서 확인 후 원인 확정 필요","결의서명 기반 원인분류 검토")))</x:f>
      </x:c>
    </x:row>
    <x:row r="43">
      <x:c r="A43" s="73" t="str">
        <x:f>IFERROR(INDEX('계산도우미'!$B$5:$B$2004,MATCH(ROWS($A$5:A43),'계산도우미'!$K$5:$K$2004,0)),"")</x:f>
      </x:c>
      <x:c r="B43" s="73" t="str">
        <x:f>IF(A43="","",IFERROR(INDEX('당기원장'!$B$5:$B$1004,MATCH(A43,'당기원장'!$A$5:$A$1004,0)),IFERROR(INDEX('전기원장'!$B$5:$B$1004,MATCH(A43,'전기원장'!$A$5:$A$1004,0)),"")))</x:f>
      </x:c>
      <x:c r="C43" s="75" t="str">
        <x:f>IF(A43="","",SUMIF('전기원장'!$A$5:$A$1004,A43,'전기원장'!$H$5:$H$1004))</x:f>
      </x:c>
      <x:c r="D43" s="75" t="str">
        <x:f>IF(A43="","",SUMIF('당기원장'!$A$5:$A$1004,A43,'당기원장'!$H$5:$H$1004))</x:f>
      </x:c>
      <x:c r="E43" s="75" t="str">
        <x:f>IF(A43="","",D43-C43)</x:f>
      </x:c>
      <x:c r="F43" s="88" t="str">
        <x:f>IF(A43="","",IF(C43=0,IF(D43=0,0,1),ABS(E43)/ABS(C43)))</x:f>
      </x:c>
      <x:c r="G43" s="73" t="str">
        <x:f>IF(A43="","",IF(AND(C43=0,D43&lt;&gt;0),"신규",IF(AND(C43&lt;&gt;0,D43=0),"소멸",IF(E43=0,"변동없음","금액변동"))))</x:f>
      </x:c>
      <x:c r="H43" s="73" t="str">
        <x:f>IF(A43="","",IF(AND(ABS(E43)&gt;='기준설정'!$B$6,OR(G43="신규",G43="소멸",F43&gt;='기준설정'!$B$5)),"원인분석 대상","일반"))</x:f>
      </x:c>
      <x:c r="I43" s="73" t="str">
        <x:f>IF(A43="","",IF(H43="원인분석 대상","세부원인분석 시트에서 거래별 원인을 검토","-"))</x:f>
      </x:c>
      <x:c r="J43" s="73" t="str">
        <x:f>IF(A43="","",COUNTIFS('전기원장'!$A$5:$A$1004,A43,'전기원장'!$J$5:$J$1004,"확인 필요")+COUNTIFS('당기원장'!$A$5:$A$1004,A43,'당기원장'!$J$5:$J$1004,"확인 필요"))</x:f>
      </x:c>
      <x:c r="K43" s="85" t="str">
        <x:f>IF(A43="","",IF(H43&lt;&gt;"원인분석 대상","",IF(J43&gt;0,"붙임 문서 확인 후 원인 확정 필요","결의서명 기반 원인분류 검토")))</x:f>
      </x:c>
    </x:row>
    <x:row r="44">
      <x:c r="A44" s="73" t="str">
        <x:f>IFERROR(INDEX('계산도우미'!$B$5:$B$2004,MATCH(ROWS($A$5:A44),'계산도우미'!$K$5:$K$2004,0)),"")</x:f>
      </x:c>
      <x:c r="B44" s="73" t="str">
        <x:f>IF(A44="","",IFERROR(INDEX('당기원장'!$B$5:$B$1004,MATCH(A44,'당기원장'!$A$5:$A$1004,0)),IFERROR(INDEX('전기원장'!$B$5:$B$1004,MATCH(A44,'전기원장'!$A$5:$A$1004,0)),"")))</x:f>
      </x:c>
      <x:c r="C44" s="75" t="str">
        <x:f>IF(A44="","",SUMIF('전기원장'!$A$5:$A$1004,A44,'전기원장'!$H$5:$H$1004))</x:f>
      </x:c>
      <x:c r="D44" s="75" t="str">
        <x:f>IF(A44="","",SUMIF('당기원장'!$A$5:$A$1004,A44,'당기원장'!$H$5:$H$1004))</x:f>
      </x:c>
      <x:c r="E44" s="75" t="str">
        <x:f>IF(A44="","",D44-C44)</x:f>
      </x:c>
      <x:c r="F44" s="88" t="str">
        <x:f>IF(A44="","",IF(C44=0,IF(D44=0,0,1),ABS(E44)/ABS(C44)))</x:f>
      </x:c>
      <x:c r="G44" s="73" t="str">
        <x:f>IF(A44="","",IF(AND(C44=0,D44&lt;&gt;0),"신규",IF(AND(C44&lt;&gt;0,D44=0),"소멸",IF(E44=0,"변동없음","금액변동"))))</x:f>
      </x:c>
      <x:c r="H44" s="73" t="str">
        <x:f>IF(A44="","",IF(AND(ABS(E44)&gt;='기준설정'!$B$6,OR(G44="신규",G44="소멸",F44&gt;='기준설정'!$B$5)),"원인분석 대상","일반"))</x:f>
      </x:c>
      <x:c r="I44" s="73" t="str">
        <x:f>IF(A44="","",IF(H44="원인분석 대상","세부원인분석 시트에서 거래별 원인을 검토","-"))</x:f>
      </x:c>
      <x:c r="J44" s="73" t="str">
        <x:f>IF(A44="","",COUNTIFS('전기원장'!$A$5:$A$1004,A44,'전기원장'!$J$5:$J$1004,"확인 필요")+COUNTIFS('당기원장'!$A$5:$A$1004,A44,'당기원장'!$J$5:$J$1004,"확인 필요"))</x:f>
      </x:c>
      <x:c r="K44" s="85" t="str">
        <x:f>IF(A44="","",IF(H44&lt;&gt;"원인분석 대상","",IF(J44&gt;0,"붙임 문서 확인 후 원인 확정 필요","결의서명 기반 원인분류 검토")))</x:f>
      </x:c>
    </x:row>
    <x:row r="45">
      <x:c r="A45" s="73" t="str">
        <x:f>IFERROR(INDEX('계산도우미'!$B$5:$B$2004,MATCH(ROWS($A$5:A45),'계산도우미'!$K$5:$K$2004,0)),"")</x:f>
      </x:c>
      <x:c r="B45" s="73" t="str">
        <x:f>IF(A45="","",IFERROR(INDEX('당기원장'!$B$5:$B$1004,MATCH(A45,'당기원장'!$A$5:$A$1004,0)),IFERROR(INDEX('전기원장'!$B$5:$B$1004,MATCH(A45,'전기원장'!$A$5:$A$1004,0)),"")))</x:f>
      </x:c>
      <x:c r="C45" s="75" t="str">
        <x:f>IF(A45="","",SUMIF('전기원장'!$A$5:$A$1004,A45,'전기원장'!$H$5:$H$1004))</x:f>
      </x:c>
      <x:c r="D45" s="75" t="str">
        <x:f>IF(A45="","",SUMIF('당기원장'!$A$5:$A$1004,A45,'당기원장'!$H$5:$H$1004))</x:f>
      </x:c>
      <x:c r="E45" s="75" t="str">
        <x:f>IF(A45="","",D45-C45)</x:f>
      </x:c>
      <x:c r="F45" s="88" t="str">
        <x:f>IF(A45="","",IF(C45=0,IF(D45=0,0,1),ABS(E45)/ABS(C45)))</x:f>
      </x:c>
      <x:c r="G45" s="73" t="str">
        <x:f>IF(A45="","",IF(AND(C45=0,D45&lt;&gt;0),"신규",IF(AND(C45&lt;&gt;0,D45=0),"소멸",IF(E45=0,"변동없음","금액변동"))))</x:f>
      </x:c>
      <x:c r="H45" s="73" t="str">
        <x:f>IF(A45="","",IF(AND(ABS(E45)&gt;='기준설정'!$B$6,OR(G45="신규",G45="소멸",F45&gt;='기준설정'!$B$5)),"원인분석 대상","일반"))</x:f>
      </x:c>
      <x:c r="I45" s="73" t="str">
        <x:f>IF(A45="","",IF(H45="원인분석 대상","세부원인분석 시트에서 거래별 원인을 검토","-"))</x:f>
      </x:c>
      <x:c r="J45" s="73" t="str">
        <x:f>IF(A45="","",COUNTIFS('전기원장'!$A$5:$A$1004,A45,'전기원장'!$J$5:$J$1004,"확인 필요")+COUNTIFS('당기원장'!$A$5:$A$1004,A45,'당기원장'!$J$5:$J$1004,"확인 필요"))</x:f>
      </x:c>
      <x:c r="K45" s="85" t="str">
        <x:f>IF(A45="","",IF(H45&lt;&gt;"원인분석 대상","",IF(J45&gt;0,"붙임 문서 확인 후 원인 확정 필요","결의서명 기반 원인분류 검토")))</x:f>
      </x:c>
    </x:row>
    <x:row r="46">
      <x:c r="A46" s="73" t="str">
        <x:f>IFERROR(INDEX('계산도우미'!$B$5:$B$2004,MATCH(ROWS($A$5:A46),'계산도우미'!$K$5:$K$2004,0)),"")</x:f>
      </x:c>
      <x:c r="B46" s="73" t="str">
        <x:f>IF(A46="","",IFERROR(INDEX('당기원장'!$B$5:$B$1004,MATCH(A46,'당기원장'!$A$5:$A$1004,0)),IFERROR(INDEX('전기원장'!$B$5:$B$1004,MATCH(A46,'전기원장'!$A$5:$A$1004,0)),"")))</x:f>
      </x:c>
      <x:c r="C46" s="75" t="str">
        <x:f>IF(A46="","",SUMIF('전기원장'!$A$5:$A$1004,A46,'전기원장'!$H$5:$H$1004))</x:f>
      </x:c>
      <x:c r="D46" s="75" t="str">
        <x:f>IF(A46="","",SUMIF('당기원장'!$A$5:$A$1004,A46,'당기원장'!$H$5:$H$1004))</x:f>
      </x:c>
      <x:c r="E46" s="75" t="str">
        <x:f>IF(A46="","",D46-C46)</x:f>
      </x:c>
      <x:c r="F46" s="88" t="str">
        <x:f>IF(A46="","",IF(C46=0,IF(D46=0,0,1),ABS(E46)/ABS(C46)))</x:f>
      </x:c>
      <x:c r="G46" s="73" t="str">
        <x:f>IF(A46="","",IF(AND(C46=0,D46&lt;&gt;0),"신규",IF(AND(C46&lt;&gt;0,D46=0),"소멸",IF(E46=0,"변동없음","금액변동"))))</x:f>
      </x:c>
      <x:c r="H46" s="73" t="str">
        <x:f>IF(A46="","",IF(AND(ABS(E46)&gt;='기준설정'!$B$6,OR(G46="신규",G46="소멸",F46&gt;='기준설정'!$B$5)),"원인분석 대상","일반"))</x:f>
      </x:c>
      <x:c r="I46" s="73" t="str">
        <x:f>IF(A46="","",IF(H46="원인분석 대상","세부원인분석 시트에서 거래별 원인을 검토","-"))</x:f>
      </x:c>
      <x:c r="J46" s="73" t="str">
        <x:f>IF(A46="","",COUNTIFS('전기원장'!$A$5:$A$1004,A46,'전기원장'!$J$5:$J$1004,"확인 필요")+COUNTIFS('당기원장'!$A$5:$A$1004,A46,'당기원장'!$J$5:$J$1004,"확인 필요"))</x:f>
      </x:c>
      <x:c r="K46" s="85" t="str">
        <x:f>IF(A46="","",IF(H46&lt;&gt;"원인분석 대상","",IF(J46&gt;0,"붙임 문서 확인 후 원인 확정 필요","결의서명 기반 원인분류 검토")))</x:f>
      </x:c>
    </x:row>
    <x:row r="47">
      <x:c r="A47" s="73" t="str">
        <x:f>IFERROR(INDEX('계산도우미'!$B$5:$B$2004,MATCH(ROWS($A$5:A47),'계산도우미'!$K$5:$K$2004,0)),"")</x:f>
      </x:c>
      <x:c r="B47" s="73" t="str">
        <x:f>IF(A47="","",IFERROR(INDEX('당기원장'!$B$5:$B$1004,MATCH(A47,'당기원장'!$A$5:$A$1004,0)),IFERROR(INDEX('전기원장'!$B$5:$B$1004,MATCH(A47,'전기원장'!$A$5:$A$1004,0)),"")))</x:f>
      </x:c>
      <x:c r="C47" s="75" t="str">
        <x:f>IF(A47="","",SUMIF('전기원장'!$A$5:$A$1004,A47,'전기원장'!$H$5:$H$1004))</x:f>
      </x:c>
      <x:c r="D47" s="75" t="str">
        <x:f>IF(A47="","",SUMIF('당기원장'!$A$5:$A$1004,A47,'당기원장'!$H$5:$H$1004))</x:f>
      </x:c>
      <x:c r="E47" s="75" t="str">
        <x:f>IF(A47="","",D47-C47)</x:f>
      </x:c>
      <x:c r="F47" s="88" t="str">
        <x:f>IF(A47="","",IF(C47=0,IF(D47=0,0,1),ABS(E47)/ABS(C47)))</x:f>
      </x:c>
      <x:c r="G47" s="73" t="str">
        <x:f>IF(A47="","",IF(AND(C47=0,D47&lt;&gt;0),"신규",IF(AND(C47&lt;&gt;0,D47=0),"소멸",IF(E47=0,"변동없음","금액변동"))))</x:f>
      </x:c>
      <x:c r="H47" s="73" t="str">
        <x:f>IF(A47="","",IF(AND(ABS(E47)&gt;='기준설정'!$B$6,OR(G47="신규",G47="소멸",F47&gt;='기준설정'!$B$5)),"원인분석 대상","일반"))</x:f>
      </x:c>
      <x:c r="I47" s="73" t="str">
        <x:f>IF(A47="","",IF(H47="원인분석 대상","세부원인분석 시트에서 거래별 원인을 검토","-"))</x:f>
      </x:c>
      <x:c r="J47" s="73" t="str">
        <x:f>IF(A47="","",COUNTIFS('전기원장'!$A$5:$A$1004,A47,'전기원장'!$J$5:$J$1004,"확인 필요")+COUNTIFS('당기원장'!$A$5:$A$1004,A47,'당기원장'!$J$5:$J$1004,"확인 필요"))</x:f>
      </x:c>
      <x:c r="K47" s="85" t="str">
        <x:f>IF(A47="","",IF(H47&lt;&gt;"원인분석 대상","",IF(J47&gt;0,"붙임 문서 확인 후 원인 확정 필요","결의서명 기반 원인분류 검토")))</x:f>
      </x:c>
    </x:row>
    <x:row r="48">
      <x:c r="A48" s="73" t="str">
        <x:f>IFERROR(INDEX('계산도우미'!$B$5:$B$2004,MATCH(ROWS($A$5:A48),'계산도우미'!$K$5:$K$2004,0)),"")</x:f>
      </x:c>
      <x:c r="B48" s="73" t="str">
        <x:f>IF(A48="","",IFERROR(INDEX('당기원장'!$B$5:$B$1004,MATCH(A48,'당기원장'!$A$5:$A$1004,0)),IFERROR(INDEX('전기원장'!$B$5:$B$1004,MATCH(A48,'전기원장'!$A$5:$A$1004,0)),"")))</x:f>
      </x:c>
      <x:c r="C48" s="75" t="str">
        <x:f>IF(A48="","",SUMIF('전기원장'!$A$5:$A$1004,A48,'전기원장'!$H$5:$H$1004))</x:f>
      </x:c>
      <x:c r="D48" s="75" t="str">
        <x:f>IF(A48="","",SUMIF('당기원장'!$A$5:$A$1004,A48,'당기원장'!$H$5:$H$1004))</x:f>
      </x:c>
      <x:c r="E48" s="75" t="str">
        <x:f>IF(A48="","",D48-C48)</x:f>
      </x:c>
      <x:c r="F48" s="88" t="str">
        <x:f>IF(A48="","",IF(C48=0,IF(D48=0,0,1),ABS(E48)/ABS(C48)))</x:f>
      </x:c>
      <x:c r="G48" s="73" t="str">
        <x:f>IF(A48="","",IF(AND(C48=0,D48&lt;&gt;0),"신규",IF(AND(C48&lt;&gt;0,D48=0),"소멸",IF(E48=0,"변동없음","금액변동"))))</x:f>
      </x:c>
      <x:c r="H48" s="73" t="str">
        <x:f>IF(A48="","",IF(AND(ABS(E48)&gt;='기준설정'!$B$6,OR(G48="신규",G48="소멸",F48&gt;='기준설정'!$B$5)),"원인분석 대상","일반"))</x:f>
      </x:c>
      <x:c r="I48" s="73" t="str">
        <x:f>IF(A48="","",IF(H48="원인분석 대상","세부원인분석 시트에서 거래별 원인을 검토","-"))</x:f>
      </x:c>
      <x:c r="J48" s="73" t="str">
        <x:f>IF(A48="","",COUNTIFS('전기원장'!$A$5:$A$1004,A48,'전기원장'!$J$5:$J$1004,"확인 필요")+COUNTIFS('당기원장'!$A$5:$A$1004,A48,'당기원장'!$J$5:$J$1004,"확인 필요"))</x:f>
      </x:c>
      <x:c r="K48" s="85" t="str">
        <x:f>IF(A48="","",IF(H48&lt;&gt;"원인분석 대상","",IF(J48&gt;0,"붙임 문서 확인 후 원인 확정 필요","결의서명 기반 원인분류 검토")))</x:f>
      </x:c>
    </x:row>
    <x:row r="49">
      <x:c r="A49" s="73" t="str">
        <x:f>IFERROR(INDEX('계산도우미'!$B$5:$B$2004,MATCH(ROWS($A$5:A49),'계산도우미'!$K$5:$K$2004,0)),"")</x:f>
      </x:c>
      <x:c r="B49" s="73" t="str">
        <x:f>IF(A49="","",IFERROR(INDEX('당기원장'!$B$5:$B$1004,MATCH(A49,'당기원장'!$A$5:$A$1004,0)),IFERROR(INDEX('전기원장'!$B$5:$B$1004,MATCH(A49,'전기원장'!$A$5:$A$1004,0)),"")))</x:f>
      </x:c>
      <x:c r="C49" s="75" t="str">
        <x:f>IF(A49="","",SUMIF('전기원장'!$A$5:$A$1004,A49,'전기원장'!$H$5:$H$1004))</x:f>
      </x:c>
      <x:c r="D49" s="75" t="str">
        <x:f>IF(A49="","",SUMIF('당기원장'!$A$5:$A$1004,A49,'당기원장'!$H$5:$H$1004))</x:f>
      </x:c>
      <x:c r="E49" s="75" t="str">
        <x:f>IF(A49="","",D49-C49)</x:f>
      </x:c>
      <x:c r="F49" s="88" t="str">
        <x:f>IF(A49="","",IF(C49=0,IF(D49=0,0,1),ABS(E49)/ABS(C49)))</x:f>
      </x:c>
      <x:c r="G49" s="73" t="str">
        <x:f>IF(A49="","",IF(AND(C49=0,D49&lt;&gt;0),"신규",IF(AND(C49&lt;&gt;0,D49=0),"소멸",IF(E49=0,"변동없음","금액변동"))))</x:f>
      </x:c>
      <x:c r="H49" s="73" t="str">
        <x:f>IF(A49="","",IF(AND(ABS(E49)&gt;='기준설정'!$B$6,OR(G49="신규",G49="소멸",F49&gt;='기준설정'!$B$5)),"원인분석 대상","일반"))</x:f>
      </x:c>
      <x:c r="I49" s="73" t="str">
        <x:f>IF(A49="","",IF(H49="원인분석 대상","세부원인분석 시트에서 거래별 원인을 검토","-"))</x:f>
      </x:c>
      <x:c r="J49" s="73" t="str">
        <x:f>IF(A49="","",COUNTIFS('전기원장'!$A$5:$A$1004,A49,'전기원장'!$J$5:$J$1004,"확인 필요")+COUNTIFS('당기원장'!$A$5:$A$1004,A49,'당기원장'!$J$5:$J$1004,"확인 필요"))</x:f>
      </x:c>
      <x:c r="K49" s="85" t="str">
        <x:f>IF(A49="","",IF(H49&lt;&gt;"원인분석 대상","",IF(J49&gt;0,"붙임 문서 확인 후 원인 확정 필요","결의서명 기반 원인분류 검토")))</x:f>
      </x:c>
    </x:row>
    <x:row r="50">
      <x:c r="A50" s="73" t="str">
        <x:f>IFERROR(INDEX('계산도우미'!$B$5:$B$2004,MATCH(ROWS($A$5:A50),'계산도우미'!$K$5:$K$2004,0)),"")</x:f>
      </x:c>
      <x:c r="B50" s="73" t="str">
        <x:f>IF(A50="","",IFERROR(INDEX('당기원장'!$B$5:$B$1004,MATCH(A50,'당기원장'!$A$5:$A$1004,0)),IFERROR(INDEX('전기원장'!$B$5:$B$1004,MATCH(A50,'전기원장'!$A$5:$A$1004,0)),"")))</x:f>
      </x:c>
      <x:c r="C50" s="75" t="str">
        <x:f>IF(A50="","",SUMIF('전기원장'!$A$5:$A$1004,A50,'전기원장'!$H$5:$H$1004))</x:f>
      </x:c>
      <x:c r="D50" s="75" t="str">
        <x:f>IF(A50="","",SUMIF('당기원장'!$A$5:$A$1004,A50,'당기원장'!$H$5:$H$1004))</x:f>
      </x:c>
      <x:c r="E50" s="75" t="str">
        <x:f>IF(A50="","",D50-C50)</x:f>
      </x:c>
      <x:c r="F50" s="88" t="str">
        <x:f>IF(A50="","",IF(C50=0,IF(D50=0,0,1),ABS(E50)/ABS(C50)))</x:f>
      </x:c>
      <x:c r="G50" s="73" t="str">
        <x:f>IF(A50="","",IF(AND(C50=0,D50&lt;&gt;0),"신규",IF(AND(C50&lt;&gt;0,D50=0),"소멸",IF(E50=0,"변동없음","금액변동"))))</x:f>
      </x:c>
      <x:c r="H50" s="73" t="str">
        <x:f>IF(A50="","",IF(AND(ABS(E50)&gt;='기준설정'!$B$6,OR(G50="신규",G50="소멸",F50&gt;='기준설정'!$B$5)),"원인분석 대상","일반"))</x:f>
      </x:c>
      <x:c r="I50" s="73" t="str">
        <x:f>IF(A50="","",IF(H50="원인분석 대상","세부원인분석 시트에서 거래별 원인을 검토","-"))</x:f>
      </x:c>
      <x:c r="J50" s="73" t="str">
        <x:f>IF(A50="","",COUNTIFS('전기원장'!$A$5:$A$1004,A50,'전기원장'!$J$5:$J$1004,"확인 필요")+COUNTIFS('당기원장'!$A$5:$A$1004,A50,'당기원장'!$J$5:$J$1004,"확인 필요"))</x:f>
      </x:c>
      <x:c r="K50" s="85" t="str">
        <x:f>IF(A50="","",IF(H50&lt;&gt;"원인분석 대상","",IF(J50&gt;0,"붙임 문서 확인 후 원인 확정 필요","결의서명 기반 원인분류 검토")))</x:f>
      </x:c>
    </x:row>
    <x:row r="51">
      <x:c r="A51" s="73" t="str">
        <x:f>IFERROR(INDEX('계산도우미'!$B$5:$B$2004,MATCH(ROWS($A$5:A51),'계산도우미'!$K$5:$K$2004,0)),"")</x:f>
      </x:c>
      <x:c r="B51" s="73" t="str">
        <x:f>IF(A51="","",IFERROR(INDEX('당기원장'!$B$5:$B$1004,MATCH(A51,'당기원장'!$A$5:$A$1004,0)),IFERROR(INDEX('전기원장'!$B$5:$B$1004,MATCH(A51,'전기원장'!$A$5:$A$1004,0)),"")))</x:f>
      </x:c>
      <x:c r="C51" s="75" t="str">
        <x:f>IF(A51="","",SUMIF('전기원장'!$A$5:$A$1004,A51,'전기원장'!$H$5:$H$1004))</x:f>
      </x:c>
      <x:c r="D51" s="75" t="str">
        <x:f>IF(A51="","",SUMIF('당기원장'!$A$5:$A$1004,A51,'당기원장'!$H$5:$H$1004))</x:f>
      </x:c>
      <x:c r="E51" s="75" t="str">
        <x:f>IF(A51="","",D51-C51)</x:f>
      </x:c>
      <x:c r="F51" s="88" t="str">
        <x:f>IF(A51="","",IF(C51=0,IF(D51=0,0,1),ABS(E51)/ABS(C51)))</x:f>
      </x:c>
      <x:c r="G51" s="73" t="str">
        <x:f>IF(A51="","",IF(AND(C51=0,D51&lt;&gt;0),"신규",IF(AND(C51&lt;&gt;0,D51=0),"소멸",IF(E51=0,"변동없음","금액변동"))))</x:f>
      </x:c>
      <x:c r="H51" s="73" t="str">
        <x:f>IF(A51="","",IF(AND(ABS(E51)&gt;='기준설정'!$B$6,OR(G51="신규",G51="소멸",F51&gt;='기준설정'!$B$5)),"원인분석 대상","일반"))</x:f>
      </x:c>
      <x:c r="I51" s="73" t="str">
        <x:f>IF(A51="","",IF(H51="원인분석 대상","세부원인분석 시트에서 거래별 원인을 검토","-"))</x:f>
      </x:c>
      <x:c r="J51" s="73" t="str">
        <x:f>IF(A51="","",COUNTIFS('전기원장'!$A$5:$A$1004,A51,'전기원장'!$J$5:$J$1004,"확인 필요")+COUNTIFS('당기원장'!$A$5:$A$1004,A51,'당기원장'!$J$5:$J$1004,"확인 필요"))</x:f>
      </x:c>
      <x:c r="K51" s="85" t="str">
        <x:f>IF(A51="","",IF(H51&lt;&gt;"원인분석 대상","",IF(J51&gt;0,"붙임 문서 확인 후 원인 확정 필요","결의서명 기반 원인분류 검토")))</x:f>
      </x:c>
    </x:row>
    <x:row r="52">
      <x:c r="A52" s="73" t="str">
        <x:f>IFERROR(INDEX('계산도우미'!$B$5:$B$2004,MATCH(ROWS($A$5:A52),'계산도우미'!$K$5:$K$2004,0)),"")</x:f>
      </x:c>
      <x:c r="B52" s="73" t="str">
        <x:f>IF(A52="","",IFERROR(INDEX('당기원장'!$B$5:$B$1004,MATCH(A52,'당기원장'!$A$5:$A$1004,0)),IFERROR(INDEX('전기원장'!$B$5:$B$1004,MATCH(A52,'전기원장'!$A$5:$A$1004,0)),"")))</x:f>
      </x:c>
      <x:c r="C52" s="75" t="str">
        <x:f>IF(A52="","",SUMIF('전기원장'!$A$5:$A$1004,A52,'전기원장'!$H$5:$H$1004))</x:f>
      </x:c>
      <x:c r="D52" s="75" t="str">
        <x:f>IF(A52="","",SUMIF('당기원장'!$A$5:$A$1004,A52,'당기원장'!$H$5:$H$1004))</x:f>
      </x:c>
      <x:c r="E52" s="75" t="str">
        <x:f>IF(A52="","",D52-C52)</x:f>
      </x:c>
      <x:c r="F52" s="88" t="str">
        <x:f>IF(A52="","",IF(C52=0,IF(D52=0,0,1),ABS(E52)/ABS(C52)))</x:f>
      </x:c>
      <x:c r="G52" s="73" t="str">
        <x:f>IF(A52="","",IF(AND(C52=0,D52&lt;&gt;0),"신규",IF(AND(C52&lt;&gt;0,D52=0),"소멸",IF(E52=0,"변동없음","금액변동"))))</x:f>
      </x:c>
      <x:c r="H52" s="73" t="str">
        <x:f>IF(A52="","",IF(AND(ABS(E52)&gt;='기준설정'!$B$6,OR(G52="신규",G52="소멸",F52&gt;='기준설정'!$B$5)),"원인분석 대상","일반"))</x:f>
      </x:c>
      <x:c r="I52" s="73" t="str">
        <x:f>IF(A52="","",IF(H52="원인분석 대상","세부원인분석 시트에서 거래별 원인을 검토","-"))</x:f>
      </x:c>
      <x:c r="J52" s="73" t="str">
        <x:f>IF(A52="","",COUNTIFS('전기원장'!$A$5:$A$1004,A52,'전기원장'!$J$5:$J$1004,"확인 필요")+COUNTIFS('당기원장'!$A$5:$A$1004,A52,'당기원장'!$J$5:$J$1004,"확인 필요"))</x:f>
      </x:c>
      <x:c r="K52" s="85" t="str">
        <x:f>IF(A52="","",IF(H52&lt;&gt;"원인분석 대상","",IF(J52&gt;0,"붙임 문서 확인 후 원인 확정 필요","결의서명 기반 원인분류 검토")))</x:f>
      </x:c>
    </x:row>
    <x:row r="53">
      <x:c r="A53" s="73" t="str">
        <x:f>IFERROR(INDEX('계산도우미'!$B$5:$B$2004,MATCH(ROWS($A$5:A53),'계산도우미'!$K$5:$K$2004,0)),"")</x:f>
      </x:c>
      <x:c r="B53" s="73" t="str">
        <x:f>IF(A53="","",IFERROR(INDEX('당기원장'!$B$5:$B$1004,MATCH(A53,'당기원장'!$A$5:$A$1004,0)),IFERROR(INDEX('전기원장'!$B$5:$B$1004,MATCH(A53,'전기원장'!$A$5:$A$1004,0)),"")))</x:f>
      </x:c>
      <x:c r="C53" s="75" t="str">
        <x:f>IF(A53="","",SUMIF('전기원장'!$A$5:$A$1004,A53,'전기원장'!$H$5:$H$1004))</x:f>
      </x:c>
      <x:c r="D53" s="75" t="str">
        <x:f>IF(A53="","",SUMIF('당기원장'!$A$5:$A$1004,A53,'당기원장'!$H$5:$H$1004))</x:f>
      </x:c>
      <x:c r="E53" s="75" t="str">
        <x:f>IF(A53="","",D53-C53)</x:f>
      </x:c>
      <x:c r="F53" s="88" t="str">
        <x:f>IF(A53="","",IF(C53=0,IF(D53=0,0,1),ABS(E53)/ABS(C53)))</x:f>
      </x:c>
      <x:c r="G53" s="73" t="str">
        <x:f>IF(A53="","",IF(AND(C53=0,D53&lt;&gt;0),"신규",IF(AND(C53&lt;&gt;0,D53=0),"소멸",IF(E53=0,"변동없음","금액변동"))))</x:f>
      </x:c>
      <x:c r="H53" s="73" t="str">
        <x:f>IF(A53="","",IF(AND(ABS(E53)&gt;='기준설정'!$B$6,OR(G53="신규",G53="소멸",F53&gt;='기준설정'!$B$5)),"원인분석 대상","일반"))</x:f>
      </x:c>
      <x:c r="I53" s="73" t="str">
        <x:f>IF(A53="","",IF(H53="원인분석 대상","세부원인분석 시트에서 거래별 원인을 검토","-"))</x:f>
      </x:c>
      <x:c r="J53" s="73" t="str">
        <x:f>IF(A53="","",COUNTIFS('전기원장'!$A$5:$A$1004,A53,'전기원장'!$J$5:$J$1004,"확인 필요")+COUNTIFS('당기원장'!$A$5:$A$1004,A53,'당기원장'!$J$5:$J$1004,"확인 필요"))</x:f>
      </x:c>
      <x:c r="K53" s="85" t="str">
        <x:f>IF(A53="","",IF(H53&lt;&gt;"원인분석 대상","",IF(J53&gt;0,"붙임 문서 확인 후 원인 확정 필요","결의서명 기반 원인분류 검토")))</x:f>
      </x:c>
    </x:row>
    <x:row r="54">
      <x:c r="A54" s="73" t="str">
        <x:f>IFERROR(INDEX('계산도우미'!$B$5:$B$2004,MATCH(ROWS($A$5:A54),'계산도우미'!$K$5:$K$2004,0)),"")</x:f>
      </x:c>
      <x:c r="B54" s="73" t="str">
        <x:f>IF(A54="","",IFERROR(INDEX('당기원장'!$B$5:$B$1004,MATCH(A54,'당기원장'!$A$5:$A$1004,0)),IFERROR(INDEX('전기원장'!$B$5:$B$1004,MATCH(A54,'전기원장'!$A$5:$A$1004,0)),"")))</x:f>
      </x:c>
      <x:c r="C54" s="75" t="str">
        <x:f>IF(A54="","",SUMIF('전기원장'!$A$5:$A$1004,A54,'전기원장'!$H$5:$H$1004))</x:f>
      </x:c>
      <x:c r="D54" s="75" t="str">
        <x:f>IF(A54="","",SUMIF('당기원장'!$A$5:$A$1004,A54,'당기원장'!$H$5:$H$1004))</x:f>
      </x:c>
      <x:c r="E54" s="75" t="str">
        <x:f>IF(A54="","",D54-C54)</x:f>
      </x:c>
      <x:c r="F54" s="88" t="str">
        <x:f>IF(A54="","",IF(C54=0,IF(D54=0,0,1),ABS(E54)/ABS(C54)))</x:f>
      </x:c>
      <x:c r="G54" s="73" t="str">
        <x:f>IF(A54="","",IF(AND(C54=0,D54&lt;&gt;0),"신규",IF(AND(C54&lt;&gt;0,D54=0),"소멸",IF(E54=0,"변동없음","금액변동"))))</x:f>
      </x:c>
      <x:c r="H54" s="73" t="str">
        <x:f>IF(A54="","",IF(AND(ABS(E54)&gt;='기준설정'!$B$6,OR(G54="신규",G54="소멸",F54&gt;='기준설정'!$B$5)),"원인분석 대상","일반"))</x:f>
      </x:c>
      <x:c r="I54" s="73" t="str">
        <x:f>IF(A54="","",IF(H54="원인분석 대상","세부원인분석 시트에서 거래별 원인을 검토","-"))</x:f>
      </x:c>
      <x:c r="J54" s="73" t="str">
        <x:f>IF(A54="","",COUNTIFS('전기원장'!$A$5:$A$1004,A54,'전기원장'!$J$5:$J$1004,"확인 필요")+COUNTIFS('당기원장'!$A$5:$A$1004,A54,'당기원장'!$J$5:$J$1004,"확인 필요"))</x:f>
      </x:c>
      <x:c r="K54" s="85" t="str">
        <x:f>IF(A54="","",IF(H54&lt;&gt;"원인분석 대상","",IF(J54&gt;0,"붙임 문서 확인 후 원인 확정 필요","결의서명 기반 원인분류 검토")))</x:f>
      </x:c>
    </x:row>
    <x:row r="55">
      <x:c r="A55" s="73" t="str">
        <x:f>IFERROR(INDEX('계산도우미'!$B$5:$B$2004,MATCH(ROWS($A$5:A55),'계산도우미'!$K$5:$K$2004,0)),"")</x:f>
      </x:c>
      <x:c r="B55" s="73" t="str">
        <x:f>IF(A55="","",IFERROR(INDEX('당기원장'!$B$5:$B$1004,MATCH(A55,'당기원장'!$A$5:$A$1004,0)),IFERROR(INDEX('전기원장'!$B$5:$B$1004,MATCH(A55,'전기원장'!$A$5:$A$1004,0)),"")))</x:f>
      </x:c>
      <x:c r="C55" s="75" t="str">
        <x:f>IF(A55="","",SUMIF('전기원장'!$A$5:$A$1004,A55,'전기원장'!$H$5:$H$1004))</x:f>
      </x:c>
      <x:c r="D55" s="75" t="str">
        <x:f>IF(A55="","",SUMIF('당기원장'!$A$5:$A$1004,A55,'당기원장'!$H$5:$H$1004))</x:f>
      </x:c>
      <x:c r="E55" s="75" t="str">
        <x:f>IF(A55="","",D55-C55)</x:f>
      </x:c>
      <x:c r="F55" s="88" t="str">
        <x:f>IF(A55="","",IF(C55=0,IF(D55=0,0,1),ABS(E55)/ABS(C55)))</x:f>
      </x:c>
      <x:c r="G55" s="73" t="str">
        <x:f>IF(A55="","",IF(AND(C55=0,D55&lt;&gt;0),"신규",IF(AND(C55&lt;&gt;0,D55=0),"소멸",IF(E55=0,"변동없음","금액변동"))))</x:f>
      </x:c>
      <x:c r="H55" s="73" t="str">
        <x:f>IF(A55="","",IF(AND(ABS(E55)&gt;='기준설정'!$B$6,OR(G55="신규",G55="소멸",F55&gt;='기준설정'!$B$5)),"원인분석 대상","일반"))</x:f>
      </x:c>
      <x:c r="I55" s="73" t="str">
        <x:f>IF(A55="","",IF(H55="원인분석 대상","세부원인분석 시트에서 거래별 원인을 검토","-"))</x:f>
      </x:c>
      <x:c r="J55" s="73" t="str">
        <x:f>IF(A55="","",COUNTIFS('전기원장'!$A$5:$A$1004,A55,'전기원장'!$J$5:$J$1004,"확인 필요")+COUNTIFS('당기원장'!$A$5:$A$1004,A55,'당기원장'!$J$5:$J$1004,"확인 필요"))</x:f>
      </x:c>
      <x:c r="K55" s="85" t="str">
        <x:f>IF(A55="","",IF(H55&lt;&gt;"원인분석 대상","",IF(J55&gt;0,"붙임 문서 확인 후 원인 확정 필요","결의서명 기반 원인분류 검토")))</x:f>
      </x:c>
    </x:row>
    <x:row r="56">
      <x:c r="A56" s="73" t="str">
        <x:f>IFERROR(INDEX('계산도우미'!$B$5:$B$2004,MATCH(ROWS($A$5:A56),'계산도우미'!$K$5:$K$2004,0)),"")</x:f>
      </x:c>
      <x:c r="B56" s="73" t="str">
        <x:f>IF(A56="","",IFERROR(INDEX('당기원장'!$B$5:$B$1004,MATCH(A56,'당기원장'!$A$5:$A$1004,0)),IFERROR(INDEX('전기원장'!$B$5:$B$1004,MATCH(A56,'전기원장'!$A$5:$A$1004,0)),"")))</x:f>
      </x:c>
      <x:c r="C56" s="75" t="str">
        <x:f>IF(A56="","",SUMIF('전기원장'!$A$5:$A$1004,A56,'전기원장'!$H$5:$H$1004))</x:f>
      </x:c>
      <x:c r="D56" s="75" t="str">
        <x:f>IF(A56="","",SUMIF('당기원장'!$A$5:$A$1004,A56,'당기원장'!$H$5:$H$1004))</x:f>
      </x:c>
      <x:c r="E56" s="75" t="str">
        <x:f>IF(A56="","",D56-C56)</x:f>
      </x:c>
      <x:c r="F56" s="88" t="str">
        <x:f>IF(A56="","",IF(C56=0,IF(D56=0,0,1),ABS(E56)/ABS(C56)))</x:f>
      </x:c>
      <x:c r="G56" s="73" t="str">
        <x:f>IF(A56="","",IF(AND(C56=0,D56&lt;&gt;0),"신규",IF(AND(C56&lt;&gt;0,D56=0),"소멸",IF(E56=0,"변동없음","금액변동"))))</x:f>
      </x:c>
      <x:c r="H56" s="73" t="str">
        <x:f>IF(A56="","",IF(AND(ABS(E56)&gt;='기준설정'!$B$6,OR(G56="신규",G56="소멸",F56&gt;='기준설정'!$B$5)),"원인분석 대상","일반"))</x:f>
      </x:c>
      <x:c r="I56" s="73" t="str">
        <x:f>IF(A56="","",IF(H56="원인분석 대상","세부원인분석 시트에서 거래별 원인을 검토","-"))</x:f>
      </x:c>
      <x:c r="J56" s="73" t="str">
        <x:f>IF(A56="","",COUNTIFS('전기원장'!$A$5:$A$1004,A56,'전기원장'!$J$5:$J$1004,"확인 필요")+COUNTIFS('당기원장'!$A$5:$A$1004,A56,'당기원장'!$J$5:$J$1004,"확인 필요"))</x:f>
      </x:c>
      <x:c r="K56" s="85" t="str">
        <x:f>IF(A56="","",IF(H56&lt;&gt;"원인분석 대상","",IF(J56&gt;0,"붙임 문서 확인 후 원인 확정 필요","결의서명 기반 원인분류 검토")))</x:f>
      </x:c>
    </x:row>
    <x:row r="57">
      <x:c r="A57" s="73" t="str">
        <x:f>IFERROR(INDEX('계산도우미'!$B$5:$B$2004,MATCH(ROWS($A$5:A57),'계산도우미'!$K$5:$K$2004,0)),"")</x:f>
      </x:c>
      <x:c r="B57" s="73" t="str">
        <x:f>IF(A57="","",IFERROR(INDEX('당기원장'!$B$5:$B$1004,MATCH(A57,'당기원장'!$A$5:$A$1004,0)),IFERROR(INDEX('전기원장'!$B$5:$B$1004,MATCH(A57,'전기원장'!$A$5:$A$1004,0)),"")))</x:f>
      </x:c>
      <x:c r="C57" s="75" t="str">
        <x:f>IF(A57="","",SUMIF('전기원장'!$A$5:$A$1004,A57,'전기원장'!$H$5:$H$1004))</x:f>
      </x:c>
      <x:c r="D57" s="75" t="str">
        <x:f>IF(A57="","",SUMIF('당기원장'!$A$5:$A$1004,A57,'당기원장'!$H$5:$H$1004))</x:f>
      </x:c>
      <x:c r="E57" s="75" t="str">
        <x:f>IF(A57="","",D57-C57)</x:f>
      </x:c>
      <x:c r="F57" s="88" t="str">
        <x:f>IF(A57="","",IF(C57=0,IF(D57=0,0,1),ABS(E57)/ABS(C57)))</x:f>
      </x:c>
      <x:c r="G57" s="73" t="str">
        <x:f>IF(A57="","",IF(AND(C57=0,D57&lt;&gt;0),"신규",IF(AND(C57&lt;&gt;0,D57=0),"소멸",IF(E57=0,"변동없음","금액변동"))))</x:f>
      </x:c>
      <x:c r="H57" s="73" t="str">
        <x:f>IF(A57="","",IF(AND(ABS(E57)&gt;='기준설정'!$B$6,OR(G57="신규",G57="소멸",F57&gt;='기준설정'!$B$5)),"원인분석 대상","일반"))</x:f>
      </x:c>
      <x:c r="I57" s="73" t="str">
        <x:f>IF(A57="","",IF(H57="원인분석 대상","세부원인분석 시트에서 거래별 원인을 검토","-"))</x:f>
      </x:c>
      <x:c r="J57" s="73" t="str">
        <x:f>IF(A57="","",COUNTIFS('전기원장'!$A$5:$A$1004,A57,'전기원장'!$J$5:$J$1004,"확인 필요")+COUNTIFS('당기원장'!$A$5:$A$1004,A57,'당기원장'!$J$5:$J$1004,"확인 필요"))</x:f>
      </x:c>
      <x:c r="K57" s="85" t="str">
        <x:f>IF(A57="","",IF(H57&lt;&gt;"원인분석 대상","",IF(J57&gt;0,"붙임 문서 확인 후 원인 확정 필요","결의서명 기반 원인분류 검토")))</x:f>
      </x:c>
    </x:row>
    <x:row r="58">
      <x:c r="A58" s="73" t="str">
        <x:f>IFERROR(INDEX('계산도우미'!$B$5:$B$2004,MATCH(ROWS($A$5:A58),'계산도우미'!$K$5:$K$2004,0)),"")</x:f>
      </x:c>
      <x:c r="B58" s="73" t="str">
        <x:f>IF(A58="","",IFERROR(INDEX('당기원장'!$B$5:$B$1004,MATCH(A58,'당기원장'!$A$5:$A$1004,0)),IFERROR(INDEX('전기원장'!$B$5:$B$1004,MATCH(A58,'전기원장'!$A$5:$A$1004,0)),"")))</x:f>
      </x:c>
      <x:c r="C58" s="75" t="str">
        <x:f>IF(A58="","",SUMIF('전기원장'!$A$5:$A$1004,A58,'전기원장'!$H$5:$H$1004))</x:f>
      </x:c>
      <x:c r="D58" s="75" t="str">
        <x:f>IF(A58="","",SUMIF('당기원장'!$A$5:$A$1004,A58,'당기원장'!$H$5:$H$1004))</x:f>
      </x:c>
      <x:c r="E58" s="75" t="str">
        <x:f>IF(A58="","",D58-C58)</x:f>
      </x:c>
      <x:c r="F58" s="88" t="str">
        <x:f>IF(A58="","",IF(C58=0,IF(D58=0,0,1),ABS(E58)/ABS(C58)))</x:f>
      </x:c>
      <x:c r="G58" s="73" t="str">
        <x:f>IF(A58="","",IF(AND(C58=0,D58&lt;&gt;0),"신규",IF(AND(C58&lt;&gt;0,D58=0),"소멸",IF(E58=0,"변동없음","금액변동"))))</x:f>
      </x:c>
      <x:c r="H58" s="73" t="str">
        <x:f>IF(A58="","",IF(AND(ABS(E58)&gt;='기준설정'!$B$6,OR(G58="신규",G58="소멸",F58&gt;='기준설정'!$B$5)),"원인분석 대상","일반"))</x:f>
      </x:c>
      <x:c r="I58" s="73" t="str">
        <x:f>IF(A58="","",IF(H58="원인분석 대상","세부원인분석 시트에서 거래별 원인을 검토","-"))</x:f>
      </x:c>
      <x:c r="J58" s="73" t="str">
        <x:f>IF(A58="","",COUNTIFS('전기원장'!$A$5:$A$1004,A58,'전기원장'!$J$5:$J$1004,"확인 필요")+COUNTIFS('당기원장'!$A$5:$A$1004,A58,'당기원장'!$J$5:$J$1004,"확인 필요"))</x:f>
      </x:c>
      <x:c r="K58" s="85" t="str">
        <x:f>IF(A58="","",IF(H58&lt;&gt;"원인분석 대상","",IF(J58&gt;0,"붙임 문서 확인 후 원인 확정 필요","결의서명 기반 원인분류 검토")))</x:f>
      </x:c>
    </x:row>
    <x:row r="59">
      <x:c r="A59" s="73" t="str">
        <x:f>IFERROR(INDEX('계산도우미'!$B$5:$B$2004,MATCH(ROWS($A$5:A59),'계산도우미'!$K$5:$K$2004,0)),"")</x:f>
      </x:c>
      <x:c r="B59" s="73" t="str">
        <x:f>IF(A59="","",IFERROR(INDEX('당기원장'!$B$5:$B$1004,MATCH(A59,'당기원장'!$A$5:$A$1004,0)),IFERROR(INDEX('전기원장'!$B$5:$B$1004,MATCH(A59,'전기원장'!$A$5:$A$1004,0)),"")))</x:f>
      </x:c>
      <x:c r="C59" s="75" t="str">
        <x:f>IF(A59="","",SUMIF('전기원장'!$A$5:$A$1004,A59,'전기원장'!$H$5:$H$1004))</x:f>
      </x:c>
      <x:c r="D59" s="75" t="str">
        <x:f>IF(A59="","",SUMIF('당기원장'!$A$5:$A$1004,A59,'당기원장'!$H$5:$H$1004))</x:f>
      </x:c>
      <x:c r="E59" s="75" t="str">
        <x:f>IF(A59="","",D59-C59)</x:f>
      </x:c>
      <x:c r="F59" s="88" t="str">
        <x:f>IF(A59="","",IF(C59=0,IF(D59=0,0,1),ABS(E59)/ABS(C59)))</x:f>
      </x:c>
      <x:c r="G59" s="73" t="str">
        <x:f>IF(A59="","",IF(AND(C59=0,D59&lt;&gt;0),"신규",IF(AND(C59&lt;&gt;0,D59=0),"소멸",IF(E59=0,"변동없음","금액변동"))))</x:f>
      </x:c>
      <x:c r="H59" s="73" t="str">
        <x:f>IF(A59="","",IF(AND(ABS(E59)&gt;='기준설정'!$B$6,OR(G59="신규",G59="소멸",F59&gt;='기준설정'!$B$5)),"원인분석 대상","일반"))</x:f>
      </x:c>
      <x:c r="I59" s="73" t="str">
        <x:f>IF(A59="","",IF(H59="원인분석 대상","세부원인분석 시트에서 거래별 원인을 검토","-"))</x:f>
      </x:c>
      <x:c r="J59" s="73" t="str">
        <x:f>IF(A59="","",COUNTIFS('전기원장'!$A$5:$A$1004,A59,'전기원장'!$J$5:$J$1004,"확인 필요")+COUNTIFS('당기원장'!$A$5:$A$1004,A59,'당기원장'!$J$5:$J$1004,"확인 필요"))</x:f>
      </x:c>
      <x:c r="K59" s="85" t="str">
        <x:f>IF(A59="","",IF(H59&lt;&gt;"원인분석 대상","",IF(J59&gt;0,"붙임 문서 확인 후 원인 확정 필요","결의서명 기반 원인분류 검토")))</x:f>
      </x:c>
    </x:row>
    <x:row r="60">
      <x:c r="A60" s="73" t="str">
        <x:f>IFERROR(INDEX('계산도우미'!$B$5:$B$2004,MATCH(ROWS($A$5:A60),'계산도우미'!$K$5:$K$2004,0)),"")</x:f>
      </x:c>
      <x:c r="B60" s="73" t="str">
        <x:f>IF(A60="","",IFERROR(INDEX('당기원장'!$B$5:$B$1004,MATCH(A60,'당기원장'!$A$5:$A$1004,0)),IFERROR(INDEX('전기원장'!$B$5:$B$1004,MATCH(A60,'전기원장'!$A$5:$A$1004,0)),"")))</x:f>
      </x:c>
      <x:c r="C60" s="75" t="str">
        <x:f>IF(A60="","",SUMIF('전기원장'!$A$5:$A$1004,A60,'전기원장'!$H$5:$H$1004))</x:f>
      </x:c>
      <x:c r="D60" s="75" t="str">
        <x:f>IF(A60="","",SUMIF('당기원장'!$A$5:$A$1004,A60,'당기원장'!$H$5:$H$1004))</x:f>
      </x:c>
      <x:c r="E60" s="75" t="str">
        <x:f>IF(A60="","",D60-C60)</x:f>
      </x:c>
      <x:c r="F60" s="88" t="str">
        <x:f>IF(A60="","",IF(C60=0,IF(D60=0,0,1),ABS(E60)/ABS(C60)))</x:f>
      </x:c>
      <x:c r="G60" s="73" t="str">
        <x:f>IF(A60="","",IF(AND(C60=0,D60&lt;&gt;0),"신규",IF(AND(C60&lt;&gt;0,D60=0),"소멸",IF(E60=0,"변동없음","금액변동"))))</x:f>
      </x:c>
      <x:c r="H60" s="73" t="str">
        <x:f>IF(A60="","",IF(AND(ABS(E60)&gt;='기준설정'!$B$6,OR(G60="신규",G60="소멸",F60&gt;='기준설정'!$B$5)),"원인분석 대상","일반"))</x:f>
      </x:c>
      <x:c r="I60" s="73" t="str">
        <x:f>IF(A60="","",IF(H60="원인분석 대상","세부원인분석 시트에서 거래별 원인을 검토","-"))</x:f>
      </x:c>
      <x:c r="J60" s="73" t="str">
        <x:f>IF(A60="","",COUNTIFS('전기원장'!$A$5:$A$1004,A60,'전기원장'!$J$5:$J$1004,"확인 필요")+COUNTIFS('당기원장'!$A$5:$A$1004,A60,'당기원장'!$J$5:$J$1004,"확인 필요"))</x:f>
      </x:c>
      <x:c r="K60" s="85" t="str">
        <x:f>IF(A60="","",IF(H60&lt;&gt;"원인분석 대상","",IF(J60&gt;0,"붙임 문서 확인 후 원인 확정 필요","결의서명 기반 원인분류 검토")))</x:f>
      </x:c>
    </x:row>
    <x:row r="61">
      <x:c r="A61" s="73" t="str">
        <x:f>IFERROR(INDEX('계산도우미'!$B$5:$B$2004,MATCH(ROWS($A$5:A61),'계산도우미'!$K$5:$K$2004,0)),"")</x:f>
      </x:c>
      <x:c r="B61" s="73" t="str">
        <x:f>IF(A61="","",IFERROR(INDEX('당기원장'!$B$5:$B$1004,MATCH(A61,'당기원장'!$A$5:$A$1004,0)),IFERROR(INDEX('전기원장'!$B$5:$B$1004,MATCH(A61,'전기원장'!$A$5:$A$1004,0)),"")))</x:f>
      </x:c>
      <x:c r="C61" s="75" t="str">
        <x:f>IF(A61="","",SUMIF('전기원장'!$A$5:$A$1004,A61,'전기원장'!$H$5:$H$1004))</x:f>
      </x:c>
      <x:c r="D61" s="75" t="str">
        <x:f>IF(A61="","",SUMIF('당기원장'!$A$5:$A$1004,A61,'당기원장'!$H$5:$H$1004))</x:f>
      </x:c>
      <x:c r="E61" s="75" t="str">
        <x:f>IF(A61="","",D61-C61)</x:f>
      </x:c>
      <x:c r="F61" s="88" t="str">
        <x:f>IF(A61="","",IF(C61=0,IF(D61=0,0,1),ABS(E61)/ABS(C61)))</x:f>
      </x:c>
      <x:c r="G61" s="73" t="str">
        <x:f>IF(A61="","",IF(AND(C61=0,D61&lt;&gt;0),"신규",IF(AND(C61&lt;&gt;0,D61=0),"소멸",IF(E61=0,"변동없음","금액변동"))))</x:f>
      </x:c>
      <x:c r="H61" s="73" t="str">
        <x:f>IF(A61="","",IF(AND(ABS(E61)&gt;='기준설정'!$B$6,OR(G61="신규",G61="소멸",F61&gt;='기준설정'!$B$5)),"원인분석 대상","일반"))</x:f>
      </x:c>
      <x:c r="I61" s="73" t="str">
        <x:f>IF(A61="","",IF(H61="원인분석 대상","세부원인분석 시트에서 거래별 원인을 검토","-"))</x:f>
      </x:c>
      <x:c r="J61" s="73" t="str">
        <x:f>IF(A61="","",COUNTIFS('전기원장'!$A$5:$A$1004,A61,'전기원장'!$J$5:$J$1004,"확인 필요")+COUNTIFS('당기원장'!$A$5:$A$1004,A61,'당기원장'!$J$5:$J$1004,"확인 필요"))</x:f>
      </x:c>
      <x:c r="K61" s="85" t="str">
        <x:f>IF(A61="","",IF(H61&lt;&gt;"원인분석 대상","",IF(J61&gt;0,"붙임 문서 확인 후 원인 확정 필요","결의서명 기반 원인분류 검토")))</x:f>
      </x:c>
    </x:row>
    <x:row r="62">
      <x:c r="A62" s="73" t="str">
        <x:f>IFERROR(INDEX('계산도우미'!$B$5:$B$2004,MATCH(ROWS($A$5:A62),'계산도우미'!$K$5:$K$2004,0)),"")</x:f>
      </x:c>
      <x:c r="B62" s="73" t="str">
        <x:f>IF(A62="","",IFERROR(INDEX('당기원장'!$B$5:$B$1004,MATCH(A62,'당기원장'!$A$5:$A$1004,0)),IFERROR(INDEX('전기원장'!$B$5:$B$1004,MATCH(A62,'전기원장'!$A$5:$A$1004,0)),"")))</x:f>
      </x:c>
      <x:c r="C62" s="75" t="str">
        <x:f>IF(A62="","",SUMIF('전기원장'!$A$5:$A$1004,A62,'전기원장'!$H$5:$H$1004))</x:f>
      </x:c>
      <x:c r="D62" s="75" t="str">
        <x:f>IF(A62="","",SUMIF('당기원장'!$A$5:$A$1004,A62,'당기원장'!$H$5:$H$1004))</x:f>
      </x:c>
      <x:c r="E62" s="75" t="str">
        <x:f>IF(A62="","",D62-C62)</x:f>
      </x:c>
      <x:c r="F62" s="88" t="str">
        <x:f>IF(A62="","",IF(C62=0,IF(D62=0,0,1),ABS(E62)/ABS(C62)))</x:f>
      </x:c>
      <x:c r="G62" s="73" t="str">
        <x:f>IF(A62="","",IF(AND(C62=0,D62&lt;&gt;0),"신규",IF(AND(C62&lt;&gt;0,D62=0),"소멸",IF(E62=0,"변동없음","금액변동"))))</x:f>
      </x:c>
      <x:c r="H62" s="73" t="str">
        <x:f>IF(A62="","",IF(AND(ABS(E62)&gt;='기준설정'!$B$6,OR(G62="신규",G62="소멸",F62&gt;='기준설정'!$B$5)),"원인분석 대상","일반"))</x:f>
      </x:c>
      <x:c r="I62" s="73" t="str">
        <x:f>IF(A62="","",IF(H62="원인분석 대상","세부원인분석 시트에서 거래별 원인을 검토","-"))</x:f>
      </x:c>
      <x:c r="J62" s="73" t="str">
        <x:f>IF(A62="","",COUNTIFS('전기원장'!$A$5:$A$1004,A62,'전기원장'!$J$5:$J$1004,"확인 필요")+COUNTIFS('당기원장'!$A$5:$A$1004,A62,'당기원장'!$J$5:$J$1004,"확인 필요"))</x:f>
      </x:c>
      <x:c r="K62" s="85" t="str">
        <x:f>IF(A62="","",IF(H62&lt;&gt;"원인분석 대상","",IF(J62&gt;0,"붙임 문서 확인 후 원인 확정 필요","결의서명 기반 원인분류 검토")))</x:f>
      </x:c>
    </x:row>
    <x:row r="63">
      <x:c r="A63" s="73" t="str">
        <x:f>IFERROR(INDEX('계산도우미'!$B$5:$B$2004,MATCH(ROWS($A$5:A63),'계산도우미'!$K$5:$K$2004,0)),"")</x:f>
      </x:c>
      <x:c r="B63" s="73" t="str">
        <x:f>IF(A63="","",IFERROR(INDEX('당기원장'!$B$5:$B$1004,MATCH(A63,'당기원장'!$A$5:$A$1004,0)),IFERROR(INDEX('전기원장'!$B$5:$B$1004,MATCH(A63,'전기원장'!$A$5:$A$1004,0)),"")))</x:f>
      </x:c>
      <x:c r="C63" s="75" t="str">
        <x:f>IF(A63="","",SUMIF('전기원장'!$A$5:$A$1004,A63,'전기원장'!$H$5:$H$1004))</x:f>
      </x:c>
      <x:c r="D63" s="75" t="str">
        <x:f>IF(A63="","",SUMIF('당기원장'!$A$5:$A$1004,A63,'당기원장'!$H$5:$H$1004))</x:f>
      </x:c>
      <x:c r="E63" s="75" t="str">
        <x:f>IF(A63="","",D63-C63)</x:f>
      </x:c>
      <x:c r="F63" s="88" t="str">
        <x:f>IF(A63="","",IF(C63=0,IF(D63=0,0,1),ABS(E63)/ABS(C63)))</x:f>
      </x:c>
      <x:c r="G63" s="73" t="str">
        <x:f>IF(A63="","",IF(AND(C63=0,D63&lt;&gt;0),"신규",IF(AND(C63&lt;&gt;0,D63=0),"소멸",IF(E63=0,"변동없음","금액변동"))))</x:f>
      </x:c>
      <x:c r="H63" s="73" t="str">
        <x:f>IF(A63="","",IF(AND(ABS(E63)&gt;='기준설정'!$B$6,OR(G63="신규",G63="소멸",F63&gt;='기준설정'!$B$5)),"원인분석 대상","일반"))</x:f>
      </x:c>
      <x:c r="I63" s="73" t="str">
        <x:f>IF(A63="","",IF(H63="원인분석 대상","세부원인분석 시트에서 거래별 원인을 검토","-"))</x:f>
      </x:c>
      <x:c r="J63" s="73" t="str">
        <x:f>IF(A63="","",COUNTIFS('전기원장'!$A$5:$A$1004,A63,'전기원장'!$J$5:$J$1004,"확인 필요")+COUNTIFS('당기원장'!$A$5:$A$1004,A63,'당기원장'!$J$5:$J$1004,"확인 필요"))</x:f>
      </x:c>
      <x:c r="K63" s="85" t="str">
        <x:f>IF(A63="","",IF(H63&lt;&gt;"원인분석 대상","",IF(J63&gt;0,"붙임 문서 확인 후 원인 확정 필요","결의서명 기반 원인분류 검토")))</x:f>
      </x:c>
    </x:row>
    <x:row r="64">
      <x:c r="A64" s="73" t="str">
        <x:f>IFERROR(INDEX('계산도우미'!$B$5:$B$2004,MATCH(ROWS($A$5:A64),'계산도우미'!$K$5:$K$2004,0)),"")</x:f>
      </x:c>
      <x:c r="B64" s="73" t="str">
        <x:f>IF(A64="","",IFERROR(INDEX('당기원장'!$B$5:$B$1004,MATCH(A64,'당기원장'!$A$5:$A$1004,0)),IFERROR(INDEX('전기원장'!$B$5:$B$1004,MATCH(A64,'전기원장'!$A$5:$A$1004,0)),"")))</x:f>
      </x:c>
      <x:c r="C64" s="75" t="str">
        <x:f>IF(A64="","",SUMIF('전기원장'!$A$5:$A$1004,A64,'전기원장'!$H$5:$H$1004))</x:f>
      </x:c>
      <x:c r="D64" s="75" t="str">
        <x:f>IF(A64="","",SUMIF('당기원장'!$A$5:$A$1004,A64,'당기원장'!$H$5:$H$1004))</x:f>
      </x:c>
      <x:c r="E64" s="75" t="str">
        <x:f>IF(A64="","",D64-C64)</x:f>
      </x:c>
      <x:c r="F64" s="88" t="str">
        <x:f>IF(A64="","",IF(C64=0,IF(D64=0,0,1),ABS(E64)/ABS(C64)))</x:f>
      </x:c>
      <x:c r="G64" s="73" t="str">
        <x:f>IF(A64="","",IF(AND(C64=0,D64&lt;&gt;0),"신규",IF(AND(C64&lt;&gt;0,D64=0),"소멸",IF(E64=0,"변동없음","금액변동"))))</x:f>
      </x:c>
      <x:c r="H64" s="73" t="str">
        <x:f>IF(A64="","",IF(AND(ABS(E64)&gt;='기준설정'!$B$6,OR(G64="신규",G64="소멸",F64&gt;='기준설정'!$B$5)),"원인분석 대상","일반"))</x:f>
      </x:c>
      <x:c r="I64" s="73" t="str">
        <x:f>IF(A64="","",IF(H64="원인분석 대상","세부원인분석 시트에서 거래별 원인을 검토","-"))</x:f>
      </x:c>
      <x:c r="J64" s="73" t="str">
        <x:f>IF(A64="","",COUNTIFS('전기원장'!$A$5:$A$1004,A64,'전기원장'!$J$5:$J$1004,"확인 필요")+COUNTIFS('당기원장'!$A$5:$A$1004,A64,'당기원장'!$J$5:$J$1004,"확인 필요"))</x:f>
      </x:c>
      <x:c r="K64" s="85" t="str">
        <x:f>IF(A64="","",IF(H64&lt;&gt;"원인분석 대상","",IF(J64&gt;0,"붙임 문서 확인 후 원인 확정 필요","결의서명 기반 원인분류 검토")))</x:f>
      </x:c>
    </x:row>
    <x:row r="65">
      <x:c r="A65" s="73" t="str">
        <x:f>IFERROR(INDEX('계산도우미'!$B$5:$B$2004,MATCH(ROWS($A$5:A65),'계산도우미'!$K$5:$K$2004,0)),"")</x:f>
      </x:c>
      <x:c r="B65" s="73" t="str">
        <x:f>IF(A65="","",IFERROR(INDEX('당기원장'!$B$5:$B$1004,MATCH(A65,'당기원장'!$A$5:$A$1004,0)),IFERROR(INDEX('전기원장'!$B$5:$B$1004,MATCH(A65,'전기원장'!$A$5:$A$1004,0)),"")))</x:f>
      </x:c>
      <x:c r="C65" s="75" t="str">
        <x:f>IF(A65="","",SUMIF('전기원장'!$A$5:$A$1004,A65,'전기원장'!$H$5:$H$1004))</x:f>
      </x:c>
      <x:c r="D65" s="75" t="str">
        <x:f>IF(A65="","",SUMIF('당기원장'!$A$5:$A$1004,A65,'당기원장'!$H$5:$H$1004))</x:f>
      </x:c>
      <x:c r="E65" s="75" t="str">
        <x:f>IF(A65="","",D65-C65)</x:f>
      </x:c>
      <x:c r="F65" s="88" t="str">
        <x:f>IF(A65="","",IF(C65=0,IF(D65=0,0,1),ABS(E65)/ABS(C65)))</x:f>
      </x:c>
      <x:c r="G65" s="73" t="str">
        <x:f>IF(A65="","",IF(AND(C65=0,D65&lt;&gt;0),"신규",IF(AND(C65&lt;&gt;0,D65=0),"소멸",IF(E65=0,"변동없음","금액변동"))))</x:f>
      </x:c>
      <x:c r="H65" s="73" t="str">
        <x:f>IF(A65="","",IF(AND(ABS(E65)&gt;='기준설정'!$B$6,OR(G65="신규",G65="소멸",F65&gt;='기준설정'!$B$5)),"원인분석 대상","일반"))</x:f>
      </x:c>
      <x:c r="I65" s="73" t="str">
        <x:f>IF(A65="","",IF(H65="원인분석 대상","세부원인분석 시트에서 거래별 원인을 검토","-"))</x:f>
      </x:c>
      <x:c r="J65" s="73" t="str">
        <x:f>IF(A65="","",COUNTIFS('전기원장'!$A$5:$A$1004,A65,'전기원장'!$J$5:$J$1004,"확인 필요")+COUNTIFS('당기원장'!$A$5:$A$1004,A65,'당기원장'!$J$5:$J$1004,"확인 필요"))</x:f>
      </x:c>
      <x:c r="K65" s="85" t="str">
        <x:f>IF(A65="","",IF(H65&lt;&gt;"원인분석 대상","",IF(J65&gt;0,"붙임 문서 확인 후 원인 확정 필요","결의서명 기반 원인분류 검토")))</x:f>
      </x:c>
    </x:row>
    <x:row r="66">
      <x:c r="A66" s="73" t="str">
        <x:f>IFERROR(INDEX('계산도우미'!$B$5:$B$2004,MATCH(ROWS($A$5:A66),'계산도우미'!$K$5:$K$2004,0)),"")</x:f>
      </x:c>
      <x:c r="B66" s="73" t="str">
        <x:f>IF(A66="","",IFERROR(INDEX('당기원장'!$B$5:$B$1004,MATCH(A66,'당기원장'!$A$5:$A$1004,0)),IFERROR(INDEX('전기원장'!$B$5:$B$1004,MATCH(A66,'전기원장'!$A$5:$A$1004,0)),"")))</x:f>
      </x:c>
      <x:c r="C66" s="75" t="str">
        <x:f>IF(A66="","",SUMIF('전기원장'!$A$5:$A$1004,A66,'전기원장'!$H$5:$H$1004))</x:f>
      </x:c>
      <x:c r="D66" s="75" t="str">
        <x:f>IF(A66="","",SUMIF('당기원장'!$A$5:$A$1004,A66,'당기원장'!$H$5:$H$1004))</x:f>
      </x:c>
      <x:c r="E66" s="75" t="str">
        <x:f>IF(A66="","",D66-C66)</x:f>
      </x:c>
      <x:c r="F66" s="88" t="str">
        <x:f>IF(A66="","",IF(C66=0,IF(D66=0,0,1),ABS(E66)/ABS(C66)))</x:f>
      </x:c>
      <x:c r="G66" s="73" t="str">
        <x:f>IF(A66="","",IF(AND(C66=0,D66&lt;&gt;0),"신규",IF(AND(C66&lt;&gt;0,D66=0),"소멸",IF(E66=0,"변동없음","금액변동"))))</x:f>
      </x:c>
      <x:c r="H66" s="73" t="str">
        <x:f>IF(A66="","",IF(AND(ABS(E66)&gt;='기준설정'!$B$6,OR(G66="신규",G66="소멸",F66&gt;='기준설정'!$B$5)),"원인분석 대상","일반"))</x:f>
      </x:c>
      <x:c r="I66" s="73" t="str">
        <x:f>IF(A66="","",IF(H66="원인분석 대상","세부원인분석 시트에서 거래별 원인을 검토","-"))</x:f>
      </x:c>
      <x:c r="J66" s="73" t="str">
        <x:f>IF(A66="","",COUNTIFS('전기원장'!$A$5:$A$1004,A66,'전기원장'!$J$5:$J$1004,"확인 필요")+COUNTIFS('당기원장'!$A$5:$A$1004,A66,'당기원장'!$J$5:$J$1004,"확인 필요"))</x:f>
      </x:c>
      <x:c r="K66" s="85" t="str">
        <x:f>IF(A66="","",IF(H66&lt;&gt;"원인분석 대상","",IF(J66&gt;0,"붙임 문서 확인 후 원인 확정 필요","결의서명 기반 원인분류 검토")))</x:f>
      </x:c>
    </x:row>
    <x:row r="67">
      <x:c r="A67" s="73" t="str">
        <x:f>IFERROR(INDEX('계산도우미'!$B$5:$B$2004,MATCH(ROWS($A$5:A67),'계산도우미'!$K$5:$K$2004,0)),"")</x:f>
      </x:c>
      <x:c r="B67" s="73" t="str">
        <x:f>IF(A67="","",IFERROR(INDEX('당기원장'!$B$5:$B$1004,MATCH(A67,'당기원장'!$A$5:$A$1004,0)),IFERROR(INDEX('전기원장'!$B$5:$B$1004,MATCH(A67,'전기원장'!$A$5:$A$1004,0)),"")))</x:f>
      </x:c>
      <x:c r="C67" s="75" t="str">
        <x:f>IF(A67="","",SUMIF('전기원장'!$A$5:$A$1004,A67,'전기원장'!$H$5:$H$1004))</x:f>
      </x:c>
      <x:c r="D67" s="75" t="str">
        <x:f>IF(A67="","",SUMIF('당기원장'!$A$5:$A$1004,A67,'당기원장'!$H$5:$H$1004))</x:f>
      </x:c>
      <x:c r="E67" s="75" t="str">
        <x:f>IF(A67="","",D67-C67)</x:f>
      </x:c>
      <x:c r="F67" s="88" t="str">
        <x:f>IF(A67="","",IF(C67=0,IF(D67=0,0,1),ABS(E67)/ABS(C67)))</x:f>
      </x:c>
      <x:c r="G67" s="73" t="str">
        <x:f>IF(A67="","",IF(AND(C67=0,D67&lt;&gt;0),"신규",IF(AND(C67&lt;&gt;0,D67=0),"소멸",IF(E67=0,"변동없음","금액변동"))))</x:f>
      </x:c>
      <x:c r="H67" s="73" t="str">
        <x:f>IF(A67="","",IF(AND(ABS(E67)&gt;='기준설정'!$B$6,OR(G67="신규",G67="소멸",F67&gt;='기준설정'!$B$5)),"원인분석 대상","일반"))</x:f>
      </x:c>
      <x:c r="I67" s="73" t="str">
        <x:f>IF(A67="","",IF(H67="원인분석 대상","세부원인분석 시트에서 거래별 원인을 검토","-"))</x:f>
      </x:c>
      <x:c r="J67" s="73" t="str">
        <x:f>IF(A67="","",COUNTIFS('전기원장'!$A$5:$A$1004,A67,'전기원장'!$J$5:$J$1004,"확인 필요")+COUNTIFS('당기원장'!$A$5:$A$1004,A67,'당기원장'!$J$5:$J$1004,"확인 필요"))</x:f>
      </x:c>
      <x:c r="K67" s="85" t="str">
        <x:f>IF(A67="","",IF(H67&lt;&gt;"원인분석 대상","",IF(J67&gt;0,"붙임 문서 확인 후 원인 확정 필요","결의서명 기반 원인분류 검토")))</x:f>
      </x:c>
    </x:row>
    <x:row r="68">
      <x:c r="A68" s="73" t="str">
        <x:f>IFERROR(INDEX('계산도우미'!$B$5:$B$2004,MATCH(ROWS($A$5:A68),'계산도우미'!$K$5:$K$2004,0)),"")</x:f>
      </x:c>
      <x:c r="B68" s="73" t="str">
        <x:f>IF(A68="","",IFERROR(INDEX('당기원장'!$B$5:$B$1004,MATCH(A68,'당기원장'!$A$5:$A$1004,0)),IFERROR(INDEX('전기원장'!$B$5:$B$1004,MATCH(A68,'전기원장'!$A$5:$A$1004,0)),"")))</x:f>
      </x:c>
      <x:c r="C68" s="75" t="str">
        <x:f>IF(A68="","",SUMIF('전기원장'!$A$5:$A$1004,A68,'전기원장'!$H$5:$H$1004))</x:f>
      </x:c>
      <x:c r="D68" s="75" t="str">
        <x:f>IF(A68="","",SUMIF('당기원장'!$A$5:$A$1004,A68,'당기원장'!$H$5:$H$1004))</x:f>
      </x:c>
      <x:c r="E68" s="75" t="str">
        <x:f>IF(A68="","",D68-C68)</x:f>
      </x:c>
      <x:c r="F68" s="88" t="str">
        <x:f>IF(A68="","",IF(C68=0,IF(D68=0,0,1),ABS(E68)/ABS(C68)))</x:f>
      </x:c>
      <x:c r="G68" s="73" t="str">
        <x:f>IF(A68="","",IF(AND(C68=0,D68&lt;&gt;0),"신규",IF(AND(C68&lt;&gt;0,D68=0),"소멸",IF(E68=0,"변동없음","금액변동"))))</x:f>
      </x:c>
      <x:c r="H68" s="73" t="str">
        <x:f>IF(A68="","",IF(AND(ABS(E68)&gt;='기준설정'!$B$6,OR(G68="신규",G68="소멸",F68&gt;='기준설정'!$B$5)),"원인분석 대상","일반"))</x:f>
      </x:c>
      <x:c r="I68" s="73" t="str">
        <x:f>IF(A68="","",IF(H68="원인분석 대상","세부원인분석 시트에서 거래별 원인을 검토","-"))</x:f>
      </x:c>
      <x:c r="J68" s="73" t="str">
        <x:f>IF(A68="","",COUNTIFS('전기원장'!$A$5:$A$1004,A68,'전기원장'!$J$5:$J$1004,"확인 필요")+COUNTIFS('당기원장'!$A$5:$A$1004,A68,'당기원장'!$J$5:$J$1004,"확인 필요"))</x:f>
      </x:c>
      <x:c r="K68" s="85" t="str">
        <x:f>IF(A68="","",IF(H68&lt;&gt;"원인분석 대상","",IF(J68&gt;0,"붙임 문서 확인 후 원인 확정 필요","결의서명 기반 원인분류 검토")))</x:f>
      </x:c>
    </x:row>
    <x:row r="69">
      <x:c r="A69" s="73" t="str">
        <x:f>IFERROR(INDEX('계산도우미'!$B$5:$B$2004,MATCH(ROWS($A$5:A69),'계산도우미'!$K$5:$K$2004,0)),"")</x:f>
      </x:c>
      <x:c r="B69" s="73" t="str">
        <x:f>IF(A69="","",IFERROR(INDEX('당기원장'!$B$5:$B$1004,MATCH(A69,'당기원장'!$A$5:$A$1004,0)),IFERROR(INDEX('전기원장'!$B$5:$B$1004,MATCH(A69,'전기원장'!$A$5:$A$1004,0)),"")))</x:f>
      </x:c>
      <x:c r="C69" s="75" t="str">
        <x:f>IF(A69="","",SUMIF('전기원장'!$A$5:$A$1004,A69,'전기원장'!$H$5:$H$1004))</x:f>
      </x:c>
      <x:c r="D69" s="75" t="str">
        <x:f>IF(A69="","",SUMIF('당기원장'!$A$5:$A$1004,A69,'당기원장'!$H$5:$H$1004))</x:f>
      </x:c>
      <x:c r="E69" s="75" t="str">
        <x:f>IF(A69="","",D69-C69)</x:f>
      </x:c>
      <x:c r="F69" s="88" t="str">
        <x:f>IF(A69="","",IF(C69=0,IF(D69=0,0,1),ABS(E69)/ABS(C69)))</x:f>
      </x:c>
      <x:c r="G69" s="73" t="str">
        <x:f>IF(A69="","",IF(AND(C69=0,D69&lt;&gt;0),"신규",IF(AND(C69&lt;&gt;0,D69=0),"소멸",IF(E69=0,"변동없음","금액변동"))))</x:f>
      </x:c>
      <x:c r="H69" s="73" t="str">
        <x:f>IF(A69="","",IF(AND(ABS(E69)&gt;='기준설정'!$B$6,OR(G69="신규",G69="소멸",F69&gt;='기준설정'!$B$5)),"원인분석 대상","일반"))</x:f>
      </x:c>
      <x:c r="I69" s="73" t="str">
        <x:f>IF(A69="","",IF(H69="원인분석 대상","세부원인분석 시트에서 거래별 원인을 검토","-"))</x:f>
      </x:c>
      <x:c r="J69" s="73" t="str">
        <x:f>IF(A69="","",COUNTIFS('전기원장'!$A$5:$A$1004,A69,'전기원장'!$J$5:$J$1004,"확인 필요")+COUNTIFS('당기원장'!$A$5:$A$1004,A69,'당기원장'!$J$5:$J$1004,"확인 필요"))</x:f>
      </x:c>
      <x:c r="K69" s="85" t="str">
        <x:f>IF(A69="","",IF(H69&lt;&gt;"원인분석 대상","",IF(J69&gt;0,"붙임 문서 확인 후 원인 확정 필요","결의서명 기반 원인분류 검토")))</x:f>
      </x:c>
    </x:row>
    <x:row r="70">
      <x:c r="A70" s="73" t="str">
        <x:f>IFERROR(INDEX('계산도우미'!$B$5:$B$2004,MATCH(ROWS($A$5:A70),'계산도우미'!$K$5:$K$2004,0)),"")</x:f>
      </x:c>
      <x:c r="B70" s="73" t="str">
        <x:f>IF(A70="","",IFERROR(INDEX('당기원장'!$B$5:$B$1004,MATCH(A70,'당기원장'!$A$5:$A$1004,0)),IFERROR(INDEX('전기원장'!$B$5:$B$1004,MATCH(A70,'전기원장'!$A$5:$A$1004,0)),"")))</x:f>
      </x:c>
      <x:c r="C70" s="75" t="str">
        <x:f>IF(A70="","",SUMIF('전기원장'!$A$5:$A$1004,A70,'전기원장'!$H$5:$H$1004))</x:f>
      </x:c>
      <x:c r="D70" s="75" t="str">
        <x:f>IF(A70="","",SUMIF('당기원장'!$A$5:$A$1004,A70,'당기원장'!$H$5:$H$1004))</x:f>
      </x:c>
      <x:c r="E70" s="75" t="str">
        <x:f>IF(A70="","",D70-C70)</x:f>
      </x:c>
      <x:c r="F70" s="88" t="str">
        <x:f>IF(A70="","",IF(C70=0,IF(D70=0,0,1),ABS(E70)/ABS(C70)))</x:f>
      </x:c>
      <x:c r="G70" s="73" t="str">
        <x:f>IF(A70="","",IF(AND(C70=0,D70&lt;&gt;0),"신규",IF(AND(C70&lt;&gt;0,D70=0),"소멸",IF(E70=0,"변동없음","금액변동"))))</x:f>
      </x:c>
      <x:c r="H70" s="73" t="str">
        <x:f>IF(A70="","",IF(AND(ABS(E70)&gt;='기준설정'!$B$6,OR(G70="신규",G70="소멸",F70&gt;='기준설정'!$B$5)),"원인분석 대상","일반"))</x:f>
      </x:c>
      <x:c r="I70" s="73" t="str">
        <x:f>IF(A70="","",IF(H70="원인분석 대상","세부원인분석 시트에서 거래별 원인을 검토","-"))</x:f>
      </x:c>
      <x:c r="J70" s="73" t="str">
        <x:f>IF(A70="","",COUNTIFS('전기원장'!$A$5:$A$1004,A70,'전기원장'!$J$5:$J$1004,"확인 필요")+COUNTIFS('당기원장'!$A$5:$A$1004,A70,'당기원장'!$J$5:$J$1004,"확인 필요"))</x:f>
      </x:c>
      <x:c r="K70" s="85" t="str">
        <x:f>IF(A70="","",IF(H70&lt;&gt;"원인분석 대상","",IF(J70&gt;0,"붙임 문서 확인 후 원인 확정 필요","결의서명 기반 원인분류 검토")))</x:f>
      </x:c>
    </x:row>
    <x:row r="71">
      <x:c r="A71" s="73" t="str">
        <x:f>IFERROR(INDEX('계산도우미'!$B$5:$B$2004,MATCH(ROWS($A$5:A71),'계산도우미'!$K$5:$K$2004,0)),"")</x:f>
      </x:c>
      <x:c r="B71" s="73" t="str">
        <x:f>IF(A71="","",IFERROR(INDEX('당기원장'!$B$5:$B$1004,MATCH(A71,'당기원장'!$A$5:$A$1004,0)),IFERROR(INDEX('전기원장'!$B$5:$B$1004,MATCH(A71,'전기원장'!$A$5:$A$1004,0)),"")))</x:f>
      </x:c>
      <x:c r="C71" s="75" t="str">
        <x:f>IF(A71="","",SUMIF('전기원장'!$A$5:$A$1004,A71,'전기원장'!$H$5:$H$1004))</x:f>
      </x:c>
      <x:c r="D71" s="75" t="str">
        <x:f>IF(A71="","",SUMIF('당기원장'!$A$5:$A$1004,A71,'당기원장'!$H$5:$H$1004))</x:f>
      </x:c>
      <x:c r="E71" s="75" t="str">
        <x:f>IF(A71="","",D71-C71)</x:f>
      </x:c>
      <x:c r="F71" s="88" t="str">
        <x:f>IF(A71="","",IF(C71=0,IF(D71=0,0,1),ABS(E71)/ABS(C71)))</x:f>
      </x:c>
      <x:c r="G71" s="73" t="str">
        <x:f>IF(A71="","",IF(AND(C71=0,D71&lt;&gt;0),"신규",IF(AND(C71&lt;&gt;0,D71=0),"소멸",IF(E71=0,"변동없음","금액변동"))))</x:f>
      </x:c>
      <x:c r="H71" s="73" t="str">
        <x:f>IF(A71="","",IF(AND(ABS(E71)&gt;='기준설정'!$B$6,OR(G71="신규",G71="소멸",F71&gt;='기준설정'!$B$5)),"원인분석 대상","일반"))</x:f>
      </x:c>
      <x:c r="I71" s="73" t="str">
        <x:f>IF(A71="","",IF(H71="원인분석 대상","세부원인분석 시트에서 거래별 원인을 검토","-"))</x:f>
      </x:c>
      <x:c r="J71" s="73" t="str">
        <x:f>IF(A71="","",COUNTIFS('전기원장'!$A$5:$A$1004,A71,'전기원장'!$J$5:$J$1004,"확인 필요")+COUNTIFS('당기원장'!$A$5:$A$1004,A71,'당기원장'!$J$5:$J$1004,"확인 필요"))</x:f>
      </x:c>
      <x:c r="K71" s="85" t="str">
        <x:f>IF(A71="","",IF(H71&lt;&gt;"원인분석 대상","",IF(J71&gt;0,"붙임 문서 확인 후 원인 확정 필요","결의서명 기반 원인분류 검토")))</x:f>
      </x:c>
    </x:row>
    <x:row r="72">
      <x:c r="A72" s="73" t="str">
        <x:f>IFERROR(INDEX('계산도우미'!$B$5:$B$2004,MATCH(ROWS($A$5:A72),'계산도우미'!$K$5:$K$2004,0)),"")</x:f>
      </x:c>
      <x:c r="B72" s="73" t="str">
        <x:f>IF(A72="","",IFERROR(INDEX('당기원장'!$B$5:$B$1004,MATCH(A72,'당기원장'!$A$5:$A$1004,0)),IFERROR(INDEX('전기원장'!$B$5:$B$1004,MATCH(A72,'전기원장'!$A$5:$A$1004,0)),"")))</x:f>
      </x:c>
      <x:c r="C72" s="75" t="str">
        <x:f>IF(A72="","",SUMIF('전기원장'!$A$5:$A$1004,A72,'전기원장'!$H$5:$H$1004))</x:f>
      </x:c>
      <x:c r="D72" s="75" t="str">
        <x:f>IF(A72="","",SUMIF('당기원장'!$A$5:$A$1004,A72,'당기원장'!$H$5:$H$1004))</x:f>
      </x:c>
      <x:c r="E72" s="75" t="str">
        <x:f>IF(A72="","",D72-C72)</x:f>
      </x:c>
      <x:c r="F72" s="88" t="str">
        <x:f>IF(A72="","",IF(C72=0,IF(D72=0,0,1),ABS(E72)/ABS(C72)))</x:f>
      </x:c>
      <x:c r="G72" s="73" t="str">
        <x:f>IF(A72="","",IF(AND(C72=0,D72&lt;&gt;0),"신규",IF(AND(C72&lt;&gt;0,D72=0),"소멸",IF(E72=0,"변동없음","금액변동"))))</x:f>
      </x:c>
      <x:c r="H72" s="73" t="str">
        <x:f>IF(A72="","",IF(AND(ABS(E72)&gt;='기준설정'!$B$6,OR(G72="신규",G72="소멸",F72&gt;='기준설정'!$B$5)),"원인분석 대상","일반"))</x:f>
      </x:c>
      <x:c r="I72" s="73" t="str">
        <x:f>IF(A72="","",IF(H72="원인분석 대상","세부원인분석 시트에서 거래별 원인을 검토","-"))</x:f>
      </x:c>
      <x:c r="J72" s="73" t="str">
        <x:f>IF(A72="","",COUNTIFS('전기원장'!$A$5:$A$1004,A72,'전기원장'!$J$5:$J$1004,"확인 필요")+COUNTIFS('당기원장'!$A$5:$A$1004,A72,'당기원장'!$J$5:$J$1004,"확인 필요"))</x:f>
      </x:c>
      <x:c r="K72" s="85" t="str">
        <x:f>IF(A72="","",IF(H72&lt;&gt;"원인분석 대상","",IF(J72&gt;0,"붙임 문서 확인 후 원인 확정 필요","결의서명 기반 원인분류 검토")))</x:f>
      </x:c>
    </x:row>
    <x:row r="73">
      <x:c r="A73" s="73" t="str">
        <x:f>IFERROR(INDEX('계산도우미'!$B$5:$B$2004,MATCH(ROWS($A$5:A73),'계산도우미'!$K$5:$K$2004,0)),"")</x:f>
      </x:c>
      <x:c r="B73" s="73" t="str">
        <x:f>IF(A73="","",IFERROR(INDEX('당기원장'!$B$5:$B$1004,MATCH(A73,'당기원장'!$A$5:$A$1004,0)),IFERROR(INDEX('전기원장'!$B$5:$B$1004,MATCH(A73,'전기원장'!$A$5:$A$1004,0)),"")))</x:f>
      </x:c>
      <x:c r="C73" s="75" t="str">
        <x:f>IF(A73="","",SUMIF('전기원장'!$A$5:$A$1004,A73,'전기원장'!$H$5:$H$1004))</x:f>
      </x:c>
      <x:c r="D73" s="75" t="str">
        <x:f>IF(A73="","",SUMIF('당기원장'!$A$5:$A$1004,A73,'당기원장'!$H$5:$H$1004))</x:f>
      </x:c>
      <x:c r="E73" s="75" t="str">
        <x:f>IF(A73="","",D73-C73)</x:f>
      </x:c>
      <x:c r="F73" s="88" t="str">
        <x:f>IF(A73="","",IF(C73=0,IF(D73=0,0,1),ABS(E73)/ABS(C73)))</x:f>
      </x:c>
      <x:c r="G73" s="73" t="str">
        <x:f>IF(A73="","",IF(AND(C73=0,D73&lt;&gt;0),"신규",IF(AND(C73&lt;&gt;0,D73=0),"소멸",IF(E73=0,"변동없음","금액변동"))))</x:f>
      </x:c>
      <x:c r="H73" s="73" t="str">
        <x:f>IF(A73="","",IF(AND(ABS(E73)&gt;='기준설정'!$B$6,OR(G73="신규",G73="소멸",F73&gt;='기준설정'!$B$5)),"원인분석 대상","일반"))</x:f>
      </x:c>
      <x:c r="I73" s="73" t="str">
        <x:f>IF(A73="","",IF(H73="원인분석 대상","세부원인분석 시트에서 거래별 원인을 검토","-"))</x:f>
      </x:c>
      <x:c r="J73" s="73" t="str">
        <x:f>IF(A73="","",COUNTIFS('전기원장'!$A$5:$A$1004,A73,'전기원장'!$J$5:$J$1004,"확인 필요")+COUNTIFS('당기원장'!$A$5:$A$1004,A73,'당기원장'!$J$5:$J$1004,"확인 필요"))</x:f>
      </x:c>
      <x:c r="K73" s="85" t="str">
        <x:f>IF(A73="","",IF(H73&lt;&gt;"원인분석 대상","",IF(J73&gt;0,"붙임 문서 확인 후 원인 확정 필요","결의서명 기반 원인분류 검토")))</x:f>
      </x:c>
    </x:row>
    <x:row r="74">
      <x:c r="A74" s="73" t="str">
        <x:f>IFERROR(INDEX('계산도우미'!$B$5:$B$2004,MATCH(ROWS($A$5:A74),'계산도우미'!$K$5:$K$2004,0)),"")</x:f>
      </x:c>
      <x:c r="B74" s="73" t="str">
        <x:f>IF(A74="","",IFERROR(INDEX('당기원장'!$B$5:$B$1004,MATCH(A74,'당기원장'!$A$5:$A$1004,0)),IFERROR(INDEX('전기원장'!$B$5:$B$1004,MATCH(A74,'전기원장'!$A$5:$A$1004,0)),"")))</x:f>
      </x:c>
      <x:c r="C74" s="75" t="str">
        <x:f>IF(A74="","",SUMIF('전기원장'!$A$5:$A$1004,A74,'전기원장'!$H$5:$H$1004))</x:f>
      </x:c>
      <x:c r="D74" s="75" t="str">
        <x:f>IF(A74="","",SUMIF('당기원장'!$A$5:$A$1004,A74,'당기원장'!$H$5:$H$1004))</x:f>
      </x:c>
      <x:c r="E74" s="75" t="str">
        <x:f>IF(A74="","",D74-C74)</x:f>
      </x:c>
      <x:c r="F74" s="88" t="str">
        <x:f>IF(A74="","",IF(C74=0,IF(D74=0,0,1),ABS(E74)/ABS(C74)))</x:f>
      </x:c>
      <x:c r="G74" s="73" t="str">
        <x:f>IF(A74="","",IF(AND(C74=0,D74&lt;&gt;0),"신규",IF(AND(C74&lt;&gt;0,D74=0),"소멸",IF(E74=0,"변동없음","금액변동"))))</x:f>
      </x:c>
      <x:c r="H74" s="73" t="str">
        <x:f>IF(A74="","",IF(AND(ABS(E74)&gt;='기준설정'!$B$6,OR(G74="신규",G74="소멸",F74&gt;='기준설정'!$B$5)),"원인분석 대상","일반"))</x:f>
      </x:c>
      <x:c r="I74" s="73" t="str">
        <x:f>IF(A74="","",IF(H74="원인분석 대상","세부원인분석 시트에서 거래별 원인을 검토","-"))</x:f>
      </x:c>
      <x:c r="J74" s="73" t="str">
        <x:f>IF(A74="","",COUNTIFS('전기원장'!$A$5:$A$1004,A74,'전기원장'!$J$5:$J$1004,"확인 필요")+COUNTIFS('당기원장'!$A$5:$A$1004,A74,'당기원장'!$J$5:$J$1004,"확인 필요"))</x:f>
      </x:c>
      <x:c r="K74" s="85" t="str">
        <x:f>IF(A74="","",IF(H74&lt;&gt;"원인분석 대상","",IF(J74&gt;0,"붙임 문서 확인 후 원인 확정 필요","결의서명 기반 원인분류 검토")))</x:f>
      </x:c>
    </x:row>
    <x:row r="75">
      <x:c r="A75" s="73" t="str">
        <x:f>IFERROR(INDEX('계산도우미'!$B$5:$B$2004,MATCH(ROWS($A$5:A75),'계산도우미'!$K$5:$K$2004,0)),"")</x:f>
      </x:c>
      <x:c r="B75" s="73" t="str">
        <x:f>IF(A75="","",IFERROR(INDEX('당기원장'!$B$5:$B$1004,MATCH(A75,'당기원장'!$A$5:$A$1004,0)),IFERROR(INDEX('전기원장'!$B$5:$B$1004,MATCH(A75,'전기원장'!$A$5:$A$1004,0)),"")))</x:f>
      </x:c>
      <x:c r="C75" s="75" t="str">
        <x:f>IF(A75="","",SUMIF('전기원장'!$A$5:$A$1004,A75,'전기원장'!$H$5:$H$1004))</x:f>
      </x:c>
      <x:c r="D75" s="75" t="str">
        <x:f>IF(A75="","",SUMIF('당기원장'!$A$5:$A$1004,A75,'당기원장'!$H$5:$H$1004))</x:f>
      </x:c>
      <x:c r="E75" s="75" t="str">
        <x:f>IF(A75="","",D75-C75)</x:f>
      </x:c>
      <x:c r="F75" s="88" t="str">
        <x:f>IF(A75="","",IF(C75=0,IF(D75=0,0,1),ABS(E75)/ABS(C75)))</x:f>
      </x:c>
      <x:c r="G75" s="73" t="str">
        <x:f>IF(A75="","",IF(AND(C75=0,D75&lt;&gt;0),"신규",IF(AND(C75&lt;&gt;0,D75=0),"소멸",IF(E75=0,"변동없음","금액변동"))))</x:f>
      </x:c>
      <x:c r="H75" s="73" t="str">
        <x:f>IF(A75="","",IF(AND(ABS(E75)&gt;='기준설정'!$B$6,OR(G75="신규",G75="소멸",F75&gt;='기준설정'!$B$5)),"원인분석 대상","일반"))</x:f>
      </x:c>
      <x:c r="I75" s="73" t="str">
        <x:f>IF(A75="","",IF(H75="원인분석 대상","세부원인분석 시트에서 거래별 원인을 검토","-"))</x:f>
      </x:c>
      <x:c r="J75" s="73" t="str">
        <x:f>IF(A75="","",COUNTIFS('전기원장'!$A$5:$A$1004,A75,'전기원장'!$J$5:$J$1004,"확인 필요")+COUNTIFS('당기원장'!$A$5:$A$1004,A75,'당기원장'!$J$5:$J$1004,"확인 필요"))</x:f>
      </x:c>
      <x:c r="K75" s="85" t="str">
        <x:f>IF(A75="","",IF(H75&lt;&gt;"원인분석 대상","",IF(J75&gt;0,"붙임 문서 확인 후 원인 확정 필요","결의서명 기반 원인분류 검토")))</x:f>
      </x:c>
    </x:row>
    <x:row r="76">
      <x:c r="A76" s="73" t="str">
        <x:f>IFERROR(INDEX('계산도우미'!$B$5:$B$2004,MATCH(ROWS($A$5:A76),'계산도우미'!$K$5:$K$2004,0)),"")</x:f>
      </x:c>
      <x:c r="B76" s="73" t="str">
        <x:f>IF(A76="","",IFERROR(INDEX('당기원장'!$B$5:$B$1004,MATCH(A76,'당기원장'!$A$5:$A$1004,0)),IFERROR(INDEX('전기원장'!$B$5:$B$1004,MATCH(A76,'전기원장'!$A$5:$A$1004,0)),"")))</x:f>
      </x:c>
      <x:c r="C76" s="75" t="str">
        <x:f>IF(A76="","",SUMIF('전기원장'!$A$5:$A$1004,A76,'전기원장'!$H$5:$H$1004))</x:f>
      </x:c>
      <x:c r="D76" s="75" t="str">
        <x:f>IF(A76="","",SUMIF('당기원장'!$A$5:$A$1004,A76,'당기원장'!$H$5:$H$1004))</x:f>
      </x:c>
      <x:c r="E76" s="75" t="str">
        <x:f>IF(A76="","",D76-C76)</x:f>
      </x:c>
      <x:c r="F76" s="88" t="str">
        <x:f>IF(A76="","",IF(C76=0,IF(D76=0,0,1),ABS(E76)/ABS(C76)))</x:f>
      </x:c>
      <x:c r="G76" s="73" t="str">
        <x:f>IF(A76="","",IF(AND(C76=0,D76&lt;&gt;0),"신규",IF(AND(C76&lt;&gt;0,D76=0),"소멸",IF(E76=0,"변동없음","금액변동"))))</x:f>
      </x:c>
      <x:c r="H76" s="73" t="str">
        <x:f>IF(A76="","",IF(AND(ABS(E76)&gt;='기준설정'!$B$6,OR(G76="신규",G76="소멸",F76&gt;='기준설정'!$B$5)),"원인분석 대상","일반"))</x:f>
      </x:c>
      <x:c r="I76" s="73" t="str">
        <x:f>IF(A76="","",IF(H76="원인분석 대상","세부원인분석 시트에서 거래별 원인을 검토","-"))</x:f>
      </x:c>
      <x:c r="J76" s="73" t="str">
        <x:f>IF(A76="","",COUNTIFS('전기원장'!$A$5:$A$1004,A76,'전기원장'!$J$5:$J$1004,"확인 필요")+COUNTIFS('당기원장'!$A$5:$A$1004,A76,'당기원장'!$J$5:$J$1004,"확인 필요"))</x:f>
      </x:c>
      <x:c r="K76" s="85" t="str">
        <x:f>IF(A76="","",IF(H76&lt;&gt;"원인분석 대상","",IF(J76&gt;0,"붙임 문서 확인 후 원인 확정 필요","결의서명 기반 원인분류 검토")))</x:f>
      </x:c>
    </x:row>
    <x:row r="77">
      <x:c r="A77" s="73" t="str">
        <x:f>IFERROR(INDEX('계산도우미'!$B$5:$B$2004,MATCH(ROWS($A$5:A77),'계산도우미'!$K$5:$K$2004,0)),"")</x:f>
      </x:c>
      <x:c r="B77" s="73" t="str">
        <x:f>IF(A77="","",IFERROR(INDEX('당기원장'!$B$5:$B$1004,MATCH(A77,'당기원장'!$A$5:$A$1004,0)),IFERROR(INDEX('전기원장'!$B$5:$B$1004,MATCH(A77,'전기원장'!$A$5:$A$1004,0)),"")))</x:f>
      </x:c>
      <x:c r="C77" s="75" t="str">
        <x:f>IF(A77="","",SUMIF('전기원장'!$A$5:$A$1004,A77,'전기원장'!$H$5:$H$1004))</x:f>
      </x:c>
      <x:c r="D77" s="75" t="str">
        <x:f>IF(A77="","",SUMIF('당기원장'!$A$5:$A$1004,A77,'당기원장'!$H$5:$H$1004))</x:f>
      </x:c>
      <x:c r="E77" s="75" t="str">
        <x:f>IF(A77="","",D77-C77)</x:f>
      </x:c>
      <x:c r="F77" s="88" t="str">
        <x:f>IF(A77="","",IF(C77=0,IF(D77=0,0,1),ABS(E77)/ABS(C77)))</x:f>
      </x:c>
      <x:c r="G77" s="73" t="str">
        <x:f>IF(A77="","",IF(AND(C77=0,D77&lt;&gt;0),"신규",IF(AND(C77&lt;&gt;0,D77=0),"소멸",IF(E77=0,"변동없음","금액변동"))))</x:f>
      </x:c>
      <x:c r="H77" s="73" t="str">
        <x:f>IF(A77="","",IF(AND(ABS(E77)&gt;='기준설정'!$B$6,OR(G77="신규",G77="소멸",F77&gt;='기준설정'!$B$5)),"원인분석 대상","일반"))</x:f>
      </x:c>
      <x:c r="I77" s="73" t="str">
        <x:f>IF(A77="","",IF(H77="원인분석 대상","세부원인분석 시트에서 거래별 원인을 검토","-"))</x:f>
      </x:c>
      <x:c r="J77" s="73" t="str">
        <x:f>IF(A77="","",COUNTIFS('전기원장'!$A$5:$A$1004,A77,'전기원장'!$J$5:$J$1004,"확인 필요")+COUNTIFS('당기원장'!$A$5:$A$1004,A77,'당기원장'!$J$5:$J$1004,"확인 필요"))</x:f>
      </x:c>
      <x:c r="K77" s="85" t="str">
        <x:f>IF(A77="","",IF(H77&lt;&gt;"원인분석 대상","",IF(J77&gt;0,"붙임 문서 확인 후 원인 확정 필요","결의서명 기반 원인분류 검토")))</x:f>
      </x:c>
    </x:row>
    <x:row r="78">
      <x:c r="A78" s="73" t="str">
        <x:f>IFERROR(INDEX('계산도우미'!$B$5:$B$2004,MATCH(ROWS($A$5:A78),'계산도우미'!$K$5:$K$2004,0)),"")</x:f>
      </x:c>
      <x:c r="B78" s="73" t="str">
        <x:f>IF(A78="","",IFERROR(INDEX('당기원장'!$B$5:$B$1004,MATCH(A78,'당기원장'!$A$5:$A$1004,0)),IFERROR(INDEX('전기원장'!$B$5:$B$1004,MATCH(A78,'전기원장'!$A$5:$A$1004,0)),"")))</x:f>
      </x:c>
      <x:c r="C78" s="75" t="str">
        <x:f>IF(A78="","",SUMIF('전기원장'!$A$5:$A$1004,A78,'전기원장'!$H$5:$H$1004))</x:f>
      </x:c>
      <x:c r="D78" s="75" t="str">
        <x:f>IF(A78="","",SUMIF('당기원장'!$A$5:$A$1004,A78,'당기원장'!$H$5:$H$1004))</x:f>
      </x:c>
      <x:c r="E78" s="75" t="str">
        <x:f>IF(A78="","",D78-C78)</x:f>
      </x:c>
      <x:c r="F78" s="88" t="str">
        <x:f>IF(A78="","",IF(C78=0,IF(D78=0,0,1),ABS(E78)/ABS(C78)))</x:f>
      </x:c>
      <x:c r="G78" s="73" t="str">
        <x:f>IF(A78="","",IF(AND(C78=0,D78&lt;&gt;0),"신규",IF(AND(C78&lt;&gt;0,D78=0),"소멸",IF(E78=0,"변동없음","금액변동"))))</x:f>
      </x:c>
      <x:c r="H78" s="73" t="str">
        <x:f>IF(A78="","",IF(AND(ABS(E78)&gt;='기준설정'!$B$6,OR(G78="신규",G78="소멸",F78&gt;='기준설정'!$B$5)),"원인분석 대상","일반"))</x:f>
      </x:c>
      <x:c r="I78" s="73" t="str">
        <x:f>IF(A78="","",IF(H78="원인분석 대상","세부원인분석 시트에서 거래별 원인을 검토","-"))</x:f>
      </x:c>
      <x:c r="J78" s="73" t="str">
        <x:f>IF(A78="","",COUNTIFS('전기원장'!$A$5:$A$1004,A78,'전기원장'!$J$5:$J$1004,"확인 필요")+COUNTIFS('당기원장'!$A$5:$A$1004,A78,'당기원장'!$J$5:$J$1004,"확인 필요"))</x:f>
      </x:c>
      <x:c r="K78" s="85" t="str">
        <x:f>IF(A78="","",IF(H78&lt;&gt;"원인분석 대상","",IF(J78&gt;0,"붙임 문서 확인 후 원인 확정 필요","결의서명 기반 원인분류 검토")))</x:f>
      </x:c>
    </x:row>
    <x:row r="79">
      <x:c r="A79" s="73" t="str">
        <x:f>IFERROR(INDEX('계산도우미'!$B$5:$B$2004,MATCH(ROWS($A$5:A79),'계산도우미'!$K$5:$K$2004,0)),"")</x:f>
      </x:c>
      <x:c r="B79" s="73" t="str">
        <x:f>IF(A79="","",IFERROR(INDEX('당기원장'!$B$5:$B$1004,MATCH(A79,'당기원장'!$A$5:$A$1004,0)),IFERROR(INDEX('전기원장'!$B$5:$B$1004,MATCH(A79,'전기원장'!$A$5:$A$1004,0)),"")))</x:f>
      </x:c>
      <x:c r="C79" s="75" t="str">
        <x:f>IF(A79="","",SUMIF('전기원장'!$A$5:$A$1004,A79,'전기원장'!$H$5:$H$1004))</x:f>
      </x:c>
      <x:c r="D79" s="75" t="str">
        <x:f>IF(A79="","",SUMIF('당기원장'!$A$5:$A$1004,A79,'당기원장'!$H$5:$H$1004))</x:f>
      </x:c>
      <x:c r="E79" s="75" t="str">
        <x:f>IF(A79="","",D79-C79)</x:f>
      </x:c>
      <x:c r="F79" s="88" t="str">
        <x:f>IF(A79="","",IF(C79=0,IF(D79=0,0,1),ABS(E79)/ABS(C79)))</x:f>
      </x:c>
      <x:c r="G79" s="73" t="str">
        <x:f>IF(A79="","",IF(AND(C79=0,D79&lt;&gt;0),"신규",IF(AND(C79&lt;&gt;0,D79=0),"소멸",IF(E79=0,"변동없음","금액변동"))))</x:f>
      </x:c>
      <x:c r="H79" s="73" t="str">
        <x:f>IF(A79="","",IF(AND(ABS(E79)&gt;='기준설정'!$B$6,OR(G79="신규",G79="소멸",F79&gt;='기준설정'!$B$5)),"원인분석 대상","일반"))</x:f>
      </x:c>
      <x:c r="I79" s="73" t="str">
        <x:f>IF(A79="","",IF(H79="원인분석 대상","세부원인분석 시트에서 거래별 원인을 검토","-"))</x:f>
      </x:c>
      <x:c r="J79" s="73" t="str">
        <x:f>IF(A79="","",COUNTIFS('전기원장'!$A$5:$A$1004,A79,'전기원장'!$J$5:$J$1004,"확인 필요")+COUNTIFS('당기원장'!$A$5:$A$1004,A79,'당기원장'!$J$5:$J$1004,"확인 필요"))</x:f>
      </x:c>
      <x:c r="K79" s="85" t="str">
        <x:f>IF(A79="","",IF(H79&lt;&gt;"원인분석 대상","",IF(J79&gt;0,"붙임 문서 확인 후 원인 확정 필요","결의서명 기반 원인분류 검토")))</x:f>
      </x:c>
    </x:row>
    <x:row r="80">
      <x:c r="A80" s="73" t="str">
        <x:f>IFERROR(INDEX('계산도우미'!$B$5:$B$2004,MATCH(ROWS($A$5:A80),'계산도우미'!$K$5:$K$2004,0)),"")</x:f>
      </x:c>
      <x:c r="B80" s="73" t="str">
        <x:f>IF(A80="","",IFERROR(INDEX('당기원장'!$B$5:$B$1004,MATCH(A80,'당기원장'!$A$5:$A$1004,0)),IFERROR(INDEX('전기원장'!$B$5:$B$1004,MATCH(A80,'전기원장'!$A$5:$A$1004,0)),"")))</x:f>
      </x:c>
      <x:c r="C80" s="75" t="str">
        <x:f>IF(A80="","",SUMIF('전기원장'!$A$5:$A$1004,A80,'전기원장'!$H$5:$H$1004))</x:f>
      </x:c>
      <x:c r="D80" s="75" t="str">
        <x:f>IF(A80="","",SUMIF('당기원장'!$A$5:$A$1004,A80,'당기원장'!$H$5:$H$1004))</x:f>
      </x:c>
      <x:c r="E80" s="75" t="str">
        <x:f>IF(A80="","",D80-C80)</x:f>
      </x:c>
      <x:c r="F80" s="88" t="str">
        <x:f>IF(A80="","",IF(C80=0,IF(D80=0,0,1),ABS(E80)/ABS(C80)))</x:f>
      </x:c>
      <x:c r="G80" s="73" t="str">
        <x:f>IF(A80="","",IF(AND(C80=0,D80&lt;&gt;0),"신규",IF(AND(C80&lt;&gt;0,D80=0),"소멸",IF(E80=0,"변동없음","금액변동"))))</x:f>
      </x:c>
      <x:c r="H80" s="73" t="str">
        <x:f>IF(A80="","",IF(AND(ABS(E80)&gt;='기준설정'!$B$6,OR(G80="신규",G80="소멸",F80&gt;='기준설정'!$B$5)),"원인분석 대상","일반"))</x:f>
      </x:c>
      <x:c r="I80" s="73" t="str">
        <x:f>IF(A80="","",IF(H80="원인분석 대상","세부원인분석 시트에서 거래별 원인을 검토","-"))</x:f>
      </x:c>
      <x:c r="J80" s="73" t="str">
        <x:f>IF(A80="","",COUNTIFS('전기원장'!$A$5:$A$1004,A80,'전기원장'!$J$5:$J$1004,"확인 필요")+COUNTIFS('당기원장'!$A$5:$A$1004,A80,'당기원장'!$J$5:$J$1004,"확인 필요"))</x:f>
      </x:c>
      <x:c r="K80" s="85" t="str">
        <x:f>IF(A80="","",IF(H80&lt;&gt;"원인분석 대상","",IF(J80&gt;0,"붙임 문서 확인 후 원인 확정 필요","결의서명 기반 원인분류 검토")))</x:f>
      </x:c>
    </x:row>
    <x:row r="81">
      <x:c r="A81" s="73" t="str">
        <x:f>IFERROR(INDEX('계산도우미'!$B$5:$B$2004,MATCH(ROWS($A$5:A81),'계산도우미'!$K$5:$K$2004,0)),"")</x:f>
      </x:c>
      <x:c r="B81" s="73" t="str">
        <x:f>IF(A81="","",IFERROR(INDEX('당기원장'!$B$5:$B$1004,MATCH(A81,'당기원장'!$A$5:$A$1004,0)),IFERROR(INDEX('전기원장'!$B$5:$B$1004,MATCH(A81,'전기원장'!$A$5:$A$1004,0)),"")))</x:f>
      </x:c>
      <x:c r="C81" s="75" t="str">
        <x:f>IF(A81="","",SUMIF('전기원장'!$A$5:$A$1004,A81,'전기원장'!$H$5:$H$1004))</x:f>
      </x:c>
      <x:c r="D81" s="75" t="str">
        <x:f>IF(A81="","",SUMIF('당기원장'!$A$5:$A$1004,A81,'당기원장'!$H$5:$H$1004))</x:f>
      </x:c>
      <x:c r="E81" s="75" t="str">
        <x:f>IF(A81="","",D81-C81)</x:f>
      </x:c>
      <x:c r="F81" s="88" t="str">
        <x:f>IF(A81="","",IF(C81=0,IF(D81=0,0,1),ABS(E81)/ABS(C81)))</x:f>
      </x:c>
      <x:c r="G81" s="73" t="str">
        <x:f>IF(A81="","",IF(AND(C81=0,D81&lt;&gt;0),"신규",IF(AND(C81&lt;&gt;0,D81=0),"소멸",IF(E81=0,"변동없음","금액변동"))))</x:f>
      </x:c>
      <x:c r="H81" s="73" t="str">
        <x:f>IF(A81="","",IF(AND(ABS(E81)&gt;='기준설정'!$B$6,OR(G81="신규",G81="소멸",F81&gt;='기준설정'!$B$5)),"원인분석 대상","일반"))</x:f>
      </x:c>
      <x:c r="I81" s="73" t="str">
        <x:f>IF(A81="","",IF(H81="원인분석 대상","세부원인분석 시트에서 거래별 원인을 검토","-"))</x:f>
      </x:c>
      <x:c r="J81" s="73" t="str">
        <x:f>IF(A81="","",COUNTIFS('전기원장'!$A$5:$A$1004,A81,'전기원장'!$J$5:$J$1004,"확인 필요")+COUNTIFS('당기원장'!$A$5:$A$1004,A81,'당기원장'!$J$5:$J$1004,"확인 필요"))</x:f>
      </x:c>
      <x:c r="K81" s="85" t="str">
        <x:f>IF(A81="","",IF(H81&lt;&gt;"원인분석 대상","",IF(J81&gt;0,"붙임 문서 확인 후 원인 확정 필요","결의서명 기반 원인분류 검토")))</x:f>
      </x:c>
    </x:row>
    <x:row r="82">
      <x:c r="A82" s="73" t="str">
        <x:f>IFERROR(INDEX('계산도우미'!$B$5:$B$2004,MATCH(ROWS($A$5:A82),'계산도우미'!$K$5:$K$2004,0)),"")</x:f>
      </x:c>
      <x:c r="B82" s="73" t="str">
        <x:f>IF(A82="","",IFERROR(INDEX('당기원장'!$B$5:$B$1004,MATCH(A82,'당기원장'!$A$5:$A$1004,0)),IFERROR(INDEX('전기원장'!$B$5:$B$1004,MATCH(A82,'전기원장'!$A$5:$A$1004,0)),"")))</x:f>
      </x:c>
      <x:c r="C82" s="75" t="str">
        <x:f>IF(A82="","",SUMIF('전기원장'!$A$5:$A$1004,A82,'전기원장'!$H$5:$H$1004))</x:f>
      </x:c>
      <x:c r="D82" s="75" t="str">
        <x:f>IF(A82="","",SUMIF('당기원장'!$A$5:$A$1004,A82,'당기원장'!$H$5:$H$1004))</x:f>
      </x:c>
      <x:c r="E82" s="75" t="str">
        <x:f>IF(A82="","",D82-C82)</x:f>
      </x:c>
      <x:c r="F82" s="88" t="str">
        <x:f>IF(A82="","",IF(C82=0,IF(D82=0,0,1),ABS(E82)/ABS(C82)))</x:f>
      </x:c>
      <x:c r="G82" s="73" t="str">
        <x:f>IF(A82="","",IF(AND(C82=0,D82&lt;&gt;0),"신규",IF(AND(C82&lt;&gt;0,D82=0),"소멸",IF(E82=0,"변동없음","금액변동"))))</x:f>
      </x:c>
      <x:c r="H82" s="73" t="str">
        <x:f>IF(A82="","",IF(AND(ABS(E82)&gt;='기준설정'!$B$6,OR(G82="신규",G82="소멸",F82&gt;='기준설정'!$B$5)),"원인분석 대상","일반"))</x:f>
      </x:c>
      <x:c r="I82" s="73" t="str">
        <x:f>IF(A82="","",IF(H82="원인분석 대상","세부원인분석 시트에서 거래별 원인을 검토","-"))</x:f>
      </x:c>
      <x:c r="J82" s="73" t="str">
        <x:f>IF(A82="","",COUNTIFS('전기원장'!$A$5:$A$1004,A82,'전기원장'!$J$5:$J$1004,"확인 필요")+COUNTIFS('당기원장'!$A$5:$A$1004,A82,'당기원장'!$J$5:$J$1004,"확인 필요"))</x:f>
      </x:c>
      <x:c r="K82" s="85" t="str">
        <x:f>IF(A82="","",IF(H82&lt;&gt;"원인분석 대상","",IF(J82&gt;0,"붙임 문서 확인 후 원인 확정 필요","결의서명 기반 원인분류 검토")))</x:f>
      </x:c>
    </x:row>
    <x:row r="83">
      <x:c r="A83" s="73" t="str">
        <x:f>IFERROR(INDEX('계산도우미'!$B$5:$B$2004,MATCH(ROWS($A$5:A83),'계산도우미'!$K$5:$K$2004,0)),"")</x:f>
      </x:c>
      <x:c r="B83" s="73" t="str">
        <x:f>IF(A83="","",IFERROR(INDEX('당기원장'!$B$5:$B$1004,MATCH(A83,'당기원장'!$A$5:$A$1004,0)),IFERROR(INDEX('전기원장'!$B$5:$B$1004,MATCH(A83,'전기원장'!$A$5:$A$1004,0)),"")))</x:f>
      </x:c>
      <x:c r="C83" s="75" t="str">
        <x:f>IF(A83="","",SUMIF('전기원장'!$A$5:$A$1004,A83,'전기원장'!$H$5:$H$1004))</x:f>
      </x:c>
      <x:c r="D83" s="75" t="str">
        <x:f>IF(A83="","",SUMIF('당기원장'!$A$5:$A$1004,A83,'당기원장'!$H$5:$H$1004))</x:f>
      </x:c>
      <x:c r="E83" s="75" t="str">
        <x:f>IF(A83="","",D83-C83)</x:f>
      </x:c>
      <x:c r="F83" s="88" t="str">
        <x:f>IF(A83="","",IF(C83=0,IF(D83=0,0,1),ABS(E83)/ABS(C83)))</x:f>
      </x:c>
      <x:c r="G83" s="73" t="str">
        <x:f>IF(A83="","",IF(AND(C83=0,D83&lt;&gt;0),"신규",IF(AND(C83&lt;&gt;0,D83=0),"소멸",IF(E83=0,"변동없음","금액변동"))))</x:f>
      </x:c>
      <x:c r="H83" s="73" t="str">
        <x:f>IF(A83="","",IF(AND(ABS(E83)&gt;='기준설정'!$B$6,OR(G83="신규",G83="소멸",F83&gt;='기준설정'!$B$5)),"원인분석 대상","일반"))</x:f>
      </x:c>
      <x:c r="I83" s="73" t="str">
        <x:f>IF(A83="","",IF(H83="원인분석 대상","세부원인분석 시트에서 거래별 원인을 검토","-"))</x:f>
      </x:c>
      <x:c r="J83" s="73" t="str">
        <x:f>IF(A83="","",COUNTIFS('전기원장'!$A$5:$A$1004,A83,'전기원장'!$J$5:$J$1004,"확인 필요")+COUNTIFS('당기원장'!$A$5:$A$1004,A83,'당기원장'!$J$5:$J$1004,"확인 필요"))</x:f>
      </x:c>
      <x:c r="K83" s="85" t="str">
        <x:f>IF(A83="","",IF(H83&lt;&gt;"원인분석 대상","",IF(J83&gt;0,"붙임 문서 확인 후 원인 확정 필요","결의서명 기반 원인분류 검토")))</x:f>
      </x:c>
    </x:row>
    <x:row r="84">
      <x:c r="A84" s="73" t="str">
        <x:f>IFERROR(INDEX('계산도우미'!$B$5:$B$2004,MATCH(ROWS($A$5:A84),'계산도우미'!$K$5:$K$2004,0)),"")</x:f>
      </x:c>
      <x:c r="B84" s="73" t="str">
        <x:f>IF(A84="","",IFERROR(INDEX('당기원장'!$B$5:$B$1004,MATCH(A84,'당기원장'!$A$5:$A$1004,0)),IFERROR(INDEX('전기원장'!$B$5:$B$1004,MATCH(A84,'전기원장'!$A$5:$A$1004,0)),"")))</x:f>
      </x:c>
      <x:c r="C84" s="75" t="str">
        <x:f>IF(A84="","",SUMIF('전기원장'!$A$5:$A$1004,A84,'전기원장'!$H$5:$H$1004))</x:f>
      </x:c>
      <x:c r="D84" s="75" t="str">
        <x:f>IF(A84="","",SUMIF('당기원장'!$A$5:$A$1004,A84,'당기원장'!$H$5:$H$1004))</x:f>
      </x:c>
      <x:c r="E84" s="75" t="str">
        <x:f>IF(A84="","",D84-C84)</x:f>
      </x:c>
      <x:c r="F84" s="88" t="str">
        <x:f>IF(A84="","",IF(C84=0,IF(D84=0,0,1),ABS(E84)/ABS(C84)))</x:f>
      </x:c>
      <x:c r="G84" s="73" t="str">
        <x:f>IF(A84="","",IF(AND(C84=0,D84&lt;&gt;0),"신규",IF(AND(C84&lt;&gt;0,D84=0),"소멸",IF(E84=0,"변동없음","금액변동"))))</x:f>
      </x:c>
      <x:c r="H84" s="73" t="str">
        <x:f>IF(A84="","",IF(AND(ABS(E84)&gt;='기준설정'!$B$6,OR(G84="신규",G84="소멸",F84&gt;='기준설정'!$B$5)),"원인분석 대상","일반"))</x:f>
      </x:c>
      <x:c r="I84" s="73" t="str">
        <x:f>IF(A84="","",IF(H84="원인분석 대상","세부원인분석 시트에서 거래별 원인을 검토","-"))</x:f>
      </x:c>
      <x:c r="J84" s="73" t="str">
        <x:f>IF(A84="","",COUNTIFS('전기원장'!$A$5:$A$1004,A84,'전기원장'!$J$5:$J$1004,"확인 필요")+COUNTIFS('당기원장'!$A$5:$A$1004,A84,'당기원장'!$J$5:$J$1004,"확인 필요"))</x:f>
      </x:c>
      <x:c r="K84" s="85" t="str">
        <x:f>IF(A84="","",IF(H84&lt;&gt;"원인분석 대상","",IF(J84&gt;0,"붙임 문서 확인 후 원인 확정 필요","결의서명 기반 원인분류 검토")))</x:f>
      </x:c>
    </x:row>
    <x:row r="85">
      <x:c r="A85" s="73" t="str">
        <x:f>IFERROR(INDEX('계산도우미'!$B$5:$B$2004,MATCH(ROWS($A$5:A85),'계산도우미'!$K$5:$K$2004,0)),"")</x:f>
      </x:c>
      <x:c r="B85" s="73" t="str">
        <x:f>IF(A85="","",IFERROR(INDEX('당기원장'!$B$5:$B$1004,MATCH(A85,'당기원장'!$A$5:$A$1004,0)),IFERROR(INDEX('전기원장'!$B$5:$B$1004,MATCH(A85,'전기원장'!$A$5:$A$1004,0)),"")))</x:f>
      </x:c>
      <x:c r="C85" s="75" t="str">
        <x:f>IF(A85="","",SUMIF('전기원장'!$A$5:$A$1004,A85,'전기원장'!$H$5:$H$1004))</x:f>
      </x:c>
      <x:c r="D85" s="75" t="str">
        <x:f>IF(A85="","",SUMIF('당기원장'!$A$5:$A$1004,A85,'당기원장'!$H$5:$H$1004))</x:f>
      </x:c>
      <x:c r="E85" s="75" t="str">
        <x:f>IF(A85="","",D85-C85)</x:f>
      </x:c>
      <x:c r="F85" s="88" t="str">
        <x:f>IF(A85="","",IF(C85=0,IF(D85=0,0,1),ABS(E85)/ABS(C85)))</x:f>
      </x:c>
      <x:c r="G85" s="73" t="str">
        <x:f>IF(A85="","",IF(AND(C85=0,D85&lt;&gt;0),"신규",IF(AND(C85&lt;&gt;0,D85=0),"소멸",IF(E85=0,"변동없음","금액변동"))))</x:f>
      </x:c>
      <x:c r="H85" s="73" t="str">
        <x:f>IF(A85="","",IF(AND(ABS(E85)&gt;='기준설정'!$B$6,OR(G85="신규",G85="소멸",F85&gt;='기준설정'!$B$5)),"원인분석 대상","일반"))</x:f>
      </x:c>
      <x:c r="I85" s="73" t="str">
        <x:f>IF(A85="","",IF(H85="원인분석 대상","세부원인분석 시트에서 거래별 원인을 검토","-"))</x:f>
      </x:c>
      <x:c r="J85" s="73" t="str">
        <x:f>IF(A85="","",COUNTIFS('전기원장'!$A$5:$A$1004,A85,'전기원장'!$J$5:$J$1004,"확인 필요")+COUNTIFS('당기원장'!$A$5:$A$1004,A85,'당기원장'!$J$5:$J$1004,"확인 필요"))</x:f>
      </x:c>
      <x:c r="K85" s="85" t="str">
        <x:f>IF(A85="","",IF(H85&lt;&gt;"원인분석 대상","",IF(J85&gt;0,"붙임 문서 확인 후 원인 확정 필요","결의서명 기반 원인분류 검토")))</x:f>
      </x:c>
    </x:row>
    <x:row r="86">
      <x:c r="A86" s="73" t="str">
        <x:f>IFERROR(INDEX('계산도우미'!$B$5:$B$2004,MATCH(ROWS($A$5:A86),'계산도우미'!$K$5:$K$2004,0)),"")</x:f>
      </x:c>
      <x:c r="B86" s="73" t="str">
        <x:f>IF(A86="","",IFERROR(INDEX('당기원장'!$B$5:$B$1004,MATCH(A86,'당기원장'!$A$5:$A$1004,0)),IFERROR(INDEX('전기원장'!$B$5:$B$1004,MATCH(A86,'전기원장'!$A$5:$A$1004,0)),"")))</x:f>
      </x:c>
      <x:c r="C86" s="75" t="str">
        <x:f>IF(A86="","",SUMIF('전기원장'!$A$5:$A$1004,A86,'전기원장'!$H$5:$H$1004))</x:f>
      </x:c>
      <x:c r="D86" s="75" t="str">
        <x:f>IF(A86="","",SUMIF('당기원장'!$A$5:$A$1004,A86,'당기원장'!$H$5:$H$1004))</x:f>
      </x:c>
      <x:c r="E86" s="75" t="str">
        <x:f>IF(A86="","",D86-C86)</x:f>
      </x:c>
      <x:c r="F86" s="88" t="str">
        <x:f>IF(A86="","",IF(C86=0,IF(D86=0,0,1),ABS(E86)/ABS(C86)))</x:f>
      </x:c>
      <x:c r="G86" s="73" t="str">
        <x:f>IF(A86="","",IF(AND(C86=0,D86&lt;&gt;0),"신규",IF(AND(C86&lt;&gt;0,D86=0),"소멸",IF(E86=0,"변동없음","금액변동"))))</x:f>
      </x:c>
      <x:c r="H86" s="73" t="str">
        <x:f>IF(A86="","",IF(AND(ABS(E86)&gt;='기준설정'!$B$6,OR(G86="신규",G86="소멸",F86&gt;='기준설정'!$B$5)),"원인분석 대상","일반"))</x:f>
      </x:c>
      <x:c r="I86" s="73" t="str">
        <x:f>IF(A86="","",IF(H86="원인분석 대상","세부원인분석 시트에서 거래별 원인을 검토","-"))</x:f>
      </x:c>
      <x:c r="J86" s="73" t="str">
        <x:f>IF(A86="","",COUNTIFS('전기원장'!$A$5:$A$1004,A86,'전기원장'!$J$5:$J$1004,"확인 필요")+COUNTIFS('당기원장'!$A$5:$A$1004,A86,'당기원장'!$J$5:$J$1004,"확인 필요"))</x:f>
      </x:c>
      <x:c r="K86" s="85" t="str">
        <x:f>IF(A86="","",IF(H86&lt;&gt;"원인분석 대상","",IF(J86&gt;0,"붙임 문서 확인 후 원인 확정 필요","결의서명 기반 원인분류 검토")))</x:f>
      </x:c>
    </x:row>
    <x:row r="87">
      <x:c r="A87" s="73" t="str">
        <x:f>IFERROR(INDEX('계산도우미'!$B$5:$B$2004,MATCH(ROWS($A$5:A87),'계산도우미'!$K$5:$K$2004,0)),"")</x:f>
      </x:c>
      <x:c r="B87" s="73" t="str">
        <x:f>IF(A87="","",IFERROR(INDEX('당기원장'!$B$5:$B$1004,MATCH(A87,'당기원장'!$A$5:$A$1004,0)),IFERROR(INDEX('전기원장'!$B$5:$B$1004,MATCH(A87,'전기원장'!$A$5:$A$1004,0)),"")))</x:f>
      </x:c>
      <x:c r="C87" s="75" t="str">
        <x:f>IF(A87="","",SUMIF('전기원장'!$A$5:$A$1004,A87,'전기원장'!$H$5:$H$1004))</x:f>
      </x:c>
      <x:c r="D87" s="75" t="str">
        <x:f>IF(A87="","",SUMIF('당기원장'!$A$5:$A$1004,A87,'당기원장'!$H$5:$H$1004))</x:f>
      </x:c>
      <x:c r="E87" s="75" t="str">
        <x:f>IF(A87="","",D87-C87)</x:f>
      </x:c>
      <x:c r="F87" s="88" t="str">
        <x:f>IF(A87="","",IF(C87=0,IF(D87=0,0,1),ABS(E87)/ABS(C87)))</x:f>
      </x:c>
      <x:c r="G87" s="73" t="str">
        <x:f>IF(A87="","",IF(AND(C87=0,D87&lt;&gt;0),"신규",IF(AND(C87&lt;&gt;0,D87=0),"소멸",IF(E87=0,"변동없음","금액변동"))))</x:f>
      </x:c>
      <x:c r="H87" s="73" t="str">
        <x:f>IF(A87="","",IF(AND(ABS(E87)&gt;='기준설정'!$B$6,OR(G87="신규",G87="소멸",F87&gt;='기준설정'!$B$5)),"원인분석 대상","일반"))</x:f>
      </x:c>
      <x:c r="I87" s="73" t="str">
        <x:f>IF(A87="","",IF(H87="원인분석 대상","세부원인분석 시트에서 거래별 원인을 검토","-"))</x:f>
      </x:c>
      <x:c r="J87" s="73" t="str">
        <x:f>IF(A87="","",COUNTIFS('전기원장'!$A$5:$A$1004,A87,'전기원장'!$J$5:$J$1004,"확인 필요")+COUNTIFS('당기원장'!$A$5:$A$1004,A87,'당기원장'!$J$5:$J$1004,"확인 필요"))</x:f>
      </x:c>
      <x:c r="K87" s="85" t="str">
        <x:f>IF(A87="","",IF(H87&lt;&gt;"원인분석 대상","",IF(J87&gt;0,"붙임 문서 확인 후 원인 확정 필요","결의서명 기반 원인분류 검토")))</x:f>
      </x:c>
    </x:row>
    <x:row r="88">
      <x:c r="A88" s="73" t="str">
        <x:f>IFERROR(INDEX('계산도우미'!$B$5:$B$2004,MATCH(ROWS($A$5:A88),'계산도우미'!$K$5:$K$2004,0)),"")</x:f>
      </x:c>
      <x:c r="B88" s="73" t="str">
        <x:f>IF(A88="","",IFERROR(INDEX('당기원장'!$B$5:$B$1004,MATCH(A88,'당기원장'!$A$5:$A$1004,0)),IFERROR(INDEX('전기원장'!$B$5:$B$1004,MATCH(A88,'전기원장'!$A$5:$A$1004,0)),"")))</x:f>
      </x:c>
      <x:c r="C88" s="75" t="str">
        <x:f>IF(A88="","",SUMIF('전기원장'!$A$5:$A$1004,A88,'전기원장'!$H$5:$H$1004))</x:f>
      </x:c>
      <x:c r="D88" s="75" t="str">
        <x:f>IF(A88="","",SUMIF('당기원장'!$A$5:$A$1004,A88,'당기원장'!$H$5:$H$1004))</x:f>
      </x:c>
      <x:c r="E88" s="75" t="str">
        <x:f>IF(A88="","",D88-C88)</x:f>
      </x:c>
      <x:c r="F88" s="88" t="str">
        <x:f>IF(A88="","",IF(C88=0,IF(D88=0,0,1),ABS(E88)/ABS(C88)))</x:f>
      </x:c>
      <x:c r="G88" s="73" t="str">
        <x:f>IF(A88="","",IF(AND(C88=0,D88&lt;&gt;0),"신규",IF(AND(C88&lt;&gt;0,D88=0),"소멸",IF(E88=0,"변동없음","금액변동"))))</x:f>
      </x:c>
      <x:c r="H88" s="73" t="str">
        <x:f>IF(A88="","",IF(AND(ABS(E88)&gt;='기준설정'!$B$6,OR(G88="신규",G88="소멸",F88&gt;='기준설정'!$B$5)),"원인분석 대상","일반"))</x:f>
      </x:c>
      <x:c r="I88" s="73" t="str">
        <x:f>IF(A88="","",IF(H88="원인분석 대상","세부원인분석 시트에서 거래별 원인을 검토","-"))</x:f>
      </x:c>
      <x:c r="J88" s="73" t="str">
        <x:f>IF(A88="","",COUNTIFS('전기원장'!$A$5:$A$1004,A88,'전기원장'!$J$5:$J$1004,"확인 필요")+COUNTIFS('당기원장'!$A$5:$A$1004,A88,'당기원장'!$J$5:$J$1004,"확인 필요"))</x:f>
      </x:c>
      <x:c r="K88" s="85" t="str">
        <x:f>IF(A88="","",IF(H88&lt;&gt;"원인분석 대상","",IF(J88&gt;0,"붙임 문서 확인 후 원인 확정 필요","결의서명 기반 원인분류 검토")))</x:f>
      </x:c>
    </x:row>
    <x:row r="89">
      <x:c r="A89" s="73" t="str">
        <x:f>IFERROR(INDEX('계산도우미'!$B$5:$B$2004,MATCH(ROWS($A$5:A89),'계산도우미'!$K$5:$K$2004,0)),"")</x:f>
      </x:c>
      <x:c r="B89" s="73" t="str">
        <x:f>IF(A89="","",IFERROR(INDEX('당기원장'!$B$5:$B$1004,MATCH(A89,'당기원장'!$A$5:$A$1004,0)),IFERROR(INDEX('전기원장'!$B$5:$B$1004,MATCH(A89,'전기원장'!$A$5:$A$1004,0)),"")))</x:f>
      </x:c>
      <x:c r="C89" s="75" t="str">
        <x:f>IF(A89="","",SUMIF('전기원장'!$A$5:$A$1004,A89,'전기원장'!$H$5:$H$1004))</x:f>
      </x:c>
      <x:c r="D89" s="75" t="str">
        <x:f>IF(A89="","",SUMIF('당기원장'!$A$5:$A$1004,A89,'당기원장'!$H$5:$H$1004))</x:f>
      </x:c>
      <x:c r="E89" s="75" t="str">
        <x:f>IF(A89="","",D89-C89)</x:f>
      </x:c>
      <x:c r="F89" s="88" t="str">
        <x:f>IF(A89="","",IF(C89=0,IF(D89=0,0,1),ABS(E89)/ABS(C89)))</x:f>
      </x:c>
      <x:c r="G89" s="73" t="str">
        <x:f>IF(A89="","",IF(AND(C89=0,D89&lt;&gt;0),"신규",IF(AND(C89&lt;&gt;0,D89=0),"소멸",IF(E89=0,"변동없음","금액변동"))))</x:f>
      </x:c>
      <x:c r="H89" s="73" t="str">
        <x:f>IF(A89="","",IF(AND(ABS(E89)&gt;='기준설정'!$B$6,OR(G89="신규",G89="소멸",F89&gt;='기준설정'!$B$5)),"원인분석 대상","일반"))</x:f>
      </x:c>
      <x:c r="I89" s="73" t="str">
        <x:f>IF(A89="","",IF(H89="원인분석 대상","세부원인분석 시트에서 거래별 원인을 검토","-"))</x:f>
      </x:c>
      <x:c r="J89" s="73" t="str">
        <x:f>IF(A89="","",COUNTIFS('전기원장'!$A$5:$A$1004,A89,'전기원장'!$J$5:$J$1004,"확인 필요")+COUNTIFS('당기원장'!$A$5:$A$1004,A89,'당기원장'!$J$5:$J$1004,"확인 필요"))</x:f>
      </x:c>
      <x:c r="K89" s="85" t="str">
        <x:f>IF(A89="","",IF(H89&lt;&gt;"원인분석 대상","",IF(J89&gt;0,"붙임 문서 확인 후 원인 확정 필요","결의서명 기반 원인분류 검토")))</x:f>
      </x:c>
    </x:row>
    <x:row r="90">
      <x:c r="A90" s="73" t="str">
        <x:f>IFERROR(INDEX('계산도우미'!$B$5:$B$2004,MATCH(ROWS($A$5:A90),'계산도우미'!$K$5:$K$2004,0)),"")</x:f>
      </x:c>
      <x:c r="B90" s="73" t="str">
        <x:f>IF(A90="","",IFERROR(INDEX('당기원장'!$B$5:$B$1004,MATCH(A90,'당기원장'!$A$5:$A$1004,0)),IFERROR(INDEX('전기원장'!$B$5:$B$1004,MATCH(A90,'전기원장'!$A$5:$A$1004,0)),"")))</x:f>
      </x:c>
      <x:c r="C90" s="75" t="str">
        <x:f>IF(A90="","",SUMIF('전기원장'!$A$5:$A$1004,A90,'전기원장'!$H$5:$H$1004))</x:f>
      </x:c>
      <x:c r="D90" s="75" t="str">
        <x:f>IF(A90="","",SUMIF('당기원장'!$A$5:$A$1004,A90,'당기원장'!$H$5:$H$1004))</x:f>
      </x:c>
      <x:c r="E90" s="75" t="str">
        <x:f>IF(A90="","",D90-C90)</x:f>
      </x:c>
      <x:c r="F90" s="88" t="str">
        <x:f>IF(A90="","",IF(C90=0,IF(D90=0,0,1),ABS(E90)/ABS(C90)))</x:f>
      </x:c>
      <x:c r="G90" s="73" t="str">
        <x:f>IF(A90="","",IF(AND(C90=0,D90&lt;&gt;0),"신규",IF(AND(C90&lt;&gt;0,D90=0),"소멸",IF(E90=0,"변동없음","금액변동"))))</x:f>
      </x:c>
      <x:c r="H90" s="73" t="str">
        <x:f>IF(A90="","",IF(AND(ABS(E90)&gt;='기준설정'!$B$6,OR(G90="신규",G90="소멸",F90&gt;='기준설정'!$B$5)),"원인분석 대상","일반"))</x:f>
      </x:c>
      <x:c r="I90" s="73" t="str">
        <x:f>IF(A90="","",IF(H90="원인분석 대상","세부원인분석 시트에서 거래별 원인을 검토","-"))</x:f>
      </x:c>
      <x:c r="J90" s="73" t="str">
        <x:f>IF(A90="","",COUNTIFS('전기원장'!$A$5:$A$1004,A90,'전기원장'!$J$5:$J$1004,"확인 필요")+COUNTIFS('당기원장'!$A$5:$A$1004,A90,'당기원장'!$J$5:$J$1004,"확인 필요"))</x:f>
      </x:c>
      <x:c r="K90" s="85" t="str">
        <x:f>IF(A90="","",IF(H90&lt;&gt;"원인분석 대상","",IF(J90&gt;0,"붙임 문서 확인 후 원인 확정 필요","결의서명 기반 원인분류 검토")))</x:f>
      </x:c>
    </x:row>
    <x:row r="91">
      <x:c r="A91" s="73" t="str">
        <x:f>IFERROR(INDEX('계산도우미'!$B$5:$B$2004,MATCH(ROWS($A$5:A91),'계산도우미'!$K$5:$K$2004,0)),"")</x:f>
      </x:c>
      <x:c r="B91" s="73" t="str">
        <x:f>IF(A91="","",IFERROR(INDEX('당기원장'!$B$5:$B$1004,MATCH(A91,'당기원장'!$A$5:$A$1004,0)),IFERROR(INDEX('전기원장'!$B$5:$B$1004,MATCH(A91,'전기원장'!$A$5:$A$1004,0)),"")))</x:f>
      </x:c>
      <x:c r="C91" s="75" t="str">
        <x:f>IF(A91="","",SUMIF('전기원장'!$A$5:$A$1004,A91,'전기원장'!$H$5:$H$1004))</x:f>
      </x:c>
      <x:c r="D91" s="75" t="str">
        <x:f>IF(A91="","",SUMIF('당기원장'!$A$5:$A$1004,A91,'당기원장'!$H$5:$H$1004))</x:f>
      </x:c>
      <x:c r="E91" s="75" t="str">
        <x:f>IF(A91="","",D91-C91)</x:f>
      </x:c>
      <x:c r="F91" s="88" t="str">
        <x:f>IF(A91="","",IF(C91=0,IF(D91=0,0,1),ABS(E91)/ABS(C91)))</x:f>
      </x:c>
      <x:c r="G91" s="73" t="str">
        <x:f>IF(A91="","",IF(AND(C91=0,D91&lt;&gt;0),"신규",IF(AND(C91&lt;&gt;0,D91=0),"소멸",IF(E91=0,"변동없음","금액변동"))))</x:f>
      </x:c>
      <x:c r="H91" s="73" t="str">
        <x:f>IF(A91="","",IF(AND(ABS(E91)&gt;='기준설정'!$B$6,OR(G91="신규",G91="소멸",F91&gt;='기준설정'!$B$5)),"원인분석 대상","일반"))</x:f>
      </x:c>
      <x:c r="I91" s="73" t="str">
        <x:f>IF(A91="","",IF(H91="원인분석 대상","세부원인분석 시트에서 거래별 원인을 검토","-"))</x:f>
      </x:c>
      <x:c r="J91" s="73" t="str">
        <x:f>IF(A91="","",COUNTIFS('전기원장'!$A$5:$A$1004,A91,'전기원장'!$J$5:$J$1004,"확인 필요")+COUNTIFS('당기원장'!$A$5:$A$1004,A91,'당기원장'!$J$5:$J$1004,"확인 필요"))</x:f>
      </x:c>
      <x:c r="K91" s="85" t="str">
        <x:f>IF(A91="","",IF(H91&lt;&gt;"원인분석 대상","",IF(J91&gt;0,"붙임 문서 확인 후 원인 확정 필요","결의서명 기반 원인분류 검토")))</x:f>
      </x:c>
    </x:row>
    <x:row r="92">
      <x:c r="A92" s="73" t="str">
        <x:f>IFERROR(INDEX('계산도우미'!$B$5:$B$2004,MATCH(ROWS($A$5:A92),'계산도우미'!$K$5:$K$2004,0)),"")</x:f>
      </x:c>
      <x:c r="B92" s="73" t="str">
        <x:f>IF(A92="","",IFERROR(INDEX('당기원장'!$B$5:$B$1004,MATCH(A92,'당기원장'!$A$5:$A$1004,0)),IFERROR(INDEX('전기원장'!$B$5:$B$1004,MATCH(A92,'전기원장'!$A$5:$A$1004,0)),"")))</x:f>
      </x:c>
      <x:c r="C92" s="75" t="str">
        <x:f>IF(A92="","",SUMIF('전기원장'!$A$5:$A$1004,A92,'전기원장'!$H$5:$H$1004))</x:f>
      </x:c>
      <x:c r="D92" s="75" t="str">
        <x:f>IF(A92="","",SUMIF('당기원장'!$A$5:$A$1004,A92,'당기원장'!$H$5:$H$1004))</x:f>
      </x:c>
      <x:c r="E92" s="75" t="str">
        <x:f>IF(A92="","",D92-C92)</x:f>
      </x:c>
      <x:c r="F92" s="88" t="str">
        <x:f>IF(A92="","",IF(C92=0,IF(D92=0,0,1),ABS(E92)/ABS(C92)))</x:f>
      </x:c>
      <x:c r="G92" s="73" t="str">
        <x:f>IF(A92="","",IF(AND(C92=0,D92&lt;&gt;0),"신규",IF(AND(C92&lt;&gt;0,D92=0),"소멸",IF(E92=0,"변동없음","금액변동"))))</x:f>
      </x:c>
      <x:c r="H92" s="73" t="str">
        <x:f>IF(A92="","",IF(AND(ABS(E92)&gt;='기준설정'!$B$6,OR(G92="신규",G92="소멸",F92&gt;='기준설정'!$B$5)),"원인분석 대상","일반"))</x:f>
      </x:c>
      <x:c r="I92" s="73" t="str">
        <x:f>IF(A92="","",IF(H92="원인분석 대상","세부원인분석 시트에서 거래별 원인을 검토","-"))</x:f>
      </x:c>
      <x:c r="J92" s="73" t="str">
        <x:f>IF(A92="","",COUNTIFS('전기원장'!$A$5:$A$1004,A92,'전기원장'!$J$5:$J$1004,"확인 필요")+COUNTIFS('당기원장'!$A$5:$A$1004,A92,'당기원장'!$J$5:$J$1004,"확인 필요"))</x:f>
      </x:c>
      <x:c r="K92" s="85" t="str">
        <x:f>IF(A92="","",IF(H92&lt;&gt;"원인분석 대상","",IF(J92&gt;0,"붙임 문서 확인 후 원인 확정 필요","결의서명 기반 원인분류 검토")))</x:f>
      </x:c>
    </x:row>
    <x:row r="93">
      <x:c r="A93" s="73" t="str">
        <x:f>IFERROR(INDEX('계산도우미'!$B$5:$B$2004,MATCH(ROWS($A$5:A93),'계산도우미'!$K$5:$K$2004,0)),"")</x:f>
      </x:c>
      <x:c r="B93" s="73" t="str">
        <x:f>IF(A93="","",IFERROR(INDEX('당기원장'!$B$5:$B$1004,MATCH(A93,'당기원장'!$A$5:$A$1004,0)),IFERROR(INDEX('전기원장'!$B$5:$B$1004,MATCH(A93,'전기원장'!$A$5:$A$1004,0)),"")))</x:f>
      </x:c>
      <x:c r="C93" s="75" t="str">
        <x:f>IF(A93="","",SUMIF('전기원장'!$A$5:$A$1004,A93,'전기원장'!$H$5:$H$1004))</x:f>
      </x:c>
      <x:c r="D93" s="75" t="str">
        <x:f>IF(A93="","",SUMIF('당기원장'!$A$5:$A$1004,A93,'당기원장'!$H$5:$H$1004))</x:f>
      </x:c>
      <x:c r="E93" s="75" t="str">
        <x:f>IF(A93="","",D93-C93)</x:f>
      </x:c>
      <x:c r="F93" s="88" t="str">
        <x:f>IF(A93="","",IF(C93=0,IF(D93=0,0,1),ABS(E93)/ABS(C93)))</x:f>
      </x:c>
      <x:c r="G93" s="73" t="str">
        <x:f>IF(A93="","",IF(AND(C93=0,D93&lt;&gt;0),"신규",IF(AND(C93&lt;&gt;0,D93=0),"소멸",IF(E93=0,"변동없음","금액변동"))))</x:f>
      </x:c>
      <x:c r="H93" s="73" t="str">
        <x:f>IF(A93="","",IF(AND(ABS(E93)&gt;='기준설정'!$B$6,OR(G93="신규",G93="소멸",F93&gt;='기준설정'!$B$5)),"원인분석 대상","일반"))</x:f>
      </x:c>
      <x:c r="I93" s="73" t="str">
        <x:f>IF(A93="","",IF(H93="원인분석 대상","세부원인분석 시트에서 거래별 원인을 검토","-"))</x:f>
      </x:c>
      <x:c r="J93" s="73" t="str">
        <x:f>IF(A93="","",COUNTIFS('전기원장'!$A$5:$A$1004,A93,'전기원장'!$J$5:$J$1004,"확인 필요")+COUNTIFS('당기원장'!$A$5:$A$1004,A93,'당기원장'!$J$5:$J$1004,"확인 필요"))</x:f>
      </x:c>
      <x:c r="K93" s="85" t="str">
        <x:f>IF(A93="","",IF(H93&lt;&gt;"원인분석 대상","",IF(J93&gt;0,"붙임 문서 확인 후 원인 확정 필요","결의서명 기반 원인분류 검토")))</x:f>
      </x:c>
    </x:row>
    <x:row r="94">
      <x:c r="A94" s="73" t="str">
        <x:f>IFERROR(INDEX('계산도우미'!$B$5:$B$2004,MATCH(ROWS($A$5:A94),'계산도우미'!$K$5:$K$2004,0)),"")</x:f>
      </x:c>
      <x:c r="B94" s="73" t="str">
        <x:f>IF(A94="","",IFERROR(INDEX('당기원장'!$B$5:$B$1004,MATCH(A94,'당기원장'!$A$5:$A$1004,0)),IFERROR(INDEX('전기원장'!$B$5:$B$1004,MATCH(A94,'전기원장'!$A$5:$A$1004,0)),"")))</x:f>
      </x:c>
      <x:c r="C94" s="75" t="str">
        <x:f>IF(A94="","",SUMIF('전기원장'!$A$5:$A$1004,A94,'전기원장'!$H$5:$H$1004))</x:f>
      </x:c>
      <x:c r="D94" s="75" t="str">
        <x:f>IF(A94="","",SUMIF('당기원장'!$A$5:$A$1004,A94,'당기원장'!$H$5:$H$1004))</x:f>
      </x:c>
      <x:c r="E94" s="75" t="str">
        <x:f>IF(A94="","",D94-C94)</x:f>
      </x:c>
      <x:c r="F94" s="88" t="str">
        <x:f>IF(A94="","",IF(C94=0,IF(D94=0,0,1),ABS(E94)/ABS(C94)))</x:f>
      </x:c>
      <x:c r="G94" s="73" t="str">
        <x:f>IF(A94="","",IF(AND(C94=0,D94&lt;&gt;0),"신규",IF(AND(C94&lt;&gt;0,D94=0),"소멸",IF(E94=0,"변동없음","금액변동"))))</x:f>
      </x:c>
      <x:c r="H94" s="73" t="str">
        <x:f>IF(A94="","",IF(AND(ABS(E94)&gt;='기준설정'!$B$6,OR(G94="신규",G94="소멸",F94&gt;='기준설정'!$B$5)),"원인분석 대상","일반"))</x:f>
      </x:c>
      <x:c r="I94" s="73" t="str">
        <x:f>IF(A94="","",IF(H94="원인분석 대상","세부원인분석 시트에서 거래별 원인을 검토","-"))</x:f>
      </x:c>
      <x:c r="J94" s="73" t="str">
        <x:f>IF(A94="","",COUNTIFS('전기원장'!$A$5:$A$1004,A94,'전기원장'!$J$5:$J$1004,"확인 필요")+COUNTIFS('당기원장'!$A$5:$A$1004,A94,'당기원장'!$J$5:$J$1004,"확인 필요"))</x:f>
      </x:c>
      <x:c r="K94" s="85" t="str">
        <x:f>IF(A94="","",IF(H94&lt;&gt;"원인분석 대상","",IF(J94&gt;0,"붙임 문서 확인 후 원인 확정 필요","결의서명 기반 원인분류 검토")))</x:f>
      </x:c>
    </x:row>
    <x:row r="95">
      <x:c r="A95" s="73" t="str">
        <x:f>IFERROR(INDEX('계산도우미'!$B$5:$B$2004,MATCH(ROWS($A$5:A95),'계산도우미'!$K$5:$K$2004,0)),"")</x:f>
      </x:c>
      <x:c r="B95" s="73" t="str">
        <x:f>IF(A95="","",IFERROR(INDEX('당기원장'!$B$5:$B$1004,MATCH(A95,'당기원장'!$A$5:$A$1004,0)),IFERROR(INDEX('전기원장'!$B$5:$B$1004,MATCH(A95,'전기원장'!$A$5:$A$1004,0)),"")))</x:f>
      </x:c>
      <x:c r="C95" s="75" t="str">
        <x:f>IF(A95="","",SUMIF('전기원장'!$A$5:$A$1004,A95,'전기원장'!$H$5:$H$1004))</x:f>
      </x:c>
      <x:c r="D95" s="75" t="str">
        <x:f>IF(A95="","",SUMIF('당기원장'!$A$5:$A$1004,A95,'당기원장'!$H$5:$H$1004))</x:f>
      </x:c>
      <x:c r="E95" s="75" t="str">
        <x:f>IF(A95="","",D95-C95)</x:f>
      </x:c>
      <x:c r="F95" s="88" t="str">
        <x:f>IF(A95="","",IF(C95=0,IF(D95=0,0,1),ABS(E95)/ABS(C95)))</x:f>
      </x:c>
      <x:c r="G95" s="73" t="str">
        <x:f>IF(A95="","",IF(AND(C95=0,D95&lt;&gt;0),"신규",IF(AND(C95&lt;&gt;0,D95=0),"소멸",IF(E95=0,"변동없음","금액변동"))))</x:f>
      </x:c>
      <x:c r="H95" s="73" t="str">
        <x:f>IF(A95="","",IF(AND(ABS(E95)&gt;='기준설정'!$B$6,OR(G95="신규",G95="소멸",F95&gt;='기준설정'!$B$5)),"원인분석 대상","일반"))</x:f>
      </x:c>
      <x:c r="I95" s="73" t="str">
        <x:f>IF(A95="","",IF(H95="원인분석 대상","세부원인분석 시트에서 거래별 원인을 검토","-"))</x:f>
      </x:c>
      <x:c r="J95" s="73" t="str">
        <x:f>IF(A95="","",COUNTIFS('전기원장'!$A$5:$A$1004,A95,'전기원장'!$J$5:$J$1004,"확인 필요")+COUNTIFS('당기원장'!$A$5:$A$1004,A95,'당기원장'!$J$5:$J$1004,"확인 필요"))</x:f>
      </x:c>
      <x:c r="K95" s="85" t="str">
        <x:f>IF(A95="","",IF(H95&lt;&gt;"원인분석 대상","",IF(J95&gt;0,"붙임 문서 확인 후 원인 확정 필요","결의서명 기반 원인분류 검토")))</x:f>
      </x:c>
    </x:row>
    <x:row r="96">
      <x:c r="A96" s="73" t="str">
        <x:f>IFERROR(INDEX('계산도우미'!$B$5:$B$2004,MATCH(ROWS($A$5:A96),'계산도우미'!$K$5:$K$2004,0)),"")</x:f>
      </x:c>
      <x:c r="B96" s="73" t="str">
        <x:f>IF(A96="","",IFERROR(INDEX('당기원장'!$B$5:$B$1004,MATCH(A96,'당기원장'!$A$5:$A$1004,0)),IFERROR(INDEX('전기원장'!$B$5:$B$1004,MATCH(A96,'전기원장'!$A$5:$A$1004,0)),"")))</x:f>
      </x:c>
      <x:c r="C96" s="75" t="str">
        <x:f>IF(A96="","",SUMIF('전기원장'!$A$5:$A$1004,A96,'전기원장'!$H$5:$H$1004))</x:f>
      </x:c>
      <x:c r="D96" s="75" t="str">
        <x:f>IF(A96="","",SUMIF('당기원장'!$A$5:$A$1004,A96,'당기원장'!$H$5:$H$1004))</x:f>
      </x:c>
      <x:c r="E96" s="75" t="str">
        <x:f>IF(A96="","",D96-C96)</x:f>
      </x:c>
      <x:c r="F96" s="88" t="str">
        <x:f>IF(A96="","",IF(C96=0,IF(D96=0,0,1),ABS(E96)/ABS(C96)))</x:f>
      </x:c>
      <x:c r="G96" s="73" t="str">
        <x:f>IF(A96="","",IF(AND(C96=0,D96&lt;&gt;0),"신규",IF(AND(C96&lt;&gt;0,D96=0),"소멸",IF(E96=0,"변동없음","금액변동"))))</x:f>
      </x:c>
      <x:c r="H96" s="73" t="str">
        <x:f>IF(A96="","",IF(AND(ABS(E96)&gt;='기준설정'!$B$6,OR(G96="신규",G96="소멸",F96&gt;='기준설정'!$B$5)),"원인분석 대상","일반"))</x:f>
      </x:c>
      <x:c r="I96" s="73" t="str">
        <x:f>IF(A96="","",IF(H96="원인분석 대상","세부원인분석 시트에서 거래별 원인을 검토","-"))</x:f>
      </x:c>
      <x:c r="J96" s="73" t="str">
        <x:f>IF(A96="","",COUNTIFS('전기원장'!$A$5:$A$1004,A96,'전기원장'!$J$5:$J$1004,"확인 필요")+COUNTIFS('당기원장'!$A$5:$A$1004,A96,'당기원장'!$J$5:$J$1004,"확인 필요"))</x:f>
      </x:c>
      <x:c r="K96" s="85" t="str">
        <x:f>IF(A96="","",IF(H96&lt;&gt;"원인분석 대상","",IF(J96&gt;0,"붙임 문서 확인 후 원인 확정 필요","결의서명 기반 원인분류 검토")))</x:f>
      </x:c>
    </x:row>
    <x:row r="97">
      <x:c r="A97" s="73" t="str">
        <x:f>IFERROR(INDEX('계산도우미'!$B$5:$B$2004,MATCH(ROWS($A$5:A97),'계산도우미'!$K$5:$K$2004,0)),"")</x:f>
      </x:c>
      <x:c r="B97" s="73" t="str">
        <x:f>IF(A97="","",IFERROR(INDEX('당기원장'!$B$5:$B$1004,MATCH(A97,'당기원장'!$A$5:$A$1004,0)),IFERROR(INDEX('전기원장'!$B$5:$B$1004,MATCH(A97,'전기원장'!$A$5:$A$1004,0)),"")))</x:f>
      </x:c>
      <x:c r="C97" s="75" t="str">
        <x:f>IF(A97="","",SUMIF('전기원장'!$A$5:$A$1004,A97,'전기원장'!$H$5:$H$1004))</x:f>
      </x:c>
      <x:c r="D97" s="75" t="str">
        <x:f>IF(A97="","",SUMIF('당기원장'!$A$5:$A$1004,A97,'당기원장'!$H$5:$H$1004))</x:f>
      </x:c>
      <x:c r="E97" s="75" t="str">
        <x:f>IF(A97="","",D97-C97)</x:f>
      </x:c>
      <x:c r="F97" s="88" t="str">
        <x:f>IF(A97="","",IF(C97=0,IF(D97=0,0,1),ABS(E97)/ABS(C97)))</x:f>
      </x:c>
      <x:c r="G97" s="73" t="str">
        <x:f>IF(A97="","",IF(AND(C97=0,D97&lt;&gt;0),"신규",IF(AND(C97&lt;&gt;0,D97=0),"소멸",IF(E97=0,"변동없음","금액변동"))))</x:f>
      </x:c>
      <x:c r="H97" s="73" t="str">
        <x:f>IF(A97="","",IF(AND(ABS(E97)&gt;='기준설정'!$B$6,OR(G97="신규",G97="소멸",F97&gt;='기준설정'!$B$5)),"원인분석 대상","일반"))</x:f>
      </x:c>
      <x:c r="I97" s="73" t="str">
        <x:f>IF(A97="","",IF(H97="원인분석 대상","세부원인분석 시트에서 거래별 원인을 검토","-"))</x:f>
      </x:c>
      <x:c r="J97" s="73" t="str">
        <x:f>IF(A97="","",COUNTIFS('전기원장'!$A$5:$A$1004,A97,'전기원장'!$J$5:$J$1004,"확인 필요")+COUNTIFS('당기원장'!$A$5:$A$1004,A97,'당기원장'!$J$5:$J$1004,"확인 필요"))</x:f>
      </x:c>
      <x:c r="K97" s="85" t="str">
        <x:f>IF(A97="","",IF(H97&lt;&gt;"원인분석 대상","",IF(J97&gt;0,"붙임 문서 확인 후 원인 확정 필요","결의서명 기반 원인분류 검토")))</x:f>
      </x:c>
    </x:row>
    <x:row r="98">
      <x:c r="A98" s="73" t="str">
        <x:f>IFERROR(INDEX('계산도우미'!$B$5:$B$2004,MATCH(ROWS($A$5:A98),'계산도우미'!$K$5:$K$2004,0)),"")</x:f>
      </x:c>
      <x:c r="B98" s="73" t="str">
        <x:f>IF(A98="","",IFERROR(INDEX('당기원장'!$B$5:$B$1004,MATCH(A98,'당기원장'!$A$5:$A$1004,0)),IFERROR(INDEX('전기원장'!$B$5:$B$1004,MATCH(A98,'전기원장'!$A$5:$A$1004,0)),"")))</x:f>
      </x:c>
      <x:c r="C98" s="75" t="str">
        <x:f>IF(A98="","",SUMIF('전기원장'!$A$5:$A$1004,A98,'전기원장'!$H$5:$H$1004))</x:f>
      </x:c>
      <x:c r="D98" s="75" t="str">
        <x:f>IF(A98="","",SUMIF('당기원장'!$A$5:$A$1004,A98,'당기원장'!$H$5:$H$1004))</x:f>
      </x:c>
      <x:c r="E98" s="75" t="str">
        <x:f>IF(A98="","",D98-C98)</x:f>
      </x:c>
      <x:c r="F98" s="88" t="str">
        <x:f>IF(A98="","",IF(C98=0,IF(D98=0,0,1),ABS(E98)/ABS(C98)))</x:f>
      </x:c>
      <x:c r="G98" s="73" t="str">
        <x:f>IF(A98="","",IF(AND(C98=0,D98&lt;&gt;0),"신규",IF(AND(C98&lt;&gt;0,D98=0),"소멸",IF(E98=0,"변동없음","금액변동"))))</x:f>
      </x:c>
      <x:c r="H98" s="73" t="str">
        <x:f>IF(A98="","",IF(AND(ABS(E98)&gt;='기준설정'!$B$6,OR(G98="신규",G98="소멸",F98&gt;='기준설정'!$B$5)),"원인분석 대상","일반"))</x:f>
      </x:c>
      <x:c r="I98" s="73" t="str">
        <x:f>IF(A98="","",IF(H98="원인분석 대상","세부원인분석 시트에서 거래별 원인을 검토","-"))</x:f>
      </x:c>
      <x:c r="J98" s="73" t="str">
        <x:f>IF(A98="","",COUNTIFS('전기원장'!$A$5:$A$1004,A98,'전기원장'!$J$5:$J$1004,"확인 필요")+COUNTIFS('당기원장'!$A$5:$A$1004,A98,'당기원장'!$J$5:$J$1004,"확인 필요"))</x:f>
      </x:c>
      <x:c r="K98" s="85" t="str">
        <x:f>IF(A98="","",IF(H98&lt;&gt;"원인분석 대상","",IF(J98&gt;0,"붙임 문서 확인 후 원인 확정 필요","결의서명 기반 원인분류 검토")))</x:f>
      </x:c>
    </x:row>
    <x:row r="99">
      <x:c r="A99" s="73" t="str">
        <x:f>IFERROR(INDEX('계산도우미'!$B$5:$B$2004,MATCH(ROWS($A$5:A99),'계산도우미'!$K$5:$K$2004,0)),"")</x:f>
      </x:c>
      <x:c r="B99" s="73" t="str">
        <x:f>IF(A99="","",IFERROR(INDEX('당기원장'!$B$5:$B$1004,MATCH(A99,'당기원장'!$A$5:$A$1004,0)),IFERROR(INDEX('전기원장'!$B$5:$B$1004,MATCH(A99,'전기원장'!$A$5:$A$1004,0)),"")))</x:f>
      </x:c>
      <x:c r="C99" s="75" t="str">
        <x:f>IF(A99="","",SUMIF('전기원장'!$A$5:$A$1004,A99,'전기원장'!$H$5:$H$1004))</x:f>
      </x:c>
      <x:c r="D99" s="75" t="str">
        <x:f>IF(A99="","",SUMIF('당기원장'!$A$5:$A$1004,A99,'당기원장'!$H$5:$H$1004))</x:f>
      </x:c>
      <x:c r="E99" s="75" t="str">
        <x:f>IF(A99="","",D99-C99)</x:f>
      </x:c>
      <x:c r="F99" s="88" t="str">
        <x:f>IF(A99="","",IF(C99=0,IF(D99=0,0,1),ABS(E99)/ABS(C99)))</x:f>
      </x:c>
      <x:c r="G99" s="73" t="str">
        <x:f>IF(A99="","",IF(AND(C99=0,D99&lt;&gt;0),"신규",IF(AND(C99&lt;&gt;0,D99=0),"소멸",IF(E99=0,"변동없음","금액변동"))))</x:f>
      </x:c>
      <x:c r="H99" s="73" t="str">
        <x:f>IF(A99="","",IF(AND(ABS(E99)&gt;='기준설정'!$B$6,OR(G99="신규",G99="소멸",F99&gt;='기준설정'!$B$5)),"원인분석 대상","일반"))</x:f>
      </x:c>
      <x:c r="I99" s="73" t="str">
        <x:f>IF(A99="","",IF(H99="원인분석 대상","세부원인분석 시트에서 거래별 원인을 검토","-"))</x:f>
      </x:c>
      <x:c r="J99" s="73" t="str">
        <x:f>IF(A99="","",COUNTIFS('전기원장'!$A$5:$A$1004,A99,'전기원장'!$J$5:$J$1004,"확인 필요")+COUNTIFS('당기원장'!$A$5:$A$1004,A99,'당기원장'!$J$5:$J$1004,"확인 필요"))</x:f>
      </x:c>
      <x:c r="K99" s="85" t="str">
        <x:f>IF(A99="","",IF(H99&lt;&gt;"원인분석 대상","",IF(J99&gt;0,"붙임 문서 확인 후 원인 확정 필요","결의서명 기반 원인분류 검토")))</x:f>
      </x:c>
    </x:row>
    <x:row r="100">
      <x:c r="A100" s="73" t="str">
        <x:f>IFERROR(INDEX('계산도우미'!$B$5:$B$2004,MATCH(ROWS($A$5:A100),'계산도우미'!$K$5:$K$2004,0)),"")</x:f>
      </x:c>
      <x:c r="B100" s="73" t="str">
        <x:f>IF(A100="","",IFERROR(INDEX('당기원장'!$B$5:$B$1004,MATCH(A100,'당기원장'!$A$5:$A$1004,0)),IFERROR(INDEX('전기원장'!$B$5:$B$1004,MATCH(A100,'전기원장'!$A$5:$A$1004,0)),"")))</x:f>
      </x:c>
      <x:c r="C100" s="75" t="str">
        <x:f>IF(A100="","",SUMIF('전기원장'!$A$5:$A$1004,A100,'전기원장'!$H$5:$H$1004))</x:f>
      </x:c>
      <x:c r="D100" s="75" t="str">
        <x:f>IF(A100="","",SUMIF('당기원장'!$A$5:$A$1004,A100,'당기원장'!$H$5:$H$1004))</x:f>
      </x:c>
      <x:c r="E100" s="75" t="str">
        <x:f>IF(A100="","",D100-C100)</x:f>
      </x:c>
      <x:c r="F100" s="88" t="str">
        <x:f>IF(A100="","",IF(C100=0,IF(D100=0,0,1),ABS(E100)/ABS(C100)))</x:f>
      </x:c>
      <x:c r="G100" s="73" t="str">
        <x:f>IF(A100="","",IF(AND(C100=0,D100&lt;&gt;0),"신규",IF(AND(C100&lt;&gt;0,D100=0),"소멸",IF(E100=0,"변동없음","금액변동"))))</x:f>
      </x:c>
      <x:c r="H100" s="73" t="str">
        <x:f>IF(A100="","",IF(AND(ABS(E100)&gt;='기준설정'!$B$6,OR(G100="신규",G100="소멸",F100&gt;='기준설정'!$B$5)),"원인분석 대상","일반"))</x:f>
      </x:c>
      <x:c r="I100" s="73" t="str">
        <x:f>IF(A100="","",IF(H100="원인분석 대상","세부원인분석 시트에서 거래별 원인을 검토","-"))</x:f>
      </x:c>
      <x:c r="J100" s="73" t="str">
        <x:f>IF(A100="","",COUNTIFS('전기원장'!$A$5:$A$1004,A100,'전기원장'!$J$5:$J$1004,"확인 필요")+COUNTIFS('당기원장'!$A$5:$A$1004,A100,'당기원장'!$J$5:$J$1004,"확인 필요"))</x:f>
      </x:c>
      <x:c r="K100" s="85" t="str">
        <x:f>IF(A100="","",IF(H100&lt;&gt;"원인분석 대상","",IF(J100&gt;0,"붙임 문서 확인 후 원인 확정 필요","결의서명 기반 원인분류 검토")))</x:f>
      </x:c>
    </x:row>
    <x:row r="101">
      <x:c r="A101" s="73" t="str">
        <x:f>IFERROR(INDEX('계산도우미'!$B$5:$B$2004,MATCH(ROWS($A$5:A101),'계산도우미'!$K$5:$K$2004,0)),"")</x:f>
      </x:c>
      <x:c r="B101" s="73" t="str">
        <x:f>IF(A101="","",IFERROR(INDEX('당기원장'!$B$5:$B$1004,MATCH(A101,'당기원장'!$A$5:$A$1004,0)),IFERROR(INDEX('전기원장'!$B$5:$B$1004,MATCH(A101,'전기원장'!$A$5:$A$1004,0)),"")))</x:f>
      </x:c>
      <x:c r="C101" s="75" t="str">
        <x:f>IF(A101="","",SUMIF('전기원장'!$A$5:$A$1004,A101,'전기원장'!$H$5:$H$1004))</x:f>
      </x:c>
      <x:c r="D101" s="75" t="str">
        <x:f>IF(A101="","",SUMIF('당기원장'!$A$5:$A$1004,A101,'당기원장'!$H$5:$H$1004))</x:f>
      </x:c>
      <x:c r="E101" s="75" t="str">
        <x:f>IF(A101="","",D101-C101)</x:f>
      </x:c>
      <x:c r="F101" s="88" t="str">
        <x:f>IF(A101="","",IF(C101=0,IF(D101=0,0,1),ABS(E101)/ABS(C101)))</x:f>
      </x:c>
      <x:c r="G101" s="73" t="str">
        <x:f>IF(A101="","",IF(AND(C101=0,D101&lt;&gt;0),"신규",IF(AND(C101&lt;&gt;0,D101=0),"소멸",IF(E101=0,"변동없음","금액변동"))))</x:f>
      </x:c>
      <x:c r="H101" s="73" t="str">
        <x:f>IF(A101="","",IF(AND(ABS(E101)&gt;='기준설정'!$B$6,OR(G101="신규",G101="소멸",F101&gt;='기준설정'!$B$5)),"원인분석 대상","일반"))</x:f>
      </x:c>
      <x:c r="I101" s="73" t="str">
        <x:f>IF(A101="","",IF(H101="원인분석 대상","세부원인분석 시트에서 거래별 원인을 검토","-"))</x:f>
      </x:c>
      <x:c r="J101" s="73" t="str">
        <x:f>IF(A101="","",COUNTIFS('전기원장'!$A$5:$A$1004,A101,'전기원장'!$J$5:$J$1004,"확인 필요")+COUNTIFS('당기원장'!$A$5:$A$1004,A101,'당기원장'!$J$5:$J$1004,"확인 필요"))</x:f>
      </x:c>
      <x:c r="K101" s="85" t="str">
        <x:f>IF(A101="","",IF(H101&lt;&gt;"원인분석 대상","",IF(J101&gt;0,"붙임 문서 확인 후 원인 확정 필요","결의서명 기반 원인분류 검토")))</x:f>
      </x:c>
    </x:row>
    <x:row r="102">
      <x:c r="A102" s="73" t="str">
        <x:f>IFERROR(INDEX('계산도우미'!$B$5:$B$2004,MATCH(ROWS($A$5:A102),'계산도우미'!$K$5:$K$2004,0)),"")</x:f>
      </x:c>
      <x:c r="B102" s="73" t="str">
        <x:f>IF(A102="","",IFERROR(INDEX('당기원장'!$B$5:$B$1004,MATCH(A102,'당기원장'!$A$5:$A$1004,0)),IFERROR(INDEX('전기원장'!$B$5:$B$1004,MATCH(A102,'전기원장'!$A$5:$A$1004,0)),"")))</x:f>
      </x:c>
      <x:c r="C102" s="75" t="str">
        <x:f>IF(A102="","",SUMIF('전기원장'!$A$5:$A$1004,A102,'전기원장'!$H$5:$H$1004))</x:f>
      </x:c>
      <x:c r="D102" s="75" t="str">
        <x:f>IF(A102="","",SUMIF('당기원장'!$A$5:$A$1004,A102,'당기원장'!$H$5:$H$1004))</x:f>
      </x:c>
      <x:c r="E102" s="75" t="str">
        <x:f>IF(A102="","",D102-C102)</x:f>
      </x:c>
      <x:c r="F102" s="88" t="str">
        <x:f>IF(A102="","",IF(C102=0,IF(D102=0,0,1),ABS(E102)/ABS(C102)))</x:f>
      </x:c>
      <x:c r="G102" s="73" t="str">
        <x:f>IF(A102="","",IF(AND(C102=0,D102&lt;&gt;0),"신규",IF(AND(C102&lt;&gt;0,D102=0),"소멸",IF(E102=0,"변동없음","금액변동"))))</x:f>
      </x:c>
      <x:c r="H102" s="73" t="str">
        <x:f>IF(A102="","",IF(AND(ABS(E102)&gt;='기준설정'!$B$6,OR(G102="신규",G102="소멸",F102&gt;='기준설정'!$B$5)),"원인분석 대상","일반"))</x:f>
      </x:c>
      <x:c r="I102" s="73" t="str">
        <x:f>IF(A102="","",IF(H102="원인분석 대상","세부원인분석 시트에서 거래별 원인을 검토","-"))</x:f>
      </x:c>
      <x:c r="J102" s="73" t="str">
        <x:f>IF(A102="","",COUNTIFS('전기원장'!$A$5:$A$1004,A102,'전기원장'!$J$5:$J$1004,"확인 필요")+COUNTIFS('당기원장'!$A$5:$A$1004,A102,'당기원장'!$J$5:$J$1004,"확인 필요"))</x:f>
      </x:c>
      <x:c r="K102" s="85" t="str">
        <x:f>IF(A102="","",IF(H102&lt;&gt;"원인분석 대상","",IF(J102&gt;0,"붙임 문서 확인 후 원인 확정 필요","결의서명 기반 원인분류 검토")))</x:f>
      </x:c>
    </x:row>
    <x:row r="103">
      <x:c r="A103" s="73" t="str">
        <x:f>IFERROR(INDEX('계산도우미'!$B$5:$B$2004,MATCH(ROWS($A$5:A103),'계산도우미'!$K$5:$K$2004,0)),"")</x:f>
      </x:c>
      <x:c r="B103" s="73" t="str">
        <x:f>IF(A103="","",IFERROR(INDEX('당기원장'!$B$5:$B$1004,MATCH(A103,'당기원장'!$A$5:$A$1004,0)),IFERROR(INDEX('전기원장'!$B$5:$B$1004,MATCH(A103,'전기원장'!$A$5:$A$1004,0)),"")))</x:f>
      </x:c>
      <x:c r="C103" s="75" t="str">
        <x:f>IF(A103="","",SUMIF('전기원장'!$A$5:$A$1004,A103,'전기원장'!$H$5:$H$1004))</x:f>
      </x:c>
      <x:c r="D103" s="75" t="str">
        <x:f>IF(A103="","",SUMIF('당기원장'!$A$5:$A$1004,A103,'당기원장'!$H$5:$H$1004))</x:f>
      </x:c>
      <x:c r="E103" s="75" t="str">
        <x:f>IF(A103="","",D103-C103)</x:f>
      </x:c>
      <x:c r="F103" s="88" t="str">
        <x:f>IF(A103="","",IF(C103=0,IF(D103=0,0,1),ABS(E103)/ABS(C103)))</x:f>
      </x:c>
      <x:c r="G103" s="73" t="str">
        <x:f>IF(A103="","",IF(AND(C103=0,D103&lt;&gt;0),"신규",IF(AND(C103&lt;&gt;0,D103=0),"소멸",IF(E103=0,"변동없음","금액변동"))))</x:f>
      </x:c>
      <x:c r="H103" s="73" t="str">
        <x:f>IF(A103="","",IF(AND(ABS(E103)&gt;='기준설정'!$B$6,OR(G103="신규",G103="소멸",F103&gt;='기준설정'!$B$5)),"원인분석 대상","일반"))</x:f>
      </x:c>
      <x:c r="I103" s="73" t="str">
        <x:f>IF(A103="","",IF(H103="원인분석 대상","세부원인분석 시트에서 거래별 원인을 검토","-"))</x:f>
      </x:c>
      <x:c r="J103" s="73" t="str">
        <x:f>IF(A103="","",COUNTIFS('전기원장'!$A$5:$A$1004,A103,'전기원장'!$J$5:$J$1004,"확인 필요")+COUNTIFS('당기원장'!$A$5:$A$1004,A103,'당기원장'!$J$5:$J$1004,"확인 필요"))</x:f>
      </x:c>
      <x:c r="K103" s="85" t="str">
        <x:f>IF(A103="","",IF(H103&lt;&gt;"원인분석 대상","",IF(J103&gt;0,"붙임 문서 확인 후 원인 확정 필요","결의서명 기반 원인분류 검토")))</x:f>
      </x:c>
    </x:row>
    <x:row r="104">
      <x:c r="A104" s="73" t="str">
        <x:f>IFERROR(INDEX('계산도우미'!$B$5:$B$2004,MATCH(ROWS($A$5:A104),'계산도우미'!$K$5:$K$2004,0)),"")</x:f>
      </x:c>
      <x:c r="B104" s="73" t="str">
        <x:f>IF(A104="","",IFERROR(INDEX('당기원장'!$B$5:$B$1004,MATCH(A104,'당기원장'!$A$5:$A$1004,0)),IFERROR(INDEX('전기원장'!$B$5:$B$1004,MATCH(A104,'전기원장'!$A$5:$A$1004,0)),"")))</x:f>
      </x:c>
      <x:c r="C104" s="75" t="str">
        <x:f>IF(A104="","",SUMIF('전기원장'!$A$5:$A$1004,A104,'전기원장'!$H$5:$H$1004))</x:f>
      </x:c>
      <x:c r="D104" s="75" t="str">
        <x:f>IF(A104="","",SUMIF('당기원장'!$A$5:$A$1004,A104,'당기원장'!$H$5:$H$1004))</x:f>
      </x:c>
      <x:c r="E104" s="75" t="str">
        <x:f>IF(A104="","",D104-C104)</x:f>
      </x:c>
      <x:c r="F104" s="88" t="str">
        <x:f>IF(A104="","",IF(C104=0,IF(D104=0,0,1),ABS(E104)/ABS(C104)))</x:f>
      </x:c>
      <x:c r="G104" s="73" t="str">
        <x:f>IF(A104="","",IF(AND(C104=0,D104&lt;&gt;0),"신규",IF(AND(C104&lt;&gt;0,D104=0),"소멸",IF(E104=0,"변동없음","금액변동"))))</x:f>
      </x:c>
      <x:c r="H104" s="73" t="str">
        <x:f>IF(A104="","",IF(AND(ABS(E104)&gt;='기준설정'!$B$6,OR(G104="신규",G104="소멸",F104&gt;='기준설정'!$B$5)),"원인분석 대상","일반"))</x:f>
      </x:c>
      <x:c r="I104" s="73" t="str">
        <x:f>IF(A104="","",IF(H104="원인분석 대상","세부원인분석 시트에서 거래별 원인을 검토","-"))</x:f>
      </x:c>
      <x:c r="J104" s="73" t="str">
        <x:f>IF(A104="","",COUNTIFS('전기원장'!$A$5:$A$1004,A104,'전기원장'!$J$5:$J$1004,"확인 필요")+COUNTIFS('당기원장'!$A$5:$A$1004,A104,'당기원장'!$J$5:$J$1004,"확인 필요"))</x:f>
      </x:c>
      <x:c r="K104" s="85" t="str">
        <x:f>IF(A104="","",IF(H104&lt;&gt;"원인분석 대상","",IF(J104&gt;0,"붙임 문서 확인 후 원인 확정 필요","결의서명 기반 원인분류 검토")))</x:f>
      </x:c>
    </x:row>
    <x:row r="105">
      <x:c r="A105" s="73" t="str">
        <x:f>IFERROR(INDEX('계산도우미'!$B$5:$B$2004,MATCH(ROWS($A$5:A105),'계산도우미'!$K$5:$K$2004,0)),"")</x:f>
      </x:c>
      <x:c r="B105" s="73" t="str">
        <x:f>IF(A105="","",IFERROR(INDEX('당기원장'!$B$5:$B$1004,MATCH(A105,'당기원장'!$A$5:$A$1004,0)),IFERROR(INDEX('전기원장'!$B$5:$B$1004,MATCH(A105,'전기원장'!$A$5:$A$1004,0)),"")))</x:f>
      </x:c>
      <x:c r="C105" s="75" t="str">
        <x:f>IF(A105="","",SUMIF('전기원장'!$A$5:$A$1004,A105,'전기원장'!$H$5:$H$1004))</x:f>
      </x:c>
      <x:c r="D105" s="75" t="str">
        <x:f>IF(A105="","",SUMIF('당기원장'!$A$5:$A$1004,A105,'당기원장'!$H$5:$H$1004))</x:f>
      </x:c>
      <x:c r="E105" s="75" t="str">
        <x:f>IF(A105="","",D105-C105)</x:f>
      </x:c>
      <x:c r="F105" s="88" t="str">
        <x:f>IF(A105="","",IF(C105=0,IF(D105=0,0,1),ABS(E105)/ABS(C105)))</x:f>
      </x:c>
      <x:c r="G105" s="73" t="str">
        <x:f>IF(A105="","",IF(AND(C105=0,D105&lt;&gt;0),"신규",IF(AND(C105&lt;&gt;0,D105=0),"소멸",IF(E105=0,"변동없음","금액변동"))))</x:f>
      </x:c>
      <x:c r="H105" s="73" t="str">
        <x:f>IF(A105="","",IF(AND(ABS(E105)&gt;='기준설정'!$B$6,OR(G105="신규",G105="소멸",F105&gt;='기준설정'!$B$5)),"원인분석 대상","일반"))</x:f>
      </x:c>
      <x:c r="I105" s="73" t="str">
        <x:f>IF(A105="","",IF(H105="원인분석 대상","세부원인분석 시트에서 거래별 원인을 검토","-"))</x:f>
      </x:c>
      <x:c r="J105" s="73" t="str">
        <x:f>IF(A105="","",COUNTIFS('전기원장'!$A$5:$A$1004,A105,'전기원장'!$J$5:$J$1004,"확인 필요")+COUNTIFS('당기원장'!$A$5:$A$1004,A105,'당기원장'!$J$5:$J$1004,"확인 필요"))</x:f>
      </x:c>
      <x:c r="K105" s="85" t="str">
        <x:f>IF(A105="","",IF(H105&lt;&gt;"원인분석 대상","",IF(J105&gt;0,"붙임 문서 확인 후 원인 확정 필요","결의서명 기반 원인분류 검토")))</x:f>
      </x:c>
    </x:row>
    <x:row r="106">
      <x:c r="A106" s="73" t="str">
        <x:f>IFERROR(INDEX('계산도우미'!$B$5:$B$2004,MATCH(ROWS($A$5:A106),'계산도우미'!$K$5:$K$2004,0)),"")</x:f>
      </x:c>
      <x:c r="B106" s="73" t="str">
        <x:f>IF(A106="","",IFERROR(INDEX('당기원장'!$B$5:$B$1004,MATCH(A106,'당기원장'!$A$5:$A$1004,0)),IFERROR(INDEX('전기원장'!$B$5:$B$1004,MATCH(A106,'전기원장'!$A$5:$A$1004,0)),"")))</x:f>
      </x:c>
      <x:c r="C106" s="75" t="str">
        <x:f>IF(A106="","",SUMIF('전기원장'!$A$5:$A$1004,A106,'전기원장'!$H$5:$H$1004))</x:f>
      </x:c>
      <x:c r="D106" s="75" t="str">
        <x:f>IF(A106="","",SUMIF('당기원장'!$A$5:$A$1004,A106,'당기원장'!$H$5:$H$1004))</x:f>
      </x:c>
      <x:c r="E106" s="75" t="str">
        <x:f>IF(A106="","",D106-C106)</x:f>
      </x:c>
      <x:c r="F106" s="88" t="str">
        <x:f>IF(A106="","",IF(C106=0,IF(D106=0,0,1),ABS(E106)/ABS(C106)))</x:f>
      </x:c>
      <x:c r="G106" s="73" t="str">
        <x:f>IF(A106="","",IF(AND(C106=0,D106&lt;&gt;0),"신규",IF(AND(C106&lt;&gt;0,D106=0),"소멸",IF(E106=0,"변동없음","금액변동"))))</x:f>
      </x:c>
      <x:c r="H106" s="73" t="str">
        <x:f>IF(A106="","",IF(AND(ABS(E106)&gt;='기준설정'!$B$6,OR(G106="신규",G106="소멸",F106&gt;='기준설정'!$B$5)),"원인분석 대상","일반"))</x:f>
      </x:c>
      <x:c r="I106" s="73" t="str">
        <x:f>IF(A106="","",IF(H106="원인분석 대상","세부원인분석 시트에서 거래별 원인을 검토","-"))</x:f>
      </x:c>
      <x:c r="J106" s="73" t="str">
        <x:f>IF(A106="","",COUNTIFS('전기원장'!$A$5:$A$1004,A106,'전기원장'!$J$5:$J$1004,"확인 필요")+COUNTIFS('당기원장'!$A$5:$A$1004,A106,'당기원장'!$J$5:$J$1004,"확인 필요"))</x:f>
      </x:c>
      <x:c r="K106" s="85" t="str">
        <x:f>IF(A106="","",IF(H106&lt;&gt;"원인분석 대상","",IF(J106&gt;0,"붙임 문서 확인 후 원인 확정 필요","결의서명 기반 원인분류 검토")))</x:f>
      </x:c>
    </x:row>
    <x:row r="107">
      <x:c r="A107" s="73" t="str">
        <x:f>IFERROR(INDEX('계산도우미'!$B$5:$B$2004,MATCH(ROWS($A$5:A107),'계산도우미'!$K$5:$K$2004,0)),"")</x:f>
      </x:c>
      <x:c r="B107" s="73" t="str">
        <x:f>IF(A107="","",IFERROR(INDEX('당기원장'!$B$5:$B$1004,MATCH(A107,'당기원장'!$A$5:$A$1004,0)),IFERROR(INDEX('전기원장'!$B$5:$B$1004,MATCH(A107,'전기원장'!$A$5:$A$1004,0)),"")))</x:f>
      </x:c>
      <x:c r="C107" s="75" t="str">
        <x:f>IF(A107="","",SUMIF('전기원장'!$A$5:$A$1004,A107,'전기원장'!$H$5:$H$1004))</x:f>
      </x:c>
      <x:c r="D107" s="75" t="str">
        <x:f>IF(A107="","",SUMIF('당기원장'!$A$5:$A$1004,A107,'당기원장'!$H$5:$H$1004))</x:f>
      </x:c>
      <x:c r="E107" s="75" t="str">
        <x:f>IF(A107="","",D107-C107)</x:f>
      </x:c>
      <x:c r="F107" s="88" t="str">
        <x:f>IF(A107="","",IF(C107=0,IF(D107=0,0,1),ABS(E107)/ABS(C107)))</x:f>
      </x:c>
      <x:c r="G107" s="73" t="str">
        <x:f>IF(A107="","",IF(AND(C107=0,D107&lt;&gt;0),"신규",IF(AND(C107&lt;&gt;0,D107=0),"소멸",IF(E107=0,"변동없음","금액변동"))))</x:f>
      </x:c>
      <x:c r="H107" s="73" t="str">
        <x:f>IF(A107="","",IF(AND(ABS(E107)&gt;='기준설정'!$B$6,OR(G107="신규",G107="소멸",F107&gt;='기준설정'!$B$5)),"원인분석 대상","일반"))</x:f>
      </x:c>
      <x:c r="I107" s="73" t="str">
        <x:f>IF(A107="","",IF(H107="원인분석 대상","세부원인분석 시트에서 거래별 원인을 검토","-"))</x:f>
      </x:c>
      <x:c r="J107" s="73" t="str">
        <x:f>IF(A107="","",COUNTIFS('전기원장'!$A$5:$A$1004,A107,'전기원장'!$J$5:$J$1004,"확인 필요")+COUNTIFS('당기원장'!$A$5:$A$1004,A107,'당기원장'!$J$5:$J$1004,"확인 필요"))</x:f>
      </x:c>
      <x:c r="K107" s="85" t="str">
        <x:f>IF(A107="","",IF(H107&lt;&gt;"원인분석 대상","",IF(J107&gt;0,"붙임 문서 확인 후 원인 확정 필요","결의서명 기반 원인분류 검토")))</x:f>
      </x:c>
    </x:row>
    <x:row r="108">
      <x:c r="A108" s="73" t="str">
        <x:f>IFERROR(INDEX('계산도우미'!$B$5:$B$2004,MATCH(ROWS($A$5:A108),'계산도우미'!$K$5:$K$2004,0)),"")</x:f>
      </x:c>
      <x:c r="B108" s="73" t="str">
        <x:f>IF(A108="","",IFERROR(INDEX('당기원장'!$B$5:$B$1004,MATCH(A108,'당기원장'!$A$5:$A$1004,0)),IFERROR(INDEX('전기원장'!$B$5:$B$1004,MATCH(A108,'전기원장'!$A$5:$A$1004,0)),"")))</x:f>
      </x:c>
      <x:c r="C108" s="75" t="str">
        <x:f>IF(A108="","",SUMIF('전기원장'!$A$5:$A$1004,A108,'전기원장'!$H$5:$H$1004))</x:f>
      </x:c>
      <x:c r="D108" s="75" t="str">
        <x:f>IF(A108="","",SUMIF('당기원장'!$A$5:$A$1004,A108,'당기원장'!$H$5:$H$1004))</x:f>
      </x:c>
      <x:c r="E108" s="75" t="str">
        <x:f>IF(A108="","",D108-C108)</x:f>
      </x:c>
      <x:c r="F108" s="88" t="str">
        <x:f>IF(A108="","",IF(C108=0,IF(D108=0,0,1),ABS(E108)/ABS(C108)))</x:f>
      </x:c>
      <x:c r="G108" s="73" t="str">
        <x:f>IF(A108="","",IF(AND(C108=0,D108&lt;&gt;0),"신규",IF(AND(C108&lt;&gt;0,D108=0),"소멸",IF(E108=0,"변동없음","금액변동"))))</x:f>
      </x:c>
      <x:c r="H108" s="73" t="str">
        <x:f>IF(A108="","",IF(AND(ABS(E108)&gt;='기준설정'!$B$6,OR(G108="신규",G108="소멸",F108&gt;='기준설정'!$B$5)),"원인분석 대상","일반"))</x:f>
      </x:c>
      <x:c r="I108" s="73" t="str">
        <x:f>IF(A108="","",IF(H108="원인분석 대상","세부원인분석 시트에서 거래별 원인을 검토","-"))</x:f>
      </x:c>
      <x:c r="J108" s="73" t="str">
        <x:f>IF(A108="","",COUNTIFS('전기원장'!$A$5:$A$1004,A108,'전기원장'!$J$5:$J$1004,"확인 필요")+COUNTIFS('당기원장'!$A$5:$A$1004,A108,'당기원장'!$J$5:$J$1004,"확인 필요"))</x:f>
      </x:c>
      <x:c r="K108" s="85" t="str">
        <x:f>IF(A108="","",IF(H108&lt;&gt;"원인분석 대상","",IF(J108&gt;0,"붙임 문서 확인 후 원인 확정 필요","결의서명 기반 원인분류 검토")))</x:f>
      </x:c>
    </x:row>
    <x:row r="109">
      <x:c r="A109" s="73" t="str">
        <x:f>IFERROR(INDEX('계산도우미'!$B$5:$B$2004,MATCH(ROWS($A$5:A109),'계산도우미'!$K$5:$K$2004,0)),"")</x:f>
      </x:c>
      <x:c r="B109" s="73" t="str">
        <x:f>IF(A109="","",IFERROR(INDEX('당기원장'!$B$5:$B$1004,MATCH(A109,'당기원장'!$A$5:$A$1004,0)),IFERROR(INDEX('전기원장'!$B$5:$B$1004,MATCH(A109,'전기원장'!$A$5:$A$1004,0)),"")))</x:f>
      </x:c>
      <x:c r="C109" s="75" t="str">
        <x:f>IF(A109="","",SUMIF('전기원장'!$A$5:$A$1004,A109,'전기원장'!$H$5:$H$1004))</x:f>
      </x:c>
      <x:c r="D109" s="75" t="str">
        <x:f>IF(A109="","",SUMIF('당기원장'!$A$5:$A$1004,A109,'당기원장'!$H$5:$H$1004))</x:f>
      </x:c>
      <x:c r="E109" s="75" t="str">
        <x:f>IF(A109="","",D109-C109)</x:f>
      </x:c>
      <x:c r="F109" s="88" t="str">
        <x:f>IF(A109="","",IF(C109=0,IF(D109=0,0,1),ABS(E109)/ABS(C109)))</x:f>
      </x:c>
      <x:c r="G109" s="73" t="str">
        <x:f>IF(A109="","",IF(AND(C109=0,D109&lt;&gt;0),"신규",IF(AND(C109&lt;&gt;0,D109=0),"소멸",IF(E109=0,"변동없음","금액변동"))))</x:f>
      </x:c>
      <x:c r="H109" s="73" t="str">
        <x:f>IF(A109="","",IF(AND(ABS(E109)&gt;='기준설정'!$B$6,OR(G109="신규",G109="소멸",F109&gt;='기준설정'!$B$5)),"원인분석 대상","일반"))</x:f>
      </x:c>
      <x:c r="I109" s="73" t="str">
        <x:f>IF(A109="","",IF(H109="원인분석 대상","세부원인분석 시트에서 거래별 원인을 검토","-"))</x:f>
      </x:c>
      <x:c r="J109" s="73" t="str">
        <x:f>IF(A109="","",COUNTIFS('전기원장'!$A$5:$A$1004,A109,'전기원장'!$J$5:$J$1004,"확인 필요")+COUNTIFS('당기원장'!$A$5:$A$1004,A109,'당기원장'!$J$5:$J$1004,"확인 필요"))</x:f>
      </x:c>
      <x:c r="K109" s="85" t="str">
        <x:f>IF(A109="","",IF(H109&lt;&gt;"원인분석 대상","",IF(J109&gt;0,"붙임 문서 확인 후 원인 확정 필요","결의서명 기반 원인분류 검토")))</x:f>
      </x:c>
    </x:row>
    <x:row r="110">
      <x:c r="A110" s="73" t="str">
        <x:f>IFERROR(INDEX('계산도우미'!$B$5:$B$2004,MATCH(ROWS($A$5:A110),'계산도우미'!$K$5:$K$2004,0)),"")</x:f>
      </x:c>
      <x:c r="B110" s="73" t="str">
        <x:f>IF(A110="","",IFERROR(INDEX('당기원장'!$B$5:$B$1004,MATCH(A110,'당기원장'!$A$5:$A$1004,0)),IFERROR(INDEX('전기원장'!$B$5:$B$1004,MATCH(A110,'전기원장'!$A$5:$A$1004,0)),"")))</x:f>
      </x:c>
      <x:c r="C110" s="75" t="str">
        <x:f>IF(A110="","",SUMIF('전기원장'!$A$5:$A$1004,A110,'전기원장'!$H$5:$H$1004))</x:f>
      </x:c>
      <x:c r="D110" s="75" t="str">
        <x:f>IF(A110="","",SUMIF('당기원장'!$A$5:$A$1004,A110,'당기원장'!$H$5:$H$1004))</x:f>
      </x:c>
      <x:c r="E110" s="75" t="str">
        <x:f>IF(A110="","",D110-C110)</x:f>
      </x:c>
      <x:c r="F110" s="88" t="str">
        <x:f>IF(A110="","",IF(C110=0,IF(D110=0,0,1),ABS(E110)/ABS(C110)))</x:f>
      </x:c>
      <x:c r="G110" s="73" t="str">
        <x:f>IF(A110="","",IF(AND(C110=0,D110&lt;&gt;0),"신규",IF(AND(C110&lt;&gt;0,D110=0),"소멸",IF(E110=0,"변동없음","금액변동"))))</x:f>
      </x:c>
      <x:c r="H110" s="73" t="str">
        <x:f>IF(A110="","",IF(AND(ABS(E110)&gt;='기준설정'!$B$6,OR(G110="신규",G110="소멸",F110&gt;='기준설정'!$B$5)),"원인분석 대상","일반"))</x:f>
      </x:c>
      <x:c r="I110" s="73" t="str">
        <x:f>IF(A110="","",IF(H110="원인분석 대상","세부원인분석 시트에서 거래별 원인을 검토","-"))</x:f>
      </x:c>
      <x:c r="J110" s="73" t="str">
        <x:f>IF(A110="","",COUNTIFS('전기원장'!$A$5:$A$1004,A110,'전기원장'!$J$5:$J$1004,"확인 필요")+COUNTIFS('당기원장'!$A$5:$A$1004,A110,'당기원장'!$J$5:$J$1004,"확인 필요"))</x:f>
      </x:c>
      <x:c r="K110" s="85" t="str">
        <x:f>IF(A110="","",IF(H110&lt;&gt;"원인분석 대상","",IF(J110&gt;0,"붙임 문서 확인 후 원인 확정 필요","결의서명 기반 원인분류 검토")))</x:f>
      </x:c>
    </x:row>
    <x:row r="111">
      <x:c r="A111" s="73" t="str">
        <x:f>IFERROR(INDEX('계산도우미'!$B$5:$B$2004,MATCH(ROWS($A$5:A111),'계산도우미'!$K$5:$K$2004,0)),"")</x:f>
      </x:c>
      <x:c r="B111" s="73" t="str">
        <x:f>IF(A111="","",IFERROR(INDEX('당기원장'!$B$5:$B$1004,MATCH(A111,'당기원장'!$A$5:$A$1004,0)),IFERROR(INDEX('전기원장'!$B$5:$B$1004,MATCH(A111,'전기원장'!$A$5:$A$1004,0)),"")))</x:f>
      </x:c>
      <x:c r="C111" s="75" t="str">
        <x:f>IF(A111="","",SUMIF('전기원장'!$A$5:$A$1004,A111,'전기원장'!$H$5:$H$1004))</x:f>
      </x:c>
      <x:c r="D111" s="75" t="str">
        <x:f>IF(A111="","",SUMIF('당기원장'!$A$5:$A$1004,A111,'당기원장'!$H$5:$H$1004))</x:f>
      </x:c>
      <x:c r="E111" s="75" t="str">
        <x:f>IF(A111="","",D111-C111)</x:f>
      </x:c>
      <x:c r="F111" s="88" t="str">
        <x:f>IF(A111="","",IF(C111=0,IF(D111=0,0,1),ABS(E111)/ABS(C111)))</x:f>
      </x:c>
      <x:c r="G111" s="73" t="str">
        <x:f>IF(A111="","",IF(AND(C111=0,D111&lt;&gt;0),"신규",IF(AND(C111&lt;&gt;0,D111=0),"소멸",IF(E111=0,"변동없음","금액변동"))))</x:f>
      </x:c>
      <x:c r="H111" s="73" t="str">
        <x:f>IF(A111="","",IF(AND(ABS(E111)&gt;='기준설정'!$B$6,OR(G111="신규",G111="소멸",F111&gt;='기준설정'!$B$5)),"원인분석 대상","일반"))</x:f>
      </x:c>
      <x:c r="I111" s="73" t="str">
        <x:f>IF(A111="","",IF(H111="원인분석 대상","세부원인분석 시트에서 거래별 원인을 검토","-"))</x:f>
      </x:c>
      <x:c r="J111" s="73" t="str">
        <x:f>IF(A111="","",COUNTIFS('전기원장'!$A$5:$A$1004,A111,'전기원장'!$J$5:$J$1004,"확인 필요")+COUNTIFS('당기원장'!$A$5:$A$1004,A111,'당기원장'!$J$5:$J$1004,"확인 필요"))</x:f>
      </x:c>
      <x:c r="K111" s="85" t="str">
        <x:f>IF(A111="","",IF(H111&lt;&gt;"원인분석 대상","",IF(J111&gt;0,"붙임 문서 확인 후 원인 확정 필요","결의서명 기반 원인분류 검토")))</x:f>
      </x:c>
    </x:row>
    <x:row r="112">
      <x:c r="A112" s="73" t="str">
        <x:f>IFERROR(INDEX('계산도우미'!$B$5:$B$2004,MATCH(ROWS($A$5:A112),'계산도우미'!$K$5:$K$2004,0)),"")</x:f>
      </x:c>
      <x:c r="B112" s="73" t="str">
        <x:f>IF(A112="","",IFERROR(INDEX('당기원장'!$B$5:$B$1004,MATCH(A112,'당기원장'!$A$5:$A$1004,0)),IFERROR(INDEX('전기원장'!$B$5:$B$1004,MATCH(A112,'전기원장'!$A$5:$A$1004,0)),"")))</x:f>
      </x:c>
      <x:c r="C112" s="75" t="str">
        <x:f>IF(A112="","",SUMIF('전기원장'!$A$5:$A$1004,A112,'전기원장'!$H$5:$H$1004))</x:f>
      </x:c>
      <x:c r="D112" s="75" t="str">
        <x:f>IF(A112="","",SUMIF('당기원장'!$A$5:$A$1004,A112,'당기원장'!$H$5:$H$1004))</x:f>
      </x:c>
      <x:c r="E112" s="75" t="str">
        <x:f>IF(A112="","",D112-C112)</x:f>
      </x:c>
      <x:c r="F112" s="88" t="str">
        <x:f>IF(A112="","",IF(C112=0,IF(D112=0,0,1),ABS(E112)/ABS(C112)))</x:f>
      </x:c>
      <x:c r="G112" s="73" t="str">
        <x:f>IF(A112="","",IF(AND(C112=0,D112&lt;&gt;0),"신규",IF(AND(C112&lt;&gt;0,D112=0),"소멸",IF(E112=0,"변동없음","금액변동"))))</x:f>
      </x:c>
      <x:c r="H112" s="73" t="str">
        <x:f>IF(A112="","",IF(AND(ABS(E112)&gt;='기준설정'!$B$6,OR(G112="신규",G112="소멸",F112&gt;='기준설정'!$B$5)),"원인분석 대상","일반"))</x:f>
      </x:c>
      <x:c r="I112" s="73" t="str">
        <x:f>IF(A112="","",IF(H112="원인분석 대상","세부원인분석 시트에서 거래별 원인을 검토","-"))</x:f>
      </x:c>
      <x:c r="J112" s="73" t="str">
        <x:f>IF(A112="","",COUNTIFS('전기원장'!$A$5:$A$1004,A112,'전기원장'!$J$5:$J$1004,"확인 필요")+COUNTIFS('당기원장'!$A$5:$A$1004,A112,'당기원장'!$J$5:$J$1004,"확인 필요"))</x:f>
      </x:c>
      <x:c r="K112" s="85" t="str">
        <x:f>IF(A112="","",IF(H112&lt;&gt;"원인분석 대상","",IF(J112&gt;0,"붙임 문서 확인 후 원인 확정 필요","결의서명 기반 원인분류 검토")))</x:f>
      </x:c>
    </x:row>
    <x:row r="113">
      <x:c r="A113" s="73" t="str">
        <x:f>IFERROR(INDEX('계산도우미'!$B$5:$B$2004,MATCH(ROWS($A$5:A113),'계산도우미'!$K$5:$K$2004,0)),"")</x:f>
      </x:c>
      <x:c r="B113" s="73" t="str">
        <x:f>IF(A113="","",IFERROR(INDEX('당기원장'!$B$5:$B$1004,MATCH(A113,'당기원장'!$A$5:$A$1004,0)),IFERROR(INDEX('전기원장'!$B$5:$B$1004,MATCH(A113,'전기원장'!$A$5:$A$1004,0)),"")))</x:f>
      </x:c>
      <x:c r="C113" s="75" t="str">
        <x:f>IF(A113="","",SUMIF('전기원장'!$A$5:$A$1004,A113,'전기원장'!$H$5:$H$1004))</x:f>
      </x:c>
      <x:c r="D113" s="75" t="str">
        <x:f>IF(A113="","",SUMIF('당기원장'!$A$5:$A$1004,A113,'당기원장'!$H$5:$H$1004))</x:f>
      </x:c>
      <x:c r="E113" s="75" t="str">
        <x:f>IF(A113="","",D113-C113)</x:f>
      </x:c>
      <x:c r="F113" s="88" t="str">
        <x:f>IF(A113="","",IF(C113=0,IF(D113=0,0,1),ABS(E113)/ABS(C113)))</x:f>
      </x:c>
      <x:c r="G113" s="73" t="str">
        <x:f>IF(A113="","",IF(AND(C113=0,D113&lt;&gt;0),"신규",IF(AND(C113&lt;&gt;0,D113=0),"소멸",IF(E113=0,"변동없음","금액변동"))))</x:f>
      </x:c>
      <x:c r="H113" s="73" t="str">
        <x:f>IF(A113="","",IF(AND(ABS(E113)&gt;='기준설정'!$B$6,OR(G113="신규",G113="소멸",F113&gt;='기준설정'!$B$5)),"원인분석 대상","일반"))</x:f>
      </x:c>
      <x:c r="I113" s="73" t="str">
        <x:f>IF(A113="","",IF(H113="원인분석 대상","세부원인분석 시트에서 거래별 원인을 검토","-"))</x:f>
      </x:c>
      <x:c r="J113" s="73" t="str">
        <x:f>IF(A113="","",COUNTIFS('전기원장'!$A$5:$A$1004,A113,'전기원장'!$J$5:$J$1004,"확인 필요")+COUNTIFS('당기원장'!$A$5:$A$1004,A113,'당기원장'!$J$5:$J$1004,"확인 필요"))</x:f>
      </x:c>
      <x:c r="K113" s="85" t="str">
        <x:f>IF(A113="","",IF(H113&lt;&gt;"원인분석 대상","",IF(J113&gt;0,"붙임 문서 확인 후 원인 확정 필요","결의서명 기반 원인분류 검토")))</x:f>
      </x:c>
    </x:row>
    <x:row r="114">
      <x:c r="A114" s="73" t="str">
        <x:f>IFERROR(INDEX('계산도우미'!$B$5:$B$2004,MATCH(ROWS($A$5:A114),'계산도우미'!$K$5:$K$2004,0)),"")</x:f>
      </x:c>
      <x:c r="B114" s="73" t="str">
        <x:f>IF(A114="","",IFERROR(INDEX('당기원장'!$B$5:$B$1004,MATCH(A114,'당기원장'!$A$5:$A$1004,0)),IFERROR(INDEX('전기원장'!$B$5:$B$1004,MATCH(A114,'전기원장'!$A$5:$A$1004,0)),"")))</x:f>
      </x:c>
      <x:c r="C114" s="75" t="str">
        <x:f>IF(A114="","",SUMIF('전기원장'!$A$5:$A$1004,A114,'전기원장'!$H$5:$H$1004))</x:f>
      </x:c>
      <x:c r="D114" s="75" t="str">
        <x:f>IF(A114="","",SUMIF('당기원장'!$A$5:$A$1004,A114,'당기원장'!$H$5:$H$1004))</x:f>
      </x:c>
      <x:c r="E114" s="75" t="str">
        <x:f>IF(A114="","",D114-C114)</x:f>
      </x:c>
      <x:c r="F114" s="88" t="str">
        <x:f>IF(A114="","",IF(C114=0,IF(D114=0,0,1),ABS(E114)/ABS(C114)))</x:f>
      </x:c>
      <x:c r="G114" s="73" t="str">
        <x:f>IF(A114="","",IF(AND(C114=0,D114&lt;&gt;0),"신규",IF(AND(C114&lt;&gt;0,D114=0),"소멸",IF(E114=0,"변동없음","금액변동"))))</x:f>
      </x:c>
      <x:c r="H114" s="73" t="str">
        <x:f>IF(A114="","",IF(AND(ABS(E114)&gt;='기준설정'!$B$6,OR(G114="신규",G114="소멸",F114&gt;='기준설정'!$B$5)),"원인분석 대상","일반"))</x:f>
      </x:c>
      <x:c r="I114" s="73" t="str">
        <x:f>IF(A114="","",IF(H114="원인분석 대상","세부원인분석 시트에서 거래별 원인을 검토","-"))</x:f>
      </x:c>
      <x:c r="J114" s="73" t="str">
        <x:f>IF(A114="","",COUNTIFS('전기원장'!$A$5:$A$1004,A114,'전기원장'!$J$5:$J$1004,"확인 필요")+COUNTIFS('당기원장'!$A$5:$A$1004,A114,'당기원장'!$J$5:$J$1004,"확인 필요"))</x:f>
      </x:c>
      <x:c r="K114" s="85" t="str">
        <x:f>IF(A114="","",IF(H114&lt;&gt;"원인분석 대상","",IF(J114&gt;0,"붙임 문서 확인 후 원인 확정 필요","결의서명 기반 원인분류 검토")))</x:f>
      </x:c>
    </x:row>
    <x:row r="115">
      <x:c r="A115" s="73" t="str">
        <x:f>IFERROR(INDEX('계산도우미'!$B$5:$B$2004,MATCH(ROWS($A$5:A115),'계산도우미'!$K$5:$K$2004,0)),"")</x:f>
      </x:c>
      <x:c r="B115" s="73" t="str">
        <x:f>IF(A115="","",IFERROR(INDEX('당기원장'!$B$5:$B$1004,MATCH(A115,'당기원장'!$A$5:$A$1004,0)),IFERROR(INDEX('전기원장'!$B$5:$B$1004,MATCH(A115,'전기원장'!$A$5:$A$1004,0)),"")))</x:f>
      </x:c>
      <x:c r="C115" s="75" t="str">
        <x:f>IF(A115="","",SUMIF('전기원장'!$A$5:$A$1004,A115,'전기원장'!$H$5:$H$1004))</x:f>
      </x:c>
      <x:c r="D115" s="75" t="str">
        <x:f>IF(A115="","",SUMIF('당기원장'!$A$5:$A$1004,A115,'당기원장'!$H$5:$H$1004))</x:f>
      </x:c>
      <x:c r="E115" s="75" t="str">
        <x:f>IF(A115="","",D115-C115)</x:f>
      </x:c>
      <x:c r="F115" s="88" t="str">
        <x:f>IF(A115="","",IF(C115=0,IF(D115=0,0,1),ABS(E115)/ABS(C115)))</x:f>
      </x:c>
      <x:c r="G115" s="73" t="str">
        <x:f>IF(A115="","",IF(AND(C115=0,D115&lt;&gt;0),"신규",IF(AND(C115&lt;&gt;0,D115=0),"소멸",IF(E115=0,"변동없음","금액변동"))))</x:f>
      </x:c>
      <x:c r="H115" s="73" t="str">
        <x:f>IF(A115="","",IF(AND(ABS(E115)&gt;='기준설정'!$B$6,OR(G115="신규",G115="소멸",F115&gt;='기준설정'!$B$5)),"원인분석 대상","일반"))</x:f>
      </x:c>
      <x:c r="I115" s="73" t="str">
        <x:f>IF(A115="","",IF(H115="원인분석 대상","세부원인분석 시트에서 거래별 원인을 검토","-"))</x:f>
      </x:c>
      <x:c r="J115" s="73" t="str">
        <x:f>IF(A115="","",COUNTIFS('전기원장'!$A$5:$A$1004,A115,'전기원장'!$J$5:$J$1004,"확인 필요")+COUNTIFS('당기원장'!$A$5:$A$1004,A115,'당기원장'!$J$5:$J$1004,"확인 필요"))</x:f>
      </x:c>
      <x:c r="K115" s="85" t="str">
        <x:f>IF(A115="","",IF(H115&lt;&gt;"원인분석 대상","",IF(J115&gt;0,"붙임 문서 확인 후 원인 확정 필요","결의서명 기반 원인분류 검토")))</x:f>
      </x:c>
    </x:row>
    <x:row r="116">
      <x:c r="A116" s="73" t="str">
        <x:f>IFERROR(INDEX('계산도우미'!$B$5:$B$2004,MATCH(ROWS($A$5:A116),'계산도우미'!$K$5:$K$2004,0)),"")</x:f>
      </x:c>
      <x:c r="B116" s="73" t="str">
        <x:f>IF(A116="","",IFERROR(INDEX('당기원장'!$B$5:$B$1004,MATCH(A116,'당기원장'!$A$5:$A$1004,0)),IFERROR(INDEX('전기원장'!$B$5:$B$1004,MATCH(A116,'전기원장'!$A$5:$A$1004,0)),"")))</x:f>
      </x:c>
      <x:c r="C116" s="75" t="str">
        <x:f>IF(A116="","",SUMIF('전기원장'!$A$5:$A$1004,A116,'전기원장'!$H$5:$H$1004))</x:f>
      </x:c>
      <x:c r="D116" s="75" t="str">
        <x:f>IF(A116="","",SUMIF('당기원장'!$A$5:$A$1004,A116,'당기원장'!$H$5:$H$1004))</x:f>
      </x:c>
      <x:c r="E116" s="75" t="str">
        <x:f>IF(A116="","",D116-C116)</x:f>
      </x:c>
      <x:c r="F116" s="88" t="str">
        <x:f>IF(A116="","",IF(C116=0,IF(D116=0,0,1),ABS(E116)/ABS(C116)))</x:f>
      </x:c>
      <x:c r="G116" s="73" t="str">
        <x:f>IF(A116="","",IF(AND(C116=0,D116&lt;&gt;0),"신규",IF(AND(C116&lt;&gt;0,D116=0),"소멸",IF(E116=0,"변동없음","금액변동"))))</x:f>
      </x:c>
      <x:c r="H116" s="73" t="str">
        <x:f>IF(A116="","",IF(AND(ABS(E116)&gt;='기준설정'!$B$6,OR(G116="신규",G116="소멸",F116&gt;='기준설정'!$B$5)),"원인분석 대상","일반"))</x:f>
      </x:c>
      <x:c r="I116" s="73" t="str">
        <x:f>IF(A116="","",IF(H116="원인분석 대상","세부원인분석 시트에서 거래별 원인을 검토","-"))</x:f>
      </x:c>
      <x:c r="J116" s="73" t="str">
        <x:f>IF(A116="","",COUNTIFS('전기원장'!$A$5:$A$1004,A116,'전기원장'!$J$5:$J$1004,"확인 필요")+COUNTIFS('당기원장'!$A$5:$A$1004,A116,'당기원장'!$J$5:$J$1004,"확인 필요"))</x:f>
      </x:c>
      <x:c r="K116" s="85" t="str">
        <x:f>IF(A116="","",IF(H116&lt;&gt;"원인분석 대상","",IF(J116&gt;0,"붙임 문서 확인 후 원인 확정 필요","결의서명 기반 원인분류 검토")))</x:f>
      </x:c>
    </x:row>
    <x:row r="117">
      <x:c r="A117" s="73" t="str">
        <x:f>IFERROR(INDEX('계산도우미'!$B$5:$B$2004,MATCH(ROWS($A$5:A117),'계산도우미'!$K$5:$K$2004,0)),"")</x:f>
      </x:c>
      <x:c r="B117" s="73" t="str">
        <x:f>IF(A117="","",IFERROR(INDEX('당기원장'!$B$5:$B$1004,MATCH(A117,'당기원장'!$A$5:$A$1004,0)),IFERROR(INDEX('전기원장'!$B$5:$B$1004,MATCH(A117,'전기원장'!$A$5:$A$1004,0)),"")))</x:f>
      </x:c>
      <x:c r="C117" s="75" t="str">
        <x:f>IF(A117="","",SUMIF('전기원장'!$A$5:$A$1004,A117,'전기원장'!$H$5:$H$1004))</x:f>
      </x:c>
      <x:c r="D117" s="75" t="str">
        <x:f>IF(A117="","",SUMIF('당기원장'!$A$5:$A$1004,A117,'당기원장'!$H$5:$H$1004))</x:f>
      </x:c>
      <x:c r="E117" s="75" t="str">
        <x:f>IF(A117="","",D117-C117)</x:f>
      </x:c>
      <x:c r="F117" s="88" t="str">
        <x:f>IF(A117="","",IF(C117=0,IF(D117=0,0,1),ABS(E117)/ABS(C117)))</x:f>
      </x:c>
      <x:c r="G117" s="73" t="str">
        <x:f>IF(A117="","",IF(AND(C117=0,D117&lt;&gt;0),"신규",IF(AND(C117&lt;&gt;0,D117=0),"소멸",IF(E117=0,"변동없음","금액변동"))))</x:f>
      </x:c>
      <x:c r="H117" s="73" t="str">
        <x:f>IF(A117="","",IF(AND(ABS(E117)&gt;='기준설정'!$B$6,OR(G117="신규",G117="소멸",F117&gt;='기준설정'!$B$5)),"원인분석 대상","일반"))</x:f>
      </x:c>
      <x:c r="I117" s="73" t="str">
        <x:f>IF(A117="","",IF(H117="원인분석 대상","세부원인분석 시트에서 거래별 원인을 검토","-"))</x:f>
      </x:c>
      <x:c r="J117" s="73" t="str">
        <x:f>IF(A117="","",COUNTIFS('전기원장'!$A$5:$A$1004,A117,'전기원장'!$J$5:$J$1004,"확인 필요")+COUNTIFS('당기원장'!$A$5:$A$1004,A117,'당기원장'!$J$5:$J$1004,"확인 필요"))</x:f>
      </x:c>
      <x:c r="K117" s="85" t="str">
        <x:f>IF(A117="","",IF(H117&lt;&gt;"원인분석 대상","",IF(J117&gt;0,"붙임 문서 확인 후 원인 확정 필요","결의서명 기반 원인분류 검토")))</x:f>
      </x:c>
    </x:row>
    <x:row r="118">
      <x:c r="A118" s="73" t="str">
        <x:f>IFERROR(INDEX('계산도우미'!$B$5:$B$2004,MATCH(ROWS($A$5:A118),'계산도우미'!$K$5:$K$2004,0)),"")</x:f>
      </x:c>
      <x:c r="B118" s="73" t="str">
        <x:f>IF(A118="","",IFERROR(INDEX('당기원장'!$B$5:$B$1004,MATCH(A118,'당기원장'!$A$5:$A$1004,0)),IFERROR(INDEX('전기원장'!$B$5:$B$1004,MATCH(A118,'전기원장'!$A$5:$A$1004,0)),"")))</x:f>
      </x:c>
      <x:c r="C118" s="75" t="str">
        <x:f>IF(A118="","",SUMIF('전기원장'!$A$5:$A$1004,A118,'전기원장'!$H$5:$H$1004))</x:f>
      </x:c>
      <x:c r="D118" s="75" t="str">
        <x:f>IF(A118="","",SUMIF('당기원장'!$A$5:$A$1004,A118,'당기원장'!$H$5:$H$1004))</x:f>
      </x:c>
      <x:c r="E118" s="75" t="str">
        <x:f>IF(A118="","",D118-C118)</x:f>
      </x:c>
      <x:c r="F118" s="88" t="str">
        <x:f>IF(A118="","",IF(C118=0,IF(D118=0,0,1),ABS(E118)/ABS(C118)))</x:f>
      </x:c>
      <x:c r="G118" s="73" t="str">
        <x:f>IF(A118="","",IF(AND(C118=0,D118&lt;&gt;0),"신규",IF(AND(C118&lt;&gt;0,D118=0),"소멸",IF(E118=0,"변동없음","금액변동"))))</x:f>
      </x:c>
      <x:c r="H118" s="73" t="str">
        <x:f>IF(A118="","",IF(AND(ABS(E118)&gt;='기준설정'!$B$6,OR(G118="신규",G118="소멸",F118&gt;='기준설정'!$B$5)),"원인분석 대상","일반"))</x:f>
      </x:c>
      <x:c r="I118" s="73" t="str">
        <x:f>IF(A118="","",IF(H118="원인분석 대상","세부원인분석 시트에서 거래별 원인을 검토","-"))</x:f>
      </x:c>
      <x:c r="J118" s="73" t="str">
        <x:f>IF(A118="","",COUNTIFS('전기원장'!$A$5:$A$1004,A118,'전기원장'!$J$5:$J$1004,"확인 필요")+COUNTIFS('당기원장'!$A$5:$A$1004,A118,'당기원장'!$J$5:$J$1004,"확인 필요"))</x:f>
      </x:c>
      <x:c r="K118" s="85" t="str">
        <x:f>IF(A118="","",IF(H118&lt;&gt;"원인분석 대상","",IF(J118&gt;0,"붙임 문서 확인 후 원인 확정 필요","결의서명 기반 원인분류 검토")))</x:f>
      </x:c>
    </x:row>
    <x:row r="119">
      <x:c r="A119" s="73" t="str">
        <x:f>IFERROR(INDEX('계산도우미'!$B$5:$B$2004,MATCH(ROWS($A$5:A119),'계산도우미'!$K$5:$K$2004,0)),"")</x:f>
      </x:c>
      <x:c r="B119" s="73" t="str">
        <x:f>IF(A119="","",IFERROR(INDEX('당기원장'!$B$5:$B$1004,MATCH(A119,'당기원장'!$A$5:$A$1004,0)),IFERROR(INDEX('전기원장'!$B$5:$B$1004,MATCH(A119,'전기원장'!$A$5:$A$1004,0)),"")))</x:f>
      </x:c>
      <x:c r="C119" s="75" t="str">
        <x:f>IF(A119="","",SUMIF('전기원장'!$A$5:$A$1004,A119,'전기원장'!$H$5:$H$1004))</x:f>
      </x:c>
      <x:c r="D119" s="75" t="str">
        <x:f>IF(A119="","",SUMIF('당기원장'!$A$5:$A$1004,A119,'당기원장'!$H$5:$H$1004))</x:f>
      </x:c>
      <x:c r="E119" s="75" t="str">
        <x:f>IF(A119="","",D119-C119)</x:f>
      </x:c>
      <x:c r="F119" s="88" t="str">
        <x:f>IF(A119="","",IF(C119=0,IF(D119=0,0,1),ABS(E119)/ABS(C119)))</x:f>
      </x:c>
      <x:c r="G119" s="73" t="str">
        <x:f>IF(A119="","",IF(AND(C119=0,D119&lt;&gt;0),"신규",IF(AND(C119&lt;&gt;0,D119=0),"소멸",IF(E119=0,"변동없음","금액변동"))))</x:f>
      </x:c>
      <x:c r="H119" s="73" t="str">
        <x:f>IF(A119="","",IF(AND(ABS(E119)&gt;='기준설정'!$B$6,OR(G119="신규",G119="소멸",F119&gt;='기준설정'!$B$5)),"원인분석 대상","일반"))</x:f>
      </x:c>
      <x:c r="I119" s="73" t="str">
        <x:f>IF(A119="","",IF(H119="원인분석 대상","세부원인분석 시트에서 거래별 원인을 검토","-"))</x:f>
      </x:c>
      <x:c r="J119" s="73" t="str">
        <x:f>IF(A119="","",COUNTIFS('전기원장'!$A$5:$A$1004,A119,'전기원장'!$J$5:$J$1004,"확인 필요")+COUNTIFS('당기원장'!$A$5:$A$1004,A119,'당기원장'!$J$5:$J$1004,"확인 필요"))</x:f>
      </x:c>
      <x:c r="K119" s="85" t="str">
        <x:f>IF(A119="","",IF(H119&lt;&gt;"원인분석 대상","",IF(J119&gt;0,"붙임 문서 확인 후 원인 확정 필요","결의서명 기반 원인분류 검토")))</x:f>
      </x:c>
    </x:row>
    <x:row r="120">
      <x:c r="A120" s="73" t="str">
        <x:f>IFERROR(INDEX('계산도우미'!$B$5:$B$2004,MATCH(ROWS($A$5:A120),'계산도우미'!$K$5:$K$2004,0)),"")</x:f>
      </x:c>
      <x:c r="B120" s="73" t="str">
        <x:f>IF(A120="","",IFERROR(INDEX('당기원장'!$B$5:$B$1004,MATCH(A120,'당기원장'!$A$5:$A$1004,0)),IFERROR(INDEX('전기원장'!$B$5:$B$1004,MATCH(A120,'전기원장'!$A$5:$A$1004,0)),"")))</x:f>
      </x:c>
      <x:c r="C120" s="75" t="str">
        <x:f>IF(A120="","",SUMIF('전기원장'!$A$5:$A$1004,A120,'전기원장'!$H$5:$H$1004))</x:f>
      </x:c>
      <x:c r="D120" s="75" t="str">
        <x:f>IF(A120="","",SUMIF('당기원장'!$A$5:$A$1004,A120,'당기원장'!$H$5:$H$1004))</x:f>
      </x:c>
      <x:c r="E120" s="75" t="str">
        <x:f>IF(A120="","",D120-C120)</x:f>
      </x:c>
      <x:c r="F120" s="88" t="str">
        <x:f>IF(A120="","",IF(C120=0,IF(D120=0,0,1),ABS(E120)/ABS(C120)))</x:f>
      </x:c>
      <x:c r="G120" s="73" t="str">
        <x:f>IF(A120="","",IF(AND(C120=0,D120&lt;&gt;0),"신규",IF(AND(C120&lt;&gt;0,D120=0),"소멸",IF(E120=0,"변동없음","금액변동"))))</x:f>
      </x:c>
      <x:c r="H120" s="73" t="str">
        <x:f>IF(A120="","",IF(AND(ABS(E120)&gt;='기준설정'!$B$6,OR(G120="신규",G120="소멸",F120&gt;='기준설정'!$B$5)),"원인분석 대상","일반"))</x:f>
      </x:c>
      <x:c r="I120" s="73" t="str">
        <x:f>IF(A120="","",IF(H120="원인분석 대상","세부원인분석 시트에서 거래별 원인을 검토","-"))</x:f>
      </x:c>
      <x:c r="J120" s="73" t="str">
        <x:f>IF(A120="","",COUNTIFS('전기원장'!$A$5:$A$1004,A120,'전기원장'!$J$5:$J$1004,"확인 필요")+COUNTIFS('당기원장'!$A$5:$A$1004,A120,'당기원장'!$J$5:$J$1004,"확인 필요"))</x:f>
      </x:c>
      <x:c r="K120" s="85" t="str">
        <x:f>IF(A120="","",IF(H120&lt;&gt;"원인분석 대상","",IF(J120&gt;0,"붙임 문서 확인 후 원인 확정 필요","결의서명 기반 원인분류 검토")))</x:f>
      </x:c>
    </x:row>
    <x:row r="121">
      <x:c r="A121" s="73" t="str">
        <x:f>IFERROR(INDEX('계산도우미'!$B$5:$B$2004,MATCH(ROWS($A$5:A121),'계산도우미'!$K$5:$K$2004,0)),"")</x:f>
      </x:c>
      <x:c r="B121" s="73" t="str">
        <x:f>IF(A121="","",IFERROR(INDEX('당기원장'!$B$5:$B$1004,MATCH(A121,'당기원장'!$A$5:$A$1004,0)),IFERROR(INDEX('전기원장'!$B$5:$B$1004,MATCH(A121,'전기원장'!$A$5:$A$1004,0)),"")))</x:f>
      </x:c>
      <x:c r="C121" s="75" t="str">
        <x:f>IF(A121="","",SUMIF('전기원장'!$A$5:$A$1004,A121,'전기원장'!$H$5:$H$1004))</x:f>
      </x:c>
      <x:c r="D121" s="75" t="str">
        <x:f>IF(A121="","",SUMIF('당기원장'!$A$5:$A$1004,A121,'당기원장'!$H$5:$H$1004))</x:f>
      </x:c>
      <x:c r="E121" s="75" t="str">
        <x:f>IF(A121="","",D121-C121)</x:f>
      </x:c>
      <x:c r="F121" s="88" t="str">
        <x:f>IF(A121="","",IF(C121=0,IF(D121=0,0,1),ABS(E121)/ABS(C121)))</x:f>
      </x:c>
      <x:c r="G121" s="73" t="str">
        <x:f>IF(A121="","",IF(AND(C121=0,D121&lt;&gt;0),"신규",IF(AND(C121&lt;&gt;0,D121=0),"소멸",IF(E121=0,"변동없음","금액변동"))))</x:f>
      </x:c>
      <x:c r="H121" s="73" t="str">
        <x:f>IF(A121="","",IF(AND(ABS(E121)&gt;='기준설정'!$B$6,OR(G121="신규",G121="소멸",F121&gt;='기준설정'!$B$5)),"원인분석 대상","일반"))</x:f>
      </x:c>
      <x:c r="I121" s="73" t="str">
        <x:f>IF(A121="","",IF(H121="원인분석 대상","세부원인분석 시트에서 거래별 원인을 검토","-"))</x:f>
      </x:c>
      <x:c r="J121" s="73" t="str">
        <x:f>IF(A121="","",COUNTIFS('전기원장'!$A$5:$A$1004,A121,'전기원장'!$J$5:$J$1004,"확인 필요")+COUNTIFS('당기원장'!$A$5:$A$1004,A121,'당기원장'!$J$5:$J$1004,"확인 필요"))</x:f>
      </x:c>
      <x:c r="K121" s="85" t="str">
        <x:f>IF(A121="","",IF(H121&lt;&gt;"원인분석 대상","",IF(J121&gt;0,"붙임 문서 확인 후 원인 확정 필요","결의서명 기반 원인분류 검토")))</x:f>
      </x:c>
    </x:row>
    <x:row r="122">
      <x:c r="A122" s="73" t="str">
        <x:f>IFERROR(INDEX('계산도우미'!$B$5:$B$2004,MATCH(ROWS($A$5:A122),'계산도우미'!$K$5:$K$2004,0)),"")</x:f>
      </x:c>
      <x:c r="B122" s="73" t="str">
        <x:f>IF(A122="","",IFERROR(INDEX('당기원장'!$B$5:$B$1004,MATCH(A122,'당기원장'!$A$5:$A$1004,0)),IFERROR(INDEX('전기원장'!$B$5:$B$1004,MATCH(A122,'전기원장'!$A$5:$A$1004,0)),"")))</x:f>
      </x:c>
      <x:c r="C122" s="75" t="str">
        <x:f>IF(A122="","",SUMIF('전기원장'!$A$5:$A$1004,A122,'전기원장'!$H$5:$H$1004))</x:f>
      </x:c>
      <x:c r="D122" s="75" t="str">
        <x:f>IF(A122="","",SUMIF('당기원장'!$A$5:$A$1004,A122,'당기원장'!$H$5:$H$1004))</x:f>
      </x:c>
      <x:c r="E122" s="75" t="str">
        <x:f>IF(A122="","",D122-C122)</x:f>
      </x:c>
      <x:c r="F122" s="88" t="str">
        <x:f>IF(A122="","",IF(C122=0,IF(D122=0,0,1),ABS(E122)/ABS(C122)))</x:f>
      </x:c>
      <x:c r="G122" s="73" t="str">
        <x:f>IF(A122="","",IF(AND(C122=0,D122&lt;&gt;0),"신규",IF(AND(C122&lt;&gt;0,D122=0),"소멸",IF(E122=0,"변동없음","금액변동"))))</x:f>
      </x:c>
      <x:c r="H122" s="73" t="str">
        <x:f>IF(A122="","",IF(AND(ABS(E122)&gt;='기준설정'!$B$6,OR(G122="신규",G122="소멸",F122&gt;='기준설정'!$B$5)),"원인분석 대상","일반"))</x:f>
      </x:c>
      <x:c r="I122" s="73" t="str">
        <x:f>IF(A122="","",IF(H122="원인분석 대상","세부원인분석 시트에서 거래별 원인을 검토","-"))</x:f>
      </x:c>
      <x:c r="J122" s="73" t="str">
        <x:f>IF(A122="","",COUNTIFS('전기원장'!$A$5:$A$1004,A122,'전기원장'!$J$5:$J$1004,"확인 필요")+COUNTIFS('당기원장'!$A$5:$A$1004,A122,'당기원장'!$J$5:$J$1004,"확인 필요"))</x:f>
      </x:c>
      <x:c r="K122" s="85" t="str">
        <x:f>IF(A122="","",IF(H122&lt;&gt;"원인분석 대상","",IF(J122&gt;0,"붙임 문서 확인 후 원인 확정 필요","결의서명 기반 원인분류 검토")))</x:f>
      </x:c>
    </x:row>
    <x:row r="123">
      <x:c r="A123" s="73" t="str">
        <x:f>IFERROR(INDEX('계산도우미'!$B$5:$B$2004,MATCH(ROWS($A$5:A123),'계산도우미'!$K$5:$K$2004,0)),"")</x:f>
      </x:c>
      <x:c r="B123" s="73" t="str">
        <x:f>IF(A123="","",IFERROR(INDEX('당기원장'!$B$5:$B$1004,MATCH(A123,'당기원장'!$A$5:$A$1004,0)),IFERROR(INDEX('전기원장'!$B$5:$B$1004,MATCH(A123,'전기원장'!$A$5:$A$1004,0)),"")))</x:f>
      </x:c>
      <x:c r="C123" s="75" t="str">
        <x:f>IF(A123="","",SUMIF('전기원장'!$A$5:$A$1004,A123,'전기원장'!$H$5:$H$1004))</x:f>
      </x:c>
      <x:c r="D123" s="75" t="str">
        <x:f>IF(A123="","",SUMIF('당기원장'!$A$5:$A$1004,A123,'당기원장'!$H$5:$H$1004))</x:f>
      </x:c>
      <x:c r="E123" s="75" t="str">
        <x:f>IF(A123="","",D123-C123)</x:f>
      </x:c>
      <x:c r="F123" s="88" t="str">
        <x:f>IF(A123="","",IF(C123=0,IF(D123=0,0,1),ABS(E123)/ABS(C123)))</x:f>
      </x:c>
      <x:c r="G123" s="73" t="str">
        <x:f>IF(A123="","",IF(AND(C123=0,D123&lt;&gt;0),"신규",IF(AND(C123&lt;&gt;0,D123=0),"소멸",IF(E123=0,"변동없음","금액변동"))))</x:f>
      </x:c>
      <x:c r="H123" s="73" t="str">
        <x:f>IF(A123="","",IF(AND(ABS(E123)&gt;='기준설정'!$B$6,OR(G123="신규",G123="소멸",F123&gt;='기준설정'!$B$5)),"원인분석 대상","일반"))</x:f>
      </x:c>
      <x:c r="I123" s="73" t="str">
        <x:f>IF(A123="","",IF(H123="원인분석 대상","세부원인분석 시트에서 거래별 원인을 검토","-"))</x:f>
      </x:c>
      <x:c r="J123" s="73" t="str">
        <x:f>IF(A123="","",COUNTIFS('전기원장'!$A$5:$A$1004,A123,'전기원장'!$J$5:$J$1004,"확인 필요")+COUNTIFS('당기원장'!$A$5:$A$1004,A123,'당기원장'!$J$5:$J$1004,"확인 필요"))</x:f>
      </x:c>
      <x:c r="K123" s="85" t="str">
        <x:f>IF(A123="","",IF(H123&lt;&gt;"원인분석 대상","",IF(J123&gt;0,"붙임 문서 확인 후 원인 확정 필요","결의서명 기반 원인분류 검토")))</x:f>
      </x:c>
    </x:row>
    <x:row r="124">
      <x:c r="A124" s="73" t="str">
        <x:f>IFERROR(INDEX('계산도우미'!$B$5:$B$2004,MATCH(ROWS($A$5:A124),'계산도우미'!$K$5:$K$2004,0)),"")</x:f>
      </x:c>
      <x:c r="B124" s="73" t="str">
        <x:f>IF(A124="","",IFERROR(INDEX('당기원장'!$B$5:$B$1004,MATCH(A124,'당기원장'!$A$5:$A$1004,0)),IFERROR(INDEX('전기원장'!$B$5:$B$1004,MATCH(A124,'전기원장'!$A$5:$A$1004,0)),"")))</x:f>
      </x:c>
      <x:c r="C124" s="75" t="str">
        <x:f>IF(A124="","",SUMIF('전기원장'!$A$5:$A$1004,A124,'전기원장'!$H$5:$H$1004))</x:f>
      </x:c>
      <x:c r="D124" s="75" t="str">
        <x:f>IF(A124="","",SUMIF('당기원장'!$A$5:$A$1004,A124,'당기원장'!$H$5:$H$1004))</x:f>
      </x:c>
      <x:c r="E124" s="75" t="str">
        <x:f>IF(A124="","",D124-C124)</x:f>
      </x:c>
      <x:c r="F124" s="88" t="str">
        <x:f>IF(A124="","",IF(C124=0,IF(D124=0,0,1),ABS(E124)/ABS(C124)))</x:f>
      </x:c>
      <x:c r="G124" s="73" t="str">
        <x:f>IF(A124="","",IF(AND(C124=0,D124&lt;&gt;0),"신규",IF(AND(C124&lt;&gt;0,D124=0),"소멸",IF(E124=0,"변동없음","금액변동"))))</x:f>
      </x:c>
      <x:c r="H124" s="73" t="str">
        <x:f>IF(A124="","",IF(AND(ABS(E124)&gt;='기준설정'!$B$6,OR(G124="신규",G124="소멸",F124&gt;='기준설정'!$B$5)),"원인분석 대상","일반"))</x:f>
      </x:c>
      <x:c r="I124" s="73" t="str">
        <x:f>IF(A124="","",IF(H124="원인분석 대상","세부원인분석 시트에서 거래별 원인을 검토","-"))</x:f>
      </x:c>
      <x:c r="J124" s="73" t="str">
        <x:f>IF(A124="","",COUNTIFS('전기원장'!$A$5:$A$1004,A124,'전기원장'!$J$5:$J$1004,"확인 필요")+COUNTIFS('당기원장'!$A$5:$A$1004,A124,'당기원장'!$J$5:$J$1004,"확인 필요"))</x:f>
      </x:c>
      <x:c r="K124" s="85" t="str">
        <x:f>IF(A124="","",IF(H124&lt;&gt;"원인분석 대상","",IF(J124&gt;0,"붙임 문서 확인 후 원인 확정 필요","결의서명 기반 원인분류 검토")))</x:f>
      </x:c>
    </x:row>
    <x:row r="125">
      <x:c r="A125" s="73" t="str">
        <x:f>IFERROR(INDEX('계산도우미'!$B$5:$B$2004,MATCH(ROWS($A$5:A125),'계산도우미'!$K$5:$K$2004,0)),"")</x:f>
      </x:c>
      <x:c r="B125" s="73" t="str">
        <x:f>IF(A125="","",IFERROR(INDEX('당기원장'!$B$5:$B$1004,MATCH(A125,'당기원장'!$A$5:$A$1004,0)),IFERROR(INDEX('전기원장'!$B$5:$B$1004,MATCH(A125,'전기원장'!$A$5:$A$1004,0)),"")))</x:f>
      </x:c>
      <x:c r="C125" s="75" t="str">
        <x:f>IF(A125="","",SUMIF('전기원장'!$A$5:$A$1004,A125,'전기원장'!$H$5:$H$1004))</x:f>
      </x:c>
      <x:c r="D125" s="75" t="str">
        <x:f>IF(A125="","",SUMIF('당기원장'!$A$5:$A$1004,A125,'당기원장'!$H$5:$H$1004))</x:f>
      </x:c>
      <x:c r="E125" s="75" t="str">
        <x:f>IF(A125="","",D125-C125)</x:f>
      </x:c>
      <x:c r="F125" s="88" t="str">
        <x:f>IF(A125="","",IF(C125=0,IF(D125=0,0,1),ABS(E125)/ABS(C125)))</x:f>
      </x:c>
      <x:c r="G125" s="73" t="str">
        <x:f>IF(A125="","",IF(AND(C125=0,D125&lt;&gt;0),"신규",IF(AND(C125&lt;&gt;0,D125=0),"소멸",IF(E125=0,"변동없음","금액변동"))))</x:f>
      </x:c>
      <x:c r="H125" s="73" t="str">
        <x:f>IF(A125="","",IF(AND(ABS(E125)&gt;='기준설정'!$B$6,OR(G125="신규",G125="소멸",F125&gt;='기준설정'!$B$5)),"원인분석 대상","일반"))</x:f>
      </x:c>
      <x:c r="I125" s="73" t="str">
        <x:f>IF(A125="","",IF(H125="원인분석 대상","세부원인분석 시트에서 거래별 원인을 검토","-"))</x:f>
      </x:c>
      <x:c r="J125" s="73" t="str">
        <x:f>IF(A125="","",COUNTIFS('전기원장'!$A$5:$A$1004,A125,'전기원장'!$J$5:$J$1004,"확인 필요")+COUNTIFS('당기원장'!$A$5:$A$1004,A125,'당기원장'!$J$5:$J$1004,"확인 필요"))</x:f>
      </x:c>
      <x:c r="K125" s="85" t="str">
        <x:f>IF(A125="","",IF(H125&lt;&gt;"원인분석 대상","",IF(J125&gt;0,"붙임 문서 확인 후 원인 확정 필요","결의서명 기반 원인분류 검토")))</x:f>
      </x:c>
    </x:row>
    <x:row r="126">
      <x:c r="A126" s="73" t="str">
        <x:f>IFERROR(INDEX('계산도우미'!$B$5:$B$2004,MATCH(ROWS($A$5:A126),'계산도우미'!$K$5:$K$2004,0)),"")</x:f>
      </x:c>
      <x:c r="B126" s="73" t="str">
        <x:f>IF(A126="","",IFERROR(INDEX('당기원장'!$B$5:$B$1004,MATCH(A126,'당기원장'!$A$5:$A$1004,0)),IFERROR(INDEX('전기원장'!$B$5:$B$1004,MATCH(A126,'전기원장'!$A$5:$A$1004,0)),"")))</x:f>
      </x:c>
      <x:c r="C126" s="75" t="str">
        <x:f>IF(A126="","",SUMIF('전기원장'!$A$5:$A$1004,A126,'전기원장'!$H$5:$H$1004))</x:f>
      </x:c>
      <x:c r="D126" s="75" t="str">
        <x:f>IF(A126="","",SUMIF('당기원장'!$A$5:$A$1004,A126,'당기원장'!$H$5:$H$1004))</x:f>
      </x:c>
      <x:c r="E126" s="75" t="str">
        <x:f>IF(A126="","",D126-C126)</x:f>
      </x:c>
      <x:c r="F126" s="88" t="str">
        <x:f>IF(A126="","",IF(C126=0,IF(D126=0,0,1),ABS(E126)/ABS(C126)))</x:f>
      </x:c>
      <x:c r="G126" s="73" t="str">
        <x:f>IF(A126="","",IF(AND(C126=0,D126&lt;&gt;0),"신규",IF(AND(C126&lt;&gt;0,D126=0),"소멸",IF(E126=0,"변동없음","금액변동"))))</x:f>
      </x:c>
      <x:c r="H126" s="73" t="str">
        <x:f>IF(A126="","",IF(AND(ABS(E126)&gt;='기준설정'!$B$6,OR(G126="신규",G126="소멸",F126&gt;='기준설정'!$B$5)),"원인분석 대상","일반"))</x:f>
      </x:c>
      <x:c r="I126" s="73" t="str">
        <x:f>IF(A126="","",IF(H126="원인분석 대상","세부원인분석 시트에서 거래별 원인을 검토","-"))</x:f>
      </x:c>
      <x:c r="J126" s="73" t="str">
        <x:f>IF(A126="","",COUNTIFS('전기원장'!$A$5:$A$1004,A126,'전기원장'!$J$5:$J$1004,"확인 필요")+COUNTIFS('당기원장'!$A$5:$A$1004,A126,'당기원장'!$J$5:$J$1004,"확인 필요"))</x:f>
      </x:c>
      <x:c r="K126" s="85" t="str">
        <x:f>IF(A126="","",IF(H126&lt;&gt;"원인분석 대상","",IF(J126&gt;0,"붙임 문서 확인 후 원인 확정 필요","결의서명 기반 원인분류 검토")))</x:f>
      </x:c>
    </x:row>
    <x:row r="127">
      <x:c r="A127" s="73" t="str">
        <x:f>IFERROR(INDEX('계산도우미'!$B$5:$B$2004,MATCH(ROWS($A$5:A127),'계산도우미'!$K$5:$K$2004,0)),"")</x:f>
      </x:c>
      <x:c r="B127" s="73" t="str">
        <x:f>IF(A127="","",IFERROR(INDEX('당기원장'!$B$5:$B$1004,MATCH(A127,'당기원장'!$A$5:$A$1004,0)),IFERROR(INDEX('전기원장'!$B$5:$B$1004,MATCH(A127,'전기원장'!$A$5:$A$1004,0)),"")))</x:f>
      </x:c>
      <x:c r="C127" s="75" t="str">
        <x:f>IF(A127="","",SUMIF('전기원장'!$A$5:$A$1004,A127,'전기원장'!$H$5:$H$1004))</x:f>
      </x:c>
      <x:c r="D127" s="75" t="str">
        <x:f>IF(A127="","",SUMIF('당기원장'!$A$5:$A$1004,A127,'당기원장'!$H$5:$H$1004))</x:f>
      </x:c>
      <x:c r="E127" s="75" t="str">
        <x:f>IF(A127="","",D127-C127)</x:f>
      </x:c>
      <x:c r="F127" s="88" t="str">
        <x:f>IF(A127="","",IF(C127=0,IF(D127=0,0,1),ABS(E127)/ABS(C127)))</x:f>
      </x:c>
      <x:c r="G127" s="73" t="str">
        <x:f>IF(A127="","",IF(AND(C127=0,D127&lt;&gt;0),"신규",IF(AND(C127&lt;&gt;0,D127=0),"소멸",IF(E127=0,"변동없음","금액변동"))))</x:f>
      </x:c>
      <x:c r="H127" s="73" t="str">
        <x:f>IF(A127="","",IF(AND(ABS(E127)&gt;='기준설정'!$B$6,OR(G127="신규",G127="소멸",F127&gt;='기준설정'!$B$5)),"원인분석 대상","일반"))</x:f>
      </x:c>
      <x:c r="I127" s="73" t="str">
        <x:f>IF(A127="","",IF(H127="원인분석 대상","세부원인분석 시트에서 거래별 원인을 검토","-"))</x:f>
      </x:c>
      <x:c r="J127" s="73" t="str">
        <x:f>IF(A127="","",COUNTIFS('전기원장'!$A$5:$A$1004,A127,'전기원장'!$J$5:$J$1004,"확인 필요")+COUNTIFS('당기원장'!$A$5:$A$1004,A127,'당기원장'!$J$5:$J$1004,"확인 필요"))</x:f>
      </x:c>
      <x:c r="K127" s="85" t="str">
        <x:f>IF(A127="","",IF(H127&lt;&gt;"원인분석 대상","",IF(J127&gt;0,"붙임 문서 확인 후 원인 확정 필요","결의서명 기반 원인분류 검토")))</x:f>
      </x:c>
    </x:row>
    <x:row r="128">
      <x:c r="A128" s="73" t="str">
        <x:f>IFERROR(INDEX('계산도우미'!$B$5:$B$2004,MATCH(ROWS($A$5:A128),'계산도우미'!$K$5:$K$2004,0)),"")</x:f>
      </x:c>
      <x:c r="B128" s="73" t="str">
        <x:f>IF(A128="","",IFERROR(INDEX('당기원장'!$B$5:$B$1004,MATCH(A128,'당기원장'!$A$5:$A$1004,0)),IFERROR(INDEX('전기원장'!$B$5:$B$1004,MATCH(A128,'전기원장'!$A$5:$A$1004,0)),"")))</x:f>
      </x:c>
      <x:c r="C128" s="75" t="str">
        <x:f>IF(A128="","",SUMIF('전기원장'!$A$5:$A$1004,A128,'전기원장'!$H$5:$H$1004))</x:f>
      </x:c>
      <x:c r="D128" s="75" t="str">
        <x:f>IF(A128="","",SUMIF('당기원장'!$A$5:$A$1004,A128,'당기원장'!$H$5:$H$1004))</x:f>
      </x:c>
      <x:c r="E128" s="75" t="str">
        <x:f>IF(A128="","",D128-C128)</x:f>
      </x:c>
      <x:c r="F128" s="88" t="str">
        <x:f>IF(A128="","",IF(C128=0,IF(D128=0,0,1),ABS(E128)/ABS(C128)))</x:f>
      </x:c>
      <x:c r="G128" s="73" t="str">
        <x:f>IF(A128="","",IF(AND(C128=0,D128&lt;&gt;0),"신규",IF(AND(C128&lt;&gt;0,D128=0),"소멸",IF(E128=0,"변동없음","금액변동"))))</x:f>
      </x:c>
      <x:c r="H128" s="73" t="str">
        <x:f>IF(A128="","",IF(AND(ABS(E128)&gt;='기준설정'!$B$6,OR(G128="신규",G128="소멸",F128&gt;='기준설정'!$B$5)),"원인분석 대상","일반"))</x:f>
      </x:c>
      <x:c r="I128" s="73" t="str">
        <x:f>IF(A128="","",IF(H128="원인분석 대상","세부원인분석 시트에서 거래별 원인을 검토","-"))</x:f>
      </x:c>
      <x:c r="J128" s="73" t="str">
        <x:f>IF(A128="","",COUNTIFS('전기원장'!$A$5:$A$1004,A128,'전기원장'!$J$5:$J$1004,"확인 필요")+COUNTIFS('당기원장'!$A$5:$A$1004,A128,'당기원장'!$J$5:$J$1004,"확인 필요"))</x:f>
      </x:c>
      <x:c r="K128" s="85" t="str">
        <x:f>IF(A128="","",IF(H128&lt;&gt;"원인분석 대상","",IF(J128&gt;0,"붙임 문서 확인 후 원인 확정 필요","결의서명 기반 원인분류 검토")))</x:f>
      </x:c>
    </x:row>
    <x:row r="129">
      <x:c r="A129" s="73" t="str">
        <x:f>IFERROR(INDEX('계산도우미'!$B$5:$B$2004,MATCH(ROWS($A$5:A129),'계산도우미'!$K$5:$K$2004,0)),"")</x:f>
      </x:c>
      <x:c r="B129" s="73" t="str">
        <x:f>IF(A129="","",IFERROR(INDEX('당기원장'!$B$5:$B$1004,MATCH(A129,'당기원장'!$A$5:$A$1004,0)),IFERROR(INDEX('전기원장'!$B$5:$B$1004,MATCH(A129,'전기원장'!$A$5:$A$1004,0)),"")))</x:f>
      </x:c>
      <x:c r="C129" s="75" t="str">
        <x:f>IF(A129="","",SUMIF('전기원장'!$A$5:$A$1004,A129,'전기원장'!$H$5:$H$1004))</x:f>
      </x:c>
      <x:c r="D129" s="75" t="str">
        <x:f>IF(A129="","",SUMIF('당기원장'!$A$5:$A$1004,A129,'당기원장'!$H$5:$H$1004))</x:f>
      </x:c>
      <x:c r="E129" s="75" t="str">
        <x:f>IF(A129="","",D129-C129)</x:f>
      </x:c>
      <x:c r="F129" s="88" t="str">
        <x:f>IF(A129="","",IF(C129=0,IF(D129=0,0,1),ABS(E129)/ABS(C129)))</x:f>
      </x:c>
      <x:c r="G129" s="73" t="str">
        <x:f>IF(A129="","",IF(AND(C129=0,D129&lt;&gt;0),"신규",IF(AND(C129&lt;&gt;0,D129=0),"소멸",IF(E129=0,"변동없음","금액변동"))))</x:f>
      </x:c>
      <x:c r="H129" s="73" t="str">
        <x:f>IF(A129="","",IF(AND(ABS(E129)&gt;='기준설정'!$B$6,OR(G129="신규",G129="소멸",F129&gt;='기준설정'!$B$5)),"원인분석 대상","일반"))</x:f>
      </x:c>
      <x:c r="I129" s="73" t="str">
        <x:f>IF(A129="","",IF(H129="원인분석 대상","세부원인분석 시트에서 거래별 원인을 검토","-"))</x:f>
      </x:c>
      <x:c r="J129" s="73" t="str">
        <x:f>IF(A129="","",COUNTIFS('전기원장'!$A$5:$A$1004,A129,'전기원장'!$J$5:$J$1004,"확인 필요")+COUNTIFS('당기원장'!$A$5:$A$1004,A129,'당기원장'!$J$5:$J$1004,"확인 필요"))</x:f>
      </x:c>
      <x:c r="K129" s="85" t="str">
        <x:f>IF(A129="","",IF(H129&lt;&gt;"원인분석 대상","",IF(J129&gt;0,"붙임 문서 확인 후 원인 확정 필요","결의서명 기반 원인분류 검토")))</x:f>
      </x:c>
    </x:row>
    <x:row r="130">
      <x:c r="A130" s="73" t="str">
        <x:f>IFERROR(INDEX('계산도우미'!$B$5:$B$2004,MATCH(ROWS($A$5:A130),'계산도우미'!$K$5:$K$2004,0)),"")</x:f>
      </x:c>
      <x:c r="B130" s="73" t="str">
        <x:f>IF(A130="","",IFERROR(INDEX('당기원장'!$B$5:$B$1004,MATCH(A130,'당기원장'!$A$5:$A$1004,0)),IFERROR(INDEX('전기원장'!$B$5:$B$1004,MATCH(A130,'전기원장'!$A$5:$A$1004,0)),"")))</x:f>
      </x:c>
      <x:c r="C130" s="75" t="str">
        <x:f>IF(A130="","",SUMIF('전기원장'!$A$5:$A$1004,A130,'전기원장'!$H$5:$H$1004))</x:f>
      </x:c>
      <x:c r="D130" s="75" t="str">
        <x:f>IF(A130="","",SUMIF('당기원장'!$A$5:$A$1004,A130,'당기원장'!$H$5:$H$1004))</x:f>
      </x:c>
      <x:c r="E130" s="75" t="str">
        <x:f>IF(A130="","",D130-C130)</x:f>
      </x:c>
      <x:c r="F130" s="88" t="str">
        <x:f>IF(A130="","",IF(C130=0,IF(D130=0,0,1),ABS(E130)/ABS(C130)))</x:f>
      </x:c>
      <x:c r="G130" s="73" t="str">
        <x:f>IF(A130="","",IF(AND(C130=0,D130&lt;&gt;0),"신규",IF(AND(C130&lt;&gt;0,D130=0),"소멸",IF(E130=0,"변동없음","금액변동"))))</x:f>
      </x:c>
      <x:c r="H130" s="73" t="str">
        <x:f>IF(A130="","",IF(AND(ABS(E130)&gt;='기준설정'!$B$6,OR(G130="신규",G130="소멸",F130&gt;='기준설정'!$B$5)),"원인분석 대상","일반"))</x:f>
      </x:c>
      <x:c r="I130" s="73" t="str">
        <x:f>IF(A130="","",IF(H130="원인분석 대상","세부원인분석 시트에서 거래별 원인을 검토","-"))</x:f>
      </x:c>
      <x:c r="J130" s="73" t="str">
        <x:f>IF(A130="","",COUNTIFS('전기원장'!$A$5:$A$1004,A130,'전기원장'!$J$5:$J$1004,"확인 필요")+COUNTIFS('당기원장'!$A$5:$A$1004,A130,'당기원장'!$J$5:$J$1004,"확인 필요"))</x:f>
      </x:c>
      <x:c r="K130" s="85" t="str">
        <x:f>IF(A130="","",IF(H130&lt;&gt;"원인분석 대상","",IF(J130&gt;0,"붙임 문서 확인 후 원인 확정 필요","결의서명 기반 원인분류 검토")))</x:f>
      </x:c>
    </x:row>
    <x:row r="131">
      <x:c r="A131" s="73" t="str">
        <x:f>IFERROR(INDEX('계산도우미'!$B$5:$B$2004,MATCH(ROWS($A$5:A131),'계산도우미'!$K$5:$K$2004,0)),"")</x:f>
      </x:c>
      <x:c r="B131" s="73" t="str">
        <x:f>IF(A131="","",IFERROR(INDEX('당기원장'!$B$5:$B$1004,MATCH(A131,'당기원장'!$A$5:$A$1004,0)),IFERROR(INDEX('전기원장'!$B$5:$B$1004,MATCH(A131,'전기원장'!$A$5:$A$1004,0)),"")))</x:f>
      </x:c>
      <x:c r="C131" s="75" t="str">
        <x:f>IF(A131="","",SUMIF('전기원장'!$A$5:$A$1004,A131,'전기원장'!$H$5:$H$1004))</x:f>
      </x:c>
      <x:c r="D131" s="75" t="str">
        <x:f>IF(A131="","",SUMIF('당기원장'!$A$5:$A$1004,A131,'당기원장'!$H$5:$H$1004))</x:f>
      </x:c>
      <x:c r="E131" s="75" t="str">
        <x:f>IF(A131="","",D131-C131)</x:f>
      </x:c>
      <x:c r="F131" s="88" t="str">
        <x:f>IF(A131="","",IF(C131=0,IF(D131=0,0,1),ABS(E131)/ABS(C131)))</x:f>
      </x:c>
      <x:c r="G131" s="73" t="str">
        <x:f>IF(A131="","",IF(AND(C131=0,D131&lt;&gt;0),"신규",IF(AND(C131&lt;&gt;0,D131=0),"소멸",IF(E131=0,"변동없음","금액변동"))))</x:f>
      </x:c>
      <x:c r="H131" s="73" t="str">
        <x:f>IF(A131="","",IF(AND(ABS(E131)&gt;='기준설정'!$B$6,OR(G131="신규",G131="소멸",F131&gt;='기준설정'!$B$5)),"원인분석 대상","일반"))</x:f>
      </x:c>
      <x:c r="I131" s="73" t="str">
        <x:f>IF(A131="","",IF(H131="원인분석 대상","세부원인분석 시트에서 거래별 원인을 검토","-"))</x:f>
      </x:c>
      <x:c r="J131" s="73" t="str">
        <x:f>IF(A131="","",COUNTIFS('전기원장'!$A$5:$A$1004,A131,'전기원장'!$J$5:$J$1004,"확인 필요")+COUNTIFS('당기원장'!$A$5:$A$1004,A131,'당기원장'!$J$5:$J$1004,"확인 필요"))</x:f>
      </x:c>
      <x:c r="K131" s="85" t="str">
        <x:f>IF(A131="","",IF(H131&lt;&gt;"원인분석 대상","",IF(J131&gt;0,"붙임 문서 확인 후 원인 확정 필요","결의서명 기반 원인분류 검토")))</x:f>
      </x:c>
    </x:row>
    <x:row r="132">
      <x:c r="A132" s="73" t="str">
        <x:f>IFERROR(INDEX('계산도우미'!$B$5:$B$2004,MATCH(ROWS($A$5:A132),'계산도우미'!$K$5:$K$2004,0)),"")</x:f>
      </x:c>
      <x:c r="B132" s="73" t="str">
        <x:f>IF(A132="","",IFERROR(INDEX('당기원장'!$B$5:$B$1004,MATCH(A132,'당기원장'!$A$5:$A$1004,0)),IFERROR(INDEX('전기원장'!$B$5:$B$1004,MATCH(A132,'전기원장'!$A$5:$A$1004,0)),"")))</x:f>
      </x:c>
      <x:c r="C132" s="75" t="str">
        <x:f>IF(A132="","",SUMIF('전기원장'!$A$5:$A$1004,A132,'전기원장'!$H$5:$H$1004))</x:f>
      </x:c>
      <x:c r="D132" s="75" t="str">
        <x:f>IF(A132="","",SUMIF('당기원장'!$A$5:$A$1004,A132,'당기원장'!$H$5:$H$1004))</x:f>
      </x:c>
      <x:c r="E132" s="75" t="str">
        <x:f>IF(A132="","",D132-C132)</x:f>
      </x:c>
      <x:c r="F132" s="88" t="str">
        <x:f>IF(A132="","",IF(C132=0,IF(D132=0,0,1),ABS(E132)/ABS(C132)))</x:f>
      </x:c>
      <x:c r="G132" s="73" t="str">
        <x:f>IF(A132="","",IF(AND(C132=0,D132&lt;&gt;0),"신규",IF(AND(C132&lt;&gt;0,D132=0),"소멸",IF(E132=0,"변동없음","금액변동"))))</x:f>
      </x:c>
      <x:c r="H132" s="73" t="str">
        <x:f>IF(A132="","",IF(AND(ABS(E132)&gt;='기준설정'!$B$6,OR(G132="신규",G132="소멸",F132&gt;='기준설정'!$B$5)),"원인분석 대상","일반"))</x:f>
      </x:c>
      <x:c r="I132" s="73" t="str">
        <x:f>IF(A132="","",IF(H132="원인분석 대상","세부원인분석 시트에서 거래별 원인을 검토","-"))</x:f>
      </x:c>
      <x:c r="J132" s="73" t="str">
        <x:f>IF(A132="","",COUNTIFS('전기원장'!$A$5:$A$1004,A132,'전기원장'!$J$5:$J$1004,"확인 필요")+COUNTIFS('당기원장'!$A$5:$A$1004,A132,'당기원장'!$J$5:$J$1004,"확인 필요"))</x:f>
      </x:c>
      <x:c r="K132" s="85" t="str">
        <x:f>IF(A132="","",IF(H132&lt;&gt;"원인분석 대상","",IF(J132&gt;0,"붙임 문서 확인 후 원인 확정 필요","결의서명 기반 원인분류 검토")))</x:f>
      </x:c>
    </x:row>
    <x:row r="133">
      <x:c r="A133" s="73" t="str">
        <x:f>IFERROR(INDEX('계산도우미'!$B$5:$B$2004,MATCH(ROWS($A$5:A133),'계산도우미'!$K$5:$K$2004,0)),"")</x:f>
      </x:c>
      <x:c r="B133" s="73" t="str">
        <x:f>IF(A133="","",IFERROR(INDEX('당기원장'!$B$5:$B$1004,MATCH(A133,'당기원장'!$A$5:$A$1004,0)),IFERROR(INDEX('전기원장'!$B$5:$B$1004,MATCH(A133,'전기원장'!$A$5:$A$1004,0)),"")))</x:f>
      </x:c>
      <x:c r="C133" s="75" t="str">
        <x:f>IF(A133="","",SUMIF('전기원장'!$A$5:$A$1004,A133,'전기원장'!$H$5:$H$1004))</x:f>
      </x:c>
      <x:c r="D133" s="75" t="str">
        <x:f>IF(A133="","",SUMIF('당기원장'!$A$5:$A$1004,A133,'당기원장'!$H$5:$H$1004))</x:f>
      </x:c>
      <x:c r="E133" s="75" t="str">
        <x:f>IF(A133="","",D133-C133)</x:f>
      </x:c>
      <x:c r="F133" s="88" t="str">
        <x:f>IF(A133="","",IF(C133=0,IF(D133=0,0,1),ABS(E133)/ABS(C133)))</x:f>
      </x:c>
      <x:c r="G133" s="73" t="str">
        <x:f>IF(A133="","",IF(AND(C133=0,D133&lt;&gt;0),"신규",IF(AND(C133&lt;&gt;0,D133=0),"소멸",IF(E133=0,"변동없음","금액변동"))))</x:f>
      </x:c>
      <x:c r="H133" s="73" t="str">
        <x:f>IF(A133="","",IF(AND(ABS(E133)&gt;='기준설정'!$B$6,OR(G133="신규",G133="소멸",F133&gt;='기준설정'!$B$5)),"원인분석 대상","일반"))</x:f>
      </x:c>
      <x:c r="I133" s="73" t="str">
        <x:f>IF(A133="","",IF(H133="원인분석 대상","세부원인분석 시트에서 거래별 원인을 검토","-"))</x:f>
      </x:c>
      <x:c r="J133" s="73" t="str">
        <x:f>IF(A133="","",COUNTIFS('전기원장'!$A$5:$A$1004,A133,'전기원장'!$J$5:$J$1004,"확인 필요")+COUNTIFS('당기원장'!$A$5:$A$1004,A133,'당기원장'!$J$5:$J$1004,"확인 필요"))</x:f>
      </x:c>
      <x:c r="K133" s="85" t="str">
        <x:f>IF(A133="","",IF(H133&lt;&gt;"원인분석 대상","",IF(J133&gt;0,"붙임 문서 확인 후 원인 확정 필요","결의서명 기반 원인분류 검토")))</x:f>
      </x:c>
    </x:row>
    <x:row r="134">
      <x:c r="A134" s="73" t="str">
        <x:f>IFERROR(INDEX('계산도우미'!$B$5:$B$2004,MATCH(ROWS($A$5:A134),'계산도우미'!$K$5:$K$2004,0)),"")</x:f>
      </x:c>
      <x:c r="B134" s="73" t="str">
        <x:f>IF(A134="","",IFERROR(INDEX('당기원장'!$B$5:$B$1004,MATCH(A134,'당기원장'!$A$5:$A$1004,0)),IFERROR(INDEX('전기원장'!$B$5:$B$1004,MATCH(A134,'전기원장'!$A$5:$A$1004,0)),"")))</x:f>
      </x:c>
      <x:c r="C134" s="75" t="str">
        <x:f>IF(A134="","",SUMIF('전기원장'!$A$5:$A$1004,A134,'전기원장'!$H$5:$H$1004))</x:f>
      </x:c>
      <x:c r="D134" s="75" t="str">
        <x:f>IF(A134="","",SUMIF('당기원장'!$A$5:$A$1004,A134,'당기원장'!$H$5:$H$1004))</x:f>
      </x:c>
      <x:c r="E134" s="75" t="str">
        <x:f>IF(A134="","",D134-C134)</x:f>
      </x:c>
      <x:c r="F134" s="88" t="str">
        <x:f>IF(A134="","",IF(C134=0,IF(D134=0,0,1),ABS(E134)/ABS(C134)))</x:f>
      </x:c>
      <x:c r="G134" s="73" t="str">
        <x:f>IF(A134="","",IF(AND(C134=0,D134&lt;&gt;0),"신규",IF(AND(C134&lt;&gt;0,D134=0),"소멸",IF(E134=0,"변동없음","금액변동"))))</x:f>
      </x:c>
      <x:c r="H134" s="73" t="str">
        <x:f>IF(A134="","",IF(AND(ABS(E134)&gt;='기준설정'!$B$6,OR(G134="신규",G134="소멸",F134&gt;='기준설정'!$B$5)),"원인분석 대상","일반"))</x:f>
      </x:c>
      <x:c r="I134" s="73" t="str">
        <x:f>IF(A134="","",IF(H134="원인분석 대상","세부원인분석 시트에서 거래별 원인을 검토","-"))</x:f>
      </x:c>
      <x:c r="J134" s="73" t="str">
        <x:f>IF(A134="","",COUNTIFS('전기원장'!$A$5:$A$1004,A134,'전기원장'!$J$5:$J$1004,"확인 필요")+COUNTIFS('당기원장'!$A$5:$A$1004,A134,'당기원장'!$J$5:$J$1004,"확인 필요"))</x:f>
      </x:c>
      <x:c r="K134" s="85" t="str">
        <x:f>IF(A134="","",IF(H134&lt;&gt;"원인분석 대상","",IF(J134&gt;0,"붙임 문서 확인 후 원인 확정 필요","결의서명 기반 원인분류 검토")))</x:f>
      </x:c>
    </x:row>
    <x:row r="135">
      <x:c r="A135" s="73" t="str">
        <x:f>IFERROR(INDEX('계산도우미'!$B$5:$B$2004,MATCH(ROWS($A$5:A135),'계산도우미'!$K$5:$K$2004,0)),"")</x:f>
      </x:c>
      <x:c r="B135" s="73" t="str">
        <x:f>IF(A135="","",IFERROR(INDEX('당기원장'!$B$5:$B$1004,MATCH(A135,'당기원장'!$A$5:$A$1004,0)),IFERROR(INDEX('전기원장'!$B$5:$B$1004,MATCH(A135,'전기원장'!$A$5:$A$1004,0)),"")))</x:f>
      </x:c>
      <x:c r="C135" s="75" t="str">
        <x:f>IF(A135="","",SUMIF('전기원장'!$A$5:$A$1004,A135,'전기원장'!$H$5:$H$1004))</x:f>
      </x:c>
      <x:c r="D135" s="75" t="str">
        <x:f>IF(A135="","",SUMIF('당기원장'!$A$5:$A$1004,A135,'당기원장'!$H$5:$H$1004))</x:f>
      </x:c>
      <x:c r="E135" s="75" t="str">
        <x:f>IF(A135="","",D135-C135)</x:f>
      </x:c>
      <x:c r="F135" s="88" t="str">
        <x:f>IF(A135="","",IF(C135=0,IF(D135=0,0,1),ABS(E135)/ABS(C135)))</x:f>
      </x:c>
      <x:c r="G135" s="73" t="str">
        <x:f>IF(A135="","",IF(AND(C135=0,D135&lt;&gt;0),"신규",IF(AND(C135&lt;&gt;0,D135=0),"소멸",IF(E135=0,"변동없음","금액변동"))))</x:f>
      </x:c>
      <x:c r="H135" s="73" t="str">
        <x:f>IF(A135="","",IF(AND(ABS(E135)&gt;='기준설정'!$B$6,OR(G135="신규",G135="소멸",F135&gt;='기준설정'!$B$5)),"원인분석 대상","일반"))</x:f>
      </x:c>
      <x:c r="I135" s="73" t="str">
        <x:f>IF(A135="","",IF(H135="원인분석 대상","세부원인분석 시트에서 거래별 원인을 검토","-"))</x:f>
      </x:c>
      <x:c r="J135" s="73" t="str">
        <x:f>IF(A135="","",COUNTIFS('전기원장'!$A$5:$A$1004,A135,'전기원장'!$J$5:$J$1004,"확인 필요")+COUNTIFS('당기원장'!$A$5:$A$1004,A135,'당기원장'!$J$5:$J$1004,"확인 필요"))</x:f>
      </x:c>
      <x:c r="K135" s="85" t="str">
        <x:f>IF(A135="","",IF(H135&lt;&gt;"원인분석 대상","",IF(J135&gt;0,"붙임 문서 확인 후 원인 확정 필요","결의서명 기반 원인분류 검토")))</x:f>
      </x:c>
    </x:row>
    <x:row r="136">
      <x:c r="A136" s="73" t="str">
        <x:f>IFERROR(INDEX('계산도우미'!$B$5:$B$2004,MATCH(ROWS($A$5:A136),'계산도우미'!$K$5:$K$2004,0)),"")</x:f>
      </x:c>
      <x:c r="B136" s="73" t="str">
        <x:f>IF(A136="","",IFERROR(INDEX('당기원장'!$B$5:$B$1004,MATCH(A136,'당기원장'!$A$5:$A$1004,0)),IFERROR(INDEX('전기원장'!$B$5:$B$1004,MATCH(A136,'전기원장'!$A$5:$A$1004,0)),"")))</x:f>
      </x:c>
      <x:c r="C136" s="75" t="str">
        <x:f>IF(A136="","",SUMIF('전기원장'!$A$5:$A$1004,A136,'전기원장'!$H$5:$H$1004))</x:f>
      </x:c>
      <x:c r="D136" s="75" t="str">
        <x:f>IF(A136="","",SUMIF('당기원장'!$A$5:$A$1004,A136,'당기원장'!$H$5:$H$1004))</x:f>
      </x:c>
      <x:c r="E136" s="75" t="str">
        <x:f>IF(A136="","",D136-C136)</x:f>
      </x:c>
      <x:c r="F136" s="88" t="str">
        <x:f>IF(A136="","",IF(C136=0,IF(D136=0,0,1),ABS(E136)/ABS(C136)))</x:f>
      </x:c>
      <x:c r="G136" s="73" t="str">
        <x:f>IF(A136="","",IF(AND(C136=0,D136&lt;&gt;0),"신규",IF(AND(C136&lt;&gt;0,D136=0),"소멸",IF(E136=0,"변동없음","금액변동"))))</x:f>
      </x:c>
      <x:c r="H136" s="73" t="str">
        <x:f>IF(A136="","",IF(AND(ABS(E136)&gt;='기준설정'!$B$6,OR(G136="신규",G136="소멸",F136&gt;='기준설정'!$B$5)),"원인분석 대상","일반"))</x:f>
      </x:c>
      <x:c r="I136" s="73" t="str">
        <x:f>IF(A136="","",IF(H136="원인분석 대상","세부원인분석 시트에서 거래별 원인을 검토","-"))</x:f>
      </x:c>
      <x:c r="J136" s="73" t="str">
        <x:f>IF(A136="","",COUNTIFS('전기원장'!$A$5:$A$1004,A136,'전기원장'!$J$5:$J$1004,"확인 필요")+COUNTIFS('당기원장'!$A$5:$A$1004,A136,'당기원장'!$J$5:$J$1004,"확인 필요"))</x:f>
      </x:c>
      <x:c r="K136" s="85" t="str">
        <x:f>IF(A136="","",IF(H136&lt;&gt;"원인분석 대상","",IF(J136&gt;0,"붙임 문서 확인 후 원인 확정 필요","결의서명 기반 원인분류 검토")))</x:f>
      </x:c>
    </x:row>
    <x:row r="137">
      <x:c r="A137" s="73" t="str">
        <x:f>IFERROR(INDEX('계산도우미'!$B$5:$B$2004,MATCH(ROWS($A$5:A137),'계산도우미'!$K$5:$K$2004,0)),"")</x:f>
      </x:c>
      <x:c r="B137" s="73" t="str">
        <x:f>IF(A137="","",IFERROR(INDEX('당기원장'!$B$5:$B$1004,MATCH(A137,'당기원장'!$A$5:$A$1004,0)),IFERROR(INDEX('전기원장'!$B$5:$B$1004,MATCH(A137,'전기원장'!$A$5:$A$1004,0)),"")))</x:f>
      </x:c>
      <x:c r="C137" s="75" t="str">
        <x:f>IF(A137="","",SUMIF('전기원장'!$A$5:$A$1004,A137,'전기원장'!$H$5:$H$1004))</x:f>
      </x:c>
      <x:c r="D137" s="75" t="str">
        <x:f>IF(A137="","",SUMIF('당기원장'!$A$5:$A$1004,A137,'당기원장'!$H$5:$H$1004))</x:f>
      </x:c>
      <x:c r="E137" s="75" t="str">
        <x:f>IF(A137="","",D137-C137)</x:f>
      </x:c>
      <x:c r="F137" s="88" t="str">
        <x:f>IF(A137="","",IF(C137=0,IF(D137=0,0,1),ABS(E137)/ABS(C137)))</x:f>
      </x:c>
      <x:c r="G137" s="73" t="str">
        <x:f>IF(A137="","",IF(AND(C137=0,D137&lt;&gt;0),"신규",IF(AND(C137&lt;&gt;0,D137=0),"소멸",IF(E137=0,"변동없음","금액변동"))))</x:f>
      </x:c>
      <x:c r="H137" s="73" t="str">
        <x:f>IF(A137="","",IF(AND(ABS(E137)&gt;='기준설정'!$B$6,OR(G137="신규",G137="소멸",F137&gt;='기준설정'!$B$5)),"원인분석 대상","일반"))</x:f>
      </x:c>
      <x:c r="I137" s="73" t="str">
        <x:f>IF(A137="","",IF(H137="원인분석 대상","세부원인분석 시트에서 거래별 원인을 검토","-"))</x:f>
      </x:c>
      <x:c r="J137" s="73" t="str">
        <x:f>IF(A137="","",COUNTIFS('전기원장'!$A$5:$A$1004,A137,'전기원장'!$J$5:$J$1004,"확인 필요")+COUNTIFS('당기원장'!$A$5:$A$1004,A137,'당기원장'!$J$5:$J$1004,"확인 필요"))</x:f>
      </x:c>
      <x:c r="K137" s="85" t="str">
        <x:f>IF(A137="","",IF(H137&lt;&gt;"원인분석 대상","",IF(J137&gt;0,"붙임 문서 확인 후 원인 확정 필요","결의서명 기반 원인분류 검토")))</x:f>
      </x:c>
    </x:row>
    <x:row r="138">
      <x:c r="A138" s="73" t="str">
        <x:f>IFERROR(INDEX('계산도우미'!$B$5:$B$2004,MATCH(ROWS($A$5:A138),'계산도우미'!$K$5:$K$2004,0)),"")</x:f>
      </x:c>
      <x:c r="B138" s="73" t="str">
        <x:f>IF(A138="","",IFERROR(INDEX('당기원장'!$B$5:$B$1004,MATCH(A138,'당기원장'!$A$5:$A$1004,0)),IFERROR(INDEX('전기원장'!$B$5:$B$1004,MATCH(A138,'전기원장'!$A$5:$A$1004,0)),"")))</x:f>
      </x:c>
      <x:c r="C138" s="75" t="str">
        <x:f>IF(A138="","",SUMIF('전기원장'!$A$5:$A$1004,A138,'전기원장'!$H$5:$H$1004))</x:f>
      </x:c>
      <x:c r="D138" s="75" t="str">
        <x:f>IF(A138="","",SUMIF('당기원장'!$A$5:$A$1004,A138,'당기원장'!$H$5:$H$1004))</x:f>
      </x:c>
      <x:c r="E138" s="75" t="str">
        <x:f>IF(A138="","",D138-C138)</x:f>
      </x:c>
      <x:c r="F138" s="88" t="str">
        <x:f>IF(A138="","",IF(C138=0,IF(D138=0,0,1),ABS(E138)/ABS(C138)))</x:f>
      </x:c>
      <x:c r="G138" s="73" t="str">
        <x:f>IF(A138="","",IF(AND(C138=0,D138&lt;&gt;0),"신규",IF(AND(C138&lt;&gt;0,D138=0),"소멸",IF(E138=0,"변동없음","금액변동"))))</x:f>
      </x:c>
      <x:c r="H138" s="73" t="str">
        <x:f>IF(A138="","",IF(AND(ABS(E138)&gt;='기준설정'!$B$6,OR(G138="신규",G138="소멸",F138&gt;='기준설정'!$B$5)),"원인분석 대상","일반"))</x:f>
      </x:c>
      <x:c r="I138" s="73" t="str">
        <x:f>IF(A138="","",IF(H138="원인분석 대상","세부원인분석 시트에서 거래별 원인을 검토","-"))</x:f>
      </x:c>
      <x:c r="J138" s="73" t="str">
        <x:f>IF(A138="","",COUNTIFS('전기원장'!$A$5:$A$1004,A138,'전기원장'!$J$5:$J$1004,"확인 필요")+COUNTIFS('당기원장'!$A$5:$A$1004,A138,'당기원장'!$J$5:$J$1004,"확인 필요"))</x:f>
      </x:c>
      <x:c r="K138" s="85" t="str">
        <x:f>IF(A138="","",IF(H138&lt;&gt;"원인분석 대상","",IF(J138&gt;0,"붙임 문서 확인 후 원인 확정 필요","결의서명 기반 원인분류 검토")))</x:f>
      </x:c>
    </x:row>
    <x:row r="139">
      <x:c r="A139" s="73" t="str">
        <x:f>IFERROR(INDEX('계산도우미'!$B$5:$B$2004,MATCH(ROWS($A$5:A139),'계산도우미'!$K$5:$K$2004,0)),"")</x:f>
      </x:c>
      <x:c r="B139" s="73" t="str">
        <x:f>IF(A139="","",IFERROR(INDEX('당기원장'!$B$5:$B$1004,MATCH(A139,'당기원장'!$A$5:$A$1004,0)),IFERROR(INDEX('전기원장'!$B$5:$B$1004,MATCH(A139,'전기원장'!$A$5:$A$1004,0)),"")))</x:f>
      </x:c>
      <x:c r="C139" s="75" t="str">
        <x:f>IF(A139="","",SUMIF('전기원장'!$A$5:$A$1004,A139,'전기원장'!$H$5:$H$1004))</x:f>
      </x:c>
      <x:c r="D139" s="75" t="str">
        <x:f>IF(A139="","",SUMIF('당기원장'!$A$5:$A$1004,A139,'당기원장'!$H$5:$H$1004))</x:f>
      </x:c>
      <x:c r="E139" s="75" t="str">
        <x:f>IF(A139="","",D139-C139)</x:f>
      </x:c>
      <x:c r="F139" s="88" t="str">
        <x:f>IF(A139="","",IF(C139=0,IF(D139=0,0,1),ABS(E139)/ABS(C139)))</x:f>
      </x:c>
      <x:c r="G139" s="73" t="str">
        <x:f>IF(A139="","",IF(AND(C139=0,D139&lt;&gt;0),"신규",IF(AND(C139&lt;&gt;0,D139=0),"소멸",IF(E139=0,"변동없음","금액변동"))))</x:f>
      </x:c>
      <x:c r="H139" s="73" t="str">
        <x:f>IF(A139="","",IF(AND(ABS(E139)&gt;='기준설정'!$B$6,OR(G139="신규",G139="소멸",F139&gt;='기준설정'!$B$5)),"원인분석 대상","일반"))</x:f>
      </x:c>
      <x:c r="I139" s="73" t="str">
        <x:f>IF(A139="","",IF(H139="원인분석 대상","세부원인분석 시트에서 거래별 원인을 검토","-"))</x:f>
      </x:c>
      <x:c r="J139" s="73" t="str">
        <x:f>IF(A139="","",COUNTIFS('전기원장'!$A$5:$A$1004,A139,'전기원장'!$J$5:$J$1004,"확인 필요")+COUNTIFS('당기원장'!$A$5:$A$1004,A139,'당기원장'!$J$5:$J$1004,"확인 필요"))</x:f>
      </x:c>
      <x:c r="K139" s="85" t="str">
        <x:f>IF(A139="","",IF(H139&lt;&gt;"원인분석 대상","",IF(J139&gt;0,"붙임 문서 확인 후 원인 확정 필요","결의서명 기반 원인분류 검토")))</x:f>
      </x:c>
    </x:row>
    <x:row r="140">
      <x:c r="A140" s="73" t="str">
        <x:f>IFERROR(INDEX('계산도우미'!$B$5:$B$2004,MATCH(ROWS($A$5:A140),'계산도우미'!$K$5:$K$2004,0)),"")</x:f>
      </x:c>
      <x:c r="B140" s="73" t="str">
        <x:f>IF(A140="","",IFERROR(INDEX('당기원장'!$B$5:$B$1004,MATCH(A140,'당기원장'!$A$5:$A$1004,0)),IFERROR(INDEX('전기원장'!$B$5:$B$1004,MATCH(A140,'전기원장'!$A$5:$A$1004,0)),"")))</x:f>
      </x:c>
      <x:c r="C140" s="75" t="str">
        <x:f>IF(A140="","",SUMIF('전기원장'!$A$5:$A$1004,A140,'전기원장'!$H$5:$H$1004))</x:f>
      </x:c>
      <x:c r="D140" s="75" t="str">
        <x:f>IF(A140="","",SUMIF('당기원장'!$A$5:$A$1004,A140,'당기원장'!$H$5:$H$1004))</x:f>
      </x:c>
      <x:c r="E140" s="75" t="str">
        <x:f>IF(A140="","",D140-C140)</x:f>
      </x:c>
      <x:c r="F140" s="88" t="str">
        <x:f>IF(A140="","",IF(C140=0,IF(D140=0,0,1),ABS(E140)/ABS(C140)))</x:f>
      </x:c>
      <x:c r="G140" s="73" t="str">
        <x:f>IF(A140="","",IF(AND(C140=0,D140&lt;&gt;0),"신규",IF(AND(C140&lt;&gt;0,D140=0),"소멸",IF(E140=0,"변동없음","금액변동"))))</x:f>
      </x:c>
      <x:c r="H140" s="73" t="str">
        <x:f>IF(A140="","",IF(AND(ABS(E140)&gt;='기준설정'!$B$6,OR(G140="신규",G140="소멸",F140&gt;='기준설정'!$B$5)),"원인분석 대상","일반"))</x:f>
      </x:c>
      <x:c r="I140" s="73" t="str">
        <x:f>IF(A140="","",IF(H140="원인분석 대상","세부원인분석 시트에서 거래별 원인을 검토","-"))</x:f>
      </x:c>
      <x:c r="J140" s="73" t="str">
        <x:f>IF(A140="","",COUNTIFS('전기원장'!$A$5:$A$1004,A140,'전기원장'!$J$5:$J$1004,"확인 필요")+COUNTIFS('당기원장'!$A$5:$A$1004,A140,'당기원장'!$J$5:$J$1004,"확인 필요"))</x:f>
      </x:c>
      <x:c r="K140" s="85" t="str">
        <x:f>IF(A140="","",IF(H140&lt;&gt;"원인분석 대상","",IF(J140&gt;0,"붙임 문서 확인 후 원인 확정 필요","결의서명 기반 원인분류 검토")))</x:f>
      </x:c>
    </x:row>
    <x:row r="141">
      <x:c r="A141" s="73" t="str">
        <x:f>IFERROR(INDEX('계산도우미'!$B$5:$B$2004,MATCH(ROWS($A$5:A141),'계산도우미'!$K$5:$K$2004,0)),"")</x:f>
      </x:c>
      <x:c r="B141" s="73" t="str">
        <x:f>IF(A141="","",IFERROR(INDEX('당기원장'!$B$5:$B$1004,MATCH(A141,'당기원장'!$A$5:$A$1004,0)),IFERROR(INDEX('전기원장'!$B$5:$B$1004,MATCH(A141,'전기원장'!$A$5:$A$1004,0)),"")))</x:f>
      </x:c>
      <x:c r="C141" s="75" t="str">
        <x:f>IF(A141="","",SUMIF('전기원장'!$A$5:$A$1004,A141,'전기원장'!$H$5:$H$1004))</x:f>
      </x:c>
      <x:c r="D141" s="75" t="str">
        <x:f>IF(A141="","",SUMIF('당기원장'!$A$5:$A$1004,A141,'당기원장'!$H$5:$H$1004))</x:f>
      </x:c>
      <x:c r="E141" s="75" t="str">
        <x:f>IF(A141="","",D141-C141)</x:f>
      </x:c>
      <x:c r="F141" s="88" t="str">
        <x:f>IF(A141="","",IF(C141=0,IF(D141=0,0,1),ABS(E141)/ABS(C141)))</x:f>
      </x:c>
      <x:c r="G141" s="73" t="str">
        <x:f>IF(A141="","",IF(AND(C141=0,D141&lt;&gt;0),"신규",IF(AND(C141&lt;&gt;0,D141=0),"소멸",IF(E141=0,"변동없음","금액변동"))))</x:f>
      </x:c>
      <x:c r="H141" s="73" t="str">
        <x:f>IF(A141="","",IF(AND(ABS(E141)&gt;='기준설정'!$B$6,OR(G141="신규",G141="소멸",F141&gt;='기준설정'!$B$5)),"원인분석 대상","일반"))</x:f>
      </x:c>
      <x:c r="I141" s="73" t="str">
        <x:f>IF(A141="","",IF(H141="원인분석 대상","세부원인분석 시트에서 거래별 원인을 검토","-"))</x:f>
      </x:c>
      <x:c r="J141" s="73" t="str">
        <x:f>IF(A141="","",COUNTIFS('전기원장'!$A$5:$A$1004,A141,'전기원장'!$J$5:$J$1004,"확인 필요")+COUNTIFS('당기원장'!$A$5:$A$1004,A141,'당기원장'!$J$5:$J$1004,"확인 필요"))</x:f>
      </x:c>
      <x:c r="K141" s="85" t="str">
        <x:f>IF(A141="","",IF(H141&lt;&gt;"원인분석 대상","",IF(J141&gt;0,"붙임 문서 확인 후 원인 확정 필요","결의서명 기반 원인분류 검토")))</x:f>
      </x:c>
    </x:row>
    <x:row r="142">
      <x:c r="A142" s="73" t="str">
        <x:f>IFERROR(INDEX('계산도우미'!$B$5:$B$2004,MATCH(ROWS($A$5:A142),'계산도우미'!$K$5:$K$2004,0)),"")</x:f>
      </x:c>
      <x:c r="B142" s="73" t="str">
        <x:f>IF(A142="","",IFERROR(INDEX('당기원장'!$B$5:$B$1004,MATCH(A142,'당기원장'!$A$5:$A$1004,0)),IFERROR(INDEX('전기원장'!$B$5:$B$1004,MATCH(A142,'전기원장'!$A$5:$A$1004,0)),"")))</x:f>
      </x:c>
      <x:c r="C142" s="75" t="str">
        <x:f>IF(A142="","",SUMIF('전기원장'!$A$5:$A$1004,A142,'전기원장'!$H$5:$H$1004))</x:f>
      </x:c>
      <x:c r="D142" s="75" t="str">
        <x:f>IF(A142="","",SUMIF('당기원장'!$A$5:$A$1004,A142,'당기원장'!$H$5:$H$1004))</x:f>
      </x:c>
      <x:c r="E142" s="75" t="str">
        <x:f>IF(A142="","",D142-C142)</x:f>
      </x:c>
      <x:c r="F142" s="88" t="str">
        <x:f>IF(A142="","",IF(C142=0,IF(D142=0,0,1),ABS(E142)/ABS(C142)))</x:f>
      </x:c>
      <x:c r="G142" s="73" t="str">
        <x:f>IF(A142="","",IF(AND(C142=0,D142&lt;&gt;0),"신규",IF(AND(C142&lt;&gt;0,D142=0),"소멸",IF(E142=0,"변동없음","금액변동"))))</x:f>
      </x:c>
      <x:c r="H142" s="73" t="str">
        <x:f>IF(A142="","",IF(AND(ABS(E142)&gt;='기준설정'!$B$6,OR(G142="신규",G142="소멸",F142&gt;='기준설정'!$B$5)),"원인분석 대상","일반"))</x:f>
      </x:c>
      <x:c r="I142" s="73" t="str">
        <x:f>IF(A142="","",IF(H142="원인분석 대상","세부원인분석 시트에서 거래별 원인을 검토","-"))</x:f>
      </x:c>
      <x:c r="J142" s="73" t="str">
        <x:f>IF(A142="","",COUNTIFS('전기원장'!$A$5:$A$1004,A142,'전기원장'!$J$5:$J$1004,"확인 필요")+COUNTIFS('당기원장'!$A$5:$A$1004,A142,'당기원장'!$J$5:$J$1004,"확인 필요"))</x:f>
      </x:c>
      <x:c r="K142" s="85" t="str">
        <x:f>IF(A142="","",IF(H142&lt;&gt;"원인분석 대상","",IF(J142&gt;0,"붙임 문서 확인 후 원인 확정 필요","결의서명 기반 원인분류 검토")))</x:f>
      </x:c>
    </x:row>
    <x:row r="143">
      <x:c r="A143" s="73" t="str">
        <x:f>IFERROR(INDEX('계산도우미'!$B$5:$B$2004,MATCH(ROWS($A$5:A143),'계산도우미'!$K$5:$K$2004,0)),"")</x:f>
      </x:c>
      <x:c r="B143" s="73" t="str">
        <x:f>IF(A143="","",IFERROR(INDEX('당기원장'!$B$5:$B$1004,MATCH(A143,'당기원장'!$A$5:$A$1004,0)),IFERROR(INDEX('전기원장'!$B$5:$B$1004,MATCH(A143,'전기원장'!$A$5:$A$1004,0)),"")))</x:f>
      </x:c>
      <x:c r="C143" s="75" t="str">
        <x:f>IF(A143="","",SUMIF('전기원장'!$A$5:$A$1004,A143,'전기원장'!$H$5:$H$1004))</x:f>
      </x:c>
      <x:c r="D143" s="75" t="str">
        <x:f>IF(A143="","",SUMIF('당기원장'!$A$5:$A$1004,A143,'당기원장'!$H$5:$H$1004))</x:f>
      </x:c>
      <x:c r="E143" s="75" t="str">
        <x:f>IF(A143="","",D143-C143)</x:f>
      </x:c>
      <x:c r="F143" s="88" t="str">
        <x:f>IF(A143="","",IF(C143=0,IF(D143=0,0,1),ABS(E143)/ABS(C143)))</x:f>
      </x:c>
      <x:c r="G143" s="73" t="str">
        <x:f>IF(A143="","",IF(AND(C143=0,D143&lt;&gt;0),"신규",IF(AND(C143&lt;&gt;0,D143=0),"소멸",IF(E143=0,"변동없음","금액변동"))))</x:f>
      </x:c>
      <x:c r="H143" s="73" t="str">
        <x:f>IF(A143="","",IF(AND(ABS(E143)&gt;='기준설정'!$B$6,OR(G143="신규",G143="소멸",F143&gt;='기준설정'!$B$5)),"원인분석 대상","일반"))</x:f>
      </x:c>
      <x:c r="I143" s="73" t="str">
        <x:f>IF(A143="","",IF(H143="원인분석 대상","세부원인분석 시트에서 거래별 원인을 검토","-"))</x:f>
      </x:c>
      <x:c r="J143" s="73" t="str">
        <x:f>IF(A143="","",COUNTIFS('전기원장'!$A$5:$A$1004,A143,'전기원장'!$J$5:$J$1004,"확인 필요")+COUNTIFS('당기원장'!$A$5:$A$1004,A143,'당기원장'!$J$5:$J$1004,"확인 필요"))</x:f>
      </x:c>
      <x:c r="K143" s="85" t="str">
        <x:f>IF(A143="","",IF(H143&lt;&gt;"원인분석 대상","",IF(J143&gt;0,"붙임 문서 확인 후 원인 확정 필요","결의서명 기반 원인분류 검토")))</x:f>
      </x:c>
    </x:row>
    <x:row r="144">
      <x:c r="A144" s="73" t="str">
        <x:f>IFERROR(INDEX('계산도우미'!$B$5:$B$2004,MATCH(ROWS($A$5:A144),'계산도우미'!$K$5:$K$2004,0)),"")</x:f>
      </x:c>
      <x:c r="B144" s="73" t="str">
        <x:f>IF(A144="","",IFERROR(INDEX('당기원장'!$B$5:$B$1004,MATCH(A144,'당기원장'!$A$5:$A$1004,0)),IFERROR(INDEX('전기원장'!$B$5:$B$1004,MATCH(A144,'전기원장'!$A$5:$A$1004,0)),"")))</x:f>
      </x:c>
      <x:c r="C144" s="75" t="str">
        <x:f>IF(A144="","",SUMIF('전기원장'!$A$5:$A$1004,A144,'전기원장'!$H$5:$H$1004))</x:f>
      </x:c>
      <x:c r="D144" s="75" t="str">
        <x:f>IF(A144="","",SUMIF('당기원장'!$A$5:$A$1004,A144,'당기원장'!$H$5:$H$1004))</x:f>
      </x:c>
      <x:c r="E144" s="75" t="str">
        <x:f>IF(A144="","",D144-C144)</x:f>
      </x:c>
      <x:c r="F144" s="88" t="str">
        <x:f>IF(A144="","",IF(C144=0,IF(D144=0,0,1),ABS(E144)/ABS(C144)))</x:f>
      </x:c>
      <x:c r="G144" s="73" t="str">
        <x:f>IF(A144="","",IF(AND(C144=0,D144&lt;&gt;0),"신규",IF(AND(C144&lt;&gt;0,D144=0),"소멸",IF(E144=0,"변동없음","금액변동"))))</x:f>
      </x:c>
      <x:c r="H144" s="73" t="str">
        <x:f>IF(A144="","",IF(AND(ABS(E144)&gt;='기준설정'!$B$6,OR(G144="신규",G144="소멸",F144&gt;='기준설정'!$B$5)),"원인분석 대상","일반"))</x:f>
      </x:c>
      <x:c r="I144" s="73" t="str">
        <x:f>IF(A144="","",IF(H144="원인분석 대상","세부원인분석 시트에서 거래별 원인을 검토","-"))</x:f>
      </x:c>
      <x:c r="J144" s="73" t="str">
        <x:f>IF(A144="","",COUNTIFS('전기원장'!$A$5:$A$1004,A144,'전기원장'!$J$5:$J$1004,"확인 필요")+COUNTIFS('당기원장'!$A$5:$A$1004,A144,'당기원장'!$J$5:$J$1004,"확인 필요"))</x:f>
      </x:c>
      <x:c r="K144" s="85" t="str">
        <x:f>IF(A144="","",IF(H144&lt;&gt;"원인분석 대상","",IF(J144&gt;0,"붙임 문서 확인 후 원인 확정 필요","결의서명 기반 원인분류 검토")))</x:f>
      </x:c>
    </x:row>
    <x:row r="145">
      <x:c r="A145" s="73" t="str">
        <x:f>IFERROR(INDEX('계산도우미'!$B$5:$B$2004,MATCH(ROWS($A$5:A145),'계산도우미'!$K$5:$K$2004,0)),"")</x:f>
      </x:c>
      <x:c r="B145" s="73" t="str">
        <x:f>IF(A145="","",IFERROR(INDEX('당기원장'!$B$5:$B$1004,MATCH(A145,'당기원장'!$A$5:$A$1004,0)),IFERROR(INDEX('전기원장'!$B$5:$B$1004,MATCH(A145,'전기원장'!$A$5:$A$1004,0)),"")))</x:f>
      </x:c>
      <x:c r="C145" s="75" t="str">
        <x:f>IF(A145="","",SUMIF('전기원장'!$A$5:$A$1004,A145,'전기원장'!$H$5:$H$1004))</x:f>
      </x:c>
      <x:c r="D145" s="75" t="str">
        <x:f>IF(A145="","",SUMIF('당기원장'!$A$5:$A$1004,A145,'당기원장'!$H$5:$H$1004))</x:f>
      </x:c>
      <x:c r="E145" s="75" t="str">
        <x:f>IF(A145="","",D145-C145)</x:f>
      </x:c>
      <x:c r="F145" s="88" t="str">
        <x:f>IF(A145="","",IF(C145=0,IF(D145=0,0,1),ABS(E145)/ABS(C145)))</x:f>
      </x:c>
      <x:c r="G145" s="73" t="str">
        <x:f>IF(A145="","",IF(AND(C145=0,D145&lt;&gt;0),"신규",IF(AND(C145&lt;&gt;0,D145=0),"소멸",IF(E145=0,"변동없음","금액변동"))))</x:f>
      </x:c>
      <x:c r="H145" s="73" t="str">
        <x:f>IF(A145="","",IF(AND(ABS(E145)&gt;='기준설정'!$B$6,OR(G145="신규",G145="소멸",F145&gt;='기준설정'!$B$5)),"원인분석 대상","일반"))</x:f>
      </x:c>
      <x:c r="I145" s="73" t="str">
        <x:f>IF(A145="","",IF(H145="원인분석 대상","세부원인분석 시트에서 거래별 원인을 검토","-"))</x:f>
      </x:c>
      <x:c r="J145" s="73" t="str">
        <x:f>IF(A145="","",COUNTIFS('전기원장'!$A$5:$A$1004,A145,'전기원장'!$J$5:$J$1004,"확인 필요")+COUNTIFS('당기원장'!$A$5:$A$1004,A145,'당기원장'!$J$5:$J$1004,"확인 필요"))</x:f>
      </x:c>
      <x:c r="K145" s="85" t="str">
        <x:f>IF(A145="","",IF(H145&lt;&gt;"원인분석 대상","",IF(J145&gt;0,"붙임 문서 확인 후 원인 확정 필요","결의서명 기반 원인분류 검토")))</x:f>
      </x:c>
    </x:row>
    <x:row r="146">
      <x:c r="A146" s="73" t="str">
        <x:f>IFERROR(INDEX('계산도우미'!$B$5:$B$2004,MATCH(ROWS($A$5:A146),'계산도우미'!$K$5:$K$2004,0)),"")</x:f>
      </x:c>
      <x:c r="B146" s="73" t="str">
        <x:f>IF(A146="","",IFERROR(INDEX('당기원장'!$B$5:$B$1004,MATCH(A146,'당기원장'!$A$5:$A$1004,0)),IFERROR(INDEX('전기원장'!$B$5:$B$1004,MATCH(A146,'전기원장'!$A$5:$A$1004,0)),"")))</x:f>
      </x:c>
      <x:c r="C146" s="75" t="str">
        <x:f>IF(A146="","",SUMIF('전기원장'!$A$5:$A$1004,A146,'전기원장'!$H$5:$H$1004))</x:f>
      </x:c>
      <x:c r="D146" s="75" t="str">
        <x:f>IF(A146="","",SUMIF('당기원장'!$A$5:$A$1004,A146,'당기원장'!$H$5:$H$1004))</x:f>
      </x:c>
      <x:c r="E146" s="75" t="str">
        <x:f>IF(A146="","",D146-C146)</x:f>
      </x:c>
      <x:c r="F146" s="88" t="str">
        <x:f>IF(A146="","",IF(C146=0,IF(D146=0,0,1),ABS(E146)/ABS(C146)))</x:f>
      </x:c>
      <x:c r="G146" s="73" t="str">
        <x:f>IF(A146="","",IF(AND(C146=0,D146&lt;&gt;0),"신규",IF(AND(C146&lt;&gt;0,D146=0),"소멸",IF(E146=0,"변동없음","금액변동"))))</x:f>
      </x:c>
      <x:c r="H146" s="73" t="str">
        <x:f>IF(A146="","",IF(AND(ABS(E146)&gt;='기준설정'!$B$6,OR(G146="신규",G146="소멸",F146&gt;='기준설정'!$B$5)),"원인분석 대상","일반"))</x:f>
      </x:c>
      <x:c r="I146" s="73" t="str">
        <x:f>IF(A146="","",IF(H146="원인분석 대상","세부원인분석 시트에서 거래별 원인을 검토","-"))</x:f>
      </x:c>
      <x:c r="J146" s="73" t="str">
        <x:f>IF(A146="","",COUNTIFS('전기원장'!$A$5:$A$1004,A146,'전기원장'!$J$5:$J$1004,"확인 필요")+COUNTIFS('당기원장'!$A$5:$A$1004,A146,'당기원장'!$J$5:$J$1004,"확인 필요"))</x:f>
      </x:c>
      <x:c r="K146" s="85" t="str">
        <x:f>IF(A146="","",IF(H146&lt;&gt;"원인분석 대상","",IF(J146&gt;0,"붙임 문서 확인 후 원인 확정 필요","결의서명 기반 원인분류 검토")))</x:f>
      </x:c>
    </x:row>
    <x:row r="147">
      <x:c r="A147" s="73" t="str">
        <x:f>IFERROR(INDEX('계산도우미'!$B$5:$B$2004,MATCH(ROWS($A$5:A147),'계산도우미'!$K$5:$K$2004,0)),"")</x:f>
      </x:c>
      <x:c r="B147" s="73" t="str">
        <x:f>IF(A147="","",IFERROR(INDEX('당기원장'!$B$5:$B$1004,MATCH(A147,'당기원장'!$A$5:$A$1004,0)),IFERROR(INDEX('전기원장'!$B$5:$B$1004,MATCH(A147,'전기원장'!$A$5:$A$1004,0)),"")))</x:f>
      </x:c>
      <x:c r="C147" s="75" t="str">
        <x:f>IF(A147="","",SUMIF('전기원장'!$A$5:$A$1004,A147,'전기원장'!$H$5:$H$1004))</x:f>
      </x:c>
      <x:c r="D147" s="75" t="str">
        <x:f>IF(A147="","",SUMIF('당기원장'!$A$5:$A$1004,A147,'당기원장'!$H$5:$H$1004))</x:f>
      </x:c>
      <x:c r="E147" s="75" t="str">
        <x:f>IF(A147="","",D147-C147)</x:f>
      </x:c>
      <x:c r="F147" s="88" t="str">
        <x:f>IF(A147="","",IF(C147=0,IF(D147=0,0,1),ABS(E147)/ABS(C147)))</x:f>
      </x:c>
      <x:c r="G147" s="73" t="str">
        <x:f>IF(A147="","",IF(AND(C147=0,D147&lt;&gt;0),"신규",IF(AND(C147&lt;&gt;0,D147=0),"소멸",IF(E147=0,"변동없음","금액변동"))))</x:f>
      </x:c>
      <x:c r="H147" s="73" t="str">
        <x:f>IF(A147="","",IF(AND(ABS(E147)&gt;='기준설정'!$B$6,OR(G147="신규",G147="소멸",F147&gt;='기준설정'!$B$5)),"원인분석 대상","일반"))</x:f>
      </x:c>
      <x:c r="I147" s="73" t="str">
        <x:f>IF(A147="","",IF(H147="원인분석 대상","세부원인분석 시트에서 거래별 원인을 검토","-"))</x:f>
      </x:c>
      <x:c r="J147" s="73" t="str">
        <x:f>IF(A147="","",COUNTIFS('전기원장'!$A$5:$A$1004,A147,'전기원장'!$J$5:$J$1004,"확인 필요")+COUNTIFS('당기원장'!$A$5:$A$1004,A147,'당기원장'!$J$5:$J$1004,"확인 필요"))</x:f>
      </x:c>
      <x:c r="K147" s="85" t="str">
        <x:f>IF(A147="","",IF(H147&lt;&gt;"원인분석 대상","",IF(J147&gt;0,"붙임 문서 확인 후 원인 확정 필요","결의서명 기반 원인분류 검토")))</x:f>
      </x:c>
    </x:row>
    <x:row r="148">
      <x:c r="A148" s="73" t="str">
        <x:f>IFERROR(INDEX('계산도우미'!$B$5:$B$2004,MATCH(ROWS($A$5:A148),'계산도우미'!$K$5:$K$2004,0)),"")</x:f>
      </x:c>
      <x:c r="B148" s="73" t="str">
        <x:f>IF(A148="","",IFERROR(INDEX('당기원장'!$B$5:$B$1004,MATCH(A148,'당기원장'!$A$5:$A$1004,0)),IFERROR(INDEX('전기원장'!$B$5:$B$1004,MATCH(A148,'전기원장'!$A$5:$A$1004,0)),"")))</x:f>
      </x:c>
      <x:c r="C148" s="75" t="str">
        <x:f>IF(A148="","",SUMIF('전기원장'!$A$5:$A$1004,A148,'전기원장'!$H$5:$H$1004))</x:f>
      </x:c>
      <x:c r="D148" s="75" t="str">
        <x:f>IF(A148="","",SUMIF('당기원장'!$A$5:$A$1004,A148,'당기원장'!$H$5:$H$1004))</x:f>
      </x:c>
      <x:c r="E148" s="75" t="str">
        <x:f>IF(A148="","",D148-C148)</x:f>
      </x:c>
      <x:c r="F148" s="88" t="str">
        <x:f>IF(A148="","",IF(C148=0,IF(D148=0,0,1),ABS(E148)/ABS(C148)))</x:f>
      </x:c>
      <x:c r="G148" s="73" t="str">
        <x:f>IF(A148="","",IF(AND(C148=0,D148&lt;&gt;0),"신규",IF(AND(C148&lt;&gt;0,D148=0),"소멸",IF(E148=0,"변동없음","금액변동"))))</x:f>
      </x:c>
      <x:c r="H148" s="73" t="str">
        <x:f>IF(A148="","",IF(AND(ABS(E148)&gt;='기준설정'!$B$6,OR(G148="신규",G148="소멸",F148&gt;='기준설정'!$B$5)),"원인분석 대상","일반"))</x:f>
      </x:c>
      <x:c r="I148" s="73" t="str">
        <x:f>IF(A148="","",IF(H148="원인분석 대상","세부원인분석 시트에서 거래별 원인을 검토","-"))</x:f>
      </x:c>
      <x:c r="J148" s="73" t="str">
        <x:f>IF(A148="","",COUNTIFS('전기원장'!$A$5:$A$1004,A148,'전기원장'!$J$5:$J$1004,"확인 필요")+COUNTIFS('당기원장'!$A$5:$A$1004,A148,'당기원장'!$J$5:$J$1004,"확인 필요"))</x:f>
      </x:c>
      <x:c r="K148" s="85" t="str">
        <x:f>IF(A148="","",IF(H148&lt;&gt;"원인분석 대상","",IF(J148&gt;0,"붙임 문서 확인 후 원인 확정 필요","결의서명 기반 원인분류 검토")))</x:f>
      </x:c>
    </x:row>
    <x:row r="149">
      <x:c r="A149" s="73" t="str">
        <x:f>IFERROR(INDEX('계산도우미'!$B$5:$B$2004,MATCH(ROWS($A$5:A149),'계산도우미'!$K$5:$K$2004,0)),"")</x:f>
      </x:c>
      <x:c r="B149" s="73" t="str">
        <x:f>IF(A149="","",IFERROR(INDEX('당기원장'!$B$5:$B$1004,MATCH(A149,'당기원장'!$A$5:$A$1004,0)),IFERROR(INDEX('전기원장'!$B$5:$B$1004,MATCH(A149,'전기원장'!$A$5:$A$1004,0)),"")))</x:f>
      </x:c>
      <x:c r="C149" s="75" t="str">
        <x:f>IF(A149="","",SUMIF('전기원장'!$A$5:$A$1004,A149,'전기원장'!$H$5:$H$1004))</x:f>
      </x:c>
      <x:c r="D149" s="75" t="str">
        <x:f>IF(A149="","",SUMIF('당기원장'!$A$5:$A$1004,A149,'당기원장'!$H$5:$H$1004))</x:f>
      </x:c>
      <x:c r="E149" s="75" t="str">
        <x:f>IF(A149="","",D149-C149)</x:f>
      </x:c>
      <x:c r="F149" s="88" t="str">
        <x:f>IF(A149="","",IF(C149=0,IF(D149=0,0,1),ABS(E149)/ABS(C149)))</x:f>
      </x:c>
      <x:c r="G149" s="73" t="str">
        <x:f>IF(A149="","",IF(AND(C149=0,D149&lt;&gt;0),"신규",IF(AND(C149&lt;&gt;0,D149=0),"소멸",IF(E149=0,"변동없음","금액변동"))))</x:f>
      </x:c>
      <x:c r="H149" s="73" t="str">
        <x:f>IF(A149="","",IF(AND(ABS(E149)&gt;='기준설정'!$B$6,OR(G149="신규",G149="소멸",F149&gt;='기준설정'!$B$5)),"원인분석 대상","일반"))</x:f>
      </x:c>
      <x:c r="I149" s="73" t="str">
        <x:f>IF(A149="","",IF(H149="원인분석 대상","세부원인분석 시트에서 거래별 원인을 검토","-"))</x:f>
      </x:c>
      <x:c r="J149" s="73" t="str">
        <x:f>IF(A149="","",COUNTIFS('전기원장'!$A$5:$A$1004,A149,'전기원장'!$J$5:$J$1004,"확인 필요")+COUNTIFS('당기원장'!$A$5:$A$1004,A149,'당기원장'!$J$5:$J$1004,"확인 필요"))</x:f>
      </x:c>
      <x:c r="K149" s="85" t="str">
        <x:f>IF(A149="","",IF(H149&lt;&gt;"원인분석 대상","",IF(J149&gt;0,"붙임 문서 확인 후 원인 확정 필요","결의서명 기반 원인분류 검토")))</x:f>
      </x:c>
    </x:row>
    <x:row r="150">
      <x:c r="A150" s="73" t="str">
        <x:f>IFERROR(INDEX('계산도우미'!$B$5:$B$2004,MATCH(ROWS($A$5:A150),'계산도우미'!$K$5:$K$2004,0)),"")</x:f>
      </x:c>
      <x:c r="B150" s="73" t="str">
        <x:f>IF(A150="","",IFERROR(INDEX('당기원장'!$B$5:$B$1004,MATCH(A150,'당기원장'!$A$5:$A$1004,0)),IFERROR(INDEX('전기원장'!$B$5:$B$1004,MATCH(A150,'전기원장'!$A$5:$A$1004,0)),"")))</x:f>
      </x:c>
      <x:c r="C150" s="75" t="str">
        <x:f>IF(A150="","",SUMIF('전기원장'!$A$5:$A$1004,A150,'전기원장'!$H$5:$H$1004))</x:f>
      </x:c>
      <x:c r="D150" s="75" t="str">
        <x:f>IF(A150="","",SUMIF('당기원장'!$A$5:$A$1004,A150,'당기원장'!$H$5:$H$1004))</x:f>
      </x:c>
      <x:c r="E150" s="75" t="str">
        <x:f>IF(A150="","",D150-C150)</x:f>
      </x:c>
      <x:c r="F150" s="88" t="str">
        <x:f>IF(A150="","",IF(C150=0,IF(D150=0,0,1),ABS(E150)/ABS(C150)))</x:f>
      </x:c>
      <x:c r="G150" s="73" t="str">
        <x:f>IF(A150="","",IF(AND(C150=0,D150&lt;&gt;0),"신규",IF(AND(C150&lt;&gt;0,D150=0),"소멸",IF(E150=0,"변동없음","금액변동"))))</x:f>
      </x:c>
      <x:c r="H150" s="73" t="str">
        <x:f>IF(A150="","",IF(AND(ABS(E150)&gt;='기준설정'!$B$6,OR(G150="신규",G150="소멸",F150&gt;='기준설정'!$B$5)),"원인분석 대상","일반"))</x:f>
      </x:c>
      <x:c r="I150" s="73" t="str">
        <x:f>IF(A150="","",IF(H150="원인분석 대상","세부원인분석 시트에서 거래별 원인을 검토","-"))</x:f>
      </x:c>
      <x:c r="J150" s="73" t="str">
        <x:f>IF(A150="","",COUNTIFS('전기원장'!$A$5:$A$1004,A150,'전기원장'!$J$5:$J$1004,"확인 필요")+COUNTIFS('당기원장'!$A$5:$A$1004,A150,'당기원장'!$J$5:$J$1004,"확인 필요"))</x:f>
      </x:c>
      <x:c r="K150" s="85" t="str">
        <x:f>IF(A150="","",IF(H150&lt;&gt;"원인분석 대상","",IF(J150&gt;0,"붙임 문서 확인 후 원인 확정 필요","결의서명 기반 원인분류 검토")))</x:f>
      </x:c>
    </x:row>
    <x:row r="151">
      <x:c r="A151" s="73" t="str">
        <x:f>IFERROR(INDEX('계산도우미'!$B$5:$B$2004,MATCH(ROWS($A$5:A151),'계산도우미'!$K$5:$K$2004,0)),"")</x:f>
      </x:c>
      <x:c r="B151" s="73" t="str">
        <x:f>IF(A151="","",IFERROR(INDEX('당기원장'!$B$5:$B$1004,MATCH(A151,'당기원장'!$A$5:$A$1004,0)),IFERROR(INDEX('전기원장'!$B$5:$B$1004,MATCH(A151,'전기원장'!$A$5:$A$1004,0)),"")))</x:f>
      </x:c>
      <x:c r="C151" s="75" t="str">
        <x:f>IF(A151="","",SUMIF('전기원장'!$A$5:$A$1004,A151,'전기원장'!$H$5:$H$1004))</x:f>
      </x:c>
      <x:c r="D151" s="75" t="str">
        <x:f>IF(A151="","",SUMIF('당기원장'!$A$5:$A$1004,A151,'당기원장'!$H$5:$H$1004))</x:f>
      </x:c>
      <x:c r="E151" s="75" t="str">
        <x:f>IF(A151="","",D151-C151)</x:f>
      </x:c>
      <x:c r="F151" s="88" t="str">
        <x:f>IF(A151="","",IF(C151=0,IF(D151=0,0,1),ABS(E151)/ABS(C151)))</x:f>
      </x:c>
      <x:c r="G151" s="73" t="str">
        <x:f>IF(A151="","",IF(AND(C151=0,D151&lt;&gt;0),"신규",IF(AND(C151&lt;&gt;0,D151=0),"소멸",IF(E151=0,"변동없음","금액변동"))))</x:f>
      </x:c>
      <x:c r="H151" s="73" t="str">
        <x:f>IF(A151="","",IF(AND(ABS(E151)&gt;='기준설정'!$B$6,OR(G151="신규",G151="소멸",F151&gt;='기준설정'!$B$5)),"원인분석 대상","일반"))</x:f>
      </x:c>
      <x:c r="I151" s="73" t="str">
        <x:f>IF(A151="","",IF(H151="원인분석 대상","세부원인분석 시트에서 거래별 원인을 검토","-"))</x:f>
      </x:c>
      <x:c r="J151" s="73" t="str">
        <x:f>IF(A151="","",COUNTIFS('전기원장'!$A$5:$A$1004,A151,'전기원장'!$J$5:$J$1004,"확인 필요")+COUNTIFS('당기원장'!$A$5:$A$1004,A151,'당기원장'!$J$5:$J$1004,"확인 필요"))</x:f>
      </x:c>
      <x:c r="K151" s="85" t="str">
        <x:f>IF(A151="","",IF(H151&lt;&gt;"원인분석 대상","",IF(J151&gt;0,"붙임 문서 확인 후 원인 확정 필요","결의서명 기반 원인분류 검토")))</x:f>
      </x:c>
    </x:row>
    <x:row r="152">
      <x:c r="A152" s="73" t="str">
        <x:f>IFERROR(INDEX('계산도우미'!$B$5:$B$2004,MATCH(ROWS($A$5:A152),'계산도우미'!$K$5:$K$2004,0)),"")</x:f>
      </x:c>
      <x:c r="B152" s="73" t="str">
        <x:f>IF(A152="","",IFERROR(INDEX('당기원장'!$B$5:$B$1004,MATCH(A152,'당기원장'!$A$5:$A$1004,0)),IFERROR(INDEX('전기원장'!$B$5:$B$1004,MATCH(A152,'전기원장'!$A$5:$A$1004,0)),"")))</x:f>
      </x:c>
      <x:c r="C152" s="75" t="str">
        <x:f>IF(A152="","",SUMIF('전기원장'!$A$5:$A$1004,A152,'전기원장'!$H$5:$H$1004))</x:f>
      </x:c>
      <x:c r="D152" s="75" t="str">
        <x:f>IF(A152="","",SUMIF('당기원장'!$A$5:$A$1004,A152,'당기원장'!$H$5:$H$1004))</x:f>
      </x:c>
      <x:c r="E152" s="75" t="str">
        <x:f>IF(A152="","",D152-C152)</x:f>
      </x:c>
      <x:c r="F152" s="88" t="str">
        <x:f>IF(A152="","",IF(C152=0,IF(D152=0,0,1),ABS(E152)/ABS(C152)))</x:f>
      </x:c>
      <x:c r="G152" s="73" t="str">
        <x:f>IF(A152="","",IF(AND(C152=0,D152&lt;&gt;0),"신규",IF(AND(C152&lt;&gt;0,D152=0),"소멸",IF(E152=0,"변동없음","금액변동"))))</x:f>
      </x:c>
      <x:c r="H152" s="73" t="str">
        <x:f>IF(A152="","",IF(AND(ABS(E152)&gt;='기준설정'!$B$6,OR(G152="신규",G152="소멸",F152&gt;='기준설정'!$B$5)),"원인분석 대상","일반"))</x:f>
      </x:c>
      <x:c r="I152" s="73" t="str">
        <x:f>IF(A152="","",IF(H152="원인분석 대상","세부원인분석 시트에서 거래별 원인을 검토","-"))</x:f>
      </x:c>
      <x:c r="J152" s="73" t="str">
        <x:f>IF(A152="","",COUNTIFS('전기원장'!$A$5:$A$1004,A152,'전기원장'!$J$5:$J$1004,"확인 필요")+COUNTIFS('당기원장'!$A$5:$A$1004,A152,'당기원장'!$J$5:$J$1004,"확인 필요"))</x:f>
      </x:c>
      <x:c r="K152" s="85" t="str">
        <x:f>IF(A152="","",IF(H152&lt;&gt;"원인분석 대상","",IF(J152&gt;0,"붙임 문서 확인 후 원인 확정 필요","결의서명 기반 원인분류 검토")))</x:f>
      </x:c>
    </x:row>
    <x:row r="153">
      <x:c r="A153" s="73" t="str">
        <x:f>IFERROR(INDEX('계산도우미'!$B$5:$B$2004,MATCH(ROWS($A$5:A153),'계산도우미'!$K$5:$K$2004,0)),"")</x:f>
      </x:c>
      <x:c r="B153" s="73" t="str">
        <x:f>IF(A153="","",IFERROR(INDEX('당기원장'!$B$5:$B$1004,MATCH(A153,'당기원장'!$A$5:$A$1004,0)),IFERROR(INDEX('전기원장'!$B$5:$B$1004,MATCH(A153,'전기원장'!$A$5:$A$1004,0)),"")))</x:f>
      </x:c>
      <x:c r="C153" s="75" t="str">
        <x:f>IF(A153="","",SUMIF('전기원장'!$A$5:$A$1004,A153,'전기원장'!$H$5:$H$1004))</x:f>
      </x:c>
      <x:c r="D153" s="75" t="str">
        <x:f>IF(A153="","",SUMIF('당기원장'!$A$5:$A$1004,A153,'당기원장'!$H$5:$H$1004))</x:f>
      </x:c>
      <x:c r="E153" s="75" t="str">
        <x:f>IF(A153="","",D153-C153)</x:f>
      </x:c>
      <x:c r="F153" s="88" t="str">
        <x:f>IF(A153="","",IF(C153=0,IF(D153=0,0,1),ABS(E153)/ABS(C153)))</x:f>
      </x:c>
      <x:c r="G153" s="73" t="str">
        <x:f>IF(A153="","",IF(AND(C153=0,D153&lt;&gt;0),"신규",IF(AND(C153&lt;&gt;0,D153=0),"소멸",IF(E153=0,"변동없음","금액변동"))))</x:f>
      </x:c>
      <x:c r="H153" s="73" t="str">
        <x:f>IF(A153="","",IF(AND(ABS(E153)&gt;='기준설정'!$B$6,OR(G153="신규",G153="소멸",F153&gt;='기준설정'!$B$5)),"원인분석 대상","일반"))</x:f>
      </x:c>
      <x:c r="I153" s="73" t="str">
        <x:f>IF(A153="","",IF(H153="원인분석 대상","세부원인분석 시트에서 거래별 원인을 검토","-"))</x:f>
      </x:c>
      <x:c r="J153" s="73" t="str">
        <x:f>IF(A153="","",COUNTIFS('전기원장'!$A$5:$A$1004,A153,'전기원장'!$J$5:$J$1004,"확인 필요")+COUNTIFS('당기원장'!$A$5:$A$1004,A153,'당기원장'!$J$5:$J$1004,"확인 필요"))</x:f>
      </x:c>
      <x:c r="K153" s="85" t="str">
        <x:f>IF(A153="","",IF(H153&lt;&gt;"원인분석 대상","",IF(J153&gt;0,"붙임 문서 확인 후 원인 확정 필요","결의서명 기반 원인분류 검토")))</x:f>
      </x:c>
    </x:row>
    <x:row r="154">
      <x:c r="A154" s="73" t="str">
        <x:f>IFERROR(INDEX('계산도우미'!$B$5:$B$2004,MATCH(ROWS($A$5:A154),'계산도우미'!$K$5:$K$2004,0)),"")</x:f>
      </x:c>
      <x:c r="B154" s="73" t="str">
        <x:f>IF(A154="","",IFERROR(INDEX('당기원장'!$B$5:$B$1004,MATCH(A154,'당기원장'!$A$5:$A$1004,0)),IFERROR(INDEX('전기원장'!$B$5:$B$1004,MATCH(A154,'전기원장'!$A$5:$A$1004,0)),"")))</x:f>
      </x:c>
      <x:c r="C154" s="75" t="str">
        <x:f>IF(A154="","",SUMIF('전기원장'!$A$5:$A$1004,A154,'전기원장'!$H$5:$H$1004))</x:f>
      </x:c>
      <x:c r="D154" s="75" t="str">
        <x:f>IF(A154="","",SUMIF('당기원장'!$A$5:$A$1004,A154,'당기원장'!$H$5:$H$1004))</x:f>
      </x:c>
      <x:c r="E154" s="75" t="str">
        <x:f>IF(A154="","",D154-C154)</x:f>
      </x:c>
      <x:c r="F154" s="88" t="str">
        <x:f>IF(A154="","",IF(C154=0,IF(D154=0,0,1),ABS(E154)/ABS(C154)))</x:f>
      </x:c>
      <x:c r="G154" s="73" t="str">
        <x:f>IF(A154="","",IF(AND(C154=0,D154&lt;&gt;0),"신규",IF(AND(C154&lt;&gt;0,D154=0),"소멸",IF(E154=0,"변동없음","금액변동"))))</x:f>
      </x:c>
      <x:c r="H154" s="73" t="str">
        <x:f>IF(A154="","",IF(AND(ABS(E154)&gt;='기준설정'!$B$6,OR(G154="신규",G154="소멸",F154&gt;='기준설정'!$B$5)),"원인분석 대상","일반"))</x:f>
      </x:c>
      <x:c r="I154" s="73" t="str">
        <x:f>IF(A154="","",IF(H154="원인분석 대상","세부원인분석 시트에서 거래별 원인을 검토","-"))</x:f>
      </x:c>
      <x:c r="J154" s="73" t="str">
        <x:f>IF(A154="","",COUNTIFS('전기원장'!$A$5:$A$1004,A154,'전기원장'!$J$5:$J$1004,"확인 필요")+COUNTIFS('당기원장'!$A$5:$A$1004,A154,'당기원장'!$J$5:$J$1004,"확인 필요"))</x:f>
      </x:c>
      <x:c r="K154" s="85" t="str">
        <x:f>IF(A154="","",IF(H154&lt;&gt;"원인분석 대상","",IF(J154&gt;0,"붙임 문서 확인 후 원인 확정 필요","결의서명 기반 원인분류 검토")))</x:f>
      </x:c>
    </x:row>
    <x:row r="155">
      <x:c r="A155" s="73" t="str">
        <x:f>IFERROR(INDEX('계산도우미'!$B$5:$B$2004,MATCH(ROWS($A$5:A155),'계산도우미'!$K$5:$K$2004,0)),"")</x:f>
      </x:c>
      <x:c r="B155" s="73" t="str">
        <x:f>IF(A155="","",IFERROR(INDEX('당기원장'!$B$5:$B$1004,MATCH(A155,'당기원장'!$A$5:$A$1004,0)),IFERROR(INDEX('전기원장'!$B$5:$B$1004,MATCH(A155,'전기원장'!$A$5:$A$1004,0)),"")))</x:f>
      </x:c>
      <x:c r="C155" s="75" t="str">
        <x:f>IF(A155="","",SUMIF('전기원장'!$A$5:$A$1004,A155,'전기원장'!$H$5:$H$1004))</x:f>
      </x:c>
      <x:c r="D155" s="75" t="str">
        <x:f>IF(A155="","",SUMIF('당기원장'!$A$5:$A$1004,A155,'당기원장'!$H$5:$H$1004))</x:f>
      </x:c>
      <x:c r="E155" s="75" t="str">
        <x:f>IF(A155="","",D155-C155)</x:f>
      </x:c>
      <x:c r="F155" s="88" t="str">
        <x:f>IF(A155="","",IF(C155=0,IF(D155=0,0,1),ABS(E155)/ABS(C155)))</x:f>
      </x:c>
      <x:c r="G155" s="73" t="str">
        <x:f>IF(A155="","",IF(AND(C155=0,D155&lt;&gt;0),"신규",IF(AND(C155&lt;&gt;0,D155=0),"소멸",IF(E155=0,"변동없음","금액변동"))))</x:f>
      </x:c>
      <x:c r="H155" s="73" t="str">
        <x:f>IF(A155="","",IF(AND(ABS(E155)&gt;='기준설정'!$B$6,OR(G155="신규",G155="소멸",F155&gt;='기준설정'!$B$5)),"원인분석 대상","일반"))</x:f>
      </x:c>
      <x:c r="I155" s="73" t="str">
        <x:f>IF(A155="","",IF(H155="원인분석 대상","세부원인분석 시트에서 거래별 원인을 검토","-"))</x:f>
      </x:c>
      <x:c r="J155" s="73" t="str">
        <x:f>IF(A155="","",COUNTIFS('전기원장'!$A$5:$A$1004,A155,'전기원장'!$J$5:$J$1004,"확인 필요")+COUNTIFS('당기원장'!$A$5:$A$1004,A155,'당기원장'!$J$5:$J$1004,"확인 필요"))</x:f>
      </x:c>
      <x:c r="K155" s="85" t="str">
        <x:f>IF(A155="","",IF(H155&lt;&gt;"원인분석 대상","",IF(J155&gt;0,"붙임 문서 확인 후 원인 확정 필요","결의서명 기반 원인분류 검토")))</x:f>
      </x:c>
    </x:row>
    <x:row r="156">
      <x:c r="A156" s="73" t="str">
        <x:f>IFERROR(INDEX('계산도우미'!$B$5:$B$2004,MATCH(ROWS($A$5:A156),'계산도우미'!$K$5:$K$2004,0)),"")</x:f>
      </x:c>
      <x:c r="B156" s="73" t="str">
        <x:f>IF(A156="","",IFERROR(INDEX('당기원장'!$B$5:$B$1004,MATCH(A156,'당기원장'!$A$5:$A$1004,0)),IFERROR(INDEX('전기원장'!$B$5:$B$1004,MATCH(A156,'전기원장'!$A$5:$A$1004,0)),"")))</x:f>
      </x:c>
      <x:c r="C156" s="75" t="str">
        <x:f>IF(A156="","",SUMIF('전기원장'!$A$5:$A$1004,A156,'전기원장'!$H$5:$H$1004))</x:f>
      </x:c>
      <x:c r="D156" s="75" t="str">
        <x:f>IF(A156="","",SUMIF('당기원장'!$A$5:$A$1004,A156,'당기원장'!$H$5:$H$1004))</x:f>
      </x:c>
      <x:c r="E156" s="75" t="str">
        <x:f>IF(A156="","",D156-C156)</x:f>
      </x:c>
      <x:c r="F156" s="88" t="str">
        <x:f>IF(A156="","",IF(C156=0,IF(D156=0,0,1),ABS(E156)/ABS(C156)))</x:f>
      </x:c>
      <x:c r="G156" s="73" t="str">
        <x:f>IF(A156="","",IF(AND(C156=0,D156&lt;&gt;0),"신규",IF(AND(C156&lt;&gt;0,D156=0),"소멸",IF(E156=0,"변동없음","금액변동"))))</x:f>
      </x:c>
      <x:c r="H156" s="73" t="str">
        <x:f>IF(A156="","",IF(AND(ABS(E156)&gt;='기준설정'!$B$6,OR(G156="신규",G156="소멸",F156&gt;='기준설정'!$B$5)),"원인분석 대상","일반"))</x:f>
      </x:c>
      <x:c r="I156" s="73" t="str">
        <x:f>IF(A156="","",IF(H156="원인분석 대상","세부원인분석 시트에서 거래별 원인을 검토","-"))</x:f>
      </x:c>
      <x:c r="J156" s="73" t="str">
        <x:f>IF(A156="","",COUNTIFS('전기원장'!$A$5:$A$1004,A156,'전기원장'!$J$5:$J$1004,"확인 필요")+COUNTIFS('당기원장'!$A$5:$A$1004,A156,'당기원장'!$J$5:$J$1004,"확인 필요"))</x:f>
      </x:c>
      <x:c r="K156" s="85" t="str">
        <x:f>IF(A156="","",IF(H156&lt;&gt;"원인분석 대상","",IF(J156&gt;0,"붙임 문서 확인 후 원인 확정 필요","결의서명 기반 원인분류 검토")))</x:f>
      </x:c>
    </x:row>
    <x:row r="157">
      <x:c r="A157" s="73" t="str">
        <x:f>IFERROR(INDEX('계산도우미'!$B$5:$B$2004,MATCH(ROWS($A$5:A157),'계산도우미'!$K$5:$K$2004,0)),"")</x:f>
      </x:c>
      <x:c r="B157" s="73" t="str">
        <x:f>IF(A157="","",IFERROR(INDEX('당기원장'!$B$5:$B$1004,MATCH(A157,'당기원장'!$A$5:$A$1004,0)),IFERROR(INDEX('전기원장'!$B$5:$B$1004,MATCH(A157,'전기원장'!$A$5:$A$1004,0)),"")))</x:f>
      </x:c>
      <x:c r="C157" s="75" t="str">
        <x:f>IF(A157="","",SUMIF('전기원장'!$A$5:$A$1004,A157,'전기원장'!$H$5:$H$1004))</x:f>
      </x:c>
      <x:c r="D157" s="75" t="str">
        <x:f>IF(A157="","",SUMIF('당기원장'!$A$5:$A$1004,A157,'당기원장'!$H$5:$H$1004))</x:f>
      </x:c>
      <x:c r="E157" s="75" t="str">
        <x:f>IF(A157="","",D157-C157)</x:f>
      </x:c>
      <x:c r="F157" s="88" t="str">
        <x:f>IF(A157="","",IF(C157=0,IF(D157=0,0,1),ABS(E157)/ABS(C157)))</x:f>
      </x:c>
      <x:c r="G157" s="73" t="str">
        <x:f>IF(A157="","",IF(AND(C157=0,D157&lt;&gt;0),"신규",IF(AND(C157&lt;&gt;0,D157=0),"소멸",IF(E157=0,"변동없음","금액변동"))))</x:f>
      </x:c>
      <x:c r="H157" s="73" t="str">
        <x:f>IF(A157="","",IF(AND(ABS(E157)&gt;='기준설정'!$B$6,OR(G157="신규",G157="소멸",F157&gt;='기준설정'!$B$5)),"원인분석 대상","일반"))</x:f>
      </x:c>
      <x:c r="I157" s="73" t="str">
        <x:f>IF(A157="","",IF(H157="원인분석 대상","세부원인분석 시트에서 거래별 원인을 검토","-"))</x:f>
      </x:c>
      <x:c r="J157" s="73" t="str">
        <x:f>IF(A157="","",COUNTIFS('전기원장'!$A$5:$A$1004,A157,'전기원장'!$J$5:$J$1004,"확인 필요")+COUNTIFS('당기원장'!$A$5:$A$1004,A157,'당기원장'!$J$5:$J$1004,"확인 필요"))</x:f>
      </x:c>
      <x:c r="K157" s="85" t="str">
        <x:f>IF(A157="","",IF(H157&lt;&gt;"원인분석 대상","",IF(J157&gt;0,"붙임 문서 확인 후 원인 확정 필요","결의서명 기반 원인분류 검토")))</x:f>
      </x:c>
    </x:row>
    <x:row r="158">
      <x:c r="A158" s="73" t="str">
        <x:f>IFERROR(INDEX('계산도우미'!$B$5:$B$2004,MATCH(ROWS($A$5:A158),'계산도우미'!$K$5:$K$2004,0)),"")</x:f>
      </x:c>
      <x:c r="B158" s="73" t="str">
        <x:f>IF(A158="","",IFERROR(INDEX('당기원장'!$B$5:$B$1004,MATCH(A158,'당기원장'!$A$5:$A$1004,0)),IFERROR(INDEX('전기원장'!$B$5:$B$1004,MATCH(A158,'전기원장'!$A$5:$A$1004,0)),"")))</x:f>
      </x:c>
      <x:c r="C158" s="75" t="str">
        <x:f>IF(A158="","",SUMIF('전기원장'!$A$5:$A$1004,A158,'전기원장'!$H$5:$H$1004))</x:f>
      </x:c>
      <x:c r="D158" s="75" t="str">
        <x:f>IF(A158="","",SUMIF('당기원장'!$A$5:$A$1004,A158,'당기원장'!$H$5:$H$1004))</x:f>
      </x:c>
      <x:c r="E158" s="75" t="str">
        <x:f>IF(A158="","",D158-C158)</x:f>
      </x:c>
      <x:c r="F158" s="88" t="str">
        <x:f>IF(A158="","",IF(C158=0,IF(D158=0,0,1),ABS(E158)/ABS(C158)))</x:f>
      </x:c>
      <x:c r="G158" s="73" t="str">
        <x:f>IF(A158="","",IF(AND(C158=0,D158&lt;&gt;0),"신규",IF(AND(C158&lt;&gt;0,D158=0),"소멸",IF(E158=0,"변동없음","금액변동"))))</x:f>
      </x:c>
      <x:c r="H158" s="73" t="str">
        <x:f>IF(A158="","",IF(AND(ABS(E158)&gt;='기준설정'!$B$6,OR(G158="신규",G158="소멸",F158&gt;='기준설정'!$B$5)),"원인분석 대상","일반"))</x:f>
      </x:c>
      <x:c r="I158" s="73" t="str">
        <x:f>IF(A158="","",IF(H158="원인분석 대상","세부원인분석 시트에서 거래별 원인을 검토","-"))</x:f>
      </x:c>
      <x:c r="J158" s="73" t="str">
        <x:f>IF(A158="","",COUNTIFS('전기원장'!$A$5:$A$1004,A158,'전기원장'!$J$5:$J$1004,"확인 필요")+COUNTIFS('당기원장'!$A$5:$A$1004,A158,'당기원장'!$J$5:$J$1004,"확인 필요"))</x:f>
      </x:c>
      <x:c r="K158" s="85" t="str">
        <x:f>IF(A158="","",IF(H158&lt;&gt;"원인분석 대상","",IF(J158&gt;0,"붙임 문서 확인 후 원인 확정 필요","결의서명 기반 원인분류 검토")))</x:f>
      </x:c>
    </x:row>
    <x:row r="159">
      <x:c r="A159" s="73" t="str">
        <x:f>IFERROR(INDEX('계산도우미'!$B$5:$B$2004,MATCH(ROWS($A$5:A159),'계산도우미'!$K$5:$K$2004,0)),"")</x:f>
      </x:c>
      <x:c r="B159" s="73" t="str">
        <x:f>IF(A159="","",IFERROR(INDEX('당기원장'!$B$5:$B$1004,MATCH(A159,'당기원장'!$A$5:$A$1004,0)),IFERROR(INDEX('전기원장'!$B$5:$B$1004,MATCH(A159,'전기원장'!$A$5:$A$1004,0)),"")))</x:f>
      </x:c>
      <x:c r="C159" s="75" t="str">
        <x:f>IF(A159="","",SUMIF('전기원장'!$A$5:$A$1004,A159,'전기원장'!$H$5:$H$1004))</x:f>
      </x:c>
      <x:c r="D159" s="75" t="str">
        <x:f>IF(A159="","",SUMIF('당기원장'!$A$5:$A$1004,A159,'당기원장'!$H$5:$H$1004))</x:f>
      </x:c>
      <x:c r="E159" s="75" t="str">
        <x:f>IF(A159="","",D159-C159)</x:f>
      </x:c>
      <x:c r="F159" s="88" t="str">
        <x:f>IF(A159="","",IF(C159=0,IF(D159=0,0,1),ABS(E159)/ABS(C159)))</x:f>
      </x:c>
      <x:c r="G159" s="73" t="str">
        <x:f>IF(A159="","",IF(AND(C159=0,D159&lt;&gt;0),"신규",IF(AND(C159&lt;&gt;0,D159=0),"소멸",IF(E159=0,"변동없음","금액변동"))))</x:f>
      </x:c>
      <x:c r="H159" s="73" t="str">
        <x:f>IF(A159="","",IF(AND(ABS(E159)&gt;='기준설정'!$B$6,OR(G159="신규",G159="소멸",F159&gt;='기준설정'!$B$5)),"원인분석 대상","일반"))</x:f>
      </x:c>
      <x:c r="I159" s="73" t="str">
        <x:f>IF(A159="","",IF(H159="원인분석 대상","세부원인분석 시트에서 거래별 원인을 검토","-"))</x:f>
      </x:c>
      <x:c r="J159" s="73" t="str">
        <x:f>IF(A159="","",COUNTIFS('전기원장'!$A$5:$A$1004,A159,'전기원장'!$J$5:$J$1004,"확인 필요")+COUNTIFS('당기원장'!$A$5:$A$1004,A159,'당기원장'!$J$5:$J$1004,"확인 필요"))</x:f>
      </x:c>
      <x:c r="K159" s="85" t="str">
        <x:f>IF(A159="","",IF(H159&lt;&gt;"원인분석 대상","",IF(J159&gt;0,"붙임 문서 확인 후 원인 확정 필요","결의서명 기반 원인분류 검토")))</x:f>
      </x:c>
    </x:row>
    <x:row r="160">
      <x:c r="A160" s="73" t="str">
        <x:f>IFERROR(INDEX('계산도우미'!$B$5:$B$2004,MATCH(ROWS($A$5:A160),'계산도우미'!$K$5:$K$2004,0)),"")</x:f>
      </x:c>
      <x:c r="B160" s="73" t="str">
        <x:f>IF(A160="","",IFERROR(INDEX('당기원장'!$B$5:$B$1004,MATCH(A160,'당기원장'!$A$5:$A$1004,0)),IFERROR(INDEX('전기원장'!$B$5:$B$1004,MATCH(A160,'전기원장'!$A$5:$A$1004,0)),"")))</x:f>
      </x:c>
      <x:c r="C160" s="75" t="str">
        <x:f>IF(A160="","",SUMIF('전기원장'!$A$5:$A$1004,A160,'전기원장'!$H$5:$H$1004))</x:f>
      </x:c>
      <x:c r="D160" s="75" t="str">
        <x:f>IF(A160="","",SUMIF('당기원장'!$A$5:$A$1004,A160,'당기원장'!$H$5:$H$1004))</x:f>
      </x:c>
      <x:c r="E160" s="75" t="str">
        <x:f>IF(A160="","",D160-C160)</x:f>
      </x:c>
      <x:c r="F160" s="88" t="str">
        <x:f>IF(A160="","",IF(C160=0,IF(D160=0,0,1),ABS(E160)/ABS(C160)))</x:f>
      </x:c>
      <x:c r="G160" s="73" t="str">
        <x:f>IF(A160="","",IF(AND(C160=0,D160&lt;&gt;0),"신규",IF(AND(C160&lt;&gt;0,D160=0),"소멸",IF(E160=0,"변동없음","금액변동"))))</x:f>
      </x:c>
      <x:c r="H160" s="73" t="str">
        <x:f>IF(A160="","",IF(AND(ABS(E160)&gt;='기준설정'!$B$6,OR(G160="신규",G160="소멸",F160&gt;='기준설정'!$B$5)),"원인분석 대상","일반"))</x:f>
      </x:c>
      <x:c r="I160" s="73" t="str">
        <x:f>IF(A160="","",IF(H160="원인분석 대상","세부원인분석 시트에서 거래별 원인을 검토","-"))</x:f>
      </x:c>
      <x:c r="J160" s="73" t="str">
        <x:f>IF(A160="","",COUNTIFS('전기원장'!$A$5:$A$1004,A160,'전기원장'!$J$5:$J$1004,"확인 필요")+COUNTIFS('당기원장'!$A$5:$A$1004,A160,'당기원장'!$J$5:$J$1004,"확인 필요"))</x:f>
      </x:c>
      <x:c r="K160" s="85" t="str">
        <x:f>IF(A160="","",IF(H160&lt;&gt;"원인분석 대상","",IF(J160&gt;0,"붙임 문서 확인 후 원인 확정 필요","결의서명 기반 원인분류 검토")))</x:f>
      </x:c>
    </x:row>
    <x:row r="161">
      <x:c r="A161" s="73" t="str">
        <x:f>IFERROR(INDEX('계산도우미'!$B$5:$B$2004,MATCH(ROWS($A$5:A161),'계산도우미'!$K$5:$K$2004,0)),"")</x:f>
      </x:c>
      <x:c r="B161" s="73" t="str">
        <x:f>IF(A161="","",IFERROR(INDEX('당기원장'!$B$5:$B$1004,MATCH(A161,'당기원장'!$A$5:$A$1004,0)),IFERROR(INDEX('전기원장'!$B$5:$B$1004,MATCH(A161,'전기원장'!$A$5:$A$1004,0)),"")))</x:f>
      </x:c>
      <x:c r="C161" s="75" t="str">
        <x:f>IF(A161="","",SUMIF('전기원장'!$A$5:$A$1004,A161,'전기원장'!$H$5:$H$1004))</x:f>
      </x:c>
      <x:c r="D161" s="75" t="str">
        <x:f>IF(A161="","",SUMIF('당기원장'!$A$5:$A$1004,A161,'당기원장'!$H$5:$H$1004))</x:f>
      </x:c>
      <x:c r="E161" s="75" t="str">
        <x:f>IF(A161="","",D161-C161)</x:f>
      </x:c>
      <x:c r="F161" s="88" t="str">
        <x:f>IF(A161="","",IF(C161=0,IF(D161=0,0,1),ABS(E161)/ABS(C161)))</x:f>
      </x:c>
      <x:c r="G161" s="73" t="str">
        <x:f>IF(A161="","",IF(AND(C161=0,D161&lt;&gt;0),"신규",IF(AND(C161&lt;&gt;0,D161=0),"소멸",IF(E161=0,"변동없음","금액변동"))))</x:f>
      </x:c>
      <x:c r="H161" s="73" t="str">
        <x:f>IF(A161="","",IF(AND(ABS(E161)&gt;='기준설정'!$B$6,OR(G161="신규",G161="소멸",F161&gt;='기준설정'!$B$5)),"원인분석 대상","일반"))</x:f>
      </x:c>
      <x:c r="I161" s="73" t="str">
        <x:f>IF(A161="","",IF(H161="원인분석 대상","세부원인분석 시트에서 거래별 원인을 검토","-"))</x:f>
      </x:c>
      <x:c r="J161" s="73" t="str">
        <x:f>IF(A161="","",COUNTIFS('전기원장'!$A$5:$A$1004,A161,'전기원장'!$J$5:$J$1004,"확인 필요")+COUNTIFS('당기원장'!$A$5:$A$1004,A161,'당기원장'!$J$5:$J$1004,"확인 필요"))</x:f>
      </x:c>
      <x:c r="K161" s="85" t="str">
        <x:f>IF(A161="","",IF(H161&lt;&gt;"원인분석 대상","",IF(J161&gt;0,"붙임 문서 확인 후 원인 확정 필요","결의서명 기반 원인분류 검토")))</x:f>
      </x:c>
    </x:row>
    <x:row r="162">
      <x:c r="A162" s="73" t="str">
        <x:f>IFERROR(INDEX('계산도우미'!$B$5:$B$2004,MATCH(ROWS($A$5:A162),'계산도우미'!$K$5:$K$2004,0)),"")</x:f>
      </x:c>
      <x:c r="B162" s="73" t="str">
        <x:f>IF(A162="","",IFERROR(INDEX('당기원장'!$B$5:$B$1004,MATCH(A162,'당기원장'!$A$5:$A$1004,0)),IFERROR(INDEX('전기원장'!$B$5:$B$1004,MATCH(A162,'전기원장'!$A$5:$A$1004,0)),"")))</x:f>
      </x:c>
      <x:c r="C162" s="75" t="str">
        <x:f>IF(A162="","",SUMIF('전기원장'!$A$5:$A$1004,A162,'전기원장'!$H$5:$H$1004))</x:f>
      </x:c>
      <x:c r="D162" s="75" t="str">
        <x:f>IF(A162="","",SUMIF('당기원장'!$A$5:$A$1004,A162,'당기원장'!$H$5:$H$1004))</x:f>
      </x:c>
      <x:c r="E162" s="75" t="str">
        <x:f>IF(A162="","",D162-C162)</x:f>
      </x:c>
      <x:c r="F162" s="88" t="str">
        <x:f>IF(A162="","",IF(C162=0,IF(D162=0,0,1),ABS(E162)/ABS(C162)))</x:f>
      </x:c>
      <x:c r="G162" s="73" t="str">
        <x:f>IF(A162="","",IF(AND(C162=0,D162&lt;&gt;0),"신규",IF(AND(C162&lt;&gt;0,D162=0),"소멸",IF(E162=0,"변동없음","금액변동"))))</x:f>
      </x:c>
      <x:c r="H162" s="73" t="str">
        <x:f>IF(A162="","",IF(AND(ABS(E162)&gt;='기준설정'!$B$6,OR(G162="신규",G162="소멸",F162&gt;='기준설정'!$B$5)),"원인분석 대상","일반"))</x:f>
      </x:c>
      <x:c r="I162" s="73" t="str">
        <x:f>IF(A162="","",IF(H162="원인분석 대상","세부원인분석 시트에서 거래별 원인을 검토","-"))</x:f>
      </x:c>
      <x:c r="J162" s="73" t="str">
        <x:f>IF(A162="","",COUNTIFS('전기원장'!$A$5:$A$1004,A162,'전기원장'!$J$5:$J$1004,"확인 필요")+COUNTIFS('당기원장'!$A$5:$A$1004,A162,'당기원장'!$J$5:$J$1004,"확인 필요"))</x:f>
      </x:c>
      <x:c r="K162" s="85" t="str">
        <x:f>IF(A162="","",IF(H162&lt;&gt;"원인분석 대상","",IF(J162&gt;0,"붙임 문서 확인 후 원인 확정 필요","결의서명 기반 원인분류 검토")))</x:f>
      </x:c>
    </x:row>
    <x:row r="163">
      <x:c r="A163" s="73" t="str">
        <x:f>IFERROR(INDEX('계산도우미'!$B$5:$B$2004,MATCH(ROWS($A$5:A163),'계산도우미'!$K$5:$K$2004,0)),"")</x:f>
      </x:c>
      <x:c r="B163" s="73" t="str">
        <x:f>IF(A163="","",IFERROR(INDEX('당기원장'!$B$5:$B$1004,MATCH(A163,'당기원장'!$A$5:$A$1004,0)),IFERROR(INDEX('전기원장'!$B$5:$B$1004,MATCH(A163,'전기원장'!$A$5:$A$1004,0)),"")))</x:f>
      </x:c>
      <x:c r="C163" s="75" t="str">
        <x:f>IF(A163="","",SUMIF('전기원장'!$A$5:$A$1004,A163,'전기원장'!$H$5:$H$1004))</x:f>
      </x:c>
      <x:c r="D163" s="75" t="str">
        <x:f>IF(A163="","",SUMIF('당기원장'!$A$5:$A$1004,A163,'당기원장'!$H$5:$H$1004))</x:f>
      </x:c>
      <x:c r="E163" s="75" t="str">
        <x:f>IF(A163="","",D163-C163)</x:f>
      </x:c>
      <x:c r="F163" s="88" t="str">
        <x:f>IF(A163="","",IF(C163=0,IF(D163=0,0,1),ABS(E163)/ABS(C163)))</x:f>
      </x:c>
      <x:c r="G163" s="73" t="str">
        <x:f>IF(A163="","",IF(AND(C163=0,D163&lt;&gt;0),"신규",IF(AND(C163&lt;&gt;0,D163=0),"소멸",IF(E163=0,"변동없음","금액변동"))))</x:f>
      </x:c>
      <x:c r="H163" s="73" t="str">
        <x:f>IF(A163="","",IF(AND(ABS(E163)&gt;='기준설정'!$B$6,OR(G163="신규",G163="소멸",F163&gt;='기준설정'!$B$5)),"원인분석 대상","일반"))</x:f>
      </x:c>
      <x:c r="I163" s="73" t="str">
        <x:f>IF(A163="","",IF(H163="원인분석 대상","세부원인분석 시트에서 거래별 원인을 검토","-"))</x:f>
      </x:c>
      <x:c r="J163" s="73" t="str">
        <x:f>IF(A163="","",COUNTIFS('전기원장'!$A$5:$A$1004,A163,'전기원장'!$J$5:$J$1004,"확인 필요")+COUNTIFS('당기원장'!$A$5:$A$1004,A163,'당기원장'!$J$5:$J$1004,"확인 필요"))</x:f>
      </x:c>
      <x:c r="K163" s="85" t="str">
        <x:f>IF(A163="","",IF(H163&lt;&gt;"원인분석 대상","",IF(J163&gt;0,"붙임 문서 확인 후 원인 확정 필요","결의서명 기반 원인분류 검토")))</x:f>
      </x:c>
    </x:row>
    <x:row r="164">
      <x:c r="A164" s="73" t="str">
        <x:f>IFERROR(INDEX('계산도우미'!$B$5:$B$2004,MATCH(ROWS($A$5:A164),'계산도우미'!$K$5:$K$2004,0)),"")</x:f>
      </x:c>
      <x:c r="B164" s="73" t="str">
        <x:f>IF(A164="","",IFERROR(INDEX('당기원장'!$B$5:$B$1004,MATCH(A164,'당기원장'!$A$5:$A$1004,0)),IFERROR(INDEX('전기원장'!$B$5:$B$1004,MATCH(A164,'전기원장'!$A$5:$A$1004,0)),"")))</x:f>
      </x:c>
      <x:c r="C164" s="75" t="str">
        <x:f>IF(A164="","",SUMIF('전기원장'!$A$5:$A$1004,A164,'전기원장'!$H$5:$H$1004))</x:f>
      </x:c>
      <x:c r="D164" s="75" t="str">
        <x:f>IF(A164="","",SUMIF('당기원장'!$A$5:$A$1004,A164,'당기원장'!$H$5:$H$1004))</x:f>
      </x:c>
      <x:c r="E164" s="75" t="str">
        <x:f>IF(A164="","",D164-C164)</x:f>
      </x:c>
      <x:c r="F164" s="88" t="str">
        <x:f>IF(A164="","",IF(C164=0,IF(D164=0,0,1),ABS(E164)/ABS(C164)))</x:f>
      </x:c>
      <x:c r="G164" s="73" t="str">
        <x:f>IF(A164="","",IF(AND(C164=0,D164&lt;&gt;0),"신규",IF(AND(C164&lt;&gt;0,D164=0),"소멸",IF(E164=0,"변동없음","금액변동"))))</x:f>
      </x:c>
      <x:c r="H164" s="73" t="str">
        <x:f>IF(A164="","",IF(AND(ABS(E164)&gt;='기준설정'!$B$6,OR(G164="신규",G164="소멸",F164&gt;='기준설정'!$B$5)),"원인분석 대상","일반"))</x:f>
      </x:c>
      <x:c r="I164" s="73" t="str">
        <x:f>IF(A164="","",IF(H164="원인분석 대상","세부원인분석 시트에서 거래별 원인을 검토","-"))</x:f>
      </x:c>
      <x:c r="J164" s="73" t="str">
        <x:f>IF(A164="","",COUNTIFS('전기원장'!$A$5:$A$1004,A164,'전기원장'!$J$5:$J$1004,"확인 필요")+COUNTIFS('당기원장'!$A$5:$A$1004,A164,'당기원장'!$J$5:$J$1004,"확인 필요"))</x:f>
      </x:c>
      <x:c r="K164" s="85" t="str">
        <x:f>IF(A164="","",IF(H164&lt;&gt;"원인분석 대상","",IF(J164&gt;0,"붙임 문서 확인 후 원인 확정 필요","결의서명 기반 원인분류 검토")))</x:f>
      </x:c>
    </x:row>
    <x:row r="165">
      <x:c r="A165" s="73" t="str">
        <x:f>IFERROR(INDEX('계산도우미'!$B$5:$B$2004,MATCH(ROWS($A$5:A165),'계산도우미'!$K$5:$K$2004,0)),"")</x:f>
      </x:c>
      <x:c r="B165" s="73" t="str">
        <x:f>IF(A165="","",IFERROR(INDEX('당기원장'!$B$5:$B$1004,MATCH(A165,'당기원장'!$A$5:$A$1004,0)),IFERROR(INDEX('전기원장'!$B$5:$B$1004,MATCH(A165,'전기원장'!$A$5:$A$1004,0)),"")))</x:f>
      </x:c>
      <x:c r="C165" s="75" t="str">
        <x:f>IF(A165="","",SUMIF('전기원장'!$A$5:$A$1004,A165,'전기원장'!$H$5:$H$1004))</x:f>
      </x:c>
      <x:c r="D165" s="75" t="str">
        <x:f>IF(A165="","",SUMIF('당기원장'!$A$5:$A$1004,A165,'당기원장'!$H$5:$H$1004))</x:f>
      </x:c>
      <x:c r="E165" s="75" t="str">
        <x:f>IF(A165="","",D165-C165)</x:f>
      </x:c>
      <x:c r="F165" s="88" t="str">
        <x:f>IF(A165="","",IF(C165=0,IF(D165=0,0,1),ABS(E165)/ABS(C165)))</x:f>
      </x:c>
      <x:c r="G165" s="73" t="str">
        <x:f>IF(A165="","",IF(AND(C165=0,D165&lt;&gt;0),"신규",IF(AND(C165&lt;&gt;0,D165=0),"소멸",IF(E165=0,"변동없음","금액변동"))))</x:f>
      </x:c>
      <x:c r="H165" s="73" t="str">
        <x:f>IF(A165="","",IF(AND(ABS(E165)&gt;='기준설정'!$B$6,OR(G165="신규",G165="소멸",F165&gt;='기준설정'!$B$5)),"원인분석 대상","일반"))</x:f>
      </x:c>
      <x:c r="I165" s="73" t="str">
        <x:f>IF(A165="","",IF(H165="원인분석 대상","세부원인분석 시트에서 거래별 원인을 검토","-"))</x:f>
      </x:c>
      <x:c r="J165" s="73" t="str">
        <x:f>IF(A165="","",COUNTIFS('전기원장'!$A$5:$A$1004,A165,'전기원장'!$J$5:$J$1004,"확인 필요")+COUNTIFS('당기원장'!$A$5:$A$1004,A165,'당기원장'!$J$5:$J$1004,"확인 필요"))</x:f>
      </x:c>
      <x:c r="K165" s="85" t="str">
        <x:f>IF(A165="","",IF(H165&lt;&gt;"원인분석 대상","",IF(J165&gt;0,"붙임 문서 확인 후 원인 확정 필요","결의서명 기반 원인분류 검토")))</x:f>
      </x:c>
    </x:row>
    <x:row r="166">
      <x:c r="A166" s="73" t="str">
        <x:f>IFERROR(INDEX('계산도우미'!$B$5:$B$2004,MATCH(ROWS($A$5:A166),'계산도우미'!$K$5:$K$2004,0)),"")</x:f>
      </x:c>
      <x:c r="B166" s="73" t="str">
        <x:f>IF(A166="","",IFERROR(INDEX('당기원장'!$B$5:$B$1004,MATCH(A166,'당기원장'!$A$5:$A$1004,0)),IFERROR(INDEX('전기원장'!$B$5:$B$1004,MATCH(A166,'전기원장'!$A$5:$A$1004,0)),"")))</x:f>
      </x:c>
      <x:c r="C166" s="75" t="str">
        <x:f>IF(A166="","",SUMIF('전기원장'!$A$5:$A$1004,A166,'전기원장'!$H$5:$H$1004))</x:f>
      </x:c>
      <x:c r="D166" s="75" t="str">
        <x:f>IF(A166="","",SUMIF('당기원장'!$A$5:$A$1004,A166,'당기원장'!$H$5:$H$1004))</x:f>
      </x:c>
      <x:c r="E166" s="75" t="str">
        <x:f>IF(A166="","",D166-C166)</x:f>
      </x:c>
      <x:c r="F166" s="88" t="str">
        <x:f>IF(A166="","",IF(C166=0,IF(D166=0,0,1),ABS(E166)/ABS(C166)))</x:f>
      </x:c>
      <x:c r="G166" s="73" t="str">
        <x:f>IF(A166="","",IF(AND(C166=0,D166&lt;&gt;0),"신규",IF(AND(C166&lt;&gt;0,D166=0),"소멸",IF(E166=0,"변동없음","금액변동"))))</x:f>
      </x:c>
      <x:c r="H166" s="73" t="str">
        <x:f>IF(A166="","",IF(AND(ABS(E166)&gt;='기준설정'!$B$6,OR(G166="신규",G166="소멸",F166&gt;='기준설정'!$B$5)),"원인분석 대상","일반"))</x:f>
      </x:c>
      <x:c r="I166" s="73" t="str">
        <x:f>IF(A166="","",IF(H166="원인분석 대상","세부원인분석 시트에서 거래별 원인을 검토","-"))</x:f>
      </x:c>
      <x:c r="J166" s="73" t="str">
        <x:f>IF(A166="","",COUNTIFS('전기원장'!$A$5:$A$1004,A166,'전기원장'!$J$5:$J$1004,"확인 필요")+COUNTIFS('당기원장'!$A$5:$A$1004,A166,'당기원장'!$J$5:$J$1004,"확인 필요"))</x:f>
      </x:c>
      <x:c r="K166" s="85" t="str">
        <x:f>IF(A166="","",IF(H166&lt;&gt;"원인분석 대상","",IF(J166&gt;0,"붙임 문서 확인 후 원인 확정 필요","결의서명 기반 원인분류 검토")))</x:f>
      </x:c>
    </x:row>
    <x:row r="167">
      <x:c r="A167" s="73" t="str">
        <x:f>IFERROR(INDEX('계산도우미'!$B$5:$B$2004,MATCH(ROWS($A$5:A167),'계산도우미'!$K$5:$K$2004,0)),"")</x:f>
      </x:c>
      <x:c r="B167" s="73" t="str">
        <x:f>IF(A167="","",IFERROR(INDEX('당기원장'!$B$5:$B$1004,MATCH(A167,'당기원장'!$A$5:$A$1004,0)),IFERROR(INDEX('전기원장'!$B$5:$B$1004,MATCH(A167,'전기원장'!$A$5:$A$1004,0)),"")))</x:f>
      </x:c>
      <x:c r="C167" s="75" t="str">
        <x:f>IF(A167="","",SUMIF('전기원장'!$A$5:$A$1004,A167,'전기원장'!$H$5:$H$1004))</x:f>
      </x:c>
      <x:c r="D167" s="75" t="str">
        <x:f>IF(A167="","",SUMIF('당기원장'!$A$5:$A$1004,A167,'당기원장'!$H$5:$H$1004))</x:f>
      </x:c>
      <x:c r="E167" s="75" t="str">
        <x:f>IF(A167="","",D167-C167)</x:f>
      </x:c>
      <x:c r="F167" s="88" t="str">
        <x:f>IF(A167="","",IF(C167=0,IF(D167=0,0,1),ABS(E167)/ABS(C167)))</x:f>
      </x:c>
      <x:c r="G167" s="73" t="str">
        <x:f>IF(A167="","",IF(AND(C167=0,D167&lt;&gt;0),"신규",IF(AND(C167&lt;&gt;0,D167=0),"소멸",IF(E167=0,"변동없음","금액변동"))))</x:f>
      </x:c>
      <x:c r="H167" s="73" t="str">
        <x:f>IF(A167="","",IF(AND(ABS(E167)&gt;='기준설정'!$B$6,OR(G167="신규",G167="소멸",F167&gt;='기준설정'!$B$5)),"원인분석 대상","일반"))</x:f>
      </x:c>
      <x:c r="I167" s="73" t="str">
        <x:f>IF(A167="","",IF(H167="원인분석 대상","세부원인분석 시트에서 거래별 원인을 검토","-"))</x:f>
      </x:c>
      <x:c r="J167" s="73" t="str">
        <x:f>IF(A167="","",COUNTIFS('전기원장'!$A$5:$A$1004,A167,'전기원장'!$J$5:$J$1004,"확인 필요")+COUNTIFS('당기원장'!$A$5:$A$1004,A167,'당기원장'!$J$5:$J$1004,"확인 필요"))</x:f>
      </x:c>
      <x:c r="K167" s="85" t="str">
        <x:f>IF(A167="","",IF(H167&lt;&gt;"원인분석 대상","",IF(J167&gt;0,"붙임 문서 확인 후 원인 확정 필요","결의서명 기반 원인분류 검토")))</x:f>
      </x:c>
    </x:row>
    <x:row r="168">
      <x:c r="A168" s="73" t="str">
        <x:f>IFERROR(INDEX('계산도우미'!$B$5:$B$2004,MATCH(ROWS($A$5:A168),'계산도우미'!$K$5:$K$2004,0)),"")</x:f>
      </x:c>
      <x:c r="B168" s="73" t="str">
        <x:f>IF(A168="","",IFERROR(INDEX('당기원장'!$B$5:$B$1004,MATCH(A168,'당기원장'!$A$5:$A$1004,0)),IFERROR(INDEX('전기원장'!$B$5:$B$1004,MATCH(A168,'전기원장'!$A$5:$A$1004,0)),"")))</x:f>
      </x:c>
      <x:c r="C168" s="75" t="str">
        <x:f>IF(A168="","",SUMIF('전기원장'!$A$5:$A$1004,A168,'전기원장'!$H$5:$H$1004))</x:f>
      </x:c>
      <x:c r="D168" s="75" t="str">
        <x:f>IF(A168="","",SUMIF('당기원장'!$A$5:$A$1004,A168,'당기원장'!$H$5:$H$1004))</x:f>
      </x:c>
      <x:c r="E168" s="75" t="str">
        <x:f>IF(A168="","",D168-C168)</x:f>
      </x:c>
      <x:c r="F168" s="88" t="str">
        <x:f>IF(A168="","",IF(C168=0,IF(D168=0,0,1),ABS(E168)/ABS(C168)))</x:f>
      </x:c>
      <x:c r="G168" s="73" t="str">
        <x:f>IF(A168="","",IF(AND(C168=0,D168&lt;&gt;0),"신규",IF(AND(C168&lt;&gt;0,D168=0),"소멸",IF(E168=0,"변동없음","금액변동"))))</x:f>
      </x:c>
      <x:c r="H168" s="73" t="str">
        <x:f>IF(A168="","",IF(AND(ABS(E168)&gt;='기준설정'!$B$6,OR(G168="신규",G168="소멸",F168&gt;='기준설정'!$B$5)),"원인분석 대상","일반"))</x:f>
      </x:c>
      <x:c r="I168" s="73" t="str">
        <x:f>IF(A168="","",IF(H168="원인분석 대상","세부원인분석 시트에서 거래별 원인을 검토","-"))</x:f>
      </x:c>
      <x:c r="J168" s="73" t="str">
        <x:f>IF(A168="","",COUNTIFS('전기원장'!$A$5:$A$1004,A168,'전기원장'!$J$5:$J$1004,"확인 필요")+COUNTIFS('당기원장'!$A$5:$A$1004,A168,'당기원장'!$J$5:$J$1004,"확인 필요"))</x:f>
      </x:c>
      <x:c r="K168" s="85" t="str">
        <x:f>IF(A168="","",IF(H168&lt;&gt;"원인분석 대상","",IF(J168&gt;0,"붙임 문서 확인 후 원인 확정 필요","결의서명 기반 원인분류 검토")))</x:f>
      </x:c>
    </x:row>
    <x:row r="169">
      <x:c r="A169" s="73" t="str">
        <x:f>IFERROR(INDEX('계산도우미'!$B$5:$B$2004,MATCH(ROWS($A$5:A169),'계산도우미'!$K$5:$K$2004,0)),"")</x:f>
      </x:c>
      <x:c r="B169" s="73" t="str">
        <x:f>IF(A169="","",IFERROR(INDEX('당기원장'!$B$5:$B$1004,MATCH(A169,'당기원장'!$A$5:$A$1004,0)),IFERROR(INDEX('전기원장'!$B$5:$B$1004,MATCH(A169,'전기원장'!$A$5:$A$1004,0)),"")))</x:f>
      </x:c>
      <x:c r="C169" s="75" t="str">
        <x:f>IF(A169="","",SUMIF('전기원장'!$A$5:$A$1004,A169,'전기원장'!$H$5:$H$1004))</x:f>
      </x:c>
      <x:c r="D169" s="75" t="str">
        <x:f>IF(A169="","",SUMIF('당기원장'!$A$5:$A$1004,A169,'당기원장'!$H$5:$H$1004))</x:f>
      </x:c>
      <x:c r="E169" s="75" t="str">
        <x:f>IF(A169="","",D169-C169)</x:f>
      </x:c>
      <x:c r="F169" s="88" t="str">
        <x:f>IF(A169="","",IF(C169=0,IF(D169=0,0,1),ABS(E169)/ABS(C169)))</x:f>
      </x:c>
      <x:c r="G169" s="73" t="str">
        <x:f>IF(A169="","",IF(AND(C169=0,D169&lt;&gt;0),"신규",IF(AND(C169&lt;&gt;0,D169=0),"소멸",IF(E169=0,"변동없음","금액변동"))))</x:f>
      </x:c>
      <x:c r="H169" s="73" t="str">
        <x:f>IF(A169="","",IF(AND(ABS(E169)&gt;='기준설정'!$B$6,OR(G169="신규",G169="소멸",F169&gt;='기준설정'!$B$5)),"원인분석 대상","일반"))</x:f>
      </x:c>
      <x:c r="I169" s="73" t="str">
        <x:f>IF(A169="","",IF(H169="원인분석 대상","세부원인분석 시트에서 거래별 원인을 검토","-"))</x:f>
      </x:c>
      <x:c r="J169" s="73" t="str">
        <x:f>IF(A169="","",COUNTIFS('전기원장'!$A$5:$A$1004,A169,'전기원장'!$J$5:$J$1004,"확인 필요")+COUNTIFS('당기원장'!$A$5:$A$1004,A169,'당기원장'!$J$5:$J$1004,"확인 필요"))</x:f>
      </x:c>
      <x:c r="K169" s="85" t="str">
        <x:f>IF(A169="","",IF(H169&lt;&gt;"원인분석 대상","",IF(J169&gt;0,"붙임 문서 확인 후 원인 확정 필요","결의서명 기반 원인분류 검토")))</x:f>
      </x:c>
    </x:row>
    <x:row r="170">
      <x:c r="A170" s="73" t="str">
        <x:f>IFERROR(INDEX('계산도우미'!$B$5:$B$2004,MATCH(ROWS($A$5:A170),'계산도우미'!$K$5:$K$2004,0)),"")</x:f>
      </x:c>
      <x:c r="B170" s="73" t="str">
        <x:f>IF(A170="","",IFERROR(INDEX('당기원장'!$B$5:$B$1004,MATCH(A170,'당기원장'!$A$5:$A$1004,0)),IFERROR(INDEX('전기원장'!$B$5:$B$1004,MATCH(A170,'전기원장'!$A$5:$A$1004,0)),"")))</x:f>
      </x:c>
      <x:c r="C170" s="75" t="str">
        <x:f>IF(A170="","",SUMIF('전기원장'!$A$5:$A$1004,A170,'전기원장'!$H$5:$H$1004))</x:f>
      </x:c>
      <x:c r="D170" s="75" t="str">
        <x:f>IF(A170="","",SUMIF('당기원장'!$A$5:$A$1004,A170,'당기원장'!$H$5:$H$1004))</x:f>
      </x:c>
      <x:c r="E170" s="75" t="str">
        <x:f>IF(A170="","",D170-C170)</x:f>
      </x:c>
      <x:c r="F170" s="88" t="str">
        <x:f>IF(A170="","",IF(C170=0,IF(D170=0,0,1),ABS(E170)/ABS(C170)))</x:f>
      </x:c>
      <x:c r="G170" s="73" t="str">
        <x:f>IF(A170="","",IF(AND(C170=0,D170&lt;&gt;0),"신규",IF(AND(C170&lt;&gt;0,D170=0),"소멸",IF(E170=0,"변동없음","금액변동"))))</x:f>
      </x:c>
      <x:c r="H170" s="73" t="str">
        <x:f>IF(A170="","",IF(AND(ABS(E170)&gt;='기준설정'!$B$6,OR(G170="신규",G170="소멸",F170&gt;='기준설정'!$B$5)),"원인분석 대상","일반"))</x:f>
      </x:c>
      <x:c r="I170" s="73" t="str">
        <x:f>IF(A170="","",IF(H170="원인분석 대상","세부원인분석 시트에서 거래별 원인을 검토","-"))</x:f>
      </x:c>
      <x:c r="J170" s="73" t="str">
        <x:f>IF(A170="","",COUNTIFS('전기원장'!$A$5:$A$1004,A170,'전기원장'!$J$5:$J$1004,"확인 필요")+COUNTIFS('당기원장'!$A$5:$A$1004,A170,'당기원장'!$J$5:$J$1004,"확인 필요"))</x:f>
      </x:c>
      <x:c r="K170" s="85" t="str">
        <x:f>IF(A170="","",IF(H170&lt;&gt;"원인분석 대상","",IF(J170&gt;0,"붙임 문서 확인 후 원인 확정 필요","결의서명 기반 원인분류 검토")))</x:f>
      </x:c>
    </x:row>
    <x:row r="171">
      <x:c r="A171" s="73" t="str">
        <x:f>IFERROR(INDEX('계산도우미'!$B$5:$B$2004,MATCH(ROWS($A$5:A171),'계산도우미'!$K$5:$K$2004,0)),"")</x:f>
      </x:c>
      <x:c r="B171" s="73" t="str">
        <x:f>IF(A171="","",IFERROR(INDEX('당기원장'!$B$5:$B$1004,MATCH(A171,'당기원장'!$A$5:$A$1004,0)),IFERROR(INDEX('전기원장'!$B$5:$B$1004,MATCH(A171,'전기원장'!$A$5:$A$1004,0)),"")))</x:f>
      </x:c>
      <x:c r="C171" s="75" t="str">
        <x:f>IF(A171="","",SUMIF('전기원장'!$A$5:$A$1004,A171,'전기원장'!$H$5:$H$1004))</x:f>
      </x:c>
      <x:c r="D171" s="75" t="str">
        <x:f>IF(A171="","",SUMIF('당기원장'!$A$5:$A$1004,A171,'당기원장'!$H$5:$H$1004))</x:f>
      </x:c>
      <x:c r="E171" s="75" t="str">
        <x:f>IF(A171="","",D171-C171)</x:f>
      </x:c>
      <x:c r="F171" s="88" t="str">
        <x:f>IF(A171="","",IF(C171=0,IF(D171=0,0,1),ABS(E171)/ABS(C171)))</x:f>
      </x:c>
      <x:c r="G171" s="73" t="str">
        <x:f>IF(A171="","",IF(AND(C171=0,D171&lt;&gt;0),"신규",IF(AND(C171&lt;&gt;0,D171=0),"소멸",IF(E171=0,"변동없음","금액변동"))))</x:f>
      </x:c>
      <x:c r="H171" s="73" t="str">
        <x:f>IF(A171="","",IF(AND(ABS(E171)&gt;='기준설정'!$B$6,OR(G171="신규",G171="소멸",F171&gt;='기준설정'!$B$5)),"원인분석 대상","일반"))</x:f>
      </x:c>
      <x:c r="I171" s="73" t="str">
        <x:f>IF(A171="","",IF(H171="원인분석 대상","세부원인분석 시트에서 거래별 원인을 검토","-"))</x:f>
      </x:c>
      <x:c r="J171" s="73" t="str">
        <x:f>IF(A171="","",COUNTIFS('전기원장'!$A$5:$A$1004,A171,'전기원장'!$J$5:$J$1004,"확인 필요")+COUNTIFS('당기원장'!$A$5:$A$1004,A171,'당기원장'!$J$5:$J$1004,"확인 필요"))</x:f>
      </x:c>
      <x:c r="K171" s="85" t="str">
        <x:f>IF(A171="","",IF(H171&lt;&gt;"원인분석 대상","",IF(J171&gt;0,"붙임 문서 확인 후 원인 확정 필요","결의서명 기반 원인분류 검토")))</x:f>
      </x:c>
    </x:row>
    <x:row r="172">
      <x:c r="A172" s="73" t="str">
        <x:f>IFERROR(INDEX('계산도우미'!$B$5:$B$2004,MATCH(ROWS($A$5:A172),'계산도우미'!$K$5:$K$2004,0)),"")</x:f>
      </x:c>
      <x:c r="B172" s="73" t="str">
        <x:f>IF(A172="","",IFERROR(INDEX('당기원장'!$B$5:$B$1004,MATCH(A172,'당기원장'!$A$5:$A$1004,0)),IFERROR(INDEX('전기원장'!$B$5:$B$1004,MATCH(A172,'전기원장'!$A$5:$A$1004,0)),"")))</x:f>
      </x:c>
      <x:c r="C172" s="75" t="str">
        <x:f>IF(A172="","",SUMIF('전기원장'!$A$5:$A$1004,A172,'전기원장'!$H$5:$H$1004))</x:f>
      </x:c>
      <x:c r="D172" s="75" t="str">
        <x:f>IF(A172="","",SUMIF('당기원장'!$A$5:$A$1004,A172,'당기원장'!$H$5:$H$1004))</x:f>
      </x:c>
      <x:c r="E172" s="75" t="str">
        <x:f>IF(A172="","",D172-C172)</x:f>
      </x:c>
      <x:c r="F172" s="88" t="str">
        <x:f>IF(A172="","",IF(C172=0,IF(D172=0,0,1),ABS(E172)/ABS(C172)))</x:f>
      </x:c>
      <x:c r="G172" s="73" t="str">
        <x:f>IF(A172="","",IF(AND(C172=0,D172&lt;&gt;0),"신규",IF(AND(C172&lt;&gt;0,D172=0),"소멸",IF(E172=0,"변동없음","금액변동"))))</x:f>
      </x:c>
      <x:c r="H172" s="73" t="str">
        <x:f>IF(A172="","",IF(AND(ABS(E172)&gt;='기준설정'!$B$6,OR(G172="신규",G172="소멸",F172&gt;='기준설정'!$B$5)),"원인분석 대상","일반"))</x:f>
      </x:c>
      <x:c r="I172" s="73" t="str">
        <x:f>IF(A172="","",IF(H172="원인분석 대상","세부원인분석 시트에서 거래별 원인을 검토","-"))</x:f>
      </x:c>
      <x:c r="J172" s="73" t="str">
        <x:f>IF(A172="","",COUNTIFS('전기원장'!$A$5:$A$1004,A172,'전기원장'!$J$5:$J$1004,"확인 필요")+COUNTIFS('당기원장'!$A$5:$A$1004,A172,'당기원장'!$J$5:$J$1004,"확인 필요"))</x:f>
      </x:c>
      <x:c r="K172" s="85" t="str">
        <x:f>IF(A172="","",IF(H172&lt;&gt;"원인분석 대상","",IF(J172&gt;0,"붙임 문서 확인 후 원인 확정 필요","결의서명 기반 원인분류 검토")))</x:f>
      </x:c>
    </x:row>
    <x:row r="173">
      <x:c r="A173" s="73" t="str">
        <x:f>IFERROR(INDEX('계산도우미'!$B$5:$B$2004,MATCH(ROWS($A$5:A173),'계산도우미'!$K$5:$K$2004,0)),"")</x:f>
      </x:c>
      <x:c r="B173" s="73" t="str">
        <x:f>IF(A173="","",IFERROR(INDEX('당기원장'!$B$5:$B$1004,MATCH(A173,'당기원장'!$A$5:$A$1004,0)),IFERROR(INDEX('전기원장'!$B$5:$B$1004,MATCH(A173,'전기원장'!$A$5:$A$1004,0)),"")))</x:f>
      </x:c>
      <x:c r="C173" s="75" t="str">
        <x:f>IF(A173="","",SUMIF('전기원장'!$A$5:$A$1004,A173,'전기원장'!$H$5:$H$1004))</x:f>
      </x:c>
      <x:c r="D173" s="75" t="str">
        <x:f>IF(A173="","",SUMIF('당기원장'!$A$5:$A$1004,A173,'당기원장'!$H$5:$H$1004))</x:f>
      </x:c>
      <x:c r="E173" s="75" t="str">
        <x:f>IF(A173="","",D173-C173)</x:f>
      </x:c>
      <x:c r="F173" s="88" t="str">
        <x:f>IF(A173="","",IF(C173=0,IF(D173=0,0,1),ABS(E173)/ABS(C173)))</x:f>
      </x:c>
      <x:c r="G173" s="73" t="str">
        <x:f>IF(A173="","",IF(AND(C173=0,D173&lt;&gt;0),"신규",IF(AND(C173&lt;&gt;0,D173=0),"소멸",IF(E173=0,"변동없음","금액변동"))))</x:f>
      </x:c>
      <x:c r="H173" s="73" t="str">
        <x:f>IF(A173="","",IF(AND(ABS(E173)&gt;='기준설정'!$B$6,OR(G173="신규",G173="소멸",F173&gt;='기준설정'!$B$5)),"원인분석 대상","일반"))</x:f>
      </x:c>
      <x:c r="I173" s="73" t="str">
        <x:f>IF(A173="","",IF(H173="원인분석 대상","세부원인분석 시트에서 거래별 원인을 검토","-"))</x:f>
      </x:c>
      <x:c r="J173" s="73" t="str">
        <x:f>IF(A173="","",COUNTIFS('전기원장'!$A$5:$A$1004,A173,'전기원장'!$J$5:$J$1004,"확인 필요")+COUNTIFS('당기원장'!$A$5:$A$1004,A173,'당기원장'!$J$5:$J$1004,"확인 필요"))</x:f>
      </x:c>
      <x:c r="K173" s="85" t="str">
        <x:f>IF(A173="","",IF(H173&lt;&gt;"원인분석 대상","",IF(J173&gt;0,"붙임 문서 확인 후 원인 확정 필요","결의서명 기반 원인분류 검토")))</x:f>
      </x:c>
    </x:row>
    <x:row r="174">
      <x:c r="A174" s="73" t="str">
        <x:f>IFERROR(INDEX('계산도우미'!$B$5:$B$2004,MATCH(ROWS($A$5:A174),'계산도우미'!$K$5:$K$2004,0)),"")</x:f>
      </x:c>
      <x:c r="B174" s="73" t="str">
        <x:f>IF(A174="","",IFERROR(INDEX('당기원장'!$B$5:$B$1004,MATCH(A174,'당기원장'!$A$5:$A$1004,0)),IFERROR(INDEX('전기원장'!$B$5:$B$1004,MATCH(A174,'전기원장'!$A$5:$A$1004,0)),"")))</x:f>
      </x:c>
      <x:c r="C174" s="75" t="str">
        <x:f>IF(A174="","",SUMIF('전기원장'!$A$5:$A$1004,A174,'전기원장'!$H$5:$H$1004))</x:f>
      </x:c>
      <x:c r="D174" s="75" t="str">
        <x:f>IF(A174="","",SUMIF('당기원장'!$A$5:$A$1004,A174,'당기원장'!$H$5:$H$1004))</x:f>
      </x:c>
      <x:c r="E174" s="75" t="str">
        <x:f>IF(A174="","",D174-C174)</x:f>
      </x:c>
      <x:c r="F174" s="88" t="str">
        <x:f>IF(A174="","",IF(C174=0,IF(D174=0,0,1),ABS(E174)/ABS(C174)))</x:f>
      </x:c>
      <x:c r="G174" s="73" t="str">
        <x:f>IF(A174="","",IF(AND(C174=0,D174&lt;&gt;0),"신규",IF(AND(C174&lt;&gt;0,D174=0),"소멸",IF(E174=0,"변동없음","금액변동"))))</x:f>
      </x:c>
      <x:c r="H174" s="73" t="str">
        <x:f>IF(A174="","",IF(AND(ABS(E174)&gt;='기준설정'!$B$6,OR(G174="신규",G174="소멸",F174&gt;='기준설정'!$B$5)),"원인분석 대상","일반"))</x:f>
      </x:c>
      <x:c r="I174" s="73" t="str">
        <x:f>IF(A174="","",IF(H174="원인분석 대상","세부원인분석 시트에서 거래별 원인을 검토","-"))</x:f>
      </x:c>
      <x:c r="J174" s="73" t="str">
        <x:f>IF(A174="","",COUNTIFS('전기원장'!$A$5:$A$1004,A174,'전기원장'!$J$5:$J$1004,"확인 필요")+COUNTIFS('당기원장'!$A$5:$A$1004,A174,'당기원장'!$J$5:$J$1004,"확인 필요"))</x:f>
      </x:c>
      <x:c r="K174" s="85" t="str">
        <x:f>IF(A174="","",IF(H174&lt;&gt;"원인분석 대상","",IF(J174&gt;0,"붙임 문서 확인 후 원인 확정 필요","결의서명 기반 원인분류 검토")))</x:f>
      </x:c>
    </x:row>
    <x:row r="175">
      <x:c r="A175" s="73" t="str">
        <x:f>IFERROR(INDEX('계산도우미'!$B$5:$B$2004,MATCH(ROWS($A$5:A175),'계산도우미'!$K$5:$K$2004,0)),"")</x:f>
      </x:c>
      <x:c r="B175" s="73" t="str">
        <x:f>IF(A175="","",IFERROR(INDEX('당기원장'!$B$5:$B$1004,MATCH(A175,'당기원장'!$A$5:$A$1004,0)),IFERROR(INDEX('전기원장'!$B$5:$B$1004,MATCH(A175,'전기원장'!$A$5:$A$1004,0)),"")))</x:f>
      </x:c>
      <x:c r="C175" s="75" t="str">
        <x:f>IF(A175="","",SUMIF('전기원장'!$A$5:$A$1004,A175,'전기원장'!$H$5:$H$1004))</x:f>
      </x:c>
      <x:c r="D175" s="75" t="str">
        <x:f>IF(A175="","",SUMIF('당기원장'!$A$5:$A$1004,A175,'당기원장'!$H$5:$H$1004))</x:f>
      </x:c>
      <x:c r="E175" s="75" t="str">
        <x:f>IF(A175="","",D175-C175)</x:f>
      </x:c>
      <x:c r="F175" s="88" t="str">
        <x:f>IF(A175="","",IF(C175=0,IF(D175=0,0,1),ABS(E175)/ABS(C175)))</x:f>
      </x:c>
      <x:c r="G175" s="73" t="str">
        <x:f>IF(A175="","",IF(AND(C175=0,D175&lt;&gt;0),"신규",IF(AND(C175&lt;&gt;0,D175=0),"소멸",IF(E175=0,"변동없음","금액변동"))))</x:f>
      </x:c>
      <x:c r="H175" s="73" t="str">
        <x:f>IF(A175="","",IF(AND(ABS(E175)&gt;='기준설정'!$B$6,OR(G175="신규",G175="소멸",F175&gt;='기준설정'!$B$5)),"원인분석 대상","일반"))</x:f>
      </x:c>
      <x:c r="I175" s="73" t="str">
        <x:f>IF(A175="","",IF(H175="원인분석 대상","세부원인분석 시트에서 거래별 원인을 검토","-"))</x:f>
      </x:c>
      <x:c r="J175" s="73" t="str">
        <x:f>IF(A175="","",COUNTIFS('전기원장'!$A$5:$A$1004,A175,'전기원장'!$J$5:$J$1004,"확인 필요")+COUNTIFS('당기원장'!$A$5:$A$1004,A175,'당기원장'!$J$5:$J$1004,"확인 필요"))</x:f>
      </x:c>
      <x:c r="K175" s="85" t="str">
        <x:f>IF(A175="","",IF(H175&lt;&gt;"원인분석 대상","",IF(J175&gt;0,"붙임 문서 확인 후 원인 확정 필요","결의서명 기반 원인분류 검토")))</x:f>
      </x:c>
    </x:row>
    <x:row r="176">
      <x:c r="A176" s="73" t="str">
        <x:f>IFERROR(INDEX('계산도우미'!$B$5:$B$2004,MATCH(ROWS($A$5:A176),'계산도우미'!$K$5:$K$2004,0)),"")</x:f>
      </x:c>
      <x:c r="B176" s="73" t="str">
        <x:f>IF(A176="","",IFERROR(INDEX('당기원장'!$B$5:$B$1004,MATCH(A176,'당기원장'!$A$5:$A$1004,0)),IFERROR(INDEX('전기원장'!$B$5:$B$1004,MATCH(A176,'전기원장'!$A$5:$A$1004,0)),"")))</x:f>
      </x:c>
      <x:c r="C176" s="75" t="str">
        <x:f>IF(A176="","",SUMIF('전기원장'!$A$5:$A$1004,A176,'전기원장'!$H$5:$H$1004))</x:f>
      </x:c>
      <x:c r="D176" s="75" t="str">
        <x:f>IF(A176="","",SUMIF('당기원장'!$A$5:$A$1004,A176,'당기원장'!$H$5:$H$1004))</x:f>
      </x:c>
      <x:c r="E176" s="75" t="str">
        <x:f>IF(A176="","",D176-C176)</x:f>
      </x:c>
      <x:c r="F176" s="88" t="str">
        <x:f>IF(A176="","",IF(C176=0,IF(D176=0,0,1),ABS(E176)/ABS(C176)))</x:f>
      </x:c>
      <x:c r="G176" s="73" t="str">
        <x:f>IF(A176="","",IF(AND(C176=0,D176&lt;&gt;0),"신규",IF(AND(C176&lt;&gt;0,D176=0),"소멸",IF(E176=0,"변동없음","금액변동"))))</x:f>
      </x:c>
      <x:c r="H176" s="73" t="str">
        <x:f>IF(A176="","",IF(AND(ABS(E176)&gt;='기준설정'!$B$6,OR(G176="신규",G176="소멸",F176&gt;='기준설정'!$B$5)),"원인분석 대상","일반"))</x:f>
      </x:c>
      <x:c r="I176" s="73" t="str">
        <x:f>IF(A176="","",IF(H176="원인분석 대상","세부원인분석 시트에서 거래별 원인을 검토","-"))</x:f>
      </x:c>
      <x:c r="J176" s="73" t="str">
        <x:f>IF(A176="","",COUNTIFS('전기원장'!$A$5:$A$1004,A176,'전기원장'!$J$5:$J$1004,"확인 필요")+COUNTIFS('당기원장'!$A$5:$A$1004,A176,'당기원장'!$J$5:$J$1004,"확인 필요"))</x:f>
      </x:c>
      <x:c r="K176" s="85" t="str">
        <x:f>IF(A176="","",IF(H176&lt;&gt;"원인분석 대상","",IF(J176&gt;0,"붙임 문서 확인 후 원인 확정 필요","결의서명 기반 원인분류 검토")))</x:f>
      </x:c>
    </x:row>
    <x:row r="177">
      <x:c r="A177" s="73" t="str">
        <x:f>IFERROR(INDEX('계산도우미'!$B$5:$B$2004,MATCH(ROWS($A$5:A177),'계산도우미'!$K$5:$K$2004,0)),"")</x:f>
      </x:c>
      <x:c r="B177" s="73" t="str">
        <x:f>IF(A177="","",IFERROR(INDEX('당기원장'!$B$5:$B$1004,MATCH(A177,'당기원장'!$A$5:$A$1004,0)),IFERROR(INDEX('전기원장'!$B$5:$B$1004,MATCH(A177,'전기원장'!$A$5:$A$1004,0)),"")))</x:f>
      </x:c>
      <x:c r="C177" s="75" t="str">
        <x:f>IF(A177="","",SUMIF('전기원장'!$A$5:$A$1004,A177,'전기원장'!$H$5:$H$1004))</x:f>
      </x:c>
      <x:c r="D177" s="75" t="str">
        <x:f>IF(A177="","",SUMIF('당기원장'!$A$5:$A$1004,A177,'당기원장'!$H$5:$H$1004))</x:f>
      </x:c>
      <x:c r="E177" s="75" t="str">
        <x:f>IF(A177="","",D177-C177)</x:f>
      </x:c>
      <x:c r="F177" s="88" t="str">
        <x:f>IF(A177="","",IF(C177=0,IF(D177=0,0,1),ABS(E177)/ABS(C177)))</x:f>
      </x:c>
      <x:c r="G177" s="73" t="str">
        <x:f>IF(A177="","",IF(AND(C177=0,D177&lt;&gt;0),"신규",IF(AND(C177&lt;&gt;0,D177=0),"소멸",IF(E177=0,"변동없음","금액변동"))))</x:f>
      </x:c>
      <x:c r="H177" s="73" t="str">
        <x:f>IF(A177="","",IF(AND(ABS(E177)&gt;='기준설정'!$B$6,OR(G177="신규",G177="소멸",F177&gt;='기준설정'!$B$5)),"원인분석 대상","일반"))</x:f>
      </x:c>
      <x:c r="I177" s="73" t="str">
        <x:f>IF(A177="","",IF(H177="원인분석 대상","세부원인분석 시트에서 거래별 원인을 검토","-"))</x:f>
      </x:c>
      <x:c r="J177" s="73" t="str">
        <x:f>IF(A177="","",COUNTIFS('전기원장'!$A$5:$A$1004,A177,'전기원장'!$J$5:$J$1004,"확인 필요")+COUNTIFS('당기원장'!$A$5:$A$1004,A177,'당기원장'!$J$5:$J$1004,"확인 필요"))</x:f>
      </x:c>
      <x:c r="K177" s="85" t="str">
        <x:f>IF(A177="","",IF(H177&lt;&gt;"원인분석 대상","",IF(J177&gt;0,"붙임 문서 확인 후 원인 확정 필요","결의서명 기반 원인분류 검토")))</x:f>
      </x:c>
    </x:row>
    <x:row r="178">
      <x:c r="A178" s="73" t="str">
        <x:f>IFERROR(INDEX('계산도우미'!$B$5:$B$2004,MATCH(ROWS($A$5:A178),'계산도우미'!$K$5:$K$2004,0)),"")</x:f>
      </x:c>
      <x:c r="B178" s="73" t="str">
        <x:f>IF(A178="","",IFERROR(INDEX('당기원장'!$B$5:$B$1004,MATCH(A178,'당기원장'!$A$5:$A$1004,0)),IFERROR(INDEX('전기원장'!$B$5:$B$1004,MATCH(A178,'전기원장'!$A$5:$A$1004,0)),"")))</x:f>
      </x:c>
      <x:c r="C178" s="75" t="str">
        <x:f>IF(A178="","",SUMIF('전기원장'!$A$5:$A$1004,A178,'전기원장'!$H$5:$H$1004))</x:f>
      </x:c>
      <x:c r="D178" s="75" t="str">
        <x:f>IF(A178="","",SUMIF('당기원장'!$A$5:$A$1004,A178,'당기원장'!$H$5:$H$1004))</x:f>
      </x:c>
      <x:c r="E178" s="75" t="str">
        <x:f>IF(A178="","",D178-C178)</x:f>
      </x:c>
      <x:c r="F178" s="88" t="str">
        <x:f>IF(A178="","",IF(C178=0,IF(D178=0,0,1),ABS(E178)/ABS(C178)))</x:f>
      </x:c>
      <x:c r="G178" s="73" t="str">
        <x:f>IF(A178="","",IF(AND(C178=0,D178&lt;&gt;0),"신규",IF(AND(C178&lt;&gt;0,D178=0),"소멸",IF(E178=0,"변동없음","금액변동"))))</x:f>
      </x:c>
      <x:c r="H178" s="73" t="str">
        <x:f>IF(A178="","",IF(AND(ABS(E178)&gt;='기준설정'!$B$6,OR(G178="신규",G178="소멸",F178&gt;='기준설정'!$B$5)),"원인분석 대상","일반"))</x:f>
      </x:c>
      <x:c r="I178" s="73" t="str">
        <x:f>IF(A178="","",IF(H178="원인분석 대상","세부원인분석 시트에서 거래별 원인을 검토","-"))</x:f>
      </x:c>
      <x:c r="J178" s="73" t="str">
        <x:f>IF(A178="","",COUNTIFS('전기원장'!$A$5:$A$1004,A178,'전기원장'!$J$5:$J$1004,"확인 필요")+COUNTIFS('당기원장'!$A$5:$A$1004,A178,'당기원장'!$J$5:$J$1004,"확인 필요"))</x:f>
      </x:c>
      <x:c r="K178" s="85" t="str">
        <x:f>IF(A178="","",IF(H178&lt;&gt;"원인분석 대상","",IF(J178&gt;0,"붙임 문서 확인 후 원인 확정 필요","결의서명 기반 원인분류 검토")))</x:f>
      </x:c>
    </x:row>
    <x:row r="179">
      <x:c r="A179" s="73" t="str">
        <x:f>IFERROR(INDEX('계산도우미'!$B$5:$B$2004,MATCH(ROWS($A$5:A179),'계산도우미'!$K$5:$K$2004,0)),"")</x:f>
      </x:c>
      <x:c r="B179" s="73" t="str">
        <x:f>IF(A179="","",IFERROR(INDEX('당기원장'!$B$5:$B$1004,MATCH(A179,'당기원장'!$A$5:$A$1004,0)),IFERROR(INDEX('전기원장'!$B$5:$B$1004,MATCH(A179,'전기원장'!$A$5:$A$1004,0)),"")))</x:f>
      </x:c>
      <x:c r="C179" s="75" t="str">
        <x:f>IF(A179="","",SUMIF('전기원장'!$A$5:$A$1004,A179,'전기원장'!$H$5:$H$1004))</x:f>
      </x:c>
      <x:c r="D179" s="75" t="str">
        <x:f>IF(A179="","",SUMIF('당기원장'!$A$5:$A$1004,A179,'당기원장'!$H$5:$H$1004))</x:f>
      </x:c>
      <x:c r="E179" s="75" t="str">
        <x:f>IF(A179="","",D179-C179)</x:f>
      </x:c>
      <x:c r="F179" s="88" t="str">
        <x:f>IF(A179="","",IF(C179=0,IF(D179=0,0,1),ABS(E179)/ABS(C179)))</x:f>
      </x:c>
      <x:c r="G179" s="73" t="str">
        <x:f>IF(A179="","",IF(AND(C179=0,D179&lt;&gt;0),"신규",IF(AND(C179&lt;&gt;0,D179=0),"소멸",IF(E179=0,"변동없음","금액변동"))))</x:f>
      </x:c>
      <x:c r="H179" s="73" t="str">
        <x:f>IF(A179="","",IF(AND(ABS(E179)&gt;='기준설정'!$B$6,OR(G179="신규",G179="소멸",F179&gt;='기준설정'!$B$5)),"원인분석 대상","일반"))</x:f>
      </x:c>
      <x:c r="I179" s="73" t="str">
        <x:f>IF(A179="","",IF(H179="원인분석 대상","세부원인분석 시트에서 거래별 원인을 검토","-"))</x:f>
      </x:c>
      <x:c r="J179" s="73" t="str">
        <x:f>IF(A179="","",COUNTIFS('전기원장'!$A$5:$A$1004,A179,'전기원장'!$J$5:$J$1004,"확인 필요")+COUNTIFS('당기원장'!$A$5:$A$1004,A179,'당기원장'!$J$5:$J$1004,"확인 필요"))</x:f>
      </x:c>
      <x:c r="K179" s="85" t="str">
        <x:f>IF(A179="","",IF(H179&lt;&gt;"원인분석 대상","",IF(J179&gt;0,"붙임 문서 확인 후 원인 확정 필요","결의서명 기반 원인분류 검토")))</x:f>
      </x:c>
    </x:row>
    <x:row r="180">
      <x:c r="A180" s="73" t="str">
        <x:f>IFERROR(INDEX('계산도우미'!$B$5:$B$2004,MATCH(ROWS($A$5:A180),'계산도우미'!$K$5:$K$2004,0)),"")</x:f>
      </x:c>
      <x:c r="B180" s="73" t="str">
        <x:f>IF(A180="","",IFERROR(INDEX('당기원장'!$B$5:$B$1004,MATCH(A180,'당기원장'!$A$5:$A$1004,0)),IFERROR(INDEX('전기원장'!$B$5:$B$1004,MATCH(A180,'전기원장'!$A$5:$A$1004,0)),"")))</x:f>
      </x:c>
      <x:c r="C180" s="75" t="str">
        <x:f>IF(A180="","",SUMIF('전기원장'!$A$5:$A$1004,A180,'전기원장'!$H$5:$H$1004))</x:f>
      </x:c>
      <x:c r="D180" s="75" t="str">
        <x:f>IF(A180="","",SUMIF('당기원장'!$A$5:$A$1004,A180,'당기원장'!$H$5:$H$1004))</x:f>
      </x:c>
      <x:c r="E180" s="75" t="str">
        <x:f>IF(A180="","",D180-C180)</x:f>
      </x:c>
      <x:c r="F180" s="88" t="str">
        <x:f>IF(A180="","",IF(C180=0,IF(D180=0,0,1),ABS(E180)/ABS(C180)))</x:f>
      </x:c>
      <x:c r="G180" s="73" t="str">
        <x:f>IF(A180="","",IF(AND(C180=0,D180&lt;&gt;0),"신규",IF(AND(C180&lt;&gt;0,D180=0),"소멸",IF(E180=0,"변동없음","금액변동"))))</x:f>
      </x:c>
      <x:c r="H180" s="73" t="str">
        <x:f>IF(A180="","",IF(AND(ABS(E180)&gt;='기준설정'!$B$6,OR(G180="신규",G180="소멸",F180&gt;='기준설정'!$B$5)),"원인분석 대상","일반"))</x:f>
      </x:c>
      <x:c r="I180" s="73" t="str">
        <x:f>IF(A180="","",IF(H180="원인분석 대상","세부원인분석 시트에서 거래별 원인을 검토","-"))</x:f>
      </x:c>
      <x:c r="J180" s="73" t="str">
        <x:f>IF(A180="","",COUNTIFS('전기원장'!$A$5:$A$1004,A180,'전기원장'!$J$5:$J$1004,"확인 필요")+COUNTIFS('당기원장'!$A$5:$A$1004,A180,'당기원장'!$J$5:$J$1004,"확인 필요"))</x:f>
      </x:c>
      <x:c r="K180" s="85" t="str">
        <x:f>IF(A180="","",IF(H180&lt;&gt;"원인분석 대상","",IF(J180&gt;0,"붙임 문서 확인 후 원인 확정 필요","결의서명 기반 원인분류 검토")))</x:f>
      </x:c>
    </x:row>
    <x:row r="181">
      <x:c r="A181" s="73" t="str">
        <x:f>IFERROR(INDEX('계산도우미'!$B$5:$B$2004,MATCH(ROWS($A$5:A181),'계산도우미'!$K$5:$K$2004,0)),"")</x:f>
      </x:c>
      <x:c r="B181" s="73" t="str">
        <x:f>IF(A181="","",IFERROR(INDEX('당기원장'!$B$5:$B$1004,MATCH(A181,'당기원장'!$A$5:$A$1004,0)),IFERROR(INDEX('전기원장'!$B$5:$B$1004,MATCH(A181,'전기원장'!$A$5:$A$1004,0)),"")))</x:f>
      </x:c>
      <x:c r="C181" s="75" t="str">
        <x:f>IF(A181="","",SUMIF('전기원장'!$A$5:$A$1004,A181,'전기원장'!$H$5:$H$1004))</x:f>
      </x:c>
      <x:c r="D181" s="75" t="str">
        <x:f>IF(A181="","",SUMIF('당기원장'!$A$5:$A$1004,A181,'당기원장'!$H$5:$H$1004))</x:f>
      </x:c>
      <x:c r="E181" s="75" t="str">
        <x:f>IF(A181="","",D181-C181)</x:f>
      </x:c>
      <x:c r="F181" s="88" t="str">
        <x:f>IF(A181="","",IF(C181=0,IF(D181=0,0,1),ABS(E181)/ABS(C181)))</x:f>
      </x:c>
      <x:c r="G181" s="73" t="str">
        <x:f>IF(A181="","",IF(AND(C181=0,D181&lt;&gt;0),"신규",IF(AND(C181&lt;&gt;0,D181=0),"소멸",IF(E181=0,"변동없음","금액변동"))))</x:f>
      </x:c>
      <x:c r="H181" s="73" t="str">
        <x:f>IF(A181="","",IF(AND(ABS(E181)&gt;='기준설정'!$B$6,OR(G181="신규",G181="소멸",F181&gt;='기준설정'!$B$5)),"원인분석 대상","일반"))</x:f>
      </x:c>
      <x:c r="I181" s="73" t="str">
        <x:f>IF(A181="","",IF(H181="원인분석 대상","세부원인분석 시트에서 거래별 원인을 검토","-"))</x:f>
      </x:c>
      <x:c r="J181" s="73" t="str">
        <x:f>IF(A181="","",COUNTIFS('전기원장'!$A$5:$A$1004,A181,'전기원장'!$J$5:$J$1004,"확인 필요")+COUNTIFS('당기원장'!$A$5:$A$1004,A181,'당기원장'!$J$5:$J$1004,"확인 필요"))</x:f>
      </x:c>
      <x:c r="K181" s="85" t="str">
        <x:f>IF(A181="","",IF(H181&lt;&gt;"원인분석 대상","",IF(J181&gt;0,"붙임 문서 확인 후 원인 확정 필요","결의서명 기반 원인분류 검토")))</x:f>
      </x:c>
    </x:row>
    <x:row r="182">
      <x:c r="A182" s="73" t="str">
        <x:f>IFERROR(INDEX('계산도우미'!$B$5:$B$2004,MATCH(ROWS($A$5:A182),'계산도우미'!$K$5:$K$2004,0)),"")</x:f>
      </x:c>
      <x:c r="B182" s="73" t="str">
        <x:f>IF(A182="","",IFERROR(INDEX('당기원장'!$B$5:$B$1004,MATCH(A182,'당기원장'!$A$5:$A$1004,0)),IFERROR(INDEX('전기원장'!$B$5:$B$1004,MATCH(A182,'전기원장'!$A$5:$A$1004,0)),"")))</x:f>
      </x:c>
      <x:c r="C182" s="75" t="str">
        <x:f>IF(A182="","",SUMIF('전기원장'!$A$5:$A$1004,A182,'전기원장'!$H$5:$H$1004))</x:f>
      </x:c>
      <x:c r="D182" s="75" t="str">
        <x:f>IF(A182="","",SUMIF('당기원장'!$A$5:$A$1004,A182,'당기원장'!$H$5:$H$1004))</x:f>
      </x:c>
      <x:c r="E182" s="75" t="str">
        <x:f>IF(A182="","",D182-C182)</x:f>
      </x:c>
      <x:c r="F182" s="88" t="str">
        <x:f>IF(A182="","",IF(C182=0,IF(D182=0,0,1),ABS(E182)/ABS(C182)))</x:f>
      </x:c>
      <x:c r="G182" s="73" t="str">
        <x:f>IF(A182="","",IF(AND(C182=0,D182&lt;&gt;0),"신규",IF(AND(C182&lt;&gt;0,D182=0),"소멸",IF(E182=0,"변동없음","금액변동"))))</x:f>
      </x:c>
      <x:c r="H182" s="73" t="str">
        <x:f>IF(A182="","",IF(AND(ABS(E182)&gt;='기준설정'!$B$6,OR(G182="신규",G182="소멸",F182&gt;='기준설정'!$B$5)),"원인분석 대상","일반"))</x:f>
      </x:c>
      <x:c r="I182" s="73" t="str">
        <x:f>IF(A182="","",IF(H182="원인분석 대상","세부원인분석 시트에서 거래별 원인을 검토","-"))</x:f>
      </x:c>
      <x:c r="J182" s="73" t="str">
        <x:f>IF(A182="","",COUNTIFS('전기원장'!$A$5:$A$1004,A182,'전기원장'!$J$5:$J$1004,"확인 필요")+COUNTIFS('당기원장'!$A$5:$A$1004,A182,'당기원장'!$J$5:$J$1004,"확인 필요"))</x:f>
      </x:c>
      <x:c r="K182" s="85" t="str">
        <x:f>IF(A182="","",IF(H182&lt;&gt;"원인분석 대상","",IF(J182&gt;0,"붙임 문서 확인 후 원인 확정 필요","결의서명 기반 원인분류 검토")))</x:f>
      </x:c>
    </x:row>
    <x:row r="183">
      <x:c r="A183" s="73" t="str">
        <x:f>IFERROR(INDEX('계산도우미'!$B$5:$B$2004,MATCH(ROWS($A$5:A183),'계산도우미'!$K$5:$K$2004,0)),"")</x:f>
      </x:c>
      <x:c r="B183" s="73" t="str">
        <x:f>IF(A183="","",IFERROR(INDEX('당기원장'!$B$5:$B$1004,MATCH(A183,'당기원장'!$A$5:$A$1004,0)),IFERROR(INDEX('전기원장'!$B$5:$B$1004,MATCH(A183,'전기원장'!$A$5:$A$1004,0)),"")))</x:f>
      </x:c>
      <x:c r="C183" s="75" t="str">
        <x:f>IF(A183="","",SUMIF('전기원장'!$A$5:$A$1004,A183,'전기원장'!$H$5:$H$1004))</x:f>
      </x:c>
      <x:c r="D183" s="75" t="str">
        <x:f>IF(A183="","",SUMIF('당기원장'!$A$5:$A$1004,A183,'당기원장'!$H$5:$H$1004))</x:f>
      </x:c>
      <x:c r="E183" s="75" t="str">
        <x:f>IF(A183="","",D183-C183)</x:f>
      </x:c>
      <x:c r="F183" s="88" t="str">
        <x:f>IF(A183="","",IF(C183=0,IF(D183=0,0,1),ABS(E183)/ABS(C183)))</x:f>
      </x:c>
      <x:c r="G183" s="73" t="str">
        <x:f>IF(A183="","",IF(AND(C183=0,D183&lt;&gt;0),"신규",IF(AND(C183&lt;&gt;0,D183=0),"소멸",IF(E183=0,"변동없음","금액변동"))))</x:f>
      </x:c>
      <x:c r="H183" s="73" t="str">
        <x:f>IF(A183="","",IF(AND(ABS(E183)&gt;='기준설정'!$B$6,OR(G183="신규",G183="소멸",F183&gt;='기준설정'!$B$5)),"원인분석 대상","일반"))</x:f>
      </x:c>
      <x:c r="I183" s="73" t="str">
        <x:f>IF(A183="","",IF(H183="원인분석 대상","세부원인분석 시트에서 거래별 원인을 검토","-"))</x:f>
      </x:c>
      <x:c r="J183" s="73" t="str">
        <x:f>IF(A183="","",COUNTIFS('전기원장'!$A$5:$A$1004,A183,'전기원장'!$J$5:$J$1004,"확인 필요")+COUNTIFS('당기원장'!$A$5:$A$1004,A183,'당기원장'!$J$5:$J$1004,"확인 필요"))</x:f>
      </x:c>
      <x:c r="K183" s="85" t="str">
        <x:f>IF(A183="","",IF(H183&lt;&gt;"원인분석 대상","",IF(J183&gt;0,"붙임 문서 확인 후 원인 확정 필요","결의서명 기반 원인분류 검토")))</x:f>
      </x:c>
    </x:row>
    <x:row r="184">
      <x:c r="A184" s="73" t="str">
        <x:f>IFERROR(INDEX('계산도우미'!$B$5:$B$2004,MATCH(ROWS($A$5:A184),'계산도우미'!$K$5:$K$2004,0)),"")</x:f>
      </x:c>
      <x:c r="B184" s="73" t="str">
        <x:f>IF(A184="","",IFERROR(INDEX('당기원장'!$B$5:$B$1004,MATCH(A184,'당기원장'!$A$5:$A$1004,0)),IFERROR(INDEX('전기원장'!$B$5:$B$1004,MATCH(A184,'전기원장'!$A$5:$A$1004,0)),"")))</x:f>
      </x:c>
      <x:c r="C184" s="75" t="str">
        <x:f>IF(A184="","",SUMIF('전기원장'!$A$5:$A$1004,A184,'전기원장'!$H$5:$H$1004))</x:f>
      </x:c>
      <x:c r="D184" s="75" t="str">
        <x:f>IF(A184="","",SUMIF('당기원장'!$A$5:$A$1004,A184,'당기원장'!$H$5:$H$1004))</x:f>
      </x:c>
      <x:c r="E184" s="75" t="str">
        <x:f>IF(A184="","",D184-C184)</x:f>
      </x:c>
      <x:c r="F184" s="88" t="str">
        <x:f>IF(A184="","",IF(C184=0,IF(D184=0,0,1),ABS(E184)/ABS(C184)))</x:f>
      </x:c>
      <x:c r="G184" s="73" t="str">
        <x:f>IF(A184="","",IF(AND(C184=0,D184&lt;&gt;0),"신규",IF(AND(C184&lt;&gt;0,D184=0),"소멸",IF(E184=0,"변동없음","금액변동"))))</x:f>
      </x:c>
      <x:c r="H184" s="73" t="str">
        <x:f>IF(A184="","",IF(AND(ABS(E184)&gt;='기준설정'!$B$6,OR(G184="신규",G184="소멸",F184&gt;='기준설정'!$B$5)),"원인분석 대상","일반"))</x:f>
      </x:c>
      <x:c r="I184" s="73" t="str">
        <x:f>IF(A184="","",IF(H184="원인분석 대상","세부원인분석 시트에서 거래별 원인을 검토","-"))</x:f>
      </x:c>
      <x:c r="J184" s="73" t="str">
        <x:f>IF(A184="","",COUNTIFS('전기원장'!$A$5:$A$1004,A184,'전기원장'!$J$5:$J$1004,"확인 필요")+COUNTIFS('당기원장'!$A$5:$A$1004,A184,'당기원장'!$J$5:$J$1004,"확인 필요"))</x:f>
      </x:c>
      <x:c r="K184" s="85" t="str">
        <x:f>IF(A184="","",IF(H184&lt;&gt;"원인분석 대상","",IF(J184&gt;0,"붙임 문서 확인 후 원인 확정 필요","결의서명 기반 원인분류 검토")))</x:f>
      </x:c>
    </x:row>
    <x:row r="185">
      <x:c r="A185" s="73" t="str">
        <x:f>IFERROR(INDEX('계산도우미'!$B$5:$B$2004,MATCH(ROWS($A$5:A185),'계산도우미'!$K$5:$K$2004,0)),"")</x:f>
      </x:c>
      <x:c r="B185" s="73" t="str">
        <x:f>IF(A185="","",IFERROR(INDEX('당기원장'!$B$5:$B$1004,MATCH(A185,'당기원장'!$A$5:$A$1004,0)),IFERROR(INDEX('전기원장'!$B$5:$B$1004,MATCH(A185,'전기원장'!$A$5:$A$1004,0)),"")))</x:f>
      </x:c>
      <x:c r="C185" s="75" t="str">
        <x:f>IF(A185="","",SUMIF('전기원장'!$A$5:$A$1004,A185,'전기원장'!$H$5:$H$1004))</x:f>
      </x:c>
      <x:c r="D185" s="75" t="str">
        <x:f>IF(A185="","",SUMIF('당기원장'!$A$5:$A$1004,A185,'당기원장'!$H$5:$H$1004))</x:f>
      </x:c>
      <x:c r="E185" s="75" t="str">
        <x:f>IF(A185="","",D185-C185)</x:f>
      </x:c>
      <x:c r="F185" s="88" t="str">
        <x:f>IF(A185="","",IF(C185=0,IF(D185=0,0,1),ABS(E185)/ABS(C185)))</x:f>
      </x:c>
      <x:c r="G185" s="73" t="str">
        <x:f>IF(A185="","",IF(AND(C185=0,D185&lt;&gt;0),"신규",IF(AND(C185&lt;&gt;0,D185=0),"소멸",IF(E185=0,"변동없음","금액변동"))))</x:f>
      </x:c>
      <x:c r="H185" s="73" t="str">
        <x:f>IF(A185="","",IF(AND(ABS(E185)&gt;='기준설정'!$B$6,OR(G185="신규",G185="소멸",F185&gt;='기준설정'!$B$5)),"원인분석 대상","일반"))</x:f>
      </x:c>
      <x:c r="I185" s="73" t="str">
        <x:f>IF(A185="","",IF(H185="원인분석 대상","세부원인분석 시트에서 거래별 원인을 검토","-"))</x:f>
      </x:c>
      <x:c r="J185" s="73" t="str">
        <x:f>IF(A185="","",COUNTIFS('전기원장'!$A$5:$A$1004,A185,'전기원장'!$J$5:$J$1004,"확인 필요")+COUNTIFS('당기원장'!$A$5:$A$1004,A185,'당기원장'!$J$5:$J$1004,"확인 필요"))</x:f>
      </x:c>
      <x:c r="K185" s="85" t="str">
        <x:f>IF(A185="","",IF(H185&lt;&gt;"원인분석 대상","",IF(J185&gt;0,"붙임 문서 확인 후 원인 확정 필요","결의서명 기반 원인분류 검토")))</x:f>
      </x:c>
    </x:row>
    <x:row r="186">
      <x:c r="A186" s="73" t="str">
        <x:f>IFERROR(INDEX('계산도우미'!$B$5:$B$2004,MATCH(ROWS($A$5:A186),'계산도우미'!$K$5:$K$2004,0)),"")</x:f>
      </x:c>
      <x:c r="B186" s="73" t="str">
        <x:f>IF(A186="","",IFERROR(INDEX('당기원장'!$B$5:$B$1004,MATCH(A186,'당기원장'!$A$5:$A$1004,0)),IFERROR(INDEX('전기원장'!$B$5:$B$1004,MATCH(A186,'전기원장'!$A$5:$A$1004,0)),"")))</x:f>
      </x:c>
      <x:c r="C186" s="75" t="str">
        <x:f>IF(A186="","",SUMIF('전기원장'!$A$5:$A$1004,A186,'전기원장'!$H$5:$H$1004))</x:f>
      </x:c>
      <x:c r="D186" s="75" t="str">
        <x:f>IF(A186="","",SUMIF('당기원장'!$A$5:$A$1004,A186,'당기원장'!$H$5:$H$1004))</x:f>
      </x:c>
      <x:c r="E186" s="75" t="str">
        <x:f>IF(A186="","",D186-C186)</x:f>
      </x:c>
      <x:c r="F186" s="88" t="str">
        <x:f>IF(A186="","",IF(C186=0,IF(D186=0,0,1),ABS(E186)/ABS(C186)))</x:f>
      </x:c>
      <x:c r="G186" s="73" t="str">
        <x:f>IF(A186="","",IF(AND(C186=0,D186&lt;&gt;0),"신규",IF(AND(C186&lt;&gt;0,D186=0),"소멸",IF(E186=0,"변동없음","금액변동"))))</x:f>
      </x:c>
      <x:c r="H186" s="73" t="str">
        <x:f>IF(A186="","",IF(AND(ABS(E186)&gt;='기준설정'!$B$6,OR(G186="신규",G186="소멸",F186&gt;='기준설정'!$B$5)),"원인분석 대상","일반"))</x:f>
      </x:c>
      <x:c r="I186" s="73" t="str">
        <x:f>IF(A186="","",IF(H186="원인분석 대상","세부원인분석 시트에서 거래별 원인을 검토","-"))</x:f>
      </x:c>
      <x:c r="J186" s="73" t="str">
        <x:f>IF(A186="","",COUNTIFS('전기원장'!$A$5:$A$1004,A186,'전기원장'!$J$5:$J$1004,"확인 필요")+COUNTIFS('당기원장'!$A$5:$A$1004,A186,'당기원장'!$J$5:$J$1004,"확인 필요"))</x:f>
      </x:c>
      <x:c r="K186" s="85" t="str">
        <x:f>IF(A186="","",IF(H186&lt;&gt;"원인분석 대상","",IF(J186&gt;0,"붙임 문서 확인 후 원인 확정 필요","결의서명 기반 원인분류 검토")))</x:f>
      </x:c>
    </x:row>
    <x:row r="187">
      <x:c r="A187" s="73" t="str">
        <x:f>IFERROR(INDEX('계산도우미'!$B$5:$B$2004,MATCH(ROWS($A$5:A187),'계산도우미'!$K$5:$K$2004,0)),"")</x:f>
      </x:c>
      <x:c r="B187" s="73" t="str">
        <x:f>IF(A187="","",IFERROR(INDEX('당기원장'!$B$5:$B$1004,MATCH(A187,'당기원장'!$A$5:$A$1004,0)),IFERROR(INDEX('전기원장'!$B$5:$B$1004,MATCH(A187,'전기원장'!$A$5:$A$1004,0)),"")))</x:f>
      </x:c>
      <x:c r="C187" s="75" t="str">
        <x:f>IF(A187="","",SUMIF('전기원장'!$A$5:$A$1004,A187,'전기원장'!$H$5:$H$1004))</x:f>
      </x:c>
      <x:c r="D187" s="75" t="str">
        <x:f>IF(A187="","",SUMIF('당기원장'!$A$5:$A$1004,A187,'당기원장'!$H$5:$H$1004))</x:f>
      </x:c>
      <x:c r="E187" s="75" t="str">
        <x:f>IF(A187="","",D187-C187)</x:f>
      </x:c>
      <x:c r="F187" s="88" t="str">
        <x:f>IF(A187="","",IF(C187=0,IF(D187=0,0,1),ABS(E187)/ABS(C187)))</x:f>
      </x:c>
      <x:c r="G187" s="73" t="str">
        <x:f>IF(A187="","",IF(AND(C187=0,D187&lt;&gt;0),"신규",IF(AND(C187&lt;&gt;0,D187=0),"소멸",IF(E187=0,"변동없음","금액변동"))))</x:f>
      </x:c>
      <x:c r="H187" s="73" t="str">
        <x:f>IF(A187="","",IF(AND(ABS(E187)&gt;='기준설정'!$B$6,OR(G187="신규",G187="소멸",F187&gt;='기준설정'!$B$5)),"원인분석 대상","일반"))</x:f>
      </x:c>
      <x:c r="I187" s="73" t="str">
        <x:f>IF(A187="","",IF(H187="원인분석 대상","세부원인분석 시트에서 거래별 원인을 검토","-"))</x:f>
      </x:c>
      <x:c r="J187" s="73" t="str">
        <x:f>IF(A187="","",COUNTIFS('전기원장'!$A$5:$A$1004,A187,'전기원장'!$J$5:$J$1004,"확인 필요")+COUNTIFS('당기원장'!$A$5:$A$1004,A187,'당기원장'!$J$5:$J$1004,"확인 필요"))</x:f>
      </x:c>
      <x:c r="K187" s="85" t="str">
        <x:f>IF(A187="","",IF(H187&lt;&gt;"원인분석 대상","",IF(J187&gt;0,"붙임 문서 확인 후 원인 확정 필요","결의서명 기반 원인분류 검토")))</x:f>
      </x:c>
    </x:row>
    <x:row r="188">
      <x:c r="A188" s="73" t="str">
        <x:f>IFERROR(INDEX('계산도우미'!$B$5:$B$2004,MATCH(ROWS($A$5:A188),'계산도우미'!$K$5:$K$2004,0)),"")</x:f>
      </x:c>
      <x:c r="B188" s="73" t="str">
        <x:f>IF(A188="","",IFERROR(INDEX('당기원장'!$B$5:$B$1004,MATCH(A188,'당기원장'!$A$5:$A$1004,0)),IFERROR(INDEX('전기원장'!$B$5:$B$1004,MATCH(A188,'전기원장'!$A$5:$A$1004,0)),"")))</x:f>
      </x:c>
      <x:c r="C188" s="75" t="str">
        <x:f>IF(A188="","",SUMIF('전기원장'!$A$5:$A$1004,A188,'전기원장'!$H$5:$H$1004))</x:f>
      </x:c>
      <x:c r="D188" s="75" t="str">
        <x:f>IF(A188="","",SUMIF('당기원장'!$A$5:$A$1004,A188,'당기원장'!$H$5:$H$1004))</x:f>
      </x:c>
      <x:c r="E188" s="75" t="str">
        <x:f>IF(A188="","",D188-C188)</x:f>
      </x:c>
      <x:c r="F188" s="88" t="str">
        <x:f>IF(A188="","",IF(C188=0,IF(D188=0,0,1),ABS(E188)/ABS(C188)))</x:f>
      </x:c>
      <x:c r="G188" s="73" t="str">
        <x:f>IF(A188="","",IF(AND(C188=0,D188&lt;&gt;0),"신규",IF(AND(C188&lt;&gt;0,D188=0),"소멸",IF(E188=0,"변동없음","금액변동"))))</x:f>
      </x:c>
      <x:c r="H188" s="73" t="str">
        <x:f>IF(A188="","",IF(AND(ABS(E188)&gt;='기준설정'!$B$6,OR(G188="신규",G188="소멸",F188&gt;='기준설정'!$B$5)),"원인분석 대상","일반"))</x:f>
      </x:c>
      <x:c r="I188" s="73" t="str">
        <x:f>IF(A188="","",IF(H188="원인분석 대상","세부원인분석 시트에서 거래별 원인을 검토","-"))</x:f>
      </x:c>
      <x:c r="J188" s="73" t="str">
        <x:f>IF(A188="","",COUNTIFS('전기원장'!$A$5:$A$1004,A188,'전기원장'!$J$5:$J$1004,"확인 필요")+COUNTIFS('당기원장'!$A$5:$A$1004,A188,'당기원장'!$J$5:$J$1004,"확인 필요"))</x:f>
      </x:c>
      <x:c r="K188" s="85" t="str">
        <x:f>IF(A188="","",IF(H188&lt;&gt;"원인분석 대상","",IF(J188&gt;0,"붙임 문서 확인 후 원인 확정 필요","결의서명 기반 원인분류 검토")))</x:f>
      </x:c>
    </x:row>
    <x:row r="189">
      <x:c r="A189" s="73" t="str">
        <x:f>IFERROR(INDEX('계산도우미'!$B$5:$B$2004,MATCH(ROWS($A$5:A189),'계산도우미'!$K$5:$K$2004,0)),"")</x:f>
      </x:c>
      <x:c r="B189" s="73" t="str">
        <x:f>IF(A189="","",IFERROR(INDEX('당기원장'!$B$5:$B$1004,MATCH(A189,'당기원장'!$A$5:$A$1004,0)),IFERROR(INDEX('전기원장'!$B$5:$B$1004,MATCH(A189,'전기원장'!$A$5:$A$1004,0)),"")))</x:f>
      </x:c>
      <x:c r="C189" s="75" t="str">
        <x:f>IF(A189="","",SUMIF('전기원장'!$A$5:$A$1004,A189,'전기원장'!$H$5:$H$1004))</x:f>
      </x:c>
      <x:c r="D189" s="75" t="str">
        <x:f>IF(A189="","",SUMIF('당기원장'!$A$5:$A$1004,A189,'당기원장'!$H$5:$H$1004))</x:f>
      </x:c>
      <x:c r="E189" s="75" t="str">
        <x:f>IF(A189="","",D189-C189)</x:f>
      </x:c>
      <x:c r="F189" s="88" t="str">
        <x:f>IF(A189="","",IF(C189=0,IF(D189=0,0,1),ABS(E189)/ABS(C189)))</x:f>
      </x:c>
      <x:c r="G189" s="73" t="str">
        <x:f>IF(A189="","",IF(AND(C189=0,D189&lt;&gt;0),"신규",IF(AND(C189&lt;&gt;0,D189=0),"소멸",IF(E189=0,"변동없음","금액변동"))))</x:f>
      </x:c>
      <x:c r="H189" s="73" t="str">
        <x:f>IF(A189="","",IF(AND(ABS(E189)&gt;='기준설정'!$B$6,OR(G189="신규",G189="소멸",F189&gt;='기준설정'!$B$5)),"원인분석 대상","일반"))</x:f>
      </x:c>
      <x:c r="I189" s="73" t="str">
        <x:f>IF(A189="","",IF(H189="원인분석 대상","세부원인분석 시트에서 거래별 원인을 검토","-"))</x:f>
      </x:c>
      <x:c r="J189" s="73" t="str">
        <x:f>IF(A189="","",COUNTIFS('전기원장'!$A$5:$A$1004,A189,'전기원장'!$J$5:$J$1004,"확인 필요")+COUNTIFS('당기원장'!$A$5:$A$1004,A189,'당기원장'!$J$5:$J$1004,"확인 필요"))</x:f>
      </x:c>
      <x:c r="K189" s="85" t="str">
        <x:f>IF(A189="","",IF(H189&lt;&gt;"원인분석 대상","",IF(J189&gt;0,"붙임 문서 확인 후 원인 확정 필요","결의서명 기반 원인분류 검토")))</x:f>
      </x:c>
    </x:row>
    <x:row r="190">
      <x:c r="A190" s="73" t="str">
        <x:f>IFERROR(INDEX('계산도우미'!$B$5:$B$2004,MATCH(ROWS($A$5:A190),'계산도우미'!$K$5:$K$2004,0)),"")</x:f>
      </x:c>
      <x:c r="B190" s="73" t="str">
        <x:f>IF(A190="","",IFERROR(INDEX('당기원장'!$B$5:$B$1004,MATCH(A190,'당기원장'!$A$5:$A$1004,0)),IFERROR(INDEX('전기원장'!$B$5:$B$1004,MATCH(A190,'전기원장'!$A$5:$A$1004,0)),"")))</x:f>
      </x:c>
      <x:c r="C190" s="75" t="str">
        <x:f>IF(A190="","",SUMIF('전기원장'!$A$5:$A$1004,A190,'전기원장'!$H$5:$H$1004))</x:f>
      </x:c>
      <x:c r="D190" s="75" t="str">
        <x:f>IF(A190="","",SUMIF('당기원장'!$A$5:$A$1004,A190,'당기원장'!$H$5:$H$1004))</x:f>
      </x:c>
      <x:c r="E190" s="75" t="str">
        <x:f>IF(A190="","",D190-C190)</x:f>
      </x:c>
      <x:c r="F190" s="88" t="str">
        <x:f>IF(A190="","",IF(C190=0,IF(D190=0,0,1),ABS(E190)/ABS(C190)))</x:f>
      </x:c>
      <x:c r="G190" s="73" t="str">
        <x:f>IF(A190="","",IF(AND(C190=0,D190&lt;&gt;0),"신규",IF(AND(C190&lt;&gt;0,D190=0),"소멸",IF(E190=0,"변동없음","금액변동"))))</x:f>
      </x:c>
      <x:c r="H190" s="73" t="str">
        <x:f>IF(A190="","",IF(AND(ABS(E190)&gt;='기준설정'!$B$6,OR(G190="신규",G190="소멸",F190&gt;='기준설정'!$B$5)),"원인분석 대상","일반"))</x:f>
      </x:c>
      <x:c r="I190" s="73" t="str">
        <x:f>IF(A190="","",IF(H190="원인분석 대상","세부원인분석 시트에서 거래별 원인을 검토","-"))</x:f>
      </x:c>
      <x:c r="J190" s="73" t="str">
        <x:f>IF(A190="","",COUNTIFS('전기원장'!$A$5:$A$1004,A190,'전기원장'!$J$5:$J$1004,"확인 필요")+COUNTIFS('당기원장'!$A$5:$A$1004,A190,'당기원장'!$J$5:$J$1004,"확인 필요"))</x:f>
      </x:c>
      <x:c r="K190" s="85" t="str">
        <x:f>IF(A190="","",IF(H190&lt;&gt;"원인분석 대상","",IF(J190&gt;0,"붙임 문서 확인 후 원인 확정 필요","결의서명 기반 원인분류 검토")))</x:f>
      </x:c>
    </x:row>
    <x:row r="191">
      <x:c r="A191" s="73" t="str">
        <x:f>IFERROR(INDEX('계산도우미'!$B$5:$B$2004,MATCH(ROWS($A$5:A191),'계산도우미'!$K$5:$K$2004,0)),"")</x:f>
      </x:c>
      <x:c r="B191" s="73" t="str">
        <x:f>IF(A191="","",IFERROR(INDEX('당기원장'!$B$5:$B$1004,MATCH(A191,'당기원장'!$A$5:$A$1004,0)),IFERROR(INDEX('전기원장'!$B$5:$B$1004,MATCH(A191,'전기원장'!$A$5:$A$1004,0)),"")))</x:f>
      </x:c>
      <x:c r="C191" s="75" t="str">
        <x:f>IF(A191="","",SUMIF('전기원장'!$A$5:$A$1004,A191,'전기원장'!$H$5:$H$1004))</x:f>
      </x:c>
      <x:c r="D191" s="75" t="str">
        <x:f>IF(A191="","",SUMIF('당기원장'!$A$5:$A$1004,A191,'당기원장'!$H$5:$H$1004))</x:f>
      </x:c>
      <x:c r="E191" s="75" t="str">
        <x:f>IF(A191="","",D191-C191)</x:f>
      </x:c>
      <x:c r="F191" s="88" t="str">
        <x:f>IF(A191="","",IF(C191=0,IF(D191=0,0,1),ABS(E191)/ABS(C191)))</x:f>
      </x:c>
      <x:c r="G191" s="73" t="str">
        <x:f>IF(A191="","",IF(AND(C191=0,D191&lt;&gt;0),"신규",IF(AND(C191&lt;&gt;0,D191=0),"소멸",IF(E191=0,"변동없음","금액변동"))))</x:f>
      </x:c>
      <x:c r="H191" s="73" t="str">
        <x:f>IF(A191="","",IF(AND(ABS(E191)&gt;='기준설정'!$B$6,OR(G191="신규",G191="소멸",F191&gt;='기준설정'!$B$5)),"원인분석 대상","일반"))</x:f>
      </x:c>
      <x:c r="I191" s="73" t="str">
        <x:f>IF(A191="","",IF(H191="원인분석 대상","세부원인분석 시트에서 거래별 원인을 검토","-"))</x:f>
      </x:c>
      <x:c r="J191" s="73" t="str">
        <x:f>IF(A191="","",COUNTIFS('전기원장'!$A$5:$A$1004,A191,'전기원장'!$J$5:$J$1004,"확인 필요")+COUNTIFS('당기원장'!$A$5:$A$1004,A191,'당기원장'!$J$5:$J$1004,"확인 필요"))</x:f>
      </x:c>
      <x:c r="K191" s="85" t="str">
        <x:f>IF(A191="","",IF(H191&lt;&gt;"원인분석 대상","",IF(J191&gt;0,"붙임 문서 확인 후 원인 확정 필요","결의서명 기반 원인분류 검토")))</x:f>
      </x:c>
    </x:row>
    <x:row r="192">
      <x:c r="A192" s="73" t="str">
        <x:f>IFERROR(INDEX('계산도우미'!$B$5:$B$2004,MATCH(ROWS($A$5:A192),'계산도우미'!$K$5:$K$2004,0)),"")</x:f>
      </x:c>
      <x:c r="B192" s="73" t="str">
        <x:f>IF(A192="","",IFERROR(INDEX('당기원장'!$B$5:$B$1004,MATCH(A192,'당기원장'!$A$5:$A$1004,0)),IFERROR(INDEX('전기원장'!$B$5:$B$1004,MATCH(A192,'전기원장'!$A$5:$A$1004,0)),"")))</x:f>
      </x:c>
      <x:c r="C192" s="75" t="str">
        <x:f>IF(A192="","",SUMIF('전기원장'!$A$5:$A$1004,A192,'전기원장'!$H$5:$H$1004))</x:f>
      </x:c>
      <x:c r="D192" s="75" t="str">
        <x:f>IF(A192="","",SUMIF('당기원장'!$A$5:$A$1004,A192,'당기원장'!$H$5:$H$1004))</x:f>
      </x:c>
      <x:c r="E192" s="75" t="str">
        <x:f>IF(A192="","",D192-C192)</x:f>
      </x:c>
      <x:c r="F192" s="88" t="str">
        <x:f>IF(A192="","",IF(C192=0,IF(D192=0,0,1),ABS(E192)/ABS(C192)))</x:f>
      </x:c>
      <x:c r="G192" s="73" t="str">
        <x:f>IF(A192="","",IF(AND(C192=0,D192&lt;&gt;0),"신규",IF(AND(C192&lt;&gt;0,D192=0),"소멸",IF(E192=0,"변동없음","금액변동"))))</x:f>
      </x:c>
      <x:c r="H192" s="73" t="str">
        <x:f>IF(A192="","",IF(AND(ABS(E192)&gt;='기준설정'!$B$6,OR(G192="신규",G192="소멸",F192&gt;='기준설정'!$B$5)),"원인분석 대상","일반"))</x:f>
      </x:c>
      <x:c r="I192" s="73" t="str">
        <x:f>IF(A192="","",IF(H192="원인분석 대상","세부원인분석 시트에서 거래별 원인을 검토","-"))</x:f>
      </x:c>
      <x:c r="J192" s="73" t="str">
        <x:f>IF(A192="","",COUNTIFS('전기원장'!$A$5:$A$1004,A192,'전기원장'!$J$5:$J$1004,"확인 필요")+COUNTIFS('당기원장'!$A$5:$A$1004,A192,'당기원장'!$J$5:$J$1004,"확인 필요"))</x:f>
      </x:c>
      <x:c r="K192" s="85" t="str">
        <x:f>IF(A192="","",IF(H192&lt;&gt;"원인분석 대상","",IF(J192&gt;0,"붙임 문서 확인 후 원인 확정 필요","결의서명 기반 원인분류 검토")))</x:f>
      </x:c>
    </x:row>
    <x:row r="193">
      <x:c r="A193" s="73" t="str">
        <x:f>IFERROR(INDEX('계산도우미'!$B$5:$B$2004,MATCH(ROWS($A$5:A193),'계산도우미'!$K$5:$K$2004,0)),"")</x:f>
      </x:c>
      <x:c r="B193" s="73" t="str">
        <x:f>IF(A193="","",IFERROR(INDEX('당기원장'!$B$5:$B$1004,MATCH(A193,'당기원장'!$A$5:$A$1004,0)),IFERROR(INDEX('전기원장'!$B$5:$B$1004,MATCH(A193,'전기원장'!$A$5:$A$1004,0)),"")))</x:f>
      </x:c>
      <x:c r="C193" s="75" t="str">
        <x:f>IF(A193="","",SUMIF('전기원장'!$A$5:$A$1004,A193,'전기원장'!$H$5:$H$1004))</x:f>
      </x:c>
      <x:c r="D193" s="75" t="str">
        <x:f>IF(A193="","",SUMIF('당기원장'!$A$5:$A$1004,A193,'당기원장'!$H$5:$H$1004))</x:f>
      </x:c>
      <x:c r="E193" s="75" t="str">
        <x:f>IF(A193="","",D193-C193)</x:f>
      </x:c>
      <x:c r="F193" s="88" t="str">
        <x:f>IF(A193="","",IF(C193=0,IF(D193=0,0,1),ABS(E193)/ABS(C193)))</x:f>
      </x:c>
      <x:c r="G193" s="73" t="str">
        <x:f>IF(A193="","",IF(AND(C193=0,D193&lt;&gt;0),"신규",IF(AND(C193&lt;&gt;0,D193=0),"소멸",IF(E193=0,"변동없음","금액변동"))))</x:f>
      </x:c>
      <x:c r="H193" s="73" t="str">
        <x:f>IF(A193="","",IF(AND(ABS(E193)&gt;='기준설정'!$B$6,OR(G193="신규",G193="소멸",F193&gt;='기준설정'!$B$5)),"원인분석 대상","일반"))</x:f>
      </x:c>
      <x:c r="I193" s="73" t="str">
        <x:f>IF(A193="","",IF(H193="원인분석 대상","세부원인분석 시트에서 거래별 원인을 검토","-"))</x:f>
      </x:c>
      <x:c r="J193" s="73" t="str">
        <x:f>IF(A193="","",COUNTIFS('전기원장'!$A$5:$A$1004,A193,'전기원장'!$J$5:$J$1004,"확인 필요")+COUNTIFS('당기원장'!$A$5:$A$1004,A193,'당기원장'!$J$5:$J$1004,"확인 필요"))</x:f>
      </x:c>
      <x:c r="K193" s="85" t="str">
        <x:f>IF(A193="","",IF(H193&lt;&gt;"원인분석 대상","",IF(J193&gt;0,"붙임 문서 확인 후 원인 확정 필요","결의서명 기반 원인분류 검토")))</x:f>
      </x:c>
    </x:row>
    <x:row r="194">
      <x:c r="A194" s="73" t="str">
        <x:f>IFERROR(INDEX('계산도우미'!$B$5:$B$2004,MATCH(ROWS($A$5:A194),'계산도우미'!$K$5:$K$2004,0)),"")</x:f>
      </x:c>
      <x:c r="B194" s="73" t="str">
        <x:f>IF(A194="","",IFERROR(INDEX('당기원장'!$B$5:$B$1004,MATCH(A194,'당기원장'!$A$5:$A$1004,0)),IFERROR(INDEX('전기원장'!$B$5:$B$1004,MATCH(A194,'전기원장'!$A$5:$A$1004,0)),"")))</x:f>
      </x:c>
      <x:c r="C194" s="75" t="str">
        <x:f>IF(A194="","",SUMIF('전기원장'!$A$5:$A$1004,A194,'전기원장'!$H$5:$H$1004))</x:f>
      </x:c>
      <x:c r="D194" s="75" t="str">
        <x:f>IF(A194="","",SUMIF('당기원장'!$A$5:$A$1004,A194,'당기원장'!$H$5:$H$1004))</x:f>
      </x:c>
      <x:c r="E194" s="75" t="str">
        <x:f>IF(A194="","",D194-C194)</x:f>
      </x:c>
      <x:c r="F194" s="88" t="str">
        <x:f>IF(A194="","",IF(C194=0,IF(D194=0,0,1),ABS(E194)/ABS(C194)))</x:f>
      </x:c>
      <x:c r="G194" s="73" t="str">
        <x:f>IF(A194="","",IF(AND(C194=0,D194&lt;&gt;0),"신규",IF(AND(C194&lt;&gt;0,D194=0),"소멸",IF(E194=0,"변동없음","금액변동"))))</x:f>
      </x:c>
      <x:c r="H194" s="73" t="str">
        <x:f>IF(A194="","",IF(AND(ABS(E194)&gt;='기준설정'!$B$6,OR(G194="신규",G194="소멸",F194&gt;='기준설정'!$B$5)),"원인분석 대상","일반"))</x:f>
      </x:c>
      <x:c r="I194" s="73" t="str">
        <x:f>IF(A194="","",IF(H194="원인분석 대상","세부원인분석 시트에서 거래별 원인을 검토","-"))</x:f>
      </x:c>
      <x:c r="J194" s="73" t="str">
        <x:f>IF(A194="","",COUNTIFS('전기원장'!$A$5:$A$1004,A194,'전기원장'!$J$5:$J$1004,"확인 필요")+COUNTIFS('당기원장'!$A$5:$A$1004,A194,'당기원장'!$J$5:$J$1004,"확인 필요"))</x:f>
      </x:c>
      <x:c r="K194" s="85" t="str">
        <x:f>IF(A194="","",IF(H194&lt;&gt;"원인분석 대상","",IF(J194&gt;0,"붙임 문서 확인 후 원인 확정 필요","결의서명 기반 원인분류 검토")))</x:f>
      </x:c>
    </x:row>
    <x:row r="195">
      <x:c r="A195" s="73" t="str">
        <x:f>IFERROR(INDEX('계산도우미'!$B$5:$B$2004,MATCH(ROWS($A$5:A195),'계산도우미'!$K$5:$K$2004,0)),"")</x:f>
      </x:c>
      <x:c r="B195" s="73" t="str">
        <x:f>IF(A195="","",IFERROR(INDEX('당기원장'!$B$5:$B$1004,MATCH(A195,'당기원장'!$A$5:$A$1004,0)),IFERROR(INDEX('전기원장'!$B$5:$B$1004,MATCH(A195,'전기원장'!$A$5:$A$1004,0)),"")))</x:f>
      </x:c>
      <x:c r="C195" s="75" t="str">
        <x:f>IF(A195="","",SUMIF('전기원장'!$A$5:$A$1004,A195,'전기원장'!$H$5:$H$1004))</x:f>
      </x:c>
      <x:c r="D195" s="75" t="str">
        <x:f>IF(A195="","",SUMIF('당기원장'!$A$5:$A$1004,A195,'당기원장'!$H$5:$H$1004))</x:f>
      </x:c>
      <x:c r="E195" s="75" t="str">
        <x:f>IF(A195="","",D195-C195)</x:f>
      </x:c>
      <x:c r="F195" s="88" t="str">
        <x:f>IF(A195="","",IF(C195=0,IF(D195=0,0,1),ABS(E195)/ABS(C195)))</x:f>
      </x:c>
      <x:c r="G195" s="73" t="str">
        <x:f>IF(A195="","",IF(AND(C195=0,D195&lt;&gt;0),"신규",IF(AND(C195&lt;&gt;0,D195=0),"소멸",IF(E195=0,"변동없음","금액변동"))))</x:f>
      </x:c>
      <x:c r="H195" s="73" t="str">
        <x:f>IF(A195="","",IF(AND(ABS(E195)&gt;='기준설정'!$B$6,OR(G195="신규",G195="소멸",F195&gt;='기준설정'!$B$5)),"원인분석 대상","일반"))</x:f>
      </x:c>
      <x:c r="I195" s="73" t="str">
        <x:f>IF(A195="","",IF(H195="원인분석 대상","세부원인분석 시트에서 거래별 원인을 검토","-"))</x:f>
      </x:c>
      <x:c r="J195" s="73" t="str">
        <x:f>IF(A195="","",COUNTIFS('전기원장'!$A$5:$A$1004,A195,'전기원장'!$J$5:$J$1004,"확인 필요")+COUNTIFS('당기원장'!$A$5:$A$1004,A195,'당기원장'!$J$5:$J$1004,"확인 필요"))</x:f>
      </x:c>
      <x:c r="K195" s="85" t="str">
        <x:f>IF(A195="","",IF(H195&lt;&gt;"원인분석 대상","",IF(J195&gt;0,"붙임 문서 확인 후 원인 확정 필요","결의서명 기반 원인분류 검토")))</x:f>
      </x:c>
    </x:row>
    <x:row r="196">
      <x:c r="A196" s="73" t="str">
        <x:f>IFERROR(INDEX('계산도우미'!$B$5:$B$2004,MATCH(ROWS($A$5:A196),'계산도우미'!$K$5:$K$2004,0)),"")</x:f>
      </x:c>
      <x:c r="B196" s="73" t="str">
        <x:f>IF(A196="","",IFERROR(INDEX('당기원장'!$B$5:$B$1004,MATCH(A196,'당기원장'!$A$5:$A$1004,0)),IFERROR(INDEX('전기원장'!$B$5:$B$1004,MATCH(A196,'전기원장'!$A$5:$A$1004,0)),"")))</x:f>
      </x:c>
      <x:c r="C196" s="75" t="str">
        <x:f>IF(A196="","",SUMIF('전기원장'!$A$5:$A$1004,A196,'전기원장'!$H$5:$H$1004))</x:f>
      </x:c>
      <x:c r="D196" s="75" t="str">
        <x:f>IF(A196="","",SUMIF('당기원장'!$A$5:$A$1004,A196,'당기원장'!$H$5:$H$1004))</x:f>
      </x:c>
      <x:c r="E196" s="75" t="str">
        <x:f>IF(A196="","",D196-C196)</x:f>
      </x:c>
      <x:c r="F196" s="88" t="str">
        <x:f>IF(A196="","",IF(C196=0,IF(D196=0,0,1),ABS(E196)/ABS(C196)))</x:f>
      </x:c>
      <x:c r="G196" s="73" t="str">
        <x:f>IF(A196="","",IF(AND(C196=0,D196&lt;&gt;0),"신규",IF(AND(C196&lt;&gt;0,D196=0),"소멸",IF(E196=0,"변동없음","금액변동"))))</x:f>
      </x:c>
      <x:c r="H196" s="73" t="str">
        <x:f>IF(A196="","",IF(AND(ABS(E196)&gt;='기준설정'!$B$6,OR(G196="신규",G196="소멸",F196&gt;='기준설정'!$B$5)),"원인분석 대상","일반"))</x:f>
      </x:c>
      <x:c r="I196" s="73" t="str">
        <x:f>IF(A196="","",IF(H196="원인분석 대상","세부원인분석 시트에서 거래별 원인을 검토","-"))</x:f>
      </x:c>
      <x:c r="J196" s="73" t="str">
        <x:f>IF(A196="","",COUNTIFS('전기원장'!$A$5:$A$1004,A196,'전기원장'!$J$5:$J$1004,"확인 필요")+COUNTIFS('당기원장'!$A$5:$A$1004,A196,'당기원장'!$J$5:$J$1004,"확인 필요"))</x:f>
      </x:c>
      <x:c r="K196" s="85" t="str">
        <x:f>IF(A196="","",IF(H196&lt;&gt;"원인분석 대상","",IF(J196&gt;0,"붙임 문서 확인 후 원인 확정 필요","결의서명 기반 원인분류 검토")))</x:f>
      </x:c>
    </x:row>
    <x:row r="197">
      <x:c r="A197" s="73" t="str">
        <x:f>IFERROR(INDEX('계산도우미'!$B$5:$B$2004,MATCH(ROWS($A$5:A197),'계산도우미'!$K$5:$K$2004,0)),"")</x:f>
      </x:c>
      <x:c r="B197" s="73" t="str">
        <x:f>IF(A197="","",IFERROR(INDEX('당기원장'!$B$5:$B$1004,MATCH(A197,'당기원장'!$A$5:$A$1004,0)),IFERROR(INDEX('전기원장'!$B$5:$B$1004,MATCH(A197,'전기원장'!$A$5:$A$1004,0)),"")))</x:f>
      </x:c>
      <x:c r="C197" s="75" t="str">
        <x:f>IF(A197="","",SUMIF('전기원장'!$A$5:$A$1004,A197,'전기원장'!$H$5:$H$1004))</x:f>
      </x:c>
      <x:c r="D197" s="75" t="str">
        <x:f>IF(A197="","",SUMIF('당기원장'!$A$5:$A$1004,A197,'당기원장'!$H$5:$H$1004))</x:f>
      </x:c>
      <x:c r="E197" s="75" t="str">
        <x:f>IF(A197="","",D197-C197)</x:f>
      </x:c>
      <x:c r="F197" s="88" t="str">
        <x:f>IF(A197="","",IF(C197=0,IF(D197=0,0,1),ABS(E197)/ABS(C197)))</x:f>
      </x:c>
      <x:c r="G197" s="73" t="str">
        <x:f>IF(A197="","",IF(AND(C197=0,D197&lt;&gt;0),"신규",IF(AND(C197&lt;&gt;0,D197=0),"소멸",IF(E197=0,"변동없음","금액변동"))))</x:f>
      </x:c>
      <x:c r="H197" s="73" t="str">
        <x:f>IF(A197="","",IF(AND(ABS(E197)&gt;='기준설정'!$B$6,OR(G197="신규",G197="소멸",F197&gt;='기준설정'!$B$5)),"원인분석 대상","일반"))</x:f>
      </x:c>
      <x:c r="I197" s="73" t="str">
        <x:f>IF(A197="","",IF(H197="원인분석 대상","세부원인분석 시트에서 거래별 원인을 검토","-"))</x:f>
      </x:c>
      <x:c r="J197" s="73" t="str">
        <x:f>IF(A197="","",COUNTIFS('전기원장'!$A$5:$A$1004,A197,'전기원장'!$J$5:$J$1004,"확인 필요")+COUNTIFS('당기원장'!$A$5:$A$1004,A197,'당기원장'!$J$5:$J$1004,"확인 필요"))</x:f>
      </x:c>
      <x:c r="K197" s="85" t="str">
        <x:f>IF(A197="","",IF(H197&lt;&gt;"원인분석 대상","",IF(J197&gt;0,"붙임 문서 확인 후 원인 확정 필요","결의서명 기반 원인분류 검토")))</x:f>
      </x:c>
    </x:row>
    <x:row r="198">
      <x:c r="A198" s="73" t="str">
        <x:f>IFERROR(INDEX('계산도우미'!$B$5:$B$2004,MATCH(ROWS($A$5:A198),'계산도우미'!$K$5:$K$2004,0)),"")</x:f>
      </x:c>
      <x:c r="B198" s="73" t="str">
        <x:f>IF(A198="","",IFERROR(INDEX('당기원장'!$B$5:$B$1004,MATCH(A198,'당기원장'!$A$5:$A$1004,0)),IFERROR(INDEX('전기원장'!$B$5:$B$1004,MATCH(A198,'전기원장'!$A$5:$A$1004,0)),"")))</x:f>
      </x:c>
      <x:c r="C198" s="75" t="str">
        <x:f>IF(A198="","",SUMIF('전기원장'!$A$5:$A$1004,A198,'전기원장'!$H$5:$H$1004))</x:f>
      </x:c>
      <x:c r="D198" s="75" t="str">
        <x:f>IF(A198="","",SUMIF('당기원장'!$A$5:$A$1004,A198,'당기원장'!$H$5:$H$1004))</x:f>
      </x:c>
      <x:c r="E198" s="75" t="str">
        <x:f>IF(A198="","",D198-C198)</x:f>
      </x:c>
      <x:c r="F198" s="88" t="str">
        <x:f>IF(A198="","",IF(C198=0,IF(D198=0,0,1),ABS(E198)/ABS(C198)))</x:f>
      </x:c>
      <x:c r="G198" s="73" t="str">
        <x:f>IF(A198="","",IF(AND(C198=0,D198&lt;&gt;0),"신규",IF(AND(C198&lt;&gt;0,D198=0),"소멸",IF(E198=0,"변동없음","금액변동"))))</x:f>
      </x:c>
      <x:c r="H198" s="73" t="str">
        <x:f>IF(A198="","",IF(AND(ABS(E198)&gt;='기준설정'!$B$6,OR(G198="신규",G198="소멸",F198&gt;='기준설정'!$B$5)),"원인분석 대상","일반"))</x:f>
      </x:c>
      <x:c r="I198" s="73" t="str">
        <x:f>IF(A198="","",IF(H198="원인분석 대상","세부원인분석 시트에서 거래별 원인을 검토","-"))</x:f>
      </x:c>
      <x:c r="J198" s="73" t="str">
        <x:f>IF(A198="","",COUNTIFS('전기원장'!$A$5:$A$1004,A198,'전기원장'!$J$5:$J$1004,"확인 필요")+COUNTIFS('당기원장'!$A$5:$A$1004,A198,'당기원장'!$J$5:$J$1004,"확인 필요"))</x:f>
      </x:c>
      <x:c r="K198" s="85" t="str">
        <x:f>IF(A198="","",IF(H198&lt;&gt;"원인분석 대상","",IF(J198&gt;0,"붙임 문서 확인 후 원인 확정 필요","결의서명 기반 원인분류 검토")))</x:f>
      </x:c>
    </x:row>
    <x:row r="199">
      <x:c r="A199" s="73" t="str">
        <x:f>IFERROR(INDEX('계산도우미'!$B$5:$B$2004,MATCH(ROWS($A$5:A199),'계산도우미'!$K$5:$K$2004,0)),"")</x:f>
      </x:c>
      <x:c r="B199" s="73" t="str">
        <x:f>IF(A199="","",IFERROR(INDEX('당기원장'!$B$5:$B$1004,MATCH(A199,'당기원장'!$A$5:$A$1004,0)),IFERROR(INDEX('전기원장'!$B$5:$B$1004,MATCH(A199,'전기원장'!$A$5:$A$1004,0)),"")))</x:f>
      </x:c>
      <x:c r="C199" s="75" t="str">
        <x:f>IF(A199="","",SUMIF('전기원장'!$A$5:$A$1004,A199,'전기원장'!$H$5:$H$1004))</x:f>
      </x:c>
      <x:c r="D199" s="75" t="str">
        <x:f>IF(A199="","",SUMIF('당기원장'!$A$5:$A$1004,A199,'당기원장'!$H$5:$H$1004))</x:f>
      </x:c>
      <x:c r="E199" s="75" t="str">
        <x:f>IF(A199="","",D199-C199)</x:f>
      </x:c>
      <x:c r="F199" s="88" t="str">
        <x:f>IF(A199="","",IF(C199=0,IF(D199=0,0,1),ABS(E199)/ABS(C199)))</x:f>
      </x:c>
      <x:c r="G199" s="73" t="str">
        <x:f>IF(A199="","",IF(AND(C199=0,D199&lt;&gt;0),"신규",IF(AND(C199&lt;&gt;0,D199=0),"소멸",IF(E199=0,"변동없음","금액변동"))))</x:f>
      </x:c>
      <x:c r="H199" s="73" t="str">
        <x:f>IF(A199="","",IF(AND(ABS(E199)&gt;='기준설정'!$B$6,OR(G199="신규",G199="소멸",F199&gt;='기준설정'!$B$5)),"원인분석 대상","일반"))</x:f>
      </x:c>
      <x:c r="I199" s="73" t="str">
        <x:f>IF(A199="","",IF(H199="원인분석 대상","세부원인분석 시트에서 거래별 원인을 검토","-"))</x:f>
      </x:c>
      <x:c r="J199" s="73" t="str">
        <x:f>IF(A199="","",COUNTIFS('전기원장'!$A$5:$A$1004,A199,'전기원장'!$J$5:$J$1004,"확인 필요")+COUNTIFS('당기원장'!$A$5:$A$1004,A199,'당기원장'!$J$5:$J$1004,"확인 필요"))</x:f>
      </x:c>
      <x:c r="K199" s="85" t="str">
        <x:f>IF(A199="","",IF(H199&lt;&gt;"원인분석 대상","",IF(J199&gt;0,"붙임 문서 확인 후 원인 확정 필요","결의서명 기반 원인분류 검토")))</x:f>
      </x:c>
    </x:row>
    <x:row r="200">
      <x:c r="A200" s="73" t="str">
        <x:f>IFERROR(INDEX('계산도우미'!$B$5:$B$2004,MATCH(ROWS($A$5:A200),'계산도우미'!$K$5:$K$2004,0)),"")</x:f>
      </x:c>
      <x:c r="B200" s="73" t="str">
        <x:f>IF(A200="","",IFERROR(INDEX('당기원장'!$B$5:$B$1004,MATCH(A200,'당기원장'!$A$5:$A$1004,0)),IFERROR(INDEX('전기원장'!$B$5:$B$1004,MATCH(A200,'전기원장'!$A$5:$A$1004,0)),"")))</x:f>
      </x:c>
      <x:c r="C200" s="75" t="str">
        <x:f>IF(A200="","",SUMIF('전기원장'!$A$5:$A$1004,A200,'전기원장'!$H$5:$H$1004))</x:f>
      </x:c>
      <x:c r="D200" s="75" t="str">
        <x:f>IF(A200="","",SUMIF('당기원장'!$A$5:$A$1004,A200,'당기원장'!$H$5:$H$1004))</x:f>
      </x:c>
      <x:c r="E200" s="75" t="str">
        <x:f>IF(A200="","",D200-C200)</x:f>
      </x:c>
      <x:c r="F200" s="88" t="str">
        <x:f>IF(A200="","",IF(C200=0,IF(D200=0,0,1),ABS(E200)/ABS(C200)))</x:f>
      </x:c>
      <x:c r="G200" s="73" t="str">
        <x:f>IF(A200="","",IF(AND(C200=0,D200&lt;&gt;0),"신규",IF(AND(C200&lt;&gt;0,D200=0),"소멸",IF(E200=0,"변동없음","금액변동"))))</x:f>
      </x:c>
      <x:c r="H200" s="73" t="str">
        <x:f>IF(A200="","",IF(AND(ABS(E200)&gt;='기준설정'!$B$6,OR(G200="신규",G200="소멸",F200&gt;='기준설정'!$B$5)),"원인분석 대상","일반"))</x:f>
      </x:c>
      <x:c r="I200" s="73" t="str">
        <x:f>IF(A200="","",IF(H200="원인분석 대상","세부원인분석 시트에서 거래별 원인을 검토","-"))</x:f>
      </x:c>
      <x:c r="J200" s="73" t="str">
        <x:f>IF(A200="","",COUNTIFS('전기원장'!$A$5:$A$1004,A200,'전기원장'!$J$5:$J$1004,"확인 필요")+COUNTIFS('당기원장'!$A$5:$A$1004,A200,'당기원장'!$J$5:$J$1004,"확인 필요"))</x:f>
      </x:c>
      <x:c r="K200" s="85" t="str">
        <x:f>IF(A200="","",IF(H200&lt;&gt;"원인분석 대상","",IF(J200&gt;0,"붙임 문서 확인 후 원인 확정 필요","결의서명 기반 원인분류 검토")))</x:f>
      </x:c>
    </x:row>
    <x:row r="201">
      <x:c r="A201" s="73" t="str">
        <x:f>IFERROR(INDEX('계산도우미'!$B$5:$B$2004,MATCH(ROWS($A$5:A201),'계산도우미'!$K$5:$K$2004,0)),"")</x:f>
      </x:c>
      <x:c r="B201" s="73" t="str">
        <x:f>IF(A201="","",IFERROR(INDEX('당기원장'!$B$5:$B$1004,MATCH(A201,'당기원장'!$A$5:$A$1004,0)),IFERROR(INDEX('전기원장'!$B$5:$B$1004,MATCH(A201,'전기원장'!$A$5:$A$1004,0)),"")))</x:f>
      </x:c>
      <x:c r="C201" s="75" t="str">
        <x:f>IF(A201="","",SUMIF('전기원장'!$A$5:$A$1004,A201,'전기원장'!$H$5:$H$1004))</x:f>
      </x:c>
      <x:c r="D201" s="75" t="str">
        <x:f>IF(A201="","",SUMIF('당기원장'!$A$5:$A$1004,A201,'당기원장'!$H$5:$H$1004))</x:f>
      </x:c>
      <x:c r="E201" s="75" t="str">
        <x:f>IF(A201="","",D201-C201)</x:f>
      </x:c>
      <x:c r="F201" s="88" t="str">
        <x:f>IF(A201="","",IF(C201=0,IF(D201=0,0,1),ABS(E201)/ABS(C201)))</x:f>
      </x:c>
      <x:c r="G201" s="73" t="str">
        <x:f>IF(A201="","",IF(AND(C201=0,D201&lt;&gt;0),"신규",IF(AND(C201&lt;&gt;0,D201=0),"소멸",IF(E201=0,"변동없음","금액변동"))))</x:f>
      </x:c>
      <x:c r="H201" s="73" t="str">
        <x:f>IF(A201="","",IF(AND(ABS(E201)&gt;='기준설정'!$B$6,OR(G201="신규",G201="소멸",F201&gt;='기준설정'!$B$5)),"원인분석 대상","일반"))</x:f>
      </x:c>
      <x:c r="I201" s="73" t="str">
        <x:f>IF(A201="","",IF(H201="원인분석 대상","세부원인분석 시트에서 거래별 원인을 검토","-"))</x:f>
      </x:c>
      <x:c r="J201" s="73" t="str">
        <x:f>IF(A201="","",COUNTIFS('전기원장'!$A$5:$A$1004,A201,'전기원장'!$J$5:$J$1004,"확인 필요")+COUNTIFS('당기원장'!$A$5:$A$1004,A201,'당기원장'!$J$5:$J$1004,"확인 필요"))</x:f>
      </x:c>
      <x:c r="K201" s="85" t="str">
        <x:f>IF(A201="","",IF(H201&lt;&gt;"원인분석 대상","",IF(J201&gt;0,"붙임 문서 확인 후 원인 확정 필요","결의서명 기반 원인분류 검토")))</x:f>
      </x:c>
    </x:row>
    <x:row r="202">
      <x:c r="A202" s="73" t="str">
        <x:f>IFERROR(INDEX('계산도우미'!$B$5:$B$2004,MATCH(ROWS($A$5:A202),'계산도우미'!$K$5:$K$2004,0)),"")</x:f>
      </x:c>
      <x:c r="B202" s="73" t="str">
        <x:f>IF(A202="","",IFERROR(INDEX('당기원장'!$B$5:$B$1004,MATCH(A202,'당기원장'!$A$5:$A$1004,0)),IFERROR(INDEX('전기원장'!$B$5:$B$1004,MATCH(A202,'전기원장'!$A$5:$A$1004,0)),"")))</x:f>
      </x:c>
      <x:c r="C202" s="75" t="str">
        <x:f>IF(A202="","",SUMIF('전기원장'!$A$5:$A$1004,A202,'전기원장'!$H$5:$H$1004))</x:f>
      </x:c>
      <x:c r="D202" s="75" t="str">
        <x:f>IF(A202="","",SUMIF('당기원장'!$A$5:$A$1004,A202,'당기원장'!$H$5:$H$1004))</x:f>
      </x:c>
      <x:c r="E202" s="75" t="str">
        <x:f>IF(A202="","",D202-C202)</x:f>
      </x:c>
      <x:c r="F202" s="88" t="str">
        <x:f>IF(A202="","",IF(C202=0,IF(D202=0,0,1),ABS(E202)/ABS(C202)))</x:f>
      </x:c>
      <x:c r="G202" s="73" t="str">
        <x:f>IF(A202="","",IF(AND(C202=0,D202&lt;&gt;0),"신규",IF(AND(C202&lt;&gt;0,D202=0),"소멸",IF(E202=0,"변동없음","금액변동"))))</x:f>
      </x:c>
      <x:c r="H202" s="73" t="str">
        <x:f>IF(A202="","",IF(AND(ABS(E202)&gt;='기준설정'!$B$6,OR(G202="신규",G202="소멸",F202&gt;='기준설정'!$B$5)),"원인분석 대상","일반"))</x:f>
      </x:c>
      <x:c r="I202" s="73" t="str">
        <x:f>IF(A202="","",IF(H202="원인분석 대상","세부원인분석 시트에서 거래별 원인을 검토","-"))</x:f>
      </x:c>
      <x:c r="J202" s="73" t="str">
        <x:f>IF(A202="","",COUNTIFS('전기원장'!$A$5:$A$1004,A202,'전기원장'!$J$5:$J$1004,"확인 필요")+COUNTIFS('당기원장'!$A$5:$A$1004,A202,'당기원장'!$J$5:$J$1004,"확인 필요"))</x:f>
      </x:c>
      <x:c r="K202" s="85" t="str">
        <x:f>IF(A202="","",IF(H202&lt;&gt;"원인분석 대상","",IF(J202&gt;0,"붙임 문서 확인 후 원인 확정 필요","결의서명 기반 원인분류 검토")))</x:f>
      </x:c>
    </x:row>
    <x:row r="203">
      <x:c r="A203" s="73" t="str">
        <x:f>IFERROR(INDEX('계산도우미'!$B$5:$B$2004,MATCH(ROWS($A$5:A203),'계산도우미'!$K$5:$K$2004,0)),"")</x:f>
      </x:c>
      <x:c r="B203" s="73" t="str">
        <x:f>IF(A203="","",IFERROR(INDEX('당기원장'!$B$5:$B$1004,MATCH(A203,'당기원장'!$A$5:$A$1004,0)),IFERROR(INDEX('전기원장'!$B$5:$B$1004,MATCH(A203,'전기원장'!$A$5:$A$1004,0)),"")))</x:f>
      </x:c>
      <x:c r="C203" s="75" t="str">
        <x:f>IF(A203="","",SUMIF('전기원장'!$A$5:$A$1004,A203,'전기원장'!$H$5:$H$1004))</x:f>
      </x:c>
      <x:c r="D203" s="75" t="str">
        <x:f>IF(A203="","",SUMIF('당기원장'!$A$5:$A$1004,A203,'당기원장'!$H$5:$H$1004))</x:f>
      </x:c>
      <x:c r="E203" s="75" t="str">
        <x:f>IF(A203="","",D203-C203)</x:f>
      </x:c>
      <x:c r="F203" s="88" t="str">
        <x:f>IF(A203="","",IF(C203=0,IF(D203=0,0,1),ABS(E203)/ABS(C203)))</x:f>
      </x:c>
      <x:c r="G203" s="73" t="str">
        <x:f>IF(A203="","",IF(AND(C203=0,D203&lt;&gt;0),"신규",IF(AND(C203&lt;&gt;0,D203=0),"소멸",IF(E203=0,"변동없음","금액변동"))))</x:f>
      </x:c>
      <x:c r="H203" s="73" t="str">
        <x:f>IF(A203="","",IF(AND(ABS(E203)&gt;='기준설정'!$B$6,OR(G203="신규",G203="소멸",F203&gt;='기준설정'!$B$5)),"원인분석 대상","일반"))</x:f>
      </x:c>
      <x:c r="I203" s="73" t="str">
        <x:f>IF(A203="","",IF(H203="원인분석 대상","세부원인분석 시트에서 거래별 원인을 검토","-"))</x:f>
      </x:c>
      <x:c r="J203" s="73" t="str">
        <x:f>IF(A203="","",COUNTIFS('전기원장'!$A$5:$A$1004,A203,'전기원장'!$J$5:$J$1004,"확인 필요")+COUNTIFS('당기원장'!$A$5:$A$1004,A203,'당기원장'!$J$5:$J$1004,"확인 필요"))</x:f>
      </x:c>
      <x:c r="K203" s="85" t="str">
        <x:f>IF(A203="","",IF(H203&lt;&gt;"원인분석 대상","",IF(J203&gt;0,"붙임 문서 확인 후 원인 확정 필요","결의서명 기반 원인분류 검토")))</x:f>
      </x:c>
    </x:row>
    <x:row r="204">
      <x:c r="A204" s="73" t="str">
        <x:f>IFERROR(INDEX('계산도우미'!$B$5:$B$2004,MATCH(ROWS($A$5:A204),'계산도우미'!$K$5:$K$2004,0)),"")</x:f>
      </x:c>
      <x:c r="B204" s="73" t="str">
        <x:f>IF(A204="","",IFERROR(INDEX('당기원장'!$B$5:$B$1004,MATCH(A204,'당기원장'!$A$5:$A$1004,0)),IFERROR(INDEX('전기원장'!$B$5:$B$1004,MATCH(A204,'전기원장'!$A$5:$A$1004,0)),"")))</x:f>
      </x:c>
      <x:c r="C204" s="75" t="str">
        <x:f>IF(A204="","",SUMIF('전기원장'!$A$5:$A$1004,A204,'전기원장'!$H$5:$H$1004))</x:f>
      </x:c>
      <x:c r="D204" s="75" t="str">
        <x:f>IF(A204="","",SUMIF('당기원장'!$A$5:$A$1004,A204,'당기원장'!$H$5:$H$1004))</x:f>
      </x:c>
      <x:c r="E204" s="75" t="str">
        <x:f>IF(A204="","",D204-C204)</x:f>
      </x:c>
      <x:c r="F204" s="88" t="str">
        <x:f>IF(A204="","",IF(C204=0,IF(D204=0,0,1),ABS(E204)/ABS(C204)))</x:f>
      </x:c>
      <x:c r="G204" s="73" t="str">
        <x:f>IF(A204="","",IF(AND(C204=0,D204&lt;&gt;0),"신규",IF(AND(C204&lt;&gt;0,D204=0),"소멸",IF(E204=0,"변동없음","금액변동"))))</x:f>
      </x:c>
      <x:c r="H204" s="73" t="str">
        <x:f>IF(A204="","",IF(AND(ABS(E204)&gt;='기준설정'!$B$6,OR(G204="신규",G204="소멸",F204&gt;='기준설정'!$B$5)),"원인분석 대상","일반"))</x:f>
      </x:c>
      <x:c r="I204" s="73" t="str">
        <x:f>IF(A204="","",IF(H204="원인분석 대상","세부원인분석 시트에서 거래별 원인을 검토","-"))</x:f>
      </x:c>
      <x:c r="J204" s="73" t="str">
        <x:f>IF(A204="","",COUNTIFS('전기원장'!$A$5:$A$1004,A204,'전기원장'!$J$5:$J$1004,"확인 필요")+COUNTIFS('당기원장'!$A$5:$A$1004,A204,'당기원장'!$J$5:$J$1004,"확인 필요"))</x:f>
      </x:c>
      <x:c r="K204" s="85" t="str">
        <x:f>IF(A204="","",IF(H204&lt;&gt;"원인분석 대상","",IF(J204&gt;0,"붙임 문서 확인 후 원인 확정 필요","결의서명 기반 원인분류 검토")))</x:f>
      </x:c>
    </x:row>
    <x:row r="205">
      <x:c r="A205" s="73" t="str">
        <x:f>IFERROR(INDEX('계산도우미'!$B$5:$B$2004,MATCH(ROWS($A$5:A205),'계산도우미'!$K$5:$K$2004,0)),"")</x:f>
      </x:c>
      <x:c r="B205" s="73" t="str">
        <x:f>IF(A205="","",IFERROR(INDEX('당기원장'!$B$5:$B$1004,MATCH(A205,'당기원장'!$A$5:$A$1004,0)),IFERROR(INDEX('전기원장'!$B$5:$B$1004,MATCH(A205,'전기원장'!$A$5:$A$1004,0)),"")))</x:f>
      </x:c>
      <x:c r="C205" s="75" t="str">
        <x:f>IF(A205="","",SUMIF('전기원장'!$A$5:$A$1004,A205,'전기원장'!$H$5:$H$1004))</x:f>
      </x:c>
      <x:c r="D205" s="75" t="str">
        <x:f>IF(A205="","",SUMIF('당기원장'!$A$5:$A$1004,A205,'당기원장'!$H$5:$H$1004))</x:f>
      </x:c>
      <x:c r="E205" s="75" t="str">
        <x:f>IF(A205="","",D205-C205)</x:f>
      </x:c>
      <x:c r="F205" s="88" t="str">
        <x:f>IF(A205="","",IF(C205=0,IF(D205=0,0,1),ABS(E205)/ABS(C205)))</x:f>
      </x:c>
      <x:c r="G205" s="73" t="str">
        <x:f>IF(A205="","",IF(AND(C205=0,D205&lt;&gt;0),"신규",IF(AND(C205&lt;&gt;0,D205=0),"소멸",IF(E205=0,"변동없음","금액변동"))))</x:f>
      </x:c>
      <x:c r="H205" s="73" t="str">
        <x:f>IF(A205="","",IF(AND(ABS(E205)&gt;='기준설정'!$B$6,OR(G205="신규",G205="소멸",F205&gt;='기준설정'!$B$5)),"원인분석 대상","일반"))</x:f>
      </x:c>
      <x:c r="I205" s="73" t="str">
        <x:f>IF(A205="","",IF(H205="원인분석 대상","세부원인분석 시트에서 거래별 원인을 검토","-"))</x:f>
      </x:c>
      <x:c r="J205" s="73" t="str">
        <x:f>IF(A205="","",COUNTIFS('전기원장'!$A$5:$A$1004,A205,'전기원장'!$J$5:$J$1004,"확인 필요")+COUNTIFS('당기원장'!$A$5:$A$1004,A205,'당기원장'!$J$5:$J$1004,"확인 필요"))</x:f>
      </x:c>
      <x:c r="K205" s="85" t="str">
        <x:f>IF(A205="","",IF(H205&lt;&gt;"원인분석 대상","",IF(J205&gt;0,"붙임 문서 확인 후 원인 확정 필요","결의서명 기반 원인분류 검토")))</x:f>
      </x:c>
    </x:row>
    <x:row r="206">
      <x:c r="A206" s="73" t="str">
        <x:f>IFERROR(INDEX('계산도우미'!$B$5:$B$2004,MATCH(ROWS($A$5:A206),'계산도우미'!$K$5:$K$2004,0)),"")</x:f>
      </x:c>
      <x:c r="B206" s="73" t="str">
        <x:f>IF(A206="","",IFERROR(INDEX('당기원장'!$B$5:$B$1004,MATCH(A206,'당기원장'!$A$5:$A$1004,0)),IFERROR(INDEX('전기원장'!$B$5:$B$1004,MATCH(A206,'전기원장'!$A$5:$A$1004,0)),"")))</x:f>
      </x:c>
      <x:c r="C206" s="75" t="str">
        <x:f>IF(A206="","",SUMIF('전기원장'!$A$5:$A$1004,A206,'전기원장'!$H$5:$H$1004))</x:f>
      </x:c>
      <x:c r="D206" s="75" t="str">
        <x:f>IF(A206="","",SUMIF('당기원장'!$A$5:$A$1004,A206,'당기원장'!$H$5:$H$1004))</x:f>
      </x:c>
      <x:c r="E206" s="75" t="str">
        <x:f>IF(A206="","",D206-C206)</x:f>
      </x:c>
      <x:c r="F206" s="88" t="str">
        <x:f>IF(A206="","",IF(C206=0,IF(D206=0,0,1),ABS(E206)/ABS(C206)))</x:f>
      </x:c>
      <x:c r="G206" s="73" t="str">
        <x:f>IF(A206="","",IF(AND(C206=0,D206&lt;&gt;0),"신규",IF(AND(C206&lt;&gt;0,D206=0),"소멸",IF(E206=0,"변동없음","금액변동"))))</x:f>
      </x:c>
      <x:c r="H206" s="73" t="str">
        <x:f>IF(A206="","",IF(AND(ABS(E206)&gt;='기준설정'!$B$6,OR(G206="신규",G206="소멸",F206&gt;='기준설정'!$B$5)),"원인분석 대상","일반"))</x:f>
      </x:c>
      <x:c r="I206" s="73" t="str">
        <x:f>IF(A206="","",IF(H206="원인분석 대상","세부원인분석 시트에서 거래별 원인을 검토","-"))</x:f>
      </x:c>
      <x:c r="J206" s="73" t="str">
        <x:f>IF(A206="","",COUNTIFS('전기원장'!$A$5:$A$1004,A206,'전기원장'!$J$5:$J$1004,"확인 필요")+COUNTIFS('당기원장'!$A$5:$A$1004,A206,'당기원장'!$J$5:$J$1004,"확인 필요"))</x:f>
      </x:c>
      <x:c r="K206" s="85" t="str">
        <x:f>IF(A206="","",IF(H206&lt;&gt;"원인분석 대상","",IF(J206&gt;0,"붙임 문서 확인 후 원인 확정 필요","결의서명 기반 원인분류 검토")))</x:f>
      </x:c>
    </x:row>
    <x:row r="207">
      <x:c r="A207" s="73" t="str">
        <x:f>IFERROR(INDEX('계산도우미'!$B$5:$B$2004,MATCH(ROWS($A$5:A207),'계산도우미'!$K$5:$K$2004,0)),"")</x:f>
      </x:c>
      <x:c r="B207" s="73" t="str">
        <x:f>IF(A207="","",IFERROR(INDEX('당기원장'!$B$5:$B$1004,MATCH(A207,'당기원장'!$A$5:$A$1004,0)),IFERROR(INDEX('전기원장'!$B$5:$B$1004,MATCH(A207,'전기원장'!$A$5:$A$1004,0)),"")))</x:f>
      </x:c>
      <x:c r="C207" s="75" t="str">
        <x:f>IF(A207="","",SUMIF('전기원장'!$A$5:$A$1004,A207,'전기원장'!$H$5:$H$1004))</x:f>
      </x:c>
      <x:c r="D207" s="75" t="str">
        <x:f>IF(A207="","",SUMIF('당기원장'!$A$5:$A$1004,A207,'당기원장'!$H$5:$H$1004))</x:f>
      </x:c>
      <x:c r="E207" s="75" t="str">
        <x:f>IF(A207="","",D207-C207)</x:f>
      </x:c>
      <x:c r="F207" s="88" t="str">
        <x:f>IF(A207="","",IF(C207=0,IF(D207=0,0,1),ABS(E207)/ABS(C207)))</x:f>
      </x:c>
      <x:c r="G207" s="73" t="str">
        <x:f>IF(A207="","",IF(AND(C207=0,D207&lt;&gt;0),"신규",IF(AND(C207&lt;&gt;0,D207=0),"소멸",IF(E207=0,"변동없음","금액변동"))))</x:f>
      </x:c>
      <x:c r="H207" s="73" t="str">
        <x:f>IF(A207="","",IF(AND(ABS(E207)&gt;='기준설정'!$B$6,OR(G207="신규",G207="소멸",F207&gt;='기준설정'!$B$5)),"원인분석 대상","일반"))</x:f>
      </x:c>
      <x:c r="I207" s="73" t="str">
        <x:f>IF(A207="","",IF(H207="원인분석 대상","세부원인분석 시트에서 거래별 원인을 검토","-"))</x:f>
      </x:c>
      <x:c r="J207" s="73" t="str">
        <x:f>IF(A207="","",COUNTIFS('전기원장'!$A$5:$A$1004,A207,'전기원장'!$J$5:$J$1004,"확인 필요")+COUNTIFS('당기원장'!$A$5:$A$1004,A207,'당기원장'!$J$5:$J$1004,"확인 필요"))</x:f>
      </x:c>
      <x:c r="K207" s="85" t="str">
        <x:f>IF(A207="","",IF(H207&lt;&gt;"원인분석 대상","",IF(J207&gt;0,"붙임 문서 확인 후 원인 확정 필요","결의서명 기반 원인분류 검토")))</x:f>
      </x:c>
    </x:row>
    <x:row r="208">
      <x:c r="A208" s="73" t="str">
        <x:f>IFERROR(INDEX('계산도우미'!$B$5:$B$2004,MATCH(ROWS($A$5:A208),'계산도우미'!$K$5:$K$2004,0)),"")</x:f>
      </x:c>
      <x:c r="B208" s="73" t="str">
        <x:f>IF(A208="","",IFERROR(INDEX('당기원장'!$B$5:$B$1004,MATCH(A208,'당기원장'!$A$5:$A$1004,0)),IFERROR(INDEX('전기원장'!$B$5:$B$1004,MATCH(A208,'전기원장'!$A$5:$A$1004,0)),"")))</x:f>
      </x:c>
      <x:c r="C208" s="75" t="str">
        <x:f>IF(A208="","",SUMIF('전기원장'!$A$5:$A$1004,A208,'전기원장'!$H$5:$H$1004))</x:f>
      </x:c>
      <x:c r="D208" s="75" t="str">
        <x:f>IF(A208="","",SUMIF('당기원장'!$A$5:$A$1004,A208,'당기원장'!$H$5:$H$1004))</x:f>
      </x:c>
      <x:c r="E208" s="75" t="str">
        <x:f>IF(A208="","",D208-C208)</x:f>
      </x:c>
      <x:c r="F208" s="88" t="str">
        <x:f>IF(A208="","",IF(C208=0,IF(D208=0,0,1),ABS(E208)/ABS(C208)))</x:f>
      </x:c>
      <x:c r="G208" s="73" t="str">
        <x:f>IF(A208="","",IF(AND(C208=0,D208&lt;&gt;0),"신규",IF(AND(C208&lt;&gt;0,D208=0),"소멸",IF(E208=0,"변동없음","금액변동"))))</x:f>
      </x:c>
      <x:c r="H208" s="73" t="str">
        <x:f>IF(A208="","",IF(AND(ABS(E208)&gt;='기준설정'!$B$6,OR(G208="신규",G208="소멸",F208&gt;='기준설정'!$B$5)),"원인분석 대상","일반"))</x:f>
      </x:c>
      <x:c r="I208" s="73" t="str">
        <x:f>IF(A208="","",IF(H208="원인분석 대상","세부원인분석 시트에서 거래별 원인을 검토","-"))</x:f>
      </x:c>
      <x:c r="J208" s="73" t="str">
        <x:f>IF(A208="","",COUNTIFS('전기원장'!$A$5:$A$1004,A208,'전기원장'!$J$5:$J$1004,"확인 필요")+COUNTIFS('당기원장'!$A$5:$A$1004,A208,'당기원장'!$J$5:$J$1004,"확인 필요"))</x:f>
      </x:c>
      <x:c r="K208" s="85" t="str">
        <x:f>IF(A208="","",IF(H208&lt;&gt;"원인분석 대상","",IF(J208&gt;0,"붙임 문서 확인 후 원인 확정 필요","결의서명 기반 원인분류 검토")))</x:f>
      </x:c>
    </x:row>
    <x:row r="209">
      <x:c r="A209" s="73" t="str">
        <x:f>IFERROR(INDEX('계산도우미'!$B$5:$B$2004,MATCH(ROWS($A$5:A209),'계산도우미'!$K$5:$K$2004,0)),"")</x:f>
      </x:c>
      <x:c r="B209" s="73" t="str">
        <x:f>IF(A209="","",IFERROR(INDEX('당기원장'!$B$5:$B$1004,MATCH(A209,'당기원장'!$A$5:$A$1004,0)),IFERROR(INDEX('전기원장'!$B$5:$B$1004,MATCH(A209,'전기원장'!$A$5:$A$1004,0)),"")))</x:f>
      </x:c>
      <x:c r="C209" s="75" t="str">
        <x:f>IF(A209="","",SUMIF('전기원장'!$A$5:$A$1004,A209,'전기원장'!$H$5:$H$1004))</x:f>
      </x:c>
      <x:c r="D209" s="75" t="str">
        <x:f>IF(A209="","",SUMIF('당기원장'!$A$5:$A$1004,A209,'당기원장'!$H$5:$H$1004))</x:f>
      </x:c>
      <x:c r="E209" s="75" t="str">
        <x:f>IF(A209="","",D209-C209)</x:f>
      </x:c>
      <x:c r="F209" s="88" t="str">
        <x:f>IF(A209="","",IF(C209=0,IF(D209=0,0,1),ABS(E209)/ABS(C209)))</x:f>
      </x:c>
      <x:c r="G209" s="73" t="str">
        <x:f>IF(A209="","",IF(AND(C209=0,D209&lt;&gt;0),"신규",IF(AND(C209&lt;&gt;0,D209=0),"소멸",IF(E209=0,"변동없음","금액변동"))))</x:f>
      </x:c>
      <x:c r="H209" s="73" t="str">
        <x:f>IF(A209="","",IF(AND(ABS(E209)&gt;='기준설정'!$B$6,OR(G209="신규",G209="소멸",F209&gt;='기준설정'!$B$5)),"원인분석 대상","일반"))</x:f>
      </x:c>
      <x:c r="I209" s="73" t="str">
        <x:f>IF(A209="","",IF(H209="원인분석 대상","세부원인분석 시트에서 거래별 원인을 검토","-"))</x:f>
      </x:c>
      <x:c r="J209" s="73" t="str">
        <x:f>IF(A209="","",COUNTIFS('전기원장'!$A$5:$A$1004,A209,'전기원장'!$J$5:$J$1004,"확인 필요")+COUNTIFS('당기원장'!$A$5:$A$1004,A209,'당기원장'!$J$5:$J$1004,"확인 필요"))</x:f>
      </x:c>
      <x:c r="K209" s="85" t="str">
        <x:f>IF(A209="","",IF(H209&lt;&gt;"원인분석 대상","",IF(J209&gt;0,"붙임 문서 확인 후 원인 확정 필요","결의서명 기반 원인분류 검토")))</x:f>
      </x:c>
    </x:row>
    <x:row r="210">
      <x:c r="A210" s="73" t="str">
        <x:f>IFERROR(INDEX('계산도우미'!$B$5:$B$2004,MATCH(ROWS($A$5:A210),'계산도우미'!$K$5:$K$2004,0)),"")</x:f>
      </x:c>
      <x:c r="B210" s="73" t="str">
        <x:f>IF(A210="","",IFERROR(INDEX('당기원장'!$B$5:$B$1004,MATCH(A210,'당기원장'!$A$5:$A$1004,0)),IFERROR(INDEX('전기원장'!$B$5:$B$1004,MATCH(A210,'전기원장'!$A$5:$A$1004,0)),"")))</x:f>
      </x:c>
      <x:c r="C210" s="75" t="str">
        <x:f>IF(A210="","",SUMIF('전기원장'!$A$5:$A$1004,A210,'전기원장'!$H$5:$H$1004))</x:f>
      </x:c>
      <x:c r="D210" s="75" t="str">
        <x:f>IF(A210="","",SUMIF('당기원장'!$A$5:$A$1004,A210,'당기원장'!$H$5:$H$1004))</x:f>
      </x:c>
      <x:c r="E210" s="75" t="str">
        <x:f>IF(A210="","",D210-C210)</x:f>
      </x:c>
      <x:c r="F210" s="88" t="str">
        <x:f>IF(A210="","",IF(C210=0,IF(D210=0,0,1),ABS(E210)/ABS(C210)))</x:f>
      </x:c>
      <x:c r="G210" s="73" t="str">
        <x:f>IF(A210="","",IF(AND(C210=0,D210&lt;&gt;0),"신규",IF(AND(C210&lt;&gt;0,D210=0),"소멸",IF(E210=0,"변동없음","금액변동"))))</x:f>
      </x:c>
      <x:c r="H210" s="73" t="str">
        <x:f>IF(A210="","",IF(AND(ABS(E210)&gt;='기준설정'!$B$6,OR(G210="신규",G210="소멸",F210&gt;='기준설정'!$B$5)),"원인분석 대상","일반"))</x:f>
      </x:c>
      <x:c r="I210" s="73" t="str">
        <x:f>IF(A210="","",IF(H210="원인분석 대상","세부원인분석 시트에서 거래별 원인을 검토","-"))</x:f>
      </x:c>
      <x:c r="J210" s="73" t="str">
        <x:f>IF(A210="","",COUNTIFS('전기원장'!$A$5:$A$1004,A210,'전기원장'!$J$5:$J$1004,"확인 필요")+COUNTIFS('당기원장'!$A$5:$A$1004,A210,'당기원장'!$J$5:$J$1004,"확인 필요"))</x:f>
      </x:c>
      <x:c r="K210" s="85" t="str">
        <x:f>IF(A210="","",IF(H210&lt;&gt;"원인분석 대상","",IF(J210&gt;0,"붙임 문서 확인 후 원인 확정 필요","결의서명 기반 원인분류 검토")))</x:f>
      </x:c>
    </x:row>
    <x:row r="211">
      <x:c r="A211" s="73" t="str">
        <x:f>IFERROR(INDEX('계산도우미'!$B$5:$B$2004,MATCH(ROWS($A$5:A211),'계산도우미'!$K$5:$K$2004,0)),"")</x:f>
      </x:c>
      <x:c r="B211" s="73" t="str">
        <x:f>IF(A211="","",IFERROR(INDEX('당기원장'!$B$5:$B$1004,MATCH(A211,'당기원장'!$A$5:$A$1004,0)),IFERROR(INDEX('전기원장'!$B$5:$B$1004,MATCH(A211,'전기원장'!$A$5:$A$1004,0)),"")))</x:f>
      </x:c>
      <x:c r="C211" s="75" t="str">
        <x:f>IF(A211="","",SUMIF('전기원장'!$A$5:$A$1004,A211,'전기원장'!$H$5:$H$1004))</x:f>
      </x:c>
      <x:c r="D211" s="75" t="str">
        <x:f>IF(A211="","",SUMIF('당기원장'!$A$5:$A$1004,A211,'당기원장'!$H$5:$H$1004))</x:f>
      </x:c>
      <x:c r="E211" s="75" t="str">
        <x:f>IF(A211="","",D211-C211)</x:f>
      </x:c>
      <x:c r="F211" s="88" t="str">
        <x:f>IF(A211="","",IF(C211=0,IF(D211=0,0,1),ABS(E211)/ABS(C211)))</x:f>
      </x:c>
      <x:c r="G211" s="73" t="str">
        <x:f>IF(A211="","",IF(AND(C211=0,D211&lt;&gt;0),"신규",IF(AND(C211&lt;&gt;0,D211=0),"소멸",IF(E211=0,"변동없음","금액변동"))))</x:f>
      </x:c>
      <x:c r="H211" s="73" t="str">
        <x:f>IF(A211="","",IF(AND(ABS(E211)&gt;='기준설정'!$B$6,OR(G211="신규",G211="소멸",F211&gt;='기준설정'!$B$5)),"원인분석 대상","일반"))</x:f>
      </x:c>
      <x:c r="I211" s="73" t="str">
        <x:f>IF(A211="","",IF(H211="원인분석 대상","세부원인분석 시트에서 거래별 원인을 검토","-"))</x:f>
      </x:c>
      <x:c r="J211" s="73" t="str">
        <x:f>IF(A211="","",COUNTIFS('전기원장'!$A$5:$A$1004,A211,'전기원장'!$J$5:$J$1004,"확인 필요")+COUNTIFS('당기원장'!$A$5:$A$1004,A211,'당기원장'!$J$5:$J$1004,"확인 필요"))</x:f>
      </x:c>
      <x:c r="K211" s="85" t="str">
        <x:f>IF(A211="","",IF(H211&lt;&gt;"원인분석 대상","",IF(J211&gt;0,"붙임 문서 확인 후 원인 확정 필요","결의서명 기반 원인분류 검토")))</x:f>
      </x:c>
    </x:row>
    <x:row r="212">
      <x:c r="A212" s="73" t="str">
        <x:f>IFERROR(INDEX('계산도우미'!$B$5:$B$2004,MATCH(ROWS($A$5:A212),'계산도우미'!$K$5:$K$2004,0)),"")</x:f>
      </x:c>
      <x:c r="B212" s="73" t="str">
        <x:f>IF(A212="","",IFERROR(INDEX('당기원장'!$B$5:$B$1004,MATCH(A212,'당기원장'!$A$5:$A$1004,0)),IFERROR(INDEX('전기원장'!$B$5:$B$1004,MATCH(A212,'전기원장'!$A$5:$A$1004,0)),"")))</x:f>
      </x:c>
      <x:c r="C212" s="75" t="str">
        <x:f>IF(A212="","",SUMIF('전기원장'!$A$5:$A$1004,A212,'전기원장'!$H$5:$H$1004))</x:f>
      </x:c>
      <x:c r="D212" s="75" t="str">
        <x:f>IF(A212="","",SUMIF('당기원장'!$A$5:$A$1004,A212,'당기원장'!$H$5:$H$1004))</x:f>
      </x:c>
      <x:c r="E212" s="75" t="str">
        <x:f>IF(A212="","",D212-C212)</x:f>
      </x:c>
      <x:c r="F212" s="88" t="str">
        <x:f>IF(A212="","",IF(C212=0,IF(D212=0,0,1),ABS(E212)/ABS(C212)))</x:f>
      </x:c>
      <x:c r="G212" s="73" t="str">
        <x:f>IF(A212="","",IF(AND(C212=0,D212&lt;&gt;0),"신규",IF(AND(C212&lt;&gt;0,D212=0),"소멸",IF(E212=0,"변동없음","금액변동"))))</x:f>
      </x:c>
      <x:c r="H212" s="73" t="str">
        <x:f>IF(A212="","",IF(AND(ABS(E212)&gt;='기준설정'!$B$6,OR(G212="신규",G212="소멸",F212&gt;='기준설정'!$B$5)),"원인분석 대상","일반"))</x:f>
      </x:c>
      <x:c r="I212" s="73" t="str">
        <x:f>IF(A212="","",IF(H212="원인분석 대상","세부원인분석 시트에서 거래별 원인을 검토","-"))</x:f>
      </x:c>
      <x:c r="J212" s="73" t="str">
        <x:f>IF(A212="","",COUNTIFS('전기원장'!$A$5:$A$1004,A212,'전기원장'!$J$5:$J$1004,"확인 필요")+COUNTIFS('당기원장'!$A$5:$A$1004,A212,'당기원장'!$J$5:$J$1004,"확인 필요"))</x:f>
      </x:c>
      <x:c r="K212" s="85" t="str">
        <x:f>IF(A212="","",IF(H212&lt;&gt;"원인분석 대상","",IF(J212&gt;0,"붙임 문서 확인 후 원인 확정 필요","결의서명 기반 원인분류 검토")))</x:f>
      </x:c>
    </x:row>
    <x:row r="213">
      <x:c r="A213" s="73" t="str">
        <x:f>IFERROR(INDEX('계산도우미'!$B$5:$B$2004,MATCH(ROWS($A$5:A213),'계산도우미'!$K$5:$K$2004,0)),"")</x:f>
      </x:c>
      <x:c r="B213" s="73" t="str">
        <x:f>IF(A213="","",IFERROR(INDEX('당기원장'!$B$5:$B$1004,MATCH(A213,'당기원장'!$A$5:$A$1004,0)),IFERROR(INDEX('전기원장'!$B$5:$B$1004,MATCH(A213,'전기원장'!$A$5:$A$1004,0)),"")))</x:f>
      </x:c>
      <x:c r="C213" s="75" t="str">
        <x:f>IF(A213="","",SUMIF('전기원장'!$A$5:$A$1004,A213,'전기원장'!$H$5:$H$1004))</x:f>
      </x:c>
      <x:c r="D213" s="75" t="str">
        <x:f>IF(A213="","",SUMIF('당기원장'!$A$5:$A$1004,A213,'당기원장'!$H$5:$H$1004))</x:f>
      </x:c>
      <x:c r="E213" s="75" t="str">
        <x:f>IF(A213="","",D213-C213)</x:f>
      </x:c>
      <x:c r="F213" s="88" t="str">
        <x:f>IF(A213="","",IF(C213=0,IF(D213=0,0,1),ABS(E213)/ABS(C213)))</x:f>
      </x:c>
      <x:c r="G213" s="73" t="str">
        <x:f>IF(A213="","",IF(AND(C213=0,D213&lt;&gt;0),"신규",IF(AND(C213&lt;&gt;0,D213=0),"소멸",IF(E213=0,"변동없음","금액변동"))))</x:f>
      </x:c>
      <x:c r="H213" s="73" t="str">
        <x:f>IF(A213="","",IF(AND(ABS(E213)&gt;='기준설정'!$B$6,OR(G213="신규",G213="소멸",F213&gt;='기준설정'!$B$5)),"원인분석 대상","일반"))</x:f>
      </x:c>
      <x:c r="I213" s="73" t="str">
        <x:f>IF(A213="","",IF(H213="원인분석 대상","세부원인분석 시트에서 거래별 원인을 검토","-"))</x:f>
      </x:c>
      <x:c r="J213" s="73" t="str">
        <x:f>IF(A213="","",COUNTIFS('전기원장'!$A$5:$A$1004,A213,'전기원장'!$J$5:$J$1004,"확인 필요")+COUNTIFS('당기원장'!$A$5:$A$1004,A213,'당기원장'!$J$5:$J$1004,"확인 필요"))</x:f>
      </x:c>
      <x:c r="K213" s="85" t="str">
        <x:f>IF(A213="","",IF(H213&lt;&gt;"원인분석 대상","",IF(J213&gt;0,"붙임 문서 확인 후 원인 확정 필요","결의서명 기반 원인분류 검토")))</x:f>
      </x:c>
    </x:row>
    <x:row r="214">
      <x:c r="A214" s="73" t="str">
        <x:f>IFERROR(INDEX('계산도우미'!$B$5:$B$2004,MATCH(ROWS($A$5:A214),'계산도우미'!$K$5:$K$2004,0)),"")</x:f>
      </x:c>
      <x:c r="B214" s="73" t="str">
        <x:f>IF(A214="","",IFERROR(INDEX('당기원장'!$B$5:$B$1004,MATCH(A214,'당기원장'!$A$5:$A$1004,0)),IFERROR(INDEX('전기원장'!$B$5:$B$1004,MATCH(A214,'전기원장'!$A$5:$A$1004,0)),"")))</x:f>
      </x:c>
      <x:c r="C214" s="75" t="str">
        <x:f>IF(A214="","",SUMIF('전기원장'!$A$5:$A$1004,A214,'전기원장'!$H$5:$H$1004))</x:f>
      </x:c>
      <x:c r="D214" s="75" t="str">
        <x:f>IF(A214="","",SUMIF('당기원장'!$A$5:$A$1004,A214,'당기원장'!$H$5:$H$1004))</x:f>
      </x:c>
      <x:c r="E214" s="75" t="str">
        <x:f>IF(A214="","",D214-C214)</x:f>
      </x:c>
      <x:c r="F214" s="88" t="str">
        <x:f>IF(A214="","",IF(C214=0,IF(D214=0,0,1),ABS(E214)/ABS(C214)))</x:f>
      </x:c>
      <x:c r="G214" s="73" t="str">
        <x:f>IF(A214="","",IF(AND(C214=0,D214&lt;&gt;0),"신규",IF(AND(C214&lt;&gt;0,D214=0),"소멸",IF(E214=0,"변동없음","금액변동"))))</x:f>
      </x:c>
      <x:c r="H214" s="73" t="str">
        <x:f>IF(A214="","",IF(AND(ABS(E214)&gt;='기준설정'!$B$6,OR(G214="신규",G214="소멸",F214&gt;='기준설정'!$B$5)),"원인분석 대상","일반"))</x:f>
      </x:c>
      <x:c r="I214" s="73" t="str">
        <x:f>IF(A214="","",IF(H214="원인분석 대상","세부원인분석 시트에서 거래별 원인을 검토","-"))</x:f>
      </x:c>
      <x:c r="J214" s="73" t="str">
        <x:f>IF(A214="","",COUNTIFS('전기원장'!$A$5:$A$1004,A214,'전기원장'!$J$5:$J$1004,"확인 필요")+COUNTIFS('당기원장'!$A$5:$A$1004,A214,'당기원장'!$J$5:$J$1004,"확인 필요"))</x:f>
      </x:c>
      <x:c r="K214" s="85" t="str">
        <x:f>IF(A214="","",IF(H214&lt;&gt;"원인분석 대상","",IF(J214&gt;0,"붙임 문서 확인 후 원인 확정 필요","결의서명 기반 원인분류 검토")))</x:f>
      </x:c>
    </x:row>
    <x:row r="215">
      <x:c r="A215" s="73" t="str">
        <x:f>IFERROR(INDEX('계산도우미'!$B$5:$B$2004,MATCH(ROWS($A$5:A215),'계산도우미'!$K$5:$K$2004,0)),"")</x:f>
      </x:c>
      <x:c r="B215" s="73" t="str">
        <x:f>IF(A215="","",IFERROR(INDEX('당기원장'!$B$5:$B$1004,MATCH(A215,'당기원장'!$A$5:$A$1004,0)),IFERROR(INDEX('전기원장'!$B$5:$B$1004,MATCH(A215,'전기원장'!$A$5:$A$1004,0)),"")))</x:f>
      </x:c>
      <x:c r="C215" s="75" t="str">
        <x:f>IF(A215="","",SUMIF('전기원장'!$A$5:$A$1004,A215,'전기원장'!$H$5:$H$1004))</x:f>
      </x:c>
      <x:c r="D215" s="75" t="str">
        <x:f>IF(A215="","",SUMIF('당기원장'!$A$5:$A$1004,A215,'당기원장'!$H$5:$H$1004))</x:f>
      </x:c>
      <x:c r="E215" s="75" t="str">
        <x:f>IF(A215="","",D215-C215)</x:f>
      </x:c>
      <x:c r="F215" s="88" t="str">
        <x:f>IF(A215="","",IF(C215=0,IF(D215=0,0,1),ABS(E215)/ABS(C215)))</x:f>
      </x:c>
      <x:c r="G215" s="73" t="str">
        <x:f>IF(A215="","",IF(AND(C215=0,D215&lt;&gt;0),"신규",IF(AND(C215&lt;&gt;0,D215=0),"소멸",IF(E215=0,"변동없음","금액변동"))))</x:f>
      </x:c>
      <x:c r="H215" s="73" t="str">
        <x:f>IF(A215="","",IF(AND(ABS(E215)&gt;='기준설정'!$B$6,OR(G215="신규",G215="소멸",F215&gt;='기준설정'!$B$5)),"원인분석 대상","일반"))</x:f>
      </x:c>
      <x:c r="I215" s="73" t="str">
        <x:f>IF(A215="","",IF(H215="원인분석 대상","세부원인분석 시트에서 거래별 원인을 검토","-"))</x:f>
      </x:c>
      <x:c r="J215" s="73" t="str">
        <x:f>IF(A215="","",COUNTIFS('전기원장'!$A$5:$A$1004,A215,'전기원장'!$J$5:$J$1004,"확인 필요")+COUNTIFS('당기원장'!$A$5:$A$1004,A215,'당기원장'!$J$5:$J$1004,"확인 필요"))</x:f>
      </x:c>
      <x:c r="K215" s="85" t="str">
        <x:f>IF(A215="","",IF(H215&lt;&gt;"원인분석 대상","",IF(J215&gt;0,"붙임 문서 확인 후 원인 확정 필요","결의서명 기반 원인분류 검토")))</x:f>
      </x:c>
    </x:row>
    <x:row r="216">
      <x:c r="A216" s="73" t="str">
        <x:f>IFERROR(INDEX('계산도우미'!$B$5:$B$2004,MATCH(ROWS($A$5:A216),'계산도우미'!$K$5:$K$2004,0)),"")</x:f>
      </x:c>
      <x:c r="B216" s="73" t="str">
        <x:f>IF(A216="","",IFERROR(INDEX('당기원장'!$B$5:$B$1004,MATCH(A216,'당기원장'!$A$5:$A$1004,0)),IFERROR(INDEX('전기원장'!$B$5:$B$1004,MATCH(A216,'전기원장'!$A$5:$A$1004,0)),"")))</x:f>
      </x:c>
      <x:c r="C216" s="75" t="str">
        <x:f>IF(A216="","",SUMIF('전기원장'!$A$5:$A$1004,A216,'전기원장'!$H$5:$H$1004))</x:f>
      </x:c>
      <x:c r="D216" s="75" t="str">
        <x:f>IF(A216="","",SUMIF('당기원장'!$A$5:$A$1004,A216,'당기원장'!$H$5:$H$1004))</x:f>
      </x:c>
      <x:c r="E216" s="75" t="str">
        <x:f>IF(A216="","",D216-C216)</x:f>
      </x:c>
      <x:c r="F216" s="88" t="str">
        <x:f>IF(A216="","",IF(C216=0,IF(D216=0,0,1),ABS(E216)/ABS(C216)))</x:f>
      </x:c>
      <x:c r="G216" s="73" t="str">
        <x:f>IF(A216="","",IF(AND(C216=0,D216&lt;&gt;0),"신규",IF(AND(C216&lt;&gt;0,D216=0),"소멸",IF(E216=0,"변동없음","금액변동"))))</x:f>
      </x:c>
      <x:c r="H216" s="73" t="str">
        <x:f>IF(A216="","",IF(AND(ABS(E216)&gt;='기준설정'!$B$6,OR(G216="신규",G216="소멸",F216&gt;='기준설정'!$B$5)),"원인분석 대상","일반"))</x:f>
      </x:c>
      <x:c r="I216" s="73" t="str">
        <x:f>IF(A216="","",IF(H216="원인분석 대상","세부원인분석 시트에서 거래별 원인을 검토","-"))</x:f>
      </x:c>
      <x:c r="J216" s="73" t="str">
        <x:f>IF(A216="","",COUNTIFS('전기원장'!$A$5:$A$1004,A216,'전기원장'!$J$5:$J$1004,"확인 필요")+COUNTIFS('당기원장'!$A$5:$A$1004,A216,'당기원장'!$J$5:$J$1004,"확인 필요"))</x:f>
      </x:c>
      <x:c r="K216" s="85" t="str">
        <x:f>IF(A216="","",IF(H216&lt;&gt;"원인분석 대상","",IF(J216&gt;0,"붙임 문서 확인 후 원인 확정 필요","결의서명 기반 원인분류 검토")))</x:f>
      </x:c>
    </x:row>
    <x:row r="217">
      <x:c r="A217" s="73" t="str">
        <x:f>IFERROR(INDEX('계산도우미'!$B$5:$B$2004,MATCH(ROWS($A$5:A217),'계산도우미'!$K$5:$K$2004,0)),"")</x:f>
      </x:c>
      <x:c r="B217" s="73" t="str">
        <x:f>IF(A217="","",IFERROR(INDEX('당기원장'!$B$5:$B$1004,MATCH(A217,'당기원장'!$A$5:$A$1004,0)),IFERROR(INDEX('전기원장'!$B$5:$B$1004,MATCH(A217,'전기원장'!$A$5:$A$1004,0)),"")))</x:f>
      </x:c>
      <x:c r="C217" s="75" t="str">
        <x:f>IF(A217="","",SUMIF('전기원장'!$A$5:$A$1004,A217,'전기원장'!$H$5:$H$1004))</x:f>
      </x:c>
      <x:c r="D217" s="75" t="str">
        <x:f>IF(A217="","",SUMIF('당기원장'!$A$5:$A$1004,A217,'당기원장'!$H$5:$H$1004))</x:f>
      </x:c>
      <x:c r="E217" s="75" t="str">
        <x:f>IF(A217="","",D217-C217)</x:f>
      </x:c>
      <x:c r="F217" s="88" t="str">
        <x:f>IF(A217="","",IF(C217=0,IF(D217=0,0,1),ABS(E217)/ABS(C217)))</x:f>
      </x:c>
      <x:c r="G217" s="73" t="str">
        <x:f>IF(A217="","",IF(AND(C217=0,D217&lt;&gt;0),"신규",IF(AND(C217&lt;&gt;0,D217=0),"소멸",IF(E217=0,"변동없음","금액변동"))))</x:f>
      </x:c>
      <x:c r="H217" s="73" t="str">
        <x:f>IF(A217="","",IF(AND(ABS(E217)&gt;='기준설정'!$B$6,OR(G217="신규",G217="소멸",F217&gt;='기준설정'!$B$5)),"원인분석 대상","일반"))</x:f>
      </x:c>
      <x:c r="I217" s="73" t="str">
        <x:f>IF(A217="","",IF(H217="원인분석 대상","세부원인분석 시트에서 거래별 원인을 검토","-"))</x:f>
      </x:c>
      <x:c r="J217" s="73" t="str">
        <x:f>IF(A217="","",COUNTIFS('전기원장'!$A$5:$A$1004,A217,'전기원장'!$J$5:$J$1004,"확인 필요")+COUNTIFS('당기원장'!$A$5:$A$1004,A217,'당기원장'!$J$5:$J$1004,"확인 필요"))</x:f>
      </x:c>
      <x:c r="K217" s="85" t="str">
        <x:f>IF(A217="","",IF(H217&lt;&gt;"원인분석 대상","",IF(J217&gt;0,"붙임 문서 확인 후 원인 확정 필요","결의서명 기반 원인분류 검토")))</x:f>
      </x:c>
    </x:row>
    <x:row r="218">
      <x:c r="A218" s="73" t="str">
        <x:f>IFERROR(INDEX('계산도우미'!$B$5:$B$2004,MATCH(ROWS($A$5:A218),'계산도우미'!$K$5:$K$2004,0)),"")</x:f>
      </x:c>
      <x:c r="B218" s="73" t="str">
        <x:f>IF(A218="","",IFERROR(INDEX('당기원장'!$B$5:$B$1004,MATCH(A218,'당기원장'!$A$5:$A$1004,0)),IFERROR(INDEX('전기원장'!$B$5:$B$1004,MATCH(A218,'전기원장'!$A$5:$A$1004,0)),"")))</x:f>
      </x:c>
      <x:c r="C218" s="75" t="str">
        <x:f>IF(A218="","",SUMIF('전기원장'!$A$5:$A$1004,A218,'전기원장'!$H$5:$H$1004))</x:f>
      </x:c>
      <x:c r="D218" s="75" t="str">
        <x:f>IF(A218="","",SUMIF('당기원장'!$A$5:$A$1004,A218,'당기원장'!$H$5:$H$1004))</x:f>
      </x:c>
      <x:c r="E218" s="75" t="str">
        <x:f>IF(A218="","",D218-C218)</x:f>
      </x:c>
      <x:c r="F218" s="88" t="str">
        <x:f>IF(A218="","",IF(C218=0,IF(D218=0,0,1),ABS(E218)/ABS(C218)))</x:f>
      </x:c>
      <x:c r="G218" s="73" t="str">
        <x:f>IF(A218="","",IF(AND(C218=0,D218&lt;&gt;0),"신규",IF(AND(C218&lt;&gt;0,D218=0),"소멸",IF(E218=0,"변동없음","금액변동"))))</x:f>
      </x:c>
      <x:c r="H218" s="73" t="str">
        <x:f>IF(A218="","",IF(AND(ABS(E218)&gt;='기준설정'!$B$6,OR(G218="신규",G218="소멸",F218&gt;='기준설정'!$B$5)),"원인분석 대상","일반"))</x:f>
      </x:c>
      <x:c r="I218" s="73" t="str">
        <x:f>IF(A218="","",IF(H218="원인분석 대상","세부원인분석 시트에서 거래별 원인을 검토","-"))</x:f>
      </x:c>
      <x:c r="J218" s="73" t="str">
        <x:f>IF(A218="","",COUNTIFS('전기원장'!$A$5:$A$1004,A218,'전기원장'!$J$5:$J$1004,"확인 필요")+COUNTIFS('당기원장'!$A$5:$A$1004,A218,'당기원장'!$J$5:$J$1004,"확인 필요"))</x:f>
      </x:c>
      <x:c r="K218" s="85" t="str">
        <x:f>IF(A218="","",IF(H218&lt;&gt;"원인분석 대상","",IF(J218&gt;0,"붙임 문서 확인 후 원인 확정 필요","결의서명 기반 원인분류 검토")))</x:f>
      </x:c>
    </x:row>
    <x:row r="219">
      <x:c r="A219" s="73" t="str">
        <x:f>IFERROR(INDEX('계산도우미'!$B$5:$B$2004,MATCH(ROWS($A$5:A219),'계산도우미'!$K$5:$K$2004,0)),"")</x:f>
      </x:c>
      <x:c r="B219" s="73" t="str">
        <x:f>IF(A219="","",IFERROR(INDEX('당기원장'!$B$5:$B$1004,MATCH(A219,'당기원장'!$A$5:$A$1004,0)),IFERROR(INDEX('전기원장'!$B$5:$B$1004,MATCH(A219,'전기원장'!$A$5:$A$1004,0)),"")))</x:f>
      </x:c>
      <x:c r="C219" s="75" t="str">
        <x:f>IF(A219="","",SUMIF('전기원장'!$A$5:$A$1004,A219,'전기원장'!$H$5:$H$1004))</x:f>
      </x:c>
      <x:c r="D219" s="75" t="str">
        <x:f>IF(A219="","",SUMIF('당기원장'!$A$5:$A$1004,A219,'당기원장'!$H$5:$H$1004))</x:f>
      </x:c>
      <x:c r="E219" s="75" t="str">
        <x:f>IF(A219="","",D219-C219)</x:f>
      </x:c>
      <x:c r="F219" s="88" t="str">
        <x:f>IF(A219="","",IF(C219=0,IF(D219=0,0,1),ABS(E219)/ABS(C219)))</x:f>
      </x:c>
      <x:c r="G219" s="73" t="str">
        <x:f>IF(A219="","",IF(AND(C219=0,D219&lt;&gt;0),"신규",IF(AND(C219&lt;&gt;0,D219=0),"소멸",IF(E219=0,"변동없음","금액변동"))))</x:f>
      </x:c>
      <x:c r="H219" s="73" t="str">
        <x:f>IF(A219="","",IF(AND(ABS(E219)&gt;='기준설정'!$B$6,OR(G219="신규",G219="소멸",F219&gt;='기준설정'!$B$5)),"원인분석 대상","일반"))</x:f>
      </x:c>
      <x:c r="I219" s="73" t="str">
        <x:f>IF(A219="","",IF(H219="원인분석 대상","세부원인분석 시트에서 거래별 원인을 검토","-"))</x:f>
      </x:c>
      <x:c r="J219" s="73" t="str">
        <x:f>IF(A219="","",COUNTIFS('전기원장'!$A$5:$A$1004,A219,'전기원장'!$J$5:$J$1004,"확인 필요")+COUNTIFS('당기원장'!$A$5:$A$1004,A219,'당기원장'!$J$5:$J$1004,"확인 필요"))</x:f>
      </x:c>
      <x:c r="K219" s="85" t="str">
        <x:f>IF(A219="","",IF(H219&lt;&gt;"원인분석 대상","",IF(J219&gt;0,"붙임 문서 확인 후 원인 확정 필요","결의서명 기반 원인분류 검토")))</x:f>
      </x:c>
    </x:row>
    <x:row r="220">
      <x:c r="A220" s="73" t="str">
        <x:f>IFERROR(INDEX('계산도우미'!$B$5:$B$2004,MATCH(ROWS($A$5:A220),'계산도우미'!$K$5:$K$2004,0)),"")</x:f>
      </x:c>
      <x:c r="B220" s="73" t="str">
        <x:f>IF(A220="","",IFERROR(INDEX('당기원장'!$B$5:$B$1004,MATCH(A220,'당기원장'!$A$5:$A$1004,0)),IFERROR(INDEX('전기원장'!$B$5:$B$1004,MATCH(A220,'전기원장'!$A$5:$A$1004,0)),"")))</x:f>
      </x:c>
      <x:c r="C220" s="75" t="str">
        <x:f>IF(A220="","",SUMIF('전기원장'!$A$5:$A$1004,A220,'전기원장'!$H$5:$H$1004))</x:f>
      </x:c>
      <x:c r="D220" s="75" t="str">
        <x:f>IF(A220="","",SUMIF('당기원장'!$A$5:$A$1004,A220,'당기원장'!$H$5:$H$1004))</x:f>
      </x:c>
      <x:c r="E220" s="75" t="str">
        <x:f>IF(A220="","",D220-C220)</x:f>
      </x:c>
      <x:c r="F220" s="88" t="str">
        <x:f>IF(A220="","",IF(C220=0,IF(D220=0,0,1),ABS(E220)/ABS(C220)))</x:f>
      </x:c>
      <x:c r="G220" s="73" t="str">
        <x:f>IF(A220="","",IF(AND(C220=0,D220&lt;&gt;0),"신규",IF(AND(C220&lt;&gt;0,D220=0),"소멸",IF(E220=0,"변동없음","금액변동"))))</x:f>
      </x:c>
      <x:c r="H220" s="73" t="str">
        <x:f>IF(A220="","",IF(AND(ABS(E220)&gt;='기준설정'!$B$6,OR(G220="신규",G220="소멸",F220&gt;='기준설정'!$B$5)),"원인분석 대상","일반"))</x:f>
      </x:c>
      <x:c r="I220" s="73" t="str">
        <x:f>IF(A220="","",IF(H220="원인분석 대상","세부원인분석 시트에서 거래별 원인을 검토","-"))</x:f>
      </x:c>
      <x:c r="J220" s="73" t="str">
        <x:f>IF(A220="","",COUNTIFS('전기원장'!$A$5:$A$1004,A220,'전기원장'!$J$5:$J$1004,"확인 필요")+COUNTIFS('당기원장'!$A$5:$A$1004,A220,'당기원장'!$J$5:$J$1004,"확인 필요"))</x:f>
      </x:c>
      <x:c r="K220" s="85" t="str">
        <x:f>IF(A220="","",IF(H220&lt;&gt;"원인분석 대상","",IF(J220&gt;0,"붙임 문서 확인 후 원인 확정 필요","결의서명 기반 원인분류 검토")))</x:f>
      </x:c>
    </x:row>
    <x:row r="221">
      <x:c r="A221" s="73" t="str">
        <x:f>IFERROR(INDEX('계산도우미'!$B$5:$B$2004,MATCH(ROWS($A$5:A221),'계산도우미'!$K$5:$K$2004,0)),"")</x:f>
      </x:c>
      <x:c r="B221" s="73" t="str">
        <x:f>IF(A221="","",IFERROR(INDEX('당기원장'!$B$5:$B$1004,MATCH(A221,'당기원장'!$A$5:$A$1004,0)),IFERROR(INDEX('전기원장'!$B$5:$B$1004,MATCH(A221,'전기원장'!$A$5:$A$1004,0)),"")))</x:f>
      </x:c>
      <x:c r="C221" s="75" t="str">
        <x:f>IF(A221="","",SUMIF('전기원장'!$A$5:$A$1004,A221,'전기원장'!$H$5:$H$1004))</x:f>
      </x:c>
      <x:c r="D221" s="75" t="str">
        <x:f>IF(A221="","",SUMIF('당기원장'!$A$5:$A$1004,A221,'당기원장'!$H$5:$H$1004))</x:f>
      </x:c>
      <x:c r="E221" s="75" t="str">
        <x:f>IF(A221="","",D221-C221)</x:f>
      </x:c>
      <x:c r="F221" s="88" t="str">
        <x:f>IF(A221="","",IF(C221=0,IF(D221=0,0,1),ABS(E221)/ABS(C221)))</x:f>
      </x:c>
      <x:c r="G221" s="73" t="str">
        <x:f>IF(A221="","",IF(AND(C221=0,D221&lt;&gt;0),"신규",IF(AND(C221&lt;&gt;0,D221=0),"소멸",IF(E221=0,"변동없음","금액변동"))))</x:f>
      </x:c>
      <x:c r="H221" s="73" t="str">
        <x:f>IF(A221="","",IF(AND(ABS(E221)&gt;='기준설정'!$B$6,OR(G221="신규",G221="소멸",F221&gt;='기준설정'!$B$5)),"원인분석 대상","일반"))</x:f>
      </x:c>
      <x:c r="I221" s="73" t="str">
        <x:f>IF(A221="","",IF(H221="원인분석 대상","세부원인분석 시트에서 거래별 원인을 검토","-"))</x:f>
      </x:c>
      <x:c r="J221" s="73" t="str">
        <x:f>IF(A221="","",COUNTIFS('전기원장'!$A$5:$A$1004,A221,'전기원장'!$J$5:$J$1004,"확인 필요")+COUNTIFS('당기원장'!$A$5:$A$1004,A221,'당기원장'!$J$5:$J$1004,"확인 필요"))</x:f>
      </x:c>
      <x:c r="K221" s="85" t="str">
        <x:f>IF(A221="","",IF(H221&lt;&gt;"원인분석 대상","",IF(J221&gt;0,"붙임 문서 확인 후 원인 확정 필요","결의서명 기반 원인분류 검토")))</x:f>
      </x:c>
    </x:row>
    <x:row r="222">
      <x:c r="A222" s="73" t="str">
        <x:f>IFERROR(INDEX('계산도우미'!$B$5:$B$2004,MATCH(ROWS($A$5:A222),'계산도우미'!$K$5:$K$2004,0)),"")</x:f>
      </x:c>
      <x:c r="B222" s="73" t="str">
        <x:f>IF(A222="","",IFERROR(INDEX('당기원장'!$B$5:$B$1004,MATCH(A222,'당기원장'!$A$5:$A$1004,0)),IFERROR(INDEX('전기원장'!$B$5:$B$1004,MATCH(A222,'전기원장'!$A$5:$A$1004,0)),"")))</x:f>
      </x:c>
      <x:c r="C222" s="75" t="str">
        <x:f>IF(A222="","",SUMIF('전기원장'!$A$5:$A$1004,A222,'전기원장'!$H$5:$H$1004))</x:f>
      </x:c>
      <x:c r="D222" s="75" t="str">
        <x:f>IF(A222="","",SUMIF('당기원장'!$A$5:$A$1004,A222,'당기원장'!$H$5:$H$1004))</x:f>
      </x:c>
      <x:c r="E222" s="75" t="str">
        <x:f>IF(A222="","",D222-C222)</x:f>
      </x:c>
      <x:c r="F222" s="88" t="str">
        <x:f>IF(A222="","",IF(C222=0,IF(D222=0,0,1),ABS(E222)/ABS(C222)))</x:f>
      </x:c>
      <x:c r="G222" s="73" t="str">
        <x:f>IF(A222="","",IF(AND(C222=0,D222&lt;&gt;0),"신규",IF(AND(C222&lt;&gt;0,D222=0),"소멸",IF(E222=0,"변동없음","금액변동"))))</x:f>
      </x:c>
      <x:c r="H222" s="73" t="str">
        <x:f>IF(A222="","",IF(AND(ABS(E222)&gt;='기준설정'!$B$6,OR(G222="신규",G222="소멸",F222&gt;='기준설정'!$B$5)),"원인분석 대상","일반"))</x:f>
      </x:c>
      <x:c r="I222" s="73" t="str">
        <x:f>IF(A222="","",IF(H222="원인분석 대상","세부원인분석 시트에서 거래별 원인을 검토","-"))</x:f>
      </x:c>
      <x:c r="J222" s="73" t="str">
        <x:f>IF(A222="","",COUNTIFS('전기원장'!$A$5:$A$1004,A222,'전기원장'!$J$5:$J$1004,"확인 필요")+COUNTIFS('당기원장'!$A$5:$A$1004,A222,'당기원장'!$J$5:$J$1004,"확인 필요"))</x:f>
      </x:c>
      <x:c r="K222" s="85" t="str">
        <x:f>IF(A222="","",IF(H222&lt;&gt;"원인분석 대상","",IF(J222&gt;0,"붙임 문서 확인 후 원인 확정 필요","결의서명 기반 원인분류 검토")))</x:f>
      </x:c>
    </x:row>
    <x:row r="223">
      <x:c r="A223" s="73" t="str">
        <x:f>IFERROR(INDEX('계산도우미'!$B$5:$B$2004,MATCH(ROWS($A$5:A223),'계산도우미'!$K$5:$K$2004,0)),"")</x:f>
      </x:c>
      <x:c r="B223" s="73" t="str">
        <x:f>IF(A223="","",IFERROR(INDEX('당기원장'!$B$5:$B$1004,MATCH(A223,'당기원장'!$A$5:$A$1004,0)),IFERROR(INDEX('전기원장'!$B$5:$B$1004,MATCH(A223,'전기원장'!$A$5:$A$1004,0)),"")))</x:f>
      </x:c>
      <x:c r="C223" s="75" t="str">
        <x:f>IF(A223="","",SUMIF('전기원장'!$A$5:$A$1004,A223,'전기원장'!$H$5:$H$1004))</x:f>
      </x:c>
      <x:c r="D223" s="75" t="str">
        <x:f>IF(A223="","",SUMIF('당기원장'!$A$5:$A$1004,A223,'당기원장'!$H$5:$H$1004))</x:f>
      </x:c>
      <x:c r="E223" s="75" t="str">
        <x:f>IF(A223="","",D223-C223)</x:f>
      </x:c>
      <x:c r="F223" s="88" t="str">
        <x:f>IF(A223="","",IF(C223=0,IF(D223=0,0,1),ABS(E223)/ABS(C223)))</x:f>
      </x:c>
      <x:c r="G223" s="73" t="str">
        <x:f>IF(A223="","",IF(AND(C223=0,D223&lt;&gt;0),"신규",IF(AND(C223&lt;&gt;0,D223=0),"소멸",IF(E223=0,"변동없음","금액변동"))))</x:f>
      </x:c>
      <x:c r="H223" s="73" t="str">
        <x:f>IF(A223="","",IF(AND(ABS(E223)&gt;='기준설정'!$B$6,OR(G223="신규",G223="소멸",F223&gt;='기준설정'!$B$5)),"원인분석 대상","일반"))</x:f>
      </x:c>
      <x:c r="I223" s="73" t="str">
        <x:f>IF(A223="","",IF(H223="원인분석 대상","세부원인분석 시트에서 거래별 원인을 검토","-"))</x:f>
      </x:c>
      <x:c r="J223" s="73" t="str">
        <x:f>IF(A223="","",COUNTIFS('전기원장'!$A$5:$A$1004,A223,'전기원장'!$J$5:$J$1004,"확인 필요")+COUNTIFS('당기원장'!$A$5:$A$1004,A223,'당기원장'!$J$5:$J$1004,"확인 필요"))</x:f>
      </x:c>
      <x:c r="K223" s="85" t="str">
        <x:f>IF(A223="","",IF(H223&lt;&gt;"원인분석 대상","",IF(J223&gt;0,"붙임 문서 확인 후 원인 확정 필요","결의서명 기반 원인분류 검토")))</x:f>
      </x:c>
    </x:row>
    <x:row r="224">
      <x:c r="A224" s="73" t="str">
        <x:f>IFERROR(INDEX('계산도우미'!$B$5:$B$2004,MATCH(ROWS($A$5:A224),'계산도우미'!$K$5:$K$2004,0)),"")</x:f>
      </x:c>
      <x:c r="B224" s="73" t="str">
        <x:f>IF(A224="","",IFERROR(INDEX('당기원장'!$B$5:$B$1004,MATCH(A224,'당기원장'!$A$5:$A$1004,0)),IFERROR(INDEX('전기원장'!$B$5:$B$1004,MATCH(A224,'전기원장'!$A$5:$A$1004,0)),"")))</x:f>
      </x:c>
      <x:c r="C224" s="75" t="str">
        <x:f>IF(A224="","",SUMIF('전기원장'!$A$5:$A$1004,A224,'전기원장'!$H$5:$H$1004))</x:f>
      </x:c>
      <x:c r="D224" s="75" t="str">
        <x:f>IF(A224="","",SUMIF('당기원장'!$A$5:$A$1004,A224,'당기원장'!$H$5:$H$1004))</x:f>
      </x:c>
      <x:c r="E224" s="75" t="str">
        <x:f>IF(A224="","",D224-C224)</x:f>
      </x:c>
      <x:c r="F224" s="88" t="str">
        <x:f>IF(A224="","",IF(C224=0,IF(D224=0,0,1),ABS(E224)/ABS(C224)))</x:f>
      </x:c>
      <x:c r="G224" s="73" t="str">
        <x:f>IF(A224="","",IF(AND(C224=0,D224&lt;&gt;0),"신규",IF(AND(C224&lt;&gt;0,D224=0),"소멸",IF(E224=0,"변동없음","금액변동"))))</x:f>
      </x:c>
      <x:c r="H224" s="73" t="str">
        <x:f>IF(A224="","",IF(AND(ABS(E224)&gt;='기준설정'!$B$6,OR(G224="신규",G224="소멸",F224&gt;='기준설정'!$B$5)),"원인분석 대상","일반"))</x:f>
      </x:c>
      <x:c r="I224" s="73" t="str">
        <x:f>IF(A224="","",IF(H224="원인분석 대상","세부원인분석 시트에서 거래별 원인을 검토","-"))</x:f>
      </x:c>
      <x:c r="J224" s="73" t="str">
        <x:f>IF(A224="","",COUNTIFS('전기원장'!$A$5:$A$1004,A224,'전기원장'!$J$5:$J$1004,"확인 필요")+COUNTIFS('당기원장'!$A$5:$A$1004,A224,'당기원장'!$J$5:$J$1004,"확인 필요"))</x:f>
      </x:c>
      <x:c r="K224" s="85" t="str">
        <x:f>IF(A224="","",IF(H224&lt;&gt;"원인분석 대상","",IF(J224&gt;0,"붙임 문서 확인 후 원인 확정 필요","결의서명 기반 원인분류 검토")))</x:f>
      </x:c>
    </x:row>
    <x:row r="225">
      <x:c r="A225" s="73" t="str">
        <x:f>IFERROR(INDEX('계산도우미'!$B$5:$B$2004,MATCH(ROWS($A$5:A225),'계산도우미'!$K$5:$K$2004,0)),"")</x:f>
      </x:c>
      <x:c r="B225" s="73" t="str">
        <x:f>IF(A225="","",IFERROR(INDEX('당기원장'!$B$5:$B$1004,MATCH(A225,'당기원장'!$A$5:$A$1004,0)),IFERROR(INDEX('전기원장'!$B$5:$B$1004,MATCH(A225,'전기원장'!$A$5:$A$1004,0)),"")))</x:f>
      </x:c>
      <x:c r="C225" s="75" t="str">
        <x:f>IF(A225="","",SUMIF('전기원장'!$A$5:$A$1004,A225,'전기원장'!$H$5:$H$1004))</x:f>
      </x:c>
      <x:c r="D225" s="75" t="str">
        <x:f>IF(A225="","",SUMIF('당기원장'!$A$5:$A$1004,A225,'당기원장'!$H$5:$H$1004))</x:f>
      </x:c>
      <x:c r="E225" s="75" t="str">
        <x:f>IF(A225="","",D225-C225)</x:f>
      </x:c>
      <x:c r="F225" s="88" t="str">
        <x:f>IF(A225="","",IF(C225=0,IF(D225=0,0,1),ABS(E225)/ABS(C225)))</x:f>
      </x:c>
      <x:c r="G225" s="73" t="str">
        <x:f>IF(A225="","",IF(AND(C225=0,D225&lt;&gt;0),"신규",IF(AND(C225&lt;&gt;0,D225=0),"소멸",IF(E225=0,"변동없음","금액변동"))))</x:f>
      </x:c>
      <x:c r="H225" s="73" t="str">
        <x:f>IF(A225="","",IF(AND(ABS(E225)&gt;='기준설정'!$B$6,OR(G225="신규",G225="소멸",F225&gt;='기준설정'!$B$5)),"원인분석 대상","일반"))</x:f>
      </x:c>
      <x:c r="I225" s="73" t="str">
        <x:f>IF(A225="","",IF(H225="원인분석 대상","세부원인분석 시트에서 거래별 원인을 검토","-"))</x:f>
      </x:c>
      <x:c r="J225" s="73" t="str">
        <x:f>IF(A225="","",COUNTIFS('전기원장'!$A$5:$A$1004,A225,'전기원장'!$J$5:$J$1004,"확인 필요")+COUNTIFS('당기원장'!$A$5:$A$1004,A225,'당기원장'!$J$5:$J$1004,"확인 필요"))</x:f>
      </x:c>
      <x:c r="K225" s="85" t="str">
        <x:f>IF(A225="","",IF(H225&lt;&gt;"원인분석 대상","",IF(J225&gt;0,"붙임 문서 확인 후 원인 확정 필요","결의서명 기반 원인분류 검토")))</x:f>
      </x:c>
    </x:row>
    <x:row r="226">
      <x:c r="A226" s="73" t="str">
        <x:f>IFERROR(INDEX('계산도우미'!$B$5:$B$2004,MATCH(ROWS($A$5:A226),'계산도우미'!$K$5:$K$2004,0)),"")</x:f>
      </x:c>
      <x:c r="B226" s="73" t="str">
        <x:f>IF(A226="","",IFERROR(INDEX('당기원장'!$B$5:$B$1004,MATCH(A226,'당기원장'!$A$5:$A$1004,0)),IFERROR(INDEX('전기원장'!$B$5:$B$1004,MATCH(A226,'전기원장'!$A$5:$A$1004,0)),"")))</x:f>
      </x:c>
      <x:c r="C226" s="75" t="str">
        <x:f>IF(A226="","",SUMIF('전기원장'!$A$5:$A$1004,A226,'전기원장'!$H$5:$H$1004))</x:f>
      </x:c>
      <x:c r="D226" s="75" t="str">
        <x:f>IF(A226="","",SUMIF('당기원장'!$A$5:$A$1004,A226,'당기원장'!$H$5:$H$1004))</x:f>
      </x:c>
      <x:c r="E226" s="75" t="str">
        <x:f>IF(A226="","",D226-C226)</x:f>
      </x:c>
      <x:c r="F226" s="88" t="str">
        <x:f>IF(A226="","",IF(C226=0,IF(D226=0,0,1),ABS(E226)/ABS(C226)))</x:f>
      </x:c>
      <x:c r="G226" s="73" t="str">
        <x:f>IF(A226="","",IF(AND(C226=0,D226&lt;&gt;0),"신규",IF(AND(C226&lt;&gt;0,D226=0),"소멸",IF(E226=0,"변동없음","금액변동"))))</x:f>
      </x:c>
      <x:c r="H226" s="73" t="str">
        <x:f>IF(A226="","",IF(AND(ABS(E226)&gt;='기준설정'!$B$6,OR(G226="신규",G226="소멸",F226&gt;='기준설정'!$B$5)),"원인분석 대상","일반"))</x:f>
      </x:c>
      <x:c r="I226" s="73" t="str">
        <x:f>IF(A226="","",IF(H226="원인분석 대상","세부원인분석 시트에서 거래별 원인을 검토","-"))</x:f>
      </x:c>
      <x:c r="J226" s="73" t="str">
        <x:f>IF(A226="","",COUNTIFS('전기원장'!$A$5:$A$1004,A226,'전기원장'!$J$5:$J$1004,"확인 필요")+COUNTIFS('당기원장'!$A$5:$A$1004,A226,'당기원장'!$J$5:$J$1004,"확인 필요"))</x:f>
      </x:c>
      <x:c r="K226" s="85" t="str">
        <x:f>IF(A226="","",IF(H226&lt;&gt;"원인분석 대상","",IF(J226&gt;0,"붙임 문서 확인 후 원인 확정 필요","결의서명 기반 원인분류 검토")))</x:f>
      </x:c>
    </x:row>
    <x:row r="227">
      <x:c r="A227" s="73" t="str">
        <x:f>IFERROR(INDEX('계산도우미'!$B$5:$B$2004,MATCH(ROWS($A$5:A227),'계산도우미'!$K$5:$K$2004,0)),"")</x:f>
      </x:c>
      <x:c r="B227" s="73" t="str">
        <x:f>IF(A227="","",IFERROR(INDEX('당기원장'!$B$5:$B$1004,MATCH(A227,'당기원장'!$A$5:$A$1004,0)),IFERROR(INDEX('전기원장'!$B$5:$B$1004,MATCH(A227,'전기원장'!$A$5:$A$1004,0)),"")))</x:f>
      </x:c>
      <x:c r="C227" s="75" t="str">
        <x:f>IF(A227="","",SUMIF('전기원장'!$A$5:$A$1004,A227,'전기원장'!$H$5:$H$1004))</x:f>
      </x:c>
      <x:c r="D227" s="75" t="str">
        <x:f>IF(A227="","",SUMIF('당기원장'!$A$5:$A$1004,A227,'당기원장'!$H$5:$H$1004))</x:f>
      </x:c>
      <x:c r="E227" s="75" t="str">
        <x:f>IF(A227="","",D227-C227)</x:f>
      </x:c>
      <x:c r="F227" s="88" t="str">
        <x:f>IF(A227="","",IF(C227=0,IF(D227=0,0,1),ABS(E227)/ABS(C227)))</x:f>
      </x:c>
      <x:c r="G227" s="73" t="str">
        <x:f>IF(A227="","",IF(AND(C227=0,D227&lt;&gt;0),"신규",IF(AND(C227&lt;&gt;0,D227=0),"소멸",IF(E227=0,"변동없음","금액변동"))))</x:f>
      </x:c>
      <x:c r="H227" s="73" t="str">
        <x:f>IF(A227="","",IF(AND(ABS(E227)&gt;='기준설정'!$B$6,OR(G227="신규",G227="소멸",F227&gt;='기준설정'!$B$5)),"원인분석 대상","일반"))</x:f>
      </x:c>
      <x:c r="I227" s="73" t="str">
        <x:f>IF(A227="","",IF(H227="원인분석 대상","세부원인분석 시트에서 거래별 원인을 검토","-"))</x:f>
      </x:c>
      <x:c r="J227" s="73" t="str">
        <x:f>IF(A227="","",COUNTIFS('전기원장'!$A$5:$A$1004,A227,'전기원장'!$J$5:$J$1004,"확인 필요")+COUNTIFS('당기원장'!$A$5:$A$1004,A227,'당기원장'!$J$5:$J$1004,"확인 필요"))</x:f>
      </x:c>
      <x:c r="K227" s="85" t="str">
        <x:f>IF(A227="","",IF(H227&lt;&gt;"원인분석 대상","",IF(J227&gt;0,"붙임 문서 확인 후 원인 확정 필요","결의서명 기반 원인분류 검토")))</x:f>
      </x:c>
    </x:row>
    <x:row r="228">
      <x:c r="A228" s="73" t="str">
        <x:f>IFERROR(INDEX('계산도우미'!$B$5:$B$2004,MATCH(ROWS($A$5:A228),'계산도우미'!$K$5:$K$2004,0)),"")</x:f>
      </x:c>
      <x:c r="B228" s="73" t="str">
        <x:f>IF(A228="","",IFERROR(INDEX('당기원장'!$B$5:$B$1004,MATCH(A228,'당기원장'!$A$5:$A$1004,0)),IFERROR(INDEX('전기원장'!$B$5:$B$1004,MATCH(A228,'전기원장'!$A$5:$A$1004,0)),"")))</x:f>
      </x:c>
      <x:c r="C228" s="75" t="str">
        <x:f>IF(A228="","",SUMIF('전기원장'!$A$5:$A$1004,A228,'전기원장'!$H$5:$H$1004))</x:f>
      </x:c>
      <x:c r="D228" s="75" t="str">
        <x:f>IF(A228="","",SUMIF('당기원장'!$A$5:$A$1004,A228,'당기원장'!$H$5:$H$1004))</x:f>
      </x:c>
      <x:c r="E228" s="75" t="str">
        <x:f>IF(A228="","",D228-C228)</x:f>
      </x:c>
      <x:c r="F228" s="88" t="str">
        <x:f>IF(A228="","",IF(C228=0,IF(D228=0,0,1),ABS(E228)/ABS(C228)))</x:f>
      </x:c>
      <x:c r="G228" s="73" t="str">
        <x:f>IF(A228="","",IF(AND(C228=0,D228&lt;&gt;0),"신규",IF(AND(C228&lt;&gt;0,D228=0),"소멸",IF(E228=0,"변동없음","금액변동"))))</x:f>
      </x:c>
      <x:c r="H228" s="73" t="str">
        <x:f>IF(A228="","",IF(AND(ABS(E228)&gt;='기준설정'!$B$6,OR(G228="신규",G228="소멸",F228&gt;='기준설정'!$B$5)),"원인분석 대상","일반"))</x:f>
      </x:c>
      <x:c r="I228" s="73" t="str">
        <x:f>IF(A228="","",IF(H228="원인분석 대상","세부원인분석 시트에서 거래별 원인을 검토","-"))</x:f>
      </x:c>
      <x:c r="J228" s="73" t="str">
        <x:f>IF(A228="","",COUNTIFS('전기원장'!$A$5:$A$1004,A228,'전기원장'!$J$5:$J$1004,"확인 필요")+COUNTIFS('당기원장'!$A$5:$A$1004,A228,'당기원장'!$J$5:$J$1004,"확인 필요"))</x:f>
      </x:c>
      <x:c r="K228" s="85" t="str">
        <x:f>IF(A228="","",IF(H228&lt;&gt;"원인분석 대상","",IF(J228&gt;0,"붙임 문서 확인 후 원인 확정 필요","결의서명 기반 원인분류 검토")))</x:f>
      </x:c>
    </x:row>
    <x:row r="229">
      <x:c r="A229" s="73" t="str">
        <x:f>IFERROR(INDEX('계산도우미'!$B$5:$B$2004,MATCH(ROWS($A$5:A229),'계산도우미'!$K$5:$K$2004,0)),"")</x:f>
      </x:c>
      <x:c r="B229" s="73" t="str">
        <x:f>IF(A229="","",IFERROR(INDEX('당기원장'!$B$5:$B$1004,MATCH(A229,'당기원장'!$A$5:$A$1004,0)),IFERROR(INDEX('전기원장'!$B$5:$B$1004,MATCH(A229,'전기원장'!$A$5:$A$1004,0)),"")))</x:f>
      </x:c>
      <x:c r="C229" s="75" t="str">
        <x:f>IF(A229="","",SUMIF('전기원장'!$A$5:$A$1004,A229,'전기원장'!$H$5:$H$1004))</x:f>
      </x:c>
      <x:c r="D229" s="75" t="str">
        <x:f>IF(A229="","",SUMIF('당기원장'!$A$5:$A$1004,A229,'당기원장'!$H$5:$H$1004))</x:f>
      </x:c>
      <x:c r="E229" s="75" t="str">
        <x:f>IF(A229="","",D229-C229)</x:f>
      </x:c>
      <x:c r="F229" s="88" t="str">
        <x:f>IF(A229="","",IF(C229=0,IF(D229=0,0,1),ABS(E229)/ABS(C229)))</x:f>
      </x:c>
      <x:c r="G229" s="73" t="str">
        <x:f>IF(A229="","",IF(AND(C229=0,D229&lt;&gt;0),"신규",IF(AND(C229&lt;&gt;0,D229=0),"소멸",IF(E229=0,"변동없음","금액변동"))))</x:f>
      </x:c>
      <x:c r="H229" s="73" t="str">
        <x:f>IF(A229="","",IF(AND(ABS(E229)&gt;='기준설정'!$B$6,OR(G229="신규",G229="소멸",F229&gt;='기준설정'!$B$5)),"원인분석 대상","일반"))</x:f>
      </x:c>
      <x:c r="I229" s="73" t="str">
        <x:f>IF(A229="","",IF(H229="원인분석 대상","세부원인분석 시트에서 거래별 원인을 검토","-"))</x:f>
      </x:c>
      <x:c r="J229" s="73" t="str">
        <x:f>IF(A229="","",COUNTIFS('전기원장'!$A$5:$A$1004,A229,'전기원장'!$J$5:$J$1004,"확인 필요")+COUNTIFS('당기원장'!$A$5:$A$1004,A229,'당기원장'!$J$5:$J$1004,"확인 필요"))</x:f>
      </x:c>
      <x:c r="K229" s="85" t="str">
        <x:f>IF(A229="","",IF(H229&lt;&gt;"원인분석 대상","",IF(J229&gt;0,"붙임 문서 확인 후 원인 확정 필요","결의서명 기반 원인분류 검토")))</x:f>
      </x:c>
    </x:row>
    <x:row r="230">
      <x:c r="A230" s="73" t="str">
        <x:f>IFERROR(INDEX('계산도우미'!$B$5:$B$2004,MATCH(ROWS($A$5:A230),'계산도우미'!$K$5:$K$2004,0)),"")</x:f>
      </x:c>
      <x:c r="B230" s="73" t="str">
        <x:f>IF(A230="","",IFERROR(INDEX('당기원장'!$B$5:$B$1004,MATCH(A230,'당기원장'!$A$5:$A$1004,0)),IFERROR(INDEX('전기원장'!$B$5:$B$1004,MATCH(A230,'전기원장'!$A$5:$A$1004,0)),"")))</x:f>
      </x:c>
      <x:c r="C230" s="75" t="str">
        <x:f>IF(A230="","",SUMIF('전기원장'!$A$5:$A$1004,A230,'전기원장'!$H$5:$H$1004))</x:f>
      </x:c>
      <x:c r="D230" s="75" t="str">
        <x:f>IF(A230="","",SUMIF('당기원장'!$A$5:$A$1004,A230,'당기원장'!$H$5:$H$1004))</x:f>
      </x:c>
      <x:c r="E230" s="75" t="str">
        <x:f>IF(A230="","",D230-C230)</x:f>
      </x:c>
      <x:c r="F230" s="88" t="str">
        <x:f>IF(A230="","",IF(C230=0,IF(D230=0,0,1),ABS(E230)/ABS(C230)))</x:f>
      </x:c>
      <x:c r="G230" s="73" t="str">
        <x:f>IF(A230="","",IF(AND(C230=0,D230&lt;&gt;0),"신규",IF(AND(C230&lt;&gt;0,D230=0),"소멸",IF(E230=0,"변동없음","금액변동"))))</x:f>
      </x:c>
      <x:c r="H230" s="73" t="str">
        <x:f>IF(A230="","",IF(AND(ABS(E230)&gt;='기준설정'!$B$6,OR(G230="신규",G230="소멸",F230&gt;='기준설정'!$B$5)),"원인분석 대상","일반"))</x:f>
      </x:c>
      <x:c r="I230" s="73" t="str">
        <x:f>IF(A230="","",IF(H230="원인분석 대상","세부원인분석 시트에서 거래별 원인을 검토","-"))</x:f>
      </x:c>
      <x:c r="J230" s="73" t="str">
        <x:f>IF(A230="","",COUNTIFS('전기원장'!$A$5:$A$1004,A230,'전기원장'!$J$5:$J$1004,"확인 필요")+COUNTIFS('당기원장'!$A$5:$A$1004,A230,'당기원장'!$J$5:$J$1004,"확인 필요"))</x:f>
      </x:c>
      <x:c r="K230" s="85" t="str">
        <x:f>IF(A230="","",IF(H230&lt;&gt;"원인분석 대상","",IF(J230&gt;0,"붙임 문서 확인 후 원인 확정 필요","결의서명 기반 원인분류 검토")))</x:f>
      </x:c>
    </x:row>
    <x:row r="231">
      <x:c r="A231" s="73" t="str">
        <x:f>IFERROR(INDEX('계산도우미'!$B$5:$B$2004,MATCH(ROWS($A$5:A231),'계산도우미'!$K$5:$K$2004,0)),"")</x:f>
      </x:c>
      <x:c r="B231" s="73" t="str">
        <x:f>IF(A231="","",IFERROR(INDEX('당기원장'!$B$5:$B$1004,MATCH(A231,'당기원장'!$A$5:$A$1004,0)),IFERROR(INDEX('전기원장'!$B$5:$B$1004,MATCH(A231,'전기원장'!$A$5:$A$1004,0)),"")))</x:f>
      </x:c>
      <x:c r="C231" s="75" t="str">
        <x:f>IF(A231="","",SUMIF('전기원장'!$A$5:$A$1004,A231,'전기원장'!$H$5:$H$1004))</x:f>
      </x:c>
      <x:c r="D231" s="75" t="str">
        <x:f>IF(A231="","",SUMIF('당기원장'!$A$5:$A$1004,A231,'당기원장'!$H$5:$H$1004))</x:f>
      </x:c>
      <x:c r="E231" s="75" t="str">
        <x:f>IF(A231="","",D231-C231)</x:f>
      </x:c>
      <x:c r="F231" s="88" t="str">
        <x:f>IF(A231="","",IF(C231=0,IF(D231=0,0,1),ABS(E231)/ABS(C231)))</x:f>
      </x:c>
      <x:c r="G231" s="73" t="str">
        <x:f>IF(A231="","",IF(AND(C231=0,D231&lt;&gt;0),"신규",IF(AND(C231&lt;&gt;0,D231=0),"소멸",IF(E231=0,"변동없음","금액변동"))))</x:f>
      </x:c>
      <x:c r="H231" s="73" t="str">
        <x:f>IF(A231="","",IF(AND(ABS(E231)&gt;='기준설정'!$B$6,OR(G231="신규",G231="소멸",F231&gt;='기준설정'!$B$5)),"원인분석 대상","일반"))</x:f>
      </x:c>
      <x:c r="I231" s="73" t="str">
        <x:f>IF(A231="","",IF(H231="원인분석 대상","세부원인분석 시트에서 거래별 원인을 검토","-"))</x:f>
      </x:c>
      <x:c r="J231" s="73" t="str">
        <x:f>IF(A231="","",COUNTIFS('전기원장'!$A$5:$A$1004,A231,'전기원장'!$J$5:$J$1004,"확인 필요")+COUNTIFS('당기원장'!$A$5:$A$1004,A231,'당기원장'!$J$5:$J$1004,"확인 필요"))</x:f>
      </x:c>
      <x:c r="K231" s="85" t="str">
        <x:f>IF(A231="","",IF(H231&lt;&gt;"원인분석 대상","",IF(J231&gt;0,"붙임 문서 확인 후 원인 확정 필요","결의서명 기반 원인분류 검토")))</x:f>
      </x:c>
    </x:row>
    <x:row r="232">
      <x:c r="A232" s="73" t="str">
        <x:f>IFERROR(INDEX('계산도우미'!$B$5:$B$2004,MATCH(ROWS($A$5:A232),'계산도우미'!$K$5:$K$2004,0)),"")</x:f>
      </x:c>
      <x:c r="B232" s="73" t="str">
        <x:f>IF(A232="","",IFERROR(INDEX('당기원장'!$B$5:$B$1004,MATCH(A232,'당기원장'!$A$5:$A$1004,0)),IFERROR(INDEX('전기원장'!$B$5:$B$1004,MATCH(A232,'전기원장'!$A$5:$A$1004,0)),"")))</x:f>
      </x:c>
      <x:c r="C232" s="75" t="str">
        <x:f>IF(A232="","",SUMIF('전기원장'!$A$5:$A$1004,A232,'전기원장'!$H$5:$H$1004))</x:f>
      </x:c>
      <x:c r="D232" s="75" t="str">
        <x:f>IF(A232="","",SUMIF('당기원장'!$A$5:$A$1004,A232,'당기원장'!$H$5:$H$1004))</x:f>
      </x:c>
      <x:c r="E232" s="75" t="str">
        <x:f>IF(A232="","",D232-C232)</x:f>
      </x:c>
      <x:c r="F232" s="88" t="str">
        <x:f>IF(A232="","",IF(C232=0,IF(D232=0,0,1),ABS(E232)/ABS(C232)))</x:f>
      </x:c>
      <x:c r="G232" s="73" t="str">
        <x:f>IF(A232="","",IF(AND(C232=0,D232&lt;&gt;0),"신규",IF(AND(C232&lt;&gt;0,D232=0),"소멸",IF(E232=0,"변동없음","금액변동"))))</x:f>
      </x:c>
      <x:c r="H232" s="73" t="str">
        <x:f>IF(A232="","",IF(AND(ABS(E232)&gt;='기준설정'!$B$6,OR(G232="신규",G232="소멸",F232&gt;='기준설정'!$B$5)),"원인분석 대상","일반"))</x:f>
      </x:c>
      <x:c r="I232" s="73" t="str">
        <x:f>IF(A232="","",IF(H232="원인분석 대상","세부원인분석 시트에서 거래별 원인을 검토","-"))</x:f>
      </x:c>
      <x:c r="J232" s="73" t="str">
        <x:f>IF(A232="","",COUNTIFS('전기원장'!$A$5:$A$1004,A232,'전기원장'!$J$5:$J$1004,"확인 필요")+COUNTIFS('당기원장'!$A$5:$A$1004,A232,'당기원장'!$J$5:$J$1004,"확인 필요"))</x:f>
      </x:c>
      <x:c r="K232" s="85" t="str">
        <x:f>IF(A232="","",IF(H232&lt;&gt;"원인분석 대상","",IF(J232&gt;0,"붙임 문서 확인 후 원인 확정 필요","결의서명 기반 원인분류 검토")))</x:f>
      </x:c>
    </x:row>
    <x:row r="233">
      <x:c r="A233" s="73" t="str">
        <x:f>IFERROR(INDEX('계산도우미'!$B$5:$B$2004,MATCH(ROWS($A$5:A233),'계산도우미'!$K$5:$K$2004,0)),"")</x:f>
      </x:c>
      <x:c r="B233" s="73" t="str">
        <x:f>IF(A233="","",IFERROR(INDEX('당기원장'!$B$5:$B$1004,MATCH(A233,'당기원장'!$A$5:$A$1004,0)),IFERROR(INDEX('전기원장'!$B$5:$B$1004,MATCH(A233,'전기원장'!$A$5:$A$1004,0)),"")))</x:f>
      </x:c>
      <x:c r="C233" s="75" t="str">
        <x:f>IF(A233="","",SUMIF('전기원장'!$A$5:$A$1004,A233,'전기원장'!$H$5:$H$1004))</x:f>
      </x:c>
      <x:c r="D233" s="75" t="str">
        <x:f>IF(A233="","",SUMIF('당기원장'!$A$5:$A$1004,A233,'당기원장'!$H$5:$H$1004))</x:f>
      </x:c>
      <x:c r="E233" s="75" t="str">
        <x:f>IF(A233="","",D233-C233)</x:f>
      </x:c>
      <x:c r="F233" s="88" t="str">
        <x:f>IF(A233="","",IF(C233=0,IF(D233=0,0,1),ABS(E233)/ABS(C233)))</x:f>
      </x:c>
      <x:c r="G233" s="73" t="str">
        <x:f>IF(A233="","",IF(AND(C233=0,D233&lt;&gt;0),"신규",IF(AND(C233&lt;&gt;0,D233=0),"소멸",IF(E233=0,"변동없음","금액변동"))))</x:f>
      </x:c>
      <x:c r="H233" s="73" t="str">
        <x:f>IF(A233="","",IF(AND(ABS(E233)&gt;='기준설정'!$B$6,OR(G233="신규",G233="소멸",F233&gt;='기준설정'!$B$5)),"원인분석 대상","일반"))</x:f>
      </x:c>
      <x:c r="I233" s="73" t="str">
        <x:f>IF(A233="","",IF(H233="원인분석 대상","세부원인분석 시트에서 거래별 원인을 검토","-"))</x:f>
      </x:c>
      <x:c r="J233" s="73" t="str">
        <x:f>IF(A233="","",COUNTIFS('전기원장'!$A$5:$A$1004,A233,'전기원장'!$J$5:$J$1004,"확인 필요")+COUNTIFS('당기원장'!$A$5:$A$1004,A233,'당기원장'!$J$5:$J$1004,"확인 필요"))</x:f>
      </x:c>
      <x:c r="K233" s="85" t="str">
        <x:f>IF(A233="","",IF(H233&lt;&gt;"원인분석 대상","",IF(J233&gt;0,"붙임 문서 확인 후 원인 확정 필요","결의서명 기반 원인분류 검토")))</x:f>
      </x:c>
    </x:row>
    <x:row r="234">
      <x:c r="A234" s="73" t="str">
        <x:f>IFERROR(INDEX('계산도우미'!$B$5:$B$2004,MATCH(ROWS($A$5:A234),'계산도우미'!$K$5:$K$2004,0)),"")</x:f>
      </x:c>
      <x:c r="B234" s="73" t="str">
        <x:f>IF(A234="","",IFERROR(INDEX('당기원장'!$B$5:$B$1004,MATCH(A234,'당기원장'!$A$5:$A$1004,0)),IFERROR(INDEX('전기원장'!$B$5:$B$1004,MATCH(A234,'전기원장'!$A$5:$A$1004,0)),"")))</x:f>
      </x:c>
      <x:c r="C234" s="75" t="str">
        <x:f>IF(A234="","",SUMIF('전기원장'!$A$5:$A$1004,A234,'전기원장'!$H$5:$H$1004))</x:f>
      </x:c>
      <x:c r="D234" s="75" t="str">
        <x:f>IF(A234="","",SUMIF('당기원장'!$A$5:$A$1004,A234,'당기원장'!$H$5:$H$1004))</x:f>
      </x:c>
      <x:c r="E234" s="75" t="str">
        <x:f>IF(A234="","",D234-C234)</x:f>
      </x:c>
      <x:c r="F234" s="88" t="str">
        <x:f>IF(A234="","",IF(C234=0,IF(D234=0,0,1),ABS(E234)/ABS(C234)))</x:f>
      </x:c>
      <x:c r="G234" s="73" t="str">
        <x:f>IF(A234="","",IF(AND(C234=0,D234&lt;&gt;0),"신규",IF(AND(C234&lt;&gt;0,D234=0),"소멸",IF(E234=0,"변동없음","금액변동"))))</x:f>
      </x:c>
      <x:c r="H234" s="73" t="str">
        <x:f>IF(A234="","",IF(AND(ABS(E234)&gt;='기준설정'!$B$6,OR(G234="신규",G234="소멸",F234&gt;='기준설정'!$B$5)),"원인분석 대상","일반"))</x:f>
      </x:c>
      <x:c r="I234" s="73" t="str">
        <x:f>IF(A234="","",IF(H234="원인분석 대상","세부원인분석 시트에서 거래별 원인을 검토","-"))</x:f>
      </x:c>
      <x:c r="J234" s="73" t="str">
        <x:f>IF(A234="","",COUNTIFS('전기원장'!$A$5:$A$1004,A234,'전기원장'!$J$5:$J$1004,"확인 필요")+COUNTIFS('당기원장'!$A$5:$A$1004,A234,'당기원장'!$J$5:$J$1004,"확인 필요"))</x:f>
      </x:c>
      <x:c r="K234" s="85" t="str">
        <x:f>IF(A234="","",IF(H234&lt;&gt;"원인분석 대상","",IF(J234&gt;0,"붙임 문서 확인 후 원인 확정 필요","결의서명 기반 원인분류 검토")))</x:f>
      </x:c>
    </x:row>
    <x:row r="235">
      <x:c r="A235" s="73" t="str">
        <x:f>IFERROR(INDEX('계산도우미'!$B$5:$B$2004,MATCH(ROWS($A$5:A235),'계산도우미'!$K$5:$K$2004,0)),"")</x:f>
      </x:c>
      <x:c r="B235" s="73" t="str">
        <x:f>IF(A235="","",IFERROR(INDEX('당기원장'!$B$5:$B$1004,MATCH(A235,'당기원장'!$A$5:$A$1004,0)),IFERROR(INDEX('전기원장'!$B$5:$B$1004,MATCH(A235,'전기원장'!$A$5:$A$1004,0)),"")))</x:f>
      </x:c>
      <x:c r="C235" s="75" t="str">
        <x:f>IF(A235="","",SUMIF('전기원장'!$A$5:$A$1004,A235,'전기원장'!$H$5:$H$1004))</x:f>
      </x:c>
      <x:c r="D235" s="75" t="str">
        <x:f>IF(A235="","",SUMIF('당기원장'!$A$5:$A$1004,A235,'당기원장'!$H$5:$H$1004))</x:f>
      </x:c>
      <x:c r="E235" s="75" t="str">
        <x:f>IF(A235="","",D235-C235)</x:f>
      </x:c>
      <x:c r="F235" s="88" t="str">
        <x:f>IF(A235="","",IF(C235=0,IF(D235=0,0,1),ABS(E235)/ABS(C235)))</x:f>
      </x:c>
      <x:c r="G235" s="73" t="str">
        <x:f>IF(A235="","",IF(AND(C235=0,D235&lt;&gt;0),"신규",IF(AND(C235&lt;&gt;0,D235=0),"소멸",IF(E235=0,"변동없음","금액변동"))))</x:f>
      </x:c>
      <x:c r="H235" s="73" t="str">
        <x:f>IF(A235="","",IF(AND(ABS(E235)&gt;='기준설정'!$B$6,OR(G235="신규",G235="소멸",F235&gt;='기준설정'!$B$5)),"원인분석 대상","일반"))</x:f>
      </x:c>
      <x:c r="I235" s="73" t="str">
        <x:f>IF(A235="","",IF(H235="원인분석 대상","세부원인분석 시트에서 거래별 원인을 검토","-"))</x:f>
      </x:c>
      <x:c r="J235" s="73" t="str">
        <x:f>IF(A235="","",COUNTIFS('전기원장'!$A$5:$A$1004,A235,'전기원장'!$J$5:$J$1004,"확인 필요")+COUNTIFS('당기원장'!$A$5:$A$1004,A235,'당기원장'!$J$5:$J$1004,"확인 필요"))</x:f>
      </x:c>
      <x:c r="K235" s="85" t="str">
        <x:f>IF(A235="","",IF(H235&lt;&gt;"원인분석 대상","",IF(J235&gt;0,"붙임 문서 확인 후 원인 확정 필요","결의서명 기반 원인분류 검토")))</x:f>
      </x:c>
    </x:row>
    <x:row r="236">
      <x:c r="A236" s="73" t="str">
        <x:f>IFERROR(INDEX('계산도우미'!$B$5:$B$2004,MATCH(ROWS($A$5:A236),'계산도우미'!$K$5:$K$2004,0)),"")</x:f>
      </x:c>
      <x:c r="B236" s="73" t="str">
        <x:f>IF(A236="","",IFERROR(INDEX('당기원장'!$B$5:$B$1004,MATCH(A236,'당기원장'!$A$5:$A$1004,0)),IFERROR(INDEX('전기원장'!$B$5:$B$1004,MATCH(A236,'전기원장'!$A$5:$A$1004,0)),"")))</x:f>
      </x:c>
      <x:c r="C236" s="75" t="str">
        <x:f>IF(A236="","",SUMIF('전기원장'!$A$5:$A$1004,A236,'전기원장'!$H$5:$H$1004))</x:f>
      </x:c>
      <x:c r="D236" s="75" t="str">
        <x:f>IF(A236="","",SUMIF('당기원장'!$A$5:$A$1004,A236,'당기원장'!$H$5:$H$1004))</x:f>
      </x:c>
      <x:c r="E236" s="75" t="str">
        <x:f>IF(A236="","",D236-C236)</x:f>
      </x:c>
      <x:c r="F236" s="88" t="str">
        <x:f>IF(A236="","",IF(C236=0,IF(D236=0,0,1),ABS(E236)/ABS(C236)))</x:f>
      </x:c>
      <x:c r="G236" s="73" t="str">
        <x:f>IF(A236="","",IF(AND(C236=0,D236&lt;&gt;0),"신규",IF(AND(C236&lt;&gt;0,D236=0),"소멸",IF(E236=0,"변동없음","금액변동"))))</x:f>
      </x:c>
      <x:c r="H236" s="73" t="str">
        <x:f>IF(A236="","",IF(AND(ABS(E236)&gt;='기준설정'!$B$6,OR(G236="신규",G236="소멸",F236&gt;='기준설정'!$B$5)),"원인분석 대상","일반"))</x:f>
      </x:c>
      <x:c r="I236" s="73" t="str">
        <x:f>IF(A236="","",IF(H236="원인분석 대상","세부원인분석 시트에서 거래별 원인을 검토","-"))</x:f>
      </x:c>
      <x:c r="J236" s="73" t="str">
        <x:f>IF(A236="","",COUNTIFS('전기원장'!$A$5:$A$1004,A236,'전기원장'!$J$5:$J$1004,"확인 필요")+COUNTIFS('당기원장'!$A$5:$A$1004,A236,'당기원장'!$J$5:$J$1004,"확인 필요"))</x:f>
      </x:c>
      <x:c r="K236" s="85" t="str">
        <x:f>IF(A236="","",IF(H236&lt;&gt;"원인분석 대상","",IF(J236&gt;0,"붙임 문서 확인 후 원인 확정 필요","결의서명 기반 원인분류 검토")))</x:f>
      </x:c>
    </x:row>
    <x:row r="237">
      <x:c r="A237" s="73" t="str">
        <x:f>IFERROR(INDEX('계산도우미'!$B$5:$B$2004,MATCH(ROWS($A$5:A237),'계산도우미'!$K$5:$K$2004,0)),"")</x:f>
      </x:c>
      <x:c r="B237" s="73" t="str">
        <x:f>IF(A237="","",IFERROR(INDEX('당기원장'!$B$5:$B$1004,MATCH(A237,'당기원장'!$A$5:$A$1004,0)),IFERROR(INDEX('전기원장'!$B$5:$B$1004,MATCH(A237,'전기원장'!$A$5:$A$1004,0)),"")))</x:f>
      </x:c>
      <x:c r="C237" s="75" t="str">
        <x:f>IF(A237="","",SUMIF('전기원장'!$A$5:$A$1004,A237,'전기원장'!$H$5:$H$1004))</x:f>
      </x:c>
      <x:c r="D237" s="75" t="str">
        <x:f>IF(A237="","",SUMIF('당기원장'!$A$5:$A$1004,A237,'당기원장'!$H$5:$H$1004))</x:f>
      </x:c>
      <x:c r="E237" s="75" t="str">
        <x:f>IF(A237="","",D237-C237)</x:f>
      </x:c>
      <x:c r="F237" s="88" t="str">
        <x:f>IF(A237="","",IF(C237=0,IF(D237=0,0,1),ABS(E237)/ABS(C237)))</x:f>
      </x:c>
      <x:c r="G237" s="73" t="str">
        <x:f>IF(A237="","",IF(AND(C237=0,D237&lt;&gt;0),"신규",IF(AND(C237&lt;&gt;0,D237=0),"소멸",IF(E237=0,"변동없음","금액변동"))))</x:f>
      </x:c>
      <x:c r="H237" s="73" t="str">
        <x:f>IF(A237="","",IF(AND(ABS(E237)&gt;='기준설정'!$B$6,OR(G237="신규",G237="소멸",F237&gt;='기준설정'!$B$5)),"원인분석 대상","일반"))</x:f>
      </x:c>
      <x:c r="I237" s="73" t="str">
        <x:f>IF(A237="","",IF(H237="원인분석 대상","세부원인분석 시트에서 거래별 원인을 검토","-"))</x:f>
      </x:c>
      <x:c r="J237" s="73" t="str">
        <x:f>IF(A237="","",COUNTIFS('전기원장'!$A$5:$A$1004,A237,'전기원장'!$J$5:$J$1004,"확인 필요")+COUNTIFS('당기원장'!$A$5:$A$1004,A237,'당기원장'!$J$5:$J$1004,"확인 필요"))</x:f>
      </x:c>
      <x:c r="K237" s="85" t="str">
        <x:f>IF(A237="","",IF(H237&lt;&gt;"원인분석 대상","",IF(J237&gt;0,"붙임 문서 확인 후 원인 확정 필요","결의서명 기반 원인분류 검토")))</x:f>
      </x:c>
    </x:row>
    <x:row r="238">
      <x:c r="A238" s="73" t="str">
        <x:f>IFERROR(INDEX('계산도우미'!$B$5:$B$2004,MATCH(ROWS($A$5:A238),'계산도우미'!$K$5:$K$2004,0)),"")</x:f>
      </x:c>
      <x:c r="B238" s="73" t="str">
        <x:f>IF(A238="","",IFERROR(INDEX('당기원장'!$B$5:$B$1004,MATCH(A238,'당기원장'!$A$5:$A$1004,0)),IFERROR(INDEX('전기원장'!$B$5:$B$1004,MATCH(A238,'전기원장'!$A$5:$A$1004,0)),"")))</x:f>
      </x:c>
      <x:c r="C238" s="75" t="str">
        <x:f>IF(A238="","",SUMIF('전기원장'!$A$5:$A$1004,A238,'전기원장'!$H$5:$H$1004))</x:f>
      </x:c>
      <x:c r="D238" s="75" t="str">
        <x:f>IF(A238="","",SUMIF('당기원장'!$A$5:$A$1004,A238,'당기원장'!$H$5:$H$1004))</x:f>
      </x:c>
      <x:c r="E238" s="75" t="str">
        <x:f>IF(A238="","",D238-C238)</x:f>
      </x:c>
      <x:c r="F238" s="88" t="str">
        <x:f>IF(A238="","",IF(C238=0,IF(D238=0,0,1),ABS(E238)/ABS(C238)))</x:f>
      </x:c>
      <x:c r="G238" s="73" t="str">
        <x:f>IF(A238="","",IF(AND(C238=0,D238&lt;&gt;0),"신규",IF(AND(C238&lt;&gt;0,D238=0),"소멸",IF(E238=0,"변동없음","금액변동"))))</x:f>
      </x:c>
      <x:c r="H238" s="73" t="str">
        <x:f>IF(A238="","",IF(AND(ABS(E238)&gt;='기준설정'!$B$6,OR(G238="신규",G238="소멸",F238&gt;='기준설정'!$B$5)),"원인분석 대상","일반"))</x:f>
      </x:c>
      <x:c r="I238" s="73" t="str">
        <x:f>IF(A238="","",IF(H238="원인분석 대상","세부원인분석 시트에서 거래별 원인을 검토","-"))</x:f>
      </x:c>
      <x:c r="J238" s="73" t="str">
        <x:f>IF(A238="","",COUNTIFS('전기원장'!$A$5:$A$1004,A238,'전기원장'!$J$5:$J$1004,"확인 필요")+COUNTIFS('당기원장'!$A$5:$A$1004,A238,'당기원장'!$J$5:$J$1004,"확인 필요"))</x:f>
      </x:c>
      <x:c r="K238" s="85" t="str">
        <x:f>IF(A238="","",IF(H238&lt;&gt;"원인분석 대상","",IF(J238&gt;0,"붙임 문서 확인 후 원인 확정 필요","결의서명 기반 원인분류 검토")))</x:f>
      </x:c>
    </x:row>
    <x:row r="239">
      <x:c r="A239" s="73" t="str">
        <x:f>IFERROR(INDEX('계산도우미'!$B$5:$B$2004,MATCH(ROWS($A$5:A239),'계산도우미'!$K$5:$K$2004,0)),"")</x:f>
      </x:c>
      <x:c r="B239" s="73" t="str">
        <x:f>IF(A239="","",IFERROR(INDEX('당기원장'!$B$5:$B$1004,MATCH(A239,'당기원장'!$A$5:$A$1004,0)),IFERROR(INDEX('전기원장'!$B$5:$B$1004,MATCH(A239,'전기원장'!$A$5:$A$1004,0)),"")))</x:f>
      </x:c>
      <x:c r="C239" s="75" t="str">
        <x:f>IF(A239="","",SUMIF('전기원장'!$A$5:$A$1004,A239,'전기원장'!$H$5:$H$1004))</x:f>
      </x:c>
      <x:c r="D239" s="75" t="str">
        <x:f>IF(A239="","",SUMIF('당기원장'!$A$5:$A$1004,A239,'당기원장'!$H$5:$H$1004))</x:f>
      </x:c>
      <x:c r="E239" s="75" t="str">
        <x:f>IF(A239="","",D239-C239)</x:f>
      </x:c>
      <x:c r="F239" s="88" t="str">
        <x:f>IF(A239="","",IF(C239=0,IF(D239=0,0,1),ABS(E239)/ABS(C239)))</x:f>
      </x:c>
      <x:c r="G239" s="73" t="str">
        <x:f>IF(A239="","",IF(AND(C239=0,D239&lt;&gt;0),"신규",IF(AND(C239&lt;&gt;0,D239=0),"소멸",IF(E239=0,"변동없음","금액변동"))))</x:f>
      </x:c>
      <x:c r="H239" s="73" t="str">
        <x:f>IF(A239="","",IF(AND(ABS(E239)&gt;='기준설정'!$B$6,OR(G239="신규",G239="소멸",F239&gt;='기준설정'!$B$5)),"원인분석 대상","일반"))</x:f>
      </x:c>
      <x:c r="I239" s="73" t="str">
        <x:f>IF(A239="","",IF(H239="원인분석 대상","세부원인분석 시트에서 거래별 원인을 검토","-"))</x:f>
      </x:c>
      <x:c r="J239" s="73" t="str">
        <x:f>IF(A239="","",COUNTIFS('전기원장'!$A$5:$A$1004,A239,'전기원장'!$J$5:$J$1004,"확인 필요")+COUNTIFS('당기원장'!$A$5:$A$1004,A239,'당기원장'!$J$5:$J$1004,"확인 필요"))</x:f>
      </x:c>
      <x:c r="K239" s="85" t="str">
        <x:f>IF(A239="","",IF(H239&lt;&gt;"원인분석 대상","",IF(J239&gt;0,"붙임 문서 확인 후 원인 확정 필요","결의서명 기반 원인분류 검토")))</x:f>
      </x:c>
    </x:row>
    <x:row r="240">
      <x:c r="A240" s="73" t="str">
        <x:f>IFERROR(INDEX('계산도우미'!$B$5:$B$2004,MATCH(ROWS($A$5:A240),'계산도우미'!$K$5:$K$2004,0)),"")</x:f>
      </x:c>
      <x:c r="B240" s="73" t="str">
        <x:f>IF(A240="","",IFERROR(INDEX('당기원장'!$B$5:$B$1004,MATCH(A240,'당기원장'!$A$5:$A$1004,0)),IFERROR(INDEX('전기원장'!$B$5:$B$1004,MATCH(A240,'전기원장'!$A$5:$A$1004,0)),"")))</x:f>
      </x:c>
      <x:c r="C240" s="75" t="str">
        <x:f>IF(A240="","",SUMIF('전기원장'!$A$5:$A$1004,A240,'전기원장'!$H$5:$H$1004))</x:f>
      </x:c>
      <x:c r="D240" s="75" t="str">
        <x:f>IF(A240="","",SUMIF('당기원장'!$A$5:$A$1004,A240,'당기원장'!$H$5:$H$1004))</x:f>
      </x:c>
      <x:c r="E240" s="75" t="str">
        <x:f>IF(A240="","",D240-C240)</x:f>
      </x:c>
      <x:c r="F240" s="88" t="str">
        <x:f>IF(A240="","",IF(C240=0,IF(D240=0,0,1),ABS(E240)/ABS(C240)))</x:f>
      </x:c>
      <x:c r="G240" s="73" t="str">
        <x:f>IF(A240="","",IF(AND(C240=0,D240&lt;&gt;0),"신규",IF(AND(C240&lt;&gt;0,D240=0),"소멸",IF(E240=0,"변동없음","금액변동"))))</x:f>
      </x:c>
      <x:c r="H240" s="73" t="str">
        <x:f>IF(A240="","",IF(AND(ABS(E240)&gt;='기준설정'!$B$6,OR(G240="신규",G240="소멸",F240&gt;='기준설정'!$B$5)),"원인분석 대상","일반"))</x:f>
      </x:c>
      <x:c r="I240" s="73" t="str">
        <x:f>IF(A240="","",IF(H240="원인분석 대상","세부원인분석 시트에서 거래별 원인을 검토","-"))</x:f>
      </x:c>
      <x:c r="J240" s="73" t="str">
        <x:f>IF(A240="","",COUNTIFS('전기원장'!$A$5:$A$1004,A240,'전기원장'!$J$5:$J$1004,"확인 필요")+COUNTIFS('당기원장'!$A$5:$A$1004,A240,'당기원장'!$J$5:$J$1004,"확인 필요"))</x:f>
      </x:c>
      <x:c r="K240" s="85" t="str">
        <x:f>IF(A240="","",IF(H240&lt;&gt;"원인분석 대상","",IF(J240&gt;0,"붙임 문서 확인 후 원인 확정 필요","결의서명 기반 원인분류 검토")))</x:f>
      </x:c>
    </x:row>
    <x:row r="241">
      <x:c r="A241" s="73" t="str">
        <x:f>IFERROR(INDEX('계산도우미'!$B$5:$B$2004,MATCH(ROWS($A$5:A241),'계산도우미'!$K$5:$K$2004,0)),"")</x:f>
      </x:c>
      <x:c r="B241" s="73" t="str">
        <x:f>IF(A241="","",IFERROR(INDEX('당기원장'!$B$5:$B$1004,MATCH(A241,'당기원장'!$A$5:$A$1004,0)),IFERROR(INDEX('전기원장'!$B$5:$B$1004,MATCH(A241,'전기원장'!$A$5:$A$1004,0)),"")))</x:f>
      </x:c>
      <x:c r="C241" s="75" t="str">
        <x:f>IF(A241="","",SUMIF('전기원장'!$A$5:$A$1004,A241,'전기원장'!$H$5:$H$1004))</x:f>
      </x:c>
      <x:c r="D241" s="75" t="str">
        <x:f>IF(A241="","",SUMIF('당기원장'!$A$5:$A$1004,A241,'당기원장'!$H$5:$H$1004))</x:f>
      </x:c>
      <x:c r="E241" s="75" t="str">
        <x:f>IF(A241="","",D241-C241)</x:f>
      </x:c>
      <x:c r="F241" s="88" t="str">
        <x:f>IF(A241="","",IF(C241=0,IF(D241=0,0,1),ABS(E241)/ABS(C241)))</x:f>
      </x:c>
      <x:c r="G241" s="73" t="str">
        <x:f>IF(A241="","",IF(AND(C241=0,D241&lt;&gt;0),"신규",IF(AND(C241&lt;&gt;0,D241=0),"소멸",IF(E241=0,"변동없음","금액변동"))))</x:f>
      </x:c>
      <x:c r="H241" s="73" t="str">
        <x:f>IF(A241="","",IF(AND(ABS(E241)&gt;='기준설정'!$B$6,OR(G241="신규",G241="소멸",F241&gt;='기준설정'!$B$5)),"원인분석 대상","일반"))</x:f>
      </x:c>
      <x:c r="I241" s="73" t="str">
        <x:f>IF(A241="","",IF(H241="원인분석 대상","세부원인분석 시트에서 거래별 원인을 검토","-"))</x:f>
      </x:c>
      <x:c r="J241" s="73" t="str">
        <x:f>IF(A241="","",COUNTIFS('전기원장'!$A$5:$A$1004,A241,'전기원장'!$J$5:$J$1004,"확인 필요")+COUNTIFS('당기원장'!$A$5:$A$1004,A241,'당기원장'!$J$5:$J$1004,"확인 필요"))</x:f>
      </x:c>
      <x:c r="K241" s="85" t="str">
        <x:f>IF(A241="","",IF(H241&lt;&gt;"원인분석 대상","",IF(J241&gt;0,"붙임 문서 확인 후 원인 확정 필요","결의서명 기반 원인분류 검토")))</x:f>
      </x:c>
    </x:row>
    <x:row r="242">
      <x:c r="A242" s="73" t="str">
        <x:f>IFERROR(INDEX('계산도우미'!$B$5:$B$2004,MATCH(ROWS($A$5:A242),'계산도우미'!$K$5:$K$2004,0)),"")</x:f>
      </x:c>
      <x:c r="B242" s="73" t="str">
        <x:f>IF(A242="","",IFERROR(INDEX('당기원장'!$B$5:$B$1004,MATCH(A242,'당기원장'!$A$5:$A$1004,0)),IFERROR(INDEX('전기원장'!$B$5:$B$1004,MATCH(A242,'전기원장'!$A$5:$A$1004,0)),"")))</x:f>
      </x:c>
      <x:c r="C242" s="75" t="str">
        <x:f>IF(A242="","",SUMIF('전기원장'!$A$5:$A$1004,A242,'전기원장'!$H$5:$H$1004))</x:f>
      </x:c>
      <x:c r="D242" s="75" t="str">
        <x:f>IF(A242="","",SUMIF('당기원장'!$A$5:$A$1004,A242,'당기원장'!$H$5:$H$1004))</x:f>
      </x:c>
      <x:c r="E242" s="75" t="str">
        <x:f>IF(A242="","",D242-C242)</x:f>
      </x:c>
      <x:c r="F242" s="88" t="str">
        <x:f>IF(A242="","",IF(C242=0,IF(D242=0,0,1),ABS(E242)/ABS(C242)))</x:f>
      </x:c>
      <x:c r="G242" s="73" t="str">
        <x:f>IF(A242="","",IF(AND(C242=0,D242&lt;&gt;0),"신규",IF(AND(C242&lt;&gt;0,D242=0),"소멸",IF(E242=0,"변동없음","금액변동"))))</x:f>
      </x:c>
      <x:c r="H242" s="73" t="str">
        <x:f>IF(A242="","",IF(AND(ABS(E242)&gt;='기준설정'!$B$6,OR(G242="신규",G242="소멸",F242&gt;='기준설정'!$B$5)),"원인분석 대상","일반"))</x:f>
      </x:c>
      <x:c r="I242" s="73" t="str">
        <x:f>IF(A242="","",IF(H242="원인분석 대상","세부원인분석 시트에서 거래별 원인을 검토","-"))</x:f>
      </x:c>
      <x:c r="J242" s="73" t="str">
        <x:f>IF(A242="","",COUNTIFS('전기원장'!$A$5:$A$1004,A242,'전기원장'!$J$5:$J$1004,"확인 필요")+COUNTIFS('당기원장'!$A$5:$A$1004,A242,'당기원장'!$J$5:$J$1004,"확인 필요"))</x:f>
      </x:c>
      <x:c r="K242" s="85" t="str">
        <x:f>IF(A242="","",IF(H242&lt;&gt;"원인분석 대상","",IF(J242&gt;0,"붙임 문서 확인 후 원인 확정 필요","결의서명 기반 원인분류 검토")))</x:f>
      </x:c>
    </x:row>
    <x:row r="243">
      <x:c r="A243" s="73" t="str">
        <x:f>IFERROR(INDEX('계산도우미'!$B$5:$B$2004,MATCH(ROWS($A$5:A243),'계산도우미'!$K$5:$K$2004,0)),"")</x:f>
      </x:c>
      <x:c r="B243" s="73" t="str">
        <x:f>IF(A243="","",IFERROR(INDEX('당기원장'!$B$5:$B$1004,MATCH(A243,'당기원장'!$A$5:$A$1004,0)),IFERROR(INDEX('전기원장'!$B$5:$B$1004,MATCH(A243,'전기원장'!$A$5:$A$1004,0)),"")))</x:f>
      </x:c>
      <x:c r="C243" s="75" t="str">
        <x:f>IF(A243="","",SUMIF('전기원장'!$A$5:$A$1004,A243,'전기원장'!$H$5:$H$1004))</x:f>
      </x:c>
      <x:c r="D243" s="75" t="str">
        <x:f>IF(A243="","",SUMIF('당기원장'!$A$5:$A$1004,A243,'당기원장'!$H$5:$H$1004))</x:f>
      </x:c>
      <x:c r="E243" s="75" t="str">
        <x:f>IF(A243="","",D243-C243)</x:f>
      </x:c>
      <x:c r="F243" s="88" t="str">
        <x:f>IF(A243="","",IF(C243=0,IF(D243=0,0,1),ABS(E243)/ABS(C243)))</x:f>
      </x:c>
      <x:c r="G243" s="73" t="str">
        <x:f>IF(A243="","",IF(AND(C243=0,D243&lt;&gt;0),"신규",IF(AND(C243&lt;&gt;0,D243=0),"소멸",IF(E243=0,"변동없음","금액변동"))))</x:f>
      </x:c>
      <x:c r="H243" s="73" t="str">
        <x:f>IF(A243="","",IF(AND(ABS(E243)&gt;='기준설정'!$B$6,OR(G243="신규",G243="소멸",F243&gt;='기준설정'!$B$5)),"원인분석 대상","일반"))</x:f>
      </x:c>
      <x:c r="I243" s="73" t="str">
        <x:f>IF(A243="","",IF(H243="원인분석 대상","세부원인분석 시트에서 거래별 원인을 검토","-"))</x:f>
      </x:c>
      <x:c r="J243" s="73" t="str">
        <x:f>IF(A243="","",COUNTIFS('전기원장'!$A$5:$A$1004,A243,'전기원장'!$J$5:$J$1004,"확인 필요")+COUNTIFS('당기원장'!$A$5:$A$1004,A243,'당기원장'!$J$5:$J$1004,"확인 필요"))</x:f>
      </x:c>
      <x:c r="K243" s="85" t="str">
        <x:f>IF(A243="","",IF(H243&lt;&gt;"원인분석 대상","",IF(J243&gt;0,"붙임 문서 확인 후 원인 확정 필요","결의서명 기반 원인분류 검토")))</x:f>
      </x:c>
    </x:row>
    <x:row r="244">
      <x:c r="A244" s="73" t="str">
        <x:f>IFERROR(INDEX('계산도우미'!$B$5:$B$2004,MATCH(ROWS($A$5:A244),'계산도우미'!$K$5:$K$2004,0)),"")</x:f>
      </x:c>
      <x:c r="B244" s="73" t="str">
        <x:f>IF(A244="","",IFERROR(INDEX('당기원장'!$B$5:$B$1004,MATCH(A244,'당기원장'!$A$5:$A$1004,0)),IFERROR(INDEX('전기원장'!$B$5:$B$1004,MATCH(A244,'전기원장'!$A$5:$A$1004,0)),"")))</x:f>
      </x:c>
      <x:c r="C244" s="75" t="str">
        <x:f>IF(A244="","",SUMIF('전기원장'!$A$5:$A$1004,A244,'전기원장'!$H$5:$H$1004))</x:f>
      </x:c>
      <x:c r="D244" s="75" t="str">
        <x:f>IF(A244="","",SUMIF('당기원장'!$A$5:$A$1004,A244,'당기원장'!$H$5:$H$1004))</x:f>
      </x:c>
      <x:c r="E244" s="75" t="str">
        <x:f>IF(A244="","",D244-C244)</x:f>
      </x:c>
      <x:c r="F244" s="88" t="str">
        <x:f>IF(A244="","",IF(C244=0,IF(D244=0,0,1),ABS(E244)/ABS(C244)))</x:f>
      </x:c>
      <x:c r="G244" s="73" t="str">
        <x:f>IF(A244="","",IF(AND(C244=0,D244&lt;&gt;0),"신규",IF(AND(C244&lt;&gt;0,D244=0),"소멸",IF(E244=0,"변동없음","금액변동"))))</x:f>
      </x:c>
      <x:c r="H244" s="73" t="str">
        <x:f>IF(A244="","",IF(AND(ABS(E244)&gt;='기준설정'!$B$6,OR(G244="신규",G244="소멸",F244&gt;='기준설정'!$B$5)),"원인분석 대상","일반"))</x:f>
      </x:c>
      <x:c r="I244" s="73" t="str">
        <x:f>IF(A244="","",IF(H244="원인분석 대상","세부원인분석 시트에서 거래별 원인을 검토","-"))</x:f>
      </x:c>
      <x:c r="J244" s="73" t="str">
        <x:f>IF(A244="","",COUNTIFS('전기원장'!$A$5:$A$1004,A244,'전기원장'!$J$5:$J$1004,"확인 필요")+COUNTIFS('당기원장'!$A$5:$A$1004,A244,'당기원장'!$J$5:$J$1004,"확인 필요"))</x:f>
      </x:c>
      <x:c r="K244" s="85" t="str">
        <x:f>IF(A244="","",IF(H244&lt;&gt;"원인분석 대상","",IF(J244&gt;0,"붙임 문서 확인 후 원인 확정 필요","결의서명 기반 원인분류 검토")))</x:f>
      </x:c>
    </x:row>
    <x:row r="245">
      <x:c r="A245" s="73" t="str">
        <x:f>IFERROR(INDEX('계산도우미'!$B$5:$B$2004,MATCH(ROWS($A$5:A245),'계산도우미'!$K$5:$K$2004,0)),"")</x:f>
      </x:c>
      <x:c r="B245" s="73" t="str">
        <x:f>IF(A245="","",IFERROR(INDEX('당기원장'!$B$5:$B$1004,MATCH(A245,'당기원장'!$A$5:$A$1004,0)),IFERROR(INDEX('전기원장'!$B$5:$B$1004,MATCH(A245,'전기원장'!$A$5:$A$1004,0)),"")))</x:f>
      </x:c>
      <x:c r="C245" s="75" t="str">
        <x:f>IF(A245="","",SUMIF('전기원장'!$A$5:$A$1004,A245,'전기원장'!$H$5:$H$1004))</x:f>
      </x:c>
      <x:c r="D245" s="75" t="str">
        <x:f>IF(A245="","",SUMIF('당기원장'!$A$5:$A$1004,A245,'당기원장'!$H$5:$H$1004))</x:f>
      </x:c>
      <x:c r="E245" s="75" t="str">
        <x:f>IF(A245="","",D245-C245)</x:f>
      </x:c>
      <x:c r="F245" s="88" t="str">
        <x:f>IF(A245="","",IF(C245=0,IF(D245=0,0,1),ABS(E245)/ABS(C245)))</x:f>
      </x:c>
      <x:c r="G245" s="73" t="str">
        <x:f>IF(A245="","",IF(AND(C245=0,D245&lt;&gt;0),"신규",IF(AND(C245&lt;&gt;0,D245=0),"소멸",IF(E245=0,"변동없음","금액변동"))))</x:f>
      </x:c>
      <x:c r="H245" s="73" t="str">
        <x:f>IF(A245="","",IF(AND(ABS(E245)&gt;='기준설정'!$B$6,OR(G245="신규",G245="소멸",F245&gt;='기준설정'!$B$5)),"원인분석 대상","일반"))</x:f>
      </x:c>
      <x:c r="I245" s="73" t="str">
        <x:f>IF(A245="","",IF(H245="원인분석 대상","세부원인분석 시트에서 거래별 원인을 검토","-"))</x:f>
      </x:c>
      <x:c r="J245" s="73" t="str">
        <x:f>IF(A245="","",COUNTIFS('전기원장'!$A$5:$A$1004,A245,'전기원장'!$J$5:$J$1004,"확인 필요")+COUNTIFS('당기원장'!$A$5:$A$1004,A245,'당기원장'!$J$5:$J$1004,"확인 필요"))</x:f>
      </x:c>
      <x:c r="K245" s="85" t="str">
        <x:f>IF(A245="","",IF(H245&lt;&gt;"원인분석 대상","",IF(J245&gt;0,"붙임 문서 확인 후 원인 확정 필요","결의서명 기반 원인분류 검토")))</x:f>
      </x:c>
    </x:row>
    <x:row r="246">
      <x:c r="A246" s="73" t="str">
        <x:f>IFERROR(INDEX('계산도우미'!$B$5:$B$2004,MATCH(ROWS($A$5:A246),'계산도우미'!$K$5:$K$2004,0)),"")</x:f>
      </x:c>
      <x:c r="B246" s="73" t="str">
        <x:f>IF(A246="","",IFERROR(INDEX('당기원장'!$B$5:$B$1004,MATCH(A246,'당기원장'!$A$5:$A$1004,0)),IFERROR(INDEX('전기원장'!$B$5:$B$1004,MATCH(A246,'전기원장'!$A$5:$A$1004,0)),"")))</x:f>
      </x:c>
      <x:c r="C246" s="75" t="str">
        <x:f>IF(A246="","",SUMIF('전기원장'!$A$5:$A$1004,A246,'전기원장'!$H$5:$H$1004))</x:f>
      </x:c>
      <x:c r="D246" s="75" t="str">
        <x:f>IF(A246="","",SUMIF('당기원장'!$A$5:$A$1004,A246,'당기원장'!$H$5:$H$1004))</x:f>
      </x:c>
      <x:c r="E246" s="75" t="str">
        <x:f>IF(A246="","",D246-C246)</x:f>
      </x:c>
      <x:c r="F246" s="88" t="str">
        <x:f>IF(A246="","",IF(C246=0,IF(D246=0,0,1),ABS(E246)/ABS(C246)))</x:f>
      </x:c>
      <x:c r="G246" s="73" t="str">
        <x:f>IF(A246="","",IF(AND(C246=0,D246&lt;&gt;0),"신규",IF(AND(C246&lt;&gt;0,D246=0),"소멸",IF(E246=0,"변동없음","금액변동"))))</x:f>
      </x:c>
      <x:c r="H246" s="73" t="str">
        <x:f>IF(A246="","",IF(AND(ABS(E246)&gt;='기준설정'!$B$6,OR(G246="신규",G246="소멸",F246&gt;='기준설정'!$B$5)),"원인분석 대상","일반"))</x:f>
      </x:c>
      <x:c r="I246" s="73" t="str">
        <x:f>IF(A246="","",IF(H246="원인분석 대상","세부원인분석 시트에서 거래별 원인을 검토","-"))</x:f>
      </x:c>
      <x:c r="J246" s="73" t="str">
        <x:f>IF(A246="","",COUNTIFS('전기원장'!$A$5:$A$1004,A246,'전기원장'!$J$5:$J$1004,"확인 필요")+COUNTIFS('당기원장'!$A$5:$A$1004,A246,'당기원장'!$J$5:$J$1004,"확인 필요"))</x:f>
      </x:c>
      <x:c r="K246" s="85" t="str">
        <x:f>IF(A246="","",IF(H246&lt;&gt;"원인분석 대상","",IF(J246&gt;0,"붙임 문서 확인 후 원인 확정 필요","결의서명 기반 원인분류 검토")))</x:f>
      </x:c>
    </x:row>
    <x:row r="247">
      <x:c r="A247" s="73" t="str">
        <x:f>IFERROR(INDEX('계산도우미'!$B$5:$B$2004,MATCH(ROWS($A$5:A247),'계산도우미'!$K$5:$K$2004,0)),"")</x:f>
      </x:c>
      <x:c r="B247" s="73" t="str">
        <x:f>IF(A247="","",IFERROR(INDEX('당기원장'!$B$5:$B$1004,MATCH(A247,'당기원장'!$A$5:$A$1004,0)),IFERROR(INDEX('전기원장'!$B$5:$B$1004,MATCH(A247,'전기원장'!$A$5:$A$1004,0)),"")))</x:f>
      </x:c>
      <x:c r="C247" s="75" t="str">
        <x:f>IF(A247="","",SUMIF('전기원장'!$A$5:$A$1004,A247,'전기원장'!$H$5:$H$1004))</x:f>
      </x:c>
      <x:c r="D247" s="75" t="str">
        <x:f>IF(A247="","",SUMIF('당기원장'!$A$5:$A$1004,A247,'당기원장'!$H$5:$H$1004))</x:f>
      </x:c>
      <x:c r="E247" s="75" t="str">
        <x:f>IF(A247="","",D247-C247)</x:f>
      </x:c>
      <x:c r="F247" s="88" t="str">
        <x:f>IF(A247="","",IF(C247=0,IF(D247=0,0,1),ABS(E247)/ABS(C247)))</x:f>
      </x:c>
      <x:c r="G247" s="73" t="str">
        <x:f>IF(A247="","",IF(AND(C247=0,D247&lt;&gt;0),"신규",IF(AND(C247&lt;&gt;0,D247=0),"소멸",IF(E247=0,"변동없음","금액변동"))))</x:f>
      </x:c>
      <x:c r="H247" s="73" t="str">
        <x:f>IF(A247="","",IF(AND(ABS(E247)&gt;='기준설정'!$B$6,OR(G247="신규",G247="소멸",F247&gt;='기준설정'!$B$5)),"원인분석 대상","일반"))</x:f>
      </x:c>
      <x:c r="I247" s="73" t="str">
        <x:f>IF(A247="","",IF(H247="원인분석 대상","세부원인분석 시트에서 거래별 원인을 검토","-"))</x:f>
      </x:c>
      <x:c r="J247" s="73" t="str">
        <x:f>IF(A247="","",COUNTIFS('전기원장'!$A$5:$A$1004,A247,'전기원장'!$J$5:$J$1004,"확인 필요")+COUNTIFS('당기원장'!$A$5:$A$1004,A247,'당기원장'!$J$5:$J$1004,"확인 필요"))</x:f>
      </x:c>
      <x:c r="K247" s="85" t="str">
        <x:f>IF(A247="","",IF(H247&lt;&gt;"원인분석 대상","",IF(J247&gt;0,"붙임 문서 확인 후 원인 확정 필요","결의서명 기반 원인분류 검토")))</x:f>
      </x:c>
    </x:row>
    <x:row r="248">
      <x:c r="A248" s="73" t="str">
        <x:f>IFERROR(INDEX('계산도우미'!$B$5:$B$2004,MATCH(ROWS($A$5:A248),'계산도우미'!$K$5:$K$2004,0)),"")</x:f>
      </x:c>
      <x:c r="B248" s="73" t="str">
        <x:f>IF(A248="","",IFERROR(INDEX('당기원장'!$B$5:$B$1004,MATCH(A248,'당기원장'!$A$5:$A$1004,0)),IFERROR(INDEX('전기원장'!$B$5:$B$1004,MATCH(A248,'전기원장'!$A$5:$A$1004,0)),"")))</x:f>
      </x:c>
      <x:c r="C248" s="75" t="str">
        <x:f>IF(A248="","",SUMIF('전기원장'!$A$5:$A$1004,A248,'전기원장'!$H$5:$H$1004))</x:f>
      </x:c>
      <x:c r="D248" s="75" t="str">
        <x:f>IF(A248="","",SUMIF('당기원장'!$A$5:$A$1004,A248,'당기원장'!$H$5:$H$1004))</x:f>
      </x:c>
      <x:c r="E248" s="75" t="str">
        <x:f>IF(A248="","",D248-C248)</x:f>
      </x:c>
      <x:c r="F248" s="88" t="str">
        <x:f>IF(A248="","",IF(C248=0,IF(D248=0,0,1),ABS(E248)/ABS(C248)))</x:f>
      </x:c>
      <x:c r="G248" s="73" t="str">
        <x:f>IF(A248="","",IF(AND(C248=0,D248&lt;&gt;0),"신규",IF(AND(C248&lt;&gt;0,D248=0),"소멸",IF(E248=0,"변동없음","금액변동"))))</x:f>
      </x:c>
      <x:c r="H248" s="73" t="str">
        <x:f>IF(A248="","",IF(AND(ABS(E248)&gt;='기준설정'!$B$6,OR(G248="신규",G248="소멸",F248&gt;='기준설정'!$B$5)),"원인분석 대상","일반"))</x:f>
      </x:c>
      <x:c r="I248" s="73" t="str">
        <x:f>IF(A248="","",IF(H248="원인분석 대상","세부원인분석 시트에서 거래별 원인을 검토","-"))</x:f>
      </x:c>
      <x:c r="J248" s="73" t="str">
        <x:f>IF(A248="","",COUNTIFS('전기원장'!$A$5:$A$1004,A248,'전기원장'!$J$5:$J$1004,"확인 필요")+COUNTIFS('당기원장'!$A$5:$A$1004,A248,'당기원장'!$J$5:$J$1004,"확인 필요"))</x:f>
      </x:c>
      <x:c r="K248" s="85" t="str">
        <x:f>IF(A248="","",IF(H248&lt;&gt;"원인분석 대상","",IF(J248&gt;0,"붙임 문서 확인 후 원인 확정 필요","결의서명 기반 원인분류 검토")))</x:f>
      </x:c>
    </x:row>
    <x:row r="249">
      <x:c r="A249" s="73" t="str">
        <x:f>IFERROR(INDEX('계산도우미'!$B$5:$B$2004,MATCH(ROWS($A$5:A249),'계산도우미'!$K$5:$K$2004,0)),"")</x:f>
      </x:c>
      <x:c r="B249" s="73" t="str">
        <x:f>IF(A249="","",IFERROR(INDEX('당기원장'!$B$5:$B$1004,MATCH(A249,'당기원장'!$A$5:$A$1004,0)),IFERROR(INDEX('전기원장'!$B$5:$B$1004,MATCH(A249,'전기원장'!$A$5:$A$1004,0)),"")))</x:f>
      </x:c>
      <x:c r="C249" s="75" t="str">
        <x:f>IF(A249="","",SUMIF('전기원장'!$A$5:$A$1004,A249,'전기원장'!$H$5:$H$1004))</x:f>
      </x:c>
      <x:c r="D249" s="75" t="str">
        <x:f>IF(A249="","",SUMIF('당기원장'!$A$5:$A$1004,A249,'당기원장'!$H$5:$H$1004))</x:f>
      </x:c>
      <x:c r="E249" s="75" t="str">
        <x:f>IF(A249="","",D249-C249)</x:f>
      </x:c>
      <x:c r="F249" s="88" t="str">
        <x:f>IF(A249="","",IF(C249=0,IF(D249=0,0,1),ABS(E249)/ABS(C249)))</x:f>
      </x:c>
      <x:c r="G249" s="73" t="str">
        <x:f>IF(A249="","",IF(AND(C249=0,D249&lt;&gt;0),"신규",IF(AND(C249&lt;&gt;0,D249=0),"소멸",IF(E249=0,"변동없음","금액변동"))))</x:f>
      </x:c>
      <x:c r="H249" s="73" t="str">
        <x:f>IF(A249="","",IF(AND(ABS(E249)&gt;='기준설정'!$B$6,OR(G249="신규",G249="소멸",F249&gt;='기준설정'!$B$5)),"원인분석 대상","일반"))</x:f>
      </x:c>
      <x:c r="I249" s="73" t="str">
        <x:f>IF(A249="","",IF(H249="원인분석 대상","세부원인분석 시트에서 거래별 원인을 검토","-"))</x:f>
      </x:c>
      <x:c r="J249" s="73" t="str">
        <x:f>IF(A249="","",COUNTIFS('전기원장'!$A$5:$A$1004,A249,'전기원장'!$J$5:$J$1004,"확인 필요")+COUNTIFS('당기원장'!$A$5:$A$1004,A249,'당기원장'!$J$5:$J$1004,"확인 필요"))</x:f>
      </x:c>
      <x:c r="K249" s="85" t="str">
        <x:f>IF(A249="","",IF(H249&lt;&gt;"원인분석 대상","",IF(J249&gt;0,"붙임 문서 확인 후 원인 확정 필요","결의서명 기반 원인분류 검토")))</x:f>
      </x:c>
    </x:row>
    <x:row r="250">
      <x:c r="A250" s="73" t="str">
        <x:f>IFERROR(INDEX('계산도우미'!$B$5:$B$2004,MATCH(ROWS($A$5:A250),'계산도우미'!$K$5:$K$2004,0)),"")</x:f>
      </x:c>
      <x:c r="B250" s="73" t="str">
        <x:f>IF(A250="","",IFERROR(INDEX('당기원장'!$B$5:$B$1004,MATCH(A250,'당기원장'!$A$5:$A$1004,0)),IFERROR(INDEX('전기원장'!$B$5:$B$1004,MATCH(A250,'전기원장'!$A$5:$A$1004,0)),"")))</x:f>
      </x:c>
      <x:c r="C250" s="75" t="str">
        <x:f>IF(A250="","",SUMIF('전기원장'!$A$5:$A$1004,A250,'전기원장'!$H$5:$H$1004))</x:f>
      </x:c>
      <x:c r="D250" s="75" t="str">
        <x:f>IF(A250="","",SUMIF('당기원장'!$A$5:$A$1004,A250,'당기원장'!$H$5:$H$1004))</x:f>
      </x:c>
      <x:c r="E250" s="75" t="str">
        <x:f>IF(A250="","",D250-C250)</x:f>
      </x:c>
      <x:c r="F250" s="88" t="str">
        <x:f>IF(A250="","",IF(C250=0,IF(D250=0,0,1),ABS(E250)/ABS(C250)))</x:f>
      </x:c>
      <x:c r="G250" s="73" t="str">
        <x:f>IF(A250="","",IF(AND(C250=0,D250&lt;&gt;0),"신규",IF(AND(C250&lt;&gt;0,D250=0),"소멸",IF(E250=0,"변동없음","금액변동"))))</x:f>
      </x:c>
      <x:c r="H250" s="73" t="str">
        <x:f>IF(A250="","",IF(AND(ABS(E250)&gt;='기준설정'!$B$6,OR(G250="신규",G250="소멸",F250&gt;='기준설정'!$B$5)),"원인분석 대상","일반"))</x:f>
      </x:c>
      <x:c r="I250" s="73" t="str">
        <x:f>IF(A250="","",IF(H250="원인분석 대상","세부원인분석 시트에서 거래별 원인을 검토","-"))</x:f>
      </x:c>
      <x:c r="J250" s="73" t="str">
        <x:f>IF(A250="","",COUNTIFS('전기원장'!$A$5:$A$1004,A250,'전기원장'!$J$5:$J$1004,"확인 필요")+COUNTIFS('당기원장'!$A$5:$A$1004,A250,'당기원장'!$J$5:$J$1004,"확인 필요"))</x:f>
      </x:c>
      <x:c r="K250" s="85" t="str">
        <x:f>IF(A250="","",IF(H250&lt;&gt;"원인분석 대상","",IF(J250&gt;0,"붙임 문서 확인 후 원인 확정 필요","결의서명 기반 원인분류 검토")))</x:f>
      </x:c>
    </x:row>
    <x:row r="251">
      <x:c r="A251" s="73" t="str">
        <x:f>IFERROR(INDEX('계산도우미'!$B$5:$B$2004,MATCH(ROWS($A$5:A251),'계산도우미'!$K$5:$K$2004,0)),"")</x:f>
      </x:c>
      <x:c r="B251" s="73" t="str">
        <x:f>IF(A251="","",IFERROR(INDEX('당기원장'!$B$5:$B$1004,MATCH(A251,'당기원장'!$A$5:$A$1004,0)),IFERROR(INDEX('전기원장'!$B$5:$B$1004,MATCH(A251,'전기원장'!$A$5:$A$1004,0)),"")))</x:f>
      </x:c>
      <x:c r="C251" s="75" t="str">
        <x:f>IF(A251="","",SUMIF('전기원장'!$A$5:$A$1004,A251,'전기원장'!$H$5:$H$1004))</x:f>
      </x:c>
      <x:c r="D251" s="75" t="str">
        <x:f>IF(A251="","",SUMIF('당기원장'!$A$5:$A$1004,A251,'당기원장'!$H$5:$H$1004))</x:f>
      </x:c>
      <x:c r="E251" s="75" t="str">
        <x:f>IF(A251="","",D251-C251)</x:f>
      </x:c>
      <x:c r="F251" s="88" t="str">
        <x:f>IF(A251="","",IF(C251=0,IF(D251=0,0,1),ABS(E251)/ABS(C251)))</x:f>
      </x:c>
      <x:c r="G251" s="73" t="str">
        <x:f>IF(A251="","",IF(AND(C251=0,D251&lt;&gt;0),"신규",IF(AND(C251&lt;&gt;0,D251=0),"소멸",IF(E251=0,"변동없음","금액변동"))))</x:f>
      </x:c>
      <x:c r="H251" s="73" t="str">
        <x:f>IF(A251="","",IF(AND(ABS(E251)&gt;='기준설정'!$B$6,OR(G251="신규",G251="소멸",F251&gt;='기준설정'!$B$5)),"원인분석 대상","일반"))</x:f>
      </x:c>
      <x:c r="I251" s="73" t="str">
        <x:f>IF(A251="","",IF(H251="원인분석 대상","세부원인분석 시트에서 거래별 원인을 검토","-"))</x:f>
      </x:c>
      <x:c r="J251" s="73" t="str">
        <x:f>IF(A251="","",COUNTIFS('전기원장'!$A$5:$A$1004,A251,'전기원장'!$J$5:$J$1004,"확인 필요")+COUNTIFS('당기원장'!$A$5:$A$1004,A251,'당기원장'!$J$5:$J$1004,"확인 필요"))</x:f>
      </x:c>
      <x:c r="K251" s="85" t="str">
        <x:f>IF(A251="","",IF(H251&lt;&gt;"원인분석 대상","",IF(J251&gt;0,"붙임 문서 확인 후 원인 확정 필요","결의서명 기반 원인분류 검토")))</x:f>
      </x:c>
    </x:row>
    <x:row r="252">
      <x:c r="A252" s="73" t="str">
        <x:f>IFERROR(INDEX('계산도우미'!$B$5:$B$2004,MATCH(ROWS($A$5:A252),'계산도우미'!$K$5:$K$2004,0)),"")</x:f>
      </x:c>
      <x:c r="B252" s="73" t="str">
        <x:f>IF(A252="","",IFERROR(INDEX('당기원장'!$B$5:$B$1004,MATCH(A252,'당기원장'!$A$5:$A$1004,0)),IFERROR(INDEX('전기원장'!$B$5:$B$1004,MATCH(A252,'전기원장'!$A$5:$A$1004,0)),"")))</x:f>
      </x:c>
      <x:c r="C252" s="75" t="str">
        <x:f>IF(A252="","",SUMIF('전기원장'!$A$5:$A$1004,A252,'전기원장'!$H$5:$H$1004))</x:f>
      </x:c>
      <x:c r="D252" s="75" t="str">
        <x:f>IF(A252="","",SUMIF('당기원장'!$A$5:$A$1004,A252,'당기원장'!$H$5:$H$1004))</x:f>
      </x:c>
      <x:c r="E252" s="75" t="str">
        <x:f>IF(A252="","",D252-C252)</x:f>
      </x:c>
      <x:c r="F252" s="88" t="str">
        <x:f>IF(A252="","",IF(C252=0,IF(D252=0,0,1),ABS(E252)/ABS(C252)))</x:f>
      </x:c>
      <x:c r="G252" s="73" t="str">
        <x:f>IF(A252="","",IF(AND(C252=0,D252&lt;&gt;0),"신규",IF(AND(C252&lt;&gt;0,D252=0),"소멸",IF(E252=0,"변동없음","금액변동"))))</x:f>
      </x:c>
      <x:c r="H252" s="73" t="str">
        <x:f>IF(A252="","",IF(AND(ABS(E252)&gt;='기준설정'!$B$6,OR(G252="신규",G252="소멸",F252&gt;='기준설정'!$B$5)),"원인분석 대상","일반"))</x:f>
      </x:c>
      <x:c r="I252" s="73" t="str">
        <x:f>IF(A252="","",IF(H252="원인분석 대상","세부원인분석 시트에서 거래별 원인을 검토","-"))</x:f>
      </x:c>
      <x:c r="J252" s="73" t="str">
        <x:f>IF(A252="","",COUNTIFS('전기원장'!$A$5:$A$1004,A252,'전기원장'!$J$5:$J$1004,"확인 필요")+COUNTIFS('당기원장'!$A$5:$A$1004,A252,'당기원장'!$J$5:$J$1004,"확인 필요"))</x:f>
      </x:c>
      <x:c r="K252" s="85" t="str">
        <x:f>IF(A252="","",IF(H252&lt;&gt;"원인분석 대상","",IF(J252&gt;0,"붙임 문서 확인 후 원인 확정 필요","결의서명 기반 원인분류 검토")))</x:f>
      </x:c>
    </x:row>
    <x:row r="253">
      <x:c r="A253" s="73" t="str">
        <x:f>IFERROR(INDEX('계산도우미'!$B$5:$B$2004,MATCH(ROWS($A$5:A253),'계산도우미'!$K$5:$K$2004,0)),"")</x:f>
      </x:c>
      <x:c r="B253" s="73" t="str">
        <x:f>IF(A253="","",IFERROR(INDEX('당기원장'!$B$5:$B$1004,MATCH(A253,'당기원장'!$A$5:$A$1004,0)),IFERROR(INDEX('전기원장'!$B$5:$B$1004,MATCH(A253,'전기원장'!$A$5:$A$1004,0)),"")))</x:f>
      </x:c>
      <x:c r="C253" s="75" t="str">
        <x:f>IF(A253="","",SUMIF('전기원장'!$A$5:$A$1004,A253,'전기원장'!$H$5:$H$1004))</x:f>
      </x:c>
      <x:c r="D253" s="75" t="str">
        <x:f>IF(A253="","",SUMIF('당기원장'!$A$5:$A$1004,A253,'당기원장'!$H$5:$H$1004))</x:f>
      </x:c>
      <x:c r="E253" s="75" t="str">
        <x:f>IF(A253="","",D253-C253)</x:f>
      </x:c>
      <x:c r="F253" s="88" t="str">
        <x:f>IF(A253="","",IF(C253=0,IF(D253=0,0,1),ABS(E253)/ABS(C253)))</x:f>
      </x:c>
      <x:c r="G253" s="73" t="str">
        <x:f>IF(A253="","",IF(AND(C253=0,D253&lt;&gt;0),"신규",IF(AND(C253&lt;&gt;0,D253=0),"소멸",IF(E253=0,"변동없음","금액변동"))))</x:f>
      </x:c>
      <x:c r="H253" s="73" t="str">
        <x:f>IF(A253="","",IF(AND(ABS(E253)&gt;='기준설정'!$B$6,OR(G253="신규",G253="소멸",F253&gt;='기준설정'!$B$5)),"원인분석 대상","일반"))</x:f>
      </x:c>
      <x:c r="I253" s="73" t="str">
        <x:f>IF(A253="","",IF(H253="원인분석 대상","세부원인분석 시트에서 거래별 원인을 검토","-"))</x:f>
      </x:c>
      <x:c r="J253" s="73" t="str">
        <x:f>IF(A253="","",COUNTIFS('전기원장'!$A$5:$A$1004,A253,'전기원장'!$J$5:$J$1004,"확인 필요")+COUNTIFS('당기원장'!$A$5:$A$1004,A253,'당기원장'!$J$5:$J$1004,"확인 필요"))</x:f>
      </x:c>
      <x:c r="K253" s="85" t="str">
        <x:f>IF(A253="","",IF(H253&lt;&gt;"원인분석 대상","",IF(J253&gt;0,"붙임 문서 확인 후 원인 확정 필요","결의서명 기반 원인분류 검토")))</x:f>
      </x:c>
    </x:row>
    <x:row r="254">
      <x:c r="A254" s="73" t="str">
        <x:f>IFERROR(INDEX('계산도우미'!$B$5:$B$2004,MATCH(ROWS($A$5:A254),'계산도우미'!$K$5:$K$2004,0)),"")</x:f>
      </x:c>
      <x:c r="B254" s="73" t="str">
        <x:f>IF(A254="","",IFERROR(INDEX('당기원장'!$B$5:$B$1004,MATCH(A254,'당기원장'!$A$5:$A$1004,0)),IFERROR(INDEX('전기원장'!$B$5:$B$1004,MATCH(A254,'전기원장'!$A$5:$A$1004,0)),"")))</x:f>
      </x:c>
      <x:c r="C254" s="75" t="str">
        <x:f>IF(A254="","",SUMIF('전기원장'!$A$5:$A$1004,A254,'전기원장'!$H$5:$H$1004))</x:f>
      </x:c>
      <x:c r="D254" s="75" t="str">
        <x:f>IF(A254="","",SUMIF('당기원장'!$A$5:$A$1004,A254,'당기원장'!$H$5:$H$1004))</x:f>
      </x:c>
      <x:c r="E254" s="75" t="str">
        <x:f>IF(A254="","",D254-C254)</x:f>
      </x:c>
      <x:c r="F254" s="88" t="str">
        <x:f>IF(A254="","",IF(C254=0,IF(D254=0,0,1),ABS(E254)/ABS(C254)))</x:f>
      </x:c>
      <x:c r="G254" s="73" t="str">
        <x:f>IF(A254="","",IF(AND(C254=0,D254&lt;&gt;0),"신규",IF(AND(C254&lt;&gt;0,D254=0),"소멸",IF(E254=0,"변동없음","금액변동"))))</x:f>
      </x:c>
      <x:c r="H254" s="73" t="str">
        <x:f>IF(A254="","",IF(AND(ABS(E254)&gt;='기준설정'!$B$6,OR(G254="신규",G254="소멸",F254&gt;='기준설정'!$B$5)),"원인분석 대상","일반"))</x:f>
      </x:c>
      <x:c r="I254" s="73" t="str">
        <x:f>IF(A254="","",IF(H254="원인분석 대상","세부원인분석 시트에서 거래별 원인을 검토","-"))</x:f>
      </x:c>
      <x:c r="J254" s="73" t="str">
        <x:f>IF(A254="","",COUNTIFS('전기원장'!$A$5:$A$1004,A254,'전기원장'!$J$5:$J$1004,"확인 필요")+COUNTIFS('당기원장'!$A$5:$A$1004,A254,'당기원장'!$J$5:$J$1004,"확인 필요"))</x:f>
      </x:c>
      <x:c r="K254" s="85" t="str">
        <x:f>IF(A254="","",IF(H254&lt;&gt;"원인분석 대상","",IF(J254&gt;0,"붙임 문서 확인 후 원인 확정 필요","결의서명 기반 원인분류 검토")))</x:f>
      </x:c>
    </x:row>
    <x:row r="255">
      <x:c r="A255" s="73" t="str">
        <x:f>IFERROR(INDEX('계산도우미'!$B$5:$B$2004,MATCH(ROWS($A$5:A255),'계산도우미'!$K$5:$K$2004,0)),"")</x:f>
      </x:c>
      <x:c r="B255" s="73" t="str">
        <x:f>IF(A255="","",IFERROR(INDEX('당기원장'!$B$5:$B$1004,MATCH(A255,'당기원장'!$A$5:$A$1004,0)),IFERROR(INDEX('전기원장'!$B$5:$B$1004,MATCH(A255,'전기원장'!$A$5:$A$1004,0)),"")))</x:f>
      </x:c>
      <x:c r="C255" s="75" t="str">
        <x:f>IF(A255="","",SUMIF('전기원장'!$A$5:$A$1004,A255,'전기원장'!$H$5:$H$1004))</x:f>
      </x:c>
      <x:c r="D255" s="75" t="str">
        <x:f>IF(A255="","",SUMIF('당기원장'!$A$5:$A$1004,A255,'당기원장'!$H$5:$H$1004))</x:f>
      </x:c>
      <x:c r="E255" s="75" t="str">
        <x:f>IF(A255="","",D255-C255)</x:f>
      </x:c>
      <x:c r="F255" s="88" t="str">
        <x:f>IF(A255="","",IF(C255=0,IF(D255=0,0,1),ABS(E255)/ABS(C255)))</x:f>
      </x:c>
      <x:c r="G255" s="73" t="str">
        <x:f>IF(A255="","",IF(AND(C255=0,D255&lt;&gt;0),"신규",IF(AND(C255&lt;&gt;0,D255=0),"소멸",IF(E255=0,"변동없음","금액변동"))))</x:f>
      </x:c>
      <x:c r="H255" s="73" t="str">
        <x:f>IF(A255="","",IF(AND(ABS(E255)&gt;='기준설정'!$B$6,OR(G255="신규",G255="소멸",F255&gt;='기준설정'!$B$5)),"원인분석 대상","일반"))</x:f>
      </x:c>
      <x:c r="I255" s="73" t="str">
        <x:f>IF(A255="","",IF(H255="원인분석 대상","세부원인분석 시트에서 거래별 원인을 검토","-"))</x:f>
      </x:c>
      <x:c r="J255" s="73" t="str">
        <x:f>IF(A255="","",COUNTIFS('전기원장'!$A$5:$A$1004,A255,'전기원장'!$J$5:$J$1004,"확인 필요")+COUNTIFS('당기원장'!$A$5:$A$1004,A255,'당기원장'!$J$5:$J$1004,"확인 필요"))</x:f>
      </x:c>
      <x:c r="K255" s="85" t="str">
        <x:f>IF(A255="","",IF(H255&lt;&gt;"원인분석 대상","",IF(J255&gt;0,"붙임 문서 확인 후 원인 확정 필요","결의서명 기반 원인분류 검토")))</x:f>
      </x:c>
    </x:row>
    <x:row r="256">
      <x:c r="A256" s="73" t="str">
        <x:f>IFERROR(INDEX('계산도우미'!$B$5:$B$2004,MATCH(ROWS($A$5:A256),'계산도우미'!$K$5:$K$2004,0)),"")</x:f>
      </x:c>
      <x:c r="B256" s="73" t="str">
        <x:f>IF(A256="","",IFERROR(INDEX('당기원장'!$B$5:$B$1004,MATCH(A256,'당기원장'!$A$5:$A$1004,0)),IFERROR(INDEX('전기원장'!$B$5:$B$1004,MATCH(A256,'전기원장'!$A$5:$A$1004,0)),"")))</x:f>
      </x:c>
      <x:c r="C256" s="75" t="str">
        <x:f>IF(A256="","",SUMIF('전기원장'!$A$5:$A$1004,A256,'전기원장'!$H$5:$H$1004))</x:f>
      </x:c>
      <x:c r="D256" s="75" t="str">
        <x:f>IF(A256="","",SUMIF('당기원장'!$A$5:$A$1004,A256,'당기원장'!$H$5:$H$1004))</x:f>
      </x:c>
      <x:c r="E256" s="75" t="str">
        <x:f>IF(A256="","",D256-C256)</x:f>
      </x:c>
      <x:c r="F256" s="88" t="str">
        <x:f>IF(A256="","",IF(C256=0,IF(D256=0,0,1),ABS(E256)/ABS(C256)))</x:f>
      </x:c>
      <x:c r="G256" s="73" t="str">
        <x:f>IF(A256="","",IF(AND(C256=0,D256&lt;&gt;0),"신규",IF(AND(C256&lt;&gt;0,D256=0),"소멸",IF(E256=0,"변동없음","금액변동"))))</x:f>
      </x:c>
      <x:c r="H256" s="73" t="str">
        <x:f>IF(A256="","",IF(AND(ABS(E256)&gt;='기준설정'!$B$6,OR(G256="신규",G256="소멸",F256&gt;='기준설정'!$B$5)),"원인분석 대상","일반"))</x:f>
      </x:c>
      <x:c r="I256" s="73" t="str">
        <x:f>IF(A256="","",IF(H256="원인분석 대상","세부원인분석 시트에서 거래별 원인을 검토","-"))</x:f>
      </x:c>
      <x:c r="J256" s="73" t="str">
        <x:f>IF(A256="","",COUNTIFS('전기원장'!$A$5:$A$1004,A256,'전기원장'!$J$5:$J$1004,"확인 필요")+COUNTIFS('당기원장'!$A$5:$A$1004,A256,'당기원장'!$J$5:$J$1004,"확인 필요"))</x:f>
      </x:c>
      <x:c r="K256" s="85" t="str">
        <x:f>IF(A256="","",IF(H256&lt;&gt;"원인분석 대상","",IF(J256&gt;0,"붙임 문서 확인 후 원인 확정 필요","결의서명 기반 원인분류 검토")))</x:f>
      </x:c>
    </x:row>
    <x:row r="257">
      <x:c r="A257" s="73" t="str">
        <x:f>IFERROR(INDEX('계산도우미'!$B$5:$B$2004,MATCH(ROWS($A$5:A257),'계산도우미'!$K$5:$K$2004,0)),"")</x:f>
      </x:c>
      <x:c r="B257" s="73" t="str">
        <x:f>IF(A257="","",IFERROR(INDEX('당기원장'!$B$5:$B$1004,MATCH(A257,'당기원장'!$A$5:$A$1004,0)),IFERROR(INDEX('전기원장'!$B$5:$B$1004,MATCH(A257,'전기원장'!$A$5:$A$1004,0)),"")))</x:f>
      </x:c>
      <x:c r="C257" s="75" t="str">
        <x:f>IF(A257="","",SUMIF('전기원장'!$A$5:$A$1004,A257,'전기원장'!$H$5:$H$1004))</x:f>
      </x:c>
      <x:c r="D257" s="75" t="str">
        <x:f>IF(A257="","",SUMIF('당기원장'!$A$5:$A$1004,A257,'당기원장'!$H$5:$H$1004))</x:f>
      </x:c>
      <x:c r="E257" s="75" t="str">
        <x:f>IF(A257="","",D257-C257)</x:f>
      </x:c>
      <x:c r="F257" s="88" t="str">
        <x:f>IF(A257="","",IF(C257=0,IF(D257=0,0,1),ABS(E257)/ABS(C257)))</x:f>
      </x:c>
      <x:c r="G257" s="73" t="str">
        <x:f>IF(A257="","",IF(AND(C257=0,D257&lt;&gt;0),"신규",IF(AND(C257&lt;&gt;0,D257=0),"소멸",IF(E257=0,"변동없음","금액변동"))))</x:f>
      </x:c>
      <x:c r="H257" s="73" t="str">
        <x:f>IF(A257="","",IF(AND(ABS(E257)&gt;='기준설정'!$B$6,OR(G257="신규",G257="소멸",F257&gt;='기준설정'!$B$5)),"원인분석 대상","일반"))</x:f>
      </x:c>
      <x:c r="I257" s="73" t="str">
        <x:f>IF(A257="","",IF(H257="원인분석 대상","세부원인분석 시트에서 거래별 원인을 검토","-"))</x:f>
      </x:c>
      <x:c r="J257" s="73" t="str">
        <x:f>IF(A257="","",COUNTIFS('전기원장'!$A$5:$A$1004,A257,'전기원장'!$J$5:$J$1004,"확인 필요")+COUNTIFS('당기원장'!$A$5:$A$1004,A257,'당기원장'!$J$5:$J$1004,"확인 필요"))</x:f>
      </x:c>
      <x:c r="K257" s="85" t="str">
        <x:f>IF(A257="","",IF(H257&lt;&gt;"원인분석 대상","",IF(J257&gt;0,"붙임 문서 확인 후 원인 확정 필요","결의서명 기반 원인분류 검토")))</x:f>
      </x:c>
    </x:row>
    <x:row r="258">
      <x:c r="A258" s="73" t="str">
        <x:f>IFERROR(INDEX('계산도우미'!$B$5:$B$2004,MATCH(ROWS($A$5:A258),'계산도우미'!$K$5:$K$2004,0)),"")</x:f>
      </x:c>
      <x:c r="B258" s="73" t="str">
        <x:f>IF(A258="","",IFERROR(INDEX('당기원장'!$B$5:$B$1004,MATCH(A258,'당기원장'!$A$5:$A$1004,0)),IFERROR(INDEX('전기원장'!$B$5:$B$1004,MATCH(A258,'전기원장'!$A$5:$A$1004,0)),"")))</x:f>
      </x:c>
      <x:c r="C258" s="75" t="str">
        <x:f>IF(A258="","",SUMIF('전기원장'!$A$5:$A$1004,A258,'전기원장'!$H$5:$H$1004))</x:f>
      </x:c>
      <x:c r="D258" s="75" t="str">
        <x:f>IF(A258="","",SUMIF('당기원장'!$A$5:$A$1004,A258,'당기원장'!$H$5:$H$1004))</x:f>
      </x:c>
      <x:c r="E258" s="75" t="str">
        <x:f>IF(A258="","",D258-C258)</x:f>
      </x:c>
      <x:c r="F258" s="88" t="str">
        <x:f>IF(A258="","",IF(C258=0,IF(D258=0,0,1),ABS(E258)/ABS(C258)))</x:f>
      </x:c>
      <x:c r="G258" s="73" t="str">
        <x:f>IF(A258="","",IF(AND(C258=0,D258&lt;&gt;0),"신규",IF(AND(C258&lt;&gt;0,D258=0),"소멸",IF(E258=0,"변동없음","금액변동"))))</x:f>
      </x:c>
      <x:c r="H258" s="73" t="str">
        <x:f>IF(A258="","",IF(AND(ABS(E258)&gt;='기준설정'!$B$6,OR(G258="신규",G258="소멸",F258&gt;='기준설정'!$B$5)),"원인분석 대상","일반"))</x:f>
      </x:c>
      <x:c r="I258" s="73" t="str">
        <x:f>IF(A258="","",IF(H258="원인분석 대상","세부원인분석 시트에서 거래별 원인을 검토","-"))</x:f>
      </x:c>
      <x:c r="J258" s="73" t="str">
        <x:f>IF(A258="","",COUNTIFS('전기원장'!$A$5:$A$1004,A258,'전기원장'!$J$5:$J$1004,"확인 필요")+COUNTIFS('당기원장'!$A$5:$A$1004,A258,'당기원장'!$J$5:$J$1004,"확인 필요"))</x:f>
      </x:c>
      <x:c r="K258" s="85" t="str">
        <x:f>IF(A258="","",IF(H258&lt;&gt;"원인분석 대상","",IF(J258&gt;0,"붙임 문서 확인 후 원인 확정 필요","결의서명 기반 원인분류 검토")))</x:f>
      </x:c>
    </x:row>
    <x:row r="259">
      <x:c r="A259" s="73" t="str">
        <x:f>IFERROR(INDEX('계산도우미'!$B$5:$B$2004,MATCH(ROWS($A$5:A259),'계산도우미'!$K$5:$K$2004,0)),"")</x:f>
      </x:c>
      <x:c r="B259" s="73" t="str">
        <x:f>IF(A259="","",IFERROR(INDEX('당기원장'!$B$5:$B$1004,MATCH(A259,'당기원장'!$A$5:$A$1004,0)),IFERROR(INDEX('전기원장'!$B$5:$B$1004,MATCH(A259,'전기원장'!$A$5:$A$1004,0)),"")))</x:f>
      </x:c>
      <x:c r="C259" s="75" t="str">
        <x:f>IF(A259="","",SUMIF('전기원장'!$A$5:$A$1004,A259,'전기원장'!$H$5:$H$1004))</x:f>
      </x:c>
      <x:c r="D259" s="75" t="str">
        <x:f>IF(A259="","",SUMIF('당기원장'!$A$5:$A$1004,A259,'당기원장'!$H$5:$H$1004))</x:f>
      </x:c>
      <x:c r="E259" s="75" t="str">
        <x:f>IF(A259="","",D259-C259)</x:f>
      </x:c>
      <x:c r="F259" s="88" t="str">
        <x:f>IF(A259="","",IF(C259=0,IF(D259=0,0,1),ABS(E259)/ABS(C259)))</x:f>
      </x:c>
      <x:c r="G259" s="73" t="str">
        <x:f>IF(A259="","",IF(AND(C259=0,D259&lt;&gt;0),"신규",IF(AND(C259&lt;&gt;0,D259=0),"소멸",IF(E259=0,"변동없음","금액변동"))))</x:f>
      </x:c>
      <x:c r="H259" s="73" t="str">
        <x:f>IF(A259="","",IF(AND(ABS(E259)&gt;='기준설정'!$B$6,OR(G259="신규",G259="소멸",F259&gt;='기준설정'!$B$5)),"원인분석 대상","일반"))</x:f>
      </x:c>
      <x:c r="I259" s="73" t="str">
        <x:f>IF(A259="","",IF(H259="원인분석 대상","세부원인분석 시트에서 거래별 원인을 검토","-"))</x:f>
      </x:c>
      <x:c r="J259" s="73" t="str">
        <x:f>IF(A259="","",COUNTIFS('전기원장'!$A$5:$A$1004,A259,'전기원장'!$J$5:$J$1004,"확인 필요")+COUNTIFS('당기원장'!$A$5:$A$1004,A259,'당기원장'!$J$5:$J$1004,"확인 필요"))</x:f>
      </x:c>
      <x:c r="K259" s="85" t="str">
        <x:f>IF(A259="","",IF(H259&lt;&gt;"원인분석 대상","",IF(J259&gt;0,"붙임 문서 확인 후 원인 확정 필요","결의서명 기반 원인분류 검토")))</x:f>
      </x:c>
    </x:row>
    <x:row r="260">
      <x:c r="A260" s="73" t="str">
        <x:f>IFERROR(INDEX('계산도우미'!$B$5:$B$2004,MATCH(ROWS($A$5:A260),'계산도우미'!$K$5:$K$2004,0)),"")</x:f>
      </x:c>
      <x:c r="B260" s="73" t="str">
        <x:f>IF(A260="","",IFERROR(INDEX('당기원장'!$B$5:$B$1004,MATCH(A260,'당기원장'!$A$5:$A$1004,0)),IFERROR(INDEX('전기원장'!$B$5:$B$1004,MATCH(A260,'전기원장'!$A$5:$A$1004,0)),"")))</x:f>
      </x:c>
      <x:c r="C260" s="75" t="str">
        <x:f>IF(A260="","",SUMIF('전기원장'!$A$5:$A$1004,A260,'전기원장'!$H$5:$H$1004))</x:f>
      </x:c>
      <x:c r="D260" s="75" t="str">
        <x:f>IF(A260="","",SUMIF('당기원장'!$A$5:$A$1004,A260,'당기원장'!$H$5:$H$1004))</x:f>
      </x:c>
      <x:c r="E260" s="75" t="str">
        <x:f>IF(A260="","",D260-C260)</x:f>
      </x:c>
      <x:c r="F260" s="88" t="str">
        <x:f>IF(A260="","",IF(C260=0,IF(D260=0,0,1),ABS(E260)/ABS(C260)))</x:f>
      </x:c>
      <x:c r="G260" s="73" t="str">
        <x:f>IF(A260="","",IF(AND(C260=0,D260&lt;&gt;0),"신규",IF(AND(C260&lt;&gt;0,D260=0),"소멸",IF(E260=0,"변동없음","금액변동"))))</x:f>
      </x:c>
      <x:c r="H260" s="73" t="str">
        <x:f>IF(A260="","",IF(AND(ABS(E260)&gt;='기준설정'!$B$6,OR(G260="신규",G260="소멸",F260&gt;='기준설정'!$B$5)),"원인분석 대상","일반"))</x:f>
      </x:c>
      <x:c r="I260" s="73" t="str">
        <x:f>IF(A260="","",IF(H260="원인분석 대상","세부원인분석 시트에서 거래별 원인을 검토","-"))</x:f>
      </x:c>
      <x:c r="J260" s="73" t="str">
        <x:f>IF(A260="","",COUNTIFS('전기원장'!$A$5:$A$1004,A260,'전기원장'!$J$5:$J$1004,"확인 필요")+COUNTIFS('당기원장'!$A$5:$A$1004,A260,'당기원장'!$J$5:$J$1004,"확인 필요"))</x:f>
      </x:c>
      <x:c r="K260" s="85" t="str">
        <x:f>IF(A260="","",IF(H260&lt;&gt;"원인분석 대상","",IF(J260&gt;0,"붙임 문서 확인 후 원인 확정 필요","결의서명 기반 원인분류 검토")))</x:f>
      </x:c>
    </x:row>
    <x:row r="261">
      <x:c r="A261" s="73" t="str">
        <x:f>IFERROR(INDEX('계산도우미'!$B$5:$B$2004,MATCH(ROWS($A$5:A261),'계산도우미'!$K$5:$K$2004,0)),"")</x:f>
      </x:c>
      <x:c r="B261" s="73" t="str">
        <x:f>IF(A261="","",IFERROR(INDEX('당기원장'!$B$5:$B$1004,MATCH(A261,'당기원장'!$A$5:$A$1004,0)),IFERROR(INDEX('전기원장'!$B$5:$B$1004,MATCH(A261,'전기원장'!$A$5:$A$1004,0)),"")))</x:f>
      </x:c>
      <x:c r="C261" s="75" t="str">
        <x:f>IF(A261="","",SUMIF('전기원장'!$A$5:$A$1004,A261,'전기원장'!$H$5:$H$1004))</x:f>
      </x:c>
      <x:c r="D261" s="75" t="str">
        <x:f>IF(A261="","",SUMIF('당기원장'!$A$5:$A$1004,A261,'당기원장'!$H$5:$H$1004))</x:f>
      </x:c>
      <x:c r="E261" s="75" t="str">
        <x:f>IF(A261="","",D261-C261)</x:f>
      </x:c>
      <x:c r="F261" s="88" t="str">
        <x:f>IF(A261="","",IF(C261=0,IF(D261=0,0,1),ABS(E261)/ABS(C261)))</x:f>
      </x:c>
      <x:c r="G261" s="73" t="str">
        <x:f>IF(A261="","",IF(AND(C261=0,D261&lt;&gt;0),"신규",IF(AND(C261&lt;&gt;0,D261=0),"소멸",IF(E261=0,"변동없음","금액변동"))))</x:f>
      </x:c>
      <x:c r="H261" s="73" t="str">
        <x:f>IF(A261="","",IF(AND(ABS(E261)&gt;='기준설정'!$B$6,OR(G261="신규",G261="소멸",F261&gt;='기준설정'!$B$5)),"원인분석 대상","일반"))</x:f>
      </x:c>
      <x:c r="I261" s="73" t="str">
        <x:f>IF(A261="","",IF(H261="원인분석 대상","세부원인분석 시트에서 거래별 원인을 검토","-"))</x:f>
      </x:c>
      <x:c r="J261" s="73" t="str">
        <x:f>IF(A261="","",COUNTIFS('전기원장'!$A$5:$A$1004,A261,'전기원장'!$J$5:$J$1004,"확인 필요")+COUNTIFS('당기원장'!$A$5:$A$1004,A261,'당기원장'!$J$5:$J$1004,"확인 필요"))</x:f>
      </x:c>
      <x:c r="K261" s="85" t="str">
        <x:f>IF(A261="","",IF(H261&lt;&gt;"원인분석 대상","",IF(J261&gt;0,"붙임 문서 확인 후 원인 확정 필요","결의서명 기반 원인분류 검토")))</x:f>
      </x:c>
    </x:row>
    <x:row r="262">
      <x:c r="A262" s="73" t="str">
        <x:f>IFERROR(INDEX('계산도우미'!$B$5:$B$2004,MATCH(ROWS($A$5:A262),'계산도우미'!$K$5:$K$2004,0)),"")</x:f>
      </x:c>
      <x:c r="B262" s="73" t="str">
        <x:f>IF(A262="","",IFERROR(INDEX('당기원장'!$B$5:$B$1004,MATCH(A262,'당기원장'!$A$5:$A$1004,0)),IFERROR(INDEX('전기원장'!$B$5:$B$1004,MATCH(A262,'전기원장'!$A$5:$A$1004,0)),"")))</x:f>
      </x:c>
      <x:c r="C262" s="75" t="str">
        <x:f>IF(A262="","",SUMIF('전기원장'!$A$5:$A$1004,A262,'전기원장'!$H$5:$H$1004))</x:f>
      </x:c>
      <x:c r="D262" s="75" t="str">
        <x:f>IF(A262="","",SUMIF('당기원장'!$A$5:$A$1004,A262,'당기원장'!$H$5:$H$1004))</x:f>
      </x:c>
      <x:c r="E262" s="75" t="str">
        <x:f>IF(A262="","",D262-C262)</x:f>
      </x:c>
      <x:c r="F262" s="88" t="str">
        <x:f>IF(A262="","",IF(C262=0,IF(D262=0,0,1),ABS(E262)/ABS(C262)))</x:f>
      </x:c>
      <x:c r="G262" s="73" t="str">
        <x:f>IF(A262="","",IF(AND(C262=0,D262&lt;&gt;0),"신규",IF(AND(C262&lt;&gt;0,D262=0),"소멸",IF(E262=0,"변동없음","금액변동"))))</x:f>
      </x:c>
      <x:c r="H262" s="73" t="str">
        <x:f>IF(A262="","",IF(AND(ABS(E262)&gt;='기준설정'!$B$6,OR(G262="신규",G262="소멸",F262&gt;='기준설정'!$B$5)),"원인분석 대상","일반"))</x:f>
      </x:c>
      <x:c r="I262" s="73" t="str">
        <x:f>IF(A262="","",IF(H262="원인분석 대상","세부원인분석 시트에서 거래별 원인을 검토","-"))</x:f>
      </x:c>
      <x:c r="J262" s="73" t="str">
        <x:f>IF(A262="","",COUNTIFS('전기원장'!$A$5:$A$1004,A262,'전기원장'!$J$5:$J$1004,"확인 필요")+COUNTIFS('당기원장'!$A$5:$A$1004,A262,'당기원장'!$J$5:$J$1004,"확인 필요"))</x:f>
      </x:c>
      <x:c r="K262" s="85" t="str">
        <x:f>IF(A262="","",IF(H262&lt;&gt;"원인분석 대상","",IF(J262&gt;0,"붙임 문서 확인 후 원인 확정 필요","결의서명 기반 원인분류 검토")))</x:f>
      </x:c>
    </x:row>
    <x:row r="263">
      <x:c r="A263" s="73" t="str">
        <x:f>IFERROR(INDEX('계산도우미'!$B$5:$B$2004,MATCH(ROWS($A$5:A263),'계산도우미'!$K$5:$K$2004,0)),"")</x:f>
      </x:c>
      <x:c r="B263" s="73" t="str">
        <x:f>IF(A263="","",IFERROR(INDEX('당기원장'!$B$5:$B$1004,MATCH(A263,'당기원장'!$A$5:$A$1004,0)),IFERROR(INDEX('전기원장'!$B$5:$B$1004,MATCH(A263,'전기원장'!$A$5:$A$1004,0)),"")))</x:f>
      </x:c>
      <x:c r="C263" s="75" t="str">
        <x:f>IF(A263="","",SUMIF('전기원장'!$A$5:$A$1004,A263,'전기원장'!$H$5:$H$1004))</x:f>
      </x:c>
      <x:c r="D263" s="75" t="str">
        <x:f>IF(A263="","",SUMIF('당기원장'!$A$5:$A$1004,A263,'당기원장'!$H$5:$H$1004))</x:f>
      </x:c>
      <x:c r="E263" s="75" t="str">
        <x:f>IF(A263="","",D263-C263)</x:f>
      </x:c>
      <x:c r="F263" s="88" t="str">
        <x:f>IF(A263="","",IF(C263=0,IF(D263=0,0,1),ABS(E263)/ABS(C263)))</x:f>
      </x:c>
      <x:c r="G263" s="73" t="str">
        <x:f>IF(A263="","",IF(AND(C263=0,D263&lt;&gt;0),"신규",IF(AND(C263&lt;&gt;0,D263=0),"소멸",IF(E263=0,"변동없음","금액변동"))))</x:f>
      </x:c>
      <x:c r="H263" s="73" t="str">
        <x:f>IF(A263="","",IF(AND(ABS(E263)&gt;='기준설정'!$B$6,OR(G263="신규",G263="소멸",F263&gt;='기준설정'!$B$5)),"원인분석 대상","일반"))</x:f>
      </x:c>
      <x:c r="I263" s="73" t="str">
        <x:f>IF(A263="","",IF(H263="원인분석 대상","세부원인분석 시트에서 거래별 원인을 검토","-"))</x:f>
      </x:c>
      <x:c r="J263" s="73" t="str">
        <x:f>IF(A263="","",COUNTIFS('전기원장'!$A$5:$A$1004,A263,'전기원장'!$J$5:$J$1004,"확인 필요")+COUNTIFS('당기원장'!$A$5:$A$1004,A263,'당기원장'!$J$5:$J$1004,"확인 필요"))</x:f>
      </x:c>
      <x:c r="K263" s="85" t="str">
        <x:f>IF(A263="","",IF(H263&lt;&gt;"원인분석 대상","",IF(J263&gt;0,"붙임 문서 확인 후 원인 확정 필요","결의서명 기반 원인분류 검토")))</x:f>
      </x:c>
    </x:row>
    <x:row r="264">
      <x:c r="A264" s="73" t="str">
        <x:f>IFERROR(INDEX('계산도우미'!$B$5:$B$2004,MATCH(ROWS($A$5:A264),'계산도우미'!$K$5:$K$2004,0)),"")</x:f>
      </x:c>
      <x:c r="B264" s="73" t="str">
        <x:f>IF(A264="","",IFERROR(INDEX('당기원장'!$B$5:$B$1004,MATCH(A264,'당기원장'!$A$5:$A$1004,0)),IFERROR(INDEX('전기원장'!$B$5:$B$1004,MATCH(A264,'전기원장'!$A$5:$A$1004,0)),"")))</x:f>
      </x:c>
      <x:c r="C264" s="75" t="str">
        <x:f>IF(A264="","",SUMIF('전기원장'!$A$5:$A$1004,A264,'전기원장'!$H$5:$H$1004))</x:f>
      </x:c>
      <x:c r="D264" s="75" t="str">
        <x:f>IF(A264="","",SUMIF('당기원장'!$A$5:$A$1004,A264,'당기원장'!$H$5:$H$1004))</x:f>
      </x:c>
      <x:c r="E264" s="75" t="str">
        <x:f>IF(A264="","",D264-C264)</x:f>
      </x:c>
      <x:c r="F264" s="88" t="str">
        <x:f>IF(A264="","",IF(C264=0,IF(D264=0,0,1),ABS(E264)/ABS(C264)))</x:f>
      </x:c>
      <x:c r="G264" s="73" t="str">
        <x:f>IF(A264="","",IF(AND(C264=0,D264&lt;&gt;0),"신규",IF(AND(C264&lt;&gt;0,D264=0),"소멸",IF(E264=0,"변동없음","금액변동"))))</x:f>
      </x:c>
      <x:c r="H264" s="73" t="str">
        <x:f>IF(A264="","",IF(AND(ABS(E264)&gt;='기준설정'!$B$6,OR(G264="신규",G264="소멸",F264&gt;='기준설정'!$B$5)),"원인분석 대상","일반"))</x:f>
      </x:c>
      <x:c r="I264" s="73" t="str">
        <x:f>IF(A264="","",IF(H264="원인분석 대상","세부원인분석 시트에서 거래별 원인을 검토","-"))</x:f>
      </x:c>
      <x:c r="J264" s="73" t="str">
        <x:f>IF(A264="","",COUNTIFS('전기원장'!$A$5:$A$1004,A264,'전기원장'!$J$5:$J$1004,"확인 필요")+COUNTIFS('당기원장'!$A$5:$A$1004,A264,'당기원장'!$J$5:$J$1004,"확인 필요"))</x:f>
      </x:c>
      <x:c r="K264" s="85" t="str">
        <x:f>IF(A264="","",IF(H264&lt;&gt;"원인분석 대상","",IF(J264&gt;0,"붙임 문서 확인 후 원인 확정 필요","결의서명 기반 원인분류 검토")))</x:f>
      </x:c>
    </x:row>
    <x:row r="265">
      <x:c r="A265" s="73" t="str">
        <x:f>IFERROR(INDEX('계산도우미'!$B$5:$B$2004,MATCH(ROWS($A$5:A265),'계산도우미'!$K$5:$K$2004,0)),"")</x:f>
      </x:c>
      <x:c r="B265" s="73" t="str">
        <x:f>IF(A265="","",IFERROR(INDEX('당기원장'!$B$5:$B$1004,MATCH(A265,'당기원장'!$A$5:$A$1004,0)),IFERROR(INDEX('전기원장'!$B$5:$B$1004,MATCH(A265,'전기원장'!$A$5:$A$1004,0)),"")))</x:f>
      </x:c>
      <x:c r="C265" s="75" t="str">
        <x:f>IF(A265="","",SUMIF('전기원장'!$A$5:$A$1004,A265,'전기원장'!$H$5:$H$1004))</x:f>
      </x:c>
      <x:c r="D265" s="75" t="str">
        <x:f>IF(A265="","",SUMIF('당기원장'!$A$5:$A$1004,A265,'당기원장'!$H$5:$H$1004))</x:f>
      </x:c>
      <x:c r="E265" s="75" t="str">
        <x:f>IF(A265="","",D265-C265)</x:f>
      </x:c>
      <x:c r="F265" s="88" t="str">
        <x:f>IF(A265="","",IF(C265=0,IF(D265=0,0,1),ABS(E265)/ABS(C265)))</x:f>
      </x:c>
      <x:c r="G265" s="73" t="str">
        <x:f>IF(A265="","",IF(AND(C265=0,D265&lt;&gt;0),"신규",IF(AND(C265&lt;&gt;0,D265=0),"소멸",IF(E265=0,"변동없음","금액변동"))))</x:f>
      </x:c>
      <x:c r="H265" s="73" t="str">
        <x:f>IF(A265="","",IF(AND(ABS(E265)&gt;='기준설정'!$B$6,OR(G265="신규",G265="소멸",F265&gt;='기준설정'!$B$5)),"원인분석 대상","일반"))</x:f>
      </x:c>
      <x:c r="I265" s="73" t="str">
        <x:f>IF(A265="","",IF(H265="원인분석 대상","세부원인분석 시트에서 거래별 원인을 검토","-"))</x:f>
      </x:c>
      <x:c r="J265" s="73" t="str">
        <x:f>IF(A265="","",COUNTIFS('전기원장'!$A$5:$A$1004,A265,'전기원장'!$J$5:$J$1004,"확인 필요")+COUNTIFS('당기원장'!$A$5:$A$1004,A265,'당기원장'!$J$5:$J$1004,"확인 필요"))</x:f>
      </x:c>
      <x:c r="K265" s="85" t="str">
        <x:f>IF(A265="","",IF(H265&lt;&gt;"원인분석 대상","",IF(J265&gt;0,"붙임 문서 확인 후 원인 확정 필요","결의서명 기반 원인분류 검토")))</x:f>
      </x:c>
    </x:row>
    <x:row r="266">
      <x:c r="A266" s="73" t="str">
        <x:f>IFERROR(INDEX('계산도우미'!$B$5:$B$2004,MATCH(ROWS($A$5:A266),'계산도우미'!$K$5:$K$2004,0)),"")</x:f>
      </x:c>
      <x:c r="B266" s="73" t="str">
        <x:f>IF(A266="","",IFERROR(INDEX('당기원장'!$B$5:$B$1004,MATCH(A266,'당기원장'!$A$5:$A$1004,0)),IFERROR(INDEX('전기원장'!$B$5:$B$1004,MATCH(A266,'전기원장'!$A$5:$A$1004,0)),"")))</x:f>
      </x:c>
      <x:c r="C266" s="75" t="str">
        <x:f>IF(A266="","",SUMIF('전기원장'!$A$5:$A$1004,A266,'전기원장'!$H$5:$H$1004))</x:f>
      </x:c>
      <x:c r="D266" s="75" t="str">
        <x:f>IF(A266="","",SUMIF('당기원장'!$A$5:$A$1004,A266,'당기원장'!$H$5:$H$1004))</x:f>
      </x:c>
      <x:c r="E266" s="75" t="str">
        <x:f>IF(A266="","",D266-C266)</x:f>
      </x:c>
      <x:c r="F266" s="88" t="str">
        <x:f>IF(A266="","",IF(C266=0,IF(D266=0,0,1),ABS(E266)/ABS(C266)))</x:f>
      </x:c>
      <x:c r="G266" s="73" t="str">
        <x:f>IF(A266="","",IF(AND(C266=0,D266&lt;&gt;0),"신규",IF(AND(C266&lt;&gt;0,D266=0),"소멸",IF(E266=0,"변동없음","금액변동"))))</x:f>
      </x:c>
      <x:c r="H266" s="73" t="str">
        <x:f>IF(A266="","",IF(AND(ABS(E266)&gt;='기준설정'!$B$6,OR(G266="신규",G266="소멸",F266&gt;='기준설정'!$B$5)),"원인분석 대상","일반"))</x:f>
      </x:c>
      <x:c r="I266" s="73" t="str">
        <x:f>IF(A266="","",IF(H266="원인분석 대상","세부원인분석 시트에서 거래별 원인을 검토","-"))</x:f>
      </x:c>
      <x:c r="J266" s="73" t="str">
        <x:f>IF(A266="","",COUNTIFS('전기원장'!$A$5:$A$1004,A266,'전기원장'!$J$5:$J$1004,"확인 필요")+COUNTIFS('당기원장'!$A$5:$A$1004,A266,'당기원장'!$J$5:$J$1004,"확인 필요"))</x:f>
      </x:c>
      <x:c r="K266" s="85" t="str">
        <x:f>IF(A266="","",IF(H266&lt;&gt;"원인분석 대상","",IF(J266&gt;0,"붙임 문서 확인 후 원인 확정 필요","결의서명 기반 원인분류 검토")))</x:f>
      </x:c>
    </x:row>
    <x:row r="267">
      <x:c r="A267" s="73" t="str">
        <x:f>IFERROR(INDEX('계산도우미'!$B$5:$B$2004,MATCH(ROWS($A$5:A267),'계산도우미'!$K$5:$K$2004,0)),"")</x:f>
      </x:c>
      <x:c r="B267" s="73" t="str">
        <x:f>IF(A267="","",IFERROR(INDEX('당기원장'!$B$5:$B$1004,MATCH(A267,'당기원장'!$A$5:$A$1004,0)),IFERROR(INDEX('전기원장'!$B$5:$B$1004,MATCH(A267,'전기원장'!$A$5:$A$1004,0)),"")))</x:f>
      </x:c>
      <x:c r="C267" s="75" t="str">
        <x:f>IF(A267="","",SUMIF('전기원장'!$A$5:$A$1004,A267,'전기원장'!$H$5:$H$1004))</x:f>
      </x:c>
      <x:c r="D267" s="75" t="str">
        <x:f>IF(A267="","",SUMIF('당기원장'!$A$5:$A$1004,A267,'당기원장'!$H$5:$H$1004))</x:f>
      </x:c>
      <x:c r="E267" s="75" t="str">
        <x:f>IF(A267="","",D267-C267)</x:f>
      </x:c>
      <x:c r="F267" s="88" t="str">
        <x:f>IF(A267="","",IF(C267=0,IF(D267=0,0,1),ABS(E267)/ABS(C267)))</x:f>
      </x:c>
      <x:c r="G267" s="73" t="str">
        <x:f>IF(A267="","",IF(AND(C267=0,D267&lt;&gt;0),"신규",IF(AND(C267&lt;&gt;0,D267=0),"소멸",IF(E267=0,"변동없음","금액변동"))))</x:f>
      </x:c>
      <x:c r="H267" s="73" t="str">
        <x:f>IF(A267="","",IF(AND(ABS(E267)&gt;='기준설정'!$B$6,OR(G267="신규",G267="소멸",F267&gt;='기준설정'!$B$5)),"원인분석 대상","일반"))</x:f>
      </x:c>
      <x:c r="I267" s="73" t="str">
        <x:f>IF(A267="","",IF(H267="원인분석 대상","세부원인분석 시트에서 거래별 원인을 검토","-"))</x:f>
      </x:c>
      <x:c r="J267" s="73" t="str">
        <x:f>IF(A267="","",COUNTIFS('전기원장'!$A$5:$A$1004,A267,'전기원장'!$J$5:$J$1004,"확인 필요")+COUNTIFS('당기원장'!$A$5:$A$1004,A267,'당기원장'!$J$5:$J$1004,"확인 필요"))</x:f>
      </x:c>
      <x:c r="K267" s="85" t="str">
        <x:f>IF(A267="","",IF(H267&lt;&gt;"원인분석 대상","",IF(J267&gt;0,"붙임 문서 확인 후 원인 확정 필요","결의서명 기반 원인분류 검토")))</x:f>
      </x:c>
    </x:row>
    <x:row r="268">
      <x:c r="A268" s="73" t="str">
        <x:f>IFERROR(INDEX('계산도우미'!$B$5:$B$2004,MATCH(ROWS($A$5:A268),'계산도우미'!$K$5:$K$2004,0)),"")</x:f>
      </x:c>
      <x:c r="B268" s="73" t="str">
        <x:f>IF(A268="","",IFERROR(INDEX('당기원장'!$B$5:$B$1004,MATCH(A268,'당기원장'!$A$5:$A$1004,0)),IFERROR(INDEX('전기원장'!$B$5:$B$1004,MATCH(A268,'전기원장'!$A$5:$A$1004,0)),"")))</x:f>
      </x:c>
      <x:c r="C268" s="75" t="str">
        <x:f>IF(A268="","",SUMIF('전기원장'!$A$5:$A$1004,A268,'전기원장'!$H$5:$H$1004))</x:f>
      </x:c>
      <x:c r="D268" s="75" t="str">
        <x:f>IF(A268="","",SUMIF('당기원장'!$A$5:$A$1004,A268,'당기원장'!$H$5:$H$1004))</x:f>
      </x:c>
      <x:c r="E268" s="75" t="str">
        <x:f>IF(A268="","",D268-C268)</x:f>
      </x:c>
      <x:c r="F268" s="88" t="str">
        <x:f>IF(A268="","",IF(C268=0,IF(D268=0,0,1),ABS(E268)/ABS(C268)))</x:f>
      </x:c>
      <x:c r="G268" s="73" t="str">
        <x:f>IF(A268="","",IF(AND(C268=0,D268&lt;&gt;0),"신규",IF(AND(C268&lt;&gt;0,D268=0),"소멸",IF(E268=0,"변동없음","금액변동"))))</x:f>
      </x:c>
      <x:c r="H268" s="73" t="str">
        <x:f>IF(A268="","",IF(AND(ABS(E268)&gt;='기준설정'!$B$6,OR(G268="신규",G268="소멸",F268&gt;='기준설정'!$B$5)),"원인분석 대상","일반"))</x:f>
      </x:c>
      <x:c r="I268" s="73" t="str">
        <x:f>IF(A268="","",IF(H268="원인분석 대상","세부원인분석 시트에서 거래별 원인을 검토","-"))</x:f>
      </x:c>
      <x:c r="J268" s="73" t="str">
        <x:f>IF(A268="","",COUNTIFS('전기원장'!$A$5:$A$1004,A268,'전기원장'!$J$5:$J$1004,"확인 필요")+COUNTIFS('당기원장'!$A$5:$A$1004,A268,'당기원장'!$J$5:$J$1004,"확인 필요"))</x:f>
      </x:c>
      <x:c r="K268" s="85" t="str">
        <x:f>IF(A268="","",IF(H268&lt;&gt;"원인분석 대상","",IF(J268&gt;0,"붙임 문서 확인 후 원인 확정 필요","결의서명 기반 원인분류 검토")))</x:f>
      </x:c>
    </x:row>
    <x:row r="269">
      <x:c r="A269" s="73" t="str">
        <x:f>IFERROR(INDEX('계산도우미'!$B$5:$B$2004,MATCH(ROWS($A$5:A269),'계산도우미'!$K$5:$K$2004,0)),"")</x:f>
      </x:c>
      <x:c r="B269" s="73" t="str">
        <x:f>IF(A269="","",IFERROR(INDEX('당기원장'!$B$5:$B$1004,MATCH(A269,'당기원장'!$A$5:$A$1004,0)),IFERROR(INDEX('전기원장'!$B$5:$B$1004,MATCH(A269,'전기원장'!$A$5:$A$1004,0)),"")))</x:f>
      </x:c>
      <x:c r="C269" s="75" t="str">
        <x:f>IF(A269="","",SUMIF('전기원장'!$A$5:$A$1004,A269,'전기원장'!$H$5:$H$1004))</x:f>
      </x:c>
      <x:c r="D269" s="75" t="str">
        <x:f>IF(A269="","",SUMIF('당기원장'!$A$5:$A$1004,A269,'당기원장'!$H$5:$H$1004))</x:f>
      </x:c>
      <x:c r="E269" s="75" t="str">
        <x:f>IF(A269="","",D269-C269)</x:f>
      </x:c>
      <x:c r="F269" s="88" t="str">
        <x:f>IF(A269="","",IF(C269=0,IF(D269=0,0,1),ABS(E269)/ABS(C269)))</x:f>
      </x:c>
      <x:c r="G269" s="73" t="str">
        <x:f>IF(A269="","",IF(AND(C269=0,D269&lt;&gt;0),"신규",IF(AND(C269&lt;&gt;0,D269=0),"소멸",IF(E269=0,"변동없음","금액변동"))))</x:f>
      </x:c>
      <x:c r="H269" s="73" t="str">
        <x:f>IF(A269="","",IF(AND(ABS(E269)&gt;='기준설정'!$B$6,OR(G269="신규",G269="소멸",F269&gt;='기준설정'!$B$5)),"원인분석 대상","일반"))</x:f>
      </x:c>
      <x:c r="I269" s="73" t="str">
        <x:f>IF(A269="","",IF(H269="원인분석 대상","세부원인분석 시트에서 거래별 원인을 검토","-"))</x:f>
      </x:c>
      <x:c r="J269" s="73" t="str">
        <x:f>IF(A269="","",COUNTIFS('전기원장'!$A$5:$A$1004,A269,'전기원장'!$J$5:$J$1004,"확인 필요")+COUNTIFS('당기원장'!$A$5:$A$1004,A269,'당기원장'!$J$5:$J$1004,"확인 필요"))</x:f>
      </x:c>
      <x:c r="K269" s="85" t="str">
        <x:f>IF(A269="","",IF(H269&lt;&gt;"원인분석 대상","",IF(J269&gt;0,"붙임 문서 확인 후 원인 확정 필요","결의서명 기반 원인분류 검토")))</x:f>
      </x:c>
    </x:row>
    <x:row r="270">
      <x:c r="A270" s="73" t="str">
        <x:f>IFERROR(INDEX('계산도우미'!$B$5:$B$2004,MATCH(ROWS($A$5:A270),'계산도우미'!$K$5:$K$2004,0)),"")</x:f>
      </x:c>
      <x:c r="B270" s="73" t="str">
        <x:f>IF(A270="","",IFERROR(INDEX('당기원장'!$B$5:$B$1004,MATCH(A270,'당기원장'!$A$5:$A$1004,0)),IFERROR(INDEX('전기원장'!$B$5:$B$1004,MATCH(A270,'전기원장'!$A$5:$A$1004,0)),"")))</x:f>
      </x:c>
      <x:c r="C270" s="75" t="str">
        <x:f>IF(A270="","",SUMIF('전기원장'!$A$5:$A$1004,A270,'전기원장'!$H$5:$H$1004))</x:f>
      </x:c>
      <x:c r="D270" s="75" t="str">
        <x:f>IF(A270="","",SUMIF('당기원장'!$A$5:$A$1004,A270,'당기원장'!$H$5:$H$1004))</x:f>
      </x:c>
      <x:c r="E270" s="75" t="str">
        <x:f>IF(A270="","",D270-C270)</x:f>
      </x:c>
      <x:c r="F270" s="88" t="str">
        <x:f>IF(A270="","",IF(C270=0,IF(D270=0,0,1),ABS(E270)/ABS(C270)))</x:f>
      </x:c>
      <x:c r="G270" s="73" t="str">
        <x:f>IF(A270="","",IF(AND(C270=0,D270&lt;&gt;0),"신규",IF(AND(C270&lt;&gt;0,D270=0),"소멸",IF(E270=0,"변동없음","금액변동"))))</x:f>
      </x:c>
      <x:c r="H270" s="73" t="str">
        <x:f>IF(A270="","",IF(AND(ABS(E270)&gt;='기준설정'!$B$6,OR(G270="신규",G270="소멸",F270&gt;='기준설정'!$B$5)),"원인분석 대상","일반"))</x:f>
      </x:c>
      <x:c r="I270" s="73" t="str">
        <x:f>IF(A270="","",IF(H270="원인분석 대상","세부원인분석 시트에서 거래별 원인을 검토","-"))</x:f>
      </x:c>
      <x:c r="J270" s="73" t="str">
        <x:f>IF(A270="","",COUNTIFS('전기원장'!$A$5:$A$1004,A270,'전기원장'!$J$5:$J$1004,"확인 필요")+COUNTIFS('당기원장'!$A$5:$A$1004,A270,'당기원장'!$J$5:$J$1004,"확인 필요"))</x:f>
      </x:c>
      <x:c r="K270" s="85" t="str">
        <x:f>IF(A270="","",IF(H270&lt;&gt;"원인분석 대상","",IF(J270&gt;0,"붙임 문서 확인 후 원인 확정 필요","결의서명 기반 원인분류 검토")))</x:f>
      </x:c>
    </x:row>
    <x:row r="271">
      <x:c r="A271" s="73" t="str">
        <x:f>IFERROR(INDEX('계산도우미'!$B$5:$B$2004,MATCH(ROWS($A$5:A271),'계산도우미'!$K$5:$K$2004,0)),"")</x:f>
      </x:c>
      <x:c r="B271" s="73" t="str">
        <x:f>IF(A271="","",IFERROR(INDEX('당기원장'!$B$5:$B$1004,MATCH(A271,'당기원장'!$A$5:$A$1004,0)),IFERROR(INDEX('전기원장'!$B$5:$B$1004,MATCH(A271,'전기원장'!$A$5:$A$1004,0)),"")))</x:f>
      </x:c>
      <x:c r="C271" s="75" t="str">
        <x:f>IF(A271="","",SUMIF('전기원장'!$A$5:$A$1004,A271,'전기원장'!$H$5:$H$1004))</x:f>
      </x:c>
      <x:c r="D271" s="75" t="str">
        <x:f>IF(A271="","",SUMIF('당기원장'!$A$5:$A$1004,A271,'당기원장'!$H$5:$H$1004))</x:f>
      </x:c>
      <x:c r="E271" s="75" t="str">
        <x:f>IF(A271="","",D271-C271)</x:f>
      </x:c>
      <x:c r="F271" s="88" t="str">
        <x:f>IF(A271="","",IF(C271=0,IF(D271=0,0,1),ABS(E271)/ABS(C271)))</x:f>
      </x:c>
      <x:c r="G271" s="73" t="str">
        <x:f>IF(A271="","",IF(AND(C271=0,D271&lt;&gt;0),"신규",IF(AND(C271&lt;&gt;0,D271=0),"소멸",IF(E271=0,"변동없음","금액변동"))))</x:f>
      </x:c>
      <x:c r="H271" s="73" t="str">
        <x:f>IF(A271="","",IF(AND(ABS(E271)&gt;='기준설정'!$B$6,OR(G271="신규",G271="소멸",F271&gt;='기준설정'!$B$5)),"원인분석 대상","일반"))</x:f>
      </x:c>
      <x:c r="I271" s="73" t="str">
        <x:f>IF(A271="","",IF(H271="원인분석 대상","세부원인분석 시트에서 거래별 원인을 검토","-"))</x:f>
      </x:c>
      <x:c r="J271" s="73" t="str">
        <x:f>IF(A271="","",COUNTIFS('전기원장'!$A$5:$A$1004,A271,'전기원장'!$J$5:$J$1004,"확인 필요")+COUNTIFS('당기원장'!$A$5:$A$1004,A271,'당기원장'!$J$5:$J$1004,"확인 필요"))</x:f>
      </x:c>
      <x:c r="K271" s="85" t="str">
        <x:f>IF(A271="","",IF(H271&lt;&gt;"원인분석 대상","",IF(J271&gt;0,"붙임 문서 확인 후 원인 확정 필요","결의서명 기반 원인분류 검토")))</x:f>
      </x:c>
    </x:row>
    <x:row r="272">
      <x:c r="A272" s="73" t="str">
        <x:f>IFERROR(INDEX('계산도우미'!$B$5:$B$2004,MATCH(ROWS($A$5:A272),'계산도우미'!$K$5:$K$2004,0)),"")</x:f>
      </x:c>
      <x:c r="B272" s="73" t="str">
        <x:f>IF(A272="","",IFERROR(INDEX('당기원장'!$B$5:$B$1004,MATCH(A272,'당기원장'!$A$5:$A$1004,0)),IFERROR(INDEX('전기원장'!$B$5:$B$1004,MATCH(A272,'전기원장'!$A$5:$A$1004,0)),"")))</x:f>
      </x:c>
      <x:c r="C272" s="75" t="str">
        <x:f>IF(A272="","",SUMIF('전기원장'!$A$5:$A$1004,A272,'전기원장'!$H$5:$H$1004))</x:f>
      </x:c>
      <x:c r="D272" s="75" t="str">
        <x:f>IF(A272="","",SUMIF('당기원장'!$A$5:$A$1004,A272,'당기원장'!$H$5:$H$1004))</x:f>
      </x:c>
      <x:c r="E272" s="75" t="str">
        <x:f>IF(A272="","",D272-C272)</x:f>
      </x:c>
      <x:c r="F272" s="88" t="str">
        <x:f>IF(A272="","",IF(C272=0,IF(D272=0,0,1),ABS(E272)/ABS(C272)))</x:f>
      </x:c>
      <x:c r="G272" s="73" t="str">
        <x:f>IF(A272="","",IF(AND(C272=0,D272&lt;&gt;0),"신규",IF(AND(C272&lt;&gt;0,D272=0),"소멸",IF(E272=0,"변동없음","금액변동"))))</x:f>
      </x:c>
      <x:c r="H272" s="73" t="str">
        <x:f>IF(A272="","",IF(AND(ABS(E272)&gt;='기준설정'!$B$6,OR(G272="신규",G272="소멸",F272&gt;='기준설정'!$B$5)),"원인분석 대상","일반"))</x:f>
      </x:c>
      <x:c r="I272" s="73" t="str">
        <x:f>IF(A272="","",IF(H272="원인분석 대상","세부원인분석 시트에서 거래별 원인을 검토","-"))</x:f>
      </x:c>
      <x:c r="J272" s="73" t="str">
        <x:f>IF(A272="","",COUNTIFS('전기원장'!$A$5:$A$1004,A272,'전기원장'!$J$5:$J$1004,"확인 필요")+COUNTIFS('당기원장'!$A$5:$A$1004,A272,'당기원장'!$J$5:$J$1004,"확인 필요"))</x:f>
      </x:c>
      <x:c r="K272" s="85" t="str">
        <x:f>IF(A272="","",IF(H272&lt;&gt;"원인분석 대상","",IF(J272&gt;0,"붙임 문서 확인 후 원인 확정 필요","결의서명 기반 원인분류 검토")))</x:f>
      </x:c>
    </x:row>
    <x:row r="273">
      <x:c r="A273" s="73" t="str">
        <x:f>IFERROR(INDEX('계산도우미'!$B$5:$B$2004,MATCH(ROWS($A$5:A273),'계산도우미'!$K$5:$K$2004,0)),"")</x:f>
      </x:c>
      <x:c r="B273" s="73" t="str">
        <x:f>IF(A273="","",IFERROR(INDEX('당기원장'!$B$5:$B$1004,MATCH(A273,'당기원장'!$A$5:$A$1004,0)),IFERROR(INDEX('전기원장'!$B$5:$B$1004,MATCH(A273,'전기원장'!$A$5:$A$1004,0)),"")))</x:f>
      </x:c>
      <x:c r="C273" s="75" t="str">
        <x:f>IF(A273="","",SUMIF('전기원장'!$A$5:$A$1004,A273,'전기원장'!$H$5:$H$1004))</x:f>
      </x:c>
      <x:c r="D273" s="75" t="str">
        <x:f>IF(A273="","",SUMIF('당기원장'!$A$5:$A$1004,A273,'당기원장'!$H$5:$H$1004))</x:f>
      </x:c>
      <x:c r="E273" s="75" t="str">
        <x:f>IF(A273="","",D273-C273)</x:f>
      </x:c>
      <x:c r="F273" s="88" t="str">
        <x:f>IF(A273="","",IF(C273=0,IF(D273=0,0,1),ABS(E273)/ABS(C273)))</x:f>
      </x:c>
      <x:c r="G273" s="73" t="str">
        <x:f>IF(A273="","",IF(AND(C273=0,D273&lt;&gt;0),"신규",IF(AND(C273&lt;&gt;0,D273=0),"소멸",IF(E273=0,"변동없음","금액변동"))))</x:f>
      </x:c>
      <x:c r="H273" s="73" t="str">
        <x:f>IF(A273="","",IF(AND(ABS(E273)&gt;='기준설정'!$B$6,OR(G273="신규",G273="소멸",F273&gt;='기준설정'!$B$5)),"원인분석 대상","일반"))</x:f>
      </x:c>
      <x:c r="I273" s="73" t="str">
        <x:f>IF(A273="","",IF(H273="원인분석 대상","세부원인분석 시트에서 거래별 원인을 검토","-"))</x:f>
      </x:c>
      <x:c r="J273" s="73" t="str">
        <x:f>IF(A273="","",COUNTIFS('전기원장'!$A$5:$A$1004,A273,'전기원장'!$J$5:$J$1004,"확인 필요")+COUNTIFS('당기원장'!$A$5:$A$1004,A273,'당기원장'!$J$5:$J$1004,"확인 필요"))</x:f>
      </x:c>
      <x:c r="K273" s="85" t="str">
        <x:f>IF(A273="","",IF(H273&lt;&gt;"원인분석 대상","",IF(J273&gt;0,"붙임 문서 확인 후 원인 확정 필요","결의서명 기반 원인분류 검토")))</x:f>
      </x:c>
    </x:row>
    <x:row r="274">
      <x:c r="A274" s="73" t="str">
        <x:f>IFERROR(INDEX('계산도우미'!$B$5:$B$2004,MATCH(ROWS($A$5:A274),'계산도우미'!$K$5:$K$2004,0)),"")</x:f>
      </x:c>
      <x:c r="B274" s="73" t="str">
        <x:f>IF(A274="","",IFERROR(INDEX('당기원장'!$B$5:$B$1004,MATCH(A274,'당기원장'!$A$5:$A$1004,0)),IFERROR(INDEX('전기원장'!$B$5:$B$1004,MATCH(A274,'전기원장'!$A$5:$A$1004,0)),"")))</x:f>
      </x:c>
      <x:c r="C274" s="75" t="str">
        <x:f>IF(A274="","",SUMIF('전기원장'!$A$5:$A$1004,A274,'전기원장'!$H$5:$H$1004))</x:f>
      </x:c>
      <x:c r="D274" s="75" t="str">
        <x:f>IF(A274="","",SUMIF('당기원장'!$A$5:$A$1004,A274,'당기원장'!$H$5:$H$1004))</x:f>
      </x:c>
      <x:c r="E274" s="75" t="str">
        <x:f>IF(A274="","",D274-C274)</x:f>
      </x:c>
      <x:c r="F274" s="88" t="str">
        <x:f>IF(A274="","",IF(C274=0,IF(D274=0,0,1),ABS(E274)/ABS(C274)))</x:f>
      </x:c>
      <x:c r="G274" s="73" t="str">
        <x:f>IF(A274="","",IF(AND(C274=0,D274&lt;&gt;0),"신규",IF(AND(C274&lt;&gt;0,D274=0),"소멸",IF(E274=0,"변동없음","금액변동"))))</x:f>
      </x:c>
      <x:c r="H274" s="73" t="str">
        <x:f>IF(A274="","",IF(AND(ABS(E274)&gt;='기준설정'!$B$6,OR(G274="신규",G274="소멸",F274&gt;='기준설정'!$B$5)),"원인분석 대상","일반"))</x:f>
      </x:c>
      <x:c r="I274" s="73" t="str">
        <x:f>IF(A274="","",IF(H274="원인분석 대상","세부원인분석 시트에서 거래별 원인을 검토","-"))</x:f>
      </x:c>
      <x:c r="J274" s="73" t="str">
        <x:f>IF(A274="","",COUNTIFS('전기원장'!$A$5:$A$1004,A274,'전기원장'!$J$5:$J$1004,"확인 필요")+COUNTIFS('당기원장'!$A$5:$A$1004,A274,'당기원장'!$J$5:$J$1004,"확인 필요"))</x:f>
      </x:c>
      <x:c r="K274" s="85" t="str">
        <x:f>IF(A274="","",IF(H274&lt;&gt;"원인분석 대상","",IF(J274&gt;0,"붙임 문서 확인 후 원인 확정 필요","결의서명 기반 원인분류 검토")))</x:f>
      </x:c>
    </x:row>
    <x:row r="275">
      <x:c r="A275" s="73" t="str">
        <x:f>IFERROR(INDEX('계산도우미'!$B$5:$B$2004,MATCH(ROWS($A$5:A275),'계산도우미'!$K$5:$K$2004,0)),"")</x:f>
      </x:c>
      <x:c r="B275" s="73" t="str">
        <x:f>IF(A275="","",IFERROR(INDEX('당기원장'!$B$5:$B$1004,MATCH(A275,'당기원장'!$A$5:$A$1004,0)),IFERROR(INDEX('전기원장'!$B$5:$B$1004,MATCH(A275,'전기원장'!$A$5:$A$1004,0)),"")))</x:f>
      </x:c>
      <x:c r="C275" s="75" t="str">
        <x:f>IF(A275="","",SUMIF('전기원장'!$A$5:$A$1004,A275,'전기원장'!$H$5:$H$1004))</x:f>
      </x:c>
      <x:c r="D275" s="75" t="str">
        <x:f>IF(A275="","",SUMIF('당기원장'!$A$5:$A$1004,A275,'당기원장'!$H$5:$H$1004))</x:f>
      </x:c>
      <x:c r="E275" s="75" t="str">
        <x:f>IF(A275="","",D275-C275)</x:f>
      </x:c>
      <x:c r="F275" s="88" t="str">
        <x:f>IF(A275="","",IF(C275=0,IF(D275=0,0,1),ABS(E275)/ABS(C275)))</x:f>
      </x:c>
      <x:c r="G275" s="73" t="str">
        <x:f>IF(A275="","",IF(AND(C275=0,D275&lt;&gt;0),"신규",IF(AND(C275&lt;&gt;0,D275=0),"소멸",IF(E275=0,"변동없음","금액변동"))))</x:f>
      </x:c>
      <x:c r="H275" s="73" t="str">
        <x:f>IF(A275="","",IF(AND(ABS(E275)&gt;='기준설정'!$B$6,OR(G275="신규",G275="소멸",F275&gt;='기준설정'!$B$5)),"원인분석 대상","일반"))</x:f>
      </x:c>
      <x:c r="I275" s="73" t="str">
        <x:f>IF(A275="","",IF(H275="원인분석 대상","세부원인분석 시트에서 거래별 원인을 검토","-"))</x:f>
      </x:c>
      <x:c r="J275" s="73" t="str">
        <x:f>IF(A275="","",COUNTIFS('전기원장'!$A$5:$A$1004,A275,'전기원장'!$J$5:$J$1004,"확인 필요")+COUNTIFS('당기원장'!$A$5:$A$1004,A275,'당기원장'!$J$5:$J$1004,"확인 필요"))</x:f>
      </x:c>
      <x:c r="K275" s="85" t="str">
        <x:f>IF(A275="","",IF(H275&lt;&gt;"원인분석 대상","",IF(J275&gt;0,"붙임 문서 확인 후 원인 확정 필요","결의서명 기반 원인분류 검토")))</x:f>
      </x:c>
    </x:row>
    <x:row r="276">
      <x:c r="A276" s="73" t="str">
        <x:f>IFERROR(INDEX('계산도우미'!$B$5:$B$2004,MATCH(ROWS($A$5:A276),'계산도우미'!$K$5:$K$2004,0)),"")</x:f>
      </x:c>
      <x:c r="B276" s="73" t="str">
        <x:f>IF(A276="","",IFERROR(INDEX('당기원장'!$B$5:$B$1004,MATCH(A276,'당기원장'!$A$5:$A$1004,0)),IFERROR(INDEX('전기원장'!$B$5:$B$1004,MATCH(A276,'전기원장'!$A$5:$A$1004,0)),"")))</x:f>
      </x:c>
      <x:c r="C276" s="75" t="str">
        <x:f>IF(A276="","",SUMIF('전기원장'!$A$5:$A$1004,A276,'전기원장'!$H$5:$H$1004))</x:f>
      </x:c>
      <x:c r="D276" s="75" t="str">
        <x:f>IF(A276="","",SUMIF('당기원장'!$A$5:$A$1004,A276,'당기원장'!$H$5:$H$1004))</x:f>
      </x:c>
      <x:c r="E276" s="75" t="str">
        <x:f>IF(A276="","",D276-C276)</x:f>
      </x:c>
      <x:c r="F276" s="88" t="str">
        <x:f>IF(A276="","",IF(C276=0,IF(D276=0,0,1),ABS(E276)/ABS(C276)))</x:f>
      </x:c>
      <x:c r="G276" s="73" t="str">
        <x:f>IF(A276="","",IF(AND(C276=0,D276&lt;&gt;0),"신규",IF(AND(C276&lt;&gt;0,D276=0),"소멸",IF(E276=0,"변동없음","금액변동"))))</x:f>
      </x:c>
      <x:c r="H276" s="73" t="str">
        <x:f>IF(A276="","",IF(AND(ABS(E276)&gt;='기준설정'!$B$6,OR(G276="신규",G276="소멸",F276&gt;='기준설정'!$B$5)),"원인분석 대상","일반"))</x:f>
      </x:c>
      <x:c r="I276" s="73" t="str">
        <x:f>IF(A276="","",IF(H276="원인분석 대상","세부원인분석 시트에서 거래별 원인을 검토","-"))</x:f>
      </x:c>
      <x:c r="J276" s="73" t="str">
        <x:f>IF(A276="","",COUNTIFS('전기원장'!$A$5:$A$1004,A276,'전기원장'!$J$5:$J$1004,"확인 필요")+COUNTIFS('당기원장'!$A$5:$A$1004,A276,'당기원장'!$J$5:$J$1004,"확인 필요"))</x:f>
      </x:c>
      <x:c r="K276" s="85" t="str">
        <x:f>IF(A276="","",IF(H276&lt;&gt;"원인분석 대상","",IF(J276&gt;0,"붙임 문서 확인 후 원인 확정 필요","결의서명 기반 원인분류 검토")))</x:f>
      </x:c>
    </x:row>
    <x:row r="277">
      <x:c r="A277" s="73" t="str">
        <x:f>IFERROR(INDEX('계산도우미'!$B$5:$B$2004,MATCH(ROWS($A$5:A277),'계산도우미'!$K$5:$K$2004,0)),"")</x:f>
      </x:c>
      <x:c r="B277" s="73" t="str">
        <x:f>IF(A277="","",IFERROR(INDEX('당기원장'!$B$5:$B$1004,MATCH(A277,'당기원장'!$A$5:$A$1004,0)),IFERROR(INDEX('전기원장'!$B$5:$B$1004,MATCH(A277,'전기원장'!$A$5:$A$1004,0)),"")))</x:f>
      </x:c>
      <x:c r="C277" s="75" t="str">
        <x:f>IF(A277="","",SUMIF('전기원장'!$A$5:$A$1004,A277,'전기원장'!$H$5:$H$1004))</x:f>
      </x:c>
      <x:c r="D277" s="75" t="str">
        <x:f>IF(A277="","",SUMIF('당기원장'!$A$5:$A$1004,A277,'당기원장'!$H$5:$H$1004))</x:f>
      </x:c>
      <x:c r="E277" s="75" t="str">
        <x:f>IF(A277="","",D277-C277)</x:f>
      </x:c>
      <x:c r="F277" s="88" t="str">
        <x:f>IF(A277="","",IF(C277=0,IF(D277=0,0,1),ABS(E277)/ABS(C277)))</x:f>
      </x:c>
      <x:c r="G277" s="73" t="str">
        <x:f>IF(A277="","",IF(AND(C277=0,D277&lt;&gt;0),"신규",IF(AND(C277&lt;&gt;0,D277=0),"소멸",IF(E277=0,"변동없음","금액변동"))))</x:f>
      </x:c>
      <x:c r="H277" s="73" t="str">
        <x:f>IF(A277="","",IF(AND(ABS(E277)&gt;='기준설정'!$B$6,OR(G277="신규",G277="소멸",F277&gt;='기준설정'!$B$5)),"원인분석 대상","일반"))</x:f>
      </x:c>
      <x:c r="I277" s="73" t="str">
        <x:f>IF(A277="","",IF(H277="원인분석 대상","세부원인분석 시트에서 거래별 원인을 검토","-"))</x:f>
      </x:c>
      <x:c r="J277" s="73" t="str">
        <x:f>IF(A277="","",COUNTIFS('전기원장'!$A$5:$A$1004,A277,'전기원장'!$J$5:$J$1004,"확인 필요")+COUNTIFS('당기원장'!$A$5:$A$1004,A277,'당기원장'!$J$5:$J$1004,"확인 필요"))</x:f>
      </x:c>
      <x:c r="K277" s="85" t="str">
        <x:f>IF(A277="","",IF(H277&lt;&gt;"원인분석 대상","",IF(J277&gt;0,"붙임 문서 확인 후 원인 확정 필요","결의서명 기반 원인분류 검토")))</x:f>
      </x:c>
    </x:row>
    <x:row r="278">
      <x:c r="A278" s="73" t="str">
        <x:f>IFERROR(INDEX('계산도우미'!$B$5:$B$2004,MATCH(ROWS($A$5:A278),'계산도우미'!$K$5:$K$2004,0)),"")</x:f>
      </x:c>
      <x:c r="B278" s="73" t="str">
        <x:f>IF(A278="","",IFERROR(INDEX('당기원장'!$B$5:$B$1004,MATCH(A278,'당기원장'!$A$5:$A$1004,0)),IFERROR(INDEX('전기원장'!$B$5:$B$1004,MATCH(A278,'전기원장'!$A$5:$A$1004,0)),"")))</x:f>
      </x:c>
      <x:c r="C278" s="75" t="str">
        <x:f>IF(A278="","",SUMIF('전기원장'!$A$5:$A$1004,A278,'전기원장'!$H$5:$H$1004))</x:f>
      </x:c>
      <x:c r="D278" s="75" t="str">
        <x:f>IF(A278="","",SUMIF('당기원장'!$A$5:$A$1004,A278,'당기원장'!$H$5:$H$1004))</x:f>
      </x:c>
      <x:c r="E278" s="75" t="str">
        <x:f>IF(A278="","",D278-C278)</x:f>
      </x:c>
      <x:c r="F278" s="88" t="str">
        <x:f>IF(A278="","",IF(C278=0,IF(D278=0,0,1),ABS(E278)/ABS(C278)))</x:f>
      </x:c>
      <x:c r="G278" s="73" t="str">
        <x:f>IF(A278="","",IF(AND(C278=0,D278&lt;&gt;0),"신규",IF(AND(C278&lt;&gt;0,D278=0),"소멸",IF(E278=0,"변동없음","금액변동"))))</x:f>
      </x:c>
      <x:c r="H278" s="73" t="str">
        <x:f>IF(A278="","",IF(AND(ABS(E278)&gt;='기준설정'!$B$6,OR(G278="신규",G278="소멸",F278&gt;='기준설정'!$B$5)),"원인분석 대상","일반"))</x:f>
      </x:c>
      <x:c r="I278" s="73" t="str">
        <x:f>IF(A278="","",IF(H278="원인분석 대상","세부원인분석 시트에서 거래별 원인을 검토","-"))</x:f>
      </x:c>
      <x:c r="J278" s="73" t="str">
        <x:f>IF(A278="","",COUNTIFS('전기원장'!$A$5:$A$1004,A278,'전기원장'!$J$5:$J$1004,"확인 필요")+COUNTIFS('당기원장'!$A$5:$A$1004,A278,'당기원장'!$J$5:$J$1004,"확인 필요"))</x:f>
      </x:c>
      <x:c r="K278" s="85" t="str">
        <x:f>IF(A278="","",IF(H278&lt;&gt;"원인분석 대상","",IF(J278&gt;0,"붙임 문서 확인 후 원인 확정 필요","결의서명 기반 원인분류 검토")))</x:f>
      </x:c>
    </x:row>
    <x:row r="279">
      <x:c r="A279" s="73" t="str">
        <x:f>IFERROR(INDEX('계산도우미'!$B$5:$B$2004,MATCH(ROWS($A$5:A279),'계산도우미'!$K$5:$K$2004,0)),"")</x:f>
      </x:c>
      <x:c r="B279" s="73" t="str">
        <x:f>IF(A279="","",IFERROR(INDEX('당기원장'!$B$5:$B$1004,MATCH(A279,'당기원장'!$A$5:$A$1004,0)),IFERROR(INDEX('전기원장'!$B$5:$B$1004,MATCH(A279,'전기원장'!$A$5:$A$1004,0)),"")))</x:f>
      </x:c>
      <x:c r="C279" s="75" t="str">
        <x:f>IF(A279="","",SUMIF('전기원장'!$A$5:$A$1004,A279,'전기원장'!$H$5:$H$1004))</x:f>
      </x:c>
      <x:c r="D279" s="75" t="str">
        <x:f>IF(A279="","",SUMIF('당기원장'!$A$5:$A$1004,A279,'당기원장'!$H$5:$H$1004))</x:f>
      </x:c>
      <x:c r="E279" s="75" t="str">
        <x:f>IF(A279="","",D279-C279)</x:f>
      </x:c>
      <x:c r="F279" s="88" t="str">
        <x:f>IF(A279="","",IF(C279=0,IF(D279=0,0,1),ABS(E279)/ABS(C279)))</x:f>
      </x:c>
      <x:c r="G279" s="73" t="str">
        <x:f>IF(A279="","",IF(AND(C279=0,D279&lt;&gt;0),"신규",IF(AND(C279&lt;&gt;0,D279=0),"소멸",IF(E279=0,"변동없음","금액변동"))))</x:f>
      </x:c>
      <x:c r="H279" s="73" t="str">
        <x:f>IF(A279="","",IF(AND(ABS(E279)&gt;='기준설정'!$B$6,OR(G279="신규",G279="소멸",F279&gt;='기준설정'!$B$5)),"원인분석 대상","일반"))</x:f>
      </x:c>
      <x:c r="I279" s="73" t="str">
        <x:f>IF(A279="","",IF(H279="원인분석 대상","세부원인분석 시트에서 거래별 원인을 검토","-"))</x:f>
      </x:c>
      <x:c r="J279" s="73" t="str">
        <x:f>IF(A279="","",COUNTIFS('전기원장'!$A$5:$A$1004,A279,'전기원장'!$J$5:$J$1004,"확인 필요")+COUNTIFS('당기원장'!$A$5:$A$1004,A279,'당기원장'!$J$5:$J$1004,"확인 필요"))</x:f>
      </x:c>
      <x:c r="K279" s="85" t="str">
        <x:f>IF(A279="","",IF(H279&lt;&gt;"원인분석 대상","",IF(J279&gt;0,"붙임 문서 확인 후 원인 확정 필요","결의서명 기반 원인분류 검토")))</x:f>
      </x:c>
    </x:row>
    <x:row r="280">
      <x:c r="A280" s="73" t="str">
        <x:f>IFERROR(INDEX('계산도우미'!$B$5:$B$2004,MATCH(ROWS($A$5:A280),'계산도우미'!$K$5:$K$2004,0)),"")</x:f>
      </x:c>
      <x:c r="B280" s="73" t="str">
        <x:f>IF(A280="","",IFERROR(INDEX('당기원장'!$B$5:$B$1004,MATCH(A280,'당기원장'!$A$5:$A$1004,0)),IFERROR(INDEX('전기원장'!$B$5:$B$1004,MATCH(A280,'전기원장'!$A$5:$A$1004,0)),"")))</x:f>
      </x:c>
      <x:c r="C280" s="75" t="str">
        <x:f>IF(A280="","",SUMIF('전기원장'!$A$5:$A$1004,A280,'전기원장'!$H$5:$H$1004))</x:f>
      </x:c>
      <x:c r="D280" s="75" t="str">
        <x:f>IF(A280="","",SUMIF('당기원장'!$A$5:$A$1004,A280,'당기원장'!$H$5:$H$1004))</x:f>
      </x:c>
      <x:c r="E280" s="75" t="str">
        <x:f>IF(A280="","",D280-C280)</x:f>
      </x:c>
      <x:c r="F280" s="88" t="str">
        <x:f>IF(A280="","",IF(C280=0,IF(D280=0,0,1),ABS(E280)/ABS(C280)))</x:f>
      </x:c>
      <x:c r="G280" s="73" t="str">
        <x:f>IF(A280="","",IF(AND(C280=0,D280&lt;&gt;0),"신규",IF(AND(C280&lt;&gt;0,D280=0),"소멸",IF(E280=0,"변동없음","금액변동"))))</x:f>
      </x:c>
      <x:c r="H280" s="73" t="str">
        <x:f>IF(A280="","",IF(AND(ABS(E280)&gt;='기준설정'!$B$6,OR(G280="신규",G280="소멸",F280&gt;='기준설정'!$B$5)),"원인분석 대상","일반"))</x:f>
      </x:c>
      <x:c r="I280" s="73" t="str">
        <x:f>IF(A280="","",IF(H280="원인분석 대상","세부원인분석 시트에서 거래별 원인을 검토","-"))</x:f>
      </x:c>
      <x:c r="J280" s="73" t="str">
        <x:f>IF(A280="","",COUNTIFS('전기원장'!$A$5:$A$1004,A280,'전기원장'!$J$5:$J$1004,"확인 필요")+COUNTIFS('당기원장'!$A$5:$A$1004,A280,'당기원장'!$J$5:$J$1004,"확인 필요"))</x:f>
      </x:c>
      <x:c r="K280" s="85" t="str">
        <x:f>IF(A280="","",IF(H280&lt;&gt;"원인분석 대상","",IF(J280&gt;0,"붙임 문서 확인 후 원인 확정 필요","결의서명 기반 원인분류 검토")))</x:f>
      </x:c>
    </x:row>
    <x:row r="281">
      <x:c r="A281" s="73" t="str">
        <x:f>IFERROR(INDEX('계산도우미'!$B$5:$B$2004,MATCH(ROWS($A$5:A281),'계산도우미'!$K$5:$K$2004,0)),"")</x:f>
      </x:c>
      <x:c r="B281" s="73" t="str">
        <x:f>IF(A281="","",IFERROR(INDEX('당기원장'!$B$5:$B$1004,MATCH(A281,'당기원장'!$A$5:$A$1004,0)),IFERROR(INDEX('전기원장'!$B$5:$B$1004,MATCH(A281,'전기원장'!$A$5:$A$1004,0)),"")))</x:f>
      </x:c>
      <x:c r="C281" s="75" t="str">
        <x:f>IF(A281="","",SUMIF('전기원장'!$A$5:$A$1004,A281,'전기원장'!$H$5:$H$1004))</x:f>
      </x:c>
      <x:c r="D281" s="75" t="str">
        <x:f>IF(A281="","",SUMIF('당기원장'!$A$5:$A$1004,A281,'당기원장'!$H$5:$H$1004))</x:f>
      </x:c>
      <x:c r="E281" s="75" t="str">
        <x:f>IF(A281="","",D281-C281)</x:f>
      </x:c>
      <x:c r="F281" s="88" t="str">
        <x:f>IF(A281="","",IF(C281=0,IF(D281=0,0,1),ABS(E281)/ABS(C281)))</x:f>
      </x:c>
      <x:c r="G281" s="73" t="str">
        <x:f>IF(A281="","",IF(AND(C281=0,D281&lt;&gt;0),"신규",IF(AND(C281&lt;&gt;0,D281=0),"소멸",IF(E281=0,"변동없음","금액변동"))))</x:f>
      </x:c>
      <x:c r="H281" s="73" t="str">
        <x:f>IF(A281="","",IF(AND(ABS(E281)&gt;='기준설정'!$B$6,OR(G281="신규",G281="소멸",F281&gt;='기준설정'!$B$5)),"원인분석 대상","일반"))</x:f>
      </x:c>
      <x:c r="I281" s="73" t="str">
        <x:f>IF(A281="","",IF(H281="원인분석 대상","세부원인분석 시트에서 거래별 원인을 검토","-"))</x:f>
      </x:c>
      <x:c r="J281" s="73" t="str">
        <x:f>IF(A281="","",COUNTIFS('전기원장'!$A$5:$A$1004,A281,'전기원장'!$J$5:$J$1004,"확인 필요")+COUNTIFS('당기원장'!$A$5:$A$1004,A281,'당기원장'!$J$5:$J$1004,"확인 필요"))</x:f>
      </x:c>
      <x:c r="K281" s="85" t="str">
        <x:f>IF(A281="","",IF(H281&lt;&gt;"원인분석 대상","",IF(J281&gt;0,"붙임 문서 확인 후 원인 확정 필요","결의서명 기반 원인분류 검토")))</x:f>
      </x:c>
    </x:row>
    <x:row r="282">
      <x:c r="A282" s="73" t="str">
        <x:f>IFERROR(INDEX('계산도우미'!$B$5:$B$2004,MATCH(ROWS($A$5:A282),'계산도우미'!$K$5:$K$2004,0)),"")</x:f>
      </x:c>
      <x:c r="B282" s="73" t="str">
        <x:f>IF(A282="","",IFERROR(INDEX('당기원장'!$B$5:$B$1004,MATCH(A282,'당기원장'!$A$5:$A$1004,0)),IFERROR(INDEX('전기원장'!$B$5:$B$1004,MATCH(A282,'전기원장'!$A$5:$A$1004,0)),"")))</x:f>
      </x:c>
      <x:c r="C282" s="75" t="str">
        <x:f>IF(A282="","",SUMIF('전기원장'!$A$5:$A$1004,A282,'전기원장'!$H$5:$H$1004))</x:f>
      </x:c>
      <x:c r="D282" s="75" t="str">
        <x:f>IF(A282="","",SUMIF('당기원장'!$A$5:$A$1004,A282,'당기원장'!$H$5:$H$1004))</x:f>
      </x:c>
      <x:c r="E282" s="75" t="str">
        <x:f>IF(A282="","",D282-C282)</x:f>
      </x:c>
      <x:c r="F282" s="88" t="str">
        <x:f>IF(A282="","",IF(C282=0,IF(D282=0,0,1),ABS(E282)/ABS(C282)))</x:f>
      </x:c>
      <x:c r="G282" s="73" t="str">
        <x:f>IF(A282="","",IF(AND(C282=0,D282&lt;&gt;0),"신규",IF(AND(C282&lt;&gt;0,D282=0),"소멸",IF(E282=0,"변동없음","금액변동"))))</x:f>
      </x:c>
      <x:c r="H282" s="73" t="str">
        <x:f>IF(A282="","",IF(AND(ABS(E282)&gt;='기준설정'!$B$6,OR(G282="신규",G282="소멸",F282&gt;='기준설정'!$B$5)),"원인분석 대상","일반"))</x:f>
      </x:c>
      <x:c r="I282" s="73" t="str">
        <x:f>IF(A282="","",IF(H282="원인분석 대상","세부원인분석 시트에서 거래별 원인을 검토","-"))</x:f>
      </x:c>
      <x:c r="J282" s="73" t="str">
        <x:f>IF(A282="","",COUNTIFS('전기원장'!$A$5:$A$1004,A282,'전기원장'!$J$5:$J$1004,"확인 필요")+COUNTIFS('당기원장'!$A$5:$A$1004,A282,'당기원장'!$J$5:$J$1004,"확인 필요"))</x:f>
      </x:c>
      <x:c r="K282" s="85" t="str">
        <x:f>IF(A282="","",IF(H282&lt;&gt;"원인분석 대상","",IF(J282&gt;0,"붙임 문서 확인 후 원인 확정 필요","결의서명 기반 원인분류 검토")))</x:f>
      </x:c>
    </x:row>
    <x:row r="283">
      <x:c r="A283" s="73" t="str">
        <x:f>IFERROR(INDEX('계산도우미'!$B$5:$B$2004,MATCH(ROWS($A$5:A283),'계산도우미'!$K$5:$K$2004,0)),"")</x:f>
      </x:c>
      <x:c r="B283" s="73" t="str">
        <x:f>IF(A283="","",IFERROR(INDEX('당기원장'!$B$5:$B$1004,MATCH(A283,'당기원장'!$A$5:$A$1004,0)),IFERROR(INDEX('전기원장'!$B$5:$B$1004,MATCH(A283,'전기원장'!$A$5:$A$1004,0)),"")))</x:f>
      </x:c>
      <x:c r="C283" s="75" t="str">
        <x:f>IF(A283="","",SUMIF('전기원장'!$A$5:$A$1004,A283,'전기원장'!$H$5:$H$1004))</x:f>
      </x:c>
      <x:c r="D283" s="75" t="str">
        <x:f>IF(A283="","",SUMIF('당기원장'!$A$5:$A$1004,A283,'당기원장'!$H$5:$H$1004))</x:f>
      </x:c>
      <x:c r="E283" s="75" t="str">
        <x:f>IF(A283="","",D283-C283)</x:f>
      </x:c>
      <x:c r="F283" s="88" t="str">
        <x:f>IF(A283="","",IF(C283=0,IF(D283=0,0,1),ABS(E283)/ABS(C283)))</x:f>
      </x:c>
      <x:c r="G283" s="73" t="str">
        <x:f>IF(A283="","",IF(AND(C283=0,D283&lt;&gt;0),"신규",IF(AND(C283&lt;&gt;0,D283=0),"소멸",IF(E283=0,"변동없음","금액변동"))))</x:f>
      </x:c>
      <x:c r="H283" s="73" t="str">
        <x:f>IF(A283="","",IF(AND(ABS(E283)&gt;='기준설정'!$B$6,OR(G283="신규",G283="소멸",F283&gt;='기준설정'!$B$5)),"원인분석 대상","일반"))</x:f>
      </x:c>
      <x:c r="I283" s="73" t="str">
        <x:f>IF(A283="","",IF(H283="원인분석 대상","세부원인분석 시트에서 거래별 원인을 검토","-"))</x:f>
      </x:c>
      <x:c r="J283" s="73" t="str">
        <x:f>IF(A283="","",COUNTIFS('전기원장'!$A$5:$A$1004,A283,'전기원장'!$J$5:$J$1004,"확인 필요")+COUNTIFS('당기원장'!$A$5:$A$1004,A283,'당기원장'!$J$5:$J$1004,"확인 필요"))</x:f>
      </x:c>
      <x:c r="K283" s="85" t="str">
        <x:f>IF(A283="","",IF(H283&lt;&gt;"원인분석 대상","",IF(J283&gt;0,"붙임 문서 확인 후 원인 확정 필요","결의서명 기반 원인분류 검토")))</x:f>
      </x:c>
    </x:row>
    <x:row r="284">
      <x:c r="A284" s="73" t="str">
        <x:f>IFERROR(INDEX('계산도우미'!$B$5:$B$2004,MATCH(ROWS($A$5:A284),'계산도우미'!$K$5:$K$2004,0)),"")</x:f>
      </x:c>
      <x:c r="B284" s="73" t="str">
        <x:f>IF(A284="","",IFERROR(INDEX('당기원장'!$B$5:$B$1004,MATCH(A284,'당기원장'!$A$5:$A$1004,0)),IFERROR(INDEX('전기원장'!$B$5:$B$1004,MATCH(A284,'전기원장'!$A$5:$A$1004,0)),"")))</x:f>
      </x:c>
      <x:c r="C284" s="75" t="str">
        <x:f>IF(A284="","",SUMIF('전기원장'!$A$5:$A$1004,A284,'전기원장'!$H$5:$H$1004))</x:f>
      </x:c>
      <x:c r="D284" s="75" t="str">
        <x:f>IF(A284="","",SUMIF('당기원장'!$A$5:$A$1004,A284,'당기원장'!$H$5:$H$1004))</x:f>
      </x:c>
      <x:c r="E284" s="75" t="str">
        <x:f>IF(A284="","",D284-C284)</x:f>
      </x:c>
      <x:c r="F284" s="88" t="str">
        <x:f>IF(A284="","",IF(C284=0,IF(D284=0,0,1),ABS(E284)/ABS(C284)))</x:f>
      </x:c>
      <x:c r="G284" s="73" t="str">
        <x:f>IF(A284="","",IF(AND(C284=0,D284&lt;&gt;0),"신규",IF(AND(C284&lt;&gt;0,D284=0),"소멸",IF(E284=0,"변동없음","금액변동"))))</x:f>
      </x:c>
      <x:c r="H284" s="73" t="str">
        <x:f>IF(A284="","",IF(AND(ABS(E284)&gt;='기준설정'!$B$6,OR(G284="신규",G284="소멸",F284&gt;='기준설정'!$B$5)),"원인분석 대상","일반"))</x:f>
      </x:c>
      <x:c r="I284" s="73" t="str">
        <x:f>IF(A284="","",IF(H284="원인분석 대상","세부원인분석 시트에서 거래별 원인을 검토","-"))</x:f>
      </x:c>
      <x:c r="J284" s="73" t="str">
        <x:f>IF(A284="","",COUNTIFS('전기원장'!$A$5:$A$1004,A284,'전기원장'!$J$5:$J$1004,"확인 필요")+COUNTIFS('당기원장'!$A$5:$A$1004,A284,'당기원장'!$J$5:$J$1004,"확인 필요"))</x:f>
      </x:c>
      <x:c r="K284" s="85" t="str">
        <x:f>IF(A284="","",IF(H284&lt;&gt;"원인분석 대상","",IF(J284&gt;0,"붙임 문서 확인 후 원인 확정 필요","결의서명 기반 원인분류 검토")))</x:f>
      </x:c>
    </x:row>
    <x:row r="285">
      <x:c r="A285" s="73" t="str">
        <x:f>IFERROR(INDEX('계산도우미'!$B$5:$B$2004,MATCH(ROWS($A$5:A285),'계산도우미'!$K$5:$K$2004,0)),"")</x:f>
      </x:c>
      <x:c r="B285" s="73" t="str">
        <x:f>IF(A285="","",IFERROR(INDEX('당기원장'!$B$5:$B$1004,MATCH(A285,'당기원장'!$A$5:$A$1004,0)),IFERROR(INDEX('전기원장'!$B$5:$B$1004,MATCH(A285,'전기원장'!$A$5:$A$1004,0)),"")))</x:f>
      </x:c>
      <x:c r="C285" s="75" t="str">
        <x:f>IF(A285="","",SUMIF('전기원장'!$A$5:$A$1004,A285,'전기원장'!$H$5:$H$1004))</x:f>
      </x:c>
      <x:c r="D285" s="75" t="str">
        <x:f>IF(A285="","",SUMIF('당기원장'!$A$5:$A$1004,A285,'당기원장'!$H$5:$H$1004))</x:f>
      </x:c>
      <x:c r="E285" s="75" t="str">
        <x:f>IF(A285="","",D285-C285)</x:f>
      </x:c>
      <x:c r="F285" s="88" t="str">
        <x:f>IF(A285="","",IF(C285=0,IF(D285=0,0,1),ABS(E285)/ABS(C285)))</x:f>
      </x:c>
      <x:c r="G285" s="73" t="str">
        <x:f>IF(A285="","",IF(AND(C285=0,D285&lt;&gt;0),"신규",IF(AND(C285&lt;&gt;0,D285=0),"소멸",IF(E285=0,"변동없음","금액변동"))))</x:f>
      </x:c>
      <x:c r="H285" s="73" t="str">
        <x:f>IF(A285="","",IF(AND(ABS(E285)&gt;='기준설정'!$B$6,OR(G285="신규",G285="소멸",F285&gt;='기준설정'!$B$5)),"원인분석 대상","일반"))</x:f>
      </x:c>
      <x:c r="I285" s="73" t="str">
        <x:f>IF(A285="","",IF(H285="원인분석 대상","세부원인분석 시트에서 거래별 원인을 검토","-"))</x:f>
      </x:c>
      <x:c r="J285" s="73" t="str">
        <x:f>IF(A285="","",COUNTIFS('전기원장'!$A$5:$A$1004,A285,'전기원장'!$J$5:$J$1004,"확인 필요")+COUNTIFS('당기원장'!$A$5:$A$1004,A285,'당기원장'!$J$5:$J$1004,"확인 필요"))</x:f>
      </x:c>
      <x:c r="K285" s="85" t="str">
        <x:f>IF(A285="","",IF(H285&lt;&gt;"원인분석 대상","",IF(J285&gt;0,"붙임 문서 확인 후 원인 확정 필요","결의서명 기반 원인분류 검토")))</x:f>
      </x:c>
    </x:row>
    <x:row r="286">
      <x:c r="A286" s="73" t="str">
        <x:f>IFERROR(INDEX('계산도우미'!$B$5:$B$2004,MATCH(ROWS($A$5:A286),'계산도우미'!$K$5:$K$2004,0)),"")</x:f>
      </x:c>
      <x:c r="B286" s="73" t="str">
        <x:f>IF(A286="","",IFERROR(INDEX('당기원장'!$B$5:$B$1004,MATCH(A286,'당기원장'!$A$5:$A$1004,0)),IFERROR(INDEX('전기원장'!$B$5:$B$1004,MATCH(A286,'전기원장'!$A$5:$A$1004,0)),"")))</x:f>
      </x:c>
      <x:c r="C286" s="75" t="str">
        <x:f>IF(A286="","",SUMIF('전기원장'!$A$5:$A$1004,A286,'전기원장'!$H$5:$H$1004))</x:f>
      </x:c>
      <x:c r="D286" s="75" t="str">
        <x:f>IF(A286="","",SUMIF('당기원장'!$A$5:$A$1004,A286,'당기원장'!$H$5:$H$1004))</x:f>
      </x:c>
      <x:c r="E286" s="75" t="str">
        <x:f>IF(A286="","",D286-C286)</x:f>
      </x:c>
      <x:c r="F286" s="88" t="str">
        <x:f>IF(A286="","",IF(C286=0,IF(D286=0,0,1),ABS(E286)/ABS(C286)))</x:f>
      </x:c>
      <x:c r="G286" s="73" t="str">
        <x:f>IF(A286="","",IF(AND(C286=0,D286&lt;&gt;0),"신규",IF(AND(C286&lt;&gt;0,D286=0),"소멸",IF(E286=0,"변동없음","금액변동"))))</x:f>
      </x:c>
      <x:c r="H286" s="73" t="str">
        <x:f>IF(A286="","",IF(AND(ABS(E286)&gt;='기준설정'!$B$6,OR(G286="신규",G286="소멸",F286&gt;='기준설정'!$B$5)),"원인분석 대상","일반"))</x:f>
      </x:c>
      <x:c r="I286" s="73" t="str">
        <x:f>IF(A286="","",IF(H286="원인분석 대상","세부원인분석 시트에서 거래별 원인을 검토","-"))</x:f>
      </x:c>
      <x:c r="J286" s="73" t="str">
        <x:f>IF(A286="","",COUNTIFS('전기원장'!$A$5:$A$1004,A286,'전기원장'!$J$5:$J$1004,"확인 필요")+COUNTIFS('당기원장'!$A$5:$A$1004,A286,'당기원장'!$J$5:$J$1004,"확인 필요"))</x:f>
      </x:c>
      <x:c r="K286" s="85" t="str">
        <x:f>IF(A286="","",IF(H286&lt;&gt;"원인분석 대상","",IF(J286&gt;0,"붙임 문서 확인 후 원인 확정 필요","결의서명 기반 원인분류 검토")))</x:f>
      </x:c>
    </x:row>
    <x:row r="287">
      <x:c r="A287" s="73" t="str">
        <x:f>IFERROR(INDEX('계산도우미'!$B$5:$B$2004,MATCH(ROWS($A$5:A287),'계산도우미'!$K$5:$K$2004,0)),"")</x:f>
      </x:c>
      <x:c r="B287" s="73" t="str">
        <x:f>IF(A287="","",IFERROR(INDEX('당기원장'!$B$5:$B$1004,MATCH(A287,'당기원장'!$A$5:$A$1004,0)),IFERROR(INDEX('전기원장'!$B$5:$B$1004,MATCH(A287,'전기원장'!$A$5:$A$1004,0)),"")))</x:f>
      </x:c>
      <x:c r="C287" s="75" t="str">
        <x:f>IF(A287="","",SUMIF('전기원장'!$A$5:$A$1004,A287,'전기원장'!$H$5:$H$1004))</x:f>
      </x:c>
      <x:c r="D287" s="75" t="str">
        <x:f>IF(A287="","",SUMIF('당기원장'!$A$5:$A$1004,A287,'당기원장'!$H$5:$H$1004))</x:f>
      </x:c>
      <x:c r="E287" s="75" t="str">
        <x:f>IF(A287="","",D287-C287)</x:f>
      </x:c>
      <x:c r="F287" s="88" t="str">
        <x:f>IF(A287="","",IF(C287=0,IF(D287=0,0,1),ABS(E287)/ABS(C287)))</x:f>
      </x:c>
      <x:c r="G287" s="73" t="str">
        <x:f>IF(A287="","",IF(AND(C287=0,D287&lt;&gt;0),"신규",IF(AND(C287&lt;&gt;0,D287=0),"소멸",IF(E287=0,"변동없음","금액변동"))))</x:f>
      </x:c>
      <x:c r="H287" s="73" t="str">
        <x:f>IF(A287="","",IF(AND(ABS(E287)&gt;='기준설정'!$B$6,OR(G287="신규",G287="소멸",F287&gt;='기준설정'!$B$5)),"원인분석 대상","일반"))</x:f>
      </x:c>
      <x:c r="I287" s="73" t="str">
        <x:f>IF(A287="","",IF(H287="원인분석 대상","세부원인분석 시트에서 거래별 원인을 검토","-"))</x:f>
      </x:c>
      <x:c r="J287" s="73" t="str">
        <x:f>IF(A287="","",COUNTIFS('전기원장'!$A$5:$A$1004,A287,'전기원장'!$J$5:$J$1004,"확인 필요")+COUNTIFS('당기원장'!$A$5:$A$1004,A287,'당기원장'!$J$5:$J$1004,"확인 필요"))</x:f>
      </x:c>
      <x:c r="K287" s="85" t="str">
        <x:f>IF(A287="","",IF(H287&lt;&gt;"원인분석 대상","",IF(J287&gt;0,"붙임 문서 확인 후 원인 확정 필요","결의서명 기반 원인분류 검토")))</x:f>
      </x:c>
    </x:row>
    <x:row r="288">
      <x:c r="A288" s="73" t="str">
        <x:f>IFERROR(INDEX('계산도우미'!$B$5:$B$2004,MATCH(ROWS($A$5:A288),'계산도우미'!$K$5:$K$2004,0)),"")</x:f>
      </x:c>
      <x:c r="B288" s="73" t="str">
        <x:f>IF(A288="","",IFERROR(INDEX('당기원장'!$B$5:$B$1004,MATCH(A288,'당기원장'!$A$5:$A$1004,0)),IFERROR(INDEX('전기원장'!$B$5:$B$1004,MATCH(A288,'전기원장'!$A$5:$A$1004,0)),"")))</x:f>
      </x:c>
      <x:c r="C288" s="75" t="str">
        <x:f>IF(A288="","",SUMIF('전기원장'!$A$5:$A$1004,A288,'전기원장'!$H$5:$H$1004))</x:f>
      </x:c>
      <x:c r="D288" s="75" t="str">
        <x:f>IF(A288="","",SUMIF('당기원장'!$A$5:$A$1004,A288,'당기원장'!$H$5:$H$1004))</x:f>
      </x:c>
      <x:c r="E288" s="75" t="str">
        <x:f>IF(A288="","",D288-C288)</x:f>
      </x:c>
      <x:c r="F288" s="88" t="str">
        <x:f>IF(A288="","",IF(C288=0,IF(D288=0,0,1),ABS(E288)/ABS(C288)))</x:f>
      </x:c>
      <x:c r="G288" s="73" t="str">
        <x:f>IF(A288="","",IF(AND(C288=0,D288&lt;&gt;0),"신규",IF(AND(C288&lt;&gt;0,D288=0),"소멸",IF(E288=0,"변동없음","금액변동"))))</x:f>
      </x:c>
      <x:c r="H288" s="73" t="str">
        <x:f>IF(A288="","",IF(AND(ABS(E288)&gt;='기준설정'!$B$6,OR(G288="신규",G288="소멸",F288&gt;='기준설정'!$B$5)),"원인분석 대상","일반"))</x:f>
      </x:c>
      <x:c r="I288" s="73" t="str">
        <x:f>IF(A288="","",IF(H288="원인분석 대상","세부원인분석 시트에서 거래별 원인을 검토","-"))</x:f>
      </x:c>
      <x:c r="J288" s="73" t="str">
        <x:f>IF(A288="","",COUNTIFS('전기원장'!$A$5:$A$1004,A288,'전기원장'!$J$5:$J$1004,"확인 필요")+COUNTIFS('당기원장'!$A$5:$A$1004,A288,'당기원장'!$J$5:$J$1004,"확인 필요"))</x:f>
      </x:c>
      <x:c r="K288" s="85" t="str">
        <x:f>IF(A288="","",IF(H288&lt;&gt;"원인분석 대상","",IF(J288&gt;0,"붙임 문서 확인 후 원인 확정 필요","결의서명 기반 원인분류 검토")))</x:f>
      </x:c>
    </x:row>
    <x:row r="289">
      <x:c r="A289" s="73" t="str">
        <x:f>IFERROR(INDEX('계산도우미'!$B$5:$B$2004,MATCH(ROWS($A$5:A289),'계산도우미'!$K$5:$K$2004,0)),"")</x:f>
      </x:c>
      <x:c r="B289" s="73" t="str">
        <x:f>IF(A289="","",IFERROR(INDEX('당기원장'!$B$5:$B$1004,MATCH(A289,'당기원장'!$A$5:$A$1004,0)),IFERROR(INDEX('전기원장'!$B$5:$B$1004,MATCH(A289,'전기원장'!$A$5:$A$1004,0)),"")))</x:f>
      </x:c>
      <x:c r="C289" s="75" t="str">
        <x:f>IF(A289="","",SUMIF('전기원장'!$A$5:$A$1004,A289,'전기원장'!$H$5:$H$1004))</x:f>
      </x:c>
      <x:c r="D289" s="75" t="str">
        <x:f>IF(A289="","",SUMIF('당기원장'!$A$5:$A$1004,A289,'당기원장'!$H$5:$H$1004))</x:f>
      </x:c>
      <x:c r="E289" s="75" t="str">
        <x:f>IF(A289="","",D289-C289)</x:f>
      </x:c>
      <x:c r="F289" s="88" t="str">
        <x:f>IF(A289="","",IF(C289=0,IF(D289=0,0,1),ABS(E289)/ABS(C289)))</x:f>
      </x:c>
      <x:c r="G289" s="73" t="str">
        <x:f>IF(A289="","",IF(AND(C289=0,D289&lt;&gt;0),"신규",IF(AND(C289&lt;&gt;0,D289=0),"소멸",IF(E289=0,"변동없음","금액변동"))))</x:f>
      </x:c>
      <x:c r="H289" s="73" t="str">
        <x:f>IF(A289="","",IF(AND(ABS(E289)&gt;='기준설정'!$B$6,OR(G289="신규",G289="소멸",F289&gt;='기준설정'!$B$5)),"원인분석 대상","일반"))</x:f>
      </x:c>
      <x:c r="I289" s="73" t="str">
        <x:f>IF(A289="","",IF(H289="원인분석 대상","세부원인분석 시트에서 거래별 원인을 검토","-"))</x:f>
      </x:c>
      <x:c r="J289" s="73" t="str">
        <x:f>IF(A289="","",COUNTIFS('전기원장'!$A$5:$A$1004,A289,'전기원장'!$J$5:$J$1004,"확인 필요")+COUNTIFS('당기원장'!$A$5:$A$1004,A289,'당기원장'!$J$5:$J$1004,"확인 필요"))</x:f>
      </x:c>
      <x:c r="K289" s="85" t="str">
        <x:f>IF(A289="","",IF(H289&lt;&gt;"원인분석 대상","",IF(J289&gt;0,"붙임 문서 확인 후 원인 확정 필요","결의서명 기반 원인분류 검토")))</x:f>
      </x:c>
    </x:row>
    <x:row r="290">
      <x:c r="A290" s="73" t="str">
        <x:f>IFERROR(INDEX('계산도우미'!$B$5:$B$2004,MATCH(ROWS($A$5:A290),'계산도우미'!$K$5:$K$2004,0)),"")</x:f>
      </x:c>
      <x:c r="B290" s="73" t="str">
        <x:f>IF(A290="","",IFERROR(INDEX('당기원장'!$B$5:$B$1004,MATCH(A290,'당기원장'!$A$5:$A$1004,0)),IFERROR(INDEX('전기원장'!$B$5:$B$1004,MATCH(A290,'전기원장'!$A$5:$A$1004,0)),"")))</x:f>
      </x:c>
      <x:c r="C290" s="75" t="str">
        <x:f>IF(A290="","",SUMIF('전기원장'!$A$5:$A$1004,A290,'전기원장'!$H$5:$H$1004))</x:f>
      </x:c>
      <x:c r="D290" s="75" t="str">
        <x:f>IF(A290="","",SUMIF('당기원장'!$A$5:$A$1004,A290,'당기원장'!$H$5:$H$1004))</x:f>
      </x:c>
      <x:c r="E290" s="75" t="str">
        <x:f>IF(A290="","",D290-C290)</x:f>
      </x:c>
      <x:c r="F290" s="88" t="str">
        <x:f>IF(A290="","",IF(C290=0,IF(D290=0,0,1),ABS(E290)/ABS(C290)))</x:f>
      </x:c>
      <x:c r="G290" s="73" t="str">
        <x:f>IF(A290="","",IF(AND(C290=0,D290&lt;&gt;0),"신규",IF(AND(C290&lt;&gt;0,D290=0),"소멸",IF(E290=0,"변동없음","금액변동"))))</x:f>
      </x:c>
      <x:c r="H290" s="73" t="str">
        <x:f>IF(A290="","",IF(AND(ABS(E290)&gt;='기준설정'!$B$6,OR(G290="신규",G290="소멸",F290&gt;='기준설정'!$B$5)),"원인분석 대상","일반"))</x:f>
      </x:c>
      <x:c r="I290" s="73" t="str">
        <x:f>IF(A290="","",IF(H290="원인분석 대상","세부원인분석 시트에서 거래별 원인을 검토","-"))</x:f>
      </x:c>
      <x:c r="J290" s="73" t="str">
        <x:f>IF(A290="","",COUNTIFS('전기원장'!$A$5:$A$1004,A290,'전기원장'!$J$5:$J$1004,"확인 필요")+COUNTIFS('당기원장'!$A$5:$A$1004,A290,'당기원장'!$J$5:$J$1004,"확인 필요"))</x:f>
      </x:c>
      <x:c r="K290" s="85" t="str">
        <x:f>IF(A290="","",IF(H290&lt;&gt;"원인분석 대상","",IF(J290&gt;0,"붙임 문서 확인 후 원인 확정 필요","결의서명 기반 원인분류 검토")))</x:f>
      </x:c>
    </x:row>
    <x:row r="291">
      <x:c r="A291" s="73" t="str">
        <x:f>IFERROR(INDEX('계산도우미'!$B$5:$B$2004,MATCH(ROWS($A$5:A291),'계산도우미'!$K$5:$K$2004,0)),"")</x:f>
      </x:c>
      <x:c r="B291" s="73" t="str">
        <x:f>IF(A291="","",IFERROR(INDEX('당기원장'!$B$5:$B$1004,MATCH(A291,'당기원장'!$A$5:$A$1004,0)),IFERROR(INDEX('전기원장'!$B$5:$B$1004,MATCH(A291,'전기원장'!$A$5:$A$1004,0)),"")))</x:f>
      </x:c>
      <x:c r="C291" s="75" t="str">
        <x:f>IF(A291="","",SUMIF('전기원장'!$A$5:$A$1004,A291,'전기원장'!$H$5:$H$1004))</x:f>
      </x:c>
      <x:c r="D291" s="75" t="str">
        <x:f>IF(A291="","",SUMIF('당기원장'!$A$5:$A$1004,A291,'당기원장'!$H$5:$H$1004))</x:f>
      </x:c>
      <x:c r="E291" s="75" t="str">
        <x:f>IF(A291="","",D291-C291)</x:f>
      </x:c>
      <x:c r="F291" s="88" t="str">
        <x:f>IF(A291="","",IF(C291=0,IF(D291=0,0,1),ABS(E291)/ABS(C291)))</x:f>
      </x:c>
      <x:c r="G291" s="73" t="str">
        <x:f>IF(A291="","",IF(AND(C291=0,D291&lt;&gt;0),"신규",IF(AND(C291&lt;&gt;0,D291=0),"소멸",IF(E291=0,"변동없음","금액변동"))))</x:f>
      </x:c>
      <x:c r="H291" s="73" t="str">
        <x:f>IF(A291="","",IF(AND(ABS(E291)&gt;='기준설정'!$B$6,OR(G291="신규",G291="소멸",F291&gt;='기준설정'!$B$5)),"원인분석 대상","일반"))</x:f>
      </x:c>
      <x:c r="I291" s="73" t="str">
        <x:f>IF(A291="","",IF(H291="원인분석 대상","세부원인분석 시트에서 거래별 원인을 검토","-"))</x:f>
      </x:c>
      <x:c r="J291" s="73" t="str">
        <x:f>IF(A291="","",COUNTIFS('전기원장'!$A$5:$A$1004,A291,'전기원장'!$J$5:$J$1004,"확인 필요")+COUNTIFS('당기원장'!$A$5:$A$1004,A291,'당기원장'!$J$5:$J$1004,"확인 필요"))</x:f>
      </x:c>
      <x:c r="K291" s="85" t="str">
        <x:f>IF(A291="","",IF(H291&lt;&gt;"원인분석 대상","",IF(J291&gt;0,"붙임 문서 확인 후 원인 확정 필요","결의서명 기반 원인분류 검토")))</x:f>
      </x:c>
    </x:row>
    <x:row r="292">
      <x:c r="A292" s="73" t="str">
        <x:f>IFERROR(INDEX('계산도우미'!$B$5:$B$2004,MATCH(ROWS($A$5:A292),'계산도우미'!$K$5:$K$2004,0)),"")</x:f>
      </x:c>
      <x:c r="B292" s="73" t="str">
        <x:f>IF(A292="","",IFERROR(INDEX('당기원장'!$B$5:$B$1004,MATCH(A292,'당기원장'!$A$5:$A$1004,0)),IFERROR(INDEX('전기원장'!$B$5:$B$1004,MATCH(A292,'전기원장'!$A$5:$A$1004,0)),"")))</x:f>
      </x:c>
      <x:c r="C292" s="75" t="str">
        <x:f>IF(A292="","",SUMIF('전기원장'!$A$5:$A$1004,A292,'전기원장'!$H$5:$H$1004))</x:f>
      </x:c>
      <x:c r="D292" s="75" t="str">
        <x:f>IF(A292="","",SUMIF('당기원장'!$A$5:$A$1004,A292,'당기원장'!$H$5:$H$1004))</x:f>
      </x:c>
      <x:c r="E292" s="75" t="str">
        <x:f>IF(A292="","",D292-C292)</x:f>
      </x:c>
      <x:c r="F292" s="88" t="str">
        <x:f>IF(A292="","",IF(C292=0,IF(D292=0,0,1),ABS(E292)/ABS(C292)))</x:f>
      </x:c>
      <x:c r="G292" s="73" t="str">
        <x:f>IF(A292="","",IF(AND(C292=0,D292&lt;&gt;0),"신규",IF(AND(C292&lt;&gt;0,D292=0),"소멸",IF(E292=0,"변동없음","금액변동"))))</x:f>
      </x:c>
      <x:c r="H292" s="73" t="str">
        <x:f>IF(A292="","",IF(AND(ABS(E292)&gt;='기준설정'!$B$6,OR(G292="신규",G292="소멸",F292&gt;='기준설정'!$B$5)),"원인분석 대상","일반"))</x:f>
      </x:c>
      <x:c r="I292" s="73" t="str">
        <x:f>IF(A292="","",IF(H292="원인분석 대상","세부원인분석 시트에서 거래별 원인을 검토","-"))</x:f>
      </x:c>
      <x:c r="J292" s="73" t="str">
        <x:f>IF(A292="","",COUNTIFS('전기원장'!$A$5:$A$1004,A292,'전기원장'!$J$5:$J$1004,"확인 필요")+COUNTIFS('당기원장'!$A$5:$A$1004,A292,'당기원장'!$J$5:$J$1004,"확인 필요"))</x:f>
      </x:c>
      <x:c r="K292" s="85" t="str">
        <x:f>IF(A292="","",IF(H292&lt;&gt;"원인분석 대상","",IF(J292&gt;0,"붙임 문서 확인 후 원인 확정 필요","결의서명 기반 원인분류 검토")))</x:f>
      </x:c>
    </x:row>
    <x:row r="293">
      <x:c r="A293" s="73" t="str">
        <x:f>IFERROR(INDEX('계산도우미'!$B$5:$B$2004,MATCH(ROWS($A$5:A293),'계산도우미'!$K$5:$K$2004,0)),"")</x:f>
      </x:c>
      <x:c r="B293" s="73" t="str">
        <x:f>IF(A293="","",IFERROR(INDEX('당기원장'!$B$5:$B$1004,MATCH(A293,'당기원장'!$A$5:$A$1004,0)),IFERROR(INDEX('전기원장'!$B$5:$B$1004,MATCH(A293,'전기원장'!$A$5:$A$1004,0)),"")))</x:f>
      </x:c>
      <x:c r="C293" s="75" t="str">
        <x:f>IF(A293="","",SUMIF('전기원장'!$A$5:$A$1004,A293,'전기원장'!$H$5:$H$1004))</x:f>
      </x:c>
      <x:c r="D293" s="75" t="str">
        <x:f>IF(A293="","",SUMIF('당기원장'!$A$5:$A$1004,A293,'당기원장'!$H$5:$H$1004))</x:f>
      </x:c>
      <x:c r="E293" s="75" t="str">
        <x:f>IF(A293="","",D293-C293)</x:f>
      </x:c>
      <x:c r="F293" s="88" t="str">
        <x:f>IF(A293="","",IF(C293=0,IF(D293=0,0,1),ABS(E293)/ABS(C293)))</x:f>
      </x:c>
      <x:c r="G293" s="73" t="str">
        <x:f>IF(A293="","",IF(AND(C293=0,D293&lt;&gt;0),"신규",IF(AND(C293&lt;&gt;0,D293=0),"소멸",IF(E293=0,"변동없음","금액변동"))))</x:f>
      </x:c>
      <x:c r="H293" s="73" t="str">
        <x:f>IF(A293="","",IF(AND(ABS(E293)&gt;='기준설정'!$B$6,OR(G293="신규",G293="소멸",F293&gt;='기준설정'!$B$5)),"원인분석 대상","일반"))</x:f>
      </x:c>
      <x:c r="I293" s="73" t="str">
        <x:f>IF(A293="","",IF(H293="원인분석 대상","세부원인분석 시트에서 거래별 원인을 검토","-"))</x:f>
      </x:c>
      <x:c r="J293" s="73" t="str">
        <x:f>IF(A293="","",COUNTIFS('전기원장'!$A$5:$A$1004,A293,'전기원장'!$J$5:$J$1004,"확인 필요")+COUNTIFS('당기원장'!$A$5:$A$1004,A293,'당기원장'!$J$5:$J$1004,"확인 필요"))</x:f>
      </x:c>
      <x:c r="K293" s="85" t="str">
        <x:f>IF(A293="","",IF(H293&lt;&gt;"원인분석 대상","",IF(J293&gt;0,"붙임 문서 확인 후 원인 확정 필요","결의서명 기반 원인분류 검토")))</x:f>
      </x:c>
    </x:row>
    <x:row r="294">
      <x:c r="A294" s="73" t="str">
        <x:f>IFERROR(INDEX('계산도우미'!$B$5:$B$2004,MATCH(ROWS($A$5:A294),'계산도우미'!$K$5:$K$2004,0)),"")</x:f>
      </x:c>
      <x:c r="B294" s="73" t="str">
        <x:f>IF(A294="","",IFERROR(INDEX('당기원장'!$B$5:$B$1004,MATCH(A294,'당기원장'!$A$5:$A$1004,0)),IFERROR(INDEX('전기원장'!$B$5:$B$1004,MATCH(A294,'전기원장'!$A$5:$A$1004,0)),"")))</x:f>
      </x:c>
      <x:c r="C294" s="75" t="str">
        <x:f>IF(A294="","",SUMIF('전기원장'!$A$5:$A$1004,A294,'전기원장'!$H$5:$H$1004))</x:f>
      </x:c>
      <x:c r="D294" s="75" t="str">
        <x:f>IF(A294="","",SUMIF('당기원장'!$A$5:$A$1004,A294,'당기원장'!$H$5:$H$1004))</x:f>
      </x:c>
      <x:c r="E294" s="75" t="str">
        <x:f>IF(A294="","",D294-C294)</x:f>
      </x:c>
      <x:c r="F294" s="88" t="str">
        <x:f>IF(A294="","",IF(C294=0,IF(D294=0,0,1),ABS(E294)/ABS(C294)))</x:f>
      </x:c>
      <x:c r="G294" s="73" t="str">
        <x:f>IF(A294="","",IF(AND(C294=0,D294&lt;&gt;0),"신규",IF(AND(C294&lt;&gt;0,D294=0),"소멸",IF(E294=0,"변동없음","금액변동"))))</x:f>
      </x:c>
      <x:c r="H294" s="73" t="str">
        <x:f>IF(A294="","",IF(AND(ABS(E294)&gt;='기준설정'!$B$6,OR(G294="신규",G294="소멸",F294&gt;='기준설정'!$B$5)),"원인분석 대상","일반"))</x:f>
      </x:c>
      <x:c r="I294" s="73" t="str">
        <x:f>IF(A294="","",IF(H294="원인분석 대상","세부원인분석 시트에서 거래별 원인을 검토","-"))</x:f>
      </x:c>
      <x:c r="J294" s="73" t="str">
        <x:f>IF(A294="","",COUNTIFS('전기원장'!$A$5:$A$1004,A294,'전기원장'!$J$5:$J$1004,"확인 필요")+COUNTIFS('당기원장'!$A$5:$A$1004,A294,'당기원장'!$J$5:$J$1004,"확인 필요"))</x:f>
      </x:c>
      <x:c r="K294" s="85" t="str">
        <x:f>IF(A294="","",IF(H294&lt;&gt;"원인분석 대상","",IF(J294&gt;0,"붙임 문서 확인 후 원인 확정 필요","결의서명 기반 원인분류 검토")))</x:f>
      </x:c>
    </x:row>
    <x:row r="295">
      <x:c r="A295" s="73" t="str">
        <x:f>IFERROR(INDEX('계산도우미'!$B$5:$B$2004,MATCH(ROWS($A$5:A295),'계산도우미'!$K$5:$K$2004,0)),"")</x:f>
      </x:c>
      <x:c r="B295" s="73" t="str">
        <x:f>IF(A295="","",IFERROR(INDEX('당기원장'!$B$5:$B$1004,MATCH(A295,'당기원장'!$A$5:$A$1004,0)),IFERROR(INDEX('전기원장'!$B$5:$B$1004,MATCH(A295,'전기원장'!$A$5:$A$1004,0)),"")))</x:f>
      </x:c>
      <x:c r="C295" s="75" t="str">
        <x:f>IF(A295="","",SUMIF('전기원장'!$A$5:$A$1004,A295,'전기원장'!$H$5:$H$1004))</x:f>
      </x:c>
      <x:c r="D295" s="75" t="str">
        <x:f>IF(A295="","",SUMIF('당기원장'!$A$5:$A$1004,A295,'당기원장'!$H$5:$H$1004))</x:f>
      </x:c>
      <x:c r="E295" s="75" t="str">
        <x:f>IF(A295="","",D295-C295)</x:f>
      </x:c>
      <x:c r="F295" s="88" t="str">
        <x:f>IF(A295="","",IF(C295=0,IF(D295=0,0,1),ABS(E295)/ABS(C295)))</x:f>
      </x:c>
      <x:c r="G295" s="73" t="str">
        <x:f>IF(A295="","",IF(AND(C295=0,D295&lt;&gt;0),"신규",IF(AND(C295&lt;&gt;0,D295=0),"소멸",IF(E295=0,"변동없음","금액변동"))))</x:f>
      </x:c>
      <x:c r="H295" s="73" t="str">
        <x:f>IF(A295="","",IF(AND(ABS(E295)&gt;='기준설정'!$B$6,OR(G295="신규",G295="소멸",F295&gt;='기준설정'!$B$5)),"원인분석 대상","일반"))</x:f>
      </x:c>
      <x:c r="I295" s="73" t="str">
        <x:f>IF(A295="","",IF(H295="원인분석 대상","세부원인분석 시트에서 거래별 원인을 검토","-"))</x:f>
      </x:c>
      <x:c r="J295" s="73" t="str">
        <x:f>IF(A295="","",COUNTIFS('전기원장'!$A$5:$A$1004,A295,'전기원장'!$J$5:$J$1004,"확인 필요")+COUNTIFS('당기원장'!$A$5:$A$1004,A295,'당기원장'!$J$5:$J$1004,"확인 필요"))</x:f>
      </x:c>
      <x:c r="K295" s="85" t="str">
        <x:f>IF(A295="","",IF(H295&lt;&gt;"원인분석 대상","",IF(J295&gt;0,"붙임 문서 확인 후 원인 확정 필요","결의서명 기반 원인분류 검토")))</x:f>
      </x:c>
    </x:row>
    <x:row r="296">
      <x:c r="A296" s="73" t="str">
        <x:f>IFERROR(INDEX('계산도우미'!$B$5:$B$2004,MATCH(ROWS($A$5:A296),'계산도우미'!$K$5:$K$2004,0)),"")</x:f>
      </x:c>
      <x:c r="B296" s="73" t="str">
        <x:f>IF(A296="","",IFERROR(INDEX('당기원장'!$B$5:$B$1004,MATCH(A296,'당기원장'!$A$5:$A$1004,0)),IFERROR(INDEX('전기원장'!$B$5:$B$1004,MATCH(A296,'전기원장'!$A$5:$A$1004,0)),"")))</x:f>
      </x:c>
      <x:c r="C296" s="75" t="str">
        <x:f>IF(A296="","",SUMIF('전기원장'!$A$5:$A$1004,A296,'전기원장'!$H$5:$H$1004))</x:f>
      </x:c>
      <x:c r="D296" s="75" t="str">
        <x:f>IF(A296="","",SUMIF('당기원장'!$A$5:$A$1004,A296,'당기원장'!$H$5:$H$1004))</x:f>
      </x:c>
      <x:c r="E296" s="75" t="str">
        <x:f>IF(A296="","",D296-C296)</x:f>
      </x:c>
      <x:c r="F296" s="88" t="str">
        <x:f>IF(A296="","",IF(C296=0,IF(D296=0,0,1),ABS(E296)/ABS(C296)))</x:f>
      </x:c>
      <x:c r="G296" s="73" t="str">
        <x:f>IF(A296="","",IF(AND(C296=0,D296&lt;&gt;0),"신규",IF(AND(C296&lt;&gt;0,D296=0),"소멸",IF(E296=0,"변동없음","금액변동"))))</x:f>
      </x:c>
      <x:c r="H296" s="73" t="str">
        <x:f>IF(A296="","",IF(AND(ABS(E296)&gt;='기준설정'!$B$6,OR(G296="신규",G296="소멸",F296&gt;='기준설정'!$B$5)),"원인분석 대상","일반"))</x:f>
      </x:c>
      <x:c r="I296" s="73" t="str">
        <x:f>IF(A296="","",IF(H296="원인분석 대상","세부원인분석 시트에서 거래별 원인을 검토","-"))</x:f>
      </x:c>
      <x:c r="J296" s="73" t="str">
        <x:f>IF(A296="","",COUNTIFS('전기원장'!$A$5:$A$1004,A296,'전기원장'!$J$5:$J$1004,"확인 필요")+COUNTIFS('당기원장'!$A$5:$A$1004,A296,'당기원장'!$J$5:$J$1004,"확인 필요"))</x:f>
      </x:c>
      <x:c r="K296" s="85" t="str">
        <x:f>IF(A296="","",IF(H296&lt;&gt;"원인분석 대상","",IF(J296&gt;0,"붙임 문서 확인 후 원인 확정 필요","결의서명 기반 원인분류 검토")))</x:f>
      </x:c>
    </x:row>
    <x:row r="297">
      <x:c r="A297" s="73" t="str">
        <x:f>IFERROR(INDEX('계산도우미'!$B$5:$B$2004,MATCH(ROWS($A$5:A297),'계산도우미'!$K$5:$K$2004,0)),"")</x:f>
      </x:c>
      <x:c r="B297" s="73" t="str">
        <x:f>IF(A297="","",IFERROR(INDEX('당기원장'!$B$5:$B$1004,MATCH(A297,'당기원장'!$A$5:$A$1004,0)),IFERROR(INDEX('전기원장'!$B$5:$B$1004,MATCH(A297,'전기원장'!$A$5:$A$1004,0)),"")))</x:f>
      </x:c>
      <x:c r="C297" s="75" t="str">
        <x:f>IF(A297="","",SUMIF('전기원장'!$A$5:$A$1004,A297,'전기원장'!$H$5:$H$1004))</x:f>
      </x:c>
      <x:c r="D297" s="75" t="str">
        <x:f>IF(A297="","",SUMIF('당기원장'!$A$5:$A$1004,A297,'당기원장'!$H$5:$H$1004))</x:f>
      </x:c>
      <x:c r="E297" s="75" t="str">
        <x:f>IF(A297="","",D297-C297)</x:f>
      </x:c>
      <x:c r="F297" s="88" t="str">
        <x:f>IF(A297="","",IF(C297=0,IF(D297=0,0,1),ABS(E297)/ABS(C297)))</x:f>
      </x:c>
      <x:c r="G297" s="73" t="str">
        <x:f>IF(A297="","",IF(AND(C297=0,D297&lt;&gt;0),"신규",IF(AND(C297&lt;&gt;0,D297=0),"소멸",IF(E297=0,"변동없음","금액변동"))))</x:f>
      </x:c>
      <x:c r="H297" s="73" t="str">
        <x:f>IF(A297="","",IF(AND(ABS(E297)&gt;='기준설정'!$B$6,OR(G297="신규",G297="소멸",F297&gt;='기준설정'!$B$5)),"원인분석 대상","일반"))</x:f>
      </x:c>
      <x:c r="I297" s="73" t="str">
        <x:f>IF(A297="","",IF(H297="원인분석 대상","세부원인분석 시트에서 거래별 원인을 검토","-"))</x:f>
      </x:c>
      <x:c r="J297" s="73" t="str">
        <x:f>IF(A297="","",COUNTIFS('전기원장'!$A$5:$A$1004,A297,'전기원장'!$J$5:$J$1004,"확인 필요")+COUNTIFS('당기원장'!$A$5:$A$1004,A297,'당기원장'!$J$5:$J$1004,"확인 필요"))</x:f>
      </x:c>
      <x:c r="K297" s="85" t="str">
        <x:f>IF(A297="","",IF(H297&lt;&gt;"원인분석 대상","",IF(J297&gt;0,"붙임 문서 확인 후 원인 확정 필요","결의서명 기반 원인분류 검토")))</x:f>
      </x:c>
    </x:row>
    <x:row r="298">
      <x:c r="A298" s="73" t="str">
        <x:f>IFERROR(INDEX('계산도우미'!$B$5:$B$2004,MATCH(ROWS($A$5:A298),'계산도우미'!$K$5:$K$2004,0)),"")</x:f>
      </x:c>
      <x:c r="B298" s="73" t="str">
        <x:f>IF(A298="","",IFERROR(INDEX('당기원장'!$B$5:$B$1004,MATCH(A298,'당기원장'!$A$5:$A$1004,0)),IFERROR(INDEX('전기원장'!$B$5:$B$1004,MATCH(A298,'전기원장'!$A$5:$A$1004,0)),"")))</x:f>
      </x:c>
      <x:c r="C298" s="75" t="str">
        <x:f>IF(A298="","",SUMIF('전기원장'!$A$5:$A$1004,A298,'전기원장'!$H$5:$H$1004))</x:f>
      </x:c>
      <x:c r="D298" s="75" t="str">
        <x:f>IF(A298="","",SUMIF('당기원장'!$A$5:$A$1004,A298,'당기원장'!$H$5:$H$1004))</x:f>
      </x:c>
      <x:c r="E298" s="75" t="str">
        <x:f>IF(A298="","",D298-C298)</x:f>
      </x:c>
      <x:c r="F298" s="88" t="str">
        <x:f>IF(A298="","",IF(C298=0,IF(D298=0,0,1),ABS(E298)/ABS(C298)))</x:f>
      </x:c>
      <x:c r="G298" s="73" t="str">
        <x:f>IF(A298="","",IF(AND(C298=0,D298&lt;&gt;0),"신규",IF(AND(C298&lt;&gt;0,D298=0),"소멸",IF(E298=0,"변동없음","금액변동"))))</x:f>
      </x:c>
      <x:c r="H298" s="73" t="str">
        <x:f>IF(A298="","",IF(AND(ABS(E298)&gt;='기준설정'!$B$6,OR(G298="신규",G298="소멸",F298&gt;='기준설정'!$B$5)),"원인분석 대상","일반"))</x:f>
      </x:c>
      <x:c r="I298" s="73" t="str">
        <x:f>IF(A298="","",IF(H298="원인분석 대상","세부원인분석 시트에서 거래별 원인을 검토","-"))</x:f>
      </x:c>
      <x:c r="J298" s="73" t="str">
        <x:f>IF(A298="","",COUNTIFS('전기원장'!$A$5:$A$1004,A298,'전기원장'!$J$5:$J$1004,"확인 필요")+COUNTIFS('당기원장'!$A$5:$A$1004,A298,'당기원장'!$J$5:$J$1004,"확인 필요"))</x:f>
      </x:c>
      <x:c r="K298" s="85" t="str">
        <x:f>IF(A298="","",IF(H298&lt;&gt;"원인분석 대상","",IF(J298&gt;0,"붙임 문서 확인 후 원인 확정 필요","결의서명 기반 원인분류 검토")))</x:f>
      </x:c>
    </x:row>
    <x:row r="299">
      <x:c r="A299" s="73" t="str">
        <x:f>IFERROR(INDEX('계산도우미'!$B$5:$B$2004,MATCH(ROWS($A$5:A299),'계산도우미'!$K$5:$K$2004,0)),"")</x:f>
      </x:c>
      <x:c r="B299" s="73" t="str">
        <x:f>IF(A299="","",IFERROR(INDEX('당기원장'!$B$5:$B$1004,MATCH(A299,'당기원장'!$A$5:$A$1004,0)),IFERROR(INDEX('전기원장'!$B$5:$B$1004,MATCH(A299,'전기원장'!$A$5:$A$1004,0)),"")))</x:f>
      </x:c>
      <x:c r="C299" s="75" t="str">
        <x:f>IF(A299="","",SUMIF('전기원장'!$A$5:$A$1004,A299,'전기원장'!$H$5:$H$1004))</x:f>
      </x:c>
      <x:c r="D299" s="75" t="str">
        <x:f>IF(A299="","",SUMIF('당기원장'!$A$5:$A$1004,A299,'당기원장'!$H$5:$H$1004))</x:f>
      </x:c>
      <x:c r="E299" s="75" t="str">
        <x:f>IF(A299="","",D299-C299)</x:f>
      </x:c>
      <x:c r="F299" s="88" t="str">
        <x:f>IF(A299="","",IF(C299=0,IF(D299=0,0,1),ABS(E299)/ABS(C299)))</x:f>
      </x:c>
      <x:c r="G299" s="73" t="str">
        <x:f>IF(A299="","",IF(AND(C299=0,D299&lt;&gt;0),"신규",IF(AND(C299&lt;&gt;0,D299=0),"소멸",IF(E299=0,"변동없음","금액변동"))))</x:f>
      </x:c>
      <x:c r="H299" s="73" t="str">
        <x:f>IF(A299="","",IF(AND(ABS(E299)&gt;='기준설정'!$B$6,OR(G299="신규",G299="소멸",F299&gt;='기준설정'!$B$5)),"원인분석 대상","일반"))</x:f>
      </x:c>
      <x:c r="I299" s="73" t="str">
        <x:f>IF(A299="","",IF(H299="원인분석 대상","세부원인분석 시트에서 거래별 원인을 검토","-"))</x:f>
      </x:c>
      <x:c r="J299" s="73" t="str">
        <x:f>IF(A299="","",COUNTIFS('전기원장'!$A$5:$A$1004,A299,'전기원장'!$J$5:$J$1004,"확인 필요")+COUNTIFS('당기원장'!$A$5:$A$1004,A299,'당기원장'!$J$5:$J$1004,"확인 필요"))</x:f>
      </x:c>
      <x:c r="K299" s="85" t="str">
        <x:f>IF(A299="","",IF(H299&lt;&gt;"원인분석 대상","",IF(J299&gt;0,"붙임 문서 확인 후 원인 확정 필요","결의서명 기반 원인분류 검토")))</x:f>
      </x:c>
    </x:row>
    <x:row r="300">
      <x:c r="A300" s="73" t="str">
        <x:f>IFERROR(INDEX('계산도우미'!$B$5:$B$2004,MATCH(ROWS($A$5:A300),'계산도우미'!$K$5:$K$2004,0)),"")</x:f>
      </x:c>
      <x:c r="B300" s="73" t="str">
        <x:f>IF(A300="","",IFERROR(INDEX('당기원장'!$B$5:$B$1004,MATCH(A300,'당기원장'!$A$5:$A$1004,0)),IFERROR(INDEX('전기원장'!$B$5:$B$1004,MATCH(A300,'전기원장'!$A$5:$A$1004,0)),"")))</x:f>
      </x:c>
      <x:c r="C300" s="75" t="str">
        <x:f>IF(A300="","",SUMIF('전기원장'!$A$5:$A$1004,A300,'전기원장'!$H$5:$H$1004))</x:f>
      </x:c>
      <x:c r="D300" s="75" t="str">
        <x:f>IF(A300="","",SUMIF('당기원장'!$A$5:$A$1004,A300,'당기원장'!$H$5:$H$1004))</x:f>
      </x:c>
      <x:c r="E300" s="75" t="str">
        <x:f>IF(A300="","",D300-C300)</x:f>
      </x:c>
      <x:c r="F300" s="88" t="str">
        <x:f>IF(A300="","",IF(C300=0,IF(D300=0,0,1),ABS(E300)/ABS(C300)))</x:f>
      </x:c>
      <x:c r="G300" s="73" t="str">
        <x:f>IF(A300="","",IF(AND(C300=0,D300&lt;&gt;0),"신규",IF(AND(C300&lt;&gt;0,D300=0),"소멸",IF(E300=0,"변동없음","금액변동"))))</x:f>
      </x:c>
      <x:c r="H300" s="73" t="str">
        <x:f>IF(A300="","",IF(AND(ABS(E300)&gt;='기준설정'!$B$6,OR(G300="신규",G300="소멸",F300&gt;='기준설정'!$B$5)),"원인분석 대상","일반"))</x:f>
      </x:c>
      <x:c r="I300" s="73" t="str">
        <x:f>IF(A300="","",IF(H300="원인분석 대상","세부원인분석 시트에서 거래별 원인을 검토","-"))</x:f>
      </x:c>
      <x:c r="J300" s="73" t="str">
        <x:f>IF(A300="","",COUNTIFS('전기원장'!$A$5:$A$1004,A300,'전기원장'!$J$5:$J$1004,"확인 필요")+COUNTIFS('당기원장'!$A$5:$A$1004,A300,'당기원장'!$J$5:$J$1004,"확인 필요"))</x:f>
      </x:c>
      <x:c r="K300" s="85" t="str">
        <x:f>IF(A300="","",IF(H300&lt;&gt;"원인분석 대상","",IF(J300&gt;0,"붙임 문서 확인 후 원인 확정 필요","결의서명 기반 원인분류 검토")))</x:f>
      </x:c>
    </x:row>
    <x:row r="301">
      <x:c r="A301" s="73" t="str">
        <x:f>IFERROR(INDEX('계산도우미'!$B$5:$B$2004,MATCH(ROWS($A$5:A301),'계산도우미'!$K$5:$K$2004,0)),"")</x:f>
      </x:c>
      <x:c r="B301" s="73" t="str">
        <x:f>IF(A301="","",IFERROR(INDEX('당기원장'!$B$5:$B$1004,MATCH(A301,'당기원장'!$A$5:$A$1004,0)),IFERROR(INDEX('전기원장'!$B$5:$B$1004,MATCH(A301,'전기원장'!$A$5:$A$1004,0)),"")))</x:f>
      </x:c>
      <x:c r="C301" s="75" t="str">
        <x:f>IF(A301="","",SUMIF('전기원장'!$A$5:$A$1004,A301,'전기원장'!$H$5:$H$1004))</x:f>
      </x:c>
      <x:c r="D301" s="75" t="str">
        <x:f>IF(A301="","",SUMIF('당기원장'!$A$5:$A$1004,A301,'당기원장'!$H$5:$H$1004))</x:f>
      </x:c>
      <x:c r="E301" s="75" t="str">
        <x:f>IF(A301="","",D301-C301)</x:f>
      </x:c>
      <x:c r="F301" s="88" t="str">
        <x:f>IF(A301="","",IF(C301=0,IF(D301=0,0,1),ABS(E301)/ABS(C301)))</x:f>
      </x:c>
      <x:c r="G301" s="73" t="str">
        <x:f>IF(A301="","",IF(AND(C301=0,D301&lt;&gt;0),"신규",IF(AND(C301&lt;&gt;0,D301=0),"소멸",IF(E301=0,"변동없음","금액변동"))))</x:f>
      </x:c>
      <x:c r="H301" s="73" t="str">
        <x:f>IF(A301="","",IF(AND(ABS(E301)&gt;='기준설정'!$B$6,OR(G301="신규",G301="소멸",F301&gt;='기준설정'!$B$5)),"원인분석 대상","일반"))</x:f>
      </x:c>
      <x:c r="I301" s="73" t="str">
        <x:f>IF(A301="","",IF(H301="원인분석 대상","세부원인분석 시트에서 거래별 원인을 검토","-"))</x:f>
      </x:c>
      <x:c r="J301" s="73" t="str">
        <x:f>IF(A301="","",COUNTIFS('전기원장'!$A$5:$A$1004,A301,'전기원장'!$J$5:$J$1004,"확인 필요")+COUNTIFS('당기원장'!$A$5:$A$1004,A301,'당기원장'!$J$5:$J$1004,"확인 필요"))</x:f>
      </x:c>
      <x:c r="K301" s="85" t="str">
        <x:f>IF(A301="","",IF(H301&lt;&gt;"원인분석 대상","",IF(J301&gt;0,"붙임 문서 확인 후 원인 확정 필요","결의서명 기반 원인분류 검토")))</x:f>
      </x:c>
    </x:row>
    <x:row r="302">
      <x:c r="A302" s="73" t="str">
        <x:f>IFERROR(INDEX('계산도우미'!$B$5:$B$2004,MATCH(ROWS($A$5:A302),'계산도우미'!$K$5:$K$2004,0)),"")</x:f>
      </x:c>
      <x:c r="B302" s="73" t="str">
        <x:f>IF(A302="","",IFERROR(INDEX('당기원장'!$B$5:$B$1004,MATCH(A302,'당기원장'!$A$5:$A$1004,0)),IFERROR(INDEX('전기원장'!$B$5:$B$1004,MATCH(A302,'전기원장'!$A$5:$A$1004,0)),"")))</x:f>
      </x:c>
      <x:c r="C302" s="75" t="str">
        <x:f>IF(A302="","",SUMIF('전기원장'!$A$5:$A$1004,A302,'전기원장'!$H$5:$H$1004))</x:f>
      </x:c>
      <x:c r="D302" s="75" t="str">
        <x:f>IF(A302="","",SUMIF('당기원장'!$A$5:$A$1004,A302,'당기원장'!$H$5:$H$1004))</x:f>
      </x:c>
      <x:c r="E302" s="75" t="str">
        <x:f>IF(A302="","",D302-C302)</x:f>
      </x:c>
      <x:c r="F302" s="88" t="str">
        <x:f>IF(A302="","",IF(C302=0,IF(D302=0,0,1),ABS(E302)/ABS(C302)))</x:f>
      </x:c>
      <x:c r="G302" s="73" t="str">
        <x:f>IF(A302="","",IF(AND(C302=0,D302&lt;&gt;0),"신규",IF(AND(C302&lt;&gt;0,D302=0),"소멸",IF(E302=0,"변동없음","금액변동"))))</x:f>
      </x:c>
      <x:c r="H302" s="73" t="str">
        <x:f>IF(A302="","",IF(AND(ABS(E302)&gt;='기준설정'!$B$6,OR(G302="신규",G302="소멸",F302&gt;='기준설정'!$B$5)),"원인분석 대상","일반"))</x:f>
      </x:c>
      <x:c r="I302" s="73" t="str">
        <x:f>IF(A302="","",IF(H302="원인분석 대상","세부원인분석 시트에서 거래별 원인을 검토","-"))</x:f>
      </x:c>
      <x:c r="J302" s="73" t="str">
        <x:f>IF(A302="","",COUNTIFS('전기원장'!$A$5:$A$1004,A302,'전기원장'!$J$5:$J$1004,"확인 필요")+COUNTIFS('당기원장'!$A$5:$A$1004,A302,'당기원장'!$J$5:$J$1004,"확인 필요"))</x:f>
      </x:c>
      <x:c r="K302" s="85" t="str">
        <x:f>IF(A302="","",IF(H302&lt;&gt;"원인분석 대상","",IF(J302&gt;0,"붙임 문서 확인 후 원인 확정 필요","결의서명 기반 원인분류 검토")))</x:f>
      </x:c>
    </x:row>
    <x:row r="303">
      <x:c r="A303" s="73" t="str">
        <x:f>IFERROR(INDEX('계산도우미'!$B$5:$B$2004,MATCH(ROWS($A$5:A303),'계산도우미'!$K$5:$K$2004,0)),"")</x:f>
      </x:c>
      <x:c r="B303" s="73" t="str">
        <x:f>IF(A303="","",IFERROR(INDEX('당기원장'!$B$5:$B$1004,MATCH(A303,'당기원장'!$A$5:$A$1004,0)),IFERROR(INDEX('전기원장'!$B$5:$B$1004,MATCH(A303,'전기원장'!$A$5:$A$1004,0)),"")))</x:f>
      </x:c>
      <x:c r="C303" s="75" t="str">
        <x:f>IF(A303="","",SUMIF('전기원장'!$A$5:$A$1004,A303,'전기원장'!$H$5:$H$1004))</x:f>
      </x:c>
      <x:c r="D303" s="75" t="str">
        <x:f>IF(A303="","",SUMIF('당기원장'!$A$5:$A$1004,A303,'당기원장'!$H$5:$H$1004))</x:f>
      </x:c>
      <x:c r="E303" s="75" t="str">
        <x:f>IF(A303="","",D303-C303)</x:f>
      </x:c>
      <x:c r="F303" s="88" t="str">
        <x:f>IF(A303="","",IF(C303=0,IF(D303=0,0,1),ABS(E303)/ABS(C303)))</x:f>
      </x:c>
      <x:c r="G303" s="73" t="str">
        <x:f>IF(A303="","",IF(AND(C303=0,D303&lt;&gt;0),"신규",IF(AND(C303&lt;&gt;0,D303=0),"소멸",IF(E303=0,"변동없음","금액변동"))))</x:f>
      </x:c>
      <x:c r="H303" s="73" t="str">
        <x:f>IF(A303="","",IF(AND(ABS(E303)&gt;='기준설정'!$B$6,OR(G303="신규",G303="소멸",F303&gt;='기준설정'!$B$5)),"원인분석 대상","일반"))</x:f>
      </x:c>
      <x:c r="I303" s="73" t="str">
        <x:f>IF(A303="","",IF(H303="원인분석 대상","세부원인분석 시트에서 거래별 원인을 검토","-"))</x:f>
      </x:c>
      <x:c r="J303" s="73" t="str">
        <x:f>IF(A303="","",COUNTIFS('전기원장'!$A$5:$A$1004,A303,'전기원장'!$J$5:$J$1004,"확인 필요")+COUNTIFS('당기원장'!$A$5:$A$1004,A303,'당기원장'!$J$5:$J$1004,"확인 필요"))</x:f>
      </x:c>
      <x:c r="K303" s="85" t="str">
        <x:f>IF(A303="","",IF(H303&lt;&gt;"원인분석 대상","",IF(J303&gt;0,"붙임 문서 확인 후 원인 확정 필요","결의서명 기반 원인분류 검토")))</x:f>
      </x:c>
    </x:row>
    <x:row r="304">
      <x:c r="A304" s="73" t="str">
        <x:f>IFERROR(INDEX('계산도우미'!$B$5:$B$2004,MATCH(ROWS($A$5:A304),'계산도우미'!$K$5:$K$2004,0)),"")</x:f>
      </x:c>
      <x:c r="B304" s="73" t="str">
        <x:f>IF(A304="","",IFERROR(INDEX('당기원장'!$B$5:$B$1004,MATCH(A304,'당기원장'!$A$5:$A$1004,0)),IFERROR(INDEX('전기원장'!$B$5:$B$1004,MATCH(A304,'전기원장'!$A$5:$A$1004,0)),"")))</x:f>
      </x:c>
      <x:c r="C304" s="75" t="str">
        <x:f>IF(A304="","",SUMIF('전기원장'!$A$5:$A$1004,A304,'전기원장'!$H$5:$H$1004))</x:f>
      </x:c>
      <x:c r="D304" s="75" t="str">
        <x:f>IF(A304="","",SUMIF('당기원장'!$A$5:$A$1004,A304,'당기원장'!$H$5:$H$1004))</x:f>
      </x:c>
      <x:c r="E304" s="75" t="str">
        <x:f>IF(A304="","",D304-C304)</x:f>
      </x:c>
      <x:c r="F304" s="88" t="str">
        <x:f>IF(A304="","",IF(C304=0,IF(D304=0,0,1),ABS(E304)/ABS(C304)))</x:f>
      </x:c>
      <x:c r="G304" s="73" t="str">
        <x:f>IF(A304="","",IF(AND(C304=0,D304&lt;&gt;0),"신규",IF(AND(C304&lt;&gt;0,D304=0),"소멸",IF(E304=0,"변동없음","금액변동"))))</x:f>
      </x:c>
      <x:c r="H304" s="73" t="str">
        <x:f>IF(A304="","",IF(AND(ABS(E304)&gt;='기준설정'!$B$6,OR(G304="신규",G304="소멸",F304&gt;='기준설정'!$B$5)),"원인분석 대상","일반"))</x:f>
      </x:c>
      <x:c r="I304" s="73" t="str">
        <x:f>IF(A304="","",IF(H304="원인분석 대상","세부원인분석 시트에서 거래별 원인을 검토","-"))</x:f>
      </x:c>
      <x:c r="J304" s="73" t="str">
        <x:f>IF(A304="","",COUNTIFS('전기원장'!$A$5:$A$1004,A304,'전기원장'!$J$5:$J$1004,"확인 필요")+COUNTIFS('당기원장'!$A$5:$A$1004,A304,'당기원장'!$J$5:$J$1004,"확인 필요"))</x:f>
      </x:c>
      <x:c r="K304" s="85" t="str">
        <x:f>IF(A304="","",IF(H304&lt;&gt;"원인분석 대상","",IF(J304&gt;0,"붙임 문서 확인 후 원인 확정 필요","결의서명 기반 원인분류 검토")))</x:f>
      </x:c>
    </x:row>
    <x:row r="305">
      <x:c r="A305" s="73" t="str">
        <x:f>IFERROR(INDEX('계산도우미'!$B$5:$B$2004,MATCH(ROWS($A$5:A305),'계산도우미'!$K$5:$K$2004,0)),"")</x:f>
      </x:c>
      <x:c r="B305" s="73" t="str">
        <x:f>IF(A305="","",IFERROR(INDEX('당기원장'!$B$5:$B$1004,MATCH(A305,'당기원장'!$A$5:$A$1004,0)),IFERROR(INDEX('전기원장'!$B$5:$B$1004,MATCH(A305,'전기원장'!$A$5:$A$1004,0)),"")))</x:f>
      </x:c>
      <x:c r="C305" s="75" t="str">
        <x:f>IF(A305="","",SUMIF('전기원장'!$A$5:$A$1004,A305,'전기원장'!$H$5:$H$1004))</x:f>
      </x:c>
      <x:c r="D305" s="75" t="str">
        <x:f>IF(A305="","",SUMIF('당기원장'!$A$5:$A$1004,A305,'당기원장'!$H$5:$H$1004))</x:f>
      </x:c>
      <x:c r="E305" s="75" t="str">
        <x:f>IF(A305="","",D305-C305)</x:f>
      </x:c>
      <x:c r="F305" s="88" t="str">
        <x:f>IF(A305="","",IF(C305=0,IF(D305=0,0,1),ABS(E305)/ABS(C305)))</x:f>
      </x:c>
      <x:c r="G305" s="73" t="str">
        <x:f>IF(A305="","",IF(AND(C305=0,D305&lt;&gt;0),"신규",IF(AND(C305&lt;&gt;0,D305=0),"소멸",IF(E305=0,"변동없음","금액변동"))))</x:f>
      </x:c>
      <x:c r="H305" s="73" t="str">
        <x:f>IF(A305="","",IF(AND(ABS(E305)&gt;='기준설정'!$B$6,OR(G305="신규",G305="소멸",F305&gt;='기준설정'!$B$5)),"원인분석 대상","일반"))</x:f>
      </x:c>
      <x:c r="I305" s="73" t="str">
        <x:f>IF(A305="","",IF(H305="원인분석 대상","세부원인분석 시트에서 거래별 원인을 검토","-"))</x:f>
      </x:c>
      <x:c r="J305" s="73" t="str">
        <x:f>IF(A305="","",COUNTIFS('전기원장'!$A$5:$A$1004,A305,'전기원장'!$J$5:$J$1004,"확인 필요")+COUNTIFS('당기원장'!$A$5:$A$1004,A305,'당기원장'!$J$5:$J$1004,"확인 필요"))</x:f>
      </x:c>
      <x:c r="K305" s="85" t="str">
        <x:f>IF(A305="","",IF(H305&lt;&gt;"원인분석 대상","",IF(J305&gt;0,"붙임 문서 확인 후 원인 확정 필요","결의서명 기반 원인분류 검토")))</x:f>
      </x:c>
    </x:row>
    <x:row r="306">
      <x:c r="A306" s="73" t="str">
        <x:f>IFERROR(INDEX('계산도우미'!$B$5:$B$2004,MATCH(ROWS($A$5:A306),'계산도우미'!$K$5:$K$2004,0)),"")</x:f>
      </x:c>
      <x:c r="B306" s="73" t="str">
        <x:f>IF(A306="","",IFERROR(INDEX('당기원장'!$B$5:$B$1004,MATCH(A306,'당기원장'!$A$5:$A$1004,0)),IFERROR(INDEX('전기원장'!$B$5:$B$1004,MATCH(A306,'전기원장'!$A$5:$A$1004,0)),"")))</x:f>
      </x:c>
      <x:c r="C306" s="75" t="str">
        <x:f>IF(A306="","",SUMIF('전기원장'!$A$5:$A$1004,A306,'전기원장'!$H$5:$H$1004))</x:f>
      </x:c>
      <x:c r="D306" s="75" t="str">
        <x:f>IF(A306="","",SUMIF('당기원장'!$A$5:$A$1004,A306,'당기원장'!$H$5:$H$1004))</x:f>
      </x:c>
      <x:c r="E306" s="75" t="str">
        <x:f>IF(A306="","",D306-C306)</x:f>
      </x:c>
      <x:c r="F306" s="88" t="str">
        <x:f>IF(A306="","",IF(C306=0,IF(D306=0,0,1),ABS(E306)/ABS(C306)))</x:f>
      </x:c>
      <x:c r="G306" s="73" t="str">
        <x:f>IF(A306="","",IF(AND(C306=0,D306&lt;&gt;0),"신규",IF(AND(C306&lt;&gt;0,D306=0),"소멸",IF(E306=0,"변동없음","금액변동"))))</x:f>
      </x:c>
      <x:c r="H306" s="73" t="str">
        <x:f>IF(A306="","",IF(AND(ABS(E306)&gt;='기준설정'!$B$6,OR(G306="신규",G306="소멸",F306&gt;='기준설정'!$B$5)),"원인분석 대상","일반"))</x:f>
      </x:c>
      <x:c r="I306" s="73" t="str">
        <x:f>IF(A306="","",IF(H306="원인분석 대상","세부원인분석 시트에서 거래별 원인을 검토","-"))</x:f>
      </x:c>
      <x:c r="J306" s="73" t="str">
        <x:f>IF(A306="","",COUNTIFS('전기원장'!$A$5:$A$1004,A306,'전기원장'!$J$5:$J$1004,"확인 필요")+COUNTIFS('당기원장'!$A$5:$A$1004,A306,'당기원장'!$J$5:$J$1004,"확인 필요"))</x:f>
      </x:c>
      <x:c r="K306" s="85" t="str">
        <x:f>IF(A306="","",IF(H306&lt;&gt;"원인분석 대상","",IF(J306&gt;0,"붙임 문서 확인 후 원인 확정 필요","결의서명 기반 원인분류 검토")))</x:f>
      </x:c>
    </x:row>
    <x:row r="307">
      <x:c r="A307" s="73" t="str">
        <x:f>IFERROR(INDEX('계산도우미'!$B$5:$B$2004,MATCH(ROWS($A$5:A307),'계산도우미'!$K$5:$K$2004,0)),"")</x:f>
      </x:c>
      <x:c r="B307" s="73" t="str">
        <x:f>IF(A307="","",IFERROR(INDEX('당기원장'!$B$5:$B$1004,MATCH(A307,'당기원장'!$A$5:$A$1004,0)),IFERROR(INDEX('전기원장'!$B$5:$B$1004,MATCH(A307,'전기원장'!$A$5:$A$1004,0)),"")))</x:f>
      </x:c>
      <x:c r="C307" s="75" t="str">
        <x:f>IF(A307="","",SUMIF('전기원장'!$A$5:$A$1004,A307,'전기원장'!$H$5:$H$1004))</x:f>
      </x:c>
      <x:c r="D307" s="75" t="str">
        <x:f>IF(A307="","",SUMIF('당기원장'!$A$5:$A$1004,A307,'당기원장'!$H$5:$H$1004))</x:f>
      </x:c>
      <x:c r="E307" s="75" t="str">
        <x:f>IF(A307="","",D307-C307)</x:f>
      </x:c>
      <x:c r="F307" s="88" t="str">
        <x:f>IF(A307="","",IF(C307=0,IF(D307=0,0,1),ABS(E307)/ABS(C307)))</x:f>
      </x:c>
      <x:c r="G307" s="73" t="str">
        <x:f>IF(A307="","",IF(AND(C307=0,D307&lt;&gt;0),"신규",IF(AND(C307&lt;&gt;0,D307=0),"소멸",IF(E307=0,"변동없음","금액변동"))))</x:f>
      </x:c>
      <x:c r="H307" s="73" t="str">
        <x:f>IF(A307="","",IF(AND(ABS(E307)&gt;='기준설정'!$B$6,OR(G307="신규",G307="소멸",F307&gt;='기준설정'!$B$5)),"원인분석 대상","일반"))</x:f>
      </x:c>
      <x:c r="I307" s="73" t="str">
        <x:f>IF(A307="","",IF(H307="원인분석 대상","세부원인분석 시트에서 거래별 원인을 검토","-"))</x:f>
      </x:c>
      <x:c r="J307" s="73" t="str">
        <x:f>IF(A307="","",COUNTIFS('전기원장'!$A$5:$A$1004,A307,'전기원장'!$J$5:$J$1004,"확인 필요")+COUNTIFS('당기원장'!$A$5:$A$1004,A307,'당기원장'!$J$5:$J$1004,"확인 필요"))</x:f>
      </x:c>
      <x:c r="K307" s="85" t="str">
        <x:f>IF(A307="","",IF(H307&lt;&gt;"원인분석 대상","",IF(J307&gt;0,"붙임 문서 확인 후 원인 확정 필요","결의서명 기반 원인분류 검토")))</x:f>
      </x:c>
    </x:row>
    <x:row r="308">
      <x:c r="A308" s="73" t="str">
        <x:f>IFERROR(INDEX('계산도우미'!$B$5:$B$2004,MATCH(ROWS($A$5:A308),'계산도우미'!$K$5:$K$2004,0)),"")</x:f>
      </x:c>
      <x:c r="B308" s="73" t="str">
        <x:f>IF(A308="","",IFERROR(INDEX('당기원장'!$B$5:$B$1004,MATCH(A308,'당기원장'!$A$5:$A$1004,0)),IFERROR(INDEX('전기원장'!$B$5:$B$1004,MATCH(A308,'전기원장'!$A$5:$A$1004,0)),"")))</x:f>
      </x:c>
      <x:c r="C308" s="75" t="str">
        <x:f>IF(A308="","",SUMIF('전기원장'!$A$5:$A$1004,A308,'전기원장'!$H$5:$H$1004))</x:f>
      </x:c>
      <x:c r="D308" s="75" t="str">
        <x:f>IF(A308="","",SUMIF('당기원장'!$A$5:$A$1004,A308,'당기원장'!$H$5:$H$1004))</x:f>
      </x:c>
      <x:c r="E308" s="75" t="str">
        <x:f>IF(A308="","",D308-C308)</x:f>
      </x:c>
      <x:c r="F308" s="88" t="str">
        <x:f>IF(A308="","",IF(C308=0,IF(D308=0,0,1),ABS(E308)/ABS(C308)))</x:f>
      </x:c>
      <x:c r="G308" s="73" t="str">
        <x:f>IF(A308="","",IF(AND(C308=0,D308&lt;&gt;0),"신규",IF(AND(C308&lt;&gt;0,D308=0),"소멸",IF(E308=0,"변동없음","금액변동"))))</x:f>
      </x:c>
      <x:c r="H308" s="73" t="str">
        <x:f>IF(A308="","",IF(AND(ABS(E308)&gt;='기준설정'!$B$6,OR(G308="신규",G308="소멸",F308&gt;='기준설정'!$B$5)),"원인분석 대상","일반"))</x:f>
      </x:c>
      <x:c r="I308" s="73" t="str">
        <x:f>IF(A308="","",IF(H308="원인분석 대상","세부원인분석 시트에서 거래별 원인을 검토","-"))</x:f>
      </x:c>
      <x:c r="J308" s="73" t="str">
        <x:f>IF(A308="","",COUNTIFS('전기원장'!$A$5:$A$1004,A308,'전기원장'!$J$5:$J$1004,"확인 필요")+COUNTIFS('당기원장'!$A$5:$A$1004,A308,'당기원장'!$J$5:$J$1004,"확인 필요"))</x:f>
      </x:c>
      <x:c r="K308" s="85" t="str">
        <x:f>IF(A308="","",IF(H308&lt;&gt;"원인분석 대상","",IF(J308&gt;0,"붙임 문서 확인 후 원인 확정 필요","결의서명 기반 원인분류 검토")))</x:f>
      </x:c>
    </x:row>
    <x:row r="309">
      <x:c r="A309" s="73" t="str">
        <x:f>IFERROR(INDEX('계산도우미'!$B$5:$B$2004,MATCH(ROWS($A$5:A309),'계산도우미'!$K$5:$K$2004,0)),"")</x:f>
      </x:c>
      <x:c r="B309" s="73" t="str">
        <x:f>IF(A309="","",IFERROR(INDEX('당기원장'!$B$5:$B$1004,MATCH(A309,'당기원장'!$A$5:$A$1004,0)),IFERROR(INDEX('전기원장'!$B$5:$B$1004,MATCH(A309,'전기원장'!$A$5:$A$1004,0)),"")))</x:f>
      </x:c>
      <x:c r="C309" s="75" t="str">
        <x:f>IF(A309="","",SUMIF('전기원장'!$A$5:$A$1004,A309,'전기원장'!$H$5:$H$1004))</x:f>
      </x:c>
      <x:c r="D309" s="75" t="str">
        <x:f>IF(A309="","",SUMIF('당기원장'!$A$5:$A$1004,A309,'당기원장'!$H$5:$H$1004))</x:f>
      </x:c>
      <x:c r="E309" s="75" t="str">
        <x:f>IF(A309="","",D309-C309)</x:f>
      </x:c>
      <x:c r="F309" s="88" t="str">
        <x:f>IF(A309="","",IF(C309=0,IF(D309=0,0,1),ABS(E309)/ABS(C309)))</x:f>
      </x:c>
      <x:c r="G309" s="73" t="str">
        <x:f>IF(A309="","",IF(AND(C309=0,D309&lt;&gt;0),"신규",IF(AND(C309&lt;&gt;0,D309=0),"소멸",IF(E309=0,"변동없음","금액변동"))))</x:f>
      </x:c>
      <x:c r="H309" s="73" t="str">
        <x:f>IF(A309="","",IF(AND(ABS(E309)&gt;='기준설정'!$B$6,OR(G309="신규",G309="소멸",F309&gt;='기준설정'!$B$5)),"원인분석 대상","일반"))</x:f>
      </x:c>
      <x:c r="I309" s="73" t="str">
        <x:f>IF(A309="","",IF(H309="원인분석 대상","세부원인분석 시트에서 거래별 원인을 검토","-"))</x:f>
      </x:c>
      <x:c r="J309" s="73" t="str">
        <x:f>IF(A309="","",COUNTIFS('전기원장'!$A$5:$A$1004,A309,'전기원장'!$J$5:$J$1004,"확인 필요")+COUNTIFS('당기원장'!$A$5:$A$1004,A309,'당기원장'!$J$5:$J$1004,"확인 필요"))</x:f>
      </x:c>
      <x:c r="K309" s="85" t="str">
        <x:f>IF(A309="","",IF(H309&lt;&gt;"원인분석 대상","",IF(J309&gt;0,"붙임 문서 확인 후 원인 확정 필요","결의서명 기반 원인분류 검토")))</x:f>
      </x:c>
    </x:row>
    <x:row r="310">
      <x:c r="A310" s="73" t="str">
        <x:f>IFERROR(INDEX('계산도우미'!$B$5:$B$2004,MATCH(ROWS($A$5:A310),'계산도우미'!$K$5:$K$2004,0)),"")</x:f>
      </x:c>
      <x:c r="B310" s="73" t="str">
        <x:f>IF(A310="","",IFERROR(INDEX('당기원장'!$B$5:$B$1004,MATCH(A310,'당기원장'!$A$5:$A$1004,0)),IFERROR(INDEX('전기원장'!$B$5:$B$1004,MATCH(A310,'전기원장'!$A$5:$A$1004,0)),"")))</x:f>
      </x:c>
      <x:c r="C310" s="75" t="str">
        <x:f>IF(A310="","",SUMIF('전기원장'!$A$5:$A$1004,A310,'전기원장'!$H$5:$H$1004))</x:f>
      </x:c>
      <x:c r="D310" s="75" t="str">
        <x:f>IF(A310="","",SUMIF('당기원장'!$A$5:$A$1004,A310,'당기원장'!$H$5:$H$1004))</x:f>
      </x:c>
      <x:c r="E310" s="75" t="str">
        <x:f>IF(A310="","",D310-C310)</x:f>
      </x:c>
      <x:c r="F310" s="88" t="str">
        <x:f>IF(A310="","",IF(C310=0,IF(D310=0,0,1),ABS(E310)/ABS(C310)))</x:f>
      </x:c>
      <x:c r="G310" s="73" t="str">
        <x:f>IF(A310="","",IF(AND(C310=0,D310&lt;&gt;0),"신규",IF(AND(C310&lt;&gt;0,D310=0),"소멸",IF(E310=0,"변동없음","금액변동"))))</x:f>
      </x:c>
      <x:c r="H310" s="73" t="str">
        <x:f>IF(A310="","",IF(AND(ABS(E310)&gt;='기준설정'!$B$6,OR(G310="신규",G310="소멸",F310&gt;='기준설정'!$B$5)),"원인분석 대상","일반"))</x:f>
      </x:c>
      <x:c r="I310" s="73" t="str">
        <x:f>IF(A310="","",IF(H310="원인분석 대상","세부원인분석 시트에서 거래별 원인을 검토","-"))</x:f>
      </x:c>
      <x:c r="J310" s="73" t="str">
        <x:f>IF(A310="","",COUNTIFS('전기원장'!$A$5:$A$1004,A310,'전기원장'!$J$5:$J$1004,"확인 필요")+COUNTIFS('당기원장'!$A$5:$A$1004,A310,'당기원장'!$J$5:$J$1004,"확인 필요"))</x:f>
      </x:c>
      <x:c r="K310" s="85" t="str">
        <x:f>IF(A310="","",IF(H310&lt;&gt;"원인분석 대상","",IF(J310&gt;0,"붙임 문서 확인 후 원인 확정 필요","결의서명 기반 원인분류 검토")))</x:f>
      </x:c>
    </x:row>
    <x:row r="311">
      <x:c r="A311" s="73" t="str">
        <x:f>IFERROR(INDEX('계산도우미'!$B$5:$B$2004,MATCH(ROWS($A$5:A311),'계산도우미'!$K$5:$K$2004,0)),"")</x:f>
      </x:c>
      <x:c r="B311" s="73" t="str">
        <x:f>IF(A311="","",IFERROR(INDEX('당기원장'!$B$5:$B$1004,MATCH(A311,'당기원장'!$A$5:$A$1004,0)),IFERROR(INDEX('전기원장'!$B$5:$B$1004,MATCH(A311,'전기원장'!$A$5:$A$1004,0)),"")))</x:f>
      </x:c>
      <x:c r="C311" s="75" t="str">
        <x:f>IF(A311="","",SUMIF('전기원장'!$A$5:$A$1004,A311,'전기원장'!$H$5:$H$1004))</x:f>
      </x:c>
      <x:c r="D311" s="75" t="str">
        <x:f>IF(A311="","",SUMIF('당기원장'!$A$5:$A$1004,A311,'당기원장'!$H$5:$H$1004))</x:f>
      </x:c>
      <x:c r="E311" s="75" t="str">
        <x:f>IF(A311="","",D311-C311)</x:f>
      </x:c>
      <x:c r="F311" s="88" t="str">
        <x:f>IF(A311="","",IF(C311=0,IF(D311=0,0,1),ABS(E311)/ABS(C311)))</x:f>
      </x:c>
      <x:c r="G311" s="73" t="str">
        <x:f>IF(A311="","",IF(AND(C311=0,D311&lt;&gt;0),"신규",IF(AND(C311&lt;&gt;0,D311=0),"소멸",IF(E311=0,"변동없음","금액변동"))))</x:f>
      </x:c>
      <x:c r="H311" s="73" t="str">
        <x:f>IF(A311="","",IF(AND(ABS(E311)&gt;='기준설정'!$B$6,OR(G311="신규",G311="소멸",F311&gt;='기준설정'!$B$5)),"원인분석 대상","일반"))</x:f>
      </x:c>
      <x:c r="I311" s="73" t="str">
        <x:f>IF(A311="","",IF(H311="원인분석 대상","세부원인분석 시트에서 거래별 원인을 검토","-"))</x:f>
      </x:c>
      <x:c r="J311" s="73" t="str">
        <x:f>IF(A311="","",COUNTIFS('전기원장'!$A$5:$A$1004,A311,'전기원장'!$J$5:$J$1004,"확인 필요")+COUNTIFS('당기원장'!$A$5:$A$1004,A311,'당기원장'!$J$5:$J$1004,"확인 필요"))</x:f>
      </x:c>
      <x:c r="K311" s="85" t="str">
        <x:f>IF(A311="","",IF(H311&lt;&gt;"원인분석 대상","",IF(J311&gt;0,"붙임 문서 확인 후 원인 확정 필요","결의서명 기반 원인분류 검토")))</x:f>
      </x:c>
    </x:row>
    <x:row r="312">
      <x:c r="A312" s="73" t="str">
        <x:f>IFERROR(INDEX('계산도우미'!$B$5:$B$2004,MATCH(ROWS($A$5:A312),'계산도우미'!$K$5:$K$2004,0)),"")</x:f>
      </x:c>
      <x:c r="B312" s="73" t="str">
        <x:f>IF(A312="","",IFERROR(INDEX('당기원장'!$B$5:$B$1004,MATCH(A312,'당기원장'!$A$5:$A$1004,0)),IFERROR(INDEX('전기원장'!$B$5:$B$1004,MATCH(A312,'전기원장'!$A$5:$A$1004,0)),"")))</x:f>
      </x:c>
      <x:c r="C312" s="75" t="str">
        <x:f>IF(A312="","",SUMIF('전기원장'!$A$5:$A$1004,A312,'전기원장'!$H$5:$H$1004))</x:f>
      </x:c>
      <x:c r="D312" s="75" t="str">
        <x:f>IF(A312="","",SUMIF('당기원장'!$A$5:$A$1004,A312,'당기원장'!$H$5:$H$1004))</x:f>
      </x:c>
      <x:c r="E312" s="75" t="str">
        <x:f>IF(A312="","",D312-C312)</x:f>
      </x:c>
      <x:c r="F312" s="88" t="str">
        <x:f>IF(A312="","",IF(C312=0,IF(D312=0,0,1),ABS(E312)/ABS(C312)))</x:f>
      </x:c>
      <x:c r="G312" s="73" t="str">
        <x:f>IF(A312="","",IF(AND(C312=0,D312&lt;&gt;0),"신규",IF(AND(C312&lt;&gt;0,D312=0),"소멸",IF(E312=0,"변동없음","금액변동"))))</x:f>
      </x:c>
      <x:c r="H312" s="73" t="str">
        <x:f>IF(A312="","",IF(AND(ABS(E312)&gt;='기준설정'!$B$6,OR(G312="신규",G312="소멸",F312&gt;='기준설정'!$B$5)),"원인분석 대상","일반"))</x:f>
      </x:c>
      <x:c r="I312" s="73" t="str">
        <x:f>IF(A312="","",IF(H312="원인분석 대상","세부원인분석 시트에서 거래별 원인을 검토","-"))</x:f>
      </x:c>
      <x:c r="J312" s="73" t="str">
        <x:f>IF(A312="","",COUNTIFS('전기원장'!$A$5:$A$1004,A312,'전기원장'!$J$5:$J$1004,"확인 필요")+COUNTIFS('당기원장'!$A$5:$A$1004,A312,'당기원장'!$J$5:$J$1004,"확인 필요"))</x:f>
      </x:c>
      <x:c r="K312" s="85" t="str">
        <x:f>IF(A312="","",IF(H312&lt;&gt;"원인분석 대상","",IF(J312&gt;0,"붙임 문서 확인 후 원인 확정 필요","결의서명 기반 원인분류 검토")))</x:f>
      </x:c>
    </x:row>
    <x:row r="313">
      <x:c r="A313" s="73" t="str">
        <x:f>IFERROR(INDEX('계산도우미'!$B$5:$B$2004,MATCH(ROWS($A$5:A313),'계산도우미'!$K$5:$K$2004,0)),"")</x:f>
      </x:c>
      <x:c r="B313" s="73" t="str">
        <x:f>IF(A313="","",IFERROR(INDEX('당기원장'!$B$5:$B$1004,MATCH(A313,'당기원장'!$A$5:$A$1004,0)),IFERROR(INDEX('전기원장'!$B$5:$B$1004,MATCH(A313,'전기원장'!$A$5:$A$1004,0)),"")))</x:f>
      </x:c>
      <x:c r="C313" s="75" t="str">
        <x:f>IF(A313="","",SUMIF('전기원장'!$A$5:$A$1004,A313,'전기원장'!$H$5:$H$1004))</x:f>
      </x:c>
      <x:c r="D313" s="75" t="str">
        <x:f>IF(A313="","",SUMIF('당기원장'!$A$5:$A$1004,A313,'당기원장'!$H$5:$H$1004))</x:f>
      </x:c>
      <x:c r="E313" s="75" t="str">
        <x:f>IF(A313="","",D313-C313)</x:f>
      </x:c>
      <x:c r="F313" s="88" t="str">
        <x:f>IF(A313="","",IF(C313=0,IF(D313=0,0,1),ABS(E313)/ABS(C313)))</x:f>
      </x:c>
      <x:c r="G313" s="73" t="str">
        <x:f>IF(A313="","",IF(AND(C313=0,D313&lt;&gt;0),"신규",IF(AND(C313&lt;&gt;0,D313=0),"소멸",IF(E313=0,"변동없음","금액변동"))))</x:f>
      </x:c>
      <x:c r="H313" s="73" t="str">
        <x:f>IF(A313="","",IF(AND(ABS(E313)&gt;='기준설정'!$B$6,OR(G313="신규",G313="소멸",F313&gt;='기준설정'!$B$5)),"원인분석 대상","일반"))</x:f>
      </x:c>
      <x:c r="I313" s="73" t="str">
        <x:f>IF(A313="","",IF(H313="원인분석 대상","세부원인분석 시트에서 거래별 원인을 검토","-"))</x:f>
      </x:c>
      <x:c r="J313" s="73" t="str">
        <x:f>IF(A313="","",COUNTIFS('전기원장'!$A$5:$A$1004,A313,'전기원장'!$J$5:$J$1004,"확인 필요")+COUNTIFS('당기원장'!$A$5:$A$1004,A313,'당기원장'!$J$5:$J$1004,"확인 필요"))</x:f>
      </x:c>
      <x:c r="K313" s="85" t="str">
        <x:f>IF(A313="","",IF(H313&lt;&gt;"원인분석 대상","",IF(J313&gt;0,"붙임 문서 확인 후 원인 확정 필요","결의서명 기반 원인분류 검토")))</x:f>
      </x:c>
    </x:row>
    <x:row r="314">
      <x:c r="A314" s="73" t="str">
        <x:f>IFERROR(INDEX('계산도우미'!$B$5:$B$2004,MATCH(ROWS($A$5:A314),'계산도우미'!$K$5:$K$2004,0)),"")</x:f>
      </x:c>
      <x:c r="B314" s="73" t="str">
        <x:f>IF(A314="","",IFERROR(INDEX('당기원장'!$B$5:$B$1004,MATCH(A314,'당기원장'!$A$5:$A$1004,0)),IFERROR(INDEX('전기원장'!$B$5:$B$1004,MATCH(A314,'전기원장'!$A$5:$A$1004,0)),"")))</x:f>
      </x:c>
      <x:c r="C314" s="75" t="str">
        <x:f>IF(A314="","",SUMIF('전기원장'!$A$5:$A$1004,A314,'전기원장'!$H$5:$H$1004))</x:f>
      </x:c>
      <x:c r="D314" s="75" t="str">
        <x:f>IF(A314="","",SUMIF('당기원장'!$A$5:$A$1004,A314,'당기원장'!$H$5:$H$1004))</x:f>
      </x:c>
      <x:c r="E314" s="75" t="str">
        <x:f>IF(A314="","",D314-C314)</x:f>
      </x:c>
      <x:c r="F314" s="88" t="str">
        <x:f>IF(A314="","",IF(C314=0,IF(D314=0,0,1),ABS(E314)/ABS(C314)))</x:f>
      </x:c>
      <x:c r="G314" s="73" t="str">
        <x:f>IF(A314="","",IF(AND(C314=0,D314&lt;&gt;0),"신규",IF(AND(C314&lt;&gt;0,D314=0),"소멸",IF(E314=0,"변동없음","금액변동"))))</x:f>
      </x:c>
      <x:c r="H314" s="73" t="str">
        <x:f>IF(A314="","",IF(AND(ABS(E314)&gt;='기준설정'!$B$6,OR(G314="신규",G314="소멸",F314&gt;='기준설정'!$B$5)),"원인분석 대상","일반"))</x:f>
      </x:c>
      <x:c r="I314" s="73" t="str">
        <x:f>IF(A314="","",IF(H314="원인분석 대상","세부원인분석 시트에서 거래별 원인을 검토","-"))</x:f>
      </x:c>
      <x:c r="J314" s="73" t="str">
        <x:f>IF(A314="","",COUNTIFS('전기원장'!$A$5:$A$1004,A314,'전기원장'!$J$5:$J$1004,"확인 필요")+COUNTIFS('당기원장'!$A$5:$A$1004,A314,'당기원장'!$J$5:$J$1004,"확인 필요"))</x:f>
      </x:c>
      <x:c r="K314" s="85" t="str">
        <x:f>IF(A314="","",IF(H314&lt;&gt;"원인분석 대상","",IF(J314&gt;0,"붙임 문서 확인 후 원인 확정 필요","결의서명 기반 원인분류 검토")))</x:f>
      </x:c>
    </x:row>
    <x:row r="315">
      <x:c r="A315" s="73" t="str">
        <x:f>IFERROR(INDEX('계산도우미'!$B$5:$B$2004,MATCH(ROWS($A$5:A315),'계산도우미'!$K$5:$K$2004,0)),"")</x:f>
      </x:c>
      <x:c r="B315" s="73" t="str">
        <x:f>IF(A315="","",IFERROR(INDEX('당기원장'!$B$5:$B$1004,MATCH(A315,'당기원장'!$A$5:$A$1004,0)),IFERROR(INDEX('전기원장'!$B$5:$B$1004,MATCH(A315,'전기원장'!$A$5:$A$1004,0)),"")))</x:f>
      </x:c>
      <x:c r="C315" s="75" t="str">
        <x:f>IF(A315="","",SUMIF('전기원장'!$A$5:$A$1004,A315,'전기원장'!$H$5:$H$1004))</x:f>
      </x:c>
      <x:c r="D315" s="75" t="str">
        <x:f>IF(A315="","",SUMIF('당기원장'!$A$5:$A$1004,A315,'당기원장'!$H$5:$H$1004))</x:f>
      </x:c>
      <x:c r="E315" s="75" t="str">
        <x:f>IF(A315="","",D315-C315)</x:f>
      </x:c>
      <x:c r="F315" s="88" t="str">
        <x:f>IF(A315="","",IF(C315=0,IF(D315=0,0,1),ABS(E315)/ABS(C315)))</x:f>
      </x:c>
      <x:c r="G315" s="73" t="str">
        <x:f>IF(A315="","",IF(AND(C315=0,D315&lt;&gt;0),"신규",IF(AND(C315&lt;&gt;0,D315=0),"소멸",IF(E315=0,"변동없음","금액변동"))))</x:f>
      </x:c>
      <x:c r="H315" s="73" t="str">
        <x:f>IF(A315="","",IF(AND(ABS(E315)&gt;='기준설정'!$B$6,OR(G315="신규",G315="소멸",F315&gt;='기준설정'!$B$5)),"원인분석 대상","일반"))</x:f>
      </x:c>
      <x:c r="I315" s="73" t="str">
        <x:f>IF(A315="","",IF(H315="원인분석 대상","세부원인분석 시트에서 거래별 원인을 검토","-"))</x:f>
      </x:c>
      <x:c r="J315" s="73" t="str">
        <x:f>IF(A315="","",COUNTIFS('전기원장'!$A$5:$A$1004,A315,'전기원장'!$J$5:$J$1004,"확인 필요")+COUNTIFS('당기원장'!$A$5:$A$1004,A315,'당기원장'!$J$5:$J$1004,"확인 필요"))</x:f>
      </x:c>
      <x:c r="K315" s="85" t="str">
        <x:f>IF(A315="","",IF(H315&lt;&gt;"원인분석 대상","",IF(J315&gt;0,"붙임 문서 확인 후 원인 확정 필요","결의서명 기반 원인분류 검토")))</x:f>
      </x:c>
    </x:row>
    <x:row r="316">
      <x:c r="A316" s="73" t="str">
        <x:f>IFERROR(INDEX('계산도우미'!$B$5:$B$2004,MATCH(ROWS($A$5:A316),'계산도우미'!$K$5:$K$2004,0)),"")</x:f>
      </x:c>
      <x:c r="B316" s="73" t="str">
        <x:f>IF(A316="","",IFERROR(INDEX('당기원장'!$B$5:$B$1004,MATCH(A316,'당기원장'!$A$5:$A$1004,0)),IFERROR(INDEX('전기원장'!$B$5:$B$1004,MATCH(A316,'전기원장'!$A$5:$A$1004,0)),"")))</x:f>
      </x:c>
      <x:c r="C316" s="75" t="str">
        <x:f>IF(A316="","",SUMIF('전기원장'!$A$5:$A$1004,A316,'전기원장'!$H$5:$H$1004))</x:f>
      </x:c>
      <x:c r="D316" s="75" t="str">
        <x:f>IF(A316="","",SUMIF('당기원장'!$A$5:$A$1004,A316,'당기원장'!$H$5:$H$1004))</x:f>
      </x:c>
      <x:c r="E316" s="75" t="str">
        <x:f>IF(A316="","",D316-C316)</x:f>
      </x:c>
      <x:c r="F316" s="88" t="str">
        <x:f>IF(A316="","",IF(C316=0,IF(D316=0,0,1),ABS(E316)/ABS(C316)))</x:f>
      </x:c>
      <x:c r="G316" s="73" t="str">
        <x:f>IF(A316="","",IF(AND(C316=0,D316&lt;&gt;0),"신규",IF(AND(C316&lt;&gt;0,D316=0),"소멸",IF(E316=0,"변동없음","금액변동"))))</x:f>
      </x:c>
      <x:c r="H316" s="73" t="str">
        <x:f>IF(A316="","",IF(AND(ABS(E316)&gt;='기준설정'!$B$6,OR(G316="신규",G316="소멸",F316&gt;='기준설정'!$B$5)),"원인분석 대상","일반"))</x:f>
      </x:c>
      <x:c r="I316" s="73" t="str">
        <x:f>IF(A316="","",IF(H316="원인분석 대상","세부원인분석 시트에서 거래별 원인을 검토","-"))</x:f>
      </x:c>
      <x:c r="J316" s="73" t="str">
        <x:f>IF(A316="","",COUNTIFS('전기원장'!$A$5:$A$1004,A316,'전기원장'!$J$5:$J$1004,"확인 필요")+COUNTIFS('당기원장'!$A$5:$A$1004,A316,'당기원장'!$J$5:$J$1004,"확인 필요"))</x:f>
      </x:c>
      <x:c r="K316" s="85" t="str">
        <x:f>IF(A316="","",IF(H316&lt;&gt;"원인분석 대상","",IF(J316&gt;0,"붙임 문서 확인 후 원인 확정 필요","결의서명 기반 원인분류 검토")))</x:f>
      </x:c>
    </x:row>
    <x:row r="317">
      <x:c r="A317" s="73" t="str">
        <x:f>IFERROR(INDEX('계산도우미'!$B$5:$B$2004,MATCH(ROWS($A$5:A317),'계산도우미'!$K$5:$K$2004,0)),"")</x:f>
      </x:c>
      <x:c r="B317" s="73" t="str">
        <x:f>IF(A317="","",IFERROR(INDEX('당기원장'!$B$5:$B$1004,MATCH(A317,'당기원장'!$A$5:$A$1004,0)),IFERROR(INDEX('전기원장'!$B$5:$B$1004,MATCH(A317,'전기원장'!$A$5:$A$1004,0)),"")))</x:f>
      </x:c>
      <x:c r="C317" s="75" t="str">
        <x:f>IF(A317="","",SUMIF('전기원장'!$A$5:$A$1004,A317,'전기원장'!$H$5:$H$1004))</x:f>
      </x:c>
      <x:c r="D317" s="75" t="str">
        <x:f>IF(A317="","",SUMIF('당기원장'!$A$5:$A$1004,A317,'당기원장'!$H$5:$H$1004))</x:f>
      </x:c>
      <x:c r="E317" s="75" t="str">
        <x:f>IF(A317="","",D317-C317)</x:f>
      </x:c>
      <x:c r="F317" s="88" t="str">
        <x:f>IF(A317="","",IF(C317=0,IF(D317=0,0,1),ABS(E317)/ABS(C317)))</x:f>
      </x:c>
      <x:c r="G317" s="73" t="str">
        <x:f>IF(A317="","",IF(AND(C317=0,D317&lt;&gt;0),"신규",IF(AND(C317&lt;&gt;0,D317=0),"소멸",IF(E317=0,"변동없음","금액변동"))))</x:f>
      </x:c>
      <x:c r="H317" s="73" t="str">
        <x:f>IF(A317="","",IF(AND(ABS(E317)&gt;='기준설정'!$B$6,OR(G317="신규",G317="소멸",F317&gt;='기준설정'!$B$5)),"원인분석 대상","일반"))</x:f>
      </x:c>
      <x:c r="I317" s="73" t="str">
        <x:f>IF(A317="","",IF(H317="원인분석 대상","세부원인분석 시트에서 거래별 원인을 검토","-"))</x:f>
      </x:c>
      <x:c r="J317" s="73" t="str">
        <x:f>IF(A317="","",COUNTIFS('전기원장'!$A$5:$A$1004,A317,'전기원장'!$J$5:$J$1004,"확인 필요")+COUNTIFS('당기원장'!$A$5:$A$1004,A317,'당기원장'!$J$5:$J$1004,"확인 필요"))</x:f>
      </x:c>
      <x:c r="K317" s="85" t="str">
        <x:f>IF(A317="","",IF(H317&lt;&gt;"원인분석 대상","",IF(J317&gt;0,"붙임 문서 확인 후 원인 확정 필요","결의서명 기반 원인분류 검토")))</x:f>
      </x:c>
    </x:row>
    <x:row r="318">
      <x:c r="A318" s="73" t="str">
        <x:f>IFERROR(INDEX('계산도우미'!$B$5:$B$2004,MATCH(ROWS($A$5:A318),'계산도우미'!$K$5:$K$2004,0)),"")</x:f>
      </x:c>
      <x:c r="B318" s="73" t="str">
        <x:f>IF(A318="","",IFERROR(INDEX('당기원장'!$B$5:$B$1004,MATCH(A318,'당기원장'!$A$5:$A$1004,0)),IFERROR(INDEX('전기원장'!$B$5:$B$1004,MATCH(A318,'전기원장'!$A$5:$A$1004,0)),"")))</x:f>
      </x:c>
      <x:c r="C318" s="75" t="str">
        <x:f>IF(A318="","",SUMIF('전기원장'!$A$5:$A$1004,A318,'전기원장'!$H$5:$H$1004))</x:f>
      </x:c>
      <x:c r="D318" s="75" t="str">
        <x:f>IF(A318="","",SUMIF('당기원장'!$A$5:$A$1004,A318,'당기원장'!$H$5:$H$1004))</x:f>
      </x:c>
      <x:c r="E318" s="75" t="str">
        <x:f>IF(A318="","",D318-C318)</x:f>
      </x:c>
      <x:c r="F318" s="88" t="str">
        <x:f>IF(A318="","",IF(C318=0,IF(D318=0,0,1),ABS(E318)/ABS(C318)))</x:f>
      </x:c>
      <x:c r="G318" s="73" t="str">
        <x:f>IF(A318="","",IF(AND(C318=0,D318&lt;&gt;0),"신규",IF(AND(C318&lt;&gt;0,D318=0),"소멸",IF(E318=0,"변동없음","금액변동"))))</x:f>
      </x:c>
      <x:c r="H318" s="73" t="str">
        <x:f>IF(A318="","",IF(AND(ABS(E318)&gt;='기준설정'!$B$6,OR(G318="신규",G318="소멸",F318&gt;='기준설정'!$B$5)),"원인분석 대상","일반"))</x:f>
      </x:c>
      <x:c r="I318" s="73" t="str">
        <x:f>IF(A318="","",IF(H318="원인분석 대상","세부원인분석 시트에서 거래별 원인을 검토","-"))</x:f>
      </x:c>
      <x:c r="J318" s="73" t="str">
        <x:f>IF(A318="","",COUNTIFS('전기원장'!$A$5:$A$1004,A318,'전기원장'!$J$5:$J$1004,"확인 필요")+COUNTIFS('당기원장'!$A$5:$A$1004,A318,'당기원장'!$J$5:$J$1004,"확인 필요"))</x:f>
      </x:c>
      <x:c r="K318" s="85" t="str">
        <x:f>IF(A318="","",IF(H318&lt;&gt;"원인분석 대상","",IF(J318&gt;0,"붙임 문서 확인 후 원인 확정 필요","결의서명 기반 원인분류 검토")))</x:f>
      </x:c>
    </x:row>
    <x:row r="319">
      <x:c r="A319" s="73" t="str">
        <x:f>IFERROR(INDEX('계산도우미'!$B$5:$B$2004,MATCH(ROWS($A$5:A319),'계산도우미'!$K$5:$K$2004,0)),"")</x:f>
      </x:c>
      <x:c r="B319" s="73" t="str">
        <x:f>IF(A319="","",IFERROR(INDEX('당기원장'!$B$5:$B$1004,MATCH(A319,'당기원장'!$A$5:$A$1004,0)),IFERROR(INDEX('전기원장'!$B$5:$B$1004,MATCH(A319,'전기원장'!$A$5:$A$1004,0)),"")))</x:f>
      </x:c>
      <x:c r="C319" s="75" t="str">
        <x:f>IF(A319="","",SUMIF('전기원장'!$A$5:$A$1004,A319,'전기원장'!$H$5:$H$1004))</x:f>
      </x:c>
      <x:c r="D319" s="75" t="str">
        <x:f>IF(A319="","",SUMIF('당기원장'!$A$5:$A$1004,A319,'당기원장'!$H$5:$H$1004))</x:f>
      </x:c>
      <x:c r="E319" s="75" t="str">
        <x:f>IF(A319="","",D319-C319)</x:f>
      </x:c>
      <x:c r="F319" s="88" t="str">
        <x:f>IF(A319="","",IF(C319=0,IF(D319=0,0,1),ABS(E319)/ABS(C319)))</x:f>
      </x:c>
      <x:c r="G319" s="73" t="str">
        <x:f>IF(A319="","",IF(AND(C319=0,D319&lt;&gt;0),"신규",IF(AND(C319&lt;&gt;0,D319=0),"소멸",IF(E319=0,"변동없음","금액변동"))))</x:f>
      </x:c>
      <x:c r="H319" s="73" t="str">
        <x:f>IF(A319="","",IF(AND(ABS(E319)&gt;='기준설정'!$B$6,OR(G319="신규",G319="소멸",F319&gt;='기준설정'!$B$5)),"원인분석 대상","일반"))</x:f>
      </x:c>
      <x:c r="I319" s="73" t="str">
        <x:f>IF(A319="","",IF(H319="원인분석 대상","세부원인분석 시트에서 거래별 원인을 검토","-"))</x:f>
      </x:c>
      <x:c r="J319" s="73" t="str">
        <x:f>IF(A319="","",COUNTIFS('전기원장'!$A$5:$A$1004,A319,'전기원장'!$J$5:$J$1004,"확인 필요")+COUNTIFS('당기원장'!$A$5:$A$1004,A319,'당기원장'!$J$5:$J$1004,"확인 필요"))</x:f>
      </x:c>
      <x:c r="K319" s="85" t="str">
        <x:f>IF(A319="","",IF(H319&lt;&gt;"원인분석 대상","",IF(J319&gt;0,"붙임 문서 확인 후 원인 확정 필요","결의서명 기반 원인분류 검토")))</x:f>
      </x:c>
    </x:row>
    <x:row r="320">
      <x:c r="A320" s="73" t="str">
        <x:f>IFERROR(INDEX('계산도우미'!$B$5:$B$2004,MATCH(ROWS($A$5:A320),'계산도우미'!$K$5:$K$2004,0)),"")</x:f>
      </x:c>
      <x:c r="B320" s="73" t="str">
        <x:f>IF(A320="","",IFERROR(INDEX('당기원장'!$B$5:$B$1004,MATCH(A320,'당기원장'!$A$5:$A$1004,0)),IFERROR(INDEX('전기원장'!$B$5:$B$1004,MATCH(A320,'전기원장'!$A$5:$A$1004,0)),"")))</x:f>
      </x:c>
      <x:c r="C320" s="75" t="str">
        <x:f>IF(A320="","",SUMIF('전기원장'!$A$5:$A$1004,A320,'전기원장'!$H$5:$H$1004))</x:f>
      </x:c>
      <x:c r="D320" s="75" t="str">
        <x:f>IF(A320="","",SUMIF('당기원장'!$A$5:$A$1004,A320,'당기원장'!$H$5:$H$1004))</x:f>
      </x:c>
      <x:c r="E320" s="75" t="str">
        <x:f>IF(A320="","",D320-C320)</x:f>
      </x:c>
      <x:c r="F320" s="88" t="str">
        <x:f>IF(A320="","",IF(C320=0,IF(D320=0,0,1),ABS(E320)/ABS(C320)))</x:f>
      </x:c>
      <x:c r="G320" s="73" t="str">
        <x:f>IF(A320="","",IF(AND(C320=0,D320&lt;&gt;0),"신규",IF(AND(C320&lt;&gt;0,D320=0),"소멸",IF(E320=0,"변동없음","금액변동"))))</x:f>
      </x:c>
      <x:c r="H320" s="73" t="str">
        <x:f>IF(A320="","",IF(AND(ABS(E320)&gt;='기준설정'!$B$6,OR(G320="신규",G320="소멸",F320&gt;='기준설정'!$B$5)),"원인분석 대상","일반"))</x:f>
      </x:c>
      <x:c r="I320" s="73" t="str">
        <x:f>IF(A320="","",IF(H320="원인분석 대상","세부원인분석 시트에서 거래별 원인을 검토","-"))</x:f>
      </x:c>
      <x:c r="J320" s="73" t="str">
        <x:f>IF(A320="","",COUNTIFS('전기원장'!$A$5:$A$1004,A320,'전기원장'!$J$5:$J$1004,"확인 필요")+COUNTIFS('당기원장'!$A$5:$A$1004,A320,'당기원장'!$J$5:$J$1004,"확인 필요"))</x:f>
      </x:c>
      <x:c r="K320" s="85" t="str">
        <x:f>IF(A320="","",IF(H320&lt;&gt;"원인분석 대상","",IF(J320&gt;0,"붙임 문서 확인 후 원인 확정 필요","결의서명 기반 원인분류 검토")))</x:f>
      </x:c>
    </x:row>
    <x:row r="321">
      <x:c r="A321" s="73" t="str">
        <x:f>IFERROR(INDEX('계산도우미'!$B$5:$B$2004,MATCH(ROWS($A$5:A321),'계산도우미'!$K$5:$K$2004,0)),"")</x:f>
      </x:c>
      <x:c r="B321" s="73" t="str">
        <x:f>IF(A321="","",IFERROR(INDEX('당기원장'!$B$5:$B$1004,MATCH(A321,'당기원장'!$A$5:$A$1004,0)),IFERROR(INDEX('전기원장'!$B$5:$B$1004,MATCH(A321,'전기원장'!$A$5:$A$1004,0)),"")))</x:f>
      </x:c>
      <x:c r="C321" s="75" t="str">
        <x:f>IF(A321="","",SUMIF('전기원장'!$A$5:$A$1004,A321,'전기원장'!$H$5:$H$1004))</x:f>
      </x:c>
      <x:c r="D321" s="75" t="str">
        <x:f>IF(A321="","",SUMIF('당기원장'!$A$5:$A$1004,A321,'당기원장'!$H$5:$H$1004))</x:f>
      </x:c>
      <x:c r="E321" s="75" t="str">
        <x:f>IF(A321="","",D321-C321)</x:f>
      </x:c>
      <x:c r="F321" s="88" t="str">
        <x:f>IF(A321="","",IF(C321=0,IF(D321=0,0,1),ABS(E321)/ABS(C321)))</x:f>
      </x:c>
      <x:c r="G321" s="73" t="str">
        <x:f>IF(A321="","",IF(AND(C321=0,D321&lt;&gt;0),"신규",IF(AND(C321&lt;&gt;0,D321=0),"소멸",IF(E321=0,"변동없음","금액변동"))))</x:f>
      </x:c>
      <x:c r="H321" s="73" t="str">
        <x:f>IF(A321="","",IF(AND(ABS(E321)&gt;='기준설정'!$B$6,OR(G321="신규",G321="소멸",F321&gt;='기준설정'!$B$5)),"원인분석 대상","일반"))</x:f>
      </x:c>
      <x:c r="I321" s="73" t="str">
        <x:f>IF(A321="","",IF(H321="원인분석 대상","세부원인분석 시트에서 거래별 원인을 검토","-"))</x:f>
      </x:c>
      <x:c r="J321" s="73" t="str">
        <x:f>IF(A321="","",COUNTIFS('전기원장'!$A$5:$A$1004,A321,'전기원장'!$J$5:$J$1004,"확인 필요")+COUNTIFS('당기원장'!$A$5:$A$1004,A321,'당기원장'!$J$5:$J$1004,"확인 필요"))</x:f>
      </x:c>
      <x:c r="K321" s="85" t="str">
        <x:f>IF(A321="","",IF(H321&lt;&gt;"원인분석 대상","",IF(J321&gt;0,"붙임 문서 확인 후 원인 확정 필요","결의서명 기반 원인분류 검토")))</x:f>
      </x:c>
    </x:row>
    <x:row r="322">
      <x:c r="A322" s="73" t="str">
        <x:f>IFERROR(INDEX('계산도우미'!$B$5:$B$2004,MATCH(ROWS($A$5:A322),'계산도우미'!$K$5:$K$2004,0)),"")</x:f>
      </x:c>
      <x:c r="B322" s="73" t="str">
        <x:f>IF(A322="","",IFERROR(INDEX('당기원장'!$B$5:$B$1004,MATCH(A322,'당기원장'!$A$5:$A$1004,0)),IFERROR(INDEX('전기원장'!$B$5:$B$1004,MATCH(A322,'전기원장'!$A$5:$A$1004,0)),"")))</x:f>
      </x:c>
      <x:c r="C322" s="75" t="str">
        <x:f>IF(A322="","",SUMIF('전기원장'!$A$5:$A$1004,A322,'전기원장'!$H$5:$H$1004))</x:f>
      </x:c>
      <x:c r="D322" s="75" t="str">
        <x:f>IF(A322="","",SUMIF('당기원장'!$A$5:$A$1004,A322,'당기원장'!$H$5:$H$1004))</x:f>
      </x:c>
      <x:c r="E322" s="75" t="str">
        <x:f>IF(A322="","",D322-C322)</x:f>
      </x:c>
      <x:c r="F322" s="88" t="str">
        <x:f>IF(A322="","",IF(C322=0,IF(D322=0,0,1),ABS(E322)/ABS(C322)))</x:f>
      </x:c>
      <x:c r="G322" s="73" t="str">
        <x:f>IF(A322="","",IF(AND(C322=0,D322&lt;&gt;0),"신규",IF(AND(C322&lt;&gt;0,D322=0),"소멸",IF(E322=0,"변동없음","금액변동"))))</x:f>
      </x:c>
      <x:c r="H322" s="73" t="str">
        <x:f>IF(A322="","",IF(AND(ABS(E322)&gt;='기준설정'!$B$6,OR(G322="신규",G322="소멸",F322&gt;='기준설정'!$B$5)),"원인분석 대상","일반"))</x:f>
      </x:c>
      <x:c r="I322" s="73" t="str">
        <x:f>IF(A322="","",IF(H322="원인분석 대상","세부원인분석 시트에서 거래별 원인을 검토","-"))</x:f>
      </x:c>
      <x:c r="J322" s="73" t="str">
        <x:f>IF(A322="","",COUNTIFS('전기원장'!$A$5:$A$1004,A322,'전기원장'!$J$5:$J$1004,"확인 필요")+COUNTIFS('당기원장'!$A$5:$A$1004,A322,'당기원장'!$J$5:$J$1004,"확인 필요"))</x:f>
      </x:c>
      <x:c r="K322" s="85" t="str">
        <x:f>IF(A322="","",IF(H322&lt;&gt;"원인분석 대상","",IF(J322&gt;0,"붙임 문서 확인 후 원인 확정 필요","결의서명 기반 원인분류 검토")))</x:f>
      </x:c>
    </x:row>
    <x:row r="323">
      <x:c r="A323" s="73" t="str">
        <x:f>IFERROR(INDEX('계산도우미'!$B$5:$B$2004,MATCH(ROWS($A$5:A323),'계산도우미'!$K$5:$K$2004,0)),"")</x:f>
      </x:c>
      <x:c r="B323" s="73" t="str">
        <x:f>IF(A323="","",IFERROR(INDEX('당기원장'!$B$5:$B$1004,MATCH(A323,'당기원장'!$A$5:$A$1004,0)),IFERROR(INDEX('전기원장'!$B$5:$B$1004,MATCH(A323,'전기원장'!$A$5:$A$1004,0)),"")))</x:f>
      </x:c>
      <x:c r="C323" s="75" t="str">
        <x:f>IF(A323="","",SUMIF('전기원장'!$A$5:$A$1004,A323,'전기원장'!$H$5:$H$1004))</x:f>
      </x:c>
      <x:c r="D323" s="75" t="str">
        <x:f>IF(A323="","",SUMIF('당기원장'!$A$5:$A$1004,A323,'당기원장'!$H$5:$H$1004))</x:f>
      </x:c>
      <x:c r="E323" s="75" t="str">
        <x:f>IF(A323="","",D323-C323)</x:f>
      </x:c>
      <x:c r="F323" s="88" t="str">
        <x:f>IF(A323="","",IF(C323=0,IF(D323=0,0,1),ABS(E323)/ABS(C323)))</x:f>
      </x:c>
      <x:c r="G323" s="73" t="str">
        <x:f>IF(A323="","",IF(AND(C323=0,D323&lt;&gt;0),"신규",IF(AND(C323&lt;&gt;0,D323=0),"소멸",IF(E323=0,"변동없음","금액변동"))))</x:f>
      </x:c>
      <x:c r="H323" s="73" t="str">
        <x:f>IF(A323="","",IF(AND(ABS(E323)&gt;='기준설정'!$B$6,OR(G323="신규",G323="소멸",F323&gt;='기준설정'!$B$5)),"원인분석 대상","일반"))</x:f>
      </x:c>
      <x:c r="I323" s="73" t="str">
        <x:f>IF(A323="","",IF(H323="원인분석 대상","세부원인분석 시트에서 거래별 원인을 검토","-"))</x:f>
      </x:c>
      <x:c r="J323" s="73" t="str">
        <x:f>IF(A323="","",COUNTIFS('전기원장'!$A$5:$A$1004,A323,'전기원장'!$J$5:$J$1004,"확인 필요")+COUNTIFS('당기원장'!$A$5:$A$1004,A323,'당기원장'!$J$5:$J$1004,"확인 필요"))</x:f>
      </x:c>
      <x:c r="K323" s="85" t="str">
        <x:f>IF(A323="","",IF(H323&lt;&gt;"원인분석 대상","",IF(J323&gt;0,"붙임 문서 확인 후 원인 확정 필요","결의서명 기반 원인분류 검토")))</x:f>
      </x:c>
    </x:row>
    <x:row r="324">
      <x:c r="A324" s="73" t="str">
        <x:f>IFERROR(INDEX('계산도우미'!$B$5:$B$2004,MATCH(ROWS($A$5:A324),'계산도우미'!$K$5:$K$2004,0)),"")</x:f>
      </x:c>
      <x:c r="B324" s="73" t="str">
        <x:f>IF(A324="","",IFERROR(INDEX('당기원장'!$B$5:$B$1004,MATCH(A324,'당기원장'!$A$5:$A$1004,0)),IFERROR(INDEX('전기원장'!$B$5:$B$1004,MATCH(A324,'전기원장'!$A$5:$A$1004,0)),"")))</x:f>
      </x:c>
      <x:c r="C324" s="75" t="str">
        <x:f>IF(A324="","",SUMIF('전기원장'!$A$5:$A$1004,A324,'전기원장'!$H$5:$H$1004))</x:f>
      </x:c>
      <x:c r="D324" s="75" t="str">
        <x:f>IF(A324="","",SUMIF('당기원장'!$A$5:$A$1004,A324,'당기원장'!$H$5:$H$1004))</x:f>
      </x:c>
      <x:c r="E324" s="75" t="str">
        <x:f>IF(A324="","",D324-C324)</x:f>
      </x:c>
      <x:c r="F324" s="88" t="str">
        <x:f>IF(A324="","",IF(C324=0,IF(D324=0,0,1),ABS(E324)/ABS(C324)))</x:f>
      </x:c>
      <x:c r="G324" s="73" t="str">
        <x:f>IF(A324="","",IF(AND(C324=0,D324&lt;&gt;0),"신규",IF(AND(C324&lt;&gt;0,D324=0),"소멸",IF(E324=0,"변동없음","금액변동"))))</x:f>
      </x:c>
      <x:c r="H324" s="73" t="str">
        <x:f>IF(A324="","",IF(AND(ABS(E324)&gt;='기준설정'!$B$6,OR(G324="신규",G324="소멸",F324&gt;='기준설정'!$B$5)),"원인분석 대상","일반"))</x:f>
      </x:c>
      <x:c r="I324" s="73" t="str">
        <x:f>IF(A324="","",IF(H324="원인분석 대상","세부원인분석 시트에서 거래별 원인을 검토","-"))</x:f>
      </x:c>
      <x:c r="J324" s="73" t="str">
        <x:f>IF(A324="","",COUNTIFS('전기원장'!$A$5:$A$1004,A324,'전기원장'!$J$5:$J$1004,"확인 필요")+COUNTIFS('당기원장'!$A$5:$A$1004,A324,'당기원장'!$J$5:$J$1004,"확인 필요"))</x:f>
      </x:c>
      <x:c r="K324" s="85" t="str">
        <x:f>IF(A324="","",IF(H324&lt;&gt;"원인분석 대상","",IF(J324&gt;0,"붙임 문서 확인 후 원인 확정 필요","결의서명 기반 원인분류 검토")))</x:f>
      </x:c>
    </x:row>
    <x:row r="325">
      <x:c r="A325" s="73" t="str">
        <x:f>IFERROR(INDEX('계산도우미'!$B$5:$B$2004,MATCH(ROWS($A$5:A325),'계산도우미'!$K$5:$K$2004,0)),"")</x:f>
      </x:c>
      <x:c r="B325" s="73" t="str">
        <x:f>IF(A325="","",IFERROR(INDEX('당기원장'!$B$5:$B$1004,MATCH(A325,'당기원장'!$A$5:$A$1004,0)),IFERROR(INDEX('전기원장'!$B$5:$B$1004,MATCH(A325,'전기원장'!$A$5:$A$1004,0)),"")))</x:f>
      </x:c>
      <x:c r="C325" s="75" t="str">
        <x:f>IF(A325="","",SUMIF('전기원장'!$A$5:$A$1004,A325,'전기원장'!$H$5:$H$1004))</x:f>
      </x:c>
      <x:c r="D325" s="75" t="str">
        <x:f>IF(A325="","",SUMIF('당기원장'!$A$5:$A$1004,A325,'당기원장'!$H$5:$H$1004))</x:f>
      </x:c>
      <x:c r="E325" s="75" t="str">
        <x:f>IF(A325="","",D325-C325)</x:f>
      </x:c>
      <x:c r="F325" s="88" t="str">
        <x:f>IF(A325="","",IF(C325=0,IF(D325=0,0,1),ABS(E325)/ABS(C325)))</x:f>
      </x:c>
      <x:c r="G325" s="73" t="str">
        <x:f>IF(A325="","",IF(AND(C325=0,D325&lt;&gt;0),"신규",IF(AND(C325&lt;&gt;0,D325=0),"소멸",IF(E325=0,"변동없음","금액변동"))))</x:f>
      </x:c>
      <x:c r="H325" s="73" t="str">
        <x:f>IF(A325="","",IF(AND(ABS(E325)&gt;='기준설정'!$B$6,OR(G325="신규",G325="소멸",F325&gt;='기준설정'!$B$5)),"원인분석 대상","일반"))</x:f>
      </x:c>
      <x:c r="I325" s="73" t="str">
        <x:f>IF(A325="","",IF(H325="원인분석 대상","세부원인분석 시트에서 거래별 원인을 검토","-"))</x:f>
      </x:c>
      <x:c r="J325" s="73" t="str">
        <x:f>IF(A325="","",COUNTIFS('전기원장'!$A$5:$A$1004,A325,'전기원장'!$J$5:$J$1004,"확인 필요")+COUNTIFS('당기원장'!$A$5:$A$1004,A325,'당기원장'!$J$5:$J$1004,"확인 필요"))</x:f>
      </x:c>
      <x:c r="K325" s="85" t="str">
        <x:f>IF(A325="","",IF(H325&lt;&gt;"원인분석 대상","",IF(J325&gt;0,"붙임 문서 확인 후 원인 확정 필요","결의서명 기반 원인분류 검토")))</x:f>
      </x:c>
    </x:row>
    <x:row r="326">
      <x:c r="A326" s="73" t="str">
        <x:f>IFERROR(INDEX('계산도우미'!$B$5:$B$2004,MATCH(ROWS($A$5:A326),'계산도우미'!$K$5:$K$2004,0)),"")</x:f>
      </x:c>
      <x:c r="B326" s="73" t="str">
        <x:f>IF(A326="","",IFERROR(INDEX('당기원장'!$B$5:$B$1004,MATCH(A326,'당기원장'!$A$5:$A$1004,0)),IFERROR(INDEX('전기원장'!$B$5:$B$1004,MATCH(A326,'전기원장'!$A$5:$A$1004,0)),"")))</x:f>
      </x:c>
      <x:c r="C326" s="75" t="str">
        <x:f>IF(A326="","",SUMIF('전기원장'!$A$5:$A$1004,A326,'전기원장'!$H$5:$H$1004))</x:f>
      </x:c>
      <x:c r="D326" s="75" t="str">
        <x:f>IF(A326="","",SUMIF('당기원장'!$A$5:$A$1004,A326,'당기원장'!$H$5:$H$1004))</x:f>
      </x:c>
      <x:c r="E326" s="75" t="str">
        <x:f>IF(A326="","",D326-C326)</x:f>
      </x:c>
      <x:c r="F326" s="88" t="str">
        <x:f>IF(A326="","",IF(C326=0,IF(D326=0,0,1),ABS(E326)/ABS(C326)))</x:f>
      </x:c>
      <x:c r="G326" s="73" t="str">
        <x:f>IF(A326="","",IF(AND(C326=0,D326&lt;&gt;0),"신규",IF(AND(C326&lt;&gt;0,D326=0),"소멸",IF(E326=0,"변동없음","금액변동"))))</x:f>
      </x:c>
      <x:c r="H326" s="73" t="str">
        <x:f>IF(A326="","",IF(AND(ABS(E326)&gt;='기준설정'!$B$6,OR(G326="신규",G326="소멸",F326&gt;='기준설정'!$B$5)),"원인분석 대상","일반"))</x:f>
      </x:c>
      <x:c r="I326" s="73" t="str">
        <x:f>IF(A326="","",IF(H326="원인분석 대상","세부원인분석 시트에서 거래별 원인을 검토","-"))</x:f>
      </x:c>
      <x:c r="J326" s="73" t="str">
        <x:f>IF(A326="","",COUNTIFS('전기원장'!$A$5:$A$1004,A326,'전기원장'!$J$5:$J$1004,"확인 필요")+COUNTIFS('당기원장'!$A$5:$A$1004,A326,'당기원장'!$J$5:$J$1004,"확인 필요"))</x:f>
      </x:c>
      <x:c r="K326" s="85" t="str">
        <x:f>IF(A326="","",IF(H326&lt;&gt;"원인분석 대상","",IF(J326&gt;0,"붙임 문서 확인 후 원인 확정 필요","결의서명 기반 원인분류 검토")))</x:f>
      </x:c>
    </x:row>
    <x:row r="327">
      <x:c r="A327" s="73" t="str">
        <x:f>IFERROR(INDEX('계산도우미'!$B$5:$B$2004,MATCH(ROWS($A$5:A327),'계산도우미'!$K$5:$K$2004,0)),"")</x:f>
      </x:c>
      <x:c r="B327" s="73" t="str">
        <x:f>IF(A327="","",IFERROR(INDEX('당기원장'!$B$5:$B$1004,MATCH(A327,'당기원장'!$A$5:$A$1004,0)),IFERROR(INDEX('전기원장'!$B$5:$B$1004,MATCH(A327,'전기원장'!$A$5:$A$1004,0)),"")))</x:f>
      </x:c>
      <x:c r="C327" s="75" t="str">
        <x:f>IF(A327="","",SUMIF('전기원장'!$A$5:$A$1004,A327,'전기원장'!$H$5:$H$1004))</x:f>
      </x:c>
      <x:c r="D327" s="75" t="str">
        <x:f>IF(A327="","",SUMIF('당기원장'!$A$5:$A$1004,A327,'당기원장'!$H$5:$H$1004))</x:f>
      </x:c>
      <x:c r="E327" s="75" t="str">
        <x:f>IF(A327="","",D327-C327)</x:f>
      </x:c>
      <x:c r="F327" s="88" t="str">
        <x:f>IF(A327="","",IF(C327=0,IF(D327=0,0,1),ABS(E327)/ABS(C327)))</x:f>
      </x:c>
      <x:c r="G327" s="73" t="str">
        <x:f>IF(A327="","",IF(AND(C327=0,D327&lt;&gt;0),"신규",IF(AND(C327&lt;&gt;0,D327=0),"소멸",IF(E327=0,"변동없음","금액변동"))))</x:f>
      </x:c>
      <x:c r="H327" s="73" t="str">
        <x:f>IF(A327="","",IF(AND(ABS(E327)&gt;='기준설정'!$B$6,OR(G327="신규",G327="소멸",F327&gt;='기준설정'!$B$5)),"원인분석 대상","일반"))</x:f>
      </x:c>
      <x:c r="I327" s="73" t="str">
        <x:f>IF(A327="","",IF(H327="원인분석 대상","세부원인분석 시트에서 거래별 원인을 검토","-"))</x:f>
      </x:c>
      <x:c r="J327" s="73" t="str">
        <x:f>IF(A327="","",COUNTIFS('전기원장'!$A$5:$A$1004,A327,'전기원장'!$J$5:$J$1004,"확인 필요")+COUNTIFS('당기원장'!$A$5:$A$1004,A327,'당기원장'!$J$5:$J$1004,"확인 필요"))</x:f>
      </x:c>
      <x:c r="K327" s="85" t="str">
        <x:f>IF(A327="","",IF(H327&lt;&gt;"원인분석 대상","",IF(J327&gt;0,"붙임 문서 확인 후 원인 확정 필요","결의서명 기반 원인분류 검토")))</x:f>
      </x:c>
    </x:row>
    <x:row r="328">
      <x:c r="A328" s="73" t="str">
        <x:f>IFERROR(INDEX('계산도우미'!$B$5:$B$2004,MATCH(ROWS($A$5:A328),'계산도우미'!$K$5:$K$2004,0)),"")</x:f>
      </x:c>
      <x:c r="B328" s="73" t="str">
        <x:f>IF(A328="","",IFERROR(INDEX('당기원장'!$B$5:$B$1004,MATCH(A328,'당기원장'!$A$5:$A$1004,0)),IFERROR(INDEX('전기원장'!$B$5:$B$1004,MATCH(A328,'전기원장'!$A$5:$A$1004,0)),"")))</x:f>
      </x:c>
      <x:c r="C328" s="75" t="str">
        <x:f>IF(A328="","",SUMIF('전기원장'!$A$5:$A$1004,A328,'전기원장'!$H$5:$H$1004))</x:f>
      </x:c>
      <x:c r="D328" s="75" t="str">
        <x:f>IF(A328="","",SUMIF('당기원장'!$A$5:$A$1004,A328,'당기원장'!$H$5:$H$1004))</x:f>
      </x:c>
      <x:c r="E328" s="75" t="str">
        <x:f>IF(A328="","",D328-C328)</x:f>
      </x:c>
      <x:c r="F328" s="88" t="str">
        <x:f>IF(A328="","",IF(C328=0,IF(D328=0,0,1),ABS(E328)/ABS(C328)))</x:f>
      </x:c>
      <x:c r="G328" s="73" t="str">
        <x:f>IF(A328="","",IF(AND(C328=0,D328&lt;&gt;0),"신규",IF(AND(C328&lt;&gt;0,D328=0),"소멸",IF(E328=0,"변동없음","금액변동"))))</x:f>
      </x:c>
      <x:c r="H328" s="73" t="str">
        <x:f>IF(A328="","",IF(AND(ABS(E328)&gt;='기준설정'!$B$6,OR(G328="신규",G328="소멸",F328&gt;='기준설정'!$B$5)),"원인분석 대상","일반"))</x:f>
      </x:c>
      <x:c r="I328" s="73" t="str">
        <x:f>IF(A328="","",IF(H328="원인분석 대상","세부원인분석 시트에서 거래별 원인을 검토","-"))</x:f>
      </x:c>
      <x:c r="J328" s="73" t="str">
        <x:f>IF(A328="","",COUNTIFS('전기원장'!$A$5:$A$1004,A328,'전기원장'!$J$5:$J$1004,"확인 필요")+COUNTIFS('당기원장'!$A$5:$A$1004,A328,'당기원장'!$J$5:$J$1004,"확인 필요"))</x:f>
      </x:c>
      <x:c r="K328" s="85" t="str">
        <x:f>IF(A328="","",IF(H328&lt;&gt;"원인분석 대상","",IF(J328&gt;0,"붙임 문서 확인 후 원인 확정 필요","결의서명 기반 원인분류 검토")))</x:f>
      </x:c>
    </x:row>
    <x:row r="329">
      <x:c r="A329" s="73" t="str">
        <x:f>IFERROR(INDEX('계산도우미'!$B$5:$B$2004,MATCH(ROWS($A$5:A329),'계산도우미'!$K$5:$K$2004,0)),"")</x:f>
      </x:c>
      <x:c r="B329" s="73" t="str">
        <x:f>IF(A329="","",IFERROR(INDEX('당기원장'!$B$5:$B$1004,MATCH(A329,'당기원장'!$A$5:$A$1004,0)),IFERROR(INDEX('전기원장'!$B$5:$B$1004,MATCH(A329,'전기원장'!$A$5:$A$1004,0)),"")))</x:f>
      </x:c>
      <x:c r="C329" s="75" t="str">
        <x:f>IF(A329="","",SUMIF('전기원장'!$A$5:$A$1004,A329,'전기원장'!$H$5:$H$1004))</x:f>
      </x:c>
      <x:c r="D329" s="75" t="str">
        <x:f>IF(A329="","",SUMIF('당기원장'!$A$5:$A$1004,A329,'당기원장'!$H$5:$H$1004))</x:f>
      </x:c>
      <x:c r="E329" s="75" t="str">
        <x:f>IF(A329="","",D329-C329)</x:f>
      </x:c>
      <x:c r="F329" s="88" t="str">
        <x:f>IF(A329="","",IF(C329=0,IF(D329=0,0,1),ABS(E329)/ABS(C329)))</x:f>
      </x:c>
      <x:c r="G329" s="73" t="str">
        <x:f>IF(A329="","",IF(AND(C329=0,D329&lt;&gt;0),"신규",IF(AND(C329&lt;&gt;0,D329=0),"소멸",IF(E329=0,"변동없음","금액변동"))))</x:f>
      </x:c>
      <x:c r="H329" s="73" t="str">
        <x:f>IF(A329="","",IF(AND(ABS(E329)&gt;='기준설정'!$B$6,OR(G329="신규",G329="소멸",F329&gt;='기준설정'!$B$5)),"원인분석 대상","일반"))</x:f>
      </x:c>
      <x:c r="I329" s="73" t="str">
        <x:f>IF(A329="","",IF(H329="원인분석 대상","세부원인분석 시트에서 거래별 원인을 검토","-"))</x:f>
      </x:c>
      <x:c r="J329" s="73" t="str">
        <x:f>IF(A329="","",COUNTIFS('전기원장'!$A$5:$A$1004,A329,'전기원장'!$J$5:$J$1004,"확인 필요")+COUNTIFS('당기원장'!$A$5:$A$1004,A329,'당기원장'!$J$5:$J$1004,"확인 필요"))</x:f>
      </x:c>
      <x:c r="K329" s="85" t="str">
        <x:f>IF(A329="","",IF(H329&lt;&gt;"원인분석 대상","",IF(J329&gt;0,"붙임 문서 확인 후 원인 확정 필요","결의서명 기반 원인분류 검토")))</x:f>
      </x:c>
    </x:row>
    <x:row r="330">
      <x:c r="A330" s="73" t="str">
        <x:f>IFERROR(INDEX('계산도우미'!$B$5:$B$2004,MATCH(ROWS($A$5:A330),'계산도우미'!$K$5:$K$2004,0)),"")</x:f>
      </x:c>
      <x:c r="B330" s="73" t="str">
        <x:f>IF(A330="","",IFERROR(INDEX('당기원장'!$B$5:$B$1004,MATCH(A330,'당기원장'!$A$5:$A$1004,0)),IFERROR(INDEX('전기원장'!$B$5:$B$1004,MATCH(A330,'전기원장'!$A$5:$A$1004,0)),"")))</x:f>
      </x:c>
      <x:c r="C330" s="75" t="str">
        <x:f>IF(A330="","",SUMIF('전기원장'!$A$5:$A$1004,A330,'전기원장'!$H$5:$H$1004))</x:f>
      </x:c>
      <x:c r="D330" s="75" t="str">
        <x:f>IF(A330="","",SUMIF('당기원장'!$A$5:$A$1004,A330,'당기원장'!$H$5:$H$1004))</x:f>
      </x:c>
      <x:c r="E330" s="75" t="str">
        <x:f>IF(A330="","",D330-C330)</x:f>
      </x:c>
      <x:c r="F330" s="88" t="str">
        <x:f>IF(A330="","",IF(C330=0,IF(D330=0,0,1),ABS(E330)/ABS(C330)))</x:f>
      </x:c>
      <x:c r="G330" s="73" t="str">
        <x:f>IF(A330="","",IF(AND(C330=0,D330&lt;&gt;0),"신규",IF(AND(C330&lt;&gt;0,D330=0),"소멸",IF(E330=0,"변동없음","금액변동"))))</x:f>
      </x:c>
      <x:c r="H330" s="73" t="str">
        <x:f>IF(A330="","",IF(AND(ABS(E330)&gt;='기준설정'!$B$6,OR(G330="신규",G330="소멸",F330&gt;='기준설정'!$B$5)),"원인분석 대상","일반"))</x:f>
      </x:c>
      <x:c r="I330" s="73" t="str">
        <x:f>IF(A330="","",IF(H330="원인분석 대상","세부원인분석 시트에서 거래별 원인을 검토","-"))</x:f>
      </x:c>
      <x:c r="J330" s="73" t="str">
        <x:f>IF(A330="","",COUNTIFS('전기원장'!$A$5:$A$1004,A330,'전기원장'!$J$5:$J$1004,"확인 필요")+COUNTIFS('당기원장'!$A$5:$A$1004,A330,'당기원장'!$J$5:$J$1004,"확인 필요"))</x:f>
      </x:c>
      <x:c r="K330" s="85" t="str">
        <x:f>IF(A330="","",IF(H330&lt;&gt;"원인분석 대상","",IF(J330&gt;0,"붙임 문서 확인 후 원인 확정 필요","결의서명 기반 원인분류 검토")))</x:f>
      </x:c>
    </x:row>
    <x:row r="331">
      <x:c r="A331" s="73" t="str">
        <x:f>IFERROR(INDEX('계산도우미'!$B$5:$B$2004,MATCH(ROWS($A$5:A331),'계산도우미'!$K$5:$K$2004,0)),"")</x:f>
      </x:c>
      <x:c r="B331" s="73" t="str">
        <x:f>IF(A331="","",IFERROR(INDEX('당기원장'!$B$5:$B$1004,MATCH(A331,'당기원장'!$A$5:$A$1004,0)),IFERROR(INDEX('전기원장'!$B$5:$B$1004,MATCH(A331,'전기원장'!$A$5:$A$1004,0)),"")))</x:f>
      </x:c>
      <x:c r="C331" s="75" t="str">
        <x:f>IF(A331="","",SUMIF('전기원장'!$A$5:$A$1004,A331,'전기원장'!$H$5:$H$1004))</x:f>
      </x:c>
      <x:c r="D331" s="75" t="str">
        <x:f>IF(A331="","",SUMIF('당기원장'!$A$5:$A$1004,A331,'당기원장'!$H$5:$H$1004))</x:f>
      </x:c>
      <x:c r="E331" s="75" t="str">
        <x:f>IF(A331="","",D331-C331)</x:f>
      </x:c>
      <x:c r="F331" s="88" t="str">
        <x:f>IF(A331="","",IF(C331=0,IF(D331=0,0,1),ABS(E331)/ABS(C331)))</x:f>
      </x:c>
      <x:c r="G331" s="73" t="str">
        <x:f>IF(A331="","",IF(AND(C331=0,D331&lt;&gt;0),"신규",IF(AND(C331&lt;&gt;0,D331=0),"소멸",IF(E331=0,"변동없음","금액변동"))))</x:f>
      </x:c>
      <x:c r="H331" s="73" t="str">
        <x:f>IF(A331="","",IF(AND(ABS(E331)&gt;='기준설정'!$B$6,OR(G331="신규",G331="소멸",F331&gt;='기준설정'!$B$5)),"원인분석 대상","일반"))</x:f>
      </x:c>
      <x:c r="I331" s="73" t="str">
        <x:f>IF(A331="","",IF(H331="원인분석 대상","세부원인분석 시트에서 거래별 원인을 검토","-"))</x:f>
      </x:c>
      <x:c r="J331" s="73" t="str">
        <x:f>IF(A331="","",COUNTIFS('전기원장'!$A$5:$A$1004,A331,'전기원장'!$J$5:$J$1004,"확인 필요")+COUNTIFS('당기원장'!$A$5:$A$1004,A331,'당기원장'!$J$5:$J$1004,"확인 필요"))</x:f>
      </x:c>
      <x:c r="K331" s="85" t="str">
        <x:f>IF(A331="","",IF(H331&lt;&gt;"원인분석 대상","",IF(J331&gt;0,"붙임 문서 확인 후 원인 확정 필요","결의서명 기반 원인분류 검토")))</x:f>
      </x:c>
    </x:row>
    <x:row r="332">
      <x:c r="A332" s="73" t="str">
        <x:f>IFERROR(INDEX('계산도우미'!$B$5:$B$2004,MATCH(ROWS($A$5:A332),'계산도우미'!$K$5:$K$2004,0)),"")</x:f>
      </x:c>
      <x:c r="B332" s="73" t="str">
        <x:f>IF(A332="","",IFERROR(INDEX('당기원장'!$B$5:$B$1004,MATCH(A332,'당기원장'!$A$5:$A$1004,0)),IFERROR(INDEX('전기원장'!$B$5:$B$1004,MATCH(A332,'전기원장'!$A$5:$A$1004,0)),"")))</x:f>
      </x:c>
      <x:c r="C332" s="75" t="str">
        <x:f>IF(A332="","",SUMIF('전기원장'!$A$5:$A$1004,A332,'전기원장'!$H$5:$H$1004))</x:f>
      </x:c>
      <x:c r="D332" s="75" t="str">
        <x:f>IF(A332="","",SUMIF('당기원장'!$A$5:$A$1004,A332,'당기원장'!$H$5:$H$1004))</x:f>
      </x:c>
      <x:c r="E332" s="75" t="str">
        <x:f>IF(A332="","",D332-C332)</x:f>
      </x:c>
      <x:c r="F332" s="88" t="str">
        <x:f>IF(A332="","",IF(C332=0,IF(D332=0,0,1),ABS(E332)/ABS(C332)))</x:f>
      </x:c>
      <x:c r="G332" s="73" t="str">
        <x:f>IF(A332="","",IF(AND(C332=0,D332&lt;&gt;0),"신규",IF(AND(C332&lt;&gt;0,D332=0),"소멸",IF(E332=0,"변동없음","금액변동"))))</x:f>
      </x:c>
      <x:c r="H332" s="73" t="str">
        <x:f>IF(A332="","",IF(AND(ABS(E332)&gt;='기준설정'!$B$6,OR(G332="신규",G332="소멸",F332&gt;='기준설정'!$B$5)),"원인분석 대상","일반"))</x:f>
      </x:c>
      <x:c r="I332" s="73" t="str">
        <x:f>IF(A332="","",IF(H332="원인분석 대상","세부원인분석 시트에서 거래별 원인을 검토","-"))</x:f>
      </x:c>
      <x:c r="J332" s="73" t="str">
        <x:f>IF(A332="","",COUNTIFS('전기원장'!$A$5:$A$1004,A332,'전기원장'!$J$5:$J$1004,"확인 필요")+COUNTIFS('당기원장'!$A$5:$A$1004,A332,'당기원장'!$J$5:$J$1004,"확인 필요"))</x:f>
      </x:c>
      <x:c r="K332" s="85" t="str">
        <x:f>IF(A332="","",IF(H332&lt;&gt;"원인분석 대상","",IF(J332&gt;0,"붙임 문서 확인 후 원인 확정 필요","결의서명 기반 원인분류 검토")))</x:f>
      </x:c>
    </x:row>
    <x:row r="333">
      <x:c r="A333" s="73" t="str">
        <x:f>IFERROR(INDEX('계산도우미'!$B$5:$B$2004,MATCH(ROWS($A$5:A333),'계산도우미'!$K$5:$K$2004,0)),"")</x:f>
      </x:c>
      <x:c r="B333" s="73" t="str">
        <x:f>IF(A333="","",IFERROR(INDEX('당기원장'!$B$5:$B$1004,MATCH(A333,'당기원장'!$A$5:$A$1004,0)),IFERROR(INDEX('전기원장'!$B$5:$B$1004,MATCH(A333,'전기원장'!$A$5:$A$1004,0)),"")))</x:f>
      </x:c>
      <x:c r="C333" s="75" t="str">
        <x:f>IF(A333="","",SUMIF('전기원장'!$A$5:$A$1004,A333,'전기원장'!$H$5:$H$1004))</x:f>
      </x:c>
      <x:c r="D333" s="75" t="str">
        <x:f>IF(A333="","",SUMIF('당기원장'!$A$5:$A$1004,A333,'당기원장'!$H$5:$H$1004))</x:f>
      </x:c>
      <x:c r="E333" s="75" t="str">
        <x:f>IF(A333="","",D333-C333)</x:f>
      </x:c>
      <x:c r="F333" s="88" t="str">
        <x:f>IF(A333="","",IF(C333=0,IF(D333=0,0,1),ABS(E333)/ABS(C333)))</x:f>
      </x:c>
      <x:c r="G333" s="73" t="str">
        <x:f>IF(A333="","",IF(AND(C333=0,D333&lt;&gt;0),"신규",IF(AND(C333&lt;&gt;0,D333=0),"소멸",IF(E333=0,"변동없음","금액변동"))))</x:f>
      </x:c>
      <x:c r="H333" s="73" t="str">
        <x:f>IF(A333="","",IF(AND(ABS(E333)&gt;='기준설정'!$B$6,OR(G333="신규",G333="소멸",F333&gt;='기준설정'!$B$5)),"원인분석 대상","일반"))</x:f>
      </x:c>
      <x:c r="I333" s="73" t="str">
        <x:f>IF(A333="","",IF(H333="원인분석 대상","세부원인분석 시트에서 거래별 원인을 검토","-"))</x:f>
      </x:c>
      <x:c r="J333" s="73" t="str">
        <x:f>IF(A333="","",COUNTIFS('전기원장'!$A$5:$A$1004,A333,'전기원장'!$J$5:$J$1004,"확인 필요")+COUNTIFS('당기원장'!$A$5:$A$1004,A333,'당기원장'!$J$5:$J$1004,"확인 필요"))</x:f>
      </x:c>
      <x:c r="K333" s="85" t="str">
        <x:f>IF(A333="","",IF(H333&lt;&gt;"원인분석 대상","",IF(J333&gt;0,"붙임 문서 확인 후 원인 확정 필요","결의서명 기반 원인분류 검토")))</x:f>
      </x:c>
    </x:row>
    <x:row r="334">
      <x:c r="A334" s="73" t="str">
        <x:f>IFERROR(INDEX('계산도우미'!$B$5:$B$2004,MATCH(ROWS($A$5:A334),'계산도우미'!$K$5:$K$2004,0)),"")</x:f>
      </x:c>
      <x:c r="B334" s="73" t="str">
        <x:f>IF(A334="","",IFERROR(INDEX('당기원장'!$B$5:$B$1004,MATCH(A334,'당기원장'!$A$5:$A$1004,0)),IFERROR(INDEX('전기원장'!$B$5:$B$1004,MATCH(A334,'전기원장'!$A$5:$A$1004,0)),"")))</x:f>
      </x:c>
      <x:c r="C334" s="75" t="str">
        <x:f>IF(A334="","",SUMIF('전기원장'!$A$5:$A$1004,A334,'전기원장'!$H$5:$H$1004))</x:f>
      </x:c>
      <x:c r="D334" s="75" t="str">
        <x:f>IF(A334="","",SUMIF('당기원장'!$A$5:$A$1004,A334,'당기원장'!$H$5:$H$1004))</x:f>
      </x:c>
      <x:c r="E334" s="75" t="str">
        <x:f>IF(A334="","",D334-C334)</x:f>
      </x:c>
      <x:c r="F334" s="88" t="str">
        <x:f>IF(A334="","",IF(C334=0,IF(D334=0,0,1),ABS(E334)/ABS(C334)))</x:f>
      </x:c>
      <x:c r="G334" s="73" t="str">
        <x:f>IF(A334="","",IF(AND(C334=0,D334&lt;&gt;0),"신규",IF(AND(C334&lt;&gt;0,D334=0),"소멸",IF(E334=0,"변동없음","금액변동"))))</x:f>
      </x:c>
      <x:c r="H334" s="73" t="str">
        <x:f>IF(A334="","",IF(AND(ABS(E334)&gt;='기준설정'!$B$6,OR(G334="신규",G334="소멸",F334&gt;='기준설정'!$B$5)),"원인분석 대상","일반"))</x:f>
      </x:c>
      <x:c r="I334" s="73" t="str">
        <x:f>IF(A334="","",IF(H334="원인분석 대상","세부원인분석 시트에서 거래별 원인을 검토","-"))</x:f>
      </x:c>
      <x:c r="J334" s="73" t="str">
        <x:f>IF(A334="","",COUNTIFS('전기원장'!$A$5:$A$1004,A334,'전기원장'!$J$5:$J$1004,"확인 필요")+COUNTIFS('당기원장'!$A$5:$A$1004,A334,'당기원장'!$J$5:$J$1004,"확인 필요"))</x:f>
      </x:c>
      <x:c r="K334" s="85" t="str">
        <x:f>IF(A334="","",IF(H334&lt;&gt;"원인분석 대상","",IF(J334&gt;0,"붙임 문서 확인 후 원인 확정 필요","결의서명 기반 원인분류 검토")))</x:f>
      </x:c>
    </x:row>
    <x:row r="335">
      <x:c r="A335" s="73" t="str">
        <x:f>IFERROR(INDEX('계산도우미'!$B$5:$B$2004,MATCH(ROWS($A$5:A335),'계산도우미'!$K$5:$K$2004,0)),"")</x:f>
      </x:c>
      <x:c r="B335" s="73" t="str">
        <x:f>IF(A335="","",IFERROR(INDEX('당기원장'!$B$5:$B$1004,MATCH(A335,'당기원장'!$A$5:$A$1004,0)),IFERROR(INDEX('전기원장'!$B$5:$B$1004,MATCH(A335,'전기원장'!$A$5:$A$1004,0)),"")))</x:f>
      </x:c>
      <x:c r="C335" s="75" t="str">
        <x:f>IF(A335="","",SUMIF('전기원장'!$A$5:$A$1004,A335,'전기원장'!$H$5:$H$1004))</x:f>
      </x:c>
      <x:c r="D335" s="75" t="str">
        <x:f>IF(A335="","",SUMIF('당기원장'!$A$5:$A$1004,A335,'당기원장'!$H$5:$H$1004))</x:f>
      </x:c>
      <x:c r="E335" s="75" t="str">
        <x:f>IF(A335="","",D335-C335)</x:f>
      </x:c>
      <x:c r="F335" s="88" t="str">
        <x:f>IF(A335="","",IF(C335=0,IF(D335=0,0,1),ABS(E335)/ABS(C335)))</x:f>
      </x:c>
      <x:c r="G335" s="73" t="str">
        <x:f>IF(A335="","",IF(AND(C335=0,D335&lt;&gt;0),"신규",IF(AND(C335&lt;&gt;0,D335=0),"소멸",IF(E335=0,"변동없음","금액변동"))))</x:f>
      </x:c>
      <x:c r="H335" s="73" t="str">
        <x:f>IF(A335="","",IF(AND(ABS(E335)&gt;='기준설정'!$B$6,OR(G335="신규",G335="소멸",F335&gt;='기준설정'!$B$5)),"원인분석 대상","일반"))</x:f>
      </x:c>
      <x:c r="I335" s="73" t="str">
        <x:f>IF(A335="","",IF(H335="원인분석 대상","세부원인분석 시트에서 거래별 원인을 검토","-"))</x:f>
      </x:c>
      <x:c r="J335" s="73" t="str">
        <x:f>IF(A335="","",COUNTIFS('전기원장'!$A$5:$A$1004,A335,'전기원장'!$J$5:$J$1004,"확인 필요")+COUNTIFS('당기원장'!$A$5:$A$1004,A335,'당기원장'!$J$5:$J$1004,"확인 필요"))</x:f>
      </x:c>
      <x:c r="K335" s="85" t="str">
        <x:f>IF(A335="","",IF(H335&lt;&gt;"원인분석 대상","",IF(J335&gt;0,"붙임 문서 확인 후 원인 확정 필요","결의서명 기반 원인분류 검토")))</x:f>
      </x:c>
    </x:row>
    <x:row r="336">
      <x:c r="A336" s="73" t="str">
        <x:f>IFERROR(INDEX('계산도우미'!$B$5:$B$2004,MATCH(ROWS($A$5:A336),'계산도우미'!$K$5:$K$2004,0)),"")</x:f>
      </x:c>
      <x:c r="B336" s="73" t="str">
        <x:f>IF(A336="","",IFERROR(INDEX('당기원장'!$B$5:$B$1004,MATCH(A336,'당기원장'!$A$5:$A$1004,0)),IFERROR(INDEX('전기원장'!$B$5:$B$1004,MATCH(A336,'전기원장'!$A$5:$A$1004,0)),"")))</x:f>
      </x:c>
      <x:c r="C336" s="75" t="str">
        <x:f>IF(A336="","",SUMIF('전기원장'!$A$5:$A$1004,A336,'전기원장'!$H$5:$H$1004))</x:f>
      </x:c>
      <x:c r="D336" s="75" t="str">
        <x:f>IF(A336="","",SUMIF('당기원장'!$A$5:$A$1004,A336,'당기원장'!$H$5:$H$1004))</x:f>
      </x:c>
      <x:c r="E336" s="75" t="str">
        <x:f>IF(A336="","",D336-C336)</x:f>
      </x:c>
      <x:c r="F336" s="88" t="str">
        <x:f>IF(A336="","",IF(C336=0,IF(D336=0,0,1),ABS(E336)/ABS(C336)))</x:f>
      </x:c>
      <x:c r="G336" s="73" t="str">
        <x:f>IF(A336="","",IF(AND(C336=0,D336&lt;&gt;0),"신규",IF(AND(C336&lt;&gt;0,D336=0),"소멸",IF(E336=0,"변동없음","금액변동"))))</x:f>
      </x:c>
      <x:c r="H336" s="73" t="str">
        <x:f>IF(A336="","",IF(AND(ABS(E336)&gt;='기준설정'!$B$6,OR(G336="신규",G336="소멸",F336&gt;='기준설정'!$B$5)),"원인분석 대상","일반"))</x:f>
      </x:c>
      <x:c r="I336" s="73" t="str">
        <x:f>IF(A336="","",IF(H336="원인분석 대상","세부원인분석 시트에서 거래별 원인을 검토","-"))</x:f>
      </x:c>
      <x:c r="J336" s="73" t="str">
        <x:f>IF(A336="","",COUNTIFS('전기원장'!$A$5:$A$1004,A336,'전기원장'!$J$5:$J$1004,"확인 필요")+COUNTIFS('당기원장'!$A$5:$A$1004,A336,'당기원장'!$J$5:$J$1004,"확인 필요"))</x:f>
      </x:c>
      <x:c r="K336" s="85" t="str">
        <x:f>IF(A336="","",IF(H336&lt;&gt;"원인분석 대상","",IF(J336&gt;0,"붙임 문서 확인 후 원인 확정 필요","결의서명 기반 원인분류 검토")))</x:f>
      </x:c>
    </x:row>
    <x:row r="337">
      <x:c r="A337" s="73" t="str">
        <x:f>IFERROR(INDEX('계산도우미'!$B$5:$B$2004,MATCH(ROWS($A$5:A337),'계산도우미'!$K$5:$K$2004,0)),"")</x:f>
      </x:c>
      <x:c r="B337" s="73" t="str">
        <x:f>IF(A337="","",IFERROR(INDEX('당기원장'!$B$5:$B$1004,MATCH(A337,'당기원장'!$A$5:$A$1004,0)),IFERROR(INDEX('전기원장'!$B$5:$B$1004,MATCH(A337,'전기원장'!$A$5:$A$1004,0)),"")))</x:f>
      </x:c>
      <x:c r="C337" s="75" t="str">
        <x:f>IF(A337="","",SUMIF('전기원장'!$A$5:$A$1004,A337,'전기원장'!$H$5:$H$1004))</x:f>
      </x:c>
      <x:c r="D337" s="75" t="str">
        <x:f>IF(A337="","",SUMIF('당기원장'!$A$5:$A$1004,A337,'당기원장'!$H$5:$H$1004))</x:f>
      </x:c>
      <x:c r="E337" s="75" t="str">
        <x:f>IF(A337="","",D337-C337)</x:f>
      </x:c>
      <x:c r="F337" s="88" t="str">
        <x:f>IF(A337="","",IF(C337=0,IF(D337=0,0,1),ABS(E337)/ABS(C337)))</x:f>
      </x:c>
      <x:c r="G337" s="73" t="str">
        <x:f>IF(A337="","",IF(AND(C337=0,D337&lt;&gt;0),"신규",IF(AND(C337&lt;&gt;0,D337=0),"소멸",IF(E337=0,"변동없음","금액변동"))))</x:f>
      </x:c>
      <x:c r="H337" s="73" t="str">
        <x:f>IF(A337="","",IF(AND(ABS(E337)&gt;='기준설정'!$B$6,OR(G337="신규",G337="소멸",F337&gt;='기준설정'!$B$5)),"원인분석 대상","일반"))</x:f>
      </x:c>
      <x:c r="I337" s="73" t="str">
        <x:f>IF(A337="","",IF(H337="원인분석 대상","세부원인분석 시트에서 거래별 원인을 검토","-"))</x:f>
      </x:c>
      <x:c r="J337" s="73" t="str">
        <x:f>IF(A337="","",COUNTIFS('전기원장'!$A$5:$A$1004,A337,'전기원장'!$J$5:$J$1004,"확인 필요")+COUNTIFS('당기원장'!$A$5:$A$1004,A337,'당기원장'!$J$5:$J$1004,"확인 필요"))</x:f>
      </x:c>
      <x:c r="K337" s="85" t="str">
        <x:f>IF(A337="","",IF(H337&lt;&gt;"원인분석 대상","",IF(J337&gt;0,"붙임 문서 확인 후 원인 확정 필요","결의서명 기반 원인분류 검토")))</x:f>
      </x:c>
    </x:row>
    <x:row r="338">
      <x:c r="A338" s="73" t="str">
        <x:f>IFERROR(INDEX('계산도우미'!$B$5:$B$2004,MATCH(ROWS($A$5:A338),'계산도우미'!$K$5:$K$2004,0)),"")</x:f>
      </x:c>
      <x:c r="B338" s="73" t="str">
        <x:f>IF(A338="","",IFERROR(INDEX('당기원장'!$B$5:$B$1004,MATCH(A338,'당기원장'!$A$5:$A$1004,0)),IFERROR(INDEX('전기원장'!$B$5:$B$1004,MATCH(A338,'전기원장'!$A$5:$A$1004,0)),"")))</x:f>
      </x:c>
      <x:c r="C338" s="75" t="str">
        <x:f>IF(A338="","",SUMIF('전기원장'!$A$5:$A$1004,A338,'전기원장'!$H$5:$H$1004))</x:f>
      </x:c>
      <x:c r="D338" s="75" t="str">
        <x:f>IF(A338="","",SUMIF('당기원장'!$A$5:$A$1004,A338,'당기원장'!$H$5:$H$1004))</x:f>
      </x:c>
      <x:c r="E338" s="75" t="str">
        <x:f>IF(A338="","",D338-C338)</x:f>
      </x:c>
      <x:c r="F338" s="88" t="str">
        <x:f>IF(A338="","",IF(C338=0,IF(D338=0,0,1),ABS(E338)/ABS(C338)))</x:f>
      </x:c>
      <x:c r="G338" s="73" t="str">
        <x:f>IF(A338="","",IF(AND(C338=0,D338&lt;&gt;0),"신규",IF(AND(C338&lt;&gt;0,D338=0),"소멸",IF(E338=0,"변동없음","금액변동"))))</x:f>
      </x:c>
      <x:c r="H338" s="73" t="str">
        <x:f>IF(A338="","",IF(AND(ABS(E338)&gt;='기준설정'!$B$6,OR(G338="신규",G338="소멸",F338&gt;='기준설정'!$B$5)),"원인분석 대상","일반"))</x:f>
      </x:c>
      <x:c r="I338" s="73" t="str">
        <x:f>IF(A338="","",IF(H338="원인분석 대상","세부원인분석 시트에서 거래별 원인을 검토","-"))</x:f>
      </x:c>
      <x:c r="J338" s="73" t="str">
        <x:f>IF(A338="","",COUNTIFS('전기원장'!$A$5:$A$1004,A338,'전기원장'!$J$5:$J$1004,"확인 필요")+COUNTIFS('당기원장'!$A$5:$A$1004,A338,'당기원장'!$J$5:$J$1004,"확인 필요"))</x:f>
      </x:c>
      <x:c r="K338" s="85" t="str">
        <x:f>IF(A338="","",IF(H338&lt;&gt;"원인분석 대상","",IF(J338&gt;0,"붙임 문서 확인 후 원인 확정 필요","결의서명 기반 원인분류 검토")))</x:f>
      </x:c>
    </x:row>
    <x:row r="339">
      <x:c r="A339" s="73" t="str">
        <x:f>IFERROR(INDEX('계산도우미'!$B$5:$B$2004,MATCH(ROWS($A$5:A339),'계산도우미'!$K$5:$K$2004,0)),"")</x:f>
      </x:c>
      <x:c r="B339" s="73" t="str">
        <x:f>IF(A339="","",IFERROR(INDEX('당기원장'!$B$5:$B$1004,MATCH(A339,'당기원장'!$A$5:$A$1004,0)),IFERROR(INDEX('전기원장'!$B$5:$B$1004,MATCH(A339,'전기원장'!$A$5:$A$1004,0)),"")))</x:f>
      </x:c>
      <x:c r="C339" s="75" t="str">
        <x:f>IF(A339="","",SUMIF('전기원장'!$A$5:$A$1004,A339,'전기원장'!$H$5:$H$1004))</x:f>
      </x:c>
      <x:c r="D339" s="75" t="str">
        <x:f>IF(A339="","",SUMIF('당기원장'!$A$5:$A$1004,A339,'당기원장'!$H$5:$H$1004))</x:f>
      </x:c>
      <x:c r="E339" s="75" t="str">
        <x:f>IF(A339="","",D339-C339)</x:f>
      </x:c>
      <x:c r="F339" s="88" t="str">
        <x:f>IF(A339="","",IF(C339=0,IF(D339=0,0,1),ABS(E339)/ABS(C339)))</x:f>
      </x:c>
      <x:c r="G339" s="73" t="str">
        <x:f>IF(A339="","",IF(AND(C339=0,D339&lt;&gt;0),"신규",IF(AND(C339&lt;&gt;0,D339=0),"소멸",IF(E339=0,"변동없음","금액변동"))))</x:f>
      </x:c>
      <x:c r="H339" s="73" t="str">
        <x:f>IF(A339="","",IF(AND(ABS(E339)&gt;='기준설정'!$B$6,OR(G339="신규",G339="소멸",F339&gt;='기준설정'!$B$5)),"원인분석 대상","일반"))</x:f>
      </x:c>
      <x:c r="I339" s="73" t="str">
        <x:f>IF(A339="","",IF(H339="원인분석 대상","세부원인분석 시트에서 거래별 원인을 검토","-"))</x:f>
      </x:c>
      <x:c r="J339" s="73" t="str">
        <x:f>IF(A339="","",COUNTIFS('전기원장'!$A$5:$A$1004,A339,'전기원장'!$J$5:$J$1004,"확인 필요")+COUNTIFS('당기원장'!$A$5:$A$1004,A339,'당기원장'!$J$5:$J$1004,"확인 필요"))</x:f>
      </x:c>
      <x:c r="K339" s="85" t="str">
        <x:f>IF(A339="","",IF(H339&lt;&gt;"원인분석 대상","",IF(J339&gt;0,"붙임 문서 확인 후 원인 확정 필요","결의서명 기반 원인분류 검토")))</x:f>
      </x:c>
    </x:row>
    <x:row r="340">
      <x:c r="A340" s="73" t="str">
        <x:f>IFERROR(INDEX('계산도우미'!$B$5:$B$2004,MATCH(ROWS($A$5:A340),'계산도우미'!$K$5:$K$2004,0)),"")</x:f>
      </x:c>
      <x:c r="B340" s="73" t="str">
        <x:f>IF(A340="","",IFERROR(INDEX('당기원장'!$B$5:$B$1004,MATCH(A340,'당기원장'!$A$5:$A$1004,0)),IFERROR(INDEX('전기원장'!$B$5:$B$1004,MATCH(A340,'전기원장'!$A$5:$A$1004,0)),"")))</x:f>
      </x:c>
      <x:c r="C340" s="75" t="str">
        <x:f>IF(A340="","",SUMIF('전기원장'!$A$5:$A$1004,A340,'전기원장'!$H$5:$H$1004))</x:f>
      </x:c>
      <x:c r="D340" s="75" t="str">
        <x:f>IF(A340="","",SUMIF('당기원장'!$A$5:$A$1004,A340,'당기원장'!$H$5:$H$1004))</x:f>
      </x:c>
      <x:c r="E340" s="75" t="str">
        <x:f>IF(A340="","",D340-C340)</x:f>
      </x:c>
      <x:c r="F340" s="88" t="str">
        <x:f>IF(A340="","",IF(C340=0,IF(D340=0,0,1),ABS(E340)/ABS(C340)))</x:f>
      </x:c>
      <x:c r="G340" s="73" t="str">
        <x:f>IF(A340="","",IF(AND(C340=0,D340&lt;&gt;0),"신규",IF(AND(C340&lt;&gt;0,D340=0),"소멸",IF(E340=0,"변동없음","금액변동"))))</x:f>
      </x:c>
      <x:c r="H340" s="73" t="str">
        <x:f>IF(A340="","",IF(AND(ABS(E340)&gt;='기준설정'!$B$6,OR(G340="신규",G340="소멸",F340&gt;='기준설정'!$B$5)),"원인분석 대상","일반"))</x:f>
      </x:c>
      <x:c r="I340" s="73" t="str">
        <x:f>IF(A340="","",IF(H340="원인분석 대상","세부원인분석 시트에서 거래별 원인을 검토","-"))</x:f>
      </x:c>
      <x:c r="J340" s="73" t="str">
        <x:f>IF(A340="","",COUNTIFS('전기원장'!$A$5:$A$1004,A340,'전기원장'!$J$5:$J$1004,"확인 필요")+COUNTIFS('당기원장'!$A$5:$A$1004,A340,'당기원장'!$J$5:$J$1004,"확인 필요"))</x:f>
      </x:c>
      <x:c r="K340" s="85" t="str">
        <x:f>IF(A340="","",IF(H340&lt;&gt;"원인분석 대상","",IF(J340&gt;0,"붙임 문서 확인 후 원인 확정 필요","결의서명 기반 원인분류 검토")))</x:f>
      </x:c>
    </x:row>
    <x:row r="341">
      <x:c r="A341" s="73" t="str">
        <x:f>IFERROR(INDEX('계산도우미'!$B$5:$B$2004,MATCH(ROWS($A$5:A341),'계산도우미'!$K$5:$K$2004,0)),"")</x:f>
      </x:c>
      <x:c r="B341" s="73" t="str">
        <x:f>IF(A341="","",IFERROR(INDEX('당기원장'!$B$5:$B$1004,MATCH(A341,'당기원장'!$A$5:$A$1004,0)),IFERROR(INDEX('전기원장'!$B$5:$B$1004,MATCH(A341,'전기원장'!$A$5:$A$1004,0)),"")))</x:f>
      </x:c>
      <x:c r="C341" s="75" t="str">
        <x:f>IF(A341="","",SUMIF('전기원장'!$A$5:$A$1004,A341,'전기원장'!$H$5:$H$1004))</x:f>
      </x:c>
      <x:c r="D341" s="75" t="str">
        <x:f>IF(A341="","",SUMIF('당기원장'!$A$5:$A$1004,A341,'당기원장'!$H$5:$H$1004))</x:f>
      </x:c>
      <x:c r="E341" s="75" t="str">
        <x:f>IF(A341="","",D341-C341)</x:f>
      </x:c>
      <x:c r="F341" s="88" t="str">
        <x:f>IF(A341="","",IF(C341=0,IF(D341=0,0,1),ABS(E341)/ABS(C341)))</x:f>
      </x:c>
      <x:c r="G341" s="73" t="str">
        <x:f>IF(A341="","",IF(AND(C341=0,D341&lt;&gt;0),"신규",IF(AND(C341&lt;&gt;0,D341=0),"소멸",IF(E341=0,"변동없음","금액변동"))))</x:f>
      </x:c>
      <x:c r="H341" s="73" t="str">
        <x:f>IF(A341="","",IF(AND(ABS(E341)&gt;='기준설정'!$B$6,OR(G341="신규",G341="소멸",F341&gt;='기준설정'!$B$5)),"원인분석 대상","일반"))</x:f>
      </x:c>
      <x:c r="I341" s="73" t="str">
        <x:f>IF(A341="","",IF(H341="원인분석 대상","세부원인분석 시트에서 거래별 원인을 검토","-"))</x:f>
      </x:c>
      <x:c r="J341" s="73" t="str">
        <x:f>IF(A341="","",COUNTIFS('전기원장'!$A$5:$A$1004,A341,'전기원장'!$J$5:$J$1004,"확인 필요")+COUNTIFS('당기원장'!$A$5:$A$1004,A341,'당기원장'!$J$5:$J$1004,"확인 필요"))</x:f>
      </x:c>
      <x:c r="K341" s="85" t="str">
        <x:f>IF(A341="","",IF(H341&lt;&gt;"원인분석 대상","",IF(J341&gt;0,"붙임 문서 확인 후 원인 확정 필요","결의서명 기반 원인분류 검토")))</x:f>
      </x:c>
    </x:row>
    <x:row r="342">
      <x:c r="A342" s="73" t="str">
        <x:f>IFERROR(INDEX('계산도우미'!$B$5:$B$2004,MATCH(ROWS($A$5:A342),'계산도우미'!$K$5:$K$2004,0)),"")</x:f>
      </x:c>
      <x:c r="B342" s="73" t="str">
        <x:f>IF(A342="","",IFERROR(INDEX('당기원장'!$B$5:$B$1004,MATCH(A342,'당기원장'!$A$5:$A$1004,0)),IFERROR(INDEX('전기원장'!$B$5:$B$1004,MATCH(A342,'전기원장'!$A$5:$A$1004,0)),"")))</x:f>
      </x:c>
      <x:c r="C342" s="75" t="str">
        <x:f>IF(A342="","",SUMIF('전기원장'!$A$5:$A$1004,A342,'전기원장'!$H$5:$H$1004))</x:f>
      </x:c>
      <x:c r="D342" s="75" t="str">
        <x:f>IF(A342="","",SUMIF('당기원장'!$A$5:$A$1004,A342,'당기원장'!$H$5:$H$1004))</x:f>
      </x:c>
      <x:c r="E342" s="75" t="str">
        <x:f>IF(A342="","",D342-C342)</x:f>
      </x:c>
      <x:c r="F342" s="88" t="str">
        <x:f>IF(A342="","",IF(C342=0,IF(D342=0,0,1),ABS(E342)/ABS(C342)))</x:f>
      </x:c>
      <x:c r="G342" s="73" t="str">
        <x:f>IF(A342="","",IF(AND(C342=0,D342&lt;&gt;0),"신규",IF(AND(C342&lt;&gt;0,D342=0),"소멸",IF(E342=0,"변동없음","금액변동"))))</x:f>
      </x:c>
      <x:c r="H342" s="73" t="str">
        <x:f>IF(A342="","",IF(AND(ABS(E342)&gt;='기준설정'!$B$6,OR(G342="신규",G342="소멸",F342&gt;='기준설정'!$B$5)),"원인분석 대상","일반"))</x:f>
      </x:c>
      <x:c r="I342" s="73" t="str">
        <x:f>IF(A342="","",IF(H342="원인분석 대상","세부원인분석 시트에서 거래별 원인을 검토","-"))</x:f>
      </x:c>
      <x:c r="J342" s="73" t="str">
        <x:f>IF(A342="","",COUNTIFS('전기원장'!$A$5:$A$1004,A342,'전기원장'!$J$5:$J$1004,"확인 필요")+COUNTIFS('당기원장'!$A$5:$A$1004,A342,'당기원장'!$J$5:$J$1004,"확인 필요"))</x:f>
      </x:c>
      <x:c r="K342" s="85" t="str">
        <x:f>IF(A342="","",IF(H342&lt;&gt;"원인분석 대상","",IF(J342&gt;0,"붙임 문서 확인 후 원인 확정 필요","결의서명 기반 원인분류 검토")))</x:f>
      </x:c>
    </x:row>
    <x:row r="343">
      <x:c r="A343" s="73" t="str">
        <x:f>IFERROR(INDEX('계산도우미'!$B$5:$B$2004,MATCH(ROWS($A$5:A343),'계산도우미'!$K$5:$K$2004,0)),"")</x:f>
      </x:c>
      <x:c r="B343" s="73" t="str">
        <x:f>IF(A343="","",IFERROR(INDEX('당기원장'!$B$5:$B$1004,MATCH(A343,'당기원장'!$A$5:$A$1004,0)),IFERROR(INDEX('전기원장'!$B$5:$B$1004,MATCH(A343,'전기원장'!$A$5:$A$1004,0)),"")))</x:f>
      </x:c>
      <x:c r="C343" s="75" t="str">
        <x:f>IF(A343="","",SUMIF('전기원장'!$A$5:$A$1004,A343,'전기원장'!$H$5:$H$1004))</x:f>
      </x:c>
      <x:c r="D343" s="75" t="str">
        <x:f>IF(A343="","",SUMIF('당기원장'!$A$5:$A$1004,A343,'당기원장'!$H$5:$H$1004))</x:f>
      </x:c>
      <x:c r="E343" s="75" t="str">
        <x:f>IF(A343="","",D343-C343)</x:f>
      </x:c>
      <x:c r="F343" s="88" t="str">
        <x:f>IF(A343="","",IF(C343=0,IF(D343=0,0,1),ABS(E343)/ABS(C343)))</x:f>
      </x:c>
      <x:c r="G343" s="73" t="str">
        <x:f>IF(A343="","",IF(AND(C343=0,D343&lt;&gt;0),"신규",IF(AND(C343&lt;&gt;0,D343=0),"소멸",IF(E343=0,"변동없음","금액변동"))))</x:f>
      </x:c>
      <x:c r="H343" s="73" t="str">
        <x:f>IF(A343="","",IF(AND(ABS(E343)&gt;='기준설정'!$B$6,OR(G343="신규",G343="소멸",F343&gt;='기준설정'!$B$5)),"원인분석 대상","일반"))</x:f>
      </x:c>
      <x:c r="I343" s="73" t="str">
        <x:f>IF(A343="","",IF(H343="원인분석 대상","세부원인분석 시트에서 거래별 원인을 검토","-"))</x:f>
      </x:c>
      <x:c r="J343" s="73" t="str">
        <x:f>IF(A343="","",COUNTIFS('전기원장'!$A$5:$A$1004,A343,'전기원장'!$J$5:$J$1004,"확인 필요")+COUNTIFS('당기원장'!$A$5:$A$1004,A343,'당기원장'!$J$5:$J$1004,"확인 필요"))</x:f>
      </x:c>
      <x:c r="K343" s="85" t="str">
        <x:f>IF(A343="","",IF(H343&lt;&gt;"원인분석 대상","",IF(J343&gt;0,"붙임 문서 확인 후 원인 확정 필요","결의서명 기반 원인분류 검토")))</x:f>
      </x:c>
    </x:row>
    <x:row r="344">
      <x:c r="A344" s="73" t="str">
        <x:f>IFERROR(INDEX('계산도우미'!$B$5:$B$2004,MATCH(ROWS($A$5:A344),'계산도우미'!$K$5:$K$2004,0)),"")</x:f>
      </x:c>
      <x:c r="B344" s="73" t="str">
        <x:f>IF(A344="","",IFERROR(INDEX('당기원장'!$B$5:$B$1004,MATCH(A344,'당기원장'!$A$5:$A$1004,0)),IFERROR(INDEX('전기원장'!$B$5:$B$1004,MATCH(A344,'전기원장'!$A$5:$A$1004,0)),"")))</x:f>
      </x:c>
      <x:c r="C344" s="75" t="str">
        <x:f>IF(A344="","",SUMIF('전기원장'!$A$5:$A$1004,A344,'전기원장'!$H$5:$H$1004))</x:f>
      </x:c>
      <x:c r="D344" s="75" t="str">
        <x:f>IF(A344="","",SUMIF('당기원장'!$A$5:$A$1004,A344,'당기원장'!$H$5:$H$1004))</x:f>
      </x:c>
      <x:c r="E344" s="75" t="str">
        <x:f>IF(A344="","",D344-C344)</x:f>
      </x:c>
      <x:c r="F344" s="88" t="str">
        <x:f>IF(A344="","",IF(C344=0,IF(D344=0,0,1),ABS(E344)/ABS(C344)))</x:f>
      </x:c>
      <x:c r="G344" s="73" t="str">
        <x:f>IF(A344="","",IF(AND(C344=0,D344&lt;&gt;0),"신규",IF(AND(C344&lt;&gt;0,D344=0),"소멸",IF(E344=0,"변동없음","금액변동"))))</x:f>
      </x:c>
      <x:c r="H344" s="73" t="str">
        <x:f>IF(A344="","",IF(AND(ABS(E344)&gt;='기준설정'!$B$6,OR(G344="신규",G344="소멸",F344&gt;='기준설정'!$B$5)),"원인분석 대상","일반"))</x:f>
      </x:c>
      <x:c r="I344" s="73" t="str">
        <x:f>IF(A344="","",IF(H344="원인분석 대상","세부원인분석 시트에서 거래별 원인을 검토","-"))</x:f>
      </x:c>
      <x:c r="J344" s="73" t="str">
        <x:f>IF(A344="","",COUNTIFS('전기원장'!$A$5:$A$1004,A344,'전기원장'!$J$5:$J$1004,"확인 필요")+COUNTIFS('당기원장'!$A$5:$A$1004,A344,'당기원장'!$J$5:$J$1004,"확인 필요"))</x:f>
      </x:c>
      <x:c r="K344" s="85" t="str">
        <x:f>IF(A344="","",IF(H344&lt;&gt;"원인분석 대상","",IF(J344&gt;0,"붙임 문서 확인 후 원인 확정 필요","결의서명 기반 원인분류 검토")))</x:f>
      </x:c>
    </x:row>
    <x:row r="345">
      <x:c r="A345" s="73" t="str">
        <x:f>IFERROR(INDEX('계산도우미'!$B$5:$B$2004,MATCH(ROWS($A$5:A345),'계산도우미'!$K$5:$K$2004,0)),"")</x:f>
      </x:c>
      <x:c r="B345" s="73" t="str">
        <x:f>IF(A345="","",IFERROR(INDEX('당기원장'!$B$5:$B$1004,MATCH(A345,'당기원장'!$A$5:$A$1004,0)),IFERROR(INDEX('전기원장'!$B$5:$B$1004,MATCH(A345,'전기원장'!$A$5:$A$1004,0)),"")))</x:f>
      </x:c>
      <x:c r="C345" s="75" t="str">
        <x:f>IF(A345="","",SUMIF('전기원장'!$A$5:$A$1004,A345,'전기원장'!$H$5:$H$1004))</x:f>
      </x:c>
      <x:c r="D345" s="75" t="str">
        <x:f>IF(A345="","",SUMIF('당기원장'!$A$5:$A$1004,A345,'당기원장'!$H$5:$H$1004))</x:f>
      </x:c>
      <x:c r="E345" s="75" t="str">
        <x:f>IF(A345="","",D345-C345)</x:f>
      </x:c>
      <x:c r="F345" s="88" t="str">
        <x:f>IF(A345="","",IF(C345=0,IF(D345=0,0,1),ABS(E345)/ABS(C345)))</x:f>
      </x:c>
      <x:c r="G345" s="73" t="str">
        <x:f>IF(A345="","",IF(AND(C345=0,D345&lt;&gt;0),"신규",IF(AND(C345&lt;&gt;0,D345=0),"소멸",IF(E345=0,"변동없음","금액변동"))))</x:f>
      </x:c>
      <x:c r="H345" s="73" t="str">
        <x:f>IF(A345="","",IF(AND(ABS(E345)&gt;='기준설정'!$B$6,OR(G345="신규",G345="소멸",F345&gt;='기준설정'!$B$5)),"원인분석 대상","일반"))</x:f>
      </x:c>
      <x:c r="I345" s="73" t="str">
        <x:f>IF(A345="","",IF(H345="원인분석 대상","세부원인분석 시트에서 거래별 원인을 검토","-"))</x:f>
      </x:c>
      <x:c r="J345" s="73" t="str">
        <x:f>IF(A345="","",COUNTIFS('전기원장'!$A$5:$A$1004,A345,'전기원장'!$J$5:$J$1004,"확인 필요")+COUNTIFS('당기원장'!$A$5:$A$1004,A345,'당기원장'!$J$5:$J$1004,"확인 필요"))</x:f>
      </x:c>
      <x:c r="K345" s="85" t="str">
        <x:f>IF(A345="","",IF(H345&lt;&gt;"원인분석 대상","",IF(J345&gt;0,"붙임 문서 확인 후 원인 확정 필요","결의서명 기반 원인분류 검토")))</x:f>
      </x:c>
    </x:row>
    <x:row r="346">
      <x:c r="A346" s="73" t="str">
        <x:f>IFERROR(INDEX('계산도우미'!$B$5:$B$2004,MATCH(ROWS($A$5:A346),'계산도우미'!$K$5:$K$2004,0)),"")</x:f>
      </x:c>
      <x:c r="B346" s="73" t="str">
        <x:f>IF(A346="","",IFERROR(INDEX('당기원장'!$B$5:$B$1004,MATCH(A346,'당기원장'!$A$5:$A$1004,0)),IFERROR(INDEX('전기원장'!$B$5:$B$1004,MATCH(A346,'전기원장'!$A$5:$A$1004,0)),"")))</x:f>
      </x:c>
      <x:c r="C346" s="75" t="str">
        <x:f>IF(A346="","",SUMIF('전기원장'!$A$5:$A$1004,A346,'전기원장'!$H$5:$H$1004))</x:f>
      </x:c>
      <x:c r="D346" s="75" t="str">
        <x:f>IF(A346="","",SUMIF('당기원장'!$A$5:$A$1004,A346,'당기원장'!$H$5:$H$1004))</x:f>
      </x:c>
      <x:c r="E346" s="75" t="str">
        <x:f>IF(A346="","",D346-C346)</x:f>
      </x:c>
      <x:c r="F346" s="88" t="str">
        <x:f>IF(A346="","",IF(C346=0,IF(D346=0,0,1),ABS(E346)/ABS(C346)))</x:f>
      </x:c>
      <x:c r="G346" s="73" t="str">
        <x:f>IF(A346="","",IF(AND(C346=0,D346&lt;&gt;0),"신규",IF(AND(C346&lt;&gt;0,D346=0),"소멸",IF(E346=0,"변동없음","금액변동"))))</x:f>
      </x:c>
      <x:c r="H346" s="73" t="str">
        <x:f>IF(A346="","",IF(AND(ABS(E346)&gt;='기준설정'!$B$6,OR(G346="신규",G346="소멸",F346&gt;='기준설정'!$B$5)),"원인분석 대상","일반"))</x:f>
      </x:c>
      <x:c r="I346" s="73" t="str">
        <x:f>IF(A346="","",IF(H346="원인분석 대상","세부원인분석 시트에서 거래별 원인을 검토","-"))</x:f>
      </x:c>
      <x:c r="J346" s="73" t="str">
        <x:f>IF(A346="","",COUNTIFS('전기원장'!$A$5:$A$1004,A346,'전기원장'!$J$5:$J$1004,"확인 필요")+COUNTIFS('당기원장'!$A$5:$A$1004,A346,'당기원장'!$J$5:$J$1004,"확인 필요"))</x:f>
      </x:c>
      <x:c r="K346" s="85" t="str">
        <x:f>IF(A346="","",IF(H346&lt;&gt;"원인분석 대상","",IF(J346&gt;0,"붙임 문서 확인 후 원인 확정 필요","결의서명 기반 원인분류 검토")))</x:f>
      </x:c>
    </x:row>
    <x:row r="347">
      <x:c r="A347" s="73" t="str">
        <x:f>IFERROR(INDEX('계산도우미'!$B$5:$B$2004,MATCH(ROWS($A$5:A347),'계산도우미'!$K$5:$K$2004,0)),"")</x:f>
      </x:c>
      <x:c r="B347" s="73" t="str">
        <x:f>IF(A347="","",IFERROR(INDEX('당기원장'!$B$5:$B$1004,MATCH(A347,'당기원장'!$A$5:$A$1004,0)),IFERROR(INDEX('전기원장'!$B$5:$B$1004,MATCH(A347,'전기원장'!$A$5:$A$1004,0)),"")))</x:f>
      </x:c>
      <x:c r="C347" s="75" t="str">
        <x:f>IF(A347="","",SUMIF('전기원장'!$A$5:$A$1004,A347,'전기원장'!$H$5:$H$1004))</x:f>
      </x:c>
      <x:c r="D347" s="75" t="str">
        <x:f>IF(A347="","",SUMIF('당기원장'!$A$5:$A$1004,A347,'당기원장'!$H$5:$H$1004))</x:f>
      </x:c>
      <x:c r="E347" s="75" t="str">
        <x:f>IF(A347="","",D347-C347)</x:f>
      </x:c>
      <x:c r="F347" s="88" t="str">
        <x:f>IF(A347="","",IF(C347=0,IF(D347=0,0,1),ABS(E347)/ABS(C347)))</x:f>
      </x:c>
      <x:c r="G347" s="73" t="str">
        <x:f>IF(A347="","",IF(AND(C347=0,D347&lt;&gt;0),"신규",IF(AND(C347&lt;&gt;0,D347=0),"소멸",IF(E347=0,"변동없음","금액변동"))))</x:f>
      </x:c>
      <x:c r="H347" s="73" t="str">
        <x:f>IF(A347="","",IF(AND(ABS(E347)&gt;='기준설정'!$B$6,OR(G347="신규",G347="소멸",F347&gt;='기준설정'!$B$5)),"원인분석 대상","일반"))</x:f>
      </x:c>
      <x:c r="I347" s="73" t="str">
        <x:f>IF(A347="","",IF(H347="원인분석 대상","세부원인분석 시트에서 거래별 원인을 검토","-"))</x:f>
      </x:c>
      <x:c r="J347" s="73" t="str">
        <x:f>IF(A347="","",COUNTIFS('전기원장'!$A$5:$A$1004,A347,'전기원장'!$J$5:$J$1004,"확인 필요")+COUNTIFS('당기원장'!$A$5:$A$1004,A347,'당기원장'!$J$5:$J$1004,"확인 필요"))</x:f>
      </x:c>
      <x:c r="K347" s="85" t="str">
        <x:f>IF(A347="","",IF(H347&lt;&gt;"원인분석 대상","",IF(J347&gt;0,"붙임 문서 확인 후 원인 확정 필요","결의서명 기반 원인분류 검토")))</x:f>
      </x:c>
    </x:row>
    <x:row r="348">
      <x:c r="A348" s="73" t="str">
        <x:f>IFERROR(INDEX('계산도우미'!$B$5:$B$2004,MATCH(ROWS($A$5:A348),'계산도우미'!$K$5:$K$2004,0)),"")</x:f>
      </x:c>
      <x:c r="B348" s="73" t="str">
        <x:f>IF(A348="","",IFERROR(INDEX('당기원장'!$B$5:$B$1004,MATCH(A348,'당기원장'!$A$5:$A$1004,0)),IFERROR(INDEX('전기원장'!$B$5:$B$1004,MATCH(A348,'전기원장'!$A$5:$A$1004,0)),"")))</x:f>
      </x:c>
      <x:c r="C348" s="75" t="str">
        <x:f>IF(A348="","",SUMIF('전기원장'!$A$5:$A$1004,A348,'전기원장'!$H$5:$H$1004))</x:f>
      </x:c>
      <x:c r="D348" s="75" t="str">
        <x:f>IF(A348="","",SUMIF('당기원장'!$A$5:$A$1004,A348,'당기원장'!$H$5:$H$1004))</x:f>
      </x:c>
      <x:c r="E348" s="75" t="str">
        <x:f>IF(A348="","",D348-C348)</x:f>
      </x:c>
      <x:c r="F348" s="88" t="str">
        <x:f>IF(A348="","",IF(C348=0,IF(D348=0,0,1),ABS(E348)/ABS(C348)))</x:f>
      </x:c>
      <x:c r="G348" s="73" t="str">
        <x:f>IF(A348="","",IF(AND(C348=0,D348&lt;&gt;0),"신규",IF(AND(C348&lt;&gt;0,D348=0),"소멸",IF(E348=0,"변동없음","금액변동"))))</x:f>
      </x:c>
      <x:c r="H348" s="73" t="str">
        <x:f>IF(A348="","",IF(AND(ABS(E348)&gt;='기준설정'!$B$6,OR(G348="신규",G348="소멸",F348&gt;='기준설정'!$B$5)),"원인분석 대상","일반"))</x:f>
      </x:c>
      <x:c r="I348" s="73" t="str">
        <x:f>IF(A348="","",IF(H348="원인분석 대상","세부원인분석 시트에서 거래별 원인을 검토","-"))</x:f>
      </x:c>
      <x:c r="J348" s="73" t="str">
        <x:f>IF(A348="","",COUNTIFS('전기원장'!$A$5:$A$1004,A348,'전기원장'!$J$5:$J$1004,"확인 필요")+COUNTIFS('당기원장'!$A$5:$A$1004,A348,'당기원장'!$J$5:$J$1004,"확인 필요"))</x:f>
      </x:c>
      <x:c r="K348" s="85" t="str">
        <x:f>IF(A348="","",IF(H348&lt;&gt;"원인분석 대상","",IF(J348&gt;0,"붙임 문서 확인 후 원인 확정 필요","결의서명 기반 원인분류 검토")))</x:f>
      </x:c>
    </x:row>
    <x:row r="349">
      <x:c r="A349" s="73" t="str">
        <x:f>IFERROR(INDEX('계산도우미'!$B$5:$B$2004,MATCH(ROWS($A$5:A349),'계산도우미'!$K$5:$K$2004,0)),"")</x:f>
      </x:c>
      <x:c r="B349" s="73" t="str">
        <x:f>IF(A349="","",IFERROR(INDEX('당기원장'!$B$5:$B$1004,MATCH(A349,'당기원장'!$A$5:$A$1004,0)),IFERROR(INDEX('전기원장'!$B$5:$B$1004,MATCH(A349,'전기원장'!$A$5:$A$1004,0)),"")))</x:f>
      </x:c>
      <x:c r="C349" s="75" t="str">
        <x:f>IF(A349="","",SUMIF('전기원장'!$A$5:$A$1004,A349,'전기원장'!$H$5:$H$1004))</x:f>
      </x:c>
      <x:c r="D349" s="75" t="str">
        <x:f>IF(A349="","",SUMIF('당기원장'!$A$5:$A$1004,A349,'당기원장'!$H$5:$H$1004))</x:f>
      </x:c>
      <x:c r="E349" s="75" t="str">
        <x:f>IF(A349="","",D349-C349)</x:f>
      </x:c>
      <x:c r="F349" s="88" t="str">
        <x:f>IF(A349="","",IF(C349=0,IF(D349=0,0,1),ABS(E349)/ABS(C349)))</x:f>
      </x:c>
      <x:c r="G349" s="73" t="str">
        <x:f>IF(A349="","",IF(AND(C349=0,D349&lt;&gt;0),"신규",IF(AND(C349&lt;&gt;0,D349=0),"소멸",IF(E349=0,"변동없음","금액변동"))))</x:f>
      </x:c>
      <x:c r="H349" s="73" t="str">
        <x:f>IF(A349="","",IF(AND(ABS(E349)&gt;='기준설정'!$B$6,OR(G349="신규",G349="소멸",F349&gt;='기준설정'!$B$5)),"원인분석 대상","일반"))</x:f>
      </x:c>
      <x:c r="I349" s="73" t="str">
        <x:f>IF(A349="","",IF(H349="원인분석 대상","세부원인분석 시트에서 거래별 원인을 검토","-"))</x:f>
      </x:c>
      <x:c r="J349" s="73" t="str">
        <x:f>IF(A349="","",COUNTIFS('전기원장'!$A$5:$A$1004,A349,'전기원장'!$J$5:$J$1004,"확인 필요")+COUNTIFS('당기원장'!$A$5:$A$1004,A349,'당기원장'!$J$5:$J$1004,"확인 필요"))</x:f>
      </x:c>
      <x:c r="K349" s="85" t="str">
        <x:f>IF(A349="","",IF(H349&lt;&gt;"원인분석 대상","",IF(J349&gt;0,"붙임 문서 확인 후 원인 확정 필요","결의서명 기반 원인분류 검토")))</x:f>
      </x:c>
    </x:row>
    <x:row r="350">
      <x:c r="A350" s="73" t="str">
        <x:f>IFERROR(INDEX('계산도우미'!$B$5:$B$2004,MATCH(ROWS($A$5:A350),'계산도우미'!$K$5:$K$2004,0)),"")</x:f>
      </x:c>
      <x:c r="B350" s="73" t="str">
        <x:f>IF(A350="","",IFERROR(INDEX('당기원장'!$B$5:$B$1004,MATCH(A350,'당기원장'!$A$5:$A$1004,0)),IFERROR(INDEX('전기원장'!$B$5:$B$1004,MATCH(A350,'전기원장'!$A$5:$A$1004,0)),"")))</x:f>
      </x:c>
      <x:c r="C350" s="75" t="str">
        <x:f>IF(A350="","",SUMIF('전기원장'!$A$5:$A$1004,A350,'전기원장'!$H$5:$H$1004))</x:f>
      </x:c>
      <x:c r="D350" s="75" t="str">
        <x:f>IF(A350="","",SUMIF('당기원장'!$A$5:$A$1004,A350,'당기원장'!$H$5:$H$1004))</x:f>
      </x:c>
      <x:c r="E350" s="75" t="str">
        <x:f>IF(A350="","",D350-C350)</x:f>
      </x:c>
      <x:c r="F350" s="88" t="str">
        <x:f>IF(A350="","",IF(C350=0,IF(D350=0,0,1),ABS(E350)/ABS(C350)))</x:f>
      </x:c>
      <x:c r="G350" s="73" t="str">
        <x:f>IF(A350="","",IF(AND(C350=0,D350&lt;&gt;0),"신규",IF(AND(C350&lt;&gt;0,D350=0),"소멸",IF(E350=0,"변동없음","금액변동"))))</x:f>
      </x:c>
      <x:c r="H350" s="73" t="str">
        <x:f>IF(A350="","",IF(AND(ABS(E350)&gt;='기준설정'!$B$6,OR(G350="신규",G350="소멸",F350&gt;='기준설정'!$B$5)),"원인분석 대상","일반"))</x:f>
      </x:c>
      <x:c r="I350" s="73" t="str">
        <x:f>IF(A350="","",IF(H350="원인분석 대상","세부원인분석 시트에서 거래별 원인을 검토","-"))</x:f>
      </x:c>
      <x:c r="J350" s="73" t="str">
        <x:f>IF(A350="","",COUNTIFS('전기원장'!$A$5:$A$1004,A350,'전기원장'!$J$5:$J$1004,"확인 필요")+COUNTIFS('당기원장'!$A$5:$A$1004,A350,'당기원장'!$J$5:$J$1004,"확인 필요"))</x:f>
      </x:c>
      <x:c r="K350" s="85" t="str">
        <x:f>IF(A350="","",IF(H350&lt;&gt;"원인분석 대상","",IF(J350&gt;0,"붙임 문서 확인 후 원인 확정 필요","결의서명 기반 원인분류 검토")))</x:f>
      </x:c>
    </x:row>
    <x:row r="351">
      <x:c r="A351" s="73" t="str">
        <x:f>IFERROR(INDEX('계산도우미'!$B$5:$B$2004,MATCH(ROWS($A$5:A351),'계산도우미'!$K$5:$K$2004,0)),"")</x:f>
      </x:c>
      <x:c r="B351" s="73" t="str">
        <x:f>IF(A351="","",IFERROR(INDEX('당기원장'!$B$5:$B$1004,MATCH(A351,'당기원장'!$A$5:$A$1004,0)),IFERROR(INDEX('전기원장'!$B$5:$B$1004,MATCH(A351,'전기원장'!$A$5:$A$1004,0)),"")))</x:f>
      </x:c>
      <x:c r="C351" s="75" t="str">
        <x:f>IF(A351="","",SUMIF('전기원장'!$A$5:$A$1004,A351,'전기원장'!$H$5:$H$1004))</x:f>
      </x:c>
      <x:c r="D351" s="75" t="str">
        <x:f>IF(A351="","",SUMIF('당기원장'!$A$5:$A$1004,A351,'당기원장'!$H$5:$H$1004))</x:f>
      </x:c>
      <x:c r="E351" s="75" t="str">
        <x:f>IF(A351="","",D351-C351)</x:f>
      </x:c>
      <x:c r="F351" s="88" t="str">
        <x:f>IF(A351="","",IF(C351=0,IF(D351=0,0,1),ABS(E351)/ABS(C351)))</x:f>
      </x:c>
      <x:c r="G351" s="73" t="str">
        <x:f>IF(A351="","",IF(AND(C351=0,D351&lt;&gt;0),"신규",IF(AND(C351&lt;&gt;0,D351=0),"소멸",IF(E351=0,"변동없음","금액변동"))))</x:f>
      </x:c>
      <x:c r="H351" s="73" t="str">
        <x:f>IF(A351="","",IF(AND(ABS(E351)&gt;='기준설정'!$B$6,OR(G351="신규",G351="소멸",F351&gt;='기준설정'!$B$5)),"원인분석 대상","일반"))</x:f>
      </x:c>
      <x:c r="I351" s="73" t="str">
        <x:f>IF(A351="","",IF(H351="원인분석 대상","세부원인분석 시트에서 거래별 원인을 검토","-"))</x:f>
      </x:c>
      <x:c r="J351" s="73" t="str">
        <x:f>IF(A351="","",COUNTIFS('전기원장'!$A$5:$A$1004,A351,'전기원장'!$J$5:$J$1004,"확인 필요")+COUNTIFS('당기원장'!$A$5:$A$1004,A351,'당기원장'!$J$5:$J$1004,"확인 필요"))</x:f>
      </x:c>
      <x:c r="K351" s="85" t="str">
        <x:f>IF(A351="","",IF(H351&lt;&gt;"원인분석 대상","",IF(J351&gt;0,"붙임 문서 확인 후 원인 확정 필요","결의서명 기반 원인분류 검토")))</x:f>
      </x:c>
    </x:row>
    <x:row r="352">
      <x:c r="A352" s="73" t="str">
        <x:f>IFERROR(INDEX('계산도우미'!$B$5:$B$2004,MATCH(ROWS($A$5:A352),'계산도우미'!$K$5:$K$2004,0)),"")</x:f>
      </x:c>
      <x:c r="B352" s="73" t="str">
        <x:f>IF(A352="","",IFERROR(INDEX('당기원장'!$B$5:$B$1004,MATCH(A352,'당기원장'!$A$5:$A$1004,0)),IFERROR(INDEX('전기원장'!$B$5:$B$1004,MATCH(A352,'전기원장'!$A$5:$A$1004,0)),"")))</x:f>
      </x:c>
      <x:c r="C352" s="75" t="str">
        <x:f>IF(A352="","",SUMIF('전기원장'!$A$5:$A$1004,A352,'전기원장'!$H$5:$H$1004))</x:f>
      </x:c>
      <x:c r="D352" s="75" t="str">
        <x:f>IF(A352="","",SUMIF('당기원장'!$A$5:$A$1004,A352,'당기원장'!$H$5:$H$1004))</x:f>
      </x:c>
      <x:c r="E352" s="75" t="str">
        <x:f>IF(A352="","",D352-C352)</x:f>
      </x:c>
      <x:c r="F352" s="88" t="str">
        <x:f>IF(A352="","",IF(C352=0,IF(D352=0,0,1),ABS(E352)/ABS(C352)))</x:f>
      </x:c>
      <x:c r="G352" s="73" t="str">
        <x:f>IF(A352="","",IF(AND(C352=0,D352&lt;&gt;0),"신규",IF(AND(C352&lt;&gt;0,D352=0),"소멸",IF(E352=0,"변동없음","금액변동"))))</x:f>
      </x:c>
      <x:c r="H352" s="73" t="str">
        <x:f>IF(A352="","",IF(AND(ABS(E352)&gt;='기준설정'!$B$6,OR(G352="신규",G352="소멸",F352&gt;='기준설정'!$B$5)),"원인분석 대상","일반"))</x:f>
      </x:c>
      <x:c r="I352" s="73" t="str">
        <x:f>IF(A352="","",IF(H352="원인분석 대상","세부원인분석 시트에서 거래별 원인을 검토","-"))</x:f>
      </x:c>
      <x:c r="J352" s="73" t="str">
        <x:f>IF(A352="","",COUNTIFS('전기원장'!$A$5:$A$1004,A352,'전기원장'!$J$5:$J$1004,"확인 필요")+COUNTIFS('당기원장'!$A$5:$A$1004,A352,'당기원장'!$J$5:$J$1004,"확인 필요"))</x:f>
      </x:c>
      <x:c r="K352" s="85" t="str">
        <x:f>IF(A352="","",IF(H352&lt;&gt;"원인분석 대상","",IF(J352&gt;0,"붙임 문서 확인 후 원인 확정 필요","결의서명 기반 원인분류 검토")))</x:f>
      </x:c>
    </x:row>
    <x:row r="353">
      <x:c r="A353" s="73" t="str">
        <x:f>IFERROR(INDEX('계산도우미'!$B$5:$B$2004,MATCH(ROWS($A$5:A353),'계산도우미'!$K$5:$K$2004,0)),"")</x:f>
      </x:c>
      <x:c r="B353" s="73" t="str">
        <x:f>IF(A353="","",IFERROR(INDEX('당기원장'!$B$5:$B$1004,MATCH(A353,'당기원장'!$A$5:$A$1004,0)),IFERROR(INDEX('전기원장'!$B$5:$B$1004,MATCH(A353,'전기원장'!$A$5:$A$1004,0)),"")))</x:f>
      </x:c>
      <x:c r="C353" s="75" t="str">
        <x:f>IF(A353="","",SUMIF('전기원장'!$A$5:$A$1004,A353,'전기원장'!$H$5:$H$1004))</x:f>
      </x:c>
      <x:c r="D353" s="75" t="str">
        <x:f>IF(A353="","",SUMIF('당기원장'!$A$5:$A$1004,A353,'당기원장'!$H$5:$H$1004))</x:f>
      </x:c>
      <x:c r="E353" s="75" t="str">
        <x:f>IF(A353="","",D353-C353)</x:f>
      </x:c>
      <x:c r="F353" s="88" t="str">
        <x:f>IF(A353="","",IF(C353=0,IF(D353=0,0,1),ABS(E353)/ABS(C353)))</x:f>
      </x:c>
      <x:c r="G353" s="73" t="str">
        <x:f>IF(A353="","",IF(AND(C353=0,D353&lt;&gt;0),"신규",IF(AND(C353&lt;&gt;0,D353=0),"소멸",IF(E353=0,"변동없음","금액변동"))))</x:f>
      </x:c>
      <x:c r="H353" s="73" t="str">
        <x:f>IF(A353="","",IF(AND(ABS(E353)&gt;='기준설정'!$B$6,OR(G353="신규",G353="소멸",F353&gt;='기준설정'!$B$5)),"원인분석 대상","일반"))</x:f>
      </x:c>
      <x:c r="I353" s="73" t="str">
        <x:f>IF(A353="","",IF(H353="원인분석 대상","세부원인분석 시트에서 거래별 원인을 검토","-"))</x:f>
      </x:c>
      <x:c r="J353" s="73" t="str">
        <x:f>IF(A353="","",COUNTIFS('전기원장'!$A$5:$A$1004,A353,'전기원장'!$J$5:$J$1004,"확인 필요")+COUNTIFS('당기원장'!$A$5:$A$1004,A353,'당기원장'!$J$5:$J$1004,"확인 필요"))</x:f>
      </x:c>
      <x:c r="K353" s="85" t="str">
        <x:f>IF(A353="","",IF(H353&lt;&gt;"원인분석 대상","",IF(J353&gt;0,"붙임 문서 확인 후 원인 확정 필요","결의서명 기반 원인분류 검토")))</x:f>
      </x:c>
    </x:row>
    <x:row r="354">
      <x:c r="A354" s="73" t="str">
        <x:f>IFERROR(INDEX('계산도우미'!$B$5:$B$2004,MATCH(ROWS($A$5:A354),'계산도우미'!$K$5:$K$2004,0)),"")</x:f>
      </x:c>
      <x:c r="B354" s="73" t="str">
        <x:f>IF(A354="","",IFERROR(INDEX('당기원장'!$B$5:$B$1004,MATCH(A354,'당기원장'!$A$5:$A$1004,0)),IFERROR(INDEX('전기원장'!$B$5:$B$1004,MATCH(A354,'전기원장'!$A$5:$A$1004,0)),"")))</x:f>
      </x:c>
      <x:c r="C354" s="75" t="str">
        <x:f>IF(A354="","",SUMIF('전기원장'!$A$5:$A$1004,A354,'전기원장'!$H$5:$H$1004))</x:f>
      </x:c>
      <x:c r="D354" s="75" t="str">
        <x:f>IF(A354="","",SUMIF('당기원장'!$A$5:$A$1004,A354,'당기원장'!$H$5:$H$1004))</x:f>
      </x:c>
      <x:c r="E354" s="75" t="str">
        <x:f>IF(A354="","",D354-C354)</x:f>
      </x:c>
      <x:c r="F354" s="88" t="str">
        <x:f>IF(A354="","",IF(C354=0,IF(D354=0,0,1),ABS(E354)/ABS(C354)))</x:f>
      </x:c>
      <x:c r="G354" s="73" t="str">
        <x:f>IF(A354="","",IF(AND(C354=0,D354&lt;&gt;0),"신규",IF(AND(C354&lt;&gt;0,D354=0),"소멸",IF(E354=0,"변동없음","금액변동"))))</x:f>
      </x:c>
      <x:c r="H354" s="73" t="str">
        <x:f>IF(A354="","",IF(AND(ABS(E354)&gt;='기준설정'!$B$6,OR(G354="신규",G354="소멸",F354&gt;='기준설정'!$B$5)),"원인분석 대상","일반"))</x:f>
      </x:c>
      <x:c r="I354" s="73" t="str">
        <x:f>IF(A354="","",IF(H354="원인분석 대상","세부원인분석 시트에서 거래별 원인을 검토","-"))</x:f>
      </x:c>
      <x:c r="J354" s="73" t="str">
        <x:f>IF(A354="","",COUNTIFS('전기원장'!$A$5:$A$1004,A354,'전기원장'!$J$5:$J$1004,"확인 필요")+COUNTIFS('당기원장'!$A$5:$A$1004,A354,'당기원장'!$J$5:$J$1004,"확인 필요"))</x:f>
      </x:c>
      <x:c r="K354" s="85" t="str">
        <x:f>IF(A354="","",IF(H354&lt;&gt;"원인분석 대상","",IF(J354&gt;0,"붙임 문서 확인 후 원인 확정 필요","결의서명 기반 원인분류 검토")))</x:f>
      </x:c>
    </x:row>
    <x:row r="355">
      <x:c r="A355" s="73" t="str">
        <x:f>IFERROR(INDEX('계산도우미'!$B$5:$B$2004,MATCH(ROWS($A$5:A355),'계산도우미'!$K$5:$K$2004,0)),"")</x:f>
      </x:c>
      <x:c r="B355" s="73" t="str">
        <x:f>IF(A355="","",IFERROR(INDEX('당기원장'!$B$5:$B$1004,MATCH(A355,'당기원장'!$A$5:$A$1004,0)),IFERROR(INDEX('전기원장'!$B$5:$B$1004,MATCH(A355,'전기원장'!$A$5:$A$1004,0)),"")))</x:f>
      </x:c>
      <x:c r="C355" s="75" t="str">
        <x:f>IF(A355="","",SUMIF('전기원장'!$A$5:$A$1004,A355,'전기원장'!$H$5:$H$1004))</x:f>
      </x:c>
      <x:c r="D355" s="75" t="str">
        <x:f>IF(A355="","",SUMIF('당기원장'!$A$5:$A$1004,A355,'당기원장'!$H$5:$H$1004))</x:f>
      </x:c>
      <x:c r="E355" s="75" t="str">
        <x:f>IF(A355="","",D355-C355)</x:f>
      </x:c>
      <x:c r="F355" s="88" t="str">
        <x:f>IF(A355="","",IF(C355=0,IF(D355=0,0,1),ABS(E355)/ABS(C355)))</x:f>
      </x:c>
      <x:c r="G355" s="73" t="str">
        <x:f>IF(A355="","",IF(AND(C355=0,D355&lt;&gt;0),"신규",IF(AND(C355&lt;&gt;0,D355=0),"소멸",IF(E355=0,"변동없음","금액변동"))))</x:f>
      </x:c>
      <x:c r="H355" s="73" t="str">
        <x:f>IF(A355="","",IF(AND(ABS(E355)&gt;='기준설정'!$B$6,OR(G355="신규",G355="소멸",F355&gt;='기준설정'!$B$5)),"원인분석 대상","일반"))</x:f>
      </x:c>
      <x:c r="I355" s="73" t="str">
        <x:f>IF(A355="","",IF(H355="원인분석 대상","세부원인분석 시트에서 거래별 원인을 검토","-"))</x:f>
      </x:c>
      <x:c r="J355" s="73" t="str">
        <x:f>IF(A355="","",COUNTIFS('전기원장'!$A$5:$A$1004,A355,'전기원장'!$J$5:$J$1004,"확인 필요")+COUNTIFS('당기원장'!$A$5:$A$1004,A355,'당기원장'!$J$5:$J$1004,"확인 필요"))</x:f>
      </x:c>
      <x:c r="K355" s="85" t="str">
        <x:f>IF(A355="","",IF(H355&lt;&gt;"원인분석 대상","",IF(J355&gt;0,"붙임 문서 확인 후 원인 확정 필요","결의서명 기반 원인분류 검토")))</x:f>
      </x:c>
    </x:row>
    <x:row r="356">
      <x:c r="A356" s="73" t="str">
        <x:f>IFERROR(INDEX('계산도우미'!$B$5:$B$2004,MATCH(ROWS($A$5:A356),'계산도우미'!$K$5:$K$2004,0)),"")</x:f>
      </x:c>
      <x:c r="B356" s="73" t="str">
        <x:f>IF(A356="","",IFERROR(INDEX('당기원장'!$B$5:$B$1004,MATCH(A356,'당기원장'!$A$5:$A$1004,0)),IFERROR(INDEX('전기원장'!$B$5:$B$1004,MATCH(A356,'전기원장'!$A$5:$A$1004,0)),"")))</x:f>
      </x:c>
      <x:c r="C356" s="75" t="str">
        <x:f>IF(A356="","",SUMIF('전기원장'!$A$5:$A$1004,A356,'전기원장'!$H$5:$H$1004))</x:f>
      </x:c>
      <x:c r="D356" s="75" t="str">
        <x:f>IF(A356="","",SUMIF('당기원장'!$A$5:$A$1004,A356,'당기원장'!$H$5:$H$1004))</x:f>
      </x:c>
      <x:c r="E356" s="75" t="str">
        <x:f>IF(A356="","",D356-C356)</x:f>
      </x:c>
      <x:c r="F356" s="88" t="str">
        <x:f>IF(A356="","",IF(C356=0,IF(D356=0,0,1),ABS(E356)/ABS(C356)))</x:f>
      </x:c>
      <x:c r="G356" s="73" t="str">
        <x:f>IF(A356="","",IF(AND(C356=0,D356&lt;&gt;0),"신규",IF(AND(C356&lt;&gt;0,D356=0),"소멸",IF(E356=0,"변동없음","금액변동"))))</x:f>
      </x:c>
      <x:c r="H356" s="73" t="str">
        <x:f>IF(A356="","",IF(AND(ABS(E356)&gt;='기준설정'!$B$6,OR(G356="신규",G356="소멸",F356&gt;='기준설정'!$B$5)),"원인분석 대상","일반"))</x:f>
      </x:c>
      <x:c r="I356" s="73" t="str">
        <x:f>IF(A356="","",IF(H356="원인분석 대상","세부원인분석 시트에서 거래별 원인을 검토","-"))</x:f>
      </x:c>
      <x:c r="J356" s="73" t="str">
        <x:f>IF(A356="","",COUNTIFS('전기원장'!$A$5:$A$1004,A356,'전기원장'!$J$5:$J$1004,"확인 필요")+COUNTIFS('당기원장'!$A$5:$A$1004,A356,'당기원장'!$J$5:$J$1004,"확인 필요"))</x:f>
      </x:c>
      <x:c r="K356" s="85" t="str">
        <x:f>IF(A356="","",IF(H356&lt;&gt;"원인분석 대상","",IF(J356&gt;0,"붙임 문서 확인 후 원인 확정 필요","결의서명 기반 원인분류 검토")))</x:f>
      </x:c>
    </x:row>
    <x:row r="357">
      <x:c r="A357" s="73" t="str">
        <x:f>IFERROR(INDEX('계산도우미'!$B$5:$B$2004,MATCH(ROWS($A$5:A357),'계산도우미'!$K$5:$K$2004,0)),"")</x:f>
      </x:c>
      <x:c r="B357" s="73" t="str">
        <x:f>IF(A357="","",IFERROR(INDEX('당기원장'!$B$5:$B$1004,MATCH(A357,'당기원장'!$A$5:$A$1004,0)),IFERROR(INDEX('전기원장'!$B$5:$B$1004,MATCH(A357,'전기원장'!$A$5:$A$1004,0)),"")))</x:f>
      </x:c>
      <x:c r="C357" s="75" t="str">
        <x:f>IF(A357="","",SUMIF('전기원장'!$A$5:$A$1004,A357,'전기원장'!$H$5:$H$1004))</x:f>
      </x:c>
      <x:c r="D357" s="75" t="str">
        <x:f>IF(A357="","",SUMIF('당기원장'!$A$5:$A$1004,A357,'당기원장'!$H$5:$H$1004))</x:f>
      </x:c>
      <x:c r="E357" s="75" t="str">
        <x:f>IF(A357="","",D357-C357)</x:f>
      </x:c>
      <x:c r="F357" s="88" t="str">
        <x:f>IF(A357="","",IF(C357=0,IF(D357=0,0,1),ABS(E357)/ABS(C357)))</x:f>
      </x:c>
      <x:c r="G357" s="73" t="str">
        <x:f>IF(A357="","",IF(AND(C357=0,D357&lt;&gt;0),"신규",IF(AND(C357&lt;&gt;0,D357=0),"소멸",IF(E357=0,"변동없음","금액변동"))))</x:f>
      </x:c>
      <x:c r="H357" s="73" t="str">
        <x:f>IF(A357="","",IF(AND(ABS(E357)&gt;='기준설정'!$B$6,OR(G357="신규",G357="소멸",F357&gt;='기준설정'!$B$5)),"원인분석 대상","일반"))</x:f>
      </x:c>
      <x:c r="I357" s="73" t="str">
        <x:f>IF(A357="","",IF(H357="원인분석 대상","세부원인분석 시트에서 거래별 원인을 검토","-"))</x:f>
      </x:c>
      <x:c r="J357" s="73" t="str">
        <x:f>IF(A357="","",COUNTIFS('전기원장'!$A$5:$A$1004,A357,'전기원장'!$J$5:$J$1004,"확인 필요")+COUNTIFS('당기원장'!$A$5:$A$1004,A357,'당기원장'!$J$5:$J$1004,"확인 필요"))</x:f>
      </x:c>
      <x:c r="K357" s="85" t="str">
        <x:f>IF(A357="","",IF(H357&lt;&gt;"원인분석 대상","",IF(J357&gt;0,"붙임 문서 확인 후 원인 확정 필요","결의서명 기반 원인분류 검토")))</x:f>
      </x:c>
    </x:row>
    <x:row r="358">
      <x:c r="A358" s="73" t="str">
        <x:f>IFERROR(INDEX('계산도우미'!$B$5:$B$2004,MATCH(ROWS($A$5:A358),'계산도우미'!$K$5:$K$2004,0)),"")</x:f>
      </x:c>
      <x:c r="B358" s="73" t="str">
        <x:f>IF(A358="","",IFERROR(INDEX('당기원장'!$B$5:$B$1004,MATCH(A358,'당기원장'!$A$5:$A$1004,0)),IFERROR(INDEX('전기원장'!$B$5:$B$1004,MATCH(A358,'전기원장'!$A$5:$A$1004,0)),"")))</x:f>
      </x:c>
      <x:c r="C358" s="75" t="str">
        <x:f>IF(A358="","",SUMIF('전기원장'!$A$5:$A$1004,A358,'전기원장'!$H$5:$H$1004))</x:f>
      </x:c>
      <x:c r="D358" s="75" t="str">
        <x:f>IF(A358="","",SUMIF('당기원장'!$A$5:$A$1004,A358,'당기원장'!$H$5:$H$1004))</x:f>
      </x:c>
      <x:c r="E358" s="75" t="str">
        <x:f>IF(A358="","",D358-C358)</x:f>
      </x:c>
      <x:c r="F358" s="88" t="str">
        <x:f>IF(A358="","",IF(C358=0,IF(D358=0,0,1),ABS(E358)/ABS(C358)))</x:f>
      </x:c>
      <x:c r="G358" s="73" t="str">
        <x:f>IF(A358="","",IF(AND(C358=0,D358&lt;&gt;0),"신규",IF(AND(C358&lt;&gt;0,D358=0),"소멸",IF(E358=0,"변동없음","금액변동"))))</x:f>
      </x:c>
      <x:c r="H358" s="73" t="str">
        <x:f>IF(A358="","",IF(AND(ABS(E358)&gt;='기준설정'!$B$6,OR(G358="신규",G358="소멸",F358&gt;='기준설정'!$B$5)),"원인분석 대상","일반"))</x:f>
      </x:c>
      <x:c r="I358" s="73" t="str">
        <x:f>IF(A358="","",IF(H358="원인분석 대상","세부원인분석 시트에서 거래별 원인을 검토","-"))</x:f>
      </x:c>
      <x:c r="J358" s="73" t="str">
        <x:f>IF(A358="","",COUNTIFS('전기원장'!$A$5:$A$1004,A358,'전기원장'!$J$5:$J$1004,"확인 필요")+COUNTIFS('당기원장'!$A$5:$A$1004,A358,'당기원장'!$J$5:$J$1004,"확인 필요"))</x:f>
      </x:c>
      <x:c r="K358" s="85" t="str">
        <x:f>IF(A358="","",IF(H358&lt;&gt;"원인분석 대상","",IF(J358&gt;0,"붙임 문서 확인 후 원인 확정 필요","결의서명 기반 원인분류 검토")))</x:f>
      </x:c>
    </x:row>
    <x:row r="359">
      <x:c r="A359" s="73" t="str">
        <x:f>IFERROR(INDEX('계산도우미'!$B$5:$B$2004,MATCH(ROWS($A$5:A359),'계산도우미'!$K$5:$K$2004,0)),"")</x:f>
      </x:c>
      <x:c r="B359" s="73" t="str">
        <x:f>IF(A359="","",IFERROR(INDEX('당기원장'!$B$5:$B$1004,MATCH(A359,'당기원장'!$A$5:$A$1004,0)),IFERROR(INDEX('전기원장'!$B$5:$B$1004,MATCH(A359,'전기원장'!$A$5:$A$1004,0)),"")))</x:f>
      </x:c>
      <x:c r="C359" s="75" t="str">
        <x:f>IF(A359="","",SUMIF('전기원장'!$A$5:$A$1004,A359,'전기원장'!$H$5:$H$1004))</x:f>
      </x:c>
      <x:c r="D359" s="75" t="str">
        <x:f>IF(A359="","",SUMIF('당기원장'!$A$5:$A$1004,A359,'당기원장'!$H$5:$H$1004))</x:f>
      </x:c>
      <x:c r="E359" s="75" t="str">
        <x:f>IF(A359="","",D359-C359)</x:f>
      </x:c>
      <x:c r="F359" s="88" t="str">
        <x:f>IF(A359="","",IF(C359=0,IF(D359=0,0,1),ABS(E359)/ABS(C359)))</x:f>
      </x:c>
      <x:c r="G359" s="73" t="str">
        <x:f>IF(A359="","",IF(AND(C359=0,D359&lt;&gt;0),"신규",IF(AND(C359&lt;&gt;0,D359=0),"소멸",IF(E359=0,"변동없음","금액변동"))))</x:f>
      </x:c>
      <x:c r="H359" s="73" t="str">
        <x:f>IF(A359="","",IF(AND(ABS(E359)&gt;='기준설정'!$B$6,OR(G359="신규",G359="소멸",F359&gt;='기준설정'!$B$5)),"원인분석 대상","일반"))</x:f>
      </x:c>
      <x:c r="I359" s="73" t="str">
        <x:f>IF(A359="","",IF(H359="원인분석 대상","세부원인분석 시트에서 거래별 원인을 검토","-"))</x:f>
      </x:c>
      <x:c r="J359" s="73" t="str">
        <x:f>IF(A359="","",COUNTIFS('전기원장'!$A$5:$A$1004,A359,'전기원장'!$J$5:$J$1004,"확인 필요")+COUNTIFS('당기원장'!$A$5:$A$1004,A359,'당기원장'!$J$5:$J$1004,"확인 필요"))</x:f>
      </x:c>
      <x:c r="K359" s="85" t="str">
        <x:f>IF(A359="","",IF(H359&lt;&gt;"원인분석 대상","",IF(J359&gt;0,"붙임 문서 확인 후 원인 확정 필요","결의서명 기반 원인분류 검토")))</x:f>
      </x:c>
    </x:row>
    <x:row r="360">
      <x:c r="A360" s="73" t="str">
        <x:f>IFERROR(INDEX('계산도우미'!$B$5:$B$2004,MATCH(ROWS($A$5:A360),'계산도우미'!$K$5:$K$2004,0)),"")</x:f>
      </x:c>
      <x:c r="B360" s="73" t="str">
        <x:f>IF(A360="","",IFERROR(INDEX('당기원장'!$B$5:$B$1004,MATCH(A360,'당기원장'!$A$5:$A$1004,0)),IFERROR(INDEX('전기원장'!$B$5:$B$1004,MATCH(A360,'전기원장'!$A$5:$A$1004,0)),"")))</x:f>
      </x:c>
      <x:c r="C360" s="75" t="str">
        <x:f>IF(A360="","",SUMIF('전기원장'!$A$5:$A$1004,A360,'전기원장'!$H$5:$H$1004))</x:f>
      </x:c>
      <x:c r="D360" s="75" t="str">
        <x:f>IF(A360="","",SUMIF('당기원장'!$A$5:$A$1004,A360,'당기원장'!$H$5:$H$1004))</x:f>
      </x:c>
      <x:c r="E360" s="75" t="str">
        <x:f>IF(A360="","",D360-C360)</x:f>
      </x:c>
      <x:c r="F360" s="88" t="str">
        <x:f>IF(A360="","",IF(C360=0,IF(D360=0,0,1),ABS(E360)/ABS(C360)))</x:f>
      </x:c>
      <x:c r="G360" s="73" t="str">
        <x:f>IF(A360="","",IF(AND(C360=0,D360&lt;&gt;0),"신규",IF(AND(C360&lt;&gt;0,D360=0),"소멸",IF(E360=0,"변동없음","금액변동"))))</x:f>
      </x:c>
      <x:c r="H360" s="73" t="str">
        <x:f>IF(A360="","",IF(AND(ABS(E360)&gt;='기준설정'!$B$6,OR(G360="신규",G360="소멸",F360&gt;='기준설정'!$B$5)),"원인분석 대상","일반"))</x:f>
      </x:c>
      <x:c r="I360" s="73" t="str">
        <x:f>IF(A360="","",IF(H360="원인분석 대상","세부원인분석 시트에서 거래별 원인을 검토","-"))</x:f>
      </x:c>
      <x:c r="J360" s="73" t="str">
        <x:f>IF(A360="","",COUNTIFS('전기원장'!$A$5:$A$1004,A360,'전기원장'!$J$5:$J$1004,"확인 필요")+COUNTIFS('당기원장'!$A$5:$A$1004,A360,'당기원장'!$J$5:$J$1004,"확인 필요"))</x:f>
      </x:c>
      <x:c r="K360" s="85" t="str">
        <x:f>IF(A360="","",IF(H360&lt;&gt;"원인분석 대상","",IF(J360&gt;0,"붙임 문서 확인 후 원인 확정 필요","결의서명 기반 원인분류 검토")))</x:f>
      </x:c>
    </x:row>
    <x:row r="361">
      <x:c r="A361" s="73" t="str">
        <x:f>IFERROR(INDEX('계산도우미'!$B$5:$B$2004,MATCH(ROWS($A$5:A361),'계산도우미'!$K$5:$K$2004,0)),"")</x:f>
      </x:c>
      <x:c r="B361" s="73" t="str">
        <x:f>IF(A361="","",IFERROR(INDEX('당기원장'!$B$5:$B$1004,MATCH(A361,'당기원장'!$A$5:$A$1004,0)),IFERROR(INDEX('전기원장'!$B$5:$B$1004,MATCH(A361,'전기원장'!$A$5:$A$1004,0)),"")))</x:f>
      </x:c>
      <x:c r="C361" s="75" t="str">
        <x:f>IF(A361="","",SUMIF('전기원장'!$A$5:$A$1004,A361,'전기원장'!$H$5:$H$1004))</x:f>
      </x:c>
      <x:c r="D361" s="75" t="str">
        <x:f>IF(A361="","",SUMIF('당기원장'!$A$5:$A$1004,A361,'당기원장'!$H$5:$H$1004))</x:f>
      </x:c>
      <x:c r="E361" s="75" t="str">
        <x:f>IF(A361="","",D361-C361)</x:f>
      </x:c>
      <x:c r="F361" s="88" t="str">
        <x:f>IF(A361="","",IF(C361=0,IF(D361=0,0,1),ABS(E361)/ABS(C361)))</x:f>
      </x:c>
      <x:c r="G361" s="73" t="str">
        <x:f>IF(A361="","",IF(AND(C361=0,D361&lt;&gt;0),"신규",IF(AND(C361&lt;&gt;0,D361=0),"소멸",IF(E361=0,"변동없음","금액변동"))))</x:f>
      </x:c>
      <x:c r="H361" s="73" t="str">
        <x:f>IF(A361="","",IF(AND(ABS(E361)&gt;='기준설정'!$B$6,OR(G361="신규",G361="소멸",F361&gt;='기준설정'!$B$5)),"원인분석 대상","일반"))</x:f>
      </x:c>
      <x:c r="I361" s="73" t="str">
        <x:f>IF(A361="","",IF(H361="원인분석 대상","세부원인분석 시트에서 거래별 원인을 검토","-"))</x:f>
      </x:c>
      <x:c r="J361" s="73" t="str">
        <x:f>IF(A361="","",COUNTIFS('전기원장'!$A$5:$A$1004,A361,'전기원장'!$J$5:$J$1004,"확인 필요")+COUNTIFS('당기원장'!$A$5:$A$1004,A361,'당기원장'!$J$5:$J$1004,"확인 필요"))</x:f>
      </x:c>
      <x:c r="K361" s="85" t="str">
        <x:f>IF(A361="","",IF(H361&lt;&gt;"원인분석 대상","",IF(J361&gt;0,"붙임 문서 확인 후 원인 확정 필요","결의서명 기반 원인분류 검토")))</x:f>
      </x:c>
    </x:row>
    <x:row r="362">
      <x:c r="A362" s="73" t="str">
        <x:f>IFERROR(INDEX('계산도우미'!$B$5:$B$2004,MATCH(ROWS($A$5:A362),'계산도우미'!$K$5:$K$2004,0)),"")</x:f>
      </x:c>
      <x:c r="B362" s="73" t="str">
        <x:f>IF(A362="","",IFERROR(INDEX('당기원장'!$B$5:$B$1004,MATCH(A362,'당기원장'!$A$5:$A$1004,0)),IFERROR(INDEX('전기원장'!$B$5:$B$1004,MATCH(A362,'전기원장'!$A$5:$A$1004,0)),"")))</x:f>
      </x:c>
      <x:c r="C362" s="75" t="str">
        <x:f>IF(A362="","",SUMIF('전기원장'!$A$5:$A$1004,A362,'전기원장'!$H$5:$H$1004))</x:f>
      </x:c>
      <x:c r="D362" s="75" t="str">
        <x:f>IF(A362="","",SUMIF('당기원장'!$A$5:$A$1004,A362,'당기원장'!$H$5:$H$1004))</x:f>
      </x:c>
      <x:c r="E362" s="75" t="str">
        <x:f>IF(A362="","",D362-C362)</x:f>
      </x:c>
      <x:c r="F362" s="88" t="str">
        <x:f>IF(A362="","",IF(C362=0,IF(D362=0,0,1),ABS(E362)/ABS(C362)))</x:f>
      </x:c>
      <x:c r="G362" s="73" t="str">
        <x:f>IF(A362="","",IF(AND(C362=0,D362&lt;&gt;0),"신규",IF(AND(C362&lt;&gt;0,D362=0),"소멸",IF(E362=0,"변동없음","금액변동"))))</x:f>
      </x:c>
      <x:c r="H362" s="73" t="str">
        <x:f>IF(A362="","",IF(AND(ABS(E362)&gt;='기준설정'!$B$6,OR(G362="신규",G362="소멸",F362&gt;='기준설정'!$B$5)),"원인분석 대상","일반"))</x:f>
      </x:c>
      <x:c r="I362" s="73" t="str">
        <x:f>IF(A362="","",IF(H362="원인분석 대상","세부원인분석 시트에서 거래별 원인을 검토","-"))</x:f>
      </x:c>
      <x:c r="J362" s="73" t="str">
        <x:f>IF(A362="","",COUNTIFS('전기원장'!$A$5:$A$1004,A362,'전기원장'!$J$5:$J$1004,"확인 필요")+COUNTIFS('당기원장'!$A$5:$A$1004,A362,'당기원장'!$J$5:$J$1004,"확인 필요"))</x:f>
      </x:c>
      <x:c r="K362" s="85" t="str">
        <x:f>IF(A362="","",IF(H362&lt;&gt;"원인분석 대상","",IF(J362&gt;0,"붙임 문서 확인 후 원인 확정 필요","결의서명 기반 원인분류 검토")))</x:f>
      </x:c>
    </x:row>
    <x:row r="363">
      <x:c r="A363" s="73" t="str">
        <x:f>IFERROR(INDEX('계산도우미'!$B$5:$B$2004,MATCH(ROWS($A$5:A363),'계산도우미'!$K$5:$K$2004,0)),"")</x:f>
      </x:c>
      <x:c r="B363" s="73" t="str">
        <x:f>IF(A363="","",IFERROR(INDEX('당기원장'!$B$5:$B$1004,MATCH(A363,'당기원장'!$A$5:$A$1004,0)),IFERROR(INDEX('전기원장'!$B$5:$B$1004,MATCH(A363,'전기원장'!$A$5:$A$1004,0)),"")))</x:f>
      </x:c>
      <x:c r="C363" s="75" t="str">
        <x:f>IF(A363="","",SUMIF('전기원장'!$A$5:$A$1004,A363,'전기원장'!$H$5:$H$1004))</x:f>
      </x:c>
      <x:c r="D363" s="75" t="str">
        <x:f>IF(A363="","",SUMIF('당기원장'!$A$5:$A$1004,A363,'당기원장'!$H$5:$H$1004))</x:f>
      </x:c>
      <x:c r="E363" s="75" t="str">
        <x:f>IF(A363="","",D363-C363)</x:f>
      </x:c>
      <x:c r="F363" s="88" t="str">
        <x:f>IF(A363="","",IF(C363=0,IF(D363=0,0,1),ABS(E363)/ABS(C363)))</x:f>
      </x:c>
      <x:c r="G363" s="73" t="str">
        <x:f>IF(A363="","",IF(AND(C363=0,D363&lt;&gt;0),"신규",IF(AND(C363&lt;&gt;0,D363=0),"소멸",IF(E363=0,"변동없음","금액변동"))))</x:f>
      </x:c>
      <x:c r="H363" s="73" t="str">
        <x:f>IF(A363="","",IF(AND(ABS(E363)&gt;='기준설정'!$B$6,OR(G363="신규",G363="소멸",F363&gt;='기준설정'!$B$5)),"원인분석 대상","일반"))</x:f>
      </x:c>
      <x:c r="I363" s="73" t="str">
        <x:f>IF(A363="","",IF(H363="원인분석 대상","세부원인분석 시트에서 거래별 원인을 검토","-"))</x:f>
      </x:c>
      <x:c r="J363" s="73" t="str">
        <x:f>IF(A363="","",COUNTIFS('전기원장'!$A$5:$A$1004,A363,'전기원장'!$J$5:$J$1004,"확인 필요")+COUNTIFS('당기원장'!$A$5:$A$1004,A363,'당기원장'!$J$5:$J$1004,"확인 필요"))</x:f>
      </x:c>
      <x:c r="K363" s="85" t="str">
        <x:f>IF(A363="","",IF(H363&lt;&gt;"원인분석 대상","",IF(J363&gt;0,"붙임 문서 확인 후 원인 확정 필요","결의서명 기반 원인분류 검토")))</x:f>
      </x:c>
    </x:row>
    <x:row r="364">
      <x:c r="A364" s="73" t="str">
        <x:f>IFERROR(INDEX('계산도우미'!$B$5:$B$2004,MATCH(ROWS($A$5:A364),'계산도우미'!$K$5:$K$2004,0)),"")</x:f>
      </x:c>
      <x:c r="B364" s="73" t="str">
        <x:f>IF(A364="","",IFERROR(INDEX('당기원장'!$B$5:$B$1004,MATCH(A364,'당기원장'!$A$5:$A$1004,0)),IFERROR(INDEX('전기원장'!$B$5:$B$1004,MATCH(A364,'전기원장'!$A$5:$A$1004,0)),"")))</x:f>
      </x:c>
      <x:c r="C364" s="75" t="str">
        <x:f>IF(A364="","",SUMIF('전기원장'!$A$5:$A$1004,A364,'전기원장'!$H$5:$H$1004))</x:f>
      </x:c>
      <x:c r="D364" s="75" t="str">
        <x:f>IF(A364="","",SUMIF('당기원장'!$A$5:$A$1004,A364,'당기원장'!$H$5:$H$1004))</x:f>
      </x:c>
      <x:c r="E364" s="75" t="str">
        <x:f>IF(A364="","",D364-C364)</x:f>
      </x:c>
      <x:c r="F364" s="88" t="str">
        <x:f>IF(A364="","",IF(C364=0,IF(D364=0,0,1),ABS(E364)/ABS(C364)))</x:f>
      </x:c>
      <x:c r="G364" s="73" t="str">
        <x:f>IF(A364="","",IF(AND(C364=0,D364&lt;&gt;0),"신규",IF(AND(C364&lt;&gt;0,D364=0),"소멸",IF(E364=0,"변동없음","금액변동"))))</x:f>
      </x:c>
      <x:c r="H364" s="73" t="str">
        <x:f>IF(A364="","",IF(AND(ABS(E364)&gt;='기준설정'!$B$6,OR(G364="신규",G364="소멸",F364&gt;='기준설정'!$B$5)),"원인분석 대상","일반"))</x:f>
      </x:c>
      <x:c r="I364" s="73" t="str">
        <x:f>IF(A364="","",IF(H364="원인분석 대상","세부원인분석 시트에서 거래별 원인을 검토","-"))</x:f>
      </x:c>
      <x:c r="J364" s="73" t="str">
        <x:f>IF(A364="","",COUNTIFS('전기원장'!$A$5:$A$1004,A364,'전기원장'!$J$5:$J$1004,"확인 필요")+COUNTIFS('당기원장'!$A$5:$A$1004,A364,'당기원장'!$J$5:$J$1004,"확인 필요"))</x:f>
      </x:c>
      <x:c r="K364" s="85" t="str">
        <x:f>IF(A364="","",IF(H364&lt;&gt;"원인분석 대상","",IF(J364&gt;0,"붙임 문서 확인 후 원인 확정 필요","결의서명 기반 원인분류 검토")))</x:f>
      </x:c>
    </x:row>
    <x:row r="365">
      <x:c r="A365" s="73" t="str">
        <x:f>IFERROR(INDEX('계산도우미'!$B$5:$B$2004,MATCH(ROWS($A$5:A365),'계산도우미'!$K$5:$K$2004,0)),"")</x:f>
      </x:c>
      <x:c r="B365" s="73" t="str">
        <x:f>IF(A365="","",IFERROR(INDEX('당기원장'!$B$5:$B$1004,MATCH(A365,'당기원장'!$A$5:$A$1004,0)),IFERROR(INDEX('전기원장'!$B$5:$B$1004,MATCH(A365,'전기원장'!$A$5:$A$1004,0)),"")))</x:f>
      </x:c>
      <x:c r="C365" s="75" t="str">
        <x:f>IF(A365="","",SUMIF('전기원장'!$A$5:$A$1004,A365,'전기원장'!$H$5:$H$1004))</x:f>
      </x:c>
      <x:c r="D365" s="75" t="str">
        <x:f>IF(A365="","",SUMIF('당기원장'!$A$5:$A$1004,A365,'당기원장'!$H$5:$H$1004))</x:f>
      </x:c>
      <x:c r="E365" s="75" t="str">
        <x:f>IF(A365="","",D365-C365)</x:f>
      </x:c>
      <x:c r="F365" s="88" t="str">
        <x:f>IF(A365="","",IF(C365=0,IF(D365=0,0,1),ABS(E365)/ABS(C365)))</x:f>
      </x:c>
      <x:c r="G365" s="73" t="str">
        <x:f>IF(A365="","",IF(AND(C365=0,D365&lt;&gt;0),"신규",IF(AND(C365&lt;&gt;0,D365=0),"소멸",IF(E365=0,"변동없음","금액변동"))))</x:f>
      </x:c>
      <x:c r="H365" s="73" t="str">
        <x:f>IF(A365="","",IF(AND(ABS(E365)&gt;='기준설정'!$B$6,OR(G365="신규",G365="소멸",F365&gt;='기준설정'!$B$5)),"원인분석 대상","일반"))</x:f>
      </x:c>
      <x:c r="I365" s="73" t="str">
        <x:f>IF(A365="","",IF(H365="원인분석 대상","세부원인분석 시트에서 거래별 원인을 검토","-"))</x:f>
      </x:c>
      <x:c r="J365" s="73" t="str">
        <x:f>IF(A365="","",COUNTIFS('전기원장'!$A$5:$A$1004,A365,'전기원장'!$J$5:$J$1004,"확인 필요")+COUNTIFS('당기원장'!$A$5:$A$1004,A365,'당기원장'!$J$5:$J$1004,"확인 필요"))</x:f>
      </x:c>
      <x:c r="K365" s="85" t="str">
        <x:f>IF(A365="","",IF(H365&lt;&gt;"원인분석 대상","",IF(J365&gt;0,"붙임 문서 확인 후 원인 확정 필요","결의서명 기반 원인분류 검토")))</x:f>
      </x:c>
    </x:row>
    <x:row r="366">
      <x:c r="A366" s="73" t="str">
        <x:f>IFERROR(INDEX('계산도우미'!$B$5:$B$2004,MATCH(ROWS($A$5:A366),'계산도우미'!$K$5:$K$2004,0)),"")</x:f>
      </x:c>
      <x:c r="B366" s="73" t="str">
        <x:f>IF(A366="","",IFERROR(INDEX('당기원장'!$B$5:$B$1004,MATCH(A366,'당기원장'!$A$5:$A$1004,0)),IFERROR(INDEX('전기원장'!$B$5:$B$1004,MATCH(A366,'전기원장'!$A$5:$A$1004,0)),"")))</x:f>
      </x:c>
      <x:c r="C366" s="75" t="str">
        <x:f>IF(A366="","",SUMIF('전기원장'!$A$5:$A$1004,A366,'전기원장'!$H$5:$H$1004))</x:f>
      </x:c>
      <x:c r="D366" s="75" t="str">
        <x:f>IF(A366="","",SUMIF('당기원장'!$A$5:$A$1004,A366,'당기원장'!$H$5:$H$1004))</x:f>
      </x:c>
      <x:c r="E366" s="75" t="str">
        <x:f>IF(A366="","",D366-C366)</x:f>
      </x:c>
      <x:c r="F366" s="88" t="str">
        <x:f>IF(A366="","",IF(C366=0,IF(D366=0,0,1),ABS(E366)/ABS(C366)))</x:f>
      </x:c>
      <x:c r="G366" s="73" t="str">
        <x:f>IF(A366="","",IF(AND(C366=0,D366&lt;&gt;0),"신규",IF(AND(C366&lt;&gt;0,D366=0),"소멸",IF(E366=0,"변동없음","금액변동"))))</x:f>
      </x:c>
      <x:c r="H366" s="73" t="str">
        <x:f>IF(A366="","",IF(AND(ABS(E366)&gt;='기준설정'!$B$6,OR(G366="신규",G366="소멸",F366&gt;='기준설정'!$B$5)),"원인분석 대상","일반"))</x:f>
      </x:c>
      <x:c r="I366" s="73" t="str">
        <x:f>IF(A366="","",IF(H366="원인분석 대상","세부원인분석 시트에서 거래별 원인을 검토","-"))</x:f>
      </x:c>
      <x:c r="J366" s="73" t="str">
        <x:f>IF(A366="","",COUNTIFS('전기원장'!$A$5:$A$1004,A366,'전기원장'!$J$5:$J$1004,"확인 필요")+COUNTIFS('당기원장'!$A$5:$A$1004,A366,'당기원장'!$J$5:$J$1004,"확인 필요"))</x:f>
      </x:c>
      <x:c r="K366" s="85" t="str">
        <x:f>IF(A366="","",IF(H366&lt;&gt;"원인분석 대상","",IF(J366&gt;0,"붙임 문서 확인 후 원인 확정 필요","결의서명 기반 원인분류 검토")))</x:f>
      </x:c>
    </x:row>
    <x:row r="367">
      <x:c r="A367" s="73" t="str">
        <x:f>IFERROR(INDEX('계산도우미'!$B$5:$B$2004,MATCH(ROWS($A$5:A367),'계산도우미'!$K$5:$K$2004,0)),"")</x:f>
      </x:c>
      <x:c r="B367" s="73" t="str">
        <x:f>IF(A367="","",IFERROR(INDEX('당기원장'!$B$5:$B$1004,MATCH(A367,'당기원장'!$A$5:$A$1004,0)),IFERROR(INDEX('전기원장'!$B$5:$B$1004,MATCH(A367,'전기원장'!$A$5:$A$1004,0)),"")))</x:f>
      </x:c>
      <x:c r="C367" s="75" t="str">
        <x:f>IF(A367="","",SUMIF('전기원장'!$A$5:$A$1004,A367,'전기원장'!$H$5:$H$1004))</x:f>
      </x:c>
      <x:c r="D367" s="75" t="str">
        <x:f>IF(A367="","",SUMIF('당기원장'!$A$5:$A$1004,A367,'당기원장'!$H$5:$H$1004))</x:f>
      </x:c>
      <x:c r="E367" s="75" t="str">
        <x:f>IF(A367="","",D367-C367)</x:f>
      </x:c>
      <x:c r="F367" s="88" t="str">
        <x:f>IF(A367="","",IF(C367=0,IF(D367=0,0,1),ABS(E367)/ABS(C367)))</x:f>
      </x:c>
      <x:c r="G367" s="73" t="str">
        <x:f>IF(A367="","",IF(AND(C367=0,D367&lt;&gt;0),"신규",IF(AND(C367&lt;&gt;0,D367=0),"소멸",IF(E367=0,"변동없음","금액변동"))))</x:f>
      </x:c>
      <x:c r="H367" s="73" t="str">
        <x:f>IF(A367="","",IF(AND(ABS(E367)&gt;='기준설정'!$B$6,OR(G367="신규",G367="소멸",F367&gt;='기준설정'!$B$5)),"원인분석 대상","일반"))</x:f>
      </x:c>
      <x:c r="I367" s="73" t="str">
        <x:f>IF(A367="","",IF(H367="원인분석 대상","세부원인분석 시트에서 거래별 원인을 검토","-"))</x:f>
      </x:c>
      <x:c r="J367" s="73" t="str">
        <x:f>IF(A367="","",COUNTIFS('전기원장'!$A$5:$A$1004,A367,'전기원장'!$J$5:$J$1004,"확인 필요")+COUNTIFS('당기원장'!$A$5:$A$1004,A367,'당기원장'!$J$5:$J$1004,"확인 필요"))</x:f>
      </x:c>
      <x:c r="K367" s="85" t="str">
        <x:f>IF(A367="","",IF(H367&lt;&gt;"원인분석 대상","",IF(J367&gt;0,"붙임 문서 확인 후 원인 확정 필요","결의서명 기반 원인분류 검토")))</x:f>
      </x:c>
    </x:row>
    <x:row r="368">
      <x:c r="A368" s="73" t="str">
        <x:f>IFERROR(INDEX('계산도우미'!$B$5:$B$2004,MATCH(ROWS($A$5:A368),'계산도우미'!$K$5:$K$2004,0)),"")</x:f>
      </x:c>
      <x:c r="B368" s="73" t="str">
        <x:f>IF(A368="","",IFERROR(INDEX('당기원장'!$B$5:$B$1004,MATCH(A368,'당기원장'!$A$5:$A$1004,0)),IFERROR(INDEX('전기원장'!$B$5:$B$1004,MATCH(A368,'전기원장'!$A$5:$A$1004,0)),"")))</x:f>
      </x:c>
      <x:c r="C368" s="75" t="str">
        <x:f>IF(A368="","",SUMIF('전기원장'!$A$5:$A$1004,A368,'전기원장'!$H$5:$H$1004))</x:f>
      </x:c>
      <x:c r="D368" s="75" t="str">
        <x:f>IF(A368="","",SUMIF('당기원장'!$A$5:$A$1004,A368,'당기원장'!$H$5:$H$1004))</x:f>
      </x:c>
      <x:c r="E368" s="75" t="str">
        <x:f>IF(A368="","",D368-C368)</x:f>
      </x:c>
      <x:c r="F368" s="88" t="str">
        <x:f>IF(A368="","",IF(C368=0,IF(D368=0,0,1),ABS(E368)/ABS(C368)))</x:f>
      </x:c>
      <x:c r="G368" s="73" t="str">
        <x:f>IF(A368="","",IF(AND(C368=0,D368&lt;&gt;0),"신규",IF(AND(C368&lt;&gt;0,D368=0),"소멸",IF(E368=0,"변동없음","금액변동"))))</x:f>
      </x:c>
      <x:c r="H368" s="73" t="str">
        <x:f>IF(A368="","",IF(AND(ABS(E368)&gt;='기준설정'!$B$6,OR(G368="신규",G368="소멸",F368&gt;='기준설정'!$B$5)),"원인분석 대상","일반"))</x:f>
      </x:c>
      <x:c r="I368" s="73" t="str">
        <x:f>IF(A368="","",IF(H368="원인분석 대상","세부원인분석 시트에서 거래별 원인을 검토","-"))</x:f>
      </x:c>
      <x:c r="J368" s="73" t="str">
        <x:f>IF(A368="","",COUNTIFS('전기원장'!$A$5:$A$1004,A368,'전기원장'!$J$5:$J$1004,"확인 필요")+COUNTIFS('당기원장'!$A$5:$A$1004,A368,'당기원장'!$J$5:$J$1004,"확인 필요"))</x:f>
      </x:c>
      <x:c r="K368" s="85" t="str">
        <x:f>IF(A368="","",IF(H368&lt;&gt;"원인분석 대상","",IF(J368&gt;0,"붙임 문서 확인 후 원인 확정 필요","결의서명 기반 원인분류 검토")))</x:f>
      </x:c>
    </x:row>
    <x:row r="369">
      <x:c r="A369" s="73" t="str">
        <x:f>IFERROR(INDEX('계산도우미'!$B$5:$B$2004,MATCH(ROWS($A$5:A369),'계산도우미'!$K$5:$K$2004,0)),"")</x:f>
      </x:c>
      <x:c r="B369" s="73" t="str">
        <x:f>IF(A369="","",IFERROR(INDEX('당기원장'!$B$5:$B$1004,MATCH(A369,'당기원장'!$A$5:$A$1004,0)),IFERROR(INDEX('전기원장'!$B$5:$B$1004,MATCH(A369,'전기원장'!$A$5:$A$1004,0)),"")))</x:f>
      </x:c>
      <x:c r="C369" s="75" t="str">
        <x:f>IF(A369="","",SUMIF('전기원장'!$A$5:$A$1004,A369,'전기원장'!$H$5:$H$1004))</x:f>
      </x:c>
      <x:c r="D369" s="75" t="str">
        <x:f>IF(A369="","",SUMIF('당기원장'!$A$5:$A$1004,A369,'당기원장'!$H$5:$H$1004))</x:f>
      </x:c>
      <x:c r="E369" s="75" t="str">
        <x:f>IF(A369="","",D369-C369)</x:f>
      </x:c>
      <x:c r="F369" s="88" t="str">
        <x:f>IF(A369="","",IF(C369=0,IF(D369=0,0,1),ABS(E369)/ABS(C369)))</x:f>
      </x:c>
      <x:c r="G369" s="73" t="str">
        <x:f>IF(A369="","",IF(AND(C369=0,D369&lt;&gt;0),"신규",IF(AND(C369&lt;&gt;0,D369=0),"소멸",IF(E369=0,"변동없음","금액변동"))))</x:f>
      </x:c>
      <x:c r="H369" s="73" t="str">
        <x:f>IF(A369="","",IF(AND(ABS(E369)&gt;='기준설정'!$B$6,OR(G369="신규",G369="소멸",F369&gt;='기준설정'!$B$5)),"원인분석 대상","일반"))</x:f>
      </x:c>
      <x:c r="I369" s="73" t="str">
        <x:f>IF(A369="","",IF(H369="원인분석 대상","세부원인분석 시트에서 거래별 원인을 검토","-"))</x:f>
      </x:c>
      <x:c r="J369" s="73" t="str">
        <x:f>IF(A369="","",COUNTIFS('전기원장'!$A$5:$A$1004,A369,'전기원장'!$J$5:$J$1004,"확인 필요")+COUNTIFS('당기원장'!$A$5:$A$1004,A369,'당기원장'!$J$5:$J$1004,"확인 필요"))</x:f>
      </x:c>
      <x:c r="K369" s="85" t="str">
        <x:f>IF(A369="","",IF(H369&lt;&gt;"원인분석 대상","",IF(J369&gt;0,"붙임 문서 확인 후 원인 확정 필요","결의서명 기반 원인분류 검토")))</x:f>
      </x:c>
    </x:row>
    <x:row r="370">
      <x:c r="A370" s="73" t="str">
        <x:f>IFERROR(INDEX('계산도우미'!$B$5:$B$2004,MATCH(ROWS($A$5:A370),'계산도우미'!$K$5:$K$2004,0)),"")</x:f>
      </x:c>
      <x:c r="B370" s="73" t="str">
        <x:f>IF(A370="","",IFERROR(INDEX('당기원장'!$B$5:$B$1004,MATCH(A370,'당기원장'!$A$5:$A$1004,0)),IFERROR(INDEX('전기원장'!$B$5:$B$1004,MATCH(A370,'전기원장'!$A$5:$A$1004,0)),"")))</x:f>
      </x:c>
      <x:c r="C370" s="75" t="str">
        <x:f>IF(A370="","",SUMIF('전기원장'!$A$5:$A$1004,A370,'전기원장'!$H$5:$H$1004))</x:f>
      </x:c>
      <x:c r="D370" s="75" t="str">
        <x:f>IF(A370="","",SUMIF('당기원장'!$A$5:$A$1004,A370,'당기원장'!$H$5:$H$1004))</x:f>
      </x:c>
      <x:c r="E370" s="75" t="str">
        <x:f>IF(A370="","",D370-C370)</x:f>
      </x:c>
      <x:c r="F370" s="88" t="str">
        <x:f>IF(A370="","",IF(C370=0,IF(D370=0,0,1),ABS(E370)/ABS(C370)))</x:f>
      </x:c>
      <x:c r="G370" s="73" t="str">
        <x:f>IF(A370="","",IF(AND(C370=0,D370&lt;&gt;0),"신규",IF(AND(C370&lt;&gt;0,D370=0),"소멸",IF(E370=0,"변동없음","금액변동"))))</x:f>
      </x:c>
      <x:c r="H370" s="73" t="str">
        <x:f>IF(A370="","",IF(AND(ABS(E370)&gt;='기준설정'!$B$6,OR(G370="신규",G370="소멸",F370&gt;='기준설정'!$B$5)),"원인분석 대상","일반"))</x:f>
      </x:c>
      <x:c r="I370" s="73" t="str">
        <x:f>IF(A370="","",IF(H370="원인분석 대상","세부원인분석 시트에서 거래별 원인을 검토","-"))</x:f>
      </x:c>
      <x:c r="J370" s="73" t="str">
        <x:f>IF(A370="","",COUNTIFS('전기원장'!$A$5:$A$1004,A370,'전기원장'!$J$5:$J$1004,"확인 필요")+COUNTIFS('당기원장'!$A$5:$A$1004,A370,'당기원장'!$J$5:$J$1004,"확인 필요"))</x:f>
      </x:c>
      <x:c r="K370" s="85" t="str">
        <x:f>IF(A370="","",IF(H370&lt;&gt;"원인분석 대상","",IF(J370&gt;0,"붙임 문서 확인 후 원인 확정 필요","결의서명 기반 원인분류 검토")))</x:f>
      </x:c>
    </x:row>
    <x:row r="371">
      <x:c r="A371" s="73" t="str">
        <x:f>IFERROR(INDEX('계산도우미'!$B$5:$B$2004,MATCH(ROWS($A$5:A371),'계산도우미'!$K$5:$K$2004,0)),"")</x:f>
      </x:c>
      <x:c r="B371" s="73" t="str">
        <x:f>IF(A371="","",IFERROR(INDEX('당기원장'!$B$5:$B$1004,MATCH(A371,'당기원장'!$A$5:$A$1004,0)),IFERROR(INDEX('전기원장'!$B$5:$B$1004,MATCH(A371,'전기원장'!$A$5:$A$1004,0)),"")))</x:f>
      </x:c>
      <x:c r="C371" s="75" t="str">
        <x:f>IF(A371="","",SUMIF('전기원장'!$A$5:$A$1004,A371,'전기원장'!$H$5:$H$1004))</x:f>
      </x:c>
      <x:c r="D371" s="75" t="str">
        <x:f>IF(A371="","",SUMIF('당기원장'!$A$5:$A$1004,A371,'당기원장'!$H$5:$H$1004))</x:f>
      </x:c>
      <x:c r="E371" s="75" t="str">
        <x:f>IF(A371="","",D371-C371)</x:f>
      </x:c>
      <x:c r="F371" s="88" t="str">
        <x:f>IF(A371="","",IF(C371=0,IF(D371=0,0,1),ABS(E371)/ABS(C371)))</x:f>
      </x:c>
      <x:c r="G371" s="73" t="str">
        <x:f>IF(A371="","",IF(AND(C371=0,D371&lt;&gt;0),"신규",IF(AND(C371&lt;&gt;0,D371=0),"소멸",IF(E371=0,"변동없음","금액변동"))))</x:f>
      </x:c>
      <x:c r="H371" s="73" t="str">
        <x:f>IF(A371="","",IF(AND(ABS(E371)&gt;='기준설정'!$B$6,OR(G371="신규",G371="소멸",F371&gt;='기준설정'!$B$5)),"원인분석 대상","일반"))</x:f>
      </x:c>
      <x:c r="I371" s="73" t="str">
        <x:f>IF(A371="","",IF(H371="원인분석 대상","세부원인분석 시트에서 거래별 원인을 검토","-"))</x:f>
      </x:c>
      <x:c r="J371" s="73" t="str">
        <x:f>IF(A371="","",COUNTIFS('전기원장'!$A$5:$A$1004,A371,'전기원장'!$J$5:$J$1004,"확인 필요")+COUNTIFS('당기원장'!$A$5:$A$1004,A371,'당기원장'!$J$5:$J$1004,"확인 필요"))</x:f>
      </x:c>
      <x:c r="K371" s="85" t="str">
        <x:f>IF(A371="","",IF(H371&lt;&gt;"원인분석 대상","",IF(J371&gt;0,"붙임 문서 확인 후 원인 확정 필요","결의서명 기반 원인분류 검토")))</x:f>
      </x:c>
    </x:row>
    <x:row r="372">
      <x:c r="A372" s="73" t="str">
        <x:f>IFERROR(INDEX('계산도우미'!$B$5:$B$2004,MATCH(ROWS($A$5:A372),'계산도우미'!$K$5:$K$2004,0)),"")</x:f>
      </x:c>
      <x:c r="B372" s="73" t="str">
        <x:f>IF(A372="","",IFERROR(INDEX('당기원장'!$B$5:$B$1004,MATCH(A372,'당기원장'!$A$5:$A$1004,0)),IFERROR(INDEX('전기원장'!$B$5:$B$1004,MATCH(A372,'전기원장'!$A$5:$A$1004,0)),"")))</x:f>
      </x:c>
      <x:c r="C372" s="75" t="str">
        <x:f>IF(A372="","",SUMIF('전기원장'!$A$5:$A$1004,A372,'전기원장'!$H$5:$H$1004))</x:f>
      </x:c>
      <x:c r="D372" s="75" t="str">
        <x:f>IF(A372="","",SUMIF('당기원장'!$A$5:$A$1004,A372,'당기원장'!$H$5:$H$1004))</x:f>
      </x:c>
      <x:c r="E372" s="75" t="str">
        <x:f>IF(A372="","",D372-C372)</x:f>
      </x:c>
      <x:c r="F372" s="88" t="str">
        <x:f>IF(A372="","",IF(C372=0,IF(D372=0,0,1),ABS(E372)/ABS(C372)))</x:f>
      </x:c>
      <x:c r="G372" s="73" t="str">
        <x:f>IF(A372="","",IF(AND(C372=0,D372&lt;&gt;0),"신규",IF(AND(C372&lt;&gt;0,D372=0),"소멸",IF(E372=0,"변동없음","금액변동"))))</x:f>
      </x:c>
      <x:c r="H372" s="73" t="str">
        <x:f>IF(A372="","",IF(AND(ABS(E372)&gt;='기준설정'!$B$6,OR(G372="신규",G372="소멸",F372&gt;='기준설정'!$B$5)),"원인분석 대상","일반"))</x:f>
      </x:c>
      <x:c r="I372" s="73" t="str">
        <x:f>IF(A372="","",IF(H372="원인분석 대상","세부원인분석 시트에서 거래별 원인을 검토","-"))</x:f>
      </x:c>
      <x:c r="J372" s="73" t="str">
        <x:f>IF(A372="","",COUNTIFS('전기원장'!$A$5:$A$1004,A372,'전기원장'!$J$5:$J$1004,"확인 필요")+COUNTIFS('당기원장'!$A$5:$A$1004,A372,'당기원장'!$J$5:$J$1004,"확인 필요"))</x:f>
      </x:c>
      <x:c r="K372" s="85" t="str">
        <x:f>IF(A372="","",IF(H372&lt;&gt;"원인분석 대상","",IF(J372&gt;0,"붙임 문서 확인 후 원인 확정 필요","결의서명 기반 원인분류 검토")))</x:f>
      </x:c>
    </x:row>
    <x:row r="373">
      <x:c r="A373" s="73" t="str">
        <x:f>IFERROR(INDEX('계산도우미'!$B$5:$B$2004,MATCH(ROWS($A$5:A373),'계산도우미'!$K$5:$K$2004,0)),"")</x:f>
      </x:c>
      <x:c r="B373" s="73" t="str">
        <x:f>IF(A373="","",IFERROR(INDEX('당기원장'!$B$5:$B$1004,MATCH(A373,'당기원장'!$A$5:$A$1004,0)),IFERROR(INDEX('전기원장'!$B$5:$B$1004,MATCH(A373,'전기원장'!$A$5:$A$1004,0)),"")))</x:f>
      </x:c>
      <x:c r="C373" s="75" t="str">
        <x:f>IF(A373="","",SUMIF('전기원장'!$A$5:$A$1004,A373,'전기원장'!$H$5:$H$1004))</x:f>
      </x:c>
      <x:c r="D373" s="75" t="str">
        <x:f>IF(A373="","",SUMIF('당기원장'!$A$5:$A$1004,A373,'당기원장'!$H$5:$H$1004))</x:f>
      </x:c>
      <x:c r="E373" s="75" t="str">
        <x:f>IF(A373="","",D373-C373)</x:f>
      </x:c>
      <x:c r="F373" s="88" t="str">
        <x:f>IF(A373="","",IF(C373=0,IF(D373=0,0,1),ABS(E373)/ABS(C373)))</x:f>
      </x:c>
      <x:c r="G373" s="73" t="str">
        <x:f>IF(A373="","",IF(AND(C373=0,D373&lt;&gt;0),"신규",IF(AND(C373&lt;&gt;0,D373=0),"소멸",IF(E373=0,"변동없음","금액변동"))))</x:f>
      </x:c>
      <x:c r="H373" s="73" t="str">
        <x:f>IF(A373="","",IF(AND(ABS(E373)&gt;='기준설정'!$B$6,OR(G373="신규",G373="소멸",F373&gt;='기준설정'!$B$5)),"원인분석 대상","일반"))</x:f>
      </x:c>
      <x:c r="I373" s="73" t="str">
        <x:f>IF(A373="","",IF(H373="원인분석 대상","세부원인분석 시트에서 거래별 원인을 검토","-"))</x:f>
      </x:c>
      <x:c r="J373" s="73" t="str">
        <x:f>IF(A373="","",COUNTIFS('전기원장'!$A$5:$A$1004,A373,'전기원장'!$J$5:$J$1004,"확인 필요")+COUNTIFS('당기원장'!$A$5:$A$1004,A373,'당기원장'!$J$5:$J$1004,"확인 필요"))</x:f>
      </x:c>
      <x:c r="K373" s="85" t="str">
        <x:f>IF(A373="","",IF(H373&lt;&gt;"원인분석 대상","",IF(J373&gt;0,"붙임 문서 확인 후 원인 확정 필요","결의서명 기반 원인분류 검토")))</x:f>
      </x:c>
    </x:row>
    <x:row r="374">
      <x:c r="A374" s="73" t="str">
        <x:f>IFERROR(INDEX('계산도우미'!$B$5:$B$2004,MATCH(ROWS($A$5:A374),'계산도우미'!$K$5:$K$2004,0)),"")</x:f>
      </x:c>
      <x:c r="B374" s="73" t="str">
        <x:f>IF(A374="","",IFERROR(INDEX('당기원장'!$B$5:$B$1004,MATCH(A374,'당기원장'!$A$5:$A$1004,0)),IFERROR(INDEX('전기원장'!$B$5:$B$1004,MATCH(A374,'전기원장'!$A$5:$A$1004,0)),"")))</x:f>
      </x:c>
      <x:c r="C374" s="75" t="str">
        <x:f>IF(A374="","",SUMIF('전기원장'!$A$5:$A$1004,A374,'전기원장'!$H$5:$H$1004))</x:f>
      </x:c>
      <x:c r="D374" s="75" t="str">
        <x:f>IF(A374="","",SUMIF('당기원장'!$A$5:$A$1004,A374,'당기원장'!$H$5:$H$1004))</x:f>
      </x:c>
      <x:c r="E374" s="75" t="str">
        <x:f>IF(A374="","",D374-C374)</x:f>
      </x:c>
      <x:c r="F374" s="88" t="str">
        <x:f>IF(A374="","",IF(C374=0,IF(D374=0,0,1),ABS(E374)/ABS(C374)))</x:f>
      </x:c>
      <x:c r="G374" s="73" t="str">
        <x:f>IF(A374="","",IF(AND(C374=0,D374&lt;&gt;0),"신규",IF(AND(C374&lt;&gt;0,D374=0),"소멸",IF(E374=0,"변동없음","금액변동"))))</x:f>
      </x:c>
      <x:c r="H374" s="73" t="str">
        <x:f>IF(A374="","",IF(AND(ABS(E374)&gt;='기준설정'!$B$6,OR(G374="신규",G374="소멸",F374&gt;='기준설정'!$B$5)),"원인분석 대상","일반"))</x:f>
      </x:c>
      <x:c r="I374" s="73" t="str">
        <x:f>IF(A374="","",IF(H374="원인분석 대상","세부원인분석 시트에서 거래별 원인을 검토","-"))</x:f>
      </x:c>
      <x:c r="J374" s="73" t="str">
        <x:f>IF(A374="","",COUNTIFS('전기원장'!$A$5:$A$1004,A374,'전기원장'!$J$5:$J$1004,"확인 필요")+COUNTIFS('당기원장'!$A$5:$A$1004,A374,'당기원장'!$J$5:$J$1004,"확인 필요"))</x:f>
      </x:c>
      <x:c r="K374" s="85" t="str">
        <x:f>IF(A374="","",IF(H374&lt;&gt;"원인분석 대상","",IF(J374&gt;0,"붙임 문서 확인 후 원인 확정 필요","결의서명 기반 원인분류 검토")))</x:f>
      </x:c>
    </x:row>
    <x:row r="375">
      <x:c r="A375" s="73" t="str">
        <x:f>IFERROR(INDEX('계산도우미'!$B$5:$B$2004,MATCH(ROWS($A$5:A375),'계산도우미'!$K$5:$K$2004,0)),"")</x:f>
      </x:c>
      <x:c r="B375" s="73" t="str">
        <x:f>IF(A375="","",IFERROR(INDEX('당기원장'!$B$5:$B$1004,MATCH(A375,'당기원장'!$A$5:$A$1004,0)),IFERROR(INDEX('전기원장'!$B$5:$B$1004,MATCH(A375,'전기원장'!$A$5:$A$1004,0)),"")))</x:f>
      </x:c>
      <x:c r="C375" s="75" t="str">
        <x:f>IF(A375="","",SUMIF('전기원장'!$A$5:$A$1004,A375,'전기원장'!$H$5:$H$1004))</x:f>
      </x:c>
      <x:c r="D375" s="75" t="str">
        <x:f>IF(A375="","",SUMIF('당기원장'!$A$5:$A$1004,A375,'당기원장'!$H$5:$H$1004))</x:f>
      </x:c>
      <x:c r="E375" s="75" t="str">
        <x:f>IF(A375="","",D375-C375)</x:f>
      </x:c>
      <x:c r="F375" s="88" t="str">
        <x:f>IF(A375="","",IF(C375=0,IF(D375=0,0,1),ABS(E375)/ABS(C375)))</x:f>
      </x:c>
      <x:c r="G375" s="73" t="str">
        <x:f>IF(A375="","",IF(AND(C375=0,D375&lt;&gt;0),"신규",IF(AND(C375&lt;&gt;0,D375=0),"소멸",IF(E375=0,"변동없음","금액변동"))))</x:f>
      </x:c>
      <x:c r="H375" s="73" t="str">
        <x:f>IF(A375="","",IF(AND(ABS(E375)&gt;='기준설정'!$B$6,OR(G375="신규",G375="소멸",F375&gt;='기준설정'!$B$5)),"원인분석 대상","일반"))</x:f>
      </x:c>
      <x:c r="I375" s="73" t="str">
        <x:f>IF(A375="","",IF(H375="원인분석 대상","세부원인분석 시트에서 거래별 원인을 검토","-"))</x:f>
      </x:c>
      <x:c r="J375" s="73" t="str">
        <x:f>IF(A375="","",COUNTIFS('전기원장'!$A$5:$A$1004,A375,'전기원장'!$J$5:$J$1004,"확인 필요")+COUNTIFS('당기원장'!$A$5:$A$1004,A375,'당기원장'!$J$5:$J$1004,"확인 필요"))</x:f>
      </x:c>
      <x:c r="K375" s="85" t="str">
        <x:f>IF(A375="","",IF(H375&lt;&gt;"원인분석 대상","",IF(J375&gt;0,"붙임 문서 확인 후 원인 확정 필요","결의서명 기반 원인분류 검토")))</x:f>
      </x:c>
    </x:row>
    <x:row r="376">
      <x:c r="A376" s="73" t="str">
        <x:f>IFERROR(INDEX('계산도우미'!$B$5:$B$2004,MATCH(ROWS($A$5:A376),'계산도우미'!$K$5:$K$2004,0)),"")</x:f>
      </x:c>
      <x:c r="B376" s="73" t="str">
        <x:f>IF(A376="","",IFERROR(INDEX('당기원장'!$B$5:$B$1004,MATCH(A376,'당기원장'!$A$5:$A$1004,0)),IFERROR(INDEX('전기원장'!$B$5:$B$1004,MATCH(A376,'전기원장'!$A$5:$A$1004,0)),"")))</x:f>
      </x:c>
      <x:c r="C376" s="75" t="str">
        <x:f>IF(A376="","",SUMIF('전기원장'!$A$5:$A$1004,A376,'전기원장'!$H$5:$H$1004))</x:f>
      </x:c>
      <x:c r="D376" s="75" t="str">
        <x:f>IF(A376="","",SUMIF('당기원장'!$A$5:$A$1004,A376,'당기원장'!$H$5:$H$1004))</x:f>
      </x:c>
      <x:c r="E376" s="75" t="str">
        <x:f>IF(A376="","",D376-C376)</x:f>
      </x:c>
      <x:c r="F376" s="88" t="str">
        <x:f>IF(A376="","",IF(C376=0,IF(D376=0,0,1),ABS(E376)/ABS(C376)))</x:f>
      </x:c>
      <x:c r="G376" s="73" t="str">
        <x:f>IF(A376="","",IF(AND(C376=0,D376&lt;&gt;0),"신규",IF(AND(C376&lt;&gt;0,D376=0),"소멸",IF(E376=0,"변동없음","금액변동"))))</x:f>
      </x:c>
      <x:c r="H376" s="73" t="str">
        <x:f>IF(A376="","",IF(AND(ABS(E376)&gt;='기준설정'!$B$6,OR(G376="신규",G376="소멸",F376&gt;='기준설정'!$B$5)),"원인분석 대상","일반"))</x:f>
      </x:c>
      <x:c r="I376" s="73" t="str">
        <x:f>IF(A376="","",IF(H376="원인분석 대상","세부원인분석 시트에서 거래별 원인을 검토","-"))</x:f>
      </x:c>
      <x:c r="J376" s="73" t="str">
        <x:f>IF(A376="","",COUNTIFS('전기원장'!$A$5:$A$1004,A376,'전기원장'!$J$5:$J$1004,"확인 필요")+COUNTIFS('당기원장'!$A$5:$A$1004,A376,'당기원장'!$J$5:$J$1004,"확인 필요"))</x:f>
      </x:c>
      <x:c r="K376" s="85" t="str">
        <x:f>IF(A376="","",IF(H376&lt;&gt;"원인분석 대상","",IF(J376&gt;0,"붙임 문서 확인 후 원인 확정 필요","결의서명 기반 원인분류 검토")))</x:f>
      </x:c>
    </x:row>
    <x:row r="377">
      <x:c r="A377" s="73" t="str">
        <x:f>IFERROR(INDEX('계산도우미'!$B$5:$B$2004,MATCH(ROWS($A$5:A377),'계산도우미'!$K$5:$K$2004,0)),"")</x:f>
      </x:c>
      <x:c r="B377" s="73" t="str">
        <x:f>IF(A377="","",IFERROR(INDEX('당기원장'!$B$5:$B$1004,MATCH(A377,'당기원장'!$A$5:$A$1004,0)),IFERROR(INDEX('전기원장'!$B$5:$B$1004,MATCH(A377,'전기원장'!$A$5:$A$1004,0)),"")))</x:f>
      </x:c>
      <x:c r="C377" s="75" t="str">
        <x:f>IF(A377="","",SUMIF('전기원장'!$A$5:$A$1004,A377,'전기원장'!$H$5:$H$1004))</x:f>
      </x:c>
      <x:c r="D377" s="75" t="str">
        <x:f>IF(A377="","",SUMIF('당기원장'!$A$5:$A$1004,A377,'당기원장'!$H$5:$H$1004))</x:f>
      </x:c>
      <x:c r="E377" s="75" t="str">
        <x:f>IF(A377="","",D377-C377)</x:f>
      </x:c>
      <x:c r="F377" s="88" t="str">
        <x:f>IF(A377="","",IF(C377=0,IF(D377=0,0,1),ABS(E377)/ABS(C377)))</x:f>
      </x:c>
      <x:c r="G377" s="73" t="str">
        <x:f>IF(A377="","",IF(AND(C377=0,D377&lt;&gt;0),"신규",IF(AND(C377&lt;&gt;0,D377=0),"소멸",IF(E377=0,"변동없음","금액변동"))))</x:f>
      </x:c>
      <x:c r="H377" s="73" t="str">
        <x:f>IF(A377="","",IF(AND(ABS(E377)&gt;='기준설정'!$B$6,OR(G377="신규",G377="소멸",F377&gt;='기준설정'!$B$5)),"원인분석 대상","일반"))</x:f>
      </x:c>
      <x:c r="I377" s="73" t="str">
        <x:f>IF(A377="","",IF(H377="원인분석 대상","세부원인분석 시트에서 거래별 원인을 검토","-"))</x:f>
      </x:c>
      <x:c r="J377" s="73" t="str">
        <x:f>IF(A377="","",COUNTIFS('전기원장'!$A$5:$A$1004,A377,'전기원장'!$J$5:$J$1004,"확인 필요")+COUNTIFS('당기원장'!$A$5:$A$1004,A377,'당기원장'!$J$5:$J$1004,"확인 필요"))</x:f>
      </x:c>
      <x:c r="K377" s="85" t="str">
        <x:f>IF(A377="","",IF(H377&lt;&gt;"원인분석 대상","",IF(J377&gt;0,"붙임 문서 확인 후 원인 확정 필요","결의서명 기반 원인분류 검토")))</x:f>
      </x:c>
    </x:row>
    <x:row r="378">
      <x:c r="A378" s="73" t="str">
        <x:f>IFERROR(INDEX('계산도우미'!$B$5:$B$2004,MATCH(ROWS($A$5:A378),'계산도우미'!$K$5:$K$2004,0)),"")</x:f>
      </x:c>
      <x:c r="B378" s="73" t="str">
        <x:f>IF(A378="","",IFERROR(INDEX('당기원장'!$B$5:$B$1004,MATCH(A378,'당기원장'!$A$5:$A$1004,0)),IFERROR(INDEX('전기원장'!$B$5:$B$1004,MATCH(A378,'전기원장'!$A$5:$A$1004,0)),"")))</x:f>
      </x:c>
      <x:c r="C378" s="75" t="str">
        <x:f>IF(A378="","",SUMIF('전기원장'!$A$5:$A$1004,A378,'전기원장'!$H$5:$H$1004))</x:f>
      </x:c>
      <x:c r="D378" s="75" t="str">
        <x:f>IF(A378="","",SUMIF('당기원장'!$A$5:$A$1004,A378,'당기원장'!$H$5:$H$1004))</x:f>
      </x:c>
      <x:c r="E378" s="75" t="str">
        <x:f>IF(A378="","",D378-C378)</x:f>
      </x:c>
      <x:c r="F378" s="88" t="str">
        <x:f>IF(A378="","",IF(C378=0,IF(D378=0,0,1),ABS(E378)/ABS(C378)))</x:f>
      </x:c>
      <x:c r="G378" s="73" t="str">
        <x:f>IF(A378="","",IF(AND(C378=0,D378&lt;&gt;0),"신규",IF(AND(C378&lt;&gt;0,D378=0),"소멸",IF(E378=0,"변동없음","금액변동"))))</x:f>
      </x:c>
      <x:c r="H378" s="73" t="str">
        <x:f>IF(A378="","",IF(AND(ABS(E378)&gt;='기준설정'!$B$6,OR(G378="신규",G378="소멸",F378&gt;='기준설정'!$B$5)),"원인분석 대상","일반"))</x:f>
      </x:c>
      <x:c r="I378" s="73" t="str">
        <x:f>IF(A378="","",IF(H378="원인분석 대상","세부원인분석 시트에서 거래별 원인을 검토","-"))</x:f>
      </x:c>
      <x:c r="J378" s="73" t="str">
        <x:f>IF(A378="","",COUNTIFS('전기원장'!$A$5:$A$1004,A378,'전기원장'!$J$5:$J$1004,"확인 필요")+COUNTIFS('당기원장'!$A$5:$A$1004,A378,'당기원장'!$J$5:$J$1004,"확인 필요"))</x:f>
      </x:c>
      <x:c r="K378" s="85" t="str">
        <x:f>IF(A378="","",IF(H378&lt;&gt;"원인분석 대상","",IF(J378&gt;0,"붙임 문서 확인 후 원인 확정 필요","결의서명 기반 원인분류 검토")))</x:f>
      </x:c>
    </x:row>
    <x:row r="379">
      <x:c r="A379" s="73" t="str">
        <x:f>IFERROR(INDEX('계산도우미'!$B$5:$B$2004,MATCH(ROWS($A$5:A379),'계산도우미'!$K$5:$K$2004,0)),"")</x:f>
      </x:c>
      <x:c r="B379" s="73" t="str">
        <x:f>IF(A379="","",IFERROR(INDEX('당기원장'!$B$5:$B$1004,MATCH(A379,'당기원장'!$A$5:$A$1004,0)),IFERROR(INDEX('전기원장'!$B$5:$B$1004,MATCH(A379,'전기원장'!$A$5:$A$1004,0)),"")))</x:f>
      </x:c>
      <x:c r="C379" s="75" t="str">
        <x:f>IF(A379="","",SUMIF('전기원장'!$A$5:$A$1004,A379,'전기원장'!$H$5:$H$1004))</x:f>
      </x:c>
      <x:c r="D379" s="75" t="str">
        <x:f>IF(A379="","",SUMIF('당기원장'!$A$5:$A$1004,A379,'당기원장'!$H$5:$H$1004))</x:f>
      </x:c>
      <x:c r="E379" s="75" t="str">
        <x:f>IF(A379="","",D379-C379)</x:f>
      </x:c>
      <x:c r="F379" s="88" t="str">
        <x:f>IF(A379="","",IF(C379=0,IF(D379=0,0,1),ABS(E379)/ABS(C379)))</x:f>
      </x:c>
      <x:c r="G379" s="73" t="str">
        <x:f>IF(A379="","",IF(AND(C379=0,D379&lt;&gt;0),"신규",IF(AND(C379&lt;&gt;0,D379=0),"소멸",IF(E379=0,"변동없음","금액변동"))))</x:f>
      </x:c>
      <x:c r="H379" s="73" t="str">
        <x:f>IF(A379="","",IF(AND(ABS(E379)&gt;='기준설정'!$B$6,OR(G379="신규",G379="소멸",F379&gt;='기준설정'!$B$5)),"원인분석 대상","일반"))</x:f>
      </x:c>
      <x:c r="I379" s="73" t="str">
        <x:f>IF(A379="","",IF(H379="원인분석 대상","세부원인분석 시트에서 거래별 원인을 검토","-"))</x:f>
      </x:c>
      <x:c r="J379" s="73" t="str">
        <x:f>IF(A379="","",COUNTIFS('전기원장'!$A$5:$A$1004,A379,'전기원장'!$J$5:$J$1004,"확인 필요")+COUNTIFS('당기원장'!$A$5:$A$1004,A379,'당기원장'!$J$5:$J$1004,"확인 필요"))</x:f>
      </x:c>
      <x:c r="K379" s="85" t="str">
        <x:f>IF(A379="","",IF(H379&lt;&gt;"원인분석 대상","",IF(J379&gt;0,"붙임 문서 확인 후 원인 확정 필요","결의서명 기반 원인분류 검토")))</x:f>
      </x:c>
    </x:row>
    <x:row r="380">
      <x:c r="A380" s="73" t="str">
        <x:f>IFERROR(INDEX('계산도우미'!$B$5:$B$2004,MATCH(ROWS($A$5:A380),'계산도우미'!$K$5:$K$2004,0)),"")</x:f>
      </x:c>
      <x:c r="B380" s="73" t="str">
        <x:f>IF(A380="","",IFERROR(INDEX('당기원장'!$B$5:$B$1004,MATCH(A380,'당기원장'!$A$5:$A$1004,0)),IFERROR(INDEX('전기원장'!$B$5:$B$1004,MATCH(A380,'전기원장'!$A$5:$A$1004,0)),"")))</x:f>
      </x:c>
      <x:c r="C380" s="75" t="str">
        <x:f>IF(A380="","",SUMIF('전기원장'!$A$5:$A$1004,A380,'전기원장'!$H$5:$H$1004))</x:f>
      </x:c>
      <x:c r="D380" s="75" t="str">
        <x:f>IF(A380="","",SUMIF('당기원장'!$A$5:$A$1004,A380,'당기원장'!$H$5:$H$1004))</x:f>
      </x:c>
      <x:c r="E380" s="75" t="str">
        <x:f>IF(A380="","",D380-C380)</x:f>
      </x:c>
      <x:c r="F380" s="88" t="str">
        <x:f>IF(A380="","",IF(C380=0,IF(D380=0,0,1),ABS(E380)/ABS(C380)))</x:f>
      </x:c>
      <x:c r="G380" s="73" t="str">
        <x:f>IF(A380="","",IF(AND(C380=0,D380&lt;&gt;0),"신규",IF(AND(C380&lt;&gt;0,D380=0),"소멸",IF(E380=0,"변동없음","금액변동"))))</x:f>
      </x:c>
      <x:c r="H380" s="73" t="str">
        <x:f>IF(A380="","",IF(AND(ABS(E380)&gt;='기준설정'!$B$6,OR(G380="신규",G380="소멸",F380&gt;='기준설정'!$B$5)),"원인분석 대상","일반"))</x:f>
      </x:c>
      <x:c r="I380" s="73" t="str">
        <x:f>IF(A380="","",IF(H380="원인분석 대상","세부원인분석 시트에서 거래별 원인을 검토","-"))</x:f>
      </x:c>
      <x:c r="J380" s="73" t="str">
        <x:f>IF(A380="","",COUNTIFS('전기원장'!$A$5:$A$1004,A380,'전기원장'!$J$5:$J$1004,"확인 필요")+COUNTIFS('당기원장'!$A$5:$A$1004,A380,'당기원장'!$J$5:$J$1004,"확인 필요"))</x:f>
      </x:c>
      <x:c r="K380" s="85" t="str">
        <x:f>IF(A380="","",IF(H380&lt;&gt;"원인분석 대상","",IF(J380&gt;0,"붙임 문서 확인 후 원인 확정 필요","결의서명 기반 원인분류 검토")))</x:f>
      </x:c>
    </x:row>
    <x:row r="381">
      <x:c r="A381" s="73" t="str">
        <x:f>IFERROR(INDEX('계산도우미'!$B$5:$B$2004,MATCH(ROWS($A$5:A381),'계산도우미'!$K$5:$K$2004,0)),"")</x:f>
      </x:c>
      <x:c r="B381" s="73" t="str">
        <x:f>IF(A381="","",IFERROR(INDEX('당기원장'!$B$5:$B$1004,MATCH(A381,'당기원장'!$A$5:$A$1004,0)),IFERROR(INDEX('전기원장'!$B$5:$B$1004,MATCH(A381,'전기원장'!$A$5:$A$1004,0)),"")))</x:f>
      </x:c>
      <x:c r="C381" s="75" t="str">
        <x:f>IF(A381="","",SUMIF('전기원장'!$A$5:$A$1004,A381,'전기원장'!$H$5:$H$1004))</x:f>
      </x:c>
      <x:c r="D381" s="75" t="str">
        <x:f>IF(A381="","",SUMIF('당기원장'!$A$5:$A$1004,A381,'당기원장'!$H$5:$H$1004))</x:f>
      </x:c>
      <x:c r="E381" s="75" t="str">
        <x:f>IF(A381="","",D381-C381)</x:f>
      </x:c>
      <x:c r="F381" s="88" t="str">
        <x:f>IF(A381="","",IF(C381=0,IF(D381=0,0,1),ABS(E381)/ABS(C381)))</x:f>
      </x:c>
      <x:c r="G381" s="73" t="str">
        <x:f>IF(A381="","",IF(AND(C381=0,D381&lt;&gt;0),"신규",IF(AND(C381&lt;&gt;0,D381=0),"소멸",IF(E381=0,"변동없음","금액변동"))))</x:f>
      </x:c>
      <x:c r="H381" s="73" t="str">
        <x:f>IF(A381="","",IF(AND(ABS(E381)&gt;='기준설정'!$B$6,OR(G381="신규",G381="소멸",F381&gt;='기준설정'!$B$5)),"원인분석 대상","일반"))</x:f>
      </x:c>
      <x:c r="I381" s="73" t="str">
        <x:f>IF(A381="","",IF(H381="원인분석 대상","세부원인분석 시트에서 거래별 원인을 검토","-"))</x:f>
      </x:c>
      <x:c r="J381" s="73" t="str">
        <x:f>IF(A381="","",COUNTIFS('전기원장'!$A$5:$A$1004,A381,'전기원장'!$J$5:$J$1004,"확인 필요")+COUNTIFS('당기원장'!$A$5:$A$1004,A381,'당기원장'!$J$5:$J$1004,"확인 필요"))</x:f>
      </x:c>
      <x:c r="K381" s="85" t="str">
        <x:f>IF(A381="","",IF(H381&lt;&gt;"원인분석 대상","",IF(J381&gt;0,"붙임 문서 확인 후 원인 확정 필요","결의서명 기반 원인분류 검토")))</x:f>
      </x:c>
    </x:row>
    <x:row r="382">
      <x:c r="A382" s="73" t="str">
        <x:f>IFERROR(INDEX('계산도우미'!$B$5:$B$2004,MATCH(ROWS($A$5:A382),'계산도우미'!$K$5:$K$2004,0)),"")</x:f>
      </x:c>
      <x:c r="B382" s="73" t="str">
        <x:f>IF(A382="","",IFERROR(INDEX('당기원장'!$B$5:$B$1004,MATCH(A382,'당기원장'!$A$5:$A$1004,0)),IFERROR(INDEX('전기원장'!$B$5:$B$1004,MATCH(A382,'전기원장'!$A$5:$A$1004,0)),"")))</x:f>
      </x:c>
      <x:c r="C382" s="75" t="str">
        <x:f>IF(A382="","",SUMIF('전기원장'!$A$5:$A$1004,A382,'전기원장'!$H$5:$H$1004))</x:f>
      </x:c>
      <x:c r="D382" s="75" t="str">
        <x:f>IF(A382="","",SUMIF('당기원장'!$A$5:$A$1004,A382,'당기원장'!$H$5:$H$1004))</x:f>
      </x:c>
      <x:c r="E382" s="75" t="str">
        <x:f>IF(A382="","",D382-C382)</x:f>
      </x:c>
      <x:c r="F382" s="88" t="str">
        <x:f>IF(A382="","",IF(C382=0,IF(D382=0,0,1),ABS(E382)/ABS(C382)))</x:f>
      </x:c>
      <x:c r="G382" s="73" t="str">
        <x:f>IF(A382="","",IF(AND(C382=0,D382&lt;&gt;0),"신규",IF(AND(C382&lt;&gt;0,D382=0),"소멸",IF(E382=0,"변동없음","금액변동"))))</x:f>
      </x:c>
      <x:c r="H382" s="73" t="str">
        <x:f>IF(A382="","",IF(AND(ABS(E382)&gt;='기준설정'!$B$6,OR(G382="신규",G382="소멸",F382&gt;='기준설정'!$B$5)),"원인분석 대상","일반"))</x:f>
      </x:c>
      <x:c r="I382" s="73" t="str">
        <x:f>IF(A382="","",IF(H382="원인분석 대상","세부원인분석 시트에서 거래별 원인을 검토","-"))</x:f>
      </x:c>
      <x:c r="J382" s="73" t="str">
        <x:f>IF(A382="","",COUNTIFS('전기원장'!$A$5:$A$1004,A382,'전기원장'!$J$5:$J$1004,"확인 필요")+COUNTIFS('당기원장'!$A$5:$A$1004,A382,'당기원장'!$J$5:$J$1004,"확인 필요"))</x:f>
      </x:c>
      <x:c r="K382" s="85" t="str">
        <x:f>IF(A382="","",IF(H382&lt;&gt;"원인분석 대상","",IF(J382&gt;0,"붙임 문서 확인 후 원인 확정 필요","결의서명 기반 원인분류 검토")))</x:f>
      </x:c>
    </x:row>
    <x:row r="383">
      <x:c r="A383" s="73" t="str">
        <x:f>IFERROR(INDEX('계산도우미'!$B$5:$B$2004,MATCH(ROWS($A$5:A383),'계산도우미'!$K$5:$K$2004,0)),"")</x:f>
      </x:c>
      <x:c r="B383" s="73" t="str">
        <x:f>IF(A383="","",IFERROR(INDEX('당기원장'!$B$5:$B$1004,MATCH(A383,'당기원장'!$A$5:$A$1004,0)),IFERROR(INDEX('전기원장'!$B$5:$B$1004,MATCH(A383,'전기원장'!$A$5:$A$1004,0)),"")))</x:f>
      </x:c>
      <x:c r="C383" s="75" t="str">
        <x:f>IF(A383="","",SUMIF('전기원장'!$A$5:$A$1004,A383,'전기원장'!$H$5:$H$1004))</x:f>
      </x:c>
      <x:c r="D383" s="75" t="str">
        <x:f>IF(A383="","",SUMIF('당기원장'!$A$5:$A$1004,A383,'당기원장'!$H$5:$H$1004))</x:f>
      </x:c>
      <x:c r="E383" s="75" t="str">
        <x:f>IF(A383="","",D383-C383)</x:f>
      </x:c>
      <x:c r="F383" s="88" t="str">
        <x:f>IF(A383="","",IF(C383=0,IF(D383=0,0,1),ABS(E383)/ABS(C383)))</x:f>
      </x:c>
      <x:c r="G383" s="73" t="str">
        <x:f>IF(A383="","",IF(AND(C383=0,D383&lt;&gt;0),"신규",IF(AND(C383&lt;&gt;0,D383=0),"소멸",IF(E383=0,"변동없음","금액변동"))))</x:f>
      </x:c>
      <x:c r="H383" s="73" t="str">
        <x:f>IF(A383="","",IF(AND(ABS(E383)&gt;='기준설정'!$B$6,OR(G383="신규",G383="소멸",F383&gt;='기준설정'!$B$5)),"원인분석 대상","일반"))</x:f>
      </x:c>
      <x:c r="I383" s="73" t="str">
        <x:f>IF(A383="","",IF(H383="원인분석 대상","세부원인분석 시트에서 거래별 원인을 검토","-"))</x:f>
      </x:c>
      <x:c r="J383" s="73" t="str">
        <x:f>IF(A383="","",COUNTIFS('전기원장'!$A$5:$A$1004,A383,'전기원장'!$J$5:$J$1004,"확인 필요")+COUNTIFS('당기원장'!$A$5:$A$1004,A383,'당기원장'!$J$5:$J$1004,"확인 필요"))</x:f>
      </x:c>
      <x:c r="K383" s="85" t="str">
        <x:f>IF(A383="","",IF(H383&lt;&gt;"원인분석 대상","",IF(J383&gt;0,"붙임 문서 확인 후 원인 확정 필요","결의서명 기반 원인분류 검토")))</x:f>
      </x:c>
    </x:row>
    <x:row r="384">
      <x:c r="A384" s="73" t="str">
        <x:f>IFERROR(INDEX('계산도우미'!$B$5:$B$2004,MATCH(ROWS($A$5:A384),'계산도우미'!$K$5:$K$2004,0)),"")</x:f>
      </x:c>
      <x:c r="B384" s="73" t="str">
        <x:f>IF(A384="","",IFERROR(INDEX('당기원장'!$B$5:$B$1004,MATCH(A384,'당기원장'!$A$5:$A$1004,0)),IFERROR(INDEX('전기원장'!$B$5:$B$1004,MATCH(A384,'전기원장'!$A$5:$A$1004,0)),"")))</x:f>
      </x:c>
      <x:c r="C384" s="75" t="str">
        <x:f>IF(A384="","",SUMIF('전기원장'!$A$5:$A$1004,A384,'전기원장'!$H$5:$H$1004))</x:f>
      </x:c>
      <x:c r="D384" s="75" t="str">
        <x:f>IF(A384="","",SUMIF('당기원장'!$A$5:$A$1004,A384,'당기원장'!$H$5:$H$1004))</x:f>
      </x:c>
      <x:c r="E384" s="75" t="str">
        <x:f>IF(A384="","",D384-C384)</x:f>
      </x:c>
      <x:c r="F384" s="88" t="str">
        <x:f>IF(A384="","",IF(C384=0,IF(D384=0,0,1),ABS(E384)/ABS(C384)))</x:f>
      </x:c>
      <x:c r="G384" s="73" t="str">
        <x:f>IF(A384="","",IF(AND(C384=0,D384&lt;&gt;0),"신규",IF(AND(C384&lt;&gt;0,D384=0),"소멸",IF(E384=0,"변동없음","금액변동"))))</x:f>
      </x:c>
      <x:c r="H384" s="73" t="str">
        <x:f>IF(A384="","",IF(AND(ABS(E384)&gt;='기준설정'!$B$6,OR(G384="신규",G384="소멸",F384&gt;='기준설정'!$B$5)),"원인분석 대상","일반"))</x:f>
      </x:c>
      <x:c r="I384" s="73" t="str">
        <x:f>IF(A384="","",IF(H384="원인분석 대상","세부원인분석 시트에서 거래별 원인을 검토","-"))</x:f>
      </x:c>
      <x:c r="J384" s="73" t="str">
        <x:f>IF(A384="","",COUNTIFS('전기원장'!$A$5:$A$1004,A384,'전기원장'!$J$5:$J$1004,"확인 필요")+COUNTIFS('당기원장'!$A$5:$A$1004,A384,'당기원장'!$J$5:$J$1004,"확인 필요"))</x:f>
      </x:c>
      <x:c r="K384" s="85" t="str">
        <x:f>IF(A384="","",IF(H384&lt;&gt;"원인분석 대상","",IF(J384&gt;0,"붙임 문서 확인 후 원인 확정 필요","결의서명 기반 원인분류 검토")))</x:f>
      </x:c>
    </x:row>
    <x:row r="385">
      <x:c r="A385" s="73" t="str">
        <x:f>IFERROR(INDEX('계산도우미'!$B$5:$B$2004,MATCH(ROWS($A$5:A385),'계산도우미'!$K$5:$K$2004,0)),"")</x:f>
      </x:c>
      <x:c r="B385" s="73" t="str">
        <x:f>IF(A385="","",IFERROR(INDEX('당기원장'!$B$5:$B$1004,MATCH(A385,'당기원장'!$A$5:$A$1004,0)),IFERROR(INDEX('전기원장'!$B$5:$B$1004,MATCH(A385,'전기원장'!$A$5:$A$1004,0)),"")))</x:f>
      </x:c>
      <x:c r="C385" s="75" t="str">
        <x:f>IF(A385="","",SUMIF('전기원장'!$A$5:$A$1004,A385,'전기원장'!$H$5:$H$1004))</x:f>
      </x:c>
      <x:c r="D385" s="75" t="str">
        <x:f>IF(A385="","",SUMIF('당기원장'!$A$5:$A$1004,A385,'당기원장'!$H$5:$H$1004))</x:f>
      </x:c>
      <x:c r="E385" s="75" t="str">
        <x:f>IF(A385="","",D385-C385)</x:f>
      </x:c>
      <x:c r="F385" s="88" t="str">
        <x:f>IF(A385="","",IF(C385=0,IF(D385=0,0,1),ABS(E385)/ABS(C385)))</x:f>
      </x:c>
      <x:c r="G385" s="73" t="str">
        <x:f>IF(A385="","",IF(AND(C385=0,D385&lt;&gt;0),"신규",IF(AND(C385&lt;&gt;0,D385=0),"소멸",IF(E385=0,"변동없음","금액변동"))))</x:f>
      </x:c>
      <x:c r="H385" s="73" t="str">
        <x:f>IF(A385="","",IF(AND(ABS(E385)&gt;='기준설정'!$B$6,OR(G385="신규",G385="소멸",F385&gt;='기준설정'!$B$5)),"원인분석 대상","일반"))</x:f>
      </x:c>
      <x:c r="I385" s="73" t="str">
        <x:f>IF(A385="","",IF(H385="원인분석 대상","세부원인분석 시트에서 거래별 원인을 검토","-"))</x:f>
      </x:c>
      <x:c r="J385" s="73" t="str">
        <x:f>IF(A385="","",COUNTIFS('전기원장'!$A$5:$A$1004,A385,'전기원장'!$J$5:$J$1004,"확인 필요")+COUNTIFS('당기원장'!$A$5:$A$1004,A385,'당기원장'!$J$5:$J$1004,"확인 필요"))</x:f>
      </x:c>
      <x:c r="K385" s="85" t="str">
        <x:f>IF(A385="","",IF(H385&lt;&gt;"원인분석 대상","",IF(J385&gt;0,"붙임 문서 확인 후 원인 확정 필요","결의서명 기반 원인분류 검토")))</x:f>
      </x:c>
    </x:row>
    <x:row r="386">
      <x:c r="A386" s="73" t="str">
        <x:f>IFERROR(INDEX('계산도우미'!$B$5:$B$2004,MATCH(ROWS($A$5:A386),'계산도우미'!$K$5:$K$2004,0)),"")</x:f>
      </x:c>
      <x:c r="B386" s="73" t="str">
        <x:f>IF(A386="","",IFERROR(INDEX('당기원장'!$B$5:$B$1004,MATCH(A386,'당기원장'!$A$5:$A$1004,0)),IFERROR(INDEX('전기원장'!$B$5:$B$1004,MATCH(A386,'전기원장'!$A$5:$A$1004,0)),"")))</x:f>
      </x:c>
      <x:c r="C386" s="75" t="str">
        <x:f>IF(A386="","",SUMIF('전기원장'!$A$5:$A$1004,A386,'전기원장'!$H$5:$H$1004))</x:f>
      </x:c>
      <x:c r="D386" s="75" t="str">
        <x:f>IF(A386="","",SUMIF('당기원장'!$A$5:$A$1004,A386,'당기원장'!$H$5:$H$1004))</x:f>
      </x:c>
      <x:c r="E386" s="75" t="str">
        <x:f>IF(A386="","",D386-C386)</x:f>
      </x:c>
      <x:c r="F386" s="88" t="str">
        <x:f>IF(A386="","",IF(C386=0,IF(D386=0,0,1),ABS(E386)/ABS(C386)))</x:f>
      </x:c>
      <x:c r="G386" s="73" t="str">
        <x:f>IF(A386="","",IF(AND(C386=0,D386&lt;&gt;0),"신규",IF(AND(C386&lt;&gt;0,D386=0),"소멸",IF(E386=0,"변동없음","금액변동"))))</x:f>
      </x:c>
      <x:c r="H386" s="73" t="str">
        <x:f>IF(A386="","",IF(AND(ABS(E386)&gt;='기준설정'!$B$6,OR(G386="신규",G386="소멸",F386&gt;='기준설정'!$B$5)),"원인분석 대상","일반"))</x:f>
      </x:c>
      <x:c r="I386" s="73" t="str">
        <x:f>IF(A386="","",IF(H386="원인분석 대상","세부원인분석 시트에서 거래별 원인을 검토","-"))</x:f>
      </x:c>
      <x:c r="J386" s="73" t="str">
        <x:f>IF(A386="","",COUNTIFS('전기원장'!$A$5:$A$1004,A386,'전기원장'!$J$5:$J$1004,"확인 필요")+COUNTIFS('당기원장'!$A$5:$A$1004,A386,'당기원장'!$J$5:$J$1004,"확인 필요"))</x:f>
      </x:c>
      <x:c r="K386" s="85" t="str">
        <x:f>IF(A386="","",IF(H386&lt;&gt;"원인분석 대상","",IF(J386&gt;0,"붙임 문서 확인 후 원인 확정 필요","결의서명 기반 원인분류 검토")))</x:f>
      </x:c>
    </x:row>
    <x:row r="387">
      <x:c r="A387" s="73" t="str">
        <x:f>IFERROR(INDEX('계산도우미'!$B$5:$B$2004,MATCH(ROWS($A$5:A387),'계산도우미'!$K$5:$K$2004,0)),"")</x:f>
      </x:c>
      <x:c r="B387" s="73" t="str">
        <x:f>IF(A387="","",IFERROR(INDEX('당기원장'!$B$5:$B$1004,MATCH(A387,'당기원장'!$A$5:$A$1004,0)),IFERROR(INDEX('전기원장'!$B$5:$B$1004,MATCH(A387,'전기원장'!$A$5:$A$1004,0)),"")))</x:f>
      </x:c>
      <x:c r="C387" s="75" t="str">
        <x:f>IF(A387="","",SUMIF('전기원장'!$A$5:$A$1004,A387,'전기원장'!$H$5:$H$1004))</x:f>
      </x:c>
      <x:c r="D387" s="75" t="str">
        <x:f>IF(A387="","",SUMIF('당기원장'!$A$5:$A$1004,A387,'당기원장'!$H$5:$H$1004))</x:f>
      </x:c>
      <x:c r="E387" s="75" t="str">
        <x:f>IF(A387="","",D387-C387)</x:f>
      </x:c>
      <x:c r="F387" s="88" t="str">
        <x:f>IF(A387="","",IF(C387=0,IF(D387=0,0,1),ABS(E387)/ABS(C387)))</x:f>
      </x:c>
      <x:c r="G387" s="73" t="str">
        <x:f>IF(A387="","",IF(AND(C387=0,D387&lt;&gt;0),"신규",IF(AND(C387&lt;&gt;0,D387=0),"소멸",IF(E387=0,"변동없음","금액변동"))))</x:f>
      </x:c>
      <x:c r="H387" s="73" t="str">
        <x:f>IF(A387="","",IF(AND(ABS(E387)&gt;='기준설정'!$B$6,OR(G387="신규",G387="소멸",F387&gt;='기준설정'!$B$5)),"원인분석 대상","일반"))</x:f>
      </x:c>
      <x:c r="I387" s="73" t="str">
        <x:f>IF(A387="","",IF(H387="원인분석 대상","세부원인분석 시트에서 거래별 원인을 검토","-"))</x:f>
      </x:c>
      <x:c r="J387" s="73" t="str">
        <x:f>IF(A387="","",COUNTIFS('전기원장'!$A$5:$A$1004,A387,'전기원장'!$J$5:$J$1004,"확인 필요")+COUNTIFS('당기원장'!$A$5:$A$1004,A387,'당기원장'!$J$5:$J$1004,"확인 필요"))</x:f>
      </x:c>
      <x:c r="K387" s="85" t="str">
        <x:f>IF(A387="","",IF(H387&lt;&gt;"원인분석 대상","",IF(J387&gt;0,"붙임 문서 확인 후 원인 확정 필요","결의서명 기반 원인분류 검토")))</x:f>
      </x:c>
    </x:row>
    <x:row r="388">
      <x:c r="A388" s="73" t="str">
        <x:f>IFERROR(INDEX('계산도우미'!$B$5:$B$2004,MATCH(ROWS($A$5:A388),'계산도우미'!$K$5:$K$2004,0)),"")</x:f>
      </x:c>
      <x:c r="B388" s="73" t="str">
        <x:f>IF(A388="","",IFERROR(INDEX('당기원장'!$B$5:$B$1004,MATCH(A388,'당기원장'!$A$5:$A$1004,0)),IFERROR(INDEX('전기원장'!$B$5:$B$1004,MATCH(A388,'전기원장'!$A$5:$A$1004,0)),"")))</x:f>
      </x:c>
      <x:c r="C388" s="75" t="str">
        <x:f>IF(A388="","",SUMIF('전기원장'!$A$5:$A$1004,A388,'전기원장'!$H$5:$H$1004))</x:f>
      </x:c>
      <x:c r="D388" s="75" t="str">
        <x:f>IF(A388="","",SUMIF('당기원장'!$A$5:$A$1004,A388,'당기원장'!$H$5:$H$1004))</x:f>
      </x:c>
      <x:c r="E388" s="75" t="str">
        <x:f>IF(A388="","",D388-C388)</x:f>
      </x:c>
      <x:c r="F388" s="88" t="str">
        <x:f>IF(A388="","",IF(C388=0,IF(D388=0,0,1),ABS(E388)/ABS(C388)))</x:f>
      </x:c>
      <x:c r="G388" s="73" t="str">
        <x:f>IF(A388="","",IF(AND(C388=0,D388&lt;&gt;0),"신규",IF(AND(C388&lt;&gt;0,D388=0),"소멸",IF(E388=0,"변동없음","금액변동"))))</x:f>
      </x:c>
      <x:c r="H388" s="73" t="str">
        <x:f>IF(A388="","",IF(AND(ABS(E388)&gt;='기준설정'!$B$6,OR(G388="신규",G388="소멸",F388&gt;='기준설정'!$B$5)),"원인분석 대상","일반"))</x:f>
      </x:c>
      <x:c r="I388" s="73" t="str">
        <x:f>IF(A388="","",IF(H388="원인분석 대상","세부원인분석 시트에서 거래별 원인을 검토","-"))</x:f>
      </x:c>
      <x:c r="J388" s="73" t="str">
        <x:f>IF(A388="","",COUNTIFS('전기원장'!$A$5:$A$1004,A388,'전기원장'!$J$5:$J$1004,"확인 필요")+COUNTIFS('당기원장'!$A$5:$A$1004,A388,'당기원장'!$J$5:$J$1004,"확인 필요"))</x:f>
      </x:c>
      <x:c r="K388" s="85" t="str">
        <x:f>IF(A388="","",IF(H388&lt;&gt;"원인분석 대상","",IF(J388&gt;0,"붙임 문서 확인 후 원인 확정 필요","결의서명 기반 원인분류 검토")))</x:f>
      </x:c>
    </x:row>
    <x:row r="389">
      <x:c r="A389" s="73" t="str">
        <x:f>IFERROR(INDEX('계산도우미'!$B$5:$B$2004,MATCH(ROWS($A$5:A389),'계산도우미'!$K$5:$K$2004,0)),"")</x:f>
      </x:c>
      <x:c r="B389" s="73" t="str">
        <x:f>IF(A389="","",IFERROR(INDEX('당기원장'!$B$5:$B$1004,MATCH(A389,'당기원장'!$A$5:$A$1004,0)),IFERROR(INDEX('전기원장'!$B$5:$B$1004,MATCH(A389,'전기원장'!$A$5:$A$1004,0)),"")))</x:f>
      </x:c>
      <x:c r="C389" s="75" t="str">
        <x:f>IF(A389="","",SUMIF('전기원장'!$A$5:$A$1004,A389,'전기원장'!$H$5:$H$1004))</x:f>
      </x:c>
      <x:c r="D389" s="75" t="str">
        <x:f>IF(A389="","",SUMIF('당기원장'!$A$5:$A$1004,A389,'당기원장'!$H$5:$H$1004))</x:f>
      </x:c>
      <x:c r="E389" s="75" t="str">
        <x:f>IF(A389="","",D389-C389)</x:f>
      </x:c>
      <x:c r="F389" s="88" t="str">
        <x:f>IF(A389="","",IF(C389=0,IF(D389=0,0,1),ABS(E389)/ABS(C389)))</x:f>
      </x:c>
      <x:c r="G389" s="73" t="str">
        <x:f>IF(A389="","",IF(AND(C389=0,D389&lt;&gt;0),"신규",IF(AND(C389&lt;&gt;0,D389=0),"소멸",IF(E389=0,"변동없음","금액변동"))))</x:f>
      </x:c>
      <x:c r="H389" s="73" t="str">
        <x:f>IF(A389="","",IF(AND(ABS(E389)&gt;='기준설정'!$B$6,OR(G389="신규",G389="소멸",F389&gt;='기준설정'!$B$5)),"원인분석 대상","일반"))</x:f>
      </x:c>
      <x:c r="I389" s="73" t="str">
        <x:f>IF(A389="","",IF(H389="원인분석 대상","세부원인분석 시트에서 거래별 원인을 검토","-"))</x:f>
      </x:c>
      <x:c r="J389" s="73" t="str">
        <x:f>IF(A389="","",COUNTIFS('전기원장'!$A$5:$A$1004,A389,'전기원장'!$J$5:$J$1004,"확인 필요")+COUNTIFS('당기원장'!$A$5:$A$1004,A389,'당기원장'!$J$5:$J$1004,"확인 필요"))</x:f>
      </x:c>
      <x:c r="K389" s="85" t="str">
        <x:f>IF(A389="","",IF(H389&lt;&gt;"원인분석 대상","",IF(J389&gt;0,"붙임 문서 확인 후 원인 확정 필요","결의서명 기반 원인분류 검토")))</x:f>
      </x:c>
    </x:row>
    <x:row r="390">
      <x:c r="A390" s="73" t="str">
        <x:f>IFERROR(INDEX('계산도우미'!$B$5:$B$2004,MATCH(ROWS($A$5:A390),'계산도우미'!$K$5:$K$2004,0)),"")</x:f>
      </x:c>
      <x:c r="B390" s="73" t="str">
        <x:f>IF(A390="","",IFERROR(INDEX('당기원장'!$B$5:$B$1004,MATCH(A390,'당기원장'!$A$5:$A$1004,0)),IFERROR(INDEX('전기원장'!$B$5:$B$1004,MATCH(A390,'전기원장'!$A$5:$A$1004,0)),"")))</x:f>
      </x:c>
      <x:c r="C390" s="75" t="str">
        <x:f>IF(A390="","",SUMIF('전기원장'!$A$5:$A$1004,A390,'전기원장'!$H$5:$H$1004))</x:f>
      </x:c>
      <x:c r="D390" s="75" t="str">
        <x:f>IF(A390="","",SUMIF('당기원장'!$A$5:$A$1004,A390,'당기원장'!$H$5:$H$1004))</x:f>
      </x:c>
      <x:c r="E390" s="75" t="str">
        <x:f>IF(A390="","",D390-C390)</x:f>
      </x:c>
      <x:c r="F390" s="88" t="str">
        <x:f>IF(A390="","",IF(C390=0,IF(D390=0,0,1),ABS(E390)/ABS(C390)))</x:f>
      </x:c>
      <x:c r="G390" s="73" t="str">
        <x:f>IF(A390="","",IF(AND(C390=0,D390&lt;&gt;0),"신규",IF(AND(C390&lt;&gt;0,D390=0),"소멸",IF(E390=0,"변동없음","금액변동"))))</x:f>
      </x:c>
      <x:c r="H390" s="73" t="str">
        <x:f>IF(A390="","",IF(AND(ABS(E390)&gt;='기준설정'!$B$6,OR(G390="신규",G390="소멸",F390&gt;='기준설정'!$B$5)),"원인분석 대상","일반"))</x:f>
      </x:c>
      <x:c r="I390" s="73" t="str">
        <x:f>IF(A390="","",IF(H390="원인분석 대상","세부원인분석 시트에서 거래별 원인을 검토","-"))</x:f>
      </x:c>
      <x:c r="J390" s="73" t="str">
        <x:f>IF(A390="","",COUNTIFS('전기원장'!$A$5:$A$1004,A390,'전기원장'!$J$5:$J$1004,"확인 필요")+COUNTIFS('당기원장'!$A$5:$A$1004,A390,'당기원장'!$J$5:$J$1004,"확인 필요"))</x:f>
      </x:c>
      <x:c r="K390" s="85" t="str">
        <x:f>IF(A390="","",IF(H390&lt;&gt;"원인분석 대상","",IF(J390&gt;0,"붙임 문서 확인 후 원인 확정 필요","결의서명 기반 원인분류 검토")))</x:f>
      </x:c>
    </x:row>
    <x:row r="391">
      <x:c r="A391" s="73" t="str">
        <x:f>IFERROR(INDEX('계산도우미'!$B$5:$B$2004,MATCH(ROWS($A$5:A391),'계산도우미'!$K$5:$K$2004,0)),"")</x:f>
      </x:c>
      <x:c r="B391" s="73" t="str">
        <x:f>IF(A391="","",IFERROR(INDEX('당기원장'!$B$5:$B$1004,MATCH(A391,'당기원장'!$A$5:$A$1004,0)),IFERROR(INDEX('전기원장'!$B$5:$B$1004,MATCH(A391,'전기원장'!$A$5:$A$1004,0)),"")))</x:f>
      </x:c>
      <x:c r="C391" s="75" t="str">
        <x:f>IF(A391="","",SUMIF('전기원장'!$A$5:$A$1004,A391,'전기원장'!$H$5:$H$1004))</x:f>
      </x:c>
      <x:c r="D391" s="75" t="str">
        <x:f>IF(A391="","",SUMIF('당기원장'!$A$5:$A$1004,A391,'당기원장'!$H$5:$H$1004))</x:f>
      </x:c>
      <x:c r="E391" s="75" t="str">
        <x:f>IF(A391="","",D391-C391)</x:f>
      </x:c>
      <x:c r="F391" s="88" t="str">
        <x:f>IF(A391="","",IF(C391=0,IF(D391=0,0,1),ABS(E391)/ABS(C391)))</x:f>
      </x:c>
      <x:c r="G391" s="73" t="str">
        <x:f>IF(A391="","",IF(AND(C391=0,D391&lt;&gt;0),"신규",IF(AND(C391&lt;&gt;0,D391=0),"소멸",IF(E391=0,"변동없음","금액변동"))))</x:f>
      </x:c>
      <x:c r="H391" s="73" t="str">
        <x:f>IF(A391="","",IF(AND(ABS(E391)&gt;='기준설정'!$B$6,OR(G391="신규",G391="소멸",F391&gt;='기준설정'!$B$5)),"원인분석 대상","일반"))</x:f>
      </x:c>
      <x:c r="I391" s="73" t="str">
        <x:f>IF(A391="","",IF(H391="원인분석 대상","세부원인분석 시트에서 거래별 원인을 검토","-"))</x:f>
      </x:c>
      <x:c r="J391" s="73" t="str">
        <x:f>IF(A391="","",COUNTIFS('전기원장'!$A$5:$A$1004,A391,'전기원장'!$J$5:$J$1004,"확인 필요")+COUNTIFS('당기원장'!$A$5:$A$1004,A391,'당기원장'!$J$5:$J$1004,"확인 필요"))</x:f>
      </x:c>
      <x:c r="K391" s="85" t="str">
        <x:f>IF(A391="","",IF(H391&lt;&gt;"원인분석 대상","",IF(J391&gt;0,"붙임 문서 확인 후 원인 확정 필요","결의서명 기반 원인분류 검토")))</x:f>
      </x:c>
    </x:row>
    <x:row r="392">
      <x:c r="A392" s="73" t="str">
        <x:f>IFERROR(INDEX('계산도우미'!$B$5:$B$2004,MATCH(ROWS($A$5:A392),'계산도우미'!$K$5:$K$2004,0)),"")</x:f>
      </x:c>
      <x:c r="B392" s="73" t="str">
        <x:f>IF(A392="","",IFERROR(INDEX('당기원장'!$B$5:$B$1004,MATCH(A392,'당기원장'!$A$5:$A$1004,0)),IFERROR(INDEX('전기원장'!$B$5:$B$1004,MATCH(A392,'전기원장'!$A$5:$A$1004,0)),"")))</x:f>
      </x:c>
      <x:c r="C392" s="75" t="str">
        <x:f>IF(A392="","",SUMIF('전기원장'!$A$5:$A$1004,A392,'전기원장'!$H$5:$H$1004))</x:f>
      </x:c>
      <x:c r="D392" s="75" t="str">
        <x:f>IF(A392="","",SUMIF('당기원장'!$A$5:$A$1004,A392,'당기원장'!$H$5:$H$1004))</x:f>
      </x:c>
      <x:c r="E392" s="75" t="str">
        <x:f>IF(A392="","",D392-C392)</x:f>
      </x:c>
      <x:c r="F392" s="88" t="str">
        <x:f>IF(A392="","",IF(C392=0,IF(D392=0,0,1),ABS(E392)/ABS(C392)))</x:f>
      </x:c>
      <x:c r="G392" s="73" t="str">
        <x:f>IF(A392="","",IF(AND(C392=0,D392&lt;&gt;0),"신규",IF(AND(C392&lt;&gt;0,D392=0),"소멸",IF(E392=0,"변동없음","금액변동"))))</x:f>
      </x:c>
      <x:c r="H392" s="73" t="str">
        <x:f>IF(A392="","",IF(AND(ABS(E392)&gt;='기준설정'!$B$6,OR(G392="신규",G392="소멸",F392&gt;='기준설정'!$B$5)),"원인분석 대상","일반"))</x:f>
      </x:c>
      <x:c r="I392" s="73" t="str">
        <x:f>IF(A392="","",IF(H392="원인분석 대상","세부원인분석 시트에서 거래별 원인을 검토","-"))</x:f>
      </x:c>
      <x:c r="J392" s="73" t="str">
        <x:f>IF(A392="","",COUNTIFS('전기원장'!$A$5:$A$1004,A392,'전기원장'!$J$5:$J$1004,"확인 필요")+COUNTIFS('당기원장'!$A$5:$A$1004,A392,'당기원장'!$J$5:$J$1004,"확인 필요"))</x:f>
      </x:c>
      <x:c r="K392" s="85" t="str">
        <x:f>IF(A392="","",IF(H392&lt;&gt;"원인분석 대상","",IF(J392&gt;0,"붙임 문서 확인 후 원인 확정 필요","결의서명 기반 원인분류 검토")))</x:f>
      </x:c>
    </x:row>
    <x:row r="393">
      <x:c r="A393" s="73" t="str">
        <x:f>IFERROR(INDEX('계산도우미'!$B$5:$B$2004,MATCH(ROWS($A$5:A393),'계산도우미'!$K$5:$K$2004,0)),"")</x:f>
      </x:c>
      <x:c r="B393" s="73" t="str">
        <x:f>IF(A393="","",IFERROR(INDEX('당기원장'!$B$5:$B$1004,MATCH(A393,'당기원장'!$A$5:$A$1004,0)),IFERROR(INDEX('전기원장'!$B$5:$B$1004,MATCH(A393,'전기원장'!$A$5:$A$1004,0)),"")))</x:f>
      </x:c>
      <x:c r="C393" s="75" t="str">
        <x:f>IF(A393="","",SUMIF('전기원장'!$A$5:$A$1004,A393,'전기원장'!$H$5:$H$1004))</x:f>
      </x:c>
      <x:c r="D393" s="75" t="str">
        <x:f>IF(A393="","",SUMIF('당기원장'!$A$5:$A$1004,A393,'당기원장'!$H$5:$H$1004))</x:f>
      </x:c>
      <x:c r="E393" s="75" t="str">
        <x:f>IF(A393="","",D393-C393)</x:f>
      </x:c>
      <x:c r="F393" s="88" t="str">
        <x:f>IF(A393="","",IF(C393=0,IF(D393=0,0,1),ABS(E393)/ABS(C393)))</x:f>
      </x:c>
      <x:c r="G393" s="73" t="str">
        <x:f>IF(A393="","",IF(AND(C393=0,D393&lt;&gt;0),"신규",IF(AND(C393&lt;&gt;0,D393=0),"소멸",IF(E393=0,"변동없음","금액변동"))))</x:f>
      </x:c>
      <x:c r="H393" s="73" t="str">
        <x:f>IF(A393="","",IF(AND(ABS(E393)&gt;='기준설정'!$B$6,OR(G393="신규",G393="소멸",F393&gt;='기준설정'!$B$5)),"원인분석 대상","일반"))</x:f>
      </x:c>
      <x:c r="I393" s="73" t="str">
        <x:f>IF(A393="","",IF(H393="원인분석 대상","세부원인분석 시트에서 거래별 원인을 검토","-"))</x:f>
      </x:c>
      <x:c r="J393" s="73" t="str">
        <x:f>IF(A393="","",COUNTIFS('전기원장'!$A$5:$A$1004,A393,'전기원장'!$J$5:$J$1004,"확인 필요")+COUNTIFS('당기원장'!$A$5:$A$1004,A393,'당기원장'!$J$5:$J$1004,"확인 필요"))</x:f>
      </x:c>
      <x:c r="K393" s="85" t="str">
        <x:f>IF(A393="","",IF(H393&lt;&gt;"원인분석 대상","",IF(J393&gt;0,"붙임 문서 확인 후 원인 확정 필요","결의서명 기반 원인분류 검토")))</x:f>
      </x:c>
    </x:row>
    <x:row r="394">
      <x:c r="A394" s="73" t="str">
        <x:f>IFERROR(INDEX('계산도우미'!$B$5:$B$2004,MATCH(ROWS($A$5:A394),'계산도우미'!$K$5:$K$2004,0)),"")</x:f>
      </x:c>
      <x:c r="B394" s="73" t="str">
        <x:f>IF(A394="","",IFERROR(INDEX('당기원장'!$B$5:$B$1004,MATCH(A394,'당기원장'!$A$5:$A$1004,0)),IFERROR(INDEX('전기원장'!$B$5:$B$1004,MATCH(A394,'전기원장'!$A$5:$A$1004,0)),"")))</x:f>
      </x:c>
      <x:c r="C394" s="75" t="str">
        <x:f>IF(A394="","",SUMIF('전기원장'!$A$5:$A$1004,A394,'전기원장'!$H$5:$H$1004))</x:f>
      </x:c>
      <x:c r="D394" s="75" t="str">
        <x:f>IF(A394="","",SUMIF('당기원장'!$A$5:$A$1004,A394,'당기원장'!$H$5:$H$1004))</x:f>
      </x:c>
      <x:c r="E394" s="75" t="str">
        <x:f>IF(A394="","",D394-C394)</x:f>
      </x:c>
      <x:c r="F394" s="88" t="str">
        <x:f>IF(A394="","",IF(C394=0,IF(D394=0,0,1),ABS(E394)/ABS(C394)))</x:f>
      </x:c>
      <x:c r="G394" s="73" t="str">
        <x:f>IF(A394="","",IF(AND(C394=0,D394&lt;&gt;0),"신규",IF(AND(C394&lt;&gt;0,D394=0),"소멸",IF(E394=0,"변동없음","금액변동"))))</x:f>
      </x:c>
      <x:c r="H394" s="73" t="str">
        <x:f>IF(A394="","",IF(AND(ABS(E394)&gt;='기준설정'!$B$6,OR(G394="신규",G394="소멸",F394&gt;='기준설정'!$B$5)),"원인분석 대상","일반"))</x:f>
      </x:c>
      <x:c r="I394" s="73" t="str">
        <x:f>IF(A394="","",IF(H394="원인분석 대상","세부원인분석 시트에서 거래별 원인을 검토","-"))</x:f>
      </x:c>
      <x:c r="J394" s="73" t="str">
        <x:f>IF(A394="","",COUNTIFS('전기원장'!$A$5:$A$1004,A394,'전기원장'!$J$5:$J$1004,"확인 필요")+COUNTIFS('당기원장'!$A$5:$A$1004,A394,'당기원장'!$J$5:$J$1004,"확인 필요"))</x:f>
      </x:c>
      <x:c r="K394" s="85" t="str">
        <x:f>IF(A394="","",IF(H394&lt;&gt;"원인분석 대상","",IF(J394&gt;0,"붙임 문서 확인 후 원인 확정 필요","결의서명 기반 원인분류 검토")))</x:f>
      </x:c>
    </x:row>
    <x:row r="395">
      <x:c r="A395" s="73" t="str">
        <x:f>IFERROR(INDEX('계산도우미'!$B$5:$B$2004,MATCH(ROWS($A$5:A395),'계산도우미'!$K$5:$K$2004,0)),"")</x:f>
      </x:c>
      <x:c r="B395" s="73" t="str">
        <x:f>IF(A395="","",IFERROR(INDEX('당기원장'!$B$5:$B$1004,MATCH(A395,'당기원장'!$A$5:$A$1004,0)),IFERROR(INDEX('전기원장'!$B$5:$B$1004,MATCH(A395,'전기원장'!$A$5:$A$1004,0)),"")))</x:f>
      </x:c>
      <x:c r="C395" s="75" t="str">
        <x:f>IF(A395="","",SUMIF('전기원장'!$A$5:$A$1004,A395,'전기원장'!$H$5:$H$1004))</x:f>
      </x:c>
      <x:c r="D395" s="75" t="str">
        <x:f>IF(A395="","",SUMIF('당기원장'!$A$5:$A$1004,A395,'당기원장'!$H$5:$H$1004))</x:f>
      </x:c>
      <x:c r="E395" s="75" t="str">
        <x:f>IF(A395="","",D395-C395)</x:f>
      </x:c>
      <x:c r="F395" s="88" t="str">
        <x:f>IF(A395="","",IF(C395=0,IF(D395=0,0,1),ABS(E395)/ABS(C395)))</x:f>
      </x:c>
      <x:c r="G395" s="73" t="str">
        <x:f>IF(A395="","",IF(AND(C395=0,D395&lt;&gt;0),"신규",IF(AND(C395&lt;&gt;0,D395=0),"소멸",IF(E395=0,"변동없음","금액변동"))))</x:f>
      </x:c>
      <x:c r="H395" s="73" t="str">
        <x:f>IF(A395="","",IF(AND(ABS(E395)&gt;='기준설정'!$B$6,OR(G395="신규",G395="소멸",F395&gt;='기준설정'!$B$5)),"원인분석 대상","일반"))</x:f>
      </x:c>
      <x:c r="I395" s="73" t="str">
        <x:f>IF(A395="","",IF(H395="원인분석 대상","세부원인분석 시트에서 거래별 원인을 검토","-"))</x:f>
      </x:c>
      <x:c r="J395" s="73" t="str">
        <x:f>IF(A395="","",COUNTIFS('전기원장'!$A$5:$A$1004,A395,'전기원장'!$J$5:$J$1004,"확인 필요")+COUNTIFS('당기원장'!$A$5:$A$1004,A395,'당기원장'!$J$5:$J$1004,"확인 필요"))</x:f>
      </x:c>
      <x:c r="K395" s="85" t="str">
        <x:f>IF(A395="","",IF(H395&lt;&gt;"원인분석 대상","",IF(J395&gt;0,"붙임 문서 확인 후 원인 확정 필요","결의서명 기반 원인분류 검토")))</x:f>
      </x:c>
    </x:row>
    <x:row r="396">
      <x:c r="A396" s="73" t="str">
        <x:f>IFERROR(INDEX('계산도우미'!$B$5:$B$2004,MATCH(ROWS($A$5:A396),'계산도우미'!$K$5:$K$2004,0)),"")</x:f>
      </x:c>
      <x:c r="B396" s="73" t="str">
        <x:f>IF(A396="","",IFERROR(INDEX('당기원장'!$B$5:$B$1004,MATCH(A396,'당기원장'!$A$5:$A$1004,0)),IFERROR(INDEX('전기원장'!$B$5:$B$1004,MATCH(A396,'전기원장'!$A$5:$A$1004,0)),"")))</x:f>
      </x:c>
      <x:c r="C396" s="75" t="str">
        <x:f>IF(A396="","",SUMIF('전기원장'!$A$5:$A$1004,A396,'전기원장'!$H$5:$H$1004))</x:f>
      </x:c>
      <x:c r="D396" s="75" t="str">
        <x:f>IF(A396="","",SUMIF('당기원장'!$A$5:$A$1004,A396,'당기원장'!$H$5:$H$1004))</x:f>
      </x:c>
      <x:c r="E396" s="75" t="str">
        <x:f>IF(A396="","",D396-C396)</x:f>
      </x:c>
      <x:c r="F396" s="88" t="str">
        <x:f>IF(A396="","",IF(C396=0,IF(D396=0,0,1),ABS(E396)/ABS(C396)))</x:f>
      </x:c>
      <x:c r="G396" s="73" t="str">
        <x:f>IF(A396="","",IF(AND(C396=0,D396&lt;&gt;0),"신규",IF(AND(C396&lt;&gt;0,D396=0),"소멸",IF(E396=0,"변동없음","금액변동"))))</x:f>
      </x:c>
      <x:c r="H396" s="73" t="str">
        <x:f>IF(A396="","",IF(AND(ABS(E396)&gt;='기준설정'!$B$6,OR(G396="신규",G396="소멸",F396&gt;='기준설정'!$B$5)),"원인분석 대상","일반"))</x:f>
      </x:c>
      <x:c r="I396" s="73" t="str">
        <x:f>IF(A396="","",IF(H396="원인분석 대상","세부원인분석 시트에서 거래별 원인을 검토","-"))</x:f>
      </x:c>
      <x:c r="J396" s="73" t="str">
        <x:f>IF(A396="","",COUNTIFS('전기원장'!$A$5:$A$1004,A396,'전기원장'!$J$5:$J$1004,"확인 필요")+COUNTIFS('당기원장'!$A$5:$A$1004,A396,'당기원장'!$J$5:$J$1004,"확인 필요"))</x:f>
      </x:c>
      <x:c r="K396" s="85" t="str">
        <x:f>IF(A396="","",IF(H396&lt;&gt;"원인분석 대상","",IF(J396&gt;0,"붙임 문서 확인 후 원인 확정 필요","결의서명 기반 원인분류 검토")))</x:f>
      </x:c>
    </x:row>
    <x:row r="397">
      <x:c r="A397" s="73" t="str">
        <x:f>IFERROR(INDEX('계산도우미'!$B$5:$B$2004,MATCH(ROWS($A$5:A397),'계산도우미'!$K$5:$K$2004,0)),"")</x:f>
      </x:c>
      <x:c r="B397" s="73" t="str">
        <x:f>IF(A397="","",IFERROR(INDEX('당기원장'!$B$5:$B$1004,MATCH(A397,'당기원장'!$A$5:$A$1004,0)),IFERROR(INDEX('전기원장'!$B$5:$B$1004,MATCH(A397,'전기원장'!$A$5:$A$1004,0)),"")))</x:f>
      </x:c>
      <x:c r="C397" s="75" t="str">
        <x:f>IF(A397="","",SUMIF('전기원장'!$A$5:$A$1004,A397,'전기원장'!$H$5:$H$1004))</x:f>
      </x:c>
      <x:c r="D397" s="75" t="str">
        <x:f>IF(A397="","",SUMIF('당기원장'!$A$5:$A$1004,A397,'당기원장'!$H$5:$H$1004))</x:f>
      </x:c>
      <x:c r="E397" s="75" t="str">
        <x:f>IF(A397="","",D397-C397)</x:f>
      </x:c>
      <x:c r="F397" s="88" t="str">
        <x:f>IF(A397="","",IF(C397=0,IF(D397=0,0,1),ABS(E397)/ABS(C397)))</x:f>
      </x:c>
      <x:c r="G397" s="73" t="str">
        <x:f>IF(A397="","",IF(AND(C397=0,D397&lt;&gt;0),"신규",IF(AND(C397&lt;&gt;0,D397=0),"소멸",IF(E397=0,"변동없음","금액변동"))))</x:f>
      </x:c>
      <x:c r="H397" s="73" t="str">
        <x:f>IF(A397="","",IF(AND(ABS(E397)&gt;='기준설정'!$B$6,OR(G397="신규",G397="소멸",F397&gt;='기준설정'!$B$5)),"원인분석 대상","일반"))</x:f>
      </x:c>
      <x:c r="I397" s="73" t="str">
        <x:f>IF(A397="","",IF(H397="원인분석 대상","세부원인분석 시트에서 거래별 원인을 검토","-"))</x:f>
      </x:c>
      <x:c r="J397" s="73" t="str">
        <x:f>IF(A397="","",COUNTIFS('전기원장'!$A$5:$A$1004,A397,'전기원장'!$J$5:$J$1004,"확인 필요")+COUNTIFS('당기원장'!$A$5:$A$1004,A397,'당기원장'!$J$5:$J$1004,"확인 필요"))</x:f>
      </x:c>
      <x:c r="K397" s="85" t="str">
        <x:f>IF(A397="","",IF(H397&lt;&gt;"원인분석 대상","",IF(J397&gt;0,"붙임 문서 확인 후 원인 확정 필요","결의서명 기반 원인분류 검토")))</x:f>
      </x:c>
    </x:row>
    <x:row r="398">
      <x:c r="A398" s="73" t="str">
        <x:f>IFERROR(INDEX('계산도우미'!$B$5:$B$2004,MATCH(ROWS($A$5:A398),'계산도우미'!$K$5:$K$2004,0)),"")</x:f>
      </x:c>
      <x:c r="B398" s="73" t="str">
        <x:f>IF(A398="","",IFERROR(INDEX('당기원장'!$B$5:$B$1004,MATCH(A398,'당기원장'!$A$5:$A$1004,0)),IFERROR(INDEX('전기원장'!$B$5:$B$1004,MATCH(A398,'전기원장'!$A$5:$A$1004,0)),"")))</x:f>
      </x:c>
      <x:c r="C398" s="75" t="str">
        <x:f>IF(A398="","",SUMIF('전기원장'!$A$5:$A$1004,A398,'전기원장'!$H$5:$H$1004))</x:f>
      </x:c>
      <x:c r="D398" s="75" t="str">
        <x:f>IF(A398="","",SUMIF('당기원장'!$A$5:$A$1004,A398,'당기원장'!$H$5:$H$1004))</x:f>
      </x:c>
      <x:c r="E398" s="75" t="str">
        <x:f>IF(A398="","",D398-C398)</x:f>
      </x:c>
      <x:c r="F398" s="88" t="str">
        <x:f>IF(A398="","",IF(C398=0,IF(D398=0,0,1),ABS(E398)/ABS(C398)))</x:f>
      </x:c>
      <x:c r="G398" s="73" t="str">
        <x:f>IF(A398="","",IF(AND(C398=0,D398&lt;&gt;0),"신규",IF(AND(C398&lt;&gt;0,D398=0),"소멸",IF(E398=0,"변동없음","금액변동"))))</x:f>
      </x:c>
      <x:c r="H398" s="73" t="str">
        <x:f>IF(A398="","",IF(AND(ABS(E398)&gt;='기준설정'!$B$6,OR(G398="신규",G398="소멸",F398&gt;='기준설정'!$B$5)),"원인분석 대상","일반"))</x:f>
      </x:c>
      <x:c r="I398" s="73" t="str">
        <x:f>IF(A398="","",IF(H398="원인분석 대상","세부원인분석 시트에서 거래별 원인을 검토","-"))</x:f>
      </x:c>
      <x:c r="J398" s="73" t="str">
        <x:f>IF(A398="","",COUNTIFS('전기원장'!$A$5:$A$1004,A398,'전기원장'!$J$5:$J$1004,"확인 필요")+COUNTIFS('당기원장'!$A$5:$A$1004,A398,'당기원장'!$J$5:$J$1004,"확인 필요"))</x:f>
      </x:c>
      <x:c r="K398" s="85" t="str">
        <x:f>IF(A398="","",IF(H398&lt;&gt;"원인분석 대상","",IF(J398&gt;0,"붙임 문서 확인 후 원인 확정 필요","결의서명 기반 원인분류 검토")))</x:f>
      </x:c>
    </x:row>
    <x:row r="399">
      <x:c r="A399" s="73" t="str">
        <x:f>IFERROR(INDEX('계산도우미'!$B$5:$B$2004,MATCH(ROWS($A$5:A399),'계산도우미'!$K$5:$K$2004,0)),"")</x:f>
      </x:c>
      <x:c r="B399" s="73" t="str">
        <x:f>IF(A399="","",IFERROR(INDEX('당기원장'!$B$5:$B$1004,MATCH(A399,'당기원장'!$A$5:$A$1004,0)),IFERROR(INDEX('전기원장'!$B$5:$B$1004,MATCH(A399,'전기원장'!$A$5:$A$1004,0)),"")))</x:f>
      </x:c>
      <x:c r="C399" s="75" t="str">
        <x:f>IF(A399="","",SUMIF('전기원장'!$A$5:$A$1004,A399,'전기원장'!$H$5:$H$1004))</x:f>
      </x:c>
      <x:c r="D399" s="75" t="str">
        <x:f>IF(A399="","",SUMIF('당기원장'!$A$5:$A$1004,A399,'당기원장'!$H$5:$H$1004))</x:f>
      </x:c>
      <x:c r="E399" s="75" t="str">
        <x:f>IF(A399="","",D399-C399)</x:f>
      </x:c>
      <x:c r="F399" s="88" t="str">
        <x:f>IF(A399="","",IF(C399=0,IF(D399=0,0,1),ABS(E399)/ABS(C399)))</x:f>
      </x:c>
      <x:c r="G399" s="73" t="str">
        <x:f>IF(A399="","",IF(AND(C399=0,D399&lt;&gt;0),"신규",IF(AND(C399&lt;&gt;0,D399=0),"소멸",IF(E399=0,"변동없음","금액변동"))))</x:f>
      </x:c>
      <x:c r="H399" s="73" t="str">
        <x:f>IF(A399="","",IF(AND(ABS(E399)&gt;='기준설정'!$B$6,OR(G399="신규",G399="소멸",F399&gt;='기준설정'!$B$5)),"원인분석 대상","일반"))</x:f>
      </x:c>
      <x:c r="I399" s="73" t="str">
        <x:f>IF(A399="","",IF(H399="원인분석 대상","세부원인분석 시트에서 거래별 원인을 검토","-"))</x:f>
      </x:c>
      <x:c r="J399" s="73" t="str">
        <x:f>IF(A399="","",COUNTIFS('전기원장'!$A$5:$A$1004,A399,'전기원장'!$J$5:$J$1004,"확인 필요")+COUNTIFS('당기원장'!$A$5:$A$1004,A399,'당기원장'!$J$5:$J$1004,"확인 필요"))</x:f>
      </x:c>
      <x:c r="K399" s="85" t="str">
        <x:f>IF(A399="","",IF(H399&lt;&gt;"원인분석 대상","",IF(J399&gt;0,"붙임 문서 확인 후 원인 확정 필요","결의서명 기반 원인분류 검토")))</x:f>
      </x:c>
    </x:row>
    <x:row r="400">
      <x:c r="A400" s="73" t="str">
        <x:f>IFERROR(INDEX('계산도우미'!$B$5:$B$2004,MATCH(ROWS($A$5:A400),'계산도우미'!$K$5:$K$2004,0)),"")</x:f>
      </x:c>
      <x:c r="B400" s="73" t="str">
        <x:f>IF(A400="","",IFERROR(INDEX('당기원장'!$B$5:$B$1004,MATCH(A400,'당기원장'!$A$5:$A$1004,0)),IFERROR(INDEX('전기원장'!$B$5:$B$1004,MATCH(A400,'전기원장'!$A$5:$A$1004,0)),"")))</x:f>
      </x:c>
      <x:c r="C400" s="75" t="str">
        <x:f>IF(A400="","",SUMIF('전기원장'!$A$5:$A$1004,A400,'전기원장'!$H$5:$H$1004))</x:f>
      </x:c>
      <x:c r="D400" s="75" t="str">
        <x:f>IF(A400="","",SUMIF('당기원장'!$A$5:$A$1004,A400,'당기원장'!$H$5:$H$1004))</x:f>
      </x:c>
      <x:c r="E400" s="75" t="str">
        <x:f>IF(A400="","",D400-C400)</x:f>
      </x:c>
      <x:c r="F400" s="88" t="str">
        <x:f>IF(A400="","",IF(C400=0,IF(D400=0,0,1),ABS(E400)/ABS(C400)))</x:f>
      </x:c>
      <x:c r="G400" s="73" t="str">
        <x:f>IF(A400="","",IF(AND(C400=0,D400&lt;&gt;0),"신규",IF(AND(C400&lt;&gt;0,D400=0),"소멸",IF(E400=0,"변동없음","금액변동"))))</x:f>
      </x:c>
      <x:c r="H400" s="73" t="str">
        <x:f>IF(A400="","",IF(AND(ABS(E400)&gt;='기준설정'!$B$6,OR(G400="신규",G400="소멸",F400&gt;='기준설정'!$B$5)),"원인분석 대상","일반"))</x:f>
      </x:c>
      <x:c r="I400" s="73" t="str">
        <x:f>IF(A400="","",IF(H400="원인분석 대상","세부원인분석 시트에서 거래별 원인을 검토","-"))</x:f>
      </x:c>
      <x:c r="J400" s="73" t="str">
        <x:f>IF(A400="","",COUNTIFS('전기원장'!$A$5:$A$1004,A400,'전기원장'!$J$5:$J$1004,"확인 필요")+COUNTIFS('당기원장'!$A$5:$A$1004,A400,'당기원장'!$J$5:$J$1004,"확인 필요"))</x:f>
      </x:c>
      <x:c r="K400" s="85" t="str">
        <x:f>IF(A400="","",IF(H400&lt;&gt;"원인분석 대상","",IF(J400&gt;0,"붙임 문서 확인 후 원인 확정 필요","결의서명 기반 원인분류 검토")))</x:f>
      </x:c>
    </x:row>
    <x:row r="401">
      <x:c r="A401" s="73" t="str">
        <x:f>IFERROR(INDEX('계산도우미'!$B$5:$B$2004,MATCH(ROWS($A$5:A401),'계산도우미'!$K$5:$K$2004,0)),"")</x:f>
      </x:c>
      <x:c r="B401" s="73" t="str">
        <x:f>IF(A401="","",IFERROR(INDEX('당기원장'!$B$5:$B$1004,MATCH(A401,'당기원장'!$A$5:$A$1004,0)),IFERROR(INDEX('전기원장'!$B$5:$B$1004,MATCH(A401,'전기원장'!$A$5:$A$1004,0)),"")))</x:f>
      </x:c>
      <x:c r="C401" s="75" t="str">
        <x:f>IF(A401="","",SUMIF('전기원장'!$A$5:$A$1004,A401,'전기원장'!$H$5:$H$1004))</x:f>
      </x:c>
      <x:c r="D401" s="75" t="str">
        <x:f>IF(A401="","",SUMIF('당기원장'!$A$5:$A$1004,A401,'당기원장'!$H$5:$H$1004))</x:f>
      </x:c>
      <x:c r="E401" s="75" t="str">
        <x:f>IF(A401="","",D401-C401)</x:f>
      </x:c>
      <x:c r="F401" s="88" t="str">
        <x:f>IF(A401="","",IF(C401=0,IF(D401=0,0,1),ABS(E401)/ABS(C401)))</x:f>
      </x:c>
      <x:c r="G401" s="73" t="str">
        <x:f>IF(A401="","",IF(AND(C401=0,D401&lt;&gt;0),"신규",IF(AND(C401&lt;&gt;0,D401=0),"소멸",IF(E401=0,"변동없음","금액변동"))))</x:f>
      </x:c>
      <x:c r="H401" s="73" t="str">
        <x:f>IF(A401="","",IF(AND(ABS(E401)&gt;='기준설정'!$B$6,OR(G401="신규",G401="소멸",F401&gt;='기준설정'!$B$5)),"원인분석 대상","일반"))</x:f>
      </x:c>
      <x:c r="I401" s="73" t="str">
        <x:f>IF(A401="","",IF(H401="원인분석 대상","세부원인분석 시트에서 거래별 원인을 검토","-"))</x:f>
      </x:c>
      <x:c r="J401" s="73" t="str">
        <x:f>IF(A401="","",COUNTIFS('전기원장'!$A$5:$A$1004,A401,'전기원장'!$J$5:$J$1004,"확인 필요")+COUNTIFS('당기원장'!$A$5:$A$1004,A401,'당기원장'!$J$5:$J$1004,"확인 필요"))</x:f>
      </x:c>
      <x:c r="K401" s="85" t="str">
        <x:f>IF(A401="","",IF(H401&lt;&gt;"원인분석 대상","",IF(J401&gt;0,"붙임 문서 확인 후 원인 확정 필요","결의서명 기반 원인분류 검토")))</x:f>
      </x:c>
    </x:row>
    <x:row r="402">
      <x:c r="A402" s="73" t="str">
        <x:f>IFERROR(INDEX('계산도우미'!$B$5:$B$2004,MATCH(ROWS($A$5:A402),'계산도우미'!$K$5:$K$2004,0)),"")</x:f>
      </x:c>
      <x:c r="B402" s="73" t="str">
        <x:f>IF(A402="","",IFERROR(INDEX('당기원장'!$B$5:$B$1004,MATCH(A402,'당기원장'!$A$5:$A$1004,0)),IFERROR(INDEX('전기원장'!$B$5:$B$1004,MATCH(A402,'전기원장'!$A$5:$A$1004,0)),"")))</x:f>
      </x:c>
      <x:c r="C402" s="75" t="str">
        <x:f>IF(A402="","",SUMIF('전기원장'!$A$5:$A$1004,A402,'전기원장'!$H$5:$H$1004))</x:f>
      </x:c>
      <x:c r="D402" s="75" t="str">
        <x:f>IF(A402="","",SUMIF('당기원장'!$A$5:$A$1004,A402,'당기원장'!$H$5:$H$1004))</x:f>
      </x:c>
      <x:c r="E402" s="75" t="str">
        <x:f>IF(A402="","",D402-C402)</x:f>
      </x:c>
      <x:c r="F402" s="88" t="str">
        <x:f>IF(A402="","",IF(C402=0,IF(D402=0,0,1),ABS(E402)/ABS(C402)))</x:f>
      </x:c>
      <x:c r="G402" s="73" t="str">
        <x:f>IF(A402="","",IF(AND(C402=0,D402&lt;&gt;0),"신규",IF(AND(C402&lt;&gt;0,D402=0),"소멸",IF(E402=0,"변동없음","금액변동"))))</x:f>
      </x:c>
      <x:c r="H402" s="73" t="str">
        <x:f>IF(A402="","",IF(AND(ABS(E402)&gt;='기준설정'!$B$6,OR(G402="신규",G402="소멸",F402&gt;='기준설정'!$B$5)),"원인분석 대상","일반"))</x:f>
      </x:c>
      <x:c r="I402" s="73" t="str">
        <x:f>IF(A402="","",IF(H402="원인분석 대상","세부원인분석 시트에서 거래별 원인을 검토","-"))</x:f>
      </x:c>
      <x:c r="J402" s="73" t="str">
        <x:f>IF(A402="","",COUNTIFS('전기원장'!$A$5:$A$1004,A402,'전기원장'!$J$5:$J$1004,"확인 필요")+COUNTIFS('당기원장'!$A$5:$A$1004,A402,'당기원장'!$J$5:$J$1004,"확인 필요"))</x:f>
      </x:c>
      <x:c r="K402" s="85" t="str">
        <x:f>IF(A402="","",IF(H402&lt;&gt;"원인분석 대상","",IF(J402&gt;0,"붙임 문서 확인 후 원인 확정 필요","결의서명 기반 원인분류 검토")))</x:f>
      </x:c>
    </x:row>
    <x:row r="403">
      <x:c r="A403" s="73" t="str">
        <x:f>IFERROR(INDEX('계산도우미'!$B$5:$B$2004,MATCH(ROWS($A$5:A403),'계산도우미'!$K$5:$K$2004,0)),"")</x:f>
      </x:c>
      <x:c r="B403" s="73" t="str">
        <x:f>IF(A403="","",IFERROR(INDEX('당기원장'!$B$5:$B$1004,MATCH(A403,'당기원장'!$A$5:$A$1004,0)),IFERROR(INDEX('전기원장'!$B$5:$B$1004,MATCH(A403,'전기원장'!$A$5:$A$1004,0)),"")))</x:f>
      </x:c>
      <x:c r="C403" s="75" t="str">
        <x:f>IF(A403="","",SUMIF('전기원장'!$A$5:$A$1004,A403,'전기원장'!$H$5:$H$1004))</x:f>
      </x:c>
      <x:c r="D403" s="75" t="str">
        <x:f>IF(A403="","",SUMIF('당기원장'!$A$5:$A$1004,A403,'당기원장'!$H$5:$H$1004))</x:f>
      </x:c>
      <x:c r="E403" s="75" t="str">
        <x:f>IF(A403="","",D403-C403)</x:f>
      </x:c>
      <x:c r="F403" s="88" t="str">
        <x:f>IF(A403="","",IF(C403=0,IF(D403=0,0,1),ABS(E403)/ABS(C403)))</x:f>
      </x:c>
      <x:c r="G403" s="73" t="str">
        <x:f>IF(A403="","",IF(AND(C403=0,D403&lt;&gt;0),"신규",IF(AND(C403&lt;&gt;0,D403=0),"소멸",IF(E403=0,"변동없음","금액변동"))))</x:f>
      </x:c>
      <x:c r="H403" s="73" t="str">
        <x:f>IF(A403="","",IF(AND(ABS(E403)&gt;='기준설정'!$B$6,OR(G403="신규",G403="소멸",F403&gt;='기준설정'!$B$5)),"원인분석 대상","일반"))</x:f>
      </x:c>
      <x:c r="I403" s="73" t="str">
        <x:f>IF(A403="","",IF(H403="원인분석 대상","세부원인분석 시트에서 거래별 원인을 검토","-"))</x:f>
      </x:c>
      <x:c r="J403" s="73" t="str">
        <x:f>IF(A403="","",COUNTIFS('전기원장'!$A$5:$A$1004,A403,'전기원장'!$J$5:$J$1004,"확인 필요")+COUNTIFS('당기원장'!$A$5:$A$1004,A403,'당기원장'!$J$5:$J$1004,"확인 필요"))</x:f>
      </x:c>
      <x:c r="K403" s="85" t="str">
        <x:f>IF(A403="","",IF(H403&lt;&gt;"원인분석 대상","",IF(J403&gt;0,"붙임 문서 확인 후 원인 확정 필요","결의서명 기반 원인분류 검토")))</x:f>
      </x:c>
    </x:row>
    <x:row r="404">
      <x:c r="A404" s="73" t="str">
        <x:f>IFERROR(INDEX('계산도우미'!$B$5:$B$2004,MATCH(ROWS($A$5:A404),'계산도우미'!$K$5:$K$2004,0)),"")</x:f>
      </x:c>
      <x:c r="B404" s="73" t="str">
        <x:f>IF(A404="","",IFERROR(INDEX('당기원장'!$B$5:$B$1004,MATCH(A404,'당기원장'!$A$5:$A$1004,0)),IFERROR(INDEX('전기원장'!$B$5:$B$1004,MATCH(A404,'전기원장'!$A$5:$A$1004,0)),"")))</x:f>
      </x:c>
      <x:c r="C404" s="75" t="str">
        <x:f>IF(A404="","",SUMIF('전기원장'!$A$5:$A$1004,A404,'전기원장'!$H$5:$H$1004))</x:f>
      </x:c>
      <x:c r="D404" s="75" t="str">
        <x:f>IF(A404="","",SUMIF('당기원장'!$A$5:$A$1004,A404,'당기원장'!$H$5:$H$1004))</x:f>
      </x:c>
      <x:c r="E404" s="75" t="str">
        <x:f>IF(A404="","",D404-C404)</x:f>
      </x:c>
      <x:c r="F404" s="88" t="str">
        <x:f>IF(A404="","",IF(C404=0,IF(D404=0,0,1),ABS(E404)/ABS(C404)))</x:f>
      </x:c>
      <x:c r="G404" s="73" t="str">
        <x:f>IF(A404="","",IF(AND(C404=0,D404&lt;&gt;0),"신규",IF(AND(C404&lt;&gt;0,D404=0),"소멸",IF(E404=0,"변동없음","금액변동"))))</x:f>
      </x:c>
      <x:c r="H404" s="73" t="str">
        <x:f>IF(A404="","",IF(AND(ABS(E404)&gt;='기준설정'!$B$6,OR(G404="신규",G404="소멸",F404&gt;='기준설정'!$B$5)),"원인분석 대상","일반"))</x:f>
      </x:c>
      <x:c r="I404" s="73" t="str">
        <x:f>IF(A404="","",IF(H404="원인분석 대상","세부원인분석 시트에서 거래별 원인을 검토","-"))</x:f>
      </x:c>
      <x:c r="J404" s="73" t="str">
        <x:f>IF(A404="","",COUNTIFS('전기원장'!$A$5:$A$1004,A404,'전기원장'!$J$5:$J$1004,"확인 필요")+COUNTIFS('당기원장'!$A$5:$A$1004,A404,'당기원장'!$J$5:$J$1004,"확인 필요"))</x:f>
      </x:c>
      <x:c r="K404" s="85" t="str">
        <x:f>IF(A404="","",IF(H404&lt;&gt;"원인분석 대상","",IF(J404&gt;0,"붙임 문서 확인 후 원인 확정 필요","결의서명 기반 원인분류 검토")))</x:f>
      </x:c>
    </x:row>
    <x:row r="405">
      <x:c r="A405" s="73" t="str">
        <x:f>IFERROR(INDEX('계산도우미'!$B$5:$B$2004,MATCH(ROWS($A$5:A405),'계산도우미'!$K$5:$K$2004,0)),"")</x:f>
      </x:c>
      <x:c r="B405" s="73" t="str">
        <x:f>IF(A405="","",IFERROR(INDEX('당기원장'!$B$5:$B$1004,MATCH(A405,'당기원장'!$A$5:$A$1004,0)),IFERROR(INDEX('전기원장'!$B$5:$B$1004,MATCH(A405,'전기원장'!$A$5:$A$1004,0)),"")))</x:f>
      </x:c>
      <x:c r="C405" s="75" t="str">
        <x:f>IF(A405="","",SUMIF('전기원장'!$A$5:$A$1004,A405,'전기원장'!$H$5:$H$1004))</x:f>
      </x:c>
      <x:c r="D405" s="75" t="str">
        <x:f>IF(A405="","",SUMIF('당기원장'!$A$5:$A$1004,A405,'당기원장'!$H$5:$H$1004))</x:f>
      </x:c>
      <x:c r="E405" s="75" t="str">
        <x:f>IF(A405="","",D405-C405)</x:f>
      </x:c>
      <x:c r="F405" s="88" t="str">
        <x:f>IF(A405="","",IF(C405=0,IF(D405=0,0,1),ABS(E405)/ABS(C405)))</x:f>
      </x:c>
      <x:c r="G405" s="73" t="str">
        <x:f>IF(A405="","",IF(AND(C405=0,D405&lt;&gt;0),"신규",IF(AND(C405&lt;&gt;0,D405=0),"소멸",IF(E405=0,"변동없음","금액변동"))))</x:f>
      </x:c>
      <x:c r="H405" s="73" t="str">
        <x:f>IF(A405="","",IF(AND(ABS(E405)&gt;='기준설정'!$B$6,OR(G405="신규",G405="소멸",F405&gt;='기준설정'!$B$5)),"원인분석 대상","일반"))</x:f>
      </x:c>
      <x:c r="I405" s="73" t="str">
        <x:f>IF(A405="","",IF(H405="원인분석 대상","세부원인분석 시트에서 거래별 원인을 검토","-"))</x:f>
      </x:c>
      <x:c r="J405" s="73" t="str">
        <x:f>IF(A405="","",COUNTIFS('전기원장'!$A$5:$A$1004,A405,'전기원장'!$J$5:$J$1004,"확인 필요")+COUNTIFS('당기원장'!$A$5:$A$1004,A405,'당기원장'!$J$5:$J$1004,"확인 필요"))</x:f>
      </x:c>
      <x:c r="K405" s="85" t="str">
        <x:f>IF(A405="","",IF(H405&lt;&gt;"원인분석 대상","",IF(J405&gt;0,"붙임 문서 확인 후 원인 확정 필요","결의서명 기반 원인분류 검토")))</x:f>
      </x:c>
    </x:row>
    <x:row r="406">
      <x:c r="A406" s="73" t="str">
        <x:f>IFERROR(INDEX('계산도우미'!$B$5:$B$2004,MATCH(ROWS($A$5:A406),'계산도우미'!$K$5:$K$2004,0)),"")</x:f>
      </x:c>
      <x:c r="B406" s="73" t="str">
        <x:f>IF(A406="","",IFERROR(INDEX('당기원장'!$B$5:$B$1004,MATCH(A406,'당기원장'!$A$5:$A$1004,0)),IFERROR(INDEX('전기원장'!$B$5:$B$1004,MATCH(A406,'전기원장'!$A$5:$A$1004,0)),"")))</x:f>
      </x:c>
      <x:c r="C406" s="75" t="str">
        <x:f>IF(A406="","",SUMIF('전기원장'!$A$5:$A$1004,A406,'전기원장'!$H$5:$H$1004))</x:f>
      </x:c>
      <x:c r="D406" s="75" t="str">
        <x:f>IF(A406="","",SUMIF('당기원장'!$A$5:$A$1004,A406,'당기원장'!$H$5:$H$1004))</x:f>
      </x:c>
      <x:c r="E406" s="75" t="str">
        <x:f>IF(A406="","",D406-C406)</x:f>
      </x:c>
      <x:c r="F406" s="88" t="str">
        <x:f>IF(A406="","",IF(C406=0,IF(D406=0,0,1),ABS(E406)/ABS(C406)))</x:f>
      </x:c>
      <x:c r="G406" s="73" t="str">
        <x:f>IF(A406="","",IF(AND(C406=0,D406&lt;&gt;0),"신규",IF(AND(C406&lt;&gt;0,D406=0),"소멸",IF(E406=0,"변동없음","금액변동"))))</x:f>
      </x:c>
      <x:c r="H406" s="73" t="str">
        <x:f>IF(A406="","",IF(AND(ABS(E406)&gt;='기준설정'!$B$6,OR(G406="신규",G406="소멸",F406&gt;='기준설정'!$B$5)),"원인분석 대상","일반"))</x:f>
      </x:c>
      <x:c r="I406" s="73" t="str">
        <x:f>IF(A406="","",IF(H406="원인분석 대상","세부원인분석 시트에서 거래별 원인을 검토","-"))</x:f>
      </x:c>
      <x:c r="J406" s="73" t="str">
        <x:f>IF(A406="","",COUNTIFS('전기원장'!$A$5:$A$1004,A406,'전기원장'!$J$5:$J$1004,"확인 필요")+COUNTIFS('당기원장'!$A$5:$A$1004,A406,'당기원장'!$J$5:$J$1004,"확인 필요"))</x:f>
      </x:c>
      <x:c r="K406" s="85" t="str">
        <x:f>IF(A406="","",IF(H406&lt;&gt;"원인분석 대상","",IF(J406&gt;0,"붙임 문서 확인 후 원인 확정 필요","결의서명 기반 원인분류 검토")))</x:f>
      </x:c>
    </x:row>
    <x:row r="407">
      <x:c r="A407" s="73" t="str">
        <x:f>IFERROR(INDEX('계산도우미'!$B$5:$B$2004,MATCH(ROWS($A$5:A407),'계산도우미'!$K$5:$K$2004,0)),"")</x:f>
      </x:c>
      <x:c r="B407" s="73" t="str">
        <x:f>IF(A407="","",IFERROR(INDEX('당기원장'!$B$5:$B$1004,MATCH(A407,'당기원장'!$A$5:$A$1004,0)),IFERROR(INDEX('전기원장'!$B$5:$B$1004,MATCH(A407,'전기원장'!$A$5:$A$1004,0)),"")))</x:f>
      </x:c>
      <x:c r="C407" s="75" t="str">
        <x:f>IF(A407="","",SUMIF('전기원장'!$A$5:$A$1004,A407,'전기원장'!$H$5:$H$1004))</x:f>
      </x:c>
      <x:c r="D407" s="75" t="str">
        <x:f>IF(A407="","",SUMIF('당기원장'!$A$5:$A$1004,A407,'당기원장'!$H$5:$H$1004))</x:f>
      </x:c>
      <x:c r="E407" s="75" t="str">
        <x:f>IF(A407="","",D407-C407)</x:f>
      </x:c>
      <x:c r="F407" s="88" t="str">
        <x:f>IF(A407="","",IF(C407=0,IF(D407=0,0,1),ABS(E407)/ABS(C407)))</x:f>
      </x:c>
      <x:c r="G407" s="73" t="str">
        <x:f>IF(A407="","",IF(AND(C407=0,D407&lt;&gt;0),"신규",IF(AND(C407&lt;&gt;0,D407=0),"소멸",IF(E407=0,"변동없음","금액변동"))))</x:f>
      </x:c>
      <x:c r="H407" s="73" t="str">
        <x:f>IF(A407="","",IF(AND(ABS(E407)&gt;='기준설정'!$B$6,OR(G407="신규",G407="소멸",F407&gt;='기준설정'!$B$5)),"원인분석 대상","일반"))</x:f>
      </x:c>
      <x:c r="I407" s="73" t="str">
        <x:f>IF(A407="","",IF(H407="원인분석 대상","세부원인분석 시트에서 거래별 원인을 검토","-"))</x:f>
      </x:c>
      <x:c r="J407" s="73" t="str">
        <x:f>IF(A407="","",COUNTIFS('전기원장'!$A$5:$A$1004,A407,'전기원장'!$J$5:$J$1004,"확인 필요")+COUNTIFS('당기원장'!$A$5:$A$1004,A407,'당기원장'!$J$5:$J$1004,"확인 필요"))</x:f>
      </x:c>
      <x:c r="K407" s="85" t="str">
        <x:f>IF(A407="","",IF(H407&lt;&gt;"원인분석 대상","",IF(J407&gt;0,"붙임 문서 확인 후 원인 확정 필요","결의서명 기반 원인분류 검토")))</x:f>
      </x:c>
    </x:row>
    <x:row r="408">
      <x:c r="A408" s="73" t="str">
        <x:f>IFERROR(INDEX('계산도우미'!$B$5:$B$2004,MATCH(ROWS($A$5:A408),'계산도우미'!$K$5:$K$2004,0)),"")</x:f>
      </x:c>
      <x:c r="B408" s="73" t="str">
        <x:f>IF(A408="","",IFERROR(INDEX('당기원장'!$B$5:$B$1004,MATCH(A408,'당기원장'!$A$5:$A$1004,0)),IFERROR(INDEX('전기원장'!$B$5:$B$1004,MATCH(A408,'전기원장'!$A$5:$A$1004,0)),"")))</x:f>
      </x:c>
      <x:c r="C408" s="75" t="str">
        <x:f>IF(A408="","",SUMIF('전기원장'!$A$5:$A$1004,A408,'전기원장'!$H$5:$H$1004))</x:f>
      </x:c>
      <x:c r="D408" s="75" t="str">
        <x:f>IF(A408="","",SUMIF('당기원장'!$A$5:$A$1004,A408,'당기원장'!$H$5:$H$1004))</x:f>
      </x:c>
      <x:c r="E408" s="75" t="str">
        <x:f>IF(A408="","",D408-C408)</x:f>
      </x:c>
      <x:c r="F408" s="88" t="str">
        <x:f>IF(A408="","",IF(C408=0,IF(D408=0,0,1),ABS(E408)/ABS(C408)))</x:f>
      </x:c>
      <x:c r="G408" s="73" t="str">
        <x:f>IF(A408="","",IF(AND(C408=0,D408&lt;&gt;0),"신규",IF(AND(C408&lt;&gt;0,D408=0),"소멸",IF(E408=0,"변동없음","금액변동"))))</x:f>
      </x:c>
      <x:c r="H408" s="73" t="str">
        <x:f>IF(A408="","",IF(AND(ABS(E408)&gt;='기준설정'!$B$6,OR(G408="신규",G408="소멸",F408&gt;='기준설정'!$B$5)),"원인분석 대상","일반"))</x:f>
      </x:c>
      <x:c r="I408" s="73" t="str">
        <x:f>IF(A408="","",IF(H408="원인분석 대상","세부원인분석 시트에서 거래별 원인을 검토","-"))</x:f>
      </x:c>
      <x:c r="J408" s="73" t="str">
        <x:f>IF(A408="","",COUNTIFS('전기원장'!$A$5:$A$1004,A408,'전기원장'!$J$5:$J$1004,"확인 필요")+COUNTIFS('당기원장'!$A$5:$A$1004,A408,'당기원장'!$J$5:$J$1004,"확인 필요"))</x:f>
      </x:c>
      <x:c r="K408" s="85" t="str">
        <x:f>IF(A408="","",IF(H408&lt;&gt;"원인분석 대상","",IF(J408&gt;0,"붙임 문서 확인 후 원인 확정 필요","결의서명 기반 원인분류 검토")))</x:f>
      </x:c>
    </x:row>
    <x:row r="409">
      <x:c r="A409" s="73" t="str">
        <x:f>IFERROR(INDEX('계산도우미'!$B$5:$B$2004,MATCH(ROWS($A$5:A409),'계산도우미'!$K$5:$K$2004,0)),"")</x:f>
      </x:c>
      <x:c r="B409" s="73" t="str">
        <x:f>IF(A409="","",IFERROR(INDEX('당기원장'!$B$5:$B$1004,MATCH(A409,'당기원장'!$A$5:$A$1004,0)),IFERROR(INDEX('전기원장'!$B$5:$B$1004,MATCH(A409,'전기원장'!$A$5:$A$1004,0)),"")))</x:f>
      </x:c>
      <x:c r="C409" s="75" t="str">
        <x:f>IF(A409="","",SUMIF('전기원장'!$A$5:$A$1004,A409,'전기원장'!$H$5:$H$1004))</x:f>
      </x:c>
      <x:c r="D409" s="75" t="str">
        <x:f>IF(A409="","",SUMIF('당기원장'!$A$5:$A$1004,A409,'당기원장'!$H$5:$H$1004))</x:f>
      </x:c>
      <x:c r="E409" s="75" t="str">
        <x:f>IF(A409="","",D409-C409)</x:f>
      </x:c>
      <x:c r="F409" s="88" t="str">
        <x:f>IF(A409="","",IF(C409=0,IF(D409=0,0,1),ABS(E409)/ABS(C409)))</x:f>
      </x:c>
      <x:c r="G409" s="73" t="str">
        <x:f>IF(A409="","",IF(AND(C409=0,D409&lt;&gt;0),"신규",IF(AND(C409&lt;&gt;0,D409=0),"소멸",IF(E409=0,"변동없음","금액변동"))))</x:f>
      </x:c>
      <x:c r="H409" s="73" t="str">
        <x:f>IF(A409="","",IF(AND(ABS(E409)&gt;='기준설정'!$B$6,OR(G409="신규",G409="소멸",F409&gt;='기준설정'!$B$5)),"원인분석 대상","일반"))</x:f>
      </x:c>
      <x:c r="I409" s="73" t="str">
        <x:f>IF(A409="","",IF(H409="원인분석 대상","세부원인분석 시트에서 거래별 원인을 검토","-"))</x:f>
      </x:c>
      <x:c r="J409" s="73" t="str">
        <x:f>IF(A409="","",COUNTIFS('전기원장'!$A$5:$A$1004,A409,'전기원장'!$J$5:$J$1004,"확인 필요")+COUNTIFS('당기원장'!$A$5:$A$1004,A409,'당기원장'!$J$5:$J$1004,"확인 필요"))</x:f>
      </x:c>
      <x:c r="K409" s="85" t="str">
        <x:f>IF(A409="","",IF(H409&lt;&gt;"원인분석 대상","",IF(J409&gt;0,"붙임 문서 확인 후 원인 확정 필요","결의서명 기반 원인분류 검토")))</x:f>
      </x:c>
    </x:row>
    <x:row r="410">
      <x:c r="A410" s="73" t="str">
        <x:f>IFERROR(INDEX('계산도우미'!$B$5:$B$2004,MATCH(ROWS($A$5:A410),'계산도우미'!$K$5:$K$2004,0)),"")</x:f>
      </x:c>
      <x:c r="B410" s="73" t="str">
        <x:f>IF(A410="","",IFERROR(INDEX('당기원장'!$B$5:$B$1004,MATCH(A410,'당기원장'!$A$5:$A$1004,0)),IFERROR(INDEX('전기원장'!$B$5:$B$1004,MATCH(A410,'전기원장'!$A$5:$A$1004,0)),"")))</x:f>
      </x:c>
      <x:c r="C410" s="75" t="str">
        <x:f>IF(A410="","",SUMIF('전기원장'!$A$5:$A$1004,A410,'전기원장'!$H$5:$H$1004))</x:f>
      </x:c>
      <x:c r="D410" s="75" t="str">
        <x:f>IF(A410="","",SUMIF('당기원장'!$A$5:$A$1004,A410,'당기원장'!$H$5:$H$1004))</x:f>
      </x:c>
      <x:c r="E410" s="75" t="str">
        <x:f>IF(A410="","",D410-C410)</x:f>
      </x:c>
      <x:c r="F410" s="88" t="str">
        <x:f>IF(A410="","",IF(C410=0,IF(D410=0,0,1),ABS(E410)/ABS(C410)))</x:f>
      </x:c>
      <x:c r="G410" s="73" t="str">
        <x:f>IF(A410="","",IF(AND(C410=0,D410&lt;&gt;0),"신규",IF(AND(C410&lt;&gt;0,D410=0),"소멸",IF(E410=0,"변동없음","금액변동"))))</x:f>
      </x:c>
      <x:c r="H410" s="73" t="str">
        <x:f>IF(A410="","",IF(AND(ABS(E410)&gt;='기준설정'!$B$6,OR(G410="신규",G410="소멸",F410&gt;='기준설정'!$B$5)),"원인분석 대상","일반"))</x:f>
      </x:c>
      <x:c r="I410" s="73" t="str">
        <x:f>IF(A410="","",IF(H410="원인분석 대상","세부원인분석 시트에서 거래별 원인을 검토","-"))</x:f>
      </x:c>
      <x:c r="J410" s="73" t="str">
        <x:f>IF(A410="","",COUNTIFS('전기원장'!$A$5:$A$1004,A410,'전기원장'!$J$5:$J$1004,"확인 필요")+COUNTIFS('당기원장'!$A$5:$A$1004,A410,'당기원장'!$J$5:$J$1004,"확인 필요"))</x:f>
      </x:c>
      <x:c r="K410" s="85" t="str">
        <x:f>IF(A410="","",IF(H410&lt;&gt;"원인분석 대상","",IF(J410&gt;0,"붙임 문서 확인 후 원인 확정 필요","결의서명 기반 원인분류 검토")))</x:f>
      </x:c>
    </x:row>
    <x:row r="411">
      <x:c r="A411" s="73" t="str">
        <x:f>IFERROR(INDEX('계산도우미'!$B$5:$B$2004,MATCH(ROWS($A$5:A411),'계산도우미'!$K$5:$K$2004,0)),"")</x:f>
      </x:c>
      <x:c r="B411" s="73" t="str">
        <x:f>IF(A411="","",IFERROR(INDEX('당기원장'!$B$5:$B$1004,MATCH(A411,'당기원장'!$A$5:$A$1004,0)),IFERROR(INDEX('전기원장'!$B$5:$B$1004,MATCH(A411,'전기원장'!$A$5:$A$1004,0)),"")))</x:f>
      </x:c>
      <x:c r="C411" s="75" t="str">
        <x:f>IF(A411="","",SUMIF('전기원장'!$A$5:$A$1004,A411,'전기원장'!$H$5:$H$1004))</x:f>
      </x:c>
      <x:c r="D411" s="75" t="str">
        <x:f>IF(A411="","",SUMIF('당기원장'!$A$5:$A$1004,A411,'당기원장'!$H$5:$H$1004))</x:f>
      </x:c>
      <x:c r="E411" s="75" t="str">
        <x:f>IF(A411="","",D411-C411)</x:f>
      </x:c>
      <x:c r="F411" s="88" t="str">
        <x:f>IF(A411="","",IF(C411=0,IF(D411=0,0,1),ABS(E411)/ABS(C411)))</x:f>
      </x:c>
      <x:c r="G411" s="73" t="str">
        <x:f>IF(A411="","",IF(AND(C411=0,D411&lt;&gt;0),"신규",IF(AND(C411&lt;&gt;0,D411=0),"소멸",IF(E411=0,"변동없음","금액변동"))))</x:f>
      </x:c>
      <x:c r="H411" s="73" t="str">
        <x:f>IF(A411="","",IF(AND(ABS(E411)&gt;='기준설정'!$B$6,OR(G411="신규",G411="소멸",F411&gt;='기준설정'!$B$5)),"원인분석 대상","일반"))</x:f>
      </x:c>
      <x:c r="I411" s="73" t="str">
        <x:f>IF(A411="","",IF(H411="원인분석 대상","세부원인분석 시트에서 거래별 원인을 검토","-"))</x:f>
      </x:c>
      <x:c r="J411" s="73" t="str">
        <x:f>IF(A411="","",COUNTIFS('전기원장'!$A$5:$A$1004,A411,'전기원장'!$J$5:$J$1004,"확인 필요")+COUNTIFS('당기원장'!$A$5:$A$1004,A411,'당기원장'!$J$5:$J$1004,"확인 필요"))</x:f>
      </x:c>
      <x:c r="K411" s="85" t="str">
        <x:f>IF(A411="","",IF(H411&lt;&gt;"원인분석 대상","",IF(J411&gt;0,"붙임 문서 확인 후 원인 확정 필요","결의서명 기반 원인분류 검토")))</x:f>
      </x:c>
    </x:row>
    <x:row r="412">
      <x:c r="A412" s="73" t="str">
        <x:f>IFERROR(INDEX('계산도우미'!$B$5:$B$2004,MATCH(ROWS($A$5:A412),'계산도우미'!$K$5:$K$2004,0)),"")</x:f>
      </x:c>
      <x:c r="B412" s="73" t="str">
        <x:f>IF(A412="","",IFERROR(INDEX('당기원장'!$B$5:$B$1004,MATCH(A412,'당기원장'!$A$5:$A$1004,0)),IFERROR(INDEX('전기원장'!$B$5:$B$1004,MATCH(A412,'전기원장'!$A$5:$A$1004,0)),"")))</x:f>
      </x:c>
      <x:c r="C412" s="75" t="str">
        <x:f>IF(A412="","",SUMIF('전기원장'!$A$5:$A$1004,A412,'전기원장'!$H$5:$H$1004))</x:f>
      </x:c>
      <x:c r="D412" s="75" t="str">
        <x:f>IF(A412="","",SUMIF('당기원장'!$A$5:$A$1004,A412,'당기원장'!$H$5:$H$1004))</x:f>
      </x:c>
      <x:c r="E412" s="75" t="str">
        <x:f>IF(A412="","",D412-C412)</x:f>
      </x:c>
      <x:c r="F412" s="88" t="str">
        <x:f>IF(A412="","",IF(C412=0,IF(D412=0,0,1),ABS(E412)/ABS(C412)))</x:f>
      </x:c>
      <x:c r="G412" s="73" t="str">
        <x:f>IF(A412="","",IF(AND(C412=0,D412&lt;&gt;0),"신규",IF(AND(C412&lt;&gt;0,D412=0),"소멸",IF(E412=0,"변동없음","금액변동"))))</x:f>
      </x:c>
      <x:c r="H412" s="73" t="str">
        <x:f>IF(A412="","",IF(AND(ABS(E412)&gt;='기준설정'!$B$6,OR(G412="신규",G412="소멸",F412&gt;='기준설정'!$B$5)),"원인분석 대상","일반"))</x:f>
      </x:c>
      <x:c r="I412" s="73" t="str">
        <x:f>IF(A412="","",IF(H412="원인분석 대상","세부원인분석 시트에서 거래별 원인을 검토","-"))</x:f>
      </x:c>
      <x:c r="J412" s="73" t="str">
        <x:f>IF(A412="","",COUNTIFS('전기원장'!$A$5:$A$1004,A412,'전기원장'!$J$5:$J$1004,"확인 필요")+COUNTIFS('당기원장'!$A$5:$A$1004,A412,'당기원장'!$J$5:$J$1004,"확인 필요"))</x:f>
      </x:c>
      <x:c r="K412" s="85" t="str">
        <x:f>IF(A412="","",IF(H412&lt;&gt;"원인분석 대상","",IF(J412&gt;0,"붙임 문서 확인 후 원인 확정 필요","결의서명 기반 원인분류 검토")))</x:f>
      </x:c>
    </x:row>
    <x:row r="413">
      <x:c r="A413" s="73" t="str">
        <x:f>IFERROR(INDEX('계산도우미'!$B$5:$B$2004,MATCH(ROWS($A$5:A413),'계산도우미'!$K$5:$K$2004,0)),"")</x:f>
      </x:c>
      <x:c r="B413" s="73" t="str">
        <x:f>IF(A413="","",IFERROR(INDEX('당기원장'!$B$5:$B$1004,MATCH(A413,'당기원장'!$A$5:$A$1004,0)),IFERROR(INDEX('전기원장'!$B$5:$B$1004,MATCH(A413,'전기원장'!$A$5:$A$1004,0)),"")))</x:f>
      </x:c>
      <x:c r="C413" s="75" t="str">
        <x:f>IF(A413="","",SUMIF('전기원장'!$A$5:$A$1004,A413,'전기원장'!$H$5:$H$1004))</x:f>
      </x:c>
      <x:c r="D413" s="75" t="str">
        <x:f>IF(A413="","",SUMIF('당기원장'!$A$5:$A$1004,A413,'당기원장'!$H$5:$H$1004))</x:f>
      </x:c>
      <x:c r="E413" s="75" t="str">
        <x:f>IF(A413="","",D413-C413)</x:f>
      </x:c>
      <x:c r="F413" s="88" t="str">
        <x:f>IF(A413="","",IF(C413=0,IF(D413=0,0,1),ABS(E413)/ABS(C413)))</x:f>
      </x:c>
      <x:c r="G413" s="73" t="str">
        <x:f>IF(A413="","",IF(AND(C413=0,D413&lt;&gt;0),"신규",IF(AND(C413&lt;&gt;0,D413=0),"소멸",IF(E413=0,"변동없음","금액변동"))))</x:f>
      </x:c>
      <x:c r="H413" s="73" t="str">
        <x:f>IF(A413="","",IF(AND(ABS(E413)&gt;='기준설정'!$B$6,OR(G413="신규",G413="소멸",F413&gt;='기준설정'!$B$5)),"원인분석 대상","일반"))</x:f>
      </x:c>
      <x:c r="I413" s="73" t="str">
        <x:f>IF(A413="","",IF(H413="원인분석 대상","세부원인분석 시트에서 거래별 원인을 검토","-"))</x:f>
      </x:c>
      <x:c r="J413" s="73" t="str">
        <x:f>IF(A413="","",COUNTIFS('전기원장'!$A$5:$A$1004,A413,'전기원장'!$J$5:$J$1004,"확인 필요")+COUNTIFS('당기원장'!$A$5:$A$1004,A413,'당기원장'!$J$5:$J$1004,"확인 필요"))</x:f>
      </x:c>
      <x:c r="K413" s="85" t="str">
        <x:f>IF(A413="","",IF(H413&lt;&gt;"원인분석 대상","",IF(J413&gt;0,"붙임 문서 확인 후 원인 확정 필요","결의서명 기반 원인분류 검토")))</x:f>
      </x:c>
    </x:row>
    <x:row r="414">
      <x:c r="A414" s="73" t="str">
        <x:f>IFERROR(INDEX('계산도우미'!$B$5:$B$2004,MATCH(ROWS($A$5:A414),'계산도우미'!$K$5:$K$2004,0)),"")</x:f>
      </x:c>
      <x:c r="B414" s="73" t="str">
        <x:f>IF(A414="","",IFERROR(INDEX('당기원장'!$B$5:$B$1004,MATCH(A414,'당기원장'!$A$5:$A$1004,0)),IFERROR(INDEX('전기원장'!$B$5:$B$1004,MATCH(A414,'전기원장'!$A$5:$A$1004,0)),"")))</x:f>
      </x:c>
      <x:c r="C414" s="75" t="str">
        <x:f>IF(A414="","",SUMIF('전기원장'!$A$5:$A$1004,A414,'전기원장'!$H$5:$H$1004))</x:f>
      </x:c>
      <x:c r="D414" s="75" t="str">
        <x:f>IF(A414="","",SUMIF('당기원장'!$A$5:$A$1004,A414,'당기원장'!$H$5:$H$1004))</x:f>
      </x:c>
      <x:c r="E414" s="75" t="str">
        <x:f>IF(A414="","",D414-C414)</x:f>
      </x:c>
      <x:c r="F414" s="88" t="str">
        <x:f>IF(A414="","",IF(C414=0,IF(D414=0,0,1),ABS(E414)/ABS(C414)))</x:f>
      </x:c>
      <x:c r="G414" s="73" t="str">
        <x:f>IF(A414="","",IF(AND(C414=0,D414&lt;&gt;0),"신규",IF(AND(C414&lt;&gt;0,D414=0),"소멸",IF(E414=0,"변동없음","금액변동"))))</x:f>
      </x:c>
      <x:c r="H414" s="73" t="str">
        <x:f>IF(A414="","",IF(AND(ABS(E414)&gt;='기준설정'!$B$6,OR(G414="신규",G414="소멸",F414&gt;='기준설정'!$B$5)),"원인분석 대상","일반"))</x:f>
      </x:c>
      <x:c r="I414" s="73" t="str">
        <x:f>IF(A414="","",IF(H414="원인분석 대상","세부원인분석 시트에서 거래별 원인을 검토","-"))</x:f>
      </x:c>
      <x:c r="J414" s="73" t="str">
        <x:f>IF(A414="","",COUNTIFS('전기원장'!$A$5:$A$1004,A414,'전기원장'!$J$5:$J$1004,"확인 필요")+COUNTIFS('당기원장'!$A$5:$A$1004,A414,'당기원장'!$J$5:$J$1004,"확인 필요"))</x:f>
      </x:c>
      <x:c r="K414" s="85" t="str">
        <x:f>IF(A414="","",IF(H414&lt;&gt;"원인분석 대상","",IF(J414&gt;0,"붙임 문서 확인 후 원인 확정 필요","결의서명 기반 원인분류 검토")))</x:f>
      </x:c>
    </x:row>
    <x:row r="415">
      <x:c r="A415" s="73" t="str">
        <x:f>IFERROR(INDEX('계산도우미'!$B$5:$B$2004,MATCH(ROWS($A$5:A415),'계산도우미'!$K$5:$K$2004,0)),"")</x:f>
      </x:c>
      <x:c r="B415" s="73" t="str">
        <x:f>IF(A415="","",IFERROR(INDEX('당기원장'!$B$5:$B$1004,MATCH(A415,'당기원장'!$A$5:$A$1004,0)),IFERROR(INDEX('전기원장'!$B$5:$B$1004,MATCH(A415,'전기원장'!$A$5:$A$1004,0)),"")))</x:f>
      </x:c>
      <x:c r="C415" s="75" t="str">
        <x:f>IF(A415="","",SUMIF('전기원장'!$A$5:$A$1004,A415,'전기원장'!$H$5:$H$1004))</x:f>
      </x:c>
      <x:c r="D415" s="75" t="str">
        <x:f>IF(A415="","",SUMIF('당기원장'!$A$5:$A$1004,A415,'당기원장'!$H$5:$H$1004))</x:f>
      </x:c>
      <x:c r="E415" s="75" t="str">
        <x:f>IF(A415="","",D415-C415)</x:f>
      </x:c>
      <x:c r="F415" s="88" t="str">
        <x:f>IF(A415="","",IF(C415=0,IF(D415=0,0,1),ABS(E415)/ABS(C415)))</x:f>
      </x:c>
      <x:c r="G415" s="73" t="str">
        <x:f>IF(A415="","",IF(AND(C415=0,D415&lt;&gt;0),"신규",IF(AND(C415&lt;&gt;0,D415=0),"소멸",IF(E415=0,"변동없음","금액변동"))))</x:f>
      </x:c>
      <x:c r="H415" s="73" t="str">
        <x:f>IF(A415="","",IF(AND(ABS(E415)&gt;='기준설정'!$B$6,OR(G415="신규",G415="소멸",F415&gt;='기준설정'!$B$5)),"원인분석 대상","일반"))</x:f>
      </x:c>
      <x:c r="I415" s="73" t="str">
        <x:f>IF(A415="","",IF(H415="원인분석 대상","세부원인분석 시트에서 거래별 원인을 검토","-"))</x:f>
      </x:c>
      <x:c r="J415" s="73" t="str">
        <x:f>IF(A415="","",COUNTIFS('전기원장'!$A$5:$A$1004,A415,'전기원장'!$J$5:$J$1004,"확인 필요")+COUNTIFS('당기원장'!$A$5:$A$1004,A415,'당기원장'!$J$5:$J$1004,"확인 필요"))</x:f>
      </x:c>
      <x:c r="K415" s="85" t="str">
        <x:f>IF(A415="","",IF(H415&lt;&gt;"원인분석 대상","",IF(J415&gt;0,"붙임 문서 확인 후 원인 확정 필요","결의서명 기반 원인분류 검토")))</x:f>
      </x:c>
    </x:row>
    <x:row r="416">
      <x:c r="A416" s="73" t="str">
        <x:f>IFERROR(INDEX('계산도우미'!$B$5:$B$2004,MATCH(ROWS($A$5:A416),'계산도우미'!$K$5:$K$2004,0)),"")</x:f>
      </x:c>
      <x:c r="B416" s="73" t="str">
        <x:f>IF(A416="","",IFERROR(INDEX('당기원장'!$B$5:$B$1004,MATCH(A416,'당기원장'!$A$5:$A$1004,0)),IFERROR(INDEX('전기원장'!$B$5:$B$1004,MATCH(A416,'전기원장'!$A$5:$A$1004,0)),"")))</x:f>
      </x:c>
      <x:c r="C416" s="75" t="str">
        <x:f>IF(A416="","",SUMIF('전기원장'!$A$5:$A$1004,A416,'전기원장'!$H$5:$H$1004))</x:f>
      </x:c>
      <x:c r="D416" s="75" t="str">
        <x:f>IF(A416="","",SUMIF('당기원장'!$A$5:$A$1004,A416,'당기원장'!$H$5:$H$1004))</x:f>
      </x:c>
      <x:c r="E416" s="75" t="str">
        <x:f>IF(A416="","",D416-C416)</x:f>
      </x:c>
      <x:c r="F416" s="88" t="str">
        <x:f>IF(A416="","",IF(C416=0,IF(D416=0,0,1),ABS(E416)/ABS(C416)))</x:f>
      </x:c>
      <x:c r="G416" s="73" t="str">
        <x:f>IF(A416="","",IF(AND(C416=0,D416&lt;&gt;0),"신규",IF(AND(C416&lt;&gt;0,D416=0),"소멸",IF(E416=0,"변동없음","금액변동"))))</x:f>
      </x:c>
      <x:c r="H416" s="73" t="str">
        <x:f>IF(A416="","",IF(AND(ABS(E416)&gt;='기준설정'!$B$6,OR(G416="신규",G416="소멸",F416&gt;='기준설정'!$B$5)),"원인분석 대상","일반"))</x:f>
      </x:c>
      <x:c r="I416" s="73" t="str">
        <x:f>IF(A416="","",IF(H416="원인분석 대상","세부원인분석 시트에서 거래별 원인을 검토","-"))</x:f>
      </x:c>
      <x:c r="J416" s="73" t="str">
        <x:f>IF(A416="","",COUNTIFS('전기원장'!$A$5:$A$1004,A416,'전기원장'!$J$5:$J$1004,"확인 필요")+COUNTIFS('당기원장'!$A$5:$A$1004,A416,'당기원장'!$J$5:$J$1004,"확인 필요"))</x:f>
      </x:c>
      <x:c r="K416" s="85" t="str">
        <x:f>IF(A416="","",IF(H416&lt;&gt;"원인분석 대상","",IF(J416&gt;0,"붙임 문서 확인 후 원인 확정 필요","결의서명 기반 원인분류 검토")))</x:f>
      </x:c>
    </x:row>
    <x:row r="417">
      <x:c r="A417" s="73" t="str">
        <x:f>IFERROR(INDEX('계산도우미'!$B$5:$B$2004,MATCH(ROWS($A$5:A417),'계산도우미'!$K$5:$K$2004,0)),"")</x:f>
      </x:c>
      <x:c r="B417" s="73" t="str">
        <x:f>IF(A417="","",IFERROR(INDEX('당기원장'!$B$5:$B$1004,MATCH(A417,'당기원장'!$A$5:$A$1004,0)),IFERROR(INDEX('전기원장'!$B$5:$B$1004,MATCH(A417,'전기원장'!$A$5:$A$1004,0)),"")))</x:f>
      </x:c>
      <x:c r="C417" s="75" t="str">
        <x:f>IF(A417="","",SUMIF('전기원장'!$A$5:$A$1004,A417,'전기원장'!$H$5:$H$1004))</x:f>
      </x:c>
      <x:c r="D417" s="75" t="str">
        <x:f>IF(A417="","",SUMIF('당기원장'!$A$5:$A$1004,A417,'당기원장'!$H$5:$H$1004))</x:f>
      </x:c>
      <x:c r="E417" s="75" t="str">
        <x:f>IF(A417="","",D417-C417)</x:f>
      </x:c>
      <x:c r="F417" s="88" t="str">
        <x:f>IF(A417="","",IF(C417=0,IF(D417=0,0,1),ABS(E417)/ABS(C417)))</x:f>
      </x:c>
      <x:c r="G417" s="73" t="str">
        <x:f>IF(A417="","",IF(AND(C417=0,D417&lt;&gt;0),"신규",IF(AND(C417&lt;&gt;0,D417=0),"소멸",IF(E417=0,"변동없음","금액변동"))))</x:f>
      </x:c>
      <x:c r="H417" s="73" t="str">
        <x:f>IF(A417="","",IF(AND(ABS(E417)&gt;='기준설정'!$B$6,OR(G417="신규",G417="소멸",F417&gt;='기준설정'!$B$5)),"원인분석 대상","일반"))</x:f>
      </x:c>
      <x:c r="I417" s="73" t="str">
        <x:f>IF(A417="","",IF(H417="원인분석 대상","세부원인분석 시트에서 거래별 원인을 검토","-"))</x:f>
      </x:c>
      <x:c r="J417" s="73" t="str">
        <x:f>IF(A417="","",COUNTIFS('전기원장'!$A$5:$A$1004,A417,'전기원장'!$J$5:$J$1004,"확인 필요")+COUNTIFS('당기원장'!$A$5:$A$1004,A417,'당기원장'!$J$5:$J$1004,"확인 필요"))</x:f>
      </x:c>
      <x:c r="K417" s="85" t="str">
        <x:f>IF(A417="","",IF(H417&lt;&gt;"원인분석 대상","",IF(J417&gt;0,"붙임 문서 확인 후 원인 확정 필요","결의서명 기반 원인분류 검토")))</x:f>
      </x:c>
    </x:row>
    <x:row r="418">
      <x:c r="A418" s="73" t="str">
        <x:f>IFERROR(INDEX('계산도우미'!$B$5:$B$2004,MATCH(ROWS($A$5:A418),'계산도우미'!$K$5:$K$2004,0)),"")</x:f>
      </x:c>
      <x:c r="B418" s="73" t="str">
        <x:f>IF(A418="","",IFERROR(INDEX('당기원장'!$B$5:$B$1004,MATCH(A418,'당기원장'!$A$5:$A$1004,0)),IFERROR(INDEX('전기원장'!$B$5:$B$1004,MATCH(A418,'전기원장'!$A$5:$A$1004,0)),"")))</x:f>
      </x:c>
      <x:c r="C418" s="75" t="str">
        <x:f>IF(A418="","",SUMIF('전기원장'!$A$5:$A$1004,A418,'전기원장'!$H$5:$H$1004))</x:f>
      </x:c>
      <x:c r="D418" s="75" t="str">
        <x:f>IF(A418="","",SUMIF('당기원장'!$A$5:$A$1004,A418,'당기원장'!$H$5:$H$1004))</x:f>
      </x:c>
      <x:c r="E418" s="75" t="str">
        <x:f>IF(A418="","",D418-C418)</x:f>
      </x:c>
      <x:c r="F418" s="88" t="str">
        <x:f>IF(A418="","",IF(C418=0,IF(D418=0,0,1),ABS(E418)/ABS(C418)))</x:f>
      </x:c>
      <x:c r="G418" s="73" t="str">
        <x:f>IF(A418="","",IF(AND(C418=0,D418&lt;&gt;0),"신규",IF(AND(C418&lt;&gt;0,D418=0),"소멸",IF(E418=0,"변동없음","금액변동"))))</x:f>
      </x:c>
      <x:c r="H418" s="73" t="str">
        <x:f>IF(A418="","",IF(AND(ABS(E418)&gt;='기준설정'!$B$6,OR(G418="신규",G418="소멸",F418&gt;='기준설정'!$B$5)),"원인분석 대상","일반"))</x:f>
      </x:c>
      <x:c r="I418" s="73" t="str">
        <x:f>IF(A418="","",IF(H418="원인분석 대상","세부원인분석 시트에서 거래별 원인을 검토","-"))</x:f>
      </x:c>
      <x:c r="J418" s="73" t="str">
        <x:f>IF(A418="","",COUNTIFS('전기원장'!$A$5:$A$1004,A418,'전기원장'!$J$5:$J$1004,"확인 필요")+COUNTIFS('당기원장'!$A$5:$A$1004,A418,'당기원장'!$J$5:$J$1004,"확인 필요"))</x:f>
      </x:c>
      <x:c r="K418" s="85" t="str">
        <x:f>IF(A418="","",IF(H418&lt;&gt;"원인분석 대상","",IF(J418&gt;0,"붙임 문서 확인 후 원인 확정 필요","결의서명 기반 원인분류 검토")))</x:f>
      </x:c>
    </x:row>
    <x:row r="419">
      <x:c r="A419" s="73" t="str">
        <x:f>IFERROR(INDEX('계산도우미'!$B$5:$B$2004,MATCH(ROWS($A$5:A419),'계산도우미'!$K$5:$K$2004,0)),"")</x:f>
      </x:c>
      <x:c r="B419" s="73" t="str">
        <x:f>IF(A419="","",IFERROR(INDEX('당기원장'!$B$5:$B$1004,MATCH(A419,'당기원장'!$A$5:$A$1004,0)),IFERROR(INDEX('전기원장'!$B$5:$B$1004,MATCH(A419,'전기원장'!$A$5:$A$1004,0)),"")))</x:f>
      </x:c>
      <x:c r="C419" s="75" t="str">
        <x:f>IF(A419="","",SUMIF('전기원장'!$A$5:$A$1004,A419,'전기원장'!$H$5:$H$1004))</x:f>
      </x:c>
      <x:c r="D419" s="75" t="str">
        <x:f>IF(A419="","",SUMIF('당기원장'!$A$5:$A$1004,A419,'당기원장'!$H$5:$H$1004))</x:f>
      </x:c>
      <x:c r="E419" s="75" t="str">
        <x:f>IF(A419="","",D419-C419)</x:f>
      </x:c>
      <x:c r="F419" s="88" t="str">
        <x:f>IF(A419="","",IF(C419=0,IF(D419=0,0,1),ABS(E419)/ABS(C419)))</x:f>
      </x:c>
      <x:c r="G419" s="73" t="str">
        <x:f>IF(A419="","",IF(AND(C419=0,D419&lt;&gt;0),"신규",IF(AND(C419&lt;&gt;0,D419=0),"소멸",IF(E419=0,"변동없음","금액변동"))))</x:f>
      </x:c>
      <x:c r="H419" s="73" t="str">
        <x:f>IF(A419="","",IF(AND(ABS(E419)&gt;='기준설정'!$B$6,OR(G419="신규",G419="소멸",F419&gt;='기준설정'!$B$5)),"원인분석 대상","일반"))</x:f>
      </x:c>
      <x:c r="I419" s="73" t="str">
        <x:f>IF(A419="","",IF(H419="원인분석 대상","세부원인분석 시트에서 거래별 원인을 검토","-"))</x:f>
      </x:c>
      <x:c r="J419" s="73" t="str">
        <x:f>IF(A419="","",COUNTIFS('전기원장'!$A$5:$A$1004,A419,'전기원장'!$J$5:$J$1004,"확인 필요")+COUNTIFS('당기원장'!$A$5:$A$1004,A419,'당기원장'!$J$5:$J$1004,"확인 필요"))</x:f>
      </x:c>
      <x:c r="K419" s="85" t="str">
        <x:f>IF(A419="","",IF(H419&lt;&gt;"원인분석 대상","",IF(J419&gt;0,"붙임 문서 확인 후 원인 확정 필요","결의서명 기반 원인분류 검토")))</x:f>
      </x:c>
    </x:row>
    <x:row r="420">
      <x:c r="A420" s="73" t="str">
        <x:f>IFERROR(INDEX('계산도우미'!$B$5:$B$2004,MATCH(ROWS($A$5:A420),'계산도우미'!$K$5:$K$2004,0)),"")</x:f>
      </x:c>
      <x:c r="B420" s="73" t="str">
        <x:f>IF(A420="","",IFERROR(INDEX('당기원장'!$B$5:$B$1004,MATCH(A420,'당기원장'!$A$5:$A$1004,0)),IFERROR(INDEX('전기원장'!$B$5:$B$1004,MATCH(A420,'전기원장'!$A$5:$A$1004,0)),"")))</x:f>
      </x:c>
      <x:c r="C420" s="75" t="str">
        <x:f>IF(A420="","",SUMIF('전기원장'!$A$5:$A$1004,A420,'전기원장'!$H$5:$H$1004))</x:f>
      </x:c>
      <x:c r="D420" s="75" t="str">
        <x:f>IF(A420="","",SUMIF('당기원장'!$A$5:$A$1004,A420,'당기원장'!$H$5:$H$1004))</x:f>
      </x:c>
      <x:c r="E420" s="75" t="str">
        <x:f>IF(A420="","",D420-C420)</x:f>
      </x:c>
      <x:c r="F420" s="88" t="str">
        <x:f>IF(A420="","",IF(C420=0,IF(D420=0,0,1),ABS(E420)/ABS(C420)))</x:f>
      </x:c>
      <x:c r="G420" s="73" t="str">
        <x:f>IF(A420="","",IF(AND(C420=0,D420&lt;&gt;0),"신규",IF(AND(C420&lt;&gt;0,D420=0),"소멸",IF(E420=0,"변동없음","금액변동"))))</x:f>
      </x:c>
      <x:c r="H420" s="73" t="str">
        <x:f>IF(A420="","",IF(AND(ABS(E420)&gt;='기준설정'!$B$6,OR(G420="신규",G420="소멸",F420&gt;='기준설정'!$B$5)),"원인분석 대상","일반"))</x:f>
      </x:c>
      <x:c r="I420" s="73" t="str">
        <x:f>IF(A420="","",IF(H420="원인분석 대상","세부원인분석 시트에서 거래별 원인을 검토","-"))</x:f>
      </x:c>
      <x:c r="J420" s="73" t="str">
        <x:f>IF(A420="","",COUNTIFS('전기원장'!$A$5:$A$1004,A420,'전기원장'!$J$5:$J$1004,"확인 필요")+COUNTIFS('당기원장'!$A$5:$A$1004,A420,'당기원장'!$J$5:$J$1004,"확인 필요"))</x:f>
      </x:c>
      <x:c r="K420" s="85" t="str">
        <x:f>IF(A420="","",IF(H420&lt;&gt;"원인분석 대상","",IF(J420&gt;0,"붙임 문서 확인 후 원인 확정 필요","결의서명 기반 원인분류 검토")))</x:f>
      </x:c>
    </x:row>
    <x:row r="421">
      <x:c r="A421" s="73" t="str">
        <x:f>IFERROR(INDEX('계산도우미'!$B$5:$B$2004,MATCH(ROWS($A$5:A421),'계산도우미'!$K$5:$K$2004,0)),"")</x:f>
      </x:c>
      <x:c r="B421" s="73" t="str">
        <x:f>IF(A421="","",IFERROR(INDEX('당기원장'!$B$5:$B$1004,MATCH(A421,'당기원장'!$A$5:$A$1004,0)),IFERROR(INDEX('전기원장'!$B$5:$B$1004,MATCH(A421,'전기원장'!$A$5:$A$1004,0)),"")))</x:f>
      </x:c>
      <x:c r="C421" s="75" t="str">
        <x:f>IF(A421="","",SUMIF('전기원장'!$A$5:$A$1004,A421,'전기원장'!$H$5:$H$1004))</x:f>
      </x:c>
      <x:c r="D421" s="75" t="str">
        <x:f>IF(A421="","",SUMIF('당기원장'!$A$5:$A$1004,A421,'당기원장'!$H$5:$H$1004))</x:f>
      </x:c>
      <x:c r="E421" s="75" t="str">
        <x:f>IF(A421="","",D421-C421)</x:f>
      </x:c>
      <x:c r="F421" s="88" t="str">
        <x:f>IF(A421="","",IF(C421=0,IF(D421=0,0,1),ABS(E421)/ABS(C421)))</x:f>
      </x:c>
      <x:c r="G421" s="73" t="str">
        <x:f>IF(A421="","",IF(AND(C421=0,D421&lt;&gt;0),"신규",IF(AND(C421&lt;&gt;0,D421=0),"소멸",IF(E421=0,"변동없음","금액변동"))))</x:f>
      </x:c>
      <x:c r="H421" s="73" t="str">
        <x:f>IF(A421="","",IF(AND(ABS(E421)&gt;='기준설정'!$B$6,OR(G421="신규",G421="소멸",F421&gt;='기준설정'!$B$5)),"원인분석 대상","일반"))</x:f>
      </x:c>
      <x:c r="I421" s="73" t="str">
        <x:f>IF(A421="","",IF(H421="원인분석 대상","세부원인분석 시트에서 거래별 원인을 검토","-"))</x:f>
      </x:c>
      <x:c r="J421" s="73" t="str">
        <x:f>IF(A421="","",COUNTIFS('전기원장'!$A$5:$A$1004,A421,'전기원장'!$J$5:$J$1004,"확인 필요")+COUNTIFS('당기원장'!$A$5:$A$1004,A421,'당기원장'!$J$5:$J$1004,"확인 필요"))</x:f>
      </x:c>
      <x:c r="K421" s="85" t="str">
        <x:f>IF(A421="","",IF(H421&lt;&gt;"원인분석 대상","",IF(J421&gt;0,"붙임 문서 확인 후 원인 확정 필요","결의서명 기반 원인분류 검토")))</x:f>
      </x:c>
    </x:row>
    <x:row r="422">
      <x:c r="A422" s="73" t="str">
        <x:f>IFERROR(INDEX('계산도우미'!$B$5:$B$2004,MATCH(ROWS($A$5:A422),'계산도우미'!$K$5:$K$2004,0)),"")</x:f>
      </x:c>
      <x:c r="B422" s="73" t="str">
        <x:f>IF(A422="","",IFERROR(INDEX('당기원장'!$B$5:$B$1004,MATCH(A422,'당기원장'!$A$5:$A$1004,0)),IFERROR(INDEX('전기원장'!$B$5:$B$1004,MATCH(A422,'전기원장'!$A$5:$A$1004,0)),"")))</x:f>
      </x:c>
      <x:c r="C422" s="75" t="str">
        <x:f>IF(A422="","",SUMIF('전기원장'!$A$5:$A$1004,A422,'전기원장'!$H$5:$H$1004))</x:f>
      </x:c>
      <x:c r="D422" s="75" t="str">
        <x:f>IF(A422="","",SUMIF('당기원장'!$A$5:$A$1004,A422,'당기원장'!$H$5:$H$1004))</x:f>
      </x:c>
      <x:c r="E422" s="75" t="str">
        <x:f>IF(A422="","",D422-C422)</x:f>
      </x:c>
      <x:c r="F422" s="88" t="str">
        <x:f>IF(A422="","",IF(C422=0,IF(D422=0,0,1),ABS(E422)/ABS(C422)))</x:f>
      </x:c>
      <x:c r="G422" s="73" t="str">
        <x:f>IF(A422="","",IF(AND(C422=0,D422&lt;&gt;0),"신규",IF(AND(C422&lt;&gt;0,D422=0),"소멸",IF(E422=0,"변동없음","금액변동"))))</x:f>
      </x:c>
      <x:c r="H422" s="73" t="str">
        <x:f>IF(A422="","",IF(AND(ABS(E422)&gt;='기준설정'!$B$6,OR(G422="신규",G422="소멸",F422&gt;='기준설정'!$B$5)),"원인분석 대상","일반"))</x:f>
      </x:c>
      <x:c r="I422" s="73" t="str">
        <x:f>IF(A422="","",IF(H422="원인분석 대상","세부원인분석 시트에서 거래별 원인을 검토","-"))</x:f>
      </x:c>
      <x:c r="J422" s="73" t="str">
        <x:f>IF(A422="","",COUNTIFS('전기원장'!$A$5:$A$1004,A422,'전기원장'!$J$5:$J$1004,"확인 필요")+COUNTIFS('당기원장'!$A$5:$A$1004,A422,'당기원장'!$J$5:$J$1004,"확인 필요"))</x:f>
      </x:c>
      <x:c r="K422" s="85" t="str">
        <x:f>IF(A422="","",IF(H422&lt;&gt;"원인분석 대상","",IF(J422&gt;0,"붙임 문서 확인 후 원인 확정 필요","결의서명 기반 원인분류 검토")))</x:f>
      </x:c>
    </x:row>
    <x:row r="423">
      <x:c r="A423" s="73" t="str">
        <x:f>IFERROR(INDEX('계산도우미'!$B$5:$B$2004,MATCH(ROWS($A$5:A423),'계산도우미'!$K$5:$K$2004,0)),"")</x:f>
      </x:c>
      <x:c r="B423" s="73" t="str">
        <x:f>IF(A423="","",IFERROR(INDEX('당기원장'!$B$5:$B$1004,MATCH(A423,'당기원장'!$A$5:$A$1004,0)),IFERROR(INDEX('전기원장'!$B$5:$B$1004,MATCH(A423,'전기원장'!$A$5:$A$1004,0)),"")))</x:f>
      </x:c>
      <x:c r="C423" s="75" t="str">
        <x:f>IF(A423="","",SUMIF('전기원장'!$A$5:$A$1004,A423,'전기원장'!$H$5:$H$1004))</x:f>
      </x:c>
      <x:c r="D423" s="75" t="str">
        <x:f>IF(A423="","",SUMIF('당기원장'!$A$5:$A$1004,A423,'당기원장'!$H$5:$H$1004))</x:f>
      </x:c>
      <x:c r="E423" s="75" t="str">
        <x:f>IF(A423="","",D423-C423)</x:f>
      </x:c>
      <x:c r="F423" s="88" t="str">
        <x:f>IF(A423="","",IF(C423=0,IF(D423=0,0,1),ABS(E423)/ABS(C423)))</x:f>
      </x:c>
      <x:c r="G423" s="73" t="str">
        <x:f>IF(A423="","",IF(AND(C423=0,D423&lt;&gt;0),"신규",IF(AND(C423&lt;&gt;0,D423=0),"소멸",IF(E423=0,"변동없음","금액변동"))))</x:f>
      </x:c>
      <x:c r="H423" s="73" t="str">
        <x:f>IF(A423="","",IF(AND(ABS(E423)&gt;='기준설정'!$B$6,OR(G423="신규",G423="소멸",F423&gt;='기준설정'!$B$5)),"원인분석 대상","일반"))</x:f>
      </x:c>
      <x:c r="I423" s="73" t="str">
        <x:f>IF(A423="","",IF(H423="원인분석 대상","세부원인분석 시트에서 거래별 원인을 검토","-"))</x:f>
      </x:c>
      <x:c r="J423" s="73" t="str">
        <x:f>IF(A423="","",COUNTIFS('전기원장'!$A$5:$A$1004,A423,'전기원장'!$J$5:$J$1004,"확인 필요")+COUNTIFS('당기원장'!$A$5:$A$1004,A423,'당기원장'!$J$5:$J$1004,"확인 필요"))</x:f>
      </x:c>
      <x:c r="K423" s="85" t="str">
        <x:f>IF(A423="","",IF(H423&lt;&gt;"원인분석 대상","",IF(J423&gt;0,"붙임 문서 확인 후 원인 확정 필요","결의서명 기반 원인분류 검토")))</x:f>
      </x:c>
    </x:row>
    <x:row r="424">
      <x:c r="A424" s="73" t="str">
        <x:f>IFERROR(INDEX('계산도우미'!$B$5:$B$2004,MATCH(ROWS($A$5:A424),'계산도우미'!$K$5:$K$2004,0)),"")</x:f>
      </x:c>
      <x:c r="B424" s="73" t="str">
        <x:f>IF(A424="","",IFERROR(INDEX('당기원장'!$B$5:$B$1004,MATCH(A424,'당기원장'!$A$5:$A$1004,0)),IFERROR(INDEX('전기원장'!$B$5:$B$1004,MATCH(A424,'전기원장'!$A$5:$A$1004,0)),"")))</x:f>
      </x:c>
      <x:c r="C424" s="75" t="str">
        <x:f>IF(A424="","",SUMIF('전기원장'!$A$5:$A$1004,A424,'전기원장'!$H$5:$H$1004))</x:f>
      </x:c>
      <x:c r="D424" s="75" t="str">
        <x:f>IF(A424="","",SUMIF('당기원장'!$A$5:$A$1004,A424,'당기원장'!$H$5:$H$1004))</x:f>
      </x:c>
      <x:c r="E424" s="75" t="str">
        <x:f>IF(A424="","",D424-C424)</x:f>
      </x:c>
      <x:c r="F424" s="88" t="str">
        <x:f>IF(A424="","",IF(C424=0,IF(D424=0,0,1),ABS(E424)/ABS(C424)))</x:f>
      </x:c>
      <x:c r="G424" s="73" t="str">
        <x:f>IF(A424="","",IF(AND(C424=0,D424&lt;&gt;0),"신규",IF(AND(C424&lt;&gt;0,D424=0),"소멸",IF(E424=0,"변동없음","금액변동"))))</x:f>
      </x:c>
      <x:c r="H424" s="73" t="str">
        <x:f>IF(A424="","",IF(AND(ABS(E424)&gt;='기준설정'!$B$6,OR(G424="신규",G424="소멸",F424&gt;='기준설정'!$B$5)),"원인분석 대상","일반"))</x:f>
      </x:c>
      <x:c r="I424" s="73" t="str">
        <x:f>IF(A424="","",IF(H424="원인분석 대상","세부원인분석 시트에서 거래별 원인을 검토","-"))</x:f>
      </x:c>
      <x:c r="J424" s="73" t="str">
        <x:f>IF(A424="","",COUNTIFS('전기원장'!$A$5:$A$1004,A424,'전기원장'!$J$5:$J$1004,"확인 필요")+COUNTIFS('당기원장'!$A$5:$A$1004,A424,'당기원장'!$J$5:$J$1004,"확인 필요"))</x:f>
      </x:c>
      <x:c r="K424" s="85" t="str">
        <x:f>IF(A424="","",IF(H424&lt;&gt;"원인분석 대상","",IF(J424&gt;0,"붙임 문서 확인 후 원인 확정 필요","결의서명 기반 원인분류 검토")))</x:f>
      </x:c>
    </x:row>
    <x:row r="425">
      <x:c r="A425" s="73" t="str">
        <x:f>IFERROR(INDEX('계산도우미'!$B$5:$B$2004,MATCH(ROWS($A$5:A425),'계산도우미'!$K$5:$K$2004,0)),"")</x:f>
      </x:c>
      <x:c r="B425" s="73" t="str">
        <x:f>IF(A425="","",IFERROR(INDEX('당기원장'!$B$5:$B$1004,MATCH(A425,'당기원장'!$A$5:$A$1004,0)),IFERROR(INDEX('전기원장'!$B$5:$B$1004,MATCH(A425,'전기원장'!$A$5:$A$1004,0)),"")))</x:f>
      </x:c>
      <x:c r="C425" s="75" t="str">
        <x:f>IF(A425="","",SUMIF('전기원장'!$A$5:$A$1004,A425,'전기원장'!$H$5:$H$1004))</x:f>
      </x:c>
      <x:c r="D425" s="75" t="str">
        <x:f>IF(A425="","",SUMIF('당기원장'!$A$5:$A$1004,A425,'당기원장'!$H$5:$H$1004))</x:f>
      </x:c>
      <x:c r="E425" s="75" t="str">
        <x:f>IF(A425="","",D425-C425)</x:f>
      </x:c>
      <x:c r="F425" s="88" t="str">
        <x:f>IF(A425="","",IF(C425=0,IF(D425=0,0,1),ABS(E425)/ABS(C425)))</x:f>
      </x:c>
      <x:c r="G425" s="73" t="str">
        <x:f>IF(A425="","",IF(AND(C425=0,D425&lt;&gt;0),"신규",IF(AND(C425&lt;&gt;0,D425=0),"소멸",IF(E425=0,"변동없음","금액변동"))))</x:f>
      </x:c>
      <x:c r="H425" s="73" t="str">
        <x:f>IF(A425="","",IF(AND(ABS(E425)&gt;='기준설정'!$B$6,OR(G425="신규",G425="소멸",F425&gt;='기준설정'!$B$5)),"원인분석 대상","일반"))</x:f>
      </x:c>
      <x:c r="I425" s="73" t="str">
        <x:f>IF(A425="","",IF(H425="원인분석 대상","세부원인분석 시트에서 거래별 원인을 검토","-"))</x:f>
      </x:c>
      <x:c r="J425" s="73" t="str">
        <x:f>IF(A425="","",COUNTIFS('전기원장'!$A$5:$A$1004,A425,'전기원장'!$J$5:$J$1004,"확인 필요")+COUNTIFS('당기원장'!$A$5:$A$1004,A425,'당기원장'!$J$5:$J$1004,"확인 필요"))</x:f>
      </x:c>
      <x:c r="K425" s="85" t="str">
        <x:f>IF(A425="","",IF(H425&lt;&gt;"원인분석 대상","",IF(J425&gt;0,"붙임 문서 확인 후 원인 확정 필요","결의서명 기반 원인분류 검토")))</x:f>
      </x:c>
    </x:row>
    <x:row r="426">
      <x:c r="A426" s="73" t="str">
        <x:f>IFERROR(INDEX('계산도우미'!$B$5:$B$2004,MATCH(ROWS($A$5:A426),'계산도우미'!$K$5:$K$2004,0)),"")</x:f>
      </x:c>
      <x:c r="B426" s="73" t="str">
        <x:f>IF(A426="","",IFERROR(INDEX('당기원장'!$B$5:$B$1004,MATCH(A426,'당기원장'!$A$5:$A$1004,0)),IFERROR(INDEX('전기원장'!$B$5:$B$1004,MATCH(A426,'전기원장'!$A$5:$A$1004,0)),"")))</x:f>
      </x:c>
      <x:c r="C426" s="75" t="str">
        <x:f>IF(A426="","",SUMIF('전기원장'!$A$5:$A$1004,A426,'전기원장'!$H$5:$H$1004))</x:f>
      </x:c>
      <x:c r="D426" s="75" t="str">
        <x:f>IF(A426="","",SUMIF('당기원장'!$A$5:$A$1004,A426,'당기원장'!$H$5:$H$1004))</x:f>
      </x:c>
      <x:c r="E426" s="75" t="str">
        <x:f>IF(A426="","",D426-C426)</x:f>
      </x:c>
      <x:c r="F426" s="88" t="str">
        <x:f>IF(A426="","",IF(C426=0,IF(D426=0,0,1),ABS(E426)/ABS(C426)))</x:f>
      </x:c>
      <x:c r="G426" s="73" t="str">
        <x:f>IF(A426="","",IF(AND(C426=0,D426&lt;&gt;0),"신규",IF(AND(C426&lt;&gt;0,D426=0),"소멸",IF(E426=0,"변동없음","금액변동"))))</x:f>
      </x:c>
      <x:c r="H426" s="73" t="str">
        <x:f>IF(A426="","",IF(AND(ABS(E426)&gt;='기준설정'!$B$6,OR(G426="신규",G426="소멸",F426&gt;='기준설정'!$B$5)),"원인분석 대상","일반"))</x:f>
      </x:c>
      <x:c r="I426" s="73" t="str">
        <x:f>IF(A426="","",IF(H426="원인분석 대상","세부원인분석 시트에서 거래별 원인을 검토","-"))</x:f>
      </x:c>
      <x:c r="J426" s="73" t="str">
        <x:f>IF(A426="","",COUNTIFS('전기원장'!$A$5:$A$1004,A426,'전기원장'!$J$5:$J$1004,"확인 필요")+COUNTIFS('당기원장'!$A$5:$A$1004,A426,'당기원장'!$J$5:$J$1004,"확인 필요"))</x:f>
      </x:c>
      <x:c r="K426" s="85" t="str">
        <x:f>IF(A426="","",IF(H426&lt;&gt;"원인분석 대상","",IF(J426&gt;0,"붙임 문서 확인 후 원인 확정 필요","결의서명 기반 원인분류 검토")))</x:f>
      </x:c>
    </x:row>
    <x:row r="427">
      <x:c r="A427" s="73" t="str">
        <x:f>IFERROR(INDEX('계산도우미'!$B$5:$B$2004,MATCH(ROWS($A$5:A427),'계산도우미'!$K$5:$K$2004,0)),"")</x:f>
      </x:c>
      <x:c r="B427" s="73" t="str">
        <x:f>IF(A427="","",IFERROR(INDEX('당기원장'!$B$5:$B$1004,MATCH(A427,'당기원장'!$A$5:$A$1004,0)),IFERROR(INDEX('전기원장'!$B$5:$B$1004,MATCH(A427,'전기원장'!$A$5:$A$1004,0)),"")))</x:f>
      </x:c>
      <x:c r="C427" s="75" t="str">
        <x:f>IF(A427="","",SUMIF('전기원장'!$A$5:$A$1004,A427,'전기원장'!$H$5:$H$1004))</x:f>
      </x:c>
      <x:c r="D427" s="75" t="str">
        <x:f>IF(A427="","",SUMIF('당기원장'!$A$5:$A$1004,A427,'당기원장'!$H$5:$H$1004))</x:f>
      </x:c>
      <x:c r="E427" s="75" t="str">
        <x:f>IF(A427="","",D427-C427)</x:f>
      </x:c>
      <x:c r="F427" s="88" t="str">
        <x:f>IF(A427="","",IF(C427=0,IF(D427=0,0,1),ABS(E427)/ABS(C427)))</x:f>
      </x:c>
      <x:c r="G427" s="73" t="str">
        <x:f>IF(A427="","",IF(AND(C427=0,D427&lt;&gt;0),"신규",IF(AND(C427&lt;&gt;0,D427=0),"소멸",IF(E427=0,"변동없음","금액변동"))))</x:f>
      </x:c>
      <x:c r="H427" s="73" t="str">
        <x:f>IF(A427="","",IF(AND(ABS(E427)&gt;='기준설정'!$B$6,OR(G427="신규",G427="소멸",F427&gt;='기준설정'!$B$5)),"원인분석 대상","일반"))</x:f>
      </x:c>
      <x:c r="I427" s="73" t="str">
        <x:f>IF(A427="","",IF(H427="원인분석 대상","세부원인분석 시트에서 거래별 원인을 검토","-"))</x:f>
      </x:c>
      <x:c r="J427" s="73" t="str">
        <x:f>IF(A427="","",COUNTIFS('전기원장'!$A$5:$A$1004,A427,'전기원장'!$J$5:$J$1004,"확인 필요")+COUNTIFS('당기원장'!$A$5:$A$1004,A427,'당기원장'!$J$5:$J$1004,"확인 필요"))</x:f>
      </x:c>
      <x:c r="K427" s="85" t="str">
        <x:f>IF(A427="","",IF(H427&lt;&gt;"원인분석 대상","",IF(J427&gt;0,"붙임 문서 확인 후 원인 확정 필요","결의서명 기반 원인분류 검토")))</x:f>
      </x:c>
    </x:row>
    <x:row r="428">
      <x:c r="A428" s="73" t="str">
        <x:f>IFERROR(INDEX('계산도우미'!$B$5:$B$2004,MATCH(ROWS($A$5:A428),'계산도우미'!$K$5:$K$2004,0)),"")</x:f>
      </x:c>
      <x:c r="B428" s="73" t="str">
        <x:f>IF(A428="","",IFERROR(INDEX('당기원장'!$B$5:$B$1004,MATCH(A428,'당기원장'!$A$5:$A$1004,0)),IFERROR(INDEX('전기원장'!$B$5:$B$1004,MATCH(A428,'전기원장'!$A$5:$A$1004,0)),"")))</x:f>
      </x:c>
      <x:c r="C428" s="75" t="str">
        <x:f>IF(A428="","",SUMIF('전기원장'!$A$5:$A$1004,A428,'전기원장'!$H$5:$H$1004))</x:f>
      </x:c>
      <x:c r="D428" s="75" t="str">
        <x:f>IF(A428="","",SUMIF('당기원장'!$A$5:$A$1004,A428,'당기원장'!$H$5:$H$1004))</x:f>
      </x:c>
      <x:c r="E428" s="75" t="str">
        <x:f>IF(A428="","",D428-C428)</x:f>
      </x:c>
      <x:c r="F428" s="88" t="str">
        <x:f>IF(A428="","",IF(C428=0,IF(D428=0,0,1),ABS(E428)/ABS(C428)))</x:f>
      </x:c>
      <x:c r="G428" s="73" t="str">
        <x:f>IF(A428="","",IF(AND(C428=0,D428&lt;&gt;0),"신규",IF(AND(C428&lt;&gt;0,D428=0),"소멸",IF(E428=0,"변동없음","금액변동"))))</x:f>
      </x:c>
      <x:c r="H428" s="73" t="str">
        <x:f>IF(A428="","",IF(AND(ABS(E428)&gt;='기준설정'!$B$6,OR(G428="신규",G428="소멸",F428&gt;='기준설정'!$B$5)),"원인분석 대상","일반"))</x:f>
      </x:c>
      <x:c r="I428" s="73" t="str">
        <x:f>IF(A428="","",IF(H428="원인분석 대상","세부원인분석 시트에서 거래별 원인을 검토","-"))</x:f>
      </x:c>
      <x:c r="J428" s="73" t="str">
        <x:f>IF(A428="","",COUNTIFS('전기원장'!$A$5:$A$1004,A428,'전기원장'!$J$5:$J$1004,"확인 필요")+COUNTIFS('당기원장'!$A$5:$A$1004,A428,'당기원장'!$J$5:$J$1004,"확인 필요"))</x:f>
      </x:c>
      <x:c r="K428" s="85" t="str">
        <x:f>IF(A428="","",IF(H428&lt;&gt;"원인분석 대상","",IF(J428&gt;0,"붙임 문서 확인 후 원인 확정 필요","결의서명 기반 원인분류 검토")))</x:f>
      </x:c>
    </x:row>
    <x:row r="429">
      <x:c r="A429" s="73" t="str">
        <x:f>IFERROR(INDEX('계산도우미'!$B$5:$B$2004,MATCH(ROWS($A$5:A429),'계산도우미'!$K$5:$K$2004,0)),"")</x:f>
      </x:c>
      <x:c r="B429" s="73" t="str">
        <x:f>IF(A429="","",IFERROR(INDEX('당기원장'!$B$5:$B$1004,MATCH(A429,'당기원장'!$A$5:$A$1004,0)),IFERROR(INDEX('전기원장'!$B$5:$B$1004,MATCH(A429,'전기원장'!$A$5:$A$1004,0)),"")))</x:f>
      </x:c>
      <x:c r="C429" s="75" t="str">
        <x:f>IF(A429="","",SUMIF('전기원장'!$A$5:$A$1004,A429,'전기원장'!$H$5:$H$1004))</x:f>
      </x:c>
      <x:c r="D429" s="75" t="str">
        <x:f>IF(A429="","",SUMIF('당기원장'!$A$5:$A$1004,A429,'당기원장'!$H$5:$H$1004))</x:f>
      </x:c>
      <x:c r="E429" s="75" t="str">
        <x:f>IF(A429="","",D429-C429)</x:f>
      </x:c>
      <x:c r="F429" s="88" t="str">
        <x:f>IF(A429="","",IF(C429=0,IF(D429=0,0,1),ABS(E429)/ABS(C429)))</x:f>
      </x:c>
      <x:c r="G429" s="73" t="str">
        <x:f>IF(A429="","",IF(AND(C429=0,D429&lt;&gt;0),"신규",IF(AND(C429&lt;&gt;0,D429=0),"소멸",IF(E429=0,"변동없음","금액변동"))))</x:f>
      </x:c>
      <x:c r="H429" s="73" t="str">
        <x:f>IF(A429="","",IF(AND(ABS(E429)&gt;='기준설정'!$B$6,OR(G429="신규",G429="소멸",F429&gt;='기준설정'!$B$5)),"원인분석 대상","일반"))</x:f>
      </x:c>
      <x:c r="I429" s="73" t="str">
        <x:f>IF(A429="","",IF(H429="원인분석 대상","세부원인분석 시트에서 거래별 원인을 검토","-"))</x:f>
      </x:c>
      <x:c r="J429" s="73" t="str">
        <x:f>IF(A429="","",COUNTIFS('전기원장'!$A$5:$A$1004,A429,'전기원장'!$J$5:$J$1004,"확인 필요")+COUNTIFS('당기원장'!$A$5:$A$1004,A429,'당기원장'!$J$5:$J$1004,"확인 필요"))</x:f>
      </x:c>
      <x:c r="K429" s="85" t="str">
        <x:f>IF(A429="","",IF(H429&lt;&gt;"원인분석 대상","",IF(J429&gt;0,"붙임 문서 확인 후 원인 확정 필요","결의서명 기반 원인분류 검토")))</x:f>
      </x:c>
    </x:row>
    <x:row r="430">
      <x:c r="A430" s="73" t="str">
        <x:f>IFERROR(INDEX('계산도우미'!$B$5:$B$2004,MATCH(ROWS($A$5:A430),'계산도우미'!$K$5:$K$2004,0)),"")</x:f>
      </x:c>
      <x:c r="B430" s="73" t="str">
        <x:f>IF(A430="","",IFERROR(INDEX('당기원장'!$B$5:$B$1004,MATCH(A430,'당기원장'!$A$5:$A$1004,0)),IFERROR(INDEX('전기원장'!$B$5:$B$1004,MATCH(A430,'전기원장'!$A$5:$A$1004,0)),"")))</x:f>
      </x:c>
      <x:c r="C430" s="75" t="str">
        <x:f>IF(A430="","",SUMIF('전기원장'!$A$5:$A$1004,A430,'전기원장'!$H$5:$H$1004))</x:f>
      </x:c>
      <x:c r="D430" s="75" t="str">
        <x:f>IF(A430="","",SUMIF('당기원장'!$A$5:$A$1004,A430,'당기원장'!$H$5:$H$1004))</x:f>
      </x:c>
      <x:c r="E430" s="75" t="str">
        <x:f>IF(A430="","",D430-C430)</x:f>
      </x:c>
      <x:c r="F430" s="88" t="str">
        <x:f>IF(A430="","",IF(C430=0,IF(D430=0,0,1),ABS(E430)/ABS(C430)))</x:f>
      </x:c>
      <x:c r="G430" s="73" t="str">
        <x:f>IF(A430="","",IF(AND(C430=0,D430&lt;&gt;0),"신규",IF(AND(C430&lt;&gt;0,D430=0),"소멸",IF(E430=0,"변동없음","금액변동"))))</x:f>
      </x:c>
      <x:c r="H430" s="73" t="str">
        <x:f>IF(A430="","",IF(AND(ABS(E430)&gt;='기준설정'!$B$6,OR(G430="신규",G430="소멸",F430&gt;='기준설정'!$B$5)),"원인분석 대상","일반"))</x:f>
      </x:c>
      <x:c r="I430" s="73" t="str">
        <x:f>IF(A430="","",IF(H430="원인분석 대상","세부원인분석 시트에서 거래별 원인을 검토","-"))</x:f>
      </x:c>
      <x:c r="J430" s="73" t="str">
        <x:f>IF(A430="","",COUNTIFS('전기원장'!$A$5:$A$1004,A430,'전기원장'!$J$5:$J$1004,"확인 필요")+COUNTIFS('당기원장'!$A$5:$A$1004,A430,'당기원장'!$J$5:$J$1004,"확인 필요"))</x:f>
      </x:c>
      <x:c r="K430" s="85" t="str">
        <x:f>IF(A430="","",IF(H430&lt;&gt;"원인분석 대상","",IF(J430&gt;0,"붙임 문서 확인 후 원인 확정 필요","결의서명 기반 원인분류 검토")))</x:f>
      </x:c>
    </x:row>
    <x:row r="431">
      <x:c r="A431" s="73" t="str">
        <x:f>IFERROR(INDEX('계산도우미'!$B$5:$B$2004,MATCH(ROWS($A$5:A431),'계산도우미'!$K$5:$K$2004,0)),"")</x:f>
      </x:c>
      <x:c r="B431" s="73" t="str">
        <x:f>IF(A431="","",IFERROR(INDEX('당기원장'!$B$5:$B$1004,MATCH(A431,'당기원장'!$A$5:$A$1004,0)),IFERROR(INDEX('전기원장'!$B$5:$B$1004,MATCH(A431,'전기원장'!$A$5:$A$1004,0)),"")))</x:f>
      </x:c>
      <x:c r="C431" s="75" t="str">
        <x:f>IF(A431="","",SUMIF('전기원장'!$A$5:$A$1004,A431,'전기원장'!$H$5:$H$1004))</x:f>
      </x:c>
      <x:c r="D431" s="75" t="str">
        <x:f>IF(A431="","",SUMIF('당기원장'!$A$5:$A$1004,A431,'당기원장'!$H$5:$H$1004))</x:f>
      </x:c>
      <x:c r="E431" s="75" t="str">
        <x:f>IF(A431="","",D431-C431)</x:f>
      </x:c>
      <x:c r="F431" s="88" t="str">
        <x:f>IF(A431="","",IF(C431=0,IF(D431=0,0,1),ABS(E431)/ABS(C431)))</x:f>
      </x:c>
      <x:c r="G431" s="73" t="str">
        <x:f>IF(A431="","",IF(AND(C431=0,D431&lt;&gt;0),"신규",IF(AND(C431&lt;&gt;0,D431=0),"소멸",IF(E431=0,"변동없음","금액변동"))))</x:f>
      </x:c>
      <x:c r="H431" s="73" t="str">
        <x:f>IF(A431="","",IF(AND(ABS(E431)&gt;='기준설정'!$B$6,OR(G431="신규",G431="소멸",F431&gt;='기준설정'!$B$5)),"원인분석 대상","일반"))</x:f>
      </x:c>
      <x:c r="I431" s="73" t="str">
        <x:f>IF(A431="","",IF(H431="원인분석 대상","세부원인분석 시트에서 거래별 원인을 검토","-"))</x:f>
      </x:c>
      <x:c r="J431" s="73" t="str">
        <x:f>IF(A431="","",COUNTIFS('전기원장'!$A$5:$A$1004,A431,'전기원장'!$J$5:$J$1004,"확인 필요")+COUNTIFS('당기원장'!$A$5:$A$1004,A431,'당기원장'!$J$5:$J$1004,"확인 필요"))</x:f>
      </x:c>
      <x:c r="K431" s="85" t="str">
        <x:f>IF(A431="","",IF(H431&lt;&gt;"원인분석 대상","",IF(J431&gt;0,"붙임 문서 확인 후 원인 확정 필요","결의서명 기반 원인분류 검토")))</x:f>
      </x:c>
    </x:row>
    <x:row r="432">
      <x:c r="A432" s="73" t="str">
        <x:f>IFERROR(INDEX('계산도우미'!$B$5:$B$2004,MATCH(ROWS($A$5:A432),'계산도우미'!$K$5:$K$2004,0)),"")</x:f>
      </x:c>
      <x:c r="B432" s="73" t="str">
        <x:f>IF(A432="","",IFERROR(INDEX('당기원장'!$B$5:$B$1004,MATCH(A432,'당기원장'!$A$5:$A$1004,0)),IFERROR(INDEX('전기원장'!$B$5:$B$1004,MATCH(A432,'전기원장'!$A$5:$A$1004,0)),"")))</x:f>
      </x:c>
      <x:c r="C432" s="75" t="str">
        <x:f>IF(A432="","",SUMIF('전기원장'!$A$5:$A$1004,A432,'전기원장'!$H$5:$H$1004))</x:f>
      </x:c>
      <x:c r="D432" s="75" t="str">
        <x:f>IF(A432="","",SUMIF('당기원장'!$A$5:$A$1004,A432,'당기원장'!$H$5:$H$1004))</x:f>
      </x:c>
      <x:c r="E432" s="75" t="str">
        <x:f>IF(A432="","",D432-C432)</x:f>
      </x:c>
      <x:c r="F432" s="88" t="str">
        <x:f>IF(A432="","",IF(C432=0,IF(D432=0,0,1),ABS(E432)/ABS(C432)))</x:f>
      </x:c>
      <x:c r="G432" s="73" t="str">
        <x:f>IF(A432="","",IF(AND(C432=0,D432&lt;&gt;0),"신규",IF(AND(C432&lt;&gt;0,D432=0),"소멸",IF(E432=0,"변동없음","금액변동"))))</x:f>
      </x:c>
      <x:c r="H432" s="73" t="str">
        <x:f>IF(A432="","",IF(AND(ABS(E432)&gt;='기준설정'!$B$6,OR(G432="신규",G432="소멸",F432&gt;='기준설정'!$B$5)),"원인분석 대상","일반"))</x:f>
      </x:c>
      <x:c r="I432" s="73" t="str">
        <x:f>IF(A432="","",IF(H432="원인분석 대상","세부원인분석 시트에서 거래별 원인을 검토","-"))</x:f>
      </x:c>
      <x:c r="J432" s="73" t="str">
        <x:f>IF(A432="","",COUNTIFS('전기원장'!$A$5:$A$1004,A432,'전기원장'!$J$5:$J$1004,"확인 필요")+COUNTIFS('당기원장'!$A$5:$A$1004,A432,'당기원장'!$J$5:$J$1004,"확인 필요"))</x:f>
      </x:c>
      <x:c r="K432" s="85" t="str">
        <x:f>IF(A432="","",IF(H432&lt;&gt;"원인분석 대상","",IF(J432&gt;0,"붙임 문서 확인 후 원인 확정 필요","결의서명 기반 원인분류 검토")))</x:f>
      </x:c>
    </x:row>
    <x:row r="433">
      <x:c r="A433" s="73" t="str">
        <x:f>IFERROR(INDEX('계산도우미'!$B$5:$B$2004,MATCH(ROWS($A$5:A433),'계산도우미'!$K$5:$K$2004,0)),"")</x:f>
      </x:c>
      <x:c r="B433" s="73" t="str">
        <x:f>IF(A433="","",IFERROR(INDEX('당기원장'!$B$5:$B$1004,MATCH(A433,'당기원장'!$A$5:$A$1004,0)),IFERROR(INDEX('전기원장'!$B$5:$B$1004,MATCH(A433,'전기원장'!$A$5:$A$1004,0)),"")))</x:f>
      </x:c>
      <x:c r="C433" s="75" t="str">
        <x:f>IF(A433="","",SUMIF('전기원장'!$A$5:$A$1004,A433,'전기원장'!$H$5:$H$1004))</x:f>
      </x:c>
      <x:c r="D433" s="75" t="str">
        <x:f>IF(A433="","",SUMIF('당기원장'!$A$5:$A$1004,A433,'당기원장'!$H$5:$H$1004))</x:f>
      </x:c>
      <x:c r="E433" s="75" t="str">
        <x:f>IF(A433="","",D433-C433)</x:f>
      </x:c>
      <x:c r="F433" s="88" t="str">
        <x:f>IF(A433="","",IF(C433=0,IF(D433=0,0,1),ABS(E433)/ABS(C433)))</x:f>
      </x:c>
      <x:c r="G433" s="73" t="str">
        <x:f>IF(A433="","",IF(AND(C433=0,D433&lt;&gt;0),"신규",IF(AND(C433&lt;&gt;0,D433=0),"소멸",IF(E433=0,"변동없음","금액변동"))))</x:f>
      </x:c>
      <x:c r="H433" s="73" t="str">
        <x:f>IF(A433="","",IF(AND(ABS(E433)&gt;='기준설정'!$B$6,OR(G433="신규",G433="소멸",F433&gt;='기준설정'!$B$5)),"원인분석 대상","일반"))</x:f>
      </x:c>
      <x:c r="I433" s="73" t="str">
        <x:f>IF(A433="","",IF(H433="원인분석 대상","세부원인분석 시트에서 거래별 원인을 검토","-"))</x:f>
      </x:c>
      <x:c r="J433" s="73" t="str">
        <x:f>IF(A433="","",COUNTIFS('전기원장'!$A$5:$A$1004,A433,'전기원장'!$J$5:$J$1004,"확인 필요")+COUNTIFS('당기원장'!$A$5:$A$1004,A433,'당기원장'!$J$5:$J$1004,"확인 필요"))</x:f>
      </x:c>
      <x:c r="K433" s="85" t="str">
        <x:f>IF(A433="","",IF(H433&lt;&gt;"원인분석 대상","",IF(J433&gt;0,"붙임 문서 확인 후 원인 확정 필요","결의서명 기반 원인분류 검토")))</x:f>
      </x:c>
    </x:row>
    <x:row r="434">
      <x:c r="A434" s="73" t="str">
        <x:f>IFERROR(INDEX('계산도우미'!$B$5:$B$2004,MATCH(ROWS($A$5:A434),'계산도우미'!$K$5:$K$2004,0)),"")</x:f>
      </x:c>
      <x:c r="B434" s="73" t="str">
        <x:f>IF(A434="","",IFERROR(INDEX('당기원장'!$B$5:$B$1004,MATCH(A434,'당기원장'!$A$5:$A$1004,0)),IFERROR(INDEX('전기원장'!$B$5:$B$1004,MATCH(A434,'전기원장'!$A$5:$A$1004,0)),"")))</x:f>
      </x:c>
      <x:c r="C434" s="75" t="str">
        <x:f>IF(A434="","",SUMIF('전기원장'!$A$5:$A$1004,A434,'전기원장'!$H$5:$H$1004))</x:f>
      </x:c>
      <x:c r="D434" s="75" t="str">
        <x:f>IF(A434="","",SUMIF('당기원장'!$A$5:$A$1004,A434,'당기원장'!$H$5:$H$1004))</x:f>
      </x:c>
      <x:c r="E434" s="75" t="str">
        <x:f>IF(A434="","",D434-C434)</x:f>
      </x:c>
      <x:c r="F434" s="88" t="str">
        <x:f>IF(A434="","",IF(C434=0,IF(D434=0,0,1),ABS(E434)/ABS(C434)))</x:f>
      </x:c>
      <x:c r="G434" s="73" t="str">
        <x:f>IF(A434="","",IF(AND(C434=0,D434&lt;&gt;0),"신규",IF(AND(C434&lt;&gt;0,D434=0),"소멸",IF(E434=0,"변동없음","금액변동"))))</x:f>
      </x:c>
      <x:c r="H434" s="73" t="str">
        <x:f>IF(A434="","",IF(AND(ABS(E434)&gt;='기준설정'!$B$6,OR(G434="신규",G434="소멸",F434&gt;='기준설정'!$B$5)),"원인분석 대상","일반"))</x:f>
      </x:c>
      <x:c r="I434" s="73" t="str">
        <x:f>IF(A434="","",IF(H434="원인분석 대상","세부원인분석 시트에서 거래별 원인을 검토","-"))</x:f>
      </x:c>
      <x:c r="J434" s="73" t="str">
        <x:f>IF(A434="","",COUNTIFS('전기원장'!$A$5:$A$1004,A434,'전기원장'!$J$5:$J$1004,"확인 필요")+COUNTIFS('당기원장'!$A$5:$A$1004,A434,'당기원장'!$J$5:$J$1004,"확인 필요"))</x:f>
      </x:c>
      <x:c r="K434" s="85" t="str">
        <x:f>IF(A434="","",IF(H434&lt;&gt;"원인분석 대상","",IF(J434&gt;0,"붙임 문서 확인 후 원인 확정 필요","결의서명 기반 원인분류 검토")))</x:f>
      </x:c>
    </x:row>
    <x:row r="435">
      <x:c r="A435" s="73" t="str">
        <x:f>IFERROR(INDEX('계산도우미'!$B$5:$B$2004,MATCH(ROWS($A$5:A435),'계산도우미'!$K$5:$K$2004,0)),"")</x:f>
      </x:c>
      <x:c r="B435" s="73" t="str">
        <x:f>IF(A435="","",IFERROR(INDEX('당기원장'!$B$5:$B$1004,MATCH(A435,'당기원장'!$A$5:$A$1004,0)),IFERROR(INDEX('전기원장'!$B$5:$B$1004,MATCH(A435,'전기원장'!$A$5:$A$1004,0)),"")))</x:f>
      </x:c>
      <x:c r="C435" s="75" t="str">
        <x:f>IF(A435="","",SUMIF('전기원장'!$A$5:$A$1004,A435,'전기원장'!$H$5:$H$1004))</x:f>
      </x:c>
      <x:c r="D435" s="75" t="str">
        <x:f>IF(A435="","",SUMIF('당기원장'!$A$5:$A$1004,A435,'당기원장'!$H$5:$H$1004))</x:f>
      </x:c>
      <x:c r="E435" s="75" t="str">
        <x:f>IF(A435="","",D435-C435)</x:f>
      </x:c>
      <x:c r="F435" s="88" t="str">
        <x:f>IF(A435="","",IF(C435=0,IF(D435=0,0,1),ABS(E435)/ABS(C435)))</x:f>
      </x:c>
      <x:c r="G435" s="73" t="str">
        <x:f>IF(A435="","",IF(AND(C435=0,D435&lt;&gt;0),"신규",IF(AND(C435&lt;&gt;0,D435=0),"소멸",IF(E435=0,"변동없음","금액변동"))))</x:f>
      </x:c>
      <x:c r="H435" s="73" t="str">
        <x:f>IF(A435="","",IF(AND(ABS(E435)&gt;='기준설정'!$B$6,OR(G435="신규",G435="소멸",F435&gt;='기준설정'!$B$5)),"원인분석 대상","일반"))</x:f>
      </x:c>
      <x:c r="I435" s="73" t="str">
        <x:f>IF(A435="","",IF(H435="원인분석 대상","세부원인분석 시트에서 거래별 원인을 검토","-"))</x:f>
      </x:c>
      <x:c r="J435" s="73" t="str">
        <x:f>IF(A435="","",COUNTIFS('전기원장'!$A$5:$A$1004,A435,'전기원장'!$J$5:$J$1004,"확인 필요")+COUNTIFS('당기원장'!$A$5:$A$1004,A435,'당기원장'!$J$5:$J$1004,"확인 필요"))</x:f>
      </x:c>
      <x:c r="K435" s="85" t="str">
        <x:f>IF(A435="","",IF(H435&lt;&gt;"원인분석 대상","",IF(J435&gt;0,"붙임 문서 확인 후 원인 확정 필요","결의서명 기반 원인분류 검토")))</x:f>
      </x:c>
    </x:row>
    <x:row r="436">
      <x:c r="A436" s="73" t="str">
        <x:f>IFERROR(INDEX('계산도우미'!$B$5:$B$2004,MATCH(ROWS($A$5:A436),'계산도우미'!$K$5:$K$2004,0)),"")</x:f>
      </x:c>
      <x:c r="B436" s="73" t="str">
        <x:f>IF(A436="","",IFERROR(INDEX('당기원장'!$B$5:$B$1004,MATCH(A436,'당기원장'!$A$5:$A$1004,0)),IFERROR(INDEX('전기원장'!$B$5:$B$1004,MATCH(A436,'전기원장'!$A$5:$A$1004,0)),"")))</x:f>
      </x:c>
      <x:c r="C436" s="75" t="str">
        <x:f>IF(A436="","",SUMIF('전기원장'!$A$5:$A$1004,A436,'전기원장'!$H$5:$H$1004))</x:f>
      </x:c>
      <x:c r="D436" s="75" t="str">
        <x:f>IF(A436="","",SUMIF('당기원장'!$A$5:$A$1004,A436,'당기원장'!$H$5:$H$1004))</x:f>
      </x:c>
      <x:c r="E436" s="75" t="str">
        <x:f>IF(A436="","",D436-C436)</x:f>
      </x:c>
      <x:c r="F436" s="88" t="str">
        <x:f>IF(A436="","",IF(C436=0,IF(D436=0,0,1),ABS(E436)/ABS(C436)))</x:f>
      </x:c>
      <x:c r="G436" s="73" t="str">
        <x:f>IF(A436="","",IF(AND(C436=0,D436&lt;&gt;0),"신규",IF(AND(C436&lt;&gt;0,D436=0),"소멸",IF(E436=0,"변동없음","금액변동"))))</x:f>
      </x:c>
      <x:c r="H436" s="73" t="str">
        <x:f>IF(A436="","",IF(AND(ABS(E436)&gt;='기준설정'!$B$6,OR(G436="신규",G436="소멸",F436&gt;='기준설정'!$B$5)),"원인분석 대상","일반"))</x:f>
      </x:c>
      <x:c r="I436" s="73" t="str">
        <x:f>IF(A436="","",IF(H436="원인분석 대상","세부원인분석 시트에서 거래별 원인을 검토","-"))</x:f>
      </x:c>
      <x:c r="J436" s="73" t="str">
        <x:f>IF(A436="","",COUNTIFS('전기원장'!$A$5:$A$1004,A436,'전기원장'!$J$5:$J$1004,"확인 필요")+COUNTIFS('당기원장'!$A$5:$A$1004,A436,'당기원장'!$J$5:$J$1004,"확인 필요"))</x:f>
      </x:c>
      <x:c r="K436" s="85" t="str">
        <x:f>IF(A436="","",IF(H436&lt;&gt;"원인분석 대상","",IF(J436&gt;0,"붙임 문서 확인 후 원인 확정 필요","결의서명 기반 원인분류 검토")))</x:f>
      </x:c>
    </x:row>
    <x:row r="437">
      <x:c r="A437" s="73" t="str">
        <x:f>IFERROR(INDEX('계산도우미'!$B$5:$B$2004,MATCH(ROWS($A$5:A437),'계산도우미'!$K$5:$K$2004,0)),"")</x:f>
      </x:c>
      <x:c r="B437" s="73" t="str">
        <x:f>IF(A437="","",IFERROR(INDEX('당기원장'!$B$5:$B$1004,MATCH(A437,'당기원장'!$A$5:$A$1004,0)),IFERROR(INDEX('전기원장'!$B$5:$B$1004,MATCH(A437,'전기원장'!$A$5:$A$1004,0)),"")))</x:f>
      </x:c>
      <x:c r="C437" s="75" t="str">
        <x:f>IF(A437="","",SUMIF('전기원장'!$A$5:$A$1004,A437,'전기원장'!$H$5:$H$1004))</x:f>
      </x:c>
      <x:c r="D437" s="75" t="str">
        <x:f>IF(A437="","",SUMIF('당기원장'!$A$5:$A$1004,A437,'당기원장'!$H$5:$H$1004))</x:f>
      </x:c>
      <x:c r="E437" s="75" t="str">
        <x:f>IF(A437="","",D437-C437)</x:f>
      </x:c>
      <x:c r="F437" s="88" t="str">
        <x:f>IF(A437="","",IF(C437=0,IF(D437=0,0,1),ABS(E437)/ABS(C437)))</x:f>
      </x:c>
      <x:c r="G437" s="73" t="str">
        <x:f>IF(A437="","",IF(AND(C437=0,D437&lt;&gt;0),"신규",IF(AND(C437&lt;&gt;0,D437=0),"소멸",IF(E437=0,"변동없음","금액변동"))))</x:f>
      </x:c>
      <x:c r="H437" s="73" t="str">
        <x:f>IF(A437="","",IF(AND(ABS(E437)&gt;='기준설정'!$B$6,OR(G437="신규",G437="소멸",F437&gt;='기준설정'!$B$5)),"원인분석 대상","일반"))</x:f>
      </x:c>
      <x:c r="I437" s="73" t="str">
        <x:f>IF(A437="","",IF(H437="원인분석 대상","세부원인분석 시트에서 거래별 원인을 검토","-"))</x:f>
      </x:c>
      <x:c r="J437" s="73" t="str">
        <x:f>IF(A437="","",COUNTIFS('전기원장'!$A$5:$A$1004,A437,'전기원장'!$J$5:$J$1004,"확인 필요")+COUNTIFS('당기원장'!$A$5:$A$1004,A437,'당기원장'!$J$5:$J$1004,"확인 필요"))</x:f>
      </x:c>
      <x:c r="K437" s="85" t="str">
        <x:f>IF(A437="","",IF(H437&lt;&gt;"원인분석 대상","",IF(J437&gt;0,"붙임 문서 확인 후 원인 확정 필요","결의서명 기반 원인분류 검토")))</x:f>
      </x:c>
    </x:row>
    <x:row r="438">
      <x:c r="A438" s="73" t="str">
        <x:f>IFERROR(INDEX('계산도우미'!$B$5:$B$2004,MATCH(ROWS($A$5:A438),'계산도우미'!$K$5:$K$2004,0)),"")</x:f>
      </x:c>
      <x:c r="B438" s="73" t="str">
        <x:f>IF(A438="","",IFERROR(INDEX('당기원장'!$B$5:$B$1004,MATCH(A438,'당기원장'!$A$5:$A$1004,0)),IFERROR(INDEX('전기원장'!$B$5:$B$1004,MATCH(A438,'전기원장'!$A$5:$A$1004,0)),"")))</x:f>
      </x:c>
      <x:c r="C438" s="75" t="str">
        <x:f>IF(A438="","",SUMIF('전기원장'!$A$5:$A$1004,A438,'전기원장'!$H$5:$H$1004))</x:f>
      </x:c>
      <x:c r="D438" s="75" t="str">
        <x:f>IF(A438="","",SUMIF('당기원장'!$A$5:$A$1004,A438,'당기원장'!$H$5:$H$1004))</x:f>
      </x:c>
      <x:c r="E438" s="75" t="str">
        <x:f>IF(A438="","",D438-C438)</x:f>
      </x:c>
      <x:c r="F438" s="88" t="str">
        <x:f>IF(A438="","",IF(C438=0,IF(D438=0,0,1),ABS(E438)/ABS(C438)))</x:f>
      </x:c>
      <x:c r="G438" s="73" t="str">
        <x:f>IF(A438="","",IF(AND(C438=0,D438&lt;&gt;0),"신규",IF(AND(C438&lt;&gt;0,D438=0),"소멸",IF(E438=0,"변동없음","금액변동"))))</x:f>
      </x:c>
      <x:c r="H438" s="73" t="str">
        <x:f>IF(A438="","",IF(AND(ABS(E438)&gt;='기준설정'!$B$6,OR(G438="신규",G438="소멸",F438&gt;='기준설정'!$B$5)),"원인분석 대상","일반"))</x:f>
      </x:c>
      <x:c r="I438" s="73" t="str">
        <x:f>IF(A438="","",IF(H438="원인분석 대상","세부원인분석 시트에서 거래별 원인을 검토","-"))</x:f>
      </x:c>
      <x:c r="J438" s="73" t="str">
        <x:f>IF(A438="","",COUNTIFS('전기원장'!$A$5:$A$1004,A438,'전기원장'!$J$5:$J$1004,"확인 필요")+COUNTIFS('당기원장'!$A$5:$A$1004,A438,'당기원장'!$J$5:$J$1004,"확인 필요"))</x:f>
      </x:c>
      <x:c r="K438" s="85" t="str">
        <x:f>IF(A438="","",IF(H438&lt;&gt;"원인분석 대상","",IF(J438&gt;0,"붙임 문서 확인 후 원인 확정 필요","결의서명 기반 원인분류 검토")))</x:f>
      </x:c>
    </x:row>
    <x:row r="439">
      <x:c r="A439" s="73" t="str">
        <x:f>IFERROR(INDEX('계산도우미'!$B$5:$B$2004,MATCH(ROWS($A$5:A439),'계산도우미'!$K$5:$K$2004,0)),"")</x:f>
      </x:c>
      <x:c r="B439" s="73" t="str">
        <x:f>IF(A439="","",IFERROR(INDEX('당기원장'!$B$5:$B$1004,MATCH(A439,'당기원장'!$A$5:$A$1004,0)),IFERROR(INDEX('전기원장'!$B$5:$B$1004,MATCH(A439,'전기원장'!$A$5:$A$1004,0)),"")))</x:f>
      </x:c>
      <x:c r="C439" s="75" t="str">
        <x:f>IF(A439="","",SUMIF('전기원장'!$A$5:$A$1004,A439,'전기원장'!$H$5:$H$1004))</x:f>
      </x:c>
      <x:c r="D439" s="75" t="str">
        <x:f>IF(A439="","",SUMIF('당기원장'!$A$5:$A$1004,A439,'당기원장'!$H$5:$H$1004))</x:f>
      </x:c>
      <x:c r="E439" s="75" t="str">
        <x:f>IF(A439="","",D439-C439)</x:f>
      </x:c>
      <x:c r="F439" s="88" t="str">
        <x:f>IF(A439="","",IF(C439=0,IF(D439=0,0,1),ABS(E439)/ABS(C439)))</x:f>
      </x:c>
      <x:c r="G439" s="73" t="str">
        <x:f>IF(A439="","",IF(AND(C439=0,D439&lt;&gt;0),"신규",IF(AND(C439&lt;&gt;0,D439=0),"소멸",IF(E439=0,"변동없음","금액변동"))))</x:f>
      </x:c>
      <x:c r="H439" s="73" t="str">
        <x:f>IF(A439="","",IF(AND(ABS(E439)&gt;='기준설정'!$B$6,OR(G439="신규",G439="소멸",F439&gt;='기준설정'!$B$5)),"원인분석 대상","일반"))</x:f>
      </x:c>
      <x:c r="I439" s="73" t="str">
        <x:f>IF(A439="","",IF(H439="원인분석 대상","세부원인분석 시트에서 거래별 원인을 검토","-"))</x:f>
      </x:c>
      <x:c r="J439" s="73" t="str">
        <x:f>IF(A439="","",COUNTIFS('전기원장'!$A$5:$A$1004,A439,'전기원장'!$J$5:$J$1004,"확인 필요")+COUNTIFS('당기원장'!$A$5:$A$1004,A439,'당기원장'!$J$5:$J$1004,"확인 필요"))</x:f>
      </x:c>
      <x:c r="K439" s="85" t="str">
        <x:f>IF(A439="","",IF(H439&lt;&gt;"원인분석 대상","",IF(J439&gt;0,"붙임 문서 확인 후 원인 확정 필요","결의서명 기반 원인분류 검토")))</x:f>
      </x:c>
    </x:row>
    <x:row r="440">
      <x:c r="A440" s="73" t="str">
        <x:f>IFERROR(INDEX('계산도우미'!$B$5:$B$2004,MATCH(ROWS($A$5:A440),'계산도우미'!$K$5:$K$2004,0)),"")</x:f>
      </x:c>
      <x:c r="B440" s="73" t="str">
        <x:f>IF(A440="","",IFERROR(INDEX('당기원장'!$B$5:$B$1004,MATCH(A440,'당기원장'!$A$5:$A$1004,0)),IFERROR(INDEX('전기원장'!$B$5:$B$1004,MATCH(A440,'전기원장'!$A$5:$A$1004,0)),"")))</x:f>
      </x:c>
      <x:c r="C440" s="75" t="str">
        <x:f>IF(A440="","",SUMIF('전기원장'!$A$5:$A$1004,A440,'전기원장'!$H$5:$H$1004))</x:f>
      </x:c>
      <x:c r="D440" s="75" t="str">
        <x:f>IF(A440="","",SUMIF('당기원장'!$A$5:$A$1004,A440,'당기원장'!$H$5:$H$1004))</x:f>
      </x:c>
      <x:c r="E440" s="75" t="str">
        <x:f>IF(A440="","",D440-C440)</x:f>
      </x:c>
      <x:c r="F440" s="88" t="str">
        <x:f>IF(A440="","",IF(C440=0,IF(D440=0,0,1),ABS(E440)/ABS(C440)))</x:f>
      </x:c>
      <x:c r="G440" s="73" t="str">
        <x:f>IF(A440="","",IF(AND(C440=0,D440&lt;&gt;0),"신규",IF(AND(C440&lt;&gt;0,D440=0),"소멸",IF(E440=0,"변동없음","금액변동"))))</x:f>
      </x:c>
      <x:c r="H440" s="73" t="str">
        <x:f>IF(A440="","",IF(AND(ABS(E440)&gt;='기준설정'!$B$6,OR(G440="신규",G440="소멸",F440&gt;='기준설정'!$B$5)),"원인분석 대상","일반"))</x:f>
      </x:c>
      <x:c r="I440" s="73" t="str">
        <x:f>IF(A440="","",IF(H440="원인분석 대상","세부원인분석 시트에서 거래별 원인을 검토","-"))</x:f>
      </x:c>
      <x:c r="J440" s="73" t="str">
        <x:f>IF(A440="","",COUNTIFS('전기원장'!$A$5:$A$1004,A440,'전기원장'!$J$5:$J$1004,"확인 필요")+COUNTIFS('당기원장'!$A$5:$A$1004,A440,'당기원장'!$J$5:$J$1004,"확인 필요"))</x:f>
      </x:c>
      <x:c r="K440" s="85" t="str">
        <x:f>IF(A440="","",IF(H440&lt;&gt;"원인분석 대상","",IF(J440&gt;0,"붙임 문서 확인 후 원인 확정 필요","결의서명 기반 원인분류 검토")))</x:f>
      </x:c>
    </x:row>
    <x:row r="441">
      <x:c r="A441" s="73" t="str">
        <x:f>IFERROR(INDEX('계산도우미'!$B$5:$B$2004,MATCH(ROWS($A$5:A441),'계산도우미'!$K$5:$K$2004,0)),"")</x:f>
      </x:c>
      <x:c r="B441" s="73" t="str">
        <x:f>IF(A441="","",IFERROR(INDEX('당기원장'!$B$5:$B$1004,MATCH(A441,'당기원장'!$A$5:$A$1004,0)),IFERROR(INDEX('전기원장'!$B$5:$B$1004,MATCH(A441,'전기원장'!$A$5:$A$1004,0)),"")))</x:f>
      </x:c>
      <x:c r="C441" s="75" t="str">
        <x:f>IF(A441="","",SUMIF('전기원장'!$A$5:$A$1004,A441,'전기원장'!$H$5:$H$1004))</x:f>
      </x:c>
      <x:c r="D441" s="75" t="str">
        <x:f>IF(A441="","",SUMIF('당기원장'!$A$5:$A$1004,A441,'당기원장'!$H$5:$H$1004))</x:f>
      </x:c>
      <x:c r="E441" s="75" t="str">
        <x:f>IF(A441="","",D441-C441)</x:f>
      </x:c>
      <x:c r="F441" s="88" t="str">
        <x:f>IF(A441="","",IF(C441=0,IF(D441=0,0,1),ABS(E441)/ABS(C441)))</x:f>
      </x:c>
      <x:c r="G441" s="73" t="str">
        <x:f>IF(A441="","",IF(AND(C441=0,D441&lt;&gt;0),"신규",IF(AND(C441&lt;&gt;0,D441=0),"소멸",IF(E441=0,"변동없음","금액변동"))))</x:f>
      </x:c>
      <x:c r="H441" s="73" t="str">
        <x:f>IF(A441="","",IF(AND(ABS(E441)&gt;='기준설정'!$B$6,OR(G441="신규",G441="소멸",F441&gt;='기준설정'!$B$5)),"원인분석 대상","일반"))</x:f>
      </x:c>
      <x:c r="I441" s="73" t="str">
        <x:f>IF(A441="","",IF(H441="원인분석 대상","세부원인분석 시트에서 거래별 원인을 검토","-"))</x:f>
      </x:c>
      <x:c r="J441" s="73" t="str">
        <x:f>IF(A441="","",COUNTIFS('전기원장'!$A$5:$A$1004,A441,'전기원장'!$J$5:$J$1004,"확인 필요")+COUNTIFS('당기원장'!$A$5:$A$1004,A441,'당기원장'!$J$5:$J$1004,"확인 필요"))</x:f>
      </x:c>
      <x:c r="K441" s="85" t="str">
        <x:f>IF(A441="","",IF(H441&lt;&gt;"원인분석 대상","",IF(J441&gt;0,"붙임 문서 확인 후 원인 확정 필요","결의서명 기반 원인분류 검토")))</x:f>
      </x:c>
    </x:row>
    <x:row r="442">
      <x:c r="A442" s="73" t="str">
        <x:f>IFERROR(INDEX('계산도우미'!$B$5:$B$2004,MATCH(ROWS($A$5:A442),'계산도우미'!$K$5:$K$2004,0)),"")</x:f>
      </x:c>
      <x:c r="B442" s="73" t="str">
        <x:f>IF(A442="","",IFERROR(INDEX('당기원장'!$B$5:$B$1004,MATCH(A442,'당기원장'!$A$5:$A$1004,0)),IFERROR(INDEX('전기원장'!$B$5:$B$1004,MATCH(A442,'전기원장'!$A$5:$A$1004,0)),"")))</x:f>
      </x:c>
      <x:c r="C442" s="75" t="str">
        <x:f>IF(A442="","",SUMIF('전기원장'!$A$5:$A$1004,A442,'전기원장'!$H$5:$H$1004))</x:f>
      </x:c>
      <x:c r="D442" s="75" t="str">
        <x:f>IF(A442="","",SUMIF('당기원장'!$A$5:$A$1004,A442,'당기원장'!$H$5:$H$1004))</x:f>
      </x:c>
      <x:c r="E442" s="75" t="str">
        <x:f>IF(A442="","",D442-C442)</x:f>
      </x:c>
      <x:c r="F442" s="88" t="str">
        <x:f>IF(A442="","",IF(C442=0,IF(D442=0,0,1),ABS(E442)/ABS(C442)))</x:f>
      </x:c>
      <x:c r="G442" s="73" t="str">
        <x:f>IF(A442="","",IF(AND(C442=0,D442&lt;&gt;0),"신규",IF(AND(C442&lt;&gt;0,D442=0),"소멸",IF(E442=0,"변동없음","금액변동"))))</x:f>
      </x:c>
      <x:c r="H442" s="73" t="str">
        <x:f>IF(A442="","",IF(AND(ABS(E442)&gt;='기준설정'!$B$6,OR(G442="신규",G442="소멸",F442&gt;='기준설정'!$B$5)),"원인분석 대상","일반"))</x:f>
      </x:c>
      <x:c r="I442" s="73" t="str">
        <x:f>IF(A442="","",IF(H442="원인분석 대상","세부원인분석 시트에서 거래별 원인을 검토","-"))</x:f>
      </x:c>
      <x:c r="J442" s="73" t="str">
        <x:f>IF(A442="","",COUNTIFS('전기원장'!$A$5:$A$1004,A442,'전기원장'!$J$5:$J$1004,"확인 필요")+COUNTIFS('당기원장'!$A$5:$A$1004,A442,'당기원장'!$J$5:$J$1004,"확인 필요"))</x:f>
      </x:c>
      <x:c r="K442" s="85" t="str">
        <x:f>IF(A442="","",IF(H442&lt;&gt;"원인분석 대상","",IF(J442&gt;0,"붙임 문서 확인 후 원인 확정 필요","결의서명 기반 원인분류 검토")))</x:f>
      </x:c>
    </x:row>
    <x:row r="443">
      <x:c r="A443" s="73" t="str">
        <x:f>IFERROR(INDEX('계산도우미'!$B$5:$B$2004,MATCH(ROWS($A$5:A443),'계산도우미'!$K$5:$K$2004,0)),"")</x:f>
      </x:c>
      <x:c r="B443" s="73" t="str">
        <x:f>IF(A443="","",IFERROR(INDEX('당기원장'!$B$5:$B$1004,MATCH(A443,'당기원장'!$A$5:$A$1004,0)),IFERROR(INDEX('전기원장'!$B$5:$B$1004,MATCH(A443,'전기원장'!$A$5:$A$1004,0)),"")))</x:f>
      </x:c>
      <x:c r="C443" s="75" t="str">
        <x:f>IF(A443="","",SUMIF('전기원장'!$A$5:$A$1004,A443,'전기원장'!$H$5:$H$1004))</x:f>
      </x:c>
      <x:c r="D443" s="75" t="str">
        <x:f>IF(A443="","",SUMIF('당기원장'!$A$5:$A$1004,A443,'당기원장'!$H$5:$H$1004))</x:f>
      </x:c>
      <x:c r="E443" s="75" t="str">
        <x:f>IF(A443="","",D443-C443)</x:f>
      </x:c>
      <x:c r="F443" s="88" t="str">
        <x:f>IF(A443="","",IF(C443=0,IF(D443=0,0,1),ABS(E443)/ABS(C443)))</x:f>
      </x:c>
      <x:c r="G443" s="73" t="str">
        <x:f>IF(A443="","",IF(AND(C443=0,D443&lt;&gt;0),"신규",IF(AND(C443&lt;&gt;0,D443=0),"소멸",IF(E443=0,"변동없음","금액변동"))))</x:f>
      </x:c>
      <x:c r="H443" s="73" t="str">
        <x:f>IF(A443="","",IF(AND(ABS(E443)&gt;='기준설정'!$B$6,OR(G443="신규",G443="소멸",F443&gt;='기준설정'!$B$5)),"원인분석 대상","일반"))</x:f>
      </x:c>
      <x:c r="I443" s="73" t="str">
        <x:f>IF(A443="","",IF(H443="원인분석 대상","세부원인분석 시트에서 거래별 원인을 검토","-"))</x:f>
      </x:c>
      <x:c r="J443" s="73" t="str">
        <x:f>IF(A443="","",COUNTIFS('전기원장'!$A$5:$A$1004,A443,'전기원장'!$J$5:$J$1004,"확인 필요")+COUNTIFS('당기원장'!$A$5:$A$1004,A443,'당기원장'!$J$5:$J$1004,"확인 필요"))</x:f>
      </x:c>
      <x:c r="K443" s="85" t="str">
        <x:f>IF(A443="","",IF(H443&lt;&gt;"원인분석 대상","",IF(J443&gt;0,"붙임 문서 확인 후 원인 확정 필요","결의서명 기반 원인분류 검토")))</x:f>
      </x:c>
    </x:row>
    <x:row r="444">
      <x:c r="A444" s="73" t="str">
        <x:f>IFERROR(INDEX('계산도우미'!$B$5:$B$2004,MATCH(ROWS($A$5:A444),'계산도우미'!$K$5:$K$2004,0)),"")</x:f>
      </x:c>
      <x:c r="B444" s="73" t="str">
        <x:f>IF(A444="","",IFERROR(INDEX('당기원장'!$B$5:$B$1004,MATCH(A444,'당기원장'!$A$5:$A$1004,0)),IFERROR(INDEX('전기원장'!$B$5:$B$1004,MATCH(A444,'전기원장'!$A$5:$A$1004,0)),"")))</x:f>
      </x:c>
      <x:c r="C444" s="75" t="str">
        <x:f>IF(A444="","",SUMIF('전기원장'!$A$5:$A$1004,A444,'전기원장'!$H$5:$H$1004))</x:f>
      </x:c>
      <x:c r="D444" s="75" t="str">
        <x:f>IF(A444="","",SUMIF('당기원장'!$A$5:$A$1004,A444,'당기원장'!$H$5:$H$1004))</x:f>
      </x:c>
      <x:c r="E444" s="75" t="str">
        <x:f>IF(A444="","",D444-C444)</x:f>
      </x:c>
      <x:c r="F444" s="88" t="str">
        <x:f>IF(A444="","",IF(C444=0,IF(D444=0,0,1),ABS(E444)/ABS(C444)))</x:f>
      </x:c>
      <x:c r="G444" s="73" t="str">
        <x:f>IF(A444="","",IF(AND(C444=0,D444&lt;&gt;0),"신규",IF(AND(C444&lt;&gt;0,D444=0),"소멸",IF(E444=0,"변동없음","금액변동"))))</x:f>
      </x:c>
      <x:c r="H444" s="73" t="str">
        <x:f>IF(A444="","",IF(AND(ABS(E444)&gt;='기준설정'!$B$6,OR(G444="신규",G444="소멸",F444&gt;='기준설정'!$B$5)),"원인분석 대상","일반"))</x:f>
      </x:c>
      <x:c r="I444" s="73" t="str">
        <x:f>IF(A444="","",IF(H444="원인분석 대상","세부원인분석 시트에서 거래별 원인을 검토","-"))</x:f>
      </x:c>
      <x:c r="J444" s="73" t="str">
        <x:f>IF(A444="","",COUNTIFS('전기원장'!$A$5:$A$1004,A444,'전기원장'!$J$5:$J$1004,"확인 필요")+COUNTIFS('당기원장'!$A$5:$A$1004,A444,'당기원장'!$J$5:$J$1004,"확인 필요"))</x:f>
      </x:c>
      <x:c r="K444" s="85" t="str">
        <x:f>IF(A444="","",IF(H444&lt;&gt;"원인분석 대상","",IF(J444&gt;0,"붙임 문서 확인 후 원인 확정 필요","결의서명 기반 원인분류 검토")))</x:f>
      </x:c>
    </x:row>
    <x:row r="445">
      <x:c r="A445" s="73" t="str">
        <x:f>IFERROR(INDEX('계산도우미'!$B$5:$B$2004,MATCH(ROWS($A$5:A445),'계산도우미'!$K$5:$K$2004,0)),"")</x:f>
      </x:c>
      <x:c r="B445" s="73" t="str">
        <x:f>IF(A445="","",IFERROR(INDEX('당기원장'!$B$5:$B$1004,MATCH(A445,'당기원장'!$A$5:$A$1004,0)),IFERROR(INDEX('전기원장'!$B$5:$B$1004,MATCH(A445,'전기원장'!$A$5:$A$1004,0)),"")))</x:f>
      </x:c>
      <x:c r="C445" s="75" t="str">
        <x:f>IF(A445="","",SUMIF('전기원장'!$A$5:$A$1004,A445,'전기원장'!$H$5:$H$1004))</x:f>
      </x:c>
      <x:c r="D445" s="75" t="str">
        <x:f>IF(A445="","",SUMIF('당기원장'!$A$5:$A$1004,A445,'당기원장'!$H$5:$H$1004))</x:f>
      </x:c>
      <x:c r="E445" s="75" t="str">
        <x:f>IF(A445="","",D445-C445)</x:f>
      </x:c>
      <x:c r="F445" s="88" t="str">
        <x:f>IF(A445="","",IF(C445=0,IF(D445=0,0,1),ABS(E445)/ABS(C445)))</x:f>
      </x:c>
      <x:c r="G445" s="73" t="str">
        <x:f>IF(A445="","",IF(AND(C445=0,D445&lt;&gt;0),"신규",IF(AND(C445&lt;&gt;0,D445=0),"소멸",IF(E445=0,"변동없음","금액변동"))))</x:f>
      </x:c>
      <x:c r="H445" s="73" t="str">
        <x:f>IF(A445="","",IF(AND(ABS(E445)&gt;='기준설정'!$B$6,OR(G445="신규",G445="소멸",F445&gt;='기준설정'!$B$5)),"원인분석 대상","일반"))</x:f>
      </x:c>
      <x:c r="I445" s="73" t="str">
        <x:f>IF(A445="","",IF(H445="원인분석 대상","세부원인분석 시트에서 거래별 원인을 검토","-"))</x:f>
      </x:c>
      <x:c r="J445" s="73" t="str">
        <x:f>IF(A445="","",COUNTIFS('전기원장'!$A$5:$A$1004,A445,'전기원장'!$J$5:$J$1004,"확인 필요")+COUNTIFS('당기원장'!$A$5:$A$1004,A445,'당기원장'!$J$5:$J$1004,"확인 필요"))</x:f>
      </x:c>
      <x:c r="K445" s="85" t="str">
        <x:f>IF(A445="","",IF(H445&lt;&gt;"원인분석 대상","",IF(J445&gt;0,"붙임 문서 확인 후 원인 확정 필요","결의서명 기반 원인분류 검토")))</x:f>
      </x:c>
    </x:row>
    <x:row r="446">
      <x:c r="A446" s="73" t="str">
        <x:f>IFERROR(INDEX('계산도우미'!$B$5:$B$2004,MATCH(ROWS($A$5:A446),'계산도우미'!$K$5:$K$2004,0)),"")</x:f>
      </x:c>
      <x:c r="B446" s="73" t="str">
        <x:f>IF(A446="","",IFERROR(INDEX('당기원장'!$B$5:$B$1004,MATCH(A446,'당기원장'!$A$5:$A$1004,0)),IFERROR(INDEX('전기원장'!$B$5:$B$1004,MATCH(A446,'전기원장'!$A$5:$A$1004,0)),"")))</x:f>
      </x:c>
      <x:c r="C446" s="75" t="str">
        <x:f>IF(A446="","",SUMIF('전기원장'!$A$5:$A$1004,A446,'전기원장'!$H$5:$H$1004))</x:f>
      </x:c>
      <x:c r="D446" s="75" t="str">
        <x:f>IF(A446="","",SUMIF('당기원장'!$A$5:$A$1004,A446,'당기원장'!$H$5:$H$1004))</x:f>
      </x:c>
      <x:c r="E446" s="75" t="str">
        <x:f>IF(A446="","",D446-C446)</x:f>
      </x:c>
      <x:c r="F446" s="88" t="str">
        <x:f>IF(A446="","",IF(C446=0,IF(D446=0,0,1),ABS(E446)/ABS(C446)))</x:f>
      </x:c>
      <x:c r="G446" s="73" t="str">
        <x:f>IF(A446="","",IF(AND(C446=0,D446&lt;&gt;0),"신규",IF(AND(C446&lt;&gt;0,D446=0),"소멸",IF(E446=0,"변동없음","금액변동"))))</x:f>
      </x:c>
      <x:c r="H446" s="73" t="str">
        <x:f>IF(A446="","",IF(AND(ABS(E446)&gt;='기준설정'!$B$6,OR(G446="신규",G446="소멸",F446&gt;='기준설정'!$B$5)),"원인분석 대상","일반"))</x:f>
      </x:c>
      <x:c r="I446" s="73" t="str">
        <x:f>IF(A446="","",IF(H446="원인분석 대상","세부원인분석 시트에서 거래별 원인을 검토","-"))</x:f>
      </x:c>
      <x:c r="J446" s="73" t="str">
        <x:f>IF(A446="","",COUNTIFS('전기원장'!$A$5:$A$1004,A446,'전기원장'!$J$5:$J$1004,"확인 필요")+COUNTIFS('당기원장'!$A$5:$A$1004,A446,'당기원장'!$J$5:$J$1004,"확인 필요"))</x:f>
      </x:c>
      <x:c r="K446" s="85" t="str">
        <x:f>IF(A446="","",IF(H446&lt;&gt;"원인분석 대상","",IF(J446&gt;0,"붙임 문서 확인 후 원인 확정 필요","결의서명 기반 원인분류 검토")))</x:f>
      </x:c>
    </x:row>
    <x:row r="447">
      <x:c r="A447" s="73" t="str">
        <x:f>IFERROR(INDEX('계산도우미'!$B$5:$B$2004,MATCH(ROWS($A$5:A447),'계산도우미'!$K$5:$K$2004,0)),"")</x:f>
      </x:c>
      <x:c r="B447" s="73" t="str">
        <x:f>IF(A447="","",IFERROR(INDEX('당기원장'!$B$5:$B$1004,MATCH(A447,'당기원장'!$A$5:$A$1004,0)),IFERROR(INDEX('전기원장'!$B$5:$B$1004,MATCH(A447,'전기원장'!$A$5:$A$1004,0)),"")))</x:f>
      </x:c>
      <x:c r="C447" s="75" t="str">
        <x:f>IF(A447="","",SUMIF('전기원장'!$A$5:$A$1004,A447,'전기원장'!$H$5:$H$1004))</x:f>
      </x:c>
      <x:c r="D447" s="75" t="str">
        <x:f>IF(A447="","",SUMIF('당기원장'!$A$5:$A$1004,A447,'당기원장'!$H$5:$H$1004))</x:f>
      </x:c>
      <x:c r="E447" s="75" t="str">
        <x:f>IF(A447="","",D447-C447)</x:f>
      </x:c>
      <x:c r="F447" s="88" t="str">
        <x:f>IF(A447="","",IF(C447=0,IF(D447=0,0,1),ABS(E447)/ABS(C447)))</x:f>
      </x:c>
      <x:c r="G447" s="73" t="str">
        <x:f>IF(A447="","",IF(AND(C447=0,D447&lt;&gt;0),"신규",IF(AND(C447&lt;&gt;0,D447=0),"소멸",IF(E447=0,"변동없음","금액변동"))))</x:f>
      </x:c>
      <x:c r="H447" s="73" t="str">
        <x:f>IF(A447="","",IF(AND(ABS(E447)&gt;='기준설정'!$B$6,OR(G447="신규",G447="소멸",F447&gt;='기준설정'!$B$5)),"원인분석 대상","일반"))</x:f>
      </x:c>
      <x:c r="I447" s="73" t="str">
        <x:f>IF(A447="","",IF(H447="원인분석 대상","세부원인분석 시트에서 거래별 원인을 검토","-"))</x:f>
      </x:c>
      <x:c r="J447" s="73" t="str">
        <x:f>IF(A447="","",COUNTIFS('전기원장'!$A$5:$A$1004,A447,'전기원장'!$J$5:$J$1004,"확인 필요")+COUNTIFS('당기원장'!$A$5:$A$1004,A447,'당기원장'!$J$5:$J$1004,"확인 필요"))</x:f>
      </x:c>
      <x:c r="K447" s="85" t="str">
        <x:f>IF(A447="","",IF(H447&lt;&gt;"원인분석 대상","",IF(J447&gt;0,"붙임 문서 확인 후 원인 확정 필요","결의서명 기반 원인분류 검토")))</x:f>
      </x:c>
    </x:row>
    <x:row r="448">
      <x:c r="A448" s="73" t="str">
        <x:f>IFERROR(INDEX('계산도우미'!$B$5:$B$2004,MATCH(ROWS($A$5:A448),'계산도우미'!$K$5:$K$2004,0)),"")</x:f>
      </x:c>
      <x:c r="B448" s="73" t="str">
        <x:f>IF(A448="","",IFERROR(INDEX('당기원장'!$B$5:$B$1004,MATCH(A448,'당기원장'!$A$5:$A$1004,0)),IFERROR(INDEX('전기원장'!$B$5:$B$1004,MATCH(A448,'전기원장'!$A$5:$A$1004,0)),"")))</x:f>
      </x:c>
      <x:c r="C448" s="75" t="str">
        <x:f>IF(A448="","",SUMIF('전기원장'!$A$5:$A$1004,A448,'전기원장'!$H$5:$H$1004))</x:f>
      </x:c>
      <x:c r="D448" s="75" t="str">
        <x:f>IF(A448="","",SUMIF('당기원장'!$A$5:$A$1004,A448,'당기원장'!$H$5:$H$1004))</x:f>
      </x:c>
      <x:c r="E448" s="75" t="str">
        <x:f>IF(A448="","",D448-C448)</x:f>
      </x:c>
      <x:c r="F448" s="88" t="str">
        <x:f>IF(A448="","",IF(C448=0,IF(D448=0,0,1),ABS(E448)/ABS(C448)))</x:f>
      </x:c>
      <x:c r="G448" s="73" t="str">
        <x:f>IF(A448="","",IF(AND(C448=0,D448&lt;&gt;0),"신규",IF(AND(C448&lt;&gt;0,D448=0),"소멸",IF(E448=0,"변동없음","금액변동"))))</x:f>
      </x:c>
      <x:c r="H448" s="73" t="str">
        <x:f>IF(A448="","",IF(AND(ABS(E448)&gt;='기준설정'!$B$6,OR(G448="신규",G448="소멸",F448&gt;='기준설정'!$B$5)),"원인분석 대상","일반"))</x:f>
      </x:c>
      <x:c r="I448" s="73" t="str">
        <x:f>IF(A448="","",IF(H448="원인분석 대상","세부원인분석 시트에서 거래별 원인을 검토","-"))</x:f>
      </x:c>
      <x:c r="J448" s="73" t="str">
        <x:f>IF(A448="","",COUNTIFS('전기원장'!$A$5:$A$1004,A448,'전기원장'!$J$5:$J$1004,"확인 필요")+COUNTIFS('당기원장'!$A$5:$A$1004,A448,'당기원장'!$J$5:$J$1004,"확인 필요"))</x:f>
      </x:c>
      <x:c r="K448" s="85" t="str">
        <x:f>IF(A448="","",IF(H448&lt;&gt;"원인분석 대상","",IF(J448&gt;0,"붙임 문서 확인 후 원인 확정 필요","결의서명 기반 원인분류 검토")))</x:f>
      </x:c>
    </x:row>
    <x:row r="449">
      <x:c r="A449" s="73" t="str">
        <x:f>IFERROR(INDEX('계산도우미'!$B$5:$B$2004,MATCH(ROWS($A$5:A449),'계산도우미'!$K$5:$K$2004,0)),"")</x:f>
      </x:c>
      <x:c r="B449" s="73" t="str">
        <x:f>IF(A449="","",IFERROR(INDEX('당기원장'!$B$5:$B$1004,MATCH(A449,'당기원장'!$A$5:$A$1004,0)),IFERROR(INDEX('전기원장'!$B$5:$B$1004,MATCH(A449,'전기원장'!$A$5:$A$1004,0)),"")))</x:f>
      </x:c>
      <x:c r="C449" s="75" t="str">
        <x:f>IF(A449="","",SUMIF('전기원장'!$A$5:$A$1004,A449,'전기원장'!$H$5:$H$1004))</x:f>
      </x:c>
      <x:c r="D449" s="75" t="str">
        <x:f>IF(A449="","",SUMIF('당기원장'!$A$5:$A$1004,A449,'당기원장'!$H$5:$H$1004))</x:f>
      </x:c>
      <x:c r="E449" s="75" t="str">
        <x:f>IF(A449="","",D449-C449)</x:f>
      </x:c>
      <x:c r="F449" s="88" t="str">
        <x:f>IF(A449="","",IF(C449=0,IF(D449=0,0,1),ABS(E449)/ABS(C449)))</x:f>
      </x:c>
      <x:c r="G449" s="73" t="str">
        <x:f>IF(A449="","",IF(AND(C449=0,D449&lt;&gt;0),"신규",IF(AND(C449&lt;&gt;0,D449=0),"소멸",IF(E449=0,"변동없음","금액변동"))))</x:f>
      </x:c>
      <x:c r="H449" s="73" t="str">
        <x:f>IF(A449="","",IF(AND(ABS(E449)&gt;='기준설정'!$B$6,OR(G449="신규",G449="소멸",F449&gt;='기준설정'!$B$5)),"원인분석 대상","일반"))</x:f>
      </x:c>
      <x:c r="I449" s="73" t="str">
        <x:f>IF(A449="","",IF(H449="원인분석 대상","세부원인분석 시트에서 거래별 원인을 검토","-"))</x:f>
      </x:c>
      <x:c r="J449" s="73" t="str">
        <x:f>IF(A449="","",COUNTIFS('전기원장'!$A$5:$A$1004,A449,'전기원장'!$J$5:$J$1004,"확인 필요")+COUNTIFS('당기원장'!$A$5:$A$1004,A449,'당기원장'!$J$5:$J$1004,"확인 필요"))</x:f>
      </x:c>
      <x:c r="K449" s="85" t="str">
        <x:f>IF(A449="","",IF(H449&lt;&gt;"원인분석 대상","",IF(J449&gt;0,"붙임 문서 확인 후 원인 확정 필요","결의서명 기반 원인분류 검토")))</x:f>
      </x:c>
    </x:row>
    <x:row r="450">
      <x:c r="A450" s="73" t="str">
        <x:f>IFERROR(INDEX('계산도우미'!$B$5:$B$2004,MATCH(ROWS($A$5:A450),'계산도우미'!$K$5:$K$2004,0)),"")</x:f>
      </x:c>
      <x:c r="B450" s="73" t="str">
        <x:f>IF(A450="","",IFERROR(INDEX('당기원장'!$B$5:$B$1004,MATCH(A450,'당기원장'!$A$5:$A$1004,0)),IFERROR(INDEX('전기원장'!$B$5:$B$1004,MATCH(A450,'전기원장'!$A$5:$A$1004,0)),"")))</x:f>
      </x:c>
      <x:c r="C450" s="75" t="str">
        <x:f>IF(A450="","",SUMIF('전기원장'!$A$5:$A$1004,A450,'전기원장'!$H$5:$H$1004))</x:f>
      </x:c>
      <x:c r="D450" s="75" t="str">
        <x:f>IF(A450="","",SUMIF('당기원장'!$A$5:$A$1004,A450,'당기원장'!$H$5:$H$1004))</x:f>
      </x:c>
      <x:c r="E450" s="75" t="str">
        <x:f>IF(A450="","",D450-C450)</x:f>
      </x:c>
      <x:c r="F450" s="88" t="str">
        <x:f>IF(A450="","",IF(C450=0,IF(D450=0,0,1),ABS(E450)/ABS(C450)))</x:f>
      </x:c>
      <x:c r="G450" s="73" t="str">
        <x:f>IF(A450="","",IF(AND(C450=0,D450&lt;&gt;0),"신규",IF(AND(C450&lt;&gt;0,D450=0),"소멸",IF(E450=0,"변동없음","금액변동"))))</x:f>
      </x:c>
      <x:c r="H450" s="73" t="str">
        <x:f>IF(A450="","",IF(AND(ABS(E450)&gt;='기준설정'!$B$6,OR(G450="신규",G450="소멸",F450&gt;='기준설정'!$B$5)),"원인분석 대상","일반"))</x:f>
      </x:c>
      <x:c r="I450" s="73" t="str">
        <x:f>IF(A450="","",IF(H450="원인분석 대상","세부원인분석 시트에서 거래별 원인을 검토","-"))</x:f>
      </x:c>
      <x:c r="J450" s="73" t="str">
        <x:f>IF(A450="","",COUNTIFS('전기원장'!$A$5:$A$1004,A450,'전기원장'!$J$5:$J$1004,"확인 필요")+COUNTIFS('당기원장'!$A$5:$A$1004,A450,'당기원장'!$J$5:$J$1004,"확인 필요"))</x:f>
      </x:c>
      <x:c r="K450" s="85" t="str">
        <x:f>IF(A450="","",IF(H450&lt;&gt;"원인분석 대상","",IF(J450&gt;0,"붙임 문서 확인 후 원인 확정 필요","결의서명 기반 원인분류 검토")))</x:f>
      </x:c>
    </x:row>
    <x:row r="451">
      <x:c r="A451" s="73" t="str">
        <x:f>IFERROR(INDEX('계산도우미'!$B$5:$B$2004,MATCH(ROWS($A$5:A451),'계산도우미'!$K$5:$K$2004,0)),"")</x:f>
      </x:c>
      <x:c r="B451" s="73" t="str">
        <x:f>IF(A451="","",IFERROR(INDEX('당기원장'!$B$5:$B$1004,MATCH(A451,'당기원장'!$A$5:$A$1004,0)),IFERROR(INDEX('전기원장'!$B$5:$B$1004,MATCH(A451,'전기원장'!$A$5:$A$1004,0)),"")))</x:f>
      </x:c>
      <x:c r="C451" s="75" t="str">
        <x:f>IF(A451="","",SUMIF('전기원장'!$A$5:$A$1004,A451,'전기원장'!$H$5:$H$1004))</x:f>
      </x:c>
      <x:c r="D451" s="75" t="str">
        <x:f>IF(A451="","",SUMIF('당기원장'!$A$5:$A$1004,A451,'당기원장'!$H$5:$H$1004))</x:f>
      </x:c>
      <x:c r="E451" s="75" t="str">
        <x:f>IF(A451="","",D451-C451)</x:f>
      </x:c>
      <x:c r="F451" s="88" t="str">
        <x:f>IF(A451="","",IF(C451=0,IF(D451=0,0,1),ABS(E451)/ABS(C451)))</x:f>
      </x:c>
      <x:c r="G451" s="73" t="str">
        <x:f>IF(A451="","",IF(AND(C451=0,D451&lt;&gt;0),"신규",IF(AND(C451&lt;&gt;0,D451=0),"소멸",IF(E451=0,"변동없음","금액변동"))))</x:f>
      </x:c>
      <x:c r="H451" s="73" t="str">
        <x:f>IF(A451="","",IF(AND(ABS(E451)&gt;='기준설정'!$B$6,OR(G451="신규",G451="소멸",F451&gt;='기준설정'!$B$5)),"원인분석 대상","일반"))</x:f>
      </x:c>
      <x:c r="I451" s="73" t="str">
        <x:f>IF(A451="","",IF(H451="원인분석 대상","세부원인분석 시트에서 거래별 원인을 검토","-"))</x:f>
      </x:c>
      <x:c r="J451" s="73" t="str">
        <x:f>IF(A451="","",COUNTIFS('전기원장'!$A$5:$A$1004,A451,'전기원장'!$J$5:$J$1004,"확인 필요")+COUNTIFS('당기원장'!$A$5:$A$1004,A451,'당기원장'!$J$5:$J$1004,"확인 필요"))</x:f>
      </x:c>
      <x:c r="K451" s="85" t="str">
        <x:f>IF(A451="","",IF(H451&lt;&gt;"원인분석 대상","",IF(J451&gt;0,"붙임 문서 확인 후 원인 확정 필요","결의서명 기반 원인분류 검토")))</x:f>
      </x:c>
    </x:row>
    <x:row r="452">
      <x:c r="A452" s="73" t="str">
        <x:f>IFERROR(INDEX('계산도우미'!$B$5:$B$2004,MATCH(ROWS($A$5:A452),'계산도우미'!$K$5:$K$2004,0)),"")</x:f>
      </x:c>
      <x:c r="B452" s="73" t="str">
        <x:f>IF(A452="","",IFERROR(INDEX('당기원장'!$B$5:$B$1004,MATCH(A452,'당기원장'!$A$5:$A$1004,0)),IFERROR(INDEX('전기원장'!$B$5:$B$1004,MATCH(A452,'전기원장'!$A$5:$A$1004,0)),"")))</x:f>
      </x:c>
      <x:c r="C452" s="75" t="str">
        <x:f>IF(A452="","",SUMIF('전기원장'!$A$5:$A$1004,A452,'전기원장'!$H$5:$H$1004))</x:f>
      </x:c>
      <x:c r="D452" s="75" t="str">
        <x:f>IF(A452="","",SUMIF('당기원장'!$A$5:$A$1004,A452,'당기원장'!$H$5:$H$1004))</x:f>
      </x:c>
      <x:c r="E452" s="75" t="str">
        <x:f>IF(A452="","",D452-C452)</x:f>
      </x:c>
      <x:c r="F452" s="88" t="str">
        <x:f>IF(A452="","",IF(C452=0,IF(D452=0,0,1),ABS(E452)/ABS(C452)))</x:f>
      </x:c>
      <x:c r="G452" s="73" t="str">
        <x:f>IF(A452="","",IF(AND(C452=0,D452&lt;&gt;0),"신규",IF(AND(C452&lt;&gt;0,D452=0),"소멸",IF(E452=0,"변동없음","금액변동"))))</x:f>
      </x:c>
      <x:c r="H452" s="73" t="str">
        <x:f>IF(A452="","",IF(AND(ABS(E452)&gt;='기준설정'!$B$6,OR(G452="신규",G452="소멸",F452&gt;='기준설정'!$B$5)),"원인분석 대상","일반"))</x:f>
      </x:c>
      <x:c r="I452" s="73" t="str">
        <x:f>IF(A452="","",IF(H452="원인분석 대상","세부원인분석 시트에서 거래별 원인을 검토","-"))</x:f>
      </x:c>
      <x:c r="J452" s="73" t="str">
        <x:f>IF(A452="","",COUNTIFS('전기원장'!$A$5:$A$1004,A452,'전기원장'!$J$5:$J$1004,"확인 필요")+COUNTIFS('당기원장'!$A$5:$A$1004,A452,'당기원장'!$J$5:$J$1004,"확인 필요"))</x:f>
      </x:c>
      <x:c r="K452" s="85" t="str">
        <x:f>IF(A452="","",IF(H452&lt;&gt;"원인분석 대상","",IF(J452&gt;0,"붙임 문서 확인 후 원인 확정 필요","결의서명 기반 원인분류 검토")))</x:f>
      </x:c>
    </x:row>
    <x:row r="453">
      <x:c r="A453" s="73" t="str">
        <x:f>IFERROR(INDEX('계산도우미'!$B$5:$B$2004,MATCH(ROWS($A$5:A453),'계산도우미'!$K$5:$K$2004,0)),"")</x:f>
      </x:c>
      <x:c r="B453" s="73" t="str">
        <x:f>IF(A453="","",IFERROR(INDEX('당기원장'!$B$5:$B$1004,MATCH(A453,'당기원장'!$A$5:$A$1004,0)),IFERROR(INDEX('전기원장'!$B$5:$B$1004,MATCH(A453,'전기원장'!$A$5:$A$1004,0)),"")))</x:f>
      </x:c>
      <x:c r="C453" s="75" t="str">
        <x:f>IF(A453="","",SUMIF('전기원장'!$A$5:$A$1004,A453,'전기원장'!$H$5:$H$1004))</x:f>
      </x:c>
      <x:c r="D453" s="75" t="str">
        <x:f>IF(A453="","",SUMIF('당기원장'!$A$5:$A$1004,A453,'당기원장'!$H$5:$H$1004))</x:f>
      </x:c>
      <x:c r="E453" s="75" t="str">
        <x:f>IF(A453="","",D453-C453)</x:f>
      </x:c>
      <x:c r="F453" s="88" t="str">
        <x:f>IF(A453="","",IF(C453=0,IF(D453=0,0,1),ABS(E453)/ABS(C453)))</x:f>
      </x:c>
      <x:c r="G453" s="73" t="str">
        <x:f>IF(A453="","",IF(AND(C453=0,D453&lt;&gt;0),"신규",IF(AND(C453&lt;&gt;0,D453=0),"소멸",IF(E453=0,"변동없음","금액변동"))))</x:f>
      </x:c>
      <x:c r="H453" s="73" t="str">
        <x:f>IF(A453="","",IF(AND(ABS(E453)&gt;='기준설정'!$B$6,OR(G453="신규",G453="소멸",F453&gt;='기준설정'!$B$5)),"원인분석 대상","일반"))</x:f>
      </x:c>
      <x:c r="I453" s="73" t="str">
        <x:f>IF(A453="","",IF(H453="원인분석 대상","세부원인분석 시트에서 거래별 원인을 검토","-"))</x:f>
      </x:c>
      <x:c r="J453" s="73" t="str">
        <x:f>IF(A453="","",COUNTIFS('전기원장'!$A$5:$A$1004,A453,'전기원장'!$J$5:$J$1004,"확인 필요")+COUNTIFS('당기원장'!$A$5:$A$1004,A453,'당기원장'!$J$5:$J$1004,"확인 필요"))</x:f>
      </x:c>
      <x:c r="K453" s="85" t="str">
        <x:f>IF(A453="","",IF(H453&lt;&gt;"원인분석 대상","",IF(J453&gt;0,"붙임 문서 확인 후 원인 확정 필요","결의서명 기반 원인분류 검토")))</x:f>
      </x:c>
    </x:row>
    <x:row r="454">
      <x:c r="A454" s="73" t="str">
        <x:f>IFERROR(INDEX('계산도우미'!$B$5:$B$2004,MATCH(ROWS($A$5:A454),'계산도우미'!$K$5:$K$2004,0)),"")</x:f>
      </x:c>
      <x:c r="B454" s="73" t="str">
        <x:f>IF(A454="","",IFERROR(INDEX('당기원장'!$B$5:$B$1004,MATCH(A454,'당기원장'!$A$5:$A$1004,0)),IFERROR(INDEX('전기원장'!$B$5:$B$1004,MATCH(A454,'전기원장'!$A$5:$A$1004,0)),"")))</x:f>
      </x:c>
      <x:c r="C454" s="75" t="str">
        <x:f>IF(A454="","",SUMIF('전기원장'!$A$5:$A$1004,A454,'전기원장'!$H$5:$H$1004))</x:f>
      </x:c>
      <x:c r="D454" s="75" t="str">
        <x:f>IF(A454="","",SUMIF('당기원장'!$A$5:$A$1004,A454,'당기원장'!$H$5:$H$1004))</x:f>
      </x:c>
      <x:c r="E454" s="75" t="str">
        <x:f>IF(A454="","",D454-C454)</x:f>
      </x:c>
      <x:c r="F454" s="88" t="str">
        <x:f>IF(A454="","",IF(C454=0,IF(D454=0,0,1),ABS(E454)/ABS(C454)))</x:f>
      </x:c>
      <x:c r="G454" s="73" t="str">
        <x:f>IF(A454="","",IF(AND(C454=0,D454&lt;&gt;0),"신규",IF(AND(C454&lt;&gt;0,D454=0),"소멸",IF(E454=0,"변동없음","금액변동"))))</x:f>
      </x:c>
      <x:c r="H454" s="73" t="str">
        <x:f>IF(A454="","",IF(AND(ABS(E454)&gt;='기준설정'!$B$6,OR(G454="신규",G454="소멸",F454&gt;='기준설정'!$B$5)),"원인분석 대상","일반"))</x:f>
      </x:c>
      <x:c r="I454" s="73" t="str">
        <x:f>IF(A454="","",IF(H454="원인분석 대상","세부원인분석 시트에서 거래별 원인을 검토","-"))</x:f>
      </x:c>
      <x:c r="J454" s="73" t="str">
        <x:f>IF(A454="","",COUNTIFS('전기원장'!$A$5:$A$1004,A454,'전기원장'!$J$5:$J$1004,"확인 필요")+COUNTIFS('당기원장'!$A$5:$A$1004,A454,'당기원장'!$J$5:$J$1004,"확인 필요"))</x:f>
      </x:c>
      <x:c r="K454" s="85" t="str">
        <x:f>IF(A454="","",IF(H454&lt;&gt;"원인분석 대상","",IF(J454&gt;0,"붙임 문서 확인 후 원인 확정 필요","결의서명 기반 원인분류 검토")))</x:f>
      </x:c>
    </x:row>
    <x:row r="455">
      <x:c r="A455" s="73" t="str">
        <x:f>IFERROR(INDEX('계산도우미'!$B$5:$B$2004,MATCH(ROWS($A$5:A455),'계산도우미'!$K$5:$K$2004,0)),"")</x:f>
      </x:c>
      <x:c r="B455" s="73" t="str">
        <x:f>IF(A455="","",IFERROR(INDEX('당기원장'!$B$5:$B$1004,MATCH(A455,'당기원장'!$A$5:$A$1004,0)),IFERROR(INDEX('전기원장'!$B$5:$B$1004,MATCH(A455,'전기원장'!$A$5:$A$1004,0)),"")))</x:f>
      </x:c>
      <x:c r="C455" s="75" t="str">
        <x:f>IF(A455="","",SUMIF('전기원장'!$A$5:$A$1004,A455,'전기원장'!$H$5:$H$1004))</x:f>
      </x:c>
      <x:c r="D455" s="75" t="str">
        <x:f>IF(A455="","",SUMIF('당기원장'!$A$5:$A$1004,A455,'당기원장'!$H$5:$H$1004))</x:f>
      </x:c>
      <x:c r="E455" s="75" t="str">
        <x:f>IF(A455="","",D455-C455)</x:f>
      </x:c>
      <x:c r="F455" s="88" t="str">
        <x:f>IF(A455="","",IF(C455=0,IF(D455=0,0,1),ABS(E455)/ABS(C455)))</x:f>
      </x:c>
      <x:c r="G455" s="73" t="str">
        <x:f>IF(A455="","",IF(AND(C455=0,D455&lt;&gt;0),"신규",IF(AND(C455&lt;&gt;0,D455=0),"소멸",IF(E455=0,"변동없음","금액변동"))))</x:f>
      </x:c>
      <x:c r="H455" s="73" t="str">
        <x:f>IF(A455="","",IF(AND(ABS(E455)&gt;='기준설정'!$B$6,OR(G455="신규",G455="소멸",F455&gt;='기준설정'!$B$5)),"원인분석 대상","일반"))</x:f>
      </x:c>
      <x:c r="I455" s="73" t="str">
        <x:f>IF(A455="","",IF(H455="원인분석 대상","세부원인분석 시트에서 거래별 원인을 검토","-"))</x:f>
      </x:c>
      <x:c r="J455" s="73" t="str">
        <x:f>IF(A455="","",COUNTIFS('전기원장'!$A$5:$A$1004,A455,'전기원장'!$J$5:$J$1004,"확인 필요")+COUNTIFS('당기원장'!$A$5:$A$1004,A455,'당기원장'!$J$5:$J$1004,"확인 필요"))</x:f>
      </x:c>
      <x:c r="K455" s="85" t="str">
        <x:f>IF(A455="","",IF(H455&lt;&gt;"원인분석 대상","",IF(J455&gt;0,"붙임 문서 확인 후 원인 확정 필요","결의서명 기반 원인분류 검토")))</x:f>
      </x:c>
    </x:row>
    <x:row r="456">
      <x:c r="A456" s="73" t="str">
        <x:f>IFERROR(INDEX('계산도우미'!$B$5:$B$2004,MATCH(ROWS($A$5:A456),'계산도우미'!$K$5:$K$2004,0)),"")</x:f>
      </x:c>
      <x:c r="B456" s="73" t="str">
        <x:f>IF(A456="","",IFERROR(INDEX('당기원장'!$B$5:$B$1004,MATCH(A456,'당기원장'!$A$5:$A$1004,0)),IFERROR(INDEX('전기원장'!$B$5:$B$1004,MATCH(A456,'전기원장'!$A$5:$A$1004,0)),"")))</x:f>
      </x:c>
      <x:c r="C456" s="75" t="str">
        <x:f>IF(A456="","",SUMIF('전기원장'!$A$5:$A$1004,A456,'전기원장'!$H$5:$H$1004))</x:f>
      </x:c>
      <x:c r="D456" s="75" t="str">
        <x:f>IF(A456="","",SUMIF('당기원장'!$A$5:$A$1004,A456,'당기원장'!$H$5:$H$1004))</x:f>
      </x:c>
      <x:c r="E456" s="75" t="str">
        <x:f>IF(A456="","",D456-C456)</x:f>
      </x:c>
      <x:c r="F456" s="88" t="str">
        <x:f>IF(A456="","",IF(C456=0,IF(D456=0,0,1),ABS(E456)/ABS(C456)))</x:f>
      </x:c>
      <x:c r="G456" s="73" t="str">
        <x:f>IF(A456="","",IF(AND(C456=0,D456&lt;&gt;0),"신규",IF(AND(C456&lt;&gt;0,D456=0),"소멸",IF(E456=0,"변동없음","금액변동"))))</x:f>
      </x:c>
      <x:c r="H456" s="73" t="str">
        <x:f>IF(A456="","",IF(AND(ABS(E456)&gt;='기준설정'!$B$6,OR(G456="신규",G456="소멸",F456&gt;='기준설정'!$B$5)),"원인분석 대상","일반"))</x:f>
      </x:c>
      <x:c r="I456" s="73" t="str">
        <x:f>IF(A456="","",IF(H456="원인분석 대상","세부원인분석 시트에서 거래별 원인을 검토","-"))</x:f>
      </x:c>
      <x:c r="J456" s="73" t="str">
        <x:f>IF(A456="","",COUNTIFS('전기원장'!$A$5:$A$1004,A456,'전기원장'!$J$5:$J$1004,"확인 필요")+COUNTIFS('당기원장'!$A$5:$A$1004,A456,'당기원장'!$J$5:$J$1004,"확인 필요"))</x:f>
      </x:c>
      <x:c r="K456" s="85" t="str">
        <x:f>IF(A456="","",IF(H456&lt;&gt;"원인분석 대상","",IF(J456&gt;0,"붙임 문서 확인 후 원인 확정 필요","결의서명 기반 원인분류 검토")))</x:f>
      </x:c>
    </x:row>
    <x:row r="457">
      <x:c r="A457" s="73" t="str">
        <x:f>IFERROR(INDEX('계산도우미'!$B$5:$B$2004,MATCH(ROWS($A$5:A457),'계산도우미'!$K$5:$K$2004,0)),"")</x:f>
      </x:c>
      <x:c r="B457" s="73" t="str">
        <x:f>IF(A457="","",IFERROR(INDEX('당기원장'!$B$5:$B$1004,MATCH(A457,'당기원장'!$A$5:$A$1004,0)),IFERROR(INDEX('전기원장'!$B$5:$B$1004,MATCH(A457,'전기원장'!$A$5:$A$1004,0)),"")))</x:f>
      </x:c>
      <x:c r="C457" s="75" t="str">
        <x:f>IF(A457="","",SUMIF('전기원장'!$A$5:$A$1004,A457,'전기원장'!$H$5:$H$1004))</x:f>
      </x:c>
      <x:c r="D457" s="75" t="str">
        <x:f>IF(A457="","",SUMIF('당기원장'!$A$5:$A$1004,A457,'당기원장'!$H$5:$H$1004))</x:f>
      </x:c>
      <x:c r="E457" s="75" t="str">
        <x:f>IF(A457="","",D457-C457)</x:f>
      </x:c>
      <x:c r="F457" s="88" t="str">
        <x:f>IF(A457="","",IF(C457=0,IF(D457=0,0,1),ABS(E457)/ABS(C457)))</x:f>
      </x:c>
      <x:c r="G457" s="73" t="str">
        <x:f>IF(A457="","",IF(AND(C457=0,D457&lt;&gt;0),"신규",IF(AND(C457&lt;&gt;0,D457=0),"소멸",IF(E457=0,"변동없음","금액변동"))))</x:f>
      </x:c>
      <x:c r="H457" s="73" t="str">
        <x:f>IF(A457="","",IF(AND(ABS(E457)&gt;='기준설정'!$B$6,OR(G457="신규",G457="소멸",F457&gt;='기준설정'!$B$5)),"원인분석 대상","일반"))</x:f>
      </x:c>
      <x:c r="I457" s="73" t="str">
        <x:f>IF(A457="","",IF(H457="원인분석 대상","세부원인분석 시트에서 거래별 원인을 검토","-"))</x:f>
      </x:c>
      <x:c r="J457" s="73" t="str">
        <x:f>IF(A457="","",COUNTIFS('전기원장'!$A$5:$A$1004,A457,'전기원장'!$J$5:$J$1004,"확인 필요")+COUNTIFS('당기원장'!$A$5:$A$1004,A457,'당기원장'!$J$5:$J$1004,"확인 필요"))</x:f>
      </x:c>
      <x:c r="K457" s="85" t="str">
        <x:f>IF(A457="","",IF(H457&lt;&gt;"원인분석 대상","",IF(J457&gt;0,"붙임 문서 확인 후 원인 확정 필요","결의서명 기반 원인분류 검토")))</x:f>
      </x:c>
    </x:row>
    <x:row r="458">
      <x:c r="A458" s="73" t="str">
        <x:f>IFERROR(INDEX('계산도우미'!$B$5:$B$2004,MATCH(ROWS($A$5:A458),'계산도우미'!$K$5:$K$2004,0)),"")</x:f>
      </x:c>
      <x:c r="B458" s="73" t="str">
        <x:f>IF(A458="","",IFERROR(INDEX('당기원장'!$B$5:$B$1004,MATCH(A458,'당기원장'!$A$5:$A$1004,0)),IFERROR(INDEX('전기원장'!$B$5:$B$1004,MATCH(A458,'전기원장'!$A$5:$A$1004,0)),"")))</x:f>
      </x:c>
      <x:c r="C458" s="75" t="str">
        <x:f>IF(A458="","",SUMIF('전기원장'!$A$5:$A$1004,A458,'전기원장'!$H$5:$H$1004))</x:f>
      </x:c>
      <x:c r="D458" s="75" t="str">
        <x:f>IF(A458="","",SUMIF('당기원장'!$A$5:$A$1004,A458,'당기원장'!$H$5:$H$1004))</x:f>
      </x:c>
      <x:c r="E458" s="75" t="str">
        <x:f>IF(A458="","",D458-C458)</x:f>
      </x:c>
      <x:c r="F458" s="88" t="str">
        <x:f>IF(A458="","",IF(C458=0,IF(D458=0,0,1),ABS(E458)/ABS(C458)))</x:f>
      </x:c>
      <x:c r="G458" s="73" t="str">
        <x:f>IF(A458="","",IF(AND(C458=0,D458&lt;&gt;0),"신규",IF(AND(C458&lt;&gt;0,D458=0),"소멸",IF(E458=0,"변동없음","금액변동"))))</x:f>
      </x:c>
      <x:c r="H458" s="73" t="str">
        <x:f>IF(A458="","",IF(AND(ABS(E458)&gt;='기준설정'!$B$6,OR(G458="신규",G458="소멸",F458&gt;='기준설정'!$B$5)),"원인분석 대상","일반"))</x:f>
      </x:c>
      <x:c r="I458" s="73" t="str">
        <x:f>IF(A458="","",IF(H458="원인분석 대상","세부원인분석 시트에서 거래별 원인을 검토","-"))</x:f>
      </x:c>
      <x:c r="J458" s="73" t="str">
        <x:f>IF(A458="","",COUNTIFS('전기원장'!$A$5:$A$1004,A458,'전기원장'!$J$5:$J$1004,"확인 필요")+COUNTIFS('당기원장'!$A$5:$A$1004,A458,'당기원장'!$J$5:$J$1004,"확인 필요"))</x:f>
      </x:c>
      <x:c r="K458" s="85" t="str">
        <x:f>IF(A458="","",IF(H458&lt;&gt;"원인분석 대상","",IF(J458&gt;0,"붙임 문서 확인 후 원인 확정 필요","결의서명 기반 원인분류 검토")))</x:f>
      </x:c>
    </x:row>
    <x:row r="459">
      <x:c r="A459" s="73" t="str">
        <x:f>IFERROR(INDEX('계산도우미'!$B$5:$B$2004,MATCH(ROWS($A$5:A459),'계산도우미'!$K$5:$K$2004,0)),"")</x:f>
      </x:c>
      <x:c r="B459" s="73" t="str">
        <x:f>IF(A459="","",IFERROR(INDEX('당기원장'!$B$5:$B$1004,MATCH(A459,'당기원장'!$A$5:$A$1004,0)),IFERROR(INDEX('전기원장'!$B$5:$B$1004,MATCH(A459,'전기원장'!$A$5:$A$1004,0)),"")))</x:f>
      </x:c>
      <x:c r="C459" s="75" t="str">
        <x:f>IF(A459="","",SUMIF('전기원장'!$A$5:$A$1004,A459,'전기원장'!$H$5:$H$1004))</x:f>
      </x:c>
      <x:c r="D459" s="75" t="str">
        <x:f>IF(A459="","",SUMIF('당기원장'!$A$5:$A$1004,A459,'당기원장'!$H$5:$H$1004))</x:f>
      </x:c>
      <x:c r="E459" s="75" t="str">
        <x:f>IF(A459="","",D459-C459)</x:f>
      </x:c>
      <x:c r="F459" s="88" t="str">
        <x:f>IF(A459="","",IF(C459=0,IF(D459=0,0,1),ABS(E459)/ABS(C459)))</x:f>
      </x:c>
      <x:c r="G459" s="73" t="str">
        <x:f>IF(A459="","",IF(AND(C459=0,D459&lt;&gt;0),"신규",IF(AND(C459&lt;&gt;0,D459=0),"소멸",IF(E459=0,"변동없음","금액변동"))))</x:f>
      </x:c>
      <x:c r="H459" s="73" t="str">
        <x:f>IF(A459="","",IF(AND(ABS(E459)&gt;='기준설정'!$B$6,OR(G459="신규",G459="소멸",F459&gt;='기준설정'!$B$5)),"원인분석 대상","일반"))</x:f>
      </x:c>
      <x:c r="I459" s="73" t="str">
        <x:f>IF(A459="","",IF(H459="원인분석 대상","세부원인분석 시트에서 거래별 원인을 검토","-"))</x:f>
      </x:c>
      <x:c r="J459" s="73" t="str">
        <x:f>IF(A459="","",COUNTIFS('전기원장'!$A$5:$A$1004,A459,'전기원장'!$J$5:$J$1004,"확인 필요")+COUNTIFS('당기원장'!$A$5:$A$1004,A459,'당기원장'!$J$5:$J$1004,"확인 필요"))</x:f>
      </x:c>
      <x:c r="K459" s="85" t="str">
        <x:f>IF(A459="","",IF(H459&lt;&gt;"원인분석 대상","",IF(J459&gt;0,"붙임 문서 확인 후 원인 확정 필요","결의서명 기반 원인분류 검토")))</x:f>
      </x:c>
    </x:row>
    <x:row r="460">
      <x:c r="A460" s="73" t="str">
        <x:f>IFERROR(INDEX('계산도우미'!$B$5:$B$2004,MATCH(ROWS($A$5:A460),'계산도우미'!$K$5:$K$2004,0)),"")</x:f>
      </x:c>
      <x:c r="B460" s="73" t="str">
        <x:f>IF(A460="","",IFERROR(INDEX('당기원장'!$B$5:$B$1004,MATCH(A460,'당기원장'!$A$5:$A$1004,0)),IFERROR(INDEX('전기원장'!$B$5:$B$1004,MATCH(A460,'전기원장'!$A$5:$A$1004,0)),"")))</x:f>
      </x:c>
      <x:c r="C460" s="75" t="str">
        <x:f>IF(A460="","",SUMIF('전기원장'!$A$5:$A$1004,A460,'전기원장'!$H$5:$H$1004))</x:f>
      </x:c>
      <x:c r="D460" s="75" t="str">
        <x:f>IF(A460="","",SUMIF('당기원장'!$A$5:$A$1004,A460,'당기원장'!$H$5:$H$1004))</x:f>
      </x:c>
      <x:c r="E460" s="75" t="str">
        <x:f>IF(A460="","",D460-C460)</x:f>
      </x:c>
      <x:c r="F460" s="88" t="str">
        <x:f>IF(A460="","",IF(C460=0,IF(D460=0,0,1),ABS(E460)/ABS(C460)))</x:f>
      </x:c>
      <x:c r="G460" s="73" t="str">
        <x:f>IF(A460="","",IF(AND(C460=0,D460&lt;&gt;0),"신규",IF(AND(C460&lt;&gt;0,D460=0),"소멸",IF(E460=0,"변동없음","금액변동"))))</x:f>
      </x:c>
      <x:c r="H460" s="73" t="str">
        <x:f>IF(A460="","",IF(AND(ABS(E460)&gt;='기준설정'!$B$6,OR(G460="신규",G460="소멸",F460&gt;='기준설정'!$B$5)),"원인분석 대상","일반"))</x:f>
      </x:c>
      <x:c r="I460" s="73" t="str">
        <x:f>IF(A460="","",IF(H460="원인분석 대상","세부원인분석 시트에서 거래별 원인을 검토","-"))</x:f>
      </x:c>
      <x:c r="J460" s="73" t="str">
        <x:f>IF(A460="","",COUNTIFS('전기원장'!$A$5:$A$1004,A460,'전기원장'!$J$5:$J$1004,"확인 필요")+COUNTIFS('당기원장'!$A$5:$A$1004,A460,'당기원장'!$J$5:$J$1004,"확인 필요"))</x:f>
      </x:c>
      <x:c r="K460" s="85" t="str">
        <x:f>IF(A460="","",IF(H460&lt;&gt;"원인분석 대상","",IF(J460&gt;0,"붙임 문서 확인 후 원인 확정 필요","결의서명 기반 원인분류 검토")))</x:f>
      </x:c>
    </x:row>
    <x:row r="461">
      <x:c r="A461" s="73" t="str">
        <x:f>IFERROR(INDEX('계산도우미'!$B$5:$B$2004,MATCH(ROWS($A$5:A461),'계산도우미'!$K$5:$K$2004,0)),"")</x:f>
      </x:c>
      <x:c r="B461" s="73" t="str">
        <x:f>IF(A461="","",IFERROR(INDEX('당기원장'!$B$5:$B$1004,MATCH(A461,'당기원장'!$A$5:$A$1004,0)),IFERROR(INDEX('전기원장'!$B$5:$B$1004,MATCH(A461,'전기원장'!$A$5:$A$1004,0)),"")))</x:f>
      </x:c>
      <x:c r="C461" s="75" t="str">
        <x:f>IF(A461="","",SUMIF('전기원장'!$A$5:$A$1004,A461,'전기원장'!$H$5:$H$1004))</x:f>
      </x:c>
      <x:c r="D461" s="75" t="str">
        <x:f>IF(A461="","",SUMIF('당기원장'!$A$5:$A$1004,A461,'당기원장'!$H$5:$H$1004))</x:f>
      </x:c>
      <x:c r="E461" s="75" t="str">
        <x:f>IF(A461="","",D461-C461)</x:f>
      </x:c>
      <x:c r="F461" s="88" t="str">
        <x:f>IF(A461="","",IF(C461=0,IF(D461=0,0,1),ABS(E461)/ABS(C461)))</x:f>
      </x:c>
      <x:c r="G461" s="73" t="str">
        <x:f>IF(A461="","",IF(AND(C461=0,D461&lt;&gt;0),"신규",IF(AND(C461&lt;&gt;0,D461=0),"소멸",IF(E461=0,"변동없음","금액변동"))))</x:f>
      </x:c>
      <x:c r="H461" s="73" t="str">
        <x:f>IF(A461="","",IF(AND(ABS(E461)&gt;='기준설정'!$B$6,OR(G461="신규",G461="소멸",F461&gt;='기준설정'!$B$5)),"원인분석 대상","일반"))</x:f>
      </x:c>
      <x:c r="I461" s="73" t="str">
        <x:f>IF(A461="","",IF(H461="원인분석 대상","세부원인분석 시트에서 거래별 원인을 검토","-"))</x:f>
      </x:c>
      <x:c r="J461" s="73" t="str">
        <x:f>IF(A461="","",COUNTIFS('전기원장'!$A$5:$A$1004,A461,'전기원장'!$J$5:$J$1004,"확인 필요")+COUNTIFS('당기원장'!$A$5:$A$1004,A461,'당기원장'!$J$5:$J$1004,"확인 필요"))</x:f>
      </x:c>
      <x:c r="K461" s="85" t="str">
        <x:f>IF(A461="","",IF(H461&lt;&gt;"원인분석 대상","",IF(J461&gt;0,"붙임 문서 확인 후 원인 확정 필요","결의서명 기반 원인분류 검토")))</x:f>
      </x:c>
    </x:row>
    <x:row r="462">
      <x:c r="A462" s="73" t="str">
        <x:f>IFERROR(INDEX('계산도우미'!$B$5:$B$2004,MATCH(ROWS($A$5:A462),'계산도우미'!$K$5:$K$2004,0)),"")</x:f>
      </x:c>
      <x:c r="B462" s="73" t="str">
        <x:f>IF(A462="","",IFERROR(INDEX('당기원장'!$B$5:$B$1004,MATCH(A462,'당기원장'!$A$5:$A$1004,0)),IFERROR(INDEX('전기원장'!$B$5:$B$1004,MATCH(A462,'전기원장'!$A$5:$A$1004,0)),"")))</x:f>
      </x:c>
      <x:c r="C462" s="75" t="str">
        <x:f>IF(A462="","",SUMIF('전기원장'!$A$5:$A$1004,A462,'전기원장'!$H$5:$H$1004))</x:f>
      </x:c>
      <x:c r="D462" s="75" t="str">
        <x:f>IF(A462="","",SUMIF('당기원장'!$A$5:$A$1004,A462,'당기원장'!$H$5:$H$1004))</x:f>
      </x:c>
      <x:c r="E462" s="75" t="str">
        <x:f>IF(A462="","",D462-C462)</x:f>
      </x:c>
      <x:c r="F462" s="88" t="str">
        <x:f>IF(A462="","",IF(C462=0,IF(D462=0,0,1),ABS(E462)/ABS(C462)))</x:f>
      </x:c>
      <x:c r="G462" s="73" t="str">
        <x:f>IF(A462="","",IF(AND(C462=0,D462&lt;&gt;0),"신규",IF(AND(C462&lt;&gt;0,D462=0),"소멸",IF(E462=0,"변동없음","금액변동"))))</x:f>
      </x:c>
      <x:c r="H462" s="73" t="str">
        <x:f>IF(A462="","",IF(AND(ABS(E462)&gt;='기준설정'!$B$6,OR(G462="신규",G462="소멸",F462&gt;='기준설정'!$B$5)),"원인분석 대상","일반"))</x:f>
      </x:c>
      <x:c r="I462" s="73" t="str">
        <x:f>IF(A462="","",IF(H462="원인분석 대상","세부원인분석 시트에서 거래별 원인을 검토","-"))</x:f>
      </x:c>
      <x:c r="J462" s="73" t="str">
        <x:f>IF(A462="","",COUNTIFS('전기원장'!$A$5:$A$1004,A462,'전기원장'!$J$5:$J$1004,"확인 필요")+COUNTIFS('당기원장'!$A$5:$A$1004,A462,'당기원장'!$J$5:$J$1004,"확인 필요"))</x:f>
      </x:c>
      <x:c r="K462" s="85" t="str">
        <x:f>IF(A462="","",IF(H462&lt;&gt;"원인분석 대상","",IF(J462&gt;0,"붙임 문서 확인 후 원인 확정 필요","결의서명 기반 원인분류 검토")))</x:f>
      </x:c>
    </x:row>
    <x:row r="463">
      <x:c r="A463" s="73" t="str">
        <x:f>IFERROR(INDEX('계산도우미'!$B$5:$B$2004,MATCH(ROWS($A$5:A463),'계산도우미'!$K$5:$K$2004,0)),"")</x:f>
      </x:c>
      <x:c r="B463" s="73" t="str">
        <x:f>IF(A463="","",IFERROR(INDEX('당기원장'!$B$5:$B$1004,MATCH(A463,'당기원장'!$A$5:$A$1004,0)),IFERROR(INDEX('전기원장'!$B$5:$B$1004,MATCH(A463,'전기원장'!$A$5:$A$1004,0)),"")))</x:f>
      </x:c>
      <x:c r="C463" s="75" t="str">
        <x:f>IF(A463="","",SUMIF('전기원장'!$A$5:$A$1004,A463,'전기원장'!$H$5:$H$1004))</x:f>
      </x:c>
      <x:c r="D463" s="75" t="str">
        <x:f>IF(A463="","",SUMIF('당기원장'!$A$5:$A$1004,A463,'당기원장'!$H$5:$H$1004))</x:f>
      </x:c>
      <x:c r="E463" s="75" t="str">
        <x:f>IF(A463="","",D463-C463)</x:f>
      </x:c>
      <x:c r="F463" s="88" t="str">
        <x:f>IF(A463="","",IF(C463=0,IF(D463=0,0,1),ABS(E463)/ABS(C463)))</x:f>
      </x:c>
      <x:c r="G463" s="73" t="str">
        <x:f>IF(A463="","",IF(AND(C463=0,D463&lt;&gt;0),"신규",IF(AND(C463&lt;&gt;0,D463=0),"소멸",IF(E463=0,"변동없음","금액변동"))))</x:f>
      </x:c>
      <x:c r="H463" s="73" t="str">
        <x:f>IF(A463="","",IF(AND(ABS(E463)&gt;='기준설정'!$B$6,OR(G463="신규",G463="소멸",F463&gt;='기준설정'!$B$5)),"원인분석 대상","일반"))</x:f>
      </x:c>
      <x:c r="I463" s="73" t="str">
        <x:f>IF(A463="","",IF(H463="원인분석 대상","세부원인분석 시트에서 거래별 원인을 검토","-"))</x:f>
      </x:c>
      <x:c r="J463" s="73" t="str">
        <x:f>IF(A463="","",COUNTIFS('전기원장'!$A$5:$A$1004,A463,'전기원장'!$J$5:$J$1004,"확인 필요")+COUNTIFS('당기원장'!$A$5:$A$1004,A463,'당기원장'!$J$5:$J$1004,"확인 필요"))</x:f>
      </x:c>
      <x:c r="K463" s="85" t="str">
        <x:f>IF(A463="","",IF(H463&lt;&gt;"원인분석 대상","",IF(J463&gt;0,"붙임 문서 확인 후 원인 확정 필요","결의서명 기반 원인분류 검토")))</x:f>
      </x:c>
    </x:row>
    <x:row r="464">
      <x:c r="A464" s="73" t="str">
        <x:f>IFERROR(INDEX('계산도우미'!$B$5:$B$2004,MATCH(ROWS($A$5:A464),'계산도우미'!$K$5:$K$2004,0)),"")</x:f>
      </x:c>
      <x:c r="B464" s="73" t="str">
        <x:f>IF(A464="","",IFERROR(INDEX('당기원장'!$B$5:$B$1004,MATCH(A464,'당기원장'!$A$5:$A$1004,0)),IFERROR(INDEX('전기원장'!$B$5:$B$1004,MATCH(A464,'전기원장'!$A$5:$A$1004,0)),"")))</x:f>
      </x:c>
      <x:c r="C464" s="75" t="str">
        <x:f>IF(A464="","",SUMIF('전기원장'!$A$5:$A$1004,A464,'전기원장'!$H$5:$H$1004))</x:f>
      </x:c>
      <x:c r="D464" s="75" t="str">
        <x:f>IF(A464="","",SUMIF('당기원장'!$A$5:$A$1004,A464,'당기원장'!$H$5:$H$1004))</x:f>
      </x:c>
      <x:c r="E464" s="75" t="str">
        <x:f>IF(A464="","",D464-C464)</x:f>
      </x:c>
      <x:c r="F464" s="88" t="str">
        <x:f>IF(A464="","",IF(C464=0,IF(D464=0,0,1),ABS(E464)/ABS(C464)))</x:f>
      </x:c>
      <x:c r="G464" s="73" t="str">
        <x:f>IF(A464="","",IF(AND(C464=0,D464&lt;&gt;0),"신규",IF(AND(C464&lt;&gt;0,D464=0),"소멸",IF(E464=0,"변동없음","금액변동"))))</x:f>
      </x:c>
      <x:c r="H464" s="73" t="str">
        <x:f>IF(A464="","",IF(AND(ABS(E464)&gt;='기준설정'!$B$6,OR(G464="신규",G464="소멸",F464&gt;='기준설정'!$B$5)),"원인분석 대상","일반"))</x:f>
      </x:c>
      <x:c r="I464" s="73" t="str">
        <x:f>IF(A464="","",IF(H464="원인분석 대상","세부원인분석 시트에서 거래별 원인을 검토","-"))</x:f>
      </x:c>
      <x:c r="J464" s="73" t="str">
        <x:f>IF(A464="","",COUNTIFS('전기원장'!$A$5:$A$1004,A464,'전기원장'!$J$5:$J$1004,"확인 필요")+COUNTIFS('당기원장'!$A$5:$A$1004,A464,'당기원장'!$J$5:$J$1004,"확인 필요"))</x:f>
      </x:c>
      <x:c r="K464" s="85" t="str">
        <x:f>IF(A464="","",IF(H464&lt;&gt;"원인분석 대상","",IF(J464&gt;0,"붙임 문서 확인 후 원인 확정 필요","결의서명 기반 원인분류 검토")))</x:f>
      </x:c>
    </x:row>
    <x:row r="465">
      <x:c r="A465" s="73" t="str">
        <x:f>IFERROR(INDEX('계산도우미'!$B$5:$B$2004,MATCH(ROWS($A$5:A465),'계산도우미'!$K$5:$K$2004,0)),"")</x:f>
      </x:c>
      <x:c r="B465" s="73" t="str">
        <x:f>IF(A465="","",IFERROR(INDEX('당기원장'!$B$5:$B$1004,MATCH(A465,'당기원장'!$A$5:$A$1004,0)),IFERROR(INDEX('전기원장'!$B$5:$B$1004,MATCH(A465,'전기원장'!$A$5:$A$1004,0)),"")))</x:f>
      </x:c>
      <x:c r="C465" s="75" t="str">
        <x:f>IF(A465="","",SUMIF('전기원장'!$A$5:$A$1004,A465,'전기원장'!$H$5:$H$1004))</x:f>
      </x:c>
      <x:c r="D465" s="75" t="str">
        <x:f>IF(A465="","",SUMIF('당기원장'!$A$5:$A$1004,A465,'당기원장'!$H$5:$H$1004))</x:f>
      </x:c>
      <x:c r="E465" s="75" t="str">
        <x:f>IF(A465="","",D465-C465)</x:f>
      </x:c>
      <x:c r="F465" s="88" t="str">
        <x:f>IF(A465="","",IF(C465=0,IF(D465=0,0,1),ABS(E465)/ABS(C465)))</x:f>
      </x:c>
      <x:c r="G465" s="73" t="str">
        <x:f>IF(A465="","",IF(AND(C465=0,D465&lt;&gt;0),"신규",IF(AND(C465&lt;&gt;0,D465=0),"소멸",IF(E465=0,"변동없음","금액변동"))))</x:f>
      </x:c>
      <x:c r="H465" s="73" t="str">
        <x:f>IF(A465="","",IF(AND(ABS(E465)&gt;='기준설정'!$B$6,OR(G465="신규",G465="소멸",F465&gt;='기준설정'!$B$5)),"원인분석 대상","일반"))</x:f>
      </x:c>
      <x:c r="I465" s="73" t="str">
        <x:f>IF(A465="","",IF(H465="원인분석 대상","세부원인분석 시트에서 거래별 원인을 검토","-"))</x:f>
      </x:c>
      <x:c r="J465" s="73" t="str">
        <x:f>IF(A465="","",COUNTIFS('전기원장'!$A$5:$A$1004,A465,'전기원장'!$J$5:$J$1004,"확인 필요")+COUNTIFS('당기원장'!$A$5:$A$1004,A465,'당기원장'!$J$5:$J$1004,"확인 필요"))</x:f>
      </x:c>
      <x:c r="K465" s="85" t="str">
        <x:f>IF(A465="","",IF(H465&lt;&gt;"원인분석 대상","",IF(J465&gt;0,"붙임 문서 확인 후 원인 확정 필요","결의서명 기반 원인분류 검토")))</x:f>
      </x:c>
    </x:row>
    <x:row r="466">
      <x:c r="A466" s="73" t="str">
        <x:f>IFERROR(INDEX('계산도우미'!$B$5:$B$2004,MATCH(ROWS($A$5:A466),'계산도우미'!$K$5:$K$2004,0)),"")</x:f>
      </x:c>
      <x:c r="B466" s="73" t="str">
        <x:f>IF(A466="","",IFERROR(INDEX('당기원장'!$B$5:$B$1004,MATCH(A466,'당기원장'!$A$5:$A$1004,0)),IFERROR(INDEX('전기원장'!$B$5:$B$1004,MATCH(A466,'전기원장'!$A$5:$A$1004,0)),"")))</x:f>
      </x:c>
      <x:c r="C466" s="75" t="str">
        <x:f>IF(A466="","",SUMIF('전기원장'!$A$5:$A$1004,A466,'전기원장'!$H$5:$H$1004))</x:f>
      </x:c>
      <x:c r="D466" s="75" t="str">
        <x:f>IF(A466="","",SUMIF('당기원장'!$A$5:$A$1004,A466,'당기원장'!$H$5:$H$1004))</x:f>
      </x:c>
      <x:c r="E466" s="75" t="str">
        <x:f>IF(A466="","",D466-C466)</x:f>
      </x:c>
      <x:c r="F466" s="88" t="str">
        <x:f>IF(A466="","",IF(C466=0,IF(D466=0,0,1),ABS(E466)/ABS(C466)))</x:f>
      </x:c>
      <x:c r="G466" s="73" t="str">
        <x:f>IF(A466="","",IF(AND(C466=0,D466&lt;&gt;0),"신규",IF(AND(C466&lt;&gt;0,D466=0),"소멸",IF(E466=0,"변동없음","금액변동"))))</x:f>
      </x:c>
      <x:c r="H466" s="73" t="str">
        <x:f>IF(A466="","",IF(AND(ABS(E466)&gt;='기준설정'!$B$6,OR(G466="신규",G466="소멸",F466&gt;='기준설정'!$B$5)),"원인분석 대상","일반"))</x:f>
      </x:c>
      <x:c r="I466" s="73" t="str">
        <x:f>IF(A466="","",IF(H466="원인분석 대상","세부원인분석 시트에서 거래별 원인을 검토","-"))</x:f>
      </x:c>
      <x:c r="J466" s="73" t="str">
        <x:f>IF(A466="","",COUNTIFS('전기원장'!$A$5:$A$1004,A466,'전기원장'!$J$5:$J$1004,"확인 필요")+COUNTIFS('당기원장'!$A$5:$A$1004,A466,'당기원장'!$J$5:$J$1004,"확인 필요"))</x:f>
      </x:c>
      <x:c r="K466" s="85" t="str">
        <x:f>IF(A466="","",IF(H466&lt;&gt;"원인분석 대상","",IF(J466&gt;0,"붙임 문서 확인 후 원인 확정 필요","결의서명 기반 원인분류 검토")))</x:f>
      </x:c>
    </x:row>
    <x:row r="467">
      <x:c r="A467" s="73" t="str">
        <x:f>IFERROR(INDEX('계산도우미'!$B$5:$B$2004,MATCH(ROWS($A$5:A467),'계산도우미'!$K$5:$K$2004,0)),"")</x:f>
      </x:c>
      <x:c r="B467" s="73" t="str">
        <x:f>IF(A467="","",IFERROR(INDEX('당기원장'!$B$5:$B$1004,MATCH(A467,'당기원장'!$A$5:$A$1004,0)),IFERROR(INDEX('전기원장'!$B$5:$B$1004,MATCH(A467,'전기원장'!$A$5:$A$1004,0)),"")))</x:f>
      </x:c>
      <x:c r="C467" s="75" t="str">
        <x:f>IF(A467="","",SUMIF('전기원장'!$A$5:$A$1004,A467,'전기원장'!$H$5:$H$1004))</x:f>
      </x:c>
      <x:c r="D467" s="75" t="str">
        <x:f>IF(A467="","",SUMIF('당기원장'!$A$5:$A$1004,A467,'당기원장'!$H$5:$H$1004))</x:f>
      </x:c>
      <x:c r="E467" s="75" t="str">
        <x:f>IF(A467="","",D467-C467)</x:f>
      </x:c>
      <x:c r="F467" s="88" t="str">
        <x:f>IF(A467="","",IF(C467=0,IF(D467=0,0,1),ABS(E467)/ABS(C467)))</x:f>
      </x:c>
      <x:c r="G467" s="73" t="str">
        <x:f>IF(A467="","",IF(AND(C467=0,D467&lt;&gt;0),"신규",IF(AND(C467&lt;&gt;0,D467=0),"소멸",IF(E467=0,"변동없음","금액변동"))))</x:f>
      </x:c>
      <x:c r="H467" s="73" t="str">
        <x:f>IF(A467="","",IF(AND(ABS(E467)&gt;='기준설정'!$B$6,OR(G467="신규",G467="소멸",F467&gt;='기준설정'!$B$5)),"원인분석 대상","일반"))</x:f>
      </x:c>
      <x:c r="I467" s="73" t="str">
        <x:f>IF(A467="","",IF(H467="원인분석 대상","세부원인분석 시트에서 거래별 원인을 검토","-"))</x:f>
      </x:c>
      <x:c r="J467" s="73" t="str">
        <x:f>IF(A467="","",COUNTIFS('전기원장'!$A$5:$A$1004,A467,'전기원장'!$J$5:$J$1004,"확인 필요")+COUNTIFS('당기원장'!$A$5:$A$1004,A467,'당기원장'!$J$5:$J$1004,"확인 필요"))</x:f>
      </x:c>
      <x:c r="K467" s="85" t="str">
        <x:f>IF(A467="","",IF(H467&lt;&gt;"원인분석 대상","",IF(J467&gt;0,"붙임 문서 확인 후 원인 확정 필요","결의서명 기반 원인분류 검토")))</x:f>
      </x:c>
    </x:row>
    <x:row r="468">
      <x:c r="A468" s="73" t="str">
        <x:f>IFERROR(INDEX('계산도우미'!$B$5:$B$2004,MATCH(ROWS($A$5:A468),'계산도우미'!$K$5:$K$2004,0)),"")</x:f>
      </x:c>
      <x:c r="B468" s="73" t="str">
        <x:f>IF(A468="","",IFERROR(INDEX('당기원장'!$B$5:$B$1004,MATCH(A468,'당기원장'!$A$5:$A$1004,0)),IFERROR(INDEX('전기원장'!$B$5:$B$1004,MATCH(A468,'전기원장'!$A$5:$A$1004,0)),"")))</x:f>
      </x:c>
      <x:c r="C468" s="75" t="str">
        <x:f>IF(A468="","",SUMIF('전기원장'!$A$5:$A$1004,A468,'전기원장'!$H$5:$H$1004))</x:f>
      </x:c>
      <x:c r="D468" s="75" t="str">
        <x:f>IF(A468="","",SUMIF('당기원장'!$A$5:$A$1004,A468,'당기원장'!$H$5:$H$1004))</x:f>
      </x:c>
      <x:c r="E468" s="75" t="str">
        <x:f>IF(A468="","",D468-C468)</x:f>
      </x:c>
      <x:c r="F468" s="88" t="str">
        <x:f>IF(A468="","",IF(C468=0,IF(D468=0,0,1),ABS(E468)/ABS(C468)))</x:f>
      </x:c>
      <x:c r="G468" s="73" t="str">
        <x:f>IF(A468="","",IF(AND(C468=0,D468&lt;&gt;0),"신규",IF(AND(C468&lt;&gt;0,D468=0),"소멸",IF(E468=0,"변동없음","금액변동"))))</x:f>
      </x:c>
      <x:c r="H468" s="73" t="str">
        <x:f>IF(A468="","",IF(AND(ABS(E468)&gt;='기준설정'!$B$6,OR(G468="신규",G468="소멸",F468&gt;='기준설정'!$B$5)),"원인분석 대상","일반"))</x:f>
      </x:c>
      <x:c r="I468" s="73" t="str">
        <x:f>IF(A468="","",IF(H468="원인분석 대상","세부원인분석 시트에서 거래별 원인을 검토","-"))</x:f>
      </x:c>
      <x:c r="J468" s="73" t="str">
        <x:f>IF(A468="","",COUNTIFS('전기원장'!$A$5:$A$1004,A468,'전기원장'!$J$5:$J$1004,"확인 필요")+COUNTIFS('당기원장'!$A$5:$A$1004,A468,'당기원장'!$J$5:$J$1004,"확인 필요"))</x:f>
      </x:c>
      <x:c r="K468" s="85" t="str">
        <x:f>IF(A468="","",IF(H468&lt;&gt;"원인분석 대상","",IF(J468&gt;0,"붙임 문서 확인 후 원인 확정 필요","결의서명 기반 원인분류 검토")))</x:f>
      </x:c>
    </x:row>
    <x:row r="469">
      <x:c r="A469" s="73" t="str">
        <x:f>IFERROR(INDEX('계산도우미'!$B$5:$B$2004,MATCH(ROWS($A$5:A469),'계산도우미'!$K$5:$K$2004,0)),"")</x:f>
      </x:c>
      <x:c r="B469" s="73" t="str">
        <x:f>IF(A469="","",IFERROR(INDEX('당기원장'!$B$5:$B$1004,MATCH(A469,'당기원장'!$A$5:$A$1004,0)),IFERROR(INDEX('전기원장'!$B$5:$B$1004,MATCH(A469,'전기원장'!$A$5:$A$1004,0)),"")))</x:f>
      </x:c>
      <x:c r="C469" s="75" t="str">
        <x:f>IF(A469="","",SUMIF('전기원장'!$A$5:$A$1004,A469,'전기원장'!$H$5:$H$1004))</x:f>
      </x:c>
      <x:c r="D469" s="75" t="str">
        <x:f>IF(A469="","",SUMIF('당기원장'!$A$5:$A$1004,A469,'당기원장'!$H$5:$H$1004))</x:f>
      </x:c>
      <x:c r="E469" s="75" t="str">
        <x:f>IF(A469="","",D469-C469)</x:f>
      </x:c>
      <x:c r="F469" s="88" t="str">
        <x:f>IF(A469="","",IF(C469=0,IF(D469=0,0,1),ABS(E469)/ABS(C469)))</x:f>
      </x:c>
      <x:c r="G469" s="73" t="str">
        <x:f>IF(A469="","",IF(AND(C469=0,D469&lt;&gt;0),"신규",IF(AND(C469&lt;&gt;0,D469=0),"소멸",IF(E469=0,"변동없음","금액변동"))))</x:f>
      </x:c>
      <x:c r="H469" s="73" t="str">
        <x:f>IF(A469="","",IF(AND(ABS(E469)&gt;='기준설정'!$B$6,OR(G469="신규",G469="소멸",F469&gt;='기준설정'!$B$5)),"원인분석 대상","일반"))</x:f>
      </x:c>
      <x:c r="I469" s="73" t="str">
        <x:f>IF(A469="","",IF(H469="원인분석 대상","세부원인분석 시트에서 거래별 원인을 검토","-"))</x:f>
      </x:c>
      <x:c r="J469" s="73" t="str">
        <x:f>IF(A469="","",COUNTIFS('전기원장'!$A$5:$A$1004,A469,'전기원장'!$J$5:$J$1004,"확인 필요")+COUNTIFS('당기원장'!$A$5:$A$1004,A469,'당기원장'!$J$5:$J$1004,"확인 필요"))</x:f>
      </x:c>
      <x:c r="K469" s="85" t="str">
        <x:f>IF(A469="","",IF(H469&lt;&gt;"원인분석 대상","",IF(J469&gt;0,"붙임 문서 확인 후 원인 확정 필요","결의서명 기반 원인분류 검토")))</x:f>
      </x:c>
    </x:row>
    <x:row r="470">
      <x:c r="A470" s="73" t="str">
        <x:f>IFERROR(INDEX('계산도우미'!$B$5:$B$2004,MATCH(ROWS($A$5:A470),'계산도우미'!$K$5:$K$2004,0)),"")</x:f>
      </x:c>
      <x:c r="B470" s="73" t="str">
        <x:f>IF(A470="","",IFERROR(INDEX('당기원장'!$B$5:$B$1004,MATCH(A470,'당기원장'!$A$5:$A$1004,0)),IFERROR(INDEX('전기원장'!$B$5:$B$1004,MATCH(A470,'전기원장'!$A$5:$A$1004,0)),"")))</x:f>
      </x:c>
      <x:c r="C470" s="75" t="str">
        <x:f>IF(A470="","",SUMIF('전기원장'!$A$5:$A$1004,A470,'전기원장'!$H$5:$H$1004))</x:f>
      </x:c>
      <x:c r="D470" s="75" t="str">
        <x:f>IF(A470="","",SUMIF('당기원장'!$A$5:$A$1004,A470,'당기원장'!$H$5:$H$1004))</x:f>
      </x:c>
      <x:c r="E470" s="75" t="str">
        <x:f>IF(A470="","",D470-C470)</x:f>
      </x:c>
      <x:c r="F470" s="88" t="str">
        <x:f>IF(A470="","",IF(C470=0,IF(D470=0,0,1),ABS(E470)/ABS(C470)))</x:f>
      </x:c>
      <x:c r="G470" s="73" t="str">
        <x:f>IF(A470="","",IF(AND(C470=0,D470&lt;&gt;0),"신규",IF(AND(C470&lt;&gt;0,D470=0),"소멸",IF(E470=0,"변동없음","금액변동"))))</x:f>
      </x:c>
      <x:c r="H470" s="73" t="str">
        <x:f>IF(A470="","",IF(AND(ABS(E470)&gt;='기준설정'!$B$6,OR(G470="신규",G470="소멸",F470&gt;='기준설정'!$B$5)),"원인분석 대상","일반"))</x:f>
      </x:c>
      <x:c r="I470" s="73" t="str">
        <x:f>IF(A470="","",IF(H470="원인분석 대상","세부원인분석 시트에서 거래별 원인을 검토","-"))</x:f>
      </x:c>
      <x:c r="J470" s="73" t="str">
        <x:f>IF(A470="","",COUNTIFS('전기원장'!$A$5:$A$1004,A470,'전기원장'!$J$5:$J$1004,"확인 필요")+COUNTIFS('당기원장'!$A$5:$A$1004,A470,'당기원장'!$J$5:$J$1004,"확인 필요"))</x:f>
      </x:c>
      <x:c r="K470" s="85" t="str">
        <x:f>IF(A470="","",IF(H470&lt;&gt;"원인분석 대상","",IF(J470&gt;0,"붙임 문서 확인 후 원인 확정 필요","결의서명 기반 원인분류 검토")))</x:f>
      </x:c>
    </x:row>
    <x:row r="471">
      <x:c r="A471" s="73" t="str">
        <x:f>IFERROR(INDEX('계산도우미'!$B$5:$B$2004,MATCH(ROWS($A$5:A471),'계산도우미'!$K$5:$K$2004,0)),"")</x:f>
      </x:c>
      <x:c r="B471" s="73" t="str">
        <x:f>IF(A471="","",IFERROR(INDEX('당기원장'!$B$5:$B$1004,MATCH(A471,'당기원장'!$A$5:$A$1004,0)),IFERROR(INDEX('전기원장'!$B$5:$B$1004,MATCH(A471,'전기원장'!$A$5:$A$1004,0)),"")))</x:f>
      </x:c>
      <x:c r="C471" s="75" t="str">
        <x:f>IF(A471="","",SUMIF('전기원장'!$A$5:$A$1004,A471,'전기원장'!$H$5:$H$1004))</x:f>
      </x:c>
      <x:c r="D471" s="75" t="str">
        <x:f>IF(A471="","",SUMIF('당기원장'!$A$5:$A$1004,A471,'당기원장'!$H$5:$H$1004))</x:f>
      </x:c>
      <x:c r="E471" s="75" t="str">
        <x:f>IF(A471="","",D471-C471)</x:f>
      </x:c>
      <x:c r="F471" s="88" t="str">
        <x:f>IF(A471="","",IF(C471=0,IF(D471=0,0,1),ABS(E471)/ABS(C471)))</x:f>
      </x:c>
      <x:c r="G471" s="73" t="str">
        <x:f>IF(A471="","",IF(AND(C471=0,D471&lt;&gt;0),"신규",IF(AND(C471&lt;&gt;0,D471=0),"소멸",IF(E471=0,"변동없음","금액변동"))))</x:f>
      </x:c>
      <x:c r="H471" s="73" t="str">
        <x:f>IF(A471="","",IF(AND(ABS(E471)&gt;='기준설정'!$B$6,OR(G471="신규",G471="소멸",F471&gt;='기준설정'!$B$5)),"원인분석 대상","일반"))</x:f>
      </x:c>
      <x:c r="I471" s="73" t="str">
        <x:f>IF(A471="","",IF(H471="원인분석 대상","세부원인분석 시트에서 거래별 원인을 검토","-"))</x:f>
      </x:c>
      <x:c r="J471" s="73" t="str">
        <x:f>IF(A471="","",COUNTIFS('전기원장'!$A$5:$A$1004,A471,'전기원장'!$J$5:$J$1004,"확인 필요")+COUNTIFS('당기원장'!$A$5:$A$1004,A471,'당기원장'!$J$5:$J$1004,"확인 필요"))</x:f>
      </x:c>
      <x:c r="K471" s="85" t="str">
        <x:f>IF(A471="","",IF(H471&lt;&gt;"원인분석 대상","",IF(J471&gt;0,"붙임 문서 확인 후 원인 확정 필요","결의서명 기반 원인분류 검토")))</x:f>
      </x:c>
    </x:row>
    <x:row r="472">
      <x:c r="A472" s="73" t="str">
        <x:f>IFERROR(INDEX('계산도우미'!$B$5:$B$2004,MATCH(ROWS($A$5:A472),'계산도우미'!$K$5:$K$2004,0)),"")</x:f>
      </x:c>
      <x:c r="B472" s="73" t="str">
        <x:f>IF(A472="","",IFERROR(INDEX('당기원장'!$B$5:$B$1004,MATCH(A472,'당기원장'!$A$5:$A$1004,0)),IFERROR(INDEX('전기원장'!$B$5:$B$1004,MATCH(A472,'전기원장'!$A$5:$A$1004,0)),"")))</x:f>
      </x:c>
      <x:c r="C472" s="75" t="str">
        <x:f>IF(A472="","",SUMIF('전기원장'!$A$5:$A$1004,A472,'전기원장'!$H$5:$H$1004))</x:f>
      </x:c>
      <x:c r="D472" s="75" t="str">
        <x:f>IF(A472="","",SUMIF('당기원장'!$A$5:$A$1004,A472,'당기원장'!$H$5:$H$1004))</x:f>
      </x:c>
      <x:c r="E472" s="75" t="str">
        <x:f>IF(A472="","",D472-C472)</x:f>
      </x:c>
      <x:c r="F472" s="88" t="str">
        <x:f>IF(A472="","",IF(C472=0,IF(D472=0,0,1),ABS(E472)/ABS(C472)))</x:f>
      </x:c>
      <x:c r="G472" s="73" t="str">
        <x:f>IF(A472="","",IF(AND(C472=0,D472&lt;&gt;0),"신규",IF(AND(C472&lt;&gt;0,D472=0),"소멸",IF(E472=0,"변동없음","금액변동"))))</x:f>
      </x:c>
      <x:c r="H472" s="73" t="str">
        <x:f>IF(A472="","",IF(AND(ABS(E472)&gt;='기준설정'!$B$6,OR(G472="신규",G472="소멸",F472&gt;='기준설정'!$B$5)),"원인분석 대상","일반"))</x:f>
      </x:c>
      <x:c r="I472" s="73" t="str">
        <x:f>IF(A472="","",IF(H472="원인분석 대상","세부원인분석 시트에서 거래별 원인을 검토","-"))</x:f>
      </x:c>
      <x:c r="J472" s="73" t="str">
        <x:f>IF(A472="","",COUNTIFS('전기원장'!$A$5:$A$1004,A472,'전기원장'!$J$5:$J$1004,"확인 필요")+COUNTIFS('당기원장'!$A$5:$A$1004,A472,'당기원장'!$J$5:$J$1004,"확인 필요"))</x:f>
      </x:c>
      <x:c r="K472" s="85" t="str">
        <x:f>IF(A472="","",IF(H472&lt;&gt;"원인분석 대상","",IF(J472&gt;0,"붙임 문서 확인 후 원인 확정 필요","결의서명 기반 원인분류 검토")))</x:f>
      </x:c>
    </x:row>
    <x:row r="473">
      <x:c r="A473" s="73" t="str">
        <x:f>IFERROR(INDEX('계산도우미'!$B$5:$B$2004,MATCH(ROWS($A$5:A473),'계산도우미'!$K$5:$K$2004,0)),"")</x:f>
      </x:c>
      <x:c r="B473" s="73" t="str">
        <x:f>IF(A473="","",IFERROR(INDEX('당기원장'!$B$5:$B$1004,MATCH(A473,'당기원장'!$A$5:$A$1004,0)),IFERROR(INDEX('전기원장'!$B$5:$B$1004,MATCH(A473,'전기원장'!$A$5:$A$1004,0)),"")))</x:f>
      </x:c>
      <x:c r="C473" s="75" t="str">
        <x:f>IF(A473="","",SUMIF('전기원장'!$A$5:$A$1004,A473,'전기원장'!$H$5:$H$1004))</x:f>
      </x:c>
      <x:c r="D473" s="75" t="str">
        <x:f>IF(A473="","",SUMIF('당기원장'!$A$5:$A$1004,A473,'당기원장'!$H$5:$H$1004))</x:f>
      </x:c>
      <x:c r="E473" s="75" t="str">
        <x:f>IF(A473="","",D473-C473)</x:f>
      </x:c>
      <x:c r="F473" s="88" t="str">
        <x:f>IF(A473="","",IF(C473=0,IF(D473=0,0,1),ABS(E473)/ABS(C473)))</x:f>
      </x:c>
      <x:c r="G473" s="73" t="str">
        <x:f>IF(A473="","",IF(AND(C473=0,D473&lt;&gt;0),"신규",IF(AND(C473&lt;&gt;0,D473=0),"소멸",IF(E473=0,"변동없음","금액변동"))))</x:f>
      </x:c>
      <x:c r="H473" s="73" t="str">
        <x:f>IF(A473="","",IF(AND(ABS(E473)&gt;='기준설정'!$B$6,OR(G473="신규",G473="소멸",F473&gt;='기준설정'!$B$5)),"원인분석 대상","일반"))</x:f>
      </x:c>
      <x:c r="I473" s="73" t="str">
        <x:f>IF(A473="","",IF(H473="원인분석 대상","세부원인분석 시트에서 거래별 원인을 검토","-"))</x:f>
      </x:c>
      <x:c r="J473" s="73" t="str">
        <x:f>IF(A473="","",COUNTIFS('전기원장'!$A$5:$A$1004,A473,'전기원장'!$J$5:$J$1004,"확인 필요")+COUNTIFS('당기원장'!$A$5:$A$1004,A473,'당기원장'!$J$5:$J$1004,"확인 필요"))</x:f>
      </x:c>
      <x:c r="K473" s="85" t="str">
        <x:f>IF(A473="","",IF(H473&lt;&gt;"원인분석 대상","",IF(J473&gt;0,"붙임 문서 확인 후 원인 확정 필요","결의서명 기반 원인분류 검토")))</x:f>
      </x:c>
    </x:row>
    <x:row r="474">
      <x:c r="A474" s="73" t="str">
        <x:f>IFERROR(INDEX('계산도우미'!$B$5:$B$2004,MATCH(ROWS($A$5:A474),'계산도우미'!$K$5:$K$2004,0)),"")</x:f>
      </x:c>
      <x:c r="B474" s="73" t="str">
        <x:f>IF(A474="","",IFERROR(INDEX('당기원장'!$B$5:$B$1004,MATCH(A474,'당기원장'!$A$5:$A$1004,0)),IFERROR(INDEX('전기원장'!$B$5:$B$1004,MATCH(A474,'전기원장'!$A$5:$A$1004,0)),"")))</x:f>
      </x:c>
      <x:c r="C474" s="75" t="str">
        <x:f>IF(A474="","",SUMIF('전기원장'!$A$5:$A$1004,A474,'전기원장'!$H$5:$H$1004))</x:f>
      </x:c>
      <x:c r="D474" s="75" t="str">
        <x:f>IF(A474="","",SUMIF('당기원장'!$A$5:$A$1004,A474,'당기원장'!$H$5:$H$1004))</x:f>
      </x:c>
      <x:c r="E474" s="75" t="str">
        <x:f>IF(A474="","",D474-C474)</x:f>
      </x:c>
      <x:c r="F474" s="88" t="str">
        <x:f>IF(A474="","",IF(C474=0,IF(D474=0,0,1),ABS(E474)/ABS(C474)))</x:f>
      </x:c>
      <x:c r="G474" s="73" t="str">
        <x:f>IF(A474="","",IF(AND(C474=0,D474&lt;&gt;0),"신규",IF(AND(C474&lt;&gt;0,D474=0),"소멸",IF(E474=0,"변동없음","금액변동"))))</x:f>
      </x:c>
      <x:c r="H474" s="73" t="str">
        <x:f>IF(A474="","",IF(AND(ABS(E474)&gt;='기준설정'!$B$6,OR(G474="신규",G474="소멸",F474&gt;='기준설정'!$B$5)),"원인분석 대상","일반"))</x:f>
      </x:c>
      <x:c r="I474" s="73" t="str">
        <x:f>IF(A474="","",IF(H474="원인분석 대상","세부원인분석 시트에서 거래별 원인을 검토","-"))</x:f>
      </x:c>
      <x:c r="J474" s="73" t="str">
        <x:f>IF(A474="","",COUNTIFS('전기원장'!$A$5:$A$1004,A474,'전기원장'!$J$5:$J$1004,"확인 필요")+COUNTIFS('당기원장'!$A$5:$A$1004,A474,'당기원장'!$J$5:$J$1004,"확인 필요"))</x:f>
      </x:c>
      <x:c r="K474" s="85" t="str">
        <x:f>IF(A474="","",IF(H474&lt;&gt;"원인분석 대상","",IF(J474&gt;0,"붙임 문서 확인 후 원인 확정 필요","결의서명 기반 원인분류 검토")))</x:f>
      </x:c>
    </x:row>
    <x:row r="475">
      <x:c r="A475" s="73" t="str">
        <x:f>IFERROR(INDEX('계산도우미'!$B$5:$B$2004,MATCH(ROWS($A$5:A475),'계산도우미'!$K$5:$K$2004,0)),"")</x:f>
      </x:c>
      <x:c r="B475" s="73" t="str">
        <x:f>IF(A475="","",IFERROR(INDEX('당기원장'!$B$5:$B$1004,MATCH(A475,'당기원장'!$A$5:$A$1004,0)),IFERROR(INDEX('전기원장'!$B$5:$B$1004,MATCH(A475,'전기원장'!$A$5:$A$1004,0)),"")))</x:f>
      </x:c>
      <x:c r="C475" s="75" t="str">
        <x:f>IF(A475="","",SUMIF('전기원장'!$A$5:$A$1004,A475,'전기원장'!$H$5:$H$1004))</x:f>
      </x:c>
      <x:c r="D475" s="75" t="str">
        <x:f>IF(A475="","",SUMIF('당기원장'!$A$5:$A$1004,A475,'당기원장'!$H$5:$H$1004))</x:f>
      </x:c>
      <x:c r="E475" s="75" t="str">
        <x:f>IF(A475="","",D475-C475)</x:f>
      </x:c>
      <x:c r="F475" s="88" t="str">
        <x:f>IF(A475="","",IF(C475=0,IF(D475=0,0,1),ABS(E475)/ABS(C475)))</x:f>
      </x:c>
      <x:c r="G475" s="73" t="str">
        <x:f>IF(A475="","",IF(AND(C475=0,D475&lt;&gt;0),"신규",IF(AND(C475&lt;&gt;0,D475=0),"소멸",IF(E475=0,"변동없음","금액변동"))))</x:f>
      </x:c>
      <x:c r="H475" s="73" t="str">
        <x:f>IF(A475="","",IF(AND(ABS(E475)&gt;='기준설정'!$B$6,OR(G475="신규",G475="소멸",F475&gt;='기준설정'!$B$5)),"원인분석 대상","일반"))</x:f>
      </x:c>
      <x:c r="I475" s="73" t="str">
        <x:f>IF(A475="","",IF(H475="원인분석 대상","세부원인분석 시트에서 거래별 원인을 검토","-"))</x:f>
      </x:c>
      <x:c r="J475" s="73" t="str">
        <x:f>IF(A475="","",COUNTIFS('전기원장'!$A$5:$A$1004,A475,'전기원장'!$J$5:$J$1004,"확인 필요")+COUNTIFS('당기원장'!$A$5:$A$1004,A475,'당기원장'!$J$5:$J$1004,"확인 필요"))</x:f>
      </x:c>
      <x:c r="K475" s="85" t="str">
        <x:f>IF(A475="","",IF(H475&lt;&gt;"원인분석 대상","",IF(J475&gt;0,"붙임 문서 확인 후 원인 확정 필요","결의서명 기반 원인분류 검토")))</x:f>
      </x:c>
    </x:row>
    <x:row r="476">
      <x:c r="A476" s="73" t="str">
        <x:f>IFERROR(INDEX('계산도우미'!$B$5:$B$2004,MATCH(ROWS($A$5:A476),'계산도우미'!$K$5:$K$2004,0)),"")</x:f>
      </x:c>
      <x:c r="B476" s="73" t="str">
        <x:f>IF(A476="","",IFERROR(INDEX('당기원장'!$B$5:$B$1004,MATCH(A476,'당기원장'!$A$5:$A$1004,0)),IFERROR(INDEX('전기원장'!$B$5:$B$1004,MATCH(A476,'전기원장'!$A$5:$A$1004,0)),"")))</x:f>
      </x:c>
      <x:c r="C476" s="75" t="str">
        <x:f>IF(A476="","",SUMIF('전기원장'!$A$5:$A$1004,A476,'전기원장'!$H$5:$H$1004))</x:f>
      </x:c>
      <x:c r="D476" s="75" t="str">
        <x:f>IF(A476="","",SUMIF('당기원장'!$A$5:$A$1004,A476,'당기원장'!$H$5:$H$1004))</x:f>
      </x:c>
      <x:c r="E476" s="75" t="str">
        <x:f>IF(A476="","",D476-C476)</x:f>
      </x:c>
      <x:c r="F476" s="88" t="str">
        <x:f>IF(A476="","",IF(C476=0,IF(D476=0,0,1),ABS(E476)/ABS(C476)))</x:f>
      </x:c>
      <x:c r="G476" s="73" t="str">
        <x:f>IF(A476="","",IF(AND(C476=0,D476&lt;&gt;0),"신규",IF(AND(C476&lt;&gt;0,D476=0),"소멸",IF(E476=0,"변동없음","금액변동"))))</x:f>
      </x:c>
      <x:c r="H476" s="73" t="str">
        <x:f>IF(A476="","",IF(AND(ABS(E476)&gt;='기준설정'!$B$6,OR(G476="신규",G476="소멸",F476&gt;='기준설정'!$B$5)),"원인분석 대상","일반"))</x:f>
      </x:c>
      <x:c r="I476" s="73" t="str">
        <x:f>IF(A476="","",IF(H476="원인분석 대상","세부원인분석 시트에서 거래별 원인을 검토","-"))</x:f>
      </x:c>
      <x:c r="J476" s="73" t="str">
        <x:f>IF(A476="","",COUNTIFS('전기원장'!$A$5:$A$1004,A476,'전기원장'!$J$5:$J$1004,"확인 필요")+COUNTIFS('당기원장'!$A$5:$A$1004,A476,'당기원장'!$J$5:$J$1004,"확인 필요"))</x:f>
      </x:c>
      <x:c r="K476" s="85" t="str">
        <x:f>IF(A476="","",IF(H476&lt;&gt;"원인분석 대상","",IF(J476&gt;0,"붙임 문서 확인 후 원인 확정 필요","결의서명 기반 원인분류 검토")))</x:f>
      </x:c>
    </x:row>
    <x:row r="477">
      <x:c r="A477" s="73" t="str">
        <x:f>IFERROR(INDEX('계산도우미'!$B$5:$B$2004,MATCH(ROWS($A$5:A477),'계산도우미'!$K$5:$K$2004,0)),"")</x:f>
      </x:c>
      <x:c r="B477" s="73" t="str">
        <x:f>IF(A477="","",IFERROR(INDEX('당기원장'!$B$5:$B$1004,MATCH(A477,'당기원장'!$A$5:$A$1004,0)),IFERROR(INDEX('전기원장'!$B$5:$B$1004,MATCH(A477,'전기원장'!$A$5:$A$1004,0)),"")))</x:f>
      </x:c>
      <x:c r="C477" s="75" t="str">
        <x:f>IF(A477="","",SUMIF('전기원장'!$A$5:$A$1004,A477,'전기원장'!$H$5:$H$1004))</x:f>
      </x:c>
      <x:c r="D477" s="75" t="str">
        <x:f>IF(A477="","",SUMIF('당기원장'!$A$5:$A$1004,A477,'당기원장'!$H$5:$H$1004))</x:f>
      </x:c>
      <x:c r="E477" s="75" t="str">
        <x:f>IF(A477="","",D477-C477)</x:f>
      </x:c>
      <x:c r="F477" s="88" t="str">
        <x:f>IF(A477="","",IF(C477=0,IF(D477=0,0,1),ABS(E477)/ABS(C477)))</x:f>
      </x:c>
      <x:c r="G477" s="73" t="str">
        <x:f>IF(A477="","",IF(AND(C477=0,D477&lt;&gt;0),"신규",IF(AND(C477&lt;&gt;0,D477=0),"소멸",IF(E477=0,"변동없음","금액변동"))))</x:f>
      </x:c>
      <x:c r="H477" s="73" t="str">
        <x:f>IF(A477="","",IF(AND(ABS(E477)&gt;='기준설정'!$B$6,OR(G477="신규",G477="소멸",F477&gt;='기준설정'!$B$5)),"원인분석 대상","일반"))</x:f>
      </x:c>
      <x:c r="I477" s="73" t="str">
        <x:f>IF(A477="","",IF(H477="원인분석 대상","세부원인분석 시트에서 거래별 원인을 검토","-"))</x:f>
      </x:c>
      <x:c r="J477" s="73" t="str">
        <x:f>IF(A477="","",COUNTIFS('전기원장'!$A$5:$A$1004,A477,'전기원장'!$J$5:$J$1004,"확인 필요")+COUNTIFS('당기원장'!$A$5:$A$1004,A477,'당기원장'!$J$5:$J$1004,"확인 필요"))</x:f>
      </x:c>
      <x:c r="K477" s="85" t="str">
        <x:f>IF(A477="","",IF(H477&lt;&gt;"원인분석 대상","",IF(J477&gt;0,"붙임 문서 확인 후 원인 확정 필요","결의서명 기반 원인분류 검토")))</x:f>
      </x:c>
    </x:row>
    <x:row r="478">
      <x:c r="A478" s="73" t="str">
        <x:f>IFERROR(INDEX('계산도우미'!$B$5:$B$2004,MATCH(ROWS($A$5:A478),'계산도우미'!$K$5:$K$2004,0)),"")</x:f>
      </x:c>
      <x:c r="B478" s="73" t="str">
        <x:f>IF(A478="","",IFERROR(INDEX('당기원장'!$B$5:$B$1004,MATCH(A478,'당기원장'!$A$5:$A$1004,0)),IFERROR(INDEX('전기원장'!$B$5:$B$1004,MATCH(A478,'전기원장'!$A$5:$A$1004,0)),"")))</x:f>
      </x:c>
      <x:c r="C478" s="75" t="str">
        <x:f>IF(A478="","",SUMIF('전기원장'!$A$5:$A$1004,A478,'전기원장'!$H$5:$H$1004))</x:f>
      </x:c>
      <x:c r="D478" s="75" t="str">
        <x:f>IF(A478="","",SUMIF('당기원장'!$A$5:$A$1004,A478,'당기원장'!$H$5:$H$1004))</x:f>
      </x:c>
      <x:c r="E478" s="75" t="str">
        <x:f>IF(A478="","",D478-C478)</x:f>
      </x:c>
      <x:c r="F478" s="88" t="str">
        <x:f>IF(A478="","",IF(C478=0,IF(D478=0,0,1),ABS(E478)/ABS(C478)))</x:f>
      </x:c>
      <x:c r="G478" s="73" t="str">
        <x:f>IF(A478="","",IF(AND(C478=0,D478&lt;&gt;0),"신규",IF(AND(C478&lt;&gt;0,D478=0),"소멸",IF(E478=0,"변동없음","금액변동"))))</x:f>
      </x:c>
      <x:c r="H478" s="73" t="str">
        <x:f>IF(A478="","",IF(AND(ABS(E478)&gt;='기준설정'!$B$6,OR(G478="신규",G478="소멸",F478&gt;='기준설정'!$B$5)),"원인분석 대상","일반"))</x:f>
      </x:c>
      <x:c r="I478" s="73" t="str">
        <x:f>IF(A478="","",IF(H478="원인분석 대상","세부원인분석 시트에서 거래별 원인을 검토","-"))</x:f>
      </x:c>
      <x:c r="J478" s="73" t="str">
        <x:f>IF(A478="","",COUNTIFS('전기원장'!$A$5:$A$1004,A478,'전기원장'!$J$5:$J$1004,"확인 필요")+COUNTIFS('당기원장'!$A$5:$A$1004,A478,'당기원장'!$J$5:$J$1004,"확인 필요"))</x:f>
      </x:c>
      <x:c r="K478" s="85" t="str">
        <x:f>IF(A478="","",IF(H478&lt;&gt;"원인분석 대상","",IF(J478&gt;0,"붙임 문서 확인 후 원인 확정 필요","결의서명 기반 원인분류 검토")))</x:f>
      </x:c>
    </x:row>
    <x:row r="479">
      <x:c r="A479" s="73" t="str">
        <x:f>IFERROR(INDEX('계산도우미'!$B$5:$B$2004,MATCH(ROWS($A$5:A479),'계산도우미'!$K$5:$K$2004,0)),"")</x:f>
      </x:c>
      <x:c r="B479" s="73" t="str">
        <x:f>IF(A479="","",IFERROR(INDEX('당기원장'!$B$5:$B$1004,MATCH(A479,'당기원장'!$A$5:$A$1004,0)),IFERROR(INDEX('전기원장'!$B$5:$B$1004,MATCH(A479,'전기원장'!$A$5:$A$1004,0)),"")))</x:f>
      </x:c>
      <x:c r="C479" s="75" t="str">
        <x:f>IF(A479="","",SUMIF('전기원장'!$A$5:$A$1004,A479,'전기원장'!$H$5:$H$1004))</x:f>
      </x:c>
      <x:c r="D479" s="75" t="str">
        <x:f>IF(A479="","",SUMIF('당기원장'!$A$5:$A$1004,A479,'당기원장'!$H$5:$H$1004))</x:f>
      </x:c>
      <x:c r="E479" s="75" t="str">
        <x:f>IF(A479="","",D479-C479)</x:f>
      </x:c>
      <x:c r="F479" s="88" t="str">
        <x:f>IF(A479="","",IF(C479=0,IF(D479=0,0,1),ABS(E479)/ABS(C479)))</x:f>
      </x:c>
      <x:c r="G479" s="73" t="str">
        <x:f>IF(A479="","",IF(AND(C479=0,D479&lt;&gt;0),"신규",IF(AND(C479&lt;&gt;0,D479=0),"소멸",IF(E479=0,"변동없음","금액변동"))))</x:f>
      </x:c>
      <x:c r="H479" s="73" t="str">
        <x:f>IF(A479="","",IF(AND(ABS(E479)&gt;='기준설정'!$B$6,OR(G479="신규",G479="소멸",F479&gt;='기준설정'!$B$5)),"원인분석 대상","일반"))</x:f>
      </x:c>
      <x:c r="I479" s="73" t="str">
        <x:f>IF(A479="","",IF(H479="원인분석 대상","세부원인분석 시트에서 거래별 원인을 검토","-"))</x:f>
      </x:c>
      <x:c r="J479" s="73" t="str">
        <x:f>IF(A479="","",COUNTIFS('전기원장'!$A$5:$A$1004,A479,'전기원장'!$J$5:$J$1004,"확인 필요")+COUNTIFS('당기원장'!$A$5:$A$1004,A479,'당기원장'!$J$5:$J$1004,"확인 필요"))</x:f>
      </x:c>
      <x:c r="K479" s="85" t="str">
        <x:f>IF(A479="","",IF(H479&lt;&gt;"원인분석 대상","",IF(J479&gt;0,"붙임 문서 확인 후 원인 확정 필요","결의서명 기반 원인분류 검토")))</x:f>
      </x:c>
    </x:row>
    <x:row r="480">
      <x:c r="A480" s="73" t="str">
        <x:f>IFERROR(INDEX('계산도우미'!$B$5:$B$2004,MATCH(ROWS($A$5:A480),'계산도우미'!$K$5:$K$2004,0)),"")</x:f>
      </x:c>
      <x:c r="B480" s="73" t="str">
        <x:f>IF(A480="","",IFERROR(INDEX('당기원장'!$B$5:$B$1004,MATCH(A480,'당기원장'!$A$5:$A$1004,0)),IFERROR(INDEX('전기원장'!$B$5:$B$1004,MATCH(A480,'전기원장'!$A$5:$A$1004,0)),"")))</x:f>
      </x:c>
      <x:c r="C480" s="75" t="str">
        <x:f>IF(A480="","",SUMIF('전기원장'!$A$5:$A$1004,A480,'전기원장'!$H$5:$H$1004))</x:f>
      </x:c>
      <x:c r="D480" s="75" t="str">
        <x:f>IF(A480="","",SUMIF('당기원장'!$A$5:$A$1004,A480,'당기원장'!$H$5:$H$1004))</x:f>
      </x:c>
      <x:c r="E480" s="75" t="str">
        <x:f>IF(A480="","",D480-C480)</x:f>
      </x:c>
      <x:c r="F480" s="88" t="str">
        <x:f>IF(A480="","",IF(C480=0,IF(D480=0,0,1),ABS(E480)/ABS(C480)))</x:f>
      </x:c>
      <x:c r="G480" s="73" t="str">
        <x:f>IF(A480="","",IF(AND(C480=0,D480&lt;&gt;0),"신규",IF(AND(C480&lt;&gt;0,D480=0),"소멸",IF(E480=0,"변동없음","금액변동"))))</x:f>
      </x:c>
      <x:c r="H480" s="73" t="str">
        <x:f>IF(A480="","",IF(AND(ABS(E480)&gt;='기준설정'!$B$6,OR(G480="신규",G480="소멸",F480&gt;='기준설정'!$B$5)),"원인분석 대상","일반"))</x:f>
      </x:c>
      <x:c r="I480" s="73" t="str">
        <x:f>IF(A480="","",IF(H480="원인분석 대상","세부원인분석 시트에서 거래별 원인을 검토","-"))</x:f>
      </x:c>
      <x:c r="J480" s="73" t="str">
        <x:f>IF(A480="","",COUNTIFS('전기원장'!$A$5:$A$1004,A480,'전기원장'!$J$5:$J$1004,"확인 필요")+COUNTIFS('당기원장'!$A$5:$A$1004,A480,'당기원장'!$J$5:$J$1004,"확인 필요"))</x:f>
      </x:c>
      <x:c r="K480" s="85" t="str">
        <x:f>IF(A480="","",IF(H480&lt;&gt;"원인분석 대상","",IF(J480&gt;0,"붙임 문서 확인 후 원인 확정 필요","결의서명 기반 원인분류 검토")))</x:f>
      </x:c>
    </x:row>
    <x:row r="481">
      <x:c r="A481" s="73" t="str">
        <x:f>IFERROR(INDEX('계산도우미'!$B$5:$B$2004,MATCH(ROWS($A$5:A481),'계산도우미'!$K$5:$K$2004,0)),"")</x:f>
      </x:c>
      <x:c r="B481" s="73" t="str">
        <x:f>IF(A481="","",IFERROR(INDEX('당기원장'!$B$5:$B$1004,MATCH(A481,'당기원장'!$A$5:$A$1004,0)),IFERROR(INDEX('전기원장'!$B$5:$B$1004,MATCH(A481,'전기원장'!$A$5:$A$1004,0)),"")))</x:f>
      </x:c>
      <x:c r="C481" s="75" t="str">
        <x:f>IF(A481="","",SUMIF('전기원장'!$A$5:$A$1004,A481,'전기원장'!$H$5:$H$1004))</x:f>
      </x:c>
      <x:c r="D481" s="75" t="str">
        <x:f>IF(A481="","",SUMIF('당기원장'!$A$5:$A$1004,A481,'당기원장'!$H$5:$H$1004))</x:f>
      </x:c>
      <x:c r="E481" s="75" t="str">
        <x:f>IF(A481="","",D481-C481)</x:f>
      </x:c>
      <x:c r="F481" s="88" t="str">
        <x:f>IF(A481="","",IF(C481=0,IF(D481=0,0,1),ABS(E481)/ABS(C481)))</x:f>
      </x:c>
      <x:c r="G481" s="73" t="str">
        <x:f>IF(A481="","",IF(AND(C481=0,D481&lt;&gt;0),"신규",IF(AND(C481&lt;&gt;0,D481=0),"소멸",IF(E481=0,"변동없음","금액변동"))))</x:f>
      </x:c>
      <x:c r="H481" s="73" t="str">
        <x:f>IF(A481="","",IF(AND(ABS(E481)&gt;='기준설정'!$B$6,OR(G481="신규",G481="소멸",F481&gt;='기준설정'!$B$5)),"원인분석 대상","일반"))</x:f>
      </x:c>
      <x:c r="I481" s="73" t="str">
        <x:f>IF(A481="","",IF(H481="원인분석 대상","세부원인분석 시트에서 거래별 원인을 검토","-"))</x:f>
      </x:c>
      <x:c r="J481" s="73" t="str">
        <x:f>IF(A481="","",COUNTIFS('전기원장'!$A$5:$A$1004,A481,'전기원장'!$J$5:$J$1004,"확인 필요")+COUNTIFS('당기원장'!$A$5:$A$1004,A481,'당기원장'!$J$5:$J$1004,"확인 필요"))</x:f>
      </x:c>
      <x:c r="K481" s="85" t="str">
        <x:f>IF(A481="","",IF(H481&lt;&gt;"원인분석 대상","",IF(J481&gt;0,"붙임 문서 확인 후 원인 확정 필요","결의서명 기반 원인분류 검토")))</x:f>
      </x:c>
    </x:row>
    <x:row r="482">
      <x:c r="A482" s="73" t="str">
        <x:f>IFERROR(INDEX('계산도우미'!$B$5:$B$2004,MATCH(ROWS($A$5:A482),'계산도우미'!$K$5:$K$2004,0)),"")</x:f>
      </x:c>
      <x:c r="B482" s="73" t="str">
        <x:f>IF(A482="","",IFERROR(INDEX('당기원장'!$B$5:$B$1004,MATCH(A482,'당기원장'!$A$5:$A$1004,0)),IFERROR(INDEX('전기원장'!$B$5:$B$1004,MATCH(A482,'전기원장'!$A$5:$A$1004,0)),"")))</x:f>
      </x:c>
      <x:c r="C482" s="75" t="str">
        <x:f>IF(A482="","",SUMIF('전기원장'!$A$5:$A$1004,A482,'전기원장'!$H$5:$H$1004))</x:f>
      </x:c>
      <x:c r="D482" s="75" t="str">
        <x:f>IF(A482="","",SUMIF('당기원장'!$A$5:$A$1004,A482,'당기원장'!$H$5:$H$1004))</x:f>
      </x:c>
      <x:c r="E482" s="75" t="str">
        <x:f>IF(A482="","",D482-C482)</x:f>
      </x:c>
      <x:c r="F482" s="88" t="str">
        <x:f>IF(A482="","",IF(C482=0,IF(D482=0,0,1),ABS(E482)/ABS(C482)))</x:f>
      </x:c>
      <x:c r="G482" s="73" t="str">
        <x:f>IF(A482="","",IF(AND(C482=0,D482&lt;&gt;0),"신규",IF(AND(C482&lt;&gt;0,D482=0),"소멸",IF(E482=0,"변동없음","금액변동"))))</x:f>
      </x:c>
      <x:c r="H482" s="73" t="str">
        <x:f>IF(A482="","",IF(AND(ABS(E482)&gt;='기준설정'!$B$6,OR(G482="신규",G482="소멸",F482&gt;='기준설정'!$B$5)),"원인분석 대상","일반"))</x:f>
      </x:c>
      <x:c r="I482" s="73" t="str">
        <x:f>IF(A482="","",IF(H482="원인분석 대상","세부원인분석 시트에서 거래별 원인을 검토","-"))</x:f>
      </x:c>
      <x:c r="J482" s="73" t="str">
        <x:f>IF(A482="","",COUNTIFS('전기원장'!$A$5:$A$1004,A482,'전기원장'!$J$5:$J$1004,"확인 필요")+COUNTIFS('당기원장'!$A$5:$A$1004,A482,'당기원장'!$J$5:$J$1004,"확인 필요"))</x:f>
      </x:c>
      <x:c r="K482" s="85" t="str">
        <x:f>IF(A482="","",IF(H482&lt;&gt;"원인분석 대상","",IF(J482&gt;0,"붙임 문서 확인 후 원인 확정 필요","결의서명 기반 원인분류 검토")))</x:f>
      </x:c>
    </x:row>
    <x:row r="483">
      <x:c r="A483" s="73" t="str">
        <x:f>IFERROR(INDEX('계산도우미'!$B$5:$B$2004,MATCH(ROWS($A$5:A483),'계산도우미'!$K$5:$K$2004,0)),"")</x:f>
      </x:c>
      <x:c r="B483" s="73" t="str">
        <x:f>IF(A483="","",IFERROR(INDEX('당기원장'!$B$5:$B$1004,MATCH(A483,'당기원장'!$A$5:$A$1004,0)),IFERROR(INDEX('전기원장'!$B$5:$B$1004,MATCH(A483,'전기원장'!$A$5:$A$1004,0)),"")))</x:f>
      </x:c>
      <x:c r="C483" s="75" t="str">
        <x:f>IF(A483="","",SUMIF('전기원장'!$A$5:$A$1004,A483,'전기원장'!$H$5:$H$1004))</x:f>
      </x:c>
      <x:c r="D483" s="75" t="str">
        <x:f>IF(A483="","",SUMIF('당기원장'!$A$5:$A$1004,A483,'당기원장'!$H$5:$H$1004))</x:f>
      </x:c>
      <x:c r="E483" s="75" t="str">
        <x:f>IF(A483="","",D483-C483)</x:f>
      </x:c>
      <x:c r="F483" s="88" t="str">
        <x:f>IF(A483="","",IF(C483=0,IF(D483=0,0,1),ABS(E483)/ABS(C483)))</x:f>
      </x:c>
      <x:c r="G483" s="73" t="str">
        <x:f>IF(A483="","",IF(AND(C483=0,D483&lt;&gt;0),"신규",IF(AND(C483&lt;&gt;0,D483=0),"소멸",IF(E483=0,"변동없음","금액변동"))))</x:f>
      </x:c>
      <x:c r="H483" s="73" t="str">
        <x:f>IF(A483="","",IF(AND(ABS(E483)&gt;='기준설정'!$B$6,OR(G483="신규",G483="소멸",F483&gt;='기준설정'!$B$5)),"원인분석 대상","일반"))</x:f>
      </x:c>
      <x:c r="I483" s="73" t="str">
        <x:f>IF(A483="","",IF(H483="원인분석 대상","세부원인분석 시트에서 거래별 원인을 검토","-"))</x:f>
      </x:c>
      <x:c r="J483" s="73" t="str">
        <x:f>IF(A483="","",COUNTIFS('전기원장'!$A$5:$A$1004,A483,'전기원장'!$J$5:$J$1004,"확인 필요")+COUNTIFS('당기원장'!$A$5:$A$1004,A483,'당기원장'!$J$5:$J$1004,"확인 필요"))</x:f>
      </x:c>
      <x:c r="K483" s="85" t="str">
        <x:f>IF(A483="","",IF(H483&lt;&gt;"원인분석 대상","",IF(J483&gt;0,"붙임 문서 확인 후 원인 확정 필요","결의서명 기반 원인분류 검토")))</x:f>
      </x:c>
    </x:row>
    <x:row r="484">
      <x:c r="A484" s="73" t="str">
        <x:f>IFERROR(INDEX('계산도우미'!$B$5:$B$2004,MATCH(ROWS($A$5:A484),'계산도우미'!$K$5:$K$2004,0)),"")</x:f>
      </x:c>
      <x:c r="B484" s="73" t="str">
        <x:f>IF(A484="","",IFERROR(INDEX('당기원장'!$B$5:$B$1004,MATCH(A484,'당기원장'!$A$5:$A$1004,0)),IFERROR(INDEX('전기원장'!$B$5:$B$1004,MATCH(A484,'전기원장'!$A$5:$A$1004,0)),"")))</x:f>
      </x:c>
      <x:c r="C484" s="75" t="str">
        <x:f>IF(A484="","",SUMIF('전기원장'!$A$5:$A$1004,A484,'전기원장'!$H$5:$H$1004))</x:f>
      </x:c>
      <x:c r="D484" s="75" t="str">
        <x:f>IF(A484="","",SUMIF('당기원장'!$A$5:$A$1004,A484,'당기원장'!$H$5:$H$1004))</x:f>
      </x:c>
      <x:c r="E484" s="75" t="str">
        <x:f>IF(A484="","",D484-C484)</x:f>
      </x:c>
      <x:c r="F484" s="88" t="str">
        <x:f>IF(A484="","",IF(C484=0,IF(D484=0,0,1),ABS(E484)/ABS(C484)))</x:f>
      </x:c>
      <x:c r="G484" s="73" t="str">
        <x:f>IF(A484="","",IF(AND(C484=0,D484&lt;&gt;0),"신규",IF(AND(C484&lt;&gt;0,D484=0),"소멸",IF(E484=0,"변동없음","금액변동"))))</x:f>
      </x:c>
      <x:c r="H484" s="73" t="str">
        <x:f>IF(A484="","",IF(AND(ABS(E484)&gt;='기준설정'!$B$6,OR(G484="신규",G484="소멸",F484&gt;='기준설정'!$B$5)),"원인분석 대상","일반"))</x:f>
      </x:c>
      <x:c r="I484" s="73" t="str">
        <x:f>IF(A484="","",IF(H484="원인분석 대상","세부원인분석 시트에서 거래별 원인을 검토","-"))</x:f>
      </x:c>
      <x:c r="J484" s="73" t="str">
        <x:f>IF(A484="","",COUNTIFS('전기원장'!$A$5:$A$1004,A484,'전기원장'!$J$5:$J$1004,"확인 필요")+COUNTIFS('당기원장'!$A$5:$A$1004,A484,'당기원장'!$J$5:$J$1004,"확인 필요"))</x:f>
      </x:c>
      <x:c r="K484" s="85" t="str">
        <x:f>IF(A484="","",IF(H484&lt;&gt;"원인분석 대상","",IF(J484&gt;0,"붙임 문서 확인 후 원인 확정 필요","결의서명 기반 원인분류 검토")))</x:f>
      </x:c>
    </x:row>
    <x:row r="485">
      <x:c r="A485" s="73" t="str">
        <x:f>IFERROR(INDEX('계산도우미'!$B$5:$B$2004,MATCH(ROWS($A$5:A485),'계산도우미'!$K$5:$K$2004,0)),"")</x:f>
      </x:c>
      <x:c r="B485" s="73" t="str">
        <x:f>IF(A485="","",IFERROR(INDEX('당기원장'!$B$5:$B$1004,MATCH(A485,'당기원장'!$A$5:$A$1004,0)),IFERROR(INDEX('전기원장'!$B$5:$B$1004,MATCH(A485,'전기원장'!$A$5:$A$1004,0)),"")))</x:f>
      </x:c>
      <x:c r="C485" s="75" t="str">
        <x:f>IF(A485="","",SUMIF('전기원장'!$A$5:$A$1004,A485,'전기원장'!$H$5:$H$1004))</x:f>
      </x:c>
      <x:c r="D485" s="75" t="str">
        <x:f>IF(A485="","",SUMIF('당기원장'!$A$5:$A$1004,A485,'당기원장'!$H$5:$H$1004))</x:f>
      </x:c>
      <x:c r="E485" s="75" t="str">
        <x:f>IF(A485="","",D485-C485)</x:f>
      </x:c>
      <x:c r="F485" s="88" t="str">
        <x:f>IF(A485="","",IF(C485=0,IF(D485=0,0,1),ABS(E485)/ABS(C485)))</x:f>
      </x:c>
      <x:c r="G485" s="73" t="str">
        <x:f>IF(A485="","",IF(AND(C485=0,D485&lt;&gt;0),"신규",IF(AND(C485&lt;&gt;0,D485=0),"소멸",IF(E485=0,"변동없음","금액변동"))))</x:f>
      </x:c>
      <x:c r="H485" s="73" t="str">
        <x:f>IF(A485="","",IF(AND(ABS(E485)&gt;='기준설정'!$B$6,OR(G485="신규",G485="소멸",F485&gt;='기준설정'!$B$5)),"원인분석 대상","일반"))</x:f>
      </x:c>
      <x:c r="I485" s="73" t="str">
        <x:f>IF(A485="","",IF(H485="원인분석 대상","세부원인분석 시트에서 거래별 원인을 검토","-"))</x:f>
      </x:c>
      <x:c r="J485" s="73" t="str">
        <x:f>IF(A485="","",COUNTIFS('전기원장'!$A$5:$A$1004,A485,'전기원장'!$J$5:$J$1004,"확인 필요")+COUNTIFS('당기원장'!$A$5:$A$1004,A485,'당기원장'!$J$5:$J$1004,"확인 필요"))</x:f>
      </x:c>
      <x:c r="K485" s="85" t="str">
        <x:f>IF(A485="","",IF(H485&lt;&gt;"원인분석 대상","",IF(J485&gt;0,"붙임 문서 확인 후 원인 확정 필요","결의서명 기반 원인분류 검토")))</x:f>
      </x:c>
    </x:row>
    <x:row r="486">
      <x:c r="A486" s="73" t="str">
        <x:f>IFERROR(INDEX('계산도우미'!$B$5:$B$2004,MATCH(ROWS($A$5:A486),'계산도우미'!$K$5:$K$2004,0)),"")</x:f>
      </x:c>
      <x:c r="B486" s="73" t="str">
        <x:f>IF(A486="","",IFERROR(INDEX('당기원장'!$B$5:$B$1004,MATCH(A486,'당기원장'!$A$5:$A$1004,0)),IFERROR(INDEX('전기원장'!$B$5:$B$1004,MATCH(A486,'전기원장'!$A$5:$A$1004,0)),"")))</x:f>
      </x:c>
      <x:c r="C486" s="75" t="str">
        <x:f>IF(A486="","",SUMIF('전기원장'!$A$5:$A$1004,A486,'전기원장'!$H$5:$H$1004))</x:f>
      </x:c>
      <x:c r="D486" s="75" t="str">
        <x:f>IF(A486="","",SUMIF('당기원장'!$A$5:$A$1004,A486,'당기원장'!$H$5:$H$1004))</x:f>
      </x:c>
      <x:c r="E486" s="75" t="str">
        <x:f>IF(A486="","",D486-C486)</x:f>
      </x:c>
      <x:c r="F486" s="88" t="str">
        <x:f>IF(A486="","",IF(C486=0,IF(D486=0,0,1),ABS(E486)/ABS(C486)))</x:f>
      </x:c>
      <x:c r="G486" s="73" t="str">
        <x:f>IF(A486="","",IF(AND(C486=0,D486&lt;&gt;0),"신규",IF(AND(C486&lt;&gt;0,D486=0),"소멸",IF(E486=0,"변동없음","금액변동"))))</x:f>
      </x:c>
      <x:c r="H486" s="73" t="str">
        <x:f>IF(A486="","",IF(AND(ABS(E486)&gt;='기준설정'!$B$6,OR(G486="신규",G486="소멸",F486&gt;='기준설정'!$B$5)),"원인분석 대상","일반"))</x:f>
      </x:c>
      <x:c r="I486" s="73" t="str">
        <x:f>IF(A486="","",IF(H486="원인분석 대상","세부원인분석 시트에서 거래별 원인을 검토","-"))</x:f>
      </x:c>
      <x:c r="J486" s="73" t="str">
        <x:f>IF(A486="","",COUNTIFS('전기원장'!$A$5:$A$1004,A486,'전기원장'!$J$5:$J$1004,"확인 필요")+COUNTIFS('당기원장'!$A$5:$A$1004,A486,'당기원장'!$J$5:$J$1004,"확인 필요"))</x:f>
      </x:c>
      <x:c r="K486" s="85" t="str">
        <x:f>IF(A486="","",IF(H486&lt;&gt;"원인분석 대상","",IF(J486&gt;0,"붙임 문서 확인 후 원인 확정 필요","결의서명 기반 원인분류 검토")))</x:f>
      </x:c>
    </x:row>
    <x:row r="487">
      <x:c r="A487" s="73" t="str">
        <x:f>IFERROR(INDEX('계산도우미'!$B$5:$B$2004,MATCH(ROWS($A$5:A487),'계산도우미'!$K$5:$K$2004,0)),"")</x:f>
      </x:c>
      <x:c r="B487" s="73" t="str">
        <x:f>IF(A487="","",IFERROR(INDEX('당기원장'!$B$5:$B$1004,MATCH(A487,'당기원장'!$A$5:$A$1004,0)),IFERROR(INDEX('전기원장'!$B$5:$B$1004,MATCH(A487,'전기원장'!$A$5:$A$1004,0)),"")))</x:f>
      </x:c>
      <x:c r="C487" s="75" t="str">
        <x:f>IF(A487="","",SUMIF('전기원장'!$A$5:$A$1004,A487,'전기원장'!$H$5:$H$1004))</x:f>
      </x:c>
      <x:c r="D487" s="75" t="str">
        <x:f>IF(A487="","",SUMIF('당기원장'!$A$5:$A$1004,A487,'당기원장'!$H$5:$H$1004))</x:f>
      </x:c>
      <x:c r="E487" s="75" t="str">
        <x:f>IF(A487="","",D487-C487)</x:f>
      </x:c>
      <x:c r="F487" s="88" t="str">
        <x:f>IF(A487="","",IF(C487=0,IF(D487=0,0,1),ABS(E487)/ABS(C487)))</x:f>
      </x:c>
      <x:c r="G487" s="73" t="str">
        <x:f>IF(A487="","",IF(AND(C487=0,D487&lt;&gt;0),"신규",IF(AND(C487&lt;&gt;0,D487=0),"소멸",IF(E487=0,"변동없음","금액변동"))))</x:f>
      </x:c>
      <x:c r="H487" s="73" t="str">
        <x:f>IF(A487="","",IF(AND(ABS(E487)&gt;='기준설정'!$B$6,OR(G487="신규",G487="소멸",F487&gt;='기준설정'!$B$5)),"원인분석 대상","일반"))</x:f>
      </x:c>
      <x:c r="I487" s="73" t="str">
        <x:f>IF(A487="","",IF(H487="원인분석 대상","세부원인분석 시트에서 거래별 원인을 검토","-"))</x:f>
      </x:c>
      <x:c r="J487" s="73" t="str">
        <x:f>IF(A487="","",COUNTIFS('전기원장'!$A$5:$A$1004,A487,'전기원장'!$J$5:$J$1004,"확인 필요")+COUNTIFS('당기원장'!$A$5:$A$1004,A487,'당기원장'!$J$5:$J$1004,"확인 필요"))</x:f>
      </x:c>
      <x:c r="K487" s="85" t="str">
        <x:f>IF(A487="","",IF(H487&lt;&gt;"원인분석 대상","",IF(J487&gt;0,"붙임 문서 확인 후 원인 확정 필요","결의서명 기반 원인분류 검토")))</x:f>
      </x:c>
    </x:row>
    <x:row r="488">
      <x:c r="A488" s="73" t="str">
        <x:f>IFERROR(INDEX('계산도우미'!$B$5:$B$2004,MATCH(ROWS($A$5:A488),'계산도우미'!$K$5:$K$2004,0)),"")</x:f>
      </x:c>
      <x:c r="B488" s="73" t="str">
        <x:f>IF(A488="","",IFERROR(INDEX('당기원장'!$B$5:$B$1004,MATCH(A488,'당기원장'!$A$5:$A$1004,0)),IFERROR(INDEX('전기원장'!$B$5:$B$1004,MATCH(A488,'전기원장'!$A$5:$A$1004,0)),"")))</x:f>
      </x:c>
      <x:c r="C488" s="75" t="str">
        <x:f>IF(A488="","",SUMIF('전기원장'!$A$5:$A$1004,A488,'전기원장'!$H$5:$H$1004))</x:f>
      </x:c>
      <x:c r="D488" s="75" t="str">
        <x:f>IF(A488="","",SUMIF('당기원장'!$A$5:$A$1004,A488,'당기원장'!$H$5:$H$1004))</x:f>
      </x:c>
      <x:c r="E488" s="75" t="str">
        <x:f>IF(A488="","",D488-C488)</x:f>
      </x:c>
      <x:c r="F488" s="88" t="str">
        <x:f>IF(A488="","",IF(C488=0,IF(D488=0,0,1),ABS(E488)/ABS(C488)))</x:f>
      </x:c>
      <x:c r="G488" s="73" t="str">
        <x:f>IF(A488="","",IF(AND(C488=0,D488&lt;&gt;0),"신규",IF(AND(C488&lt;&gt;0,D488=0),"소멸",IF(E488=0,"변동없음","금액변동"))))</x:f>
      </x:c>
      <x:c r="H488" s="73" t="str">
        <x:f>IF(A488="","",IF(AND(ABS(E488)&gt;='기준설정'!$B$6,OR(G488="신규",G488="소멸",F488&gt;='기준설정'!$B$5)),"원인분석 대상","일반"))</x:f>
      </x:c>
      <x:c r="I488" s="73" t="str">
        <x:f>IF(A488="","",IF(H488="원인분석 대상","세부원인분석 시트에서 거래별 원인을 검토","-"))</x:f>
      </x:c>
      <x:c r="J488" s="73" t="str">
        <x:f>IF(A488="","",COUNTIFS('전기원장'!$A$5:$A$1004,A488,'전기원장'!$J$5:$J$1004,"확인 필요")+COUNTIFS('당기원장'!$A$5:$A$1004,A488,'당기원장'!$J$5:$J$1004,"확인 필요"))</x:f>
      </x:c>
      <x:c r="K488" s="85" t="str">
        <x:f>IF(A488="","",IF(H488&lt;&gt;"원인분석 대상","",IF(J488&gt;0,"붙임 문서 확인 후 원인 확정 필요","결의서명 기반 원인분류 검토")))</x:f>
      </x:c>
    </x:row>
    <x:row r="489">
      <x:c r="A489" s="73" t="str">
        <x:f>IFERROR(INDEX('계산도우미'!$B$5:$B$2004,MATCH(ROWS($A$5:A489),'계산도우미'!$K$5:$K$2004,0)),"")</x:f>
      </x:c>
      <x:c r="B489" s="73" t="str">
        <x:f>IF(A489="","",IFERROR(INDEX('당기원장'!$B$5:$B$1004,MATCH(A489,'당기원장'!$A$5:$A$1004,0)),IFERROR(INDEX('전기원장'!$B$5:$B$1004,MATCH(A489,'전기원장'!$A$5:$A$1004,0)),"")))</x:f>
      </x:c>
      <x:c r="C489" s="75" t="str">
        <x:f>IF(A489="","",SUMIF('전기원장'!$A$5:$A$1004,A489,'전기원장'!$H$5:$H$1004))</x:f>
      </x:c>
      <x:c r="D489" s="75" t="str">
        <x:f>IF(A489="","",SUMIF('당기원장'!$A$5:$A$1004,A489,'당기원장'!$H$5:$H$1004))</x:f>
      </x:c>
      <x:c r="E489" s="75" t="str">
        <x:f>IF(A489="","",D489-C489)</x:f>
      </x:c>
      <x:c r="F489" s="88" t="str">
        <x:f>IF(A489="","",IF(C489=0,IF(D489=0,0,1),ABS(E489)/ABS(C489)))</x:f>
      </x:c>
      <x:c r="G489" s="73" t="str">
        <x:f>IF(A489="","",IF(AND(C489=0,D489&lt;&gt;0),"신규",IF(AND(C489&lt;&gt;0,D489=0),"소멸",IF(E489=0,"변동없음","금액변동"))))</x:f>
      </x:c>
      <x:c r="H489" s="73" t="str">
        <x:f>IF(A489="","",IF(AND(ABS(E489)&gt;='기준설정'!$B$6,OR(G489="신규",G489="소멸",F489&gt;='기준설정'!$B$5)),"원인분석 대상","일반"))</x:f>
      </x:c>
      <x:c r="I489" s="73" t="str">
        <x:f>IF(A489="","",IF(H489="원인분석 대상","세부원인분석 시트에서 거래별 원인을 검토","-"))</x:f>
      </x:c>
      <x:c r="J489" s="73" t="str">
        <x:f>IF(A489="","",COUNTIFS('전기원장'!$A$5:$A$1004,A489,'전기원장'!$J$5:$J$1004,"확인 필요")+COUNTIFS('당기원장'!$A$5:$A$1004,A489,'당기원장'!$J$5:$J$1004,"확인 필요"))</x:f>
      </x:c>
      <x:c r="K489" s="85" t="str">
        <x:f>IF(A489="","",IF(H489&lt;&gt;"원인분석 대상","",IF(J489&gt;0,"붙임 문서 확인 후 원인 확정 필요","결의서명 기반 원인분류 검토")))</x:f>
      </x:c>
    </x:row>
    <x:row r="490">
      <x:c r="A490" s="73" t="str">
        <x:f>IFERROR(INDEX('계산도우미'!$B$5:$B$2004,MATCH(ROWS($A$5:A490),'계산도우미'!$K$5:$K$2004,0)),"")</x:f>
      </x:c>
      <x:c r="B490" s="73" t="str">
        <x:f>IF(A490="","",IFERROR(INDEX('당기원장'!$B$5:$B$1004,MATCH(A490,'당기원장'!$A$5:$A$1004,0)),IFERROR(INDEX('전기원장'!$B$5:$B$1004,MATCH(A490,'전기원장'!$A$5:$A$1004,0)),"")))</x:f>
      </x:c>
      <x:c r="C490" s="75" t="str">
        <x:f>IF(A490="","",SUMIF('전기원장'!$A$5:$A$1004,A490,'전기원장'!$H$5:$H$1004))</x:f>
      </x:c>
      <x:c r="D490" s="75" t="str">
        <x:f>IF(A490="","",SUMIF('당기원장'!$A$5:$A$1004,A490,'당기원장'!$H$5:$H$1004))</x:f>
      </x:c>
      <x:c r="E490" s="75" t="str">
        <x:f>IF(A490="","",D490-C490)</x:f>
      </x:c>
      <x:c r="F490" s="88" t="str">
        <x:f>IF(A490="","",IF(C490=0,IF(D490=0,0,1),ABS(E490)/ABS(C490)))</x:f>
      </x:c>
      <x:c r="G490" s="73" t="str">
        <x:f>IF(A490="","",IF(AND(C490=0,D490&lt;&gt;0),"신규",IF(AND(C490&lt;&gt;0,D490=0),"소멸",IF(E490=0,"변동없음","금액변동"))))</x:f>
      </x:c>
      <x:c r="H490" s="73" t="str">
        <x:f>IF(A490="","",IF(AND(ABS(E490)&gt;='기준설정'!$B$6,OR(G490="신규",G490="소멸",F490&gt;='기준설정'!$B$5)),"원인분석 대상","일반"))</x:f>
      </x:c>
      <x:c r="I490" s="73" t="str">
        <x:f>IF(A490="","",IF(H490="원인분석 대상","세부원인분석 시트에서 거래별 원인을 검토","-"))</x:f>
      </x:c>
      <x:c r="J490" s="73" t="str">
        <x:f>IF(A490="","",COUNTIFS('전기원장'!$A$5:$A$1004,A490,'전기원장'!$J$5:$J$1004,"확인 필요")+COUNTIFS('당기원장'!$A$5:$A$1004,A490,'당기원장'!$J$5:$J$1004,"확인 필요"))</x:f>
      </x:c>
      <x:c r="K490" s="85" t="str">
        <x:f>IF(A490="","",IF(H490&lt;&gt;"원인분석 대상","",IF(J490&gt;0,"붙임 문서 확인 후 원인 확정 필요","결의서명 기반 원인분류 검토")))</x:f>
      </x:c>
    </x:row>
    <x:row r="491">
      <x:c r="A491" s="73" t="str">
        <x:f>IFERROR(INDEX('계산도우미'!$B$5:$B$2004,MATCH(ROWS($A$5:A491),'계산도우미'!$K$5:$K$2004,0)),"")</x:f>
      </x:c>
      <x:c r="B491" s="73" t="str">
        <x:f>IF(A491="","",IFERROR(INDEX('당기원장'!$B$5:$B$1004,MATCH(A491,'당기원장'!$A$5:$A$1004,0)),IFERROR(INDEX('전기원장'!$B$5:$B$1004,MATCH(A491,'전기원장'!$A$5:$A$1004,0)),"")))</x:f>
      </x:c>
      <x:c r="C491" s="75" t="str">
        <x:f>IF(A491="","",SUMIF('전기원장'!$A$5:$A$1004,A491,'전기원장'!$H$5:$H$1004))</x:f>
      </x:c>
      <x:c r="D491" s="75" t="str">
        <x:f>IF(A491="","",SUMIF('당기원장'!$A$5:$A$1004,A491,'당기원장'!$H$5:$H$1004))</x:f>
      </x:c>
      <x:c r="E491" s="75" t="str">
        <x:f>IF(A491="","",D491-C491)</x:f>
      </x:c>
      <x:c r="F491" s="88" t="str">
        <x:f>IF(A491="","",IF(C491=0,IF(D491=0,0,1),ABS(E491)/ABS(C491)))</x:f>
      </x:c>
      <x:c r="G491" s="73" t="str">
        <x:f>IF(A491="","",IF(AND(C491=0,D491&lt;&gt;0),"신규",IF(AND(C491&lt;&gt;0,D491=0),"소멸",IF(E491=0,"변동없음","금액변동"))))</x:f>
      </x:c>
      <x:c r="H491" s="73" t="str">
        <x:f>IF(A491="","",IF(AND(ABS(E491)&gt;='기준설정'!$B$6,OR(G491="신규",G491="소멸",F491&gt;='기준설정'!$B$5)),"원인분석 대상","일반"))</x:f>
      </x:c>
      <x:c r="I491" s="73" t="str">
        <x:f>IF(A491="","",IF(H491="원인분석 대상","세부원인분석 시트에서 거래별 원인을 검토","-"))</x:f>
      </x:c>
      <x:c r="J491" s="73" t="str">
        <x:f>IF(A491="","",COUNTIFS('전기원장'!$A$5:$A$1004,A491,'전기원장'!$J$5:$J$1004,"확인 필요")+COUNTIFS('당기원장'!$A$5:$A$1004,A491,'당기원장'!$J$5:$J$1004,"확인 필요"))</x:f>
      </x:c>
      <x:c r="K491" s="85" t="str">
        <x:f>IF(A491="","",IF(H491&lt;&gt;"원인분석 대상","",IF(J491&gt;0,"붙임 문서 확인 후 원인 확정 필요","결의서명 기반 원인분류 검토")))</x:f>
      </x:c>
    </x:row>
    <x:row r="492">
      <x:c r="A492" s="73" t="str">
        <x:f>IFERROR(INDEX('계산도우미'!$B$5:$B$2004,MATCH(ROWS($A$5:A492),'계산도우미'!$K$5:$K$2004,0)),"")</x:f>
      </x:c>
      <x:c r="B492" s="73" t="str">
        <x:f>IF(A492="","",IFERROR(INDEX('당기원장'!$B$5:$B$1004,MATCH(A492,'당기원장'!$A$5:$A$1004,0)),IFERROR(INDEX('전기원장'!$B$5:$B$1004,MATCH(A492,'전기원장'!$A$5:$A$1004,0)),"")))</x:f>
      </x:c>
      <x:c r="C492" s="75" t="str">
        <x:f>IF(A492="","",SUMIF('전기원장'!$A$5:$A$1004,A492,'전기원장'!$H$5:$H$1004))</x:f>
      </x:c>
      <x:c r="D492" s="75" t="str">
        <x:f>IF(A492="","",SUMIF('당기원장'!$A$5:$A$1004,A492,'당기원장'!$H$5:$H$1004))</x:f>
      </x:c>
      <x:c r="E492" s="75" t="str">
        <x:f>IF(A492="","",D492-C492)</x:f>
      </x:c>
      <x:c r="F492" s="88" t="str">
        <x:f>IF(A492="","",IF(C492=0,IF(D492=0,0,1),ABS(E492)/ABS(C492)))</x:f>
      </x:c>
      <x:c r="G492" s="73" t="str">
        <x:f>IF(A492="","",IF(AND(C492=0,D492&lt;&gt;0),"신규",IF(AND(C492&lt;&gt;0,D492=0),"소멸",IF(E492=0,"변동없음","금액변동"))))</x:f>
      </x:c>
      <x:c r="H492" s="73" t="str">
        <x:f>IF(A492="","",IF(AND(ABS(E492)&gt;='기준설정'!$B$6,OR(G492="신규",G492="소멸",F492&gt;='기준설정'!$B$5)),"원인분석 대상","일반"))</x:f>
      </x:c>
      <x:c r="I492" s="73" t="str">
        <x:f>IF(A492="","",IF(H492="원인분석 대상","세부원인분석 시트에서 거래별 원인을 검토","-"))</x:f>
      </x:c>
      <x:c r="J492" s="73" t="str">
        <x:f>IF(A492="","",COUNTIFS('전기원장'!$A$5:$A$1004,A492,'전기원장'!$J$5:$J$1004,"확인 필요")+COUNTIFS('당기원장'!$A$5:$A$1004,A492,'당기원장'!$J$5:$J$1004,"확인 필요"))</x:f>
      </x:c>
      <x:c r="K492" s="85" t="str">
        <x:f>IF(A492="","",IF(H492&lt;&gt;"원인분석 대상","",IF(J492&gt;0,"붙임 문서 확인 후 원인 확정 필요","결의서명 기반 원인분류 검토")))</x:f>
      </x:c>
    </x:row>
    <x:row r="493">
      <x:c r="A493" s="73" t="str">
        <x:f>IFERROR(INDEX('계산도우미'!$B$5:$B$2004,MATCH(ROWS($A$5:A493),'계산도우미'!$K$5:$K$2004,0)),"")</x:f>
      </x:c>
      <x:c r="B493" s="73" t="str">
        <x:f>IF(A493="","",IFERROR(INDEX('당기원장'!$B$5:$B$1004,MATCH(A493,'당기원장'!$A$5:$A$1004,0)),IFERROR(INDEX('전기원장'!$B$5:$B$1004,MATCH(A493,'전기원장'!$A$5:$A$1004,0)),"")))</x:f>
      </x:c>
      <x:c r="C493" s="75" t="str">
        <x:f>IF(A493="","",SUMIF('전기원장'!$A$5:$A$1004,A493,'전기원장'!$H$5:$H$1004))</x:f>
      </x:c>
      <x:c r="D493" s="75" t="str">
        <x:f>IF(A493="","",SUMIF('당기원장'!$A$5:$A$1004,A493,'당기원장'!$H$5:$H$1004))</x:f>
      </x:c>
      <x:c r="E493" s="75" t="str">
        <x:f>IF(A493="","",D493-C493)</x:f>
      </x:c>
      <x:c r="F493" s="88" t="str">
        <x:f>IF(A493="","",IF(C493=0,IF(D493=0,0,1),ABS(E493)/ABS(C493)))</x:f>
      </x:c>
      <x:c r="G493" s="73" t="str">
        <x:f>IF(A493="","",IF(AND(C493=0,D493&lt;&gt;0),"신규",IF(AND(C493&lt;&gt;0,D493=0),"소멸",IF(E493=0,"변동없음","금액변동"))))</x:f>
      </x:c>
      <x:c r="H493" s="73" t="str">
        <x:f>IF(A493="","",IF(AND(ABS(E493)&gt;='기준설정'!$B$6,OR(G493="신규",G493="소멸",F493&gt;='기준설정'!$B$5)),"원인분석 대상","일반"))</x:f>
      </x:c>
      <x:c r="I493" s="73" t="str">
        <x:f>IF(A493="","",IF(H493="원인분석 대상","세부원인분석 시트에서 거래별 원인을 검토","-"))</x:f>
      </x:c>
      <x:c r="J493" s="73" t="str">
        <x:f>IF(A493="","",COUNTIFS('전기원장'!$A$5:$A$1004,A493,'전기원장'!$J$5:$J$1004,"확인 필요")+COUNTIFS('당기원장'!$A$5:$A$1004,A493,'당기원장'!$J$5:$J$1004,"확인 필요"))</x:f>
      </x:c>
      <x:c r="K493" s="85" t="str">
        <x:f>IF(A493="","",IF(H493&lt;&gt;"원인분석 대상","",IF(J493&gt;0,"붙임 문서 확인 후 원인 확정 필요","결의서명 기반 원인분류 검토")))</x:f>
      </x:c>
    </x:row>
    <x:row r="494">
      <x:c r="A494" s="73" t="str">
        <x:f>IFERROR(INDEX('계산도우미'!$B$5:$B$2004,MATCH(ROWS($A$5:A494),'계산도우미'!$K$5:$K$2004,0)),"")</x:f>
      </x:c>
      <x:c r="B494" s="73" t="str">
        <x:f>IF(A494="","",IFERROR(INDEX('당기원장'!$B$5:$B$1004,MATCH(A494,'당기원장'!$A$5:$A$1004,0)),IFERROR(INDEX('전기원장'!$B$5:$B$1004,MATCH(A494,'전기원장'!$A$5:$A$1004,0)),"")))</x:f>
      </x:c>
      <x:c r="C494" s="75" t="str">
        <x:f>IF(A494="","",SUMIF('전기원장'!$A$5:$A$1004,A494,'전기원장'!$H$5:$H$1004))</x:f>
      </x:c>
      <x:c r="D494" s="75" t="str">
        <x:f>IF(A494="","",SUMIF('당기원장'!$A$5:$A$1004,A494,'당기원장'!$H$5:$H$1004))</x:f>
      </x:c>
      <x:c r="E494" s="75" t="str">
        <x:f>IF(A494="","",D494-C494)</x:f>
      </x:c>
      <x:c r="F494" s="88" t="str">
        <x:f>IF(A494="","",IF(C494=0,IF(D494=0,0,1),ABS(E494)/ABS(C494)))</x:f>
      </x:c>
      <x:c r="G494" s="73" t="str">
        <x:f>IF(A494="","",IF(AND(C494=0,D494&lt;&gt;0),"신규",IF(AND(C494&lt;&gt;0,D494=0),"소멸",IF(E494=0,"변동없음","금액변동"))))</x:f>
      </x:c>
      <x:c r="H494" s="73" t="str">
        <x:f>IF(A494="","",IF(AND(ABS(E494)&gt;='기준설정'!$B$6,OR(G494="신규",G494="소멸",F494&gt;='기준설정'!$B$5)),"원인분석 대상","일반"))</x:f>
      </x:c>
      <x:c r="I494" s="73" t="str">
        <x:f>IF(A494="","",IF(H494="원인분석 대상","세부원인분석 시트에서 거래별 원인을 검토","-"))</x:f>
      </x:c>
      <x:c r="J494" s="73" t="str">
        <x:f>IF(A494="","",COUNTIFS('전기원장'!$A$5:$A$1004,A494,'전기원장'!$J$5:$J$1004,"확인 필요")+COUNTIFS('당기원장'!$A$5:$A$1004,A494,'당기원장'!$J$5:$J$1004,"확인 필요"))</x:f>
      </x:c>
      <x:c r="K494" s="85" t="str">
        <x:f>IF(A494="","",IF(H494&lt;&gt;"원인분석 대상","",IF(J494&gt;0,"붙임 문서 확인 후 원인 확정 필요","결의서명 기반 원인분류 검토")))</x:f>
      </x:c>
    </x:row>
    <x:row r="495">
      <x:c r="A495" s="73" t="str">
        <x:f>IFERROR(INDEX('계산도우미'!$B$5:$B$2004,MATCH(ROWS($A$5:A495),'계산도우미'!$K$5:$K$2004,0)),"")</x:f>
      </x:c>
      <x:c r="B495" s="73" t="str">
        <x:f>IF(A495="","",IFERROR(INDEX('당기원장'!$B$5:$B$1004,MATCH(A495,'당기원장'!$A$5:$A$1004,0)),IFERROR(INDEX('전기원장'!$B$5:$B$1004,MATCH(A495,'전기원장'!$A$5:$A$1004,0)),"")))</x:f>
      </x:c>
      <x:c r="C495" s="75" t="str">
        <x:f>IF(A495="","",SUMIF('전기원장'!$A$5:$A$1004,A495,'전기원장'!$H$5:$H$1004))</x:f>
      </x:c>
      <x:c r="D495" s="75" t="str">
        <x:f>IF(A495="","",SUMIF('당기원장'!$A$5:$A$1004,A495,'당기원장'!$H$5:$H$1004))</x:f>
      </x:c>
      <x:c r="E495" s="75" t="str">
        <x:f>IF(A495="","",D495-C495)</x:f>
      </x:c>
      <x:c r="F495" s="88" t="str">
        <x:f>IF(A495="","",IF(C495=0,IF(D495=0,0,1),ABS(E495)/ABS(C495)))</x:f>
      </x:c>
      <x:c r="G495" s="73" t="str">
        <x:f>IF(A495="","",IF(AND(C495=0,D495&lt;&gt;0),"신규",IF(AND(C495&lt;&gt;0,D495=0),"소멸",IF(E495=0,"변동없음","금액변동"))))</x:f>
      </x:c>
      <x:c r="H495" s="73" t="str">
        <x:f>IF(A495="","",IF(AND(ABS(E495)&gt;='기준설정'!$B$6,OR(G495="신규",G495="소멸",F495&gt;='기준설정'!$B$5)),"원인분석 대상","일반"))</x:f>
      </x:c>
      <x:c r="I495" s="73" t="str">
        <x:f>IF(A495="","",IF(H495="원인분석 대상","세부원인분석 시트에서 거래별 원인을 검토","-"))</x:f>
      </x:c>
      <x:c r="J495" s="73" t="str">
        <x:f>IF(A495="","",COUNTIFS('전기원장'!$A$5:$A$1004,A495,'전기원장'!$J$5:$J$1004,"확인 필요")+COUNTIFS('당기원장'!$A$5:$A$1004,A495,'당기원장'!$J$5:$J$1004,"확인 필요"))</x:f>
      </x:c>
      <x:c r="K495" s="85" t="str">
        <x:f>IF(A495="","",IF(H495&lt;&gt;"원인분석 대상","",IF(J495&gt;0,"붙임 문서 확인 후 원인 확정 필요","결의서명 기반 원인분류 검토")))</x:f>
      </x:c>
    </x:row>
    <x:row r="496">
      <x:c r="A496" s="73" t="str">
        <x:f>IFERROR(INDEX('계산도우미'!$B$5:$B$2004,MATCH(ROWS($A$5:A496),'계산도우미'!$K$5:$K$2004,0)),"")</x:f>
      </x:c>
      <x:c r="B496" s="73" t="str">
        <x:f>IF(A496="","",IFERROR(INDEX('당기원장'!$B$5:$B$1004,MATCH(A496,'당기원장'!$A$5:$A$1004,0)),IFERROR(INDEX('전기원장'!$B$5:$B$1004,MATCH(A496,'전기원장'!$A$5:$A$1004,0)),"")))</x:f>
      </x:c>
      <x:c r="C496" s="75" t="str">
        <x:f>IF(A496="","",SUMIF('전기원장'!$A$5:$A$1004,A496,'전기원장'!$H$5:$H$1004))</x:f>
      </x:c>
      <x:c r="D496" s="75" t="str">
        <x:f>IF(A496="","",SUMIF('당기원장'!$A$5:$A$1004,A496,'당기원장'!$H$5:$H$1004))</x:f>
      </x:c>
      <x:c r="E496" s="75" t="str">
        <x:f>IF(A496="","",D496-C496)</x:f>
      </x:c>
      <x:c r="F496" s="88" t="str">
        <x:f>IF(A496="","",IF(C496=0,IF(D496=0,0,1),ABS(E496)/ABS(C496)))</x:f>
      </x:c>
      <x:c r="G496" s="73" t="str">
        <x:f>IF(A496="","",IF(AND(C496=0,D496&lt;&gt;0),"신규",IF(AND(C496&lt;&gt;0,D496=0),"소멸",IF(E496=0,"변동없음","금액변동"))))</x:f>
      </x:c>
      <x:c r="H496" s="73" t="str">
        <x:f>IF(A496="","",IF(AND(ABS(E496)&gt;='기준설정'!$B$6,OR(G496="신규",G496="소멸",F496&gt;='기준설정'!$B$5)),"원인분석 대상","일반"))</x:f>
      </x:c>
      <x:c r="I496" s="73" t="str">
        <x:f>IF(A496="","",IF(H496="원인분석 대상","세부원인분석 시트에서 거래별 원인을 검토","-"))</x:f>
      </x:c>
      <x:c r="J496" s="73" t="str">
        <x:f>IF(A496="","",COUNTIFS('전기원장'!$A$5:$A$1004,A496,'전기원장'!$J$5:$J$1004,"확인 필요")+COUNTIFS('당기원장'!$A$5:$A$1004,A496,'당기원장'!$J$5:$J$1004,"확인 필요"))</x:f>
      </x:c>
      <x:c r="K496" s="85" t="str">
        <x:f>IF(A496="","",IF(H496&lt;&gt;"원인분석 대상","",IF(J496&gt;0,"붙임 문서 확인 후 원인 확정 필요","결의서명 기반 원인분류 검토")))</x:f>
      </x:c>
    </x:row>
    <x:row r="497">
      <x:c r="A497" s="73" t="str">
        <x:f>IFERROR(INDEX('계산도우미'!$B$5:$B$2004,MATCH(ROWS($A$5:A497),'계산도우미'!$K$5:$K$2004,0)),"")</x:f>
      </x:c>
      <x:c r="B497" s="73" t="str">
        <x:f>IF(A497="","",IFERROR(INDEX('당기원장'!$B$5:$B$1004,MATCH(A497,'당기원장'!$A$5:$A$1004,0)),IFERROR(INDEX('전기원장'!$B$5:$B$1004,MATCH(A497,'전기원장'!$A$5:$A$1004,0)),"")))</x:f>
      </x:c>
      <x:c r="C497" s="75" t="str">
        <x:f>IF(A497="","",SUMIF('전기원장'!$A$5:$A$1004,A497,'전기원장'!$H$5:$H$1004))</x:f>
      </x:c>
      <x:c r="D497" s="75" t="str">
        <x:f>IF(A497="","",SUMIF('당기원장'!$A$5:$A$1004,A497,'당기원장'!$H$5:$H$1004))</x:f>
      </x:c>
      <x:c r="E497" s="75" t="str">
        <x:f>IF(A497="","",D497-C497)</x:f>
      </x:c>
      <x:c r="F497" s="88" t="str">
        <x:f>IF(A497="","",IF(C497=0,IF(D497=0,0,1),ABS(E497)/ABS(C497)))</x:f>
      </x:c>
      <x:c r="G497" s="73" t="str">
        <x:f>IF(A497="","",IF(AND(C497=0,D497&lt;&gt;0),"신규",IF(AND(C497&lt;&gt;0,D497=0),"소멸",IF(E497=0,"변동없음","금액변동"))))</x:f>
      </x:c>
      <x:c r="H497" s="73" t="str">
        <x:f>IF(A497="","",IF(AND(ABS(E497)&gt;='기준설정'!$B$6,OR(G497="신규",G497="소멸",F497&gt;='기준설정'!$B$5)),"원인분석 대상","일반"))</x:f>
      </x:c>
      <x:c r="I497" s="73" t="str">
        <x:f>IF(A497="","",IF(H497="원인분석 대상","세부원인분석 시트에서 거래별 원인을 검토","-"))</x:f>
      </x:c>
      <x:c r="J497" s="73" t="str">
        <x:f>IF(A497="","",COUNTIFS('전기원장'!$A$5:$A$1004,A497,'전기원장'!$J$5:$J$1004,"확인 필요")+COUNTIFS('당기원장'!$A$5:$A$1004,A497,'당기원장'!$J$5:$J$1004,"확인 필요"))</x:f>
      </x:c>
      <x:c r="K497" s="85" t="str">
        <x:f>IF(A497="","",IF(H497&lt;&gt;"원인분석 대상","",IF(J497&gt;0,"붙임 문서 확인 후 원인 확정 필요","결의서명 기반 원인분류 검토")))</x:f>
      </x:c>
    </x:row>
    <x:row r="498">
      <x:c r="A498" s="73" t="str">
        <x:f>IFERROR(INDEX('계산도우미'!$B$5:$B$2004,MATCH(ROWS($A$5:A498),'계산도우미'!$K$5:$K$2004,0)),"")</x:f>
      </x:c>
      <x:c r="B498" s="73" t="str">
        <x:f>IF(A498="","",IFERROR(INDEX('당기원장'!$B$5:$B$1004,MATCH(A498,'당기원장'!$A$5:$A$1004,0)),IFERROR(INDEX('전기원장'!$B$5:$B$1004,MATCH(A498,'전기원장'!$A$5:$A$1004,0)),"")))</x:f>
      </x:c>
      <x:c r="C498" s="75" t="str">
        <x:f>IF(A498="","",SUMIF('전기원장'!$A$5:$A$1004,A498,'전기원장'!$H$5:$H$1004))</x:f>
      </x:c>
      <x:c r="D498" s="75" t="str">
        <x:f>IF(A498="","",SUMIF('당기원장'!$A$5:$A$1004,A498,'당기원장'!$H$5:$H$1004))</x:f>
      </x:c>
      <x:c r="E498" s="75" t="str">
        <x:f>IF(A498="","",D498-C498)</x:f>
      </x:c>
      <x:c r="F498" s="88" t="str">
        <x:f>IF(A498="","",IF(C498=0,IF(D498=0,0,1),ABS(E498)/ABS(C498)))</x:f>
      </x:c>
      <x:c r="G498" s="73" t="str">
        <x:f>IF(A498="","",IF(AND(C498=0,D498&lt;&gt;0),"신규",IF(AND(C498&lt;&gt;0,D498=0),"소멸",IF(E498=0,"변동없음","금액변동"))))</x:f>
      </x:c>
      <x:c r="H498" s="73" t="str">
        <x:f>IF(A498="","",IF(AND(ABS(E498)&gt;='기준설정'!$B$6,OR(G498="신규",G498="소멸",F498&gt;='기준설정'!$B$5)),"원인분석 대상","일반"))</x:f>
      </x:c>
      <x:c r="I498" s="73" t="str">
        <x:f>IF(A498="","",IF(H498="원인분석 대상","세부원인분석 시트에서 거래별 원인을 검토","-"))</x:f>
      </x:c>
      <x:c r="J498" s="73" t="str">
        <x:f>IF(A498="","",COUNTIFS('전기원장'!$A$5:$A$1004,A498,'전기원장'!$J$5:$J$1004,"확인 필요")+COUNTIFS('당기원장'!$A$5:$A$1004,A498,'당기원장'!$J$5:$J$1004,"확인 필요"))</x:f>
      </x:c>
      <x:c r="K498" s="85" t="str">
        <x:f>IF(A498="","",IF(H498&lt;&gt;"원인분석 대상","",IF(J498&gt;0,"붙임 문서 확인 후 원인 확정 필요","결의서명 기반 원인분류 검토")))</x:f>
      </x:c>
    </x:row>
    <x:row r="499">
      <x:c r="A499" s="73" t="str">
        <x:f>IFERROR(INDEX('계산도우미'!$B$5:$B$2004,MATCH(ROWS($A$5:A499),'계산도우미'!$K$5:$K$2004,0)),"")</x:f>
      </x:c>
      <x:c r="B499" s="73" t="str">
        <x:f>IF(A499="","",IFERROR(INDEX('당기원장'!$B$5:$B$1004,MATCH(A499,'당기원장'!$A$5:$A$1004,0)),IFERROR(INDEX('전기원장'!$B$5:$B$1004,MATCH(A499,'전기원장'!$A$5:$A$1004,0)),"")))</x:f>
      </x:c>
      <x:c r="C499" s="75" t="str">
        <x:f>IF(A499="","",SUMIF('전기원장'!$A$5:$A$1004,A499,'전기원장'!$H$5:$H$1004))</x:f>
      </x:c>
      <x:c r="D499" s="75" t="str">
        <x:f>IF(A499="","",SUMIF('당기원장'!$A$5:$A$1004,A499,'당기원장'!$H$5:$H$1004))</x:f>
      </x:c>
      <x:c r="E499" s="75" t="str">
        <x:f>IF(A499="","",D499-C499)</x:f>
      </x:c>
      <x:c r="F499" s="88" t="str">
        <x:f>IF(A499="","",IF(C499=0,IF(D499=0,0,1),ABS(E499)/ABS(C499)))</x:f>
      </x:c>
      <x:c r="G499" s="73" t="str">
        <x:f>IF(A499="","",IF(AND(C499=0,D499&lt;&gt;0),"신규",IF(AND(C499&lt;&gt;0,D499=0),"소멸",IF(E499=0,"변동없음","금액변동"))))</x:f>
      </x:c>
      <x:c r="H499" s="73" t="str">
        <x:f>IF(A499="","",IF(AND(ABS(E499)&gt;='기준설정'!$B$6,OR(G499="신규",G499="소멸",F499&gt;='기준설정'!$B$5)),"원인분석 대상","일반"))</x:f>
      </x:c>
      <x:c r="I499" s="73" t="str">
        <x:f>IF(A499="","",IF(H499="원인분석 대상","세부원인분석 시트에서 거래별 원인을 검토","-"))</x:f>
      </x:c>
      <x:c r="J499" s="73" t="str">
        <x:f>IF(A499="","",COUNTIFS('전기원장'!$A$5:$A$1004,A499,'전기원장'!$J$5:$J$1004,"확인 필요")+COUNTIFS('당기원장'!$A$5:$A$1004,A499,'당기원장'!$J$5:$J$1004,"확인 필요"))</x:f>
      </x:c>
      <x:c r="K499" s="85" t="str">
        <x:f>IF(A499="","",IF(H499&lt;&gt;"원인분석 대상","",IF(J499&gt;0,"붙임 문서 확인 후 원인 확정 필요","결의서명 기반 원인분류 검토")))</x:f>
      </x:c>
    </x:row>
    <x:row r="500">
      <x:c r="A500" s="73" t="str">
        <x:f>IFERROR(INDEX('계산도우미'!$B$5:$B$2004,MATCH(ROWS($A$5:A500),'계산도우미'!$K$5:$K$2004,0)),"")</x:f>
      </x:c>
      <x:c r="B500" s="73" t="str">
        <x:f>IF(A500="","",IFERROR(INDEX('당기원장'!$B$5:$B$1004,MATCH(A500,'당기원장'!$A$5:$A$1004,0)),IFERROR(INDEX('전기원장'!$B$5:$B$1004,MATCH(A500,'전기원장'!$A$5:$A$1004,0)),"")))</x:f>
      </x:c>
      <x:c r="C500" s="75" t="str">
        <x:f>IF(A500="","",SUMIF('전기원장'!$A$5:$A$1004,A500,'전기원장'!$H$5:$H$1004))</x:f>
      </x:c>
      <x:c r="D500" s="75" t="str">
        <x:f>IF(A500="","",SUMIF('당기원장'!$A$5:$A$1004,A500,'당기원장'!$H$5:$H$1004))</x:f>
      </x:c>
      <x:c r="E500" s="75" t="str">
        <x:f>IF(A500="","",D500-C500)</x:f>
      </x:c>
      <x:c r="F500" s="88" t="str">
        <x:f>IF(A500="","",IF(C500=0,IF(D500=0,0,1),ABS(E500)/ABS(C500)))</x:f>
      </x:c>
      <x:c r="G500" s="73" t="str">
        <x:f>IF(A500="","",IF(AND(C500=0,D500&lt;&gt;0),"신규",IF(AND(C500&lt;&gt;0,D500=0),"소멸",IF(E500=0,"변동없음","금액변동"))))</x:f>
      </x:c>
      <x:c r="H500" s="73" t="str">
        <x:f>IF(A500="","",IF(AND(ABS(E500)&gt;='기준설정'!$B$6,OR(G500="신규",G500="소멸",F500&gt;='기준설정'!$B$5)),"원인분석 대상","일반"))</x:f>
      </x:c>
      <x:c r="I500" s="73" t="str">
        <x:f>IF(A500="","",IF(H500="원인분석 대상","세부원인분석 시트에서 거래별 원인을 검토","-"))</x:f>
      </x:c>
      <x:c r="J500" s="73" t="str">
        <x:f>IF(A500="","",COUNTIFS('전기원장'!$A$5:$A$1004,A500,'전기원장'!$J$5:$J$1004,"확인 필요")+COUNTIFS('당기원장'!$A$5:$A$1004,A500,'당기원장'!$J$5:$J$1004,"확인 필요"))</x:f>
      </x:c>
      <x:c r="K500" s="85" t="str">
        <x:f>IF(A500="","",IF(H500&lt;&gt;"원인분석 대상","",IF(J500&gt;0,"붙임 문서 확인 후 원인 확정 필요","결의서명 기반 원인분류 검토")))</x:f>
      </x:c>
    </x:row>
    <x:row r="501">
      <x:c r="A501" s="73" t="str">
        <x:f>IFERROR(INDEX('계산도우미'!$B$5:$B$2004,MATCH(ROWS($A$5:A501),'계산도우미'!$K$5:$K$2004,0)),"")</x:f>
      </x:c>
      <x:c r="B501" s="73" t="str">
        <x:f>IF(A501="","",IFERROR(INDEX('당기원장'!$B$5:$B$1004,MATCH(A501,'당기원장'!$A$5:$A$1004,0)),IFERROR(INDEX('전기원장'!$B$5:$B$1004,MATCH(A501,'전기원장'!$A$5:$A$1004,0)),"")))</x:f>
      </x:c>
      <x:c r="C501" s="75" t="str">
        <x:f>IF(A501="","",SUMIF('전기원장'!$A$5:$A$1004,A501,'전기원장'!$H$5:$H$1004))</x:f>
      </x:c>
      <x:c r="D501" s="75" t="str">
        <x:f>IF(A501="","",SUMIF('당기원장'!$A$5:$A$1004,A501,'당기원장'!$H$5:$H$1004))</x:f>
      </x:c>
      <x:c r="E501" s="75" t="str">
        <x:f>IF(A501="","",D501-C501)</x:f>
      </x:c>
      <x:c r="F501" s="88" t="str">
        <x:f>IF(A501="","",IF(C501=0,IF(D501=0,0,1),ABS(E501)/ABS(C501)))</x:f>
      </x:c>
      <x:c r="G501" s="73" t="str">
        <x:f>IF(A501="","",IF(AND(C501=0,D501&lt;&gt;0),"신규",IF(AND(C501&lt;&gt;0,D501=0),"소멸",IF(E501=0,"변동없음","금액변동"))))</x:f>
      </x:c>
      <x:c r="H501" s="73" t="str">
        <x:f>IF(A501="","",IF(AND(ABS(E501)&gt;='기준설정'!$B$6,OR(G501="신규",G501="소멸",F501&gt;='기준설정'!$B$5)),"원인분석 대상","일반"))</x:f>
      </x:c>
      <x:c r="I501" s="73" t="str">
        <x:f>IF(A501="","",IF(H501="원인분석 대상","세부원인분석 시트에서 거래별 원인을 검토","-"))</x:f>
      </x:c>
      <x:c r="J501" s="73" t="str">
        <x:f>IF(A501="","",COUNTIFS('전기원장'!$A$5:$A$1004,A501,'전기원장'!$J$5:$J$1004,"확인 필요")+COUNTIFS('당기원장'!$A$5:$A$1004,A501,'당기원장'!$J$5:$J$1004,"확인 필요"))</x:f>
      </x:c>
      <x:c r="K501" s="85" t="str">
        <x:f>IF(A501="","",IF(H501&lt;&gt;"원인분석 대상","",IF(J501&gt;0,"붙임 문서 확인 후 원인 확정 필요","결의서명 기반 원인분류 검토")))</x:f>
      </x:c>
    </x:row>
    <x:row r="502">
      <x:c r="A502" s="73" t="str">
        <x:f>IFERROR(INDEX('계산도우미'!$B$5:$B$2004,MATCH(ROWS($A$5:A502),'계산도우미'!$K$5:$K$2004,0)),"")</x:f>
      </x:c>
      <x:c r="B502" s="73" t="str">
        <x:f>IF(A502="","",IFERROR(INDEX('당기원장'!$B$5:$B$1004,MATCH(A502,'당기원장'!$A$5:$A$1004,0)),IFERROR(INDEX('전기원장'!$B$5:$B$1004,MATCH(A502,'전기원장'!$A$5:$A$1004,0)),"")))</x:f>
      </x:c>
      <x:c r="C502" s="75" t="str">
        <x:f>IF(A502="","",SUMIF('전기원장'!$A$5:$A$1004,A502,'전기원장'!$H$5:$H$1004))</x:f>
      </x:c>
      <x:c r="D502" s="75" t="str">
        <x:f>IF(A502="","",SUMIF('당기원장'!$A$5:$A$1004,A502,'당기원장'!$H$5:$H$1004))</x:f>
      </x:c>
      <x:c r="E502" s="75" t="str">
        <x:f>IF(A502="","",D502-C502)</x:f>
      </x:c>
      <x:c r="F502" s="88" t="str">
        <x:f>IF(A502="","",IF(C502=0,IF(D502=0,0,1),ABS(E502)/ABS(C502)))</x:f>
      </x:c>
      <x:c r="G502" s="73" t="str">
        <x:f>IF(A502="","",IF(AND(C502=0,D502&lt;&gt;0),"신규",IF(AND(C502&lt;&gt;0,D502=0),"소멸",IF(E502=0,"변동없음","금액변동"))))</x:f>
      </x:c>
      <x:c r="H502" s="73" t="str">
        <x:f>IF(A502="","",IF(AND(ABS(E502)&gt;='기준설정'!$B$6,OR(G502="신규",G502="소멸",F502&gt;='기준설정'!$B$5)),"원인분석 대상","일반"))</x:f>
      </x:c>
      <x:c r="I502" s="73" t="str">
        <x:f>IF(A502="","",IF(H502="원인분석 대상","세부원인분석 시트에서 거래별 원인을 검토","-"))</x:f>
      </x:c>
      <x:c r="J502" s="73" t="str">
        <x:f>IF(A502="","",COUNTIFS('전기원장'!$A$5:$A$1004,A502,'전기원장'!$J$5:$J$1004,"확인 필요")+COUNTIFS('당기원장'!$A$5:$A$1004,A502,'당기원장'!$J$5:$J$1004,"확인 필요"))</x:f>
      </x:c>
      <x:c r="K502" s="85" t="str">
        <x:f>IF(A502="","",IF(H502&lt;&gt;"원인분석 대상","",IF(J502&gt;0,"붙임 문서 확인 후 원인 확정 필요","결의서명 기반 원인분류 검토")))</x:f>
      </x:c>
    </x:row>
    <x:row r="503">
      <x:c r="A503" s="73" t="str">
        <x:f>IFERROR(INDEX('계산도우미'!$B$5:$B$2004,MATCH(ROWS($A$5:A503),'계산도우미'!$K$5:$K$2004,0)),"")</x:f>
      </x:c>
      <x:c r="B503" s="73" t="str">
        <x:f>IF(A503="","",IFERROR(INDEX('당기원장'!$B$5:$B$1004,MATCH(A503,'당기원장'!$A$5:$A$1004,0)),IFERROR(INDEX('전기원장'!$B$5:$B$1004,MATCH(A503,'전기원장'!$A$5:$A$1004,0)),"")))</x:f>
      </x:c>
      <x:c r="C503" s="75" t="str">
        <x:f>IF(A503="","",SUMIF('전기원장'!$A$5:$A$1004,A503,'전기원장'!$H$5:$H$1004))</x:f>
      </x:c>
      <x:c r="D503" s="75" t="str">
        <x:f>IF(A503="","",SUMIF('당기원장'!$A$5:$A$1004,A503,'당기원장'!$H$5:$H$1004))</x:f>
      </x:c>
      <x:c r="E503" s="75" t="str">
        <x:f>IF(A503="","",D503-C503)</x:f>
      </x:c>
      <x:c r="F503" s="88" t="str">
        <x:f>IF(A503="","",IF(C503=0,IF(D503=0,0,1),ABS(E503)/ABS(C503)))</x:f>
      </x:c>
      <x:c r="G503" s="73" t="str">
        <x:f>IF(A503="","",IF(AND(C503=0,D503&lt;&gt;0),"신규",IF(AND(C503&lt;&gt;0,D503=0),"소멸",IF(E503=0,"변동없음","금액변동"))))</x:f>
      </x:c>
      <x:c r="H503" s="73" t="str">
        <x:f>IF(A503="","",IF(AND(ABS(E503)&gt;='기준설정'!$B$6,OR(G503="신규",G503="소멸",F503&gt;='기준설정'!$B$5)),"원인분석 대상","일반"))</x:f>
      </x:c>
      <x:c r="I503" s="73" t="str">
        <x:f>IF(A503="","",IF(H503="원인분석 대상","세부원인분석 시트에서 거래별 원인을 검토","-"))</x:f>
      </x:c>
      <x:c r="J503" s="73" t="str">
        <x:f>IF(A503="","",COUNTIFS('전기원장'!$A$5:$A$1004,A503,'전기원장'!$J$5:$J$1004,"확인 필요")+COUNTIFS('당기원장'!$A$5:$A$1004,A503,'당기원장'!$J$5:$J$1004,"확인 필요"))</x:f>
      </x:c>
      <x:c r="K503" s="85" t="str">
        <x:f>IF(A503="","",IF(H503&lt;&gt;"원인분석 대상","",IF(J503&gt;0,"붙임 문서 확인 후 원인 확정 필요","결의서명 기반 원인분류 검토")))</x:f>
      </x:c>
    </x:row>
    <x:row r="504">
      <x:c r="A504" s="73" t="str">
        <x:f>IFERROR(INDEX('계산도우미'!$B$5:$B$2004,MATCH(ROWS($A$5:A504),'계산도우미'!$K$5:$K$2004,0)),"")</x:f>
      </x:c>
      <x:c r="B504" s="73" t="str">
        <x:f>IF(A504="","",IFERROR(INDEX('당기원장'!$B$5:$B$1004,MATCH(A504,'당기원장'!$A$5:$A$1004,0)),IFERROR(INDEX('전기원장'!$B$5:$B$1004,MATCH(A504,'전기원장'!$A$5:$A$1004,0)),"")))</x:f>
      </x:c>
      <x:c r="C504" s="75" t="str">
        <x:f>IF(A504="","",SUMIF('전기원장'!$A$5:$A$1004,A504,'전기원장'!$H$5:$H$1004))</x:f>
      </x:c>
      <x:c r="D504" s="75" t="str">
        <x:f>IF(A504="","",SUMIF('당기원장'!$A$5:$A$1004,A504,'당기원장'!$H$5:$H$1004))</x:f>
      </x:c>
      <x:c r="E504" s="75" t="str">
        <x:f>IF(A504="","",D504-C504)</x:f>
      </x:c>
      <x:c r="F504" s="88" t="str">
        <x:f>IF(A504="","",IF(C504=0,IF(D504=0,0,1),ABS(E504)/ABS(C504)))</x:f>
      </x:c>
      <x:c r="G504" s="73" t="str">
        <x:f>IF(A504="","",IF(AND(C504=0,D504&lt;&gt;0),"신규",IF(AND(C504&lt;&gt;0,D504=0),"소멸",IF(E504=0,"변동없음","금액변동"))))</x:f>
      </x:c>
      <x:c r="H504" s="73" t="str">
        <x:f>IF(A504="","",IF(AND(ABS(E504)&gt;='기준설정'!$B$6,OR(G504="신규",G504="소멸",F504&gt;='기준설정'!$B$5)),"원인분석 대상","일반"))</x:f>
      </x:c>
      <x:c r="I504" s="73" t="str">
        <x:f>IF(A504="","",IF(H504="원인분석 대상","세부원인분석 시트에서 거래별 원인을 검토","-"))</x:f>
      </x:c>
      <x:c r="J504" s="73" t="str">
        <x:f>IF(A504="","",COUNTIFS('전기원장'!$A$5:$A$1004,A504,'전기원장'!$J$5:$J$1004,"확인 필요")+COUNTIFS('당기원장'!$A$5:$A$1004,A504,'당기원장'!$J$5:$J$1004,"확인 필요"))</x:f>
      </x:c>
      <x:c r="K504" s="85" t="str">
        <x:f>IF(A504="","",IF(H504&lt;&gt;"원인분석 대상","",IF(J504&gt;0,"붙임 문서 확인 후 원인 확정 필요","결의서명 기반 원인분류 검토")))</x:f>
      </x:c>
    </x:row>
    <x:row r="505">
      <x:c r="A505" s="73" t="str">
        <x:f>IFERROR(INDEX('계산도우미'!$B$5:$B$2004,MATCH(ROWS($A$5:A505),'계산도우미'!$K$5:$K$2004,0)),"")</x:f>
      </x:c>
      <x:c r="B505" s="73" t="str">
        <x:f>IF(A505="","",IFERROR(INDEX('당기원장'!$B$5:$B$1004,MATCH(A505,'당기원장'!$A$5:$A$1004,0)),IFERROR(INDEX('전기원장'!$B$5:$B$1004,MATCH(A505,'전기원장'!$A$5:$A$1004,0)),"")))</x:f>
      </x:c>
      <x:c r="C505" s="75" t="str">
        <x:f>IF(A505="","",SUMIF('전기원장'!$A$5:$A$1004,A505,'전기원장'!$H$5:$H$1004))</x:f>
      </x:c>
      <x:c r="D505" s="75" t="str">
        <x:f>IF(A505="","",SUMIF('당기원장'!$A$5:$A$1004,A505,'당기원장'!$H$5:$H$1004))</x:f>
      </x:c>
      <x:c r="E505" s="75" t="str">
        <x:f>IF(A505="","",D505-C505)</x:f>
      </x:c>
      <x:c r="F505" s="88" t="str">
        <x:f>IF(A505="","",IF(C505=0,IF(D505=0,0,1),ABS(E505)/ABS(C505)))</x:f>
      </x:c>
      <x:c r="G505" s="73" t="str">
        <x:f>IF(A505="","",IF(AND(C505=0,D505&lt;&gt;0),"신규",IF(AND(C505&lt;&gt;0,D505=0),"소멸",IF(E505=0,"변동없음","금액변동"))))</x:f>
      </x:c>
      <x:c r="H505" s="73" t="str">
        <x:f>IF(A505="","",IF(AND(ABS(E505)&gt;='기준설정'!$B$6,OR(G505="신규",G505="소멸",F505&gt;='기준설정'!$B$5)),"원인분석 대상","일반"))</x:f>
      </x:c>
      <x:c r="I505" s="73" t="str">
        <x:f>IF(A505="","",IF(H505="원인분석 대상","세부원인분석 시트에서 거래별 원인을 검토","-"))</x:f>
      </x:c>
      <x:c r="J505" s="73" t="str">
        <x:f>IF(A505="","",COUNTIFS('전기원장'!$A$5:$A$1004,A505,'전기원장'!$J$5:$J$1004,"확인 필요")+COUNTIFS('당기원장'!$A$5:$A$1004,A505,'당기원장'!$J$5:$J$1004,"확인 필요"))</x:f>
      </x:c>
      <x:c r="K505" s="85" t="str">
        <x:f>IF(A505="","",IF(H505&lt;&gt;"원인분석 대상","",IF(J505&gt;0,"붙임 문서 확인 후 원인 확정 필요","결의서명 기반 원인분류 검토")))</x:f>
      </x:c>
    </x:row>
    <x:row r="506">
      <x:c r="A506" s="73" t="str">
        <x:f>IFERROR(INDEX('계산도우미'!$B$5:$B$2004,MATCH(ROWS($A$5:A506),'계산도우미'!$K$5:$K$2004,0)),"")</x:f>
      </x:c>
      <x:c r="B506" s="73" t="str">
        <x:f>IF(A506="","",IFERROR(INDEX('당기원장'!$B$5:$B$1004,MATCH(A506,'당기원장'!$A$5:$A$1004,0)),IFERROR(INDEX('전기원장'!$B$5:$B$1004,MATCH(A506,'전기원장'!$A$5:$A$1004,0)),"")))</x:f>
      </x:c>
      <x:c r="C506" s="75" t="str">
        <x:f>IF(A506="","",SUMIF('전기원장'!$A$5:$A$1004,A506,'전기원장'!$H$5:$H$1004))</x:f>
      </x:c>
      <x:c r="D506" s="75" t="str">
        <x:f>IF(A506="","",SUMIF('당기원장'!$A$5:$A$1004,A506,'당기원장'!$H$5:$H$1004))</x:f>
      </x:c>
      <x:c r="E506" s="75" t="str">
        <x:f>IF(A506="","",D506-C506)</x:f>
      </x:c>
      <x:c r="F506" s="88" t="str">
        <x:f>IF(A506="","",IF(C506=0,IF(D506=0,0,1),ABS(E506)/ABS(C506)))</x:f>
      </x:c>
      <x:c r="G506" s="73" t="str">
        <x:f>IF(A506="","",IF(AND(C506=0,D506&lt;&gt;0),"신규",IF(AND(C506&lt;&gt;0,D506=0),"소멸",IF(E506=0,"변동없음","금액변동"))))</x:f>
      </x:c>
      <x:c r="H506" s="73" t="str">
        <x:f>IF(A506="","",IF(AND(ABS(E506)&gt;='기준설정'!$B$6,OR(G506="신규",G506="소멸",F506&gt;='기준설정'!$B$5)),"원인분석 대상","일반"))</x:f>
      </x:c>
      <x:c r="I506" s="73" t="str">
        <x:f>IF(A506="","",IF(H506="원인분석 대상","세부원인분석 시트에서 거래별 원인을 검토","-"))</x:f>
      </x:c>
      <x:c r="J506" s="73" t="str">
        <x:f>IF(A506="","",COUNTIFS('전기원장'!$A$5:$A$1004,A506,'전기원장'!$J$5:$J$1004,"확인 필요")+COUNTIFS('당기원장'!$A$5:$A$1004,A506,'당기원장'!$J$5:$J$1004,"확인 필요"))</x:f>
      </x:c>
      <x:c r="K506" s="85" t="str">
        <x:f>IF(A506="","",IF(H506&lt;&gt;"원인분석 대상","",IF(J506&gt;0,"붙임 문서 확인 후 원인 확정 필요","결의서명 기반 원인분류 검토")))</x:f>
      </x:c>
    </x:row>
    <x:row r="507">
      <x:c r="A507" s="73" t="str">
        <x:f>IFERROR(INDEX('계산도우미'!$B$5:$B$2004,MATCH(ROWS($A$5:A507),'계산도우미'!$K$5:$K$2004,0)),"")</x:f>
      </x:c>
      <x:c r="B507" s="73" t="str">
        <x:f>IF(A507="","",IFERROR(INDEX('당기원장'!$B$5:$B$1004,MATCH(A507,'당기원장'!$A$5:$A$1004,0)),IFERROR(INDEX('전기원장'!$B$5:$B$1004,MATCH(A507,'전기원장'!$A$5:$A$1004,0)),"")))</x:f>
      </x:c>
      <x:c r="C507" s="75" t="str">
        <x:f>IF(A507="","",SUMIF('전기원장'!$A$5:$A$1004,A507,'전기원장'!$H$5:$H$1004))</x:f>
      </x:c>
      <x:c r="D507" s="75" t="str">
        <x:f>IF(A507="","",SUMIF('당기원장'!$A$5:$A$1004,A507,'당기원장'!$H$5:$H$1004))</x:f>
      </x:c>
      <x:c r="E507" s="75" t="str">
        <x:f>IF(A507="","",D507-C507)</x:f>
      </x:c>
      <x:c r="F507" s="88" t="str">
        <x:f>IF(A507="","",IF(C507=0,IF(D507=0,0,1),ABS(E507)/ABS(C507)))</x:f>
      </x:c>
      <x:c r="G507" s="73" t="str">
        <x:f>IF(A507="","",IF(AND(C507=0,D507&lt;&gt;0),"신규",IF(AND(C507&lt;&gt;0,D507=0),"소멸",IF(E507=0,"변동없음","금액변동"))))</x:f>
      </x:c>
      <x:c r="H507" s="73" t="str">
        <x:f>IF(A507="","",IF(AND(ABS(E507)&gt;='기준설정'!$B$6,OR(G507="신규",G507="소멸",F507&gt;='기준설정'!$B$5)),"원인분석 대상","일반"))</x:f>
      </x:c>
      <x:c r="I507" s="73" t="str">
        <x:f>IF(A507="","",IF(H507="원인분석 대상","세부원인분석 시트에서 거래별 원인을 검토","-"))</x:f>
      </x:c>
      <x:c r="J507" s="73" t="str">
        <x:f>IF(A507="","",COUNTIFS('전기원장'!$A$5:$A$1004,A507,'전기원장'!$J$5:$J$1004,"확인 필요")+COUNTIFS('당기원장'!$A$5:$A$1004,A507,'당기원장'!$J$5:$J$1004,"확인 필요"))</x:f>
      </x:c>
      <x:c r="K507" s="85" t="str">
        <x:f>IF(A507="","",IF(H507&lt;&gt;"원인분석 대상","",IF(J507&gt;0,"붙임 문서 확인 후 원인 확정 필요","결의서명 기반 원인분류 검토")))</x:f>
      </x:c>
    </x:row>
    <x:row r="508">
      <x:c r="A508" s="73" t="str">
        <x:f>IFERROR(INDEX('계산도우미'!$B$5:$B$2004,MATCH(ROWS($A$5:A508),'계산도우미'!$K$5:$K$2004,0)),"")</x:f>
      </x:c>
      <x:c r="B508" s="73" t="str">
        <x:f>IF(A508="","",IFERROR(INDEX('당기원장'!$B$5:$B$1004,MATCH(A508,'당기원장'!$A$5:$A$1004,0)),IFERROR(INDEX('전기원장'!$B$5:$B$1004,MATCH(A508,'전기원장'!$A$5:$A$1004,0)),"")))</x:f>
      </x:c>
      <x:c r="C508" s="75" t="str">
        <x:f>IF(A508="","",SUMIF('전기원장'!$A$5:$A$1004,A508,'전기원장'!$H$5:$H$1004))</x:f>
      </x:c>
      <x:c r="D508" s="75" t="str">
        <x:f>IF(A508="","",SUMIF('당기원장'!$A$5:$A$1004,A508,'당기원장'!$H$5:$H$1004))</x:f>
      </x:c>
      <x:c r="E508" s="75" t="str">
        <x:f>IF(A508="","",D508-C508)</x:f>
      </x:c>
      <x:c r="F508" s="88" t="str">
        <x:f>IF(A508="","",IF(C508=0,IF(D508=0,0,1),ABS(E508)/ABS(C508)))</x:f>
      </x:c>
      <x:c r="G508" s="73" t="str">
        <x:f>IF(A508="","",IF(AND(C508=0,D508&lt;&gt;0),"신규",IF(AND(C508&lt;&gt;0,D508=0),"소멸",IF(E508=0,"변동없음","금액변동"))))</x:f>
      </x:c>
      <x:c r="H508" s="73" t="str">
        <x:f>IF(A508="","",IF(AND(ABS(E508)&gt;='기준설정'!$B$6,OR(G508="신규",G508="소멸",F508&gt;='기준설정'!$B$5)),"원인분석 대상","일반"))</x:f>
      </x:c>
      <x:c r="I508" s="73" t="str">
        <x:f>IF(A508="","",IF(H508="원인분석 대상","세부원인분석 시트에서 거래별 원인을 검토","-"))</x:f>
      </x:c>
      <x:c r="J508" s="73" t="str">
        <x:f>IF(A508="","",COUNTIFS('전기원장'!$A$5:$A$1004,A508,'전기원장'!$J$5:$J$1004,"확인 필요")+COUNTIFS('당기원장'!$A$5:$A$1004,A508,'당기원장'!$J$5:$J$1004,"확인 필요"))</x:f>
      </x:c>
      <x:c r="K508" s="85" t="str">
        <x:f>IF(A508="","",IF(H508&lt;&gt;"원인분석 대상","",IF(J508&gt;0,"붙임 문서 확인 후 원인 확정 필요","결의서명 기반 원인분류 검토")))</x:f>
      </x:c>
    </x:row>
    <x:row r="509">
      <x:c r="A509" s="73" t="str">
        <x:f>IFERROR(INDEX('계산도우미'!$B$5:$B$2004,MATCH(ROWS($A$5:A509),'계산도우미'!$K$5:$K$2004,0)),"")</x:f>
      </x:c>
      <x:c r="B509" s="73" t="str">
        <x:f>IF(A509="","",IFERROR(INDEX('당기원장'!$B$5:$B$1004,MATCH(A509,'당기원장'!$A$5:$A$1004,0)),IFERROR(INDEX('전기원장'!$B$5:$B$1004,MATCH(A509,'전기원장'!$A$5:$A$1004,0)),"")))</x:f>
      </x:c>
      <x:c r="C509" s="75" t="str">
        <x:f>IF(A509="","",SUMIF('전기원장'!$A$5:$A$1004,A509,'전기원장'!$H$5:$H$1004))</x:f>
      </x:c>
      <x:c r="D509" s="75" t="str">
        <x:f>IF(A509="","",SUMIF('당기원장'!$A$5:$A$1004,A509,'당기원장'!$H$5:$H$1004))</x:f>
      </x:c>
      <x:c r="E509" s="75" t="str">
        <x:f>IF(A509="","",D509-C509)</x:f>
      </x:c>
      <x:c r="F509" s="88" t="str">
        <x:f>IF(A509="","",IF(C509=0,IF(D509=0,0,1),ABS(E509)/ABS(C509)))</x:f>
      </x:c>
      <x:c r="G509" s="73" t="str">
        <x:f>IF(A509="","",IF(AND(C509=0,D509&lt;&gt;0),"신규",IF(AND(C509&lt;&gt;0,D509=0),"소멸",IF(E509=0,"변동없음","금액변동"))))</x:f>
      </x:c>
      <x:c r="H509" s="73" t="str">
        <x:f>IF(A509="","",IF(AND(ABS(E509)&gt;='기준설정'!$B$6,OR(G509="신규",G509="소멸",F509&gt;='기준설정'!$B$5)),"원인분석 대상","일반"))</x:f>
      </x:c>
      <x:c r="I509" s="73" t="str">
        <x:f>IF(A509="","",IF(H509="원인분석 대상","세부원인분석 시트에서 거래별 원인을 검토","-"))</x:f>
      </x:c>
      <x:c r="J509" s="73" t="str">
        <x:f>IF(A509="","",COUNTIFS('전기원장'!$A$5:$A$1004,A509,'전기원장'!$J$5:$J$1004,"확인 필요")+COUNTIFS('당기원장'!$A$5:$A$1004,A509,'당기원장'!$J$5:$J$1004,"확인 필요"))</x:f>
      </x:c>
      <x:c r="K509" s="85" t="str">
        <x:f>IF(A509="","",IF(H509&lt;&gt;"원인분석 대상","",IF(J509&gt;0,"붙임 문서 확인 후 원인 확정 필요","결의서명 기반 원인분류 검토")))</x:f>
      </x:c>
    </x:row>
    <x:row r="510">
      <x:c r="A510" s="73" t="str">
        <x:f>IFERROR(INDEX('계산도우미'!$B$5:$B$2004,MATCH(ROWS($A$5:A510),'계산도우미'!$K$5:$K$2004,0)),"")</x:f>
      </x:c>
      <x:c r="B510" s="73" t="str">
        <x:f>IF(A510="","",IFERROR(INDEX('당기원장'!$B$5:$B$1004,MATCH(A510,'당기원장'!$A$5:$A$1004,0)),IFERROR(INDEX('전기원장'!$B$5:$B$1004,MATCH(A510,'전기원장'!$A$5:$A$1004,0)),"")))</x:f>
      </x:c>
      <x:c r="C510" s="75" t="str">
        <x:f>IF(A510="","",SUMIF('전기원장'!$A$5:$A$1004,A510,'전기원장'!$H$5:$H$1004))</x:f>
      </x:c>
      <x:c r="D510" s="75" t="str">
        <x:f>IF(A510="","",SUMIF('당기원장'!$A$5:$A$1004,A510,'당기원장'!$H$5:$H$1004))</x:f>
      </x:c>
      <x:c r="E510" s="75" t="str">
        <x:f>IF(A510="","",D510-C510)</x:f>
      </x:c>
      <x:c r="F510" s="88" t="str">
        <x:f>IF(A510="","",IF(C510=0,IF(D510=0,0,1),ABS(E510)/ABS(C510)))</x:f>
      </x:c>
      <x:c r="G510" s="73" t="str">
        <x:f>IF(A510="","",IF(AND(C510=0,D510&lt;&gt;0),"신규",IF(AND(C510&lt;&gt;0,D510=0),"소멸",IF(E510=0,"변동없음","금액변동"))))</x:f>
      </x:c>
      <x:c r="H510" s="73" t="str">
        <x:f>IF(A510="","",IF(AND(ABS(E510)&gt;='기준설정'!$B$6,OR(G510="신규",G510="소멸",F510&gt;='기준설정'!$B$5)),"원인분석 대상","일반"))</x:f>
      </x:c>
      <x:c r="I510" s="73" t="str">
        <x:f>IF(A510="","",IF(H510="원인분석 대상","세부원인분석 시트에서 거래별 원인을 검토","-"))</x:f>
      </x:c>
      <x:c r="J510" s="73" t="str">
        <x:f>IF(A510="","",COUNTIFS('전기원장'!$A$5:$A$1004,A510,'전기원장'!$J$5:$J$1004,"확인 필요")+COUNTIFS('당기원장'!$A$5:$A$1004,A510,'당기원장'!$J$5:$J$1004,"확인 필요"))</x:f>
      </x:c>
      <x:c r="K510" s="85" t="str">
        <x:f>IF(A510="","",IF(H510&lt;&gt;"원인분석 대상","",IF(J510&gt;0,"붙임 문서 확인 후 원인 확정 필요","결의서명 기반 원인분류 검토")))</x:f>
      </x:c>
    </x:row>
    <x:row r="511">
      <x:c r="A511" s="73" t="str">
        <x:f>IFERROR(INDEX('계산도우미'!$B$5:$B$2004,MATCH(ROWS($A$5:A511),'계산도우미'!$K$5:$K$2004,0)),"")</x:f>
      </x:c>
      <x:c r="B511" s="73" t="str">
        <x:f>IF(A511="","",IFERROR(INDEX('당기원장'!$B$5:$B$1004,MATCH(A511,'당기원장'!$A$5:$A$1004,0)),IFERROR(INDEX('전기원장'!$B$5:$B$1004,MATCH(A511,'전기원장'!$A$5:$A$1004,0)),"")))</x:f>
      </x:c>
      <x:c r="C511" s="75" t="str">
        <x:f>IF(A511="","",SUMIF('전기원장'!$A$5:$A$1004,A511,'전기원장'!$H$5:$H$1004))</x:f>
      </x:c>
      <x:c r="D511" s="75" t="str">
        <x:f>IF(A511="","",SUMIF('당기원장'!$A$5:$A$1004,A511,'당기원장'!$H$5:$H$1004))</x:f>
      </x:c>
      <x:c r="E511" s="75" t="str">
        <x:f>IF(A511="","",D511-C511)</x:f>
      </x:c>
      <x:c r="F511" s="88" t="str">
        <x:f>IF(A511="","",IF(C511=0,IF(D511=0,0,1),ABS(E511)/ABS(C511)))</x:f>
      </x:c>
      <x:c r="G511" s="73" t="str">
        <x:f>IF(A511="","",IF(AND(C511=0,D511&lt;&gt;0),"신규",IF(AND(C511&lt;&gt;0,D511=0),"소멸",IF(E511=0,"변동없음","금액변동"))))</x:f>
      </x:c>
      <x:c r="H511" s="73" t="str">
        <x:f>IF(A511="","",IF(AND(ABS(E511)&gt;='기준설정'!$B$6,OR(G511="신규",G511="소멸",F511&gt;='기준설정'!$B$5)),"원인분석 대상","일반"))</x:f>
      </x:c>
      <x:c r="I511" s="73" t="str">
        <x:f>IF(A511="","",IF(H511="원인분석 대상","세부원인분석 시트에서 거래별 원인을 검토","-"))</x:f>
      </x:c>
      <x:c r="J511" s="73" t="str">
        <x:f>IF(A511="","",COUNTIFS('전기원장'!$A$5:$A$1004,A511,'전기원장'!$J$5:$J$1004,"확인 필요")+COUNTIFS('당기원장'!$A$5:$A$1004,A511,'당기원장'!$J$5:$J$1004,"확인 필요"))</x:f>
      </x:c>
      <x:c r="K511" s="85" t="str">
        <x:f>IF(A511="","",IF(H511&lt;&gt;"원인분석 대상","",IF(J511&gt;0,"붙임 문서 확인 후 원인 확정 필요","결의서명 기반 원인분류 검토")))</x:f>
      </x:c>
    </x:row>
    <x:row r="512">
      <x:c r="A512" s="73" t="str">
        <x:f>IFERROR(INDEX('계산도우미'!$B$5:$B$2004,MATCH(ROWS($A$5:A512),'계산도우미'!$K$5:$K$2004,0)),"")</x:f>
      </x:c>
      <x:c r="B512" s="73" t="str">
        <x:f>IF(A512="","",IFERROR(INDEX('당기원장'!$B$5:$B$1004,MATCH(A512,'당기원장'!$A$5:$A$1004,0)),IFERROR(INDEX('전기원장'!$B$5:$B$1004,MATCH(A512,'전기원장'!$A$5:$A$1004,0)),"")))</x:f>
      </x:c>
      <x:c r="C512" s="75" t="str">
        <x:f>IF(A512="","",SUMIF('전기원장'!$A$5:$A$1004,A512,'전기원장'!$H$5:$H$1004))</x:f>
      </x:c>
      <x:c r="D512" s="75" t="str">
        <x:f>IF(A512="","",SUMIF('당기원장'!$A$5:$A$1004,A512,'당기원장'!$H$5:$H$1004))</x:f>
      </x:c>
      <x:c r="E512" s="75" t="str">
        <x:f>IF(A512="","",D512-C512)</x:f>
      </x:c>
      <x:c r="F512" s="88" t="str">
        <x:f>IF(A512="","",IF(C512=0,IF(D512=0,0,1),ABS(E512)/ABS(C512)))</x:f>
      </x:c>
      <x:c r="G512" s="73" t="str">
        <x:f>IF(A512="","",IF(AND(C512=0,D512&lt;&gt;0),"신규",IF(AND(C512&lt;&gt;0,D512=0),"소멸",IF(E512=0,"변동없음","금액변동"))))</x:f>
      </x:c>
      <x:c r="H512" s="73" t="str">
        <x:f>IF(A512="","",IF(AND(ABS(E512)&gt;='기준설정'!$B$6,OR(G512="신규",G512="소멸",F512&gt;='기준설정'!$B$5)),"원인분석 대상","일반"))</x:f>
      </x:c>
      <x:c r="I512" s="73" t="str">
        <x:f>IF(A512="","",IF(H512="원인분석 대상","세부원인분석 시트에서 거래별 원인을 검토","-"))</x:f>
      </x:c>
      <x:c r="J512" s="73" t="str">
        <x:f>IF(A512="","",COUNTIFS('전기원장'!$A$5:$A$1004,A512,'전기원장'!$J$5:$J$1004,"확인 필요")+COUNTIFS('당기원장'!$A$5:$A$1004,A512,'당기원장'!$J$5:$J$1004,"확인 필요"))</x:f>
      </x:c>
      <x:c r="K512" s="85" t="str">
        <x:f>IF(A512="","",IF(H512&lt;&gt;"원인분석 대상","",IF(J512&gt;0,"붙임 문서 확인 후 원인 확정 필요","결의서명 기반 원인분류 검토")))</x:f>
      </x:c>
    </x:row>
    <x:row r="513">
      <x:c r="A513" s="73" t="str">
        <x:f>IFERROR(INDEX('계산도우미'!$B$5:$B$2004,MATCH(ROWS($A$5:A513),'계산도우미'!$K$5:$K$2004,0)),"")</x:f>
      </x:c>
      <x:c r="B513" s="73" t="str">
        <x:f>IF(A513="","",IFERROR(INDEX('당기원장'!$B$5:$B$1004,MATCH(A513,'당기원장'!$A$5:$A$1004,0)),IFERROR(INDEX('전기원장'!$B$5:$B$1004,MATCH(A513,'전기원장'!$A$5:$A$1004,0)),"")))</x:f>
      </x:c>
      <x:c r="C513" s="75" t="str">
        <x:f>IF(A513="","",SUMIF('전기원장'!$A$5:$A$1004,A513,'전기원장'!$H$5:$H$1004))</x:f>
      </x:c>
      <x:c r="D513" s="75" t="str">
        <x:f>IF(A513="","",SUMIF('당기원장'!$A$5:$A$1004,A513,'당기원장'!$H$5:$H$1004))</x:f>
      </x:c>
      <x:c r="E513" s="75" t="str">
        <x:f>IF(A513="","",D513-C513)</x:f>
      </x:c>
      <x:c r="F513" s="88" t="str">
        <x:f>IF(A513="","",IF(C513=0,IF(D513=0,0,1),ABS(E513)/ABS(C513)))</x:f>
      </x:c>
      <x:c r="G513" s="73" t="str">
        <x:f>IF(A513="","",IF(AND(C513=0,D513&lt;&gt;0),"신규",IF(AND(C513&lt;&gt;0,D513=0),"소멸",IF(E513=0,"변동없음","금액변동"))))</x:f>
      </x:c>
      <x:c r="H513" s="73" t="str">
        <x:f>IF(A513="","",IF(AND(ABS(E513)&gt;='기준설정'!$B$6,OR(G513="신규",G513="소멸",F513&gt;='기준설정'!$B$5)),"원인분석 대상","일반"))</x:f>
      </x:c>
      <x:c r="I513" s="73" t="str">
        <x:f>IF(A513="","",IF(H513="원인분석 대상","세부원인분석 시트에서 거래별 원인을 검토","-"))</x:f>
      </x:c>
      <x:c r="J513" s="73" t="str">
        <x:f>IF(A513="","",COUNTIFS('전기원장'!$A$5:$A$1004,A513,'전기원장'!$J$5:$J$1004,"확인 필요")+COUNTIFS('당기원장'!$A$5:$A$1004,A513,'당기원장'!$J$5:$J$1004,"확인 필요"))</x:f>
      </x:c>
      <x:c r="K513" s="85" t="str">
        <x:f>IF(A513="","",IF(H513&lt;&gt;"원인분석 대상","",IF(J513&gt;0,"붙임 문서 확인 후 원인 확정 필요","결의서명 기반 원인분류 검토")))</x:f>
      </x:c>
    </x:row>
    <x:row r="514">
      <x:c r="A514" s="73" t="str">
        <x:f>IFERROR(INDEX('계산도우미'!$B$5:$B$2004,MATCH(ROWS($A$5:A514),'계산도우미'!$K$5:$K$2004,0)),"")</x:f>
      </x:c>
      <x:c r="B514" s="73" t="str">
        <x:f>IF(A514="","",IFERROR(INDEX('당기원장'!$B$5:$B$1004,MATCH(A514,'당기원장'!$A$5:$A$1004,0)),IFERROR(INDEX('전기원장'!$B$5:$B$1004,MATCH(A514,'전기원장'!$A$5:$A$1004,0)),"")))</x:f>
      </x:c>
      <x:c r="C514" s="75" t="str">
        <x:f>IF(A514="","",SUMIF('전기원장'!$A$5:$A$1004,A514,'전기원장'!$H$5:$H$1004))</x:f>
      </x:c>
      <x:c r="D514" s="75" t="str">
        <x:f>IF(A514="","",SUMIF('당기원장'!$A$5:$A$1004,A514,'당기원장'!$H$5:$H$1004))</x:f>
      </x:c>
      <x:c r="E514" s="75" t="str">
        <x:f>IF(A514="","",D514-C514)</x:f>
      </x:c>
      <x:c r="F514" s="88" t="str">
        <x:f>IF(A514="","",IF(C514=0,IF(D514=0,0,1),ABS(E514)/ABS(C514)))</x:f>
      </x:c>
      <x:c r="G514" s="73" t="str">
        <x:f>IF(A514="","",IF(AND(C514=0,D514&lt;&gt;0),"신규",IF(AND(C514&lt;&gt;0,D514=0),"소멸",IF(E514=0,"변동없음","금액변동"))))</x:f>
      </x:c>
      <x:c r="H514" s="73" t="str">
        <x:f>IF(A514="","",IF(AND(ABS(E514)&gt;='기준설정'!$B$6,OR(G514="신규",G514="소멸",F514&gt;='기준설정'!$B$5)),"원인분석 대상","일반"))</x:f>
      </x:c>
      <x:c r="I514" s="73" t="str">
        <x:f>IF(A514="","",IF(H514="원인분석 대상","세부원인분석 시트에서 거래별 원인을 검토","-"))</x:f>
      </x:c>
      <x:c r="J514" s="73" t="str">
        <x:f>IF(A514="","",COUNTIFS('전기원장'!$A$5:$A$1004,A514,'전기원장'!$J$5:$J$1004,"확인 필요")+COUNTIFS('당기원장'!$A$5:$A$1004,A514,'당기원장'!$J$5:$J$1004,"확인 필요"))</x:f>
      </x:c>
      <x:c r="K514" s="85" t="str">
        <x:f>IF(A514="","",IF(H514&lt;&gt;"원인분석 대상","",IF(J514&gt;0,"붙임 문서 확인 후 원인 확정 필요","결의서명 기반 원인분류 검토")))</x:f>
      </x:c>
    </x:row>
    <x:row r="515">
      <x:c r="A515" s="73" t="str">
        <x:f>IFERROR(INDEX('계산도우미'!$B$5:$B$2004,MATCH(ROWS($A$5:A515),'계산도우미'!$K$5:$K$2004,0)),"")</x:f>
      </x:c>
      <x:c r="B515" s="73" t="str">
        <x:f>IF(A515="","",IFERROR(INDEX('당기원장'!$B$5:$B$1004,MATCH(A515,'당기원장'!$A$5:$A$1004,0)),IFERROR(INDEX('전기원장'!$B$5:$B$1004,MATCH(A515,'전기원장'!$A$5:$A$1004,0)),"")))</x:f>
      </x:c>
      <x:c r="C515" s="75" t="str">
        <x:f>IF(A515="","",SUMIF('전기원장'!$A$5:$A$1004,A515,'전기원장'!$H$5:$H$1004))</x:f>
      </x:c>
      <x:c r="D515" s="75" t="str">
        <x:f>IF(A515="","",SUMIF('당기원장'!$A$5:$A$1004,A515,'당기원장'!$H$5:$H$1004))</x:f>
      </x:c>
      <x:c r="E515" s="75" t="str">
        <x:f>IF(A515="","",D515-C515)</x:f>
      </x:c>
      <x:c r="F515" s="88" t="str">
        <x:f>IF(A515="","",IF(C515=0,IF(D515=0,0,1),ABS(E515)/ABS(C515)))</x:f>
      </x:c>
      <x:c r="G515" s="73" t="str">
        <x:f>IF(A515="","",IF(AND(C515=0,D515&lt;&gt;0),"신규",IF(AND(C515&lt;&gt;0,D515=0),"소멸",IF(E515=0,"변동없음","금액변동"))))</x:f>
      </x:c>
      <x:c r="H515" s="73" t="str">
        <x:f>IF(A515="","",IF(AND(ABS(E515)&gt;='기준설정'!$B$6,OR(G515="신규",G515="소멸",F515&gt;='기준설정'!$B$5)),"원인분석 대상","일반"))</x:f>
      </x:c>
      <x:c r="I515" s="73" t="str">
        <x:f>IF(A515="","",IF(H515="원인분석 대상","세부원인분석 시트에서 거래별 원인을 검토","-"))</x:f>
      </x:c>
      <x:c r="J515" s="73" t="str">
        <x:f>IF(A515="","",COUNTIFS('전기원장'!$A$5:$A$1004,A515,'전기원장'!$J$5:$J$1004,"확인 필요")+COUNTIFS('당기원장'!$A$5:$A$1004,A515,'당기원장'!$J$5:$J$1004,"확인 필요"))</x:f>
      </x:c>
      <x:c r="K515" s="85" t="str">
        <x:f>IF(A515="","",IF(H515&lt;&gt;"원인분석 대상","",IF(J515&gt;0,"붙임 문서 확인 후 원인 확정 필요","결의서명 기반 원인분류 검토")))</x:f>
      </x:c>
    </x:row>
    <x:row r="516">
      <x:c r="A516" s="73" t="str">
        <x:f>IFERROR(INDEX('계산도우미'!$B$5:$B$2004,MATCH(ROWS($A$5:A516),'계산도우미'!$K$5:$K$2004,0)),"")</x:f>
      </x:c>
      <x:c r="B516" s="73" t="str">
        <x:f>IF(A516="","",IFERROR(INDEX('당기원장'!$B$5:$B$1004,MATCH(A516,'당기원장'!$A$5:$A$1004,0)),IFERROR(INDEX('전기원장'!$B$5:$B$1004,MATCH(A516,'전기원장'!$A$5:$A$1004,0)),"")))</x:f>
      </x:c>
      <x:c r="C516" s="75" t="str">
        <x:f>IF(A516="","",SUMIF('전기원장'!$A$5:$A$1004,A516,'전기원장'!$H$5:$H$1004))</x:f>
      </x:c>
      <x:c r="D516" s="75" t="str">
        <x:f>IF(A516="","",SUMIF('당기원장'!$A$5:$A$1004,A516,'당기원장'!$H$5:$H$1004))</x:f>
      </x:c>
      <x:c r="E516" s="75" t="str">
        <x:f>IF(A516="","",D516-C516)</x:f>
      </x:c>
      <x:c r="F516" s="88" t="str">
        <x:f>IF(A516="","",IF(C516=0,IF(D516=0,0,1),ABS(E516)/ABS(C516)))</x:f>
      </x:c>
      <x:c r="G516" s="73" t="str">
        <x:f>IF(A516="","",IF(AND(C516=0,D516&lt;&gt;0),"신규",IF(AND(C516&lt;&gt;0,D516=0),"소멸",IF(E516=0,"변동없음","금액변동"))))</x:f>
      </x:c>
      <x:c r="H516" s="73" t="str">
        <x:f>IF(A516="","",IF(AND(ABS(E516)&gt;='기준설정'!$B$6,OR(G516="신규",G516="소멸",F516&gt;='기준설정'!$B$5)),"원인분석 대상","일반"))</x:f>
      </x:c>
      <x:c r="I516" s="73" t="str">
        <x:f>IF(A516="","",IF(H516="원인분석 대상","세부원인분석 시트에서 거래별 원인을 검토","-"))</x:f>
      </x:c>
      <x:c r="J516" s="73" t="str">
        <x:f>IF(A516="","",COUNTIFS('전기원장'!$A$5:$A$1004,A516,'전기원장'!$J$5:$J$1004,"확인 필요")+COUNTIFS('당기원장'!$A$5:$A$1004,A516,'당기원장'!$J$5:$J$1004,"확인 필요"))</x:f>
      </x:c>
      <x:c r="K516" s="85" t="str">
        <x:f>IF(A516="","",IF(H516&lt;&gt;"원인분석 대상","",IF(J516&gt;0,"붙임 문서 확인 후 원인 확정 필요","결의서명 기반 원인분류 검토")))</x:f>
      </x:c>
    </x:row>
    <x:row r="517">
      <x:c r="A517" s="73" t="str">
        <x:f>IFERROR(INDEX('계산도우미'!$B$5:$B$2004,MATCH(ROWS($A$5:A517),'계산도우미'!$K$5:$K$2004,0)),"")</x:f>
      </x:c>
      <x:c r="B517" s="73" t="str">
        <x:f>IF(A517="","",IFERROR(INDEX('당기원장'!$B$5:$B$1004,MATCH(A517,'당기원장'!$A$5:$A$1004,0)),IFERROR(INDEX('전기원장'!$B$5:$B$1004,MATCH(A517,'전기원장'!$A$5:$A$1004,0)),"")))</x:f>
      </x:c>
      <x:c r="C517" s="75" t="str">
        <x:f>IF(A517="","",SUMIF('전기원장'!$A$5:$A$1004,A517,'전기원장'!$H$5:$H$1004))</x:f>
      </x:c>
      <x:c r="D517" s="75" t="str">
        <x:f>IF(A517="","",SUMIF('당기원장'!$A$5:$A$1004,A517,'당기원장'!$H$5:$H$1004))</x:f>
      </x:c>
      <x:c r="E517" s="75" t="str">
        <x:f>IF(A517="","",D517-C517)</x:f>
      </x:c>
      <x:c r="F517" s="88" t="str">
        <x:f>IF(A517="","",IF(C517=0,IF(D517=0,0,1),ABS(E517)/ABS(C517)))</x:f>
      </x:c>
      <x:c r="G517" s="73" t="str">
        <x:f>IF(A517="","",IF(AND(C517=0,D517&lt;&gt;0),"신규",IF(AND(C517&lt;&gt;0,D517=0),"소멸",IF(E517=0,"변동없음","금액변동"))))</x:f>
      </x:c>
      <x:c r="H517" s="73" t="str">
        <x:f>IF(A517="","",IF(AND(ABS(E517)&gt;='기준설정'!$B$6,OR(G517="신규",G517="소멸",F517&gt;='기준설정'!$B$5)),"원인분석 대상","일반"))</x:f>
      </x:c>
      <x:c r="I517" s="73" t="str">
        <x:f>IF(A517="","",IF(H517="원인분석 대상","세부원인분석 시트에서 거래별 원인을 검토","-"))</x:f>
      </x:c>
      <x:c r="J517" s="73" t="str">
        <x:f>IF(A517="","",COUNTIFS('전기원장'!$A$5:$A$1004,A517,'전기원장'!$J$5:$J$1004,"확인 필요")+COUNTIFS('당기원장'!$A$5:$A$1004,A517,'당기원장'!$J$5:$J$1004,"확인 필요"))</x:f>
      </x:c>
      <x:c r="K517" s="85" t="str">
        <x:f>IF(A517="","",IF(H517&lt;&gt;"원인분석 대상","",IF(J517&gt;0,"붙임 문서 확인 후 원인 확정 필요","결의서명 기반 원인분류 검토")))</x:f>
      </x:c>
    </x:row>
    <x:row r="518">
      <x:c r="A518" s="73" t="str">
        <x:f>IFERROR(INDEX('계산도우미'!$B$5:$B$2004,MATCH(ROWS($A$5:A518),'계산도우미'!$K$5:$K$2004,0)),"")</x:f>
      </x:c>
      <x:c r="B518" s="73" t="str">
        <x:f>IF(A518="","",IFERROR(INDEX('당기원장'!$B$5:$B$1004,MATCH(A518,'당기원장'!$A$5:$A$1004,0)),IFERROR(INDEX('전기원장'!$B$5:$B$1004,MATCH(A518,'전기원장'!$A$5:$A$1004,0)),"")))</x:f>
      </x:c>
      <x:c r="C518" s="75" t="str">
        <x:f>IF(A518="","",SUMIF('전기원장'!$A$5:$A$1004,A518,'전기원장'!$H$5:$H$1004))</x:f>
      </x:c>
      <x:c r="D518" s="75" t="str">
        <x:f>IF(A518="","",SUMIF('당기원장'!$A$5:$A$1004,A518,'당기원장'!$H$5:$H$1004))</x:f>
      </x:c>
      <x:c r="E518" s="75" t="str">
        <x:f>IF(A518="","",D518-C518)</x:f>
      </x:c>
      <x:c r="F518" s="88" t="str">
        <x:f>IF(A518="","",IF(C518=0,IF(D518=0,0,1),ABS(E518)/ABS(C518)))</x:f>
      </x:c>
      <x:c r="G518" s="73" t="str">
        <x:f>IF(A518="","",IF(AND(C518=0,D518&lt;&gt;0),"신규",IF(AND(C518&lt;&gt;0,D518=0),"소멸",IF(E518=0,"변동없음","금액변동"))))</x:f>
      </x:c>
      <x:c r="H518" s="73" t="str">
        <x:f>IF(A518="","",IF(AND(ABS(E518)&gt;='기준설정'!$B$6,OR(G518="신규",G518="소멸",F518&gt;='기준설정'!$B$5)),"원인분석 대상","일반"))</x:f>
      </x:c>
      <x:c r="I518" s="73" t="str">
        <x:f>IF(A518="","",IF(H518="원인분석 대상","세부원인분석 시트에서 거래별 원인을 검토","-"))</x:f>
      </x:c>
      <x:c r="J518" s="73" t="str">
        <x:f>IF(A518="","",COUNTIFS('전기원장'!$A$5:$A$1004,A518,'전기원장'!$J$5:$J$1004,"확인 필요")+COUNTIFS('당기원장'!$A$5:$A$1004,A518,'당기원장'!$J$5:$J$1004,"확인 필요"))</x:f>
      </x:c>
      <x:c r="K518" s="85" t="str">
        <x:f>IF(A518="","",IF(H518&lt;&gt;"원인분석 대상","",IF(J518&gt;0,"붙임 문서 확인 후 원인 확정 필요","결의서명 기반 원인분류 검토")))</x:f>
      </x:c>
    </x:row>
    <x:row r="519">
      <x:c r="A519" s="73" t="str">
        <x:f>IFERROR(INDEX('계산도우미'!$B$5:$B$2004,MATCH(ROWS($A$5:A519),'계산도우미'!$K$5:$K$2004,0)),"")</x:f>
      </x:c>
      <x:c r="B519" s="73" t="str">
        <x:f>IF(A519="","",IFERROR(INDEX('당기원장'!$B$5:$B$1004,MATCH(A519,'당기원장'!$A$5:$A$1004,0)),IFERROR(INDEX('전기원장'!$B$5:$B$1004,MATCH(A519,'전기원장'!$A$5:$A$1004,0)),"")))</x:f>
      </x:c>
      <x:c r="C519" s="75" t="str">
        <x:f>IF(A519="","",SUMIF('전기원장'!$A$5:$A$1004,A519,'전기원장'!$H$5:$H$1004))</x:f>
      </x:c>
      <x:c r="D519" s="75" t="str">
        <x:f>IF(A519="","",SUMIF('당기원장'!$A$5:$A$1004,A519,'당기원장'!$H$5:$H$1004))</x:f>
      </x:c>
      <x:c r="E519" s="75" t="str">
        <x:f>IF(A519="","",D519-C519)</x:f>
      </x:c>
      <x:c r="F519" s="88" t="str">
        <x:f>IF(A519="","",IF(C519=0,IF(D519=0,0,1),ABS(E519)/ABS(C519)))</x:f>
      </x:c>
      <x:c r="G519" s="73" t="str">
        <x:f>IF(A519="","",IF(AND(C519=0,D519&lt;&gt;0),"신규",IF(AND(C519&lt;&gt;0,D519=0),"소멸",IF(E519=0,"변동없음","금액변동"))))</x:f>
      </x:c>
      <x:c r="H519" s="73" t="str">
        <x:f>IF(A519="","",IF(AND(ABS(E519)&gt;='기준설정'!$B$6,OR(G519="신규",G519="소멸",F519&gt;='기준설정'!$B$5)),"원인분석 대상","일반"))</x:f>
      </x:c>
      <x:c r="I519" s="73" t="str">
        <x:f>IF(A519="","",IF(H519="원인분석 대상","세부원인분석 시트에서 거래별 원인을 검토","-"))</x:f>
      </x:c>
      <x:c r="J519" s="73" t="str">
        <x:f>IF(A519="","",COUNTIFS('전기원장'!$A$5:$A$1004,A519,'전기원장'!$J$5:$J$1004,"확인 필요")+COUNTIFS('당기원장'!$A$5:$A$1004,A519,'당기원장'!$J$5:$J$1004,"확인 필요"))</x:f>
      </x:c>
      <x:c r="K519" s="85" t="str">
        <x:f>IF(A519="","",IF(H519&lt;&gt;"원인분석 대상","",IF(J519&gt;0,"붙임 문서 확인 후 원인 확정 필요","결의서명 기반 원인분류 검토")))</x:f>
      </x:c>
    </x:row>
    <x:row r="520">
      <x:c r="A520" s="73" t="str">
        <x:f>IFERROR(INDEX('계산도우미'!$B$5:$B$2004,MATCH(ROWS($A$5:A520),'계산도우미'!$K$5:$K$2004,0)),"")</x:f>
      </x:c>
      <x:c r="B520" s="73" t="str">
        <x:f>IF(A520="","",IFERROR(INDEX('당기원장'!$B$5:$B$1004,MATCH(A520,'당기원장'!$A$5:$A$1004,0)),IFERROR(INDEX('전기원장'!$B$5:$B$1004,MATCH(A520,'전기원장'!$A$5:$A$1004,0)),"")))</x:f>
      </x:c>
      <x:c r="C520" s="75" t="str">
        <x:f>IF(A520="","",SUMIF('전기원장'!$A$5:$A$1004,A520,'전기원장'!$H$5:$H$1004))</x:f>
      </x:c>
      <x:c r="D520" s="75" t="str">
        <x:f>IF(A520="","",SUMIF('당기원장'!$A$5:$A$1004,A520,'당기원장'!$H$5:$H$1004))</x:f>
      </x:c>
      <x:c r="E520" s="75" t="str">
        <x:f>IF(A520="","",D520-C520)</x:f>
      </x:c>
      <x:c r="F520" s="88" t="str">
        <x:f>IF(A520="","",IF(C520=0,IF(D520=0,0,1),ABS(E520)/ABS(C520)))</x:f>
      </x:c>
      <x:c r="G520" s="73" t="str">
        <x:f>IF(A520="","",IF(AND(C520=0,D520&lt;&gt;0),"신규",IF(AND(C520&lt;&gt;0,D520=0),"소멸",IF(E520=0,"변동없음","금액변동"))))</x:f>
      </x:c>
      <x:c r="H520" s="73" t="str">
        <x:f>IF(A520="","",IF(AND(ABS(E520)&gt;='기준설정'!$B$6,OR(G520="신규",G520="소멸",F520&gt;='기준설정'!$B$5)),"원인분석 대상","일반"))</x:f>
      </x:c>
      <x:c r="I520" s="73" t="str">
        <x:f>IF(A520="","",IF(H520="원인분석 대상","세부원인분석 시트에서 거래별 원인을 검토","-"))</x:f>
      </x:c>
      <x:c r="J520" s="73" t="str">
        <x:f>IF(A520="","",COUNTIFS('전기원장'!$A$5:$A$1004,A520,'전기원장'!$J$5:$J$1004,"확인 필요")+COUNTIFS('당기원장'!$A$5:$A$1004,A520,'당기원장'!$J$5:$J$1004,"확인 필요"))</x:f>
      </x:c>
      <x:c r="K520" s="85" t="str">
        <x:f>IF(A520="","",IF(H520&lt;&gt;"원인분석 대상","",IF(J520&gt;0,"붙임 문서 확인 후 원인 확정 필요","결의서명 기반 원인분류 검토")))</x:f>
      </x:c>
    </x:row>
    <x:row r="521">
      <x:c r="A521" s="73" t="str">
        <x:f>IFERROR(INDEX('계산도우미'!$B$5:$B$2004,MATCH(ROWS($A$5:A521),'계산도우미'!$K$5:$K$2004,0)),"")</x:f>
      </x:c>
      <x:c r="B521" s="73" t="str">
        <x:f>IF(A521="","",IFERROR(INDEX('당기원장'!$B$5:$B$1004,MATCH(A521,'당기원장'!$A$5:$A$1004,0)),IFERROR(INDEX('전기원장'!$B$5:$B$1004,MATCH(A521,'전기원장'!$A$5:$A$1004,0)),"")))</x:f>
      </x:c>
      <x:c r="C521" s="75" t="str">
        <x:f>IF(A521="","",SUMIF('전기원장'!$A$5:$A$1004,A521,'전기원장'!$H$5:$H$1004))</x:f>
      </x:c>
      <x:c r="D521" s="75" t="str">
        <x:f>IF(A521="","",SUMIF('당기원장'!$A$5:$A$1004,A521,'당기원장'!$H$5:$H$1004))</x:f>
      </x:c>
      <x:c r="E521" s="75" t="str">
        <x:f>IF(A521="","",D521-C521)</x:f>
      </x:c>
      <x:c r="F521" s="88" t="str">
        <x:f>IF(A521="","",IF(C521=0,IF(D521=0,0,1),ABS(E521)/ABS(C521)))</x:f>
      </x:c>
      <x:c r="G521" s="73" t="str">
        <x:f>IF(A521="","",IF(AND(C521=0,D521&lt;&gt;0),"신규",IF(AND(C521&lt;&gt;0,D521=0),"소멸",IF(E521=0,"변동없음","금액변동"))))</x:f>
      </x:c>
      <x:c r="H521" s="73" t="str">
        <x:f>IF(A521="","",IF(AND(ABS(E521)&gt;='기준설정'!$B$6,OR(G521="신규",G521="소멸",F521&gt;='기준설정'!$B$5)),"원인분석 대상","일반"))</x:f>
      </x:c>
      <x:c r="I521" s="73" t="str">
        <x:f>IF(A521="","",IF(H521="원인분석 대상","세부원인분석 시트에서 거래별 원인을 검토","-"))</x:f>
      </x:c>
      <x:c r="J521" s="73" t="str">
        <x:f>IF(A521="","",COUNTIFS('전기원장'!$A$5:$A$1004,A521,'전기원장'!$J$5:$J$1004,"확인 필요")+COUNTIFS('당기원장'!$A$5:$A$1004,A521,'당기원장'!$J$5:$J$1004,"확인 필요"))</x:f>
      </x:c>
      <x:c r="K521" s="85" t="str">
        <x:f>IF(A521="","",IF(H521&lt;&gt;"원인분석 대상","",IF(J521&gt;0,"붙임 문서 확인 후 원인 확정 필요","결의서명 기반 원인분류 검토")))</x:f>
      </x:c>
    </x:row>
    <x:row r="522">
      <x:c r="A522" s="73" t="str">
        <x:f>IFERROR(INDEX('계산도우미'!$B$5:$B$2004,MATCH(ROWS($A$5:A522),'계산도우미'!$K$5:$K$2004,0)),"")</x:f>
      </x:c>
      <x:c r="B522" s="73" t="str">
        <x:f>IF(A522="","",IFERROR(INDEX('당기원장'!$B$5:$B$1004,MATCH(A522,'당기원장'!$A$5:$A$1004,0)),IFERROR(INDEX('전기원장'!$B$5:$B$1004,MATCH(A522,'전기원장'!$A$5:$A$1004,0)),"")))</x:f>
      </x:c>
      <x:c r="C522" s="75" t="str">
        <x:f>IF(A522="","",SUMIF('전기원장'!$A$5:$A$1004,A522,'전기원장'!$H$5:$H$1004))</x:f>
      </x:c>
      <x:c r="D522" s="75" t="str">
        <x:f>IF(A522="","",SUMIF('당기원장'!$A$5:$A$1004,A522,'당기원장'!$H$5:$H$1004))</x:f>
      </x:c>
      <x:c r="E522" s="75" t="str">
        <x:f>IF(A522="","",D522-C522)</x:f>
      </x:c>
      <x:c r="F522" s="88" t="str">
        <x:f>IF(A522="","",IF(C522=0,IF(D522=0,0,1),ABS(E522)/ABS(C522)))</x:f>
      </x:c>
      <x:c r="G522" s="73" t="str">
        <x:f>IF(A522="","",IF(AND(C522=0,D522&lt;&gt;0),"신규",IF(AND(C522&lt;&gt;0,D522=0),"소멸",IF(E522=0,"변동없음","금액변동"))))</x:f>
      </x:c>
      <x:c r="H522" s="73" t="str">
        <x:f>IF(A522="","",IF(AND(ABS(E522)&gt;='기준설정'!$B$6,OR(G522="신규",G522="소멸",F522&gt;='기준설정'!$B$5)),"원인분석 대상","일반"))</x:f>
      </x:c>
      <x:c r="I522" s="73" t="str">
        <x:f>IF(A522="","",IF(H522="원인분석 대상","세부원인분석 시트에서 거래별 원인을 검토","-"))</x:f>
      </x:c>
      <x:c r="J522" s="73" t="str">
        <x:f>IF(A522="","",COUNTIFS('전기원장'!$A$5:$A$1004,A522,'전기원장'!$J$5:$J$1004,"확인 필요")+COUNTIFS('당기원장'!$A$5:$A$1004,A522,'당기원장'!$J$5:$J$1004,"확인 필요"))</x:f>
      </x:c>
      <x:c r="K522" s="85" t="str">
        <x:f>IF(A522="","",IF(H522&lt;&gt;"원인분석 대상","",IF(J522&gt;0,"붙임 문서 확인 후 원인 확정 필요","결의서명 기반 원인분류 검토")))</x:f>
      </x:c>
    </x:row>
    <x:row r="523">
      <x:c r="A523" s="73" t="str">
        <x:f>IFERROR(INDEX('계산도우미'!$B$5:$B$2004,MATCH(ROWS($A$5:A523),'계산도우미'!$K$5:$K$2004,0)),"")</x:f>
      </x:c>
      <x:c r="B523" s="73" t="str">
        <x:f>IF(A523="","",IFERROR(INDEX('당기원장'!$B$5:$B$1004,MATCH(A523,'당기원장'!$A$5:$A$1004,0)),IFERROR(INDEX('전기원장'!$B$5:$B$1004,MATCH(A523,'전기원장'!$A$5:$A$1004,0)),"")))</x:f>
      </x:c>
      <x:c r="C523" s="75" t="str">
        <x:f>IF(A523="","",SUMIF('전기원장'!$A$5:$A$1004,A523,'전기원장'!$H$5:$H$1004))</x:f>
      </x:c>
      <x:c r="D523" s="75" t="str">
        <x:f>IF(A523="","",SUMIF('당기원장'!$A$5:$A$1004,A523,'당기원장'!$H$5:$H$1004))</x:f>
      </x:c>
      <x:c r="E523" s="75" t="str">
        <x:f>IF(A523="","",D523-C523)</x:f>
      </x:c>
      <x:c r="F523" s="88" t="str">
        <x:f>IF(A523="","",IF(C523=0,IF(D523=0,0,1),ABS(E523)/ABS(C523)))</x:f>
      </x:c>
      <x:c r="G523" s="73" t="str">
        <x:f>IF(A523="","",IF(AND(C523=0,D523&lt;&gt;0),"신규",IF(AND(C523&lt;&gt;0,D523=0),"소멸",IF(E523=0,"변동없음","금액변동"))))</x:f>
      </x:c>
      <x:c r="H523" s="73" t="str">
        <x:f>IF(A523="","",IF(AND(ABS(E523)&gt;='기준설정'!$B$6,OR(G523="신규",G523="소멸",F523&gt;='기준설정'!$B$5)),"원인분석 대상","일반"))</x:f>
      </x:c>
      <x:c r="I523" s="73" t="str">
        <x:f>IF(A523="","",IF(H523="원인분석 대상","세부원인분석 시트에서 거래별 원인을 검토","-"))</x:f>
      </x:c>
      <x:c r="J523" s="73" t="str">
        <x:f>IF(A523="","",COUNTIFS('전기원장'!$A$5:$A$1004,A523,'전기원장'!$J$5:$J$1004,"확인 필요")+COUNTIFS('당기원장'!$A$5:$A$1004,A523,'당기원장'!$J$5:$J$1004,"확인 필요"))</x:f>
      </x:c>
      <x:c r="K523" s="85" t="str">
        <x:f>IF(A523="","",IF(H523&lt;&gt;"원인분석 대상","",IF(J523&gt;0,"붙임 문서 확인 후 원인 확정 필요","결의서명 기반 원인분류 검토")))</x:f>
      </x:c>
    </x:row>
    <x:row r="524">
      <x:c r="A524" s="73" t="str">
        <x:f>IFERROR(INDEX('계산도우미'!$B$5:$B$2004,MATCH(ROWS($A$5:A524),'계산도우미'!$K$5:$K$2004,0)),"")</x:f>
      </x:c>
      <x:c r="B524" s="73" t="str">
        <x:f>IF(A524="","",IFERROR(INDEX('당기원장'!$B$5:$B$1004,MATCH(A524,'당기원장'!$A$5:$A$1004,0)),IFERROR(INDEX('전기원장'!$B$5:$B$1004,MATCH(A524,'전기원장'!$A$5:$A$1004,0)),"")))</x:f>
      </x:c>
      <x:c r="C524" s="75" t="str">
        <x:f>IF(A524="","",SUMIF('전기원장'!$A$5:$A$1004,A524,'전기원장'!$H$5:$H$1004))</x:f>
      </x:c>
      <x:c r="D524" s="75" t="str">
        <x:f>IF(A524="","",SUMIF('당기원장'!$A$5:$A$1004,A524,'당기원장'!$H$5:$H$1004))</x:f>
      </x:c>
      <x:c r="E524" s="75" t="str">
        <x:f>IF(A524="","",D524-C524)</x:f>
      </x:c>
      <x:c r="F524" s="88" t="str">
        <x:f>IF(A524="","",IF(C524=0,IF(D524=0,0,1),ABS(E524)/ABS(C524)))</x:f>
      </x:c>
      <x:c r="G524" s="73" t="str">
        <x:f>IF(A524="","",IF(AND(C524=0,D524&lt;&gt;0),"신규",IF(AND(C524&lt;&gt;0,D524=0),"소멸",IF(E524=0,"변동없음","금액변동"))))</x:f>
      </x:c>
      <x:c r="H524" s="73" t="str">
        <x:f>IF(A524="","",IF(AND(ABS(E524)&gt;='기준설정'!$B$6,OR(G524="신규",G524="소멸",F524&gt;='기준설정'!$B$5)),"원인분석 대상","일반"))</x:f>
      </x:c>
      <x:c r="I524" s="73" t="str">
        <x:f>IF(A524="","",IF(H524="원인분석 대상","세부원인분석 시트에서 거래별 원인을 검토","-"))</x:f>
      </x:c>
      <x:c r="J524" s="73" t="str">
        <x:f>IF(A524="","",COUNTIFS('전기원장'!$A$5:$A$1004,A524,'전기원장'!$J$5:$J$1004,"확인 필요")+COUNTIFS('당기원장'!$A$5:$A$1004,A524,'당기원장'!$J$5:$J$1004,"확인 필요"))</x:f>
      </x:c>
      <x:c r="K524" s="85" t="str">
        <x:f>IF(A524="","",IF(H524&lt;&gt;"원인분석 대상","",IF(J524&gt;0,"붙임 문서 확인 후 원인 확정 필요","결의서명 기반 원인분류 검토")))</x:f>
      </x:c>
    </x:row>
    <x:row r="525">
      <x:c r="A525" s="73" t="str">
        <x:f>IFERROR(INDEX('계산도우미'!$B$5:$B$2004,MATCH(ROWS($A$5:A525),'계산도우미'!$K$5:$K$2004,0)),"")</x:f>
      </x:c>
      <x:c r="B525" s="73" t="str">
        <x:f>IF(A525="","",IFERROR(INDEX('당기원장'!$B$5:$B$1004,MATCH(A525,'당기원장'!$A$5:$A$1004,0)),IFERROR(INDEX('전기원장'!$B$5:$B$1004,MATCH(A525,'전기원장'!$A$5:$A$1004,0)),"")))</x:f>
      </x:c>
      <x:c r="C525" s="75" t="str">
        <x:f>IF(A525="","",SUMIF('전기원장'!$A$5:$A$1004,A525,'전기원장'!$H$5:$H$1004))</x:f>
      </x:c>
      <x:c r="D525" s="75" t="str">
        <x:f>IF(A525="","",SUMIF('당기원장'!$A$5:$A$1004,A525,'당기원장'!$H$5:$H$1004))</x:f>
      </x:c>
      <x:c r="E525" s="75" t="str">
        <x:f>IF(A525="","",D525-C525)</x:f>
      </x:c>
      <x:c r="F525" s="88" t="str">
        <x:f>IF(A525="","",IF(C525=0,IF(D525=0,0,1),ABS(E525)/ABS(C525)))</x:f>
      </x:c>
      <x:c r="G525" s="73" t="str">
        <x:f>IF(A525="","",IF(AND(C525=0,D525&lt;&gt;0),"신규",IF(AND(C525&lt;&gt;0,D525=0),"소멸",IF(E525=0,"변동없음","금액변동"))))</x:f>
      </x:c>
      <x:c r="H525" s="73" t="str">
        <x:f>IF(A525="","",IF(AND(ABS(E525)&gt;='기준설정'!$B$6,OR(G525="신규",G525="소멸",F525&gt;='기준설정'!$B$5)),"원인분석 대상","일반"))</x:f>
      </x:c>
      <x:c r="I525" s="73" t="str">
        <x:f>IF(A525="","",IF(H525="원인분석 대상","세부원인분석 시트에서 거래별 원인을 검토","-"))</x:f>
      </x:c>
      <x:c r="J525" s="73" t="str">
        <x:f>IF(A525="","",COUNTIFS('전기원장'!$A$5:$A$1004,A525,'전기원장'!$J$5:$J$1004,"확인 필요")+COUNTIFS('당기원장'!$A$5:$A$1004,A525,'당기원장'!$J$5:$J$1004,"확인 필요"))</x:f>
      </x:c>
      <x:c r="K525" s="85" t="str">
        <x:f>IF(A525="","",IF(H525&lt;&gt;"원인분석 대상","",IF(J525&gt;0,"붙임 문서 확인 후 원인 확정 필요","결의서명 기반 원인분류 검토")))</x:f>
      </x:c>
    </x:row>
    <x:row r="526">
      <x:c r="A526" s="73" t="str">
        <x:f>IFERROR(INDEX('계산도우미'!$B$5:$B$2004,MATCH(ROWS($A$5:A526),'계산도우미'!$K$5:$K$2004,0)),"")</x:f>
      </x:c>
      <x:c r="B526" s="73" t="str">
        <x:f>IF(A526="","",IFERROR(INDEX('당기원장'!$B$5:$B$1004,MATCH(A526,'당기원장'!$A$5:$A$1004,0)),IFERROR(INDEX('전기원장'!$B$5:$B$1004,MATCH(A526,'전기원장'!$A$5:$A$1004,0)),"")))</x:f>
      </x:c>
      <x:c r="C526" s="75" t="str">
        <x:f>IF(A526="","",SUMIF('전기원장'!$A$5:$A$1004,A526,'전기원장'!$H$5:$H$1004))</x:f>
      </x:c>
      <x:c r="D526" s="75" t="str">
        <x:f>IF(A526="","",SUMIF('당기원장'!$A$5:$A$1004,A526,'당기원장'!$H$5:$H$1004))</x:f>
      </x:c>
      <x:c r="E526" s="75" t="str">
        <x:f>IF(A526="","",D526-C526)</x:f>
      </x:c>
      <x:c r="F526" s="88" t="str">
        <x:f>IF(A526="","",IF(C526=0,IF(D526=0,0,1),ABS(E526)/ABS(C526)))</x:f>
      </x:c>
      <x:c r="G526" s="73" t="str">
        <x:f>IF(A526="","",IF(AND(C526=0,D526&lt;&gt;0),"신규",IF(AND(C526&lt;&gt;0,D526=0),"소멸",IF(E526=0,"변동없음","금액변동"))))</x:f>
      </x:c>
      <x:c r="H526" s="73" t="str">
        <x:f>IF(A526="","",IF(AND(ABS(E526)&gt;='기준설정'!$B$6,OR(G526="신규",G526="소멸",F526&gt;='기준설정'!$B$5)),"원인분석 대상","일반"))</x:f>
      </x:c>
      <x:c r="I526" s="73" t="str">
        <x:f>IF(A526="","",IF(H526="원인분석 대상","세부원인분석 시트에서 거래별 원인을 검토","-"))</x:f>
      </x:c>
      <x:c r="J526" s="73" t="str">
        <x:f>IF(A526="","",COUNTIFS('전기원장'!$A$5:$A$1004,A526,'전기원장'!$J$5:$J$1004,"확인 필요")+COUNTIFS('당기원장'!$A$5:$A$1004,A526,'당기원장'!$J$5:$J$1004,"확인 필요"))</x:f>
      </x:c>
      <x:c r="K526" s="85" t="str">
        <x:f>IF(A526="","",IF(H526&lt;&gt;"원인분석 대상","",IF(J526&gt;0,"붙임 문서 확인 후 원인 확정 필요","결의서명 기반 원인분류 검토")))</x:f>
      </x:c>
    </x:row>
    <x:row r="527">
      <x:c r="A527" s="73" t="str">
        <x:f>IFERROR(INDEX('계산도우미'!$B$5:$B$2004,MATCH(ROWS($A$5:A527),'계산도우미'!$K$5:$K$2004,0)),"")</x:f>
      </x:c>
      <x:c r="B527" s="73" t="str">
        <x:f>IF(A527="","",IFERROR(INDEX('당기원장'!$B$5:$B$1004,MATCH(A527,'당기원장'!$A$5:$A$1004,0)),IFERROR(INDEX('전기원장'!$B$5:$B$1004,MATCH(A527,'전기원장'!$A$5:$A$1004,0)),"")))</x:f>
      </x:c>
      <x:c r="C527" s="75" t="str">
        <x:f>IF(A527="","",SUMIF('전기원장'!$A$5:$A$1004,A527,'전기원장'!$H$5:$H$1004))</x:f>
      </x:c>
      <x:c r="D527" s="75" t="str">
        <x:f>IF(A527="","",SUMIF('당기원장'!$A$5:$A$1004,A527,'당기원장'!$H$5:$H$1004))</x:f>
      </x:c>
      <x:c r="E527" s="75" t="str">
        <x:f>IF(A527="","",D527-C527)</x:f>
      </x:c>
      <x:c r="F527" s="88" t="str">
        <x:f>IF(A527="","",IF(C527=0,IF(D527=0,0,1),ABS(E527)/ABS(C527)))</x:f>
      </x:c>
      <x:c r="G527" s="73" t="str">
        <x:f>IF(A527="","",IF(AND(C527=0,D527&lt;&gt;0),"신규",IF(AND(C527&lt;&gt;0,D527=0),"소멸",IF(E527=0,"변동없음","금액변동"))))</x:f>
      </x:c>
      <x:c r="H527" s="73" t="str">
        <x:f>IF(A527="","",IF(AND(ABS(E527)&gt;='기준설정'!$B$6,OR(G527="신규",G527="소멸",F527&gt;='기준설정'!$B$5)),"원인분석 대상","일반"))</x:f>
      </x:c>
      <x:c r="I527" s="73" t="str">
        <x:f>IF(A527="","",IF(H527="원인분석 대상","세부원인분석 시트에서 거래별 원인을 검토","-"))</x:f>
      </x:c>
      <x:c r="J527" s="73" t="str">
        <x:f>IF(A527="","",COUNTIFS('전기원장'!$A$5:$A$1004,A527,'전기원장'!$J$5:$J$1004,"확인 필요")+COUNTIFS('당기원장'!$A$5:$A$1004,A527,'당기원장'!$J$5:$J$1004,"확인 필요"))</x:f>
      </x:c>
      <x:c r="K527" s="85" t="str">
        <x:f>IF(A527="","",IF(H527&lt;&gt;"원인분석 대상","",IF(J527&gt;0,"붙임 문서 확인 후 원인 확정 필요","결의서명 기반 원인분류 검토")))</x:f>
      </x:c>
    </x:row>
    <x:row r="528">
      <x:c r="A528" s="73" t="str">
        <x:f>IFERROR(INDEX('계산도우미'!$B$5:$B$2004,MATCH(ROWS($A$5:A528),'계산도우미'!$K$5:$K$2004,0)),"")</x:f>
      </x:c>
      <x:c r="B528" s="73" t="str">
        <x:f>IF(A528="","",IFERROR(INDEX('당기원장'!$B$5:$B$1004,MATCH(A528,'당기원장'!$A$5:$A$1004,0)),IFERROR(INDEX('전기원장'!$B$5:$B$1004,MATCH(A528,'전기원장'!$A$5:$A$1004,0)),"")))</x:f>
      </x:c>
      <x:c r="C528" s="75" t="str">
        <x:f>IF(A528="","",SUMIF('전기원장'!$A$5:$A$1004,A528,'전기원장'!$H$5:$H$1004))</x:f>
      </x:c>
      <x:c r="D528" s="75" t="str">
        <x:f>IF(A528="","",SUMIF('당기원장'!$A$5:$A$1004,A528,'당기원장'!$H$5:$H$1004))</x:f>
      </x:c>
      <x:c r="E528" s="75" t="str">
        <x:f>IF(A528="","",D528-C528)</x:f>
      </x:c>
      <x:c r="F528" s="88" t="str">
        <x:f>IF(A528="","",IF(C528=0,IF(D528=0,0,1),ABS(E528)/ABS(C528)))</x:f>
      </x:c>
      <x:c r="G528" s="73" t="str">
        <x:f>IF(A528="","",IF(AND(C528=0,D528&lt;&gt;0),"신규",IF(AND(C528&lt;&gt;0,D528=0),"소멸",IF(E528=0,"변동없음","금액변동"))))</x:f>
      </x:c>
      <x:c r="H528" s="73" t="str">
        <x:f>IF(A528="","",IF(AND(ABS(E528)&gt;='기준설정'!$B$6,OR(G528="신규",G528="소멸",F528&gt;='기준설정'!$B$5)),"원인분석 대상","일반"))</x:f>
      </x:c>
      <x:c r="I528" s="73" t="str">
        <x:f>IF(A528="","",IF(H528="원인분석 대상","세부원인분석 시트에서 거래별 원인을 검토","-"))</x:f>
      </x:c>
      <x:c r="J528" s="73" t="str">
        <x:f>IF(A528="","",COUNTIFS('전기원장'!$A$5:$A$1004,A528,'전기원장'!$J$5:$J$1004,"확인 필요")+COUNTIFS('당기원장'!$A$5:$A$1004,A528,'당기원장'!$J$5:$J$1004,"확인 필요"))</x:f>
      </x:c>
      <x:c r="K528" s="85" t="str">
        <x:f>IF(A528="","",IF(H528&lt;&gt;"원인분석 대상","",IF(J528&gt;0,"붙임 문서 확인 후 원인 확정 필요","결의서명 기반 원인분류 검토")))</x:f>
      </x:c>
    </x:row>
    <x:row r="529">
      <x:c r="A529" s="73" t="str">
        <x:f>IFERROR(INDEX('계산도우미'!$B$5:$B$2004,MATCH(ROWS($A$5:A529),'계산도우미'!$K$5:$K$2004,0)),"")</x:f>
      </x:c>
      <x:c r="B529" s="73" t="str">
        <x:f>IF(A529="","",IFERROR(INDEX('당기원장'!$B$5:$B$1004,MATCH(A529,'당기원장'!$A$5:$A$1004,0)),IFERROR(INDEX('전기원장'!$B$5:$B$1004,MATCH(A529,'전기원장'!$A$5:$A$1004,0)),"")))</x:f>
      </x:c>
      <x:c r="C529" s="75" t="str">
        <x:f>IF(A529="","",SUMIF('전기원장'!$A$5:$A$1004,A529,'전기원장'!$H$5:$H$1004))</x:f>
      </x:c>
      <x:c r="D529" s="75" t="str">
        <x:f>IF(A529="","",SUMIF('당기원장'!$A$5:$A$1004,A529,'당기원장'!$H$5:$H$1004))</x:f>
      </x:c>
      <x:c r="E529" s="75" t="str">
        <x:f>IF(A529="","",D529-C529)</x:f>
      </x:c>
      <x:c r="F529" s="88" t="str">
        <x:f>IF(A529="","",IF(C529=0,IF(D529=0,0,1),ABS(E529)/ABS(C529)))</x:f>
      </x:c>
      <x:c r="G529" s="73" t="str">
        <x:f>IF(A529="","",IF(AND(C529=0,D529&lt;&gt;0),"신규",IF(AND(C529&lt;&gt;0,D529=0),"소멸",IF(E529=0,"변동없음","금액변동"))))</x:f>
      </x:c>
      <x:c r="H529" s="73" t="str">
        <x:f>IF(A529="","",IF(AND(ABS(E529)&gt;='기준설정'!$B$6,OR(G529="신규",G529="소멸",F529&gt;='기준설정'!$B$5)),"원인분석 대상","일반"))</x:f>
      </x:c>
      <x:c r="I529" s="73" t="str">
        <x:f>IF(A529="","",IF(H529="원인분석 대상","세부원인분석 시트에서 거래별 원인을 검토","-"))</x:f>
      </x:c>
      <x:c r="J529" s="73" t="str">
        <x:f>IF(A529="","",COUNTIFS('전기원장'!$A$5:$A$1004,A529,'전기원장'!$J$5:$J$1004,"확인 필요")+COUNTIFS('당기원장'!$A$5:$A$1004,A529,'당기원장'!$J$5:$J$1004,"확인 필요"))</x:f>
      </x:c>
      <x:c r="K529" s="85" t="str">
        <x:f>IF(A529="","",IF(H529&lt;&gt;"원인분석 대상","",IF(J529&gt;0,"붙임 문서 확인 후 원인 확정 필요","결의서명 기반 원인분류 검토")))</x:f>
      </x:c>
    </x:row>
    <x:row r="530">
      <x:c r="A530" s="73" t="str">
        <x:f>IFERROR(INDEX('계산도우미'!$B$5:$B$2004,MATCH(ROWS($A$5:A530),'계산도우미'!$K$5:$K$2004,0)),"")</x:f>
      </x:c>
      <x:c r="B530" s="73" t="str">
        <x:f>IF(A530="","",IFERROR(INDEX('당기원장'!$B$5:$B$1004,MATCH(A530,'당기원장'!$A$5:$A$1004,0)),IFERROR(INDEX('전기원장'!$B$5:$B$1004,MATCH(A530,'전기원장'!$A$5:$A$1004,0)),"")))</x:f>
      </x:c>
      <x:c r="C530" s="75" t="str">
        <x:f>IF(A530="","",SUMIF('전기원장'!$A$5:$A$1004,A530,'전기원장'!$H$5:$H$1004))</x:f>
      </x:c>
      <x:c r="D530" s="75" t="str">
        <x:f>IF(A530="","",SUMIF('당기원장'!$A$5:$A$1004,A530,'당기원장'!$H$5:$H$1004))</x:f>
      </x:c>
      <x:c r="E530" s="75" t="str">
        <x:f>IF(A530="","",D530-C530)</x:f>
      </x:c>
      <x:c r="F530" s="88" t="str">
        <x:f>IF(A530="","",IF(C530=0,IF(D530=0,0,1),ABS(E530)/ABS(C530)))</x:f>
      </x:c>
      <x:c r="G530" s="73" t="str">
        <x:f>IF(A530="","",IF(AND(C530=0,D530&lt;&gt;0),"신규",IF(AND(C530&lt;&gt;0,D530=0),"소멸",IF(E530=0,"변동없음","금액변동"))))</x:f>
      </x:c>
      <x:c r="H530" s="73" t="str">
        <x:f>IF(A530="","",IF(AND(ABS(E530)&gt;='기준설정'!$B$6,OR(G530="신규",G530="소멸",F530&gt;='기준설정'!$B$5)),"원인분석 대상","일반"))</x:f>
      </x:c>
      <x:c r="I530" s="73" t="str">
        <x:f>IF(A530="","",IF(H530="원인분석 대상","세부원인분석 시트에서 거래별 원인을 검토","-"))</x:f>
      </x:c>
      <x:c r="J530" s="73" t="str">
        <x:f>IF(A530="","",COUNTIFS('전기원장'!$A$5:$A$1004,A530,'전기원장'!$J$5:$J$1004,"확인 필요")+COUNTIFS('당기원장'!$A$5:$A$1004,A530,'당기원장'!$J$5:$J$1004,"확인 필요"))</x:f>
      </x:c>
      <x:c r="K530" s="85" t="str">
        <x:f>IF(A530="","",IF(H530&lt;&gt;"원인분석 대상","",IF(J530&gt;0,"붙임 문서 확인 후 원인 확정 필요","결의서명 기반 원인분류 검토")))</x:f>
      </x:c>
    </x:row>
    <x:row r="531">
      <x:c r="A531" s="73" t="str">
        <x:f>IFERROR(INDEX('계산도우미'!$B$5:$B$2004,MATCH(ROWS($A$5:A531),'계산도우미'!$K$5:$K$2004,0)),"")</x:f>
      </x:c>
      <x:c r="B531" s="73" t="str">
        <x:f>IF(A531="","",IFERROR(INDEX('당기원장'!$B$5:$B$1004,MATCH(A531,'당기원장'!$A$5:$A$1004,0)),IFERROR(INDEX('전기원장'!$B$5:$B$1004,MATCH(A531,'전기원장'!$A$5:$A$1004,0)),"")))</x:f>
      </x:c>
      <x:c r="C531" s="75" t="str">
        <x:f>IF(A531="","",SUMIF('전기원장'!$A$5:$A$1004,A531,'전기원장'!$H$5:$H$1004))</x:f>
      </x:c>
      <x:c r="D531" s="75" t="str">
        <x:f>IF(A531="","",SUMIF('당기원장'!$A$5:$A$1004,A531,'당기원장'!$H$5:$H$1004))</x:f>
      </x:c>
      <x:c r="E531" s="75" t="str">
        <x:f>IF(A531="","",D531-C531)</x:f>
      </x:c>
      <x:c r="F531" s="88" t="str">
        <x:f>IF(A531="","",IF(C531=0,IF(D531=0,0,1),ABS(E531)/ABS(C531)))</x:f>
      </x:c>
      <x:c r="G531" s="73" t="str">
        <x:f>IF(A531="","",IF(AND(C531=0,D531&lt;&gt;0),"신규",IF(AND(C531&lt;&gt;0,D531=0),"소멸",IF(E531=0,"변동없음","금액변동"))))</x:f>
      </x:c>
      <x:c r="H531" s="73" t="str">
        <x:f>IF(A531="","",IF(AND(ABS(E531)&gt;='기준설정'!$B$6,OR(G531="신규",G531="소멸",F531&gt;='기준설정'!$B$5)),"원인분석 대상","일반"))</x:f>
      </x:c>
      <x:c r="I531" s="73" t="str">
        <x:f>IF(A531="","",IF(H531="원인분석 대상","세부원인분석 시트에서 거래별 원인을 검토","-"))</x:f>
      </x:c>
      <x:c r="J531" s="73" t="str">
        <x:f>IF(A531="","",COUNTIFS('전기원장'!$A$5:$A$1004,A531,'전기원장'!$J$5:$J$1004,"확인 필요")+COUNTIFS('당기원장'!$A$5:$A$1004,A531,'당기원장'!$J$5:$J$1004,"확인 필요"))</x:f>
      </x:c>
      <x:c r="K531" s="85" t="str">
        <x:f>IF(A531="","",IF(H531&lt;&gt;"원인분석 대상","",IF(J531&gt;0,"붙임 문서 확인 후 원인 확정 필요","결의서명 기반 원인분류 검토")))</x:f>
      </x:c>
    </x:row>
    <x:row r="532">
      <x:c r="A532" s="73" t="str">
        <x:f>IFERROR(INDEX('계산도우미'!$B$5:$B$2004,MATCH(ROWS($A$5:A532),'계산도우미'!$K$5:$K$2004,0)),"")</x:f>
      </x:c>
      <x:c r="B532" s="73" t="str">
        <x:f>IF(A532="","",IFERROR(INDEX('당기원장'!$B$5:$B$1004,MATCH(A532,'당기원장'!$A$5:$A$1004,0)),IFERROR(INDEX('전기원장'!$B$5:$B$1004,MATCH(A532,'전기원장'!$A$5:$A$1004,0)),"")))</x:f>
      </x:c>
      <x:c r="C532" s="75" t="str">
        <x:f>IF(A532="","",SUMIF('전기원장'!$A$5:$A$1004,A532,'전기원장'!$H$5:$H$1004))</x:f>
      </x:c>
      <x:c r="D532" s="75" t="str">
        <x:f>IF(A532="","",SUMIF('당기원장'!$A$5:$A$1004,A532,'당기원장'!$H$5:$H$1004))</x:f>
      </x:c>
      <x:c r="E532" s="75" t="str">
        <x:f>IF(A532="","",D532-C532)</x:f>
      </x:c>
      <x:c r="F532" s="88" t="str">
        <x:f>IF(A532="","",IF(C532=0,IF(D532=0,0,1),ABS(E532)/ABS(C532)))</x:f>
      </x:c>
      <x:c r="G532" s="73" t="str">
        <x:f>IF(A532="","",IF(AND(C532=0,D532&lt;&gt;0),"신규",IF(AND(C532&lt;&gt;0,D532=0),"소멸",IF(E532=0,"변동없음","금액변동"))))</x:f>
      </x:c>
      <x:c r="H532" s="73" t="str">
        <x:f>IF(A532="","",IF(AND(ABS(E532)&gt;='기준설정'!$B$6,OR(G532="신규",G532="소멸",F532&gt;='기준설정'!$B$5)),"원인분석 대상","일반"))</x:f>
      </x:c>
      <x:c r="I532" s="73" t="str">
        <x:f>IF(A532="","",IF(H532="원인분석 대상","세부원인분석 시트에서 거래별 원인을 검토","-"))</x:f>
      </x:c>
      <x:c r="J532" s="73" t="str">
        <x:f>IF(A532="","",COUNTIFS('전기원장'!$A$5:$A$1004,A532,'전기원장'!$J$5:$J$1004,"확인 필요")+COUNTIFS('당기원장'!$A$5:$A$1004,A532,'당기원장'!$J$5:$J$1004,"확인 필요"))</x:f>
      </x:c>
      <x:c r="K532" s="85" t="str">
        <x:f>IF(A532="","",IF(H532&lt;&gt;"원인분석 대상","",IF(J532&gt;0,"붙임 문서 확인 후 원인 확정 필요","결의서명 기반 원인분류 검토")))</x:f>
      </x:c>
    </x:row>
    <x:row r="533">
      <x:c r="A533" s="73" t="str">
        <x:f>IFERROR(INDEX('계산도우미'!$B$5:$B$2004,MATCH(ROWS($A$5:A533),'계산도우미'!$K$5:$K$2004,0)),"")</x:f>
      </x:c>
      <x:c r="B533" s="73" t="str">
        <x:f>IF(A533="","",IFERROR(INDEX('당기원장'!$B$5:$B$1004,MATCH(A533,'당기원장'!$A$5:$A$1004,0)),IFERROR(INDEX('전기원장'!$B$5:$B$1004,MATCH(A533,'전기원장'!$A$5:$A$1004,0)),"")))</x:f>
      </x:c>
      <x:c r="C533" s="75" t="str">
        <x:f>IF(A533="","",SUMIF('전기원장'!$A$5:$A$1004,A533,'전기원장'!$H$5:$H$1004))</x:f>
      </x:c>
      <x:c r="D533" s="75" t="str">
        <x:f>IF(A533="","",SUMIF('당기원장'!$A$5:$A$1004,A533,'당기원장'!$H$5:$H$1004))</x:f>
      </x:c>
      <x:c r="E533" s="75" t="str">
        <x:f>IF(A533="","",D533-C533)</x:f>
      </x:c>
      <x:c r="F533" s="88" t="str">
        <x:f>IF(A533="","",IF(C533=0,IF(D533=0,0,1),ABS(E533)/ABS(C533)))</x:f>
      </x:c>
      <x:c r="G533" s="73" t="str">
        <x:f>IF(A533="","",IF(AND(C533=0,D533&lt;&gt;0),"신규",IF(AND(C533&lt;&gt;0,D533=0),"소멸",IF(E533=0,"변동없음","금액변동"))))</x:f>
      </x:c>
      <x:c r="H533" s="73" t="str">
        <x:f>IF(A533="","",IF(AND(ABS(E533)&gt;='기준설정'!$B$6,OR(G533="신규",G533="소멸",F533&gt;='기준설정'!$B$5)),"원인분석 대상","일반"))</x:f>
      </x:c>
      <x:c r="I533" s="73" t="str">
        <x:f>IF(A533="","",IF(H533="원인분석 대상","세부원인분석 시트에서 거래별 원인을 검토","-"))</x:f>
      </x:c>
      <x:c r="J533" s="73" t="str">
        <x:f>IF(A533="","",COUNTIFS('전기원장'!$A$5:$A$1004,A533,'전기원장'!$J$5:$J$1004,"확인 필요")+COUNTIFS('당기원장'!$A$5:$A$1004,A533,'당기원장'!$J$5:$J$1004,"확인 필요"))</x:f>
      </x:c>
      <x:c r="K533" s="85" t="str">
        <x:f>IF(A533="","",IF(H533&lt;&gt;"원인분석 대상","",IF(J533&gt;0,"붙임 문서 확인 후 원인 확정 필요","결의서명 기반 원인분류 검토")))</x:f>
      </x:c>
    </x:row>
    <x:row r="534">
      <x:c r="A534" s="73" t="str">
        <x:f>IFERROR(INDEX('계산도우미'!$B$5:$B$2004,MATCH(ROWS($A$5:A534),'계산도우미'!$K$5:$K$2004,0)),"")</x:f>
      </x:c>
      <x:c r="B534" s="73" t="str">
        <x:f>IF(A534="","",IFERROR(INDEX('당기원장'!$B$5:$B$1004,MATCH(A534,'당기원장'!$A$5:$A$1004,0)),IFERROR(INDEX('전기원장'!$B$5:$B$1004,MATCH(A534,'전기원장'!$A$5:$A$1004,0)),"")))</x:f>
      </x:c>
      <x:c r="C534" s="75" t="str">
        <x:f>IF(A534="","",SUMIF('전기원장'!$A$5:$A$1004,A534,'전기원장'!$H$5:$H$1004))</x:f>
      </x:c>
      <x:c r="D534" s="75" t="str">
        <x:f>IF(A534="","",SUMIF('당기원장'!$A$5:$A$1004,A534,'당기원장'!$H$5:$H$1004))</x:f>
      </x:c>
      <x:c r="E534" s="75" t="str">
        <x:f>IF(A534="","",D534-C534)</x:f>
      </x:c>
      <x:c r="F534" s="88" t="str">
        <x:f>IF(A534="","",IF(C534=0,IF(D534=0,0,1),ABS(E534)/ABS(C534)))</x:f>
      </x:c>
      <x:c r="G534" s="73" t="str">
        <x:f>IF(A534="","",IF(AND(C534=0,D534&lt;&gt;0),"신규",IF(AND(C534&lt;&gt;0,D534=0),"소멸",IF(E534=0,"변동없음","금액변동"))))</x:f>
      </x:c>
      <x:c r="H534" s="73" t="str">
        <x:f>IF(A534="","",IF(AND(ABS(E534)&gt;='기준설정'!$B$6,OR(G534="신규",G534="소멸",F534&gt;='기준설정'!$B$5)),"원인분석 대상","일반"))</x:f>
      </x:c>
      <x:c r="I534" s="73" t="str">
        <x:f>IF(A534="","",IF(H534="원인분석 대상","세부원인분석 시트에서 거래별 원인을 검토","-"))</x:f>
      </x:c>
      <x:c r="J534" s="73" t="str">
        <x:f>IF(A534="","",COUNTIFS('전기원장'!$A$5:$A$1004,A534,'전기원장'!$J$5:$J$1004,"확인 필요")+COUNTIFS('당기원장'!$A$5:$A$1004,A534,'당기원장'!$J$5:$J$1004,"확인 필요"))</x:f>
      </x:c>
      <x:c r="K534" s="85" t="str">
        <x:f>IF(A534="","",IF(H534&lt;&gt;"원인분석 대상","",IF(J534&gt;0,"붙임 문서 확인 후 원인 확정 필요","결의서명 기반 원인분류 검토")))</x:f>
      </x:c>
    </x:row>
    <x:row r="535">
      <x:c r="A535" s="73" t="str">
        <x:f>IFERROR(INDEX('계산도우미'!$B$5:$B$2004,MATCH(ROWS($A$5:A535),'계산도우미'!$K$5:$K$2004,0)),"")</x:f>
      </x:c>
      <x:c r="B535" s="73" t="str">
        <x:f>IF(A535="","",IFERROR(INDEX('당기원장'!$B$5:$B$1004,MATCH(A535,'당기원장'!$A$5:$A$1004,0)),IFERROR(INDEX('전기원장'!$B$5:$B$1004,MATCH(A535,'전기원장'!$A$5:$A$1004,0)),"")))</x:f>
      </x:c>
      <x:c r="C535" s="75" t="str">
        <x:f>IF(A535="","",SUMIF('전기원장'!$A$5:$A$1004,A535,'전기원장'!$H$5:$H$1004))</x:f>
      </x:c>
      <x:c r="D535" s="75" t="str">
        <x:f>IF(A535="","",SUMIF('당기원장'!$A$5:$A$1004,A535,'당기원장'!$H$5:$H$1004))</x:f>
      </x:c>
      <x:c r="E535" s="75" t="str">
        <x:f>IF(A535="","",D535-C535)</x:f>
      </x:c>
      <x:c r="F535" s="88" t="str">
        <x:f>IF(A535="","",IF(C535=0,IF(D535=0,0,1),ABS(E535)/ABS(C535)))</x:f>
      </x:c>
      <x:c r="G535" s="73" t="str">
        <x:f>IF(A535="","",IF(AND(C535=0,D535&lt;&gt;0),"신규",IF(AND(C535&lt;&gt;0,D535=0),"소멸",IF(E535=0,"변동없음","금액변동"))))</x:f>
      </x:c>
      <x:c r="H535" s="73" t="str">
        <x:f>IF(A535="","",IF(AND(ABS(E535)&gt;='기준설정'!$B$6,OR(G535="신규",G535="소멸",F535&gt;='기준설정'!$B$5)),"원인분석 대상","일반"))</x:f>
      </x:c>
      <x:c r="I535" s="73" t="str">
        <x:f>IF(A535="","",IF(H535="원인분석 대상","세부원인분석 시트에서 거래별 원인을 검토","-"))</x:f>
      </x:c>
      <x:c r="J535" s="73" t="str">
        <x:f>IF(A535="","",COUNTIFS('전기원장'!$A$5:$A$1004,A535,'전기원장'!$J$5:$J$1004,"확인 필요")+COUNTIFS('당기원장'!$A$5:$A$1004,A535,'당기원장'!$J$5:$J$1004,"확인 필요"))</x:f>
      </x:c>
      <x:c r="K535" s="85" t="str">
        <x:f>IF(A535="","",IF(H535&lt;&gt;"원인분석 대상","",IF(J535&gt;0,"붙임 문서 확인 후 원인 확정 필요","결의서명 기반 원인분류 검토")))</x:f>
      </x:c>
    </x:row>
    <x:row r="536">
      <x:c r="A536" s="73" t="str">
        <x:f>IFERROR(INDEX('계산도우미'!$B$5:$B$2004,MATCH(ROWS($A$5:A536),'계산도우미'!$K$5:$K$2004,0)),"")</x:f>
      </x:c>
      <x:c r="B536" s="73" t="str">
        <x:f>IF(A536="","",IFERROR(INDEX('당기원장'!$B$5:$B$1004,MATCH(A536,'당기원장'!$A$5:$A$1004,0)),IFERROR(INDEX('전기원장'!$B$5:$B$1004,MATCH(A536,'전기원장'!$A$5:$A$1004,0)),"")))</x:f>
      </x:c>
      <x:c r="C536" s="75" t="str">
        <x:f>IF(A536="","",SUMIF('전기원장'!$A$5:$A$1004,A536,'전기원장'!$H$5:$H$1004))</x:f>
      </x:c>
      <x:c r="D536" s="75" t="str">
        <x:f>IF(A536="","",SUMIF('당기원장'!$A$5:$A$1004,A536,'당기원장'!$H$5:$H$1004))</x:f>
      </x:c>
      <x:c r="E536" s="75" t="str">
        <x:f>IF(A536="","",D536-C536)</x:f>
      </x:c>
      <x:c r="F536" s="88" t="str">
        <x:f>IF(A536="","",IF(C536=0,IF(D536=0,0,1),ABS(E536)/ABS(C536)))</x:f>
      </x:c>
      <x:c r="G536" s="73" t="str">
        <x:f>IF(A536="","",IF(AND(C536=0,D536&lt;&gt;0),"신규",IF(AND(C536&lt;&gt;0,D536=0),"소멸",IF(E536=0,"변동없음","금액변동"))))</x:f>
      </x:c>
      <x:c r="H536" s="73" t="str">
        <x:f>IF(A536="","",IF(AND(ABS(E536)&gt;='기준설정'!$B$6,OR(G536="신규",G536="소멸",F536&gt;='기준설정'!$B$5)),"원인분석 대상","일반"))</x:f>
      </x:c>
      <x:c r="I536" s="73" t="str">
        <x:f>IF(A536="","",IF(H536="원인분석 대상","세부원인분석 시트에서 거래별 원인을 검토","-"))</x:f>
      </x:c>
      <x:c r="J536" s="73" t="str">
        <x:f>IF(A536="","",COUNTIFS('전기원장'!$A$5:$A$1004,A536,'전기원장'!$J$5:$J$1004,"확인 필요")+COUNTIFS('당기원장'!$A$5:$A$1004,A536,'당기원장'!$J$5:$J$1004,"확인 필요"))</x:f>
      </x:c>
      <x:c r="K536" s="85" t="str">
        <x:f>IF(A536="","",IF(H536&lt;&gt;"원인분석 대상","",IF(J536&gt;0,"붙임 문서 확인 후 원인 확정 필요","결의서명 기반 원인분류 검토")))</x:f>
      </x:c>
    </x:row>
    <x:row r="537">
      <x:c r="A537" s="73" t="str">
        <x:f>IFERROR(INDEX('계산도우미'!$B$5:$B$2004,MATCH(ROWS($A$5:A537),'계산도우미'!$K$5:$K$2004,0)),"")</x:f>
      </x:c>
      <x:c r="B537" s="73" t="str">
        <x:f>IF(A537="","",IFERROR(INDEX('당기원장'!$B$5:$B$1004,MATCH(A537,'당기원장'!$A$5:$A$1004,0)),IFERROR(INDEX('전기원장'!$B$5:$B$1004,MATCH(A537,'전기원장'!$A$5:$A$1004,0)),"")))</x:f>
      </x:c>
      <x:c r="C537" s="75" t="str">
        <x:f>IF(A537="","",SUMIF('전기원장'!$A$5:$A$1004,A537,'전기원장'!$H$5:$H$1004))</x:f>
      </x:c>
      <x:c r="D537" s="75" t="str">
        <x:f>IF(A537="","",SUMIF('당기원장'!$A$5:$A$1004,A537,'당기원장'!$H$5:$H$1004))</x:f>
      </x:c>
      <x:c r="E537" s="75" t="str">
        <x:f>IF(A537="","",D537-C537)</x:f>
      </x:c>
      <x:c r="F537" s="88" t="str">
        <x:f>IF(A537="","",IF(C537=0,IF(D537=0,0,1),ABS(E537)/ABS(C537)))</x:f>
      </x:c>
      <x:c r="G537" s="73" t="str">
        <x:f>IF(A537="","",IF(AND(C537=0,D537&lt;&gt;0),"신규",IF(AND(C537&lt;&gt;0,D537=0),"소멸",IF(E537=0,"변동없음","금액변동"))))</x:f>
      </x:c>
      <x:c r="H537" s="73" t="str">
        <x:f>IF(A537="","",IF(AND(ABS(E537)&gt;='기준설정'!$B$6,OR(G537="신규",G537="소멸",F537&gt;='기준설정'!$B$5)),"원인분석 대상","일반"))</x:f>
      </x:c>
      <x:c r="I537" s="73" t="str">
        <x:f>IF(A537="","",IF(H537="원인분석 대상","세부원인분석 시트에서 거래별 원인을 검토","-"))</x:f>
      </x:c>
      <x:c r="J537" s="73" t="str">
        <x:f>IF(A537="","",COUNTIFS('전기원장'!$A$5:$A$1004,A537,'전기원장'!$J$5:$J$1004,"확인 필요")+COUNTIFS('당기원장'!$A$5:$A$1004,A537,'당기원장'!$J$5:$J$1004,"확인 필요"))</x:f>
      </x:c>
      <x:c r="K537" s="85" t="str">
        <x:f>IF(A537="","",IF(H537&lt;&gt;"원인분석 대상","",IF(J537&gt;0,"붙임 문서 확인 후 원인 확정 필요","결의서명 기반 원인분류 검토")))</x:f>
      </x:c>
    </x:row>
    <x:row r="538">
      <x:c r="A538" s="73" t="str">
        <x:f>IFERROR(INDEX('계산도우미'!$B$5:$B$2004,MATCH(ROWS($A$5:A538),'계산도우미'!$K$5:$K$2004,0)),"")</x:f>
      </x:c>
      <x:c r="B538" s="73" t="str">
        <x:f>IF(A538="","",IFERROR(INDEX('당기원장'!$B$5:$B$1004,MATCH(A538,'당기원장'!$A$5:$A$1004,0)),IFERROR(INDEX('전기원장'!$B$5:$B$1004,MATCH(A538,'전기원장'!$A$5:$A$1004,0)),"")))</x:f>
      </x:c>
      <x:c r="C538" s="75" t="str">
        <x:f>IF(A538="","",SUMIF('전기원장'!$A$5:$A$1004,A538,'전기원장'!$H$5:$H$1004))</x:f>
      </x:c>
      <x:c r="D538" s="75" t="str">
        <x:f>IF(A538="","",SUMIF('당기원장'!$A$5:$A$1004,A538,'당기원장'!$H$5:$H$1004))</x:f>
      </x:c>
      <x:c r="E538" s="75" t="str">
        <x:f>IF(A538="","",D538-C538)</x:f>
      </x:c>
      <x:c r="F538" s="88" t="str">
        <x:f>IF(A538="","",IF(C538=0,IF(D538=0,0,1),ABS(E538)/ABS(C538)))</x:f>
      </x:c>
      <x:c r="G538" s="73" t="str">
        <x:f>IF(A538="","",IF(AND(C538=0,D538&lt;&gt;0),"신규",IF(AND(C538&lt;&gt;0,D538=0),"소멸",IF(E538=0,"변동없음","금액변동"))))</x:f>
      </x:c>
      <x:c r="H538" s="73" t="str">
        <x:f>IF(A538="","",IF(AND(ABS(E538)&gt;='기준설정'!$B$6,OR(G538="신규",G538="소멸",F538&gt;='기준설정'!$B$5)),"원인분석 대상","일반"))</x:f>
      </x:c>
      <x:c r="I538" s="73" t="str">
        <x:f>IF(A538="","",IF(H538="원인분석 대상","세부원인분석 시트에서 거래별 원인을 검토","-"))</x:f>
      </x:c>
      <x:c r="J538" s="73" t="str">
        <x:f>IF(A538="","",COUNTIFS('전기원장'!$A$5:$A$1004,A538,'전기원장'!$J$5:$J$1004,"확인 필요")+COUNTIFS('당기원장'!$A$5:$A$1004,A538,'당기원장'!$J$5:$J$1004,"확인 필요"))</x:f>
      </x:c>
      <x:c r="K538" s="85" t="str">
        <x:f>IF(A538="","",IF(H538&lt;&gt;"원인분석 대상","",IF(J538&gt;0,"붙임 문서 확인 후 원인 확정 필요","결의서명 기반 원인분류 검토")))</x:f>
      </x:c>
    </x:row>
    <x:row r="539">
      <x:c r="A539" s="73" t="str">
        <x:f>IFERROR(INDEX('계산도우미'!$B$5:$B$2004,MATCH(ROWS($A$5:A539),'계산도우미'!$K$5:$K$2004,0)),"")</x:f>
      </x:c>
      <x:c r="B539" s="73" t="str">
        <x:f>IF(A539="","",IFERROR(INDEX('당기원장'!$B$5:$B$1004,MATCH(A539,'당기원장'!$A$5:$A$1004,0)),IFERROR(INDEX('전기원장'!$B$5:$B$1004,MATCH(A539,'전기원장'!$A$5:$A$1004,0)),"")))</x:f>
      </x:c>
      <x:c r="C539" s="75" t="str">
        <x:f>IF(A539="","",SUMIF('전기원장'!$A$5:$A$1004,A539,'전기원장'!$H$5:$H$1004))</x:f>
      </x:c>
      <x:c r="D539" s="75" t="str">
        <x:f>IF(A539="","",SUMIF('당기원장'!$A$5:$A$1004,A539,'당기원장'!$H$5:$H$1004))</x:f>
      </x:c>
      <x:c r="E539" s="75" t="str">
        <x:f>IF(A539="","",D539-C539)</x:f>
      </x:c>
      <x:c r="F539" s="88" t="str">
        <x:f>IF(A539="","",IF(C539=0,IF(D539=0,0,1),ABS(E539)/ABS(C539)))</x:f>
      </x:c>
      <x:c r="G539" s="73" t="str">
        <x:f>IF(A539="","",IF(AND(C539=0,D539&lt;&gt;0),"신규",IF(AND(C539&lt;&gt;0,D539=0),"소멸",IF(E539=0,"변동없음","금액변동"))))</x:f>
      </x:c>
      <x:c r="H539" s="73" t="str">
        <x:f>IF(A539="","",IF(AND(ABS(E539)&gt;='기준설정'!$B$6,OR(G539="신규",G539="소멸",F539&gt;='기준설정'!$B$5)),"원인분석 대상","일반"))</x:f>
      </x:c>
      <x:c r="I539" s="73" t="str">
        <x:f>IF(A539="","",IF(H539="원인분석 대상","세부원인분석 시트에서 거래별 원인을 검토","-"))</x:f>
      </x:c>
      <x:c r="J539" s="73" t="str">
        <x:f>IF(A539="","",COUNTIFS('전기원장'!$A$5:$A$1004,A539,'전기원장'!$J$5:$J$1004,"확인 필요")+COUNTIFS('당기원장'!$A$5:$A$1004,A539,'당기원장'!$J$5:$J$1004,"확인 필요"))</x:f>
      </x:c>
      <x:c r="K539" s="85" t="str">
        <x:f>IF(A539="","",IF(H539&lt;&gt;"원인분석 대상","",IF(J539&gt;0,"붙임 문서 확인 후 원인 확정 필요","결의서명 기반 원인분류 검토")))</x:f>
      </x:c>
    </x:row>
    <x:row r="540">
      <x:c r="A540" s="73" t="str">
        <x:f>IFERROR(INDEX('계산도우미'!$B$5:$B$2004,MATCH(ROWS($A$5:A540),'계산도우미'!$K$5:$K$2004,0)),"")</x:f>
      </x:c>
      <x:c r="B540" s="73" t="str">
        <x:f>IF(A540="","",IFERROR(INDEX('당기원장'!$B$5:$B$1004,MATCH(A540,'당기원장'!$A$5:$A$1004,0)),IFERROR(INDEX('전기원장'!$B$5:$B$1004,MATCH(A540,'전기원장'!$A$5:$A$1004,0)),"")))</x:f>
      </x:c>
      <x:c r="C540" s="75" t="str">
        <x:f>IF(A540="","",SUMIF('전기원장'!$A$5:$A$1004,A540,'전기원장'!$H$5:$H$1004))</x:f>
      </x:c>
      <x:c r="D540" s="75" t="str">
        <x:f>IF(A540="","",SUMIF('당기원장'!$A$5:$A$1004,A540,'당기원장'!$H$5:$H$1004))</x:f>
      </x:c>
      <x:c r="E540" s="75" t="str">
        <x:f>IF(A540="","",D540-C540)</x:f>
      </x:c>
      <x:c r="F540" s="88" t="str">
        <x:f>IF(A540="","",IF(C540=0,IF(D540=0,0,1),ABS(E540)/ABS(C540)))</x:f>
      </x:c>
      <x:c r="G540" s="73" t="str">
        <x:f>IF(A540="","",IF(AND(C540=0,D540&lt;&gt;0),"신규",IF(AND(C540&lt;&gt;0,D540=0),"소멸",IF(E540=0,"변동없음","금액변동"))))</x:f>
      </x:c>
      <x:c r="H540" s="73" t="str">
        <x:f>IF(A540="","",IF(AND(ABS(E540)&gt;='기준설정'!$B$6,OR(G540="신규",G540="소멸",F540&gt;='기준설정'!$B$5)),"원인분석 대상","일반"))</x:f>
      </x:c>
      <x:c r="I540" s="73" t="str">
        <x:f>IF(A540="","",IF(H540="원인분석 대상","세부원인분석 시트에서 거래별 원인을 검토","-"))</x:f>
      </x:c>
      <x:c r="J540" s="73" t="str">
        <x:f>IF(A540="","",COUNTIFS('전기원장'!$A$5:$A$1004,A540,'전기원장'!$J$5:$J$1004,"확인 필요")+COUNTIFS('당기원장'!$A$5:$A$1004,A540,'당기원장'!$J$5:$J$1004,"확인 필요"))</x:f>
      </x:c>
      <x:c r="K540" s="85" t="str">
        <x:f>IF(A540="","",IF(H540&lt;&gt;"원인분석 대상","",IF(J540&gt;0,"붙임 문서 확인 후 원인 확정 필요","결의서명 기반 원인분류 검토")))</x:f>
      </x:c>
    </x:row>
    <x:row r="541">
      <x:c r="A541" s="73" t="str">
        <x:f>IFERROR(INDEX('계산도우미'!$B$5:$B$2004,MATCH(ROWS($A$5:A541),'계산도우미'!$K$5:$K$2004,0)),"")</x:f>
      </x:c>
      <x:c r="B541" s="73" t="str">
        <x:f>IF(A541="","",IFERROR(INDEX('당기원장'!$B$5:$B$1004,MATCH(A541,'당기원장'!$A$5:$A$1004,0)),IFERROR(INDEX('전기원장'!$B$5:$B$1004,MATCH(A541,'전기원장'!$A$5:$A$1004,0)),"")))</x:f>
      </x:c>
      <x:c r="C541" s="75" t="str">
        <x:f>IF(A541="","",SUMIF('전기원장'!$A$5:$A$1004,A541,'전기원장'!$H$5:$H$1004))</x:f>
      </x:c>
      <x:c r="D541" s="75" t="str">
        <x:f>IF(A541="","",SUMIF('당기원장'!$A$5:$A$1004,A541,'당기원장'!$H$5:$H$1004))</x:f>
      </x:c>
      <x:c r="E541" s="75" t="str">
        <x:f>IF(A541="","",D541-C541)</x:f>
      </x:c>
      <x:c r="F541" s="88" t="str">
        <x:f>IF(A541="","",IF(C541=0,IF(D541=0,0,1),ABS(E541)/ABS(C541)))</x:f>
      </x:c>
      <x:c r="G541" s="73" t="str">
        <x:f>IF(A541="","",IF(AND(C541=0,D541&lt;&gt;0),"신규",IF(AND(C541&lt;&gt;0,D541=0),"소멸",IF(E541=0,"변동없음","금액변동"))))</x:f>
      </x:c>
      <x:c r="H541" s="73" t="str">
        <x:f>IF(A541="","",IF(AND(ABS(E541)&gt;='기준설정'!$B$6,OR(G541="신규",G541="소멸",F541&gt;='기준설정'!$B$5)),"원인분석 대상","일반"))</x:f>
      </x:c>
      <x:c r="I541" s="73" t="str">
        <x:f>IF(A541="","",IF(H541="원인분석 대상","세부원인분석 시트에서 거래별 원인을 검토","-"))</x:f>
      </x:c>
      <x:c r="J541" s="73" t="str">
        <x:f>IF(A541="","",COUNTIFS('전기원장'!$A$5:$A$1004,A541,'전기원장'!$J$5:$J$1004,"확인 필요")+COUNTIFS('당기원장'!$A$5:$A$1004,A541,'당기원장'!$J$5:$J$1004,"확인 필요"))</x:f>
      </x:c>
      <x:c r="K541" s="85" t="str">
        <x:f>IF(A541="","",IF(H541&lt;&gt;"원인분석 대상","",IF(J541&gt;0,"붙임 문서 확인 후 원인 확정 필요","결의서명 기반 원인분류 검토")))</x:f>
      </x:c>
    </x:row>
    <x:row r="542">
      <x:c r="A542" s="73" t="str">
        <x:f>IFERROR(INDEX('계산도우미'!$B$5:$B$2004,MATCH(ROWS($A$5:A542),'계산도우미'!$K$5:$K$2004,0)),"")</x:f>
      </x:c>
      <x:c r="B542" s="73" t="str">
        <x:f>IF(A542="","",IFERROR(INDEX('당기원장'!$B$5:$B$1004,MATCH(A542,'당기원장'!$A$5:$A$1004,0)),IFERROR(INDEX('전기원장'!$B$5:$B$1004,MATCH(A542,'전기원장'!$A$5:$A$1004,0)),"")))</x:f>
      </x:c>
      <x:c r="C542" s="75" t="str">
        <x:f>IF(A542="","",SUMIF('전기원장'!$A$5:$A$1004,A542,'전기원장'!$H$5:$H$1004))</x:f>
      </x:c>
      <x:c r="D542" s="75" t="str">
        <x:f>IF(A542="","",SUMIF('당기원장'!$A$5:$A$1004,A542,'당기원장'!$H$5:$H$1004))</x:f>
      </x:c>
      <x:c r="E542" s="75" t="str">
        <x:f>IF(A542="","",D542-C542)</x:f>
      </x:c>
      <x:c r="F542" s="88" t="str">
        <x:f>IF(A542="","",IF(C542=0,IF(D542=0,0,1),ABS(E542)/ABS(C542)))</x:f>
      </x:c>
      <x:c r="G542" s="73" t="str">
        <x:f>IF(A542="","",IF(AND(C542=0,D542&lt;&gt;0),"신규",IF(AND(C542&lt;&gt;0,D542=0),"소멸",IF(E542=0,"변동없음","금액변동"))))</x:f>
      </x:c>
      <x:c r="H542" s="73" t="str">
        <x:f>IF(A542="","",IF(AND(ABS(E542)&gt;='기준설정'!$B$6,OR(G542="신규",G542="소멸",F542&gt;='기준설정'!$B$5)),"원인분석 대상","일반"))</x:f>
      </x:c>
      <x:c r="I542" s="73" t="str">
        <x:f>IF(A542="","",IF(H542="원인분석 대상","세부원인분석 시트에서 거래별 원인을 검토","-"))</x:f>
      </x:c>
      <x:c r="J542" s="73" t="str">
        <x:f>IF(A542="","",COUNTIFS('전기원장'!$A$5:$A$1004,A542,'전기원장'!$J$5:$J$1004,"확인 필요")+COUNTIFS('당기원장'!$A$5:$A$1004,A542,'당기원장'!$J$5:$J$1004,"확인 필요"))</x:f>
      </x:c>
      <x:c r="K542" s="85" t="str">
        <x:f>IF(A542="","",IF(H542&lt;&gt;"원인분석 대상","",IF(J542&gt;0,"붙임 문서 확인 후 원인 확정 필요","결의서명 기반 원인분류 검토")))</x:f>
      </x:c>
    </x:row>
    <x:row r="543">
      <x:c r="A543" s="73" t="str">
        <x:f>IFERROR(INDEX('계산도우미'!$B$5:$B$2004,MATCH(ROWS($A$5:A543),'계산도우미'!$K$5:$K$2004,0)),"")</x:f>
      </x:c>
      <x:c r="B543" s="73" t="str">
        <x:f>IF(A543="","",IFERROR(INDEX('당기원장'!$B$5:$B$1004,MATCH(A543,'당기원장'!$A$5:$A$1004,0)),IFERROR(INDEX('전기원장'!$B$5:$B$1004,MATCH(A543,'전기원장'!$A$5:$A$1004,0)),"")))</x:f>
      </x:c>
      <x:c r="C543" s="75" t="str">
        <x:f>IF(A543="","",SUMIF('전기원장'!$A$5:$A$1004,A543,'전기원장'!$H$5:$H$1004))</x:f>
      </x:c>
      <x:c r="D543" s="75" t="str">
        <x:f>IF(A543="","",SUMIF('당기원장'!$A$5:$A$1004,A543,'당기원장'!$H$5:$H$1004))</x:f>
      </x:c>
      <x:c r="E543" s="75" t="str">
        <x:f>IF(A543="","",D543-C543)</x:f>
      </x:c>
      <x:c r="F543" s="88" t="str">
        <x:f>IF(A543="","",IF(C543=0,IF(D543=0,0,1),ABS(E543)/ABS(C543)))</x:f>
      </x:c>
      <x:c r="G543" s="73" t="str">
        <x:f>IF(A543="","",IF(AND(C543=0,D543&lt;&gt;0),"신규",IF(AND(C543&lt;&gt;0,D543=0),"소멸",IF(E543=0,"변동없음","금액변동"))))</x:f>
      </x:c>
      <x:c r="H543" s="73" t="str">
        <x:f>IF(A543="","",IF(AND(ABS(E543)&gt;='기준설정'!$B$6,OR(G543="신규",G543="소멸",F543&gt;='기준설정'!$B$5)),"원인분석 대상","일반"))</x:f>
      </x:c>
      <x:c r="I543" s="73" t="str">
        <x:f>IF(A543="","",IF(H543="원인분석 대상","세부원인분석 시트에서 거래별 원인을 검토","-"))</x:f>
      </x:c>
      <x:c r="J543" s="73" t="str">
        <x:f>IF(A543="","",COUNTIFS('전기원장'!$A$5:$A$1004,A543,'전기원장'!$J$5:$J$1004,"확인 필요")+COUNTIFS('당기원장'!$A$5:$A$1004,A543,'당기원장'!$J$5:$J$1004,"확인 필요"))</x:f>
      </x:c>
      <x:c r="K543" s="85" t="str">
        <x:f>IF(A543="","",IF(H543&lt;&gt;"원인분석 대상","",IF(J543&gt;0,"붙임 문서 확인 후 원인 확정 필요","결의서명 기반 원인분류 검토")))</x:f>
      </x:c>
    </x:row>
    <x:row r="544">
      <x:c r="A544" s="73" t="str">
        <x:f>IFERROR(INDEX('계산도우미'!$B$5:$B$2004,MATCH(ROWS($A$5:A544),'계산도우미'!$K$5:$K$2004,0)),"")</x:f>
      </x:c>
      <x:c r="B544" s="73" t="str">
        <x:f>IF(A544="","",IFERROR(INDEX('당기원장'!$B$5:$B$1004,MATCH(A544,'당기원장'!$A$5:$A$1004,0)),IFERROR(INDEX('전기원장'!$B$5:$B$1004,MATCH(A544,'전기원장'!$A$5:$A$1004,0)),"")))</x:f>
      </x:c>
      <x:c r="C544" s="75" t="str">
        <x:f>IF(A544="","",SUMIF('전기원장'!$A$5:$A$1004,A544,'전기원장'!$H$5:$H$1004))</x:f>
      </x:c>
      <x:c r="D544" s="75" t="str">
        <x:f>IF(A544="","",SUMIF('당기원장'!$A$5:$A$1004,A544,'당기원장'!$H$5:$H$1004))</x:f>
      </x:c>
      <x:c r="E544" s="75" t="str">
        <x:f>IF(A544="","",D544-C544)</x:f>
      </x:c>
      <x:c r="F544" s="88" t="str">
        <x:f>IF(A544="","",IF(C544=0,IF(D544=0,0,1),ABS(E544)/ABS(C544)))</x:f>
      </x:c>
      <x:c r="G544" s="73" t="str">
        <x:f>IF(A544="","",IF(AND(C544=0,D544&lt;&gt;0),"신규",IF(AND(C544&lt;&gt;0,D544=0),"소멸",IF(E544=0,"변동없음","금액변동"))))</x:f>
      </x:c>
      <x:c r="H544" s="73" t="str">
        <x:f>IF(A544="","",IF(AND(ABS(E544)&gt;='기준설정'!$B$6,OR(G544="신규",G544="소멸",F544&gt;='기준설정'!$B$5)),"원인분석 대상","일반"))</x:f>
      </x:c>
      <x:c r="I544" s="73" t="str">
        <x:f>IF(A544="","",IF(H544="원인분석 대상","세부원인분석 시트에서 거래별 원인을 검토","-"))</x:f>
      </x:c>
      <x:c r="J544" s="73" t="str">
        <x:f>IF(A544="","",COUNTIFS('전기원장'!$A$5:$A$1004,A544,'전기원장'!$J$5:$J$1004,"확인 필요")+COUNTIFS('당기원장'!$A$5:$A$1004,A544,'당기원장'!$J$5:$J$1004,"확인 필요"))</x:f>
      </x:c>
      <x:c r="K544" s="85" t="str">
        <x:f>IF(A544="","",IF(H544&lt;&gt;"원인분석 대상","",IF(J544&gt;0,"붙임 문서 확인 후 원인 확정 필요","결의서명 기반 원인분류 검토")))</x:f>
      </x:c>
    </x:row>
    <x:row r="545">
      <x:c r="A545" s="73" t="str">
        <x:f>IFERROR(INDEX('계산도우미'!$B$5:$B$2004,MATCH(ROWS($A$5:A545),'계산도우미'!$K$5:$K$2004,0)),"")</x:f>
      </x:c>
      <x:c r="B545" s="73" t="str">
        <x:f>IF(A545="","",IFERROR(INDEX('당기원장'!$B$5:$B$1004,MATCH(A545,'당기원장'!$A$5:$A$1004,0)),IFERROR(INDEX('전기원장'!$B$5:$B$1004,MATCH(A545,'전기원장'!$A$5:$A$1004,0)),"")))</x:f>
      </x:c>
      <x:c r="C545" s="75" t="str">
        <x:f>IF(A545="","",SUMIF('전기원장'!$A$5:$A$1004,A545,'전기원장'!$H$5:$H$1004))</x:f>
      </x:c>
      <x:c r="D545" s="75" t="str">
        <x:f>IF(A545="","",SUMIF('당기원장'!$A$5:$A$1004,A545,'당기원장'!$H$5:$H$1004))</x:f>
      </x:c>
      <x:c r="E545" s="75" t="str">
        <x:f>IF(A545="","",D545-C545)</x:f>
      </x:c>
      <x:c r="F545" s="88" t="str">
        <x:f>IF(A545="","",IF(C545=0,IF(D545=0,0,1),ABS(E545)/ABS(C545)))</x:f>
      </x:c>
      <x:c r="G545" s="73" t="str">
        <x:f>IF(A545="","",IF(AND(C545=0,D545&lt;&gt;0),"신규",IF(AND(C545&lt;&gt;0,D545=0),"소멸",IF(E545=0,"변동없음","금액변동"))))</x:f>
      </x:c>
      <x:c r="H545" s="73" t="str">
        <x:f>IF(A545="","",IF(AND(ABS(E545)&gt;='기준설정'!$B$6,OR(G545="신규",G545="소멸",F545&gt;='기준설정'!$B$5)),"원인분석 대상","일반"))</x:f>
      </x:c>
      <x:c r="I545" s="73" t="str">
        <x:f>IF(A545="","",IF(H545="원인분석 대상","세부원인분석 시트에서 거래별 원인을 검토","-"))</x:f>
      </x:c>
      <x:c r="J545" s="73" t="str">
        <x:f>IF(A545="","",COUNTIFS('전기원장'!$A$5:$A$1004,A545,'전기원장'!$J$5:$J$1004,"확인 필요")+COUNTIFS('당기원장'!$A$5:$A$1004,A545,'당기원장'!$J$5:$J$1004,"확인 필요"))</x:f>
      </x:c>
      <x:c r="K545" s="85" t="str">
        <x:f>IF(A545="","",IF(H545&lt;&gt;"원인분석 대상","",IF(J545&gt;0,"붙임 문서 확인 후 원인 확정 필요","결의서명 기반 원인분류 검토")))</x:f>
      </x:c>
    </x:row>
    <x:row r="546">
      <x:c r="A546" s="73" t="str">
        <x:f>IFERROR(INDEX('계산도우미'!$B$5:$B$2004,MATCH(ROWS($A$5:A546),'계산도우미'!$K$5:$K$2004,0)),"")</x:f>
      </x:c>
      <x:c r="B546" s="73" t="str">
        <x:f>IF(A546="","",IFERROR(INDEX('당기원장'!$B$5:$B$1004,MATCH(A546,'당기원장'!$A$5:$A$1004,0)),IFERROR(INDEX('전기원장'!$B$5:$B$1004,MATCH(A546,'전기원장'!$A$5:$A$1004,0)),"")))</x:f>
      </x:c>
      <x:c r="C546" s="75" t="str">
        <x:f>IF(A546="","",SUMIF('전기원장'!$A$5:$A$1004,A546,'전기원장'!$H$5:$H$1004))</x:f>
      </x:c>
      <x:c r="D546" s="75" t="str">
        <x:f>IF(A546="","",SUMIF('당기원장'!$A$5:$A$1004,A546,'당기원장'!$H$5:$H$1004))</x:f>
      </x:c>
      <x:c r="E546" s="75" t="str">
        <x:f>IF(A546="","",D546-C546)</x:f>
      </x:c>
      <x:c r="F546" s="88" t="str">
        <x:f>IF(A546="","",IF(C546=0,IF(D546=0,0,1),ABS(E546)/ABS(C546)))</x:f>
      </x:c>
      <x:c r="G546" s="73" t="str">
        <x:f>IF(A546="","",IF(AND(C546=0,D546&lt;&gt;0),"신규",IF(AND(C546&lt;&gt;0,D546=0),"소멸",IF(E546=0,"변동없음","금액변동"))))</x:f>
      </x:c>
      <x:c r="H546" s="73" t="str">
        <x:f>IF(A546="","",IF(AND(ABS(E546)&gt;='기준설정'!$B$6,OR(G546="신규",G546="소멸",F546&gt;='기준설정'!$B$5)),"원인분석 대상","일반"))</x:f>
      </x:c>
      <x:c r="I546" s="73" t="str">
        <x:f>IF(A546="","",IF(H546="원인분석 대상","세부원인분석 시트에서 거래별 원인을 검토","-"))</x:f>
      </x:c>
      <x:c r="J546" s="73" t="str">
        <x:f>IF(A546="","",COUNTIFS('전기원장'!$A$5:$A$1004,A546,'전기원장'!$J$5:$J$1004,"확인 필요")+COUNTIFS('당기원장'!$A$5:$A$1004,A546,'당기원장'!$J$5:$J$1004,"확인 필요"))</x:f>
      </x:c>
      <x:c r="K546" s="85" t="str">
        <x:f>IF(A546="","",IF(H546&lt;&gt;"원인분석 대상","",IF(J546&gt;0,"붙임 문서 확인 후 원인 확정 필요","결의서명 기반 원인분류 검토")))</x:f>
      </x:c>
    </x:row>
    <x:row r="547">
      <x:c r="A547" s="73" t="str">
        <x:f>IFERROR(INDEX('계산도우미'!$B$5:$B$2004,MATCH(ROWS($A$5:A547),'계산도우미'!$K$5:$K$2004,0)),"")</x:f>
      </x:c>
      <x:c r="B547" s="73" t="str">
        <x:f>IF(A547="","",IFERROR(INDEX('당기원장'!$B$5:$B$1004,MATCH(A547,'당기원장'!$A$5:$A$1004,0)),IFERROR(INDEX('전기원장'!$B$5:$B$1004,MATCH(A547,'전기원장'!$A$5:$A$1004,0)),"")))</x:f>
      </x:c>
      <x:c r="C547" s="75" t="str">
        <x:f>IF(A547="","",SUMIF('전기원장'!$A$5:$A$1004,A547,'전기원장'!$H$5:$H$1004))</x:f>
      </x:c>
      <x:c r="D547" s="75" t="str">
        <x:f>IF(A547="","",SUMIF('당기원장'!$A$5:$A$1004,A547,'당기원장'!$H$5:$H$1004))</x:f>
      </x:c>
      <x:c r="E547" s="75" t="str">
        <x:f>IF(A547="","",D547-C547)</x:f>
      </x:c>
      <x:c r="F547" s="88" t="str">
        <x:f>IF(A547="","",IF(C547=0,IF(D547=0,0,1),ABS(E547)/ABS(C547)))</x:f>
      </x:c>
      <x:c r="G547" s="73" t="str">
        <x:f>IF(A547="","",IF(AND(C547=0,D547&lt;&gt;0),"신규",IF(AND(C547&lt;&gt;0,D547=0),"소멸",IF(E547=0,"변동없음","금액변동"))))</x:f>
      </x:c>
      <x:c r="H547" s="73" t="str">
        <x:f>IF(A547="","",IF(AND(ABS(E547)&gt;='기준설정'!$B$6,OR(G547="신규",G547="소멸",F547&gt;='기준설정'!$B$5)),"원인분석 대상","일반"))</x:f>
      </x:c>
      <x:c r="I547" s="73" t="str">
        <x:f>IF(A547="","",IF(H547="원인분석 대상","세부원인분석 시트에서 거래별 원인을 검토","-"))</x:f>
      </x:c>
      <x:c r="J547" s="73" t="str">
        <x:f>IF(A547="","",COUNTIFS('전기원장'!$A$5:$A$1004,A547,'전기원장'!$J$5:$J$1004,"확인 필요")+COUNTIFS('당기원장'!$A$5:$A$1004,A547,'당기원장'!$J$5:$J$1004,"확인 필요"))</x:f>
      </x:c>
      <x:c r="K547" s="85" t="str">
        <x:f>IF(A547="","",IF(H547&lt;&gt;"원인분석 대상","",IF(J547&gt;0,"붙임 문서 확인 후 원인 확정 필요","결의서명 기반 원인분류 검토")))</x:f>
      </x:c>
    </x:row>
    <x:row r="548">
      <x:c r="A548" s="73" t="str">
        <x:f>IFERROR(INDEX('계산도우미'!$B$5:$B$2004,MATCH(ROWS($A$5:A548),'계산도우미'!$K$5:$K$2004,0)),"")</x:f>
      </x:c>
      <x:c r="B548" s="73" t="str">
        <x:f>IF(A548="","",IFERROR(INDEX('당기원장'!$B$5:$B$1004,MATCH(A548,'당기원장'!$A$5:$A$1004,0)),IFERROR(INDEX('전기원장'!$B$5:$B$1004,MATCH(A548,'전기원장'!$A$5:$A$1004,0)),"")))</x:f>
      </x:c>
      <x:c r="C548" s="75" t="str">
        <x:f>IF(A548="","",SUMIF('전기원장'!$A$5:$A$1004,A548,'전기원장'!$H$5:$H$1004))</x:f>
      </x:c>
      <x:c r="D548" s="75" t="str">
        <x:f>IF(A548="","",SUMIF('당기원장'!$A$5:$A$1004,A548,'당기원장'!$H$5:$H$1004))</x:f>
      </x:c>
      <x:c r="E548" s="75" t="str">
        <x:f>IF(A548="","",D548-C548)</x:f>
      </x:c>
      <x:c r="F548" s="88" t="str">
        <x:f>IF(A548="","",IF(C548=0,IF(D548=0,0,1),ABS(E548)/ABS(C548)))</x:f>
      </x:c>
      <x:c r="G548" s="73" t="str">
        <x:f>IF(A548="","",IF(AND(C548=0,D548&lt;&gt;0),"신규",IF(AND(C548&lt;&gt;0,D548=0),"소멸",IF(E548=0,"변동없음","금액변동"))))</x:f>
      </x:c>
      <x:c r="H548" s="73" t="str">
        <x:f>IF(A548="","",IF(AND(ABS(E548)&gt;='기준설정'!$B$6,OR(G548="신규",G548="소멸",F548&gt;='기준설정'!$B$5)),"원인분석 대상","일반"))</x:f>
      </x:c>
      <x:c r="I548" s="73" t="str">
        <x:f>IF(A548="","",IF(H548="원인분석 대상","세부원인분석 시트에서 거래별 원인을 검토","-"))</x:f>
      </x:c>
      <x:c r="J548" s="73" t="str">
        <x:f>IF(A548="","",COUNTIFS('전기원장'!$A$5:$A$1004,A548,'전기원장'!$J$5:$J$1004,"확인 필요")+COUNTIFS('당기원장'!$A$5:$A$1004,A548,'당기원장'!$J$5:$J$1004,"확인 필요"))</x:f>
      </x:c>
      <x:c r="K548" s="85" t="str">
        <x:f>IF(A548="","",IF(H548&lt;&gt;"원인분석 대상","",IF(J548&gt;0,"붙임 문서 확인 후 원인 확정 필요","결의서명 기반 원인분류 검토")))</x:f>
      </x:c>
    </x:row>
    <x:row r="549">
      <x:c r="A549" s="73" t="str">
        <x:f>IFERROR(INDEX('계산도우미'!$B$5:$B$2004,MATCH(ROWS($A$5:A549),'계산도우미'!$K$5:$K$2004,0)),"")</x:f>
      </x:c>
      <x:c r="B549" s="73" t="str">
        <x:f>IF(A549="","",IFERROR(INDEX('당기원장'!$B$5:$B$1004,MATCH(A549,'당기원장'!$A$5:$A$1004,0)),IFERROR(INDEX('전기원장'!$B$5:$B$1004,MATCH(A549,'전기원장'!$A$5:$A$1004,0)),"")))</x:f>
      </x:c>
      <x:c r="C549" s="75" t="str">
        <x:f>IF(A549="","",SUMIF('전기원장'!$A$5:$A$1004,A549,'전기원장'!$H$5:$H$1004))</x:f>
      </x:c>
      <x:c r="D549" s="75" t="str">
        <x:f>IF(A549="","",SUMIF('당기원장'!$A$5:$A$1004,A549,'당기원장'!$H$5:$H$1004))</x:f>
      </x:c>
      <x:c r="E549" s="75" t="str">
        <x:f>IF(A549="","",D549-C549)</x:f>
      </x:c>
      <x:c r="F549" s="88" t="str">
        <x:f>IF(A549="","",IF(C549=0,IF(D549=0,0,1),ABS(E549)/ABS(C549)))</x:f>
      </x:c>
      <x:c r="G549" s="73" t="str">
        <x:f>IF(A549="","",IF(AND(C549=0,D549&lt;&gt;0),"신규",IF(AND(C549&lt;&gt;0,D549=0),"소멸",IF(E549=0,"변동없음","금액변동"))))</x:f>
      </x:c>
      <x:c r="H549" s="73" t="str">
        <x:f>IF(A549="","",IF(AND(ABS(E549)&gt;='기준설정'!$B$6,OR(G549="신규",G549="소멸",F549&gt;='기준설정'!$B$5)),"원인분석 대상","일반"))</x:f>
      </x:c>
      <x:c r="I549" s="73" t="str">
        <x:f>IF(A549="","",IF(H549="원인분석 대상","세부원인분석 시트에서 거래별 원인을 검토","-"))</x:f>
      </x:c>
      <x:c r="J549" s="73" t="str">
        <x:f>IF(A549="","",COUNTIFS('전기원장'!$A$5:$A$1004,A549,'전기원장'!$J$5:$J$1004,"확인 필요")+COUNTIFS('당기원장'!$A$5:$A$1004,A549,'당기원장'!$J$5:$J$1004,"확인 필요"))</x:f>
      </x:c>
      <x:c r="K549" s="85" t="str">
        <x:f>IF(A549="","",IF(H549&lt;&gt;"원인분석 대상","",IF(J549&gt;0,"붙임 문서 확인 후 원인 확정 필요","결의서명 기반 원인분류 검토")))</x:f>
      </x:c>
    </x:row>
    <x:row r="550">
      <x:c r="A550" s="73" t="str">
        <x:f>IFERROR(INDEX('계산도우미'!$B$5:$B$2004,MATCH(ROWS($A$5:A550),'계산도우미'!$K$5:$K$2004,0)),"")</x:f>
      </x:c>
      <x:c r="B550" s="73" t="str">
        <x:f>IF(A550="","",IFERROR(INDEX('당기원장'!$B$5:$B$1004,MATCH(A550,'당기원장'!$A$5:$A$1004,0)),IFERROR(INDEX('전기원장'!$B$5:$B$1004,MATCH(A550,'전기원장'!$A$5:$A$1004,0)),"")))</x:f>
      </x:c>
      <x:c r="C550" s="75" t="str">
        <x:f>IF(A550="","",SUMIF('전기원장'!$A$5:$A$1004,A550,'전기원장'!$H$5:$H$1004))</x:f>
      </x:c>
      <x:c r="D550" s="75" t="str">
        <x:f>IF(A550="","",SUMIF('당기원장'!$A$5:$A$1004,A550,'당기원장'!$H$5:$H$1004))</x:f>
      </x:c>
      <x:c r="E550" s="75" t="str">
        <x:f>IF(A550="","",D550-C550)</x:f>
      </x:c>
      <x:c r="F550" s="88" t="str">
        <x:f>IF(A550="","",IF(C550=0,IF(D550=0,0,1),ABS(E550)/ABS(C550)))</x:f>
      </x:c>
      <x:c r="G550" s="73" t="str">
        <x:f>IF(A550="","",IF(AND(C550=0,D550&lt;&gt;0),"신규",IF(AND(C550&lt;&gt;0,D550=0),"소멸",IF(E550=0,"변동없음","금액변동"))))</x:f>
      </x:c>
      <x:c r="H550" s="73" t="str">
        <x:f>IF(A550="","",IF(AND(ABS(E550)&gt;='기준설정'!$B$6,OR(G550="신규",G550="소멸",F550&gt;='기준설정'!$B$5)),"원인분석 대상","일반"))</x:f>
      </x:c>
      <x:c r="I550" s="73" t="str">
        <x:f>IF(A550="","",IF(H550="원인분석 대상","세부원인분석 시트에서 거래별 원인을 검토","-"))</x:f>
      </x:c>
      <x:c r="J550" s="73" t="str">
        <x:f>IF(A550="","",COUNTIFS('전기원장'!$A$5:$A$1004,A550,'전기원장'!$J$5:$J$1004,"확인 필요")+COUNTIFS('당기원장'!$A$5:$A$1004,A550,'당기원장'!$J$5:$J$1004,"확인 필요"))</x:f>
      </x:c>
      <x:c r="K550" s="85" t="str">
        <x:f>IF(A550="","",IF(H550&lt;&gt;"원인분석 대상","",IF(J550&gt;0,"붙임 문서 확인 후 원인 확정 필요","결의서명 기반 원인분류 검토")))</x:f>
      </x:c>
    </x:row>
    <x:row r="551">
      <x:c r="A551" s="73" t="str">
        <x:f>IFERROR(INDEX('계산도우미'!$B$5:$B$2004,MATCH(ROWS($A$5:A551),'계산도우미'!$K$5:$K$2004,0)),"")</x:f>
      </x:c>
      <x:c r="B551" s="73" t="str">
        <x:f>IF(A551="","",IFERROR(INDEX('당기원장'!$B$5:$B$1004,MATCH(A551,'당기원장'!$A$5:$A$1004,0)),IFERROR(INDEX('전기원장'!$B$5:$B$1004,MATCH(A551,'전기원장'!$A$5:$A$1004,0)),"")))</x:f>
      </x:c>
      <x:c r="C551" s="75" t="str">
        <x:f>IF(A551="","",SUMIF('전기원장'!$A$5:$A$1004,A551,'전기원장'!$H$5:$H$1004))</x:f>
      </x:c>
      <x:c r="D551" s="75" t="str">
        <x:f>IF(A551="","",SUMIF('당기원장'!$A$5:$A$1004,A551,'당기원장'!$H$5:$H$1004))</x:f>
      </x:c>
      <x:c r="E551" s="75" t="str">
        <x:f>IF(A551="","",D551-C551)</x:f>
      </x:c>
      <x:c r="F551" s="88" t="str">
        <x:f>IF(A551="","",IF(C551=0,IF(D551=0,0,1),ABS(E551)/ABS(C551)))</x:f>
      </x:c>
      <x:c r="G551" s="73" t="str">
        <x:f>IF(A551="","",IF(AND(C551=0,D551&lt;&gt;0),"신규",IF(AND(C551&lt;&gt;0,D551=0),"소멸",IF(E551=0,"변동없음","금액변동"))))</x:f>
      </x:c>
      <x:c r="H551" s="73" t="str">
        <x:f>IF(A551="","",IF(AND(ABS(E551)&gt;='기준설정'!$B$6,OR(G551="신규",G551="소멸",F551&gt;='기준설정'!$B$5)),"원인분석 대상","일반"))</x:f>
      </x:c>
      <x:c r="I551" s="73" t="str">
        <x:f>IF(A551="","",IF(H551="원인분석 대상","세부원인분석 시트에서 거래별 원인을 검토","-"))</x:f>
      </x:c>
      <x:c r="J551" s="73" t="str">
        <x:f>IF(A551="","",COUNTIFS('전기원장'!$A$5:$A$1004,A551,'전기원장'!$J$5:$J$1004,"확인 필요")+COUNTIFS('당기원장'!$A$5:$A$1004,A551,'당기원장'!$J$5:$J$1004,"확인 필요"))</x:f>
      </x:c>
      <x:c r="K551" s="85" t="str">
        <x:f>IF(A551="","",IF(H551&lt;&gt;"원인분석 대상","",IF(J551&gt;0,"붙임 문서 확인 후 원인 확정 필요","결의서명 기반 원인분류 검토")))</x:f>
      </x:c>
    </x:row>
    <x:row r="552">
      <x:c r="A552" s="73" t="str">
        <x:f>IFERROR(INDEX('계산도우미'!$B$5:$B$2004,MATCH(ROWS($A$5:A552),'계산도우미'!$K$5:$K$2004,0)),"")</x:f>
      </x:c>
      <x:c r="B552" s="73" t="str">
        <x:f>IF(A552="","",IFERROR(INDEX('당기원장'!$B$5:$B$1004,MATCH(A552,'당기원장'!$A$5:$A$1004,0)),IFERROR(INDEX('전기원장'!$B$5:$B$1004,MATCH(A552,'전기원장'!$A$5:$A$1004,0)),"")))</x:f>
      </x:c>
      <x:c r="C552" s="75" t="str">
        <x:f>IF(A552="","",SUMIF('전기원장'!$A$5:$A$1004,A552,'전기원장'!$H$5:$H$1004))</x:f>
      </x:c>
      <x:c r="D552" s="75" t="str">
        <x:f>IF(A552="","",SUMIF('당기원장'!$A$5:$A$1004,A552,'당기원장'!$H$5:$H$1004))</x:f>
      </x:c>
      <x:c r="E552" s="75" t="str">
        <x:f>IF(A552="","",D552-C552)</x:f>
      </x:c>
      <x:c r="F552" s="88" t="str">
        <x:f>IF(A552="","",IF(C552=0,IF(D552=0,0,1),ABS(E552)/ABS(C552)))</x:f>
      </x:c>
      <x:c r="G552" s="73" t="str">
        <x:f>IF(A552="","",IF(AND(C552=0,D552&lt;&gt;0),"신규",IF(AND(C552&lt;&gt;0,D552=0),"소멸",IF(E552=0,"변동없음","금액변동"))))</x:f>
      </x:c>
      <x:c r="H552" s="73" t="str">
        <x:f>IF(A552="","",IF(AND(ABS(E552)&gt;='기준설정'!$B$6,OR(G552="신규",G552="소멸",F552&gt;='기준설정'!$B$5)),"원인분석 대상","일반"))</x:f>
      </x:c>
      <x:c r="I552" s="73" t="str">
        <x:f>IF(A552="","",IF(H552="원인분석 대상","세부원인분석 시트에서 거래별 원인을 검토","-"))</x:f>
      </x:c>
      <x:c r="J552" s="73" t="str">
        <x:f>IF(A552="","",COUNTIFS('전기원장'!$A$5:$A$1004,A552,'전기원장'!$J$5:$J$1004,"확인 필요")+COUNTIFS('당기원장'!$A$5:$A$1004,A552,'당기원장'!$J$5:$J$1004,"확인 필요"))</x:f>
      </x:c>
      <x:c r="K552" s="85" t="str">
        <x:f>IF(A552="","",IF(H552&lt;&gt;"원인분석 대상","",IF(J552&gt;0,"붙임 문서 확인 후 원인 확정 필요","결의서명 기반 원인분류 검토")))</x:f>
      </x:c>
    </x:row>
    <x:row r="553">
      <x:c r="A553" s="73" t="str">
        <x:f>IFERROR(INDEX('계산도우미'!$B$5:$B$2004,MATCH(ROWS($A$5:A553),'계산도우미'!$K$5:$K$2004,0)),"")</x:f>
      </x:c>
      <x:c r="B553" s="73" t="str">
        <x:f>IF(A553="","",IFERROR(INDEX('당기원장'!$B$5:$B$1004,MATCH(A553,'당기원장'!$A$5:$A$1004,0)),IFERROR(INDEX('전기원장'!$B$5:$B$1004,MATCH(A553,'전기원장'!$A$5:$A$1004,0)),"")))</x:f>
      </x:c>
      <x:c r="C553" s="75" t="str">
        <x:f>IF(A553="","",SUMIF('전기원장'!$A$5:$A$1004,A553,'전기원장'!$H$5:$H$1004))</x:f>
      </x:c>
      <x:c r="D553" s="75" t="str">
        <x:f>IF(A553="","",SUMIF('당기원장'!$A$5:$A$1004,A553,'당기원장'!$H$5:$H$1004))</x:f>
      </x:c>
      <x:c r="E553" s="75" t="str">
        <x:f>IF(A553="","",D553-C553)</x:f>
      </x:c>
      <x:c r="F553" s="88" t="str">
        <x:f>IF(A553="","",IF(C553=0,IF(D553=0,0,1),ABS(E553)/ABS(C553)))</x:f>
      </x:c>
      <x:c r="G553" s="73" t="str">
        <x:f>IF(A553="","",IF(AND(C553=0,D553&lt;&gt;0),"신규",IF(AND(C553&lt;&gt;0,D553=0),"소멸",IF(E553=0,"변동없음","금액변동"))))</x:f>
      </x:c>
      <x:c r="H553" s="73" t="str">
        <x:f>IF(A553="","",IF(AND(ABS(E553)&gt;='기준설정'!$B$6,OR(G553="신규",G553="소멸",F553&gt;='기준설정'!$B$5)),"원인분석 대상","일반"))</x:f>
      </x:c>
      <x:c r="I553" s="73" t="str">
        <x:f>IF(A553="","",IF(H553="원인분석 대상","세부원인분석 시트에서 거래별 원인을 검토","-"))</x:f>
      </x:c>
      <x:c r="J553" s="73" t="str">
        <x:f>IF(A553="","",COUNTIFS('전기원장'!$A$5:$A$1004,A553,'전기원장'!$J$5:$J$1004,"확인 필요")+COUNTIFS('당기원장'!$A$5:$A$1004,A553,'당기원장'!$J$5:$J$1004,"확인 필요"))</x:f>
      </x:c>
      <x:c r="K553" s="85" t="str">
        <x:f>IF(A553="","",IF(H553&lt;&gt;"원인분석 대상","",IF(J553&gt;0,"붙임 문서 확인 후 원인 확정 필요","결의서명 기반 원인분류 검토")))</x:f>
      </x:c>
    </x:row>
    <x:row r="554">
      <x:c r="A554" s="73" t="str">
        <x:f>IFERROR(INDEX('계산도우미'!$B$5:$B$2004,MATCH(ROWS($A$5:A554),'계산도우미'!$K$5:$K$2004,0)),"")</x:f>
      </x:c>
      <x:c r="B554" s="73" t="str">
        <x:f>IF(A554="","",IFERROR(INDEX('당기원장'!$B$5:$B$1004,MATCH(A554,'당기원장'!$A$5:$A$1004,0)),IFERROR(INDEX('전기원장'!$B$5:$B$1004,MATCH(A554,'전기원장'!$A$5:$A$1004,0)),"")))</x:f>
      </x:c>
      <x:c r="C554" s="75" t="str">
        <x:f>IF(A554="","",SUMIF('전기원장'!$A$5:$A$1004,A554,'전기원장'!$H$5:$H$1004))</x:f>
      </x:c>
      <x:c r="D554" s="75" t="str">
        <x:f>IF(A554="","",SUMIF('당기원장'!$A$5:$A$1004,A554,'당기원장'!$H$5:$H$1004))</x:f>
      </x:c>
      <x:c r="E554" s="75" t="str">
        <x:f>IF(A554="","",D554-C554)</x:f>
      </x:c>
      <x:c r="F554" s="88" t="str">
        <x:f>IF(A554="","",IF(C554=0,IF(D554=0,0,1),ABS(E554)/ABS(C554)))</x:f>
      </x:c>
      <x:c r="G554" s="73" t="str">
        <x:f>IF(A554="","",IF(AND(C554=0,D554&lt;&gt;0),"신규",IF(AND(C554&lt;&gt;0,D554=0),"소멸",IF(E554=0,"변동없음","금액변동"))))</x:f>
      </x:c>
      <x:c r="H554" s="73" t="str">
        <x:f>IF(A554="","",IF(AND(ABS(E554)&gt;='기준설정'!$B$6,OR(G554="신규",G554="소멸",F554&gt;='기준설정'!$B$5)),"원인분석 대상","일반"))</x:f>
      </x:c>
      <x:c r="I554" s="73" t="str">
        <x:f>IF(A554="","",IF(H554="원인분석 대상","세부원인분석 시트에서 거래별 원인을 검토","-"))</x:f>
      </x:c>
      <x:c r="J554" s="73" t="str">
        <x:f>IF(A554="","",COUNTIFS('전기원장'!$A$5:$A$1004,A554,'전기원장'!$J$5:$J$1004,"확인 필요")+COUNTIFS('당기원장'!$A$5:$A$1004,A554,'당기원장'!$J$5:$J$1004,"확인 필요"))</x:f>
      </x:c>
      <x:c r="K554" s="85" t="str">
        <x:f>IF(A554="","",IF(H554&lt;&gt;"원인분석 대상","",IF(J554&gt;0,"붙임 문서 확인 후 원인 확정 필요","결의서명 기반 원인분류 검토")))</x:f>
      </x:c>
    </x:row>
    <x:row r="555">
      <x:c r="A555" s="73" t="str">
        <x:f>IFERROR(INDEX('계산도우미'!$B$5:$B$2004,MATCH(ROWS($A$5:A555),'계산도우미'!$K$5:$K$2004,0)),"")</x:f>
      </x:c>
      <x:c r="B555" s="73" t="str">
        <x:f>IF(A555="","",IFERROR(INDEX('당기원장'!$B$5:$B$1004,MATCH(A555,'당기원장'!$A$5:$A$1004,0)),IFERROR(INDEX('전기원장'!$B$5:$B$1004,MATCH(A555,'전기원장'!$A$5:$A$1004,0)),"")))</x:f>
      </x:c>
      <x:c r="C555" s="75" t="str">
        <x:f>IF(A555="","",SUMIF('전기원장'!$A$5:$A$1004,A555,'전기원장'!$H$5:$H$1004))</x:f>
      </x:c>
      <x:c r="D555" s="75" t="str">
        <x:f>IF(A555="","",SUMIF('당기원장'!$A$5:$A$1004,A555,'당기원장'!$H$5:$H$1004))</x:f>
      </x:c>
      <x:c r="E555" s="75" t="str">
        <x:f>IF(A555="","",D555-C555)</x:f>
      </x:c>
      <x:c r="F555" s="88" t="str">
        <x:f>IF(A555="","",IF(C555=0,IF(D555=0,0,1),ABS(E555)/ABS(C555)))</x:f>
      </x:c>
      <x:c r="G555" s="73" t="str">
        <x:f>IF(A555="","",IF(AND(C555=0,D555&lt;&gt;0),"신규",IF(AND(C555&lt;&gt;0,D555=0),"소멸",IF(E555=0,"변동없음","금액변동"))))</x:f>
      </x:c>
      <x:c r="H555" s="73" t="str">
        <x:f>IF(A555="","",IF(AND(ABS(E555)&gt;='기준설정'!$B$6,OR(G555="신규",G555="소멸",F555&gt;='기준설정'!$B$5)),"원인분석 대상","일반"))</x:f>
      </x:c>
      <x:c r="I555" s="73" t="str">
        <x:f>IF(A555="","",IF(H555="원인분석 대상","세부원인분석 시트에서 거래별 원인을 검토","-"))</x:f>
      </x:c>
      <x:c r="J555" s="73" t="str">
        <x:f>IF(A555="","",COUNTIFS('전기원장'!$A$5:$A$1004,A555,'전기원장'!$J$5:$J$1004,"확인 필요")+COUNTIFS('당기원장'!$A$5:$A$1004,A555,'당기원장'!$J$5:$J$1004,"확인 필요"))</x:f>
      </x:c>
      <x:c r="K555" s="85" t="str">
        <x:f>IF(A555="","",IF(H555&lt;&gt;"원인분석 대상","",IF(J555&gt;0,"붙임 문서 확인 후 원인 확정 필요","결의서명 기반 원인분류 검토")))</x:f>
      </x:c>
    </x:row>
    <x:row r="556">
      <x:c r="A556" s="73" t="str">
        <x:f>IFERROR(INDEX('계산도우미'!$B$5:$B$2004,MATCH(ROWS($A$5:A556),'계산도우미'!$K$5:$K$2004,0)),"")</x:f>
      </x:c>
      <x:c r="B556" s="73" t="str">
        <x:f>IF(A556="","",IFERROR(INDEX('당기원장'!$B$5:$B$1004,MATCH(A556,'당기원장'!$A$5:$A$1004,0)),IFERROR(INDEX('전기원장'!$B$5:$B$1004,MATCH(A556,'전기원장'!$A$5:$A$1004,0)),"")))</x:f>
      </x:c>
      <x:c r="C556" s="75" t="str">
        <x:f>IF(A556="","",SUMIF('전기원장'!$A$5:$A$1004,A556,'전기원장'!$H$5:$H$1004))</x:f>
      </x:c>
      <x:c r="D556" s="75" t="str">
        <x:f>IF(A556="","",SUMIF('당기원장'!$A$5:$A$1004,A556,'당기원장'!$H$5:$H$1004))</x:f>
      </x:c>
      <x:c r="E556" s="75" t="str">
        <x:f>IF(A556="","",D556-C556)</x:f>
      </x:c>
      <x:c r="F556" s="88" t="str">
        <x:f>IF(A556="","",IF(C556=0,IF(D556=0,0,1),ABS(E556)/ABS(C556)))</x:f>
      </x:c>
      <x:c r="G556" s="73" t="str">
        <x:f>IF(A556="","",IF(AND(C556=0,D556&lt;&gt;0),"신규",IF(AND(C556&lt;&gt;0,D556=0),"소멸",IF(E556=0,"변동없음","금액변동"))))</x:f>
      </x:c>
      <x:c r="H556" s="73" t="str">
        <x:f>IF(A556="","",IF(AND(ABS(E556)&gt;='기준설정'!$B$6,OR(G556="신규",G556="소멸",F556&gt;='기준설정'!$B$5)),"원인분석 대상","일반"))</x:f>
      </x:c>
      <x:c r="I556" s="73" t="str">
        <x:f>IF(A556="","",IF(H556="원인분석 대상","세부원인분석 시트에서 거래별 원인을 검토","-"))</x:f>
      </x:c>
      <x:c r="J556" s="73" t="str">
        <x:f>IF(A556="","",COUNTIFS('전기원장'!$A$5:$A$1004,A556,'전기원장'!$J$5:$J$1004,"확인 필요")+COUNTIFS('당기원장'!$A$5:$A$1004,A556,'당기원장'!$J$5:$J$1004,"확인 필요"))</x:f>
      </x:c>
      <x:c r="K556" s="85" t="str">
        <x:f>IF(A556="","",IF(H556&lt;&gt;"원인분석 대상","",IF(J556&gt;0,"붙임 문서 확인 후 원인 확정 필요","결의서명 기반 원인분류 검토")))</x:f>
      </x:c>
    </x:row>
    <x:row r="557">
      <x:c r="A557" s="73" t="str">
        <x:f>IFERROR(INDEX('계산도우미'!$B$5:$B$2004,MATCH(ROWS($A$5:A557),'계산도우미'!$K$5:$K$2004,0)),"")</x:f>
      </x:c>
      <x:c r="B557" s="73" t="str">
        <x:f>IF(A557="","",IFERROR(INDEX('당기원장'!$B$5:$B$1004,MATCH(A557,'당기원장'!$A$5:$A$1004,0)),IFERROR(INDEX('전기원장'!$B$5:$B$1004,MATCH(A557,'전기원장'!$A$5:$A$1004,0)),"")))</x:f>
      </x:c>
      <x:c r="C557" s="75" t="str">
        <x:f>IF(A557="","",SUMIF('전기원장'!$A$5:$A$1004,A557,'전기원장'!$H$5:$H$1004))</x:f>
      </x:c>
      <x:c r="D557" s="75" t="str">
        <x:f>IF(A557="","",SUMIF('당기원장'!$A$5:$A$1004,A557,'당기원장'!$H$5:$H$1004))</x:f>
      </x:c>
      <x:c r="E557" s="75" t="str">
        <x:f>IF(A557="","",D557-C557)</x:f>
      </x:c>
      <x:c r="F557" s="88" t="str">
        <x:f>IF(A557="","",IF(C557=0,IF(D557=0,0,1),ABS(E557)/ABS(C557)))</x:f>
      </x:c>
      <x:c r="G557" s="73" t="str">
        <x:f>IF(A557="","",IF(AND(C557=0,D557&lt;&gt;0),"신규",IF(AND(C557&lt;&gt;0,D557=0),"소멸",IF(E557=0,"변동없음","금액변동"))))</x:f>
      </x:c>
      <x:c r="H557" s="73" t="str">
        <x:f>IF(A557="","",IF(AND(ABS(E557)&gt;='기준설정'!$B$6,OR(G557="신규",G557="소멸",F557&gt;='기준설정'!$B$5)),"원인분석 대상","일반"))</x:f>
      </x:c>
      <x:c r="I557" s="73" t="str">
        <x:f>IF(A557="","",IF(H557="원인분석 대상","세부원인분석 시트에서 거래별 원인을 검토","-"))</x:f>
      </x:c>
      <x:c r="J557" s="73" t="str">
        <x:f>IF(A557="","",COUNTIFS('전기원장'!$A$5:$A$1004,A557,'전기원장'!$J$5:$J$1004,"확인 필요")+COUNTIFS('당기원장'!$A$5:$A$1004,A557,'당기원장'!$J$5:$J$1004,"확인 필요"))</x:f>
      </x:c>
      <x:c r="K557" s="85" t="str">
        <x:f>IF(A557="","",IF(H557&lt;&gt;"원인분석 대상","",IF(J557&gt;0,"붙임 문서 확인 후 원인 확정 필요","결의서명 기반 원인분류 검토")))</x:f>
      </x:c>
    </x:row>
    <x:row r="558">
      <x:c r="A558" s="73" t="str">
        <x:f>IFERROR(INDEX('계산도우미'!$B$5:$B$2004,MATCH(ROWS($A$5:A558),'계산도우미'!$K$5:$K$2004,0)),"")</x:f>
      </x:c>
      <x:c r="B558" s="73" t="str">
        <x:f>IF(A558="","",IFERROR(INDEX('당기원장'!$B$5:$B$1004,MATCH(A558,'당기원장'!$A$5:$A$1004,0)),IFERROR(INDEX('전기원장'!$B$5:$B$1004,MATCH(A558,'전기원장'!$A$5:$A$1004,0)),"")))</x:f>
      </x:c>
      <x:c r="C558" s="75" t="str">
        <x:f>IF(A558="","",SUMIF('전기원장'!$A$5:$A$1004,A558,'전기원장'!$H$5:$H$1004))</x:f>
      </x:c>
      <x:c r="D558" s="75" t="str">
        <x:f>IF(A558="","",SUMIF('당기원장'!$A$5:$A$1004,A558,'당기원장'!$H$5:$H$1004))</x:f>
      </x:c>
      <x:c r="E558" s="75" t="str">
        <x:f>IF(A558="","",D558-C558)</x:f>
      </x:c>
      <x:c r="F558" s="88" t="str">
        <x:f>IF(A558="","",IF(C558=0,IF(D558=0,0,1),ABS(E558)/ABS(C558)))</x:f>
      </x:c>
      <x:c r="G558" s="73" t="str">
        <x:f>IF(A558="","",IF(AND(C558=0,D558&lt;&gt;0),"신규",IF(AND(C558&lt;&gt;0,D558=0),"소멸",IF(E558=0,"변동없음","금액변동"))))</x:f>
      </x:c>
      <x:c r="H558" s="73" t="str">
        <x:f>IF(A558="","",IF(AND(ABS(E558)&gt;='기준설정'!$B$6,OR(G558="신규",G558="소멸",F558&gt;='기준설정'!$B$5)),"원인분석 대상","일반"))</x:f>
      </x:c>
      <x:c r="I558" s="73" t="str">
        <x:f>IF(A558="","",IF(H558="원인분석 대상","세부원인분석 시트에서 거래별 원인을 검토","-"))</x:f>
      </x:c>
      <x:c r="J558" s="73" t="str">
        <x:f>IF(A558="","",COUNTIFS('전기원장'!$A$5:$A$1004,A558,'전기원장'!$J$5:$J$1004,"확인 필요")+COUNTIFS('당기원장'!$A$5:$A$1004,A558,'당기원장'!$J$5:$J$1004,"확인 필요"))</x:f>
      </x:c>
      <x:c r="K558" s="85" t="str">
        <x:f>IF(A558="","",IF(H558&lt;&gt;"원인분석 대상","",IF(J558&gt;0,"붙임 문서 확인 후 원인 확정 필요","결의서명 기반 원인분류 검토")))</x:f>
      </x:c>
    </x:row>
    <x:row r="559">
      <x:c r="A559" s="73" t="str">
        <x:f>IFERROR(INDEX('계산도우미'!$B$5:$B$2004,MATCH(ROWS($A$5:A559),'계산도우미'!$K$5:$K$2004,0)),"")</x:f>
      </x:c>
      <x:c r="B559" s="73" t="str">
        <x:f>IF(A559="","",IFERROR(INDEX('당기원장'!$B$5:$B$1004,MATCH(A559,'당기원장'!$A$5:$A$1004,0)),IFERROR(INDEX('전기원장'!$B$5:$B$1004,MATCH(A559,'전기원장'!$A$5:$A$1004,0)),"")))</x:f>
      </x:c>
      <x:c r="C559" s="75" t="str">
        <x:f>IF(A559="","",SUMIF('전기원장'!$A$5:$A$1004,A559,'전기원장'!$H$5:$H$1004))</x:f>
      </x:c>
      <x:c r="D559" s="75" t="str">
        <x:f>IF(A559="","",SUMIF('당기원장'!$A$5:$A$1004,A559,'당기원장'!$H$5:$H$1004))</x:f>
      </x:c>
      <x:c r="E559" s="75" t="str">
        <x:f>IF(A559="","",D559-C559)</x:f>
      </x:c>
      <x:c r="F559" s="88" t="str">
        <x:f>IF(A559="","",IF(C559=0,IF(D559=0,0,1),ABS(E559)/ABS(C559)))</x:f>
      </x:c>
      <x:c r="G559" s="73" t="str">
        <x:f>IF(A559="","",IF(AND(C559=0,D559&lt;&gt;0),"신규",IF(AND(C559&lt;&gt;0,D559=0),"소멸",IF(E559=0,"변동없음","금액변동"))))</x:f>
      </x:c>
      <x:c r="H559" s="73" t="str">
        <x:f>IF(A559="","",IF(AND(ABS(E559)&gt;='기준설정'!$B$6,OR(G559="신규",G559="소멸",F559&gt;='기준설정'!$B$5)),"원인분석 대상","일반"))</x:f>
      </x:c>
      <x:c r="I559" s="73" t="str">
        <x:f>IF(A559="","",IF(H559="원인분석 대상","세부원인분석 시트에서 거래별 원인을 검토","-"))</x:f>
      </x:c>
      <x:c r="J559" s="73" t="str">
        <x:f>IF(A559="","",COUNTIFS('전기원장'!$A$5:$A$1004,A559,'전기원장'!$J$5:$J$1004,"확인 필요")+COUNTIFS('당기원장'!$A$5:$A$1004,A559,'당기원장'!$J$5:$J$1004,"확인 필요"))</x:f>
      </x:c>
      <x:c r="K559" s="85" t="str">
        <x:f>IF(A559="","",IF(H559&lt;&gt;"원인분석 대상","",IF(J559&gt;0,"붙임 문서 확인 후 원인 확정 필요","결의서명 기반 원인분류 검토")))</x:f>
      </x:c>
    </x:row>
    <x:row r="560">
      <x:c r="A560" s="73" t="str">
        <x:f>IFERROR(INDEX('계산도우미'!$B$5:$B$2004,MATCH(ROWS($A$5:A560),'계산도우미'!$K$5:$K$2004,0)),"")</x:f>
      </x:c>
      <x:c r="B560" s="73" t="str">
        <x:f>IF(A560="","",IFERROR(INDEX('당기원장'!$B$5:$B$1004,MATCH(A560,'당기원장'!$A$5:$A$1004,0)),IFERROR(INDEX('전기원장'!$B$5:$B$1004,MATCH(A560,'전기원장'!$A$5:$A$1004,0)),"")))</x:f>
      </x:c>
      <x:c r="C560" s="75" t="str">
        <x:f>IF(A560="","",SUMIF('전기원장'!$A$5:$A$1004,A560,'전기원장'!$H$5:$H$1004))</x:f>
      </x:c>
      <x:c r="D560" s="75" t="str">
        <x:f>IF(A560="","",SUMIF('당기원장'!$A$5:$A$1004,A560,'당기원장'!$H$5:$H$1004))</x:f>
      </x:c>
      <x:c r="E560" s="75" t="str">
        <x:f>IF(A560="","",D560-C560)</x:f>
      </x:c>
      <x:c r="F560" s="88" t="str">
        <x:f>IF(A560="","",IF(C560=0,IF(D560=0,0,1),ABS(E560)/ABS(C560)))</x:f>
      </x:c>
      <x:c r="G560" s="73" t="str">
        <x:f>IF(A560="","",IF(AND(C560=0,D560&lt;&gt;0),"신규",IF(AND(C560&lt;&gt;0,D560=0),"소멸",IF(E560=0,"변동없음","금액변동"))))</x:f>
      </x:c>
      <x:c r="H560" s="73" t="str">
        <x:f>IF(A560="","",IF(AND(ABS(E560)&gt;='기준설정'!$B$6,OR(G560="신규",G560="소멸",F560&gt;='기준설정'!$B$5)),"원인분석 대상","일반"))</x:f>
      </x:c>
      <x:c r="I560" s="73" t="str">
        <x:f>IF(A560="","",IF(H560="원인분석 대상","세부원인분석 시트에서 거래별 원인을 검토","-"))</x:f>
      </x:c>
      <x:c r="J560" s="73" t="str">
        <x:f>IF(A560="","",COUNTIFS('전기원장'!$A$5:$A$1004,A560,'전기원장'!$J$5:$J$1004,"확인 필요")+COUNTIFS('당기원장'!$A$5:$A$1004,A560,'당기원장'!$J$5:$J$1004,"확인 필요"))</x:f>
      </x:c>
      <x:c r="K560" s="85" t="str">
        <x:f>IF(A560="","",IF(H560&lt;&gt;"원인분석 대상","",IF(J560&gt;0,"붙임 문서 확인 후 원인 확정 필요","결의서명 기반 원인분류 검토")))</x:f>
      </x:c>
    </x:row>
    <x:row r="561">
      <x:c r="A561" s="73" t="str">
        <x:f>IFERROR(INDEX('계산도우미'!$B$5:$B$2004,MATCH(ROWS($A$5:A561),'계산도우미'!$K$5:$K$2004,0)),"")</x:f>
      </x:c>
      <x:c r="B561" s="73" t="str">
        <x:f>IF(A561="","",IFERROR(INDEX('당기원장'!$B$5:$B$1004,MATCH(A561,'당기원장'!$A$5:$A$1004,0)),IFERROR(INDEX('전기원장'!$B$5:$B$1004,MATCH(A561,'전기원장'!$A$5:$A$1004,0)),"")))</x:f>
      </x:c>
      <x:c r="C561" s="75" t="str">
        <x:f>IF(A561="","",SUMIF('전기원장'!$A$5:$A$1004,A561,'전기원장'!$H$5:$H$1004))</x:f>
      </x:c>
      <x:c r="D561" s="75" t="str">
        <x:f>IF(A561="","",SUMIF('당기원장'!$A$5:$A$1004,A561,'당기원장'!$H$5:$H$1004))</x:f>
      </x:c>
      <x:c r="E561" s="75" t="str">
        <x:f>IF(A561="","",D561-C561)</x:f>
      </x:c>
      <x:c r="F561" s="88" t="str">
        <x:f>IF(A561="","",IF(C561=0,IF(D561=0,0,1),ABS(E561)/ABS(C561)))</x:f>
      </x:c>
      <x:c r="G561" s="73" t="str">
        <x:f>IF(A561="","",IF(AND(C561=0,D561&lt;&gt;0),"신규",IF(AND(C561&lt;&gt;0,D561=0),"소멸",IF(E561=0,"변동없음","금액변동"))))</x:f>
      </x:c>
      <x:c r="H561" s="73" t="str">
        <x:f>IF(A561="","",IF(AND(ABS(E561)&gt;='기준설정'!$B$6,OR(G561="신규",G561="소멸",F561&gt;='기준설정'!$B$5)),"원인분석 대상","일반"))</x:f>
      </x:c>
      <x:c r="I561" s="73" t="str">
        <x:f>IF(A561="","",IF(H561="원인분석 대상","세부원인분석 시트에서 거래별 원인을 검토","-"))</x:f>
      </x:c>
      <x:c r="J561" s="73" t="str">
        <x:f>IF(A561="","",COUNTIFS('전기원장'!$A$5:$A$1004,A561,'전기원장'!$J$5:$J$1004,"확인 필요")+COUNTIFS('당기원장'!$A$5:$A$1004,A561,'당기원장'!$J$5:$J$1004,"확인 필요"))</x:f>
      </x:c>
      <x:c r="K561" s="85" t="str">
        <x:f>IF(A561="","",IF(H561&lt;&gt;"원인분석 대상","",IF(J561&gt;0,"붙임 문서 확인 후 원인 확정 필요","결의서명 기반 원인분류 검토")))</x:f>
      </x:c>
    </x:row>
    <x:row r="562">
      <x:c r="A562" s="73" t="str">
        <x:f>IFERROR(INDEX('계산도우미'!$B$5:$B$2004,MATCH(ROWS($A$5:A562),'계산도우미'!$K$5:$K$2004,0)),"")</x:f>
      </x:c>
      <x:c r="B562" s="73" t="str">
        <x:f>IF(A562="","",IFERROR(INDEX('당기원장'!$B$5:$B$1004,MATCH(A562,'당기원장'!$A$5:$A$1004,0)),IFERROR(INDEX('전기원장'!$B$5:$B$1004,MATCH(A562,'전기원장'!$A$5:$A$1004,0)),"")))</x:f>
      </x:c>
      <x:c r="C562" s="75" t="str">
        <x:f>IF(A562="","",SUMIF('전기원장'!$A$5:$A$1004,A562,'전기원장'!$H$5:$H$1004))</x:f>
      </x:c>
      <x:c r="D562" s="75" t="str">
        <x:f>IF(A562="","",SUMIF('당기원장'!$A$5:$A$1004,A562,'당기원장'!$H$5:$H$1004))</x:f>
      </x:c>
      <x:c r="E562" s="75" t="str">
        <x:f>IF(A562="","",D562-C562)</x:f>
      </x:c>
      <x:c r="F562" s="88" t="str">
        <x:f>IF(A562="","",IF(C562=0,IF(D562=0,0,1),ABS(E562)/ABS(C562)))</x:f>
      </x:c>
      <x:c r="G562" s="73" t="str">
        <x:f>IF(A562="","",IF(AND(C562=0,D562&lt;&gt;0),"신규",IF(AND(C562&lt;&gt;0,D562=0),"소멸",IF(E562=0,"변동없음","금액변동"))))</x:f>
      </x:c>
      <x:c r="H562" s="73" t="str">
        <x:f>IF(A562="","",IF(AND(ABS(E562)&gt;='기준설정'!$B$6,OR(G562="신규",G562="소멸",F562&gt;='기준설정'!$B$5)),"원인분석 대상","일반"))</x:f>
      </x:c>
      <x:c r="I562" s="73" t="str">
        <x:f>IF(A562="","",IF(H562="원인분석 대상","세부원인분석 시트에서 거래별 원인을 검토","-"))</x:f>
      </x:c>
      <x:c r="J562" s="73" t="str">
        <x:f>IF(A562="","",COUNTIFS('전기원장'!$A$5:$A$1004,A562,'전기원장'!$J$5:$J$1004,"확인 필요")+COUNTIFS('당기원장'!$A$5:$A$1004,A562,'당기원장'!$J$5:$J$1004,"확인 필요"))</x:f>
      </x:c>
      <x:c r="K562" s="85" t="str">
        <x:f>IF(A562="","",IF(H562&lt;&gt;"원인분석 대상","",IF(J562&gt;0,"붙임 문서 확인 후 원인 확정 필요","결의서명 기반 원인분류 검토")))</x:f>
      </x:c>
    </x:row>
    <x:row r="563">
      <x:c r="A563" s="73" t="str">
        <x:f>IFERROR(INDEX('계산도우미'!$B$5:$B$2004,MATCH(ROWS($A$5:A563),'계산도우미'!$K$5:$K$2004,0)),"")</x:f>
      </x:c>
      <x:c r="B563" s="73" t="str">
        <x:f>IF(A563="","",IFERROR(INDEX('당기원장'!$B$5:$B$1004,MATCH(A563,'당기원장'!$A$5:$A$1004,0)),IFERROR(INDEX('전기원장'!$B$5:$B$1004,MATCH(A563,'전기원장'!$A$5:$A$1004,0)),"")))</x:f>
      </x:c>
      <x:c r="C563" s="75" t="str">
        <x:f>IF(A563="","",SUMIF('전기원장'!$A$5:$A$1004,A563,'전기원장'!$H$5:$H$1004))</x:f>
      </x:c>
      <x:c r="D563" s="75" t="str">
        <x:f>IF(A563="","",SUMIF('당기원장'!$A$5:$A$1004,A563,'당기원장'!$H$5:$H$1004))</x:f>
      </x:c>
      <x:c r="E563" s="75" t="str">
        <x:f>IF(A563="","",D563-C563)</x:f>
      </x:c>
      <x:c r="F563" s="88" t="str">
        <x:f>IF(A563="","",IF(C563=0,IF(D563=0,0,1),ABS(E563)/ABS(C563)))</x:f>
      </x:c>
      <x:c r="G563" s="73" t="str">
        <x:f>IF(A563="","",IF(AND(C563=0,D563&lt;&gt;0),"신규",IF(AND(C563&lt;&gt;0,D563=0),"소멸",IF(E563=0,"변동없음","금액변동"))))</x:f>
      </x:c>
      <x:c r="H563" s="73" t="str">
        <x:f>IF(A563="","",IF(AND(ABS(E563)&gt;='기준설정'!$B$6,OR(G563="신규",G563="소멸",F563&gt;='기준설정'!$B$5)),"원인분석 대상","일반"))</x:f>
      </x:c>
      <x:c r="I563" s="73" t="str">
        <x:f>IF(A563="","",IF(H563="원인분석 대상","세부원인분석 시트에서 거래별 원인을 검토","-"))</x:f>
      </x:c>
      <x:c r="J563" s="73" t="str">
        <x:f>IF(A563="","",COUNTIFS('전기원장'!$A$5:$A$1004,A563,'전기원장'!$J$5:$J$1004,"확인 필요")+COUNTIFS('당기원장'!$A$5:$A$1004,A563,'당기원장'!$J$5:$J$1004,"확인 필요"))</x:f>
      </x:c>
      <x:c r="K563" s="85" t="str">
        <x:f>IF(A563="","",IF(H563&lt;&gt;"원인분석 대상","",IF(J563&gt;0,"붙임 문서 확인 후 원인 확정 필요","결의서명 기반 원인분류 검토")))</x:f>
      </x:c>
    </x:row>
    <x:row r="564">
      <x:c r="A564" s="73" t="str">
        <x:f>IFERROR(INDEX('계산도우미'!$B$5:$B$2004,MATCH(ROWS($A$5:A564),'계산도우미'!$K$5:$K$2004,0)),"")</x:f>
      </x:c>
      <x:c r="B564" s="73" t="str">
        <x:f>IF(A564="","",IFERROR(INDEX('당기원장'!$B$5:$B$1004,MATCH(A564,'당기원장'!$A$5:$A$1004,0)),IFERROR(INDEX('전기원장'!$B$5:$B$1004,MATCH(A564,'전기원장'!$A$5:$A$1004,0)),"")))</x:f>
      </x:c>
      <x:c r="C564" s="75" t="str">
        <x:f>IF(A564="","",SUMIF('전기원장'!$A$5:$A$1004,A564,'전기원장'!$H$5:$H$1004))</x:f>
      </x:c>
      <x:c r="D564" s="75" t="str">
        <x:f>IF(A564="","",SUMIF('당기원장'!$A$5:$A$1004,A564,'당기원장'!$H$5:$H$1004))</x:f>
      </x:c>
      <x:c r="E564" s="75" t="str">
        <x:f>IF(A564="","",D564-C564)</x:f>
      </x:c>
      <x:c r="F564" s="88" t="str">
        <x:f>IF(A564="","",IF(C564=0,IF(D564=0,0,1),ABS(E564)/ABS(C564)))</x:f>
      </x:c>
      <x:c r="G564" s="73" t="str">
        <x:f>IF(A564="","",IF(AND(C564=0,D564&lt;&gt;0),"신규",IF(AND(C564&lt;&gt;0,D564=0),"소멸",IF(E564=0,"변동없음","금액변동"))))</x:f>
      </x:c>
      <x:c r="H564" s="73" t="str">
        <x:f>IF(A564="","",IF(AND(ABS(E564)&gt;='기준설정'!$B$6,OR(G564="신규",G564="소멸",F564&gt;='기준설정'!$B$5)),"원인분석 대상","일반"))</x:f>
      </x:c>
      <x:c r="I564" s="73" t="str">
        <x:f>IF(A564="","",IF(H564="원인분석 대상","세부원인분석 시트에서 거래별 원인을 검토","-"))</x:f>
      </x:c>
      <x:c r="J564" s="73" t="str">
        <x:f>IF(A564="","",COUNTIFS('전기원장'!$A$5:$A$1004,A564,'전기원장'!$J$5:$J$1004,"확인 필요")+COUNTIFS('당기원장'!$A$5:$A$1004,A564,'당기원장'!$J$5:$J$1004,"확인 필요"))</x:f>
      </x:c>
      <x:c r="K564" s="85" t="str">
        <x:f>IF(A564="","",IF(H564&lt;&gt;"원인분석 대상","",IF(J564&gt;0,"붙임 문서 확인 후 원인 확정 필요","결의서명 기반 원인분류 검토")))</x:f>
      </x:c>
    </x:row>
    <x:row r="565">
      <x:c r="A565" s="73" t="str">
        <x:f>IFERROR(INDEX('계산도우미'!$B$5:$B$2004,MATCH(ROWS($A$5:A565),'계산도우미'!$K$5:$K$2004,0)),"")</x:f>
      </x:c>
      <x:c r="B565" s="73" t="str">
        <x:f>IF(A565="","",IFERROR(INDEX('당기원장'!$B$5:$B$1004,MATCH(A565,'당기원장'!$A$5:$A$1004,0)),IFERROR(INDEX('전기원장'!$B$5:$B$1004,MATCH(A565,'전기원장'!$A$5:$A$1004,0)),"")))</x:f>
      </x:c>
      <x:c r="C565" s="75" t="str">
        <x:f>IF(A565="","",SUMIF('전기원장'!$A$5:$A$1004,A565,'전기원장'!$H$5:$H$1004))</x:f>
      </x:c>
      <x:c r="D565" s="75" t="str">
        <x:f>IF(A565="","",SUMIF('당기원장'!$A$5:$A$1004,A565,'당기원장'!$H$5:$H$1004))</x:f>
      </x:c>
      <x:c r="E565" s="75" t="str">
        <x:f>IF(A565="","",D565-C565)</x:f>
      </x:c>
      <x:c r="F565" s="88" t="str">
        <x:f>IF(A565="","",IF(C565=0,IF(D565=0,0,1),ABS(E565)/ABS(C565)))</x:f>
      </x:c>
      <x:c r="G565" s="73" t="str">
        <x:f>IF(A565="","",IF(AND(C565=0,D565&lt;&gt;0),"신규",IF(AND(C565&lt;&gt;0,D565=0),"소멸",IF(E565=0,"변동없음","금액변동"))))</x:f>
      </x:c>
      <x:c r="H565" s="73" t="str">
        <x:f>IF(A565="","",IF(AND(ABS(E565)&gt;='기준설정'!$B$6,OR(G565="신규",G565="소멸",F565&gt;='기준설정'!$B$5)),"원인분석 대상","일반"))</x:f>
      </x:c>
      <x:c r="I565" s="73" t="str">
        <x:f>IF(A565="","",IF(H565="원인분석 대상","세부원인분석 시트에서 거래별 원인을 검토","-"))</x:f>
      </x:c>
      <x:c r="J565" s="73" t="str">
        <x:f>IF(A565="","",COUNTIFS('전기원장'!$A$5:$A$1004,A565,'전기원장'!$J$5:$J$1004,"확인 필요")+COUNTIFS('당기원장'!$A$5:$A$1004,A565,'당기원장'!$J$5:$J$1004,"확인 필요"))</x:f>
      </x:c>
      <x:c r="K565" s="85" t="str">
        <x:f>IF(A565="","",IF(H565&lt;&gt;"원인분석 대상","",IF(J565&gt;0,"붙임 문서 확인 후 원인 확정 필요","결의서명 기반 원인분류 검토")))</x:f>
      </x:c>
    </x:row>
    <x:row r="566">
      <x:c r="A566" s="73" t="str">
        <x:f>IFERROR(INDEX('계산도우미'!$B$5:$B$2004,MATCH(ROWS($A$5:A566),'계산도우미'!$K$5:$K$2004,0)),"")</x:f>
      </x:c>
      <x:c r="B566" s="73" t="str">
        <x:f>IF(A566="","",IFERROR(INDEX('당기원장'!$B$5:$B$1004,MATCH(A566,'당기원장'!$A$5:$A$1004,0)),IFERROR(INDEX('전기원장'!$B$5:$B$1004,MATCH(A566,'전기원장'!$A$5:$A$1004,0)),"")))</x:f>
      </x:c>
      <x:c r="C566" s="75" t="str">
        <x:f>IF(A566="","",SUMIF('전기원장'!$A$5:$A$1004,A566,'전기원장'!$H$5:$H$1004))</x:f>
      </x:c>
      <x:c r="D566" s="75" t="str">
        <x:f>IF(A566="","",SUMIF('당기원장'!$A$5:$A$1004,A566,'당기원장'!$H$5:$H$1004))</x:f>
      </x:c>
      <x:c r="E566" s="75" t="str">
        <x:f>IF(A566="","",D566-C566)</x:f>
      </x:c>
      <x:c r="F566" s="88" t="str">
        <x:f>IF(A566="","",IF(C566=0,IF(D566=0,0,1),ABS(E566)/ABS(C566)))</x:f>
      </x:c>
      <x:c r="G566" s="73" t="str">
        <x:f>IF(A566="","",IF(AND(C566=0,D566&lt;&gt;0),"신규",IF(AND(C566&lt;&gt;0,D566=0),"소멸",IF(E566=0,"변동없음","금액변동"))))</x:f>
      </x:c>
      <x:c r="H566" s="73" t="str">
        <x:f>IF(A566="","",IF(AND(ABS(E566)&gt;='기준설정'!$B$6,OR(G566="신규",G566="소멸",F566&gt;='기준설정'!$B$5)),"원인분석 대상","일반"))</x:f>
      </x:c>
      <x:c r="I566" s="73" t="str">
        <x:f>IF(A566="","",IF(H566="원인분석 대상","세부원인분석 시트에서 거래별 원인을 검토","-"))</x:f>
      </x:c>
      <x:c r="J566" s="73" t="str">
        <x:f>IF(A566="","",COUNTIFS('전기원장'!$A$5:$A$1004,A566,'전기원장'!$J$5:$J$1004,"확인 필요")+COUNTIFS('당기원장'!$A$5:$A$1004,A566,'당기원장'!$J$5:$J$1004,"확인 필요"))</x:f>
      </x:c>
      <x:c r="K566" s="85" t="str">
        <x:f>IF(A566="","",IF(H566&lt;&gt;"원인분석 대상","",IF(J566&gt;0,"붙임 문서 확인 후 원인 확정 필요","결의서명 기반 원인분류 검토")))</x:f>
      </x:c>
    </x:row>
    <x:row r="567">
      <x:c r="A567" s="73" t="str">
        <x:f>IFERROR(INDEX('계산도우미'!$B$5:$B$2004,MATCH(ROWS($A$5:A567),'계산도우미'!$K$5:$K$2004,0)),"")</x:f>
      </x:c>
      <x:c r="B567" s="73" t="str">
        <x:f>IF(A567="","",IFERROR(INDEX('당기원장'!$B$5:$B$1004,MATCH(A567,'당기원장'!$A$5:$A$1004,0)),IFERROR(INDEX('전기원장'!$B$5:$B$1004,MATCH(A567,'전기원장'!$A$5:$A$1004,0)),"")))</x:f>
      </x:c>
      <x:c r="C567" s="75" t="str">
        <x:f>IF(A567="","",SUMIF('전기원장'!$A$5:$A$1004,A567,'전기원장'!$H$5:$H$1004))</x:f>
      </x:c>
      <x:c r="D567" s="75" t="str">
        <x:f>IF(A567="","",SUMIF('당기원장'!$A$5:$A$1004,A567,'당기원장'!$H$5:$H$1004))</x:f>
      </x:c>
      <x:c r="E567" s="75" t="str">
        <x:f>IF(A567="","",D567-C567)</x:f>
      </x:c>
      <x:c r="F567" s="88" t="str">
        <x:f>IF(A567="","",IF(C567=0,IF(D567=0,0,1),ABS(E567)/ABS(C567)))</x:f>
      </x:c>
      <x:c r="G567" s="73" t="str">
        <x:f>IF(A567="","",IF(AND(C567=0,D567&lt;&gt;0),"신규",IF(AND(C567&lt;&gt;0,D567=0),"소멸",IF(E567=0,"변동없음","금액변동"))))</x:f>
      </x:c>
      <x:c r="H567" s="73" t="str">
        <x:f>IF(A567="","",IF(AND(ABS(E567)&gt;='기준설정'!$B$6,OR(G567="신규",G567="소멸",F567&gt;='기준설정'!$B$5)),"원인분석 대상","일반"))</x:f>
      </x:c>
      <x:c r="I567" s="73" t="str">
        <x:f>IF(A567="","",IF(H567="원인분석 대상","세부원인분석 시트에서 거래별 원인을 검토","-"))</x:f>
      </x:c>
      <x:c r="J567" s="73" t="str">
        <x:f>IF(A567="","",COUNTIFS('전기원장'!$A$5:$A$1004,A567,'전기원장'!$J$5:$J$1004,"확인 필요")+COUNTIFS('당기원장'!$A$5:$A$1004,A567,'당기원장'!$J$5:$J$1004,"확인 필요"))</x:f>
      </x:c>
      <x:c r="K567" s="85" t="str">
        <x:f>IF(A567="","",IF(H567&lt;&gt;"원인분석 대상","",IF(J567&gt;0,"붙임 문서 확인 후 원인 확정 필요","결의서명 기반 원인분류 검토")))</x:f>
      </x:c>
    </x:row>
    <x:row r="568">
      <x:c r="A568" s="73" t="str">
        <x:f>IFERROR(INDEX('계산도우미'!$B$5:$B$2004,MATCH(ROWS($A$5:A568),'계산도우미'!$K$5:$K$2004,0)),"")</x:f>
      </x:c>
      <x:c r="B568" s="73" t="str">
        <x:f>IF(A568="","",IFERROR(INDEX('당기원장'!$B$5:$B$1004,MATCH(A568,'당기원장'!$A$5:$A$1004,0)),IFERROR(INDEX('전기원장'!$B$5:$B$1004,MATCH(A568,'전기원장'!$A$5:$A$1004,0)),"")))</x:f>
      </x:c>
      <x:c r="C568" s="75" t="str">
        <x:f>IF(A568="","",SUMIF('전기원장'!$A$5:$A$1004,A568,'전기원장'!$H$5:$H$1004))</x:f>
      </x:c>
      <x:c r="D568" s="75" t="str">
        <x:f>IF(A568="","",SUMIF('당기원장'!$A$5:$A$1004,A568,'당기원장'!$H$5:$H$1004))</x:f>
      </x:c>
      <x:c r="E568" s="75" t="str">
        <x:f>IF(A568="","",D568-C568)</x:f>
      </x:c>
      <x:c r="F568" s="88" t="str">
        <x:f>IF(A568="","",IF(C568=0,IF(D568=0,0,1),ABS(E568)/ABS(C568)))</x:f>
      </x:c>
      <x:c r="G568" s="73" t="str">
        <x:f>IF(A568="","",IF(AND(C568=0,D568&lt;&gt;0),"신규",IF(AND(C568&lt;&gt;0,D568=0),"소멸",IF(E568=0,"변동없음","금액변동"))))</x:f>
      </x:c>
      <x:c r="H568" s="73" t="str">
        <x:f>IF(A568="","",IF(AND(ABS(E568)&gt;='기준설정'!$B$6,OR(G568="신규",G568="소멸",F568&gt;='기준설정'!$B$5)),"원인분석 대상","일반"))</x:f>
      </x:c>
      <x:c r="I568" s="73" t="str">
        <x:f>IF(A568="","",IF(H568="원인분석 대상","세부원인분석 시트에서 거래별 원인을 검토","-"))</x:f>
      </x:c>
      <x:c r="J568" s="73" t="str">
        <x:f>IF(A568="","",COUNTIFS('전기원장'!$A$5:$A$1004,A568,'전기원장'!$J$5:$J$1004,"확인 필요")+COUNTIFS('당기원장'!$A$5:$A$1004,A568,'당기원장'!$J$5:$J$1004,"확인 필요"))</x:f>
      </x:c>
      <x:c r="K568" s="85" t="str">
        <x:f>IF(A568="","",IF(H568&lt;&gt;"원인분석 대상","",IF(J568&gt;0,"붙임 문서 확인 후 원인 확정 필요","결의서명 기반 원인분류 검토")))</x:f>
      </x:c>
    </x:row>
    <x:row r="569">
      <x:c r="A569" s="73" t="str">
        <x:f>IFERROR(INDEX('계산도우미'!$B$5:$B$2004,MATCH(ROWS($A$5:A569),'계산도우미'!$K$5:$K$2004,0)),"")</x:f>
      </x:c>
      <x:c r="B569" s="73" t="str">
        <x:f>IF(A569="","",IFERROR(INDEX('당기원장'!$B$5:$B$1004,MATCH(A569,'당기원장'!$A$5:$A$1004,0)),IFERROR(INDEX('전기원장'!$B$5:$B$1004,MATCH(A569,'전기원장'!$A$5:$A$1004,0)),"")))</x:f>
      </x:c>
      <x:c r="C569" s="75" t="str">
        <x:f>IF(A569="","",SUMIF('전기원장'!$A$5:$A$1004,A569,'전기원장'!$H$5:$H$1004))</x:f>
      </x:c>
      <x:c r="D569" s="75" t="str">
        <x:f>IF(A569="","",SUMIF('당기원장'!$A$5:$A$1004,A569,'당기원장'!$H$5:$H$1004))</x:f>
      </x:c>
      <x:c r="E569" s="75" t="str">
        <x:f>IF(A569="","",D569-C569)</x:f>
      </x:c>
      <x:c r="F569" s="88" t="str">
        <x:f>IF(A569="","",IF(C569=0,IF(D569=0,0,1),ABS(E569)/ABS(C569)))</x:f>
      </x:c>
      <x:c r="G569" s="73" t="str">
        <x:f>IF(A569="","",IF(AND(C569=0,D569&lt;&gt;0),"신규",IF(AND(C569&lt;&gt;0,D569=0),"소멸",IF(E569=0,"변동없음","금액변동"))))</x:f>
      </x:c>
      <x:c r="H569" s="73" t="str">
        <x:f>IF(A569="","",IF(AND(ABS(E569)&gt;='기준설정'!$B$6,OR(G569="신규",G569="소멸",F569&gt;='기준설정'!$B$5)),"원인분석 대상","일반"))</x:f>
      </x:c>
      <x:c r="I569" s="73" t="str">
        <x:f>IF(A569="","",IF(H569="원인분석 대상","세부원인분석 시트에서 거래별 원인을 검토","-"))</x:f>
      </x:c>
      <x:c r="J569" s="73" t="str">
        <x:f>IF(A569="","",COUNTIFS('전기원장'!$A$5:$A$1004,A569,'전기원장'!$J$5:$J$1004,"확인 필요")+COUNTIFS('당기원장'!$A$5:$A$1004,A569,'당기원장'!$J$5:$J$1004,"확인 필요"))</x:f>
      </x:c>
      <x:c r="K569" s="85" t="str">
        <x:f>IF(A569="","",IF(H569&lt;&gt;"원인분석 대상","",IF(J569&gt;0,"붙임 문서 확인 후 원인 확정 필요","결의서명 기반 원인분류 검토")))</x:f>
      </x:c>
    </x:row>
    <x:row r="570">
      <x:c r="A570" s="73" t="str">
        <x:f>IFERROR(INDEX('계산도우미'!$B$5:$B$2004,MATCH(ROWS($A$5:A570),'계산도우미'!$K$5:$K$2004,0)),"")</x:f>
      </x:c>
      <x:c r="B570" s="73" t="str">
        <x:f>IF(A570="","",IFERROR(INDEX('당기원장'!$B$5:$B$1004,MATCH(A570,'당기원장'!$A$5:$A$1004,0)),IFERROR(INDEX('전기원장'!$B$5:$B$1004,MATCH(A570,'전기원장'!$A$5:$A$1004,0)),"")))</x:f>
      </x:c>
      <x:c r="C570" s="75" t="str">
        <x:f>IF(A570="","",SUMIF('전기원장'!$A$5:$A$1004,A570,'전기원장'!$H$5:$H$1004))</x:f>
      </x:c>
      <x:c r="D570" s="75" t="str">
        <x:f>IF(A570="","",SUMIF('당기원장'!$A$5:$A$1004,A570,'당기원장'!$H$5:$H$1004))</x:f>
      </x:c>
      <x:c r="E570" s="75" t="str">
        <x:f>IF(A570="","",D570-C570)</x:f>
      </x:c>
      <x:c r="F570" s="88" t="str">
        <x:f>IF(A570="","",IF(C570=0,IF(D570=0,0,1),ABS(E570)/ABS(C570)))</x:f>
      </x:c>
      <x:c r="G570" s="73" t="str">
        <x:f>IF(A570="","",IF(AND(C570=0,D570&lt;&gt;0),"신규",IF(AND(C570&lt;&gt;0,D570=0),"소멸",IF(E570=0,"변동없음","금액변동"))))</x:f>
      </x:c>
      <x:c r="H570" s="73" t="str">
        <x:f>IF(A570="","",IF(AND(ABS(E570)&gt;='기준설정'!$B$6,OR(G570="신규",G570="소멸",F570&gt;='기준설정'!$B$5)),"원인분석 대상","일반"))</x:f>
      </x:c>
      <x:c r="I570" s="73" t="str">
        <x:f>IF(A570="","",IF(H570="원인분석 대상","세부원인분석 시트에서 거래별 원인을 검토","-"))</x:f>
      </x:c>
      <x:c r="J570" s="73" t="str">
        <x:f>IF(A570="","",COUNTIFS('전기원장'!$A$5:$A$1004,A570,'전기원장'!$J$5:$J$1004,"확인 필요")+COUNTIFS('당기원장'!$A$5:$A$1004,A570,'당기원장'!$J$5:$J$1004,"확인 필요"))</x:f>
      </x:c>
      <x:c r="K570" s="85" t="str">
        <x:f>IF(A570="","",IF(H570&lt;&gt;"원인분석 대상","",IF(J570&gt;0,"붙임 문서 확인 후 원인 확정 필요","결의서명 기반 원인분류 검토")))</x:f>
      </x:c>
    </x:row>
    <x:row r="571">
      <x:c r="A571" s="73" t="str">
        <x:f>IFERROR(INDEX('계산도우미'!$B$5:$B$2004,MATCH(ROWS($A$5:A571),'계산도우미'!$K$5:$K$2004,0)),"")</x:f>
      </x:c>
      <x:c r="B571" s="73" t="str">
        <x:f>IF(A571="","",IFERROR(INDEX('당기원장'!$B$5:$B$1004,MATCH(A571,'당기원장'!$A$5:$A$1004,0)),IFERROR(INDEX('전기원장'!$B$5:$B$1004,MATCH(A571,'전기원장'!$A$5:$A$1004,0)),"")))</x:f>
      </x:c>
      <x:c r="C571" s="75" t="str">
        <x:f>IF(A571="","",SUMIF('전기원장'!$A$5:$A$1004,A571,'전기원장'!$H$5:$H$1004))</x:f>
      </x:c>
      <x:c r="D571" s="75" t="str">
        <x:f>IF(A571="","",SUMIF('당기원장'!$A$5:$A$1004,A571,'당기원장'!$H$5:$H$1004))</x:f>
      </x:c>
      <x:c r="E571" s="75" t="str">
        <x:f>IF(A571="","",D571-C571)</x:f>
      </x:c>
      <x:c r="F571" s="88" t="str">
        <x:f>IF(A571="","",IF(C571=0,IF(D571=0,0,1),ABS(E571)/ABS(C571)))</x:f>
      </x:c>
      <x:c r="G571" s="73" t="str">
        <x:f>IF(A571="","",IF(AND(C571=0,D571&lt;&gt;0),"신규",IF(AND(C571&lt;&gt;0,D571=0),"소멸",IF(E571=0,"변동없음","금액변동"))))</x:f>
      </x:c>
      <x:c r="H571" s="73" t="str">
        <x:f>IF(A571="","",IF(AND(ABS(E571)&gt;='기준설정'!$B$6,OR(G571="신규",G571="소멸",F571&gt;='기준설정'!$B$5)),"원인분석 대상","일반"))</x:f>
      </x:c>
      <x:c r="I571" s="73" t="str">
        <x:f>IF(A571="","",IF(H571="원인분석 대상","세부원인분석 시트에서 거래별 원인을 검토","-"))</x:f>
      </x:c>
      <x:c r="J571" s="73" t="str">
        <x:f>IF(A571="","",COUNTIFS('전기원장'!$A$5:$A$1004,A571,'전기원장'!$J$5:$J$1004,"확인 필요")+COUNTIFS('당기원장'!$A$5:$A$1004,A571,'당기원장'!$J$5:$J$1004,"확인 필요"))</x:f>
      </x:c>
      <x:c r="K571" s="85" t="str">
        <x:f>IF(A571="","",IF(H571&lt;&gt;"원인분석 대상","",IF(J571&gt;0,"붙임 문서 확인 후 원인 확정 필요","결의서명 기반 원인분류 검토")))</x:f>
      </x:c>
    </x:row>
    <x:row r="572">
      <x:c r="A572" s="73" t="str">
        <x:f>IFERROR(INDEX('계산도우미'!$B$5:$B$2004,MATCH(ROWS($A$5:A572),'계산도우미'!$K$5:$K$2004,0)),"")</x:f>
      </x:c>
      <x:c r="B572" s="73" t="str">
        <x:f>IF(A572="","",IFERROR(INDEX('당기원장'!$B$5:$B$1004,MATCH(A572,'당기원장'!$A$5:$A$1004,0)),IFERROR(INDEX('전기원장'!$B$5:$B$1004,MATCH(A572,'전기원장'!$A$5:$A$1004,0)),"")))</x:f>
      </x:c>
      <x:c r="C572" s="75" t="str">
        <x:f>IF(A572="","",SUMIF('전기원장'!$A$5:$A$1004,A572,'전기원장'!$H$5:$H$1004))</x:f>
      </x:c>
      <x:c r="D572" s="75" t="str">
        <x:f>IF(A572="","",SUMIF('당기원장'!$A$5:$A$1004,A572,'당기원장'!$H$5:$H$1004))</x:f>
      </x:c>
      <x:c r="E572" s="75" t="str">
        <x:f>IF(A572="","",D572-C572)</x:f>
      </x:c>
      <x:c r="F572" s="88" t="str">
        <x:f>IF(A572="","",IF(C572=0,IF(D572=0,0,1),ABS(E572)/ABS(C572)))</x:f>
      </x:c>
      <x:c r="G572" s="73" t="str">
        <x:f>IF(A572="","",IF(AND(C572=0,D572&lt;&gt;0),"신규",IF(AND(C572&lt;&gt;0,D572=0),"소멸",IF(E572=0,"변동없음","금액변동"))))</x:f>
      </x:c>
      <x:c r="H572" s="73" t="str">
        <x:f>IF(A572="","",IF(AND(ABS(E572)&gt;='기준설정'!$B$6,OR(G572="신규",G572="소멸",F572&gt;='기준설정'!$B$5)),"원인분석 대상","일반"))</x:f>
      </x:c>
      <x:c r="I572" s="73" t="str">
        <x:f>IF(A572="","",IF(H572="원인분석 대상","세부원인분석 시트에서 거래별 원인을 검토","-"))</x:f>
      </x:c>
      <x:c r="J572" s="73" t="str">
        <x:f>IF(A572="","",COUNTIFS('전기원장'!$A$5:$A$1004,A572,'전기원장'!$J$5:$J$1004,"확인 필요")+COUNTIFS('당기원장'!$A$5:$A$1004,A572,'당기원장'!$J$5:$J$1004,"확인 필요"))</x:f>
      </x:c>
      <x:c r="K572" s="85" t="str">
        <x:f>IF(A572="","",IF(H572&lt;&gt;"원인분석 대상","",IF(J572&gt;0,"붙임 문서 확인 후 원인 확정 필요","결의서명 기반 원인분류 검토")))</x:f>
      </x:c>
    </x:row>
    <x:row r="573">
      <x:c r="A573" s="73" t="str">
        <x:f>IFERROR(INDEX('계산도우미'!$B$5:$B$2004,MATCH(ROWS($A$5:A573),'계산도우미'!$K$5:$K$2004,0)),"")</x:f>
      </x:c>
      <x:c r="B573" s="73" t="str">
        <x:f>IF(A573="","",IFERROR(INDEX('당기원장'!$B$5:$B$1004,MATCH(A573,'당기원장'!$A$5:$A$1004,0)),IFERROR(INDEX('전기원장'!$B$5:$B$1004,MATCH(A573,'전기원장'!$A$5:$A$1004,0)),"")))</x:f>
      </x:c>
      <x:c r="C573" s="75" t="str">
        <x:f>IF(A573="","",SUMIF('전기원장'!$A$5:$A$1004,A573,'전기원장'!$H$5:$H$1004))</x:f>
      </x:c>
      <x:c r="D573" s="75" t="str">
        <x:f>IF(A573="","",SUMIF('당기원장'!$A$5:$A$1004,A573,'당기원장'!$H$5:$H$1004))</x:f>
      </x:c>
      <x:c r="E573" s="75" t="str">
        <x:f>IF(A573="","",D573-C573)</x:f>
      </x:c>
      <x:c r="F573" s="88" t="str">
        <x:f>IF(A573="","",IF(C573=0,IF(D573=0,0,1),ABS(E573)/ABS(C573)))</x:f>
      </x:c>
      <x:c r="G573" s="73" t="str">
        <x:f>IF(A573="","",IF(AND(C573=0,D573&lt;&gt;0),"신규",IF(AND(C573&lt;&gt;0,D573=0),"소멸",IF(E573=0,"변동없음","금액변동"))))</x:f>
      </x:c>
      <x:c r="H573" s="73" t="str">
        <x:f>IF(A573="","",IF(AND(ABS(E573)&gt;='기준설정'!$B$6,OR(G573="신규",G573="소멸",F573&gt;='기준설정'!$B$5)),"원인분석 대상","일반"))</x:f>
      </x:c>
      <x:c r="I573" s="73" t="str">
        <x:f>IF(A573="","",IF(H573="원인분석 대상","세부원인분석 시트에서 거래별 원인을 검토","-"))</x:f>
      </x:c>
      <x:c r="J573" s="73" t="str">
        <x:f>IF(A573="","",COUNTIFS('전기원장'!$A$5:$A$1004,A573,'전기원장'!$J$5:$J$1004,"확인 필요")+COUNTIFS('당기원장'!$A$5:$A$1004,A573,'당기원장'!$J$5:$J$1004,"확인 필요"))</x:f>
      </x:c>
      <x:c r="K573" s="85" t="str">
        <x:f>IF(A573="","",IF(H573&lt;&gt;"원인분석 대상","",IF(J573&gt;0,"붙임 문서 확인 후 원인 확정 필요","결의서명 기반 원인분류 검토")))</x:f>
      </x:c>
    </x:row>
    <x:row r="574">
      <x:c r="A574" s="73" t="str">
        <x:f>IFERROR(INDEX('계산도우미'!$B$5:$B$2004,MATCH(ROWS($A$5:A574),'계산도우미'!$K$5:$K$2004,0)),"")</x:f>
      </x:c>
      <x:c r="B574" s="73" t="str">
        <x:f>IF(A574="","",IFERROR(INDEX('당기원장'!$B$5:$B$1004,MATCH(A574,'당기원장'!$A$5:$A$1004,0)),IFERROR(INDEX('전기원장'!$B$5:$B$1004,MATCH(A574,'전기원장'!$A$5:$A$1004,0)),"")))</x:f>
      </x:c>
      <x:c r="C574" s="75" t="str">
        <x:f>IF(A574="","",SUMIF('전기원장'!$A$5:$A$1004,A574,'전기원장'!$H$5:$H$1004))</x:f>
      </x:c>
      <x:c r="D574" s="75" t="str">
        <x:f>IF(A574="","",SUMIF('당기원장'!$A$5:$A$1004,A574,'당기원장'!$H$5:$H$1004))</x:f>
      </x:c>
      <x:c r="E574" s="75" t="str">
        <x:f>IF(A574="","",D574-C574)</x:f>
      </x:c>
      <x:c r="F574" s="88" t="str">
        <x:f>IF(A574="","",IF(C574=0,IF(D574=0,0,1),ABS(E574)/ABS(C574)))</x:f>
      </x:c>
      <x:c r="G574" s="73" t="str">
        <x:f>IF(A574="","",IF(AND(C574=0,D574&lt;&gt;0),"신규",IF(AND(C574&lt;&gt;0,D574=0),"소멸",IF(E574=0,"변동없음","금액변동"))))</x:f>
      </x:c>
      <x:c r="H574" s="73" t="str">
        <x:f>IF(A574="","",IF(AND(ABS(E574)&gt;='기준설정'!$B$6,OR(G574="신규",G574="소멸",F574&gt;='기준설정'!$B$5)),"원인분석 대상","일반"))</x:f>
      </x:c>
      <x:c r="I574" s="73" t="str">
        <x:f>IF(A574="","",IF(H574="원인분석 대상","세부원인분석 시트에서 거래별 원인을 검토","-"))</x:f>
      </x:c>
      <x:c r="J574" s="73" t="str">
        <x:f>IF(A574="","",COUNTIFS('전기원장'!$A$5:$A$1004,A574,'전기원장'!$J$5:$J$1004,"확인 필요")+COUNTIFS('당기원장'!$A$5:$A$1004,A574,'당기원장'!$J$5:$J$1004,"확인 필요"))</x:f>
      </x:c>
      <x:c r="K574" s="85" t="str">
        <x:f>IF(A574="","",IF(H574&lt;&gt;"원인분석 대상","",IF(J574&gt;0,"붙임 문서 확인 후 원인 확정 필요","결의서명 기반 원인분류 검토")))</x:f>
      </x:c>
    </x:row>
    <x:row r="575">
      <x:c r="A575" s="73" t="str">
        <x:f>IFERROR(INDEX('계산도우미'!$B$5:$B$2004,MATCH(ROWS($A$5:A575),'계산도우미'!$K$5:$K$2004,0)),"")</x:f>
      </x:c>
      <x:c r="B575" s="73" t="str">
        <x:f>IF(A575="","",IFERROR(INDEX('당기원장'!$B$5:$B$1004,MATCH(A575,'당기원장'!$A$5:$A$1004,0)),IFERROR(INDEX('전기원장'!$B$5:$B$1004,MATCH(A575,'전기원장'!$A$5:$A$1004,0)),"")))</x:f>
      </x:c>
      <x:c r="C575" s="75" t="str">
        <x:f>IF(A575="","",SUMIF('전기원장'!$A$5:$A$1004,A575,'전기원장'!$H$5:$H$1004))</x:f>
      </x:c>
      <x:c r="D575" s="75" t="str">
        <x:f>IF(A575="","",SUMIF('당기원장'!$A$5:$A$1004,A575,'당기원장'!$H$5:$H$1004))</x:f>
      </x:c>
      <x:c r="E575" s="75" t="str">
        <x:f>IF(A575="","",D575-C575)</x:f>
      </x:c>
      <x:c r="F575" s="88" t="str">
        <x:f>IF(A575="","",IF(C575=0,IF(D575=0,0,1),ABS(E575)/ABS(C575)))</x:f>
      </x:c>
      <x:c r="G575" s="73" t="str">
        <x:f>IF(A575="","",IF(AND(C575=0,D575&lt;&gt;0),"신규",IF(AND(C575&lt;&gt;0,D575=0),"소멸",IF(E575=0,"변동없음","금액변동"))))</x:f>
      </x:c>
      <x:c r="H575" s="73" t="str">
        <x:f>IF(A575="","",IF(AND(ABS(E575)&gt;='기준설정'!$B$6,OR(G575="신규",G575="소멸",F575&gt;='기준설정'!$B$5)),"원인분석 대상","일반"))</x:f>
      </x:c>
      <x:c r="I575" s="73" t="str">
        <x:f>IF(A575="","",IF(H575="원인분석 대상","세부원인분석 시트에서 거래별 원인을 검토","-"))</x:f>
      </x:c>
      <x:c r="J575" s="73" t="str">
        <x:f>IF(A575="","",COUNTIFS('전기원장'!$A$5:$A$1004,A575,'전기원장'!$J$5:$J$1004,"확인 필요")+COUNTIFS('당기원장'!$A$5:$A$1004,A575,'당기원장'!$J$5:$J$1004,"확인 필요"))</x:f>
      </x:c>
      <x:c r="K575" s="85" t="str">
        <x:f>IF(A575="","",IF(H575&lt;&gt;"원인분석 대상","",IF(J575&gt;0,"붙임 문서 확인 후 원인 확정 필요","결의서명 기반 원인분류 검토")))</x:f>
      </x:c>
    </x:row>
    <x:row r="576">
      <x:c r="A576" s="73" t="str">
        <x:f>IFERROR(INDEX('계산도우미'!$B$5:$B$2004,MATCH(ROWS($A$5:A576),'계산도우미'!$K$5:$K$2004,0)),"")</x:f>
      </x:c>
      <x:c r="B576" s="73" t="str">
        <x:f>IF(A576="","",IFERROR(INDEX('당기원장'!$B$5:$B$1004,MATCH(A576,'당기원장'!$A$5:$A$1004,0)),IFERROR(INDEX('전기원장'!$B$5:$B$1004,MATCH(A576,'전기원장'!$A$5:$A$1004,0)),"")))</x:f>
      </x:c>
      <x:c r="C576" s="75" t="str">
        <x:f>IF(A576="","",SUMIF('전기원장'!$A$5:$A$1004,A576,'전기원장'!$H$5:$H$1004))</x:f>
      </x:c>
      <x:c r="D576" s="75" t="str">
        <x:f>IF(A576="","",SUMIF('당기원장'!$A$5:$A$1004,A576,'당기원장'!$H$5:$H$1004))</x:f>
      </x:c>
      <x:c r="E576" s="75" t="str">
        <x:f>IF(A576="","",D576-C576)</x:f>
      </x:c>
      <x:c r="F576" s="88" t="str">
        <x:f>IF(A576="","",IF(C576=0,IF(D576=0,0,1),ABS(E576)/ABS(C576)))</x:f>
      </x:c>
      <x:c r="G576" s="73" t="str">
        <x:f>IF(A576="","",IF(AND(C576=0,D576&lt;&gt;0),"신규",IF(AND(C576&lt;&gt;0,D576=0),"소멸",IF(E576=0,"변동없음","금액변동"))))</x:f>
      </x:c>
      <x:c r="H576" s="73" t="str">
        <x:f>IF(A576="","",IF(AND(ABS(E576)&gt;='기준설정'!$B$6,OR(G576="신규",G576="소멸",F576&gt;='기준설정'!$B$5)),"원인분석 대상","일반"))</x:f>
      </x:c>
      <x:c r="I576" s="73" t="str">
        <x:f>IF(A576="","",IF(H576="원인분석 대상","세부원인분석 시트에서 거래별 원인을 검토","-"))</x:f>
      </x:c>
      <x:c r="J576" s="73" t="str">
        <x:f>IF(A576="","",COUNTIFS('전기원장'!$A$5:$A$1004,A576,'전기원장'!$J$5:$J$1004,"확인 필요")+COUNTIFS('당기원장'!$A$5:$A$1004,A576,'당기원장'!$J$5:$J$1004,"확인 필요"))</x:f>
      </x:c>
      <x:c r="K576" s="85" t="str">
        <x:f>IF(A576="","",IF(H576&lt;&gt;"원인분석 대상","",IF(J576&gt;0,"붙임 문서 확인 후 원인 확정 필요","결의서명 기반 원인분류 검토")))</x:f>
      </x:c>
    </x:row>
    <x:row r="577">
      <x:c r="A577" s="73" t="str">
        <x:f>IFERROR(INDEX('계산도우미'!$B$5:$B$2004,MATCH(ROWS($A$5:A577),'계산도우미'!$K$5:$K$2004,0)),"")</x:f>
      </x:c>
      <x:c r="B577" s="73" t="str">
        <x:f>IF(A577="","",IFERROR(INDEX('당기원장'!$B$5:$B$1004,MATCH(A577,'당기원장'!$A$5:$A$1004,0)),IFERROR(INDEX('전기원장'!$B$5:$B$1004,MATCH(A577,'전기원장'!$A$5:$A$1004,0)),"")))</x:f>
      </x:c>
      <x:c r="C577" s="75" t="str">
        <x:f>IF(A577="","",SUMIF('전기원장'!$A$5:$A$1004,A577,'전기원장'!$H$5:$H$1004))</x:f>
      </x:c>
      <x:c r="D577" s="75" t="str">
        <x:f>IF(A577="","",SUMIF('당기원장'!$A$5:$A$1004,A577,'당기원장'!$H$5:$H$1004))</x:f>
      </x:c>
      <x:c r="E577" s="75" t="str">
        <x:f>IF(A577="","",D577-C577)</x:f>
      </x:c>
      <x:c r="F577" s="88" t="str">
        <x:f>IF(A577="","",IF(C577=0,IF(D577=0,0,1),ABS(E577)/ABS(C577)))</x:f>
      </x:c>
      <x:c r="G577" s="73" t="str">
        <x:f>IF(A577="","",IF(AND(C577=0,D577&lt;&gt;0),"신규",IF(AND(C577&lt;&gt;0,D577=0),"소멸",IF(E577=0,"변동없음","금액변동"))))</x:f>
      </x:c>
      <x:c r="H577" s="73" t="str">
        <x:f>IF(A577="","",IF(AND(ABS(E577)&gt;='기준설정'!$B$6,OR(G577="신규",G577="소멸",F577&gt;='기준설정'!$B$5)),"원인분석 대상","일반"))</x:f>
      </x:c>
      <x:c r="I577" s="73" t="str">
        <x:f>IF(A577="","",IF(H577="원인분석 대상","세부원인분석 시트에서 거래별 원인을 검토","-"))</x:f>
      </x:c>
      <x:c r="J577" s="73" t="str">
        <x:f>IF(A577="","",COUNTIFS('전기원장'!$A$5:$A$1004,A577,'전기원장'!$J$5:$J$1004,"확인 필요")+COUNTIFS('당기원장'!$A$5:$A$1004,A577,'당기원장'!$J$5:$J$1004,"확인 필요"))</x:f>
      </x:c>
      <x:c r="K577" s="85" t="str">
        <x:f>IF(A577="","",IF(H577&lt;&gt;"원인분석 대상","",IF(J577&gt;0,"붙임 문서 확인 후 원인 확정 필요","결의서명 기반 원인분류 검토")))</x:f>
      </x:c>
    </x:row>
    <x:row r="578">
      <x:c r="A578" s="73" t="str">
        <x:f>IFERROR(INDEX('계산도우미'!$B$5:$B$2004,MATCH(ROWS($A$5:A578),'계산도우미'!$K$5:$K$2004,0)),"")</x:f>
      </x:c>
      <x:c r="B578" s="73" t="str">
        <x:f>IF(A578="","",IFERROR(INDEX('당기원장'!$B$5:$B$1004,MATCH(A578,'당기원장'!$A$5:$A$1004,0)),IFERROR(INDEX('전기원장'!$B$5:$B$1004,MATCH(A578,'전기원장'!$A$5:$A$1004,0)),"")))</x:f>
      </x:c>
      <x:c r="C578" s="75" t="str">
        <x:f>IF(A578="","",SUMIF('전기원장'!$A$5:$A$1004,A578,'전기원장'!$H$5:$H$1004))</x:f>
      </x:c>
      <x:c r="D578" s="75" t="str">
        <x:f>IF(A578="","",SUMIF('당기원장'!$A$5:$A$1004,A578,'당기원장'!$H$5:$H$1004))</x:f>
      </x:c>
      <x:c r="E578" s="75" t="str">
        <x:f>IF(A578="","",D578-C578)</x:f>
      </x:c>
      <x:c r="F578" s="88" t="str">
        <x:f>IF(A578="","",IF(C578=0,IF(D578=0,0,1),ABS(E578)/ABS(C578)))</x:f>
      </x:c>
      <x:c r="G578" s="73" t="str">
        <x:f>IF(A578="","",IF(AND(C578=0,D578&lt;&gt;0),"신규",IF(AND(C578&lt;&gt;0,D578=0),"소멸",IF(E578=0,"변동없음","금액변동"))))</x:f>
      </x:c>
      <x:c r="H578" s="73" t="str">
        <x:f>IF(A578="","",IF(AND(ABS(E578)&gt;='기준설정'!$B$6,OR(G578="신규",G578="소멸",F578&gt;='기준설정'!$B$5)),"원인분석 대상","일반"))</x:f>
      </x:c>
      <x:c r="I578" s="73" t="str">
        <x:f>IF(A578="","",IF(H578="원인분석 대상","세부원인분석 시트에서 거래별 원인을 검토","-"))</x:f>
      </x:c>
      <x:c r="J578" s="73" t="str">
        <x:f>IF(A578="","",COUNTIFS('전기원장'!$A$5:$A$1004,A578,'전기원장'!$J$5:$J$1004,"확인 필요")+COUNTIFS('당기원장'!$A$5:$A$1004,A578,'당기원장'!$J$5:$J$1004,"확인 필요"))</x:f>
      </x:c>
      <x:c r="K578" s="85" t="str">
        <x:f>IF(A578="","",IF(H578&lt;&gt;"원인분석 대상","",IF(J578&gt;0,"붙임 문서 확인 후 원인 확정 필요","결의서명 기반 원인분류 검토")))</x:f>
      </x:c>
    </x:row>
    <x:row r="579">
      <x:c r="A579" s="73" t="str">
        <x:f>IFERROR(INDEX('계산도우미'!$B$5:$B$2004,MATCH(ROWS($A$5:A579),'계산도우미'!$K$5:$K$2004,0)),"")</x:f>
      </x:c>
      <x:c r="B579" s="73" t="str">
        <x:f>IF(A579="","",IFERROR(INDEX('당기원장'!$B$5:$B$1004,MATCH(A579,'당기원장'!$A$5:$A$1004,0)),IFERROR(INDEX('전기원장'!$B$5:$B$1004,MATCH(A579,'전기원장'!$A$5:$A$1004,0)),"")))</x:f>
      </x:c>
      <x:c r="C579" s="75" t="str">
        <x:f>IF(A579="","",SUMIF('전기원장'!$A$5:$A$1004,A579,'전기원장'!$H$5:$H$1004))</x:f>
      </x:c>
      <x:c r="D579" s="75" t="str">
        <x:f>IF(A579="","",SUMIF('당기원장'!$A$5:$A$1004,A579,'당기원장'!$H$5:$H$1004))</x:f>
      </x:c>
      <x:c r="E579" s="75" t="str">
        <x:f>IF(A579="","",D579-C579)</x:f>
      </x:c>
      <x:c r="F579" s="88" t="str">
        <x:f>IF(A579="","",IF(C579=0,IF(D579=0,0,1),ABS(E579)/ABS(C579)))</x:f>
      </x:c>
      <x:c r="G579" s="73" t="str">
        <x:f>IF(A579="","",IF(AND(C579=0,D579&lt;&gt;0),"신규",IF(AND(C579&lt;&gt;0,D579=0),"소멸",IF(E579=0,"변동없음","금액변동"))))</x:f>
      </x:c>
      <x:c r="H579" s="73" t="str">
        <x:f>IF(A579="","",IF(AND(ABS(E579)&gt;='기준설정'!$B$6,OR(G579="신규",G579="소멸",F579&gt;='기준설정'!$B$5)),"원인분석 대상","일반"))</x:f>
      </x:c>
      <x:c r="I579" s="73" t="str">
        <x:f>IF(A579="","",IF(H579="원인분석 대상","세부원인분석 시트에서 거래별 원인을 검토","-"))</x:f>
      </x:c>
      <x:c r="J579" s="73" t="str">
        <x:f>IF(A579="","",COUNTIFS('전기원장'!$A$5:$A$1004,A579,'전기원장'!$J$5:$J$1004,"확인 필요")+COUNTIFS('당기원장'!$A$5:$A$1004,A579,'당기원장'!$J$5:$J$1004,"확인 필요"))</x:f>
      </x:c>
      <x:c r="K579" s="85" t="str">
        <x:f>IF(A579="","",IF(H579&lt;&gt;"원인분석 대상","",IF(J579&gt;0,"붙임 문서 확인 후 원인 확정 필요","결의서명 기반 원인분류 검토")))</x:f>
      </x:c>
    </x:row>
    <x:row r="580">
      <x:c r="A580" s="73" t="str">
        <x:f>IFERROR(INDEX('계산도우미'!$B$5:$B$2004,MATCH(ROWS($A$5:A580),'계산도우미'!$K$5:$K$2004,0)),"")</x:f>
      </x:c>
      <x:c r="B580" s="73" t="str">
        <x:f>IF(A580="","",IFERROR(INDEX('당기원장'!$B$5:$B$1004,MATCH(A580,'당기원장'!$A$5:$A$1004,0)),IFERROR(INDEX('전기원장'!$B$5:$B$1004,MATCH(A580,'전기원장'!$A$5:$A$1004,0)),"")))</x:f>
      </x:c>
      <x:c r="C580" s="75" t="str">
        <x:f>IF(A580="","",SUMIF('전기원장'!$A$5:$A$1004,A580,'전기원장'!$H$5:$H$1004))</x:f>
      </x:c>
      <x:c r="D580" s="75" t="str">
        <x:f>IF(A580="","",SUMIF('당기원장'!$A$5:$A$1004,A580,'당기원장'!$H$5:$H$1004))</x:f>
      </x:c>
      <x:c r="E580" s="75" t="str">
        <x:f>IF(A580="","",D580-C580)</x:f>
      </x:c>
      <x:c r="F580" s="88" t="str">
        <x:f>IF(A580="","",IF(C580=0,IF(D580=0,0,1),ABS(E580)/ABS(C580)))</x:f>
      </x:c>
      <x:c r="G580" s="73" t="str">
        <x:f>IF(A580="","",IF(AND(C580=0,D580&lt;&gt;0),"신규",IF(AND(C580&lt;&gt;0,D580=0),"소멸",IF(E580=0,"변동없음","금액변동"))))</x:f>
      </x:c>
      <x:c r="H580" s="73" t="str">
        <x:f>IF(A580="","",IF(AND(ABS(E580)&gt;='기준설정'!$B$6,OR(G580="신규",G580="소멸",F580&gt;='기준설정'!$B$5)),"원인분석 대상","일반"))</x:f>
      </x:c>
      <x:c r="I580" s="73" t="str">
        <x:f>IF(A580="","",IF(H580="원인분석 대상","세부원인분석 시트에서 거래별 원인을 검토","-"))</x:f>
      </x:c>
      <x:c r="J580" s="73" t="str">
        <x:f>IF(A580="","",COUNTIFS('전기원장'!$A$5:$A$1004,A580,'전기원장'!$J$5:$J$1004,"확인 필요")+COUNTIFS('당기원장'!$A$5:$A$1004,A580,'당기원장'!$J$5:$J$1004,"확인 필요"))</x:f>
      </x:c>
      <x:c r="K580" s="85" t="str">
        <x:f>IF(A580="","",IF(H580&lt;&gt;"원인분석 대상","",IF(J580&gt;0,"붙임 문서 확인 후 원인 확정 필요","결의서명 기반 원인분류 검토")))</x:f>
      </x:c>
    </x:row>
    <x:row r="581">
      <x:c r="A581" s="73" t="str">
        <x:f>IFERROR(INDEX('계산도우미'!$B$5:$B$2004,MATCH(ROWS($A$5:A581),'계산도우미'!$K$5:$K$2004,0)),"")</x:f>
      </x:c>
      <x:c r="B581" s="73" t="str">
        <x:f>IF(A581="","",IFERROR(INDEX('당기원장'!$B$5:$B$1004,MATCH(A581,'당기원장'!$A$5:$A$1004,0)),IFERROR(INDEX('전기원장'!$B$5:$B$1004,MATCH(A581,'전기원장'!$A$5:$A$1004,0)),"")))</x:f>
      </x:c>
      <x:c r="C581" s="75" t="str">
        <x:f>IF(A581="","",SUMIF('전기원장'!$A$5:$A$1004,A581,'전기원장'!$H$5:$H$1004))</x:f>
      </x:c>
      <x:c r="D581" s="75" t="str">
        <x:f>IF(A581="","",SUMIF('당기원장'!$A$5:$A$1004,A581,'당기원장'!$H$5:$H$1004))</x:f>
      </x:c>
      <x:c r="E581" s="75" t="str">
        <x:f>IF(A581="","",D581-C581)</x:f>
      </x:c>
      <x:c r="F581" s="88" t="str">
        <x:f>IF(A581="","",IF(C581=0,IF(D581=0,0,1),ABS(E581)/ABS(C581)))</x:f>
      </x:c>
      <x:c r="G581" s="73" t="str">
        <x:f>IF(A581="","",IF(AND(C581=0,D581&lt;&gt;0),"신규",IF(AND(C581&lt;&gt;0,D581=0),"소멸",IF(E581=0,"변동없음","금액변동"))))</x:f>
      </x:c>
      <x:c r="H581" s="73" t="str">
        <x:f>IF(A581="","",IF(AND(ABS(E581)&gt;='기준설정'!$B$6,OR(G581="신규",G581="소멸",F581&gt;='기준설정'!$B$5)),"원인분석 대상","일반"))</x:f>
      </x:c>
      <x:c r="I581" s="73" t="str">
        <x:f>IF(A581="","",IF(H581="원인분석 대상","세부원인분석 시트에서 거래별 원인을 검토","-"))</x:f>
      </x:c>
      <x:c r="J581" s="73" t="str">
        <x:f>IF(A581="","",COUNTIFS('전기원장'!$A$5:$A$1004,A581,'전기원장'!$J$5:$J$1004,"확인 필요")+COUNTIFS('당기원장'!$A$5:$A$1004,A581,'당기원장'!$J$5:$J$1004,"확인 필요"))</x:f>
      </x:c>
      <x:c r="K581" s="85" t="str">
        <x:f>IF(A581="","",IF(H581&lt;&gt;"원인분석 대상","",IF(J581&gt;0,"붙임 문서 확인 후 원인 확정 필요","결의서명 기반 원인분류 검토")))</x:f>
      </x:c>
    </x:row>
    <x:row r="582">
      <x:c r="A582" s="73" t="str">
        <x:f>IFERROR(INDEX('계산도우미'!$B$5:$B$2004,MATCH(ROWS($A$5:A582),'계산도우미'!$K$5:$K$2004,0)),"")</x:f>
      </x:c>
      <x:c r="B582" s="73" t="str">
        <x:f>IF(A582="","",IFERROR(INDEX('당기원장'!$B$5:$B$1004,MATCH(A582,'당기원장'!$A$5:$A$1004,0)),IFERROR(INDEX('전기원장'!$B$5:$B$1004,MATCH(A582,'전기원장'!$A$5:$A$1004,0)),"")))</x:f>
      </x:c>
      <x:c r="C582" s="75" t="str">
        <x:f>IF(A582="","",SUMIF('전기원장'!$A$5:$A$1004,A582,'전기원장'!$H$5:$H$1004))</x:f>
      </x:c>
      <x:c r="D582" s="75" t="str">
        <x:f>IF(A582="","",SUMIF('당기원장'!$A$5:$A$1004,A582,'당기원장'!$H$5:$H$1004))</x:f>
      </x:c>
      <x:c r="E582" s="75" t="str">
        <x:f>IF(A582="","",D582-C582)</x:f>
      </x:c>
      <x:c r="F582" s="88" t="str">
        <x:f>IF(A582="","",IF(C582=0,IF(D582=0,0,1),ABS(E582)/ABS(C582)))</x:f>
      </x:c>
      <x:c r="G582" s="73" t="str">
        <x:f>IF(A582="","",IF(AND(C582=0,D582&lt;&gt;0),"신규",IF(AND(C582&lt;&gt;0,D582=0),"소멸",IF(E582=0,"변동없음","금액변동"))))</x:f>
      </x:c>
      <x:c r="H582" s="73" t="str">
        <x:f>IF(A582="","",IF(AND(ABS(E582)&gt;='기준설정'!$B$6,OR(G582="신규",G582="소멸",F582&gt;='기준설정'!$B$5)),"원인분석 대상","일반"))</x:f>
      </x:c>
      <x:c r="I582" s="73" t="str">
        <x:f>IF(A582="","",IF(H582="원인분석 대상","세부원인분석 시트에서 거래별 원인을 검토","-"))</x:f>
      </x:c>
      <x:c r="J582" s="73" t="str">
        <x:f>IF(A582="","",COUNTIFS('전기원장'!$A$5:$A$1004,A582,'전기원장'!$J$5:$J$1004,"확인 필요")+COUNTIFS('당기원장'!$A$5:$A$1004,A582,'당기원장'!$J$5:$J$1004,"확인 필요"))</x:f>
      </x:c>
      <x:c r="K582" s="85" t="str">
        <x:f>IF(A582="","",IF(H582&lt;&gt;"원인분석 대상","",IF(J582&gt;0,"붙임 문서 확인 후 원인 확정 필요","결의서명 기반 원인분류 검토")))</x:f>
      </x:c>
    </x:row>
    <x:row r="583">
      <x:c r="A583" s="73" t="str">
        <x:f>IFERROR(INDEX('계산도우미'!$B$5:$B$2004,MATCH(ROWS($A$5:A583),'계산도우미'!$K$5:$K$2004,0)),"")</x:f>
      </x:c>
      <x:c r="B583" s="73" t="str">
        <x:f>IF(A583="","",IFERROR(INDEX('당기원장'!$B$5:$B$1004,MATCH(A583,'당기원장'!$A$5:$A$1004,0)),IFERROR(INDEX('전기원장'!$B$5:$B$1004,MATCH(A583,'전기원장'!$A$5:$A$1004,0)),"")))</x:f>
      </x:c>
      <x:c r="C583" s="75" t="str">
        <x:f>IF(A583="","",SUMIF('전기원장'!$A$5:$A$1004,A583,'전기원장'!$H$5:$H$1004))</x:f>
      </x:c>
      <x:c r="D583" s="75" t="str">
        <x:f>IF(A583="","",SUMIF('당기원장'!$A$5:$A$1004,A583,'당기원장'!$H$5:$H$1004))</x:f>
      </x:c>
      <x:c r="E583" s="75" t="str">
        <x:f>IF(A583="","",D583-C583)</x:f>
      </x:c>
      <x:c r="F583" s="88" t="str">
        <x:f>IF(A583="","",IF(C583=0,IF(D583=0,0,1),ABS(E583)/ABS(C583)))</x:f>
      </x:c>
      <x:c r="G583" s="73" t="str">
        <x:f>IF(A583="","",IF(AND(C583=0,D583&lt;&gt;0),"신규",IF(AND(C583&lt;&gt;0,D583=0),"소멸",IF(E583=0,"변동없음","금액변동"))))</x:f>
      </x:c>
      <x:c r="H583" s="73" t="str">
        <x:f>IF(A583="","",IF(AND(ABS(E583)&gt;='기준설정'!$B$6,OR(G583="신규",G583="소멸",F583&gt;='기준설정'!$B$5)),"원인분석 대상","일반"))</x:f>
      </x:c>
      <x:c r="I583" s="73" t="str">
        <x:f>IF(A583="","",IF(H583="원인분석 대상","세부원인분석 시트에서 거래별 원인을 검토","-"))</x:f>
      </x:c>
      <x:c r="J583" s="73" t="str">
        <x:f>IF(A583="","",COUNTIFS('전기원장'!$A$5:$A$1004,A583,'전기원장'!$J$5:$J$1004,"확인 필요")+COUNTIFS('당기원장'!$A$5:$A$1004,A583,'당기원장'!$J$5:$J$1004,"확인 필요"))</x:f>
      </x:c>
      <x:c r="K583" s="85" t="str">
        <x:f>IF(A583="","",IF(H583&lt;&gt;"원인분석 대상","",IF(J583&gt;0,"붙임 문서 확인 후 원인 확정 필요","결의서명 기반 원인분류 검토")))</x:f>
      </x:c>
    </x:row>
    <x:row r="584">
      <x:c r="A584" s="73" t="str">
        <x:f>IFERROR(INDEX('계산도우미'!$B$5:$B$2004,MATCH(ROWS($A$5:A584),'계산도우미'!$K$5:$K$2004,0)),"")</x:f>
      </x:c>
      <x:c r="B584" s="73" t="str">
        <x:f>IF(A584="","",IFERROR(INDEX('당기원장'!$B$5:$B$1004,MATCH(A584,'당기원장'!$A$5:$A$1004,0)),IFERROR(INDEX('전기원장'!$B$5:$B$1004,MATCH(A584,'전기원장'!$A$5:$A$1004,0)),"")))</x:f>
      </x:c>
      <x:c r="C584" s="75" t="str">
        <x:f>IF(A584="","",SUMIF('전기원장'!$A$5:$A$1004,A584,'전기원장'!$H$5:$H$1004))</x:f>
      </x:c>
      <x:c r="D584" s="75" t="str">
        <x:f>IF(A584="","",SUMIF('당기원장'!$A$5:$A$1004,A584,'당기원장'!$H$5:$H$1004))</x:f>
      </x:c>
      <x:c r="E584" s="75" t="str">
        <x:f>IF(A584="","",D584-C584)</x:f>
      </x:c>
      <x:c r="F584" s="88" t="str">
        <x:f>IF(A584="","",IF(C584=0,IF(D584=0,0,1),ABS(E584)/ABS(C584)))</x:f>
      </x:c>
      <x:c r="G584" s="73" t="str">
        <x:f>IF(A584="","",IF(AND(C584=0,D584&lt;&gt;0),"신규",IF(AND(C584&lt;&gt;0,D584=0),"소멸",IF(E584=0,"변동없음","금액변동"))))</x:f>
      </x:c>
      <x:c r="H584" s="73" t="str">
        <x:f>IF(A584="","",IF(AND(ABS(E584)&gt;='기준설정'!$B$6,OR(G584="신규",G584="소멸",F584&gt;='기준설정'!$B$5)),"원인분석 대상","일반"))</x:f>
      </x:c>
      <x:c r="I584" s="73" t="str">
        <x:f>IF(A584="","",IF(H584="원인분석 대상","세부원인분석 시트에서 거래별 원인을 검토","-"))</x:f>
      </x:c>
      <x:c r="J584" s="73" t="str">
        <x:f>IF(A584="","",COUNTIFS('전기원장'!$A$5:$A$1004,A584,'전기원장'!$J$5:$J$1004,"확인 필요")+COUNTIFS('당기원장'!$A$5:$A$1004,A584,'당기원장'!$J$5:$J$1004,"확인 필요"))</x:f>
      </x:c>
      <x:c r="K584" s="85" t="str">
        <x:f>IF(A584="","",IF(H584&lt;&gt;"원인분석 대상","",IF(J584&gt;0,"붙임 문서 확인 후 원인 확정 필요","결의서명 기반 원인분류 검토")))</x:f>
      </x:c>
    </x:row>
    <x:row r="585">
      <x:c r="A585" s="73" t="str">
        <x:f>IFERROR(INDEX('계산도우미'!$B$5:$B$2004,MATCH(ROWS($A$5:A585),'계산도우미'!$K$5:$K$2004,0)),"")</x:f>
      </x:c>
      <x:c r="B585" s="73" t="str">
        <x:f>IF(A585="","",IFERROR(INDEX('당기원장'!$B$5:$B$1004,MATCH(A585,'당기원장'!$A$5:$A$1004,0)),IFERROR(INDEX('전기원장'!$B$5:$B$1004,MATCH(A585,'전기원장'!$A$5:$A$1004,0)),"")))</x:f>
      </x:c>
      <x:c r="C585" s="75" t="str">
        <x:f>IF(A585="","",SUMIF('전기원장'!$A$5:$A$1004,A585,'전기원장'!$H$5:$H$1004))</x:f>
      </x:c>
      <x:c r="D585" s="75" t="str">
        <x:f>IF(A585="","",SUMIF('당기원장'!$A$5:$A$1004,A585,'당기원장'!$H$5:$H$1004))</x:f>
      </x:c>
      <x:c r="E585" s="75" t="str">
        <x:f>IF(A585="","",D585-C585)</x:f>
      </x:c>
      <x:c r="F585" s="88" t="str">
        <x:f>IF(A585="","",IF(C585=0,IF(D585=0,0,1),ABS(E585)/ABS(C585)))</x:f>
      </x:c>
      <x:c r="G585" s="73" t="str">
        <x:f>IF(A585="","",IF(AND(C585=0,D585&lt;&gt;0),"신규",IF(AND(C585&lt;&gt;0,D585=0),"소멸",IF(E585=0,"변동없음","금액변동"))))</x:f>
      </x:c>
      <x:c r="H585" s="73" t="str">
        <x:f>IF(A585="","",IF(AND(ABS(E585)&gt;='기준설정'!$B$6,OR(G585="신규",G585="소멸",F585&gt;='기준설정'!$B$5)),"원인분석 대상","일반"))</x:f>
      </x:c>
      <x:c r="I585" s="73" t="str">
        <x:f>IF(A585="","",IF(H585="원인분석 대상","세부원인분석 시트에서 거래별 원인을 검토","-"))</x:f>
      </x:c>
      <x:c r="J585" s="73" t="str">
        <x:f>IF(A585="","",COUNTIFS('전기원장'!$A$5:$A$1004,A585,'전기원장'!$J$5:$J$1004,"확인 필요")+COUNTIFS('당기원장'!$A$5:$A$1004,A585,'당기원장'!$J$5:$J$1004,"확인 필요"))</x:f>
      </x:c>
      <x:c r="K585" s="85" t="str">
        <x:f>IF(A585="","",IF(H585&lt;&gt;"원인분석 대상","",IF(J585&gt;0,"붙임 문서 확인 후 원인 확정 필요","결의서명 기반 원인분류 검토")))</x:f>
      </x:c>
    </x:row>
    <x:row r="586">
      <x:c r="A586" s="73" t="str">
        <x:f>IFERROR(INDEX('계산도우미'!$B$5:$B$2004,MATCH(ROWS($A$5:A586),'계산도우미'!$K$5:$K$2004,0)),"")</x:f>
      </x:c>
      <x:c r="B586" s="73" t="str">
        <x:f>IF(A586="","",IFERROR(INDEX('당기원장'!$B$5:$B$1004,MATCH(A586,'당기원장'!$A$5:$A$1004,0)),IFERROR(INDEX('전기원장'!$B$5:$B$1004,MATCH(A586,'전기원장'!$A$5:$A$1004,0)),"")))</x:f>
      </x:c>
      <x:c r="C586" s="75" t="str">
        <x:f>IF(A586="","",SUMIF('전기원장'!$A$5:$A$1004,A586,'전기원장'!$H$5:$H$1004))</x:f>
      </x:c>
      <x:c r="D586" s="75" t="str">
        <x:f>IF(A586="","",SUMIF('당기원장'!$A$5:$A$1004,A586,'당기원장'!$H$5:$H$1004))</x:f>
      </x:c>
      <x:c r="E586" s="75" t="str">
        <x:f>IF(A586="","",D586-C586)</x:f>
      </x:c>
      <x:c r="F586" s="88" t="str">
        <x:f>IF(A586="","",IF(C586=0,IF(D586=0,0,1),ABS(E586)/ABS(C586)))</x:f>
      </x:c>
      <x:c r="G586" s="73" t="str">
        <x:f>IF(A586="","",IF(AND(C586=0,D586&lt;&gt;0),"신규",IF(AND(C586&lt;&gt;0,D586=0),"소멸",IF(E586=0,"변동없음","금액변동"))))</x:f>
      </x:c>
      <x:c r="H586" s="73" t="str">
        <x:f>IF(A586="","",IF(AND(ABS(E586)&gt;='기준설정'!$B$6,OR(G586="신규",G586="소멸",F586&gt;='기준설정'!$B$5)),"원인분석 대상","일반"))</x:f>
      </x:c>
      <x:c r="I586" s="73" t="str">
        <x:f>IF(A586="","",IF(H586="원인분석 대상","세부원인분석 시트에서 거래별 원인을 검토","-"))</x:f>
      </x:c>
      <x:c r="J586" s="73" t="str">
        <x:f>IF(A586="","",COUNTIFS('전기원장'!$A$5:$A$1004,A586,'전기원장'!$J$5:$J$1004,"확인 필요")+COUNTIFS('당기원장'!$A$5:$A$1004,A586,'당기원장'!$J$5:$J$1004,"확인 필요"))</x:f>
      </x:c>
      <x:c r="K586" s="85" t="str">
        <x:f>IF(A586="","",IF(H586&lt;&gt;"원인분석 대상","",IF(J586&gt;0,"붙임 문서 확인 후 원인 확정 필요","결의서명 기반 원인분류 검토")))</x:f>
      </x:c>
    </x:row>
    <x:row r="587">
      <x:c r="A587" s="73" t="str">
        <x:f>IFERROR(INDEX('계산도우미'!$B$5:$B$2004,MATCH(ROWS($A$5:A587),'계산도우미'!$K$5:$K$2004,0)),"")</x:f>
      </x:c>
      <x:c r="B587" s="73" t="str">
        <x:f>IF(A587="","",IFERROR(INDEX('당기원장'!$B$5:$B$1004,MATCH(A587,'당기원장'!$A$5:$A$1004,0)),IFERROR(INDEX('전기원장'!$B$5:$B$1004,MATCH(A587,'전기원장'!$A$5:$A$1004,0)),"")))</x:f>
      </x:c>
      <x:c r="C587" s="75" t="str">
        <x:f>IF(A587="","",SUMIF('전기원장'!$A$5:$A$1004,A587,'전기원장'!$H$5:$H$1004))</x:f>
      </x:c>
      <x:c r="D587" s="75" t="str">
        <x:f>IF(A587="","",SUMIF('당기원장'!$A$5:$A$1004,A587,'당기원장'!$H$5:$H$1004))</x:f>
      </x:c>
      <x:c r="E587" s="75" t="str">
        <x:f>IF(A587="","",D587-C587)</x:f>
      </x:c>
      <x:c r="F587" s="88" t="str">
        <x:f>IF(A587="","",IF(C587=0,IF(D587=0,0,1),ABS(E587)/ABS(C587)))</x:f>
      </x:c>
      <x:c r="G587" s="73" t="str">
        <x:f>IF(A587="","",IF(AND(C587=0,D587&lt;&gt;0),"신규",IF(AND(C587&lt;&gt;0,D587=0),"소멸",IF(E587=0,"변동없음","금액변동"))))</x:f>
      </x:c>
      <x:c r="H587" s="73" t="str">
        <x:f>IF(A587="","",IF(AND(ABS(E587)&gt;='기준설정'!$B$6,OR(G587="신규",G587="소멸",F587&gt;='기준설정'!$B$5)),"원인분석 대상","일반"))</x:f>
      </x:c>
      <x:c r="I587" s="73" t="str">
        <x:f>IF(A587="","",IF(H587="원인분석 대상","세부원인분석 시트에서 거래별 원인을 검토","-"))</x:f>
      </x:c>
      <x:c r="J587" s="73" t="str">
        <x:f>IF(A587="","",COUNTIFS('전기원장'!$A$5:$A$1004,A587,'전기원장'!$J$5:$J$1004,"확인 필요")+COUNTIFS('당기원장'!$A$5:$A$1004,A587,'당기원장'!$J$5:$J$1004,"확인 필요"))</x:f>
      </x:c>
      <x:c r="K587" s="85" t="str">
        <x:f>IF(A587="","",IF(H587&lt;&gt;"원인분석 대상","",IF(J587&gt;0,"붙임 문서 확인 후 원인 확정 필요","결의서명 기반 원인분류 검토")))</x:f>
      </x:c>
    </x:row>
    <x:row r="588">
      <x:c r="A588" s="73" t="str">
        <x:f>IFERROR(INDEX('계산도우미'!$B$5:$B$2004,MATCH(ROWS($A$5:A588),'계산도우미'!$K$5:$K$2004,0)),"")</x:f>
      </x:c>
      <x:c r="B588" s="73" t="str">
        <x:f>IF(A588="","",IFERROR(INDEX('당기원장'!$B$5:$B$1004,MATCH(A588,'당기원장'!$A$5:$A$1004,0)),IFERROR(INDEX('전기원장'!$B$5:$B$1004,MATCH(A588,'전기원장'!$A$5:$A$1004,0)),"")))</x:f>
      </x:c>
      <x:c r="C588" s="75" t="str">
        <x:f>IF(A588="","",SUMIF('전기원장'!$A$5:$A$1004,A588,'전기원장'!$H$5:$H$1004))</x:f>
      </x:c>
      <x:c r="D588" s="75" t="str">
        <x:f>IF(A588="","",SUMIF('당기원장'!$A$5:$A$1004,A588,'당기원장'!$H$5:$H$1004))</x:f>
      </x:c>
      <x:c r="E588" s="75" t="str">
        <x:f>IF(A588="","",D588-C588)</x:f>
      </x:c>
      <x:c r="F588" s="88" t="str">
        <x:f>IF(A588="","",IF(C588=0,IF(D588=0,0,1),ABS(E588)/ABS(C588)))</x:f>
      </x:c>
      <x:c r="G588" s="73" t="str">
        <x:f>IF(A588="","",IF(AND(C588=0,D588&lt;&gt;0),"신규",IF(AND(C588&lt;&gt;0,D588=0),"소멸",IF(E588=0,"변동없음","금액변동"))))</x:f>
      </x:c>
      <x:c r="H588" s="73" t="str">
        <x:f>IF(A588="","",IF(AND(ABS(E588)&gt;='기준설정'!$B$6,OR(G588="신규",G588="소멸",F588&gt;='기준설정'!$B$5)),"원인분석 대상","일반"))</x:f>
      </x:c>
      <x:c r="I588" s="73" t="str">
        <x:f>IF(A588="","",IF(H588="원인분석 대상","세부원인분석 시트에서 거래별 원인을 검토","-"))</x:f>
      </x:c>
      <x:c r="J588" s="73" t="str">
        <x:f>IF(A588="","",COUNTIFS('전기원장'!$A$5:$A$1004,A588,'전기원장'!$J$5:$J$1004,"확인 필요")+COUNTIFS('당기원장'!$A$5:$A$1004,A588,'당기원장'!$J$5:$J$1004,"확인 필요"))</x:f>
      </x:c>
      <x:c r="K588" s="85" t="str">
        <x:f>IF(A588="","",IF(H588&lt;&gt;"원인분석 대상","",IF(J588&gt;0,"붙임 문서 확인 후 원인 확정 필요","결의서명 기반 원인분류 검토")))</x:f>
      </x:c>
    </x:row>
    <x:row r="589">
      <x:c r="A589" s="73" t="str">
        <x:f>IFERROR(INDEX('계산도우미'!$B$5:$B$2004,MATCH(ROWS($A$5:A589),'계산도우미'!$K$5:$K$2004,0)),"")</x:f>
      </x:c>
      <x:c r="B589" s="73" t="str">
        <x:f>IF(A589="","",IFERROR(INDEX('당기원장'!$B$5:$B$1004,MATCH(A589,'당기원장'!$A$5:$A$1004,0)),IFERROR(INDEX('전기원장'!$B$5:$B$1004,MATCH(A589,'전기원장'!$A$5:$A$1004,0)),"")))</x:f>
      </x:c>
      <x:c r="C589" s="75" t="str">
        <x:f>IF(A589="","",SUMIF('전기원장'!$A$5:$A$1004,A589,'전기원장'!$H$5:$H$1004))</x:f>
      </x:c>
      <x:c r="D589" s="75" t="str">
        <x:f>IF(A589="","",SUMIF('당기원장'!$A$5:$A$1004,A589,'당기원장'!$H$5:$H$1004))</x:f>
      </x:c>
      <x:c r="E589" s="75" t="str">
        <x:f>IF(A589="","",D589-C589)</x:f>
      </x:c>
      <x:c r="F589" s="88" t="str">
        <x:f>IF(A589="","",IF(C589=0,IF(D589=0,0,1),ABS(E589)/ABS(C589)))</x:f>
      </x:c>
      <x:c r="G589" s="73" t="str">
        <x:f>IF(A589="","",IF(AND(C589=0,D589&lt;&gt;0),"신규",IF(AND(C589&lt;&gt;0,D589=0),"소멸",IF(E589=0,"변동없음","금액변동"))))</x:f>
      </x:c>
      <x:c r="H589" s="73" t="str">
        <x:f>IF(A589="","",IF(AND(ABS(E589)&gt;='기준설정'!$B$6,OR(G589="신규",G589="소멸",F589&gt;='기준설정'!$B$5)),"원인분석 대상","일반"))</x:f>
      </x:c>
      <x:c r="I589" s="73" t="str">
        <x:f>IF(A589="","",IF(H589="원인분석 대상","세부원인분석 시트에서 거래별 원인을 검토","-"))</x:f>
      </x:c>
      <x:c r="J589" s="73" t="str">
        <x:f>IF(A589="","",COUNTIFS('전기원장'!$A$5:$A$1004,A589,'전기원장'!$J$5:$J$1004,"확인 필요")+COUNTIFS('당기원장'!$A$5:$A$1004,A589,'당기원장'!$J$5:$J$1004,"확인 필요"))</x:f>
      </x:c>
      <x:c r="K589" s="85" t="str">
        <x:f>IF(A589="","",IF(H589&lt;&gt;"원인분석 대상","",IF(J589&gt;0,"붙임 문서 확인 후 원인 확정 필요","결의서명 기반 원인분류 검토")))</x:f>
      </x:c>
    </x:row>
    <x:row r="590">
      <x:c r="A590" s="73" t="str">
        <x:f>IFERROR(INDEX('계산도우미'!$B$5:$B$2004,MATCH(ROWS($A$5:A590),'계산도우미'!$K$5:$K$2004,0)),"")</x:f>
      </x:c>
      <x:c r="B590" s="73" t="str">
        <x:f>IF(A590="","",IFERROR(INDEX('당기원장'!$B$5:$B$1004,MATCH(A590,'당기원장'!$A$5:$A$1004,0)),IFERROR(INDEX('전기원장'!$B$5:$B$1004,MATCH(A590,'전기원장'!$A$5:$A$1004,0)),"")))</x:f>
      </x:c>
      <x:c r="C590" s="75" t="str">
        <x:f>IF(A590="","",SUMIF('전기원장'!$A$5:$A$1004,A590,'전기원장'!$H$5:$H$1004))</x:f>
      </x:c>
      <x:c r="D590" s="75" t="str">
        <x:f>IF(A590="","",SUMIF('당기원장'!$A$5:$A$1004,A590,'당기원장'!$H$5:$H$1004))</x:f>
      </x:c>
      <x:c r="E590" s="75" t="str">
        <x:f>IF(A590="","",D590-C590)</x:f>
      </x:c>
      <x:c r="F590" s="88" t="str">
        <x:f>IF(A590="","",IF(C590=0,IF(D590=0,0,1),ABS(E590)/ABS(C590)))</x:f>
      </x:c>
      <x:c r="G590" s="73" t="str">
        <x:f>IF(A590="","",IF(AND(C590=0,D590&lt;&gt;0),"신규",IF(AND(C590&lt;&gt;0,D590=0),"소멸",IF(E590=0,"변동없음","금액변동"))))</x:f>
      </x:c>
      <x:c r="H590" s="73" t="str">
        <x:f>IF(A590="","",IF(AND(ABS(E590)&gt;='기준설정'!$B$6,OR(G590="신규",G590="소멸",F590&gt;='기준설정'!$B$5)),"원인분석 대상","일반"))</x:f>
      </x:c>
      <x:c r="I590" s="73" t="str">
        <x:f>IF(A590="","",IF(H590="원인분석 대상","세부원인분석 시트에서 거래별 원인을 검토","-"))</x:f>
      </x:c>
      <x:c r="J590" s="73" t="str">
        <x:f>IF(A590="","",COUNTIFS('전기원장'!$A$5:$A$1004,A590,'전기원장'!$J$5:$J$1004,"확인 필요")+COUNTIFS('당기원장'!$A$5:$A$1004,A590,'당기원장'!$J$5:$J$1004,"확인 필요"))</x:f>
      </x:c>
      <x:c r="K590" s="85" t="str">
        <x:f>IF(A590="","",IF(H590&lt;&gt;"원인분석 대상","",IF(J590&gt;0,"붙임 문서 확인 후 원인 확정 필요","결의서명 기반 원인분류 검토")))</x:f>
      </x:c>
    </x:row>
    <x:row r="591">
      <x:c r="A591" s="73" t="str">
        <x:f>IFERROR(INDEX('계산도우미'!$B$5:$B$2004,MATCH(ROWS($A$5:A591),'계산도우미'!$K$5:$K$2004,0)),"")</x:f>
      </x:c>
      <x:c r="B591" s="73" t="str">
        <x:f>IF(A591="","",IFERROR(INDEX('당기원장'!$B$5:$B$1004,MATCH(A591,'당기원장'!$A$5:$A$1004,0)),IFERROR(INDEX('전기원장'!$B$5:$B$1004,MATCH(A591,'전기원장'!$A$5:$A$1004,0)),"")))</x:f>
      </x:c>
      <x:c r="C591" s="75" t="str">
        <x:f>IF(A591="","",SUMIF('전기원장'!$A$5:$A$1004,A591,'전기원장'!$H$5:$H$1004))</x:f>
      </x:c>
      <x:c r="D591" s="75" t="str">
        <x:f>IF(A591="","",SUMIF('당기원장'!$A$5:$A$1004,A591,'당기원장'!$H$5:$H$1004))</x:f>
      </x:c>
      <x:c r="E591" s="75" t="str">
        <x:f>IF(A591="","",D591-C591)</x:f>
      </x:c>
      <x:c r="F591" s="88" t="str">
        <x:f>IF(A591="","",IF(C591=0,IF(D591=0,0,1),ABS(E591)/ABS(C591)))</x:f>
      </x:c>
      <x:c r="G591" s="73" t="str">
        <x:f>IF(A591="","",IF(AND(C591=0,D591&lt;&gt;0),"신규",IF(AND(C591&lt;&gt;0,D591=0),"소멸",IF(E591=0,"변동없음","금액변동"))))</x:f>
      </x:c>
      <x:c r="H591" s="73" t="str">
        <x:f>IF(A591="","",IF(AND(ABS(E591)&gt;='기준설정'!$B$6,OR(G591="신규",G591="소멸",F591&gt;='기준설정'!$B$5)),"원인분석 대상","일반"))</x:f>
      </x:c>
      <x:c r="I591" s="73" t="str">
        <x:f>IF(A591="","",IF(H591="원인분석 대상","세부원인분석 시트에서 거래별 원인을 검토","-"))</x:f>
      </x:c>
      <x:c r="J591" s="73" t="str">
        <x:f>IF(A591="","",COUNTIFS('전기원장'!$A$5:$A$1004,A591,'전기원장'!$J$5:$J$1004,"확인 필요")+COUNTIFS('당기원장'!$A$5:$A$1004,A591,'당기원장'!$J$5:$J$1004,"확인 필요"))</x:f>
      </x:c>
      <x:c r="K591" s="85" t="str">
        <x:f>IF(A591="","",IF(H591&lt;&gt;"원인분석 대상","",IF(J591&gt;0,"붙임 문서 확인 후 원인 확정 필요","결의서명 기반 원인분류 검토")))</x:f>
      </x:c>
    </x:row>
    <x:row r="592">
      <x:c r="A592" s="73" t="str">
        <x:f>IFERROR(INDEX('계산도우미'!$B$5:$B$2004,MATCH(ROWS($A$5:A592),'계산도우미'!$K$5:$K$2004,0)),"")</x:f>
      </x:c>
      <x:c r="B592" s="73" t="str">
        <x:f>IF(A592="","",IFERROR(INDEX('당기원장'!$B$5:$B$1004,MATCH(A592,'당기원장'!$A$5:$A$1004,0)),IFERROR(INDEX('전기원장'!$B$5:$B$1004,MATCH(A592,'전기원장'!$A$5:$A$1004,0)),"")))</x:f>
      </x:c>
      <x:c r="C592" s="75" t="str">
        <x:f>IF(A592="","",SUMIF('전기원장'!$A$5:$A$1004,A592,'전기원장'!$H$5:$H$1004))</x:f>
      </x:c>
      <x:c r="D592" s="75" t="str">
        <x:f>IF(A592="","",SUMIF('당기원장'!$A$5:$A$1004,A592,'당기원장'!$H$5:$H$1004))</x:f>
      </x:c>
      <x:c r="E592" s="75" t="str">
        <x:f>IF(A592="","",D592-C592)</x:f>
      </x:c>
      <x:c r="F592" s="88" t="str">
        <x:f>IF(A592="","",IF(C592=0,IF(D592=0,0,1),ABS(E592)/ABS(C592)))</x:f>
      </x:c>
      <x:c r="G592" s="73" t="str">
        <x:f>IF(A592="","",IF(AND(C592=0,D592&lt;&gt;0),"신규",IF(AND(C592&lt;&gt;0,D592=0),"소멸",IF(E592=0,"변동없음","금액변동"))))</x:f>
      </x:c>
      <x:c r="H592" s="73" t="str">
        <x:f>IF(A592="","",IF(AND(ABS(E592)&gt;='기준설정'!$B$6,OR(G592="신규",G592="소멸",F592&gt;='기준설정'!$B$5)),"원인분석 대상","일반"))</x:f>
      </x:c>
      <x:c r="I592" s="73" t="str">
        <x:f>IF(A592="","",IF(H592="원인분석 대상","세부원인분석 시트에서 거래별 원인을 검토","-"))</x:f>
      </x:c>
      <x:c r="J592" s="73" t="str">
        <x:f>IF(A592="","",COUNTIFS('전기원장'!$A$5:$A$1004,A592,'전기원장'!$J$5:$J$1004,"확인 필요")+COUNTIFS('당기원장'!$A$5:$A$1004,A592,'당기원장'!$J$5:$J$1004,"확인 필요"))</x:f>
      </x:c>
      <x:c r="K592" s="85" t="str">
        <x:f>IF(A592="","",IF(H592&lt;&gt;"원인분석 대상","",IF(J592&gt;0,"붙임 문서 확인 후 원인 확정 필요","결의서명 기반 원인분류 검토")))</x:f>
      </x:c>
    </x:row>
    <x:row r="593">
      <x:c r="A593" s="73" t="str">
        <x:f>IFERROR(INDEX('계산도우미'!$B$5:$B$2004,MATCH(ROWS($A$5:A593),'계산도우미'!$K$5:$K$2004,0)),"")</x:f>
      </x:c>
      <x:c r="B593" s="73" t="str">
        <x:f>IF(A593="","",IFERROR(INDEX('당기원장'!$B$5:$B$1004,MATCH(A593,'당기원장'!$A$5:$A$1004,0)),IFERROR(INDEX('전기원장'!$B$5:$B$1004,MATCH(A593,'전기원장'!$A$5:$A$1004,0)),"")))</x:f>
      </x:c>
      <x:c r="C593" s="75" t="str">
        <x:f>IF(A593="","",SUMIF('전기원장'!$A$5:$A$1004,A593,'전기원장'!$H$5:$H$1004))</x:f>
      </x:c>
      <x:c r="D593" s="75" t="str">
        <x:f>IF(A593="","",SUMIF('당기원장'!$A$5:$A$1004,A593,'당기원장'!$H$5:$H$1004))</x:f>
      </x:c>
      <x:c r="E593" s="75" t="str">
        <x:f>IF(A593="","",D593-C593)</x:f>
      </x:c>
      <x:c r="F593" s="88" t="str">
        <x:f>IF(A593="","",IF(C593=0,IF(D593=0,0,1),ABS(E593)/ABS(C593)))</x:f>
      </x:c>
      <x:c r="G593" s="73" t="str">
        <x:f>IF(A593="","",IF(AND(C593=0,D593&lt;&gt;0),"신규",IF(AND(C593&lt;&gt;0,D593=0),"소멸",IF(E593=0,"변동없음","금액변동"))))</x:f>
      </x:c>
      <x:c r="H593" s="73" t="str">
        <x:f>IF(A593="","",IF(AND(ABS(E593)&gt;='기준설정'!$B$6,OR(G593="신규",G593="소멸",F593&gt;='기준설정'!$B$5)),"원인분석 대상","일반"))</x:f>
      </x:c>
      <x:c r="I593" s="73" t="str">
        <x:f>IF(A593="","",IF(H593="원인분석 대상","세부원인분석 시트에서 거래별 원인을 검토","-"))</x:f>
      </x:c>
      <x:c r="J593" s="73" t="str">
        <x:f>IF(A593="","",COUNTIFS('전기원장'!$A$5:$A$1004,A593,'전기원장'!$J$5:$J$1004,"확인 필요")+COUNTIFS('당기원장'!$A$5:$A$1004,A593,'당기원장'!$J$5:$J$1004,"확인 필요"))</x:f>
      </x:c>
      <x:c r="K593" s="85" t="str">
        <x:f>IF(A593="","",IF(H593&lt;&gt;"원인분석 대상","",IF(J593&gt;0,"붙임 문서 확인 후 원인 확정 필요","결의서명 기반 원인분류 검토")))</x:f>
      </x:c>
    </x:row>
    <x:row r="594">
      <x:c r="A594" s="73" t="str">
        <x:f>IFERROR(INDEX('계산도우미'!$B$5:$B$2004,MATCH(ROWS($A$5:A594),'계산도우미'!$K$5:$K$2004,0)),"")</x:f>
      </x:c>
      <x:c r="B594" s="73" t="str">
        <x:f>IF(A594="","",IFERROR(INDEX('당기원장'!$B$5:$B$1004,MATCH(A594,'당기원장'!$A$5:$A$1004,0)),IFERROR(INDEX('전기원장'!$B$5:$B$1004,MATCH(A594,'전기원장'!$A$5:$A$1004,0)),"")))</x:f>
      </x:c>
      <x:c r="C594" s="75" t="str">
        <x:f>IF(A594="","",SUMIF('전기원장'!$A$5:$A$1004,A594,'전기원장'!$H$5:$H$1004))</x:f>
      </x:c>
      <x:c r="D594" s="75" t="str">
        <x:f>IF(A594="","",SUMIF('당기원장'!$A$5:$A$1004,A594,'당기원장'!$H$5:$H$1004))</x:f>
      </x:c>
      <x:c r="E594" s="75" t="str">
        <x:f>IF(A594="","",D594-C594)</x:f>
      </x:c>
      <x:c r="F594" s="88" t="str">
        <x:f>IF(A594="","",IF(C594=0,IF(D594=0,0,1),ABS(E594)/ABS(C594)))</x:f>
      </x:c>
      <x:c r="G594" s="73" t="str">
        <x:f>IF(A594="","",IF(AND(C594=0,D594&lt;&gt;0),"신규",IF(AND(C594&lt;&gt;0,D594=0),"소멸",IF(E594=0,"변동없음","금액변동"))))</x:f>
      </x:c>
      <x:c r="H594" s="73" t="str">
        <x:f>IF(A594="","",IF(AND(ABS(E594)&gt;='기준설정'!$B$6,OR(G594="신규",G594="소멸",F594&gt;='기준설정'!$B$5)),"원인분석 대상","일반"))</x:f>
      </x:c>
      <x:c r="I594" s="73" t="str">
        <x:f>IF(A594="","",IF(H594="원인분석 대상","세부원인분석 시트에서 거래별 원인을 검토","-"))</x:f>
      </x:c>
      <x:c r="J594" s="73" t="str">
        <x:f>IF(A594="","",COUNTIFS('전기원장'!$A$5:$A$1004,A594,'전기원장'!$J$5:$J$1004,"확인 필요")+COUNTIFS('당기원장'!$A$5:$A$1004,A594,'당기원장'!$J$5:$J$1004,"확인 필요"))</x:f>
      </x:c>
      <x:c r="K594" s="85" t="str">
        <x:f>IF(A594="","",IF(H594&lt;&gt;"원인분석 대상","",IF(J594&gt;0,"붙임 문서 확인 후 원인 확정 필요","결의서명 기반 원인분류 검토")))</x:f>
      </x:c>
    </x:row>
    <x:row r="595">
      <x:c r="A595" s="73" t="str">
        <x:f>IFERROR(INDEX('계산도우미'!$B$5:$B$2004,MATCH(ROWS($A$5:A595),'계산도우미'!$K$5:$K$2004,0)),"")</x:f>
      </x:c>
      <x:c r="B595" s="73" t="str">
        <x:f>IF(A595="","",IFERROR(INDEX('당기원장'!$B$5:$B$1004,MATCH(A595,'당기원장'!$A$5:$A$1004,0)),IFERROR(INDEX('전기원장'!$B$5:$B$1004,MATCH(A595,'전기원장'!$A$5:$A$1004,0)),"")))</x:f>
      </x:c>
      <x:c r="C595" s="75" t="str">
        <x:f>IF(A595="","",SUMIF('전기원장'!$A$5:$A$1004,A595,'전기원장'!$H$5:$H$1004))</x:f>
      </x:c>
      <x:c r="D595" s="75" t="str">
        <x:f>IF(A595="","",SUMIF('당기원장'!$A$5:$A$1004,A595,'당기원장'!$H$5:$H$1004))</x:f>
      </x:c>
      <x:c r="E595" s="75" t="str">
        <x:f>IF(A595="","",D595-C595)</x:f>
      </x:c>
      <x:c r="F595" s="88" t="str">
        <x:f>IF(A595="","",IF(C595=0,IF(D595=0,0,1),ABS(E595)/ABS(C595)))</x:f>
      </x:c>
      <x:c r="G595" s="73" t="str">
        <x:f>IF(A595="","",IF(AND(C595=0,D595&lt;&gt;0),"신규",IF(AND(C595&lt;&gt;0,D595=0),"소멸",IF(E595=0,"변동없음","금액변동"))))</x:f>
      </x:c>
      <x:c r="H595" s="73" t="str">
        <x:f>IF(A595="","",IF(AND(ABS(E595)&gt;='기준설정'!$B$6,OR(G595="신규",G595="소멸",F595&gt;='기준설정'!$B$5)),"원인분석 대상","일반"))</x:f>
      </x:c>
      <x:c r="I595" s="73" t="str">
        <x:f>IF(A595="","",IF(H595="원인분석 대상","세부원인분석 시트에서 거래별 원인을 검토","-"))</x:f>
      </x:c>
      <x:c r="J595" s="73" t="str">
        <x:f>IF(A595="","",COUNTIFS('전기원장'!$A$5:$A$1004,A595,'전기원장'!$J$5:$J$1004,"확인 필요")+COUNTIFS('당기원장'!$A$5:$A$1004,A595,'당기원장'!$J$5:$J$1004,"확인 필요"))</x:f>
      </x:c>
      <x:c r="K595" s="85" t="str">
        <x:f>IF(A595="","",IF(H595&lt;&gt;"원인분석 대상","",IF(J595&gt;0,"붙임 문서 확인 후 원인 확정 필요","결의서명 기반 원인분류 검토")))</x:f>
      </x:c>
    </x:row>
    <x:row r="596">
      <x:c r="A596" s="73" t="str">
        <x:f>IFERROR(INDEX('계산도우미'!$B$5:$B$2004,MATCH(ROWS($A$5:A596),'계산도우미'!$K$5:$K$2004,0)),"")</x:f>
      </x:c>
      <x:c r="B596" s="73" t="str">
        <x:f>IF(A596="","",IFERROR(INDEX('당기원장'!$B$5:$B$1004,MATCH(A596,'당기원장'!$A$5:$A$1004,0)),IFERROR(INDEX('전기원장'!$B$5:$B$1004,MATCH(A596,'전기원장'!$A$5:$A$1004,0)),"")))</x:f>
      </x:c>
      <x:c r="C596" s="75" t="str">
        <x:f>IF(A596="","",SUMIF('전기원장'!$A$5:$A$1004,A596,'전기원장'!$H$5:$H$1004))</x:f>
      </x:c>
      <x:c r="D596" s="75" t="str">
        <x:f>IF(A596="","",SUMIF('당기원장'!$A$5:$A$1004,A596,'당기원장'!$H$5:$H$1004))</x:f>
      </x:c>
      <x:c r="E596" s="75" t="str">
        <x:f>IF(A596="","",D596-C596)</x:f>
      </x:c>
      <x:c r="F596" s="88" t="str">
        <x:f>IF(A596="","",IF(C596=0,IF(D596=0,0,1),ABS(E596)/ABS(C596)))</x:f>
      </x:c>
      <x:c r="G596" s="73" t="str">
        <x:f>IF(A596="","",IF(AND(C596=0,D596&lt;&gt;0),"신규",IF(AND(C596&lt;&gt;0,D596=0),"소멸",IF(E596=0,"변동없음","금액변동"))))</x:f>
      </x:c>
      <x:c r="H596" s="73" t="str">
        <x:f>IF(A596="","",IF(AND(ABS(E596)&gt;='기준설정'!$B$6,OR(G596="신규",G596="소멸",F596&gt;='기준설정'!$B$5)),"원인분석 대상","일반"))</x:f>
      </x:c>
      <x:c r="I596" s="73" t="str">
        <x:f>IF(A596="","",IF(H596="원인분석 대상","세부원인분석 시트에서 거래별 원인을 검토","-"))</x:f>
      </x:c>
      <x:c r="J596" s="73" t="str">
        <x:f>IF(A596="","",COUNTIFS('전기원장'!$A$5:$A$1004,A596,'전기원장'!$J$5:$J$1004,"확인 필요")+COUNTIFS('당기원장'!$A$5:$A$1004,A596,'당기원장'!$J$5:$J$1004,"확인 필요"))</x:f>
      </x:c>
      <x:c r="K596" s="85" t="str">
        <x:f>IF(A596="","",IF(H596&lt;&gt;"원인분석 대상","",IF(J596&gt;0,"붙임 문서 확인 후 원인 확정 필요","결의서명 기반 원인분류 검토")))</x:f>
      </x:c>
    </x:row>
    <x:row r="597">
      <x:c r="A597" s="73" t="str">
        <x:f>IFERROR(INDEX('계산도우미'!$B$5:$B$2004,MATCH(ROWS($A$5:A597),'계산도우미'!$K$5:$K$2004,0)),"")</x:f>
      </x:c>
      <x:c r="B597" s="73" t="str">
        <x:f>IF(A597="","",IFERROR(INDEX('당기원장'!$B$5:$B$1004,MATCH(A597,'당기원장'!$A$5:$A$1004,0)),IFERROR(INDEX('전기원장'!$B$5:$B$1004,MATCH(A597,'전기원장'!$A$5:$A$1004,0)),"")))</x:f>
      </x:c>
      <x:c r="C597" s="75" t="str">
        <x:f>IF(A597="","",SUMIF('전기원장'!$A$5:$A$1004,A597,'전기원장'!$H$5:$H$1004))</x:f>
      </x:c>
      <x:c r="D597" s="75" t="str">
        <x:f>IF(A597="","",SUMIF('당기원장'!$A$5:$A$1004,A597,'당기원장'!$H$5:$H$1004))</x:f>
      </x:c>
      <x:c r="E597" s="75" t="str">
        <x:f>IF(A597="","",D597-C597)</x:f>
      </x:c>
      <x:c r="F597" s="88" t="str">
        <x:f>IF(A597="","",IF(C597=0,IF(D597=0,0,1),ABS(E597)/ABS(C597)))</x:f>
      </x:c>
      <x:c r="G597" s="73" t="str">
        <x:f>IF(A597="","",IF(AND(C597=0,D597&lt;&gt;0),"신규",IF(AND(C597&lt;&gt;0,D597=0),"소멸",IF(E597=0,"변동없음","금액변동"))))</x:f>
      </x:c>
      <x:c r="H597" s="73" t="str">
        <x:f>IF(A597="","",IF(AND(ABS(E597)&gt;='기준설정'!$B$6,OR(G597="신규",G597="소멸",F597&gt;='기준설정'!$B$5)),"원인분석 대상","일반"))</x:f>
      </x:c>
      <x:c r="I597" s="73" t="str">
        <x:f>IF(A597="","",IF(H597="원인분석 대상","세부원인분석 시트에서 거래별 원인을 검토","-"))</x:f>
      </x:c>
      <x:c r="J597" s="73" t="str">
        <x:f>IF(A597="","",COUNTIFS('전기원장'!$A$5:$A$1004,A597,'전기원장'!$J$5:$J$1004,"확인 필요")+COUNTIFS('당기원장'!$A$5:$A$1004,A597,'당기원장'!$J$5:$J$1004,"확인 필요"))</x:f>
      </x:c>
      <x:c r="K597" s="85" t="str">
        <x:f>IF(A597="","",IF(H597&lt;&gt;"원인분석 대상","",IF(J597&gt;0,"붙임 문서 확인 후 원인 확정 필요","결의서명 기반 원인분류 검토")))</x:f>
      </x:c>
    </x:row>
    <x:row r="598">
      <x:c r="A598" s="73" t="str">
        <x:f>IFERROR(INDEX('계산도우미'!$B$5:$B$2004,MATCH(ROWS($A$5:A598),'계산도우미'!$K$5:$K$2004,0)),"")</x:f>
      </x:c>
      <x:c r="B598" s="73" t="str">
        <x:f>IF(A598="","",IFERROR(INDEX('당기원장'!$B$5:$B$1004,MATCH(A598,'당기원장'!$A$5:$A$1004,0)),IFERROR(INDEX('전기원장'!$B$5:$B$1004,MATCH(A598,'전기원장'!$A$5:$A$1004,0)),"")))</x:f>
      </x:c>
      <x:c r="C598" s="75" t="str">
        <x:f>IF(A598="","",SUMIF('전기원장'!$A$5:$A$1004,A598,'전기원장'!$H$5:$H$1004))</x:f>
      </x:c>
      <x:c r="D598" s="75" t="str">
        <x:f>IF(A598="","",SUMIF('당기원장'!$A$5:$A$1004,A598,'당기원장'!$H$5:$H$1004))</x:f>
      </x:c>
      <x:c r="E598" s="75" t="str">
        <x:f>IF(A598="","",D598-C598)</x:f>
      </x:c>
      <x:c r="F598" s="88" t="str">
        <x:f>IF(A598="","",IF(C598=0,IF(D598=0,0,1),ABS(E598)/ABS(C598)))</x:f>
      </x:c>
      <x:c r="G598" s="73" t="str">
        <x:f>IF(A598="","",IF(AND(C598=0,D598&lt;&gt;0),"신규",IF(AND(C598&lt;&gt;0,D598=0),"소멸",IF(E598=0,"변동없음","금액변동"))))</x:f>
      </x:c>
      <x:c r="H598" s="73" t="str">
        <x:f>IF(A598="","",IF(AND(ABS(E598)&gt;='기준설정'!$B$6,OR(G598="신규",G598="소멸",F598&gt;='기준설정'!$B$5)),"원인분석 대상","일반"))</x:f>
      </x:c>
      <x:c r="I598" s="73" t="str">
        <x:f>IF(A598="","",IF(H598="원인분석 대상","세부원인분석 시트에서 거래별 원인을 검토","-"))</x:f>
      </x:c>
      <x:c r="J598" s="73" t="str">
        <x:f>IF(A598="","",COUNTIFS('전기원장'!$A$5:$A$1004,A598,'전기원장'!$J$5:$J$1004,"확인 필요")+COUNTIFS('당기원장'!$A$5:$A$1004,A598,'당기원장'!$J$5:$J$1004,"확인 필요"))</x:f>
      </x:c>
      <x:c r="K598" s="85" t="str">
        <x:f>IF(A598="","",IF(H598&lt;&gt;"원인분석 대상","",IF(J598&gt;0,"붙임 문서 확인 후 원인 확정 필요","결의서명 기반 원인분류 검토")))</x:f>
      </x:c>
    </x:row>
    <x:row r="599">
      <x:c r="A599" s="73" t="str">
        <x:f>IFERROR(INDEX('계산도우미'!$B$5:$B$2004,MATCH(ROWS($A$5:A599),'계산도우미'!$K$5:$K$2004,0)),"")</x:f>
      </x:c>
      <x:c r="B599" s="73" t="str">
        <x:f>IF(A599="","",IFERROR(INDEX('당기원장'!$B$5:$B$1004,MATCH(A599,'당기원장'!$A$5:$A$1004,0)),IFERROR(INDEX('전기원장'!$B$5:$B$1004,MATCH(A599,'전기원장'!$A$5:$A$1004,0)),"")))</x:f>
      </x:c>
      <x:c r="C599" s="75" t="str">
        <x:f>IF(A599="","",SUMIF('전기원장'!$A$5:$A$1004,A599,'전기원장'!$H$5:$H$1004))</x:f>
      </x:c>
      <x:c r="D599" s="75" t="str">
        <x:f>IF(A599="","",SUMIF('당기원장'!$A$5:$A$1004,A599,'당기원장'!$H$5:$H$1004))</x:f>
      </x:c>
      <x:c r="E599" s="75" t="str">
        <x:f>IF(A599="","",D599-C599)</x:f>
      </x:c>
      <x:c r="F599" s="88" t="str">
        <x:f>IF(A599="","",IF(C599=0,IF(D599=0,0,1),ABS(E599)/ABS(C599)))</x:f>
      </x:c>
      <x:c r="G599" s="73" t="str">
        <x:f>IF(A599="","",IF(AND(C599=0,D599&lt;&gt;0),"신규",IF(AND(C599&lt;&gt;0,D599=0),"소멸",IF(E599=0,"변동없음","금액변동"))))</x:f>
      </x:c>
      <x:c r="H599" s="73" t="str">
        <x:f>IF(A599="","",IF(AND(ABS(E599)&gt;='기준설정'!$B$6,OR(G599="신규",G599="소멸",F599&gt;='기준설정'!$B$5)),"원인분석 대상","일반"))</x:f>
      </x:c>
      <x:c r="I599" s="73" t="str">
        <x:f>IF(A599="","",IF(H599="원인분석 대상","세부원인분석 시트에서 거래별 원인을 검토","-"))</x:f>
      </x:c>
      <x:c r="J599" s="73" t="str">
        <x:f>IF(A599="","",COUNTIFS('전기원장'!$A$5:$A$1004,A599,'전기원장'!$J$5:$J$1004,"확인 필요")+COUNTIFS('당기원장'!$A$5:$A$1004,A599,'당기원장'!$J$5:$J$1004,"확인 필요"))</x:f>
      </x:c>
      <x:c r="K599" s="85" t="str">
        <x:f>IF(A599="","",IF(H599&lt;&gt;"원인분석 대상","",IF(J599&gt;0,"붙임 문서 확인 후 원인 확정 필요","결의서명 기반 원인분류 검토")))</x:f>
      </x:c>
    </x:row>
    <x:row r="600">
      <x:c r="A600" s="73" t="str">
        <x:f>IFERROR(INDEX('계산도우미'!$B$5:$B$2004,MATCH(ROWS($A$5:A600),'계산도우미'!$K$5:$K$2004,0)),"")</x:f>
      </x:c>
      <x:c r="B600" s="73" t="str">
        <x:f>IF(A600="","",IFERROR(INDEX('당기원장'!$B$5:$B$1004,MATCH(A600,'당기원장'!$A$5:$A$1004,0)),IFERROR(INDEX('전기원장'!$B$5:$B$1004,MATCH(A600,'전기원장'!$A$5:$A$1004,0)),"")))</x:f>
      </x:c>
      <x:c r="C600" s="75" t="str">
        <x:f>IF(A600="","",SUMIF('전기원장'!$A$5:$A$1004,A600,'전기원장'!$H$5:$H$1004))</x:f>
      </x:c>
      <x:c r="D600" s="75" t="str">
        <x:f>IF(A600="","",SUMIF('당기원장'!$A$5:$A$1004,A600,'당기원장'!$H$5:$H$1004))</x:f>
      </x:c>
      <x:c r="E600" s="75" t="str">
        <x:f>IF(A600="","",D600-C600)</x:f>
      </x:c>
      <x:c r="F600" s="88" t="str">
        <x:f>IF(A600="","",IF(C600=0,IF(D600=0,0,1),ABS(E600)/ABS(C600)))</x:f>
      </x:c>
      <x:c r="G600" s="73" t="str">
        <x:f>IF(A600="","",IF(AND(C600=0,D600&lt;&gt;0),"신규",IF(AND(C600&lt;&gt;0,D600=0),"소멸",IF(E600=0,"변동없음","금액변동"))))</x:f>
      </x:c>
      <x:c r="H600" s="73" t="str">
        <x:f>IF(A600="","",IF(AND(ABS(E600)&gt;='기준설정'!$B$6,OR(G600="신규",G600="소멸",F600&gt;='기준설정'!$B$5)),"원인분석 대상","일반"))</x:f>
      </x:c>
      <x:c r="I600" s="73" t="str">
        <x:f>IF(A600="","",IF(H600="원인분석 대상","세부원인분석 시트에서 거래별 원인을 검토","-"))</x:f>
      </x:c>
      <x:c r="J600" s="73" t="str">
        <x:f>IF(A600="","",COUNTIFS('전기원장'!$A$5:$A$1004,A600,'전기원장'!$J$5:$J$1004,"확인 필요")+COUNTIFS('당기원장'!$A$5:$A$1004,A600,'당기원장'!$J$5:$J$1004,"확인 필요"))</x:f>
      </x:c>
      <x:c r="K600" s="85" t="str">
        <x:f>IF(A600="","",IF(H600&lt;&gt;"원인분석 대상","",IF(J600&gt;0,"붙임 문서 확인 후 원인 확정 필요","결의서명 기반 원인분류 검토")))</x:f>
      </x:c>
    </x:row>
    <x:row r="601">
      <x:c r="A601" s="73" t="str">
        <x:f>IFERROR(INDEX('계산도우미'!$B$5:$B$2004,MATCH(ROWS($A$5:A601),'계산도우미'!$K$5:$K$2004,0)),"")</x:f>
      </x:c>
      <x:c r="B601" s="73" t="str">
        <x:f>IF(A601="","",IFERROR(INDEX('당기원장'!$B$5:$B$1004,MATCH(A601,'당기원장'!$A$5:$A$1004,0)),IFERROR(INDEX('전기원장'!$B$5:$B$1004,MATCH(A601,'전기원장'!$A$5:$A$1004,0)),"")))</x:f>
      </x:c>
      <x:c r="C601" s="75" t="str">
        <x:f>IF(A601="","",SUMIF('전기원장'!$A$5:$A$1004,A601,'전기원장'!$H$5:$H$1004))</x:f>
      </x:c>
      <x:c r="D601" s="75" t="str">
        <x:f>IF(A601="","",SUMIF('당기원장'!$A$5:$A$1004,A601,'당기원장'!$H$5:$H$1004))</x:f>
      </x:c>
      <x:c r="E601" s="75" t="str">
        <x:f>IF(A601="","",D601-C601)</x:f>
      </x:c>
      <x:c r="F601" s="88" t="str">
        <x:f>IF(A601="","",IF(C601=0,IF(D601=0,0,1),ABS(E601)/ABS(C601)))</x:f>
      </x:c>
      <x:c r="G601" s="73" t="str">
        <x:f>IF(A601="","",IF(AND(C601=0,D601&lt;&gt;0),"신규",IF(AND(C601&lt;&gt;0,D601=0),"소멸",IF(E601=0,"변동없음","금액변동"))))</x:f>
      </x:c>
      <x:c r="H601" s="73" t="str">
        <x:f>IF(A601="","",IF(AND(ABS(E601)&gt;='기준설정'!$B$6,OR(G601="신규",G601="소멸",F601&gt;='기준설정'!$B$5)),"원인분석 대상","일반"))</x:f>
      </x:c>
      <x:c r="I601" s="73" t="str">
        <x:f>IF(A601="","",IF(H601="원인분석 대상","세부원인분석 시트에서 거래별 원인을 검토","-"))</x:f>
      </x:c>
      <x:c r="J601" s="73" t="str">
        <x:f>IF(A601="","",COUNTIFS('전기원장'!$A$5:$A$1004,A601,'전기원장'!$J$5:$J$1004,"확인 필요")+COUNTIFS('당기원장'!$A$5:$A$1004,A601,'당기원장'!$J$5:$J$1004,"확인 필요"))</x:f>
      </x:c>
      <x:c r="K601" s="85" t="str">
        <x:f>IF(A601="","",IF(H601&lt;&gt;"원인분석 대상","",IF(J601&gt;0,"붙임 문서 확인 후 원인 확정 필요","결의서명 기반 원인분류 검토")))</x:f>
      </x:c>
    </x:row>
    <x:row r="602">
      <x:c r="A602" s="73" t="str">
        <x:f>IFERROR(INDEX('계산도우미'!$B$5:$B$2004,MATCH(ROWS($A$5:A602),'계산도우미'!$K$5:$K$2004,0)),"")</x:f>
      </x:c>
      <x:c r="B602" s="73" t="str">
        <x:f>IF(A602="","",IFERROR(INDEX('당기원장'!$B$5:$B$1004,MATCH(A602,'당기원장'!$A$5:$A$1004,0)),IFERROR(INDEX('전기원장'!$B$5:$B$1004,MATCH(A602,'전기원장'!$A$5:$A$1004,0)),"")))</x:f>
      </x:c>
      <x:c r="C602" s="75" t="str">
        <x:f>IF(A602="","",SUMIF('전기원장'!$A$5:$A$1004,A602,'전기원장'!$H$5:$H$1004))</x:f>
      </x:c>
      <x:c r="D602" s="75" t="str">
        <x:f>IF(A602="","",SUMIF('당기원장'!$A$5:$A$1004,A602,'당기원장'!$H$5:$H$1004))</x:f>
      </x:c>
      <x:c r="E602" s="75" t="str">
        <x:f>IF(A602="","",D602-C602)</x:f>
      </x:c>
      <x:c r="F602" s="88" t="str">
        <x:f>IF(A602="","",IF(C602=0,IF(D602=0,0,1),ABS(E602)/ABS(C602)))</x:f>
      </x:c>
      <x:c r="G602" s="73" t="str">
        <x:f>IF(A602="","",IF(AND(C602=0,D602&lt;&gt;0),"신규",IF(AND(C602&lt;&gt;0,D602=0),"소멸",IF(E602=0,"변동없음","금액변동"))))</x:f>
      </x:c>
      <x:c r="H602" s="73" t="str">
        <x:f>IF(A602="","",IF(AND(ABS(E602)&gt;='기준설정'!$B$6,OR(G602="신규",G602="소멸",F602&gt;='기준설정'!$B$5)),"원인분석 대상","일반"))</x:f>
      </x:c>
      <x:c r="I602" s="73" t="str">
        <x:f>IF(A602="","",IF(H602="원인분석 대상","세부원인분석 시트에서 거래별 원인을 검토","-"))</x:f>
      </x:c>
      <x:c r="J602" s="73" t="str">
        <x:f>IF(A602="","",COUNTIFS('전기원장'!$A$5:$A$1004,A602,'전기원장'!$J$5:$J$1004,"확인 필요")+COUNTIFS('당기원장'!$A$5:$A$1004,A602,'당기원장'!$J$5:$J$1004,"확인 필요"))</x:f>
      </x:c>
      <x:c r="K602" s="85" t="str">
        <x:f>IF(A602="","",IF(H602&lt;&gt;"원인분석 대상","",IF(J602&gt;0,"붙임 문서 확인 후 원인 확정 필요","결의서명 기반 원인분류 검토")))</x:f>
      </x:c>
    </x:row>
    <x:row r="603">
      <x:c r="A603" s="73" t="str">
        <x:f>IFERROR(INDEX('계산도우미'!$B$5:$B$2004,MATCH(ROWS($A$5:A603),'계산도우미'!$K$5:$K$2004,0)),"")</x:f>
      </x:c>
      <x:c r="B603" s="73" t="str">
        <x:f>IF(A603="","",IFERROR(INDEX('당기원장'!$B$5:$B$1004,MATCH(A603,'당기원장'!$A$5:$A$1004,0)),IFERROR(INDEX('전기원장'!$B$5:$B$1004,MATCH(A603,'전기원장'!$A$5:$A$1004,0)),"")))</x:f>
      </x:c>
      <x:c r="C603" s="75" t="str">
        <x:f>IF(A603="","",SUMIF('전기원장'!$A$5:$A$1004,A603,'전기원장'!$H$5:$H$1004))</x:f>
      </x:c>
      <x:c r="D603" s="75" t="str">
        <x:f>IF(A603="","",SUMIF('당기원장'!$A$5:$A$1004,A603,'당기원장'!$H$5:$H$1004))</x:f>
      </x:c>
      <x:c r="E603" s="75" t="str">
        <x:f>IF(A603="","",D603-C603)</x:f>
      </x:c>
      <x:c r="F603" s="88" t="str">
        <x:f>IF(A603="","",IF(C603=0,IF(D603=0,0,1),ABS(E603)/ABS(C603)))</x:f>
      </x:c>
      <x:c r="G603" s="73" t="str">
        <x:f>IF(A603="","",IF(AND(C603=0,D603&lt;&gt;0),"신규",IF(AND(C603&lt;&gt;0,D603=0),"소멸",IF(E603=0,"변동없음","금액변동"))))</x:f>
      </x:c>
      <x:c r="H603" s="73" t="str">
        <x:f>IF(A603="","",IF(AND(ABS(E603)&gt;='기준설정'!$B$6,OR(G603="신규",G603="소멸",F603&gt;='기준설정'!$B$5)),"원인분석 대상","일반"))</x:f>
      </x:c>
      <x:c r="I603" s="73" t="str">
        <x:f>IF(A603="","",IF(H603="원인분석 대상","세부원인분석 시트에서 거래별 원인을 검토","-"))</x:f>
      </x:c>
      <x:c r="J603" s="73" t="str">
        <x:f>IF(A603="","",COUNTIFS('전기원장'!$A$5:$A$1004,A603,'전기원장'!$J$5:$J$1004,"확인 필요")+COUNTIFS('당기원장'!$A$5:$A$1004,A603,'당기원장'!$J$5:$J$1004,"확인 필요"))</x:f>
      </x:c>
      <x:c r="K603" s="85" t="str">
        <x:f>IF(A603="","",IF(H603&lt;&gt;"원인분석 대상","",IF(J603&gt;0,"붙임 문서 확인 후 원인 확정 필요","결의서명 기반 원인분류 검토")))</x:f>
      </x:c>
    </x:row>
    <x:row r="604">
      <x:c r="A604" s="73" t="str">
        <x:f>IFERROR(INDEX('계산도우미'!$B$5:$B$2004,MATCH(ROWS($A$5:A604),'계산도우미'!$K$5:$K$2004,0)),"")</x:f>
      </x:c>
      <x:c r="B604" s="73" t="str">
        <x:f>IF(A604="","",IFERROR(INDEX('당기원장'!$B$5:$B$1004,MATCH(A604,'당기원장'!$A$5:$A$1004,0)),IFERROR(INDEX('전기원장'!$B$5:$B$1004,MATCH(A604,'전기원장'!$A$5:$A$1004,0)),"")))</x:f>
      </x:c>
      <x:c r="C604" s="75" t="str">
        <x:f>IF(A604="","",SUMIF('전기원장'!$A$5:$A$1004,A604,'전기원장'!$H$5:$H$1004))</x:f>
      </x:c>
      <x:c r="D604" s="75" t="str">
        <x:f>IF(A604="","",SUMIF('당기원장'!$A$5:$A$1004,A604,'당기원장'!$H$5:$H$1004))</x:f>
      </x:c>
      <x:c r="E604" s="75" t="str">
        <x:f>IF(A604="","",D604-C604)</x:f>
      </x:c>
      <x:c r="F604" s="88" t="str">
        <x:f>IF(A604="","",IF(C604=0,IF(D604=0,0,1),ABS(E604)/ABS(C604)))</x:f>
      </x:c>
      <x:c r="G604" s="73" t="str">
        <x:f>IF(A604="","",IF(AND(C604=0,D604&lt;&gt;0),"신규",IF(AND(C604&lt;&gt;0,D604=0),"소멸",IF(E604=0,"변동없음","금액변동"))))</x:f>
      </x:c>
      <x:c r="H604" s="73" t="str">
        <x:f>IF(A604="","",IF(AND(ABS(E604)&gt;='기준설정'!$B$6,OR(G604="신규",G604="소멸",F604&gt;='기준설정'!$B$5)),"원인분석 대상","일반"))</x:f>
      </x:c>
      <x:c r="I604" s="73" t="str">
        <x:f>IF(A604="","",IF(H604="원인분석 대상","세부원인분석 시트에서 거래별 원인을 검토","-"))</x:f>
      </x:c>
      <x:c r="J604" s="73" t="str">
        <x:f>IF(A604="","",COUNTIFS('전기원장'!$A$5:$A$1004,A604,'전기원장'!$J$5:$J$1004,"확인 필요")+COUNTIFS('당기원장'!$A$5:$A$1004,A604,'당기원장'!$J$5:$J$1004,"확인 필요"))</x:f>
      </x:c>
      <x:c r="K604" s="85" t="str">
        <x:f>IF(A604="","",IF(H604&lt;&gt;"원인분석 대상","",IF(J604&gt;0,"붙임 문서 확인 후 원인 확정 필요","결의서명 기반 원인분류 검토")))</x:f>
      </x:c>
    </x:row>
    <x:row r="605">
      <x:c r="A605" s="73" t="str">
        <x:f>IFERROR(INDEX('계산도우미'!$B$5:$B$2004,MATCH(ROWS($A$5:A605),'계산도우미'!$K$5:$K$2004,0)),"")</x:f>
      </x:c>
      <x:c r="B605" s="73" t="str">
        <x:f>IF(A605="","",IFERROR(INDEX('당기원장'!$B$5:$B$1004,MATCH(A605,'당기원장'!$A$5:$A$1004,0)),IFERROR(INDEX('전기원장'!$B$5:$B$1004,MATCH(A605,'전기원장'!$A$5:$A$1004,0)),"")))</x:f>
      </x:c>
      <x:c r="C605" s="75" t="str">
        <x:f>IF(A605="","",SUMIF('전기원장'!$A$5:$A$1004,A605,'전기원장'!$H$5:$H$1004))</x:f>
      </x:c>
      <x:c r="D605" s="75" t="str">
        <x:f>IF(A605="","",SUMIF('당기원장'!$A$5:$A$1004,A605,'당기원장'!$H$5:$H$1004))</x:f>
      </x:c>
      <x:c r="E605" s="75" t="str">
        <x:f>IF(A605="","",D605-C605)</x:f>
      </x:c>
      <x:c r="F605" s="88" t="str">
        <x:f>IF(A605="","",IF(C605=0,IF(D605=0,0,1),ABS(E605)/ABS(C605)))</x:f>
      </x:c>
      <x:c r="G605" s="73" t="str">
        <x:f>IF(A605="","",IF(AND(C605=0,D605&lt;&gt;0),"신규",IF(AND(C605&lt;&gt;0,D605=0),"소멸",IF(E605=0,"변동없음","금액변동"))))</x:f>
      </x:c>
      <x:c r="H605" s="73" t="str">
        <x:f>IF(A605="","",IF(AND(ABS(E605)&gt;='기준설정'!$B$6,OR(G605="신규",G605="소멸",F605&gt;='기준설정'!$B$5)),"원인분석 대상","일반"))</x:f>
      </x:c>
      <x:c r="I605" s="73" t="str">
        <x:f>IF(A605="","",IF(H605="원인분석 대상","세부원인분석 시트에서 거래별 원인을 검토","-"))</x:f>
      </x:c>
      <x:c r="J605" s="73" t="str">
        <x:f>IF(A605="","",COUNTIFS('전기원장'!$A$5:$A$1004,A605,'전기원장'!$J$5:$J$1004,"확인 필요")+COUNTIFS('당기원장'!$A$5:$A$1004,A605,'당기원장'!$J$5:$J$1004,"확인 필요"))</x:f>
      </x:c>
      <x:c r="K605" s="85" t="str">
        <x:f>IF(A605="","",IF(H605&lt;&gt;"원인분석 대상","",IF(J605&gt;0,"붙임 문서 확인 후 원인 확정 필요","결의서명 기반 원인분류 검토")))</x:f>
      </x:c>
    </x:row>
    <x:row r="606">
      <x:c r="A606" s="73" t="str">
        <x:f>IFERROR(INDEX('계산도우미'!$B$5:$B$2004,MATCH(ROWS($A$5:A606),'계산도우미'!$K$5:$K$2004,0)),"")</x:f>
      </x:c>
      <x:c r="B606" s="73" t="str">
        <x:f>IF(A606="","",IFERROR(INDEX('당기원장'!$B$5:$B$1004,MATCH(A606,'당기원장'!$A$5:$A$1004,0)),IFERROR(INDEX('전기원장'!$B$5:$B$1004,MATCH(A606,'전기원장'!$A$5:$A$1004,0)),"")))</x:f>
      </x:c>
      <x:c r="C606" s="75" t="str">
        <x:f>IF(A606="","",SUMIF('전기원장'!$A$5:$A$1004,A606,'전기원장'!$H$5:$H$1004))</x:f>
      </x:c>
      <x:c r="D606" s="75" t="str">
        <x:f>IF(A606="","",SUMIF('당기원장'!$A$5:$A$1004,A606,'당기원장'!$H$5:$H$1004))</x:f>
      </x:c>
      <x:c r="E606" s="75" t="str">
        <x:f>IF(A606="","",D606-C606)</x:f>
      </x:c>
      <x:c r="F606" s="88" t="str">
        <x:f>IF(A606="","",IF(C606=0,IF(D606=0,0,1),ABS(E606)/ABS(C606)))</x:f>
      </x:c>
      <x:c r="G606" s="73" t="str">
        <x:f>IF(A606="","",IF(AND(C606=0,D606&lt;&gt;0),"신규",IF(AND(C606&lt;&gt;0,D606=0),"소멸",IF(E606=0,"변동없음","금액변동"))))</x:f>
      </x:c>
      <x:c r="H606" s="73" t="str">
        <x:f>IF(A606="","",IF(AND(ABS(E606)&gt;='기준설정'!$B$6,OR(G606="신규",G606="소멸",F606&gt;='기준설정'!$B$5)),"원인분석 대상","일반"))</x:f>
      </x:c>
      <x:c r="I606" s="73" t="str">
        <x:f>IF(A606="","",IF(H606="원인분석 대상","세부원인분석 시트에서 거래별 원인을 검토","-"))</x:f>
      </x:c>
      <x:c r="J606" s="73" t="str">
        <x:f>IF(A606="","",COUNTIFS('전기원장'!$A$5:$A$1004,A606,'전기원장'!$J$5:$J$1004,"확인 필요")+COUNTIFS('당기원장'!$A$5:$A$1004,A606,'당기원장'!$J$5:$J$1004,"확인 필요"))</x:f>
      </x:c>
      <x:c r="K606" s="85" t="str">
        <x:f>IF(A606="","",IF(H606&lt;&gt;"원인분석 대상","",IF(J606&gt;0,"붙임 문서 확인 후 원인 확정 필요","결의서명 기반 원인분류 검토")))</x:f>
      </x:c>
    </x:row>
    <x:row r="607">
      <x:c r="A607" s="73" t="str">
        <x:f>IFERROR(INDEX('계산도우미'!$B$5:$B$2004,MATCH(ROWS($A$5:A607),'계산도우미'!$K$5:$K$2004,0)),"")</x:f>
      </x:c>
      <x:c r="B607" s="73" t="str">
        <x:f>IF(A607="","",IFERROR(INDEX('당기원장'!$B$5:$B$1004,MATCH(A607,'당기원장'!$A$5:$A$1004,0)),IFERROR(INDEX('전기원장'!$B$5:$B$1004,MATCH(A607,'전기원장'!$A$5:$A$1004,0)),"")))</x:f>
      </x:c>
      <x:c r="C607" s="75" t="str">
        <x:f>IF(A607="","",SUMIF('전기원장'!$A$5:$A$1004,A607,'전기원장'!$H$5:$H$1004))</x:f>
      </x:c>
      <x:c r="D607" s="75" t="str">
        <x:f>IF(A607="","",SUMIF('당기원장'!$A$5:$A$1004,A607,'당기원장'!$H$5:$H$1004))</x:f>
      </x:c>
      <x:c r="E607" s="75" t="str">
        <x:f>IF(A607="","",D607-C607)</x:f>
      </x:c>
      <x:c r="F607" s="88" t="str">
        <x:f>IF(A607="","",IF(C607=0,IF(D607=0,0,1),ABS(E607)/ABS(C607)))</x:f>
      </x:c>
      <x:c r="G607" s="73" t="str">
        <x:f>IF(A607="","",IF(AND(C607=0,D607&lt;&gt;0),"신규",IF(AND(C607&lt;&gt;0,D607=0),"소멸",IF(E607=0,"변동없음","금액변동"))))</x:f>
      </x:c>
      <x:c r="H607" s="73" t="str">
        <x:f>IF(A607="","",IF(AND(ABS(E607)&gt;='기준설정'!$B$6,OR(G607="신규",G607="소멸",F607&gt;='기준설정'!$B$5)),"원인분석 대상","일반"))</x:f>
      </x:c>
      <x:c r="I607" s="73" t="str">
        <x:f>IF(A607="","",IF(H607="원인분석 대상","세부원인분석 시트에서 거래별 원인을 검토","-"))</x:f>
      </x:c>
      <x:c r="J607" s="73" t="str">
        <x:f>IF(A607="","",COUNTIFS('전기원장'!$A$5:$A$1004,A607,'전기원장'!$J$5:$J$1004,"확인 필요")+COUNTIFS('당기원장'!$A$5:$A$1004,A607,'당기원장'!$J$5:$J$1004,"확인 필요"))</x:f>
      </x:c>
      <x:c r="K607" s="85" t="str">
        <x:f>IF(A607="","",IF(H607&lt;&gt;"원인분석 대상","",IF(J607&gt;0,"붙임 문서 확인 후 원인 확정 필요","결의서명 기반 원인분류 검토")))</x:f>
      </x:c>
    </x:row>
    <x:row r="608">
      <x:c r="A608" s="73" t="str">
        <x:f>IFERROR(INDEX('계산도우미'!$B$5:$B$2004,MATCH(ROWS($A$5:A608),'계산도우미'!$K$5:$K$2004,0)),"")</x:f>
      </x:c>
      <x:c r="B608" s="73" t="str">
        <x:f>IF(A608="","",IFERROR(INDEX('당기원장'!$B$5:$B$1004,MATCH(A608,'당기원장'!$A$5:$A$1004,0)),IFERROR(INDEX('전기원장'!$B$5:$B$1004,MATCH(A608,'전기원장'!$A$5:$A$1004,0)),"")))</x:f>
      </x:c>
      <x:c r="C608" s="75" t="str">
        <x:f>IF(A608="","",SUMIF('전기원장'!$A$5:$A$1004,A608,'전기원장'!$H$5:$H$1004))</x:f>
      </x:c>
      <x:c r="D608" s="75" t="str">
        <x:f>IF(A608="","",SUMIF('당기원장'!$A$5:$A$1004,A608,'당기원장'!$H$5:$H$1004))</x:f>
      </x:c>
      <x:c r="E608" s="75" t="str">
        <x:f>IF(A608="","",D608-C608)</x:f>
      </x:c>
      <x:c r="F608" s="88" t="str">
        <x:f>IF(A608="","",IF(C608=0,IF(D608=0,0,1),ABS(E608)/ABS(C608)))</x:f>
      </x:c>
      <x:c r="G608" s="73" t="str">
        <x:f>IF(A608="","",IF(AND(C608=0,D608&lt;&gt;0),"신규",IF(AND(C608&lt;&gt;0,D608=0),"소멸",IF(E608=0,"변동없음","금액변동"))))</x:f>
      </x:c>
      <x:c r="H608" s="73" t="str">
        <x:f>IF(A608="","",IF(AND(ABS(E608)&gt;='기준설정'!$B$6,OR(G608="신규",G608="소멸",F608&gt;='기준설정'!$B$5)),"원인분석 대상","일반"))</x:f>
      </x:c>
      <x:c r="I608" s="73" t="str">
        <x:f>IF(A608="","",IF(H608="원인분석 대상","세부원인분석 시트에서 거래별 원인을 검토","-"))</x:f>
      </x:c>
      <x:c r="J608" s="73" t="str">
        <x:f>IF(A608="","",COUNTIFS('전기원장'!$A$5:$A$1004,A608,'전기원장'!$J$5:$J$1004,"확인 필요")+COUNTIFS('당기원장'!$A$5:$A$1004,A608,'당기원장'!$J$5:$J$1004,"확인 필요"))</x:f>
      </x:c>
      <x:c r="K608" s="85" t="str">
        <x:f>IF(A608="","",IF(H608&lt;&gt;"원인분석 대상","",IF(J608&gt;0,"붙임 문서 확인 후 원인 확정 필요","결의서명 기반 원인분류 검토")))</x:f>
      </x:c>
    </x:row>
    <x:row r="609">
      <x:c r="A609" s="73" t="str">
        <x:f>IFERROR(INDEX('계산도우미'!$B$5:$B$2004,MATCH(ROWS($A$5:A609),'계산도우미'!$K$5:$K$2004,0)),"")</x:f>
      </x:c>
      <x:c r="B609" s="73" t="str">
        <x:f>IF(A609="","",IFERROR(INDEX('당기원장'!$B$5:$B$1004,MATCH(A609,'당기원장'!$A$5:$A$1004,0)),IFERROR(INDEX('전기원장'!$B$5:$B$1004,MATCH(A609,'전기원장'!$A$5:$A$1004,0)),"")))</x:f>
      </x:c>
      <x:c r="C609" s="75" t="str">
        <x:f>IF(A609="","",SUMIF('전기원장'!$A$5:$A$1004,A609,'전기원장'!$H$5:$H$1004))</x:f>
      </x:c>
      <x:c r="D609" s="75" t="str">
        <x:f>IF(A609="","",SUMIF('당기원장'!$A$5:$A$1004,A609,'당기원장'!$H$5:$H$1004))</x:f>
      </x:c>
      <x:c r="E609" s="75" t="str">
        <x:f>IF(A609="","",D609-C609)</x:f>
      </x:c>
      <x:c r="F609" s="88" t="str">
        <x:f>IF(A609="","",IF(C609=0,IF(D609=0,0,1),ABS(E609)/ABS(C609)))</x:f>
      </x:c>
      <x:c r="G609" s="73" t="str">
        <x:f>IF(A609="","",IF(AND(C609=0,D609&lt;&gt;0),"신규",IF(AND(C609&lt;&gt;0,D609=0),"소멸",IF(E609=0,"변동없음","금액변동"))))</x:f>
      </x:c>
      <x:c r="H609" s="73" t="str">
        <x:f>IF(A609="","",IF(AND(ABS(E609)&gt;='기준설정'!$B$6,OR(G609="신규",G609="소멸",F609&gt;='기준설정'!$B$5)),"원인분석 대상","일반"))</x:f>
      </x:c>
      <x:c r="I609" s="73" t="str">
        <x:f>IF(A609="","",IF(H609="원인분석 대상","세부원인분석 시트에서 거래별 원인을 검토","-"))</x:f>
      </x:c>
      <x:c r="J609" s="73" t="str">
        <x:f>IF(A609="","",COUNTIFS('전기원장'!$A$5:$A$1004,A609,'전기원장'!$J$5:$J$1004,"확인 필요")+COUNTIFS('당기원장'!$A$5:$A$1004,A609,'당기원장'!$J$5:$J$1004,"확인 필요"))</x:f>
      </x:c>
      <x:c r="K609" s="85" t="str">
        <x:f>IF(A609="","",IF(H609&lt;&gt;"원인분석 대상","",IF(J609&gt;0,"붙임 문서 확인 후 원인 확정 필요","결의서명 기반 원인분류 검토")))</x:f>
      </x:c>
    </x:row>
    <x:row r="610">
      <x:c r="A610" s="73" t="str">
        <x:f>IFERROR(INDEX('계산도우미'!$B$5:$B$2004,MATCH(ROWS($A$5:A610),'계산도우미'!$K$5:$K$2004,0)),"")</x:f>
      </x:c>
      <x:c r="B610" s="73" t="str">
        <x:f>IF(A610="","",IFERROR(INDEX('당기원장'!$B$5:$B$1004,MATCH(A610,'당기원장'!$A$5:$A$1004,0)),IFERROR(INDEX('전기원장'!$B$5:$B$1004,MATCH(A610,'전기원장'!$A$5:$A$1004,0)),"")))</x:f>
      </x:c>
      <x:c r="C610" s="75" t="str">
        <x:f>IF(A610="","",SUMIF('전기원장'!$A$5:$A$1004,A610,'전기원장'!$H$5:$H$1004))</x:f>
      </x:c>
      <x:c r="D610" s="75" t="str">
        <x:f>IF(A610="","",SUMIF('당기원장'!$A$5:$A$1004,A610,'당기원장'!$H$5:$H$1004))</x:f>
      </x:c>
      <x:c r="E610" s="75" t="str">
        <x:f>IF(A610="","",D610-C610)</x:f>
      </x:c>
      <x:c r="F610" s="88" t="str">
        <x:f>IF(A610="","",IF(C610=0,IF(D610=0,0,1),ABS(E610)/ABS(C610)))</x:f>
      </x:c>
      <x:c r="G610" s="73" t="str">
        <x:f>IF(A610="","",IF(AND(C610=0,D610&lt;&gt;0),"신규",IF(AND(C610&lt;&gt;0,D610=0),"소멸",IF(E610=0,"변동없음","금액변동"))))</x:f>
      </x:c>
      <x:c r="H610" s="73" t="str">
        <x:f>IF(A610="","",IF(AND(ABS(E610)&gt;='기준설정'!$B$6,OR(G610="신규",G610="소멸",F610&gt;='기준설정'!$B$5)),"원인분석 대상","일반"))</x:f>
      </x:c>
      <x:c r="I610" s="73" t="str">
        <x:f>IF(A610="","",IF(H610="원인분석 대상","세부원인분석 시트에서 거래별 원인을 검토","-"))</x:f>
      </x:c>
      <x:c r="J610" s="73" t="str">
        <x:f>IF(A610="","",COUNTIFS('전기원장'!$A$5:$A$1004,A610,'전기원장'!$J$5:$J$1004,"확인 필요")+COUNTIFS('당기원장'!$A$5:$A$1004,A610,'당기원장'!$J$5:$J$1004,"확인 필요"))</x:f>
      </x:c>
      <x:c r="K610" s="85" t="str">
        <x:f>IF(A610="","",IF(H610&lt;&gt;"원인분석 대상","",IF(J610&gt;0,"붙임 문서 확인 후 원인 확정 필요","결의서명 기반 원인분류 검토")))</x:f>
      </x:c>
    </x:row>
    <x:row r="611">
      <x:c r="A611" s="73" t="str">
        <x:f>IFERROR(INDEX('계산도우미'!$B$5:$B$2004,MATCH(ROWS($A$5:A611),'계산도우미'!$K$5:$K$2004,0)),"")</x:f>
      </x:c>
      <x:c r="B611" s="73" t="str">
        <x:f>IF(A611="","",IFERROR(INDEX('당기원장'!$B$5:$B$1004,MATCH(A611,'당기원장'!$A$5:$A$1004,0)),IFERROR(INDEX('전기원장'!$B$5:$B$1004,MATCH(A611,'전기원장'!$A$5:$A$1004,0)),"")))</x:f>
      </x:c>
      <x:c r="C611" s="75" t="str">
        <x:f>IF(A611="","",SUMIF('전기원장'!$A$5:$A$1004,A611,'전기원장'!$H$5:$H$1004))</x:f>
      </x:c>
      <x:c r="D611" s="75" t="str">
        <x:f>IF(A611="","",SUMIF('당기원장'!$A$5:$A$1004,A611,'당기원장'!$H$5:$H$1004))</x:f>
      </x:c>
      <x:c r="E611" s="75" t="str">
        <x:f>IF(A611="","",D611-C611)</x:f>
      </x:c>
      <x:c r="F611" s="88" t="str">
        <x:f>IF(A611="","",IF(C611=0,IF(D611=0,0,1),ABS(E611)/ABS(C611)))</x:f>
      </x:c>
      <x:c r="G611" s="73" t="str">
        <x:f>IF(A611="","",IF(AND(C611=0,D611&lt;&gt;0),"신규",IF(AND(C611&lt;&gt;0,D611=0),"소멸",IF(E611=0,"변동없음","금액변동"))))</x:f>
      </x:c>
      <x:c r="H611" s="73" t="str">
        <x:f>IF(A611="","",IF(AND(ABS(E611)&gt;='기준설정'!$B$6,OR(G611="신규",G611="소멸",F611&gt;='기준설정'!$B$5)),"원인분석 대상","일반"))</x:f>
      </x:c>
      <x:c r="I611" s="73" t="str">
        <x:f>IF(A611="","",IF(H611="원인분석 대상","세부원인분석 시트에서 거래별 원인을 검토","-"))</x:f>
      </x:c>
      <x:c r="J611" s="73" t="str">
        <x:f>IF(A611="","",COUNTIFS('전기원장'!$A$5:$A$1004,A611,'전기원장'!$J$5:$J$1004,"확인 필요")+COUNTIFS('당기원장'!$A$5:$A$1004,A611,'당기원장'!$J$5:$J$1004,"확인 필요"))</x:f>
      </x:c>
      <x:c r="K611" s="85" t="str">
        <x:f>IF(A611="","",IF(H611&lt;&gt;"원인분석 대상","",IF(J611&gt;0,"붙임 문서 확인 후 원인 확정 필요","결의서명 기반 원인분류 검토")))</x:f>
      </x:c>
    </x:row>
    <x:row r="612">
      <x:c r="A612" s="73" t="str">
        <x:f>IFERROR(INDEX('계산도우미'!$B$5:$B$2004,MATCH(ROWS($A$5:A612),'계산도우미'!$K$5:$K$2004,0)),"")</x:f>
      </x:c>
      <x:c r="B612" s="73" t="str">
        <x:f>IF(A612="","",IFERROR(INDEX('당기원장'!$B$5:$B$1004,MATCH(A612,'당기원장'!$A$5:$A$1004,0)),IFERROR(INDEX('전기원장'!$B$5:$B$1004,MATCH(A612,'전기원장'!$A$5:$A$1004,0)),"")))</x:f>
      </x:c>
      <x:c r="C612" s="75" t="str">
        <x:f>IF(A612="","",SUMIF('전기원장'!$A$5:$A$1004,A612,'전기원장'!$H$5:$H$1004))</x:f>
      </x:c>
      <x:c r="D612" s="75" t="str">
        <x:f>IF(A612="","",SUMIF('당기원장'!$A$5:$A$1004,A612,'당기원장'!$H$5:$H$1004))</x:f>
      </x:c>
      <x:c r="E612" s="75" t="str">
        <x:f>IF(A612="","",D612-C612)</x:f>
      </x:c>
      <x:c r="F612" s="88" t="str">
        <x:f>IF(A612="","",IF(C612=0,IF(D612=0,0,1),ABS(E612)/ABS(C612)))</x:f>
      </x:c>
      <x:c r="G612" s="73" t="str">
        <x:f>IF(A612="","",IF(AND(C612=0,D612&lt;&gt;0),"신규",IF(AND(C612&lt;&gt;0,D612=0),"소멸",IF(E612=0,"변동없음","금액변동"))))</x:f>
      </x:c>
      <x:c r="H612" s="73" t="str">
        <x:f>IF(A612="","",IF(AND(ABS(E612)&gt;='기준설정'!$B$6,OR(G612="신규",G612="소멸",F612&gt;='기준설정'!$B$5)),"원인분석 대상","일반"))</x:f>
      </x:c>
      <x:c r="I612" s="73" t="str">
        <x:f>IF(A612="","",IF(H612="원인분석 대상","세부원인분석 시트에서 거래별 원인을 검토","-"))</x:f>
      </x:c>
      <x:c r="J612" s="73" t="str">
        <x:f>IF(A612="","",COUNTIFS('전기원장'!$A$5:$A$1004,A612,'전기원장'!$J$5:$J$1004,"확인 필요")+COUNTIFS('당기원장'!$A$5:$A$1004,A612,'당기원장'!$J$5:$J$1004,"확인 필요"))</x:f>
      </x:c>
      <x:c r="K612" s="85" t="str">
        <x:f>IF(A612="","",IF(H612&lt;&gt;"원인분석 대상","",IF(J612&gt;0,"붙임 문서 확인 후 원인 확정 필요","결의서명 기반 원인분류 검토")))</x:f>
      </x:c>
    </x:row>
    <x:row r="613">
      <x:c r="A613" s="73" t="str">
        <x:f>IFERROR(INDEX('계산도우미'!$B$5:$B$2004,MATCH(ROWS($A$5:A613),'계산도우미'!$K$5:$K$2004,0)),"")</x:f>
      </x:c>
      <x:c r="B613" s="73" t="str">
        <x:f>IF(A613="","",IFERROR(INDEX('당기원장'!$B$5:$B$1004,MATCH(A613,'당기원장'!$A$5:$A$1004,0)),IFERROR(INDEX('전기원장'!$B$5:$B$1004,MATCH(A613,'전기원장'!$A$5:$A$1004,0)),"")))</x:f>
      </x:c>
      <x:c r="C613" s="75" t="str">
        <x:f>IF(A613="","",SUMIF('전기원장'!$A$5:$A$1004,A613,'전기원장'!$H$5:$H$1004))</x:f>
      </x:c>
      <x:c r="D613" s="75" t="str">
        <x:f>IF(A613="","",SUMIF('당기원장'!$A$5:$A$1004,A613,'당기원장'!$H$5:$H$1004))</x:f>
      </x:c>
      <x:c r="E613" s="75" t="str">
        <x:f>IF(A613="","",D613-C613)</x:f>
      </x:c>
      <x:c r="F613" s="88" t="str">
        <x:f>IF(A613="","",IF(C613=0,IF(D613=0,0,1),ABS(E613)/ABS(C613)))</x:f>
      </x:c>
      <x:c r="G613" s="73" t="str">
        <x:f>IF(A613="","",IF(AND(C613=0,D613&lt;&gt;0),"신규",IF(AND(C613&lt;&gt;0,D613=0),"소멸",IF(E613=0,"변동없음","금액변동"))))</x:f>
      </x:c>
      <x:c r="H613" s="73" t="str">
        <x:f>IF(A613="","",IF(AND(ABS(E613)&gt;='기준설정'!$B$6,OR(G613="신규",G613="소멸",F613&gt;='기준설정'!$B$5)),"원인분석 대상","일반"))</x:f>
      </x:c>
      <x:c r="I613" s="73" t="str">
        <x:f>IF(A613="","",IF(H613="원인분석 대상","세부원인분석 시트에서 거래별 원인을 검토","-"))</x:f>
      </x:c>
      <x:c r="J613" s="73" t="str">
        <x:f>IF(A613="","",COUNTIFS('전기원장'!$A$5:$A$1004,A613,'전기원장'!$J$5:$J$1004,"확인 필요")+COUNTIFS('당기원장'!$A$5:$A$1004,A613,'당기원장'!$J$5:$J$1004,"확인 필요"))</x:f>
      </x:c>
      <x:c r="K613" s="85" t="str">
        <x:f>IF(A613="","",IF(H613&lt;&gt;"원인분석 대상","",IF(J613&gt;0,"붙임 문서 확인 후 원인 확정 필요","결의서명 기반 원인분류 검토")))</x:f>
      </x:c>
    </x:row>
    <x:row r="614">
      <x:c r="A614" s="73" t="str">
        <x:f>IFERROR(INDEX('계산도우미'!$B$5:$B$2004,MATCH(ROWS($A$5:A614),'계산도우미'!$K$5:$K$2004,0)),"")</x:f>
      </x:c>
      <x:c r="B614" s="73" t="str">
        <x:f>IF(A614="","",IFERROR(INDEX('당기원장'!$B$5:$B$1004,MATCH(A614,'당기원장'!$A$5:$A$1004,0)),IFERROR(INDEX('전기원장'!$B$5:$B$1004,MATCH(A614,'전기원장'!$A$5:$A$1004,0)),"")))</x:f>
      </x:c>
      <x:c r="C614" s="75" t="str">
        <x:f>IF(A614="","",SUMIF('전기원장'!$A$5:$A$1004,A614,'전기원장'!$H$5:$H$1004))</x:f>
      </x:c>
      <x:c r="D614" s="75" t="str">
        <x:f>IF(A614="","",SUMIF('당기원장'!$A$5:$A$1004,A614,'당기원장'!$H$5:$H$1004))</x:f>
      </x:c>
      <x:c r="E614" s="75" t="str">
        <x:f>IF(A614="","",D614-C614)</x:f>
      </x:c>
      <x:c r="F614" s="88" t="str">
        <x:f>IF(A614="","",IF(C614=0,IF(D614=0,0,1),ABS(E614)/ABS(C614)))</x:f>
      </x:c>
      <x:c r="G614" s="73" t="str">
        <x:f>IF(A614="","",IF(AND(C614=0,D614&lt;&gt;0),"신규",IF(AND(C614&lt;&gt;0,D614=0),"소멸",IF(E614=0,"변동없음","금액변동"))))</x:f>
      </x:c>
      <x:c r="H614" s="73" t="str">
        <x:f>IF(A614="","",IF(AND(ABS(E614)&gt;='기준설정'!$B$6,OR(G614="신규",G614="소멸",F614&gt;='기준설정'!$B$5)),"원인분석 대상","일반"))</x:f>
      </x:c>
      <x:c r="I614" s="73" t="str">
        <x:f>IF(A614="","",IF(H614="원인분석 대상","세부원인분석 시트에서 거래별 원인을 검토","-"))</x:f>
      </x:c>
      <x:c r="J614" s="73" t="str">
        <x:f>IF(A614="","",COUNTIFS('전기원장'!$A$5:$A$1004,A614,'전기원장'!$J$5:$J$1004,"확인 필요")+COUNTIFS('당기원장'!$A$5:$A$1004,A614,'당기원장'!$J$5:$J$1004,"확인 필요"))</x:f>
      </x:c>
      <x:c r="K614" s="85" t="str">
        <x:f>IF(A614="","",IF(H614&lt;&gt;"원인분석 대상","",IF(J614&gt;0,"붙임 문서 확인 후 원인 확정 필요","결의서명 기반 원인분류 검토")))</x:f>
      </x:c>
    </x:row>
    <x:row r="615">
      <x:c r="A615" s="73" t="str">
        <x:f>IFERROR(INDEX('계산도우미'!$B$5:$B$2004,MATCH(ROWS($A$5:A615),'계산도우미'!$K$5:$K$2004,0)),"")</x:f>
      </x:c>
      <x:c r="B615" s="73" t="str">
        <x:f>IF(A615="","",IFERROR(INDEX('당기원장'!$B$5:$B$1004,MATCH(A615,'당기원장'!$A$5:$A$1004,0)),IFERROR(INDEX('전기원장'!$B$5:$B$1004,MATCH(A615,'전기원장'!$A$5:$A$1004,0)),"")))</x:f>
      </x:c>
      <x:c r="C615" s="75" t="str">
        <x:f>IF(A615="","",SUMIF('전기원장'!$A$5:$A$1004,A615,'전기원장'!$H$5:$H$1004))</x:f>
      </x:c>
      <x:c r="D615" s="75" t="str">
        <x:f>IF(A615="","",SUMIF('당기원장'!$A$5:$A$1004,A615,'당기원장'!$H$5:$H$1004))</x:f>
      </x:c>
      <x:c r="E615" s="75" t="str">
        <x:f>IF(A615="","",D615-C615)</x:f>
      </x:c>
      <x:c r="F615" s="88" t="str">
        <x:f>IF(A615="","",IF(C615=0,IF(D615=0,0,1),ABS(E615)/ABS(C615)))</x:f>
      </x:c>
      <x:c r="G615" s="73" t="str">
        <x:f>IF(A615="","",IF(AND(C615=0,D615&lt;&gt;0),"신규",IF(AND(C615&lt;&gt;0,D615=0),"소멸",IF(E615=0,"변동없음","금액변동"))))</x:f>
      </x:c>
      <x:c r="H615" s="73" t="str">
        <x:f>IF(A615="","",IF(AND(ABS(E615)&gt;='기준설정'!$B$6,OR(G615="신규",G615="소멸",F615&gt;='기준설정'!$B$5)),"원인분석 대상","일반"))</x:f>
      </x:c>
      <x:c r="I615" s="73" t="str">
        <x:f>IF(A615="","",IF(H615="원인분석 대상","세부원인분석 시트에서 거래별 원인을 검토","-"))</x:f>
      </x:c>
      <x:c r="J615" s="73" t="str">
        <x:f>IF(A615="","",COUNTIFS('전기원장'!$A$5:$A$1004,A615,'전기원장'!$J$5:$J$1004,"확인 필요")+COUNTIFS('당기원장'!$A$5:$A$1004,A615,'당기원장'!$J$5:$J$1004,"확인 필요"))</x:f>
      </x:c>
      <x:c r="K615" s="85" t="str">
        <x:f>IF(A615="","",IF(H615&lt;&gt;"원인분석 대상","",IF(J615&gt;0,"붙임 문서 확인 후 원인 확정 필요","결의서명 기반 원인분류 검토")))</x:f>
      </x:c>
    </x:row>
    <x:row r="616">
      <x:c r="A616" s="73" t="str">
        <x:f>IFERROR(INDEX('계산도우미'!$B$5:$B$2004,MATCH(ROWS($A$5:A616),'계산도우미'!$K$5:$K$2004,0)),"")</x:f>
      </x:c>
      <x:c r="B616" s="73" t="str">
        <x:f>IF(A616="","",IFERROR(INDEX('당기원장'!$B$5:$B$1004,MATCH(A616,'당기원장'!$A$5:$A$1004,0)),IFERROR(INDEX('전기원장'!$B$5:$B$1004,MATCH(A616,'전기원장'!$A$5:$A$1004,0)),"")))</x:f>
      </x:c>
      <x:c r="C616" s="75" t="str">
        <x:f>IF(A616="","",SUMIF('전기원장'!$A$5:$A$1004,A616,'전기원장'!$H$5:$H$1004))</x:f>
      </x:c>
      <x:c r="D616" s="75" t="str">
        <x:f>IF(A616="","",SUMIF('당기원장'!$A$5:$A$1004,A616,'당기원장'!$H$5:$H$1004))</x:f>
      </x:c>
      <x:c r="E616" s="75" t="str">
        <x:f>IF(A616="","",D616-C616)</x:f>
      </x:c>
      <x:c r="F616" s="88" t="str">
        <x:f>IF(A616="","",IF(C616=0,IF(D616=0,0,1),ABS(E616)/ABS(C616)))</x:f>
      </x:c>
      <x:c r="G616" s="73" t="str">
        <x:f>IF(A616="","",IF(AND(C616=0,D616&lt;&gt;0),"신규",IF(AND(C616&lt;&gt;0,D616=0),"소멸",IF(E616=0,"변동없음","금액변동"))))</x:f>
      </x:c>
      <x:c r="H616" s="73" t="str">
        <x:f>IF(A616="","",IF(AND(ABS(E616)&gt;='기준설정'!$B$6,OR(G616="신규",G616="소멸",F616&gt;='기준설정'!$B$5)),"원인분석 대상","일반"))</x:f>
      </x:c>
      <x:c r="I616" s="73" t="str">
        <x:f>IF(A616="","",IF(H616="원인분석 대상","세부원인분석 시트에서 거래별 원인을 검토","-"))</x:f>
      </x:c>
      <x:c r="J616" s="73" t="str">
        <x:f>IF(A616="","",COUNTIFS('전기원장'!$A$5:$A$1004,A616,'전기원장'!$J$5:$J$1004,"확인 필요")+COUNTIFS('당기원장'!$A$5:$A$1004,A616,'당기원장'!$J$5:$J$1004,"확인 필요"))</x:f>
      </x:c>
      <x:c r="K616" s="85" t="str">
        <x:f>IF(A616="","",IF(H616&lt;&gt;"원인분석 대상","",IF(J616&gt;0,"붙임 문서 확인 후 원인 확정 필요","결의서명 기반 원인분류 검토")))</x:f>
      </x:c>
    </x:row>
    <x:row r="617">
      <x:c r="A617" s="73" t="str">
        <x:f>IFERROR(INDEX('계산도우미'!$B$5:$B$2004,MATCH(ROWS($A$5:A617),'계산도우미'!$K$5:$K$2004,0)),"")</x:f>
      </x:c>
      <x:c r="B617" s="73" t="str">
        <x:f>IF(A617="","",IFERROR(INDEX('당기원장'!$B$5:$B$1004,MATCH(A617,'당기원장'!$A$5:$A$1004,0)),IFERROR(INDEX('전기원장'!$B$5:$B$1004,MATCH(A617,'전기원장'!$A$5:$A$1004,0)),"")))</x:f>
      </x:c>
      <x:c r="C617" s="75" t="str">
        <x:f>IF(A617="","",SUMIF('전기원장'!$A$5:$A$1004,A617,'전기원장'!$H$5:$H$1004))</x:f>
      </x:c>
      <x:c r="D617" s="75" t="str">
        <x:f>IF(A617="","",SUMIF('당기원장'!$A$5:$A$1004,A617,'당기원장'!$H$5:$H$1004))</x:f>
      </x:c>
      <x:c r="E617" s="75" t="str">
        <x:f>IF(A617="","",D617-C617)</x:f>
      </x:c>
      <x:c r="F617" s="88" t="str">
        <x:f>IF(A617="","",IF(C617=0,IF(D617=0,0,1),ABS(E617)/ABS(C617)))</x:f>
      </x:c>
      <x:c r="G617" s="73" t="str">
        <x:f>IF(A617="","",IF(AND(C617=0,D617&lt;&gt;0),"신규",IF(AND(C617&lt;&gt;0,D617=0),"소멸",IF(E617=0,"변동없음","금액변동"))))</x:f>
      </x:c>
      <x:c r="H617" s="73" t="str">
        <x:f>IF(A617="","",IF(AND(ABS(E617)&gt;='기준설정'!$B$6,OR(G617="신규",G617="소멸",F617&gt;='기준설정'!$B$5)),"원인분석 대상","일반"))</x:f>
      </x:c>
      <x:c r="I617" s="73" t="str">
        <x:f>IF(A617="","",IF(H617="원인분석 대상","세부원인분석 시트에서 거래별 원인을 검토","-"))</x:f>
      </x:c>
      <x:c r="J617" s="73" t="str">
        <x:f>IF(A617="","",COUNTIFS('전기원장'!$A$5:$A$1004,A617,'전기원장'!$J$5:$J$1004,"확인 필요")+COUNTIFS('당기원장'!$A$5:$A$1004,A617,'당기원장'!$J$5:$J$1004,"확인 필요"))</x:f>
      </x:c>
      <x:c r="K617" s="85" t="str">
        <x:f>IF(A617="","",IF(H617&lt;&gt;"원인분석 대상","",IF(J617&gt;0,"붙임 문서 확인 후 원인 확정 필요","결의서명 기반 원인분류 검토")))</x:f>
      </x:c>
    </x:row>
    <x:row r="618">
      <x:c r="A618" s="73" t="str">
        <x:f>IFERROR(INDEX('계산도우미'!$B$5:$B$2004,MATCH(ROWS($A$5:A618),'계산도우미'!$K$5:$K$2004,0)),"")</x:f>
      </x:c>
      <x:c r="B618" s="73" t="str">
        <x:f>IF(A618="","",IFERROR(INDEX('당기원장'!$B$5:$B$1004,MATCH(A618,'당기원장'!$A$5:$A$1004,0)),IFERROR(INDEX('전기원장'!$B$5:$B$1004,MATCH(A618,'전기원장'!$A$5:$A$1004,0)),"")))</x:f>
      </x:c>
      <x:c r="C618" s="75" t="str">
        <x:f>IF(A618="","",SUMIF('전기원장'!$A$5:$A$1004,A618,'전기원장'!$H$5:$H$1004))</x:f>
      </x:c>
      <x:c r="D618" s="75" t="str">
        <x:f>IF(A618="","",SUMIF('당기원장'!$A$5:$A$1004,A618,'당기원장'!$H$5:$H$1004))</x:f>
      </x:c>
      <x:c r="E618" s="75" t="str">
        <x:f>IF(A618="","",D618-C618)</x:f>
      </x:c>
      <x:c r="F618" s="88" t="str">
        <x:f>IF(A618="","",IF(C618=0,IF(D618=0,0,1),ABS(E618)/ABS(C618)))</x:f>
      </x:c>
      <x:c r="G618" s="73" t="str">
        <x:f>IF(A618="","",IF(AND(C618=0,D618&lt;&gt;0),"신규",IF(AND(C618&lt;&gt;0,D618=0),"소멸",IF(E618=0,"변동없음","금액변동"))))</x:f>
      </x:c>
      <x:c r="H618" s="73" t="str">
        <x:f>IF(A618="","",IF(AND(ABS(E618)&gt;='기준설정'!$B$6,OR(G618="신규",G618="소멸",F618&gt;='기준설정'!$B$5)),"원인분석 대상","일반"))</x:f>
      </x:c>
      <x:c r="I618" s="73" t="str">
        <x:f>IF(A618="","",IF(H618="원인분석 대상","세부원인분석 시트에서 거래별 원인을 검토","-"))</x:f>
      </x:c>
      <x:c r="J618" s="73" t="str">
        <x:f>IF(A618="","",COUNTIFS('전기원장'!$A$5:$A$1004,A618,'전기원장'!$J$5:$J$1004,"확인 필요")+COUNTIFS('당기원장'!$A$5:$A$1004,A618,'당기원장'!$J$5:$J$1004,"확인 필요"))</x:f>
      </x:c>
      <x:c r="K618" s="85" t="str">
        <x:f>IF(A618="","",IF(H618&lt;&gt;"원인분석 대상","",IF(J618&gt;0,"붙임 문서 확인 후 원인 확정 필요","결의서명 기반 원인분류 검토")))</x:f>
      </x:c>
    </x:row>
    <x:row r="619">
      <x:c r="A619" s="73" t="str">
        <x:f>IFERROR(INDEX('계산도우미'!$B$5:$B$2004,MATCH(ROWS($A$5:A619),'계산도우미'!$K$5:$K$2004,0)),"")</x:f>
      </x:c>
      <x:c r="B619" s="73" t="str">
        <x:f>IF(A619="","",IFERROR(INDEX('당기원장'!$B$5:$B$1004,MATCH(A619,'당기원장'!$A$5:$A$1004,0)),IFERROR(INDEX('전기원장'!$B$5:$B$1004,MATCH(A619,'전기원장'!$A$5:$A$1004,0)),"")))</x:f>
      </x:c>
      <x:c r="C619" s="75" t="str">
        <x:f>IF(A619="","",SUMIF('전기원장'!$A$5:$A$1004,A619,'전기원장'!$H$5:$H$1004))</x:f>
      </x:c>
      <x:c r="D619" s="75" t="str">
        <x:f>IF(A619="","",SUMIF('당기원장'!$A$5:$A$1004,A619,'당기원장'!$H$5:$H$1004))</x:f>
      </x:c>
      <x:c r="E619" s="75" t="str">
        <x:f>IF(A619="","",D619-C619)</x:f>
      </x:c>
      <x:c r="F619" s="88" t="str">
        <x:f>IF(A619="","",IF(C619=0,IF(D619=0,0,1),ABS(E619)/ABS(C619)))</x:f>
      </x:c>
      <x:c r="G619" s="73" t="str">
        <x:f>IF(A619="","",IF(AND(C619=0,D619&lt;&gt;0),"신규",IF(AND(C619&lt;&gt;0,D619=0),"소멸",IF(E619=0,"변동없음","금액변동"))))</x:f>
      </x:c>
      <x:c r="H619" s="73" t="str">
        <x:f>IF(A619="","",IF(AND(ABS(E619)&gt;='기준설정'!$B$6,OR(G619="신규",G619="소멸",F619&gt;='기준설정'!$B$5)),"원인분석 대상","일반"))</x:f>
      </x:c>
      <x:c r="I619" s="73" t="str">
        <x:f>IF(A619="","",IF(H619="원인분석 대상","세부원인분석 시트에서 거래별 원인을 검토","-"))</x:f>
      </x:c>
      <x:c r="J619" s="73" t="str">
        <x:f>IF(A619="","",COUNTIFS('전기원장'!$A$5:$A$1004,A619,'전기원장'!$J$5:$J$1004,"확인 필요")+COUNTIFS('당기원장'!$A$5:$A$1004,A619,'당기원장'!$J$5:$J$1004,"확인 필요"))</x:f>
      </x:c>
      <x:c r="K619" s="85" t="str">
        <x:f>IF(A619="","",IF(H619&lt;&gt;"원인분석 대상","",IF(J619&gt;0,"붙임 문서 확인 후 원인 확정 필요","결의서명 기반 원인분류 검토")))</x:f>
      </x:c>
    </x:row>
    <x:row r="620">
      <x:c r="A620" s="73" t="str">
        <x:f>IFERROR(INDEX('계산도우미'!$B$5:$B$2004,MATCH(ROWS($A$5:A620),'계산도우미'!$K$5:$K$2004,0)),"")</x:f>
      </x:c>
      <x:c r="B620" s="73" t="str">
        <x:f>IF(A620="","",IFERROR(INDEX('당기원장'!$B$5:$B$1004,MATCH(A620,'당기원장'!$A$5:$A$1004,0)),IFERROR(INDEX('전기원장'!$B$5:$B$1004,MATCH(A620,'전기원장'!$A$5:$A$1004,0)),"")))</x:f>
      </x:c>
      <x:c r="C620" s="75" t="str">
        <x:f>IF(A620="","",SUMIF('전기원장'!$A$5:$A$1004,A620,'전기원장'!$H$5:$H$1004))</x:f>
      </x:c>
      <x:c r="D620" s="75" t="str">
        <x:f>IF(A620="","",SUMIF('당기원장'!$A$5:$A$1004,A620,'당기원장'!$H$5:$H$1004))</x:f>
      </x:c>
      <x:c r="E620" s="75" t="str">
        <x:f>IF(A620="","",D620-C620)</x:f>
      </x:c>
      <x:c r="F620" s="88" t="str">
        <x:f>IF(A620="","",IF(C620=0,IF(D620=0,0,1),ABS(E620)/ABS(C620)))</x:f>
      </x:c>
      <x:c r="G620" s="73" t="str">
        <x:f>IF(A620="","",IF(AND(C620=0,D620&lt;&gt;0),"신규",IF(AND(C620&lt;&gt;0,D620=0),"소멸",IF(E620=0,"변동없음","금액변동"))))</x:f>
      </x:c>
      <x:c r="H620" s="73" t="str">
        <x:f>IF(A620="","",IF(AND(ABS(E620)&gt;='기준설정'!$B$6,OR(G620="신규",G620="소멸",F620&gt;='기준설정'!$B$5)),"원인분석 대상","일반"))</x:f>
      </x:c>
      <x:c r="I620" s="73" t="str">
        <x:f>IF(A620="","",IF(H620="원인분석 대상","세부원인분석 시트에서 거래별 원인을 검토","-"))</x:f>
      </x:c>
      <x:c r="J620" s="73" t="str">
        <x:f>IF(A620="","",COUNTIFS('전기원장'!$A$5:$A$1004,A620,'전기원장'!$J$5:$J$1004,"확인 필요")+COUNTIFS('당기원장'!$A$5:$A$1004,A620,'당기원장'!$J$5:$J$1004,"확인 필요"))</x:f>
      </x:c>
      <x:c r="K620" s="85" t="str">
        <x:f>IF(A620="","",IF(H620&lt;&gt;"원인분석 대상","",IF(J620&gt;0,"붙임 문서 확인 후 원인 확정 필요","결의서명 기반 원인분류 검토")))</x:f>
      </x:c>
    </x:row>
    <x:row r="621">
      <x:c r="A621" s="73" t="str">
        <x:f>IFERROR(INDEX('계산도우미'!$B$5:$B$2004,MATCH(ROWS($A$5:A621),'계산도우미'!$K$5:$K$2004,0)),"")</x:f>
      </x:c>
      <x:c r="B621" s="73" t="str">
        <x:f>IF(A621="","",IFERROR(INDEX('당기원장'!$B$5:$B$1004,MATCH(A621,'당기원장'!$A$5:$A$1004,0)),IFERROR(INDEX('전기원장'!$B$5:$B$1004,MATCH(A621,'전기원장'!$A$5:$A$1004,0)),"")))</x:f>
      </x:c>
      <x:c r="C621" s="75" t="str">
        <x:f>IF(A621="","",SUMIF('전기원장'!$A$5:$A$1004,A621,'전기원장'!$H$5:$H$1004))</x:f>
      </x:c>
      <x:c r="D621" s="75" t="str">
        <x:f>IF(A621="","",SUMIF('당기원장'!$A$5:$A$1004,A621,'당기원장'!$H$5:$H$1004))</x:f>
      </x:c>
      <x:c r="E621" s="75" t="str">
        <x:f>IF(A621="","",D621-C621)</x:f>
      </x:c>
      <x:c r="F621" s="88" t="str">
        <x:f>IF(A621="","",IF(C621=0,IF(D621=0,0,1),ABS(E621)/ABS(C621)))</x:f>
      </x:c>
      <x:c r="G621" s="73" t="str">
        <x:f>IF(A621="","",IF(AND(C621=0,D621&lt;&gt;0),"신규",IF(AND(C621&lt;&gt;0,D621=0),"소멸",IF(E621=0,"변동없음","금액변동"))))</x:f>
      </x:c>
      <x:c r="H621" s="73" t="str">
        <x:f>IF(A621="","",IF(AND(ABS(E621)&gt;='기준설정'!$B$6,OR(G621="신규",G621="소멸",F621&gt;='기준설정'!$B$5)),"원인분석 대상","일반"))</x:f>
      </x:c>
      <x:c r="I621" s="73" t="str">
        <x:f>IF(A621="","",IF(H621="원인분석 대상","세부원인분석 시트에서 거래별 원인을 검토","-"))</x:f>
      </x:c>
      <x:c r="J621" s="73" t="str">
        <x:f>IF(A621="","",COUNTIFS('전기원장'!$A$5:$A$1004,A621,'전기원장'!$J$5:$J$1004,"확인 필요")+COUNTIFS('당기원장'!$A$5:$A$1004,A621,'당기원장'!$J$5:$J$1004,"확인 필요"))</x:f>
      </x:c>
      <x:c r="K621" s="85" t="str">
        <x:f>IF(A621="","",IF(H621&lt;&gt;"원인분석 대상","",IF(J621&gt;0,"붙임 문서 확인 후 원인 확정 필요","결의서명 기반 원인분류 검토")))</x:f>
      </x:c>
    </x:row>
    <x:row r="622">
      <x:c r="A622" s="73" t="str">
        <x:f>IFERROR(INDEX('계산도우미'!$B$5:$B$2004,MATCH(ROWS($A$5:A622),'계산도우미'!$K$5:$K$2004,0)),"")</x:f>
      </x:c>
      <x:c r="B622" s="73" t="str">
        <x:f>IF(A622="","",IFERROR(INDEX('당기원장'!$B$5:$B$1004,MATCH(A622,'당기원장'!$A$5:$A$1004,0)),IFERROR(INDEX('전기원장'!$B$5:$B$1004,MATCH(A622,'전기원장'!$A$5:$A$1004,0)),"")))</x:f>
      </x:c>
      <x:c r="C622" s="75" t="str">
        <x:f>IF(A622="","",SUMIF('전기원장'!$A$5:$A$1004,A622,'전기원장'!$H$5:$H$1004))</x:f>
      </x:c>
      <x:c r="D622" s="75" t="str">
        <x:f>IF(A622="","",SUMIF('당기원장'!$A$5:$A$1004,A622,'당기원장'!$H$5:$H$1004))</x:f>
      </x:c>
      <x:c r="E622" s="75" t="str">
        <x:f>IF(A622="","",D622-C622)</x:f>
      </x:c>
      <x:c r="F622" s="88" t="str">
        <x:f>IF(A622="","",IF(C622=0,IF(D622=0,0,1),ABS(E622)/ABS(C622)))</x:f>
      </x:c>
      <x:c r="G622" s="73" t="str">
        <x:f>IF(A622="","",IF(AND(C622=0,D622&lt;&gt;0),"신규",IF(AND(C622&lt;&gt;0,D622=0),"소멸",IF(E622=0,"변동없음","금액변동"))))</x:f>
      </x:c>
      <x:c r="H622" s="73" t="str">
        <x:f>IF(A622="","",IF(AND(ABS(E622)&gt;='기준설정'!$B$6,OR(G622="신규",G622="소멸",F622&gt;='기준설정'!$B$5)),"원인분석 대상","일반"))</x:f>
      </x:c>
      <x:c r="I622" s="73" t="str">
        <x:f>IF(A622="","",IF(H622="원인분석 대상","세부원인분석 시트에서 거래별 원인을 검토","-"))</x:f>
      </x:c>
      <x:c r="J622" s="73" t="str">
        <x:f>IF(A622="","",COUNTIFS('전기원장'!$A$5:$A$1004,A622,'전기원장'!$J$5:$J$1004,"확인 필요")+COUNTIFS('당기원장'!$A$5:$A$1004,A622,'당기원장'!$J$5:$J$1004,"확인 필요"))</x:f>
      </x:c>
      <x:c r="K622" s="85" t="str">
        <x:f>IF(A622="","",IF(H622&lt;&gt;"원인분석 대상","",IF(J622&gt;0,"붙임 문서 확인 후 원인 확정 필요","결의서명 기반 원인분류 검토")))</x:f>
      </x:c>
    </x:row>
    <x:row r="623">
      <x:c r="A623" s="73" t="str">
        <x:f>IFERROR(INDEX('계산도우미'!$B$5:$B$2004,MATCH(ROWS($A$5:A623),'계산도우미'!$K$5:$K$2004,0)),"")</x:f>
      </x:c>
      <x:c r="B623" s="73" t="str">
        <x:f>IF(A623="","",IFERROR(INDEX('당기원장'!$B$5:$B$1004,MATCH(A623,'당기원장'!$A$5:$A$1004,0)),IFERROR(INDEX('전기원장'!$B$5:$B$1004,MATCH(A623,'전기원장'!$A$5:$A$1004,0)),"")))</x:f>
      </x:c>
      <x:c r="C623" s="75" t="str">
        <x:f>IF(A623="","",SUMIF('전기원장'!$A$5:$A$1004,A623,'전기원장'!$H$5:$H$1004))</x:f>
      </x:c>
      <x:c r="D623" s="75" t="str">
        <x:f>IF(A623="","",SUMIF('당기원장'!$A$5:$A$1004,A623,'당기원장'!$H$5:$H$1004))</x:f>
      </x:c>
      <x:c r="E623" s="75" t="str">
        <x:f>IF(A623="","",D623-C623)</x:f>
      </x:c>
      <x:c r="F623" s="88" t="str">
        <x:f>IF(A623="","",IF(C623=0,IF(D623=0,0,1),ABS(E623)/ABS(C623)))</x:f>
      </x:c>
      <x:c r="G623" s="73" t="str">
        <x:f>IF(A623="","",IF(AND(C623=0,D623&lt;&gt;0),"신규",IF(AND(C623&lt;&gt;0,D623=0),"소멸",IF(E623=0,"변동없음","금액변동"))))</x:f>
      </x:c>
      <x:c r="H623" s="73" t="str">
        <x:f>IF(A623="","",IF(AND(ABS(E623)&gt;='기준설정'!$B$6,OR(G623="신규",G623="소멸",F623&gt;='기준설정'!$B$5)),"원인분석 대상","일반"))</x:f>
      </x:c>
      <x:c r="I623" s="73" t="str">
        <x:f>IF(A623="","",IF(H623="원인분석 대상","세부원인분석 시트에서 거래별 원인을 검토","-"))</x:f>
      </x:c>
      <x:c r="J623" s="73" t="str">
        <x:f>IF(A623="","",COUNTIFS('전기원장'!$A$5:$A$1004,A623,'전기원장'!$J$5:$J$1004,"확인 필요")+COUNTIFS('당기원장'!$A$5:$A$1004,A623,'당기원장'!$J$5:$J$1004,"확인 필요"))</x:f>
      </x:c>
      <x:c r="K623" s="85" t="str">
        <x:f>IF(A623="","",IF(H623&lt;&gt;"원인분석 대상","",IF(J623&gt;0,"붙임 문서 확인 후 원인 확정 필요","결의서명 기반 원인분류 검토")))</x:f>
      </x:c>
    </x:row>
    <x:row r="624">
      <x:c r="A624" s="73" t="str">
        <x:f>IFERROR(INDEX('계산도우미'!$B$5:$B$2004,MATCH(ROWS($A$5:A624),'계산도우미'!$K$5:$K$2004,0)),"")</x:f>
      </x:c>
      <x:c r="B624" s="73" t="str">
        <x:f>IF(A624="","",IFERROR(INDEX('당기원장'!$B$5:$B$1004,MATCH(A624,'당기원장'!$A$5:$A$1004,0)),IFERROR(INDEX('전기원장'!$B$5:$B$1004,MATCH(A624,'전기원장'!$A$5:$A$1004,0)),"")))</x:f>
      </x:c>
      <x:c r="C624" s="75" t="str">
        <x:f>IF(A624="","",SUMIF('전기원장'!$A$5:$A$1004,A624,'전기원장'!$H$5:$H$1004))</x:f>
      </x:c>
      <x:c r="D624" s="75" t="str">
        <x:f>IF(A624="","",SUMIF('당기원장'!$A$5:$A$1004,A624,'당기원장'!$H$5:$H$1004))</x:f>
      </x:c>
      <x:c r="E624" s="75" t="str">
        <x:f>IF(A624="","",D624-C624)</x:f>
      </x:c>
      <x:c r="F624" s="88" t="str">
        <x:f>IF(A624="","",IF(C624=0,IF(D624=0,0,1),ABS(E624)/ABS(C624)))</x:f>
      </x:c>
      <x:c r="G624" s="73" t="str">
        <x:f>IF(A624="","",IF(AND(C624=0,D624&lt;&gt;0),"신규",IF(AND(C624&lt;&gt;0,D624=0),"소멸",IF(E624=0,"변동없음","금액변동"))))</x:f>
      </x:c>
      <x:c r="H624" s="73" t="str">
        <x:f>IF(A624="","",IF(AND(ABS(E624)&gt;='기준설정'!$B$6,OR(G624="신규",G624="소멸",F624&gt;='기준설정'!$B$5)),"원인분석 대상","일반"))</x:f>
      </x:c>
      <x:c r="I624" s="73" t="str">
        <x:f>IF(A624="","",IF(H624="원인분석 대상","세부원인분석 시트에서 거래별 원인을 검토","-"))</x:f>
      </x:c>
      <x:c r="J624" s="73" t="str">
        <x:f>IF(A624="","",COUNTIFS('전기원장'!$A$5:$A$1004,A624,'전기원장'!$J$5:$J$1004,"확인 필요")+COUNTIFS('당기원장'!$A$5:$A$1004,A624,'당기원장'!$J$5:$J$1004,"확인 필요"))</x:f>
      </x:c>
      <x:c r="K624" s="85" t="str">
        <x:f>IF(A624="","",IF(H624&lt;&gt;"원인분석 대상","",IF(J624&gt;0,"붙임 문서 확인 후 원인 확정 필요","결의서명 기반 원인분류 검토")))</x:f>
      </x:c>
    </x:row>
    <x:row r="625">
      <x:c r="A625" s="73" t="str">
        <x:f>IFERROR(INDEX('계산도우미'!$B$5:$B$2004,MATCH(ROWS($A$5:A625),'계산도우미'!$K$5:$K$2004,0)),"")</x:f>
      </x:c>
      <x:c r="B625" s="73" t="str">
        <x:f>IF(A625="","",IFERROR(INDEX('당기원장'!$B$5:$B$1004,MATCH(A625,'당기원장'!$A$5:$A$1004,0)),IFERROR(INDEX('전기원장'!$B$5:$B$1004,MATCH(A625,'전기원장'!$A$5:$A$1004,0)),"")))</x:f>
      </x:c>
      <x:c r="C625" s="75" t="str">
        <x:f>IF(A625="","",SUMIF('전기원장'!$A$5:$A$1004,A625,'전기원장'!$H$5:$H$1004))</x:f>
      </x:c>
      <x:c r="D625" s="75" t="str">
        <x:f>IF(A625="","",SUMIF('당기원장'!$A$5:$A$1004,A625,'당기원장'!$H$5:$H$1004))</x:f>
      </x:c>
      <x:c r="E625" s="75" t="str">
        <x:f>IF(A625="","",D625-C625)</x:f>
      </x:c>
      <x:c r="F625" s="88" t="str">
        <x:f>IF(A625="","",IF(C625=0,IF(D625=0,0,1),ABS(E625)/ABS(C625)))</x:f>
      </x:c>
      <x:c r="G625" s="73" t="str">
        <x:f>IF(A625="","",IF(AND(C625=0,D625&lt;&gt;0),"신규",IF(AND(C625&lt;&gt;0,D625=0),"소멸",IF(E625=0,"변동없음","금액변동"))))</x:f>
      </x:c>
      <x:c r="H625" s="73" t="str">
        <x:f>IF(A625="","",IF(AND(ABS(E625)&gt;='기준설정'!$B$6,OR(G625="신규",G625="소멸",F625&gt;='기준설정'!$B$5)),"원인분석 대상","일반"))</x:f>
      </x:c>
      <x:c r="I625" s="73" t="str">
        <x:f>IF(A625="","",IF(H625="원인분석 대상","세부원인분석 시트에서 거래별 원인을 검토","-"))</x:f>
      </x:c>
      <x:c r="J625" s="73" t="str">
        <x:f>IF(A625="","",COUNTIFS('전기원장'!$A$5:$A$1004,A625,'전기원장'!$J$5:$J$1004,"확인 필요")+COUNTIFS('당기원장'!$A$5:$A$1004,A625,'당기원장'!$J$5:$J$1004,"확인 필요"))</x:f>
      </x:c>
      <x:c r="K625" s="85" t="str">
        <x:f>IF(A625="","",IF(H625&lt;&gt;"원인분석 대상","",IF(J625&gt;0,"붙임 문서 확인 후 원인 확정 필요","결의서명 기반 원인분류 검토")))</x:f>
      </x:c>
    </x:row>
    <x:row r="626">
      <x:c r="A626" s="73" t="str">
        <x:f>IFERROR(INDEX('계산도우미'!$B$5:$B$2004,MATCH(ROWS($A$5:A626),'계산도우미'!$K$5:$K$2004,0)),"")</x:f>
      </x:c>
      <x:c r="B626" s="73" t="str">
        <x:f>IF(A626="","",IFERROR(INDEX('당기원장'!$B$5:$B$1004,MATCH(A626,'당기원장'!$A$5:$A$1004,0)),IFERROR(INDEX('전기원장'!$B$5:$B$1004,MATCH(A626,'전기원장'!$A$5:$A$1004,0)),"")))</x:f>
      </x:c>
      <x:c r="C626" s="75" t="str">
        <x:f>IF(A626="","",SUMIF('전기원장'!$A$5:$A$1004,A626,'전기원장'!$H$5:$H$1004))</x:f>
      </x:c>
      <x:c r="D626" s="75" t="str">
        <x:f>IF(A626="","",SUMIF('당기원장'!$A$5:$A$1004,A626,'당기원장'!$H$5:$H$1004))</x:f>
      </x:c>
      <x:c r="E626" s="75" t="str">
        <x:f>IF(A626="","",D626-C626)</x:f>
      </x:c>
      <x:c r="F626" s="88" t="str">
        <x:f>IF(A626="","",IF(C626=0,IF(D626=0,0,1),ABS(E626)/ABS(C626)))</x:f>
      </x:c>
      <x:c r="G626" s="73" t="str">
        <x:f>IF(A626="","",IF(AND(C626=0,D626&lt;&gt;0),"신규",IF(AND(C626&lt;&gt;0,D626=0),"소멸",IF(E626=0,"변동없음","금액변동"))))</x:f>
      </x:c>
      <x:c r="H626" s="73" t="str">
        <x:f>IF(A626="","",IF(AND(ABS(E626)&gt;='기준설정'!$B$6,OR(G626="신규",G626="소멸",F626&gt;='기준설정'!$B$5)),"원인분석 대상","일반"))</x:f>
      </x:c>
      <x:c r="I626" s="73" t="str">
        <x:f>IF(A626="","",IF(H626="원인분석 대상","세부원인분석 시트에서 거래별 원인을 검토","-"))</x:f>
      </x:c>
      <x:c r="J626" s="73" t="str">
        <x:f>IF(A626="","",COUNTIFS('전기원장'!$A$5:$A$1004,A626,'전기원장'!$J$5:$J$1004,"확인 필요")+COUNTIFS('당기원장'!$A$5:$A$1004,A626,'당기원장'!$J$5:$J$1004,"확인 필요"))</x:f>
      </x:c>
      <x:c r="K626" s="85" t="str">
        <x:f>IF(A626="","",IF(H626&lt;&gt;"원인분석 대상","",IF(J626&gt;0,"붙임 문서 확인 후 원인 확정 필요","결의서명 기반 원인분류 검토")))</x:f>
      </x:c>
    </x:row>
    <x:row r="627">
      <x:c r="A627" s="73" t="str">
        <x:f>IFERROR(INDEX('계산도우미'!$B$5:$B$2004,MATCH(ROWS($A$5:A627),'계산도우미'!$K$5:$K$2004,0)),"")</x:f>
      </x:c>
      <x:c r="B627" s="73" t="str">
        <x:f>IF(A627="","",IFERROR(INDEX('당기원장'!$B$5:$B$1004,MATCH(A627,'당기원장'!$A$5:$A$1004,0)),IFERROR(INDEX('전기원장'!$B$5:$B$1004,MATCH(A627,'전기원장'!$A$5:$A$1004,0)),"")))</x:f>
      </x:c>
      <x:c r="C627" s="75" t="str">
        <x:f>IF(A627="","",SUMIF('전기원장'!$A$5:$A$1004,A627,'전기원장'!$H$5:$H$1004))</x:f>
      </x:c>
      <x:c r="D627" s="75" t="str">
        <x:f>IF(A627="","",SUMIF('당기원장'!$A$5:$A$1004,A627,'당기원장'!$H$5:$H$1004))</x:f>
      </x:c>
      <x:c r="E627" s="75" t="str">
        <x:f>IF(A627="","",D627-C627)</x:f>
      </x:c>
      <x:c r="F627" s="88" t="str">
        <x:f>IF(A627="","",IF(C627=0,IF(D627=0,0,1),ABS(E627)/ABS(C627)))</x:f>
      </x:c>
      <x:c r="G627" s="73" t="str">
        <x:f>IF(A627="","",IF(AND(C627=0,D627&lt;&gt;0),"신규",IF(AND(C627&lt;&gt;0,D627=0),"소멸",IF(E627=0,"변동없음","금액변동"))))</x:f>
      </x:c>
      <x:c r="H627" s="73" t="str">
        <x:f>IF(A627="","",IF(AND(ABS(E627)&gt;='기준설정'!$B$6,OR(G627="신규",G627="소멸",F627&gt;='기준설정'!$B$5)),"원인분석 대상","일반"))</x:f>
      </x:c>
      <x:c r="I627" s="73" t="str">
        <x:f>IF(A627="","",IF(H627="원인분석 대상","세부원인분석 시트에서 거래별 원인을 검토","-"))</x:f>
      </x:c>
      <x:c r="J627" s="73" t="str">
        <x:f>IF(A627="","",COUNTIFS('전기원장'!$A$5:$A$1004,A627,'전기원장'!$J$5:$J$1004,"확인 필요")+COUNTIFS('당기원장'!$A$5:$A$1004,A627,'당기원장'!$J$5:$J$1004,"확인 필요"))</x:f>
      </x:c>
      <x:c r="K627" s="85" t="str">
        <x:f>IF(A627="","",IF(H627&lt;&gt;"원인분석 대상","",IF(J627&gt;0,"붙임 문서 확인 후 원인 확정 필요","결의서명 기반 원인분류 검토")))</x:f>
      </x:c>
    </x:row>
    <x:row r="628">
      <x:c r="A628" s="73" t="str">
        <x:f>IFERROR(INDEX('계산도우미'!$B$5:$B$2004,MATCH(ROWS($A$5:A628),'계산도우미'!$K$5:$K$2004,0)),"")</x:f>
      </x:c>
      <x:c r="B628" s="73" t="str">
        <x:f>IF(A628="","",IFERROR(INDEX('당기원장'!$B$5:$B$1004,MATCH(A628,'당기원장'!$A$5:$A$1004,0)),IFERROR(INDEX('전기원장'!$B$5:$B$1004,MATCH(A628,'전기원장'!$A$5:$A$1004,0)),"")))</x:f>
      </x:c>
      <x:c r="C628" s="75" t="str">
        <x:f>IF(A628="","",SUMIF('전기원장'!$A$5:$A$1004,A628,'전기원장'!$H$5:$H$1004))</x:f>
      </x:c>
      <x:c r="D628" s="75" t="str">
        <x:f>IF(A628="","",SUMIF('당기원장'!$A$5:$A$1004,A628,'당기원장'!$H$5:$H$1004))</x:f>
      </x:c>
      <x:c r="E628" s="75" t="str">
        <x:f>IF(A628="","",D628-C628)</x:f>
      </x:c>
      <x:c r="F628" s="88" t="str">
        <x:f>IF(A628="","",IF(C628=0,IF(D628=0,0,1),ABS(E628)/ABS(C628)))</x:f>
      </x:c>
      <x:c r="G628" s="73" t="str">
        <x:f>IF(A628="","",IF(AND(C628=0,D628&lt;&gt;0),"신규",IF(AND(C628&lt;&gt;0,D628=0),"소멸",IF(E628=0,"변동없음","금액변동"))))</x:f>
      </x:c>
      <x:c r="H628" s="73" t="str">
        <x:f>IF(A628="","",IF(AND(ABS(E628)&gt;='기준설정'!$B$6,OR(G628="신규",G628="소멸",F628&gt;='기준설정'!$B$5)),"원인분석 대상","일반"))</x:f>
      </x:c>
      <x:c r="I628" s="73" t="str">
        <x:f>IF(A628="","",IF(H628="원인분석 대상","세부원인분석 시트에서 거래별 원인을 검토","-"))</x:f>
      </x:c>
      <x:c r="J628" s="73" t="str">
        <x:f>IF(A628="","",COUNTIFS('전기원장'!$A$5:$A$1004,A628,'전기원장'!$J$5:$J$1004,"확인 필요")+COUNTIFS('당기원장'!$A$5:$A$1004,A628,'당기원장'!$J$5:$J$1004,"확인 필요"))</x:f>
      </x:c>
      <x:c r="K628" s="85" t="str">
        <x:f>IF(A628="","",IF(H628&lt;&gt;"원인분석 대상","",IF(J628&gt;0,"붙임 문서 확인 후 원인 확정 필요","결의서명 기반 원인분류 검토")))</x:f>
      </x:c>
    </x:row>
    <x:row r="629">
      <x:c r="A629" s="73" t="str">
        <x:f>IFERROR(INDEX('계산도우미'!$B$5:$B$2004,MATCH(ROWS($A$5:A629),'계산도우미'!$K$5:$K$2004,0)),"")</x:f>
      </x:c>
      <x:c r="B629" s="73" t="str">
        <x:f>IF(A629="","",IFERROR(INDEX('당기원장'!$B$5:$B$1004,MATCH(A629,'당기원장'!$A$5:$A$1004,0)),IFERROR(INDEX('전기원장'!$B$5:$B$1004,MATCH(A629,'전기원장'!$A$5:$A$1004,0)),"")))</x:f>
      </x:c>
      <x:c r="C629" s="75" t="str">
        <x:f>IF(A629="","",SUMIF('전기원장'!$A$5:$A$1004,A629,'전기원장'!$H$5:$H$1004))</x:f>
      </x:c>
      <x:c r="D629" s="75" t="str">
        <x:f>IF(A629="","",SUMIF('당기원장'!$A$5:$A$1004,A629,'당기원장'!$H$5:$H$1004))</x:f>
      </x:c>
      <x:c r="E629" s="75" t="str">
        <x:f>IF(A629="","",D629-C629)</x:f>
      </x:c>
      <x:c r="F629" s="88" t="str">
        <x:f>IF(A629="","",IF(C629=0,IF(D629=0,0,1),ABS(E629)/ABS(C629)))</x:f>
      </x:c>
      <x:c r="G629" s="73" t="str">
        <x:f>IF(A629="","",IF(AND(C629=0,D629&lt;&gt;0),"신규",IF(AND(C629&lt;&gt;0,D629=0),"소멸",IF(E629=0,"변동없음","금액변동"))))</x:f>
      </x:c>
      <x:c r="H629" s="73" t="str">
        <x:f>IF(A629="","",IF(AND(ABS(E629)&gt;='기준설정'!$B$6,OR(G629="신규",G629="소멸",F629&gt;='기준설정'!$B$5)),"원인분석 대상","일반"))</x:f>
      </x:c>
      <x:c r="I629" s="73" t="str">
        <x:f>IF(A629="","",IF(H629="원인분석 대상","세부원인분석 시트에서 거래별 원인을 검토","-"))</x:f>
      </x:c>
      <x:c r="J629" s="73" t="str">
        <x:f>IF(A629="","",COUNTIFS('전기원장'!$A$5:$A$1004,A629,'전기원장'!$J$5:$J$1004,"확인 필요")+COUNTIFS('당기원장'!$A$5:$A$1004,A629,'당기원장'!$J$5:$J$1004,"확인 필요"))</x:f>
      </x:c>
      <x:c r="K629" s="85" t="str">
        <x:f>IF(A629="","",IF(H629&lt;&gt;"원인분석 대상","",IF(J629&gt;0,"붙임 문서 확인 후 원인 확정 필요","결의서명 기반 원인분류 검토")))</x:f>
      </x:c>
    </x:row>
    <x:row r="630">
      <x:c r="A630" s="73" t="str">
        <x:f>IFERROR(INDEX('계산도우미'!$B$5:$B$2004,MATCH(ROWS($A$5:A630),'계산도우미'!$K$5:$K$2004,0)),"")</x:f>
      </x:c>
      <x:c r="B630" s="73" t="str">
        <x:f>IF(A630="","",IFERROR(INDEX('당기원장'!$B$5:$B$1004,MATCH(A630,'당기원장'!$A$5:$A$1004,0)),IFERROR(INDEX('전기원장'!$B$5:$B$1004,MATCH(A630,'전기원장'!$A$5:$A$1004,0)),"")))</x:f>
      </x:c>
      <x:c r="C630" s="75" t="str">
        <x:f>IF(A630="","",SUMIF('전기원장'!$A$5:$A$1004,A630,'전기원장'!$H$5:$H$1004))</x:f>
      </x:c>
      <x:c r="D630" s="75" t="str">
        <x:f>IF(A630="","",SUMIF('당기원장'!$A$5:$A$1004,A630,'당기원장'!$H$5:$H$1004))</x:f>
      </x:c>
      <x:c r="E630" s="75" t="str">
        <x:f>IF(A630="","",D630-C630)</x:f>
      </x:c>
      <x:c r="F630" s="88" t="str">
        <x:f>IF(A630="","",IF(C630=0,IF(D630=0,0,1),ABS(E630)/ABS(C630)))</x:f>
      </x:c>
      <x:c r="G630" s="73" t="str">
        <x:f>IF(A630="","",IF(AND(C630=0,D630&lt;&gt;0),"신규",IF(AND(C630&lt;&gt;0,D630=0),"소멸",IF(E630=0,"변동없음","금액변동"))))</x:f>
      </x:c>
      <x:c r="H630" s="73" t="str">
        <x:f>IF(A630="","",IF(AND(ABS(E630)&gt;='기준설정'!$B$6,OR(G630="신규",G630="소멸",F630&gt;='기준설정'!$B$5)),"원인분석 대상","일반"))</x:f>
      </x:c>
      <x:c r="I630" s="73" t="str">
        <x:f>IF(A630="","",IF(H630="원인분석 대상","세부원인분석 시트에서 거래별 원인을 검토","-"))</x:f>
      </x:c>
      <x:c r="J630" s="73" t="str">
        <x:f>IF(A630="","",COUNTIFS('전기원장'!$A$5:$A$1004,A630,'전기원장'!$J$5:$J$1004,"확인 필요")+COUNTIFS('당기원장'!$A$5:$A$1004,A630,'당기원장'!$J$5:$J$1004,"확인 필요"))</x:f>
      </x:c>
      <x:c r="K630" s="85" t="str">
        <x:f>IF(A630="","",IF(H630&lt;&gt;"원인분석 대상","",IF(J630&gt;0,"붙임 문서 확인 후 원인 확정 필요","결의서명 기반 원인분류 검토")))</x:f>
      </x:c>
    </x:row>
    <x:row r="631">
      <x:c r="A631" s="73" t="str">
        <x:f>IFERROR(INDEX('계산도우미'!$B$5:$B$2004,MATCH(ROWS($A$5:A631),'계산도우미'!$K$5:$K$2004,0)),"")</x:f>
      </x:c>
      <x:c r="B631" s="73" t="str">
        <x:f>IF(A631="","",IFERROR(INDEX('당기원장'!$B$5:$B$1004,MATCH(A631,'당기원장'!$A$5:$A$1004,0)),IFERROR(INDEX('전기원장'!$B$5:$B$1004,MATCH(A631,'전기원장'!$A$5:$A$1004,0)),"")))</x:f>
      </x:c>
      <x:c r="C631" s="75" t="str">
        <x:f>IF(A631="","",SUMIF('전기원장'!$A$5:$A$1004,A631,'전기원장'!$H$5:$H$1004))</x:f>
      </x:c>
      <x:c r="D631" s="75" t="str">
        <x:f>IF(A631="","",SUMIF('당기원장'!$A$5:$A$1004,A631,'당기원장'!$H$5:$H$1004))</x:f>
      </x:c>
      <x:c r="E631" s="75" t="str">
        <x:f>IF(A631="","",D631-C631)</x:f>
      </x:c>
      <x:c r="F631" s="88" t="str">
        <x:f>IF(A631="","",IF(C631=0,IF(D631=0,0,1),ABS(E631)/ABS(C631)))</x:f>
      </x:c>
      <x:c r="G631" s="73" t="str">
        <x:f>IF(A631="","",IF(AND(C631=0,D631&lt;&gt;0),"신규",IF(AND(C631&lt;&gt;0,D631=0),"소멸",IF(E631=0,"변동없음","금액변동"))))</x:f>
      </x:c>
      <x:c r="H631" s="73" t="str">
        <x:f>IF(A631="","",IF(AND(ABS(E631)&gt;='기준설정'!$B$6,OR(G631="신규",G631="소멸",F631&gt;='기준설정'!$B$5)),"원인분석 대상","일반"))</x:f>
      </x:c>
      <x:c r="I631" s="73" t="str">
        <x:f>IF(A631="","",IF(H631="원인분석 대상","세부원인분석 시트에서 거래별 원인을 검토","-"))</x:f>
      </x:c>
      <x:c r="J631" s="73" t="str">
        <x:f>IF(A631="","",COUNTIFS('전기원장'!$A$5:$A$1004,A631,'전기원장'!$J$5:$J$1004,"확인 필요")+COUNTIFS('당기원장'!$A$5:$A$1004,A631,'당기원장'!$J$5:$J$1004,"확인 필요"))</x:f>
      </x:c>
      <x:c r="K631" s="85" t="str">
        <x:f>IF(A631="","",IF(H631&lt;&gt;"원인분석 대상","",IF(J631&gt;0,"붙임 문서 확인 후 원인 확정 필요","결의서명 기반 원인분류 검토")))</x:f>
      </x:c>
    </x:row>
    <x:row r="632">
      <x:c r="A632" s="73" t="str">
        <x:f>IFERROR(INDEX('계산도우미'!$B$5:$B$2004,MATCH(ROWS($A$5:A632),'계산도우미'!$K$5:$K$2004,0)),"")</x:f>
      </x:c>
      <x:c r="B632" s="73" t="str">
        <x:f>IF(A632="","",IFERROR(INDEX('당기원장'!$B$5:$B$1004,MATCH(A632,'당기원장'!$A$5:$A$1004,0)),IFERROR(INDEX('전기원장'!$B$5:$B$1004,MATCH(A632,'전기원장'!$A$5:$A$1004,0)),"")))</x:f>
      </x:c>
      <x:c r="C632" s="75" t="str">
        <x:f>IF(A632="","",SUMIF('전기원장'!$A$5:$A$1004,A632,'전기원장'!$H$5:$H$1004))</x:f>
      </x:c>
      <x:c r="D632" s="75" t="str">
        <x:f>IF(A632="","",SUMIF('당기원장'!$A$5:$A$1004,A632,'당기원장'!$H$5:$H$1004))</x:f>
      </x:c>
      <x:c r="E632" s="75" t="str">
        <x:f>IF(A632="","",D632-C632)</x:f>
      </x:c>
      <x:c r="F632" s="88" t="str">
        <x:f>IF(A632="","",IF(C632=0,IF(D632=0,0,1),ABS(E632)/ABS(C632)))</x:f>
      </x:c>
      <x:c r="G632" s="73" t="str">
        <x:f>IF(A632="","",IF(AND(C632=0,D632&lt;&gt;0),"신규",IF(AND(C632&lt;&gt;0,D632=0),"소멸",IF(E632=0,"변동없음","금액변동"))))</x:f>
      </x:c>
      <x:c r="H632" s="73" t="str">
        <x:f>IF(A632="","",IF(AND(ABS(E632)&gt;='기준설정'!$B$6,OR(G632="신규",G632="소멸",F632&gt;='기준설정'!$B$5)),"원인분석 대상","일반"))</x:f>
      </x:c>
      <x:c r="I632" s="73" t="str">
        <x:f>IF(A632="","",IF(H632="원인분석 대상","세부원인분석 시트에서 거래별 원인을 검토","-"))</x:f>
      </x:c>
      <x:c r="J632" s="73" t="str">
        <x:f>IF(A632="","",COUNTIFS('전기원장'!$A$5:$A$1004,A632,'전기원장'!$J$5:$J$1004,"확인 필요")+COUNTIFS('당기원장'!$A$5:$A$1004,A632,'당기원장'!$J$5:$J$1004,"확인 필요"))</x:f>
      </x:c>
      <x:c r="K632" s="85" t="str">
        <x:f>IF(A632="","",IF(H632&lt;&gt;"원인분석 대상","",IF(J632&gt;0,"붙임 문서 확인 후 원인 확정 필요","결의서명 기반 원인분류 검토")))</x:f>
      </x:c>
    </x:row>
    <x:row r="633">
      <x:c r="A633" s="73" t="str">
        <x:f>IFERROR(INDEX('계산도우미'!$B$5:$B$2004,MATCH(ROWS($A$5:A633),'계산도우미'!$K$5:$K$2004,0)),"")</x:f>
      </x:c>
      <x:c r="B633" s="73" t="str">
        <x:f>IF(A633="","",IFERROR(INDEX('당기원장'!$B$5:$B$1004,MATCH(A633,'당기원장'!$A$5:$A$1004,0)),IFERROR(INDEX('전기원장'!$B$5:$B$1004,MATCH(A633,'전기원장'!$A$5:$A$1004,0)),"")))</x:f>
      </x:c>
      <x:c r="C633" s="75" t="str">
        <x:f>IF(A633="","",SUMIF('전기원장'!$A$5:$A$1004,A633,'전기원장'!$H$5:$H$1004))</x:f>
      </x:c>
      <x:c r="D633" s="75" t="str">
        <x:f>IF(A633="","",SUMIF('당기원장'!$A$5:$A$1004,A633,'당기원장'!$H$5:$H$1004))</x:f>
      </x:c>
      <x:c r="E633" s="75" t="str">
        <x:f>IF(A633="","",D633-C633)</x:f>
      </x:c>
      <x:c r="F633" s="88" t="str">
        <x:f>IF(A633="","",IF(C633=0,IF(D633=0,0,1),ABS(E633)/ABS(C633)))</x:f>
      </x:c>
      <x:c r="G633" s="73" t="str">
        <x:f>IF(A633="","",IF(AND(C633=0,D633&lt;&gt;0),"신규",IF(AND(C633&lt;&gt;0,D633=0),"소멸",IF(E633=0,"변동없음","금액변동"))))</x:f>
      </x:c>
      <x:c r="H633" s="73" t="str">
        <x:f>IF(A633="","",IF(AND(ABS(E633)&gt;='기준설정'!$B$6,OR(G633="신규",G633="소멸",F633&gt;='기준설정'!$B$5)),"원인분석 대상","일반"))</x:f>
      </x:c>
      <x:c r="I633" s="73" t="str">
        <x:f>IF(A633="","",IF(H633="원인분석 대상","세부원인분석 시트에서 거래별 원인을 검토","-"))</x:f>
      </x:c>
      <x:c r="J633" s="73" t="str">
        <x:f>IF(A633="","",COUNTIFS('전기원장'!$A$5:$A$1004,A633,'전기원장'!$J$5:$J$1004,"확인 필요")+COUNTIFS('당기원장'!$A$5:$A$1004,A633,'당기원장'!$J$5:$J$1004,"확인 필요"))</x:f>
      </x:c>
      <x:c r="K633" s="85" t="str">
        <x:f>IF(A633="","",IF(H633&lt;&gt;"원인분석 대상","",IF(J633&gt;0,"붙임 문서 확인 후 원인 확정 필요","결의서명 기반 원인분류 검토")))</x:f>
      </x:c>
    </x:row>
    <x:row r="634">
      <x:c r="A634" s="73" t="str">
        <x:f>IFERROR(INDEX('계산도우미'!$B$5:$B$2004,MATCH(ROWS($A$5:A634),'계산도우미'!$K$5:$K$2004,0)),"")</x:f>
      </x:c>
      <x:c r="B634" s="73" t="str">
        <x:f>IF(A634="","",IFERROR(INDEX('당기원장'!$B$5:$B$1004,MATCH(A634,'당기원장'!$A$5:$A$1004,0)),IFERROR(INDEX('전기원장'!$B$5:$B$1004,MATCH(A634,'전기원장'!$A$5:$A$1004,0)),"")))</x:f>
      </x:c>
      <x:c r="C634" s="75" t="str">
        <x:f>IF(A634="","",SUMIF('전기원장'!$A$5:$A$1004,A634,'전기원장'!$H$5:$H$1004))</x:f>
      </x:c>
      <x:c r="D634" s="75" t="str">
        <x:f>IF(A634="","",SUMIF('당기원장'!$A$5:$A$1004,A634,'당기원장'!$H$5:$H$1004))</x:f>
      </x:c>
      <x:c r="E634" s="75" t="str">
        <x:f>IF(A634="","",D634-C634)</x:f>
      </x:c>
      <x:c r="F634" s="88" t="str">
        <x:f>IF(A634="","",IF(C634=0,IF(D634=0,0,1),ABS(E634)/ABS(C634)))</x:f>
      </x:c>
      <x:c r="G634" s="73" t="str">
        <x:f>IF(A634="","",IF(AND(C634=0,D634&lt;&gt;0),"신규",IF(AND(C634&lt;&gt;0,D634=0),"소멸",IF(E634=0,"변동없음","금액변동"))))</x:f>
      </x:c>
      <x:c r="H634" s="73" t="str">
        <x:f>IF(A634="","",IF(AND(ABS(E634)&gt;='기준설정'!$B$6,OR(G634="신규",G634="소멸",F634&gt;='기준설정'!$B$5)),"원인분석 대상","일반"))</x:f>
      </x:c>
      <x:c r="I634" s="73" t="str">
        <x:f>IF(A634="","",IF(H634="원인분석 대상","세부원인분석 시트에서 거래별 원인을 검토","-"))</x:f>
      </x:c>
      <x:c r="J634" s="73" t="str">
        <x:f>IF(A634="","",COUNTIFS('전기원장'!$A$5:$A$1004,A634,'전기원장'!$J$5:$J$1004,"확인 필요")+COUNTIFS('당기원장'!$A$5:$A$1004,A634,'당기원장'!$J$5:$J$1004,"확인 필요"))</x:f>
      </x:c>
      <x:c r="K634" s="85" t="str">
        <x:f>IF(A634="","",IF(H634&lt;&gt;"원인분석 대상","",IF(J634&gt;0,"붙임 문서 확인 후 원인 확정 필요","결의서명 기반 원인분류 검토")))</x:f>
      </x:c>
    </x:row>
    <x:row r="635">
      <x:c r="A635" s="73" t="str">
        <x:f>IFERROR(INDEX('계산도우미'!$B$5:$B$2004,MATCH(ROWS($A$5:A635),'계산도우미'!$K$5:$K$2004,0)),"")</x:f>
      </x:c>
      <x:c r="B635" s="73" t="str">
        <x:f>IF(A635="","",IFERROR(INDEX('당기원장'!$B$5:$B$1004,MATCH(A635,'당기원장'!$A$5:$A$1004,0)),IFERROR(INDEX('전기원장'!$B$5:$B$1004,MATCH(A635,'전기원장'!$A$5:$A$1004,0)),"")))</x:f>
      </x:c>
      <x:c r="C635" s="75" t="str">
        <x:f>IF(A635="","",SUMIF('전기원장'!$A$5:$A$1004,A635,'전기원장'!$H$5:$H$1004))</x:f>
      </x:c>
      <x:c r="D635" s="75" t="str">
        <x:f>IF(A635="","",SUMIF('당기원장'!$A$5:$A$1004,A635,'당기원장'!$H$5:$H$1004))</x:f>
      </x:c>
      <x:c r="E635" s="75" t="str">
        <x:f>IF(A635="","",D635-C635)</x:f>
      </x:c>
      <x:c r="F635" s="88" t="str">
        <x:f>IF(A635="","",IF(C635=0,IF(D635=0,0,1),ABS(E635)/ABS(C635)))</x:f>
      </x:c>
      <x:c r="G635" s="73" t="str">
        <x:f>IF(A635="","",IF(AND(C635=0,D635&lt;&gt;0),"신규",IF(AND(C635&lt;&gt;0,D635=0),"소멸",IF(E635=0,"변동없음","금액변동"))))</x:f>
      </x:c>
      <x:c r="H635" s="73" t="str">
        <x:f>IF(A635="","",IF(AND(ABS(E635)&gt;='기준설정'!$B$6,OR(G635="신규",G635="소멸",F635&gt;='기준설정'!$B$5)),"원인분석 대상","일반"))</x:f>
      </x:c>
      <x:c r="I635" s="73" t="str">
        <x:f>IF(A635="","",IF(H635="원인분석 대상","세부원인분석 시트에서 거래별 원인을 검토","-"))</x:f>
      </x:c>
      <x:c r="J635" s="73" t="str">
        <x:f>IF(A635="","",COUNTIFS('전기원장'!$A$5:$A$1004,A635,'전기원장'!$J$5:$J$1004,"확인 필요")+COUNTIFS('당기원장'!$A$5:$A$1004,A635,'당기원장'!$J$5:$J$1004,"확인 필요"))</x:f>
      </x:c>
      <x:c r="K635" s="85" t="str">
        <x:f>IF(A635="","",IF(H635&lt;&gt;"원인분석 대상","",IF(J635&gt;0,"붙임 문서 확인 후 원인 확정 필요","결의서명 기반 원인분류 검토")))</x:f>
      </x:c>
    </x:row>
    <x:row r="636">
      <x:c r="A636" s="73" t="str">
        <x:f>IFERROR(INDEX('계산도우미'!$B$5:$B$2004,MATCH(ROWS($A$5:A636),'계산도우미'!$K$5:$K$2004,0)),"")</x:f>
      </x:c>
      <x:c r="B636" s="73" t="str">
        <x:f>IF(A636="","",IFERROR(INDEX('당기원장'!$B$5:$B$1004,MATCH(A636,'당기원장'!$A$5:$A$1004,0)),IFERROR(INDEX('전기원장'!$B$5:$B$1004,MATCH(A636,'전기원장'!$A$5:$A$1004,0)),"")))</x:f>
      </x:c>
      <x:c r="C636" s="75" t="str">
        <x:f>IF(A636="","",SUMIF('전기원장'!$A$5:$A$1004,A636,'전기원장'!$H$5:$H$1004))</x:f>
      </x:c>
      <x:c r="D636" s="75" t="str">
        <x:f>IF(A636="","",SUMIF('당기원장'!$A$5:$A$1004,A636,'당기원장'!$H$5:$H$1004))</x:f>
      </x:c>
      <x:c r="E636" s="75" t="str">
        <x:f>IF(A636="","",D636-C636)</x:f>
      </x:c>
      <x:c r="F636" s="88" t="str">
        <x:f>IF(A636="","",IF(C636=0,IF(D636=0,0,1),ABS(E636)/ABS(C636)))</x:f>
      </x:c>
      <x:c r="G636" s="73" t="str">
        <x:f>IF(A636="","",IF(AND(C636=0,D636&lt;&gt;0),"신규",IF(AND(C636&lt;&gt;0,D636=0),"소멸",IF(E636=0,"변동없음","금액변동"))))</x:f>
      </x:c>
      <x:c r="H636" s="73" t="str">
        <x:f>IF(A636="","",IF(AND(ABS(E636)&gt;='기준설정'!$B$6,OR(G636="신규",G636="소멸",F636&gt;='기준설정'!$B$5)),"원인분석 대상","일반"))</x:f>
      </x:c>
      <x:c r="I636" s="73" t="str">
        <x:f>IF(A636="","",IF(H636="원인분석 대상","세부원인분석 시트에서 거래별 원인을 검토","-"))</x:f>
      </x:c>
      <x:c r="J636" s="73" t="str">
        <x:f>IF(A636="","",COUNTIFS('전기원장'!$A$5:$A$1004,A636,'전기원장'!$J$5:$J$1004,"확인 필요")+COUNTIFS('당기원장'!$A$5:$A$1004,A636,'당기원장'!$J$5:$J$1004,"확인 필요"))</x:f>
      </x:c>
      <x:c r="K636" s="85" t="str">
        <x:f>IF(A636="","",IF(H636&lt;&gt;"원인분석 대상","",IF(J636&gt;0,"붙임 문서 확인 후 원인 확정 필요","결의서명 기반 원인분류 검토")))</x:f>
      </x:c>
    </x:row>
    <x:row r="637">
      <x:c r="A637" s="73" t="str">
        <x:f>IFERROR(INDEX('계산도우미'!$B$5:$B$2004,MATCH(ROWS($A$5:A637),'계산도우미'!$K$5:$K$2004,0)),"")</x:f>
      </x:c>
      <x:c r="B637" s="73" t="str">
        <x:f>IF(A637="","",IFERROR(INDEX('당기원장'!$B$5:$B$1004,MATCH(A637,'당기원장'!$A$5:$A$1004,0)),IFERROR(INDEX('전기원장'!$B$5:$B$1004,MATCH(A637,'전기원장'!$A$5:$A$1004,0)),"")))</x:f>
      </x:c>
      <x:c r="C637" s="75" t="str">
        <x:f>IF(A637="","",SUMIF('전기원장'!$A$5:$A$1004,A637,'전기원장'!$H$5:$H$1004))</x:f>
      </x:c>
      <x:c r="D637" s="75" t="str">
        <x:f>IF(A637="","",SUMIF('당기원장'!$A$5:$A$1004,A637,'당기원장'!$H$5:$H$1004))</x:f>
      </x:c>
      <x:c r="E637" s="75" t="str">
        <x:f>IF(A637="","",D637-C637)</x:f>
      </x:c>
      <x:c r="F637" s="88" t="str">
        <x:f>IF(A637="","",IF(C637=0,IF(D637=0,0,1),ABS(E637)/ABS(C637)))</x:f>
      </x:c>
      <x:c r="G637" s="73" t="str">
        <x:f>IF(A637="","",IF(AND(C637=0,D637&lt;&gt;0),"신규",IF(AND(C637&lt;&gt;0,D637=0),"소멸",IF(E637=0,"변동없음","금액변동"))))</x:f>
      </x:c>
      <x:c r="H637" s="73" t="str">
        <x:f>IF(A637="","",IF(AND(ABS(E637)&gt;='기준설정'!$B$6,OR(G637="신규",G637="소멸",F637&gt;='기준설정'!$B$5)),"원인분석 대상","일반"))</x:f>
      </x:c>
      <x:c r="I637" s="73" t="str">
        <x:f>IF(A637="","",IF(H637="원인분석 대상","세부원인분석 시트에서 거래별 원인을 검토","-"))</x:f>
      </x:c>
      <x:c r="J637" s="73" t="str">
        <x:f>IF(A637="","",COUNTIFS('전기원장'!$A$5:$A$1004,A637,'전기원장'!$J$5:$J$1004,"확인 필요")+COUNTIFS('당기원장'!$A$5:$A$1004,A637,'당기원장'!$J$5:$J$1004,"확인 필요"))</x:f>
      </x:c>
      <x:c r="K637" s="85" t="str">
        <x:f>IF(A637="","",IF(H637&lt;&gt;"원인분석 대상","",IF(J637&gt;0,"붙임 문서 확인 후 원인 확정 필요","결의서명 기반 원인분류 검토")))</x:f>
      </x:c>
    </x:row>
    <x:row r="638">
      <x:c r="A638" s="73" t="str">
        <x:f>IFERROR(INDEX('계산도우미'!$B$5:$B$2004,MATCH(ROWS($A$5:A638),'계산도우미'!$K$5:$K$2004,0)),"")</x:f>
      </x:c>
      <x:c r="B638" s="73" t="str">
        <x:f>IF(A638="","",IFERROR(INDEX('당기원장'!$B$5:$B$1004,MATCH(A638,'당기원장'!$A$5:$A$1004,0)),IFERROR(INDEX('전기원장'!$B$5:$B$1004,MATCH(A638,'전기원장'!$A$5:$A$1004,0)),"")))</x:f>
      </x:c>
      <x:c r="C638" s="75" t="str">
        <x:f>IF(A638="","",SUMIF('전기원장'!$A$5:$A$1004,A638,'전기원장'!$H$5:$H$1004))</x:f>
      </x:c>
      <x:c r="D638" s="75" t="str">
        <x:f>IF(A638="","",SUMIF('당기원장'!$A$5:$A$1004,A638,'당기원장'!$H$5:$H$1004))</x:f>
      </x:c>
      <x:c r="E638" s="75" t="str">
        <x:f>IF(A638="","",D638-C638)</x:f>
      </x:c>
      <x:c r="F638" s="88" t="str">
        <x:f>IF(A638="","",IF(C638=0,IF(D638=0,0,1),ABS(E638)/ABS(C638)))</x:f>
      </x:c>
      <x:c r="G638" s="73" t="str">
        <x:f>IF(A638="","",IF(AND(C638=0,D638&lt;&gt;0),"신규",IF(AND(C638&lt;&gt;0,D638=0),"소멸",IF(E638=0,"변동없음","금액변동"))))</x:f>
      </x:c>
      <x:c r="H638" s="73" t="str">
        <x:f>IF(A638="","",IF(AND(ABS(E638)&gt;='기준설정'!$B$6,OR(G638="신규",G638="소멸",F638&gt;='기준설정'!$B$5)),"원인분석 대상","일반"))</x:f>
      </x:c>
      <x:c r="I638" s="73" t="str">
        <x:f>IF(A638="","",IF(H638="원인분석 대상","세부원인분석 시트에서 거래별 원인을 검토","-"))</x:f>
      </x:c>
      <x:c r="J638" s="73" t="str">
        <x:f>IF(A638="","",COUNTIFS('전기원장'!$A$5:$A$1004,A638,'전기원장'!$J$5:$J$1004,"확인 필요")+COUNTIFS('당기원장'!$A$5:$A$1004,A638,'당기원장'!$J$5:$J$1004,"확인 필요"))</x:f>
      </x:c>
      <x:c r="K638" s="85" t="str">
        <x:f>IF(A638="","",IF(H638&lt;&gt;"원인분석 대상","",IF(J638&gt;0,"붙임 문서 확인 후 원인 확정 필요","결의서명 기반 원인분류 검토")))</x:f>
      </x:c>
    </x:row>
    <x:row r="639">
      <x:c r="A639" s="73" t="str">
        <x:f>IFERROR(INDEX('계산도우미'!$B$5:$B$2004,MATCH(ROWS($A$5:A639),'계산도우미'!$K$5:$K$2004,0)),"")</x:f>
      </x:c>
      <x:c r="B639" s="73" t="str">
        <x:f>IF(A639="","",IFERROR(INDEX('당기원장'!$B$5:$B$1004,MATCH(A639,'당기원장'!$A$5:$A$1004,0)),IFERROR(INDEX('전기원장'!$B$5:$B$1004,MATCH(A639,'전기원장'!$A$5:$A$1004,0)),"")))</x:f>
      </x:c>
      <x:c r="C639" s="75" t="str">
        <x:f>IF(A639="","",SUMIF('전기원장'!$A$5:$A$1004,A639,'전기원장'!$H$5:$H$1004))</x:f>
      </x:c>
      <x:c r="D639" s="75" t="str">
        <x:f>IF(A639="","",SUMIF('당기원장'!$A$5:$A$1004,A639,'당기원장'!$H$5:$H$1004))</x:f>
      </x:c>
      <x:c r="E639" s="75" t="str">
        <x:f>IF(A639="","",D639-C639)</x:f>
      </x:c>
      <x:c r="F639" s="88" t="str">
        <x:f>IF(A639="","",IF(C639=0,IF(D639=0,0,1),ABS(E639)/ABS(C639)))</x:f>
      </x:c>
      <x:c r="G639" s="73" t="str">
        <x:f>IF(A639="","",IF(AND(C639=0,D639&lt;&gt;0),"신규",IF(AND(C639&lt;&gt;0,D639=0),"소멸",IF(E639=0,"변동없음","금액변동"))))</x:f>
      </x:c>
      <x:c r="H639" s="73" t="str">
        <x:f>IF(A639="","",IF(AND(ABS(E639)&gt;='기준설정'!$B$6,OR(G639="신규",G639="소멸",F639&gt;='기준설정'!$B$5)),"원인분석 대상","일반"))</x:f>
      </x:c>
      <x:c r="I639" s="73" t="str">
        <x:f>IF(A639="","",IF(H639="원인분석 대상","세부원인분석 시트에서 거래별 원인을 검토","-"))</x:f>
      </x:c>
      <x:c r="J639" s="73" t="str">
        <x:f>IF(A639="","",COUNTIFS('전기원장'!$A$5:$A$1004,A639,'전기원장'!$J$5:$J$1004,"확인 필요")+COUNTIFS('당기원장'!$A$5:$A$1004,A639,'당기원장'!$J$5:$J$1004,"확인 필요"))</x:f>
      </x:c>
      <x:c r="K639" s="85" t="str">
        <x:f>IF(A639="","",IF(H639&lt;&gt;"원인분석 대상","",IF(J639&gt;0,"붙임 문서 확인 후 원인 확정 필요","결의서명 기반 원인분류 검토")))</x:f>
      </x:c>
    </x:row>
    <x:row r="640">
      <x:c r="A640" s="73" t="str">
        <x:f>IFERROR(INDEX('계산도우미'!$B$5:$B$2004,MATCH(ROWS($A$5:A640),'계산도우미'!$K$5:$K$2004,0)),"")</x:f>
      </x:c>
      <x:c r="B640" s="73" t="str">
        <x:f>IF(A640="","",IFERROR(INDEX('당기원장'!$B$5:$B$1004,MATCH(A640,'당기원장'!$A$5:$A$1004,0)),IFERROR(INDEX('전기원장'!$B$5:$B$1004,MATCH(A640,'전기원장'!$A$5:$A$1004,0)),"")))</x:f>
      </x:c>
      <x:c r="C640" s="75" t="str">
        <x:f>IF(A640="","",SUMIF('전기원장'!$A$5:$A$1004,A640,'전기원장'!$H$5:$H$1004))</x:f>
      </x:c>
      <x:c r="D640" s="75" t="str">
        <x:f>IF(A640="","",SUMIF('당기원장'!$A$5:$A$1004,A640,'당기원장'!$H$5:$H$1004))</x:f>
      </x:c>
      <x:c r="E640" s="75" t="str">
        <x:f>IF(A640="","",D640-C640)</x:f>
      </x:c>
      <x:c r="F640" s="88" t="str">
        <x:f>IF(A640="","",IF(C640=0,IF(D640=0,0,1),ABS(E640)/ABS(C640)))</x:f>
      </x:c>
      <x:c r="G640" s="73" t="str">
        <x:f>IF(A640="","",IF(AND(C640=0,D640&lt;&gt;0),"신규",IF(AND(C640&lt;&gt;0,D640=0),"소멸",IF(E640=0,"변동없음","금액변동"))))</x:f>
      </x:c>
      <x:c r="H640" s="73" t="str">
        <x:f>IF(A640="","",IF(AND(ABS(E640)&gt;='기준설정'!$B$6,OR(G640="신규",G640="소멸",F640&gt;='기준설정'!$B$5)),"원인분석 대상","일반"))</x:f>
      </x:c>
      <x:c r="I640" s="73" t="str">
        <x:f>IF(A640="","",IF(H640="원인분석 대상","세부원인분석 시트에서 거래별 원인을 검토","-"))</x:f>
      </x:c>
      <x:c r="J640" s="73" t="str">
        <x:f>IF(A640="","",COUNTIFS('전기원장'!$A$5:$A$1004,A640,'전기원장'!$J$5:$J$1004,"확인 필요")+COUNTIFS('당기원장'!$A$5:$A$1004,A640,'당기원장'!$J$5:$J$1004,"확인 필요"))</x:f>
      </x:c>
      <x:c r="K640" s="85" t="str">
        <x:f>IF(A640="","",IF(H640&lt;&gt;"원인분석 대상","",IF(J640&gt;0,"붙임 문서 확인 후 원인 확정 필요","결의서명 기반 원인분류 검토")))</x:f>
      </x:c>
    </x:row>
    <x:row r="641">
      <x:c r="A641" s="73" t="str">
        <x:f>IFERROR(INDEX('계산도우미'!$B$5:$B$2004,MATCH(ROWS($A$5:A641),'계산도우미'!$K$5:$K$2004,0)),"")</x:f>
      </x:c>
      <x:c r="B641" s="73" t="str">
        <x:f>IF(A641="","",IFERROR(INDEX('당기원장'!$B$5:$B$1004,MATCH(A641,'당기원장'!$A$5:$A$1004,0)),IFERROR(INDEX('전기원장'!$B$5:$B$1004,MATCH(A641,'전기원장'!$A$5:$A$1004,0)),"")))</x:f>
      </x:c>
      <x:c r="C641" s="75" t="str">
        <x:f>IF(A641="","",SUMIF('전기원장'!$A$5:$A$1004,A641,'전기원장'!$H$5:$H$1004))</x:f>
      </x:c>
      <x:c r="D641" s="75" t="str">
        <x:f>IF(A641="","",SUMIF('당기원장'!$A$5:$A$1004,A641,'당기원장'!$H$5:$H$1004))</x:f>
      </x:c>
      <x:c r="E641" s="75" t="str">
        <x:f>IF(A641="","",D641-C641)</x:f>
      </x:c>
      <x:c r="F641" s="88" t="str">
        <x:f>IF(A641="","",IF(C641=0,IF(D641=0,0,1),ABS(E641)/ABS(C641)))</x:f>
      </x:c>
      <x:c r="G641" s="73" t="str">
        <x:f>IF(A641="","",IF(AND(C641=0,D641&lt;&gt;0),"신규",IF(AND(C641&lt;&gt;0,D641=0),"소멸",IF(E641=0,"변동없음","금액변동"))))</x:f>
      </x:c>
      <x:c r="H641" s="73" t="str">
        <x:f>IF(A641="","",IF(AND(ABS(E641)&gt;='기준설정'!$B$6,OR(G641="신규",G641="소멸",F641&gt;='기준설정'!$B$5)),"원인분석 대상","일반"))</x:f>
      </x:c>
      <x:c r="I641" s="73" t="str">
        <x:f>IF(A641="","",IF(H641="원인분석 대상","세부원인분석 시트에서 거래별 원인을 검토","-"))</x:f>
      </x:c>
      <x:c r="J641" s="73" t="str">
        <x:f>IF(A641="","",COUNTIFS('전기원장'!$A$5:$A$1004,A641,'전기원장'!$J$5:$J$1004,"확인 필요")+COUNTIFS('당기원장'!$A$5:$A$1004,A641,'당기원장'!$J$5:$J$1004,"확인 필요"))</x:f>
      </x:c>
      <x:c r="K641" s="85" t="str">
        <x:f>IF(A641="","",IF(H641&lt;&gt;"원인분석 대상","",IF(J641&gt;0,"붙임 문서 확인 후 원인 확정 필요","결의서명 기반 원인분류 검토")))</x:f>
      </x:c>
    </x:row>
    <x:row r="642">
      <x:c r="A642" s="73" t="str">
        <x:f>IFERROR(INDEX('계산도우미'!$B$5:$B$2004,MATCH(ROWS($A$5:A642),'계산도우미'!$K$5:$K$2004,0)),"")</x:f>
      </x:c>
      <x:c r="B642" s="73" t="str">
        <x:f>IF(A642="","",IFERROR(INDEX('당기원장'!$B$5:$B$1004,MATCH(A642,'당기원장'!$A$5:$A$1004,0)),IFERROR(INDEX('전기원장'!$B$5:$B$1004,MATCH(A642,'전기원장'!$A$5:$A$1004,0)),"")))</x:f>
      </x:c>
      <x:c r="C642" s="75" t="str">
        <x:f>IF(A642="","",SUMIF('전기원장'!$A$5:$A$1004,A642,'전기원장'!$H$5:$H$1004))</x:f>
      </x:c>
      <x:c r="D642" s="75" t="str">
        <x:f>IF(A642="","",SUMIF('당기원장'!$A$5:$A$1004,A642,'당기원장'!$H$5:$H$1004))</x:f>
      </x:c>
      <x:c r="E642" s="75" t="str">
        <x:f>IF(A642="","",D642-C642)</x:f>
      </x:c>
      <x:c r="F642" s="88" t="str">
        <x:f>IF(A642="","",IF(C642=0,IF(D642=0,0,1),ABS(E642)/ABS(C642)))</x:f>
      </x:c>
      <x:c r="G642" s="73" t="str">
        <x:f>IF(A642="","",IF(AND(C642=0,D642&lt;&gt;0),"신규",IF(AND(C642&lt;&gt;0,D642=0),"소멸",IF(E642=0,"변동없음","금액변동"))))</x:f>
      </x:c>
      <x:c r="H642" s="73" t="str">
        <x:f>IF(A642="","",IF(AND(ABS(E642)&gt;='기준설정'!$B$6,OR(G642="신규",G642="소멸",F642&gt;='기준설정'!$B$5)),"원인분석 대상","일반"))</x:f>
      </x:c>
      <x:c r="I642" s="73" t="str">
        <x:f>IF(A642="","",IF(H642="원인분석 대상","세부원인분석 시트에서 거래별 원인을 검토","-"))</x:f>
      </x:c>
      <x:c r="J642" s="73" t="str">
        <x:f>IF(A642="","",COUNTIFS('전기원장'!$A$5:$A$1004,A642,'전기원장'!$J$5:$J$1004,"확인 필요")+COUNTIFS('당기원장'!$A$5:$A$1004,A642,'당기원장'!$J$5:$J$1004,"확인 필요"))</x:f>
      </x:c>
      <x:c r="K642" s="85" t="str">
        <x:f>IF(A642="","",IF(H642&lt;&gt;"원인분석 대상","",IF(J642&gt;0,"붙임 문서 확인 후 원인 확정 필요","결의서명 기반 원인분류 검토")))</x:f>
      </x:c>
    </x:row>
    <x:row r="643">
      <x:c r="A643" s="73" t="str">
        <x:f>IFERROR(INDEX('계산도우미'!$B$5:$B$2004,MATCH(ROWS($A$5:A643),'계산도우미'!$K$5:$K$2004,0)),"")</x:f>
      </x:c>
      <x:c r="B643" s="73" t="str">
        <x:f>IF(A643="","",IFERROR(INDEX('당기원장'!$B$5:$B$1004,MATCH(A643,'당기원장'!$A$5:$A$1004,0)),IFERROR(INDEX('전기원장'!$B$5:$B$1004,MATCH(A643,'전기원장'!$A$5:$A$1004,0)),"")))</x:f>
      </x:c>
      <x:c r="C643" s="75" t="str">
        <x:f>IF(A643="","",SUMIF('전기원장'!$A$5:$A$1004,A643,'전기원장'!$H$5:$H$1004))</x:f>
      </x:c>
      <x:c r="D643" s="75" t="str">
        <x:f>IF(A643="","",SUMIF('당기원장'!$A$5:$A$1004,A643,'당기원장'!$H$5:$H$1004))</x:f>
      </x:c>
      <x:c r="E643" s="75" t="str">
        <x:f>IF(A643="","",D643-C643)</x:f>
      </x:c>
      <x:c r="F643" s="88" t="str">
        <x:f>IF(A643="","",IF(C643=0,IF(D643=0,0,1),ABS(E643)/ABS(C643)))</x:f>
      </x:c>
      <x:c r="G643" s="73" t="str">
        <x:f>IF(A643="","",IF(AND(C643=0,D643&lt;&gt;0),"신규",IF(AND(C643&lt;&gt;0,D643=0),"소멸",IF(E643=0,"변동없음","금액변동"))))</x:f>
      </x:c>
      <x:c r="H643" s="73" t="str">
        <x:f>IF(A643="","",IF(AND(ABS(E643)&gt;='기준설정'!$B$6,OR(G643="신규",G643="소멸",F643&gt;='기준설정'!$B$5)),"원인분석 대상","일반"))</x:f>
      </x:c>
      <x:c r="I643" s="73" t="str">
        <x:f>IF(A643="","",IF(H643="원인분석 대상","세부원인분석 시트에서 거래별 원인을 검토","-"))</x:f>
      </x:c>
      <x:c r="J643" s="73" t="str">
        <x:f>IF(A643="","",COUNTIFS('전기원장'!$A$5:$A$1004,A643,'전기원장'!$J$5:$J$1004,"확인 필요")+COUNTIFS('당기원장'!$A$5:$A$1004,A643,'당기원장'!$J$5:$J$1004,"확인 필요"))</x:f>
      </x:c>
      <x:c r="K643" s="85" t="str">
        <x:f>IF(A643="","",IF(H643&lt;&gt;"원인분석 대상","",IF(J643&gt;0,"붙임 문서 확인 후 원인 확정 필요","결의서명 기반 원인분류 검토")))</x:f>
      </x:c>
    </x:row>
    <x:row r="644">
      <x:c r="A644" s="73" t="str">
        <x:f>IFERROR(INDEX('계산도우미'!$B$5:$B$2004,MATCH(ROWS($A$5:A644),'계산도우미'!$K$5:$K$2004,0)),"")</x:f>
      </x:c>
      <x:c r="B644" s="73" t="str">
        <x:f>IF(A644="","",IFERROR(INDEX('당기원장'!$B$5:$B$1004,MATCH(A644,'당기원장'!$A$5:$A$1004,0)),IFERROR(INDEX('전기원장'!$B$5:$B$1004,MATCH(A644,'전기원장'!$A$5:$A$1004,0)),"")))</x:f>
      </x:c>
      <x:c r="C644" s="75" t="str">
        <x:f>IF(A644="","",SUMIF('전기원장'!$A$5:$A$1004,A644,'전기원장'!$H$5:$H$1004))</x:f>
      </x:c>
      <x:c r="D644" s="75" t="str">
        <x:f>IF(A644="","",SUMIF('당기원장'!$A$5:$A$1004,A644,'당기원장'!$H$5:$H$1004))</x:f>
      </x:c>
      <x:c r="E644" s="75" t="str">
        <x:f>IF(A644="","",D644-C644)</x:f>
      </x:c>
      <x:c r="F644" s="88" t="str">
        <x:f>IF(A644="","",IF(C644=0,IF(D644=0,0,1),ABS(E644)/ABS(C644)))</x:f>
      </x:c>
      <x:c r="G644" s="73" t="str">
        <x:f>IF(A644="","",IF(AND(C644=0,D644&lt;&gt;0),"신규",IF(AND(C644&lt;&gt;0,D644=0),"소멸",IF(E644=0,"변동없음","금액변동"))))</x:f>
      </x:c>
      <x:c r="H644" s="73" t="str">
        <x:f>IF(A644="","",IF(AND(ABS(E644)&gt;='기준설정'!$B$6,OR(G644="신규",G644="소멸",F644&gt;='기준설정'!$B$5)),"원인분석 대상","일반"))</x:f>
      </x:c>
      <x:c r="I644" s="73" t="str">
        <x:f>IF(A644="","",IF(H644="원인분석 대상","세부원인분석 시트에서 거래별 원인을 검토","-"))</x:f>
      </x:c>
      <x:c r="J644" s="73" t="str">
        <x:f>IF(A644="","",COUNTIFS('전기원장'!$A$5:$A$1004,A644,'전기원장'!$J$5:$J$1004,"확인 필요")+COUNTIFS('당기원장'!$A$5:$A$1004,A644,'당기원장'!$J$5:$J$1004,"확인 필요"))</x:f>
      </x:c>
      <x:c r="K644" s="85" t="str">
        <x:f>IF(A644="","",IF(H644&lt;&gt;"원인분석 대상","",IF(J644&gt;0,"붙임 문서 확인 후 원인 확정 필요","결의서명 기반 원인분류 검토")))</x:f>
      </x:c>
    </x:row>
    <x:row r="645">
      <x:c r="A645" s="73" t="str">
        <x:f>IFERROR(INDEX('계산도우미'!$B$5:$B$2004,MATCH(ROWS($A$5:A645),'계산도우미'!$K$5:$K$2004,0)),"")</x:f>
      </x:c>
      <x:c r="B645" s="73" t="str">
        <x:f>IF(A645="","",IFERROR(INDEX('당기원장'!$B$5:$B$1004,MATCH(A645,'당기원장'!$A$5:$A$1004,0)),IFERROR(INDEX('전기원장'!$B$5:$B$1004,MATCH(A645,'전기원장'!$A$5:$A$1004,0)),"")))</x:f>
      </x:c>
      <x:c r="C645" s="75" t="str">
        <x:f>IF(A645="","",SUMIF('전기원장'!$A$5:$A$1004,A645,'전기원장'!$H$5:$H$1004))</x:f>
      </x:c>
      <x:c r="D645" s="75" t="str">
        <x:f>IF(A645="","",SUMIF('당기원장'!$A$5:$A$1004,A645,'당기원장'!$H$5:$H$1004))</x:f>
      </x:c>
      <x:c r="E645" s="75" t="str">
        <x:f>IF(A645="","",D645-C645)</x:f>
      </x:c>
      <x:c r="F645" s="88" t="str">
        <x:f>IF(A645="","",IF(C645=0,IF(D645=0,0,1),ABS(E645)/ABS(C645)))</x:f>
      </x:c>
      <x:c r="G645" s="73" t="str">
        <x:f>IF(A645="","",IF(AND(C645=0,D645&lt;&gt;0),"신규",IF(AND(C645&lt;&gt;0,D645=0),"소멸",IF(E645=0,"변동없음","금액변동"))))</x:f>
      </x:c>
      <x:c r="H645" s="73" t="str">
        <x:f>IF(A645="","",IF(AND(ABS(E645)&gt;='기준설정'!$B$6,OR(G645="신규",G645="소멸",F645&gt;='기준설정'!$B$5)),"원인분석 대상","일반"))</x:f>
      </x:c>
      <x:c r="I645" s="73" t="str">
        <x:f>IF(A645="","",IF(H645="원인분석 대상","세부원인분석 시트에서 거래별 원인을 검토","-"))</x:f>
      </x:c>
      <x:c r="J645" s="73" t="str">
        <x:f>IF(A645="","",COUNTIFS('전기원장'!$A$5:$A$1004,A645,'전기원장'!$J$5:$J$1004,"확인 필요")+COUNTIFS('당기원장'!$A$5:$A$1004,A645,'당기원장'!$J$5:$J$1004,"확인 필요"))</x:f>
      </x:c>
      <x:c r="K645" s="85" t="str">
        <x:f>IF(A645="","",IF(H645&lt;&gt;"원인분석 대상","",IF(J645&gt;0,"붙임 문서 확인 후 원인 확정 필요","결의서명 기반 원인분류 검토")))</x:f>
      </x:c>
    </x:row>
    <x:row r="646">
      <x:c r="A646" s="73" t="str">
        <x:f>IFERROR(INDEX('계산도우미'!$B$5:$B$2004,MATCH(ROWS($A$5:A646),'계산도우미'!$K$5:$K$2004,0)),"")</x:f>
      </x:c>
      <x:c r="B646" s="73" t="str">
        <x:f>IF(A646="","",IFERROR(INDEX('당기원장'!$B$5:$B$1004,MATCH(A646,'당기원장'!$A$5:$A$1004,0)),IFERROR(INDEX('전기원장'!$B$5:$B$1004,MATCH(A646,'전기원장'!$A$5:$A$1004,0)),"")))</x:f>
      </x:c>
      <x:c r="C646" s="75" t="str">
        <x:f>IF(A646="","",SUMIF('전기원장'!$A$5:$A$1004,A646,'전기원장'!$H$5:$H$1004))</x:f>
      </x:c>
      <x:c r="D646" s="75" t="str">
        <x:f>IF(A646="","",SUMIF('당기원장'!$A$5:$A$1004,A646,'당기원장'!$H$5:$H$1004))</x:f>
      </x:c>
      <x:c r="E646" s="75" t="str">
        <x:f>IF(A646="","",D646-C646)</x:f>
      </x:c>
      <x:c r="F646" s="88" t="str">
        <x:f>IF(A646="","",IF(C646=0,IF(D646=0,0,1),ABS(E646)/ABS(C646)))</x:f>
      </x:c>
      <x:c r="G646" s="73" t="str">
        <x:f>IF(A646="","",IF(AND(C646=0,D646&lt;&gt;0),"신규",IF(AND(C646&lt;&gt;0,D646=0),"소멸",IF(E646=0,"변동없음","금액변동"))))</x:f>
      </x:c>
      <x:c r="H646" s="73" t="str">
        <x:f>IF(A646="","",IF(AND(ABS(E646)&gt;='기준설정'!$B$6,OR(G646="신규",G646="소멸",F646&gt;='기준설정'!$B$5)),"원인분석 대상","일반"))</x:f>
      </x:c>
      <x:c r="I646" s="73" t="str">
        <x:f>IF(A646="","",IF(H646="원인분석 대상","세부원인분석 시트에서 거래별 원인을 검토","-"))</x:f>
      </x:c>
      <x:c r="J646" s="73" t="str">
        <x:f>IF(A646="","",COUNTIFS('전기원장'!$A$5:$A$1004,A646,'전기원장'!$J$5:$J$1004,"확인 필요")+COUNTIFS('당기원장'!$A$5:$A$1004,A646,'당기원장'!$J$5:$J$1004,"확인 필요"))</x:f>
      </x:c>
      <x:c r="K646" s="85" t="str">
        <x:f>IF(A646="","",IF(H646&lt;&gt;"원인분석 대상","",IF(J646&gt;0,"붙임 문서 확인 후 원인 확정 필요","결의서명 기반 원인분류 검토")))</x:f>
      </x:c>
    </x:row>
    <x:row r="647">
      <x:c r="A647" s="73" t="str">
        <x:f>IFERROR(INDEX('계산도우미'!$B$5:$B$2004,MATCH(ROWS($A$5:A647),'계산도우미'!$K$5:$K$2004,0)),"")</x:f>
      </x:c>
      <x:c r="B647" s="73" t="str">
        <x:f>IF(A647="","",IFERROR(INDEX('당기원장'!$B$5:$B$1004,MATCH(A647,'당기원장'!$A$5:$A$1004,0)),IFERROR(INDEX('전기원장'!$B$5:$B$1004,MATCH(A647,'전기원장'!$A$5:$A$1004,0)),"")))</x:f>
      </x:c>
      <x:c r="C647" s="75" t="str">
        <x:f>IF(A647="","",SUMIF('전기원장'!$A$5:$A$1004,A647,'전기원장'!$H$5:$H$1004))</x:f>
      </x:c>
      <x:c r="D647" s="75" t="str">
        <x:f>IF(A647="","",SUMIF('당기원장'!$A$5:$A$1004,A647,'당기원장'!$H$5:$H$1004))</x:f>
      </x:c>
      <x:c r="E647" s="75" t="str">
        <x:f>IF(A647="","",D647-C647)</x:f>
      </x:c>
      <x:c r="F647" s="88" t="str">
        <x:f>IF(A647="","",IF(C647=0,IF(D647=0,0,1),ABS(E647)/ABS(C647)))</x:f>
      </x:c>
      <x:c r="G647" s="73" t="str">
        <x:f>IF(A647="","",IF(AND(C647=0,D647&lt;&gt;0),"신규",IF(AND(C647&lt;&gt;0,D647=0),"소멸",IF(E647=0,"변동없음","금액변동"))))</x:f>
      </x:c>
      <x:c r="H647" s="73" t="str">
        <x:f>IF(A647="","",IF(AND(ABS(E647)&gt;='기준설정'!$B$6,OR(G647="신규",G647="소멸",F647&gt;='기준설정'!$B$5)),"원인분석 대상","일반"))</x:f>
      </x:c>
      <x:c r="I647" s="73" t="str">
        <x:f>IF(A647="","",IF(H647="원인분석 대상","세부원인분석 시트에서 거래별 원인을 검토","-"))</x:f>
      </x:c>
      <x:c r="J647" s="73" t="str">
        <x:f>IF(A647="","",COUNTIFS('전기원장'!$A$5:$A$1004,A647,'전기원장'!$J$5:$J$1004,"확인 필요")+COUNTIFS('당기원장'!$A$5:$A$1004,A647,'당기원장'!$J$5:$J$1004,"확인 필요"))</x:f>
      </x:c>
      <x:c r="K647" s="85" t="str">
        <x:f>IF(A647="","",IF(H647&lt;&gt;"원인분석 대상","",IF(J647&gt;0,"붙임 문서 확인 후 원인 확정 필요","결의서명 기반 원인분류 검토")))</x:f>
      </x:c>
    </x:row>
    <x:row r="648">
      <x:c r="A648" s="73" t="str">
        <x:f>IFERROR(INDEX('계산도우미'!$B$5:$B$2004,MATCH(ROWS($A$5:A648),'계산도우미'!$K$5:$K$2004,0)),"")</x:f>
      </x:c>
      <x:c r="B648" s="73" t="str">
        <x:f>IF(A648="","",IFERROR(INDEX('당기원장'!$B$5:$B$1004,MATCH(A648,'당기원장'!$A$5:$A$1004,0)),IFERROR(INDEX('전기원장'!$B$5:$B$1004,MATCH(A648,'전기원장'!$A$5:$A$1004,0)),"")))</x:f>
      </x:c>
      <x:c r="C648" s="75" t="str">
        <x:f>IF(A648="","",SUMIF('전기원장'!$A$5:$A$1004,A648,'전기원장'!$H$5:$H$1004))</x:f>
      </x:c>
      <x:c r="D648" s="75" t="str">
        <x:f>IF(A648="","",SUMIF('당기원장'!$A$5:$A$1004,A648,'당기원장'!$H$5:$H$1004))</x:f>
      </x:c>
      <x:c r="E648" s="75" t="str">
        <x:f>IF(A648="","",D648-C648)</x:f>
      </x:c>
      <x:c r="F648" s="88" t="str">
        <x:f>IF(A648="","",IF(C648=0,IF(D648=0,0,1),ABS(E648)/ABS(C648)))</x:f>
      </x:c>
      <x:c r="G648" s="73" t="str">
        <x:f>IF(A648="","",IF(AND(C648=0,D648&lt;&gt;0),"신규",IF(AND(C648&lt;&gt;0,D648=0),"소멸",IF(E648=0,"변동없음","금액변동"))))</x:f>
      </x:c>
      <x:c r="H648" s="73" t="str">
        <x:f>IF(A648="","",IF(AND(ABS(E648)&gt;='기준설정'!$B$6,OR(G648="신규",G648="소멸",F648&gt;='기준설정'!$B$5)),"원인분석 대상","일반"))</x:f>
      </x:c>
      <x:c r="I648" s="73" t="str">
        <x:f>IF(A648="","",IF(H648="원인분석 대상","세부원인분석 시트에서 거래별 원인을 검토","-"))</x:f>
      </x:c>
      <x:c r="J648" s="73" t="str">
        <x:f>IF(A648="","",COUNTIFS('전기원장'!$A$5:$A$1004,A648,'전기원장'!$J$5:$J$1004,"확인 필요")+COUNTIFS('당기원장'!$A$5:$A$1004,A648,'당기원장'!$J$5:$J$1004,"확인 필요"))</x:f>
      </x:c>
      <x:c r="K648" s="85" t="str">
        <x:f>IF(A648="","",IF(H648&lt;&gt;"원인분석 대상","",IF(J648&gt;0,"붙임 문서 확인 후 원인 확정 필요","결의서명 기반 원인분류 검토")))</x:f>
      </x:c>
    </x:row>
    <x:row r="649">
      <x:c r="A649" s="73" t="str">
        <x:f>IFERROR(INDEX('계산도우미'!$B$5:$B$2004,MATCH(ROWS($A$5:A649),'계산도우미'!$K$5:$K$2004,0)),"")</x:f>
      </x:c>
      <x:c r="B649" s="73" t="str">
        <x:f>IF(A649="","",IFERROR(INDEX('당기원장'!$B$5:$B$1004,MATCH(A649,'당기원장'!$A$5:$A$1004,0)),IFERROR(INDEX('전기원장'!$B$5:$B$1004,MATCH(A649,'전기원장'!$A$5:$A$1004,0)),"")))</x:f>
      </x:c>
      <x:c r="C649" s="75" t="str">
        <x:f>IF(A649="","",SUMIF('전기원장'!$A$5:$A$1004,A649,'전기원장'!$H$5:$H$1004))</x:f>
      </x:c>
      <x:c r="D649" s="75" t="str">
        <x:f>IF(A649="","",SUMIF('당기원장'!$A$5:$A$1004,A649,'당기원장'!$H$5:$H$1004))</x:f>
      </x:c>
      <x:c r="E649" s="75" t="str">
        <x:f>IF(A649="","",D649-C649)</x:f>
      </x:c>
      <x:c r="F649" s="88" t="str">
        <x:f>IF(A649="","",IF(C649=0,IF(D649=0,0,1),ABS(E649)/ABS(C649)))</x:f>
      </x:c>
      <x:c r="G649" s="73" t="str">
        <x:f>IF(A649="","",IF(AND(C649=0,D649&lt;&gt;0),"신규",IF(AND(C649&lt;&gt;0,D649=0),"소멸",IF(E649=0,"변동없음","금액변동"))))</x:f>
      </x:c>
      <x:c r="H649" s="73" t="str">
        <x:f>IF(A649="","",IF(AND(ABS(E649)&gt;='기준설정'!$B$6,OR(G649="신규",G649="소멸",F649&gt;='기준설정'!$B$5)),"원인분석 대상","일반"))</x:f>
      </x:c>
      <x:c r="I649" s="73" t="str">
        <x:f>IF(A649="","",IF(H649="원인분석 대상","세부원인분석 시트에서 거래별 원인을 검토","-"))</x:f>
      </x:c>
      <x:c r="J649" s="73" t="str">
        <x:f>IF(A649="","",COUNTIFS('전기원장'!$A$5:$A$1004,A649,'전기원장'!$J$5:$J$1004,"확인 필요")+COUNTIFS('당기원장'!$A$5:$A$1004,A649,'당기원장'!$J$5:$J$1004,"확인 필요"))</x:f>
      </x:c>
      <x:c r="K649" s="85" t="str">
        <x:f>IF(A649="","",IF(H649&lt;&gt;"원인분석 대상","",IF(J649&gt;0,"붙임 문서 확인 후 원인 확정 필요","결의서명 기반 원인분류 검토")))</x:f>
      </x:c>
    </x:row>
    <x:row r="650">
      <x:c r="A650" s="73" t="str">
        <x:f>IFERROR(INDEX('계산도우미'!$B$5:$B$2004,MATCH(ROWS($A$5:A650),'계산도우미'!$K$5:$K$2004,0)),"")</x:f>
      </x:c>
      <x:c r="B650" s="73" t="str">
        <x:f>IF(A650="","",IFERROR(INDEX('당기원장'!$B$5:$B$1004,MATCH(A650,'당기원장'!$A$5:$A$1004,0)),IFERROR(INDEX('전기원장'!$B$5:$B$1004,MATCH(A650,'전기원장'!$A$5:$A$1004,0)),"")))</x:f>
      </x:c>
      <x:c r="C650" s="75" t="str">
        <x:f>IF(A650="","",SUMIF('전기원장'!$A$5:$A$1004,A650,'전기원장'!$H$5:$H$1004))</x:f>
      </x:c>
      <x:c r="D650" s="75" t="str">
        <x:f>IF(A650="","",SUMIF('당기원장'!$A$5:$A$1004,A650,'당기원장'!$H$5:$H$1004))</x:f>
      </x:c>
      <x:c r="E650" s="75" t="str">
        <x:f>IF(A650="","",D650-C650)</x:f>
      </x:c>
      <x:c r="F650" s="88" t="str">
        <x:f>IF(A650="","",IF(C650=0,IF(D650=0,0,1),ABS(E650)/ABS(C650)))</x:f>
      </x:c>
      <x:c r="G650" s="73" t="str">
        <x:f>IF(A650="","",IF(AND(C650=0,D650&lt;&gt;0),"신규",IF(AND(C650&lt;&gt;0,D650=0),"소멸",IF(E650=0,"변동없음","금액변동"))))</x:f>
      </x:c>
      <x:c r="H650" s="73" t="str">
        <x:f>IF(A650="","",IF(AND(ABS(E650)&gt;='기준설정'!$B$6,OR(G650="신규",G650="소멸",F650&gt;='기준설정'!$B$5)),"원인분석 대상","일반"))</x:f>
      </x:c>
      <x:c r="I650" s="73" t="str">
        <x:f>IF(A650="","",IF(H650="원인분석 대상","세부원인분석 시트에서 거래별 원인을 검토","-"))</x:f>
      </x:c>
      <x:c r="J650" s="73" t="str">
        <x:f>IF(A650="","",COUNTIFS('전기원장'!$A$5:$A$1004,A650,'전기원장'!$J$5:$J$1004,"확인 필요")+COUNTIFS('당기원장'!$A$5:$A$1004,A650,'당기원장'!$J$5:$J$1004,"확인 필요"))</x:f>
      </x:c>
      <x:c r="K650" s="85" t="str">
        <x:f>IF(A650="","",IF(H650&lt;&gt;"원인분석 대상","",IF(J650&gt;0,"붙임 문서 확인 후 원인 확정 필요","결의서명 기반 원인분류 검토")))</x:f>
      </x:c>
    </x:row>
    <x:row r="651">
      <x:c r="A651" s="73" t="str">
        <x:f>IFERROR(INDEX('계산도우미'!$B$5:$B$2004,MATCH(ROWS($A$5:A651),'계산도우미'!$K$5:$K$2004,0)),"")</x:f>
      </x:c>
      <x:c r="B651" s="73" t="str">
        <x:f>IF(A651="","",IFERROR(INDEX('당기원장'!$B$5:$B$1004,MATCH(A651,'당기원장'!$A$5:$A$1004,0)),IFERROR(INDEX('전기원장'!$B$5:$B$1004,MATCH(A651,'전기원장'!$A$5:$A$1004,0)),"")))</x:f>
      </x:c>
      <x:c r="C651" s="75" t="str">
        <x:f>IF(A651="","",SUMIF('전기원장'!$A$5:$A$1004,A651,'전기원장'!$H$5:$H$1004))</x:f>
      </x:c>
      <x:c r="D651" s="75" t="str">
        <x:f>IF(A651="","",SUMIF('당기원장'!$A$5:$A$1004,A651,'당기원장'!$H$5:$H$1004))</x:f>
      </x:c>
      <x:c r="E651" s="75" t="str">
        <x:f>IF(A651="","",D651-C651)</x:f>
      </x:c>
      <x:c r="F651" s="88" t="str">
        <x:f>IF(A651="","",IF(C651=0,IF(D651=0,0,1),ABS(E651)/ABS(C651)))</x:f>
      </x:c>
      <x:c r="G651" s="73" t="str">
        <x:f>IF(A651="","",IF(AND(C651=0,D651&lt;&gt;0),"신규",IF(AND(C651&lt;&gt;0,D651=0),"소멸",IF(E651=0,"변동없음","금액변동"))))</x:f>
      </x:c>
      <x:c r="H651" s="73" t="str">
        <x:f>IF(A651="","",IF(AND(ABS(E651)&gt;='기준설정'!$B$6,OR(G651="신규",G651="소멸",F651&gt;='기준설정'!$B$5)),"원인분석 대상","일반"))</x:f>
      </x:c>
      <x:c r="I651" s="73" t="str">
        <x:f>IF(A651="","",IF(H651="원인분석 대상","세부원인분석 시트에서 거래별 원인을 검토","-"))</x:f>
      </x:c>
      <x:c r="J651" s="73" t="str">
        <x:f>IF(A651="","",COUNTIFS('전기원장'!$A$5:$A$1004,A651,'전기원장'!$J$5:$J$1004,"확인 필요")+COUNTIFS('당기원장'!$A$5:$A$1004,A651,'당기원장'!$J$5:$J$1004,"확인 필요"))</x:f>
      </x:c>
      <x:c r="K651" s="85" t="str">
        <x:f>IF(A651="","",IF(H651&lt;&gt;"원인분석 대상","",IF(J651&gt;0,"붙임 문서 확인 후 원인 확정 필요","결의서명 기반 원인분류 검토")))</x:f>
      </x:c>
    </x:row>
    <x:row r="652">
      <x:c r="A652" s="73" t="str">
        <x:f>IFERROR(INDEX('계산도우미'!$B$5:$B$2004,MATCH(ROWS($A$5:A652),'계산도우미'!$K$5:$K$2004,0)),"")</x:f>
      </x:c>
      <x:c r="B652" s="73" t="str">
        <x:f>IF(A652="","",IFERROR(INDEX('당기원장'!$B$5:$B$1004,MATCH(A652,'당기원장'!$A$5:$A$1004,0)),IFERROR(INDEX('전기원장'!$B$5:$B$1004,MATCH(A652,'전기원장'!$A$5:$A$1004,0)),"")))</x:f>
      </x:c>
      <x:c r="C652" s="75" t="str">
        <x:f>IF(A652="","",SUMIF('전기원장'!$A$5:$A$1004,A652,'전기원장'!$H$5:$H$1004))</x:f>
      </x:c>
      <x:c r="D652" s="75" t="str">
        <x:f>IF(A652="","",SUMIF('당기원장'!$A$5:$A$1004,A652,'당기원장'!$H$5:$H$1004))</x:f>
      </x:c>
      <x:c r="E652" s="75" t="str">
        <x:f>IF(A652="","",D652-C652)</x:f>
      </x:c>
      <x:c r="F652" s="88" t="str">
        <x:f>IF(A652="","",IF(C652=0,IF(D652=0,0,1),ABS(E652)/ABS(C652)))</x:f>
      </x:c>
      <x:c r="G652" s="73" t="str">
        <x:f>IF(A652="","",IF(AND(C652=0,D652&lt;&gt;0),"신규",IF(AND(C652&lt;&gt;0,D652=0),"소멸",IF(E652=0,"변동없음","금액변동"))))</x:f>
      </x:c>
      <x:c r="H652" s="73" t="str">
        <x:f>IF(A652="","",IF(AND(ABS(E652)&gt;='기준설정'!$B$6,OR(G652="신규",G652="소멸",F652&gt;='기준설정'!$B$5)),"원인분석 대상","일반"))</x:f>
      </x:c>
      <x:c r="I652" s="73" t="str">
        <x:f>IF(A652="","",IF(H652="원인분석 대상","세부원인분석 시트에서 거래별 원인을 검토","-"))</x:f>
      </x:c>
      <x:c r="J652" s="73" t="str">
        <x:f>IF(A652="","",COUNTIFS('전기원장'!$A$5:$A$1004,A652,'전기원장'!$J$5:$J$1004,"확인 필요")+COUNTIFS('당기원장'!$A$5:$A$1004,A652,'당기원장'!$J$5:$J$1004,"확인 필요"))</x:f>
      </x:c>
      <x:c r="K652" s="85" t="str">
        <x:f>IF(A652="","",IF(H652&lt;&gt;"원인분석 대상","",IF(J652&gt;0,"붙임 문서 확인 후 원인 확정 필요","결의서명 기반 원인분류 검토")))</x:f>
      </x:c>
    </x:row>
    <x:row r="653">
      <x:c r="A653" s="73" t="str">
        <x:f>IFERROR(INDEX('계산도우미'!$B$5:$B$2004,MATCH(ROWS($A$5:A653),'계산도우미'!$K$5:$K$2004,0)),"")</x:f>
      </x:c>
      <x:c r="B653" s="73" t="str">
        <x:f>IF(A653="","",IFERROR(INDEX('당기원장'!$B$5:$B$1004,MATCH(A653,'당기원장'!$A$5:$A$1004,0)),IFERROR(INDEX('전기원장'!$B$5:$B$1004,MATCH(A653,'전기원장'!$A$5:$A$1004,0)),"")))</x:f>
      </x:c>
      <x:c r="C653" s="75" t="str">
        <x:f>IF(A653="","",SUMIF('전기원장'!$A$5:$A$1004,A653,'전기원장'!$H$5:$H$1004))</x:f>
      </x:c>
      <x:c r="D653" s="75" t="str">
        <x:f>IF(A653="","",SUMIF('당기원장'!$A$5:$A$1004,A653,'당기원장'!$H$5:$H$1004))</x:f>
      </x:c>
      <x:c r="E653" s="75" t="str">
        <x:f>IF(A653="","",D653-C653)</x:f>
      </x:c>
      <x:c r="F653" s="88" t="str">
        <x:f>IF(A653="","",IF(C653=0,IF(D653=0,0,1),ABS(E653)/ABS(C653)))</x:f>
      </x:c>
      <x:c r="G653" s="73" t="str">
        <x:f>IF(A653="","",IF(AND(C653=0,D653&lt;&gt;0),"신규",IF(AND(C653&lt;&gt;0,D653=0),"소멸",IF(E653=0,"변동없음","금액변동"))))</x:f>
      </x:c>
      <x:c r="H653" s="73" t="str">
        <x:f>IF(A653="","",IF(AND(ABS(E653)&gt;='기준설정'!$B$6,OR(G653="신규",G653="소멸",F653&gt;='기준설정'!$B$5)),"원인분석 대상","일반"))</x:f>
      </x:c>
      <x:c r="I653" s="73" t="str">
        <x:f>IF(A653="","",IF(H653="원인분석 대상","세부원인분석 시트에서 거래별 원인을 검토","-"))</x:f>
      </x:c>
      <x:c r="J653" s="73" t="str">
        <x:f>IF(A653="","",COUNTIFS('전기원장'!$A$5:$A$1004,A653,'전기원장'!$J$5:$J$1004,"확인 필요")+COUNTIFS('당기원장'!$A$5:$A$1004,A653,'당기원장'!$J$5:$J$1004,"확인 필요"))</x:f>
      </x:c>
      <x:c r="K653" s="85" t="str">
        <x:f>IF(A653="","",IF(H653&lt;&gt;"원인분석 대상","",IF(J653&gt;0,"붙임 문서 확인 후 원인 확정 필요","결의서명 기반 원인분류 검토")))</x:f>
      </x:c>
    </x:row>
    <x:row r="654">
      <x:c r="A654" s="73" t="str">
        <x:f>IFERROR(INDEX('계산도우미'!$B$5:$B$2004,MATCH(ROWS($A$5:A654),'계산도우미'!$K$5:$K$2004,0)),"")</x:f>
      </x:c>
      <x:c r="B654" s="73" t="str">
        <x:f>IF(A654="","",IFERROR(INDEX('당기원장'!$B$5:$B$1004,MATCH(A654,'당기원장'!$A$5:$A$1004,0)),IFERROR(INDEX('전기원장'!$B$5:$B$1004,MATCH(A654,'전기원장'!$A$5:$A$1004,0)),"")))</x:f>
      </x:c>
      <x:c r="C654" s="75" t="str">
        <x:f>IF(A654="","",SUMIF('전기원장'!$A$5:$A$1004,A654,'전기원장'!$H$5:$H$1004))</x:f>
      </x:c>
      <x:c r="D654" s="75" t="str">
        <x:f>IF(A654="","",SUMIF('당기원장'!$A$5:$A$1004,A654,'당기원장'!$H$5:$H$1004))</x:f>
      </x:c>
      <x:c r="E654" s="75" t="str">
        <x:f>IF(A654="","",D654-C654)</x:f>
      </x:c>
      <x:c r="F654" s="88" t="str">
        <x:f>IF(A654="","",IF(C654=0,IF(D654=0,0,1),ABS(E654)/ABS(C654)))</x:f>
      </x:c>
      <x:c r="G654" s="73" t="str">
        <x:f>IF(A654="","",IF(AND(C654=0,D654&lt;&gt;0),"신규",IF(AND(C654&lt;&gt;0,D654=0),"소멸",IF(E654=0,"변동없음","금액변동"))))</x:f>
      </x:c>
      <x:c r="H654" s="73" t="str">
        <x:f>IF(A654="","",IF(AND(ABS(E654)&gt;='기준설정'!$B$6,OR(G654="신규",G654="소멸",F654&gt;='기준설정'!$B$5)),"원인분석 대상","일반"))</x:f>
      </x:c>
      <x:c r="I654" s="73" t="str">
        <x:f>IF(A654="","",IF(H654="원인분석 대상","세부원인분석 시트에서 거래별 원인을 검토","-"))</x:f>
      </x:c>
      <x:c r="J654" s="73" t="str">
        <x:f>IF(A654="","",COUNTIFS('전기원장'!$A$5:$A$1004,A654,'전기원장'!$J$5:$J$1004,"확인 필요")+COUNTIFS('당기원장'!$A$5:$A$1004,A654,'당기원장'!$J$5:$J$1004,"확인 필요"))</x:f>
      </x:c>
      <x:c r="K654" s="85" t="str">
        <x:f>IF(A654="","",IF(H654&lt;&gt;"원인분석 대상","",IF(J654&gt;0,"붙임 문서 확인 후 원인 확정 필요","결의서명 기반 원인분류 검토")))</x:f>
      </x:c>
    </x:row>
    <x:row r="655">
      <x:c r="A655" s="73" t="str">
        <x:f>IFERROR(INDEX('계산도우미'!$B$5:$B$2004,MATCH(ROWS($A$5:A655),'계산도우미'!$K$5:$K$2004,0)),"")</x:f>
      </x:c>
      <x:c r="B655" s="73" t="str">
        <x:f>IF(A655="","",IFERROR(INDEX('당기원장'!$B$5:$B$1004,MATCH(A655,'당기원장'!$A$5:$A$1004,0)),IFERROR(INDEX('전기원장'!$B$5:$B$1004,MATCH(A655,'전기원장'!$A$5:$A$1004,0)),"")))</x:f>
      </x:c>
      <x:c r="C655" s="75" t="str">
        <x:f>IF(A655="","",SUMIF('전기원장'!$A$5:$A$1004,A655,'전기원장'!$H$5:$H$1004))</x:f>
      </x:c>
      <x:c r="D655" s="75" t="str">
        <x:f>IF(A655="","",SUMIF('당기원장'!$A$5:$A$1004,A655,'당기원장'!$H$5:$H$1004))</x:f>
      </x:c>
      <x:c r="E655" s="75" t="str">
        <x:f>IF(A655="","",D655-C655)</x:f>
      </x:c>
      <x:c r="F655" s="88" t="str">
        <x:f>IF(A655="","",IF(C655=0,IF(D655=0,0,1),ABS(E655)/ABS(C655)))</x:f>
      </x:c>
      <x:c r="G655" s="73" t="str">
        <x:f>IF(A655="","",IF(AND(C655=0,D655&lt;&gt;0),"신규",IF(AND(C655&lt;&gt;0,D655=0),"소멸",IF(E655=0,"변동없음","금액변동"))))</x:f>
      </x:c>
      <x:c r="H655" s="73" t="str">
        <x:f>IF(A655="","",IF(AND(ABS(E655)&gt;='기준설정'!$B$6,OR(G655="신규",G655="소멸",F655&gt;='기준설정'!$B$5)),"원인분석 대상","일반"))</x:f>
      </x:c>
      <x:c r="I655" s="73" t="str">
        <x:f>IF(A655="","",IF(H655="원인분석 대상","세부원인분석 시트에서 거래별 원인을 검토","-"))</x:f>
      </x:c>
      <x:c r="J655" s="73" t="str">
        <x:f>IF(A655="","",COUNTIFS('전기원장'!$A$5:$A$1004,A655,'전기원장'!$J$5:$J$1004,"확인 필요")+COUNTIFS('당기원장'!$A$5:$A$1004,A655,'당기원장'!$J$5:$J$1004,"확인 필요"))</x:f>
      </x:c>
      <x:c r="K655" s="85" t="str">
        <x:f>IF(A655="","",IF(H655&lt;&gt;"원인분석 대상","",IF(J655&gt;0,"붙임 문서 확인 후 원인 확정 필요","결의서명 기반 원인분류 검토")))</x:f>
      </x:c>
    </x:row>
    <x:row r="656">
      <x:c r="A656" s="73" t="str">
        <x:f>IFERROR(INDEX('계산도우미'!$B$5:$B$2004,MATCH(ROWS($A$5:A656),'계산도우미'!$K$5:$K$2004,0)),"")</x:f>
      </x:c>
      <x:c r="B656" s="73" t="str">
        <x:f>IF(A656="","",IFERROR(INDEX('당기원장'!$B$5:$B$1004,MATCH(A656,'당기원장'!$A$5:$A$1004,0)),IFERROR(INDEX('전기원장'!$B$5:$B$1004,MATCH(A656,'전기원장'!$A$5:$A$1004,0)),"")))</x:f>
      </x:c>
      <x:c r="C656" s="75" t="str">
        <x:f>IF(A656="","",SUMIF('전기원장'!$A$5:$A$1004,A656,'전기원장'!$H$5:$H$1004))</x:f>
      </x:c>
      <x:c r="D656" s="75" t="str">
        <x:f>IF(A656="","",SUMIF('당기원장'!$A$5:$A$1004,A656,'당기원장'!$H$5:$H$1004))</x:f>
      </x:c>
      <x:c r="E656" s="75" t="str">
        <x:f>IF(A656="","",D656-C656)</x:f>
      </x:c>
      <x:c r="F656" s="88" t="str">
        <x:f>IF(A656="","",IF(C656=0,IF(D656=0,0,1),ABS(E656)/ABS(C656)))</x:f>
      </x:c>
      <x:c r="G656" s="73" t="str">
        <x:f>IF(A656="","",IF(AND(C656=0,D656&lt;&gt;0),"신규",IF(AND(C656&lt;&gt;0,D656=0),"소멸",IF(E656=0,"변동없음","금액변동"))))</x:f>
      </x:c>
      <x:c r="H656" s="73" t="str">
        <x:f>IF(A656="","",IF(AND(ABS(E656)&gt;='기준설정'!$B$6,OR(G656="신규",G656="소멸",F656&gt;='기준설정'!$B$5)),"원인분석 대상","일반"))</x:f>
      </x:c>
      <x:c r="I656" s="73" t="str">
        <x:f>IF(A656="","",IF(H656="원인분석 대상","세부원인분석 시트에서 거래별 원인을 검토","-"))</x:f>
      </x:c>
      <x:c r="J656" s="73" t="str">
        <x:f>IF(A656="","",COUNTIFS('전기원장'!$A$5:$A$1004,A656,'전기원장'!$J$5:$J$1004,"확인 필요")+COUNTIFS('당기원장'!$A$5:$A$1004,A656,'당기원장'!$J$5:$J$1004,"확인 필요"))</x:f>
      </x:c>
      <x:c r="K656" s="85" t="str">
        <x:f>IF(A656="","",IF(H656&lt;&gt;"원인분석 대상","",IF(J656&gt;0,"붙임 문서 확인 후 원인 확정 필요","결의서명 기반 원인분류 검토")))</x:f>
      </x:c>
    </x:row>
    <x:row r="657">
      <x:c r="A657" s="73" t="str">
        <x:f>IFERROR(INDEX('계산도우미'!$B$5:$B$2004,MATCH(ROWS($A$5:A657),'계산도우미'!$K$5:$K$2004,0)),"")</x:f>
      </x:c>
      <x:c r="B657" s="73" t="str">
        <x:f>IF(A657="","",IFERROR(INDEX('당기원장'!$B$5:$B$1004,MATCH(A657,'당기원장'!$A$5:$A$1004,0)),IFERROR(INDEX('전기원장'!$B$5:$B$1004,MATCH(A657,'전기원장'!$A$5:$A$1004,0)),"")))</x:f>
      </x:c>
      <x:c r="C657" s="75" t="str">
        <x:f>IF(A657="","",SUMIF('전기원장'!$A$5:$A$1004,A657,'전기원장'!$H$5:$H$1004))</x:f>
      </x:c>
      <x:c r="D657" s="75" t="str">
        <x:f>IF(A657="","",SUMIF('당기원장'!$A$5:$A$1004,A657,'당기원장'!$H$5:$H$1004))</x:f>
      </x:c>
      <x:c r="E657" s="75" t="str">
        <x:f>IF(A657="","",D657-C657)</x:f>
      </x:c>
      <x:c r="F657" s="88" t="str">
        <x:f>IF(A657="","",IF(C657=0,IF(D657=0,0,1),ABS(E657)/ABS(C657)))</x:f>
      </x:c>
      <x:c r="G657" s="73" t="str">
        <x:f>IF(A657="","",IF(AND(C657=0,D657&lt;&gt;0),"신규",IF(AND(C657&lt;&gt;0,D657=0),"소멸",IF(E657=0,"변동없음","금액변동"))))</x:f>
      </x:c>
      <x:c r="H657" s="73" t="str">
        <x:f>IF(A657="","",IF(AND(ABS(E657)&gt;='기준설정'!$B$6,OR(G657="신규",G657="소멸",F657&gt;='기준설정'!$B$5)),"원인분석 대상","일반"))</x:f>
      </x:c>
      <x:c r="I657" s="73" t="str">
        <x:f>IF(A657="","",IF(H657="원인분석 대상","세부원인분석 시트에서 거래별 원인을 검토","-"))</x:f>
      </x:c>
      <x:c r="J657" s="73" t="str">
        <x:f>IF(A657="","",COUNTIFS('전기원장'!$A$5:$A$1004,A657,'전기원장'!$J$5:$J$1004,"확인 필요")+COUNTIFS('당기원장'!$A$5:$A$1004,A657,'당기원장'!$J$5:$J$1004,"확인 필요"))</x:f>
      </x:c>
      <x:c r="K657" s="85" t="str">
        <x:f>IF(A657="","",IF(H657&lt;&gt;"원인분석 대상","",IF(J657&gt;0,"붙임 문서 확인 후 원인 확정 필요","결의서명 기반 원인분류 검토")))</x:f>
      </x:c>
    </x:row>
    <x:row r="658">
      <x:c r="A658" s="73" t="str">
        <x:f>IFERROR(INDEX('계산도우미'!$B$5:$B$2004,MATCH(ROWS($A$5:A658),'계산도우미'!$K$5:$K$2004,0)),"")</x:f>
      </x:c>
      <x:c r="B658" s="73" t="str">
        <x:f>IF(A658="","",IFERROR(INDEX('당기원장'!$B$5:$B$1004,MATCH(A658,'당기원장'!$A$5:$A$1004,0)),IFERROR(INDEX('전기원장'!$B$5:$B$1004,MATCH(A658,'전기원장'!$A$5:$A$1004,0)),"")))</x:f>
      </x:c>
      <x:c r="C658" s="75" t="str">
        <x:f>IF(A658="","",SUMIF('전기원장'!$A$5:$A$1004,A658,'전기원장'!$H$5:$H$1004))</x:f>
      </x:c>
      <x:c r="D658" s="75" t="str">
        <x:f>IF(A658="","",SUMIF('당기원장'!$A$5:$A$1004,A658,'당기원장'!$H$5:$H$1004))</x:f>
      </x:c>
      <x:c r="E658" s="75" t="str">
        <x:f>IF(A658="","",D658-C658)</x:f>
      </x:c>
      <x:c r="F658" s="88" t="str">
        <x:f>IF(A658="","",IF(C658=0,IF(D658=0,0,1),ABS(E658)/ABS(C658)))</x:f>
      </x:c>
      <x:c r="G658" s="73" t="str">
        <x:f>IF(A658="","",IF(AND(C658=0,D658&lt;&gt;0),"신규",IF(AND(C658&lt;&gt;0,D658=0),"소멸",IF(E658=0,"변동없음","금액변동"))))</x:f>
      </x:c>
      <x:c r="H658" s="73" t="str">
        <x:f>IF(A658="","",IF(AND(ABS(E658)&gt;='기준설정'!$B$6,OR(G658="신규",G658="소멸",F658&gt;='기준설정'!$B$5)),"원인분석 대상","일반"))</x:f>
      </x:c>
      <x:c r="I658" s="73" t="str">
        <x:f>IF(A658="","",IF(H658="원인분석 대상","세부원인분석 시트에서 거래별 원인을 검토","-"))</x:f>
      </x:c>
      <x:c r="J658" s="73" t="str">
        <x:f>IF(A658="","",COUNTIFS('전기원장'!$A$5:$A$1004,A658,'전기원장'!$J$5:$J$1004,"확인 필요")+COUNTIFS('당기원장'!$A$5:$A$1004,A658,'당기원장'!$J$5:$J$1004,"확인 필요"))</x:f>
      </x:c>
      <x:c r="K658" s="85" t="str">
        <x:f>IF(A658="","",IF(H658&lt;&gt;"원인분석 대상","",IF(J658&gt;0,"붙임 문서 확인 후 원인 확정 필요","결의서명 기반 원인분류 검토")))</x:f>
      </x:c>
    </x:row>
    <x:row r="659">
      <x:c r="A659" s="73" t="str">
        <x:f>IFERROR(INDEX('계산도우미'!$B$5:$B$2004,MATCH(ROWS($A$5:A659),'계산도우미'!$K$5:$K$2004,0)),"")</x:f>
      </x:c>
      <x:c r="B659" s="73" t="str">
        <x:f>IF(A659="","",IFERROR(INDEX('당기원장'!$B$5:$B$1004,MATCH(A659,'당기원장'!$A$5:$A$1004,0)),IFERROR(INDEX('전기원장'!$B$5:$B$1004,MATCH(A659,'전기원장'!$A$5:$A$1004,0)),"")))</x:f>
      </x:c>
      <x:c r="C659" s="75" t="str">
        <x:f>IF(A659="","",SUMIF('전기원장'!$A$5:$A$1004,A659,'전기원장'!$H$5:$H$1004))</x:f>
      </x:c>
      <x:c r="D659" s="75" t="str">
        <x:f>IF(A659="","",SUMIF('당기원장'!$A$5:$A$1004,A659,'당기원장'!$H$5:$H$1004))</x:f>
      </x:c>
      <x:c r="E659" s="75" t="str">
        <x:f>IF(A659="","",D659-C659)</x:f>
      </x:c>
      <x:c r="F659" s="88" t="str">
        <x:f>IF(A659="","",IF(C659=0,IF(D659=0,0,1),ABS(E659)/ABS(C659)))</x:f>
      </x:c>
      <x:c r="G659" s="73" t="str">
        <x:f>IF(A659="","",IF(AND(C659=0,D659&lt;&gt;0),"신규",IF(AND(C659&lt;&gt;0,D659=0),"소멸",IF(E659=0,"변동없음","금액변동"))))</x:f>
      </x:c>
      <x:c r="H659" s="73" t="str">
        <x:f>IF(A659="","",IF(AND(ABS(E659)&gt;='기준설정'!$B$6,OR(G659="신규",G659="소멸",F659&gt;='기준설정'!$B$5)),"원인분석 대상","일반"))</x:f>
      </x:c>
      <x:c r="I659" s="73" t="str">
        <x:f>IF(A659="","",IF(H659="원인분석 대상","세부원인분석 시트에서 거래별 원인을 검토","-"))</x:f>
      </x:c>
      <x:c r="J659" s="73" t="str">
        <x:f>IF(A659="","",COUNTIFS('전기원장'!$A$5:$A$1004,A659,'전기원장'!$J$5:$J$1004,"확인 필요")+COUNTIFS('당기원장'!$A$5:$A$1004,A659,'당기원장'!$J$5:$J$1004,"확인 필요"))</x:f>
      </x:c>
      <x:c r="K659" s="85" t="str">
        <x:f>IF(A659="","",IF(H659&lt;&gt;"원인분석 대상","",IF(J659&gt;0,"붙임 문서 확인 후 원인 확정 필요","결의서명 기반 원인분류 검토")))</x:f>
      </x:c>
    </x:row>
    <x:row r="660">
      <x:c r="A660" s="73" t="str">
        <x:f>IFERROR(INDEX('계산도우미'!$B$5:$B$2004,MATCH(ROWS($A$5:A660),'계산도우미'!$K$5:$K$2004,0)),"")</x:f>
      </x:c>
      <x:c r="B660" s="73" t="str">
        <x:f>IF(A660="","",IFERROR(INDEX('당기원장'!$B$5:$B$1004,MATCH(A660,'당기원장'!$A$5:$A$1004,0)),IFERROR(INDEX('전기원장'!$B$5:$B$1004,MATCH(A660,'전기원장'!$A$5:$A$1004,0)),"")))</x:f>
      </x:c>
      <x:c r="C660" s="75" t="str">
        <x:f>IF(A660="","",SUMIF('전기원장'!$A$5:$A$1004,A660,'전기원장'!$H$5:$H$1004))</x:f>
      </x:c>
      <x:c r="D660" s="75" t="str">
        <x:f>IF(A660="","",SUMIF('당기원장'!$A$5:$A$1004,A660,'당기원장'!$H$5:$H$1004))</x:f>
      </x:c>
      <x:c r="E660" s="75" t="str">
        <x:f>IF(A660="","",D660-C660)</x:f>
      </x:c>
      <x:c r="F660" s="88" t="str">
        <x:f>IF(A660="","",IF(C660=0,IF(D660=0,0,1),ABS(E660)/ABS(C660)))</x:f>
      </x:c>
      <x:c r="G660" s="73" t="str">
        <x:f>IF(A660="","",IF(AND(C660=0,D660&lt;&gt;0),"신규",IF(AND(C660&lt;&gt;0,D660=0),"소멸",IF(E660=0,"변동없음","금액변동"))))</x:f>
      </x:c>
      <x:c r="H660" s="73" t="str">
        <x:f>IF(A660="","",IF(AND(ABS(E660)&gt;='기준설정'!$B$6,OR(G660="신규",G660="소멸",F660&gt;='기준설정'!$B$5)),"원인분석 대상","일반"))</x:f>
      </x:c>
      <x:c r="I660" s="73" t="str">
        <x:f>IF(A660="","",IF(H660="원인분석 대상","세부원인분석 시트에서 거래별 원인을 검토","-"))</x:f>
      </x:c>
      <x:c r="J660" s="73" t="str">
        <x:f>IF(A660="","",COUNTIFS('전기원장'!$A$5:$A$1004,A660,'전기원장'!$J$5:$J$1004,"확인 필요")+COUNTIFS('당기원장'!$A$5:$A$1004,A660,'당기원장'!$J$5:$J$1004,"확인 필요"))</x:f>
      </x:c>
      <x:c r="K660" s="85" t="str">
        <x:f>IF(A660="","",IF(H660&lt;&gt;"원인분석 대상","",IF(J660&gt;0,"붙임 문서 확인 후 원인 확정 필요","결의서명 기반 원인분류 검토")))</x:f>
      </x:c>
    </x:row>
    <x:row r="661">
      <x:c r="A661" s="73" t="str">
        <x:f>IFERROR(INDEX('계산도우미'!$B$5:$B$2004,MATCH(ROWS($A$5:A661),'계산도우미'!$K$5:$K$2004,0)),"")</x:f>
      </x:c>
      <x:c r="B661" s="73" t="str">
        <x:f>IF(A661="","",IFERROR(INDEX('당기원장'!$B$5:$B$1004,MATCH(A661,'당기원장'!$A$5:$A$1004,0)),IFERROR(INDEX('전기원장'!$B$5:$B$1004,MATCH(A661,'전기원장'!$A$5:$A$1004,0)),"")))</x:f>
      </x:c>
      <x:c r="C661" s="75" t="str">
        <x:f>IF(A661="","",SUMIF('전기원장'!$A$5:$A$1004,A661,'전기원장'!$H$5:$H$1004))</x:f>
      </x:c>
      <x:c r="D661" s="75" t="str">
        <x:f>IF(A661="","",SUMIF('당기원장'!$A$5:$A$1004,A661,'당기원장'!$H$5:$H$1004))</x:f>
      </x:c>
      <x:c r="E661" s="75" t="str">
        <x:f>IF(A661="","",D661-C661)</x:f>
      </x:c>
      <x:c r="F661" s="88" t="str">
        <x:f>IF(A661="","",IF(C661=0,IF(D661=0,0,1),ABS(E661)/ABS(C661)))</x:f>
      </x:c>
      <x:c r="G661" s="73" t="str">
        <x:f>IF(A661="","",IF(AND(C661=0,D661&lt;&gt;0),"신규",IF(AND(C661&lt;&gt;0,D661=0),"소멸",IF(E661=0,"변동없음","금액변동"))))</x:f>
      </x:c>
      <x:c r="H661" s="73" t="str">
        <x:f>IF(A661="","",IF(AND(ABS(E661)&gt;='기준설정'!$B$6,OR(G661="신규",G661="소멸",F661&gt;='기준설정'!$B$5)),"원인분석 대상","일반"))</x:f>
      </x:c>
      <x:c r="I661" s="73" t="str">
        <x:f>IF(A661="","",IF(H661="원인분석 대상","세부원인분석 시트에서 거래별 원인을 검토","-"))</x:f>
      </x:c>
      <x:c r="J661" s="73" t="str">
        <x:f>IF(A661="","",COUNTIFS('전기원장'!$A$5:$A$1004,A661,'전기원장'!$J$5:$J$1004,"확인 필요")+COUNTIFS('당기원장'!$A$5:$A$1004,A661,'당기원장'!$J$5:$J$1004,"확인 필요"))</x:f>
      </x:c>
      <x:c r="K661" s="85" t="str">
        <x:f>IF(A661="","",IF(H661&lt;&gt;"원인분석 대상","",IF(J661&gt;0,"붙임 문서 확인 후 원인 확정 필요","결의서명 기반 원인분류 검토")))</x:f>
      </x:c>
    </x:row>
    <x:row r="662">
      <x:c r="A662" s="73" t="str">
        <x:f>IFERROR(INDEX('계산도우미'!$B$5:$B$2004,MATCH(ROWS($A$5:A662),'계산도우미'!$K$5:$K$2004,0)),"")</x:f>
      </x:c>
      <x:c r="B662" s="73" t="str">
        <x:f>IF(A662="","",IFERROR(INDEX('당기원장'!$B$5:$B$1004,MATCH(A662,'당기원장'!$A$5:$A$1004,0)),IFERROR(INDEX('전기원장'!$B$5:$B$1004,MATCH(A662,'전기원장'!$A$5:$A$1004,0)),"")))</x:f>
      </x:c>
      <x:c r="C662" s="75" t="str">
        <x:f>IF(A662="","",SUMIF('전기원장'!$A$5:$A$1004,A662,'전기원장'!$H$5:$H$1004))</x:f>
      </x:c>
      <x:c r="D662" s="75" t="str">
        <x:f>IF(A662="","",SUMIF('당기원장'!$A$5:$A$1004,A662,'당기원장'!$H$5:$H$1004))</x:f>
      </x:c>
      <x:c r="E662" s="75" t="str">
        <x:f>IF(A662="","",D662-C662)</x:f>
      </x:c>
      <x:c r="F662" s="88" t="str">
        <x:f>IF(A662="","",IF(C662=0,IF(D662=0,0,1),ABS(E662)/ABS(C662)))</x:f>
      </x:c>
      <x:c r="G662" s="73" t="str">
        <x:f>IF(A662="","",IF(AND(C662=0,D662&lt;&gt;0),"신규",IF(AND(C662&lt;&gt;0,D662=0),"소멸",IF(E662=0,"변동없음","금액변동"))))</x:f>
      </x:c>
      <x:c r="H662" s="73" t="str">
        <x:f>IF(A662="","",IF(AND(ABS(E662)&gt;='기준설정'!$B$6,OR(G662="신규",G662="소멸",F662&gt;='기준설정'!$B$5)),"원인분석 대상","일반"))</x:f>
      </x:c>
      <x:c r="I662" s="73" t="str">
        <x:f>IF(A662="","",IF(H662="원인분석 대상","세부원인분석 시트에서 거래별 원인을 검토","-"))</x:f>
      </x:c>
      <x:c r="J662" s="73" t="str">
        <x:f>IF(A662="","",COUNTIFS('전기원장'!$A$5:$A$1004,A662,'전기원장'!$J$5:$J$1004,"확인 필요")+COUNTIFS('당기원장'!$A$5:$A$1004,A662,'당기원장'!$J$5:$J$1004,"확인 필요"))</x:f>
      </x:c>
      <x:c r="K662" s="85" t="str">
        <x:f>IF(A662="","",IF(H662&lt;&gt;"원인분석 대상","",IF(J662&gt;0,"붙임 문서 확인 후 원인 확정 필요","결의서명 기반 원인분류 검토")))</x:f>
      </x:c>
    </x:row>
    <x:row r="663">
      <x:c r="A663" s="73" t="str">
        <x:f>IFERROR(INDEX('계산도우미'!$B$5:$B$2004,MATCH(ROWS($A$5:A663),'계산도우미'!$K$5:$K$2004,0)),"")</x:f>
      </x:c>
      <x:c r="B663" s="73" t="str">
        <x:f>IF(A663="","",IFERROR(INDEX('당기원장'!$B$5:$B$1004,MATCH(A663,'당기원장'!$A$5:$A$1004,0)),IFERROR(INDEX('전기원장'!$B$5:$B$1004,MATCH(A663,'전기원장'!$A$5:$A$1004,0)),"")))</x:f>
      </x:c>
      <x:c r="C663" s="75" t="str">
        <x:f>IF(A663="","",SUMIF('전기원장'!$A$5:$A$1004,A663,'전기원장'!$H$5:$H$1004))</x:f>
      </x:c>
      <x:c r="D663" s="75" t="str">
        <x:f>IF(A663="","",SUMIF('당기원장'!$A$5:$A$1004,A663,'당기원장'!$H$5:$H$1004))</x:f>
      </x:c>
      <x:c r="E663" s="75" t="str">
        <x:f>IF(A663="","",D663-C663)</x:f>
      </x:c>
      <x:c r="F663" s="88" t="str">
        <x:f>IF(A663="","",IF(C663=0,IF(D663=0,0,1),ABS(E663)/ABS(C663)))</x:f>
      </x:c>
      <x:c r="G663" s="73" t="str">
        <x:f>IF(A663="","",IF(AND(C663=0,D663&lt;&gt;0),"신규",IF(AND(C663&lt;&gt;0,D663=0),"소멸",IF(E663=0,"변동없음","금액변동"))))</x:f>
      </x:c>
      <x:c r="H663" s="73" t="str">
        <x:f>IF(A663="","",IF(AND(ABS(E663)&gt;='기준설정'!$B$6,OR(G663="신규",G663="소멸",F663&gt;='기준설정'!$B$5)),"원인분석 대상","일반"))</x:f>
      </x:c>
      <x:c r="I663" s="73" t="str">
        <x:f>IF(A663="","",IF(H663="원인분석 대상","세부원인분석 시트에서 거래별 원인을 검토","-"))</x:f>
      </x:c>
      <x:c r="J663" s="73" t="str">
        <x:f>IF(A663="","",COUNTIFS('전기원장'!$A$5:$A$1004,A663,'전기원장'!$J$5:$J$1004,"확인 필요")+COUNTIFS('당기원장'!$A$5:$A$1004,A663,'당기원장'!$J$5:$J$1004,"확인 필요"))</x:f>
      </x:c>
      <x:c r="K663" s="85" t="str">
        <x:f>IF(A663="","",IF(H663&lt;&gt;"원인분석 대상","",IF(J663&gt;0,"붙임 문서 확인 후 원인 확정 필요","결의서명 기반 원인분류 검토")))</x:f>
      </x:c>
    </x:row>
    <x:row r="664">
      <x:c r="A664" s="73" t="str">
        <x:f>IFERROR(INDEX('계산도우미'!$B$5:$B$2004,MATCH(ROWS($A$5:A664),'계산도우미'!$K$5:$K$2004,0)),"")</x:f>
      </x:c>
      <x:c r="B664" s="73" t="str">
        <x:f>IF(A664="","",IFERROR(INDEX('당기원장'!$B$5:$B$1004,MATCH(A664,'당기원장'!$A$5:$A$1004,0)),IFERROR(INDEX('전기원장'!$B$5:$B$1004,MATCH(A664,'전기원장'!$A$5:$A$1004,0)),"")))</x:f>
      </x:c>
      <x:c r="C664" s="75" t="str">
        <x:f>IF(A664="","",SUMIF('전기원장'!$A$5:$A$1004,A664,'전기원장'!$H$5:$H$1004))</x:f>
      </x:c>
      <x:c r="D664" s="75" t="str">
        <x:f>IF(A664="","",SUMIF('당기원장'!$A$5:$A$1004,A664,'당기원장'!$H$5:$H$1004))</x:f>
      </x:c>
      <x:c r="E664" s="75" t="str">
        <x:f>IF(A664="","",D664-C664)</x:f>
      </x:c>
      <x:c r="F664" s="88" t="str">
        <x:f>IF(A664="","",IF(C664=0,IF(D664=0,0,1),ABS(E664)/ABS(C664)))</x:f>
      </x:c>
      <x:c r="G664" s="73" t="str">
        <x:f>IF(A664="","",IF(AND(C664=0,D664&lt;&gt;0),"신규",IF(AND(C664&lt;&gt;0,D664=0),"소멸",IF(E664=0,"변동없음","금액변동"))))</x:f>
      </x:c>
      <x:c r="H664" s="73" t="str">
        <x:f>IF(A664="","",IF(AND(ABS(E664)&gt;='기준설정'!$B$6,OR(G664="신규",G664="소멸",F664&gt;='기준설정'!$B$5)),"원인분석 대상","일반"))</x:f>
      </x:c>
      <x:c r="I664" s="73" t="str">
        <x:f>IF(A664="","",IF(H664="원인분석 대상","세부원인분석 시트에서 거래별 원인을 검토","-"))</x:f>
      </x:c>
      <x:c r="J664" s="73" t="str">
        <x:f>IF(A664="","",COUNTIFS('전기원장'!$A$5:$A$1004,A664,'전기원장'!$J$5:$J$1004,"확인 필요")+COUNTIFS('당기원장'!$A$5:$A$1004,A664,'당기원장'!$J$5:$J$1004,"확인 필요"))</x:f>
      </x:c>
      <x:c r="K664" s="85" t="str">
        <x:f>IF(A664="","",IF(H664&lt;&gt;"원인분석 대상","",IF(J664&gt;0,"붙임 문서 확인 후 원인 확정 필요","결의서명 기반 원인분류 검토")))</x:f>
      </x:c>
    </x:row>
    <x:row r="665">
      <x:c r="A665" s="73" t="str">
        <x:f>IFERROR(INDEX('계산도우미'!$B$5:$B$2004,MATCH(ROWS($A$5:A665),'계산도우미'!$K$5:$K$2004,0)),"")</x:f>
      </x:c>
      <x:c r="B665" s="73" t="str">
        <x:f>IF(A665="","",IFERROR(INDEX('당기원장'!$B$5:$B$1004,MATCH(A665,'당기원장'!$A$5:$A$1004,0)),IFERROR(INDEX('전기원장'!$B$5:$B$1004,MATCH(A665,'전기원장'!$A$5:$A$1004,0)),"")))</x:f>
      </x:c>
      <x:c r="C665" s="75" t="str">
        <x:f>IF(A665="","",SUMIF('전기원장'!$A$5:$A$1004,A665,'전기원장'!$H$5:$H$1004))</x:f>
      </x:c>
      <x:c r="D665" s="75" t="str">
        <x:f>IF(A665="","",SUMIF('당기원장'!$A$5:$A$1004,A665,'당기원장'!$H$5:$H$1004))</x:f>
      </x:c>
      <x:c r="E665" s="75" t="str">
        <x:f>IF(A665="","",D665-C665)</x:f>
      </x:c>
      <x:c r="F665" s="88" t="str">
        <x:f>IF(A665="","",IF(C665=0,IF(D665=0,0,1),ABS(E665)/ABS(C665)))</x:f>
      </x:c>
      <x:c r="G665" s="73" t="str">
        <x:f>IF(A665="","",IF(AND(C665=0,D665&lt;&gt;0),"신규",IF(AND(C665&lt;&gt;0,D665=0),"소멸",IF(E665=0,"변동없음","금액변동"))))</x:f>
      </x:c>
      <x:c r="H665" s="73" t="str">
        <x:f>IF(A665="","",IF(AND(ABS(E665)&gt;='기준설정'!$B$6,OR(G665="신규",G665="소멸",F665&gt;='기준설정'!$B$5)),"원인분석 대상","일반"))</x:f>
      </x:c>
      <x:c r="I665" s="73" t="str">
        <x:f>IF(A665="","",IF(H665="원인분석 대상","세부원인분석 시트에서 거래별 원인을 검토","-"))</x:f>
      </x:c>
      <x:c r="J665" s="73" t="str">
        <x:f>IF(A665="","",COUNTIFS('전기원장'!$A$5:$A$1004,A665,'전기원장'!$J$5:$J$1004,"확인 필요")+COUNTIFS('당기원장'!$A$5:$A$1004,A665,'당기원장'!$J$5:$J$1004,"확인 필요"))</x:f>
      </x:c>
      <x:c r="K665" s="85" t="str">
        <x:f>IF(A665="","",IF(H665&lt;&gt;"원인분석 대상","",IF(J665&gt;0,"붙임 문서 확인 후 원인 확정 필요","결의서명 기반 원인분류 검토")))</x:f>
      </x:c>
    </x:row>
    <x:row r="666">
      <x:c r="A666" s="73" t="str">
        <x:f>IFERROR(INDEX('계산도우미'!$B$5:$B$2004,MATCH(ROWS($A$5:A666),'계산도우미'!$K$5:$K$2004,0)),"")</x:f>
      </x:c>
      <x:c r="B666" s="73" t="str">
        <x:f>IF(A666="","",IFERROR(INDEX('당기원장'!$B$5:$B$1004,MATCH(A666,'당기원장'!$A$5:$A$1004,0)),IFERROR(INDEX('전기원장'!$B$5:$B$1004,MATCH(A666,'전기원장'!$A$5:$A$1004,0)),"")))</x:f>
      </x:c>
      <x:c r="C666" s="75" t="str">
        <x:f>IF(A666="","",SUMIF('전기원장'!$A$5:$A$1004,A666,'전기원장'!$H$5:$H$1004))</x:f>
      </x:c>
      <x:c r="D666" s="75" t="str">
        <x:f>IF(A666="","",SUMIF('당기원장'!$A$5:$A$1004,A666,'당기원장'!$H$5:$H$1004))</x:f>
      </x:c>
      <x:c r="E666" s="75" t="str">
        <x:f>IF(A666="","",D666-C666)</x:f>
      </x:c>
      <x:c r="F666" s="88" t="str">
        <x:f>IF(A666="","",IF(C666=0,IF(D666=0,0,1),ABS(E666)/ABS(C666)))</x:f>
      </x:c>
      <x:c r="G666" s="73" t="str">
        <x:f>IF(A666="","",IF(AND(C666=0,D666&lt;&gt;0),"신규",IF(AND(C666&lt;&gt;0,D666=0),"소멸",IF(E666=0,"변동없음","금액변동"))))</x:f>
      </x:c>
      <x:c r="H666" s="73" t="str">
        <x:f>IF(A666="","",IF(AND(ABS(E666)&gt;='기준설정'!$B$6,OR(G666="신규",G666="소멸",F666&gt;='기준설정'!$B$5)),"원인분석 대상","일반"))</x:f>
      </x:c>
      <x:c r="I666" s="73" t="str">
        <x:f>IF(A666="","",IF(H666="원인분석 대상","세부원인분석 시트에서 거래별 원인을 검토","-"))</x:f>
      </x:c>
      <x:c r="J666" s="73" t="str">
        <x:f>IF(A666="","",COUNTIFS('전기원장'!$A$5:$A$1004,A666,'전기원장'!$J$5:$J$1004,"확인 필요")+COUNTIFS('당기원장'!$A$5:$A$1004,A666,'당기원장'!$J$5:$J$1004,"확인 필요"))</x:f>
      </x:c>
      <x:c r="K666" s="85" t="str">
        <x:f>IF(A666="","",IF(H666&lt;&gt;"원인분석 대상","",IF(J666&gt;0,"붙임 문서 확인 후 원인 확정 필요","결의서명 기반 원인분류 검토")))</x:f>
      </x:c>
    </x:row>
    <x:row r="667">
      <x:c r="A667" s="73" t="str">
        <x:f>IFERROR(INDEX('계산도우미'!$B$5:$B$2004,MATCH(ROWS($A$5:A667),'계산도우미'!$K$5:$K$2004,0)),"")</x:f>
      </x:c>
      <x:c r="B667" s="73" t="str">
        <x:f>IF(A667="","",IFERROR(INDEX('당기원장'!$B$5:$B$1004,MATCH(A667,'당기원장'!$A$5:$A$1004,0)),IFERROR(INDEX('전기원장'!$B$5:$B$1004,MATCH(A667,'전기원장'!$A$5:$A$1004,0)),"")))</x:f>
      </x:c>
      <x:c r="C667" s="75" t="str">
        <x:f>IF(A667="","",SUMIF('전기원장'!$A$5:$A$1004,A667,'전기원장'!$H$5:$H$1004))</x:f>
      </x:c>
      <x:c r="D667" s="75" t="str">
        <x:f>IF(A667="","",SUMIF('당기원장'!$A$5:$A$1004,A667,'당기원장'!$H$5:$H$1004))</x:f>
      </x:c>
      <x:c r="E667" s="75" t="str">
        <x:f>IF(A667="","",D667-C667)</x:f>
      </x:c>
      <x:c r="F667" s="88" t="str">
        <x:f>IF(A667="","",IF(C667=0,IF(D667=0,0,1),ABS(E667)/ABS(C667)))</x:f>
      </x:c>
      <x:c r="G667" s="73" t="str">
        <x:f>IF(A667="","",IF(AND(C667=0,D667&lt;&gt;0),"신규",IF(AND(C667&lt;&gt;0,D667=0),"소멸",IF(E667=0,"변동없음","금액변동"))))</x:f>
      </x:c>
      <x:c r="H667" s="73" t="str">
        <x:f>IF(A667="","",IF(AND(ABS(E667)&gt;='기준설정'!$B$6,OR(G667="신규",G667="소멸",F667&gt;='기준설정'!$B$5)),"원인분석 대상","일반"))</x:f>
      </x:c>
      <x:c r="I667" s="73" t="str">
        <x:f>IF(A667="","",IF(H667="원인분석 대상","세부원인분석 시트에서 거래별 원인을 검토","-"))</x:f>
      </x:c>
      <x:c r="J667" s="73" t="str">
        <x:f>IF(A667="","",COUNTIFS('전기원장'!$A$5:$A$1004,A667,'전기원장'!$J$5:$J$1004,"확인 필요")+COUNTIFS('당기원장'!$A$5:$A$1004,A667,'당기원장'!$J$5:$J$1004,"확인 필요"))</x:f>
      </x:c>
      <x:c r="K667" s="85" t="str">
        <x:f>IF(A667="","",IF(H667&lt;&gt;"원인분석 대상","",IF(J667&gt;0,"붙임 문서 확인 후 원인 확정 필요","결의서명 기반 원인분류 검토")))</x:f>
      </x:c>
    </x:row>
    <x:row r="668">
      <x:c r="A668" s="73" t="str">
        <x:f>IFERROR(INDEX('계산도우미'!$B$5:$B$2004,MATCH(ROWS($A$5:A668),'계산도우미'!$K$5:$K$2004,0)),"")</x:f>
      </x:c>
      <x:c r="B668" s="73" t="str">
        <x:f>IF(A668="","",IFERROR(INDEX('당기원장'!$B$5:$B$1004,MATCH(A668,'당기원장'!$A$5:$A$1004,0)),IFERROR(INDEX('전기원장'!$B$5:$B$1004,MATCH(A668,'전기원장'!$A$5:$A$1004,0)),"")))</x:f>
      </x:c>
      <x:c r="C668" s="75" t="str">
        <x:f>IF(A668="","",SUMIF('전기원장'!$A$5:$A$1004,A668,'전기원장'!$H$5:$H$1004))</x:f>
      </x:c>
      <x:c r="D668" s="75" t="str">
        <x:f>IF(A668="","",SUMIF('당기원장'!$A$5:$A$1004,A668,'당기원장'!$H$5:$H$1004))</x:f>
      </x:c>
      <x:c r="E668" s="75" t="str">
        <x:f>IF(A668="","",D668-C668)</x:f>
      </x:c>
      <x:c r="F668" s="88" t="str">
        <x:f>IF(A668="","",IF(C668=0,IF(D668=0,0,1),ABS(E668)/ABS(C668)))</x:f>
      </x:c>
      <x:c r="G668" s="73" t="str">
        <x:f>IF(A668="","",IF(AND(C668=0,D668&lt;&gt;0),"신규",IF(AND(C668&lt;&gt;0,D668=0),"소멸",IF(E668=0,"변동없음","금액변동"))))</x:f>
      </x:c>
      <x:c r="H668" s="73" t="str">
        <x:f>IF(A668="","",IF(AND(ABS(E668)&gt;='기준설정'!$B$6,OR(G668="신규",G668="소멸",F668&gt;='기준설정'!$B$5)),"원인분석 대상","일반"))</x:f>
      </x:c>
      <x:c r="I668" s="73" t="str">
        <x:f>IF(A668="","",IF(H668="원인분석 대상","세부원인분석 시트에서 거래별 원인을 검토","-"))</x:f>
      </x:c>
      <x:c r="J668" s="73" t="str">
        <x:f>IF(A668="","",COUNTIFS('전기원장'!$A$5:$A$1004,A668,'전기원장'!$J$5:$J$1004,"확인 필요")+COUNTIFS('당기원장'!$A$5:$A$1004,A668,'당기원장'!$J$5:$J$1004,"확인 필요"))</x:f>
      </x:c>
      <x:c r="K668" s="85" t="str">
        <x:f>IF(A668="","",IF(H668&lt;&gt;"원인분석 대상","",IF(J668&gt;0,"붙임 문서 확인 후 원인 확정 필요","결의서명 기반 원인분류 검토")))</x:f>
      </x:c>
    </x:row>
    <x:row r="669">
      <x:c r="A669" s="73" t="str">
        <x:f>IFERROR(INDEX('계산도우미'!$B$5:$B$2004,MATCH(ROWS($A$5:A669),'계산도우미'!$K$5:$K$2004,0)),"")</x:f>
      </x:c>
      <x:c r="B669" s="73" t="str">
        <x:f>IF(A669="","",IFERROR(INDEX('당기원장'!$B$5:$B$1004,MATCH(A669,'당기원장'!$A$5:$A$1004,0)),IFERROR(INDEX('전기원장'!$B$5:$B$1004,MATCH(A669,'전기원장'!$A$5:$A$1004,0)),"")))</x:f>
      </x:c>
      <x:c r="C669" s="75" t="str">
        <x:f>IF(A669="","",SUMIF('전기원장'!$A$5:$A$1004,A669,'전기원장'!$H$5:$H$1004))</x:f>
      </x:c>
      <x:c r="D669" s="75" t="str">
        <x:f>IF(A669="","",SUMIF('당기원장'!$A$5:$A$1004,A669,'당기원장'!$H$5:$H$1004))</x:f>
      </x:c>
      <x:c r="E669" s="75" t="str">
        <x:f>IF(A669="","",D669-C669)</x:f>
      </x:c>
      <x:c r="F669" s="88" t="str">
        <x:f>IF(A669="","",IF(C669=0,IF(D669=0,0,1),ABS(E669)/ABS(C669)))</x:f>
      </x:c>
      <x:c r="G669" s="73" t="str">
        <x:f>IF(A669="","",IF(AND(C669=0,D669&lt;&gt;0),"신규",IF(AND(C669&lt;&gt;0,D669=0),"소멸",IF(E669=0,"변동없음","금액변동"))))</x:f>
      </x:c>
      <x:c r="H669" s="73" t="str">
        <x:f>IF(A669="","",IF(AND(ABS(E669)&gt;='기준설정'!$B$6,OR(G669="신규",G669="소멸",F669&gt;='기준설정'!$B$5)),"원인분석 대상","일반"))</x:f>
      </x:c>
      <x:c r="I669" s="73" t="str">
        <x:f>IF(A669="","",IF(H669="원인분석 대상","세부원인분석 시트에서 거래별 원인을 검토","-"))</x:f>
      </x:c>
      <x:c r="J669" s="73" t="str">
        <x:f>IF(A669="","",COUNTIFS('전기원장'!$A$5:$A$1004,A669,'전기원장'!$J$5:$J$1004,"확인 필요")+COUNTIFS('당기원장'!$A$5:$A$1004,A669,'당기원장'!$J$5:$J$1004,"확인 필요"))</x:f>
      </x:c>
      <x:c r="K669" s="85" t="str">
        <x:f>IF(A669="","",IF(H669&lt;&gt;"원인분석 대상","",IF(J669&gt;0,"붙임 문서 확인 후 원인 확정 필요","결의서명 기반 원인분류 검토")))</x:f>
      </x:c>
    </x:row>
    <x:row r="670">
      <x:c r="A670" s="73" t="str">
        <x:f>IFERROR(INDEX('계산도우미'!$B$5:$B$2004,MATCH(ROWS($A$5:A670),'계산도우미'!$K$5:$K$2004,0)),"")</x:f>
      </x:c>
      <x:c r="B670" s="73" t="str">
        <x:f>IF(A670="","",IFERROR(INDEX('당기원장'!$B$5:$B$1004,MATCH(A670,'당기원장'!$A$5:$A$1004,0)),IFERROR(INDEX('전기원장'!$B$5:$B$1004,MATCH(A670,'전기원장'!$A$5:$A$1004,0)),"")))</x:f>
      </x:c>
      <x:c r="C670" s="75" t="str">
        <x:f>IF(A670="","",SUMIF('전기원장'!$A$5:$A$1004,A670,'전기원장'!$H$5:$H$1004))</x:f>
      </x:c>
      <x:c r="D670" s="75" t="str">
        <x:f>IF(A670="","",SUMIF('당기원장'!$A$5:$A$1004,A670,'당기원장'!$H$5:$H$1004))</x:f>
      </x:c>
      <x:c r="E670" s="75" t="str">
        <x:f>IF(A670="","",D670-C670)</x:f>
      </x:c>
      <x:c r="F670" s="88" t="str">
        <x:f>IF(A670="","",IF(C670=0,IF(D670=0,0,1),ABS(E670)/ABS(C670)))</x:f>
      </x:c>
      <x:c r="G670" s="73" t="str">
        <x:f>IF(A670="","",IF(AND(C670=0,D670&lt;&gt;0),"신규",IF(AND(C670&lt;&gt;0,D670=0),"소멸",IF(E670=0,"변동없음","금액변동"))))</x:f>
      </x:c>
      <x:c r="H670" s="73" t="str">
        <x:f>IF(A670="","",IF(AND(ABS(E670)&gt;='기준설정'!$B$6,OR(G670="신규",G670="소멸",F670&gt;='기준설정'!$B$5)),"원인분석 대상","일반"))</x:f>
      </x:c>
      <x:c r="I670" s="73" t="str">
        <x:f>IF(A670="","",IF(H670="원인분석 대상","세부원인분석 시트에서 거래별 원인을 검토","-"))</x:f>
      </x:c>
      <x:c r="J670" s="73" t="str">
        <x:f>IF(A670="","",COUNTIFS('전기원장'!$A$5:$A$1004,A670,'전기원장'!$J$5:$J$1004,"확인 필요")+COUNTIFS('당기원장'!$A$5:$A$1004,A670,'당기원장'!$J$5:$J$1004,"확인 필요"))</x:f>
      </x:c>
      <x:c r="K670" s="85" t="str">
        <x:f>IF(A670="","",IF(H670&lt;&gt;"원인분석 대상","",IF(J670&gt;0,"붙임 문서 확인 후 원인 확정 필요","결의서명 기반 원인분류 검토")))</x:f>
      </x:c>
    </x:row>
    <x:row r="671">
      <x:c r="A671" s="73" t="str">
        <x:f>IFERROR(INDEX('계산도우미'!$B$5:$B$2004,MATCH(ROWS($A$5:A671),'계산도우미'!$K$5:$K$2004,0)),"")</x:f>
      </x:c>
      <x:c r="B671" s="73" t="str">
        <x:f>IF(A671="","",IFERROR(INDEX('당기원장'!$B$5:$B$1004,MATCH(A671,'당기원장'!$A$5:$A$1004,0)),IFERROR(INDEX('전기원장'!$B$5:$B$1004,MATCH(A671,'전기원장'!$A$5:$A$1004,0)),"")))</x:f>
      </x:c>
      <x:c r="C671" s="75" t="str">
        <x:f>IF(A671="","",SUMIF('전기원장'!$A$5:$A$1004,A671,'전기원장'!$H$5:$H$1004))</x:f>
      </x:c>
      <x:c r="D671" s="75" t="str">
        <x:f>IF(A671="","",SUMIF('당기원장'!$A$5:$A$1004,A671,'당기원장'!$H$5:$H$1004))</x:f>
      </x:c>
      <x:c r="E671" s="75" t="str">
        <x:f>IF(A671="","",D671-C671)</x:f>
      </x:c>
      <x:c r="F671" s="88" t="str">
        <x:f>IF(A671="","",IF(C671=0,IF(D671=0,0,1),ABS(E671)/ABS(C671)))</x:f>
      </x:c>
      <x:c r="G671" s="73" t="str">
        <x:f>IF(A671="","",IF(AND(C671=0,D671&lt;&gt;0),"신규",IF(AND(C671&lt;&gt;0,D671=0),"소멸",IF(E671=0,"변동없음","금액변동"))))</x:f>
      </x:c>
      <x:c r="H671" s="73" t="str">
        <x:f>IF(A671="","",IF(AND(ABS(E671)&gt;='기준설정'!$B$6,OR(G671="신규",G671="소멸",F671&gt;='기준설정'!$B$5)),"원인분석 대상","일반"))</x:f>
      </x:c>
      <x:c r="I671" s="73" t="str">
        <x:f>IF(A671="","",IF(H671="원인분석 대상","세부원인분석 시트에서 거래별 원인을 검토","-"))</x:f>
      </x:c>
      <x:c r="J671" s="73" t="str">
        <x:f>IF(A671="","",COUNTIFS('전기원장'!$A$5:$A$1004,A671,'전기원장'!$J$5:$J$1004,"확인 필요")+COUNTIFS('당기원장'!$A$5:$A$1004,A671,'당기원장'!$J$5:$J$1004,"확인 필요"))</x:f>
      </x:c>
      <x:c r="K671" s="85" t="str">
        <x:f>IF(A671="","",IF(H671&lt;&gt;"원인분석 대상","",IF(J671&gt;0,"붙임 문서 확인 후 원인 확정 필요","결의서명 기반 원인분류 검토")))</x:f>
      </x:c>
    </x:row>
    <x:row r="672">
      <x:c r="A672" s="73" t="str">
        <x:f>IFERROR(INDEX('계산도우미'!$B$5:$B$2004,MATCH(ROWS($A$5:A672),'계산도우미'!$K$5:$K$2004,0)),"")</x:f>
      </x:c>
      <x:c r="B672" s="73" t="str">
        <x:f>IF(A672="","",IFERROR(INDEX('당기원장'!$B$5:$B$1004,MATCH(A672,'당기원장'!$A$5:$A$1004,0)),IFERROR(INDEX('전기원장'!$B$5:$B$1004,MATCH(A672,'전기원장'!$A$5:$A$1004,0)),"")))</x:f>
      </x:c>
      <x:c r="C672" s="75" t="str">
        <x:f>IF(A672="","",SUMIF('전기원장'!$A$5:$A$1004,A672,'전기원장'!$H$5:$H$1004))</x:f>
      </x:c>
      <x:c r="D672" s="75" t="str">
        <x:f>IF(A672="","",SUMIF('당기원장'!$A$5:$A$1004,A672,'당기원장'!$H$5:$H$1004))</x:f>
      </x:c>
      <x:c r="E672" s="75" t="str">
        <x:f>IF(A672="","",D672-C672)</x:f>
      </x:c>
      <x:c r="F672" s="88" t="str">
        <x:f>IF(A672="","",IF(C672=0,IF(D672=0,0,1),ABS(E672)/ABS(C672)))</x:f>
      </x:c>
      <x:c r="G672" s="73" t="str">
        <x:f>IF(A672="","",IF(AND(C672=0,D672&lt;&gt;0),"신규",IF(AND(C672&lt;&gt;0,D672=0),"소멸",IF(E672=0,"변동없음","금액변동"))))</x:f>
      </x:c>
      <x:c r="H672" s="73" t="str">
        <x:f>IF(A672="","",IF(AND(ABS(E672)&gt;='기준설정'!$B$6,OR(G672="신규",G672="소멸",F672&gt;='기준설정'!$B$5)),"원인분석 대상","일반"))</x:f>
      </x:c>
      <x:c r="I672" s="73" t="str">
        <x:f>IF(A672="","",IF(H672="원인분석 대상","세부원인분석 시트에서 거래별 원인을 검토","-"))</x:f>
      </x:c>
      <x:c r="J672" s="73" t="str">
        <x:f>IF(A672="","",COUNTIFS('전기원장'!$A$5:$A$1004,A672,'전기원장'!$J$5:$J$1004,"확인 필요")+COUNTIFS('당기원장'!$A$5:$A$1004,A672,'당기원장'!$J$5:$J$1004,"확인 필요"))</x:f>
      </x:c>
      <x:c r="K672" s="85" t="str">
        <x:f>IF(A672="","",IF(H672&lt;&gt;"원인분석 대상","",IF(J672&gt;0,"붙임 문서 확인 후 원인 확정 필요","결의서명 기반 원인분류 검토")))</x:f>
      </x:c>
    </x:row>
    <x:row r="673">
      <x:c r="A673" s="73" t="str">
        <x:f>IFERROR(INDEX('계산도우미'!$B$5:$B$2004,MATCH(ROWS($A$5:A673),'계산도우미'!$K$5:$K$2004,0)),"")</x:f>
      </x:c>
      <x:c r="B673" s="73" t="str">
        <x:f>IF(A673="","",IFERROR(INDEX('당기원장'!$B$5:$B$1004,MATCH(A673,'당기원장'!$A$5:$A$1004,0)),IFERROR(INDEX('전기원장'!$B$5:$B$1004,MATCH(A673,'전기원장'!$A$5:$A$1004,0)),"")))</x:f>
      </x:c>
      <x:c r="C673" s="75" t="str">
        <x:f>IF(A673="","",SUMIF('전기원장'!$A$5:$A$1004,A673,'전기원장'!$H$5:$H$1004))</x:f>
      </x:c>
      <x:c r="D673" s="75" t="str">
        <x:f>IF(A673="","",SUMIF('당기원장'!$A$5:$A$1004,A673,'당기원장'!$H$5:$H$1004))</x:f>
      </x:c>
      <x:c r="E673" s="75" t="str">
        <x:f>IF(A673="","",D673-C673)</x:f>
      </x:c>
      <x:c r="F673" s="88" t="str">
        <x:f>IF(A673="","",IF(C673=0,IF(D673=0,0,1),ABS(E673)/ABS(C673)))</x:f>
      </x:c>
      <x:c r="G673" s="73" t="str">
        <x:f>IF(A673="","",IF(AND(C673=0,D673&lt;&gt;0),"신규",IF(AND(C673&lt;&gt;0,D673=0),"소멸",IF(E673=0,"변동없음","금액변동"))))</x:f>
      </x:c>
      <x:c r="H673" s="73" t="str">
        <x:f>IF(A673="","",IF(AND(ABS(E673)&gt;='기준설정'!$B$6,OR(G673="신규",G673="소멸",F673&gt;='기준설정'!$B$5)),"원인분석 대상","일반"))</x:f>
      </x:c>
      <x:c r="I673" s="73" t="str">
        <x:f>IF(A673="","",IF(H673="원인분석 대상","세부원인분석 시트에서 거래별 원인을 검토","-"))</x:f>
      </x:c>
      <x:c r="J673" s="73" t="str">
        <x:f>IF(A673="","",COUNTIFS('전기원장'!$A$5:$A$1004,A673,'전기원장'!$J$5:$J$1004,"확인 필요")+COUNTIFS('당기원장'!$A$5:$A$1004,A673,'당기원장'!$J$5:$J$1004,"확인 필요"))</x:f>
      </x:c>
      <x:c r="K673" s="85" t="str">
        <x:f>IF(A673="","",IF(H673&lt;&gt;"원인분석 대상","",IF(J673&gt;0,"붙임 문서 확인 후 원인 확정 필요","결의서명 기반 원인분류 검토")))</x:f>
      </x:c>
    </x:row>
    <x:row r="674">
      <x:c r="A674" s="73" t="str">
        <x:f>IFERROR(INDEX('계산도우미'!$B$5:$B$2004,MATCH(ROWS($A$5:A674),'계산도우미'!$K$5:$K$2004,0)),"")</x:f>
      </x:c>
      <x:c r="B674" s="73" t="str">
        <x:f>IF(A674="","",IFERROR(INDEX('당기원장'!$B$5:$B$1004,MATCH(A674,'당기원장'!$A$5:$A$1004,0)),IFERROR(INDEX('전기원장'!$B$5:$B$1004,MATCH(A674,'전기원장'!$A$5:$A$1004,0)),"")))</x:f>
      </x:c>
      <x:c r="C674" s="75" t="str">
        <x:f>IF(A674="","",SUMIF('전기원장'!$A$5:$A$1004,A674,'전기원장'!$H$5:$H$1004))</x:f>
      </x:c>
      <x:c r="D674" s="75" t="str">
        <x:f>IF(A674="","",SUMIF('당기원장'!$A$5:$A$1004,A674,'당기원장'!$H$5:$H$1004))</x:f>
      </x:c>
      <x:c r="E674" s="75" t="str">
        <x:f>IF(A674="","",D674-C674)</x:f>
      </x:c>
      <x:c r="F674" s="88" t="str">
        <x:f>IF(A674="","",IF(C674=0,IF(D674=0,0,1),ABS(E674)/ABS(C674)))</x:f>
      </x:c>
      <x:c r="G674" s="73" t="str">
        <x:f>IF(A674="","",IF(AND(C674=0,D674&lt;&gt;0),"신규",IF(AND(C674&lt;&gt;0,D674=0),"소멸",IF(E674=0,"변동없음","금액변동"))))</x:f>
      </x:c>
      <x:c r="H674" s="73" t="str">
        <x:f>IF(A674="","",IF(AND(ABS(E674)&gt;='기준설정'!$B$6,OR(G674="신규",G674="소멸",F674&gt;='기준설정'!$B$5)),"원인분석 대상","일반"))</x:f>
      </x:c>
      <x:c r="I674" s="73" t="str">
        <x:f>IF(A674="","",IF(H674="원인분석 대상","세부원인분석 시트에서 거래별 원인을 검토","-"))</x:f>
      </x:c>
      <x:c r="J674" s="73" t="str">
        <x:f>IF(A674="","",COUNTIFS('전기원장'!$A$5:$A$1004,A674,'전기원장'!$J$5:$J$1004,"확인 필요")+COUNTIFS('당기원장'!$A$5:$A$1004,A674,'당기원장'!$J$5:$J$1004,"확인 필요"))</x:f>
      </x:c>
      <x:c r="K674" s="85" t="str">
        <x:f>IF(A674="","",IF(H674&lt;&gt;"원인분석 대상","",IF(J674&gt;0,"붙임 문서 확인 후 원인 확정 필요","결의서명 기반 원인분류 검토")))</x:f>
      </x:c>
    </x:row>
    <x:row r="675">
      <x:c r="A675" s="73" t="str">
        <x:f>IFERROR(INDEX('계산도우미'!$B$5:$B$2004,MATCH(ROWS($A$5:A675),'계산도우미'!$K$5:$K$2004,0)),"")</x:f>
      </x:c>
      <x:c r="B675" s="73" t="str">
        <x:f>IF(A675="","",IFERROR(INDEX('당기원장'!$B$5:$B$1004,MATCH(A675,'당기원장'!$A$5:$A$1004,0)),IFERROR(INDEX('전기원장'!$B$5:$B$1004,MATCH(A675,'전기원장'!$A$5:$A$1004,0)),"")))</x:f>
      </x:c>
      <x:c r="C675" s="75" t="str">
        <x:f>IF(A675="","",SUMIF('전기원장'!$A$5:$A$1004,A675,'전기원장'!$H$5:$H$1004))</x:f>
      </x:c>
      <x:c r="D675" s="75" t="str">
        <x:f>IF(A675="","",SUMIF('당기원장'!$A$5:$A$1004,A675,'당기원장'!$H$5:$H$1004))</x:f>
      </x:c>
      <x:c r="E675" s="75" t="str">
        <x:f>IF(A675="","",D675-C675)</x:f>
      </x:c>
      <x:c r="F675" s="88" t="str">
        <x:f>IF(A675="","",IF(C675=0,IF(D675=0,0,1),ABS(E675)/ABS(C675)))</x:f>
      </x:c>
      <x:c r="G675" s="73" t="str">
        <x:f>IF(A675="","",IF(AND(C675=0,D675&lt;&gt;0),"신규",IF(AND(C675&lt;&gt;0,D675=0),"소멸",IF(E675=0,"변동없음","금액변동"))))</x:f>
      </x:c>
      <x:c r="H675" s="73" t="str">
        <x:f>IF(A675="","",IF(AND(ABS(E675)&gt;='기준설정'!$B$6,OR(G675="신규",G675="소멸",F675&gt;='기준설정'!$B$5)),"원인분석 대상","일반"))</x:f>
      </x:c>
      <x:c r="I675" s="73" t="str">
        <x:f>IF(A675="","",IF(H675="원인분석 대상","세부원인분석 시트에서 거래별 원인을 검토","-"))</x:f>
      </x:c>
      <x:c r="J675" s="73" t="str">
        <x:f>IF(A675="","",COUNTIFS('전기원장'!$A$5:$A$1004,A675,'전기원장'!$J$5:$J$1004,"확인 필요")+COUNTIFS('당기원장'!$A$5:$A$1004,A675,'당기원장'!$J$5:$J$1004,"확인 필요"))</x:f>
      </x:c>
      <x:c r="K675" s="85" t="str">
        <x:f>IF(A675="","",IF(H675&lt;&gt;"원인분석 대상","",IF(J675&gt;0,"붙임 문서 확인 후 원인 확정 필요","결의서명 기반 원인분류 검토")))</x:f>
      </x:c>
    </x:row>
    <x:row r="676">
      <x:c r="A676" s="73" t="str">
        <x:f>IFERROR(INDEX('계산도우미'!$B$5:$B$2004,MATCH(ROWS($A$5:A676),'계산도우미'!$K$5:$K$2004,0)),"")</x:f>
      </x:c>
      <x:c r="B676" s="73" t="str">
        <x:f>IF(A676="","",IFERROR(INDEX('당기원장'!$B$5:$B$1004,MATCH(A676,'당기원장'!$A$5:$A$1004,0)),IFERROR(INDEX('전기원장'!$B$5:$B$1004,MATCH(A676,'전기원장'!$A$5:$A$1004,0)),"")))</x:f>
      </x:c>
      <x:c r="C676" s="75" t="str">
        <x:f>IF(A676="","",SUMIF('전기원장'!$A$5:$A$1004,A676,'전기원장'!$H$5:$H$1004))</x:f>
      </x:c>
      <x:c r="D676" s="75" t="str">
        <x:f>IF(A676="","",SUMIF('당기원장'!$A$5:$A$1004,A676,'당기원장'!$H$5:$H$1004))</x:f>
      </x:c>
      <x:c r="E676" s="75" t="str">
        <x:f>IF(A676="","",D676-C676)</x:f>
      </x:c>
      <x:c r="F676" s="88" t="str">
        <x:f>IF(A676="","",IF(C676=0,IF(D676=0,0,1),ABS(E676)/ABS(C676)))</x:f>
      </x:c>
      <x:c r="G676" s="73" t="str">
        <x:f>IF(A676="","",IF(AND(C676=0,D676&lt;&gt;0),"신규",IF(AND(C676&lt;&gt;0,D676=0),"소멸",IF(E676=0,"변동없음","금액변동"))))</x:f>
      </x:c>
      <x:c r="H676" s="73" t="str">
        <x:f>IF(A676="","",IF(AND(ABS(E676)&gt;='기준설정'!$B$6,OR(G676="신규",G676="소멸",F676&gt;='기준설정'!$B$5)),"원인분석 대상","일반"))</x:f>
      </x:c>
      <x:c r="I676" s="73" t="str">
        <x:f>IF(A676="","",IF(H676="원인분석 대상","세부원인분석 시트에서 거래별 원인을 검토","-"))</x:f>
      </x:c>
      <x:c r="J676" s="73" t="str">
        <x:f>IF(A676="","",COUNTIFS('전기원장'!$A$5:$A$1004,A676,'전기원장'!$J$5:$J$1004,"확인 필요")+COUNTIFS('당기원장'!$A$5:$A$1004,A676,'당기원장'!$J$5:$J$1004,"확인 필요"))</x:f>
      </x:c>
      <x:c r="K676" s="85" t="str">
        <x:f>IF(A676="","",IF(H676&lt;&gt;"원인분석 대상","",IF(J676&gt;0,"붙임 문서 확인 후 원인 확정 필요","결의서명 기반 원인분류 검토")))</x:f>
      </x:c>
    </x:row>
    <x:row r="677">
      <x:c r="A677" s="73" t="str">
        <x:f>IFERROR(INDEX('계산도우미'!$B$5:$B$2004,MATCH(ROWS($A$5:A677),'계산도우미'!$K$5:$K$2004,0)),"")</x:f>
      </x:c>
      <x:c r="B677" s="73" t="str">
        <x:f>IF(A677="","",IFERROR(INDEX('당기원장'!$B$5:$B$1004,MATCH(A677,'당기원장'!$A$5:$A$1004,0)),IFERROR(INDEX('전기원장'!$B$5:$B$1004,MATCH(A677,'전기원장'!$A$5:$A$1004,0)),"")))</x:f>
      </x:c>
      <x:c r="C677" s="75" t="str">
        <x:f>IF(A677="","",SUMIF('전기원장'!$A$5:$A$1004,A677,'전기원장'!$H$5:$H$1004))</x:f>
      </x:c>
      <x:c r="D677" s="75" t="str">
        <x:f>IF(A677="","",SUMIF('당기원장'!$A$5:$A$1004,A677,'당기원장'!$H$5:$H$1004))</x:f>
      </x:c>
      <x:c r="E677" s="75" t="str">
        <x:f>IF(A677="","",D677-C677)</x:f>
      </x:c>
      <x:c r="F677" s="88" t="str">
        <x:f>IF(A677="","",IF(C677=0,IF(D677=0,0,1),ABS(E677)/ABS(C677)))</x:f>
      </x:c>
      <x:c r="G677" s="73" t="str">
        <x:f>IF(A677="","",IF(AND(C677=0,D677&lt;&gt;0),"신규",IF(AND(C677&lt;&gt;0,D677=0),"소멸",IF(E677=0,"변동없음","금액변동"))))</x:f>
      </x:c>
      <x:c r="H677" s="73" t="str">
        <x:f>IF(A677="","",IF(AND(ABS(E677)&gt;='기준설정'!$B$6,OR(G677="신규",G677="소멸",F677&gt;='기준설정'!$B$5)),"원인분석 대상","일반"))</x:f>
      </x:c>
      <x:c r="I677" s="73" t="str">
        <x:f>IF(A677="","",IF(H677="원인분석 대상","세부원인분석 시트에서 거래별 원인을 검토","-"))</x:f>
      </x:c>
      <x:c r="J677" s="73" t="str">
        <x:f>IF(A677="","",COUNTIFS('전기원장'!$A$5:$A$1004,A677,'전기원장'!$J$5:$J$1004,"확인 필요")+COUNTIFS('당기원장'!$A$5:$A$1004,A677,'당기원장'!$J$5:$J$1004,"확인 필요"))</x:f>
      </x:c>
      <x:c r="K677" s="85" t="str">
        <x:f>IF(A677="","",IF(H677&lt;&gt;"원인분석 대상","",IF(J677&gt;0,"붙임 문서 확인 후 원인 확정 필요","결의서명 기반 원인분류 검토")))</x:f>
      </x:c>
    </x:row>
    <x:row r="678">
      <x:c r="A678" s="73" t="str">
        <x:f>IFERROR(INDEX('계산도우미'!$B$5:$B$2004,MATCH(ROWS($A$5:A678),'계산도우미'!$K$5:$K$2004,0)),"")</x:f>
      </x:c>
      <x:c r="B678" s="73" t="str">
        <x:f>IF(A678="","",IFERROR(INDEX('당기원장'!$B$5:$B$1004,MATCH(A678,'당기원장'!$A$5:$A$1004,0)),IFERROR(INDEX('전기원장'!$B$5:$B$1004,MATCH(A678,'전기원장'!$A$5:$A$1004,0)),"")))</x:f>
      </x:c>
      <x:c r="C678" s="75" t="str">
        <x:f>IF(A678="","",SUMIF('전기원장'!$A$5:$A$1004,A678,'전기원장'!$H$5:$H$1004))</x:f>
      </x:c>
      <x:c r="D678" s="75" t="str">
        <x:f>IF(A678="","",SUMIF('당기원장'!$A$5:$A$1004,A678,'당기원장'!$H$5:$H$1004))</x:f>
      </x:c>
      <x:c r="E678" s="75" t="str">
        <x:f>IF(A678="","",D678-C678)</x:f>
      </x:c>
      <x:c r="F678" s="88" t="str">
        <x:f>IF(A678="","",IF(C678=0,IF(D678=0,0,1),ABS(E678)/ABS(C678)))</x:f>
      </x:c>
      <x:c r="G678" s="73" t="str">
        <x:f>IF(A678="","",IF(AND(C678=0,D678&lt;&gt;0),"신규",IF(AND(C678&lt;&gt;0,D678=0),"소멸",IF(E678=0,"변동없음","금액변동"))))</x:f>
      </x:c>
      <x:c r="H678" s="73" t="str">
        <x:f>IF(A678="","",IF(AND(ABS(E678)&gt;='기준설정'!$B$6,OR(G678="신규",G678="소멸",F678&gt;='기준설정'!$B$5)),"원인분석 대상","일반"))</x:f>
      </x:c>
      <x:c r="I678" s="73" t="str">
        <x:f>IF(A678="","",IF(H678="원인분석 대상","세부원인분석 시트에서 거래별 원인을 검토","-"))</x:f>
      </x:c>
      <x:c r="J678" s="73" t="str">
        <x:f>IF(A678="","",COUNTIFS('전기원장'!$A$5:$A$1004,A678,'전기원장'!$J$5:$J$1004,"확인 필요")+COUNTIFS('당기원장'!$A$5:$A$1004,A678,'당기원장'!$J$5:$J$1004,"확인 필요"))</x:f>
      </x:c>
      <x:c r="K678" s="85" t="str">
        <x:f>IF(A678="","",IF(H678&lt;&gt;"원인분석 대상","",IF(J678&gt;0,"붙임 문서 확인 후 원인 확정 필요","결의서명 기반 원인분류 검토")))</x:f>
      </x:c>
    </x:row>
    <x:row r="679">
      <x:c r="A679" s="73" t="str">
        <x:f>IFERROR(INDEX('계산도우미'!$B$5:$B$2004,MATCH(ROWS($A$5:A679),'계산도우미'!$K$5:$K$2004,0)),"")</x:f>
      </x:c>
      <x:c r="B679" s="73" t="str">
        <x:f>IF(A679="","",IFERROR(INDEX('당기원장'!$B$5:$B$1004,MATCH(A679,'당기원장'!$A$5:$A$1004,0)),IFERROR(INDEX('전기원장'!$B$5:$B$1004,MATCH(A679,'전기원장'!$A$5:$A$1004,0)),"")))</x:f>
      </x:c>
      <x:c r="C679" s="75" t="str">
        <x:f>IF(A679="","",SUMIF('전기원장'!$A$5:$A$1004,A679,'전기원장'!$H$5:$H$1004))</x:f>
      </x:c>
      <x:c r="D679" s="75" t="str">
        <x:f>IF(A679="","",SUMIF('당기원장'!$A$5:$A$1004,A679,'당기원장'!$H$5:$H$1004))</x:f>
      </x:c>
      <x:c r="E679" s="75" t="str">
        <x:f>IF(A679="","",D679-C679)</x:f>
      </x:c>
      <x:c r="F679" s="88" t="str">
        <x:f>IF(A679="","",IF(C679=0,IF(D679=0,0,1),ABS(E679)/ABS(C679)))</x:f>
      </x:c>
      <x:c r="G679" s="73" t="str">
        <x:f>IF(A679="","",IF(AND(C679=0,D679&lt;&gt;0),"신규",IF(AND(C679&lt;&gt;0,D679=0),"소멸",IF(E679=0,"변동없음","금액변동"))))</x:f>
      </x:c>
      <x:c r="H679" s="73" t="str">
        <x:f>IF(A679="","",IF(AND(ABS(E679)&gt;='기준설정'!$B$6,OR(G679="신규",G679="소멸",F679&gt;='기준설정'!$B$5)),"원인분석 대상","일반"))</x:f>
      </x:c>
      <x:c r="I679" s="73" t="str">
        <x:f>IF(A679="","",IF(H679="원인분석 대상","세부원인분석 시트에서 거래별 원인을 검토","-"))</x:f>
      </x:c>
      <x:c r="J679" s="73" t="str">
        <x:f>IF(A679="","",COUNTIFS('전기원장'!$A$5:$A$1004,A679,'전기원장'!$J$5:$J$1004,"확인 필요")+COUNTIFS('당기원장'!$A$5:$A$1004,A679,'당기원장'!$J$5:$J$1004,"확인 필요"))</x:f>
      </x:c>
      <x:c r="K679" s="85" t="str">
        <x:f>IF(A679="","",IF(H679&lt;&gt;"원인분석 대상","",IF(J679&gt;0,"붙임 문서 확인 후 원인 확정 필요","결의서명 기반 원인분류 검토")))</x:f>
      </x:c>
    </x:row>
    <x:row r="680">
      <x:c r="A680" s="73" t="str">
        <x:f>IFERROR(INDEX('계산도우미'!$B$5:$B$2004,MATCH(ROWS($A$5:A680),'계산도우미'!$K$5:$K$2004,0)),"")</x:f>
      </x:c>
      <x:c r="B680" s="73" t="str">
        <x:f>IF(A680="","",IFERROR(INDEX('당기원장'!$B$5:$B$1004,MATCH(A680,'당기원장'!$A$5:$A$1004,0)),IFERROR(INDEX('전기원장'!$B$5:$B$1004,MATCH(A680,'전기원장'!$A$5:$A$1004,0)),"")))</x:f>
      </x:c>
      <x:c r="C680" s="75" t="str">
        <x:f>IF(A680="","",SUMIF('전기원장'!$A$5:$A$1004,A680,'전기원장'!$H$5:$H$1004))</x:f>
      </x:c>
      <x:c r="D680" s="75" t="str">
        <x:f>IF(A680="","",SUMIF('당기원장'!$A$5:$A$1004,A680,'당기원장'!$H$5:$H$1004))</x:f>
      </x:c>
      <x:c r="E680" s="75" t="str">
        <x:f>IF(A680="","",D680-C680)</x:f>
      </x:c>
      <x:c r="F680" s="88" t="str">
        <x:f>IF(A680="","",IF(C680=0,IF(D680=0,0,1),ABS(E680)/ABS(C680)))</x:f>
      </x:c>
      <x:c r="G680" s="73" t="str">
        <x:f>IF(A680="","",IF(AND(C680=0,D680&lt;&gt;0),"신규",IF(AND(C680&lt;&gt;0,D680=0),"소멸",IF(E680=0,"변동없음","금액변동"))))</x:f>
      </x:c>
      <x:c r="H680" s="73" t="str">
        <x:f>IF(A680="","",IF(AND(ABS(E680)&gt;='기준설정'!$B$6,OR(G680="신규",G680="소멸",F680&gt;='기준설정'!$B$5)),"원인분석 대상","일반"))</x:f>
      </x:c>
      <x:c r="I680" s="73" t="str">
        <x:f>IF(A680="","",IF(H680="원인분석 대상","세부원인분석 시트에서 거래별 원인을 검토","-"))</x:f>
      </x:c>
      <x:c r="J680" s="73" t="str">
        <x:f>IF(A680="","",COUNTIFS('전기원장'!$A$5:$A$1004,A680,'전기원장'!$J$5:$J$1004,"확인 필요")+COUNTIFS('당기원장'!$A$5:$A$1004,A680,'당기원장'!$J$5:$J$1004,"확인 필요"))</x:f>
      </x:c>
      <x:c r="K680" s="85" t="str">
        <x:f>IF(A680="","",IF(H680&lt;&gt;"원인분석 대상","",IF(J680&gt;0,"붙임 문서 확인 후 원인 확정 필요","결의서명 기반 원인분류 검토")))</x:f>
      </x:c>
    </x:row>
    <x:row r="681">
      <x:c r="A681" s="73" t="str">
        <x:f>IFERROR(INDEX('계산도우미'!$B$5:$B$2004,MATCH(ROWS($A$5:A681),'계산도우미'!$K$5:$K$2004,0)),"")</x:f>
      </x:c>
      <x:c r="B681" s="73" t="str">
        <x:f>IF(A681="","",IFERROR(INDEX('당기원장'!$B$5:$B$1004,MATCH(A681,'당기원장'!$A$5:$A$1004,0)),IFERROR(INDEX('전기원장'!$B$5:$B$1004,MATCH(A681,'전기원장'!$A$5:$A$1004,0)),"")))</x:f>
      </x:c>
      <x:c r="C681" s="75" t="str">
        <x:f>IF(A681="","",SUMIF('전기원장'!$A$5:$A$1004,A681,'전기원장'!$H$5:$H$1004))</x:f>
      </x:c>
      <x:c r="D681" s="75" t="str">
        <x:f>IF(A681="","",SUMIF('당기원장'!$A$5:$A$1004,A681,'당기원장'!$H$5:$H$1004))</x:f>
      </x:c>
      <x:c r="E681" s="75" t="str">
        <x:f>IF(A681="","",D681-C681)</x:f>
      </x:c>
      <x:c r="F681" s="88" t="str">
        <x:f>IF(A681="","",IF(C681=0,IF(D681=0,0,1),ABS(E681)/ABS(C681)))</x:f>
      </x:c>
      <x:c r="G681" s="73" t="str">
        <x:f>IF(A681="","",IF(AND(C681=0,D681&lt;&gt;0),"신규",IF(AND(C681&lt;&gt;0,D681=0),"소멸",IF(E681=0,"변동없음","금액변동"))))</x:f>
      </x:c>
      <x:c r="H681" s="73" t="str">
        <x:f>IF(A681="","",IF(AND(ABS(E681)&gt;='기준설정'!$B$6,OR(G681="신규",G681="소멸",F681&gt;='기준설정'!$B$5)),"원인분석 대상","일반"))</x:f>
      </x:c>
      <x:c r="I681" s="73" t="str">
        <x:f>IF(A681="","",IF(H681="원인분석 대상","세부원인분석 시트에서 거래별 원인을 검토","-"))</x:f>
      </x:c>
      <x:c r="J681" s="73" t="str">
        <x:f>IF(A681="","",COUNTIFS('전기원장'!$A$5:$A$1004,A681,'전기원장'!$J$5:$J$1004,"확인 필요")+COUNTIFS('당기원장'!$A$5:$A$1004,A681,'당기원장'!$J$5:$J$1004,"확인 필요"))</x:f>
      </x:c>
      <x:c r="K681" s="85" t="str">
        <x:f>IF(A681="","",IF(H681&lt;&gt;"원인분석 대상","",IF(J681&gt;0,"붙임 문서 확인 후 원인 확정 필요","결의서명 기반 원인분류 검토")))</x:f>
      </x:c>
    </x:row>
    <x:row r="682">
      <x:c r="A682" s="73" t="str">
        <x:f>IFERROR(INDEX('계산도우미'!$B$5:$B$2004,MATCH(ROWS($A$5:A682),'계산도우미'!$K$5:$K$2004,0)),"")</x:f>
      </x:c>
      <x:c r="B682" s="73" t="str">
        <x:f>IF(A682="","",IFERROR(INDEX('당기원장'!$B$5:$B$1004,MATCH(A682,'당기원장'!$A$5:$A$1004,0)),IFERROR(INDEX('전기원장'!$B$5:$B$1004,MATCH(A682,'전기원장'!$A$5:$A$1004,0)),"")))</x:f>
      </x:c>
      <x:c r="C682" s="75" t="str">
        <x:f>IF(A682="","",SUMIF('전기원장'!$A$5:$A$1004,A682,'전기원장'!$H$5:$H$1004))</x:f>
      </x:c>
      <x:c r="D682" s="75" t="str">
        <x:f>IF(A682="","",SUMIF('당기원장'!$A$5:$A$1004,A682,'당기원장'!$H$5:$H$1004))</x:f>
      </x:c>
      <x:c r="E682" s="75" t="str">
        <x:f>IF(A682="","",D682-C682)</x:f>
      </x:c>
      <x:c r="F682" s="88" t="str">
        <x:f>IF(A682="","",IF(C682=0,IF(D682=0,0,1),ABS(E682)/ABS(C682)))</x:f>
      </x:c>
      <x:c r="G682" s="73" t="str">
        <x:f>IF(A682="","",IF(AND(C682=0,D682&lt;&gt;0),"신규",IF(AND(C682&lt;&gt;0,D682=0),"소멸",IF(E682=0,"변동없음","금액변동"))))</x:f>
      </x:c>
      <x:c r="H682" s="73" t="str">
        <x:f>IF(A682="","",IF(AND(ABS(E682)&gt;='기준설정'!$B$6,OR(G682="신규",G682="소멸",F682&gt;='기준설정'!$B$5)),"원인분석 대상","일반"))</x:f>
      </x:c>
      <x:c r="I682" s="73" t="str">
        <x:f>IF(A682="","",IF(H682="원인분석 대상","세부원인분석 시트에서 거래별 원인을 검토","-"))</x:f>
      </x:c>
      <x:c r="J682" s="73" t="str">
        <x:f>IF(A682="","",COUNTIFS('전기원장'!$A$5:$A$1004,A682,'전기원장'!$J$5:$J$1004,"확인 필요")+COUNTIFS('당기원장'!$A$5:$A$1004,A682,'당기원장'!$J$5:$J$1004,"확인 필요"))</x:f>
      </x:c>
      <x:c r="K682" s="85" t="str">
        <x:f>IF(A682="","",IF(H682&lt;&gt;"원인분석 대상","",IF(J682&gt;0,"붙임 문서 확인 후 원인 확정 필요","결의서명 기반 원인분류 검토")))</x:f>
      </x:c>
    </x:row>
    <x:row r="683">
      <x:c r="A683" s="73" t="str">
        <x:f>IFERROR(INDEX('계산도우미'!$B$5:$B$2004,MATCH(ROWS($A$5:A683),'계산도우미'!$K$5:$K$2004,0)),"")</x:f>
      </x:c>
      <x:c r="B683" s="73" t="str">
        <x:f>IF(A683="","",IFERROR(INDEX('당기원장'!$B$5:$B$1004,MATCH(A683,'당기원장'!$A$5:$A$1004,0)),IFERROR(INDEX('전기원장'!$B$5:$B$1004,MATCH(A683,'전기원장'!$A$5:$A$1004,0)),"")))</x:f>
      </x:c>
      <x:c r="C683" s="75" t="str">
        <x:f>IF(A683="","",SUMIF('전기원장'!$A$5:$A$1004,A683,'전기원장'!$H$5:$H$1004))</x:f>
      </x:c>
      <x:c r="D683" s="75" t="str">
        <x:f>IF(A683="","",SUMIF('당기원장'!$A$5:$A$1004,A683,'당기원장'!$H$5:$H$1004))</x:f>
      </x:c>
      <x:c r="E683" s="75" t="str">
        <x:f>IF(A683="","",D683-C683)</x:f>
      </x:c>
      <x:c r="F683" s="88" t="str">
        <x:f>IF(A683="","",IF(C683=0,IF(D683=0,0,1),ABS(E683)/ABS(C683)))</x:f>
      </x:c>
      <x:c r="G683" s="73" t="str">
        <x:f>IF(A683="","",IF(AND(C683=0,D683&lt;&gt;0),"신규",IF(AND(C683&lt;&gt;0,D683=0),"소멸",IF(E683=0,"변동없음","금액변동"))))</x:f>
      </x:c>
      <x:c r="H683" s="73" t="str">
        <x:f>IF(A683="","",IF(AND(ABS(E683)&gt;='기준설정'!$B$6,OR(G683="신규",G683="소멸",F683&gt;='기준설정'!$B$5)),"원인분석 대상","일반"))</x:f>
      </x:c>
      <x:c r="I683" s="73" t="str">
        <x:f>IF(A683="","",IF(H683="원인분석 대상","세부원인분석 시트에서 거래별 원인을 검토","-"))</x:f>
      </x:c>
      <x:c r="J683" s="73" t="str">
        <x:f>IF(A683="","",COUNTIFS('전기원장'!$A$5:$A$1004,A683,'전기원장'!$J$5:$J$1004,"확인 필요")+COUNTIFS('당기원장'!$A$5:$A$1004,A683,'당기원장'!$J$5:$J$1004,"확인 필요"))</x:f>
      </x:c>
      <x:c r="K683" s="85" t="str">
        <x:f>IF(A683="","",IF(H683&lt;&gt;"원인분석 대상","",IF(J683&gt;0,"붙임 문서 확인 후 원인 확정 필요","결의서명 기반 원인분류 검토")))</x:f>
      </x:c>
    </x:row>
    <x:row r="684">
      <x:c r="A684" s="73" t="str">
        <x:f>IFERROR(INDEX('계산도우미'!$B$5:$B$2004,MATCH(ROWS($A$5:A684),'계산도우미'!$K$5:$K$2004,0)),"")</x:f>
      </x:c>
      <x:c r="B684" s="73" t="str">
        <x:f>IF(A684="","",IFERROR(INDEX('당기원장'!$B$5:$B$1004,MATCH(A684,'당기원장'!$A$5:$A$1004,0)),IFERROR(INDEX('전기원장'!$B$5:$B$1004,MATCH(A684,'전기원장'!$A$5:$A$1004,0)),"")))</x:f>
      </x:c>
      <x:c r="C684" s="75" t="str">
        <x:f>IF(A684="","",SUMIF('전기원장'!$A$5:$A$1004,A684,'전기원장'!$H$5:$H$1004))</x:f>
      </x:c>
      <x:c r="D684" s="75" t="str">
        <x:f>IF(A684="","",SUMIF('당기원장'!$A$5:$A$1004,A684,'당기원장'!$H$5:$H$1004))</x:f>
      </x:c>
      <x:c r="E684" s="75" t="str">
        <x:f>IF(A684="","",D684-C684)</x:f>
      </x:c>
      <x:c r="F684" s="88" t="str">
        <x:f>IF(A684="","",IF(C684=0,IF(D684=0,0,1),ABS(E684)/ABS(C684)))</x:f>
      </x:c>
      <x:c r="G684" s="73" t="str">
        <x:f>IF(A684="","",IF(AND(C684=0,D684&lt;&gt;0),"신규",IF(AND(C684&lt;&gt;0,D684=0),"소멸",IF(E684=0,"변동없음","금액변동"))))</x:f>
      </x:c>
      <x:c r="H684" s="73" t="str">
        <x:f>IF(A684="","",IF(AND(ABS(E684)&gt;='기준설정'!$B$6,OR(G684="신규",G684="소멸",F684&gt;='기준설정'!$B$5)),"원인분석 대상","일반"))</x:f>
      </x:c>
      <x:c r="I684" s="73" t="str">
        <x:f>IF(A684="","",IF(H684="원인분석 대상","세부원인분석 시트에서 거래별 원인을 검토","-"))</x:f>
      </x:c>
      <x:c r="J684" s="73" t="str">
        <x:f>IF(A684="","",COUNTIFS('전기원장'!$A$5:$A$1004,A684,'전기원장'!$J$5:$J$1004,"확인 필요")+COUNTIFS('당기원장'!$A$5:$A$1004,A684,'당기원장'!$J$5:$J$1004,"확인 필요"))</x:f>
      </x:c>
      <x:c r="K684" s="85" t="str">
        <x:f>IF(A684="","",IF(H684&lt;&gt;"원인분석 대상","",IF(J684&gt;0,"붙임 문서 확인 후 원인 확정 필요","결의서명 기반 원인분류 검토")))</x:f>
      </x:c>
    </x:row>
    <x:row r="685">
      <x:c r="A685" s="73" t="str">
        <x:f>IFERROR(INDEX('계산도우미'!$B$5:$B$2004,MATCH(ROWS($A$5:A685),'계산도우미'!$K$5:$K$2004,0)),"")</x:f>
      </x:c>
      <x:c r="B685" s="73" t="str">
        <x:f>IF(A685="","",IFERROR(INDEX('당기원장'!$B$5:$B$1004,MATCH(A685,'당기원장'!$A$5:$A$1004,0)),IFERROR(INDEX('전기원장'!$B$5:$B$1004,MATCH(A685,'전기원장'!$A$5:$A$1004,0)),"")))</x:f>
      </x:c>
      <x:c r="C685" s="75" t="str">
        <x:f>IF(A685="","",SUMIF('전기원장'!$A$5:$A$1004,A685,'전기원장'!$H$5:$H$1004))</x:f>
      </x:c>
      <x:c r="D685" s="75" t="str">
        <x:f>IF(A685="","",SUMIF('당기원장'!$A$5:$A$1004,A685,'당기원장'!$H$5:$H$1004))</x:f>
      </x:c>
      <x:c r="E685" s="75" t="str">
        <x:f>IF(A685="","",D685-C685)</x:f>
      </x:c>
      <x:c r="F685" s="88" t="str">
        <x:f>IF(A685="","",IF(C685=0,IF(D685=0,0,1),ABS(E685)/ABS(C685)))</x:f>
      </x:c>
      <x:c r="G685" s="73" t="str">
        <x:f>IF(A685="","",IF(AND(C685=0,D685&lt;&gt;0),"신규",IF(AND(C685&lt;&gt;0,D685=0),"소멸",IF(E685=0,"변동없음","금액변동"))))</x:f>
      </x:c>
      <x:c r="H685" s="73" t="str">
        <x:f>IF(A685="","",IF(AND(ABS(E685)&gt;='기준설정'!$B$6,OR(G685="신규",G685="소멸",F685&gt;='기준설정'!$B$5)),"원인분석 대상","일반"))</x:f>
      </x:c>
      <x:c r="I685" s="73" t="str">
        <x:f>IF(A685="","",IF(H685="원인분석 대상","세부원인분석 시트에서 거래별 원인을 검토","-"))</x:f>
      </x:c>
      <x:c r="J685" s="73" t="str">
        <x:f>IF(A685="","",COUNTIFS('전기원장'!$A$5:$A$1004,A685,'전기원장'!$J$5:$J$1004,"확인 필요")+COUNTIFS('당기원장'!$A$5:$A$1004,A685,'당기원장'!$J$5:$J$1004,"확인 필요"))</x:f>
      </x:c>
      <x:c r="K685" s="85" t="str">
        <x:f>IF(A685="","",IF(H685&lt;&gt;"원인분석 대상","",IF(J685&gt;0,"붙임 문서 확인 후 원인 확정 필요","결의서명 기반 원인분류 검토")))</x:f>
      </x:c>
    </x:row>
    <x:row r="686">
      <x:c r="A686" s="73" t="str">
        <x:f>IFERROR(INDEX('계산도우미'!$B$5:$B$2004,MATCH(ROWS($A$5:A686),'계산도우미'!$K$5:$K$2004,0)),"")</x:f>
      </x:c>
      <x:c r="B686" s="73" t="str">
        <x:f>IF(A686="","",IFERROR(INDEX('당기원장'!$B$5:$B$1004,MATCH(A686,'당기원장'!$A$5:$A$1004,0)),IFERROR(INDEX('전기원장'!$B$5:$B$1004,MATCH(A686,'전기원장'!$A$5:$A$1004,0)),"")))</x:f>
      </x:c>
      <x:c r="C686" s="75" t="str">
        <x:f>IF(A686="","",SUMIF('전기원장'!$A$5:$A$1004,A686,'전기원장'!$H$5:$H$1004))</x:f>
      </x:c>
      <x:c r="D686" s="75" t="str">
        <x:f>IF(A686="","",SUMIF('당기원장'!$A$5:$A$1004,A686,'당기원장'!$H$5:$H$1004))</x:f>
      </x:c>
      <x:c r="E686" s="75" t="str">
        <x:f>IF(A686="","",D686-C686)</x:f>
      </x:c>
      <x:c r="F686" s="88" t="str">
        <x:f>IF(A686="","",IF(C686=0,IF(D686=0,0,1),ABS(E686)/ABS(C686)))</x:f>
      </x:c>
      <x:c r="G686" s="73" t="str">
        <x:f>IF(A686="","",IF(AND(C686=0,D686&lt;&gt;0),"신규",IF(AND(C686&lt;&gt;0,D686=0),"소멸",IF(E686=0,"변동없음","금액변동"))))</x:f>
      </x:c>
      <x:c r="H686" s="73" t="str">
        <x:f>IF(A686="","",IF(AND(ABS(E686)&gt;='기준설정'!$B$6,OR(G686="신규",G686="소멸",F686&gt;='기준설정'!$B$5)),"원인분석 대상","일반"))</x:f>
      </x:c>
      <x:c r="I686" s="73" t="str">
        <x:f>IF(A686="","",IF(H686="원인분석 대상","세부원인분석 시트에서 거래별 원인을 검토","-"))</x:f>
      </x:c>
      <x:c r="J686" s="73" t="str">
        <x:f>IF(A686="","",COUNTIFS('전기원장'!$A$5:$A$1004,A686,'전기원장'!$J$5:$J$1004,"확인 필요")+COUNTIFS('당기원장'!$A$5:$A$1004,A686,'당기원장'!$J$5:$J$1004,"확인 필요"))</x:f>
      </x:c>
      <x:c r="K686" s="85" t="str">
        <x:f>IF(A686="","",IF(H686&lt;&gt;"원인분석 대상","",IF(J686&gt;0,"붙임 문서 확인 후 원인 확정 필요","결의서명 기반 원인분류 검토")))</x:f>
      </x:c>
    </x:row>
    <x:row r="687">
      <x:c r="A687" s="73" t="str">
        <x:f>IFERROR(INDEX('계산도우미'!$B$5:$B$2004,MATCH(ROWS($A$5:A687),'계산도우미'!$K$5:$K$2004,0)),"")</x:f>
      </x:c>
      <x:c r="B687" s="73" t="str">
        <x:f>IF(A687="","",IFERROR(INDEX('당기원장'!$B$5:$B$1004,MATCH(A687,'당기원장'!$A$5:$A$1004,0)),IFERROR(INDEX('전기원장'!$B$5:$B$1004,MATCH(A687,'전기원장'!$A$5:$A$1004,0)),"")))</x:f>
      </x:c>
      <x:c r="C687" s="75" t="str">
        <x:f>IF(A687="","",SUMIF('전기원장'!$A$5:$A$1004,A687,'전기원장'!$H$5:$H$1004))</x:f>
      </x:c>
      <x:c r="D687" s="75" t="str">
        <x:f>IF(A687="","",SUMIF('당기원장'!$A$5:$A$1004,A687,'당기원장'!$H$5:$H$1004))</x:f>
      </x:c>
      <x:c r="E687" s="75" t="str">
        <x:f>IF(A687="","",D687-C687)</x:f>
      </x:c>
      <x:c r="F687" s="88" t="str">
        <x:f>IF(A687="","",IF(C687=0,IF(D687=0,0,1),ABS(E687)/ABS(C687)))</x:f>
      </x:c>
      <x:c r="G687" s="73" t="str">
        <x:f>IF(A687="","",IF(AND(C687=0,D687&lt;&gt;0),"신규",IF(AND(C687&lt;&gt;0,D687=0),"소멸",IF(E687=0,"변동없음","금액변동"))))</x:f>
      </x:c>
      <x:c r="H687" s="73" t="str">
        <x:f>IF(A687="","",IF(AND(ABS(E687)&gt;='기준설정'!$B$6,OR(G687="신규",G687="소멸",F687&gt;='기준설정'!$B$5)),"원인분석 대상","일반"))</x:f>
      </x:c>
      <x:c r="I687" s="73" t="str">
        <x:f>IF(A687="","",IF(H687="원인분석 대상","세부원인분석 시트에서 거래별 원인을 검토","-"))</x:f>
      </x:c>
      <x:c r="J687" s="73" t="str">
        <x:f>IF(A687="","",COUNTIFS('전기원장'!$A$5:$A$1004,A687,'전기원장'!$J$5:$J$1004,"확인 필요")+COUNTIFS('당기원장'!$A$5:$A$1004,A687,'당기원장'!$J$5:$J$1004,"확인 필요"))</x:f>
      </x:c>
      <x:c r="K687" s="85" t="str">
        <x:f>IF(A687="","",IF(H687&lt;&gt;"원인분석 대상","",IF(J687&gt;0,"붙임 문서 확인 후 원인 확정 필요","결의서명 기반 원인분류 검토")))</x:f>
      </x:c>
    </x:row>
    <x:row r="688">
      <x:c r="A688" s="73" t="str">
        <x:f>IFERROR(INDEX('계산도우미'!$B$5:$B$2004,MATCH(ROWS($A$5:A688),'계산도우미'!$K$5:$K$2004,0)),"")</x:f>
      </x:c>
      <x:c r="B688" s="73" t="str">
        <x:f>IF(A688="","",IFERROR(INDEX('당기원장'!$B$5:$B$1004,MATCH(A688,'당기원장'!$A$5:$A$1004,0)),IFERROR(INDEX('전기원장'!$B$5:$B$1004,MATCH(A688,'전기원장'!$A$5:$A$1004,0)),"")))</x:f>
      </x:c>
      <x:c r="C688" s="75" t="str">
        <x:f>IF(A688="","",SUMIF('전기원장'!$A$5:$A$1004,A688,'전기원장'!$H$5:$H$1004))</x:f>
      </x:c>
      <x:c r="D688" s="75" t="str">
        <x:f>IF(A688="","",SUMIF('당기원장'!$A$5:$A$1004,A688,'당기원장'!$H$5:$H$1004))</x:f>
      </x:c>
      <x:c r="E688" s="75" t="str">
        <x:f>IF(A688="","",D688-C688)</x:f>
      </x:c>
      <x:c r="F688" s="88" t="str">
        <x:f>IF(A688="","",IF(C688=0,IF(D688=0,0,1),ABS(E688)/ABS(C688)))</x:f>
      </x:c>
      <x:c r="G688" s="73" t="str">
        <x:f>IF(A688="","",IF(AND(C688=0,D688&lt;&gt;0),"신규",IF(AND(C688&lt;&gt;0,D688=0),"소멸",IF(E688=0,"변동없음","금액변동"))))</x:f>
      </x:c>
      <x:c r="H688" s="73" t="str">
        <x:f>IF(A688="","",IF(AND(ABS(E688)&gt;='기준설정'!$B$6,OR(G688="신규",G688="소멸",F688&gt;='기준설정'!$B$5)),"원인분석 대상","일반"))</x:f>
      </x:c>
      <x:c r="I688" s="73" t="str">
        <x:f>IF(A688="","",IF(H688="원인분석 대상","세부원인분석 시트에서 거래별 원인을 검토","-"))</x:f>
      </x:c>
      <x:c r="J688" s="73" t="str">
        <x:f>IF(A688="","",COUNTIFS('전기원장'!$A$5:$A$1004,A688,'전기원장'!$J$5:$J$1004,"확인 필요")+COUNTIFS('당기원장'!$A$5:$A$1004,A688,'당기원장'!$J$5:$J$1004,"확인 필요"))</x:f>
      </x:c>
      <x:c r="K688" s="85" t="str">
        <x:f>IF(A688="","",IF(H688&lt;&gt;"원인분석 대상","",IF(J688&gt;0,"붙임 문서 확인 후 원인 확정 필요","결의서명 기반 원인분류 검토")))</x:f>
      </x:c>
    </x:row>
    <x:row r="689">
      <x:c r="A689" s="73" t="str">
        <x:f>IFERROR(INDEX('계산도우미'!$B$5:$B$2004,MATCH(ROWS($A$5:A689),'계산도우미'!$K$5:$K$2004,0)),"")</x:f>
      </x:c>
      <x:c r="B689" s="73" t="str">
        <x:f>IF(A689="","",IFERROR(INDEX('당기원장'!$B$5:$B$1004,MATCH(A689,'당기원장'!$A$5:$A$1004,0)),IFERROR(INDEX('전기원장'!$B$5:$B$1004,MATCH(A689,'전기원장'!$A$5:$A$1004,0)),"")))</x:f>
      </x:c>
      <x:c r="C689" s="75" t="str">
        <x:f>IF(A689="","",SUMIF('전기원장'!$A$5:$A$1004,A689,'전기원장'!$H$5:$H$1004))</x:f>
      </x:c>
      <x:c r="D689" s="75" t="str">
        <x:f>IF(A689="","",SUMIF('당기원장'!$A$5:$A$1004,A689,'당기원장'!$H$5:$H$1004))</x:f>
      </x:c>
      <x:c r="E689" s="75" t="str">
        <x:f>IF(A689="","",D689-C689)</x:f>
      </x:c>
      <x:c r="F689" s="88" t="str">
        <x:f>IF(A689="","",IF(C689=0,IF(D689=0,0,1),ABS(E689)/ABS(C689)))</x:f>
      </x:c>
      <x:c r="G689" s="73" t="str">
        <x:f>IF(A689="","",IF(AND(C689=0,D689&lt;&gt;0),"신규",IF(AND(C689&lt;&gt;0,D689=0),"소멸",IF(E689=0,"변동없음","금액변동"))))</x:f>
      </x:c>
      <x:c r="H689" s="73" t="str">
        <x:f>IF(A689="","",IF(AND(ABS(E689)&gt;='기준설정'!$B$6,OR(G689="신규",G689="소멸",F689&gt;='기준설정'!$B$5)),"원인분석 대상","일반"))</x:f>
      </x:c>
      <x:c r="I689" s="73" t="str">
        <x:f>IF(A689="","",IF(H689="원인분석 대상","세부원인분석 시트에서 거래별 원인을 검토","-"))</x:f>
      </x:c>
      <x:c r="J689" s="73" t="str">
        <x:f>IF(A689="","",COUNTIFS('전기원장'!$A$5:$A$1004,A689,'전기원장'!$J$5:$J$1004,"확인 필요")+COUNTIFS('당기원장'!$A$5:$A$1004,A689,'당기원장'!$J$5:$J$1004,"확인 필요"))</x:f>
      </x:c>
      <x:c r="K689" s="85" t="str">
        <x:f>IF(A689="","",IF(H689&lt;&gt;"원인분석 대상","",IF(J689&gt;0,"붙임 문서 확인 후 원인 확정 필요","결의서명 기반 원인분류 검토")))</x:f>
      </x:c>
    </x:row>
    <x:row r="690">
      <x:c r="A690" s="73" t="str">
        <x:f>IFERROR(INDEX('계산도우미'!$B$5:$B$2004,MATCH(ROWS($A$5:A690),'계산도우미'!$K$5:$K$2004,0)),"")</x:f>
      </x:c>
      <x:c r="B690" s="73" t="str">
        <x:f>IF(A690="","",IFERROR(INDEX('당기원장'!$B$5:$B$1004,MATCH(A690,'당기원장'!$A$5:$A$1004,0)),IFERROR(INDEX('전기원장'!$B$5:$B$1004,MATCH(A690,'전기원장'!$A$5:$A$1004,0)),"")))</x:f>
      </x:c>
      <x:c r="C690" s="75" t="str">
        <x:f>IF(A690="","",SUMIF('전기원장'!$A$5:$A$1004,A690,'전기원장'!$H$5:$H$1004))</x:f>
      </x:c>
      <x:c r="D690" s="75" t="str">
        <x:f>IF(A690="","",SUMIF('당기원장'!$A$5:$A$1004,A690,'당기원장'!$H$5:$H$1004))</x:f>
      </x:c>
      <x:c r="E690" s="75" t="str">
        <x:f>IF(A690="","",D690-C690)</x:f>
      </x:c>
      <x:c r="F690" s="88" t="str">
        <x:f>IF(A690="","",IF(C690=0,IF(D690=0,0,1),ABS(E690)/ABS(C690)))</x:f>
      </x:c>
      <x:c r="G690" s="73" t="str">
        <x:f>IF(A690="","",IF(AND(C690=0,D690&lt;&gt;0),"신규",IF(AND(C690&lt;&gt;0,D690=0),"소멸",IF(E690=0,"변동없음","금액변동"))))</x:f>
      </x:c>
      <x:c r="H690" s="73" t="str">
        <x:f>IF(A690="","",IF(AND(ABS(E690)&gt;='기준설정'!$B$6,OR(G690="신규",G690="소멸",F690&gt;='기준설정'!$B$5)),"원인분석 대상","일반"))</x:f>
      </x:c>
      <x:c r="I690" s="73" t="str">
        <x:f>IF(A690="","",IF(H690="원인분석 대상","세부원인분석 시트에서 거래별 원인을 검토","-"))</x:f>
      </x:c>
      <x:c r="J690" s="73" t="str">
        <x:f>IF(A690="","",COUNTIFS('전기원장'!$A$5:$A$1004,A690,'전기원장'!$J$5:$J$1004,"확인 필요")+COUNTIFS('당기원장'!$A$5:$A$1004,A690,'당기원장'!$J$5:$J$1004,"확인 필요"))</x:f>
      </x:c>
      <x:c r="K690" s="85" t="str">
        <x:f>IF(A690="","",IF(H690&lt;&gt;"원인분석 대상","",IF(J690&gt;0,"붙임 문서 확인 후 원인 확정 필요","결의서명 기반 원인분류 검토")))</x:f>
      </x:c>
    </x:row>
    <x:row r="691">
      <x:c r="A691" s="73" t="str">
        <x:f>IFERROR(INDEX('계산도우미'!$B$5:$B$2004,MATCH(ROWS($A$5:A691),'계산도우미'!$K$5:$K$2004,0)),"")</x:f>
      </x:c>
      <x:c r="B691" s="73" t="str">
        <x:f>IF(A691="","",IFERROR(INDEX('당기원장'!$B$5:$B$1004,MATCH(A691,'당기원장'!$A$5:$A$1004,0)),IFERROR(INDEX('전기원장'!$B$5:$B$1004,MATCH(A691,'전기원장'!$A$5:$A$1004,0)),"")))</x:f>
      </x:c>
      <x:c r="C691" s="75" t="str">
        <x:f>IF(A691="","",SUMIF('전기원장'!$A$5:$A$1004,A691,'전기원장'!$H$5:$H$1004))</x:f>
      </x:c>
      <x:c r="D691" s="75" t="str">
        <x:f>IF(A691="","",SUMIF('당기원장'!$A$5:$A$1004,A691,'당기원장'!$H$5:$H$1004))</x:f>
      </x:c>
      <x:c r="E691" s="75" t="str">
        <x:f>IF(A691="","",D691-C691)</x:f>
      </x:c>
      <x:c r="F691" s="88" t="str">
        <x:f>IF(A691="","",IF(C691=0,IF(D691=0,0,1),ABS(E691)/ABS(C691)))</x:f>
      </x:c>
      <x:c r="G691" s="73" t="str">
        <x:f>IF(A691="","",IF(AND(C691=0,D691&lt;&gt;0),"신규",IF(AND(C691&lt;&gt;0,D691=0),"소멸",IF(E691=0,"변동없음","금액변동"))))</x:f>
      </x:c>
      <x:c r="H691" s="73" t="str">
        <x:f>IF(A691="","",IF(AND(ABS(E691)&gt;='기준설정'!$B$6,OR(G691="신규",G691="소멸",F691&gt;='기준설정'!$B$5)),"원인분석 대상","일반"))</x:f>
      </x:c>
      <x:c r="I691" s="73" t="str">
        <x:f>IF(A691="","",IF(H691="원인분석 대상","세부원인분석 시트에서 거래별 원인을 검토","-"))</x:f>
      </x:c>
      <x:c r="J691" s="73" t="str">
        <x:f>IF(A691="","",COUNTIFS('전기원장'!$A$5:$A$1004,A691,'전기원장'!$J$5:$J$1004,"확인 필요")+COUNTIFS('당기원장'!$A$5:$A$1004,A691,'당기원장'!$J$5:$J$1004,"확인 필요"))</x:f>
      </x:c>
      <x:c r="K691" s="85" t="str">
        <x:f>IF(A691="","",IF(H691&lt;&gt;"원인분석 대상","",IF(J691&gt;0,"붙임 문서 확인 후 원인 확정 필요","결의서명 기반 원인분류 검토")))</x:f>
      </x:c>
    </x:row>
    <x:row r="692">
      <x:c r="A692" s="73" t="str">
        <x:f>IFERROR(INDEX('계산도우미'!$B$5:$B$2004,MATCH(ROWS($A$5:A692),'계산도우미'!$K$5:$K$2004,0)),"")</x:f>
      </x:c>
      <x:c r="B692" s="73" t="str">
        <x:f>IF(A692="","",IFERROR(INDEX('당기원장'!$B$5:$B$1004,MATCH(A692,'당기원장'!$A$5:$A$1004,0)),IFERROR(INDEX('전기원장'!$B$5:$B$1004,MATCH(A692,'전기원장'!$A$5:$A$1004,0)),"")))</x:f>
      </x:c>
      <x:c r="C692" s="75" t="str">
        <x:f>IF(A692="","",SUMIF('전기원장'!$A$5:$A$1004,A692,'전기원장'!$H$5:$H$1004))</x:f>
      </x:c>
      <x:c r="D692" s="75" t="str">
        <x:f>IF(A692="","",SUMIF('당기원장'!$A$5:$A$1004,A692,'당기원장'!$H$5:$H$1004))</x:f>
      </x:c>
      <x:c r="E692" s="75" t="str">
        <x:f>IF(A692="","",D692-C692)</x:f>
      </x:c>
      <x:c r="F692" s="88" t="str">
        <x:f>IF(A692="","",IF(C692=0,IF(D692=0,0,1),ABS(E692)/ABS(C692)))</x:f>
      </x:c>
      <x:c r="G692" s="73" t="str">
        <x:f>IF(A692="","",IF(AND(C692=0,D692&lt;&gt;0),"신규",IF(AND(C692&lt;&gt;0,D692=0),"소멸",IF(E692=0,"변동없음","금액변동"))))</x:f>
      </x:c>
      <x:c r="H692" s="73" t="str">
        <x:f>IF(A692="","",IF(AND(ABS(E692)&gt;='기준설정'!$B$6,OR(G692="신규",G692="소멸",F692&gt;='기준설정'!$B$5)),"원인분석 대상","일반"))</x:f>
      </x:c>
      <x:c r="I692" s="73" t="str">
        <x:f>IF(A692="","",IF(H692="원인분석 대상","세부원인분석 시트에서 거래별 원인을 검토","-"))</x:f>
      </x:c>
      <x:c r="J692" s="73" t="str">
        <x:f>IF(A692="","",COUNTIFS('전기원장'!$A$5:$A$1004,A692,'전기원장'!$J$5:$J$1004,"확인 필요")+COUNTIFS('당기원장'!$A$5:$A$1004,A692,'당기원장'!$J$5:$J$1004,"확인 필요"))</x:f>
      </x:c>
      <x:c r="K692" s="85" t="str">
        <x:f>IF(A692="","",IF(H692&lt;&gt;"원인분석 대상","",IF(J692&gt;0,"붙임 문서 확인 후 원인 확정 필요","결의서명 기반 원인분류 검토")))</x:f>
      </x:c>
    </x:row>
    <x:row r="693">
      <x:c r="A693" s="73" t="str">
        <x:f>IFERROR(INDEX('계산도우미'!$B$5:$B$2004,MATCH(ROWS($A$5:A693),'계산도우미'!$K$5:$K$2004,0)),"")</x:f>
      </x:c>
      <x:c r="B693" s="73" t="str">
        <x:f>IF(A693="","",IFERROR(INDEX('당기원장'!$B$5:$B$1004,MATCH(A693,'당기원장'!$A$5:$A$1004,0)),IFERROR(INDEX('전기원장'!$B$5:$B$1004,MATCH(A693,'전기원장'!$A$5:$A$1004,0)),"")))</x:f>
      </x:c>
      <x:c r="C693" s="75" t="str">
        <x:f>IF(A693="","",SUMIF('전기원장'!$A$5:$A$1004,A693,'전기원장'!$H$5:$H$1004))</x:f>
      </x:c>
      <x:c r="D693" s="75" t="str">
        <x:f>IF(A693="","",SUMIF('당기원장'!$A$5:$A$1004,A693,'당기원장'!$H$5:$H$1004))</x:f>
      </x:c>
      <x:c r="E693" s="75" t="str">
        <x:f>IF(A693="","",D693-C693)</x:f>
      </x:c>
      <x:c r="F693" s="88" t="str">
        <x:f>IF(A693="","",IF(C693=0,IF(D693=0,0,1),ABS(E693)/ABS(C693)))</x:f>
      </x:c>
      <x:c r="G693" s="73" t="str">
        <x:f>IF(A693="","",IF(AND(C693=0,D693&lt;&gt;0),"신규",IF(AND(C693&lt;&gt;0,D693=0),"소멸",IF(E693=0,"변동없음","금액변동"))))</x:f>
      </x:c>
      <x:c r="H693" s="73" t="str">
        <x:f>IF(A693="","",IF(AND(ABS(E693)&gt;='기준설정'!$B$6,OR(G693="신규",G693="소멸",F693&gt;='기준설정'!$B$5)),"원인분석 대상","일반"))</x:f>
      </x:c>
      <x:c r="I693" s="73" t="str">
        <x:f>IF(A693="","",IF(H693="원인분석 대상","세부원인분석 시트에서 거래별 원인을 검토","-"))</x:f>
      </x:c>
      <x:c r="J693" s="73" t="str">
        <x:f>IF(A693="","",COUNTIFS('전기원장'!$A$5:$A$1004,A693,'전기원장'!$J$5:$J$1004,"확인 필요")+COUNTIFS('당기원장'!$A$5:$A$1004,A693,'당기원장'!$J$5:$J$1004,"확인 필요"))</x:f>
      </x:c>
      <x:c r="K693" s="85" t="str">
        <x:f>IF(A693="","",IF(H693&lt;&gt;"원인분석 대상","",IF(J693&gt;0,"붙임 문서 확인 후 원인 확정 필요","결의서명 기반 원인분류 검토")))</x:f>
      </x:c>
    </x:row>
    <x:row r="694">
      <x:c r="A694" s="73" t="str">
        <x:f>IFERROR(INDEX('계산도우미'!$B$5:$B$2004,MATCH(ROWS($A$5:A694),'계산도우미'!$K$5:$K$2004,0)),"")</x:f>
      </x:c>
      <x:c r="B694" s="73" t="str">
        <x:f>IF(A694="","",IFERROR(INDEX('당기원장'!$B$5:$B$1004,MATCH(A694,'당기원장'!$A$5:$A$1004,0)),IFERROR(INDEX('전기원장'!$B$5:$B$1004,MATCH(A694,'전기원장'!$A$5:$A$1004,0)),"")))</x:f>
      </x:c>
      <x:c r="C694" s="75" t="str">
        <x:f>IF(A694="","",SUMIF('전기원장'!$A$5:$A$1004,A694,'전기원장'!$H$5:$H$1004))</x:f>
      </x:c>
      <x:c r="D694" s="75" t="str">
        <x:f>IF(A694="","",SUMIF('당기원장'!$A$5:$A$1004,A694,'당기원장'!$H$5:$H$1004))</x:f>
      </x:c>
      <x:c r="E694" s="75" t="str">
        <x:f>IF(A694="","",D694-C694)</x:f>
      </x:c>
      <x:c r="F694" s="88" t="str">
        <x:f>IF(A694="","",IF(C694=0,IF(D694=0,0,1),ABS(E694)/ABS(C694)))</x:f>
      </x:c>
      <x:c r="G694" s="73" t="str">
        <x:f>IF(A694="","",IF(AND(C694=0,D694&lt;&gt;0),"신규",IF(AND(C694&lt;&gt;0,D694=0),"소멸",IF(E694=0,"변동없음","금액변동"))))</x:f>
      </x:c>
      <x:c r="H694" s="73" t="str">
        <x:f>IF(A694="","",IF(AND(ABS(E694)&gt;='기준설정'!$B$6,OR(G694="신규",G694="소멸",F694&gt;='기준설정'!$B$5)),"원인분석 대상","일반"))</x:f>
      </x:c>
      <x:c r="I694" s="73" t="str">
        <x:f>IF(A694="","",IF(H694="원인분석 대상","세부원인분석 시트에서 거래별 원인을 검토","-"))</x:f>
      </x:c>
      <x:c r="J694" s="73" t="str">
        <x:f>IF(A694="","",COUNTIFS('전기원장'!$A$5:$A$1004,A694,'전기원장'!$J$5:$J$1004,"확인 필요")+COUNTIFS('당기원장'!$A$5:$A$1004,A694,'당기원장'!$J$5:$J$1004,"확인 필요"))</x:f>
      </x:c>
      <x:c r="K694" s="85" t="str">
        <x:f>IF(A694="","",IF(H694&lt;&gt;"원인분석 대상","",IF(J694&gt;0,"붙임 문서 확인 후 원인 확정 필요","결의서명 기반 원인분류 검토")))</x:f>
      </x:c>
    </x:row>
    <x:row r="695">
      <x:c r="A695" s="73" t="str">
        <x:f>IFERROR(INDEX('계산도우미'!$B$5:$B$2004,MATCH(ROWS($A$5:A695),'계산도우미'!$K$5:$K$2004,0)),"")</x:f>
      </x:c>
      <x:c r="B695" s="73" t="str">
        <x:f>IF(A695="","",IFERROR(INDEX('당기원장'!$B$5:$B$1004,MATCH(A695,'당기원장'!$A$5:$A$1004,0)),IFERROR(INDEX('전기원장'!$B$5:$B$1004,MATCH(A695,'전기원장'!$A$5:$A$1004,0)),"")))</x:f>
      </x:c>
      <x:c r="C695" s="75" t="str">
        <x:f>IF(A695="","",SUMIF('전기원장'!$A$5:$A$1004,A695,'전기원장'!$H$5:$H$1004))</x:f>
      </x:c>
      <x:c r="D695" s="75" t="str">
        <x:f>IF(A695="","",SUMIF('당기원장'!$A$5:$A$1004,A695,'당기원장'!$H$5:$H$1004))</x:f>
      </x:c>
      <x:c r="E695" s="75" t="str">
        <x:f>IF(A695="","",D695-C695)</x:f>
      </x:c>
      <x:c r="F695" s="88" t="str">
        <x:f>IF(A695="","",IF(C695=0,IF(D695=0,0,1),ABS(E695)/ABS(C695)))</x:f>
      </x:c>
      <x:c r="G695" s="73" t="str">
        <x:f>IF(A695="","",IF(AND(C695=0,D695&lt;&gt;0),"신규",IF(AND(C695&lt;&gt;0,D695=0),"소멸",IF(E695=0,"변동없음","금액변동"))))</x:f>
      </x:c>
      <x:c r="H695" s="73" t="str">
        <x:f>IF(A695="","",IF(AND(ABS(E695)&gt;='기준설정'!$B$6,OR(G695="신규",G695="소멸",F695&gt;='기준설정'!$B$5)),"원인분석 대상","일반"))</x:f>
      </x:c>
      <x:c r="I695" s="73" t="str">
        <x:f>IF(A695="","",IF(H695="원인분석 대상","세부원인분석 시트에서 거래별 원인을 검토","-"))</x:f>
      </x:c>
      <x:c r="J695" s="73" t="str">
        <x:f>IF(A695="","",COUNTIFS('전기원장'!$A$5:$A$1004,A695,'전기원장'!$J$5:$J$1004,"확인 필요")+COUNTIFS('당기원장'!$A$5:$A$1004,A695,'당기원장'!$J$5:$J$1004,"확인 필요"))</x:f>
      </x:c>
      <x:c r="K695" s="85" t="str">
        <x:f>IF(A695="","",IF(H695&lt;&gt;"원인분석 대상","",IF(J695&gt;0,"붙임 문서 확인 후 원인 확정 필요","결의서명 기반 원인분류 검토")))</x:f>
      </x:c>
    </x:row>
    <x:row r="696">
      <x:c r="A696" s="73" t="str">
        <x:f>IFERROR(INDEX('계산도우미'!$B$5:$B$2004,MATCH(ROWS($A$5:A696),'계산도우미'!$K$5:$K$2004,0)),"")</x:f>
      </x:c>
      <x:c r="B696" s="73" t="str">
        <x:f>IF(A696="","",IFERROR(INDEX('당기원장'!$B$5:$B$1004,MATCH(A696,'당기원장'!$A$5:$A$1004,0)),IFERROR(INDEX('전기원장'!$B$5:$B$1004,MATCH(A696,'전기원장'!$A$5:$A$1004,0)),"")))</x:f>
      </x:c>
      <x:c r="C696" s="75" t="str">
        <x:f>IF(A696="","",SUMIF('전기원장'!$A$5:$A$1004,A696,'전기원장'!$H$5:$H$1004))</x:f>
      </x:c>
      <x:c r="D696" s="75" t="str">
        <x:f>IF(A696="","",SUMIF('당기원장'!$A$5:$A$1004,A696,'당기원장'!$H$5:$H$1004))</x:f>
      </x:c>
      <x:c r="E696" s="75" t="str">
        <x:f>IF(A696="","",D696-C696)</x:f>
      </x:c>
      <x:c r="F696" s="88" t="str">
        <x:f>IF(A696="","",IF(C696=0,IF(D696=0,0,1),ABS(E696)/ABS(C696)))</x:f>
      </x:c>
      <x:c r="G696" s="73" t="str">
        <x:f>IF(A696="","",IF(AND(C696=0,D696&lt;&gt;0),"신규",IF(AND(C696&lt;&gt;0,D696=0),"소멸",IF(E696=0,"변동없음","금액변동"))))</x:f>
      </x:c>
      <x:c r="H696" s="73" t="str">
        <x:f>IF(A696="","",IF(AND(ABS(E696)&gt;='기준설정'!$B$6,OR(G696="신규",G696="소멸",F696&gt;='기준설정'!$B$5)),"원인분석 대상","일반"))</x:f>
      </x:c>
      <x:c r="I696" s="73" t="str">
        <x:f>IF(A696="","",IF(H696="원인분석 대상","세부원인분석 시트에서 거래별 원인을 검토","-"))</x:f>
      </x:c>
      <x:c r="J696" s="73" t="str">
        <x:f>IF(A696="","",COUNTIFS('전기원장'!$A$5:$A$1004,A696,'전기원장'!$J$5:$J$1004,"확인 필요")+COUNTIFS('당기원장'!$A$5:$A$1004,A696,'당기원장'!$J$5:$J$1004,"확인 필요"))</x:f>
      </x:c>
      <x:c r="K696" s="85" t="str">
        <x:f>IF(A696="","",IF(H696&lt;&gt;"원인분석 대상","",IF(J696&gt;0,"붙임 문서 확인 후 원인 확정 필요","결의서명 기반 원인분류 검토")))</x:f>
      </x:c>
    </x:row>
    <x:row r="697">
      <x:c r="A697" s="73" t="str">
        <x:f>IFERROR(INDEX('계산도우미'!$B$5:$B$2004,MATCH(ROWS($A$5:A697),'계산도우미'!$K$5:$K$2004,0)),"")</x:f>
      </x:c>
      <x:c r="B697" s="73" t="str">
        <x:f>IF(A697="","",IFERROR(INDEX('당기원장'!$B$5:$B$1004,MATCH(A697,'당기원장'!$A$5:$A$1004,0)),IFERROR(INDEX('전기원장'!$B$5:$B$1004,MATCH(A697,'전기원장'!$A$5:$A$1004,0)),"")))</x:f>
      </x:c>
      <x:c r="C697" s="75" t="str">
        <x:f>IF(A697="","",SUMIF('전기원장'!$A$5:$A$1004,A697,'전기원장'!$H$5:$H$1004))</x:f>
      </x:c>
      <x:c r="D697" s="75" t="str">
        <x:f>IF(A697="","",SUMIF('당기원장'!$A$5:$A$1004,A697,'당기원장'!$H$5:$H$1004))</x:f>
      </x:c>
      <x:c r="E697" s="75" t="str">
        <x:f>IF(A697="","",D697-C697)</x:f>
      </x:c>
      <x:c r="F697" s="88" t="str">
        <x:f>IF(A697="","",IF(C697=0,IF(D697=0,0,1),ABS(E697)/ABS(C697)))</x:f>
      </x:c>
      <x:c r="G697" s="73" t="str">
        <x:f>IF(A697="","",IF(AND(C697=0,D697&lt;&gt;0),"신규",IF(AND(C697&lt;&gt;0,D697=0),"소멸",IF(E697=0,"변동없음","금액변동"))))</x:f>
      </x:c>
      <x:c r="H697" s="73" t="str">
        <x:f>IF(A697="","",IF(AND(ABS(E697)&gt;='기준설정'!$B$6,OR(G697="신규",G697="소멸",F697&gt;='기준설정'!$B$5)),"원인분석 대상","일반"))</x:f>
      </x:c>
      <x:c r="I697" s="73" t="str">
        <x:f>IF(A697="","",IF(H697="원인분석 대상","세부원인분석 시트에서 거래별 원인을 검토","-"))</x:f>
      </x:c>
      <x:c r="J697" s="73" t="str">
        <x:f>IF(A697="","",COUNTIFS('전기원장'!$A$5:$A$1004,A697,'전기원장'!$J$5:$J$1004,"확인 필요")+COUNTIFS('당기원장'!$A$5:$A$1004,A697,'당기원장'!$J$5:$J$1004,"확인 필요"))</x:f>
      </x:c>
      <x:c r="K697" s="85" t="str">
        <x:f>IF(A697="","",IF(H697&lt;&gt;"원인분석 대상","",IF(J697&gt;0,"붙임 문서 확인 후 원인 확정 필요","결의서명 기반 원인분류 검토")))</x:f>
      </x:c>
    </x:row>
    <x:row r="698">
      <x:c r="A698" s="73" t="str">
        <x:f>IFERROR(INDEX('계산도우미'!$B$5:$B$2004,MATCH(ROWS($A$5:A698),'계산도우미'!$K$5:$K$2004,0)),"")</x:f>
      </x:c>
      <x:c r="B698" s="73" t="str">
        <x:f>IF(A698="","",IFERROR(INDEX('당기원장'!$B$5:$B$1004,MATCH(A698,'당기원장'!$A$5:$A$1004,0)),IFERROR(INDEX('전기원장'!$B$5:$B$1004,MATCH(A698,'전기원장'!$A$5:$A$1004,0)),"")))</x:f>
      </x:c>
      <x:c r="C698" s="75" t="str">
        <x:f>IF(A698="","",SUMIF('전기원장'!$A$5:$A$1004,A698,'전기원장'!$H$5:$H$1004))</x:f>
      </x:c>
      <x:c r="D698" s="75" t="str">
        <x:f>IF(A698="","",SUMIF('당기원장'!$A$5:$A$1004,A698,'당기원장'!$H$5:$H$1004))</x:f>
      </x:c>
      <x:c r="E698" s="75" t="str">
        <x:f>IF(A698="","",D698-C698)</x:f>
      </x:c>
      <x:c r="F698" s="88" t="str">
        <x:f>IF(A698="","",IF(C698=0,IF(D698=0,0,1),ABS(E698)/ABS(C698)))</x:f>
      </x:c>
      <x:c r="G698" s="73" t="str">
        <x:f>IF(A698="","",IF(AND(C698=0,D698&lt;&gt;0),"신규",IF(AND(C698&lt;&gt;0,D698=0),"소멸",IF(E698=0,"변동없음","금액변동"))))</x:f>
      </x:c>
      <x:c r="H698" s="73" t="str">
        <x:f>IF(A698="","",IF(AND(ABS(E698)&gt;='기준설정'!$B$6,OR(G698="신규",G698="소멸",F698&gt;='기준설정'!$B$5)),"원인분석 대상","일반"))</x:f>
      </x:c>
      <x:c r="I698" s="73" t="str">
        <x:f>IF(A698="","",IF(H698="원인분석 대상","세부원인분석 시트에서 거래별 원인을 검토","-"))</x:f>
      </x:c>
      <x:c r="J698" s="73" t="str">
        <x:f>IF(A698="","",COUNTIFS('전기원장'!$A$5:$A$1004,A698,'전기원장'!$J$5:$J$1004,"확인 필요")+COUNTIFS('당기원장'!$A$5:$A$1004,A698,'당기원장'!$J$5:$J$1004,"확인 필요"))</x:f>
      </x:c>
      <x:c r="K698" s="85" t="str">
        <x:f>IF(A698="","",IF(H698&lt;&gt;"원인분석 대상","",IF(J698&gt;0,"붙임 문서 확인 후 원인 확정 필요","결의서명 기반 원인분류 검토")))</x:f>
      </x:c>
    </x:row>
    <x:row r="699">
      <x:c r="A699" s="73" t="str">
        <x:f>IFERROR(INDEX('계산도우미'!$B$5:$B$2004,MATCH(ROWS($A$5:A699),'계산도우미'!$K$5:$K$2004,0)),"")</x:f>
      </x:c>
      <x:c r="B699" s="73" t="str">
        <x:f>IF(A699="","",IFERROR(INDEX('당기원장'!$B$5:$B$1004,MATCH(A699,'당기원장'!$A$5:$A$1004,0)),IFERROR(INDEX('전기원장'!$B$5:$B$1004,MATCH(A699,'전기원장'!$A$5:$A$1004,0)),"")))</x:f>
      </x:c>
      <x:c r="C699" s="75" t="str">
        <x:f>IF(A699="","",SUMIF('전기원장'!$A$5:$A$1004,A699,'전기원장'!$H$5:$H$1004))</x:f>
      </x:c>
      <x:c r="D699" s="75" t="str">
        <x:f>IF(A699="","",SUMIF('당기원장'!$A$5:$A$1004,A699,'당기원장'!$H$5:$H$1004))</x:f>
      </x:c>
      <x:c r="E699" s="75" t="str">
        <x:f>IF(A699="","",D699-C699)</x:f>
      </x:c>
      <x:c r="F699" s="88" t="str">
        <x:f>IF(A699="","",IF(C699=0,IF(D699=0,0,1),ABS(E699)/ABS(C699)))</x:f>
      </x:c>
      <x:c r="G699" s="73" t="str">
        <x:f>IF(A699="","",IF(AND(C699=0,D699&lt;&gt;0),"신규",IF(AND(C699&lt;&gt;0,D699=0),"소멸",IF(E699=0,"변동없음","금액변동"))))</x:f>
      </x:c>
      <x:c r="H699" s="73" t="str">
        <x:f>IF(A699="","",IF(AND(ABS(E699)&gt;='기준설정'!$B$6,OR(G699="신규",G699="소멸",F699&gt;='기준설정'!$B$5)),"원인분석 대상","일반"))</x:f>
      </x:c>
      <x:c r="I699" s="73" t="str">
        <x:f>IF(A699="","",IF(H699="원인분석 대상","세부원인분석 시트에서 거래별 원인을 검토","-"))</x:f>
      </x:c>
      <x:c r="J699" s="73" t="str">
        <x:f>IF(A699="","",COUNTIFS('전기원장'!$A$5:$A$1004,A699,'전기원장'!$J$5:$J$1004,"확인 필요")+COUNTIFS('당기원장'!$A$5:$A$1004,A699,'당기원장'!$J$5:$J$1004,"확인 필요"))</x:f>
      </x:c>
      <x:c r="K699" s="85" t="str">
        <x:f>IF(A699="","",IF(H699&lt;&gt;"원인분석 대상","",IF(J699&gt;0,"붙임 문서 확인 후 원인 확정 필요","결의서명 기반 원인분류 검토")))</x:f>
      </x:c>
    </x:row>
    <x:row r="700">
      <x:c r="A700" s="73" t="str">
        <x:f>IFERROR(INDEX('계산도우미'!$B$5:$B$2004,MATCH(ROWS($A$5:A700),'계산도우미'!$K$5:$K$2004,0)),"")</x:f>
      </x:c>
      <x:c r="B700" s="73" t="str">
        <x:f>IF(A700="","",IFERROR(INDEX('당기원장'!$B$5:$B$1004,MATCH(A700,'당기원장'!$A$5:$A$1004,0)),IFERROR(INDEX('전기원장'!$B$5:$B$1004,MATCH(A700,'전기원장'!$A$5:$A$1004,0)),"")))</x:f>
      </x:c>
      <x:c r="C700" s="75" t="str">
        <x:f>IF(A700="","",SUMIF('전기원장'!$A$5:$A$1004,A700,'전기원장'!$H$5:$H$1004))</x:f>
      </x:c>
      <x:c r="D700" s="75" t="str">
        <x:f>IF(A700="","",SUMIF('당기원장'!$A$5:$A$1004,A700,'당기원장'!$H$5:$H$1004))</x:f>
      </x:c>
      <x:c r="E700" s="75" t="str">
        <x:f>IF(A700="","",D700-C700)</x:f>
      </x:c>
      <x:c r="F700" s="88" t="str">
        <x:f>IF(A700="","",IF(C700=0,IF(D700=0,0,1),ABS(E700)/ABS(C700)))</x:f>
      </x:c>
      <x:c r="G700" s="73" t="str">
        <x:f>IF(A700="","",IF(AND(C700=0,D700&lt;&gt;0),"신규",IF(AND(C700&lt;&gt;0,D700=0),"소멸",IF(E700=0,"변동없음","금액변동"))))</x:f>
      </x:c>
      <x:c r="H700" s="73" t="str">
        <x:f>IF(A700="","",IF(AND(ABS(E700)&gt;='기준설정'!$B$6,OR(G700="신규",G700="소멸",F700&gt;='기준설정'!$B$5)),"원인분석 대상","일반"))</x:f>
      </x:c>
      <x:c r="I700" s="73" t="str">
        <x:f>IF(A700="","",IF(H700="원인분석 대상","세부원인분석 시트에서 거래별 원인을 검토","-"))</x:f>
      </x:c>
      <x:c r="J700" s="73" t="str">
        <x:f>IF(A700="","",COUNTIFS('전기원장'!$A$5:$A$1004,A700,'전기원장'!$J$5:$J$1004,"확인 필요")+COUNTIFS('당기원장'!$A$5:$A$1004,A700,'당기원장'!$J$5:$J$1004,"확인 필요"))</x:f>
      </x:c>
      <x:c r="K700" s="85" t="str">
        <x:f>IF(A700="","",IF(H700&lt;&gt;"원인분석 대상","",IF(J700&gt;0,"붙임 문서 확인 후 원인 확정 필요","결의서명 기반 원인분류 검토")))</x:f>
      </x:c>
    </x:row>
    <x:row r="701">
      <x:c r="A701" s="73" t="str">
        <x:f>IFERROR(INDEX('계산도우미'!$B$5:$B$2004,MATCH(ROWS($A$5:A701),'계산도우미'!$K$5:$K$2004,0)),"")</x:f>
      </x:c>
      <x:c r="B701" s="73" t="str">
        <x:f>IF(A701="","",IFERROR(INDEX('당기원장'!$B$5:$B$1004,MATCH(A701,'당기원장'!$A$5:$A$1004,0)),IFERROR(INDEX('전기원장'!$B$5:$B$1004,MATCH(A701,'전기원장'!$A$5:$A$1004,0)),"")))</x:f>
      </x:c>
      <x:c r="C701" s="75" t="str">
        <x:f>IF(A701="","",SUMIF('전기원장'!$A$5:$A$1004,A701,'전기원장'!$H$5:$H$1004))</x:f>
      </x:c>
      <x:c r="D701" s="75" t="str">
        <x:f>IF(A701="","",SUMIF('당기원장'!$A$5:$A$1004,A701,'당기원장'!$H$5:$H$1004))</x:f>
      </x:c>
      <x:c r="E701" s="75" t="str">
        <x:f>IF(A701="","",D701-C701)</x:f>
      </x:c>
      <x:c r="F701" s="88" t="str">
        <x:f>IF(A701="","",IF(C701=0,IF(D701=0,0,1),ABS(E701)/ABS(C701)))</x:f>
      </x:c>
      <x:c r="G701" s="73" t="str">
        <x:f>IF(A701="","",IF(AND(C701=0,D701&lt;&gt;0),"신규",IF(AND(C701&lt;&gt;0,D701=0),"소멸",IF(E701=0,"변동없음","금액변동"))))</x:f>
      </x:c>
      <x:c r="H701" s="73" t="str">
        <x:f>IF(A701="","",IF(AND(ABS(E701)&gt;='기준설정'!$B$6,OR(G701="신규",G701="소멸",F701&gt;='기준설정'!$B$5)),"원인분석 대상","일반"))</x:f>
      </x:c>
      <x:c r="I701" s="73" t="str">
        <x:f>IF(A701="","",IF(H701="원인분석 대상","세부원인분석 시트에서 거래별 원인을 검토","-"))</x:f>
      </x:c>
      <x:c r="J701" s="73" t="str">
        <x:f>IF(A701="","",COUNTIFS('전기원장'!$A$5:$A$1004,A701,'전기원장'!$J$5:$J$1004,"확인 필요")+COUNTIFS('당기원장'!$A$5:$A$1004,A701,'당기원장'!$J$5:$J$1004,"확인 필요"))</x:f>
      </x:c>
      <x:c r="K701" s="85" t="str">
        <x:f>IF(A701="","",IF(H701&lt;&gt;"원인분석 대상","",IF(J701&gt;0,"붙임 문서 확인 후 원인 확정 필요","결의서명 기반 원인분류 검토")))</x:f>
      </x:c>
    </x:row>
    <x:row r="702">
      <x:c r="A702" s="73" t="str">
        <x:f>IFERROR(INDEX('계산도우미'!$B$5:$B$2004,MATCH(ROWS($A$5:A702),'계산도우미'!$K$5:$K$2004,0)),"")</x:f>
      </x:c>
      <x:c r="B702" s="73" t="str">
        <x:f>IF(A702="","",IFERROR(INDEX('당기원장'!$B$5:$B$1004,MATCH(A702,'당기원장'!$A$5:$A$1004,0)),IFERROR(INDEX('전기원장'!$B$5:$B$1004,MATCH(A702,'전기원장'!$A$5:$A$1004,0)),"")))</x:f>
      </x:c>
      <x:c r="C702" s="75" t="str">
        <x:f>IF(A702="","",SUMIF('전기원장'!$A$5:$A$1004,A702,'전기원장'!$H$5:$H$1004))</x:f>
      </x:c>
      <x:c r="D702" s="75" t="str">
        <x:f>IF(A702="","",SUMIF('당기원장'!$A$5:$A$1004,A702,'당기원장'!$H$5:$H$1004))</x:f>
      </x:c>
      <x:c r="E702" s="75" t="str">
        <x:f>IF(A702="","",D702-C702)</x:f>
      </x:c>
      <x:c r="F702" s="88" t="str">
        <x:f>IF(A702="","",IF(C702=0,IF(D702=0,0,1),ABS(E702)/ABS(C702)))</x:f>
      </x:c>
      <x:c r="G702" s="73" t="str">
        <x:f>IF(A702="","",IF(AND(C702=0,D702&lt;&gt;0),"신규",IF(AND(C702&lt;&gt;0,D702=0),"소멸",IF(E702=0,"변동없음","금액변동"))))</x:f>
      </x:c>
      <x:c r="H702" s="73" t="str">
        <x:f>IF(A702="","",IF(AND(ABS(E702)&gt;='기준설정'!$B$6,OR(G702="신규",G702="소멸",F702&gt;='기준설정'!$B$5)),"원인분석 대상","일반"))</x:f>
      </x:c>
      <x:c r="I702" s="73" t="str">
        <x:f>IF(A702="","",IF(H702="원인분석 대상","세부원인분석 시트에서 거래별 원인을 검토","-"))</x:f>
      </x:c>
      <x:c r="J702" s="73" t="str">
        <x:f>IF(A702="","",COUNTIFS('전기원장'!$A$5:$A$1004,A702,'전기원장'!$J$5:$J$1004,"확인 필요")+COUNTIFS('당기원장'!$A$5:$A$1004,A702,'당기원장'!$J$5:$J$1004,"확인 필요"))</x:f>
      </x:c>
      <x:c r="K702" s="85" t="str">
        <x:f>IF(A702="","",IF(H702&lt;&gt;"원인분석 대상","",IF(J702&gt;0,"붙임 문서 확인 후 원인 확정 필요","결의서명 기반 원인분류 검토")))</x:f>
      </x:c>
    </x:row>
    <x:row r="703">
      <x:c r="A703" s="73" t="str">
        <x:f>IFERROR(INDEX('계산도우미'!$B$5:$B$2004,MATCH(ROWS($A$5:A703),'계산도우미'!$K$5:$K$2004,0)),"")</x:f>
      </x:c>
      <x:c r="B703" s="73" t="str">
        <x:f>IF(A703="","",IFERROR(INDEX('당기원장'!$B$5:$B$1004,MATCH(A703,'당기원장'!$A$5:$A$1004,0)),IFERROR(INDEX('전기원장'!$B$5:$B$1004,MATCH(A703,'전기원장'!$A$5:$A$1004,0)),"")))</x:f>
      </x:c>
      <x:c r="C703" s="75" t="str">
        <x:f>IF(A703="","",SUMIF('전기원장'!$A$5:$A$1004,A703,'전기원장'!$H$5:$H$1004))</x:f>
      </x:c>
      <x:c r="D703" s="75" t="str">
        <x:f>IF(A703="","",SUMIF('당기원장'!$A$5:$A$1004,A703,'당기원장'!$H$5:$H$1004))</x:f>
      </x:c>
      <x:c r="E703" s="75" t="str">
        <x:f>IF(A703="","",D703-C703)</x:f>
      </x:c>
      <x:c r="F703" s="88" t="str">
        <x:f>IF(A703="","",IF(C703=0,IF(D703=0,0,1),ABS(E703)/ABS(C703)))</x:f>
      </x:c>
      <x:c r="G703" s="73" t="str">
        <x:f>IF(A703="","",IF(AND(C703=0,D703&lt;&gt;0),"신규",IF(AND(C703&lt;&gt;0,D703=0),"소멸",IF(E703=0,"변동없음","금액변동"))))</x:f>
      </x:c>
      <x:c r="H703" s="73" t="str">
        <x:f>IF(A703="","",IF(AND(ABS(E703)&gt;='기준설정'!$B$6,OR(G703="신규",G703="소멸",F703&gt;='기준설정'!$B$5)),"원인분석 대상","일반"))</x:f>
      </x:c>
      <x:c r="I703" s="73" t="str">
        <x:f>IF(A703="","",IF(H703="원인분석 대상","세부원인분석 시트에서 거래별 원인을 검토","-"))</x:f>
      </x:c>
      <x:c r="J703" s="73" t="str">
        <x:f>IF(A703="","",COUNTIFS('전기원장'!$A$5:$A$1004,A703,'전기원장'!$J$5:$J$1004,"확인 필요")+COUNTIFS('당기원장'!$A$5:$A$1004,A703,'당기원장'!$J$5:$J$1004,"확인 필요"))</x:f>
      </x:c>
      <x:c r="K703" s="85" t="str">
        <x:f>IF(A703="","",IF(H703&lt;&gt;"원인분석 대상","",IF(J703&gt;0,"붙임 문서 확인 후 원인 확정 필요","결의서명 기반 원인분류 검토")))</x:f>
      </x:c>
    </x:row>
    <x:row r="704">
      <x:c r="A704" s="73" t="str">
        <x:f>IFERROR(INDEX('계산도우미'!$B$5:$B$2004,MATCH(ROWS($A$5:A704),'계산도우미'!$K$5:$K$2004,0)),"")</x:f>
      </x:c>
      <x:c r="B704" s="73" t="str">
        <x:f>IF(A704="","",IFERROR(INDEX('당기원장'!$B$5:$B$1004,MATCH(A704,'당기원장'!$A$5:$A$1004,0)),IFERROR(INDEX('전기원장'!$B$5:$B$1004,MATCH(A704,'전기원장'!$A$5:$A$1004,0)),"")))</x:f>
      </x:c>
      <x:c r="C704" s="75" t="str">
        <x:f>IF(A704="","",SUMIF('전기원장'!$A$5:$A$1004,A704,'전기원장'!$H$5:$H$1004))</x:f>
      </x:c>
      <x:c r="D704" s="75" t="str">
        <x:f>IF(A704="","",SUMIF('당기원장'!$A$5:$A$1004,A704,'당기원장'!$H$5:$H$1004))</x:f>
      </x:c>
      <x:c r="E704" s="75" t="str">
        <x:f>IF(A704="","",D704-C704)</x:f>
      </x:c>
      <x:c r="F704" s="88" t="str">
        <x:f>IF(A704="","",IF(C704=0,IF(D704=0,0,1),ABS(E704)/ABS(C704)))</x:f>
      </x:c>
      <x:c r="G704" s="73" t="str">
        <x:f>IF(A704="","",IF(AND(C704=0,D704&lt;&gt;0),"신규",IF(AND(C704&lt;&gt;0,D704=0),"소멸",IF(E704=0,"변동없음","금액변동"))))</x:f>
      </x:c>
      <x:c r="H704" s="73" t="str">
        <x:f>IF(A704="","",IF(AND(ABS(E704)&gt;='기준설정'!$B$6,OR(G704="신규",G704="소멸",F704&gt;='기준설정'!$B$5)),"원인분석 대상","일반"))</x:f>
      </x:c>
      <x:c r="I704" s="73" t="str">
        <x:f>IF(A704="","",IF(H704="원인분석 대상","세부원인분석 시트에서 거래별 원인을 검토","-"))</x:f>
      </x:c>
      <x:c r="J704" s="73" t="str">
        <x:f>IF(A704="","",COUNTIFS('전기원장'!$A$5:$A$1004,A704,'전기원장'!$J$5:$J$1004,"확인 필요")+COUNTIFS('당기원장'!$A$5:$A$1004,A704,'당기원장'!$J$5:$J$1004,"확인 필요"))</x:f>
      </x:c>
      <x:c r="K704" s="85" t="str">
        <x:f>IF(A704="","",IF(H704&lt;&gt;"원인분석 대상","",IF(J704&gt;0,"붙임 문서 확인 후 원인 확정 필요","결의서명 기반 원인분류 검토")))</x:f>
      </x:c>
    </x:row>
    <x:row r="705">
      <x:c r="A705" s="73" t="str">
        <x:f>IFERROR(INDEX('계산도우미'!$B$5:$B$2004,MATCH(ROWS($A$5:A705),'계산도우미'!$K$5:$K$2004,0)),"")</x:f>
      </x:c>
      <x:c r="B705" s="73" t="str">
        <x:f>IF(A705="","",IFERROR(INDEX('당기원장'!$B$5:$B$1004,MATCH(A705,'당기원장'!$A$5:$A$1004,0)),IFERROR(INDEX('전기원장'!$B$5:$B$1004,MATCH(A705,'전기원장'!$A$5:$A$1004,0)),"")))</x:f>
      </x:c>
      <x:c r="C705" s="75" t="str">
        <x:f>IF(A705="","",SUMIF('전기원장'!$A$5:$A$1004,A705,'전기원장'!$H$5:$H$1004))</x:f>
      </x:c>
      <x:c r="D705" s="75" t="str">
        <x:f>IF(A705="","",SUMIF('당기원장'!$A$5:$A$1004,A705,'당기원장'!$H$5:$H$1004))</x:f>
      </x:c>
      <x:c r="E705" s="75" t="str">
        <x:f>IF(A705="","",D705-C705)</x:f>
      </x:c>
      <x:c r="F705" s="88" t="str">
        <x:f>IF(A705="","",IF(C705=0,IF(D705=0,0,1),ABS(E705)/ABS(C705)))</x:f>
      </x:c>
      <x:c r="G705" s="73" t="str">
        <x:f>IF(A705="","",IF(AND(C705=0,D705&lt;&gt;0),"신규",IF(AND(C705&lt;&gt;0,D705=0),"소멸",IF(E705=0,"변동없음","금액변동"))))</x:f>
      </x:c>
      <x:c r="H705" s="73" t="str">
        <x:f>IF(A705="","",IF(AND(ABS(E705)&gt;='기준설정'!$B$6,OR(G705="신규",G705="소멸",F705&gt;='기준설정'!$B$5)),"원인분석 대상","일반"))</x:f>
      </x:c>
      <x:c r="I705" s="73" t="str">
        <x:f>IF(A705="","",IF(H705="원인분석 대상","세부원인분석 시트에서 거래별 원인을 검토","-"))</x:f>
      </x:c>
      <x:c r="J705" s="73" t="str">
        <x:f>IF(A705="","",COUNTIFS('전기원장'!$A$5:$A$1004,A705,'전기원장'!$J$5:$J$1004,"확인 필요")+COUNTIFS('당기원장'!$A$5:$A$1004,A705,'당기원장'!$J$5:$J$1004,"확인 필요"))</x:f>
      </x:c>
      <x:c r="K705" s="85" t="str">
        <x:f>IF(A705="","",IF(H705&lt;&gt;"원인분석 대상","",IF(J705&gt;0,"붙임 문서 확인 후 원인 확정 필요","결의서명 기반 원인분류 검토")))</x:f>
      </x:c>
    </x:row>
    <x:row r="706">
      <x:c r="A706" s="73" t="str">
        <x:f>IFERROR(INDEX('계산도우미'!$B$5:$B$2004,MATCH(ROWS($A$5:A706),'계산도우미'!$K$5:$K$2004,0)),"")</x:f>
      </x:c>
      <x:c r="B706" s="73" t="str">
        <x:f>IF(A706="","",IFERROR(INDEX('당기원장'!$B$5:$B$1004,MATCH(A706,'당기원장'!$A$5:$A$1004,0)),IFERROR(INDEX('전기원장'!$B$5:$B$1004,MATCH(A706,'전기원장'!$A$5:$A$1004,0)),"")))</x:f>
      </x:c>
      <x:c r="C706" s="75" t="str">
        <x:f>IF(A706="","",SUMIF('전기원장'!$A$5:$A$1004,A706,'전기원장'!$H$5:$H$1004))</x:f>
      </x:c>
      <x:c r="D706" s="75" t="str">
        <x:f>IF(A706="","",SUMIF('당기원장'!$A$5:$A$1004,A706,'당기원장'!$H$5:$H$1004))</x:f>
      </x:c>
      <x:c r="E706" s="75" t="str">
        <x:f>IF(A706="","",D706-C706)</x:f>
      </x:c>
      <x:c r="F706" s="88" t="str">
        <x:f>IF(A706="","",IF(C706=0,IF(D706=0,0,1),ABS(E706)/ABS(C706)))</x:f>
      </x:c>
      <x:c r="G706" s="73" t="str">
        <x:f>IF(A706="","",IF(AND(C706=0,D706&lt;&gt;0),"신규",IF(AND(C706&lt;&gt;0,D706=0),"소멸",IF(E706=0,"변동없음","금액변동"))))</x:f>
      </x:c>
      <x:c r="H706" s="73" t="str">
        <x:f>IF(A706="","",IF(AND(ABS(E706)&gt;='기준설정'!$B$6,OR(G706="신규",G706="소멸",F706&gt;='기준설정'!$B$5)),"원인분석 대상","일반"))</x:f>
      </x:c>
      <x:c r="I706" s="73" t="str">
        <x:f>IF(A706="","",IF(H706="원인분석 대상","세부원인분석 시트에서 거래별 원인을 검토","-"))</x:f>
      </x:c>
      <x:c r="J706" s="73" t="str">
        <x:f>IF(A706="","",COUNTIFS('전기원장'!$A$5:$A$1004,A706,'전기원장'!$J$5:$J$1004,"확인 필요")+COUNTIFS('당기원장'!$A$5:$A$1004,A706,'당기원장'!$J$5:$J$1004,"확인 필요"))</x:f>
      </x:c>
      <x:c r="K706" s="85" t="str">
        <x:f>IF(A706="","",IF(H706&lt;&gt;"원인분석 대상","",IF(J706&gt;0,"붙임 문서 확인 후 원인 확정 필요","결의서명 기반 원인분류 검토")))</x:f>
      </x:c>
    </x:row>
    <x:row r="707">
      <x:c r="A707" s="73" t="str">
        <x:f>IFERROR(INDEX('계산도우미'!$B$5:$B$2004,MATCH(ROWS($A$5:A707),'계산도우미'!$K$5:$K$2004,0)),"")</x:f>
      </x:c>
      <x:c r="B707" s="73" t="str">
        <x:f>IF(A707="","",IFERROR(INDEX('당기원장'!$B$5:$B$1004,MATCH(A707,'당기원장'!$A$5:$A$1004,0)),IFERROR(INDEX('전기원장'!$B$5:$B$1004,MATCH(A707,'전기원장'!$A$5:$A$1004,0)),"")))</x:f>
      </x:c>
      <x:c r="C707" s="75" t="str">
        <x:f>IF(A707="","",SUMIF('전기원장'!$A$5:$A$1004,A707,'전기원장'!$H$5:$H$1004))</x:f>
      </x:c>
      <x:c r="D707" s="75" t="str">
        <x:f>IF(A707="","",SUMIF('당기원장'!$A$5:$A$1004,A707,'당기원장'!$H$5:$H$1004))</x:f>
      </x:c>
      <x:c r="E707" s="75" t="str">
        <x:f>IF(A707="","",D707-C707)</x:f>
      </x:c>
      <x:c r="F707" s="88" t="str">
        <x:f>IF(A707="","",IF(C707=0,IF(D707=0,0,1),ABS(E707)/ABS(C707)))</x:f>
      </x:c>
      <x:c r="G707" s="73" t="str">
        <x:f>IF(A707="","",IF(AND(C707=0,D707&lt;&gt;0),"신규",IF(AND(C707&lt;&gt;0,D707=0),"소멸",IF(E707=0,"변동없음","금액변동"))))</x:f>
      </x:c>
      <x:c r="H707" s="73" t="str">
        <x:f>IF(A707="","",IF(AND(ABS(E707)&gt;='기준설정'!$B$6,OR(G707="신규",G707="소멸",F707&gt;='기준설정'!$B$5)),"원인분석 대상","일반"))</x:f>
      </x:c>
      <x:c r="I707" s="73" t="str">
        <x:f>IF(A707="","",IF(H707="원인분석 대상","세부원인분석 시트에서 거래별 원인을 검토","-"))</x:f>
      </x:c>
      <x:c r="J707" s="73" t="str">
        <x:f>IF(A707="","",COUNTIFS('전기원장'!$A$5:$A$1004,A707,'전기원장'!$J$5:$J$1004,"확인 필요")+COUNTIFS('당기원장'!$A$5:$A$1004,A707,'당기원장'!$J$5:$J$1004,"확인 필요"))</x:f>
      </x:c>
      <x:c r="K707" s="85" t="str">
        <x:f>IF(A707="","",IF(H707&lt;&gt;"원인분석 대상","",IF(J707&gt;0,"붙임 문서 확인 후 원인 확정 필요","결의서명 기반 원인분류 검토")))</x:f>
      </x:c>
    </x:row>
    <x:row r="708">
      <x:c r="A708" s="73" t="str">
        <x:f>IFERROR(INDEX('계산도우미'!$B$5:$B$2004,MATCH(ROWS($A$5:A708),'계산도우미'!$K$5:$K$2004,0)),"")</x:f>
      </x:c>
      <x:c r="B708" s="73" t="str">
        <x:f>IF(A708="","",IFERROR(INDEX('당기원장'!$B$5:$B$1004,MATCH(A708,'당기원장'!$A$5:$A$1004,0)),IFERROR(INDEX('전기원장'!$B$5:$B$1004,MATCH(A708,'전기원장'!$A$5:$A$1004,0)),"")))</x:f>
      </x:c>
      <x:c r="C708" s="75" t="str">
        <x:f>IF(A708="","",SUMIF('전기원장'!$A$5:$A$1004,A708,'전기원장'!$H$5:$H$1004))</x:f>
      </x:c>
      <x:c r="D708" s="75" t="str">
        <x:f>IF(A708="","",SUMIF('당기원장'!$A$5:$A$1004,A708,'당기원장'!$H$5:$H$1004))</x:f>
      </x:c>
      <x:c r="E708" s="75" t="str">
        <x:f>IF(A708="","",D708-C708)</x:f>
      </x:c>
      <x:c r="F708" s="88" t="str">
        <x:f>IF(A708="","",IF(C708=0,IF(D708=0,0,1),ABS(E708)/ABS(C708)))</x:f>
      </x:c>
      <x:c r="G708" s="73" t="str">
        <x:f>IF(A708="","",IF(AND(C708=0,D708&lt;&gt;0),"신규",IF(AND(C708&lt;&gt;0,D708=0),"소멸",IF(E708=0,"변동없음","금액변동"))))</x:f>
      </x:c>
      <x:c r="H708" s="73" t="str">
        <x:f>IF(A708="","",IF(AND(ABS(E708)&gt;='기준설정'!$B$6,OR(G708="신규",G708="소멸",F708&gt;='기준설정'!$B$5)),"원인분석 대상","일반"))</x:f>
      </x:c>
      <x:c r="I708" s="73" t="str">
        <x:f>IF(A708="","",IF(H708="원인분석 대상","세부원인분석 시트에서 거래별 원인을 검토","-"))</x:f>
      </x:c>
      <x:c r="J708" s="73" t="str">
        <x:f>IF(A708="","",COUNTIFS('전기원장'!$A$5:$A$1004,A708,'전기원장'!$J$5:$J$1004,"확인 필요")+COUNTIFS('당기원장'!$A$5:$A$1004,A708,'당기원장'!$J$5:$J$1004,"확인 필요"))</x:f>
      </x:c>
      <x:c r="K708" s="85" t="str">
        <x:f>IF(A708="","",IF(H708&lt;&gt;"원인분석 대상","",IF(J708&gt;0,"붙임 문서 확인 후 원인 확정 필요","결의서명 기반 원인분류 검토")))</x:f>
      </x:c>
    </x:row>
    <x:row r="709">
      <x:c r="A709" s="73" t="str">
        <x:f>IFERROR(INDEX('계산도우미'!$B$5:$B$2004,MATCH(ROWS($A$5:A709),'계산도우미'!$K$5:$K$2004,0)),"")</x:f>
      </x:c>
      <x:c r="B709" s="73" t="str">
        <x:f>IF(A709="","",IFERROR(INDEX('당기원장'!$B$5:$B$1004,MATCH(A709,'당기원장'!$A$5:$A$1004,0)),IFERROR(INDEX('전기원장'!$B$5:$B$1004,MATCH(A709,'전기원장'!$A$5:$A$1004,0)),"")))</x:f>
      </x:c>
      <x:c r="C709" s="75" t="str">
        <x:f>IF(A709="","",SUMIF('전기원장'!$A$5:$A$1004,A709,'전기원장'!$H$5:$H$1004))</x:f>
      </x:c>
      <x:c r="D709" s="75" t="str">
        <x:f>IF(A709="","",SUMIF('당기원장'!$A$5:$A$1004,A709,'당기원장'!$H$5:$H$1004))</x:f>
      </x:c>
      <x:c r="E709" s="75" t="str">
        <x:f>IF(A709="","",D709-C709)</x:f>
      </x:c>
      <x:c r="F709" s="88" t="str">
        <x:f>IF(A709="","",IF(C709=0,IF(D709=0,0,1),ABS(E709)/ABS(C709)))</x:f>
      </x:c>
      <x:c r="G709" s="73" t="str">
        <x:f>IF(A709="","",IF(AND(C709=0,D709&lt;&gt;0),"신규",IF(AND(C709&lt;&gt;0,D709=0),"소멸",IF(E709=0,"변동없음","금액변동"))))</x:f>
      </x:c>
      <x:c r="H709" s="73" t="str">
        <x:f>IF(A709="","",IF(AND(ABS(E709)&gt;='기준설정'!$B$6,OR(G709="신규",G709="소멸",F709&gt;='기준설정'!$B$5)),"원인분석 대상","일반"))</x:f>
      </x:c>
      <x:c r="I709" s="73" t="str">
        <x:f>IF(A709="","",IF(H709="원인분석 대상","세부원인분석 시트에서 거래별 원인을 검토","-"))</x:f>
      </x:c>
      <x:c r="J709" s="73" t="str">
        <x:f>IF(A709="","",COUNTIFS('전기원장'!$A$5:$A$1004,A709,'전기원장'!$J$5:$J$1004,"확인 필요")+COUNTIFS('당기원장'!$A$5:$A$1004,A709,'당기원장'!$J$5:$J$1004,"확인 필요"))</x:f>
      </x:c>
      <x:c r="K709" s="85" t="str">
        <x:f>IF(A709="","",IF(H709&lt;&gt;"원인분석 대상","",IF(J709&gt;0,"붙임 문서 확인 후 원인 확정 필요","결의서명 기반 원인분류 검토")))</x:f>
      </x:c>
    </x:row>
    <x:row r="710">
      <x:c r="A710" s="73" t="str">
        <x:f>IFERROR(INDEX('계산도우미'!$B$5:$B$2004,MATCH(ROWS($A$5:A710),'계산도우미'!$K$5:$K$2004,0)),"")</x:f>
      </x:c>
      <x:c r="B710" s="73" t="str">
        <x:f>IF(A710="","",IFERROR(INDEX('당기원장'!$B$5:$B$1004,MATCH(A710,'당기원장'!$A$5:$A$1004,0)),IFERROR(INDEX('전기원장'!$B$5:$B$1004,MATCH(A710,'전기원장'!$A$5:$A$1004,0)),"")))</x:f>
      </x:c>
      <x:c r="C710" s="75" t="str">
        <x:f>IF(A710="","",SUMIF('전기원장'!$A$5:$A$1004,A710,'전기원장'!$H$5:$H$1004))</x:f>
      </x:c>
      <x:c r="D710" s="75" t="str">
        <x:f>IF(A710="","",SUMIF('당기원장'!$A$5:$A$1004,A710,'당기원장'!$H$5:$H$1004))</x:f>
      </x:c>
      <x:c r="E710" s="75" t="str">
        <x:f>IF(A710="","",D710-C710)</x:f>
      </x:c>
      <x:c r="F710" s="88" t="str">
        <x:f>IF(A710="","",IF(C710=0,IF(D710=0,0,1),ABS(E710)/ABS(C710)))</x:f>
      </x:c>
      <x:c r="G710" s="73" t="str">
        <x:f>IF(A710="","",IF(AND(C710=0,D710&lt;&gt;0),"신규",IF(AND(C710&lt;&gt;0,D710=0),"소멸",IF(E710=0,"변동없음","금액변동"))))</x:f>
      </x:c>
      <x:c r="H710" s="73" t="str">
        <x:f>IF(A710="","",IF(AND(ABS(E710)&gt;='기준설정'!$B$6,OR(G710="신규",G710="소멸",F710&gt;='기준설정'!$B$5)),"원인분석 대상","일반"))</x:f>
      </x:c>
      <x:c r="I710" s="73" t="str">
        <x:f>IF(A710="","",IF(H710="원인분석 대상","세부원인분석 시트에서 거래별 원인을 검토","-"))</x:f>
      </x:c>
      <x:c r="J710" s="73" t="str">
        <x:f>IF(A710="","",COUNTIFS('전기원장'!$A$5:$A$1004,A710,'전기원장'!$J$5:$J$1004,"확인 필요")+COUNTIFS('당기원장'!$A$5:$A$1004,A710,'당기원장'!$J$5:$J$1004,"확인 필요"))</x:f>
      </x:c>
      <x:c r="K710" s="85" t="str">
        <x:f>IF(A710="","",IF(H710&lt;&gt;"원인분석 대상","",IF(J710&gt;0,"붙임 문서 확인 후 원인 확정 필요","결의서명 기반 원인분류 검토")))</x:f>
      </x:c>
    </x:row>
    <x:row r="711">
      <x:c r="A711" s="73" t="str">
        <x:f>IFERROR(INDEX('계산도우미'!$B$5:$B$2004,MATCH(ROWS($A$5:A711),'계산도우미'!$K$5:$K$2004,0)),"")</x:f>
      </x:c>
      <x:c r="B711" s="73" t="str">
        <x:f>IF(A711="","",IFERROR(INDEX('당기원장'!$B$5:$B$1004,MATCH(A711,'당기원장'!$A$5:$A$1004,0)),IFERROR(INDEX('전기원장'!$B$5:$B$1004,MATCH(A711,'전기원장'!$A$5:$A$1004,0)),"")))</x:f>
      </x:c>
      <x:c r="C711" s="75" t="str">
        <x:f>IF(A711="","",SUMIF('전기원장'!$A$5:$A$1004,A711,'전기원장'!$H$5:$H$1004))</x:f>
      </x:c>
      <x:c r="D711" s="75" t="str">
        <x:f>IF(A711="","",SUMIF('당기원장'!$A$5:$A$1004,A711,'당기원장'!$H$5:$H$1004))</x:f>
      </x:c>
      <x:c r="E711" s="75" t="str">
        <x:f>IF(A711="","",D711-C711)</x:f>
      </x:c>
      <x:c r="F711" s="88" t="str">
        <x:f>IF(A711="","",IF(C711=0,IF(D711=0,0,1),ABS(E711)/ABS(C711)))</x:f>
      </x:c>
      <x:c r="G711" s="73" t="str">
        <x:f>IF(A711="","",IF(AND(C711=0,D711&lt;&gt;0),"신규",IF(AND(C711&lt;&gt;0,D711=0),"소멸",IF(E711=0,"변동없음","금액변동"))))</x:f>
      </x:c>
      <x:c r="H711" s="73" t="str">
        <x:f>IF(A711="","",IF(AND(ABS(E711)&gt;='기준설정'!$B$6,OR(G711="신규",G711="소멸",F711&gt;='기준설정'!$B$5)),"원인분석 대상","일반"))</x:f>
      </x:c>
      <x:c r="I711" s="73" t="str">
        <x:f>IF(A711="","",IF(H711="원인분석 대상","세부원인분석 시트에서 거래별 원인을 검토","-"))</x:f>
      </x:c>
      <x:c r="J711" s="73" t="str">
        <x:f>IF(A711="","",COUNTIFS('전기원장'!$A$5:$A$1004,A711,'전기원장'!$J$5:$J$1004,"확인 필요")+COUNTIFS('당기원장'!$A$5:$A$1004,A711,'당기원장'!$J$5:$J$1004,"확인 필요"))</x:f>
      </x:c>
      <x:c r="K711" s="85" t="str">
        <x:f>IF(A711="","",IF(H711&lt;&gt;"원인분석 대상","",IF(J711&gt;0,"붙임 문서 확인 후 원인 확정 필요","결의서명 기반 원인분류 검토")))</x:f>
      </x:c>
    </x:row>
    <x:row r="712">
      <x:c r="A712" s="73" t="str">
        <x:f>IFERROR(INDEX('계산도우미'!$B$5:$B$2004,MATCH(ROWS($A$5:A712),'계산도우미'!$K$5:$K$2004,0)),"")</x:f>
      </x:c>
      <x:c r="B712" s="73" t="str">
        <x:f>IF(A712="","",IFERROR(INDEX('당기원장'!$B$5:$B$1004,MATCH(A712,'당기원장'!$A$5:$A$1004,0)),IFERROR(INDEX('전기원장'!$B$5:$B$1004,MATCH(A712,'전기원장'!$A$5:$A$1004,0)),"")))</x:f>
      </x:c>
      <x:c r="C712" s="75" t="str">
        <x:f>IF(A712="","",SUMIF('전기원장'!$A$5:$A$1004,A712,'전기원장'!$H$5:$H$1004))</x:f>
      </x:c>
      <x:c r="D712" s="75" t="str">
        <x:f>IF(A712="","",SUMIF('당기원장'!$A$5:$A$1004,A712,'당기원장'!$H$5:$H$1004))</x:f>
      </x:c>
      <x:c r="E712" s="75" t="str">
        <x:f>IF(A712="","",D712-C712)</x:f>
      </x:c>
      <x:c r="F712" s="88" t="str">
        <x:f>IF(A712="","",IF(C712=0,IF(D712=0,0,1),ABS(E712)/ABS(C712)))</x:f>
      </x:c>
      <x:c r="G712" s="73" t="str">
        <x:f>IF(A712="","",IF(AND(C712=0,D712&lt;&gt;0),"신규",IF(AND(C712&lt;&gt;0,D712=0),"소멸",IF(E712=0,"변동없음","금액변동"))))</x:f>
      </x:c>
      <x:c r="H712" s="73" t="str">
        <x:f>IF(A712="","",IF(AND(ABS(E712)&gt;='기준설정'!$B$6,OR(G712="신규",G712="소멸",F712&gt;='기준설정'!$B$5)),"원인분석 대상","일반"))</x:f>
      </x:c>
      <x:c r="I712" s="73" t="str">
        <x:f>IF(A712="","",IF(H712="원인분석 대상","세부원인분석 시트에서 거래별 원인을 검토","-"))</x:f>
      </x:c>
      <x:c r="J712" s="73" t="str">
        <x:f>IF(A712="","",COUNTIFS('전기원장'!$A$5:$A$1004,A712,'전기원장'!$J$5:$J$1004,"확인 필요")+COUNTIFS('당기원장'!$A$5:$A$1004,A712,'당기원장'!$J$5:$J$1004,"확인 필요"))</x:f>
      </x:c>
      <x:c r="K712" s="85" t="str">
        <x:f>IF(A712="","",IF(H712&lt;&gt;"원인분석 대상","",IF(J712&gt;0,"붙임 문서 확인 후 원인 확정 필요","결의서명 기반 원인분류 검토")))</x:f>
      </x:c>
    </x:row>
    <x:row r="713">
      <x:c r="A713" s="73" t="str">
        <x:f>IFERROR(INDEX('계산도우미'!$B$5:$B$2004,MATCH(ROWS($A$5:A713),'계산도우미'!$K$5:$K$2004,0)),"")</x:f>
      </x:c>
      <x:c r="B713" s="73" t="str">
        <x:f>IF(A713="","",IFERROR(INDEX('당기원장'!$B$5:$B$1004,MATCH(A713,'당기원장'!$A$5:$A$1004,0)),IFERROR(INDEX('전기원장'!$B$5:$B$1004,MATCH(A713,'전기원장'!$A$5:$A$1004,0)),"")))</x:f>
      </x:c>
      <x:c r="C713" s="75" t="str">
        <x:f>IF(A713="","",SUMIF('전기원장'!$A$5:$A$1004,A713,'전기원장'!$H$5:$H$1004))</x:f>
      </x:c>
      <x:c r="D713" s="75" t="str">
        <x:f>IF(A713="","",SUMIF('당기원장'!$A$5:$A$1004,A713,'당기원장'!$H$5:$H$1004))</x:f>
      </x:c>
      <x:c r="E713" s="75" t="str">
        <x:f>IF(A713="","",D713-C713)</x:f>
      </x:c>
      <x:c r="F713" s="88" t="str">
        <x:f>IF(A713="","",IF(C713=0,IF(D713=0,0,1),ABS(E713)/ABS(C713)))</x:f>
      </x:c>
      <x:c r="G713" s="73" t="str">
        <x:f>IF(A713="","",IF(AND(C713=0,D713&lt;&gt;0),"신규",IF(AND(C713&lt;&gt;0,D713=0),"소멸",IF(E713=0,"변동없음","금액변동"))))</x:f>
      </x:c>
      <x:c r="H713" s="73" t="str">
        <x:f>IF(A713="","",IF(AND(ABS(E713)&gt;='기준설정'!$B$6,OR(G713="신규",G713="소멸",F713&gt;='기준설정'!$B$5)),"원인분석 대상","일반"))</x:f>
      </x:c>
      <x:c r="I713" s="73" t="str">
        <x:f>IF(A713="","",IF(H713="원인분석 대상","세부원인분석 시트에서 거래별 원인을 검토","-"))</x:f>
      </x:c>
      <x:c r="J713" s="73" t="str">
        <x:f>IF(A713="","",COUNTIFS('전기원장'!$A$5:$A$1004,A713,'전기원장'!$J$5:$J$1004,"확인 필요")+COUNTIFS('당기원장'!$A$5:$A$1004,A713,'당기원장'!$J$5:$J$1004,"확인 필요"))</x:f>
      </x:c>
      <x:c r="K713" s="85" t="str">
        <x:f>IF(A713="","",IF(H713&lt;&gt;"원인분석 대상","",IF(J713&gt;0,"붙임 문서 확인 후 원인 확정 필요","결의서명 기반 원인분류 검토")))</x:f>
      </x:c>
    </x:row>
    <x:row r="714">
      <x:c r="A714" s="73" t="str">
        <x:f>IFERROR(INDEX('계산도우미'!$B$5:$B$2004,MATCH(ROWS($A$5:A714),'계산도우미'!$K$5:$K$2004,0)),"")</x:f>
      </x:c>
      <x:c r="B714" s="73" t="str">
        <x:f>IF(A714="","",IFERROR(INDEX('당기원장'!$B$5:$B$1004,MATCH(A714,'당기원장'!$A$5:$A$1004,0)),IFERROR(INDEX('전기원장'!$B$5:$B$1004,MATCH(A714,'전기원장'!$A$5:$A$1004,0)),"")))</x:f>
      </x:c>
      <x:c r="C714" s="75" t="str">
        <x:f>IF(A714="","",SUMIF('전기원장'!$A$5:$A$1004,A714,'전기원장'!$H$5:$H$1004))</x:f>
      </x:c>
      <x:c r="D714" s="75" t="str">
        <x:f>IF(A714="","",SUMIF('당기원장'!$A$5:$A$1004,A714,'당기원장'!$H$5:$H$1004))</x:f>
      </x:c>
      <x:c r="E714" s="75" t="str">
        <x:f>IF(A714="","",D714-C714)</x:f>
      </x:c>
      <x:c r="F714" s="88" t="str">
        <x:f>IF(A714="","",IF(C714=0,IF(D714=0,0,1),ABS(E714)/ABS(C714)))</x:f>
      </x:c>
      <x:c r="G714" s="73" t="str">
        <x:f>IF(A714="","",IF(AND(C714=0,D714&lt;&gt;0),"신규",IF(AND(C714&lt;&gt;0,D714=0),"소멸",IF(E714=0,"변동없음","금액변동"))))</x:f>
      </x:c>
      <x:c r="H714" s="73" t="str">
        <x:f>IF(A714="","",IF(AND(ABS(E714)&gt;='기준설정'!$B$6,OR(G714="신규",G714="소멸",F714&gt;='기준설정'!$B$5)),"원인분석 대상","일반"))</x:f>
      </x:c>
      <x:c r="I714" s="73" t="str">
        <x:f>IF(A714="","",IF(H714="원인분석 대상","세부원인분석 시트에서 거래별 원인을 검토","-"))</x:f>
      </x:c>
      <x:c r="J714" s="73" t="str">
        <x:f>IF(A714="","",COUNTIFS('전기원장'!$A$5:$A$1004,A714,'전기원장'!$J$5:$J$1004,"확인 필요")+COUNTIFS('당기원장'!$A$5:$A$1004,A714,'당기원장'!$J$5:$J$1004,"확인 필요"))</x:f>
      </x:c>
      <x:c r="K714" s="85" t="str">
        <x:f>IF(A714="","",IF(H714&lt;&gt;"원인분석 대상","",IF(J714&gt;0,"붙임 문서 확인 후 원인 확정 필요","결의서명 기반 원인분류 검토")))</x:f>
      </x:c>
    </x:row>
    <x:row r="715">
      <x:c r="A715" s="73" t="str">
        <x:f>IFERROR(INDEX('계산도우미'!$B$5:$B$2004,MATCH(ROWS($A$5:A715),'계산도우미'!$K$5:$K$2004,0)),"")</x:f>
      </x:c>
      <x:c r="B715" s="73" t="str">
        <x:f>IF(A715="","",IFERROR(INDEX('당기원장'!$B$5:$B$1004,MATCH(A715,'당기원장'!$A$5:$A$1004,0)),IFERROR(INDEX('전기원장'!$B$5:$B$1004,MATCH(A715,'전기원장'!$A$5:$A$1004,0)),"")))</x:f>
      </x:c>
      <x:c r="C715" s="75" t="str">
        <x:f>IF(A715="","",SUMIF('전기원장'!$A$5:$A$1004,A715,'전기원장'!$H$5:$H$1004))</x:f>
      </x:c>
      <x:c r="D715" s="75" t="str">
        <x:f>IF(A715="","",SUMIF('당기원장'!$A$5:$A$1004,A715,'당기원장'!$H$5:$H$1004))</x:f>
      </x:c>
      <x:c r="E715" s="75" t="str">
        <x:f>IF(A715="","",D715-C715)</x:f>
      </x:c>
      <x:c r="F715" s="88" t="str">
        <x:f>IF(A715="","",IF(C715=0,IF(D715=0,0,1),ABS(E715)/ABS(C715)))</x:f>
      </x:c>
      <x:c r="G715" s="73" t="str">
        <x:f>IF(A715="","",IF(AND(C715=0,D715&lt;&gt;0),"신규",IF(AND(C715&lt;&gt;0,D715=0),"소멸",IF(E715=0,"변동없음","금액변동"))))</x:f>
      </x:c>
      <x:c r="H715" s="73" t="str">
        <x:f>IF(A715="","",IF(AND(ABS(E715)&gt;='기준설정'!$B$6,OR(G715="신규",G715="소멸",F715&gt;='기준설정'!$B$5)),"원인분석 대상","일반"))</x:f>
      </x:c>
      <x:c r="I715" s="73" t="str">
        <x:f>IF(A715="","",IF(H715="원인분석 대상","세부원인분석 시트에서 거래별 원인을 검토","-"))</x:f>
      </x:c>
      <x:c r="J715" s="73" t="str">
        <x:f>IF(A715="","",COUNTIFS('전기원장'!$A$5:$A$1004,A715,'전기원장'!$J$5:$J$1004,"확인 필요")+COUNTIFS('당기원장'!$A$5:$A$1004,A715,'당기원장'!$J$5:$J$1004,"확인 필요"))</x:f>
      </x:c>
      <x:c r="K715" s="85" t="str">
        <x:f>IF(A715="","",IF(H715&lt;&gt;"원인분석 대상","",IF(J715&gt;0,"붙임 문서 확인 후 원인 확정 필요","결의서명 기반 원인분류 검토")))</x:f>
      </x:c>
    </x:row>
    <x:row r="716">
      <x:c r="A716" s="73" t="str">
        <x:f>IFERROR(INDEX('계산도우미'!$B$5:$B$2004,MATCH(ROWS($A$5:A716),'계산도우미'!$K$5:$K$2004,0)),"")</x:f>
      </x:c>
      <x:c r="B716" s="73" t="str">
        <x:f>IF(A716="","",IFERROR(INDEX('당기원장'!$B$5:$B$1004,MATCH(A716,'당기원장'!$A$5:$A$1004,0)),IFERROR(INDEX('전기원장'!$B$5:$B$1004,MATCH(A716,'전기원장'!$A$5:$A$1004,0)),"")))</x:f>
      </x:c>
      <x:c r="C716" s="75" t="str">
        <x:f>IF(A716="","",SUMIF('전기원장'!$A$5:$A$1004,A716,'전기원장'!$H$5:$H$1004))</x:f>
      </x:c>
      <x:c r="D716" s="75" t="str">
        <x:f>IF(A716="","",SUMIF('당기원장'!$A$5:$A$1004,A716,'당기원장'!$H$5:$H$1004))</x:f>
      </x:c>
      <x:c r="E716" s="75" t="str">
        <x:f>IF(A716="","",D716-C716)</x:f>
      </x:c>
      <x:c r="F716" s="88" t="str">
        <x:f>IF(A716="","",IF(C716=0,IF(D716=0,0,1),ABS(E716)/ABS(C716)))</x:f>
      </x:c>
      <x:c r="G716" s="73" t="str">
        <x:f>IF(A716="","",IF(AND(C716=0,D716&lt;&gt;0),"신규",IF(AND(C716&lt;&gt;0,D716=0),"소멸",IF(E716=0,"변동없음","금액변동"))))</x:f>
      </x:c>
      <x:c r="H716" s="73" t="str">
        <x:f>IF(A716="","",IF(AND(ABS(E716)&gt;='기준설정'!$B$6,OR(G716="신규",G716="소멸",F716&gt;='기준설정'!$B$5)),"원인분석 대상","일반"))</x:f>
      </x:c>
      <x:c r="I716" s="73" t="str">
        <x:f>IF(A716="","",IF(H716="원인분석 대상","세부원인분석 시트에서 거래별 원인을 검토","-"))</x:f>
      </x:c>
      <x:c r="J716" s="73" t="str">
        <x:f>IF(A716="","",COUNTIFS('전기원장'!$A$5:$A$1004,A716,'전기원장'!$J$5:$J$1004,"확인 필요")+COUNTIFS('당기원장'!$A$5:$A$1004,A716,'당기원장'!$J$5:$J$1004,"확인 필요"))</x:f>
      </x:c>
      <x:c r="K716" s="85" t="str">
        <x:f>IF(A716="","",IF(H716&lt;&gt;"원인분석 대상","",IF(J716&gt;0,"붙임 문서 확인 후 원인 확정 필요","결의서명 기반 원인분류 검토")))</x:f>
      </x:c>
    </x:row>
    <x:row r="717">
      <x:c r="A717" s="73" t="str">
        <x:f>IFERROR(INDEX('계산도우미'!$B$5:$B$2004,MATCH(ROWS($A$5:A717),'계산도우미'!$K$5:$K$2004,0)),"")</x:f>
      </x:c>
      <x:c r="B717" s="73" t="str">
        <x:f>IF(A717="","",IFERROR(INDEX('당기원장'!$B$5:$B$1004,MATCH(A717,'당기원장'!$A$5:$A$1004,0)),IFERROR(INDEX('전기원장'!$B$5:$B$1004,MATCH(A717,'전기원장'!$A$5:$A$1004,0)),"")))</x:f>
      </x:c>
      <x:c r="C717" s="75" t="str">
        <x:f>IF(A717="","",SUMIF('전기원장'!$A$5:$A$1004,A717,'전기원장'!$H$5:$H$1004))</x:f>
      </x:c>
      <x:c r="D717" s="75" t="str">
        <x:f>IF(A717="","",SUMIF('당기원장'!$A$5:$A$1004,A717,'당기원장'!$H$5:$H$1004))</x:f>
      </x:c>
      <x:c r="E717" s="75" t="str">
        <x:f>IF(A717="","",D717-C717)</x:f>
      </x:c>
      <x:c r="F717" s="88" t="str">
        <x:f>IF(A717="","",IF(C717=0,IF(D717=0,0,1),ABS(E717)/ABS(C717)))</x:f>
      </x:c>
      <x:c r="G717" s="73" t="str">
        <x:f>IF(A717="","",IF(AND(C717=0,D717&lt;&gt;0),"신규",IF(AND(C717&lt;&gt;0,D717=0),"소멸",IF(E717=0,"변동없음","금액변동"))))</x:f>
      </x:c>
      <x:c r="H717" s="73" t="str">
        <x:f>IF(A717="","",IF(AND(ABS(E717)&gt;='기준설정'!$B$6,OR(G717="신규",G717="소멸",F717&gt;='기준설정'!$B$5)),"원인분석 대상","일반"))</x:f>
      </x:c>
      <x:c r="I717" s="73" t="str">
        <x:f>IF(A717="","",IF(H717="원인분석 대상","세부원인분석 시트에서 거래별 원인을 검토","-"))</x:f>
      </x:c>
      <x:c r="J717" s="73" t="str">
        <x:f>IF(A717="","",COUNTIFS('전기원장'!$A$5:$A$1004,A717,'전기원장'!$J$5:$J$1004,"확인 필요")+COUNTIFS('당기원장'!$A$5:$A$1004,A717,'당기원장'!$J$5:$J$1004,"확인 필요"))</x:f>
      </x:c>
      <x:c r="K717" s="85" t="str">
        <x:f>IF(A717="","",IF(H717&lt;&gt;"원인분석 대상","",IF(J717&gt;0,"붙임 문서 확인 후 원인 확정 필요","결의서명 기반 원인분류 검토")))</x:f>
      </x:c>
    </x:row>
    <x:row r="718">
      <x:c r="A718" s="73" t="str">
        <x:f>IFERROR(INDEX('계산도우미'!$B$5:$B$2004,MATCH(ROWS($A$5:A718),'계산도우미'!$K$5:$K$2004,0)),"")</x:f>
      </x:c>
      <x:c r="B718" s="73" t="str">
        <x:f>IF(A718="","",IFERROR(INDEX('당기원장'!$B$5:$B$1004,MATCH(A718,'당기원장'!$A$5:$A$1004,0)),IFERROR(INDEX('전기원장'!$B$5:$B$1004,MATCH(A718,'전기원장'!$A$5:$A$1004,0)),"")))</x:f>
      </x:c>
      <x:c r="C718" s="75" t="str">
        <x:f>IF(A718="","",SUMIF('전기원장'!$A$5:$A$1004,A718,'전기원장'!$H$5:$H$1004))</x:f>
      </x:c>
      <x:c r="D718" s="75" t="str">
        <x:f>IF(A718="","",SUMIF('당기원장'!$A$5:$A$1004,A718,'당기원장'!$H$5:$H$1004))</x:f>
      </x:c>
      <x:c r="E718" s="75" t="str">
        <x:f>IF(A718="","",D718-C718)</x:f>
      </x:c>
      <x:c r="F718" s="88" t="str">
        <x:f>IF(A718="","",IF(C718=0,IF(D718=0,0,1),ABS(E718)/ABS(C718)))</x:f>
      </x:c>
      <x:c r="G718" s="73" t="str">
        <x:f>IF(A718="","",IF(AND(C718=0,D718&lt;&gt;0),"신규",IF(AND(C718&lt;&gt;0,D718=0),"소멸",IF(E718=0,"변동없음","금액변동"))))</x:f>
      </x:c>
      <x:c r="H718" s="73" t="str">
        <x:f>IF(A718="","",IF(AND(ABS(E718)&gt;='기준설정'!$B$6,OR(G718="신규",G718="소멸",F718&gt;='기준설정'!$B$5)),"원인분석 대상","일반"))</x:f>
      </x:c>
      <x:c r="I718" s="73" t="str">
        <x:f>IF(A718="","",IF(H718="원인분석 대상","세부원인분석 시트에서 거래별 원인을 검토","-"))</x:f>
      </x:c>
      <x:c r="J718" s="73" t="str">
        <x:f>IF(A718="","",COUNTIFS('전기원장'!$A$5:$A$1004,A718,'전기원장'!$J$5:$J$1004,"확인 필요")+COUNTIFS('당기원장'!$A$5:$A$1004,A718,'당기원장'!$J$5:$J$1004,"확인 필요"))</x:f>
      </x:c>
      <x:c r="K718" s="85" t="str">
        <x:f>IF(A718="","",IF(H718&lt;&gt;"원인분석 대상","",IF(J718&gt;0,"붙임 문서 확인 후 원인 확정 필요","결의서명 기반 원인분류 검토")))</x:f>
      </x:c>
    </x:row>
    <x:row r="719">
      <x:c r="A719" s="73" t="str">
        <x:f>IFERROR(INDEX('계산도우미'!$B$5:$B$2004,MATCH(ROWS($A$5:A719),'계산도우미'!$K$5:$K$2004,0)),"")</x:f>
      </x:c>
      <x:c r="B719" s="73" t="str">
        <x:f>IF(A719="","",IFERROR(INDEX('당기원장'!$B$5:$B$1004,MATCH(A719,'당기원장'!$A$5:$A$1004,0)),IFERROR(INDEX('전기원장'!$B$5:$B$1004,MATCH(A719,'전기원장'!$A$5:$A$1004,0)),"")))</x:f>
      </x:c>
      <x:c r="C719" s="75" t="str">
        <x:f>IF(A719="","",SUMIF('전기원장'!$A$5:$A$1004,A719,'전기원장'!$H$5:$H$1004))</x:f>
      </x:c>
      <x:c r="D719" s="75" t="str">
        <x:f>IF(A719="","",SUMIF('당기원장'!$A$5:$A$1004,A719,'당기원장'!$H$5:$H$1004))</x:f>
      </x:c>
      <x:c r="E719" s="75" t="str">
        <x:f>IF(A719="","",D719-C719)</x:f>
      </x:c>
      <x:c r="F719" s="88" t="str">
        <x:f>IF(A719="","",IF(C719=0,IF(D719=0,0,1),ABS(E719)/ABS(C719)))</x:f>
      </x:c>
      <x:c r="G719" s="73" t="str">
        <x:f>IF(A719="","",IF(AND(C719=0,D719&lt;&gt;0),"신규",IF(AND(C719&lt;&gt;0,D719=0),"소멸",IF(E719=0,"변동없음","금액변동"))))</x:f>
      </x:c>
      <x:c r="H719" s="73" t="str">
        <x:f>IF(A719="","",IF(AND(ABS(E719)&gt;='기준설정'!$B$6,OR(G719="신규",G719="소멸",F719&gt;='기준설정'!$B$5)),"원인분석 대상","일반"))</x:f>
      </x:c>
      <x:c r="I719" s="73" t="str">
        <x:f>IF(A719="","",IF(H719="원인분석 대상","세부원인분석 시트에서 거래별 원인을 검토","-"))</x:f>
      </x:c>
      <x:c r="J719" s="73" t="str">
        <x:f>IF(A719="","",COUNTIFS('전기원장'!$A$5:$A$1004,A719,'전기원장'!$J$5:$J$1004,"확인 필요")+COUNTIFS('당기원장'!$A$5:$A$1004,A719,'당기원장'!$J$5:$J$1004,"확인 필요"))</x:f>
      </x:c>
      <x:c r="K719" s="85" t="str">
        <x:f>IF(A719="","",IF(H719&lt;&gt;"원인분석 대상","",IF(J719&gt;0,"붙임 문서 확인 후 원인 확정 필요","결의서명 기반 원인분류 검토")))</x:f>
      </x:c>
    </x:row>
    <x:row r="720">
      <x:c r="A720" s="73" t="str">
        <x:f>IFERROR(INDEX('계산도우미'!$B$5:$B$2004,MATCH(ROWS($A$5:A720),'계산도우미'!$K$5:$K$2004,0)),"")</x:f>
      </x:c>
      <x:c r="B720" s="73" t="str">
        <x:f>IF(A720="","",IFERROR(INDEX('당기원장'!$B$5:$B$1004,MATCH(A720,'당기원장'!$A$5:$A$1004,0)),IFERROR(INDEX('전기원장'!$B$5:$B$1004,MATCH(A720,'전기원장'!$A$5:$A$1004,0)),"")))</x:f>
      </x:c>
      <x:c r="C720" s="75" t="str">
        <x:f>IF(A720="","",SUMIF('전기원장'!$A$5:$A$1004,A720,'전기원장'!$H$5:$H$1004))</x:f>
      </x:c>
      <x:c r="D720" s="75" t="str">
        <x:f>IF(A720="","",SUMIF('당기원장'!$A$5:$A$1004,A720,'당기원장'!$H$5:$H$1004))</x:f>
      </x:c>
      <x:c r="E720" s="75" t="str">
        <x:f>IF(A720="","",D720-C720)</x:f>
      </x:c>
      <x:c r="F720" s="88" t="str">
        <x:f>IF(A720="","",IF(C720=0,IF(D720=0,0,1),ABS(E720)/ABS(C720)))</x:f>
      </x:c>
      <x:c r="G720" s="73" t="str">
        <x:f>IF(A720="","",IF(AND(C720=0,D720&lt;&gt;0),"신규",IF(AND(C720&lt;&gt;0,D720=0),"소멸",IF(E720=0,"변동없음","금액변동"))))</x:f>
      </x:c>
      <x:c r="H720" s="73" t="str">
        <x:f>IF(A720="","",IF(AND(ABS(E720)&gt;='기준설정'!$B$6,OR(G720="신규",G720="소멸",F720&gt;='기준설정'!$B$5)),"원인분석 대상","일반"))</x:f>
      </x:c>
      <x:c r="I720" s="73" t="str">
        <x:f>IF(A720="","",IF(H720="원인분석 대상","세부원인분석 시트에서 거래별 원인을 검토","-"))</x:f>
      </x:c>
      <x:c r="J720" s="73" t="str">
        <x:f>IF(A720="","",COUNTIFS('전기원장'!$A$5:$A$1004,A720,'전기원장'!$J$5:$J$1004,"확인 필요")+COUNTIFS('당기원장'!$A$5:$A$1004,A720,'당기원장'!$J$5:$J$1004,"확인 필요"))</x:f>
      </x:c>
      <x:c r="K720" s="85" t="str">
        <x:f>IF(A720="","",IF(H720&lt;&gt;"원인분석 대상","",IF(J720&gt;0,"붙임 문서 확인 후 원인 확정 필요","결의서명 기반 원인분류 검토")))</x:f>
      </x:c>
    </x:row>
    <x:row r="721">
      <x:c r="A721" s="73" t="str">
        <x:f>IFERROR(INDEX('계산도우미'!$B$5:$B$2004,MATCH(ROWS($A$5:A721),'계산도우미'!$K$5:$K$2004,0)),"")</x:f>
      </x:c>
      <x:c r="B721" s="73" t="str">
        <x:f>IF(A721="","",IFERROR(INDEX('당기원장'!$B$5:$B$1004,MATCH(A721,'당기원장'!$A$5:$A$1004,0)),IFERROR(INDEX('전기원장'!$B$5:$B$1004,MATCH(A721,'전기원장'!$A$5:$A$1004,0)),"")))</x:f>
      </x:c>
      <x:c r="C721" s="75" t="str">
        <x:f>IF(A721="","",SUMIF('전기원장'!$A$5:$A$1004,A721,'전기원장'!$H$5:$H$1004))</x:f>
      </x:c>
      <x:c r="D721" s="75" t="str">
        <x:f>IF(A721="","",SUMIF('당기원장'!$A$5:$A$1004,A721,'당기원장'!$H$5:$H$1004))</x:f>
      </x:c>
      <x:c r="E721" s="75" t="str">
        <x:f>IF(A721="","",D721-C721)</x:f>
      </x:c>
      <x:c r="F721" s="88" t="str">
        <x:f>IF(A721="","",IF(C721=0,IF(D721=0,0,1),ABS(E721)/ABS(C721)))</x:f>
      </x:c>
      <x:c r="G721" s="73" t="str">
        <x:f>IF(A721="","",IF(AND(C721=0,D721&lt;&gt;0),"신규",IF(AND(C721&lt;&gt;0,D721=0),"소멸",IF(E721=0,"변동없음","금액변동"))))</x:f>
      </x:c>
      <x:c r="H721" s="73" t="str">
        <x:f>IF(A721="","",IF(AND(ABS(E721)&gt;='기준설정'!$B$6,OR(G721="신규",G721="소멸",F721&gt;='기준설정'!$B$5)),"원인분석 대상","일반"))</x:f>
      </x:c>
      <x:c r="I721" s="73" t="str">
        <x:f>IF(A721="","",IF(H721="원인분석 대상","세부원인분석 시트에서 거래별 원인을 검토","-"))</x:f>
      </x:c>
      <x:c r="J721" s="73" t="str">
        <x:f>IF(A721="","",COUNTIFS('전기원장'!$A$5:$A$1004,A721,'전기원장'!$J$5:$J$1004,"확인 필요")+COUNTIFS('당기원장'!$A$5:$A$1004,A721,'당기원장'!$J$5:$J$1004,"확인 필요"))</x:f>
      </x:c>
      <x:c r="K721" s="85" t="str">
        <x:f>IF(A721="","",IF(H721&lt;&gt;"원인분석 대상","",IF(J721&gt;0,"붙임 문서 확인 후 원인 확정 필요","결의서명 기반 원인분류 검토")))</x:f>
      </x:c>
    </x:row>
    <x:row r="722">
      <x:c r="A722" s="73" t="str">
        <x:f>IFERROR(INDEX('계산도우미'!$B$5:$B$2004,MATCH(ROWS($A$5:A722),'계산도우미'!$K$5:$K$2004,0)),"")</x:f>
      </x:c>
      <x:c r="B722" s="73" t="str">
        <x:f>IF(A722="","",IFERROR(INDEX('당기원장'!$B$5:$B$1004,MATCH(A722,'당기원장'!$A$5:$A$1004,0)),IFERROR(INDEX('전기원장'!$B$5:$B$1004,MATCH(A722,'전기원장'!$A$5:$A$1004,0)),"")))</x:f>
      </x:c>
      <x:c r="C722" s="75" t="str">
        <x:f>IF(A722="","",SUMIF('전기원장'!$A$5:$A$1004,A722,'전기원장'!$H$5:$H$1004))</x:f>
      </x:c>
      <x:c r="D722" s="75" t="str">
        <x:f>IF(A722="","",SUMIF('당기원장'!$A$5:$A$1004,A722,'당기원장'!$H$5:$H$1004))</x:f>
      </x:c>
      <x:c r="E722" s="75" t="str">
        <x:f>IF(A722="","",D722-C722)</x:f>
      </x:c>
      <x:c r="F722" s="88" t="str">
        <x:f>IF(A722="","",IF(C722=0,IF(D722=0,0,1),ABS(E722)/ABS(C722)))</x:f>
      </x:c>
      <x:c r="G722" s="73" t="str">
        <x:f>IF(A722="","",IF(AND(C722=0,D722&lt;&gt;0),"신규",IF(AND(C722&lt;&gt;0,D722=0),"소멸",IF(E722=0,"변동없음","금액변동"))))</x:f>
      </x:c>
      <x:c r="H722" s="73" t="str">
        <x:f>IF(A722="","",IF(AND(ABS(E722)&gt;='기준설정'!$B$6,OR(G722="신규",G722="소멸",F722&gt;='기준설정'!$B$5)),"원인분석 대상","일반"))</x:f>
      </x:c>
      <x:c r="I722" s="73" t="str">
        <x:f>IF(A722="","",IF(H722="원인분석 대상","세부원인분석 시트에서 거래별 원인을 검토","-"))</x:f>
      </x:c>
      <x:c r="J722" s="73" t="str">
        <x:f>IF(A722="","",COUNTIFS('전기원장'!$A$5:$A$1004,A722,'전기원장'!$J$5:$J$1004,"확인 필요")+COUNTIFS('당기원장'!$A$5:$A$1004,A722,'당기원장'!$J$5:$J$1004,"확인 필요"))</x:f>
      </x:c>
      <x:c r="K722" s="85" t="str">
        <x:f>IF(A722="","",IF(H722&lt;&gt;"원인분석 대상","",IF(J722&gt;0,"붙임 문서 확인 후 원인 확정 필요","결의서명 기반 원인분류 검토")))</x:f>
      </x:c>
    </x:row>
    <x:row r="723">
      <x:c r="A723" s="73" t="str">
        <x:f>IFERROR(INDEX('계산도우미'!$B$5:$B$2004,MATCH(ROWS($A$5:A723),'계산도우미'!$K$5:$K$2004,0)),"")</x:f>
      </x:c>
      <x:c r="B723" s="73" t="str">
        <x:f>IF(A723="","",IFERROR(INDEX('당기원장'!$B$5:$B$1004,MATCH(A723,'당기원장'!$A$5:$A$1004,0)),IFERROR(INDEX('전기원장'!$B$5:$B$1004,MATCH(A723,'전기원장'!$A$5:$A$1004,0)),"")))</x:f>
      </x:c>
      <x:c r="C723" s="75" t="str">
        <x:f>IF(A723="","",SUMIF('전기원장'!$A$5:$A$1004,A723,'전기원장'!$H$5:$H$1004))</x:f>
      </x:c>
      <x:c r="D723" s="75" t="str">
        <x:f>IF(A723="","",SUMIF('당기원장'!$A$5:$A$1004,A723,'당기원장'!$H$5:$H$1004))</x:f>
      </x:c>
      <x:c r="E723" s="75" t="str">
        <x:f>IF(A723="","",D723-C723)</x:f>
      </x:c>
      <x:c r="F723" s="88" t="str">
        <x:f>IF(A723="","",IF(C723=0,IF(D723=0,0,1),ABS(E723)/ABS(C723)))</x:f>
      </x:c>
      <x:c r="G723" s="73" t="str">
        <x:f>IF(A723="","",IF(AND(C723=0,D723&lt;&gt;0),"신규",IF(AND(C723&lt;&gt;0,D723=0),"소멸",IF(E723=0,"변동없음","금액변동"))))</x:f>
      </x:c>
      <x:c r="H723" s="73" t="str">
        <x:f>IF(A723="","",IF(AND(ABS(E723)&gt;='기준설정'!$B$6,OR(G723="신규",G723="소멸",F723&gt;='기준설정'!$B$5)),"원인분석 대상","일반"))</x:f>
      </x:c>
      <x:c r="I723" s="73" t="str">
        <x:f>IF(A723="","",IF(H723="원인분석 대상","세부원인분석 시트에서 거래별 원인을 검토","-"))</x:f>
      </x:c>
      <x:c r="J723" s="73" t="str">
        <x:f>IF(A723="","",COUNTIFS('전기원장'!$A$5:$A$1004,A723,'전기원장'!$J$5:$J$1004,"확인 필요")+COUNTIFS('당기원장'!$A$5:$A$1004,A723,'당기원장'!$J$5:$J$1004,"확인 필요"))</x:f>
      </x:c>
      <x:c r="K723" s="85" t="str">
        <x:f>IF(A723="","",IF(H723&lt;&gt;"원인분석 대상","",IF(J723&gt;0,"붙임 문서 확인 후 원인 확정 필요","결의서명 기반 원인분류 검토")))</x:f>
      </x:c>
    </x:row>
    <x:row r="724">
      <x:c r="A724" s="73" t="str">
        <x:f>IFERROR(INDEX('계산도우미'!$B$5:$B$2004,MATCH(ROWS($A$5:A724),'계산도우미'!$K$5:$K$2004,0)),"")</x:f>
      </x:c>
      <x:c r="B724" s="73" t="str">
        <x:f>IF(A724="","",IFERROR(INDEX('당기원장'!$B$5:$B$1004,MATCH(A724,'당기원장'!$A$5:$A$1004,0)),IFERROR(INDEX('전기원장'!$B$5:$B$1004,MATCH(A724,'전기원장'!$A$5:$A$1004,0)),"")))</x:f>
      </x:c>
      <x:c r="C724" s="75" t="str">
        <x:f>IF(A724="","",SUMIF('전기원장'!$A$5:$A$1004,A724,'전기원장'!$H$5:$H$1004))</x:f>
      </x:c>
      <x:c r="D724" s="75" t="str">
        <x:f>IF(A724="","",SUMIF('당기원장'!$A$5:$A$1004,A724,'당기원장'!$H$5:$H$1004))</x:f>
      </x:c>
      <x:c r="E724" s="75" t="str">
        <x:f>IF(A724="","",D724-C724)</x:f>
      </x:c>
      <x:c r="F724" s="88" t="str">
        <x:f>IF(A724="","",IF(C724=0,IF(D724=0,0,1),ABS(E724)/ABS(C724)))</x:f>
      </x:c>
      <x:c r="G724" s="73" t="str">
        <x:f>IF(A724="","",IF(AND(C724=0,D724&lt;&gt;0),"신규",IF(AND(C724&lt;&gt;0,D724=0),"소멸",IF(E724=0,"변동없음","금액변동"))))</x:f>
      </x:c>
      <x:c r="H724" s="73" t="str">
        <x:f>IF(A724="","",IF(AND(ABS(E724)&gt;='기준설정'!$B$6,OR(G724="신규",G724="소멸",F724&gt;='기준설정'!$B$5)),"원인분석 대상","일반"))</x:f>
      </x:c>
      <x:c r="I724" s="73" t="str">
        <x:f>IF(A724="","",IF(H724="원인분석 대상","세부원인분석 시트에서 거래별 원인을 검토","-"))</x:f>
      </x:c>
      <x:c r="J724" s="73" t="str">
        <x:f>IF(A724="","",COUNTIFS('전기원장'!$A$5:$A$1004,A724,'전기원장'!$J$5:$J$1004,"확인 필요")+COUNTIFS('당기원장'!$A$5:$A$1004,A724,'당기원장'!$J$5:$J$1004,"확인 필요"))</x:f>
      </x:c>
      <x:c r="K724" s="85" t="str">
        <x:f>IF(A724="","",IF(H724&lt;&gt;"원인분석 대상","",IF(J724&gt;0,"붙임 문서 확인 후 원인 확정 필요","결의서명 기반 원인분류 검토")))</x:f>
      </x:c>
    </x:row>
    <x:row r="725">
      <x:c r="A725" s="73" t="str">
        <x:f>IFERROR(INDEX('계산도우미'!$B$5:$B$2004,MATCH(ROWS($A$5:A725),'계산도우미'!$K$5:$K$2004,0)),"")</x:f>
      </x:c>
      <x:c r="B725" s="73" t="str">
        <x:f>IF(A725="","",IFERROR(INDEX('당기원장'!$B$5:$B$1004,MATCH(A725,'당기원장'!$A$5:$A$1004,0)),IFERROR(INDEX('전기원장'!$B$5:$B$1004,MATCH(A725,'전기원장'!$A$5:$A$1004,0)),"")))</x:f>
      </x:c>
      <x:c r="C725" s="75" t="str">
        <x:f>IF(A725="","",SUMIF('전기원장'!$A$5:$A$1004,A725,'전기원장'!$H$5:$H$1004))</x:f>
      </x:c>
      <x:c r="D725" s="75" t="str">
        <x:f>IF(A725="","",SUMIF('당기원장'!$A$5:$A$1004,A725,'당기원장'!$H$5:$H$1004))</x:f>
      </x:c>
      <x:c r="E725" s="75" t="str">
        <x:f>IF(A725="","",D725-C725)</x:f>
      </x:c>
      <x:c r="F725" s="88" t="str">
        <x:f>IF(A725="","",IF(C725=0,IF(D725=0,0,1),ABS(E725)/ABS(C725)))</x:f>
      </x:c>
      <x:c r="G725" s="73" t="str">
        <x:f>IF(A725="","",IF(AND(C725=0,D725&lt;&gt;0),"신규",IF(AND(C725&lt;&gt;0,D725=0),"소멸",IF(E725=0,"변동없음","금액변동"))))</x:f>
      </x:c>
      <x:c r="H725" s="73" t="str">
        <x:f>IF(A725="","",IF(AND(ABS(E725)&gt;='기준설정'!$B$6,OR(G725="신규",G725="소멸",F725&gt;='기준설정'!$B$5)),"원인분석 대상","일반"))</x:f>
      </x:c>
      <x:c r="I725" s="73" t="str">
        <x:f>IF(A725="","",IF(H725="원인분석 대상","세부원인분석 시트에서 거래별 원인을 검토","-"))</x:f>
      </x:c>
      <x:c r="J725" s="73" t="str">
        <x:f>IF(A725="","",COUNTIFS('전기원장'!$A$5:$A$1004,A725,'전기원장'!$J$5:$J$1004,"확인 필요")+COUNTIFS('당기원장'!$A$5:$A$1004,A725,'당기원장'!$J$5:$J$1004,"확인 필요"))</x:f>
      </x:c>
      <x:c r="K725" s="85" t="str">
        <x:f>IF(A725="","",IF(H725&lt;&gt;"원인분석 대상","",IF(J725&gt;0,"붙임 문서 확인 후 원인 확정 필요","결의서명 기반 원인분류 검토")))</x:f>
      </x:c>
    </x:row>
    <x:row r="726">
      <x:c r="A726" s="73" t="str">
        <x:f>IFERROR(INDEX('계산도우미'!$B$5:$B$2004,MATCH(ROWS($A$5:A726),'계산도우미'!$K$5:$K$2004,0)),"")</x:f>
      </x:c>
      <x:c r="B726" s="73" t="str">
        <x:f>IF(A726="","",IFERROR(INDEX('당기원장'!$B$5:$B$1004,MATCH(A726,'당기원장'!$A$5:$A$1004,0)),IFERROR(INDEX('전기원장'!$B$5:$B$1004,MATCH(A726,'전기원장'!$A$5:$A$1004,0)),"")))</x:f>
      </x:c>
      <x:c r="C726" s="75" t="str">
        <x:f>IF(A726="","",SUMIF('전기원장'!$A$5:$A$1004,A726,'전기원장'!$H$5:$H$1004))</x:f>
      </x:c>
      <x:c r="D726" s="75" t="str">
        <x:f>IF(A726="","",SUMIF('당기원장'!$A$5:$A$1004,A726,'당기원장'!$H$5:$H$1004))</x:f>
      </x:c>
      <x:c r="E726" s="75" t="str">
        <x:f>IF(A726="","",D726-C726)</x:f>
      </x:c>
      <x:c r="F726" s="88" t="str">
        <x:f>IF(A726="","",IF(C726=0,IF(D726=0,0,1),ABS(E726)/ABS(C726)))</x:f>
      </x:c>
      <x:c r="G726" s="73" t="str">
        <x:f>IF(A726="","",IF(AND(C726=0,D726&lt;&gt;0),"신규",IF(AND(C726&lt;&gt;0,D726=0),"소멸",IF(E726=0,"변동없음","금액변동"))))</x:f>
      </x:c>
      <x:c r="H726" s="73" t="str">
        <x:f>IF(A726="","",IF(AND(ABS(E726)&gt;='기준설정'!$B$6,OR(G726="신규",G726="소멸",F726&gt;='기준설정'!$B$5)),"원인분석 대상","일반"))</x:f>
      </x:c>
      <x:c r="I726" s="73" t="str">
        <x:f>IF(A726="","",IF(H726="원인분석 대상","세부원인분석 시트에서 거래별 원인을 검토","-"))</x:f>
      </x:c>
      <x:c r="J726" s="73" t="str">
        <x:f>IF(A726="","",COUNTIFS('전기원장'!$A$5:$A$1004,A726,'전기원장'!$J$5:$J$1004,"확인 필요")+COUNTIFS('당기원장'!$A$5:$A$1004,A726,'당기원장'!$J$5:$J$1004,"확인 필요"))</x:f>
      </x:c>
      <x:c r="K726" s="85" t="str">
        <x:f>IF(A726="","",IF(H726&lt;&gt;"원인분석 대상","",IF(J726&gt;0,"붙임 문서 확인 후 원인 확정 필요","결의서명 기반 원인분류 검토")))</x:f>
      </x:c>
    </x:row>
    <x:row r="727">
      <x:c r="A727" s="73" t="str">
        <x:f>IFERROR(INDEX('계산도우미'!$B$5:$B$2004,MATCH(ROWS($A$5:A727),'계산도우미'!$K$5:$K$2004,0)),"")</x:f>
      </x:c>
      <x:c r="B727" s="73" t="str">
        <x:f>IF(A727="","",IFERROR(INDEX('당기원장'!$B$5:$B$1004,MATCH(A727,'당기원장'!$A$5:$A$1004,0)),IFERROR(INDEX('전기원장'!$B$5:$B$1004,MATCH(A727,'전기원장'!$A$5:$A$1004,0)),"")))</x:f>
      </x:c>
      <x:c r="C727" s="75" t="str">
        <x:f>IF(A727="","",SUMIF('전기원장'!$A$5:$A$1004,A727,'전기원장'!$H$5:$H$1004))</x:f>
      </x:c>
      <x:c r="D727" s="75" t="str">
        <x:f>IF(A727="","",SUMIF('당기원장'!$A$5:$A$1004,A727,'당기원장'!$H$5:$H$1004))</x:f>
      </x:c>
      <x:c r="E727" s="75" t="str">
        <x:f>IF(A727="","",D727-C727)</x:f>
      </x:c>
      <x:c r="F727" s="88" t="str">
        <x:f>IF(A727="","",IF(C727=0,IF(D727=0,0,1),ABS(E727)/ABS(C727)))</x:f>
      </x:c>
      <x:c r="G727" s="73" t="str">
        <x:f>IF(A727="","",IF(AND(C727=0,D727&lt;&gt;0),"신규",IF(AND(C727&lt;&gt;0,D727=0),"소멸",IF(E727=0,"변동없음","금액변동"))))</x:f>
      </x:c>
      <x:c r="H727" s="73" t="str">
        <x:f>IF(A727="","",IF(AND(ABS(E727)&gt;='기준설정'!$B$6,OR(G727="신규",G727="소멸",F727&gt;='기준설정'!$B$5)),"원인분석 대상","일반"))</x:f>
      </x:c>
      <x:c r="I727" s="73" t="str">
        <x:f>IF(A727="","",IF(H727="원인분석 대상","세부원인분석 시트에서 거래별 원인을 검토","-"))</x:f>
      </x:c>
      <x:c r="J727" s="73" t="str">
        <x:f>IF(A727="","",COUNTIFS('전기원장'!$A$5:$A$1004,A727,'전기원장'!$J$5:$J$1004,"확인 필요")+COUNTIFS('당기원장'!$A$5:$A$1004,A727,'당기원장'!$J$5:$J$1004,"확인 필요"))</x:f>
      </x:c>
      <x:c r="K727" s="85" t="str">
        <x:f>IF(A727="","",IF(H727&lt;&gt;"원인분석 대상","",IF(J727&gt;0,"붙임 문서 확인 후 원인 확정 필요","결의서명 기반 원인분류 검토")))</x:f>
      </x:c>
    </x:row>
    <x:row r="728">
      <x:c r="A728" s="73" t="str">
        <x:f>IFERROR(INDEX('계산도우미'!$B$5:$B$2004,MATCH(ROWS($A$5:A728),'계산도우미'!$K$5:$K$2004,0)),"")</x:f>
      </x:c>
      <x:c r="B728" s="73" t="str">
        <x:f>IF(A728="","",IFERROR(INDEX('당기원장'!$B$5:$B$1004,MATCH(A728,'당기원장'!$A$5:$A$1004,0)),IFERROR(INDEX('전기원장'!$B$5:$B$1004,MATCH(A728,'전기원장'!$A$5:$A$1004,0)),"")))</x:f>
      </x:c>
      <x:c r="C728" s="75" t="str">
        <x:f>IF(A728="","",SUMIF('전기원장'!$A$5:$A$1004,A728,'전기원장'!$H$5:$H$1004))</x:f>
      </x:c>
      <x:c r="D728" s="75" t="str">
        <x:f>IF(A728="","",SUMIF('당기원장'!$A$5:$A$1004,A728,'당기원장'!$H$5:$H$1004))</x:f>
      </x:c>
      <x:c r="E728" s="75" t="str">
        <x:f>IF(A728="","",D728-C728)</x:f>
      </x:c>
      <x:c r="F728" s="88" t="str">
        <x:f>IF(A728="","",IF(C728=0,IF(D728=0,0,1),ABS(E728)/ABS(C728)))</x:f>
      </x:c>
      <x:c r="G728" s="73" t="str">
        <x:f>IF(A728="","",IF(AND(C728=0,D728&lt;&gt;0),"신규",IF(AND(C728&lt;&gt;0,D728=0),"소멸",IF(E728=0,"변동없음","금액변동"))))</x:f>
      </x:c>
      <x:c r="H728" s="73" t="str">
        <x:f>IF(A728="","",IF(AND(ABS(E728)&gt;='기준설정'!$B$6,OR(G728="신규",G728="소멸",F728&gt;='기준설정'!$B$5)),"원인분석 대상","일반"))</x:f>
      </x:c>
      <x:c r="I728" s="73" t="str">
        <x:f>IF(A728="","",IF(H728="원인분석 대상","세부원인분석 시트에서 거래별 원인을 검토","-"))</x:f>
      </x:c>
      <x:c r="J728" s="73" t="str">
        <x:f>IF(A728="","",COUNTIFS('전기원장'!$A$5:$A$1004,A728,'전기원장'!$J$5:$J$1004,"확인 필요")+COUNTIFS('당기원장'!$A$5:$A$1004,A728,'당기원장'!$J$5:$J$1004,"확인 필요"))</x:f>
      </x:c>
      <x:c r="K728" s="85" t="str">
        <x:f>IF(A728="","",IF(H728&lt;&gt;"원인분석 대상","",IF(J728&gt;0,"붙임 문서 확인 후 원인 확정 필요","결의서명 기반 원인분류 검토")))</x:f>
      </x:c>
    </x:row>
    <x:row r="729">
      <x:c r="A729" s="73" t="str">
        <x:f>IFERROR(INDEX('계산도우미'!$B$5:$B$2004,MATCH(ROWS($A$5:A729),'계산도우미'!$K$5:$K$2004,0)),"")</x:f>
      </x:c>
      <x:c r="B729" s="73" t="str">
        <x:f>IF(A729="","",IFERROR(INDEX('당기원장'!$B$5:$B$1004,MATCH(A729,'당기원장'!$A$5:$A$1004,0)),IFERROR(INDEX('전기원장'!$B$5:$B$1004,MATCH(A729,'전기원장'!$A$5:$A$1004,0)),"")))</x:f>
      </x:c>
      <x:c r="C729" s="75" t="str">
        <x:f>IF(A729="","",SUMIF('전기원장'!$A$5:$A$1004,A729,'전기원장'!$H$5:$H$1004))</x:f>
      </x:c>
      <x:c r="D729" s="75" t="str">
        <x:f>IF(A729="","",SUMIF('당기원장'!$A$5:$A$1004,A729,'당기원장'!$H$5:$H$1004))</x:f>
      </x:c>
      <x:c r="E729" s="75" t="str">
        <x:f>IF(A729="","",D729-C729)</x:f>
      </x:c>
      <x:c r="F729" s="88" t="str">
        <x:f>IF(A729="","",IF(C729=0,IF(D729=0,0,1),ABS(E729)/ABS(C729)))</x:f>
      </x:c>
      <x:c r="G729" s="73" t="str">
        <x:f>IF(A729="","",IF(AND(C729=0,D729&lt;&gt;0),"신규",IF(AND(C729&lt;&gt;0,D729=0),"소멸",IF(E729=0,"변동없음","금액변동"))))</x:f>
      </x:c>
      <x:c r="H729" s="73" t="str">
        <x:f>IF(A729="","",IF(AND(ABS(E729)&gt;='기준설정'!$B$6,OR(G729="신규",G729="소멸",F729&gt;='기준설정'!$B$5)),"원인분석 대상","일반"))</x:f>
      </x:c>
      <x:c r="I729" s="73" t="str">
        <x:f>IF(A729="","",IF(H729="원인분석 대상","세부원인분석 시트에서 거래별 원인을 검토","-"))</x:f>
      </x:c>
      <x:c r="J729" s="73" t="str">
        <x:f>IF(A729="","",COUNTIFS('전기원장'!$A$5:$A$1004,A729,'전기원장'!$J$5:$J$1004,"확인 필요")+COUNTIFS('당기원장'!$A$5:$A$1004,A729,'당기원장'!$J$5:$J$1004,"확인 필요"))</x:f>
      </x:c>
      <x:c r="K729" s="85" t="str">
        <x:f>IF(A729="","",IF(H729&lt;&gt;"원인분석 대상","",IF(J729&gt;0,"붙임 문서 확인 후 원인 확정 필요","결의서명 기반 원인분류 검토")))</x:f>
      </x:c>
    </x:row>
    <x:row r="730">
      <x:c r="A730" s="73" t="str">
        <x:f>IFERROR(INDEX('계산도우미'!$B$5:$B$2004,MATCH(ROWS($A$5:A730),'계산도우미'!$K$5:$K$2004,0)),"")</x:f>
      </x:c>
      <x:c r="B730" s="73" t="str">
        <x:f>IF(A730="","",IFERROR(INDEX('당기원장'!$B$5:$B$1004,MATCH(A730,'당기원장'!$A$5:$A$1004,0)),IFERROR(INDEX('전기원장'!$B$5:$B$1004,MATCH(A730,'전기원장'!$A$5:$A$1004,0)),"")))</x:f>
      </x:c>
      <x:c r="C730" s="75" t="str">
        <x:f>IF(A730="","",SUMIF('전기원장'!$A$5:$A$1004,A730,'전기원장'!$H$5:$H$1004))</x:f>
      </x:c>
      <x:c r="D730" s="75" t="str">
        <x:f>IF(A730="","",SUMIF('당기원장'!$A$5:$A$1004,A730,'당기원장'!$H$5:$H$1004))</x:f>
      </x:c>
      <x:c r="E730" s="75" t="str">
        <x:f>IF(A730="","",D730-C730)</x:f>
      </x:c>
      <x:c r="F730" s="88" t="str">
        <x:f>IF(A730="","",IF(C730=0,IF(D730=0,0,1),ABS(E730)/ABS(C730)))</x:f>
      </x:c>
      <x:c r="G730" s="73" t="str">
        <x:f>IF(A730="","",IF(AND(C730=0,D730&lt;&gt;0),"신규",IF(AND(C730&lt;&gt;0,D730=0),"소멸",IF(E730=0,"변동없음","금액변동"))))</x:f>
      </x:c>
      <x:c r="H730" s="73" t="str">
        <x:f>IF(A730="","",IF(AND(ABS(E730)&gt;='기준설정'!$B$6,OR(G730="신규",G730="소멸",F730&gt;='기준설정'!$B$5)),"원인분석 대상","일반"))</x:f>
      </x:c>
      <x:c r="I730" s="73" t="str">
        <x:f>IF(A730="","",IF(H730="원인분석 대상","세부원인분석 시트에서 거래별 원인을 검토","-"))</x:f>
      </x:c>
      <x:c r="J730" s="73" t="str">
        <x:f>IF(A730="","",COUNTIFS('전기원장'!$A$5:$A$1004,A730,'전기원장'!$J$5:$J$1004,"확인 필요")+COUNTIFS('당기원장'!$A$5:$A$1004,A730,'당기원장'!$J$5:$J$1004,"확인 필요"))</x:f>
      </x:c>
      <x:c r="K730" s="85" t="str">
        <x:f>IF(A730="","",IF(H730&lt;&gt;"원인분석 대상","",IF(J730&gt;0,"붙임 문서 확인 후 원인 확정 필요","결의서명 기반 원인분류 검토")))</x:f>
      </x:c>
    </x:row>
    <x:row r="731">
      <x:c r="A731" s="73" t="str">
        <x:f>IFERROR(INDEX('계산도우미'!$B$5:$B$2004,MATCH(ROWS($A$5:A731),'계산도우미'!$K$5:$K$2004,0)),"")</x:f>
      </x:c>
      <x:c r="B731" s="73" t="str">
        <x:f>IF(A731="","",IFERROR(INDEX('당기원장'!$B$5:$B$1004,MATCH(A731,'당기원장'!$A$5:$A$1004,0)),IFERROR(INDEX('전기원장'!$B$5:$B$1004,MATCH(A731,'전기원장'!$A$5:$A$1004,0)),"")))</x:f>
      </x:c>
      <x:c r="C731" s="75" t="str">
        <x:f>IF(A731="","",SUMIF('전기원장'!$A$5:$A$1004,A731,'전기원장'!$H$5:$H$1004))</x:f>
      </x:c>
      <x:c r="D731" s="75" t="str">
        <x:f>IF(A731="","",SUMIF('당기원장'!$A$5:$A$1004,A731,'당기원장'!$H$5:$H$1004))</x:f>
      </x:c>
      <x:c r="E731" s="75" t="str">
        <x:f>IF(A731="","",D731-C731)</x:f>
      </x:c>
      <x:c r="F731" s="88" t="str">
        <x:f>IF(A731="","",IF(C731=0,IF(D731=0,0,1),ABS(E731)/ABS(C731)))</x:f>
      </x:c>
      <x:c r="G731" s="73" t="str">
        <x:f>IF(A731="","",IF(AND(C731=0,D731&lt;&gt;0),"신규",IF(AND(C731&lt;&gt;0,D731=0),"소멸",IF(E731=0,"변동없음","금액변동"))))</x:f>
      </x:c>
      <x:c r="H731" s="73" t="str">
        <x:f>IF(A731="","",IF(AND(ABS(E731)&gt;='기준설정'!$B$6,OR(G731="신규",G731="소멸",F731&gt;='기준설정'!$B$5)),"원인분석 대상","일반"))</x:f>
      </x:c>
      <x:c r="I731" s="73" t="str">
        <x:f>IF(A731="","",IF(H731="원인분석 대상","세부원인분석 시트에서 거래별 원인을 검토","-"))</x:f>
      </x:c>
      <x:c r="J731" s="73" t="str">
        <x:f>IF(A731="","",COUNTIFS('전기원장'!$A$5:$A$1004,A731,'전기원장'!$J$5:$J$1004,"확인 필요")+COUNTIFS('당기원장'!$A$5:$A$1004,A731,'당기원장'!$J$5:$J$1004,"확인 필요"))</x:f>
      </x:c>
      <x:c r="K731" s="85" t="str">
        <x:f>IF(A731="","",IF(H731&lt;&gt;"원인분석 대상","",IF(J731&gt;0,"붙임 문서 확인 후 원인 확정 필요","결의서명 기반 원인분류 검토")))</x:f>
      </x:c>
    </x:row>
    <x:row r="732">
      <x:c r="A732" s="73" t="str">
        <x:f>IFERROR(INDEX('계산도우미'!$B$5:$B$2004,MATCH(ROWS($A$5:A732),'계산도우미'!$K$5:$K$2004,0)),"")</x:f>
      </x:c>
      <x:c r="B732" s="73" t="str">
        <x:f>IF(A732="","",IFERROR(INDEX('당기원장'!$B$5:$B$1004,MATCH(A732,'당기원장'!$A$5:$A$1004,0)),IFERROR(INDEX('전기원장'!$B$5:$B$1004,MATCH(A732,'전기원장'!$A$5:$A$1004,0)),"")))</x:f>
      </x:c>
      <x:c r="C732" s="75" t="str">
        <x:f>IF(A732="","",SUMIF('전기원장'!$A$5:$A$1004,A732,'전기원장'!$H$5:$H$1004))</x:f>
      </x:c>
      <x:c r="D732" s="75" t="str">
        <x:f>IF(A732="","",SUMIF('당기원장'!$A$5:$A$1004,A732,'당기원장'!$H$5:$H$1004))</x:f>
      </x:c>
      <x:c r="E732" s="75" t="str">
        <x:f>IF(A732="","",D732-C732)</x:f>
      </x:c>
      <x:c r="F732" s="88" t="str">
        <x:f>IF(A732="","",IF(C732=0,IF(D732=0,0,1),ABS(E732)/ABS(C732)))</x:f>
      </x:c>
      <x:c r="G732" s="73" t="str">
        <x:f>IF(A732="","",IF(AND(C732=0,D732&lt;&gt;0),"신규",IF(AND(C732&lt;&gt;0,D732=0),"소멸",IF(E732=0,"변동없음","금액변동"))))</x:f>
      </x:c>
      <x:c r="H732" s="73" t="str">
        <x:f>IF(A732="","",IF(AND(ABS(E732)&gt;='기준설정'!$B$6,OR(G732="신규",G732="소멸",F732&gt;='기준설정'!$B$5)),"원인분석 대상","일반"))</x:f>
      </x:c>
      <x:c r="I732" s="73" t="str">
        <x:f>IF(A732="","",IF(H732="원인분석 대상","세부원인분석 시트에서 거래별 원인을 검토","-"))</x:f>
      </x:c>
      <x:c r="J732" s="73" t="str">
        <x:f>IF(A732="","",COUNTIFS('전기원장'!$A$5:$A$1004,A732,'전기원장'!$J$5:$J$1004,"확인 필요")+COUNTIFS('당기원장'!$A$5:$A$1004,A732,'당기원장'!$J$5:$J$1004,"확인 필요"))</x:f>
      </x:c>
      <x:c r="K732" s="85" t="str">
        <x:f>IF(A732="","",IF(H732&lt;&gt;"원인분석 대상","",IF(J732&gt;0,"붙임 문서 확인 후 원인 확정 필요","결의서명 기반 원인분류 검토")))</x:f>
      </x:c>
    </x:row>
    <x:row r="733">
      <x:c r="A733" s="73" t="str">
        <x:f>IFERROR(INDEX('계산도우미'!$B$5:$B$2004,MATCH(ROWS($A$5:A733),'계산도우미'!$K$5:$K$2004,0)),"")</x:f>
      </x:c>
      <x:c r="B733" s="73" t="str">
        <x:f>IF(A733="","",IFERROR(INDEX('당기원장'!$B$5:$B$1004,MATCH(A733,'당기원장'!$A$5:$A$1004,0)),IFERROR(INDEX('전기원장'!$B$5:$B$1004,MATCH(A733,'전기원장'!$A$5:$A$1004,0)),"")))</x:f>
      </x:c>
      <x:c r="C733" s="75" t="str">
        <x:f>IF(A733="","",SUMIF('전기원장'!$A$5:$A$1004,A733,'전기원장'!$H$5:$H$1004))</x:f>
      </x:c>
      <x:c r="D733" s="75" t="str">
        <x:f>IF(A733="","",SUMIF('당기원장'!$A$5:$A$1004,A733,'당기원장'!$H$5:$H$1004))</x:f>
      </x:c>
      <x:c r="E733" s="75" t="str">
        <x:f>IF(A733="","",D733-C733)</x:f>
      </x:c>
      <x:c r="F733" s="88" t="str">
        <x:f>IF(A733="","",IF(C733=0,IF(D733=0,0,1),ABS(E733)/ABS(C733)))</x:f>
      </x:c>
      <x:c r="G733" s="73" t="str">
        <x:f>IF(A733="","",IF(AND(C733=0,D733&lt;&gt;0),"신규",IF(AND(C733&lt;&gt;0,D733=0),"소멸",IF(E733=0,"변동없음","금액변동"))))</x:f>
      </x:c>
      <x:c r="H733" s="73" t="str">
        <x:f>IF(A733="","",IF(AND(ABS(E733)&gt;='기준설정'!$B$6,OR(G733="신규",G733="소멸",F733&gt;='기준설정'!$B$5)),"원인분석 대상","일반"))</x:f>
      </x:c>
      <x:c r="I733" s="73" t="str">
        <x:f>IF(A733="","",IF(H733="원인분석 대상","세부원인분석 시트에서 거래별 원인을 검토","-"))</x:f>
      </x:c>
      <x:c r="J733" s="73" t="str">
        <x:f>IF(A733="","",COUNTIFS('전기원장'!$A$5:$A$1004,A733,'전기원장'!$J$5:$J$1004,"확인 필요")+COUNTIFS('당기원장'!$A$5:$A$1004,A733,'당기원장'!$J$5:$J$1004,"확인 필요"))</x:f>
      </x:c>
      <x:c r="K733" s="85" t="str">
        <x:f>IF(A733="","",IF(H733&lt;&gt;"원인분석 대상","",IF(J733&gt;0,"붙임 문서 확인 후 원인 확정 필요","결의서명 기반 원인분류 검토")))</x:f>
      </x:c>
    </x:row>
    <x:row r="734">
      <x:c r="A734" s="73" t="str">
        <x:f>IFERROR(INDEX('계산도우미'!$B$5:$B$2004,MATCH(ROWS($A$5:A734),'계산도우미'!$K$5:$K$2004,0)),"")</x:f>
      </x:c>
      <x:c r="B734" s="73" t="str">
        <x:f>IF(A734="","",IFERROR(INDEX('당기원장'!$B$5:$B$1004,MATCH(A734,'당기원장'!$A$5:$A$1004,0)),IFERROR(INDEX('전기원장'!$B$5:$B$1004,MATCH(A734,'전기원장'!$A$5:$A$1004,0)),"")))</x:f>
      </x:c>
      <x:c r="C734" s="75" t="str">
        <x:f>IF(A734="","",SUMIF('전기원장'!$A$5:$A$1004,A734,'전기원장'!$H$5:$H$1004))</x:f>
      </x:c>
      <x:c r="D734" s="75" t="str">
        <x:f>IF(A734="","",SUMIF('당기원장'!$A$5:$A$1004,A734,'당기원장'!$H$5:$H$1004))</x:f>
      </x:c>
      <x:c r="E734" s="75" t="str">
        <x:f>IF(A734="","",D734-C734)</x:f>
      </x:c>
      <x:c r="F734" s="88" t="str">
        <x:f>IF(A734="","",IF(C734=0,IF(D734=0,0,1),ABS(E734)/ABS(C734)))</x:f>
      </x:c>
      <x:c r="G734" s="73" t="str">
        <x:f>IF(A734="","",IF(AND(C734=0,D734&lt;&gt;0),"신규",IF(AND(C734&lt;&gt;0,D734=0),"소멸",IF(E734=0,"변동없음","금액변동"))))</x:f>
      </x:c>
      <x:c r="H734" s="73" t="str">
        <x:f>IF(A734="","",IF(AND(ABS(E734)&gt;='기준설정'!$B$6,OR(G734="신규",G734="소멸",F734&gt;='기준설정'!$B$5)),"원인분석 대상","일반"))</x:f>
      </x:c>
      <x:c r="I734" s="73" t="str">
        <x:f>IF(A734="","",IF(H734="원인분석 대상","세부원인분석 시트에서 거래별 원인을 검토","-"))</x:f>
      </x:c>
      <x:c r="J734" s="73" t="str">
        <x:f>IF(A734="","",COUNTIFS('전기원장'!$A$5:$A$1004,A734,'전기원장'!$J$5:$J$1004,"확인 필요")+COUNTIFS('당기원장'!$A$5:$A$1004,A734,'당기원장'!$J$5:$J$1004,"확인 필요"))</x:f>
      </x:c>
      <x:c r="K734" s="85" t="str">
        <x:f>IF(A734="","",IF(H734&lt;&gt;"원인분석 대상","",IF(J734&gt;0,"붙임 문서 확인 후 원인 확정 필요","결의서명 기반 원인분류 검토")))</x:f>
      </x:c>
    </x:row>
    <x:row r="735">
      <x:c r="A735" s="73" t="str">
        <x:f>IFERROR(INDEX('계산도우미'!$B$5:$B$2004,MATCH(ROWS($A$5:A735),'계산도우미'!$K$5:$K$2004,0)),"")</x:f>
      </x:c>
      <x:c r="B735" s="73" t="str">
        <x:f>IF(A735="","",IFERROR(INDEX('당기원장'!$B$5:$B$1004,MATCH(A735,'당기원장'!$A$5:$A$1004,0)),IFERROR(INDEX('전기원장'!$B$5:$B$1004,MATCH(A735,'전기원장'!$A$5:$A$1004,0)),"")))</x:f>
      </x:c>
      <x:c r="C735" s="75" t="str">
        <x:f>IF(A735="","",SUMIF('전기원장'!$A$5:$A$1004,A735,'전기원장'!$H$5:$H$1004))</x:f>
      </x:c>
      <x:c r="D735" s="75" t="str">
        <x:f>IF(A735="","",SUMIF('당기원장'!$A$5:$A$1004,A735,'당기원장'!$H$5:$H$1004))</x:f>
      </x:c>
      <x:c r="E735" s="75" t="str">
        <x:f>IF(A735="","",D735-C735)</x:f>
      </x:c>
      <x:c r="F735" s="88" t="str">
        <x:f>IF(A735="","",IF(C735=0,IF(D735=0,0,1),ABS(E735)/ABS(C735)))</x:f>
      </x:c>
      <x:c r="G735" s="73" t="str">
        <x:f>IF(A735="","",IF(AND(C735=0,D735&lt;&gt;0),"신규",IF(AND(C735&lt;&gt;0,D735=0),"소멸",IF(E735=0,"변동없음","금액변동"))))</x:f>
      </x:c>
      <x:c r="H735" s="73" t="str">
        <x:f>IF(A735="","",IF(AND(ABS(E735)&gt;='기준설정'!$B$6,OR(G735="신규",G735="소멸",F735&gt;='기준설정'!$B$5)),"원인분석 대상","일반"))</x:f>
      </x:c>
      <x:c r="I735" s="73" t="str">
        <x:f>IF(A735="","",IF(H735="원인분석 대상","세부원인분석 시트에서 거래별 원인을 검토","-"))</x:f>
      </x:c>
      <x:c r="J735" s="73" t="str">
        <x:f>IF(A735="","",COUNTIFS('전기원장'!$A$5:$A$1004,A735,'전기원장'!$J$5:$J$1004,"확인 필요")+COUNTIFS('당기원장'!$A$5:$A$1004,A735,'당기원장'!$J$5:$J$1004,"확인 필요"))</x:f>
      </x:c>
      <x:c r="K735" s="85" t="str">
        <x:f>IF(A735="","",IF(H735&lt;&gt;"원인분석 대상","",IF(J735&gt;0,"붙임 문서 확인 후 원인 확정 필요","결의서명 기반 원인분류 검토")))</x:f>
      </x:c>
    </x:row>
    <x:row r="736">
      <x:c r="A736" s="73" t="str">
        <x:f>IFERROR(INDEX('계산도우미'!$B$5:$B$2004,MATCH(ROWS($A$5:A736),'계산도우미'!$K$5:$K$2004,0)),"")</x:f>
      </x:c>
      <x:c r="B736" s="73" t="str">
        <x:f>IF(A736="","",IFERROR(INDEX('당기원장'!$B$5:$B$1004,MATCH(A736,'당기원장'!$A$5:$A$1004,0)),IFERROR(INDEX('전기원장'!$B$5:$B$1004,MATCH(A736,'전기원장'!$A$5:$A$1004,0)),"")))</x:f>
      </x:c>
      <x:c r="C736" s="75" t="str">
        <x:f>IF(A736="","",SUMIF('전기원장'!$A$5:$A$1004,A736,'전기원장'!$H$5:$H$1004))</x:f>
      </x:c>
      <x:c r="D736" s="75" t="str">
        <x:f>IF(A736="","",SUMIF('당기원장'!$A$5:$A$1004,A736,'당기원장'!$H$5:$H$1004))</x:f>
      </x:c>
      <x:c r="E736" s="75" t="str">
        <x:f>IF(A736="","",D736-C736)</x:f>
      </x:c>
      <x:c r="F736" s="88" t="str">
        <x:f>IF(A736="","",IF(C736=0,IF(D736=0,0,1),ABS(E736)/ABS(C736)))</x:f>
      </x:c>
      <x:c r="G736" s="73" t="str">
        <x:f>IF(A736="","",IF(AND(C736=0,D736&lt;&gt;0),"신규",IF(AND(C736&lt;&gt;0,D736=0),"소멸",IF(E736=0,"변동없음","금액변동"))))</x:f>
      </x:c>
      <x:c r="H736" s="73" t="str">
        <x:f>IF(A736="","",IF(AND(ABS(E736)&gt;='기준설정'!$B$6,OR(G736="신규",G736="소멸",F736&gt;='기준설정'!$B$5)),"원인분석 대상","일반"))</x:f>
      </x:c>
      <x:c r="I736" s="73" t="str">
        <x:f>IF(A736="","",IF(H736="원인분석 대상","세부원인분석 시트에서 거래별 원인을 검토","-"))</x:f>
      </x:c>
      <x:c r="J736" s="73" t="str">
        <x:f>IF(A736="","",COUNTIFS('전기원장'!$A$5:$A$1004,A736,'전기원장'!$J$5:$J$1004,"확인 필요")+COUNTIFS('당기원장'!$A$5:$A$1004,A736,'당기원장'!$J$5:$J$1004,"확인 필요"))</x:f>
      </x:c>
      <x:c r="K736" s="85" t="str">
        <x:f>IF(A736="","",IF(H736&lt;&gt;"원인분석 대상","",IF(J736&gt;0,"붙임 문서 확인 후 원인 확정 필요","결의서명 기반 원인분류 검토")))</x:f>
      </x:c>
    </x:row>
    <x:row r="737">
      <x:c r="A737" s="73" t="str">
        <x:f>IFERROR(INDEX('계산도우미'!$B$5:$B$2004,MATCH(ROWS($A$5:A737),'계산도우미'!$K$5:$K$2004,0)),"")</x:f>
      </x:c>
      <x:c r="B737" s="73" t="str">
        <x:f>IF(A737="","",IFERROR(INDEX('당기원장'!$B$5:$B$1004,MATCH(A737,'당기원장'!$A$5:$A$1004,0)),IFERROR(INDEX('전기원장'!$B$5:$B$1004,MATCH(A737,'전기원장'!$A$5:$A$1004,0)),"")))</x:f>
      </x:c>
      <x:c r="C737" s="75" t="str">
        <x:f>IF(A737="","",SUMIF('전기원장'!$A$5:$A$1004,A737,'전기원장'!$H$5:$H$1004))</x:f>
      </x:c>
      <x:c r="D737" s="75" t="str">
        <x:f>IF(A737="","",SUMIF('당기원장'!$A$5:$A$1004,A737,'당기원장'!$H$5:$H$1004))</x:f>
      </x:c>
      <x:c r="E737" s="75" t="str">
        <x:f>IF(A737="","",D737-C737)</x:f>
      </x:c>
      <x:c r="F737" s="88" t="str">
        <x:f>IF(A737="","",IF(C737=0,IF(D737=0,0,1),ABS(E737)/ABS(C737)))</x:f>
      </x:c>
      <x:c r="G737" s="73" t="str">
        <x:f>IF(A737="","",IF(AND(C737=0,D737&lt;&gt;0),"신규",IF(AND(C737&lt;&gt;0,D737=0),"소멸",IF(E737=0,"변동없음","금액변동"))))</x:f>
      </x:c>
      <x:c r="H737" s="73" t="str">
        <x:f>IF(A737="","",IF(AND(ABS(E737)&gt;='기준설정'!$B$6,OR(G737="신규",G737="소멸",F737&gt;='기준설정'!$B$5)),"원인분석 대상","일반"))</x:f>
      </x:c>
      <x:c r="I737" s="73" t="str">
        <x:f>IF(A737="","",IF(H737="원인분석 대상","세부원인분석 시트에서 거래별 원인을 검토","-"))</x:f>
      </x:c>
      <x:c r="J737" s="73" t="str">
        <x:f>IF(A737="","",COUNTIFS('전기원장'!$A$5:$A$1004,A737,'전기원장'!$J$5:$J$1004,"확인 필요")+COUNTIFS('당기원장'!$A$5:$A$1004,A737,'당기원장'!$J$5:$J$1004,"확인 필요"))</x:f>
      </x:c>
      <x:c r="K737" s="85" t="str">
        <x:f>IF(A737="","",IF(H737&lt;&gt;"원인분석 대상","",IF(J737&gt;0,"붙임 문서 확인 후 원인 확정 필요","결의서명 기반 원인분류 검토")))</x:f>
      </x:c>
    </x:row>
    <x:row r="738">
      <x:c r="A738" s="73" t="str">
        <x:f>IFERROR(INDEX('계산도우미'!$B$5:$B$2004,MATCH(ROWS($A$5:A738),'계산도우미'!$K$5:$K$2004,0)),"")</x:f>
      </x:c>
      <x:c r="B738" s="73" t="str">
        <x:f>IF(A738="","",IFERROR(INDEX('당기원장'!$B$5:$B$1004,MATCH(A738,'당기원장'!$A$5:$A$1004,0)),IFERROR(INDEX('전기원장'!$B$5:$B$1004,MATCH(A738,'전기원장'!$A$5:$A$1004,0)),"")))</x:f>
      </x:c>
      <x:c r="C738" s="75" t="str">
        <x:f>IF(A738="","",SUMIF('전기원장'!$A$5:$A$1004,A738,'전기원장'!$H$5:$H$1004))</x:f>
      </x:c>
      <x:c r="D738" s="75" t="str">
        <x:f>IF(A738="","",SUMIF('당기원장'!$A$5:$A$1004,A738,'당기원장'!$H$5:$H$1004))</x:f>
      </x:c>
      <x:c r="E738" s="75" t="str">
        <x:f>IF(A738="","",D738-C738)</x:f>
      </x:c>
      <x:c r="F738" s="88" t="str">
        <x:f>IF(A738="","",IF(C738=0,IF(D738=0,0,1),ABS(E738)/ABS(C738)))</x:f>
      </x:c>
      <x:c r="G738" s="73" t="str">
        <x:f>IF(A738="","",IF(AND(C738=0,D738&lt;&gt;0),"신규",IF(AND(C738&lt;&gt;0,D738=0),"소멸",IF(E738=0,"변동없음","금액변동"))))</x:f>
      </x:c>
      <x:c r="H738" s="73" t="str">
        <x:f>IF(A738="","",IF(AND(ABS(E738)&gt;='기준설정'!$B$6,OR(G738="신규",G738="소멸",F738&gt;='기준설정'!$B$5)),"원인분석 대상","일반"))</x:f>
      </x:c>
      <x:c r="I738" s="73" t="str">
        <x:f>IF(A738="","",IF(H738="원인분석 대상","세부원인분석 시트에서 거래별 원인을 검토","-"))</x:f>
      </x:c>
      <x:c r="J738" s="73" t="str">
        <x:f>IF(A738="","",COUNTIFS('전기원장'!$A$5:$A$1004,A738,'전기원장'!$J$5:$J$1004,"확인 필요")+COUNTIFS('당기원장'!$A$5:$A$1004,A738,'당기원장'!$J$5:$J$1004,"확인 필요"))</x:f>
      </x:c>
      <x:c r="K738" s="85" t="str">
        <x:f>IF(A738="","",IF(H738&lt;&gt;"원인분석 대상","",IF(J738&gt;0,"붙임 문서 확인 후 원인 확정 필요","결의서명 기반 원인분류 검토")))</x:f>
      </x:c>
    </x:row>
    <x:row r="739">
      <x:c r="A739" s="73" t="str">
        <x:f>IFERROR(INDEX('계산도우미'!$B$5:$B$2004,MATCH(ROWS($A$5:A739),'계산도우미'!$K$5:$K$2004,0)),"")</x:f>
      </x:c>
      <x:c r="B739" s="73" t="str">
        <x:f>IF(A739="","",IFERROR(INDEX('당기원장'!$B$5:$B$1004,MATCH(A739,'당기원장'!$A$5:$A$1004,0)),IFERROR(INDEX('전기원장'!$B$5:$B$1004,MATCH(A739,'전기원장'!$A$5:$A$1004,0)),"")))</x:f>
      </x:c>
      <x:c r="C739" s="75" t="str">
        <x:f>IF(A739="","",SUMIF('전기원장'!$A$5:$A$1004,A739,'전기원장'!$H$5:$H$1004))</x:f>
      </x:c>
      <x:c r="D739" s="75" t="str">
        <x:f>IF(A739="","",SUMIF('당기원장'!$A$5:$A$1004,A739,'당기원장'!$H$5:$H$1004))</x:f>
      </x:c>
      <x:c r="E739" s="75" t="str">
        <x:f>IF(A739="","",D739-C739)</x:f>
      </x:c>
      <x:c r="F739" s="88" t="str">
        <x:f>IF(A739="","",IF(C739=0,IF(D739=0,0,1),ABS(E739)/ABS(C739)))</x:f>
      </x:c>
      <x:c r="G739" s="73" t="str">
        <x:f>IF(A739="","",IF(AND(C739=0,D739&lt;&gt;0),"신규",IF(AND(C739&lt;&gt;0,D739=0),"소멸",IF(E739=0,"변동없음","금액변동"))))</x:f>
      </x:c>
      <x:c r="H739" s="73" t="str">
        <x:f>IF(A739="","",IF(AND(ABS(E739)&gt;='기준설정'!$B$6,OR(G739="신규",G739="소멸",F739&gt;='기준설정'!$B$5)),"원인분석 대상","일반"))</x:f>
      </x:c>
      <x:c r="I739" s="73" t="str">
        <x:f>IF(A739="","",IF(H739="원인분석 대상","세부원인분석 시트에서 거래별 원인을 검토","-"))</x:f>
      </x:c>
      <x:c r="J739" s="73" t="str">
        <x:f>IF(A739="","",COUNTIFS('전기원장'!$A$5:$A$1004,A739,'전기원장'!$J$5:$J$1004,"확인 필요")+COUNTIFS('당기원장'!$A$5:$A$1004,A739,'당기원장'!$J$5:$J$1004,"확인 필요"))</x:f>
      </x:c>
      <x:c r="K739" s="85" t="str">
        <x:f>IF(A739="","",IF(H739&lt;&gt;"원인분석 대상","",IF(J739&gt;0,"붙임 문서 확인 후 원인 확정 필요","결의서명 기반 원인분류 검토")))</x:f>
      </x:c>
    </x:row>
    <x:row r="740">
      <x:c r="A740" s="73" t="str">
        <x:f>IFERROR(INDEX('계산도우미'!$B$5:$B$2004,MATCH(ROWS($A$5:A740),'계산도우미'!$K$5:$K$2004,0)),"")</x:f>
      </x:c>
      <x:c r="B740" s="73" t="str">
        <x:f>IF(A740="","",IFERROR(INDEX('당기원장'!$B$5:$B$1004,MATCH(A740,'당기원장'!$A$5:$A$1004,0)),IFERROR(INDEX('전기원장'!$B$5:$B$1004,MATCH(A740,'전기원장'!$A$5:$A$1004,0)),"")))</x:f>
      </x:c>
      <x:c r="C740" s="75" t="str">
        <x:f>IF(A740="","",SUMIF('전기원장'!$A$5:$A$1004,A740,'전기원장'!$H$5:$H$1004))</x:f>
      </x:c>
      <x:c r="D740" s="75" t="str">
        <x:f>IF(A740="","",SUMIF('당기원장'!$A$5:$A$1004,A740,'당기원장'!$H$5:$H$1004))</x:f>
      </x:c>
      <x:c r="E740" s="75" t="str">
        <x:f>IF(A740="","",D740-C740)</x:f>
      </x:c>
      <x:c r="F740" s="88" t="str">
        <x:f>IF(A740="","",IF(C740=0,IF(D740=0,0,1),ABS(E740)/ABS(C740)))</x:f>
      </x:c>
      <x:c r="G740" s="73" t="str">
        <x:f>IF(A740="","",IF(AND(C740=0,D740&lt;&gt;0),"신규",IF(AND(C740&lt;&gt;0,D740=0),"소멸",IF(E740=0,"변동없음","금액변동"))))</x:f>
      </x:c>
      <x:c r="H740" s="73" t="str">
        <x:f>IF(A740="","",IF(AND(ABS(E740)&gt;='기준설정'!$B$6,OR(G740="신규",G740="소멸",F740&gt;='기준설정'!$B$5)),"원인분석 대상","일반"))</x:f>
      </x:c>
      <x:c r="I740" s="73" t="str">
        <x:f>IF(A740="","",IF(H740="원인분석 대상","세부원인분석 시트에서 거래별 원인을 검토","-"))</x:f>
      </x:c>
      <x:c r="J740" s="73" t="str">
        <x:f>IF(A740="","",COUNTIFS('전기원장'!$A$5:$A$1004,A740,'전기원장'!$J$5:$J$1004,"확인 필요")+COUNTIFS('당기원장'!$A$5:$A$1004,A740,'당기원장'!$J$5:$J$1004,"확인 필요"))</x:f>
      </x:c>
      <x:c r="K740" s="85" t="str">
        <x:f>IF(A740="","",IF(H740&lt;&gt;"원인분석 대상","",IF(J740&gt;0,"붙임 문서 확인 후 원인 확정 필요","결의서명 기반 원인분류 검토")))</x:f>
      </x:c>
    </x:row>
    <x:row r="741">
      <x:c r="A741" s="73" t="str">
        <x:f>IFERROR(INDEX('계산도우미'!$B$5:$B$2004,MATCH(ROWS($A$5:A741),'계산도우미'!$K$5:$K$2004,0)),"")</x:f>
      </x:c>
      <x:c r="B741" s="73" t="str">
        <x:f>IF(A741="","",IFERROR(INDEX('당기원장'!$B$5:$B$1004,MATCH(A741,'당기원장'!$A$5:$A$1004,0)),IFERROR(INDEX('전기원장'!$B$5:$B$1004,MATCH(A741,'전기원장'!$A$5:$A$1004,0)),"")))</x:f>
      </x:c>
      <x:c r="C741" s="75" t="str">
        <x:f>IF(A741="","",SUMIF('전기원장'!$A$5:$A$1004,A741,'전기원장'!$H$5:$H$1004))</x:f>
      </x:c>
      <x:c r="D741" s="75" t="str">
        <x:f>IF(A741="","",SUMIF('당기원장'!$A$5:$A$1004,A741,'당기원장'!$H$5:$H$1004))</x:f>
      </x:c>
      <x:c r="E741" s="75" t="str">
        <x:f>IF(A741="","",D741-C741)</x:f>
      </x:c>
      <x:c r="F741" s="88" t="str">
        <x:f>IF(A741="","",IF(C741=0,IF(D741=0,0,1),ABS(E741)/ABS(C741)))</x:f>
      </x:c>
      <x:c r="G741" s="73" t="str">
        <x:f>IF(A741="","",IF(AND(C741=0,D741&lt;&gt;0),"신규",IF(AND(C741&lt;&gt;0,D741=0),"소멸",IF(E741=0,"변동없음","금액변동"))))</x:f>
      </x:c>
      <x:c r="H741" s="73" t="str">
        <x:f>IF(A741="","",IF(AND(ABS(E741)&gt;='기준설정'!$B$6,OR(G741="신규",G741="소멸",F741&gt;='기준설정'!$B$5)),"원인분석 대상","일반"))</x:f>
      </x:c>
      <x:c r="I741" s="73" t="str">
        <x:f>IF(A741="","",IF(H741="원인분석 대상","세부원인분석 시트에서 거래별 원인을 검토","-"))</x:f>
      </x:c>
      <x:c r="J741" s="73" t="str">
        <x:f>IF(A741="","",COUNTIFS('전기원장'!$A$5:$A$1004,A741,'전기원장'!$J$5:$J$1004,"확인 필요")+COUNTIFS('당기원장'!$A$5:$A$1004,A741,'당기원장'!$J$5:$J$1004,"확인 필요"))</x:f>
      </x:c>
      <x:c r="K741" s="85" t="str">
        <x:f>IF(A741="","",IF(H741&lt;&gt;"원인분석 대상","",IF(J741&gt;0,"붙임 문서 확인 후 원인 확정 필요","결의서명 기반 원인분류 검토")))</x:f>
      </x:c>
    </x:row>
    <x:row r="742">
      <x:c r="A742" s="73" t="str">
        <x:f>IFERROR(INDEX('계산도우미'!$B$5:$B$2004,MATCH(ROWS($A$5:A742),'계산도우미'!$K$5:$K$2004,0)),"")</x:f>
      </x:c>
      <x:c r="B742" s="73" t="str">
        <x:f>IF(A742="","",IFERROR(INDEX('당기원장'!$B$5:$B$1004,MATCH(A742,'당기원장'!$A$5:$A$1004,0)),IFERROR(INDEX('전기원장'!$B$5:$B$1004,MATCH(A742,'전기원장'!$A$5:$A$1004,0)),"")))</x:f>
      </x:c>
      <x:c r="C742" s="75" t="str">
        <x:f>IF(A742="","",SUMIF('전기원장'!$A$5:$A$1004,A742,'전기원장'!$H$5:$H$1004))</x:f>
      </x:c>
      <x:c r="D742" s="75" t="str">
        <x:f>IF(A742="","",SUMIF('당기원장'!$A$5:$A$1004,A742,'당기원장'!$H$5:$H$1004))</x:f>
      </x:c>
      <x:c r="E742" s="75" t="str">
        <x:f>IF(A742="","",D742-C742)</x:f>
      </x:c>
      <x:c r="F742" s="88" t="str">
        <x:f>IF(A742="","",IF(C742=0,IF(D742=0,0,1),ABS(E742)/ABS(C742)))</x:f>
      </x:c>
      <x:c r="G742" s="73" t="str">
        <x:f>IF(A742="","",IF(AND(C742=0,D742&lt;&gt;0),"신규",IF(AND(C742&lt;&gt;0,D742=0),"소멸",IF(E742=0,"변동없음","금액변동"))))</x:f>
      </x:c>
      <x:c r="H742" s="73" t="str">
        <x:f>IF(A742="","",IF(AND(ABS(E742)&gt;='기준설정'!$B$6,OR(G742="신규",G742="소멸",F742&gt;='기준설정'!$B$5)),"원인분석 대상","일반"))</x:f>
      </x:c>
      <x:c r="I742" s="73" t="str">
        <x:f>IF(A742="","",IF(H742="원인분석 대상","세부원인분석 시트에서 거래별 원인을 검토","-"))</x:f>
      </x:c>
      <x:c r="J742" s="73" t="str">
        <x:f>IF(A742="","",COUNTIFS('전기원장'!$A$5:$A$1004,A742,'전기원장'!$J$5:$J$1004,"확인 필요")+COUNTIFS('당기원장'!$A$5:$A$1004,A742,'당기원장'!$J$5:$J$1004,"확인 필요"))</x:f>
      </x:c>
      <x:c r="K742" s="85" t="str">
        <x:f>IF(A742="","",IF(H742&lt;&gt;"원인분석 대상","",IF(J742&gt;0,"붙임 문서 확인 후 원인 확정 필요","결의서명 기반 원인분류 검토")))</x:f>
      </x:c>
    </x:row>
    <x:row r="743">
      <x:c r="A743" s="73" t="str">
        <x:f>IFERROR(INDEX('계산도우미'!$B$5:$B$2004,MATCH(ROWS($A$5:A743),'계산도우미'!$K$5:$K$2004,0)),"")</x:f>
      </x:c>
      <x:c r="B743" s="73" t="str">
        <x:f>IF(A743="","",IFERROR(INDEX('당기원장'!$B$5:$B$1004,MATCH(A743,'당기원장'!$A$5:$A$1004,0)),IFERROR(INDEX('전기원장'!$B$5:$B$1004,MATCH(A743,'전기원장'!$A$5:$A$1004,0)),"")))</x:f>
      </x:c>
      <x:c r="C743" s="75" t="str">
        <x:f>IF(A743="","",SUMIF('전기원장'!$A$5:$A$1004,A743,'전기원장'!$H$5:$H$1004))</x:f>
      </x:c>
      <x:c r="D743" s="75" t="str">
        <x:f>IF(A743="","",SUMIF('당기원장'!$A$5:$A$1004,A743,'당기원장'!$H$5:$H$1004))</x:f>
      </x:c>
      <x:c r="E743" s="75" t="str">
        <x:f>IF(A743="","",D743-C743)</x:f>
      </x:c>
      <x:c r="F743" s="88" t="str">
        <x:f>IF(A743="","",IF(C743=0,IF(D743=0,0,1),ABS(E743)/ABS(C743)))</x:f>
      </x:c>
      <x:c r="G743" s="73" t="str">
        <x:f>IF(A743="","",IF(AND(C743=0,D743&lt;&gt;0),"신규",IF(AND(C743&lt;&gt;0,D743=0),"소멸",IF(E743=0,"변동없음","금액변동"))))</x:f>
      </x:c>
      <x:c r="H743" s="73" t="str">
        <x:f>IF(A743="","",IF(AND(ABS(E743)&gt;='기준설정'!$B$6,OR(G743="신규",G743="소멸",F743&gt;='기준설정'!$B$5)),"원인분석 대상","일반"))</x:f>
      </x:c>
      <x:c r="I743" s="73" t="str">
        <x:f>IF(A743="","",IF(H743="원인분석 대상","세부원인분석 시트에서 거래별 원인을 검토","-"))</x:f>
      </x:c>
      <x:c r="J743" s="73" t="str">
        <x:f>IF(A743="","",COUNTIFS('전기원장'!$A$5:$A$1004,A743,'전기원장'!$J$5:$J$1004,"확인 필요")+COUNTIFS('당기원장'!$A$5:$A$1004,A743,'당기원장'!$J$5:$J$1004,"확인 필요"))</x:f>
      </x:c>
      <x:c r="K743" s="85" t="str">
        <x:f>IF(A743="","",IF(H743&lt;&gt;"원인분석 대상","",IF(J743&gt;0,"붙임 문서 확인 후 원인 확정 필요","결의서명 기반 원인분류 검토")))</x:f>
      </x:c>
    </x:row>
    <x:row r="744">
      <x:c r="A744" s="73" t="str">
        <x:f>IFERROR(INDEX('계산도우미'!$B$5:$B$2004,MATCH(ROWS($A$5:A744),'계산도우미'!$K$5:$K$2004,0)),"")</x:f>
      </x:c>
      <x:c r="B744" s="73" t="str">
        <x:f>IF(A744="","",IFERROR(INDEX('당기원장'!$B$5:$B$1004,MATCH(A744,'당기원장'!$A$5:$A$1004,0)),IFERROR(INDEX('전기원장'!$B$5:$B$1004,MATCH(A744,'전기원장'!$A$5:$A$1004,0)),"")))</x:f>
      </x:c>
      <x:c r="C744" s="75" t="str">
        <x:f>IF(A744="","",SUMIF('전기원장'!$A$5:$A$1004,A744,'전기원장'!$H$5:$H$1004))</x:f>
      </x:c>
      <x:c r="D744" s="75" t="str">
        <x:f>IF(A744="","",SUMIF('당기원장'!$A$5:$A$1004,A744,'당기원장'!$H$5:$H$1004))</x:f>
      </x:c>
      <x:c r="E744" s="75" t="str">
        <x:f>IF(A744="","",D744-C744)</x:f>
      </x:c>
      <x:c r="F744" s="88" t="str">
        <x:f>IF(A744="","",IF(C744=0,IF(D744=0,0,1),ABS(E744)/ABS(C744)))</x:f>
      </x:c>
      <x:c r="G744" s="73" t="str">
        <x:f>IF(A744="","",IF(AND(C744=0,D744&lt;&gt;0),"신규",IF(AND(C744&lt;&gt;0,D744=0),"소멸",IF(E744=0,"변동없음","금액변동"))))</x:f>
      </x:c>
      <x:c r="H744" s="73" t="str">
        <x:f>IF(A744="","",IF(AND(ABS(E744)&gt;='기준설정'!$B$6,OR(G744="신규",G744="소멸",F744&gt;='기준설정'!$B$5)),"원인분석 대상","일반"))</x:f>
      </x:c>
      <x:c r="I744" s="73" t="str">
        <x:f>IF(A744="","",IF(H744="원인분석 대상","세부원인분석 시트에서 거래별 원인을 검토","-"))</x:f>
      </x:c>
      <x:c r="J744" s="73" t="str">
        <x:f>IF(A744="","",COUNTIFS('전기원장'!$A$5:$A$1004,A744,'전기원장'!$J$5:$J$1004,"확인 필요")+COUNTIFS('당기원장'!$A$5:$A$1004,A744,'당기원장'!$J$5:$J$1004,"확인 필요"))</x:f>
      </x:c>
      <x:c r="K744" s="85" t="str">
        <x:f>IF(A744="","",IF(H744&lt;&gt;"원인분석 대상","",IF(J744&gt;0,"붙임 문서 확인 후 원인 확정 필요","결의서명 기반 원인분류 검토")))</x:f>
      </x:c>
    </x:row>
    <x:row r="745">
      <x:c r="A745" s="73" t="str">
        <x:f>IFERROR(INDEX('계산도우미'!$B$5:$B$2004,MATCH(ROWS($A$5:A745),'계산도우미'!$K$5:$K$2004,0)),"")</x:f>
      </x:c>
      <x:c r="B745" s="73" t="str">
        <x:f>IF(A745="","",IFERROR(INDEX('당기원장'!$B$5:$B$1004,MATCH(A745,'당기원장'!$A$5:$A$1004,0)),IFERROR(INDEX('전기원장'!$B$5:$B$1004,MATCH(A745,'전기원장'!$A$5:$A$1004,0)),"")))</x:f>
      </x:c>
      <x:c r="C745" s="75" t="str">
        <x:f>IF(A745="","",SUMIF('전기원장'!$A$5:$A$1004,A745,'전기원장'!$H$5:$H$1004))</x:f>
      </x:c>
      <x:c r="D745" s="75" t="str">
        <x:f>IF(A745="","",SUMIF('당기원장'!$A$5:$A$1004,A745,'당기원장'!$H$5:$H$1004))</x:f>
      </x:c>
      <x:c r="E745" s="75" t="str">
        <x:f>IF(A745="","",D745-C745)</x:f>
      </x:c>
      <x:c r="F745" s="88" t="str">
        <x:f>IF(A745="","",IF(C745=0,IF(D745=0,0,1),ABS(E745)/ABS(C745)))</x:f>
      </x:c>
      <x:c r="G745" s="73" t="str">
        <x:f>IF(A745="","",IF(AND(C745=0,D745&lt;&gt;0),"신규",IF(AND(C745&lt;&gt;0,D745=0),"소멸",IF(E745=0,"변동없음","금액변동"))))</x:f>
      </x:c>
      <x:c r="H745" s="73" t="str">
        <x:f>IF(A745="","",IF(AND(ABS(E745)&gt;='기준설정'!$B$6,OR(G745="신규",G745="소멸",F745&gt;='기준설정'!$B$5)),"원인분석 대상","일반"))</x:f>
      </x:c>
      <x:c r="I745" s="73" t="str">
        <x:f>IF(A745="","",IF(H745="원인분석 대상","세부원인분석 시트에서 거래별 원인을 검토","-"))</x:f>
      </x:c>
      <x:c r="J745" s="73" t="str">
        <x:f>IF(A745="","",COUNTIFS('전기원장'!$A$5:$A$1004,A745,'전기원장'!$J$5:$J$1004,"확인 필요")+COUNTIFS('당기원장'!$A$5:$A$1004,A745,'당기원장'!$J$5:$J$1004,"확인 필요"))</x:f>
      </x:c>
      <x:c r="K745" s="85" t="str">
        <x:f>IF(A745="","",IF(H745&lt;&gt;"원인분석 대상","",IF(J745&gt;0,"붙임 문서 확인 후 원인 확정 필요","결의서명 기반 원인분류 검토")))</x:f>
      </x:c>
    </x:row>
    <x:row r="746">
      <x:c r="A746" s="73" t="str">
        <x:f>IFERROR(INDEX('계산도우미'!$B$5:$B$2004,MATCH(ROWS($A$5:A746),'계산도우미'!$K$5:$K$2004,0)),"")</x:f>
      </x:c>
      <x:c r="B746" s="73" t="str">
        <x:f>IF(A746="","",IFERROR(INDEX('당기원장'!$B$5:$B$1004,MATCH(A746,'당기원장'!$A$5:$A$1004,0)),IFERROR(INDEX('전기원장'!$B$5:$B$1004,MATCH(A746,'전기원장'!$A$5:$A$1004,0)),"")))</x:f>
      </x:c>
      <x:c r="C746" s="75" t="str">
        <x:f>IF(A746="","",SUMIF('전기원장'!$A$5:$A$1004,A746,'전기원장'!$H$5:$H$1004))</x:f>
      </x:c>
      <x:c r="D746" s="75" t="str">
        <x:f>IF(A746="","",SUMIF('당기원장'!$A$5:$A$1004,A746,'당기원장'!$H$5:$H$1004))</x:f>
      </x:c>
      <x:c r="E746" s="75" t="str">
        <x:f>IF(A746="","",D746-C746)</x:f>
      </x:c>
      <x:c r="F746" s="88" t="str">
        <x:f>IF(A746="","",IF(C746=0,IF(D746=0,0,1),ABS(E746)/ABS(C746)))</x:f>
      </x:c>
      <x:c r="G746" s="73" t="str">
        <x:f>IF(A746="","",IF(AND(C746=0,D746&lt;&gt;0),"신규",IF(AND(C746&lt;&gt;0,D746=0),"소멸",IF(E746=0,"변동없음","금액변동"))))</x:f>
      </x:c>
      <x:c r="H746" s="73" t="str">
        <x:f>IF(A746="","",IF(AND(ABS(E746)&gt;='기준설정'!$B$6,OR(G746="신규",G746="소멸",F746&gt;='기준설정'!$B$5)),"원인분석 대상","일반"))</x:f>
      </x:c>
      <x:c r="I746" s="73" t="str">
        <x:f>IF(A746="","",IF(H746="원인분석 대상","세부원인분석 시트에서 거래별 원인을 검토","-"))</x:f>
      </x:c>
      <x:c r="J746" s="73" t="str">
        <x:f>IF(A746="","",COUNTIFS('전기원장'!$A$5:$A$1004,A746,'전기원장'!$J$5:$J$1004,"확인 필요")+COUNTIFS('당기원장'!$A$5:$A$1004,A746,'당기원장'!$J$5:$J$1004,"확인 필요"))</x:f>
      </x:c>
      <x:c r="K746" s="85" t="str">
        <x:f>IF(A746="","",IF(H746&lt;&gt;"원인분석 대상","",IF(J746&gt;0,"붙임 문서 확인 후 원인 확정 필요","결의서명 기반 원인분류 검토")))</x:f>
      </x:c>
    </x:row>
    <x:row r="747">
      <x:c r="A747" s="73" t="str">
        <x:f>IFERROR(INDEX('계산도우미'!$B$5:$B$2004,MATCH(ROWS($A$5:A747),'계산도우미'!$K$5:$K$2004,0)),"")</x:f>
      </x:c>
      <x:c r="B747" s="73" t="str">
        <x:f>IF(A747="","",IFERROR(INDEX('당기원장'!$B$5:$B$1004,MATCH(A747,'당기원장'!$A$5:$A$1004,0)),IFERROR(INDEX('전기원장'!$B$5:$B$1004,MATCH(A747,'전기원장'!$A$5:$A$1004,0)),"")))</x:f>
      </x:c>
      <x:c r="C747" s="75" t="str">
        <x:f>IF(A747="","",SUMIF('전기원장'!$A$5:$A$1004,A747,'전기원장'!$H$5:$H$1004))</x:f>
      </x:c>
      <x:c r="D747" s="75" t="str">
        <x:f>IF(A747="","",SUMIF('당기원장'!$A$5:$A$1004,A747,'당기원장'!$H$5:$H$1004))</x:f>
      </x:c>
      <x:c r="E747" s="75" t="str">
        <x:f>IF(A747="","",D747-C747)</x:f>
      </x:c>
      <x:c r="F747" s="88" t="str">
        <x:f>IF(A747="","",IF(C747=0,IF(D747=0,0,1),ABS(E747)/ABS(C747)))</x:f>
      </x:c>
      <x:c r="G747" s="73" t="str">
        <x:f>IF(A747="","",IF(AND(C747=0,D747&lt;&gt;0),"신규",IF(AND(C747&lt;&gt;0,D747=0),"소멸",IF(E747=0,"변동없음","금액변동"))))</x:f>
      </x:c>
      <x:c r="H747" s="73" t="str">
        <x:f>IF(A747="","",IF(AND(ABS(E747)&gt;='기준설정'!$B$6,OR(G747="신규",G747="소멸",F747&gt;='기준설정'!$B$5)),"원인분석 대상","일반"))</x:f>
      </x:c>
      <x:c r="I747" s="73" t="str">
        <x:f>IF(A747="","",IF(H747="원인분석 대상","세부원인분석 시트에서 거래별 원인을 검토","-"))</x:f>
      </x:c>
      <x:c r="J747" s="73" t="str">
        <x:f>IF(A747="","",COUNTIFS('전기원장'!$A$5:$A$1004,A747,'전기원장'!$J$5:$J$1004,"확인 필요")+COUNTIFS('당기원장'!$A$5:$A$1004,A747,'당기원장'!$J$5:$J$1004,"확인 필요"))</x:f>
      </x:c>
      <x:c r="K747" s="85" t="str">
        <x:f>IF(A747="","",IF(H747&lt;&gt;"원인분석 대상","",IF(J747&gt;0,"붙임 문서 확인 후 원인 확정 필요","결의서명 기반 원인분류 검토")))</x:f>
      </x:c>
    </x:row>
    <x:row r="748">
      <x:c r="A748" s="73" t="str">
        <x:f>IFERROR(INDEX('계산도우미'!$B$5:$B$2004,MATCH(ROWS($A$5:A748),'계산도우미'!$K$5:$K$2004,0)),"")</x:f>
      </x:c>
      <x:c r="B748" s="73" t="str">
        <x:f>IF(A748="","",IFERROR(INDEX('당기원장'!$B$5:$B$1004,MATCH(A748,'당기원장'!$A$5:$A$1004,0)),IFERROR(INDEX('전기원장'!$B$5:$B$1004,MATCH(A748,'전기원장'!$A$5:$A$1004,0)),"")))</x:f>
      </x:c>
      <x:c r="C748" s="75" t="str">
        <x:f>IF(A748="","",SUMIF('전기원장'!$A$5:$A$1004,A748,'전기원장'!$H$5:$H$1004))</x:f>
      </x:c>
      <x:c r="D748" s="75" t="str">
        <x:f>IF(A748="","",SUMIF('당기원장'!$A$5:$A$1004,A748,'당기원장'!$H$5:$H$1004))</x:f>
      </x:c>
      <x:c r="E748" s="75" t="str">
        <x:f>IF(A748="","",D748-C748)</x:f>
      </x:c>
      <x:c r="F748" s="88" t="str">
        <x:f>IF(A748="","",IF(C748=0,IF(D748=0,0,1),ABS(E748)/ABS(C748)))</x:f>
      </x:c>
      <x:c r="G748" s="73" t="str">
        <x:f>IF(A748="","",IF(AND(C748=0,D748&lt;&gt;0),"신규",IF(AND(C748&lt;&gt;0,D748=0),"소멸",IF(E748=0,"변동없음","금액변동"))))</x:f>
      </x:c>
      <x:c r="H748" s="73" t="str">
        <x:f>IF(A748="","",IF(AND(ABS(E748)&gt;='기준설정'!$B$6,OR(G748="신규",G748="소멸",F748&gt;='기준설정'!$B$5)),"원인분석 대상","일반"))</x:f>
      </x:c>
      <x:c r="I748" s="73" t="str">
        <x:f>IF(A748="","",IF(H748="원인분석 대상","세부원인분석 시트에서 거래별 원인을 검토","-"))</x:f>
      </x:c>
      <x:c r="J748" s="73" t="str">
        <x:f>IF(A748="","",COUNTIFS('전기원장'!$A$5:$A$1004,A748,'전기원장'!$J$5:$J$1004,"확인 필요")+COUNTIFS('당기원장'!$A$5:$A$1004,A748,'당기원장'!$J$5:$J$1004,"확인 필요"))</x:f>
      </x:c>
      <x:c r="K748" s="85" t="str">
        <x:f>IF(A748="","",IF(H748&lt;&gt;"원인분석 대상","",IF(J748&gt;0,"붙임 문서 확인 후 원인 확정 필요","결의서명 기반 원인분류 검토")))</x:f>
      </x:c>
    </x:row>
    <x:row r="749">
      <x:c r="A749" s="73" t="str">
        <x:f>IFERROR(INDEX('계산도우미'!$B$5:$B$2004,MATCH(ROWS($A$5:A749),'계산도우미'!$K$5:$K$2004,0)),"")</x:f>
      </x:c>
      <x:c r="B749" s="73" t="str">
        <x:f>IF(A749="","",IFERROR(INDEX('당기원장'!$B$5:$B$1004,MATCH(A749,'당기원장'!$A$5:$A$1004,0)),IFERROR(INDEX('전기원장'!$B$5:$B$1004,MATCH(A749,'전기원장'!$A$5:$A$1004,0)),"")))</x:f>
      </x:c>
      <x:c r="C749" s="75" t="str">
        <x:f>IF(A749="","",SUMIF('전기원장'!$A$5:$A$1004,A749,'전기원장'!$H$5:$H$1004))</x:f>
      </x:c>
      <x:c r="D749" s="75" t="str">
        <x:f>IF(A749="","",SUMIF('당기원장'!$A$5:$A$1004,A749,'당기원장'!$H$5:$H$1004))</x:f>
      </x:c>
      <x:c r="E749" s="75" t="str">
        <x:f>IF(A749="","",D749-C749)</x:f>
      </x:c>
      <x:c r="F749" s="88" t="str">
        <x:f>IF(A749="","",IF(C749=0,IF(D749=0,0,1),ABS(E749)/ABS(C749)))</x:f>
      </x:c>
      <x:c r="G749" s="73" t="str">
        <x:f>IF(A749="","",IF(AND(C749=0,D749&lt;&gt;0),"신규",IF(AND(C749&lt;&gt;0,D749=0),"소멸",IF(E749=0,"변동없음","금액변동"))))</x:f>
      </x:c>
      <x:c r="H749" s="73" t="str">
        <x:f>IF(A749="","",IF(AND(ABS(E749)&gt;='기준설정'!$B$6,OR(G749="신규",G749="소멸",F749&gt;='기준설정'!$B$5)),"원인분석 대상","일반"))</x:f>
      </x:c>
      <x:c r="I749" s="73" t="str">
        <x:f>IF(A749="","",IF(H749="원인분석 대상","세부원인분석 시트에서 거래별 원인을 검토","-"))</x:f>
      </x:c>
      <x:c r="J749" s="73" t="str">
        <x:f>IF(A749="","",COUNTIFS('전기원장'!$A$5:$A$1004,A749,'전기원장'!$J$5:$J$1004,"확인 필요")+COUNTIFS('당기원장'!$A$5:$A$1004,A749,'당기원장'!$J$5:$J$1004,"확인 필요"))</x:f>
      </x:c>
      <x:c r="K749" s="85" t="str">
        <x:f>IF(A749="","",IF(H749&lt;&gt;"원인분석 대상","",IF(J749&gt;0,"붙임 문서 확인 후 원인 확정 필요","결의서명 기반 원인분류 검토")))</x:f>
      </x:c>
    </x:row>
    <x:row r="750">
      <x:c r="A750" s="73" t="str">
        <x:f>IFERROR(INDEX('계산도우미'!$B$5:$B$2004,MATCH(ROWS($A$5:A750),'계산도우미'!$K$5:$K$2004,0)),"")</x:f>
      </x:c>
      <x:c r="B750" s="73" t="str">
        <x:f>IF(A750="","",IFERROR(INDEX('당기원장'!$B$5:$B$1004,MATCH(A750,'당기원장'!$A$5:$A$1004,0)),IFERROR(INDEX('전기원장'!$B$5:$B$1004,MATCH(A750,'전기원장'!$A$5:$A$1004,0)),"")))</x:f>
      </x:c>
      <x:c r="C750" s="75" t="str">
        <x:f>IF(A750="","",SUMIF('전기원장'!$A$5:$A$1004,A750,'전기원장'!$H$5:$H$1004))</x:f>
      </x:c>
      <x:c r="D750" s="75" t="str">
        <x:f>IF(A750="","",SUMIF('당기원장'!$A$5:$A$1004,A750,'당기원장'!$H$5:$H$1004))</x:f>
      </x:c>
      <x:c r="E750" s="75" t="str">
        <x:f>IF(A750="","",D750-C750)</x:f>
      </x:c>
      <x:c r="F750" s="88" t="str">
        <x:f>IF(A750="","",IF(C750=0,IF(D750=0,0,1),ABS(E750)/ABS(C750)))</x:f>
      </x:c>
      <x:c r="G750" s="73" t="str">
        <x:f>IF(A750="","",IF(AND(C750=0,D750&lt;&gt;0),"신규",IF(AND(C750&lt;&gt;0,D750=0),"소멸",IF(E750=0,"변동없음","금액변동"))))</x:f>
      </x:c>
      <x:c r="H750" s="73" t="str">
        <x:f>IF(A750="","",IF(AND(ABS(E750)&gt;='기준설정'!$B$6,OR(G750="신규",G750="소멸",F750&gt;='기준설정'!$B$5)),"원인분석 대상","일반"))</x:f>
      </x:c>
      <x:c r="I750" s="73" t="str">
        <x:f>IF(A750="","",IF(H750="원인분석 대상","세부원인분석 시트에서 거래별 원인을 검토","-"))</x:f>
      </x:c>
      <x:c r="J750" s="73" t="str">
        <x:f>IF(A750="","",COUNTIFS('전기원장'!$A$5:$A$1004,A750,'전기원장'!$J$5:$J$1004,"확인 필요")+COUNTIFS('당기원장'!$A$5:$A$1004,A750,'당기원장'!$J$5:$J$1004,"확인 필요"))</x:f>
      </x:c>
      <x:c r="K750" s="85" t="str">
        <x:f>IF(A750="","",IF(H750&lt;&gt;"원인분석 대상","",IF(J750&gt;0,"붙임 문서 확인 후 원인 확정 필요","결의서명 기반 원인분류 검토")))</x:f>
      </x:c>
    </x:row>
    <x:row r="751">
      <x:c r="A751" s="73" t="str">
        <x:f>IFERROR(INDEX('계산도우미'!$B$5:$B$2004,MATCH(ROWS($A$5:A751),'계산도우미'!$K$5:$K$2004,0)),"")</x:f>
      </x:c>
      <x:c r="B751" s="73" t="str">
        <x:f>IF(A751="","",IFERROR(INDEX('당기원장'!$B$5:$B$1004,MATCH(A751,'당기원장'!$A$5:$A$1004,0)),IFERROR(INDEX('전기원장'!$B$5:$B$1004,MATCH(A751,'전기원장'!$A$5:$A$1004,0)),"")))</x:f>
      </x:c>
      <x:c r="C751" s="75" t="str">
        <x:f>IF(A751="","",SUMIF('전기원장'!$A$5:$A$1004,A751,'전기원장'!$H$5:$H$1004))</x:f>
      </x:c>
      <x:c r="D751" s="75" t="str">
        <x:f>IF(A751="","",SUMIF('당기원장'!$A$5:$A$1004,A751,'당기원장'!$H$5:$H$1004))</x:f>
      </x:c>
      <x:c r="E751" s="75" t="str">
        <x:f>IF(A751="","",D751-C751)</x:f>
      </x:c>
      <x:c r="F751" s="88" t="str">
        <x:f>IF(A751="","",IF(C751=0,IF(D751=0,0,1),ABS(E751)/ABS(C751)))</x:f>
      </x:c>
      <x:c r="G751" s="73" t="str">
        <x:f>IF(A751="","",IF(AND(C751=0,D751&lt;&gt;0),"신규",IF(AND(C751&lt;&gt;0,D751=0),"소멸",IF(E751=0,"변동없음","금액변동"))))</x:f>
      </x:c>
      <x:c r="H751" s="73" t="str">
        <x:f>IF(A751="","",IF(AND(ABS(E751)&gt;='기준설정'!$B$6,OR(G751="신규",G751="소멸",F751&gt;='기준설정'!$B$5)),"원인분석 대상","일반"))</x:f>
      </x:c>
      <x:c r="I751" s="73" t="str">
        <x:f>IF(A751="","",IF(H751="원인분석 대상","세부원인분석 시트에서 거래별 원인을 검토","-"))</x:f>
      </x:c>
      <x:c r="J751" s="73" t="str">
        <x:f>IF(A751="","",COUNTIFS('전기원장'!$A$5:$A$1004,A751,'전기원장'!$J$5:$J$1004,"확인 필요")+COUNTIFS('당기원장'!$A$5:$A$1004,A751,'당기원장'!$J$5:$J$1004,"확인 필요"))</x:f>
      </x:c>
      <x:c r="K751" s="85" t="str">
        <x:f>IF(A751="","",IF(H751&lt;&gt;"원인분석 대상","",IF(J751&gt;0,"붙임 문서 확인 후 원인 확정 필요","결의서명 기반 원인분류 검토")))</x:f>
      </x:c>
    </x:row>
    <x:row r="752">
      <x:c r="A752" s="73" t="str">
        <x:f>IFERROR(INDEX('계산도우미'!$B$5:$B$2004,MATCH(ROWS($A$5:A752),'계산도우미'!$K$5:$K$2004,0)),"")</x:f>
      </x:c>
      <x:c r="B752" s="73" t="str">
        <x:f>IF(A752="","",IFERROR(INDEX('당기원장'!$B$5:$B$1004,MATCH(A752,'당기원장'!$A$5:$A$1004,0)),IFERROR(INDEX('전기원장'!$B$5:$B$1004,MATCH(A752,'전기원장'!$A$5:$A$1004,0)),"")))</x:f>
      </x:c>
      <x:c r="C752" s="75" t="str">
        <x:f>IF(A752="","",SUMIF('전기원장'!$A$5:$A$1004,A752,'전기원장'!$H$5:$H$1004))</x:f>
      </x:c>
      <x:c r="D752" s="75" t="str">
        <x:f>IF(A752="","",SUMIF('당기원장'!$A$5:$A$1004,A752,'당기원장'!$H$5:$H$1004))</x:f>
      </x:c>
      <x:c r="E752" s="75" t="str">
        <x:f>IF(A752="","",D752-C752)</x:f>
      </x:c>
      <x:c r="F752" s="88" t="str">
        <x:f>IF(A752="","",IF(C752=0,IF(D752=0,0,1),ABS(E752)/ABS(C752)))</x:f>
      </x:c>
      <x:c r="G752" s="73" t="str">
        <x:f>IF(A752="","",IF(AND(C752=0,D752&lt;&gt;0),"신규",IF(AND(C752&lt;&gt;0,D752=0),"소멸",IF(E752=0,"변동없음","금액변동"))))</x:f>
      </x:c>
      <x:c r="H752" s="73" t="str">
        <x:f>IF(A752="","",IF(AND(ABS(E752)&gt;='기준설정'!$B$6,OR(G752="신규",G752="소멸",F752&gt;='기준설정'!$B$5)),"원인분석 대상","일반"))</x:f>
      </x:c>
      <x:c r="I752" s="73" t="str">
        <x:f>IF(A752="","",IF(H752="원인분석 대상","세부원인분석 시트에서 거래별 원인을 검토","-"))</x:f>
      </x:c>
      <x:c r="J752" s="73" t="str">
        <x:f>IF(A752="","",COUNTIFS('전기원장'!$A$5:$A$1004,A752,'전기원장'!$J$5:$J$1004,"확인 필요")+COUNTIFS('당기원장'!$A$5:$A$1004,A752,'당기원장'!$J$5:$J$1004,"확인 필요"))</x:f>
      </x:c>
      <x:c r="K752" s="85" t="str">
        <x:f>IF(A752="","",IF(H752&lt;&gt;"원인분석 대상","",IF(J752&gt;0,"붙임 문서 확인 후 원인 확정 필요","결의서명 기반 원인분류 검토")))</x:f>
      </x:c>
    </x:row>
    <x:row r="753">
      <x:c r="A753" s="73" t="str">
        <x:f>IFERROR(INDEX('계산도우미'!$B$5:$B$2004,MATCH(ROWS($A$5:A753),'계산도우미'!$K$5:$K$2004,0)),"")</x:f>
      </x:c>
      <x:c r="B753" s="73" t="str">
        <x:f>IF(A753="","",IFERROR(INDEX('당기원장'!$B$5:$B$1004,MATCH(A753,'당기원장'!$A$5:$A$1004,0)),IFERROR(INDEX('전기원장'!$B$5:$B$1004,MATCH(A753,'전기원장'!$A$5:$A$1004,0)),"")))</x:f>
      </x:c>
      <x:c r="C753" s="75" t="str">
        <x:f>IF(A753="","",SUMIF('전기원장'!$A$5:$A$1004,A753,'전기원장'!$H$5:$H$1004))</x:f>
      </x:c>
      <x:c r="D753" s="75" t="str">
        <x:f>IF(A753="","",SUMIF('당기원장'!$A$5:$A$1004,A753,'당기원장'!$H$5:$H$1004))</x:f>
      </x:c>
      <x:c r="E753" s="75" t="str">
        <x:f>IF(A753="","",D753-C753)</x:f>
      </x:c>
      <x:c r="F753" s="88" t="str">
        <x:f>IF(A753="","",IF(C753=0,IF(D753=0,0,1),ABS(E753)/ABS(C753)))</x:f>
      </x:c>
      <x:c r="G753" s="73" t="str">
        <x:f>IF(A753="","",IF(AND(C753=0,D753&lt;&gt;0),"신규",IF(AND(C753&lt;&gt;0,D753=0),"소멸",IF(E753=0,"변동없음","금액변동"))))</x:f>
      </x:c>
      <x:c r="H753" s="73" t="str">
        <x:f>IF(A753="","",IF(AND(ABS(E753)&gt;='기준설정'!$B$6,OR(G753="신규",G753="소멸",F753&gt;='기준설정'!$B$5)),"원인분석 대상","일반"))</x:f>
      </x:c>
      <x:c r="I753" s="73" t="str">
        <x:f>IF(A753="","",IF(H753="원인분석 대상","세부원인분석 시트에서 거래별 원인을 검토","-"))</x:f>
      </x:c>
      <x:c r="J753" s="73" t="str">
        <x:f>IF(A753="","",COUNTIFS('전기원장'!$A$5:$A$1004,A753,'전기원장'!$J$5:$J$1004,"확인 필요")+COUNTIFS('당기원장'!$A$5:$A$1004,A753,'당기원장'!$J$5:$J$1004,"확인 필요"))</x:f>
      </x:c>
      <x:c r="K753" s="85" t="str">
        <x:f>IF(A753="","",IF(H753&lt;&gt;"원인분석 대상","",IF(J753&gt;0,"붙임 문서 확인 후 원인 확정 필요","결의서명 기반 원인분류 검토")))</x:f>
      </x:c>
    </x:row>
    <x:row r="754">
      <x:c r="A754" s="73" t="str">
        <x:f>IFERROR(INDEX('계산도우미'!$B$5:$B$2004,MATCH(ROWS($A$5:A754),'계산도우미'!$K$5:$K$2004,0)),"")</x:f>
      </x:c>
      <x:c r="B754" s="73" t="str">
        <x:f>IF(A754="","",IFERROR(INDEX('당기원장'!$B$5:$B$1004,MATCH(A754,'당기원장'!$A$5:$A$1004,0)),IFERROR(INDEX('전기원장'!$B$5:$B$1004,MATCH(A754,'전기원장'!$A$5:$A$1004,0)),"")))</x:f>
      </x:c>
      <x:c r="C754" s="75" t="str">
        <x:f>IF(A754="","",SUMIF('전기원장'!$A$5:$A$1004,A754,'전기원장'!$H$5:$H$1004))</x:f>
      </x:c>
      <x:c r="D754" s="75" t="str">
        <x:f>IF(A754="","",SUMIF('당기원장'!$A$5:$A$1004,A754,'당기원장'!$H$5:$H$1004))</x:f>
      </x:c>
      <x:c r="E754" s="75" t="str">
        <x:f>IF(A754="","",D754-C754)</x:f>
      </x:c>
      <x:c r="F754" s="88" t="str">
        <x:f>IF(A754="","",IF(C754=0,IF(D754=0,0,1),ABS(E754)/ABS(C754)))</x:f>
      </x:c>
      <x:c r="G754" s="73" t="str">
        <x:f>IF(A754="","",IF(AND(C754=0,D754&lt;&gt;0),"신규",IF(AND(C754&lt;&gt;0,D754=0),"소멸",IF(E754=0,"변동없음","금액변동"))))</x:f>
      </x:c>
      <x:c r="H754" s="73" t="str">
        <x:f>IF(A754="","",IF(AND(ABS(E754)&gt;='기준설정'!$B$6,OR(G754="신규",G754="소멸",F754&gt;='기준설정'!$B$5)),"원인분석 대상","일반"))</x:f>
      </x:c>
      <x:c r="I754" s="73" t="str">
        <x:f>IF(A754="","",IF(H754="원인분석 대상","세부원인분석 시트에서 거래별 원인을 검토","-"))</x:f>
      </x:c>
      <x:c r="J754" s="73" t="str">
        <x:f>IF(A754="","",COUNTIFS('전기원장'!$A$5:$A$1004,A754,'전기원장'!$J$5:$J$1004,"확인 필요")+COUNTIFS('당기원장'!$A$5:$A$1004,A754,'당기원장'!$J$5:$J$1004,"확인 필요"))</x:f>
      </x:c>
      <x:c r="K754" s="85" t="str">
        <x:f>IF(A754="","",IF(H754&lt;&gt;"원인분석 대상","",IF(J754&gt;0,"붙임 문서 확인 후 원인 확정 필요","결의서명 기반 원인분류 검토")))</x:f>
      </x:c>
    </x:row>
    <x:row r="755">
      <x:c r="A755" s="73" t="str">
        <x:f>IFERROR(INDEX('계산도우미'!$B$5:$B$2004,MATCH(ROWS($A$5:A755),'계산도우미'!$K$5:$K$2004,0)),"")</x:f>
      </x:c>
      <x:c r="B755" s="73" t="str">
        <x:f>IF(A755="","",IFERROR(INDEX('당기원장'!$B$5:$B$1004,MATCH(A755,'당기원장'!$A$5:$A$1004,0)),IFERROR(INDEX('전기원장'!$B$5:$B$1004,MATCH(A755,'전기원장'!$A$5:$A$1004,0)),"")))</x:f>
      </x:c>
      <x:c r="C755" s="75" t="str">
        <x:f>IF(A755="","",SUMIF('전기원장'!$A$5:$A$1004,A755,'전기원장'!$H$5:$H$1004))</x:f>
      </x:c>
      <x:c r="D755" s="75" t="str">
        <x:f>IF(A755="","",SUMIF('당기원장'!$A$5:$A$1004,A755,'당기원장'!$H$5:$H$1004))</x:f>
      </x:c>
      <x:c r="E755" s="75" t="str">
        <x:f>IF(A755="","",D755-C755)</x:f>
      </x:c>
      <x:c r="F755" s="88" t="str">
        <x:f>IF(A755="","",IF(C755=0,IF(D755=0,0,1),ABS(E755)/ABS(C755)))</x:f>
      </x:c>
      <x:c r="G755" s="73" t="str">
        <x:f>IF(A755="","",IF(AND(C755=0,D755&lt;&gt;0),"신규",IF(AND(C755&lt;&gt;0,D755=0),"소멸",IF(E755=0,"변동없음","금액변동"))))</x:f>
      </x:c>
      <x:c r="H755" s="73" t="str">
        <x:f>IF(A755="","",IF(AND(ABS(E755)&gt;='기준설정'!$B$6,OR(G755="신규",G755="소멸",F755&gt;='기준설정'!$B$5)),"원인분석 대상","일반"))</x:f>
      </x:c>
      <x:c r="I755" s="73" t="str">
        <x:f>IF(A755="","",IF(H755="원인분석 대상","세부원인분석 시트에서 거래별 원인을 검토","-"))</x:f>
      </x:c>
      <x:c r="J755" s="73" t="str">
        <x:f>IF(A755="","",COUNTIFS('전기원장'!$A$5:$A$1004,A755,'전기원장'!$J$5:$J$1004,"확인 필요")+COUNTIFS('당기원장'!$A$5:$A$1004,A755,'당기원장'!$J$5:$J$1004,"확인 필요"))</x:f>
      </x:c>
      <x:c r="K755" s="85" t="str">
        <x:f>IF(A755="","",IF(H755&lt;&gt;"원인분석 대상","",IF(J755&gt;0,"붙임 문서 확인 후 원인 확정 필요","결의서명 기반 원인분류 검토")))</x:f>
      </x:c>
    </x:row>
    <x:row r="756">
      <x:c r="A756" s="73" t="str">
        <x:f>IFERROR(INDEX('계산도우미'!$B$5:$B$2004,MATCH(ROWS($A$5:A756),'계산도우미'!$K$5:$K$2004,0)),"")</x:f>
      </x:c>
      <x:c r="B756" s="73" t="str">
        <x:f>IF(A756="","",IFERROR(INDEX('당기원장'!$B$5:$B$1004,MATCH(A756,'당기원장'!$A$5:$A$1004,0)),IFERROR(INDEX('전기원장'!$B$5:$B$1004,MATCH(A756,'전기원장'!$A$5:$A$1004,0)),"")))</x:f>
      </x:c>
      <x:c r="C756" s="75" t="str">
        <x:f>IF(A756="","",SUMIF('전기원장'!$A$5:$A$1004,A756,'전기원장'!$H$5:$H$1004))</x:f>
      </x:c>
      <x:c r="D756" s="75" t="str">
        <x:f>IF(A756="","",SUMIF('당기원장'!$A$5:$A$1004,A756,'당기원장'!$H$5:$H$1004))</x:f>
      </x:c>
      <x:c r="E756" s="75" t="str">
        <x:f>IF(A756="","",D756-C756)</x:f>
      </x:c>
      <x:c r="F756" s="88" t="str">
        <x:f>IF(A756="","",IF(C756=0,IF(D756=0,0,1),ABS(E756)/ABS(C756)))</x:f>
      </x:c>
      <x:c r="G756" s="73" t="str">
        <x:f>IF(A756="","",IF(AND(C756=0,D756&lt;&gt;0),"신규",IF(AND(C756&lt;&gt;0,D756=0),"소멸",IF(E756=0,"변동없음","금액변동"))))</x:f>
      </x:c>
      <x:c r="H756" s="73" t="str">
        <x:f>IF(A756="","",IF(AND(ABS(E756)&gt;='기준설정'!$B$6,OR(G756="신규",G756="소멸",F756&gt;='기준설정'!$B$5)),"원인분석 대상","일반"))</x:f>
      </x:c>
      <x:c r="I756" s="73" t="str">
        <x:f>IF(A756="","",IF(H756="원인분석 대상","세부원인분석 시트에서 거래별 원인을 검토","-"))</x:f>
      </x:c>
      <x:c r="J756" s="73" t="str">
        <x:f>IF(A756="","",COUNTIFS('전기원장'!$A$5:$A$1004,A756,'전기원장'!$J$5:$J$1004,"확인 필요")+COUNTIFS('당기원장'!$A$5:$A$1004,A756,'당기원장'!$J$5:$J$1004,"확인 필요"))</x:f>
      </x:c>
      <x:c r="K756" s="85" t="str">
        <x:f>IF(A756="","",IF(H756&lt;&gt;"원인분석 대상","",IF(J756&gt;0,"붙임 문서 확인 후 원인 확정 필요","결의서명 기반 원인분류 검토")))</x:f>
      </x:c>
    </x:row>
    <x:row r="757">
      <x:c r="A757" s="73" t="str">
        <x:f>IFERROR(INDEX('계산도우미'!$B$5:$B$2004,MATCH(ROWS($A$5:A757),'계산도우미'!$K$5:$K$2004,0)),"")</x:f>
      </x:c>
      <x:c r="B757" s="73" t="str">
        <x:f>IF(A757="","",IFERROR(INDEX('당기원장'!$B$5:$B$1004,MATCH(A757,'당기원장'!$A$5:$A$1004,0)),IFERROR(INDEX('전기원장'!$B$5:$B$1004,MATCH(A757,'전기원장'!$A$5:$A$1004,0)),"")))</x:f>
      </x:c>
      <x:c r="C757" s="75" t="str">
        <x:f>IF(A757="","",SUMIF('전기원장'!$A$5:$A$1004,A757,'전기원장'!$H$5:$H$1004))</x:f>
      </x:c>
      <x:c r="D757" s="75" t="str">
        <x:f>IF(A757="","",SUMIF('당기원장'!$A$5:$A$1004,A757,'당기원장'!$H$5:$H$1004))</x:f>
      </x:c>
      <x:c r="E757" s="75" t="str">
        <x:f>IF(A757="","",D757-C757)</x:f>
      </x:c>
      <x:c r="F757" s="88" t="str">
        <x:f>IF(A757="","",IF(C757=0,IF(D757=0,0,1),ABS(E757)/ABS(C757)))</x:f>
      </x:c>
      <x:c r="G757" s="73" t="str">
        <x:f>IF(A757="","",IF(AND(C757=0,D757&lt;&gt;0),"신규",IF(AND(C757&lt;&gt;0,D757=0),"소멸",IF(E757=0,"변동없음","금액변동"))))</x:f>
      </x:c>
      <x:c r="H757" s="73" t="str">
        <x:f>IF(A757="","",IF(AND(ABS(E757)&gt;='기준설정'!$B$6,OR(G757="신규",G757="소멸",F757&gt;='기준설정'!$B$5)),"원인분석 대상","일반"))</x:f>
      </x:c>
      <x:c r="I757" s="73" t="str">
        <x:f>IF(A757="","",IF(H757="원인분석 대상","세부원인분석 시트에서 거래별 원인을 검토","-"))</x:f>
      </x:c>
      <x:c r="J757" s="73" t="str">
        <x:f>IF(A757="","",COUNTIFS('전기원장'!$A$5:$A$1004,A757,'전기원장'!$J$5:$J$1004,"확인 필요")+COUNTIFS('당기원장'!$A$5:$A$1004,A757,'당기원장'!$J$5:$J$1004,"확인 필요"))</x:f>
      </x:c>
      <x:c r="K757" s="85" t="str">
        <x:f>IF(A757="","",IF(H757&lt;&gt;"원인분석 대상","",IF(J757&gt;0,"붙임 문서 확인 후 원인 확정 필요","결의서명 기반 원인분류 검토")))</x:f>
      </x:c>
    </x:row>
    <x:row r="758">
      <x:c r="A758" s="73" t="str">
        <x:f>IFERROR(INDEX('계산도우미'!$B$5:$B$2004,MATCH(ROWS($A$5:A758),'계산도우미'!$K$5:$K$2004,0)),"")</x:f>
      </x:c>
      <x:c r="B758" s="73" t="str">
        <x:f>IF(A758="","",IFERROR(INDEX('당기원장'!$B$5:$B$1004,MATCH(A758,'당기원장'!$A$5:$A$1004,0)),IFERROR(INDEX('전기원장'!$B$5:$B$1004,MATCH(A758,'전기원장'!$A$5:$A$1004,0)),"")))</x:f>
      </x:c>
      <x:c r="C758" s="75" t="str">
        <x:f>IF(A758="","",SUMIF('전기원장'!$A$5:$A$1004,A758,'전기원장'!$H$5:$H$1004))</x:f>
      </x:c>
      <x:c r="D758" s="75" t="str">
        <x:f>IF(A758="","",SUMIF('당기원장'!$A$5:$A$1004,A758,'당기원장'!$H$5:$H$1004))</x:f>
      </x:c>
      <x:c r="E758" s="75" t="str">
        <x:f>IF(A758="","",D758-C758)</x:f>
      </x:c>
      <x:c r="F758" s="88" t="str">
        <x:f>IF(A758="","",IF(C758=0,IF(D758=0,0,1),ABS(E758)/ABS(C758)))</x:f>
      </x:c>
      <x:c r="G758" s="73" t="str">
        <x:f>IF(A758="","",IF(AND(C758=0,D758&lt;&gt;0),"신규",IF(AND(C758&lt;&gt;0,D758=0),"소멸",IF(E758=0,"변동없음","금액변동"))))</x:f>
      </x:c>
      <x:c r="H758" s="73" t="str">
        <x:f>IF(A758="","",IF(AND(ABS(E758)&gt;='기준설정'!$B$6,OR(G758="신규",G758="소멸",F758&gt;='기준설정'!$B$5)),"원인분석 대상","일반"))</x:f>
      </x:c>
      <x:c r="I758" s="73" t="str">
        <x:f>IF(A758="","",IF(H758="원인분석 대상","세부원인분석 시트에서 거래별 원인을 검토","-"))</x:f>
      </x:c>
      <x:c r="J758" s="73" t="str">
        <x:f>IF(A758="","",COUNTIFS('전기원장'!$A$5:$A$1004,A758,'전기원장'!$J$5:$J$1004,"확인 필요")+COUNTIFS('당기원장'!$A$5:$A$1004,A758,'당기원장'!$J$5:$J$1004,"확인 필요"))</x:f>
      </x:c>
      <x:c r="K758" s="85" t="str">
        <x:f>IF(A758="","",IF(H758&lt;&gt;"원인분석 대상","",IF(J758&gt;0,"붙임 문서 확인 후 원인 확정 필요","결의서명 기반 원인분류 검토")))</x:f>
      </x:c>
    </x:row>
    <x:row r="759">
      <x:c r="A759" s="73" t="str">
        <x:f>IFERROR(INDEX('계산도우미'!$B$5:$B$2004,MATCH(ROWS($A$5:A759),'계산도우미'!$K$5:$K$2004,0)),"")</x:f>
      </x:c>
      <x:c r="B759" s="73" t="str">
        <x:f>IF(A759="","",IFERROR(INDEX('당기원장'!$B$5:$B$1004,MATCH(A759,'당기원장'!$A$5:$A$1004,0)),IFERROR(INDEX('전기원장'!$B$5:$B$1004,MATCH(A759,'전기원장'!$A$5:$A$1004,0)),"")))</x:f>
      </x:c>
      <x:c r="C759" s="75" t="str">
        <x:f>IF(A759="","",SUMIF('전기원장'!$A$5:$A$1004,A759,'전기원장'!$H$5:$H$1004))</x:f>
      </x:c>
      <x:c r="D759" s="75" t="str">
        <x:f>IF(A759="","",SUMIF('당기원장'!$A$5:$A$1004,A759,'당기원장'!$H$5:$H$1004))</x:f>
      </x:c>
      <x:c r="E759" s="75" t="str">
        <x:f>IF(A759="","",D759-C759)</x:f>
      </x:c>
      <x:c r="F759" s="88" t="str">
        <x:f>IF(A759="","",IF(C759=0,IF(D759=0,0,1),ABS(E759)/ABS(C759)))</x:f>
      </x:c>
      <x:c r="G759" s="73" t="str">
        <x:f>IF(A759="","",IF(AND(C759=0,D759&lt;&gt;0),"신규",IF(AND(C759&lt;&gt;0,D759=0),"소멸",IF(E759=0,"변동없음","금액변동"))))</x:f>
      </x:c>
      <x:c r="H759" s="73" t="str">
        <x:f>IF(A759="","",IF(AND(ABS(E759)&gt;='기준설정'!$B$6,OR(G759="신규",G759="소멸",F759&gt;='기준설정'!$B$5)),"원인분석 대상","일반"))</x:f>
      </x:c>
      <x:c r="I759" s="73" t="str">
        <x:f>IF(A759="","",IF(H759="원인분석 대상","세부원인분석 시트에서 거래별 원인을 검토","-"))</x:f>
      </x:c>
      <x:c r="J759" s="73" t="str">
        <x:f>IF(A759="","",COUNTIFS('전기원장'!$A$5:$A$1004,A759,'전기원장'!$J$5:$J$1004,"확인 필요")+COUNTIFS('당기원장'!$A$5:$A$1004,A759,'당기원장'!$J$5:$J$1004,"확인 필요"))</x:f>
      </x:c>
      <x:c r="K759" s="85" t="str">
        <x:f>IF(A759="","",IF(H759&lt;&gt;"원인분석 대상","",IF(J759&gt;0,"붙임 문서 확인 후 원인 확정 필요","결의서명 기반 원인분류 검토")))</x:f>
      </x:c>
    </x:row>
    <x:row r="760">
      <x:c r="A760" s="73" t="str">
        <x:f>IFERROR(INDEX('계산도우미'!$B$5:$B$2004,MATCH(ROWS($A$5:A760),'계산도우미'!$K$5:$K$2004,0)),"")</x:f>
      </x:c>
      <x:c r="B760" s="73" t="str">
        <x:f>IF(A760="","",IFERROR(INDEX('당기원장'!$B$5:$B$1004,MATCH(A760,'당기원장'!$A$5:$A$1004,0)),IFERROR(INDEX('전기원장'!$B$5:$B$1004,MATCH(A760,'전기원장'!$A$5:$A$1004,0)),"")))</x:f>
      </x:c>
      <x:c r="C760" s="75" t="str">
        <x:f>IF(A760="","",SUMIF('전기원장'!$A$5:$A$1004,A760,'전기원장'!$H$5:$H$1004))</x:f>
      </x:c>
      <x:c r="D760" s="75" t="str">
        <x:f>IF(A760="","",SUMIF('당기원장'!$A$5:$A$1004,A760,'당기원장'!$H$5:$H$1004))</x:f>
      </x:c>
      <x:c r="E760" s="75" t="str">
        <x:f>IF(A760="","",D760-C760)</x:f>
      </x:c>
      <x:c r="F760" s="88" t="str">
        <x:f>IF(A760="","",IF(C760=0,IF(D760=0,0,1),ABS(E760)/ABS(C760)))</x:f>
      </x:c>
      <x:c r="G760" s="73" t="str">
        <x:f>IF(A760="","",IF(AND(C760=0,D760&lt;&gt;0),"신규",IF(AND(C760&lt;&gt;0,D760=0),"소멸",IF(E760=0,"변동없음","금액변동"))))</x:f>
      </x:c>
      <x:c r="H760" s="73" t="str">
        <x:f>IF(A760="","",IF(AND(ABS(E760)&gt;='기준설정'!$B$6,OR(G760="신규",G760="소멸",F760&gt;='기준설정'!$B$5)),"원인분석 대상","일반"))</x:f>
      </x:c>
      <x:c r="I760" s="73" t="str">
        <x:f>IF(A760="","",IF(H760="원인분석 대상","세부원인분석 시트에서 거래별 원인을 검토","-"))</x:f>
      </x:c>
      <x:c r="J760" s="73" t="str">
        <x:f>IF(A760="","",COUNTIFS('전기원장'!$A$5:$A$1004,A760,'전기원장'!$J$5:$J$1004,"확인 필요")+COUNTIFS('당기원장'!$A$5:$A$1004,A760,'당기원장'!$J$5:$J$1004,"확인 필요"))</x:f>
      </x:c>
      <x:c r="K760" s="85" t="str">
        <x:f>IF(A760="","",IF(H760&lt;&gt;"원인분석 대상","",IF(J760&gt;0,"붙임 문서 확인 후 원인 확정 필요","결의서명 기반 원인분류 검토")))</x:f>
      </x:c>
    </x:row>
    <x:row r="761">
      <x:c r="A761" s="73" t="str">
        <x:f>IFERROR(INDEX('계산도우미'!$B$5:$B$2004,MATCH(ROWS($A$5:A761),'계산도우미'!$K$5:$K$2004,0)),"")</x:f>
      </x:c>
      <x:c r="B761" s="73" t="str">
        <x:f>IF(A761="","",IFERROR(INDEX('당기원장'!$B$5:$B$1004,MATCH(A761,'당기원장'!$A$5:$A$1004,0)),IFERROR(INDEX('전기원장'!$B$5:$B$1004,MATCH(A761,'전기원장'!$A$5:$A$1004,0)),"")))</x:f>
      </x:c>
      <x:c r="C761" s="75" t="str">
        <x:f>IF(A761="","",SUMIF('전기원장'!$A$5:$A$1004,A761,'전기원장'!$H$5:$H$1004))</x:f>
      </x:c>
      <x:c r="D761" s="75" t="str">
        <x:f>IF(A761="","",SUMIF('당기원장'!$A$5:$A$1004,A761,'당기원장'!$H$5:$H$1004))</x:f>
      </x:c>
      <x:c r="E761" s="75" t="str">
        <x:f>IF(A761="","",D761-C761)</x:f>
      </x:c>
      <x:c r="F761" s="88" t="str">
        <x:f>IF(A761="","",IF(C761=0,IF(D761=0,0,1),ABS(E761)/ABS(C761)))</x:f>
      </x:c>
      <x:c r="G761" s="73" t="str">
        <x:f>IF(A761="","",IF(AND(C761=0,D761&lt;&gt;0),"신규",IF(AND(C761&lt;&gt;0,D761=0),"소멸",IF(E761=0,"변동없음","금액변동"))))</x:f>
      </x:c>
      <x:c r="H761" s="73" t="str">
        <x:f>IF(A761="","",IF(AND(ABS(E761)&gt;='기준설정'!$B$6,OR(G761="신규",G761="소멸",F761&gt;='기준설정'!$B$5)),"원인분석 대상","일반"))</x:f>
      </x:c>
      <x:c r="I761" s="73" t="str">
        <x:f>IF(A761="","",IF(H761="원인분석 대상","세부원인분석 시트에서 거래별 원인을 검토","-"))</x:f>
      </x:c>
      <x:c r="J761" s="73" t="str">
        <x:f>IF(A761="","",COUNTIFS('전기원장'!$A$5:$A$1004,A761,'전기원장'!$J$5:$J$1004,"확인 필요")+COUNTIFS('당기원장'!$A$5:$A$1004,A761,'당기원장'!$J$5:$J$1004,"확인 필요"))</x:f>
      </x:c>
      <x:c r="K761" s="85" t="str">
        <x:f>IF(A761="","",IF(H761&lt;&gt;"원인분석 대상","",IF(J761&gt;0,"붙임 문서 확인 후 원인 확정 필요","결의서명 기반 원인분류 검토")))</x:f>
      </x:c>
    </x:row>
    <x:row r="762">
      <x:c r="A762" s="73" t="str">
        <x:f>IFERROR(INDEX('계산도우미'!$B$5:$B$2004,MATCH(ROWS($A$5:A762),'계산도우미'!$K$5:$K$2004,0)),"")</x:f>
      </x:c>
      <x:c r="B762" s="73" t="str">
        <x:f>IF(A762="","",IFERROR(INDEX('당기원장'!$B$5:$B$1004,MATCH(A762,'당기원장'!$A$5:$A$1004,0)),IFERROR(INDEX('전기원장'!$B$5:$B$1004,MATCH(A762,'전기원장'!$A$5:$A$1004,0)),"")))</x:f>
      </x:c>
      <x:c r="C762" s="75" t="str">
        <x:f>IF(A762="","",SUMIF('전기원장'!$A$5:$A$1004,A762,'전기원장'!$H$5:$H$1004))</x:f>
      </x:c>
      <x:c r="D762" s="75" t="str">
        <x:f>IF(A762="","",SUMIF('당기원장'!$A$5:$A$1004,A762,'당기원장'!$H$5:$H$1004))</x:f>
      </x:c>
      <x:c r="E762" s="75" t="str">
        <x:f>IF(A762="","",D762-C762)</x:f>
      </x:c>
      <x:c r="F762" s="88" t="str">
        <x:f>IF(A762="","",IF(C762=0,IF(D762=0,0,1),ABS(E762)/ABS(C762)))</x:f>
      </x:c>
      <x:c r="G762" s="73" t="str">
        <x:f>IF(A762="","",IF(AND(C762=0,D762&lt;&gt;0),"신규",IF(AND(C762&lt;&gt;0,D762=0),"소멸",IF(E762=0,"변동없음","금액변동"))))</x:f>
      </x:c>
      <x:c r="H762" s="73" t="str">
        <x:f>IF(A762="","",IF(AND(ABS(E762)&gt;='기준설정'!$B$6,OR(G762="신규",G762="소멸",F762&gt;='기준설정'!$B$5)),"원인분석 대상","일반"))</x:f>
      </x:c>
      <x:c r="I762" s="73" t="str">
        <x:f>IF(A762="","",IF(H762="원인분석 대상","세부원인분석 시트에서 거래별 원인을 검토","-"))</x:f>
      </x:c>
      <x:c r="J762" s="73" t="str">
        <x:f>IF(A762="","",COUNTIFS('전기원장'!$A$5:$A$1004,A762,'전기원장'!$J$5:$J$1004,"확인 필요")+COUNTIFS('당기원장'!$A$5:$A$1004,A762,'당기원장'!$J$5:$J$1004,"확인 필요"))</x:f>
      </x:c>
      <x:c r="K762" s="85" t="str">
        <x:f>IF(A762="","",IF(H762&lt;&gt;"원인분석 대상","",IF(J762&gt;0,"붙임 문서 확인 후 원인 확정 필요","결의서명 기반 원인분류 검토")))</x:f>
      </x:c>
    </x:row>
    <x:row r="763">
      <x:c r="A763" s="73" t="str">
        <x:f>IFERROR(INDEX('계산도우미'!$B$5:$B$2004,MATCH(ROWS($A$5:A763),'계산도우미'!$K$5:$K$2004,0)),"")</x:f>
      </x:c>
      <x:c r="B763" s="73" t="str">
        <x:f>IF(A763="","",IFERROR(INDEX('당기원장'!$B$5:$B$1004,MATCH(A763,'당기원장'!$A$5:$A$1004,0)),IFERROR(INDEX('전기원장'!$B$5:$B$1004,MATCH(A763,'전기원장'!$A$5:$A$1004,0)),"")))</x:f>
      </x:c>
      <x:c r="C763" s="75" t="str">
        <x:f>IF(A763="","",SUMIF('전기원장'!$A$5:$A$1004,A763,'전기원장'!$H$5:$H$1004))</x:f>
      </x:c>
      <x:c r="D763" s="75" t="str">
        <x:f>IF(A763="","",SUMIF('당기원장'!$A$5:$A$1004,A763,'당기원장'!$H$5:$H$1004))</x:f>
      </x:c>
      <x:c r="E763" s="75" t="str">
        <x:f>IF(A763="","",D763-C763)</x:f>
      </x:c>
      <x:c r="F763" s="88" t="str">
        <x:f>IF(A763="","",IF(C763=0,IF(D763=0,0,1),ABS(E763)/ABS(C763)))</x:f>
      </x:c>
      <x:c r="G763" s="73" t="str">
        <x:f>IF(A763="","",IF(AND(C763=0,D763&lt;&gt;0),"신규",IF(AND(C763&lt;&gt;0,D763=0),"소멸",IF(E763=0,"변동없음","금액변동"))))</x:f>
      </x:c>
      <x:c r="H763" s="73" t="str">
        <x:f>IF(A763="","",IF(AND(ABS(E763)&gt;='기준설정'!$B$6,OR(G763="신규",G763="소멸",F763&gt;='기준설정'!$B$5)),"원인분석 대상","일반"))</x:f>
      </x:c>
      <x:c r="I763" s="73" t="str">
        <x:f>IF(A763="","",IF(H763="원인분석 대상","세부원인분석 시트에서 거래별 원인을 검토","-"))</x:f>
      </x:c>
      <x:c r="J763" s="73" t="str">
        <x:f>IF(A763="","",COUNTIFS('전기원장'!$A$5:$A$1004,A763,'전기원장'!$J$5:$J$1004,"확인 필요")+COUNTIFS('당기원장'!$A$5:$A$1004,A763,'당기원장'!$J$5:$J$1004,"확인 필요"))</x:f>
      </x:c>
      <x:c r="K763" s="85" t="str">
        <x:f>IF(A763="","",IF(H763&lt;&gt;"원인분석 대상","",IF(J763&gt;0,"붙임 문서 확인 후 원인 확정 필요","결의서명 기반 원인분류 검토")))</x:f>
      </x:c>
    </x:row>
    <x:row r="764">
      <x:c r="A764" s="73" t="str">
        <x:f>IFERROR(INDEX('계산도우미'!$B$5:$B$2004,MATCH(ROWS($A$5:A764),'계산도우미'!$K$5:$K$2004,0)),"")</x:f>
      </x:c>
      <x:c r="B764" s="73" t="str">
        <x:f>IF(A764="","",IFERROR(INDEX('당기원장'!$B$5:$B$1004,MATCH(A764,'당기원장'!$A$5:$A$1004,0)),IFERROR(INDEX('전기원장'!$B$5:$B$1004,MATCH(A764,'전기원장'!$A$5:$A$1004,0)),"")))</x:f>
      </x:c>
      <x:c r="C764" s="75" t="str">
        <x:f>IF(A764="","",SUMIF('전기원장'!$A$5:$A$1004,A764,'전기원장'!$H$5:$H$1004))</x:f>
      </x:c>
      <x:c r="D764" s="75" t="str">
        <x:f>IF(A764="","",SUMIF('당기원장'!$A$5:$A$1004,A764,'당기원장'!$H$5:$H$1004))</x:f>
      </x:c>
      <x:c r="E764" s="75" t="str">
        <x:f>IF(A764="","",D764-C764)</x:f>
      </x:c>
      <x:c r="F764" s="88" t="str">
        <x:f>IF(A764="","",IF(C764=0,IF(D764=0,0,1),ABS(E764)/ABS(C764)))</x:f>
      </x:c>
      <x:c r="G764" s="73" t="str">
        <x:f>IF(A764="","",IF(AND(C764=0,D764&lt;&gt;0),"신규",IF(AND(C764&lt;&gt;0,D764=0),"소멸",IF(E764=0,"변동없음","금액변동"))))</x:f>
      </x:c>
      <x:c r="H764" s="73" t="str">
        <x:f>IF(A764="","",IF(AND(ABS(E764)&gt;='기준설정'!$B$6,OR(G764="신규",G764="소멸",F764&gt;='기준설정'!$B$5)),"원인분석 대상","일반"))</x:f>
      </x:c>
      <x:c r="I764" s="73" t="str">
        <x:f>IF(A764="","",IF(H764="원인분석 대상","세부원인분석 시트에서 거래별 원인을 검토","-"))</x:f>
      </x:c>
      <x:c r="J764" s="73" t="str">
        <x:f>IF(A764="","",COUNTIFS('전기원장'!$A$5:$A$1004,A764,'전기원장'!$J$5:$J$1004,"확인 필요")+COUNTIFS('당기원장'!$A$5:$A$1004,A764,'당기원장'!$J$5:$J$1004,"확인 필요"))</x:f>
      </x:c>
      <x:c r="K764" s="85" t="str">
        <x:f>IF(A764="","",IF(H764&lt;&gt;"원인분석 대상","",IF(J764&gt;0,"붙임 문서 확인 후 원인 확정 필요","결의서명 기반 원인분류 검토")))</x:f>
      </x:c>
    </x:row>
    <x:row r="765">
      <x:c r="A765" s="73" t="str">
        <x:f>IFERROR(INDEX('계산도우미'!$B$5:$B$2004,MATCH(ROWS($A$5:A765),'계산도우미'!$K$5:$K$2004,0)),"")</x:f>
      </x:c>
      <x:c r="B765" s="73" t="str">
        <x:f>IF(A765="","",IFERROR(INDEX('당기원장'!$B$5:$B$1004,MATCH(A765,'당기원장'!$A$5:$A$1004,0)),IFERROR(INDEX('전기원장'!$B$5:$B$1004,MATCH(A765,'전기원장'!$A$5:$A$1004,0)),"")))</x:f>
      </x:c>
      <x:c r="C765" s="75" t="str">
        <x:f>IF(A765="","",SUMIF('전기원장'!$A$5:$A$1004,A765,'전기원장'!$H$5:$H$1004))</x:f>
      </x:c>
      <x:c r="D765" s="75" t="str">
        <x:f>IF(A765="","",SUMIF('당기원장'!$A$5:$A$1004,A765,'당기원장'!$H$5:$H$1004))</x:f>
      </x:c>
      <x:c r="E765" s="75" t="str">
        <x:f>IF(A765="","",D765-C765)</x:f>
      </x:c>
      <x:c r="F765" s="88" t="str">
        <x:f>IF(A765="","",IF(C765=0,IF(D765=0,0,1),ABS(E765)/ABS(C765)))</x:f>
      </x:c>
      <x:c r="G765" s="73" t="str">
        <x:f>IF(A765="","",IF(AND(C765=0,D765&lt;&gt;0),"신규",IF(AND(C765&lt;&gt;0,D765=0),"소멸",IF(E765=0,"변동없음","금액변동"))))</x:f>
      </x:c>
      <x:c r="H765" s="73" t="str">
        <x:f>IF(A765="","",IF(AND(ABS(E765)&gt;='기준설정'!$B$6,OR(G765="신규",G765="소멸",F765&gt;='기준설정'!$B$5)),"원인분석 대상","일반"))</x:f>
      </x:c>
      <x:c r="I765" s="73" t="str">
        <x:f>IF(A765="","",IF(H765="원인분석 대상","세부원인분석 시트에서 거래별 원인을 검토","-"))</x:f>
      </x:c>
      <x:c r="J765" s="73" t="str">
        <x:f>IF(A765="","",COUNTIFS('전기원장'!$A$5:$A$1004,A765,'전기원장'!$J$5:$J$1004,"확인 필요")+COUNTIFS('당기원장'!$A$5:$A$1004,A765,'당기원장'!$J$5:$J$1004,"확인 필요"))</x:f>
      </x:c>
      <x:c r="K765" s="85" t="str">
        <x:f>IF(A765="","",IF(H765&lt;&gt;"원인분석 대상","",IF(J765&gt;0,"붙임 문서 확인 후 원인 확정 필요","결의서명 기반 원인분류 검토")))</x:f>
      </x:c>
    </x:row>
    <x:row r="766">
      <x:c r="A766" s="73" t="str">
        <x:f>IFERROR(INDEX('계산도우미'!$B$5:$B$2004,MATCH(ROWS($A$5:A766),'계산도우미'!$K$5:$K$2004,0)),"")</x:f>
      </x:c>
      <x:c r="B766" s="73" t="str">
        <x:f>IF(A766="","",IFERROR(INDEX('당기원장'!$B$5:$B$1004,MATCH(A766,'당기원장'!$A$5:$A$1004,0)),IFERROR(INDEX('전기원장'!$B$5:$B$1004,MATCH(A766,'전기원장'!$A$5:$A$1004,0)),"")))</x:f>
      </x:c>
      <x:c r="C766" s="75" t="str">
        <x:f>IF(A766="","",SUMIF('전기원장'!$A$5:$A$1004,A766,'전기원장'!$H$5:$H$1004))</x:f>
      </x:c>
      <x:c r="D766" s="75" t="str">
        <x:f>IF(A766="","",SUMIF('당기원장'!$A$5:$A$1004,A766,'당기원장'!$H$5:$H$1004))</x:f>
      </x:c>
      <x:c r="E766" s="75" t="str">
        <x:f>IF(A766="","",D766-C766)</x:f>
      </x:c>
      <x:c r="F766" s="88" t="str">
        <x:f>IF(A766="","",IF(C766=0,IF(D766=0,0,1),ABS(E766)/ABS(C766)))</x:f>
      </x:c>
      <x:c r="G766" s="73" t="str">
        <x:f>IF(A766="","",IF(AND(C766=0,D766&lt;&gt;0),"신규",IF(AND(C766&lt;&gt;0,D766=0),"소멸",IF(E766=0,"변동없음","금액변동"))))</x:f>
      </x:c>
      <x:c r="H766" s="73" t="str">
        <x:f>IF(A766="","",IF(AND(ABS(E766)&gt;='기준설정'!$B$6,OR(G766="신규",G766="소멸",F766&gt;='기준설정'!$B$5)),"원인분석 대상","일반"))</x:f>
      </x:c>
      <x:c r="I766" s="73" t="str">
        <x:f>IF(A766="","",IF(H766="원인분석 대상","세부원인분석 시트에서 거래별 원인을 검토","-"))</x:f>
      </x:c>
      <x:c r="J766" s="73" t="str">
        <x:f>IF(A766="","",COUNTIFS('전기원장'!$A$5:$A$1004,A766,'전기원장'!$J$5:$J$1004,"확인 필요")+COUNTIFS('당기원장'!$A$5:$A$1004,A766,'당기원장'!$J$5:$J$1004,"확인 필요"))</x:f>
      </x:c>
      <x:c r="K766" s="85" t="str">
        <x:f>IF(A766="","",IF(H766&lt;&gt;"원인분석 대상","",IF(J766&gt;0,"붙임 문서 확인 후 원인 확정 필요","결의서명 기반 원인분류 검토")))</x:f>
      </x:c>
    </x:row>
    <x:row r="767">
      <x:c r="A767" s="73" t="str">
        <x:f>IFERROR(INDEX('계산도우미'!$B$5:$B$2004,MATCH(ROWS($A$5:A767),'계산도우미'!$K$5:$K$2004,0)),"")</x:f>
      </x:c>
      <x:c r="B767" s="73" t="str">
        <x:f>IF(A767="","",IFERROR(INDEX('당기원장'!$B$5:$B$1004,MATCH(A767,'당기원장'!$A$5:$A$1004,0)),IFERROR(INDEX('전기원장'!$B$5:$B$1004,MATCH(A767,'전기원장'!$A$5:$A$1004,0)),"")))</x:f>
      </x:c>
      <x:c r="C767" s="75" t="str">
        <x:f>IF(A767="","",SUMIF('전기원장'!$A$5:$A$1004,A767,'전기원장'!$H$5:$H$1004))</x:f>
      </x:c>
      <x:c r="D767" s="75" t="str">
        <x:f>IF(A767="","",SUMIF('당기원장'!$A$5:$A$1004,A767,'당기원장'!$H$5:$H$1004))</x:f>
      </x:c>
      <x:c r="E767" s="75" t="str">
        <x:f>IF(A767="","",D767-C767)</x:f>
      </x:c>
      <x:c r="F767" s="88" t="str">
        <x:f>IF(A767="","",IF(C767=0,IF(D767=0,0,1),ABS(E767)/ABS(C767)))</x:f>
      </x:c>
      <x:c r="G767" s="73" t="str">
        <x:f>IF(A767="","",IF(AND(C767=0,D767&lt;&gt;0),"신규",IF(AND(C767&lt;&gt;0,D767=0),"소멸",IF(E767=0,"변동없음","금액변동"))))</x:f>
      </x:c>
      <x:c r="H767" s="73" t="str">
        <x:f>IF(A767="","",IF(AND(ABS(E767)&gt;='기준설정'!$B$6,OR(G767="신규",G767="소멸",F767&gt;='기준설정'!$B$5)),"원인분석 대상","일반"))</x:f>
      </x:c>
      <x:c r="I767" s="73" t="str">
        <x:f>IF(A767="","",IF(H767="원인분석 대상","세부원인분석 시트에서 거래별 원인을 검토","-"))</x:f>
      </x:c>
      <x:c r="J767" s="73" t="str">
        <x:f>IF(A767="","",COUNTIFS('전기원장'!$A$5:$A$1004,A767,'전기원장'!$J$5:$J$1004,"확인 필요")+COUNTIFS('당기원장'!$A$5:$A$1004,A767,'당기원장'!$J$5:$J$1004,"확인 필요"))</x:f>
      </x:c>
      <x:c r="K767" s="85" t="str">
        <x:f>IF(A767="","",IF(H767&lt;&gt;"원인분석 대상","",IF(J767&gt;0,"붙임 문서 확인 후 원인 확정 필요","결의서명 기반 원인분류 검토")))</x:f>
      </x:c>
    </x:row>
    <x:row r="768">
      <x:c r="A768" s="73" t="str">
        <x:f>IFERROR(INDEX('계산도우미'!$B$5:$B$2004,MATCH(ROWS($A$5:A768),'계산도우미'!$K$5:$K$2004,0)),"")</x:f>
      </x:c>
      <x:c r="B768" s="73" t="str">
        <x:f>IF(A768="","",IFERROR(INDEX('당기원장'!$B$5:$B$1004,MATCH(A768,'당기원장'!$A$5:$A$1004,0)),IFERROR(INDEX('전기원장'!$B$5:$B$1004,MATCH(A768,'전기원장'!$A$5:$A$1004,0)),"")))</x:f>
      </x:c>
      <x:c r="C768" s="75" t="str">
        <x:f>IF(A768="","",SUMIF('전기원장'!$A$5:$A$1004,A768,'전기원장'!$H$5:$H$1004))</x:f>
      </x:c>
      <x:c r="D768" s="75" t="str">
        <x:f>IF(A768="","",SUMIF('당기원장'!$A$5:$A$1004,A768,'당기원장'!$H$5:$H$1004))</x:f>
      </x:c>
      <x:c r="E768" s="75" t="str">
        <x:f>IF(A768="","",D768-C768)</x:f>
      </x:c>
      <x:c r="F768" s="88" t="str">
        <x:f>IF(A768="","",IF(C768=0,IF(D768=0,0,1),ABS(E768)/ABS(C768)))</x:f>
      </x:c>
      <x:c r="G768" s="73" t="str">
        <x:f>IF(A768="","",IF(AND(C768=0,D768&lt;&gt;0),"신규",IF(AND(C768&lt;&gt;0,D768=0),"소멸",IF(E768=0,"변동없음","금액변동"))))</x:f>
      </x:c>
      <x:c r="H768" s="73" t="str">
        <x:f>IF(A768="","",IF(AND(ABS(E768)&gt;='기준설정'!$B$6,OR(G768="신규",G768="소멸",F768&gt;='기준설정'!$B$5)),"원인분석 대상","일반"))</x:f>
      </x:c>
      <x:c r="I768" s="73" t="str">
        <x:f>IF(A768="","",IF(H768="원인분석 대상","세부원인분석 시트에서 거래별 원인을 검토","-"))</x:f>
      </x:c>
      <x:c r="J768" s="73" t="str">
        <x:f>IF(A768="","",COUNTIFS('전기원장'!$A$5:$A$1004,A768,'전기원장'!$J$5:$J$1004,"확인 필요")+COUNTIFS('당기원장'!$A$5:$A$1004,A768,'당기원장'!$J$5:$J$1004,"확인 필요"))</x:f>
      </x:c>
      <x:c r="K768" s="85" t="str">
        <x:f>IF(A768="","",IF(H768&lt;&gt;"원인분석 대상","",IF(J768&gt;0,"붙임 문서 확인 후 원인 확정 필요","결의서명 기반 원인분류 검토")))</x:f>
      </x:c>
    </x:row>
    <x:row r="769">
      <x:c r="A769" s="73" t="str">
        <x:f>IFERROR(INDEX('계산도우미'!$B$5:$B$2004,MATCH(ROWS($A$5:A769),'계산도우미'!$K$5:$K$2004,0)),"")</x:f>
      </x:c>
      <x:c r="B769" s="73" t="str">
        <x:f>IF(A769="","",IFERROR(INDEX('당기원장'!$B$5:$B$1004,MATCH(A769,'당기원장'!$A$5:$A$1004,0)),IFERROR(INDEX('전기원장'!$B$5:$B$1004,MATCH(A769,'전기원장'!$A$5:$A$1004,0)),"")))</x:f>
      </x:c>
      <x:c r="C769" s="75" t="str">
        <x:f>IF(A769="","",SUMIF('전기원장'!$A$5:$A$1004,A769,'전기원장'!$H$5:$H$1004))</x:f>
      </x:c>
      <x:c r="D769" s="75" t="str">
        <x:f>IF(A769="","",SUMIF('당기원장'!$A$5:$A$1004,A769,'당기원장'!$H$5:$H$1004))</x:f>
      </x:c>
      <x:c r="E769" s="75" t="str">
        <x:f>IF(A769="","",D769-C769)</x:f>
      </x:c>
      <x:c r="F769" s="88" t="str">
        <x:f>IF(A769="","",IF(C769=0,IF(D769=0,0,1),ABS(E769)/ABS(C769)))</x:f>
      </x:c>
      <x:c r="G769" s="73" t="str">
        <x:f>IF(A769="","",IF(AND(C769=0,D769&lt;&gt;0),"신규",IF(AND(C769&lt;&gt;0,D769=0),"소멸",IF(E769=0,"변동없음","금액변동"))))</x:f>
      </x:c>
      <x:c r="H769" s="73" t="str">
        <x:f>IF(A769="","",IF(AND(ABS(E769)&gt;='기준설정'!$B$6,OR(G769="신규",G769="소멸",F769&gt;='기준설정'!$B$5)),"원인분석 대상","일반"))</x:f>
      </x:c>
      <x:c r="I769" s="73" t="str">
        <x:f>IF(A769="","",IF(H769="원인분석 대상","세부원인분석 시트에서 거래별 원인을 검토","-"))</x:f>
      </x:c>
      <x:c r="J769" s="73" t="str">
        <x:f>IF(A769="","",COUNTIFS('전기원장'!$A$5:$A$1004,A769,'전기원장'!$J$5:$J$1004,"확인 필요")+COUNTIFS('당기원장'!$A$5:$A$1004,A769,'당기원장'!$J$5:$J$1004,"확인 필요"))</x:f>
      </x:c>
      <x:c r="K769" s="85" t="str">
        <x:f>IF(A769="","",IF(H769&lt;&gt;"원인분석 대상","",IF(J769&gt;0,"붙임 문서 확인 후 원인 확정 필요","결의서명 기반 원인분류 검토")))</x:f>
      </x:c>
    </x:row>
    <x:row r="770">
      <x:c r="A770" s="73" t="str">
        <x:f>IFERROR(INDEX('계산도우미'!$B$5:$B$2004,MATCH(ROWS($A$5:A770),'계산도우미'!$K$5:$K$2004,0)),"")</x:f>
      </x:c>
      <x:c r="B770" s="73" t="str">
        <x:f>IF(A770="","",IFERROR(INDEX('당기원장'!$B$5:$B$1004,MATCH(A770,'당기원장'!$A$5:$A$1004,0)),IFERROR(INDEX('전기원장'!$B$5:$B$1004,MATCH(A770,'전기원장'!$A$5:$A$1004,0)),"")))</x:f>
      </x:c>
      <x:c r="C770" s="75" t="str">
        <x:f>IF(A770="","",SUMIF('전기원장'!$A$5:$A$1004,A770,'전기원장'!$H$5:$H$1004))</x:f>
      </x:c>
      <x:c r="D770" s="75" t="str">
        <x:f>IF(A770="","",SUMIF('당기원장'!$A$5:$A$1004,A770,'당기원장'!$H$5:$H$1004))</x:f>
      </x:c>
      <x:c r="E770" s="75" t="str">
        <x:f>IF(A770="","",D770-C770)</x:f>
      </x:c>
      <x:c r="F770" s="88" t="str">
        <x:f>IF(A770="","",IF(C770=0,IF(D770=0,0,1),ABS(E770)/ABS(C770)))</x:f>
      </x:c>
      <x:c r="G770" s="73" t="str">
        <x:f>IF(A770="","",IF(AND(C770=0,D770&lt;&gt;0),"신규",IF(AND(C770&lt;&gt;0,D770=0),"소멸",IF(E770=0,"변동없음","금액변동"))))</x:f>
      </x:c>
      <x:c r="H770" s="73" t="str">
        <x:f>IF(A770="","",IF(AND(ABS(E770)&gt;='기준설정'!$B$6,OR(G770="신규",G770="소멸",F770&gt;='기준설정'!$B$5)),"원인분석 대상","일반"))</x:f>
      </x:c>
      <x:c r="I770" s="73" t="str">
        <x:f>IF(A770="","",IF(H770="원인분석 대상","세부원인분석 시트에서 거래별 원인을 검토","-"))</x:f>
      </x:c>
      <x:c r="J770" s="73" t="str">
        <x:f>IF(A770="","",COUNTIFS('전기원장'!$A$5:$A$1004,A770,'전기원장'!$J$5:$J$1004,"확인 필요")+COUNTIFS('당기원장'!$A$5:$A$1004,A770,'당기원장'!$J$5:$J$1004,"확인 필요"))</x:f>
      </x:c>
      <x:c r="K770" s="85" t="str">
        <x:f>IF(A770="","",IF(H770&lt;&gt;"원인분석 대상","",IF(J770&gt;0,"붙임 문서 확인 후 원인 확정 필요","결의서명 기반 원인분류 검토")))</x:f>
      </x:c>
    </x:row>
    <x:row r="771">
      <x:c r="A771" s="73" t="str">
        <x:f>IFERROR(INDEX('계산도우미'!$B$5:$B$2004,MATCH(ROWS($A$5:A771),'계산도우미'!$K$5:$K$2004,0)),"")</x:f>
      </x:c>
      <x:c r="B771" s="73" t="str">
        <x:f>IF(A771="","",IFERROR(INDEX('당기원장'!$B$5:$B$1004,MATCH(A771,'당기원장'!$A$5:$A$1004,0)),IFERROR(INDEX('전기원장'!$B$5:$B$1004,MATCH(A771,'전기원장'!$A$5:$A$1004,0)),"")))</x:f>
      </x:c>
      <x:c r="C771" s="75" t="str">
        <x:f>IF(A771="","",SUMIF('전기원장'!$A$5:$A$1004,A771,'전기원장'!$H$5:$H$1004))</x:f>
      </x:c>
      <x:c r="D771" s="75" t="str">
        <x:f>IF(A771="","",SUMIF('당기원장'!$A$5:$A$1004,A771,'당기원장'!$H$5:$H$1004))</x:f>
      </x:c>
      <x:c r="E771" s="75" t="str">
        <x:f>IF(A771="","",D771-C771)</x:f>
      </x:c>
      <x:c r="F771" s="88" t="str">
        <x:f>IF(A771="","",IF(C771=0,IF(D771=0,0,1),ABS(E771)/ABS(C771)))</x:f>
      </x:c>
      <x:c r="G771" s="73" t="str">
        <x:f>IF(A771="","",IF(AND(C771=0,D771&lt;&gt;0),"신규",IF(AND(C771&lt;&gt;0,D771=0),"소멸",IF(E771=0,"변동없음","금액변동"))))</x:f>
      </x:c>
      <x:c r="H771" s="73" t="str">
        <x:f>IF(A771="","",IF(AND(ABS(E771)&gt;='기준설정'!$B$6,OR(G771="신규",G771="소멸",F771&gt;='기준설정'!$B$5)),"원인분석 대상","일반"))</x:f>
      </x:c>
      <x:c r="I771" s="73" t="str">
        <x:f>IF(A771="","",IF(H771="원인분석 대상","세부원인분석 시트에서 거래별 원인을 검토","-"))</x:f>
      </x:c>
      <x:c r="J771" s="73" t="str">
        <x:f>IF(A771="","",COUNTIFS('전기원장'!$A$5:$A$1004,A771,'전기원장'!$J$5:$J$1004,"확인 필요")+COUNTIFS('당기원장'!$A$5:$A$1004,A771,'당기원장'!$J$5:$J$1004,"확인 필요"))</x:f>
      </x:c>
      <x:c r="K771" s="85" t="str">
        <x:f>IF(A771="","",IF(H771&lt;&gt;"원인분석 대상","",IF(J771&gt;0,"붙임 문서 확인 후 원인 확정 필요","결의서명 기반 원인분류 검토")))</x:f>
      </x:c>
    </x:row>
    <x:row r="772">
      <x:c r="A772" s="73" t="str">
        <x:f>IFERROR(INDEX('계산도우미'!$B$5:$B$2004,MATCH(ROWS($A$5:A772),'계산도우미'!$K$5:$K$2004,0)),"")</x:f>
      </x:c>
      <x:c r="B772" s="73" t="str">
        <x:f>IF(A772="","",IFERROR(INDEX('당기원장'!$B$5:$B$1004,MATCH(A772,'당기원장'!$A$5:$A$1004,0)),IFERROR(INDEX('전기원장'!$B$5:$B$1004,MATCH(A772,'전기원장'!$A$5:$A$1004,0)),"")))</x:f>
      </x:c>
      <x:c r="C772" s="75" t="str">
        <x:f>IF(A772="","",SUMIF('전기원장'!$A$5:$A$1004,A772,'전기원장'!$H$5:$H$1004))</x:f>
      </x:c>
      <x:c r="D772" s="75" t="str">
        <x:f>IF(A772="","",SUMIF('당기원장'!$A$5:$A$1004,A772,'당기원장'!$H$5:$H$1004))</x:f>
      </x:c>
      <x:c r="E772" s="75" t="str">
        <x:f>IF(A772="","",D772-C772)</x:f>
      </x:c>
      <x:c r="F772" s="88" t="str">
        <x:f>IF(A772="","",IF(C772=0,IF(D772=0,0,1),ABS(E772)/ABS(C772)))</x:f>
      </x:c>
      <x:c r="G772" s="73" t="str">
        <x:f>IF(A772="","",IF(AND(C772=0,D772&lt;&gt;0),"신규",IF(AND(C772&lt;&gt;0,D772=0),"소멸",IF(E772=0,"변동없음","금액변동"))))</x:f>
      </x:c>
      <x:c r="H772" s="73" t="str">
        <x:f>IF(A772="","",IF(AND(ABS(E772)&gt;='기준설정'!$B$6,OR(G772="신규",G772="소멸",F772&gt;='기준설정'!$B$5)),"원인분석 대상","일반"))</x:f>
      </x:c>
      <x:c r="I772" s="73" t="str">
        <x:f>IF(A772="","",IF(H772="원인분석 대상","세부원인분석 시트에서 거래별 원인을 검토","-"))</x:f>
      </x:c>
      <x:c r="J772" s="73" t="str">
        <x:f>IF(A772="","",COUNTIFS('전기원장'!$A$5:$A$1004,A772,'전기원장'!$J$5:$J$1004,"확인 필요")+COUNTIFS('당기원장'!$A$5:$A$1004,A772,'당기원장'!$J$5:$J$1004,"확인 필요"))</x:f>
      </x:c>
      <x:c r="K772" s="85" t="str">
        <x:f>IF(A772="","",IF(H772&lt;&gt;"원인분석 대상","",IF(J772&gt;0,"붙임 문서 확인 후 원인 확정 필요","결의서명 기반 원인분류 검토")))</x:f>
      </x:c>
    </x:row>
    <x:row r="773">
      <x:c r="A773" s="73" t="str">
        <x:f>IFERROR(INDEX('계산도우미'!$B$5:$B$2004,MATCH(ROWS($A$5:A773),'계산도우미'!$K$5:$K$2004,0)),"")</x:f>
      </x:c>
      <x:c r="B773" s="73" t="str">
        <x:f>IF(A773="","",IFERROR(INDEX('당기원장'!$B$5:$B$1004,MATCH(A773,'당기원장'!$A$5:$A$1004,0)),IFERROR(INDEX('전기원장'!$B$5:$B$1004,MATCH(A773,'전기원장'!$A$5:$A$1004,0)),"")))</x:f>
      </x:c>
      <x:c r="C773" s="75" t="str">
        <x:f>IF(A773="","",SUMIF('전기원장'!$A$5:$A$1004,A773,'전기원장'!$H$5:$H$1004))</x:f>
      </x:c>
      <x:c r="D773" s="75" t="str">
        <x:f>IF(A773="","",SUMIF('당기원장'!$A$5:$A$1004,A773,'당기원장'!$H$5:$H$1004))</x:f>
      </x:c>
      <x:c r="E773" s="75" t="str">
        <x:f>IF(A773="","",D773-C773)</x:f>
      </x:c>
      <x:c r="F773" s="88" t="str">
        <x:f>IF(A773="","",IF(C773=0,IF(D773=0,0,1),ABS(E773)/ABS(C773)))</x:f>
      </x:c>
      <x:c r="G773" s="73" t="str">
        <x:f>IF(A773="","",IF(AND(C773=0,D773&lt;&gt;0),"신규",IF(AND(C773&lt;&gt;0,D773=0),"소멸",IF(E773=0,"변동없음","금액변동"))))</x:f>
      </x:c>
      <x:c r="H773" s="73" t="str">
        <x:f>IF(A773="","",IF(AND(ABS(E773)&gt;='기준설정'!$B$6,OR(G773="신규",G773="소멸",F773&gt;='기준설정'!$B$5)),"원인분석 대상","일반"))</x:f>
      </x:c>
      <x:c r="I773" s="73" t="str">
        <x:f>IF(A773="","",IF(H773="원인분석 대상","세부원인분석 시트에서 거래별 원인을 검토","-"))</x:f>
      </x:c>
      <x:c r="J773" s="73" t="str">
        <x:f>IF(A773="","",COUNTIFS('전기원장'!$A$5:$A$1004,A773,'전기원장'!$J$5:$J$1004,"확인 필요")+COUNTIFS('당기원장'!$A$5:$A$1004,A773,'당기원장'!$J$5:$J$1004,"확인 필요"))</x:f>
      </x:c>
      <x:c r="K773" s="85" t="str">
        <x:f>IF(A773="","",IF(H773&lt;&gt;"원인분석 대상","",IF(J773&gt;0,"붙임 문서 확인 후 원인 확정 필요","결의서명 기반 원인분류 검토")))</x:f>
      </x:c>
    </x:row>
    <x:row r="774">
      <x:c r="A774" s="73" t="str">
        <x:f>IFERROR(INDEX('계산도우미'!$B$5:$B$2004,MATCH(ROWS($A$5:A774),'계산도우미'!$K$5:$K$2004,0)),"")</x:f>
      </x:c>
      <x:c r="B774" s="73" t="str">
        <x:f>IF(A774="","",IFERROR(INDEX('당기원장'!$B$5:$B$1004,MATCH(A774,'당기원장'!$A$5:$A$1004,0)),IFERROR(INDEX('전기원장'!$B$5:$B$1004,MATCH(A774,'전기원장'!$A$5:$A$1004,0)),"")))</x:f>
      </x:c>
      <x:c r="C774" s="75" t="str">
        <x:f>IF(A774="","",SUMIF('전기원장'!$A$5:$A$1004,A774,'전기원장'!$H$5:$H$1004))</x:f>
      </x:c>
      <x:c r="D774" s="75" t="str">
        <x:f>IF(A774="","",SUMIF('당기원장'!$A$5:$A$1004,A774,'당기원장'!$H$5:$H$1004))</x:f>
      </x:c>
      <x:c r="E774" s="75" t="str">
        <x:f>IF(A774="","",D774-C774)</x:f>
      </x:c>
      <x:c r="F774" s="88" t="str">
        <x:f>IF(A774="","",IF(C774=0,IF(D774=0,0,1),ABS(E774)/ABS(C774)))</x:f>
      </x:c>
      <x:c r="G774" s="73" t="str">
        <x:f>IF(A774="","",IF(AND(C774=0,D774&lt;&gt;0),"신규",IF(AND(C774&lt;&gt;0,D774=0),"소멸",IF(E774=0,"변동없음","금액변동"))))</x:f>
      </x:c>
      <x:c r="H774" s="73" t="str">
        <x:f>IF(A774="","",IF(AND(ABS(E774)&gt;='기준설정'!$B$6,OR(G774="신규",G774="소멸",F774&gt;='기준설정'!$B$5)),"원인분석 대상","일반"))</x:f>
      </x:c>
      <x:c r="I774" s="73" t="str">
        <x:f>IF(A774="","",IF(H774="원인분석 대상","세부원인분석 시트에서 거래별 원인을 검토","-"))</x:f>
      </x:c>
      <x:c r="J774" s="73" t="str">
        <x:f>IF(A774="","",COUNTIFS('전기원장'!$A$5:$A$1004,A774,'전기원장'!$J$5:$J$1004,"확인 필요")+COUNTIFS('당기원장'!$A$5:$A$1004,A774,'당기원장'!$J$5:$J$1004,"확인 필요"))</x:f>
      </x:c>
      <x:c r="K774" s="85" t="str">
        <x:f>IF(A774="","",IF(H774&lt;&gt;"원인분석 대상","",IF(J774&gt;0,"붙임 문서 확인 후 원인 확정 필요","결의서명 기반 원인분류 검토")))</x:f>
      </x:c>
    </x:row>
    <x:row r="775">
      <x:c r="A775" s="73" t="str">
        <x:f>IFERROR(INDEX('계산도우미'!$B$5:$B$2004,MATCH(ROWS($A$5:A775),'계산도우미'!$K$5:$K$2004,0)),"")</x:f>
      </x:c>
      <x:c r="B775" s="73" t="str">
        <x:f>IF(A775="","",IFERROR(INDEX('당기원장'!$B$5:$B$1004,MATCH(A775,'당기원장'!$A$5:$A$1004,0)),IFERROR(INDEX('전기원장'!$B$5:$B$1004,MATCH(A775,'전기원장'!$A$5:$A$1004,0)),"")))</x:f>
      </x:c>
      <x:c r="C775" s="75" t="str">
        <x:f>IF(A775="","",SUMIF('전기원장'!$A$5:$A$1004,A775,'전기원장'!$H$5:$H$1004))</x:f>
      </x:c>
      <x:c r="D775" s="75" t="str">
        <x:f>IF(A775="","",SUMIF('당기원장'!$A$5:$A$1004,A775,'당기원장'!$H$5:$H$1004))</x:f>
      </x:c>
      <x:c r="E775" s="75" t="str">
        <x:f>IF(A775="","",D775-C775)</x:f>
      </x:c>
      <x:c r="F775" s="88" t="str">
        <x:f>IF(A775="","",IF(C775=0,IF(D775=0,0,1),ABS(E775)/ABS(C775)))</x:f>
      </x:c>
      <x:c r="G775" s="73" t="str">
        <x:f>IF(A775="","",IF(AND(C775=0,D775&lt;&gt;0),"신규",IF(AND(C775&lt;&gt;0,D775=0),"소멸",IF(E775=0,"변동없음","금액변동"))))</x:f>
      </x:c>
      <x:c r="H775" s="73" t="str">
        <x:f>IF(A775="","",IF(AND(ABS(E775)&gt;='기준설정'!$B$6,OR(G775="신규",G775="소멸",F775&gt;='기준설정'!$B$5)),"원인분석 대상","일반"))</x:f>
      </x:c>
      <x:c r="I775" s="73" t="str">
        <x:f>IF(A775="","",IF(H775="원인분석 대상","세부원인분석 시트에서 거래별 원인을 검토","-"))</x:f>
      </x:c>
      <x:c r="J775" s="73" t="str">
        <x:f>IF(A775="","",COUNTIFS('전기원장'!$A$5:$A$1004,A775,'전기원장'!$J$5:$J$1004,"확인 필요")+COUNTIFS('당기원장'!$A$5:$A$1004,A775,'당기원장'!$J$5:$J$1004,"확인 필요"))</x:f>
      </x:c>
      <x:c r="K775" s="85" t="str">
        <x:f>IF(A775="","",IF(H775&lt;&gt;"원인분석 대상","",IF(J775&gt;0,"붙임 문서 확인 후 원인 확정 필요","결의서명 기반 원인분류 검토")))</x:f>
      </x:c>
    </x:row>
    <x:row r="776">
      <x:c r="A776" s="73" t="str">
        <x:f>IFERROR(INDEX('계산도우미'!$B$5:$B$2004,MATCH(ROWS($A$5:A776),'계산도우미'!$K$5:$K$2004,0)),"")</x:f>
      </x:c>
      <x:c r="B776" s="73" t="str">
        <x:f>IF(A776="","",IFERROR(INDEX('당기원장'!$B$5:$B$1004,MATCH(A776,'당기원장'!$A$5:$A$1004,0)),IFERROR(INDEX('전기원장'!$B$5:$B$1004,MATCH(A776,'전기원장'!$A$5:$A$1004,0)),"")))</x:f>
      </x:c>
      <x:c r="C776" s="75" t="str">
        <x:f>IF(A776="","",SUMIF('전기원장'!$A$5:$A$1004,A776,'전기원장'!$H$5:$H$1004))</x:f>
      </x:c>
      <x:c r="D776" s="75" t="str">
        <x:f>IF(A776="","",SUMIF('당기원장'!$A$5:$A$1004,A776,'당기원장'!$H$5:$H$1004))</x:f>
      </x:c>
      <x:c r="E776" s="75" t="str">
        <x:f>IF(A776="","",D776-C776)</x:f>
      </x:c>
      <x:c r="F776" s="88" t="str">
        <x:f>IF(A776="","",IF(C776=0,IF(D776=0,0,1),ABS(E776)/ABS(C776)))</x:f>
      </x:c>
      <x:c r="G776" s="73" t="str">
        <x:f>IF(A776="","",IF(AND(C776=0,D776&lt;&gt;0),"신규",IF(AND(C776&lt;&gt;0,D776=0),"소멸",IF(E776=0,"변동없음","금액변동"))))</x:f>
      </x:c>
      <x:c r="H776" s="73" t="str">
        <x:f>IF(A776="","",IF(AND(ABS(E776)&gt;='기준설정'!$B$6,OR(G776="신규",G776="소멸",F776&gt;='기준설정'!$B$5)),"원인분석 대상","일반"))</x:f>
      </x:c>
      <x:c r="I776" s="73" t="str">
        <x:f>IF(A776="","",IF(H776="원인분석 대상","세부원인분석 시트에서 거래별 원인을 검토","-"))</x:f>
      </x:c>
      <x:c r="J776" s="73" t="str">
        <x:f>IF(A776="","",COUNTIFS('전기원장'!$A$5:$A$1004,A776,'전기원장'!$J$5:$J$1004,"확인 필요")+COUNTIFS('당기원장'!$A$5:$A$1004,A776,'당기원장'!$J$5:$J$1004,"확인 필요"))</x:f>
      </x:c>
      <x:c r="K776" s="85" t="str">
        <x:f>IF(A776="","",IF(H776&lt;&gt;"원인분석 대상","",IF(J776&gt;0,"붙임 문서 확인 후 원인 확정 필요","결의서명 기반 원인분류 검토")))</x:f>
      </x:c>
    </x:row>
    <x:row r="777">
      <x:c r="A777" s="73" t="str">
        <x:f>IFERROR(INDEX('계산도우미'!$B$5:$B$2004,MATCH(ROWS($A$5:A777),'계산도우미'!$K$5:$K$2004,0)),"")</x:f>
      </x:c>
      <x:c r="B777" s="73" t="str">
        <x:f>IF(A777="","",IFERROR(INDEX('당기원장'!$B$5:$B$1004,MATCH(A777,'당기원장'!$A$5:$A$1004,0)),IFERROR(INDEX('전기원장'!$B$5:$B$1004,MATCH(A777,'전기원장'!$A$5:$A$1004,0)),"")))</x:f>
      </x:c>
      <x:c r="C777" s="75" t="str">
        <x:f>IF(A777="","",SUMIF('전기원장'!$A$5:$A$1004,A777,'전기원장'!$H$5:$H$1004))</x:f>
      </x:c>
      <x:c r="D777" s="75" t="str">
        <x:f>IF(A777="","",SUMIF('당기원장'!$A$5:$A$1004,A777,'당기원장'!$H$5:$H$1004))</x:f>
      </x:c>
      <x:c r="E777" s="75" t="str">
        <x:f>IF(A777="","",D777-C777)</x:f>
      </x:c>
      <x:c r="F777" s="88" t="str">
        <x:f>IF(A777="","",IF(C777=0,IF(D777=0,0,1),ABS(E777)/ABS(C777)))</x:f>
      </x:c>
      <x:c r="G777" s="73" t="str">
        <x:f>IF(A777="","",IF(AND(C777=0,D777&lt;&gt;0),"신규",IF(AND(C777&lt;&gt;0,D777=0),"소멸",IF(E777=0,"변동없음","금액변동"))))</x:f>
      </x:c>
      <x:c r="H777" s="73" t="str">
        <x:f>IF(A777="","",IF(AND(ABS(E777)&gt;='기준설정'!$B$6,OR(G777="신규",G777="소멸",F777&gt;='기준설정'!$B$5)),"원인분석 대상","일반"))</x:f>
      </x:c>
      <x:c r="I777" s="73" t="str">
        <x:f>IF(A777="","",IF(H777="원인분석 대상","세부원인분석 시트에서 거래별 원인을 검토","-"))</x:f>
      </x:c>
      <x:c r="J777" s="73" t="str">
        <x:f>IF(A777="","",COUNTIFS('전기원장'!$A$5:$A$1004,A777,'전기원장'!$J$5:$J$1004,"확인 필요")+COUNTIFS('당기원장'!$A$5:$A$1004,A777,'당기원장'!$J$5:$J$1004,"확인 필요"))</x:f>
      </x:c>
      <x:c r="K777" s="85" t="str">
        <x:f>IF(A777="","",IF(H777&lt;&gt;"원인분석 대상","",IF(J777&gt;0,"붙임 문서 확인 후 원인 확정 필요","결의서명 기반 원인분류 검토")))</x:f>
      </x:c>
    </x:row>
    <x:row r="778">
      <x:c r="A778" s="73" t="str">
        <x:f>IFERROR(INDEX('계산도우미'!$B$5:$B$2004,MATCH(ROWS($A$5:A778),'계산도우미'!$K$5:$K$2004,0)),"")</x:f>
      </x:c>
      <x:c r="B778" s="73" t="str">
        <x:f>IF(A778="","",IFERROR(INDEX('당기원장'!$B$5:$B$1004,MATCH(A778,'당기원장'!$A$5:$A$1004,0)),IFERROR(INDEX('전기원장'!$B$5:$B$1004,MATCH(A778,'전기원장'!$A$5:$A$1004,0)),"")))</x:f>
      </x:c>
      <x:c r="C778" s="75" t="str">
        <x:f>IF(A778="","",SUMIF('전기원장'!$A$5:$A$1004,A778,'전기원장'!$H$5:$H$1004))</x:f>
      </x:c>
      <x:c r="D778" s="75" t="str">
        <x:f>IF(A778="","",SUMIF('당기원장'!$A$5:$A$1004,A778,'당기원장'!$H$5:$H$1004))</x:f>
      </x:c>
      <x:c r="E778" s="75" t="str">
        <x:f>IF(A778="","",D778-C778)</x:f>
      </x:c>
      <x:c r="F778" s="88" t="str">
        <x:f>IF(A778="","",IF(C778=0,IF(D778=0,0,1),ABS(E778)/ABS(C778)))</x:f>
      </x:c>
      <x:c r="G778" s="73" t="str">
        <x:f>IF(A778="","",IF(AND(C778=0,D778&lt;&gt;0),"신규",IF(AND(C778&lt;&gt;0,D778=0),"소멸",IF(E778=0,"변동없음","금액변동"))))</x:f>
      </x:c>
      <x:c r="H778" s="73" t="str">
        <x:f>IF(A778="","",IF(AND(ABS(E778)&gt;='기준설정'!$B$6,OR(G778="신규",G778="소멸",F778&gt;='기준설정'!$B$5)),"원인분석 대상","일반"))</x:f>
      </x:c>
      <x:c r="I778" s="73" t="str">
        <x:f>IF(A778="","",IF(H778="원인분석 대상","세부원인분석 시트에서 거래별 원인을 검토","-"))</x:f>
      </x:c>
      <x:c r="J778" s="73" t="str">
        <x:f>IF(A778="","",COUNTIFS('전기원장'!$A$5:$A$1004,A778,'전기원장'!$J$5:$J$1004,"확인 필요")+COUNTIFS('당기원장'!$A$5:$A$1004,A778,'당기원장'!$J$5:$J$1004,"확인 필요"))</x:f>
      </x:c>
      <x:c r="K778" s="85" t="str">
        <x:f>IF(A778="","",IF(H778&lt;&gt;"원인분석 대상","",IF(J778&gt;0,"붙임 문서 확인 후 원인 확정 필요","결의서명 기반 원인분류 검토")))</x:f>
      </x:c>
    </x:row>
    <x:row r="779">
      <x:c r="A779" s="73" t="str">
        <x:f>IFERROR(INDEX('계산도우미'!$B$5:$B$2004,MATCH(ROWS($A$5:A779),'계산도우미'!$K$5:$K$2004,0)),"")</x:f>
      </x:c>
      <x:c r="B779" s="73" t="str">
        <x:f>IF(A779="","",IFERROR(INDEX('당기원장'!$B$5:$B$1004,MATCH(A779,'당기원장'!$A$5:$A$1004,0)),IFERROR(INDEX('전기원장'!$B$5:$B$1004,MATCH(A779,'전기원장'!$A$5:$A$1004,0)),"")))</x:f>
      </x:c>
      <x:c r="C779" s="75" t="str">
        <x:f>IF(A779="","",SUMIF('전기원장'!$A$5:$A$1004,A779,'전기원장'!$H$5:$H$1004))</x:f>
      </x:c>
      <x:c r="D779" s="75" t="str">
        <x:f>IF(A779="","",SUMIF('당기원장'!$A$5:$A$1004,A779,'당기원장'!$H$5:$H$1004))</x:f>
      </x:c>
      <x:c r="E779" s="75" t="str">
        <x:f>IF(A779="","",D779-C779)</x:f>
      </x:c>
      <x:c r="F779" s="88" t="str">
        <x:f>IF(A779="","",IF(C779=0,IF(D779=0,0,1),ABS(E779)/ABS(C779)))</x:f>
      </x:c>
      <x:c r="G779" s="73" t="str">
        <x:f>IF(A779="","",IF(AND(C779=0,D779&lt;&gt;0),"신규",IF(AND(C779&lt;&gt;0,D779=0),"소멸",IF(E779=0,"변동없음","금액변동"))))</x:f>
      </x:c>
      <x:c r="H779" s="73" t="str">
        <x:f>IF(A779="","",IF(AND(ABS(E779)&gt;='기준설정'!$B$6,OR(G779="신규",G779="소멸",F779&gt;='기준설정'!$B$5)),"원인분석 대상","일반"))</x:f>
      </x:c>
      <x:c r="I779" s="73" t="str">
        <x:f>IF(A779="","",IF(H779="원인분석 대상","세부원인분석 시트에서 거래별 원인을 검토","-"))</x:f>
      </x:c>
      <x:c r="J779" s="73" t="str">
        <x:f>IF(A779="","",COUNTIFS('전기원장'!$A$5:$A$1004,A779,'전기원장'!$J$5:$J$1004,"확인 필요")+COUNTIFS('당기원장'!$A$5:$A$1004,A779,'당기원장'!$J$5:$J$1004,"확인 필요"))</x:f>
      </x:c>
      <x:c r="K779" s="85" t="str">
        <x:f>IF(A779="","",IF(H779&lt;&gt;"원인분석 대상","",IF(J779&gt;0,"붙임 문서 확인 후 원인 확정 필요","결의서명 기반 원인분류 검토")))</x:f>
      </x:c>
    </x:row>
    <x:row r="780">
      <x:c r="A780" s="73" t="str">
        <x:f>IFERROR(INDEX('계산도우미'!$B$5:$B$2004,MATCH(ROWS($A$5:A780),'계산도우미'!$K$5:$K$2004,0)),"")</x:f>
      </x:c>
      <x:c r="B780" s="73" t="str">
        <x:f>IF(A780="","",IFERROR(INDEX('당기원장'!$B$5:$B$1004,MATCH(A780,'당기원장'!$A$5:$A$1004,0)),IFERROR(INDEX('전기원장'!$B$5:$B$1004,MATCH(A780,'전기원장'!$A$5:$A$1004,0)),"")))</x:f>
      </x:c>
      <x:c r="C780" s="75" t="str">
        <x:f>IF(A780="","",SUMIF('전기원장'!$A$5:$A$1004,A780,'전기원장'!$H$5:$H$1004))</x:f>
      </x:c>
      <x:c r="D780" s="75" t="str">
        <x:f>IF(A780="","",SUMIF('당기원장'!$A$5:$A$1004,A780,'당기원장'!$H$5:$H$1004))</x:f>
      </x:c>
      <x:c r="E780" s="75" t="str">
        <x:f>IF(A780="","",D780-C780)</x:f>
      </x:c>
      <x:c r="F780" s="88" t="str">
        <x:f>IF(A780="","",IF(C780=0,IF(D780=0,0,1),ABS(E780)/ABS(C780)))</x:f>
      </x:c>
      <x:c r="G780" s="73" t="str">
        <x:f>IF(A780="","",IF(AND(C780=0,D780&lt;&gt;0),"신규",IF(AND(C780&lt;&gt;0,D780=0),"소멸",IF(E780=0,"변동없음","금액변동"))))</x:f>
      </x:c>
      <x:c r="H780" s="73" t="str">
        <x:f>IF(A780="","",IF(AND(ABS(E780)&gt;='기준설정'!$B$6,OR(G780="신규",G780="소멸",F780&gt;='기준설정'!$B$5)),"원인분석 대상","일반"))</x:f>
      </x:c>
      <x:c r="I780" s="73" t="str">
        <x:f>IF(A780="","",IF(H780="원인분석 대상","세부원인분석 시트에서 거래별 원인을 검토","-"))</x:f>
      </x:c>
      <x:c r="J780" s="73" t="str">
        <x:f>IF(A780="","",COUNTIFS('전기원장'!$A$5:$A$1004,A780,'전기원장'!$J$5:$J$1004,"확인 필요")+COUNTIFS('당기원장'!$A$5:$A$1004,A780,'당기원장'!$J$5:$J$1004,"확인 필요"))</x:f>
      </x:c>
      <x:c r="K780" s="85" t="str">
        <x:f>IF(A780="","",IF(H780&lt;&gt;"원인분석 대상","",IF(J780&gt;0,"붙임 문서 확인 후 원인 확정 필요","결의서명 기반 원인분류 검토")))</x:f>
      </x:c>
    </x:row>
    <x:row r="781">
      <x:c r="A781" s="73" t="str">
        <x:f>IFERROR(INDEX('계산도우미'!$B$5:$B$2004,MATCH(ROWS($A$5:A781),'계산도우미'!$K$5:$K$2004,0)),"")</x:f>
      </x:c>
      <x:c r="B781" s="73" t="str">
        <x:f>IF(A781="","",IFERROR(INDEX('당기원장'!$B$5:$B$1004,MATCH(A781,'당기원장'!$A$5:$A$1004,0)),IFERROR(INDEX('전기원장'!$B$5:$B$1004,MATCH(A781,'전기원장'!$A$5:$A$1004,0)),"")))</x:f>
      </x:c>
      <x:c r="C781" s="75" t="str">
        <x:f>IF(A781="","",SUMIF('전기원장'!$A$5:$A$1004,A781,'전기원장'!$H$5:$H$1004))</x:f>
      </x:c>
      <x:c r="D781" s="75" t="str">
        <x:f>IF(A781="","",SUMIF('당기원장'!$A$5:$A$1004,A781,'당기원장'!$H$5:$H$1004))</x:f>
      </x:c>
      <x:c r="E781" s="75" t="str">
        <x:f>IF(A781="","",D781-C781)</x:f>
      </x:c>
      <x:c r="F781" s="88" t="str">
        <x:f>IF(A781="","",IF(C781=0,IF(D781=0,0,1),ABS(E781)/ABS(C781)))</x:f>
      </x:c>
      <x:c r="G781" s="73" t="str">
        <x:f>IF(A781="","",IF(AND(C781=0,D781&lt;&gt;0),"신규",IF(AND(C781&lt;&gt;0,D781=0),"소멸",IF(E781=0,"변동없음","금액변동"))))</x:f>
      </x:c>
      <x:c r="H781" s="73" t="str">
        <x:f>IF(A781="","",IF(AND(ABS(E781)&gt;='기준설정'!$B$6,OR(G781="신규",G781="소멸",F781&gt;='기준설정'!$B$5)),"원인분석 대상","일반"))</x:f>
      </x:c>
      <x:c r="I781" s="73" t="str">
        <x:f>IF(A781="","",IF(H781="원인분석 대상","세부원인분석 시트에서 거래별 원인을 검토","-"))</x:f>
      </x:c>
      <x:c r="J781" s="73" t="str">
        <x:f>IF(A781="","",COUNTIFS('전기원장'!$A$5:$A$1004,A781,'전기원장'!$J$5:$J$1004,"확인 필요")+COUNTIFS('당기원장'!$A$5:$A$1004,A781,'당기원장'!$J$5:$J$1004,"확인 필요"))</x:f>
      </x:c>
      <x:c r="K781" s="85" t="str">
        <x:f>IF(A781="","",IF(H781&lt;&gt;"원인분석 대상","",IF(J781&gt;0,"붙임 문서 확인 후 원인 확정 필요","결의서명 기반 원인분류 검토")))</x:f>
      </x:c>
    </x:row>
    <x:row r="782">
      <x:c r="A782" s="73" t="str">
        <x:f>IFERROR(INDEX('계산도우미'!$B$5:$B$2004,MATCH(ROWS($A$5:A782),'계산도우미'!$K$5:$K$2004,0)),"")</x:f>
      </x:c>
      <x:c r="B782" s="73" t="str">
        <x:f>IF(A782="","",IFERROR(INDEX('당기원장'!$B$5:$B$1004,MATCH(A782,'당기원장'!$A$5:$A$1004,0)),IFERROR(INDEX('전기원장'!$B$5:$B$1004,MATCH(A782,'전기원장'!$A$5:$A$1004,0)),"")))</x:f>
      </x:c>
      <x:c r="C782" s="75" t="str">
        <x:f>IF(A782="","",SUMIF('전기원장'!$A$5:$A$1004,A782,'전기원장'!$H$5:$H$1004))</x:f>
      </x:c>
      <x:c r="D782" s="75" t="str">
        <x:f>IF(A782="","",SUMIF('당기원장'!$A$5:$A$1004,A782,'당기원장'!$H$5:$H$1004))</x:f>
      </x:c>
      <x:c r="E782" s="75" t="str">
        <x:f>IF(A782="","",D782-C782)</x:f>
      </x:c>
      <x:c r="F782" s="88" t="str">
        <x:f>IF(A782="","",IF(C782=0,IF(D782=0,0,1),ABS(E782)/ABS(C782)))</x:f>
      </x:c>
      <x:c r="G782" s="73" t="str">
        <x:f>IF(A782="","",IF(AND(C782=0,D782&lt;&gt;0),"신규",IF(AND(C782&lt;&gt;0,D782=0),"소멸",IF(E782=0,"변동없음","금액변동"))))</x:f>
      </x:c>
      <x:c r="H782" s="73" t="str">
        <x:f>IF(A782="","",IF(AND(ABS(E782)&gt;='기준설정'!$B$6,OR(G782="신규",G782="소멸",F782&gt;='기준설정'!$B$5)),"원인분석 대상","일반"))</x:f>
      </x:c>
      <x:c r="I782" s="73" t="str">
        <x:f>IF(A782="","",IF(H782="원인분석 대상","세부원인분석 시트에서 거래별 원인을 검토","-"))</x:f>
      </x:c>
      <x:c r="J782" s="73" t="str">
        <x:f>IF(A782="","",COUNTIFS('전기원장'!$A$5:$A$1004,A782,'전기원장'!$J$5:$J$1004,"확인 필요")+COUNTIFS('당기원장'!$A$5:$A$1004,A782,'당기원장'!$J$5:$J$1004,"확인 필요"))</x:f>
      </x:c>
      <x:c r="K782" s="85" t="str">
        <x:f>IF(A782="","",IF(H782&lt;&gt;"원인분석 대상","",IF(J782&gt;0,"붙임 문서 확인 후 원인 확정 필요","결의서명 기반 원인분류 검토")))</x:f>
      </x:c>
    </x:row>
    <x:row r="783">
      <x:c r="A783" s="73" t="str">
        <x:f>IFERROR(INDEX('계산도우미'!$B$5:$B$2004,MATCH(ROWS($A$5:A783),'계산도우미'!$K$5:$K$2004,0)),"")</x:f>
      </x:c>
      <x:c r="B783" s="73" t="str">
        <x:f>IF(A783="","",IFERROR(INDEX('당기원장'!$B$5:$B$1004,MATCH(A783,'당기원장'!$A$5:$A$1004,0)),IFERROR(INDEX('전기원장'!$B$5:$B$1004,MATCH(A783,'전기원장'!$A$5:$A$1004,0)),"")))</x:f>
      </x:c>
      <x:c r="C783" s="75" t="str">
        <x:f>IF(A783="","",SUMIF('전기원장'!$A$5:$A$1004,A783,'전기원장'!$H$5:$H$1004))</x:f>
      </x:c>
      <x:c r="D783" s="75" t="str">
        <x:f>IF(A783="","",SUMIF('당기원장'!$A$5:$A$1004,A783,'당기원장'!$H$5:$H$1004))</x:f>
      </x:c>
      <x:c r="E783" s="75" t="str">
        <x:f>IF(A783="","",D783-C783)</x:f>
      </x:c>
      <x:c r="F783" s="88" t="str">
        <x:f>IF(A783="","",IF(C783=0,IF(D783=0,0,1),ABS(E783)/ABS(C783)))</x:f>
      </x:c>
      <x:c r="G783" s="73" t="str">
        <x:f>IF(A783="","",IF(AND(C783=0,D783&lt;&gt;0),"신규",IF(AND(C783&lt;&gt;0,D783=0),"소멸",IF(E783=0,"변동없음","금액변동"))))</x:f>
      </x:c>
      <x:c r="H783" s="73" t="str">
        <x:f>IF(A783="","",IF(AND(ABS(E783)&gt;='기준설정'!$B$6,OR(G783="신규",G783="소멸",F783&gt;='기준설정'!$B$5)),"원인분석 대상","일반"))</x:f>
      </x:c>
      <x:c r="I783" s="73" t="str">
        <x:f>IF(A783="","",IF(H783="원인분석 대상","세부원인분석 시트에서 거래별 원인을 검토","-"))</x:f>
      </x:c>
      <x:c r="J783" s="73" t="str">
        <x:f>IF(A783="","",COUNTIFS('전기원장'!$A$5:$A$1004,A783,'전기원장'!$J$5:$J$1004,"확인 필요")+COUNTIFS('당기원장'!$A$5:$A$1004,A783,'당기원장'!$J$5:$J$1004,"확인 필요"))</x:f>
      </x:c>
      <x:c r="K783" s="85" t="str">
        <x:f>IF(A783="","",IF(H783&lt;&gt;"원인분석 대상","",IF(J783&gt;0,"붙임 문서 확인 후 원인 확정 필요","결의서명 기반 원인분류 검토")))</x:f>
      </x:c>
    </x:row>
    <x:row r="784">
      <x:c r="A784" s="73" t="str">
        <x:f>IFERROR(INDEX('계산도우미'!$B$5:$B$2004,MATCH(ROWS($A$5:A784),'계산도우미'!$K$5:$K$2004,0)),"")</x:f>
      </x:c>
      <x:c r="B784" s="73" t="str">
        <x:f>IF(A784="","",IFERROR(INDEX('당기원장'!$B$5:$B$1004,MATCH(A784,'당기원장'!$A$5:$A$1004,0)),IFERROR(INDEX('전기원장'!$B$5:$B$1004,MATCH(A784,'전기원장'!$A$5:$A$1004,0)),"")))</x:f>
      </x:c>
      <x:c r="C784" s="75" t="str">
        <x:f>IF(A784="","",SUMIF('전기원장'!$A$5:$A$1004,A784,'전기원장'!$H$5:$H$1004))</x:f>
      </x:c>
      <x:c r="D784" s="75" t="str">
        <x:f>IF(A784="","",SUMIF('당기원장'!$A$5:$A$1004,A784,'당기원장'!$H$5:$H$1004))</x:f>
      </x:c>
      <x:c r="E784" s="75" t="str">
        <x:f>IF(A784="","",D784-C784)</x:f>
      </x:c>
      <x:c r="F784" s="88" t="str">
        <x:f>IF(A784="","",IF(C784=0,IF(D784=0,0,1),ABS(E784)/ABS(C784)))</x:f>
      </x:c>
      <x:c r="G784" s="73" t="str">
        <x:f>IF(A784="","",IF(AND(C784=0,D784&lt;&gt;0),"신규",IF(AND(C784&lt;&gt;0,D784=0),"소멸",IF(E784=0,"변동없음","금액변동"))))</x:f>
      </x:c>
      <x:c r="H784" s="73" t="str">
        <x:f>IF(A784="","",IF(AND(ABS(E784)&gt;='기준설정'!$B$6,OR(G784="신규",G784="소멸",F784&gt;='기준설정'!$B$5)),"원인분석 대상","일반"))</x:f>
      </x:c>
      <x:c r="I784" s="73" t="str">
        <x:f>IF(A784="","",IF(H784="원인분석 대상","세부원인분석 시트에서 거래별 원인을 검토","-"))</x:f>
      </x:c>
      <x:c r="J784" s="73" t="str">
        <x:f>IF(A784="","",COUNTIFS('전기원장'!$A$5:$A$1004,A784,'전기원장'!$J$5:$J$1004,"확인 필요")+COUNTIFS('당기원장'!$A$5:$A$1004,A784,'당기원장'!$J$5:$J$1004,"확인 필요"))</x:f>
      </x:c>
      <x:c r="K784" s="85" t="str">
        <x:f>IF(A784="","",IF(H784&lt;&gt;"원인분석 대상","",IF(J784&gt;0,"붙임 문서 확인 후 원인 확정 필요","결의서명 기반 원인분류 검토")))</x:f>
      </x:c>
    </x:row>
    <x:row r="785">
      <x:c r="A785" s="73" t="str">
        <x:f>IFERROR(INDEX('계산도우미'!$B$5:$B$2004,MATCH(ROWS($A$5:A785),'계산도우미'!$K$5:$K$2004,0)),"")</x:f>
      </x:c>
      <x:c r="B785" s="73" t="str">
        <x:f>IF(A785="","",IFERROR(INDEX('당기원장'!$B$5:$B$1004,MATCH(A785,'당기원장'!$A$5:$A$1004,0)),IFERROR(INDEX('전기원장'!$B$5:$B$1004,MATCH(A785,'전기원장'!$A$5:$A$1004,0)),"")))</x:f>
      </x:c>
      <x:c r="C785" s="75" t="str">
        <x:f>IF(A785="","",SUMIF('전기원장'!$A$5:$A$1004,A785,'전기원장'!$H$5:$H$1004))</x:f>
      </x:c>
      <x:c r="D785" s="75" t="str">
        <x:f>IF(A785="","",SUMIF('당기원장'!$A$5:$A$1004,A785,'당기원장'!$H$5:$H$1004))</x:f>
      </x:c>
      <x:c r="E785" s="75" t="str">
        <x:f>IF(A785="","",D785-C785)</x:f>
      </x:c>
      <x:c r="F785" s="88" t="str">
        <x:f>IF(A785="","",IF(C785=0,IF(D785=0,0,1),ABS(E785)/ABS(C785)))</x:f>
      </x:c>
      <x:c r="G785" s="73" t="str">
        <x:f>IF(A785="","",IF(AND(C785=0,D785&lt;&gt;0),"신규",IF(AND(C785&lt;&gt;0,D785=0),"소멸",IF(E785=0,"변동없음","금액변동"))))</x:f>
      </x:c>
      <x:c r="H785" s="73" t="str">
        <x:f>IF(A785="","",IF(AND(ABS(E785)&gt;='기준설정'!$B$6,OR(G785="신규",G785="소멸",F785&gt;='기준설정'!$B$5)),"원인분석 대상","일반"))</x:f>
      </x:c>
      <x:c r="I785" s="73" t="str">
        <x:f>IF(A785="","",IF(H785="원인분석 대상","세부원인분석 시트에서 거래별 원인을 검토","-"))</x:f>
      </x:c>
      <x:c r="J785" s="73" t="str">
        <x:f>IF(A785="","",COUNTIFS('전기원장'!$A$5:$A$1004,A785,'전기원장'!$J$5:$J$1004,"확인 필요")+COUNTIFS('당기원장'!$A$5:$A$1004,A785,'당기원장'!$J$5:$J$1004,"확인 필요"))</x:f>
      </x:c>
      <x:c r="K785" s="85" t="str">
        <x:f>IF(A785="","",IF(H785&lt;&gt;"원인분석 대상","",IF(J785&gt;0,"붙임 문서 확인 후 원인 확정 필요","결의서명 기반 원인분류 검토")))</x:f>
      </x:c>
    </x:row>
    <x:row r="786">
      <x:c r="A786" s="73" t="str">
        <x:f>IFERROR(INDEX('계산도우미'!$B$5:$B$2004,MATCH(ROWS($A$5:A786),'계산도우미'!$K$5:$K$2004,0)),"")</x:f>
      </x:c>
      <x:c r="B786" s="73" t="str">
        <x:f>IF(A786="","",IFERROR(INDEX('당기원장'!$B$5:$B$1004,MATCH(A786,'당기원장'!$A$5:$A$1004,0)),IFERROR(INDEX('전기원장'!$B$5:$B$1004,MATCH(A786,'전기원장'!$A$5:$A$1004,0)),"")))</x:f>
      </x:c>
      <x:c r="C786" s="75" t="str">
        <x:f>IF(A786="","",SUMIF('전기원장'!$A$5:$A$1004,A786,'전기원장'!$H$5:$H$1004))</x:f>
      </x:c>
      <x:c r="D786" s="75" t="str">
        <x:f>IF(A786="","",SUMIF('당기원장'!$A$5:$A$1004,A786,'당기원장'!$H$5:$H$1004))</x:f>
      </x:c>
      <x:c r="E786" s="75" t="str">
        <x:f>IF(A786="","",D786-C786)</x:f>
      </x:c>
      <x:c r="F786" s="88" t="str">
        <x:f>IF(A786="","",IF(C786=0,IF(D786=0,0,1),ABS(E786)/ABS(C786)))</x:f>
      </x:c>
      <x:c r="G786" s="73" t="str">
        <x:f>IF(A786="","",IF(AND(C786=0,D786&lt;&gt;0),"신규",IF(AND(C786&lt;&gt;0,D786=0),"소멸",IF(E786=0,"변동없음","금액변동"))))</x:f>
      </x:c>
      <x:c r="H786" s="73" t="str">
        <x:f>IF(A786="","",IF(AND(ABS(E786)&gt;='기준설정'!$B$6,OR(G786="신규",G786="소멸",F786&gt;='기준설정'!$B$5)),"원인분석 대상","일반"))</x:f>
      </x:c>
      <x:c r="I786" s="73" t="str">
        <x:f>IF(A786="","",IF(H786="원인분석 대상","세부원인분석 시트에서 거래별 원인을 검토","-"))</x:f>
      </x:c>
      <x:c r="J786" s="73" t="str">
        <x:f>IF(A786="","",COUNTIFS('전기원장'!$A$5:$A$1004,A786,'전기원장'!$J$5:$J$1004,"확인 필요")+COUNTIFS('당기원장'!$A$5:$A$1004,A786,'당기원장'!$J$5:$J$1004,"확인 필요"))</x:f>
      </x:c>
      <x:c r="K786" s="85" t="str">
        <x:f>IF(A786="","",IF(H786&lt;&gt;"원인분석 대상","",IF(J786&gt;0,"붙임 문서 확인 후 원인 확정 필요","결의서명 기반 원인분류 검토")))</x:f>
      </x:c>
    </x:row>
    <x:row r="787">
      <x:c r="A787" s="73" t="str">
        <x:f>IFERROR(INDEX('계산도우미'!$B$5:$B$2004,MATCH(ROWS($A$5:A787),'계산도우미'!$K$5:$K$2004,0)),"")</x:f>
      </x:c>
      <x:c r="B787" s="73" t="str">
        <x:f>IF(A787="","",IFERROR(INDEX('당기원장'!$B$5:$B$1004,MATCH(A787,'당기원장'!$A$5:$A$1004,0)),IFERROR(INDEX('전기원장'!$B$5:$B$1004,MATCH(A787,'전기원장'!$A$5:$A$1004,0)),"")))</x:f>
      </x:c>
      <x:c r="C787" s="75" t="str">
        <x:f>IF(A787="","",SUMIF('전기원장'!$A$5:$A$1004,A787,'전기원장'!$H$5:$H$1004))</x:f>
      </x:c>
      <x:c r="D787" s="75" t="str">
        <x:f>IF(A787="","",SUMIF('당기원장'!$A$5:$A$1004,A787,'당기원장'!$H$5:$H$1004))</x:f>
      </x:c>
      <x:c r="E787" s="75" t="str">
        <x:f>IF(A787="","",D787-C787)</x:f>
      </x:c>
      <x:c r="F787" s="88" t="str">
        <x:f>IF(A787="","",IF(C787=0,IF(D787=0,0,1),ABS(E787)/ABS(C787)))</x:f>
      </x:c>
      <x:c r="G787" s="73" t="str">
        <x:f>IF(A787="","",IF(AND(C787=0,D787&lt;&gt;0),"신규",IF(AND(C787&lt;&gt;0,D787=0),"소멸",IF(E787=0,"변동없음","금액변동"))))</x:f>
      </x:c>
      <x:c r="H787" s="73" t="str">
        <x:f>IF(A787="","",IF(AND(ABS(E787)&gt;='기준설정'!$B$6,OR(G787="신규",G787="소멸",F787&gt;='기준설정'!$B$5)),"원인분석 대상","일반"))</x:f>
      </x:c>
      <x:c r="I787" s="73" t="str">
        <x:f>IF(A787="","",IF(H787="원인분석 대상","세부원인분석 시트에서 거래별 원인을 검토","-"))</x:f>
      </x:c>
      <x:c r="J787" s="73" t="str">
        <x:f>IF(A787="","",COUNTIFS('전기원장'!$A$5:$A$1004,A787,'전기원장'!$J$5:$J$1004,"확인 필요")+COUNTIFS('당기원장'!$A$5:$A$1004,A787,'당기원장'!$J$5:$J$1004,"확인 필요"))</x:f>
      </x:c>
      <x:c r="K787" s="85" t="str">
        <x:f>IF(A787="","",IF(H787&lt;&gt;"원인분석 대상","",IF(J787&gt;0,"붙임 문서 확인 후 원인 확정 필요","결의서명 기반 원인분류 검토")))</x:f>
      </x:c>
    </x:row>
    <x:row r="788">
      <x:c r="A788" s="73" t="str">
        <x:f>IFERROR(INDEX('계산도우미'!$B$5:$B$2004,MATCH(ROWS($A$5:A788),'계산도우미'!$K$5:$K$2004,0)),"")</x:f>
      </x:c>
      <x:c r="B788" s="73" t="str">
        <x:f>IF(A788="","",IFERROR(INDEX('당기원장'!$B$5:$B$1004,MATCH(A788,'당기원장'!$A$5:$A$1004,0)),IFERROR(INDEX('전기원장'!$B$5:$B$1004,MATCH(A788,'전기원장'!$A$5:$A$1004,0)),"")))</x:f>
      </x:c>
      <x:c r="C788" s="75" t="str">
        <x:f>IF(A788="","",SUMIF('전기원장'!$A$5:$A$1004,A788,'전기원장'!$H$5:$H$1004))</x:f>
      </x:c>
      <x:c r="D788" s="75" t="str">
        <x:f>IF(A788="","",SUMIF('당기원장'!$A$5:$A$1004,A788,'당기원장'!$H$5:$H$1004))</x:f>
      </x:c>
      <x:c r="E788" s="75" t="str">
        <x:f>IF(A788="","",D788-C788)</x:f>
      </x:c>
      <x:c r="F788" s="88" t="str">
        <x:f>IF(A788="","",IF(C788=0,IF(D788=0,0,1),ABS(E788)/ABS(C788)))</x:f>
      </x:c>
      <x:c r="G788" s="73" t="str">
        <x:f>IF(A788="","",IF(AND(C788=0,D788&lt;&gt;0),"신규",IF(AND(C788&lt;&gt;0,D788=0),"소멸",IF(E788=0,"변동없음","금액변동"))))</x:f>
      </x:c>
      <x:c r="H788" s="73" t="str">
        <x:f>IF(A788="","",IF(AND(ABS(E788)&gt;='기준설정'!$B$6,OR(G788="신규",G788="소멸",F788&gt;='기준설정'!$B$5)),"원인분석 대상","일반"))</x:f>
      </x:c>
      <x:c r="I788" s="73" t="str">
        <x:f>IF(A788="","",IF(H788="원인분석 대상","세부원인분석 시트에서 거래별 원인을 검토","-"))</x:f>
      </x:c>
      <x:c r="J788" s="73" t="str">
        <x:f>IF(A788="","",COUNTIFS('전기원장'!$A$5:$A$1004,A788,'전기원장'!$J$5:$J$1004,"확인 필요")+COUNTIFS('당기원장'!$A$5:$A$1004,A788,'당기원장'!$J$5:$J$1004,"확인 필요"))</x:f>
      </x:c>
      <x:c r="K788" s="85" t="str">
        <x:f>IF(A788="","",IF(H788&lt;&gt;"원인분석 대상","",IF(J788&gt;0,"붙임 문서 확인 후 원인 확정 필요","결의서명 기반 원인분류 검토")))</x:f>
      </x:c>
    </x:row>
    <x:row r="789">
      <x:c r="A789" s="73" t="str">
        <x:f>IFERROR(INDEX('계산도우미'!$B$5:$B$2004,MATCH(ROWS($A$5:A789),'계산도우미'!$K$5:$K$2004,0)),"")</x:f>
      </x:c>
      <x:c r="B789" s="73" t="str">
        <x:f>IF(A789="","",IFERROR(INDEX('당기원장'!$B$5:$B$1004,MATCH(A789,'당기원장'!$A$5:$A$1004,0)),IFERROR(INDEX('전기원장'!$B$5:$B$1004,MATCH(A789,'전기원장'!$A$5:$A$1004,0)),"")))</x:f>
      </x:c>
      <x:c r="C789" s="75" t="str">
        <x:f>IF(A789="","",SUMIF('전기원장'!$A$5:$A$1004,A789,'전기원장'!$H$5:$H$1004))</x:f>
      </x:c>
      <x:c r="D789" s="75" t="str">
        <x:f>IF(A789="","",SUMIF('당기원장'!$A$5:$A$1004,A789,'당기원장'!$H$5:$H$1004))</x:f>
      </x:c>
      <x:c r="E789" s="75" t="str">
        <x:f>IF(A789="","",D789-C789)</x:f>
      </x:c>
      <x:c r="F789" s="88" t="str">
        <x:f>IF(A789="","",IF(C789=0,IF(D789=0,0,1),ABS(E789)/ABS(C789)))</x:f>
      </x:c>
      <x:c r="G789" s="73" t="str">
        <x:f>IF(A789="","",IF(AND(C789=0,D789&lt;&gt;0),"신규",IF(AND(C789&lt;&gt;0,D789=0),"소멸",IF(E789=0,"변동없음","금액변동"))))</x:f>
      </x:c>
      <x:c r="H789" s="73" t="str">
        <x:f>IF(A789="","",IF(AND(ABS(E789)&gt;='기준설정'!$B$6,OR(G789="신규",G789="소멸",F789&gt;='기준설정'!$B$5)),"원인분석 대상","일반"))</x:f>
      </x:c>
      <x:c r="I789" s="73" t="str">
        <x:f>IF(A789="","",IF(H789="원인분석 대상","세부원인분석 시트에서 거래별 원인을 검토","-"))</x:f>
      </x:c>
      <x:c r="J789" s="73" t="str">
        <x:f>IF(A789="","",COUNTIFS('전기원장'!$A$5:$A$1004,A789,'전기원장'!$J$5:$J$1004,"확인 필요")+COUNTIFS('당기원장'!$A$5:$A$1004,A789,'당기원장'!$J$5:$J$1004,"확인 필요"))</x:f>
      </x:c>
      <x:c r="K789" s="85" t="str">
        <x:f>IF(A789="","",IF(H789&lt;&gt;"원인분석 대상","",IF(J789&gt;0,"붙임 문서 확인 후 원인 확정 필요","결의서명 기반 원인분류 검토")))</x:f>
      </x:c>
    </x:row>
    <x:row r="790">
      <x:c r="A790" s="73" t="str">
        <x:f>IFERROR(INDEX('계산도우미'!$B$5:$B$2004,MATCH(ROWS($A$5:A790),'계산도우미'!$K$5:$K$2004,0)),"")</x:f>
      </x:c>
      <x:c r="B790" s="73" t="str">
        <x:f>IF(A790="","",IFERROR(INDEX('당기원장'!$B$5:$B$1004,MATCH(A790,'당기원장'!$A$5:$A$1004,0)),IFERROR(INDEX('전기원장'!$B$5:$B$1004,MATCH(A790,'전기원장'!$A$5:$A$1004,0)),"")))</x:f>
      </x:c>
      <x:c r="C790" s="75" t="str">
        <x:f>IF(A790="","",SUMIF('전기원장'!$A$5:$A$1004,A790,'전기원장'!$H$5:$H$1004))</x:f>
      </x:c>
      <x:c r="D790" s="75" t="str">
        <x:f>IF(A790="","",SUMIF('당기원장'!$A$5:$A$1004,A790,'당기원장'!$H$5:$H$1004))</x:f>
      </x:c>
      <x:c r="E790" s="75" t="str">
        <x:f>IF(A790="","",D790-C790)</x:f>
      </x:c>
      <x:c r="F790" s="88" t="str">
        <x:f>IF(A790="","",IF(C790=0,IF(D790=0,0,1),ABS(E790)/ABS(C790)))</x:f>
      </x:c>
      <x:c r="G790" s="73" t="str">
        <x:f>IF(A790="","",IF(AND(C790=0,D790&lt;&gt;0),"신규",IF(AND(C790&lt;&gt;0,D790=0),"소멸",IF(E790=0,"변동없음","금액변동"))))</x:f>
      </x:c>
      <x:c r="H790" s="73" t="str">
        <x:f>IF(A790="","",IF(AND(ABS(E790)&gt;='기준설정'!$B$6,OR(G790="신규",G790="소멸",F790&gt;='기준설정'!$B$5)),"원인분석 대상","일반"))</x:f>
      </x:c>
      <x:c r="I790" s="73" t="str">
        <x:f>IF(A790="","",IF(H790="원인분석 대상","세부원인분석 시트에서 거래별 원인을 검토","-"))</x:f>
      </x:c>
      <x:c r="J790" s="73" t="str">
        <x:f>IF(A790="","",COUNTIFS('전기원장'!$A$5:$A$1004,A790,'전기원장'!$J$5:$J$1004,"확인 필요")+COUNTIFS('당기원장'!$A$5:$A$1004,A790,'당기원장'!$J$5:$J$1004,"확인 필요"))</x:f>
      </x:c>
      <x:c r="K790" s="85" t="str">
        <x:f>IF(A790="","",IF(H790&lt;&gt;"원인분석 대상","",IF(J790&gt;0,"붙임 문서 확인 후 원인 확정 필요","결의서명 기반 원인분류 검토")))</x:f>
      </x:c>
    </x:row>
    <x:row r="791">
      <x:c r="A791" s="73" t="str">
        <x:f>IFERROR(INDEX('계산도우미'!$B$5:$B$2004,MATCH(ROWS($A$5:A791),'계산도우미'!$K$5:$K$2004,0)),"")</x:f>
      </x:c>
      <x:c r="B791" s="73" t="str">
        <x:f>IF(A791="","",IFERROR(INDEX('당기원장'!$B$5:$B$1004,MATCH(A791,'당기원장'!$A$5:$A$1004,0)),IFERROR(INDEX('전기원장'!$B$5:$B$1004,MATCH(A791,'전기원장'!$A$5:$A$1004,0)),"")))</x:f>
      </x:c>
      <x:c r="C791" s="75" t="str">
        <x:f>IF(A791="","",SUMIF('전기원장'!$A$5:$A$1004,A791,'전기원장'!$H$5:$H$1004))</x:f>
      </x:c>
      <x:c r="D791" s="75" t="str">
        <x:f>IF(A791="","",SUMIF('당기원장'!$A$5:$A$1004,A791,'당기원장'!$H$5:$H$1004))</x:f>
      </x:c>
      <x:c r="E791" s="75" t="str">
        <x:f>IF(A791="","",D791-C791)</x:f>
      </x:c>
      <x:c r="F791" s="88" t="str">
        <x:f>IF(A791="","",IF(C791=0,IF(D791=0,0,1),ABS(E791)/ABS(C791)))</x:f>
      </x:c>
      <x:c r="G791" s="73" t="str">
        <x:f>IF(A791="","",IF(AND(C791=0,D791&lt;&gt;0),"신규",IF(AND(C791&lt;&gt;0,D791=0),"소멸",IF(E791=0,"변동없음","금액변동"))))</x:f>
      </x:c>
      <x:c r="H791" s="73" t="str">
        <x:f>IF(A791="","",IF(AND(ABS(E791)&gt;='기준설정'!$B$6,OR(G791="신규",G791="소멸",F791&gt;='기준설정'!$B$5)),"원인분석 대상","일반"))</x:f>
      </x:c>
      <x:c r="I791" s="73" t="str">
        <x:f>IF(A791="","",IF(H791="원인분석 대상","세부원인분석 시트에서 거래별 원인을 검토","-"))</x:f>
      </x:c>
      <x:c r="J791" s="73" t="str">
        <x:f>IF(A791="","",COUNTIFS('전기원장'!$A$5:$A$1004,A791,'전기원장'!$J$5:$J$1004,"확인 필요")+COUNTIFS('당기원장'!$A$5:$A$1004,A791,'당기원장'!$J$5:$J$1004,"확인 필요"))</x:f>
      </x:c>
      <x:c r="K791" s="85" t="str">
        <x:f>IF(A791="","",IF(H791&lt;&gt;"원인분석 대상","",IF(J791&gt;0,"붙임 문서 확인 후 원인 확정 필요","결의서명 기반 원인분류 검토")))</x:f>
      </x:c>
    </x:row>
    <x:row r="792">
      <x:c r="A792" s="73" t="str">
        <x:f>IFERROR(INDEX('계산도우미'!$B$5:$B$2004,MATCH(ROWS($A$5:A792),'계산도우미'!$K$5:$K$2004,0)),"")</x:f>
      </x:c>
      <x:c r="B792" s="73" t="str">
        <x:f>IF(A792="","",IFERROR(INDEX('당기원장'!$B$5:$B$1004,MATCH(A792,'당기원장'!$A$5:$A$1004,0)),IFERROR(INDEX('전기원장'!$B$5:$B$1004,MATCH(A792,'전기원장'!$A$5:$A$1004,0)),"")))</x:f>
      </x:c>
      <x:c r="C792" s="75" t="str">
        <x:f>IF(A792="","",SUMIF('전기원장'!$A$5:$A$1004,A792,'전기원장'!$H$5:$H$1004))</x:f>
      </x:c>
      <x:c r="D792" s="75" t="str">
        <x:f>IF(A792="","",SUMIF('당기원장'!$A$5:$A$1004,A792,'당기원장'!$H$5:$H$1004))</x:f>
      </x:c>
      <x:c r="E792" s="75" t="str">
        <x:f>IF(A792="","",D792-C792)</x:f>
      </x:c>
      <x:c r="F792" s="88" t="str">
        <x:f>IF(A792="","",IF(C792=0,IF(D792=0,0,1),ABS(E792)/ABS(C792)))</x:f>
      </x:c>
      <x:c r="G792" s="73" t="str">
        <x:f>IF(A792="","",IF(AND(C792=0,D792&lt;&gt;0),"신규",IF(AND(C792&lt;&gt;0,D792=0),"소멸",IF(E792=0,"변동없음","금액변동"))))</x:f>
      </x:c>
      <x:c r="H792" s="73" t="str">
        <x:f>IF(A792="","",IF(AND(ABS(E792)&gt;='기준설정'!$B$6,OR(G792="신규",G792="소멸",F792&gt;='기준설정'!$B$5)),"원인분석 대상","일반"))</x:f>
      </x:c>
      <x:c r="I792" s="73" t="str">
        <x:f>IF(A792="","",IF(H792="원인분석 대상","세부원인분석 시트에서 거래별 원인을 검토","-"))</x:f>
      </x:c>
      <x:c r="J792" s="73" t="str">
        <x:f>IF(A792="","",COUNTIFS('전기원장'!$A$5:$A$1004,A792,'전기원장'!$J$5:$J$1004,"확인 필요")+COUNTIFS('당기원장'!$A$5:$A$1004,A792,'당기원장'!$J$5:$J$1004,"확인 필요"))</x:f>
      </x:c>
      <x:c r="K792" s="85" t="str">
        <x:f>IF(A792="","",IF(H792&lt;&gt;"원인분석 대상","",IF(J792&gt;0,"붙임 문서 확인 후 원인 확정 필요","결의서명 기반 원인분류 검토")))</x:f>
      </x:c>
    </x:row>
    <x:row r="793">
      <x:c r="A793" s="73" t="str">
        <x:f>IFERROR(INDEX('계산도우미'!$B$5:$B$2004,MATCH(ROWS($A$5:A793),'계산도우미'!$K$5:$K$2004,0)),"")</x:f>
      </x:c>
      <x:c r="B793" s="73" t="str">
        <x:f>IF(A793="","",IFERROR(INDEX('당기원장'!$B$5:$B$1004,MATCH(A793,'당기원장'!$A$5:$A$1004,0)),IFERROR(INDEX('전기원장'!$B$5:$B$1004,MATCH(A793,'전기원장'!$A$5:$A$1004,0)),"")))</x:f>
      </x:c>
      <x:c r="C793" s="75" t="str">
        <x:f>IF(A793="","",SUMIF('전기원장'!$A$5:$A$1004,A793,'전기원장'!$H$5:$H$1004))</x:f>
      </x:c>
      <x:c r="D793" s="75" t="str">
        <x:f>IF(A793="","",SUMIF('당기원장'!$A$5:$A$1004,A793,'당기원장'!$H$5:$H$1004))</x:f>
      </x:c>
      <x:c r="E793" s="75" t="str">
        <x:f>IF(A793="","",D793-C793)</x:f>
      </x:c>
      <x:c r="F793" s="88" t="str">
        <x:f>IF(A793="","",IF(C793=0,IF(D793=0,0,1),ABS(E793)/ABS(C793)))</x:f>
      </x:c>
      <x:c r="G793" s="73" t="str">
        <x:f>IF(A793="","",IF(AND(C793=0,D793&lt;&gt;0),"신규",IF(AND(C793&lt;&gt;0,D793=0),"소멸",IF(E793=0,"변동없음","금액변동"))))</x:f>
      </x:c>
      <x:c r="H793" s="73" t="str">
        <x:f>IF(A793="","",IF(AND(ABS(E793)&gt;='기준설정'!$B$6,OR(G793="신규",G793="소멸",F793&gt;='기준설정'!$B$5)),"원인분석 대상","일반"))</x:f>
      </x:c>
      <x:c r="I793" s="73" t="str">
        <x:f>IF(A793="","",IF(H793="원인분석 대상","세부원인분석 시트에서 거래별 원인을 검토","-"))</x:f>
      </x:c>
      <x:c r="J793" s="73" t="str">
        <x:f>IF(A793="","",COUNTIFS('전기원장'!$A$5:$A$1004,A793,'전기원장'!$J$5:$J$1004,"확인 필요")+COUNTIFS('당기원장'!$A$5:$A$1004,A793,'당기원장'!$J$5:$J$1004,"확인 필요"))</x:f>
      </x:c>
      <x:c r="K793" s="85" t="str">
        <x:f>IF(A793="","",IF(H793&lt;&gt;"원인분석 대상","",IF(J793&gt;0,"붙임 문서 확인 후 원인 확정 필요","결의서명 기반 원인분류 검토")))</x:f>
      </x:c>
    </x:row>
    <x:row r="794">
      <x:c r="A794" s="73" t="str">
        <x:f>IFERROR(INDEX('계산도우미'!$B$5:$B$2004,MATCH(ROWS($A$5:A794),'계산도우미'!$K$5:$K$2004,0)),"")</x:f>
      </x:c>
      <x:c r="B794" s="73" t="str">
        <x:f>IF(A794="","",IFERROR(INDEX('당기원장'!$B$5:$B$1004,MATCH(A794,'당기원장'!$A$5:$A$1004,0)),IFERROR(INDEX('전기원장'!$B$5:$B$1004,MATCH(A794,'전기원장'!$A$5:$A$1004,0)),"")))</x:f>
      </x:c>
      <x:c r="C794" s="75" t="str">
        <x:f>IF(A794="","",SUMIF('전기원장'!$A$5:$A$1004,A794,'전기원장'!$H$5:$H$1004))</x:f>
      </x:c>
      <x:c r="D794" s="75" t="str">
        <x:f>IF(A794="","",SUMIF('당기원장'!$A$5:$A$1004,A794,'당기원장'!$H$5:$H$1004))</x:f>
      </x:c>
      <x:c r="E794" s="75" t="str">
        <x:f>IF(A794="","",D794-C794)</x:f>
      </x:c>
      <x:c r="F794" s="88" t="str">
        <x:f>IF(A794="","",IF(C794=0,IF(D794=0,0,1),ABS(E794)/ABS(C794)))</x:f>
      </x:c>
      <x:c r="G794" s="73" t="str">
        <x:f>IF(A794="","",IF(AND(C794=0,D794&lt;&gt;0),"신규",IF(AND(C794&lt;&gt;0,D794=0),"소멸",IF(E794=0,"변동없음","금액변동"))))</x:f>
      </x:c>
      <x:c r="H794" s="73" t="str">
        <x:f>IF(A794="","",IF(AND(ABS(E794)&gt;='기준설정'!$B$6,OR(G794="신규",G794="소멸",F794&gt;='기준설정'!$B$5)),"원인분석 대상","일반"))</x:f>
      </x:c>
      <x:c r="I794" s="73" t="str">
        <x:f>IF(A794="","",IF(H794="원인분석 대상","세부원인분석 시트에서 거래별 원인을 검토","-"))</x:f>
      </x:c>
      <x:c r="J794" s="73" t="str">
        <x:f>IF(A794="","",COUNTIFS('전기원장'!$A$5:$A$1004,A794,'전기원장'!$J$5:$J$1004,"확인 필요")+COUNTIFS('당기원장'!$A$5:$A$1004,A794,'당기원장'!$J$5:$J$1004,"확인 필요"))</x:f>
      </x:c>
      <x:c r="K794" s="85" t="str">
        <x:f>IF(A794="","",IF(H794&lt;&gt;"원인분석 대상","",IF(J794&gt;0,"붙임 문서 확인 후 원인 확정 필요","결의서명 기반 원인분류 검토")))</x:f>
      </x:c>
    </x:row>
    <x:row r="795">
      <x:c r="A795" s="73" t="str">
        <x:f>IFERROR(INDEX('계산도우미'!$B$5:$B$2004,MATCH(ROWS($A$5:A795),'계산도우미'!$K$5:$K$2004,0)),"")</x:f>
      </x:c>
      <x:c r="B795" s="73" t="str">
        <x:f>IF(A795="","",IFERROR(INDEX('당기원장'!$B$5:$B$1004,MATCH(A795,'당기원장'!$A$5:$A$1004,0)),IFERROR(INDEX('전기원장'!$B$5:$B$1004,MATCH(A795,'전기원장'!$A$5:$A$1004,0)),"")))</x:f>
      </x:c>
      <x:c r="C795" s="75" t="str">
        <x:f>IF(A795="","",SUMIF('전기원장'!$A$5:$A$1004,A795,'전기원장'!$H$5:$H$1004))</x:f>
      </x:c>
      <x:c r="D795" s="75" t="str">
        <x:f>IF(A795="","",SUMIF('당기원장'!$A$5:$A$1004,A795,'당기원장'!$H$5:$H$1004))</x:f>
      </x:c>
      <x:c r="E795" s="75" t="str">
        <x:f>IF(A795="","",D795-C795)</x:f>
      </x:c>
      <x:c r="F795" s="88" t="str">
        <x:f>IF(A795="","",IF(C795=0,IF(D795=0,0,1),ABS(E795)/ABS(C795)))</x:f>
      </x:c>
      <x:c r="G795" s="73" t="str">
        <x:f>IF(A795="","",IF(AND(C795=0,D795&lt;&gt;0),"신규",IF(AND(C795&lt;&gt;0,D795=0),"소멸",IF(E795=0,"변동없음","금액변동"))))</x:f>
      </x:c>
      <x:c r="H795" s="73" t="str">
        <x:f>IF(A795="","",IF(AND(ABS(E795)&gt;='기준설정'!$B$6,OR(G795="신규",G795="소멸",F795&gt;='기준설정'!$B$5)),"원인분석 대상","일반"))</x:f>
      </x:c>
      <x:c r="I795" s="73" t="str">
        <x:f>IF(A795="","",IF(H795="원인분석 대상","세부원인분석 시트에서 거래별 원인을 검토","-"))</x:f>
      </x:c>
      <x:c r="J795" s="73" t="str">
        <x:f>IF(A795="","",COUNTIFS('전기원장'!$A$5:$A$1004,A795,'전기원장'!$J$5:$J$1004,"확인 필요")+COUNTIFS('당기원장'!$A$5:$A$1004,A795,'당기원장'!$J$5:$J$1004,"확인 필요"))</x:f>
      </x:c>
      <x:c r="K795" s="85" t="str">
        <x:f>IF(A795="","",IF(H795&lt;&gt;"원인분석 대상","",IF(J795&gt;0,"붙임 문서 확인 후 원인 확정 필요","결의서명 기반 원인분류 검토")))</x:f>
      </x:c>
    </x:row>
    <x:row r="796">
      <x:c r="A796" s="73" t="str">
        <x:f>IFERROR(INDEX('계산도우미'!$B$5:$B$2004,MATCH(ROWS($A$5:A796),'계산도우미'!$K$5:$K$2004,0)),"")</x:f>
      </x:c>
      <x:c r="B796" s="73" t="str">
        <x:f>IF(A796="","",IFERROR(INDEX('당기원장'!$B$5:$B$1004,MATCH(A796,'당기원장'!$A$5:$A$1004,0)),IFERROR(INDEX('전기원장'!$B$5:$B$1004,MATCH(A796,'전기원장'!$A$5:$A$1004,0)),"")))</x:f>
      </x:c>
      <x:c r="C796" s="75" t="str">
        <x:f>IF(A796="","",SUMIF('전기원장'!$A$5:$A$1004,A796,'전기원장'!$H$5:$H$1004))</x:f>
      </x:c>
      <x:c r="D796" s="75" t="str">
        <x:f>IF(A796="","",SUMIF('당기원장'!$A$5:$A$1004,A796,'당기원장'!$H$5:$H$1004))</x:f>
      </x:c>
      <x:c r="E796" s="75" t="str">
        <x:f>IF(A796="","",D796-C796)</x:f>
      </x:c>
      <x:c r="F796" s="88" t="str">
        <x:f>IF(A796="","",IF(C796=0,IF(D796=0,0,1),ABS(E796)/ABS(C796)))</x:f>
      </x:c>
      <x:c r="G796" s="73" t="str">
        <x:f>IF(A796="","",IF(AND(C796=0,D796&lt;&gt;0),"신규",IF(AND(C796&lt;&gt;0,D796=0),"소멸",IF(E796=0,"변동없음","금액변동"))))</x:f>
      </x:c>
      <x:c r="H796" s="73" t="str">
        <x:f>IF(A796="","",IF(AND(ABS(E796)&gt;='기준설정'!$B$6,OR(G796="신규",G796="소멸",F796&gt;='기준설정'!$B$5)),"원인분석 대상","일반"))</x:f>
      </x:c>
      <x:c r="I796" s="73" t="str">
        <x:f>IF(A796="","",IF(H796="원인분석 대상","세부원인분석 시트에서 거래별 원인을 검토","-"))</x:f>
      </x:c>
      <x:c r="J796" s="73" t="str">
        <x:f>IF(A796="","",COUNTIFS('전기원장'!$A$5:$A$1004,A796,'전기원장'!$J$5:$J$1004,"확인 필요")+COUNTIFS('당기원장'!$A$5:$A$1004,A796,'당기원장'!$J$5:$J$1004,"확인 필요"))</x:f>
      </x:c>
      <x:c r="K796" s="85" t="str">
        <x:f>IF(A796="","",IF(H796&lt;&gt;"원인분석 대상","",IF(J796&gt;0,"붙임 문서 확인 후 원인 확정 필요","결의서명 기반 원인분류 검토")))</x:f>
      </x:c>
    </x:row>
    <x:row r="797">
      <x:c r="A797" s="73" t="str">
        <x:f>IFERROR(INDEX('계산도우미'!$B$5:$B$2004,MATCH(ROWS($A$5:A797),'계산도우미'!$K$5:$K$2004,0)),"")</x:f>
      </x:c>
      <x:c r="B797" s="73" t="str">
        <x:f>IF(A797="","",IFERROR(INDEX('당기원장'!$B$5:$B$1004,MATCH(A797,'당기원장'!$A$5:$A$1004,0)),IFERROR(INDEX('전기원장'!$B$5:$B$1004,MATCH(A797,'전기원장'!$A$5:$A$1004,0)),"")))</x:f>
      </x:c>
      <x:c r="C797" s="75" t="str">
        <x:f>IF(A797="","",SUMIF('전기원장'!$A$5:$A$1004,A797,'전기원장'!$H$5:$H$1004))</x:f>
      </x:c>
      <x:c r="D797" s="75" t="str">
        <x:f>IF(A797="","",SUMIF('당기원장'!$A$5:$A$1004,A797,'당기원장'!$H$5:$H$1004))</x:f>
      </x:c>
      <x:c r="E797" s="75" t="str">
        <x:f>IF(A797="","",D797-C797)</x:f>
      </x:c>
      <x:c r="F797" s="88" t="str">
        <x:f>IF(A797="","",IF(C797=0,IF(D797=0,0,1),ABS(E797)/ABS(C797)))</x:f>
      </x:c>
      <x:c r="G797" s="73" t="str">
        <x:f>IF(A797="","",IF(AND(C797=0,D797&lt;&gt;0),"신규",IF(AND(C797&lt;&gt;0,D797=0),"소멸",IF(E797=0,"변동없음","금액변동"))))</x:f>
      </x:c>
      <x:c r="H797" s="73" t="str">
        <x:f>IF(A797="","",IF(AND(ABS(E797)&gt;='기준설정'!$B$6,OR(G797="신규",G797="소멸",F797&gt;='기준설정'!$B$5)),"원인분석 대상","일반"))</x:f>
      </x:c>
      <x:c r="I797" s="73" t="str">
        <x:f>IF(A797="","",IF(H797="원인분석 대상","세부원인분석 시트에서 거래별 원인을 검토","-"))</x:f>
      </x:c>
      <x:c r="J797" s="73" t="str">
        <x:f>IF(A797="","",COUNTIFS('전기원장'!$A$5:$A$1004,A797,'전기원장'!$J$5:$J$1004,"확인 필요")+COUNTIFS('당기원장'!$A$5:$A$1004,A797,'당기원장'!$J$5:$J$1004,"확인 필요"))</x:f>
      </x:c>
      <x:c r="K797" s="85" t="str">
        <x:f>IF(A797="","",IF(H797&lt;&gt;"원인분석 대상","",IF(J797&gt;0,"붙임 문서 확인 후 원인 확정 필요","결의서명 기반 원인분류 검토")))</x:f>
      </x:c>
    </x:row>
    <x:row r="798">
      <x:c r="A798" s="73" t="str">
        <x:f>IFERROR(INDEX('계산도우미'!$B$5:$B$2004,MATCH(ROWS($A$5:A798),'계산도우미'!$K$5:$K$2004,0)),"")</x:f>
      </x:c>
      <x:c r="B798" s="73" t="str">
        <x:f>IF(A798="","",IFERROR(INDEX('당기원장'!$B$5:$B$1004,MATCH(A798,'당기원장'!$A$5:$A$1004,0)),IFERROR(INDEX('전기원장'!$B$5:$B$1004,MATCH(A798,'전기원장'!$A$5:$A$1004,0)),"")))</x:f>
      </x:c>
      <x:c r="C798" s="75" t="str">
        <x:f>IF(A798="","",SUMIF('전기원장'!$A$5:$A$1004,A798,'전기원장'!$H$5:$H$1004))</x:f>
      </x:c>
      <x:c r="D798" s="75" t="str">
        <x:f>IF(A798="","",SUMIF('당기원장'!$A$5:$A$1004,A798,'당기원장'!$H$5:$H$1004))</x:f>
      </x:c>
      <x:c r="E798" s="75" t="str">
        <x:f>IF(A798="","",D798-C798)</x:f>
      </x:c>
      <x:c r="F798" s="88" t="str">
        <x:f>IF(A798="","",IF(C798=0,IF(D798=0,0,1),ABS(E798)/ABS(C798)))</x:f>
      </x:c>
      <x:c r="G798" s="73" t="str">
        <x:f>IF(A798="","",IF(AND(C798=0,D798&lt;&gt;0),"신규",IF(AND(C798&lt;&gt;0,D798=0),"소멸",IF(E798=0,"변동없음","금액변동"))))</x:f>
      </x:c>
      <x:c r="H798" s="73" t="str">
        <x:f>IF(A798="","",IF(AND(ABS(E798)&gt;='기준설정'!$B$6,OR(G798="신규",G798="소멸",F798&gt;='기준설정'!$B$5)),"원인분석 대상","일반"))</x:f>
      </x:c>
      <x:c r="I798" s="73" t="str">
        <x:f>IF(A798="","",IF(H798="원인분석 대상","세부원인분석 시트에서 거래별 원인을 검토","-"))</x:f>
      </x:c>
      <x:c r="J798" s="73" t="str">
        <x:f>IF(A798="","",COUNTIFS('전기원장'!$A$5:$A$1004,A798,'전기원장'!$J$5:$J$1004,"확인 필요")+COUNTIFS('당기원장'!$A$5:$A$1004,A798,'당기원장'!$J$5:$J$1004,"확인 필요"))</x:f>
      </x:c>
      <x:c r="K798" s="85" t="str">
        <x:f>IF(A798="","",IF(H798&lt;&gt;"원인분석 대상","",IF(J798&gt;0,"붙임 문서 확인 후 원인 확정 필요","결의서명 기반 원인분류 검토")))</x:f>
      </x:c>
    </x:row>
    <x:row r="799">
      <x:c r="A799" s="73" t="str">
        <x:f>IFERROR(INDEX('계산도우미'!$B$5:$B$2004,MATCH(ROWS($A$5:A799),'계산도우미'!$K$5:$K$2004,0)),"")</x:f>
      </x:c>
      <x:c r="B799" s="73" t="str">
        <x:f>IF(A799="","",IFERROR(INDEX('당기원장'!$B$5:$B$1004,MATCH(A799,'당기원장'!$A$5:$A$1004,0)),IFERROR(INDEX('전기원장'!$B$5:$B$1004,MATCH(A799,'전기원장'!$A$5:$A$1004,0)),"")))</x:f>
      </x:c>
      <x:c r="C799" s="75" t="str">
        <x:f>IF(A799="","",SUMIF('전기원장'!$A$5:$A$1004,A799,'전기원장'!$H$5:$H$1004))</x:f>
      </x:c>
      <x:c r="D799" s="75" t="str">
        <x:f>IF(A799="","",SUMIF('당기원장'!$A$5:$A$1004,A799,'당기원장'!$H$5:$H$1004))</x:f>
      </x:c>
      <x:c r="E799" s="75" t="str">
        <x:f>IF(A799="","",D799-C799)</x:f>
      </x:c>
      <x:c r="F799" s="88" t="str">
        <x:f>IF(A799="","",IF(C799=0,IF(D799=0,0,1),ABS(E799)/ABS(C799)))</x:f>
      </x:c>
      <x:c r="G799" s="73" t="str">
        <x:f>IF(A799="","",IF(AND(C799=0,D799&lt;&gt;0),"신규",IF(AND(C799&lt;&gt;0,D799=0),"소멸",IF(E799=0,"변동없음","금액변동"))))</x:f>
      </x:c>
      <x:c r="H799" s="73" t="str">
        <x:f>IF(A799="","",IF(AND(ABS(E799)&gt;='기준설정'!$B$6,OR(G799="신규",G799="소멸",F799&gt;='기준설정'!$B$5)),"원인분석 대상","일반"))</x:f>
      </x:c>
      <x:c r="I799" s="73" t="str">
        <x:f>IF(A799="","",IF(H799="원인분석 대상","세부원인분석 시트에서 거래별 원인을 검토","-"))</x:f>
      </x:c>
      <x:c r="J799" s="73" t="str">
        <x:f>IF(A799="","",COUNTIFS('전기원장'!$A$5:$A$1004,A799,'전기원장'!$J$5:$J$1004,"확인 필요")+COUNTIFS('당기원장'!$A$5:$A$1004,A799,'당기원장'!$J$5:$J$1004,"확인 필요"))</x:f>
      </x:c>
      <x:c r="K799" s="85" t="str">
        <x:f>IF(A799="","",IF(H799&lt;&gt;"원인분석 대상","",IF(J799&gt;0,"붙임 문서 확인 후 원인 확정 필요","결의서명 기반 원인분류 검토")))</x:f>
      </x:c>
    </x:row>
    <x:row r="800">
      <x:c r="A800" s="73" t="str">
        <x:f>IFERROR(INDEX('계산도우미'!$B$5:$B$2004,MATCH(ROWS($A$5:A800),'계산도우미'!$K$5:$K$2004,0)),"")</x:f>
      </x:c>
      <x:c r="B800" s="73" t="str">
        <x:f>IF(A800="","",IFERROR(INDEX('당기원장'!$B$5:$B$1004,MATCH(A800,'당기원장'!$A$5:$A$1004,0)),IFERROR(INDEX('전기원장'!$B$5:$B$1004,MATCH(A800,'전기원장'!$A$5:$A$1004,0)),"")))</x:f>
      </x:c>
      <x:c r="C800" s="75" t="str">
        <x:f>IF(A800="","",SUMIF('전기원장'!$A$5:$A$1004,A800,'전기원장'!$H$5:$H$1004))</x:f>
      </x:c>
      <x:c r="D800" s="75" t="str">
        <x:f>IF(A800="","",SUMIF('당기원장'!$A$5:$A$1004,A800,'당기원장'!$H$5:$H$1004))</x:f>
      </x:c>
      <x:c r="E800" s="75" t="str">
        <x:f>IF(A800="","",D800-C800)</x:f>
      </x:c>
      <x:c r="F800" s="88" t="str">
        <x:f>IF(A800="","",IF(C800=0,IF(D800=0,0,1),ABS(E800)/ABS(C800)))</x:f>
      </x:c>
      <x:c r="G800" s="73" t="str">
        <x:f>IF(A800="","",IF(AND(C800=0,D800&lt;&gt;0),"신규",IF(AND(C800&lt;&gt;0,D800=0),"소멸",IF(E800=0,"변동없음","금액변동"))))</x:f>
      </x:c>
      <x:c r="H800" s="73" t="str">
        <x:f>IF(A800="","",IF(AND(ABS(E800)&gt;='기준설정'!$B$6,OR(G800="신규",G800="소멸",F800&gt;='기준설정'!$B$5)),"원인분석 대상","일반"))</x:f>
      </x:c>
      <x:c r="I800" s="73" t="str">
        <x:f>IF(A800="","",IF(H800="원인분석 대상","세부원인분석 시트에서 거래별 원인을 검토","-"))</x:f>
      </x:c>
      <x:c r="J800" s="73" t="str">
        <x:f>IF(A800="","",COUNTIFS('전기원장'!$A$5:$A$1004,A800,'전기원장'!$J$5:$J$1004,"확인 필요")+COUNTIFS('당기원장'!$A$5:$A$1004,A800,'당기원장'!$J$5:$J$1004,"확인 필요"))</x:f>
      </x:c>
      <x:c r="K800" s="85" t="str">
        <x:f>IF(A800="","",IF(H800&lt;&gt;"원인분석 대상","",IF(J800&gt;0,"붙임 문서 확인 후 원인 확정 필요","결의서명 기반 원인분류 검토")))</x:f>
      </x:c>
    </x:row>
    <x:row r="801">
      <x:c r="A801" s="73" t="str">
        <x:f>IFERROR(INDEX('계산도우미'!$B$5:$B$2004,MATCH(ROWS($A$5:A801),'계산도우미'!$K$5:$K$2004,0)),"")</x:f>
      </x:c>
      <x:c r="B801" s="73" t="str">
        <x:f>IF(A801="","",IFERROR(INDEX('당기원장'!$B$5:$B$1004,MATCH(A801,'당기원장'!$A$5:$A$1004,0)),IFERROR(INDEX('전기원장'!$B$5:$B$1004,MATCH(A801,'전기원장'!$A$5:$A$1004,0)),"")))</x:f>
      </x:c>
      <x:c r="C801" s="75" t="str">
        <x:f>IF(A801="","",SUMIF('전기원장'!$A$5:$A$1004,A801,'전기원장'!$H$5:$H$1004))</x:f>
      </x:c>
      <x:c r="D801" s="75" t="str">
        <x:f>IF(A801="","",SUMIF('당기원장'!$A$5:$A$1004,A801,'당기원장'!$H$5:$H$1004))</x:f>
      </x:c>
      <x:c r="E801" s="75" t="str">
        <x:f>IF(A801="","",D801-C801)</x:f>
      </x:c>
      <x:c r="F801" s="88" t="str">
        <x:f>IF(A801="","",IF(C801=0,IF(D801=0,0,1),ABS(E801)/ABS(C801)))</x:f>
      </x:c>
      <x:c r="G801" s="73" t="str">
        <x:f>IF(A801="","",IF(AND(C801=0,D801&lt;&gt;0),"신규",IF(AND(C801&lt;&gt;0,D801=0),"소멸",IF(E801=0,"변동없음","금액변동"))))</x:f>
      </x:c>
      <x:c r="H801" s="73" t="str">
        <x:f>IF(A801="","",IF(AND(ABS(E801)&gt;='기준설정'!$B$6,OR(G801="신규",G801="소멸",F801&gt;='기준설정'!$B$5)),"원인분석 대상","일반"))</x:f>
      </x:c>
      <x:c r="I801" s="73" t="str">
        <x:f>IF(A801="","",IF(H801="원인분석 대상","세부원인분석 시트에서 거래별 원인을 검토","-"))</x:f>
      </x:c>
      <x:c r="J801" s="73" t="str">
        <x:f>IF(A801="","",COUNTIFS('전기원장'!$A$5:$A$1004,A801,'전기원장'!$J$5:$J$1004,"확인 필요")+COUNTIFS('당기원장'!$A$5:$A$1004,A801,'당기원장'!$J$5:$J$1004,"확인 필요"))</x:f>
      </x:c>
      <x:c r="K801" s="85" t="str">
        <x:f>IF(A801="","",IF(H801&lt;&gt;"원인분석 대상","",IF(J801&gt;0,"붙임 문서 확인 후 원인 확정 필요","결의서명 기반 원인분류 검토")))</x:f>
      </x:c>
    </x:row>
    <x:row r="802">
      <x:c r="A802" s="73" t="str">
        <x:f>IFERROR(INDEX('계산도우미'!$B$5:$B$2004,MATCH(ROWS($A$5:A802),'계산도우미'!$K$5:$K$2004,0)),"")</x:f>
      </x:c>
      <x:c r="B802" s="73" t="str">
        <x:f>IF(A802="","",IFERROR(INDEX('당기원장'!$B$5:$B$1004,MATCH(A802,'당기원장'!$A$5:$A$1004,0)),IFERROR(INDEX('전기원장'!$B$5:$B$1004,MATCH(A802,'전기원장'!$A$5:$A$1004,0)),"")))</x:f>
      </x:c>
      <x:c r="C802" s="75" t="str">
        <x:f>IF(A802="","",SUMIF('전기원장'!$A$5:$A$1004,A802,'전기원장'!$H$5:$H$1004))</x:f>
      </x:c>
      <x:c r="D802" s="75" t="str">
        <x:f>IF(A802="","",SUMIF('당기원장'!$A$5:$A$1004,A802,'당기원장'!$H$5:$H$1004))</x:f>
      </x:c>
      <x:c r="E802" s="75" t="str">
        <x:f>IF(A802="","",D802-C802)</x:f>
      </x:c>
      <x:c r="F802" s="88" t="str">
        <x:f>IF(A802="","",IF(C802=0,IF(D802=0,0,1),ABS(E802)/ABS(C802)))</x:f>
      </x:c>
      <x:c r="G802" s="73" t="str">
        <x:f>IF(A802="","",IF(AND(C802=0,D802&lt;&gt;0),"신규",IF(AND(C802&lt;&gt;0,D802=0),"소멸",IF(E802=0,"변동없음","금액변동"))))</x:f>
      </x:c>
      <x:c r="H802" s="73" t="str">
        <x:f>IF(A802="","",IF(AND(ABS(E802)&gt;='기준설정'!$B$6,OR(G802="신규",G802="소멸",F802&gt;='기준설정'!$B$5)),"원인분석 대상","일반"))</x:f>
      </x:c>
      <x:c r="I802" s="73" t="str">
        <x:f>IF(A802="","",IF(H802="원인분석 대상","세부원인분석 시트에서 거래별 원인을 검토","-"))</x:f>
      </x:c>
      <x:c r="J802" s="73" t="str">
        <x:f>IF(A802="","",COUNTIFS('전기원장'!$A$5:$A$1004,A802,'전기원장'!$J$5:$J$1004,"확인 필요")+COUNTIFS('당기원장'!$A$5:$A$1004,A802,'당기원장'!$J$5:$J$1004,"확인 필요"))</x:f>
      </x:c>
      <x:c r="K802" s="85" t="str">
        <x:f>IF(A802="","",IF(H802&lt;&gt;"원인분석 대상","",IF(J802&gt;0,"붙임 문서 확인 후 원인 확정 필요","결의서명 기반 원인분류 검토")))</x:f>
      </x:c>
    </x:row>
    <x:row r="803">
      <x:c r="A803" s="73" t="str">
        <x:f>IFERROR(INDEX('계산도우미'!$B$5:$B$2004,MATCH(ROWS($A$5:A803),'계산도우미'!$K$5:$K$2004,0)),"")</x:f>
      </x:c>
      <x:c r="B803" s="73" t="str">
        <x:f>IF(A803="","",IFERROR(INDEX('당기원장'!$B$5:$B$1004,MATCH(A803,'당기원장'!$A$5:$A$1004,0)),IFERROR(INDEX('전기원장'!$B$5:$B$1004,MATCH(A803,'전기원장'!$A$5:$A$1004,0)),"")))</x:f>
      </x:c>
      <x:c r="C803" s="75" t="str">
        <x:f>IF(A803="","",SUMIF('전기원장'!$A$5:$A$1004,A803,'전기원장'!$H$5:$H$1004))</x:f>
      </x:c>
      <x:c r="D803" s="75" t="str">
        <x:f>IF(A803="","",SUMIF('당기원장'!$A$5:$A$1004,A803,'당기원장'!$H$5:$H$1004))</x:f>
      </x:c>
      <x:c r="E803" s="75" t="str">
        <x:f>IF(A803="","",D803-C803)</x:f>
      </x:c>
      <x:c r="F803" s="88" t="str">
        <x:f>IF(A803="","",IF(C803=0,IF(D803=0,0,1),ABS(E803)/ABS(C803)))</x:f>
      </x:c>
      <x:c r="G803" s="73" t="str">
        <x:f>IF(A803="","",IF(AND(C803=0,D803&lt;&gt;0),"신규",IF(AND(C803&lt;&gt;0,D803=0),"소멸",IF(E803=0,"변동없음","금액변동"))))</x:f>
      </x:c>
      <x:c r="H803" s="73" t="str">
        <x:f>IF(A803="","",IF(AND(ABS(E803)&gt;='기준설정'!$B$6,OR(G803="신규",G803="소멸",F803&gt;='기준설정'!$B$5)),"원인분석 대상","일반"))</x:f>
      </x:c>
      <x:c r="I803" s="73" t="str">
        <x:f>IF(A803="","",IF(H803="원인분석 대상","세부원인분석 시트에서 거래별 원인을 검토","-"))</x:f>
      </x:c>
      <x:c r="J803" s="73" t="str">
        <x:f>IF(A803="","",COUNTIFS('전기원장'!$A$5:$A$1004,A803,'전기원장'!$J$5:$J$1004,"확인 필요")+COUNTIFS('당기원장'!$A$5:$A$1004,A803,'당기원장'!$J$5:$J$1004,"확인 필요"))</x:f>
      </x:c>
      <x:c r="K803" s="85" t="str">
        <x:f>IF(A803="","",IF(H803&lt;&gt;"원인분석 대상","",IF(J803&gt;0,"붙임 문서 확인 후 원인 확정 필요","결의서명 기반 원인분류 검토")))</x:f>
      </x:c>
    </x:row>
    <x:row r="804">
      <x:c r="A804" s="73" t="str">
        <x:f>IFERROR(INDEX('계산도우미'!$B$5:$B$2004,MATCH(ROWS($A$5:A804),'계산도우미'!$K$5:$K$2004,0)),"")</x:f>
      </x:c>
      <x:c r="B804" s="73" t="str">
        <x:f>IF(A804="","",IFERROR(INDEX('당기원장'!$B$5:$B$1004,MATCH(A804,'당기원장'!$A$5:$A$1004,0)),IFERROR(INDEX('전기원장'!$B$5:$B$1004,MATCH(A804,'전기원장'!$A$5:$A$1004,0)),"")))</x:f>
      </x:c>
      <x:c r="C804" s="75" t="str">
        <x:f>IF(A804="","",SUMIF('전기원장'!$A$5:$A$1004,A804,'전기원장'!$H$5:$H$1004))</x:f>
      </x:c>
      <x:c r="D804" s="75" t="str">
        <x:f>IF(A804="","",SUMIF('당기원장'!$A$5:$A$1004,A804,'당기원장'!$H$5:$H$1004))</x:f>
      </x:c>
      <x:c r="E804" s="75" t="str">
        <x:f>IF(A804="","",D804-C804)</x:f>
      </x:c>
      <x:c r="F804" s="88" t="str">
        <x:f>IF(A804="","",IF(C804=0,IF(D804=0,0,1),ABS(E804)/ABS(C804)))</x:f>
      </x:c>
      <x:c r="G804" s="73" t="str">
        <x:f>IF(A804="","",IF(AND(C804=0,D804&lt;&gt;0),"신규",IF(AND(C804&lt;&gt;0,D804=0),"소멸",IF(E804=0,"변동없음","금액변동"))))</x:f>
      </x:c>
      <x:c r="H804" s="73" t="str">
        <x:f>IF(A804="","",IF(AND(ABS(E804)&gt;='기준설정'!$B$6,OR(G804="신규",G804="소멸",F804&gt;='기준설정'!$B$5)),"원인분석 대상","일반"))</x:f>
      </x:c>
      <x:c r="I804" s="73" t="str">
        <x:f>IF(A804="","",IF(H804="원인분석 대상","세부원인분석 시트에서 거래별 원인을 검토","-"))</x:f>
      </x:c>
      <x:c r="J804" s="73" t="str">
        <x:f>IF(A804="","",COUNTIFS('전기원장'!$A$5:$A$1004,A804,'전기원장'!$J$5:$J$1004,"확인 필요")+COUNTIFS('당기원장'!$A$5:$A$1004,A804,'당기원장'!$J$5:$J$1004,"확인 필요"))</x:f>
      </x:c>
      <x:c r="K804" s="85" t="str">
        <x:f>IF(A804="","",IF(H804&lt;&gt;"원인분석 대상","",IF(J804&gt;0,"붙임 문서 확인 후 원인 확정 필요","결의서명 기반 원인분류 검토")))</x:f>
      </x:c>
    </x:row>
    <x:row r="805">
      <x:c r="A805" s="73" t="str">
        <x:f>IFERROR(INDEX('계산도우미'!$B$5:$B$2004,MATCH(ROWS($A$5:A805),'계산도우미'!$K$5:$K$2004,0)),"")</x:f>
      </x:c>
      <x:c r="B805" s="73" t="str">
        <x:f>IF(A805="","",IFERROR(INDEX('당기원장'!$B$5:$B$1004,MATCH(A805,'당기원장'!$A$5:$A$1004,0)),IFERROR(INDEX('전기원장'!$B$5:$B$1004,MATCH(A805,'전기원장'!$A$5:$A$1004,0)),"")))</x:f>
      </x:c>
      <x:c r="C805" s="75" t="str">
        <x:f>IF(A805="","",SUMIF('전기원장'!$A$5:$A$1004,A805,'전기원장'!$H$5:$H$1004))</x:f>
      </x:c>
      <x:c r="D805" s="75" t="str">
        <x:f>IF(A805="","",SUMIF('당기원장'!$A$5:$A$1004,A805,'당기원장'!$H$5:$H$1004))</x:f>
      </x:c>
      <x:c r="E805" s="75" t="str">
        <x:f>IF(A805="","",D805-C805)</x:f>
      </x:c>
      <x:c r="F805" s="88" t="str">
        <x:f>IF(A805="","",IF(C805=0,IF(D805=0,0,1),ABS(E805)/ABS(C805)))</x:f>
      </x:c>
      <x:c r="G805" s="73" t="str">
        <x:f>IF(A805="","",IF(AND(C805=0,D805&lt;&gt;0),"신규",IF(AND(C805&lt;&gt;0,D805=0),"소멸",IF(E805=0,"변동없음","금액변동"))))</x:f>
      </x:c>
      <x:c r="H805" s="73" t="str">
        <x:f>IF(A805="","",IF(AND(ABS(E805)&gt;='기준설정'!$B$6,OR(G805="신규",G805="소멸",F805&gt;='기준설정'!$B$5)),"원인분석 대상","일반"))</x:f>
      </x:c>
      <x:c r="I805" s="73" t="str">
        <x:f>IF(A805="","",IF(H805="원인분석 대상","세부원인분석 시트에서 거래별 원인을 검토","-"))</x:f>
      </x:c>
      <x:c r="J805" s="73" t="str">
        <x:f>IF(A805="","",COUNTIFS('전기원장'!$A$5:$A$1004,A805,'전기원장'!$J$5:$J$1004,"확인 필요")+COUNTIFS('당기원장'!$A$5:$A$1004,A805,'당기원장'!$J$5:$J$1004,"확인 필요"))</x:f>
      </x:c>
      <x:c r="K805" s="85" t="str">
        <x:f>IF(A805="","",IF(H805&lt;&gt;"원인분석 대상","",IF(J805&gt;0,"붙임 문서 확인 후 원인 확정 필요","결의서명 기반 원인분류 검토")))</x:f>
      </x:c>
    </x:row>
    <x:row r="806">
      <x:c r="A806" s="73" t="str">
        <x:f>IFERROR(INDEX('계산도우미'!$B$5:$B$2004,MATCH(ROWS($A$5:A806),'계산도우미'!$K$5:$K$2004,0)),"")</x:f>
      </x:c>
      <x:c r="B806" s="73" t="str">
        <x:f>IF(A806="","",IFERROR(INDEX('당기원장'!$B$5:$B$1004,MATCH(A806,'당기원장'!$A$5:$A$1004,0)),IFERROR(INDEX('전기원장'!$B$5:$B$1004,MATCH(A806,'전기원장'!$A$5:$A$1004,0)),"")))</x:f>
      </x:c>
      <x:c r="C806" s="75" t="str">
        <x:f>IF(A806="","",SUMIF('전기원장'!$A$5:$A$1004,A806,'전기원장'!$H$5:$H$1004))</x:f>
      </x:c>
      <x:c r="D806" s="75" t="str">
        <x:f>IF(A806="","",SUMIF('당기원장'!$A$5:$A$1004,A806,'당기원장'!$H$5:$H$1004))</x:f>
      </x:c>
      <x:c r="E806" s="75" t="str">
        <x:f>IF(A806="","",D806-C806)</x:f>
      </x:c>
      <x:c r="F806" s="88" t="str">
        <x:f>IF(A806="","",IF(C806=0,IF(D806=0,0,1),ABS(E806)/ABS(C806)))</x:f>
      </x:c>
      <x:c r="G806" s="73" t="str">
        <x:f>IF(A806="","",IF(AND(C806=0,D806&lt;&gt;0),"신규",IF(AND(C806&lt;&gt;0,D806=0),"소멸",IF(E806=0,"변동없음","금액변동"))))</x:f>
      </x:c>
      <x:c r="H806" s="73" t="str">
        <x:f>IF(A806="","",IF(AND(ABS(E806)&gt;='기준설정'!$B$6,OR(G806="신규",G806="소멸",F806&gt;='기준설정'!$B$5)),"원인분석 대상","일반"))</x:f>
      </x:c>
      <x:c r="I806" s="73" t="str">
        <x:f>IF(A806="","",IF(H806="원인분석 대상","세부원인분석 시트에서 거래별 원인을 검토","-"))</x:f>
      </x:c>
      <x:c r="J806" s="73" t="str">
        <x:f>IF(A806="","",COUNTIFS('전기원장'!$A$5:$A$1004,A806,'전기원장'!$J$5:$J$1004,"확인 필요")+COUNTIFS('당기원장'!$A$5:$A$1004,A806,'당기원장'!$J$5:$J$1004,"확인 필요"))</x:f>
      </x:c>
      <x:c r="K806" s="85" t="str">
        <x:f>IF(A806="","",IF(H806&lt;&gt;"원인분석 대상","",IF(J806&gt;0,"붙임 문서 확인 후 원인 확정 필요","결의서명 기반 원인분류 검토")))</x:f>
      </x:c>
    </x:row>
    <x:row r="807">
      <x:c r="A807" s="73" t="str">
        <x:f>IFERROR(INDEX('계산도우미'!$B$5:$B$2004,MATCH(ROWS($A$5:A807),'계산도우미'!$K$5:$K$2004,0)),"")</x:f>
      </x:c>
      <x:c r="B807" s="73" t="str">
        <x:f>IF(A807="","",IFERROR(INDEX('당기원장'!$B$5:$B$1004,MATCH(A807,'당기원장'!$A$5:$A$1004,0)),IFERROR(INDEX('전기원장'!$B$5:$B$1004,MATCH(A807,'전기원장'!$A$5:$A$1004,0)),"")))</x:f>
      </x:c>
      <x:c r="C807" s="75" t="str">
        <x:f>IF(A807="","",SUMIF('전기원장'!$A$5:$A$1004,A807,'전기원장'!$H$5:$H$1004))</x:f>
      </x:c>
      <x:c r="D807" s="75" t="str">
        <x:f>IF(A807="","",SUMIF('당기원장'!$A$5:$A$1004,A807,'당기원장'!$H$5:$H$1004))</x:f>
      </x:c>
      <x:c r="E807" s="75" t="str">
        <x:f>IF(A807="","",D807-C807)</x:f>
      </x:c>
      <x:c r="F807" s="88" t="str">
        <x:f>IF(A807="","",IF(C807=0,IF(D807=0,0,1),ABS(E807)/ABS(C807)))</x:f>
      </x:c>
      <x:c r="G807" s="73" t="str">
        <x:f>IF(A807="","",IF(AND(C807=0,D807&lt;&gt;0),"신규",IF(AND(C807&lt;&gt;0,D807=0),"소멸",IF(E807=0,"변동없음","금액변동"))))</x:f>
      </x:c>
      <x:c r="H807" s="73" t="str">
        <x:f>IF(A807="","",IF(AND(ABS(E807)&gt;='기준설정'!$B$6,OR(G807="신규",G807="소멸",F807&gt;='기준설정'!$B$5)),"원인분석 대상","일반"))</x:f>
      </x:c>
      <x:c r="I807" s="73" t="str">
        <x:f>IF(A807="","",IF(H807="원인분석 대상","세부원인분석 시트에서 거래별 원인을 검토","-"))</x:f>
      </x:c>
      <x:c r="J807" s="73" t="str">
        <x:f>IF(A807="","",COUNTIFS('전기원장'!$A$5:$A$1004,A807,'전기원장'!$J$5:$J$1004,"확인 필요")+COUNTIFS('당기원장'!$A$5:$A$1004,A807,'당기원장'!$J$5:$J$1004,"확인 필요"))</x:f>
      </x:c>
      <x:c r="K807" s="85" t="str">
        <x:f>IF(A807="","",IF(H807&lt;&gt;"원인분석 대상","",IF(J807&gt;0,"붙임 문서 확인 후 원인 확정 필요","결의서명 기반 원인분류 검토")))</x:f>
      </x:c>
    </x:row>
    <x:row r="808">
      <x:c r="A808" s="73" t="str">
        <x:f>IFERROR(INDEX('계산도우미'!$B$5:$B$2004,MATCH(ROWS($A$5:A808),'계산도우미'!$K$5:$K$2004,0)),"")</x:f>
      </x:c>
      <x:c r="B808" s="73" t="str">
        <x:f>IF(A808="","",IFERROR(INDEX('당기원장'!$B$5:$B$1004,MATCH(A808,'당기원장'!$A$5:$A$1004,0)),IFERROR(INDEX('전기원장'!$B$5:$B$1004,MATCH(A808,'전기원장'!$A$5:$A$1004,0)),"")))</x:f>
      </x:c>
      <x:c r="C808" s="75" t="str">
        <x:f>IF(A808="","",SUMIF('전기원장'!$A$5:$A$1004,A808,'전기원장'!$H$5:$H$1004))</x:f>
      </x:c>
      <x:c r="D808" s="75" t="str">
        <x:f>IF(A808="","",SUMIF('당기원장'!$A$5:$A$1004,A808,'당기원장'!$H$5:$H$1004))</x:f>
      </x:c>
      <x:c r="E808" s="75" t="str">
        <x:f>IF(A808="","",D808-C808)</x:f>
      </x:c>
      <x:c r="F808" s="88" t="str">
        <x:f>IF(A808="","",IF(C808=0,IF(D808=0,0,1),ABS(E808)/ABS(C808)))</x:f>
      </x:c>
      <x:c r="G808" s="73" t="str">
        <x:f>IF(A808="","",IF(AND(C808=0,D808&lt;&gt;0),"신규",IF(AND(C808&lt;&gt;0,D808=0),"소멸",IF(E808=0,"변동없음","금액변동"))))</x:f>
      </x:c>
      <x:c r="H808" s="73" t="str">
        <x:f>IF(A808="","",IF(AND(ABS(E808)&gt;='기준설정'!$B$6,OR(G808="신규",G808="소멸",F808&gt;='기준설정'!$B$5)),"원인분석 대상","일반"))</x:f>
      </x:c>
      <x:c r="I808" s="73" t="str">
        <x:f>IF(A808="","",IF(H808="원인분석 대상","세부원인분석 시트에서 거래별 원인을 검토","-"))</x:f>
      </x:c>
      <x:c r="J808" s="73" t="str">
        <x:f>IF(A808="","",COUNTIFS('전기원장'!$A$5:$A$1004,A808,'전기원장'!$J$5:$J$1004,"확인 필요")+COUNTIFS('당기원장'!$A$5:$A$1004,A808,'당기원장'!$J$5:$J$1004,"확인 필요"))</x:f>
      </x:c>
      <x:c r="K808" s="85" t="str">
        <x:f>IF(A808="","",IF(H808&lt;&gt;"원인분석 대상","",IF(J808&gt;0,"붙임 문서 확인 후 원인 확정 필요","결의서명 기반 원인분류 검토")))</x:f>
      </x:c>
    </x:row>
    <x:row r="809">
      <x:c r="A809" s="73" t="str">
        <x:f>IFERROR(INDEX('계산도우미'!$B$5:$B$2004,MATCH(ROWS($A$5:A809),'계산도우미'!$K$5:$K$2004,0)),"")</x:f>
      </x:c>
      <x:c r="B809" s="73" t="str">
        <x:f>IF(A809="","",IFERROR(INDEX('당기원장'!$B$5:$B$1004,MATCH(A809,'당기원장'!$A$5:$A$1004,0)),IFERROR(INDEX('전기원장'!$B$5:$B$1004,MATCH(A809,'전기원장'!$A$5:$A$1004,0)),"")))</x:f>
      </x:c>
      <x:c r="C809" s="75" t="str">
        <x:f>IF(A809="","",SUMIF('전기원장'!$A$5:$A$1004,A809,'전기원장'!$H$5:$H$1004))</x:f>
      </x:c>
      <x:c r="D809" s="75" t="str">
        <x:f>IF(A809="","",SUMIF('당기원장'!$A$5:$A$1004,A809,'당기원장'!$H$5:$H$1004))</x:f>
      </x:c>
      <x:c r="E809" s="75" t="str">
        <x:f>IF(A809="","",D809-C809)</x:f>
      </x:c>
      <x:c r="F809" s="88" t="str">
        <x:f>IF(A809="","",IF(C809=0,IF(D809=0,0,1),ABS(E809)/ABS(C809)))</x:f>
      </x:c>
      <x:c r="G809" s="73" t="str">
        <x:f>IF(A809="","",IF(AND(C809=0,D809&lt;&gt;0),"신규",IF(AND(C809&lt;&gt;0,D809=0),"소멸",IF(E809=0,"변동없음","금액변동"))))</x:f>
      </x:c>
      <x:c r="H809" s="73" t="str">
        <x:f>IF(A809="","",IF(AND(ABS(E809)&gt;='기준설정'!$B$6,OR(G809="신규",G809="소멸",F809&gt;='기준설정'!$B$5)),"원인분석 대상","일반"))</x:f>
      </x:c>
      <x:c r="I809" s="73" t="str">
        <x:f>IF(A809="","",IF(H809="원인분석 대상","세부원인분석 시트에서 거래별 원인을 검토","-"))</x:f>
      </x:c>
      <x:c r="J809" s="73" t="str">
        <x:f>IF(A809="","",COUNTIFS('전기원장'!$A$5:$A$1004,A809,'전기원장'!$J$5:$J$1004,"확인 필요")+COUNTIFS('당기원장'!$A$5:$A$1004,A809,'당기원장'!$J$5:$J$1004,"확인 필요"))</x:f>
      </x:c>
      <x:c r="K809" s="85" t="str">
        <x:f>IF(A809="","",IF(H809&lt;&gt;"원인분석 대상","",IF(J809&gt;0,"붙임 문서 확인 후 원인 확정 필요","결의서명 기반 원인분류 검토")))</x:f>
      </x:c>
    </x:row>
    <x:row r="810">
      <x:c r="A810" s="73" t="str">
        <x:f>IFERROR(INDEX('계산도우미'!$B$5:$B$2004,MATCH(ROWS($A$5:A810),'계산도우미'!$K$5:$K$2004,0)),"")</x:f>
      </x:c>
      <x:c r="B810" s="73" t="str">
        <x:f>IF(A810="","",IFERROR(INDEX('당기원장'!$B$5:$B$1004,MATCH(A810,'당기원장'!$A$5:$A$1004,0)),IFERROR(INDEX('전기원장'!$B$5:$B$1004,MATCH(A810,'전기원장'!$A$5:$A$1004,0)),"")))</x:f>
      </x:c>
      <x:c r="C810" s="75" t="str">
        <x:f>IF(A810="","",SUMIF('전기원장'!$A$5:$A$1004,A810,'전기원장'!$H$5:$H$1004))</x:f>
      </x:c>
      <x:c r="D810" s="75" t="str">
        <x:f>IF(A810="","",SUMIF('당기원장'!$A$5:$A$1004,A810,'당기원장'!$H$5:$H$1004))</x:f>
      </x:c>
      <x:c r="E810" s="75" t="str">
        <x:f>IF(A810="","",D810-C810)</x:f>
      </x:c>
      <x:c r="F810" s="88" t="str">
        <x:f>IF(A810="","",IF(C810=0,IF(D810=0,0,1),ABS(E810)/ABS(C810)))</x:f>
      </x:c>
      <x:c r="G810" s="73" t="str">
        <x:f>IF(A810="","",IF(AND(C810=0,D810&lt;&gt;0),"신규",IF(AND(C810&lt;&gt;0,D810=0),"소멸",IF(E810=0,"변동없음","금액변동"))))</x:f>
      </x:c>
      <x:c r="H810" s="73" t="str">
        <x:f>IF(A810="","",IF(AND(ABS(E810)&gt;='기준설정'!$B$6,OR(G810="신규",G810="소멸",F810&gt;='기준설정'!$B$5)),"원인분석 대상","일반"))</x:f>
      </x:c>
      <x:c r="I810" s="73" t="str">
        <x:f>IF(A810="","",IF(H810="원인분석 대상","세부원인분석 시트에서 거래별 원인을 검토","-"))</x:f>
      </x:c>
      <x:c r="J810" s="73" t="str">
        <x:f>IF(A810="","",COUNTIFS('전기원장'!$A$5:$A$1004,A810,'전기원장'!$J$5:$J$1004,"확인 필요")+COUNTIFS('당기원장'!$A$5:$A$1004,A810,'당기원장'!$J$5:$J$1004,"확인 필요"))</x:f>
      </x:c>
      <x:c r="K810" s="85" t="str">
        <x:f>IF(A810="","",IF(H810&lt;&gt;"원인분석 대상","",IF(J810&gt;0,"붙임 문서 확인 후 원인 확정 필요","결의서명 기반 원인분류 검토")))</x:f>
      </x:c>
    </x:row>
    <x:row r="811">
      <x:c r="A811" s="73" t="str">
        <x:f>IFERROR(INDEX('계산도우미'!$B$5:$B$2004,MATCH(ROWS($A$5:A811),'계산도우미'!$K$5:$K$2004,0)),"")</x:f>
      </x:c>
      <x:c r="B811" s="73" t="str">
        <x:f>IF(A811="","",IFERROR(INDEX('당기원장'!$B$5:$B$1004,MATCH(A811,'당기원장'!$A$5:$A$1004,0)),IFERROR(INDEX('전기원장'!$B$5:$B$1004,MATCH(A811,'전기원장'!$A$5:$A$1004,0)),"")))</x:f>
      </x:c>
      <x:c r="C811" s="75" t="str">
        <x:f>IF(A811="","",SUMIF('전기원장'!$A$5:$A$1004,A811,'전기원장'!$H$5:$H$1004))</x:f>
      </x:c>
      <x:c r="D811" s="75" t="str">
        <x:f>IF(A811="","",SUMIF('당기원장'!$A$5:$A$1004,A811,'당기원장'!$H$5:$H$1004))</x:f>
      </x:c>
      <x:c r="E811" s="75" t="str">
        <x:f>IF(A811="","",D811-C811)</x:f>
      </x:c>
      <x:c r="F811" s="88" t="str">
        <x:f>IF(A811="","",IF(C811=0,IF(D811=0,0,1),ABS(E811)/ABS(C811)))</x:f>
      </x:c>
      <x:c r="G811" s="73" t="str">
        <x:f>IF(A811="","",IF(AND(C811=0,D811&lt;&gt;0),"신규",IF(AND(C811&lt;&gt;0,D811=0),"소멸",IF(E811=0,"변동없음","금액변동"))))</x:f>
      </x:c>
      <x:c r="H811" s="73" t="str">
        <x:f>IF(A811="","",IF(AND(ABS(E811)&gt;='기준설정'!$B$6,OR(G811="신규",G811="소멸",F811&gt;='기준설정'!$B$5)),"원인분석 대상","일반"))</x:f>
      </x:c>
      <x:c r="I811" s="73" t="str">
        <x:f>IF(A811="","",IF(H811="원인분석 대상","세부원인분석 시트에서 거래별 원인을 검토","-"))</x:f>
      </x:c>
      <x:c r="J811" s="73" t="str">
        <x:f>IF(A811="","",COUNTIFS('전기원장'!$A$5:$A$1004,A811,'전기원장'!$J$5:$J$1004,"확인 필요")+COUNTIFS('당기원장'!$A$5:$A$1004,A811,'당기원장'!$J$5:$J$1004,"확인 필요"))</x:f>
      </x:c>
      <x:c r="K811" s="85" t="str">
        <x:f>IF(A811="","",IF(H811&lt;&gt;"원인분석 대상","",IF(J811&gt;0,"붙임 문서 확인 후 원인 확정 필요","결의서명 기반 원인분류 검토")))</x:f>
      </x:c>
    </x:row>
    <x:row r="812">
      <x:c r="A812" s="73" t="str">
        <x:f>IFERROR(INDEX('계산도우미'!$B$5:$B$2004,MATCH(ROWS($A$5:A812),'계산도우미'!$K$5:$K$2004,0)),"")</x:f>
      </x:c>
      <x:c r="B812" s="73" t="str">
        <x:f>IF(A812="","",IFERROR(INDEX('당기원장'!$B$5:$B$1004,MATCH(A812,'당기원장'!$A$5:$A$1004,0)),IFERROR(INDEX('전기원장'!$B$5:$B$1004,MATCH(A812,'전기원장'!$A$5:$A$1004,0)),"")))</x:f>
      </x:c>
      <x:c r="C812" s="75" t="str">
        <x:f>IF(A812="","",SUMIF('전기원장'!$A$5:$A$1004,A812,'전기원장'!$H$5:$H$1004))</x:f>
      </x:c>
      <x:c r="D812" s="75" t="str">
        <x:f>IF(A812="","",SUMIF('당기원장'!$A$5:$A$1004,A812,'당기원장'!$H$5:$H$1004))</x:f>
      </x:c>
      <x:c r="E812" s="75" t="str">
        <x:f>IF(A812="","",D812-C812)</x:f>
      </x:c>
      <x:c r="F812" s="88" t="str">
        <x:f>IF(A812="","",IF(C812=0,IF(D812=0,0,1),ABS(E812)/ABS(C812)))</x:f>
      </x:c>
      <x:c r="G812" s="73" t="str">
        <x:f>IF(A812="","",IF(AND(C812=0,D812&lt;&gt;0),"신규",IF(AND(C812&lt;&gt;0,D812=0),"소멸",IF(E812=0,"변동없음","금액변동"))))</x:f>
      </x:c>
      <x:c r="H812" s="73" t="str">
        <x:f>IF(A812="","",IF(AND(ABS(E812)&gt;='기준설정'!$B$6,OR(G812="신규",G812="소멸",F812&gt;='기준설정'!$B$5)),"원인분석 대상","일반"))</x:f>
      </x:c>
      <x:c r="I812" s="73" t="str">
        <x:f>IF(A812="","",IF(H812="원인분석 대상","세부원인분석 시트에서 거래별 원인을 검토","-"))</x:f>
      </x:c>
      <x:c r="J812" s="73" t="str">
        <x:f>IF(A812="","",COUNTIFS('전기원장'!$A$5:$A$1004,A812,'전기원장'!$J$5:$J$1004,"확인 필요")+COUNTIFS('당기원장'!$A$5:$A$1004,A812,'당기원장'!$J$5:$J$1004,"확인 필요"))</x:f>
      </x:c>
      <x:c r="K812" s="85" t="str">
        <x:f>IF(A812="","",IF(H812&lt;&gt;"원인분석 대상","",IF(J812&gt;0,"붙임 문서 확인 후 원인 확정 필요","결의서명 기반 원인분류 검토")))</x:f>
      </x:c>
    </x:row>
    <x:row r="813">
      <x:c r="A813" s="73" t="str">
        <x:f>IFERROR(INDEX('계산도우미'!$B$5:$B$2004,MATCH(ROWS($A$5:A813),'계산도우미'!$K$5:$K$2004,0)),"")</x:f>
      </x:c>
      <x:c r="B813" s="73" t="str">
        <x:f>IF(A813="","",IFERROR(INDEX('당기원장'!$B$5:$B$1004,MATCH(A813,'당기원장'!$A$5:$A$1004,0)),IFERROR(INDEX('전기원장'!$B$5:$B$1004,MATCH(A813,'전기원장'!$A$5:$A$1004,0)),"")))</x:f>
      </x:c>
      <x:c r="C813" s="75" t="str">
        <x:f>IF(A813="","",SUMIF('전기원장'!$A$5:$A$1004,A813,'전기원장'!$H$5:$H$1004))</x:f>
      </x:c>
      <x:c r="D813" s="75" t="str">
        <x:f>IF(A813="","",SUMIF('당기원장'!$A$5:$A$1004,A813,'당기원장'!$H$5:$H$1004))</x:f>
      </x:c>
      <x:c r="E813" s="75" t="str">
        <x:f>IF(A813="","",D813-C813)</x:f>
      </x:c>
      <x:c r="F813" s="88" t="str">
        <x:f>IF(A813="","",IF(C813=0,IF(D813=0,0,1),ABS(E813)/ABS(C813)))</x:f>
      </x:c>
      <x:c r="G813" s="73" t="str">
        <x:f>IF(A813="","",IF(AND(C813=0,D813&lt;&gt;0),"신규",IF(AND(C813&lt;&gt;0,D813=0),"소멸",IF(E813=0,"변동없음","금액변동"))))</x:f>
      </x:c>
      <x:c r="H813" s="73" t="str">
        <x:f>IF(A813="","",IF(AND(ABS(E813)&gt;='기준설정'!$B$6,OR(G813="신규",G813="소멸",F813&gt;='기준설정'!$B$5)),"원인분석 대상","일반"))</x:f>
      </x:c>
      <x:c r="I813" s="73" t="str">
        <x:f>IF(A813="","",IF(H813="원인분석 대상","세부원인분석 시트에서 거래별 원인을 검토","-"))</x:f>
      </x:c>
      <x:c r="J813" s="73" t="str">
        <x:f>IF(A813="","",COUNTIFS('전기원장'!$A$5:$A$1004,A813,'전기원장'!$J$5:$J$1004,"확인 필요")+COUNTIFS('당기원장'!$A$5:$A$1004,A813,'당기원장'!$J$5:$J$1004,"확인 필요"))</x:f>
      </x:c>
      <x:c r="K813" s="85" t="str">
        <x:f>IF(A813="","",IF(H813&lt;&gt;"원인분석 대상","",IF(J813&gt;0,"붙임 문서 확인 후 원인 확정 필요","결의서명 기반 원인분류 검토")))</x:f>
      </x:c>
    </x:row>
    <x:row r="814">
      <x:c r="A814" s="73" t="str">
        <x:f>IFERROR(INDEX('계산도우미'!$B$5:$B$2004,MATCH(ROWS($A$5:A814),'계산도우미'!$K$5:$K$2004,0)),"")</x:f>
      </x:c>
      <x:c r="B814" s="73" t="str">
        <x:f>IF(A814="","",IFERROR(INDEX('당기원장'!$B$5:$B$1004,MATCH(A814,'당기원장'!$A$5:$A$1004,0)),IFERROR(INDEX('전기원장'!$B$5:$B$1004,MATCH(A814,'전기원장'!$A$5:$A$1004,0)),"")))</x:f>
      </x:c>
      <x:c r="C814" s="75" t="str">
        <x:f>IF(A814="","",SUMIF('전기원장'!$A$5:$A$1004,A814,'전기원장'!$H$5:$H$1004))</x:f>
      </x:c>
      <x:c r="D814" s="75" t="str">
        <x:f>IF(A814="","",SUMIF('당기원장'!$A$5:$A$1004,A814,'당기원장'!$H$5:$H$1004))</x:f>
      </x:c>
      <x:c r="E814" s="75" t="str">
        <x:f>IF(A814="","",D814-C814)</x:f>
      </x:c>
      <x:c r="F814" s="88" t="str">
        <x:f>IF(A814="","",IF(C814=0,IF(D814=0,0,1),ABS(E814)/ABS(C814)))</x:f>
      </x:c>
      <x:c r="G814" s="73" t="str">
        <x:f>IF(A814="","",IF(AND(C814=0,D814&lt;&gt;0),"신규",IF(AND(C814&lt;&gt;0,D814=0),"소멸",IF(E814=0,"변동없음","금액변동"))))</x:f>
      </x:c>
      <x:c r="H814" s="73" t="str">
        <x:f>IF(A814="","",IF(AND(ABS(E814)&gt;='기준설정'!$B$6,OR(G814="신규",G814="소멸",F814&gt;='기준설정'!$B$5)),"원인분석 대상","일반"))</x:f>
      </x:c>
      <x:c r="I814" s="73" t="str">
        <x:f>IF(A814="","",IF(H814="원인분석 대상","세부원인분석 시트에서 거래별 원인을 검토","-"))</x:f>
      </x:c>
      <x:c r="J814" s="73" t="str">
        <x:f>IF(A814="","",COUNTIFS('전기원장'!$A$5:$A$1004,A814,'전기원장'!$J$5:$J$1004,"확인 필요")+COUNTIFS('당기원장'!$A$5:$A$1004,A814,'당기원장'!$J$5:$J$1004,"확인 필요"))</x:f>
      </x:c>
      <x:c r="K814" s="85" t="str">
        <x:f>IF(A814="","",IF(H814&lt;&gt;"원인분석 대상","",IF(J814&gt;0,"붙임 문서 확인 후 원인 확정 필요","결의서명 기반 원인분류 검토")))</x:f>
      </x:c>
    </x:row>
    <x:row r="815">
      <x:c r="A815" s="73" t="str">
        <x:f>IFERROR(INDEX('계산도우미'!$B$5:$B$2004,MATCH(ROWS($A$5:A815),'계산도우미'!$K$5:$K$2004,0)),"")</x:f>
      </x:c>
      <x:c r="B815" s="73" t="str">
        <x:f>IF(A815="","",IFERROR(INDEX('당기원장'!$B$5:$B$1004,MATCH(A815,'당기원장'!$A$5:$A$1004,0)),IFERROR(INDEX('전기원장'!$B$5:$B$1004,MATCH(A815,'전기원장'!$A$5:$A$1004,0)),"")))</x:f>
      </x:c>
      <x:c r="C815" s="75" t="str">
        <x:f>IF(A815="","",SUMIF('전기원장'!$A$5:$A$1004,A815,'전기원장'!$H$5:$H$1004))</x:f>
      </x:c>
      <x:c r="D815" s="75" t="str">
        <x:f>IF(A815="","",SUMIF('당기원장'!$A$5:$A$1004,A815,'당기원장'!$H$5:$H$1004))</x:f>
      </x:c>
      <x:c r="E815" s="75" t="str">
        <x:f>IF(A815="","",D815-C815)</x:f>
      </x:c>
      <x:c r="F815" s="88" t="str">
        <x:f>IF(A815="","",IF(C815=0,IF(D815=0,0,1),ABS(E815)/ABS(C815)))</x:f>
      </x:c>
      <x:c r="G815" s="73" t="str">
        <x:f>IF(A815="","",IF(AND(C815=0,D815&lt;&gt;0),"신규",IF(AND(C815&lt;&gt;0,D815=0),"소멸",IF(E815=0,"변동없음","금액변동"))))</x:f>
      </x:c>
      <x:c r="H815" s="73" t="str">
        <x:f>IF(A815="","",IF(AND(ABS(E815)&gt;='기준설정'!$B$6,OR(G815="신규",G815="소멸",F815&gt;='기준설정'!$B$5)),"원인분석 대상","일반"))</x:f>
      </x:c>
      <x:c r="I815" s="73" t="str">
        <x:f>IF(A815="","",IF(H815="원인분석 대상","세부원인분석 시트에서 거래별 원인을 검토","-"))</x:f>
      </x:c>
      <x:c r="J815" s="73" t="str">
        <x:f>IF(A815="","",COUNTIFS('전기원장'!$A$5:$A$1004,A815,'전기원장'!$J$5:$J$1004,"확인 필요")+COUNTIFS('당기원장'!$A$5:$A$1004,A815,'당기원장'!$J$5:$J$1004,"확인 필요"))</x:f>
      </x:c>
      <x:c r="K815" s="85" t="str">
        <x:f>IF(A815="","",IF(H815&lt;&gt;"원인분석 대상","",IF(J815&gt;0,"붙임 문서 확인 후 원인 확정 필요","결의서명 기반 원인분류 검토")))</x:f>
      </x:c>
    </x:row>
    <x:row r="816">
      <x:c r="A816" s="73" t="str">
        <x:f>IFERROR(INDEX('계산도우미'!$B$5:$B$2004,MATCH(ROWS($A$5:A816),'계산도우미'!$K$5:$K$2004,0)),"")</x:f>
      </x:c>
      <x:c r="B816" s="73" t="str">
        <x:f>IF(A816="","",IFERROR(INDEX('당기원장'!$B$5:$B$1004,MATCH(A816,'당기원장'!$A$5:$A$1004,0)),IFERROR(INDEX('전기원장'!$B$5:$B$1004,MATCH(A816,'전기원장'!$A$5:$A$1004,0)),"")))</x:f>
      </x:c>
      <x:c r="C816" s="75" t="str">
        <x:f>IF(A816="","",SUMIF('전기원장'!$A$5:$A$1004,A816,'전기원장'!$H$5:$H$1004))</x:f>
      </x:c>
      <x:c r="D816" s="75" t="str">
        <x:f>IF(A816="","",SUMIF('당기원장'!$A$5:$A$1004,A816,'당기원장'!$H$5:$H$1004))</x:f>
      </x:c>
      <x:c r="E816" s="75" t="str">
        <x:f>IF(A816="","",D816-C816)</x:f>
      </x:c>
      <x:c r="F816" s="88" t="str">
        <x:f>IF(A816="","",IF(C816=0,IF(D816=0,0,1),ABS(E816)/ABS(C816)))</x:f>
      </x:c>
      <x:c r="G816" s="73" t="str">
        <x:f>IF(A816="","",IF(AND(C816=0,D816&lt;&gt;0),"신규",IF(AND(C816&lt;&gt;0,D816=0),"소멸",IF(E816=0,"변동없음","금액변동"))))</x:f>
      </x:c>
      <x:c r="H816" s="73" t="str">
        <x:f>IF(A816="","",IF(AND(ABS(E816)&gt;='기준설정'!$B$6,OR(G816="신규",G816="소멸",F816&gt;='기준설정'!$B$5)),"원인분석 대상","일반"))</x:f>
      </x:c>
      <x:c r="I816" s="73" t="str">
        <x:f>IF(A816="","",IF(H816="원인분석 대상","세부원인분석 시트에서 거래별 원인을 검토","-"))</x:f>
      </x:c>
      <x:c r="J816" s="73" t="str">
        <x:f>IF(A816="","",COUNTIFS('전기원장'!$A$5:$A$1004,A816,'전기원장'!$J$5:$J$1004,"확인 필요")+COUNTIFS('당기원장'!$A$5:$A$1004,A816,'당기원장'!$J$5:$J$1004,"확인 필요"))</x:f>
      </x:c>
      <x:c r="K816" s="85" t="str">
        <x:f>IF(A816="","",IF(H816&lt;&gt;"원인분석 대상","",IF(J816&gt;0,"붙임 문서 확인 후 원인 확정 필요","결의서명 기반 원인분류 검토")))</x:f>
      </x:c>
    </x:row>
    <x:row r="817">
      <x:c r="A817" s="73" t="str">
        <x:f>IFERROR(INDEX('계산도우미'!$B$5:$B$2004,MATCH(ROWS($A$5:A817),'계산도우미'!$K$5:$K$2004,0)),"")</x:f>
      </x:c>
      <x:c r="B817" s="73" t="str">
        <x:f>IF(A817="","",IFERROR(INDEX('당기원장'!$B$5:$B$1004,MATCH(A817,'당기원장'!$A$5:$A$1004,0)),IFERROR(INDEX('전기원장'!$B$5:$B$1004,MATCH(A817,'전기원장'!$A$5:$A$1004,0)),"")))</x:f>
      </x:c>
      <x:c r="C817" s="75" t="str">
        <x:f>IF(A817="","",SUMIF('전기원장'!$A$5:$A$1004,A817,'전기원장'!$H$5:$H$1004))</x:f>
      </x:c>
      <x:c r="D817" s="75" t="str">
        <x:f>IF(A817="","",SUMIF('당기원장'!$A$5:$A$1004,A817,'당기원장'!$H$5:$H$1004))</x:f>
      </x:c>
      <x:c r="E817" s="75" t="str">
        <x:f>IF(A817="","",D817-C817)</x:f>
      </x:c>
      <x:c r="F817" s="88" t="str">
        <x:f>IF(A817="","",IF(C817=0,IF(D817=0,0,1),ABS(E817)/ABS(C817)))</x:f>
      </x:c>
      <x:c r="G817" s="73" t="str">
        <x:f>IF(A817="","",IF(AND(C817=0,D817&lt;&gt;0),"신규",IF(AND(C817&lt;&gt;0,D817=0),"소멸",IF(E817=0,"변동없음","금액변동"))))</x:f>
      </x:c>
      <x:c r="H817" s="73" t="str">
        <x:f>IF(A817="","",IF(AND(ABS(E817)&gt;='기준설정'!$B$6,OR(G817="신규",G817="소멸",F817&gt;='기준설정'!$B$5)),"원인분석 대상","일반"))</x:f>
      </x:c>
      <x:c r="I817" s="73" t="str">
        <x:f>IF(A817="","",IF(H817="원인분석 대상","세부원인분석 시트에서 거래별 원인을 검토","-"))</x:f>
      </x:c>
      <x:c r="J817" s="73" t="str">
        <x:f>IF(A817="","",COUNTIFS('전기원장'!$A$5:$A$1004,A817,'전기원장'!$J$5:$J$1004,"확인 필요")+COUNTIFS('당기원장'!$A$5:$A$1004,A817,'당기원장'!$J$5:$J$1004,"확인 필요"))</x:f>
      </x:c>
      <x:c r="K817" s="85" t="str">
        <x:f>IF(A817="","",IF(H817&lt;&gt;"원인분석 대상","",IF(J817&gt;0,"붙임 문서 확인 후 원인 확정 필요","결의서명 기반 원인분류 검토")))</x:f>
      </x:c>
    </x:row>
    <x:row r="818">
      <x:c r="A818" s="73" t="str">
        <x:f>IFERROR(INDEX('계산도우미'!$B$5:$B$2004,MATCH(ROWS($A$5:A818),'계산도우미'!$K$5:$K$2004,0)),"")</x:f>
      </x:c>
      <x:c r="B818" s="73" t="str">
        <x:f>IF(A818="","",IFERROR(INDEX('당기원장'!$B$5:$B$1004,MATCH(A818,'당기원장'!$A$5:$A$1004,0)),IFERROR(INDEX('전기원장'!$B$5:$B$1004,MATCH(A818,'전기원장'!$A$5:$A$1004,0)),"")))</x:f>
      </x:c>
      <x:c r="C818" s="75" t="str">
        <x:f>IF(A818="","",SUMIF('전기원장'!$A$5:$A$1004,A818,'전기원장'!$H$5:$H$1004))</x:f>
      </x:c>
      <x:c r="D818" s="75" t="str">
        <x:f>IF(A818="","",SUMIF('당기원장'!$A$5:$A$1004,A818,'당기원장'!$H$5:$H$1004))</x:f>
      </x:c>
      <x:c r="E818" s="75" t="str">
        <x:f>IF(A818="","",D818-C818)</x:f>
      </x:c>
      <x:c r="F818" s="88" t="str">
        <x:f>IF(A818="","",IF(C818=0,IF(D818=0,0,1),ABS(E818)/ABS(C818)))</x:f>
      </x:c>
      <x:c r="G818" s="73" t="str">
        <x:f>IF(A818="","",IF(AND(C818=0,D818&lt;&gt;0),"신규",IF(AND(C818&lt;&gt;0,D818=0),"소멸",IF(E818=0,"변동없음","금액변동"))))</x:f>
      </x:c>
      <x:c r="H818" s="73" t="str">
        <x:f>IF(A818="","",IF(AND(ABS(E818)&gt;='기준설정'!$B$6,OR(G818="신규",G818="소멸",F818&gt;='기준설정'!$B$5)),"원인분석 대상","일반"))</x:f>
      </x:c>
      <x:c r="I818" s="73" t="str">
        <x:f>IF(A818="","",IF(H818="원인분석 대상","세부원인분석 시트에서 거래별 원인을 검토","-"))</x:f>
      </x:c>
      <x:c r="J818" s="73" t="str">
        <x:f>IF(A818="","",COUNTIFS('전기원장'!$A$5:$A$1004,A818,'전기원장'!$J$5:$J$1004,"확인 필요")+COUNTIFS('당기원장'!$A$5:$A$1004,A818,'당기원장'!$J$5:$J$1004,"확인 필요"))</x:f>
      </x:c>
      <x:c r="K818" s="85" t="str">
        <x:f>IF(A818="","",IF(H818&lt;&gt;"원인분석 대상","",IF(J818&gt;0,"붙임 문서 확인 후 원인 확정 필요","결의서명 기반 원인분류 검토")))</x:f>
      </x:c>
    </x:row>
    <x:row r="819">
      <x:c r="A819" s="73" t="str">
        <x:f>IFERROR(INDEX('계산도우미'!$B$5:$B$2004,MATCH(ROWS($A$5:A819),'계산도우미'!$K$5:$K$2004,0)),"")</x:f>
      </x:c>
      <x:c r="B819" s="73" t="str">
        <x:f>IF(A819="","",IFERROR(INDEX('당기원장'!$B$5:$B$1004,MATCH(A819,'당기원장'!$A$5:$A$1004,0)),IFERROR(INDEX('전기원장'!$B$5:$B$1004,MATCH(A819,'전기원장'!$A$5:$A$1004,0)),"")))</x:f>
      </x:c>
      <x:c r="C819" s="75" t="str">
        <x:f>IF(A819="","",SUMIF('전기원장'!$A$5:$A$1004,A819,'전기원장'!$H$5:$H$1004))</x:f>
      </x:c>
      <x:c r="D819" s="75" t="str">
        <x:f>IF(A819="","",SUMIF('당기원장'!$A$5:$A$1004,A819,'당기원장'!$H$5:$H$1004))</x:f>
      </x:c>
      <x:c r="E819" s="75" t="str">
        <x:f>IF(A819="","",D819-C819)</x:f>
      </x:c>
      <x:c r="F819" s="88" t="str">
        <x:f>IF(A819="","",IF(C819=0,IF(D819=0,0,1),ABS(E819)/ABS(C819)))</x:f>
      </x:c>
      <x:c r="G819" s="73" t="str">
        <x:f>IF(A819="","",IF(AND(C819=0,D819&lt;&gt;0),"신규",IF(AND(C819&lt;&gt;0,D819=0),"소멸",IF(E819=0,"변동없음","금액변동"))))</x:f>
      </x:c>
      <x:c r="H819" s="73" t="str">
        <x:f>IF(A819="","",IF(AND(ABS(E819)&gt;='기준설정'!$B$6,OR(G819="신규",G819="소멸",F819&gt;='기준설정'!$B$5)),"원인분석 대상","일반"))</x:f>
      </x:c>
      <x:c r="I819" s="73" t="str">
        <x:f>IF(A819="","",IF(H819="원인분석 대상","세부원인분석 시트에서 거래별 원인을 검토","-"))</x:f>
      </x:c>
      <x:c r="J819" s="73" t="str">
        <x:f>IF(A819="","",COUNTIFS('전기원장'!$A$5:$A$1004,A819,'전기원장'!$J$5:$J$1004,"확인 필요")+COUNTIFS('당기원장'!$A$5:$A$1004,A819,'당기원장'!$J$5:$J$1004,"확인 필요"))</x:f>
      </x:c>
      <x:c r="K819" s="85" t="str">
        <x:f>IF(A819="","",IF(H819&lt;&gt;"원인분석 대상","",IF(J819&gt;0,"붙임 문서 확인 후 원인 확정 필요","결의서명 기반 원인분류 검토")))</x:f>
      </x:c>
    </x:row>
    <x:row r="820">
      <x:c r="A820" s="73" t="str">
        <x:f>IFERROR(INDEX('계산도우미'!$B$5:$B$2004,MATCH(ROWS($A$5:A820),'계산도우미'!$K$5:$K$2004,0)),"")</x:f>
      </x:c>
      <x:c r="B820" s="73" t="str">
        <x:f>IF(A820="","",IFERROR(INDEX('당기원장'!$B$5:$B$1004,MATCH(A820,'당기원장'!$A$5:$A$1004,0)),IFERROR(INDEX('전기원장'!$B$5:$B$1004,MATCH(A820,'전기원장'!$A$5:$A$1004,0)),"")))</x:f>
      </x:c>
      <x:c r="C820" s="75" t="str">
        <x:f>IF(A820="","",SUMIF('전기원장'!$A$5:$A$1004,A820,'전기원장'!$H$5:$H$1004))</x:f>
      </x:c>
      <x:c r="D820" s="75" t="str">
        <x:f>IF(A820="","",SUMIF('당기원장'!$A$5:$A$1004,A820,'당기원장'!$H$5:$H$1004))</x:f>
      </x:c>
      <x:c r="E820" s="75" t="str">
        <x:f>IF(A820="","",D820-C820)</x:f>
      </x:c>
      <x:c r="F820" s="88" t="str">
        <x:f>IF(A820="","",IF(C820=0,IF(D820=0,0,1),ABS(E820)/ABS(C820)))</x:f>
      </x:c>
      <x:c r="G820" s="73" t="str">
        <x:f>IF(A820="","",IF(AND(C820=0,D820&lt;&gt;0),"신규",IF(AND(C820&lt;&gt;0,D820=0),"소멸",IF(E820=0,"변동없음","금액변동"))))</x:f>
      </x:c>
      <x:c r="H820" s="73" t="str">
        <x:f>IF(A820="","",IF(AND(ABS(E820)&gt;='기준설정'!$B$6,OR(G820="신규",G820="소멸",F820&gt;='기준설정'!$B$5)),"원인분석 대상","일반"))</x:f>
      </x:c>
      <x:c r="I820" s="73" t="str">
        <x:f>IF(A820="","",IF(H820="원인분석 대상","세부원인분석 시트에서 거래별 원인을 검토","-"))</x:f>
      </x:c>
      <x:c r="J820" s="73" t="str">
        <x:f>IF(A820="","",COUNTIFS('전기원장'!$A$5:$A$1004,A820,'전기원장'!$J$5:$J$1004,"확인 필요")+COUNTIFS('당기원장'!$A$5:$A$1004,A820,'당기원장'!$J$5:$J$1004,"확인 필요"))</x:f>
      </x:c>
      <x:c r="K820" s="85" t="str">
        <x:f>IF(A820="","",IF(H820&lt;&gt;"원인분석 대상","",IF(J820&gt;0,"붙임 문서 확인 후 원인 확정 필요","결의서명 기반 원인분류 검토")))</x:f>
      </x:c>
    </x:row>
    <x:row r="821">
      <x:c r="A821" s="73" t="str">
        <x:f>IFERROR(INDEX('계산도우미'!$B$5:$B$2004,MATCH(ROWS($A$5:A821),'계산도우미'!$K$5:$K$2004,0)),"")</x:f>
      </x:c>
      <x:c r="B821" s="73" t="str">
        <x:f>IF(A821="","",IFERROR(INDEX('당기원장'!$B$5:$B$1004,MATCH(A821,'당기원장'!$A$5:$A$1004,0)),IFERROR(INDEX('전기원장'!$B$5:$B$1004,MATCH(A821,'전기원장'!$A$5:$A$1004,0)),"")))</x:f>
      </x:c>
      <x:c r="C821" s="75" t="str">
        <x:f>IF(A821="","",SUMIF('전기원장'!$A$5:$A$1004,A821,'전기원장'!$H$5:$H$1004))</x:f>
      </x:c>
      <x:c r="D821" s="75" t="str">
        <x:f>IF(A821="","",SUMIF('당기원장'!$A$5:$A$1004,A821,'당기원장'!$H$5:$H$1004))</x:f>
      </x:c>
      <x:c r="E821" s="75" t="str">
        <x:f>IF(A821="","",D821-C821)</x:f>
      </x:c>
      <x:c r="F821" s="88" t="str">
        <x:f>IF(A821="","",IF(C821=0,IF(D821=0,0,1),ABS(E821)/ABS(C821)))</x:f>
      </x:c>
      <x:c r="G821" s="73" t="str">
        <x:f>IF(A821="","",IF(AND(C821=0,D821&lt;&gt;0),"신규",IF(AND(C821&lt;&gt;0,D821=0),"소멸",IF(E821=0,"변동없음","금액변동"))))</x:f>
      </x:c>
      <x:c r="H821" s="73" t="str">
        <x:f>IF(A821="","",IF(AND(ABS(E821)&gt;='기준설정'!$B$6,OR(G821="신규",G821="소멸",F821&gt;='기준설정'!$B$5)),"원인분석 대상","일반"))</x:f>
      </x:c>
      <x:c r="I821" s="73" t="str">
        <x:f>IF(A821="","",IF(H821="원인분석 대상","세부원인분석 시트에서 거래별 원인을 검토","-"))</x:f>
      </x:c>
      <x:c r="J821" s="73" t="str">
        <x:f>IF(A821="","",COUNTIFS('전기원장'!$A$5:$A$1004,A821,'전기원장'!$J$5:$J$1004,"확인 필요")+COUNTIFS('당기원장'!$A$5:$A$1004,A821,'당기원장'!$J$5:$J$1004,"확인 필요"))</x:f>
      </x:c>
      <x:c r="K821" s="85" t="str">
        <x:f>IF(A821="","",IF(H821&lt;&gt;"원인분석 대상","",IF(J821&gt;0,"붙임 문서 확인 후 원인 확정 필요","결의서명 기반 원인분류 검토")))</x:f>
      </x:c>
    </x:row>
    <x:row r="822">
      <x:c r="A822" s="73" t="str">
        <x:f>IFERROR(INDEX('계산도우미'!$B$5:$B$2004,MATCH(ROWS($A$5:A822),'계산도우미'!$K$5:$K$2004,0)),"")</x:f>
      </x:c>
      <x:c r="B822" s="73" t="str">
        <x:f>IF(A822="","",IFERROR(INDEX('당기원장'!$B$5:$B$1004,MATCH(A822,'당기원장'!$A$5:$A$1004,0)),IFERROR(INDEX('전기원장'!$B$5:$B$1004,MATCH(A822,'전기원장'!$A$5:$A$1004,0)),"")))</x:f>
      </x:c>
      <x:c r="C822" s="75" t="str">
        <x:f>IF(A822="","",SUMIF('전기원장'!$A$5:$A$1004,A822,'전기원장'!$H$5:$H$1004))</x:f>
      </x:c>
      <x:c r="D822" s="75" t="str">
        <x:f>IF(A822="","",SUMIF('당기원장'!$A$5:$A$1004,A822,'당기원장'!$H$5:$H$1004))</x:f>
      </x:c>
      <x:c r="E822" s="75" t="str">
        <x:f>IF(A822="","",D822-C822)</x:f>
      </x:c>
      <x:c r="F822" s="88" t="str">
        <x:f>IF(A822="","",IF(C822=0,IF(D822=0,0,1),ABS(E822)/ABS(C822)))</x:f>
      </x:c>
      <x:c r="G822" s="73" t="str">
        <x:f>IF(A822="","",IF(AND(C822=0,D822&lt;&gt;0),"신규",IF(AND(C822&lt;&gt;0,D822=0),"소멸",IF(E822=0,"변동없음","금액변동"))))</x:f>
      </x:c>
      <x:c r="H822" s="73" t="str">
        <x:f>IF(A822="","",IF(AND(ABS(E822)&gt;='기준설정'!$B$6,OR(G822="신규",G822="소멸",F822&gt;='기준설정'!$B$5)),"원인분석 대상","일반"))</x:f>
      </x:c>
      <x:c r="I822" s="73" t="str">
        <x:f>IF(A822="","",IF(H822="원인분석 대상","세부원인분석 시트에서 거래별 원인을 검토","-"))</x:f>
      </x:c>
      <x:c r="J822" s="73" t="str">
        <x:f>IF(A822="","",COUNTIFS('전기원장'!$A$5:$A$1004,A822,'전기원장'!$J$5:$J$1004,"확인 필요")+COUNTIFS('당기원장'!$A$5:$A$1004,A822,'당기원장'!$J$5:$J$1004,"확인 필요"))</x:f>
      </x:c>
      <x:c r="K822" s="85" t="str">
        <x:f>IF(A822="","",IF(H822&lt;&gt;"원인분석 대상","",IF(J822&gt;0,"붙임 문서 확인 후 원인 확정 필요","결의서명 기반 원인분류 검토")))</x:f>
      </x:c>
    </x:row>
    <x:row r="823">
      <x:c r="A823" s="73" t="str">
        <x:f>IFERROR(INDEX('계산도우미'!$B$5:$B$2004,MATCH(ROWS($A$5:A823),'계산도우미'!$K$5:$K$2004,0)),"")</x:f>
      </x:c>
      <x:c r="B823" s="73" t="str">
        <x:f>IF(A823="","",IFERROR(INDEX('당기원장'!$B$5:$B$1004,MATCH(A823,'당기원장'!$A$5:$A$1004,0)),IFERROR(INDEX('전기원장'!$B$5:$B$1004,MATCH(A823,'전기원장'!$A$5:$A$1004,0)),"")))</x:f>
      </x:c>
      <x:c r="C823" s="75" t="str">
        <x:f>IF(A823="","",SUMIF('전기원장'!$A$5:$A$1004,A823,'전기원장'!$H$5:$H$1004))</x:f>
      </x:c>
      <x:c r="D823" s="75" t="str">
        <x:f>IF(A823="","",SUMIF('당기원장'!$A$5:$A$1004,A823,'당기원장'!$H$5:$H$1004))</x:f>
      </x:c>
      <x:c r="E823" s="75" t="str">
        <x:f>IF(A823="","",D823-C823)</x:f>
      </x:c>
      <x:c r="F823" s="88" t="str">
        <x:f>IF(A823="","",IF(C823=0,IF(D823=0,0,1),ABS(E823)/ABS(C823)))</x:f>
      </x:c>
      <x:c r="G823" s="73" t="str">
        <x:f>IF(A823="","",IF(AND(C823=0,D823&lt;&gt;0),"신규",IF(AND(C823&lt;&gt;0,D823=0),"소멸",IF(E823=0,"변동없음","금액변동"))))</x:f>
      </x:c>
      <x:c r="H823" s="73" t="str">
        <x:f>IF(A823="","",IF(AND(ABS(E823)&gt;='기준설정'!$B$6,OR(G823="신규",G823="소멸",F823&gt;='기준설정'!$B$5)),"원인분석 대상","일반"))</x:f>
      </x:c>
      <x:c r="I823" s="73" t="str">
        <x:f>IF(A823="","",IF(H823="원인분석 대상","세부원인분석 시트에서 거래별 원인을 검토","-"))</x:f>
      </x:c>
      <x:c r="J823" s="73" t="str">
        <x:f>IF(A823="","",COUNTIFS('전기원장'!$A$5:$A$1004,A823,'전기원장'!$J$5:$J$1004,"확인 필요")+COUNTIFS('당기원장'!$A$5:$A$1004,A823,'당기원장'!$J$5:$J$1004,"확인 필요"))</x:f>
      </x:c>
      <x:c r="K823" s="85" t="str">
        <x:f>IF(A823="","",IF(H823&lt;&gt;"원인분석 대상","",IF(J823&gt;0,"붙임 문서 확인 후 원인 확정 필요","결의서명 기반 원인분류 검토")))</x:f>
      </x:c>
    </x:row>
    <x:row r="824">
      <x:c r="A824" s="73" t="str">
        <x:f>IFERROR(INDEX('계산도우미'!$B$5:$B$2004,MATCH(ROWS($A$5:A824),'계산도우미'!$K$5:$K$2004,0)),"")</x:f>
      </x:c>
      <x:c r="B824" s="73" t="str">
        <x:f>IF(A824="","",IFERROR(INDEX('당기원장'!$B$5:$B$1004,MATCH(A824,'당기원장'!$A$5:$A$1004,0)),IFERROR(INDEX('전기원장'!$B$5:$B$1004,MATCH(A824,'전기원장'!$A$5:$A$1004,0)),"")))</x:f>
      </x:c>
      <x:c r="C824" s="75" t="str">
        <x:f>IF(A824="","",SUMIF('전기원장'!$A$5:$A$1004,A824,'전기원장'!$H$5:$H$1004))</x:f>
      </x:c>
      <x:c r="D824" s="75" t="str">
        <x:f>IF(A824="","",SUMIF('당기원장'!$A$5:$A$1004,A824,'당기원장'!$H$5:$H$1004))</x:f>
      </x:c>
      <x:c r="E824" s="75" t="str">
        <x:f>IF(A824="","",D824-C824)</x:f>
      </x:c>
      <x:c r="F824" s="88" t="str">
        <x:f>IF(A824="","",IF(C824=0,IF(D824=0,0,1),ABS(E824)/ABS(C824)))</x:f>
      </x:c>
      <x:c r="G824" s="73" t="str">
        <x:f>IF(A824="","",IF(AND(C824=0,D824&lt;&gt;0),"신규",IF(AND(C824&lt;&gt;0,D824=0),"소멸",IF(E824=0,"변동없음","금액변동"))))</x:f>
      </x:c>
      <x:c r="H824" s="73" t="str">
        <x:f>IF(A824="","",IF(AND(ABS(E824)&gt;='기준설정'!$B$6,OR(G824="신규",G824="소멸",F824&gt;='기준설정'!$B$5)),"원인분석 대상","일반"))</x:f>
      </x:c>
      <x:c r="I824" s="73" t="str">
        <x:f>IF(A824="","",IF(H824="원인분석 대상","세부원인분석 시트에서 거래별 원인을 검토","-"))</x:f>
      </x:c>
      <x:c r="J824" s="73" t="str">
        <x:f>IF(A824="","",COUNTIFS('전기원장'!$A$5:$A$1004,A824,'전기원장'!$J$5:$J$1004,"확인 필요")+COUNTIFS('당기원장'!$A$5:$A$1004,A824,'당기원장'!$J$5:$J$1004,"확인 필요"))</x:f>
      </x:c>
      <x:c r="K824" s="85" t="str">
        <x:f>IF(A824="","",IF(H824&lt;&gt;"원인분석 대상","",IF(J824&gt;0,"붙임 문서 확인 후 원인 확정 필요","결의서명 기반 원인분류 검토")))</x:f>
      </x:c>
    </x:row>
    <x:row r="825">
      <x:c r="A825" s="73" t="str">
        <x:f>IFERROR(INDEX('계산도우미'!$B$5:$B$2004,MATCH(ROWS($A$5:A825),'계산도우미'!$K$5:$K$2004,0)),"")</x:f>
      </x:c>
      <x:c r="B825" s="73" t="str">
        <x:f>IF(A825="","",IFERROR(INDEX('당기원장'!$B$5:$B$1004,MATCH(A825,'당기원장'!$A$5:$A$1004,0)),IFERROR(INDEX('전기원장'!$B$5:$B$1004,MATCH(A825,'전기원장'!$A$5:$A$1004,0)),"")))</x:f>
      </x:c>
      <x:c r="C825" s="75" t="str">
        <x:f>IF(A825="","",SUMIF('전기원장'!$A$5:$A$1004,A825,'전기원장'!$H$5:$H$1004))</x:f>
      </x:c>
      <x:c r="D825" s="75" t="str">
        <x:f>IF(A825="","",SUMIF('당기원장'!$A$5:$A$1004,A825,'당기원장'!$H$5:$H$1004))</x:f>
      </x:c>
      <x:c r="E825" s="75" t="str">
        <x:f>IF(A825="","",D825-C825)</x:f>
      </x:c>
      <x:c r="F825" s="88" t="str">
        <x:f>IF(A825="","",IF(C825=0,IF(D825=0,0,1),ABS(E825)/ABS(C825)))</x:f>
      </x:c>
      <x:c r="G825" s="73" t="str">
        <x:f>IF(A825="","",IF(AND(C825=0,D825&lt;&gt;0),"신규",IF(AND(C825&lt;&gt;0,D825=0),"소멸",IF(E825=0,"변동없음","금액변동"))))</x:f>
      </x:c>
      <x:c r="H825" s="73" t="str">
        <x:f>IF(A825="","",IF(AND(ABS(E825)&gt;='기준설정'!$B$6,OR(G825="신규",G825="소멸",F825&gt;='기준설정'!$B$5)),"원인분석 대상","일반"))</x:f>
      </x:c>
      <x:c r="I825" s="73" t="str">
        <x:f>IF(A825="","",IF(H825="원인분석 대상","세부원인분석 시트에서 거래별 원인을 검토","-"))</x:f>
      </x:c>
      <x:c r="J825" s="73" t="str">
        <x:f>IF(A825="","",COUNTIFS('전기원장'!$A$5:$A$1004,A825,'전기원장'!$J$5:$J$1004,"확인 필요")+COUNTIFS('당기원장'!$A$5:$A$1004,A825,'당기원장'!$J$5:$J$1004,"확인 필요"))</x:f>
      </x:c>
      <x:c r="K825" s="85" t="str">
        <x:f>IF(A825="","",IF(H825&lt;&gt;"원인분석 대상","",IF(J825&gt;0,"붙임 문서 확인 후 원인 확정 필요","결의서명 기반 원인분류 검토")))</x:f>
      </x:c>
    </x:row>
    <x:row r="826">
      <x:c r="A826" s="73" t="str">
        <x:f>IFERROR(INDEX('계산도우미'!$B$5:$B$2004,MATCH(ROWS($A$5:A826),'계산도우미'!$K$5:$K$2004,0)),"")</x:f>
      </x:c>
      <x:c r="B826" s="73" t="str">
        <x:f>IF(A826="","",IFERROR(INDEX('당기원장'!$B$5:$B$1004,MATCH(A826,'당기원장'!$A$5:$A$1004,0)),IFERROR(INDEX('전기원장'!$B$5:$B$1004,MATCH(A826,'전기원장'!$A$5:$A$1004,0)),"")))</x:f>
      </x:c>
      <x:c r="C826" s="75" t="str">
        <x:f>IF(A826="","",SUMIF('전기원장'!$A$5:$A$1004,A826,'전기원장'!$H$5:$H$1004))</x:f>
      </x:c>
      <x:c r="D826" s="75" t="str">
        <x:f>IF(A826="","",SUMIF('당기원장'!$A$5:$A$1004,A826,'당기원장'!$H$5:$H$1004))</x:f>
      </x:c>
      <x:c r="E826" s="75" t="str">
        <x:f>IF(A826="","",D826-C826)</x:f>
      </x:c>
      <x:c r="F826" s="88" t="str">
        <x:f>IF(A826="","",IF(C826=0,IF(D826=0,0,1),ABS(E826)/ABS(C826)))</x:f>
      </x:c>
      <x:c r="G826" s="73" t="str">
        <x:f>IF(A826="","",IF(AND(C826=0,D826&lt;&gt;0),"신규",IF(AND(C826&lt;&gt;0,D826=0),"소멸",IF(E826=0,"변동없음","금액변동"))))</x:f>
      </x:c>
      <x:c r="H826" s="73" t="str">
        <x:f>IF(A826="","",IF(AND(ABS(E826)&gt;='기준설정'!$B$6,OR(G826="신규",G826="소멸",F826&gt;='기준설정'!$B$5)),"원인분석 대상","일반"))</x:f>
      </x:c>
      <x:c r="I826" s="73" t="str">
        <x:f>IF(A826="","",IF(H826="원인분석 대상","세부원인분석 시트에서 거래별 원인을 검토","-"))</x:f>
      </x:c>
      <x:c r="J826" s="73" t="str">
        <x:f>IF(A826="","",COUNTIFS('전기원장'!$A$5:$A$1004,A826,'전기원장'!$J$5:$J$1004,"확인 필요")+COUNTIFS('당기원장'!$A$5:$A$1004,A826,'당기원장'!$J$5:$J$1004,"확인 필요"))</x:f>
      </x:c>
      <x:c r="K826" s="85" t="str">
        <x:f>IF(A826="","",IF(H826&lt;&gt;"원인분석 대상","",IF(J826&gt;0,"붙임 문서 확인 후 원인 확정 필요","결의서명 기반 원인분류 검토")))</x:f>
      </x:c>
    </x:row>
    <x:row r="827">
      <x:c r="A827" s="73" t="str">
        <x:f>IFERROR(INDEX('계산도우미'!$B$5:$B$2004,MATCH(ROWS($A$5:A827),'계산도우미'!$K$5:$K$2004,0)),"")</x:f>
      </x:c>
      <x:c r="B827" s="73" t="str">
        <x:f>IF(A827="","",IFERROR(INDEX('당기원장'!$B$5:$B$1004,MATCH(A827,'당기원장'!$A$5:$A$1004,0)),IFERROR(INDEX('전기원장'!$B$5:$B$1004,MATCH(A827,'전기원장'!$A$5:$A$1004,0)),"")))</x:f>
      </x:c>
      <x:c r="C827" s="75" t="str">
        <x:f>IF(A827="","",SUMIF('전기원장'!$A$5:$A$1004,A827,'전기원장'!$H$5:$H$1004))</x:f>
      </x:c>
      <x:c r="D827" s="75" t="str">
        <x:f>IF(A827="","",SUMIF('당기원장'!$A$5:$A$1004,A827,'당기원장'!$H$5:$H$1004))</x:f>
      </x:c>
      <x:c r="E827" s="75" t="str">
        <x:f>IF(A827="","",D827-C827)</x:f>
      </x:c>
      <x:c r="F827" s="88" t="str">
        <x:f>IF(A827="","",IF(C827=0,IF(D827=0,0,1),ABS(E827)/ABS(C827)))</x:f>
      </x:c>
      <x:c r="G827" s="73" t="str">
        <x:f>IF(A827="","",IF(AND(C827=0,D827&lt;&gt;0),"신규",IF(AND(C827&lt;&gt;0,D827=0),"소멸",IF(E827=0,"변동없음","금액변동"))))</x:f>
      </x:c>
      <x:c r="H827" s="73" t="str">
        <x:f>IF(A827="","",IF(AND(ABS(E827)&gt;='기준설정'!$B$6,OR(G827="신규",G827="소멸",F827&gt;='기준설정'!$B$5)),"원인분석 대상","일반"))</x:f>
      </x:c>
      <x:c r="I827" s="73" t="str">
        <x:f>IF(A827="","",IF(H827="원인분석 대상","세부원인분석 시트에서 거래별 원인을 검토","-"))</x:f>
      </x:c>
      <x:c r="J827" s="73" t="str">
        <x:f>IF(A827="","",COUNTIFS('전기원장'!$A$5:$A$1004,A827,'전기원장'!$J$5:$J$1004,"확인 필요")+COUNTIFS('당기원장'!$A$5:$A$1004,A827,'당기원장'!$J$5:$J$1004,"확인 필요"))</x:f>
      </x:c>
      <x:c r="K827" s="85" t="str">
        <x:f>IF(A827="","",IF(H827&lt;&gt;"원인분석 대상","",IF(J827&gt;0,"붙임 문서 확인 후 원인 확정 필요","결의서명 기반 원인분류 검토")))</x:f>
      </x:c>
    </x:row>
    <x:row r="828">
      <x:c r="A828" s="73" t="str">
        <x:f>IFERROR(INDEX('계산도우미'!$B$5:$B$2004,MATCH(ROWS($A$5:A828),'계산도우미'!$K$5:$K$2004,0)),"")</x:f>
      </x:c>
      <x:c r="B828" s="73" t="str">
        <x:f>IF(A828="","",IFERROR(INDEX('당기원장'!$B$5:$B$1004,MATCH(A828,'당기원장'!$A$5:$A$1004,0)),IFERROR(INDEX('전기원장'!$B$5:$B$1004,MATCH(A828,'전기원장'!$A$5:$A$1004,0)),"")))</x:f>
      </x:c>
      <x:c r="C828" s="75" t="str">
        <x:f>IF(A828="","",SUMIF('전기원장'!$A$5:$A$1004,A828,'전기원장'!$H$5:$H$1004))</x:f>
      </x:c>
      <x:c r="D828" s="75" t="str">
        <x:f>IF(A828="","",SUMIF('당기원장'!$A$5:$A$1004,A828,'당기원장'!$H$5:$H$1004))</x:f>
      </x:c>
      <x:c r="E828" s="75" t="str">
        <x:f>IF(A828="","",D828-C828)</x:f>
      </x:c>
      <x:c r="F828" s="88" t="str">
        <x:f>IF(A828="","",IF(C828=0,IF(D828=0,0,1),ABS(E828)/ABS(C828)))</x:f>
      </x:c>
      <x:c r="G828" s="73" t="str">
        <x:f>IF(A828="","",IF(AND(C828=0,D828&lt;&gt;0),"신규",IF(AND(C828&lt;&gt;0,D828=0),"소멸",IF(E828=0,"변동없음","금액변동"))))</x:f>
      </x:c>
      <x:c r="H828" s="73" t="str">
        <x:f>IF(A828="","",IF(AND(ABS(E828)&gt;='기준설정'!$B$6,OR(G828="신규",G828="소멸",F828&gt;='기준설정'!$B$5)),"원인분석 대상","일반"))</x:f>
      </x:c>
      <x:c r="I828" s="73" t="str">
        <x:f>IF(A828="","",IF(H828="원인분석 대상","세부원인분석 시트에서 거래별 원인을 검토","-"))</x:f>
      </x:c>
      <x:c r="J828" s="73" t="str">
        <x:f>IF(A828="","",COUNTIFS('전기원장'!$A$5:$A$1004,A828,'전기원장'!$J$5:$J$1004,"확인 필요")+COUNTIFS('당기원장'!$A$5:$A$1004,A828,'당기원장'!$J$5:$J$1004,"확인 필요"))</x:f>
      </x:c>
      <x:c r="K828" s="85" t="str">
        <x:f>IF(A828="","",IF(H828&lt;&gt;"원인분석 대상","",IF(J828&gt;0,"붙임 문서 확인 후 원인 확정 필요","결의서명 기반 원인분류 검토")))</x:f>
      </x:c>
    </x:row>
    <x:row r="829">
      <x:c r="A829" s="73" t="str">
        <x:f>IFERROR(INDEX('계산도우미'!$B$5:$B$2004,MATCH(ROWS($A$5:A829),'계산도우미'!$K$5:$K$2004,0)),"")</x:f>
      </x:c>
      <x:c r="B829" s="73" t="str">
        <x:f>IF(A829="","",IFERROR(INDEX('당기원장'!$B$5:$B$1004,MATCH(A829,'당기원장'!$A$5:$A$1004,0)),IFERROR(INDEX('전기원장'!$B$5:$B$1004,MATCH(A829,'전기원장'!$A$5:$A$1004,0)),"")))</x:f>
      </x:c>
      <x:c r="C829" s="75" t="str">
        <x:f>IF(A829="","",SUMIF('전기원장'!$A$5:$A$1004,A829,'전기원장'!$H$5:$H$1004))</x:f>
      </x:c>
      <x:c r="D829" s="75" t="str">
        <x:f>IF(A829="","",SUMIF('당기원장'!$A$5:$A$1004,A829,'당기원장'!$H$5:$H$1004))</x:f>
      </x:c>
      <x:c r="E829" s="75" t="str">
        <x:f>IF(A829="","",D829-C829)</x:f>
      </x:c>
      <x:c r="F829" s="88" t="str">
        <x:f>IF(A829="","",IF(C829=0,IF(D829=0,0,1),ABS(E829)/ABS(C829)))</x:f>
      </x:c>
      <x:c r="G829" s="73" t="str">
        <x:f>IF(A829="","",IF(AND(C829=0,D829&lt;&gt;0),"신규",IF(AND(C829&lt;&gt;0,D829=0),"소멸",IF(E829=0,"변동없음","금액변동"))))</x:f>
      </x:c>
      <x:c r="H829" s="73" t="str">
        <x:f>IF(A829="","",IF(AND(ABS(E829)&gt;='기준설정'!$B$6,OR(G829="신규",G829="소멸",F829&gt;='기준설정'!$B$5)),"원인분석 대상","일반"))</x:f>
      </x:c>
      <x:c r="I829" s="73" t="str">
        <x:f>IF(A829="","",IF(H829="원인분석 대상","세부원인분석 시트에서 거래별 원인을 검토","-"))</x:f>
      </x:c>
      <x:c r="J829" s="73" t="str">
        <x:f>IF(A829="","",COUNTIFS('전기원장'!$A$5:$A$1004,A829,'전기원장'!$J$5:$J$1004,"확인 필요")+COUNTIFS('당기원장'!$A$5:$A$1004,A829,'당기원장'!$J$5:$J$1004,"확인 필요"))</x:f>
      </x:c>
      <x:c r="K829" s="85" t="str">
        <x:f>IF(A829="","",IF(H829&lt;&gt;"원인분석 대상","",IF(J829&gt;0,"붙임 문서 확인 후 원인 확정 필요","결의서명 기반 원인분류 검토")))</x:f>
      </x:c>
    </x:row>
    <x:row r="830">
      <x:c r="A830" s="73" t="str">
        <x:f>IFERROR(INDEX('계산도우미'!$B$5:$B$2004,MATCH(ROWS($A$5:A830),'계산도우미'!$K$5:$K$2004,0)),"")</x:f>
      </x:c>
      <x:c r="B830" s="73" t="str">
        <x:f>IF(A830="","",IFERROR(INDEX('당기원장'!$B$5:$B$1004,MATCH(A830,'당기원장'!$A$5:$A$1004,0)),IFERROR(INDEX('전기원장'!$B$5:$B$1004,MATCH(A830,'전기원장'!$A$5:$A$1004,0)),"")))</x:f>
      </x:c>
      <x:c r="C830" s="75" t="str">
        <x:f>IF(A830="","",SUMIF('전기원장'!$A$5:$A$1004,A830,'전기원장'!$H$5:$H$1004))</x:f>
      </x:c>
      <x:c r="D830" s="75" t="str">
        <x:f>IF(A830="","",SUMIF('당기원장'!$A$5:$A$1004,A830,'당기원장'!$H$5:$H$1004))</x:f>
      </x:c>
      <x:c r="E830" s="75" t="str">
        <x:f>IF(A830="","",D830-C830)</x:f>
      </x:c>
      <x:c r="F830" s="88" t="str">
        <x:f>IF(A830="","",IF(C830=0,IF(D830=0,0,1),ABS(E830)/ABS(C830)))</x:f>
      </x:c>
      <x:c r="G830" s="73" t="str">
        <x:f>IF(A830="","",IF(AND(C830=0,D830&lt;&gt;0),"신규",IF(AND(C830&lt;&gt;0,D830=0),"소멸",IF(E830=0,"변동없음","금액변동"))))</x:f>
      </x:c>
      <x:c r="H830" s="73" t="str">
        <x:f>IF(A830="","",IF(AND(ABS(E830)&gt;='기준설정'!$B$6,OR(G830="신규",G830="소멸",F830&gt;='기준설정'!$B$5)),"원인분석 대상","일반"))</x:f>
      </x:c>
      <x:c r="I830" s="73" t="str">
        <x:f>IF(A830="","",IF(H830="원인분석 대상","세부원인분석 시트에서 거래별 원인을 검토","-"))</x:f>
      </x:c>
      <x:c r="J830" s="73" t="str">
        <x:f>IF(A830="","",COUNTIFS('전기원장'!$A$5:$A$1004,A830,'전기원장'!$J$5:$J$1004,"확인 필요")+COUNTIFS('당기원장'!$A$5:$A$1004,A830,'당기원장'!$J$5:$J$1004,"확인 필요"))</x:f>
      </x:c>
      <x:c r="K830" s="85" t="str">
        <x:f>IF(A830="","",IF(H830&lt;&gt;"원인분석 대상","",IF(J830&gt;0,"붙임 문서 확인 후 원인 확정 필요","결의서명 기반 원인분류 검토")))</x:f>
      </x:c>
    </x:row>
    <x:row r="831">
      <x:c r="A831" s="73" t="str">
        <x:f>IFERROR(INDEX('계산도우미'!$B$5:$B$2004,MATCH(ROWS($A$5:A831),'계산도우미'!$K$5:$K$2004,0)),"")</x:f>
      </x:c>
      <x:c r="B831" s="73" t="str">
        <x:f>IF(A831="","",IFERROR(INDEX('당기원장'!$B$5:$B$1004,MATCH(A831,'당기원장'!$A$5:$A$1004,0)),IFERROR(INDEX('전기원장'!$B$5:$B$1004,MATCH(A831,'전기원장'!$A$5:$A$1004,0)),"")))</x:f>
      </x:c>
      <x:c r="C831" s="75" t="str">
        <x:f>IF(A831="","",SUMIF('전기원장'!$A$5:$A$1004,A831,'전기원장'!$H$5:$H$1004))</x:f>
      </x:c>
      <x:c r="D831" s="75" t="str">
        <x:f>IF(A831="","",SUMIF('당기원장'!$A$5:$A$1004,A831,'당기원장'!$H$5:$H$1004))</x:f>
      </x:c>
      <x:c r="E831" s="75" t="str">
        <x:f>IF(A831="","",D831-C831)</x:f>
      </x:c>
      <x:c r="F831" s="88" t="str">
        <x:f>IF(A831="","",IF(C831=0,IF(D831=0,0,1),ABS(E831)/ABS(C831)))</x:f>
      </x:c>
      <x:c r="G831" s="73" t="str">
        <x:f>IF(A831="","",IF(AND(C831=0,D831&lt;&gt;0),"신규",IF(AND(C831&lt;&gt;0,D831=0),"소멸",IF(E831=0,"변동없음","금액변동"))))</x:f>
      </x:c>
      <x:c r="H831" s="73" t="str">
        <x:f>IF(A831="","",IF(AND(ABS(E831)&gt;='기준설정'!$B$6,OR(G831="신규",G831="소멸",F831&gt;='기준설정'!$B$5)),"원인분석 대상","일반"))</x:f>
      </x:c>
      <x:c r="I831" s="73" t="str">
        <x:f>IF(A831="","",IF(H831="원인분석 대상","세부원인분석 시트에서 거래별 원인을 검토","-"))</x:f>
      </x:c>
      <x:c r="J831" s="73" t="str">
        <x:f>IF(A831="","",COUNTIFS('전기원장'!$A$5:$A$1004,A831,'전기원장'!$J$5:$J$1004,"확인 필요")+COUNTIFS('당기원장'!$A$5:$A$1004,A831,'당기원장'!$J$5:$J$1004,"확인 필요"))</x:f>
      </x:c>
      <x:c r="K831" s="85" t="str">
        <x:f>IF(A831="","",IF(H831&lt;&gt;"원인분석 대상","",IF(J831&gt;0,"붙임 문서 확인 후 원인 확정 필요","결의서명 기반 원인분류 검토")))</x:f>
      </x:c>
    </x:row>
    <x:row r="832">
      <x:c r="A832" s="73" t="str">
        <x:f>IFERROR(INDEX('계산도우미'!$B$5:$B$2004,MATCH(ROWS($A$5:A832),'계산도우미'!$K$5:$K$2004,0)),"")</x:f>
      </x:c>
      <x:c r="B832" s="73" t="str">
        <x:f>IF(A832="","",IFERROR(INDEX('당기원장'!$B$5:$B$1004,MATCH(A832,'당기원장'!$A$5:$A$1004,0)),IFERROR(INDEX('전기원장'!$B$5:$B$1004,MATCH(A832,'전기원장'!$A$5:$A$1004,0)),"")))</x:f>
      </x:c>
      <x:c r="C832" s="75" t="str">
        <x:f>IF(A832="","",SUMIF('전기원장'!$A$5:$A$1004,A832,'전기원장'!$H$5:$H$1004))</x:f>
      </x:c>
      <x:c r="D832" s="75" t="str">
        <x:f>IF(A832="","",SUMIF('당기원장'!$A$5:$A$1004,A832,'당기원장'!$H$5:$H$1004))</x:f>
      </x:c>
      <x:c r="E832" s="75" t="str">
        <x:f>IF(A832="","",D832-C832)</x:f>
      </x:c>
      <x:c r="F832" s="88" t="str">
        <x:f>IF(A832="","",IF(C832=0,IF(D832=0,0,1),ABS(E832)/ABS(C832)))</x:f>
      </x:c>
      <x:c r="G832" s="73" t="str">
        <x:f>IF(A832="","",IF(AND(C832=0,D832&lt;&gt;0),"신규",IF(AND(C832&lt;&gt;0,D832=0),"소멸",IF(E832=0,"변동없음","금액변동"))))</x:f>
      </x:c>
      <x:c r="H832" s="73" t="str">
        <x:f>IF(A832="","",IF(AND(ABS(E832)&gt;='기준설정'!$B$6,OR(G832="신규",G832="소멸",F832&gt;='기준설정'!$B$5)),"원인분석 대상","일반"))</x:f>
      </x:c>
      <x:c r="I832" s="73" t="str">
        <x:f>IF(A832="","",IF(H832="원인분석 대상","세부원인분석 시트에서 거래별 원인을 검토","-"))</x:f>
      </x:c>
      <x:c r="J832" s="73" t="str">
        <x:f>IF(A832="","",COUNTIFS('전기원장'!$A$5:$A$1004,A832,'전기원장'!$J$5:$J$1004,"확인 필요")+COUNTIFS('당기원장'!$A$5:$A$1004,A832,'당기원장'!$J$5:$J$1004,"확인 필요"))</x:f>
      </x:c>
      <x:c r="K832" s="85" t="str">
        <x:f>IF(A832="","",IF(H832&lt;&gt;"원인분석 대상","",IF(J832&gt;0,"붙임 문서 확인 후 원인 확정 필요","결의서명 기반 원인분류 검토")))</x:f>
      </x:c>
    </x:row>
    <x:row r="833">
      <x:c r="A833" s="73" t="str">
        <x:f>IFERROR(INDEX('계산도우미'!$B$5:$B$2004,MATCH(ROWS($A$5:A833),'계산도우미'!$K$5:$K$2004,0)),"")</x:f>
      </x:c>
      <x:c r="B833" s="73" t="str">
        <x:f>IF(A833="","",IFERROR(INDEX('당기원장'!$B$5:$B$1004,MATCH(A833,'당기원장'!$A$5:$A$1004,0)),IFERROR(INDEX('전기원장'!$B$5:$B$1004,MATCH(A833,'전기원장'!$A$5:$A$1004,0)),"")))</x:f>
      </x:c>
      <x:c r="C833" s="75" t="str">
        <x:f>IF(A833="","",SUMIF('전기원장'!$A$5:$A$1004,A833,'전기원장'!$H$5:$H$1004))</x:f>
      </x:c>
      <x:c r="D833" s="75" t="str">
        <x:f>IF(A833="","",SUMIF('당기원장'!$A$5:$A$1004,A833,'당기원장'!$H$5:$H$1004))</x:f>
      </x:c>
      <x:c r="E833" s="75" t="str">
        <x:f>IF(A833="","",D833-C833)</x:f>
      </x:c>
      <x:c r="F833" s="88" t="str">
        <x:f>IF(A833="","",IF(C833=0,IF(D833=0,0,1),ABS(E833)/ABS(C833)))</x:f>
      </x:c>
      <x:c r="G833" s="73" t="str">
        <x:f>IF(A833="","",IF(AND(C833=0,D833&lt;&gt;0),"신규",IF(AND(C833&lt;&gt;0,D833=0),"소멸",IF(E833=0,"변동없음","금액변동"))))</x:f>
      </x:c>
      <x:c r="H833" s="73" t="str">
        <x:f>IF(A833="","",IF(AND(ABS(E833)&gt;='기준설정'!$B$6,OR(G833="신규",G833="소멸",F833&gt;='기준설정'!$B$5)),"원인분석 대상","일반"))</x:f>
      </x:c>
      <x:c r="I833" s="73" t="str">
        <x:f>IF(A833="","",IF(H833="원인분석 대상","세부원인분석 시트에서 거래별 원인을 검토","-"))</x:f>
      </x:c>
      <x:c r="J833" s="73" t="str">
        <x:f>IF(A833="","",COUNTIFS('전기원장'!$A$5:$A$1004,A833,'전기원장'!$J$5:$J$1004,"확인 필요")+COUNTIFS('당기원장'!$A$5:$A$1004,A833,'당기원장'!$J$5:$J$1004,"확인 필요"))</x:f>
      </x:c>
      <x:c r="K833" s="85" t="str">
        <x:f>IF(A833="","",IF(H833&lt;&gt;"원인분석 대상","",IF(J833&gt;0,"붙임 문서 확인 후 원인 확정 필요","결의서명 기반 원인분류 검토")))</x:f>
      </x:c>
    </x:row>
    <x:row r="834">
      <x:c r="A834" s="73" t="str">
        <x:f>IFERROR(INDEX('계산도우미'!$B$5:$B$2004,MATCH(ROWS($A$5:A834),'계산도우미'!$K$5:$K$2004,0)),"")</x:f>
      </x:c>
      <x:c r="B834" s="73" t="str">
        <x:f>IF(A834="","",IFERROR(INDEX('당기원장'!$B$5:$B$1004,MATCH(A834,'당기원장'!$A$5:$A$1004,0)),IFERROR(INDEX('전기원장'!$B$5:$B$1004,MATCH(A834,'전기원장'!$A$5:$A$1004,0)),"")))</x:f>
      </x:c>
      <x:c r="C834" s="75" t="str">
        <x:f>IF(A834="","",SUMIF('전기원장'!$A$5:$A$1004,A834,'전기원장'!$H$5:$H$1004))</x:f>
      </x:c>
      <x:c r="D834" s="75" t="str">
        <x:f>IF(A834="","",SUMIF('당기원장'!$A$5:$A$1004,A834,'당기원장'!$H$5:$H$1004))</x:f>
      </x:c>
      <x:c r="E834" s="75" t="str">
        <x:f>IF(A834="","",D834-C834)</x:f>
      </x:c>
      <x:c r="F834" s="88" t="str">
        <x:f>IF(A834="","",IF(C834=0,IF(D834=0,0,1),ABS(E834)/ABS(C834)))</x:f>
      </x:c>
      <x:c r="G834" s="73" t="str">
        <x:f>IF(A834="","",IF(AND(C834=0,D834&lt;&gt;0),"신규",IF(AND(C834&lt;&gt;0,D834=0),"소멸",IF(E834=0,"변동없음","금액변동"))))</x:f>
      </x:c>
      <x:c r="H834" s="73" t="str">
        <x:f>IF(A834="","",IF(AND(ABS(E834)&gt;='기준설정'!$B$6,OR(G834="신규",G834="소멸",F834&gt;='기준설정'!$B$5)),"원인분석 대상","일반"))</x:f>
      </x:c>
      <x:c r="I834" s="73" t="str">
        <x:f>IF(A834="","",IF(H834="원인분석 대상","세부원인분석 시트에서 거래별 원인을 검토","-"))</x:f>
      </x:c>
      <x:c r="J834" s="73" t="str">
        <x:f>IF(A834="","",COUNTIFS('전기원장'!$A$5:$A$1004,A834,'전기원장'!$J$5:$J$1004,"확인 필요")+COUNTIFS('당기원장'!$A$5:$A$1004,A834,'당기원장'!$J$5:$J$1004,"확인 필요"))</x:f>
      </x:c>
      <x:c r="K834" s="85" t="str">
        <x:f>IF(A834="","",IF(H834&lt;&gt;"원인분석 대상","",IF(J834&gt;0,"붙임 문서 확인 후 원인 확정 필요","결의서명 기반 원인분류 검토")))</x:f>
      </x:c>
    </x:row>
    <x:row r="835">
      <x:c r="A835" s="73" t="str">
        <x:f>IFERROR(INDEX('계산도우미'!$B$5:$B$2004,MATCH(ROWS($A$5:A835),'계산도우미'!$K$5:$K$2004,0)),"")</x:f>
      </x:c>
      <x:c r="B835" s="73" t="str">
        <x:f>IF(A835="","",IFERROR(INDEX('당기원장'!$B$5:$B$1004,MATCH(A835,'당기원장'!$A$5:$A$1004,0)),IFERROR(INDEX('전기원장'!$B$5:$B$1004,MATCH(A835,'전기원장'!$A$5:$A$1004,0)),"")))</x:f>
      </x:c>
      <x:c r="C835" s="75" t="str">
        <x:f>IF(A835="","",SUMIF('전기원장'!$A$5:$A$1004,A835,'전기원장'!$H$5:$H$1004))</x:f>
      </x:c>
      <x:c r="D835" s="75" t="str">
        <x:f>IF(A835="","",SUMIF('당기원장'!$A$5:$A$1004,A835,'당기원장'!$H$5:$H$1004))</x:f>
      </x:c>
      <x:c r="E835" s="75" t="str">
        <x:f>IF(A835="","",D835-C835)</x:f>
      </x:c>
      <x:c r="F835" s="88" t="str">
        <x:f>IF(A835="","",IF(C835=0,IF(D835=0,0,1),ABS(E835)/ABS(C835)))</x:f>
      </x:c>
      <x:c r="G835" s="73" t="str">
        <x:f>IF(A835="","",IF(AND(C835=0,D835&lt;&gt;0),"신규",IF(AND(C835&lt;&gt;0,D835=0),"소멸",IF(E835=0,"변동없음","금액변동"))))</x:f>
      </x:c>
      <x:c r="H835" s="73" t="str">
        <x:f>IF(A835="","",IF(AND(ABS(E835)&gt;='기준설정'!$B$6,OR(G835="신규",G835="소멸",F835&gt;='기준설정'!$B$5)),"원인분석 대상","일반"))</x:f>
      </x:c>
      <x:c r="I835" s="73" t="str">
        <x:f>IF(A835="","",IF(H835="원인분석 대상","세부원인분석 시트에서 거래별 원인을 검토","-"))</x:f>
      </x:c>
      <x:c r="J835" s="73" t="str">
        <x:f>IF(A835="","",COUNTIFS('전기원장'!$A$5:$A$1004,A835,'전기원장'!$J$5:$J$1004,"확인 필요")+COUNTIFS('당기원장'!$A$5:$A$1004,A835,'당기원장'!$J$5:$J$1004,"확인 필요"))</x:f>
      </x:c>
      <x:c r="K835" s="85" t="str">
        <x:f>IF(A835="","",IF(H835&lt;&gt;"원인분석 대상","",IF(J835&gt;0,"붙임 문서 확인 후 원인 확정 필요","결의서명 기반 원인분류 검토")))</x:f>
      </x:c>
    </x:row>
    <x:row r="836">
      <x:c r="A836" s="73" t="str">
        <x:f>IFERROR(INDEX('계산도우미'!$B$5:$B$2004,MATCH(ROWS($A$5:A836),'계산도우미'!$K$5:$K$2004,0)),"")</x:f>
      </x:c>
      <x:c r="B836" s="73" t="str">
        <x:f>IF(A836="","",IFERROR(INDEX('당기원장'!$B$5:$B$1004,MATCH(A836,'당기원장'!$A$5:$A$1004,0)),IFERROR(INDEX('전기원장'!$B$5:$B$1004,MATCH(A836,'전기원장'!$A$5:$A$1004,0)),"")))</x:f>
      </x:c>
      <x:c r="C836" s="75" t="str">
        <x:f>IF(A836="","",SUMIF('전기원장'!$A$5:$A$1004,A836,'전기원장'!$H$5:$H$1004))</x:f>
      </x:c>
      <x:c r="D836" s="75" t="str">
        <x:f>IF(A836="","",SUMIF('당기원장'!$A$5:$A$1004,A836,'당기원장'!$H$5:$H$1004))</x:f>
      </x:c>
      <x:c r="E836" s="75" t="str">
        <x:f>IF(A836="","",D836-C836)</x:f>
      </x:c>
      <x:c r="F836" s="88" t="str">
        <x:f>IF(A836="","",IF(C836=0,IF(D836=0,0,1),ABS(E836)/ABS(C836)))</x:f>
      </x:c>
      <x:c r="G836" s="73" t="str">
        <x:f>IF(A836="","",IF(AND(C836=0,D836&lt;&gt;0),"신규",IF(AND(C836&lt;&gt;0,D836=0),"소멸",IF(E836=0,"변동없음","금액변동"))))</x:f>
      </x:c>
      <x:c r="H836" s="73" t="str">
        <x:f>IF(A836="","",IF(AND(ABS(E836)&gt;='기준설정'!$B$6,OR(G836="신규",G836="소멸",F836&gt;='기준설정'!$B$5)),"원인분석 대상","일반"))</x:f>
      </x:c>
      <x:c r="I836" s="73" t="str">
        <x:f>IF(A836="","",IF(H836="원인분석 대상","세부원인분석 시트에서 거래별 원인을 검토","-"))</x:f>
      </x:c>
      <x:c r="J836" s="73" t="str">
        <x:f>IF(A836="","",COUNTIFS('전기원장'!$A$5:$A$1004,A836,'전기원장'!$J$5:$J$1004,"확인 필요")+COUNTIFS('당기원장'!$A$5:$A$1004,A836,'당기원장'!$J$5:$J$1004,"확인 필요"))</x:f>
      </x:c>
      <x:c r="K836" s="85" t="str">
        <x:f>IF(A836="","",IF(H836&lt;&gt;"원인분석 대상","",IF(J836&gt;0,"붙임 문서 확인 후 원인 확정 필요","결의서명 기반 원인분류 검토")))</x:f>
      </x:c>
    </x:row>
    <x:row r="837">
      <x:c r="A837" s="73" t="str">
        <x:f>IFERROR(INDEX('계산도우미'!$B$5:$B$2004,MATCH(ROWS($A$5:A837),'계산도우미'!$K$5:$K$2004,0)),"")</x:f>
      </x:c>
      <x:c r="B837" s="73" t="str">
        <x:f>IF(A837="","",IFERROR(INDEX('당기원장'!$B$5:$B$1004,MATCH(A837,'당기원장'!$A$5:$A$1004,0)),IFERROR(INDEX('전기원장'!$B$5:$B$1004,MATCH(A837,'전기원장'!$A$5:$A$1004,0)),"")))</x:f>
      </x:c>
      <x:c r="C837" s="75" t="str">
        <x:f>IF(A837="","",SUMIF('전기원장'!$A$5:$A$1004,A837,'전기원장'!$H$5:$H$1004))</x:f>
      </x:c>
      <x:c r="D837" s="75" t="str">
        <x:f>IF(A837="","",SUMIF('당기원장'!$A$5:$A$1004,A837,'당기원장'!$H$5:$H$1004))</x:f>
      </x:c>
      <x:c r="E837" s="75" t="str">
        <x:f>IF(A837="","",D837-C837)</x:f>
      </x:c>
      <x:c r="F837" s="88" t="str">
        <x:f>IF(A837="","",IF(C837=0,IF(D837=0,0,1),ABS(E837)/ABS(C837)))</x:f>
      </x:c>
      <x:c r="G837" s="73" t="str">
        <x:f>IF(A837="","",IF(AND(C837=0,D837&lt;&gt;0),"신규",IF(AND(C837&lt;&gt;0,D837=0),"소멸",IF(E837=0,"변동없음","금액변동"))))</x:f>
      </x:c>
      <x:c r="H837" s="73" t="str">
        <x:f>IF(A837="","",IF(AND(ABS(E837)&gt;='기준설정'!$B$6,OR(G837="신규",G837="소멸",F837&gt;='기준설정'!$B$5)),"원인분석 대상","일반"))</x:f>
      </x:c>
      <x:c r="I837" s="73" t="str">
        <x:f>IF(A837="","",IF(H837="원인분석 대상","세부원인분석 시트에서 거래별 원인을 검토","-"))</x:f>
      </x:c>
      <x:c r="J837" s="73" t="str">
        <x:f>IF(A837="","",COUNTIFS('전기원장'!$A$5:$A$1004,A837,'전기원장'!$J$5:$J$1004,"확인 필요")+COUNTIFS('당기원장'!$A$5:$A$1004,A837,'당기원장'!$J$5:$J$1004,"확인 필요"))</x:f>
      </x:c>
      <x:c r="K837" s="85" t="str">
        <x:f>IF(A837="","",IF(H837&lt;&gt;"원인분석 대상","",IF(J837&gt;0,"붙임 문서 확인 후 원인 확정 필요","결의서명 기반 원인분류 검토")))</x:f>
      </x:c>
    </x:row>
    <x:row r="838">
      <x:c r="A838" s="73" t="str">
        <x:f>IFERROR(INDEX('계산도우미'!$B$5:$B$2004,MATCH(ROWS($A$5:A838),'계산도우미'!$K$5:$K$2004,0)),"")</x:f>
      </x:c>
      <x:c r="B838" s="73" t="str">
        <x:f>IF(A838="","",IFERROR(INDEX('당기원장'!$B$5:$B$1004,MATCH(A838,'당기원장'!$A$5:$A$1004,0)),IFERROR(INDEX('전기원장'!$B$5:$B$1004,MATCH(A838,'전기원장'!$A$5:$A$1004,0)),"")))</x:f>
      </x:c>
      <x:c r="C838" s="75" t="str">
        <x:f>IF(A838="","",SUMIF('전기원장'!$A$5:$A$1004,A838,'전기원장'!$H$5:$H$1004))</x:f>
      </x:c>
      <x:c r="D838" s="75" t="str">
        <x:f>IF(A838="","",SUMIF('당기원장'!$A$5:$A$1004,A838,'당기원장'!$H$5:$H$1004))</x:f>
      </x:c>
      <x:c r="E838" s="75" t="str">
        <x:f>IF(A838="","",D838-C838)</x:f>
      </x:c>
      <x:c r="F838" s="88" t="str">
        <x:f>IF(A838="","",IF(C838=0,IF(D838=0,0,1),ABS(E838)/ABS(C838)))</x:f>
      </x:c>
      <x:c r="G838" s="73" t="str">
        <x:f>IF(A838="","",IF(AND(C838=0,D838&lt;&gt;0),"신규",IF(AND(C838&lt;&gt;0,D838=0),"소멸",IF(E838=0,"변동없음","금액변동"))))</x:f>
      </x:c>
      <x:c r="H838" s="73" t="str">
        <x:f>IF(A838="","",IF(AND(ABS(E838)&gt;='기준설정'!$B$6,OR(G838="신규",G838="소멸",F838&gt;='기준설정'!$B$5)),"원인분석 대상","일반"))</x:f>
      </x:c>
      <x:c r="I838" s="73" t="str">
        <x:f>IF(A838="","",IF(H838="원인분석 대상","세부원인분석 시트에서 거래별 원인을 검토","-"))</x:f>
      </x:c>
      <x:c r="J838" s="73" t="str">
        <x:f>IF(A838="","",COUNTIFS('전기원장'!$A$5:$A$1004,A838,'전기원장'!$J$5:$J$1004,"확인 필요")+COUNTIFS('당기원장'!$A$5:$A$1004,A838,'당기원장'!$J$5:$J$1004,"확인 필요"))</x:f>
      </x:c>
      <x:c r="K838" s="85" t="str">
        <x:f>IF(A838="","",IF(H838&lt;&gt;"원인분석 대상","",IF(J838&gt;0,"붙임 문서 확인 후 원인 확정 필요","결의서명 기반 원인분류 검토")))</x:f>
      </x:c>
    </x:row>
    <x:row r="839">
      <x:c r="A839" s="73" t="str">
        <x:f>IFERROR(INDEX('계산도우미'!$B$5:$B$2004,MATCH(ROWS($A$5:A839),'계산도우미'!$K$5:$K$2004,0)),"")</x:f>
      </x:c>
      <x:c r="B839" s="73" t="str">
        <x:f>IF(A839="","",IFERROR(INDEX('당기원장'!$B$5:$B$1004,MATCH(A839,'당기원장'!$A$5:$A$1004,0)),IFERROR(INDEX('전기원장'!$B$5:$B$1004,MATCH(A839,'전기원장'!$A$5:$A$1004,0)),"")))</x:f>
      </x:c>
      <x:c r="C839" s="75" t="str">
        <x:f>IF(A839="","",SUMIF('전기원장'!$A$5:$A$1004,A839,'전기원장'!$H$5:$H$1004))</x:f>
      </x:c>
      <x:c r="D839" s="75" t="str">
        <x:f>IF(A839="","",SUMIF('당기원장'!$A$5:$A$1004,A839,'당기원장'!$H$5:$H$1004))</x:f>
      </x:c>
      <x:c r="E839" s="75" t="str">
        <x:f>IF(A839="","",D839-C839)</x:f>
      </x:c>
      <x:c r="F839" s="88" t="str">
        <x:f>IF(A839="","",IF(C839=0,IF(D839=0,0,1),ABS(E839)/ABS(C839)))</x:f>
      </x:c>
      <x:c r="G839" s="73" t="str">
        <x:f>IF(A839="","",IF(AND(C839=0,D839&lt;&gt;0),"신규",IF(AND(C839&lt;&gt;0,D839=0),"소멸",IF(E839=0,"변동없음","금액변동"))))</x:f>
      </x:c>
      <x:c r="H839" s="73" t="str">
        <x:f>IF(A839="","",IF(AND(ABS(E839)&gt;='기준설정'!$B$6,OR(G839="신규",G839="소멸",F839&gt;='기준설정'!$B$5)),"원인분석 대상","일반"))</x:f>
      </x:c>
      <x:c r="I839" s="73" t="str">
        <x:f>IF(A839="","",IF(H839="원인분석 대상","세부원인분석 시트에서 거래별 원인을 검토","-"))</x:f>
      </x:c>
      <x:c r="J839" s="73" t="str">
        <x:f>IF(A839="","",COUNTIFS('전기원장'!$A$5:$A$1004,A839,'전기원장'!$J$5:$J$1004,"확인 필요")+COUNTIFS('당기원장'!$A$5:$A$1004,A839,'당기원장'!$J$5:$J$1004,"확인 필요"))</x:f>
      </x:c>
      <x:c r="K839" s="85" t="str">
        <x:f>IF(A839="","",IF(H839&lt;&gt;"원인분석 대상","",IF(J839&gt;0,"붙임 문서 확인 후 원인 확정 필요","결의서명 기반 원인분류 검토")))</x:f>
      </x:c>
    </x:row>
    <x:row r="840">
      <x:c r="A840" s="73" t="str">
        <x:f>IFERROR(INDEX('계산도우미'!$B$5:$B$2004,MATCH(ROWS($A$5:A840),'계산도우미'!$K$5:$K$2004,0)),"")</x:f>
      </x:c>
      <x:c r="B840" s="73" t="str">
        <x:f>IF(A840="","",IFERROR(INDEX('당기원장'!$B$5:$B$1004,MATCH(A840,'당기원장'!$A$5:$A$1004,0)),IFERROR(INDEX('전기원장'!$B$5:$B$1004,MATCH(A840,'전기원장'!$A$5:$A$1004,0)),"")))</x:f>
      </x:c>
      <x:c r="C840" s="75" t="str">
        <x:f>IF(A840="","",SUMIF('전기원장'!$A$5:$A$1004,A840,'전기원장'!$H$5:$H$1004))</x:f>
      </x:c>
      <x:c r="D840" s="75" t="str">
        <x:f>IF(A840="","",SUMIF('당기원장'!$A$5:$A$1004,A840,'당기원장'!$H$5:$H$1004))</x:f>
      </x:c>
      <x:c r="E840" s="75" t="str">
        <x:f>IF(A840="","",D840-C840)</x:f>
      </x:c>
      <x:c r="F840" s="88" t="str">
        <x:f>IF(A840="","",IF(C840=0,IF(D840=0,0,1),ABS(E840)/ABS(C840)))</x:f>
      </x:c>
      <x:c r="G840" s="73" t="str">
        <x:f>IF(A840="","",IF(AND(C840=0,D840&lt;&gt;0),"신규",IF(AND(C840&lt;&gt;0,D840=0),"소멸",IF(E840=0,"변동없음","금액변동"))))</x:f>
      </x:c>
      <x:c r="H840" s="73" t="str">
        <x:f>IF(A840="","",IF(AND(ABS(E840)&gt;='기준설정'!$B$6,OR(G840="신규",G840="소멸",F840&gt;='기준설정'!$B$5)),"원인분석 대상","일반"))</x:f>
      </x:c>
      <x:c r="I840" s="73" t="str">
        <x:f>IF(A840="","",IF(H840="원인분석 대상","세부원인분석 시트에서 거래별 원인을 검토","-"))</x:f>
      </x:c>
      <x:c r="J840" s="73" t="str">
        <x:f>IF(A840="","",COUNTIFS('전기원장'!$A$5:$A$1004,A840,'전기원장'!$J$5:$J$1004,"확인 필요")+COUNTIFS('당기원장'!$A$5:$A$1004,A840,'당기원장'!$J$5:$J$1004,"확인 필요"))</x:f>
      </x:c>
      <x:c r="K840" s="85" t="str">
        <x:f>IF(A840="","",IF(H840&lt;&gt;"원인분석 대상","",IF(J840&gt;0,"붙임 문서 확인 후 원인 확정 필요","결의서명 기반 원인분류 검토")))</x:f>
      </x:c>
    </x:row>
    <x:row r="841">
      <x:c r="A841" s="73" t="str">
        <x:f>IFERROR(INDEX('계산도우미'!$B$5:$B$2004,MATCH(ROWS($A$5:A841),'계산도우미'!$K$5:$K$2004,0)),"")</x:f>
      </x:c>
      <x:c r="B841" s="73" t="str">
        <x:f>IF(A841="","",IFERROR(INDEX('당기원장'!$B$5:$B$1004,MATCH(A841,'당기원장'!$A$5:$A$1004,0)),IFERROR(INDEX('전기원장'!$B$5:$B$1004,MATCH(A841,'전기원장'!$A$5:$A$1004,0)),"")))</x:f>
      </x:c>
      <x:c r="C841" s="75" t="str">
        <x:f>IF(A841="","",SUMIF('전기원장'!$A$5:$A$1004,A841,'전기원장'!$H$5:$H$1004))</x:f>
      </x:c>
      <x:c r="D841" s="75" t="str">
        <x:f>IF(A841="","",SUMIF('당기원장'!$A$5:$A$1004,A841,'당기원장'!$H$5:$H$1004))</x:f>
      </x:c>
      <x:c r="E841" s="75" t="str">
        <x:f>IF(A841="","",D841-C841)</x:f>
      </x:c>
      <x:c r="F841" s="88" t="str">
        <x:f>IF(A841="","",IF(C841=0,IF(D841=0,0,1),ABS(E841)/ABS(C841)))</x:f>
      </x:c>
      <x:c r="G841" s="73" t="str">
        <x:f>IF(A841="","",IF(AND(C841=0,D841&lt;&gt;0),"신규",IF(AND(C841&lt;&gt;0,D841=0),"소멸",IF(E841=0,"변동없음","금액변동"))))</x:f>
      </x:c>
      <x:c r="H841" s="73" t="str">
        <x:f>IF(A841="","",IF(AND(ABS(E841)&gt;='기준설정'!$B$6,OR(G841="신규",G841="소멸",F841&gt;='기준설정'!$B$5)),"원인분석 대상","일반"))</x:f>
      </x:c>
      <x:c r="I841" s="73" t="str">
        <x:f>IF(A841="","",IF(H841="원인분석 대상","세부원인분석 시트에서 거래별 원인을 검토","-"))</x:f>
      </x:c>
      <x:c r="J841" s="73" t="str">
        <x:f>IF(A841="","",COUNTIFS('전기원장'!$A$5:$A$1004,A841,'전기원장'!$J$5:$J$1004,"확인 필요")+COUNTIFS('당기원장'!$A$5:$A$1004,A841,'당기원장'!$J$5:$J$1004,"확인 필요"))</x:f>
      </x:c>
      <x:c r="K841" s="85" t="str">
        <x:f>IF(A841="","",IF(H841&lt;&gt;"원인분석 대상","",IF(J841&gt;0,"붙임 문서 확인 후 원인 확정 필요","결의서명 기반 원인분류 검토")))</x:f>
      </x:c>
    </x:row>
    <x:row r="842">
      <x:c r="A842" s="73" t="str">
        <x:f>IFERROR(INDEX('계산도우미'!$B$5:$B$2004,MATCH(ROWS($A$5:A842),'계산도우미'!$K$5:$K$2004,0)),"")</x:f>
      </x:c>
      <x:c r="B842" s="73" t="str">
        <x:f>IF(A842="","",IFERROR(INDEX('당기원장'!$B$5:$B$1004,MATCH(A842,'당기원장'!$A$5:$A$1004,0)),IFERROR(INDEX('전기원장'!$B$5:$B$1004,MATCH(A842,'전기원장'!$A$5:$A$1004,0)),"")))</x:f>
      </x:c>
      <x:c r="C842" s="75" t="str">
        <x:f>IF(A842="","",SUMIF('전기원장'!$A$5:$A$1004,A842,'전기원장'!$H$5:$H$1004))</x:f>
      </x:c>
      <x:c r="D842" s="75" t="str">
        <x:f>IF(A842="","",SUMIF('당기원장'!$A$5:$A$1004,A842,'당기원장'!$H$5:$H$1004))</x:f>
      </x:c>
      <x:c r="E842" s="75" t="str">
        <x:f>IF(A842="","",D842-C842)</x:f>
      </x:c>
      <x:c r="F842" s="88" t="str">
        <x:f>IF(A842="","",IF(C842=0,IF(D842=0,0,1),ABS(E842)/ABS(C842)))</x:f>
      </x:c>
      <x:c r="G842" s="73" t="str">
        <x:f>IF(A842="","",IF(AND(C842=0,D842&lt;&gt;0),"신규",IF(AND(C842&lt;&gt;0,D842=0),"소멸",IF(E842=0,"변동없음","금액변동"))))</x:f>
      </x:c>
      <x:c r="H842" s="73" t="str">
        <x:f>IF(A842="","",IF(AND(ABS(E842)&gt;='기준설정'!$B$6,OR(G842="신규",G842="소멸",F842&gt;='기준설정'!$B$5)),"원인분석 대상","일반"))</x:f>
      </x:c>
      <x:c r="I842" s="73" t="str">
        <x:f>IF(A842="","",IF(H842="원인분석 대상","세부원인분석 시트에서 거래별 원인을 검토","-"))</x:f>
      </x:c>
      <x:c r="J842" s="73" t="str">
        <x:f>IF(A842="","",COUNTIFS('전기원장'!$A$5:$A$1004,A842,'전기원장'!$J$5:$J$1004,"확인 필요")+COUNTIFS('당기원장'!$A$5:$A$1004,A842,'당기원장'!$J$5:$J$1004,"확인 필요"))</x:f>
      </x:c>
      <x:c r="K842" s="85" t="str">
        <x:f>IF(A842="","",IF(H842&lt;&gt;"원인분석 대상","",IF(J842&gt;0,"붙임 문서 확인 후 원인 확정 필요","결의서명 기반 원인분류 검토")))</x:f>
      </x:c>
    </x:row>
    <x:row r="843">
      <x:c r="A843" s="73" t="str">
        <x:f>IFERROR(INDEX('계산도우미'!$B$5:$B$2004,MATCH(ROWS($A$5:A843),'계산도우미'!$K$5:$K$2004,0)),"")</x:f>
      </x:c>
      <x:c r="B843" s="73" t="str">
        <x:f>IF(A843="","",IFERROR(INDEX('당기원장'!$B$5:$B$1004,MATCH(A843,'당기원장'!$A$5:$A$1004,0)),IFERROR(INDEX('전기원장'!$B$5:$B$1004,MATCH(A843,'전기원장'!$A$5:$A$1004,0)),"")))</x:f>
      </x:c>
      <x:c r="C843" s="75" t="str">
        <x:f>IF(A843="","",SUMIF('전기원장'!$A$5:$A$1004,A843,'전기원장'!$H$5:$H$1004))</x:f>
      </x:c>
      <x:c r="D843" s="75" t="str">
        <x:f>IF(A843="","",SUMIF('당기원장'!$A$5:$A$1004,A843,'당기원장'!$H$5:$H$1004))</x:f>
      </x:c>
      <x:c r="E843" s="75" t="str">
        <x:f>IF(A843="","",D843-C843)</x:f>
      </x:c>
      <x:c r="F843" s="88" t="str">
        <x:f>IF(A843="","",IF(C843=0,IF(D843=0,0,1),ABS(E843)/ABS(C843)))</x:f>
      </x:c>
      <x:c r="G843" s="73" t="str">
        <x:f>IF(A843="","",IF(AND(C843=0,D843&lt;&gt;0),"신규",IF(AND(C843&lt;&gt;0,D843=0),"소멸",IF(E843=0,"변동없음","금액변동"))))</x:f>
      </x:c>
      <x:c r="H843" s="73" t="str">
        <x:f>IF(A843="","",IF(AND(ABS(E843)&gt;='기준설정'!$B$6,OR(G843="신규",G843="소멸",F843&gt;='기준설정'!$B$5)),"원인분석 대상","일반"))</x:f>
      </x:c>
      <x:c r="I843" s="73" t="str">
        <x:f>IF(A843="","",IF(H843="원인분석 대상","세부원인분석 시트에서 거래별 원인을 검토","-"))</x:f>
      </x:c>
      <x:c r="J843" s="73" t="str">
        <x:f>IF(A843="","",COUNTIFS('전기원장'!$A$5:$A$1004,A843,'전기원장'!$J$5:$J$1004,"확인 필요")+COUNTIFS('당기원장'!$A$5:$A$1004,A843,'당기원장'!$J$5:$J$1004,"확인 필요"))</x:f>
      </x:c>
      <x:c r="K843" s="85" t="str">
        <x:f>IF(A843="","",IF(H843&lt;&gt;"원인분석 대상","",IF(J843&gt;0,"붙임 문서 확인 후 원인 확정 필요","결의서명 기반 원인분류 검토")))</x:f>
      </x:c>
    </x:row>
    <x:row r="844">
      <x:c r="A844" s="73" t="str">
        <x:f>IFERROR(INDEX('계산도우미'!$B$5:$B$2004,MATCH(ROWS($A$5:A844),'계산도우미'!$K$5:$K$2004,0)),"")</x:f>
      </x:c>
      <x:c r="B844" s="73" t="str">
        <x:f>IF(A844="","",IFERROR(INDEX('당기원장'!$B$5:$B$1004,MATCH(A844,'당기원장'!$A$5:$A$1004,0)),IFERROR(INDEX('전기원장'!$B$5:$B$1004,MATCH(A844,'전기원장'!$A$5:$A$1004,0)),"")))</x:f>
      </x:c>
      <x:c r="C844" s="75" t="str">
        <x:f>IF(A844="","",SUMIF('전기원장'!$A$5:$A$1004,A844,'전기원장'!$H$5:$H$1004))</x:f>
      </x:c>
      <x:c r="D844" s="75" t="str">
        <x:f>IF(A844="","",SUMIF('당기원장'!$A$5:$A$1004,A844,'당기원장'!$H$5:$H$1004))</x:f>
      </x:c>
      <x:c r="E844" s="75" t="str">
        <x:f>IF(A844="","",D844-C844)</x:f>
      </x:c>
      <x:c r="F844" s="88" t="str">
        <x:f>IF(A844="","",IF(C844=0,IF(D844=0,0,1),ABS(E844)/ABS(C844)))</x:f>
      </x:c>
      <x:c r="G844" s="73" t="str">
        <x:f>IF(A844="","",IF(AND(C844=0,D844&lt;&gt;0),"신규",IF(AND(C844&lt;&gt;0,D844=0),"소멸",IF(E844=0,"변동없음","금액변동"))))</x:f>
      </x:c>
      <x:c r="H844" s="73" t="str">
        <x:f>IF(A844="","",IF(AND(ABS(E844)&gt;='기준설정'!$B$6,OR(G844="신규",G844="소멸",F844&gt;='기준설정'!$B$5)),"원인분석 대상","일반"))</x:f>
      </x:c>
      <x:c r="I844" s="73" t="str">
        <x:f>IF(A844="","",IF(H844="원인분석 대상","세부원인분석 시트에서 거래별 원인을 검토","-"))</x:f>
      </x:c>
      <x:c r="J844" s="73" t="str">
        <x:f>IF(A844="","",COUNTIFS('전기원장'!$A$5:$A$1004,A844,'전기원장'!$J$5:$J$1004,"확인 필요")+COUNTIFS('당기원장'!$A$5:$A$1004,A844,'당기원장'!$J$5:$J$1004,"확인 필요"))</x:f>
      </x:c>
      <x:c r="K844" s="85" t="str">
        <x:f>IF(A844="","",IF(H844&lt;&gt;"원인분석 대상","",IF(J844&gt;0,"붙임 문서 확인 후 원인 확정 필요","결의서명 기반 원인분류 검토")))</x:f>
      </x:c>
    </x:row>
    <x:row r="845">
      <x:c r="A845" s="73" t="str">
        <x:f>IFERROR(INDEX('계산도우미'!$B$5:$B$2004,MATCH(ROWS($A$5:A845),'계산도우미'!$K$5:$K$2004,0)),"")</x:f>
      </x:c>
      <x:c r="B845" s="73" t="str">
        <x:f>IF(A845="","",IFERROR(INDEX('당기원장'!$B$5:$B$1004,MATCH(A845,'당기원장'!$A$5:$A$1004,0)),IFERROR(INDEX('전기원장'!$B$5:$B$1004,MATCH(A845,'전기원장'!$A$5:$A$1004,0)),"")))</x:f>
      </x:c>
      <x:c r="C845" s="75" t="str">
        <x:f>IF(A845="","",SUMIF('전기원장'!$A$5:$A$1004,A845,'전기원장'!$H$5:$H$1004))</x:f>
      </x:c>
      <x:c r="D845" s="75" t="str">
        <x:f>IF(A845="","",SUMIF('당기원장'!$A$5:$A$1004,A845,'당기원장'!$H$5:$H$1004))</x:f>
      </x:c>
      <x:c r="E845" s="75" t="str">
        <x:f>IF(A845="","",D845-C845)</x:f>
      </x:c>
      <x:c r="F845" s="88" t="str">
        <x:f>IF(A845="","",IF(C845=0,IF(D845=0,0,1),ABS(E845)/ABS(C845)))</x:f>
      </x:c>
      <x:c r="G845" s="73" t="str">
        <x:f>IF(A845="","",IF(AND(C845=0,D845&lt;&gt;0),"신규",IF(AND(C845&lt;&gt;0,D845=0),"소멸",IF(E845=0,"변동없음","금액변동"))))</x:f>
      </x:c>
      <x:c r="H845" s="73" t="str">
        <x:f>IF(A845="","",IF(AND(ABS(E845)&gt;='기준설정'!$B$6,OR(G845="신규",G845="소멸",F845&gt;='기준설정'!$B$5)),"원인분석 대상","일반"))</x:f>
      </x:c>
      <x:c r="I845" s="73" t="str">
        <x:f>IF(A845="","",IF(H845="원인분석 대상","세부원인분석 시트에서 거래별 원인을 검토","-"))</x:f>
      </x:c>
      <x:c r="J845" s="73" t="str">
        <x:f>IF(A845="","",COUNTIFS('전기원장'!$A$5:$A$1004,A845,'전기원장'!$J$5:$J$1004,"확인 필요")+COUNTIFS('당기원장'!$A$5:$A$1004,A845,'당기원장'!$J$5:$J$1004,"확인 필요"))</x:f>
      </x:c>
      <x:c r="K845" s="85" t="str">
        <x:f>IF(A845="","",IF(H845&lt;&gt;"원인분석 대상","",IF(J845&gt;0,"붙임 문서 확인 후 원인 확정 필요","결의서명 기반 원인분류 검토")))</x:f>
      </x:c>
    </x:row>
    <x:row r="846">
      <x:c r="A846" s="73" t="str">
        <x:f>IFERROR(INDEX('계산도우미'!$B$5:$B$2004,MATCH(ROWS($A$5:A846),'계산도우미'!$K$5:$K$2004,0)),"")</x:f>
      </x:c>
      <x:c r="B846" s="73" t="str">
        <x:f>IF(A846="","",IFERROR(INDEX('당기원장'!$B$5:$B$1004,MATCH(A846,'당기원장'!$A$5:$A$1004,0)),IFERROR(INDEX('전기원장'!$B$5:$B$1004,MATCH(A846,'전기원장'!$A$5:$A$1004,0)),"")))</x:f>
      </x:c>
      <x:c r="C846" s="75" t="str">
        <x:f>IF(A846="","",SUMIF('전기원장'!$A$5:$A$1004,A846,'전기원장'!$H$5:$H$1004))</x:f>
      </x:c>
      <x:c r="D846" s="75" t="str">
        <x:f>IF(A846="","",SUMIF('당기원장'!$A$5:$A$1004,A846,'당기원장'!$H$5:$H$1004))</x:f>
      </x:c>
      <x:c r="E846" s="75" t="str">
        <x:f>IF(A846="","",D846-C846)</x:f>
      </x:c>
      <x:c r="F846" s="88" t="str">
        <x:f>IF(A846="","",IF(C846=0,IF(D846=0,0,1),ABS(E846)/ABS(C846)))</x:f>
      </x:c>
      <x:c r="G846" s="73" t="str">
        <x:f>IF(A846="","",IF(AND(C846=0,D846&lt;&gt;0),"신규",IF(AND(C846&lt;&gt;0,D846=0),"소멸",IF(E846=0,"변동없음","금액변동"))))</x:f>
      </x:c>
      <x:c r="H846" s="73" t="str">
        <x:f>IF(A846="","",IF(AND(ABS(E846)&gt;='기준설정'!$B$6,OR(G846="신규",G846="소멸",F846&gt;='기준설정'!$B$5)),"원인분석 대상","일반"))</x:f>
      </x:c>
      <x:c r="I846" s="73" t="str">
        <x:f>IF(A846="","",IF(H846="원인분석 대상","세부원인분석 시트에서 거래별 원인을 검토","-"))</x:f>
      </x:c>
      <x:c r="J846" s="73" t="str">
        <x:f>IF(A846="","",COUNTIFS('전기원장'!$A$5:$A$1004,A846,'전기원장'!$J$5:$J$1004,"확인 필요")+COUNTIFS('당기원장'!$A$5:$A$1004,A846,'당기원장'!$J$5:$J$1004,"확인 필요"))</x:f>
      </x:c>
      <x:c r="K846" s="85" t="str">
        <x:f>IF(A846="","",IF(H846&lt;&gt;"원인분석 대상","",IF(J846&gt;0,"붙임 문서 확인 후 원인 확정 필요","결의서명 기반 원인분류 검토")))</x:f>
      </x:c>
    </x:row>
    <x:row r="847">
      <x:c r="A847" s="73" t="str">
        <x:f>IFERROR(INDEX('계산도우미'!$B$5:$B$2004,MATCH(ROWS($A$5:A847),'계산도우미'!$K$5:$K$2004,0)),"")</x:f>
      </x:c>
      <x:c r="B847" s="73" t="str">
        <x:f>IF(A847="","",IFERROR(INDEX('당기원장'!$B$5:$B$1004,MATCH(A847,'당기원장'!$A$5:$A$1004,0)),IFERROR(INDEX('전기원장'!$B$5:$B$1004,MATCH(A847,'전기원장'!$A$5:$A$1004,0)),"")))</x:f>
      </x:c>
      <x:c r="C847" s="75" t="str">
        <x:f>IF(A847="","",SUMIF('전기원장'!$A$5:$A$1004,A847,'전기원장'!$H$5:$H$1004))</x:f>
      </x:c>
      <x:c r="D847" s="75" t="str">
        <x:f>IF(A847="","",SUMIF('당기원장'!$A$5:$A$1004,A847,'당기원장'!$H$5:$H$1004))</x:f>
      </x:c>
      <x:c r="E847" s="75" t="str">
        <x:f>IF(A847="","",D847-C847)</x:f>
      </x:c>
      <x:c r="F847" s="88" t="str">
        <x:f>IF(A847="","",IF(C847=0,IF(D847=0,0,1),ABS(E847)/ABS(C847)))</x:f>
      </x:c>
      <x:c r="G847" s="73" t="str">
        <x:f>IF(A847="","",IF(AND(C847=0,D847&lt;&gt;0),"신규",IF(AND(C847&lt;&gt;0,D847=0),"소멸",IF(E847=0,"변동없음","금액변동"))))</x:f>
      </x:c>
      <x:c r="H847" s="73" t="str">
        <x:f>IF(A847="","",IF(AND(ABS(E847)&gt;='기준설정'!$B$6,OR(G847="신규",G847="소멸",F847&gt;='기준설정'!$B$5)),"원인분석 대상","일반"))</x:f>
      </x:c>
      <x:c r="I847" s="73" t="str">
        <x:f>IF(A847="","",IF(H847="원인분석 대상","세부원인분석 시트에서 거래별 원인을 검토","-"))</x:f>
      </x:c>
      <x:c r="J847" s="73" t="str">
        <x:f>IF(A847="","",COUNTIFS('전기원장'!$A$5:$A$1004,A847,'전기원장'!$J$5:$J$1004,"확인 필요")+COUNTIFS('당기원장'!$A$5:$A$1004,A847,'당기원장'!$J$5:$J$1004,"확인 필요"))</x:f>
      </x:c>
      <x:c r="K847" s="85" t="str">
        <x:f>IF(A847="","",IF(H847&lt;&gt;"원인분석 대상","",IF(J847&gt;0,"붙임 문서 확인 후 원인 확정 필요","결의서명 기반 원인분류 검토")))</x:f>
      </x:c>
    </x:row>
    <x:row r="848">
      <x:c r="A848" s="73" t="str">
        <x:f>IFERROR(INDEX('계산도우미'!$B$5:$B$2004,MATCH(ROWS($A$5:A848),'계산도우미'!$K$5:$K$2004,0)),"")</x:f>
      </x:c>
      <x:c r="B848" s="73" t="str">
        <x:f>IF(A848="","",IFERROR(INDEX('당기원장'!$B$5:$B$1004,MATCH(A848,'당기원장'!$A$5:$A$1004,0)),IFERROR(INDEX('전기원장'!$B$5:$B$1004,MATCH(A848,'전기원장'!$A$5:$A$1004,0)),"")))</x:f>
      </x:c>
      <x:c r="C848" s="75" t="str">
        <x:f>IF(A848="","",SUMIF('전기원장'!$A$5:$A$1004,A848,'전기원장'!$H$5:$H$1004))</x:f>
      </x:c>
      <x:c r="D848" s="75" t="str">
        <x:f>IF(A848="","",SUMIF('당기원장'!$A$5:$A$1004,A848,'당기원장'!$H$5:$H$1004))</x:f>
      </x:c>
      <x:c r="E848" s="75" t="str">
        <x:f>IF(A848="","",D848-C848)</x:f>
      </x:c>
      <x:c r="F848" s="88" t="str">
        <x:f>IF(A848="","",IF(C848=0,IF(D848=0,0,1),ABS(E848)/ABS(C848)))</x:f>
      </x:c>
      <x:c r="G848" s="73" t="str">
        <x:f>IF(A848="","",IF(AND(C848=0,D848&lt;&gt;0),"신규",IF(AND(C848&lt;&gt;0,D848=0),"소멸",IF(E848=0,"변동없음","금액변동"))))</x:f>
      </x:c>
      <x:c r="H848" s="73" t="str">
        <x:f>IF(A848="","",IF(AND(ABS(E848)&gt;='기준설정'!$B$6,OR(G848="신규",G848="소멸",F848&gt;='기준설정'!$B$5)),"원인분석 대상","일반"))</x:f>
      </x:c>
      <x:c r="I848" s="73" t="str">
        <x:f>IF(A848="","",IF(H848="원인분석 대상","세부원인분석 시트에서 거래별 원인을 검토","-"))</x:f>
      </x:c>
      <x:c r="J848" s="73" t="str">
        <x:f>IF(A848="","",COUNTIFS('전기원장'!$A$5:$A$1004,A848,'전기원장'!$J$5:$J$1004,"확인 필요")+COUNTIFS('당기원장'!$A$5:$A$1004,A848,'당기원장'!$J$5:$J$1004,"확인 필요"))</x:f>
      </x:c>
      <x:c r="K848" s="85" t="str">
        <x:f>IF(A848="","",IF(H848&lt;&gt;"원인분석 대상","",IF(J848&gt;0,"붙임 문서 확인 후 원인 확정 필요","결의서명 기반 원인분류 검토")))</x:f>
      </x:c>
    </x:row>
    <x:row r="849">
      <x:c r="A849" s="73" t="str">
        <x:f>IFERROR(INDEX('계산도우미'!$B$5:$B$2004,MATCH(ROWS($A$5:A849),'계산도우미'!$K$5:$K$2004,0)),"")</x:f>
      </x:c>
      <x:c r="B849" s="73" t="str">
        <x:f>IF(A849="","",IFERROR(INDEX('당기원장'!$B$5:$B$1004,MATCH(A849,'당기원장'!$A$5:$A$1004,0)),IFERROR(INDEX('전기원장'!$B$5:$B$1004,MATCH(A849,'전기원장'!$A$5:$A$1004,0)),"")))</x:f>
      </x:c>
      <x:c r="C849" s="75" t="str">
        <x:f>IF(A849="","",SUMIF('전기원장'!$A$5:$A$1004,A849,'전기원장'!$H$5:$H$1004))</x:f>
      </x:c>
      <x:c r="D849" s="75" t="str">
        <x:f>IF(A849="","",SUMIF('당기원장'!$A$5:$A$1004,A849,'당기원장'!$H$5:$H$1004))</x:f>
      </x:c>
      <x:c r="E849" s="75" t="str">
        <x:f>IF(A849="","",D849-C849)</x:f>
      </x:c>
      <x:c r="F849" s="88" t="str">
        <x:f>IF(A849="","",IF(C849=0,IF(D849=0,0,1),ABS(E849)/ABS(C849)))</x:f>
      </x:c>
      <x:c r="G849" s="73" t="str">
        <x:f>IF(A849="","",IF(AND(C849=0,D849&lt;&gt;0),"신규",IF(AND(C849&lt;&gt;0,D849=0),"소멸",IF(E849=0,"변동없음","금액변동"))))</x:f>
      </x:c>
      <x:c r="H849" s="73" t="str">
        <x:f>IF(A849="","",IF(AND(ABS(E849)&gt;='기준설정'!$B$6,OR(G849="신규",G849="소멸",F849&gt;='기준설정'!$B$5)),"원인분석 대상","일반"))</x:f>
      </x:c>
      <x:c r="I849" s="73" t="str">
        <x:f>IF(A849="","",IF(H849="원인분석 대상","세부원인분석 시트에서 거래별 원인을 검토","-"))</x:f>
      </x:c>
      <x:c r="J849" s="73" t="str">
        <x:f>IF(A849="","",COUNTIFS('전기원장'!$A$5:$A$1004,A849,'전기원장'!$J$5:$J$1004,"확인 필요")+COUNTIFS('당기원장'!$A$5:$A$1004,A849,'당기원장'!$J$5:$J$1004,"확인 필요"))</x:f>
      </x:c>
      <x:c r="K849" s="85" t="str">
        <x:f>IF(A849="","",IF(H849&lt;&gt;"원인분석 대상","",IF(J849&gt;0,"붙임 문서 확인 후 원인 확정 필요","결의서명 기반 원인분류 검토")))</x:f>
      </x:c>
    </x:row>
    <x:row r="850">
      <x:c r="A850" s="73" t="str">
        <x:f>IFERROR(INDEX('계산도우미'!$B$5:$B$2004,MATCH(ROWS($A$5:A850),'계산도우미'!$K$5:$K$2004,0)),"")</x:f>
      </x:c>
      <x:c r="B850" s="73" t="str">
        <x:f>IF(A850="","",IFERROR(INDEX('당기원장'!$B$5:$B$1004,MATCH(A850,'당기원장'!$A$5:$A$1004,0)),IFERROR(INDEX('전기원장'!$B$5:$B$1004,MATCH(A850,'전기원장'!$A$5:$A$1004,0)),"")))</x:f>
      </x:c>
      <x:c r="C850" s="75" t="str">
        <x:f>IF(A850="","",SUMIF('전기원장'!$A$5:$A$1004,A850,'전기원장'!$H$5:$H$1004))</x:f>
      </x:c>
      <x:c r="D850" s="75" t="str">
        <x:f>IF(A850="","",SUMIF('당기원장'!$A$5:$A$1004,A850,'당기원장'!$H$5:$H$1004))</x:f>
      </x:c>
      <x:c r="E850" s="75" t="str">
        <x:f>IF(A850="","",D850-C850)</x:f>
      </x:c>
      <x:c r="F850" s="88" t="str">
        <x:f>IF(A850="","",IF(C850=0,IF(D850=0,0,1),ABS(E850)/ABS(C850)))</x:f>
      </x:c>
      <x:c r="G850" s="73" t="str">
        <x:f>IF(A850="","",IF(AND(C850=0,D850&lt;&gt;0),"신규",IF(AND(C850&lt;&gt;0,D850=0),"소멸",IF(E850=0,"변동없음","금액변동"))))</x:f>
      </x:c>
      <x:c r="H850" s="73" t="str">
        <x:f>IF(A850="","",IF(AND(ABS(E850)&gt;='기준설정'!$B$6,OR(G850="신규",G850="소멸",F850&gt;='기준설정'!$B$5)),"원인분석 대상","일반"))</x:f>
      </x:c>
      <x:c r="I850" s="73" t="str">
        <x:f>IF(A850="","",IF(H850="원인분석 대상","세부원인분석 시트에서 거래별 원인을 검토","-"))</x:f>
      </x:c>
      <x:c r="J850" s="73" t="str">
        <x:f>IF(A850="","",COUNTIFS('전기원장'!$A$5:$A$1004,A850,'전기원장'!$J$5:$J$1004,"확인 필요")+COUNTIFS('당기원장'!$A$5:$A$1004,A850,'당기원장'!$J$5:$J$1004,"확인 필요"))</x:f>
      </x:c>
      <x:c r="K850" s="85" t="str">
        <x:f>IF(A850="","",IF(H850&lt;&gt;"원인분석 대상","",IF(J850&gt;0,"붙임 문서 확인 후 원인 확정 필요","결의서명 기반 원인분류 검토")))</x:f>
      </x:c>
    </x:row>
    <x:row r="851">
      <x:c r="A851" s="73" t="str">
        <x:f>IFERROR(INDEX('계산도우미'!$B$5:$B$2004,MATCH(ROWS($A$5:A851),'계산도우미'!$K$5:$K$2004,0)),"")</x:f>
      </x:c>
      <x:c r="B851" s="73" t="str">
        <x:f>IF(A851="","",IFERROR(INDEX('당기원장'!$B$5:$B$1004,MATCH(A851,'당기원장'!$A$5:$A$1004,0)),IFERROR(INDEX('전기원장'!$B$5:$B$1004,MATCH(A851,'전기원장'!$A$5:$A$1004,0)),"")))</x:f>
      </x:c>
      <x:c r="C851" s="75" t="str">
        <x:f>IF(A851="","",SUMIF('전기원장'!$A$5:$A$1004,A851,'전기원장'!$H$5:$H$1004))</x:f>
      </x:c>
      <x:c r="D851" s="75" t="str">
        <x:f>IF(A851="","",SUMIF('당기원장'!$A$5:$A$1004,A851,'당기원장'!$H$5:$H$1004))</x:f>
      </x:c>
      <x:c r="E851" s="75" t="str">
        <x:f>IF(A851="","",D851-C851)</x:f>
      </x:c>
      <x:c r="F851" s="88" t="str">
        <x:f>IF(A851="","",IF(C851=0,IF(D851=0,0,1),ABS(E851)/ABS(C851)))</x:f>
      </x:c>
      <x:c r="G851" s="73" t="str">
        <x:f>IF(A851="","",IF(AND(C851=0,D851&lt;&gt;0),"신규",IF(AND(C851&lt;&gt;0,D851=0),"소멸",IF(E851=0,"변동없음","금액변동"))))</x:f>
      </x:c>
      <x:c r="H851" s="73" t="str">
        <x:f>IF(A851="","",IF(AND(ABS(E851)&gt;='기준설정'!$B$6,OR(G851="신규",G851="소멸",F851&gt;='기준설정'!$B$5)),"원인분석 대상","일반"))</x:f>
      </x:c>
      <x:c r="I851" s="73" t="str">
        <x:f>IF(A851="","",IF(H851="원인분석 대상","세부원인분석 시트에서 거래별 원인을 검토","-"))</x:f>
      </x:c>
      <x:c r="J851" s="73" t="str">
        <x:f>IF(A851="","",COUNTIFS('전기원장'!$A$5:$A$1004,A851,'전기원장'!$J$5:$J$1004,"확인 필요")+COUNTIFS('당기원장'!$A$5:$A$1004,A851,'당기원장'!$J$5:$J$1004,"확인 필요"))</x:f>
      </x:c>
      <x:c r="K851" s="85" t="str">
        <x:f>IF(A851="","",IF(H851&lt;&gt;"원인분석 대상","",IF(J851&gt;0,"붙임 문서 확인 후 원인 확정 필요","결의서명 기반 원인분류 검토")))</x:f>
      </x:c>
    </x:row>
    <x:row r="852">
      <x:c r="A852" s="73" t="str">
        <x:f>IFERROR(INDEX('계산도우미'!$B$5:$B$2004,MATCH(ROWS($A$5:A852),'계산도우미'!$K$5:$K$2004,0)),"")</x:f>
      </x:c>
      <x:c r="B852" s="73" t="str">
        <x:f>IF(A852="","",IFERROR(INDEX('당기원장'!$B$5:$B$1004,MATCH(A852,'당기원장'!$A$5:$A$1004,0)),IFERROR(INDEX('전기원장'!$B$5:$B$1004,MATCH(A852,'전기원장'!$A$5:$A$1004,0)),"")))</x:f>
      </x:c>
      <x:c r="C852" s="75" t="str">
        <x:f>IF(A852="","",SUMIF('전기원장'!$A$5:$A$1004,A852,'전기원장'!$H$5:$H$1004))</x:f>
      </x:c>
      <x:c r="D852" s="75" t="str">
        <x:f>IF(A852="","",SUMIF('당기원장'!$A$5:$A$1004,A852,'당기원장'!$H$5:$H$1004))</x:f>
      </x:c>
      <x:c r="E852" s="75" t="str">
        <x:f>IF(A852="","",D852-C852)</x:f>
      </x:c>
      <x:c r="F852" s="88" t="str">
        <x:f>IF(A852="","",IF(C852=0,IF(D852=0,0,1),ABS(E852)/ABS(C852)))</x:f>
      </x:c>
      <x:c r="G852" s="73" t="str">
        <x:f>IF(A852="","",IF(AND(C852=0,D852&lt;&gt;0),"신규",IF(AND(C852&lt;&gt;0,D852=0),"소멸",IF(E852=0,"변동없음","금액변동"))))</x:f>
      </x:c>
      <x:c r="H852" s="73" t="str">
        <x:f>IF(A852="","",IF(AND(ABS(E852)&gt;='기준설정'!$B$6,OR(G852="신규",G852="소멸",F852&gt;='기준설정'!$B$5)),"원인분석 대상","일반"))</x:f>
      </x:c>
      <x:c r="I852" s="73" t="str">
        <x:f>IF(A852="","",IF(H852="원인분석 대상","세부원인분석 시트에서 거래별 원인을 검토","-"))</x:f>
      </x:c>
      <x:c r="J852" s="73" t="str">
        <x:f>IF(A852="","",COUNTIFS('전기원장'!$A$5:$A$1004,A852,'전기원장'!$J$5:$J$1004,"확인 필요")+COUNTIFS('당기원장'!$A$5:$A$1004,A852,'당기원장'!$J$5:$J$1004,"확인 필요"))</x:f>
      </x:c>
      <x:c r="K852" s="85" t="str">
        <x:f>IF(A852="","",IF(H852&lt;&gt;"원인분석 대상","",IF(J852&gt;0,"붙임 문서 확인 후 원인 확정 필요","결의서명 기반 원인분류 검토")))</x:f>
      </x:c>
    </x:row>
    <x:row r="853">
      <x:c r="A853" s="73" t="str">
        <x:f>IFERROR(INDEX('계산도우미'!$B$5:$B$2004,MATCH(ROWS($A$5:A853),'계산도우미'!$K$5:$K$2004,0)),"")</x:f>
      </x:c>
      <x:c r="B853" s="73" t="str">
        <x:f>IF(A853="","",IFERROR(INDEX('당기원장'!$B$5:$B$1004,MATCH(A853,'당기원장'!$A$5:$A$1004,0)),IFERROR(INDEX('전기원장'!$B$5:$B$1004,MATCH(A853,'전기원장'!$A$5:$A$1004,0)),"")))</x:f>
      </x:c>
      <x:c r="C853" s="75" t="str">
        <x:f>IF(A853="","",SUMIF('전기원장'!$A$5:$A$1004,A853,'전기원장'!$H$5:$H$1004))</x:f>
      </x:c>
      <x:c r="D853" s="75" t="str">
        <x:f>IF(A853="","",SUMIF('당기원장'!$A$5:$A$1004,A853,'당기원장'!$H$5:$H$1004))</x:f>
      </x:c>
      <x:c r="E853" s="75" t="str">
        <x:f>IF(A853="","",D853-C853)</x:f>
      </x:c>
      <x:c r="F853" s="88" t="str">
        <x:f>IF(A853="","",IF(C853=0,IF(D853=0,0,1),ABS(E853)/ABS(C853)))</x:f>
      </x:c>
      <x:c r="G853" s="73" t="str">
        <x:f>IF(A853="","",IF(AND(C853=0,D853&lt;&gt;0),"신규",IF(AND(C853&lt;&gt;0,D853=0),"소멸",IF(E853=0,"변동없음","금액변동"))))</x:f>
      </x:c>
      <x:c r="H853" s="73" t="str">
        <x:f>IF(A853="","",IF(AND(ABS(E853)&gt;='기준설정'!$B$6,OR(G853="신규",G853="소멸",F853&gt;='기준설정'!$B$5)),"원인분석 대상","일반"))</x:f>
      </x:c>
      <x:c r="I853" s="73" t="str">
        <x:f>IF(A853="","",IF(H853="원인분석 대상","세부원인분석 시트에서 거래별 원인을 검토","-"))</x:f>
      </x:c>
      <x:c r="J853" s="73" t="str">
        <x:f>IF(A853="","",COUNTIFS('전기원장'!$A$5:$A$1004,A853,'전기원장'!$J$5:$J$1004,"확인 필요")+COUNTIFS('당기원장'!$A$5:$A$1004,A853,'당기원장'!$J$5:$J$1004,"확인 필요"))</x:f>
      </x:c>
      <x:c r="K853" s="85" t="str">
        <x:f>IF(A853="","",IF(H853&lt;&gt;"원인분석 대상","",IF(J853&gt;0,"붙임 문서 확인 후 원인 확정 필요","결의서명 기반 원인분류 검토")))</x:f>
      </x:c>
    </x:row>
    <x:row r="854">
      <x:c r="A854" s="73" t="str">
        <x:f>IFERROR(INDEX('계산도우미'!$B$5:$B$2004,MATCH(ROWS($A$5:A854),'계산도우미'!$K$5:$K$2004,0)),"")</x:f>
      </x:c>
      <x:c r="B854" s="73" t="str">
        <x:f>IF(A854="","",IFERROR(INDEX('당기원장'!$B$5:$B$1004,MATCH(A854,'당기원장'!$A$5:$A$1004,0)),IFERROR(INDEX('전기원장'!$B$5:$B$1004,MATCH(A854,'전기원장'!$A$5:$A$1004,0)),"")))</x:f>
      </x:c>
      <x:c r="C854" s="75" t="str">
        <x:f>IF(A854="","",SUMIF('전기원장'!$A$5:$A$1004,A854,'전기원장'!$H$5:$H$1004))</x:f>
      </x:c>
      <x:c r="D854" s="75" t="str">
        <x:f>IF(A854="","",SUMIF('당기원장'!$A$5:$A$1004,A854,'당기원장'!$H$5:$H$1004))</x:f>
      </x:c>
      <x:c r="E854" s="75" t="str">
        <x:f>IF(A854="","",D854-C854)</x:f>
      </x:c>
      <x:c r="F854" s="88" t="str">
        <x:f>IF(A854="","",IF(C854=0,IF(D854=0,0,1),ABS(E854)/ABS(C854)))</x:f>
      </x:c>
      <x:c r="G854" s="73" t="str">
        <x:f>IF(A854="","",IF(AND(C854=0,D854&lt;&gt;0),"신규",IF(AND(C854&lt;&gt;0,D854=0),"소멸",IF(E854=0,"변동없음","금액변동"))))</x:f>
      </x:c>
      <x:c r="H854" s="73" t="str">
        <x:f>IF(A854="","",IF(AND(ABS(E854)&gt;='기준설정'!$B$6,OR(G854="신규",G854="소멸",F854&gt;='기준설정'!$B$5)),"원인분석 대상","일반"))</x:f>
      </x:c>
      <x:c r="I854" s="73" t="str">
        <x:f>IF(A854="","",IF(H854="원인분석 대상","세부원인분석 시트에서 거래별 원인을 검토","-"))</x:f>
      </x:c>
      <x:c r="J854" s="73" t="str">
        <x:f>IF(A854="","",COUNTIFS('전기원장'!$A$5:$A$1004,A854,'전기원장'!$J$5:$J$1004,"확인 필요")+COUNTIFS('당기원장'!$A$5:$A$1004,A854,'당기원장'!$J$5:$J$1004,"확인 필요"))</x:f>
      </x:c>
      <x:c r="K854" s="85" t="str">
        <x:f>IF(A854="","",IF(H854&lt;&gt;"원인분석 대상","",IF(J854&gt;0,"붙임 문서 확인 후 원인 확정 필요","결의서명 기반 원인분류 검토")))</x:f>
      </x:c>
    </x:row>
    <x:row r="855">
      <x:c r="A855" s="73" t="str">
        <x:f>IFERROR(INDEX('계산도우미'!$B$5:$B$2004,MATCH(ROWS($A$5:A855),'계산도우미'!$K$5:$K$2004,0)),"")</x:f>
      </x:c>
      <x:c r="B855" s="73" t="str">
        <x:f>IF(A855="","",IFERROR(INDEX('당기원장'!$B$5:$B$1004,MATCH(A855,'당기원장'!$A$5:$A$1004,0)),IFERROR(INDEX('전기원장'!$B$5:$B$1004,MATCH(A855,'전기원장'!$A$5:$A$1004,0)),"")))</x:f>
      </x:c>
      <x:c r="C855" s="75" t="str">
        <x:f>IF(A855="","",SUMIF('전기원장'!$A$5:$A$1004,A855,'전기원장'!$H$5:$H$1004))</x:f>
      </x:c>
      <x:c r="D855" s="75" t="str">
        <x:f>IF(A855="","",SUMIF('당기원장'!$A$5:$A$1004,A855,'당기원장'!$H$5:$H$1004))</x:f>
      </x:c>
      <x:c r="E855" s="75" t="str">
        <x:f>IF(A855="","",D855-C855)</x:f>
      </x:c>
      <x:c r="F855" s="88" t="str">
        <x:f>IF(A855="","",IF(C855=0,IF(D855=0,0,1),ABS(E855)/ABS(C855)))</x:f>
      </x:c>
      <x:c r="G855" s="73" t="str">
        <x:f>IF(A855="","",IF(AND(C855=0,D855&lt;&gt;0),"신규",IF(AND(C855&lt;&gt;0,D855=0),"소멸",IF(E855=0,"변동없음","금액변동"))))</x:f>
      </x:c>
      <x:c r="H855" s="73" t="str">
        <x:f>IF(A855="","",IF(AND(ABS(E855)&gt;='기준설정'!$B$6,OR(G855="신규",G855="소멸",F855&gt;='기준설정'!$B$5)),"원인분석 대상","일반"))</x:f>
      </x:c>
      <x:c r="I855" s="73" t="str">
        <x:f>IF(A855="","",IF(H855="원인분석 대상","세부원인분석 시트에서 거래별 원인을 검토","-"))</x:f>
      </x:c>
      <x:c r="J855" s="73" t="str">
        <x:f>IF(A855="","",COUNTIFS('전기원장'!$A$5:$A$1004,A855,'전기원장'!$J$5:$J$1004,"확인 필요")+COUNTIFS('당기원장'!$A$5:$A$1004,A855,'당기원장'!$J$5:$J$1004,"확인 필요"))</x:f>
      </x:c>
      <x:c r="K855" s="85" t="str">
        <x:f>IF(A855="","",IF(H855&lt;&gt;"원인분석 대상","",IF(J855&gt;0,"붙임 문서 확인 후 원인 확정 필요","결의서명 기반 원인분류 검토")))</x:f>
      </x:c>
    </x:row>
    <x:row r="856">
      <x:c r="A856" s="73" t="str">
        <x:f>IFERROR(INDEX('계산도우미'!$B$5:$B$2004,MATCH(ROWS($A$5:A856),'계산도우미'!$K$5:$K$2004,0)),"")</x:f>
      </x:c>
      <x:c r="B856" s="73" t="str">
        <x:f>IF(A856="","",IFERROR(INDEX('당기원장'!$B$5:$B$1004,MATCH(A856,'당기원장'!$A$5:$A$1004,0)),IFERROR(INDEX('전기원장'!$B$5:$B$1004,MATCH(A856,'전기원장'!$A$5:$A$1004,0)),"")))</x:f>
      </x:c>
      <x:c r="C856" s="75" t="str">
        <x:f>IF(A856="","",SUMIF('전기원장'!$A$5:$A$1004,A856,'전기원장'!$H$5:$H$1004))</x:f>
      </x:c>
      <x:c r="D856" s="75" t="str">
        <x:f>IF(A856="","",SUMIF('당기원장'!$A$5:$A$1004,A856,'당기원장'!$H$5:$H$1004))</x:f>
      </x:c>
      <x:c r="E856" s="75" t="str">
        <x:f>IF(A856="","",D856-C856)</x:f>
      </x:c>
      <x:c r="F856" s="88" t="str">
        <x:f>IF(A856="","",IF(C856=0,IF(D856=0,0,1),ABS(E856)/ABS(C856)))</x:f>
      </x:c>
      <x:c r="G856" s="73" t="str">
        <x:f>IF(A856="","",IF(AND(C856=0,D856&lt;&gt;0),"신규",IF(AND(C856&lt;&gt;0,D856=0),"소멸",IF(E856=0,"변동없음","금액변동"))))</x:f>
      </x:c>
      <x:c r="H856" s="73" t="str">
        <x:f>IF(A856="","",IF(AND(ABS(E856)&gt;='기준설정'!$B$6,OR(G856="신규",G856="소멸",F856&gt;='기준설정'!$B$5)),"원인분석 대상","일반"))</x:f>
      </x:c>
      <x:c r="I856" s="73" t="str">
        <x:f>IF(A856="","",IF(H856="원인분석 대상","세부원인분석 시트에서 거래별 원인을 검토","-"))</x:f>
      </x:c>
      <x:c r="J856" s="73" t="str">
        <x:f>IF(A856="","",COUNTIFS('전기원장'!$A$5:$A$1004,A856,'전기원장'!$J$5:$J$1004,"확인 필요")+COUNTIFS('당기원장'!$A$5:$A$1004,A856,'당기원장'!$J$5:$J$1004,"확인 필요"))</x:f>
      </x:c>
      <x:c r="K856" s="85" t="str">
        <x:f>IF(A856="","",IF(H856&lt;&gt;"원인분석 대상","",IF(J856&gt;0,"붙임 문서 확인 후 원인 확정 필요","결의서명 기반 원인분류 검토")))</x:f>
      </x:c>
    </x:row>
    <x:row r="857">
      <x:c r="A857" s="73" t="str">
        <x:f>IFERROR(INDEX('계산도우미'!$B$5:$B$2004,MATCH(ROWS($A$5:A857),'계산도우미'!$K$5:$K$2004,0)),"")</x:f>
      </x:c>
      <x:c r="B857" s="73" t="str">
        <x:f>IF(A857="","",IFERROR(INDEX('당기원장'!$B$5:$B$1004,MATCH(A857,'당기원장'!$A$5:$A$1004,0)),IFERROR(INDEX('전기원장'!$B$5:$B$1004,MATCH(A857,'전기원장'!$A$5:$A$1004,0)),"")))</x:f>
      </x:c>
      <x:c r="C857" s="75" t="str">
        <x:f>IF(A857="","",SUMIF('전기원장'!$A$5:$A$1004,A857,'전기원장'!$H$5:$H$1004))</x:f>
      </x:c>
      <x:c r="D857" s="75" t="str">
        <x:f>IF(A857="","",SUMIF('당기원장'!$A$5:$A$1004,A857,'당기원장'!$H$5:$H$1004))</x:f>
      </x:c>
      <x:c r="E857" s="75" t="str">
        <x:f>IF(A857="","",D857-C857)</x:f>
      </x:c>
      <x:c r="F857" s="88" t="str">
        <x:f>IF(A857="","",IF(C857=0,IF(D857=0,0,1),ABS(E857)/ABS(C857)))</x:f>
      </x:c>
      <x:c r="G857" s="73" t="str">
        <x:f>IF(A857="","",IF(AND(C857=0,D857&lt;&gt;0),"신규",IF(AND(C857&lt;&gt;0,D857=0),"소멸",IF(E857=0,"변동없음","금액변동"))))</x:f>
      </x:c>
      <x:c r="H857" s="73" t="str">
        <x:f>IF(A857="","",IF(AND(ABS(E857)&gt;='기준설정'!$B$6,OR(G857="신규",G857="소멸",F857&gt;='기준설정'!$B$5)),"원인분석 대상","일반"))</x:f>
      </x:c>
      <x:c r="I857" s="73" t="str">
        <x:f>IF(A857="","",IF(H857="원인분석 대상","세부원인분석 시트에서 거래별 원인을 검토","-"))</x:f>
      </x:c>
      <x:c r="J857" s="73" t="str">
        <x:f>IF(A857="","",COUNTIFS('전기원장'!$A$5:$A$1004,A857,'전기원장'!$J$5:$J$1004,"확인 필요")+COUNTIFS('당기원장'!$A$5:$A$1004,A857,'당기원장'!$J$5:$J$1004,"확인 필요"))</x:f>
      </x:c>
      <x:c r="K857" s="85" t="str">
        <x:f>IF(A857="","",IF(H857&lt;&gt;"원인분석 대상","",IF(J857&gt;0,"붙임 문서 확인 후 원인 확정 필요","결의서명 기반 원인분류 검토")))</x:f>
      </x:c>
    </x:row>
    <x:row r="858">
      <x:c r="A858" s="73" t="str">
        <x:f>IFERROR(INDEX('계산도우미'!$B$5:$B$2004,MATCH(ROWS($A$5:A858),'계산도우미'!$K$5:$K$2004,0)),"")</x:f>
      </x:c>
      <x:c r="B858" s="73" t="str">
        <x:f>IF(A858="","",IFERROR(INDEX('당기원장'!$B$5:$B$1004,MATCH(A858,'당기원장'!$A$5:$A$1004,0)),IFERROR(INDEX('전기원장'!$B$5:$B$1004,MATCH(A858,'전기원장'!$A$5:$A$1004,0)),"")))</x:f>
      </x:c>
      <x:c r="C858" s="75" t="str">
        <x:f>IF(A858="","",SUMIF('전기원장'!$A$5:$A$1004,A858,'전기원장'!$H$5:$H$1004))</x:f>
      </x:c>
      <x:c r="D858" s="75" t="str">
        <x:f>IF(A858="","",SUMIF('당기원장'!$A$5:$A$1004,A858,'당기원장'!$H$5:$H$1004))</x:f>
      </x:c>
      <x:c r="E858" s="75" t="str">
        <x:f>IF(A858="","",D858-C858)</x:f>
      </x:c>
      <x:c r="F858" s="88" t="str">
        <x:f>IF(A858="","",IF(C858=0,IF(D858=0,0,1),ABS(E858)/ABS(C858)))</x:f>
      </x:c>
      <x:c r="G858" s="73" t="str">
        <x:f>IF(A858="","",IF(AND(C858=0,D858&lt;&gt;0),"신규",IF(AND(C858&lt;&gt;0,D858=0),"소멸",IF(E858=0,"변동없음","금액변동"))))</x:f>
      </x:c>
      <x:c r="H858" s="73" t="str">
        <x:f>IF(A858="","",IF(AND(ABS(E858)&gt;='기준설정'!$B$6,OR(G858="신규",G858="소멸",F858&gt;='기준설정'!$B$5)),"원인분석 대상","일반"))</x:f>
      </x:c>
      <x:c r="I858" s="73" t="str">
        <x:f>IF(A858="","",IF(H858="원인분석 대상","세부원인분석 시트에서 거래별 원인을 검토","-"))</x:f>
      </x:c>
      <x:c r="J858" s="73" t="str">
        <x:f>IF(A858="","",COUNTIFS('전기원장'!$A$5:$A$1004,A858,'전기원장'!$J$5:$J$1004,"확인 필요")+COUNTIFS('당기원장'!$A$5:$A$1004,A858,'당기원장'!$J$5:$J$1004,"확인 필요"))</x:f>
      </x:c>
      <x:c r="K858" s="85" t="str">
        <x:f>IF(A858="","",IF(H858&lt;&gt;"원인분석 대상","",IF(J858&gt;0,"붙임 문서 확인 후 원인 확정 필요","결의서명 기반 원인분류 검토")))</x:f>
      </x:c>
    </x:row>
    <x:row r="859">
      <x:c r="A859" s="73" t="str">
        <x:f>IFERROR(INDEX('계산도우미'!$B$5:$B$2004,MATCH(ROWS($A$5:A859),'계산도우미'!$K$5:$K$2004,0)),"")</x:f>
      </x:c>
      <x:c r="B859" s="73" t="str">
        <x:f>IF(A859="","",IFERROR(INDEX('당기원장'!$B$5:$B$1004,MATCH(A859,'당기원장'!$A$5:$A$1004,0)),IFERROR(INDEX('전기원장'!$B$5:$B$1004,MATCH(A859,'전기원장'!$A$5:$A$1004,0)),"")))</x:f>
      </x:c>
      <x:c r="C859" s="75" t="str">
        <x:f>IF(A859="","",SUMIF('전기원장'!$A$5:$A$1004,A859,'전기원장'!$H$5:$H$1004))</x:f>
      </x:c>
      <x:c r="D859" s="75" t="str">
        <x:f>IF(A859="","",SUMIF('당기원장'!$A$5:$A$1004,A859,'당기원장'!$H$5:$H$1004))</x:f>
      </x:c>
      <x:c r="E859" s="75" t="str">
        <x:f>IF(A859="","",D859-C859)</x:f>
      </x:c>
      <x:c r="F859" s="88" t="str">
        <x:f>IF(A859="","",IF(C859=0,IF(D859=0,0,1),ABS(E859)/ABS(C859)))</x:f>
      </x:c>
      <x:c r="G859" s="73" t="str">
        <x:f>IF(A859="","",IF(AND(C859=0,D859&lt;&gt;0),"신규",IF(AND(C859&lt;&gt;0,D859=0),"소멸",IF(E859=0,"변동없음","금액변동"))))</x:f>
      </x:c>
      <x:c r="H859" s="73" t="str">
        <x:f>IF(A859="","",IF(AND(ABS(E859)&gt;='기준설정'!$B$6,OR(G859="신규",G859="소멸",F859&gt;='기준설정'!$B$5)),"원인분석 대상","일반"))</x:f>
      </x:c>
      <x:c r="I859" s="73" t="str">
        <x:f>IF(A859="","",IF(H859="원인분석 대상","세부원인분석 시트에서 거래별 원인을 검토","-"))</x:f>
      </x:c>
      <x:c r="J859" s="73" t="str">
        <x:f>IF(A859="","",COUNTIFS('전기원장'!$A$5:$A$1004,A859,'전기원장'!$J$5:$J$1004,"확인 필요")+COUNTIFS('당기원장'!$A$5:$A$1004,A859,'당기원장'!$J$5:$J$1004,"확인 필요"))</x:f>
      </x:c>
      <x:c r="K859" s="85" t="str">
        <x:f>IF(A859="","",IF(H859&lt;&gt;"원인분석 대상","",IF(J859&gt;0,"붙임 문서 확인 후 원인 확정 필요","결의서명 기반 원인분류 검토")))</x:f>
      </x:c>
    </x:row>
    <x:row r="860">
      <x:c r="A860" s="73" t="str">
        <x:f>IFERROR(INDEX('계산도우미'!$B$5:$B$2004,MATCH(ROWS($A$5:A860),'계산도우미'!$K$5:$K$2004,0)),"")</x:f>
      </x:c>
      <x:c r="B860" s="73" t="str">
        <x:f>IF(A860="","",IFERROR(INDEX('당기원장'!$B$5:$B$1004,MATCH(A860,'당기원장'!$A$5:$A$1004,0)),IFERROR(INDEX('전기원장'!$B$5:$B$1004,MATCH(A860,'전기원장'!$A$5:$A$1004,0)),"")))</x:f>
      </x:c>
      <x:c r="C860" s="75" t="str">
        <x:f>IF(A860="","",SUMIF('전기원장'!$A$5:$A$1004,A860,'전기원장'!$H$5:$H$1004))</x:f>
      </x:c>
      <x:c r="D860" s="75" t="str">
        <x:f>IF(A860="","",SUMIF('당기원장'!$A$5:$A$1004,A860,'당기원장'!$H$5:$H$1004))</x:f>
      </x:c>
      <x:c r="E860" s="75" t="str">
        <x:f>IF(A860="","",D860-C860)</x:f>
      </x:c>
      <x:c r="F860" s="88" t="str">
        <x:f>IF(A860="","",IF(C860=0,IF(D860=0,0,1),ABS(E860)/ABS(C860)))</x:f>
      </x:c>
      <x:c r="G860" s="73" t="str">
        <x:f>IF(A860="","",IF(AND(C860=0,D860&lt;&gt;0),"신규",IF(AND(C860&lt;&gt;0,D860=0),"소멸",IF(E860=0,"변동없음","금액변동"))))</x:f>
      </x:c>
      <x:c r="H860" s="73" t="str">
        <x:f>IF(A860="","",IF(AND(ABS(E860)&gt;='기준설정'!$B$6,OR(G860="신규",G860="소멸",F860&gt;='기준설정'!$B$5)),"원인분석 대상","일반"))</x:f>
      </x:c>
      <x:c r="I860" s="73" t="str">
        <x:f>IF(A860="","",IF(H860="원인분석 대상","세부원인분석 시트에서 거래별 원인을 검토","-"))</x:f>
      </x:c>
      <x:c r="J860" s="73" t="str">
        <x:f>IF(A860="","",COUNTIFS('전기원장'!$A$5:$A$1004,A860,'전기원장'!$J$5:$J$1004,"확인 필요")+COUNTIFS('당기원장'!$A$5:$A$1004,A860,'당기원장'!$J$5:$J$1004,"확인 필요"))</x:f>
      </x:c>
      <x:c r="K860" s="85" t="str">
        <x:f>IF(A860="","",IF(H860&lt;&gt;"원인분석 대상","",IF(J860&gt;0,"붙임 문서 확인 후 원인 확정 필요","결의서명 기반 원인분류 검토")))</x:f>
      </x:c>
    </x:row>
    <x:row r="861">
      <x:c r="A861" s="73" t="str">
        <x:f>IFERROR(INDEX('계산도우미'!$B$5:$B$2004,MATCH(ROWS($A$5:A861),'계산도우미'!$K$5:$K$2004,0)),"")</x:f>
      </x:c>
      <x:c r="B861" s="73" t="str">
        <x:f>IF(A861="","",IFERROR(INDEX('당기원장'!$B$5:$B$1004,MATCH(A861,'당기원장'!$A$5:$A$1004,0)),IFERROR(INDEX('전기원장'!$B$5:$B$1004,MATCH(A861,'전기원장'!$A$5:$A$1004,0)),"")))</x:f>
      </x:c>
      <x:c r="C861" s="75" t="str">
        <x:f>IF(A861="","",SUMIF('전기원장'!$A$5:$A$1004,A861,'전기원장'!$H$5:$H$1004))</x:f>
      </x:c>
      <x:c r="D861" s="75" t="str">
        <x:f>IF(A861="","",SUMIF('당기원장'!$A$5:$A$1004,A861,'당기원장'!$H$5:$H$1004))</x:f>
      </x:c>
      <x:c r="E861" s="75" t="str">
        <x:f>IF(A861="","",D861-C861)</x:f>
      </x:c>
      <x:c r="F861" s="88" t="str">
        <x:f>IF(A861="","",IF(C861=0,IF(D861=0,0,1),ABS(E861)/ABS(C861)))</x:f>
      </x:c>
      <x:c r="G861" s="73" t="str">
        <x:f>IF(A861="","",IF(AND(C861=0,D861&lt;&gt;0),"신규",IF(AND(C861&lt;&gt;0,D861=0),"소멸",IF(E861=0,"변동없음","금액변동"))))</x:f>
      </x:c>
      <x:c r="H861" s="73" t="str">
        <x:f>IF(A861="","",IF(AND(ABS(E861)&gt;='기준설정'!$B$6,OR(G861="신규",G861="소멸",F861&gt;='기준설정'!$B$5)),"원인분석 대상","일반"))</x:f>
      </x:c>
      <x:c r="I861" s="73" t="str">
        <x:f>IF(A861="","",IF(H861="원인분석 대상","세부원인분석 시트에서 거래별 원인을 검토","-"))</x:f>
      </x:c>
      <x:c r="J861" s="73" t="str">
        <x:f>IF(A861="","",COUNTIFS('전기원장'!$A$5:$A$1004,A861,'전기원장'!$J$5:$J$1004,"확인 필요")+COUNTIFS('당기원장'!$A$5:$A$1004,A861,'당기원장'!$J$5:$J$1004,"확인 필요"))</x:f>
      </x:c>
      <x:c r="K861" s="85" t="str">
        <x:f>IF(A861="","",IF(H861&lt;&gt;"원인분석 대상","",IF(J861&gt;0,"붙임 문서 확인 후 원인 확정 필요","결의서명 기반 원인분류 검토")))</x:f>
      </x:c>
    </x:row>
    <x:row r="862">
      <x:c r="A862" s="73" t="str">
        <x:f>IFERROR(INDEX('계산도우미'!$B$5:$B$2004,MATCH(ROWS($A$5:A862),'계산도우미'!$K$5:$K$2004,0)),"")</x:f>
      </x:c>
      <x:c r="B862" s="73" t="str">
        <x:f>IF(A862="","",IFERROR(INDEX('당기원장'!$B$5:$B$1004,MATCH(A862,'당기원장'!$A$5:$A$1004,0)),IFERROR(INDEX('전기원장'!$B$5:$B$1004,MATCH(A862,'전기원장'!$A$5:$A$1004,0)),"")))</x:f>
      </x:c>
      <x:c r="C862" s="75" t="str">
        <x:f>IF(A862="","",SUMIF('전기원장'!$A$5:$A$1004,A862,'전기원장'!$H$5:$H$1004))</x:f>
      </x:c>
      <x:c r="D862" s="75" t="str">
        <x:f>IF(A862="","",SUMIF('당기원장'!$A$5:$A$1004,A862,'당기원장'!$H$5:$H$1004))</x:f>
      </x:c>
      <x:c r="E862" s="75" t="str">
        <x:f>IF(A862="","",D862-C862)</x:f>
      </x:c>
      <x:c r="F862" s="88" t="str">
        <x:f>IF(A862="","",IF(C862=0,IF(D862=0,0,1),ABS(E862)/ABS(C862)))</x:f>
      </x:c>
      <x:c r="G862" s="73" t="str">
        <x:f>IF(A862="","",IF(AND(C862=0,D862&lt;&gt;0),"신규",IF(AND(C862&lt;&gt;0,D862=0),"소멸",IF(E862=0,"변동없음","금액변동"))))</x:f>
      </x:c>
      <x:c r="H862" s="73" t="str">
        <x:f>IF(A862="","",IF(AND(ABS(E862)&gt;='기준설정'!$B$6,OR(G862="신규",G862="소멸",F862&gt;='기준설정'!$B$5)),"원인분석 대상","일반"))</x:f>
      </x:c>
      <x:c r="I862" s="73" t="str">
        <x:f>IF(A862="","",IF(H862="원인분석 대상","세부원인분석 시트에서 거래별 원인을 검토","-"))</x:f>
      </x:c>
      <x:c r="J862" s="73" t="str">
        <x:f>IF(A862="","",COUNTIFS('전기원장'!$A$5:$A$1004,A862,'전기원장'!$J$5:$J$1004,"확인 필요")+COUNTIFS('당기원장'!$A$5:$A$1004,A862,'당기원장'!$J$5:$J$1004,"확인 필요"))</x:f>
      </x:c>
      <x:c r="K862" s="85" t="str">
        <x:f>IF(A862="","",IF(H862&lt;&gt;"원인분석 대상","",IF(J862&gt;0,"붙임 문서 확인 후 원인 확정 필요","결의서명 기반 원인분류 검토")))</x:f>
      </x:c>
    </x:row>
    <x:row r="863">
      <x:c r="A863" s="73" t="str">
        <x:f>IFERROR(INDEX('계산도우미'!$B$5:$B$2004,MATCH(ROWS($A$5:A863),'계산도우미'!$K$5:$K$2004,0)),"")</x:f>
      </x:c>
      <x:c r="B863" s="73" t="str">
        <x:f>IF(A863="","",IFERROR(INDEX('당기원장'!$B$5:$B$1004,MATCH(A863,'당기원장'!$A$5:$A$1004,0)),IFERROR(INDEX('전기원장'!$B$5:$B$1004,MATCH(A863,'전기원장'!$A$5:$A$1004,0)),"")))</x:f>
      </x:c>
      <x:c r="C863" s="75" t="str">
        <x:f>IF(A863="","",SUMIF('전기원장'!$A$5:$A$1004,A863,'전기원장'!$H$5:$H$1004))</x:f>
      </x:c>
      <x:c r="D863" s="75" t="str">
        <x:f>IF(A863="","",SUMIF('당기원장'!$A$5:$A$1004,A863,'당기원장'!$H$5:$H$1004))</x:f>
      </x:c>
      <x:c r="E863" s="75" t="str">
        <x:f>IF(A863="","",D863-C863)</x:f>
      </x:c>
      <x:c r="F863" s="88" t="str">
        <x:f>IF(A863="","",IF(C863=0,IF(D863=0,0,1),ABS(E863)/ABS(C863)))</x:f>
      </x:c>
      <x:c r="G863" s="73" t="str">
        <x:f>IF(A863="","",IF(AND(C863=0,D863&lt;&gt;0),"신규",IF(AND(C863&lt;&gt;0,D863=0),"소멸",IF(E863=0,"변동없음","금액변동"))))</x:f>
      </x:c>
      <x:c r="H863" s="73" t="str">
        <x:f>IF(A863="","",IF(AND(ABS(E863)&gt;='기준설정'!$B$6,OR(G863="신규",G863="소멸",F863&gt;='기준설정'!$B$5)),"원인분석 대상","일반"))</x:f>
      </x:c>
      <x:c r="I863" s="73" t="str">
        <x:f>IF(A863="","",IF(H863="원인분석 대상","세부원인분석 시트에서 거래별 원인을 검토","-"))</x:f>
      </x:c>
      <x:c r="J863" s="73" t="str">
        <x:f>IF(A863="","",COUNTIFS('전기원장'!$A$5:$A$1004,A863,'전기원장'!$J$5:$J$1004,"확인 필요")+COUNTIFS('당기원장'!$A$5:$A$1004,A863,'당기원장'!$J$5:$J$1004,"확인 필요"))</x:f>
      </x:c>
      <x:c r="K863" s="85" t="str">
        <x:f>IF(A863="","",IF(H863&lt;&gt;"원인분석 대상","",IF(J863&gt;0,"붙임 문서 확인 후 원인 확정 필요","결의서명 기반 원인분류 검토")))</x:f>
      </x:c>
    </x:row>
    <x:row r="864">
      <x:c r="A864" s="73" t="str">
        <x:f>IFERROR(INDEX('계산도우미'!$B$5:$B$2004,MATCH(ROWS($A$5:A864),'계산도우미'!$K$5:$K$2004,0)),"")</x:f>
      </x:c>
      <x:c r="B864" s="73" t="str">
        <x:f>IF(A864="","",IFERROR(INDEX('당기원장'!$B$5:$B$1004,MATCH(A864,'당기원장'!$A$5:$A$1004,0)),IFERROR(INDEX('전기원장'!$B$5:$B$1004,MATCH(A864,'전기원장'!$A$5:$A$1004,0)),"")))</x:f>
      </x:c>
      <x:c r="C864" s="75" t="str">
        <x:f>IF(A864="","",SUMIF('전기원장'!$A$5:$A$1004,A864,'전기원장'!$H$5:$H$1004))</x:f>
      </x:c>
      <x:c r="D864" s="75" t="str">
        <x:f>IF(A864="","",SUMIF('당기원장'!$A$5:$A$1004,A864,'당기원장'!$H$5:$H$1004))</x:f>
      </x:c>
      <x:c r="E864" s="75" t="str">
        <x:f>IF(A864="","",D864-C864)</x:f>
      </x:c>
      <x:c r="F864" s="88" t="str">
        <x:f>IF(A864="","",IF(C864=0,IF(D864=0,0,1),ABS(E864)/ABS(C864)))</x:f>
      </x:c>
      <x:c r="G864" s="73" t="str">
        <x:f>IF(A864="","",IF(AND(C864=0,D864&lt;&gt;0),"신규",IF(AND(C864&lt;&gt;0,D864=0),"소멸",IF(E864=0,"변동없음","금액변동"))))</x:f>
      </x:c>
      <x:c r="H864" s="73" t="str">
        <x:f>IF(A864="","",IF(AND(ABS(E864)&gt;='기준설정'!$B$6,OR(G864="신규",G864="소멸",F864&gt;='기준설정'!$B$5)),"원인분석 대상","일반"))</x:f>
      </x:c>
      <x:c r="I864" s="73" t="str">
        <x:f>IF(A864="","",IF(H864="원인분석 대상","세부원인분석 시트에서 거래별 원인을 검토","-"))</x:f>
      </x:c>
      <x:c r="J864" s="73" t="str">
        <x:f>IF(A864="","",COUNTIFS('전기원장'!$A$5:$A$1004,A864,'전기원장'!$J$5:$J$1004,"확인 필요")+COUNTIFS('당기원장'!$A$5:$A$1004,A864,'당기원장'!$J$5:$J$1004,"확인 필요"))</x:f>
      </x:c>
      <x:c r="K864" s="85" t="str">
        <x:f>IF(A864="","",IF(H864&lt;&gt;"원인분석 대상","",IF(J864&gt;0,"붙임 문서 확인 후 원인 확정 필요","결의서명 기반 원인분류 검토")))</x:f>
      </x:c>
    </x:row>
    <x:row r="865">
      <x:c r="A865" s="73" t="str">
        <x:f>IFERROR(INDEX('계산도우미'!$B$5:$B$2004,MATCH(ROWS($A$5:A865),'계산도우미'!$K$5:$K$2004,0)),"")</x:f>
      </x:c>
      <x:c r="B865" s="73" t="str">
        <x:f>IF(A865="","",IFERROR(INDEX('당기원장'!$B$5:$B$1004,MATCH(A865,'당기원장'!$A$5:$A$1004,0)),IFERROR(INDEX('전기원장'!$B$5:$B$1004,MATCH(A865,'전기원장'!$A$5:$A$1004,0)),"")))</x:f>
      </x:c>
      <x:c r="C865" s="75" t="str">
        <x:f>IF(A865="","",SUMIF('전기원장'!$A$5:$A$1004,A865,'전기원장'!$H$5:$H$1004))</x:f>
      </x:c>
      <x:c r="D865" s="75" t="str">
        <x:f>IF(A865="","",SUMIF('당기원장'!$A$5:$A$1004,A865,'당기원장'!$H$5:$H$1004))</x:f>
      </x:c>
      <x:c r="E865" s="75" t="str">
        <x:f>IF(A865="","",D865-C865)</x:f>
      </x:c>
      <x:c r="F865" s="88" t="str">
        <x:f>IF(A865="","",IF(C865=0,IF(D865=0,0,1),ABS(E865)/ABS(C865)))</x:f>
      </x:c>
      <x:c r="G865" s="73" t="str">
        <x:f>IF(A865="","",IF(AND(C865=0,D865&lt;&gt;0),"신규",IF(AND(C865&lt;&gt;0,D865=0),"소멸",IF(E865=0,"변동없음","금액변동"))))</x:f>
      </x:c>
      <x:c r="H865" s="73" t="str">
        <x:f>IF(A865="","",IF(AND(ABS(E865)&gt;='기준설정'!$B$6,OR(G865="신규",G865="소멸",F865&gt;='기준설정'!$B$5)),"원인분석 대상","일반"))</x:f>
      </x:c>
      <x:c r="I865" s="73" t="str">
        <x:f>IF(A865="","",IF(H865="원인분석 대상","세부원인분석 시트에서 거래별 원인을 검토","-"))</x:f>
      </x:c>
      <x:c r="J865" s="73" t="str">
        <x:f>IF(A865="","",COUNTIFS('전기원장'!$A$5:$A$1004,A865,'전기원장'!$J$5:$J$1004,"확인 필요")+COUNTIFS('당기원장'!$A$5:$A$1004,A865,'당기원장'!$J$5:$J$1004,"확인 필요"))</x:f>
      </x:c>
      <x:c r="K865" s="85" t="str">
        <x:f>IF(A865="","",IF(H865&lt;&gt;"원인분석 대상","",IF(J865&gt;0,"붙임 문서 확인 후 원인 확정 필요","결의서명 기반 원인분류 검토")))</x:f>
      </x:c>
    </x:row>
    <x:row r="866">
      <x:c r="A866" s="73" t="str">
        <x:f>IFERROR(INDEX('계산도우미'!$B$5:$B$2004,MATCH(ROWS($A$5:A866),'계산도우미'!$K$5:$K$2004,0)),"")</x:f>
      </x:c>
      <x:c r="B866" s="73" t="str">
        <x:f>IF(A866="","",IFERROR(INDEX('당기원장'!$B$5:$B$1004,MATCH(A866,'당기원장'!$A$5:$A$1004,0)),IFERROR(INDEX('전기원장'!$B$5:$B$1004,MATCH(A866,'전기원장'!$A$5:$A$1004,0)),"")))</x:f>
      </x:c>
      <x:c r="C866" s="75" t="str">
        <x:f>IF(A866="","",SUMIF('전기원장'!$A$5:$A$1004,A866,'전기원장'!$H$5:$H$1004))</x:f>
      </x:c>
      <x:c r="D866" s="75" t="str">
        <x:f>IF(A866="","",SUMIF('당기원장'!$A$5:$A$1004,A866,'당기원장'!$H$5:$H$1004))</x:f>
      </x:c>
      <x:c r="E866" s="75" t="str">
        <x:f>IF(A866="","",D866-C866)</x:f>
      </x:c>
      <x:c r="F866" s="88" t="str">
        <x:f>IF(A866="","",IF(C866=0,IF(D866=0,0,1),ABS(E866)/ABS(C866)))</x:f>
      </x:c>
      <x:c r="G866" s="73" t="str">
        <x:f>IF(A866="","",IF(AND(C866=0,D866&lt;&gt;0),"신규",IF(AND(C866&lt;&gt;0,D866=0),"소멸",IF(E866=0,"변동없음","금액변동"))))</x:f>
      </x:c>
      <x:c r="H866" s="73" t="str">
        <x:f>IF(A866="","",IF(AND(ABS(E866)&gt;='기준설정'!$B$6,OR(G866="신규",G866="소멸",F866&gt;='기준설정'!$B$5)),"원인분석 대상","일반"))</x:f>
      </x:c>
      <x:c r="I866" s="73" t="str">
        <x:f>IF(A866="","",IF(H866="원인분석 대상","세부원인분석 시트에서 거래별 원인을 검토","-"))</x:f>
      </x:c>
      <x:c r="J866" s="73" t="str">
        <x:f>IF(A866="","",COUNTIFS('전기원장'!$A$5:$A$1004,A866,'전기원장'!$J$5:$J$1004,"확인 필요")+COUNTIFS('당기원장'!$A$5:$A$1004,A866,'당기원장'!$J$5:$J$1004,"확인 필요"))</x:f>
      </x:c>
      <x:c r="K866" s="85" t="str">
        <x:f>IF(A866="","",IF(H866&lt;&gt;"원인분석 대상","",IF(J866&gt;0,"붙임 문서 확인 후 원인 확정 필요","결의서명 기반 원인분류 검토")))</x:f>
      </x:c>
    </x:row>
    <x:row r="867">
      <x:c r="A867" s="73" t="str">
        <x:f>IFERROR(INDEX('계산도우미'!$B$5:$B$2004,MATCH(ROWS($A$5:A867),'계산도우미'!$K$5:$K$2004,0)),"")</x:f>
      </x:c>
      <x:c r="B867" s="73" t="str">
        <x:f>IF(A867="","",IFERROR(INDEX('당기원장'!$B$5:$B$1004,MATCH(A867,'당기원장'!$A$5:$A$1004,0)),IFERROR(INDEX('전기원장'!$B$5:$B$1004,MATCH(A867,'전기원장'!$A$5:$A$1004,0)),"")))</x:f>
      </x:c>
      <x:c r="C867" s="75" t="str">
        <x:f>IF(A867="","",SUMIF('전기원장'!$A$5:$A$1004,A867,'전기원장'!$H$5:$H$1004))</x:f>
      </x:c>
      <x:c r="D867" s="75" t="str">
        <x:f>IF(A867="","",SUMIF('당기원장'!$A$5:$A$1004,A867,'당기원장'!$H$5:$H$1004))</x:f>
      </x:c>
      <x:c r="E867" s="75" t="str">
        <x:f>IF(A867="","",D867-C867)</x:f>
      </x:c>
      <x:c r="F867" s="88" t="str">
        <x:f>IF(A867="","",IF(C867=0,IF(D867=0,0,1),ABS(E867)/ABS(C867)))</x:f>
      </x:c>
      <x:c r="G867" s="73" t="str">
        <x:f>IF(A867="","",IF(AND(C867=0,D867&lt;&gt;0),"신규",IF(AND(C867&lt;&gt;0,D867=0),"소멸",IF(E867=0,"변동없음","금액변동"))))</x:f>
      </x:c>
      <x:c r="H867" s="73" t="str">
        <x:f>IF(A867="","",IF(AND(ABS(E867)&gt;='기준설정'!$B$6,OR(G867="신규",G867="소멸",F867&gt;='기준설정'!$B$5)),"원인분석 대상","일반"))</x:f>
      </x:c>
      <x:c r="I867" s="73" t="str">
        <x:f>IF(A867="","",IF(H867="원인분석 대상","세부원인분석 시트에서 거래별 원인을 검토","-"))</x:f>
      </x:c>
      <x:c r="J867" s="73" t="str">
        <x:f>IF(A867="","",COUNTIFS('전기원장'!$A$5:$A$1004,A867,'전기원장'!$J$5:$J$1004,"확인 필요")+COUNTIFS('당기원장'!$A$5:$A$1004,A867,'당기원장'!$J$5:$J$1004,"확인 필요"))</x:f>
      </x:c>
      <x:c r="K867" s="85" t="str">
        <x:f>IF(A867="","",IF(H867&lt;&gt;"원인분석 대상","",IF(J867&gt;0,"붙임 문서 확인 후 원인 확정 필요","결의서명 기반 원인분류 검토")))</x:f>
      </x:c>
    </x:row>
    <x:row r="868">
      <x:c r="A868" s="73" t="str">
        <x:f>IFERROR(INDEX('계산도우미'!$B$5:$B$2004,MATCH(ROWS($A$5:A868),'계산도우미'!$K$5:$K$2004,0)),"")</x:f>
      </x:c>
      <x:c r="B868" s="73" t="str">
        <x:f>IF(A868="","",IFERROR(INDEX('당기원장'!$B$5:$B$1004,MATCH(A868,'당기원장'!$A$5:$A$1004,0)),IFERROR(INDEX('전기원장'!$B$5:$B$1004,MATCH(A868,'전기원장'!$A$5:$A$1004,0)),"")))</x:f>
      </x:c>
      <x:c r="C868" s="75" t="str">
        <x:f>IF(A868="","",SUMIF('전기원장'!$A$5:$A$1004,A868,'전기원장'!$H$5:$H$1004))</x:f>
      </x:c>
      <x:c r="D868" s="75" t="str">
        <x:f>IF(A868="","",SUMIF('당기원장'!$A$5:$A$1004,A868,'당기원장'!$H$5:$H$1004))</x:f>
      </x:c>
      <x:c r="E868" s="75" t="str">
        <x:f>IF(A868="","",D868-C868)</x:f>
      </x:c>
      <x:c r="F868" s="88" t="str">
        <x:f>IF(A868="","",IF(C868=0,IF(D868=0,0,1),ABS(E868)/ABS(C868)))</x:f>
      </x:c>
      <x:c r="G868" s="73" t="str">
        <x:f>IF(A868="","",IF(AND(C868=0,D868&lt;&gt;0),"신규",IF(AND(C868&lt;&gt;0,D868=0),"소멸",IF(E868=0,"변동없음","금액변동"))))</x:f>
      </x:c>
      <x:c r="H868" s="73" t="str">
        <x:f>IF(A868="","",IF(AND(ABS(E868)&gt;='기준설정'!$B$6,OR(G868="신규",G868="소멸",F868&gt;='기준설정'!$B$5)),"원인분석 대상","일반"))</x:f>
      </x:c>
      <x:c r="I868" s="73" t="str">
        <x:f>IF(A868="","",IF(H868="원인분석 대상","세부원인분석 시트에서 거래별 원인을 검토","-"))</x:f>
      </x:c>
      <x:c r="J868" s="73" t="str">
        <x:f>IF(A868="","",COUNTIFS('전기원장'!$A$5:$A$1004,A868,'전기원장'!$J$5:$J$1004,"확인 필요")+COUNTIFS('당기원장'!$A$5:$A$1004,A868,'당기원장'!$J$5:$J$1004,"확인 필요"))</x:f>
      </x:c>
      <x:c r="K868" s="85" t="str">
        <x:f>IF(A868="","",IF(H868&lt;&gt;"원인분석 대상","",IF(J868&gt;0,"붙임 문서 확인 후 원인 확정 필요","결의서명 기반 원인분류 검토")))</x:f>
      </x:c>
    </x:row>
    <x:row r="869">
      <x:c r="A869" s="73" t="str">
        <x:f>IFERROR(INDEX('계산도우미'!$B$5:$B$2004,MATCH(ROWS($A$5:A869),'계산도우미'!$K$5:$K$2004,0)),"")</x:f>
      </x:c>
      <x:c r="B869" s="73" t="str">
        <x:f>IF(A869="","",IFERROR(INDEX('당기원장'!$B$5:$B$1004,MATCH(A869,'당기원장'!$A$5:$A$1004,0)),IFERROR(INDEX('전기원장'!$B$5:$B$1004,MATCH(A869,'전기원장'!$A$5:$A$1004,0)),"")))</x:f>
      </x:c>
      <x:c r="C869" s="75" t="str">
        <x:f>IF(A869="","",SUMIF('전기원장'!$A$5:$A$1004,A869,'전기원장'!$H$5:$H$1004))</x:f>
      </x:c>
      <x:c r="D869" s="75" t="str">
        <x:f>IF(A869="","",SUMIF('당기원장'!$A$5:$A$1004,A869,'당기원장'!$H$5:$H$1004))</x:f>
      </x:c>
      <x:c r="E869" s="75" t="str">
        <x:f>IF(A869="","",D869-C869)</x:f>
      </x:c>
      <x:c r="F869" s="88" t="str">
        <x:f>IF(A869="","",IF(C869=0,IF(D869=0,0,1),ABS(E869)/ABS(C869)))</x:f>
      </x:c>
      <x:c r="G869" s="73" t="str">
        <x:f>IF(A869="","",IF(AND(C869=0,D869&lt;&gt;0),"신규",IF(AND(C869&lt;&gt;0,D869=0),"소멸",IF(E869=0,"변동없음","금액변동"))))</x:f>
      </x:c>
      <x:c r="H869" s="73" t="str">
        <x:f>IF(A869="","",IF(AND(ABS(E869)&gt;='기준설정'!$B$6,OR(G869="신규",G869="소멸",F869&gt;='기준설정'!$B$5)),"원인분석 대상","일반"))</x:f>
      </x:c>
      <x:c r="I869" s="73" t="str">
        <x:f>IF(A869="","",IF(H869="원인분석 대상","세부원인분석 시트에서 거래별 원인을 검토","-"))</x:f>
      </x:c>
      <x:c r="J869" s="73" t="str">
        <x:f>IF(A869="","",COUNTIFS('전기원장'!$A$5:$A$1004,A869,'전기원장'!$J$5:$J$1004,"확인 필요")+COUNTIFS('당기원장'!$A$5:$A$1004,A869,'당기원장'!$J$5:$J$1004,"확인 필요"))</x:f>
      </x:c>
      <x:c r="K869" s="85" t="str">
        <x:f>IF(A869="","",IF(H869&lt;&gt;"원인분석 대상","",IF(J869&gt;0,"붙임 문서 확인 후 원인 확정 필요","결의서명 기반 원인분류 검토")))</x:f>
      </x:c>
    </x:row>
    <x:row r="870">
      <x:c r="A870" s="73" t="str">
        <x:f>IFERROR(INDEX('계산도우미'!$B$5:$B$2004,MATCH(ROWS($A$5:A870),'계산도우미'!$K$5:$K$2004,0)),"")</x:f>
      </x:c>
      <x:c r="B870" s="73" t="str">
        <x:f>IF(A870="","",IFERROR(INDEX('당기원장'!$B$5:$B$1004,MATCH(A870,'당기원장'!$A$5:$A$1004,0)),IFERROR(INDEX('전기원장'!$B$5:$B$1004,MATCH(A870,'전기원장'!$A$5:$A$1004,0)),"")))</x:f>
      </x:c>
      <x:c r="C870" s="75" t="str">
        <x:f>IF(A870="","",SUMIF('전기원장'!$A$5:$A$1004,A870,'전기원장'!$H$5:$H$1004))</x:f>
      </x:c>
      <x:c r="D870" s="75" t="str">
        <x:f>IF(A870="","",SUMIF('당기원장'!$A$5:$A$1004,A870,'당기원장'!$H$5:$H$1004))</x:f>
      </x:c>
      <x:c r="E870" s="75" t="str">
        <x:f>IF(A870="","",D870-C870)</x:f>
      </x:c>
      <x:c r="F870" s="88" t="str">
        <x:f>IF(A870="","",IF(C870=0,IF(D870=0,0,1),ABS(E870)/ABS(C870)))</x:f>
      </x:c>
      <x:c r="G870" s="73" t="str">
        <x:f>IF(A870="","",IF(AND(C870=0,D870&lt;&gt;0),"신규",IF(AND(C870&lt;&gt;0,D870=0),"소멸",IF(E870=0,"변동없음","금액변동"))))</x:f>
      </x:c>
      <x:c r="H870" s="73" t="str">
        <x:f>IF(A870="","",IF(AND(ABS(E870)&gt;='기준설정'!$B$6,OR(G870="신규",G870="소멸",F870&gt;='기준설정'!$B$5)),"원인분석 대상","일반"))</x:f>
      </x:c>
      <x:c r="I870" s="73" t="str">
        <x:f>IF(A870="","",IF(H870="원인분석 대상","세부원인분석 시트에서 거래별 원인을 검토","-"))</x:f>
      </x:c>
      <x:c r="J870" s="73" t="str">
        <x:f>IF(A870="","",COUNTIFS('전기원장'!$A$5:$A$1004,A870,'전기원장'!$J$5:$J$1004,"확인 필요")+COUNTIFS('당기원장'!$A$5:$A$1004,A870,'당기원장'!$J$5:$J$1004,"확인 필요"))</x:f>
      </x:c>
      <x:c r="K870" s="85" t="str">
        <x:f>IF(A870="","",IF(H870&lt;&gt;"원인분석 대상","",IF(J870&gt;0,"붙임 문서 확인 후 원인 확정 필요","결의서명 기반 원인분류 검토")))</x:f>
      </x:c>
    </x:row>
    <x:row r="871">
      <x:c r="A871" s="73" t="str">
        <x:f>IFERROR(INDEX('계산도우미'!$B$5:$B$2004,MATCH(ROWS($A$5:A871),'계산도우미'!$K$5:$K$2004,0)),"")</x:f>
      </x:c>
      <x:c r="B871" s="73" t="str">
        <x:f>IF(A871="","",IFERROR(INDEX('당기원장'!$B$5:$B$1004,MATCH(A871,'당기원장'!$A$5:$A$1004,0)),IFERROR(INDEX('전기원장'!$B$5:$B$1004,MATCH(A871,'전기원장'!$A$5:$A$1004,0)),"")))</x:f>
      </x:c>
      <x:c r="C871" s="75" t="str">
        <x:f>IF(A871="","",SUMIF('전기원장'!$A$5:$A$1004,A871,'전기원장'!$H$5:$H$1004))</x:f>
      </x:c>
      <x:c r="D871" s="75" t="str">
        <x:f>IF(A871="","",SUMIF('당기원장'!$A$5:$A$1004,A871,'당기원장'!$H$5:$H$1004))</x:f>
      </x:c>
      <x:c r="E871" s="75" t="str">
        <x:f>IF(A871="","",D871-C871)</x:f>
      </x:c>
      <x:c r="F871" s="88" t="str">
        <x:f>IF(A871="","",IF(C871=0,IF(D871=0,0,1),ABS(E871)/ABS(C871)))</x:f>
      </x:c>
      <x:c r="G871" s="73" t="str">
        <x:f>IF(A871="","",IF(AND(C871=0,D871&lt;&gt;0),"신규",IF(AND(C871&lt;&gt;0,D871=0),"소멸",IF(E871=0,"변동없음","금액변동"))))</x:f>
      </x:c>
      <x:c r="H871" s="73" t="str">
        <x:f>IF(A871="","",IF(AND(ABS(E871)&gt;='기준설정'!$B$6,OR(G871="신규",G871="소멸",F871&gt;='기준설정'!$B$5)),"원인분석 대상","일반"))</x:f>
      </x:c>
      <x:c r="I871" s="73" t="str">
        <x:f>IF(A871="","",IF(H871="원인분석 대상","세부원인분석 시트에서 거래별 원인을 검토","-"))</x:f>
      </x:c>
      <x:c r="J871" s="73" t="str">
        <x:f>IF(A871="","",COUNTIFS('전기원장'!$A$5:$A$1004,A871,'전기원장'!$J$5:$J$1004,"확인 필요")+COUNTIFS('당기원장'!$A$5:$A$1004,A871,'당기원장'!$J$5:$J$1004,"확인 필요"))</x:f>
      </x:c>
      <x:c r="K871" s="85" t="str">
        <x:f>IF(A871="","",IF(H871&lt;&gt;"원인분석 대상","",IF(J871&gt;0,"붙임 문서 확인 후 원인 확정 필요","결의서명 기반 원인분류 검토")))</x:f>
      </x:c>
    </x:row>
    <x:row r="872">
      <x:c r="A872" s="73" t="str">
        <x:f>IFERROR(INDEX('계산도우미'!$B$5:$B$2004,MATCH(ROWS($A$5:A872),'계산도우미'!$K$5:$K$2004,0)),"")</x:f>
      </x:c>
      <x:c r="B872" s="73" t="str">
        <x:f>IF(A872="","",IFERROR(INDEX('당기원장'!$B$5:$B$1004,MATCH(A872,'당기원장'!$A$5:$A$1004,0)),IFERROR(INDEX('전기원장'!$B$5:$B$1004,MATCH(A872,'전기원장'!$A$5:$A$1004,0)),"")))</x:f>
      </x:c>
      <x:c r="C872" s="75" t="str">
        <x:f>IF(A872="","",SUMIF('전기원장'!$A$5:$A$1004,A872,'전기원장'!$H$5:$H$1004))</x:f>
      </x:c>
      <x:c r="D872" s="75" t="str">
        <x:f>IF(A872="","",SUMIF('당기원장'!$A$5:$A$1004,A872,'당기원장'!$H$5:$H$1004))</x:f>
      </x:c>
      <x:c r="E872" s="75" t="str">
        <x:f>IF(A872="","",D872-C872)</x:f>
      </x:c>
      <x:c r="F872" s="88" t="str">
        <x:f>IF(A872="","",IF(C872=0,IF(D872=0,0,1),ABS(E872)/ABS(C872)))</x:f>
      </x:c>
      <x:c r="G872" s="73" t="str">
        <x:f>IF(A872="","",IF(AND(C872=0,D872&lt;&gt;0),"신규",IF(AND(C872&lt;&gt;0,D872=0),"소멸",IF(E872=0,"변동없음","금액변동"))))</x:f>
      </x:c>
      <x:c r="H872" s="73" t="str">
        <x:f>IF(A872="","",IF(AND(ABS(E872)&gt;='기준설정'!$B$6,OR(G872="신규",G872="소멸",F872&gt;='기준설정'!$B$5)),"원인분석 대상","일반"))</x:f>
      </x:c>
      <x:c r="I872" s="73" t="str">
        <x:f>IF(A872="","",IF(H872="원인분석 대상","세부원인분석 시트에서 거래별 원인을 검토","-"))</x:f>
      </x:c>
      <x:c r="J872" s="73" t="str">
        <x:f>IF(A872="","",COUNTIFS('전기원장'!$A$5:$A$1004,A872,'전기원장'!$J$5:$J$1004,"확인 필요")+COUNTIFS('당기원장'!$A$5:$A$1004,A872,'당기원장'!$J$5:$J$1004,"확인 필요"))</x:f>
      </x:c>
      <x:c r="K872" s="85" t="str">
        <x:f>IF(A872="","",IF(H872&lt;&gt;"원인분석 대상","",IF(J872&gt;0,"붙임 문서 확인 후 원인 확정 필요","결의서명 기반 원인분류 검토")))</x:f>
      </x:c>
    </x:row>
    <x:row r="873">
      <x:c r="A873" s="73" t="str">
        <x:f>IFERROR(INDEX('계산도우미'!$B$5:$B$2004,MATCH(ROWS($A$5:A873),'계산도우미'!$K$5:$K$2004,0)),"")</x:f>
      </x:c>
      <x:c r="B873" s="73" t="str">
        <x:f>IF(A873="","",IFERROR(INDEX('당기원장'!$B$5:$B$1004,MATCH(A873,'당기원장'!$A$5:$A$1004,0)),IFERROR(INDEX('전기원장'!$B$5:$B$1004,MATCH(A873,'전기원장'!$A$5:$A$1004,0)),"")))</x:f>
      </x:c>
      <x:c r="C873" s="75" t="str">
        <x:f>IF(A873="","",SUMIF('전기원장'!$A$5:$A$1004,A873,'전기원장'!$H$5:$H$1004))</x:f>
      </x:c>
      <x:c r="D873" s="75" t="str">
        <x:f>IF(A873="","",SUMIF('당기원장'!$A$5:$A$1004,A873,'당기원장'!$H$5:$H$1004))</x:f>
      </x:c>
      <x:c r="E873" s="75" t="str">
        <x:f>IF(A873="","",D873-C873)</x:f>
      </x:c>
      <x:c r="F873" s="88" t="str">
        <x:f>IF(A873="","",IF(C873=0,IF(D873=0,0,1),ABS(E873)/ABS(C873)))</x:f>
      </x:c>
      <x:c r="G873" s="73" t="str">
        <x:f>IF(A873="","",IF(AND(C873=0,D873&lt;&gt;0),"신규",IF(AND(C873&lt;&gt;0,D873=0),"소멸",IF(E873=0,"변동없음","금액변동"))))</x:f>
      </x:c>
      <x:c r="H873" s="73" t="str">
        <x:f>IF(A873="","",IF(AND(ABS(E873)&gt;='기준설정'!$B$6,OR(G873="신규",G873="소멸",F873&gt;='기준설정'!$B$5)),"원인분석 대상","일반"))</x:f>
      </x:c>
      <x:c r="I873" s="73" t="str">
        <x:f>IF(A873="","",IF(H873="원인분석 대상","세부원인분석 시트에서 거래별 원인을 검토","-"))</x:f>
      </x:c>
      <x:c r="J873" s="73" t="str">
        <x:f>IF(A873="","",COUNTIFS('전기원장'!$A$5:$A$1004,A873,'전기원장'!$J$5:$J$1004,"확인 필요")+COUNTIFS('당기원장'!$A$5:$A$1004,A873,'당기원장'!$J$5:$J$1004,"확인 필요"))</x:f>
      </x:c>
      <x:c r="K873" s="85" t="str">
        <x:f>IF(A873="","",IF(H873&lt;&gt;"원인분석 대상","",IF(J873&gt;0,"붙임 문서 확인 후 원인 확정 필요","결의서명 기반 원인분류 검토")))</x:f>
      </x:c>
    </x:row>
    <x:row r="874">
      <x:c r="A874" s="73" t="str">
        <x:f>IFERROR(INDEX('계산도우미'!$B$5:$B$2004,MATCH(ROWS($A$5:A874),'계산도우미'!$K$5:$K$2004,0)),"")</x:f>
      </x:c>
      <x:c r="B874" s="73" t="str">
        <x:f>IF(A874="","",IFERROR(INDEX('당기원장'!$B$5:$B$1004,MATCH(A874,'당기원장'!$A$5:$A$1004,0)),IFERROR(INDEX('전기원장'!$B$5:$B$1004,MATCH(A874,'전기원장'!$A$5:$A$1004,0)),"")))</x:f>
      </x:c>
      <x:c r="C874" s="75" t="str">
        <x:f>IF(A874="","",SUMIF('전기원장'!$A$5:$A$1004,A874,'전기원장'!$H$5:$H$1004))</x:f>
      </x:c>
      <x:c r="D874" s="75" t="str">
        <x:f>IF(A874="","",SUMIF('당기원장'!$A$5:$A$1004,A874,'당기원장'!$H$5:$H$1004))</x:f>
      </x:c>
      <x:c r="E874" s="75" t="str">
        <x:f>IF(A874="","",D874-C874)</x:f>
      </x:c>
      <x:c r="F874" s="88" t="str">
        <x:f>IF(A874="","",IF(C874=0,IF(D874=0,0,1),ABS(E874)/ABS(C874)))</x:f>
      </x:c>
      <x:c r="G874" s="73" t="str">
        <x:f>IF(A874="","",IF(AND(C874=0,D874&lt;&gt;0),"신규",IF(AND(C874&lt;&gt;0,D874=0),"소멸",IF(E874=0,"변동없음","금액변동"))))</x:f>
      </x:c>
      <x:c r="H874" s="73" t="str">
        <x:f>IF(A874="","",IF(AND(ABS(E874)&gt;='기준설정'!$B$6,OR(G874="신규",G874="소멸",F874&gt;='기준설정'!$B$5)),"원인분석 대상","일반"))</x:f>
      </x:c>
      <x:c r="I874" s="73" t="str">
        <x:f>IF(A874="","",IF(H874="원인분석 대상","세부원인분석 시트에서 거래별 원인을 검토","-"))</x:f>
      </x:c>
      <x:c r="J874" s="73" t="str">
        <x:f>IF(A874="","",COUNTIFS('전기원장'!$A$5:$A$1004,A874,'전기원장'!$J$5:$J$1004,"확인 필요")+COUNTIFS('당기원장'!$A$5:$A$1004,A874,'당기원장'!$J$5:$J$1004,"확인 필요"))</x:f>
      </x:c>
      <x:c r="K874" s="85" t="str">
        <x:f>IF(A874="","",IF(H874&lt;&gt;"원인분석 대상","",IF(J874&gt;0,"붙임 문서 확인 후 원인 확정 필요","결의서명 기반 원인분류 검토")))</x:f>
      </x:c>
    </x:row>
    <x:row r="875">
      <x:c r="A875" s="73" t="str">
        <x:f>IFERROR(INDEX('계산도우미'!$B$5:$B$2004,MATCH(ROWS($A$5:A875),'계산도우미'!$K$5:$K$2004,0)),"")</x:f>
      </x:c>
      <x:c r="B875" s="73" t="str">
        <x:f>IF(A875="","",IFERROR(INDEX('당기원장'!$B$5:$B$1004,MATCH(A875,'당기원장'!$A$5:$A$1004,0)),IFERROR(INDEX('전기원장'!$B$5:$B$1004,MATCH(A875,'전기원장'!$A$5:$A$1004,0)),"")))</x:f>
      </x:c>
      <x:c r="C875" s="75" t="str">
        <x:f>IF(A875="","",SUMIF('전기원장'!$A$5:$A$1004,A875,'전기원장'!$H$5:$H$1004))</x:f>
      </x:c>
      <x:c r="D875" s="75" t="str">
        <x:f>IF(A875="","",SUMIF('당기원장'!$A$5:$A$1004,A875,'당기원장'!$H$5:$H$1004))</x:f>
      </x:c>
      <x:c r="E875" s="75" t="str">
        <x:f>IF(A875="","",D875-C875)</x:f>
      </x:c>
      <x:c r="F875" s="88" t="str">
        <x:f>IF(A875="","",IF(C875=0,IF(D875=0,0,1),ABS(E875)/ABS(C875)))</x:f>
      </x:c>
      <x:c r="G875" s="73" t="str">
        <x:f>IF(A875="","",IF(AND(C875=0,D875&lt;&gt;0),"신규",IF(AND(C875&lt;&gt;0,D875=0),"소멸",IF(E875=0,"변동없음","금액변동"))))</x:f>
      </x:c>
      <x:c r="H875" s="73" t="str">
        <x:f>IF(A875="","",IF(AND(ABS(E875)&gt;='기준설정'!$B$6,OR(G875="신규",G875="소멸",F875&gt;='기준설정'!$B$5)),"원인분석 대상","일반"))</x:f>
      </x:c>
      <x:c r="I875" s="73" t="str">
        <x:f>IF(A875="","",IF(H875="원인분석 대상","세부원인분석 시트에서 거래별 원인을 검토","-"))</x:f>
      </x:c>
      <x:c r="J875" s="73" t="str">
        <x:f>IF(A875="","",COUNTIFS('전기원장'!$A$5:$A$1004,A875,'전기원장'!$J$5:$J$1004,"확인 필요")+COUNTIFS('당기원장'!$A$5:$A$1004,A875,'당기원장'!$J$5:$J$1004,"확인 필요"))</x:f>
      </x:c>
      <x:c r="K875" s="85" t="str">
        <x:f>IF(A875="","",IF(H875&lt;&gt;"원인분석 대상","",IF(J875&gt;0,"붙임 문서 확인 후 원인 확정 필요","결의서명 기반 원인분류 검토")))</x:f>
      </x:c>
    </x:row>
    <x:row r="876">
      <x:c r="A876" s="73" t="str">
        <x:f>IFERROR(INDEX('계산도우미'!$B$5:$B$2004,MATCH(ROWS($A$5:A876),'계산도우미'!$K$5:$K$2004,0)),"")</x:f>
      </x:c>
      <x:c r="B876" s="73" t="str">
        <x:f>IF(A876="","",IFERROR(INDEX('당기원장'!$B$5:$B$1004,MATCH(A876,'당기원장'!$A$5:$A$1004,0)),IFERROR(INDEX('전기원장'!$B$5:$B$1004,MATCH(A876,'전기원장'!$A$5:$A$1004,0)),"")))</x:f>
      </x:c>
      <x:c r="C876" s="75" t="str">
        <x:f>IF(A876="","",SUMIF('전기원장'!$A$5:$A$1004,A876,'전기원장'!$H$5:$H$1004))</x:f>
      </x:c>
      <x:c r="D876" s="75" t="str">
        <x:f>IF(A876="","",SUMIF('당기원장'!$A$5:$A$1004,A876,'당기원장'!$H$5:$H$1004))</x:f>
      </x:c>
      <x:c r="E876" s="75" t="str">
        <x:f>IF(A876="","",D876-C876)</x:f>
      </x:c>
      <x:c r="F876" s="88" t="str">
        <x:f>IF(A876="","",IF(C876=0,IF(D876=0,0,1),ABS(E876)/ABS(C876)))</x:f>
      </x:c>
      <x:c r="G876" s="73" t="str">
        <x:f>IF(A876="","",IF(AND(C876=0,D876&lt;&gt;0),"신규",IF(AND(C876&lt;&gt;0,D876=0),"소멸",IF(E876=0,"변동없음","금액변동"))))</x:f>
      </x:c>
      <x:c r="H876" s="73" t="str">
        <x:f>IF(A876="","",IF(AND(ABS(E876)&gt;='기준설정'!$B$6,OR(G876="신규",G876="소멸",F876&gt;='기준설정'!$B$5)),"원인분석 대상","일반"))</x:f>
      </x:c>
      <x:c r="I876" s="73" t="str">
        <x:f>IF(A876="","",IF(H876="원인분석 대상","세부원인분석 시트에서 거래별 원인을 검토","-"))</x:f>
      </x:c>
      <x:c r="J876" s="73" t="str">
        <x:f>IF(A876="","",COUNTIFS('전기원장'!$A$5:$A$1004,A876,'전기원장'!$J$5:$J$1004,"확인 필요")+COUNTIFS('당기원장'!$A$5:$A$1004,A876,'당기원장'!$J$5:$J$1004,"확인 필요"))</x:f>
      </x:c>
      <x:c r="K876" s="85" t="str">
        <x:f>IF(A876="","",IF(H876&lt;&gt;"원인분석 대상","",IF(J876&gt;0,"붙임 문서 확인 후 원인 확정 필요","결의서명 기반 원인분류 검토")))</x:f>
      </x:c>
    </x:row>
    <x:row r="877">
      <x:c r="A877" s="73" t="str">
        <x:f>IFERROR(INDEX('계산도우미'!$B$5:$B$2004,MATCH(ROWS($A$5:A877),'계산도우미'!$K$5:$K$2004,0)),"")</x:f>
      </x:c>
      <x:c r="B877" s="73" t="str">
        <x:f>IF(A877="","",IFERROR(INDEX('당기원장'!$B$5:$B$1004,MATCH(A877,'당기원장'!$A$5:$A$1004,0)),IFERROR(INDEX('전기원장'!$B$5:$B$1004,MATCH(A877,'전기원장'!$A$5:$A$1004,0)),"")))</x:f>
      </x:c>
      <x:c r="C877" s="75" t="str">
        <x:f>IF(A877="","",SUMIF('전기원장'!$A$5:$A$1004,A877,'전기원장'!$H$5:$H$1004))</x:f>
      </x:c>
      <x:c r="D877" s="75" t="str">
        <x:f>IF(A877="","",SUMIF('당기원장'!$A$5:$A$1004,A877,'당기원장'!$H$5:$H$1004))</x:f>
      </x:c>
      <x:c r="E877" s="75" t="str">
        <x:f>IF(A877="","",D877-C877)</x:f>
      </x:c>
      <x:c r="F877" s="88" t="str">
        <x:f>IF(A877="","",IF(C877=0,IF(D877=0,0,1),ABS(E877)/ABS(C877)))</x:f>
      </x:c>
      <x:c r="G877" s="73" t="str">
        <x:f>IF(A877="","",IF(AND(C877=0,D877&lt;&gt;0),"신규",IF(AND(C877&lt;&gt;0,D877=0),"소멸",IF(E877=0,"변동없음","금액변동"))))</x:f>
      </x:c>
      <x:c r="H877" s="73" t="str">
        <x:f>IF(A877="","",IF(AND(ABS(E877)&gt;='기준설정'!$B$6,OR(G877="신규",G877="소멸",F877&gt;='기준설정'!$B$5)),"원인분석 대상","일반"))</x:f>
      </x:c>
      <x:c r="I877" s="73" t="str">
        <x:f>IF(A877="","",IF(H877="원인분석 대상","세부원인분석 시트에서 거래별 원인을 검토","-"))</x:f>
      </x:c>
      <x:c r="J877" s="73" t="str">
        <x:f>IF(A877="","",COUNTIFS('전기원장'!$A$5:$A$1004,A877,'전기원장'!$J$5:$J$1004,"확인 필요")+COUNTIFS('당기원장'!$A$5:$A$1004,A877,'당기원장'!$J$5:$J$1004,"확인 필요"))</x:f>
      </x:c>
      <x:c r="K877" s="85" t="str">
        <x:f>IF(A877="","",IF(H877&lt;&gt;"원인분석 대상","",IF(J877&gt;0,"붙임 문서 확인 후 원인 확정 필요","결의서명 기반 원인분류 검토")))</x:f>
      </x:c>
    </x:row>
    <x:row r="878">
      <x:c r="A878" s="73" t="str">
        <x:f>IFERROR(INDEX('계산도우미'!$B$5:$B$2004,MATCH(ROWS($A$5:A878),'계산도우미'!$K$5:$K$2004,0)),"")</x:f>
      </x:c>
      <x:c r="B878" s="73" t="str">
        <x:f>IF(A878="","",IFERROR(INDEX('당기원장'!$B$5:$B$1004,MATCH(A878,'당기원장'!$A$5:$A$1004,0)),IFERROR(INDEX('전기원장'!$B$5:$B$1004,MATCH(A878,'전기원장'!$A$5:$A$1004,0)),"")))</x:f>
      </x:c>
      <x:c r="C878" s="75" t="str">
        <x:f>IF(A878="","",SUMIF('전기원장'!$A$5:$A$1004,A878,'전기원장'!$H$5:$H$1004))</x:f>
      </x:c>
      <x:c r="D878" s="75" t="str">
        <x:f>IF(A878="","",SUMIF('당기원장'!$A$5:$A$1004,A878,'당기원장'!$H$5:$H$1004))</x:f>
      </x:c>
      <x:c r="E878" s="75" t="str">
        <x:f>IF(A878="","",D878-C878)</x:f>
      </x:c>
      <x:c r="F878" s="88" t="str">
        <x:f>IF(A878="","",IF(C878=0,IF(D878=0,0,1),ABS(E878)/ABS(C878)))</x:f>
      </x:c>
      <x:c r="G878" s="73" t="str">
        <x:f>IF(A878="","",IF(AND(C878=0,D878&lt;&gt;0),"신규",IF(AND(C878&lt;&gt;0,D878=0),"소멸",IF(E878=0,"변동없음","금액변동"))))</x:f>
      </x:c>
      <x:c r="H878" s="73" t="str">
        <x:f>IF(A878="","",IF(AND(ABS(E878)&gt;='기준설정'!$B$6,OR(G878="신규",G878="소멸",F878&gt;='기준설정'!$B$5)),"원인분석 대상","일반"))</x:f>
      </x:c>
      <x:c r="I878" s="73" t="str">
        <x:f>IF(A878="","",IF(H878="원인분석 대상","세부원인분석 시트에서 거래별 원인을 검토","-"))</x:f>
      </x:c>
      <x:c r="J878" s="73" t="str">
        <x:f>IF(A878="","",COUNTIFS('전기원장'!$A$5:$A$1004,A878,'전기원장'!$J$5:$J$1004,"확인 필요")+COUNTIFS('당기원장'!$A$5:$A$1004,A878,'당기원장'!$J$5:$J$1004,"확인 필요"))</x:f>
      </x:c>
      <x:c r="K878" s="85" t="str">
        <x:f>IF(A878="","",IF(H878&lt;&gt;"원인분석 대상","",IF(J878&gt;0,"붙임 문서 확인 후 원인 확정 필요","결의서명 기반 원인분류 검토")))</x:f>
      </x:c>
    </x:row>
    <x:row r="879">
      <x:c r="A879" s="73" t="str">
        <x:f>IFERROR(INDEX('계산도우미'!$B$5:$B$2004,MATCH(ROWS($A$5:A879),'계산도우미'!$K$5:$K$2004,0)),"")</x:f>
      </x:c>
      <x:c r="B879" s="73" t="str">
        <x:f>IF(A879="","",IFERROR(INDEX('당기원장'!$B$5:$B$1004,MATCH(A879,'당기원장'!$A$5:$A$1004,0)),IFERROR(INDEX('전기원장'!$B$5:$B$1004,MATCH(A879,'전기원장'!$A$5:$A$1004,0)),"")))</x:f>
      </x:c>
      <x:c r="C879" s="75" t="str">
        <x:f>IF(A879="","",SUMIF('전기원장'!$A$5:$A$1004,A879,'전기원장'!$H$5:$H$1004))</x:f>
      </x:c>
      <x:c r="D879" s="75" t="str">
        <x:f>IF(A879="","",SUMIF('당기원장'!$A$5:$A$1004,A879,'당기원장'!$H$5:$H$1004))</x:f>
      </x:c>
      <x:c r="E879" s="75" t="str">
        <x:f>IF(A879="","",D879-C879)</x:f>
      </x:c>
      <x:c r="F879" s="88" t="str">
        <x:f>IF(A879="","",IF(C879=0,IF(D879=0,0,1),ABS(E879)/ABS(C879)))</x:f>
      </x:c>
      <x:c r="G879" s="73" t="str">
        <x:f>IF(A879="","",IF(AND(C879=0,D879&lt;&gt;0),"신규",IF(AND(C879&lt;&gt;0,D879=0),"소멸",IF(E879=0,"변동없음","금액변동"))))</x:f>
      </x:c>
      <x:c r="H879" s="73" t="str">
        <x:f>IF(A879="","",IF(AND(ABS(E879)&gt;='기준설정'!$B$6,OR(G879="신규",G879="소멸",F879&gt;='기준설정'!$B$5)),"원인분석 대상","일반"))</x:f>
      </x:c>
      <x:c r="I879" s="73" t="str">
        <x:f>IF(A879="","",IF(H879="원인분석 대상","세부원인분석 시트에서 거래별 원인을 검토","-"))</x:f>
      </x:c>
      <x:c r="J879" s="73" t="str">
        <x:f>IF(A879="","",COUNTIFS('전기원장'!$A$5:$A$1004,A879,'전기원장'!$J$5:$J$1004,"확인 필요")+COUNTIFS('당기원장'!$A$5:$A$1004,A879,'당기원장'!$J$5:$J$1004,"확인 필요"))</x:f>
      </x:c>
      <x:c r="K879" s="85" t="str">
        <x:f>IF(A879="","",IF(H879&lt;&gt;"원인분석 대상","",IF(J879&gt;0,"붙임 문서 확인 후 원인 확정 필요","결의서명 기반 원인분류 검토")))</x:f>
      </x:c>
    </x:row>
    <x:row r="880">
      <x:c r="A880" s="73" t="str">
        <x:f>IFERROR(INDEX('계산도우미'!$B$5:$B$2004,MATCH(ROWS($A$5:A880),'계산도우미'!$K$5:$K$2004,0)),"")</x:f>
      </x:c>
      <x:c r="B880" s="73" t="str">
        <x:f>IF(A880="","",IFERROR(INDEX('당기원장'!$B$5:$B$1004,MATCH(A880,'당기원장'!$A$5:$A$1004,0)),IFERROR(INDEX('전기원장'!$B$5:$B$1004,MATCH(A880,'전기원장'!$A$5:$A$1004,0)),"")))</x:f>
      </x:c>
      <x:c r="C880" s="75" t="str">
        <x:f>IF(A880="","",SUMIF('전기원장'!$A$5:$A$1004,A880,'전기원장'!$H$5:$H$1004))</x:f>
      </x:c>
      <x:c r="D880" s="75" t="str">
        <x:f>IF(A880="","",SUMIF('당기원장'!$A$5:$A$1004,A880,'당기원장'!$H$5:$H$1004))</x:f>
      </x:c>
      <x:c r="E880" s="75" t="str">
        <x:f>IF(A880="","",D880-C880)</x:f>
      </x:c>
      <x:c r="F880" s="88" t="str">
        <x:f>IF(A880="","",IF(C880=0,IF(D880=0,0,1),ABS(E880)/ABS(C880)))</x:f>
      </x:c>
      <x:c r="G880" s="73" t="str">
        <x:f>IF(A880="","",IF(AND(C880=0,D880&lt;&gt;0),"신규",IF(AND(C880&lt;&gt;0,D880=0),"소멸",IF(E880=0,"변동없음","금액변동"))))</x:f>
      </x:c>
      <x:c r="H880" s="73" t="str">
        <x:f>IF(A880="","",IF(AND(ABS(E880)&gt;='기준설정'!$B$6,OR(G880="신규",G880="소멸",F880&gt;='기준설정'!$B$5)),"원인분석 대상","일반"))</x:f>
      </x:c>
      <x:c r="I880" s="73" t="str">
        <x:f>IF(A880="","",IF(H880="원인분석 대상","세부원인분석 시트에서 거래별 원인을 검토","-"))</x:f>
      </x:c>
      <x:c r="J880" s="73" t="str">
        <x:f>IF(A880="","",COUNTIFS('전기원장'!$A$5:$A$1004,A880,'전기원장'!$J$5:$J$1004,"확인 필요")+COUNTIFS('당기원장'!$A$5:$A$1004,A880,'당기원장'!$J$5:$J$1004,"확인 필요"))</x:f>
      </x:c>
      <x:c r="K880" s="85" t="str">
        <x:f>IF(A880="","",IF(H880&lt;&gt;"원인분석 대상","",IF(J880&gt;0,"붙임 문서 확인 후 원인 확정 필요","결의서명 기반 원인분류 검토")))</x:f>
      </x:c>
    </x:row>
    <x:row r="881">
      <x:c r="A881" s="73" t="str">
        <x:f>IFERROR(INDEX('계산도우미'!$B$5:$B$2004,MATCH(ROWS($A$5:A881),'계산도우미'!$K$5:$K$2004,0)),"")</x:f>
      </x:c>
      <x:c r="B881" s="73" t="str">
        <x:f>IF(A881="","",IFERROR(INDEX('당기원장'!$B$5:$B$1004,MATCH(A881,'당기원장'!$A$5:$A$1004,0)),IFERROR(INDEX('전기원장'!$B$5:$B$1004,MATCH(A881,'전기원장'!$A$5:$A$1004,0)),"")))</x:f>
      </x:c>
      <x:c r="C881" s="75" t="str">
        <x:f>IF(A881="","",SUMIF('전기원장'!$A$5:$A$1004,A881,'전기원장'!$H$5:$H$1004))</x:f>
      </x:c>
      <x:c r="D881" s="75" t="str">
        <x:f>IF(A881="","",SUMIF('당기원장'!$A$5:$A$1004,A881,'당기원장'!$H$5:$H$1004))</x:f>
      </x:c>
      <x:c r="E881" s="75" t="str">
        <x:f>IF(A881="","",D881-C881)</x:f>
      </x:c>
      <x:c r="F881" s="88" t="str">
        <x:f>IF(A881="","",IF(C881=0,IF(D881=0,0,1),ABS(E881)/ABS(C881)))</x:f>
      </x:c>
      <x:c r="G881" s="73" t="str">
        <x:f>IF(A881="","",IF(AND(C881=0,D881&lt;&gt;0),"신규",IF(AND(C881&lt;&gt;0,D881=0),"소멸",IF(E881=0,"변동없음","금액변동"))))</x:f>
      </x:c>
      <x:c r="H881" s="73" t="str">
        <x:f>IF(A881="","",IF(AND(ABS(E881)&gt;='기준설정'!$B$6,OR(G881="신규",G881="소멸",F881&gt;='기준설정'!$B$5)),"원인분석 대상","일반"))</x:f>
      </x:c>
      <x:c r="I881" s="73" t="str">
        <x:f>IF(A881="","",IF(H881="원인분석 대상","세부원인분석 시트에서 거래별 원인을 검토","-"))</x:f>
      </x:c>
      <x:c r="J881" s="73" t="str">
        <x:f>IF(A881="","",COUNTIFS('전기원장'!$A$5:$A$1004,A881,'전기원장'!$J$5:$J$1004,"확인 필요")+COUNTIFS('당기원장'!$A$5:$A$1004,A881,'당기원장'!$J$5:$J$1004,"확인 필요"))</x:f>
      </x:c>
      <x:c r="K881" s="85" t="str">
        <x:f>IF(A881="","",IF(H881&lt;&gt;"원인분석 대상","",IF(J881&gt;0,"붙임 문서 확인 후 원인 확정 필요","결의서명 기반 원인분류 검토")))</x:f>
      </x:c>
    </x:row>
    <x:row r="882">
      <x:c r="A882" s="73" t="str">
        <x:f>IFERROR(INDEX('계산도우미'!$B$5:$B$2004,MATCH(ROWS($A$5:A882),'계산도우미'!$K$5:$K$2004,0)),"")</x:f>
      </x:c>
      <x:c r="B882" s="73" t="str">
        <x:f>IF(A882="","",IFERROR(INDEX('당기원장'!$B$5:$B$1004,MATCH(A882,'당기원장'!$A$5:$A$1004,0)),IFERROR(INDEX('전기원장'!$B$5:$B$1004,MATCH(A882,'전기원장'!$A$5:$A$1004,0)),"")))</x:f>
      </x:c>
      <x:c r="C882" s="75" t="str">
        <x:f>IF(A882="","",SUMIF('전기원장'!$A$5:$A$1004,A882,'전기원장'!$H$5:$H$1004))</x:f>
      </x:c>
      <x:c r="D882" s="75" t="str">
        <x:f>IF(A882="","",SUMIF('당기원장'!$A$5:$A$1004,A882,'당기원장'!$H$5:$H$1004))</x:f>
      </x:c>
      <x:c r="E882" s="75" t="str">
        <x:f>IF(A882="","",D882-C882)</x:f>
      </x:c>
      <x:c r="F882" s="88" t="str">
        <x:f>IF(A882="","",IF(C882=0,IF(D882=0,0,1),ABS(E882)/ABS(C882)))</x:f>
      </x:c>
      <x:c r="G882" s="73" t="str">
        <x:f>IF(A882="","",IF(AND(C882=0,D882&lt;&gt;0),"신규",IF(AND(C882&lt;&gt;0,D882=0),"소멸",IF(E882=0,"변동없음","금액변동"))))</x:f>
      </x:c>
      <x:c r="H882" s="73" t="str">
        <x:f>IF(A882="","",IF(AND(ABS(E882)&gt;='기준설정'!$B$6,OR(G882="신규",G882="소멸",F882&gt;='기준설정'!$B$5)),"원인분석 대상","일반"))</x:f>
      </x:c>
      <x:c r="I882" s="73" t="str">
        <x:f>IF(A882="","",IF(H882="원인분석 대상","세부원인분석 시트에서 거래별 원인을 검토","-"))</x:f>
      </x:c>
      <x:c r="J882" s="73" t="str">
        <x:f>IF(A882="","",COUNTIFS('전기원장'!$A$5:$A$1004,A882,'전기원장'!$J$5:$J$1004,"확인 필요")+COUNTIFS('당기원장'!$A$5:$A$1004,A882,'당기원장'!$J$5:$J$1004,"확인 필요"))</x:f>
      </x:c>
      <x:c r="K882" s="85" t="str">
        <x:f>IF(A882="","",IF(H882&lt;&gt;"원인분석 대상","",IF(J882&gt;0,"붙임 문서 확인 후 원인 확정 필요","결의서명 기반 원인분류 검토")))</x:f>
      </x:c>
    </x:row>
    <x:row r="883">
      <x:c r="A883" s="73" t="str">
        <x:f>IFERROR(INDEX('계산도우미'!$B$5:$B$2004,MATCH(ROWS($A$5:A883),'계산도우미'!$K$5:$K$2004,0)),"")</x:f>
      </x:c>
      <x:c r="B883" s="73" t="str">
        <x:f>IF(A883="","",IFERROR(INDEX('당기원장'!$B$5:$B$1004,MATCH(A883,'당기원장'!$A$5:$A$1004,0)),IFERROR(INDEX('전기원장'!$B$5:$B$1004,MATCH(A883,'전기원장'!$A$5:$A$1004,0)),"")))</x:f>
      </x:c>
      <x:c r="C883" s="75" t="str">
        <x:f>IF(A883="","",SUMIF('전기원장'!$A$5:$A$1004,A883,'전기원장'!$H$5:$H$1004))</x:f>
      </x:c>
      <x:c r="D883" s="75" t="str">
        <x:f>IF(A883="","",SUMIF('당기원장'!$A$5:$A$1004,A883,'당기원장'!$H$5:$H$1004))</x:f>
      </x:c>
      <x:c r="E883" s="75" t="str">
        <x:f>IF(A883="","",D883-C883)</x:f>
      </x:c>
      <x:c r="F883" s="88" t="str">
        <x:f>IF(A883="","",IF(C883=0,IF(D883=0,0,1),ABS(E883)/ABS(C883)))</x:f>
      </x:c>
      <x:c r="G883" s="73" t="str">
        <x:f>IF(A883="","",IF(AND(C883=0,D883&lt;&gt;0),"신규",IF(AND(C883&lt;&gt;0,D883=0),"소멸",IF(E883=0,"변동없음","금액변동"))))</x:f>
      </x:c>
      <x:c r="H883" s="73" t="str">
        <x:f>IF(A883="","",IF(AND(ABS(E883)&gt;='기준설정'!$B$6,OR(G883="신규",G883="소멸",F883&gt;='기준설정'!$B$5)),"원인분석 대상","일반"))</x:f>
      </x:c>
      <x:c r="I883" s="73" t="str">
        <x:f>IF(A883="","",IF(H883="원인분석 대상","세부원인분석 시트에서 거래별 원인을 검토","-"))</x:f>
      </x:c>
      <x:c r="J883" s="73" t="str">
        <x:f>IF(A883="","",COUNTIFS('전기원장'!$A$5:$A$1004,A883,'전기원장'!$J$5:$J$1004,"확인 필요")+COUNTIFS('당기원장'!$A$5:$A$1004,A883,'당기원장'!$J$5:$J$1004,"확인 필요"))</x:f>
      </x:c>
      <x:c r="K883" s="85" t="str">
        <x:f>IF(A883="","",IF(H883&lt;&gt;"원인분석 대상","",IF(J883&gt;0,"붙임 문서 확인 후 원인 확정 필요","결의서명 기반 원인분류 검토")))</x:f>
      </x:c>
    </x:row>
    <x:row r="884">
      <x:c r="A884" s="73" t="str">
        <x:f>IFERROR(INDEX('계산도우미'!$B$5:$B$2004,MATCH(ROWS($A$5:A884),'계산도우미'!$K$5:$K$2004,0)),"")</x:f>
      </x:c>
      <x:c r="B884" s="73" t="str">
        <x:f>IF(A884="","",IFERROR(INDEX('당기원장'!$B$5:$B$1004,MATCH(A884,'당기원장'!$A$5:$A$1004,0)),IFERROR(INDEX('전기원장'!$B$5:$B$1004,MATCH(A884,'전기원장'!$A$5:$A$1004,0)),"")))</x:f>
      </x:c>
      <x:c r="C884" s="75" t="str">
        <x:f>IF(A884="","",SUMIF('전기원장'!$A$5:$A$1004,A884,'전기원장'!$H$5:$H$1004))</x:f>
      </x:c>
      <x:c r="D884" s="75" t="str">
        <x:f>IF(A884="","",SUMIF('당기원장'!$A$5:$A$1004,A884,'당기원장'!$H$5:$H$1004))</x:f>
      </x:c>
      <x:c r="E884" s="75" t="str">
        <x:f>IF(A884="","",D884-C884)</x:f>
      </x:c>
      <x:c r="F884" s="88" t="str">
        <x:f>IF(A884="","",IF(C884=0,IF(D884=0,0,1),ABS(E884)/ABS(C884)))</x:f>
      </x:c>
      <x:c r="G884" s="73" t="str">
        <x:f>IF(A884="","",IF(AND(C884=0,D884&lt;&gt;0),"신규",IF(AND(C884&lt;&gt;0,D884=0),"소멸",IF(E884=0,"변동없음","금액변동"))))</x:f>
      </x:c>
      <x:c r="H884" s="73" t="str">
        <x:f>IF(A884="","",IF(AND(ABS(E884)&gt;='기준설정'!$B$6,OR(G884="신규",G884="소멸",F884&gt;='기준설정'!$B$5)),"원인분석 대상","일반"))</x:f>
      </x:c>
      <x:c r="I884" s="73" t="str">
        <x:f>IF(A884="","",IF(H884="원인분석 대상","세부원인분석 시트에서 거래별 원인을 검토","-"))</x:f>
      </x:c>
      <x:c r="J884" s="73" t="str">
        <x:f>IF(A884="","",COUNTIFS('전기원장'!$A$5:$A$1004,A884,'전기원장'!$J$5:$J$1004,"확인 필요")+COUNTIFS('당기원장'!$A$5:$A$1004,A884,'당기원장'!$J$5:$J$1004,"확인 필요"))</x:f>
      </x:c>
      <x:c r="K884" s="85" t="str">
        <x:f>IF(A884="","",IF(H884&lt;&gt;"원인분석 대상","",IF(J884&gt;0,"붙임 문서 확인 후 원인 확정 필요","결의서명 기반 원인분류 검토")))</x:f>
      </x:c>
    </x:row>
    <x:row r="885">
      <x:c r="A885" s="73" t="str">
        <x:f>IFERROR(INDEX('계산도우미'!$B$5:$B$2004,MATCH(ROWS($A$5:A885),'계산도우미'!$K$5:$K$2004,0)),"")</x:f>
      </x:c>
      <x:c r="B885" s="73" t="str">
        <x:f>IF(A885="","",IFERROR(INDEX('당기원장'!$B$5:$B$1004,MATCH(A885,'당기원장'!$A$5:$A$1004,0)),IFERROR(INDEX('전기원장'!$B$5:$B$1004,MATCH(A885,'전기원장'!$A$5:$A$1004,0)),"")))</x:f>
      </x:c>
      <x:c r="C885" s="75" t="str">
        <x:f>IF(A885="","",SUMIF('전기원장'!$A$5:$A$1004,A885,'전기원장'!$H$5:$H$1004))</x:f>
      </x:c>
      <x:c r="D885" s="75" t="str">
        <x:f>IF(A885="","",SUMIF('당기원장'!$A$5:$A$1004,A885,'당기원장'!$H$5:$H$1004))</x:f>
      </x:c>
      <x:c r="E885" s="75" t="str">
        <x:f>IF(A885="","",D885-C885)</x:f>
      </x:c>
      <x:c r="F885" s="88" t="str">
        <x:f>IF(A885="","",IF(C885=0,IF(D885=0,0,1),ABS(E885)/ABS(C885)))</x:f>
      </x:c>
      <x:c r="G885" s="73" t="str">
        <x:f>IF(A885="","",IF(AND(C885=0,D885&lt;&gt;0),"신규",IF(AND(C885&lt;&gt;0,D885=0),"소멸",IF(E885=0,"변동없음","금액변동"))))</x:f>
      </x:c>
      <x:c r="H885" s="73" t="str">
        <x:f>IF(A885="","",IF(AND(ABS(E885)&gt;='기준설정'!$B$6,OR(G885="신규",G885="소멸",F885&gt;='기준설정'!$B$5)),"원인분석 대상","일반"))</x:f>
      </x:c>
      <x:c r="I885" s="73" t="str">
        <x:f>IF(A885="","",IF(H885="원인분석 대상","세부원인분석 시트에서 거래별 원인을 검토","-"))</x:f>
      </x:c>
      <x:c r="J885" s="73" t="str">
        <x:f>IF(A885="","",COUNTIFS('전기원장'!$A$5:$A$1004,A885,'전기원장'!$J$5:$J$1004,"확인 필요")+COUNTIFS('당기원장'!$A$5:$A$1004,A885,'당기원장'!$J$5:$J$1004,"확인 필요"))</x:f>
      </x:c>
      <x:c r="K885" s="85" t="str">
        <x:f>IF(A885="","",IF(H885&lt;&gt;"원인분석 대상","",IF(J885&gt;0,"붙임 문서 확인 후 원인 확정 필요","결의서명 기반 원인분류 검토")))</x:f>
      </x:c>
    </x:row>
    <x:row r="886">
      <x:c r="A886" s="73" t="str">
        <x:f>IFERROR(INDEX('계산도우미'!$B$5:$B$2004,MATCH(ROWS($A$5:A886),'계산도우미'!$K$5:$K$2004,0)),"")</x:f>
      </x:c>
      <x:c r="B886" s="73" t="str">
        <x:f>IF(A886="","",IFERROR(INDEX('당기원장'!$B$5:$B$1004,MATCH(A886,'당기원장'!$A$5:$A$1004,0)),IFERROR(INDEX('전기원장'!$B$5:$B$1004,MATCH(A886,'전기원장'!$A$5:$A$1004,0)),"")))</x:f>
      </x:c>
      <x:c r="C886" s="75" t="str">
        <x:f>IF(A886="","",SUMIF('전기원장'!$A$5:$A$1004,A886,'전기원장'!$H$5:$H$1004))</x:f>
      </x:c>
      <x:c r="D886" s="75" t="str">
        <x:f>IF(A886="","",SUMIF('당기원장'!$A$5:$A$1004,A886,'당기원장'!$H$5:$H$1004))</x:f>
      </x:c>
      <x:c r="E886" s="75" t="str">
        <x:f>IF(A886="","",D886-C886)</x:f>
      </x:c>
      <x:c r="F886" s="88" t="str">
        <x:f>IF(A886="","",IF(C886=0,IF(D886=0,0,1),ABS(E886)/ABS(C886)))</x:f>
      </x:c>
      <x:c r="G886" s="73" t="str">
        <x:f>IF(A886="","",IF(AND(C886=0,D886&lt;&gt;0),"신규",IF(AND(C886&lt;&gt;0,D886=0),"소멸",IF(E886=0,"변동없음","금액변동"))))</x:f>
      </x:c>
      <x:c r="H886" s="73" t="str">
        <x:f>IF(A886="","",IF(AND(ABS(E886)&gt;='기준설정'!$B$6,OR(G886="신규",G886="소멸",F886&gt;='기준설정'!$B$5)),"원인분석 대상","일반"))</x:f>
      </x:c>
      <x:c r="I886" s="73" t="str">
        <x:f>IF(A886="","",IF(H886="원인분석 대상","세부원인분석 시트에서 거래별 원인을 검토","-"))</x:f>
      </x:c>
      <x:c r="J886" s="73" t="str">
        <x:f>IF(A886="","",COUNTIFS('전기원장'!$A$5:$A$1004,A886,'전기원장'!$J$5:$J$1004,"확인 필요")+COUNTIFS('당기원장'!$A$5:$A$1004,A886,'당기원장'!$J$5:$J$1004,"확인 필요"))</x:f>
      </x:c>
      <x:c r="K886" s="85" t="str">
        <x:f>IF(A886="","",IF(H886&lt;&gt;"원인분석 대상","",IF(J886&gt;0,"붙임 문서 확인 후 원인 확정 필요","결의서명 기반 원인분류 검토")))</x:f>
      </x:c>
    </x:row>
    <x:row r="887">
      <x:c r="A887" s="73" t="str">
        <x:f>IFERROR(INDEX('계산도우미'!$B$5:$B$2004,MATCH(ROWS($A$5:A887),'계산도우미'!$K$5:$K$2004,0)),"")</x:f>
      </x:c>
      <x:c r="B887" s="73" t="str">
        <x:f>IF(A887="","",IFERROR(INDEX('당기원장'!$B$5:$B$1004,MATCH(A887,'당기원장'!$A$5:$A$1004,0)),IFERROR(INDEX('전기원장'!$B$5:$B$1004,MATCH(A887,'전기원장'!$A$5:$A$1004,0)),"")))</x:f>
      </x:c>
      <x:c r="C887" s="75" t="str">
        <x:f>IF(A887="","",SUMIF('전기원장'!$A$5:$A$1004,A887,'전기원장'!$H$5:$H$1004))</x:f>
      </x:c>
      <x:c r="D887" s="75" t="str">
        <x:f>IF(A887="","",SUMIF('당기원장'!$A$5:$A$1004,A887,'당기원장'!$H$5:$H$1004))</x:f>
      </x:c>
      <x:c r="E887" s="75" t="str">
        <x:f>IF(A887="","",D887-C887)</x:f>
      </x:c>
      <x:c r="F887" s="88" t="str">
        <x:f>IF(A887="","",IF(C887=0,IF(D887=0,0,1),ABS(E887)/ABS(C887)))</x:f>
      </x:c>
      <x:c r="G887" s="73" t="str">
        <x:f>IF(A887="","",IF(AND(C887=0,D887&lt;&gt;0),"신규",IF(AND(C887&lt;&gt;0,D887=0),"소멸",IF(E887=0,"변동없음","금액변동"))))</x:f>
      </x:c>
      <x:c r="H887" s="73" t="str">
        <x:f>IF(A887="","",IF(AND(ABS(E887)&gt;='기준설정'!$B$6,OR(G887="신규",G887="소멸",F887&gt;='기준설정'!$B$5)),"원인분석 대상","일반"))</x:f>
      </x:c>
      <x:c r="I887" s="73" t="str">
        <x:f>IF(A887="","",IF(H887="원인분석 대상","세부원인분석 시트에서 거래별 원인을 검토","-"))</x:f>
      </x:c>
      <x:c r="J887" s="73" t="str">
        <x:f>IF(A887="","",COUNTIFS('전기원장'!$A$5:$A$1004,A887,'전기원장'!$J$5:$J$1004,"확인 필요")+COUNTIFS('당기원장'!$A$5:$A$1004,A887,'당기원장'!$J$5:$J$1004,"확인 필요"))</x:f>
      </x:c>
      <x:c r="K887" s="85" t="str">
        <x:f>IF(A887="","",IF(H887&lt;&gt;"원인분석 대상","",IF(J887&gt;0,"붙임 문서 확인 후 원인 확정 필요","결의서명 기반 원인분류 검토")))</x:f>
      </x:c>
    </x:row>
    <x:row r="888">
      <x:c r="A888" s="73" t="str">
        <x:f>IFERROR(INDEX('계산도우미'!$B$5:$B$2004,MATCH(ROWS($A$5:A888),'계산도우미'!$K$5:$K$2004,0)),"")</x:f>
      </x:c>
      <x:c r="B888" s="73" t="str">
        <x:f>IF(A888="","",IFERROR(INDEX('당기원장'!$B$5:$B$1004,MATCH(A888,'당기원장'!$A$5:$A$1004,0)),IFERROR(INDEX('전기원장'!$B$5:$B$1004,MATCH(A888,'전기원장'!$A$5:$A$1004,0)),"")))</x:f>
      </x:c>
      <x:c r="C888" s="75" t="str">
        <x:f>IF(A888="","",SUMIF('전기원장'!$A$5:$A$1004,A888,'전기원장'!$H$5:$H$1004))</x:f>
      </x:c>
      <x:c r="D888" s="75" t="str">
        <x:f>IF(A888="","",SUMIF('당기원장'!$A$5:$A$1004,A888,'당기원장'!$H$5:$H$1004))</x:f>
      </x:c>
      <x:c r="E888" s="75" t="str">
        <x:f>IF(A888="","",D888-C888)</x:f>
      </x:c>
      <x:c r="F888" s="88" t="str">
        <x:f>IF(A888="","",IF(C888=0,IF(D888=0,0,1),ABS(E888)/ABS(C888)))</x:f>
      </x:c>
      <x:c r="G888" s="73" t="str">
        <x:f>IF(A888="","",IF(AND(C888=0,D888&lt;&gt;0),"신규",IF(AND(C888&lt;&gt;0,D888=0),"소멸",IF(E888=0,"변동없음","금액변동"))))</x:f>
      </x:c>
      <x:c r="H888" s="73" t="str">
        <x:f>IF(A888="","",IF(AND(ABS(E888)&gt;='기준설정'!$B$6,OR(G888="신규",G888="소멸",F888&gt;='기준설정'!$B$5)),"원인분석 대상","일반"))</x:f>
      </x:c>
      <x:c r="I888" s="73" t="str">
        <x:f>IF(A888="","",IF(H888="원인분석 대상","세부원인분석 시트에서 거래별 원인을 검토","-"))</x:f>
      </x:c>
      <x:c r="J888" s="73" t="str">
        <x:f>IF(A888="","",COUNTIFS('전기원장'!$A$5:$A$1004,A888,'전기원장'!$J$5:$J$1004,"확인 필요")+COUNTIFS('당기원장'!$A$5:$A$1004,A888,'당기원장'!$J$5:$J$1004,"확인 필요"))</x:f>
      </x:c>
      <x:c r="K888" s="85" t="str">
        <x:f>IF(A888="","",IF(H888&lt;&gt;"원인분석 대상","",IF(J888&gt;0,"붙임 문서 확인 후 원인 확정 필요","결의서명 기반 원인분류 검토")))</x:f>
      </x:c>
    </x:row>
    <x:row r="889">
      <x:c r="A889" s="73" t="str">
        <x:f>IFERROR(INDEX('계산도우미'!$B$5:$B$2004,MATCH(ROWS($A$5:A889),'계산도우미'!$K$5:$K$2004,0)),"")</x:f>
      </x:c>
      <x:c r="B889" s="73" t="str">
        <x:f>IF(A889="","",IFERROR(INDEX('당기원장'!$B$5:$B$1004,MATCH(A889,'당기원장'!$A$5:$A$1004,0)),IFERROR(INDEX('전기원장'!$B$5:$B$1004,MATCH(A889,'전기원장'!$A$5:$A$1004,0)),"")))</x:f>
      </x:c>
      <x:c r="C889" s="75" t="str">
        <x:f>IF(A889="","",SUMIF('전기원장'!$A$5:$A$1004,A889,'전기원장'!$H$5:$H$1004))</x:f>
      </x:c>
      <x:c r="D889" s="75" t="str">
        <x:f>IF(A889="","",SUMIF('당기원장'!$A$5:$A$1004,A889,'당기원장'!$H$5:$H$1004))</x:f>
      </x:c>
      <x:c r="E889" s="75" t="str">
        <x:f>IF(A889="","",D889-C889)</x:f>
      </x:c>
      <x:c r="F889" s="88" t="str">
        <x:f>IF(A889="","",IF(C889=0,IF(D889=0,0,1),ABS(E889)/ABS(C889)))</x:f>
      </x:c>
      <x:c r="G889" s="73" t="str">
        <x:f>IF(A889="","",IF(AND(C889=0,D889&lt;&gt;0),"신규",IF(AND(C889&lt;&gt;0,D889=0),"소멸",IF(E889=0,"변동없음","금액변동"))))</x:f>
      </x:c>
      <x:c r="H889" s="73" t="str">
        <x:f>IF(A889="","",IF(AND(ABS(E889)&gt;='기준설정'!$B$6,OR(G889="신규",G889="소멸",F889&gt;='기준설정'!$B$5)),"원인분석 대상","일반"))</x:f>
      </x:c>
      <x:c r="I889" s="73" t="str">
        <x:f>IF(A889="","",IF(H889="원인분석 대상","세부원인분석 시트에서 거래별 원인을 검토","-"))</x:f>
      </x:c>
      <x:c r="J889" s="73" t="str">
        <x:f>IF(A889="","",COUNTIFS('전기원장'!$A$5:$A$1004,A889,'전기원장'!$J$5:$J$1004,"확인 필요")+COUNTIFS('당기원장'!$A$5:$A$1004,A889,'당기원장'!$J$5:$J$1004,"확인 필요"))</x:f>
      </x:c>
      <x:c r="K889" s="85" t="str">
        <x:f>IF(A889="","",IF(H889&lt;&gt;"원인분석 대상","",IF(J889&gt;0,"붙임 문서 확인 후 원인 확정 필요","결의서명 기반 원인분류 검토")))</x:f>
      </x:c>
    </x:row>
    <x:row r="890">
      <x:c r="A890" s="73" t="str">
        <x:f>IFERROR(INDEX('계산도우미'!$B$5:$B$2004,MATCH(ROWS($A$5:A890),'계산도우미'!$K$5:$K$2004,0)),"")</x:f>
      </x:c>
      <x:c r="B890" s="73" t="str">
        <x:f>IF(A890="","",IFERROR(INDEX('당기원장'!$B$5:$B$1004,MATCH(A890,'당기원장'!$A$5:$A$1004,0)),IFERROR(INDEX('전기원장'!$B$5:$B$1004,MATCH(A890,'전기원장'!$A$5:$A$1004,0)),"")))</x:f>
      </x:c>
      <x:c r="C890" s="75" t="str">
        <x:f>IF(A890="","",SUMIF('전기원장'!$A$5:$A$1004,A890,'전기원장'!$H$5:$H$1004))</x:f>
      </x:c>
      <x:c r="D890" s="75" t="str">
        <x:f>IF(A890="","",SUMIF('당기원장'!$A$5:$A$1004,A890,'당기원장'!$H$5:$H$1004))</x:f>
      </x:c>
      <x:c r="E890" s="75" t="str">
        <x:f>IF(A890="","",D890-C890)</x:f>
      </x:c>
      <x:c r="F890" s="88" t="str">
        <x:f>IF(A890="","",IF(C890=0,IF(D890=0,0,1),ABS(E890)/ABS(C890)))</x:f>
      </x:c>
      <x:c r="G890" s="73" t="str">
        <x:f>IF(A890="","",IF(AND(C890=0,D890&lt;&gt;0),"신규",IF(AND(C890&lt;&gt;0,D890=0),"소멸",IF(E890=0,"변동없음","금액변동"))))</x:f>
      </x:c>
      <x:c r="H890" s="73" t="str">
        <x:f>IF(A890="","",IF(AND(ABS(E890)&gt;='기준설정'!$B$6,OR(G890="신규",G890="소멸",F890&gt;='기준설정'!$B$5)),"원인분석 대상","일반"))</x:f>
      </x:c>
      <x:c r="I890" s="73" t="str">
        <x:f>IF(A890="","",IF(H890="원인분석 대상","세부원인분석 시트에서 거래별 원인을 검토","-"))</x:f>
      </x:c>
      <x:c r="J890" s="73" t="str">
        <x:f>IF(A890="","",COUNTIFS('전기원장'!$A$5:$A$1004,A890,'전기원장'!$J$5:$J$1004,"확인 필요")+COUNTIFS('당기원장'!$A$5:$A$1004,A890,'당기원장'!$J$5:$J$1004,"확인 필요"))</x:f>
      </x:c>
      <x:c r="K890" s="85" t="str">
        <x:f>IF(A890="","",IF(H890&lt;&gt;"원인분석 대상","",IF(J890&gt;0,"붙임 문서 확인 후 원인 확정 필요","결의서명 기반 원인분류 검토")))</x:f>
      </x:c>
    </x:row>
    <x:row r="891">
      <x:c r="A891" s="73" t="str">
        <x:f>IFERROR(INDEX('계산도우미'!$B$5:$B$2004,MATCH(ROWS($A$5:A891),'계산도우미'!$K$5:$K$2004,0)),"")</x:f>
      </x:c>
      <x:c r="B891" s="73" t="str">
        <x:f>IF(A891="","",IFERROR(INDEX('당기원장'!$B$5:$B$1004,MATCH(A891,'당기원장'!$A$5:$A$1004,0)),IFERROR(INDEX('전기원장'!$B$5:$B$1004,MATCH(A891,'전기원장'!$A$5:$A$1004,0)),"")))</x:f>
      </x:c>
      <x:c r="C891" s="75" t="str">
        <x:f>IF(A891="","",SUMIF('전기원장'!$A$5:$A$1004,A891,'전기원장'!$H$5:$H$1004))</x:f>
      </x:c>
      <x:c r="D891" s="75" t="str">
        <x:f>IF(A891="","",SUMIF('당기원장'!$A$5:$A$1004,A891,'당기원장'!$H$5:$H$1004))</x:f>
      </x:c>
      <x:c r="E891" s="75" t="str">
        <x:f>IF(A891="","",D891-C891)</x:f>
      </x:c>
      <x:c r="F891" s="88" t="str">
        <x:f>IF(A891="","",IF(C891=0,IF(D891=0,0,1),ABS(E891)/ABS(C891)))</x:f>
      </x:c>
      <x:c r="G891" s="73" t="str">
        <x:f>IF(A891="","",IF(AND(C891=0,D891&lt;&gt;0),"신규",IF(AND(C891&lt;&gt;0,D891=0),"소멸",IF(E891=0,"변동없음","금액변동"))))</x:f>
      </x:c>
      <x:c r="H891" s="73" t="str">
        <x:f>IF(A891="","",IF(AND(ABS(E891)&gt;='기준설정'!$B$6,OR(G891="신규",G891="소멸",F891&gt;='기준설정'!$B$5)),"원인분석 대상","일반"))</x:f>
      </x:c>
      <x:c r="I891" s="73" t="str">
        <x:f>IF(A891="","",IF(H891="원인분석 대상","세부원인분석 시트에서 거래별 원인을 검토","-"))</x:f>
      </x:c>
      <x:c r="J891" s="73" t="str">
        <x:f>IF(A891="","",COUNTIFS('전기원장'!$A$5:$A$1004,A891,'전기원장'!$J$5:$J$1004,"확인 필요")+COUNTIFS('당기원장'!$A$5:$A$1004,A891,'당기원장'!$J$5:$J$1004,"확인 필요"))</x:f>
      </x:c>
      <x:c r="K891" s="85" t="str">
        <x:f>IF(A891="","",IF(H891&lt;&gt;"원인분석 대상","",IF(J891&gt;0,"붙임 문서 확인 후 원인 확정 필요","결의서명 기반 원인분류 검토")))</x:f>
      </x:c>
    </x:row>
    <x:row r="892">
      <x:c r="A892" s="73" t="str">
        <x:f>IFERROR(INDEX('계산도우미'!$B$5:$B$2004,MATCH(ROWS($A$5:A892),'계산도우미'!$K$5:$K$2004,0)),"")</x:f>
      </x:c>
      <x:c r="B892" s="73" t="str">
        <x:f>IF(A892="","",IFERROR(INDEX('당기원장'!$B$5:$B$1004,MATCH(A892,'당기원장'!$A$5:$A$1004,0)),IFERROR(INDEX('전기원장'!$B$5:$B$1004,MATCH(A892,'전기원장'!$A$5:$A$1004,0)),"")))</x:f>
      </x:c>
      <x:c r="C892" s="75" t="str">
        <x:f>IF(A892="","",SUMIF('전기원장'!$A$5:$A$1004,A892,'전기원장'!$H$5:$H$1004))</x:f>
      </x:c>
      <x:c r="D892" s="75" t="str">
        <x:f>IF(A892="","",SUMIF('당기원장'!$A$5:$A$1004,A892,'당기원장'!$H$5:$H$1004))</x:f>
      </x:c>
      <x:c r="E892" s="75" t="str">
        <x:f>IF(A892="","",D892-C892)</x:f>
      </x:c>
      <x:c r="F892" s="88" t="str">
        <x:f>IF(A892="","",IF(C892=0,IF(D892=0,0,1),ABS(E892)/ABS(C892)))</x:f>
      </x:c>
      <x:c r="G892" s="73" t="str">
        <x:f>IF(A892="","",IF(AND(C892=0,D892&lt;&gt;0),"신규",IF(AND(C892&lt;&gt;0,D892=0),"소멸",IF(E892=0,"변동없음","금액변동"))))</x:f>
      </x:c>
      <x:c r="H892" s="73" t="str">
        <x:f>IF(A892="","",IF(AND(ABS(E892)&gt;='기준설정'!$B$6,OR(G892="신규",G892="소멸",F892&gt;='기준설정'!$B$5)),"원인분석 대상","일반"))</x:f>
      </x:c>
      <x:c r="I892" s="73" t="str">
        <x:f>IF(A892="","",IF(H892="원인분석 대상","세부원인분석 시트에서 거래별 원인을 검토","-"))</x:f>
      </x:c>
      <x:c r="J892" s="73" t="str">
        <x:f>IF(A892="","",COUNTIFS('전기원장'!$A$5:$A$1004,A892,'전기원장'!$J$5:$J$1004,"확인 필요")+COUNTIFS('당기원장'!$A$5:$A$1004,A892,'당기원장'!$J$5:$J$1004,"확인 필요"))</x:f>
      </x:c>
      <x:c r="K892" s="85" t="str">
        <x:f>IF(A892="","",IF(H892&lt;&gt;"원인분석 대상","",IF(J892&gt;0,"붙임 문서 확인 후 원인 확정 필요","결의서명 기반 원인분류 검토")))</x:f>
      </x:c>
    </x:row>
    <x:row r="893">
      <x:c r="A893" s="73" t="str">
        <x:f>IFERROR(INDEX('계산도우미'!$B$5:$B$2004,MATCH(ROWS($A$5:A893),'계산도우미'!$K$5:$K$2004,0)),"")</x:f>
      </x:c>
      <x:c r="B893" s="73" t="str">
        <x:f>IF(A893="","",IFERROR(INDEX('당기원장'!$B$5:$B$1004,MATCH(A893,'당기원장'!$A$5:$A$1004,0)),IFERROR(INDEX('전기원장'!$B$5:$B$1004,MATCH(A893,'전기원장'!$A$5:$A$1004,0)),"")))</x:f>
      </x:c>
      <x:c r="C893" s="75" t="str">
        <x:f>IF(A893="","",SUMIF('전기원장'!$A$5:$A$1004,A893,'전기원장'!$H$5:$H$1004))</x:f>
      </x:c>
      <x:c r="D893" s="75" t="str">
        <x:f>IF(A893="","",SUMIF('당기원장'!$A$5:$A$1004,A893,'당기원장'!$H$5:$H$1004))</x:f>
      </x:c>
      <x:c r="E893" s="75" t="str">
        <x:f>IF(A893="","",D893-C893)</x:f>
      </x:c>
      <x:c r="F893" s="88" t="str">
        <x:f>IF(A893="","",IF(C893=0,IF(D893=0,0,1),ABS(E893)/ABS(C893)))</x:f>
      </x:c>
      <x:c r="G893" s="73" t="str">
        <x:f>IF(A893="","",IF(AND(C893=0,D893&lt;&gt;0),"신규",IF(AND(C893&lt;&gt;0,D893=0),"소멸",IF(E893=0,"변동없음","금액변동"))))</x:f>
      </x:c>
      <x:c r="H893" s="73" t="str">
        <x:f>IF(A893="","",IF(AND(ABS(E893)&gt;='기준설정'!$B$6,OR(G893="신규",G893="소멸",F893&gt;='기준설정'!$B$5)),"원인분석 대상","일반"))</x:f>
      </x:c>
      <x:c r="I893" s="73" t="str">
        <x:f>IF(A893="","",IF(H893="원인분석 대상","세부원인분석 시트에서 거래별 원인을 검토","-"))</x:f>
      </x:c>
      <x:c r="J893" s="73" t="str">
        <x:f>IF(A893="","",COUNTIFS('전기원장'!$A$5:$A$1004,A893,'전기원장'!$J$5:$J$1004,"확인 필요")+COUNTIFS('당기원장'!$A$5:$A$1004,A893,'당기원장'!$J$5:$J$1004,"확인 필요"))</x:f>
      </x:c>
      <x:c r="K893" s="85" t="str">
        <x:f>IF(A893="","",IF(H893&lt;&gt;"원인분석 대상","",IF(J893&gt;0,"붙임 문서 확인 후 원인 확정 필요","결의서명 기반 원인분류 검토")))</x:f>
      </x:c>
    </x:row>
    <x:row r="894">
      <x:c r="A894" s="73" t="str">
        <x:f>IFERROR(INDEX('계산도우미'!$B$5:$B$2004,MATCH(ROWS($A$5:A894),'계산도우미'!$K$5:$K$2004,0)),"")</x:f>
      </x:c>
      <x:c r="B894" s="73" t="str">
        <x:f>IF(A894="","",IFERROR(INDEX('당기원장'!$B$5:$B$1004,MATCH(A894,'당기원장'!$A$5:$A$1004,0)),IFERROR(INDEX('전기원장'!$B$5:$B$1004,MATCH(A894,'전기원장'!$A$5:$A$1004,0)),"")))</x:f>
      </x:c>
      <x:c r="C894" s="75" t="str">
        <x:f>IF(A894="","",SUMIF('전기원장'!$A$5:$A$1004,A894,'전기원장'!$H$5:$H$1004))</x:f>
      </x:c>
      <x:c r="D894" s="75" t="str">
        <x:f>IF(A894="","",SUMIF('당기원장'!$A$5:$A$1004,A894,'당기원장'!$H$5:$H$1004))</x:f>
      </x:c>
      <x:c r="E894" s="75" t="str">
        <x:f>IF(A894="","",D894-C894)</x:f>
      </x:c>
      <x:c r="F894" s="88" t="str">
        <x:f>IF(A894="","",IF(C894=0,IF(D894=0,0,1),ABS(E894)/ABS(C894)))</x:f>
      </x:c>
      <x:c r="G894" s="73" t="str">
        <x:f>IF(A894="","",IF(AND(C894=0,D894&lt;&gt;0),"신규",IF(AND(C894&lt;&gt;0,D894=0),"소멸",IF(E894=0,"변동없음","금액변동"))))</x:f>
      </x:c>
      <x:c r="H894" s="73" t="str">
        <x:f>IF(A894="","",IF(AND(ABS(E894)&gt;='기준설정'!$B$6,OR(G894="신규",G894="소멸",F894&gt;='기준설정'!$B$5)),"원인분석 대상","일반"))</x:f>
      </x:c>
      <x:c r="I894" s="73" t="str">
        <x:f>IF(A894="","",IF(H894="원인분석 대상","세부원인분석 시트에서 거래별 원인을 검토","-"))</x:f>
      </x:c>
      <x:c r="J894" s="73" t="str">
        <x:f>IF(A894="","",COUNTIFS('전기원장'!$A$5:$A$1004,A894,'전기원장'!$J$5:$J$1004,"확인 필요")+COUNTIFS('당기원장'!$A$5:$A$1004,A894,'당기원장'!$J$5:$J$1004,"확인 필요"))</x:f>
      </x:c>
      <x:c r="K894" s="85" t="str">
        <x:f>IF(A894="","",IF(H894&lt;&gt;"원인분석 대상","",IF(J894&gt;0,"붙임 문서 확인 후 원인 확정 필요","결의서명 기반 원인분류 검토")))</x:f>
      </x:c>
    </x:row>
    <x:row r="895">
      <x:c r="A895" s="73" t="str">
        <x:f>IFERROR(INDEX('계산도우미'!$B$5:$B$2004,MATCH(ROWS($A$5:A895),'계산도우미'!$K$5:$K$2004,0)),"")</x:f>
      </x:c>
      <x:c r="B895" s="73" t="str">
        <x:f>IF(A895="","",IFERROR(INDEX('당기원장'!$B$5:$B$1004,MATCH(A895,'당기원장'!$A$5:$A$1004,0)),IFERROR(INDEX('전기원장'!$B$5:$B$1004,MATCH(A895,'전기원장'!$A$5:$A$1004,0)),"")))</x:f>
      </x:c>
      <x:c r="C895" s="75" t="str">
        <x:f>IF(A895="","",SUMIF('전기원장'!$A$5:$A$1004,A895,'전기원장'!$H$5:$H$1004))</x:f>
      </x:c>
      <x:c r="D895" s="75" t="str">
        <x:f>IF(A895="","",SUMIF('당기원장'!$A$5:$A$1004,A895,'당기원장'!$H$5:$H$1004))</x:f>
      </x:c>
      <x:c r="E895" s="75" t="str">
        <x:f>IF(A895="","",D895-C895)</x:f>
      </x:c>
      <x:c r="F895" s="88" t="str">
        <x:f>IF(A895="","",IF(C895=0,IF(D895=0,0,1),ABS(E895)/ABS(C895)))</x:f>
      </x:c>
      <x:c r="G895" s="73" t="str">
        <x:f>IF(A895="","",IF(AND(C895=0,D895&lt;&gt;0),"신규",IF(AND(C895&lt;&gt;0,D895=0),"소멸",IF(E895=0,"변동없음","금액변동"))))</x:f>
      </x:c>
      <x:c r="H895" s="73" t="str">
        <x:f>IF(A895="","",IF(AND(ABS(E895)&gt;='기준설정'!$B$6,OR(G895="신규",G895="소멸",F895&gt;='기준설정'!$B$5)),"원인분석 대상","일반"))</x:f>
      </x:c>
      <x:c r="I895" s="73" t="str">
        <x:f>IF(A895="","",IF(H895="원인분석 대상","세부원인분석 시트에서 거래별 원인을 검토","-"))</x:f>
      </x:c>
      <x:c r="J895" s="73" t="str">
        <x:f>IF(A895="","",COUNTIFS('전기원장'!$A$5:$A$1004,A895,'전기원장'!$J$5:$J$1004,"확인 필요")+COUNTIFS('당기원장'!$A$5:$A$1004,A895,'당기원장'!$J$5:$J$1004,"확인 필요"))</x:f>
      </x:c>
      <x:c r="K895" s="85" t="str">
        <x:f>IF(A895="","",IF(H895&lt;&gt;"원인분석 대상","",IF(J895&gt;0,"붙임 문서 확인 후 원인 확정 필요","결의서명 기반 원인분류 검토")))</x:f>
      </x:c>
    </x:row>
    <x:row r="896">
      <x:c r="A896" s="73" t="str">
        <x:f>IFERROR(INDEX('계산도우미'!$B$5:$B$2004,MATCH(ROWS($A$5:A896),'계산도우미'!$K$5:$K$2004,0)),"")</x:f>
      </x:c>
      <x:c r="B896" s="73" t="str">
        <x:f>IF(A896="","",IFERROR(INDEX('당기원장'!$B$5:$B$1004,MATCH(A896,'당기원장'!$A$5:$A$1004,0)),IFERROR(INDEX('전기원장'!$B$5:$B$1004,MATCH(A896,'전기원장'!$A$5:$A$1004,0)),"")))</x:f>
      </x:c>
      <x:c r="C896" s="75" t="str">
        <x:f>IF(A896="","",SUMIF('전기원장'!$A$5:$A$1004,A896,'전기원장'!$H$5:$H$1004))</x:f>
      </x:c>
      <x:c r="D896" s="75" t="str">
        <x:f>IF(A896="","",SUMIF('당기원장'!$A$5:$A$1004,A896,'당기원장'!$H$5:$H$1004))</x:f>
      </x:c>
      <x:c r="E896" s="75" t="str">
        <x:f>IF(A896="","",D896-C896)</x:f>
      </x:c>
      <x:c r="F896" s="88" t="str">
        <x:f>IF(A896="","",IF(C896=0,IF(D896=0,0,1),ABS(E896)/ABS(C896)))</x:f>
      </x:c>
      <x:c r="G896" s="73" t="str">
        <x:f>IF(A896="","",IF(AND(C896=0,D896&lt;&gt;0),"신규",IF(AND(C896&lt;&gt;0,D896=0),"소멸",IF(E896=0,"변동없음","금액변동"))))</x:f>
      </x:c>
      <x:c r="H896" s="73" t="str">
        <x:f>IF(A896="","",IF(AND(ABS(E896)&gt;='기준설정'!$B$6,OR(G896="신규",G896="소멸",F896&gt;='기준설정'!$B$5)),"원인분석 대상","일반"))</x:f>
      </x:c>
      <x:c r="I896" s="73" t="str">
        <x:f>IF(A896="","",IF(H896="원인분석 대상","세부원인분석 시트에서 거래별 원인을 검토","-"))</x:f>
      </x:c>
      <x:c r="J896" s="73" t="str">
        <x:f>IF(A896="","",COUNTIFS('전기원장'!$A$5:$A$1004,A896,'전기원장'!$J$5:$J$1004,"확인 필요")+COUNTIFS('당기원장'!$A$5:$A$1004,A896,'당기원장'!$J$5:$J$1004,"확인 필요"))</x:f>
      </x:c>
      <x:c r="K896" s="85" t="str">
        <x:f>IF(A896="","",IF(H896&lt;&gt;"원인분석 대상","",IF(J896&gt;0,"붙임 문서 확인 후 원인 확정 필요","결의서명 기반 원인분류 검토")))</x:f>
      </x:c>
    </x:row>
    <x:row r="897">
      <x:c r="A897" s="73" t="str">
        <x:f>IFERROR(INDEX('계산도우미'!$B$5:$B$2004,MATCH(ROWS($A$5:A897),'계산도우미'!$K$5:$K$2004,0)),"")</x:f>
      </x:c>
      <x:c r="B897" s="73" t="str">
        <x:f>IF(A897="","",IFERROR(INDEX('당기원장'!$B$5:$B$1004,MATCH(A897,'당기원장'!$A$5:$A$1004,0)),IFERROR(INDEX('전기원장'!$B$5:$B$1004,MATCH(A897,'전기원장'!$A$5:$A$1004,0)),"")))</x:f>
      </x:c>
      <x:c r="C897" s="75" t="str">
        <x:f>IF(A897="","",SUMIF('전기원장'!$A$5:$A$1004,A897,'전기원장'!$H$5:$H$1004))</x:f>
      </x:c>
      <x:c r="D897" s="75" t="str">
        <x:f>IF(A897="","",SUMIF('당기원장'!$A$5:$A$1004,A897,'당기원장'!$H$5:$H$1004))</x:f>
      </x:c>
      <x:c r="E897" s="75" t="str">
        <x:f>IF(A897="","",D897-C897)</x:f>
      </x:c>
      <x:c r="F897" s="88" t="str">
        <x:f>IF(A897="","",IF(C897=0,IF(D897=0,0,1),ABS(E897)/ABS(C897)))</x:f>
      </x:c>
      <x:c r="G897" s="73" t="str">
        <x:f>IF(A897="","",IF(AND(C897=0,D897&lt;&gt;0),"신규",IF(AND(C897&lt;&gt;0,D897=0),"소멸",IF(E897=0,"변동없음","금액변동"))))</x:f>
      </x:c>
      <x:c r="H897" s="73" t="str">
        <x:f>IF(A897="","",IF(AND(ABS(E897)&gt;='기준설정'!$B$6,OR(G897="신규",G897="소멸",F897&gt;='기준설정'!$B$5)),"원인분석 대상","일반"))</x:f>
      </x:c>
      <x:c r="I897" s="73" t="str">
        <x:f>IF(A897="","",IF(H897="원인분석 대상","세부원인분석 시트에서 거래별 원인을 검토","-"))</x:f>
      </x:c>
      <x:c r="J897" s="73" t="str">
        <x:f>IF(A897="","",COUNTIFS('전기원장'!$A$5:$A$1004,A897,'전기원장'!$J$5:$J$1004,"확인 필요")+COUNTIFS('당기원장'!$A$5:$A$1004,A897,'당기원장'!$J$5:$J$1004,"확인 필요"))</x:f>
      </x:c>
      <x:c r="K897" s="85" t="str">
        <x:f>IF(A897="","",IF(H897&lt;&gt;"원인분석 대상","",IF(J897&gt;0,"붙임 문서 확인 후 원인 확정 필요","결의서명 기반 원인분류 검토")))</x:f>
      </x:c>
    </x:row>
    <x:row r="898">
      <x:c r="A898" s="73" t="str">
        <x:f>IFERROR(INDEX('계산도우미'!$B$5:$B$2004,MATCH(ROWS($A$5:A898),'계산도우미'!$K$5:$K$2004,0)),"")</x:f>
      </x:c>
      <x:c r="B898" s="73" t="str">
        <x:f>IF(A898="","",IFERROR(INDEX('당기원장'!$B$5:$B$1004,MATCH(A898,'당기원장'!$A$5:$A$1004,0)),IFERROR(INDEX('전기원장'!$B$5:$B$1004,MATCH(A898,'전기원장'!$A$5:$A$1004,0)),"")))</x:f>
      </x:c>
      <x:c r="C898" s="75" t="str">
        <x:f>IF(A898="","",SUMIF('전기원장'!$A$5:$A$1004,A898,'전기원장'!$H$5:$H$1004))</x:f>
      </x:c>
      <x:c r="D898" s="75" t="str">
        <x:f>IF(A898="","",SUMIF('당기원장'!$A$5:$A$1004,A898,'당기원장'!$H$5:$H$1004))</x:f>
      </x:c>
      <x:c r="E898" s="75" t="str">
        <x:f>IF(A898="","",D898-C898)</x:f>
      </x:c>
      <x:c r="F898" s="88" t="str">
        <x:f>IF(A898="","",IF(C898=0,IF(D898=0,0,1),ABS(E898)/ABS(C898)))</x:f>
      </x:c>
      <x:c r="G898" s="73" t="str">
        <x:f>IF(A898="","",IF(AND(C898=0,D898&lt;&gt;0),"신규",IF(AND(C898&lt;&gt;0,D898=0),"소멸",IF(E898=0,"변동없음","금액변동"))))</x:f>
      </x:c>
      <x:c r="H898" s="73" t="str">
        <x:f>IF(A898="","",IF(AND(ABS(E898)&gt;='기준설정'!$B$6,OR(G898="신규",G898="소멸",F898&gt;='기준설정'!$B$5)),"원인분석 대상","일반"))</x:f>
      </x:c>
      <x:c r="I898" s="73" t="str">
        <x:f>IF(A898="","",IF(H898="원인분석 대상","세부원인분석 시트에서 거래별 원인을 검토","-"))</x:f>
      </x:c>
      <x:c r="J898" s="73" t="str">
        <x:f>IF(A898="","",COUNTIFS('전기원장'!$A$5:$A$1004,A898,'전기원장'!$J$5:$J$1004,"확인 필요")+COUNTIFS('당기원장'!$A$5:$A$1004,A898,'당기원장'!$J$5:$J$1004,"확인 필요"))</x:f>
      </x:c>
      <x:c r="K898" s="85" t="str">
        <x:f>IF(A898="","",IF(H898&lt;&gt;"원인분석 대상","",IF(J898&gt;0,"붙임 문서 확인 후 원인 확정 필요","결의서명 기반 원인분류 검토")))</x:f>
      </x:c>
    </x:row>
    <x:row r="899">
      <x:c r="A899" s="73" t="str">
        <x:f>IFERROR(INDEX('계산도우미'!$B$5:$B$2004,MATCH(ROWS($A$5:A899),'계산도우미'!$K$5:$K$2004,0)),"")</x:f>
      </x:c>
      <x:c r="B899" s="73" t="str">
        <x:f>IF(A899="","",IFERROR(INDEX('당기원장'!$B$5:$B$1004,MATCH(A899,'당기원장'!$A$5:$A$1004,0)),IFERROR(INDEX('전기원장'!$B$5:$B$1004,MATCH(A899,'전기원장'!$A$5:$A$1004,0)),"")))</x:f>
      </x:c>
      <x:c r="C899" s="75" t="str">
        <x:f>IF(A899="","",SUMIF('전기원장'!$A$5:$A$1004,A899,'전기원장'!$H$5:$H$1004))</x:f>
      </x:c>
      <x:c r="D899" s="75" t="str">
        <x:f>IF(A899="","",SUMIF('당기원장'!$A$5:$A$1004,A899,'당기원장'!$H$5:$H$1004))</x:f>
      </x:c>
      <x:c r="E899" s="75" t="str">
        <x:f>IF(A899="","",D899-C899)</x:f>
      </x:c>
      <x:c r="F899" s="88" t="str">
        <x:f>IF(A899="","",IF(C899=0,IF(D899=0,0,1),ABS(E899)/ABS(C899)))</x:f>
      </x:c>
      <x:c r="G899" s="73" t="str">
        <x:f>IF(A899="","",IF(AND(C899=0,D899&lt;&gt;0),"신규",IF(AND(C899&lt;&gt;0,D899=0),"소멸",IF(E899=0,"변동없음","금액변동"))))</x:f>
      </x:c>
      <x:c r="H899" s="73" t="str">
        <x:f>IF(A899="","",IF(AND(ABS(E899)&gt;='기준설정'!$B$6,OR(G899="신규",G899="소멸",F899&gt;='기준설정'!$B$5)),"원인분석 대상","일반"))</x:f>
      </x:c>
      <x:c r="I899" s="73" t="str">
        <x:f>IF(A899="","",IF(H899="원인분석 대상","세부원인분석 시트에서 거래별 원인을 검토","-"))</x:f>
      </x:c>
      <x:c r="J899" s="73" t="str">
        <x:f>IF(A899="","",COUNTIFS('전기원장'!$A$5:$A$1004,A899,'전기원장'!$J$5:$J$1004,"확인 필요")+COUNTIFS('당기원장'!$A$5:$A$1004,A899,'당기원장'!$J$5:$J$1004,"확인 필요"))</x:f>
      </x:c>
      <x:c r="K899" s="85" t="str">
        <x:f>IF(A899="","",IF(H899&lt;&gt;"원인분석 대상","",IF(J899&gt;0,"붙임 문서 확인 후 원인 확정 필요","결의서명 기반 원인분류 검토")))</x:f>
      </x:c>
    </x:row>
    <x:row r="900">
      <x:c r="A900" s="73" t="str">
        <x:f>IFERROR(INDEX('계산도우미'!$B$5:$B$2004,MATCH(ROWS($A$5:A900),'계산도우미'!$K$5:$K$2004,0)),"")</x:f>
      </x:c>
      <x:c r="B900" s="73" t="str">
        <x:f>IF(A900="","",IFERROR(INDEX('당기원장'!$B$5:$B$1004,MATCH(A900,'당기원장'!$A$5:$A$1004,0)),IFERROR(INDEX('전기원장'!$B$5:$B$1004,MATCH(A900,'전기원장'!$A$5:$A$1004,0)),"")))</x:f>
      </x:c>
      <x:c r="C900" s="75" t="str">
        <x:f>IF(A900="","",SUMIF('전기원장'!$A$5:$A$1004,A900,'전기원장'!$H$5:$H$1004))</x:f>
      </x:c>
      <x:c r="D900" s="75" t="str">
        <x:f>IF(A900="","",SUMIF('당기원장'!$A$5:$A$1004,A900,'당기원장'!$H$5:$H$1004))</x:f>
      </x:c>
      <x:c r="E900" s="75" t="str">
        <x:f>IF(A900="","",D900-C900)</x:f>
      </x:c>
      <x:c r="F900" s="88" t="str">
        <x:f>IF(A900="","",IF(C900=0,IF(D900=0,0,1),ABS(E900)/ABS(C900)))</x:f>
      </x:c>
      <x:c r="G900" s="73" t="str">
        <x:f>IF(A900="","",IF(AND(C900=0,D900&lt;&gt;0),"신규",IF(AND(C900&lt;&gt;0,D900=0),"소멸",IF(E900=0,"변동없음","금액변동"))))</x:f>
      </x:c>
      <x:c r="H900" s="73" t="str">
        <x:f>IF(A900="","",IF(AND(ABS(E900)&gt;='기준설정'!$B$6,OR(G900="신규",G900="소멸",F900&gt;='기준설정'!$B$5)),"원인분석 대상","일반"))</x:f>
      </x:c>
      <x:c r="I900" s="73" t="str">
        <x:f>IF(A900="","",IF(H900="원인분석 대상","세부원인분석 시트에서 거래별 원인을 검토","-"))</x:f>
      </x:c>
      <x:c r="J900" s="73" t="str">
        <x:f>IF(A900="","",COUNTIFS('전기원장'!$A$5:$A$1004,A900,'전기원장'!$J$5:$J$1004,"확인 필요")+COUNTIFS('당기원장'!$A$5:$A$1004,A900,'당기원장'!$J$5:$J$1004,"확인 필요"))</x:f>
      </x:c>
      <x:c r="K900" s="85" t="str">
        <x:f>IF(A900="","",IF(H900&lt;&gt;"원인분석 대상","",IF(J900&gt;0,"붙임 문서 확인 후 원인 확정 필요","결의서명 기반 원인분류 검토")))</x:f>
      </x:c>
    </x:row>
    <x:row r="901">
      <x:c r="A901" s="73" t="str">
        <x:f>IFERROR(INDEX('계산도우미'!$B$5:$B$2004,MATCH(ROWS($A$5:A901),'계산도우미'!$K$5:$K$2004,0)),"")</x:f>
      </x:c>
      <x:c r="B901" s="73" t="str">
        <x:f>IF(A901="","",IFERROR(INDEX('당기원장'!$B$5:$B$1004,MATCH(A901,'당기원장'!$A$5:$A$1004,0)),IFERROR(INDEX('전기원장'!$B$5:$B$1004,MATCH(A901,'전기원장'!$A$5:$A$1004,0)),"")))</x:f>
      </x:c>
      <x:c r="C901" s="75" t="str">
        <x:f>IF(A901="","",SUMIF('전기원장'!$A$5:$A$1004,A901,'전기원장'!$H$5:$H$1004))</x:f>
      </x:c>
      <x:c r="D901" s="75" t="str">
        <x:f>IF(A901="","",SUMIF('당기원장'!$A$5:$A$1004,A901,'당기원장'!$H$5:$H$1004))</x:f>
      </x:c>
      <x:c r="E901" s="75" t="str">
        <x:f>IF(A901="","",D901-C901)</x:f>
      </x:c>
      <x:c r="F901" s="88" t="str">
        <x:f>IF(A901="","",IF(C901=0,IF(D901=0,0,1),ABS(E901)/ABS(C901)))</x:f>
      </x:c>
      <x:c r="G901" s="73" t="str">
        <x:f>IF(A901="","",IF(AND(C901=0,D901&lt;&gt;0),"신규",IF(AND(C901&lt;&gt;0,D901=0),"소멸",IF(E901=0,"변동없음","금액변동"))))</x:f>
      </x:c>
      <x:c r="H901" s="73" t="str">
        <x:f>IF(A901="","",IF(AND(ABS(E901)&gt;='기준설정'!$B$6,OR(G901="신규",G901="소멸",F901&gt;='기준설정'!$B$5)),"원인분석 대상","일반"))</x:f>
      </x:c>
      <x:c r="I901" s="73" t="str">
        <x:f>IF(A901="","",IF(H901="원인분석 대상","세부원인분석 시트에서 거래별 원인을 검토","-"))</x:f>
      </x:c>
      <x:c r="J901" s="73" t="str">
        <x:f>IF(A901="","",COUNTIFS('전기원장'!$A$5:$A$1004,A901,'전기원장'!$J$5:$J$1004,"확인 필요")+COUNTIFS('당기원장'!$A$5:$A$1004,A901,'당기원장'!$J$5:$J$1004,"확인 필요"))</x:f>
      </x:c>
      <x:c r="K901" s="85" t="str">
        <x:f>IF(A901="","",IF(H901&lt;&gt;"원인분석 대상","",IF(J901&gt;0,"붙임 문서 확인 후 원인 확정 필요","결의서명 기반 원인분류 검토")))</x:f>
      </x:c>
    </x:row>
    <x:row r="902">
      <x:c r="A902" s="73" t="str">
        <x:f>IFERROR(INDEX('계산도우미'!$B$5:$B$2004,MATCH(ROWS($A$5:A902),'계산도우미'!$K$5:$K$2004,0)),"")</x:f>
      </x:c>
      <x:c r="B902" s="73" t="str">
        <x:f>IF(A902="","",IFERROR(INDEX('당기원장'!$B$5:$B$1004,MATCH(A902,'당기원장'!$A$5:$A$1004,0)),IFERROR(INDEX('전기원장'!$B$5:$B$1004,MATCH(A902,'전기원장'!$A$5:$A$1004,0)),"")))</x:f>
      </x:c>
      <x:c r="C902" s="75" t="str">
        <x:f>IF(A902="","",SUMIF('전기원장'!$A$5:$A$1004,A902,'전기원장'!$H$5:$H$1004))</x:f>
      </x:c>
      <x:c r="D902" s="75" t="str">
        <x:f>IF(A902="","",SUMIF('당기원장'!$A$5:$A$1004,A902,'당기원장'!$H$5:$H$1004))</x:f>
      </x:c>
      <x:c r="E902" s="75" t="str">
        <x:f>IF(A902="","",D902-C902)</x:f>
      </x:c>
      <x:c r="F902" s="88" t="str">
        <x:f>IF(A902="","",IF(C902=0,IF(D902=0,0,1),ABS(E902)/ABS(C902)))</x:f>
      </x:c>
      <x:c r="G902" s="73" t="str">
        <x:f>IF(A902="","",IF(AND(C902=0,D902&lt;&gt;0),"신규",IF(AND(C902&lt;&gt;0,D902=0),"소멸",IF(E902=0,"변동없음","금액변동"))))</x:f>
      </x:c>
      <x:c r="H902" s="73" t="str">
        <x:f>IF(A902="","",IF(AND(ABS(E902)&gt;='기준설정'!$B$6,OR(G902="신규",G902="소멸",F902&gt;='기준설정'!$B$5)),"원인분석 대상","일반"))</x:f>
      </x:c>
      <x:c r="I902" s="73" t="str">
        <x:f>IF(A902="","",IF(H902="원인분석 대상","세부원인분석 시트에서 거래별 원인을 검토","-"))</x:f>
      </x:c>
      <x:c r="J902" s="73" t="str">
        <x:f>IF(A902="","",COUNTIFS('전기원장'!$A$5:$A$1004,A902,'전기원장'!$J$5:$J$1004,"확인 필요")+COUNTIFS('당기원장'!$A$5:$A$1004,A902,'당기원장'!$J$5:$J$1004,"확인 필요"))</x:f>
      </x:c>
      <x:c r="K902" s="85" t="str">
        <x:f>IF(A902="","",IF(H902&lt;&gt;"원인분석 대상","",IF(J902&gt;0,"붙임 문서 확인 후 원인 확정 필요","결의서명 기반 원인분류 검토")))</x:f>
      </x:c>
    </x:row>
    <x:row r="903">
      <x:c r="A903" s="73" t="str">
        <x:f>IFERROR(INDEX('계산도우미'!$B$5:$B$2004,MATCH(ROWS($A$5:A903),'계산도우미'!$K$5:$K$2004,0)),"")</x:f>
      </x:c>
      <x:c r="B903" s="73" t="str">
        <x:f>IF(A903="","",IFERROR(INDEX('당기원장'!$B$5:$B$1004,MATCH(A903,'당기원장'!$A$5:$A$1004,0)),IFERROR(INDEX('전기원장'!$B$5:$B$1004,MATCH(A903,'전기원장'!$A$5:$A$1004,0)),"")))</x:f>
      </x:c>
      <x:c r="C903" s="75" t="str">
        <x:f>IF(A903="","",SUMIF('전기원장'!$A$5:$A$1004,A903,'전기원장'!$H$5:$H$1004))</x:f>
      </x:c>
      <x:c r="D903" s="75" t="str">
        <x:f>IF(A903="","",SUMIF('당기원장'!$A$5:$A$1004,A903,'당기원장'!$H$5:$H$1004))</x:f>
      </x:c>
      <x:c r="E903" s="75" t="str">
        <x:f>IF(A903="","",D903-C903)</x:f>
      </x:c>
      <x:c r="F903" s="88" t="str">
        <x:f>IF(A903="","",IF(C903=0,IF(D903=0,0,1),ABS(E903)/ABS(C903)))</x:f>
      </x:c>
      <x:c r="G903" s="73" t="str">
        <x:f>IF(A903="","",IF(AND(C903=0,D903&lt;&gt;0),"신규",IF(AND(C903&lt;&gt;0,D903=0),"소멸",IF(E903=0,"변동없음","금액변동"))))</x:f>
      </x:c>
      <x:c r="H903" s="73" t="str">
        <x:f>IF(A903="","",IF(AND(ABS(E903)&gt;='기준설정'!$B$6,OR(G903="신규",G903="소멸",F903&gt;='기준설정'!$B$5)),"원인분석 대상","일반"))</x:f>
      </x:c>
      <x:c r="I903" s="73" t="str">
        <x:f>IF(A903="","",IF(H903="원인분석 대상","세부원인분석 시트에서 거래별 원인을 검토","-"))</x:f>
      </x:c>
      <x:c r="J903" s="73" t="str">
        <x:f>IF(A903="","",COUNTIFS('전기원장'!$A$5:$A$1004,A903,'전기원장'!$J$5:$J$1004,"확인 필요")+COUNTIFS('당기원장'!$A$5:$A$1004,A903,'당기원장'!$J$5:$J$1004,"확인 필요"))</x:f>
      </x:c>
      <x:c r="K903" s="85" t="str">
        <x:f>IF(A903="","",IF(H903&lt;&gt;"원인분석 대상","",IF(J903&gt;0,"붙임 문서 확인 후 원인 확정 필요","결의서명 기반 원인분류 검토")))</x:f>
      </x:c>
    </x:row>
    <x:row r="904">
      <x:c r="A904" s="73" t="str">
        <x:f>IFERROR(INDEX('계산도우미'!$B$5:$B$2004,MATCH(ROWS($A$5:A904),'계산도우미'!$K$5:$K$2004,0)),"")</x:f>
      </x:c>
      <x:c r="B904" s="73" t="str">
        <x:f>IF(A904="","",IFERROR(INDEX('당기원장'!$B$5:$B$1004,MATCH(A904,'당기원장'!$A$5:$A$1004,0)),IFERROR(INDEX('전기원장'!$B$5:$B$1004,MATCH(A904,'전기원장'!$A$5:$A$1004,0)),"")))</x:f>
      </x:c>
      <x:c r="C904" s="75" t="str">
        <x:f>IF(A904="","",SUMIF('전기원장'!$A$5:$A$1004,A904,'전기원장'!$H$5:$H$1004))</x:f>
      </x:c>
      <x:c r="D904" s="75" t="str">
        <x:f>IF(A904="","",SUMIF('당기원장'!$A$5:$A$1004,A904,'당기원장'!$H$5:$H$1004))</x:f>
      </x:c>
      <x:c r="E904" s="75" t="str">
        <x:f>IF(A904="","",D904-C904)</x:f>
      </x:c>
      <x:c r="F904" s="88" t="str">
        <x:f>IF(A904="","",IF(C904=0,IF(D904=0,0,1),ABS(E904)/ABS(C904)))</x:f>
      </x:c>
      <x:c r="G904" s="73" t="str">
        <x:f>IF(A904="","",IF(AND(C904=0,D904&lt;&gt;0),"신규",IF(AND(C904&lt;&gt;0,D904=0),"소멸",IF(E904=0,"변동없음","금액변동"))))</x:f>
      </x:c>
      <x:c r="H904" s="73" t="str">
        <x:f>IF(A904="","",IF(AND(ABS(E904)&gt;='기준설정'!$B$6,OR(G904="신규",G904="소멸",F904&gt;='기준설정'!$B$5)),"원인분석 대상","일반"))</x:f>
      </x:c>
      <x:c r="I904" s="73" t="str">
        <x:f>IF(A904="","",IF(H904="원인분석 대상","세부원인분석 시트에서 거래별 원인을 검토","-"))</x:f>
      </x:c>
      <x:c r="J904" s="73" t="str">
        <x:f>IF(A904="","",COUNTIFS('전기원장'!$A$5:$A$1004,A904,'전기원장'!$J$5:$J$1004,"확인 필요")+COUNTIFS('당기원장'!$A$5:$A$1004,A904,'당기원장'!$J$5:$J$1004,"확인 필요"))</x:f>
      </x:c>
      <x:c r="K904" s="85" t="str">
        <x:f>IF(A904="","",IF(H904&lt;&gt;"원인분석 대상","",IF(J904&gt;0,"붙임 문서 확인 후 원인 확정 필요","결의서명 기반 원인분류 검토")))</x:f>
      </x:c>
    </x:row>
    <x:row r="905">
      <x:c r="A905" s="73" t="str">
        <x:f>IFERROR(INDEX('계산도우미'!$B$5:$B$2004,MATCH(ROWS($A$5:A905),'계산도우미'!$K$5:$K$2004,0)),"")</x:f>
      </x:c>
      <x:c r="B905" s="73" t="str">
        <x:f>IF(A905="","",IFERROR(INDEX('당기원장'!$B$5:$B$1004,MATCH(A905,'당기원장'!$A$5:$A$1004,0)),IFERROR(INDEX('전기원장'!$B$5:$B$1004,MATCH(A905,'전기원장'!$A$5:$A$1004,0)),"")))</x:f>
      </x:c>
      <x:c r="C905" s="75" t="str">
        <x:f>IF(A905="","",SUMIF('전기원장'!$A$5:$A$1004,A905,'전기원장'!$H$5:$H$1004))</x:f>
      </x:c>
      <x:c r="D905" s="75" t="str">
        <x:f>IF(A905="","",SUMIF('당기원장'!$A$5:$A$1004,A905,'당기원장'!$H$5:$H$1004))</x:f>
      </x:c>
      <x:c r="E905" s="75" t="str">
        <x:f>IF(A905="","",D905-C905)</x:f>
      </x:c>
      <x:c r="F905" s="88" t="str">
        <x:f>IF(A905="","",IF(C905=0,IF(D905=0,0,1),ABS(E905)/ABS(C905)))</x:f>
      </x:c>
      <x:c r="G905" s="73" t="str">
        <x:f>IF(A905="","",IF(AND(C905=0,D905&lt;&gt;0),"신규",IF(AND(C905&lt;&gt;0,D905=0),"소멸",IF(E905=0,"변동없음","금액변동"))))</x:f>
      </x:c>
      <x:c r="H905" s="73" t="str">
        <x:f>IF(A905="","",IF(AND(ABS(E905)&gt;='기준설정'!$B$6,OR(G905="신규",G905="소멸",F905&gt;='기준설정'!$B$5)),"원인분석 대상","일반"))</x:f>
      </x:c>
      <x:c r="I905" s="73" t="str">
        <x:f>IF(A905="","",IF(H905="원인분석 대상","세부원인분석 시트에서 거래별 원인을 검토","-"))</x:f>
      </x:c>
      <x:c r="J905" s="73" t="str">
        <x:f>IF(A905="","",COUNTIFS('전기원장'!$A$5:$A$1004,A905,'전기원장'!$J$5:$J$1004,"확인 필요")+COUNTIFS('당기원장'!$A$5:$A$1004,A905,'당기원장'!$J$5:$J$1004,"확인 필요"))</x:f>
      </x:c>
      <x:c r="K905" s="85" t="str">
        <x:f>IF(A905="","",IF(H905&lt;&gt;"원인분석 대상","",IF(J905&gt;0,"붙임 문서 확인 후 원인 확정 필요","결의서명 기반 원인분류 검토")))</x:f>
      </x:c>
    </x:row>
    <x:row r="906">
      <x:c r="A906" s="73" t="str">
        <x:f>IFERROR(INDEX('계산도우미'!$B$5:$B$2004,MATCH(ROWS($A$5:A906),'계산도우미'!$K$5:$K$2004,0)),"")</x:f>
      </x:c>
      <x:c r="B906" s="73" t="str">
        <x:f>IF(A906="","",IFERROR(INDEX('당기원장'!$B$5:$B$1004,MATCH(A906,'당기원장'!$A$5:$A$1004,0)),IFERROR(INDEX('전기원장'!$B$5:$B$1004,MATCH(A906,'전기원장'!$A$5:$A$1004,0)),"")))</x:f>
      </x:c>
      <x:c r="C906" s="75" t="str">
        <x:f>IF(A906="","",SUMIF('전기원장'!$A$5:$A$1004,A906,'전기원장'!$H$5:$H$1004))</x:f>
      </x:c>
      <x:c r="D906" s="75" t="str">
        <x:f>IF(A906="","",SUMIF('당기원장'!$A$5:$A$1004,A906,'당기원장'!$H$5:$H$1004))</x:f>
      </x:c>
      <x:c r="E906" s="75" t="str">
        <x:f>IF(A906="","",D906-C906)</x:f>
      </x:c>
      <x:c r="F906" s="88" t="str">
        <x:f>IF(A906="","",IF(C906=0,IF(D906=0,0,1),ABS(E906)/ABS(C906)))</x:f>
      </x:c>
      <x:c r="G906" s="73" t="str">
        <x:f>IF(A906="","",IF(AND(C906=0,D906&lt;&gt;0),"신규",IF(AND(C906&lt;&gt;0,D906=0),"소멸",IF(E906=0,"변동없음","금액변동"))))</x:f>
      </x:c>
      <x:c r="H906" s="73" t="str">
        <x:f>IF(A906="","",IF(AND(ABS(E906)&gt;='기준설정'!$B$6,OR(G906="신규",G906="소멸",F906&gt;='기준설정'!$B$5)),"원인분석 대상","일반"))</x:f>
      </x:c>
      <x:c r="I906" s="73" t="str">
        <x:f>IF(A906="","",IF(H906="원인분석 대상","세부원인분석 시트에서 거래별 원인을 검토","-"))</x:f>
      </x:c>
      <x:c r="J906" s="73" t="str">
        <x:f>IF(A906="","",COUNTIFS('전기원장'!$A$5:$A$1004,A906,'전기원장'!$J$5:$J$1004,"확인 필요")+COUNTIFS('당기원장'!$A$5:$A$1004,A906,'당기원장'!$J$5:$J$1004,"확인 필요"))</x:f>
      </x:c>
      <x:c r="K906" s="85" t="str">
        <x:f>IF(A906="","",IF(H906&lt;&gt;"원인분석 대상","",IF(J906&gt;0,"붙임 문서 확인 후 원인 확정 필요","결의서명 기반 원인분류 검토")))</x:f>
      </x:c>
    </x:row>
    <x:row r="907">
      <x:c r="A907" s="73" t="str">
        <x:f>IFERROR(INDEX('계산도우미'!$B$5:$B$2004,MATCH(ROWS($A$5:A907),'계산도우미'!$K$5:$K$2004,0)),"")</x:f>
      </x:c>
      <x:c r="B907" s="73" t="str">
        <x:f>IF(A907="","",IFERROR(INDEX('당기원장'!$B$5:$B$1004,MATCH(A907,'당기원장'!$A$5:$A$1004,0)),IFERROR(INDEX('전기원장'!$B$5:$B$1004,MATCH(A907,'전기원장'!$A$5:$A$1004,0)),"")))</x:f>
      </x:c>
      <x:c r="C907" s="75" t="str">
        <x:f>IF(A907="","",SUMIF('전기원장'!$A$5:$A$1004,A907,'전기원장'!$H$5:$H$1004))</x:f>
      </x:c>
      <x:c r="D907" s="75" t="str">
        <x:f>IF(A907="","",SUMIF('당기원장'!$A$5:$A$1004,A907,'당기원장'!$H$5:$H$1004))</x:f>
      </x:c>
      <x:c r="E907" s="75" t="str">
        <x:f>IF(A907="","",D907-C907)</x:f>
      </x:c>
      <x:c r="F907" s="88" t="str">
        <x:f>IF(A907="","",IF(C907=0,IF(D907=0,0,1),ABS(E907)/ABS(C907)))</x:f>
      </x:c>
      <x:c r="G907" s="73" t="str">
        <x:f>IF(A907="","",IF(AND(C907=0,D907&lt;&gt;0),"신규",IF(AND(C907&lt;&gt;0,D907=0),"소멸",IF(E907=0,"변동없음","금액변동"))))</x:f>
      </x:c>
      <x:c r="H907" s="73" t="str">
        <x:f>IF(A907="","",IF(AND(ABS(E907)&gt;='기준설정'!$B$6,OR(G907="신규",G907="소멸",F907&gt;='기준설정'!$B$5)),"원인분석 대상","일반"))</x:f>
      </x:c>
      <x:c r="I907" s="73" t="str">
        <x:f>IF(A907="","",IF(H907="원인분석 대상","세부원인분석 시트에서 거래별 원인을 검토","-"))</x:f>
      </x:c>
      <x:c r="J907" s="73" t="str">
        <x:f>IF(A907="","",COUNTIFS('전기원장'!$A$5:$A$1004,A907,'전기원장'!$J$5:$J$1004,"확인 필요")+COUNTIFS('당기원장'!$A$5:$A$1004,A907,'당기원장'!$J$5:$J$1004,"확인 필요"))</x:f>
      </x:c>
      <x:c r="K907" s="85" t="str">
        <x:f>IF(A907="","",IF(H907&lt;&gt;"원인분석 대상","",IF(J907&gt;0,"붙임 문서 확인 후 원인 확정 필요","결의서명 기반 원인분류 검토")))</x:f>
      </x:c>
    </x:row>
    <x:row r="908">
      <x:c r="A908" s="73" t="str">
        <x:f>IFERROR(INDEX('계산도우미'!$B$5:$B$2004,MATCH(ROWS($A$5:A908),'계산도우미'!$K$5:$K$2004,0)),"")</x:f>
      </x:c>
      <x:c r="B908" s="73" t="str">
        <x:f>IF(A908="","",IFERROR(INDEX('당기원장'!$B$5:$B$1004,MATCH(A908,'당기원장'!$A$5:$A$1004,0)),IFERROR(INDEX('전기원장'!$B$5:$B$1004,MATCH(A908,'전기원장'!$A$5:$A$1004,0)),"")))</x:f>
      </x:c>
      <x:c r="C908" s="75" t="str">
        <x:f>IF(A908="","",SUMIF('전기원장'!$A$5:$A$1004,A908,'전기원장'!$H$5:$H$1004))</x:f>
      </x:c>
      <x:c r="D908" s="75" t="str">
        <x:f>IF(A908="","",SUMIF('당기원장'!$A$5:$A$1004,A908,'당기원장'!$H$5:$H$1004))</x:f>
      </x:c>
      <x:c r="E908" s="75" t="str">
        <x:f>IF(A908="","",D908-C908)</x:f>
      </x:c>
      <x:c r="F908" s="88" t="str">
        <x:f>IF(A908="","",IF(C908=0,IF(D908=0,0,1),ABS(E908)/ABS(C908)))</x:f>
      </x:c>
      <x:c r="G908" s="73" t="str">
        <x:f>IF(A908="","",IF(AND(C908=0,D908&lt;&gt;0),"신규",IF(AND(C908&lt;&gt;0,D908=0),"소멸",IF(E908=0,"변동없음","금액변동"))))</x:f>
      </x:c>
      <x:c r="H908" s="73" t="str">
        <x:f>IF(A908="","",IF(AND(ABS(E908)&gt;='기준설정'!$B$6,OR(G908="신규",G908="소멸",F908&gt;='기준설정'!$B$5)),"원인분석 대상","일반"))</x:f>
      </x:c>
      <x:c r="I908" s="73" t="str">
        <x:f>IF(A908="","",IF(H908="원인분석 대상","세부원인분석 시트에서 거래별 원인을 검토","-"))</x:f>
      </x:c>
      <x:c r="J908" s="73" t="str">
        <x:f>IF(A908="","",COUNTIFS('전기원장'!$A$5:$A$1004,A908,'전기원장'!$J$5:$J$1004,"확인 필요")+COUNTIFS('당기원장'!$A$5:$A$1004,A908,'당기원장'!$J$5:$J$1004,"확인 필요"))</x:f>
      </x:c>
      <x:c r="K908" s="85" t="str">
        <x:f>IF(A908="","",IF(H908&lt;&gt;"원인분석 대상","",IF(J908&gt;0,"붙임 문서 확인 후 원인 확정 필요","결의서명 기반 원인분류 검토")))</x:f>
      </x:c>
    </x:row>
    <x:row r="909">
      <x:c r="A909" s="73" t="str">
        <x:f>IFERROR(INDEX('계산도우미'!$B$5:$B$2004,MATCH(ROWS($A$5:A909),'계산도우미'!$K$5:$K$2004,0)),"")</x:f>
      </x:c>
      <x:c r="B909" s="73" t="str">
        <x:f>IF(A909="","",IFERROR(INDEX('당기원장'!$B$5:$B$1004,MATCH(A909,'당기원장'!$A$5:$A$1004,0)),IFERROR(INDEX('전기원장'!$B$5:$B$1004,MATCH(A909,'전기원장'!$A$5:$A$1004,0)),"")))</x:f>
      </x:c>
      <x:c r="C909" s="75" t="str">
        <x:f>IF(A909="","",SUMIF('전기원장'!$A$5:$A$1004,A909,'전기원장'!$H$5:$H$1004))</x:f>
      </x:c>
      <x:c r="D909" s="75" t="str">
        <x:f>IF(A909="","",SUMIF('당기원장'!$A$5:$A$1004,A909,'당기원장'!$H$5:$H$1004))</x:f>
      </x:c>
      <x:c r="E909" s="75" t="str">
        <x:f>IF(A909="","",D909-C909)</x:f>
      </x:c>
      <x:c r="F909" s="88" t="str">
        <x:f>IF(A909="","",IF(C909=0,IF(D909=0,0,1),ABS(E909)/ABS(C909)))</x:f>
      </x:c>
      <x:c r="G909" s="73" t="str">
        <x:f>IF(A909="","",IF(AND(C909=0,D909&lt;&gt;0),"신규",IF(AND(C909&lt;&gt;0,D909=0),"소멸",IF(E909=0,"변동없음","금액변동"))))</x:f>
      </x:c>
      <x:c r="H909" s="73" t="str">
        <x:f>IF(A909="","",IF(AND(ABS(E909)&gt;='기준설정'!$B$6,OR(G909="신규",G909="소멸",F909&gt;='기준설정'!$B$5)),"원인분석 대상","일반"))</x:f>
      </x:c>
      <x:c r="I909" s="73" t="str">
        <x:f>IF(A909="","",IF(H909="원인분석 대상","세부원인분석 시트에서 거래별 원인을 검토","-"))</x:f>
      </x:c>
      <x:c r="J909" s="73" t="str">
        <x:f>IF(A909="","",COUNTIFS('전기원장'!$A$5:$A$1004,A909,'전기원장'!$J$5:$J$1004,"확인 필요")+COUNTIFS('당기원장'!$A$5:$A$1004,A909,'당기원장'!$J$5:$J$1004,"확인 필요"))</x:f>
      </x:c>
      <x:c r="K909" s="85" t="str">
        <x:f>IF(A909="","",IF(H909&lt;&gt;"원인분석 대상","",IF(J909&gt;0,"붙임 문서 확인 후 원인 확정 필요","결의서명 기반 원인분류 검토")))</x:f>
      </x:c>
    </x:row>
    <x:row r="910">
      <x:c r="A910" s="73" t="str">
        <x:f>IFERROR(INDEX('계산도우미'!$B$5:$B$2004,MATCH(ROWS($A$5:A910),'계산도우미'!$K$5:$K$2004,0)),"")</x:f>
      </x:c>
      <x:c r="B910" s="73" t="str">
        <x:f>IF(A910="","",IFERROR(INDEX('당기원장'!$B$5:$B$1004,MATCH(A910,'당기원장'!$A$5:$A$1004,0)),IFERROR(INDEX('전기원장'!$B$5:$B$1004,MATCH(A910,'전기원장'!$A$5:$A$1004,0)),"")))</x:f>
      </x:c>
      <x:c r="C910" s="75" t="str">
        <x:f>IF(A910="","",SUMIF('전기원장'!$A$5:$A$1004,A910,'전기원장'!$H$5:$H$1004))</x:f>
      </x:c>
      <x:c r="D910" s="75" t="str">
        <x:f>IF(A910="","",SUMIF('당기원장'!$A$5:$A$1004,A910,'당기원장'!$H$5:$H$1004))</x:f>
      </x:c>
      <x:c r="E910" s="75" t="str">
        <x:f>IF(A910="","",D910-C910)</x:f>
      </x:c>
      <x:c r="F910" s="88" t="str">
        <x:f>IF(A910="","",IF(C910=0,IF(D910=0,0,1),ABS(E910)/ABS(C910)))</x:f>
      </x:c>
      <x:c r="G910" s="73" t="str">
        <x:f>IF(A910="","",IF(AND(C910=0,D910&lt;&gt;0),"신규",IF(AND(C910&lt;&gt;0,D910=0),"소멸",IF(E910=0,"변동없음","금액변동"))))</x:f>
      </x:c>
      <x:c r="H910" s="73" t="str">
        <x:f>IF(A910="","",IF(AND(ABS(E910)&gt;='기준설정'!$B$6,OR(G910="신규",G910="소멸",F910&gt;='기준설정'!$B$5)),"원인분석 대상","일반"))</x:f>
      </x:c>
      <x:c r="I910" s="73" t="str">
        <x:f>IF(A910="","",IF(H910="원인분석 대상","세부원인분석 시트에서 거래별 원인을 검토","-"))</x:f>
      </x:c>
      <x:c r="J910" s="73" t="str">
        <x:f>IF(A910="","",COUNTIFS('전기원장'!$A$5:$A$1004,A910,'전기원장'!$J$5:$J$1004,"확인 필요")+COUNTIFS('당기원장'!$A$5:$A$1004,A910,'당기원장'!$J$5:$J$1004,"확인 필요"))</x:f>
      </x:c>
      <x:c r="K910" s="85" t="str">
        <x:f>IF(A910="","",IF(H910&lt;&gt;"원인분석 대상","",IF(J910&gt;0,"붙임 문서 확인 후 원인 확정 필요","결의서명 기반 원인분류 검토")))</x:f>
      </x:c>
    </x:row>
    <x:row r="911">
      <x:c r="A911" s="73" t="str">
        <x:f>IFERROR(INDEX('계산도우미'!$B$5:$B$2004,MATCH(ROWS($A$5:A911),'계산도우미'!$K$5:$K$2004,0)),"")</x:f>
      </x:c>
      <x:c r="B911" s="73" t="str">
        <x:f>IF(A911="","",IFERROR(INDEX('당기원장'!$B$5:$B$1004,MATCH(A911,'당기원장'!$A$5:$A$1004,0)),IFERROR(INDEX('전기원장'!$B$5:$B$1004,MATCH(A911,'전기원장'!$A$5:$A$1004,0)),"")))</x:f>
      </x:c>
      <x:c r="C911" s="75" t="str">
        <x:f>IF(A911="","",SUMIF('전기원장'!$A$5:$A$1004,A911,'전기원장'!$H$5:$H$1004))</x:f>
      </x:c>
      <x:c r="D911" s="75" t="str">
        <x:f>IF(A911="","",SUMIF('당기원장'!$A$5:$A$1004,A911,'당기원장'!$H$5:$H$1004))</x:f>
      </x:c>
      <x:c r="E911" s="75" t="str">
        <x:f>IF(A911="","",D911-C911)</x:f>
      </x:c>
      <x:c r="F911" s="88" t="str">
        <x:f>IF(A911="","",IF(C911=0,IF(D911=0,0,1),ABS(E911)/ABS(C911)))</x:f>
      </x:c>
      <x:c r="G911" s="73" t="str">
        <x:f>IF(A911="","",IF(AND(C911=0,D911&lt;&gt;0),"신규",IF(AND(C911&lt;&gt;0,D911=0),"소멸",IF(E911=0,"변동없음","금액변동"))))</x:f>
      </x:c>
      <x:c r="H911" s="73" t="str">
        <x:f>IF(A911="","",IF(AND(ABS(E911)&gt;='기준설정'!$B$6,OR(G911="신규",G911="소멸",F911&gt;='기준설정'!$B$5)),"원인분석 대상","일반"))</x:f>
      </x:c>
      <x:c r="I911" s="73" t="str">
        <x:f>IF(A911="","",IF(H911="원인분석 대상","세부원인분석 시트에서 거래별 원인을 검토","-"))</x:f>
      </x:c>
      <x:c r="J911" s="73" t="str">
        <x:f>IF(A911="","",COUNTIFS('전기원장'!$A$5:$A$1004,A911,'전기원장'!$J$5:$J$1004,"확인 필요")+COUNTIFS('당기원장'!$A$5:$A$1004,A911,'당기원장'!$J$5:$J$1004,"확인 필요"))</x:f>
      </x:c>
      <x:c r="K911" s="85" t="str">
        <x:f>IF(A911="","",IF(H911&lt;&gt;"원인분석 대상","",IF(J911&gt;0,"붙임 문서 확인 후 원인 확정 필요","결의서명 기반 원인분류 검토")))</x:f>
      </x:c>
    </x:row>
    <x:row r="912">
      <x:c r="A912" s="73" t="str">
        <x:f>IFERROR(INDEX('계산도우미'!$B$5:$B$2004,MATCH(ROWS($A$5:A912),'계산도우미'!$K$5:$K$2004,0)),"")</x:f>
      </x:c>
      <x:c r="B912" s="73" t="str">
        <x:f>IF(A912="","",IFERROR(INDEX('당기원장'!$B$5:$B$1004,MATCH(A912,'당기원장'!$A$5:$A$1004,0)),IFERROR(INDEX('전기원장'!$B$5:$B$1004,MATCH(A912,'전기원장'!$A$5:$A$1004,0)),"")))</x:f>
      </x:c>
      <x:c r="C912" s="75" t="str">
        <x:f>IF(A912="","",SUMIF('전기원장'!$A$5:$A$1004,A912,'전기원장'!$H$5:$H$1004))</x:f>
      </x:c>
      <x:c r="D912" s="75" t="str">
        <x:f>IF(A912="","",SUMIF('당기원장'!$A$5:$A$1004,A912,'당기원장'!$H$5:$H$1004))</x:f>
      </x:c>
      <x:c r="E912" s="75" t="str">
        <x:f>IF(A912="","",D912-C912)</x:f>
      </x:c>
      <x:c r="F912" s="88" t="str">
        <x:f>IF(A912="","",IF(C912=0,IF(D912=0,0,1),ABS(E912)/ABS(C912)))</x:f>
      </x:c>
      <x:c r="G912" s="73" t="str">
        <x:f>IF(A912="","",IF(AND(C912=0,D912&lt;&gt;0),"신규",IF(AND(C912&lt;&gt;0,D912=0),"소멸",IF(E912=0,"변동없음","금액변동"))))</x:f>
      </x:c>
      <x:c r="H912" s="73" t="str">
        <x:f>IF(A912="","",IF(AND(ABS(E912)&gt;='기준설정'!$B$6,OR(G912="신규",G912="소멸",F912&gt;='기준설정'!$B$5)),"원인분석 대상","일반"))</x:f>
      </x:c>
      <x:c r="I912" s="73" t="str">
        <x:f>IF(A912="","",IF(H912="원인분석 대상","세부원인분석 시트에서 거래별 원인을 검토","-"))</x:f>
      </x:c>
      <x:c r="J912" s="73" t="str">
        <x:f>IF(A912="","",COUNTIFS('전기원장'!$A$5:$A$1004,A912,'전기원장'!$J$5:$J$1004,"확인 필요")+COUNTIFS('당기원장'!$A$5:$A$1004,A912,'당기원장'!$J$5:$J$1004,"확인 필요"))</x:f>
      </x:c>
      <x:c r="K912" s="85" t="str">
        <x:f>IF(A912="","",IF(H912&lt;&gt;"원인분석 대상","",IF(J912&gt;0,"붙임 문서 확인 후 원인 확정 필요","결의서명 기반 원인분류 검토")))</x:f>
      </x:c>
    </x:row>
    <x:row r="913">
      <x:c r="A913" s="73" t="str">
        <x:f>IFERROR(INDEX('계산도우미'!$B$5:$B$2004,MATCH(ROWS($A$5:A913),'계산도우미'!$K$5:$K$2004,0)),"")</x:f>
      </x:c>
      <x:c r="B913" s="73" t="str">
        <x:f>IF(A913="","",IFERROR(INDEX('당기원장'!$B$5:$B$1004,MATCH(A913,'당기원장'!$A$5:$A$1004,0)),IFERROR(INDEX('전기원장'!$B$5:$B$1004,MATCH(A913,'전기원장'!$A$5:$A$1004,0)),"")))</x:f>
      </x:c>
      <x:c r="C913" s="75" t="str">
        <x:f>IF(A913="","",SUMIF('전기원장'!$A$5:$A$1004,A913,'전기원장'!$H$5:$H$1004))</x:f>
      </x:c>
      <x:c r="D913" s="75" t="str">
        <x:f>IF(A913="","",SUMIF('당기원장'!$A$5:$A$1004,A913,'당기원장'!$H$5:$H$1004))</x:f>
      </x:c>
      <x:c r="E913" s="75" t="str">
        <x:f>IF(A913="","",D913-C913)</x:f>
      </x:c>
      <x:c r="F913" s="88" t="str">
        <x:f>IF(A913="","",IF(C913=0,IF(D913=0,0,1),ABS(E913)/ABS(C913)))</x:f>
      </x:c>
      <x:c r="G913" s="73" t="str">
        <x:f>IF(A913="","",IF(AND(C913=0,D913&lt;&gt;0),"신규",IF(AND(C913&lt;&gt;0,D913=0),"소멸",IF(E913=0,"변동없음","금액변동"))))</x:f>
      </x:c>
      <x:c r="H913" s="73" t="str">
        <x:f>IF(A913="","",IF(AND(ABS(E913)&gt;='기준설정'!$B$6,OR(G913="신규",G913="소멸",F913&gt;='기준설정'!$B$5)),"원인분석 대상","일반"))</x:f>
      </x:c>
      <x:c r="I913" s="73" t="str">
        <x:f>IF(A913="","",IF(H913="원인분석 대상","세부원인분석 시트에서 거래별 원인을 검토","-"))</x:f>
      </x:c>
      <x:c r="J913" s="73" t="str">
        <x:f>IF(A913="","",COUNTIFS('전기원장'!$A$5:$A$1004,A913,'전기원장'!$J$5:$J$1004,"확인 필요")+COUNTIFS('당기원장'!$A$5:$A$1004,A913,'당기원장'!$J$5:$J$1004,"확인 필요"))</x:f>
      </x:c>
      <x:c r="K913" s="85" t="str">
        <x:f>IF(A913="","",IF(H913&lt;&gt;"원인분석 대상","",IF(J913&gt;0,"붙임 문서 확인 후 원인 확정 필요","결의서명 기반 원인분류 검토")))</x:f>
      </x:c>
    </x:row>
    <x:row r="914">
      <x:c r="A914" s="73" t="str">
        <x:f>IFERROR(INDEX('계산도우미'!$B$5:$B$2004,MATCH(ROWS($A$5:A914),'계산도우미'!$K$5:$K$2004,0)),"")</x:f>
      </x:c>
      <x:c r="B914" s="73" t="str">
        <x:f>IF(A914="","",IFERROR(INDEX('당기원장'!$B$5:$B$1004,MATCH(A914,'당기원장'!$A$5:$A$1004,0)),IFERROR(INDEX('전기원장'!$B$5:$B$1004,MATCH(A914,'전기원장'!$A$5:$A$1004,0)),"")))</x:f>
      </x:c>
      <x:c r="C914" s="75" t="str">
        <x:f>IF(A914="","",SUMIF('전기원장'!$A$5:$A$1004,A914,'전기원장'!$H$5:$H$1004))</x:f>
      </x:c>
      <x:c r="D914" s="75" t="str">
        <x:f>IF(A914="","",SUMIF('당기원장'!$A$5:$A$1004,A914,'당기원장'!$H$5:$H$1004))</x:f>
      </x:c>
      <x:c r="E914" s="75" t="str">
        <x:f>IF(A914="","",D914-C914)</x:f>
      </x:c>
      <x:c r="F914" s="88" t="str">
        <x:f>IF(A914="","",IF(C914=0,IF(D914=0,0,1),ABS(E914)/ABS(C914)))</x:f>
      </x:c>
      <x:c r="G914" s="73" t="str">
        <x:f>IF(A914="","",IF(AND(C914=0,D914&lt;&gt;0),"신규",IF(AND(C914&lt;&gt;0,D914=0),"소멸",IF(E914=0,"변동없음","금액변동"))))</x:f>
      </x:c>
      <x:c r="H914" s="73" t="str">
        <x:f>IF(A914="","",IF(AND(ABS(E914)&gt;='기준설정'!$B$6,OR(G914="신규",G914="소멸",F914&gt;='기준설정'!$B$5)),"원인분석 대상","일반"))</x:f>
      </x:c>
      <x:c r="I914" s="73" t="str">
        <x:f>IF(A914="","",IF(H914="원인분석 대상","세부원인분석 시트에서 거래별 원인을 검토","-"))</x:f>
      </x:c>
      <x:c r="J914" s="73" t="str">
        <x:f>IF(A914="","",COUNTIFS('전기원장'!$A$5:$A$1004,A914,'전기원장'!$J$5:$J$1004,"확인 필요")+COUNTIFS('당기원장'!$A$5:$A$1004,A914,'당기원장'!$J$5:$J$1004,"확인 필요"))</x:f>
      </x:c>
      <x:c r="K914" s="85" t="str">
        <x:f>IF(A914="","",IF(H914&lt;&gt;"원인분석 대상","",IF(J914&gt;0,"붙임 문서 확인 후 원인 확정 필요","결의서명 기반 원인분류 검토")))</x:f>
      </x:c>
    </x:row>
    <x:row r="915">
      <x:c r="A915" s="73" t="str">
        <x:f>IFERROR(INDEX('계산도우미'!$B$5:$B$2004,MATCH(ROWS($A$5:A915),'계산도우미'!$K$5:$K$2004,0)),"")</x:f>
      </x:c>
      <x:c r="B915" s="73" t="str">
        <x:f>IF(A915="","",IFERROR(INDEX('당기원장'!$B$5:$B$1004,MATCH(A915,'당기원장'!$A$5:$A$1004,0)),IFERROR(INDEX('전기원장'!$B$5:$B$1004,MATCH(A915,'전기원장'!$A$5:$A$1004,0)),"")))</x:f>
      </x:c>
      <x:c r="C915" s="75" t="str">
        <x:f>IF(A915="","",SUMIF('전기원장'!$A$5:$A$1004,A915,'전기원장'!$H$5:$H$1004))</x:f>
      </x:c>
      <x:c r="D915" s="75" t="str">
        <x:f>IF(A915="","",SUMIF('당기원장'!$A$5:$A$1004,A915,'당기원장'!$H$5:$H$1004))</x:f>
      </x:c>
      <x:c r="E915" s="75" t="str">
        <x:f>IF(A915="","",D915-C915)</x:f>
      </x:c>
      <x:c r="F915" s="88" t="str">
        <x:f>IF(A915="","",IF(C915=0,IF(D915=0,0,1),ABS(E915)/ABS(C915)))</x:f>
      </x:c>
      <x:c r="G915" s="73" t="str">
        <x:f>IF(A915="","",IF(AND(C915=0,D915&lt;&gt;0),"신규",IF(AND(C915&lt;&gt;0,D915=0),"소멸",IF(E915=0,"변동없음","금액변동"))))</x:f>
      </x:c>
      <x:c r="H915" s="73" t="str">
        <x:f>IF(A915="","",IF(AND(ABS(E915)&gt;='기준설정'!$B$6,OR(G915="신규",G915="소멸",F915&gt;='기준설정'!$B$5)),"원인분석 대상","일반"))</x:f>
      </x:c>
      <x:c r="I915" s="73" t="str">
        <x:f>IF(A915="","",IF(H915="원인분석 대상","세부원인분석 시트에서 거래별 원인을 검토","-"))</x:f>
      </x:c>
      <x:c r="J915" s="73" t="str">
        <x:f>IF(A915="","",COUNTIFS('전기원장'!$A$5:$A$1004,A915,'전기원장'!$J$5:$J$1004,"확인 필요")+COUNTIFS('당기원장'!$A$5:$A$1004,A915,'당기원장'!$J$5:$J$1004,"확인 필요"))</x:f>
      </x:c>
      <x:c r="K915" s="85" t="str">
        <x:f>IF(A915="","",IF(H915&lt;&gt;"원인분석 대상","",IF(J915&gt;0,"붙임 문서 확인 후 원인 확정 필요","결의서명 기반 원인분류 검토")))</x:f>
      </x:c>
    </x:row>
    <x:row r="916">
      <x:c r="A916" s="73" t="str">
        <x:f>IFERROR(INDEX('계산도우미'!$B$5:$B$2004,MATCH(ROWS($A$5:A916),'계산도우미'!$K$5:$K$2004,0)),"")</x:f>
      </x:c>
      <x:c r="B916" s="73" t="str">
        <x:f>IF(A916="","",IFERROR(INDEX('당기원장'!$B$5:$B$1004,MATCH(A916,'당기원장'!$A$5:$A$1004,0)),IFERROR(INDEX('전기원장'!$B$5:$B$1004,MATCH(A916,'전기원장'!$A$5:$A$1004,0)),"")))</x:f>
      </x:c>
      <x:c r="C916" s="75" t="str">
        <x:f>IF(A916="","",SUMIF('전기원장'!$A$5:$A$1004,A916,'전기원장'!$H$5:$H$1004))</x:f>
      </x:c>
      <x:c r="D916" s="75" t="str">
        <x:f>IF(A916="","",SUMIF('당기원장'!$A$5:$A$1004,A916,'당기원장'!$H$5:$H$1004))</x:f>
      </x:c>
      <x:c r="E916" s="75" t="str">
        <x:f>IF(A916="","",D916-C916)</x:f>
      </x:c>
      <x:c r="F916" s="88" t="str">
        <x:f>IF(A916="","",IF(C916=0,IF(D916=0,0,1),ABS(E916)/ABS(C916)))</x:f>
      </x:c>
      <x:c r="G916" s="73" t="str">
        <x:f>IF(A916="","",IF(AND(C916=0,D916&lt;&gt;0),"신규",IF(AND(C916&lt;&gt;0,D916=0),"소멸",IF(E916=0,"변동없음","금액변동"))))</x:f>
      </x:c>
      <x:c r="H916" s="73" t="str">
        <x:f>IF(A916="","",IF(AND(ABS(E916)&gt;='기준설정'!$B$6,OR(G916="신규",G916="소멸",F916&gt;='기준설정'!$B$5)),"원인분석 대상","일반"))</x:f>
      </x:c>
      <x:c r="I916" s="73" t="str">
        <x:f>IF(A916="","",IF(H916="원인분석 대상","세부원인분석 시트에서 거래별 원인을 검토","-"))</x:f>
      </x:c>
      <x:c r="J916" s="73" t="str">
        <x:f>IF(A916="","",COUNTIFS('전기원장'!$A$5:$A$1004,A916,'전기원장'!$J$5:$J$1004,"확인 필요")+COUNTIFS('당기원장'!$A$5:$A$1004,A916,'당기원장'!$J$5:$J$1004,"확인 필요"))</x:f>
      </x:c>
      <x:c r="K916" s="85" t="str">
        <x:f>IF(A916="","",IF(H916&lt;&gt;"원인분석 대상","",IF(J916&gt;0,"붙임 문서 확인 후 원인 확정 필요","결의서명 기반 원인분류 검토")))</x:f>
      </x:c>
    </x:row>
    <x:row r="917">
      <x:c r="A917" s="73" t="str">
        <x:f>IFERROR(INDEX('계산도우미'!$B$5:$B$2004,MATCH(ROWS($A$5:A917),'계산도우미'!$K$5:$K$2004,0)),"")</x:f>
      </x:c>
      <x:c r="B917" s="73" t="str">
        <x:f>IF(A917="","",IFERROR(INDEX('당기원장'!$B$5:$B$1004,MATCH(A917,'당기원장'!$A$5:$A$1004,0)),IFERROR(INDEX('전기원장'!$B$5:$B$1004,MATCH(A917,'전기원장'!$A$5:$A$1004,0)),"")))</x:f>
      </x:c>
      <x:c r="C917" s="75" t="str">
        <x:f>IF(A917="","",SUMIF('전기원장'!$A$5:$A$1004,A917,'전기원장'!$H$5:$H$1004))</x:f>
      </x:c>
      <x:c r="D917" s="75" t="str">
        <x:f>IF(A917="","",SUMIF('당기원장'!$A$5:$A$1004,A917,'당기원장'!$H$5:$H$1004))</x:f>
      </x:c>
      <x:c r="E917" s="75" t="str">
        <x:f>IF(A917="","",D917-C917)</x:f>
      </x:c>
      <x:c r="F917" s="88" t="str">
        <x:f>IF(A917="","",IF(C917=0,IF(D917=0,0,1),ABS(E917)/ABS(C917)))</x:f>
      </x:c>
      <x:c r="G917" s="73" t="str">
        <x:f>IF(A917="","",IF(AND(C917=0,D917&lt;&gt;0),"신규",IF(AND(C917&lt;&gt;0,D917=0),"소멸",IF(E917=0,"변동없음","금액변동"))))</x:f>
      </x:c>
      <x:c r="H917" s="73" t="str">
        <x:f>IF(A917="","",IF(AND(ABS(E917)&gt;='기준설정'!$B$6,OR(G917="신규",G917="소멸",F917&gt;='기준설정'!$B$5)),"원인분석 대상","일반"))</x:f>
      </x:c>
      <x:c r="I917" s="73" t="str">
        <x:f>IF(A917="","",IF(H917="원인분석 대상","세부원인분석 시트에서 거래별 원인을 검토","-"))</x:f>
      </x:c>
      <x:c r="J917" s="73" t="str">
        <x:f>IF(A917="","",COUNTIFS('전기원장'!$A$5:$A$1004,A917,'전기원장'!$J$5:$J$1004,"확인 필요")+COUNTIFS('당기원장'!$A$5:$A$1004,A917,'당기원장'!$J$5:$J$1004,"확인 필요"))</x:f>
      </x:c>
      <x:c r="K917" s="85" t="str">
        <x:f>IF(A917="","",IF(H917&lt;&gt;"원인분석 대상","",IF(J917&gt;0,"붙임 문서 확인 후 원인 확정 필요","결의서명 기반 원인분류 검토")))</x:f>
      </x:c>
    </x:row>
    <x:row r="918">
      <x:c r="A918" s="73" t="str">
        <x:f>IFERROR(INDEX('계산도우미'!$B$5:$B$2004,MATCH(ROWS($A$5:A918),'계산도우미'!$K$5:$K$2004,0)),"")</x:f>
      </x:c>
      <x:c r="B918" s="73" t="str">
        <x:f>IF(A918="","",IFERROR(INDEX('당기원장'!$B$5:$B$1004,MATCH(A918,'당기원장'!$A$5:$A$1004,0)),IFERROR(INDEX('전기원장'!$B$5:$B$1004,MATCH(A918,'전기원장'!$A$5:$A$1004,0)),"")))</x:f>
      </x:c>
      <x:c r="C918" s="75" t="str">
        <x:f>IF(A918="","",SUMIF('전기원장'!$A$5:$A$1004,A918,'전기원장'!$H$5:$H$1004))</x:f>
      </x:c>
      <x:c r="D918" s="75" t="str">
        <x:f>IF(A918="","",SUMIF('당기원장'!$A$5:$A$1004,A918,'당기원장'!$H$5:$H$1004))</x:f>
      </x:c>
      <x:c r="E918" s="75" t="str">
        <x:f>IF(A918="","",D918-C918)</x:f>
      </x:c>
      <x:c r="F918" s="88" t="str">
        <x:f>IF(A918="","",IF(C918=0,IF(D918=0,0,1),ABS(E918)/ABS(C918)))</x:f>
      </x:c>
      <x:c r="G918" s="73" t="str">
        <x:f>IF(A918="","",IF(AND(C918=0,D918&lt;&gt;0),"신규",IF(AND(C918&lt;&gt;0,D918=0),"소멸",IF(E918=0,"변동없음","금액변동"))))</x:f>
      </x:c>
      <x:c r="H918" s="73" t="str">
        <x:f>IF(A918="","",IF(AND(ABS(E918)&gt;='기준설정'!$B$6,OR(G918="신규",G918="소멸",F918&gt;='기준설정'!$B$5)),"원인분석 대상","일반"))</x:f>
      </x:c>
      <x:c r="I918" s="73" t="str">
        <x:f>IF(A918="","",IF(H918="원인분석 대상","세부원인분석 시트에서 거래별 원인을 검토","-"))</x:f>
      </x:c>
      <x:c r="J918" s="73" t="str">
        <x:f>IF(A918="","",COUNTIFS('전기원장'!$A$5:$A$1004,A918,'전기원장'!$J$5:$J$1004,"확인 필요")+COUNTIFS('당기원장'!$A$5:$A$1004,A918,'당기원장'!$J$5:$J$1004,"확인 필요"))</x:f>
      </x:c>
      <x:c r="K918" s="85" t="str">
        <x:f>IF(A918="","",IF(H918&lt;&gt;"원인분석 대상","",IF(J918&gt;0,"붙임 문서 확인 후 원인 확정 필요","결의서명 기반 원인분류 검토")))</x:f>
      </x:c>
    </x:row>
    <x:row r="919">
      <x:c r="A919" s="73" t="str">
        <x:f>IFERROR(INDEX('계산도우미'!$B$5:$B$2004,MATCH(ROWS($A$5:A919),'계산도우미'!$K$5:$K$2004,0)),"")</x:f>
      </x:c>
      <x:c r="B919" s="73" t="str">
        <x:f>IF(A919="","",IFERROR(INDEX('당기원장'!$B$5:$B$1004,MATCH(A919,'당기원장'!$A$5:$A$1004,0)),IFERROR(INDEX('전기원장'!$B$5:$B$1004,MATCH(A919,'전기원장'!$A$5:$A$1004,0)),"")))</x:f>
      </x:c>
      <x:c r="C919" s="75" t="str">
        <x:f>IF(A919="","",SUMIF('전기원장'!$A$5:$A$1004,A919,'전기원장'!$H$5:$H$1004))</x:f>
      </x:c>
      <x:c r="D919" s="75" t="str">
        <x:f>IF(A919="","",SUMIF('당기원장'!$A$5:$A$1004,A919,'당기원장'!$H$5:$H$1004))</x:f>
      </x:c>
      <x:c r="E919" s="75" t="str">
        <x:f>IF(A919="","",D919-C919)</x:f>
      </x:c>
      <x:c r="F919" s="88" t="str">
        <x:f>IF(A919="","",IF(C919=0,IF(D919=0,0,1),ABS(E919)/ABS(C919)))</x:f>
      </x:c>
      <x:c r="G919" s="73" t="str">
        <x:f>IF(A919="","",IF(AND(C919=0,D919&lt;&gt;0),"신규",IF(AND(C919&lt;&gt;0,D919=0),"소멸",IF(E919=0,"변동없음","금액변동"))))</x:f>
      </x:c>
      <x:c r="H919" s="73" t="str">
        <x:f>IF(A919="","",IF(AND(ABS(E919)&gt;='기준설정'!$B$6,OR(G919="신규",G919="소멸",F919&gt;='기준설정'!$B$5)),"원인분석 대상","일반"))</x:f>
      </x:c>
      <x:c r="I919" s="73" t="str">
        <x:f>IF(A919="","",IF(H919="원인분석 대상","세부원인분석 시트에서 거래별 원인을 검토","-"))</x:f>
      </x:c>
      <x:c r="J919" s="73" t="str">
        <x:f>IF(A919="","",COUNTIFS('전기원장'!$A$5:$A$1004,A919,'전기원장'!$J$5:$J$1004,"확인 필요")+COUNTIFS('당기원장'!$A$5:$A$1004,A919,'당기원장'!$J$5:$J$1004,"확인 필요"))</x:f>
      </x:c>
      <x:c r="K919" s="85" t="str">
        <x:f>IF(A919="","",IF(H919&lt;&gt;"원인분석 대상","",IF(J919&gt;0,"붙임 문서 확인 후 원인 확정 필요","결의서명 기반 원인분류 검토")))</x:f>
      </x:c>
    </x:row>
    <x:row r="920">
      <x:c r="A920" s="73" t="str">
        <x:f>IFERROR(INDEX('계산도우미'!$B$5:$B$2004,MATCH(ROWS($A$5:A920),'계산도우미'!$K$5:$K$2004,0)),"")</x:f>
      </x:c>
      <x:c r="B920" s="73" t="str">
        <x:f>IF(A920="","",IFERROR(INDEX('당기원장'!$B$5:$B$1004,MATCH(A920,'당기원장'!$A$5:$A$1004,0)),IFERROR(INDEX('전기원장'!$B$5:$B$1004,MATCH(A920,'전기원장'!$A$5:$A$1004,0)),"")))</x:f>
      </x:c>
      <x:c r="C920" s="75" t="str">
        <x:f>IF(A920="","",SUMIF('전기원장'!$A$5:$A$1004,A920,'전기원장'!$H$5:$H$1004))</x:f>
      </x:c>
      <x:c r="D920" s="75" t="str">
        <x:f>IF(A920="","",SUMIF('당기원장'!$A$5:$A$1004,A920,'당기원장'!$H$5:$H$1004))</x:f>
      </x:c>
      <x:c r="E920" s="75" t="str">
        <x:f>IF(A920="","",D920-C920)</x:f>
      </x:c>
      <x:c r="F920" s="88" t="str">
        <x:f>IF(A920="","",IF(C920=0,IF(D920=0,0,1),ABS(E920)/ABS(C920)))</x:f>
      </x:c>
      <x:c r="G920" s="73" t="str">
        <x:f>IF(A920="","",IF(AND(C920=0,D920&lt;&gt;0),"신규",IF(AND(C920&lt;&gt;0,D920=0),"소멸",IF(E920=0,"변동없음","금액변동"))))</x:f>
      </x:c>
      <x:c r="H920" s="73" t="str">
        <x:f>IF(A920="","",IF(AND(ABS(E920)&gt;='기준설정'!$B$6,OR(G920="신규",G920="소멸",F920&gt;='기준설정'!$B$5)),"원인분석 대상","일반"))</x:f>
      </x:c>
      <x:c r="I920" s="73" t="str">
        <x:f>IF(A920="","",IF(H920="원인분석 대상","세부원인분석 시트에서 거래별 원인을 검토","-"))</x:f>
      </x:c>
      <x:c r="J920" s="73" t="str">
        <x:f>IF(A920="","",COUNTIFS('전기원장'!$A$5:$A$1004,A920,'전기원장'!$J$5:$J$1004,"확인 필요")+COUNTIFS('당기원장'!$A$5:$A$1004,A920,'당기원장'!$J$5:$J$1004,"확인 필요"))</x:f>
      </x:c>
      <x:c r="K920" s="85" t="str">
        <x:f>IF(A920="","",IF(H920&lt;&gt;"원인분석 대상","",IF(J920&gt;0,"붙임 문서 확인 후 원인 확정 필요","결의서명 기반 원인분류 검토")))</x:f>
      </x:c>
    </x:row>
    <x:row r="921">
      <x:c r="A921" s="73" t="str">
        <x:f>IFERROR(INDEX('계산도우미'!$B$5:$B$2004,MATCH(ROWS($A$5:A921),'계산도우미'!$K$5:$K$2004,0)),"")</x:f>
      </x:c>
      <x:c r="B921" s="73" t="str">
        <x:f>IF(A921="","",IFERROR(INDEX('당기원장'!$B$5:$B$1004,MATCH(A921,'당기원장'!$A$5:$A$1004,0)),IFERROR(INDEX('전기원장'!$B$5:$B$1004,MATCH(A921,'전기원장'!$A$5:$A$1004,0)),"")))</x:f>
      </x:c>
      <x:c r="C921" s="75" t="str">
        <x:f>IF(A921="","",SUMIF('전기원장'!$A$5:$A$1004,A921,'전기원장'!$H$5:$H$1004))</x:f>
      </x:c>
      <x:c r="D921" s="75" t="str">
        <x:f>IF(A921="","",SUMIF('당기원장'!$A$5:$A$1004,A921,'당기원장'!$H$5:$H$1004))</x:f>
      </x:c>
      <x:c r="E921" s="75" t="str">
        <x:f>IF(A921="","",D921-C921)</x:f>
      </x:c>
      <x:c r="F921" s="88" t="str">
        <x:f>IF(A921="","",IF(C921=0,IF(D921=0,0,1),ABS(E921)/ABS(C921)))</x:f>
      </x:c>
      <x:c r="G921" s="73" t="str">
        <x:f>IF(A921="","",IF(AND(C921=0,D921&lt;&gt;0),"신규",IF(AND(C921&lt;&gt;0,D921=0),"소멸",IF(E921=0,"변동없음","금액변동"))))</x:f>
      </x:c>
      <x:c r="H921" s="73" t="str">
        <x:f>IF(A921="","",IF(AND(ABS(E921)&gt;='기준설정'!$B$6,OR(G921="신규",G921="소멸",F921&gt;='기준설정'!$B$5)),"원인분석 대상","일반"))</x:f>
      </x:c>
      <x:c r="I921" s="73" t="str">
        <x:f>IF(A921="","",IF(H921="원인분석 대상","세부원인분석 시트에서 거래별 원인을 검토","-"))</x:f>
      </x:c>
      <x:c r="J921" s="73" t="str">
        <x:f>IF(A921="","",COUNTIFS('전기원장'!$A$5:$A$1004,A921,'전기원장'!$J$5:$J$1004,"확인 필요")+COUNTIFS('당기원장'!$A$5:$A$1004,A921,'당기원장'!$J$5:$J$1004,"확인 필요"))</x:f>
      </x:c>
      <x:c r="K921" s="85" t="str">
        <x:f>IF(A921="","",IF(H921&lt;&gt;"원인분석 대상","",IF(J921&gt;0,"붙임 문서 확인 후 원인 확정 필요","결의서명 기반 원인분류 검토")))</x:f>
      </x:c>
    </x:row>
    <x:row r="922">
      <x:c r="A922" s="73" t="str">
        <x:f>IFERROR(INDEX('계산도우미'!$B$5:$B$2004,MATCH(ROWS($A$5:A922),'계산도우미'!$K$5:$K$2004,0)),"")</x:f>
      </x:c>
      <x:c r="B922" s="73" t="str">
        <x:f>IF(A922="","",IFERROR(INDEX('당기원장'!$B$5:$B$1004,MATCH(A922,'당기원장'!$A$5:$A$1004,0)),IFERROR(INDEX('전기원장'!$B$5:$B$1004,MATCH(A922,'전기원장'!$A$5:$A$1004,0)),"")))</x:f>
      </x:c>
      <x:c r="C922" s="75" t="str">
        <x:f>IF(A922="","",SUMIF('전기원장'!$A$5:$A$1004,A922,'전기원장'!$H$5:$H$1004))</x:f>
      </x:c>
      <x:c r="D922" s="75" t="str">
        <x:f>IF(A922="","",SUMIF('당기원장'!$A$5:$A$1004,A922,'당기원장'!$H$5:$H$1004))</x:f>
      </x:c>
      <x:c r="E922" s="75" t="str">
        <x:f>IF(A922="","",D922-C922)</x:f>
      </x:c>
      <x:c r="F922" s="88" t="str">
        <x:f>IF(A922="","",IF(C922=0,IF(D922=0,0,1),ABS(E922)/ABS(C922)))</x:f>
      </x:c>
      <x:c r="G922" s="73" t="str">
        <x:f>IF(A922="","",IF(AND(C922=0,D922&lt;&gt;0),"신규",IF(AND(C922&lt;&gt;0,D922=0),"소멸",IF(E922=0,"변동없음","금액변동"))))</x:f>
      </x:c>
      <x:c r="H922" s="73" t="str">
        <x:f>IF(A922="","",IF(AND(ABS(E922)&gt;='기준설정'!$B$6,OR(G922="신규",G922="소멸",F922&gt;='기준설정'!$B$5)),"원인분석 대상","일반"))</x:f>
      </x:c>
      <x:c r="I922" s="73" t="str">
        <x:f>IF(A922="","",IF(H922="원인분석 대상","세부원인분석 시트에서 거래별 원인을 검토","-"))</x:f>
      </x:c>
      <x:c r="J922" s="73" t="str">
        <x:f>IF(A922="","",COUNTIFS('전기원장'!$A$5:$A$1004,A922,'전기원장'!$J$5:$J$1004,"확인 필요")+COUNTIFS('당기원장'!$A$5:$A$1004,A922,'당기원장'!$J$5:$J$1004,"확인 필요"))</x:f>
      </x:c>
      <x:c r="K922" s="85" t="str">
        <x:f>IF(A922="","",IF(H922&lt;&gt;"원인분석 대상","",IF(J922&gt;0,"붙임 문서 확인 후 원인 확정 필요","결의서명 기반 원인분류 검토")))</x:f>
      </x:c>
    </x:row>
    <x:row r="923">
      <x:c r="A923" s="73" t="str">
        <x:f>IFERROR(INDEX('계산도우미'!$B$5:$B$2004,MATCH(ROWS($A$5:A923),'계산도우미'!$K$5:$K$2004,0)),"")</x:f>
      </x:c>
      <x:c r="B923" s="73" t="str">
        <x:f>IF(A923="","",IFERROR(INDEX('당기원장'!$B$5:$B$1004,MATCH(A923,'당기원장'!$A$5:$A$1004,0)),IFERROR(INDEX('전기원장'!$B$5:$B$1004,MATCH(A923,'전기원장'!$A$5:$A$1004,0)),"")))</x:f>
      </x:c>
      <x:c r="C923" s="75" t="str">
        <x:f>IF(A923="","",SUMIF('전기원장'!$A$5:$A$1004,A923,'전기원장'!$H$5:$H$1004))</x:f>
      </x:c>
      <x:c r="D923" s="75" t="str">
        <x:f>IF(A923="","",SUMIF('당기원장'!$A$5:$A$1004,A923,'당기원장'!$H$5:$H$1004))</x:f>
      </x:c>
      <x:c r="E923" s="75" t="str">
        <x:f>IF(A923="","",D923-C923)</x:f>
      </x:c>
      <x:c r="F923" s="88" t="str">
        <x:f>IF(A923="","",IF(C923=0,IF(D923=0,0,1),ABS(E923)/ABS(C923)))</x:f>
      </x:c>
      <x:c r="G923" s="73" t="str">
        <x:f>IF(A923="","",IF(AND(C923=0,D923&lt;&gt;0),"신규",IF(AND(C923&lt;&gt;0,D923=0),"소멸",IF(E923=0,"변동없음","금액변동"))))</x:f>
      </x:c>
      <x:c r="H923" s="73" t="str">
        <x:f>IF(A923="","",IF(AND(ABS(E923)&gt;='기준설정'!$B$6,OR(G923="신규",G923="소멸",F923&gt;='기준설정'!$B$5)),"원인분석 대상","일반"))</x:f>
      </x:c>
      <x:c r="I923" s="73" t="str">
        <x:f>IF(A923="","",IF(H923="원인분석 대상","세부원인분석 시트에서 거래별 원인을 검토","-"))</x:f>
      </x:c>
      <x:c r="J923" s="73" t="str">
        <x:f>IF(A923="","",COUNTIFS('전기원장'!$A$5:$A$1004,A923,'전기원장'!$J$5:$J$1004,"확인 필요")+COUNTIFS('당기원장'!$A$5:$A$1004,A923,'당기원장'!$J$5:$J$1004,"확인 필요"))</x:f>
      </x:c>
      <x:c r="K923" s="85" t="str">
        <x:f>IF(A923="","",IF(H923&lt;&gt;"원인분석 대상","",IF(J923&gt;0,"붙임 문서 확인 후 원인 확정 필요","결의서명 기반 원인분류 검토")))</x:f>
      </x:c>
    </x:row>
    <x:row r="924">
      <x:c r="A924" s="73" t="str">
        <x:f>IFERROR(INDEX('계산도우미'!$B$5:$B$2004,MATCH(ROWS($A$5:A924),'계산도우미'!$K$5:$K$2004,0)),"")</x:f>
      </x:c>
      <x:c r="B924" s="73" t="str">
        <x:f>IF(A924="","",IFERROR(INDEX('당기원장'!$B$5:$B$1004,MATCH(A924,'당기원장'!$A$5:$A$1004,0)),IFERROR(INDEX('전기원장'!$B$5:$B$1004,MATCH(A924,'전기원장'!$A$5:$A$1004,0)),"")))</x:f>
      </x:c>
      <x:c r="C924" s="75" t="str">
        <x:f>IF(A924="","",SUMIF('전기원장'!$A$5:$A$1004,A924,'전기원장'!$H$5:$H$1004))</x:f>
      </x:c>
      <x:c r="D924" s="75" t="str">
        <x:f>IF(A924="","",SUMIF('당기원장'!$A$5:$A$1004,A924,'당기원장'!$H$5:$H$1004))</x:f>
      </x:c>
      <x:c r="E924" s="75" t="str">
        <x:f>IF(A924="","",D924-C924)</x:f>
      </x:c>
      <x:c r="F924" s="88" t="str">
        <x:f>IF(A924="","",IF(C924=0,IF(D924=0,0,1),ABS(E924)/ABS(C924)))</x:f>
      </x:c>
      <x:c r="G924" s="73" t="str">
        <x:f>IF(A924="","",IF(AND(C924=0,D924&lt;&gt;0),"신규",IF(AND(C924&lt;&gt;0,D924=0),"소멸",IF(E924=0,"변동없음","금액변동"))))</x:f>
      </x:c>
      <x:c r="H924" s="73" t="str">
        <x:f>IF(A924="","",IF(AND(ABS(E924)&gt;='기준설정'!$B$6,OR(G924="신규",G924="소멸",F924&gt;='기준설정'!$B$5)),"원인분석 대상","일반"))</x:f>
      </x:c>
      <x:c r="I924" s="73" t="str">
        <x:f>IF(A924="","",IF(H924="원인분석 대상","세부원인분석 시트에서 거래별 원인을 검토","-"))</x:f>
      </x:c>
      <x:c r="J924" s="73" t="str">
        <x:f>IF(A924="","",COUNTIFS('전기원장'!$A$5:$A$1004,A924,'전기원장'!$J$5:$J$1004,"확인 필요")+COUNTIFS('당기원장'!$A$5:$A$1004,A924,'당기원장'!$J$5:$J$1004,"확인 필요"))</x:f>
      </x:c>
      <x:c r="K924" s="85" t="str">
        <x:f>IF(A924="","",IF(H924&lt;&gt;"원인분석 대상","",IF(J924&gt;0,"붙임 문서 확인 후 원인 확정 필요","결의서명 기반 원인분류 검토")))</x:f>
      </x:c>
    </x:row>
    <x:row r="925">
      <x:c r="A925" s="73" t="str">
        <x:f>IFERROR(INDEX('계산도우미'!$B$5:$B$2004,MATCH(ROWS($A$5:A925),'계산도우미'!$K$5:$K$2004,0)),"")</x:f>
      </x:c>
      <x:c r="B925" s="73" t="str">
        <x:f>IF(A925="","",IFERROR(INDEX('당기원장'!$B$5:$B$1004,MATCH(A925,'당기원장'!$A$5:$A$1004,0)),IFERROR(INDEX('전기원장'!$B$5:$B$1004,MATCH(A925,'전기원장'!$A$5:$A$1004,0)),"")))</x:f>
      </x:c>
      <x:c r="C925" s="75" t="str">
        <x:f>IF(A925="","",SUMIF('전기원장'!$A$5:$A$1004,A925,'전기원장'!$H$5:$H$1004))</x:f>
      </x:c>
      <x:c r="D925" s="75" t="str">
        <x:f>IF(A925="","",SUMIF('당기원장'!$A$5:$A$1004,A925,'당기원장'!$H$5:$H$1004))</x:f>
      </x:c>
      <x:c r="E925" s="75" t="str">
        <x:f>IF(A925="","",D925-C925)</x:f>
      </x:c>
      <x:c r="F925" s="88" t="str">
        <x:f>IF(A925="","",IF(C925=0,IF(D925=0,0,1),ABS(E925)/ABS(C925)))</x:f>
      </x:c>
      <x:c r="G925" s="73" t="str">
        <x:f>IF(A925="","",IF(AND(C925=0,D925&lt;&gt;0),"신규",IF(AND(C925&lt;&gt;0,D925=0),"소멸",IF(E925=0,"변동없음","금액변동"))))</x:f>
      </x:c>
      <x:c r="H925" s="73" t="str">
        <x:f>IF(A925="","",IF(AND(ABS(E925)&gt;='기준설정'!$B$6,OR(G925="신규",G925="소멸",F925&gt;='기준설정'!$B$5)),"원인분석 대상","일반"))</x:f>
      </x:c>
      <x:c r="I925" s="73" t="str">
        <x:f>IF(A925="","",IF(H925="원인분석 대상","세부원인분석 시트에서 거래별 원인을 검토","-"))</x:f>
      </x:c>
      <x:c r="J925" s="73" t="str">
        <x:f>IF(A925="","",COUNTIFS('전기원장'!$A$5:$A$1004,A925,'전기원장'!$J$5:$J$1004,"확인 필요")+COUNTIFS('당기원장'!$A$5:$A$1004,A925,'당기원장'!$J$5:$J$1004,"확인 필요"))</x:f>
      </x:c>
      <x:c r="K925" s="85" t="str">
        <x:f>IF(A925="","",IF(H925&lt;&gt;"원인분석 대상","",IF(J925&gt;0,"붙임 문서 확인 후 원인 확정 필요","결의서명 기반 원인분류 검토")))</x:f>
      </x:c>
    </x:row>
    <x:row r="926">
      <x:c r="A926" s="73" t="str">
        <x:f>IFERROR(INDEX('계산도우미'!$B$5:$B$2004,MATCH(ROWS($A$5:A926),'계산도우미'!$K$5:$K$2004,0)),"")</x:f>
      </x:c>
      <x:c r="B926" s="73" t="str">
        <x:f>IF(A926="","",IFERROR(INDEX('당기원장'!$B$5:$B$1004,MATCH(A926,'당기원장'!$A$5:$A$1004,0)),IFERROR(INDEX('전기원장'!$B$5:$B$1004,MATCH(A926,'전기원장'!$A$5:$A$1004,0)),"")))</x:f>
      </x:c>
      <x:c r="C926" s="75" t="str">
        <x:f>IF(A926="","",SUMIF('전기원장'!$A$5:$A$1004,A926,'전기원장'!$H$5:$H$1004))</x:f>
      </x:c>
      <x:c r="D926" s="75" t="str">
        <x:f>IF(A926="","",SUMIF('당기원장'!$A$5:$A$1004,A926,'당기원장'!$H$5:$H$1004))</x:f>
      </x:c>
      <x:c r="E926" s="75" t="str">
        <x:f>IF(A926="","",D926-C926)</x:f>
      </x:c>
      <x:c r="F926" s="88" t="str">
        <x:f>IF(A926="","",IF(C926=0,IF(D926=0,0,1),ABS(E926)/ABS(C926)))</x:f>
      </x:c>
      <x:c r="G926" s="73" t="str">
        <x:f>IF(A926="","",IF(AND(C926=0,D926&lt;&gt;0),"신규",IF(AND(C926&lt;&gt;0,D926=0),"소멸",IF(E926=0,"변동없음","금액변동"))))</x:f>
      </x:c>
      <x:c r="H926" s="73" t="str">
        <x:f>IF(A926="","",IF(AND(ABS(E926)&gt;='기준설정'!$B$6,OR(G926="신규",G926="소멸",F926&gt;='기준설정'!$B$5)),"원인분석 대상","일반"))</x:f>
      </x:c>
      <x:c r="I926" s="73" t="str">
        <x:f>IF(A926="","",IF(H926="원인분석 대상","세부원인분석 시트에서 거래별 원인을 검토","-"))</x:f>
      </x:c>
      <x:c r="J926" s="73" t="str">
        <x:f>IF(A926="","",COUNTIFS('전기원장'!$A$5:$A$1004,A926,'전기원장'!$J$5:$J$1004,"확인 필요")+COUNTIFS('당기원장'!$A$5:$A$1004,A926,'당기원장'!$J$5:$J$1004,"확인 필요"))</x:f>
      </x:c>
      <x:c r="K926" s="85" t="str">
        <x:f>IF(A926="","",IF(H926&lt;&gt;"원인분석 대상","",IF(J926&gt;0,"붙임 문서 확인 후 원인 확정 필요","결의서명 기반 원인분류 검토")))</x:f>
      </x:c>
    </x:row>
    <x:row r="927">
      <x:c r="A927" s="73" t="str">
        <x:f>IFERROR(INDEX('계산도우미'!$B$5:$B$2004,MATCH(ROWS($A$5:A927),'계산도우미'!$K$5:$K$2004,0)),"")</x:f>
      </x:c>
      <x:c r="B927" s="73" t="str">
        <x:f>IF(A927="","",IFERROR(INDEX('당기원장'!$B$5:$B$1004,MATCH(A927,'당기원장'!$A$5:$A$1004,0)),IFERROR(INDEX('전기원장'!$B$5:$B$1004,MATCH(A927,'전기원장'!$A$5:$A$1004,0)),"")))</x:f>
      </x:c>
      <x:c r="C927" s="75" t="str">
        <x:f>IF(A927="","",SUMIF('전기원장'!$A$5:$A$1004,A927,'전기원장'!$H$5:$H$1004))</x:f>
      </x:c>
      <x:c r="D927" s="75" t="str">
        <x:f>IF(A927="","",SUMIF('당기원장'!$A$5:$A$1004,A927,'당기원장'!$H$5:$H$1004))</x:f>
      </x:c>
      <x:c r="E927" s="75" t="str">
        <x:f>IF(A927="","",D927-C927)</x:f>
      </x:c>
      <x:c r="F927" s="88" t="str">
        <x:f>IF(A927="","",IF(C927=0,IF(D927=0,0,1),ABS(E927)/ABS(C927)))</x:f>
      </x:c>
      <x:c r="G927" s="73" t="str">
        <x:f>IF(A927="","",IF(AND(C927=0,D927&lt;&gt;0),"신규",IF(AND(C927&lt;&gt;0,D927=0),"소멸",IF(E927=0,"변동없음","금액변동"))))</x:f>
      </x:c>
      <x:c r="H927" s="73" t="str">
        <x:f>IF(A927="","",IF(AND(ABS(E927)&gt;='기준설정'!$B$6,OR(G927="신규",G927="소멸",F927&gt;='기준설정'!$B$5)),"원인분석 대상","일반"))</x:f>
      </x:c>
      <x:c r="I927" s="73" t="str">
        <x:f>IF(A927="","",IF(H927="원인분석 대상","세부원인분석 시트에서 거래별 원인을 검토","-"))</x:f>
      </x:c>
      <x:c r="J927" s="73" t="str">
        <x:f>IF(A927="","",COUNTIFS('전기원장'!$A$5:$A$1004,A927,'전기원장'!$J$5:$J$1004,"확인 필요")+COUNTIFS('당기원장'!$A$5:$A$1004,A927,'당기원장'!$J$5:$J$1004,"확인 필요"))</x:f>
      </x:c>
      <x:c r="K927" s="85" t="str">
        <x:f>IF(A927="","",IF(H927&lt;&gt;"원인분석 대상","",IF(J927&gt;0,"붙임 문서 확인 후 원인 확정 필요","결의서명 기반 원인분류 검토")))</x:f>
      </x:c>
    </x:row>
    <x:row r="928">
      <x:c r="A928" s="73" t="str">
        <x:f>IFERROR(INDEX('계산도우미'!$B$5:$B$2004,MATCH(ROWS($A$5:A928),'계산도우미'!$K$5:$K$2004,0)),"")</x:f>
      </x:c>
      <x:c r="B928" s="73" t="str">
        <x:f>IF(A928="","",IFERROR(INDEX('당기원장'!$B$5:$B$1004,MATCH(A928,'당기원장'!$A$5:$A$1004,0)),IFERROR(INDEX('전기원장'!$B$5:$B$1004,MATCH(A928,'전기원장'!$A$5:$A$1004,0)),"")))</x:f>
      </x:c>
      <x:c r="C928" s="75" t="str">
        <x:f>IF(A928="","",SUMIF('전기원장'!$A$5:$A$1004,A928,'전기원장'!$H$5:$H$1004))</x:f>
      </x:c>
      <x:c r="D928" s="75" t="str">
        <x:f>IF(A928="","",SUMIF('당기원장'!$A$5:$A$1004,A928,'당기원장'!$H$5:$H$1004))</x:f>
      </x:c>
      <x:c r="E928" s="75" t="str">
        <x:f>IF(A928="","",D928-C928)</x:f>
      </x:c>
      <x:c r="F928" s="88" t="str">
        <x:f>IF(A928="","",IF(C928=0,IF(D928=0,0,1),ABS(E928)/ABS(C928)))</x:f>
      </x:c>
      <x:c r="G928" s="73" t="str">
        <x:f>IF(A928="","",IF(AND(C928=0,D928&lt;&gt;0),"신규",IF(AND(C928&lt;&gt;0,D928=0),"소멸",IF(E928=0,"변동없음","금액변동"))))</x:f>
      </x:c>
      <x:c r="H928" s="73" t="str">
        <x:f>IF(A928="","",IF(AND(ABS(E928)&gt;='기준설정'!$B$6,OR(G928="신규",G928="소멸",F928&gt;='기준설정'!$B$5)),"원인분석 대상","일반"))</x:f>
      </x:c>
      <x:c r="I928" s="73" t="str">
        <x:f>IF(A928="","",IF(H928="원인분석 대상","세부원인분석 시트에서 거래별 원인을 검토","-"))</x:f>
      </x:c>
      <x:c r="J928" s="73" t="str">
        <x:f>IF(A928="","",COUNTIFS('전기원장'!$A$5:$A$1004,A928,'전기원장'!$J$5:$J$1004,"확인 필요")+COUNTIFS('당기원장'!$A$5:$A$1004,A928,'당기원장'!$J$5:$J$1004,"확인 필요"))</x:f>
      </x:c>
      <x:c r="K928" s="85" t="str">
        <x:f>IF(A928="","",IF(H928&lt;&gt;"원인분석 대상","",IF(J928&gt;0,"붙임 문서 확인 후 원인 확정 필요","결의서명 기반 원인분류 검토")))</x:f>
      </x:c>
    </x:row>
    <x:row r="929">
      <x:c r="A929" s="73" t="str">
        <x:f>IFERROR(INDEX('계산도우미'!$B$5:$B$2004,MATCH(ROWS($A$5:A929),'계산도우미'!$K$5:$K$2004,0)),"")</x:f>
      </x:c>
      <x:c r="B929" s="73" t="str">
        <x:f>IF(A929="","",IFERROR(INDEX('당기원장'!$B$5:$B$1004,MATCH(A929,'당기원장'!$A$5:$A$1004,0)),IFERROR(INDEX('전기원장'!$B$5:$B$1004,MATCH(A929,'전기원장'!$A$5:$A$1004,0)),"")))</x:f>
      </x:c>
      <x:c r="C929" s="75" t="str">
        <x:f>IF(A929="","",SUMIF('전기원장'!$A$5:$A$1004,A929,'전기원장'!$H$5:$H$1004))</x:f>
      </x:c>
      <x:c r="D929" s="75" t="str">
        <x:f>IF(A929="","",SUMIF('당기원장'!$A$5:$A$1004,A929,'당기원장'!$H$5:$H$1004))</x:f>
      </x:c>
      <x:c r="E929" s="75" t="str">
        <x:f>IF(A929="","",D929-C929)</x:f>
      </x:c>
      <x:c r="F929" s="88" t="str">
        <x:f>IF(A929="","",IF(C929=0,IF(D929=0,0,1),ABS(E929)/ABS(C929)))</x:f>
      </x:c>
      <x:c r="G929" s="73" t="str">
        <x:f>IF(A929="","",IF(AND(C929=0,D929&lt;&gt;0),"신규",IF(AND(C929&lt;&gt;0,D929=0),"소멸",IF(E929=0,"변동없음","금액변동"))))</x:f>
      </x:c>
      <x:c r="H929" s="73" t="str">
        <x:f>IF(A929="","",IF(AND(ABS(E929)&gt;='기준설정'!$B$6,OR(G929="신규",G929="소멸",F929&gt;='기준설정'!$B$5)),"원인분석 대상","일반"))</x:f>
      </x:c>
      <x:c r="I929" s="73" t="str">
        <x:f>IF(A929="","",IF(H929="원인분석 대상","세부원인분석 시트에서 거래별 원인을 검토","-"))</x:f>
      </x:c>
      <x:c r="J929" s="73" t="str">
        <x:f>IF(A929="","",COUNTIFS('전기원장'!$A$5:$A$1004,A929,'전기원장'!$J$5:$J$1004,"확인 필요")+COUNTIFS('당기원장'!$A$5:$A$1004,A929,'당기원장'!$J$5:$J$1004,"확인 필요"))</x:f>
      </x:c>
      <x:c r="K929" s="85" t="str">
        <x:f>IF(A929="","",IF(H929&lt;&gt;"원인분석 대상","",IF(J929&gt;0,"붙임 문서 확인 후 원인 확정 필요","결의서명 기반 원인분류 검토")))</x:f>
      </x:c>
    </x:row>
    <x:row r="930">
      <x:c r="A930" s="73" t="str">
        <x:f>IFERROR(INDEX('계산도우미'!$B$5:$B$2004,MATCH(ROWS($A$5:A930),'계산도우미'!$K$5:$K$2004,0)),"")</x:f>
      </x:c>
      <x:c r="B930" s="73" t="str">
        <x:f>IF(A930="","",IFERROR(INDEX('당기원장'!$B$5:$B$1004,MATCH(A930,'당기원장'!$A$5:$A$1004,0)),IFERROR(INDEX('전기원장'!$B$5:$B$1004,MATCH(A930,'전기원장'!$A$5:$A$1004,0)),"")))</x:f>
      </x:c>
      <x:c r="C930" s="75" t="str">
        <x:f>IF(A930="","",SUMIF('전기원장'!$A$5:$A$1004,A930,'전기원장'!$H$5:$H$1004))</x:f>
      </x:c>
      <x:c r="D930" s="75" t="str">
        <x:f>IF(A930="","",SUMIF('당기원장'!$A$5:$A$1004,A930,'당기원장'!$H$5:$H$1004))</x:f>
      </x:c>
      <x:c r="E930" s="75" t="str">
        <x:f>IF(A930="","",D930-C930)</x:f>
      </x:c>
      <x:c r="F930" s="88" t="str">
        <x:f>IF(A930="","",IF(C930=0,IF(D930=0,0,1),ABS(E930)/ABS(C930)))</x:f>
      </x:c>
      <x:c r="G930" s="73" t="str">
        <x:f>IF(A930="","",IF(AND(C930=0,D930&lt;&gt;0),"신규",IF(AND(C930&lt;&gt;0,D930=0),"소멸",IF(E930=0,"변동없음","금액변동"))))</x:f>
      </x:c>
      <x:c r="H930" s="73" t="str">
        <x:f>IF(A930="","",IF(AND(ABS(E930)&gt;='기준설정'!$B$6,OR(G930="신규",G930="소멸",F930&gt;='기준설정'!$B$5)),"원인분석 대상","일반"))</x:f>
      </x:c>
      <x:c r="I930" s="73" t="str">
        <x:f>IF(A930="","",IF(H930="원인분석 대상","세부원인분석 시트에서 거래별 원인을 검토","-"))</x:f>
      </x:c>
      <x:c r="J930" s="73" t="str">
        <x:f>IF(A930="","",COUNTIFS('전기원장'!$A$5:$A$1004,A930,'전기원장'!$J$5:$J$1004,"확인 필요")+COUNTIFS('당기원장'!$A$5:$A$1004,A930,'당기원장'!$J$5:$J$1004,"확인 필요"))</x:f>
      </x:c>
      <x:c r="K930" s="85" t="str">
        <x:f>IF(A930="","",IF(H930&lt;&gt;"원인분석 대상","",IF(J930&gt;0,"붙임 문서 확인 후 원인 확정 필요","결의서명 기반 원인분류 검토")))</x:f>
      </x:c>
    </x:row>
    <x:row r="931">
      <x:c r="A931" s="73" t="str">
        <x:f>IFERROR(INDEX('계산도우미'!$B$5:$B$2004,MATCH(ROWS($A$5:A931),'계산도우미'!$K$5:$K$2004,0)),"")</x:f>
      </x:c>
      <x:c r="B931" s="73" t="str">
        <x:f>IF(A931="","",IFERROR(INDEX('당기원장'!$B$5:$B$1004,MATCH(A931,'당기원장'!$A$5:$A$1004,0)),IFERROR(INDEX('전기원장'!$B$5:$B$1004,MATCH(A931,'전기원장'!$A$5:$A$1004,0)),"")))</x:f>
      </x:c>
      <x:c r="C931" s="75" t="str">
        <x:f>IF(A931="","",SUMIF('전기원장'!$A$5:$A$1004,A931,'전기원장'!$H$5:$H$1004))</x:f>
      </x:c>
      <x:c r="D931" s="75" t="str">
        <x:f>IF(A931="","",SUMIF('당기원장'!$A$5:$A$1004,A931,'당기원장'!$H$5:$H$1004))</x:f>
      </x:c>
      <x:c r="E931" s="75" t="str">
        <x:f>IF(A931="","",D931-C931)</x:f>
      </x:c>
      <x:c r="F931" s="88" t="str">
        <x:f>IF(A931="","",IF(C931=0,IF(D931=0,0,1),ABS(E931)/ABS(C931)))</x:f>
      </x:c>
      <x:c r="G931" s="73" t="str">
        <x:f>IF(A931="","",IF(AND(C931=0,D931&lt;&gt;0),"신규",IF(AND(C931&lt;&gt;0,D931=0),"소멸",IF(E931=0,"변동없음","금액변동"))))</x:f>
      </x:c>
      <x:c r="H931" s="73" t="str">
        <x:f>IF(A931="","",IF(AND(ABS(E931)&gt;='기준설정'!$B$6,OR(G931="신규",G931="소멸",F931&gt;='기준설정'!$B$5)),"원인분석 대상","일반"))</x:f>
      </x:c>
      <x:c r="I931" s="73" t="str">
        <x:f>IF(A931="","",IF(H931="원인분석 대상","세부원인분석 시트에서 거래별 원인을 검토","-"))</x:f>
      </x:c>
      <x:c r="J931" s="73" t="str">
        <x:f>IF(A931="","",COUNTIFS('전기원장'!$A$5:$A$1004,A931,'전기원장'!$J$5:$J$1004,"확인 필요")+COUNTIFS('당기원장'!$A$5:$A$1004,A931,'당기원장'!$J$5:$J$1004,"확인 필요"))</x:f>
      </x:c>
      <x:c r="K931" s="85" t="str">
        <x:f>IF(A931="","",IF(H931&lt;&gt;"원인분석 대상","",IF(J931&gt;0,"붙임 문서 확인 후 원인 확정 필요","결의서명 기반 원인분류 검토")))</x:f>
      </x:c>
    </x:row>
    <x:row r="932">
      <x:c r="A932" s="73" t="str">
        <x:f>IFERROR(INDEX('계산도우미'!$B$5:$B$2004,MATCH(ROWS($A$5:A932),'계산도우미'!$K$5:$K$2004,0)),"")</x:f>
      </x:c>
      <x:c r="B932" s="73" t="str">
        <x:f>IF(A932="","",IFERROR(INDEX('당기원장'!$B$5:$B$1004,MATCH(A932,'당기원장'!$A$5:$A$1004,0)),IFERROR(INDEX('전기원장'!$B$5:$B$1004,MATCH(A932,'전기원장'!$A$5:$A$1004,0)),"")))</x:f>
      </x:c>
      <x:c r="C932" s="75" t="str">
        <x:f>IF(A932="","",SUMIF('전기원장'!$A$5:$A$1004,A932,'전기원장'!$H$5:$H$1004))</x:f>
      </x:c>
      <x:c r="D932" s="75" t="str">
        <x:f>IF(A932="","",SUMIF('당기원장'!$A$5:$A$1004,A932,'당기원장'!$H$5:$H$1004))</x:f>
      </x:c>
      <x:c r="E932" s="75" t="str">
        <x:f>IF(A932="","",D932-C932)</x:f>
      </x:c>
      <x:c r="F932" s="88" t="str">
        <x:f>IF(A932="","",IF(C932=0,IF(D932=0,0,1),ABS(E932)/ABS(C932)))</x:f>
      </x:c>
      <x:c r="G932" s="73" t="str">
        <x:f>IF(A932="","",IF(AND(C932=0,D932&lt;&gt;0),"신규",IF(AND(C932&lt;&gt;0,D932=0),"소멸",IF(E932=0,"변동없음","금액변동"))))</x:f>
      </x:c>
      <x:c r="H932" s="73" t="str">
        <x:f>IF(A932="","",IF(AND(ABS(E932)&gt;='기준설정'!$B$6,OR(G932="신규",G932="소멸",F932&gt;='기준설정'!$B$5)),"원인분석 대상","일반"))</x:f>
      </x:c>
      <x:c r="I932" s="73" t="str">
        <x:f>IF(A932="","",IF(H932="원인분석 대상","세부원인분석 시트에서 거래별 원인을 검토","-"))</x:f>
      </x:c>
      <x:c r="J932" s="73" t="str">
        <x:f>IF(A932="","",COUNTIFS('전기원장'!$A$5:$A$1004,A932,'전기원장'!$J$5:$J$1004,"확인 필요")+COUNTIFS('당기원장'!$A$5:$A$1004,A932,'당기원장'!$J$5:$J$1004,"확인 필요"))</x:f>
      </x:c>
      <x:c r="K932" s="85" t="str">
        <x:f>IF(A932="","",IF(H932&lt;&gt;"원인분석 대상","",IF(J932&gt;0,"붙임 문서 확인 후 원인 확정 필요","결의서명 기반 원인분류 검토")))</x:f>
      </x:c>
    </x:row>
    <x:row r="933">
      <x:c r="A933" s="73" t="str">
        <x:f>IFERROR(INDEX('계산도우미'!$B$5:$B$2004,MATCH(ROWS($A$5:A933),'계산도우미'!$K$5:$K$2004,0)),"")</x:f>
      </x:c>
      <x:c r="B933" s="73" t="str">
        <x:f>IF(A933="","",IFERROR(INDEX('당기원장'!$B$5:$B$1004,MATCH(A933,'당기원장'!$A$5:$A$1004,0)),IFERROR(INDEX('전기원장'!$B$5:$B$1004,MATCH(A933,'전기원장'!$A$5:$A$1004,0)),"")))</x:f>
      </x:c>
      <x:c r="C933" s="75" t="str">
        <x:f>IF(A933="","",SUMIF('전기원장'!$A$5:$A$1004,A933,'전기원장'!$H$5:$H$1004))</x:f>
      </x:c>
      <x:c r="D933" s="75" t="str">
        <x:f>IF(A933="","",SUMIF('당기원장'!$A$5:$A$1004,A933,'당기원장'!$H$5:$H$1004))</x:f>
      </x:c>
      <x:c r="E933" s="75" t="str">
        <x:f>IF(A933="","",D933-C933)</x:f>
      </x:c>
      <x:c r="F933" s="88" t="str">
        <x:f>IF(A933="","",IF(C933=0,IF(D933=0,0,1),ABS(E933)/ABS(C933)))</x:f>
      </x:c>
      <x:c r="G933" s="73" t="str">
        <x:f>IF(A933="","",IF(AND(C933=0,D933&lt;&gt;0),"신규",IF(AND(C933&lt;&gt;0,D933=0),"소멸",IF(E933=0,"변동없음","금액변동"))))</x:f>
      </x:c>
      <x:c r="H933" s="73" t="str">
        <x:f>IF(A933="","",IF(AND(ABS(E933)&gt;='기준설정'!$B$6,OR(G933="신규",G933="소멸",F933&gt;='기준설정'!$B$5)),"원인분석 대상","일반"))</x:f>
      </x:c>
      <x:c r="I933" s="73" t="str">
        <x:f>IF(A933="","",IF(H933="원인분석 대상","세부원인분석 시트에서 거래별 원인을 검토","-"))</x:f>
      </x:c>
      <x:c r="J933" s="73" t="str">
        <x:f>IF(A933="","",COUNTIFS('전기원장'!$A$5:$A$1004,A933,'전기원장'!$J$5:$J$1004,"확인 필요")+COUNTIFS('당기원장'!$A$5:$A$1004,A933,'당기원장'!$J$5:$J$1004,"확인 필요"))</x:f>
      </x:c>
      <x:c r="K933" s="85" t="str">
        <x:f>IF(A933="","",IF(H933&lt;&gt;"원인분석 대상","",IF(J933&gt;0,"붙임 문서 확인 후 원인 확정 필요","결의서명 기반 원인분류 검토")))</x:f>
      </x:c>
    </x:row>
    <x:row r="934">
      <x:c r="A934" s="73" t="str">
        <x:f>IFERROR(INDEX('계산도우미'!$B$5:$B$2004,MATCH(ROWS($A$5:A934),'계산도우미'!$K$5:$K$2004,0)),"")</x:f>
      </x:c>
      <x:c r="B934" s="73" t="str">
        <x:f>IF(A934="","",IFERROR(INDEX('당기원장'!$B$5:$B$1004,MATCH(A934,'당기원장'!$A$5:$A$1004,0)),IFERROR(INDEX('전기원장'!$B$5:$B$1004,MATCH(A934,'전기원장'!$A$5:$A$1004,0)),"")))</x:f>
      </x:c>
      <x:c r="C934" s="75" t="str">
        <x:f>IF(A934="","",SUMIF('전기원장'!$A$5:$A$1004,A934,'전기원장'!$H$5:$H$1004))</x:f>
      </x:c>
      <x:c r="D934" s="75" t="str">
        <x:f>IF(A934="","",SUMIF('당기원장'!$A$5:$A$1004,A934,'당기원장'!$H$5:$H$1004))</x:f>
      </x:c>
      <x:c r="E934" s="75" t="str">
        <x:f>IF(A934="","",D934-C934)</x:f>
      </x:c>
      <x:c r="F934" s="88" t="str">
        <x:f>IF(A934="","",IF(C934=0,IF(D934=0,0,1),ABS(E934)/ABS(C934)))</x:f>
      </x:c>
      <x:c r="G934" s="73" t="str">
        <x:f>IF(A934="","",IF(AND(C934=0,D934&lt;&gt;0),"신규",IF(AND(C934&lt;&gt;0,D934=0),"소멸",IF(E934=0,"변동없음","금액변동"))))</x:f>
      </x:c>
      <x:c r="H934" s="73" t="str">
        <x:f>IF(A934="","",IF(AND(ABS(E934)&gt;='기준설정'!$B$6,OR(G934="신규",G934="소멸",F934&gt;='기준설정'!$B$5)),"원인분석 대상","일반"))</x:f>
      </x:c>
      <x:c r="I934" s="73" t="str">
        <x:f>IF(A934="","",IF(H934="원인분석 대상","세부원인분석 시트에서 거래별 원인을 검토","-"))</x:f>
      </x:c>
      <x:c r="J934" s="73" t="str">
        <x:f>IF(A934="","",COUNTIFS('전기원장'!$A$5:$A$1004,A934,'전기원장'!$J$5:$J$1004,"확인 필요")+COUNTIFS('당기원장'!$A$5:$A$1004,A934,'당기원장'!$J$5:$J$1004,"확인 필요"))</x:f>
      </x:c>
      <x:c r="K934" s="85" t="str">
        <x:f>IF(A934="","",IF(H934&lt;&gt;"원인분석 대상","",IF(J934&gt;0,"붙임 문서 확인 후 원인 확정 필요","결의서명 기반 원인분류 검토")))</x:f>
      </x:c>
    </x:row>
    <x:row r="935">
      <x:c r="A935" s="73" t="str">
        <x:f>IFERROR(INDEX('계산도우미'!$B$5:$B$2004,MATCH(ROWS($A$5:A935),'계산도우미'!$K$5:$K$2004,0)),"")</x:f>
      </x:c>
      <x:c r="B935" s="73" t="str">
        <x:f>IF(A935="","",IFERROR(INDEX('당기원장'!$B$5:$B$1004,MATCH(A935,'당기원장'!$A$5:$A$1004,0)),IFERROR(INDEX('전기원장'!$B$5:$B$1004,MATCH(A935,'전기원장'!$A$5:$A$1004,0)),"")))</x:f>
      </x:c>
      <x:c r="C935" s="75" t="str">
        <x:f>IF(A935="","",SUMIF('전기원장'!$A$5:$A$1004,A935,'전기원장'!$H$5:$H$1004))</x:f>
      </x:c>
      <x:c r="D935" s="75" t="str">
        <x:f>IF(A935="","",SUMIF('당기원장'!$A$5:$A$1004,A935,'당기원장'!$H$5:$H$1004))</x:f>
      </x:c>
      <x:c r="E935" s="75" t="str">
        <x:f>IF(A935="","",D935-C935)</x:f>
      </x:c>
      <x:c r="F935" s="88" t="str">
        <x:f>IF(A935="","",IF(C935=0,IF(D935=0,0,1),ABS(E935)/ABS(C935)))</x:f>
      </x:c>
      <x:c r="G935" s="73" t="str">
        <x:f>IF(A935="","",IF(AND(C935=0,D935&lt;&gt;0),"신규",IF(AND(C935&lt;&gt;0,D935=0),"소멸",IF(E935=0,"변동없음","금액변동"))))</x:f>
      </x:c>
      <x:c r="H935" s="73" t="str">
        <x:f>IF(A935="","",IF(AND(ABS(E935)&gt;='기준설정'!$B$6,OR(G935="신규",G935="소멸",F935&gt;='기준설정'!$B$5)),"원인분석 대상","일반"))</x:f>
      </x:c>
      <x:c r="I935" s="73" t="str">
        <x:f>IF(A935="","",IF(H935="원인분석 대상","세부원인분석 시트에서 거래별 원인을 검토","-"))</x:f>
      </x:c>
      <x:c r="J935" s="73" t="str">
        <x:f>IF(A935="","",COUNTIFS('전기원장'!$A$5:$A$1004,A935,'전기원장'!$J$5:$J$1004,"확인 필요")+COUNTIFS('당기원장'!$A$5:$A$1004,A935,'당기원장'!$J$5:$J$1004,"확인 필요"))</x:f>
      </x:c>
      <x:c r="K935" s="85" t="str">
        <x:f>IF(A935="","",IF(H935&lt;&gt;"원인분석 대상","",IF(J935&gt;0,"붙임 문서 확인 후 원인 확정 필요","결의서명 기반 원인분류 검토")))</x:f>
      </x:c>
    </x:row>
    <x:row r="936">
      <x:c r="A936" s="73" t="str">
        <x:f>IFERROR(INDEX('계산도우미'!$B$5:$B$2004,MATCH(ROWS($A$5:A936),'계산도우미'!$K$5:$K$2004,0)),"")</x:f>
      </x:c>
      <x:c r="B936" s="73" t="str">
        <x:f>IF(A936="","",IFERROR(INDEX('당기원장'!$B$5:$B$1004,MATCH(A936,'당기원장'!$A$5:$A$1004,0)),IFERROR(INDEX('전기원장'!$B$5:$B$1004,MATCH(A936,'전기원장'!$A$5:$A$1004,0)),"")))</x:f>
      </x:c>
      <x:c r="C936" s="75" t="str">
        <x:f>IF(A936="","",SUMIF('전기원장'!$A$5:$A$1004,A936,'전기원장'!$H$5:$H$1004))</x:f>
      </x:c>
      <x:c r="D936" s="75" t="str">
        <x:f>IF(A936="","",SUMIF('당기원장'!$A$5:$A$1004,A936,'당기원장'!$H$5:$H$1004))</x:f>
      </x:c>
      <x:c r="E936" s="75" t="str">
        <x:f>IF(A936="","",D936-C936)</x:f>
      </x:c>
      <x:c r="F936" s="88" t="str">
        <x:f>IF(A936="","",IF(C936=0,IF(D936=0,0,1),ABS(E936)/ABS(C936)))</x:f>
      </x:c>
      <x:c r="G936" s="73" t="str">
        <x:f>IF(A936="","",IF(AND(C936=0,D936&lt;&gt;0),"신규",IF(AND(C936&lt;&gt;0,D936=0),"소멸",IF(E936=0,"변동없음","금액변동"))))</x:f>
      </x:c>
      <x:c r="H936" s="73" t="str">
        <x:f>IF(A936="","",IF(AND(ABS(E936)&gt;='기준설정'!$B$6,OR(G936="신규",G936="소멸",F936&gt;='기준설정'!$B$5)),"원인분석 대상","일반"))</x:f>
      </x:c>
      <x:c r="I936" s="73" t="str">
        <x:f>IF(A936="","",IF(H936="원인분석 대상","세부원인분석 시트에서 거래별 원인을 검토","-"))</x:f>
      </x:c>
      <x:c r="J936" s="73" t="str">
        <x:f>IF(A936="","",COUNTIFS('전기원장'!$A$5:$A$1004,A936,'전기원장'!$J$5:$J$1004,"확인 필요")+COUNTIFS('당기원장'!$A$5:$A$1004,A936,'당기원장'!$J$5:$J$1004,"확인 필요"))</x:f>
      </x:c>
      <x:c r="K936" s="85" t="str">
        <x:f>IF(A936="","",IF(H936&lt;&gt;"원인분석 대상","",IF(J936&gt;0,"붙임 문서 확인 후 원인 확정 필요","결의서명 기반 원인분류 검토")))</x:f>
      </x:c>
    </x:row>
    <x:row r="937">
      <x:c r="A937" s="73" t="str">
        <x:f>IFERROR(INDEX('계산도우미'!$B$5:$B$2004,MATCH(ROWS($A$5:A937),'계산도우미'!$K$5:$K$2004,0)),"")</x:f>
      </x:c>
      <x:c r="B937" s="73" t="str">
        <x:f>IF(A937="","",IFERROR(INDEX('당기원장'!$B$5:$B$1004,MATCH(A937,'당기원장'!$A$5:$A$1004,0)),IFERROR(INDEX('전기원장'!$B$5:$B$1004,MATCH(A937,'전기원장'!$A$5:$A$1004,0)),"")))</x:f>
      </x:c>
      <x:c r="C937" s="75" t="str">
        <x:f>IF(A937="","",SUMIF('전기원장'!$A$5:$A$1004,A937,'전기원장'!$H$5:$H$1004))</x:f>
      </x:c>
      <x:c r="D937" s="75" t="str">
        <x:f>IF(A937="","",SUMIF('당기원장'!$A$5:$A$1004,A937,'당기원장'!$H$5:$H$1004))</x:f>
      </x:c>
      <x:c r="E937" s="75" t="str">
        <x:f>IF(A937="","",D937-C937)</x:f>
      </x:c>
      <x:c r="F937" s="88" t="str">
        <x:f>IF(A937="","",IF(C937=0,IF(D937=0,0,1),ABS(E937)/ABS(C937)))</x:f>
      </x:c>
      <x:c r="G937" s="73" t="str">
        <x:f>IF(A937="","",IF(AND(C937=0,D937&lt;&gt;0),"신규",IF(AND(C937&lt;&gt;0,D937=0),"소멸",IF(E937=0,"변동없음","금액변동"))))</x:f>
      </x:c>
      <x:c r="H937" s="73" t="str">
        <x:f>IF(A937="","",IF(AND(ABS(E937)&gt;='기준설정'!$B$6,OR(G937="신규",G937="소멸",F937&gt;='기준설정'!$B$5)),"원인분석 대상","일반"))</x:f>
      </x:c>
      <x:c r="I937" s="73" t="str">
        <x:f>IF(A937="","",IF(H937="원인분석 대상","세부원인분석 시트에서 거래별 원인을 검토","-"))</x:f>
      </x:c>
      <x:c r="J937" s="73" t="str">
        <x:f>IF(A937="","",COUNTIFS('전기원장'!$A$5:$A$1004,A937,'전기원장'!$J$5:$J$1004,"확인 필요")+COUNTIFS('당기원장'!$A$5:$A$1004,A937,'당기원장'!$J$5:$J$1004,"확인 필요"))</x:f>
      </x:c>
      <x:c r="K937" s="85" t="str">
        <x:f>IF(A937="","",IF(H937&lt;&gt;"원인분석 대상","",IF(J937&gt;0,"붙임 문서 확인 후 원인 확정 필요","결의서명 기반 원인분류 검토")))</x:f>
      </x:c>
    </x:row>
    <x:row r="938">
      <x:c r="A938" s="73" t="str">
        <x:f>IFERROR(INDEX('계산도우미'!$B$5:$B$2004,MATCH(ROWS($A$5:A938),'계산도우미'!$K$5:$K$2004,0)),"")</x:f>
      </x:c>
      <x:c r="B938" s="73" t="str">
        <x:f>IF(A938="","",IFERROR(INDEX('당기원장'!$B$5:$B$1004,MATCH(A938,'당기원장'!$A$5:$A$1004,0)),IFERROR(INDEX('전기원장'!$B$5:$B$1004,MATCH(A938,'전기원장'!$A$5:$A$1004,0)),"")))</x:f>
      </x:c>
      <x:c r="C938" s="75" t="str">
        <x:f>IF(A938="","",SUMIF('전기원장'!$A$5:$A$1004,A938,'전기원장'!$H$5:$H$1004))</x:f>
      </x:c>
      <x:c r="D938" s="75" t="str">
        <x:f>IF(A938="","",SUMIF('당기원장'!$A$5:$A$1004,A938,'당기원장'!$H$5:$H$1004))</x:f>
      </x:c>
      <x:c r="E938" s="75" t="str">
        <x:f>IF(A938="","",D938-C938)</x:f>
      </x:c>
      <x:c r="F938" s="88" t="str">
        <x:f>IF(A938="","",IF(C938=0,IF(D938=0,0,1),ABS(E938)/ABS(C938)))</x:f>
      </x:c>
      <x:c r="G938" s="73" t="str">
        <x:f>IF(A938="","",IF(AND(C938=0,D938&lt;&gt;0),"신규",IF(AND(C938&lt;&gt;0,D938=0),"소멸",IF(E938=0,"변동없음","금액변동"))))</x:f>
      </x:c>
      <x:c r="H938" s="73" t="str">
        <x:f>IF(A938="","",IF(AND(ABS(E938)&gt;='기준설정'!$B$6,OR(G938="신규",G938="소멸",F938&gt;='기준설정'!$B$5)),"원인분석 대상","일반"))</x:f>
      </x:c>
      <x:c r="I938" s="73" t="str">
        <x:f>IF(A938="","",IF(H938="원인분석 대상","세부원인분석 시트에서 거래별 원인을 검토","-"))</x:f>
      </x:c>
      <x:c r="J938" s="73" t="str">
        <x:f>IF(A938="","",COUNTIFS('전기원장'!$A$5:$A$1004,A938,'전기원장'!$J$5:$J$1004,"확인 필요")+COUNTIFS('당기원장'!$A$5:$A$1004,A938,'당기원장'!$J$5:$J$1004,"확인 필요"))</x:f>
      </x:c>
      <x:c r="K938" s="85" t="str">
        <x:f>IF(A938="","",IF(H938&lt;&gt;"원인분석 대상","",IF(J938&gt;0,"붙임 문서 확인 후 원인 확정 필요","결의서명 기반 원인분류 검토")))</x:f>
      </x:c>
    </x:row>
    <x:row r="939">
      <x:c r="A939" s="73" t="str">
        <x:f>IFERROR(INDEX('계산도우미'!$B$5:$B$2004,MATCH(ROWS($A$5:A939),'계산도우미'!$K$5:$K$2004,0)),"")</x:f>
      </x:c>
      <x:c r="B939" s="73" t="str">
        <x:f>IF(A939="","",IFERROR(INDEX('당기원장'!$B$5:$B$1004,MATCH(A939,'당기원장'!$A$5:$A$1004,0)),IFERROR(INDEX('전기원장'!$B$5:$B$1004,MATCH(A939,'전기원장'!$A$5:$A$1004,0)),"")))</x:f>
      </x:c>
      <x:c r="C939" s="75" t="str">
        <x:f>IF(A939="","",SUMIF('전기원장'!$A$5:$A$1004,A939,'전기원장'!$H$5:$H$1004))</x:f>
      </x:c>
      <x:c r="D939" s="75" t="str">
        <x:f>IF(A939="","",SUMIF('당기원장'!$A$5:$A$1004,A939,'당기원장'!$H$5:$H$1004))</x:f>
      </x:c>
      <x:c r="E939" s="75" t="str">
        <x:f>IF(A939="","",D939-C939)</x:f>
      </x:c>
      <x:c r="F939" s="88" t="str">
        <x:f>IF(A939="","",IF(C939=0,IF(D939=0,0,1),ABS(E939)/ABS(C939)))</x:f>
      </x:c>
      <x:c r="G939" s="73" t="str">
        <x:f>IF(A939="","",IF(AND(C939=0,D939&lt;&gt;0),"신규",IF(AND(C939&lt;&gt;0,D939=0),"소멸",IF(E939=0,"변동없음","금액변동"))))</x:f>
      </x:c>
      <x:c r="H939" s="73" t="str">
        <x:f>IF(A939="","",IF(AND(ABS(E939)&gt;='기준설정'!$B$6,OR(G939="신규",G939="소멸",F939&gt;='기준설정'!$B$5)),"원인분석 대상","일반"))</x:f>
      </x:c>
      <x:c r="I939" s="73" t="str">
        <x:f>IF(A939="","",IF(H939="원인분석 대상","세부원인분석 시트에서 거래별 원인을 검토","-"))</x:f>
      </x:c>
      <x:c r="J939" s="73" t="str">
        <x:f>IF(A939="","",COUNTIFS('전기원장'!$A$5:$A$1004,A939,'전기원장'!$J$5:$J$1004,"확인 필요")+COUNTIFS('당기원장'!$A$5:$A$1004,A939,'당기원장'!$J$5:$J$1004,"확인 필요"))</x:f>
      </x:c>
      <x:c r="K939" s="85" t="str">
        <x:f>IF(A939="","",IF(H939&lt;&gt;"원인분석 대상","",IF(J939&gt;0,"붙임 문서 확인 후 원인 확정 필요","결의서명 기반 원인분류 검토")))</x:f>
      </x:c>
    </x:row>
    <x:row r="940">
      <x:c r="A940" s="73" t="str">
        <x:f>IFERROR(INDEX('계산도우미'!$B$5:$B$2004,MATCH(ROWS($A$5:A940),'계산도우미'!$K$5:$K$2004,0)),"")</x:f>
      </x:c>
      <x:c r="B940" s="73" t="str">
        <x:f>IF(A940="","",IFERROR(INDEX('당기원장'!$B$5:$B$1004,MATCH(A940,'당기원장'!$A$5:$A$1004,0)),IFERROR(INDEX('전기원장'!$B$5:$B$1004,MATCH(A940,'전기원장'!$A$5:$A$1004,0)),"")))</x:f>
      </x:c>
      <x:c r="C940" s="75" t="str">
        <x:f>IF(A940="","",SUMIF('전기원장'!$A$5:$A$1004,A940,'전기원장'!$H$5:$H$1004))</x:f>
      </x:c>
      <x:c r="D940" s="75" t="str">
        <x:f>IF(A940="","",SUMIF('당기원장'!$A$5:$A$1004,A940,'당기원장'!$H$5:$H$1004))</x:f>
      </x:c>
      <x:c r="E940" s="75" t="str">
        <x:f>IF(A940="","",D940-C940)</x:f>
      </x:c>
      <x:c r="F940" s="88" t="str">
        <x:f>IF(A940="","",IF(C940=0,IF(D940=0,0,1),ABS(E940)/ABS(C940)))</x:f>
      </x:c>
      <x:c r="G940" s="73" t="str">
        <x:f>IF(A940="","",IF(AND(C940=0,D940&lt;&gt;0),"신규",IF(AND(C940&lt;&gt;0,D940=0),"소멸",IF(E940=0,"변동없음","금액변동"))))</x:f>
      </x:c>
      <x:c r="H940" s="73" t="str">
        <x:f>IF(A940="","",IF(AND(ABS(E940)&gt;='기준설정'!$B$6,OR(G940="신규",G940="소멸",F940&gt;='기준설정'!$B$5)),"원인분석 대상","일반"))</x:f>
      </x:c>
      <x:c r="I940" s="73" t="str">
        <x:f>IF(A940="","",IF(H940="원인분석 대상","세부원인분석 시트에서 거래별 원인을 검토","-"))</x:f>
      </x:c>
      <x:c r="J940" s="73" t="str">
        <x:f>IF(A940="","",COUNTIFS('전기원장'!$A$5:$A$1004,A940,'전기원장'!$J$5:$J$1004,"확인 필요")+COUNTIFS('당기원장'!$A$5:$A$1004,A940,'당기원장'!$J$5:$J$1004,"확인 필요"))</x:f>
      </x:c>
      <x:c r="K940" s="85" t="str">
        <x:f>IF(A940="","",IF(H940&lt;&gt;"원인분석 대상","",IF(J940&gt;0,"붙임 문서 확인 후 원인 확정 필요","결의서명 기반 원인분류 검토")))</x:f>
      </x:c>
    </x:row>
    <x:row r="941">
      <x:c r="A941" s="73" t="str">
        <x:f>IFERROR(INDEX('계산도우미'!$B$5:$B$2004,MATCH(ROWS($A$5:A941),'계산도우미'!$K$5:$K$2004,0)),"")</x:f>
      </x:c>
      <x:c r="B941" s="73" t="str">
        <x:f>IF(A941="","",IFERROR(INDEX('당기원장'!$B$5:$B$1004,MATCH(A941,'당기원장'!$A$5:$A$1004,0)),IFERROR(INDEX('전기원장'!$B$5:$B$1004,MATCH(A941,'전기원장'!$A$5:$A$1004,0)),"")))</x:f>
      </x:c>
      <x:c r="C941" s="75" t="str">
        <x:f>IF(A941="","",SUMIF('전기원장'!$A$5:$A$1004,A941,'전기원장'!$H$5:$H$1004))</x:f>
      </x:c>
      <x:c r="D941" s="75" t="str">
        <x:f>IF(A941="","",SUMIF('당기원장'!$A$5:$A$1004,A941,'당기원장'!$H$5:$H$1004))</x:f>
      </x:c>
      <x:c r="E941" s="75" t="str">
        <x:f>IF(A941="","",D941-C941)</x:f>
      </x:c>
      <x:c r="F941" s="88" t="str">
        <x:f>IF(A941="","",IF(C941=0,IF(D941=0,0,1),ABS(E941)/ABS(C941)))</x:f>
      </x:c>
      <x:c r="G941" s="73" t="str">
        <x:f>IF(A941="","",IF(AND(C941=0,D941&lt;&gt;0),"신규",IF(AND(C941&lt;&gt;0,D941=0),"소멸",IF(E941=0,"변동없음","금액변동"))))</x:f>
      </x:c>
      <x:c r="H941" s="73" t="str">
        <x:f>IF(A941="","",IF(AND(ABS(E941)&gt;='기준설정'!$B$6,OR(G941="신규",G941="소멸",F941&gt;='기준설정'!$B$5)),"원인분석 대상","일반"))</x:f>
      </x:c>
      <x:c r="I941" s="73" t="str">
        <x:f>IF(A941="","",IF(H941="원인분석 대상","세부원인분석 시트에서 거래별 원인을 검토","-"))</x:f>
      </x:c>
      <x:c r="J941" s="73" t="str">
        <x:f>IF(A941="","",COUNTIFS('전기원장'!$A$5:$A$1004,A941,'전기원장'!$J$5:$J$1004,"확인 필요")+COUNTIFS('당기원장'!$A$5:$A$1004,A941,'당기원장'!$J$5:$J$1004,"확인 필요"))</x:f>
      </x:c>
      <x:c r="K941" s="85" t="str">
        <x:f>IF(A941="","",IF(H941&lt;&gt;"원인분석 대상","",IF(J941&gt;0,"붙임 문서 확인 후 원인 확정 필요","결의서명 기반 원인분류 검토")))</x:f>
      </x:c>
    </x:row>
    <x:row r="942">
      <x:c r="A942" s="73" t="str">
        <x:f>IFERROR(INDEX('계산도우미'!$B$5:$B$2004,MATCH(ROWS($A$5:A942),'계산도우미'!$K$5:$K$2004,0)),"")</x:f>
      </x:c>
      <x:c r="B942" s="73" t="str">
        <x:f>IF(A942="","",IFERROR(INDEX('당기원장'!$B$5:$B$1004,MATCH(A942,'당기원장'!$A$5:$A$1004,0)),IFERROR(INDEX('전기원장'!$B$5:$B$1004,MATCH(A942,'전기원장'!$A$5:$A$1004,0)),"")))</x:f>
      </x:c>
      <x:c r="C942" s="75" t="str">
        <x:f>IF(A942="","",SUMIF('전기원장'!$A$5:$A$1004,A942,'전기원장'!$H$5:$H$1004))</x:f>
      </x:c>
      <x:c r="D942" s="75" t="str">
        <x:f>IF(A942="","",SUMIF('당기원장'!$A$5:$A$1004,A942,'당기원장'!$H$5:$H$1004))</x:f>
      </x:c>
      <x:c r="E942" s="75" t="str">
        <x:f>IF(A942="","",D942-C942)</x:f>
      </x:c>
      <x:c r="F942" s="88" t="str">
        <x:f>IF(A942="","",IF(C942=0,IF(D942=0,0,1),ABS(E942)/ABS(C942)))</x:f>
      </x:c>
      <x:c r="G942" s="73" t="str">
        <x:f>IF(A942="","",IF(AND(C942=0,D942&lt;&gt;0),"신규",IF(AND(C942&lt;&gt;0,D942=0),"소멸",IF(E942=0,"변동없음","금액변동"))))</x:f>
      </x:c>
      <x:c r="H942" s="73" t="str">
        <x:f>IF(A942="","",IF(AND(ABS(E942)&gt;='기준설정'!$B$6,OR(G942="신규",G942="소멸",F942&gt;='기준설정'!$B$5)),"원인분석 대상","일반"))</x:f>
      </x:c>
      <x:c r="I942" s="73" t="str">
        <x:f>IF(A942="","",IF(H942="원인분석 대상","세부원인분석 시트에서 거래별 원인을 검토","-"))</x:f>
      </x:c>
      <x:c r="J942" s="73" t="str">
        <x:f>IF(A942="","",COUNTIFS('전기원장'!$A$5:$A$1004,A942,'전기원장'!$J$5:$J$1004,"확인 필요")+COUNTIFS('당기원장'!$A$5:$A$1004,A942,'당기원장'!$J$5:$J$1004,"확인 필요"))</x:f>
      </x:c>
      <x:c r="K942" s="85" t="str">
        <x:f>IF(A942="","",IF(H942&lt;&gt;"원인분석 대상","",IF(J942&gt;0,"붙임 문서 확인 후 원인 확정 필요","결의서명 기반 원인분류 검토")))</x:f>
      </x:c>
    </x:row>
    <x:row r="943">
      <x:c r="A943" s="73" t="str">
        <x:f>IFERROR(INDEX('계산도우미'!$B$5:$B$2004,MATCH(ROWS($A$5:A943),'계산도우미'!$K$5:$K$2004,0)),"")</x:f>
      </x:c>
      <x:c r="B943" s="73" t="str">
        <x:f>IF(A943="","",IFERROR(INDEX('당기원장'!$B$5:$B$1004,MATCH(A943,'당기원장'!$A$5:$A$1004,0)),IFERROR(INDEX('전기원장'!$B$5:$B$1004,MATCH(A943,'전기원장'!$A$5:$A$1004,0)),"")))</x:f>
      </x:c>
      <x:c r="C943" s="75" t="str">
        <x:f>IF(A943="","",SUMIF('전기원장'!$A$5:$A$1004,A943,'전기원장'!$H$5:$H$1004))</x:f>
      </x:c>
      <x:c r="D943" s="75" t="str">
        <x:f>IF(A943="","",SUMIF('당기원장'!$A$5:$A$1004,A943,'당기원장'!$H$5:$H$1004))</x:f>
      </x:c>
      <x:c r="E943" s="75" t="str">
        <x:f>IF(A943="","",D943-C943)</x:f>
      </x:c>
      <x:c r="F943" s="88" t="str">
        <x:f>IF(A943="","",IF(C943=0,IF(D943=0,0,1),ABS(E943)/ABS(C943)))</x:f>
      </x:c>
      <x:c r="G943" s="73" t="str">
        <x:f>IF(A943="","",IF(AND(C943=0,D943&lt;&gt;0),"신규",IF(AND(C943&lt;&gt;0,D943=0),"소멸",IF(E943=0,"변동없음","금액변동"))))</x:f>
      </x:c>
      <x:c r="H943" s="73" t="str">
        <x:f>IF(A943="","",IF(AND(ABS(E943)&gt;='기준설정'!$B$6,OR(G943="신규",G943="소멸",F943&gt;='기준설정'!$B$5)),"원인분석 대상","일반"))</x:f>
      </x:c>
      <x:c r="I943" s="73" t="str">
        <x:f>IF(A943="","",IF(H943="원인분석 대상","세부원인분석 시트에서 거래별 원인을 검토","-"))</x:f>
      </x:c>
      <x:c r="J943" s="73" t="str">
        <x:f>IF(A943="","",COUNTIFS('전기원장'!$A$5:$A$1004,A943,'전기원장'!$J$5:$J$1004,"확인 필요")+COUNTIFS('당기원장'!$A$5:$A$1004,A943,'당기원장'!$J$5:$J$1004,"확인 필요"))</x:f>
      </x:c>
      <x:c r="K943" s="85" t="str">
        <x:f>IF(A943="","",IF(H943&lt;&gt;"원인분석 대상","",IF(J943&gt;0,"붙임 문서 확인 후 원인 확정 필요","결의서명 기반 원인분류 검토")))</x:f>
      </x:c>
    </x:row>
    <x:row r="944">
      <x:c r="A944" s="73" t="str">
        <x:f>IFERROR(INDEX('계산도우미'!$B$5:$B$2004,MATCH(ROWS($A$5:A944),'계산도우미'!$K$5:$K$2004,0)),"")</x:f>
      </x:c>
      <x:c r="B944" s="73" t="str">
        <x:f>IF(A944="","",IFERROR(INDEX('당기원장'!$B$5:$B$1004,MATCH(A944,'당기원장'!$A$5:$A$1004,0)),IFERROR(INDEX('전기원장'!$B$5:$B$1004,MATCH(A944,'전기원장'!$A$5:$A$1004,0)),"")))</x:f>
      </x:c>
      <x:c r="C944" s="75" t="str">
        <x:f>IF(A944="","",SUMIF('전기원장'!$A$5:$A$1004,A944,'전기원장'!$H$5:$H$1004))</x:f>
      </x:c>
      <x:c r="D944" s="75" t="str">
        <x:f>IF(A944="","",SUMIF('당기원장'!$A$5:$A$1004,A944,'당기원장'!$H$5:$H$1004))</x:f>
      </x:c>
      <x:c r="E944" s="75" t="str">
        <x:f>IF(A944="","",D944-C944)</x:f>
      </x:c>
      <x:c r="F944" s="88" t="str">
        <x:f>IF(A944="","",IF(C944=0,IF(D944=0,0,1),ABS(E944)/ABS(C944)))</x:f>
      </x:c>
      <x:c r="G944" s="73" t="str">
        <x:f>IF(A944="","",IF(AND(C944=0,D944&lt;&gt;0),"신규",IF(AND(C944&lt;&gt;0,D944=0),"소멸",IF(E944=0,"변동없음","금액변동"))))</x:f>
      </x:c>
      <x:c r="H944" s="73" t="str">
        <x:f>IF(A944="","",IF(AND(ABS(E944)&gt;='기준설정'!$B$6,OR(G944="신규",G944="소멸",F944&gt;='기준설정'!$B$5)),"원인분석 대상","일반"))</x:f>
      </x:c>
      <x:c r="I944" s="73" t="str">
        <x:f>IF(A944="","",IF(H944="원인분석 대상","세부원인분석 시트에서 거래별 원인을 검토","-"))</x:f>
      </x:c>
      <x:c r="J944" s="73" t="str">
        <x:f>IF(A944="","",COUNTIFS('전기원장'!$A$5:$A$1004,A944,'전기원장'!$J$5:$J$1004,"확인 필요")+COUNTIFS('당기원장'!$A$5:$A$1004,A944,'당기원장'!$J$5:$J$1004,"확인 필요"))</x:f>
      </x:c>
      <x:c r="K944" s="85" t="str">
        <x:f>IF(A944="","",IF(H944&lt;&gt;"원인분석 대상","",IF(J944&gt;0,"붙임 문서 확인 후 원인 확정 필요","결의서명 기반 원인분류 검토")))</x:f>
      </x:c>
    </x:row>
    <x:row r="945">
      <x:c r="A945" s="73" t="str">
        <x:f>IFERROR(INDEX('계산도우미'!$B$5:$B$2004,MATCH(ROWS($A$5:A945),'계산도우미'!$K$5:$K$2004,0)),"")</x:f>
      </x:c>
      <x:c r="B945" s="73" t="str">
        <x:f>IF(A945="","",IFERROR(INDEX('당기원장'!$B$5:$B$1004,MATCH(A945,'당기원장'!$A$5:$A$1004,0)),IFERROR(INDEX('전기원장'!$B$5:$B$1004,MATCH(A945,'전기원장'!$A$5:$A$1004,0)),"")))</x:f>
      </x:c>
      <x:c r="C945" s="75" t="str">
        <x:f>IF(A945="","",SUMIF('전기원장'!$A$5:$A$1004,A945,'전기원장'!$H$5:$H$1004))</x:f>
      </x:c>
      <x:c r="D945" s="75" t="str">
        <x:f>IF(A945="","",SUMIF('당기원장'!$A$5:$A$1004,A945,'당기원장'!$H$5:$H$1004))</x:f>
      </x:c>
      <x:c r="E945" s="75" t="str">
        <x:f>IF(A945="","",D945-C945)</x:f>
      </x:c>
      <x:c r="F945" s="88" t="str">
        <x:f>IF(A945="","",IF(C945=0,IF(D945=0,0,1),ABS(E945)/ABS(C945)))</x:f>
      </x:c>
      <x:c r="G945" s="73" t="str">
        <x:f>IF(A945="","",IF(AND(C945=0,D945&lt;&gt;0),"신규",IF(AND(C945&lt;&gt;0,D945=0),"소멸",IF(E945=0,"변동없음","금액변동"))))</x:f>
      </x:c>
      <x:c r="H945" s="73" t="str">
        <x:f>IF(A945="","",IF(AND(ABS(E945)&gt;='기준설정'!$B$6,OR(G945="신규",G945="소멸",F945&gt;='기준설정'!$B$5)),"원인분석 대상","일반"))</x:f>
      </x:c>
      <x:c r="I945" s="73" t="str">
        <x:f>IF(A945="","",IF(H945="원인분석 대상","세부원인분석 시트에서 거래별 원인을 검토","-"))</x:f>
      </x:c>
      <x:c r="J945" s="73" t="str">
        <x:f>IF(A945="","",COUNTIFS('전기원장'!$A$5:$A$1004,A945,'전기원장'!$J$5:$J$1004,"확인 필요")+COUNTIFS('당기원장'!$A$5:$A$1004,A945,'당기원장'!$J$5:$J$1004,"확인 필요"))</x:f>
      </x:c>
      <x:c r="K945" s="85" t="str">
        <x:f>IF(A945="","",IF(H945&lt;&gt;"원인분석 대상","",IF(J945&gt;0,"붙임 문서 확인 후 원인 확정 필요","결의서명 기반 원인분류 검토")))</x:f>
      </x:c>
    </x:row>
    <x:row r="946">
      <x:c r="A946" s="73" t="str">
        <x:f>IFERROR(INDEX('계산도우미'!$B$5:$B$2004,MATCH(ROWS($A$5:A946),'계산도우미'!$K$5:$K$2004,0)),"")</x:f>
      </x:c>
      <x:c r="B946" s="73" t="str">
        <x:f>IF(A946="","",IFERROR(INDEX('당기원장'!$B$5:$B$1004,MATCH(A946,'당기원장'!$A$5:$A$1004,0)),IFERROR(INDEX('전기원장'!$B$5:$B$1004,MATCH(A946,'전기원장'!$A$5:$A$1004,0)),"")))</x:f>
      </x:c>
      <x:c r="C946" s="75" t="str">
        <x:f>IF(A946="","",SUMIF('전기원장'!$A$5:$A$1004,A946,'전기원장'!$H$5:$H$1004))</x:f>
      </x:c>
      <x:c r="D946" s="75" t="str">
        <x:f>IF(A946="","",SUMIF('당기원장'!$A$5:$A$1004,A946,'당기원장'!$H$5:$H$1004))</x:f>
      </x:c>
      <x:c r="E946" s="75" t="str">
        <x:f>IF(A946="","",D946-C946)</x:f>
      </x:c>
      <x:c r="F946" s="88" t="str">
        <x:f>IF(A946="","",IF(C946=0,IF(D946=0,0,1),ABS(E946)/ABS(C946)))</x:f>
      </x:c>
      <x:c r="G946" s="73" t="str">
        <x:f>IF(A946="","",IF(AND(C946=0,D946&lt;&gt;0),"신규",IF(AND(C946&lt;&gt;0,D946=0),"소멸",IF(E946=0,"변동없음","금액변동"))))</x:f>
      </x:c>
      <x:c r="H946" s="73" t="str">
        <x:f>IF(A946="","",IF(AND(ABS(E946)&gt;='기준설정'!$B$6,OR(G946="신규",G946="소멸",F946&gt;='기준설정'!$B$5)),"원인분석 대상","일반"))</x:f>
      </x:c>
      <x:c r="I946" s="73" t="str">
        <x:f>IF(A946="","",IF(H946="원인분석 대상","세부원인분석 시트에서 거래별 원인을 검토","-"))</x:f>
      </x:c>
      <x:c r="J946" s="73" t="str">
        <x:f>IF(A946="","",COUNTIFS('전기원장'!$A$5:$A$1004,A946,'전기원장'!$J$5:$J$1004,"확인 필요")+COUNTIFS('당기원장'!$A$5:$A$1004,A946,'당기원장'!$J$5:$J$1004,"확인 필요"))</x:f>
      </x:c>
      <x:c r="K946" s="85" t="str">
        <x:f>IF(A946="","",IF(H946&lt;&gt;"원인분석 대상","",IF(J946&gt;0,"붙임 문서 확인 후 원인 확정 필요","결의서명 기반 원인분류 검토")))</x:f>
      </x:c>
    </x:row>
    <x:row r="947">
      <x:c r="A947" s="73" t="str">
        <x:f>IFERROR(INDEX('계산도우미'!$B$5:$B$2004,MATCH(ROWS($A$5:A947),'계산도우미'!$K$5:$K$2004,0)),"")</x:f>
      </x:c>
      <x:c r="B947" s="73" t="str">
        <x:f>IF(A947="","",IFERROR(INDEX('당기원장'!$B$5:$B$1004,MATCH(A947,'당기원장'!$A$5:$A$1004,0)),IFERROR(INDEX('전기원장'!$B$5:$B$1004,MATCH(A947,'전기원장'!$A$5:$A$1004,0)),"")))</x:f>
      </x:c>
      <x:c r="C947" s="75" t="str">
        <x:f>IF(A947="","",SUMIF('전기원장'!$A$5:$A$1004,A947,'전기원장'!$H$5:$H$1004))</x:f>
      </x:c>
      <x:c r="D947" s="75" t="str">
        <x:f>IF(A947="","",SUMIF('당기원장'!$A$5:$A$1004,A947,'당기원장'!$H$5:$H$1004))</x:f>
      </x:c>
      <x:c r="E947" s="75" t="str">
        <x:f>IF(A947="","",D947-C947)</x:f>
      </x:c>
      <x:c r="F947" s="88" t="str">
        <x:f>IF(A947="","",IF(C947=0,IF(D947=0,0,1),ABS(E947)/ABS(C947)))</x:f>
      </x:c>
      <x:c r="G947" s="73" t="str">
        <x:f>IF(A947="","",IF(AND(C947=0,D947&lt;&gt;0),"신규",IF(AND(C947&lt;&gt;0,D947=0),"소멸",IF(E947=0,"변동없음","금액변동"))))</x:f>
      </x:c>
      <x:c r="H947" s="73" t="str">
        <x:f>IF(A947="","",IF(AND(ABS(E947)&gt;='기준설정'!$B$6,OR(G947="신규",G947="소멸",F947&gt;='기준설정'!$B$5)),"원인분석 대상","일반"))</x:f>
      </x:c>
      <x:c r="I947" s="73" t="str">
        <x:f>IF(A947="","",IF(H947="원인분석 대상","세부원인분석 시트에서 거래별 원인을 검토","-"))</x:f>
      </x:c>
      <x:c r="J947" s="73" t="str">
        <x:f>IF(A947="","",COUNTIFS('전기원장'!$A$5:$A$1004,A947,'전기원장'!$J$5:$J$1004,"확인 필요")+COUNTIFS('당기원장'!$A$5:$A$1004,A947,'당기원장'!$J$5:$J$1004,"확인 필요"))</x:f>
      </x:c>
      <x:c r="K947" s="85" t="str">
        <x:f>IF(A947="","",IF(H947&lt;&gt;"원인분석 대상","",IF(J947&gt;0,"붙임 문서 확인 후 원인 확정 필요","결의서명 기반 원인분류 검토")))</x:f>
      </x:c>
    </x:row>
    <x:row r="948">
      <x:c r="A948" s="73" t="str">
        <x:f>IFERROR(INDEX('계산도우미'!$B$5:$B$2004,MATCH(ROWS($A$5:A948),'계산도우미'!$K$5:$K$2004,0)),"")</x:f>
      </x:c>
      <x:c r="B948" s="73" t="str">
        <x:f>IF(A948="","",IFERROR(INDEX('당기원장'!$B$5:$B$1004,MATCH(A948,'당기원장'!$A$5:$A$1004,0)),IFERROR(INDEX('전기원장'!$B$5:$B$1004,MATCH(A948,'전기원장'!$A$5:$A$1004,0)),"")))</x:f>
      </x:c>
      <x:c r="C948" s="75" t="str">
        <x:f>IF(A948="","",SUMIF('전기원장'!$A$5:$A$1004,A948,'전기원장'!$H$5:$H$1004))</x:f>
      </x:c>
      <x:c r="D948" s="75" t="str">
        <x:f>IF(A948="","",SUMIF('당기원장'!$A$5:$A$1004,A948,'당기원장'!$H$5:$H$1004))</x:f>
      </x:c>
      <x:c r="E948" s="75" t="str">
        <x:f>IF(A948="","",D948-C948)</x:f>
      </x:c>
      <x:c r="F948" s="88" t="str">
        <x:f>IF(A948="","",IF(C948=0,IF(D948=0,0,1),ABS(E948)/ABS(C948)))</x:f>
      </x:c>
      <x:c r="G948" s="73" t="str">
        <x:f>IF(A948="","",IF(AND(C948=0,D948&lt;&gt;0),"신규",IF(AND(C948&lt;&gt;0,D948=0),"소멸",IF(E948=0,"변동없음","금액변동"))))</x:f>
      </x:c>
      <x:c r="H948" s="73" t="str">
        <x:f>IF(A948="","",IF(AND(ABS(E948)&gt;='기준설정'!$B$6,OR(G948="신규",G948="소멸",F948&gt;='기준설정'!$B$5)),"원인분석 대상","일반"))</x:f>
      </x:c>
      <x:c r="I948" s="73" t="str">
        <x:f>IF(A948="","",IF(H948="원인분석 대상","세부원인분석 시트에서 거래별 원인을 검토","-"))</x:f>
      </x:c>
      <x:c r="J948" s="73" t="str">
        <x:f>IF(A948="","",COUNTIFS('전기원장'!$A$5:$A$1004,A948,'전기원장'!$J$5:$J$1004,"확인 필요")+COUNTIFS('당기원장'!$A$5:$A$1004,A948,'당기원장'!$J$5:$J$1004,"확인 필요"))</x:f>
      </x:c>
      <x:c r="K948" s="85" t="str">
        <x:f>IF(A948="","",IF(H948&lt;&gt;"원인분석 대상","",IF(J948&gt;0,"붙임 문서 확인 후 원인 확정 필요","결의서명 기반 원인분류 검토")))</x:f>
      </x:c>
    </x:row>
    <x:row r="949">
      <x:c r="A949" s="73" t="str">
        <x:f>IFERROR(INDEX('계산도우미'!$B$5:$B$2004,MATCH(ROWS($A$5:A949),'계산도우미'!$K$5:$K$2004,0)),"")</x:f>
      </x:c>
      <x:c r="B949" s="73" t="str">
        <x:f>IF(A949="","",IFERROR(INDEX('당기원장'!$B$5:$B$1004,MATCH(A949,'당기원장'!$A$5:$A$1004,0)),IFERROR(INDEX('전기원장'!$B$5:$B$1004,MATCH(A949,'전기원장'!$A$5:$A$1004,0)),"")))</x:f>
      </x:c>
      <x:c r="C949" s="75" t="str">
        <x:f>IF(A949="","",SUMIF('전기원장'!$A$5:$A$1004,A949,'전기원장'!$H$5:$H$1004))</x:f>
      </x:c>
      <x:c r="D949" s="75" t="str">
        <x:f>IF(A949="","",SUMIF('당기원장'!$A$5:$A$1004,A949,'당기원장'!$H$5:$H$1004))</x:f>
      </x:c>
      <x:c r="E949" s="75" t="str">
        <x:f>IF(A949="","",D949-C949)</x:f>
      </x:c>
      <x:c r="F949" s="88" t="str">
        <x:f>IF(A949="","",IF(C949=0,IF(D949=0,0,1),ABS(E949)/ABS(C949)))</x:f>
      </x:c>
      <x:c r="G949" s="73" t="str">
        <x:f>IF(A949="","",IF(AND(C949=0,D949&lt;&gt;0),"신규",IF(AND(C949&lt;&gt;0,D949=0),"소멸",IF(E949=0,"변동없음","금액변동"))))</x:f>
      </x:c>
      <x:c r="H949" s="73" t="str">
        <x:f>IF(A949="","",IF(AND(ABS(E949)&gt;='기준설정'!$B$6,OR(G949="신규",G949="소멸",F949&gt;='기준설정'!$B$5)),"원인분석 대상","일반"))</x:f>
      </x:c>
      <x:c r="I949" s="73" t="str">
        <x:f>IF(A949="","",IF(H949="원인분석 대상","세부원인분석 시트에서 거래별 원인을 검토","-"))</x:f>
      </x:c>
      <x:c r="J949" s="73" t="str">
        <x:f>IF(A949="","",COUNTIFS('전기원장'!$A$5:$A$1004,A949,'전기원장'!$J$5:$J$1004,"확인 필요")+COUNTIFS('당기원장'!$A$5:$A$1004,A949,'당기원장'!$J$5:$J$1004,"확인 필요"))</x:f>
      </x:c>
      <x:c r="K949" s="85" t="str">
        <x:f>IF(A949="","",IF(H949&lt;&gt;"원인분석 대상","",IF(J949&gt;0,"붙임 문서 확인 후 원인 확정 필요","결의서명 기반 원인분류 검토")))</x:f>
      </x:c>
    </x:row>
    <x:row r="950">
      <x:c r="A950" s="73" t="str">
        <x:f>IFERROR(INDEX('계산도우미'!$B$5:$B$2004,MATCH(ROWS($A$5:A950),'계산도우미'!$K$5:$K$2004,0)),"")</x:f>
      </x:c>
      <x:c r="B950" s="73" t="str">
        <x:f>IF(A950="","",IFERROR(INDEX('당기원장'!$B$5:$B$1004,MATCH(A950,'당기원장'!$A$5:$A$1004,0)),IFERROR(INDEX('전기원장'!$B$5:$B$1004,MATCH(A950,'전기원장'!$A$5:$A$1004,0)),"")))</x:f>
      </x:c>
      <x:c r="C950" s="75" t="str">
        <x:f>IF(A950="","",SUMIF('전기원장'!$A$5:$A$1004,A950,'전기원장'!$H$5:$H$1004))</x:f>
      </x:c>
      <x:c r="D950" s="75" t="str">
        <x:f>IF(A950="","",SUMIF('당기원장'!$A$5:$A$1004,A950,'당기원장'!$H$5:$H$1004))</x:f>
      </x:c>
      <x:c r="E950" s="75" t="str">
        <x:f>IF(A950="","",D950-C950)</x:f>
      </x:c>
      <x:c r="F950" s="88" t="str">
        <x:f>IF(A950="","",IF(C950=0,IF(D950=0,0,1),ABS(E950)/ABS(C950)))</x:f>
      </x:c>
      <x:c r="G950" s="73" t="str">
        <x:f>IF(A950="","",IF(AND(C950=0,D950&lt;&gt;0),"신규",IF(AND(C950&lt;&gt;0,D950=0),"소멸",IF(E950=0,"변동없음","금액변동"))))</x:f>
      </x:c>
      <x:c r="H950" s="73" t="str">
        <x:f>IF(A950="","",IF(AND(ABS(E950)&gt;='기준설정'!$B$6,OR(G950="신규",G950="소멸",F950&gt;='기준설정'!$B$5)),"원인분석 대상","일반"))</x:f>
      </x:c>
      <x:c r="I950" s="73" t="str">
        <x:f>IF(A950="","",IF(H950="원인분석 대상","세부원인분석 시트에서 거래별 원인을 검토","-"))</x:f>
      </x:c>
      <x:c r="J950" s="73" t="str">
        <x:f>IF(A950="","",COUNTIFS('전기원장'!$A$5:$A$1004,A950,'전기원장'!$J$5:$J$1004,"확인 필요")+COUNTIFS('당기원장'!$A$5:$A$1004,A950,'당기원장'!$J$5:$J$1004,"확인 필요"))</x:f>
      </x:c>
      <x:c r="K950" s="85" t="str">
        <x:f>IF(A950="","",IF(H950&lt;&gt;"원인분석 대상","",IF(J950&gt;0,"붙임 문서 확인 후 원인 확정 필요","결의서명 기반 원인분류 검토")))</x:f>
      </x:c>
    </x:row>
    <x:row r="951">
      <x:c r="A951" s="73" t="str">
        <x:f>IFERROR(INDEX('계산도우미'!$B$5:$B$2004,MATCH(ROWS($A$5:A951),'계산도우미'!$K$5:$K$2004,0)),"")</x:f>
      </x:c>
      <x:c r="B951" s="73" t="str">
        <x:f>IF(A951="","",IFERROR(INDEX('당기원장'!$B$5:$B$1004,MATCH(A951,'당기원장'!$A$5:$A$1004,0)),IFERROR(INDEX('전기원장'!$B$5:$B$1004,MATCH(A951,'전기원장'!$A$5:$A$1004,0)),"")))</x:f>
      </x:c>
      <x:c r="C951" s="75" t="str">
        <x:f>IF(A951="","",SUMIF('전기원장'!$A$5:$A$1004,A951,'전기원장'!$H$5:$H$1004))</x:f>
      </x:c>
      <x:c r="D951" s="75" t="str">
        <x:f>IF(A951="","",SUMIF('당기원장'!$A$5:$A$1004,A951,'당기원장'!$H$5:$H$1004))</x:f>
      </x:c>
      <x:c r="E951" s="75" t="str">
        <x:f>IF(A951="","",D951-C951)</x:f>
      </x:c>
      <x:c r="F951" s="88" t="str">
        <x:f>IF(A951="","",IF(C951=0,IF(D951=0,0,1),ABS(E951)/ABS(C951)))</x:f>
      </x:c>
      <x:c r="G951" s="73" t="str">
        <x:f>IF(A951="","",IF(AND(C951=0,D951&lt;&gt;0),"신규",IF(AND(C951&lt;&gt;0,D951=0),"소멸",IF(E951=0,"변동없음","금액변동"))))</x:f>
      </x:c>
      <x:c r="H951" s="73" t="str">
        <x:f>IF(A951="","",IF(AND(ABS(E951)&gt;='기준설정'!$B$6,OR(G951="신규",G951="소멸",F951&gt;='기준설정'!$B$5)),"원인분석 대상","일반"))</x:f>
      </x:c>
      <x:c r="I951" s="73" t="str">
        <x:f>IF(A951="","",IF(H951="원인분석 대상","세부원인분석 시트에서 거래별 원인을 검토","-"))</x:f>
      </x:c>
      <x:c r="J951" s="73" t="str">
        <x:f>IF(A951="","",COUNTIFS('전기원장'!$A$5:$A$1004,A951,'전기원장'!$J$5:$J$1004,"확인 필요")+COUNTIFS('당기원장'!$A$5:$A$1004,A951,'당기원장'!$J$5:$J$1004,"확인 필요"))</x:f>
      </x:c>
      <x:c r="K951" s="85" t="str">
        <x:f>IF(A951="","",IF(H951&lt;&gt;"원인분석 대상","",IF(J951&gt;0,"붙임 문서 확인 후 원인 확정 필요","결의서명 기반 원인분류 검토")))</x:f>
      </x:c>
    </x:row>
    <x:row r="952">
      <x:c r="A952" s="73" t="str">
        <x:f>IFERROR(INDEX('계산도우미'!$B$5:$B$2004,MATCH(ROWS($A$5:A952),'계산도우미'!$K$5:$K$2004,0)),"")</x:f>
      </x:c>
      <x:c r="B952" s="73" t="str">
        <x:f>IF(A952="","",IFERROR(INDEX('당기원장'!$B$5:$B$1004,MATCH(A952,'당기원장'!$A$5:$A$1004,0)),IFERROR(INDEX('전기원장'!$B$5:$B$1004,MATCH(A952,'전기원장'!$A$5:$A$1004,0)),"")))</x:f>
      </x:c>
      <x:c r="C952" s="75" t="str">
        <x:f>IF(A952="","",SUMIF('전기원장'!$A$5:$A$1004,A952,'전기원장'!$H$5:$H$1004))</x:f>
      </x:c>
      <x:c r="D952" s="75" t="str">
        <x:f>IF(A952="","",SUMIF('당기원장'!$A$5:$A$1004,A952,'당기원장'!$H$5:$H$1004))</x:f>
      </x:c>
      <x:c r="E952" s="75" t="str">
        <x:f>IF(A952="","",D952-C952)</x:f>
      </x:c>
      <x:c r="F952" s="88" t="str">
        <x:f>IF(A952="","",IF(C952=0,IF(D952=0,0,1),ABS(E952)/ABS(C952)))</x:f>
      </x:c>
      <x:c r="G952" s="73" t="str">
        <x:f>IF(A952="","",IF(AND(C952=0,D952&lt;&gt;0),"신규",IF(AND(C952&lt;&gt;0,D952=0),"소멸",IF(E952=0,"변동없음","금액변동"))))</x:f>
      </x:c>
      <x:c r="H952" s="73" t="str">
        <x:f>IF(A952="","",IF(AND(ABS(E952)&gt;='기준설정'!$B$6,OR(G952="신규",G952="소멸",F952&gt;='기준설정'!$B$5)),"원인분석 대상","일반"))</x:f>
      </x:c>
      <x:c r="I952" s="73" t="str">
        <x:f>IF(A952="","",IF(H952="원인분석 대상","세부원인분석 시트에서 거래별 원인을 검토","-"))</x:f>
      </x:c>
      <x:c r="J952" s="73" t="str">
        <x:f>IF(A952="","",COUNTIFS('전기원장'!$A$5:$A$1004,A952,'전기원장'!$J$5:$J$1004,"확인 필요")+COUNTIFS('당기원장'!$A$5:$A$1004,A952,'당기원장'!$J$5:$J$1004,"확인 필요"))</x:f>
      </x:c>
      <x:c r="K952" s="85" t="str">
        <x:f>IF(A952="","",IF(H952&lt;&gt;"원인분석 대상","",IF(J952&gt;0,"붙임 문서 확인 후 원인 확정 필요","결의서명 기반 원인분류 검토")))</x:f>
      </x:c>
    </x:row>
    <x:row r="953">
      <x:c r="A953" s="73" t="str">
        <x:f>IFERROR(INDEX('계산도우미'!$B$5:$B$2004,MATCH(ROWS($A$5:A953),'계산도우미'!$K$5:$K$2004,0)),"")</x:f>
      </x:c>
      <x:c r="B953" s="73" t="str">
        <x:f>IF(A953="","",IFERROR(INDEX('당기원장'!$B$5:$B$1004,MATCH(A953,'당기원장'!$A$5:$A$1004,0)),IFERROR(INDEX('전기원장'!$B$5:$B$1004,MATCH(A953,'전기원장'!$A$5:$A$1004,0)),"")))</x:f>
      </x:c>
      <x:c r="C953" s="75" t="str">
        <x:f>IF(A953="","",SUMIF('전기원장'!$A$5:$A$1004,A953,'전기원장'!$H$5:$H$1004))</x:f>
      </x:c>
      <x:c r="D953" s="75" t="str">
        <x:f>IF(A953="","",SUMIF('당기원장'!$A$5:$A$1004,A953,'당기원장'!$H$5:$H$1004))</x:f>
      </x:c>
      <x:c r="E953" s="75" t="str">
        <x:f>IF(A953="","",D953-C953)</x:f>
      </x:c>
      <x:c r="F953" s="88" t="str">
        <x:f>IF(A953="","",IF(C953=0,IF(D953=0,0,1),ABS(E953)/ABS(C953)))</x:f>
      </x:c>
      <x:c r="G953" s="73" t="str">
        <x:f>IF(A953="","",IF(AND(C953=0,D953&lt;&gt;0),"신규",IF(AND(C953&lt;&gt;0,D953=0),"소멸",IF(E953=0,"변동없음","금액변동"))))</x:f>
      </x:c>
      <x:c r="H953" s="73" t="str">
        <x:f>IF(A953="","",IF(AND(ABS(E953)&gt;='기준설정'!$B$6,OR(G953="신규",G953="소멸",F953&gt;='기준설정'!$B$5)),"원인분석 대상","일반"))</x:f>
      </x:c>
      <x:c r="I953" s="73" t="str">
        <x:f>IF(A953="","",IF(H953="원인분석 대상","세부원인분석 시트에서 거래별 원인을 검토","-"))</x:f>
      </x:c>
      <x:c r="J953" s="73" t="str">
        <x:f>IF(A953="","",COUNTIFS('전기원장'!$A$5:$A$1004,A953,'전기원장'!$J$5:$J$1004,"확인 필요")+COUNTIFS('당기원장'!$A$5:$A$1004,A953,'당기원장'!$J$5:$J$1004,"확인 필요"))</x:f>
      </x:c>
      <x:c r="K953" s="85" t="str">
        <x:f>IF(A953="","",IF(H953&lt;&gt;"원인분석 대상","",IF(J953&gt;0,"붙임 문서 확인 후 원인 확정 필요","결의서명 기반 원인분류 검토")))</x:f>
      </x:c>
    </x:row>
    <x:row r="954">
      <x:c r="A954" s="73" t="str">
        <x:f>IFERROR(INDEX('계산도우미'!$B$5:$B$2004,MATCH(ROWS($A$5:A954),'계산도우미'!$K$5:$K$2004,0)),"")</x:f>
      </x:c>
      <x:c r="B954" s="73" t="str">
        <x:f>IF(A954="","",IFERROR(INDEX('당기원장'!$B$5:$B$1004,MATCH(A954,'당기원장'!$A$5:$A$1004,0)),IFERROR(INDEX('전기원장'!$B$5:$B$1004,MATCH(A954,'전기원장'!$A$5:$A$1004,0)),"")))</x:f>
      </x:c>
      <x:c r="C954" s="75" t="str">
        <x:f>IF(A954="","",SUMIF('전기원장'!$A$5:$A$1004,A954,'전기원장'!$H$5:$H$1004))</x:f>
      </x:c>
      <x:c r="D954" s="75" t="str">
        <x:f>IF(A954="","",SUMIF('당기원장'!$A$5:$A$1004,A954,'당기원장'!$H$5:$H$1004))</x:f>
      </x:c>
      <x:c r="E954" s="75" t="str">
        <x:f>IF(A954="","",D954-C954)</x:f>
      </x:c>
      <x:c r="F954" s="88" t="str">
        <x:f>IF(A954="","",IF(C954=0,IF(D954=0,0,1),ABS(E954)/ABS(C954)))</x:f>
      </x:c>
      <x:c r="G954" s="73" t="str">
        <x:f>IF(A954="","",IF(AND(C954=0,D954&lt;&gt;0),"신규",IF(AND(C954&lt;&gt;0,D954=0),"소멸",IF(E954=0,"변동없음","금액변동"))))</x:f>
      </x:c>
      <x:c r="H954" s="73" t="str">
        <x:f>IF(A954="","",IF(AND(ABS(E954)&gt;='기준설정'!$B$6,OR(G954="신규",G954="소멸",F954&gt;='기준설정'!$B$5)),"원인분석 대상","일반"))</x:f>
      </x:c>
      <x:c r="I954" s="73" t="str">
        <x:f>IF(A954="","",IF(H954="원인분석 대상","세부원인분석 시트에서 거래별 원인을 검토","-"))</x:f>
      </x:c>
      <x:c r="J954" s="73" t="str">
        <x:f>IF(A954="","",COUNTIFS('전기원장'!$A$5:$A$1004,A954,'전기원장'!$J$5:$J$1004,"확인 필요")+COUNTIFS('당기원장'!$A$5:$A$1004,A954,'당기원장'!$J$5:$J$1004,"확인 필요"))</x:f>
      </x:c>
      <x:c r="K954" s="85" t="str">
        <x:f>IF(A954="","",IF(H954&lt;&gt;"원인분석 대상","",IF(J954&gt;0,"붙임 문서 확인 후 원인 확정 필요","결의서명 기반 원인분류 검토")))</x:f>
      </x:c>
    </x:row>
    <x:row r="955">
      <x:c r="A955" s="73" t="str">
        <x:f>IFERROR(INDEX('계산도우미'!$B$5:$B$2004,MATCH(ROWS($A$5:A955),'계산도우미'!$K$5:$K$2004,0)),"")</x:f>
      </x:c>
      <x:c r="B955" s="73" t="str">
        <x:f>IF(A955="","",IFERROR(INDEX('당기원장'!$B$5:$B$1004,MATCH(A955,'당기원장'!$A$5:$A$1004,0)),IFERROR(INDEX('전기원장'!$B$5:$B$1004,MATCH(A955,'전기원장'!$A$5:$A$1004,0)),"")))</x:f>
      </x:c>
      <x:c r="C955" s="75" t="str">
        <x:f>IF(A955="","",SUMIF('전기원장'!$A$5:$A$1004,A955,'전기원장'!$H$5:$H$1004))</x:f>
      </x:c>
      <x:c r="D955" s="75" t="str">
        <x:f>IF(A955="","",SUMIF('당기원장'!$A$5:$A$1004,A955,'당기원장'!$H$5:$H$1004))</x:f>
      </x:c>
      <x:c r="E955" s="75" t="str">
        <x:f>IF(A955="","",D955-C955)</x:f>
      </x:c>
      <x:c r="F955" s="88" t="str">
        <x:f>IF(A955="","",IF(C955=0,IF(D955=0,0,1),ABS(E955)/ABS(C955)))</x:f>
      </x:c>
      <x:c r="G955" s="73" t="str">
        <x:f>IF(A955="","",IF(AND(C955=0,D955&lt;&gt;0),"신규",IF(AND(C955&lt;&gt;0,D955=0),"소멸",IF(E955=0,"변동없음","금액변동"))))</x:f>
      </x:c>
      <x:c r="H955" s="73" t="str">
        <x:f>IF(A955="","",IF(AND(ABS(E955)&gt;='기준설정'!$B$6,OR(G955="신규",G955="소멸",F955&gt;='기준설정'!$B$5)),"원인분석 대상","일반"))</x:f>
      </x:c>
      <x:c r="I955" s="73" t="str">
        <x:f>IF(A955="","",IF(H955="원인분석 대상","세부원인분석 시트에서 거래별 원인을 검토","-"))</x:f>
      </x:c>
      <x:c r="J955" s="73" t="str">
        <x:f>IF(A955="","",COUNTIFS('전기원장'!$A$5:$A$1004,A955,'전기원장'!$J$5:$J$1004,"확인 필요")+COUNTIFS('당기원장'!$A$5:$A$1004,A955,'당기원장'!$J$5:$J$1004,"확인 필요"))</x:f>
      </x:c>
      <x:c r="K955" s="85" t="str">
        <x:f>IF(A955="","",IF(H955&lt;&gt;"원인분석 대상","",IF(J955&gt;0,"붙임 문서 확인 후 원인 확정 필요","결의서명 기반 원인분류 검토")))</x:f>
      </x:c>
    </x:row>
    <x:row r="956">
      <x:c r="A956" s="73" t="str">
        <x:f>IFERROR(INDEX('계산도우미'!$B$5:$B$2004,MATCH(ROWS($A$5:A956),'계산도우미'!$K$5:$K$2004,0)),"")</x:f>
      </x:c>
      <x:c r="B956" s="73" t="str">
        <x:f>IF(A956="","",IFERROR(INDEX('당기원장'!$B$5:$B$1004,MATCH(A956,'당기원장'!$A$5:$A$1004,0)),IFERROR(INDEX('전기원장'!$B$5:$B$1004,MATCH(A956,'전기원장'!$A$5:$A$1004,0)),"")))</x:f>
      </x:c>
      <x:c r="C956" s="75" t="str">
        <x:f>IF(A956="","",SUMIF('전기원장'!$A$5:$A$1004,A956,'전기원장'!$H$5:$H$1004))</x:f>
      </x:c>
      <x:c r="D956" s="75" t="str">
        <x:f>IF(A956="","",SUMIF('당기원장'!$A$5:$A$1004,A956,'당기원장'!$H$5:$H$1004))</x:f>
      </x:c>
      <x:c r="E956" s="75" t="str">
        <x:f>IF(A956="","",D956-C956)</x:f>
      </x:c>
      <x:c r="F956" s="88" t="str">
        <x:f>IF(A956="","",IF(C956=0,IF(D956=0,0,1),ABS(E956)/ABS(C956)))</x:f>
      </x:c>
      <x:c r="G956" s="73" t="str">
        <x:f>IF(A956="","",IF(AND(C956=0,D956&lt;&gt;0),"신규",IF(AND(C956&lt;&gt;0,D956=0),"소멸",IF(E956=0,"변동없음","금액변동"))))</x:f>
      </x:c>
      <x:c r="H956" s="73" t="str">
        <x:f>IF(A956="","",IF(AND(ABS(E956)&gt;='기준설정'!$B$6,OR(G956="신규",G956="소멸",F956&gt;='기준설정'!$B$5)),"원인분석 대상","일반"))</x:f>
      </x:c>
      <x:c r="I956" s="73" t="str">
        <x:f>IF(A956="","",IF(H956="원인분석 대상","세부원인분석 시트에서 거래별 원인을 검토","-"))</x:f>
      </x:c>
      <x:c r="J956" s="73" t="str">
        <x:f>IF(A956="","",COUNTIFS('전기원장'!$A$5:$A$1004,A956,'전기원장'!$J$5:$J$1004,"확인 필요")+COUNTIFS('당기원장'!$A$5:$A$1004,A956,'당기원장'!$J$5:$J$1004,"확인 필요"))</x:f>
      </x:c>
      <x:c r="K956" s="85" t="str">
        <x:f>IF(A956="","",IF(H956&lt;&gt;"원인분석 대상","",IF(J956&gt;0,"붙임 문서 확인 후 원인 확정 필요","결의서명 기반 원인분류 검토")))</x:f>
      </x:c>
    </x:row>
    <x:row r="957">
      <x:c r="A957" s="73" t="str">
        <x:f>IFERROR(INDEX('계산도우미'!$B$5:$B$2004,MATCH(ROWS($A$5:A957),'계산도우미'!$K$5:$K$2004,0)),"")</x:f>
      </x:c>
      <x:c r="B957" s="73" t="str">
        <x:f>IF(A957="","",IFERROR(INDEX('당기원장'!$B$5:$B$1004,MATCH(A957,'당기원장'!$A$5:$A$1004,0)),IFERROR(INDEX('전기원장'!$B$5:$B$1004,MATCH(A957,'전기원장'!$A$5:$A$1004,0)),"")))</x:f>
      </x:c>
      <x:c r="C957" s="75" t="str">
        <x:f>IF(A957="","",SUMIF('전기원장'!$A$5:$A$1004,A957,'전기원장'!$H$5:$H$1004))</x:f>
      </x:c>
      <x:c r="D957" s="75" t="str">
        <x:f>IF(A957="","",SUMIF('당기원장'!$A$5:$A$1004,A957,'당기원장'!$H$5:$H$1004))</x:f>
      </x:c>
      <x:c r="E957" s="75" t="str">
        <x:f>IF(A957="","",D957-C957)</x:f>
      </x:c>
      <x:c r="F957" s="88" t="str">
        <x:f>IF(A957="","",IF(C957=0,IF(D957=0,0,1),ABS(E957)/ABS(C957)))</x:f>
      </x:c>
      <x:c r="G957" s="73" t="str">
        <x:f>IF(A957="","",IF(AND(C957=0,D957&lt;&gt;0),"신규",IF(AND(C957&lt;&gt;0,D957=0),"소멸",IF(E957=0,"변동없음","금액변동"))))</x:f>
      </x:c>
      <x:c r="H957" s="73" t="str">
        <x:f>IF(A957="","",IF(AND(ABS(E957)&gt;='기준설정'!$B$6,OR(G957="신규",G957="소멸",F957&gt;='기준설정'!$B$5)),"원인분석 대상","일반"))</x:f>
      </x:c>
      <x:c r="I957" s="73" t="str">
        <x:f>IF(A957="","",IF(H957="원인분석 대상","세부원인분석 시트에서 거래별 원인을 검토","-"))</x:f>
      </x:c>
      <x:c r="J957" s="73" t="str">
        <x:f>IF(A957="","",COUNTIFS('전기원장'!$A$5:$A$1004,A957,'전기원장'!$J$5:$J$1004,"확인 필요")+COUNTIFS('당기원장'!$A$5:$A$1004,A957,'당기원장'!$J$5:$J$1004,"확인 필요"))</x:f>
      </x:c>
      <x:c r="K957" s="85" t="str">
        <x:f>IF(A957="","",IF(H957&lt;&gt;"원인분석 대상","",IF(J957&gt;0,"붙임 문서 확인 후 원인 확정 필요","결의서명 기반 원인분류 검토")))</x:f>
      </x:c>
    </x:row>
    <x:row r="958">
      <x:c r="A958" s="73" t="str">
        <x:f>IFERROR(INDEX('계산도우미'!$B$5:$B$2004,MATCH(ROWS($A$5:A958),'계산도우미'!$K$5:$K$2004,0)),"")</x:f>
      </x:c>
      <x:c r="B958" s="73" t="str">
        <x:f>IF(A958="","",IFERROR(INDEX('당기원장'!$B$5:$B$1004,MATCH(A958,'당기원장'!$A$5:$A$1004,0)),IFERROR(INDEX('전기원장'!$B$5:$B$1004,MATCH(A958,'전기원장'!$A$5:$A$1004,0)),"")))</x:f>
      </x:c>
      <x:c r="C958" s="75" t="str">
        <x:f>IF(A958="","",SUMIF('전기원장'!$A$5:$A$1004,A958,'전기원장'!$H$5:$H$1004))</x:f>
      </x:c>
      <x:c r="D958" s="75" t="str">
        <x:f>IF(A958="","",SUMIF('당기원장'!$A$5:$A$1004,A958,'당기원장'!$H$5:$H$1004))</x:f>
      </x:c>
      <x:c r="E958" s="75" t="str">
        <x:f>IF(A958="","",D958-C958)</x:f>
      </x:c>
      <x:c r="F958" s="88" t="str">
        <x:f>IF(A958="","",IF(C958=0,IF(D958=0,0,1),ABS(E958)/ABS(C958)))</x:f>
      </x:c>
      <x:c r="G958" s="73" t="str">
        <x:f>IF(A958="","",IF(AND(C958=0,D958&lt;&gt;0),"신규",IF(AND(C958&lt;&gt;0,D958=0),"소멸",IF(E958=0,"변동없음","금액변동"))))</x:f>
      </x:c>
      <x:c r="H958" s="73" t="str">
        <x:f>IF(A958="","",IF(AND(ABS(E958)&gt;='기준설정'!$B$6,OR(G958="신규",G958="소멸",F958&gt;='기준설정'!$B$5)),"원인분석 대상","일반"))</x:f>
      </x:c>
      <x:c r="I958" s="73" t="str">
        <x:f>IF(A958="","",IF(H958="원인분석 대상","세부원인분석 시트에서 거래별 원인을 검토","-"))</x:f>
      </x:c>
      <x:c r="J958" s="73" t="str">
        <x:f>IF(A958="","",COUNTIFS('전기원장'!$A$5:$A$1004,A958,'전기원장'!$J$5:$J$1004,"확인 필요")+COUNTIFS('당기원장'!$A$5:$A$1004,A958,'당기원장'!$J$5:$J$1004,"확인 필요"))</x:f>
      </x:c>
      <x:c r="K958" s="85" t="str">
        <x:f>IF(A958="","",IF(H958&lt;&gt;"원인분석 대상","",IF(J958&gt;0,"붙임 문서 확인 후 원인 확정 필요","결의서명 기반 원인분류 검토")))</x:f>
      </x:c>
    </x:row>
    <x:row r="959">
      <x:c r="A959" s="73" t="str">
        <x:f>IFERROR(INDEX('계산도우미'!$B$5:$B$2004,MATCH(ROWS($A$5:A959),'계산도우미'!$K$5:$K$2004,0)),"")</x:f>
      </x:c>
      <x:c r="B959" s="73" t="str">
        <x:f>IF(A959="","",IFERROR(INDEX('당기원장'!$B$5:$B$1004,MATCH(A959,'당기원장'!$A$5:$A$1004,0)),IFERROR(INDEX('전기원장'!$B$5:$B$1004,MATCH(A959,'전기원장'!$A$5:$A$1004,0)),"")))</x:f>
      </x:c>
      <x:c r="C959" s="75" t="str">
        <x:f>IF(A959="","",SUMIF('전기원장'!$A$5:$A$1004,A959,'전기원장'!$H$5:$H$1004))</x:f>
      </x:c>
      <x:c r="D959" s="75" t="str">
        <x:f>IF(A959="","",SUMIF('당기원장'!$A$5:$A$1004,A959,'당기원장'!$H$5:$H$1004))</x:f>
      </x:c>
      <x:c r="E959" s="75" t="str">
        <x:f>IF(A959="","",D959-C959)</x:f>
      </x:c>
      <x:c r="F959" s="88" t="str">
        <x:f>IF(A959="","",IF(C959=0,IF(D959=0,0,1),ABS(E959)/ABS(C959)))</x:f>
      </x:c>
      <x:c r="G959" s="73" t="str">
        <x:f>IF(A959="","",IF(AND(C959=0,D959&lt;&gt;0),"신규",IF(AND(C959&lt;&gt;0,D959=0),"소멸",IF(E959=0,"변동없음","금액변동"))))</x:f>
      </x:c>
      <x:c r="H959" s="73" t="str">
        <x:f>IF(A959="","",IF(AND(ABS(E959)&gt;='기준설정'!$B$6,OR(G959="신규",G959="소멸",F959&gt;='기준설정'!$B$5)),"원인분석 대상","일반"))</x:f>
      </x:c>
      <x:c r="I959" s="73" t="str">
        <x:f>IF(A959="","",IF(H959="원인분석 대상","세부원인분석 시트에서 거래별 원인을 검토","-"))</x:f>
      </x:c>
      <x:c r="J959" s="73" t="str">
        <x:f>IF(A959="","",COUNTIFS('전기원장'!$A$5:$A$1004,A959,'전기원장'!$J$5:$J$1004,"확인 필요")+COUNTIFS('당기원장'!$A$5:$A$1004,A959,'당기원장'!$J$5:$J$1004,"확인 필요"))</x:f>
      </x:c>
      <x:c r="K959" s="85" t="str">
        <x:f>IF(A959="","",IF(H959&lt;&gt;"원인분석 대상","",IF(J959&gt;0,"붙임 문서 확인 후 원인 확정 필요","결의서명 기반 원인분류 검토")))</x:f>
      </x:c>
    </x:row>
    <x:row r="960">
      <x:c r="A960" s="73" t="str">
        <x:f>IFERROR(INDEX('계산도우미'!$B$5:$B$2004,MATCH(ROWS($A$5:A960),'계산도우미'!$K$5:$K$2004,0)),"")</x:f>
      </x:c>
      <x:c r="B960" s="73" t="str">
        <x:f>IF(A960="","",IFERROR(INDEX('당기원장'!$B$5:$B$1004,MATCH(A960,'당기원장'!$A$5:$A$1004,0)),IFERROR(INDEX('전기원장'!$B$5:$B$1004,MATCH(A960,'전기원장'!$A$5:$A$1004,0)),"")))</x:f>
      </x:c>
      <x:c r="C960" s="75" t="str">
        <x:f>IF(A960="","",SUMIF('전기원장'!$A$5:$A$1004,A960,'전기원장'!$H$5:$H$1004))</x:f>
      </x:c>
      <x:c r="D960" s="75" t="str">
        <x:f>IF(A960="","",SUMIF('당기원장'!$A$5:$A$1004,A960,'당기원장'!$H$5:$H$1004))</x:f>
      </x:c>
      <x:c r="E960" s="75" t="str">
        <x:f>IF(A960="","",D960-C960)</x:f>
      </x:c>
      <x:c r="F960" s="88" t="str">
        <x:f>IF(A960="","",IF(C960=0,IF(D960=0,0,1),ABS(E960)/ABS(C960)))</x:f>
      </x:c>
      <x:c r="G960" s="73" t="str">
        <x:f>IF(A960="","",IF(AND(C960=0,D960&lt;&gt;0),"신규",IF(AND(C960&lt;&gt;0,D960=0),"소멸",IF(E960=0,"변동없음","금액변동"))))</x:f>
      </x:c>
      <x:c r="H960" s="73" t="str">
        <x:f>IF(A960="","",IF(AND(ABS(E960)&gt;='기준설정'!$B$6,OR(G960="신규",G960="소멸",F960&gt;='기준설정'!$B$5)),"원인분석 대상","일반"))</x:f>
      </x:c>
      <x:c r="I960" s="73" t="str">
        <x:f>IF(A960="","",IF(H960="원인분석 대상","세부원인분석 시트에서 거래별 원인을 검토","-"))</x:f>
      </x:c>
      <x:c r="J960" s="73" t="str">
        <x:f>IF(A960="","",COUNTIFS('전기원장'!$A$5:$A$1004,A960,'전기원장'!$J$5:$J$1004,"확인 필요")+COUNTIFS('당기원장'!$A$5:$A$1004,A960,'당기원장'!$J$5:$J$1004,"확인 필요"))</x:f>
      </x:c>
      <x:c r="K960" s="85" t="str">
        <x:f>IF(A960="","",IF(H960&lt;&gt;"원인분석 대상","",IF(J960&gt;0,"붙임 문서 확인 후 원인 확정 필요","결의서명 기반 원인분류 검토")))</x:f>
      </x:c>
    </x:row>
    <x:row r="961">
      <x:c r="A961" s="73" t="str">
        <x:f>IFERROR(INDEX('계산도우미'!$B$5:$B$2004,MATCH(ROWS($A$5:A961),'계산도우미'!$K$5:$K$2004,0)),"")</x:f>
      </x:c>
      <x:c r="B961" s="73" t="str">
        <x:f>IF(A961="","",IFERROR(INDEX('당기원장'!$B$5:$B$1004,MATCH(A961,'당기원장'!$A$5:$A$1004,0)),IFERROR(INDEX('전기원장'!$B$5:$B$1004,MATCH(A961,'전기원장'!$A$5:$A$1004,0)),"")))</x:f>
      </x:c>
      <x:c r="C961" s="75" t="str">
        <x:f>IF(A961="","",SUMIF('전기원장'!$A$5:$A$1004,A961,'전기원장'!$H$5:$H$1004))</x:f>
      </x:c>
      <x:c r="D961" s="75" t="str">
        <x:f>IF(A961="","",SUMIF('당기원장'!$A$5:$A$1004,A961,'당기원장'!$H$5:$H$1004))</x:f>
      </x:c>
      <x:c r="E961" s="75" t="str">
        <x:f>IF(A961="","",D961-C961)</x:f>
      </x:c>
      <x:c r="F961" s="88" t="str">
        <x:f>IF(A961="","",IF(C961=0,IF(D961=0,0,1),ABS(E961)/ABS(C961)))</x:f>
      </x:c>
      <x:c r="G961" s="73" t="str">
        <x:f>IF(A961="","",IF(AND(C961=0,D961&lt;&gt;0),"신규",IF(AND(C961&lt;&gt;0,D961=0),"소멸",IF(E961=0,"변동없음","금액변동"))))</x:f>
      </x:c>
      <x:c r="H961" s="73" t="str">
        <x:f>IF(A961="","",IF(AND(ABS(E961)&gt;='기준설정'!$B$6,OR(G961="신규",G961="소멸",F961&gt;='기준설정'!$B$5)),"원인분석 대상","일반"))</x:f>
      </x:c>
      <x:c r="I961" s="73" t="str">
        <x:f>IF(A961="","",IF(H961="원인분석 대상","세부원인분석 시트에서 거래별 원인을 검토","-"))</x:f>
      </x:c>
      <x:c r="J961" s="73" t="str">
        <x:f>IF(A961="","",COUNTIFS('전기원장'!$A$5:$A$1004,A961,'전기원장'!$J$5:$J$1004,"확인 필요")+COUNTIFS('당기원장'!$A$5:$A$1004,A961,'당기원장'!$J$5:$J$1004,"확인 필요"))</x:f>
      </x:c>
      <x:c r="K961" s="85" t="str">
        <x:f>IF(A961="","",IF(H961&lt;&gt;"원인분석 대상","",IF(J961&gt;0,"붙임 문서 확인 후 원인 확정 필요","결의서명 기반 원인분류 검토")))</x:f>
      </x:c>
    </x:row>
    <x:row r="962">
      <x:c r="A962" s="73" t="str">
        <x:f>IFERROR(INDEX('계산도우미'!$B$5:$B$2004,MATCH(ROWS($A$5:A962),'계산도우미'!$K$5:$K$2004,0)),"")</x:f>
      </x:c>
      <x:c r="B962" s="73" t="str">
        <x:f>IF(A962="","",IFERROR(INDEX('당기원장'!$B$5:$B$1004,MATCH(A962,'당기원장'!$A$5:$A$1004,0)),IFERROR(INDEX('전기원장'!$B$5:$B$1004,MATCH(A962,'전기원장'!$A$5:$A$1004,0)),"")))</x:f>
      </x:c>
      <x:c r="C962" s="75" t="str">
        <x:f>IF(A962="","",SUMIF('전기원장'!$A$5:$A$1004,A962,'전기원장'!$H$5:$H$1004))</x:f>
      </x:c>
      <x:c r="D962" s="75" t="str">
        <x:f>IF(A962="","",SUMIF('당기원장'!$A$5:$A$1004,A962,'당기원장'!$H$5:$H$1004))</x:f>
      </x:c>
      <x:c r="E962" s="75" t="str">
        <x:f>IF(A962="","",D962-C962)</x:f>
      </x:c>
      <x:c r="F962" s="88" t="str">
        <x:f>IF(A962="","",IF(C962=0,IF(D962=0,0,1),ABS(E962)/ABS(C962)))</x:f>
      </x:c>
      <x:c r="G962" s="73" t="str">
        <x:f>IF(A962="","",IF(AND(C962=0,D962&lt;&gt;0),"신규",IF(AND(C962&lt;&gt;0,D962=0),"소멸",IF(E962=0,"변동없음","금액변동"))))</x:f>
      </x:c>
      <x:c r="H962" s="73" t="str">
        <x:f>IF(A962="","",IF(AND(ABS(E962)&gt;='기준설정'!$B$6,OR(G962="신규",G962="소멸",F962&gt;='기준설정'!$B$5)),"원인분석 대상","일반"))</x:f>
      </x:c>
      <x:c r="I962" s="73" t="str">
        <x:f>IF(A962="","",IF(H962="원인분석 대상","세부원인분석 시트에서 거래별 원인을 검토","-"))</x:f>
      </x:c>
      <x:c r="J962" s="73" t="str">
        <x:f>IF(A962="","",COUNTIFS('전기원장'!$A$5:$A$1004,A962,'전기원장'!$J$5:$J$1004,"확인 필요")+COUNTIFS('당기원장'!$A$5:$A$1004,A962,'당기원장'!$J$5:$J$1004,"확인 필요"))</x:f>
      </x:c>
      <x:c r="K962" s="85" t="str">
        <x:f>IF(A962="","",IF(H962&lt;&gt;"원인분석 대상","",IF(J962&gt;0,"붙임 문서 확인 후 원인 확정 필요","결의서명 기반 원인분류 검토")))</x:f>
      </x:c>
    </x:row>
    <x:row r="963">
      <x:c r="A963" s="73" t="str">
        <x:f>IFERROR(INDEX('계산도우미'!$B$5:$B$2004,MATCH(ROWS($A$5:A963),'계산도우미'!$K$5:$K$2004,0)),"")</x:f>
      </x:c>
      <x:c r="B963" s="73" t="str">
        <x:f>IF(A963="","",IFERROR(INDEX('당기원장'!$B$5:$B$1004,MATCH(A963,'당기원장'!$A$5:$A$1004,0)),IFERROR(INDEX('전기원장'!$B$5:$B$1004,MATCH(A963,'전기원장'!$A$5:$A$1004,0)),"")))</x:f>
      </x:c>
      <x:c r="C963" s="75" t="str">
        <x:f>IF(A963="","",SUMIF('전기원장'!$A$5:$A$1004,A963,'전기원장'!$H$5:$H$1004))</x:f>
      </x:c>
      <x:c r="D963" s="75" t="str">
        <x:f>IF(A963="","",SUMIF('당기원장'!$A$5:$A$1004,A963,'당기원장'!$H$5:$H$1004))</x:f>
      </x:c>
      <x:c r="E963" s="75" t="str">
        <x:f>IF(A963="","",D963-C963)</x:f>
      </x:c>
      <x:c r="F963" s="88" t="str">
        <x:f>IF(A963="","",IF(C963=0,IF(D963=0,0,1),ABS(E963)/ABS(C963)))</x:f>
      </x:c>
      <x:c r="G963" s="73" t="str">
        <x:f>IF(A963="","",IF(AND(C963=0,D963&lt;&gt;0),"신규",IF(AND(C963&lt;&gt;0,D963=0),"소멸",IF(E963=0,"변동없음","금액변동"))))</x:f>
      </x:c>
      <x:c r="H963" s="73" t="str">
        <x:f>IF(A963="","",IF(AND(ABS(E963)&gt;='기준설정'!$B$6,OR(G963="신규",G963="소멸",F963&gt;='기준설정'!$B$5)),"원인분석 대상","일반"))</x:f>
      </x:c>
      <x:c r="I963" s="73" t="str">
        <x:f>IF(A963="","",IF(H963="원인분석 대상","세부원인분석 시트에서 거래별 원인을 검토","-"))</x:f>
      </x:c>
      <x:c r="J963" s="73" t="str">
        <x:f>IF(A963="","",COUNTIFS('전기원장'!$A$5:$A$1004,A963,'전기원장'!$J$5:$J$1004,"확인 필요")+COUNTIFS('당기원장'!$A$5:$A$1004,A963,'당기원장'!$J$5:$J$1004,"확인 필요"))</x:f>
      </x:c>
      <x:c r="K963" s="85" t="str">
        <x:f>IF(A963="","",IF(H963&lt;&gt;"원인분석 대상","",IF(J963&gt;0,"붙임 문서 확인 후 원인 확정 필요","결의서명 기반 원인분류 검토")))</x:f>
      </x:c>
    </x:row>
    <x:row r="964">
      <x:c r="A964" s="73" t="str">
        <x:f>IFERROR(INDEX('계산도우미'!$B$5:$B$2004,MATCH(ROWS($A$5:A964),'계산도우미'!$K$5:$K$2004,0)),"")</x:f>
      </x:c>
      <x:c r="B964" s="73" t="str">
        <x:f>IF(A964="","",IFERROR(INDEX('당기원장'!$B$5:$B$1004,MATCH(A964,'당기원장'!$A$5:$A$1004,0)),IFERROR(INDEX('전기원장'!$B$5:$B$1004,MATCH(A964,'전기원장'!$A$5:$A$1004,0)),"")))</x:f>
      </x:c>
      <x:c r="C964" s="75" t="str">
        <x:f>IF(A964="","",SUMIF('전기원장'!$A$5:$A$1004,A964,'전기원장'!$H$5:$H$1004))</x:f>
      </x:c>
      <x:c r="D964" s="75" t="str">
        <x:f>IF(A964="","",SUMIF('당기원장'!$A$5:$A$1004,A964,'당기원장'!$H$5:$H$1004))</x:f>
      </x:c>
      <x:c r="E964" s="75" t="str">
        <x:f>IF(A964="","",D964-C964)</x:f>
      </x:c>
      <x:c r="F964" s="88" t="str">
        <x:f>IF(A964="","",IF(C964=0,IF(D964=0,0,1),ABS(E964)/ABS(C964)))</x:f>
      </x:c>
      <x:c r="G964" s="73" t="str">
        <x:f>IF(A964="","",IF(AND(C964=0,D964&lt;&gt;0),"신규",IF(AND(C964&lt;&gt;0,D964=0),"소멸",IF(E964=0,"변동없음","금액변동"))))</x:f>
      </x:c>
      <x:c r="H964" s="73" t="str">
        <x:f>IF(A964="","",IF(AND(ABS(E964)&gt;='기준설정'!$B$6,OR(G964="신규",G964="소멸",F964&gt;='기준설정'!$B$5)),"원인분석 대상","일반"))</x:f>
      </x:c>
      <x:c r="I964" s="73" t="str">
        <x:f>IF(A964="","",IF(H964="원인분석 대상","세부원인분석 시트에서 거래별 원인을 검토","-"))</x:f>
      </x:c>
      <x:c r="J964" s="73" t="str">
        <x:f>IF(A964="","",COUNTIFS('전기원장'!$A$5:$A$1004,A964,'전기원장'!$J$5:$J$1004,"확인 필요")+COUNTIFS('당기원장'!$A$5:$A$1004,A964,'당기원장'!$J$5:$J$1004,"확인 필요"))</x:f>
      </x:c>
      <x:c r="K964" s="85" t="str">
        <x:f>IF(A964="","",IF(H964&lt;&gt;"원인분석 대상","",IF(J964&gt;0,"붙임 문서 확인 후 원인 확정 필요","결의서명 기반 원인분류 검토")))</x:f>
      </x:c>
    </x:row>
    <x:row r="965">
      <x:c r="A965" s="73" t="str">
        <x:f>IFERROR(INDEX('계산도우미'!$B$5:$B$2004,MATCH(ROWS($A$5:A965),'계산도우미'!$K$5:$K$2004,0)),"")</x:f>
      </x:c>
      <x:c r="B965" s="73" t="str">
        <x:f>IF(A965="","",IFERROR(INDEX('당기원장'!$B$5:$B$1004,MATCH(A965,'당기원장'!$A$5:$A$1004,0)),IFERROR(INDEX('전기원장'!$B$5:$B$1004,MATCH(A965,'전기원장'!$A$5:$A$1004,0)),"")))</x:f>
      </x:c>
      <x:c r="C965" s="75" t="str">
        <x:f>IF(A965="","",SUMIF('전기원장'!$A$5:$A$1004,A965,'전기원장'!$H$5:$H$1004))</x:f>
      </x:c>
      <x:c r="D965" s="75" t="str">
        <x:f>IF(A965="","",SUMIF('당기원장'!$A$5:$A$1004,A965,'당기원장'!$H$5:$H$1004))</x:f>
      </x:c>
      <x:c r="E965" s="75" t="str">
        <x:f>IF(A965="","",D965-C965)</x:f>
      </x:c>
      <x:c r="F965" s="88" t="str">
        <x:f>IF(A965="","",IF(C965=0,IF(D965=0,0,1),ABS(E965)/ABS(C965)))</x:f>
      </x:c>
      <x:c r="G965" s="73" t="str">
        <x:f>IF(A965="","",IF(AND(C965=0,D965&lt;&gt;0),"신규",IF(AND(C965&lt;&gt;0,D965=0),"소멸",IF(E965=0,"변동없음","금액변동"))))</x:f>
      </x:c>
      <x:c r="H965" s="73" t="str">
        <x:f>IF(A965="","",IF(AND(ABS(E965)&gt;='기준설정'!$B$6,OR(G965="신규",G965="소멸",F965&gt;='기준설정'!$B$5)),"원인분석 대상","일반"))</x:f>
      </x:c>
      <x:c r="I965" s="73" t="str">
        <x:f>IF(A965="","",IF(H965="원인분석 대상","세부원인분석 시트에서 거래별 원인을 검토","-"))</x:f>
      </x:c>
      <x:c r="J965" s="73" t="str">
        <x:f>IF(A965="","",COUNTIFS('전기원장'!$A$5:$A$1004,A965,'전기원장'!$J$5:$J$1004,"확인 필요")+COUNTIFS('당기원장'!$A$5:$A$1004,A965,'당기원장'!$J$5:$J$1004,"확인 필요"))</x:f>
      </x:c>
      <x:c r="K965" s="85" t="str">
        <x:f>IF(A965="","",IF(H965&lt;&gt;"원인분석 대상","",IF(J965&gt;0,"붙임 문서 확인 후 원인 확정 필요","결의서명 기반 원인분류 검토")))</x:f>
      </x:c>
    </x:row>
    <x:row r="966">
      <x:c r="A966" s="73" t="str">
        <x:f>IFERROR(INDEX('계산도우미'!$B$5:$B$2004,MATCH(ROWS($A$5:A966),'계산도우미'!$K$5:$K$2004,0)),"")</x:f>
      </x:c>
      <x:c r="B966" s="73" t="str">
        <x:f>IF(A966="","",IFERROR(INDEX('당기원장'!$B$5:$B$1004,MATCH(A966,'당기원장'!$A$5:$A$1004,0)),IFERROR(INDEX('전기원장'!$B$5:$B$1004,MATCH(A966,'전기원장'!$A$5:$A$1004,0)),"")))</x:f>
      </x:c>
      <x:c r="C966" s="75" t="str">
        <x:f>IF(A966="","",SUMIF('전기원장'!$A$5:$A$1004,A966,'전기원장'!$H$5:$H$1004))</x:f>
      </x:c>
      <x:c r="D966" s="75" t="str">
        <x:f>IF(A966="","",SUMIF('당기원장'!$A$5:$A$1004,A966,'당기원장'!$H$5:$H$1004))</x:f>
      </x:c>
      <x:c r="E966" s="75" t="str">
        <x:f>IF(A966="","",D966-C966)</x:f>
      </x:c>
      <x:c r="F966" s="88" t="str">
        <x:f>IF(A966="","",IF(C966=0,IF(D966=0,0,1),ABS(E966)/ABS(C966)))</x:f>
      </x:c>
      <x:c r="G966" s="73" t="str">
        <x:f>IF(A966="","",IF(AND(C966=0,D966&lt;&gt;0),"신규",IF(AND(C966&lt;&gt;0,D966=0),"소멸",IF(E966=0,"변동없음","금액변동"))))</x:f>
      </x:c>
      <x:c r="H966" s="73" t="str">
        <x:f>IF(A966="","",IF(AND(ABS(E966)&gt;='기준설정'!$B$6,OR(G966="신규",G966="소멸",F966&gt;='기준설정'!$B$5)),"원인분석 대상","일반"))</x:f>
      </x:c>
      <x:c r="I966" s="73" t="str">
        <x:f>IF(A966="","",IF(H966="원인분석 대상","세부원인분석 시트에서 거래별 원인을 검토","-"))</x:f>
      </x:c>
      <x:c r="J966" s="73" t="str">
        <x:f>IF(A966="","",COUNTIFS('전기원장'!$A$5:$A$1004,A966,'전기원장'!$J$5:$J$1004,"확인 필요")+COUNTIFS('당기원장'!$A$5:$A$1004,A966,'당기원장'!$J$5:$J$1004,"확인 필요"))</x:f>
      </x:c>
      <x:c r="K966" s="85" t="str">
        <x:f>IF(A966="","",IF(H966&lt;&gt;"원인분석 대상","",IF(J966&gt;0,"붙임 문서 확인 후 원인 확정 필요","결의서명 기반 원인분류 검토")))</x:f>
      </x:c>
    </x:row>
    <x:row r="967">
      <x:c r="A967" s="73" t="str">
        <x:f>IFERROR(INDEX('계산도우미'!$B$5:$B$2004,MATCH(ROWS($A$5:A967),'계산도우미'!$K$5:$K$2004,0)),"")</x:f>
      </x:c>
      <x:c r="B967" s="73" t="str">
        <x:f>IF(A967="","",IFERROR(INDEX('당기원장'!$B$5:$B$1004,MATCH(A967,'당기원장'!$A$5:$A$1004,0)),IFERROR(INDEX('전기원장'!$B$5:$B$1004,MATCH(A967,'전기원장'!$A$5:$A$1004,0)),"")))</x:f>
      </x:c>
      <x:c r="C967" s="75" t="str">
        <x:f>IF(A967="","",SUMIF('전기원장'!$A$5:$A$1004,A967,'전기원장'!$H$5:$H$1004))</x:f>
      </x:c>
      <x:c r="D967" s="75" t="str">
        <x:f>IF(A967="","",SUMIF('당기원장'!$A$5:$A$1004,A967,'당기원장'!$H$5:$H$1004))</x:f>
      </x:c>
      <x:c r="E967" s="75" t="str">
        <x:f>IF(A967="","",D967-C967)</x:f>
      </x:c>
      <x:c r="F967" s="88" t="str">
        <x:f>IF(A967="","",IF(C967=0,IF(D967=0,0,1),ABS(E967)/ABS(C967)))</x:f>
      </x:c>
      <x:c r="G967" s="73" t="str">
        <x:f>IF(A967="","",IF(AND(C967=0,D967&lt;&gt;0),"신규",IF(AND(C967&lt;&gt;0,D967=0),"소멸",IF(E967=0,"변동없음","금액변동"))))</x:f>
      </x:c>
      <x:c r="H967" s="73" t="str">
        <x:f>IF(A967="","",IF(AND(ABS(E967)&gt;='기준설정'!$B$6,OR(G967="신규",G967="소멸",F967&gt;='기준설정'!$B$5)),"원인분석 대상","일반"))</x:f>
      </x:c>
      <x:c r="I967" s="73" t="str">
        <x:f>IF(A967="","",IF(H967="원인분석 대상","세부원인분석 시트에서 거래별 원인을 검토","-"))</x:f>
      </x:c>
      <x:c r="J967" s="73" t="str">
        <x:f>IF(A967="","",COUNTIFS('전기원장'!$A$5:$A$1004,A967,'전기원장'!$J$5:$J$1004,"확인 필요")+COUNTIFS('당기원장'!$A$5:$A$1004,A967,'당기원장'!$J$5:$J$1004,"확인 필요"))</x:f>
      </x:c>
      <x:c r="K967" s="85" t="str">
        <x:f>IF(A967="","",IF(H967&lt;&gt;"원인분석 대상","",IF(J967&gt;0,"붙임 문서 확인 후 원인 확정 필요","결의서명 기반 원인분류 검토")))</x:f>
      </x:c>
    </x:row>
    <x:row r="968">
      <x:c r="A968" s="73" t="str">
        <x:f>IFERROR(INDEX('계산도우미'!$B$5:$B$2004,MATCH(ROWS($A$5:A968),'계산도우미'!$K$5:$K$2004,0)),"")</x:f>
      </x:c>
      <x:c r="B968" s="73" t="str">
        <x:f>IF(A968="","",IFERROR(INDEX('당기원장'!$B$5:$B$1004,MATCH(A968,'당기원장'!$A$5:$A$1004,0)),IFERROR(INDEX('전기원장'!$B$5:$B$1004,MATCH(A968,'전기원장'!$A$5:$A$1004,0)),"")))</x:f>
      </x:c>
      <x:c r="C968" s="75" t="str">
        <x:f>IF(A968="","",SUMIF('전기원장'!$A$5:$A$1004,A968,'전기원장'!$H$5:$H$1004))</x:f>
      </x:c>
      <x:c r="D968" s="75" t="str">
        <x:f>IF(A968="","",SUMIF('당기원장'!$A$5:$A$1004,A968,'당기원장'!$H$5:$H$1004))</x:f>
      </x:c>
      <x:c r="E968" s="75" t="str">
        <x:f>IF(A968="","",D968-C968)</x:f>
      </x:c>
      <x:c r="F968" s="88" t="str">
        <x:f>IF(A968="","",IF(C968=0,IF(D968=0,0,1),ABS(E968)/ABS(C968)))</x:f>
      </x:c>
      <x:c r="G968" s="73" t="str">
        <x:f>IF(A968="","",IF(AND(C968=0,D968&lt;&gt;0),"신규",IF(AND(C968&lt;&gt;0,D968=0),"소멸",IF(E968=0,"변동없음","금액변동"))))</x:f>
      </x:c>
      <x:c r="H968" s="73" t="str">
        <x:f>IF(A968="","",IF(AND(ABS(E968)&gt;='기준설정'!$B$6,OR(G968="신규",G968="소멸",F968&gt;='기준설정'!$B$5)),"원인분석 대상","일반"))</x:f>
      </x:c>
      <x:c r="I968" s="73" t="str">
        <x:f>IF(A968="","",IF(H968="원인분석 대상","세부원인분석 시트에서 거래별 원인을 검토","-"))</x:f>
      </x:c>
      <x:c r="J968" s="73" t="str">
        <x:f>IF(A968="","",COUNTIFS('전기원장'!$A$5:$A$1004,A968,'전기원장'!$J$5:$J$1004,"확인 필요")+COUNTIFS('당기원장'!$A$5:$A$1004,A968,'당기원장'!$J$5:$J$1004,"확인 필요"))</x:f>
      </x:c>
      <x:c r="K968" s="85" t="str">
        <x:f>IF(A968="","",IF(H968&lt;&gt;"원인분석 대상","",IF(J968&gt;0,"붙임 문서 확인 후 원인 확정 필요","결의서명 기반 원인분류 검토")))</x:f>
      </x:c>
    </x:row>
    <x:row r="969">
      <x:c r="A969" s="73" t="str">
        <x:f>IFERROR(INDEX('계산도우미'!$B$5:$B$2004,MATCH(ROWS($A$5:A969),'계산도우미'!$K$5:$K$2004,0)),"")</x:f>
      </x:c>
      <x:c r="B969" s="73" t="str">
        <x:f>IF(A969="","",IFERROR(INDEX('당기원장'!$B$5:$B$1004,MATCH(A969,'당기원장'!$A$5:$A$1004,0)),IFERROR(INDEX('전기원장'!$B$5:$B$1004,MATCH(A969,'전기원장'!$A$5:$A$1004,0)),"")))</x:f>
      </x:c>
      <x:c r="C969" s="75" t="str">
        <x:f>IF(A969="","",SUMIF('전기원장'!$A$5:$A$1004,A969,'전기원장'!$H$5:$H$1004))</x:f>
      </x:c>
      <x:c r="D969" s="75" t="str">
        <x:f>IF(A969="","",SUMIF('당기원장'!$A$5:$A$1004,A969,'당기원장'!$H$5:$H$1004))</x:f>
      </x:c>
      <x:c r="E969" s="75" t="str">
        <x:f>IF(A969="","",D969-C969)</x:f>
      </x:c>
      <x:c r="F969" s="88" t="str">
        <x:f>IF(A969="","",IF(C969=0,IF(D969=0,0,1),ABS(E969)/ABS(C969)))</x:f>
      </x:c>
      <x:c r="G969" s="73" t="str">
        <x:f>IF(A969="","",IF(AND(C969=0,D969&lt;&gt;0),"신규",IF(AND(C969&lt;&gt;0,D969=0),"소멸",IF(E969=0,"변동없음","금액변동"))))</x:f>
      </x:c>
      <x:c r="H969" s="73" t="str">
        <x:f>IF(A969="","",IF(AND(ABS(E969)&gt;='기준설정'!$B$6,OR(G969="신규",G969="소멸",F969&gt;='기준설정'!$B$5)),"원인분석 대상","일반"))</x:f>
      </x:c>
      <x:c r="I969" s="73" t="str">
        <x:f>IF(A969="","",IF(H969="원인분석 대상","세부원인분석 시트에서 거래별 원인을 검토","-"))</x:f>
      </x:c>
      <x:c r="J969" s="73" t="str">
        <x:f>IF(A969="","",COUNTIFS('전기원장'!$A$5:$A$1004,A969,'전기원장'!$J$5:$J$1004,"확인 필요")+COUNTIFS('당기원장'!$A$5:$A$1004,A969,'당기원장'!$J$5:$J$1004,"확인 필요"))</x:f>
      </x:c>
      <x:c r="K969" s="85" t="str">
        <x:f>IF(A969="","",IF(H969&lt;&gt;"원인분석 대상","",IF(J969&gt;0,"붙임 문서 확인 후 원인 확정 필요","결의서명 기반 원인분류 검토")))</x:f>
      </x:c>
    </x:row>
    <x:row r="970">
      <x:c r="A970" s="73" t="str">
        <x:f>IFERROR(INDEX('계산도우미'!$B$5:$B$2004,MATCH(ROWS($A$5:A970),'계산도우미'!$K$5:$K$2004,0)),"")</x:f>
      </x:c>
      <x:c r="B970" s="73" t="str">
        <x:f>IF(A970="","",IFERROR(INDEX('당기원장'!$B$5:$B$1004,MATCH(A970,'당기원장'!$A$5:$A$1004,0)),IFERROR(INDEX('전기원장'!$B$5:$B$1004,MATCH(A970,'전기원장'!$A$5:$A$1004,0)),"")))</x:f>
      </x:c>
      <x:c r="C970" s="75" t="str">
        <x:f>IF(A970="","",SUMIF('전기원장'!$A$5:$A$1004,A970,'전기원장'!$H$5:$H$1004))</x:f>
      </x:c>
      <x:c r="D970" s="75" t="str">
        <x:f>IF(A970="","",SUMIF('당기원장'!$A$5:$A$1004,A970,'당기원장'!$H$5:$H$1004))</x:f>
      </x:c>
      <x:c r="E970" s="75" t="str">
        <x:f>IF(A970="","",D970-C970)</x:f>
      </x:c>
      <x:c r="F970" s="88" t="str">
        <x:f>IF(A970="","",IF(C970=0,IF(D970=0,0,1),ABS(E970)/ABS(C970)))</x:f>
      </x:c>
      <x:c r="G970" s="73" t="str">
        <x:f>IF(A970="","",IF(AND(C970=0,D970&lt;&gt;0),"신규",IF(AND(C970&lt;&gt;0,D970=0),"소멸",IF(E970=0,"변동없음","금액변동"))))</x:f>
      </x:c>
      <x:c r="H970" s="73" t="str">
        <x:f>IF(A970="","",IF(AND(ABS(E970)&gt;='기준설정'!$B$6,OR(G970="신규",G970="소멸",F970&gt;='기준설정'!$B$5)),"원인분석 대상","일반"))</x:f>
      </x:c>
      <x:c r="I970" s="73" t="str">
        <x:f>IF(A970="","",IF(H970="원인분석 대상","세부원인분석 시트에서 거래별 원인을 검토","-"))</x:f>
      </x:c>
      <x:c r="J970" s="73" t="str">
        <x:f>IF(A970="","",COUNTIFS('전기원장'!$A$5:$A$1004,A970,'전기원장'!$J$5:$J$1004,"확인 필요")+COUNTIFS('당기원장'!$A$5:$A$1004,A970,'당기원장'!$J$5:$J$1004,"확인 필요"))</x:f>
      </x:c>
      <x:c r="K970" s="85" t="str">
        <x:f>IF(A970="","",IF(H970&lt;&gt;"원인분석 대상","",IF(J970&gt;0,"붙임 문서 확인 후 원인 확정 필요","결의서명 기반 원인분류 검토")))</x:f>
      </x:c>
    </x:row>
    <x:row r="971">
      <x:c r="A971" s="73" t="str">
        <x:f>IFERROR(INDEX('계산도우미'!$B$5:$B$2004,MATCH(ROWS($A$5:A971),'계산도우미'!$K$5:$K$2004,0)),"")</x:f>
      </x:c>
      <x:c r="B971" s="73" t="str">
        <x:f>IF(A971="","",IFERROR(INDEX('당기원장'!$B$5:$B$1004,MATCH(A971,'당기원장'!$A$5:$A$1004,0)),IFERROR(INDEX('전기원장'!$B$5:$B$1004,MATCH(A971,'전기원장'!$A$5:$A$1004,0)),"")))</x:f>
      </x:c>
      <x:c r="C971" s="75" t="str">
        <x:f>IF(A971="","",SUMIF('전기원장'!$A$5:$A$1004,A971,'전기원장'!$H$5:$H$1004))</x:f>
      </x:c>
      <x:c r="D971" s="75" t="str">
        <x:f>IF(A971="","",SUMIF('당기원장'!$A$5:$A$1004,A971,'당기원장'!$H$5:$H$1004))</x:f>
      </x:c>
      <x:c r="E971" s="75" t="str">
        <x:f>IF(A971="","",D971-C971)</x:f>
      </x:c>
      <x:c r="F971" s="88" t="str">
        <x:f>IF(A971="","",IF(C971=0,IF(D971=0,0,1),ABS(E971)/ABS(C971)))</x:f>
      </x:c>
      <x:c r="G971" s="73" t="str">
        <x:f>IF(A971="","",IF(AND(C971=0,D971&lt;&gt;0),"신규",IF(AND(C971&lt;&gt;0,D971=0),"소멸",IF(E971=0,"변동없음","금액변동"))))</x:f>
      </x:c>
      <x:c r="H971" s="73" t="str">
        <x:f>IF(A971="","",IF(AND(ABS(E971)&gt;='기준설정'!$B$6,OR(G971="신규",G971="소멸",F971&gt;='기준설정'!$B$5)),"원인분석 대상","일반"))</x:f>
      </x:c>
      <x:c r="I971" s="73" t="str">
        <x:f>IF(A971="","",IF(H971="원인분석 대상","세부원인분석 시트에서 거래별 원인을 검토","-"))</x:f>
      </x:c>
      <x:c r="J971" s="73" t="str">
        <x:f>IF(A971="","",COUNTIFS('전기원장'!$A$5:$A$1004,A971,'전기원장'!$J$5:$J$1004,"확인 필요")+COUNTIFS('당기원장'!$A$5:$A$1004,A971,'당기원장'!$J$5:$J$1004,"확인 필요"))</x:f>
      </x:c>
      <x:c r="K971" s="85" t="str">
        <x:f>IF(A971="","",IF(H971&lt;&gt;"원인분석 대상","",IF(J971&gt;0,"붙임 문서 확인 후 원인 확정 필요","결의서명 기반 원인분류 검토")))</x:f>
      </x:c>
    </x:row>
    <x:row r="972">
      <x:c r="A972" s="73" t="str">
        <x:f>IFERROR(INDEX('계산도우미'!$B$5:$B$2004,MATCH(ROWS($A$5:A972),'계산도우미'!$K$5:$K$2004,0)),"")</x:f>
      </x:c>
      <x:c r="B972" s="73" t="str">
        <x:f>IF(A972="","",IFERROR(INDEX('당기원장'!$B$5:$B$1004,MATCH(A972,'당기원장'!$A$5:$A$1004,0)),IFERROR(INDEX('전기원장'!$B$5:$B$1004,MATCH(A972,'전기원장'!$A$5:$A$1004,0)),"")))</x:f>
      </x:c>
      <x:c r="C972" s="75" t="str">
        <x:f>IF(A972="","",SUMIF('전기원장'!$A$5:$A$1004,A972,'전기원장'!$H$5:$H$1004))</x:f>
      </x:c>
      <x:c r="D972" s="75" t="str">
        <x:f>IF(A972="","",SUMIF('당기원장'!$A$5:$A$1004,A972,'당기원장'!$H$5:$H$1004))</x:f>
      </x:c>
      <x:c r="E972" s="75" t="str">
        <x:f>IF(A972="","",D972-C972)</x:f>
      </x:c>
      <x:c r="F972" s="88" t="str">
        <x:f>IF(A972="","",IF(C972=0,IF(D972=0,0,1),ABS(E972)/ABS(C972)))</x:f>
      </x:c>
      <x:c r="G972" s="73" t="str">
        <x:f>IF(A972="","",IF(AND(C972=0,D972&lt;&gt;0),"신규",IF(AND(C972&lt;&gt;0,D972=0),"소멸",IF(E972=0,"변동없음","금액변동"))))</x:f>
      </x:c>
      <x:c r="H972" s="73" t="str">
        <x:f>IF(A972="","",IF(AND(ABS(E972)&gt;='기준설정'!$B$6,OR(G972="신규",G972="소멸",F972&gt;='기준설정'!$B$5)),"원인분석 대상","일반"))</x:f>
      </x:c>
      <x:c r="I972" s="73" t="str">
        <x:f>IF(A972="","",IF(H972="원인분석 대상","세부원인분석 시트에서 거래별 원인을 검토","-"))</x:f>
      </x:c>
      <x:c r="J972" s="73" t="str">
        <x:f>IF(A972="","",COUNTIFS('전기원장'!$A$5:$A$1004,A972,'전기원장'!$J$5:$J$1004,"확인 필요")+COUNTIFS('당기원장'!$A$5:$A$1004,A972,'당기원장'!$J$5:$J$1004,"확인 필요"))</x:f>
      </x:c>
      <x:c r="K972" s="85" t="str">
        <x:f>IF(A972="","",IF(H972&lt;&gt;"원인분석 대상","",IF(J972&gt;0,"붙임 문서 확인 후 원인 확정 필요","결의서명 기반 원인분류 검토")))</x:f>
      </x:c>
    </x:row>
    <x:row r="973">
      <x:c r="A973" s="73" t="str">
        <x:f>IFERROR(INDEX('계산도우미'!$B$5:$B$2004,MATCH(ROWS($A$5:A973),'계산도우미'!$K$5:$K$2004,0)),"")</x:f>
      </x:c>
      <x:c r="B973" s="73" t="str">
        <x:f>IF(A973="","",IFERROR(INDEX('당기원장'!$B$5:$B$1004,MATCH(A973,'당기원장'!$A$5:$A$1004,0)),IFERROR(INDEX('전기원장'!$B$5:$B$1004,MATCH(A973,'전기원장'!$A$5:$A$1004,0)),"")))</x:f>
      </x:c>
      <x:c r="C973" s="75" t="str">
        <x:f>IF(A973="","",SUMIF('전기원장'!$A$5:$A$1004,A973,'전기원장'!$H$5:$H$1004))</x:f>
      </x:c>
      <x:c r="D973" s="75" t="str">
        <x:f>IF(A973="","",SUMIF('당기원장'!$A$5:$A$1004,A973,'당기원장'!$H$5:$H$1004))</x:f>
      </x:c>
      <x:c r="E973" s="75" t="str">
        <x:f>IF(A973="","",D973-C973)</x:f>
      </x:c>
      <x:c r="F973" s="88" t="str">
        <x:f>IF(A973="","",IF(C973=0,IF(D973=0,0,1),ABS(E973)/ABS(C973)))</x:f>
      </x:c>
      <x:c r="G973" s="73" t="str">
        <x:f>IF(A973="","",IF(AND(C973=0,D973&lt;&gt;0),"신규",IF(AND(C973&lt;&gt;0,D973=0),"소멸",IF(E973=0,"변동없음","금액변동"))))</x:f>
      </x:c>
      <x:c r="H973" s="73" t="str">
        <x:f>IF(A973="","",IF(AND(ABS(E973)&gt;='기준설정'!$B$6,OR(G973="신규",G973="소멸",F973&gt;='기준설정'!$B$5)),"원인분석 대상","일반"))</x:f>
      </x:c>
      <x:c r="I973" s="73" t="str">
        <x:f>IF(A973="","",IF(H973="원인분석 대상","세부원인분석 시트에서 거래별 원인을 검토","-"))</x:f>
      </x:c>
      <x:c r="J973" s="73" t="str">
        <x:f>IF(A973="","",COUNTIFS('전기원장'!$A$5:$A$1004,A973,'전기원장'!$J$5:$J$1004,"확인 필요")+COUNTIFS('당기원장'!$A$5:$A$1004,A973,'당기원장'!$J$5:$J$1004,"확인 필요"))</x:f>
      </x:c>
      <x:c r="K973" s="85" t="str">
        <x:f>IF(A973="","",IF(H973&lt;&gt;"원인분석 대상","",IF(J973&gt;0,"붙임 문서 확인 후 원인 확정 필요","결의서명 기반 원인분류 검토")))</x:f>
      </x:c>
    </x:row>
    <x:row r="974">
      <x:c r="A974" s="73" t="str">
        <x:f>IFERROR(INDEX('계산도우미'!$B$5:$B$2004,MATCH(ROWS($A$5:A974),'계산도우미'!$K$5:$K$2004,0)),"")</x:f>
      </x:c>
      <x:c r="B974" s="73" t="str">
        <x:f>IF(A974="","",IFERROR(INDEX('당기원장'!$B$5:$B$1004,MATCH(A974,'당기원장'!$A$5:$A$1004,0)),IFERROR(INDEX('전기원장'!$B$5:$B$1004,MATCH(A974,'전기원장'!$A$5:$A$1004,0)),"")))</x:f>
      </x:c>
      <x:c r="C974" s="75" t="str">
        <x:f>IF(A974="","",SUMIF('전기원장'!$A$5:$A$1004,A974,'전기원장'!$H$5:$H$1004))</x:f>
      </x:c>
      <x:c r="D974" s="75" t="str">
        <x:f>IF(A974="","",SUMIF('당기원장'!$A$5:$A$1004,A974,'당기원장'!$H$5:$H$1004))</x:f>
      </x:c>
      <x:c r="E974" s="75" t="str">
        <x:f>IF(A974="","",D974-C974)</x:f>
      </x:c>
      <x:c r="F974" s="88" t="str">
        <x:f>IF(A974="","",IF(C974=0,IF(D974=0,0,1),ABS(E974)/ABS(C974)))</x:f>
      </x:c>
      <x:c r="G974" s="73" t="str">
        <x:f>IF(A974="","",IF(AND(C974=0,D974&lt;&gt;0),"신규",IF(AND(C974&lt;&gt;0,D974=0),"소멸",IF(E974=0,"변동없음","금액변동"))))</x:f>
      </x:c>
      <x:c r="H974" s="73" t="str">
        <x:f>IF(A974="","",IF(AND(ABS(E974)&gt;='기준설정'!$B$6,OR(G974="신규",G974="소멸",F974&gt;='기준설정'!$B$5)),"원인분석 대상","일반"))</x:f>
      </x:c>
      <x:c r="I974" s="73" t="str">
        <x:f>IF(A974="","",IF(H974="원인분석 대상","세부원인분석 시트에서 거래별 원인을 검토","-"))</x:f>
      </x:c>
      <x:c r="J974" s="73" t="str">
        <x:f>IF(A974="","",COUNTIFS('전기원장'!$A$5:$A$1004,A974,'전기원장'!$J$5:$J$1004,"확인 필요")+COUNTIFS('당기원장'!$A$5:$A$1004,A974,'당기원장'!$J$5:$J$1004,"확인 필요"))</x:f>
      </x:c>
      <x:c r="K974" s="85" t="str">
        <x:f>IF(A974="","",IF(H974&lt;&gt;"원인분석 대상","",IF(J974&gt;0,"붙임 문서 확인 후 원인 확정 필요","결의서명 기반 원인분류 검토")))</x:f>
      </x:c>
    </x:row>
    <x:row r="975">
      <x:c r="A975" s="73" t="str">
        <x:f>IFERROR(INDEX('계산도우미'!$B$5:$B$2004,MATCH(ROWS($A$5:A975),'계산도우미'!$K$5:$K$2004,0)),"")</x:f>
      </x:c>
      <x:c r="B975" s="73" t="str">
        <x:f>IF(A975="","",IFERROR(INDEX('당기원장'!$B$5:$B$1004,MATCH(A975,'당기원장'!$A$5:$A$1004,0)),IFERROR(INDEX('전기원장'!$B$5:$B$1004,MATCH(A975,'전기원장'!$A$5:$A$1004,0)),"")))</x:f>
      </x:c>
      <x:c r="C975" s="75" t="str">
        <x:f>IF(A975="","",SUMIF('전기원장'!$A$5:$A$1004,A975,'전기원장'!$H$5:$H$1004))</x:f>
      </x:c>
      <x:c r="D975" s="75" t="str">
        <x:f>IF(A975="","",SUMIF('당기원장'!$A$5:$A$1004,A975,'당기원장'!$H$5:$H$1004))</x:f>
      </x:c>
      <x:c r="E975" s="75" t="str">
        <x:f>IF(A975="","",D975-C975)</x:f>
      </x:c>
      <x:c r="F975" s="88" t="str">
        <x:f>IF(A975="","",IF(C975=0,IF(D975=0,0,1),ABS(E975)/ABS(C975)))</x:f>
      </x:c>
      <x:c r="G975" s="73" t="str">
        <x:f>IF(A975="","",IF(AND(C975=0,D975&lt;&gt;0),"신규",IF(AND(C975&lt;&gt;0,D975=0),"소멸",IF(E975=0,"변동없음","금액변동"))))</x:f>
      </x:c>
      <x:c r="H975" s="73" t="str">
        <x:f>IF(A975="","",IF(AND(ABS(E975)&gt;='기준설정'!$B$6,OR(G975="신규",G975="소멸",F975&gt;='기준설정'!$B$5)),"원인분석 대상","일반"))</x:f>
      </x:c>
      <x:c r="I975" s="73" t="str">
        <x:f>IF(A975="","",IF(H975="원인분석 대상","세부원인분석 시트에서 거래별 원인을 검토","-"))</x:f>
      </x:c>
      <x:c r="J975" s="73" t="str">
        <x:f>IF(A975="","",COUNTIFS('전기원장'!$A$5:$A$1004,A975,'전기원장'!$J$5:$J$1004,"확인 필요")+COUNTIFS('당기원장'!$A$5:$A$1004,A975,'당기원장'!$J$5:$J$1004,"확인 필요"))</x:f>
      </x:c>
      <x:c r="K975" s="85" t="str">
        <x:f>IF(A975="","",IF(H975&lt;&gt;"원인분석 대상","",IF(J975&gt;0,"붙임 문서 확인 후 원인 확정 필요","결의서명 기반 원인분류 검토")))</x:f>
      </x:c>
    </x:row>
    <x:row r="976">
      <x:c r="A976" s="73" t="str">
        <x:f>IFERROR(INDEX('계산도우미'!$B$5:$B$2004,MATCH(ROWS($A$5:A976),'계산도우미'!$K$5:$K$2004,0)),"")</x:f>
      </x:c>
      <x:c r="B976" s="73" t="str">
        <x:f>IF(A976="","",IFERROR(INDEX('당기원장'!$B$5:$B$1004,MATCH(A976,'당기원장'!$A$5:$A$1004,0)),IFERROR(INDEX('전기원장'!$B$5:$B$1004,MATCH(A976,'전기원장'!$A$5:$A$1004,0)),"")))</x:f>
      </x:c>
      <x:c r="C976" s="75" t="str">
        <x:f>IF(A976="","",SUMIF('전기원장'!$A$5:$A$1004,A976,'전기원장'!$H$5:$H$1004))</x:f>
      </x:c>
      <x:c r="D976" s="75" t="str">
        <x:f>IF(A976="","",SUMIF('당기원장'!$A$5:$A$1004,A976,'당기원장'!$H$5:$H$1004))</x:f>
      </x:c>
      <x:c r="E976" s="75" t="str">
        <x:f>IF(A976="","",D976-C976)</x:f>
      </x:c>
      <x:c r="F976" s="88" t="str">
        <x:f>IF(A976="","",IF(C976=0,IF(D976=0,0,1),ABS(E976)/ABS(C976)))</x:f>
      </x:c>
      <x:c r="G976" s="73" t="str">
        <x:f>IF(A976="","",IF(AND(C976=0,D976&lt;&gt;0),"신규",IF(AND(C976&lt;&gt;0,D976=0),"소멸",IF(E976=0,"변동없음","금액변동"))))</x:f>
      </x:c>
      <x:c r="H976" s="73" t="str">
        <x:f>IF(A976="","",IF(AND(ABS(E976)&gt;='기준설정'!$B$6,OR(G976="신규",G976="소멸",F976&gt;='기준설정'!$B$5)),"원인분석 대상","일반"))</x:f>
      </x:c>
      <x:c r="I976" s="73" t="str">
        <x:f>IF(A976="","",IF(H976="원인분석 대상","세부원인분석 시트에서 거래별 원인을 검토","-"))</x:f>
      </x:c>
      <x:c r="J976" s="73" t="str">
        <x:f>IF(A976="","",COUNTIFS('전기원장'!$A$5:$A$1004,A976,'전기원장'!$J$5:$J$1004,"확인 필요")+COUNTIFS('당기원장'!$A$5:$A$1004,A976,'당기원장'!$J$5:$J$1004,"확인 필요"))</x:f>
      </x:c>
      <x:c r="K976" s="85" t="str">
        <x:f>IF(A976="","",IF(H976&lt;&gt;"원인분석 대상","",IF(J976&gt;0,"붙임 문서 확인 후 원인 확정 필요","결의서명 기반 원인분류 검토")))</x:f>
      </x:c>
    </x:row>
    <x:row r="977">
      <x:c r="A977" s="73" t="str">
        <x:f>IFERROR(INDEX('계산도우미'!$B$5:$B$2004,MATCH(ROWS($A$5:A977),'계산도우미'!$K$5:$K$2004,0)),"")</x:f>
      </x:c>
      <x:c r="B977" s="73" t="str">
        <x:f>IF(A977="","",IFERROR(INDEX('당기원장'!$B$5:$B$1004,MATCH(A977,'당기원장'!$A$5:$A$1004,0)),IFERROR(INDEX('전기원장'!$B$5:$B$1004,MATCH(A977,'전기원장'!$A$5:$A$1004,0)),"")))</x:f>
      </x:c>
      <x:c r="C977" s="75" t="str">
        <x:f>IF(A977="","",SUMIF('전기원장'!$A$5:$A$1004,A977,'전기원장'!$H$5:$H$1004))</x:f>
      </x:c>
      <x:c r="D977" s="75" t="str">
        <x:f>IF(A977="","",SUMIF('당기원장'!$A$5:$A$1004,A977,'당기원장'!$H$5:$H$1004))</x:f>
      </x:c>
      <x:c r="E977" s="75" t="str">
        <x:f>IF(A977="","",D977-C977)</x:f>
      </x:c>
      <x:c r="F977" s="88" t="str">
        <x:f>IF(A977="","",IF(C977=0,IF(D977=0,0,1),ABS(E977)/ABS(C977)))</x:f>
      </x:c>
      <x:c r="G977" s="73" t="str">
        <x:f>IF(A977="","",IF(AND(C977=0,D977&lt;&gt;0),"신규",IF(AND(C977&lt;&gt;0,D977=0),"소멸",IF(E977=0,"변동없음","금액변동"))))</x:f>
      </x:c>
      <x:c r="H977" s="73" t="str">
        <x:f>IF(A977="","",IF(AND(ABS(E977)&gt;='기준설정'!$B$6,OR(G977="신규",G977="소멸",F977&gt;='기준설정'!$B$5)),"원인분석 대상","일반"))</x:f>
      </x:c>
      <x:c r="I977" s="73" t="str">
        <x:f>IF(A977="","",IF(H977="원인분석 대상","세부원인분석 시트에서 거래별 원인을 검토","-"))</x:f>
      </x:c>
      <x:c r="J977" s="73" t="str">
        <x:f>IF(A977="","",COUNTIFS('전기원장'!$A$5:$A$1004,A977,'전기원장'!$J$5:$J$1004,"확인 필요")+COUNTIFS('당기원장'!$A$5:$A$1004,A977,'당기원장'!$J$5:$J$1004,"확인 필요"))</x:f>
      </x:c>
      <x:c r="K977" s="85" t="str">
        <x:f>IF(A977="","",IF(H977&lt;&gt;"원인분석 대상","",IF(J977&gt;0,"붙임 문서 확인 후 원인 확정 필요","결의서명 기반 원인분류 검토")))</x:f>
      </x:c>
    </x:row>
    <x:row r="978">
      <x:c r="A978" s="73" t="str">
        <x:f>IFERROR(INDEX('계산도우미'!$B$5:$B$2004,MATCH(ROWS($A$5:A978),'계산도우미'!$K$5:$K$2004,0)),"")</x:f>
      </x:c>
      <x:c r="B978" s="73" t="str">
        <x:f>IF(A978="","",IFERROR(INDEX('당기원장'!$B$5:$B$1004,MATCH(A978,'당기원장'!$A$5:$A$1004,0)),IFERROR(INDEX('전기원장'!$B$5:$B$1004,MATCH(A978,'전기원장'!$A$5:$A$1004,0)),"")))</x:f>
      </x:c>
      <x:c r="C978" s="75" t="str">
        <x:f>IF(A978="","",SUMIF('전기원장'!$A$5:$A$1004,A978,'전기원장'!$H$5:$H$1004))</x:f>
      </x:c>
      <x:c r="D978" s="75" t="str">
        <x:f>IF(A978="","",SUMIF('당기원장'!$A$5:$A$1004,A978,'당기원장'!$H$5:$H$1004))</x:f>
      </x:c>
      <x:c r="E978" s="75" t="str">
        <x:f>IF(A978="","",D978-C978)</x:f>
      </x:c>
      <x:c r="F978" s="88" t="str">
        <x:f>IF(A978="","",IF(C978=0,IF(D978=0,0,1),ABS(E978)/ABS(C978)))</x:f>
      </x:c>
      <x:c r="G978" s="73" t="str">
        <x:f>IF(A978="","",IF(AND(C978=0,D978&lt;&gt;0),"신규",IF(AND(C978&lt;&gt;0,D978=0),"소멸",IF(E978=0,"변동없음","금액변동"))))</x:f>
      </x:c>
      <x:c r="H978" s="73" t="str">
        <x:f>IF(A978="","",IF(AND(ABS(E978)&gt;='기준설정'!$B$6,OR(G978="신규",G978="소멸",F978&gt;='기준설정'!$B$5)),"원인분석 대상","일반"))</x:f>
      </x:c>
      <x:c r="I978" s="73" t="str">
        <x:f>IF(A978="","",IF(H978="원인분석 대상","세부원인분석 시트에서 거래별 원인을 검토","-"))</x:f>
      </x:c>
      <x:c r="J978" s="73" t="str">
        <x:f>IF(A978="","",COUNTIFS('전기원장'!$A$5:$A$1004,A978,'전기원장'!$J$5:$J$1004,"확인 필요")+COUNTIFS('당기원장'!$A$5:$A$1004,A978,'당기원장'!$J$5:$J$1004,"확인 필요"))</x:f>
      </x:c>
      <x:c r="K978" s="85" t="str">
        <x:f>IF(A978="","",IF(H978&lt;&gt;"원인분석 대상","",IF(J978&gt;0,"붙임 문서 확인 후 원인 확정 필요","결의서명 기반 원인분류 검토")))</x:f>
      </x:c>
    </x:row>
    <x:row r="979">
      <x:c r="A979" s="73" t="str">
        <x:f>IFERROR(INDEX('계산도우미'!$B$5:$B$2004,MATCH(ROWS($A$5:A979),'계산도우미'!$K$5:$K$2004,0)),"")</x:f>
      </x:c>
      <x:c r="B979" s="73" t="str">
        <x:f>IF(A979="","",IFERROR(INDEX('당기원장'!$B$5:$B$1004,MATCH(A979,'당기원장'!$A$5:$A$1004,0)),IFERROR(INDEX('전기원장'!$B$5:$B$1004,MATCH(A979,'전기원장'!$A$5:$A$1004,0)),"")))</x:f>
      </x:c>
      <x:c r="C979" s="75" t="str">
        <x:f>IF(A979="","",SUMIF('전기원장'!$A$5:$A$1004,A979,'전기원장'!$H$5:$H$1004))</x:f>
      </x:c>
      <x:c r="D979" s="75" t="str">
        <x:f>IF(A979="","",SUMIF('당기원장'!$A$5:$A$1004,A979,'당기원장'!$H$5:$H$1004))</x:f>
      </x:c>
      <x:c r="E979" s="75" t="str">
        <x:f>IF(A979="","",D979-C979)</x:f>
      </x:c>
      <x:c r="F979" s="88" t="str">
        <x:f>IF(A979="","",IF(C979=0,IF(D979=0,0,1),ABS(E979)/ABS(C979)))</x:f>
      </x:c>
      <x:c r="G979" s="73" t="str">
        <x:f>IF(A979="","",IF(AND(C979=0,D979&lt;&gt;0),"신규",IF(AND(C979&lt;&gt;0,D979=0),"소멸",IF(E979=0,"변동없음","금액변동"))))</x:f>
      </x:c>
      <x:c r="H979" s="73" t="str">
        <x:f>IF(A979="","",IF(AND(ABS(E979)&gt;='기준설정'!$B$6,OR(G979="신규",G979="소멸",F979&gt;='기준설정'!$B$5)),"원인분석 대상","일반"))</x:f>
      </x:c>
      <x:c r="I979" s="73" t="str">
        <x:f>IF(A979="","",IF(H979="원인분석 대상","세부원인분석 시트에서 거래별 원인을 검토","-"))</x:f>
      </x:c>
      <x:c r="J979" s="73" t="str">
        <x:f>IF(A979="","",COUNTIFS('전기원장'!$A$5:$A$1004,A979,'전기원장'!$J$5:$J$1004,"확인 필요")+COUNTIFS('당기원장'!$A$5:$A$1004,A979,'당기원장'!$J$5:$J$1004,"확인 필요"))</x:f>
      </x:c>
      <x:c r="K979" s="85" t="str">
        <x:f>IF(A979="","",IF(H979&lt;&gt;"원인분석 대상","",IF(J979&gt;0,"붙임 문서 확인 후 원인 확정 필요","결의서명 기반 원인분류 검토")))</x:f>
      </x:c>
    </x:row>
    <x:row r="980">
      <x:c r="A980" s="73" t="str">
        <x:f>IFERROR(INDEX('계산도우미'!$B$5:$B$2004,MATCH(ROWS($A$5:A980),'계산도우미'!$K$5:$K$2004,0)),"")</x:f>
      </x:c>
      <x:c r="B980" s="73" t="str">
        <x:f>IF(A980="","",IFERROR(INDEX('당기원장'!$B$5:$B$1004,MATCH(A980,'당기원장'!$A$5:$A$1004,0)),IFERROR(INDEX('전기원장'!$B$5:$B$1004,MATCH(A980,'전기원장'!$A$5:$A$1004,0)),"")))</x:f>
      </x:c>
      <x:c r="C980" s="75" t="str">
        <x:f>IF(A980="","",SUMIF('전기원장'!$A$5:$A$1004,A980,'전기원장'!$H$5:$H$1004))</x:f>
      </x:c>
      <x:c r="D980" s="75" t="str">
        <x:f>IF(A980="","",SUMIF('당기원장'!$A$5:$A$1004,A980,'당기원장'!$H$5:$H$1004))</x:f>
      </x:c>
      <x:c r="E980" s="75" t="str">
        <x:f>IF(A980="","",D980-C980)</x:f>
      </x:c>
      <x:c r="F980" s="88" t="str">
        <x:f>IF(A980="","",IF(C980=0,IF(D980=0,0,1),ABS(E980)/ABS(C980)))</x:f>
      </x:c>
      <x:c r="G980" s="73" t="str">
        <x:f>IF(A980="","",IF(AND(C980=0,D980&lt;&gt;0),"신규",IF(AND(C980&lt;&gt;0,D980=0),"소멸",IF(E980=0,"변동없음","금액변동"))))</x:f>
      </x:c>
      <x:c r="H980" s="73" t="str">
        <x:f>IF(A980="","",IF(AND(ABS(E980)&gt;='기준설정'!$B$6,OR(G980="신규",G980="소멸",F980&gt;='기준설정'!$B$5)),"원인분석 대상","일반"))</x:f>
      </x:c>
      <x:c r="I980" s="73" t="str">
        <x:f>IF(A980="","",IF(H980="원인분석 대상","세부원인분석 시트에서 거래별 원인을 검토","-"))</x:f>
      </x:c>
      <x:c r="J980" s="73" t="str">
        <x:f>IF(A980="","",COUNTIFS('전기원장'!$A$5:$A$1004,A980,'전기원장'!$J$5:$J$1004,"확인 필요")+COUNTIFS('당기원장'!$A$5:$A$1004,A980,'당기원장'!$J$5:$J$1004,"확인 필요"))</x:f>
      </x:c>
      <x:c r="K980" s="85" t="str">
        <x:f>IF(A980="","",IF(H980&lt;&gt;"원인분석 대상","",IF(J980&gt;0,"붙임 문서 확인 후 원인 확정 필요","결의서명 기반 원인분류 검토")))</x:f>
      </x:c>
    </x:row>
    <x:row r="981">
      <x:c r="A981" s="73" t="str">
        <x:f>IFERROR(INDEX('계산도우미'!$B$5:$B$2004,MATCH(ROWS($A$5:A981),'계산도우미'!$K$5:$K$2004,0)),"")</x:f>
      </x:c>
      <x:c r="B981" s="73" t="str">
        <x:f>IF(A981="","",IFERROR(INDEX('당기원장'!$B$5:$B$1004,MATCH(A981,'당기원장'!$A$5:$A$1004,0)),IFERROR(INDEX('전기원장'!$B$5:$B$1004,MATCH(A981,'전기원장'!$A$5:$A$1004,0)),"")))</x:f>
      </x:c>
      <x:c r="C981" s="75" t="str">
        <x:f>IF(A981="","",SUMIF('전기원장'!$A$5:$A$1004,A981,'전기원장'!$H$5:$H$1004))</x:f>
      </x:c>
      <x:c r="D981" s="75" t="str">
        <x:f>IF(A981="","",SUMIF('당기원장'!$A$5:$A$1004,A981,'당기원장'!$H$5:$H$1004))</x:f>
      </x:c>
      <x:c r="E981" s="75" t="str">
        <x:f>IF(A981="","",D981-C981)</x:f>
      </x:c>
      <x:c r="F981" s="88" t="str">
        <x:f>IF(A981="","",IF(C981=0,IF(D981=0,0,1),ABS(E981)/ABS(C981)))</x:f>
      </x:c>
      <x:c r="G981" s="73" t="str">
        <x:f>IF(A981="","",IF(AND(C981=0,D981&lt;&gt;0),"신규",IF(AND(C981&lt;&gt;0,D981=0),"소멸",IF(E981=0,"변동없음","금액변동"))))</x:f>
      </x:c>
      <x:c r="H981" s="73" t="str">
        <x:f>IF(A981="","",IF(AND(ABS(E981)&gt;='기준설정'!$B$6,OR(G981="신규",G981="소멸",F981&gt;='기준설정'!$B$5)),"원인분석 대상","일반"))</x:f>
      </x:c>
      <x:c r="I981" s="73" t="str">
        <x:f>IF(A981="","",IF(H981="원인분석 대상","세부원인분석 시트에서 거래별 원인을 검토","-"))</x:f>
      </x:c>
      <x:c r="J981" s="73" t="str">
        <x:f>IF(A981="","",COUNTIFS('전기원장'!$A$5:$A$1004,A981,'전기원장'!$J$5:$J$1004,"확인 필요")+COUNTIFS('당기원장'!$A$5:$A$1004,A981,'당기원장'!$J$5:$J$1004,"확인 필요"))</x:f>
      </x:c>
      <x:c r="K981" s="85" t="str">
        <x:f>IF(A981="","",IF(H981&lt;&gt;"원인분석 대상","",IF(J981&gt;0,"붙임 문서 확인 후 원인 확정 필요","결의서명 기반 원인분류 검토")))</x:f>
      </x:c>
    </x:row>
    <x:row r="982">
      <x:c r="A982" s="73" t="str">
        <x:f>IFERROR(INDEX('계산도우미'!$B$5:$B$2004,MATCH(ROWS($A$5:A982),'계산도우미'!$K$5:$K$2004,0)),"")</x:f>
      </x:c>
      <x:c r="B982" s="73" t="str">
        <x:f>IF(A982="","",IFERROR(INDEX('당기원장'!$B$5:$B$1004,MATCH(A982,'당기원장'!$A$5:$A$1004,0)),IFERROR(INDEX('전기원장'!$B$5:$B$1004,MATCH(A982,'전기원장'!$A$5:$A$1004,0)),"")))</x:f>
      </x:c>
      <x:c r="C982" s="75" t="str">
        <x:f>IF(A982="","",SUMIF('전기원장'!$A$5:$A$1004,A982,'전기원장'!$H$5:$H$1004))</x:f>
      </x:c>
      <x:c r="D982" s="75" t="str">
        <x:f>IF(A982="","",SUMIF('당기원장'!$A$5:$A$1004,A982,'당기원장'!$H$5:$H$1004))</x:f>
      </x:c>
      <x:c r="E982" s="75" t="str">
        <x:f>IF(A982="","",D982-C982)</x:f>
      </x:c>
      <x:c r="F982" s="88" t="str">
        <x:f>IF(A982="","",IF(C982=0,IF(D982=0,0,1),ABS(E982)/ABS(C982)))</x:f>
      </x:c>
      <x:c r="G982" s="73" t="str">
        <x:f>IF(A982="","",IF(AND(C982=0,D982&lt;&gt;0),"신규",IF(AND(C982&lt;&gt;0,D982=0),"소멸",IF(E982=0,"변동없음","금액변동"))))</x:f>
      </x:c>
      <x:c r="H982" s="73" t="str">
        <x:f>IF(A982="","",IF(AND(ABS(E982)&gt;='기준설정'!$B$6,OR(G982="신규",G982="소멸",F982&gt;='기준설정'!$B$5)),"원인분석 대상","일반"))</x:f>
      </x:c>
      <x:c r="I982" s="73" t="str">
        <x:f>IF(A982="","",IF(H982="원인분석 대상","세부원인분석 시트에서 거래별 원인을 검토","-"))</x:f>
      </x:c>
      <x:c r="J982" s="73" t="str">
        <x:f>IF(A982="","",COUNTIFS('전기원장'!$A$5:$A$1004,A982,'전기원장'!$J$5:$J$1004,"확인 필요")+COUNTIFS('당기원장'!$A$5:$A$1004,A982,'당기원장'!$J$5:$J$1004,"확인 필요"))</x:f>
      </x:c>
      <x:c r="K982" s="85" t="str">
        <x:f>IF(A982="","",IF(H982&lt;&gt;"원인분석 대상","",IF(J982&gt;0,"붙임 문서 확인 후 원인 확정 필요","결의서명 기반 원인분류 검토")))</x:f>
      </x:c>
    </x:row>
    <x:row r="983">
      <x:c r="A983" s="73" t="str">
        <x:f>IFERROR(INDEX('계산도우미'!$B$5:$B$2004,MATCH(ROWS($A$5:A983),'계산도우미'!$K$5:$K$2004,0)),"")</x:f>
      </x:c>
      <x:c r="B983" s="73" t="str">
        <x:f>IF(A983="","",IFERROR(INDEX('당기원장'!$B$5:$B$1004,MATCH(A983,'당기원장'!$A$5:$A$1004,0)),IFERROR(INDEX('전기원장'!$B$5:$B$1004,MATCH(A983,'전기원장'!$A$5:$A$1004,0)),"")))</x:f>
      </x:c>
      <x:c r="C983" s="75" t="str">
        <x:f>IF(A983="","",SUMIF('전기원장'!$A$5:$A$1004,A983,'전기원장'!$H$5:$H$1004))</x:f>
      </x:c>
      <x:c r="D983" s="75" t="str">
        <x:f>IF(A983="","",SUMIF('당기원장'!$A$5:$A$1004,A983,'당기원장'!$H$5:$H$1004))</x:f>
      </x:c>
      <x:c r="E983" s="75" t="str">
        <x:f>IF(A983="","",D983-C983)</x:f>
      </x:c>
      <x:c r="F983" s="88" t="str">
        <x:f>IF(A983="","",IF(C983=0,IF(D983=0,0,1),ABS(E983)/ABS(C983)))</x:f>
      </x:c>
      <x:c r="G983" s="73" t="str">
        <x:f>IF(A983="","",IF(AND(C983=0,D983&lt;&gt;0),"신규",IF(AND(C983&lt;&gt;0,D983=0),"소멸",IF(E983=0,"변동없음","금액변동"))))</x:f>
      </x:c>
      <x:c r="H983" s="73" t="str">
        <x:f>IF(A983="","",IF(AND(ABS(E983)&gt;='기준설정'!$B$6,OR(G983="신규",G983="소멸",F983&gt;='기준설정'!$B$5)),"원인분석 대상","일반"))</x:f>
      </x:c>
      <x:c r="I983" s="73" t="str">
        <x:f>IF(A983="","",IF(H983="원인분석 대상","세부원인분석 시트에서 거래별 원인을 검토","-"))</x:f>
      </x:c>
      <x:c r="J983" s="73" t="str">
        <x:f>IF(A983="","",COUNTIFS('전기원장'!$A$5:$A$1004,A983,'전기원장'!$J$5:$J$1004,"확인 필요")+COUNTIFS('당기원장'!$A$5:$A$1004,A983,'당기원장'!$J$5:$J$1004,"확인 필요"))</x:f>
      </x:c>
      <x:c r="K983" s="85" t="str">
        <x:f>IF(A983="","",IF(H983&lt;&gt;"원인분석 대상","",IF(J983&gt;0,"붙임 문서 확인 후 원인 확정 필요","결의서명 기반 원인분류 검토")))</x:f>
      </x:c>
    </x:row>
    <x:row r="984">
      <x:c r="A984" s="73" t="str">
        <x:f>IFERROR(INDEX('계산도우미'!$B$5:$B$2004,MATCH(ROWS($A$5:A984),'계산도우미'!$K$5:$K$2004,0)),"")</x:f>
      </x:c>
      <x:c r="B984" s="73" t="str">
        <x:f>IF(A984="","",IFERROR(INDEX('당기원장'!$B$5:$B$1004,MATCH(A984,'당기원장'!$A$5:$A$1004,0)),IFERROR(INDEX('전기원장'!$B$5:$B$1004,MATCH(A984,'전기원장'!$A$5:$A$1004,0)),"")))</x:f>
      </x:c>
      <x:c r="C984" s="75" t="str">
        <x:f>IF(A984="","",SUMIF('전기원장'!$A$5:$A$1004,A984,'전기원장'!$H$5:$H$1004))</x:f>
      </x:c>
      <x:c r="D984" s="75" t="str">
        <x:f>IF(A984="","",SUMIF('당기원장'!$A$5:$A$1004,A984,'당기원장'!$H$5:$H$1004))</x:f>
      </x:c>
      <x:c r="E984" s="75" t="str">
        <x:f>IF(A984="","",D984-C984)</x:f>
      </x:c>
      <x:c r="F984" s="88" t="str">
        <x:f>IF(A984="","",IF(C984=0,IF(D984=0,0,1),ABS(E984)/ABS(C984)))</x:f>
      </x:c>
      <x:c r="G984" s="73" t="str">
        <x:f>IF(A984="","",IF(AND(C984=0,D984&lt;&gt;0),"신규",IF(AND(C984&lt;&gt;0,D984=0),"소멸",IF(E984=0,"변동없음","금액변동"))))</x:f>
      </x:c>
      <x:c r="H984" s="73" t="str">
        <x:f>IF(A984="","",IF(AND(ABS(E984)&gt;='기준설정'!$B$6,OR(G984="신규",G984="소멸",F984&gt;='기준설정'!$B$5)),"원인분석 대상","일반"))</x:f>
      </x:c>
      <x:c r="I984" s="73" t="str">
        <x:f>IF(A984="","",IF(H984="원인분석 대상","세부원인분석 시트에서 거래별 원인을 검토","-"))</x:f>
      </x:c>
      <x:c r="J984" s="73" t="str">
        <x:f>IF(A984="","",COUNTIFS('전기원장'!$A$5:$A$1004,A984,'전기원장'!$J$5:$J$1004,"확인 필요")+COUNTIFS('당기원장'!$A$5:$A$1004,A984,'당기원장'!$J$5:$J$1004,"확인 필요"))</x:f>
      </x:c>
      <x:c r="K984" s="85" t="str">
        <x:f>IF(A984="","",IF(H984&lt;&gt;"원인분석 대상","",IF(J984&gt;0,"붙임 문서 확인 후 원인 확정 필요","결의서명 기반 원인분류 검토")))</x:f>
      </x:c>
    </x:row>
    <x:row r="985">
      <x:c r="A985" s="73" t="str">
        <x:f>IFERROR(INDEX('계산도우미'!$B$5:$B$2004,MATCH(ROWS($A$5:A985),'계산도우미'!$K$5:$K$2004,0)),"")</x:f>
      </x:c>
      <x:c r="B985" s="73" t="str">
        <x:f>IF(A985="","",IFERROR(INDEX('당기원장'!$B$5:$B$1004,MATCH(A985,'당기원장'!$A$5:$A$1004,0)),IFERROR(INDEX('전기원장'!$B$5:$B$1004,MATCH(A985,'전기원장'!$A$5:$A$1004,0)),"")))</x:f>
      </x:c>
      <x:c r="C985" s="75" t="str">
        <x:f>IF(A985="","",SUMIF('전기원장'!$A$5:$A$1004,A985,'전기원장'!$H$5:$H$1004))</x:f>
      </x:c>
      <x:c r="D985" s="75" t="str">
        <x:f>IF(A985="","",SUMIF('당기원장'!$A$5:$A$1004,A985,'당기원장'!$H$5:$H$1004))</x:f>
      </x:c>
      <x:c r="E985" s="75" t="str">
        <x:f>IF(A985="","",D985-C985)</x:f>
      </x:c>
      <x:c r="F985" s="88" t="str">
        <x:f>IF(A985="","",IF(C985=0,IF(D985=0,0,1),ABS(E985)/ABS(C985)))</x:f>
      </x:c>
      <x:c r="G985" s="73" t="str">
        <x:f>IF(A985="","",IF(AND(C985=0,D985&lt;&gt;0),"신규",IF(AND(C985&lt;&gt;0,D985=0),"소멸",IF(E985=0,"변동없음","금액변동"))))</x:f>
      </x:c>
      <x:c r="H985" s="73" t="str">
        <x:f>IF(A985="","",IF(AND(ABS(E985)&gt;='기준설정'!$B$6,OR(G985="신규",G985="소멸",F985&gt;='기준설정'!$B$5)),"원인분석 대상","일반"))</x:f>
      </x:c>
      <x:c r="I985" s="73" t="str">
        <x:f>IF(A985="","",IF(H985="원인분석 대상","세부원인분석 시트에서 거래별 원인을 검토","-"))</x:f>
      </x:c>
      <x:c r="J985" s="73" t="str">
        <x:f>IF(A985="","",COUNTIFS('전기원장'!$A$5:$A$1004,A985,'전기원장'!$J$5:$J$1004,"확인 필요")+COUNTIFS('당기원장'!$A$5:$A$1004,A985,'당기원장'!$J$5:$J$1004,"확인 필요"))</x:f>
      </x:c>
      <x:c r="K985" s="85" t="str">
        <x:f>IF(A985="","",IF(H985&lt;&gt;"원인분석 대상","",IF(J985&gt;0,"붙임 문서 확인 후 원인 확정 필요","결의서명 기반 원인분류 검토")))</x:f>
      </x:c>
    </x:row>
    <x:row r="986">
      <x:c r="A986" s="73" t="str">
        <x:f>IFERROR(INDEX('계산도우미'!$B$5:$B$2004,MATCH(ROWS($A$5:A986),'계산도우미'!$K$5:$K$2004,0)),"")</x:f>
      </x:c>
      <x:c r="B986" s="73" t="str">
        <x:f>IF(A986="","",IFERROR(INDEX('당기원장'!$B$5:$B$1004,MATCH(A986,'당기원장'!$A$5:$A$1004,0)),IFERROR(INDEX('전기원장'!$B$5:$B$1004,MATCH(A986,'전기원장'!$A$5:$A$1004,0)),"")))</x:f>
      </x:c>
      <x:c r="C986" s="75" t="str">
        <x:f>IF(A986="","",SUMIF('전기원장'!$A$5:$A$1004,A986,'전기원장'!$H$5:$H$1004))</x:f>
      </x:c>
      <x:c r="D986" s="75" t="str">
        <x:f>IF(A986="","",SUMIF('당기원장'!$A$5:$A$1004,A986,'당기원장'!$H$5:$H$1004))</x:f>
      </x:c>
      <x:c r="E986" s="75" t="str">
        <x:f>IF(A986="","",D986-C986)</x:f>
      </x:c>
      <x:c r="F986" s="88" t="str">
        <x:f>IF(A986="","",IF(C986=0,IF(D986=0,0,1),ABS(E986)/ABS(C986)))</x:f>
      </x:c>
      <x:c r="G986" s="73" t="str">
        <x:f>IF(A986="","",IF(AND(C986=0,D986&lt;&gt;0),"신규",IF(AND(C986&lt;&gt;0,D986=0),"소멸",IF(E986=0,"변동없음","금액변동"))))</x:f>
      </x:c>
      <x:c r="H986" s="73" t="str">
        <x:f>IF(A986="","",IF(AND(ABS(E986)&gt;='기준설정'!$B$6,OR(G986="신규",G986="소멸",F986&gt;='기준설정'!$B$5)),"원인분석 대상","일반"))</x:f>
      </x:c>
      <x:c r="I986" s="73" t="str">
        <x:f>IF(A986="","",IF(H986="원인분석 대상","세부원인분석 시트에서 거래별 원인을 검토","-"))</x:f>
      </x:c>
      <x:c r="J986" s="73" t="str">
        <x:f>IF(A986="","",COUNTIFS('전기원장'!$A$5:$A$1004,A986,'전기원장'!$J$5:$J$1004,"확인 필요")+COUNTIFS('당기원장'!$A$5:$A$1004,A986,'당기원장'!$J$5:$J$1004,"확인 필요"))</x:f>
      </x:c>
      <x:c r="K986" s="85" t="str">
        <x:f>IF(A986="","",IF(H986&lt;&gt;"원인분석 대상","",IF(J986&gt;0,"붙임 문서 확인 후 원인 확정 필요","결의서명 기반 원인분류 검토")))</x:f>
      </x:c>
    </x:row>
    <x:row r="987">
      <x:c r="A987" s="73" t="str">
        <x:f>IFERROR(INDEX('계산도우미'!$B$5:$B$2004,MATCH(ROWS($A$5:A987),'계산도우미'!$K$5:$K$2004,0)),"")</x:f>
      </x:c>
      <x:c r="B987" s="73" t="str">
        <x:f>IF(A987="","",IFERROR(INDEX('당기원장'!$B$5:$B$1004,MATCH(A987,'당기원장'!$A$5:$A$1004,0)),IFERROR(INDEX('전기원장'!$B$5:$B$1004,MATCH(A987,'전기원장'!$A$5:$A$1004,0)),"")))</x:f>
      </x:c>
      <x:c r="C987" s="75" t="str">
        <x:f>IF(A987="","",SUMIF('전기원장'!$A$5:$A$1004,A987,'전기원장'!$H$5:$H$1004))</x:f>
      </x:c>
      <x:c r="D987" s="75" t="str">
        <x:f>IF(A987="","",SUMIF('당기원장'!$A$5:$A$1004,A987,'당기원장'!$H$5:$H$1004))</x:f>
      </x:c>
      <x:c r="E987" s="75" t="str">
        <x:f>IF(A987="","",D987-C987)</x:f>
      </x:c>
      <x:c r="F987" s="88" t="str">
        <x:f>IF(A987="","",IF(C987=0,IF(D987=0,0,1),ABS(E987)/ABS(C987)))</x:f>
      </x:c>
      <x:c r="G987" s="73" t="str">
        <x:f>IF(A987="","",IF(AND(C987=0,D987&lt;&gt;0),"신규",IF(AND(C987&lt;&gt;0,D987=0),"소멸",IF(E987=0,"변동없음","금액변동"))))</x:f>
      </x:c>
      <x:c r="H987" s="73" t="str">
        <x:f>IF(A987="","",IF(AND(ABS(E987)&gt;='기준설정'!$B$6,OR(G987="신규",G987="소멸",F987&gt;='기준설정'!$B$5)),"원인분석 대상","일반"))</x:f>
      </x:c>
      <x:c r="I987" s="73" t="str">
        <x:f>IF(A987="","",IF(H987="원인분석 대상","세부원인분석 시트에서 거래별 원인을 검토","-"))</x:f>
      </x:c>
      <x:c r="J987" s="73" t="str">
        <x:f>IF(A987="","",COUNTIFS('전기원장'!$A$5:$A$1004,A987,'전기원장'!$J$5:$J$1004,"확인 필요")+COUNTIFS('당기원장'!$A$5:$A$1004,A987,'당기원장'!$J$5:$J$1004,"확인 필요"))</x:f>
      </x:c>
      <x:c r="K987" s="85" t="str">
        <x:f>IF(A987="","",IF(H987&lt;&gt;"원인분석 대상","",IF(J987&gt;0,"붙임 문서 확인 후 원인 확정 필요","결의서명 기반 원인분류 검토")))</x:f>
      </x:c>
    </x:row>
    <x:row r="988">
      <x:c r="A988" s="73" t="str">
        <x:f>IFERROR(INDEX('계산도우미'!$B$5:$B$2004,MATCH(ROWS($A$5:A988),'계산도우미'!$K$5:$K$2004,0)),"")</x:f>
      </x:c>
      <x:c r="B988" s="73" t="str">
        <x:f>IF(A988="","",IFERROR(INDEX('당기원장'!$B$5:$B$1004,MATCH(A988,'당기원장'!$A$5:$A$1004,0)),IFERROR(INDEX('전기원장'!$B$5:$B$1004,MATCH(A988,'전기원장'!$A$5:$A$1004,0)),"")))</x:f>
      </x:c>
      <x:c r="C988" s="75" t="str">
        <x:f>IF(A988="","",SUMIF('전기원장'!$A$5:$A$1004,A988,'전기원장'!$H$5:$H$1004))</x:f>
      </x:c>
      <x:c r="D988" s="75" t="str">
        <x:f>IF(A988="","",SUMIF('당기원장'!$A$5:$A$1004,A988,'당기원장'!$H$5:$H$1004))</x:f>
      </x:c>
      <x:c r="E988" s="75" t="str">
        <x:f>IF(A988="","",D988-C988)</x:f>
      </x:c>
      <x:c r="F988" s="88" t="str">
        <x:f>IF(A988="","",IF(C988=0,IF(D988=0,0,1),ABS(E988)/ABS(C988)))</x:f>
      </x:c>
      <x:c r="G988" s="73" t="str">
        <x:f>IF(A988="","",IF(AND(C988=0,D988&lt;&gt;0),"신규",IF(AND(C988&lt;&gt;0,D988=0),"소멸",IF(E988=0,"변동없음","금액변동"))))</x:f>
      </x:c>
      <x:c r="H988" s="73" t="str">
        <x:f>IF(A988="","",IF(AND(ABS(E988)&gt;='기준설정'!$B$6,OR(G988="신규",G988="소멸",F988&gt;='기준설정'!$B$5)),"원인분석 대상","일반"))</x:f>
      </x:c>
      <x:c r="I988" s="73" t="str">
        <x:f>IF(A988="","",IF(H988="원인분석 대상","세부원인분석 시트에서 거래별 원인을 검토","-"))</x:f>
      </x:c>
      <x:c r="J988" s="73" t="str">
        <x:f>IF(A988="","",COUNTIFS('전기원장'!$A$5:$A$1004,A988,'전기원장'!$J$5:$J$1004,"확인 필요")+COUNTIFS('당기원장'!$A$5:$A$1004,A988,'당기원장'!$J$5:$J$1004,"확인 필요"))</x:f>
      </x:c>
      <x:c r="K988" s="85" t="str">
        <x:f>IF(A988="","",IF(H988&lt;&gt;"원인분석 대상","",IF(J988&gt;0,"붙임 문서 확인 후 원인 확정 필요","결의서명 기반 원인분류 검토")))</x:f>
      </x:c>
    </x:row>
    <x:row r="989">
      <x:c r="A989" s="73" t="str">
        <x:f>IFERROR(INDEX('계산도우미'!$B$5:$B$2004,MATCH(ROWS($A$5:A989),'계산도우미'!$K$5:$K$2004,0)),"")</x:f>
      </x:c>
      <x:c r="B989" s="73" t="str">
        <x:f>IF(A989="","",IFERROR(INDEX('당기원장'!$B$5:$B$1004,MATCH(A989,'당기원장'!$A$5:$A$1004,0)),IFERROR(INDEX('전기원장'!$B$5:$B$1004,MATCH(A989,'전기원장'!$A$5:$A$1004,0)),"")))</x:f>
      </x:c>
      <x:c r="C989" s="75" t="str">
        <x:f>IF(A989="","",SUMIF('전기원장'!$A$5:$A$1004,A989,'전기원장'!$H$5:$H$1004))</x:f>
      </x:c>
      <x:c r="D989" s="75" t="str">
        <x:f>IF(A989="","",SUMIF('당기원장'!$A$5:$A$1004,A989,'당기원장'!$H$5:$H$1004))</x:f>
      </x:c>
      <x:c r="E989" s="75" t="str">
        <x:f>IF(A989="","",D989-C989)</x:f>
      </x:c>
      <x:c r="F989" s="88" t="str">
        <x:f>IF(A989="","",IF(C989=0,IF(D989=0,0,1),ABS(E989)/ABS(C989)))</x:f>
      </x:c>
      <x:c r="G989" s="73" t="str">
        <x:f>IF(A989="","",IF(AND(C989=0,D989&lt;&gt;0),"신규",IF(AND(C989&lt;&gt;0,D989=0),"소멸",IF(E989=0,"변동없음","금액변동"))))</x:f>
      </x:c>
      <x:c r="H989" s="73" t="str">
        <x:f>IF(A989="","",IF(AND(ABS(E989)&gt;='기준설정'!$B$6,OR(G989="신규",G989="소멸",F989&gt;='기준설정'!$B$5)),"원인분석 대상","일반"))</x:f>
      </x:c>
      <x:c r="I989" s="73" t="str">
        <x:f>IF(A989="","",IF(H989="원인분석 대상","세부원인분석 시트에서 거래별 원인을 검토","-"))</x:f>
      </x:c>
      <x:c r="J989" s="73" t="str">
        <x:f>IF(A989="","",COUNTIFS('전기원장'!$A$5:$A$1004,A989,'전기원장'!$J$5:$J$1004,"확인 필요")+COUNTIFS('당기원장'!$A$5:$A$1004,A989,'당기원장'!$J$5:$J$1004,"확인 필요"))</x:f>
      </x:c>
      <x:c r="K989" s="85" t="str">
        <x:f>IF(A989="","",IF(H989&lt;&gt;"원인분석 대상","",IF(J989&gt;0,"붙임 문서 확인 후 원인 확정 필요","결의서명 기반 원인분류 검토")))</x:f>
      </x:c>
    </x:row>
    <x:row r="990">
      <x:c r="A990" s="73" t="str">
        <x:f>IFERROR(INDEX('계산도우미'!$B$5:$B$2004,MATCH(ROWS($A$5:A990),'계산도우미'!$K$5:$K$2004,0)),"")</x:f>
      </x:c>
      <x:c r="B990" s="73" t="str">
        <x:f>IF(A990="","",IFERROR(INDEX('당기원장'!$B$5:$B$1004,MATCH(A990,'당기원장'!$A$5:$A$1004,0)),IFERROR(INDEX('전기원장'!$B$5:$B$1004,MATCH(A990,'전기원장'!$A$5:$A$1004,0)),"")))</x:f>
      </x:c>
      <x:c r="C990" s="75" t="str">
        <x:f>IF(A990="","",SUMIF('전기원장'!$A$5:$A$1004,A990,'전기원장'!$H$5:$H$1004))</x:f>
      </x:c>
      <x:c r="D990" s="75" t="str">
        <x:f>IF(A990="","",SUMIF('당기원장'!$A$5:$A$1004,A990,'당기원장'!$H$5:$H$1004))</x:f>
      </x:c>
      <x:c r="E990" s="75" t="str">
        <x:f>IF(A990="","",D990-C990)</x:f>
      </x:c>
      <x:c r="F990" s="88" t="str">
        <x:f>IF(A990="","",IF(C990=0,IF(D990=0,0,1),ABS(E990)/ABS(C990)))</x:f>
      </x:c>
      <x:c r="G990" s="73" t="str">
        <x:f>IF(A990="","",IF(AND(C990=0,D990&lt;&gt;0),"신규",IF(AND(C990&lt;&gt;0,D990=0),"소멸",IF(E990=0,"변동없음","금액변동"))))</x:f>
      </x:c>
      <x:c r="H990" s="73" t="str">
        <x:f>IF(A990="","",IF(AND(ABS(E990)&gt;='기준설정'!$B$6,OR(G990="신규",G990="소멸",F990&gt;='기준설정'!$B$5)),"원인분석 대상","일반"))</x:f>
      </x:c>
      <x:c r="I990" s="73" t="str">
        <x:f>IF(A990="","",IF(H990="원인분석 대상","세부원인분석 시트에서 거래별 원인을 검토","-"))</x:f>
      </x:c>
      <x:c r="J990" s="73" t="str">
        <x:f>IF(A990="","",COUNTIFS('전기원장'!$A$5:$A$1004,A990,'전기원장'!$J$5:$J$1004,"확인 필요")+COUNTIFS('당기원장'!$A$5:$A$1004,A990,'당기원장'!$J$5:$J$1004,"확인 필요"))</x:f>
      </x:c>
      <x:c r="K990" s="85" t="str">
        <x:f>IF(A990="","",IF(H990&lt;&gt;"원인분석 대상","",IF(J990&gt;0,"붙임 문서 확인 후 원인 확정 필요","결의서명 기반 원인분류 검토")))</x:f>
      </x:c>
    </x:row>
    <x:row r="991">
      <x:c r="A991" s="73" t="str">
        <x:f>IFERROR(INDEX('계산도우미'!$B$5:$B$2004,MATCH(ROWS($A$5:A991),'계산도우미'!$K$5:$K$2004,0)),"")</x:f>
      </x:c>
      <x:c r="B991" s="73" t="str">
        <x:f>IF(A991="","",IFERROR(INDEX('당기원장'!$B$5:$B$1004,MATCH(A991,'당기원장'!$A$5:$A$1004,0)),IFERROR(INDEX('전기원장'!$B$5:$B$1004,MATCH(A991,'전기원장'!$A$5:$A$1004,0)),"")))</x:f>
      </x:c>
      <x:c r="C991" s="75" t="str">
        <x:f>IF(A991="","",SUMIF('전기원장'!$A$5:$A$1004,A991,'전기원장'!$H$5:$H$1004))</x:f>
      </x:c>
      <x:c r="D991" s="75" t="str">
        <x:f>IF(A991="","",SUMIF('당기원장'!$A$5:$A$1004,A991,'당기원장'!$H$5:$H$1004))</x:f>
      </x:c>
      <x:c r="E991" s="75" t="str">
        <x:f>IF(A991="","",D991-C991)</x:f>
      </x:c>
      <x:c r="F991" s="88" t="str">
        <x:f>IF(A991="","",IF(C991=0,IF(D991=0,0,1),ABS(E991)/ABS(C991)))</x:f>
      </x:c>
      <x:c r="G991" s="73" t="str">
        <x:f>IF(A991="","",IF(AND(C991=0,D991&lt;&gt;0),"신규",IF(AND(C991&lt;&gt;0,D991=0),"소멸",IF(E991=0,"변동없음","금액변동"))))</x:f>
      </x:c>
      <x:c r="H991" s="73" t="str">
        <x:f>IF(A991="","",IF(AND(ABS(E991)&gt;='기준설정'!$B$6,OR(G991="신규",G991="소멸",F991&gt;='기준설정'!$B$5)),"원인분석 대상","일반"))</x:f>
      </x:c>
      <x:c r="I991" s="73" t="str">
        <x:f>IF(A991="","",IF(H991="원인분석 대상","세부원인분석 시트에서 거래별 원인을 검토","-"))</x:f>
      </x:c>
      <x:c r="J991" s="73" t="str">
        <x:f>IF(A991="","",COUNTIFS('전기원장'!$A$5:$A$1004,A991,'전기원장'!$J$5:$J$1004,"확인 필요")+COUNTIFS('당기원장'!$A$5:$A$1004,A991,'당기원장'!$J$5:$J$1004,"확인 필요"))</x:f>
      </x:c>
      <x:c r="K991" s="85" t="str">
        <x:f>IF(A991="","",IF(H991&lt;&gt;"원인분석 대상","",IF(J991&gt;0,"붙임 문서 확인 후 원인 확정 필요","결의서명 기반 원인분류 검토")))</x:f>
      </x:c>
    </x:row>
    <x:row r="992">
      <x:c r="A992" s="73" t="str">
        <x:f>IFERROR(INDEX('계산도우미'!$B$5:$B$2004,MATCH(ROWS($A$5:A992),'계산도우미'!$K$5:$K$2004,0)),"")</x:f>
      </x:c>
      <x:c r="B992" s="73" t="str">
        <x:f>IF(A992="","",IFERROR(INDEX('당기원장'!$B$5:$B$1004,MATCH(A992,'당기원장'!$A$5:$A$1004,0)),IFERROR(INDEX('전기원장'!$B$5:$B$1004,MATCH(A992,'전기원장'!$A$5:$A$1004,0)),"")))</x:f>
      </x:c>
      <x:c r="C992" s="75" t="str">
        <x:f>IF(A992="","",SUMIF('전기원장'!$A$5:$A$1004,A992,'전기원장'!$H$5:$H$1004))</x:f>
      </x:c>
      <x:c r="D992" s="75" t="str">
        <x:f>IF(A992="","",SUMIF('당기원장'!$A$5:$A$1004,A992,'당기원장'!$H$5:$H$1004))</x:f>
      </x:c>
      <x:c r="E992" s="75" t="str">
        <x:f>IF(A992="","",D992-C992)</x:f>
      </x:c>
      <x:c r="F992" s="88" t="str">
        <x:f>IF(A992="","",IF(C992=0,IF(D992=0,0,1),ABS(E992)/ABS(C992)))</x:f>
      </x:c>
      <x:c r="G992" s="73" t="str">
        <x:f>IF(A992="","",IF(AND(C992=0,D992&lt;&gt;0),"신규",IF(AND(C992&lt;&gt;0,D992=0),"소멸",IF(E992=0,"변동없음","금액변동"))))</x:f>
      </x:c>
      <x:c r="H992" s="73" t="str">
        <x:f>IF(A992="","",IF(AND(ABS(E992)&gt;='기준설정'!$B$6,OR(G992="신규",G992="소멸",F992&gt;='기준설정'!$B$5)),"원인분석 대상","일반"))</x:f>
      </x:c>
      <x:c r="I992" s="73" t="str">
        <x:f>IF(A992="","",IF(H992="원인분석 대상","세부원인분석 시트에서 거래별 원인을 검토","-"))</x:f>
      </x:c>
      <x:c r="J992" s="73" t="str">
        <x:f>IF(A992="","",COUNTIFS('전기원장'!$A$5:$A$1004,A992,'전기원장'!$J$5:$J$1004,"확인 필요")+COUNTIFS('당기원장'!$A$5:$A$1004,A992,'당기원장'!$J$5:$J$1004,"확인 필요"))</x:f>
      </x:c>
      <x:c r="K992" s="85" t="str">
        <x:f>IF(A992="","",IF(H992&lt;&gt;"원인분석 대상","",IF(J992&gt;0,"붙임 문서 확인 후 원인 확정 필요","결의서명 기반 원인분류 검토")))</x:f>
      </x:c>
    </x:row>
    <x:row r="993">
      <x:c r="A993" s="73" t="str">
        <x:f>IFERROR(INDEX('계산도우미'!$B$5:$B$2004,MATCH(ROWS($A$5:A993),'계산도우미'!$K$5:$K$2004,0)),"")</x:f>
      </x:c>
      <x:c r="B993" s="73" t="str">
        <x:f>IF(A993="","",IFERROR(INDEX('당기원장'!$B$5:$B$1004,MATCH(A993,'당기원장'!$A$5:$A$1004,0)),IFERROR(INDEX('전기원장'!$B$5:$B$1004,MATCH(A993,'전기원장'!$A$5:$A$1004,0)),"")))</x:f>
      </x:c>
      <x:c r="C993" s="75" t="str">
        <x:f>IF(A993="","",SUMIF('전기원장'!$A$5:$A$1004,A993,'전기원장'!$H$5:$H$1004))</x:f>
      </x:c>
      <x:c r="D993" s="75" t="str">
        <x:f>IF(A993="","",SUMIF('당기원장'!$A$5:$A$1004,A993,'당기원장'!$H$5:$H$1004))</x:f>
      </x:c>
      <x:c r="E993" s="75" t="str">
        <x:f>IF(A993="","",D993-C993)</x:f>
      </x:c>
      <x:c r="F993" s="88" t="str">
        <x:f>IF(A993="","",IF(C993=0,IF(D993=0,0,1),ABS(E993)/ABS(C993)))</x:f>
      </x:c>
      <x:c r="G993" s="73" t="str">
        <x:f>IF(A993="","",IF(AND(C993=0,D993&lt;&gt;0),"신규",IF(AND(C993&lt;&gt;0,D993=0),"소멸",IF(E993=0,"변동없음","금액변동"))))</x:f>
      </x:c>
      <x:c r="H993" s="73" t="str">
        <x:f>IF(A993="","",IF(AND(ABS(E993)&gt;='기준설정'!$B$6,OR(G993="신규",G993="소멸",F993&gt;='기준설정'!$B$5)),"원인분석 대상","일반"))</x:f>
      </x:c>
      <x:c r="I993" s="73" t="str">
        <x:f>IF(A993="","",IF(H993="원인분석 대상","세부원인분석 시트에서 거래별 원인을 검토","-"))</x:f>
      </x:c>
      <x:c r="J993" s="73" t="str">
        <x:f>IF(A993="","",COUNTIFS('전기원장'!$A$5:$A$1004,A993,'전기원장'!$J$5:$J$1004,"확인 필요")+COUNTIFS('당기원장'!$A$5:$A$1004,A993,'당기원장'!$J$5:$J$1004,"확인 필요"))</x:f>
      </x:c>
      <x:c r="K993" s="85" t="str">
        <x:f>IF(A993="","",IF(H993&lt;&gt;"원인분석 대상","",IF(J993&gt;0,"붙임 문서 확인 후 원인 확정 필요","결의서명 기반 원인분류 검토")))</x:f>
      </x:c>
    </x:row>
    <x:row r="994">
      <x:c r="A994" s="73" t="str">
        <x:f>IFERROR(INDEX('계산도우미'!$B$5:$B$2004,MATCH(ROWS($A$5:A994),'계산도우미'!$K$5:$K$2004,0)),"")</x:f>
      </x:c>
      <x:c r="B994" s="73" t="str">
        <x:f>IF(A994="","",IFERROR(INDEX('당기원장'!$B$5:$B$1004,MATCH(A994,'당기원장'!$A$5:$A$1004,0)),IFERROR(INDEX('전기원장'!$B$5:$B$1004,MATCH(A994,'전기원장'!$A$5:$A$1004,0)),"")))</x:f>
      </x:c>
      <x:c r="C994" s="75" t="str">
        <x:f>IF(A994="","",SUMIF('전기원장'!$A$5:$A$1004,A994,'전기원장'!$H$5:$H$1004))</x:f>
      </x:c>
      <x:c r="D994" s="75" t="str">
        <x:f>IF(A994="","",SUMIF('당기원장'!$A$5:$A$1004,A994,'당기원장'!$H$5:$H$1004))</x:f>
      </x:c>
      <x:c r="E994" s="75" t="str">
        <x:f>IF(A994="","",D994-C994)</x:f>
      </x:c>
      <x:c r="F994" s="88" t="str">
        <x:f>IF(A994="","",IF(C994=0,IF(D994=0,0,1),ABS(E994)/ABS(C994)))</x:f>
      </x:c>
      <x:c r="G994" s="73" t="str">
        <x:f>IF(A994="","",IF(AND(C994=0,D994&lt;&gt;0),"신규",IF(AND(C994&lt;&gt;0,D994=0),"소멸",IF(E994=0,"변동없음","금액변동"))))</x:f>
      </x:c>
      <x:c r="H994" s="73" t="str">
        <x:f>IF(A994="","",IF(AND(ABS(E994)&gt;='기준설정'!$B$6,OR(G994="신규",G994="소멸",F994&gt;='기준설정'!$B$5)),"원인분석 대상","일반"))</x:f>
      </x:c>
      <x:c r="I994" s="73" t="str">
        <x:f>IF(A994="","",IF(H994="원인분석 대상","세부원인분석 시트에서 거래별 원인을 검토","-"))</x:f>
      </x:c>
      <x:c r="J994" s="73" t="str">
        <x:f>IF(A994="","",COUNTIFS('전기원장'!$A$5:$A$1004,A994,'전기원장'!$J$5:$J$1004,"확인 필요")+COUNTIFS('당기원장'!$A$5:$A$1004,A994,'당기원장'!$J$5:$J$1004,"확인 필요"))</x:f>
      </x:c>
      <x:c r="K994" s="85" t="str">
        <x:f>IF(A994="","",IF(H994&lt;&gt;"원인분석 대상","",IF(J994&gt;0,"붙임 문서 확인 후 원인 확정 필요","결의서명 기반 원인분류 검토")))</x:f>
      </x:c>
    </x:row>
    <x:row r="995">
      <x:c r="A995" s="73" t="str">
        <x:f>IFERROR(INDEX('계산도우미'!$B$5:$B$2004,MATCH(ROWS($A$5:A995),'계산도우미'!$K$5:$K$2004,0)),"")</x:f>
      </x:c>
      <x:c r="B995" s="73" t="str">
        <x:f>IF(A995="","",IFERROR(INDEX('당기원장'!$B$5:$B$1004,MATCH(A995,'당기원장'!$A$5:$A$1004,0)),IFERROR(INDEX('전기원장'!$B$5:$B$1004,MATCH(A995,'전기원장'!$A$5:$A$1004,0)),"")))</x:f>
      </x:c>
      <x:c r="C995" s="75" t="str">
        <x:f>IF(A995="","",SUMIF('전기원장'!$A$5:$A$1004,A995,'전기원장'!$H$5:$H$1004))</x:f>
      </x:c>
      <x:c r="D995" s="75" t="str">
        <x:f>IF(A995="","",SUMIF('당기원장'!$A$5:$A$1004,A995,'당기원장'!$H$5:$H$1004))</x:f>
      </x:c>
      <x:c r="E995" s="75" t="str">
        <x:f>IF(A995="","",D995-C995)</x:f>
      </x:c>
      <x:c r="F995" s="88" t="str">
        <x:f>IF(A995="","",IF(C995=0,IF(D995=0,0,1),ABS(E995)/ABS(C995)))</x:f>
      </x:c>
      <x:c r="G995" s="73" t="str">
        <x:f>IF(A995="","",IF(AND(C995=0,D995&lt;&gt;0),"신규",IF(AND(C995&lt;&gt;0,D995=0),"소멸",IF(E995=0,"변동없음","금액변동"))))</x:f>
      </x:c>
      <x:c r="H995" s="73" t="str">
        <x:f>IF(A995="","",IF(AND(ABS(E995)&gt;='기준설정'!$B$6,OR(G995="신규",G995="소멸",F995&gt;='기준설정'!$B$5)),"원인분석 대상","일반"))</x:f>
      </x:c>
      <x:c r="I995" s="73" t="str">
        <x:f>IF(A995="","",IF(H995="원인분석 대상","세부원인분석 시트에서 거래별 원인을 검토","-"))</x:f>
      </x:c>
      <x:c r="J995" s="73" t="str">
        <x:f>IF(A995="","",COUNTIFS('전기원장'!$A$5:$A$1004,A995,'전기원장'!$J$5:$J$1004,"확인 필요")+COUNTIFS('당기원장'!$A$5:$A$1004,A995,'당기원장'!$J$5:$J$1004,"확인 필요"))</x:f>
      </x:c>
      <x:c r="K995" s="85" t="str">
        <x:f>IF(A995="","",IF(H995&lt;&gt;"원인분석 대상","",IF(J995&gt;0,"붙임 문서 확인 후 원인 확정 필요","결의서명 기반 원인분류 검토")))</x:f>
      </x:c>
    </x:row>
    <x:row r="996">
      <x:c r="A996" s="73" t="str">
        <x:f>IFERROR(INDEX('계산도우미'!$B$5:$B$2004,MATCH(ROWS($A$5:A996),'계산도우미'!$K$5:$K$2004,0)),"")</x:f>
      </x:c>
      <x:c r="B996" s="73" t="str">
        <x:f>IF(A996="","",IFERROR(INDEX('당기원장'!$B$5:$B$1004,MATCH(A996,'당기원장'!$A$5:$A$1004,0)),IFERROR(INDEX('전기원장'!$B$5:$B$1004,MATCH(A996,'전기원장'!$A$5:$A$1004,0)),"")))</x:f>
      </x:c>
      <x:c r="C996" s="75" t="str">
        <x:f>IF(A996="","",SUMIF('전기원장'!$A$5:$A$1004,A996,'전기원장'!$H$5:$H$1004))</x:f>
      </x:c>
      <x:c r="D996" s="75" t="str">
        <x:f>IF(A996="","",SUMIF('당기원장'!$A$5:$A$1004,A996,'당기원장'!$H$5:$H$1004))</x:f>
      </x:c>
      <x:c r="E996" s="75" t="str">
        <x:f>IF(A996="","",D996-C996)</x:f>
      </x:c>
      <x:c r="F996" s="88" t="str">
        <x:f>IF(A996="","",IF(C996=0,IF(D996=0,0,1),ABS(E996)/ABS(C996)))</x:f>
      </x:c>
      <x:c r="G996" s="73" t="str">
        <x:f>IF(A996="","",IF(AND(C996=0,D996&lt;&gt;0),"신규",IF(AND(C996&lt;&gt;0,D996=0),"소멸",IF(E996=0,"변동없음","금액변동"))))</x:f>
      </x:c>
      <x:c r="H996" s="73" t="str">
        <x:f>IF(A996="","",IF(AND(ABS(E996)&gt;='기준설정'!$B$6,OR(G996="신규",G996="소멸",F996&gt;='기준설정'!$B$5)),"원인분석 대상","일반"))</x:f>
      </x:c>
      <x:c r="I996" s="73" t="str">
        <x:f>IF(A996="","",IF(H996="원인분석 대상","세부원인분석 시트에서 거래별 원인을 검토","-"))</x:f>
      </x:c>
      <x:c r="J996" s="73" t="str">
        <x:f>IF(A996="","",COUNTIFS('전기원장'!$A$5:$A$1004,A996,'전기원장'!$J$5:$J$1004,"확인 필요")+COUNTIFS('당기원장'!$A$5:$A$1004,A996,'당기원장'!$J$5:$J$1004,"확인 필요"))</x:f>
      </x:c>
      <x:c r="K996" s="85" t="str">
        <x:f>IF(A996="","",IF(H996&lt;&gt;"원인분석 대상","",IF(J996&gt;0,"붙임 문서 확인 후 원인 확정 필요","결의서명 기반 원인분류 검토")))</x:f>
      </x:c>
    </x:row>
    <x:row r="997">
      <x:c r="A997" s="73" t="str">
        <x:f>IFERROR(INDEX('계산도우미'!$B$5:$B$2004,MATCH(ROWS($A$5:A997),'계산도우미'!$K$5:$K$2004,0)),"")</x:f>
      </x:c>
      <x:c r="B997" s="73" t="str">
        <x:f>IF(A997="","",IFERROR(INDEX('당기원장'!$B$5:$B$1004,MATCH(A997,'당기원장'!$A$5:$A$1004,0)),IFERROR(INDEX('전기원장'!$B$5:$B$1004,MATCH(A997,'전기원장'!$A$5:$A$1004,0)),"")))</x:f>
      </x:c>
      <x:c r="C997" s="75" t="str">
        <x:f>IF(A997="","",SUMIF('전기원장'!$A$5:$A$1004,A997,'전기원장'!$H$5:$H$1004))</x:f>
      </x:c>
      <x:c r="D997" s="75" t="str">
        <x:f>IF(A997="","",SUMIF('당기원장'!$A$5:$A$1004,A997,'당기원장'!$H$5:$H$1004))</x:f>
      </x:c>
      <x:c r="E997" s="75" t="str">
        <x:f>IF(A997="","",D997-C997)</x:f>
      </x:c>
      <x:c r="F997" s="88" t="str">
        <x:f>IF(A997="","",IF(C997=0,IF(D997=0,0,1),ABS(E997)/ABS(C997)))</x:f>
      </x:c>
      <x:c r="G997" s="73" t="str">
        <x:f>IF(A997="","",IF(AND(C997=0,D997&lt;&gt;0),"신규",IF(AND(C997&lt;&gt;0,D997=0),"소멸",IF(E997=0,"변동없음","금액변동"))))</x:f>
      </x:c>
      <x:c r="H997" s="73" t="str">
        <x:f>IF(A997="","",IF(AND(ABS(E997)&gt;='기준설정'!$B$6,OR(G997="신규",G997="소멸",F997&gt;='기준설정'!$B$5)),"원인분석 대상","일반"))</x:f>
      </x:c>
      <x:c r="I997" s="73" t="str">
        <x:f>IF(A997="","",IF(H997="원인분석 대상","세부원인분석 시트에서 거래별 원인을 검토","-"))</x:f>
      </x:c>
      <x:c r="J997" s="73" t="str">
        <x:f>IF(A997="","",COUNTIFS('전기원장'!$A$5:$A$1004,A997,'전기원장'!$J$5:$J$1004,"확인 필요")+COUNTIFS('당기원장'!$A$5:$A$1004,A997,'당기원장'!$J$5:$J$1004,"확인 필요"))</x:f>
      </x:c>
      <x:c r="K997" s="85" t="str">
        <x:f>IF(A997="","",IF(H997&lt;&gt;"원인분석 대상","",IF(J997&gt;0,"붙임 문서 확인 후 원인 확정 필요","결의서명 기반 원인분류 검토")))</x:f>
      </x:c>
    </x:row>
    <x:row r="998">
      <x:c r="A998" s="73" t="str">
        <x:f>IFERROR(INDEX('계산도우미'!$B$5:$B$2004,MATCH(ROWS($A$5:A998),'계산도우미'!$K$5:$K$2004,0)),"")</x:f>
      </x:c>
      <x:c r="B998" s="73" t="str">
        <x:f>IF(A998="","",IFERROR(INDEX('당기원장'!$B$5:$B$1004,MATCH(A998,'당기원장'!$A$5:$A$1004,0)),IFERROR(INDEX('전기원장'!$B$5:$B$1004,MATCH(A998,'전기원장'!$A$5:$A$1004,0)),"")))</x:f>
      </x:c>
      <x:c r="C998" s="75" t="str">
        <x:f>IF(A998="","",SUMIF('전기원장'!$A$5:$A$1004,A998,'전기원장'!$H$5:$H$1004))</x:f>
      </x:c>
      <x:c r="D998" s="75" t="str">
        <x:f>IF(A998="","",SUMIF('당기원장'!$A$5:$A$1004,A998,'당기원장'!$H$5:$H$1004))</x:f>
      </x:c>
      <x:c r="E998" s="75" t="str">
        <x:f>IF(A998="","",D998-C998)</x:f>
      </x:c>
      <x:c r="F998" s="88" t="str">
        <x:f>IF(A998="","",IF(C998=0,IF(D998=0,0,1),ABS(E998)/ABS(C998)))</x:f>
      </x:c>
      <x:c r="G998" s="73" t="str">
        <x:f>IF(A998="","",IF(AND(C998=0,D998&lt;&gt;0),"신규",IF(AND(C998&lt;&gt;0,D998=0),"소멸",IF(E998=0,"변동없음","금액변동"))))</x:f>
      </x:c>
      <x:c r="H998" s="73" t="str">
        <x:f>IF(A998="","",IF(AND(ABS(E998)&gt;='기준설정'!$B$6,OR(G998="신규",G998="소멸",F998&gt;='기준설정'!$B$5)),"원인분석 대상","일반"))</x:f>
      </x:c>
      <x:c r="I998" s="73" t="str">
        <x:f>IF(A998="","",IF(H998="원인분석 대상","세부원인분석 시트에서 거래별 원인을 검토","-"))</x:f>
      </x:c>
      <x:c r="J998" s="73" t="str">
        <x:f>IF(A998="","",COUNTIFS('전기원장'!$A$5:$A$1004,A998,'전기원장'!$J$5:$J$1004,"확인 필요")+COUNTIFS('당기원장'!$A$5:$A$1004,A998,'당기원장'!$J$5:$J$1004,"확인 필요"))</x:f>
      </x:c>
      <x:c r="K998" s="85" t="str">
        <x:f>IF(A998="","",IF(H998&lt;&gt;"원인분석 대상","",IF(J998&gt;0,"붙임 문서 확인 후 원인 확정 필요","결의서명 기반 원인분류 검토")))</x:f>
      </x:c>
    </x:row>
    <x:row r="999">
      <x:c r="A999" s="73" t="str">
        <x:f>IFERROR(INDEX('계산도우미'!$B$5:$B$2004,MATCH(ROWS($A$5:A999),'계산도우미'!$K$5:$K$2004,0)),"")</x:f>
      </x:c>
      <x:c r="B999" s="73" t="str">
        <x:f>IF(A999="","",IFERROR(INDEX('당기원장'!$B$5:$B$1004,MATCH(A999,'당기원장'!$A$5:$A$1004,0)),IFERROR(INDEX('전기원장'!$B$5:$B$1004,MATCH(A999,'전기원장'!$A$5:$A$1004,0)),"")))</x:f>
      </x:c>
      <x:c r="C999" s="75" t="str">
        <x:f>IF(A999="","",SUMIF('전기원장'!$A$5:$A$1004,A999,'전기원장'!$H$5:$H$1004))</x:f>
      </x:c>
      <x:c r="D999" s="75" t="str">
        <x:f>IF(A999="","",SUMIF('당기원장'!$A$5:$A$1004,A999,'당기원장'!$H$5:$H$1004))</x:f>
      </x:c>
      <x:c r="E999" s="75" t="str">
        <x:f>IF(A999="","",D999-C999)</x:f>
      </x:c>
      <x:c r="F999" s="88" t="str">
        <x:f>IF(A999="","",IF(C999=0,IF(D999=0,0,1),ABS(E999)/ABS(C999)))</x:f>
      </x:c>
      <x:c r="G999" s="73" t="str">
        <x:f>IF(A999="","",IF(AND(C999=0,D999&lt;&gt;0),"신규",IF(AND(C999&lt;&gt;0,D999=0),"소멸",IF(E999=0,"변동없음","금액변동"))))</x:f>
      </x:c>
      <x:c r="H999" s="73" t="str">
        <x:f>IF(A999="","",IF(AND(ABS(E999)&gt;='기준설정'!$B$6,OR(G999="신규",G999="소멸",F999&gt;='기준설정'!$B$5)),"원인분석 대상","일반"))</x:f>
      </x:c>
      <x:c r="I999" s="73" t="str">
        <x:f>IF(A999="","",IF(H999="원인분석 대상","세부원인분석 시트에서 거래별 원인을 검토","-"))</x:f>
      </x:c>
      <x:c r="J999" s="73" t="str">
        <x:f>IF(A999="","",COUNTIFS('전기원장'!$A$5:$A$1004,A999,'전기원장'!$J$5:$J$1004,"확인 필요")+COUNTIFS('당기원장'!$A$5:$A$1004,A999,'당기원장'!$J$5:$J$1004,"확인 필요"))</x:f>
      </x:c>
      <x:c r="K999" s="85" t="str">
        <x:f>IF(A999="","",IF(H999&lt;&gt;"원인분석 대상","",IF(J999&gt;0,"붙임 문서 확인 후 원인 확정 필요","결의서명 기반 원인분류 검토")))</x:f>
      </x:c>
    </x:row>
    <x:row r="1000">
      <x:c r="A1000" s="73" t="str">
        <x:f>IFERROR(INDEX('계산도우미'!$B$5:$B$2004,MATCH(ROWS($A$5:A1000),'계산도우미'!$K$5:$K$2004,0)),"")</x:f>
      </x:c>
      <x:c r="B1000" s="73" t="str">
        <x:f>IF(A1000="","",IFERROR(INDEX('당기원장'!$B$5:$B$1004,MATCH(A1000,'당기원장'!$A$5:$A$1004,0)),IFERROR(INDEX('전기원장'!$B$5:$B$1004,MATCH(A1000,'전기원장'!$A$5:$A$1004,0)),"")))</x:f>
      </x:c>
      <x:c r="C1000" s="75" t="str">
        <x:f>IF(A1000="","",SUMIF('전기원장'!$A$5:$A$1004,A1000,'전기원장'!$H$5:$H$1004))</x:f>
      </x:c>
      <x:c r="D1000" s="75" t="str">
        <x:f>IF(A1000="","",SUMIF('당기원장'!$A$5:$A$1004,A1000,'당기원장'!$H$5:$H$1004))</x:f>
      </x:c>
      <x:c r="E1000" s="75" t="str">
        <x:f>IF(A1000="","",D1000-C1000)</x:f>
      </x:c>
      <x:c r="F1000" s="88" t="str">
        <x:f>IF(A1000="","",IF(C1000=0,IF(D1000=0,0,1),ABS(E1000)/ABS(C1000)))</x:f>
      </x:c>
      <x:c r="G1000" s="73" t="str">
        <x:f>IF(A1000="","",IF(AND(C1000=0,D1000&lt;&gt;0),"신규",IF(AND(C1000&lt;&gt;0,D1000=0),"소멸",IF(E1000=0,"변동없음","금액변동"))))</x:f>
      </x:c>
      <x:c r="H1000" s="73" t="str">
        <x:f>IF(A1000="","",IF(AND(ABS(E1000)&gt;='기준설정'!$B$6,OR(G1000="신규",G1000="소멸",F1000&gt;='기준설정'!$B$5)),"원인분석 대상","일반"))</x:f>
      </x:c>
      <x:c r="I1000" s="73" t="str">
        <x:f>IF(A1000="","",IF(H1000="원인분석 대상","세부원인분석 시트에서 거래별 원인을 검토","-"))</x:f>
      </x:c>
      <x:c r="J1000" s="73" t="str">
        <x:f>IF(A1000="","",COUNTIFS('전기원장'!$A$5:$A$1004,A1000,'전기원장'!$J$5:$J$1004,"확인 필요")+COUNTIFS('당기원장'!$A$5:$A$1004,A1000,'당기원장'!$J$5:$J$1004,"확인 필요"))</x:f>
      </x:c>
      <x:c r="K1000" s="85" t="str">
        <x:f>IF(A1000="","",IF(H1000&lt;&gt;"원인분석 대상","",IF(J1000&gt;0,"붙임 문서 확인 후 원인 확정 필요","결의서명 기반 원인분류 검토")))</x:f>
      </x:c>
    </x:row>
    <x:row r="1001">
      <x:c r="A1001" s="73" t="str">
        <x:f>IFERROR(INDEX('계산도우미'!$B$5:$B$2004,MATCH(ROWS($A$5:A1001),'계산도우미'!$K$5:$K$2004,0)),"")</x:f>
      </x:c>
      <x:c r="B1001" s="73" t="str">
        <x:f>IF(A1001="","",IFERROR(INDEX('당기원장'!$B$5:$B$1004,MATCH(A1001,'당기원장'!$A$5:$A$1004,0)),IFERROR(INDEX('전기원장'!$B$5:$B$1004,MATCH(A1001,'전기원장'!$A$5:$A$1004,0)),"")))</x:f>
      </x:c>
      <x:c r="C1001" s="75" t="str">
        <x:f>IF(A1001="","",SUMIF('전기원장'!$A$5:$A$1004,A1001,'전기원장'!$H$5:$H$1004))</x:f>
      </x:c>
      <x:c r="D1001" s="75" t="str">
        <x:f>IF(A1001="","",SUMIF('당기원장'!$A$5:$A$1004,A1001,'당기원장'!$H$5:$H$1004))</x:f>
      </x:c>
      <x:c r="E1001" s="75" t="str">
        <x:f>IF(A1001="","",D1001-C1001)</x:f>
      </x:c>
      <x:c r="F1001" s="88" t="str">
        <x:f>IF(A1001="","",IF(C1001=0,IF(D1001=0,0,1),ABS(E1001)/ABS(C1001)))</x:f>
      </x:c>
      <x:c r="G1001" s="73" t="str">
        <x:f>IF(A1001="","",IF(AND(C1001=0,D1001&lt;&gt;0),"신규",IF(AND(C1001&lt;&gt;0,D1001=0),"소멸",IF(E1001=0,"변동없음","금액변동"))))</x:f>
      </x:c>
      <x:c r="H1001" s="73" t="str">
        <x:f>IF(A1001="","",IF(AND(ABS(E1001)&gt;='기준설정'!$B$6,OR(G1001="신규",G1001="소멸",F1001&gt;='기준설정'!$B$5)),"원인분석 대상","일반"))</x:f>
      </x:c>
      <x:c r="I1001" s="73" t="str">
        <x:f>IF(A1001="","",IF(H1001="원인분석 대상","세부원인분석 시트에서 거래별 원인을 검토","-"))</x:f>
      </x:c>
      <x:c r="J1001" s="73" t="str">
        <x:f>IF(A1001="","",COUNTIFS('전기원장'!$A$5:$A$1004,A1001,'전기원장'!$J$5:$J$1004,"확인 필요")+COUNTIFS('당기원장'!$A$5:$A$1004,A1001,'당기원장'!$J$5:$J$1004,"확인 필요"))</x:f>
      </x:c>
      <x:c r="K1001" s="85" t="str">
        <x:f>IF(A1001="","",IF(H1001&lt;&gt;"원인분석 대상","",IF(J1001&gt;0,"붙임 문서 확인 후 원인 확정 필요","결의서명 기반 원인분류 검토")))</x:f>
      </x:c>
    </x:row>
    <x:row r="1002">
      <x:c r="A1002" s="73" t="str">
        <x:f>IFERROR(INDEX('계산도우미'!$B$5:$B$2004,MATCH(ROWS($A$5:A1002),'계산도우미'!$K$5:$K$2004,0)),"")</x:f>
      </x:c>
      <x:c r="B1002" s="73" t="str">
        <x:f>IF(A1002="","",IFERROR(INDEX('당기원장'!$B$5:$B$1004,MATCH(A1002,'당기원장'!$A$5:$A$1004,0)),IFERROR(INDEX('전기원장'!$B$5:$B$1004,MATCH(A1002,'전기원장'!$A$5:$A$1004,0)),"")))</x:f>
      </x:c>
      <x:c r="C1002" s="75" t="str">
        <x:f>IF(A1002="","",SUMIF('전기원장'!$A$5:$A$1004,A1002,'전기원장'!$H$5:$H$1004))</x:f>
      </x:c>
      <x:c r="D1002" s="75" t="str">
        <x:f>IF(A1002="","",SUMIF('당기원장'!$A$5:$A$1004,A1002,'당기원장'!$H$5:$H$1004))</x:f>
      </x:c>
      <x:c r="E1002" s="75" t="str">
        <x:f>IF(A1002="","",D1002-C1002)</x:f>
      </x:c>
      <x:c r="F1002" s="88" t="str">
        <x:f>IF(A1002="","",IF(C1002=0,IF(D1002=0,0,1),ABS(E1002)/ABS(C1002)))</x:f>
      </x:c>
      <x:c r="G1002" s="73" t="str">
        <x:f>IF(A1002="","",IF(AND(C1002=0,D1002&lt;&gt;0),"신규",IF(AND(C1002&lt;&gt;0,D1002=0),"소멸",IF(E1002=0,"변동없음","금액변동"))))</x:f>
      </x:c>
      <x:c r="H1002" s="73" t="str">
        <x:f>IF(A1002="","",IF(AND(ABS(E1002)&gt;='기준설정'!$B$6,OR(G1002="신규",G1002="소멸",F1002&gt;='기준설정'!$B$5)),"원인분석 대상","일반"))</x:f>
      </x:c>
      <x:c r="I1002" s="73" t="str">
        <x:f>IF(A1002="","",IF(H1002="원인분석 대상","세부원인분석 시트에서 거래별 원인을 검토","-"))</x:f>
      </x:c>
      <x:c r="J1002" s="73" t="str">
        <x:f>IF(A1002="","",COUNTIFS('전기원장'!$A$5:$A$1004,A1002,'전기원장'!$J$5:$J$1004,"확인 필요")+COUNTIFS('당기원장'!$A$5:$A$1004,A1002,'당기원장'!$J$5:$J$1004,"확인 필요"))</x:f>
      </x:c>
      <x:c r="K1002" s="85" t="str">
        <x:f>IF(A1002="","",IF(H1002&lt;&gt;"원인분석 대상","",IF(J1002&gt;0,"붙임 문서 확인 후 원인 확정 필요","결의서명 기반 원인분류 검토")))</x:f>
      </x:c>
    </x:row>
    <x:row r="1003">
      <x:c r="A1003" s="73" t="str">
        <x:f>IFERROR(INDEX('계산도우미'!$B$5:$B$2004,MATCH(ROWS($A$5:A1003),'계산도우미'!$K$5:$K$2004,0)),"")</x:f>
      </x:c>
      <x:c r="B1003" s="73" t="str">
        <x:f>IF(A1003="","",IFERROR(INDEX('당기원장'!$B$5:$B$1004,MATCH(A1003,'당기원장'!$A$5:$A$1004,0)),IFERROR(INDEX('전기원장'!$B$5:$B$1004,MATCH(A1003,'전기원장'!$A$5:$A$1004,0)),"")))</x:f>
      </x:c>
      <x:c r="C1003" s="75" t="str">
        <x:f>IF(A1003="","",SUMIF('전기원장'!$A$5:$A$1004,A1003,'전기원장'!$H$5:$H$1004))</x:f>
      </x:c>
      <x:c r="D1003" s="75" t="str">
        <x:f>IF(A1003="","",SUMIF('당기원장'!$A$5:$A$1004,A1003,'당기원장'!$H$5:$H$1004))</x:f>
      </x:c>
      <x:c r="E1003" s="75" t="str">
        <x:f>IF(A1003="","",D1003-C1003)</x:f>
      </x:c>
      <x:c r="F1003" s="88" t="str">
        <x:f>IF(A1003="","",IF(C1003=0,IF(D1003=0,0,1),ABS(E1003)/ABS(C1003)))</x:f>
      </x:c>
      <x:c r="G1003" s="73" t="str">
        <x:f>IF(A1003="","",IF(AND(C1003=0,D1003&lt;&gt;0),"신규",IF(AND(C1003&lt;&gt;0,D1003=0),"소멸",IF(E1003=0,"변동없음","금액변동"))))</x:f>
      </x:c>
      <x:c r="H1003" s="73" t="str">
        <x:f>IF(A1003="","",IF(AND(ABS(E1003)&gt;='기준설정'!$B$6,OR(G1003="신규",G1003="소멸",F1003&gt;='기준설정'!$B$5)),"원인분석 대상","일반"))</x:f>
      </x:c>
      <x:c r="I1003" s="73" t="str">
        <x:f>IF(A1003="","",IF(H1003="원인분석 대상","세부원인분석 시트에서 거래별 원인을 검토","-"))</x:f>
      </x:c>
      <x:c r="J1003" s="73" t="str">
        <x:f>IF(A1003="","",COUNTIFS('전기원장'!$A$5:$A$1004,A1003,'전기원장'!$J$5:$J$1004,"확인 필요")+COUNTIFS('당기원장'!$A$5:$A$1004,A1003,'당기원장'!$J$5:$J$1004,"확인 필요"))</x:f>
      </x:c>
      <x:c r="K1003" s="85" t="str">
        <x:f>IF(A1003="","",IF(H1003&lt;&gt;"원인분석 대상","",IF(J1003&gt;0,"붙임 문서 확인 후 원인 확정 필요","결의서명 기반 원인분류 검토")))</x:f>
      </x:c>
    </x:row>
    <x:row r="1004">
      <x:c r="A1004" s="79" t="str">
        <x:f>IFERROR(INDEX('계산도우미'!$B$5:$B$2004,MATCH(ROWS($A$5:A1004),'계산도우미'!$K$5:$K$2004,0)),"")</x:f>
      </x:c>
      <x:c r="B1004" s="79" t="str">
        <x:f>IF(A1004="","",IFERROR(INDEX('당기원장'!$B$5:$B$1004,MATCH(A1004,'당기원장'!$A$5:$A$1004,0)),IFERROR(INDEX('전기원장'!$B$5:$B$1004,MATCH(A1004,'전기원장'!$A$5:$A$1004,0)),"")))</x:f>
      </x:c>
      <x:c r="C1004" s="81" t="str">
        <x:f>IF(A1004="","",SUMIF('전기원장'!$A$5:$A$1004,A1004,'전기원장'!$H$5:$H$1004))</x:f>
      </x:c>
      <x:c r="D1004" s="81" t="str">
        <x:f>IF(A1004="","",SUMIF('당기원장'!$A$5:$A$1004,A1004,'당기원장'!$H$5:$H$1004))</x:f>
      </x:c>
      <x:c r="E1004" s="81" t="str">
        <x:f>IF(A1004="","",D1004-C1004)</x:f>
      </x:c>
      <x:c r="F1004" s="89" t="str">
        <x:f>IF(A1004="","",IF(C1004=0,IF(D1004=0,0,1),ABS(E1004)/ABS(C1004)))</x:f>
      </x:c>
      <x:c r="G1004" s="79" t="str">
        <x:f>IF(A1004="","",IF(AND(C1004=0,D1004&lt;&gt;0),"신규",IF(AND(C1004&lt;&gt;0,D1004=0),"소멸",IF(E1004=0,"변동없음","금액변동"))))</x:f>
      </x:c>
      <x:c r="H1004" s="79" t="str">
        <x:f>IF(A1004="","",IF(AND(ABS(E1004)&gt;='기준설정'!$B$6,OR(G1004="신규",G1004="소멸",F1004&gt;='기준설정'!$B$5)),"원인분석 대상","일반"))</x:f>
      </x:c>
      <x:c r="I1004" s="79" t="str">
        <x:f>IF(A1004="","",IF(H1004="원인분석 대상","세부원인분석 시트에서 거래별 원인을 검토","-"))</x:f>
      </x:c>
      <x:c r="J1004" s="79" t="str">
        <x:f>IF(A1004="","",COUNTIFS('전기원장'!$A$5:$A$1004,A1004,'전기원장'!$J$5:$J$1004,"확인 필요")+COUNTIFS('당기원장'!$A$5:$A$1004,A1004,'당기원장'!$J$5:$J$1004,"확인 필요"))</x:f>
      </x:c>
      <x:c r="K1004" s="86" t="str">
        <x:f>IF(A1004="","",IF(H1004&lt;&gt;"원인분석 대상","",IF(J1004&gt;0,"붙임 문서 확인 후 원인 확정 필요","결의서명 기반 원인분류 검토")))</x:f>
      </x:c>
    </x:row>
  </x:sheetData>
  <x:mergeCells>
    <x:mergeCell ref="A1:K1"/>
  </x:mergeCells>
  <x:conditionalFormatting sqref="H5:H1004">
    <x:cfRule type="containsText" dxfId="2" priority="1" operator="containsText" text="원인분석 대상"/>
  </x:conditionalFormatting>
  <x:conditionalFormatting sqref="J5:J1004">
    <x:cfRule type="cellIs" dxfId="3" priority="2" operator="greaterThan">
      <x:formula>0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3" hidden="0" customWidth="1"/>
    <x:col min="3" max="3" width="20" hidden="0" customWidth="1"/>
    <x:col min="4" max="4" width="13" hidden="0" customWidth="1"/>
    <x:col min="5" max="5" width="16" hidden="0" customWidth="1"/>
    <x:col min="6" max="6" width="38" hidden="0" customWidth="1"/>
    <x:col min="7" max="7" width="17" hidden="0" customWidth="1"/>
    <x:col min="8" max="8" width="18" hidden="0" customWidth="1"/>
    <x:col min="9" max="9" width="22" hidden="0" customWidth="1"/>
    <x:col min="10" max="10" width="34" hidden="0" customWidth="1"/>
    <x:col min="11" max="11" width="52" hidden="0" customWidth="1"/>
  </x:cols>
  <x:sheetData>
    <x:row r="1" ht="34" customHeight="1">
      <x:c r="A1" s="4" t="str">
        <x:v>세부 원인분석</x:v>
      </x:c>
      <x:c r="B1" s="4" t="str">
        <x:v>세부 원인분석</x:v>
      </x:c>
      <x:c r="C1" s="4" t="str">
        <x:v>세부 원인분석</x:v>
      </x:c>
      <x:c r="D1" s="4" t="str">
        <x:v>세부 원인분석</x:v>
      </x:c>
      <x:c r="E1" s="4" t="str">
        <x:v>세부 원인분석</x:v>
      </x:c>
      <x:c r="F1" s="4" t="str">
        <x:v>세부 원인분석</x:v>
      </x:c>
      <x:c r="G1" s="4" t="str">
        <x:v>세부 원인분석</x:v>
      </x:c>
      <x:c r="H1" s="4" t="str">
        <x:v>세부 원인분석</x:v>
      </x:c>
      <x:c r="I1" s="4" t="str">
        <x:v>세부 원인분석</x:v>
      </x:c>
      <x:c r="J1" s="4" t="str">
        <x:v>세부 원인분석</x:v>
      </x:c>
      <x:c r="K1" s="4" t="str">
        <x:v>세부 원인분석</x:v>
      </x:c>
    </x:row>
    <x:row r="2">
      <x:c r="A2" s="5" t="str">
        <x:v>원인분석 대상 계정의 전기·당기 거래를 함께 표시합니다.</x:v>
      </x:c>
    </x:row>
    <x:row r="3">
      <x:c r="A3" s="91" t="str">
        <x:v>※ '확인 필요' 거래는 결의서명만으로 판단하지 말고 붙임 문서(계약서·정산서·세금계산서 등)를 확인한 후 원인분석 메모를 확정하십시오.</x:v>
      </x:c>
      <x:c r="B3" s="91" t="str">
        <x:v>※ '확인 필요' 거래는 결의서명만으로 판단하지 말고 붙임 문서(계약서·정산서·세금계산서 등)를 확인한 후 원인분석 메모를 확정하십시오.</x:v>
      </x:c>
      <x:c r="C3" s="91" t="str">
        <x:v>※ '확인 필요' 거래는 결의서명만으로 판단하지 말고 붙임 문서(계약서·정산서·세금계산서 등)를 확인한 후 원인분석 메모를 확정하십시오.</x:v>
      </x:c>
      <x:c r="D3" s="91" t="str">
        <x:v>※ '확인 필요' 거래는 결의서명만으로 판단하지 말고 붙임 문서(계약서·정산서·세금계산서 등)를 확인한 후 원인분석 메모를 확정하십시오.</x:v>
      </x:c>
      <x:c r="E3" s="91" t="str">
        <x:v>※ '확인 필요' 거래는 결의서명만으로 판단하지 말고 붙임 문서(계약서·정산서·세금계산서 등)를 확인한 후 원인분석 메모를 확정하십시오.</x:v>
      </x:c>
      <x:c r="F3" s="91" t="str">
        <x:v>※ '확인 필요' 거래는 결의서명만으로 판단하지 말고 붙임 문서(계약서·정산서·세금계산서 등)를 확인한 후 원인분석 메모를 확정하십시오.</x:v>
      </x:c>
      <x:c r="G3" s="91" t="str">
        <x:v>※ '확인 필요' 거래는 결의서명만으로 판단하지 말고 붙임 문서(계약서·정산서·세금계산서 등)를 확인한 후 원인분석 메모를 확정하십시오.</x:v>
      </x:c>
      <x:c r="H3" s="91" t="str">
        <x:v>※ '확인 필요' 거래는 결의서명만으로 판단하지 말고 붙임 문서(계약서·정산서·세금계산서 등)를 확인한 후 원인분석 메모를 확정하십시오.</x:v>
      </x:c>
      <x:c r="I3" s="91" t="str">
        <x:v>※ '확인 필요' 거래는 결의서명만으로 판단하지 말고 붙임 문서(계약서·정산서·세금계산서 등)를 확인한 후 원인분석 메모를 확정하십시오.</x:v>
      </x:c>
      <x:c r="J3" s="91" t="str">
        <x:v>※ '확인 필요' 거래는 결의서명만으로 판단하지 말고 붙임 문서(계약서·정산서·세금계산서 등)를 확인한 후 원인분석 메모를 확정하십시오.</x:v>
      </x:c>
      <x:c r="K3" s="91" t="str">
        <x:v>※ '확인 필요' 거래는 결의서명만으로 판단하지 말고 붙임 문서(계약서·정산서·세금계산서 등)를 확인한 후 원인분석 메모를 확정하십시오.</x:v>
      </x:c>
    </x:row>
    <x:row r="5" ht="30" customHeight="1">
      <x:c r="A5" s="29" t="str">
        <x:v>기간</x:v>
      </x:c>
      <x:c r="B5" s="30" t="str">
        <x:v>계정코드</x:v>
      </x:c>
      <x:c r="C5" s="30" t="str">
        <x:v>계정명</x:v>
      </x:c>
      <x:c r="D5" s="30" t="str">
        <x:v>전표일자</x:v>
      </x:c>
      <x:c r="E5" s="30" t="str">
        <x:v>결의서번호</x:v>
      </x:c>
      <x:c r="F5" s="30" t="str">
        <x:v>결의서명</x:v>
      </x:c>
      <x:c r="G5" s="30" t="str">
        <x:v>순액</x:v>
      </x:c>
      <x:c r="H5" s="30" t="str">
        <x:v>1차 원인분류</x:v>
      </x:c>
      <x:c r="I5" s="30" t="str">
        <x:v>붙임 확인</x:v>
      </x:c>
      <x:c r="J5" s="30" t="str">
        <x:v>검토메모/붙임경로</x:v>
      </x:c>
      <x:c r="K5" s="31" t="str">
        <x:v>분석 포인트</x:v>
      </x:c>
    </x:row>
    <x:row r="6">
      <x:c r="A6" t="str">
        <x:f>IFERROR(INDEX('계산도우미'!$A$5:$A$2004,MATCH(ROWS($A$6:A6),'계산도우미'!$L$5:$L$2004,0)),"")</x:f>
        <x:v>전기</x:v>
      </x:c>
      <x:c r="B6" t="n">
        <x:f>IFERROR(INDEX('계산도우미'!$B$5:$B$2004,MATCH(ROWS($A$6:A6),'계산도우미'!$L$5:$L$2004,0)),"")</x:f>
        <x:v>510100</x:v>
      </x:c>
      <x:c r="C6" t="str">
        <x:f>IFERROR(INDEX('계산도우미'!$C$5:$C$2004,MATCH(ROWS($A$6:A6),'계산도우미'!$L$5:$L$2004,0)),"")</x:f>
        <x:v>급여</x:v>
      </x:c>
      <x:c r="D6" s="67" t="n">
        <x:f>IFERROR(INDEX('계산도우미'!$D$5:$D$2004,MATCH(ROWS($A$6:A6),'계산도우미'!$L$5:$L$2004,0)),"")</x:f>
        <x:v>45688</x:v>
      </x:c>
      <x:c r="E6" t="str">
        <x:f>IFERROR(INDEX('계산도우미'!$E$5:$E$2004,MATCH(ROWS($A$6:A6),'계산도우미'!$L$5:$L$2004,0)),"")</x:f>
        <x:v>P-001</x:v>
      </x:c>
      <x:c r="F6" t="str">
        <x:f>IFERROR(INDEX('계산도우미'!$F$5:$F$2004,MATCH(ROWS($A$6:A6),'계산도우미'!$L$5:$L$2004,0)),"")</x:f>
        <x:v>1월 정규직 급여 지급</x:v>
      </x:c>
      <x:c r="G6" s="68" t="n">
        <x:f>IFERROR(INDEX('계산도우미'!$G$5:$G$2004,MATCH(ROWS($A$6:A6),'계산도우미'!$L$5:$L$2004,0)),"")</x:f>
        <x:v>350000000</x:v>
      </x:c>
      <x:c r="H6" t="str">
        <x:f>IFERROR(INDEX('계산도우미'!$H$5:$H$2004,MATCH(ROWS($A$6:A6),'계산도우미'!$L$5:$L$2004,0)),"")</x:f>
        <x:v>인건비</x:v>
      </x:c>
      <x:c r="I6" t="str">
        <x:f>IFERROR(INDEX('계산도우미'!$I$5:$I$2004,MATCH(ROWS($A$6:A6),'계산도우미'!$L$5:$L$2004,0)),"")</x:f>
        <x:v>결의서명으로 1차 확인</x:v>
      </x:c>
      <x:c r="J6" t="str">
        <x:f>IFERROR(INDEX('계산도우미'!$J$5:$J$2004,MATCH(ROWS($A$6:A6),'계산도우미'!$L$5:$L$2004,0)),"")</x:f>
      </x:c>
      <x:c r="K6" t="str">
        <x:f>IF(B6="","",IF(I6="확인 필요","붙임 문서 확인 후 거래 성격·기간·상대방·일회성 여부 확인","결의서명과 전기 대비 발생 건수·단가·시점 차이 검토"))</x:f>
        <x:v>결의서명과 전기 대비 발생 건수·단가·시점 차이 검토</x:v>
      </x:c>
    </x:row>
    <x:row r="7">
      <x:c r="A7" t="str">
        <x:f>IFERROR(INDEX('계산도우미'!$A$5:$A$2004,MATCH(ROWS($A$6:A7),'계산도우미'!$L$5:$L$2004,0)),"")</x:f>
        <x:v>전기</x:v>
      </x:c>
      <x:c r="B7" t="n">
        <x:f>IFERROR(INDEX('계산도우미'!$B$5:$B$2004,MATCH(ROWS($A$6:A7),'계산도우미'!$L$5:$L$2004,0)),"")</x:f>
        <x:v>520300</x:v>
      </x:c>
      <x:c r="C7" t="str">
        <x:f>IFERROR(INDEX('계산도우미'!$C$5:$C$2004,MATCH(ROWS($A$6:A7),'계산도우미'!$L$5:$L$2004,0)),"")</x:f>
        <x:v>광고선전비</x:v>
      </x:c>
      <x:c r="D7" s="67" t="n">
        <x:f>IFERROR(INDEX('계산도우미'!$D$5:$D$2004,MATCH(ROWS($A$6:A7),'계산도우미'!$L$5:$L$2004,0)),"")</x:f>
        <x:v>45736</x:v>
      </x:c>
      <x:c r="E7" t="str">
        <x:f>IFERROR(INDEX('계산도우미'!$E$5:$E$2004,MATCH(ROWS($A$6:A7),'계산도우미'!$L$5:$L$2004,0)),"")</x:f>
        <x:v>P-032</x:v>
      </x:c>
      <x:c r="F7" t="str">
        <x:f>IFERROR(INDEX('계산도우미'!$F$5:$F$2004,MATCH(ROWS($A$6:A7),'계산도우미'!$L$5:$L$2004,0)),"")</x:f>
        <x:v>브랜드 캠페인 광고 용역</x:v>
      </x:c>
      <x:c r="G7" s="68" t="n">
        <x:f>IFERROR(INDEX('계산도우미'!$G$5:$G$2004,MATCH(ROWS($A$6:A7),'계산도우미'!$L$5:$L$2004,0)),"")</x:f>
        <x:v>120000000</x:v>
      </x:c>
      <x:c r="H7" t="str">
        <x:f>IFERROR(INDEX('계산도우미'!$H$5:$H$2004,MATCH(ROWS($A$6:A7),'계산도우미'!$L$5:$L$2004,0)),"")</x:f>
        <x:v>광고·행사</x:v>
      </x:c>
      <x:c r="I7" t="str">
        <x:f>IFERROR(INDEX('계산도우미'!$I$5:$I$2004,MATCH(ROWS($A$6:A7),'계산도우미'!$L$5:$L$2004,0)),"")</x:f>
        <x:v>결의서명으로 1차 확인</x:v>
      </x:c>
      <x:c r="J7" t="str">
        <x:f>IFERROR(INDEX('계산도우미'!$J$5:$J$2004,MATCH(ROWS($A$6:A7),'계산도우미'!$L$5:$L$2004,0)),"")</x:f>
      </x:c>
      <x:c r="K7" t="str">
        <x:f>IF(B7="","",IF(I7="확인 필요","붙임 문서 확인 후 거래 성격·기간·상대방·일회성 여부 확인","결의서명과 전기 대비 발생 건수·단가·시점 차이 검토"))</x:f>
        <x:v>결의서명과 전기 대비 발생 건수·단가·시점 차이 검토</x:v>
      </x:c>
    </x:row>
    <x:row r="8">
      <x:c r="A8" t="str">
        <x:f>IFERROR(INDEX('계산도우미'!$A$5:$A$2004,MATCH(ROWS($A$6:A8),'계산도우미'!$L$5:$L$2004,0)),"")</x:f>
        <x:v>전기</x:v>
      </x:c>
      <x:c r="B8" t="n">
        <x:f>IFERROR(INDEX('계산도우미'!$B$5:$B$2004,MATCH(ROWS($A$6:A8),'계산도우미'!$L$5:$L$2004,0)),"")</x:f>
        <x:v>540200</x:v>
      </x:c>
      <x:c r="C8" t="str">
        <x:f>IFERROR(INDEX('계산도우미'!$C$5:$C$2004,MATCH(ROWS($A$6:A8),'계산도우미'!$L$5:$L$2004,0)),"")</x:f>
        <x:v>지급수수료</x:v>
      </x:c>
      <x:c r="D8" s="67" t="n">
        <x:f>IFERROR(INDEX('계산도우미'!$D$5:$D$2004,MATCH(ROWS($A$6:A8),'계산도우미'!$L$5:$L$2004,0)),"")</x:f>
        <x:v>45792</x:v>
      </x:c>
      <x:c r="E8" t="str">
        <x:f>IFERROR(INDEX('계산도우미'!$E$5:$E$2004,MATCH(ROWS($A$6:A8),'계산도우미'!$L$5:$L$2004,0)),"")</x:f>
        <x:v>P-088</x:v>
      </x:c>
      <x:c r="F8" t="str">
        <x:f>IFERROR(INDEX('계산도우미'!$F$5:$F$2004,MATCH(ROWS($A$6:A8),'계산도우미'!$L$5:$L$2004,0)),"")</x:f>
        <x:v>기타 정산</x:v>
      </x:c>
      <x:c r="G8" s="68" t="n">
        <x:f>IFERROR(INDEX('계산도우미'!$G$5:$G$2004,MATCH(ROWS($A$6:A8),'계산도우미'!$L$5:$L$2004,0)),"")</x:f>
        <x:v>150000000</x:v>
      </x:c>
      <x:c r="H8" t="str">
        <x:f>IFERROR(INDEX('계산도우미'!$H$5:$H$2004,MATCH(ROWS($A$6:A8),'계산도우미'!$L$5:$L$2004,0)),"")</x:f>
        <x:v>기타/불명</x:v>
      </x:c>
      <x:c r="I8" t="str">
        <x:f>IFERROR(INDEX('계산도우미'!$I$5:$I$2004,MATCH(ROWS($A$6:A8),'계산도우미'!$L$5:$L$2004,0)),"")</x:f>
        <x:v>확인 필요</x:v>
      </x:c>
      <x:c r="J8" t="str">
        <x:f>IFERROR(INDEX('계산도우미'!$J$5:$J$2004,MATCH(ROWS($A$6:A8),'계산도우미'!$L$5:$L$2004,0)),"")</x:f>
      </x:c>
      <x:c r="K8" t="str">
        <x:f>IF(B8="","",IF(I8="확인 필요","붙임 문서 확인 후 거래 성격·기간·상대방·일회성 여부 확인","결의서명과 전기 대비 발생 건수·단가·시점 차이 검토"))</x:f>
        <x:v>붙임 문서 확인 후 거래 성격·기간·상대방·일회성 여부 확인</x:v>
      </x:c>
    </x:row>
    <x:row r="9">
      <x:c r="A9" t="str">
        <x:f>IFERROR(INDEX('계산도우미'!$A$5:$A$2004,MATCH(ROWS($A$6:A9),'계산도우미'!$L$5:$L$2004,0)),"")</x:f>
        <x:v>당기</x:v>
      </x:c>
      <x:c r="B9" t="n">
        <x:f>IFERROR(INDEX('계산도우미'!$B$5:$B$2004,MATCH(ROWS($A$6:A9),'계산도우미'!$L$5:$L$2004,0)),"")</x:f>
        <x:v>510100</x:v>
      </x:c>
      <x:c r="C9" t="str">
        <x:f>IFERROR(INDEX('계산도우미'!$C$5:$C$2004,MATCH(ROWS($A$6:A9),'계산도우미'!$L$5:$L$2004,0)),"")</x:f>
        <x:v>급여</x:v>
      </x:c>
      <x:c r="D9" s="67" t="n">
        <x:f>IFERROR(INDEX('계산도우미'!$D$5:$D$2004,MATCH(ROWS($A$6:A9),'계산도우미'!$L$5:$L$2004,0)),"")</x:f>
        <x:v>46053</x:v>
      </x:c>
      <x:c r="E9" t="str">
        <x:f>IFERROR(INDEX('계산도우미'!$E$5:$E$2004,MATCH(ROWS($A$6:A9),'계산도우미'!$L$5:$L$2004,0)),"")</x:f>
        <x:v>C-001</x:v>
      </x:c>
      <x:c r="F9" t="str">
        <x:f>IFERROR(INDEX('계산도우미'!$F$5:$F$2004,MATCH(ROWS($A$6:A9),'계산도우미'!$L$5:$L$2004,0)),"")</x:f>
        <x:v>1월 정규직 급여 및 신규채용 반영</x:v>
      </x:c>
      <x:c r="G9" s="68" t="n">
        <x:f>IFERROR(INDEX('계산도우미'!$G$5:$G$2004,MATCH(ROWS($A$6:A9),'계산도우미'!$L$5:$L$2004,0)),"")</x:f>
        <x:v>470000000</x:v>
      </x:c>
      <x:c r="H9" t="str">
        <x:f>IFERROR(INDEX('계산도우미'!$H$5:$H$2004,MATCH(ROWS($A$6:A9),'계산도우미'!$L$5:$L$2004,0)),"")</x:f>
        <x:v>인건비</x:v>
      </x:c>
      <x:c r="I9" t="str">
        <x:f>IFERROR(INDEX('계산도우미'!$I$5:$I$2004,MATCH(ROWS($A$6:A9),'계산도우미'!$L$5:$L$2004,0)),"")</x:f>
        <x:v>결의서명으로 1차 확인</x:v>
      </x:c>
      <x:c r="J9" t="str">
        <x:f>IFERROR(INDEX('계산도우미'!$J$5:$J$2004,MATCH(ROWS($A$6:A9),'계산도우미'!$L$5:$L$2004,0)),"")</x:f>
      </x:c>
      <x:c r="K9" t="str">
        <x:f>IF(B9="","",IF(I9="확인 필요","붙임 문서 확인 후 거래 성격·기간·상대방·일회성 여부 확인","결의서명과 전기 대비 발생 건수·단가·시점 차이 검토"))</x:f>
        <x:v>결의서명과 전기 대비 발생 건수·단가·시점 차이 검토</x:v>
      </x:c>
    </x:row>
    <x:row r="10">
      <x:c r="A10" t="str">
        <x:f>IFERROR(INDEX('계산도우미'!$A$5:$A$2004,MATCH(ROWS($A$6:A10),'계산도우미'!$L$5:$L$2004,0)),"")</x:f>
        <x:v>당기</x:v>
      </x:c>
      <x:c r="B10" t="n">
        <x:f>IFERROR(INDEX('계산도우미'!$B$5:$B$2004,MATCH(ROWS($A$6:A10),'계산도우미'!$L$5:$L$2004,0)),"")</x:f>
        <x:v>520300</x:v>
      </x:c>
      <x:c r="C10" t="str">
        <x:f>IFERROR(INDEX('계산도우미'!$C$5:$C$2004,MATCH(ROWS($A$6:A10),'계산도우미'!$L$5:$L$2004,0)),"")</x:f>
        <x:v>광고선전비</x:v>
      </x:c>
      <x:c r="D10" s="67" t="n">
        <x:f>IFERROR(INDEX('계산도우미'!$D$5:$D$2004,MATCH(ROWS($A$6:A10),'계산도우미'!$L$5:$L$2004,0)),"")</x:f>
        <x:v>46103</x:v>
      </x:c>
      <x:c r="E10" t="str">
        <x:f>IFERROR(INDEX('계산도우미'!$E$5:$E$2004,MATCH(ROWS($A$6:A10),'계산도우미'!$L$5:$L$2004,0)),"")</x:f>
        <x:v>C-041</x:v>
      </x:c>
      <x:c r="F10" t="str">
        <x:f>IFERROR(INDEX('계산도우미'!$F$5:$F$2004,MATCH(ROWS($A$6:A10),'계산도우미'!$L$5:$L$2004,0)),"")</x:f>
        <x:v>신제품 출시 광고 캠페인</x:v>
      </x:c>
      <x:c r="G10" s="68" t="n">
        <x:f>IFERROR(INDEX('계산도우미'!$G$5:$G$2004,MATCH(ROWS($A$6:A10),'계산도우미'!$L$5:$L$2004,0)),"")</x:f>
        <x:v>260000000</x:v>
      </x:c>
      <x:c r="H10" t="str">
        <x:f>IFERROR(INDEX('계산도우미'!$H$5:$H$2004,MATCH(ROWS($A$6:A10),'계산도우미'!$L$5:$L$2004,0)),"")</x:f>
        <x:v>광고·행사</x:v>
      </x:c>
      <x:c r="I10" t="str">
        <x:f>IFERROR(INDEX('계산도우미'!$I$5:$I$2004,MATCH(ROWS($A$6:A10),'계산도우미'!$L$5:$L$2004,0)),"")</x:f>
        <x:v>결의서명으로 1차 확인</x:v>
      </x:c>
      <x:c r="J10" t="str">
        <x:f>IFERROR(INDEX('계산도우미'!$J$5:$J$2004,MATCH(ROWS($A$6:A10),'계산도우미'!$L$5:$L$2004,0)),"")</x:f>
      </x:c>
      <x:c r="K10" t="str">
        <x:f>IF(B10="","",IF(I10="확인 필요","붙임 문서 확인 후 거래 성격·기간·상대방·일회성 여부 확인","결의서명과 전기 대비 발생 건수·단가·시점 차이 검토"))</x:f>
        <x:v>결의서명과 전기 대비 발생 건수·단가·시점 차이 검토</x:v>
      </x:c>
    </x:row>
    <x:row r="11">
      <x:c r="A11" t="str">
        <x:f>IFERROR(INDEX('계산도우미'!$A$5:$A$2004,MATCH(ROWS($A$6:A11),'계산도우미'!$L$5:$L$2004,0)),"")</x:f>
        <x:v>당기</x:v>
      </x:c>
      <x:c r="B11" t="n">
        <x:f>IFERROR(INDEX('계산도우미'!$B$5:$B$2004,MATCH(ROWS($A$6:A11),'계산도우미'!$L$5:$L$2004,0)),"")</x:f>
        <x:v>550500</x:v>
      </x:c>
      <x:c r="C11" t="str">
        <x:f>IFERROR(INDEX('계산도우미'!$C$5:$C$2004,MATCH(ROWS($A$6:A11),'계산도우미'!$L$5:$L$2004,0)),"")</x:f>
        <x:v>소프트웨어</x:v>
      </x:c>
      <x:c r="D11" s="67" t="n">
        <x:f>IFERROR(INDEX('계산도우미'!$D$5:$D$2004,MATCH(ROWS($A$6:A11),'계산도우미'!$L$5:$L$2004,0)),"")</x:f>
        <x:v>46113</x:v>
      </x:c>
      <x:c r="E11" t="str">
        <x:f>IFERROR(INDEX('계산도우미'!$E$5:$E$2004,MATCH(ROWS($A$6:A11),'계산도우미'!$L$5:$L$2004,0)),"")</x:f>
        <x:v>C-067</x:v>
      </x:c>
      <x:c r="F11" t="str">
        <x:f>IFERROR(INDEX('계산도우미'!$F$5:$F$2004,MATCH(ROWS($A$6:A11),'계산도우미'!$L$5:$L$2004,0)),"")</x:f>
        <x:v>ERP 시스템 구축 용역</x:v>
      </x:c>
      <x:c r="G11" s="68" t="n">
        <x:f>IFERROR(INDEX('계산도우미'!$G$5:$G$2004,MATCH(ROWS($A$6:A11),'계산도우미'!$L$5:$L$2004,0)),"")</x:f>
        <x:v>180000000</x:v>
      </x:c>
      <x:c r="H11" t="str">
        <x:f>IFERROR(INDEX('계산도우미'!$H$5:$H$2004,MATCH(ROWS($A$6:A11),'계산도우미'!$L$5:$L$2004,0)),"")</x:f>
        <x:v>용역·수수료</x:v>
      </x:c>
      <x:c r="I11" t="str">
        <x:f>IFERROR(INDEX('계산도우미'!$I$5:$I$2004,MATCH(ROWS($A$6:A11),'계산도우미'!$L$5:$L$2004,0)),"")</x:f>
        <x:v>결의서명으로 1차 확인</x:v>
      </x:c>
      <x:c r="J11" t="str">
        <x:f>IFERROR(INDEX('계산도우미'!$J$5:$J$2004,MATCH(ROWS($A$6:A11),'계산도우미'!$L$5:$L$2004,0)),"")</x:f>
      </x:c>
      <x:c r="K11" t="str">
        <x:f>IF(B11="","",IF(I11="확인 필요","붙임 문서 확인 후 거래 성격·기간·상대방·일회성 여부 확인","결의서명과 전기 대비 발생 건수·단가·시점 차이 검토"))</x:f>
        <x:v>결의서명과 전기 대비 발생 건수·단가·시점 차이 검토</x:v>
      </x:c>
    </x:row>
    <x:row r="12">
      <x:c r="A12" t="str">
        <x:f>IFERROR(INDEX('계산도우미'!$A$5:$A$2004,MATCH(ROWS($A$6:A12),'계산도우미'!$L$5:$L$2004,0)),"")</x:f>
      </x:c>
      <x:c r="B12" t="str">
        <x:f>IFERROR(INDEX('계산도우미'!$B$5:$B$2004,MATCH(ROWS($A$6:A12),'계산도우미'!$L$5:$L$2004,0)),"")</x:f>
      </x:c>
      <x:c r="C12" t="str">
        <x:f>IFERROR(INDEX('계산도우미'!$C$5:$C$2004,MATCH(ROWS($A$6:A12),'계산도우미'!$L$5:$L$2004,0)),"")</x:f>
      </x:c>
      <x:c r="D12" s="67" t="str">
        <x:f>IFERROR(INDEX('계산도우미'!$D$5:$D$2004,MATCH(ROWS($A$6:A12),'계산도우미'!$L$5:$L$2004,0)),"")</x:f>
      </x:c>
      <x:c r="E12" t="str">
        <x:f>IFERROR(INDEX('계산도우미'!$E$5:$E$2004,MATCH(ROWS($A$6:A12),'계산도우미'!$L$5:$L$2004,0)),"")</x:f>
      </x:c>
      <x:c r="F12" t="str">
        <x:f>IFERROR(INDEX('계산도우미'!$F$5:$F$2004,MATCH(ROWS($A$6:A12),'계산도우미'!$L$5:$L$2004,0)),"")</x:f>
      </x:c>
      <x:c r="G12" s="68" t="str">
        <x:f>IFERROR(INDEX('계산도우미'!$G$5:$G$2004,MATCH(ROWS($A$6:A12),'계산도우미'!$L$5:$L$2004,0)),"")</x:f>
      </x:c>
      <x:c r="H12" t="str">
        <x:f>IFERROR(INDEX('계산도우미'!$H$5:$H$2004,MATCH(ROWS($A$6:A12),'계산도우미'!$L$5:$L$2004,0)),"")</x:f>
      </x:c>
      <x:c r="I12" t="str">
        <x:f>IFERROR(INDEX('계산도우미'!$I$5:$I$2004,MATCH(ROWS($A$6:A12),'계산도우미'!$L$5:$L$2004,0)),"")</x:f>
      </x:c>
      <x:c r="J12" t="str">
        <x:f>IFERROR(INDEX('계산도우미'!$J$5:$J$2004,MATCH(ROWS($A$6:A12),'계산도우미'!$L$5:$L$2004,0)),"")</x:f>
      </x:c>
      <x:c r="K12" t="str">
        <x:f>IF(B12="","",IF(I12="확인 필요","붙임 문서 확인 후 거래 성격·기간·상대방·일회성 여부 확인","결의서명과 전기 대비 발생 건수·단가·시점 차이 검토"))</x:f>
      </x:c>
    </x:row>
    <x:row r="13">
      <x:c r="A13" t="str">
        <x:f>IFERROR(INDEX('계산도우미'!$A$5:$A$2004,MATCH(ROWS($A$6:A13),'계산도우미'!$L$5:$L$2004,0)),"")</x:f>
      </x:c>
      <x:c r="B13" t="str">
        <x:f>IFERROR(INDEX('계산도우미'!$B$5:$B$2004,MATCH(ROWS($A$6:A13),'계산도우미'!$L$5:$L$2004,0)),"")</x:f>
      </x:c>
      <x:c r="C13" t="str">
        <x:f>IFERROR(INDEX('계산도우미'!$C$5:$C$2004,MATCH(ROWS($A$6:A13),'계산도우미'!$L$5:$L$2004,0)),"")</x:f>
      </x:c>
      <x:c r="D13" s="67" t="str">
        <x:f>IFERROR(INDEX('계산도우미'!$D$5:$D$2004,MATCH(ROWS($A$6:A13),'계산도우미'!$L$5:$L$2004,0)),"")</x:f>
      </x:c>
      <x:c r="E13" t="str">
        <x:f>IFERROR(INDEX('계산도우미'!$E$5:$E$2004,MATCH(ROWS($A$6:A13),'계산도우미'!$L$5:$L$2004,0)),"")</x:f>
      </x:c>
      <x:c r="F13" t="str">
        <x:f>IFERROR(INDEX('계산도우미'!$F$5:$F$2004,MATCH(ROWS($A$6:A13),'계산도우미'!$L$5:$L$2004,0)),"")</x:f>
      </x:c>
      <x:c r="G13" s="68" t="str">
        <x:f>IFERROR(INDEX('계산도우미'!$G$5:$G$2004,MATCH(ROWS($A$6:A13),'계산도우미'!$L$5:$L$2004,0)),"")</x:f>
      </x:c>
      <x:c r="H13" t="str">
        <x:f>IFERROR(INDEX('계산도우미'!$H$5:$H$2004,MATCH(ROWS($A$6:A13),'계산도우미'!$L$5:$L$2004,0)),"")</x:f>
      </x:c>
      <x:c r="I13" t="str">
        <x:f>IFERROR(INDEX('계산도우미'!$I$5:$I$2004,MATCH(ROWS($A$6:A13),'계산도우미'!$L$5:$L$2004,0)),"")</x:f>
      </x:c>
      <x:c r="J13" t="str">
        <x:f>IFERROR(INDEX('계산도우미'!$J$5:$J$2004,MATCH(ROWS($A$6:A13),'계산도우미'!$L$5:$L$2004,0)),"")</x:f>
      </x:c>
      <x:c r="K13" t="str">
        <x:f>IF(B13="","",IF(I13="확인 필요","붙임 문서 확인 후 거래 성격·기간·상대방·일회성 여부 확인","결의서명과 전기 대비 발생 건수·단가·시점 차이 검토"))</x:f>
      </x:c>
    </x:row>
    <x:row r="14">
      <x:c r="A14" t="str">
        <x:f>IFERROR(INDEX('계산도우미'!$A$5:$A$2004,MATCH(ROWS($A$6:A14),'계산도우미'!$L$5:$L$2004,0)),"")</x:f>
      </x:c>
      <x:c r="B14" t="str">
        <x:f>IFERROR(INDEX('계산도우미'!$B$5:$B$2004,MATCH(ROWS($A$6:A14),'계산도우미'!$L$5:$L$2004,0)),"")</x:f>
      </x:c>
      <x:c r="C14" t="str">
        <x:f>IFERROR(INDEX('계산도우미'!$C$5:$C$2004,MATCH(ROWS($A$6:A14),'계산도우미'!$L$5:$L$2004,0)),"")</x:f>
      </x:c>
      <x:c r="D14" s="67" t="str">
        <x:f>IFERROR(INDEX('계산도우미'!$D$5:$D$2004,MATCH(ROWS($A$6:A14),'계산도우미'!$L$5:$L$2004,0)),"")</x:f>
      </x:c>
      <x:c r="E14" t="str">
        <x:f>IFERROR(INDEX('계산도우미'!$E$5:$E$2004,MATCH(ROWS($A$6:A14),'계산도우미'!$L$5:$L$2004,0)),"")</x:f>
      </x:c>
      <x:c r="F14" t="str">
        <x:f>IFERROR(INDEX('계산도우미'!$F$5:$F$2004,MATCH(ROWS($A$6:A14),'계산도우미'!$L$5:$L$2004,0)),"")</x:f>
      </x:c>
      <x:c r="G14" s="68" t="str">
        <x:f>IFERROR(INDEX('계산도우미'!$G$5:$G$2004,MATCH(ROWS($A$6:A14),'계산도우미'!$L$5:$L$2004,0)),"")</x:f>
      </x:c>
      <x:c r="H14" t="str">
        <x:f>IFERROR(INDEX('계산도우미'!$H$5:$H$2004,MATCH(ROWS($A$6:A14),'계산도우미'!$L$5:$L$2004,0)),"")</x:f>
      </x:c>
      <x:c r="I14" t="str">
        <x:f>IFERROR(INDEX('계산도우미'!$I$5:$I$2004,MATCH(ROWS($A$6:A14),'계산도우미'!$L$5:$L$2004,0)),"")</x:f>
      </x:c>
      <x:c r="J14" t="str">
        <x:f>IFERROR(INDEX('계산도우미'!$J$5:$J$2004,MATCH(ROWS($A$6:A14),'계산도우미'!$L$5:$L$2004,0)),"")</x:f>
      </x:c>
      <x:c r="K14" t="str">
        <x:f>IF(B14="","",IF(I14="확인 필요","붙임 문서 확인 후 거래 성격·기간·상대방·일회성 여부 확인","결의서명과 전기 대비 발생 건수·단가·시점 차이 검토"))</x:f>
      </x:c>
    </x:row>
    <x:row r="15">
      <x:c r="A15" t="str">
        <x:f>IFERROR(INDEX('계산도우미'!$A$5:$A$2004,MATCH(ROWS($A$6:A15),'계산도우미'!$L$5:$L$2004,0)),"")</x:f>
      </x:c>
      <x:c r="B15" t="str">
        <x:f>IFERROR(INDEX('계산도우미'!$B$5:$B$2004,MATCH(ROWS($A$6:A15),'계산도우미'!$L$5:$L$2004,0)),"")</x:f>
      </x:c>
      <x:c r="C15" t="str">
        <x:f>IFERROR(INDEX('계산도우미'!$C$5:$C$2004,MATCH(ROWS($A$6:A15),'계산도우미'!$L$5:$L$2004,0)),"")</x:f>
      </x:c>
      <x:c r="D15" s="67" t="str">
        <x:f>IFERROR(INDEX('계산도우미'!$D$5:$D$2004,MATCH(ROWS($A$6:A15),'계산도우미'!$L$5:$L$2004,0)),"")</x:f>
      </x:c>
      <x:c r="E15" t="str">
        <x:f>IFERROR(INDEX('계산도우미'!$E$5:$E$2004,MATCH(ROWS($A$6:A15),'계산도우미'!$L$5:$L$2004,0)),"")</x:f>
      </x:c>
      <x:c r="F15" t="str">
        <x:f>IFERROR(INDEX('계산도우미'!$F$5:$F$2004,MATCH(ROWS($A$6:A15),'계산도우미'!$L$5:$L$2004,0)),"")</x:f>
      </x:c>
      <x:c r="G15" s="68" t="str">
        <x:f>IFERROR(INDEX('계산도우미'!$G$5:$G$2004,MATCH(ROWS($A$6:A15),'계산도우미'!$L$5:$L$2004,0)),"")</x:f>
      </x:c>
      <x:c r="H15" t="str">
        <x:f>IFERROR(INDEX('계산도우미'!$H$5:$H$2004,MATCH(ROWS($A$6:A15),'계산도우미'!$L$5:$L$2004,0)),"")</x:f>
      </x:c>
      <x:c r="I15" t="str">
        <x:f>IFERROR(INDEX('계산도우미'!$I$5:$I$2004,MATCH(ROWS($A$6:A15),'계산도우미'!$L$5:$L$2004,0)),"")</x:f>
      </x:c>
      <x:c r="J15" t="str">
        <x:f>IFERROR(INDEX('계산도우미'!$J$5:$J$2004,MATCH(ROWS($A$6:A15),'계산도우미'!$L$5:$L$2004,0)),"")</x:f>
      </x:c>
      <x:c r="K15" t="str">
        <x:f>IF(B15="","",IF(I15="확인 필요","붙임 문서 확인 후 거래 성격·기간·상대방·일회성 여부 확인","결의서명과 전기 대비 발생 건수·단가·시점 차이 검토"))</x:f>
      </x:c>
    </x:row>
    <x:row r="16">
      <x:c r="A16" t="str">
        <x:f>IFERROR(INDEX('계산도우미'!$A$5:$A$2004,MATCH(ROWS($A$6:A16),'계산도우미'!$L$5:$L$2004,0)),"")</x:f>
      </x:c>
      <x:c r="B16" t="str">
        <x:f>IFERROR(INDEX('계산도우미'!$B$5:$B$2004,MATCH(ROWS($A$6:A16),'계산도우미'!$L$5:$L$2004,0)),"")</x:f>
      </x:c>
      <x:c r="C16" t="str">
        <x:f>IFERROR(INDEX('계산도우미'!$C$5:$C$2004,MATCH(ROWS($A$6:A16),'계산도우미'!$L$5:$L$2004,0)),"")</x:f>
      </x:c>
      <x:c r="D16" s="67" t="str">
        <x:f>IFERROR(INDEX('계산도우미'!$D$5:$D$2004,MATCH(ROWS($A$6:A16),'계산도우미'!$L$5:$L$2004,0)),"")</x:f>
      </x:c>
      <x:c r="E16" t="str">
        <x:f>IFERROR(INDEX('계산도우미'!$E$5:$E$2004,MATCH(ROWS($A$6:A16),'계산도우미'!$L$5:$L$2004,0)),"")</x:f>
      </x:c>
      <x:c r="F16" t="str">
        <x:f>IFERROR(INDEX('계산도우미'!$F$5:$F$2004,MATCH(ROWS($A$6:A16),'계산도우미'!$L$5:$L$2004,0)),"")</x:f>
      </x:c>
      <x:c r="G16" s="68" t="str">
        <x:f>IFERROR(INDEX('계산도우미'!$G$5:$G$2004,MATCH(ROWS($A$6:A16),'계산도우미'!$L$5:$L$2004,0)),"")</x:f>
      </x:c>
      <x:c r="H16" t="str">
        <x:f>IFERROR(INDEX('계산도우미'!$H$5:$H$2004,MATCH(ROWS($A$6:A16),'계산도우미'!$L$5:$L$2004,0)),"")</x:f>
      </x:c>
      <x:c r="I16" t="str">
        <x:f>IFERROR(INDEX('계산도우미'!$I$5:$I$2004,MATCH(ROWS($A$6:A16),'계산도우미'!$L$5:$L$2004,0)),"")</x:f>
      </x:c>
      <x:c r="J16" t="str">
        <x:f>IFERROR(INDEX('계산도우미'!$J$5:$J$2004,MATCH(ROWS($A$6:A16),'계산도우미'!$L$5:$L$2004,0)),"")</x:f>
      </x:c>
      <x:c r="K16" t="str">
        <x:f>IF(B16="","",IF(I16="확인 필요","붙임 문서 확인 후 거래 성격·기간·상대방·일회성 여부 확인","결의서명과 전기 대비 발생 건수·단가·시점 차이 검토"))</x:f>
      </x:c>
    </x:row>
    <x:row r="17">
      <x:c r="A17" t="str">
        <x:f>IFERROR(INDEX('계산도우미'!$A$5:$A$2004,MATCH(ROWS($A$6:A17),'계산도우미'!$L$5:$L$2004,0)),"")</x:f>
      </x:c>
      <x:c r="B17" t="str">
        <x:f>IFERROR(INDEX('계산도우미'!$B$5:$B$2004,MATCH(ROWS($A$6:A17),'계산도우미'!$L$5:$L$2004,0)),"")</x:f>
      </x:c>
      <x:c r="C17" t="str">
        <x:f>IFERROR(INDEX('계산도우미'!$C$5:$C$2004,MATCH(ROWS($A$6:A17),'계산도우미'!$L$5:$L$2004,0)),"")</x:f>
      </x:c>
      <x:c r="D17" s="67" t="str">
        <x:f>IFERROR(INDEX('계산도우미'!$D$5:$D$2004,MATCH(ROWS($A$6:A17),'계산도우미'!$L$5:$L$2004,0)),"")</x:f>
      </x:c>
      <x:c r="E17" t="str">
        <x:f>IFERROR(INDEX('계산도우미'!$E$5:$E$2004,MATCH(ROWS($A$6:A17),'계산도우미'!$L$5:$L$2004,0)),"")</x:f>
      </x:c>
      <x:c r="F17" t="str">
        <x:f>IFERROR(INDEX('계산도우미'!$F$5:$F$2004,MATCH(ROWS($A$6:A17),'계산도우미'!$L$5:$L$2004,0)),"")</x:f>
      </x:c>
      <x:c r="G17" s="68" t="str">
        <x:f>IFERROR(INDEX('계산도우미'!$G$5:$G$2004,MATCH(ROWS($A$6:A17),'계산도우미'!$L$5:$L$2004,0)),"")</x:f>
      </x:c>
      <x:c r="H17" t="str">
        <x:f>IFERROR(INDEX('계산도우미'!$H$5:$H$2004,MATCH(ROWS($A$6:A17),'계산도우미'!$L$5:$L$2004,0)),"")</x:f>
      </x:c>
      <x:c r="I17" t="str">
        <x:f>IFERROR(INDEX('계산도우미'!$I$5:$I$2004,MATCH(ROWS($A$6:A17),'계산도우미'!$L$5:$L$2004,0)),"")</x:f>
      </x:c>
      <x:c r="J17" t="str">
        <x:f>IFERROR(INDEX('계산도우미'!$J$5:$J$2004,MATCH(ROWS($A$6:A17),'계산도우미'!$L$5:$L$2004,0)),"")</x:f>
      </x:c>
      <x:c r="K17" t="str">
        <x:f>IF(B17="","",IF(I17="확인 필요","붙임 문서 확인 후 거래 성격·기간·상대방·일회성 여부 확인","결의서명과 전기 대비 발생 건수·단가·시점 차이 검토"))</x:f>
      </x:c>
    </x:row>
    <x:row r="18">
      <x:c r="A18" t="str">
        <x:f>IFERROR(INDEX('계산도우미'!$A$5:$A$2004,MATCH(ROWS($A$6:A18),'계산도우미'!$L$5:$L$2004,0)),"")</x:f>
      </x:c>
      <x:c r="B18" t="str">
        <x:f>IFERROR(INDEX('계산도우미'!$B$5:$B$2004,MATCH(ROWS($A$6:A18),'계산도우미'!$L$5:$L$2004,0)),"")</x:f>
      </x:c>
      <x:c r="C18" t="str">
        <x:f>IFERROR(INDEX('계산도우미'!$C$5:$C$2004,MATCH(ROWS($A$6:A18),'계산도우미'!$L$5:$L$2004,0)),"")</x:f>
      </x:c>
      <x:c r="D18" s="67" t="str">
        <x:f>IFERROR(INDEX('계산도우미'!$D$5:$D$2004,MATCH(ROWS($A$6:A18),'계산도우미'!$L$5:$L$2004,0)),"")</x:f>
      </x:c>
      <x:c r="E18" t="str">
        <x:f>IFERROR(INDEX('계산도우미'!$E$5:$E$2004,MATCH(ROWS($A$6:A18),'계산도우미'!$L$5:$L$2004,0)),"")</x:f>
      </x:c>
      <x:c r="F18" t="str">
        <x:f>IFERROR(INDEX('계산도우미'!$F$5:$F$2004,MATCH(ROWS($A$6:A18),'계산도우미'!$L$5:$L$2004,0)),"")</x:f>
      </x:c>
      <x:c r="G18" s="68" t="str">
        <x:f>IFERROR(INDEX('계산도우미'!$G$5:$G$2004,MATCH(ROWS($A$6:A18),'계산도우미'!$L$5:$L$2004,0)),"")</x:f>
      </x:c>
      <x:c r="H18" t="str">
        <x:f>IFERROR(INDEX('계산도우미'!$H$5:$H$2004,MATCH(ROWS($A$6:A18),'계산도우미'!$L$5:$L$2004,0)),"")</x:f>
      </x:c>
      <x:c r="I18" t="str">
        <x:f>IFERROR(INDEX('계산도우미'!$I$5:$I$2004,MATCH(ROWS($A$6:A18),'계산도우미'!$L$5:$L$2004,0)),"")</x:f>
      </x:c>
      <x:c r="J18" t="str">
        <x:f>IFERROR(INDEX('계산도우미'!$J$5:$J$2004,MATCH(ROWS($A$6:A18),'계산도우미'!$L$5:$L$2004,0)),"")</x:f>
      </x:c>
      <x:c r="K18" t="str">
        <x:f>IF(B18="","",IF(I18="확인 필요","붙임 문서 확인 후 거래 성격·기간·상대방·일회성 여부 확인","결의서명과 전기 대비 발생 건수·단가·시점 차이 검토"))</x:f>
      </x:c>
    </x:row>
    <x:row r="19">
      <x:c r="A19" t="str">
        <x:f>IFERROR(INDEX('계산도우미'!$A$5:$A$2004,MATCH(ROWS($A$6:A19),'계산도우미'!$L$5:$L$2004,0)),"")</x:f>
      </x:c>
      <x:c r="B19" t="str">
        <x:f>IFERROR(INDEX('계산도우미'!$B$5:$B$2004,MATCH(ROWS($A$6:A19),'계산도우미'!$L$5:$L$2004,0)),"")</x:f>
      </x:c>
      <x:c r="C19" t="str">
        <x:f>IFERROR(INDEX('계산도우미'!$C$5:$C$2004,MATCH(ROWS($A$6:A19),'계산도우미'!$L$5:$L$2004,0)),"")</x:f>
      </x:c>
      <x:c r="D19" s="67" t="str">
        <x:f>IFERROR(INDEX('계산도우미'!$D$5:$D$2004,MATCH(ROWS($A$6:A19),'계산도우미'!$L$5:$L$2004,0)),"")</x:f>
      </x:c>
      <x:c r="E19" t="str">
        <x:f>IFERROR(INDEX('계산도우미'!$E$5:$E$2004,MATCH(ROWS($A$6:A19),'계산도우미'!$L$5:$L$2004,0)),"")</x:f>
      </x:c>
      <x:c r="F19" t="str">
        <x:f>IFERROR(INDEX('계산도우미'!$F$5:$F$2004,MATCH(ROWS($A$6:A19),'계산도우미'!$L$5:$L$2004,0)),"")</x:f>
      </x:c>
      <x:c r="G19" s="68" t="str">
        <x:f>IFERROR(INDEX('계산도우미'!$G$5:$G$2004,MATCH(ROWS($A$6:A19),'계산도우미'!$L$5:$L$2004,0)),"")</x:f>
      </x:c>
      <x:c r="H19" t="str">
        <x:f>IFERROR(INDEX('계산도우미'!$H$5:$H$2004,MATCH(ROWS($A$6:A19),'계산도우미'!$L$5:$L$2004,0)),"")</x:f>
      </x:c>
      <x:c r="I19" t="str">
        <x:f>IFERROR(INDEX('계산도우미'!$I$5:$I$2004,MATCH(ROWS($A$6:A19),'계산도우미'!$L$5:$L$2004,0)),"")</x:f>
      </x:c>
      <x:c r="J19" t="str">
        <x:f>IFERROR(INDEX('계산도우미'!$J$5:$J$2004,MATCH(ROWS($A$6:A19),'계산도우미'!$L$5:$L$2004,0)),"")</x:f>
      </x:c>
      <x:c r="K19" t="str">
        <x:f>IF(B19="","",IF(I19="확인 필요","붙임 문서 확인 후 거래 성격·기간·상대방·일회성 여부 확인","결의서명과 전기 대비 발생 건수·단가·시점 차이 검토"))</x:f>
      </x:c>
    </x:row>
    <x:row r="20">
      <x:c r="A20" t="str">
        <x:f>IFERROR(INDEX('계산도우미'!$A$5:$A$2004,MATCH(ROWS($A$6:A20),'계산도우미'!$L$5:$L$2004,0)),"")</x:f>
      </x:c>
      <x:c r="B20" t="str">
        <x:f>IFERROR(INDEX('계산도우미'!$B$5:$B$2004,MATCH(ROWS($A$6:A20),'계산도우미'!$L$5:$L$2004,0)),"")</x:f>
      </x:c>
      <x:c r="C20" t="str">
        <x:f>IFERROR(INDEX('계산도우미'!$C$5:$C$2004,MATCH(ROWS($A$6:A20),'계산도우미'!$L$5:$L$2004,0)),"")</x:f>
      </x:c>
      <x:c r="D20" s="67" t="str">
        <x:f>IFERROR(INDEX('계산도우미'!$D$5:$D$2004,MATCH(ROWS($A$6:A20),'계산도우미'!$L$5:$L$2004,0)),"")</x:f>
      </x:c>
      <x:c r="E20" t="str">
        <x:f>IFERROR(INDEX('계산도우미'!$E$5:$E$2004,MATCH(ROWS($A$6:A20),'계산도우미'!$L$5:$L$2004,0)),"")</x:f>
      </x:c>
      <x:c r="F20" t="str">
        <x:f>IFERROR(INDEX('계산도우미'!$F$5:$F$2004,MATCH(ROWS($A$6:A20),'계산도우미'!$L$5:$L$2004,0)),"")</x:f>
      </x:c>
      <x:c r="G20" s="68" t="str">
        <x:f>IFERROR(INDEX('계산도우미'!$G$5:$G$2004,MATCH(ROWS($A$6:A20),'계산도우미'!$L$5:$L$2004,0)),"")</x:f>
      </x:c>
      <x:c r="H20" t="str">
        <x:f>IFERROR(INDEX('계산도우미'!$H$5:$H$2004,MATCH(ROWS($A$6:A20),'계산도우미'!$L$5:$L$2004,0)),"")</x:f>
      </x:c>
      <x:c r="I20" t="str">
        <x:f>IFERROR(INDEX('계산도우미'!$I$5:$I$2004,MATCH(ROWS($A$6:A20),'계산도우미'!$L$5:$L$2004,0)),"")</x:f>
      </x:c>
      <x:c r="J20" t="str">
        <x:f>IFERROR(INDEX('계산도우미'!$J$5:$J$2004,MATCH(ROWS($A$6:A20),'계산도우미'!$L$5:$L$2004,0)),"")</x:f>
      </x:c>
      <x:c r="K20" t="str">
        <x:f>IF(B20="","",IF(I20="확인 필요","붙임 문서 확인 후 거래 성격·기간·상대방·일회성 여부 확인","결의서명과 전기 대비 발생 건수·단가·시점 차이 검토"))</x:f>
      </x:c>
    </x:row>
    <x:row r="21">
      <x:c r="A21" t="str">
        <x:f>IFERROR(INDEX('계산도우미'!$A$5:$A$2004,MATCH(ROWS($A$6:A21),'계산도우미'!$L$5:$L$2004,0)),"")</x:f>
      </x:c>
      <x:c r="B21" t="str">
        <x:f>IFERROR(INDEX('계산도우미'!$B$5:$B$2004,MATCH(ROWS($A$6:A21),'계산도우미'!$L$5:$L$2004,0)),"")</x:f>
      </x:c>
      <x:c r="C21" t="str">
        <x:f>IFERROR(INDEX('계산도우미'!$C$5:$C$2004,MATCH(ROWS($A$6:A21),'계산도우미'!$L$5:$L$2004,0)),"")</x:f>
      </x:c>
      <x:c r="D21" s="67" t="str">
        <x:f>IFERROR(INDEX('계산도우미'!$D$5:$D$2004,MATCH(ROWS($A$6:A21),'계산도우미'!$L$5:$L$2004,0)),"")</x:f>
      </x:c>
      <x:c r="E21" t="str">
        <x:f>IFERROR(INDEX('계산도우미'!$E$5:$E$2004,MATCH(ROWS($A$6:A21),'계산도우미'!$L$5:$L$2004,0)),"")</x:f>
      </x:c>
      <x:c r="F21" t="str">
        <x:f>IFERROR(INDEX('계산도우미'!$F$5:$F$2004,MATCH(ROWS($A$6:A21),'계산도우미'!$L$5:$L$2004,0)),"")</x:f>
      </x:c>
      <x:c r="G21" s="68" t="str">
        <x:f>IFERROR(INDEX('계산도우미'!$G$5:$G$2004,MATCH(ROWS($A$6:A21),'계산도우미'!$L$5:$L$2004,0)),"")</x:f>
      </x:c>
      <x:c r="H21" t="str">
        <x:f>IFERROR(INDEX('계산도우미'!$H$5:$H$2004,MATCH(ROWS($A$6:A21),'계산도우미'!$L$5:$L$2004,0)),"")</x:f>
      </x:c>
      <x:c r="I21" t="str">
        <x:f>IFERROR(INDEX('계산도우미'!$I$5:$I$2004,MATCH(ROWS($A$6:A21),'계산도우미'!$L$5:$L$2004,0)),"")</x:f>
      </x:c>
      <x:c r="J21" t="str">
        <x:f>IFERROR(INDEX('계산도우미'!$J$5:$J$2004,MATCH(ROWS($A$6:A21),'계산도우미'!$L$5:$L$2004,0)),"")</x:f>
      </x:c>
      <x:c r="K21" t="str">
        <x:f>IF(B21="","",IF(I21="확인 필요","붙임 문서 확인 후 거래 성격·기간·상대방·일회성 여부 확인","결의서명과 전기 대비 발생 건수·단가·시점 차이 검토"))</x:f>
      </x:c>
    </x:row>
    <x:row r="22">
      <x:c r="A22" t="str">
        <x:f>IFERROR(INDEX('계산도우미'!$A$5:$A$2004,MATCH(ROWS($A$6:A22),'계산도우미'!$L$5:$L$2004,0)),"")</x:f>
      </x:c>
      <x:c r="B22" t="str">
        <x:f>IFERROR(INDEX('계산도우미'!$B$5:$B$2004,MATCH(ROWS($A$6:A22),'계산도우미'!$L$5:$L$2004,0)),"")</x:f>
      </x:c>
      <x:c r="C22" t="str">
        <x:f>IFERROR(INDEX('계산도우미'!$C$5:$C$2004,MATCH(ROWS($A$6:A22),'계산도우미'!$L$5:$L$2004,0)),"")</x:f>
      </x:c>
      <x:c r="D22" s="67" t="str">
        <x:f>IFERROR(INDEX('계산도우미'!$D$5:$D$2004,MATCH(ROWS($A$6:A22),'계산도우미'!$L$5:$L$2004,0)),"")</x:f>
      </x:c>
      <x:c r="E22" t="str">
        <x:f>IFERROR(INDEX('계산도우미'!$E$5:$E$2004,MATCH(ROWS($A$6:A22),'계산도우미'!$L$5:$L$2004,0)),"")</x:f>
      </x:c>
      <x:c r="F22" t="str">
        <x:f>IFERROR(INDEX('계산도우미'!$F$5:$F$2004,MATCH(ROWS($A$6:A22),'계산도우미'!$L$5:$L$2004,0)),"")</x:f>
      </x:c>
      <x:c r="G22" s="68" t="str">
        <x:f>IFERROR(INDEX('계산도우미'!$G$5:$G$2004,MATCH(ROWS($A$6:A22),'계산도우미'!$L$5:$L$2004,0)),"")</x:f>
      </x:c>
      <x:c r="H22" t="str">
        <x:f>IFERROR(INDEX('계산도우미'!$H$5:$H$2004,MATCH(ROWS($A$6:A22),'계산도우미'!$L$5:$L$2004,0)),"")</x:f>
      </x:c>
      <x:c r="I22" t="str">
        <x:f>IFERROR(INDEX('계산도우미'!$I$5:$I$2004,MATCH(ROWS($A$6:A22),'계산도우미'!$L$5:$L$2004,0)),"")</x:f>
      </x:c>
      <x:c r="J22" t="str">
        <x:f>IFERROR(INDEX('계산도우미'!$J$5:$J$2004,MATCH(ROWS($A$6:A22),'계산도우미'!$L$5:$L$2004,0)),"")</x:f>
      </x:c>
      <x:c r="K22" t="str">
        <x:f>IF(B22="","",IF(I22="확인 필요","붙임 문서 확인 후 거래 성격·기간·상대방·일회성 여부 확인","결의서명과 전기 대비 발생 건수·단가·시점 차이 검토"))</x:f>
      </x:c>
    </x:row>
    <x:row r="23">
      <x:c r="A23" t="str">
        <x:f>IFERROR(INDEX('계산도우미'!$A$5:$A$2004,MATCH(ROWS($A$6:A23),'계산도우미'!$L$5:$L$2004,0)),"")</x:f>
      </x:c>
      <x:c r="B23" t="str">
        <x:f>IFERROR(INDEX('계산도우미'!$B$5:$B$2004,MATCH(ROWS($A$6:A23),'계산도우미'!$L$5:$L$2004,0)),"")</x:f>
      </x:c>
      <x:c r="C23" t="str">
        <x:f>IFERROR(INDEX('계산도우미'!$C$5:$C$2004,MATCH(ROWS($A$6:A23),'계산도우미'!$L$5:$L$2004,0)),"")</x:f>
      </x:c>
      <x:c r="D23" s="67" t="str">
        <x:f>IFERROR(INDEX('계산도우미'!$D$5:$D$2004,MATCH(ROWS($A$6:A23),'계산도우미'!$L$5:$L$2004,0)),"")</x:f>
      </x:c>
      <x:c r="E23" t="str">
        <x:f>IFERROR(INDEX('계산도우미'!$E$5:$E$2004,MATCH(ROWS($A$6:A23),'계산도우미'!$L$5:$L$2004,0)),"")</x:f>
      </x:c>
      <x:c r="F23" t="str">
        <x:f>IFERROR(INDEX('계산도우미'!$F$5:$F$2004,MATCH(ROWS($A$6:A23),'계산도우미'!$L$5:$L$2004,0)),"")</x:f>
      </x:c>
      <x:c r="G23" s="68" t="str">
        <x:f>IFERROR(INDEX('계산도우미'!$G$5:$G$2004,MATCH(ROWS($A$6:A23),'계산도우미'!$L$5:$L$2004,0)),"")</x:f>
      </x:c>
      <x:c r="H23" t="str">
        <x:f>IFERROR(INDEX('계산도우미'!$H$5:$H$2004,MATCH(ROWS($A$6:A23),'계산도우미'!$L$5:$L$2004,0)),"")</x:f>
      </x:c>
      <x:c r="I23" t="str">
        <x:f>IFERROR(INDEX('계산도우미'!$I$5:$I$2004,MATCH(ROWS($A$6:A23),'계산도우미'!$L$5:$L$2004,0)),"")</x:f>
      </x:c>
      <x:c r="J23" t="str">
        <x:f>IFERROR(INDEX('계산도우미'!$J$5:$J$2004,MATCH(ROWS($A$6:A23),'계산도우미'!$L$5:$L$2004,0)),"")</x:f>
      </x:c>
      <x:c r="K23" t="str">
        <x:f>IF(B23="","",IF(I23="확인 필요","붙임 문서 확인 후 거래 성격·기간·상대방·일회성 여부 확인","결의서명과 전기 대비 발생 건수·단가·시점 차이 검토"))</x:f>
      </x:c>
    </x:row>
    <x:row r="24">
      <x:c r="A24" t="str">
        <x:f>IFERROR(INDEX('계산도우미'!$A$5:$A$2004,MATCH(ROWS($A$6:A24),'계산도우미'!$L$5:$L$2004,0)),"")</x:f>
      </x:c>
      <x:c r="B24" t="str">
        <x:f>IFERROR(INDEX('계산도우미'!$B$5:$B$2004,MATCH(ROWS($A$6:A24),'계산도우미'!$L$5:$L$2004,0)),"")</x:f>
      </x:c>
      <x:c r="C24" t="str">
        <x:f>IFERROR(INDEX('계산도우미'!$C$5:$C$2004,MATCH(ROWS($A$6:A24),'계산도우미'!$L$5:$L$2004,0)),"")</x:f>
      </x:c>
      <x:c r="D24" s="67" t="str">
        <x:f>IFERROR(INDEX('계산도우미'!$D$5:$D$2004,MATCH(ROWS($A$6:A24),'계산도우미'!$L$5:$L$2004,0)),"")</x:f>
      </x:c>
      <x:c r="E24" t="str">
        <x:f>IFERROR(INDEX('계산도우미'!$E$5:$E$2004,MATCH(ROWS($A$6:A24),'계산도우미'!$L$5:$L$2004,0)),"")</x:f>
      </x:c>
      <x:c r="F24" t="str">
        <x:f>IFERROR(INDEX('계산도우미'!$F$5:$F$2004,MATCH(ROWS($A$6:A24),'계산도우미'!$L$5:$L$2004,0)),"")</x:f>
      </x:c>
      <x:c r="G24" s="68" t="str">
        <x:f>IFERROR(INDEX('계산도우미'!$G$5:$G$2004,MATCH(ROWS($A$6:A24),'계산도우미'!$L$5:$L$2004,0)),"")</x:f>
      </x:c>
      <x:c r="H24" t="str">
        <x:f>IFERROR(INDEX('계산도우미'!$H$5:$H$2004,MATCH(ROWS($A$6:A24),'계산도우미'!$L$5:$L$2004,0)),"")</x:f>
      </x:c>
      <x:c r="I24" t="str">
        <x:f>IFERROR(INDEX('계산도우미'!$I$5:$I$2004,MATCH(ROWS($A$6:A24),'계산도우미'!$L$5:$L$2004,0)),"")</x:f>
      </x:c>
      <x:c r="J24" t="str">
        <x:f>IFERROR(INDEX('계산도우미'!$J$5:$J$2004,MATCH(ROWS($A$6:A24),'계산도우미'!$L$5:$L$2004,0)),"")</x:f>
      </x:c>
      <x:c r="K24" t="str">
        <x:f>IF(B24="","",IF(I24="확인 필요","붙임 문서 확인 후 거래 성격·기간·상대방·일회성 여부 확인","결의서명과 전기 대비 발생 건수·단가·시점 차이 검토"))</x:f>
      </x:c>
    </x:row>
    <x:row r="25">
      <x:c r="A25" t="str">
        <x:f>IFERROR(INDEX('계산도우미'!$A$5:$A$2004,MATCH(ROWS($A$6:A25),'계산도우미'!$L$5:$L$2004,0)),"")</x:f>
      </x:c>
      <x:c r="B25" t="str">
        <x:f>IFERROR(INDEX('계산도우미'!$B$5:$B$2004,MATCH(ROWS($A$6:A25),'계산도우미'!$L$5:$L$2004,0)),"")</x:f>
      </x:c>
      <x:c r="C25" t="str">
        <x:f>IFERROR(INDEX('계산도우미'!$C$5:$C$2004,MATCH(ROWS($A$6:A25),'계산도우미'!$L$5:$L$2004,0)),"")</x:f>
      </x:c>
      <x:c r="D25" s="67" t="str">
        <x:f>IFERROR(INDEX('계산도우미'!$D$5:$D$2004,MATCH(ROWS($A$6:A25),'계산도우미'!$L$5:$L$2004,0)),"")</x:f>
      </x:c>
      <x:c r="E25" t="str">
        <x:f>IFERROR(INDEX('계산도우미'!$E$5:$E$2004,MATCH(ROWS($A$6:A25),'계산도우미'!$L$5:$L$2004,0)),"")</x:f>
      </x:c>
      <x:c r="F25" t="str">
        <x:f>IFERROR(INDEX('계산도우미'!$F$5:$F$2004,MATCH(ROWS($A$6:A25),'계산도우미'!$L$5:$L$2004,0)),"")</x:f>
      </x:c>
      <x:c r="G25" s="68" t="str">
        <x:f>IFERROR(INDEX('계산도우미'!$G$5:$G$2004,MATCH(ROWS($A$6:A25),'계산도우미'!$L$5:$L$2004,0)),"")</x:f>
      </x:c>
      <x:c r="H25" t="str">
        <x:f>IFERROR(INDEX('계산도우미'!$H$5:$H$2004,MATCH(ROWS($A$6:A25),'계산도우미'!$L$5:$L$2004,0)),"")</x:f>
      </x:c>
      <x:c r="I25" t="str">
        <x:f>IFERROR(INDEX('계산도우미'!$I$5:$I$2004,MATCH(ROWS($A$6:A25),'계산도우미'!$L$5:$L$2004,0)),"")</x:f>
      </x:c>
      <x:c r="J25" t="str">
        <x:f>IFERROR(INDEX('계산도우미'!$J$5:$J$2004,MATCH(ROWS($A$6:A25),'계산도우미'!$L$5:$L$2004,0)),"")</x:f>
      </x:c>
      <x:c r="K25" t="str">
        <x:f>IF(B25="","",IF(I25="확인 필요","붙임 문서 확인 후 거래 성격·기간·상대방·일회성 여부 확인","결의서명과 전기 대비 발생 건수·단가·시점 차이 검토"))</x:f>
      </x:c>
    </x:row>
    <x:row r="26">
      <x:c r="A26" t="str">
        <x:f>IFERROR(INDEX('계산도우미'!$A$5:$A$2004,MATCH(ROWS($A$6:A26),'계산도우미'!$L$5:$L$2004,0)),"")</x:f>
      </x:c>
      <x:c r="B26" t="str">
        <x:f>IFERROR(INDEX('계산도우미'!$B$5:$B$2004,MATCH(ROWS($A$6:A26),'계산도우미'!$L$5:$L$2004,0)),"")</x:f>
      </x:c>
      <x:c r="C26" t="str">
        <x:f>IFERROR(INDEX('계산도우미'!$C$5:$C$2004,MATCH(ROWS($A$6:A26),'계산도우미'!$L$5:$L$2004,0)),"")</x:f>
      </x:c>
      <x:c r="D26" s="67" t="str">
        <x:f>IFERROR(INDEX('계산도우미'!$D$5:$D$2004,MATCH(ROWS($A$6:A26),'계산도우미'!$L$5:$L$2004,0)),"")</x:f>
      </x:c>
      <x:c r="E26" t="str">
        <x:f>IFERROR(INDEX('계산도우미'!$E$5:$E$2004,MATCH(ROWS($A$6:A26),'계산도우미'!$L$5:$L$2004,0)),"")</x:f>
      </x:c>
      <x:c r="F26" t="str">
        <x:f>IFERROR(INDEX('계산도우미'!$F$5:$F$2004,MATCH(ROWS($A$6:A26),'계산도우미'!$L$5:$L$2004,0)),"")</x:f>
      </x:c>
      <x:c r="G26" s="68" t="str">
        <x:f>IFERROR(INDEX('계산도우미'!$G$5:$G$2004,MATCH(ROWS($A$6:A26),'계산도우미'!$L$5:$L$2004,0)),"")</x:f>
      </x:c>
      <x:c r="H26" t="str">
        <x:f>IFERROR(INDEX('계산도우미'!$H$5:$H$2004,MATCH(ROWS($A$6:A26),'계산도우미'!$L$5:$L$2004,0)),"")</x:f>
      </x:c>
      <x:c r="I26" t="str">
        <x:f>IFERROR(INDEX('계산도우미'!$I$5:$I$2004,MATCH(ROWS($A$6:A26),'계산도우미'!$L$5:$L$2004,0)),"")</x:f>
      </x:c>
      <x:c r="J26" t="str">
        <x:f>IFERROR(INDEX('계산도우미'!$J$5:$J$2004,MATCH(ROWS($A$6:A26),'계산도우미'!$L$5:$L$2004,0)),"")</x:f>
      </x:c>
      <x:c r="K26" t="str">
        <x:f>IF(B26="","",IF(I26="확인 필요","붙임 문서 확인 후 거래 성격·기간·상대방·일회성 여부 확인","결의서명과 전기 대비 발생 건수·단가·시점 차이 검토"))</x:f>
      </x:c>
    </x:row>
    <x:row r="27">
      <x:c r="A27" t="str">
        <x:f>IFERROR(INDEX('계산도우미'!$A$5:$A$2004,MATCH(ROWS($A$6:A27),'계산도우미'!$L$5:$L$2004,0)),"")</x:f>
      </x:c>
      <x:c r="B27" t="str">
        <x:f>IFERROR(INDEX('계산도우미'!$B$5:$B$2004,MATCH(ROWS($A$6:A27),'계산도우미'!$L$5:$L$2004,0)),"")</x:f>
      </x:c>
      <x:c r="C27" t="str">
        <x:f>IFERROR(INDEX('계산도우미'!$C$5:$C$2004,MATCH(ROWS($A$6:A27),'계산도우미'!$L$5:$L$2004,0)),"")</x:f>
      </x:c>
      <x:c r="D27" s="67" t="str">
        <x:f>IFERROR(INDEX('계산도우미'!$D$5:$D$2004,MATCH(ROWS($A$6:A27),'계산도우미'!$L$5:$L$2004,0)),"")</x:f>
      </x:c>
      <x:c r="E27" t="str">
        <x:f>IFERROR(INDEX('계산도우미'!$E$5:$E$2004,MATCH(ROWS($A$6:A27),'계산도우미'!$L$5:$L$2004,0)),"")</x:f>
      </x:c>
      <x:c r="F27" t="str">
        <x:f>IFERROR(INDEX('계산도우미'!$F$5:$F$2004,MATCH(ROWS($A$6:A27),'계산도우미'!$L$5:$L$2004,0)),"")</x:f>
      </x:c>
      <x:c r="G27" s="68" t="str">
        <x:f>IFERROR(INDEX('계산도우미'!$G$5:$G$2004,MATCH(ROWS($A$6:A27),'계산도우미'!$L$5:$L$2004,0)),"")</x:f>
      </x:c>
      <x:c r="H27" t="str">
        <x:f>IFERROR(INDEX('계산도우미'!$H$5:$H$2004,MATCH(ROWS($A$6:A27),'계산도우미'!$L$5:$L$2004,0)),"")</x:f>
      </x:c>
      <x:c r="I27" t="str">
        <x:f>IFERROR(INDEX('계산도우미'!$I$5:$I$2004,MATCH(ROWS($A$6:A27),'계산도우미'!$L$5:$L$2004,0)),"")</x:f>
      </x:c>
      <x:c r="J27" t="str">
        <x:f>IFERROR(INDEX('계산도우미'!$J$5:$J$2004,MATCH(ROWS($A$6:A27),'계산도우미'!$L$5:$L$2004,0)),"")</x:f>
      </x:c>
      <x:c r="K27" t="str">
        <x:f>IF(B27="","",IF(I27="확인 필요","붙임 문서 확인 후 거래 성격·기간·상대방·일회성 여부 확인","결의서명과 전기 대비 발생 건수·단가·시점 차이 검토"))</x:f>
      </x:c>
    </x:row>
    <x:row r="28">
      <x:c r="A28" t="str">
        <x:f>IFERROR(INDEX('계산도우미'!$A$5:$A$2004,MATCH(ROWS($A$6:A28),'계산도우미'!$L$5:$L$2004,0)),"")</x:f>
      </x:c>
      <x:c r="B28" t="str">
        <x:f>IFERROR(INDEX('계산도우미'!$B$5:$B$2004,MATCH(ROWS($A$6:A28),'계산도우미'!$L$5:$L$2004,0)),"")</x:f>
      </x:c>
      <x:c r="C28" t="str">
        <x:f>IFERROR(INDEX('계산도우미'!$C$5:$C$2004,MATCH(ROWS($A$6:A28),'계산도우미'!$L$5:$L$2004,0)),"")</x:f>
      </x:c>
      <x:c r="D28" s="67" t="str">
        <x:f>IFERROR(INDEX('계산도우미'!$D$5:$D$2004,MATCH(ROWS($A$6:A28),'계산도우미'!$L$5:$L$2004,0)),"")</x:f>
      </x:c>
      <x:c r="E28" t="str">
        <x:f>IFERROR(INDEX('계산도우미'!$E$5:$E$2004,MATCH(ROWS($A$6:A28),'계산도우미'!$L$5:$L$2004,0)),"")</x:f>
      </x:c>
      <x:c r="F28" t="str">
        <x:f>IFERROR(INDEX('계산도우미'!$F$5:$F$2004,MATCH(ROWS($A$6:A28),'계산도우미'!$L$5:$L$2004,0)),"")</x:f>
      </x:c>
      <x:c r="G28" s="68" t="str">
        <x:f>IFERROR(INDEX('계산도우미'!$G$5:$G$2004,MATCH(ROWS($A$6:A28),'계산도우미'!$L$5:$L$2004,0)),"")</x:f>
      </x:c>
      <x:c r="H28" t="str">
        <x:f>IFERROR(INDEX('계산도우미'!$H$5:$H$2004,MATCH(ROWS($A$6:A28),'계산도우미'!$L$5:$L$2004,0)),"")</x:f>
      </x:c>
      <x:c r="I28" t="str">
        <x:f>IFERROR(INDEX('계산도우미'!$I$5:$I$2004,MATCH(ROWS($A$6:A28),'계산도우미'!$L$5:$L$2004,0)),"")</x:f>
      </x:c>
      <x:c r="J28" t="str">
        <x:f>IFERROR(INDEX('계산도우미'!$J$5:$J$2004,MATCH(ROWS($A$6:A28),'계산도우미'!$L$5:$L$2004,0)),"")</x:f>
      </x:c>
      <x:c r="K28" t="str">
        <x:f>IF(B28="","",IF(I28="확인 필요","붙임 문서 확인 후 거래 성격·기간·상대방·일회성 여부 확인","결의서명과 전기 대비 발생 건수·단가·시점 차이 검토"))</x:f>
      </x:c>
    </x:row>
    <x:row r="29">
      <x:c r="A29" t="str">
        <x:f>IFERROR(INDEX('계산도우미'!$A$5:$A$2004,MATCH(ROWS($A$6:A29),'계산도우미'!$L$5:$L$2004,0)),"")</x:f>
      </x:c>
      <x:c r="B29" t="str">
        <x:f>IFERROR(INDEX('계산도우미'!$B$5:$B$2004,MATCH(ROWS($A$6:A29),'계산도우미'!$L$5:$L$2004,0)),"")</x:f>
      </x:c>
      <x:c r="C29" t="str">
        <x:f>IFERROR(INDEX('계산도우미'!$C$5:$C$2004,MATCH(ROWS($A$6:A29),'계산도우미'!$L$5:$L$2004,0)),"")</x:f>
      </x:c>
      <x:c r="D29" s="67" t="str">
        <x:f>IFERROR(INDEX('계산도우미'!$D$5:$D$2004,MATCH(ROWS($A$6:A29),'계산도우미'!$L$5:$L$2004,0)),"")</x:f>
      </x:c>
      <x:c r="E29" t="str">
        <x:f>IFERROR(INDEX('계산도우미'!$E$5:$E$2004,MATCH(ROWS($A$6:A29),'계산도우미'!$L$5:$L$2004,0)),"")</x:f>
      </x:c>
      <x:c r="F29" t="str">
        <x:f>IFERROR(INDEX('계산도우미'!$F$5:$F$2004,MATCH(ROWS($A$6:A29),'계산도우미'!$L$5:$L$2004,0)),"")</x:f>
      </x:c>
      <x:c r="G29" s="68" t="str">
        <x:f>IFERROR(INDEX('계산도우미'!$G$5:$G$2004,MATCH(ROWS($A$6:A29),'계산도우미'!$L$5:$L$2004,0)),"")</x:f>
      </x:c>
      <x:c r="H29" t="str">
        <x:f>IFERROR(INDEX('계산도우미'!$H$5:$H$2004,MATCH(ROWS($A$6:A29),'계산도우미'!$L$5:$L$2004,0)),"")</x:f>
      </x:c>
      <x:c r="I29" t="str">
        <x:f>IFERROR(INDEX('계산도우미'!$I$5:$I$2004,MATCH(ROWS($A$6:A29),'계산도우미'!$L$5:$L$2004,0)),"")</x:f>
      </x:c>
      <x:c r="J29" t="str">
        <x:f>IFERROR(INDEX('계산도우미'!$J$5:$J$2004,MATCH(ROWS($A$6:A29),'계산도우미'!$L$5:$L$2004,0)),"")</x:f>
      </x:c>
      <x:c r="K29" t="str">
        <x:f>IF(B29="","",IF(I29="확인 필요","붙임 문서 확인 후 거래 성격·기간·상대방·일회성 여부 확인","결의서명과 전기 대비 발생 건수·단가·시점 차이 검토"))</x:f>
      </x:c>
    </x:row>
    <x:row r="30">
      <x:c r="A30" t="str">
        <x:f>IFERROR(INDEX('계산도우미'!$A$5:$A$2004,MATCH(ROWS($A$6:A30),'계산도우미'!$L$5:$L$2004,0)),"")</x:f>
      </x:c>
      <x:c r="B30" t="str">
        <x:f>IFERROR(INDEX('계산도우미'!$B$5:$B$2004,MATCH(ROWS($A$6:A30),'계산도우미'!$L$5:$L$2004,0)),"")</x:f>
      </x:c>
      <x:c r="C30" t="str">
        <x:f>IFERROR(INDEX('계산도우미'!$C$5:$C$2004,MATCH(ROWS($A$6:A30),'계산도우미'!$L$5:$L$2004,0)),"")</x:f>
      </x:c>
      <x:c r="D30" s="67" t="str">
        <x:f>IFERROR(INDEX('계산도우미'!$D$5:$D$2004,MATCH(ROWS($A$6:A30),'계산도우미'!$L$5:$L$2004,0)),"")</x:f>
      </x:c>
      <x:c r="E30" t="str">
        <x:f>IFERROR(INDEX('계산도우미'!$E$5:$E$2004,MATCH(ROWS($A$6:A30),'계산도우미'!$L$5:$L$2004,0)),"")</x:f>
      </x:c>
      <x:c r="F30" t="str">
        <x:f>IFERROR(INDEX('계산도우미'!$F$5:$F$2004,MATCH(ROWS($A$6:A30),'계산도우미'!$L$5:$L$2004,0)),"")</x:f>
      </x:c>
      <x:c r="G30" s="68" t="str">
        <x:f>IFERROR(INDEX('계산도우미'!$G$5:$G$2004,MATCH(ROWS($A$6:A30),'계산도우미'!$L$5:$L$2004,0)),"")</x:f>
      </x:c>
      <x:c r="H30" t="str">
        <x:f>IFERROR(INDEX('계산도우미'!$H$5:$H$2004,MATCH(ROWS($A$6:A30),'계산도우미'!$L$5:$L$2004,0)),"")</x:f>
      </x:c>
      <x:c r="I30" t="str">
        <x:f>IFERROR(INDEX('계산도우미'!$I$5:$I$2004,MATCH(ROWS($A$6:A30),'계산도우미'!$L$5:$L$2004,0)),"")</x:f>
      </x:c>
      <x:c r="J30" t="str">
        <x:f>IFERROR(INDEX('계산도우미'!$J$5:$J$2004,MATCH(ROWS($A$6:A30),'계산도우미'!$L$5:$L$2004,0)),"")</x:f>
      </x:c>
      <x:c r="K30" t="str">
        <x:f>IF(B30="","",IF(I30="확인 필요","붙임 문서 확인 후 거래 성격·기간·상대방·일회성 여부 확인","결의서명과 전기 대비 발생 건수·단가·시점 차이 검토"))</x:f>
      </x:c>
    </x:row>
    <x:row r="31">
      <x:c r="A31" t="str">
        <x:f>IFERROR(INDEX('계산도우미'!$A$5:$A$2004,MATCH(ROWS($A$6:A31),'계산도우미'!$L$5:$L$2004,0)),"")</x:f>
      </x:c>
      <x:c r="B31" t="str">
        <x:f>IFERROR(INDEX('계산도우미'!$B$5:$B$2004,MATCH(ROWS($A$6:A31),'계산도우미'!$L$5:$L$2004,0)),"")</x:f>
      </x:c>
      <x:c r="C31" t="str">
        <x:f>IFERROR(INDEX('계산도우미'!$C$5:$C$2004,MATCH(ROWS($A$6:A31),'계산도우미'!$L$5:$L$2004,0)),"")</x:f>
      </x:c>
      <x:c r="D31" s="67" t="str">
        <x:f>IFERROR(INDEX('계산도우미'!$D$5:$D$2004,MATCH(ROWS($A$6:A31),'계산도우미'!$L$5:$L$2004,0)),"")</x:f>
      </x:c>
      <x:c r="E31" t="str">
        <x:f>IFERROR(INDEX('계산도우미'!$E$5:$E$2004,MATCH(ROWS($A$6:A31),'계산도우미'!$L$5:$L$2004,0)),"")</x:f>
      </x:c>
      <x:c r="F31" t="str">
        <x:f>IFERROR(INDEX('계산도우미'!$F$5:$F$2004,MATCH(ROWS($A$6:A31),'계산도우미'!$L$5:$L$2004,0)),"")</x:f>
      </x:c>
      <x:c r="G31" s="68" t="str">
        <x:f>IFERROR(INDEX('계산도우미'!$G$5:$G$2004,MATCH(ROWS($A$6:A31),'계산도우미'!$L$5:$L$2004,0)),"")</x:f>
      </x:c>
      <x:c r="H31" t="str">
        <x:f>IFERROR(INDEX('계산도우미'!$H$5:$H$2004,MATCH(ROWS($A$6:A31),'계산도우미'!$L$5:$L$2004,0)),"")</x:f>
      </x:c>
      <x:c r="I31" t="str">
        <x:f>IFERROR(INDEX('계산도우미'!$I$5:$I$2004,MATCH(ROWS($A$6:A31),'계산도우미'!$L$5:$L$2004,0)),"")</x:f>
      </x:c>
      <x:c r="J31" t="str">
        <x:f>IFERROR(INDEX('계산도우미'!$J$5:$J$2004,MATCH(ROWS($A$6:A31),'계산도우미'!$L$5:$L$2004,0)),"")</x:f>
      </x:c>
      <x:c r="K31" t="str">
        <x:f>IF(B31="","",IF(I31="확인 필요","붙임 문서 확인 후 거래 성격·기간·상대방·일회성 여부 확인","결의서명과 전기 대비 발생 건수·단가·시점 차이 검토"))</x:f>
      </x:c>
    </x:row>
    <x:row r="32">
      <x:c r="A32" t="str">
        <x:f>IFERROR(INDEX('계산도우미'!$A$5:$A$2004,MATCH(ROWS($A$6:A32),'계산도우미'!$L$5:$L$2004,0)),"")</x:f>
      </x:c>
      <x:c r="B32" t="str">
        <x:f>IFERROR(INDEX('계산도우미'!$B$5:$B$2004,MATCH(ROWS($A$6:A32),'계산도우미'!$L$5:$L$2004,0)),"")</x:f>
      </x:c>
      <x:c r="C32" t="str">
        <x:f>IFERROR(INDEX('계산도우미'!$C$5:$C$2004,MATCH(ROWS($A$6:A32),'계산도우미'!$L$5:$L$2004,0)),"")</x:f>
      </x:c>
      <x:c r="D32" s="67" t="str">
        <x:f>IFERROR(INDEX('계산도우미'!$D$5:$D$2004,MATCH(ROWS($A$6:A32),'계산도우미'!$L$5:$L$2004,0)),"")</x:f>
      </x:c>
      <x:c r="E32" t="str">
        <x:f>IFERROR(INDEX('계산도우미'!$E$5:$E$2004,MATCH(ROWS($A$6:A32),'계산도우미'!$L$5:$L$2004,0)),"")</x:f>
      </x:c>
      <x:c r="F32" t="str">
        <x:f>IFERROR(INDEX('계산도우미'!$F$5:$F$2004,MATCH(ROWS($A$6:A32),'계산도우미'!$L$5:$L$2004,0)),"")</x:f>
      </x:c>
      <x:c r="G32" s="68" t="str">
        <x:f>IFERROR(INDEX('계산도우미'!$G$5:$G$2004,MATCH(ROWS($A$6:A32),'계산도우미'!$L$5:$L$2004,0)),"")</x:f>
      </x:c>
      <x:c r="H32" t="str">
        <x:f>IFERROR(INDEX('계산도우미'!$H$5:$H$2004,MATCH(ROWS($A$6:A32),'계산도우미'!$L$5:$L$2004,0)),"")</x:f>
      </x:c>
      <x:c r="I32" t="str">
        <x:f>IFERROR(INDEX('계산도우미'!$I$5:$I$2004,MATCH(ROWS($A$6:A32),'계산도우미'!$L$5:$L$2004,0)),"")</x:f>
      </x:c>
      <x:c r="J32" t="str">
        <x:f>IFERROR(INDEX('계산도우미'!$J$5:$J$2004,MATCH(ROWS($A$6:A32),'계산도우미'!$L$5:$L$2004,0)),"")</x:f>
      </x:c>
      <x:c r="K32" t="str">
        <x:f>IF(B32="","",IF(I32="확인 필요","붙임 문서 확인 후 거래 성격·기간·상대방·일회성 여부 확인","결의서명과 전기 대비 발생 건수·단가·시점 차이 검토"))</x:f>
      </x:c>
    </x:row>
    <x:row r="33">
      <x:c r="A33" t="str">
        <x:f>IFERROR(INDEX('계산도우미'!$A$5:$A$2004,MATCH(ROWS($A$6:A33),'계산도우미'!$L$5:$L$2004,0)),"")</x:f>
      </x:c>
      <x:c r="B33" t="str">
        <x:f>IFERROR(INDEX('계산도우미'!$B$5:$B$2004,MATCH(ROWS($A$6:A33),'계산도우미'!$L$5:$L$2004,0)),"")</x:f>
      </x:c>
      <x:c r="C33" t="str">
        <x:f>IFERROR(INDEX('계산도우미'!$C$5:$C$2004,MATCH(ROWS($A$6:A33),'계산도우미'!$L$5:$L$2004,0)),"")</x:f>
      </x:c>
      <x:c r="D33" s="67" t="str">
        <x:f>IFERROR(INDEX('계산도우미'!$D$5:$D$2004,MATCH(ROWS($A$6:A33),'계산도우미'!$L$5:$L$2004,0)),"")</x:f>
      </x:c>
      <x:c r="E33" t="str">
        <x:f>IFERROR(INDEX('계산도우미'!$E$5:$E$2004,MATCH(ROWS($A$6:A33),'계산도우미'!$L$5:$L$2004,0)),"")</x:f>
      </x:c>
      <x:c r="F33" t="str">
        <x:f>IFERROR(INDEX('계산도우미'!$F$5:$F$2004,MATCH(ROWS($A$6:A33),'계산도우미'!$L$5:$L$2004,0)),"")</x:f>
      </x:c>
      <x:c r="G33" s="68" t="str">
        <x:f>IFERROR(INDEX('계산도우미'!$G$5:$G$2004,MATCH(ROWS($A$6:A33),'계산도우미'!$L$5:$L$2004,0)),"")</x:f>
      </x:c>
      <x:c r="H33" t="str">
        <x:f>IFERROR(INDEX('계산도우미'!$H$5:$H$2004,MATCH(ROWS($A$6:A33),'계산도우미'!$L$5:$L$2004,0)),"")</x:f>
      </x:c>
      <x:c r="I33" t="str">
        <x:f>IFERROR(INDEX('계산도우미'!$I$5:$I$2004,MATCH(ROWS($A$6:A33),'계산도우미'!$L$5:$L$2004,0)),"")</x:f>
      </x:c>
      <x:c r="J33" t="str">
        <x:f>IFERROR(INDEX('계산도우미'!$J$5:$J$2004,MATCH(ROWS($A$6:A33),'계산도우미'!$L$5:$L$2004,0)),"")</x:f>
      </x:c>
      <x:c r="K33" t="str">
        <x:f>IF(B33="","",IF(I33="확인 필요","붙임 문서 확인 후 거래 성격·기간·상대방·일회성 여부 확인","결의서명과 전기 대비 발생 건수·단가·시점 차이 검토"))</x:f>
      </x:c>
    </x:row>
    <x:row r="34">
      <x:c r="A34" t="str">
        <x:f>IFERROR(INDEX('계산도우미'!$A$5:$A$2004,MATCH(ROWS($A$6:A34),'계산도우미'!$L$5:$L$2004,0)),"")</x:f>
      </x:c>
      <x:c r="B34" t="str">
        <x:f>IFERROR(INDEX('계산도우미'!$B$5:$B$2004,MATCH(ROWS($A$6:A34),'계산도우미'!$L$5:$L$2004,0)),"")</x:f>
      </x:c>
      <x:c r="C34" t="str">
        <x:f>IFERROR(INDEX('계산도우미'!$C$5:$C$2004,MATCH(ROWS($A$6:A34),'계산도우미'!$L$5:$L$2004,0)),"")</x:f>
      </x:c>
      <x:c r="D34" s="67" t="str">
        <x:f>IFERROR(INDEX('계산도우미'!$D$5:$D$2004,MATCH(ROWS($A$6:A34),'계산도우미'!$L$5:$L$2004,0)),"")</x:f>
      </x:c>
      <x:c r="E34" t="str">
        <x:f>IFERROR(INDEX('계산도우미'!$E$5:$E$2004,MATCH(ROWS($A$6:A34),'계산도우미'!$L$5:$L$2004,0)),"")</x:f>
      </x:c>
      <x:c r="F34" t="str">
        <x:f>IFERROR(INDEX('계산도우미'!$F$5:$F$2004,MATCH(ROWS($A$6:A34),'계산도우미'!$L$5:$L$2004,0)),"")</x:f>
      </x:c>
      <x:c r="G34" s="68" t="str">
        <x:f>IFERROR(INDEX('계산도우미'!$G$5:$G$2004,MATCH(ROWS($A$6:A34),'계산도우미'!$L$5:$L$2004,0)),"")</x:f>
      </x:c>
      <x:c r="H34" t="str">
        <x:f>IFERROR(INDEX('계산도우미'!$H$5:$H$2004,MATCH(ROWS($A$6:A34),'계산도우미'!$L$5:$L$2004,0)),"")</x:f>
      </x:c>
      <x:c r="I34" t="str">
        <x:f>IFERROR(INDEX('계산도우미'!$I$5:$I$2004,MATCH(ROWS($A$6:A34),'계산도우미'!$L$5:$L$2004,0)),"")</x:f>
      </x:c>
      <x:c r="J34" t="str">
        <x:f>IFERROR(INDEX('계산도우미'!$J$5:$J$2004,MATCH(ROWS($A$6:A34),'계산도우미'!$L$5:$L$2004,0)),"")</x:f>
      </x:c>
      <x:c r="K34" t="str">
        <x:f>IF(B34="","",IF(I34="확인 필요","붙임 문서 확인 후 거래 성격·기간·상대방·일회성 여부 확인","결의서명과 전기 대비 발생 건수·단가·시점 차이 검토"))</x:f>
      </x:c>
    </x:row>
    <x:row r="35">
      <x:c r="A35" t="str">
        <x:f>IFERROR(INDEX('계산도우미'!$A$5:$A$2004,MATCH(ROWS($A$6:A35),'계산도우미'!$L$5:$L$2004,0)),"")</x:f>
      </x:c>
      <x:c r="B35" t="str">
        <x:f>IFERROR(INDEX('계산도우미'!$B$5:$B$2004,MATCH(ROWS($A$6:A35),'계산도우미'!$L$5:$L$2004,0)),"")</x:f>
      </x:c>
      <x:c r="C35" t="str">
        <x:f>IFERROR(INDEX('계산도우미'!$C$5:$C$2004,MATCH(ROWS($A$6:A35),'계산도우미'!$L$5:$L$2004,0)),"")</x:f>
      </x:c>
      <x:c r="D35" s="67" t="str">
        <x:f>IFERROR(INDEX('계산도우미'!$D$5:$D$2004,MATCH(ROWS($A$6:A35),'계산도우미'!$L$5:$L$2004,0)),"")</x:f>
      </x:c>
      <x:c r="E35" t="str">
        <x:f>IFERROR(INDEX('계산도우미'!$E$5:$E$2004,MATCH(ROWS($A$6:A35),'계산도우미'!$L$5:$L$2004,0)),"")</x:f>
      </x:c>
      <x:c r="F35" t="str">
        <x:f>IFERROR(INDEX('계산도우미'!$F$5:$F$2004,MATCH(ROWS($A$6:A35),'계산도우미'!$L$5:$L$2004,0)),"")</x:f>
      </x:c>
      <x:c r="G35" s="68" t="str">
        <x:f>IFERROR(INDEX('계산도우미'!$G$5:$G$2004,MATCH(ROWS($A$6:A35),'계산도우미'!$L$5:$L$2004,0)),"")</x:f>
      </x:c>
      <x:c r="H35" t="str">
        <x:f>IFERROR(INDEX('계산도우미'!$H$5:$H$2004,MATCH(ROWS($A$6:A35),'계산도우미'!$L$5:$L$2004,0)),"")</x:f>
      </x:c>
      <x:c r="I35" t="str">
        <x:f>IFERROR(INDEX('계산도우미'!$I$5:$I$2004,MATCH(ROWS($A$6:A35),'계산도우미'!$L$5:$L$2004,0)),"")</x:f>
      </x:c>
      <x:c r="J35" t="str">
        <x:f>IFERROR(INDEX('계산도우미'!$J$5:$J$2004,MATCH(ROWS($A$6:A35),'계산도우미'!$L$5:$L$2004,0)),"")</x:f>
      </x:c>
      <x:c r="K35" t="str">
        <x:f>IF(B35="","",IF(I35="확인 필요","붙임 문서 확인 후 거래 성격·기간·상대방·일회성 여부 확인","결의서명과 전기 대비 발생 건수·단가·시점 차이 검토"))</x:f>
      </x:c>
    </x:row>
    <x:row r="36">
      <x:c r="A36" t="str">
        <x:f>IFERROR(INDEX('계산도우미'!$A$5:$A$2004,MATCH(ROWS($A$6:A36),'계산도우미'!$L$5:$L$2004,0)),"")</x:f>
      </x:c>
      <x:c r="B36" t="str">
        <x:f>IFERROR(INDEX('계산도우미'!$B$5:$B$2004,MATCH(ROWS($A$6:A36),'계산도우미'!$L$5:$L$2004,0)),"")</x:f>
      </x:c>
      <x:c r="C36" t="str">
        <x:f>IFERROR(INDEX('계산도우미'!$C$5:$C$2004,MATCH(ROWS($A$6:A36),'계산도우미'!$L$5:$L$2004,0)),"")</x:f>
      </x:c>
      <x:c r="D36" s="67" t="str">
        <x:f>IFERROR(INDEX('계산도우미'!$D$5:$D$2004,MATCH(ROWS($A$6:A36),'계산도우미'!$L$5:$L$2004,0)),"")</x:f>
      </x:c>
      <x:c r="E36" t="str">
        <x:f>IFERROR(INDEX('계산도우미'!$E$5:$E$2004,MATCH(ROWS($A$6:A36),'계산도우미'!$L$5:$L$2004,0)),"")</x:f>
      </x:c>
      <x:c r="F36" t="str">
        <x:f>IFERROR(INDEX('계산도우미'!$F$5:$F$2004,MATCH(ROWS($A$6:A36),'계산도우미'!$L$5:$L$2004,0)),"")</x:f>
      </x:c>
      <x:c r="G36" s="68" t="str">
        <x:f>IFERROR(INDEX('계산도우미'!$G$5:$G$2004,MATCH(ROWS($A$6:A36),'계산도우미'!$L$5:$L$2004,0)),"")</x:f>
      </x:c>
      <x:c r="H36" t="str">
        <x:f>IFERROR(INDEX('계산도우미'!$H$5:$H$2004,MATCH(ROWS($A$6:A36),'계산도우미'!$L$5:$L$2004,0)),"")</x:f>
      </x:c>
      <x:c r="I36" t="str">
        <x:f>IFERROR(INDEX('계산도우미'!$I$5:$I$2004,MATCH(ROWS($A$6:A36),'계산도우미'!$L$5:$L$2004,0)),"")</x:f>
      </x:c>
      <x:c r="J36" t="str">
        <x:f>IFERROR(INDEX('계산도우미'!$J$5:$J$2004,MATCH(ROWS($A$6:A36),'계산도우미'!$L$5:$L$2004,0)),"")</x:f>
      </x:c>
      <x:c r="K36" t="str">
        <x:f>IF(B36="","",IF(I36="확인 필요","붙임 문서 확인 후 거래 성격·기간·상대방·일회성 여부 확인","결의서명과 전기 대비 발생 건수·단가·시점 차이 검토"))</x:f>
      </x:c>
    </x:row>
    <x:row r="37">
      <x:c r="A37" t="str">
        <x:f>IFERROR(INDEX('계산도우미'!$A$5:$A$2004,MATCH(ROWS($A$6:A37),'계산도우미'!$L$5:$L$2004,0)),"")</x:f>
      </x:c>
      <x:c r="B37" t="str">
        <x:f>IFERROR(INDEX('계산도우미'!$B$5:$B$2004,MATCH(ROWS($A$6:A37),'계산도우미'!$L$5:$L$2004,0)),"")</x:f>
      </x:c>
      <x:c r="C37" t="str">
        <x:f>IFERROR(INDEX('계산도우미'!$C$5:$C$2004,MATCH(ROWS($A$6:A37),'계산도우미'!$L$5:$L$2004,0)),"")</x:f>
      </x:c>
      <x:c r="D37" s="67" t="str">
        <x:f>IFERROR(INDEX('계산도우미'!$D$5:$D$2004,MATCH(ROWS($A$6:A37),'계산도우미'!$L$5:$L$2004,0)),"")</x:f>
      </x:c>
      <x:c r="E37" t="str">
        <x:f>IFERROR(INDEX('계산도우미'!$E$5:$E$2004,MATCH(ROWS($A$6:A37),'계산도우미'!$L$5:$L$2004,0)),"")</x:f>
      </x:c>
      <x:c r="F37" t="str">
        <x:f>IFERROR(INDEX('계산도우미'!$F$5:$F$2004,MATCH(ROWS($A$6:A37),'계산도우미'!$L$5:$L$2004,0)),"")</x:f>
      </x:c>
      <x:c r="G37" s="68" t="str">
        <x:f>IFERROR(INDEX('계산도우미'!$G$5:$G$2004,MATCH(ROWS($A$6:A37),'계산도우미'!$L$5:$L$2004,0)),"")</x:f>
      </x:c>
      <x:c r="H37" t="str">
        <x:f>IFERROR(INDEX('계산도우미'!$H$5:$H$2004,MATCH(ROWS($A$6:A37),'계산도우미'!$L$5:$L$2004,0)),"")</x:f>
      </x:c>
      <x:c r="I37" t="str">
        <x:f>IFERROR(INDEX('계산도우미'!$I$5:$I$2004,MATCH(ROWS($A$6:A37),'계산도우미'!$L$5:$L$2004,0)),"")</x:f>
      </x:c>
      <x:c r="J37" t="str">
        <x:f>IFERROR(INDEX('계산도우미'!$J$5:$J$2004,MATCH(ROWS($A$6:A37),'계산도우미'!$L$5:$L$2004,0)),"")</x:f>
      </x:c>
      <x:c r="K37" t="str">
        <x:f>IF(B37="","",IF(I37="확인 필요","붙임 문서 확인 후 거래 성격·기간·상대방·일회성 여부 확인","결의서명과 전기 대비 발생 건수·단가·시점 차이 검토"))</x:f>
      </x:c>
    </x:row>
    <x:row r="38">
      <x:c r="A38" t="str">
        <x:f>IFERROR(INDEX('계산도우미'!$A$5:$A$2004,MATCH(ROWS($A$6:A38),'계산도우미'!$L$5:$L$2004,0)),"")</x:f>
      </x:c>
      <x:c r="B38" t="str">
        <x:f>IFERROR(INDEX('계산도우미'!$B$5:$B$2004,MATCH(ROWS($A$6:A38),'계산도우미'!$L$5:$L$2004,0)),"")</x:f>
      </x:c>
      <x:c r="C38" t="str">
        <x:f>IFERROR(INDEX('계산도우미'!$C$5:$C$2004,MATCH(ROWS($A$6:A38),'계산도우미'!$L$5:$L$2004,0)),"")</x:f>
      </x:c>
      <x:c r="D38" s="67" t="str">
        <x:f>IFERROR(INDEX('계산도우미'!$D$5:$D$2004,MATCH(ROWS($A$6:A38),'계산도우미'!$L$5:$L$2004,0)),"")</x:f>
      </x:c>
      <x:c r="E38" t="str">
        <x:f>IFERROR(INDEX('계산도우미'!$E$5:$E$2004,MATCH(ROWS($A$6:A38),'계산도우미'!$L$5:$L$2004,0)),"")</x:f>
      </x:c>
      <x:c r="F38" t="str">
        <x:f>IFERROR(INDEX('계산도우미'!$F$5:$F$2004,MATCH(ROWS($A$6:A38),'계산도우미'!$L$5:$L$2004,0)),"")</x:f>
      </x:c>
      <x:c r="G38" s="68" t="str">
        <x:f>IFERROR(INDEX('계산도우미'!$G$5:$G$2004,MATCH(ROWS($A$6:A38),'계산도우미'!$L$5:$L$2004,0)),"")</x:f>
      </x:c>
      <x:c r="H38" t="str">
        <x:f>IFERROR(INDEX('계산도우미'!$H$5:$H$2004,MATCH(ROWS($A$6:A38),'계산도우미'!$L$5:$L$2004,0)),"")</x:f>
      </x:c>
      <x:c r="I38" t="str">
        <x:f>IFERROR(INDEX('계산도우미'!$I$5:$I$2004,MATCH(ROWS($A$6:A38),'계산도우미'!$L$5:$L$2004,0)),"")</x:f>
      </x:c>
      <x:c r="J38" t="str">
        <x:f>IFERROR(INDEX('계산도우미'!$J$5:$J$2004,MATCH(ROWS($A$6:A38),'계산도우미'!$L$5:$L$2004,0)),"")</x:f>
      </x:c>
      <x:c r="K38" t="str">
        <x:f>IF(B38="","",IF(I38="확인 필요","붙임 문서 확인 후 거래 성격·기간·상대방·일회성 여부 확인","결의서명과 전기 대비 발생 건수·단가·시점 차이 검토"))</x:f>
      </x:c>
    </x:row>
    <x:row r="39">
      <x:c r="A39" t="str">
        <x:f>IFERROR(INDEX('계산도우미'!$A$5:$A$2004,MATCH(ROWS($A$6:A39),'계산도우미'!$L$5:$L$2004,0)),"")</x:f>
      </x:c>
      <x:c r="B39" t="str">
        <x:f>IFERROR(INDEX('계산도우미'!$B$5:$B$2004,MATCH(ROWS($A$6:A39),'계산도우미'!$L$5:$L$2004,0)),"")</x:f>
      </x:c>
      <x:c r="C39" t="str">
        <x:f>IFERROR(INDEX('계산도우미'!$C$5:$C$2004,MATCH(ROWS($A$6:A39),'계산도우미'!$L$5:$L$2004,0)),"")</x:f>
      </x:c>
      <x:c r="D39" s="67" t="str">
        <x:f>IFERROR(INDEX('계산도우미'!$D$5:$D$2004,MATCH(ROWS($A$6:A39),'계산도우미'!$L$5:$L$2004,0)),"")</x:f>
      </x:c>
      <x:c r="E39" t="str">
        <x:f>IFERROR(INDEX('계산도우미'!$E$5:$E$2004,MATCH(ROWS($A$6:A39),'계산도우미'!$L$5:$L$2004,0)),"")</x:f>
      </x:c>
      <x:c r="F39" t="str">
        <x:f>IFERROR(INDEX('계산도우미'!$F$5:$F$2004,MATCH(ROWS($A$6:A39),'계산도우미'!$L$5:$L$2004,0)),"")</x:f>
      </x:c>
      <x:c r="G39" s="68" t="str">
        <x:f>IFERROR(INDEX('계산도우미'!$G$5:$G$2004,MATCH(ROWS($A$6:A39),'계산도우미'!$L$5:$L$2004,0)),"")</x:f>
      </x:c>
      <x:c r="H39" t="str">
        <x:f>IFERROR(INDEX('계산도우미'!$H$5:$H$2004,MATCH(ROWS($A$6:A39),'계산도우미'!$L$5:$L$2004,0)),"")</x:f>
      </x:c>
      <x:c r="I39" t="str">
        <x:f>IFERROR(INDEX('계산도우미'!$I$5:$I$2004,MATCH(ROWS($A$6:A39),'계산도우미'!$L$5:$L$2004,0)),"")</x:f>
      </x:c>
      <x:c r="J39" t="str">
        <x:f>IFERROR(INDEX('계산도우미'!$J$5:$J$2004,MATCH(ROWS($A$6:A39),'계산도우미'!$L$5:$L$2004,0)),"")</x:f>
      </x:c>
      <x:c r="K39" t="str">
        <x:f>IF(B39="","",IF(I39="확인 필요","붙임 문서 확인 후 거래 성격·기간·상대방·일회성 여부 확인","결의서명과 전기 대비 발생 건수·단가·시점 차이 검토"))</x:f>
      </x:c>
    </x:row>
    <x:row r="40">
      <x:c r="A40" t="str">
        <x:f>IFERROR(INDEX('계산도우미'!$A$5:$A$2004,MATCH(ROWS($A$6:A40),'계산도우미'!$L$5:$L$2004,0)),"")</x:f>
      </x:c>
      <x:c r="B40" t="str">
        <x:f>IFERROR(INDEX('계산도우미'!$B$5:$B$2004,MATCH(ROWS($A$6:A40),'계산도우미'!$L$5:$L$2004,0)),"")</x:f>
      </x:c>
      <x:c r="C40" t="str">
        <x:f>IFERROR(INDEX('계산도우미'!$C$5:$C$2004,MATCH(ROWS($A$6:A40),'계산도우미'!$L$5:$L$2004,0)),"")</x:f>
      </x:c>
      <x:c r="D40" s="67" t="str">
        <x:f>IFERROR(INDEX('계산도우미'!$D$5:$D$2004,MATCH(ROWS($A$6:A40),'계산도우미'!$L$5:$L$2004,0)),"")</x:f>
      </x:c>
      <x:c r="E40" t="str">
        <x:f>IFERROR(INDEX('계산도우미'!$E$5:$E$2004,MATCH(ROWS($A$6:A40),'계산도우미'!$L$5:$L$2004,0)),"")</x:f>
      </x:c>
      <x:c r="F40" t="str">
        <x:f>IFERROR(INDEX('계산도우미'!$F$5:$F$2004,MATCH(ROWS($A$6:A40),'계산도우미'!$L$5:$L$2004,0)),"")</x:f>
      </x:c>
      <x:c r="G40" s="68" t="str">
        <x:f>IFERROR(INDEX('계산도우미'!$G$5:$G$2004,MATCH(ROWS($A$6:A40),'계산도우미'!$L$5:$L$2004,0)),"")</x:f>
      </x:c>
      <x:c r="H40" t="str">
        <x:f>IFERROR(INDEX('계산도우미'!$H$5:$H$2004,MATCH(ROWS($A$6:A40),'계산도우미'!$L$5:$L$2004,0)),"")</x:f>
      </x:c>
      <x:c r="I40" t="str">
        <x:f>IFERROR(INDEX('계산도우미'!$I$5:$I$2004,MATCH(ROWS($A$6:A40),'계산도우미'!$L$5:$L$2004,0)),"")</x:f>
      </x:c>
      <x:c r="J40" t="str">
        <x:f>IFERROR(INDEX('계산도우미'!$J$5:$J$2004,MATCH(ROWS($A$6:A40),'계산도우미'!$L$5:$L$2004,0)),"")</x:f>
      </x:c>
      <x:c r="K40" t="str">
        <x:f>IF(B40="","",IF(I40="확인 필요","붙임 문서 확인 후 거래 성격·기간·상대방·일회성 여부 확인","결의서명과 전기 대비 발생 건수·단가·시점 차이 검토"))</x:f>
      </x:c>
    </x:row>
    <x:row r="41">
      <x:c r="A41" t="str">
        <x:f>IFERROR(INDEX('계산도우미'!$A$5:$A$2004,MATCH(ROWS($A$6:A41),'계산도우미'!$L$5:$L$2004,0)),"")</x:f>
      </x:c>
      <x:c r="B41" t="str">
        <x:f>IFERROR(INDEX('계산도우미'!$B$5:$B$2004,MATCH(ROWS($A$6:A41),'계산도우미'!$L$5:$L$2004,0)),"")</x:f>
      </x:c>
      <x:c r="C41" t="str">
        <x:f>IFERROR(INDEX('계산도우미'!$C$5:$C$2004,MATCH(ROWS($A$6:A41),'계산도우미'!$L$5:$L$2004,0)),"")</x:f>
      </x:c>
      <x:c r="D41" s="67" t="str">
        <x:f>IFERROR(INDEX('계산도우미'!$D$5:$D$2004,MATCH(ROWS($A$6:A41),'계산도우미'!$L$5:$L$2004,0)),"")</x:f>
      </x:c>
      <x:c r="E41" t="str">
        <x:f>IFERROR(INDEX('계산도우미'!$E$5:$E$2004,MATCH(ROWS($A$6:A41),'계산도우미'!$L$5:$L$2004,0)),"")</x:f>
      </x:c>
      <x:c r="F41" t="str">
        <x:f>IFERROR(INDEX('계산도우미'!$F$5:$F$2004,MATCH(ROWS($A$6:A41),'계산도우미'!$L$5:$L$2004,0)),"")</x:f>
      </x:c>
      <x:c r="G41" s="68" t="str">
        <x:f>IFERROR(INDEX('계산도우미'!$G$5:$G$2004,MATCH(ROWS($A$6:A41),'계산도우미'!$L$5:$L$2004,0)),"")</x:f>
      </x:c>
      <x:c r="H41" t="str">
        <x:f>IFERROR(INDEX('계산도우미'!$H$5:$H$2004,MATCH(ROWS($A$6:A41),'계산도우미'!$L$5:$L$2004,0)),"")</x:f>
      </x:c>
      <x:c r="I41" t="str">
        <x:f>IFERROR(INDEX('계산도우미'!$I$5:$I$2004,MATCH(ROWS($A$6:A41),'계산도우미'!$L$5:$L$2004,0)),"")</x:f>
      </x:c>
      <x:c r="J41" t="str">
        <x:f>IFERROR(INDEX('계산도우미'!$J$5:$J$2004,MATCH(ROWS($A$6:A41),'계산도우미'!$L$5:$L$2004,0)),"")</x:f>
      </x:c>
      <x:c r="K41" t="str">
        <x:f>IF(B41="","",IF(I41="확인 필요","붙임 문서 확인 후 거래 성격·기간·상대방·일회성 여부 확인","결의서명과 전기 대비 발생 건수·단가·시점 차이 검토"))</x:f>
      </x:c>
    </x:row>
    <x:row r="42">
      <x:c r="A42" t="str">
        <x:f>IFERROR(INDEX('계산도우미'!$A$5:$A$2004,MATCH(ROWS($A$6:A42),'계산도우미'!$L$5:$L$2004,0)),"")</x:f>
      </x:c>
      <x:c r="B42" t="str">
        <x:f>IFERROR(INDEX('계산도우미'!$B$5:$B$2004,MATCH(ROWS($A$6:A42),'계산도우미'!$L$5:$L$2004,0)),"")</x:f>
      </x:c>
      <x:c r="C42" t="str">
        <x:f>IFERROR(INDEX('계산도우미'!$C$5:$C$2004,MATCH(ROWS($A$6:A42),'계산도우미'!$L$5:$L$2004,0)),"")</x:f>
      </x:c>
      <x:c r="D42" s="67" t="str">
        <x:f>IFERROR(INDEX('계산도우미'!$D$5:$D$2004,MATCH(ROWS($A$6:A42),'계산도우미'!$L$5:$L$2004,0)),"")</x:f>
      </x:c>
      <x:c r="E42" t="str">
        <x:f>IFERROR(INDEX('계산도우미'!$E$5:$E$2004,MATCH(ROWS($A$6:A42),'계산도우미'!$L$5:$L$2004,0)),"")</x:f>
      </x:c>
      <x:c r="F42" t="str">
        <x:f>IFERROR(INDEX('계산도우미'!$F$5:$F$2004,MATCH(ROWS($A$6:A42),'계산도우미'!$L$5:$L$2004,0)),"")</x:f>
      </x:c>
      <x:c r="G42" s="68" t="str">
        <x:f>IFERROR(INDEX('계산도우미'!$G$5:$G$2004,MATCH(ROWS($A$6:A42),'계산도우미'!$L$5:$L$2004,0)),"")</x:f>
      </x:c>
      <x:c r="H42" t="str">
        <x:f>IFERROR(INDEX('계산도우미'!$H$5:$H$2004,MATCH(ROWS($A$6:A42),'계산도우미'!$L$5:$L$2004,0)),"")</x:f>
      </x:c>
      <x:c r="I42" t="str">
        <x:f>IFERROR(INDEX('계산도우미'!$I$5:$I$2004,MATCH(ROWS($A$6:A42),'계산도우미'!$L$5:$L$2004,0)),"")</x:f>
      </x:c>
      <x:c r="J42" t="str">
        <x:f>IFERROR(INDEX('계산도우미'!$J$5:$J$2004,MATCH(ROWS($A$6:A42),'계산도우미'!$L$5:$L$2004,0)),"")</x:f>
      </x:c>
      <x:c r="K42" t="str">
        <x:f>IF(B42="","",IF(I42="확인 필요","붙임 문서 확인 후 거래 성격·기간·상대방·일회성 여부 확인","결의서명과 전기 대비 발생 건수·단가·시점 차이 검토"))</x:f>
      </x:c>
    </x:row>
    <x:row r="43">
      <x:c r="A43" t="str">
        <x:f>IFERROR(INDEX('계산도우미'!$A$5:$A$2004,MATCH(ROWS($A$6:A43),'계산도우미'!$L$5:$L$2004,0)),"")</x:f>
      </x:c>
      <x:c r="B43" t="str">
        <x:f>IFERROR(INDEX('계산도우미'!$B$5:$B$2004,MATCH(ROWS($A$6:A43),'계산도우미'!$L$5:$L$2004,0)),"")</x:f>
      </x:c>
      <x:c r="C43" t="str">
        <x:f>IFERROR(INDEX('계산도우미'!$C$5:$C$2004,MATCH(ROWS($A$6:A43),'계산도우미'!$L$5:$L$2004,0)),"")</x:f>
      </x:c>
      <x:c r="D43" s="67" t="str">
        <x:f>IFERROR(INDEX('계산도우미'!$D$5:$D$2004,MATCH(ROWS($A$6:A43),'계산도우미'!$L$5:$L$2004,0)),"")</x:f>
      </x:c>
      <x:c r="E43" t="str">
        <x:f>IFERROR(INDEX('계산도우미'!$E$5:$E$2004,MATCH(ROWS($A$6:A43),'계산도우미'!$L$5:$L$2004,0)),"")</x:f>
      </x:c>
      <x:c r="F43" t="str">
        <x:f>IFERROR(INDEX('계산도우미'!$F$5:$F$2004,MATCH(ROWS($A$6:A43),'계산도우미'!$L$5:$L$2004,0)),"")</x:f>
      </x:c>
      <x:c r="G43" s="68" t="str">
        <x:f>IFERROR(INDEX('계산도우미'!$G$5:$G$2004,MATCH(ROWS($A$6:A43),'계산도우미'!$L$5:$L$2004,0)),"")</x:f>
      </x:c>
      <x:c r="H43" t="str">
        <x:f>IFERROR(INDEX('계산도우미'!$H$5:$H$2004,MATCH(ROWS($A$6:A43),'계산도우미'!$L$5:$L$2004,0)),"")</x:f>
      </x:c>
      <x:c r="I43" t="str">
        <x:f>IFERROR(INDEX('계산도우미'!$I$5:$I$2004,MATCH(ROWS($A$6:A43),'계산도우미'!$L$5:$L$2004,0)),"")</x:f>
      </x:c>
      <x:c r="J43" t="str">
        <x:f>IFERROR(INDEX('계산도우미'!$J$5:$J$2004,MATCH(ROWS($A$6:A43),'계산도우미'!$L$5:$L$2004,0)),"")</x:f>
      </x:c>
      <x:c r="K43" t="str">
        <x:f>IF(B43="","",IF(I43="확인 필요","붙임 문서 확인 후 거래 성격·기간·상대방·일회성 여부 확인","결의서명과 전기 대비 발생 건수·단가·시점 차이 검토"))</x:f>
      </x:c>
    </x:row>
    <x:row r="44">
      <x:c r="A44" t="str">
        <x:f>IFERROR(INDEX('계산도우미'!$A$5:$A$2004,MATCH(ROWS($A$6:A44),'계산도우미'!$L$5:$L$2004,0)),"")</x:f>
      </x:c>
      <x:c r="B44" t="str">
        <x:f>IFERROR(INDEX('계산도우미'!$B$5:$B$2004,MATCH(ROWS($A$6:A44),'계산도우미'!$L$5:$L$2004,0)),"")</x:f>
      </x:c>
      <x:c r="C44" t="str">
        <x:f>IFERROR(INDEX('계산도우미'!$C$5:$C$2004,MATCH(ROWS($A$6:A44),'계산도우미'!$L$5:$L$2004,0)),"")</x:f>
      </x:c>
      <x:c r="D44" s="67" t="str">
        <x:f>IFERROR(INDEX('계산도우미'!$D$5:$D$2004,MATCH(ROWS($A$6:A44),'계산도우미'!$L$5:$L$2004,0)),"")</x:f>
      </x:c>
      <x:c r="E44" t="str">
        <x:f>IFERROR(INDEX('계산도우미'!$E$5:$E$2004,MATCH(ROWS($A$6:A44),'계산도우미'!$L$5:$L$2004,0)),"")</x:f>
      </x:c>
      <x:c r="F44" t="str">
        <x:f>IFERROR(INDEX('계산도우미'!$F$5:$F$2004,MATCH(ROWS($A$6:A44),'계산도우미'!$L$5:$L$2004,0)),"")</x:f>
      </x:c>
      <x:c r="G44" s="68" t="str">
        <x:f>IFERROR(INDEX('계산도우미'!$G$5:$G$2004,MATCH(ROWS($A$6:A44),'계산도우미'!$L$5:$L$2004,0)),"")</x:f>
      </x:c>
      <x:c r="H44" t="str">
        <x:f>IFERROR(INDEX('계산도우미'!$H$5:$H$2004,MATCH(ROWS($A$6:A44),'계산도우미'!$L$5:$L$2004,0)),"")</x:f>
      </x:c>
      <x:c r="I44" t="str">
        <x:f>IFERROR(INDEX('계산도우미'!$I$5:$I$2004,MATCH(ROWS($A$6:A44),'계산도우미'!$L$5:$L$2004,0)),"")</x:f>
      </x:c>
      <x:c r="J44" t="str">
        <x:f>IFERROR(INDEX('계산도우미'!$J$5:$J$2004,MATCH(ROWS($A$6:A44),'계산도우미'!$L$5:$L$2004,0)),"")</x:f>
      </x:c>
      <x:c r="K44" t="str">
        <x:f>IF(B44="","",IF(I44="확인 필요","붙임 문서 확인 후 거래 성격·기간·상대방·일회성 여부 확인","결의서명과 전기 대비 발생 건수·단가·시점 차이 검토"))</x:f>
      </x:c>
    </x:row>
    <x:row r="45">
      <x:c r="A45" t="str">
        <x:f>IFERROR(INDEX('계산도우미'!$A$5:$A$2004,MATCH(ROWS($A$6:A45),'계산도우미'!$L$5:$L$2004,0)),"")</x:f>
      </x:c>
      <x:c r="B45" t="str">
        <x:f>IFERROR(INDEX('계산도우미'!$B$5:$B$2004,MATCH(ROWS($A$6:A45),'계산도우미'!$L$5:$L$2004,0)),"")</x:f>
      </x:c>
      <x:c r="C45" t="str">
        <x:f>IFERROR(INDEX('계산도우미'!$C$5:$C$2004,MATCH(ROWS($A$6:A45),'계산도우미'!$L$5:$L$2004,0)),"")</x:f>
      </x:c>
      <x:c r="D45" s="67" t="str">
        <x:f>IFERROR(INDEX('계산도우미'!$D$5:$D$2004,MATCH(ROWS($A$6:A45),'계산도우미'!$L$5:$L$2004,0)),"")</x:f>
      </x:c>
      <x:c r="E45" t="str">
        <x:f>IFERROR(INDEX('계산도우미'!$E$5:$E$2004,MATCH(ROWS($A$6:A45),'계산도우미'!$L$5:$L$2004,0)),"")</x:f>
      </x:c>
      <x:c r="F45" t="str">
        <x:f>IFERROR(INDEX('계산도우미'!$F$5:$F$2004,MATCH(ROWS($A$6:A45),'계산도우미'!$L$5:$L$2004,0)),"")</x:f>
      </x:c>
      <x:c r="G45" s="68" t="str">
        <x:f>IFERROR(INDEX('계산도우미'!$G$5:$G$2004,MATCH(ROWS($A$6:A45),'계산도우미'!$L$5:$L$2004,0)),"")</x:f>
      </x:c>
      <x:c r="H45" t="str">
        <x:f>IFERROR(INDEX('계산도우미'!$H$5:$H$2004,MATCH(ROWS($A$6:A45),'계산도우미'!$L$5:$L$2004,0)),"")</x:f>
      </x:c>
      <x:c r="I45" t="str">
        <x:f>IFERROR(INDEX('계산도우미'!$I$5:$I$2004,MATCH(ROWS($A$6:A45),'계산도우미'!$L$5:$L$2004,0)),"")</x:f>
      </x:c>
      <x:c r="J45" t="str">
        <x:f>IFERROR(INDEX('계산도우미'!$J$5:$J$2004,MATCH(ROWS($A$6:A45),'계산도우미'!$L$5:$L$2004,0)),"")</x:f>
      </x:c>
      <x:c r="K45" t="str">
        <x:f>IF(B45="","",IF(I45="확인 필요","붙임 문서 확인 후 거래 성격·기간·상대방·일회성 여부 확인","결의서명과 전기 대비 발생 건수·단가·시점 차이 검토"))</x:f>
      </x:c>
    </x:row>
    <x:row r="46">
      <x:c r="A46" t="str">
        <x:f>IFERROR(INDEX('계산도우미'!$A$5:$A$2004,MATCH(ROWS($A$6:A46),'계산도우미'!$L$5:$L$2004,0)),"")</x:f>
      </x:c>
      <x:c r="B46" t="str">
        <x:f>IFERROR(INDEX('계산도우미'!$B$5:$B$2004,MATCH(ROWS($A$6:A46),'계산도우미'!$L$5:$L$2004,0)),"")</x:f>
      </x:c>
      <x:c r="C46" t="str">
        <x:f>IFERROR(INDEX('계산도우미'!$C$5:$C$2004,MATCH(ROWS($A$6:A46),'계산도우미'!$L$5:$L$2004,0)),"")</x:f>
      </x:c>
      <x:c r="D46" s="67" t="str">
        <x:f>IFERROR(INDEX('계산도우미'!$D$5:$D$2004,MATCH(ROWS($A$6:A46),'계산도우미'!$L$5:$L$2004,0)),"")</x:f>
      </x:c>
      <x:c r="E46" t="str">
        <x:f>IFERROR(INDEX('계산도우미'!$E$5:$E$2004,MATCH(ROWS($A$6:A46),'계산도우미'!$L$5:$L$2004,0)),"")</x:f>
      </x:c>
      <x:c r="F46" t="str">
        <x:f>IFERROR(INDEX('계산도우미'!$F$5:$F$2004,MATCH(ROWS($A$6:A46),'계산도우미'!$L$5:$L$2004,0)),"")</x:f>
      </x:c>
      <x:c r="G46" s="68" t="str">
        <x:f>IFERROR(INDEX('계산도우미'!$G$5:$G$2004,MATCH(ROWS($A$6:A46),'계산도우미'!$L$5:$L$2004,0)),"")</x:f>
      </x:c>
      <x:c r="H46" t="str">
        <x:f>IFERROR(INDEX('계산도우미'!$H$5:$H$2004,MATCH(ROWS($A$6:A46),'계산도우미'!$L$5:$L$2004,0)),"")</x:f>
      </x:c>
      <x:c r="I46" t="str">
        <x:f>IFERROR(INDEX('계산도우미'!$I$5:$I$2004,MATCH(ROWS($A$6:A46),'계산도우미'!$L$5:$L$2004,0)),"")</x:f>
      </x:c>
      <x:c r="J46" t="str">
        <x:f>IFERROR(INDEX('계산도우미'!$J$5:$J$2004,MATCH(ROWS($A$6:A46),'계산도우미'!$L$5:$L$2004,0)),"")</x:f>
      </x:c>
      <x:c r="K46" t="str">
        <x:f>IF(B46="","",IF(I46="확인 필요","붙임 문서 확인 후 거래 성격·기간·상대방·일회성 여부 확인","결의서명과 전기 대비 발생 건수·단가·시점 차이 검토"))</x:f>
      </x:c>
    </x:row>
    <x:row r="47">
      <x:c r="A47" t="str">
        <x:f>IFERROR(INDEX('계산도우미'!$A$5:$A$2004,MATCH(ROWS($A$6:A47),'계산도우미'!$L$5:$L$2004,0)),"")</x:f>
      </x:c>
      <x:c r="B47" t="str">
        <x:f>IFERROR(INDEX('계산도우미'!$B$5:$B$2004,MATCH(ROWS($A$6:A47),'계산도우미'!$L$5:$L$2004,0)),"")</x:f>
      </x:c>
      <x:c r="C47" t="str">
        <x:f>IFERROR(INDEX('계산도우미'!$C$5:$C$2004,MATCH(ROWS($A$6:A47),'계산도우미'!$L$5:$L$2004,0)),"")</x:f>
      </x:c>
      <x:c r="D47" s="67" t="str">
        <x:f>IFERROR(INDEX('계산도우미'!$D$5:$D$2004,MATCH(ROWS($A$6:A47),'계산도우미'!$L$5:$L$2004,0)),"")</x:f>
      </x:c>
      <x:c r="E47" t="str">
        <x:f>IFERROR(INDEX('계산도우미'!$E$5:$E$2004,MATCH(ROWS($A$6:A47),'계산도우미'!$L$5:$L$2004,0)),"")</x:f>
      </x:c>
      <x:c r="F47" t="str">
        <x:f>IFERROR(INDEX('계산도우미'!$F$5:$F$2004,MATCH(ROWS($A$6:A47),'계산도우미'!$L$5:$L$2004,0)),"")</x:f>
      </x:c>
      <x:c r="G47" s="68" t="str">
        <x:f>IFERROR(INDEX('계산도우미'!$G$5:$G$2004,MATCH(ROWS($A$6:A47),'계산도우미'!$L$5:$L$2004,0)),"")</x:f>
      </x:c>
      <x:c r="H47" t="str">
        <x:f>IFERROR(INDEX('계산도우미'!$H$5:$H$2004,MATCH(ROWS($A$6:A47),'계산도우미'!$L$5:$L$2004,0)),"")</x:f>
      </x:c>
      <x:c r="I47" t="str">
        <x:f>IFERROR(INDEX('계산도우미'!$I$5:$I$2004,MATCH(ROWS($A$6:A47),'계산도우미'!$L$5:$L$2004,0)),"")</x:f>
      </x:c>
      <x:c r="J47" t="str">
        <x:f>IFERROR(INDEX('계산도우미'!$J$5:$J$2004,MATCH(ROWS($A$6:A47),'계산도우미'!$L$5:$L$2004,0)),"")</x:f>
      </x:c>
      <x:c r="K47" t="str">
        <x:f>IF(B47="","",IF(I47="확인 필요","붙임 문서 확인 후 거래 성격·기간·상대방·일회성 여부 확인","결의서명과 전기 대비 발생 건수·단가·시점 차이 검토"))</x:f>
      </x:c>
    </x:row>
    <x:row r="48">
      <x:c r="A48" t="str">
        <x:f>IFERROR(INDEX('계산도우미'!$A$5:$A$2004,MATCH(ROWS($A$6:A48),'계산도우미'!$L$5:$L$2004,0)),"")</x:f>
      </x:c>
      <x:c r="B48" t="str">
        <x:f>IFERROR(INDEX('계산도우미'!$B$5:$B$2004,MATCH(ROWS($A$6:A48),'계산도우미'!$L$5:$L$2004,0)),"")</x:f>
      </x:c>
      <x:c r="C48" t="str">
        <x:f>IFERROR(INDEX('계산도우미'!$C$5:$C$2004,MATCH(ROWS($A$6:A48),'계산도우미'!$L$5:$L$2004,0)),"")</x:f>
      </x:c>
      <x:c r="D48" s="67" t="str">
        <x:f>IFERROR(INDEX('계산도우미'!$D$5:$D$2004,MATCH(ROWS($A$6:A48),'계산도우미'!$L$5:$L$2004,0)),"")</x:f>
      </x:c>
      <x:c r="E48" t="str">
        <x:f>IFERROR(INDEX('계산도우미'!$E$5:$E$2004,MATCH(ROWS($A$6:A48),'계산도우미'!$L$5:$L$2004,0)),"")</x:f>
      </x:c>
      <x:c r="F48" t="str">
        <x:f>IFERROR(INDEX('계산도우미'!$F$5:$F$2004,MATCH(ROWS($A$6:A48),'계산도우미'!$L$5:$L$2004,0)),"")</x:f>
      </x:c>
      <x:c r="G48" s="68" t="str">
        <x:f>IFERROR(INDEX('계산도우미'!$G$5:$G$2004,MATCH(ROWS($A$6:A48),'계산도우미'!$L$5:$L$2004,0)),"")</x:f>
      </x:c>
      <x:c r="H48" t="str">
        <x:f>IFERROR(INDEX('계산도우미'!$H$5:$H$2004,MATCH(ROWS($A$6:A48),'계산도우미'!$L$5:$L$2004,0)),"")</x:f>
      </x:c>
      <x:c r="I48" t="str">
        <x:f>IFERROR(INDEX('계산도우미'!$I$5:$I$2004,MATCH(ROWS($A$6:A48),'계산도우미'!$L$5:$L$2004,0)),"")</x:f>
      </x:c>
      <x:c r="J48" t="str">
        <x:f>IFERROR(INDEX('계산도우미'!$J$5:$J$2004,MATCH(ROWS($A$6:A48),'계산도우미'!$L$5:$L$2004,0)),"")</x:f>
      </x:c>
      <x:c r="K48" t="str">
        <x:f>IF(B48="","",IF(I48="확인 필요","붙임 문서 확인 후 거래 성격·기간·상대방·일회성 여부 확인","결의서명과 전기 대비 발생 건수·단가·시점 차이 검토"))</x:f>
      </x:c>
    </x:row>
    <x:row r="49">
      <x:c r="A49" t="str">
        <x:f>IFERROR(INDEX('계산도우미'!$A$5:$A$2004,MATCH(ROWS($A$6:A49),'계산도우미'!$L$5:$L$2004,0)),"")</x:f>
      </x:c>
      <x:c r="B49" t="str">
        <x:f>IFERROR(INDEX('계산도우미'!$B$5:$B$2004,MATCH(ROWS($A$6:A49),'계산도우미'!$L$5:$L$2004,0)),"")</x:f>
      </x:c>
      <x:c r="C49" t="str">
        <x:f>IFERROR(INDEX('계산도우미'!$C$5:$C$2004,MATCH(ROWS($A$6:A49),'계산도우미'!$L$5:$L$2004,0)),"")</x:f>
      </x:c>
      <x:c r="D49" s="67" t="str">
        <x:f>IFERROR(INDEX('계산도우미'!$D$5:$D$2004,MATCH(ROWS($A$6:A49),'계산도우미'!$L$5:$L$2004,0)),"")</x:f>
      </x:c>
      <x:c r="E49" t="str">
        <x:f>IFERROR(INDEX('계산도우미'!$E$5:$E$2004,MATCH(ROWS($A$6:A49),'계산도우미'!$L$5:$L$2004,0)),"")</x:f>
      </x:c>
      <x:c r="F49" t="str">
        <x:f>IFERROR(INDEX('계산도우미'!$F$5:$F$2004,MATCH(ROWS($A$6:A49),'계산도우미'!$L$5:$L$2004,0)),"")</x:f>
      </x:c>
      <x:c r="G49" s="68" t="str">
        <x:f>IFERROR(INDEX('계산도우미'!$G$5:$G$2004,MATCH(ROWS($A$6:A49),'계산도우미'!$L$5:$L$2004,0)),"")</x:f>
      </x:c>
      <x:c r="H49" t="str">
        <x:f>IFERROR(INDEX('계산도우미'!$H$5:$H$2004,MATCH(ROWS($A$6:A49),'계산도우미'!$L$5:$L$2004,0)),"")</x:f>
      </x:c>
      <x:c r="I49" t="str">
        <x:f>IFERROR(INDEX('계산도우미'!$I$5:$I$2004,MATCH(ROWS($A$6:A49),'계산도우미'!$L$5:$L$2004,0)),"")</x:f>
      </x:c>
      <x:c r="J49" t="str">
        <x:f>IFERROR(INDEX('계산도우미'!$J$5:$J$2004,MATCH(ROWS($A$6:A49),'계산도우미'!$L$5:$L$2004,0)),"")</x:f>
      </x:c>
      <x:c r="K49" t="str">
        <x:f>IF(B49="","",IF(I49="확인 필요","붙임 문서 확인 후 거래 성격·기간·상대방·일회성 여부 확인","결의서명과 전기 대비 발생 건수·단가·시점 차이 검토"))</x:f>
      </x:c>
    </x:row>
    <x:row r="50">
      <x:c r="A50" t="str">
        <x:f>IFERROR(INDEX('계산도우미'!$A$5:$A$2004,MATCH(ROWS($A$6:A50),'계산도우미'!$L$5:$L$2004,0)),"")</x:f>
      </x:c>
      <x:c r="B50" t="str">
        <x:f>IFERROR(INDEX('계산도우미'!$B$5:$B$2004,MATCH(ROWS($A$6:A50),'계산도우미'!$L$5:$L$2004,0)),"")</x:f>
      </x:c>
      <x:c r="C50" t="str">
        <x:f>IFERROR(INDEX('계산도우미'!$C$5:$C$2004,MATCH(ROWS($A$6:A50),'계산도우미'!$L$5:$L$2004,0)),"")</x:f>
      </x:c>
      <x:c r="D50" s="67" t="str">
        <x:f>IFERROR(INDEX('계산도우미'!$D$5:$D$2004,MATCH(ROWS($A$6:A50),'계산도우미'!$L$5:$L$2004,0)),"")</x:f>
      </x:c>
      <x:c r="E50" t="str">
        <x:f>IFERROR(INDEX('계산도우미'!$E$5:$E$2004,MATCH(ROWS($A$6:A50),'계산도우미'!$L$5:$L$2004,0)),"")</x:f>
      </x:c>
      <x:c r="F50" t="str">
        <x:f>IFERROR(INDEX('계산도우미'!$F$5:$F$2004,MATCH(ROWS($A$6:A50),'계산도우미'!$L$5:$L$2004,0)),"")</x:f>
      </x:c>
      <x:c r="G50" s="68" t="str">
        <x:f>IFERROR(INDEX('계산도우미'!$G$5:$G$2004,MATCH(ROWS($A$6:A50),'계산도우미'!$L$5:$L$2004,0)),"")</x:f>
      </x:c>
      <x:c r="H50" t="str">
        <x:f>IFERROR(INDEX('계산도우미'!$H$5:$H$2004,MATCH(ROWS($A$6:A50),'계산도우미'!$L$5:$L$2004,0)),"")</x:f>
      </x:c>
      <x:c r="I50" t="str">
        <x:f>IFERROR(INDEX('계산도우미'!$I$5:$I$2004,MATCH(ROWS($A$6:A50),'계산도우미'!$L$5:$L$2004,0)),"")</x:f>
      </x:c>
      <x:c r="J50" t="str">
        <x:f>IFERROR(INDEX('계산도우미'!$J$5:$J$2004,MATCH(ROWS($A$6:A50),'계산도우미'!$L$5:$L$2004,0)),"")</x:f>
      </x:c>
      <x:c r="K50" t="str">
        <x:f>IF(B50="","",IF(I50="확인 필요","붙임 문서 확인 후 거래 성격·기간·상대방·일회성 여부 확인","결의서명과 전기 대비 발생 건수·단가·시점 차이 검토"))</x:f>
      </x:c>
    </x:row>
    <x:row r="51">
      <x:c r="A51" t="str">
        <x:f>IFERROR(INDEX('계산도우미'!$A$5:$A$2004,MATCH(ROWS($A$6:A51),'계산도우미'!$L$5:$L$2004,0)),"")</x:f>
      </x:c>
      <x:c r="B51" t="str">
        <x:f>IFERROR(INDEX('계산도우미'!$B$5:$B$2004,MATCH(ROWS($A$6:A51),'계산도우미'!$L$5:$L$2004,0)),"")</x:f>
      </x:c>
      <x:c r="C51" t="str">
        <x:f>IFERROR(INDEX('계산도우미'!$C$5:$C$2004,MATCH(ROWS($A$6:A51),'계산도우미'!$L$5:$L$2004,0)),"")</x:f>
      </x:c>
      <x:c r="D51" s="67" t="str">
        <x:f>IFERROR(INDEX('계산도우미'!$D$5:$D$2004,MATCH(ROWS($A$6:A51),'계산도우미'!$L$5:$L$2004,0)),"")</x:f>
      </x:c>
      <x:c r="E51" t="str">
        <x:f>IFERROR(INDEX('계산도우미'!$E$5:$E$2004,MATCH(ROWS($A$6:A51),'계산도우미'!$L$5:$L$2004,0)),"")</x:f>
      </x:c>
      <x:c r="F51" t="str">
        <x:f>IFERROR(INDEX('계산도우미'!$F$5:$F$2004,MATCH(ROWS($A$6:A51),'계산도우미'!$L$5:$L$2004,0)),"")</x:f>
      </x:c>
      <x:c r="G51" s="68" t="str">
        <x:f>IFERROR(INDEX('계산도우미'!$G$5:$G$2004,MATCH(ROWS($A$6:A51),'계산도우미'!$L$5:$L$2004,0)),"")</x:f>
      </x:c>
      <x:c r="H51" t="str">
        <x:f>IFERROR(INDEX('계산도우미'!$H$5:$H$2004,MATCH(ROWS($A$6:A51),'계산도우미'!$L$5:$L$2004,0)),"")</x:f>
      </x:c>
      <x:c r="I51" t="str">
        <x:f>IFERROR(INDEX('계산도우미'!$I$5:$I$2004,MATCH(ROWS($A$6:A51),'계산도우미'!$L$5:$L$2004,0)),"")</x:f>
      </x:c>
      <x:c r="J51" t="str">
        <x:f>IFERROR(INDEX('계산도우미'!$J$5:$J$2004,MATCH(ROWS($A$6:A51),'계산도우미'!$L$5:$L$2004,0)),"")</x:f>
      </x:c>
      <x:c r="K51" t="str">
        <x:f>IF(B51="","",IF(I51="확인 필요","붙임 문서 확인 후 거래 성격·기간·상대방·일회성 여부 확인","결의서명과 전기 대비 발생 건수·단가·시점 차이 검토"))</x:f>
      </x:c>
    </x:row>
    <x:row r="52">
      <x:c r="A52" t="str">
        <x:f>IFERROR(INDEX('계산도우미'!$A$5:$A$2004,MATCH(ROWS($A$6:A52),'계산도우미'!$L$5:$L$2004,0)),"")</x:f>
      </x:c>
      <x:c r="B52" t="str">
        <x:f>IFERROR(INDEX('계산도우미'!$B$5:$B$2004,MATCH(ROWS($A$6:A52),'계산도우미'!$L$5:$L$2004,0)),"")</x:f>
      </x:c>
      <x:c r="C52" t="str">
        <x:f>IFERROR(INDEX('계산도우미'!$C$5:$C$2004,MATCH(ROWS($A$6:A52),'계산도우미'!$L$5:$L$2004,0)),"")</x:f>
      </x:c>
      <x:c r="D52" s="67" t="str">
        <x:f>IFERROR(INDEX('계산도우미'!$D$5:$D$2004,MATCH(ROWS($A$6:A52),'계산도우미'!$L$5:$L$2004,0)),"")</x:f>
      </x:c>
      <x:c r="E52" t="str">
        <x:f>IFERROR(INDEX('계산도우미'!$E$5:$E$2004,MATCH(ROWS($A$6:A52),'계산도우미'!$L$5:$L$2004,0)),"")</x:f>
      </x:c>
      <x:c r="F52" t="str">
        <x:f>IFERROR(INDEX('계산도우미'!$F$5:$F$2004,MATCH(ROWS($A$6:A52),'계산도우미'!$L$5:$L$2004,0)),"")</x:f>
      </x:c>
      <x:c r="G52" s="68" t="str">
        <x:f>IFERROR(INDEX('계산도우미'!$G$5:$G$2004,MATCH(ROWS($A$6:A52),'계산도우미'!$L$5:$L$2004,0)),"")</x:f>
      </x:c>
      <x:c r="H52" t="str">
        <x:f>IFERROR(INDEX('계산도우미'!$H$5:$H$2004,MATCH(ROWS($A$6:A52),'계산도우미'!$L$5:$L$2004,0)),"")</x:f>
      </x:c>
      <x:c r="I52" t="str">
        <x:f>IFERROR(INDEX('계산도우미'!$I$5:$I$2004,MATCH(ROWS($A$6:A52),'계산도우미'!$L$5:$L$2004,0)),"")</x:f>
      </x:c>
      <x:c r="J52" t="str">
        <x:f>IFERROR(INDEX('계산도우미'!$J$5:$J$2004,MATCH(ROWS($A$6:A52),'계산도우미'!$L$5:$L$2004,0)),"")</x:f>
      </x:c>
      <x:c r="K52" t="str">
        <x:f>IF(B52="","",IF(I52="확인 필요","붙임 문서 확인 후 거래 성격·기간·상대방·일회성 여부 확인","결의서명과 전기 대비 발생 건수·단가·시점 차이 검토"))</x:f>
      </x:c>
    </x:row>
    <x:row r="53">
      <x:c r="A53" t="str">
        <x:f>IFERROR(INDEX('계산도우미'!$A$5:$A$2004,MATCH(ROWS($A$6:A53),'계산도우미'!$L$5:$L$2004,0)),"")</x:f>
      </x:c>
      <x:c r="B53" t="str">
        <x:f>IFERROR(INDEX('계산도우미'!$B$5:$B$2004,MATCH(ROWS($A$6:A53),'계산도우미'!$L$5:$L$2004,0)),"")</x:f>
      </x:c>
      <x:c r="C53" t="str">
        <x:f>IFERROR(INDEX('계산도우미'!$C$5:$C$2004,MATCH(ROWS($A$6:A53),'계산도우미'!$L$5:$L$2004,0)),"")</x:f>
      </x:c>
      <x:c r="D53" s="67" t="str">
        <x:f>IFERROR(INDEX('계산도우미'!$D$5:$D$2004,MATCH(ROWS($A$6:A53),'계산도우미'!$L$5:$L$2004,0)),"")</x:f>
      </x:c>
      <x:c r="E53" t="str">
        <x:f>IFERROR(INDEX('계산도우미'!$E$5:$E$2004,MATCH(ROWS($A$6:A53),'계산도우미'!$L$5:$L$2004,0)),"")</x:f>
      </x:c>
      <x:c r="F53" t="str">
        <x:f>IFERROR(INDEX('계산도우미'!$F$5:$F$2004,MATCH(ROWS($A$6:A53),'계산도우미'!$L$5:$L$2004,0)),"")</x:f>
      </x:c>
      <x:c r="G53" s="68" t="str">
        <x:f>IFERROR(INDEX('계산도우미'!$G$5:$G$2004,MATCH(ROWS($A$6:A53),'계산도우미'!$L$5:$L$2004,0)),"")</x:f>
      </x:c>
      <x:c r="H53" t="str">
        <x:f>IFERROR(INDEX('계산도우미'!$H$5:$H$2004,MATCH(ROWS($A$6:A53),'계산도우미'!$L$5:$L$2004,0)),"")</x:f>
      </x:c>
      <x:c r="I53" t="str">
        <x:f>IFERROR(INDEX('계산도우미'!$I$5:$I$2004,MATCH(ROWS($A$6:A53),'계산도우미'!$L$5:$L$2004,0)),"")</x:f>
      </x:c>
      <x:c r="J53" t="str">
        <x:f>IFERROR(INDEX('계산도우미'!$J$5:$J$2004,MATCH(ROWS($A$6:A53),'계산도우미'!$L$5:$L$2004,0)),"")</x:f>
      </x:c>
      <x:c r="K53" t="str">
        <x:f>IF(B53="","",IF(I53="확인 필요","붙임 문서 확인 후 거래 성격·기간·상대방·일회성 여부 확인","결의서명과 전기 대비 발생 건수·단가·시점 차이 검토"))</x:f>
      </x:c>
    </x:row>
    <x:row r="54">
      <x:c r="A54" t="str">
        <x:f>IFERROR(INDEX('계산도우미'!$A$5:$A$2004,MATCH(ROWS($A$6:A54),'계산도우미'!$L$5:$L$2004,0)),"")</x:f>
      </x:c>
      <x:c r="B54" t="str">
        <x:f>IFERROR(INDEX('계산도우미'!$B$5:$B$2004,MATCH(ROWS($A$6:A54),'계산도우미'!$L$5:$L$2004,0)),"")</x:f>
      </x:c>
      <x:c r="C54" t="str">
        <x:f>IFERROR(INDEX('계산도우미'!$C$5:$C$2004,MATCH(ROWS($A$6:A54),'계산도우미'!$L$5:$L$2004,0)),"")</x:f>
      </x:c>
      <x:c r="D54" s="67" t="str">
        <x:f>IFERROR(INDEX('계산도우미'!$D$5:$D$2004,MATCH(ROWS($A$6:A54),'계산도우미'!$L$5:$L$2004,0)),"")</x:f>
      </x:c>
      <x:c r="E54" t="str">
        <x:f>IFERROR(INDEX('계산도우미'!$E$5:$E$2004,MATCH(ROWS($A$6:A54),'계산도우미'!$L$5:$L$2004,0)),"")</x:f>
      </x:c>
      <x:c r="F54" t="str">
        <x:f>IFERROR(INDEX('계산도우미'!$F$5:$F$2004,MATCH(ROWS($A$6:A54),'계산도우미'!$L$5:$L$2004,0)),"")</x:f>
      </x:c>
      <x:c r="G54" s="68" t="str">
        <x:f>IFERROR(INDEX('계산도우미'!$G$5:$G$2004,MATCH(ROWS($A$6:A54),'계산도우미'!$L$5:$L$2004,0)),"")</x:f>
      </x:c>
      <x:c r="H54" t="str">
        <x:f>IFERROR(INDEX('계산도우미'!$H$5:$H$2004,MATCH(ROWS($A$6:A54),'계산도우미'!$L$5:$L$2004,0)),"")</x:f>
      </x:c>
      <x:c r="I54" t="str">
        <x:f>IFERROR(INDEX('계산도우미'!$I$5:$I$2004,MATCH(ROWS($A$6:A54),'계산도우미'!$L$5:$L$2004,0)),"")</x:f>
      </x:c>
      <x:c r="J54" t="str">
        <x:f>IFERROR(INDEX('계산도우미'!$J$5:$J$2004,MATCH(ROWS($A$6:A54),'계산도우미'!$L$5:$L$2004,0)),"")</x:f>
      </x:c>
      <x:c r="K54" t="str">
        <x:f>IF(B54="","",IF(I54="확인 필요","붙임 문서 확인 후 거래 성격·기간·상대방·일회성 여부 확인","결의서명과 전기 대비 발생 건수·단가·시점 차이 검토"))</x:f>
      </x:c>
    </x:row>
    <x:row r="55">
      <x:c r="A55" t="str">
        <x:f>IFERROR(INDEX('계산도우미'!$A$5:$A$2004,MATCH(ROWS($A$6:A55),'계산도우미'!$L$5:$L$2004,0)),"")</x:f>
      </x:c>
      <x:c r="B55" t="str">
        <x:f>IFERROR(INDEX('계산도우미'!$B$5:$B$2004,MATCH(ROWS($A$6:A55),'계산도우미'!$L$5:$L$2004,0)),"")</x:f>
      </x:c>
      <x:c r="C55" t="str">
        <x:f>IFERROR(INDEX('계산도우미'!$C$5:$C$2004,MATCH(ROWS($A$6:A55),'계산도우미'!$L$5:$L$2004,0)),"")</x:f>
      </x:c>
      <x:c r="D55" s="67" t="str">
        <x:f>IFERROR(INDEX('계산도우미'!$D$5:$D$2004,MATCH(ROWS($A$6:A55),'계산도우미'!$L$5:$L$2004,0)),"")</x:f>
      </x:c>
      <x:c r="E55" t="str">
        <x:f>IFERROR(INDEX('계산도우미'!$E$5:$E$2004,MATCH(ROWS($A$6:A55),'계산도우미'!$L$5:$L$2004,0)),"")</x:f>
      </x:c>
      <x:c r="F55" t="str">
        <x:f>IFERROR(INDEX('계산도우미'!$F$5:$F$2004,MATCH(ROWS($A$6:A55),'계산도우미'!$L$5:$L$2004,0)),"")</x:f>
      </x:c>
      <x:c r="G55" s="68" t="str">
        <x:f>IFERROR(INDEX('계산도우미'!$G$5:$G$2004,MATCH(ROWS($A$6:A55),'계산도우미'!$L$5:$L$2004,0)),"")</x:f>
      </x:c>
      <x:c r="H55" t="str">
        <x:f>IFERROR(INDEX('계산도우미'!$H$5:$H$2004,MATCH(ROWS($A$6:A55),'계산도우미'!$L$5:$L$2004,0)),"")</x:f>
      </x:c>
      <x:c r="I55" t="str">
        <x:f>IFERROR(INDEX('계산도우미'!$I$5:$I$2004,MATCH(ROWS($A$6:A55),'계산도우미'!$L$5:$L$2004,0)),"")</x:f>
      </x:c>
      <x:c r="J55" t="str">
        <x:f>IFERROR(INDEX('계산도우미'!$J$5:$J$2004,MATCH(ROWS($A$6:A55),'계산도우미'!$L$5:$L$2004,0)),"")</x:f>
      </x:c>
      <x:c r="K55" t="str">
        <x:f>IF(B55="","",IF(I55="확인 필요","붙임 문서 확인 후 거래 성격·기간·상대방·일회성 여부 확인","결의서명과 전기 대비 발생 건수·단가·시점 차이 검토"))</x:f>
      </x:c>
    </x:row>
    <x:row r="56">
      <x:c r="A56" t="str">
        <x:f>IFERROR(INDEX('계산도우미'!$A$5:$A$2004,MATCH(ROWS($A$6:A56),'계산도우미'!$L$5:$L$2004,0)),"")</x:f>
      </x:c>
      <x:c r="B56" t="str">
        <x:f>IFERROR(INDEX('계산도우미'!$B$5:$B$2004,MATCH(ROWS($A$6:A56),'계산도우미'!$L$5:$L$2004,0)),"")</x:f>
      </x:c>
      <x:c r="C56" t="str">
        <x:f>IFERROR(INDEX('계산도우미'!$C$5:$C$2004,MATCH(ROWS($A$6:A56),'계산도우미'!$L$5:$L$2004,0)),"")</x:f>
      </x:c>
      <x:c r="D56" s="67" t="str">
        <x:f>IFERROR(INDEX('계산도우미'!$D$5:$D$2004,MATCH(ROWS($A$6:A56),'계산도우미'!$L$5:$L$2004,0)),"")</x:f>
      </x:c>
      <x:c r="E56" t="str">
        <x:f>IFERROR(INDEX('계산도우미'!$E$5:$E$2004,MATCH(ROWS($A$6:A56),'계산도우미'!$L$5:$L$2004,0)),"")</x:f>
      </x:c>
      <x:c r="F56" t="str">
        <x:f>IFERROR(INDEX('계산도우미'!$F$5:$F$2004,MATCH(ROWS($A$6:A56),'계산도우미'!$L$5:$L$2004,0)),"")</x:f>
      </x:c>
      <x:c r="G56" s="68" t="str">
        <x:f>IFERROR(INDEX('계산도우미'!$G$5:$G$2004,MATCH(ROWS($A$6:A56),'계산도우미'!$L$5:$L$2004,0)),"")</x:f>
      </x:c>
      <x:c r="H56" t="str">
        <x:f>IFERROR(INDEX('계산도우미'!$H$5:$H$2004,MATCH(ROWS($A$6:A56),'계산도우미'!$L$5:$L$2004,0)),"")</x:f>
      </x:c>
      <x:c r="I56" t="str">
        <x:f>IFERROR(INDEX('계산도우미'!$I$5:$I$2004,MATCH(ROWS($A$6:A56),'계산도우미'!$L$5:$L$2004,0)),"")</x:f>
      </x:c>
      <x:c r="J56" t="str">
        <x:f>IFERROR(INDEX('계산도우미'!$J$5:$J$2004,MATCH(ROWS($A$6:A56),'계산도우미'!$L$5:$L$2004,0)),"")</x:f>
      </x:c>
      <x:c r="K56" t="str">
        <x:f>IF(B56="","",IF(I56="확인 필요","붙임 문서 확인 후 거래 성격·기간·상대방·일회성 여부 확인","결의서명과 전기 대비 발생 건수·단가·시점 차이 검토"))</x:f>
      </x:c>
    </x:row>
    <x:row r="57">
      <x:c r="A57" t="str">
        <x:f>IFERROR(INDEX('계산도우미'!$A$5:$A$2004,MATCH(ROWS($A$6:A57),'계산도우미'!$L$5:$L$2004,0)),"")</x:f>
      </x:c>
      <x:c r="B57" t="str">
        <x:f>IFERROR(INDEX('계산도우미'!$B$5:$B$2004,MATCH(ROWS($A$6:A57),'계산도우미'!$L$5:$L$2004,0)),"")</x:f>
      </x:c>
      <x:c r="C57" t="str">
        <x:f>IFERROR(INDEX('계산도우미'!$C$5:$C$2004,MATCH(ROWS($A$6:A57),'계산도우미'!$L$5:$L$2004,0)),"")</x:f>
      </x:c>
      <x:c r="D57" s="67" t="str">
        <x:f>IFERROR(INDEX('계산도우미'!$D$5:$D$2004,MATCH(ROWS($A$6:A57),'계산도우미'!$L$5:$L$2004,0)),"")</x:f>
      </x:c>
      <x:c r="E57" t="str">
        <x:f>IFERROR(INDEX('계산도우미'!$E$5:$E$2004,MATCH(ROWS($A$6:A57),'계산도우미'!$L$5:$L$2004,0)),"")</x:f>
      </x:c>
      <x:c r="F57" t="str">
        <x:f>IFERROR(INDEX('계산도우미'!$F$5:$F$2004,MATCH(ROWS($A$6:A57),'계산도우미'!$L$5:$L$2004,0)),"")</x:f>
      </x:c>
      <x:c r="G57" s="68" t="str">
        <x:f>IFERROR(INDEX('계산도우미'!$G$5:$G$2004,MATCH(ROWS($A$6:A57),'계산도우미'!$L$5:$L$2004,0)),"")</x:f>
      </x:c>
      <x:c r="H57" t="str">
        <x:f>IFERROR(INDEX('계산도우미'!$H$5:$H$2004,MATCH(ROWS($A$6:A57),'계산도우미'!$L$5:$L$2004,0)),"")</x:f>
      </x:c>
      <x:c r="I57" t="str">
        <x:f>IFERROR(INDEX('계산도우미'!$I$5:$I$2004,MATCH(ROWS($A$6:A57),'계산도우미'!$L$5:$L$2004,0)),"")</x:f>
      </x:c>
      <x:c r="J57" t="str">
        <x:f>IFERROR(INDEX('계산도우미'!$J$5:$J$2004,MATCH(ROWS($A$6:A57),'계산도우미'!$L$5:$L$2004,0)),"")</x:f>
      </x:c>
      <x:c r="K57" t="str">
        <x:f>IF(B57="","",IF(I57="확인 필요","붙임 문서 확인 후 거래 성격·기간·상대방·일회성 여부 확인","결의서명과 전기 대비 발생 건수·단가·시점 차이 검토"))</x:f>
      </x:c>
    </x:row>
    <x:row r="58">
      <x:c r="A58" t="str">
        <x:f>IFERROR(INDEX('계산도우미'!$A$5:$A$2004,MATCH(ROWS($A$6:A58),'계산도우미'!$L$5:$L$2004,0)),"")</x:f>
      </x:c>
      <x:c r="B58" t="str">
        <x:f>IFERROR(INDEX('계산도우미'!$B$5:$B$2004,MATCH(ROWS($A$6:A58),'계산도우미'!$L$5:$L$2004,0)),"")</x:f>
      </x:c>
      <x:c r="C58" t="str">
        <x:f>IFERROR(INDEX('계산도우미'!$C$5:$C$2004,MATCH(ROWS($A$6:A58),'계산도우미'!$L$5:$L$2004,0)),"")</x:f>
      </x:c>
      <x:c r="D58" s="67" t="str">
        <x:f>IFERROR(INDEX('계산도우미'!$D$5:$D$2004,MATCH(ROWS($A$6:A58),'계산도우미'!$L$5:$L$2004,0)),"")</x:f>
      </x:c>
      <x:c r="E58" t="str">
        <x:f>IFERROR(INDEX('계산도우미'!$E$5:$E$2004,MATCH(ROWS($A$6:A58),'계산도우미'!$L$5:$L$2004,0)),"")</x:f>
      </x:c>
      <x:c r="F58" t="str">
        <x:f>IFERROR(INDEX('계산도우미'!$F$5:$F$2004,MATCH(ROWS($A$6:A58),'계산도우미'!$L$5:$L$2004,0)),"")</x:f>
      </x:c>
      <x:c r="G58" s="68" t="str">
        <x:f>IFERROR(INDEX('계산도우미'!$G$5:$G$2004,MATCH(ROWS($A$6:A58),'계산도우미'!$L$5:$L$2004,0)),"")</x:f>
      </x:c>
      <x:c r="H58" t="str">
        <x:f>IFERROR(INDEX('계산도우미'!$H$5:$H$2004,MATCH(ROWS($A$6:A58),'계산도우미'!$L$5:$L$2004,0)),"")</x:f>
      </x:c>
      <x:c r="I58" t="str">
        <x:f>IFERROR(INDEX('계산도우미'!$I$5:$I$2004,MATCH(ROWS($A$6:A58),'계산도우미'!$L$5:$L$2004,0)),"")</x:f>
      </x:c>
      <x:c r="J58" t="str">
        <x:f>IFERROR(INDEX('계산도우미'!$J$5:$J$2004,MATCH(ROWS($A$6:A58),'계산도우미'!$L$5:$L$2004,0)),"")</x:f>
      </x:c>
      <x:c r="K58" t="str">
        <x:f>IF(B58="","",IF(I58="확인 필요","붙임 문서 확인 후 거래 성격·기간·상대방·일회성 여부 확인","결의서명과 전기 대비 발생 건수·단가·시점 차이 검토"))</x:f>
      </x:c>
    </x:row>
    <x:row r="59">
      <x:c r="A59" t="str">
        <x:f>IFERROR(INDEX('계산도우미'!$A$5:$A$2004,MATCH(ROWS($A$6:A59),'계산도우미'!$L$5:$L$2004,0)),"")</x:f>
      </x:c>
      <x:c r="B59" t="str">
        <x:f>IFERROR(INDEX('계산도우미'!$B$5:$B$2004,MATCH(ROWS($A$6:A59),'계산도우미'!$L$5:$L$2004,0)),"")</x:f>
      </x:c>
      <x:c r="C59" t="str">
        <x:f>IFERROR(INDEX('계산도우미'!$C$5:$C$2004,MATCH(ROWS($A$6:A59),'계산도우미'!$L$5:$L$2004,0)),"")</x:f>
      </x:c>
      <x:c r="D59" s="67" t="str">
        <x:f>IFERROR(INDEX('계산도우미'!$D$5:$D$2004,MATCH(ROWS($A$6:A59),'계산도우미'!$L$5:$L$2004,0)),"")</x:f>
      </x:c>
      <x:c r="E59" t="str">
        <x:f>IFERROR(INDEX('계산도우미'!$E$5:$E$2004,MATCH(ROWS($A$6:A59),'계산도우미'!$L$5:$L$2004,0)),"")</x:f>
      </x:c>
      <x:c r="F59" t="str">
        <x:f>IFERROR(INDEX('계산도우미'!$F$5:$F$2004,MATCH(ROWS($A$6:A59),'계산도우미'!$L$5:$L$2004,0)),"")</x:f>
      </x:c>
      <x:c r="G59" s="68" t="str">
        <x:f>IFERROR(INDEX('계산도우미'!$G$5:$G$2004,MATCH(ROWS($A$6:A59),'계산도우미'!$L$5:$L$2004,0)),"")</x:f>
      </x:c>
      <x:c r="H59" t="str">
        <x:f>IFERROR(INDEX('계산도우미'!$H$5:$H$2004,MATCH(ROWS($A$6:A59),'계산도우미'!$L$5:$L$2004,0)),"")</x:f>
      </x:c>
      <x:c r="I59" t="str">
        <x:f>IFERROR(INDEX('계산도우미'!$I$5:$I$2004,MATCH(ROWS($A$6:A59),'계산도우미'!$L$5:$L$2004,0)),"")</x:f>
      </x:c>
      <x:c r="J59" t="str">
        <x:f>IFERROR(INDEX('계산도우미'!$J$5:$J$2004,MATCH(ROWS($A$6:A59),'계산도우미'!$L$5:$L$2004,0)),"")</x:f>
      </x:c>
      <x:c r="K59" t="str">
        <x:f>IF(B59="","",IF(I59="확인 필요","붙임 문서 확인 후 거래 성격·기간·상대방·일회성 여부 확인","결의서명과 전기 대비 발생 건수·단가·시점 차이 검토"))</x:f>
      </x:c>
    </x:row>
    <x:row r="60">
      <x:c r="A60" t="str">
        <x:f>IFERROR(INDEX('계산도우미'!$A$5:$A$2004,MATCH(ROWS($A$6:A60),'계산도우미'!$L$5:$L$2004,0)),"")</x:f>
      </x:c>
      <x:c r="B60" t="str">
        <x:f>IFERROR(INDEX('계산도우미'!$B$5:$B$2004,MATCH(ROWS($A$6:A60),'계산도우미'!$L$5:$L$2004,0)),"")</x:f>
      </x:c>
      <x:c r="C60" t="str">
        <x:f>IFERROR(INDEX('계산도우미'!$C$5:$C$2004,MATCH(ROWS($A$6:A60),'계산도우미'!$L$5:$L$2004,0)),"")</x:f>
      </x:c>
      <x:c r="D60" s="67" t="str">
        <x:f>IFERROR(INDEX('계산도우미'!$D$5:$D$2004,MATCH(ROWS($A$6:A60),'계산도우미'!$L$5:$L$2004,0)),"")</x:f>
      </x:c>
      <x:c r="E60" t="str">
        <x:f>IFERROR(INDEX('계산도우미'!$E$5:$E$2004,MATCH(ROWS($A$6:A60),'계산도우미'!$L$5:$L$2004,0)),"")</x:f>
      </x:c>
      <x:c r="F60" t="str">
        <x:f>IFERROR(INDEX('계산도우미'!$F$5:$F$2004,MATCH(ROWS($A$6:A60),'계산도우미'!$L$5:$L$2004,0)),"")</x:f>
      </x:c>
      <x:c r="G60" s="68" t="str">
        <x:f>IFERROR(INDEX('계산도우미'!$G$5:$G$2004,MATCH(ROWS($A$6:A60),'계산도우미'!$L$5:$L$2004,0)),"")</x:f>
      </x:c>
      <x:c r="H60" t="str">
        <x:f>IFERROR(INDEX('계산도우미'!$H$5:$H$2004,MATCH(ROWS($A$6:A60),'계산도우미'!$L$5:$L$2004,0)),"")</x:f>
      </x:c>
      <x:c r="I60" t="str">
        <x:f>IFERROR(INDEX('계산도우미'!$I$5:$I$2004,MATCH(ROWS($A$6:A60),'계산도우미'!$L$5:$L$2004,0)),"")</x:f>
      </x:c>
      <x:c r="J60" t="str">
        <x:f>IFERROR(INDEX('계산도우미'!$J$5:$J$2004,MATCH(ROWS($A$6:A60),'계산도우미'!$L$5:$L$2004,0)),"")</x:f>
      </x:c>
      <x:c r="K60" t="str">
        <x:f>IF(B60="","",IF(I60="확인 필요","붙임 문서 확인 후 거래 성격·기간·상대방·일회성 여부 확인","결의서명과 전기 대비 발생 건수·단가·시점 차이 검토"))</x:f>
      </x:c>
    </x:row>
    <x:row r="61">
      <x:c r="A61" t="str">
        <x:f>IFERROR(INDEX('계산도우미'!$A$5:$A$2004,MATCH(ROWS($A$6:A61),'계산도우미'!$L$5:$L$2004,0)),"")</x:f>
      </x:c>
      <x:c r="B61" t="str">
        <x:f>IFERROR(INDEX('계산도우미'!$B$5:$B$2004,MATCH(ROWS($A$6:A61),'계산도우미'!$L$5:$L$2004,0)),"")</x:f>
      </x:c>
      <x:c r="C61" t="str">
        <x:f>IFERROR(INDEX('계산도우미'!$C$5:$C$2004,MATCH(ROWS($A$6:A61),'계산도우미'!$L$5:$L$2004,0)),"")</x:f>
      </x:c>
      <x:c r="D61" s="67" t="str">
        <x:f>IFERROR(INDEX('계산도우미'!$D$5:$D$2004,MATCH(ROWS($A$6:A61),'계산도우미'!$L$5:$L$2004,0)),"")</x:f>
      </x:c>
      <x:c r="E61" t="str">
        <x:f>IFERROR(INDEX('계산도우미'!$E$5:$E$2004,MATCH(ROWS($A$6:A61),'계산도우미'!$L$5:$L$2004,0)),"")</x:f>
      </x:c>
      <x:c r="F61" t="str">
        <x:f>IFERROR(INDEX('계산도우미'!$F$5:$F$2004,MATCH(ROWS($A$6:A61),'계산도우미'!$L$5:$L$2004,0)),"")</x:f>
      </x:c>
      <x:c r="G61" s="68" t="str">
        <x:f>IFERROR(INDEX('계산도우미'!$G$5:$G$2004,MATCH(ROWS($A$6:A61),'계산도우미'!$L$5:$L$2004,0)),"")</x:f>
      </x:c>
      <x:c r="H61" t="str">
        <x:f>IFERROR(INDEX('계산도우미'!$H$5:$H$2004,MATCH(ROWS($A$6:A61),'계산도우미'!$L$5:$L$2004,0)),"")</x:f>
      </x:c>
      <x:c r="I61" t="str">
        <x:f>IFERROR(INDEX('계산도우미'!$I$5:$I$2004,MATCH(ROWS($A$6:A61),'계산도우미'!$L$5:$L$2004,0)),"")</x:f>
      </x:c>
      <x:c r="J61" t="str">
        <x:f>IFERROR(INDEX('계산도우미'!$J$5:$J$2004,MATCH(ROWS($A$6:A61),'계산도우미'!$L$5:$L$2004,0)),"")</x:f>
      </x:c>
      <x:c r="K61" t="str">
        <x:f>IF(B61="","",IF(I61="확인 필요","붙임 문서 확인 후 거래 성격·기간·상대방·일회성 여부 확인","결의서명과 전기 대비 발생 건수·단가·시점 차이 검토"))</x:f>
      </x:c>
    </x:row>
    <x:row r="62">
      <x:c r="A62" t="str">
        <x:f>IFERROR(INDEX('계산도우미'!$A$5:$A$2004,MATCH(ROWS($A$6:A62),'계산도우미'!$L$5:$L$2004,0)),"")</x:f>
      </x:c>
      <x:c r="B62" t="str">
        <x:f>IFERROR(INDEX('계산도우미'!$B$5:$B$2004,MATCH(ROWS($A$6:A62),'계산도우미'!$L$5:$L$2004,0)),"")</x:f>
      </x:c>
      <x:c r="C62" t="str">
        <x:f>IFERROR(INDEX('계산도우미'!$C$5:$C$2004,MATCH(ROWS($A$6:A62),'계산도우미'!$L$5:$L$2004,0)),"")</x:f>
      </x:c>
      <x:c r="D62" s="67" t="str">
        <x:f>IFERROR(INDEX('계산도우미'!$D$5:$D$2004,MATCH(ROWS($A$6:A62),'계산도우미'!$L$5:$L$2004,0)),"")</x:f>
      </x:c>
      <x:c r="E62" t="str">
        <x:f>IFERROR(INDEX('계산도우미'!$E$5:$E$2004,MATCH(ROWS($A$6:A62),'계산도우미'!$L$5:$L$2004,0)),"")</x:f>
      </x:c>
      <x:c r="F62" t="str">
        <x:f>IFERROR(INDEX('계산도우미'!$F$5:$F$2004,MATCH(ROWS($A$6:A62),'계산도우미'!$L$5:$L$2004,0)),"")</x:f>
      </x:c>
      <x:c r="G62" s="68" t="str">
        <x:f>IFERROR(INDEX('계산도우미'!$G$5:$G$2004,MATCH(ROWS($A$6:A62),'계산도우미'!$L$5:$L$2004,0)),"")</x:f>
      </x:c>
      <x:c r="H62" t="str">
        <x:f>IFERROR(INDEX('계산도우미'!$H$5:$H$2004,MATCH(ROWS($A$6:A62),'계산도우미'!$L$5:$L$2004,0)),"")</x:f>
      </x:c>
      <x:c r="I62" t="str">
        <x:f>IFERROR(INDEX('계산도우미'!$I$5:$I$2004,MATCH(ROWS($A$6:A62),'계산도우미'!$L$5:$L$2004,0)),"")</x:f>
      </x:c>
      <x:c r="J62" t="str">
        <x:f>IFERROR(INDEX('계산도우미'!$J$5:$J$2004,MATCH(ROWS($A$6:A62),'계산도우미'!$L$5:$L$2004,0)),"")</x:f>
      </x:c>
      <x:c r="K62" t="str">
        <x:f>IF(B62="","",IF(I62="확인 필요","붙임 문서 확인 후 거래 성격·기간·상대방·일회성 여부 확인","결의서명과 전기 대비 발생 건수·단가·시점 차이 검토"))</x:f>
      </x:c>
    </x:row>
    <x:row r="63">
      <x:c r="A63" t="str">
        <x:f>IFERROR(INDEX('계산도우미'!$A$5:$A$2004,MATCH(ROWS($A$6:A63),'계산도우미'!$L$5:$L$2004,0)),"")</x:f>
      </x:c>
      <x:c r="B63" t="str">
        <x:f>IFERROR(INDEX('계산도우미'!$B$5:$B$2004,MATCH(ROWS($A$6:A63),'계산도우미'!$L$5:$L$2004,0)),"")</x:f>
      </x:c>
      <x:c r="C63" t="str">
        <x:f>IFERROR(INDEX('계산도우미'!$C$5:$C$2004,MATCH(ROWS($A$6:A63),'계산도우미'!$L$5:$L$2004,0)),"")</x:f>
      </x:c>
      <x:c r="D63" s="67" t="str">
        <x:f>IFERROR(INDEX('계산도우미'!$D$5:$D$2004,MATCH(ROWS($A$6:A63),'계산도우미'!$L$5:$L$2004,0)),"")</x:f>
      </x:c>
      <x:c r="E63" t="str">
        <x:f>IFERROR(INDEX('계산도우미'!$E$5:$E$2004,MATCH(ROWS($A$6:A63),'계산도우미'!$L$5:$L$2004,0)),"")</x:f>
      </x:c>
      <x:c r="F63" t="str">
        <x:f>IFERROR(INDEX('계산도우미'!$F$5:$F$2004,MATCH(ROWS($A$6:A63),'계산도우미'!$L$5:$L$2004,0)),"")</x:f>
      </x:c>
      <x:c r="G63" s="68" t="str">
        <x:f>IFERROR(INDEX('계산도우미'!$G$5:$G$2004,MATCH(ROWS($A$6:A63),'계산도우미'!$L$5:$L$2004,0)),"")</x:f>
      </x:c>
      <x:c r="H63" t="str">
        <x:f>IFERROR(INDEX('계산도우미'!$H$5:$H$2004,MATCH(ROWS($A$6:A63),'계산도우미'!$L$5:$L$2004,0)),"")</x:f>
      </x:c>
      <x:c r="I63" t="str">
        <x:f>IFERROR(INDEX('계산도우미'!$I$5:$I$2004,MATCH(ROWS($A$6:A63),'계산도우미'!$L$5:$L$2004,0)),"")</x:f>
      </x:c>
      <x:c r="J63" t="str">
        <x:f>IFERROR(INDEX('계산도우미'!$J$5:$J$2004,MATCH(ROWS($A$6:A63),'계산도우미'!$L$5:$L$2004,0)),"")</x:f>
      </x:c>
      <x:c r="K63" t="str">
        <x:f>IF(B63="","",IF(I63="확인 필요","붙임 문서 확인 후 거래 성격·기간·상대방·일회성 여부 확인","결의서명과 전기 대비 발생 건수·단가·시점 차이 검토"))</x:f>
      </x:c>
    </x:row>
    <x:row r="64">
      <x:c r="A64" t="str">
        <x:f>IFERROR(INDEX('계산도우미'!$A$5:$A$2004,MATCH(ROWS($A$6:A64),'계산도우미'!$L$5:$L$2004,0)),"")</x:f>
      </x:c>
      <x:c r="B64" t="str">
        <x:f>IFERROR(INDEX('계산도우미'!$B$5:$B$2004,MATCH(ROWS($A$6:A64),'계산도우미'!$L$5:$L$2004,0)),"")</x:f>
      </x:c>
      <x:c r="C64" t="str">
        <x:f>IFERROR(INDEX('계산도우미'!$C$5:$C$2004,MATCH(ROWS($A$6:A64),'계산도우미'!$L$5:$L$2004,0)),"")</x:f>
      </x:c>
      <x:c r="D64" s="67" t="str">
        <x:f>IFERROR(INDEX('계산도우미'!$D$5:$D$2004,MATCH(ROWS($A$6:A64),'계산도우미'!$L$5:$L$2004,0)),"")</x:f>
      </x:c>
      <x:c r="E64" t="str">
        <x:f>IFERROR(INDEX('계산도우미'!$E$5:$E$2004,MATCH(ROWS($A$6:A64),'계산도우미'!$L$5:$L$2004,0)),"")</x:f>
      </x:c>
      <x:c r="F64" t="str">
        <x:f>IFERROR(INDEX('계산도우미'!$F$5:$F$2004,MATCH(ROWS($A$6:A64),'계산도우미'!$L$5:$L$2004,0)),"")</x:f>
      </x:c>
      <x:c r="G64" s="68" t="str">
        <x:f>IFERROR(INDEX('계산도우미'!$G$5:$G$2004,MATCH(ROWS($A$6:A64),'계산도우미'!$L$5:$L$2004,0)),"")</x:f>
      </x:c>
      <x:c r="H64" t="str">
        <x:f>IFERROR(INDEX('계산도우미'!$H$5:$H$2004,MATCH(ROWS($A$6:A64),'계산도우미'!$L$5:$L$2004,0)),"")</x:f>
      </x:c>
      <x:c r="I64" t="str">
        <x:f>IFERROR(INDEX('계산도우미'!$I$5:$I$2004,MATCH(ROWS($A$6:A64),'계산도우미'!$L$5:$L$2004,0)),"")</x:f>
      </x:c>
      <x:c r="J64" t="str">
        <x:f>IFERROR(INDEX('계산도우미'!$J$5:$J$2004,MATCH(ROWS($A$6:A64),'계산도우미'!$L$5:$L$2004,0)),"")</x:f>
      </x:c>
      <x:c r="K64" t="str">
        <x:f>IF(B64="","",IF(I64="확인 필요","붙임 문서 확인 후 거래 성격·기간·상대방·일회성 여부 확인","결의서명과 전기 대비 발생 건수·단가·시점 차이 검토"))</x:f>
      </x:c>
    </x:row>
    <x:row r="65">
      <x:c r="A65" t="str">
        <x:f>IFERROR(INDEX('계산도우미'!$A$5:$A$2004,MATCH(ROWS($A$6:A65),'계산도우미'!$L$5:$L$2004,0)),"")</x:f>
      </x:c>
      <x:c r="B65" t="str">
        <x:f>IFERROR(INDEX('계산도우미'!$B$5:$B$2004,MATCH(ROWS($A$6:A65),'계산도우미'!$L$5:$L$2004,0)),"")</x:f>
      </x:c>
      <x:c r="C65" t="str">
        <x:f>IFERROR(INDEX('계산도우미'!$C$5:$C$2004,MATCH(ROWS($A$6:A65),'계산도우미'!$L$5:$L$2004,0)),"")</x:f>
      </x:c>
      <x:c r="D65" s="67" t="str">
        <x:f>IFERROR(INDEX('계산도우미'!$D$5:$D$2004,MATCH(ROWS($A$6:A65),'계산도우미'!$L$5:$L$2004,0)),"")</x:f>
      </x:c>
      <x:c r="E65" t="str">
        <x:f>IFERROR(INDEX('계산도우미'!$E$5:$E$2004,MATCH(ROWS($A$6:A65),'계산도우미'!$L$5:$L$2004,0)),"")</x:f>
      </x:c>
      <x:c r="F65" t="str">
        <x:f>IFERROR(INDEX('계산도우미'!$F$5:$F$2004,MATCH(ROWS($A$6:A65),'계산도우미'!$L$5:$L$2004,0)),"")</x:f>
      </x:c>
      <x:c r="G65" s="68" t="str">
        <x:f>IFERROR(INDEX('계산도우미'!$G$5:$G$2004,MATCH(ROWS($A$6:A65),'계산도우미'!$L$5:$L$2004,0)),"")</x:f>
      </x:c>
      <x:c r="H65" t="str">
        <x:f>IFERROR(INDEX('계산도우미'!$H$5:$H$2004,MATCH(ROWS($A$6:A65),'계산도우미'!$L$5:$L$2004,0)),"")</x:f>
      </x:c>
      <x:c r="I65" t="str">
        <x:f>IFERROR(INDEX('계산도우미'!$I$5:$I$2004,MATCH(ROWS($A$6:A65),'계산도우미'!$L$5:$L$2004,0)),"")</x:f>
      </x:c>
      <x:c r="J65" t="str">
        <x:f>IFERROR(INDEX('계산도우미'!$J$5:$J$2004,MATCH(ROWS($A$6:A65),'계산도우미'!$L$5:$L$2004,0)),"")</x:f>
      </x:c>
      <x:c r="K65" t="str">
        <x:f>IF(B65="","",IF(I65="확인 필요","붙임 문서 확인 후 거래 성격·기간·상대방·일회성 여부 확인","결의서명과 전기 대비 발생 건수·단가·시점 차이 검토"))</x:f>
      </x:c>
    </x:row>
    <x:row r="66">
      <x:c r="A66" t="str">
        <x:f>IFERROR(INDEX('계산도우미'!$A$5:$A$2004,MATCH(ROWS($A$6:A66),'계산도우미'!$L$5:$L$2004,0)),"")</x:f>
      </x:c>
      <x:c r="B66" t="str">
        <x:f>IFERROR(INDEX('계산도우미'!$B$5:$B$2004,MATCH(ROWS($A$6:A66),'계산도우미'!$L$5:$L$2004,0)),"")</x:f>
      </x:c>
      <x:c r="C66" t="str">
        <x:f>IFERROR(INDEX('계산도우미'!$C$5:$C$2004,MATCH(ROWS($A$6:A66),'계산도우미'!$L$5:$L$2004,0)),"")</x:f>
      </x:c>
      <x:c r="D66" s="67" t="str">
        <x:f>IFERROR(INDEX('계산도우미'!$D$5:$D$2004,MATCH(ROWS($A$6:A66),'계산도우미'!$L$5:$L$2004,0)),"")</x:f>
      </x:c>
      <x:c r="E66" t="str">
        <x:f>IFERROR(INDEX('계산도우미'!$E$5:$E$2004,MATCH(ROWS($A$6:A66),'계산도우미'!$L$5:$L$2004,0)),"")</x:f>
      </x:c>
      <x:c r="F66" t="str">
        <x:f>IFERROR(INDEX('계산도우미'!$F$5:$F$2004,MATCH(ROWS($A$6:A66),'계산도우미'!$L$5:$L$2004,0)),"")</x:f>
      </x:c>
      <x:c r="G66" s="68" t="str">
        <x:f>IFERROR(INDEX('계산도우미'!$G$5:$G$2004,MATCH(ROWS($A$6:A66),'계산도우미'!$L$5:$L$2004,0)),"")</x:f>
      </x:c>
      <x:c r="H66" t="str">
        <x:f>IFERROR(INDEX('계산도우미'!$H$5:$H$2004,MATCH(ROWS($A$6:A66),'계산도우미'!$L$5:$L$2004,0)),"")</x:f>
      </x:c>
      <x:c r="I66" t="str">
        <x:f>IFERROR(INDEX('계산도우미'!$I$5:$I$2004,MATCH(ROWS($A$6:A66),'계산도우미'!$L$5:$L$2004,0)),"")</x:f>
      </x:c>
      <x:c r="J66" t="str">
        <x:f>IFERROR(INDEX('계산도우미'!$J$5:$J$2004,MATCH(ROWS($A$6:A66),'계산도우미'!$L$5:$L$2004,0)),"")</x:f>
      </x:c>
      <x:c r="K66" t="str">
        <x:f>IF(B66="","",IF(I66="확인 필요","붙임 문서 확인 후 거래 성격·기간·상대방·일회성 여부 확인","결의서명과 전기 대비 발생 건수·단가·시점 차이 검토"))</x:f>
      </x:c>
    </x:row>
    <x:row r="67">
      <x:c r="A67" t="str">
        <x:f>IFERROR(INDEX('계산도우미'!$A$5:$A$2004,MATCH(ROWS($A$6:A67),'계산도우미'!$L$5:$L$2004,0)),"")</x:f>
      </x:c>
      <x:c r="B67" t="str">
        <x:f>IFERROR(INDEX('계산도우미'!$B$5:$B$2004,MATCH(ROWS($A$6:A67),'계산도우미'!$L$5:$L$2004,0)),"")</x:f>
      </x:c>
      <x:c r="C67" t="str">
        <x:f>IFERROR(INDEX('계산도우미'!$C$5:$C$2004,MATCH(ROWS($A$6:A67),'계산도우미'!$L$5:$L$2004,0)),"")</x:f>
      </x:c>
      <x:c r="D67" s="67" t="str">
        <x:f>IFERROR(INDEX('계산도우미'!$D$5:$D$2004,MATCH(ROWS($A$6:A67),'계산도우미'!$L$5:$L$2004,0)),"")</x:f>
      </x:c>
      <x:c r="E67" t="str">
        <x:f>IFERROR(INDEX('계산도우미'!$E$5:$E$2004,MATCH(ROWS($A$6:A67),'계산도우미'!$L$5:$L$2004,0)),"")</x:f>
      </x:c>
      <x:c r="F67" t="str">
        <x:f>IFERROR(INDEX('계산도우미'!$F$5:$F$2004,MATCH(ROWS($A$6:A67),'계산도우미'!$L$5:$L$2004,0)),"")</x:f>
      </x:c>
      <x:c r="G67" s="68" t="str">
        <x:f>IFERROR(INDEX('계산도우미'!$G$5:$G$2004,MATCH(ROWS($A$6:A67),'계산도우미'!$L$5:$L$2004,0)),"")</x:f>
      </x:c>
      <x:c r="H67" t="str">
        <x:f>IFERROR(INDEX('계산도우미'!$H$5:$H$2004,MATCH(ROWS($A$6:A67),'계산도우미'!$L$5:$L$2004,0)),"")</x:f>
      </x:c>
      <x:c r="I67" t="str">
        <x:f>IFERROR(INDEX('계산도우미'!$I$5:$I$2004,MATCH(ROWS($A$6:A67),'계산도우미'!$L$5:$L$2004,0)),"")</x:f>
      </x:c>
      <x:c r="J67" t="str">
        <x:f>IFERROR(INDEX('계산도우미'!$J$5:$J$2004,MATCH(ROWS($A$6:A67),'계산도우미'!$L$5:$L$2004,0)),"")</x:f>
      </x:c>
      <x:c r="K67" t="str">
        <x:f>IF(B67="","",IF(I67="확인 필요","붙임 문서 확인 후 거래 성격·기간·상대방·일회성 여부 확인","결의서명과 전기 대비 발생 건수·단가·시점 차이 검토"))</x:f>
      </x:c>
    </x:row>
    <x:row r="68">
      <x:c r="A68" t="str">
        <x:f>IFERROR(INDEX('계산도우미'!$A$5:$A$2004,MATCH(ROWS($A$6:A68),'계산도우미'!$L$5:$L$2004,0)),"")</x:f>
      </x:c>
      <x:c r="B68" t="str">
        <x:f>IFERROR(INDEX('계산도우미'!$B$5:$B$2004,MATCH(ROWS($A$6:A68),'계산도우미'!$L$5:$L$2004,0)),"")</x:f>
      </x:c>
      <x:c r="C68" t="str">
        <x:f>IFERROR(INDEX('계산도우미'!$C$5:$C$2004,MATCH(ROWS($A$6:A68),'계산도우미'!$L$5:$L$2004,0)),"")</x:f>
      </x:c>
      <x:c r="D68" s="67" t="str">
        <x:f>IFERROR(INDEX('계산도우미'!$D$5:$D$2004,MATCH(ROWS($A$6:A68),'계산도우미'!$L$5:$L$2004,0)),"")</x:f>
      </x:c>
      <x:c r="E68" t="str">
        <x:f>IFERROR(INDEX('계산도우미'!$E$5:$E$2004,MATCH(ROWS($A$6:A68),'계산도우미'!$L$5:$L$2004,0)),"")</x:f>
      </x:c>
      <x:c r="F68" t="str">
        <x:f>IFERROR(INDEX('계산도우미'!$F$5:$F$2004,MATCH(ROWS($A$6:A68),'계산도우미'!$L$5:$L$2004,0)),"")</x:f>
      </x:c>
      <x:c r="G68" s="68" t="str">
        <x:f>IFERROR(INDEX('계산도우미'!$G$5:$G$2004,MATCH(ROWS($A$6:A68),'계산도우미'!$L$5:$L$2004,0)),"")</x:f>
      </x:c>
      <x:c r="H68" t="str">
        <x:f>IFERROR(INDEX('계산도우미'!$H$5:$H$2004,MATCH(ROWS($A$6:A68),'계산도우미'!$L$5:$L$2004,0)),"")</x:f>
      </x:c>
      <x:c r="I68" t="str">
        <x:f>IFERROR(INDEX('계산도우미'!$I$5:$I$2004,MATCH(ROWS($A$6:A68),'계산도우미'!$L$5:$L$2004,0)),"")</x:f>
      </x:c>
      <x:c r="J68" t="str">
        <x:f>IFERROR(INDEX('계산도우미'!$J$5:$J$2004,MATCH(ROWS($A$6:A68),'계산도우미'!$L$5:$L$2004,0)),"")</x:f>
      </x:c>
      <x:c r="K68" t="str">
        <x:f>IF(B68="","",IF(I68="확인 필요","붙임 문서 확인 후 거래 성격·기간·상대방·일회성 여부 확인","결의서명과 전기 대비 발생 건수·단가·시점 차이 검토"))</x:f>
      </x:c>
    </x:row>
    <x:row r="69">
      <x:c r="A69" t="str">
        <x:f>IFERROR(INDEX('계산도우미'!$A$5:$A$2004,MATCH(ROWS($A$6:A69),'계산도우미'!$L$5:$L$2004,0)),"")</x:f>
      </x:c>
      <x:c r="B69" t="str">
        <x:f>IFERROR(INDEX('계산도우미'!$B$5:$B$2004,MATCH(ROWS($A$6:A69),'계산도우미'!$L$5:$L$2004,0)),"")</x:f>
      </x:c>
      <x:c r="C69" t="str">
        <x:f>IFERROR(INDEX('계산도우미'!$C$5:$C$2004,MATCH(ROWS($A$6:A69),'계산도우미'!$L$5:$L$2004,0)),"")</x:f>
      </x:c>
      <x:c r="D69" s="67" t="str">
        <x:f>IFERROR(INDEX('계산도우미'!$D$5:$D$2004,MATCH(ROWS($A$6:A69),'계산도우미'!$L$5:$L$2004,0)),"")</x:f>
      </x:c>
      <x:c r="E69" t="str">
        <x:f>IFERROR(INDEX('계산도우미'!$E$5:$E$2004,MATCH(ROWS($A$6:A69),'계산도우미'!$L$5:$L$2004,0)),"")</x:f>
      </x:c>
      <x:c r="F69" t="str">
        <x:f>IFERROR(INDEX('계산도우미'!$F$5:$F$2004,MATCH(ROWS($A$6:A69),'계산도우미'!$L$5:$L$2004,0)),"")</x:f>
      </x:c>
      <x:c r="G69" s="68" t="str">
        <x:f>IFERROR(INDEX('계산도우미'!$G$5:$G$2004,MATCH(ROWS($A$6:A69),'계산도우미'!$L$5:$L$2004,0)),"")</x:f>
      </x:c>
      <x:c r="H69" t="str">
        <x:f>IFERROR(INDEX('계산도우미'!$H$5:$H$2004,MATCH(ROWS($A$6:A69),'계산도우미'!$L$5:$L$2004,0)),"")</x:f>
      </x:c>
      <x:c r="I69" t="str">
        <x:f>IFERROR(INDEX('계산도우미'!$I$5:$I$2004,MATCH(ROWS($A$6:A69),'계산도우미'!$L$5:$L$2004,0)),"")</x:f>
      </x:c>
      <x:c r="J69" t="str">
        <x:f>IFERROR(INDEX('계산도우미'!$J$5:$J$2004,MATCH(ROWS($A$6:A69),'계산도우미'!$L$5:$L$2004,0)),"")</x:f>
      </x:c>
      <x:c r="K69" t="str">
        <x:f>IF(B69="","",IF(I69="확인 필요","붙임 문서 확인 후 거래 성격·기간·상대방·일회성 여부 확인","결의서명과 전기 대비 발생 건수·단가·시점 차이 검토"))</x:f>
      </x:c>
    </x:row>
    <x:row r="70">
      <x:c r="A70" t="str">
        <x:f>IFERROR(INDEX('계산도우미'!$A$5:$A$2004,MATCH(ROWS($A$6:A70),'계산도우미'!$L$5:$L$2004,0)),"")</x:f>
      </x:c>
      <x:c r="B70" t="str">
        <x:f>IFERROR(INDEX('계산도우미'!$B$5:$B$2004,MATCH(ROWS($A$6:A70),'계산도우미'!$L$5:$L$2004,0)),"")</x:f>
      </x:c>
      <x:c r="C70" t="str">
        <x:f>IFERROR(INDEX('계산도우미'!$C$5:$C$2004,MATCH(ROWS($A$6:A70),'계산도우미'!$L$5:$L$2004,0)),"")</x:f>
      </x:c>
      <x:c r="D70" s="67" t="str">
        <x:f>IFERROR(INDEX('계산도우미'!$D$5:$D$2004,MATCH(ROWS($A$6:A70),'계산도우미'!$L$5:$L$2004,0)),"")</x:f>
      </x:c>
      <x:c r="E70" t="str">
        <x:f>IFERROR(INDEX('계산도우미'!$E$5:$E$2004,MATCH(ROWS($A$6:A70),'계산도우미'!$L$5:$L$2004,0)),"")</x:f>
      </x:c>
      <x:c r="F70" t="str">
        <x:f>IFERROR(INDEX('계산도우미'!$F$5:$F$2004,MATCH(ROWS($A$6:A70),'계산도우미'!$L$5:$L$2004,0)),"")</x:f>
      </x:c>
      <x:c r="G70" s="68" t="str">
        <x:f>IFERROR(INDEX('계산도우미'!$G$5:$G$2004,MATCH(ROWS($A$6:A70),'계산도우미'!$L$5:$L$2004,0)),"")</x:f>
      </x:c>
      <x:c r="H70" t="str">
        <x:f>IFERROR(INDEX('계산도우미'!$H$5:$H$2004,MATCH(ROWS($A$6:A70),'계산도우미'!$L$5:$L$2004,0)),"")</x:f>
      </x:c>
      <x:c r="I70" t="str">
        <x:f>IFERROR(INDEX('계산도우미'!$I$5:$I$2004,MATCH(ROWS($A$6:A70),'계산도우미'!$L$5:$L$2004,0)),"")</x:f>
      </x:c>
      <x:c r="J70" t="str">
        <x:f>IFERROR(INDEX('계산도우미'!$J$5:$J$2004,MATCH(ROWS($A$6:A70),'계산도우미'!$L$5:$L$2004,0)),"")</x:f>
      </x:c>
      <x:c r="K70" t="str">
        <x:f>IF(B70="","",IF(I70="확인 필요","붙임 문서 확인 후 거래 성격·기간·상대방·일회성 여부 확인","결의서명과 전기 대비 발생 건수·단가·시점 차이 검토"))</x:f>
      </x:c>
    </x:row>
    <x:row r="71">
      <x:c r="A71" t="str">
        <x:f>IFERROR(INDEX('계산도우미'!$A$5:$A$2004,MATCH(ROWS($A$6:A71),'계산도우미'!$L$5:$L$2004,0)),"")</x:f>
      </x:c>
      <x:c r="B71" t="str">
        <x:f>IFERROR(INDEX('계산도우미'!$B$5:$B$2004,MATCH(ROWS($A$6:A71),'계산도우미'!$L$5:$L$2004,0)),"")</x:f>
      </x:c>
      <x:c r="C71" t="str">
        <x:f>IFERROR(INDEX('계산도우미'!$C$5:$C$2004,MATCH(ROWS($A$6:A71),'계산도우미'!$L$5:$L$2004,0)),"")</x:f>
      </x:c>
      <x:c r="D71" s="67" t="str">
        <x:f>IFERROR(INDEX('계산도우미'!$D$5:$D$2004,MATCH(ROWS($A$6:A71),'계산도우미'!$L$5:$L$2004,0)),"")</x:f>
      </x:c>
      <x:c r="E71" t="str">
        <x:f>IFERROR(INDEX('계산도우미'!$E$5:$E$2004,MATCH(ROWS($A$6:A71),'계산도우미'!$L$5:$L$2004,0)),"")</x:f>
      </x:c>
      <x:c r="F71" t="str">
        <x:f>IFERROR(INDEX('계산도우미'!$F$5:$F$2004,MATCH(ROWS($A$6:A71),'계산도우미'!$L$5:$L$2004,0)),"")</x:f>
      </x:c>
      <x:c r="G71" s="68" t="str">
        <x:f>IFERROR(INDEX('계산도우미'!$G$5:$G$2004,MATCH(ROWS($A$6:A71),'계산도우미'!$L$5:$L$2004,0)),"")</x:f>
      </x:c>
      <x:c r="H71" t="str">
        <x:f>IFERROR(INDEX('계산도우미'!$H$5:$H$2004,MATCH(ROWS($A$6:A71),'계산도우미'!$L$5:$L$2004,0)),"")</x:f>
      </x:c>
      <x:c r="I71" t="str">
        <x:f>IFERROR(INDEX('계산도우미'!$I$5:$I$2004,MATCH(ROWS($A$6:A71),'계산도우미'!$L$5:$L$2004,0)),"")</x:f>
      </x:c>
      <x:c r="J71" t="str">
        <x:f>IFERROR(INDEX('계산도우미'!$J$5:$J$2004,MATCH(ROWS($A$6:A71),'계산도우미'!$L$5:$L$2004,0)),"")</x:f>
      </x:c>
      <x:c r="K71" t="str">
        <x:f>IF(B71="","",IF(I71="확인 필요","붙임 문서 확인 후 거래 성격·기간·상대방·일회성 여부 확인","결의서명과 전기 대비 발생 건수·단가·시점 차이 검토"))</x:f>
      </x:c>
    </x:row>
    <x:row r="72">
      <x:c r="A72" t="str">
        <x:f>IFERROR(INDEX('계산도우미'!$A$5:$A$2004,MATCH(ROWS($A$6:A72),'계산도우미'!$L$5:$L$2004,0)),"")</x:f>
      </x:c>
      <x:c r="B72" t="str">
        <x:f>IFERROR(INDEX('계산도우미'!$B$5:$B$2004,MATCH(ROWS($A$6:A72),'계산도우미'!$L$5:$L$2004,0)),"")</x:f>
      </x:c>
      <x:c r="C72" t="str">
        <x:f>IFERROR(INDEX('계산도우미'!$C$5:$C$2004,MATCH(ROWS($A$6:A72),'계산도우미'!$L$5:$L$2004,0)),"")</x:f>
      </x:c>
      <x:c r="D72" s="67" t="str">
        <x:f>IFERROR(INDEX('계산도우미'!$D$5:$D$2004,MATCH(ROWS($A$6:A72),'계산도우미'!$L$5:$L$2004,0)),"")</x:f>
      </x:c>
      <x:c r="E72" t="str">
        <x:f>IFERROR(INDEX('계산도우미'!$E$5:$E$2004,MATCH(ROWS($A$6:A72),'계산도우미'!$L$5:$L$2004,0)),"")</x:f>
      </x:c>
      <x:c r="F72" t="str">
        <x:f>IFERROR(INDEX('계산도우미'!$F$5:$F$2004,MATCH(ROWS($A$6:A72),'계산도우미'!$L$5:$L$2004,0)),"")</x:f>
      </x:c>
      <x:c r="G72" s="68" t="str">
        <x:f>IFERROR(INDEX('계산도우미'!$G$5:$G$2004,MATCH(ROWS($A$6:A72),'계산도우미'!$L$5:$L$2004,0)),"")</x:f>
      </x:c>
      <x:c r="H72" t="str">
        <x:f>IFERROR(INDEX('계산도우미'!$H$5:$H$2004,MATCH(ROWS($A$6:A72),'계산도우미'!$L$5:$L$2004,0)),"")</x:f>
      </x:c>
      <x:c r="I72" t="str">
        <x:f>IFERROR(INDEX('계산도우미'!$I$5:$I$2004,MATCH(ROWS($A$6:A72),'계산도우미'!$L$5:$L$2004,0)),"")</x:f>
      </x:c>
      <x:c r="J72" t="str">
        <x:f>IFERROR(INDEX('계산도우미'!$J$5:$J$2004,MATCH(ROWS($A$6:A72),'계산도우미'!$L$5:$L$2004,0)),"")</x:f>
      </x:c>
      <x:c r="K72" t="str">
        <x:f>IF(B72="","",IF(I72="확인 필요","붙임 문서 확인 후 거래 성격·기간·상대방·일회성 여부 확인","결의서명과 전기 대비 발생 건수·단가·시점 차이 검토"))</x:f>
      </x:c>
    </x:row>
    <x:row r="73">
      <x:c r="A73" t="str">
        <x:f>IFERROR(INDEX('계산도우미'!$A$5:$A$2004,MATCH(ROWS($A$6:A73),'계산도우미'!$L$5:$L$2004,0)),"")</x:f>
      </x:c>
      <x:c r="B73" t="str">
        <x:f>IFERROR(INDEX('계산도우미'!$B$5:$B$2004,MATCH(ROWS($A$6:A73),'계산도우미'!$L$5:$L$2004,0)),"")</x:f>
      </x:c>
      <x:c r="C73" t="str">
        <x:f>IFERROR(INDEX('계산도우미'!$C$5:$C$2004,MATCH(ROWS($A$6:A73),'계산도우미'!$L$5:$L$2004,0)),"")</x:f>
      </x:c>
      <x:c r="D73" s="67" t="str">
        <x:f>IFERROR(INDEX('계산도우미'!$D$5:$D$2004,MATCH(ROWS($A$6:A73),'계산도우미'!$L$5:$L$2004,0)),"")</x:f>
      </x:c>
      <x:c r="E73" t="str">
        <x:f>IFERROR(INDEX('계산도우미'!$E$5:$E$2004,MATCH(ROWS($A$6:A73),'계산도우미'!$L$5:$L$2004,0)),"")</x:f>
      </x:c>
      <x:c r="F73" t="str">
        <x:f>IFERROR(INDEX('계산도우미'!$F$5:$F$2004,MATCH(ROWS($A$6:A73),'계산도우미'!$L$5:$L$2004,0)),"")</x:f>
      </x:c>
      <x:c r="G73" s="68" t="str">
        <x:f>IFERROR(INDEX('계산도우미'!$G$5:$G$2004,MATCH(ROWS($A$6:A73),'계산도우미'!$L$5:$L$2004,0)),"")</x:f>
      </x:c>
      <x:c r="H73" t="str">
        <x:f>IFERROR(INDEX('계산도우미'!$H$5:$H$2004,MATCH(ROWS($A$6:A73),'계산도우미'!$L$5:$L$2004,0)),"")</x:f>
      </x:c>
      <x:c r="I73" t="str">
        <x:f>IFERROR(INDEX('계산도우미'!$I$5:$I$2004,MATCH(ROWS($A$6:A73),'계산도우미'!$L$5:$L$2004,0)),"")</x:f>
      </x:c>
      <x:c r="J73" t="str">
        <x:f>IFERROR(INDEX('계산도우미'!$J$5:$J$2004,MATCH(ROWS($A$6:A73),'계산도우미'!$L$5:$L$2004,0)),"")</x:f>
      </x:c>
      <x:c r="K73" t="str">
        <x:f>IF(B73="","",IF(I73="확인 필요","붙임 문서 확인 후 거래 성격·기간·상대방·일회성 여부 확인","결의서명과 전기 대비 발생 건수·단가·시점 차이 검토"))</x:f>
      </x:c>
    </x:row>
    <x:row r="74">
      <x:c r="A74" t="str">
        <x:f>IFERROR(INDEX('계산도우미'!$A$5:$A$2004,MATCH(ROWS($A$6:A74),'계산도우미'!$L$5:$L$2004,0)),"")</x:f>
      </x:c>
      <x:c r="B74" t="str">
        <x:f>IFERROR(INDEX('계산도우미'!$B$5:$B$2004,MATCH(ROWS($A$6:A74),'계산도우미'!$L$5:$L$2004,0)),"")</x:f>
      </x:c>
      <x:c r="C74" t="str">
        <x:f>IFERROR(INDEX('계산도우미'!$C$5:$C$2004,MATCH(ROWS($A$6:A74),'계산도우미'!$L$5:$L$2004,0)),"")</x:f>
      </x:c>
      <x:c r="D74" s="67" t="str">
        <x:f>IFERROR(INDEX('계산도우미'!$D$5:$D$2004,MATCH(ROWS($A$6:A74),'계산도우미'!$L$5:$L$2004,0)),"")</x:f>
      </x:c>
      <x:c r="E74" t="str">
        <x:f>IFERROR(INDEX('계산도우미'!$E$5:$E$2004,MATCH(ROWS($A$6:A74),'계산도우미'!$L$5:$L$2004,0)),"")</x:f>
      </x:c>
      <x:c r="F74" t="str">
        <x:f>IFERROR(INDEX('계산도우미'!$F$5:$F$2004,MATCH(ROWS($A$6:A74),'계산도우미'!$L$5:$L$2004,0)),"")</x:f>
      </x:c>
      <x:c r="G74" s="68" t="str">
        <x:f>IFERROR(INDEX('계산도우미'!$G$5:$G$2004,MATCH(ROWS($A$6:A74),'계산도우미'!$L$5:$L$2004,0)),"")</x:f>
      </x:c>
      <x:c r="H74" t="str">
        <x:f>IFERROR(INDEX('계산도우미'!$H$5:$H$2004,MATCH(ROWS($A$6:A74),'계산도우미'!$L$5:$L$2004,0)),"")</x:f>
      </x:c>
      <x:c r="I74" t="str">
        <x:f>IFERROR(INDEX('계산도우미'!$I$5:$I$2004,MATCH(ROWS($A$6:A74),'계산도우미'!$L$5:$L$2004,0)),"")</x:f>
      </x:c>
      <x:c r="J74" t="str">
        <x:f>IFERROR(INDEX('계산도우미'!$J$5:$J$2004,MATCH(ROWS($A$6:A74),'계산도우미'!$L$5:$L$2004,0)),"")</x:f>
      </x:c>
      <x:c r="K74" t="str">
        <x:f>IF(B74="","",IF(I74="확인 필요","붙임 문서 확인 후 거래 성격·기간·상대방·일회성 여부 확인","결의서명과 전기 대비 발생 건수·단가·시점 차이 검토"))</x:f>
      </x:c>
    </x:row>
    <x:row r="75">
      <x:c r="A75" t="str">
        <x:f>IFERROR(INDEX('계산도우미'!$A$5:$A$2004,MATCH(ROWS($A$6:A75),'계산도우미'!$L$5:$L$2004,0)),"")</x:f>
      </x:c>
      <x:c r="B75" t="str">
        <x:f>IFERROR(INDEX('계산도우미'!$B$5:$B$2004,MATCH(ROWS($A$6:A75),'계산도우미'!$L$5:$L$2004,0)),"")</x:f>
      </x:c>
      <x:c r="C75" t="str">
        <x:f>IFERROR(INDEX('계산도우미'!$C$5:$C$2004,MATCH(ROWS($A$6:A75),'계산도우미'!$L$5:$L$2004,0)),"")</x:f>
      </x:c>
      <x:c r="D75" s="67" t="str">
        <x:f>IFERROR(INDEX('계산도우미'!$D$5:$D$2004,MATCH(ROWS($A$6:A75),'계산도우미'!$L$5:$L$2004,0)),"")</x:f>
      </x:c>
      <x:c r="E75" t="str">
        <x:f>IFERROR(INDEX('계산도우미'!$E$5:$E$2004,MATCH(ROWS($A$6:A75),'계산도우미'!$L$5:$L$2004,0)),"")</x:f>
      </x:c>
      <x:c r="F75" t="str">
        <x:f>IFERROR(INDEX('계산도우미'!$F$5:$F$2004,MATCH(ROWS($A$6:A75),'계산도우미'!$L$5:$L$2004,0)),"")</x:f>
      </x:c>
      <x:c r="G75" s="68" t="str">
        <x:f>IFERROR(INDEX('계산도우미'!$G$5:$G$2004,MATCH(ROWS($A$6:A75),'계산도우미'!$L$5:$L$2004,0)),"")</x:f>
      </x:c>
      <x:c r="H75" t="str">
        <x:f>IFERROR(INDEX('계산도우미'!$H$5:$H$2004,MATCH(ROWS($A$6:A75),'계산도우미'!$L$5:$L$2004,0)),"")</x:f>
      </x:c>
      <x:c r="I75" t="str">
        <x:f>IFERROR(INDEX('계산도우미'!$I$5:$I$2004,MATCH(ROWS($A$6:A75),'계산도우미'!$L$5:$L$2004,0)),"")</x:f>
      </x:c>
      <x:c r="J75" t="str">
        <x:f>IFERROR(INDEX('계산도우미'!$J$5:$J$2004,MATCH(ROWS($A$6:A75),'계산도우미'!$L$5:$L$2004,0)),"")</x:f>
      </x:c>
      <x:c r="K75" t="str">
        <x:f>IF(B75="","",IF(I75="확인 필요","붙임 문서 확인 후 거래 성격·기간·상대방·일회성 여부 확인","결의서명과 전기 대비 발생 건수·단가·시점 차이 검토"))</x:f>
      </x:c>
    </x:row>
    <x:row r="76">
      <x:c r="A76" t="str">
        <x:f>IFERROR(INDEX('계산도우미'!$A$5:$A$2004,MATCH(ROWS($A$6:A76),'계산도우미'!$L$5:$L$2004,0)),"")</x:f>
      </x:c>
      <x:c r="B76" t="str">
        <x:f>IFERROR(INDEX('계산도우미'!$B$5:$B$2004,MATCH(ROWS($A$6:A76),'계산도우미'!$L$5:$L$2004,0)),"")</x:f>
      </x:c>
      <x:c r="C76" t="str">
        <x:f>IFERROR(INDEX('계산도우미'!$C$5:$C$2004,MATCH(ROWS($A$6:A76),'계산도우미'!$L$5:$L$2004,0)),"")</x:f>
      </x:c>
      <x:c r="D76" s="67" t="str">
        <x:f>IFERROR(INDEX('계산도우미'!$D$5:$D$2004,MATCH(ROWS($A$6:A76),'계산도우미'!$L$5:$L$2004,0)),"")</x:f>
      </x:c>
      <x:c r="E76" t="str">
        <x:f>IFERROR(INDEX('계산도우미'!$E$5:$E$2004,MATCH(ROWS($A$6:A76),'계산도우미'!$L$5:$L$2004,0)),"")</x:f>
      </x:c>
      <x:c r="F76" t="str">
        <x:f>IFERROR(INDEX('계산도우미'!$F$5:$F$2004,MATCH(ROWS($A$6:A76),'계산도우미'!$L$5:$L$2004,0)),"")</x:f>
      </x:c>
      <x:c r="G76" s="68" t="str">
        <x:f>IFERROR(INDEX('계산도우미'!$G$5:$G$2004,MATCH(ROWS($A$6:A76),'계산도우미'!$L$5:$L$2004,0)),"")</x:f>
      </x:c>
      <x:c r="H76" t="str">
        <x:f>IFERROR(INDEX('계산도우미'!$H$5:$H$2004,MATCH(ROWS($A$6:A76),'계산도우미'!$L$5:$L$2004,0)),"")</x:f>
      </x:c>
      <x:c r="I76" t="str">
        <x:f>IFERROR(INDEX('계산도우미'!$I$5:$I$2004,MATCH(ROWS($A$6:A76),'계산도우미'!$L$5:$L$2004,0)),"")</x:f>
      </x:c>
      <x:c r="J76" t="str">
        <x:f>IFERROR(INDEX('계산도우미'!$J$5:$J$2004,MATCH(ROWS($A$6:A76),'계산도우미'!$L$5:$L$2004,0)),"")</x:f>
      </x:c>
      <x:c r="K76" t="str">
        <x:f>IF(B76="","",IF(I76="확인 필요","붙임 문서 확인 후 거래 성격·기간·상대방·일회성 여부 확인","결의서명과 전기 대비 발생 건수·단가·시점 차이 검토"))</x:f>
      </x:c>
    </x:row>
    <x:row r="77">
      <x:c r="A77" t="str">
        <x:f>IFERROR(INDEX('계산도우미'!$A$5:$A$2004,MATCH(ROWS($A$6:A77),'계산도우미'!$L$5:$L$2004,0)),"")</x:f>
      </x:c>
      <x:c r="B77" t="str">
        <x:f>IFERROR(INDEX('계산도우미'!$B$5:$B$2004,MATCH(ROWS($A$6:A77),'계산도우미'!$L$5:$L$2004,0)),"")</x:f>
      </x:c>
      <x:c r="C77" t="str">
        <x:f>IFERROR(INDEX('계산도우미'!$C$5:$C$2004,MATCH(ROWS($A$6:A77),'계산도우미'!$L$5:$L$2004,0)),"")</x:f>
      </x:c>
      <x:c r="D77" s="67" t="str">
        <x:f>IFERROR(INDEX('계산도우미'!$D$5:$D$2004,MATCH(ROWS($A$6:A77),'계산도우미'!$L$5:$L$2004,0)),"")</x:f>
      </x:c>
      <x:c r="E77" t="str">
        <x:f>IFERROR(INDEX('계산도우미'!$E$5:$E$2004,MATCH(ROWS($A$6:A77),'계산도우미'!$L$5:$L$2004,0)),"")</x:f>
      </x:c>
      <x:c r="F77" t="str">
        <x:f>IFERROR(INDEX('계산도우미'!$F$5:$F$2004,MATCH(ROWS($A$6:A77),'계산도우미'!$L$5:$L$2004,0)),"")</x:f>
      </x:c>
      <x:c r="G77" s="68" t="str">
        <x:f>IFERROR(INDEX('계산도우미'!$G$5:$G$2004,MATCH(ROWS($A$6:A77),'계산도우미'!$L$5:$L$2004,0)),"")</x:f>
      </x:c>
      <x:c r="H77" t="str">
        <x:f>IFERROR(INDEX('계산도우미'!$H$5:$H$2004,MATCH(ROWS($A$6:A77),'계산도우미'!$L$5:$L$2004,0)),"")</x:f>
      </x:c>
      <x:c r="I77" t="str">
        <x:f>IFERROR(INDEX('계산도우미'!$I$5:$I$2004,MATCH(ROWS($A$6:A77),'계산도우미'!$L$5:$L$2004,0)),"")</x:f>
      </x:c>
      <x:c r="J77" t="str">
        <x:f>IFERROR(INDEX('계산도우미'!$J$5:$J$2004,MATCH(ROWS($A$6:A77),'계산도우미'!$L$5:$L$2004,0)),"")</x:f>
      </x:c>
      <x:c r="K77" t="str">
        <x:f>IF(B77="","",IF(I77="확인 필요","붙임 문서 확인 후 거래 성격·기간·상대방·일회성 여부 확인","결의서명과 전기 대비 발생 건수·단가·시점 차이 검토"))</x:f>
      </x:c>
    </x:row>
    <x:row r="78">
      <x:c r="A78" t="str">
        <x:f>IFERROR(INDEX('계산도우미'!$A$5:$A$2004,MATCH(ROWS($A$6:A78),'계산도우미'!$L$5:$L$2004,0)),"")</x:f>
      </x:c>
      <x:c r="B78" t="str">
        <x:f>IFERROR(INDEX('계산도우미'!$B$5:$B$2004,MATCH(ROWS($A$6:A78),'계산도우미'!$L$5:$L$2004,0)),"")</x:f>
      </x:c>
      <x:c r="C78" t="str">
        <x:f>IFERROR(INDEX('계산도우미'!$C$5:$C$2004,MATCH(ROWS($A$6:A78),'계산도우미'!$L$5:$L$2004,0)),"")</x:f>
      </x:c>
      <x:c r="D78" s="67" t="str">
        <x:f>IFERROR(INDEX('계산도우미'!$D$5:$D$2004,MATCH(ROWS($A$6:A78),'계산도우미'!$L$5:$L$2004,0)),"")</x:f>
      </x:c>
      <x:c r="E78" t="str">
        <x:f>IFERROR(INDEX('계산도우미'!$E$5:$E$2004,MATCH(ROWS($A$6:A78),'계산도우미'!$L$5:$L$2004,0)),"")</x:f>
      </x:c>
      <x:c r="F78" t="str">
        <x:f>IFERROR(INDEX('계산도우미'!$F$5:$F$2004,MATCH(ROWS($A$6:A78),'계산도우미'!$L$5:$L$2004,0)),"")</x:f>
      </x:c>
      <x:c r="G78" s="68" t="str">
        <x:f>IFERROR(INDEX('계산도우미'!$G$5:$G$2004,MATCH(ROWS($A$6:A78),'계산도우미'!$L$5:$L$2004,0)),"")</x:f>
      </x:c>
      <x:c r="H78" t="str">
        <x:f>IFERROR(INDEX('계산도우미'!$H$5:$H$2004,MATCH(ROWS($A$6:A78),'계산도우미'!$L$5:$L$2004,0)),"")</x:f>
      </x:c>
      <x:c r="I78" t="str">
        <x:f>IFERROR(INDEX('계산도우미'!$I$5:$I$2004,MATCH(ROWS($A$6:A78),'계산도우미'!$L$5:$L$2004,0)),"")</x:f>
      </x:c>
      <x:c r="J78" t="str">
        <x:f>IFERROR(INDEX('계산도우미'!$J$5:$J$2004,MATCH(ROWS($A$6:A78),'계산도우미'!$L$5:$L$2004,0)),"")</x:f>
      </x:c>
      <x:c r="K78" t="str">
        <x:f>IF(B78="","",IF(I78="확인 필요","붙임 문서 확인 후 거래 성격·기간·상대방·일회성 여부 확인","결의서명과 전기 대비 발생 건수·단가·시점 차이 검토"))</x:f>
      </x:c>
    </x:row>
    <x:row r="79">
      <x:c r="A79" t="str">
        <x:f>IFERROR(INDEX('계산도우미'!$A$5:$A$2004,MATCH(ROWS($A$6:A79),'계산도우미'!$L$5:$L$2004,0)),"")</x:f>
      </x:c>
      <x:c r="B79" t="str">
        <x:f>IFERROR(INDEX('계산도우미'!$B$5:$B$2004,MATCH(ROWS($A$6:A79),'계산도우미'!$L$5:$L$2004,0)),"")</x:f>
      </x:c>
      <x:c r="C79" t="str">
        <x:f>IFERROR(INDEX('계산도우미'!$C$5:$C$2004,MATCH(ROWS($A$6:A79),'계산도우미'!$L$5:$L$2004,0)),"")</x:f>
      </x:c>
      <x:c r="D79" s="67" t="str">
        <x:f>IFERROR(INDEX('계산도우미'!$D$5:$D$2004,MATCH(ROWS($A$6:A79),'계산도우미'!$L$5:$L$2004,0)),"")</x:f>
      </x:c>
      <x:c r="E79" t="str">
        <x:f>IFERROR(INDEX('계산도우미'!$E$5:$E$2004,MATCH(ROWS($A$6:A79),'계산도우미'!$L$5:$L$2004,0)),"")</x:f>
      </x:c>
      <x:c r="F79" t="str">
        <x:f>IFERROR(INDEX('계산도우미'!$F$5:$F$2004,MATCH(ROWS($A$6:A79),'계산도우미'!$L$5:$L$2004,0)),"")</x:f>
      </x:c>
      <x:c r="G79" s="68" t="str">
        <x:f>IFERROR(INDEX('계산도우미'!$G$5:$G$2004,MATCH(ROWS($A$6:A79),'계산도우미'!$L$5:$L$2004,0)),"")</x:f>
      </x:c>
      <x:c r="H79" t="str">
        <x:f>IFERROR(INDEX('계산도우미'!$H$5:$H$2004,MATCH(ROWS($A$6:A79),'계산도우미'!$L$5:$L$2004,0)),"")</x:f>
      </x:c>
      <x:c r="I79" t="str">
        <x:f>IFERROR(INDEX('계산도우미'!$I$5:$I$2004,MATCH(ROWS($A$6:A79),'계산도우미'!$L$5:$L$2004,0)),"")</x:f>
      </x:c>
      <x:c r="J79" t="str">
        <x:f>IFERROR(INDEX('계산도우미'!$J$5:$J$2004,MATCH(ROWS($A$6:A79),'계산도우미'!$L$5:$L$2004,0)),"")</x:f>
      </x:c>
      <x:c r="K79" t="str">
        <x:f>IF(B79="","",IF(I79="확인 필요","붙임 문서 확인 후 거래 성격·기간·상대방·일회성 여부 확인","결의서명과 전기 대비 발생 건수·단가·시점 차이 검토"))</x:f>
      </x:c>
    </x:row>
    <x:row r="80">
      <x:c r="A80" t="str">
        <x:f>IFERROR(INDEX('계산도우미'!$A$5:$A$2004,MATCH(ROWS($A$6:A80),'계산도우미'!$L$5:$L$2004,0)),"")</x:f>
      </x:c>
      <x:c r="B80" t="str">
        <x:f>IFERROR(INDEX('계산도우미'!$B$5:$B$2004,MATCH(ROWS($A$6:A80),'계산도우미'!$L$5:$L$2004,0)),"")</x:f>
      </x:c>
      <x:c r="C80" t="str">
        <x:f>IFERROR(INDEX('계산도우미'!$C$5:$C$2004,MATCH(ROWS($A$6:A80),'계산도우미'!$L$5:$L$2004,0)),"")</x:f>
      </x:c>
      <x:c r="D80" s="67" t="str">
        <x:f>IFERROR(INDEX('계산도우미'!$D$5:$D$2004,MATCH(ROWS($A$6:A80),'계산도우미'!$L$5:$L$2004,0)),"")</x:f>
      </x:c>
      <x:c r="E80" t="str">
        <x:f>IFERROR(INDEX('계산도우미'!$E$5:$E$2004,MATCH(ROWS($A$6:A80),'계산도우미'!$L$5:$L$2004,0)),"")</x:f>
      </x:c>
      <x:c r="F80" t="str">
        <x:f>IFERROR(INDEX('계산도우미'!$F$5:$F$2004,MATCH(ROWS($A$6:A80),'계산도우미'!$L$5:$L$2004,0)),"")</x:f>
      </x:c>
      <x:c r="G80" s="68" t="str">
        <x:f>IFERROR(INDEX('계산도우미'!$G$5:$G$2004,MATCH(ROWS($A$6:A80),'계산도우미'!$L$5:$L$2004,0)),"")</x:f>
      </x:c>
      <x:c r="H80" t="str">
        <x:f>IFERROR(INDEX('계산도우미'!$H$5:$H$2004,MATCH(ROWS($A$6:A80),'계산도우미'!$L$5:$L$2004,0)),"")</x:f>
      </x:c>
      <x:c r="I80" t="str">
        <x:f>IFERROR(INDEX('계산도우미'!$I$5:$I$2004,MATCH(ROWS($A$6:A80),'계산도우미'!$L$5:$L$2004,0)),"")</x:f>
      </x:c>
      <x:c r="J80" t="str">
        <x:f>IFERROR(INDEX('계산도우미'!$J$5:$J$2004,MATCH(ROWS($A$6:A80),'계산도우미'!$L$5:$L$2004,0)),"")</x:f>
      </x:c>
      <x:c r="K80" t="str">
        <x:f>IF(B80="","",IF(I80="확인 필요","붙임 문서 확인 후 거래 성격·기간·상대방·일회성 여부 확인","결의서명과 전기 대비 발생 건수·단가·시점 차이 검토"))</x:f>
      </x:c>
    </x:row>
    <x:row r="81">
      <x:c r="A81" t="str">
        <x:f>IFERROR(INDEX('계산도우미'!$A$5:$A$2004,MATCH(ROWS($A$6:A81),'계산도우미'!$L$5:$L$2004,0)),"")</x:f>
      </x:c>
      <x:c r="B81" t="str">
        <x:f>IFERROR(INDEX('계산도우미'!$B$5:$B$2004,MATCH(ROWS($A$6:A81),'계산도우미'!$L$5:$L$2004,0)),"")</x:f>
      </x:c>
      <x:c r="C81" t="str">
        <x:f>IFERROR(INDEX('계산도우미'!$C$5:$C$2004,MATCH(ROWS($A$6:A81),'계산도우미'!$L$5:$L$2004,0)),"")</x:f>
      </x:c>
      <x:c r="D81" s="67" t="str">
        <x:f>IFERROR(INDEX('계산도우미'!$D$5:$D$2004,MATCH(ROWS($A$6:A81),'계산도우미'!$L$5:$L$2004,0)),"")</x:f>
      </x:c>
      <x:c r="E81" t="str">
        <x:f>IFERROR(INDEX('계산도우미'!$E$5:$E$2004,MATCH(ROWS($A$6:A81),'계산도우미'!$L$5:$L$2004,0)),"")</x:f>
      </x:c>
      <x:c r="F81" t="str">
        <x:f>IFERROR(INDEX('계산도우미'!$F$5:$F$2004,MATCH(ROWS($A$6:A81),'계산도우미'!$L$5:$L$2004,0)),"")</x:f>
      </x:c>
      <x:c r="G81" s="68" t="str">
        <x:f>IFERROR(INDEX('계산도우미'!$G$5:$G$2004,MATCH(ROWS($A$6:A81),'계산도우미'!$L$5:$L$2004,0)),"")</x:f>
      </x:c>
      <x:c r="H81" t="str">
        <x:f>IFERROR(INDEX('계산도우미'!$H$5:$H$2004,MATCH(ROWS($A$6:A81),'계산도우미'!$L$5:$L$2004,0)),"")</x:f>
      </x:c>
      <x:c r="I81" t="str">
        <x:f>IFERROR(INDEX('계산도우미'!$I$5:$I$2004,MATCH(ROWS($A$6:A81),'계산도우미'!$L$5:$L$2004,0)),"")</x:f>
      </x:c>
      <x:c r="J81" t="str">
        <x:f>IFERROR(INDEX('계산도우미'!$J$5:$J$2004,MATCH(ROWS($A$6:A81),'계산도우미'!$L$5:$L$2004,0)),"")</x:f>
      </x:c>
      <x:c r="K81" t="str">
        <x:f>IF(B81="","",IF(I81="확인 필요","붙임 문서 확인 후 거래 성격·기간·상대방·일회성 여부 확인","결의서명과 전기 대비 발생 건수·단가·시점 차이 검토"))</x:f>
      </x:c>
    </x:row>
    <x:row r="82">
      <x:c r="A82" t="str">
        <x:f>IFERROR(INDEX('계산도우미'!$A$5:$A$2004,MATCH(ROWS($A$6:A82),'계산도우미'!$L$5:$L$2004,0)),"")</x:f>
      </x:c>
      <x:c r="B82" t="str">
        <x:f>IFERROR(INDEX('계산도우미'!$B$5:$B$2004,MATCH(ROWS($A$6:A82),'계산도우미'!$L$5:$L$2004,0)),"")</x:f>
      </x:c>
      <x:c r="C82" t="str">
        <x:f>IFERROR(INDEX('계산도우미'!$C$5:$C$2004,MATCH(ROWS($A$6:A82),'계산도우미'!$L$5:$L$2004,0)),"")</x:f>
      </x:c>
      <x:c r="D82" s="67" t="str">
        <x:f>IFERROR(INDEX('계산도우미'!$D$5:$D$2004,MATCH(ROWS($A$6:A82),'계산도우미'!$L$5:$L$2004,0)),"")</x:f>
      </x:c>
      <x:c r="E82" t="str">
        <x:f>IFERROR(INDEX('계산도우미'!$E$5:$E$2004,MATCH(ROWS($A$6:A82),'계산도우미'!$L$5:$L$2004,0)),"")</x:f>
      </x:c>
      <x:c r="F82" t="str">
        <x:f>IFERROR(INDEX('계산도우미'!$F$5:$F$2004,MATCH(ROWS($A$6:A82),'계산도우미'!$L$5:$L$2004,0)),"")</x:f>
      </x:c>
      <x:c r="G82" s="68" t="str">
        <x:f>IFERROR(INDEX('계산도우미'!$G$5:$G$2004,MATCH(ROWS($A$6:A82),'계산도우미'!$L$5:$L$2004,0)),"")</x:f>
      </x:c>
      <x:c r="H82" t="str">
        <x:f>IFERROR(INDEX('계산도우미'!$H$5:$H$2004,MATCH(ROWS($A$6:A82),'계산도우미'!$L$5:$L$2004,0)),"")</x:f>
      </x:c>
      <x:c r="I82" t="str">
        <x:f>IFERROR(INDEX('계산도우미'!$I$5:$I$2004,MATCH(ROWS($A$6:A82),'계산도우미'!$L$5:$L$2004,0)),"")</x:f>
      </x:c>
      <x:c r="J82" t="str">
        <x:f>IFERROR(INDEX('계산도우미'!$J$5:$J$2004,MATCH(ROWS($A$6:A82),'계산도우미'!$L$5:$L$2004,0)),"")</x:f>
      </x:c>
      <x:c r="K82" t="str">
        <x:f>IF(B82="","",IF(I82="확인 필요","붙임 문서 확인 후 거래 성격·기간·상대방·일회성 여부 확인","결의서명과 전기 대비 발생 건수·단가·시점 차이 검토"))</x:f>
      </x:c>
    </x:row>
    <x:row r="83">
      <x:c r="A83" t="str">
        <x:f>IFERROR(INDEX('계산도우미'!$A$5:$A$2004,MATCH(ROWS($A$6:A83),'계산도우미'!$L$5:$L$2004,0)),"")</x:f>
      </x:c>
      <x:c r="B83" t="str">
        <x:f>IFERROR(INDEX('계산도우미'!$B$5:$B$2004,MATCH(ROWS($A$6:A83),'계산도우미'!$L$5:$L$2004,0)),"")</x:f>
      </x:c>
      <x:c r="C83" t="str">
        <x:f>IFERROR(INDEX('계산도우미'!$C$5:$C$2004,MATCH(ROWS($A$6:A83),'계산도우미'!$L$5:$L$2004,0)),"")</x:f>
      </x:c>
      <x:c r="D83" s="67" t="str">
        <x:f>IFERROR(INDEX('계산도우미'!$D$5:$D$2004,MATCH(ROWS($A$6:A83),'계산도우미'!$L$5:$L$2004,0)),"")</x:f>
      </x:c>
      <x:c r="E83" t="str">
        <x:f>IFERROR(INDEX('계산도우미'!$E$5:$E$2004,MATCH(ROWS($A$6:A83),'계산도우미'!$L$5:$L$2004,0)),"")</x:f>
      </x:c>
      <x:c r="F83" t="str">
        <x:f>IFERROR(INDEX('계산도우미'!$F$5:$F$2004,MATCH(ROWS($A$6:A83),'계산도우미'!$L$5:$L$2004,0)),"")</x:f>
      </x:c>
      <x:c r="G83" s="68" t="str">
        <x:f>IFERROR(INDEX('계산도우미'!$G$5:$G$2004,MATCH(ROWS($A$6:A83),'계산도우미'!$L$5:$L$2004,0)),"")</x:f>
      </x:c>
      <x:c r="H83" t="str">
        <x:f>IFERROR(INDEX('계산도우미'!$H$5:$H$2004,MATCH(ROWS($A$6:A83),'계산도우미'!$L$5:$L$2004,0)),"")</x:f>
      </x:c>
      <x:c r="I83" t="str">
        <x:f>IFERROR(INDEX('계산도우미'!$I$5:$I$2004,MATCH(ROWS($A$6:A83),'계산도우미'!$L$5:$L$2004,0)),"")</x:f>
      </x:c>
      <x:c r="J83" t="str">
        <x:f>IFERROR(INDEX('계산도우미'!$J$5:$J$2004,MATCH(ROWS($A$6:A83),'계산도우미'!$L$5:$L$2004,0)),"")</x:f>
      </x:c>
      <x:c r="K83" t="str">
        <x:f>IF(B83="","",IF(I83="확인 필요","붙임 문서 확인 후 거래 성격·기간·상대방·일회성 여부 확인","결의서명과 전기 대비 발생 건수·단가·시점 차이 검토"))</x:f>
      </x:c>
    </x:row>
    <x:row r="84">
      <x:c r="A84" t="str">
        <x:f>IFERROR(INDEX('계산도우미'!$A$5:$A$2004,MATCH(ROWS($A$6:A84),'계산도우미'!$L$5:$L$2004,0)),"")</x:f>
      </x:c>
      <x:c r="B84" t="str">
        <x:f>IFERROR(INDEX('계산도우미'!$B$5:$B$2004,MATCH(ROWS($A$6:A84),'계산도우미'!$L$5:$L$2004,0)),"")</x:f>
      </x:c>
      <x:c r="C84" t="str">
        <x:f>IFERROR(INDEX('계산도우미'!$C$5:$C$2004,MATCH(ROWS($A$6:A84),'계산도우미'!$L$5:$L$2004,0)),"")</x:f>
      </x:c>
      <x:c r="D84" s="67" t="str">
        <x:f>IFERROR(INDEX('계산도우미'!$D$5:$D$2004,MATCH(ROWS($A$6:A84),'계산도우미'!$L$5:$L$2004,0)),"")</x:f>
      </x:c>
      <x:c r="E84" t="str">
        <x:f>IFERROR(INDEX('계산도우미'!$E$5:$E$2004,MATCH(ROWS($A$6:A84),'계산도우미'!$L$5:$L$2004,0)),"")</x:f>
      </x:c>
      <x:c r="F84" t="str">
        <x:f>IFERROR(INDEX('계산도우미'!$F$5:$F$2004,MATCH(ROWS($A$6:A84),'계산도우미'!$L$5:$L$2004,0)),"")</x:f>
      </x:c>
      <x:c r="G84" s="68" t="str">
        <x:f>IFERROR(INDEX('계산도우미'!$G$5:$G$2004,MATCH(ROWS($A$6:A84),'계산도우미'!$L$5:$L$2004,0)),"")</x:f>
      </x:c>
      <x:c r="H84" t="str">
        <x:f>IFERROR(INDEX('계산도우미'!$H$5:$H$2004,MATCH(ROWS($A$6:A84),'계산도우미'!$L$5:$L$2004,0)),"")</x:f>
      </x:c>
      <x:c r="I84" t="str">
        <x:f>IFERROR(INDEX('계산도우미'!$I$5:$I$2004,MATCH(ROWS($A$6:A84),'계산도우미'!$L$5:$L$2004,0)),"")</x:f>
      </x:c>
      <x:c r="J84" t="str">
        <x:f>IFERROR(INDEX('계산도우미'!$J$5:$J$2004,MATCH(ROWS($A$6:A84),'계산도우미'!$L$5:$L$2004,0)),"")</x:f>
      </x:c>
      <x:c r="K84" t="str">
        <x:f>IF(B84="","",IF(I84="확인 필요","붙임 문서 확인 후 거래 성격·기간·상대방·일회성 여부 확인","결의서명과 전기 대비 발생 건수·단가·시점 차이 검토"))</x:f>
      </x:c>
    </x:row>
    <x:row r="85">
      <x:c r="A85" t="str">
        <x:f>IFERROR(INDEX('계산도우미'!$A$5:$A$2004,MATCH(ROWS($A$6:A85),'계산도우미'!$L$5:$L$2004,0)),"")</x:f>
      </x:c>
      <x:c r="B85" t="str">
        <x:f>IFERROR(INDEX('계산도우미'!$B$5:$B$2004,MATCH(ROWS($A$6:A85),'계산도우미'!$L$5:$L$2004,0)),"")</x:f>
      </x:c>
      <x:c r="C85" t="str">
        <x:f>IFERROR(INDEX('계산도우미'!$C$5:$C$2004,MATCH(ROWS($A$6:A85),'계산도우미'!$L$5:$L$2004,0)),"")</x:f>
      </x:c>
      <x:c r="D85" s="67" t="str">
        <x:f>IFERROR(INDEX('계산도우미'!$D$5:$D$2004,MATCH(ROWS($A$6:A85),'계산도우미'!$L$5:$L$2004,0)),"")</x:f>
      </x:c>
      <x:c r="E85" t="str">
        <x:f>IFERROR(INDEX('계산도우미'!$E$5:$E$2004,MATCH(ROWS($A$6:A85),'계산도우미'!$L$5:$L$2004,0)),"")</x:f>
      </x:c>
      <x:c r="F85" t="str">
        <x:f>IFERROR(INDEX('계산도우미'!$F$5:$F$2004,MATCH(ROWS($A$6:A85),'계산도우미'!$L$5:$L$2004,0)),"")</x:f>
      </x:c>
      <x:c r="G85" s="68" t="str">
        <x:f>IFERROR(INDEX('계산도우미'!$G$5:$G$2004,MATCH(ROWS($A$6:A85),'계산도우미'!$L$5:$L$2004,0)),"")</x:f>
      </x:c>
      <x:c r="H85" t="str">
        <x:f>IFERROR(INDEX('계산도우미'!$H$5:$H$2004,MATCH(ROWS($A$6:A85),'계산도우미'!$L$5:$L$2004,0)),"")</x:f>
      </x:c>
      <x:c r="I85" t="str">
        <x:f>IFERROR(INDEX('계산도우미'!$I$5:$I$2004,MATCH(ROWS($A$6:A85),'계산도우미'!$L$5:$L$2004,0)),"")</x:f>
      </x:c>
      <x:c r="J85" t="str">
        <x:f>IFERROR(INDEX('계산도우미'!$J$5:$J$2004,MATCH(ROWS($A$6:A85),'계산도우미'!$L$5:$L$2004,0)),"")</x:f>
      </x:c>
      <x:c r="K85" t="str">
        <x:f>IF(B85="","",IF(I85="확인 필요","붙임 문서 확인 후 거래 성격·기간·상대방·일회성 여부 확인","결의서명과 전기 대비 발생 건수·단가·시점 차이 검토"))</x:f>
      </x:c>
    </x:row>
    <x:row r="86">
      <x:c r="A86" t="str">
        <x:f>IFERROR(INDEX('계산도우미'!$A$5:$A$2004,MATCH(ROWS($A$6:A86),'계산도우미'!$L$5:$L$2004,0)),"")</x:f>
      </x:c>
      <x:c r="B86" t="str">
        <x:f>IFERROR(INDEX('계산도우미'!$B$5:$B$2004,MATCH(ROWS($A$6:A86),'계산도우미'!$L$5:$L$2004,0)),"")</x:f>
      </x:c>
      <x:c r="C86" t="str">
        <x:f>IFERROR(INDEX('계산도우미'!$C$5:$C$2004,MATCH(ROWS($A$6:A86),'계산도우미'!$L$5:$L$2004,0)),"")</x:f>
      </x:c>
      <x:c r="D86" s="67" t="str">
        <x:f>IFERROR(INDEX('계산도우미'!$D$5:$D$2004,MATCH(ROWS($A$6:A86),'계산도우미'!$L$5:$L$2004,0)),"")</x:f>
      </x:c>
      <x:c r="E86" t="str">
        <x:f>IFERROR(INDEX('계산도우미'!$E$5:$E$2004,MATCH(ROWS($A$6:A86),'계산도우미'!$L$5:$L$2004,0)),"")</x:f>
      </x:c>
      <x:c r="F86" t="str">
        <x:f>IFERROR(INDEX('계산도우미'!$F$5:$F$2004,MATCH(ROWS($A$6:A86),'계산도우미'!$L$5:$L$2004,0)),"")</x:f>
      </x:c>
      <x:c r="G86" s="68" t="str">
        <x:f>IFERROR(INDEX('계산도우미'!$G$5:$G$2004,MATCH(ROWS($A$6:A86),'계산도우미'!$L$5:$L$2004,0)),"")</x:f>
      </x:c>
      <x:c r="H86" t="str">
        <x:f>IFERROR(INDEX('계산도우미'!$H$5:$H$2004,MATCH(ROWS($A$6:A86),'계산도우미'!$L$5:$L$2004,0)),"")</x:f>
      </x:c>
      <x:c r="I86" t="str">
        <x:f>IFERROR(INDEX('계산도우미'!$I$5:$I$2004,MATCH(ROWS($A$6:A86),'계산도우미'!$L$5:$L$2004,0)),"")</x:f>
      </x:c>
      <x:c r="J86" t="str">
        <x:f>IFERROR(INDEX('계산도우미'!$J$5:$J$2004,MATCH(ROWS($A$6:A86),'계산도우미'!$L$5:$L$2004,0)),"")</x:f>
      </x:c>
      <x:c r="K86" t="str">
        <x:f>IF(B86="","",IF(I86="확인 필요","붙임 문서 확인 후 거래 성격·기간·상대방·일회성 여부 확인","결의서명과 전기 대비 발생 건수·단가·시점 차이 검토"))</x:f>
      </x:c>
    </x:row>
    <x:row r="87">
      <x:c r="A87" t="str">
        <x:f>IFERROR(INDEX('계산도우미'!$A$5:$A$2004,MATCH(ROWS($A$6:A87),'계산도우미'!$L$5:$L$2004,0)),"")</x:f>
      </x:c>
      <x:c r="B87" t="str">
        <x:f>IFERROR(INDEX('계산도우미'!$B$5:$B$2004,MATCH(ROWS($A$6:A87),'계산도우미'!$L$5:$L$2004,0)),"")</x:f>
      </x:c>
      <x:c r="C87" t="str">
        <x:f>IFERROR(INDEX('계산도우미'!$C$5:$C$2004,MATCH(ROWS($A$6:A87),'계산도우미'!$L$5:$L$2004,0)),"")</x:f>
      </x:c>
      <x:c r="D87" s="67" t="str">
        <x:f>IFERROR(INDEX('계산도우미'!$D$5:$D$2004,MATCH(ROWS($A$6:A87),'계산도우미'!$L$5:$L$2004,0)),"")</x:f>
      </x:c>
      <x:c r="E87" t="str">
        <x:f>IFERROR(INDEX('계산도우미'!$E$5:$E$2004,MATCH(ROWS($A$6:A87),'계산도우미'!$L$5:$L$2004,0)),"")</x:f>
      </x:c>
      <x:c r="F87" t="str">
        <x:f>IFERROR(INDEX('계산도우미'!$F$5:$F$2004,MATCH(ROWS($A$6:A87),'계산도우미'!$L$5:$L$2004,0)),"")</x:f>
      </x:c>
      <x:c r="G87" s="68" t="str">
        <x:f>IFERROR(INDEX('계산도우미'!$G$5:$G$2004,MATCH(ROWS($A$6:A87),'계산도우미'!$L$5:$L$2004,0)),"")</x:f>
      </x:c>
      <x:c r="H87" t="str">
        <x:f>IFERROR(INDEX('계산도우미'!$H$5:$H$2004,MATCH(ROWS($A$6:A87),'계산도우미'!$L$5:$L$2004,0)),"")</x:f>
      </x:c>
      <x:c r="I87" t="str">
        <x:f>IFERROR(INDEX('계산도우미'!$I$5:$I$2004,MATCH(ROWS($A$6:A87),'계산도우미'!$L$5:$L$2004,0)),"")</x:f>
      </x:c>
      <x:c r="J87" t="str">
        <x:f>IFERROR(INDEX('계산도우미'!$J$5:$J$2004,MATCH(ROWS($A$6:A87),'계산도우미'!$L$5:$L$2004,0)),"")</x:f>
      </x:c>
      <x:c r="K87" t="str">
        <x:f>IF(B87="","",IF(I87="확인 필요","붙임 문서 확인 후 거래 성격·기간·상대방·일회성 여부 확인","결의서명과 전기 대비 발생 건수·단가·시점 차이 검토"))</x:f>
      </x:c>
    </x:row>
    <x:row r="88">
      <x:c r="A88" t="str">
        <x:f>IFERROR(INDEX('계산도우미'!$A$5:$A$2004,MATCH(ROWS($A$6:A88),'계산도우미'!$L$5:$L$2004,0)),"")</x:f>
      </x:c>
      <x:c r="B88" t="str">
        <x:f>IFERROR(INDEX('계산도우미'!$B$5:$B$2004,MATCH(ROWS($A$6:A88),'계산도우미'!$L$5:$L$2004,0)),"")</x:f>
      </x:c>
      <x:c r="C88" t="str">
        <x:f>IFERROR(INDEX('계산도우미'!$C$5:$C$2004,MATCH(ROWS($A$6:A88),'계산도우미'!$L$5:$L$2004,0)),"")</x:f>
      </x:c>
      <x:c r="D88" s="67" t="str">
        <x:f>IFERROR(INDEX('계산도우미'!$D$5:$D$2004,MATCH(ROWS($A$6:A88),'계산도우미'!$L$5:$L$2004,0)),"")</x:f>
      </x:c>
      <x:c r="E88" t="str">
        <x:f>IFERROR(INDEX('계산도우미'!$E$5:$E$2004,MATCH(ROWS($A$6:A88),'계산도우미'!$L$5:$L$2004,0)),"")</x:f>
      </x:c>
      <x:c r="F88" t="str">
        <x:f>IFERROR(INDEX('계산도우미'!$F$5:$F$2004,MATCH(ROWS($A$6:A88),'계산도우미'!$L$5:$L$2004,0)),"")</x:f>
      </x:c>
      <x:c r="G88" s="68" t="str">
        <x:f>IFERROR(INDEX('계산도우미'!$G$5:$G$2004,MATCH(ROWS($A$6:A88),'계산도우미'!$L$5:$L$2004,0)),"")</x:f>
      </x:c>
      <x:c r="H88" t="str">
        <x:f>IFERROR(INDEX('계산도우미'!$H$5:$H$2004,MATCH(ROWS($A$6:A88),'계산도우미'!$L$5:$L$2004,0)),"")</x:f>
      </x:c>
      <x:c r="I88" t="str">
        <x:f>IFERROR(INDEX('계산도우미'!$I$5:$I$2004,MATCH(ROWS($A$6:A88),'계산도우미'!$L$5:$L$2004,0)),"")</x:f>
      </x:c>
      <x:c r="J88" t="str">
        <x:f>IFERROR(INDEX('계산도우미'!$J$5:$J$2004,MATCH(ROWS($A$6:A88),'계산도우미'!$L$5:$L$2004,0)),"")</x:f>
      </x:c>
      <x:c r="K88" t="str">
        <x:f>IF(B88="","",IF(I88="확인 필요","붙임 문서 확인 후 거래 성격·기간·상대방·일회성 여부 확인","결의서명과 전기 대비 발생 건수·단가·시점 차이 검토"))</x:f>
      </x:c>
    </x:row>
    <x:row r="89">
      <x:c r="A89" t="str">
        <x:f>IFERROR(INDEX('계산도우미'!$A$5:$A$2004,MATCH(ROWS($A$6:A89),'계산도우미'!$L$5:$L$2004,0)),"")</x:f>
      </x:c>
      <x:c r="B89" t="str">
        <x:f>IFERROR(INDEX('계산도우미'!$B$5:$B$2004,MATCH(ROWS($A$6:A89),'계산도우미'!$L$5:$L$2004,0)),"")</x:f>
      </x:c>
      <x:c r="C89" t="str">
        <x:f>IFERROR(INDEX('계산도우미'!$C$5:$C$2004,MATCH(ROWS($A$6:A89),'계산도우미'!$L$5:$L$2004,0)),"")</x:f>
      </x:c>
      <x:c r="D89" s="67" t="str">
        <x:f>IFERROR(INDEX('계산도우미'!$D$5:$D$2004,MATCH(ROWS($A$6:A89),'계산도우미'!$L$5:$L$2004,0)),"")</x:f>
      </x:c>
      <x:c r="E89" t="str">
        <x:f>IFERROR(INDEX('계산도우미'!$E$5:$E$2004,MATCH(ROWS($A$6:A89),'계산도우미'!$L$5:$L$2004,0)),"")</x:f>
      </x:c>
      <x:c r="F89" t="str">
        <x:f>IFERROR(INDEX('계산도우미'!$F$5:$F$2004,MATCH(ROWS($A$6:A89),'계산도우미'!$L$5:$L$2004,0)),"")</x:f>
      </x:c>
      <x:c r="G89" s="68" t="str">
        <x:f>IFERROR(INDEX('계산도우미'!$G$5:$G$2004,MATCH(ROWS($A$6:A89),'계산도우미'!$L$5:$L$2004,0)),"")</x:f>
      </x:c>
      <x:c r="H89" t="str">
        <x:f>IFERROR(INDEX('계산도우미'!$H$5:$H$2004,MATCH(ROWS($A$6:A89),'계산도우미'!$L$5:$L$2004,0)),"")</x:f>
      </x:c>
      <x:c r="I89" t="str">
        <x:f>IFERROR(INDEX('계산도우미'!$I$5:$I$2004,MATCH(ROWS($A$6:A89),'계산도우미'!$L$5:$L$2004,0)),"")</x:f>
      </x:c>
      <x:c r="J89" t="str">
        <x:f>IFERROR(INDEX('계산도우미'!$J$5:$J$2004,MATCH(ROWS($A$6:A89),'계산도우미'!$L$5:$L$2004,0)),"")</x:f>
      </x:c>
      <x:c r="K89" t="str">
        <x:f>IF(B89="","",IF(I89="확인 필요","붙임 문서 확인 후 거래 성격·기간·상대방·일회성 여부 확인","결의서명과 전기 대비 발생 건수·단가·시점 차이 검토"))</x:f>
      </x:c>
    </x:row>
    <x:row r="90">
      <x:c r="A90" t="str">
        <x:f>IFERROR(INDEX('계산도우미'!$A$5:$A$2004,MATCH(ROWS($A$6:A90),'계산도우미'!$L$5:$L$2004,0)),"")</x:f>
      </x:c>
      <x:c r="B90" t="str">
        <x:f>IFERROR(INDEX('계산도우미'!$B$5:$B$2004,MATCH(ROWS($A$6:A90),'계산도우미'!$L$5:$L$2004,0)),"")</x:f>
      </x:c>
      <x:c r="C90" t="str">
        <x:f>IFERROR(INDEX('계산도우미'!$C$5:$C$2004,MATCH(ROWS($A$6:A90),'계산도우미'!$L$5:$L$2004,0)),"")</x:f>
      </x:c>
      <x:c r="D90" s="67" t="str">
        <x:f>IFERROR(INDEX('계산도우미'!$D$5:$D$2004,MATCH(ROWS($A$6:A90),'계산도우미'!$L$5:$L$2004,0)),"")</x:f>
      </x:c>
      <x:c r="E90" t="str">
        <x:f>IFERROR(INDEX('계산도우미'!$E$5:$E$2004,MATCH(ROWS($A$6:A90),'계산도우미'!$L$5:$L$2004,0)),"")</x:f>
      </x:c>
      <x:c r="F90" t="str">
        <x:f>IFERROR(INDEX('계산도우미'!$F$5:$F$2004,MATCH(ROWS($A$6:A90),'계산도우미'!$L$5:$L$2004,0)),"")</x:f>
      </x:c>
      <x:c r="G90" s="68" t="str">
        <x:f>IFERROR(INDEX('계산도우미'!$G$5:$G$2004,MATCH(ROWS($A$6:A90),'계산도우미'!$L$5:$L$2004,0)),"")</x:f>
      </x:c>
      <x:c r="H90" t="str">
        <x:f>IFERROR(INDEX('계산도우미'!$H$5:$H$2004,MATCH(ROWS($A$6:A90),'계산도우미'!$L$5:$L$2004,0)),"")</x:f>
      </x:c>
      <x:c r="I90" t="str">
        <x:f>IFERROR(INDEX('계산도우미'!$I$5:$I$2004,MATCH(ROWS($A$6:A90),'계산도우미'!$L$5:$L$2004,0)),"")</x:f>
      </x:c>
      <x:c r="J90" t="str">
        <x:f>IFERROR(INDEX('계산도우미'!$J$5:$J$2004,MATCH(ROWS($A$6:A90),'계산도우미'!$L$5:$L$2004,0)),"")</x:f>
      </x:c>
      <x:c r="K90" t="str">
        <x:f>IF(B90="","",IF(I90="확인 필요","붙임 문서 확인 후 거래 성격·기간·상대방·일회성 여부 확인","결의서명과 전기 대비 발생 건수·단가·시점 차이 검토"))</x:f>
      </x:c>
    </x:row>
    <x:row r="91">
      <x:c r="A91" t="str">
        <x:f>IFERROR(INDEX('계산도우미'!$A$5:$A$2004,MATCH(ROWS($A$6:A91),'계산도우미'!$L$5:$L$2004,0)),"")</x:f>
      </x:c>
      <x:c r="B91" t="str">
        <x:f>IFERROR(INDEX('계산도우미'!$B$5:$B$2004,MATCH(ROWS($A$6:A91),'계산도우미'!$L$5:$L$2004,0)),"")</x:f>
      </x:c>
      <x:c r="C91" t="str">
        <x:f>IFERROR(INDEX('계산도우미'!$C$5:$C$2004,MATCH(ROWS($A$6:A91),'계산도우미'!$L$5:$L$2004,0)),"")</x:f>
      </x:c>
      <x:c r="D91" s="67" t="str">
        <x:f>IFERROR(INDEX('계산도우미'!$D$5:$D$2004,MATCH(ROWS($A$6:A91),'계산도우미'!$L$5:$L$2004,0)),"")</x:f>
      </x:c>
      <x:c r="E91" t="str">
        <x:f>IFERROR(INDEX('계산도우미'!$E$5:$E$2004,MATCH(ROWS($A$6:A91),'계산도우미'!$L$5:$L$2004,0)),"")</x:f>
      </x:c>
      <x:c r="F91" t="str">
        <x:f>IFERROR(INDEX('계산도우미'!$F$5:$F$2004,MATCH(ROWS($A$6:A91),'계산도우미'!$L$5:$L$2004,0)),"")</x:f>
      </x:c>
      <x:c r="G91" s="68" t="str">
        <x:f>IFERROR(INDEX('계산도우미'!$G$5:$G$2004,MATCH(ROWS($A$6:A91),'계산도우미'!$L$5:$L$2004,0)),"")</x:f>
      </x:c>
      <x:c r="H91" t="str">
        <x:f>IFERROR(INDEX('계산도우미'!$H$5:$H$2004,MATCH(ROWS($A$6:A91),'계산도우미'!$L$5:$L$2004,0)),"")</x:f>
      </x:c>
      <x:c r="I91" t="str">
        <x:f>IFERROR(INDEX('계산도우미'!$I$5:$I$2004,MATCH(ROWS($A$6:A91),'계산도우미'!$L$5:$L$2004,0)),"")</x:f>
      </x:c>
      <x:c r="J91" t="str">
        <x:f>IFERROR(INDEX('계산도우미'!$J$5:$J$2004,MATCH(ROWS($A$6:A91),'계산도우미'!$L$5:$L$2004,0)),"")</x:f>
      </x:c>
      <x:c r="K91" t="str">
        <x:f>IF(B91="","",IF(I91="확인 필요","붙임 문서 확인 후 거래 성격·기간·상대방·일회성 여부 확인","결의서명과 전기 대비 발생 건수·단가·시점 차이 검토"))</x:f>
      </x:c>
    </x:row>
    <x:row r="92">
      <x:c r="A92" t="str">
        <x:f>IFERROR(INDEX('계산도우미'!$A$5:$A$2004,MATCH(ROWS($A$6:A92),'계산도우미'!$L$5:$L$2004,0)),"")</x:f>
      </x:c>
      <x:c r="B92" t="str">
        <x:f>IFERROR(INDEX('계산도우미'!$B$5:$B$2004,MATCH(ROWS($A$6:A92),'계산도우미'!$L$5:$L$2004,0)),"")</x:f>
      </x:c>
      <x:c r="C92" t="str">
        <x:f>IFERROR(INDEX('계산도우미'!$C$5:$C$2004,MATCH(ROWS($A$6:A92),'계산도우미'!$L$5:$L$2004,0)),"")</x:f>
      </x:c>
      <x:c r="D92" s="67" t="str">
        <x:f>IFERROR(INDEX('계산도우미'!$D$5:$D$2004,MATCH(ROWS($A$6:A92),'계산도우미'!$L$5:$L$2004,0)),"")</x:f>
      </x:c>
      <x:c r="E92" t="str">
        <x:f>IFERROR(INDEX('계산도우미'!$E$5:$E$2004,MATCH(ROWS($A$6:A92),'계산도우미'!$L$5:$L$2004,0)),"")</x:f>
      </x:c>
      <x:c r="F92" t="str">
        <x:f>IFERROR(INDEX('계산도우미'!$F$5:$F$2004,MATCH(ROWS($A$6:A92),'계산도우미'!$L$5:$L$2004,0)),"")</x:f>
      </x:c>
      <x:c r="G92" s="68" t="str">
        <x:f>IFERROR(INDEX('계산도우미'!$G$5:$G$2004,MATCH(ROWS($A$6:A92),'계산도우미'!$L$5:$L$2004,0)),"")</x:f>
      </x:c>
      <x:c r="H92" t="str">
        <x:f>IFERROR(INDEX('계산도우미'!$H$5:$H$2004,MATCH(ROWS($A$6:A92),'계산도우미'!$L$5:$L$2004,0)),"")</x:f>
      </x:c>
      <x:c r="I92" t="str">
        <x:f>IFERROR(INDEX('계산도우미'!$I$5:$I$2004,MATCH(ROWS($A$6:A92),'계산도우미'!$L$5:$L$2004,0)),"")</x:f>
      </x:c>
      <x:c r="J92" t="str">
        <x:f>IFERROR(INDEX('계산도우미'!$J$5:$J$2004,MATCH(ROWS($A$6:A92),'계산도우미'!$L$5:$L$2004,0)),"")</x:f>
      </x:c>
      <x:c r="K92" t="str">
        <x:f>IF(B92="","",IF(I92="확인 필요","붙임 문서 확인 후 거래 성격·기간·상대방·일회성 여부 확인","결의서명과 전기 대비 발생 건수·단가·시점 차이 검토"))</x:f>
      </x:c>
    </x:row>
    <x:row r="93">
      <x:c r="A93" t="str">
        <x:f>IFERROR(INDEX('계산도우미'!$A$5:$A$2004,MATCH(ROWS($A$6:A93),'계산도우미'!$L$5:$L$2004,0)),"")</x:f>
      </x:c>
      <x:c r="B93" t="str">
        <x:f>IFERROR(INDEX('계산도우미'!$B$5:$B$2004,MATCH(ROWS($A$6:A93),'계산도우미'!$L$5:$L$2004,0)),"")</x:f>
      </x:c>
      <x:c r="C93" t="str">
        <x:f>IFERROR(INDEX('계산도우미'!$C$5:$C$2004,MATCH(ROWS($A$6:A93),'계산도우미'!$L$5:$L$2004,0)),"")</x:f>
      </x:c>
      <x:c r="D93" s="67" t="str">
        <x:f>IFERROR(INDEX('계산도우미'!$D$5:$D$2004,MATCH(ROWS($A$6:A93),'계산도우미'!$L$5:$L$2004,0)),"")</x:f>
      </x:c>
      <x:c r="E93" t="str">
        <x:f>IFERROR(INDEX('계산도우미'!$E$5:$E$2004,MATCH(ROWS($A$6:A93),'계산도우미'!$L$5:$L$2004,0)),"")</x:f>
      </x:c>
      <x:c r="F93" t="str">
        <x:f>IFERROR(INDEX('계산도우미'!$F$5:$F$2004,MATCH(ROWS($A$6:A93),'계산도우미'!$L$5:$L$2004,0)),"")</x:f>
      </x:c>
      <x:c r="G93" s="68" t="str">
        <x:f>IFERROR(INDEX('계산도우미'!$G$5:$G$2004,MATCH(ROWS($A$6:A93),'계산도우미'!$L$5:$L$2004,0)),"")</x:f>
      </x:c>
      <x:c r="H93" t="str">
        <x:f>IFERROR(INDEX('계산도우미'!$H$5:$H$2004,MATCH(ROWS($A$6:A93),'계산도우미'!$L$5:$L$2004,0)),"")</x:f>
      </x:c>
      <x:c r="I93" t="str">
        <x:f>IFERROR(INDEX('계산도우미'!$I$5:$I$2004,MATCH(ROWS($A$6:A93),'계산도우미'!$L$5:$L$2004,0)),"")</x:f>
      </x:c>
      <x:c r="J93" t="str">
        <x:f>IFERROR(INDEX('계산도우미'!$J$5:$J$2004,MATCH(ROWS($A$6:A93),'계산도우미'!$L$5:$L$2004,0)),"")</x:f>
      </x:c>
      <x:c r="K93" t="str">
        <x:f>IF(B93="","",IF(I93="확인 필요","붙임 문서 확인 후 거래 성격·기간·상대방·일회성 여부 확인","결의서명과 전기 대비 발생 건수·단가·시점 차이 검토"))</x:f>
      </x:c>
    </x:row>
    <x:row r="94">
      <x:c r="A94" t="str">
        <x:f>IFERROR(INDEX('계산도우미'!$A$5:$A$2004,MATCH(ROWS($A$6:A94),'계산도우미'!$L$5:$L$2004,0)),"")</x:f>
      </x:c>
      <x:c r="B94" t="str">
        <x:f>IFERROR(INDEX('계산도우미'!$B$5:$B$2004,MATCH(ROWS($A$6:A94),'계산도우미'!$L$5:$L$2004,0)),"")</x:f>
      </x:c>
      <x:c r="C94" t="str">
        <x:f>IFERROR(INDEX('계산도우미'!$C$5:$C$2004,MATCH(ROWS($A$6:A94),'계산도우미'!$L$5:$L$2004,0)),"")</x:f>
      </x:c>
      <x:c r="D94" s="67" t="str">
        <x:f>IFERROR(INDEX('계산도우미'!$D$5:$D$2004,MATCH(ROWS($A$6:A94),'계산도우미'!$L$5:$L$2004,0)),"")</x:f>
      </x:c>
      <x:c r="E94" t="str">
        <x:f>IFERROR(INDEX('계산도우미'!$E$5:$E$2004,MATCH(ROWS($A$6:A94),'계산도우미'!$L$5:$L$2004,0)),"")</x:f>
      </x:c>
      <x:c r="F94" t="str">
        <x:f>IFERROR(INDEX('계산도우미'!$F$5:$F$2004,MATCH(ROWS($A$6:A94),'계산도우미'!$L$5:$L$2004,0)),"")</x:f>
      </x:c>
      <x:c r="G94" s="68" t="str">
        <x:f>IFERROR(INDEX('계산도우미'!$G$5:$G$2004,MATCH(ROWS($A$6:A94),'계산도우미'!$L$5:$L$2004,0)),"")</x:f>
      </x:c>
      <x:c r="H94" t="str">
        <x:f>IFERROR(INDEX('계산도우미'!$H$5:$H$2004,MATCH(ROWS($A$6:A94),'계산도우미'!$L$5:$L$2004,0)),"")</x:f>
      </x:c>
      <x:c r="I94" t="str">
        <x:f>IFERROR(INDEX('계산도우미'!$I$5:$I$2004,MATCH(ROWS($A$6:A94),'계산도우미'!$L$5:$L$2004,0)),"")</x:f>
      </x:c>
      <x:c r="J94" t="str">
        <x:f>IFERROR(INDEX('계산도우미'!$J$5:$J$2004,MATCH(ROWS($A$6:A94),'계산도우미'!$L$5:$L$2004,0)),"")</x:f>
      </x:c>
      <x:c r="K94" t="str">
        <x:f>IF(B94="","",IF(I94="확인 필요","붙임 문서 확인 후 거래 성격·기간·상대방·일회성 여부 확인","결의서명과 전기 대비 발생 건수·단가·시점 차이 검토"))</x:f>
      </x:c>
    </x:row>
    <x:row r="95">
      <x:c r="A95" t="str">
        <x:f>IFERROR(INDEX('계산도우미'!$A$5:$A$2004,MATCH(ROWS($A$6:A95),'계산도우미'!$L$5:$L$2004,0)),"")</x:f>
      </x:c>
      <x:c r="B95" t="str">
        <x:f>IFERROR(INDEX('계산도우미'!$B$5:$B$2004,MATCH(ROWS($A$6:A95),'계산도우미'!$L$5:$L$2004,0)),"")</x:f>
      </x:c>
      <x:c r="C95" t="str">
        <x:f>IFERROR(INDEX('계산도우미'!$C$5:$C$2004,MATCH(ROWS($A$6:A95),'계산도우미'!$L$5:$L$2004,0)),"")</x:f>
      </x:c>
      <x:c r="D95" s="67" t="str">
        <x:f>IFERROR(INDEX('계산도우미'!$D$5:$D$2004,MATCH(ROWS($A$6:A95),'계산도우미'!$L$5:$L$2004,0)),"")</x:f>
      </x:c>
      <x:c r="E95" t="str">
        <x:f>IFERROR(INDEX('계산도우미'!$E$5:$E$2004,MATCH(ROWS($A$6:A95),'계산도우미'!$L$5:$L$2004,0)),"")</x:f>
      </x:c>
      <x:c r="F95" t="str">
        <x:f>IFERROR(INDEX('계산도우미'!$F$5:$F$2004,MATCH(ROWS($A$6:A95),'계산도우미'!$L$5:$L$2004,0)),"")</x:f>
      </x:c>
      <x:c r="G95" s="68" t="str">
        <x:f>IFERROR(INDEX('계산도우미'!$G$5:$G$2004,MATCH(ROWS($A$6:A95),'계산도우미'!$L$5:$L$2004,0)),"")</x:f>
      </x:c>
      <x:c r="H95" t="str">
        <x:f>IFERROR(INDEX('계산도우미'!$H$5:$H$2004,MATCH(ROWS($A$6:A95),'계산도우미'!$L$5:$L$2004,0)),"")</x:f>
      </x:c>
      <x:c r="I95" t="str">
        <x:f>IFERROR(INDEX('계산도우미'!$I$5:$I$2004,MATCH(ROWS($A$6:A95),'계산도우미'!$L$5:$L$2004,0)),"")</x:f>
      </x:c>
      <x:c r="J95" t="str">
        <x:f>IFERROR(INDEX('계산도우미'!$J$5:$J$2004,MATCH(ROWS($A$6:A95),'계산도우미'!$L$5:$L$2004,0)),"")</x:f>
      </x:c>
      <x:c r="K95" t="str">
        <x:f>IF(B95="","",IF(I95="확인 필요","붙임 문서 확인 후 거래 성격·기간·상대방·일회성 여부 확인","결의서명과 전기 대비 발생 건수·단가·시점 차이 검토"))</x:f>
      </x:c>
    </x:row>
    <x:row r="96">
      <x:c r="A96" t="str">
        <x:f>IFERROR(INDEX('계산도우미'!$A$5:$A$2004,MATCH(ROWS($A$6:A96),'계산도우미'!$L$5:$L$2004,0)),"")</x:f>
      </x:c>
      <x:c r="B96" t="str">
        <x:f>IFERROR(INDEX('계산도우미'!$B$5:$B$2004,MATCH(ROWS($A$6:A96),'계산도우미'!$L$5:$L$2004,0)),"")</x:f>
      </x:c>
      <x:c r="C96" t="str">
        <x:f>IFERROR(INDEX('계산도우미'!$C$5:$C$2004,MATCH(ROWS($A$6:A96),'계산도우미'!$L$5:$L$2004,0)),"")</x:f>
      </x:c>
      <x:c r="D96" s="67" t="str">
        <x:f>IFERROR(INDEX('계산도우미'!$D$5:$D$2004,MATCH(ROWS($A$6:A96),'계산도우미'!$L$5:$L$2004,0)),"")</x:f>
      </x:c>
      <x:c r="E96" t="str">
        <x:f>IFERROR(INDEX('계산도우미'!$E$5:$E$2004,MATCH(ROWS($A$6:A96),'계산도우미'!$L$5:$L$2004,0)),"")</x:f>
      </x:c>
      <x:c r="F96" t="str">
        <x:f>IFERROR(INDEX('계산도우미'!$F$5:$F$2004,MATCH(ROWS($A$6:A96),'계산도우미'!$L$5:$L$2004,0)),"")</x:f>
      </x:c>
      <x:c r="G96" s="68" t="str">
        <x:f>IFERROR(INDEX('계산도우미'!$G$5:$G$2004,MATCH(ROWS($A$6:A96),'계산도우미'!$L$5:$L$2004,0)),"")</x:f>
      </x:c>
      <x:c r="H96" t="str">
        <x:f>IFERROR(INDEX('계산도우미'!$H$5:$H$2004,MATCH(ROWS($A$6:A96),'계산도우미'!$L$5:$L$2004,0)),"")</x:f>
      </x:c>
      <x:c r="I96" t="str">
        <x:f>IFERROR(INDEX('계산도우미'!$I$5:$I$2004,MATCH(ROWS($A$6:A96),'계산도우미'!$L$5:$L$2004,0)),"")</x:f>
      </x:c>
      <x:c r="J96" t="str">
        <x:f>IFERROR(INDEX('계산도우미'!$J$5:$J$2004,MATCH(ROWS($A$6:A96),'계산도우미'!$L$5:$L$2004,0)),"")</x:f>
      </x:c>
      <x:c r="K96" t="str">
        <x:f>IF(B96="","",IF(I96="확인 필요","붙임 문서 확인 후 거래 성격·기간·상대방·일회성 여부 확인","결의서명과 전기 대비 발생 건수·단가·시점 차이 검토"))</x:f>
      </x:c>
    </x:row>
    <x:row r="97">
      <x:c r="A97" t="str">
        <x:f>IFERROR(INDEX('계산도우미'!$A$5:$A$2004,MATCH(ROWS($A$6:A97),'계산도우미'!$L$5:$L$2004,0)),"")</x:f>
      </x:c>
      <x:c r="B97" t="str">
        <x:f>IFERROR(INDEX('계산도우미'!$B$5:$B$2004,MATCH(ROWS($A$6:A97),'계산도우미'!$L$5:$L$2004,0)),"")</x:f>
      </x:c>
      <x:c r="C97" t="str">
        <x:f>IFERROR(INDEX('계산도우미'!$C$5:$C$2004,MATCH(ROWS($A$6:A97),'계산도우미'!$L$5:$L$2004,0)),"")</x:f>
      </x:c>
      <x:c r="D97" s="67" t="str">
        <x:f>IFERROR(INDEX('계산도우미'!$D$5:$D$2004,MATCH(ROWS($A$6:A97),'계산도우미'!$L$5:$L$2004,0)),"")</x:f>
      </x:c>
      <x:c r="E97" t="str">
        <x:f>IFERROR(INDEX('계산도우미'!$E$5:$E$2004,MATCH(ROWS($A$6:A97),'계산도우미'!$L$5:$L$2004,0)),"")</x:f>
      </x:c>
      <x:c r="F97" t="str">
        <x:f>IFERROR(INDEX('계산도우미'!$F$5:$F$2004,MATCH(ROWS($A$6:A97),'계산도우미'!$L$5:$L$2004,0)),"")</x:f>
      </x:c>
      <x:c r="G97" s="68" t="str">
        <x:f>IFERROR(INDEX('계산도우미'!$G$5:$G$2004,MATCH(ROWS($A$6:A97),'계산도우미'!$L$5:$L$2004,0)),"")</x:f>
      </x:c>
      <x:c r="H97" t="str">
        <x:f>IFERROR(INDEX('계산도우미'!$H$5:$H$2004,MATCH(ROWS($A$6:A97),'계산도우미'!$L$5:$L$2004,0)),"")</x:f>
      </x:c>
      <x:c r="I97" t="str">
        <x:f>IFERROR(INDEX('계산도우미'!$I$5:$I$2004,MATCH(ROWS($A$6:A97),'계산도우미'!$L$5:$L$2004,0)),"")</x:f>
      </x:c>
      <x:c r="J97" t="str">
        <x:f>IFERROR(INDEX('계산도우미'!$J$5:$J$2004,MATCH(ROWS($A$6:A97),'계산도우미'!$L$5:$L$2004,0)),"")</x:f>
      </x:c>
      <x:c r="K97" t="str">
        <x:f>IF(B97="","",IF(I97="확인 필요","붙임 문서 확인 후 거래 성격·기간·상대방·일회성 여부 확인","결의서명과 전기 대비 발생 건수·단가·시점 차이 검토"))</x:f>
      </x:c>
    </x:row>
    <x:row r="98">
      <x:c r="A98" t="str">
        <x:f>IFERROR(INDEX('계산도우미'!$A$5:$A$2004,MATCH(ROWS($A$6:A98),'계산도우미'!$L$5:$L$2004,0)),"")</x:f>
      </x:c>
      <x:c r="B98" t="str">
        <x:f>IFERROR(INDEX('계산도우미'!$B$5:$B$2004,MATCH(ROWS($A$6:A98),'계산도우미'!$L$5:$L$2004,0)),"")</x:f>
      </x:c>
      <x:c r="C98" t="str">
        <x:f>IFERROR(INDEX('계산도우미'!$C$5:$C$2004,MATCH(ROWS($A$6:A98),'계산도우미'!$L$5:$L$2004,0)),"")</x:f>
      </x:c>
      <x:c r="D98" s="67" t="str">
        <x:f>IFERROR(INDEX('계산도우미'!$D$5:$D$2004,MATCH(ROWS($A$6:A98),'계산도우미'!$L$5:$L$2004,0)),"")</x:f>
      </x:c>
      <x:c r="E98" t="str">
        <x:f>IFERROR(INDEX('계산도우미'!$E$5:$E$2004,MATCH(ROWS($A$6:A98),'계산도우미'!$L$5:$L$2004,0)),"")</x:f>
      </x:c>
      <x:c r="F98" t="str">
        <x:f>IFERROR(INDEX('계산도우미'!$F$5:$F$2004,MATCH(ROWS($A$6:A98),'계산도우미'!$L$5:$L$2004,0)),"")</x:f>
      </x:c>
      <x:c r="G98" s="68" t="str">
        <x:f>IFERROR(INDEX('계산도우미'!$G$5:$G$2004,MATCH(ROWS($A$6:A98),'계산도우미'!$L$5:$L$2004,0)),"")</x:f>
      </x:c>
      <x:c r="H98" t="str">
        <x:f>IFERROR(INDEX('계산도우미'!$H$5:$H$2004,MATCH(ROWS($A$6:A98),'계산도우미'!$L$5:$L$2004,0)),"")</x:f>
      </x:c>
      <x:c r="I98" t="str">
        <x:f>IFERROR(INDEX('계산도우미'!$I$5:$I$2004,MATCH(ROWS($A$6:A98),'계산도우미'!$L$5:$L$2004,0)),"")</x:f>
      </x:c>
      <x:c r="J98" t="str">
        <x:f>IFERROR(INDEX('계산도우미'!$J$5:$J$2004,MATCH(ROWS($A$6:A98),'계산도우미'!$L$5:$L$2004,0)),"")</x:f>
      </x:c>
      <x:c r="K98" t="str">
        <x:f>IF(B98="","",IF(I98="확인 필요","붙임 문서 확인 후 거래 성격·기간·상대방·일회성 여부 확인","결의서명과 전기 대비 발생 건수·단가·시점 차이 검토"))</x:f>
      </x:c>
    </x:row>
    <x:row r="99">
      <x:c r="A99" t="str">
        <x:f>IFERROR(INDEX('계산도우미'!$A$5:$A$2004,MATCH(ROWS($A$6:A99),'계산도우미'!$L$5:$L$2004,0)),"")</x:f>
      </x:c>
      <x:c r="B99" t="str">
        <x:f>IFERROR(INDEX('계산도우미'!$B$5:$B$2004,MATCH(ROWS($A$6:A99),'계산도우미'!$L$5:$L$2004,0)),"")</x:f>
      </x:c>
      <x:c r="C99" t="str">
        <x:f>IFERROR(INDEX('계산도우미'!$C$5:$C$2004,MATCH(ROWS($A$6:A99),'계산도우미'!$L$5:$L$2004,0)),"")</x:f>
      </x:c>
      <x:c r="D99" s="67" t="str">
        <x:f>IFERROR(INDEX('계산도우미'!$D$5:$D$2004,MATCH(ROWS($A$6:A99),'계산도우미'!$L$5:$L$2004,0)),"")</x:f>
      </x:c>
      <x:c r="E99" t="str">
        <x:f>IFERROR(INDEX('계산도우미'!$E$5:$E$2004,MATCH(ROWS($A$6:A99),'계산도우미'!$L$5:$L$2004,0)),"")</x:f>
      </x:c>
      <x:c r="F99" t="str">
        <x:f>IFERROR(INDEX('계산도우미'!$F$5:$F$2004,MATCH(ROWS($A$6:A99),'계산도우미'!$L$5:$L$2004,0)),"")</x:f>
      </x:c>
      <x:c r="G99" s="68" t="str">
        <x:f>IFERROR(INDEX('계산도우미'!$G$5:$G$2004,MATCH(ROWS($A$6:A99),'계산도우미'!$L$5:$L$2004,0)),"")</x:f>
      </x:c>
      <x:c r="H99" t="str">
        <x:f>IFERROR(INDEX('계산도우미'!$H$5:$H$2004,MATCH(ROWS($A$6:A99),'계산도우미'!$L$5:$L$2004,0)),"")</x:f>
      </x:c>
      <x:c r="I99" t="str">
        <x:f>IFERROR(INDEX('계산도우미'!$I$5:$I$2004,MATCH(ROWS($A$6:A99),'계산도우미'!$L$5:$L$2004,0)),"")</x:f>
      </x:c>
      <x:c r="J99" t="str">
        <x:f>IFERROR(INDEX('계산도우미'!$J$5:$J$2004,MATCH(ROWS($A$6:A99),'계산도우미'!$L$5:$L$2004,0)),"")</x:f>
      </x:c>
      <x:c r="K99" t="str">
        <x:f>IF(B99="","",IF(I99="확인 필요","붙임 문서 확인 후 거래 성격·기간·상대방·일회성 여부 확인","결의서명과 전기 대비 발생 건수·단가·시점 차이 검토"))</x:f>
      </x:c>
    </x:row>
    <x:row r="100">
      <x:c r="A100" t="str">
        <x:f>IFERROR(INDEX('계산도우미'!$A$5:$A$2004,MATCH(ROWS($A$6:A100),'계산도우미'!$L$5:$L$2004,0)),"")</x:f>
      </x:c>
      <x:c r="B100" t="str">
        <x:f>IFERROR(INDEX('계산도우미'!$B$5:$B$2004,MATCH(ROWS($A$6:A100),'계산도우미'!$L$5:$L$2004,0)),"")</x:f>
      </x:c>
      <x:c r="C100" t="str">
        <x:f>IFERROR(INDEX('계산도우미'!$C$5:$C$2004,MATCH(ROWS($A$6:A100),'계산도우미'!$L$5:$L$2004,0)),"")</x:f>
      </x:c>
      <x:c r="D100" s="67" t="str">
        <x:f>IFERROR(INDEX('계산도우미'!$D$5:$D$2004,MATCH(ROWS($A$6:A100),'계산도우미'!$L$5:$L$2004,0)),"")</x:f>
      </x:c>
      <x:c r="E100" t="str">
        <x:f>IFERROR(INDEX('계산도우미'!$E$5:$E$2004,MATCH(ROWS($A$6:A100),'계산도우미'!$L$5:$L$2004,0)),"")</x:f>
      </x:c>
      <x:c r="F100" t="str">
        <x:f>IFERROR(INDEX('계산도우미'!$F$5:$F$2004,MATCH(ROWS($A$6:A100),'계산도우미'!$L$5:$L$2004,0)),"")</x:f>
      </x:c>
      <x:c r="G100" s="68" t="str">
        <x:f>IFERROR(INDEX('계산도우미'!$G$5:$G$2004,MATCH(ROWS($A$6:A100),'계산도우미'!$L$5:$L$2004,0)),"")</x:f>
      </x:c>
      <x:c r="H100" t="str">
        <x:f>IFERROR(INDEX('계산도우미'!$H$5:$H$2004,MATCH(ROWS($A$6:A100),'계산도우미'!$L$5:$L$2004,0)),"")</x:f>
      </x:c>
      <x:c r="I100" t="str">
        <x:f>IFERROR(INDEX('계산도우미'!$I$5:$I$2004,MATCH(ROWS($A$6:A100),'계산도우미'!$L$5:$L$2004,0)),"")</x:f>
      </x:c>
      <x:c r="J100" t="str">
        <x:f>IFERROR(INDEX('계산도우미'!$J$5:$J$2004,MATCH(ROWS($A$6:A100),'계산도우미'!$L$5:$L$2004,0)),"")</x:f>
      </x:c>
      <x:c r="K100" t="str">
        <x:f>IF(B100="","",IF(I100="확인 필요","붙임 문서 확인 후 거래 성격·기간·상대방·일회성 여부 확인","결의서명과 전기 대비 발생 건수·단가·시점 차이 검토"))</x:f>
      </x:c>
    </x:row>
    <x:row r="101">
      <x:c r="A101" t="str">
        <x:f>IFERROR(INDEX('계산도우미'!$A$5:$A$2004,MATCH(ROWS($A$6:A101),'계산도우미'!$L$5:$L$2004,0)),"")</x:f>
      </x:c>
      <x:c r="B101" t="str">
        <x:f>IFERROR(INDEX('계산도우미'!$B$5:$B$2004,MATCH(ROWS($A$6:A101),'계산도우미'!$L$5:$L$2004,0)),"")</x:f>
      </x:c>
      <x:c r="C101" t="str">
        <x:f>IFERROR(INDEX('계산도우미'!$C$5:$C$2004,MATCH(ROWS($A$6:A101),'계산도우미'!$L$5:$L$2004,0)),"")</x:f>
      </x:c>
      <x:c r="D101" s="67" t="str">
        <x:f>IFERROR(INDEX('계산도우미'!$D$5:$D$2004,MATCH(ROWS($A$6:A101),'계산도우미'!$L$5:$L$2004,0)),"")</x:f>
      </x:c>
      <x:c r="E101" t="str">
        <x:f>IFERROR(INDEX('계산도우미'!$E$5:$E$2004,MATCH(ROWS($A$6:A101),'계산도우미'!$L$5:$L$2004,0)),"")</x:f>
      </x:c>
      <x:c r="F101" t="str">
        <x:f>IFERROR(INDEX('계산도우미'!$F$5:$F$2004,MATCH(ROWS($A$6:A101),'계산도우미'!$L$5:$L$2004,0)),"")</x:f>
      </x:c>
      <x:c r="G101" s="68" t="str">
        <x:f>IFERROR(INDEX('계산도우미'!$G$5:$G$2004,MATCH(ROWS($A$6:A101),'계산도우미'!$L$5:$L$2004,0)),"")</x:f>
      </x:c>
      <x:c r="H101" t="str">
        <x:f>IFERROR(INDEX('계산도우미'!$H$5:$H$2004,MATCH(ROWS($A$6:A101),'계산도우미'!$L$5:$L$2004,0)),"")</x:f>
      </x:c>
      <x:c r="I101" t="str">
        <x:f>IFERROR(INDEX('계산도우미'!$I$5:$I$2004,MATCH(ROWS($A$6:A101),'계산도우미'!$L$5:$L$2004,0)),"")</x:f>
      </x:c>
      <x:c r="J101" t="str">
        <x:f>IFERROR(INDEX('계산도우미'!$J$5:$J$2004,MATCH(ROWS($A$6:A101),'계산도우미'!$L$5:$L$2004,0)),"")</x:f>
      </x:c>
      <x:c r="K101" t="str">
        <x:f>IF(B101="","",IF(I101="확인 필요","붙임 문서 확인 후 거래 성격·기간·상대방·일회성 여부 확인","결의서명과 전기 대비 발생 건수·단가·시점 차이 검토"))</x:f>
      </x:c>
    </x:row>
    <x:row r="102">
      <x:c r="A102" t="str">
        <x:f>IFERROR(INDEX('계산도우미'!$A$5:$A$2004,MATCH(ROWS($A$6:A102),'계산도우미'!$L$5:$L$2004,0)),"")</x:f>
      </x:c>
      <x:c r="B102" t="str">
        <x:f>IFERROR(INDEX('계산도우미'!$B$5:$B$2004,MATCH(ROWS($A$6:A102),'계산도우미'!$L$5:$L$2004,0)),"")</x:f>
      </x:c>
      <x:c r="C102" t="str">
        <x:f>IFERROR(INDEX('계산도우미'!$C$5:$C$2004,MATCH(ROWS($A$6:A102),'계산도우미'!$L$5:$L$2004,0)),"")</x:f>
      </x:c>
      <x:c r="D102" s="67" t="str">
        <x:f>IFERROR(INDEX('계산도우미'!$D$5:$D$2004,MATCH(ROWS($A$6:A102),'계산도우미'!$L$5:$L$2004,0)),"")</x:f>
      </x:c>
      <x:c r="E102" t="str">
        <x:f>IFERROR(INDEX('계산도우미'!$E$5:$E$2004,MATCH(ROWS($A$6:A102),'계산도우미'!$L$5:$L$2004,0)),"")</x:f>
      </x:c>
      <x:c r="F102" t="str">
        <x:f>IFERROR(INDEX('계산도우미'!$F$5:$F$2004,MATCH(ROWS($A$6:A102),'계산도우미'!$L$5:$L$2004,0)),"")</x:f>
      </x:c>
      <x:c r="G102" s="68" t="str">
        <x:f>IFERROR(INDEX('계산도우미'!$G$5:$G$2004,MATCH(ROWS($A$6:A102),'계산도우미'!$L$5:$L$2004,0)),"")</x:f>
      </x:c>
      <x:c r="H102" t="str">
        <x:f>IFERROR(INDEX('계산도우미'!$H$5:$H$2004,MATCH(ROWS($A$6:A102),'계산도우미'!$L$5:$L$2004,0)),"")</x:f>
      </x:c>
      <x:c r="I102" t="str">
        <x:f>IFERROR(INDEX('계산도우미'!$I$5:$I$2004,MATCH(ROWS($A$6:A102),'계산도우미'!$L$5:$L$2004,0)),"")</x:f>
      </x:c>
      <x:c r="J102" t="str">
        <x:f>IFERROR(INDEX('계산도우미'!$J$5:$J$2004,MATCH(ROWS($A$6:A102),'계산도우미'!$L$5:$L$2004,0)),"")</x:f>
      </x:c>
      <x:c r="K102" t="str">
        <x:f>IF(B102="","",IF(I102="확인 필요","붙임 문서 확인 후 거래 성격·기간·상대방·일회성 여부 확인","결의서명과 전기 대비 발생 건수·단가·시점 차이 검토"))</x:f>
      </x:c>
    </x:row>
    <x:row r="103">
      <x:c r="A103" t="str">
        <x:f>IFERROR(INDEX('계산도우미'!$A$5:$A$2004,MATCH(ROWS($A$6:A103),'계산도우미'!$L$5:$L$2004,0)),"")</x:f>
      </x:c>
      <x:c r="B103" t="str">
        <x:f>IFERROR(INDEX('계산도우미'!$B$5:$B$2004,MATCH(ROWS($A$6:A103),'계산도우미'!$L$5:$L$2004,0)),"")</x:f>
      </x:c>
      <x:c r="C103" t="str">
        <x:f>IFERROR(INDEX('계산도우미'!$C$5:$C$2004,MATCH(ROWS($A$6:A103),'계산도우미'!$L$5:$L$2004,0)),"")</x:f>
      </x:c>
      <x:c r="D103" s="67" t="str">
        <x:f>IFERROR(INDEX('계산도우미'!$D$5:$D$2004,MATCH(ROWS($A$6:A103),'계산도우미'!$L$5:$L$2004,0)),"")</x:f>
      </x:c>
      <x:c r="E103" t="str">
        <x:f>IFERROR(INDEX('계산도우미'!$E$5:$E$2004,MATCH(ROWS($A$6:A103),'계산도우미'!$L$5:$L$2004,0)),"")</x:f>
      </x:c>
      <x:c r="F103" t="str">
        <x:f>IFERROR(INDEX('계산도우미'!$F$5:$F$2004,MATCH(ROWS($A$6:A103),'계산도우미'!$L$5:$L$2004,0)),"")</x:f>
      </x:c>
      <x:c r="G103" s="68" t="str">
        <x:f>IFERROR(INDEX('계산도우미'!$G$5:$G$2004,MATCH(ROWS($A$6:A103),'계산도우미'!$L$5:$L$2004,0)),"")</x:f>
      </x:c>
      <x:c r="H103" t="str">
        <x:f>IFERROR(INDEX('계산도우미'!$H$5:$H$2004,MATCH(ROWS($A$6:A103),'계산도우미'!$L$5:$L$2004,0)),"")</x:f>
      </x:c>
      <x:c r="I103" t="str">
        <x:f>IFERROR(INDEX('계산도우미'!$I$5:$I$2004,MATCH(ROWS($A$6:A103),'계산도우미'!$L$5:$L$2004,0)),"")</x:f>
      </x:c>
      <x:c r="J103" t="str">
        <x:f>IFERROR(INDEX('계산도우미'!$J$5:$J$2004,MATCH(ROWS($A$6:A103),'계산도우미'!$L$5:$L$2004,0)),"")</x:f>
      </x:c>
      <x:c r="K103" t="str">
        <x:f>IF(B103="","",IF(I103="확인 필요","붙임 문서 확인 후 거래 성격·기간·상대방·일회성 여부 확인","결의서명과 전기 대비 발생 건수·단가·시점 차이 검토"))</x:f>
      </x:c>
    </x:row>
    <x:row r="104">
      <x:c r="A104" t="str">
        <x:f>IFERROR(INDEX('계산도우미'!$A$5:$A$2004,MATCH(ROWS($A$6:A104),'계산도우미'!$L$5:$L$2004,0)),"")</x:f>
      </x:c>
      <x:c r="B104" t="str">
        <x:f>IFERROR(INDEX('계산도우미'!$B$5:$B$2004,MATCH(ROWS($A$6:A104),'계산도우미'!$L$5:$L$2004,0)),"")</x:f>
      </x:c>
      <x:c r="C104" t="str">
        <x:f>IFERROR(INDEX('계산도우미'!$C$5:$C$2004,MATCH(ROWS($A$6:A104),'계산도우미'!$L$5:$L$2004,0)),"")</x:f>
      </x:c>
      <x:c r="D104" s="67" t="str">
        <x:f>IFERROR(INDEX('계산도우미'!$D$5:$D$2004,MATCH(ROWS($A$6:A104),'계산도우미'!$L$5:$L$2004,0)),"")</x:f>
      </x:c>
      <x:c r="E104" t="str">
        <x:f>IFERROR(INDEX('계산도우미'!$E$5:$E$2004,MATCH(ROWS($A$6:A104),'계산도우미'!$L$5:$L$2004,0)),"")</x:f>
      </x:c>
      <x:c r="F104" t="str">
        <x:f>IFERROR(INDEX('계산도우미'!$F$5:$F$2004,MATCH(ROWS($A$6:A104),'계산도우미'!$L$5:$L$2004,0)),"")</x:f>
      </x:c>
      <x:c r="G104" s="68" t="str">
        <x:f>IFERROR(INDEX('계산도우미'!$G$5:$G$2004,MATCH(ROWS($A$6:A104),'계산도우미'!$L$5:$L$2004,0)),"")</x:f>
      </x:c>
      <x:c r="H104" t="str">
        <x:f>IFERROR(INDEX('계산도우미'!$H$5:$H$2004,MATCH(ROWS($A$6:A104),'계산도우미'!$L$5:$L$2004,0)),"")</x:f>
      </x:c>
      <x:c r="I104" t="str">
        <x:f>IFERROR(INDEX('계산도우미'!$I$5:$I$2004,MATCH(ROWS($A$6:A104),'계산도우미'!$L$5:$L$2004,0)),"")</x:f>
      </x:c>
      <x:c r="J104" t="str">
        <x:f>IFERROR(INDEX('계산도우미'!$J$5:$J$2004,MATCH(ROWS($A$6:A104),'계산도우미'!$L$5:$L$2004,0)),"")</x:f>
      </x:c>
      <x:c r="K104" t="str">
        <x:f>IF(B104="","",IF(I104="확인 필요","붙임 문서 확인 후 거래 성격·기간·상대방·일회성 여부 확인","결의서명과 전기 대비 발생 건수·단가·시점 차이 검토"))</x:f>
      </x:c>
    </x:row>
    <x:row r="105">
      <x:c r="A105" t="str">
        <x:f>IFERROR(INDEX('계산도우미'!$A$5:$A$2004,MATCH(ROWS($A$6:A105),'계산도우미'!$L$5:$L$2004,0)),"")</x:f>
      </x:c>
      <x:c r="B105" t="str">
        <x:f>IFERROR(INDEX('계산도우미'!$B$5:$B$2004,MATCH(ROWS($A$6:A105),'계산도우미'!$L$5:$L$2004,0)),"")</x:f>
      </x:c>
      <x:c r="C105" t="str">
        <x:f>IFERROR(INDEX('계산도우미'!$C$5:$C$2004,MATCH(ROWS($A$6:A105),'계산도우미'!$L$5:$L$2004,0)),"")</x:f>
      </x:c>
      <x:c r="D105" s="67" t="str">
        <x:f>IFERROR(INDEX('계산도우미'!$D$5:$D$2004,MATCH(ROWS($A$6:A105),'계산도우미'!$L$5:$L$2004,0)),"")</x:f>
      </x:c>
      <x:c r="E105" t="str">
        <x:f>IFERROR(INDEX('계산도우미'!$E$5:$E$2004,MATCH(ROWS($A$6:A105),'계산도우미'!$L$5:$L$2004,0)),"")</x:f>
      </x:c>
      <x:c r="F105" t="str">
        <x:f>IFERROR(INDEX('계산도우미'!$F$5:$F$2004,MATCH(ROWS($A$6:A105),'계산도우미'!$L$5:$L$2004,0)),"")</x:f>
      </x:c>
      <x:c r="G105" s="68" t="str">
        <x:f>IFERROR(INDEX('계산도우미'!$G$5:$G$2004,MATCH(ROWS($A$6:A105),'계산도우미'!$L$5:$L$2004,0)),"")</x:f>
      </x:c>
      <x:c r="H105" t="str">
        <x:f>IFERROR(INDEX('계산도우미'!$H$5:$H$2004,MATCH(ROWS($A$6:A105),'계산도우미'!$L$5:$L$2004,0)),"")</x:f>
      </x:c>
      <x:c r="I105" t="str">
        <x:f>IFERROR(INDEX('계산도우미'!$I$5:$I$2004,MATCH(ROWS($A$6:A105),'계산도우미'!$L$5:$L$2004,0)),"")</x:f>
      </x:c>
      <x:c r="J105" t="str">
        <x:f>IFERROR(INDEX('계산도우미'!$J$5:$J$2004,MATCH(ROWS($A$6:A105),'계산도우미'!$L$5:$L$2004,0)),"")</x:f>
      </x:c>
      <x:c r="K105" t="str">
        <x:f>IF(B105="","",IF(I105="확인 필요","붙임 문서 확인 후 거래 성격·기간·상대방·일회성 여부 확인","결의서명과 전기 대비 발생 건수·단가·시점 차이 검토"))</x:f>
      </x:c>
    </x:row>
    <x:row r="106">
      <x:c r="A106" t="str">
        <x:f>IFERROR(INDEX('계산도우미'!$A$5:$A$2004,MATCH(ROWS($A$6:A106),'계산도우미'!$L$5:$L$2004,0)),"")</x:f>
      </x:c>
      <x:c r="B106" t="str">
        <x:f>IFERROR(INDEX('계산도우미'!$B$5:$B$2004,MATCH(ROWS($A$6:A106),'계산도우미'!$L$5:$L$2004,0)),"")</x:f>
      </x:c>
      <x:c r="C106" t="str">
        <x:f>IFERROR(INDEX('계산도우미'!$C$5:$C$2004,MATCH(ROWS($A$6:A106),'계산도우미'!$L$5:$L$2004,0)),"")</x:f>
      </x:c>
      <x:c r="D106" s="67" t="str">
        <x:f>IFERROR(INDEX('계산도우미'!$D$5:$D$2004,MATCH(ROWS($A$6:A106),'계산도우미'!$L$5:$L$2004,0)),"")</x:f>
      </x:c>
      <x:c r="E106" t="str">
        <x:f>IFERROR(INDEX('계산도우미'!$E$5:$E$2004,MATCH(ROWS($A$6:A106),'계산도우미'!$L$5:$L$2004,0)),"")</x:f>
      </x:c>
      <x:c r="F106" t="str">
        <x:f>IFERROR(INDEX('계산도우미'!$F$5:$F$2004,MATCH(ROWS($A$6:A106),'계산도우미'!$L$5:$L$2004,0)),"")</x:f>
      </x:c>
      <x:c r="G106" s="68" t="str">
        <x:f>IFERROR(INDEX('계산도우미'!$G$5:$G$2004,MATCH(ROWS($A$6:A106),'계산도우미'!$L$5:$L$2004,0)),"")</x:f>
      </x:c>
      <x:c r="H106" t="str">
        <x:f>IFERROR(INDEX('계산도우미'!$H$5:$H$2004,MATCH(ROWS($A$6:A106),'계산도우미'!$L$5:$L$2004,0)),"")</x:f>
      </x:c>
      <x:c r="I106" t="str">
        <x:f>IFERROR(INDEX('계산도우미'!$I$5:$I$2004,MATCH(ROWS($A$6:A106),'계산도우미'!$L$5:$L$2004,0)),"")</x:f>
      </x:c>
      <x:c r="J106" t="str">
        <x:f>IFERROR(INDEX('계산도우미'!$J$5:$J$2004,MATCH(ROWS($A$6:A106),'계산도우미'!$L$5:$L$2004,0)),"")</x:f>
      </x:c>
      <x:c r="K106" t="str">
        <x:f>IF(B106="","",IF(I106="확인 필요","붙임 문서 확인 후 거래 성격·기간·상대방·일회성 여부 확인","결의서명과 전기 대비 발생 건수·단가·시점 차이 검토"))</x:f>
      </x:c>
    </x:row>
    <x:row r="107">
      <x:c r="A107" t="str">
        <x:f>IFERROR(INDEX('계산도우미'!$A$5:$A$2004,MATCH(ROWS($A$6:A107),'계산도우미'!$L$5:$L$2004,0)),"")</x:f>
      </x:c>
      <x:c r="B107" t="str">
        <x:f>IFERROR(INDEX('계산도우미'!$B$5:$B$2004,MATCH(ROWS($A$6:A107),'계산도우미'!$L$5:$L$2004,0)),"")</x:f>
      </x:c>
      <x:c r="C107" t="str">
        <x:f>IFERROR(INDEX('계산도우미'!$C$5:$C$2004,MATCH(ROWS($A$6:A107),'계산도우미'!$L$5:$L$2004,0)),"")</x:f>
      </x:c>
      <x:c r="D107" s="67" t="str">
        <x:f>IFERROR(INDEX('계산도우미'!$D$5:$D$2004,MATCH(ROWS($A$6:A107),'계산도우미'!$L$5:$L$2004,0)),"")</x:f>
      </x:c>
      <x:c r="E107" t="str">
        <x:f>IFERROR(INDEX('계산도우미'!$E$5:$E$2004,MATCH(ROWS($A$6:A107),'계산도우미'!$L$5:$L$2004,0)),"")</x:f>
      </x:c>
      <x:c r="F107" t="str">
        <x:f>IFERROR(INDEX('계산도우미'!$F$5:$F$2004,MATCH(ROWS($A$6:A107),'계산도우미'!$L$5:$L$2004,0)),"")</x:f>
      </x:c>
      <x:c r="G107" s="68" t="str">
        <x:f>IFERROR(INDEX('계산도우미'!$G$5:$G$2004,MATCH(ROWS($A$6:A107),'계산도우미'!$L$5:$L$2004,0)),"")</x:f>
      </x:c>
      <x:c r="H107" t="str">
        <x:f>IFERROR(INDEX('계산도우미'!$H$5:$H$2004,MATCH(ROWS($A$6:A107),'계산도우미'!$L$5:$L$2004,0)),"")</x:f>
      </x:c>
      <x:c r="I107" t="str">
        <x:f>IFERROR(INDEX('계산도우미'!$I$5:$I$2004,MATCH(ROWS($A$6:A107),'계산도우미'!$L$5:$L$2004,0)),"")</x:f>
      </x:c>
      <x:c r="J107" t="str">
        <x:f>IFERROR(INDEX('계산도우미'!$J$5:$J$2004,MATCH(ROWS($A$6:A107),'계산도우미'!$L$5:$L$2004,0)),"")</x:f>
      </x:c>
      <x:c r="K107" t="str">
        <x:f>IF(B107="","",IF(I107="확인 필요","붙임 문서 확인 후 거래 성격·기간·상대방·일회성 여부 확인","결의서명과 전기 대비 발생 건수·단가·시점 차이 검토"))</x:f>
      </x:c>
    </x:row>
    <x:row r="108">
      <x:c r="A108" t="str">
        <x:f>IFERROR(INDEX('계산도우미'!$A$5:$A$2004,MATCH(ROWS($A$6:A108),'계산도우미'!$L$5:$L$2004,0)),"")</x:f>
      </x:c>
      <x:c r="B108" t="str">
        <x:f>IFERROR(INDEX('계산도우미'!$B$5:$B$2004,MATCH(ROWS($A$6:A108),'계산도우미'!$L$5:$L$2004,0)),"")</x:f>
      </x:c>
      <x:c r="C108" t="str">
        <x:f>IFERROR(INDEX('계산도우미'!$C$5:$C$2004,MATCH(ROWS($A$6:A108),'계산도우미'!$L$5:$L$2004,0)),"")</x:f>
      </x:c>
      <x:c r="D108" s="67" t="str">
        <x:f>IFERROR(INDEX('계산도우미'!$D$5:$D$2004,MATCH(ROWS($A$6:A108),'계산도우미'!$L$5:$L$2004,0)),"")</x:f>
      </x:c>
      <x:c r="E108" t="str">
        <x:f>IFERROR(INDEX('계산도우미'!$E$5:$E$2004,MATCH(ROWS($A$6:A108),'계산도우미'!$L$5:$L$2004,0)),"")</x:f>
      </x:c>
      <x:c r="F108" t="str">
        <x:f>IFERROR(INDEX('계산도우미'!$F$5:$F$2004,MATCH(ROWS($A$6:A108),'계산도우미'!$L$5:$L$2004,0)),"")</x:f>
      </x:c>
      <x:c r="G108" s="68" t="str">
        <x:f>IFERROR(INDEX('계산도우미'!$G$5:$G$2004,MATCH(ROWS($A$6:A108),'계산도우미'!$L$5:$L$2004,0)),"")</x:f>
      </x:c>
      <x:c r="H108" t="str">
        <x:f>IFERROR(INDEX('계산도우미'!$H$5:$H$2004,MATCH(ROWS($A$6:A108),'계산도우미'!$L$5:$L$2004,0)),"")</x:f>
      </x:c>
      <x:c r="I108" t="str">
        <x:f>IFERROR(INDEX('계산도우미'!$I$5:$I$2004,MATCH(ROWS($A$6:A108),'계산도우미'!$L$5:$L$2004,0)),"")</x:f>
      </x:c>
      <x:c r="J108" t="str">
        <x:f>IFERROR(INDEX('계산도우미'!$J$5:$J$2004,MATCH(ROWS($A$6:A108),'계산도우미'!$L$5:$L$2004,0)),"")</x:f>
      </x:c>
      <x:c r="K108" t="str">
        <x:f>IF(B108="","",IF(I108="확인 필요","붙임 문서 확인 후 거래 성격·기간·상대방·일회성 여부 확인","결의서명과 전기 대비 발생 건수·단가·시점 차이 검토"))</x:f>
      </x:c>
    </x:row>
    <x:row r="109">
      <x:c r="A109" t="str">
        <x:f>IFERROR(INDEX('계산도우미'!$A$5:$A$2004,MATCH(ROWS($A$6:A109),'계산도우미'!$L$5:$L$2004,0)),"")</x:f>
      </x:c>
      <x:c r="B109" t="str">
        <x:f>IFERROR(INDEX('계산도우미'!$B$5:$B$2004,MATCH(ROWS($A$6:A109),'계산도우미'!$L$5:$L$2004,0)),"")</x:f>
      </x:c>
      <x:c r="C109" t="str">
        <x:f>IFERROR(INDEX('계산도우미'!$C$5:$C$2004,MATCH(ROWS($A$6:A109),'계산도우미'!$L$5:$L$2004,0)),"")</x:f>
      </x:c>
      <x:c r="D109" s="67" t="str">
        <x:f>IFERROR(INDEX('계산도우미'!$D$5:$D$2004,MATCH(ROWS($A$6:A109),'계산도우미'!$L$5:$L$2004,0)),"")</x:f>
      </x:c>
      <x:c r="E109" t="str">
        <x:f>IFERROR(INDEX('계산도우미'!$E$5:$E$2004,MATCH(ROWS($A$6:A109),'계산도우미'!$L$5:$L$2004,0)),"")</x:f>
      </x:c>
      <x:c r="F109" t="str">
        <x:f>IFERROR(INDEX('계산도우미'!$F$5:$F$2004,MATCH(ROWS($A$6:A109),'계산도우미'!$L$5:$L$2004,0)),"")</x:f>
      </x:c>
      <x:c r="G109" s="68" t="str">
        <x:f>IFERROR(INDEX('계산도우미'!$G$5:$G$2004,MATCH(ROWS($A$6:A109),'계산도우미'!$L$5:$L$2004,0)),"")</x:f>
      </x:c>
      <x:c r="H109" t="str">
        <x:f>IFERROR(INDEX('계산도우미'!$H$5:$H$2004,MATCH(ROWS($A$6:A109),'계산도우미'!$L$5:$L$2004,0)),"")</x:f>
      </x:c>
      <x:c r="I109" t="str">
        <x:f>IFERROR(INDEX('계산도우미'!$I$5:$I$2004,MATCH(ROWS($A$6:A109),'계산도우미'!$L$5:$L$2004,0)),"")</x:f>
      </x:c>
      <x:c r="J109" t="str">
        <x:f>IFERROR(INDEX('계산도우미'!$J$5:$J$2004,MATCH(ROWS($A$6:A109),'계산도우미'!$L$5:$L$2004,0)),"")</x:f>
      </x:c>
      <x:c r="K109" t="str">
        <x:f>IF(B109="","",IF(I109="확인 필요","붙임 문서 확인 후 거래 성격·기간·상대방·일회성 여부 확인","결의서명과 전기 대비 발생 건수·단가·시점 차이 검토"))</x:f>
      </x:c>
    </x:row>
    <x:row r="110">
      <x:c r="A110" t="str">
        <x:f>IFERROR(INDEX('계산도우미'!$A$5:$A$2004,MATCH(ROWS($A$6:A110),'계산도우미'!$L$5:$L$2004,0)),"")</x:f>
      </x:c>
      <x:c r="B110" t="str">
        <x:f>IFERROR(INDEX('계산도우미'!$B$5:$B$2004,MATCH(ROWS($A$6:A110),'계산도우미'!$L$5:$L$2004,0)),"")</x:f>
      </x:c>
      <x:c r="C110" t="str">
        <x:f>IFERROR(INDEX('계산도우미'!$C$5:$C$2004,MATCH(ROWS($A$6:A110),'계산도우미'!$L$5:$L$2004,0)),"")</x:f>
      </x:c>
      <x:c r="D110" s="67" t="str">
        <x:f>IFERROR(INDEX('계산도우미'!$D$5:$D$2004,MATCH(ROWS($A$6:A110),'계산도우미'!$L$5:$L$2004,0)),"")</x:f>
      </x:c>
      <x:c r="E110" t="str">
        <x:f>IFERROR(INDEX('계산도우미'!$E$5:$E$2004,MATCH(ROWS($A$6:A110),'계산도우미'!$L$5:$L$2004,0)),"")</x:f>
      </x:c>
      <x:c r="F110" t="str">
        <x:f>IFERROR(INDEX('계산도우미'!$F$5:$F$2004,MATCH(ROWS($A$6:A110),'계산도우미'!$L$5:$L$2004,0)),"")</x:f>
      </x:c>
      <x:c r="G110" s="68" t="str">
        <x:f>IFERROR(INDEX('계산도우미'!$G$5:$G$2004,MATCH(ROWS($A$6:A110),'계산도우미'!$L$5:$L$2004,0)),"")</x:f>
      </x:c>
      <x:c r="H110" t="str">
        <x:f>IFERROR(INDEX('계산도우미'!$H$5:$H$2004,MATCH(ROWS($A$6:A110),'계산도우미'!$L$5:$L$2004,0)),"")</x:f>
      </x:c>
      <x:c r="I110" t="str">
        <x:f>IFERROR(INDEX('계산도우미'!$I$5:$I$2004,MATCH(ROWS($A$6:A110),'계산도우미'!$L$5:$L$2004,0)),"")</x:f>
      </x:c>
      <x:c r="J110" t="str">
        <x:f>IFERROR(INDEX('계산도우미'!$J$5:$J$2004,MATCH(ROWS($A$6:A110),'계산도우미'!$L$5:$L$2004,0)),"")</x:f>
      </x:c>
      <x:c r="K110" t="str">
        <x:f>IF(B110="","",IF(I110="확인 필요","붙임 문서 확인 후 거래 성격·기간·상대방·일회성 여부 확인","결의서명과 전기 대비 발생 건수·단가·시점 차이 검토"))</x:f>
      </x:c>
    </x:row>
    <x:row r="111">
      <x:c r="A111" t="str">
        <x:f>IFERROR(INDEX('계산도우미'!$A$5:$A$2004,MATCH(ROWS($A$6:A111),'계산도우미'!$L$5:$L$2004,0)),"")</x:f>
      </x:c>
      <x:c r="B111" t="str">
        <x:f>IFERROR(INDEX('계산도우미'!$B$5:$B$2004,MATCH(ROWS($A$6:A111),'계산도우미'!$L$5:$L$2004,0)),"")</x:f>
      </x:c>
      <x:c r="C111" t="str">
        <x:f>IFERROR(INDEX('계산도우미'!$C$5:$C$2004,MATCH(ROWS($A$6:A111),'계산도우미'!$L$5:$L$2004,0)),"")</x:f>
      </x:c>
      <x:c r="D111" s="67" t="str">
        <x:f>IFERROR(INDEX('계산도우미'!$D$5:$D$2004,MATCH(ROWS($A$6:A111),'계산도우미'!$L$5:$L$2004,0)),"")</x:f>
      </x:c>
      <x:c r="E111" t="str">
        <x:f>IFERROR(INDEX('계산도우미'!$E$5:$E$2004,MATCH(ROWS($A$6:A111),'계산도우미'!$L$5:$L$2004,0)),"")</x:f>
      </x:c>
      <x:c r="F111" t="str">
        <x:f>IFERROR(INDEX('계산도우미'!$F$5:$F$2004,MATCH(ROWS($A$6:A111),'계산도우미'!$L$5:$L$2004,0)),"")</x:f>
      </x:c>
      <x:c r="G111" s="68" t="str">
        <x:f>IFERROR(INDEX('계산도우미'!$G$5:$G$2004,MATCH(ROWS($A$6:A111),'계산도우미'!$L$5:$L$2004,0)),"")</x:f>
      </x:c>
      <x:c r="H111" t="str">
        <x:f>IFERROR(INDEX('계산도우미'!$H$5:$H$2004,MATCH(ROWS($A$6:A111),'계산도우미'!$L$5:$L$2004,0)),"")</x:f>
      </x:c>
      <x:c r="I111" t="str">
        <x:f>IFERROR(INDEX('계산도우미'!$I$5:$I$2004,MATCH(ROWS($A$6:A111),'계산도우미'!$L$5:$L$2004,0)),"")</x:f>
      </x:c>
      <x:c r="J111" t="str">
        <x:f>IFERROR(INDEX('계산도우미'!$J$5:$J$2004,MATCH(ROWS($A$6:A111),'계산도우미'!$L$5:$L$2004,0)),"")</x:f>
      </x:c>
      <x:c r="K111" t="str">
        <x:f>IF(B111="","",IF(I111="확인 필요","붙임 문서 확인 후 거래 성격·기간·상대방·일회성 여부 확인","결의서명과 전기 대비 발생 건수·단가·시점 차이 검토"))</x:f>
      </x:c>
    </x:row>
    <x:row r="112">
      <x:c r="A112" t="str">
        <x:f>IFERROR(INDEX('계산도우미'!$A$5:$A$2004,MATCH(ROWS($A$6:A112),'계산도우미'!$L$5:$L$2004,0)),"")</x:f>
      </x:c>
      <x:c r="B112" t="str">
        <x:f>IFERROR(INDEX('계산도우미'!$B$5:$B$2004,MATCH(ROWS($A$6:A112),'계산도우미'!$L$5:$L$2004,0)),"")</x:f>
      </x:c>
      <x:c r="C112" t="str">
        <x:f>IFERROR(INDEX('계산도우미'!$C$5:$C$2004,MATCH(ROWS($A$6:A112),'계산도우미'!$L$5:$L$2004,0)),"")</x:f>
      </x:c>
      <x:c r="D112" s="67" t="str">
        <x:f>IFERROR(INDEX('계산도우미'!$D$5:$D$2004,MATCH(ROWS($A$6:A112),'계산도우미'!$L$5:$L$2004,0)),"")</x:f>
      </x:c>
      <x:c r="E112" t="str">
        <x:f>IFERROR(INDEX('계산도우미'!$E$5:$E$2004,MATCH(ROWS($A$6:A112),'계산도우미'!$L$5:$L$2004,0)),"")</x:f>
      </x:c>
      <x:c r="F112" t="str">
        <x:f>IFERROR(INDEX('계산도우미'!$F$5:$F$2004,MATCH(ROWS($A$6:A112),'계산도우미'!$L$5:$L$2004,0)),"")</x:f>
      </x:c>
      <x:c r="G112" s="68" t="str">
        <x:f>IFERROR(INDEX('계산도우미'!$G$5:$G$2004,MATCH(ROWS($A$6:A112),'계산도우미'!$L$5:$L$2004,0)),"")</x:f>
      </x:c>
      <x:c r="H112" t="str">
        <x:f>IFERROR(INDEX('계산도우미'!$H$5:$H$2004,MATCH(ROWS($A$6:A112),'계산도우미'!$L$5:$L$2004,0)),"")</x:f>
      </x:c>
      <x:c r="I112" t="str">
        <x:f>IFERROR(INDEX('계산도우미'!$I$5:$I$2004,MATCH(ROWS($A$6:A112),'계산도우미'!$L$5:$L$2004,0)),"")</x:f>
      </x:c>
      <x:c r="J112" t="str">
        <x:f>IFERROR(INDEX('계산도우미'!$J$5:$J$2004,MATCH(ROWS($A$6:A112),'계산도우미'!$L$5:$L$2004,0)),"")</x:f>
      </x:c>
      <x:c r="K112" t="str">
        <x:f>IF(B112="","",IF(I112="확인 필요","붙임 문서 확인 후 거래 성격·기간·상대방·일회성 여부 확인","결의서명과 전기 대비 발생 건수·단가·시점 차이 검토"))</x:f>
      </x:c>
    </x:row>
    <x:row r="113">
      <x:c r="A113" t="str">
        <x:f>IFERROR(INDEX('계산도우미'!$A$5:$A$2004,MATCH(ROWS($A$6:A113),'계산도우미'!$L$5:$L$2004,0)),"")</x:f>
      </x:c>
      <x:c r="B113" t="str">
        <x:f>IFERROR(INDEX('계산도우미'!$B$5:$B$2004,MATCH(ROWS($A$6:A113),'계산도우미'!$L$5:$L$2004,0)),"")</x:f>
      </x:c>
      <x:c r="C113" t="str">
        <x:f>IFERROR(INDEX('계산도우미'!$C$5:$C$2004,MATCH(ROWS($A$6:A113),'계산도우미'!$L$5:$L$2004,0)),"")</x:f>
      </x:c>
      <x:c r="D113" s="67" t="str">
        <x:f>IFERROR(INDEX('계산도우미'!$D$5:$D$2004,MATCH(ROWS($A$6:A113),'계산도우미'!$L$5:$L$2004,0)),"")</x:f>
      </x:c>
      <x:c r="E113" t="str">
        <x:f>IFERROR(INDEX('계산도우미'!$E$5:$E$2004,MATCH(ROWS($A$6:A113),'계산도우미'!$L$5:$L$2004,0)),"")</x:f>
      </x:c>
      <x:c r="F113" t="str">
        <x:f>IFERROR(INDEX('계산도우미'!$F$5:$F$2004,MATCH(ROWS($A$6:A113),'계산도우미'!$L$5:$L$2004,0)),"")</x:f>
      </x:c>
      <x:c r="G113" s="68" t="str">
        <x:f>IFERROR(INDEX('계산도우미'!$G$5:$G$2004,MATCH(ROWS($A$6:A113),'계산도우미'!$L$5:$L$2004,0)),"")</x:f>
      </x:c>
      <x:c r="H113" t="str">
        <x:f>IFERROR(INDEX('계산도우미'!$H$5:$H$2004,MATCH(ROWS($A$6:A113),'계산도우미'!$L$5:$L$2004,0)),"")</x:f>
      </x:c>
      <x:c r="I113" t="str">
        <x:f>IFERROR(INDEX('계산도우미'!$I$5:$I$2004,MATCH(ROWS($A$6:A113),'계산도우미'!$L$5:$L$2004,0)),"")</x:f>
      </x:c>
      <x:c r="J113" t="str">
        <x:f>IFERROR(INDEX('계산도우미'!$J$5:$J$2004,MATCH(ROWS($A$6:A113),'계산도우미'!$L$5:$L$2004,0)),"")</x:f>
      </x:c>
      <x:c r="K113" t="str">
        <x:f>IF(B113="","",IF(I113="확인 필요","붙임 문서 확인 후 거래 성격·기간·상대방·일회성 여부 확인","결의서명과 전기 대비 발생 건수·단가·시점 차이 검토"))</x:f>
      </x:c>
    </x:row>
    <x:row r="114">
      <x:c r="A114" t="str">
        <x:f>IFERROR(INDEX('계산도우미'!$A$5:$A$2004,MATCH(ROWS($A$6:A114),'계산도우미'!$L$5:$L$2004,0)),"")</x:f>
      </x:c>
      <x:c r="B114" t="str">
        <x:f>IFERROR(INDEX('계산도우미'!$B$5:$B$2004,MATCH(ROWS($A$6:A114),'계산도우미'!$L$5:$L$2004,0)),"")</x:f>
      </x:c>
      <x:c r="C114" t="str">
        <x:f>IFERROR(INDEX('계산도우미'!$C$5:$C$2004,MATCH(ROWS($A$6:A114),'계산도우미'!$L$5:$L$2004,0)),"")</x:f>
      </x:c>
      <x:c r="D114" s="67" t="str">
        <x:f>IFERROR(INDEX('계산도우미'!$D$5:$D$2004,MATCH(ROWS($A$6:A114),'계산도우미'!$L$5:$L$2004,0)),"")</x:f>
      </x:c>
      <x:c r="E114" t="str">
        <x:f>IFERROR(INDEX('계산도우미'!$E$5:$E$2004,MATCH(ROWS($A$6:A114),'계산도우미'!$L$5:$L$2004,0)),"")</x:f>
      </x:c>
      <x:c r="F114" t="str">
        <x:f>IFERROR(INDEX('계산도우미'!$F$5:$F$2004,MATCH(ROWS($A$6:A114),'계산도우미'!$L$5:$L$2004,0)),"")</x:f>
      </x:c>
      <x:c r="G114" s="68" t="str">
        <x:f>IFERROR(INDEX('계산도우미'!$G$5:$G$2004,MATCH(ROWS($A$6:A114),'계산도우미'!$L$5:$L$2004,0)),"")</x:f>
      </x:c>
      <x:c r="H114" t="str">
        <x:f>IFERROR(INDEX('계산도우미'!$H$5:$H$2004,MATCH(ROWS($A$6:A114),'계산도우미'!$L$5:$L$2004,0)),"")</x:f>
      </x:c>
      <x:c r="I114" t="str">
        <x:f>IFERROR(INDEX('계산도우미'!$I$5:$I$2004,MATCH(ROWS($A$6:A114),'계산도우미'!$L$5:$L$2004,0)),"")</x:f>
      </x:c>
      <x:c r="J114" t="str">
        <x:f>IFERROR(INDEX('계산도우미'!$J$5:$J$2004,MATCH(ROWS($A$6:A114),'계산도우미'!$L$5:$L$2004,0)),"")</x:f>
      </x:c>
      <x:c r="K114" t="str">
        <x:f>IF(B114="","",IF(I114="확인 필요","붙임 문서 확인 후 거래 성격·기간·상대방·일회성 여부 확인","결의서명과 전기 대비 발생 건수·단가·시점 차이 검토"))</x:f>
      </x:c>
    </x:row>
    <x:row r="115">
      <x:c r="A115" t="str">
        <x:f>IFERROR(INDEX('계산도우미'!$A$5:$A$2004,MATCH(ROWS($A$6:A115),'계산도우미'!$L$5:$L$2004,0)),"")</x:f>
      </x:c>
      <x:c r="B115" t="str">
        <x:f>IFERROR(INDEX('계산도우미'!$B$5:$B$2004,MATCH(ROWS($A$6:A115),'계산도우미'!$L$5:$L$2004,0)),"")</x:f>
      </x:c>
      <x:c r="C115" t="str">
        <x:f>IFERROR(INDEX('계산도우미'!$C$5:$C$2004,MATCH(ROWS($A$6:A115),'계산도우미'!$L$5:$L$2004,0)),"")</x:f>
      </x:c>
      <x:c r="D115" s="67" t="str">
        <x:f>IFERROR(INDEX('계산도우미'!$D$5:$D$2004,MATCH(ROWS($A$6:A115),'계산도우미'!$L$5:$L$2004,0)),"")</x:f>
      </x:c>
      <x:c r="E115" t="str">
        <x:f>IFERROR(INDEX('계산도우미'!$E$5:$E$2004,MATCH(ROWS($A$6:A115),'계산도우미'!$L$5:$L$2004,0)),"")</x:f>
      </x:c>
      <x:c r="F115" t="str">
        <x:f>IFERROR(INDEX('계산도우미'!$F$5:$F$2004,MATCH(ROWS($A$6:A115),'계산도우미'!$L$5:$L$2004,0)),"")</x:f>
      </x:c>
      <x:c r="G115" s="68" t="str">
        <x:f>IFERROR(INDEX('계산도우미'!$G$5:$G$2004,MATCH(ROWS($A$6:A115),'계산도우미'!$L$5:$L$2004,0)),"")</x:f>
      </x:c>
      <x:c r="H115" t="str">
        <x:f>IFERROR(INDEX('계산도우미'!$H$5:$H$2004,MATCH(ROWS($A$6:A115),'계산도우미'!$L$5:$L$2004,0)),"")</x:f>
      </x:c>
      <x:c r="I115" t="str">
        <x:f>IFERROR(INDEX('계산도우미'!$I$5:$I$2004,MATCH(ROWS($A$6:A115),'계산도우미'!$L$5:$L$2004,0)),"")</x:f>
      </x:c>
      <x:c r="J115" t="str">
        <x:f>IFERROR(INDEX('계산도우미'!$J$5:$J$2004,MATCH(ROWS($A$6:A115),'계산도우미'!$L$5:$L$2004,0)),"")</x:f>
      </x:c>
      <x:c r="K115" t="str">
        <x:f>IF(B115="","",IF(I115="확인 필요","붙임 문서 확인 후 거래 성격·기간·상대방·일회성 여부 확인","결의서명과 전기 대비 발생 건수·단가·시점 차이 검토"))</x:f>
      </x:c>
    </x:row>
    <x:row r="116">
      <x:c r="A116" t="str">
        <x:f>IFERROR(INDEX('계산도우미'!$A$5:$A$2004,MATCH(ROWS($A$6:A116),'계산도우미'!$L$5:$L$2004,0)),"")</x:f>
      </x:c>
      <x:c r="B116" t="str">
        <x:f>IFERROR(INDEX('계산도우미'!$B$5:$B$2004,MATCH(ROWS($A$6:A116),'계산도우미'!$L$5:$L$2004,0)),"")</x:f>
      </x:c>
      <x:c r="C116" t="str">
        <x:f>IFERROR(INDEX('계산도우미'!$C$5:$C$2004,MATCH(ROWS($A$6:A116),'계산도우미'!$L$5:$L$2004,0)),"")</x:f>
      </x:c>
      <x:c r="D116" s="67" t="str">
        <x:f>IFERROR(INDEX('계산도우미'!$D$5:$D$2004,MATCH(ROWS($A$6:A116),'계산도우미'!$L$5:$L$2004,0)),"")</x:f>
      </x:c>
      <x:c r="E116" t="str">
        <x:f>IFERROR(INDEX('계산도우미'!$E$5:$E$2004,MATCH(ROWS($A$6:A116),'계산도우미'!$L$5:$L$2004,0)),"")</x:f>
      </x:c>
      <x:c r="F116" t="str">
        <x:f>IFERROR(INDEX('계산도우미'!$F$5:$F$2004,MATCH(ROWS($A$6:A116),'계산도우미'!$L$5:$L$2004,0)),"")</x:f>
      </x:c>
      <x:c r="G116" s="68" t="str">
        <x:f>IFERROR(INDEX('계산도우미'!$G$5:$G$2004,MATCH(ROWS($A$6:A116),'계산도우미'!$L$5:$L$2004,0)),"")</x:f>
      </x:c>
      <x:c r="H116" t="str">
        <x:f>IFERROR(INDEX('계산도우미'!$H$5:$H$2004,MATCH(ROWS($A$6:A116),'계산도우미'!$L$5:$L$2004,0)),"")</x:f>
      </x:c>
      <x:c r="I116" t="str">
        <x:f>IFERROR(INDEX('계산도우미'!$I$5:$I$2004,MATCH(ROWS($A$6:A116),'계산도우미'!$L$5:$L$2004,0)),"")</x:f>
      </x:c>
      <x:c r="J116" t="str">
        <x:f>IFERROR(INDEX('계산도우미'!$J$5:$J$2004,MATCH(ROWS($A$6:A116),'계산도우미'!$L$5:$L$2004,0)),"")</x:f>
      </x:c>
      <x:c r="K116" t="str">
        <x:f>IF(B116="","",IF(I116="확인 필요","붙임 문서 확인 후 거래 성격·기간·상대방·일회성 여부 확인","결의서명과 전기 대비 발생 건수·단가·시점 차이 검토"))</x:f>
      </x:c>
    </x:row>
    <x:row r="117">
      <x:c r="A117" t="str">
        <x:f>IFERROR(INDEX('계산도우미'!$A$5:$A$2004,MATCH(ROWS($A$6:A117),'계산도우미'!$L$5:$L$2004,0)),"")</x:f>
      </x:c>
      <x:c r="B117" t="str">
        <x:f>IFERROR(INDEX('계산도우미'!$B$5:$B$2004,MATCH(ROWS($A$6:A117),'계산도우미'!$L$5:$L$2004,0)),"")</x:f>
      </x:c>
      <x:c r="C117" t="str">
        <x:f>IFERROR(INDEX('계산도우미'!$C$5:$C$2004,MATCH(ROWS($A$6:A117),'계산도우미'!$L$5:$L$2004,0)),"")</x:f>
      </x:c>
      <x:c r="D117" s="67" t="str">
        <x:f>IFERROR(INDEX('계산도우미'!$D$5:$D$2004,MATCH(ROWS($A$6:A117),'계산도우미'!$L$5:$L$2004,0)),"")</x:f>
      </x:c>
      <x:c r="E117" t="str">
        <x:f>IFERROR(INDEX('계산도우미'!$E$5:$E$2004,MATCH(ROWS($A$6:A117),'계산도우미'!$L$5:$L$2004,0)),"")</x:f>
      </x:c>
      <x:c r="F117" t="str">
        <x:f>IFERROR(INDEX('계산도우미'!$F$5:$F$2004,MATCH(ROWS($A$6:A117),'계산도우미'!$L$5:$L$2004,0)),"")</x:f>
      </x:c>
      <x:c r="G117" s="68" t="str">
        <x:f>IFERROR(INDEX('계산도우미'!$G$5:$G$2004,MATCH(ROWS($A$6:A117),'계산도우미'!$L$5:$L$2004,0)),"")</x:f>
      </x:c>
      <x:c r="H117" t="str">
        <x:f>IFERROR(INDEX('계산도우미'!$H$5:$H$2004,MATCH(ROWS($A$6:A117),'계산도우미'!$L$5:$L$2004,0)),"")</x:f>
      </x:c>
      <x:c r="I117" t="str">
        <x:f>IFERROR(INDEX('계산도우미'!$I$5:$I$2004,MATCH(ROWS($A$6:A117),'계산도우미'!$L$5:$L$2004,0)),"")</x:f>
      </x:c>
      <x:c r="J117" t="str">
        <x:f>IFERROR(INDEX('계산도우미'!$J$5:$J$2004,MATCH(ROWS($A$6:A117),'계산도우미'!$L$5:$L$2004,0)),"")</x:f>
      </x:c>
      <x:c r="K117" t="str">
        <x:f>IF(B117="","",IF(I117="확인 필요","붙임 문서 확인 후 거래 성격·기간·상대방·일회성 여부 확인","결의서명과 전기 대비 발생 건수·단가·시점 차이 검토"))</x:f>
      </x:c>
    </x:row>
    <x:row r="118">
      <x:c r="A118" t="str">
        <x:f>IFERROR(INDEX('계산도우미'!$A$5:$A$2004,MATCH(ROWS($A$6:A118),'계산도우미'!$L$5:$L$2004,0)),"")</x:f>
      </x:c>
      <x:c r="B118" t="str">
        <x:f>IFERROR(INDEX('계산도우미'!$B$5:$B$2004,MATCH(ROWS($A$6:A118),'계산도우미'!$L$5:$L$2004,0)),"")</x:f>
      </x:c>
      <x:c r="C118" t="str">
        <x:f>IFERROR(INDEX('계산도우미'!$C$5:$C$2004,MATCH(ROWS($A$6:A118),'계산도우미'!$L$5:$L$2004,0)),"")</x:f>
      </x:c>
      <x:c r="D118" s="67" t="str">
        <x:f>IFERROR(INDEX('계산도우미'!$D$5:$D$2004,MATCH(ROWS($A$6:A118),'계산도우미'!$L$5:$L$2004,0)),"")</x:f>
      </x:c>
      <x:c r="E118" t="str">
        <x:f>IFERROR(INDEX('계산도우미'!$E$5:$E$2004,MATCH(ROWS($A$6:A118),'계산도우미'!$L$5:$L$2004,0)),"")</x:f>
      </x:c>
      <x:c r="F118" t="str">
        <x:f>IFERROR(INDEX('계산도우미'!$F$5:$F$2004,MATCH(ROWS($A$6:A118),'계산도우미'!$L$5:$L$2004,0)),"")</x:f>
      </x:c>
      <x:c r="G118" s="68" t="str">
        <x:f>IFERROR(INDEX('계산도우미'!$G$5:$G$2004,MATCH(ROWS($A$6:A118),'계산도우미'!$L$5:$L$2004,0)),"")</x:f>
      </x:c>
      <x:c r="H118" t="str">
        <x:f>IFERROR(INDEX('계산도우미'!$H$5:$H$2004,MATCH(ROWS($A$6:A118),'계산도우미'!$L$5:$L$2004,0)),"")</x:f>
      </x:c>
      <x:c r="I118" t="str">
        <x:f>IFERROR(INDEX('계산도우미'!$I$5:$I$2004,MATCH(ROWS($A$6:A118),'계산도우미'!$L$5:$L$2004,0)),"")</x:f>
      </x:c>
      <x:c r="J118" t="str">
        <x:f>IFERROR(INDEX('계산도우미'!$J$5:$J$2004,MATCH(ROWS($A$6:A118),'계산도우미'!$L$5:$L$2004,0)),"")</x:f>
      </x:c>
      <x:c r="K118" t="str">
        <x:f>IF(B118="","",IF(I118="확인 필요","붙임 문서 확인 후 거래 성격·기간·상대방·일회성 여부 확인","결의서명과 전기 대비 발생 건수·단가·시점 차이 검토"))</x:f>
      </x:c>
    </x:row>
    <x:row r="119">
      <x:c r="A119" t="str">
        <x:f>IFERROR(INDEX('계산도우미'!$A$5:$A$2004,MATCH(ROWS($A$6:A119),'계산도우미'!$L$5:$L$2004,0)),"")</x:f>
      </x:c>
      <x:c r="B119" t="str">
        <x:f>IFERROR(INDEX('계산도우미'!$B$5:$B$2004,MATCH(ROWS($A$6:A119),'계산도우미'!$L$5:$L$2004,0)),"")</x:f>
      </x:c>
      <x:c r="C119" t="str">
        <x:f>IFERROR(INDEX('계산도우미'!$C$5:$C$2004,MATCH(ROWS($A$6:A119),'계산도우미'!$L$5:$L$2004,0)),"")</x:f>
      </x:c>
      <x:c r="D119" s="67" t="str">
        <x:f>IFERROR(INDEX('계산도우미'!$D$5:$D$2004,MATCH(ROWS($A$6:A119),'계산도우미'!$L$5:$L$2004,0)),"")</x:f>
      </x:c>
      <x:c r="E119" t="str">
        <x:f>IFERROR(INDEX('계산도우미'!$E$5:$E$2004,MATCH(ROWS($A$6:A119),'계산도우미'!$L$5:$L$2004,0)),"")</x:f>
      </x:c>
      <x:c r="F119" t="str">
        <x:f>IFERROR(INDEX('계산도우미'!$F$5:$F$2004,MATCH(ROWS($A$6:A119),'계산도우미'!$L$5:$L$2004,0)),"")</x:f>
      </x:c>
      <x:c r="G119" s="68" t="str">
        <x:f>IFERROR(INDEX('계산도우미'!$G$5:$G$2004,MATCH(ROWS($A$6:A119),'계산도우미'!$L$5:$L$2004,0)),"")</x:f>
      </x:c>
      <x:c r="H119" t="str">
        <x:f>IFERROR(INDEX('계산도우미'!$H$5:$H$2004,MATCH(ROWS($A$6:A119),'계산도우미'!$L$5:$L$2004,0)),"")</x:f>
      </x:c>
      <x:c r="I119" t="str">
        <x:f>IFERROR(INDEX('계산도우미'!$I$5:$I$2004,MATCH(ROWS($A$6:A119),'계산도우미'!$L$5:$L$2004,0)),"")</x:f>
      </x:c>
      <x:c r="J119" t="str">
        <x:f>IFERROR(INDEX('계산도우미'!$J$5:$J$2004,MATCH(ROWS($A$6:A119),'계산도우미'!$L$5:$L$2004,0)),"")</x:f>
      </x:c>
      <x:c r="K119" t="str">
        <x:f>IF(B119="","",IF(I119="확인 필요","붙임 문서 확인 후 거래 성격·기간·상대방·일회성 여부 확인","결의서명과 전기 대비 발생 건수·단가·시점 차이 검토"))</x:f>
      </x:c>
    </x:row>
    <x:row r="120">
      <x:c r="A120" t="str">
        <x:f>IFERROR(INDEX('계산도우미'!$A$5:$A$2004,MATCH(ROWS($A$6:A120),'계산도우미'!$L$5:$L$2004,0)),"")</x:f>
      </x:c>
      <x:c r="B120" t="str">
        <x:f>IFERROR(INDEX('계산도우미'!$B$5:$B$2004,MATCH(ROWS($A$6:A120),'계산도우미'!$L$5:$L$2004,0)),"")</x:f>
      </x:c>
      <x:c r="C120" t="str">
        <x:f>IFERROR(INDEX('계산도우미'!$C$5:$C$2004,MATCH(ROWS($A$6:A120),'계산도우미'!$L$5:$L$2004,0)),"")</x:f>
      </x:c>
      <x:c r="D120" s="67" t="str">
        <x:f>IFERROR(INDEX('계산도우미'!$D$5:$D$2004,MATCH(ROWS($A$6:A120),'계산도우미'!$L$5:$L$2004,0)),"")</x:f>
      </x:c>
      <x:c r="E120" t="str">
        <x:f>IFERROR(INDEX('계산도우미'!$E$5:$E$2004,MATCH(ROWS($A$6:A120),'계산도우미'!$L$5:$L$2004,0)),"")</x:f>
      </x:c>
      <x:c r="F120" t="str">
        <x:f>IFERROR(INDEX('계산도우미'!$F$5:$F$2004,MATCH(ROWS($A$6:A120),'계산도우미'!$L$5:$L$2004,0)),"")</x:f>
      </x:c>
      <x:c r="G120" s="68" t="str">
        <x:f>IFERROR(INDEX('계산도우미'!$G$5:$G$2004,MATCH(ROWS($A$6:A120),'계산도우미'!$L$5:$L$2004,0)),"")</x:f>
      </x:c>
      <x:c r="H120" t="str">
        <x:f>IFERROR(INDEX('계산도우미'!$H$5:$H$2004,MATCH(ROWS($A$6:A120),'계산도우미'!$L$5:$L$2004,0)),"")</x:f>
      </x:c>
      <x:c r="I120" t="str">
        <x:f>IFERROR(INDEX('계산도우미'!$I$5:$I$2004,MATCH(ROWS($A$6:A120),'계산도우미'!$L$5:$L$2004,0)),"")</x:f>
      </x:c>
      <x:c r="J120" t="str">
        <x:f>IFERROR(INDEX('계산도우미'!$J$5:$J$2004,MATCH(ROWS($A$6:A120),'계산도우미'!$L$5:$L$2004,0)),"")</x:f>
      </x:c>
      <x:c r="K120" t="str">
        <x:f>IF(B120="","",IF(I120="확인 필요","붙임 문서 확인 후 거래 성격·기간·상대방·일회성 여부 확인","결의서명과 전기 대비 발생 건수·단가·시점 차이 검토"))</x:f>
      </x:c>
    </x:row>
    <x:row r="121">
      <x:c r="A121" t="str">
        <x:f>IFERROR(INDEX('계산도우미'!$A$5:$A$2004,MATCH(ROWS($A$6:A121),'계산도우미'!$L$5:$L$2004,0)),"")</x:f>
      </x:c>
      <x:c r="B121" t="str">
        <x:f>IFERROR(INDEX('계산도우미'!$B$5:$B$2004,MATCH(ROWS($A$6:A121),'계산도우미'!$L$5:$L$2004,0)),"")</x:f>
      </x:c>
      <x:c r="C121" t="str">
        <x:f>IFERROR(INDEX('계산도우미'!$C$5:$C$2004,MATCH(ROWS($A$6:A121),'계산도우미'!$L$5:$L$2004,0)),"")</x:f>
      </x:c>
      <x:c r="D121" s="67" t="str">
        <x:f>IFERROR(INDEX('계산도우미'!$D$5:$D$2004,MATCH(ROWS($A$6:A121),'계산도우미'!$L$5:$L$2004,0)),"")</x:f>
      </x:c>
      <x:c r="E121" t="str">
        <x:f>IFERROR(INDEX('계산도우미'!$E$5:$E$2004,MATCH(ROWS($A$6:A121),'계산도우미'!$L$5:$L$2004,0)),"")</x:f>
      </x:c>
      <x:c r="F121" t="str">
        <x:f>IFERROR(INDEX('계산도우미'!$F$5:$F$2004,MATCH(ROWS($A$6:A121),'계산도우미'!$L$5:$L$2004,0)),"")</x:f>
      </x:c>
      <x:c r="G121" s="68" t="str">
        <x:f>IFERROR(INDEX('계산도우미'!$G$5:$G$2004,MATCH(ROWS($A$6:A121),'계산도우미'!$L$5:$L$2004,0)),"")</x:f>
      </x:c>
      <x:c r="H121" t="str">
        <x:f>IFERROR(INDEX('계산도우미'!$H$5:$H$2004,MATCH(ROWS($A$6:A121),'계산도우미'!$L$5:$L$2004,0)),"")</x:f>
      </x:c>
      <x:c r="I121" t="str">
        <x:f>IFERROR(INDEX('계산도우미'!$I$5:$I$2004,MATCH(ROWS($A$6:A121),'계산도우미'!$L$5:$L$2004,0)),"")</x:f>
      </x:c>
      <x:c r="J121" t="str">
        <x:f>IFERROR(INDEX('계산도우미'!$J$5:$J$2004,MATCH(ROWS($A$6:A121),'계산도우미'!$L$5:$L$2004,0)),"")</x:f>
      </x:c>
      <x:c r="K121" t="str">
        <x:f>IF(B121="","",IF(I121="확인 필요","붙임 문서 확인 후 거래 성격·기간·상대방·일회성 여부 확인","결의서명과 전기 대비 발생 건수·단가·시점 차이 검토"))</x:f>
      </x:c>
    </x:row>
    <x:row r="122">
      <x:c r="A122" t="str">
        <x:f>IFERROR(INDEX('계산도우미'!$A$5:$A$2004,MATCH(ROWS($A$6:A122),'계산도우미'!$L$5:$L$2004,0)),"")</x:f>
      </x:c>
      <x:c r="B122" t="str">
        <x:f>IFERROR(INDEX('계산도우미'!$B$5:$B$2004,MATCH(ROWS($A$6:A122),'계산도우미'!$L$5:$L$2004,0)),"")</x:f>
      </x:c>
      <x:c r="C122" t="str">
        <x:f>IFERROR(INDEX('계산도우미'!$C$5:$C$2004,MATCH(ROWS($A$6:A122),'계산도우미'!$L$5:$L$2004,0)),"")</x:f>
      </x:c>
      <x:c r="D122" s="67" t="str">
        <x:f>IFERROR(INDEX('계산도우미'!$D$5:$D$2004,MATCH(ROWS($A$6:A122),'계산도우미'!$L$5:$L$2004,0)),"")</x:f>
      </x:c>
      <x:c r="E122" t="str">
        <x:f>IFERROR(INDEX('계산도우미'!$E$5:$E$2004,MATCH(ROWS($A$6:A122),'계산도우미'!$L$5:$L$2004,0)),"")</x:f>
      </x:c>
      <x:c r="F122" t="str">
        <x:f>IFERROR(INDEX('계산도우미'!$F$5:$F$2004,MATCH(ROWS($A$6:A122),'계산도우미'!$L$5:$L$2004,0)),"")</x:f>
      </x:c>
      <x:c r="G122" s="68" t="str">
        <x:f>IFERROR(INDEX('계산도우미'!$G$5:$G$2004,MATCH(ROWS($A$6:A122),'계산도우미'!$L$5:$L$2004,0)),"")</x:f>
      </x:c>
      <x:c r="H122" t="str">
        <x:f>IFERROR(INDEX('계산도우미'!$H$5:$H$2004,MATCH(ROWS($A$6:A122),'계산도우미'!$L$5:$L$2004,0)),"")</x:f>
      </x:c>
      <x:c r="I122" t="str">
        <x:f>IFERROR(INDEX('계산도우미'!$I$5:$I$2004,MATCH(ROWS($A$6:A122),'계산도우미'!$L$5:$L$2004,0)),"")</x:f>
      </x:c>
      <x:c r="J122" t="str">
        <x:f>IFERROR(INDEX('계산도우미'!$J$5:$J$2004,MATCH(ROWS($A$6:A122),'계산도우미'!$L$5:$L$2004,0)),"")</x:f>
      </x:c>
      <x:c r="K122" t="str">
        <x:f>IF(B122="","",IF(I122="확인 필요","붙임 문서 확인 후 거래 성격·기간·상대방·일회성 여부 확인","결의서명과 전기 대비 발생 건수·단가·시점 차이 검토"))</x:f>
      </x:c>
    </x:row>
    <x:row r="123">
      <x:c r="A123" t="str">
        <x:f>IFERROR(INDEX('계산도우미'!$A$5:$A$2004,MATCH(ROWS($A$6:A123),'계산도우미'!$L$5:$L$2004,0)),"")</x:f>
      </x:c>
      <x:c r="B123" t="str">
        <x:f>IFERROR(INDEX('계산도우미'!$B$5:$B$2004,MATCH(ROWS($A$6:A123),'계산도우미'!$L$5:$L$2004,0)),"")</x:f>
      </x:c>
      <x:c r="C123" t="str">
        <x:f>IFERROR(INDEX('계산도우미'!$C$5:$C$2004,MATCH(ROWS($A$6:A123),'계산도우미'!$L$5:$L$2004,0)),"")</x:f>
      </x:c>
      <x:c r="D123" s="67" t="str">
        <x:f>IFERROR(INDEX('계산도우미'!$D$5:$D$2004,MATCH(ROWS($A$6:A123),'계산도우미'!$L$5:$L$2004,0)),"")</x:f>
      </x:c>
      <x:c r="E123" t="str">
        <x:f>IFERROR(INDEX('계산도우미'!$E$5:$E$2004,MATCH(ROWS($A$6:A123),'계산도우미'!$L$5:$L$2004,0)),"")</x:f>
      </x:c>
      <x:c r="F123" t="str">
        <x:f>IFERROR(INDEX('계산도우미'!$F$5:$F$2004,MATCH(ROWS($A$6:A123),'계산도우미'!$L$5:$L$2004,0)),"")</x:f>
      </x:c>
      <x:c r="G123" s="68" t="str">
        <x:f>IFERROR(INDEX('계산도우미'!$G$5:$G$2004,MATCH(ROWS($A$6:A123),'계산도우미'!$L$5:$L$2004,0)),"")</x:f>
      </x:c>
      <x:c r="H123" t="str">
        <x:f>IFERROR(INDEX('계산도우미'!$H$5:$H$2004,MATCH(ROWS($A$6:A123),'계산도우미'!$L$5:$L$2004,0)),"")</x:f>
      </x:c>
      <x:c r="I123" t="str">
        <x:f>IFERROR(INDEX('계산도우미'!$I$5:$I$2004,MATCH(ROWS($A$6:A123),'계산도우미'!$L$5:$L$2004,0)),"")</x:f>
      </x:c>
      <x:c r="J123" t="str">
        <x:f>IFERROR(INDEX('계산도우미'!$J$5:$J$2004,MATCH(ROWS($A$6:A123),'계산도우미'!$L$5:$L$2004,0)),"")</x:f>
      </x:c>
      <x:c r="K123" t="str">
        <x:f>IF(B123="","",IF(I123="확인 필요","붙임 문서 확인 후 거래 성격·기간·상대방·일회성 여부 확인","결의서명과 전기 대비 발생 건수·단가·시점 차이 검토"))</x:f>
      </x:c>
    </x:row>
    <x:row r="124">
      <x:c r="A124" t="str">
        <x:f>IFERROR(INDEX('계산도우미'!$A$5:$A$2004,MATCH(ROWS($A$6:A124),'계산도우미'!$L$5:$L$2004,0)),"")</x:f>
      </x:c>
      <x:c r="B124" t="str">
        <x:f>IFERROR(INDEX('계산도우미'!$B$5:$B$2004,MATCH(ROWS($A$6:A124),'계산도우미'!$L$5:$L$2004,0)),"")</x:f>
      </x:c>
      <x:c r="C124" t="str">
        <x:f>IFERROR(INDEX('계산도우미'!$C$5:$C$2004,MATCH(ROWS($A$6:A124),'계산도우미'!$L$5:$L$2004,0)),"")</x:f>
      </x:c>
      <x:c r="D124" s="67" t="str">
        <x:f>IFERROR(INDEX('계산도우미'!$D$5:$D$2004,MATCH(ROWS($A$6:A124),'계산도우미'!$L$5:$L$2004,0)),"")</x:f>
      </x:c>
      <x:c r="E124" t="str">
        <x:f>IFERROR(INDEX('계산도우미'!$E$5:$E$2004,MATCH(ROWS($A$6:A124),'계산도우미'!$L$5:$L$2004,0)),"")</x:f>
      </x:c>
      <x:c r="F124" t="str">
        <x:f>IFERROR(INDEX('계산도우미'!$F$5:$F$2004,MATCH(ROWS($A$6:A124),'계산도우미'!$L$5:$L$2004,0)),"")</x:f>
      </x:c>
      <x:c r="G124" s="68" t="str">
        <x:f>IFERROR(INDEX('계산도우미'!$G$5:$G$2004,MATCH(ROWS($A$6:A124),'계산도우미'!$L$5:$L$2004,0)),"")</x:f>
      </x:c>
      <x:c r="H124" t="str">
        <x:f>IFERROR(INDEX('계산도우미'!$H$5:$H$2004,MATCH(ROWS($A$6:A124),'계산도우미'!$L$5:$L$2004,0)),"")</x:f>
      </x:c>
      <x:c r="I124" t="str">
        <x:f>IFERROR(INDEX('계산도우미'!$I$5:$I$2004,MATCH(ROWS($A$6:A124),'계산도우미'!$L$5:$L$2004,0)),"")</x:f>
      </x:c>
      <x:c r="J124" t="str">
        <x:f>IFERROR(INDEX('계산도우미'!$J$5:$J$2004,MATCH(ROWS($A$6:A124),'계산도우미'!$L$5:$L$2004,0)),"")</x:f>
      </x:c>
      <x:c r="K124" t="str">
        <x:f>IF(B124="","",IF(I124="확인 필요","붙임 문서 확인 후 거래 성격·기간·상대방·일회성 여부 확인","결의서명과 전기 대비 발생 건수·단가·시점 차이 검토"))</x:f>
      </x:c>
    </x:row>
    <x:row r="125">
      <x:c r="A125" t="str">
        <x:f>IFERROR(INDEX('계산도우미'!$A$5:$A$2004,MATCH(ROWS($A$6:A125),'계산도우미'!$L$5:$L$2004,0)),"")</x:f>
      </x:c>
      <x:c r="B125" t="str">
        <x:f>IFERROR(INDEX('계산도우미'!$B$5:$B$2004,MATCH(ROWS($A$6:A125),'계산도우미'!$L$5:$L$2004,0)),"")</x:f>
      </x:c>
      <x:c r="C125" t="str">
        <x:f>IFERROR(INDEX('계산도우미'!$C$5:$C$2004,MATCH(ROWS($A$6:A125),'계산도우미'!$L$5:$L$2004,0)),"")</x:f>
      </x:c>
      <x:c r="D125" s="67" t="str">
        <x:f>IFERROR(INDEX('계산도우미'!$D$5:$D$2004,MATCH(ROWS($A$6:A125),'계산도우미'!$L$5:$L$2004,0)),"")</x:f>
      </x:c>
      <x:c r="E125" t="str">
        <x:f>IFERROR(INDEX('계산도우미'!$E$5:$E$2004,MATCH(ROWS($A$6:A125),'계산도우미'!$L$5:$L$2004,0)),"")</x:f>
      </x:c>
      <x:c r="F125" t="str">
        <x:f>IFERROR(INDEX('계산도우미'!$F$5:$F$2004,MATCH(ROWS($A$6:A125),'계산도우미'!$L$5:$L$2004,0)),"")</x:f>
      </x:c>
      <x:c r="G125" s="68" t="str">
        <x:f>IFERROR(INDEX('계산도우미'!$G$5:$G$2004,MATCH(ROWS($A$6:A125),'계산도우미'!$L$5:$L$2004,0)),"")</x:f>
      </x:c>
      <x:c r="H125" t="str">
        <x:f>IFERROR(INDEX('계산도우미'!$H$5:$H$2004,MATCH(ROWS($A$6:A125),'계산도우미'!$L$5:$L$2004,0)),"")</x:f>
      </x:c>
      <x:c r="I125" t="str">
        <x:f>IFERROR(INDEX('계산도우미'!$I$5:$I$2004,MATCH(ROWS($A$6:A125),'계산도우미'!$L$5:$L$2004,0)),"")</x:f>
      </x:c>
      <x:c r="J125" t="str">
        <x:f>IFERROR(INDEX('계산도우미'!$J$5:$J$2004,MATCH(ROWS($A$6:A125),'계산도우미'!$L$5:$L$2004,0)),"")</x:f>
      </x:c>
      <x:c r="K125" t="str">
        <x:f>IF(B125="","",IF(I125="확인 필요","붙임 문서 확인 후 거래 성격·기간·상대방·일회성 여부 확인","결의서명과 전기 대비 발생 건수·단가·시점 차이 검토"))</x:f>
      </x:c>
    </x:row>
    <x:row r="126">
      <x:c r="A126" t="str">
        <x:f>IFERROR(INDEX('계산도우미'!$A$5:$A$2004,MATCH(ROWS($A$6:A126),'계산도우미'!$L$5:$L$2004,0)),"")</x:f>
      </x:c>
      <x:c r="B126" t="str">
        <x:f>IFERROR(INDEX('계산도우미'!$B$5:$B$2004,MATCH(ROWS($A$6:A126),'계산도우미'!$L$5:$L$2004,0)),"")</x:f>
      </x:c>
      <x:c r="C126" t="str">
        <x:f>IFERROR(INDEX('계산도우미'!$C$5:$C$2004,MATCH(ROWS($A$6:A126),'계산도우미'!$L$5:$L$2004,0)),"")</x:f>
      </x:c>
      <x:c r="D126" s="67" t="str">
        <x:f>IFERROR(INDEX('계산도우미'!$D$5:$D$2004,MATCH(ROWS($A$6:A126),'계산도우미'!$L$5:$L$2004,0)),"")</x:f>
      </x:c>
      <x:c r="E126" t="str">
        <x:f>IFERROR(INDEX('계산도우미'!$E$5:$E$2004,MATCH(ROWS($A$6:A126),'계산도우미'!$L$5:$L$2004,0)),"")</x:f>
      </x:c>
      <x:c r="F126" t="str">
        <x:f>IFERROR(INDEX('계산도우미'!$F$5:$F$2004,MATCH(ROWS($A$6:A126),'계산도우미'!$L$5:$L$2004,0)),"")</x:f>
      </x:c>
      <x:c r="G126" s="68" t="str">
        <x:f>IFERROR(INDEX('계산도우미'!$G$5:$G$2004,MATCH(ROWS($A$6:A126),'계산도우미'!$L$5:$L$2004,0)),"")</x:f>
      </x:c>
      <x:c r="H126" t="str">
        <x:f>IFERROR(INDEX('계산도우미'!$H$5:$H$2004,MATCH(ROWS($A$6:A126),'계산도우미'!$L$5:$L$2004,0)),"")</x:f>
      </x:c>
      <x:c r="I126" t="str">
        <x:f>IFERROR(INDEX('계산도우미'!$I$5:$I$2004,MATCH(ROWS($A$6:A126),'계산도우미'!$L$5:$L$2004,0)),"")</x:f>
      </x:c>
      <x:c r="J126" t="str">
        <x:f>IFERROR(INDEX('계산도우미'!$J$5:$J$2004,MATCH(ROWS($A$6:A126),'계산도우미'!$L$5:$L$2004,0)),"")</x:f>
      </x:c>
      <x:c r="K126" t="str">
        <x:f>IF(B126="","",IF(I126="확인 필요","붙임 문서 확인 후 거래 성격·기간·상대방·일회성 여부 확인","결의서명과 전기 대비 발생 건수·단가·시점 차이 검토"))</x:f>
      </x:c>
    </x:row>
    <x:row r="127">
      <x:c r="A127" t="str">
        <x:f>IFERROR(INDEX('계산도우미'!$A$5:$A$2004,MATCH(ROWS($A$6:A127),'계산도우미'!$L$5:$L$2004,0)),"")</x:f>
      </x:c>
      <x:c r="B127" t="str">
        <x:f>IFERROR(INDEX('계산도우미'!$B$5:$B$2004,MATCH(ROWS($A$6:A127),'계산도우미'!$L$5:$L$2004,0)),"")</x:f>
      </x:c>
      <x:c r="C127" t="str">
        <x:f>IFERROR(INDEX('계산도우미'!$C$5:$C$2004,MATCH(ROWS($A$6:A127),'계산도우미'!$L$5:$L$2004,0)),"")</x:f>
      </x:c>
      <x:c r="D127" s="67" t="str">
        <x:f>IFERROR(INDEX('계산도우미'!$D$5:$D$2004,MATCH(ROWS($A$6:A127),'계산도우미'!$L$5:$L$2004,0)),"")</x:f>
      </x:c>
      <x:c r="E127" t="str">
        <x:f>IFERROR(INDEX('계산도우미'!$E$5:$E$2004,MATCH(ROWS($A$6:A127),'계산도우미'!$L$5:$L$2004,0)),"")</x:f>
      </x:c>
      <x:c r="F127" t="str">
        <x:f>IFERROR(INDEX('계산도우미'!$F$5:$F$2004,MATCH(ROWS($A$6:A127),'계산도우미'!$L$5:$L$2004,0)),"")</x:f>
      </x:c>
      <x:c r="G127" s="68" t="str">
        <x:f>IFERROR(INDEX('계산도우미'!$G$5:$G$2004,MATCH(ROWS($A$6:A127),'계산도우미'!$L$5:$L$2004,0)),"")</x:f>
      </x:c>
      <x:c r="H127" t="str">
        <x:f>IFERROR(INDEX('계산도우미'!$H$5:$H$2004,MATCH(ROWS($A$6:A127),'계산도우미'!$L$5:$L$2004,0)),"")</x:f>
      </x:c>
      <x:c r="I127" t="str">
        <x:f>IFERROR(INDEX('계산도우미'!$I$5:$I$2004,MATCH(ROWS($A$6:A127),'계산도우미'!$L$5:$L$2004,0)),"")</x:f>
      </x:c>
      <x:c r="J127" t="str">
        <x:f>IFERROR(INDEX('계산도우미'!$J$5:$J$2004,MATCH(ROWS($A$6:A127),'계산도우미'!$L$5:$L$2004,0)),"")</x:f>
      </x:c>
      <x:c r="K127" t="str">
        <x:f>IF(B127="","",IF(I127="확인 필요","붙임 문서 확인 후 거래 성격·기간·상대방·일회성 여부 확인","결의서명과 전기 대비 발생 건수·단가·시점 차이 검토"))</x:f>
      </x:c>
    </x:row>
    <x:row r="128">
      <x:c r="A128" t="str">
        <x:f>IFERROR(INDEX('계산도우미'!$A$5:$A$2004,MATCH(ROWS($A$6:A128),'계산도우미'!$L$5:$L$2004,0)),"")</x:f>
      </x:c>
      <x:c r="B128" t="str">
        <x:f>IFERROR(INDEX('계산도우미'!$B$5:$B$2004,MATCH(ROWS($A$6:A128),'계산도우미'!$L$5:$L$2004,0)),"")</x:f>
      </x:c>
      <x:c r="C128" t="str">
        <x:f>IFERROR(INDEX('계산도우미'!$C$5:$C$2004,MATCH(ROWS($A$6:A128),'계산도우미'!$L$5:$L$2004,0)),"")</x:f>
      </x:c>
      <x:c r="D128" s="67" t="str">
        <x:f>IFERROR(INDEX('계산도우미'!$D$5:$D$2004,MATCH(ROWS($A$6:A128),'계산도우미'!$L$5:$L$2004,0)),"")</x:f>
      </x:c>
      <x:c r="E128" t="str">
        <x:f>IFERROR(INDEX('계산도우미'!$E$5:$E$2004,MATCH(ROWS($A$6:A128),'계산도우미'!$L$5:$L$2004,0)),"")</x:f>
      </x:c>
      <x:c r="F128" t="str">
        <x:f>IFERROR(INDEX('계산도우미'!$F$5:$F$2004,MATCH(ROWS($A$6:A128),'계산도우미'!$L$5:$L$2004,0)),"")</x:f>
      </x:c>
      <x:c r="G128" s="68" t="str">
        <x:f>IFERROR(INDEX('계산도우미'!$G$5:$G$2004,MATCH(ROWS($A$6:A128),'계산도우미'!$L$5:$L$2004,0)),"")</x:f>
      </x:c>
      <x:c r="H128" t="str">
        <x:f>IFERROR(INDEX('계산도우미'!$H$5:$H$2004,MATCH(ROWS($A$6:A128),'계산도우미'!$L$5:$L$2004,0)),"")</x:f>
      </x:c>
      <x:c r="I128" t="str">
        <x:f>IFERROR(INDEX('계산도우미'!$I$5:$I$2004,MATCH(ROWS($A$6:A128),'계산도우미'!$L$5:$L$2004,0)),"")</x:f>
      </x:c>
      <x:c r="J128" t="str">
        <x:f>IFERROR(INDEX('계산도우미'!$J$5:$J$2004,MATCH(ROWS($A$6:A128),'계산도우미'!$L$5:$L$2004,0)),"")</x:f>
      </x:c>
      <x:c r="K128" t="str">
        <x:f>IF(B128="","",IF(I128="확인 필요","붙임 문서 확인 후 거래 성격·기간·상대방·일회성 여부 확인","결의서명과 전기 대비 발생 건수·단가·시점 차이 검토"))</x:f>
      </x:c>
    </x:row>
    <x:row r="129">
      <x:c r="A129" t="str">
        <x:f>IFERROR(INDEX('계산도우미'!$A$5:$A$2004,MATCH(ROWS($A$6:A129),'계산도우미'!$L$5:$L$2004,0)),"")</x:f>
      </x:c>
      <x:c r="B129" t="str">
        <x:f>IFERROR(INDEX('계산도우미'!$B$5:$B$2004,MATCH(ROWS($A$6:A129),'계산도우미'!$L$5:$L$2004,0)),"")</x:f>
      </x:c>
      <x:c r="C129" t="str">
        <x:f>IFERROR(INDEX('계산도우미'!$C$5:$C$2004,MATCH(ROWS($A$6:A129),'계산도우미'!$L$5:$L$2004,0)),"")</x:f>
      </x:c>
      <x:c r="D129" s="67" t="str">
        <x:f>IFERROR(INDEX('계산도우미'!$D$5:$D$2004,MATCH(ROWS($A$6:A129),'계산도우미'!$L$5:$L$2004,0)),"")</x:f>
      </x:c>
      <x:c r="E129" t="str">
        <x:f>IFERROR(INDEX('계산도우미'!$E$5:$E$2004,MATCH(ROWS($A$6:A129),'계산도우미'!$L$5:$L$2004,0)),"")</x:f>
      </x:c>
      <x:c r="F129" t="str">
        <x:f>IFERROR(INDEX('계산도우미'!$F$5:$F$2004,MATCH(ROWS($A$6:A129),'계산도우미'!$L$5:$L$2004,0)),"")</x:f>
      </x:c>
      <x:c r="G129" s="68" t="str">
        <x:f>IFERROR(INDEX('계산도우미'!$G$5:$G$2004,MATCH(ROWS($A$6:A129),'계산도우미'!$L$5:$L$2004,0)),"")</x:f>
      </x:c>
      <x:c r="H129" t="str">
        <x:f>IFERROR(INDEX('계산도우미'!$H$5:$H$2004,MATCH(ROWS($A$6:A129),'계산도우미'!$L$5:$L$2004,0)),"")</x:f>
      </x:c>
      <x:c r="I129" t="str">
        <x:f>IFERROR(INDEX('계산도우미'!$I$5:$I$2004,MATCH(ROWS($A$6:A129),'계산도우미'!$L$5:$L$2004,0)),"")</x:f>
      </x:c>
      <x:c r="J129" t="str">
        <x:f>IFERROR(INDEX('계산도우미'!$J$5:$J$2004,MATCH(ROWS($A$6:A129),'계산도우미'!$L$5:$L$2004,0)),"")</x:f>
      </x:c>
      <x:c r="K129" t="str">
        <x:f>IF(B129="","",IF(I129="확인 필요","붙임 문서 확인 후 거래 성격·기간·상대방·일회성 여부 확인","결의서명과 전기 대비 발생 건수·단가·시점 차이 검토"))</x:f>
      </x:c>
    </x:row>
    <x:row r="130">
      <x:c r="A130" t="str">
        <x:f>IFERROR(INDEX('계산도우미'!$A$5:$A$2004,MATCH(ROWS($A$6:A130),'계산도우미'!$L$5:$L$2004,0)),"")</x:f>
      </x:c>
      <x:c r="B130" t="str">
        <x:f>IFERROR(INDEX('계산도우미'!$B$5:$B$2004,MATCH(ROWS($A$6:A130),'계산도우미'!$L$5:$L$2004,0)),"")</x:f>
      </x:c>
      <x:c r="C130" t="str">
        <x:f>IFERROR(INDEX('계산도우미'!$C$5:$C$2004,MATCH(ROWS($A$6:A130),'계산도우미'!$L$5:$L$2004,0)),"")</x:f>
      </x:c>
      <x:c r="D130" s="67" t="str">
        <x:f>IFERROR(INDEX('계산도우미'!$D$5:$D$2004,MATCH(ROWS($A$6:A130),'계산도우미'!$L$5:$L$2004,0)),"")</x:f>
      </x:c>
      <x:c r="E130" t="str">
        <x:f>IFERROR(INDEX('계산도우미'!$E$5:$E$2004,MATCH(ROWS($A$6:A130),'계산도우미'!$L$5:$L$2004,0)),"")</x:f>
      </x:c>
      <x:c r="F130" t="str">
        <x:f>IFERROR(INDEX('계산도우미'!$F$5:$F$2004,MATCH(ROWS($A$6:A130),'계산도우미'!$L$5:$L$2004,0)),"")</x:f>
      </x:c>
      <x:c r="G130" s="68" t="str">
        <x:f>IFERROR(INDEX('계산도우미'!$G$5:$G$2004,MATCH(ROWS($A$6:A130),'계산도우미'!$L$5:$L$2004,0)),"")</x:f>
      </x:c>
      <x:c r="H130" t="str">
        <x:f>IFERROR(INDEX('계산도우미'!$H$5:$H$2004,MATCH(ROWS($A$6:A130),'계산도우미'!$L$5:$L$2004,0)),"")</x:f>
      </x:c>
      <x:c r="I130" t="str">
        <x:f>IFERROR(INDEX('계산도우미'!$I$5:$I$2004,MATCH(ROWS($A$6:A130),'계산도우미'!$L$5:$L$2004,0)),"")</x:f>
      </x:c>
      <x:c r="J130" t="str">
        <x:f>IFERROR(INDEX('계산도우미'!$J$5:$J$2004,MATCH(ROWS($A$6:A130),'계산도우미'!$L$5:$L$2004,0)),"")</x:f>
      </x:c>
      <x:c r="K130" t="str">
        <x:f>IF(B130="","",IF(I130="확인 필요","붙임 문서 확인 후 거래 성격·기간·상대방·일회성 여부 확인","결의서명과 전기 대비 발생 건수·단가·시점 차이 검토"))</x:f>
      </x:c>
    </x:row>
    <x:row r="131">
      <x:c r="A131" t="str">
        <x:f>IFERROR(INDEX('계산도우미'!$A$5:$A$2004,MATCH(ROWS($A$6:A131),'계산도우미'!$L$5:$L$2004,0)),"")</x:f>
      </x:c>
      <x:c r="B131" t="str">
        <x:f>IFERROR(INDEX('계산도우미'!$B$5:$B$2004,MATCH(ROWS($A$6:A131),'계산도우미'!$L$5:$L$2004,0)),"")</x:f>
      </x:c>
      <x:c r="C131" t="str">
        <x:f>IFERROR(INDEX('계산도우미'!$C$5:$C$2004,MATCH(ROWS($A$6:A131),'계산도우미'!$L$5:$L$2004,0)),"")</x:f>
      </x:c>
      <x:c r="D131" s="67" t="str">
        <x:f>IFERROR(INDEX('계산도우미'!$D$5:$D$2004,MATCH(ROWS($A$6:A131),'계산도우미'!$L$5:$L$2004,0)),"")</x:f>
      </x:c>
      <x:c r="E131" t="str">
        <x:f>IFERROR(INDEX('계산도우미'!$E$5:$E$2004,MATCH(ROWS($A$6:A131),'계산도우미'!$L$5:$L$2004,0)),"")</x:f>
      </x:c>
      <x:c r="F131" t="str">
        <x:f>IFERROR(INDEX('계산도우미'!$F$5:$F$2004,MATCH(ROWS($A$6:A131),'계산도우미'!$L$5:$L$2004,0)),"")</x:f>
      </x:c>
      <x:c r="G131" s="68" t="str">
        <x:f>IFERROR(INDEX('계산도우미'!$G$5:$G$2004,MATCH(ROWS($A$6:A131),'계산도우미'!$L$5:$L$2004,0)),"")</x:f>
      </x:c>
      <x:c r="H131" t="str">
        <x:f>IFERROR(INDEX('계산도우미'!$H$5:$H$2004,MATCH(ROWS($A$6:A131),'계산도우미'!$L$5:$L$2004,0)),"")</x:f>
      </x:c>
      <x:c r="I131" t="str">
        <x:f>IFERROR(INDEX('계산도우미'!$I$5:$I$2004,MATCH(ROWS($A$6:A131),'계산도우미'!$L$5:$L$2004,0)),"")</x:f>
      </x:c>
      <x:c r="J131" t="str">
        <x:f>IFERROR(INDEX('계산도우미'!$J$5:$J$2004,MATCH(ROWS($A$6:A131),'계산도우미'!$L$5:$L$2004,0)),"")</x:f>
      </x:c>
      <x:c r="K131" t="str">
        <x:f>IF(B131="","",IF(I131="확인 필요","붙임 문서 확인 후 거래 성격·기간·상대방·일회성 여부 확인","결의서명과 전기 대비 발생 건수·단가·시점 차이 검토"))</x:f>
      </x:c>
    </x:row>
    <x:row r="132">
      <x:c r="A132" t="str">
        <x:f>IFERROR(INDEX('계산도우미'!$A$5:$A$2004,MATCH(ROWS($A$6:A132),'계산도우미'!$L$5:$L$2004,0)),"")</x:f>
      </x:c>
      <x:c r="B132" t="str">
        <x:f>IFERROR(INDEX('계산도우미'!$B$5:$B$2004,MATCH(ROWS($A$6:A132),'계산도우미'!$L$5:$L$2004,0)),"")</x:f>
      </x:c>
      <x:c r="C132" t="str">
        <x:f>IFERROR(INDEX('계산도우미'!$C$5:$C$2004,MATCH(ROWS($A$6:A132),'계산도우미'!$L$5:$L$2004,0)),"")</x:f>
      </x:c>
      <x:c r="D132" s="67" t="str">
        <x:f>IFERROR(INDEX('계산도우미'!$D$5:$D$2004,MATCH(ROWS($A$6:A132),'계산도우미'!$L$5:$L$2004,0)),"")</x:f>
      </x:c>
      <x:c r="E132" t="str">
        <x:f>IFERROR(INDEX('계산도우미'!$E$5:$E$2004,MATCH(ROWS($A$6:A132),'계산도우미'!$L$5:$L$2004,0)),"")</x:f>
      </x:c>
      <x:c r="F132" t="str">
        <x:f>IFERROR(INDEX('계산도우미'!$F$5:$F$2004,MATCH(ROWS($A$6:A132),'계산도우미'!$L$5:$L$2004,0)),"")</x:f>
      </x:c>
      <x:c r="G132" s="68" t="str">
        <x:f>IFERROR(INDEX('계산도우미'!$G$5:$G$2004,MATCH(ROWS($A$6:A132),'계산도우미'!$L$5:$L$2004,0)),"")</x:f>
      </x:c>
      <x:c r="H132" t="str">
        <x:f>IFERROR(INDEX('계산도우미'!$H$5:$H$2004,MATCH(ROWS($A$6:A132),'계산도우미'!$L$5:$L$2004,0)),"")</x:f>
      </x:c>
      <x:c r="I132" t="str">
        <x:f>IFERROR(INDEX('계산도우미'!$I$5:$I$2004,MATCH(ROWS($A$6:A132),'계산도우미'!$L$5:$L$2004,0)),"")</x:f>
      </x:c>
      <x:c r="J132" t="str">
        <x:f>IFERROR(INDEX('계산도우미'!$J$5:$J$2004,MATCH(ROWS($A$6:A132),'계산도우미'!$L$5:$L$2004,0)),"")</x:f>
      </x:c>
      <x:c r="K132" t="str">
        <x:f>IF(B132="","",IF(I132="확인 필요","붙임 문서 확인 후 거래 성격·기간·상대방·일회성 여부 확인","결의서명과 전기 대비 발생 건수·단가·시점 차이 검토"))</x:f>
      </x:c>
    </x:row>
    <x:row r="133">
      <x:c r="A133" t="str">
        <x:f>IFERROR(INDEX('계산도우미'!$A$5:$A$2004,MATCH(ROWS($A$6:A133),'계산도우미'!$L$5:$L$2004,0)),"")</x:f>
      </x:c>
      <x:c r="B133" t="str">
        <x:f>IFERROR(INDEX('계산도우미'!$B$5:$B$2004,MATCH(ROWS($A$6:A133),'계산도우미'!$L$5:$L$2004,0)),"")</x:f>
      </x:c>
      <x:c r="C133" t="str">
        <x:f>IFERROR(INDEX('계산도우미'!$C$5:$C$2004,MATCH(ROWS($A$6:A133),'계산도우미'!$L$5:$L$2004,0)),"")</x:f>
      </x:c>
      <x:c r="D133" s="67" t="str">
        <x:f>IFERROR(INDEX('계산도우미'!$D$5:$D$2004,MATCH(ROWS($A$6:A133),'계산도우미'!$L$5:$L$2004,0)),"")</x:f>
      </x:c>
      <x:c r="E133" t="str">
        <x:f>IFERROR(INDEX('계산도우미'!$E$5:$E$2004,MATCH(ROWS($A$6:A133),'계산도우미'!$L$5:$L$2004,0)),"")</x:f>
      </x:c>
      <x:c r="F133" t="str">
        <x:f>IFERROR(INDEX('계산도우미'!$F$5:$F$2004,MATCH(ROWS($A$6:A133),'계산도우미'!$L$5:$L$2004,0)),"")</x:f>
      </x:c>
      <x:c r="G133" s="68" t="str">
        <x:f>IFERROR(INDEX('계산도우미'!$G$5:$G$2004,MATCH(ROWS($A$6:A133),'계산도우미'!$L$5:$L$2004,0)),"")</x:f>
      </x:c>
      <x:c r="H133" t="str">
        <x:f>IFERROR(INDEX('계산도우미'!$H$5:$H$2004,MATCH(ROWS($A$6:A133),'계산도우미'!$L$5:$L$2004,0)),"")</x:f>
      </x:c>
      <x:c r="I133" t="str">
        <x:f>IFERROR(INDEX('계산도우미'!$I$5:$I$2004,MATCH(ROWS($A$6:A133),'계산도우미'!$L$5:$L$2004,0)),"")</x:f>
      </x:c>
      <x:c r="J133" t="str">
        <x:f>IFERROR(INDEX('계산도우미'!$J$5:$J$2004,MATCH(ROWS($A$6:A133),'계산도우미'!$L$5:$L$2004,0)),"")</x:f>
      </x:c>
      <x:c r="K133" t="str">
        <x:f>IF(B133="","",IF(I133="확인 필요","붙임 문서 확인 후 거래 성격·기간·상대방·일회성 여부 확인","결의서명과 전기 대비 발생 건수·단가·시점 차이 검토"))</x:f>
      </x:c>
    </x:row>
    <x:row r="134">
      <x:c r="A134" t="str">
        <x:f>IFERROR(INDEX('계산도우미'!$A$5:$A$2004,MATCH(ROWS($A$6:A134),'계산도우미'!$L$5:$L$2004,0)),"")</x:f>
      </x:c>
      <x:c r="B134" t="str">
        <x:f>IFERROR(INDEX('계산도우미'!$B$5:$B$2004,MATCH(ROWS($A$6:A134),'계산도우미'!$L$5:$L$2004,0)),"")</x:f>
      </x:c>
      <x:c r="C134" t="str">
        <x:f>IFERROR(INDEX('계산도우미'!$C$5:$C$2004,MATCH(ROWS($A$6:A134),'계산도우미'!$L$5:$L$2004,0)),"")</x:f>
      </x:c>
      <x:c r="D134" s="67" t="str">
        <x:f>IFERROR(INDEX('계산도우미'!$D$5:$D$2004,MATCH(ROWS($A$6:A134),'계산도우미'!$L$5:$L$2004,0)),"")</x:f>
      </x:c>
      <x:c r="E134" t="str">
        <x:f>IFERROR(INDEX('계산도우미'!$E$5:$E$2004,MATCH(ROWS($A$6:A134),'계산도우미'!$L$5:$L$2004,0)),"")</x:f>
      </x:c>
      <x:c r="F134" t="str">
        <x:f>IFERROR(INDEX('계산도우미'!$F$5:$F$2004,MATCH(ROWS($A$6:A134),'계산도우미'!$L$5:$L$2004,0)),"")</x:f>
      </x:c>
      <x:c r="G134" s="68" t="str">
        <x:f>IFERROR(INDEX('계산도우미'!$G$5:$G$2004,MATCH(ROWS($A$6:A134),'계산도우미'!$L$5:$L$2004,0)),"")</x:f>
      </x:c>
      <x:c r="H134" t="str">
        <x:f>IFERROR(INDEX('계산도우미'!$H$5:$H$2004,MATCH(ROWS($A$6:A134),'계산도우미'!$L$5:$L$2004,0)),"")</x:f>
      </x:c>
      <x:c r="I134" t="str">
        <x:f>IFERROR(INDEX('계산도우미'!$I$5:$I$2004,MATCH(ROWS($A$6:A134),'계산도우미'!$L$5:$L$2004,0)),"")</x:f>
      </x:c>
      <x:c r="J134" t="str">
        <x:f>IFERROR(INDEX('계산도우미'!$J$5:$J$2004,MATCH(ROWS($A$6:A134),'계산도우미'!$L$5:$L$2004,0)),"")</x:f>
      </x:c>
      <x:c r="K134" t="str">
        <x:f>IF(B134="","",IF(I134="확인 필요","붙임 문서 확인 후 거래 성격·기간·상대방·일회성 여부 확인","결의서명과 전기 대비 발생 건수·단가·시점 차이 검토"))</x:f>
      </x:c>
    </x:row>
    <x:row r="135">
      <x:c r="A135" t="str">
        <x:f>IFERROR(INDEX('계산도우미'!$A$5:$A$2004,MATCH(ROWS($A$6:A135),'계산도우미'!$L$5:$L$2004,0)),"")</x:f>
      </x:c>
      <x:c r="B135" t="str">
        <x:f>IFERROR(INDEX('계산도우미'!$B$5:$B$2004,MATCH(ROWS($A$6:A135),'계산도우미'!$L$5:$L$2004,0)),"")</x:f>
      </x:c>
      <x:c r="C135" t="str">
        <x:f>IFERROR(INDEX('계산도우미'!$C$5:$C$2004,MATCH(ROWS($A$6:A135),'계산도우미'!$L$5:$L$2004,0)),"")</x:f>
      </x:c>
      <x:c r="D135" s="67" t="str">
        <x:f>IFERROR(INDEX('계산도우미'!$D$5:$D$2004,MATCH(ROWS($A$6:A135),'계산도우미'!$L$5:$L$2004,0)),"")</x:f>
      </x:c>
      <x:c r="E135" t="str">
        <x:f>IFERROR(INDEX('계산도우미'!$E$5:$E$2004,MATCH(ROWS($A$6:A135),'계산도우미'!$L$5:$L$2004,0)),"")</x:f>
      </x:c>
      <x:c r="F135" t="str">
        <x:f>IFERROR(INDEX('계산도우미'!$F$5:$F$2004,MATCH(ROWS($A$6:A135),'계산도우미'!$L$5:$L$2004,0)),"")</x:f>
      </x:c>
      <x:c r="G135" s="68" t="str">
        <x:f>IFERROR(INDEX('계산도우미'!$G$5:$G$2004,MATCH(ROWS($A$6:A135),'계산도우미'!$L$5:$L$2004,0)),"")</x:f>
      </x:c>
      <x:c r="H135" t="str">
        <x:f>IFERROR(INDEX('계산도우미'!$H$5:$H$2004,MATCH(ROWS($A$6:A135),'계산도우미'!$L$5:$L$2004,0)),"")</x:f>
      </x:c>
      <x:c r="I135" t="str">
        <x:f>IFERROR(INDEX('계산도우미'!$I$5:$I$2004,MATCH(ROWS($A$6:A135),'계산도우미'!$L$5:$L$2004,0)),"")</x:f>
      </x:c>
      <x:c r="J135" t="str">
        <x:f>IFERROR(INDEX('계산도우미'!$J$5:$J$2004,MATCH(ROWS($A$6:A135),'계산도우미'!$L$5:$L$2004,0)),"")</x:f>
      </x:c>
      <x:c r="K135" t="str">
        <x:f>IF(B135="","",IF(I135="확인 필요","붙임 문서 확인 후 거래 성격·기간·상대방·일회성 여부 확인","결의서명과 전기 대비 발생 건수·단가·시점 차이 검토"))</x:f>
      </x:c>
    </x:row>
    <x:row r="136">
      <x:c r="A136" t="str">
        <x:f>IFERROR(INDEX('계산도우미'!$A$5:$A$2004,MATCH(ROWS($A$6:A136),'계산도우미'!$L$5:$L$2004,0)),"")</x:f>
      </x:c>
      <x:c r="B136" t="str">
        <x:f>IFERROR(INDEX('계산도우미'!$B$5:$B$2004,MATCH(ROWS($A$6:A136),'계산도우미'!$L$5:$L$2004,0)),"")</x:f>
      </x:c>
      <x:c r="C136" t="str">
        <x:f>IFERROR(INDEX('계산도우미'!$C$5:$C$2004,MATCH(ROWS($A$6:A136),'계산도우미'!$L$5:$L$2004,0)),"")</x:f>
      </x:c>
      <x:c r="D136" s="67" t="str">
        <x:f>IFERROR(INDEX('계산도우미'!$D$5:$D$2004,MATCH(ROWS($A$6:A136),'계산도우미'!$L$5:$L$2004,0)),"")</x:f>
      </x:c>
      <x:c r="E136" t="str">
        <x:f>IFERROR(INDEX('계산도우미'!$E$5:$E$2004,MATCH(ROWS($A$6:A136),'계산도우미'!$L$5:$L$2004,0)),"")</x:f>
      </x:c>
      <x:c r="F136" t="str">
        <x:f>IFERROR(INDEX('계산도우미'!$F$5:$F$2004,MATCH(ROWS($A$6:A136),'계산도우미'!$L$5:$L$2004,0)),"")</x:f>
      </x:c>
      <x:c r="G136" s="68" t="str">
        <x:f>IFERROR(INDEX('계산도우미'!$G$5:$G$2004,MATCH(ROWS($A$6:A136),'계산도우미'!$L$5:$L$2004,0)),"")</x:f>
      </x:c>
      <x:c r="H136" t="str">
        <x:f>IFERROR(INDEX('계산도우미'!$H$5:$H$2004,MATCH(ROWS($A$6:A136),'계산도우미'!$L$5:$L$2004,0)),"")</x:f>
      </x:c>
      <x:c r="I136" t="str">
        <x:f>IFERROR(INDEX('계산도우미'!$I$5:$I$2004,MATCH(ROWS($A$6:A136),'계산도우미'!$L$5:$L$2004,0)),"")</x:f>
      </x:c>
      <x:c r="J136" t="str">
        <x:f>IFERROR(INDEX('계산도우미'!$J$5:$J$2004,MATCH(ROWS($A$6:A136),'계산도우미'!$L$5:$L$2004,0)),"")</x:f>
      </x:c>
      <x:c r="K136" t="str">
        <x:f>IF(B136="","",IF(I136="확인 필요","붙임 문서 확인 후 거래 성격·기간·상대방·일회성 여부 확인","결의서명과 전기 대비 발생 건수·단가·시점 차이 검토"))</x:f>
      </x:c>
    </x:row>
    <x:row r="137">
      <x:c r="A137" t="str">
        <x:f>IFERROR(INDEX('계산도우미'!$A$5:$A$2004,MATCH(ROWS($A$6:A137),'계산도우미'!$L$5:$L$2004,0)),"")</x:f>
      </x:c>
      <x:c r="B137" t="str">
        <x:f>IFERROR(INDEX('계산도우미'!$B$5:$B$2004,MATCH(ROWS($A$6:A137),'계산도우미'!$L$5:$L$2004,0)),"")</x:f>
      </x:c>
      <x:c r="C137" t="str">
        <x:f>IFERROR(INDEX('계산도우미'!$C$5:$C$2004,MATCH(ROWS($A$6:A137),'계산도우미'!$L$5:$L$2004,0)),"")</x:f>
      </x:c>
      <x:c r="D137" s="67" t="str">
        <x:f>IFERROR(INDEX('계산도우미'!$D$5:$D$2004,MATCH(ROWS($A$6:A137),'계산도우미'!$L$5:$L$2004,0)),"")</x:f>
      </x:c>
      <x:c r="E137" t="str">
        <x:f>IFERROR(INDEX('계산도우미'!$E$5:$E$2004,MATCH(ROWS($A$6:A137),'계산도우미'!$L$5:$L$2004,0)),"")</x:f>
      </x:c>
      <x:c r="F137" t="str">
        <x:f>IFERROR(INDEX('계산도우미'!$F$5:$F$2004,MATCH(ROWS($A$6:A137),'계산도우미'!$L$5:$L$2004,0)),"")</x:f>
      </x:c>
      <x:c r="G137" s="68" t="str">
        <x:f>IFERROR(INDEX('계산도우미'!$G$5:$G$2004,MATCH(ROWS($A$6:A137),'계산도우미'!$L$5:$L$2004,0)),"")</x:f>
      </x:c>
      <x:c r="H137" t="str">
        <x:f>IFERROR(INDEX('계산도우미'!$H$5:$H$2004,MATCH(ROWS($A$6:A137),'계산도우미'!$L$5:$L$2004,0)),"")</x:f>
      </x:c>
      <x:c r="I137" t="str">
        <x:f>IFERROR(INDEX('계산도우미'!$I$5:$I$2004,MATCH(ROWS($A$6:A137),'계산도우미'!$L$5:$L$2004,0)),"")</x:f>
      </x:c>
      <x:c r="J137" t="str">
        <x:f>IFERROR(INDEX('계산도우미'!$J$5:$J$2004,MATCH(ROWS($A$6:A137),'계산도우미'!$L$5:$L$2004,0)),"")</x:f>
      </x:c>
      <x:c r="K137" t="str">
        <x:f>IF(B137="","",IF(I137="확인 필요","붙임 문서 확인 후 거래 성격·기간·상대방·일회성 여부 확인","결의서명과 전기 대비 발생 건수·단가·시점 차이 검토"))</x:f>
      </x:c>
    </x:row>
    <x:row r="138">
      <x:c r="A138" t="str">
        <x:f>IFERROR(INDEX('계산도우미'!$A$5:$A$2004,MATCH(ROWS($A$6:A138),'계산도우미'!$L$5:$L$2004,0)),"")</x:f>
      </x:c>
      <x:c r="B138" t="str">
        <x:f>IFERROR(INDEX('계산도우미'!$B$5:$B$2004,MATCH(ROWS($A$6:A138),'계산도우미'!$L$5:$L$2004,0)),"")</x:f>
      </x:c>
      <x:c r="C138" t="str">
        <x:f>IFERROR(INDEX('계산도우미'!$C$5:$C$2004,MATCH(ROWS($A$6:A138),'계산도우미'!$L$5:$L$2004,0)),"")</x:f>
      </x:c>
      <x:c r="D138" s="67" t="str">
        <x:f>IFERROR(INDEX('계산도우미'!$D$5:$D$2004,MATCH(ROWS($A$6:A138),'계산도우미'!$L$5:$L$2004,0)),"")</x:f>
      </x:c>
      <x:c r="E138" t="str">
        <x:f>IFERROR(INDEX('계산도우미'!$E$5:$E$2004,MATCH(ROWS($A$6:A138),'계산도우미'!$L$5:$L$2004,0)),"")</x:f>
      </x:c>
      <x:c r="F138" t="str">
        <x:f>IFERROR(INDEX('계산도우미'!$F$5:$F$2004,MATCH(ROWS($A$6:A138),'계산도우미'!$L$5:$L$2004,0)),"")</x:f>
      </x:c>
      <x:c r="G138" s="68" t="str">
        <x:f>IFERROR(INDEX('계산도우미'!$G$5:$G$2004,MATCH(ROWS($A$6:A138),'계산도우미'!$L$5:$L$2004,0)),"")</x:f>
      </x:c>
      <x:c r="H138" t="str">
        <x:f>IFERROR(INDEX('계산도우미'!$H$5:$H$2004,MATCH(ROWS($A$6:A138),'계산도우미'!$L$5:$L$2004,0)),"")</x:f>
      </x:c>
      <x:c r="I138" t="str">
        <x:f>IFERROR(INDEX('계산도우미'!$I$5:$I$2004,MATCH(ROWS($A$6:A138),'계산도우미'!$L$5:$L$2004,0)),"")</x:f>
      </x:c>
      <x:c r="J138" t="str">
        <x:f>IFERROR(INDEX('계산도우미'!$J$5:$J$2004,MATCH(ROWS($A$6:A138),'계산도우미'!$L$5:$L$2004,0)),"")</x:f>
      </x:c>
      <x:c r="K138" t="str">
        <x:f>IF(B138="","",IF(I138="확인 필요","붙임 문서 확인 후 거래 성격·기간·상대방·일회성 여부 확인","결의서명과 전기 대비 발생 건수·단가·시점 차이 검토"))</x:f>
      </x:c>
    </x:row>
    <x:row r="139">
      <x:c r="A139" t="str">
        <x:f>IFERROR(INDEX('계산도우미'!$A$5:$A$2004,MATCH(ROWS($A$6:A139),'계산도우미'!$L$5:$L$2004,0)),"")</x:f>
      </x:c>
      <x:c r="B139" t="str">
        <x:f>IFERROR(INDEX('계산도우미'!$B$5:$B$2004,MATCH(ROWS($A$6:A139),'계산도우미'!$L$5:$L$2004,0)),"")</x:f>
      </x:c>
      <x:c r="C139" t="str">
        <x:f>IFERROR(INDEX('계산도우미'!$C$5:$C$2004,MATCH(ROWS($A$6:A139),'계산도우미'!$L$5:$L$2004,0)),"")</x:f>
      </x:c>
      <x:c r="D139" s="67" t="str">
        <x:f>IFERROR(INDEX('계산도우미'!$D$5:$D$2004,MATCH(ROWS($A$6:A139),'계산도우미'!$L$5:$L$2004,0)),"")</x:f>
      </x:c>
      <x:c r="E139" t="str">
        <x:f>IFERROR(INDEX('계산도우미'!$E$5:$E$2004,MATCH(ROWS($A$6:A139),'계산도우미'!$L$5:$L$2004,0)),"")</x:f>
      </x:c>
      <x:c r="F139" t="str">
        <x:f>IFERROR(INDEX('계산도우미'!$F$5:$F$2004,MATCH(ROWS($A$6:A139),'계산도우미'!$L$5:$L$2004,0)),"")</x:f>
      </x:c>
      <x:c r="G139" s="68" t="str">
        <x:f>IFERROR(INDEX('계산도우미'!$G$5:$G$2004,MATCH(ROWS($A$6:A139),'계산도우미'!$L$5:$L$2004,0)),"")</x:f>
      </x:c>
      <x:c r="H139" t="str">
        <x:f>IFERROR(INDEX('계산도우미'!$H$5:$H$2004,MATCH(ROWS($A$6:A139),'계산도우미'!$L$5:$L$2004,0)),"")</x:f>
      </x:c>
      <x:c r="I139" t="str">
        <x:f>IFERROR(INDEX('계산도우미'!$I$5:$I$2004,MATCH(ROWS($A$6:A139),'계산도우미'!$L$5:$L$2004,0)),"")</x:f>
      </x:c>
      <x:c r="J139" t="str">
        <x:f>IFERROR(INDEX('계산도우미'!$J$5:$J$2004,MATCH(ROWS($A$6:A139),'계산도우미'!$L$5:$L$2004,0)),"")</x:f>
      </x:c>
      <x:c r="K139" t="str">
        <x:f>IF(B139="","",IF(I139="확인 필요","붙임 문서 확인 후 거래 성격·기간·상대방·일회성 여부 확인","결의서명과 전기 대비 발생 건수·단가·시점 차이 검토"))</x:f>
      </x:c>
    </x:row>
    <x:row r="140">
      <x:c r="A140" t="str">
        <x:f>IFERROR(INDEX('계산도우미'!$A$5:$A$2004,MATCH(ROWS($A$6:A140),'계산도우미'!$L$5:$L$2004,0)),"")</x:f>
      </x:c>
      <x:c r="B140" t="str">
        <x:f>IFERROR(INDEX('계산도우미'!$B$5:$B$2004,MATCH(ROWS($A$6:A140),'계산도우미'!$L$5:$L$2004,0)),"")</x:f>
      </x:c>
      <x:c r="C140" t="str">
        <x:f>IFERROR(INDEX('계산도우미'!$C$5:$C$2004,MATCH(ROWS($A$6:A140),'계산도우미'!$L$5:$L$2004,0)),"")</x:f>
      </x:c>
      <x:c r="D140" s="67" t="str">
        <x:f>IFERROR(INDEX('계산도우미'!$D$5:$D$2004,MATCH(ROWS($A$6:A140),'계산도우미'!$L$5:$L$2004,0)),"")</x:f>
      </x:c>
      <x:c r="E140" t="str">
        <x:f>IFERROR(INDEX('계산도우미'!$E$5:$E$2004,MATCH(ROWS($A$6:A140),'계산도우미'!$L$5:$L$2004,0)),"")</x:f>
      </x:c>
      <x:c r="F140" t="str">
        <x:f>IFERROR(INDEX('계산도우미'!$F$5:$F$2004,MATCH(ROWS($A$6:A140),'계산도우미'!$L$5:$L$2004,0)),"")</x:f>
      </x:c>
      <x:c r="G140" s="68" t="str">
        <x:f>IFERROR(INDEX('계산도우미'!$G$5:$G$2004,MATCH(ROWS($A$6:A140),'계산도우미'!$L$5:$L$2004,0)),"")</x:f>
      </x:c>
      <x:c r="H140" t="str">
        <x:f>IFERROR(INDEX('계산도우미'!$H$5:$H$2004,MATCH(ROWS($A$6:A140),'계산도우미'!$L$5:$L$2004,0)),"")</x:f>
      </x:c>
      <x:c r="I140" t="str">
        <x:f>IFERROR(INDEX('계산도우미'!$I$5:$I$2004,MATCH(ROWS($A$6:A140),'계산도우미'!$L$5:$L$2004,0)),"")</x:f>
      </x:c>
      <x:c r="J140" t="str">
        <x:f>IFERROR(INDEX('계산도우미'!$J$5:$J$2004,MATCH(ROWS($A$6:A140),'계산도우미'!$L$5:$L$2004,0)),"")</x:f>
      </x:c>
      <x:c r="K140" t="str">
        <x:f>IF(B140="","",IF(I140="확인 필요","붙임 문서 확인 후 거래 성격·기간·상대방·일회성 여부 확인","결의서명과 전기 대비 발생 건수·단가·시점 차이 검토"))</x:f>
      </x:c>
    </x:row>
    <x:row r="141">
      <x:c r="A141" t="str">
        <x:f>IFERROR(INDEX('계산도우미'!$A$5:$A$2004,MATCH(ROWS($A$6:A141),'계산도우미'!$L$5:$L$2004,0)),"")</x:f>
      </x:c>
      <x:c r="B141" t="str">
        <x:f>IFERROR(INDEX('계산도우미'!$B$5:$B$2004,MATCH(ROWS($A$6:A141),'계산도우미'!$L$5:$L$2004,0)),"")</x:f>
      </x:c>
      <x:c r="C141" t="str">
        <x:f>IFERROR(INDEX('계산도우미'!$C$5:$C$2004,MATCH(ROWS($A$6:A141),'계산도우미'!$L$5:$L$2004,0)),"")</x:f>
      </x:c>
      <x:c r="D141" s="67" t="str">
        <x:f>IFERROR(INDEX('계산도우미'!$D$5:$D$2004,MATCH(ROWS($A$6:A141),'계산도우미'!$L$5:$L$2004,0)),"")</x:f>
      </x:c>
      <x:c r="E141" t="str">
        <x:f>IFERROR(INDEX('계산도우미'!$E$5:$E$2004,MATCH(ROWS($A$6:A141),'계산도우미'!$L$5:$L$2004,0)),"")</x:f>
      </x:c>
      <x:c r="F141" t="str">
        <x:f>IFERROR(INDEX('계산도우미'!$F$5:$F$2004,MATCH(ROWS($A$6:A141),'계산도우미'!$L$5:$L$2004,0)),"")</x:f>
      </x:c>
      <x:c r="G141" s="68" t="str">
        <x:f>IFERROR(INDEX('계산도우미'!$G$5:$G$2004,MATCH(ROWS($A$6:A141),'계산도우미'!$L$5:$L$2004,0)),"")</x:f>
      </x:c>
      <x:c r="H141" t="str">
        <x:f>IFERROR(INDEX('계산도우미'!$H$5:$H$2004,MATCH(ROWS($A$6:A141),'계산도우미'!$L$5:$L$2004,0)),"")</x:f>
      </x:c>
      <x:c r="I141" t="str">
        <x:f>IFERROR(INDEX('계산도우미'!$I$5:$I$2004,MATCH(ROWS($A$6:A141),'계산도우미'!$L$5:$L$2004,0)),"")</x:f>
      </x:c>
      <x:c r="J141" t="str">
        <x:f>IFERROR(INDEX('계산도우미'!$J$5:$J$2004,MATCH(ROWS($A$6:A141),'계산도우미'!$L$5:$L$2004,0)),"")</x:f>
      </x:c>
      <x:c r="K141" t="str">
        <x:f>IF(B141="","",IF(I141="확인 필요","붙임 문서 확인 후 거래 성격·기간·상대방·일회성 여부 확인","결의서명과 전기 대비 발생 건수·단가·시점 차이 검토"))</x:f>
      </x:c>
    </x:row>
    <x:row r="142">
      <x:c r="A142" t="str">
        <x:f>IFERROR(INDEX('계산도우미'!$A$5:$A$2004,MATCH(ROWS($A$6:A142),'계산도우미'!$L$5:$L$2004,0)),"")</x:f>
      </x:c>
      <x:c r="B142" t="str">
        <x:f>IFERROR(INDEX('계산도우미'!$B$5:$B$2004,MATCH(ROWS($A$6:A142),'계산도우미'!$L$5:$L$2004,0)),"")</x:f>
      </x:c>
      <x:c r="C142" t="str">
        <x:f>IFERROR(INDEX('계산도우미'!$C$5:$C$2004,MATCH(ROWS($A$6:A142),'계산도우미'!$L$5:$L$2004,0)),"")</x:f>
      </x:c>
      <x:c r="D142" s="67" t="str">
        <x:f>IFERROR(INDEX('계산도우미'!$D$5:$D$2004,MATCH(ROWS($A$6:A142),'계산도우미'!$L$5:$L$2004,0)),"")</x:f>
      </x:c>
      <x:c r="E142" t="str">
        <x:f>IFERROR(INDEX('계산도우미'!$E$5:$E$2004,MATCH(ROWS($A$6:A142),'계산도우미'!$L$5:$L$2004,0)),"")</x:f>
      </x:c>
      <x:c r="F142" t="str">
        <x:f>IFERROR(INDEX('계산도우미'!$F$5:$F$2004,MATCH(ROWS($A$6:A142),'계산도우미'!$L$5:$L$2004,0)),"")</x:f>
      </x:c>
      <x:c r="G142" s="68" t="str">
        <x:f>IFERROR(INDEX('계산도우미'!$G$5:$G$2004,MATCH(ROWS($A$6:A142),'계산도우미'!$L$5:$L$2004,0)),"")</x:f>
      </x:c>
      <x:c r="H142" t="str">
        <x:f>IFERROR(INDEX('계산도우미'!$H$5:$H$2004,MATCH(ROWS($A$6:A142),'계산도우미'!$L$5:$L$2004,0)),"")</x:f>
      </x:c>
      <x:c r="I142" t="str">
        <x:f>IFERROR(INDEX('계산도우미'!$I$5:$I$2004,MATCH(ROWS($A$6:A142),'계산도우미'!$L$5:$L$2004,0)),"")</x:f>
      </x:c>
      <x:c r="J142" t="str">
        <x:f>IFERROR(INDEX('계산도우미'!$J$5:$J$2004,MATCH(ROWS($A$6:A142),'계산도우미'!$L$5:$L$2004,0)),"")</x:f>
      </x:c>
      <x:c r="K142" t="str">
        <x:f>IF(B142="","",IF(I142="확인 필요","붙임 문서 확인 후 거래 성격·기간·상대방·일회성 여부 확인","결의서명과 전기 대비 발생 건수·단가·시점 차이 검토"))</x:f>
      </x:c>
    </x:row>
    <x:row r="143">
      <x:c r="A143" t="str">
        <x:f>IFERROR(INDEX('계산도우미'!$A$5:$A$2004,MATCH(ROWS($A$6:A143),'계산도우미'!$L$5:$L$2004,0)),"")</x:f>
      </x:c>
      <x:c r="B143" t="str">
        <x:f>IFERROR(INDEX('계산도우미'!$B$5:$B$2004,MATCH(ROWS($A$6:A143),'계산도우미'!$L$5:$L$2004,0)),"")</x:f>
      </x:c>
      <x:c r="C143" t="str">
        <x:f>IFERROR(INDEX('계산도우미'!$C$5:$C$2004,MATCH(ROWS($A$6:A143),'계산도우미'!$L$5:$L$2004,0)),"")</x:f>
      </x:c>
      <x:c r="D143" s="67" t="str">
        <x:f>IFERROR(INDEX('계산도우미'!$D$5:$D$2004,MATCH(ROWS($A$6:A143),'계산도우미'!$L$5:$L$2004,0)),"")</x:f>
      </x:c>
      <x:c r="E143" t="str">
        <x:f>IFERROR(INDEX('계산도우미'!$E$5:$E$2004,MATCH(ROWS($A$6:A143),'계산도우미'!$L$5:$L$2004,0)),"")</x:f>
      </x:c>
      <x:c r="F143" t="str">
        <x:f>IFERROR(INDEX('계산도우미'!$F$5:$F$2004,MATCH(ROWS($A$6:A143),'계산도우미'!$L$5:$L$2004,0)),"")</x:f>
      </x:c>
      <x:c r="G143" s="68" t="str">
        <x:f>IFERROR(INDEX('계산도우미'!$G$5:$G$2004,MATCH(ROWS($A$6:A143),'계산도우미'!$L$5:$L$2004,0)),"")</x:f>
      </x:c>
      <x:c r="H143" t="str">
        <x:f>IFERROR(INDEX('계산도우미'!$H$5:$H$2004,MATCH(ROWS($A$6:A143),'계산도우미'!$L$5:$L$2004,0)),"")</x:f>
      </x:c>
      <x:c r="I143" t="str">
        <x:f>IFERROR(INDEX('계산도우미'!$I$5:$I$2004,MATCH(ROWS($A$6:A143),'계산도우미'!$L$5:$L$2004,0)),"")</x:f>
      </x:c>
      <x:c r="J143" t="str">
        <x:f>IFERROR(INDEX('계산도우미'!$J$5:$J$2004,MATCH(ROWS($A$6:A143),'계산도우미'!$L$5:$L$2004,0)),"")</x:f>
      </x:c>
      <x:c r="K143" t="str">
        <x:f>IF(B143="","",IF(I143="확인 필요","붙임 문서 확인 후 거래 성격·기간·상대방·일회성 여부 확인","결의서명과 전기 대비 발생 건수·단가·시점 차이 검토"))</x:f>
      </x:c>
    </x:row>
    <x:row r="144">
      <x:c r="A144" t="str">
        <x:f>IFERROR(INDEX('계산도우미'!$A$5:$A$2004,MATCH(ROWS($A$6:A144),'계산도우미'!$L$5:$L$2004,0)),"")</x:f>
      </x:c>
      <x:c r="B144" t="str">
        <x:f>IFERROR(INDEX('계산도우미'!$B$5:$B$2004,MATCH(ROWS($A$6:A144),'계산도우미'!$L$5:$L$2004,0)),"")</x:f>
      </x:c>
      <x:c r="C144" t="str">
        <x:f>IFERROR(INDEX('계산도우미'!$C$5:$C$2004,MATCH(ROWS($A$6:A144),'계산도우미'!$L$5:$L$2004,0)),"")</x:f>
      </x:c>
      <x:c r="D144" s="67" t="str">
        <x:f>IFERROR(INDEX('계산도우미'!$D$5:$D$2004,MATCH(ROWS($A$6:A144),'계산도우미'!$L$5:$L$2004,0)),"")</x:f>
      </x:c>
      <x:c r="E144" t="str">
        <x:f>IFERROR(INDEX('계산도우미'!$E$5:$E$2004,MATCH(ROWS($A$6:A144),'계산도우미'!$L$5:$L$2004,0)),"")</x:f>
      </x:c>
      <x:c r="F144" t="str">
        <x:f>IFERROR(INDEX('계산도우미'!$F$5:$F$2004,MATCH(ROWS($A$6:A144),'계산도우미'!$L$5:$L$2004,0)),"")</x:f>
      </x:c>
      <x:c r="G144" s="68" t="str">
        <x:f>IFERROR(INDEX('계산도우미'!$G$5:$G$2004,MATCH(ROWS($A$6:A144),'계산도우미'!$L$5:$L$2004,0)),"")</x:f>
      </x:c>
      <x:c r="H144" t="str">
        <x:f>IFERROR(INDEX('계산도우미'!$H$5:$H$2004,MATCH(ROWS($A$6:A144),'계산도우미'!$L$5:$L$2004,0)),"")</x:f>
      </x:c>
      <x:c r="I144" t="str">
        <x:f>IFERROR(INDEX('계산도우미'!$I$5:$I$2004,MATCH(ROWS($A$6:A144),'계산도우미'!$L$5:$L$2004,0)),"")</x:f>
      </x:c>
      <x:c r="J144" t="str">
        <x:f>IFERROR(INDEX('계산도우미'!$J$5:$J$2004,MATCH(ROWS($A$6:A144),'계산도우미'!$L$5:$L$2004,0)),"")</x:f>
      </x:c>
      <x:c r="K144" t="str">
        <x:f>IF(B144="","",IF(I144="확인 필요","붙임 문서 확인 후 거래 성격·기간·상대방·일회성 여부 확인","결의서명과 전기 대비 발생 건수·단가·시점 차이 검토"))</x:f>
      </x:c>
    </x:row>
    <x:row r="145">
      <x:c r="A145" t="str">
        <x:f>IFERROR(INDEX('계산도우미'!$A$5:$A$2004,MATCH(ROWS($A$6:A145),'계산도우미'!$L$5:$L$2004,0)),"")</x:f>
      </x:c>
      <x:c r="B145" t="str">
        <x:f>IFERROR(INDEX('계산도우미'!$B$5:$B$2004,MATCH(ROWS($A$6:A145),'계산도우미'!$L$5:$L$2004,0)),"")</x:f>
      </x:c>
      <x:c r="C145" t="str">
        <x:f>IFERROR(INDEX('계산도우미'!$C$5:$C$2004,MATCH(ROWS($A$6:A145),'계산도우미'!$L$5:$L$2004,0)),"")</x:f>
      </x:c>
      <x:c r="D145" s="67" t="str">
        <x:f>IFERROR(INDEX('계산도우미'!$D$5:$D$2004,MATCH(ROWS($A$6:A145),'계산도우미'!$L$5:$L$2004,0)),"")</x:f>
      </x:c>
      <x:c r="E145" t="str">
        <x:f>IFERROR(INDEX('계산도우미'!$E$5:$E$2004,MATCH(ROWS($A$6:A145),'계산도우미'!$L$5:$L$2004,0)),"")</x:f>
      </x:c>
      <x:c r="F145" t="str">
        <x:f>IFERROR(INDEX('계산도우미'!$F$5:$F$2004,MATCH(ROWS($A$6:A145),'계산도우미'!$L$5:$L$2004,0)),"")</x:f>
      </x:c>
      <x:c r="G145" s="68" t="str">
        <x:f>IFERROR(INDEX('계산도우미'!$G$5:$G$2004,MATCH(ROWS($A$6:A145),'계산도우미'!$L$5:$L$2004,0)),"")</x:f>
      </x:c>
      <x:c r="H145" t="str">
        <x:f>IFERROR(INDEX('계산도우미'!$H$5:$H$2004,MATCH(ROWS($A$6:A145),'계산도우미'!$L$5:$L$2004,0)),"")</x:f>
      </x:c>
      <x:c r="I145" t="str">
        <x:f>IFERROR(INDEX('계산도우미'!$I$5:$I$2004,MATCH(ROWS($A$6:A145),'계산도우미'!$L$5:$L$2004,0)),"")</x:f>
      </x:c>
      <x:c r="J145" t="str">
        <x:f>IFERROR(INDEX('계산도우미'!$J$5:$J$2004,MATCH(ROWS($A$6:A145),'계산도우미'!$L$5:$L$2004,0)),"")</x:f>
      </x:c>
      <x:c r="K145" t="str">
        <x:f>IF(B145="","",IF(I145="확인 필요","붙임 문서 확인 후 거래 성격·기간·상대방·일회성 여부 확인","결의서명과 전기 대비 발생 건수·단가·시점 차이 검토"))</x:f>
      </x:c>
    </x:row>
    <x:row r="146">
      <x:c r="A146" t="str">
        <x:f>IFERROR(INDEX('계산도우미'!$A$5:$A$2004,MATCH(ROWS($A$6:A146),'계산도우미'!$L$5:$L$2004,0)),"")</x:f>
      </x:c>
      <x:c r="B146" t="str">
        <x:f>IFERROR(INDEX('계산도우미'!$B$5:$B$2004,MATCH(ROWS($A$6:A146),'계산도우미'!$L$5:$L$2004,0)),"")</x:f>
      </x:c>
      <x:c r="C146" t="str">
        <x:f>IFERROR(INDEX('계산도우미'!$C$5:$C$2004,MATCH(ROWS($A$6:A146),'계산도우미'!$L$5:$L$2004,0)),"")</x:f>
      </x:c>
      <x:c r="D146" s="67" t="str">
        <x:f>IFERROR(INDEX('계산도우미'!$D$5:$D$2004,MATCH(ROWS($A$6:A146),'계산도우미'!$L$5:$L$2004,0)),"")</x:f>
      </x:c>
      <x:c r="E146" t="str">
        <x:f>IFERROR(INDEX('계산도우미'!$E$5:$E$2004,MATCH(ROWS($A$6:A146),'계산도우미'!$L$5:$L$2004,0)),"")</x:f>
      </x:c>
      <x:c r="F146" t="str">
        <x:f>IFERROR(INDEX('계산도우미'!$F$5:$F$2004,MATCH(ROWS($A$6:A146),'계산도우미'!$L$5:$L$2004,0)),"")</x:f>
      </x:c>
      <x:c r="G146" s="68" t="str">
        <x:f>IFERROR(INDEX('계산도우미'!$G$5:$G$2004,MATCH(ROWS($A$6:A146),'계산도우미'!$L$5:$L$2004,0)),"")</x:f>
      </x:c>
      <x:c r="H146" t="str">
        <x:f>IFERROR(INDEX('계산도우미'!$H$5:$H$2004,MATCH(ROWS($A$6:A146),'계산도우미'!$L$5:$L$2004,0)),"")</x:f>
      </x:c>
      <x:c r="I146" t="str">
        <x:f>IFERROR(INDEX('계산도우미'!$I$5:$I$2004,MATCH(ROWS($A$6:A146),'계산도우미'!$L$5:$L$2004,0)),"")</x:f>
      </x:c>
      <x:c r="J146" t="str">
        <x:f>IFERROR(INDEX('계산도우미'!$J$5:$J$2004,MATCH(ROWS($A$6:A146),'계산도우미'!$L$5:$L$2004,0)),"")</x:f>
      </x:c>
      <x:c r="K146" t="str">
        <x:f>IF(B146="","",IF(I146="확인 필요","붙임 문서 확인 후 거래 성격·기간·상대방·일회성 여부 확인","결의서명과 전기 대비 발생 건수·단가·시점 차이 검토"))</x:f>
      </x:c>
    </x:row>
    <x:row r="147">
      <x:c r="A147" t="str">
        <x:f>IFERROR(INDEX('계산도우미'!$A$5:$A$2004,MATCH(ROWS($A$6:A147),'계산도우미'!$L$5:$L$2004,0)),"")</x:f>
      </x:c>
      <x:c r="B147" t="str">
        <x:f>IFERROR(INDEX('계산도우미'!$B$5:$B$2004,MATCH(ROWS($A$6:A147),'계산도우미'!$L$5:$L$2004,0)),"")</x:f>
      </x:c>
      <x:c r="C147" t="str">
        <x:f>IFERROR(INDEX('계산도우미'!$C$5:$C$2004,MATCH(ROWS($A$6:A147),'계산도우미'!$L$5:$L$2004,0)),"")</x:f>
      </x:c>
      <x:c r="D147" s="67" t="str">
        <x:f>IFERROR(INDEX('계산도우미'!$D$5:$D$2004,MATCH(ROWS($A$6:A147),'계산도우미'!$L$5:$L$2004,0)),"")</x:f>
      </x:c>
      <x:c r="E147" t="str">
        <x:f>IFERROR(INDEX('계산도우미'!$E$5:$E$2004,MATCH(ROWS($A$6:A147),'계산도우미'!$L$5:$L$2004,0)),"")</x:f>
      </x:c>
      <x:c r="F147" t="str">
        <x:f>IFERROR(INDEX('계산도우미'!$F$5:$F$2004,MATCH(ROWS($A$6:A147),'계산도우미'!$L$5:$L$2004,0)),"")</x:f>
      </x:c>
      <x:c r="G147" s="68" t="str">
        <x:f>IFERROR(INDEX('계산도우미'!$G$5:$G$2004,MATCH(ROWS($A$6:A147),'계산도우미'!$L$5:$L$2004,0)),"")</x:f>
      </x:c>
      <x:c r="H147" t="str">
        <x:f>IFERROR(INDEX('계산도우미'!$H$5:$H$2004,MATCH(ROWS($A$6:A147),'계산도우미'!$L$5:$L$2004,0)),"")</x:f>
      </x:c>
      <x:c r="I147" t="str">
        <x:f>IFERROR(INDEX('계산도우미'!$I$5:$I$2004,MATCH(ROWS($A$6:A147),'계산도우미'!$L$5:$L$2004,0)),"")</x:f>
      </x:c>
      <x:c r="J147" t="str">
        <x:f>IFERROR(INDEX('계산도우미'!$J$5:$J$2004,MATCH(ROWS($A$6:A147),'계산도우미'!$L$5:$L$2004,0)),"")</x:f>
      </x:c>
      <x:c r="K147" t="str">
        <x:f>IF(B147="","",IF(I147="확인 필요","붙임 문서 확인 후 거래 성격·기간·상대방·일회성 여부 확인","결의서명과 전기 대비 발생 건수·단가·시점 차이 검토"))</x:f>
      </x:c>
    </x:row>
    <x:row r="148">
      <x:c r="A148" t="str">
        <x:f>IFERROR(INDEX('계산도우미'!$A$5:$A$2004,MATCH(ROWS($A$6:A148),'계산도우미'!$L$5:$L$2004,0)),"")</x:f>
      </x:c>
      <x:c r="B148" t="str">
        <x:f>IFERROR(INDEX('계산도우미'!$B$5:$B$2004,MATCH(ROWS($A$6:A148),'계산도우미'!$L$5:$L$2004,0)),"")</x:f>
      </x:c>
      <x:c r="C148" t="str">
        <x:f>IFERROR(INDEX('계산도우미'!$C$5:$C$2004,MATCH(ROWS($A$6:A148),'계산도우미'!$L$5:$L$2004,0)),"")</x:f>
      </x:c>
      <x:c r="D148" s="67" t="str">
        <x:f>IFERROR(INDEX('계산도우미'!$D$5:$D$2004,MATCH(ROWS($A$6:A148),'계산도우미'!$L$5:$L$2004,0)),"")</x:f>
      </x:c>
      <x:c r="E148" t="str">
        <x:f>IFERROR(INDEX('계산도우미'!$E$5:$E$2004,MATCH(ROWS($A$6:A148),'계산도우미'!$L$5:$L$2004,0)),"")</x:f>
      </x:c>
      <x:c r="F148" t="str">
        <x:f>IFERROR(INDEX('계산도우미'!$F$5:$F$2004,MATCH(ROWS($A$6:A148),'계산도우미'!$L$5:$L$2004,0)),"")</x:f>
      </x:c>
      <x:c r="G148" s="68" t="str">
        <x:f>IFERROR(INDEX('계산도우미'!$G$5:$G$2004,MATCH(ROWS($A$6:A148),'계산도우미'!$L$5:$L$2004,0)),"")</x:f>
      </x:c>
      <x:c r="H148" t="str">
        <x:f>IFERROR(INDEX('계산도우미'!$H$5:$H$2004,MATCH(ROWS($A$6:A148),'계산도우미'!$L$5:$L$2004,0)),"")</x:f>
      </x:c>
      <x:c r="I148" t="str">
        <x:f>IFERROR(INDEX('계산도우미'!$I$5:$I$2004,MATCH(ROWS($A$6:A148),'계산도우미'!$L$5:$L$2004,0)),"")</x:f>
      </x:c>
      <x:c r="J148" t="str">
        <x:f>IFERROR(INDEX('계산도우미'!$J$5:$J$2004,MATCH(ROWS($A$6:A148),'계산도우미'!$L$5:$L$2004,0)),"")</x:f>
      </x:c>
      <x:c r="K148" t="str">
        <x:f>IF(B148="","",IF(I148="확인 필요","붙임 문서 확인 후 거래 성격·기간·상대방·일회성 여부 확인","결의서명과 전기 대비 발생 건수·단가·시점 차이 검토"))</x:f>
      </x:c>
    </x:row>
    <x:row r="149">
      <x:c r="A149" t="str">
        <x:f>IFERROR(INDEX('계산도우미'!$A$5:$A$2004,MATCH(ROWS($A$6:A149),'계산도우미'!$L$5:$L$2004,0)),"")</x:f>
      </x:c>
      <x:c r="B149" t="str">
        <x:f>IFERROR(INDEX('계산도우미'!$B$5:$B$2004,MATCH(ROWS($A$6:A149),'계산도우미'!$L$5:$L$2004,0)),"")</x:f>
      </x:c>
      <x:c r="C149" t="str">
        <x:f>IFERROR(INDEX('계산도우미'!$C$5:$C$2004,MATCH(ROWS($A$6:A149),'계산도우미'!$L$5:$L$2004,0)),"")</x:f>
      </x:c>
      <x:c r="D149" s="67" t="str">
        <x:f>IFERROR(INDEX('계산도우미'!$D$5:$D$2004,MATCH(ROWS($A$6:A149),'계산도우미'!$L$5:$L$2004,0)),"")</x:f>
      </x:c>
      <x:c r="E149" t="str">
        <x:f>IFERROR(INDEX('계산도우미'!$E$5:$E$2004,MATCH(ROWS($A$6:A149),'계산도우미'!$L$5:$L$2004,0)),"")</x:f>
      </x:c>
      <x:c r="F149" t="str">
        <x:f>IFERROR(INDEX('계산도우미'!$F$5:$F$2004,MATCH(ROWS($A$6:A149),'계산도우미'!$L$5:$L$2004,0)),"")</x:f>
      </x:c>
      <x:c r="G149" s="68" t="str">
        <x:f>IFERROR(INDEX('계산도우미'!$G$5:$G$2004,MATCH(ROWS($A$6:A149),'계산도우미'!$L$5:$L$2004,0)),"")</x:f>
      </x:c>
      <x:c r="H149" t="str">
        <x:f>IFERROR(INDEX('계산도우미'!$H$5:$H$2004,MATCH(ROWS($A$6:A149),'계산도우미'!$L$5:$L$2004,0)),"")</x:f>
      </x:c>
      <x:c r="I149" t="str">
        <x:f>IFERROR(INDEX('계산도우미'!$I$5:$I$2004,MATCH(ROWS($A$6:A149),'계산도우미'!$L$5:$L$2004,0)),"")</x:f>
      </x:c>
      <x:c r="J149" t="str">
        <x:f>IFERROR(INDEX('계산도우미'!$J$5:$J$2004,MATCH(ROWS($A$6:A149),'계산도우미'!$L$5:$L$2004,0)),"")</x:f>
      </x:c>
      <x:c r="K149" t="str">
        <x:f>IF(B149="","",IF(I149="확인 필요","붙임 문서 확인 후 거래 성격·기간·상대방·일회성 여부 확인","결의서명과 전기 대비 발생 건수·단가·시점 차이 검토"))</x:f>
      </x:c>
    </x:row>
    <x:row r="150">
      <x:c r="A150" t="str">
        <x:f>IFERROR(INDEX('계산도우미'!$A$5:$A$2004,MATCH(ROWS($A$6:A150),'계산도우미'!$L$5:$L$2004,0)),"")</x:f>
      </x:c>
      <x:c r="B150" t="str">
        <x:f>IFERROR(INDEX('계산도우미'!$B$5:$B$2004,MATCH(ROWS($A$6:A150),'계산도우미'!$L$5:$L$2004,0)),"")</x:f>
      </x:c>
      <x:c r="C150" t="str">
        <x:f>IFERROR(INDEX('계산도우미'!$C$5:$C$2004,MATCH(ROWS($A$6:A150),'계산도우미'!$L$5:$L$2004,0)),"")</x:f>
      </x:c>
      <x:c r="D150" s="67" t="str">
        <x:f>IFERROR(INDEX('계산도우미'!$D$5:$D$2004,MATCH(ROWS($A$6:A150),'계산도우미'!$L$5:$L$2004,0)),"")</x:f>
      </x:c>
      <x:c r="E150" t="str">
        <x:f>IFERROR(INDEX('계산도우미'!$E$5:$E$2004,MATCH(ROWS($A$6:A150),'계산도우미'!$L$5:$L$2004,0)),"")</x:f>
      </x:c>
      <x:c r="F150" t="str">
        <x:f>IFERROR(INDEX('계산도우미'!$F$5:$F$2004,MATCH(ROWS($A$6:A150),'계산도우미'!$L$5:$L$2004,0)),"")</x:f>
      </x:c>
      <x:c r="G150" s="68" t="str">
        <x:f>IFERROR(INDEX('계산도우미'!$G$5:$G$2004,MATCH(ROWS($A$6:A150),'계산도우미'!$L$5:$L$2004,0)),"")</x:f>
      </x:c>
      <x:c r="H150" t="str">
        <x:f>IFERROR(INDEX('계산도우미'!$H$5:$H$2004,MATCH(ROWS($A$6:A150),'계산도우미'!$L$5:$L$2004,0)),"")</x:f>
      </x:c>
      <x:c r="I150" t="str">
        <x:f>IFERROR(INDEX('계산도우미'!$I$5:$I$2004,MATCH(ROWS($A$6:A150),'계산도우미'!$L$5:$L$2004,0)),"")</x:f>
      </x:c>
      <x:c r="J150" t="str">
        <x:f>IFERROR(INDEX('계산도우미'!$J$5:$J$2004,MATCH(ROWS($A$6:A150),'계산도우미'!$L$5:$L$2004,0)),"")</x:f>
      </x:c>
      <x:c r="K150" t="str">
        <x:f>IF(B150="","",IF(I150="확인 필요","붙임 문서 확인 후 거래 성격·기간·상대방·일회성 여부 확인","결의서명과 전기 대비 발생 건수·단가·시점 차이 검토"))</x:f>
      </x:c>
    </x:row>
    <x:row r="151">
      <x:c r="A151" t="str">
        <x:f>IFERROR(INDEX('계산도우미'!$A$5:$A$2004,MATCH(ROWS($A$6:A151),'계산도우미'!$L$5:$L$2004,0)),"")</x:f>
      </x:c>
      <x:c r="B151" t="str">
        <x:f>IFERROR(INDEX('계산도우미'!$B$5:$B$2004,MATCH(ROWS($A$6:A151),'계산도우미'!$L$5:$L$2004,0)),"")</x:f>
      </x:c>
      <x:c r="C151" t="str">
        <x:f>IFERROR(INDEX('계산도우미'!$C$5:$C$2004,MATCH(ROWS($A$6:A151),'계산도우미'!$L$5:$L$2004,0)),"")</x:f>
      </x:c>
      <x:c r="D151" s="67" t="str">
        <x:f>IFERROR(INDEX('계산도우미'!$D$5:$D$2004,MATCH(ROWS($A$6:A151),'계산도우미'!$L$5:$L$2004,0)),"")</x:f>
      </x:c>
      <x:c r="E151" t="str">
        <x:f>IFERROR(INDEX('계산도우미'!$E$5:$E$2004,MATCH(ROWS($A$6:A151),'계산도우미'!$L$5:$L$2004,0)),"")</x:f>
      </x:c>
      <x:c r="F151" t="str">
        <x:f>IFERROR(INDEX('계산도우미'!$F$5:$F$2004,MATCH(ROWS($A$6:A151),'계산도우미'!$L$5:$L$2004,0)),"")</x:f>
      </x:c>
      <x:c r="G151" s="68" t="str">
        <x:f>IFERROR(INDEX('계산도우미'!$G$5:$G$2004,MATCH(ROWS($A$6:A151),'계산도우미'!$L$5:$L$2004,0)),"")</x:f>
      </x:c>
      <x:c r="H151" t="str">
        <x:f>IFERROR(INDEX('계산도우미'!$H$5:$H$2004,MATCH(ROWS($A$6:A151),'계산도우미'!$L$5:$L$2004,0)),"")</x:f>
      </x:c>
      <x:c r="I151" t="str">
        <x:f>IFERROR(INDEX('계산도우미'!$I$5:$I$2004,MATCH(ROWS($A$6:A151),'계산도우미'!$L$5:$L$2004,0)),"")</x:f>
      </x:c>
      <x:c r="J151" t="str">
        <x:f>IFERROR(INDEX('계산도우미'!$J$5:$J$2004,MATCH(ROWS($A$6:A151),'계산도우미'!$L$5:$L$2004,0)),"")</x:f>
      </x:c>
      <x:c r="K151" t="str">
        <x:f>IF(B151="","",IF(I151="확인 필요","붙임 문서 확인 후 거래 성격·기간·상대방·일회성 여부 확인","결의서명과 전기 대비 발생 건수·단가·시점 차이 검토"))</x:f>
      </x:c>
    </x:row>
    <x:row r="152">
      <x:c r="A152" t="str">
        <x:f>IFERROR(INDEX('계산도우미'!$A$5:$A$2004,MATCH(ROWS($A$6:A152),'계산도우미'!$L$5:$L$2004,0)),"")</x:f>
      </x:c>
      <x:c r="B152" t="str">
        <x:f>IFERROR(INDEX('계산도우미'!$B$5:$B$2004,MATCH(ROWS($A$6:A152),'계산도우미'!$L$5:$L$2004,0)),"")</x:f>
      </x:c>
      <x:c r="C152" t="str">
        <x:f>IFERROR(INDEX('계산도우미'!$C$5:$C$2004,MATCH(ROWS($A$6:A152),'계산도우미'!$L$5:$L$2004,0)),"")</x:f>
      </x:c>
      <x:c r="D152" s="67" t="str">
        <x:f>IFERROR(INDEX('계산도우미'!$D$5:$D$2004,MATCH(ROWS($A$6:A152),'계산도우미'!$L$5:$L$2004,0)),"")</x:f>
      </x:c>
      <x:c r="E152" t="str">
        <x:f>IFERROR(INDEX('계산도우미'!$E$5:$E$2004,MATCH(ROWS($A$6:A152),'계산도우미'!$L$5:$L$2004,0)),"")</x:f>
      </x:c>
      <x:c r="F152" t="str">
        <x:f>IFERROR(INDEX('계산도우미'!$F$5:$F$2004,MATCH(ROWS($A$6:A152),'계산도우미'!$L$5:$L$2004,0)),"")</x:f>
      </x:c>
      <x:c r="G152" s="68" t="str">
        <x:f>IFERROR(INDEX('계산도우미'!$G$5:$G$2004,MATCH(ROWS($A$6:A152),'계산도우미'!$L$5:$L$2004,0)),"")</x:f>
      </x:c>
      <x:c r="H152" t="str">
        <x:f>IFERROR(INDEX('계산도우미'!$H$5:$H$2004,MATCH(ROWS($A$6:A152),'계산도우미'!$L$5:$L$2004,0)),"")</x:f>
      </x:c>
      <x:c r="I152" t="str">
        <x:f>IFERROR(INDEX('계산도우미'!$I$5:$I$2004,MATCH(ROWS($A$6:A152),'계산도우미'!$L$5:$L$2004,0)),"")</x:f>
      </x:c>
      <x:c r="J152" t="str">
        <x:f>IFERROR(INDEX('계산도우미'!$J$5:$J$2004,MATCH(ROWS($A$6:A152),'계산도우미'!$L$5:$L$2004,0)),"")</x:f>
      </x:c>
      <x:c r="K152" t="str">
        <x:f>IF(B152="","",IF(I152="확인 필요","붙임 문서 확인 후 거래 성격·기간·상대방·일회성 여부 확인","결의서명과 전기 대비 발생 건수·단가·시점 차이 검토"))</x:f>
      </x:c>
    </x:row>
    <x:row r="153">
      <x:c r="A153" t="str">
        <x:f>IFERROR(INDEX('계산도우미'!$A$5:$A$2004,MATCH(ROWS($A$6:A153),'계산도우미'!$L$5:$L$2004,0)),"")</x:f>
      </x:c>
      <x:c r="B153" t="str">
        <x:f>IFERROR(INDEX('계산도우미'!$B$5:$B$2004,MATCH(ROWS($A$6:A153),'계산도우미'!$L$5:$L$2004,0)),"")</x:f>
      </x:c>
      <x:c r="C153" t="str">
        <x:f>IFERROR(INDEX('계산도우미'!$C$5:$C$2004,MATCH(ROWS($A$6:A153),'계산도우미'!$L$5:$L$2004,0)),"")</x:f>
      </x:c>
      <x:c r="D153" s="67" t="str">
        <x:f>IFERROR(INDEX('계산도우미'!$D$5:$D$2004,MATCH(ROWS($A$6:A153),'계산도우미'!$L$5:$L$2004,0)),"")</x:f>
      </x:c>
      <x:c r="E153" t="str">
        <x:f>IFERROR(INDEX('계산도우미'!$E$5:$E$2004,MATCH(ROWS($A$6:A153),'계산도우미'!$L$5:$L$2004,0)),"")</x:f>
      </x:c>
      <x:c r="F153" t="str">
        <x:f>IFERROR(INDEX('계산도우미'!$F$5:$F$2004,MATCH(ROWS($A$6:A153),'계산도우미'!$L$5:$L$2004,0)),"")</x:f>
      </x:c>
      <x:c r="G153" s="68" t="str">
        <x:f>IFERROR(INDEX('계산도우미'!$G$5:$G$2004,MATCH(ROWS($A$6:A153),'계산도우미'!$L$5:$L$2004,0)),"")</x:f>
      </x:c>
      <x:c r="H153" t="str">
        <x:f>IFERROR(INDEX('계산도우미'!$H$5:$H$2004,MATCH(ROWS($A$6:A153),'계산도우미'!$L$5:$L$2004,0)),"")</x:f>
      </x:c>
      <x:c r="I153" t="str">
        <x:f>IFERROR(INDEX('계산도우미'!$I$5:$I$2004,MATCH(ROWS($A$6:A153),'계산도우미'!$L$5:$L$2004,0)),"")</x:f>
      </x:c>
      <x:c r="J153" t="str">
        <x:f>IFERROR(INDEX('계산도우미'!$J$5:$J$2004,MATCH(ROWS($A$6:A153),'계산도우미'!$L$5:$L$2004,0)),"")</x:f>
      </x:c>
      <x:c r="K153" t="str">
        <x:f>IF(B153="","",IF(I153="확인 필요","붙임 문서 확인 후 거래 성격·기간·상대방·일회성 여부 확인","결의서명과 전기 대비 발생 건수·단가·시점 차이 검토"))</x:f>
      </x:c>
    </x:row>
    <x:row r="154">
      <x:c r="A154" t="str">
        <x:f>IFERROR(INDEX('계산도우미'!$A$5:$A$2004,MATCH(ROWS($A$6:A154),'계산도우미'!$L$5:$L$2004,0)),"")</x:f>
      </x:c>
      <x:c r="B154" t="str">
        <x:f>IFERROR(INDEX('계산도우미'!$B$5:$B$2004,MATCH(ROWS($A$6:A154),'계산도우미'!$L$5:$L$2004,0)),"")</x:f>
      </x:c>
      <x:c r="C154" t="str">
        <x:f>IFERROR(INDEX('계산도우미'!$C$5:$C$2004,MATCH(ROWS($A$6:A154),'계산도우미'!$L$5:$L$2004,0)),"")</x:f>
      </x:c>
      <x:c r="D154" s="67" t="str">
        <x:f>IFERROR(INDEX('계산도우미'!$D$5:$D$2004,MATCH(ROWS($A$6:A154),'계산도우미'!$L$5:$L$2004,0)),"")</x:f>
      </x:c>
      <x:c r="E154" t="str">
        <x:f>IFERROR(INDEX('계산도우미'!$E$5:$E$2004,MATCH(ROWS($A$6:A154),'계산도우미'!$L$5:$L$2004,0)),"")</x:f>
      </x:c>
      <x:c r="F154" t="str">
        <x:f>IFERROR(INDEX('계산도우미'!$F$5:$F$2004,MATCH(ROWS($A$6:A154),'계산도우미'!$L$5:$L$2004,0)),"")</x:f>
      </x:c>
      <x:c r="G154" s="68" t="str">
        <x:f>IFERROR(INDEX('계산도우미'!$G$5:$G$2004,MATCH(ROWS($A$6:A154),'계산도우미'!$L$5:$L$2004,0)),"")</x:f>
      </x:c>
      <x:c r="H154" t="str">
        <x:f>IFERROR(INDEX('계산도우미'!$H$5:$H$2004,MATCH(ROWS($A$6:A154),'계산도우미'!$L$5:$L$2004,0)),"")</x:f>
      </x:c>
      <x:c r="I154" t="str">
        <x:f>IFERROR(INDEX('계산도우미'!$I$5:$I$2004,MATCH(ROWS($A$6:A154),'계산도우미'!$L$5:$L$2004,0)),"")</x:f>
      </x:c>
      <x:c r="J154" t="str">
        <x:f>IFERROR(INDEX('계산도우미'!$J$5:$J$2004,MATCH(ROWS($A$6:A154),'계산도우미'!$L$5:$L$2004,0)),"")</x:f>
      </x:c>
      <x:c r="K154" t="str">
        <x:f>IF(B154="","",IF(I154="확인 필요","붙임 문서 확인 후 거래 성격·기간·상대방·일회성 여부 확인","결의서명과 전기 대비 발생 건수·단가·시점 차이 검토"))</x:f>
      </x:c>
    </x:row>
    <x:row r="155">
      <x:c r="A155" t="str">
        <x:f>IFERROR(INDEX('계산도우미'!$A$5:$A$2004,MATCH(ROWS($A$6:A155),'계산도우미'!$L$5:$L$2004,0)),"")</x:f>
      </x:c>
      <x:c r="B155" t="str">
        <x:f>IFERROR(INDEX('계산도우미'!$B$5:$B$2004,MATCH(ROWS($A$6:A155),'계산도우미'!$L$5:$L$2004,0)),"")</x:f>
      </x:c>
      <x:c r="C155" t="str">
        <x:f>IFERROR(INDEX('계산도우미'!$C$5:$C$2004,MATCH(ROWS($A$6:A155),'계산도우미'!$L$5:$L$2004,0)),"")</x:f>
      </x:c>
      <x:c r="D155" s="67" t="str">
        <x:f>IFERROR(INDEX('계산도우미'!$D$5:$D$2004,MATCH(ROWS($A$6:A155),'계산도우미'!$L$5:$L$2004,0)),"")</x:f>
      </x:c>
      <x:c r="E155" t="str">
        <x:f>IFERROR(INDEX('계산도우미'!$E$5:$E$2004,MATCH(ROWS($A$6:A155),'계산도우미'!$L$5:$L$2004,0)),"")</x:f>
      </x:c>
      <x:c r="F155" t="str">
        <x:f>IFERROR(INDEX('계산도우미'!$F$5:$F$2004,MATCH(ROWS($A$6:A155),'계산도우미'!$L$5:$L$2004,0)),"")</x:f>
      </x:c>
      <x:c r="G155" s="68" t="str">
        <x:f>IFERROR(INDEX('계산도우미'!$G$5:$G$2004,MATCH(ROWS($A$6:A155),'계산도우미'!$L$5:$L$2004,0)),"")</x:f>
      </x:c>
      <x:c r="H155" t="str">
        <x:f>IFERROR(INDEX('계산도우미'!$H$5:$H$2004,MATCH(ROWS($A$6:A155),'계산도우미'!$L$5:$L$2004,0)),"")</x:f>
      </x:c>
      <x:c r="I155" t="str">
        <x:f>IFERROR(INDEX('계산도우미'!$I$5:$I$2004,MATCH(ROWS($A$6:A155),'계산도우미'!$L$5:$L$2004,0)),"")</x:f>
      </x:c>
      <x:c r="J155" t="str">
        <x:f>IFERROR(INDEX('계산도우미'!$J$5:$J$2004,MATCH(ROWS($A$6:A155),'계산도우미'!$L$5:$L$2004,0)),"")</x:f>
      </x:c>
      <x:c r="K155" t="str">
        <x:f>IF(B155="","",IF(I155="확인 필요","붙임 문서 확인 후 거래 성격·기간·상대방·일회성 여부 확인","결의서명과 전기 대비 발생 건수·단가·시점 차이 검토"))</x:f>
      </x:c>
    </x:row>
    <x:row r="156">
      <x:c r="A156" t="str">
        <x:f>IFERROR(INDEX('계산도우미'!$A$5:$A$2004,MATCH(ROWS($A$6:A156),'계산도우미'!$L$5:$L$2004,0)),"")</x:f>
      </x:c>
      <x:c r="B156" t="str">
        <x:f>IFERROR(INDEX('계산도우미'!$B$5:$B$2004,MATCH(ROWS($A$6:A156),'계산도우미'!$L$5:$L$2004,0)),"")</x:f>
      </x:c>
      <x:c r="C156" t="str">
        <x:f>IFERROR(INDEX('계산도우미'!$C$5:$C$2004,MATCH(ROWS($A$6:A156),'계산도우미'!$L$5:$L$2004,0)),"")</x:f>
      </x:c>
      <x:c r="D156" s="67" t="str">
        <x:f>IFERROR(INDEX('계산도우미'!$D$5:$D$2004,MATCH(ROWS($A$6:A156),'계산도우미'!$L$5:$L$2004,0)),"")</x:f>
      </x:c>
      <x:c r="E156" t="str">
        <x:f>IFERROR(INDEX('계산도우미'!$E$5:$E$2004,MATCH(ROWS($A$6:A156),'계산도우미'!$L$5:$L$2004,0)),"")</x:f>
      </x:c>
      <x:c r="F156" t="str">
        <x:f>IFERROR(INDEX('계산도우미'!$F$5:$F$2004,MATCH(ROWS($A$6:A156),'계산도우미'!$L$5:$L$2004,0)),"")</x:f>
      </x:c>
      <x:c r="G156" s="68" t="str">
        <x:f>IFERROR(INDEX('계산도우미'!$G$5:$G$2004,MATCH(ROWS($A$6:A156),'계산도우미'!$L$5:$L$2004,0)),"")</x:f>
      </x:c>
      <x:c r="H156" t="str">
        <x:f>IFERROR(INDEX('계산도우미'!$H$5:$H$2004,MATCH(ROWS($A$6:A156),'계산도우미'!$L$5:$L$2004,0)),"")</x:f>
      </x:c>
      <x:c r="I156" t="str">
        <x:f>IFERROR(INDEX('계산도우미'!$I$5:$I$2004,MATCH(ROWS($A$6:A156),'계산도우미'!$L$5:$L$2004,0)),"")</x:f>
      </x:c>
      <x:c r="J156" t="str">
        <x:f>IFERROR(INDEX('계산도우미'!$J$5:$J$2004,MATCH(ROWS($A$6:A156),'계산도우미'!$L$5:$L$2004,0)),"")</x:f>
      </x:c>
      <x:c r="K156" t="str">
        <x:f>IF(B156="","",IF(I156="확인 필요","붙임 문서 확인 후 거래 성격·기간·상대방·일회성 여부 확인","결의서명과 전기 대비 발생 건수·단가·시점 차이 검토"))</x:f>
      </x:c>
    </x:row>
    <x:row r="157">
      <x:c r="A157" t="str">
        <x:f>IFERROR(INDEX('계산도우미'!$A$5:$A$2004,MATCH(ROWS($A$6:A157),'계산도우미'!$L$5:$L$2004,0)),"")</x:f>
      </x:c>
      <x:c r="B157" t="str">
        <x:f>IFERROR(INDEX('계산도우미'!$B$5:$B$2004,MATCH(ROWS($A$6:A157),'계산도우미'!$L$5:$L$2004,0)),"")</x:f>
      </x:c>
      <x:c r="C157" t="str">
        <x:f>IFERROR(INDEX('계산도우미'!$C$5:$C$2004,MATCH(ROWS($A$6:A157),'계산도우미'!$L$5:$L$2004,0)),"")</x:f>
      </x:c>
      <x:c r="D157" s="67" t="str">
        <x:f>IFERROR(INDEX('계산도우미'!$D$5:$D$2004,MATCH(ROWS($A$6:A157),'계산도우미'!$L$5:$L$2004,0)),"")</x:f>
      </x:c>
      <x:c r="E157" t="str">
        <x:f>IFERROR(INDEX('계산도우미'!$E$5:$E$2004,MATCH(ROWS($A$6:A157),'계산도우미'!$L$5:$L$2004,0)),"")</x:f>
      </x:c>
      <x:c r="F157" t="str">
        <x:f>IFERROR(INDEX('계산도우미'!$F$5:$F$2004,MATCH(ROWS($A$6:A157),'계산도우미'!$L$5:$L$2004,0)),"")</x:f>
      </x:c>
      <x:c r="G157" s="68" t="str">
        <x:f>IFERROR(INDEX('계산도우미'!$G$5:$G$2004,MATCH(ROWS($A$6:A157),'계산도우미'!$L$5:$L$2004,0)),"")</x:f>
      </x:c>
      <x:c r="H157" t="str">
        <x:f>IFERROR(INDEX('계산도우미'!$H$5:$H$2004,MATCH(ROWS($A$6:A157),'계산도우미'!$L$5:$L$2004,0)),"")</x:f>
      </x:c>
      <x:c r="I157" t="str">
        <x:f>IFERROR(INDEX('계산도우미'!$I$5:$I$2004,MATCH(ROWS($A$6:A157),'계산도우미'!$L$5:$L$2004,0)),"")</x:f>
      </x:c>
      <x:c r="J157" t="str">
        <x:f>IFERROR(INDEX('계산도우미'!$J$5:$J$2004,MATCH(ROWS($A$6:A157),'계산도우미'!$L$5:$L$2004,0)),"")</x:f>
      </x:c>
      <x:c r="K157" t="str">
        <x:f>IF(B157="","",IF(I157="확인 필요","붙임 문서 확인 후 거래 성격·기간·상대방·일회성 여부 확인","결의서명과 전기 대비 발생 건수·단가·시점 차이 검토"))</x:f>
      </x:c>
    </x:row>
    <x:row r="158">
      <x:c r="A158" t="str">
        <x:f>IFERROR(INDEX('계산도우미'!$A$5:$A$2004,MATCH(ROWS($A$6:A158),'계산도우미'!$L$5:$L$2004,0)),"")</x:f>
      </x:c>
      <x:c r="B158" t="str">
        <x:f>IFERROR(INDEX('계산도우미'!$B$5:$B$2004,MATCH(ROWS($A$6:A158),'계산도우미'!$L$5:$L$2004,0)),"")</x:f>
      </x:c>
      <x:c r="C158" t="str">
        <x:f>IFERROR(INDEX('계산도우미'!$C$5:$C$2004,MATCH(ROWS($A$6:A158),'계산도우미'!$L$5:$L$2004,0)),"")</x:f>
      </x:c>
      <x:c r="D158" s="67" t="str">
        <x:f>IFERROR(INDEX('계산도우미'!$D$5:$D$2004,MATCH(ROWS($A$6:A158),'계산도우미'!$L$5:$L$2004,0)),"")</x:f>
      </x:c>
      <x:c r="E158" t="str">
        <x:f>IFERROR(INDEX('계산도우미'!$E$5:$E$2004,MATCH(ROWS($A$6:A158),'계산도우미'!$L$5:$L$2004,0)),"")</x:f>
      </x:c>
      <x:c r="F158" t="str">
        <x:f>IFERROR(INDEX('계산도우미'!$F$5:$F$2004,MATCH(ROWS($A$6:A158),'계산도우미'!$L$5:$L$2004,0)),"")</x:f>
      </x:c>
      <x:c r="G158" s="68" t="str">
        <x:f>IFERROR(INDEX('계산도우미'!$G$5:$G$2004,MATCH(ROWS($A$6:A158),'계산도우미'!$L$5:$L$2004,0)),"")</x:f>
      </x:c>
      <x:c r="H158" t="str">
        <x:f>IFERROR(INDEX('계산도우미'!$H$5:$H$2004,MATCH(ROWS($A$6:A158),'계산도우미'!$L$5:$L$2004,0)),"")</x:f>
      </x:c>
      <x:c r="I158" t="str">
        <x:f>IFERROR(INDEX('계산도우미'!$I$5:$I$2004,MATCH(ROWS($A$6:A158),'계산도우미'!$L$5:$L$2004,0)),"")</x:f>
      </x:c>
      <x:c r="J158" t="str">
        <x:f>IFERROR(INDEX('계산도우미'!$J$5:$J$2004,MATCH(ROWS($A$6:A158),'계산도우미'!$L$5:$L$2004,0)),"")</x:f>
      </x:c>
      <x:c r="K158" t="str">
        <x:f>IF(B158="","",IF(I158="확인 필요","붙임 문서 확인 후 거래 성격·기간·상대방·일회성 여부 확인","결의서명과 전기 대비 발생 건수·단가·시점 차이 검토"))</x:f>
      </x:c>
    </x:row>
    <x:row r="159">
      <x:c r="A159" t="str">
        <x:f>IFERROR(INDEX('계산도우미'!$A$5:$A$2004,MATCH(ROWS($A$6:A159),'계산도우미'!$L$5:$L$2004,0)),"")</x:f>
      </x:c>
      <x:c r="B159" t="str">
        <x:f>IFERROR(INDEX('계산도우미'!$B$5:$B$2004,MATCH(ROWS($A$6:A159),'계산도우미'!$L$5:$L$2004,0)),"")</x:f>
      </x:c>
      <x:c r="C159" t="str">
        <x:f>IFERROR(INDEX('계산도우미'!$C$5:$C$2004,MATCH(ROWS($A$6:A159),'계산도우미'!$L$5:$L$2004,0)),"")</x:f>
      </x:c>
      <x:c r="D159" s="67" t="str">
        <x:f>IFERROR(INDEX('계산도우미'!$D$5:$D$2004,MATCH(ROWS($A$6:A159),'계산도우미'!$L$5:$L$2004,0)),"")</x:f>
      </x:c>
      <x:c r="E159" t="str">
        <x:f>IFERROR(INDEX('계산도우미'!$E$5:$E$2004,MATCH(ROWS($A$6:A159),'계산도우미'!$L$5:$L$2004,0)),"")</x:f>
      </x:c>
      <x:c r="F159" t="str">
        <x:f>IFERROR(INDEX('계산도우미'!$F$5:$F$2004,MATCH(ROWS($A$6:A159),'계산도우미'!$L$5:$L$2004,0)),"")</x:f>
      </x:c>
      <x:c r="G159" s="68" t="str">
        <x:f>IFERROR(INDEX('계산도우미'!$G$5:$G$2004,MATCH(ROWS($A$6:A159),'계산도우미'!$L$5:$L$2004,0)),"")</x:f>
      </x:c>
      <x:c r="H159" t="str">
        <x:f>IFERROR(INDEX('계산도우미'!$H$5:$H$2004,MATCH(ROWS($A$6:A159),'계산도우미'!$L$5:$L$2004,0)),"")</x:f>
      </x:c>
      <x:c r="I159" t="str">
        <x:f>IFERROR(INDEX('계산도우미'!$I$5:$I$2004,MATCH(ROWS($A$6:A159),'계산도우미'!$L$5:$L$2004,0)),"")</x:f>
      </x:c>
      <x:c r="J159" t="str">
        <x:f>IFERROR(INDEX('계산도우미'!$J$5:$J$2004,MATCH(ROWS($A$6:A159),'계산도우미'!$L$5:$L$2004,0)),"")</x:f>
      </x:c>
      <x:c r="K159" t="str">
        <x:f>IF(B159="","",IF(I159="확인 필요","붙임 문서 확인 후 거래 성격·기간·상대방·일회성 여부 확인","결의서명과 전기 대비 발생 건수·단가·시점 차이 검토"))</x:f>
      </x:c>
    </x:row>
    <x:row r="160">
      <x:c r="A160" t="str">
        <x:f>IFERROR(INDEX('계산도우미'!$A$5:$A$2004,MATCH(ROWS($A$6:A160),'계산도우미'!$L$5:$L$2004,0)),"")</x:f>
      </x:c>
      <x:c r="B160" t="str">
        <x:f>IFERROR(INDEX('계산도우미'!$B$5:$B$2004,MATCH(ROWS($A$6:A160),'계산도우미'!$L$5:$L$2004,0)),"")</x:f>
      </x:c>
      <x:c r="C160" t="str">
        <x:f>IFERROR(INDEX('계산도우미'!$C$5:$C$2004,MATCH(ROWS($A$6:A160),'계산도우미'!$L$5:$L$2004,0)),"")</x:f>
      </x:c>
      <x:c r="D160" s="67" t="str">
        <x:f>IFERROR(INDEX('계산도우미'!$D$5:$D$2004,MATCH(ROWS($A$6:A160),'계산도우미'!$L$5:$L$2004,0)),"")</x:f>
      </x:c>
      <x:c r="E160" t="str">
        <x:f>IFERROR(INDEX('계산도우미'!$E$5:$E$2004,MATCH(ROWS($A$6:A160),'계산도우미'!$L$5:$L$2004,0)),"")</x:f>
      </x:c>
      <x:c r="F160" t="str">
        <x:f>IFERROR(INDEX('계산도우미'!$F$5:$F$2004,MATCH(ROWS($A$6:A160),'계산도우미'!$L$5:$L$2004,0)),"")</x:f>
      </x:c>
      <x:c r="G160" s="68" t="str">
        <x:f>IFERROR(INDEX('계산도우미'!$G$5:$G$2004,MATCH(ROWS($A$6:A160),'계산도우미'!$L$5:$L$2004,0)),"")</x:f>
      </x:c>
      <x:c r="H160" t="str">
        <x:f>IFERROR(INDEX('계산도우미'!$H$5:$H$2004,MATCH(ROWS($A$6:A160),'계산도우미'!$L$5:$L$2004,0)),"")</x:f>
      </x:c>
      <x:c r="I160" t="str">
        <x:f>IFERROR(INDEX('계산도우미'!$I$5:$I$2004,MATCH(ROWS($A$6:A160),'계산도우미'!$L$5:$L$2004,0)),"")</x:f>
      </x:c>
      <x:c r="J160" t="str">
        <x:f>IFERROR(INDEX('계산도우미'!$J$5:$J$2004,MATCH(ROWS($A$6:A160),'계산도우미'!$L$5:$L$2004,0)),"")</x:f>
      </x:c>
      <x:c r="K160" t="str">
        <x:f>IF(B160="","",IF(I160="확인 필요","붙임 문서 확인 후 거래 성격·기간·상대방·일회성 여부 확인","결의서명과 전기 대비 발생 건수·단가·시점 차이 검토"))</x:f>
      </x:c>
    </x:row>
    <x:row r="161">
      <x:c r="A161" t="str">
        <x:f>IFERROR(INDEX('계산도우미'!$A$5:$A$2004,MATCH(ROWS($A$6:A161),'계산도우미'!$L$5:$L$2004,0)),"")</x:f>
      </x:c>
      <x:c r="B161" t="str">
        <x:f>IFERROR(INDEX('계산도우미'!$B$5:$B$2004,MATCH(ROWS($A$6:A161),'계산도우미'!$L$5:$L$2004,0)),"")</x:f>
      </x:c>
      <x:c r="C161" t="str">
        <x:f>IFERROR(INDEX('계산도우미'!$C$5:$C$2004,MATCH(ROWS($A$6:A161),'계산도우미'!$L$5:$L$2004,0)),"")</x:f>
      </x:c>
      <x:c r="D161" s="67" t="str">
        <x:f>IFERROR(INDEX('계산도우미'!$D$5:$D$2004,MATCH(ROWS($A$6:A161),'계산도우미'!$L$5:$L$2004,0)),"")</x:f>
      </x:c>
      <x:c r="E161" t="str">
        <x:f>IFERROR(INDEX('계산도우미'!$E$5:$E$2004,MATCH(ROWS($A$6:A161),'계산도우미'!$L$5:$L$2004,0)),"")</x:f>
      </x:c>
      <x:c r="F161" t="str">
        <x:f>IFERROR(INDEX('계산도우미'!$F$5:$F$2004,MATCH(ROWS($A$6:A161),'계산도우미'!$L$5:$L$2004,0)),"")</x:f>
      </x:c>
      <x:c r="G161" s="68" t="str">
        <x:f>IFERROR(INDEX('계산도우미'!$G$5:$G$2004,MATCH(ROWS($A$6:A161),'계산도우미'!$L$5:$L$2004,0)),"")</x:f>
      </x:c>
      <x:c r="H161" t="str">
        <x:f>IFERROR(INDEX('계산도우미'!$H$5:$H$2004,MATCH(ROWS($A$6:A161),'계산도우미'!$L$5:$L$2004,0)),"")</x:f>
      </x:c>
      <x:c r="I161" t="str">
        <x:f>IFERROR(INDEX('계산도우미'!$I$5:$I$2004,MATCH(ROWS($A$6:A161),'계산도우미'!$L$5:$L$2004,0)),"")</x:f>
      </x:c>
      <x:c r="J161" t="str">
        <x:f>IFERROR(INDEX('계산도우미'!$J$5:$J$2004,MATCH(ROWS($A$6:A161),'계산도우미'!$L$5:$L$2004,0)),"")</x:f>
      </x:c>
      <x:c r="K161" t="str">
        <x:f>IF(B161="","",IF(I161="확인 필요","붙임 문서 확인 후 거래 성격·기간·상대방·일회성 여부 확인","결의서명과 전기 대비 발생 건수·단가·시점 차이 검토"))</x:f>
      </x:c>
    </x:row>
    <x:row r="162">
      <x:c r="A162" t="str">
        <x:f>IFERROR(INDEX('계산도우미'!$A$5:$A$2004,MATCH(ROWS($A$6:A162),'계산도우미'!$L$5:$L$2004,0)),"")</x:f>
      </x:c>
      <x:c r="B162" t="str">
        <x:f>IFERROR(INDEX('계산도우미'!$B$5:$B$2004,MATCH(ROWS($A$6:A162),'계산도우미'!$L$5:$L$2004,0)),"")</x:f>
      </x:c>
      <x:c r="C162" t="str">
        <x:f>IFERROR(INDEX('계산도우미'!$C$5:$C$2004,MATCH(ROWS($A$6:A162),'계산도우미'!$L$5:$L$2004,0)),"")</x:f>
      </x:c>
      <x:c r="D162" s="67" t="str">
        <x:f>IFERROR(INDEX('계산도우미'!$D$5:$D$2004,MATCH(ROWS($A$6:A162),'계산도우미'!$L$5:$L$2004,0)),"")</x:f>
      </x:c>
      <x:c r="E162" t="str">
        <x:f>IFERROR(INDEX('계산도우미'!$E$5:$E$2004,MATCH(ROWS($A$6:A162),'계산도우미'!$L$5:$L$2004,0)),"")</x:f>
      </x:c>
      <x:c r="F162" t="str">
        <x:f>IFERROR(INDEX('계산도우미'!$F$5:$F$2004,MATCH(ROWS($A$6:A162),'계산도우미'!$L$5:$L$2004,0)),"")</x:f>
      </x:c>
      <x:c r="G162" s="68" t="str">
        <x:f>IFERROR(INDEX('계산도우미'!$G$5:$G$2004,MATCH(ROWS($A$6:A162),'계산도우미'!$L$5:$L$2004,0)),"")</x:f>
      </x:c>
      <x:c r="H162" t="str">
        <x:f>IFERROR(INDEX('계산도우미'!$H$5:$H$2004,MATCH(ROWS($A$6:A162),'계산도우미'!$L$5:$L$2004,0)),"")</x:f>
      </x:c>
      <x:c r="I162" t="str">
        <x:f>IFERROR(INDEX('계산도우미'!$I$5:$I$2004,MATCH(ROWS($A$6:A162),'계산도우미'!$L$5:$L$2004,0)),"")</x:f>
      </x:c>
      <x:c r="J162" t="str">
        <x:f>IFERROR(INDEX('계산도우미'!$J$5:$J$2004,MATCH(ROWS($A$6:A162),'계산도우미'!$L$5:$L$2004,0)),"")</x:f>
      </x:c>
      <x:c r="K162" t="str">
        <x:f>IF(B162="","",IF(I162="확인 필요","붙임 문서 확인 후 거래 성격·기간·상대방·일회성 여부 확인","결의서명과 전기 대비 발생 건수·단가·시점 차이 검토"))</x:f>
      </x:c>
    </x:row>
    <x:row r="163">
      <x:c r="A163" t="str">
        <x:f>IFERROR(INDEX('계산도우미'!$A$5:$A$2004,MATCH(ROWS($A$6:A163),'계산도우미'!$L$5:$L$2004,0)),"")</x:f>
      </x:c>
      <x:c r="B163" t="str">
        <x:f>IFERROR(INDEX('계산도우미'!$B$5:$B$2004,MATCH(ROWS($A$6:A163),'계산도우미'!$L$5:$L$2004,0)),"")</x:f>
      </x:c>
      <x:c r="C163" t="str">
        <x:f>IFERROR(INDEX('계산도우미'!$C$5:$C$2004,MATCH(ROWS($A$6:A163),'계산도우미'!$L$5:$L$2004,0)),"")</x:f>
      </x:c>
      <x:c r="D163" s="67" t="str">
        <x:f>IFERROR(INDEX('계산도우미'!$D$5:$D$2004,MATCH(ROWS($A$6:A163),'계산도우미'!$L$5:$L$2004,0)),"")</x:f>
      </x:c>
      <x:c r="E163" t="str">
        <x:f>IFERROR(INDEX('계산도우미'!$E$5:$E$2004,MATCH(ROWS($A$6:A163),'계산도우미'!$L$5:$L$2004,0)),"")</x:f>
      </x:c>
      <x:c r="F163" t="str">
        <x:f>IFERROR(INDEX('계산도우미'!$F$5:$F$2004,MATCH(ROWS($A$6:A163),'계산도우미'!$L$5:$L$2004,0)),"")</x:f>
      </x:c>
      <x:c r="G163" s="68" t="str">
        <x:f>IFERROR(INDEX('계산도우미'!$G$5:$G$2004,MATCH(ROWS($A$6:A163),'계산도우미'!$L$5:$L$2004,0)),"")</x:f>
      </x:c>
      <x:c r="H163" t="str">
        <x:f>IFERROR(INDEX('계산도우미'!$H$5:$H$2004,MATCH(ROWS($A$6:A163),'계산도우미'!$L$5:$L$2004,0)),"")</x:f>
      </x:c>
      <x:c r="I163" t="str">
        <x:f>IFERROR(INDEX('계산도우미'!$I$5:$I$2004,MATCH(ROWS($A$6:A163),'계산도우미'!$L$5:$L$2004,0)),"")</x:f>
      </x:c>
      <x:c r="J163" t="str">
        <x:f>IFERROR(INDEX('계산도우미'!$J$5:$J$2004,MATCH(ROWS($A$6:A163),'계산도우미'!$L$5:$L$2004,0)),"")</x:f>
      </x:c>
      <x:c r="K163" t="str">
        <x:f>IF(B163="","",IF(I163="확인 필요","붙임 문서 확인 후 거래 성격·기간·상대방·일회성 여부 확인","결의서명과 전기 대비 발생 건수·단가·시점 차이 검토"))</x:f>
      </x:c>
    </x:row>
    <x:row r="164">
      <x:c r="A164" t="str">
        <x:f>IFERROR(INDEX('계산도우미'!$A$5:$A$2004,MATCH(ROWS($A$6:A164),'계산도우미'!$L$5:$L$2004,0)),"")</x:f>
      </x:c>
      <x:c r="B164" t="str">
        <x:f>IFERROR(INDEX('계산도우미'!$B$5:$B$2004,MATCH(ROWS($A$6:A164),'계산도우미'!$L$5:$L$2004,0)),"")</x:f>
      </x:c>
      <x:c r="C164" t="str">
        <x:f>IFERROR(INDEX('계산도우미'!$C$5:$C$2004,MATCH(ROWS($A$6:A164),'계산도우미'!$L$5:$L$2004,0)),"")</x:f>
      </x:c>
      <x:c r="D164" s="67" t="str">
        <x:f>IFERROR(INDEX('계산도우미'!$D$5:$D$2004,MATCH(ROWS($A$6:A164),'계산도우미'!$L$5:$L$2004,0)),"")</x:f>
      </x:c>
      <x:c r="E164" t="str">
        <x:f>IFERROR(INDEX('계산도우미'!$E$5:$E$2004,MATCH(ROWS($A$6:A164),'계산도우미'!$L$5:$L$2004,0)),"")</x:f>
      </x:c>
      <x:c r="F164" t="str">
        <x:f>IFERROR(INDEX('계산도우미'!$F$5:$F$2004,MATCH(ROWS($A$6:A164),'계산도우미'!$L$5:$L$2004,0)),"")</x:f>
      </x:c>
      <x:c r="G164" s="68" t="str">
        <x:f>IFERROR(INDEX('계산도우미'!$G$5:$G$2004,MATCH(ROWS($A$6:A164),'계산도우미'!$L$5:$L$2004,0)),"")</x:f>
      </x:c>
      <x:c r="H164" t="str">
        <x:f>IFERROR(INDEX('계산도우미'!$H$5:$H$2004,MATCH(ROWS($A$6:A164),'계산도우미'!$L$5:$L$2004,0)),"")</x:f>
      </x:c>
      <x:c r="I164" t="str">
        <x:f>IFERROR(INDEX('계산도우미'!$I$5:$I$2004,MATCH(ROWS($A$6:A164),'계산도우미'!$L$5:$L$2004,0)),"")</x:f>
      </x:c>
      <x:c r="J164" t="str">
        <x:f>IFERROR(INDEX('계산도우미'!$J$5:$J$2004,MATCH(ROWS($A$6:A164),'계산도우미'!$L$5:$L$2004,0)),"")</x:f>
      </x:c>
      <x:c r="K164" t="str">
        <x:f>IF(B164="","",IF(I164="확인 필요","붙임 문서 확인 후 거래 성격·기간·상대방·일회성 여부 확인","결의서명과 전기 대비 발생 건수·단가·시점 차이 검토"))</x:f>
      </x:c>
    </x:row>
    <x:row r="165">
      <x:c r="A165" t="str">
        <x:f>IFERROR(INDEX('계산도우미'!$A$5:$A$2004,MATCH(ROWS($A$6:A165),'계산도우미'!$L$5:$L$2004,0)),"")</x:f>
      </x:c>
      <x:c r="B165" t="str">
        <x:f>IFERROR(INDEX('계산도우미'!$B$5:$B$2004,MATCH(ROWS($A$6:A165),'계산도우미'!$L$5:$L$2004,0)),"")</x:f>
      </x:c>
      <x:c r="C165" t="str">
        <x:f>IFERROR(INDEX('계산도우미'!$C$5:$C$2004,MATCH(ROWS($A$6:A165),'계산도우미'!$L$5:$L$2004,0)),"")</x:f>
      </x:c>
      <x:c r="D165" s="67" t="str">
        <x:f>IFERROR(INDEX('계산도우미'!$D$5:$D$2004,MATCH(ROWS($A$6:A165),'계산도우미'!$L$5:$L$2004,0)),"")</x:f>
      </x:c>
      <x:c r="E165" t="str">
        <x:f>IFERROR(INDEX('계산도우미'!$E$5:$E$2004,MATCH(ROWS($A$6:A165),'계산도우미'!$L$5:$L$2004,0)),"")</x:f>
      </x:c>
      <x:c r="F165" t="str">
        <x:f>IFERROR(INDEX('계산도우미'!$F$5:$F$2004,MATCH(ROWS($A$6:A165),'계산도우미'!$L$5:$L$2004,0)),"")</x:f>
      </x:c>
      <x:c r="G165" s="68" t="str">
        <x:f>IFERROR(INDEX('계산도우미'!$G$5:$G$2004,MATCH(ROWS($A$6:A165),'계산도우미'!$L$5:$L$2004,0)),"")</x:f>
      </x:c>
      <x:c r="H165" t="str">
        <x:f>IFERROR(INDEX('계산도우미'!$H$5:$H$2004,MATCH(ROWS($A$6:A165),'계산도우미'!$L$5:$L$2004,0)),"")</x:f>
      </x:c>
      <x:c r="I165" t="str">
        <x:f>IFERROR(INDEX('계산도우미'!$I$5:$I$2004,MATCH(ROWS($A$6:A165),'계산도우미'!$L$5:$L$2004,0)),"")</x:f>
      </x:c>
      <x:c r="J165" t="str">
        <x:f>IFERROR(INDEX('계산도우미'!$J$5:$J$2004,MATCH(ROWS($A$6:A165),'계산도우미'!$L$5:$L$2004,0)),"")</x:f>
      </x:c>
      <x:c r="K165" t="str">
        <x:f>IF(B165="","",IF(I165="확인 필요","붙임 문서 확인 후 거래 성격·기간·상대방·일회성 여부 확인","결의서명과 전기 대비 발생 건수·단가·시점 차이 검토"))</x:f>
      </x:c>
    </x:row>
    <x:row r="166">
      <x:c r="A166" t="str">
        <x:f>IFERROR(INDEX('계산도우미'!$A$5:$A$2004,MATCH(ROWS($A$6:A166),'계산도우미'!$L$5:$L$2004,0)),"")</x:f>
      </x:c>
      <x:c r="B166" t="str">
        <x:f>IFERROR(INDEX('계산도우미'!$B$5:$B$2004,MATCH(ROWS($A$6:A166),'계산도우미'!$L$5:$L$2004,0)),"")</x:f>
      </x:c>
      <x:c r="C166" t="str">
        <x:f>IFERROR(INDEX('계산도우미'!$C$5:$C$2004,MATCH(ROWS($A$6:A166),'계산도우미'!$L$5:$L$2004,0)),"")</x:f>
      </x:c>
      <x:c r="D166" s="67" t="str">
        <x:f>IFERROR(INDEX('계산도우미'!$D$5:$D$2004,MATCH(ROWS($A$6:A166),'계산도우미'!$L$5:$L$2004,0)),"")</x:f>
      </x:c>
      <x:c r="E166" t="str">
        <x:f>IFERROR(INDEX('계산도우미'!$E$5:$E$2004,MATCH(ROWS($A$6:A166),'계산도우미'!$L$5:$L$2004,0)),"")</x:f>
      </x:c>
      <x:c r="F166" t="str">
        <x:f>IFERROR(INDEX('계산도우미'!$F$5:$F$2004,MATCH(ROWS($A$6:A166),'계산도우미'!$L$5:$L$2004,0)),"")</x:f>
      </x:c>
      <x:c r="G166" s="68" t="str">
        <x:f>IFERROR(INDEX('계산도우미'!$G$5:$G$2004,MATCH(ROWS($A$6:A166),'계산도우미'!$L$5:$L$2004,0)),"")</x:f>
      </x:c>
      <x:c r="H166" t="str">
        <x:f>IFERROR(INDEX('계산도우미'!$H$5:$H$2004,MATCH(ROWS($A$6:A166),'계산도우미'!$L$5:$L$2004,0)),"")</x:f>
      </x:c>
      <x:c r="I166" t="str">
        <x:f>IFERROR(INDEX('계산도우미'!$I$5:$I$2004,MATCH(ROWS($A$6:A166),'계산도우미'!$L$5:$L$2004,0)),"")</x:f>
      </x:c>
      <x:c r="J166" t="str">
        <x:f>IFERROR(INDEX('계산도우미'!$J$5:$J$2004,MATCH(ROWS($A$6:A166),'계산도우미'!$L$5:$L$2004,0)),"")</x:f>
      </x:c>
      <x:c r="K166" t="str">
        <x:f>IF(B166="","",IF(I166="확인 필요","붙임 문서 확인 후 거래 성격·기간·상대방·일회성 여부 확인","결의서명과 전기 대비 발생 건수·단가·시점 차이 검토"))</x:f>
      </x:c>
    </x:row>
    <x:row r="167">
      <x:c r="A167" t="str">
        <x:f>IFERROR(INDEX('계산도우미'!$A$5:$A$2004,MATCH(ROWS($A$6:A167),'계산도우미'!$L$5:$L$2004,0)),"")</x:f>
      </x:c>
      <x:c r="B167" t="str">
        <x:f>IFERROR(INDEX('계산도우미'!$B$5:$B$2004,MATCH(ROWS($A$6:A167),'계산도우미'!$L$5:$L$2004,0)),"")</x:f>
      </x:c>
      <x:c r="C167" t="str">
        <x:f>IFERROR(INDEX('계산도우미'!$C$5:$C$2004,MATCH(ROWS($A$6:A167),'계산도우미'!$L$5:$L$2004,0)),"")</x:f>
      </x:c>
      <x:c r="D167" s="67" t="str">
        <x:f>IFERROR(INDEX('계산도우미'!$D$5:$D$2004,MATCH(ROWS($A$6:A167),'계산도우미'!$L$5:$L$2004,0)),"")</x:f>
      </x:c>
      <x:c r="E167" t="str">
        <x:f>IFERROR(INDEX('계산도우미'!$E$5:$E$2004,MATCH(ROWS($A$6:A167),'계산도우미'!$L$5:$L$2004,0)),"")</x:f>
      </x:c>
      <x:c r="F167" t="str">
        <x:f>IFERROR(INDEX('계산도우미'!$F$5:$F$2004,MATCH(ROWS($A$6:A167),'계산도우미'!$L$5:$L$2004,0)),"")</x:f>
      </x:c>
      <x:c r="G167" s="68" t="str">
        <x:f>IFERROR(INDEX('계산도우미'!$G$5:$G$2004,MATCH(ROWS($A$6:A167),'계산도우미'!$L$5:$L$2004,0)),"")</x:f>
      </x:c>
      <x:c r="H167" t="str">
        <x:f>IFERROR(INDEX('계산도우미'!$H$5:$H$2004,MATCH(ROWS($A$6:A167),'계산도우미'!$L$5:$L$2004,0)),"")</x:f>
      </x:c>
      <x:c r="I167" t="str">
        <x:f>IFERROR(INDEX('계산도우미'!$I$5:$I$2004,MATCH(ROWS($A$6:A167),'계산도우미'!$L$5:$L$2004,0)),"")</x:f>
      </x:c>
      <x:c r="J167" t="str">
        <x:f>IFERROR(INDEX('계산도우미'!$J$5:$J$2004,MATCH(ROWS($A$6:A167),'계산도우미'!$L$5:$L$2004,0)),"")</x:f>
      </x:c>
      <x:c r="K167" t="str">
        <x:f>IF(B167="","",IF(I167="확인 필요","붙임 문서 확인 후 거래 성격·기간·상대방·일회성 여부 확인","결의서명과 전기 대비 발생 건수·단가·시점 차이 검토"))</x:f>
      </x:c>
    </x:row>
    <x:row r="168">
      <x:c r="A168" t="str">
        <x:f>IFERROR(INDEX('계산도우미'!$A$5:$A$2004,MATCH(ROWS($A$6:A168),'계산도우미'!$L$5:$L$2004,0)),"")</x:f>
      </x:c>
      <x:c r="B168" t="str">
        <x:f>IFERROR(INDEX('계산도우미'!$B$5:$B$2004,MATCH(ROWS($A$6:A168),'계산도우미'!$L$5:$L$2004,0)),"")</x:f>
      </x:c>
      <x:c r="C168" t="str">
        <x:f>IFERROR(INDEX('계산도우미'!$C$5:$C$2004,MATCH(ROWS($A$6:A168),'계산도우미'!$L$5:$L$2004,0)),"")</x:f>
      </x:c>
      <x:c r="D168" s="67" t="str">
        <x:f>IFERROR(INDEX('계산도우미'!$D$5:$D$2004,MATCH(ROWS($A$6:A168),'계산도우미'!$L$5:$L$2004,0)),"")</x:f>
      </x:c>
      <x:c r="E168" t="str">
        <x:f>IFERROR(INDEX('계산도우미'!$E$5:$E$2004,MATCH(ROWS($A$6:A168),'계산도우미'!$L$5:$L$2004,0)),"")</x:f>
      </x:c>
      <x:c r="F168" t="str">
        <x:f>IFERROR(INDEX('계산도우미'!$F$5:$F$2004,MATCH(ROWS($A$6:A168),'계산도우미'!$L$5:$L$2004,0)),"")</x:f>
      </x:c>
      <x:c r="G168" s="68" t="str">
        <x:f>IFERROR(INDEX('계산도우미'!$G$5:$G$2004,MATCH(ROWS($A$6:A168),'계산도우미'!$L$5:$L$2004,0)),"")</x:f>
      </x:c>
      <x:c r="H168" t="str">
        <x:f>IFERROR(INDEX('계산도우미'!$H$5:$H$2004,MATCH(ROWS($A$6:A168),'계산도우미'!$L$5:$L$2004,0)),"")</x:f>
      </x:c>
      <x:c r="I168" t="str">
        <x:f>IFERROR(INDEX('계산도우미'!$I$5:$I$2004,MATCH(ROWS($A$6:A168),'계산도우미'!$L$5:$L$2004,0)),"")</x:f>
      </x:c>
      <x:c r="J168" t="str">
        <x:f>IFERROR(INDEX('계산도우미'!$J$5:$J$2004,MATCH(ROWS($A$6:A168),'계산도우미'!$L$5:$L$2004,0)),"")</x:f>
      </x:c>
      <x:c r="K168" t="str">
        <x:f>IF(B168="","",IF(I168="확인 필요","붙임 문서 확인 후 거래 성격·기간·상대방·일회성 여부 확인","결의서명과 전기 대비 발생 건수·단가·시점 차이 검토"))</x:f>
      </x:c>
    </x:row>
    <x:row r="169">
      <x:c r="A169" t="str">
        <x:f>IFERROR(INDEX('계산도우미'!$A$5:$A$2004,MATCH(ROWS($A$6:A169),'계산도우미'!$L$5:$L$2004,0)),"")</x:f>
      </x:c>
      <x:c r="B169" t="str">
        <x:f>IFERROR(INDEX('계산도우미'!$B$5:$B$2004,MATCH(ROWS($A$6:A169),'계산도우미'!$L$5:$L$2004,0)),"")</x:f>
      </x:c>
      <x:c r="C169" t="str">
        <x:f>IFERROR(INDEX('계산도우미'!$C$5:$C$2004,MATCH(ROWS($A$6:A169),'계산도우미'!$L$5:$L$2004,0)),"")</x:f>
      </x:c>
      <x:c r="D169" s="67" t="str">
        <x:f>IFERROR(INDEX('계산도우미'!$D$5:$D$2004,MATCH(ROWS($A$6:A169),'계산도우미'!$L$5:$L$2004,0)),"")</x:f>
      </x:c>
      <x:c r="E169" t="str">
        <x:f>IFERROR(INDEX('계산도우미'!$E$5:$E$2004,MATCH(ROWS($A$6:A169),'계산도우미'!$L$5:$L$2004,0)),"")</x:f>
      </x:c>
      <x:c r="F169" t="str">
        <x:f>IFERROR(INDEX('계산도우미'!$F$5:$F$2004,MATCH(ROWS($A$6:A169),'계산도우미'!$L$5:$L$2004,0)),"")</x:f>
      </x:c>
      <x:c r="G169" s="68" t="str">
        <x:f>IFERROR(INDEX('계산도우미'!$G$5:$G$2004,MATCH(ROWS($A$6:A169),'계산도우미'!$L$5:$L$2004,0)),"")</x:f>
      </x:c>
      <x:c r="H169" t="str">
        <x:f>IFERROR(INDEX('계산도우미'!$H$5:$H$2004,MATCH(ROWS($A$6:A169),'계산도우미'!$L$5:$L$2004,0)),"")</x:f>
      </x:c>
      <x:c r="I169" t="str">
        <x:f>IFERROR(INDEX('계산도우미'!$I$5:$I$2004,MATCH(ROWS($A$6:A169),'계산도우미'!$L$5:$L$2004,0)),"")</x:f>
      </x:c>
      <x:c r="J169" t="str">
        <x:f>IFERROR(INDEX('계산도우미'!$J$5:$J$2004,MATCH(ROWS($A$6:A169),'계산도우미'!$L$5:$L$2004,0)),"")</x:f>
      </x:c>
      <x:c r="K169" t="str">
        <x:f>IF(B169="","",IF(I169="확인 필요","붙임 문서 확인 후 거래 성격·기간·상대방·일회성 여부 확인","결의서명과 전기 대비 발생 건수·단가·시점 차이 검토"))</x:f>
      </x:c>
    </x:row>
    <x:row r="170">
      <x:c r="A170" t="str">
        <x:f>IFERROR(INDEX('계산도우미'!$A$5:$A$2004,MATCH(ROWS($A$6:A170),'계산도우미'!$L$5:$L$2004,0)),"")</x:f>
      </x:c>
      <x:c r="B170" t="str">
        <x:f>IFERROR(INDEX('계산도우미'!$B$5:$B$2004,MATCH(ROWS($A$6:A170),'계산도우미'!$L$5:$L$2004,0)),"")</x:f>
      </x:c>
      <x:c r="C170" t="str">
        <x:f>IFERROR(INDEX('계산도우미'!$C$5:$C$2004,MATCH(ROWS($A$6:A170),'계산도우미'!$L$5:$L$2004,0)),"")</x:f>
      </x:c>
      <x:c r="D170" s="67" t="str">
        <x:f>IFERROR(INDEX('계산도우미'!$D$5:$D$2004,MATCH(ROWS($A$6:A170),'계산도우미'!$L$5:$L$2004,0)),"")</x:f>
      </x:c>
      <x:c r="E170" t="str">
        <x:f>IFERROR(INDEX('계산도우미'!$E$5:$E$2004,MATCH(ROWS($A$6:A170),'계산도우미'!$L$5:$L$2004,0)),"")</x:f>
      </x:c>
      <x:c r="F170" t="str">
        <x:f>IFERROR(INDEX('계산도우미'!$F$5:$F$2004,MATCH(ROWS($A$6:A170),'계산도우미'!$L$5:$L$2004,0)),"")</x:f>
      </x:c>
      <x:c r="G170" s="68" t="str">
        <x:f>IFERROR(INDEX('계산도우미'!$G$5:$G$2004,MATCH(ROWS($A$6:A170),'계산도우미'!$L$5:$L$2004,0)),"")</x:f>
      </x:c>
      <x:c r="H170" t="str">
        <x:f>IFERROR(INDEX('계산도우미'!$H$5:$H$2004,MATCH(ROWS($A$6:A170),'계산도우미'!$L$5:$L$2004,0)),"")</x:f>
      </x:c>
      <x:c r="I170" t="str">
        <x:f>IFERROR(INDEX('계산도우미'!$I$5:$I$2004,MATCH(ROWS($A$6:A170),'계산도우미'!$L$5:$L$2004,0)),"")</x:f>
      </x:c>
      <x:c r="J170" t="str">
        <x:f>IFERROR(INDEX('계산도우미'!$J$5:$J$2004,MATCH(ROWS($A$6:A170),'계산도우미'!$L$5:$L$2004,0)),"")</x:f>
      </x:c>
      <x:c r="K170" t="str">
        <x:f>IF(B170="","",IF(I170="확인 필요","붙임 문서 확인 후 거래 성격·기간·상대방·일회성 여부 확인","결의서명과 전기 대비 발생 건수·단가·시점 차이 검토"))</x:f>
      </x:c>
    </x:row>
    <x:row r="171">
      <x:c r="A171" t="str">
        <x:f>IFERROR(INDEX('계산도우미'!$A$5:$A$2004,MATCH(ROWS($A$6:A171),'계산도우미'!$L$5:$L$2004,0)),"")</x:f>
      </x:c>
      <x:c r="B171" t="str">
        <x:f>IFERROR(INDEX('계산도우미'!$B$5:$B$2004,MATCH(ROWS($A$6:A171),'계산도우미'!$L$5:$L$2004,0)),"")</x:f>
      </x:c>
      <x:c r="C171" t="str">
        <x:f>IFERROR(INDEX('계산도우미'!$C$5:$C$2004,MATCH(ROWS($A$6:A171),'계산도우미'!$L$5:$L$2004,0)),"")</x:f>
      </x:c>
      <x:c r="D171" s="67" t="str">
        <x:f>IFERROR(INDEX('계산도우미'!$D$5:$D$2004,MATCH(ROWS($A$6:A171),'계산도우미'!$L$5:$L$2004,0)),"")</x:f>
      </x:c>
      <x:c r="E171" t="str">
        <x:f>IFERROR(INDEX('계산도우미'!$E$5:$E$2004,MATCH(ROWS($A$6:A171),'계산도우미'!$L$5:$L$2004,0)),"")</x:f>
      </x:c>
      <x:c r="F171" t="str">
        <x:f>IFERROR(INDEX('계산도우미'!$F$5:$F$2004,MATCH(ROWS($A$6:A171),'계산도우미'!$L$5:$L$2004,0)),"")</x:f>
      </x:c>
      <x:c r="G171" s="68" t="str">
        <x:f>IFERROR(INDEX('계산도우미'!$G$5:$G$2004,MATCH(ROWS($A$6:A171),'계산도우미'!$L$5:$L$2004,0)),"")</x:f>
      </x:c>
      <x:c r="H171" t="str">
        <x:f>IFERROR(INDEX('계산도우미'!$H$5:$H$2004,MATCH(ROWS($A$6:A171),'계산도우미'!$L$5:$L$2004,0)),"")</x:f>
      </x:c>
      <x:c r="I171" t="str">
        <x:f>IFERROR(INDEX('계산도우미'!$I$5:$I$2004,MATCH(ROWS($A$6:A171),'계산도우미'!$L$5:$L$2004,0)),"")</x:f>
      </x:c>
      <x:c r="J171" t="str">
        <x:f>IFERROR(INDEX('계산도우미'!$J$5:$J$2004,MATCH(ROWS($A$6:A171),'계산도우미'!$L$5:$L$2004,0)),"")</x:f>
      </x:c>
      <x:c r="K171" t="str">
        <x:f>IF(B171="","",IF(I171="확인 필요","붙임 문서 확인 후 거래 성격·기간·상대방·일회성 여부 확인","결의서명과 전기 대비 발생 건수·단가·시점 차이 검토"))</x:f>
      </x:c>
    </x:row>
    <x:row r="172">
      <x:c r="A172" t="str">
        <x:f>IFERROR(INDEX('계산도우미'!$A$5:$A$2004,MATCH(ROWS($A$6:A172),'계산도우미'!$L$5:$L$2004,0)),"")</x:f>
      </x:c>
      <x:c r="B172" t="str">
        <x:f>IFERROR(INDEX('계산도우미'!$B$5:$B$2004,MATCH(ROWS($A$6:A172),'계산도우미'!$L$5:$L$2004,0)),"")</x:f>
      </x:c>
      <x:c r="C172" t="str">
        <x:f>IFERROR(INDEX('계산도우미'!$C$5:$C$2004,MATCH(ROWS($A$6:A172),'계산도우미'!$L$5:$L$2004,0)),"")</x:f>
      </x:c>
      <x:c r="D172" s="67" t="str">
        <x:f>IFERROR(INDEX('계산도우미'!$D$5:$D$2004,MATCH(ROWS($A$6:A172),'계산도우미'!$L$5:$L$2004,0)),"")</x:f>
      </x:c>
      <x:c r="E172" t="str">
        <x:f>IFERROR(INDEX('계산도우미'!$E$5:$E$2004,MATCH(ROWS($A$6:A172),'계산도우미'!$L$5:$L$2004,0)),"")</x:f>
      </x:c>
      <x:c r="F172" t="str">
        <x:f>IFERROR(INDEX('계산도우미'!$F$5:$F$2004,MATCH(ROWS($A$6:A172),'계산도우미'!$L$5:$L$2004,0)),"")</x:f>
      </x:c>
      <x:c r="G172" s="68" t="str">
        <x:f>IFERROR(INDEX('계산도우미'!$G$5:$G$2004,MATCH(ROWS($A$6:A172),'계산도우미'!$L$5:$L$2004,0)),"")</x:f>
      </x:c>
      <x:c r="H172" t="str">
        <x:f>IFERROR(INDEX('계산도우미'!$H$5:$H$2004,MATCH(ROWS($A$6:A172),'계산도우미'!$L$5:$L$2004,0)),"")</x:f>
      </x:c>
      <x:c r="I172" t="str">
        <x:f>IFERROR(INDEX('계산도우미'!$I$5:$I$2004,MATCH(ROWS($A$6:A172),'계산도우미'!$L$5:$L$2004,0)),"")</x:f>
      </x:c>
      <x:c r="J172" t="str">
        <x:f>IFERROR(INDEX('계산도우미'!$J$5:$J$2004,MATCH(ROWS($A$6:A172),'계산도우미'!$L$5:$L$2004,0)),"")</x:f>
      </x:c>
      <x:c r="K172" t="str">
        <x:f>IF(B172="","",IF(I172="확인 필요","붙임 문서 확인 후 거래 성격·기간·상대방·일회성 여부 확인","결의서명과 전기 대비 발생 건수·단가·시점 차이 검토"))</x:f>
      </x:c>
    </x:row>
    <x:row r="173">
      <x:c r="A173" t="str">
        <x:f>IFERROR(INDEX('계산도우미'!$A$5:$A$2004,MATCH(ROWS($A$6:A173),'계산도우미'!$L$5:$L$2004,0)),"")</x:f>
      </x:c>
      <x:c r="B173" t="str">
        <x:f>IFERROR(INDEX('계산도우미'!$B$5:$B$2004,MATCH(ROWS($A$6:A173),'계산도우미'!$L$5:$L$2004,0)),"")</x:f>
      </x:c>
      <x:c r="C173" t="str">
        <x:f>IFERROR(INDEX('계산도우미'!$C$5:$C$2004,MATCH(ROWS($A$6:A173),'계산도우미'!$L$5:$L$2004,0)),"")</x:f>
      </x:c>
      <x:c r="D173" s="67" t="str">
        <x:f>IFERROR(INDEX('계산도우미'!$D$5:$D$2004,MATCH(ROWS($A$6:A173),'계산도우미'!$L$5:$L$2004,0)),"")</x:f>
      </x:c>
      <x:c r="E173" t="str">
        <x:f>IFERROR(INDEX('계산도우미'!$E$5:$E$2004,MATCH(ROWS($A$6:A173),'계산도우미'!$L$5:$L$2004,0)),"")</x:f>
      </x:c>
      <x:c r="F173" t="str">
        <x:f>IFERROR(INDEX('계산도우미'!$F$5:$F$2004,MATCH(ROWS($A$6:A173),'계산도우미'!$L$5:$L$2004,0)),"")</x:f>
      </x:c>
      <x:c r="G173" s="68" t="str">
        <x:f>IFERROR(INDEX('계산도우미'!$G$5:$G$2004,MATCH(ROWS($A$6:A173),'계산도우미'!$L$5:$L$2004,0)),"")</x:f>
      </x:c>
      <x:c r="H173" t="str">
        <x:f>IFERROR(INDEX('계산도우미'!$H$5:$H$2004,MATCH(ROWS($A$6:A173),'계산도우미'!$L$5:$L$2004,0)),"")</x:f>
      </x:c>
      <x:c r="I173" t="str">
        <x:f>IFERROR(INDEX('계산도우미'!$I$5:$I$2004,MATCH(ROWS($A$6:A173),'계산도우미'!$L$5:$L$2004,0)),"")</x:f>
      </x:c>
      <x:c r="J173" t="str">
        <x:f>IFERROR(INDEX('계산도우미'!$J$5:$J$2004,MATCH(ROWS($A$6:A173),'계산도우미'!$L$5:$L$2004,0)),"")</x:f>
      </x:c>
      <x:c r="K173" t="str">
        <x:f>IF(B173="","",IF(I173="확인 필요","붙임 문서 확인 후 거래 성격·기간·상대방·일회성 여부 확인","결의서명과 전기 대비 발생 건수·단가·시점 차이 검토"))</x:f>
      </x:c>
    </x:row>
    <x:row r="174">
      <x:c r="A174" t="str">
        <x:f>IFERROR(INDEX('계산도우미'!$A$5:$A$2004,MATCH(ROWS($A$6:A174),'계산도우미'!$L$5:$L$2004,0)),"")</x:f>
      </x:c>
      <x:c r="B174" t="str">
        <x:f>IFERROR(INDEX('계산도우미'!$B$5:$B$2004,MATCH(ROWS($A$6:A174),'계산도우미'!$L$5:$L$2004,0)),"")</x:f>
      </x:c>
      <x:c r="C174" t="str">
        <x:f>IFERROR(INDEX('계산도우미'!$C$5:$C$2004,MATCH(ROWS($A$6:A174),'계산도우미'!$L$5:$L$2004,0)),"")</x:f>
      </x:c>
      <x:c r="D174" s="67" t="str">
        <x:f>IFERROR(INDEX('계산도우미'!$D$5:$D$2004,MATCH(ROWS($A$6:A174),'계산도우미'!$L$5:$L$2004,0)),"")</x:f>
      </x:c>
      <x:c r="E174" t="str">
        <x:f>IFERROR(INDEX('계산도우미'!$E$5:$E$2004,MATCH(ROWS($A$6:A174),'계산도우미'!$L$5:$L$2004,0)),"")</x:f>
      </x:c>
      <x:c r="F174" t="str">
        <x:f>IFERROR(INDEX('계산도우미'!$F$5:$F$2004,MATCH(ROWS($A$6:A174),'계산도우미'!$L$5:$L$2004,0)),"")</x:f>
      </x:c>
      <x:c r="G174" s="68" t="str">
        <x:f>IFERROR(INDEX('계산도우미'!$G$5:$G$2004,MATCH(ROWS($A$6:A174),'계산도우미'!$L$5:$L$2004,0)),"")</x:f>
      </x:c>
      <x:c r="H174" t="str">
        <x:f>IFERROR(INDEX('계산도우미'!$H$5:$H$2004,MATCH(ROWS($A$6:A174),'계산도우미'!$L$5:$L$2004,0)),"")</x:f>
      </x:c>
      <x:c r="I174" t="str">
        <x:f>IFERROR(INDEX('계산도우미'!$I$5:$I$2004,MATCH(ROWS($A$6:A174),'계산도우미'!$L$5:$L$2004,0)),"")</x:f>
      </x:c>
      <x:c r="J174" t="str">
        <x:f>IFERROR(INDEX('계산도우미'!$J$5:$J$2004,MATCH(ROWS($A$6:A174),'계산도우미'!$L$5:$L$2004,0)),"")</x:f>
      </x:c>
      <x:c r="K174" t="str">
        <x:f>IF(B174="","",IF(I174="확인 필요","붙임 문서 확인 후 거래 성격·기간·상대방·일회성 여부 확인","결의서명과 전기 대비 발생 건수·단가·시점 차이 검토"))</x:f>
      </x:c>
    </x:row>
    <x:row r="175">
      <x:c r="A175" t="str">
        <x:f>IFERROR(INDEX('계산도우미'!$A$5:$A$2004,MATCH(ROWS($A$6:A175),'계산도우미'!$L$5:$L$2004,0)),"")</x:f>
      </x:c>
      <x:c r="B175" t="str">
        <x:f>IFERROR(INDEX('계산도우미'!$B$5:$B$2004,MATCH(ROWS($A$6:A175),'계산도우미'!$L$5:$L$2004,0)),"")</x:f>
      </x:c>
      <x:c r="C175" t="str">
        <x:f>IFERROR(INDEX('계산도우미'!$C$5:$C$2004,MATCH(ROWS($A$6:A175),'계산도우미'!$L$5:$L$2004,0)),"")</x:f>
      </x:c>
      <x:c r="D175" s="67" t="str">
        <x:f>IFERROR(INDEX('계산도우미'!$D$5:$D$2004,MATCH(ROWS($A$6:A175),'계산도우미'!$L$5:$L$2004,0)),"")</x:f>
      </x:c>
      <x:c r="E175" t="str">
        <x:f>IFERROR(INDEX('계산도우미'!$E$5:$E$2004,MATCH(ROWS($A$6:A175),'계산도우미'!$L$5:$L$2004,0)),"")</x:f>
      </x:c>
      <x:c r="F175" t="str">
        <x:f>IFERROR(INDEX('계산도우미'!$F$5:$F$2004,MATCH(ROWS($A$6:A175),'계산도우미'!$L$5:$L$2004,0)),"")</x:f>
      </x:c>
      <x:c r="G175" s="68" t="str">
        <x:f>IFERROR(INDEX('계산도우미'!$G$5:$G$2004,MATCH(ROWS($A$6:A175),'계산도우미'!$L$5:$L$2004,0)),"")</x:f>
      </x:c>
      <x:c r="H175" t="str">
        <x:f>IFERROR(INDEX('계산도우미'!$H$5:$H$2004,MATCH(ROWS($A$6:A175),'계산도우미'!$L$5:$L$2004,0)),"")</x:f>
      </x:c>
      <x:c r="I175" t="str">
        <x:f>IFERROR(INDEX('계산도우미'!$I$5:$I$2004,MATCH(ROWS($A$6:A175),'계산도우미'!$L$5:$L$2004,0)),"")</x:f>
      </x:c>
      <x:c r="J175" t="str">
        <x:f>IFERROR(INDEX('계산도우미'!$J$5:$J$2004,MATCH(ROWS($A$6:A175),'계산도우미'!$L$5:$L$2004,0)),"")</x:f>
      </x:c>
      <x:c r="K175" t="str">
        <x:f>IF(B175="","",IF(I175="확인 필요","붙임 문서 확인 후 거래 성격·기간·상대방·일회성 여부 확인","결의서명과 전기 대비 발생 건수·단가·시점 차이 검토"))</x:f>
      </x:c>
    </x:row>
    <x:row r="176">
      <x:c r="A176" t="str">
        <x:f>IFERROR(INDEX('계산도우미'!$A$5:$A$2004,MATCH(ROWS($A$6:A176),'계산도우미'!$L$5:$L$2004,0)),"")</x:f>
      </x:c>
      <x:c r="B176" t="str">
        <x:f>IFERROR(INDEX('계산도우미'!$B$5:$B$2004,MATCH(ROWS($A$6:A176),'계산도우미'!$L$5:$L$2004,0)),"")</x:f>
      </x:c>
      <x:c r="C176" t="str">
        <x:f>IFERROR(INDEX('계산도우미'!$C$5:$C$2004,MATCH(ROWS($A$6:A176),'계산도우미'!$L$5:$L$2004,0)),"")</x:f>
      </x:c>
      <x:c r="D176" s="67" t="str">
        <x:f>IFERROR(INDEX('계산도우미'!$D$5:$D$2004,MATCH(ROWS($A$6:A176),'계산도우미'!$L$5:$L$2004,0)),"")</x:f>
      </x:c>
      <x:c r="E176" t="str">
        <x:f>IFERROR(INDEX('계산도우미'!$E$5:$E$2004,MATCH(ROWS($A$6:A176),'계산도우미'!$L$5:$L$2004,0)),"")</x:f>
      </x:c>
      <x:c r="F176" t="str">
        <x:f>IFERROR(INDEX('계산도우미'!$F$5:$F$2004,MATCH(ROWS($A$6:A176),'계산도우미'!$L$5:$L$2004,0)),"")</x:f>
      </x:c>
      <x:c r="G176" s="68" t="str">
        <x:f>IFERROR(INDEX('계산도우미'!$G$5:$G$2004,MATCH(ROWS($A$6:A176),'계산도우미'!$L$5:$L$2004,0)),"")</x:f>
      </x:c>
      <x:c r="H176" t="str">
        <x:f>IFERROR(INDEX('계산도우미'!$H$5:$H$2004,MATCH(ROWS($A$6:A176),'계산도우미'!$L$5:$L$2004,0)),"")</x:f>
      </x:c>
      <x:c r="I176" t="str">
        <x:f>IFERROR(INDEX('계산도우미'!$I$5:$I$2004,MATCH(ROWS($A$6:A176),'계산도우미'!$L$5:$L$2004,0)),"")</x:f>
      </x:c>
      <x:c r="J176" t="str">
        <x:f>IFERROR(INDEX('계산도우미'!$J$5:$J$2004,MATCH(ROWS($A$6:A176),'계산도우미'!$L$5:$L$2004,0)),"")</x:f>
      </x:c>
      <x:c r="K176" t="str">
        <x:f>IF(B176="","",IF(I176="확인 필요","붙임 문서 확인 후 거래 성격·기간·상대방·일회성 여부 확인","결의서명과 전기 대비 발생 건수·단가·시점 차이 검토"))</x:f>
      </x:c>
    </x:row>
    <x:row r="177">
      <x:c r="A177" t="str">
        <x:f>IFERROR(INDEX('계산도우미'!$A$5:$A$2004,MATCH(ROWS($A$6:A177),'계산도우미'!$L$5:$L$2004,0)),"")</x:f>
      </x:c>
      <x:c r="B177" t="str">
        <x:f>IFERROR(INDEX('계산도우미'!$B$5:$B$2004,MATCH(ROWS($A$6:A177),'계산도우미'!$L$5:$L$2004,0)),"")</x:f>
      </x:c>
      <x:c r="C177" t="str">
        <x:f>IFERROR(INDEX('계산도우미'!$C$5:$C$2004,MATCH(ROWS($A$6:A177),'계산도우미'!$L$5:$L$2004,0)),"")</x:f>
      </x:c>
      <x:c r="D177" s="67" t="str">
        <x:f>IFERROR(INDEX('계산도우미'!$D$5:$D$2004,MATCH(ROWS($A$6:A177),'계산도우미'!$L$5:$L$2004,0)),"")</x:f>
      </x:c>
      <x:c r="E177" t="str">
        <x:f>IFERROR(INDEX('계산도우미'!$E$5:$E$2004,MATCH(ROWS($A$6:A177),'계산도우미'!$L$5:$L$2004,0)),"")</x:f>
      </x:c>
      <x:c r="F177" t="str">
        <x:f>IFERROR(INDEX('계산도우미'!$F$5:$F$2004,MATCH(ROWS($A$6:A177),'계산도우미'!$L$5:$L$2004,0)),"")</x:f>
      </x:c>
      <x:c r="G177" s="68" t="str">
        <x:f>IFERROR(INDEX('계산도우미'!$G$5:$G$2004,MATCH(ROWS($A$6:A177),'계산도우미'!$L$5:$L$2004,0)),"")</x:f>
      </x:c>
      <x:c r="H177" t="str">
        <x:f>IFERROR(INDEX('계산도우미'!$H$5:$H$2004,MATCH(ROWS($A$6:A177),'계산도우미'!$L$5:$L$2004,0)),"")</x:f>
      </x:c>
      <x:c r="I177" t="str">
        <x:f>IFERROR(INDEX('계산도우미'!$I$5:$I$2004,MATCH(ROWS($A$6:A177),'계산도우미'!$L$5:$L$2004,0)),"")</x:f>
      </x:c>
      <x:c r="J177" t="str">
        <x:f>IFERROR(INDEX('계산도우미'!$J$5:$J$2004,MATCH(ROWS($A$6:A177),'계산도우미'!$L$5:$L$2004,0)),"")</x:f>
      </x:c>
      <x:c r="K177" t="str">
        <x:f>IF(B177="","",IF(I177="확인 필요","붙임 문서 확인 후 거래 성격·기간·상대방·일회성 여부 확인","결의서명과 전기 대비 발생 건수·단가·시점 차이 검토"))</x:f>
      </x:c>
    </x:row>
    <x:row r="178">
      <x:c r="A178" t="str">
        <x:f>IFERROR(INDEX('계산도우미'!$A$5:$A$2004,MATCH(ROWS($A$6:A178),'계산도우미'!$L$5:$L$2004,0)),"")</x:f>
      </x:c>
      <x:c r="B178" t="str">
        <x:f>IFERROR(INDEX('계산도우미'!$B$5:$B$2004,MATCH(ROWS($A$6:A178),'계산도우미'!$L$5:$L$2004,0)),"")</x:f>
      </x:c>
      <x:c r="C178" t="str">
        <x:f>IFERROR(INDEX('계산도우미'!$C$5:$C$2004,MATCH(ROWS($A$6:A178),'계산도우미'!$L$5:$L$2004,0)),"")</x:f>
      </x:c>
      <x:c r="D178" s="67" t="str">
        <x:f>IFERROR(INDEX('계산도우미'!$D$5:$D$2004,MATCH(ROWS($A$6:A178),'계산도우미'!$L$5:$L$2004,0)),"")</x:f>
      </x:c>
      <x:c r="E178" t="str">
        <x:f>IFERROR(INDEX('계산도우미'!$E$5:$E$2004,MATCH(ROWS($A$6:A178),'계산도우미'!$L$5:$L$2004,0)),"")</x:f>
      </x:c>
      <x:c r="F178" t="str">
        <x:f>IFERROR(INDEX('계산도우미'!$F$5:$F$2004,MATCH(ROWS($A$6:A178),'계산도우미'!$L$5:$L$2004,0)),"")</x:f>
      </x:c>
      <x:c r="G178" s="68" t="str">
        <x:f>IFERROR(INDEX('계산도우미'!$G$5:$G$2004,MATCH(ROWS($A$6:A178),'계산도우미'!$L$5:$L$2004,0)),"")</x:f>
      </x:c>
      <x:c r="H178" t="str">
        <x:f>IFERROR(INDEX('계산도우미'!$H$5:$H$2004,MATCH(ROWS($A$6:A178),'계산도우미'!$L$5:$L$2004,0)),"")</x:f>
      </x:c>
      <x:c r="I178" t="str">
        <x:f>IFERROR(INDEX('계산도우미'!$I$5:$I$2004,MATCH(ROWS($A$6:A178),'계산도우미'!$L$5:$L$2004,0)),"")</x:f>
      </x:c>
      <x:c r="J178" t="str">
        <x:f>IFERROR(INDEX('계산도우미'!$J$5:$J$2004,MATCH(ROWS($A$6:A178),'계산도우미'!$L$5:$L$2004,0)),"")</x:f>
      </x:c>
      <x:c r="K178" t="str">
        <x:f>IF(B178="","",IF(I178="확인 필요","붙임 문서 확인 후 거래 성격·기간·상대방·일회성 여부 확인","결의서명과 전기 대비 발생 건수·단가·시점 차이 검토"))</x:f>
      </x:c>
    </x:row>
    <x:row r="179">
      <x:c r="A179" t="str">
        <x:f>IFERROR(INDEX('계산도우미'!$A$5:$A$2004,MATCH(ROWS($A$6:A179),'계산도우미'!$L$5:$L$2004,0)),"")</x:f>
      </x:c>
      <x:c r="B179" t="str">
        <x:f>IFERROR(INDEX('계산도우미'!$B$5:$B$2004,MATCH(ROWS($A$6:A179),'계산도우미'!$L$5:$L$2004,0)),"")</x:f>
      </x:c>
      <x:c r="C179" t="str">
        <x:f>IFERROR(INDEX('계산도우미'!$C$5:$C$2004,MATCH(ROWS($A$6:A179),'계산도우미'!$L$5:$L$2004,0)),"")</x:f>
      </x:c>
      <x:c r="D179" s="67" t="str">
        <x:f>IFERROR(INDEX('계산도우미'!$D$5:$D$2004,MATCH(ROWS($A$6:A179),'계산도우미'!$L$5:$L$2004,0)),"")</x:f>
      </x:c>
      <x:c r="E179" t="str">
        <x:f>IFERROR(INDEX('계산도우미'!$E$5:$E$2004,MATCH(ROWS($A$6:A179),'계산도우미'!$L$5:$L$2004,0)),"")</x:f>
      </x:c>
      <x:c r="F179" t="str">
        <x:f>IFERROR(INDEX('계산도우미'!$F$5:$F$2004,MATCH(ROWS($A$6:A179),'계산도우미'!$L$5:$L$2004,0)),"")</x:f>
      </x:c>
      <x:c r="G179" s="68" t="str">
        <x:f>IFERROR(INDEX('계산도우미'!$G$5:$G$2004,MATCH(ROWS($A$6:A179),'계산도우미'!$L$5:$L$2004,0)),"")</x:f>
      </x:c>
      <x:c r="H179" t="str">
        <x:f>IFERROR(INDEX('계산도우미'!$H$5:$H$2004,MATCH(ROWS($A$6:A179),'계산도우미'!$L$5:$L$2004,0)),"")</x:f>
      </x:c>
      <x:c r="I179" t="str">
        <x:f>IFERROR(INDEX('계산도우미'!$I$5:$I$2004,MATCH(ROWS($A$6:A179),'계산도우미'!$L$5:$L$2004,0)),"")</x:f>
      </x:c>
      <x:c r="J179" t="str">
        <x:f>IFERROR(INDEX('계산도우미'!$J$5:$J$2004,MATCH(ROWS($A$6:A179),'계산도우미'!$L$5:$L$2004,0)),"")</x:f>
      </x:c>
      <x:c r="K179" t="str">
        <x:f>IF(B179="","",IF(I179="확인 필요","붙임 문서 확인 후 거래 성격·기간·상대방·일회성 여부 확인","결의서명과 전기 대비 발생 건수·단가·시점 차이 검토"))</x:f>
      </x:c>
    </x:row>
    <x:row r="180">
      <x:c r="A180" t="str">
        <x:f>IFERROR(INDEX('계산도우미'!$A$5:$A$2004,MATCH(ROWS($A$6:A180),'계산도우미'!$L$5:$L$2004,0)),"")</x:f>
      </x:c>
      <x:c r="B180" t="str">
        <x:f>IFERROR(INDEX('계산도우미'!$B$5:$B$2004,MATCH(ROWS($A$6:A180),'계산도우미'!$L$5:$L$2004,0)),"")</x:f>
      </x:c>
      <x:c r="C180" t="str">
        <x:f>IFERROR(INDEX('계산도우미'!$C$5:$C$2004,MATCH(ROWS($A$6:A180),'계산도우미'!$L$5:$L$2004,0)),"")</x:f>
      </x:c>
      <x:c r="D180" s="67" t="str">
        <x:f>IFERROR(INDEX('계산도우미'!$D$5:$D$2004,MATCH(ROWS($A$6:A180),'계산도우미'!$L$5:$L$2004,0)),"")</x:f>
      </x:c>
      <x:c r="E180" t="str">
        <x:f>IFERROR(INDEX('계산도우미'!$E$5:$E$2004,MATCH(ROWS($A$6:A180),'계산도우미'!$L$5:$L$2004,0)),"")</x:f>
      </x:c>
      <x:c r="F180" t="str">
        <x:f>IFERROR(INDEX('계산도우미'!$F$5:$F$2004,MATCH(ROWS($A$6:A180),'계산도우미'!$L$5:$L$2004,0)),"")</x:f>
      </x:c>
      <x:c r="G180" s="68" t="str">
        <x:f>IFERROR(INDEX('계산도우미'!$G$5:$G$2004,MATCH(ROWS($A$6:A180),'계산도우미'!$L$5:$L$2004,0)),"")</x:f>
      </x:c>
      <x:c r="H180" t="str">
        <x:f>IFERROR(INDEX('계산도우미'!$H$5:$H$2004,MATCH(ROWS($A$6:A180),'계산도우미'!$L$5:$L$2004,0)),"")</x:f>
      </x:c>
      <x:c r="I180" t="str">
        <x:f>IFERROR(INDEX('계산도우미'!$I$5:$I$2004,MATCH(ROWS($A$6:A180),'계산도우미'!$L$5:$L$2004,0)),"")</x:f>
      </x:c>
      <x:c r="J180" t="str">
        <x:f>IFERROR(INDEX('계산도우미'!$J$5:$J$2004,MATCH(ROWS($A$6:A180),'계산도우미'!$L$5:$L$2004,0)),"")</x:f>
      </x:c>
      <x:c r="K180" t="str">
        <x:f>IF(B180="","",IF(I180="확인 필요","붙임 문서 확인 후 거래 성격·기간·상대방·일회성 여부 확인","결의서명과 전기 대비 발생 건수·단가·시점 차이 검토"))</x:f>
      </x:c>
    </x:row>
    <x:row r="181">
      <x:c r="A181" t="str">
        <x:f>IFERROR(INDEX('계산도우미'!$A$5:$A$2004,MATCH(ROWS($A$6:A181),'계산도우미'!$L$5:$L$2004,0)),"")</x:f>
      </x:c>
      <x:c r="B181" t="str">
        <x:f>IFERROR(INDEX('계산도우미'!$B$5:$B$2004,MATCH(ROWS($A$6:A181),'계산도우미'!$L$5:$L$2004,0)),"")</x:f>
      </x:c>
      <x:c r="C181" t="str">
        <x:f>IFERROR(INDEX('계산도우미'!$C$5:$C$2004,MATCH(ROWS($A$6:A181),'계산도우미'!$L$5:$L$2004,0)),"")</x:f>
      </x:c>
      <x:c r="D181" s="67" t="str">
        <x:f>IFERROR(INDEX('계산도우미'!$D$5:$D$2004,MATCH(ROWS($A$6:A181),'계산도우미'!$L$5:$L$2004,0)),"")</x:f>
      </x:c>
      <x:c r="E181" t="str">
        <x:f>IFERROR(INDEX('계산도우미'!$E$5:$E$2004,MATCH(ROWS($A$6:A181),'계산도우미'!$L$5:$L$2004,0)),"")</x:f>
      </x:c>
      <x:c r="F181" t="str">
        <x:f>IFERROR(INDEX('계산도우미'!$F$5:$F$2004,MATCH(ROWS($A$6:A181),'계산도우미'!$L$5:$L$2004,0)),"")</x:f>
      </x:c>
      <x:c r="G181" s="68" t="str">
        <x:f>IFERROR(INDEX('계산도우미'!$G$5:$G$2004,MATCH(ROWS($A$6:A181),'계산도우미'!$L$5:$L$2004,0)),"")</x:f>
      </x:c>
      <x:c r="H181" t="str">
        <x:f>IFERROR(INDEX('계산도우미'!$H$5:$H$2004,MATCH(ROWS($A$6:A181),'계산도우미'!$L$5:$L$2004,0)),"")</x:f>
      </x:c>
      <x:c r="I181" t="str">
        <x:f>IFERROR(INDEX('계산도우미'!$I$5:$I$2004,MATCH(ROWS($A$6:A181),'계산도우미'!$L$5:$L$2004,0)),"")</x:f>
      </x:c>
      <x:c r="J181" t="str">
        <x:f>IFERROR(INDEX('계산도우미'!$J$5:$J$2004,MATCH(ROWS($A$6:A181),'계산도우미'!$L$5:$L$2004,0)),"")</x:f>
      </x:c>
      <x:c r="K181" t="str">
        <x:f>IF(B181="","",IF(I181="확인 필요","붙임 문서 확인 후 거래 성격·기간·상대방·일회성 여부 확인","결의서명과 전기 대비 발생 건수·단가·시점 차이 검토"))</x:f>
      </x:c>
    </x:row>
    <x:row r="182">
      <x:c r="A182" t="str">
        <x:f>IFERROR(INDEX('계산도우미'!$A$5:$A$2004,MATCH(ROWS($A$6:A182),'계산도우미'!$L$5:$L$2004,0)),"")</x:f>
      </x:c>
      <x:c r="B182" t="str">
        <x:f>IFERROR(INDEX('계산도우미'!$B$5:$B$2004,MATCH(ROWS($A$6:A182),'계산도우미'!$L$5:$L$2004,0)),"")</x:f>
      </x:c>
      <x:c r="C182" t="str">
        <x:f>IFERROR(INDEX('계산도우미'!$C$5:$C$2004,MATCH(ROWS($A$6:A182),'계산도우미'!$L$5:$L$2004,0)),"")</x:f>
      </x:c>
      <x:c r="D182" s="67" t="str">
        <x:f>IFERROR(INDEX('계산도우미'!$D$5:$D$2004,MATCH(ROWS($A$6:A182),'계산도우미'!$L$5:$L$2004,0)),"")</x:f>
      </x:c>
      <x:c r="E182" t="str">
        <x:f>IFERROR(INDEX('계산도우미'!$E$5:$E$2004,MATCH(ROWS($A$6:A182),'계산도우미'!$L$5:$L$2004,0)),"")</x:f>
      </x:c>
      <x:c r="F182" t="str">
        <x:f>IFERROR(INDEX('계산도우미'!$F$5:$F$2004,MATCH(ROWS($A$6:A182),'계산도우미'!$L$5:$L$2004,0)),"")</x:f>
      </x:c>
      <x:c r="G182" s="68" t="str">
        <x:f>IFERROR(INDEX('계산도우미'!$G$5:$G$2004,MATCH(ROWS($A$6:A182),'계산도우미'!$L$5:$L$2004,0)),"")</x:f>
      </x:c>
      <x:c r="H182" t="str">
        <x:f>IFERROR(INDEX('계산도우미'!$H$5:$H$2004,MATCH(ROWS($A$6:A182),'계산도우미'!$L$5:$L$2004,0)),"")</x:f>
      </x:c>
      <x:c r="I182" t="str">
        <x:f>IFERROR(INDEX('계산도우미'!$I$5:$I$2004,MATCH(ROWS($A$6:A182),'계산도우미'!$L$5:$L$2004,0)),"")</x:f>
      </x:c>
      <x:c r="J182" t="str">
        <x:f>IFERROR(INDEX('계산도우미'!$J$5:$J$2004,MATCH(ROWS($A$6:A182),'계산도우미'!$L$5:$L$2004,0)),"")</x:f>
      </x:c>
      <x:c r="K182" t="str">
        <x:f>IF(B182="","",IF(I182="확인 필요","붙임 문서 확인 후 거래 성격·기간·상대방·일회성 여부 확인","결의서명과 전기 대비 발생 건수·단가·시점 차이 검토"))</x:f>
      </x:c>
    </x:row>
    <x:row r="183">
      <x:c r="A183" t="str">
        <x:f>IFERROR(INDEX('계산도우미'!$A$5:$A$2004,MATCH(ROWS($A$6:A183),'계산도우미'!$L$5:$L$2004,0)),"")</x:f>
      </x:c>
      <x:c r="B183" t="str">
        <x:f>IFERROR(INDEX('계산도우미'!$B$5:$B$2004,MATCH(ROWS($A$6:A183),'계산도우미'!$L$5:$L$2004,0)),"")</x:f>
      </x:c>
      <x:c r="C183" t="str">
        <x:f>IFERROR(INDEX('계산도우미'!$C$5:$C$2004,MATCH(ROWS($A$6:A183),'계산도우미'!$L$5:$L$2004,0)),"")</x:f>
      </x:c>
      <x:c r="D183" s="67" t="str">
        <x:f>IFERROR(INDEX('계산도우미'!$D$5:$D$2004,MATCH(ROWS($A$6:A183),'계산도우미'!$L$5:$L$2004,0)),"")</x:f>
      </x:c>
      <x:c r="E183" t="str">
        <x:f>IFERROR(INDEX('계산도우미'!$E$5:$E$2004,MATCH(ROWS($A$6:A183),'계산도우미'!$L$5:$L$2004,0)),"")</x:f>
      </x:c>
      <x:c r="F183" t="str">
        <x:f>IFERROR(INDEX('계산도우미'!$F$5:$F$2004,MATCH(ROWS($A$6:A183),'계산도우미'!$L$5:$L$2004,0)),"")</x:f>
      </x:c>
      <x:c r="G183" s="68" t="str">
        <x:f>IFERROR(INDEX('계산도우미'!$G$5:$G$2004,MATCH(ROWS($A$6:A183),'계산도우미'!$L$5:$L$2004,0)),"")</x:f>
      </x:c>
      <x:c r="H183" t="str">
        <x:f>IFERROR(INDEX('계산도우미'!$H$5:$H$2004,MATCH(ROWS($A$6:A183),'계산도우미'!$L$5:$L$2004,0)),"")</x:f>
      </x:c>
      <x:c r="I183" t="str">
        <x:f>IFERROR(INDEX('계산도우미'!$I$5:$I$2004,MATCH(ROWS($A$6:A183),'계산도우미'!$L$5:$L$2004,0)),"")</x:f>
      </x:c>
      <x:c r="J183" t="str">
        <x:f>IFERROR(INDEX('계산도우미'!$J$5:$J$2004,MATCH(ROWS($A$6:A183),'계산도우미'!$L$5:$L$2004,0)),"")</x:f>
      </x:c>
      <x:c r="K183" t="str">
        <x:f>IF(B183="","",IF(I183="확인 필요","붙임 문서 확인 후 거래 성격·기간·상대방·일회성 여부 확인","결의서명과 전기 대비 발생 건수·단가·시점 차이 검토"))</x:f>
      </x:c>
    </x:row>
    <x:row r="184">
      <x:c r="A184" t="str">
        <x:f>IFERROR(INDEX('계산도우미'!$A$5:$A$2004,MATCH(ROWS($A$6:A184),'계산도우미'!$L$5:$L$2004,0)),"")</x:f>
      </x:c>
      <x:c r="B184" t="str">
        <x:f>IFERROR(INDEX('계산도우미'!$B$5:$B$2004,MATCH(ROWS($A$6:A184),'계산도우미'!$L$5:$L$2004,0)),"")</x:f>
      </x:c>
      <x:c r="C184" t="str">
        <x:f>IFERROR(INDEX('계산도우미'!$C$5:$C$2004,MATCH(ROWS($A$6:A184),'계산도우미'!$L$5:$L$2004,0)),"")</x:f>
      </x:c>
      <x:c r="D184" s="67" t="str">
        <x:f>IFERROR(INDEX('계산도우미'!$D$5:$D$2004,MATCH(ROWS($A$6:A184),'계산도우미'!$L$5:$L$2004,0)),"")</x:f>
      </x:c>
      <x:c r="E184" t="str">
        <x:f>IFERROR(INDEX('계산도우미'!$E$5:$E$2004,MATCH(ROWS($A$6:A184),'계산도우미'!$L$5:$L$2004,0)),"")</x:f>
      </x:c>
      <x:c r="F184" t="str">
        <x:f>IFERROR(INDEX('계산도우미'!$F$5:$F$2004,MATCH(ROWS($A$6:A184),'계산도우미'!$L$5:$L$2004,0)),"")</x:f>
      </x:c>
      <x:c r="G184" s="68" t="str">
        <x:f>IFERROR(INDEX('계산도우미'!$G$5:$G$2004,MATCH(ROWS($A$6:A184),'계산도우미'!$L$5:$L$2004,0)),"")</x:f>
      </x:c>
      <x:c r="H184" t="str">
        <x:f>IFERROR(INDEX('계산도우미'!$H$5:$H$2004,MATCH(ROWS($A$6:A184),'계산도우미'!$L$5:$L$2004,0)),"")</x:f>
      </x:c>
      <x:c r="I184" t="str">
        <x:f>IFERROR(INDEX('계산도우미'!$I$5:$I$2004,MATCH(ROWS($A$6:A184),'계산도우미'!$L$5:$L$2004,0)),"")</x:f>
      </x:c>
      <x:c r="J184" t="str">
        <x:f>IFERROR(INDEX('계산도우미'!$J$5:$J$2004,MATCH(ROWS($A$6:A184),'계산도우미'!$L$5:$L$2004,0)),"")</x:f>
      </x:c>
      <x:c r="K184" t="str">
        <x:f>IF(B184="","",IF(I184="확인 필요","붙임 문서 확인 후 거래 성격·기간·상대방·일회성 여부 확인","결의서명과 전기 대비 발생 건수·단가·시점 차이 검토"))</x:f>
      </x:c>
    </x:row>
    <x:row r="185">
      <x:c r="A185" t="str">
        <x:f>IFERROR(INDEX('계산도우미'!$A$5:$A$2004,MATCH(ROWS($A$6:A185),'계산도우미'!$L$5:$L$2004,0)),"")</x:f>
      </x:c>
      <x:c r="B185" t="str">
        <x:f>IFERROR(INDEX('계산도우미'!$B$5:$B$2004,MATCH(ROWS($A$6:A185),'계산도우미'!$L$5:$L$2004,0)),"")</x:f>
      </x:c>
      <x:c r="C185" t="str">
        <x:f>IFERROR(INDEX('계산도우미'!$C$5:$C$2004,MATCH(ROWS($A$6:A185),'계산도우미'!$L$5:$L$2004,0)),"")</x:f>
      </x:c>
      <x:c r="D185" s="67" t="str">
        <x:f>IFERROR(INDEX('계산도우미'!$D$5:$D$2004,MATCH(ROWS($A$6:A185),'계산도우미'!$L$5:$L$2004,0)),"")</x:f>
      </x:c>
      <x:c r="E185" t="str">
        <x:f>IFERROR(INDEX('계산도우미'!$E$5:$E$2004,MATCH(ROWS($A$6:A185),'계산도우미'!$L$5:$L$2004,0)),"")</x:f>
      </x:c>
      <x:c r="F185" t="str">
        <x:f>IFERROR(INDEX('계산도우미'!$F$5:$F$2004,MATCH(ROWS($A$6:A185),'계산도우미'!$L$5:$L$2004,0)),"")</x:f>
      </x:c>
      <x:c r="G185" s="68" t="str">
        <x:f>IFERROR(INDEX('계산도우미'!$G$5:$G$2004,MATCH(ROWS($A$6:A185),'계산도우미'!$L$5:$L$2004,0)),"")</x:f>
      </x:c>
      <x:c r="H185" t="str">
        <x:f>IFERROR(INDEX('계산도우미'!$H$5:$H$2004,MATCH(ROWS($A$6:A185),'계산도우미'!$L$5:$L$2004,0)),"")</x:f>
      </x:c>
      <x:c r="I185" t="str">
        <x:f>IFERROR(INDEX('계산도우미'!$I$5:$I$2004,MATCH(ROWS($A$6:A185),'계산도우미'!$L$5:$L$2004,0)),"")</x:f>
      </x:c>
      <x:c r="J185" t="str">
        <x:f>IFERROR(INDEX('계산도우미'!$J$5:$J$2004,MATCH(ROWS($A$6:A185),'계산도우미'!$L$5:$L$2004,0)),"")</x:f>
      </x:c>
      <x:c r="K185" t="str">
        <x:f>IF(B185="","",IF(I185="확인 필요","붙임 문서 확인 후 거래 성격·기간·상대방·일회성 여부 확인","결의서명과 전기 대비 발생 건수·단가·시점 차이 검토"))</x:f>
      </x:c>
    </x:row>
    <x:row r="186">
      <x:c r="A186" t="str">
        <x:f>IFERROR(INDEX('계산도우미'!$A$5:$A$2004,MATCH(ROWS($A$6:A186),'계산도우미'!$L$5:$L$2004,0)),"")</x:f>
      </x:c>
      <x:c r="B186" t="str">
        <x:f>IFERROR(INDEX('계산도우미'!$B$5:$B$2004,MATCH(ROWS($A$6:A186),'계산도우미'!$L$5:$L$2004,0)),"")</x:f>
      </x:c>
      <x:c r="C186" t="str">
        <x:f>IFERROR(INDEX('계산도우미'!$C$5:$C$2004,MATCH(ROWS($A$6:A186),'계산도우미'!$L$5:$L$2004,0)),"")</x:f>
      </x:c>
      <x:c r="D186" s="67" t="str">
        <x:f>IFERROR(INDEX('계산도우미'!$D$5:$D$2004,MATCH(ROWS($A$6:A186),'계산도우미'!$L$5:$L$2004,0)),"")</x:f>
      </x:c>
      <x:c r="E186" t="str">
        <x:f>IFERROR(INDEX('계산도우미'!$E$5:$E$2004,MATCH(ROWS($A$6:A186),'계산도우미'!$L$5:$L$2004,0)),"")</x:f>
      </x:c>
      <x:c r="F186" t="str">
        <x:f>IFERROR(INDEX('계산도우미'!$F$5:$F$2004,MATCH(ROWS($A$6:A186),'계산도우미'!$L$5:$L$2004,0)),"")</x:f>
      </x:c>
      <x:c r="G186" s="68" t="str">
        <x:f>IFERROR(INDEX('계산도우미'!$G$5:$G$2004,MATCH(ROWS($A$6:A186),'계산도우미'!$L$5:$L$2004,0)),"")</x:f>
      </x:c>
      <x:c r="H186" t="str">
        <x:f>IFERROR(INDEX('계산도우미'!$H$5:$H$2004,MATCH(ROWS($A$6:A186),'계산도우미'!$L$5:$L$2004,0)),"")</x:f>
      </x:c>
      <x:c r="I186" t="str">
        <x:f>IFERROR(INDEX('계산도우미'!$I$5:$I$2004,MATCH(ROWS($A$6:A186),'계산도우미'!$L$5:$L$2004,0)),"")</x:f>
      </x:c>
      <x:c r="J186" t="str">
        <x:f>IFERROR(INDEX('계산도우미'!$J$5:$J$2004,MATCH(ROWS($A$6:A186),'계산도우미'!$L$5:$L$2004,0)),"")</x:f>
      </x:c>
      <x:c r="K186" t="str">
        <x:f>IF(B186="","",IF(I186="확인 필요","붙임 문서 확인 후 거래 성격·기간·상대방·일회성 여부 확인","결의서명과 전기 대비 발생 건수·단가·시점 차이 검토"))</x:f>
      </x:c>
    </x:row>
    <x:row r="187">
      <x:c r="A187" t="str">
        <x:f>IFERROR(INDEX('계산도우미'!$A$5:$A$2004,MATCH(ROWS($A$6:A187),'계산도우미'!$L$5:$L$2004,0)),"")</x:f>
      </x:c>
      <x:c r="B187" t="str">
        <x:f>IFERROR(INDEX('계산도우미'!$B$5:$B$2004,MATCH(ROWS($A$6:A187),'계산도우미'!$L$5:$L$2004,0)),"")</x:f>
      </x:c>
      <x:c r="C187" t="str">
        <x:f>IFERROR(INDEX('계산도우미'!$C$5:$C$2004,MATCH(ROWS($A$6:A187),'계산도우미'!$L$5:$L$2004,0)),"")</x:f>
      </x:c>
      <x:c r="D187" s="67" t="str">
        <x:f>IFERROR(INDEX('계산도우미'!$D$5:$D$2004,MATCH(ROWS($A$6:A187),'계산도우미'!$L$5:$L$2004,0)),"")</x:f>
      </x:c>
      <x:c r="E187" t="str">
        <x:f>IFERROR(INDEX('계산도우미'!$E$5:$E$2004,MATCH(ROWS($A$6:A187),'계산도우미'!$L$5:$L$2004,0)),"")</x:f>
      </x:c>
      <x:c r="F187" t="str">
        <x:f>IFERROR(INDEX('계산도우미'!$F$5:$F$2004,MATCH(ROWS($A$6:A187),'계산도우미'!$L$5:$L$2004,0)),"")</x:f>
      </x:c>
      <x:c r="G187" s="68" t="str">
        <x:f>IFERROR(INDEX('계산도우미'!$G$5:$G$2004,MATCH(ROWS($A$6:A187),'계산도우미'!$L$5:$L$2004,0)),"")</x:f>
      </x:c>
      <x:c r="H187" t="str">
        <x:f>IFERROR(INDEX('계산도우미'!$H$5:$H$2004,MATCH(ROWS($A$6:A187),'계산도우미'!$L$5:$L$2004,0)),"")</x:f>
      </x:c>
      <x:c r="I187" t="str">
        <x:f>IFERROR(INDEX('계산도우미'!$I$5:$I$2004,MATCH(ROWS($A$6:A187),'계산도우미'!$L$5:$L$2004,0)),"")</x:f>
      </x:c>
      <x:c r="J187" t="str">
        <x:f>IFERROR(INDEX('계산도우미'!$J$5:$J$2004,MATCH(ROWS($A$6:A187),'계산도우미'!$L$5:$L$2004,0)),"")</x:f>
      </x:c>
      <x:c r="K187" t="str">
        <x:f>IF(B187="","",IF(I187="확인 필요","붙임 문서 확인 후 거래 성격·기간·상대방·일회성 여부 확인","결의서명과 전기 대비 발생 건수·단가·시점 차이 검토"))</x:f>
      </x:c>
    </x:row>
    <x:row r="188">
      <x:c r="A188" t="str">
        <x:f>IFERROR(INDEX('계산도우미'!$A$5:$A$2004,MATCH(ROWS($A$6:A188),'계산도우미'!$L$5:$L$2004,0)),"")</x:f>
      </x:c>
      <x:c r="B188" t="str">
        <x:f>IFERROR(INDEX('계산도우미'!$B$5:$B$2004,MATCH(ROWS($A$6:A188),'계산도우미'!$L$5:$L$2004,0)),"")</x:f>
      </x:c>
      <x:c r="C188" t="str">
        <x:f>IFERROR(INDEX('계산도우미'!$C$5:$C$2004,MATCH(ROWS($A$6:A188),'계산도우미'!$L$5:$L$2004,0)),"")</x:f>
      </x:c>
      <x:c r="D188" s="67" t="str">
        <x:f>IFERROR(INDEX('계산도우미'!$D$5:$D$2004,MATCH(ROWS($A$6:A188),'계산도우미'!$L$5:$L$2004,0)),"")</x:f>
      </x:c>
      <x:c r="E188" t="str">
        <x:f>IFERROR(INDEX('계산도우미'!$E$5:$E$2004,MATCH(ROWS($A$6:A188),'계산도우미'!$L$5:$L$2004,0)),"")</x:f>
      </x:c>
      <x:c r="F188" t="str">
        <x:f>IFERROR(INDEX('계산도우미'!$F$5:$F$2004,MATCH(ROWS($A$6:A188),'계산도우미'!$L$5:$L$2004,0)),"")</x:f>
      </x:c>
      <x:c r="G188" s="68" t="str">
        <x:f>IFERROR(INDEX('계산도우미'!$G$5:$G$2004,MATCH(ROWS($A$6:A188),'계산도우미'!$L$5:$L$2004,0)),"")</x:f>
      </x:c>
      <x:c r="H188" t="str">
        <x:f>IFERROR(INDEX('계산도우미'!$H$5:$H$2004,MATCH(ROWS($A$6:A188),'계산도우미'!$L$5:$L$2004,0)),"")</x:f>
      </x:c>
      <x:c r="I188" t="str">
        <x:f>IFERROR(INDEX('계산도우미'!$I$5:$I$2004,MATCH(ROWS($A$6:A188),'계산도우미'!$L$5:$L$2004,0)),"")</x:f>
      </x:c>
      <x:c r="J188" t="str">
        <x:f>IFERROR(INDEX('계산도우미'!$J$5:$J$2004,MATCH(ROWS($A$6:A188),'계산도우미'!$L$5:$L$2004,0)),"")</x:f>
      </x:c>
      <x:c r="K188" t="str">
        <x:f>IF(B188="","",IF(I188="확인 필요","붙임 문서 확인 후 거래 성격·기간·상대방·일회성 여부 확인","결의서명과 전기 대비 발생 건수·단가·시점 차이 검토"))</x:f>
      </x:c>
    </x:row>
    <x:row r="189">
      <x:c r="A189" t="str">
        <x:f>IFERROR(INDEX('계산도우미'!$A$5:$A$2004,MATCH(ROWS($A$6:A189),'계산도우미'!$L$5:$L$2004,0)),"")</x:f>
      </x:c>
      <x:c r="B189" t="str">
        <x:f>IFERROR(INDEX('계산도우미'!$B$5:$B$2004,MATCH(ROWS($A$6:A189),'계산도우미'!$L$5:$L$2004,0)),"")</x:f>
      </x:c>
      <x:c r="C189" t="str">
        <x:f>IFERROR(INDEX('계산도우미'!$C$5:$C$2004,MATCH(ROWS($A$6:A189),'계산도우미'!$L$5:$L$2004,0)),"")</x:f>
      </x:c>
      <x:c r="D189" s="67" t="str">
        <x:f>IFERROR(INDEX('계산도우미'!$D$5:$D$2004,MATCH(ROWS($A$6:A189),'계산도우미'!$L$5:$L$2004,0)),"")</x:f>
      </x:c>
      <x:c r="E189" t="str">
        <x:f>IFERROR(INDEX('계산도우미'!$E$5:$E$2004,MATCH(ROWS($A$6:A189),'계산도우미'!$L$5:$L$2004,0)),"")</x:f>
      </x:c>
      <x:c r="F189" t="str">
        <x:f>IFERROR(INDEX('계산도우미'!$F$5:$F$2004,MATCH(ROWS($A$6:A189),'계산도우미'!$L$5:$L$2004,0)),"")</x:f>
      </x:c>
      <x:c r="G189" s="68" t="str">
        <x:f>IFERROR(INDEX('계산도우미'!$G$5:$G$2004,MATCH(ROWS($A$6:A189),'계산도우미'!$L$5:$L$2004,0)),"")</x:f>
      </x:c>
      <x:c r="H189" t="str">
        <x:f>IFERROR(INDEX('계산도우미'!$H$5:$H$2004,MATCH(ROWS($A$6:A189),'계산도우미'!$L$5:$L$2004,0)),"")</x:f>
      </x:c>
      <x:c r="I189" t="str">
        <x:f>IFERROR(INDEX('계산도우미'!$I$5:$I$2004,MATCH(ROWS($A$6:A189),'계산도우미'!$L$5:$L$2004,0)),"")</x:f>
      </x:c>
      <x:c r="J189" t="str">
        <x:f>IFERROR(INDEX('계산도우미'!$J$5:$J$2004,MATCH(ROWS($A$6:A189),'계산도우미'!$L$5:$L$2004,0)),"")</x:f>
      </x:c>
      <x:c r="K189" t="str">
        <x:f>IF(B189="","",IF(I189="확인 필요","붙임 문서 확인 후 거래 성격·기간·상대방·일회성 여부 확인","결의서명과 전기 대비 발생 건수·단가·시점 차이 검토"))</x:f>
      </x:c>
    </x:row>
    <x:row r="190">
      <x:c r="A190" t="str">
        <x:f>IFERROR(INDEX('계산도우미'!$A$5:$A$2004,MATCH(ROWS($A$6:A190),'계산도우미'!$L$5:$L$2004,0)),"")</x:f>
      </x:c>
      <x:c r="B190" t="str">
        <x:f>IFERROR(INDEX('계산도우미'!$B$5:$B$2004,MATCH(ROWS($A$6:A190),'계산도우미'!$L$5:$L$2004,0)),"")</x:f>
      </x:c>
      <x:c r="C190" t="str">
        <x:f>IFERROR(INDEX('계산도우미'!$C$5:$C$2004,MATCH(ROWS($A$6:A190),'계산도우미'!$L$5:$L$2004,0)),"")</x:f>
      </x:c>
      <x:c r="D190" s="67" t="str">
        <x:f>IFERROR(INDEX('계산도우미'!$D$5:$D$2004,MATCH(ROWS($A$6:A190),'계산도우미'!$L$5:$L$2004,0)),"")</x:f>
      </x:c>
      <x:c r="E190" t="str">
        <x:f>IFERROR(INDEX('계산도우미'!$E$5:$E$2004,MATCH(ROWS($A$6:A190),'계산도우미'!$L$5:$L$2004,0)),"")</x:f>
      </x:c>
      <x:c r="F190" t="str">
        <x:f>IFERROR(INDEX('계산도우미'!$F$5:$F$2004,MATCH(ROWS($A$6:A190),'계산도우미'!$L$5:$L$2004,0)),"")</x:f>
      </x:c>
      <x:c r="G190" s="68" t="str">
        <x:f>IFERROR(INDEX('계산도우미'!$G$5:$G$2004,MATCH(ROWS($A$6:A190),'계산도우미'!$L$5:$L$2004,0)),"")</x:f>
      </x:c>
      <x:c r="H190" t="str">
        <x:f>IFERROR(INDEX('계산도우미'!$H$5:$H$2004,MATCH(ROWS($A$6:A190),'계산도우미'!$L$5:$L$2004,0)),"")</x:f>
      </x:c>
      <x:c r="I190" t="str">
        <x:f>IFERROR(INDEX('계산도우미'!$I$5:$I$2004,MATCH(ROWS($A$6:A190),'계산도우미'!$L$5:$L$2004,0)),"")</x:f>
      </x:c>
      <x:c r="J190" t="str">
        <x:f>IFERROR(INDEX('계산도우미'!$J$5:$J$2004,MATCH(ROWS($A$6:A190),'계산도우미'!$L$5:$L$2004,0)),"")</x:f>
      </x:c>
      <x:c r="K190" t="str">
        <x:f>IF(B190="","",IF(I190="확인 필요","붙임 문서 확인 후 거래 성격·기간·상대방·일회성 여부 확인","결의서명과 전기 대비 발생 건수·단가·시점 차이 검토"))</x:f>
      </x:c>
    </x:row>
    <x:row r="191">
      <x:c r="A191" t="str">
        <x:f>IFERROR(INDEX('계산도우미'!$A$5:$A$2004,MATCH(ROWS($A$6:A191),'계산도우미'!$L$5:$L$2004,0)),"")</x:f>
      </x:c>
      <x:c r="B191" t="str">
        <x:f>IFERROR(INDEX('계산도우미'!$B$5:$B$2004,MATCH(ROWS($A$6:A191),'계산도우미'!$L$5:$L$2004,0)),"")</x:f>
      </x:c>
      <x:c r="C191" t="str">
        <x:f>IFERROR(INDEX('계산도우미'!$C$5:$C$2004,MATCH(ROWS($A$6:A191),'계산도우미'!$L$5:$L$2004,0)),"")</x:f>
      </x:c>
      <x:c r="D191" s="67" t="str">
        <x:f>IFERROR(INDEX('계산도우미'!$D$5:$D$2004,MATCH(ROWS($A$6:A191),'계산도우미'!$L$5:$L$2004,0)),"")</x:f>
      </x:c>
      <x:c r="E191" t="str">
        <x:f>IFERROR(INDEX('계산도우미'!$E$5:$E$2004,MATCH(ROWS($A$6:A191),'계산도우미'!$L$5:$L$2004,0)),"")</x:f>
      </x:c>
      <x:c r="F191" t="str">
        <x:f>IFERROR(INDEX('계산도우미'!$F$5:$F$2004,MATCH(ROWS($A$6:A191),'계산도우미'!$L$5:$L$2004,0)),"")</x:f>
      </x:c>
      <x:c r="G191" s="68" t="str">
        <x:f>IFERROR(INDEX('계산도우미'!$G$5:$G$2004,MATCH(ROWS($A$6:A191),'계산도우미'!$L$5:$L$2004,0)),"")</x:f>
      </x:c>
      <x:c r="H191" t="str">
        <x:f>IFERROR(INDEX('계산도우미'!$H$5:$H$2004,MATCH(ROWS($A$6:A191),'계산도우미'!$L$5:$L$2004,0)),"")</x:f>
      </x:c>
      <x:c r="I191" t="str">
        <x:f>IFERROR(INDEX('계산도우미'!$I$5:$I$2004,MATCH(ROWS($A$6:A191),'계산도우미'!$L$5:$L$2004,0)),"")</x:f>
      </x:c>
      <x:c r="J191" t="str">
        <x:f>IFERROR(INDEX('계산도우미'!$J$5:$J$2004,MATCH(ROWS($A$6:A191),'계산도우미'!$L$5:$L$2004,0)),"")</x:f>
      </x:c>
      <x:c r="K191" t="str">
        <x:f>IF(B191="","",IF(I191="확인 필요","붙임 문서 확인 후 거래 성격·기간·상대방·일회성 여부 확인","결의서명과 전기 대비 발생 건수·단가·시점 차이 검토"))</x:f>
      </x:c>
    </x:row>
    <x:row r="192">
      <x:c r="A192" t="str">
        <x:f>IFERROR(INDEX('계산도우미'!$A$5:$A$2004,MATCH(ROWS($A$6:A192),'계산도우미'!$L$5:$L$2004,0)),"")</x:f>
      </x:c>
      <x:c r="B192" t="str">
        <x:f>IFERROR(INDEX('계산도우미'!$B$5:$B$2004,MATCH(ROWS($A$6:A192),'계산도우미'!$L$5:$L$2004,0)),"")</x:f>
      </x:c>
      <x:c r="C192" t="str">
        <x:f>IFERROR(INDEX('계산도우미'!$C$5:$C$2004,MATCH(ROWS($A$6:A192),'계산도우미'!$L$5:$L$2004,0)),"")</x:f>
      </x:c>
      <x:c r="D192" s="67" t="str">
        <x:f>IFERROR(INDEX('계산도우미'!$D$5:$D$2004,MATCH(ROWS($A$6:A192),'계산도우미'!$L$5:$L$2004,0)),"")</x:f>
      </x:c>
      <x:c r="E192" t="str">
        <x:f>IFERROR(INDEX('계산도우미'!$E$5:$E$2004,MATCH(ROWS($A$6:A192),'계산도우미'!$L$5:$L$2004,0)),"")</x:f>
      </x:c>
      <x:c r="F192" t="str">
        <x:f>IFERROR(INDEX('계산도우미'!$F$5:$F$2004,MATCH(ROWS($A$6:A192),'계산도우미'!$L$5:$L$2004,0)),"")</x:f>
      </x:c>
      <x:c r="G192" s="68" t="str">
        <x:f>IFERROR(INDEX('계산도우미'!$G$5:$G$2004,MATCH(ROWS($A$6:A192),'계산도우미'!$L$5:$L$2004,0)),"")</x:f>
      </x:c>
      <x:c r="H192" t="str">
        <x:f>IFERROR(INDEX('계산도우미'!$H$5:$H$2004,MATCH(ROWS($A$6:A192),'계산도우미'!$L$5:$L$2004,0)),"")</x:f>
      </x:c>
      <x:c r="I192" t="str">
        <x:f>IFERROR(INDEX('계산도우미'!$I$5:$I$2004,MATCH(ROWS($A$6:A192),'계산도우미'!$L$5:$L$2004,0)),"")</x:f>
      </x:c>
      <x:c r="J192" t="str">
        <x:f>IFERROR(INDEX('계산도우미'!$J$5:$J$2004,MATCH(ROWS($A$6:A192),'계산도우미'!$L$5:$L$2004,0)),"")</x:f>
      </x:c>
      <x:c r="K192" t="str">
        <x:f>IF(B192="","",IF(I192="확인 필요","붙임 문서 확인 후 거래 성격·기간·상대방·일회성 여부 확인","결의서명과 전기 대비 발생 건수·단가·시점 차이 검토"))</x:f>
      </x:c>
    </x:row>
    <x:row r="193">
      <x:c r="A193" t="str">
        <x:f>IFERROR(INDEX('계산도우미'!$A$5:$A$2004,MATCH(ROWS($A$6:A193),'계산도우미'!$L$5:$L$2004,0)),"")</x:f>
      </x:c>
      <x:c r="B193" t="str">
        <x:f>IFERROR(INDEX('계산도우미'!$B$5:$B$2004,MATCH(ROWS($A$6:A193),'계산도우미'!$L$5:$L$2004,0)),"")</x:f>
      </x:c>
      <x:c r="C193" t="str">
        <x:f>IFERROR(INDEX('계산도우미'!$C$5:$C$2004,MATCH(ROWS($A$6:A193),'계산도우미'!$L$5:$L$2004,0)),"")</x:f>
      </x:c>
      <x:c r="D193" s="67" t="str">
        <x:f>IFERROR(INDEX('계산도우미'!$D$5:$D$2004,MATCH(ROWS($A$6:A193),'계산도우미'!$L$5:$L$2004,0)),"")</x:f>
      </x:c>
      <x:c r="E193" t="str">
        <x:f>IFERROR(INDEX('계산도우미'!$E$5:$E$2004,MATCH(ROWS($A$6:A193),'계산도우미'!$L$5:$L$2004,0)),"")</x:f>
      </x:c>
      <x:c r="F193" t="str">
        <x:f>IFERROR(INDEX('계산도우미'!$F$5:$F$2004,MATCH(ROWS($A$6:A193),'계산도우미'!$L$5:$L$2004,0)),"")</x:f>
      </x:c>
      <x:c r="G193" s="68" t="str">
        <x:f>IFERROR(INDEX('계산도우미'!$G$5:$G$2004,MATCH(ROWS($A$6:A193),'계산도우미'!$L$5:$L$2004,0)),"")</x:f>
      </x:c>
      <x:c r="H193" t="str">
        <x:f>IFERROR(INDEX('계산도우미'!$H$5:$H$2004,MATCH(ROWS($A$6:A193),'계산도우미'!$L$5:$L$2004,0)),"")</x:f>
      </x:c>
      <x:c r="I193" t="str">
        <x:f>IFERROR(INDEX('계산도우미'!$I$5:$I$2004,MATCH(ROWS($A$6:A193),'계산도우미'!$L$5:$L$2004,0)),"")</x:f>
      </x:c>
      <x:c r="J193" t="str">
        <x:f>IFERROR(INDEX('계산도우미'!$J$5:$J$2004,MATCH(ROWS($A$6:A193),'계산도우미'!$L$5:$L$2004,0)),"")</x:f>
      </x:c>
      <x:c r="K193" t="str">
        <x:f>IF(B193="","",IF(I193="확인 필요","붙임 문서 확인 후 거래 성격·기간·상대방·일회성 여부 확인","결의서명과 전기 대비 발생 건수·단가·시점 차이 검토"))</x:f>
      </x:c>
    </x:row>
    <x:row r="194">
      <x:c r="A194" t="str">
        <x:f>IFERROR(INDEX('계산도우미'!$A$5:$A$2004,MATCH(ROWS($A$6:A194),'계산도우미'!$L$5:$L$2004,0)),"")</x:f>
      </x:c>
      <x:c r="B194" t="str">
        <x:f>IFERROR(INDEX('계산도우미'!$B$5:$B$2004,MATCH(ROWS($A$6:A194),'계산도우미'!$L$5:$L$2004,0)),"")</x:f>
      </x:c>
      <x:c r="C194" t="str">
        <x:f>IFERROR(INDEX('계산도우미'!$C$5:$C$2004,MATCH(ROWS($A$6:A194),'계산도우미'!$L$5:$L$2004,0)),"")</x:f>
      </x:c>
      <x:c r="D194" s="67" t="str">
        <x:f>IFERROR(INDEX('계산도우미'!$D$5:$D$2004,MATCH(ROWS($A$6:A194),'계산도우미'!$L$5:$L$2004,0)),"")</x:f>
      </x:c>
      <x:c r="E194" t="str">
        <x:f>IFERROR(INDEX('계산도우미'!$E$5:$E$2004,MATCH(ROWS($A$6:A194),'계산도우미'!$L$5:$L$2004,0)),"")</x:f>
      </x:c>
      <x:c r="F194" t="str">
        <x:f>IFERROR(INDEX('계산도우미'!$F$5:$F$2004,MATCH(ROWS($A$6:A194),'계산도우미'!$L$5:$L$2004,0)),"")</x:f>
      </x:c>
      <x:c r="G194" s="68" t="str">
        <x:f>IFERROR(INDEX('계산도우미'!$G$5:$G$2004,MATCH(ROWS($A$6:A194),'계산도우미'!$L$5:$L$2004,0)),"")</x:f>
      </x:c>
      <x:c r="H194" t="str">
        <x:f>IFERROR(INDEX('계산도우미'!$H$5:$H$2004,MATCH(ROWS($A$6:A194),'계산도우미'!$L$5:$L$2004,0)),"")</x:f>
      </x:c>
      <x:c r="I194" t="str">
        <x:f>IFERROR(INDEX('계산도우미'!$I$5:$I$2004,MATCH(ROWS($A$6:A194),'계산도우미'!$L$5:$L$2004,0)),"")</x:f>
      </x:c>
      <x:c r="J194" t="str">
        <x:f>IFERROR(INDEX('계산도우미'!$J$5:$J$2004,MATCH(ROWS($A$6:A194),'계산도우미'!$L$5:$L$2004,0)),"")</x:f>
      </x:c>
      <x:c r="K194" t="str">
        <x:f>IF(B194="","",IF(I194="확인 필요","붙임 문서 확인 후 거래 성격·기간·상대방·일회성 여부 확인","결의서명과 전기 대비 발생 건수·단가·시점 차이 검토"))</x:f>
      </x:c>
    </x:row>
    <x:row r="195">
      <x:c r="A195" t="str">
        <x:f>IFERROR(INDEX('계산도우미'!$A$5:$A$2004,MATCH(ROWS($A$6:A195),'계산도우미'!$L$5:$L$2004,0)),"")</x:f>
      </x:c>
      <x:c r="B195" t="str">
        <x:f>IFERROR(INDEX('계산도우미'!$B$5:$B$2004,MATCH(ROWS($A$6:A195),'계산도우미'!$L$5:$L$2004,0)),"")</x:f>
      </x:c>
      <x:c r="C195" t="str">
        <x:f>IFERROR(INDEX('계산도우미'!$C$5:$C$2004,MATCH(ROWS($A$6:A195),'계산도우미'!$L$5:$L$2004,0)),"")</x:f>
      </x:c>
      <x:c r="D195" s="67" t="str">
        <x:f>IFERROR(INDEX('계산도우미'!$D$5:$D$2004,MATCH(ROWS($A$6:A195),'계산도우미'!$L$5:$L$2004,0)),"")</x:f>
      </x:c>
      <x:c r="E195" t="str">
        <x:f>IFERROR(INDEX('계산도우미'!$E$5:$E$2004,MATCH(ROWS($A$6:A195),'계산도우미'!$L$5:$L$2004,0)),"")</x:f>
      </x:c>
      <x:c r="F195" t="str">
        <x:f>IFERROR(INDEX('계산도우미'!$F$5:$F$2004,MATCH(ROWS($A$6:A195),'계산도우미'!$L$5:$L$2004,0)),"")</x:f>
      </x:c>
      <x:c r="G195" s="68" t="str">
        <x:f>IFERROR(INDEX('계산도우미'!$G$5:$G$2004,MATCH(ROWS($A$6:A195),'계산도우미'!$L$5:$L$2004,0)),"")</x:f>
      </x:c>
      <x:c r="H195" t="str">
        <x:f>IFERROR(INDEX('계산도우미'!$H$5:$H$2004,MATCH(ROWS($A$6:A195),'계산도우미'!$L$5:$L$2004,0)),"")</x:f>
      </x:c>
      <x:c r="I195" t="str">
        <x:f>IFERROR(INDEX('계산도우미'!$I$5:$I$2004,MATCH(ROWS($A$6:A195),'계산도우미'!$L$5:$L$2004,0)),"")</x:f>
      </x:c>
      <x:c r="J195" t="str">
        <x:f>IFERROR(INDEX('계산도우미'!$J$5:$J$2004,MATCH(ROWS($A$6:A195),'계산도우미'!$L$5:$L$2004,0)),"")</x:f>
      </x:c>
      <x:c r="K195" t="str">
        <x:f>IF(B195="","",IF(I195="확인 필요","붙임 문서 확인 후 거래 성격·기간·상대방·일회성 여부 확인","결의서명과 전기 대비 발생 건수·단가·시점 차이 검토"))</x:f>
      </x:c>
    </x:row>
    <x:row r="196">
      <x:c r="A196" t="str">
        <x:f>IFERROR(INDEX('계산도우미'!$A$5:$A$2004,MATCH(ROWS($A$6:A196),'계산도우미'!$L$5:$L$2004,0)),"")</x:f>
      </x:c>
      <x:c r="B196" t="str">
        <x:f>IFERROR(INDEX('계산도우미'!$B$5:$B$2004,MATCH(ROWS($A$6:A196),'계산도우미'!$L$5:$L$2004,0)),"")</x:f>
      </x:c>
      <x:c r="C196" t="str">
        <x:f>IFERROR(INDEX('계산도우미'!$C$5:$C$2004,MATCH(ROWS($A$6:A196),'계산도우미'!$L$5:$L$2004,0)),"")</x:f>
      </x:c>
      <x:c r="D196" s="67" t="str">
        <x:f>IFERROR(INDEX('계산도우미'!$D$5:$D$2004,MATCH(ROWS($A$6:A196),'계산도우미'!$L$5:$L$2004,0)),"")</x:f>
      </x:c>
      <x:c r="E196" t="str">
        <x:f>IFERROR(INDEX('계산도우미'!$E$5:$E$2004,MATCH(ROWS($A$6:A196),'계산도우미'!$L$5:$L$2004,0)),"")</x:f>
      </x:c>
      <x:c r="F196" t="str">
        <x:f>IFERROR(INDEX('계산도우미'!$F$5:$F$2004,MATCH(ROWS($A$6:A196),'계산도우미'!$L$5:$L$2004,0)),"")</x:f>
      </x:c>
      <x:c r="G196" s="68" t="str">
        <x:f>IFERROR(INDEX('계산도우미'!$G$5:$G$2004,MATCH(ROWS($A$6:A196),'계산도우미'!$L$5:$L$2004,0)),"")</x:f>
      </x:c>
      <x:c r="H196" t="str">
        <x:f>IFERROR(INDEX('계산도우미'!$H$5:$H$2004,MATCH(ROWS($A$6:A196),'계산도우미'!$L$5:$L$2004,0)),"")</x:f>
      </x:c>
      <x:c r="I196" t="str">
        <x:f>IFERROR(INDEX('계산도우미'!$I$5:$I$2004,MATCH(ROWS($A$6:A196),'계산도우미'!$L$5:$L$2004,0)),"")</x:f>
      </x:c>
      <x:c r="J196" t="str">
        <x:f>IFERROR(INDEX('계산도우미'!$J$5:$J$2004,MATCH(ROWS($A$6:A196),'계산도우미'!$L$5:$L$2004,0)),"")</x:f>
      </x:c>
      <x:c r="K196" t="str">
        <x:f>IF(B196="","",IF(I196="확인 필요","붙임 문서 확인 후 거래 성격·기간·상대방·일회성 여부 확인","결의서명과 전기 대비 발생 건수·단가·시점 차이 검토"))</x:f>
      </x:c>
    </x:row>
    <x:row r="197">
      <x:c r="A197" t="str">
        <x:f>IFERROR(INDEX('계산도우미'!$A$5:$A$2004,MATCH(ROWS($A$6:A197),'계산도우미'!$L$5:$L$2004,0)),"")</x:f>
      </x:c>
      <x:c r="B197" t="str">
        <x:f>IFERROR(INDEX('계산도우미'!$B$5:$B$2004,MATCH(ROWS($A$6:A197),'계산도우미'!$L$5:$L$2004,0)),"")</x:f>
      </x:c>
      <x:c r="C197" t="str">
        <x:f>IFERROR(INDEX('계산도우미'!$C$5:$C$2004,MATCH(ROWS($A$6:A197),'계산도우미'!$L$5:$L$2004,0)),"")</x:f>
      </x:c>
      <x:c r="D197" s="67" t="str">
        <x:f>IFERROR(INDEX('계산도우미'!$D$5:$D$2004,MATCH(ROWS($A$6:A197),'계산도우미'!$L$5:$L$2004,0)),"")</x:f>
      </x:c>
      <x:c r="E197" t="str">
        <x:f>IFERROR(INDEX('계산도우미'!$E$5:$E$2004,MATCH(ROWS($A$6:A197),'계산도우미'!$L$5:$L$2004,0)),"")</x:f>
      </x:c>
      <x:c r="F197" t="str">
        <x:f>IFERROR(INDEX('계산도우미'!$F$5:$F$2004,MATCH(ROWS($A$6:A197),'계산도우미'!$L$5:$L$2004,0)),"")</x:f>
      </x:c>
      <x:c r="G197" s="68" t="str">
        <x:f>IFERROR(INDEX('계산도우미'!$G$5:$G$2004,MATCH(ROWS($A$6:A197),'계산도우미'!$L$5:$L$2004,0)),"")</x:f>
      </x:c>
      <x:c r="H197" t="str">
        <x:f>IFERROR(INDEX('계산도우미'!$H$5:$H$2004,MATCH(ROWS($A$6:A197),'계산도우미'!$L$5:$L$2004,0)),"")</x:f>
      </x:c>
      <x:c r="I197" t="str">
        <x:f>IFERROR(INDEX('계산도우미'!$I$5:$I$2004,MATCH(ROWS($A$6:A197),'계산도우미'!$L$5:$L$2004,0)),"")</x:f>
      </x:c>
      <x:c r="J197" t="str">
        <x:f>IFERROR(INDEX('계산도우미'!$J$5:$J$2004,MATCH(ROWS($A$6:A197),'계산도우미'!$L$5:$L$2004,0)),"")</x:f>
      </x:c>
      <x:c r="K197" t="str">
        <x:f>IF(B197="","",IF(I197="확인 필요","붙임 문서 확인 후 거래 성격·기간·상대방·일회성 여부 확인","결의서명과 전기 대비 발생 건수·단가·시점 차이 검토"))</x:f>
      </x:c>
    </x:row>
    <x:row r="198">
      <x:c r="A198" t="str">
        <x:f>IFERROR(INDEX('계산도우미'!$A$5:$A$2004,MATCH(ROWS($A$6:A198),'계산도우미'!$L$5:$L$2004,0)),"")</x:f>
      </x:c>
      <x:c r="B198" t="str">
        <x:f>IFERROR(INDEX('계산도우미'!$B$5:$B$2004,MATCH(ROWS($A$6:A198),'계산도우미'!$L$5:$L$2004,0)),"")</x:f>
      </x:c>
      <x:c r="C198" t="str">
        <x:f>IFERROR(INDEX('계산도우미'!$C$5:$C$2004,MATCH(ROWS($A$6:A198),'계산도우미'!$L$5:$L$2004,0)),"")</x:f>
      </x:c>
      <x:c r="D198" s="67" t="str">
        <x:f>IFERROR(INDEX('계산도우미'!$D$5:$D$2004,MATCH(ROWS($A$6:A198),'계산도우미'!$L$5:$L$2004,0)),"")</x:f>
      </x:c>
      <x:c r="E198" t="str">
        <x:f>IFERROR(INDEX('계산도우미'!$E$5:$E$2004,MATCH(ROWS($A$6:A198),'계산도우미'!$L$5:$L$2004,0)),"")</x:f>
      </x:c>
      <x:c r="F198" t="str">
        <x:f>IFERROR(INDEX('계산도우미'!$F$5:$F$2004,MATCH(ROWS($A$6:A198),'계산도우미'!$L$5:$L$2004,0)),"")</x:f>
      </x:c>
      <x:c r="G198" s="68" t="str">
        <x:f>IFERROR(INDEX('계산도우미'!$G$5:$G$2004,MATCH(ROWS($A$6:A198),'계산도우미'!$L$5:$L$2004,0)),"")</x:f>
      </x:c>
      <x:c r="H198" t="str">
        <x:f>IFERROR(INDEX('계산도우미'!$H$5:$H$2004,MATCH(ROWS($A$6:A198),'계산도우미'!$L$5:$L$2004,0)),"")</x:f>
      </x:c>
      <x:c r="I198" t="str">
        <x:f>IFERROR(INDEX('계산도우미'!$I$5:$I$2004,MATCH(ROWS($A$6:A198),'계산도우미'!$L$5:$L$2004,0)),"")</x:f>
      </x:c>
      <x:c r="J198" t="str">
        <x:f>IFERROR(INDEX('계산도우미'!$J$5:$J$2004,MATCH(ROWS($A$6:A198),'계산도우미'!$L$5:$L$2004,0)),"")</x:f>
      </x:c>
      <x:c r="K198" t="str">
        <x:f>IF(B198="","",IF(I198="확인 필요","붙임 문서 확인 후 거래 성격·기간·상대방·일회성 여부 확인","결의서명과 전기 대비 발생 건수·단가·시점 차이 검토"))</x:f>
      </x:c>
    </x:row>
    <x:row r="199">
      <x:c r="A199" t="str">
        <x:f>IFERROR(INDEX('계산도우미'!$A$5:$A$2004,MATCH(ROWS($A$6:A199),'계산도우미'!$L$5:$L$2004,0)),"")</x:f>
      </x:c>
      <x:c r="B199" t="str">
        <x:f>IFERROR(INDEX('계산도우미'!$B$5:$B$2004,MATCH(ROWS($A$6:A199),'계산도우미'!$L$5:$L$2004,0)),"")</x:f>
      </x:c>
      <x:c r="C199" t="str">
        <x:f>IFERROR(INDEX('계산도우미'!$C$5:$C$2004,MATCH(ROWS($A$6:A199),'계산도우미'!$L$5:$L$2004,0)),"")</x:f>
      </x:c>
      <x:c r="D199" s="67" t="str">
        <x:f>IFERROR(INDEX('계산도우미'!$D$5:$D$2004,MATCH(ROWS($A$6:A199),'계산도우미'!$L$5:$L$2004,0)),"")</x:f>
      </x:c>
      <x:c r="E199" t="str">
        <x:f>IFERROR(INDEX('계산도우미'!$E$5:$E$2004,MATCH(ROWS($A$6:A199),'계산도우미'!$L$5:$L$2004,0)),"")</x:f>
      </x:c>
      <x:c r="F199" t="str">
        <x:f>IFERROR(INDEX('계산도우미'!$F$5:$F$2004,MATCH(ROWS($A$6:A199),'계산도우미'!$L$5:$L$2004,0)),"")</x:f>
      </x:c>
      <x:c r="G199" s="68" t="str">
        <x:f>IFERROR(INDEX('계산도우미'!$G$5:$G$2004,MATCH(ROWS($A$6:A199),'계산도우미'!$L$5:$L$2004,0)),"")</x:f>
      </x:c>
      <x:c r="H199" t="str">
        <x:f>IFERROR(INDEX('계산도우미'!$H$5:$H$2004,MATCH(ROWS($A$6:A199),'계산도우미'!$L$5:$L$2004,0)),"")</x:f>
      </x:c>
      <x:c r="I199" t="str">
        <x:f>IFERROR(INDEX('계산도우미'!$I$5:$I$2004,MATCH(ROWS($A$6:A199),'계산도우미'!$L$5:$L$2004,0)),"")</x:f>
      </x:c>
      <x:c r="J199" t="str">
        <x:f>IFERROR(INDEX('계산도우미'!$J$5:$J$2004,MATCH(ROWS($A$6:A199),'계산도우미'!$L$5:$L$2004,0)),"")</x:f>
      </x:c>
      <x:c r="K199" t="str">
        <x:f>IF(B199="","",IF(I199="확인 필요","붙임 문서 확인 후 거래 성격·기간·상대방·일회성 여부 확인","결의서명과 전기 대비 발생 건수·단가·시점 차이 검토"))</x:f>
      </x:c>
    </x:row>
    <x:row r="200">
      <x:c r="A200" t="str">
        <x:f>IFERROR(INDEX('계산도우미'!$A$5:$A$2004,MATCH(ROWS($A$6:A200),'계산도우미'!$L$5:$L$2004,0)),"")</x:f>
      </x:c>
      <x:c r="B200" t="str">
        <x:f>IFERROR(INDEX('계산도우미'!$B$5:$B$2004,MATCH(ROWS($A$6:A200),'계산도우미'!$L$5:$L$2004,0)),"")</x:f>
      </x:c>
      <x:c r="C200" t="str">
        <x:f>IFERROR(INDEX('계산도우미'!$C$5:$C$2004,MATCH(ROWS($A$6:A200),'계산도우미'!$L$5:$L$2004,0)),"")</x:f>
      </x:c>
      <x:c r="D200" s="67" t="str">
        <x:f>IFERROR(INDEX('계산도우미'!$D$5:$D$2004,MATCH(ROWS($A$6:A200),'계산도우미'!$L$5:$L$2004,0)),"")</x:f>
      </x:c>
      <x:c r="E200" t="str">
        <x:f>IFERROR(INDEX('계산도우미'!$E$5:$E$2004,MATCH(ROWS($A$6:A200),'계산도우미'!$L$5:$L$2004,0)),"")</x:f>
      </x:c>
      <x:c r="F200" t="str">
        <x:f>IFERROR(INDEX('계산도우미'!$F$5:$F$2004,MATCH(ROWS($A$6:A200),'계산도우미'!$L$5:$L$2004,0)),"")</x:f>
      </x:c>
      <x:c r="G200" s="68" t="str">
        <x:f>IFERROR(INDEX('계산도우미'!$G$5:$G$2004,MATCH(ROWS($A$6:A200),'계산도우미'!$L$5:$L$2004,0)),"")</x:f>
      </x:c>
      <x:c r="H200" t="str">
        <x:f>IFERROR(INDEX('계산도우미'!$H$5:$H$2004,MATCH(ROWS($A$6:A200),'계산도우미'!$L$5:$L$2004,0)),"")</x:f>
      </x:c>
      <x:c r="I200" t="str">
        <x:f>IFERROR(INDEX('계산도우미'!$I$5:$I$2004,MATCH(ROWS($A$6:A200),'계산도우미'!$L$5:$L$2004,0)),"")</x:f>
      </x:c>
      <x:c r="J200" t="str">
        <x:f>IFERROR(INDEX('계산도우미'!$J$5:$J$2004,MATCH(ROWS($A$6:A200),'계산도우미'!$L$5:$L$2004,0)),"")</x:f>
      </x:c>
      <x:c r="K200" t="str">
        <x:f>IF(B200="","",IF(I200="확인 필요","붙임 문서 확인 후 거래 성격·기간·상대방·일회성 여부 확인","결의서명과 전기 대비 발생 건수·단가·시점 차이 검토"))</x:f>
      </x:c>
    </x:row>
    <x:row r="201">
      <x:c r="A201" t="str">
        <x:f>IFERROR(INDEX('계산도우미'!$A$5:$A$2004,MATCH(ROWS($A$6:A201),'계산도우미'!$L$5:$L$2004,0)),"")</x:f>
      </x:c>
      <x:c r="B201" t="str">
        <x:f>IFERROR(INDEX('계산도우미'!$B$5:$B$2004,MATCH(ROWS($A$6:A201),'계산도우미'!$L$5:$L$2004,0)),"")</x:f>
      </x:c>
      <x:c r="C201" t="str">
        <x:f>IFERROR(INDEX('계산도우미'!$C$5:$C$2004,MATCH(ROWS($A$6:A201),'계산도우미'!$L$5:$L$2004,0)),"")</x:f>
      </x:c>
      <x:c r="D201" s="67" t="str">
        <x:f>IFERROR(INDEX('계산도우미'!$D$5:$D$2004,MATCH(ROWS($A$6:A201),'계산도우미'!$L$5:$L$2004,0)),"")</x:f>
      </x:c>
      <x:c r="E201" t="str">
        <x:f>IFERROR(INDEX('계산도우미'!$E$5:$E$2004,MATCH(ROWS($A$6:A201),'계산도우미'!$L$5:$L$2004,0)),"")</x:f>
      </x:c>
      <x:c r="F201" t="str">
        <x:f>IFERROR(INDEX('계산도우미'!$F$5:$F$2004,MATCH(ROWS($A$6:A201),'계산도우미'!$L$5:$L$2004,0)),"")</x:f>
      </x:c>
      <x:c r="G201" s="68" t="str">
        <x:f>IFERROR(INDEX('계산도우미'!$G$5:$G$2004,MATCH(ROWS($A$6:A201),'계산도우미'!$L$5:$L$2004,0)),"")</x:f>
      </x:c>
      <x:c r="H201" t="str">
        <x:f>IFERROR(INDEX('계산도우미'!$H$5:$H$2004,MATCH(ROWS($A$6:A201),'계산도우미'!$L$5:$L$2004,0)),"")</x:f>
      </x:c>
      <x:c r="I201" t="str">
        <x:f>IFERROR(INDEX('계산도우미'!$I$5:$I$2004,MATCH(ROWS($A$6:A201),'계산도우미'!$L$5:$L$2004,0)),"")</x:f>
      </x:c>
      <x:c r="J201" t="str">
        <x:f>IFERROR(INDEX('계산도우미'!$J$5:$J$2004,MATCH(ROWS($A$6:A201),'계산도우미'!$L$5:$L$2004,0)),"")</x:f>
      </x:c>
      <x:c r="K201" t="str">
        <x:f>IF(B201="","",IF(I201="확인 필요","붙임 문서 확인 후 거래 성격·기간·상대방·일회성 여부 확인","결의서명과 전기 대비 발생 건수·단가·시점 차이 검토"))</x:f>
      </x:c>
    </x:row>
    <x:row r="202">
      <x:c r="A202" t="str">
        <x:f>IFERROR(INDEX('계산도우미'!$A$5:$A$2004,MATCH(ROWS($A$6:A202),'계산도우미'!$L$5:$L$2004,0)),"")</x:f>
      </x:c>
      <x:c r="B202" t="str">
        <x:f>IFERROR(INDEX('계산도우미'!$B$5:$B$2004,MATCH(ROWS($A$6:A202),'계산도우미'!$L$5:$L$2004,0)),"")</x:f>
      </x:c>
      <x:c r="C202" t="str">
        <x:f>IFERROR(INDEX('계산도우미'!$C$5:$C$2004,MATCH(ROWS($A$6:A202),'계산도우미'!$L$5:$L$2004,0)),"")</x:f>
      </x:c>
      <x:c r="D202" s="67" t="str">
        <x:f>IFERROR(INDEX('계산도우미'!$D$5:$D$2004,MATCH(ROWS($A$6:A202),'계산도우미'!$L$5:$L$2004,0)),"")</x:f>
      </x:c>
      <x:c r="E202" t="str">
        <x:f>IFERROR(INDEX('계산도우미'!$E$5:$E$2004,MATCH(ROWS($A$6:A202),'계산도우미'!$L$5:$L$2004,0)),"")</x:f>
      </x:c>
      <x:c r="F202" t="str">
        <x:f>IFERROR(INDEX('계산도우미'!$F$5:$F$2004,MATCH(ROWS($A$6:A202),'계산도우미'!$L$5:$L$2004,0)),"")</x:f>
      </x:c>
      <x:c r="G202" s="68" t="str">
        <x:f>IFERROR(INDEX('계산도우미'!$G$5:$G$2004,MATCH(ROWS($A$6:A202),'계산도우미'!$L$5:$L$2004,0)),"")</x:f>
      </x:c>
      <x:c r="H202" t="str">
        <x:f>IFERROR(INDEX('계산도우미'!$H$5:$H$2004,MATCH(ROWS($A$6:A202),'계산도우미'!$L$5:$L$2004,0)),"")</x:f>
      </x:c>
      <x:c r="I202" t="str">
        <x:f>IFERROR(INDEX('계산도우미'!$I$5:$I$2004,MATCH(ROWS($A$6:A202),'계산도우미'!$L$5:$L$2004,0)),"")</x:f>
      </x:c>
      <x:c r="J202" t="str">
        <x:f>IFERROR(INDEX('계산도우미'!$J$5:$J$2004,MATCH(ROWS($A$6:A202),'계산도우미'!$L$5:$L$2004,0)),"")</x:f>
      </x:c>
      <x:c r="K202" t="str">
        <x:f>IF(B202="","",IF(I202="확인 필요","붙임 문서 확인 후 거래 성격·기간·상대방·일회성 여부 확인","결의서명과 전기 대비 발생 건수·단가·시점 차이 검토"))</x:f>
      </x:c>
    </x:row>
    <x:row r="203">
      <x:c r="A203" t="str">
        <x:f>IFERROR(INDEX('계산도우미'!$A$5:$A$2004,MATCH(ROWS($A$6:A203),'계산도우미'!$L$5:$L$2004,0)),"")</x:f>
      </x:c>
      <x:c r="B203" t="str">
        <x:f>IFERROR(INDEX('계산도우미'!$B$5:$B$2004,MATCH(ROWS($A$6:A203),'계산도우미'!$L$5:$L$2004,0)),"")</x:f>
      </x:c>
      <x:c r="C203" t="str">
        <x:f>IFERROR(INDEX('계산도우미'!$C$5:$C$2004,MATCH(ROWS($A$6:A203),'계산도우미'!$L$5:$L$2004,0)),"")</x:f>
      </x:c>
      <x:c r="D203" s="67" t="str">
        <x:f>IFERROR(INDEX('계산도우미'!$D$5:$D$2004,MATCH(ROWS($A$6:A203),'계산도우미'!$L$5:$L$2004,0)),"")</x:f>
      </x:c>
      <x:c r="E203" t="str">
        <x:f>IFERROR(INDEX('계산도우미'!$E$5:$E$2004,MATCH(ROWS($A$6:A203),'계산도우미'!$L$5:$L$2004,0)),"")</x:f>
      </x:c>
      <x:c r="F203" t="str">
        <x:f>IFERROR(INDEX('계산도우미'!$F$5:$F$2004,MATCH(ROWS($A$6:A203),'계산도우미'!$L$5:$L$2004,0)),"")</x:f>
      </x:c>
      <x:c r="G203" s="68" t="str">
        <x:f>IFERROR(INDEX('계산도우미'!$G$5:$G$2004,MATCH(ROWS($A$6:A203),'계산도우미'!$L$5:$L$2004,0)),"")</x:f>
      </x:c>
      <x:c r="H203" t="str">
        <x:f>IFERROR(INDEX('계산도우미'!$H$5:$H$2004,MATCH(ROWS($A$6:A203),'계산도우미'!$L$5:$L$2004,0)),"")</x:f>
      </x:c>
      <x:c r="I203" t="str">
        <x:f>IFERROR(INDEX('계산도우미'!$I$5:$I$2004,MATCH(ROWS($A$6:A203),'계산도우미'!$L$5:$L$2004,0)),"")</x:f>
      </x:c>
      <x:c r="J203" t="str">
        <x:f>IFERROR(INDEX('계산도우미'!$J$5:$J$2004,MATCH(ROWS($A$6:A203),'계산도우미'!$L$5:$L$2004,0)),"")</x:f>
      </x:c>
      <x:c r="K203" t="str">
        <x:f>IF(B203="","",IF(I203="확인 필요","붙임 문서 확인 후 거래 성격·기간·상대방·일회성 여부 확인","결의서명과 전기 대비 발생 건수·단가·시점 차이 검토"))</x:f>
      </x:c>
    </x:row>
    <x:row r="204">
      <x:c r="A204" t="str">
        <x:f>IFERROR(INDEX('계산도우미'!$A$5:$A$2004,MATCH(ROWS($A$6:A204),'계산도우미'!$L$5:$L$2004,0)),"")</x:f>
      </x:c>
      <x:c r="B204" t="str">
        <x:f>IFERROR(INDEX('계산도우미'!$B$5:$B$2004,MATCH(ROWS($A$6:A204),'계산도우미'!$L$5:$L$2004,0)),"")</x:f>
      </x:c>
      <x:c r="C204" t="str">
        <x:f>IFERROR(INDEX('계산도우미'!$C$5:$C$2004,MATCH(ROWS($A$6:A204),'계산도우미'!$L$5:$L$2004,0)),"")</x:f>
      </x:c>
      <x:c r="D204" s="67" t="str">
        <x:f>IFERROR(INDEX('계산도우미'!$D$5:$D$2004,MATCH(ROWS($A$6:A204),'계산도우미'!$L$5:$L$2004,0)),"")</x:f>
      </x:c>
      <x:c r="E204" t="str">
        <x:f>IFERROR(INDEX('계산도우미'!$E$5:$E$2004,MATCH(ROWS($A$6:A204),'계산도우미'!$L$5:$L$2004,0)),"")</x:f>
      </x:c>
      <x:c r="F204" t="str">
        <x:f>IFERROR(INDEX('계산도우미'!$F$5:$F$2004,MATCH(ROWS($A$6:A204),'계산도우미'!$L$5:$L$2004,0)),"")</x:f>
      </x:c>
      <x:c r="G204" s="68" t="str">
        <x:f>IFERROR(INDEX('계산도우미'!$G$5:$G$2004,MATCH(ROWS($A$6:A204),'계산도우미'!$L$5:$L$2004,0)),"")</x:f>
      </x:c>
      <x:c r="H204" t="str">
        <x:f>IFERROR(INDEX('계산도우미'!$H$5:$H$2004,MATCH(ROWS($A$6:A204),'계산도우미'!$L$5:$L$2004,0)),"")</x:f>
      </x:c>
      <x:c r="I204" t="str">
        <x:f>IFERROR(INDEX('계산도우미'!$I$5:$I$2004,MATCH(ROWS($A$6:A204),'계산도우미'!$L$5:$L$2004,0)),"")</x:f>
      </x:c>
      <x:c r="J204" t="str">
        <x:f>IFERROR(INDEX('계산도우미'!$J$5:$J$2004,MATCH(ROWS($A$6:A204),'계산도우미'!$L$5:$L$2004,0)),"")</x:f>
      </x:c>
      <x:c r="K204" t="str">
        <x:f>IF(B204="","",IF(I204="확인 필요","붙임 문서 확인 후 거래 성격·기간·상대방·일회성 여부 확인","결의서명과 전기 대비 발생 건수·단가·시점 차이 검토"))</x:f>
      </x:c>
    </x:row>
    <x:row r="205">
      <x:c r="A205" t="str">
        <x:f>IFERROR(INDEX('계산도우미'!$A$5:$A$2004,MATCH(ROWS($A$6:A205),'계산도우미'!$L$5:$L$2004,0)),"")</x:f>
      </x:c>
      <x:c r="B205" t="str">
        <x:f>IFERROR(INDEX('계산도우미'!$B$5:$B$2004,MATCH(ROWS($A$6:A205),'계산도우미'!$L$5:$L$2004,0)),"")</x:f>
      </x:c>
      <x:c r="C205" t="str">
        <x:f>IFERROR(INDEX('계산도우미'!$C$5:$C$2004,MATCH(ROWS($A$6:A205),'계산도우미'!$L$5:$L$2004,0)),"")</x:f>
      </x:c>
      <x:c r="D205" s="67" t="str">
        <x:f>IFERROR(INDEX('계산도우미'!$D$5:$D$2004,MATCH(ROWS($A$6:A205),'계산도우미'!$L$5:$L$2004,0)),"")</x:f>
      </x:c>
      <x:c r="E205" t="str">
        <x:f>IFERROR(INDEX('계산도우미'!$E$5:$E$2004,MATCH(ROWS($A$6:A205),'계산도우미'!$L$5:$L$2004,0)),"")</x:f>
      </x:c>
      <x:c r="F205" t="str">
        <x:f>IFERROR(INDEX('계산도우미'!$F$5:$F$2004,MATCH(ROWS($A$6:A205),'계산도우미'!$L$5:$L$2004,0)),"")</x:f>
      </x:c>
      <x:c r="G205" s="68" t="str">
        <x:f>IFERROR(INDEX('계산도우미'!$G$5:$G$2004,MATCH(ROWS($A$6:A205),'계산도우미'!$L$5:$L$2004,0)),"")</x:f>
      </x:c>
      <x:c r="H205" t="str">
        <x:f>IFERROR(INDEX('계산도우미'!$H$5:$H$2004,MATCH(ROWS($A$6:A205),'계산도우미'!$L$5:$L$2004,0)),"")</x:f>
      </x:c>
      <x:c r="I205" t="str">
        <x:f>IFERROR(INDEX('계산도우미'!$I$5:$I$2004,MATCH(ROWS($A$6:A205),'계산도우미'!$L$5:$L$2004,0)),"")</x:f>
      </x:c>
      <x:c r="J205" t="str">
        <x:f>IFERROR(INDEX('계산도우미'!$J$5:$J$2004,MATCH(ROWS($A$6:A205),'계산도우미'!$L$5:$L$2004,0)),"")</x:f>
      </x:c>
      <x:c r="K205" t="str">
        <x:f>IF(B205="","",IF(I205="확인 필요","붙임 문서 확인 후 거래 성격·기간·상대방·일회성 여부 확인","결의서명과 전기 대비 발생 건수·단가·시점 차이 검토"))</x:f>
      </x:c>
    </x:row>
    <x:row r="206">
      <x:c r="A206" t="str">
        <x:f>IFERROR(INDEX('계산도우미'!$A$5:$A$2004,MATCH(ROWS($A$6:A206),'계산도우미'!$L$5:$L$2004,0)),"")</x:f>
      </x:c>
      <x:c r="B206" t="str">
        <x:f>IFERROR(INDEX('계산도우미'!$B$5:$B$2004,MATCH(ROWS($A$6:A206),'계산도우미'!$L$5:$L$2004,0)),"")</x:f>
      </x:c>
      <x:c r="C206" t="str">
        <x:f>IFERROR(INDEX('계산도우미'!$C$5:$C$2004,MATCH(ROWS($A$6:A206),'계산도우미'!$L$5:$L$2004,0)),"")</x:f>
      </x:c>
      <x:c r="D206" s="67" t="str">
        <x:f>IFERROR(INDEX('계산도우미'!$D$5:$D$2004,MATCH(ROWS($A$6:A206),'계산도우미'!$L$5:$L$2004,0)),"")</x:f>
      </x:c>
      <x:c r="E206" t="str">
        <x:f>IFERROR(INDEX('계산도우미'!$E$5:$E$2004,MATCH(ROWS($A$6:A206),'계산도우미'!$L$5:$L$2004,0)),"")</x:f>
      </x:c>
      <x:c r="F206" t="str">
        <x:f>IFERROR(INDEX('계산도우미'!$F$5:$F$2004,MATCH(ROWS($A$6:A206),'계산도우미'!$L$5:$L$2004,0)),"")</x:f>
      </x:c>
      <x:c r="G206" s="68" t="str">
        <x:f>IFERROR(INDEX('계산도우미'!$G$5:$G$2004,MATCH(ROWS($A$6:A206),'계산도우미'!$L$5:$L$2004,0)),"")</x:f>
      </x:c>
      <x:c r="H206" t="str">
        <x:f>IFERROR(INDEX('계산도우미'!$H$5:$H$2004,MATCH(ROWS($A$6:A206),'계산도우미'!$L$5:$L$2004,0)),"")</x:f>
      </x:c>
      <x:c r="I206" t="str">
        <x:f>IFERROR(INDEX('계산도우미'!$I$5:$I$2004,MATCH(ROWS($A$6:A206),'계산도우미'!$L$5:$L$2004,0)),"")</x:f>
      </x:c>
      <x:c r="J206" t="str">
        <x:f>IFERROR(INDEX('계산도우미'!$J$5:$J$2004,MATCH(ROWS($A$6:A206),'계산도우미'!$L$5:$L$2004,0)),"")</x:f>
      </x:c>
      <x:c r="K206" t="str">
        <x:f>IF(B206="","",IF(I206="확인 필요","붙임 문서 확인 후 거래 성격·기간·상대방·일회성 여부 확인","결의서명과 전기 대비 발생 건수·단가·시점 차이 검토"))</x:f>
      </x:c>
    </x:row>
    <x:row r="207">
      <x:c r="A207" t="str">
        <x:f>IFERROR(INDEX('계산도우미'!$A$5:$A$2004,MATCH(ROWS($A$6:A207),'계산도우미'!$L$5:$L$2004,0)),"")</x:f>
      </x:c>
      <x:c r="B207" t="str">
        <x:f>IFERROR(INDEX('계산도우미'!$B$5:$B$2004,MATCH(ROWS($A$6:A207),'계산도우미'!$L$5:$L$2004,0)),"")</x:f>
      </x:c>
      <x:c r="C207" t="str">
        <x:f>IFERROR(INDEX('계산도우미'!$C$5:$C$2004,MATCH(ROWS($A$6:A207),'계산도우미'!$L$5:$L$2004,0)),"")</x:f>
      </x:c>
      <x:c r="D207" s="67" t="str">
        <x:f>IFERROR(INDEX('계산도우미'!$D$5:$D$2004,MATCH(ROWS($A$6:A207),'계산도우미'!$L$5:$L$2004,0)),"")</x:f>
      </x:c>
      <x:c r="E207" t="str">
        <x:f>IFERROR(INDEX('계산도우미'!$E$5:$E$2004,MATCH(ROWS($A$6:A207),'계산도우미'!$L$5:$L$2004,0)),"")</x:f>
      </x:c>
      <x:c r="F207" t="str">
        <x:f>IFERROR(INDEX('계산도우미'!$F$5:$F$2004,MATCH(ROWS($A$6:A207),'계산도우미'!$L$5:$L$2004,0)),"")</x:f>
      </x:c>
      <x:c r="G207" s="68" t="str">
        <x:f>IFERROR(INDEX('계산도우미'!$G$5:$G$2004,MATCH(ROWS($A$6:A207),'계산도우미'!$L$5:$L$2004,0)),"")</x:f>
      </x:c>
      <x:c r="H207" t="str">
        <x:f>IFERROR(INDEX('계산도우미'!$H$5:$H$2004,MATCH(ROWS($A$6:A207),'계산도우미'!$L$5:$L$2004,0)),"")</x:f>
      </x:c>
      <x:c r="I207" t="str">
        <x:f>IFERROR(INDEX('계산도우미'!$I$5:$I$2004,MATCH(ROWS($A$6:A207),'계산도우미'!$L$5:$L$2004,0)),"")</x:f>
      </x:c>
      <x:c r="J207" t="str">
        <x:f>IFERROR(INDEX('계산도우미'!$J$5:$J$2004,MATCH(ROWS($A$6:A207),'계산도우미'!$L$5:$L$2004,0)),"")</x:f>
      </x:c>
      <x:c r="K207" t="str">
        <x:f>IF(B207="","",IF(I207="확인 필요","붙임 문서 확인 후 거래 성격·기간·상대방·일회성 여부 확인","결의서명과 전기 대비 발생 건수·단가·시점 차이 검토"))</x:f>
      </x:c>
    </x:row>
    <x:row r="208">
      <x:c r="A208" t="str">
        <x:f>IFERROR(INDEX('계산도우미'!$A$5:$A$2004,MATCH(ROWS($A$6:A208),'계산도우미'!$L$5:$L$2004,0)),"")</x:f>
      </x:c>
      <x:c r="B208" t="str">
        <x:f>IFERROR(INDEX('계산도우미'!$B$5:$B$2004,MATCH(ROWS($A$6:A208),'계산도우미'!$L$5:$L$2004,0)),"")</x:f>
      </x:c>
      <x:c r="C208" t="str">
        <x:f>IFERROR(INDEX('계산도우미'!$C$5:$C$2004,MATCH(ROWS($A$6:A208),'계산도우미'!$L$5:$L$2004,0)),"")</x:f>
      </x:c>
      <x:c r="D208" s="67" t="str">
        <x:f>IFERROR(INDEX('계산도우미'!$D$5:$D$2004,MATCH(ROWS($A$6:A208),'계산도우미'!$L$5:$L$2004,0)),"")</x:f>
      </x:c>
      <x:c r="E208" t="str">
        <x:f>IFERROR(INDEX('계산도우미'!$E$5:$E$2004,MATCH(ROWS($A$6:A208),'계산도우미'!$L$5:$L$2004,0)),"")</x:f>
      </x:c>
      <x:c r="F208" t="str">
        <x:f>IFERROR(INDEX('계산도우미'!$F$5:$F$2004,MATCH(ROWS($A$6:A208),'계산도우미'!$L$5:$L$2004,0)),"")</x:f>
      </x:c>
      <x:c r="G208" s="68" t="str">
        <x:f>IFERROR(INDEX('계산도우미'!$G$5:$G$2004,MATCH(ROWS($A$6:A208),'계산도우미'!$L$5:$L$2004,0)),"")</x:f>
      </x:c>
      <x:c r="H208" t="str">
        <x:f>IFERROR(INDEX('계산도우미'!$H$5:$H$2004,MATCH(ROWS($A$6:A208),'계산도우미'!$L$5:$L$2004,0)),"")</x:f>
      </x:c>
      <x:c r="I208" t="str">
        <x:f>IFERROR(INDEX('계산도우미'!$I$5:$I$2004,MATCH(ROWS($A$6:A208),'계산도우미'!$L$5:$L$2004,0)),"")</x:f>
      </x:c>
      <x:c r="J208" t="str">
        <x:f>IFERROR(INDEX('계산도우미'!$J$5:$J$2004,MATCH(ROWS($A$6:A208),'계산도우미'!$L$5:$L$2004,0)),"")</x:f>
      </x:c>
      <x:c r="K208" t="str">
        <x:f>IF(B208="","",IF(I208="확인 필요","붙임 문서 확인 후 거래 성격·기간·상대방·일회성 여부 확인","결의서명과 전기 대비 발생 건수·단가·시점 차이 검토"))</x:f>
      </x:c>
    </x:row>
    <x:row r="209">
      <x:c r="A209" t="str">
        <x:f>IFERROR(INDEX('계산도우미'!$A$5:$A$2004,MATCH(ROWS($A$6:A209),'계산도우미'!$L$5:$L$2004,0)),"")</x:f>
      </x:c>
      <x:c r="B209" t="str">
        <x:f>IFERROR(INDEX('계산도우미'!$B$5:$B$2004,MATCH(ROWS($A$6:A209),'계산도우미'!$L$5:$L$2004,0)),"")</x:f>
      </x:c>
      <x:c r="C209" t="str">
        <x:f>IFERROR(INDEX('계산도우미'!$C$5:$C$2004,MATCH(ROWS($A$6:A209),'계산도우미'!$L$5:$L$2004,0)),"")</x:f>
      </x:c>
      <x:c r="D209" s="67" t="str">
        <x:f>IFERROR(INDEX('계산도우미'!$D$5:$D$2004,MATCH(ROWS($A$6:A209),'계산도우미'!$L$5:$L$2004,0)),"")</x:f>
      </x:c>
      <x:c r="E209" t="str">
        <x:f>IFERROR(INDEX('계산도우미'!$E$5:$E$2004,MATCH(ROWS($A$6:A209),'계산도우미'!$L$5:$L$2004,0)),"")</x:f>
      </x:c>
      <x:c r="F209" t="str">
        <x:f>IFERROR(INDEX('계산도우미'!$F$5:$F$2004,MATCH(ROWS($A$6:A209),'계산도우미'!$L$5:$L$2004,0)),"")</x:f>
      </x:c>
      <x:c r="G209" s="68" t="str">
        <x:f>IFERROR(INDEX('계산도우미'!$G$5:$G$2004,MATCH(ROWS($A$6:A209),'계산도우미'!$L$5:$L$2004,0)),"")</x:f>
      </x:c>
      <x:c r="H209" t="str">
        <x:f>IFERROR(INDEX('계산도우미'!$H$5:$H$2004,MATCH(ROWS($A$6:A209),'계산도우미'!$L$5:$L$2004,0)),"")</x:f>
      </x:c>
      <x:c r="I209" t="str">
        <x:f>IFERROR(INDEX('계산도우미'!$I$5:$I$2004,MATCH(ROWS($A$6:A209),'계산도우미'!$L$5:$L$2004,0)),"")</x:f>
      </x:c>
      <x:c r="J209" t="str">
        <x:f>IFERROR(INDEX('계산도우미'!$J$5:$J$2004,MATCH(ROWS($A$6:A209),'계산도우미'!$L$5:$L$2004,0)),"")</x:f>
      </x:c>
      <x:c r="K209" t="str">
        <x:f>IF(B209="","",IF(I209="확인 필요","붙임 문서 확인 후 거래 성격·기간·상대방·일회성 여부 확인","결의서명과 전기 대비 발생 건수·단가·시점 차이 검토"))</x:f>
      </x:c>
    </x:row>
    <x:row r="210">
      <x:c r="A210" t="str">
        <x:f>IFERROR(INDEX('계산도우미'!$A$5:$A$2004,MATCH(ROWS($A$6:A210),'계산도우미'!$L$5:$L$2004,0)),"")</x:f>
      </x:c>
      <x:c r="B210" t="str">
        <x:f>IFERROR(INDEX('계산도우미'!$B$5:$B$2004,MATCH(ROWS($A$6:A210),'계산도우미'!$L$5:$L$2004,0)),"")</x:f>
      </x:c>
      <x:c r="C210" t="str">
        <x:f>IFERROR(INDEX('계산도우미'!$C$5:$C$2004,MATCH(ROWS($A$6:A210),'계산도우미'!$L$5:$L$2004,0)),"")</x:f>
      </x:c>
      <x:c r="D210" s="67" t="str">
        <x:f>IFERROR(INDEX('계산도우미'!$D$5:$D$2004,MATCH(ROWS($A$6:A210),'계산도우미'!$L$5:$L$2004,0)),"")</x:f>
      </x:c>
      <x:c r="E210" t="str">
        <x:f>IFERROR(INDEX('계산도우미'!$E$5:$E$2004,MATCH(ROWS($A$6:A210),'계산도우미'!$L$5:$L$2004,0)),"")</x:f>
      </x:c>
      <x:c r="F210" t="str">
        <x:f>IFERROR(INDEX('계산도우미'!$F$5:$F$2004,MATCH(ROWS($A$6:A210),'계산도우미'!$L$5:$L$2004,0)),"")</x:f>
      </x:c>
      <x:c r="G210" s="68" t="str">
        <x:f>IFERROR(INDEX('계산도우미'!$G$5:$G$2004,MATCH(ROWS($A$6:A210),'계산도우미'!$L$5:$L$2004,0)),"")</x:f>
      </x:c>
      <x:c r="H210" t="str">
        <x:f>IFERROR(INDEX('계산도우미'!$H$5:$H$2004,MATCH(ROWS($A$6:A210),'계산도우미'!$L$5:$L$2004,0)),"")</x:f>
      </x:c>
      <x:c r="I210" t="str">
        <x:f>IFERROR(INDEX('계산도우미'!$I$5:$I$2004,MATCH(ROWS($A$6:A210),'계산도우미'!$L$5:$L$2004,0)),"")</x:f>
      </x:c>
      <x:c r="J210" t="str">
        <x:f>IFERROR(INDEX('계산도우미'!$J$5:$J$2004,MATCH(ROWS($A$6:A210),'계산도우미'!$L$5:$L$2004,0)),"")</x:f>
      </x:c>
      <x:c r="K210" t="str">
        <x:f>IF(B210="","",IF(I210="확인 필요","붙임 문서 확인 후 거래 성격·기간·상대방·일회성 여부 확인","결의서명과 전기 대비 발생 건수·단가·시점 차이 검토"))</x:f>
      </x:c>
    </x:row>
    <x:row r="211">
      <x:c r="A211" t="str">
        <x:f>IFERROR(INDEX('계산도우미'!$A$5:$A$2004,MATCH(ROWS($A$6:A211),'계산도우미'!$L$5:$L$2004,0)),"")</x:f>
      </x:c>
      <x:c r="B211" t="str">
        <x:f>IFERROR(INDEX('계산도우미'!$B$5:$B$2004,MATCH(ROWS($A$6:A211),'계산도우미'!$L$5:$L$2004,0)),"")</x:f>
      </x:c>
      <x:c r="C211" t="str">
        <x:f>IFERROR(INDEX('계산도우미'!$C$5:$C$2004,MATCH(ROWS($A$6:A211),'계산도우미'!$L$5:$L$2004,0)),"")</x:f>
      </x:c>
      <x:c r="D211" s="67" t="str">
        <x:f>IFERROR(INDEX('계산도우미'!$D$5:$D$2004,MATCH(ROWS($A$6:A211),'계산도우미'!$L$5:$L$2004,0)),"")</x:f>
      </x:c>
      <x:c r="E211" t="str">
        <x:f>IFERROR(INDEX('계산도우미'!$E$5:$E$2004,MATCH(ROWS($A$6:A211),'계산도우미'!$L$5:$L$2004,0)),"")</x:f>
      </x:c>
      <x:c r="F211" t="str">
        <x:f>IFERROR(INDEX('계산도우미'!$F$5:$F$2004,MATCH(ROWS($A$6:A211),'계산도우미'!$L$5:$L$2004,0)),"")</x:f>
      </x:c>
      <x:c r="G211" s="68" t="str">
        <x:f>IFERROR(INDEX('계산도우미'!$G$5:$G$2004,MATCH(ROWS($A$6:A211),'계산도우미'!$L$5:$L$2004,0)),"")</x:f>
      </x:c>
      <x:c r="H211" t="str">
        <x:f>IFERROR(INDEX('계산도우미'!$H$5:$H$2004,MATCH(ROWS($A$6:A211),'계산도우미'!$L$5:$L$2004,0)),"")</x:f>
      </x:c>
      <x:c r="I211" t="str">
        <x:f>IFERROR(INDEX('계산도우미'!$I$5:$I$2004,MATCH(ROWS($A$6:A211),'계산도우미'!$L$5:$L$2004,0)),"")</x:f>
      </x:c>
      <x:c r="J211" t="str">
        <x:f>IFERROR(INDEX('계산도우미'!$J$5:$J$2004,MATCH(ROWS($A$6:A211),'계산도우미'!$L$5:$L$2004,0)),"")</x:f>
      </x:c>
      <x:c r="K211" t="str">
        <x:f>IF(B211="","",IF(I211="확인 필요","붙임 문서 확인 후 거래 성격·기간·상대방·일회성 여부 확인","결의서명과 전기 대비 발생 건수·단가·시점 차이 검토"))</x:f>
      </x:c>
    </x:row>
    <x:row r="212">
      <x:c r="A212" t="str">
        <x:f>IFERROR(INDEX('계산도우미'!$A$5:$A$2004,MATCH(ROWS($A$6:A212),'계산도우미'!$L$5:$L$2004,0)),"")</x:f>
      </x:c>
      <x:c r="B212" t="str">
        <x:f>IFERROR(INDEX('계산도우미'!$B$5:$B$2004,MATCH(ROWS($A$6:A212),'계산도우미'!$L$5:$L$2004,0)),"")</x:f>
      </x:c>
      <x:c r="C212" t="str">
        <x:f>IFERROR(INDEX('계산도우미'!$C$5:$C$2004,MATCH(ROWS($A$6:A212),'계산도우미'!$L$5:$L$2004,0)),"")</x:f>
      </x:c>
      <x:c r="D212" s="67" t="str">
        <x:f>IFERROR(INDEX('계산도우미'!$D$5:$D$2004,MATCH(ROWS($A$6:A212),'계산도우미'!$L$5:$L$2004,0)),"")</x:f>
      </x:c>
      <x:c r="E212" t="str">
        <x:f>IFERROR(INDEX('계산도우미'!$E$5:$E$2004,MATCH(ROWS($A$6:A212),'계산도우미'!$L$5:$L$2004,0)),"")</x:f>
      </x:c>
      <x:c r="F212" t="str">
        <x:f>IFERROR(INDEX('계산도우미'!$F$5:$F$2004,MATCH(ROWS($A$6:A212),'계산도우미'!$L$5:$L$2004,0)),"")</x:f>
      </x:c>
      <x:c r="G212" s="68" t="str">
        <x:f>IFERROR(INDEX('계산도우미'!$G$5:$G$2004,MATCH(ROWS($A$6:A212),'계산도우미'!$L$5:$L$2004,0)),"")</x:f>
      </x:c>
      <x:c r="H212" t="str">
        <x:f>IFERROR(INDEX('계산도우미'!$H$5:$H$2004,MATCH(ROWS($A$6:A212),'계산도우미'!$L$5:$L$2004,0)),"")</x:f>
      </x:c>
      <x:c r="I212" t="str">
        <x:f>IFERROR(INDEX('계산도우미'!$I$5:$I$2004,MATCH(ROWS($A$6:A212),'계산도우미'!$L$5:$L$2004,0)),"")</x:f>
      </x:c>
      <x:c r="J212" t="str">
        <x:f>IFERROR(INDEX('계산도우미'!$J$5:$J$2004,MATCH(ROWS($A$6:A212),'계산도우미'!$L$5:$L$2004,0)),"")</x:f>
      </x:c>
      <x:c r="K212" t="str">
        <x:f>IF(B212="","",IF(I212="확인 필요","붙임 문서 확인 후 거래 성격·기간·상대방·일회성 여부 확인","결의서명과 전기 대비 발생 건수·단가·시점 차이 검토"))</x:f>
      </x:c>
    </x:row>
    <x:row r="213">
      <x:c r="A213" t="str">
        <x:f>IFERROR(INDEX('계산도우미'!$A$5:$A$2004,MATCH(ROWS($A$6:A213),'계산도우미'!$L$5:$L$2004,0)),"")</x:f>
      </x:c>
      <x:c r="B213" t="str">
        <x:f>IFERROR(INDEX('계산도우미'!$B$5:$B$2004,MATCH(ROWS($A$6:A213),'계산도우미'!$L$5:$L$2004,0)),"")</x:f>
      </x:c>
      <x:c r="C213" t="str">
        <x:f>IFERROR(INDEX('계산도우미'!$C$5:$C$2004,MATCH(ROWS($A$6:A213),'계산도우미'!$L$5:$L$2004,0)),"")</x:f>
      </x:c>
      <x:c r="D213" s="67" t="str">
        <x:f>IFERROR(INDEX('계산도우미'!$D$5:$D$2004,MATCH(ROWS($A$6:A213),'계산도우미'!$L$5:$L$2004,0)),"")</x:f>
      </x:c>
      <x:c r="E213" t="str">
        <x:f>IFERROR(INDEX('계산도우미'!$E$5:$E$2004,MATCH(ROWS($A$6:A213),'계산도우미'!$L$5:$L$2004,0)),"")</x:f>
      </x:c>
      <x:c r="F213" t="str">
        <x:f>IFERROR(INDEX('계산도우미'!$F$5:$F$2004,MATCH(ROWS($A$6:A213),'계산도우미'!$L$5:$L$2004,0)),"")</x:f>
      </x:c>
      <x:c r="G213" s="68" t="str">
        <x:f>IFERROR(INDEX('계산도우미'!$G$5:$G$2004,MATCH(ROWS($A$6:A213),'계산도우미'!$L$5:$L$2004,0)),"")</x:f>
      </x:c>
      <x:c r="H213" t="str">
        <x:f>IFERROR(INDEX('계산도우미'!$H$5:$H$2004,MATCH(ROWS($A$6:A213),'계산도우미'!$L$5:$L$2004,0)),"")</x:f>
      </x:c>
      <x:c r="I213" t="str">
        <x:f>IFERROR(INDEX('계산도우미'!$I$5:$I$2004,MATCH(ROWS($A$6:A213),'계산도우미'!$L$5:$L$2004,0)),"")</x:f>
      </x:c>
      <x:c r="J213" t="str">
        <x:f>IFERROR(INDEX('계산도우미'!$J$5:$J$2004,MATCH(ROWS($A$6:A213),'계산도우미'!$L$5:$L$2004,0)),"")</x:f>
      </x:c>
      <x:c r="K213" t="str">
        <x:f>IF(B213="","",IF(I213="확인 필요","붙임 문서 확인 후 거래 성격·기간·상대방·일회성 여부 확인","결의서명과 전기 대비 발생 건수·단가·시점 차이 검토"))</x:f>
      </x:c>
    </x:row>
    <x:row r="214">
      <x:c r="A214" t="str">
        <x:f>IFERROR(INDEX('계산도우미'!$A$5:$A$2004,MATCH(ROWS($A$6:A214),'계산도우미'!$L$5:$L$2004,0)),"")</x:f>
      </x:c>
      <x:c r="B214" t="str">
        <x:f>IFERROR(INDEX('계산도우미'!$B$5:$B$2004,MATCH(ROWS($A$6:A214),'계산도우미'!$L$5:$L$2004,0)),"")</x:f>
      </x:c>
      <x:c r="C214" t="str">
        <x:f>IFERROR(INDEX('계산도우미'!$C$5:$C$2004,MATCH(ROWS($A$6:A214),'계산도우미'!$L$5:$L$2004,0)),"")</x:f>
      </x:c>
      <x:c r="D214" s="67" t="str">
        <x:f>IFERROR(INDEX('계산도우미'!$D$5:$D$2004,MATCH(ROWS($A$6:A214),'계산도우미'!$L$5:$L$2004,0)),"")</x:f>
      </x:c>
      <x:c r="E214" t="str">
        <x:f>IFERROR(INDEX('계산도우미'!$E$5:$E$2004,MATCH(ROWS($A$6:A214),'계산도우미'!$L$5:$L$2004,0)),"")</x:f>
      </x:c>
      <x:c r="F214" t="str">
        <x:f>IFERROR(INDEX('계산도우미'!$F$5:$F$2004,MATCH(ROWS($A$6:A214),'계산도우미'!$L$5:$L$2004,0)),"")</x:f>
      </x:c>
      <x:c r="G214" s="68" t="str">
        <x:f>IFERROR(INDEX('계산도우미'!$G$5:$G$2004,MATCH(ROWS($A$6:A214),'계산도우미'!$L$5:$L$2004,0)),"")</x:f>
      </x:c>
      <x:c r="H214" t="str">
        <x:f>IFERROR(INDEX('계산도우미'!$H$5:$H$2004,MATCH(ROWS($A$6:A214),'계산도우미'!$L$5:$L$2004,0)),"")</x:f>
      </x:c>
      <x:c r="I214" t="str">
        <x:f>IFERROR(INDEX('계산도우미'!$I$5:$I$2004,MATCH(ROWS($A$6:A214),'계산도우미'!$L$5:$L$2004,0)),"")</x:f>
      </x:c>
      <x:c r="J214" t="str">
        <x:f>IFERROR(INDEX('계산도우미'!$J$5:$J$2004,MATCH(ROWS($A$6:A214),'계산도우미'!$L$5:$L$2004,0)),"")</x:f>
      </x:c>
      <x:c r="K214" t="str">
        <x:f>IF(B214="","",IF(I214="확인 필요","붙임 문서 확인 후 거래 성격·기간·상대방·일회성 여부 확인","결의서명과 전기 대비 발생 건수·단가·시점 차이 검토"))</x:f>
      </x:c>
    </x:row>
    <x:row r="215">
      <x:c r="A215" t="str">
        <x:f>IFERROR(INDEX('계산도우미'!$A$5:$A$2004,MATCH(ROWS($A$6:A215),'계산도우미'!$L$5:$L$2004,0)),"")</x:f>
      </x:c>
      <x:c r="B215" t="str">
        <x:f>IFERROR(INDEX('계산도우미'!$B$5:$B$2004,MATCH(ROWS($A$6:A215),'계산도우미'!$L$5:$L$2004,0)),"")</x:f>
      </x:c>
      <x:c r="C215" t="str">
        <x:f>IFERROR(INDEX('계산도우미'!$C$5:$C$2004,MATCH(ROWS($A$6:A215),'계산도우미'!$L$5:$L$2004,0)),"")</x:f>
      </x:c>
      <x:c r="D215" s="67" t="str">
        <x:f>IFERROR(INDEX('계산도우미'!$D$5:$D$2004,MATCH(ROWS($A$6:A215),'계산도우미'!$L$5:$L$2004,0)),"")</x:f>
      </x:c>
      <x:c r="E215" t="str">
        <x:f>IFERROR(INDEX('계산도우미'!$E$5:$E$2004,MATCH(ROWS($A$6:A215),'계산도우미'!$L$5:$L$2004,0)),"")</x:f>
      </x:c>
      <x:c r="F215" t="str">
        <x:f>IFERROR(INDEX('계산도우미'!$F$5:$F$2004,MATCH(ROWS($A$6:A215),'계산도우미'!$L$5:$L$2004,0)),"")</x:f>
      </x:c>
      <x:c r="G215" s="68" t="str">
        <x:f>IFERROR(INDEX('계산도우미'!$G$5:$G$2004,MATCH(ROWS($A$6:A215),'계산도우미'!$L$5:$L$2004,0)),"")</x:f>
      </x:c>
      <x:c r="H215" t="str">
        <x:f>IFERROR(INDEX('계산도우미'!$H$5:$H$2004,MATCH(ROWS($A$6:A215),'계산도우미'!$L$5:$L$2004,0)),"")</x:f>
      </x:c>
      <x:c r="I215" t="str">
        <x:f>IFERROR(INDEX('계산도우미'!$I$5:$I$2004,MATCH(ROWS($A$6:A215),'계산도우미'!$L$5:$L$2004,0)),"")</x:f>
      </x:c>
      <x:c r="J215" t="str">
        <x:f>IFERROR(INDEX('계산도우미'!$J$5:$J$2004,MATCH(ROWS($A$6:A215),'계산도우미'!$L$5:$L$2004,0)),"")</x:f>
      </x:c>
      <x:c r="K215" t="str">
        <x:f>IF(B215="","",IF(I215="확인 필요","붙임 문서 확인 후 거래 성격·기간·상대방·일회성 여부 확인","결의서명과 전기 대비 발생 건수·단가·시점 차이 검토"))</x:f>
      </x:c>
    </x:row>
    <x:row r="216">
      <x:c r="A216" t="str">
        <x:f>IFERROR(INDEX('계산도우미'!$A$5:$A$2004,MATCH(ROWS($A$6:A216),'계산도우미'!$L$5:$L$2004,0)),"")</x:f>
      </x:c>
      <x:c r="B216" t="str">
        <x:f>IFERROR(INDEX('계산도우미'!$B$5:$B$2004,MATCH(ROWS($A$6:A216),'계산도우미'!$L$5:$L$2004,0)),"")</x:f>
      </x:c>
      <x:c r="C216" t="str">
        <x:f>IFERROR(INDEX('계산도우미'!$C$5:$C$2004,MATCH(ROWS($A$6:A216),'계산도우미'!$L$5:$L$2004,0)),"")</x:f>
      </x:c>
      <x:c r="D216" s="67" t="str">
        <x:f>IFERROR(INDEX('계산도우미'!$D$5:$D$2004,MATCH(ROWS($A$6:A216),'계산도우미'!$L$5:$L$2004,0)),"")</x:f>
      </x:c>
      <x:c r="E216" t="str">
        <x:f>IFERROR(INDEX('계산도우미'!$E$5:$E$2004,MATCH(ROWS($A$6:A216),'계산도우미'!$L$5:$L$2004,0)),"")</x:f>
      </x:c>
      <x:c r="F216" t="str">
        <x:f>IFERROR(INDEX('계산도우미'!$F$5:$F$2004,MATCH(ROWS($A$6:A216),'계산도우미'!$L$5:$L$2004,0)),"")</x:f>
      </x:c>
      <x:c r="G216" s="68" t="str">
        <x:f>IFERROR(INDEX('계산도우미'!$G$5:$G$2004,MATCH(ROWS($A$6:A216),'계산도우미'!$L$5:$L$2004,0)),"")</x:f>
      </x:c>
      <x:c r="H216" t="str">
        <x:f>IFERROR(INDEX('계산도우미'!$H$5:$H$2004,MATCH(ROWS($A$6:A216),'계산도우미'!$L$5:$L$2004,0)),"")</x:f>
      </x:c>
      <x:c r="I216" t="str">
        <x:f>IFERROR(INDEX('계산도우미'!$I$5:$I$2004,MATCH(ROWS($A$6:A216),'계산도우미'!$L$5:$L$2004,0)),"")</x:f>
      </x:c>
      <x:c r="J216" t="str">
        <x:f>IFERROR(INDEX('계산도우미'!$J$5:$J$2004,MATCH(ROWS($A$6:A216),'계산도우미'!$L$5:$L$2004,0)),"")</x:f>
      </x:c>
      <x:c r="K216" t="str">
        <x:f>IF(B216="","",IF(I216="확인 필요","붙임 문서 확인 후 거래 성격·기간·상대방·일회성 여부 확인","결의서명과 전기 대비 발생 건수·단가·시점 차이 검토"))</x:f>
      </x:c>
    </x:row>
    <x:row r="217">
      <x:c r="A217" t="str">
        <x:f>IFERROR(INDEX('계산도우미'!$A$5:$A$2004,MATCH(ROWS($A$6:A217),'계산도우미'!$L$5:$L$2004,0)),"")</x:f>
      </x:c>
      <x:c r="B217" t="str">
        <x:f>IFERROR(INDEX('계산도우미'!$B$5:$B$2004,MATCH(ROWS($A$6:A217),'계산도우미'!$L$5:$L$2004,0)),"")</x:f>
      </x:c>
      <x:c r="C217" t="str">
        <x:f>IFERROR(INDEX('계산도우미'!$C$5:$C$2004,MATCH(ROWS($A$6:A217),'계산도우미'!$L$5:$L$2004,0)),"")</x:f>
      </x:c>
      <x:c r="D217" s="67" t="str">
        <x:f>IFERROR(INDEX('계산도우미'!$D$5:$D$2004,MATCH(ROWS($A$6:A217),'계산도우미'!$L$5:$L$2004,0)),"")</x:f>
      </x:c>
      <x:c r="E217" t="str">
        <x:f>IFERROR(INDEX('계산도우미'!$E$5:$E$2004,MATCH(ROWS($A$6:A217),'계산도우미'!$L$5:$L$2004,0)),"")</x:f>
      </x:c>
      <x:c r="F217" t="str">
        <x:f>IFERROR(INDEX('계산도우미'!$F$5:$F$2004,MATCH(ROWS($A$6:A217),'계산도우미'!$L$5:$L$2004,0)),"")</x:f>
      </x:c>
      <x:c r="G217" s="68" t="str">
        <x:f>IFERROR(INDEX('계산도우미'!$G$5:$G$2004,MATCH(ROWS($A$6:A217),'계산도우미'!$L$5:$L$2004,0)),"")</x:f>
      </x:c>
      <x:c r="H217" t="str">
        <x:f>IFERROR(INDEX('계산도우미'!$H$5:$H$2004,MATCH(ROWS($A$6:A217),'계산도우미'!$L$5:$L$2004,0)),"")</x:f>
      </x:c>
      <x:c r="I217" t="str">
        <x:f>IFERROR(INDEX('계산도우미'!$I$5:$I$2004,MATCH(ROWS($A$6:A217),'계산도우미'!$L$5:$L$2004,0)),"")</x:f>
      </x:c>
      <x:c r="J217" t="str">
        <x:f>IFERROR(INDEX('계산도우미'!$J$5:$J$2004,MATCH(ROWS($A$6:A217),'계산도우미'!$L$5:$L$2004,0)),"")</x:f>
      </x:c>
      <x:c r="K217" t="str">
        <x:f>IF(B217="","",IF(I217="확인 필요","붙임 문서 확인 후 거래 성격·기간·상대방·일회성 여부 확인","결의서명과 전기 대비 발생 건수·단가·시점 차이 검토"))</x:f>
      </x:c>
    </x:row>
    <x:row r="218">
      <x:c r="A218" t="str">
        <x:f>IFERROR(INDEX('계산도우미'!$A$5:$A$2004,MATCH(ROWS($A$6:A218),'계산도우미'!$L$5:$L$2004,0)),"")</x:f>
      </x:c>
      <x:c r="B218" t="str">
        <x:f>IFERROR(INDEX('계산도우미'!$B$5:$B$2004,MATCH(ROWS($A$6:A218),'계산도우미'!$L$5:$L$2004,0)),"")</x:f>
      </x:c>
      <x:c r="C218" t="str">
        <x:f>IFERROR(INDEX('계산도우미'!$C$5:$C$2004,MATCH(ROWS($A$6:A218),'계산도우미'!$L$5:$L$2004,0)),"")</x:f>
      </x:c>
      <x:c r="D218" s="67" t="str">
        <x:f>IFERROR(INDEX('계산도우미'!$D$5:$D$2004,MATCH(ROWS($A$6:A218),'계산도우미'!$L$5:$L$2004,0)),"")</x:f>
      </x:c>
      <x:c r="E218" t="str">
        <x:f>IFERROR(INDEX('계산도우미'!$E$5:$E$2004,MATCH(ROWS($A$6:A218),'계산도우미'!$L$5:$L$2004,0)),"")</x:f>
      </x:c>
      <x:c r="F218" t="str">
        <x:f>IFERROR(INDEX('계산도우미'!$F$5:$F$2004,MATCH(ROWS($A$6:A218),'계산도우미'!$L$5:$L$2004,0)),"")</x:f>
      </x:c>
      <x:c r="G218" s="68" t="str">
        <x:f>IFERROR(INDEX('계산도우미'!$G$5:$G$2004,MATCH(ROWS($A$6:A218),'계산도우미'!$L$5:$L$2004,0)),"")</x:f>
      </x:c>
      <x:c r="H218" t="str">
        <x:f>IFERROR(INDEX('계산도우미'!$H$5:$H$2004,MATCH(ROWS($A$6:A218),'계산도우미'!$L$5:$L$2004,0)),"")</x:f>
      </x:c>
      <x:c r="I218" t="str">
        <x:f>IFERROR(INDEX('계산도우미'!$I$5:$I$2004,MATCH(ROWS($A$6:A218),'계산도우미'!$L$5:$L$2004,0)),"")</x:f>
      </x:c>
      <x:c r="J218" t="str">
        <x:f>IFERROR(INDEX('계산도우미'!$J$5:$J$2004,MATCH(ROWS($A$6:A218),'계산도우미'!$L$5:$L$2004,0)),"")</x:f>
      </x:c>
      <x:c r="K218" t="str">
        <x:f>IF(B218="","",IF(I218="확인 필요","붙임 문서 확인 후 거래 성격·기간·상대방·일회성 여부 확인","결의서명과 전기 대비 발생 건수·단가·시점 차이 검토"))</x:f>
      </x:c>
    </x:row>
    <x:row r="219">
      <x:c r="A219" t="str">
        <x:f>IFERROR(INDEX('계산도우미'!$A$5:$A$2004,MATCH(ROWS($A$6:A219),'계산도우미'!$L$5:$L$2004,0)),"")</x:f>
      </x:c>
      <x:c r="B219" t="str">
        <x:f>IFERROR(INDEX('계산도우미'!$B$5:$B$2004,MATCH(ROWS($A$6:A219),'계산도우미'!$L$5:$L$2004,0)),"")</x:f>
      </x:c>
      <x:c r="C219" t="str">
        <x:f>IFERROR(INDEX('계산도우미'!$C$5:$C$2004,MATCH(ROWS($A$6:A219),'계산도우미'!$L$5:$L$2004,0)),"")</x:f>
      </x:c>
      <x:c r="D219" s="67" t="str">
        <x:f>IFERROR(INDEX('계산도우미'!$D$5:$D$2004,MATCH(ROWS($A$6:A219),'계산도우미'!$L$5:$L$2004,0)),"")</x:f>
      </x:c>
      <x:c r="E219" t="str">
        <x:f>IFERROR(INDEX('계산도우미'!$E$5:$E$2004,MATCH(ROWS($A$6:A219),'계산도우미'!$L$5:$L$2004,0)),"")</x:f>
      </x:c>
      <x:c r="F219" t="str">
        <x:f>IFERROR(INDEX('계산도우미'!$F$5:$F$2004,MATCH(ROWS($A$6:A219),'계산도우미'!$L$5:$L$2004,0)),"")</x:f>
      </x:c>
      <x:c r="G219" s="68" t="str">
        <x:f>IFERROR(INDEX('계산도우미'!$G$5:$G$2004,MATCH(ROWS($A$6:A219),'계산도우미'!$L$5:$L$2004,0)),"")</x:f>
      </x:c>
      <x:c r="H219" t="str">
        <x:f>IFERROR(INDEX('계산도우미'!$H$5:$H$2004,MATCH(ROWS($A$6:A219),'계산도우미'!$L$5:$L$2004,0)),"")</x:f>
      </x:c>
      <x:c r="I219" t="str">
        <x:f>IFERROR(INDEX('계산도우미'!$I$5:$I$2004,MATCH(ROWS($A$6:A219),'계산도우미'!$L$5:$L$2004,0)),"")</x:f>
      </x:c>
      <x:c r="J219" t="str">
        <x:f>IFERROR(INDEX('계산도우미'!$J$5:$J$2004,MATCH(ROWS($A$6:A219),'계산도우미'!$L$5:$L$2004,0)),"")</x:f>
      </x:c>
      <x:c r="K219" t="str">
        <x:f>IF(B219="","",IF(I219="확인 필요","붙임 문서 확인 후 거래 성격·기간·상대방·일회성 여부 확인","결의서명과 전기 대비 발생 건수·단가·시점 차이 검토"))</x:f>
      </x:c>
    </x:row>
    <x:row r="220">
      <x:c r="A220" t="str">
        <x:f>IFERROR(INDEX('계산도우미'!$A$5:$A$2004,MATCH(ROWS($A$6:A220),'계산도우미'!$L$5:$L$2004,0)),"")</x:f>
      </x:c>
      <x:c r="B220" t="str">
        <x:f>IFERROR(INDEX('계산도우미'!$B$5:$B$2004,MATCH(ROWS($A$6:A220),'계산도우미'!$L$5:$L$2004,0)),"")</x:f>
      </x:c>
      <x:c r="C220" t="str">
        <x:f>IFERROR(INDEX('계산도우미'!$C$5:$C$2004,MATCH(ROWS($A$6:A220),'계산도우미'!$L$5:$L$2004,0)),"")</x:f>
      </x:c>
      <x:c r="D220" s="67" t="str">
        <x:f>IFERROR(INDEX('계산도우미'!$D$5:$D$2004,MATCH(ROWS($A$6:A220),'계산도우미'!$L$5:$L$2004,0)),"")</x:f>
      </x:c>
      <x:c r="E220" t="str">
        <x:f>IFERROR(INDEX('계산도우미'!$E$5:$E$2004,MATCH(ROWS($A$6:A220),'계산도우미'!$L$5:$L$2004,0)),"")</x:f>
      </x:c>
      <x:c r="F220" t="str">
        <x:f>IFERROR(INDEX('계산도우미'!$F$5:$F$2004,MATCH(ROWS($A$6:A220),'계산도우미'!$L$5:$L$2004,0)),"")</x:f>
      </x:c>
      <x:c r="G220" s="68" t="str">
        <x:f>IFERROR(INDEX('계산도우미'!$G$5:$G$2004,MATCH(ROWS($A$6:A220),'계산도우미'!$L$5:$L$2004,0)),"")</x:f>
      </x:c>
      <x:c r="H220" t="str">
        <x:f>IFERROR(INDEX('계산도우미'!$H$5:$H$2004,MATCH(ROWS($A$6:A220),'계산도우미'!$L$5:$L$2004,0)),"")</x:f>
      </x:c>
      <x:c r="I220" t="str">
        <x:f>IFERROR(INDEX('계산도우미'!$I$5:$I$2004,MATCH(ROWS($A$6:A220),'계산도우미'!$L$5:$L$2004,0)),"")</x:f>
      </x:c>
      <x:c r="J220" t="str">
        <x:f>IFERROR(INDEX('계산도우미'!$J$5:$J$2004,MATCH(ROWS($A$6:A220),'계산도우미'!$L$5:$L$2004,0)),"")</x:f>
      </x:c>
      <x:c r="K220" t="str">
        <x:f>IF(B220="","",IF(I220="확인 필요","붙임 문서 확인 후 거래 성격·기간·상대방·일회성 여부 확인","결의서명과 전기 대비 발생 건수·단가·시점 차이 검토"))</x:f>
      </x:c>
    </x:row>
    <x:row r="221">
      <x:c r="A221" t="str">
        <x:f>IFERROR(INDEX('계산도우미'!$A$5:$A$2004,MATCH(ROWS($A$6:A221),'계산도우미'!$L$5:$L$2004,0)),"")</x:f>
      </x:c>
      <x:c r="B221" t="str">
        <x:f>IFERROR(INDEX('계산도우미'!$B$5:$B$2004,MATCH(ROWS($A$6:A221),'계산도우미'!$L$5:$L$2004,0)),"")</x:f>
      </x:c>
      <x:c r="C221" t="str">
        <x:f>IFERROR(INDEX('계산도우미'!$C$5:$C$2004,MATCH(ROWS($A$6:A221),'계산도우미'!$L$5:$L$2004,0)),"")</x:f>
      </x:c>
      <x:c r="D221" s="67" t="str">
        <x:f>IFERROR(INDEX('계산도우미'!$D$5:$D$2004,MATCH(ROWS($A$6:A221),'계산도우미'!$L$5:$L$2004,0)),"")</x:f>
      </x:c>
      <x:c r="E221" t="str">
        <x:f>IFERROR(INDEX('계산도우미'!$E$5:$E$2004,MATCH(ROWS($A$6:A221),'계산도우미'!$L$5:$L$2004,0)),"")</x:f>
      </x:c>
      <x:c r="F221" t="str">
        <x:f>IFERROR(INDEX('계산도우미'!$F$5:$F$2004,MATCH(ROWS($A$6:A221),'계산도우미'!$L$5:$L$2004,0)),"")</x:f>
      </x:c>
      <x:c r="G221" s="68" t="str">
        <x:f>IFERROR(INDEX('계산도우미'!$G$5:$G$2004,MATCH(ROWS($A$6:A221),'계산도우미'!$L$5:$L$2004,0)),"")</x:f>
      </x:c>
      <x:c r="H221" t="str">
        <x:f>IFERROR(INDEX('계산도우미'!$H$5:$H$2004,MATCH(ROWS($A$6:A221),'계산도우미'!$L$5:$L$2004,0)),"")</x:f>
      </x:c>
      <x:c r="I221" t="str">
        <x:f>IFERROR(INDEX('계산도우미'!$I$5:$I$2004,MATCH(ROWS($A$6:A221),'계산도우미'!$L$5:$L$2004,0)),"")</x:f>
      </x:c>
      <x:c r="J221" t="str">
        <x:f>IFERROR(INDEX('계산도우미'!$J$5:$J$2004,MATCH(ROWS($A$6:A221),'계산도우미'!$L$5:$L$2004,0)),"")</x:f>
      </x:c>
      <x:c r="K221" t="str">
        <x:f>IF(B221="","",IF(I221="확인 필요","붙임 문서 확인 후 거래 성격·기간·상대방·일회성 여부 확인","결의서명과 전기 대비 발생 건수·단가·시점 차이 검토"))</x:f>
      </x:c>
    </x:row>
    <x:row r="222">
      <x:c r="A222" t="str">
        <x:f>IFERROR(INDEX('계산도우미'!$A$5:$A$2004,MATCH(ROWS($A$6:A222),'계산도우미'!$L$5:$L$2004,0)),"")</x:f>
      </x:c>
      <x:c r="B222" t="str">
        <x:f>IFERROR(INDEX('계산도우미'!$B$5:$B$2004,MATCH(ROWS($A$6:A222),'계산도우미'!$L$5:$L$2004,0)),"")</x:f>
      </x:c>
      <x:c r="C222" t="str">
        <x:f>IFERROR(INDEX('계산도우미'!$C$5:$C$2004,MATCH(ROWS($A$6:A222),'계산도우미'!$L$5:$L$2004,0)),"")</x:f>
      </x:c>
      <x:c r="D222" s="67" t="str">
        <x:f>IFERROR(INDEX('계산도우미'!$D$5:$D$2004,MATCH(ROWS($A$6:A222),'계산도우미'!$L$5:$L$2004,0)),"")</x:f>
      </x:c>
      <x:c r="E222" t="str">
        <x:f>IFERROR(INDEX('계산도우미'!$E$5:$E$2004,MATCH(ROWS($A$6:A222),'계산도우미'!$L$5:$L$2004,0)),"")</x:f>
      </x:c>
      <x:c r="F222" t="str">
        <x:f>IFERROR(INDEX('계산도우미'!$F$5:$F$2004,MATCH(ROWS($A$6:A222),'계산도우미'!$L$5:$L$2004,0)),"")</x:f>
      </x:c>
      <x:c r="G222" s="68" t="str">
        <x:f>IFERROR(INDEX('계산도우미'!$G$5:$G$2004,MATCH(ROWS($A$6:A222),'계산도우미'!$L$5:$L$2004,0)),"")</x:f>
      </x:c>
      <x:c r="H222" t="str">
        <x:f>IFERROR(INDEX('계산도우미'!$H$5:$H$2004,MATCH(ROWS($A$6:A222),'계산도우미'!$L$5:$L$2004,0)),"")</x:f>
      </x:c>
      <x:c r="I222" t="str">
        <x:f>IFERROR(INDEX('계산도우미'!$I$5:$I$2004,MATCH(ROWS($A$6:A222),'계산도우미'!$L$5:$L$2004,0)),"")</x:f>
      </x:c>
      <x:c r="J222" t="str">
        <x:f>IFERROR(INDEX('계산도우미'!$J$5:$J$2004,MATCH(ROWS($A$6:A222),'계산도우미'!$L$5:$L$2004,0)),"")</x:f>
      </x:c>
      <x:c r="K222" t="str">
        <x:f>IF(B222="","",IF(I222="확인 필요","붙임 문서 확인 후 거래 성격·기간·상대방·일회성 여부 확인","결의서명과 전기 대비 발생 건수·단가·시점 차이 검토"))</x:f>
      </x:c>
    </x:row>
    <x:row r="223">
      <x:c r="A223" t="str">
        <x:f>IFERROR(INDEX('계산도우미'!$A$5:$A$2004,MATCH(ROWS($A$6:A223),'계산도우미'!$L$5:$L$2004,0)),"")</x:f>
      </x:c>
      <x:c r="B223" t="str">
        <x:f>IFERROR(INDEX('계산도우미'!$B$5:$B$2004,MATCH(ROWS($A$6:A223),'계산도우미'!$L$5:$L$2004,0)),"")</x:f>
      </x:c>
      <x:c r="C223" t="str">
        <x:f>IFERROR(INDEX('계산도우미'!$C$5:$C$2004,MATCH(ROWS($A$6:A223),'계산도우미'!$L$5:$L$2004,0)),"")</x:f>
      </x:c>
      <x:c r="D223" s="67" t="str">
        <x:f>IFERROR(INDEX('계산도우미'!$D$5:$D$2004,MATCH(ROWS($A$6:A223),'계산도우미'!$L$5:$L$2004,0)),"")</x:f>
      </x:c>
      <x:c r="E223" t="str">
        <x:f>IFERROR(INDEX('계산도우미'!$E$5:$E$2004,MATCH(ROWS($A$6:A223),'계산도우미'!$L$5:$L$2004,0)),"")</x:f>
      </x:c>
      <x:c r="F223" t="str">
        <x:f>IFERROR(INDEX('계산도우미'!$F$5:$F$2004,MATCH(ROWS($A$6:A223),'계산도우미'!$L$5:$L$2004,0)),"")</x:f>
      </x:c>
      <x:c r="G223" s="68" t="str">
        <x:f>IFERROR(INDEX('계산도우미'!$G$5:$G$2004,MATCH(ROWS($A$6:A223),'계산도우미'!$L$5:$L$2004,0)),"")</x:f>
      </x:c>
      <x:c r="H223" t="str">
        <x:f>IFERROR(INDEX('계산도우미'!$H$5:$H$2004,MATCH(ROWS($A$6:A223),'계산도우미'!$L$5:$L$2004,0)),"")</x:f>
      </x:c>
      <x:c r="I223" t="str">
        <x:f>IFERROR(INDEX('계산도우미'!$I$5:$I$2004,MATCH(ROWS($A$6:A223),'계산도우미'!$L$5:$L$2004,0)),"")</x:f>
      </x:c>
      <x:c r="J223" t="str">
        <x:f>IFERROR(INDEX('계산도우미'!$J$5:$J$2004,MATCH(ROWS($A$6:A223),'계산도우미'!$L$5:$L$2004,0)),"")</x:f>
      </x:c>
      <x:c r="K223" t="str">
        <x:f>IF(B223="","",IF(I223="확인 필요","붙임 문서 확인 후 거래 성격·기간·상대방·일회성 여부 확인","결의서명과 전기 대비 발생 건수·단가·시점 차이 검토"))</x:f>
      </x:c>
    </x:row>
    <x:row r="224">
      <x:c r="A224" t="str">
        <x:f>IFERROR(INDEX('계산도우미'!$A$5:$A$2004,MATCH(ROWS($A$6:A224),'계산도우미'!$L$5:$L$2004,0)),"")</x:f>
      </x:c>
      <x:c r="B224" t="str">
        <x:f>IFERROR(INDEX('계산도우미'!$B$5:$B$2004,MATCH(ROWS($A$6:A224),'계산도우미'!$L$5:$L$2004,0)),"")</x:f>
      </x:c>
      <x:c r="C224" t="str">
        <x:f>IFERROR(INDEX('계산도우미'!$C$5:$C$2004,MATCH(ROWS($A$6:A224),'계산도우미'!$L$5:$L$2004,0)),"")</x:f>
      </x:c>
      <x:c r="D224" s="67" t="str">
        <x:f>IFERROR(INDEX('계산도우미'!$D$5:$D$2004,MATCH(ROWS($A$6:A224),'계산도우미'!$L$5:$L$2004,0)),"")</x:f>
      </x:c>
      <x:c r="E224" t="str">
        <x:f>IFERROR(INDEX('계산도우미'!$E$5:$E$2004,MATCH(ROWS($A$6:A224),'계산도우미'!$L$5:$L$2004,0)),"")</x:f>
      </x:c>
      <x:c r="F224" t="str">
        <x:f>IFERROR(INDEX('계산도우미'!$F$5:$F$2004,MATCH(ROWS($A$6:A224),'계산도우미'!$L$5:$L$2004,0)),"")</x:f>
      </x:c>
      <x:c r="G224" s="68" t="str">
        <x:f>IFERROR(INDEX('계산도우미'!$G$5:$G$2004,MATCH(ROWS($A$6:A224),'계산도우미'!$L$5:$L$2004,0)),"")</x:f>
      </x:c>
      <x:c r="H224" t="str">
        <x:f>IFERROR(INDEX('계산도우미'!$H$5:$H$2004,MATCH(ROWS($A$6:A224),'계산도우미'!$L$5:$L$2004,0)),"")</x:f>
      </x:c>
      <x:c r="I224" t="str">
        <x:f>IFERROR(INDEX('계산도우미'!$I$5:$I$2004,MATCH(ROWS($A$6:A224),'계산도우미'!$L$5:$L$2004,0)),"")</x:f>
      </x:c>
      <x:c r="J224" t="str">
        <x:f>IFERROR(INDEX('계산도우미'!$J$5:$J$2004,MATCH(ROWS($A$6:A224),'계산도우미'!$L$5:$L$2004,0)),"")</x:f>
      </x:c>
      <x:c r="K224" t="str">
        <x:f>IF(B224="","",IF(I224="확인 필요","붙임 문서 확인 후 거래 성격·기간·상대방·일회성 여부 확인","결의서명과 전기 대비 발생 건수·단가·시점 차이 검토"))</x:f>
      </x:c>
    </x:row>
    <x:row r="225">
      <x:c r="A225" t="str">
        <x:f>IFERROR(INDEX('계산도우미'!$A$5:$A$2004,MATCH(ROWS($A$6:A225),'계산도우미'!$L$5:$L$2004,0)),"")</x:f>
      </x:c>
      <x:c r="B225" t="str">
        <x:f>IFERROR(INDEX('계산도우미'!$B$5:$B$2004,MATCH(ROWS($A$6:A225),'계산도우미'!$L$5:$L$2004,0)),"")</x:f>
      </x:c>
      <x:c r="C225" t="str">
        <x:f>IFERROR(INDEX('계산도우미'!$C$5:$C$2004,MATCH(ROWS($A$6:A225),'계산도우미'!$L$5:$L$2004,0)),"")</x:f>
      </x:c>
      <x:c r="D225" s="67" t="str">
        <x:f>IFERROR(INDEX('계산도우미'!$D$5:$D$2004,MATCH(ROWS($A$6:A225),'계산도우미'!$L$5:$L$2004,0)),"")</x:f>
      </x:c>
      <x:c r="E225" t="str">
        <x:f>IFERROR(INDEX('계산도우미'!$E$5:$E$2004,MATCH(ROWS($A$6:A225),'계산도우미'!$L$5:$L$2004,0)),"")</x:f>
      </x:c>
      <x:c r="F225" t="str">
        <x:f>IFERROR(INDEX('계산도우미'!$F$5:$F$2004,MATCH(ROWS($A$6:A225),'계산도우미'!$L$5:$L$2004,0)),"")</x:f>
      </x:c>
      <x:c r="G225" s="68" t="str">
        <x:f>IFERROR(INDEX('계산도우미'!$G$5:$G$2004,MATCH(ROWS($A$6:A225),'계산도우미'!$L$5:$L$2004,0)),"")</x:f>
      </x:c>
      <x:c r="H225" t="str">
        <x:f>IFERROR(INDEX('계산도우미'!$H$5:$H$2004,MATCH(ROWS($A$6:A225),'계산도우미'!$L$5:$L$2004,0)),"")</x:f>
      </x:c>
      <x:c r="I225" t="str">
        <x:f>IFERROR(INDEX('계산도우미'!$I$5:$I$2004,MATCH(ROWS($A$6:A225),'계산도우미'!$L$5:$L$2004,0)),"")</x:f>
      </x:c>
      <x:c r="J225" t="str">
        <x:f>IFERROR(INDEX('계산도우미'!$J$5:$J$2004,MATCH(ROWS($A$6:A225),'계산도우미'!$L$5:$L$2004,0)),"")</x:f>
      </x:c>
      <x:c r="K225" t="str">
        <x:f>IF(B225="","",IF(I225="확인 필요","붙임 문서 확인 후 거래 성격·기간·상대방·일회성 여부 확인","결의서명과 전기 대비 발생 건수·단가·시점 차이 검토"))</x:f>
      </x:c>
    </x:row>
    <x:row r="226">
      <x:c r="A226" t="str">
        <x:f>IFERROR(INDEX('계산도우미'!$A$5:$A$2004,MATCH(ROWS($A$6:A226),'계산도우미'!$L$5:$L$2004,0)),"")</x:f>
      </x:c>
      <x:c r="B226" t="str">
        <x:f>IFERROR(INDEX('계산도우미'!$B$5:$B$2004,MATCH(ROWS($A$6:A226),'계산도우미'!$L$5:$L$2004,0)),"")</x:f>
      </x:c>
      <x:c r="C226" t="str">
        <x:f>IFERROR(INDEX('계산도우미'!$C$5:$C$2004,MATCH(ROWS($A$6:A226),'계산도우미'!$L$5:$L$2004,0)),"")</x:f>
      </x:c>
      <x:c r="D226" s="67" t="str">
        <x:f>IFERROR(INDEX('계산도우미'!$D$5:$D$2004,MATCH(ROWS($A$6:A226),'계산도우미'!$L$5:$L$2004,0)),"")</x:f>
      </x:c>
      <x:c r="E226" t="str">
        <x:f>IFERROR(INDEX('계산도우미'!$E$5:$E$2004,MATCH(ROWS($A$6:A226),'계산도우미'!$L$5:$L$2004,0)),"")</x:f>
      </x:c>
      <x:c r="F226" t="str">
        <x:f>IFERROR(INDEX('계산도우미'!$F$5:$F$2004,MATCH(ROWS($A$6:A226),'계산도우미'!$L$5:$L$2004,0)),"")</x:f>
      </x:c>
      <x:c r="G226" s="68" t="str">
        <x:f>IFERROR(INDEX('계산도우미'!$G$5:$G$2004,MATCH(ROWS($A$6:A226),'계산도우미'!$L$5:$L$2004,0)),"")</x:f>
      </x:c>
      <x:c r="H226" t="str">
        <x:f>IFERROR(INDEX('계산도우미'!$H$5:$H$2004,MATCH(ROWS($A$6:A226),'계산도우미'!$L$5:$L$2004,0)),"")</x:f>
      </x:c>
      <x:c r="I226" t="str">
        <x:f>IFERROR(INDEX('계산도우미'!$I$5:$I$2004,MATCH(ROWS($A$6:A226),'계산도우미'!$L$5:$L$2004,0)),"")</x:f>
      </x:c>
      <x:c r="J226" t="str">
        <x:f>IFERROR(INDEX('계산도우미'!$J$5:$J$2004,MATCH(ROWS($A$6:A226),'계산도우미'!$L$5:$L$2004,0)),"")</x:f>
      </x:c>
      <x:c r="K226" t="str">
        <x:f>IF(B226="","",IF(I226="확인 필요","붙임 문서 확인 후 거래 성격·기간·상대방·일회성 여부 확인","결의서명과 전기 대비 발생 건수·단가·시점 차이 검토"))</x:f>
      </x:c>
    </x:row>
    <x:row r="227">
      <x:c r="A227" t="str">
        <x:f>IFERROR(INDEX('계산도우미'!$A$5:$A$2004,MATCH(ROWS($A$6:A227),'계산도우미'!$L$5:$L$2004,0)),"")</x:f>
      </x:c>
      <x:c r="B227" t="str">
        <x:f>IFERROR(INDEX('계산도우미'!$B$5:$B$2004,MATCH(ROWS($A$6:A227),'계산도우미'!$L$5:$L$2004,0)),"")</x:f>
      </x:c>
      <x:c r="C227" t="str">
        <x:f>IFERROR(INDEX('계산도우미'!$C$5:$C$2004,MATCH(ROWS($A$6:A227),'계산도우미'!$L$5:$L$2004,0)),"")</x:f>
      </x:c>
      <x:c r="D227" s="67" t="str">
        <x:f>IFERROR(INDEX('계산도우미'!$D$5:$D$2004,MATCH(ROWS($A$6:A227),'계산도우미'!$L$5:$L$2004,0)),"")</x:f>
      </x:c>
      <x:c r="E227" t="str">
        <x:f>IFERROR(INDEX('계산도우미'!$E$5:$E$2004,MATCH(ROWS($A$6:A227),'계산도우미'!$L$5:$L$2004,0)),"")</x:f>
      </x:c>
      <x:c r="F227" t="str">
        <x:f>IFERROR(INDEX('계산도우미'!$F$5:$F$2004,MATCH(ROWS($A$6:A227),'계산도우미'!$L$5:$L$2004,0)),"")</x:f>
      </x:c>
      <x:c r="G227" s="68" t="str">
        <x:f>IFERROR(INDEX('계산도우미'!$G$5:$G$2004,MATCH(ROWS($A$6:A227),'계산도우미'!$L$5:$L$2004,0)),"")</x:f>
      </x:c>
      <x:c r="H227" t="str">
        <x:f>IFERROR(INDEX('계산도우미'!$H$5:$H$2004,MATCH(ROWS($A$6:A227),'계산도우미'!$L$5:$L$2004,0)),"")</x:f>
      </x:c>
      <x:c r="I227" t="str">
        <x:f>IFERROR(INDEX('계산도우미'!$I$5:$I$2004,MATCH(ROWS($A$6:A227),'계산도우미'!$L$5:$L$2004,0)),"")</x:f>
      </x:c>
      <x:c r="J227" t="str">
        <x:f>IFERROR(INDEX('계산도우미'!$J$5:$J$2004,MATCH(ROWS($A$6:A227),'계산도우미'!$L$5:$L$2004,0)),"")</x:f>
      </x:c>
      <x:c r="K227" t="str">
        <x:f>IF(B227="","",IF(I227="확인 필요","붙임 문서 확인 후 거래 성격·기간·상대방·일회성 여부 확인","결의서명과 전기 대비 발생 건수·단가·시점 차이 검토"))</x:f>
      </x:c>
    </x:row>
    <x:row r="228">
      <x:c r="A228" t="str">
        <x:f>IFERROR(INDEX('계산도우미'!$A$5:$A$2004,MATCH(ROWS($A$6:A228),'계산도우미'!$L$5:$L$2004,0)),"")</x:f>
      </x:c>
      <x:c r="B228" t="str">
        <x:f>IFERROR(INDEX('계산도우미'!$B$5:$B$2004,MATCH(ROWS($A$6:A228),'계산도우미'!$L$5:$L$2004,0)),"")</x:f>
      </x:c>
      <x:c r="C228" t="str">
        <x:f>IFERROR(INDEX('계산도우미'!$C$5:$C$2004,MATCH(ROWS($A$6:A228),'계산도우미'!$L$5:$L$2004,0)),"")</x:f>
      </x:c>
      <x:c r="D228" s="67" t="str">
        <x:f>IFERROR(INDEX('계산도우미'!$D$5:$D$2004,MATCH(ROWS($A$6:A228),'계산도우미'!$L$5:$L$2004,0)),"")</x:f>
      </x:c>
      <x:c r="E228" t="str">
        <x:f>IFERROR(INDEX('계산도우미'!$E$5:$E$2004,MATCH(ROWS($A$6:A228),'계산도우미'!$L$5:$L$2004,0)),"")</x:f>
      </x:c>
      <x:c r="F228" t="str">
        <x:f>IFERROR(INDEX('계산도우미'!$F$5:$F$2004,MATCH(ROWS($A$6:A228),'계산도우미'!$L$5:$L$2004,0)),"")</x:f>
      </x:c>
      <x:c r="G228" s="68" t="str">
        <x:f>IFERROR(INDEX('계산도우미'!$G$5:$G$2004,MATCH(ROWS($A$6:A228),'계산도우미'!$L$5:$L$2004,0)),"")</x:f>
      </x:c>
      <x:c r="H228" t="str">
        <x:f>IFERROR(INDEX('계산도우미'!$H$5:$H$2004,MATCH(ROWS($A$6:A228),'계산도우미'!$L$5:$L$2004,0)),"")</x:f>
      </x:c>
      <x:c r="I228" t="str">
        <x:f>IFERROR(INDEX('계산도우미'!$I$5:$I$2004,MATCH(ROWS($A$6:A228),'계산도우미'!$L$5:$L$2004,0)),"")</x:f>
      </x:c>
      <x:c r="J228" t="str">
        <x:f>IFERROR(INDEX('계산도우미'!$J$5:$J$2004,MATCH(ROWS($A$6:A228),'계산도우미'!$L$5:$L$2004,0)),"")</x:f>
      </x:c>
      <x:c r="K228" t="str">
        <x:f>IF(B228="","",IF(I228="확인 필요","붙임 문서 확인 후 거래 성격·기간·상대방·일회성 여부 확인","결의서명과 전기 대비 발생 건수·단가·시점 차이 검토"))</x:f>
      </x:c>
    </x:row>
    <x:row r="229">
      <x:c r="A229" t="str">
        <x:f>IFERROR(INDEX('계산도우미'!$A$5:$A$2004,MATCH(ROWS($A$6:A229),'계산도우미'!$L$5:$L$2004,0)),"")</x:f>
      </x:c>
      <x:c r="B229" t="str">
        <x:f>IFERROR(INDEX('계산도우미'!$B$5:$B$2004,MATCH(ROWS($A$6:A229),'계산도우미'!$L$5:$L$2004,0)),"")</x:f>
      </x:c>
      <x:c r="C229" t="str">
        <x:f>IFERROR(INDEX('계산도우미'!$C$5:$C$2004,MATCH(ROWS($A$6:A229),'계산도우미'!$L$5:$L$2004,0)),"")</x:f>
      </x:c>
      <x:c r="D229" s="67" t="str">
        <x:f>IFERROR(INDEX('계산도우미'!$D$5:$D$2004,MATCH(ROWS($A$6:A229),'계산도우미'!$L$5:$L$2004,0)),"")</x:f>
      </x:c>
      <x:c r="E229" t="str">
        <x:f>IFERROR(INDEX('계산도우미'!$E$5:$E$2004,MATCH(ROWS($A$6:A229),'계산도우미'!$L$5:$L$2004,0)),"")</x:f>
      </x:c>
      <x:c r="F229" t="str">
        <x:f>IFERROR(INDEX('계산도우미'!$F$5:$F$2004,MATCH(ROWS($A$6:A229),'계산도우미'!$L$5:$L$2004,0)),"")</x:f>
      </x:c>
      <x:c r="G229" s="68" t="str">
        <x:f>IFERROR(INDEX('계산도우미'!$G$5:$G$2004,MATCH(ROWS($A$6:A229),'계산도우미'!$L$5:$L$2004,0)),"")</x:f>
      </x:c>
      <x:c r="H229" t="str">
        <x:f>IFERROR(INDEX('계산도우미'!$H$5:$H$2004,MATCH(ROWS($A$6:A229),'계산도우미'!$L$5:$L$2004,0)),"")</x:f>
      </x:c>
      <x:c r="I229" t="str">
        <x:f>IFERROR(INDEX('계산도우미'!$I$5:$I$2004,MATCH(ROWS($A$6:A229),'계산도우미'!$L$5:$L$2004,0)),"")</x:f>
      </x:c>
      <x:c r="J229" t="str">
        <x:f>IFERROR(INDEX('계산도우미'!$J$5:$J$2004,MATCH(ROWS($A$6:A229),'계산도우미'!$L$5:$L$2004,0)),"")</x:f>
      </x:c>
      <x:c r="K229" t="str">
        <x:f>IF(B229="","",IF(I229="확인 필요","붙임 문서 확인 후 거래 성격·기간·상대방·일회성 여부 확인","결의서명과 전기 대비 발생 건수·단가·시점 차이 검토"))</x:f>
      </x:c>
    </x:row>
    <x:row r="230">
      <x:c r="A230" t="str">
        <x:f>IFERROR(INDEX('계산도우미'!$A$5:$A$2004,MATCH(ROWS($A$6:A230),'계산도우미'!$L$5:$L$2004,0)),"")</x:f>
      </x:c>
      <x:c r="B230" t="str">
        <x:f>IFERROR(INDEX('계산도우미'!$B$5:$B$2004,MATCH(ROWS($A$6:A230),'계산도우미'!$L$5:$L$2004,0)),"")</x:f>
      </x:c>
      <x:c r="C230" t="str">
        <x:f>IFERROR(INDEX('계산도우미'!$C$5:$C$2004,MATCH(ROWS($A$6:A230),'계산도우미'!$L$5:$L$2004,0)),"")</x:f>
      </x:c>
      <x:c r="D230" s="67" t="str">
        <x:f>IFERROR(INDEX('계산도우미'!$D$5:$D$2004,MATCH(ROWS($A$6:A230),'계산도우미'!$L$5:$L$2004,0)),"")</x:f>
      </x:c>
      <x:c r="E230" t="str">
        <x:f>IFERROR(INDEX('계산도우미'!$E$5:$E$2004,MATCH(ROWS($A$6:A230),'계산도우미'!$L$5:$L$2004,0)),"")</x:f>
      </x:c>
      <x:c r="F230" t="str">
        <x:f>IFERROR(INDEX('계산도우미'!$F$5:$F$2004,MATCH(ROWS($A$6:A230),'계산도우미'!$L$5:$L$2004,0)),"")</x:f>
      </x:c>
      <x:c r="G230" s="68" t="str">
        <x:f>IFERROR(INDEX('계산도우미'!$G$5:$G$2004,MATCH(ROWS($A$6:A230),'계산도우미'!$L$5:$L$2004,0)),"")</x:f>
      </x:c>
      <x:c r="H230" t="str">
        <x:f>IFERROR(INDEX('계산도우미'!$H$5:$H$2004,MATCH(ROWS($A$6:A230),'계산도우미'!$L$5:$L$2004,0)),"")</x:f>
      </x:c>
      <x:c r="I230" t="str">
        <x:f>IFERROR(INDEX('계산도우미'!$I$5:$I$2004,MATCH(ROWS($A$6:A230),'계산도우미'!$L$5:$L$2004,0)),"")</x:f>
      </x:c>
      <x:c r="J230" t="str">
        <x:f>IFERROR(INDEX('계산도우미'!$J$5:$J$2004,MATCH(ROWS($A$6:A230),'계산도우미'!$L$5:$L$2004,0)),"")</x:f>
      </x:c>
      <x:c r="K230" t="str">
        <x:f>IF(B230="","",IF(I230="확인 필요","붙임 문서 확인 후 거래 성격·기간·상대방·일회성 여부 확인","결의서명과 전기 대비 발생 건수·단가·시점 차이 검토"))</x:f>
      </x:c>
    </x:row>
    <x:row r="231">
      <x:c r="A231" t="str">
        <x:f>IFERROR(INDEX('계산도우미'!$A$5:$A$2004,MATCH(ROWS($A$6:A231),'계산도우미'!$L$5:$L$2004,0)),"")</x:f>
      </x:c>
      <x:c r="B231" t="str">
        <x:f>IFERROR(INDEX('계산도우미'!$B$5:$B$2004,MATCH(ROWS($A$6:A231),'계산도우미'!$L$5:$L$2004,0)),"")</x:f>
      </x:c>
      <x:c r="C231" t="str">
        <x:f>IFERROR(INDEX('계산도우미'!$C$5:$C$2004,MATCH(ROWS($A$6:A231),'계산도우미'!$L$5:$L$2004,0)),"")</x:f>
      </x:c>
      <x:c r="D231" s="67" t="str">
        <x:f>IFERROR(INDEX('계산도우미'!$D$5:$D$2004,MATCH(ROWS($A$6:A231),'계산도우미'!$L$5:$L$2004,0)),"")</x:f>
      </x:c>
      <x:c r="E231" t="str">
        <x:f>IFERROR(INDEX('계산도우미'!$E$5:$E$2004,MATCH(ROWS($A$6:A231),'계산도우미'!$L$5:$L$2004,0)),"")</x:f>
      </x:c>
      <x:c r="F231" t="str">
        <x:f>IFERROR(INDEX('계산도우미'!$F$5:$F$2004,MATCH(ROWS($A$6:A231),'계산도우미'!$L$5:$L$2004,0)),"")</x:f>
      </x:c>
      <x:c r="G231" s="68" t="str">
        <x:f>IFERROR(INDEX('계산도우미'!$G$5:$G$2004,MATCH(ROWS($A$6:A231),'계산도우미'!$L$5:$L$2004,0)),"")</x:f>
      </x:c>
      <x:c r="H231" t="str">
        <x:f>IFERROR(INDEX('계산도우미'!$H$5:$H$2004,MATCH(ROWS($A$6:A231),'계산도우미'!$L$5:$L$2004,0)),"")</x:f>
      </x:c>
      <x:c r="I231" t="str">
        <x:f>IFERROR(INDEX('계산도우미'!$I$5:$I$2004,MATCH(ROWS($A$6:A231),'계산도우미'!$L$5:$L$2004,0)),"")</x:f>
      </x:c>
      <x:c r="J231" t="str">
        <x:f>IFERROR(INDEX('계산도우미'!$J$5:$J$2004,MATCH(ROWS($A$6:A231),'계산도우미'!$L$5:$L$2004,0)),"")</x:f>
      </x:c>
      <x:c r="K231" t="str">
        <x:f>IF(B231="","",IF(I231="확인 필요","붙임 문서 확인 후 거래 성격·기간·상대방·일회성 여부 확인","결의서명과 전기 대비 발생 건수·단가·시점 차이 검토"))</x:f>
      </x:c>
    </x:row>
    <x:row r="232">
      <x:c r="A232" t="str">
        <x:f>IFERROR(INDEX('계산도우미'!$A$5:$A$2004,MATCH(ROWS($A$6:A232),'계산도우미'!$L$5:$L$2004,0)),"")</x:f>
      </x:c>
      <x:c r="B232" t="str">
        <x:f>IFERROR(INDEX('계산도우미'!$B$5:$B$2004,MATCH(ROWS($A$6:A232),'계산도우미'!$L$5:$L$2004,0)),"")</x:f>
      </x:c>
      <x:c r="C232" t="str">
        <x:f>IFERROR(INDEX('계산도우미'!$C$5:$C$2004,MATCH(ROWS($A$6:A232),'계산도우미'!$L$5:$L$2004,0)),"")</x:f>
      </x:c>
      <x:c r="D232" s="67" t="str">
        <x:f>IFERROR(INDEX('계산도우미'!$D$5:$D$2004,MATCH(ROWS($A$6:A232),'계산도우미'!$L$5:$L$2004,0)),"")</x:f>
      </x:c>
      <x:c r="E232" t="str">
        <x:f>IFERROR(INDEX('계산도우미'!$E$5:$E$2004,MATCH(ROWS($A$6:A232),'계산도우미'!$L$5:$L$2004,0)),"")</x:f>
      </x:c>
      <x:c r="F232" t="str">
        <x:f>IFERROR(INDEX('계산도우미'!$F$5:$F$2004,MATCH(ROWS($A$6:A232),'계산도우미'!$L$5:$L$2004,0)),"")</x:f>
      </x:c>
      <x:c r="G232" s="68" t="str">
        <x:f>IFERROR(INDEX('계산도우미'!$G$5:$G$2004,MATCH(ROWS($A$6:A232),'계산도우미'!$L$5:$L$2004,0)),"")</x:f>
      </x:c>
      <x:c r="H232" t="str">
        <x:f>IFERROR(INDEX('계산도우미'!$H$5:$H$2004,MATCH(ROWS($A$6:A232),'계산도우미'!$L$5:$L$2004,0)),"")</x:f>
      </x:c>
      <x:c r="I232" t="str">
        <x:f>IFERROR(INDEX('계산도우미'!$I$5:$I$2004,MATCH(ROWS($A$6:A232),'계산도우미'!$L$5:$L$2004,0)),"")</x:f>
      </x:c>
      <x:c r="J232" t="str">
        <x:f>IFERROR(INDEX('계산도우미'!$J$5:$J$2004,MATCH(ROWS($A$6:A232),'계산도우미'!$L$5:$L$2004,0)),"")</x:f>
      </x:c>
      <x:c r="K232" t="str">
        <x:f>IF(B232="","",IF(I232="확인 필요","붙임 문서 확인 후 거래 성격·기간·상대방·일회성 여부 확인","결의서명과 전기 대비 발생 건수·단가·시점 차이 검토"))</x:f>
      </x:c>
    </x:row>
    <x:row r="233">
      <x:c r="A233" t="str">
        <x:f>IFERROR(INDEX('계산도우미'!$A$5:$A$2004,MATCH(ROWS($A$6:A233),'계산도우미'!$L$5:$L$2004,0)),"")</x:f>
      </x:c>
      <x:c r="B233" t="str">
        <x:f>IFERROR(INDEX('계산도우미'!$B$5:$B$2004,MATCH(ROWS($A$6:A233),'계산도우미'!$L$5:$L$2004,0)),"")</x:f>
      </x:c>
      <x:c r="C233" t="str">
        <x:f>IFERROR(INDEX('계산도우미'!$C$5:$C$2004,MATCH(ROWS($A$6:A233),'계산도우미'!$L$5:$L$2004,0)),"")</x:f>
      </x:c>
      <x:c r="D233" s="67" t="str">
        <x:f>IFERROR(INDEX('계산도우미'!$D$5:$D$2004,MATCH(ROWS($A$6:A233),'계산도우미'!$L$5:$L$2004,0)),"")</x:f>
      </x:c>
      <x:c r="E233" t="str">
        <x:f>IFERROR(INDEX('계산도우미'!$E$5:$E$2004,MATCH(ROWS($A$6:A233),'계산도우미'!$L$5:$L$2004,0)),"")</x:f>
      </x:c>
      <x:c r="F233" t="str">
        <x:f>IFERROR(INDEX('계산도우미'!$F$5:$F$2004,MATCH(ROWS($A$6:A233),'계산도우미'!$L$5:$L$2004,0)),"")</x:f>
      </x:c>
      <x:c r="G233" s="68" t="str">
        <x:f>IFERROR(INDEX('계산도우미'!$G$5:$G$2004,MATCH(ROWS($A$6:A233),'계산도우미'!$L$5:$L$2004,0)),"")</x:f>
      </x:c>
      <x:c r="H233" t="str">
        <x:f>IFERROR(INDEX('계산도우미'!$H$5:$H$2004,MATCH(ROWS($A$6:A233),'계산도우미'!$L$5:$L$2004,0)),"")</x:f>
      </x:c>
      <x:c r="I233" t="str">
        <x:f>IFERROR(INDEX('계산도우미'!$I$5:$I$2004,MATCH(ROWS($A$6:A233),'계산도우미'!$L$5:$L$2004,0)),"")</x:f>
      </x:c>
      <x:c r="J233" t="str">
        <x:f>IFERROR(INDEX('계산도우미'!$J$5:$J$2004,MATCH(ROWS($A$6:A233),'계산도우미'!$L$5:$L$2004,0)),"")</x:f>
      </x:c>
      <x:c r="K233" t="str">
        <x:f>IF(B233="","",IF(I233="확인 필요","붙임 문서 확인 후 거래 성격·기간·상대방·일회성 여부 확인","결의서명과 전기 대비 발생 건수·단가·시점 차이 검토"))</x:f>
      </x:c>
    </x:row>
    <x:row r="234">
      <x:c r="A234" t="str">
        <x:f>IFERROR(INDEX('계산도우미'!$A$5:$A$2004,MATCH(ROWS($A$6:A234),'계산도우미'!$L$5:$L$2004,0)),"")</x:f>
      </x:c>
      <x:c r="B234" t="str">
        <x:f>IFERROR(INDEX('계산도우미'!$B$5:$B$2004,MATCH(ROWS($A$6:A234),'계산도우미'!$L$5:$L$2004,0)),"")</x:f>
      </x:c>
      <x:c r="C234" t="str">
        <x:f>IFERROR(INDEX('계산도우미'!$C$5:$C$2004,MATCH(ROWS($A$6:A234),'계산도우미'!$L$5:$L$2004,0)),"")</x:f>
      </x:c>
      <x:c r="D234" s="67" t="str">
        <x:f>IFERROR(INDEX('계산도우미'!$D$5:$D$2004,MATCH(ROWS($A$6:A234),'계산도우미'!$L$5:$L$2004,0)),"")</x:f>
      </x:c>
      <x:c r="E234" t="str">
        <x:f>IFERROR(INDEX('계산도우미'!$E$5:$E$2004,MATCH(ROWS($A$6:A234),'계산도우미'!$L$5:$L$2004,0)),"")</x:f>
      </x:c>
      <x:c r="F234" t="str">
        <x:f>IFERROR(INDEX('계산도우미'!$F$5:$F$2004,MATCH(ROWS($A$6:A234),'계산도우미'!$L$5:$L$2004,0)),"")</x:f>
      </x:c>
      <x:c r="G234" s="68" t="str">
        <x:f>IFERROR(INDEX('계산도우미'!$G$5:$G$2004,MATCH(ROWS($A$6:A234),'계산도우미'!$L$5:$L$2004,0)),"")</x:f>
      </x:c>
      <x:c r="H234" t="str">
        <x:f>IFERROR(INDEX('계산도우미'!$H$5:$H$2004,MATCH(ROWS($A$6:A234),'계산도우미'!$L$5:$L$2004,0)),"")</x:f>
      </x:c>
      <x:c r="I234" t="str">
        <x:f>IFERROR(INDEX('계산도우미'!$I$5:$I$2004,MATCH(ROWS($A$6:A234),'계산도우미'!$L$5:$L$2004,0)),"")</x:f>
      </x:c>
      <x:c r="J234" t="str">
        <x:f>IFERROR(INDEX('계산도우미'!$J$5:$J$2004,MATCH(ROWS($A$6:A234),'계산도우미'!$L$5:$L$2004,0)),"")</x:f>
      </x:c>
      <x:c r="K234" t="str">
        <x:f>IF(B234="","",IF(I234="확인 필요","붙임 문서 확인 후 거래 성격·기간·상대방·일회성 여부 확인","결의서명과 전기 대비 발생 건수·단가·시점 차이 검토"))</x:f>
      </x:c>
    </x:row>
    <x:row r="235">
      <x:c r="A235" t="str">
        <x:f>IFERROR(INDEX('계산도우미'!$A$5:$A$2004,MATCH(ROWS($A$6:A235),'계산도우미'!$L$5:$L$2004,0)),"")</x:f>
      </x:c>
      <x:c r="B235" t="str">
        <x:f>IFERROR(INDEX('계산도우미'!$B$5:$B$2004,MATCH(ROWS($A$6:A235),'계산도우미'!$L$5:$L$2004,0)),"")</x:f>
      </x:c>
      <x:c r="C235" t="str">
        <x:f>IFERROR(INDEX('계산도우미'!$C$5:$C$2004,MATCH(ROWS($A$6:A235),'계산도우미'!$L$5:$L$2004,0)),"")</x:f>
      </x:c>
      <x:c r="D235" s="67" t="str">
        <x:f>IFERROR(INDEX('계산도우미'!$D$5:$D$2004,MATCH(ROWS($A$6:A235),'계산도우미'!$L$5:$L$2004,0)),"")</x:f>
      </x:c>
      <x:c r="E235" t="str">
        <x:f>IFERROR(INDEX('계산도우미'!$E$5:$E$2004,MATCH(ROWS($A$6:A235),'계산도우미'!$L$5:$L$2004,0)),"")</x:f>
      </x:c>
      <x:c r="F235" t="str">
        <x:f>IFERROR(INDEX('계산도우미'!$F$5:$F$2004,MATCH(ROWS($A$6:A235),'계산도우미'!$L$5:$L$2004,0)),"")</x:f>
      </x:c>
      <x:c r="G235" s="68" t="str">
        <x:f>IFERROR(INDEX('계산도우미'!$G$5:$G$2004,MATCH(ROWS($A$6:A235),'계산도우미'!$L$5:$L$2004,0)),"")</x:f>
      </x:c>
      <x:c r="H235" t="str">
        <x:f>IFERROR(INDEX('계산도우미'!$H$5:$H$2004,MATCH(ROWS($A$6:A235),'계산도우미'!$L$5:$L$2004,0)),"")</x:f>
      </x:c>
      <x:c r="I235" t="str">
        <x:f>IFERROR(INDEX('계산도우미'!$I$5:$I$2004,MATCH(ROWS($A$6:A235),'계산도우미'!$L$5:$L$2004,0)),"")</x:f>
      </x:c>
      <x:c r="J235" t="str">
        <x:f>IFERROR(INDEX('계산도우미'!$J$5:$J$2004,MATCH(ROWS($A$6:A235),'계산도우미'!$L$5:$L$2004,0)),"")</x:f>
      </x:c>
      <x:c r="K235" t="str">
        <x:f>IF(B235="","",IF(I235="확인 필요","붙임 문서 확인 후 거래 성격·기간·상대방·일회성 여부 확인","결의서명과 전기 대비 발생 건수·단가·시점 차이 검토"))</x:f>
      </x:c>
    </x:row>
    <x:row r="236">
      <x:c r="A236" t="str">
        <x:f>IFERROR(INDEX('계산도우미'!$A$5:$A$2004,MATCH(ROWS($A$6:A236),'계산도우미'!$L$5:$L$2004,0)),"")</x:f>
      </x:c>
      <x:c r="B236" t="str">
        <x:f>IFERROR(INDEX('계산도우미'!$B$5:$B$2004,MATCH(ROWS($A$6:A236),'계산도우미'!$L$5:$L$2004,0)),"")</x:f>
      </x:c>
      <x:c r="C236" t="str">
        <x:f>IFERROR(INDEX('계산도우미'!$C$5:$C$2004,MATCH(ROWS($A$6:A236),'계산도우미'!$L$5:$L$2004,0)),"")</x:f>
      </x:c>
      <x:c r="D236" s="67" t="str">
        <x:f>IFERROR(INDEX('계산도우미'!$D$5:$D$2004,MATCH(ROWS($A$6:A236),'계산도우미'!$L$5:$L$2004,0)),"")</x:f>
      </x:c>
      <x:c r="E236" t="str">
        <x:f>IFERROR(INDEX('계산도우미'!$E$5:$E$2004,MATCH(ROWS($A$6:A236),'계산도우미'!$L$5:$L$2004,0)),"")</x:f>
      </x:c>
      <x:c r="F236" t="str">
        <x:f>IFERROR(INDEX('계산도우미'!$F$5:$F$2004,MATCH(ROWS($A$6:A236),'계산도우미'!$L$5:$L$2004,0)),"")</x:f>
      </x:c>
      <x:c r="G236" s="68" t="str">
        <x:f>IFERROR(INDEX('계산도우미'!$G$5:$G$2004,MATCH(ROWS($A$6:A236),'계산도우미'!$L$5:$L$2004,0)),"")</x:f>
      </x:c>
      <x:c r="H236" t="str">
        <x:f>IFERROR(INDEX('계산도우미'!$H$5:$H$2004,MATCH(ROWS($A$6:A236),'계산도우미'!$L$5:$L$2004,0)),"")</x:f>
      </x:c>
      <x:c r="I236" t="str">
        <x:f>IFERROR(INDEX('계산도우미'!$I$5:$I$2004,MATCH(ROWS($A$6:A236),'계산도우미'!$L$5:$L$2004,0)),"")</x:f>
      </x:c>
      <x:c r="J236" t="str">
        <x:f>IFERROR(INDEX('계산도우미'!$J$5:$J$2004,MATCH(ROWS($A$6:A236),'계산도우미'!$L$5:$L$2004,0)),"")</x:f>
      </x:c>
      <x:c r="K236" t="str">
        <x:f>IF(B236="","",IF(I236="확인 필요","붙임 문서 확인 후 거래 성격·기간·상대방·일회성 여부 확인","결의서명과 전기 대비 발생 건수·단가·시점 차이 검토"))</x:f>
      </x:c>
    </x:row>
    <x:row r="237">
      <x:c r="A237" t="str">
        <x:f>IFERROR(INDEX('계산도우미'!$A$5:$A$2004,MATCH(ROWS($A$6:A237),'계산도우미'!$L$5:$L$2004,0)),"")</x:f>
      </x:c>
      <x:c r="B237" t="str">
        <x:f>IFERROR(INDEX('계산도우미'!$B$5:$B$2004,MATCH(ROWS($A$6:A237),'계산도우미'!$L$5:$L$2004,0)),"")</x:f>
      </x:c>
      <x:c r="C237" t="str">
        <x:f>IFERROR(INDEX('계산도우미'!$C$5:$C$2004,MATCH(ROWS($A$6:A237),'계산도우미'!$L$5:$L$2004,0)),"")</x:f>
      </x:c>
      <x:c r="D237" s="67" t="str">
        <x:f>IFERROR(INDEX('계산도우미'!$D$5:$D$2004,MATCH(ROWS($A$6:A237),'계산도우미'!$L$5:$L$2004,0)),"")</x:f>
      </x:c>
      <x:c r="E237" t="str">
        <x:f>IFERROR(INDEX('계산도우미'!$E$5:$E$2004,MATCH(ROWS($A$6:A237),'계산도우미'!$L$5:$L$2004,0)),"")</x:f>
      </x:c>
      <x:c r="F237" t="str">
        <x:f>IFERROR(INDEX('계산도우미'!$F$5:$F$2004,MATCH(ROWS($A$6:A237),'계산도우미'!$L$5:$L$2004,0)),"")</x:f>
      </x:c>
      <x:c r="G237" s="68" t="str">
        <x:f>IFERROR(INDEX('계산도우미'!$G$5:$G$2004,MATCH(ROWS($A$6:A237),'계산도우미'!$L$5:$L$2004,0)),"")</x:f>
      </x:c>
      <x:c r="H237" t="str">
        <x:f>IFERROR(INDEX('계산도우미'!$H$5:$H$2004,MATCH(ROWS($A$6:A237),'계산도우미'!$L$5:$L$2004,0)),"")</x:f>
      </x:c>
      <x:c r="I237" t="str">
        <x:f>IFERROR(INDEX('계산도우미'!$I$5:$I$2004,MATCH(ROWS($A$6:A237),'계산도우미'!$L$5:$L$2004,0)),"")</x:f>
      </x:c>
      <x:c r="J237" t="str">
        <x:f>IFERROR(INDEX('계산도우미'!$J$5:$J$2004,MATCH(ROWS($A$6:A237),'계산도우미'!$L$5:$L$2004,0)),"")</x:f>
      </x:c>
      <x:c r="K237" t="str">
        <x:f>IF(B237="","",IF(I237="확인 필요","붙임 문서 확인 후 거래 성격·기간·상대방·일회성 여부 확인","결의서명과 전기 대비 발생 건수·단가·시점 차이 검토"))</x:f>
      </x:c>
    </x:row>
    <x:row r="238">
      <x:c r="A238" t="str">
        <x:f>IFERROR(INDEX('계산도우미'!$A$5:$A$2004,MATCH(ROWS($A$6:A238),'계산도우미'!$L$5:$L$2004,0)),"")</x:f>
      </x:c>
      <x:c r="B238" t="str">
        <x:f>IFERROR(INDEX('계산도우미'!$B$5:$B$2004,MATCH(ROWS($A$6:A238),'계산도우미'!$L$5:$L$2004,0)),"")</x:f>
      </x:c>
      <x:c r="C238" t="str">
        <x:f>IFERROR(INDEX('계산도우미'!$C$5:$C$2004,MATCH(ROWS($A$6:A238),'계산도우미'!$L$5:$L$2004,0)),"")</x:f>
      </x:c>
      <x:c r="D238" s="67" t="str">
        <x:f>IFERROR(INDEX('계산도우미'!$D$5:$D$2004,MATCH(ROWS($A$6:A238),'계산도우미'!$L$5:$L$2004,0)),"")</x:f>
      </x:c>
      <x:c r="E238" t="str">
        <x:f>IFERROR(INDEX('계산도우미'!$E$5:$E$2004,MATCH(ROWS($A$6:A238),'계산도우미'!$L$5:$L$2004,0)),"")</x:f>
      </x:c>
      <x:c r="F238" t="str">
        <x:f>IFERROR(INDEX('계산도우미'!$F$5:$F$2004,MATCH(ROWS($A$6:A238),'계산도우미'!$L$5:$L$2004,0)),"")</x:f>
      </x:c>
      <x:c r="G238" s="68" t="str">
        <x:f>IFERROR(INDEX('계산도우미'!$G$5:$G$2004,MATCH(ROWS($A$6:A238),'계산도우미'!$L$5:$L$2004,0)),"")</x:f>
      </x:c>
      <x:c r="H238" t="str">
        <x:f>IFERROR(INDEX('계산도우미'!$H$5:$H$2004,MATCH(ROWS($A$6:A238),'계산도우미'!$L$5:$L$2004,0)),"")</x:f>
      </x:c>
      <x:c r="I238" t="str">
        <x:f>IFERROR(INDEX('계산도우미'!$I$5:$I$2004,MATCH(ROWS($A$6:A238),'계산도우미'!$L$5:$L$2004,0)),"")</x:f>
      </x:c>
      <x:c r="J238" t="str">
        <x:f>IFERROR(INDEX('계산도우미'!$J$5:$J$2004,MATCH(ROWS($A$6:A238),'계산도우미'!$L$5:$L$2004,0)),"")</x:f>
      </x:c>
      <x:c r="K238" t="str">
        <x:f>IF(B238="","",IF(I238="확인 필요","붙임 문서 확인 후 거래 성격·기간·상대방·일회성 여부 확인","결의서명과 전기 대비 발생 건수·단가·시점 차이 검토"))</x:f>
      </x:c>
    </x:row>
    <x:row r="239">
      <x:c r="A239" t="str">
        <x:f>IFERROR(INDEX('계산도우미'!$A$5:$A$2004,MATCH(ROWS($A$6:A239),'계산도우미'!$L$5:$L$2004,0)),"")</x:f>
      </x:c>
      <x:c r="B239" t="str">
        <x:f>IFERROR(INDEX('계산도우미'!$B$5:$B$2004,MATCH(ROWS($A$6:A239),'계산도우미'!$L$5:$L$2004,0)),"")</x:f>
      </x:c>
      <x:c r="C239" t="str">
        <x:f>IFERROR(INDEX('계산도우미'!$C$5:$C$2004,MATCH(ROWS($A$6:A239),'계산도우미'!$L$5:$L$2004,0)),"")</x:f>
      </x:c>
      <x:c r="D239" s="67" t="str">
        <x:f>IFERROR(INDEX('계산도우미'!$D$5:$D$2004,MATCH(ROWS($A$6:A239),'계산도우미'!$L$5:$L$2004,0)),"")</x:f>
      </x:c>
      <x:c r="E239" t="str">
        <x:f>IFERROR(INDEX('계산도우미'!$E$5:$E$2004,MATCH(ROWS($A$6:A239),'계산도우미'!$L$5:$L$2004,0)),"")</x:f>
      </x:c>
      <x:c r="F239" t="str">
        <x:f>IFERROR(INDEX('계산도우미'!$F$5:$F$2004,MATCH(ROWS($A$6:A239),'계산도우미'!$L$5:$L$2004,0)),"")</x:f>
      </x:c>
      <x:c r="G239" s="68" t="str">
        <x:f>IFERROR(INDEX('계산도우미'!$G$5:$G$2004,MATCH(ROWS($A$6:A239),'계산도우미'!$L$5:$L$2004,0)),"")</x:f>
      </x:c>
      <x:c r="H239" t="str">
        <x:f>IFERROR(INDEX('계산도우미'!$H$5:$H$2004,MATCH(ROWS($A$6:A239),'계산도우미'!$L$5:$L$2004,0)),"")</x:f>
      </x:c>
      <x:c r="I239" t="str">
        <x:f>IFERROR(INDEX('계산도우미'!$I$5:$I$2004,MATCH(ROWS($A$6:A239),'계산도우미'!$L$5:$L$2004,0)),"")</x:f>
      </x:c>
      <x:c r="J239" t="str">
        <x:f>IFERROR(INDEX('계산도우미'!$J$5:$J$2004,MATCH(ROWS($A$6:A239),'계산도우미'!$L$5:$L$2004,0)),"")</x:f>
      </x:c>
      <x:c r="K239" t="str">
        <x:f>IF(B239="","",IF(I239="확인 필요","붙임 문서 확인 후 거래 성격·기간·상대방·일회성 여부 확인","결의서명과 전기 대비 발생 건수·단가·시점 차이 검토"))</x:f>
      </x:c>
    </x:row>
    <x:row r="240">
      <x:c r="A240" t="str">
        <x:f>IFERROR(INDEX('계산도우미'!$A$5:$A$2004,MATCH(ROWS($A$6:A240),'계산도우미'!$L$5:$L$2004,0)),"")</x:f>
      </x:c>
      <x:c r="B240" t="str">
        <x:f>IFERROR(INDEX('계산도우미'!$B$5:$B$2004,MATCH(ROWS($A$6:A240),'계산도우미'!$L$5:$L$2004,0)),"")</x:f>
      </x:c>
      <x:c r="C240" t="str">
        <x:f>IFERROR(INDEX('계산도우미'!$C$5:$C$2004,MATCH(ROWS($A$6:A240),'계산도우미'!$L$5:$L$2004,0)),"")</x:f>
      </x:c>
      <x:c r="D240" s="67" t="str">
        <x:f>IFERROR(INDEX('계산도우미'!$D$5:$D$2004,MATCH(ROWS($A$6:A240),'계산도우미'!$L$5:$L$2004,0)),"")</x:f>
      </x:c>
      <x:c r="E240" t="str">
        <x:f>IFERROR(INDEX('계산도우미'!$E$5:$E$2004,MATCH(ROWS($A$6:A240),'계산도우미'!$L$5:$L$2004,0)),"")</x:f>
      </x:c>
      <x:c r="F240" t="str">
        <x:f>IFERROR(INDEX('계산도우미'!$F$5:$F$2004,MATCH(ROWS($A$6:A240),'계산도우미'!$L$5:$L$2004,0)),"")</x:f>
      </x:c>
      <x:c r="G240" s="68" t="str">
        <x:f>IFERROR(INDEX('계산도우미'!$G$5:$G$2004,MATCH(ROWS($A$6:A240),'계산도우미'!$L$5:$L$2004,0)),"")</x:f>
      </x:c>
      <x:c r="H240" t="str">
        <x:f>IFERROR(INDEX('계산도우미'!$H$5:$H$2004,MATCH(ROWS($A$6:A240),'계산도우미'!$L$5:$L$2004,0)),"")</x:f>
      </x:c>
      <x:c r="I240" t="str">
        <x:f>IFERROR(INDEX('계산도우미'!$I$5:$I$2004,MATCH(ROWS($A$6:A240),'계산도우미'!$L$5:$L$2004,0)),"")</x:f>
      </x:c>
      <x:c r="J240" t="str">
        <x:f>IFERROR(INDEX('계산도우미'!$J$5:$J$2004,MATCH(ROWS($A$6:A240),'계산도우미'!$L$5:$L$2004,0)),"")</x:f>
      </x:c>
      <x:c r="K240" t="str">
        <x:f>IF(B240="","",IF(I240="확인 필요","붙임 문서 확인 후 거래 성격·기간·상대방·일회성 여부 확인","결의서명과 전기 대비 발생 건수·단가·시점 차이 검토"))</x:f>
      </x:c>
    </x:row>
    <x:row r="241">
      <x:c r="A241" t="str">
        <x:f>IFERROR(INDEX('계산도우미'!$A$5:$A$2004,MATCH(ROWS($A$6:A241),'계산도우미'!$L$5:$L$2004,0)),"")</x:f>
      </x:c>
      <x:c r="B241" t="str">
        <x:f>IFERROR(INDEX('계산도우미'!$B$5:$B$2004,MATCH(ROWS($A$6:A241),'계산도우미'!$L$5:$L$2004,0)),"")</x:f>
      </x:c>
      <x:c r="C241" t="str">
        <x:f>IFERROR(INDEX('계산도우미'!$C$5:$C$2004,MATCH(ROWS($A$6:A241),'계산도우미'!$L$5:$L$2004,0)),"")</x:f>
      </x:c>
      <x:c r="D241" s="67" t="str">
        <x:f>IFERROR(INDEX('계산도우미'!$D$5:$D$2004,MATCH(ROWS($A$6:A241),'계산도우미'!$L$5:$L$2004,0)),"")</x:f>
      </x:c>
      <x:c r="E241" t="str">
        <x:f>IFERROR(INDEX('계산도우미'!$E$5:$E$2004,MATCH(ROWS($A$6:A241),'계산도우미'!$L$5:$L$2004,0)),"")</x:f>
      </x:c>
      <x:c r="F241" t="str">
        <x:f>IFERROR(INDEX('계산도우미'!$F$5:$F$2004,MATCH(ROWS($A$6:A241),'계산도우미'!$L$5:$L$2004,0)),"")</x:f>
      </x:c>
      <x:c r="G241" s="68" t="str">
        <x:f>IFERROR(INDEX('계산도우미'!$G$5:$G$2004,MATCH(ROWS($A$6:A241),'계산도우미'!$L$5:$L$2004,0)),"")</x:f>
      </x:c>
      <x:c r="H241" t="str">
        <x:f>IFERROR(INDEX('계산도우미'!$H$5:$H$2004,MATCH(ROWS($A$6:A241),'계산도우미'!$L$5:$L$2004,0)),"")</x:f>
      </x:c>
      <x:c r="I241" t="str">
        <x:f>IFERROR(INDEX('계산도우미'!$I$5:$I$2004,MATCH(ROWS($A$6:A241),'계산도우미'!$L$5:$L$2004,0)),"")</x:f>
      </x:c>
      <x:c r="J241" t="str">
        <x:f>IFERROR(INDEX('계산도우미'!$J$5:$J$2004,MATCH(ROWS($A$6:A241),'계산도우미'!$L$5:$L$2004,0)),"")</x:f>
      </x:c>
      <x:c r="K241" t="str">
        <x:f>IF(B241="","",IF(I241="확인 필요","붙임 문서 확인 후 거래 성격·기간·상대방·일회성 여부 확인","결의서명과 전기 대비 발생 건수·단가·시점 차이 검토"))</x:f>
      </x:c>
    </x:row>
    <x:row r="242">
      <x:c r="A242" t="str">
        <x:f>IFERROR(INDEX('계산도우미'!$A$5:$A$2004,MATCH(ROWS($A$6:A242),'계산도우미'!$L$5:$L$2004,0)),"")</x:f>
      </x:c>
      <x:c r="B242" t="str">
        <x:f>IFERROR(INDEX('계산도우미'!$B$5:$B$2004,MATCH(ROWS($A$6:A242),'계산도우미'!$L$5:$L$2004,0)),"")</x:f>
      </x:c>
      <x:c r="C242" t="str">
        <x:f>IFERROR(INDEX('계산도우미'!$C$5:$C$2004,MATCH(ROWS($A$6:A242),'계산도우미'!$L$5:$L$2004,0)),"")</x:f>
      </x:c>
      <x:c r="D242" s="67" t="str">
        <x:f>IFERROR(INDEX('계산도우미'!$D$5:$D$2004,MATCH(ROWS($A$6:A242),'계산도우미'!$L$5:$L$2004,0)),"")</x:f>
      </x:c>
      <x:c r="E242" t="str">
        <x:f>IFERROR(INDEX('계산도우미'!$E$5:$E$2004,MATCH(ROWS($A$6:A242),'계산도우미'!$L$5:$L$2004,0)),"")</x:f>
      </x:c>
      <x:c r="F242" t="str">
        <x:f>IFERROR(INDEX('계산도우미'!$F$5:$F$2004,MATCH(ROWS($A$6:A242),'계산도우미'!$L$5:$L$2004,0)),"")</x:f>
      </x:c>
      <x:c r="G242" s="68" t="str">
        <x:f>IFERROR(INDEX('계산도우미'!$G$5:$G$2004,MATCH(ROWS($A$6:A242),'계산도우미'!$L$5:$L$2004,0)),"")</x:f>
      </x:c>
      <x:c r="H242" t="str">
        <x:f>IFERROR(INDEX('계산도우미'!$H$5:$H$2004,MATCH(ROWS($A$6:A242),'계산도우미'!$L$5:$L$2004,0)),"")</x:f>
      </x:c>
      <x:c r="I242" t="str">
        <x:f>IFERROR(INDEX('계산도우미'!$I$5:$I$2004,MATCH(ROWS($A$6:A242),'계산도우미'!$L$5:$L$2004,0)),"")</x:f>
      </x:c>
      <x:c r="J242" t="str">
        <x:f>IFERROR(INDEX('계산도우미'!$J$5:$J$2004,MATCH(ROWS($A$6:A242),'계산도우미'!$L$5:$L$2004,0)),"")</x:f>
      </x:c>
      <x:c r="K242" t="str">
        <x:f>IF(B242="","",IF(I242="확인 필요","붙임 문서 확인 후 거래 성격·기간·상대방·일회성 여부 확인","결의서명과 전기 대비 발생 건수·단가·시점 차이 검토"))</x:f>
      </x:c>
    </x:row>
    <x:row r="243">
      <x:c r="A243" t="str">
        <x:f>IFERROR(INDEX('계산도우미'!$A$5:$A$2004,MATCH(ROWS($A$6:A243),'계산도우미'!$L$5:$L$2004,0)),"")</x:f>
      </x:c>
      <x:c r="B243" t="str">
        <x:f>IFERROR(INDEX('계산도우미'!$B$5:$B$2004,MATCH(ROWS($A$6:A243),'계산도우미'!$L$5:$L$2004,0)),"")</x:f>
      </x:c>
      <x:c r="C243" t="str">
        <x:f>IFERROR(INDEX('계산도우미'!$C$5:$C$2004,MATCH(ROWS($A$6:A243),'계산도우미'!$L$5:$L$2004,0)),"")</x:f>
      </x:c>
      <x:c r="D243" s="67" t="str">
        <x:f>IFERROR(INDEX('계산도우미'!$D$5:$D$2004,MATCH(ROWS($A$6:A243),'계산도우미'!$L$5:$L$2004,0)),"")</x:f>
      </x:c>
      <x:c r="E243" t="str">
        <x:f>IFERROR(INDEX('계산도우미'!$E$5:$E$2004,MATCH(ROWS($A$6:A243),'계산도우미'!$L$5:$L$2004,0)),"")</x:f>
      </x:c>
      <x:c r="F243" t="str">
        <x:f>IFERROR(INDEX('계산도우미'!$F$5:$F$2004,MATCH(ROWS($A$6:A243),'계산도우미'!$L$5:$L$2004,0)),"")</x:f>
      </x:c>
      <x:c r="G243" s="68" t="str">
        <x:f>IFERROR(INDEX('계산도우미'!$G$5:$G$2004,MATCH(ROWS($A$6:A243),'계산도우미'!$L$5:$L$2004,0)),"")</x:f>
      </x:c>
      <x:c r="H243" t="str">
        <x:f>IFERROR(INDEX('계산도우미'!$H$5:$H$2004,MATCH(ROWS($A$6:A243),'계산도우미'!$L$5:$L$2004,0)),"")</x:f>
      </x:c>
      <x:c r="I243" t="str">
        <x:f>IFERROR(INDEX('계산도우미'!$I$5:$I$2004,MATCH(ROWS($A$6:A243),'계산도우미'!$L$5:$L$2004,0)),"")</x:f>
      </x:c>
      <x:c r="J243" t="str">
        <x:f>IFERROR(INDEX('계산도우미'!$J$5:$J$2004,MATCH(ROWS($A$6:A243),'계산도우미'!$L$5:$L$2004,0)),"")</x:f>
      </x:c>
      <x:c r="K243" t="str">
        <x:f>IF(B243="","",IF(I243="확인 필요","붙임 문서 확인 후 거래 성격·기간·상대방·일회성 여부 확인","결의서명과 전기 대비 발생 건수·단가·시점 차이 검토"))</x:f>
      </x:c>
    </x:row>
    <x:row r="244">
      <x:c r="A244" t="str">
        <x:f>IFERROR(INDEX('계산도우미'!$A$5:$A$2004,MATCH(ROWS($A$6:A244),'계산도우미'!$L$5:$L$2004,0)),"")</x:f>
      </x:c>
      <x:c r="B244" t="str">
        <x:f>IFERROR(INDEX('계산도우미'!$B$5:$B$2004,MATCH(ROWS($A$6:A244),'계산도우미'!$L$5:$L$2004,0)),"")</x:f>
      </x:c>
      <x:c r="C244" t="str">
        <x:f>IFERROR(INDEX('계산도우미'!$C$5:$C$2004,MATCH(ROWS($A$6:A244),'계산도우미'!$L$5:$L$2004,0)),"")</x:f>
      </x:c>
      <x:c r="D244" s="67" t="str">
        <x:f>IFERROR(INDEX('계산도우미'!$D$5:$D$2004,MATCH(ROWS($A$6:A244),'계산도우미'!$L$5:$L$2004,0)),"")</x:f>
      </x:c>
      <x:c r="E244" t="str">
        <x:f>IFERROR(INDEX('계산도우미'!$E$5:$E$2004,MATCH(ROWS($A$6:A244),'계산도우미'!$L$5:$L$2004,0)),"")</x:f>
      </x:c>
      <x:c r="F244" t="str">
        <x:f>IFERROR(INDEX('계산도우미'!$F$5:$F$2004,MATCH(ROWS($A$6:A244),'계산도우미'!$L$5:$L$2004,0)),"")</x:f>
      </x:c>
      <x:c r="G244" s="68" t="str">
        <x:f>IFERROR(INDEX('계산도우미'!$G$5:$G$2004,MATCH(ROWS($A$6:A244),'계산도우미'!$L$5:$L$2004,0)),"")</x:f>
      </x:c>
      <x:c r="H244" t="str">
        <x:f>IFERROR(INDEX('계산도우미'!$H$5:$H$2004,MATCH(ROWS($A$6:A244),'계산도우미'!$L$5:$L$2004,0)),"")</x:f>
      </x:c>
      <x:c r="I244" t="str">
        <x:f>IFERROR(INDEX('계산도우미'!$I$5:$I$2004,MATCH(ROWS($A$6:A244),'계산도우미'!$L$5:$L$2004,0)),"")</x:f>
      </x:c>
      <x:c r="J244" t="str">
        <x:f>IFERROR(INDEX('계산도우미'!$J$5:$J$2004,MATCH(ROWS($A$6:A244),'계산도우미'!$L$5:$L$2004,0)),"")</x:f>
      </x:c>
      <x:c r="K244" t="str">
        <x:f>IF(B244="","",IF(I244="확인 필요","붙임 문서 확인 후 거래 성격·기간·상대방·일회성 여부 확인","결의서명과 전기 대비 발생 건수·단가·시점 차이 검토"))</x:f>
      </x:c>
    </x:row>
    <x:row r="245">
      <x:c r="A245" t="str">
        <x:f>IFERROR(INDEX('계산도우미'!$A$5:$A$2004,MATCH(ROWS($A$6:A245),'계산도우미'!$L$5:$L$2004,0)),"")</x:f>
      </x:c>
      <x:c r="B245" t="str">
        <x:f>IFERROR(INDEX('계산도우미'!$B$5:$B$2004,MATCH(ROWS($A$6:A245),'계산도우미'!$L$5:$L$2004,0)),"")</x:f>
      </x:c>
      <x:c r="C245" t="str">
        <x:f>IFERROR(INDEX('계산도우미'!$C$5:$C$2004,MATCH(ROWS($A$6:A245),'계산도우미'!$L$5:$L$2004,0)),"")</x:f>
      </x:c>
      <x:c r="D245" s="67" t="str">
        <x:f>IFERROR(INDEX('계산도우미'!$D$5:$D$2004,MATCH(ROWS($A$6:A245),'계산도우미'!$L$5:$L$2004,0)),"")</x:f>
      </x:c>
      <x:c r="E245" t="str">
        <x:f>IFERROR(INDEX('계산도우미'!$E$5:$E$2004,MATCH(ROWS($A$6:A245),'계산도우미'!$L$5:$L$2004,0)),"")</x:f>
      </x:c>
      <x:c r="F245" t="str">
        <x:f>IFERROR(INDEX('계산도우미'!$F$5:$F$2004,MATCH(ROWS($A$6:A245),'계산도우미'!$L$5:$L$2004,0)),"")</x:f>
      </x:c>
      <x:c r="G245" s="68" t="str">
        <x:f>IFERROR(INDEX('계산도우미'!$G$5:$G$2004,MATCH(ROWS($A$6:A245),'계산도우미'!$L$5:$L$2004,0)),"")</x:f>
      </x:c>
      <x:c r="H245" t="str">
        <x:f>IFERROR(INDEX('계산도우미'!$H$5:$H$2004,MATCH(ROWS($A$6:A245),'계산도우미'!$L$5:$L$2004,0)),"")</x:f>
      </x:c>
      <x:c r="I245" t="str">
        <x:f>IFERROR(INDEX('계산도우미'!$I$5:$I$2004,MATCH(ROWS($A$6:A245),'계산도우미'!$L$5:$L$2004,0)),"")</x:f>
      </x:c>
      <x:c r="J245" t="str">
        <x:f>IFERROR(INDEX('계산도우미'!$J$5:$J$2004,MATCH(ROWS($A$6:A245),'계산도우미'!$L$5:$L$2004,0)),"")</x:f>
      </x:c>
      <x:c r="K245" t="str">
        <x:f>IF(B245="","",IF(I245="확인 필요","붙임 문서 확인 후 거래 성격·기간·상대방·일회성 여부 확인","결의서명과 전기 대비 발생 건수·단가·시점 차이 검토"))</x:f>
      </x:c>
    </x:row>
    <x:row r="246">
      <x:c r="A246" t="str">
        <x:f>IFERROR(INDEX('계산도우미'!$A$5:$A$2004,MATCH(ROWS($A$6:A246),'계산도우미'!$L$5:$L$2004,0)),"")</x:f>
      </x:c>
      <x:c r="B246" t="str">
        <x:f>IFERROR(INDEX('계산도우미'!$B$5:$B$2004,MATCH(ROWS($A$6:A246),'계산도우미'!$L$5:$L$2004,0)),"")</x:f>
      </x:c>
      <x:c r="C246" t="str">
        <x:f>IFERROR(INDEX('계산도우미'!$C$5:$C$2004,MATCH(ROWS($A$6:A246),'계산도우미'!$L$5:$L$2004,0)),"")</x:f>
      </x:c>
      <x:c r="D246" s="67" t="str">
        <x:f>IFERROR(INDEX('계산도우미'!$D$5:$D$2004,MATCH(ROWS($A$6:A246),'계산도우미'!$L$5:$L$2004,0)),"")</x:f>
      </x:c>
      <x:c r="E246" t="str">
        <x:f>IFERROR(INDEX('계산도우미'!$E$5:$E$2004,MATCH(ROWS($A$6:A246),'계산도우미'!$L$5:$L$2004,0)),"")</x:f>
      </x:c>
      <x:c r="F246" t="str">
        <x:f>IFERROR(INDEX('계산도우미'!$F$5:$F$2004,MATCH(ROWS($A$6:A246),'계산도우미'!$L$5:$L$2004,0)),"")</x:f>
      </x:c>
      <x:c r="G246" s="68" t="str">
        <x:f>IFERROR(INDEX('계산도우미'!$G$5:$G$2004,MATCH(ROWS($A$6:A246),'계산도우미'!$L$5:$L$2004,0)),"")</x:f>
      </x:c>
      <x:c r="H246" t="str">
        <x:f>IFERROR(INDEX('계산도우미'!$H$5:$H$2004,MATCH(ROWS($A$6:A246),'계산도우미'!$L$5:$L$2004,0)),"")</x:f>
      </x:c>
      <x:c r="I246" t="str">
        <x:f>IFERROR(INDEX('계산도우미'!$I$5:$I$2004,MATCH(ROWS($A$6:A246),'계산도우미'!$L$5:$L$2004,0)),"")</x:f>
      </x:c>
      <x:c r="J246" t="str">
        <x:f>IFERROR(INDEX('계산도우미'!$J$5:$J$2004,MATCH(ROWS($A$6:A246),'계산도우미'!$L$5:$L$2004,0)),"")</x:f>
      </x:c>
      <x:c r="K246" t="str">
        <x:f>IF(B246="","",IF(I246="확인 필요","붙임 문서 확인 후 거래 성격·기간·상대방·일회성 여부 확인","결의서명과 전기 대비 발생 건수·단가·시점 차이 검토"))</x:f>
      </x:c>
    </x:row>
    <x:row r="247">
      <x:c r="A247" t="str">
        <x:f>IFERROR(INDEX('계산도우미'!$A$5:$A$2004,MATCH(ROWS($A$6:A247),'계산도우미'!$L$5:$L$2004,0)),"")</x:f>
      </x:c>
      <x:c r="B247" t="str">
        <x:f>IFERROR(INDEX('계산도우미'!$B$5:$B$2004,MATCH(ROWS($A$6:A247),'계산도우미'!$L$5:$L$2004,0)),"")</x:f>
      </x:c>
      <x:c r="C247" t="str">
        <x:f>IFERROR(INDEX('계산도우미'!$C$5:$C$2004,MATCH(ROWS($A$6:A247),'계산도우미'!$L$5:$L$2004,0)),"")</x:f>
      </x:c>
      <x:c r="D247" s="67" t="str">
        <x:f>IFERROR(INDEX('계산도우미'!$D$5:$D$2004,MATCH(ROWS($A$6:A247),'계산도우미'!$L$5:$L$2004,0)),"")</x:f>
      </x:c>
      <x:c r="E247" t="str">
        <x:f>IFERROR(INDEX('계산도우미'!$E$5:$E$2004,MATCH(ROWS($A$6:A247),'계산도우미'!$L$5:$L$2004,0)),"")</x:f>
      </x:c>
      <x:c r="F247" t="str">
        <x:f>IFERROR(INDEX('계산도우미'!$F$5:$F$2004,MATCH(ROWS($A$6:A247),'계산도우미'!$L$5:$L$2004,0)),"")</x:f>
      </x:c>
      <x:c r="G247" s="68" t="str">
        <x:f>IFERROR(INDEX('계산도우미'!$G$5:$G$2004,MATCH(ROWS($A$6:A247),'계산도우미'!$L$5:$L$2004,0)),"")</x:f>
      </x:c>
      <x:c r="H247" t="str">
        <x:f>IFERROR(INDEX('계산도우미'!$H$5:$H$2004,MATCH(ROWS($A$6:A247),'계산도우미'!$L$5:$L$2004,0)),"")</x:f>
      </x:c>
      <x:c r="I247" t="str">
        <x:f>IFERROR(INDEX('계산도우미'!$I$5:$I$2004,MATCH(ROWS($A$6:A247),'계산도우미'!$L$5:$L$2004,0)),"")</x:f>
      </x:c>
      <x:c r="J247" t="str">
        <x:f>IFERROR(INDEX('계산도우미'!$J$5:$J$2004,MATCH(ROWS($A$6:A247),'계산도우미'!$L$5:$L$2004,0)),"")</x:f>
      </x:c>
      <x:c r="K247" t="str">
        <x:f>IF(B247="","",IF(I247="확인 필요","붙임 문서 확인 후 거래 성격·기간·상대방·일회성 여부 확인","결의서명과 전기 대비 발생 건수·단가·시점 차이 검토"))</x:f>
      </x:c>
    </x:row>
    <x:row r="248">
      <x:c r="A248" t="str">
        <x:f>IFERROR(INDEX('계산도우미'!$A$5:$A$2004,MATCH(ROWS($A$6:A248),'계산도우미'!$L$5:$L$2004,0)),"")</x:f>
      </x:c>
      <x:c r="B248" t="str">
        <x:f>IFERROR(INDEX('계산도우미'!$B$5:$B$2004,MATCH(ROWS($A$6:A248),'계산도우미'!$L$5:$L$2004,0)),"")</x:f>
      </x:c>
      <x:c r="C248" t="str">
        <x:f>IFERROR(INDEX('계산도우미'!$C$5:$C$2004,MATCH(ROWS($A$6:A248),'계산도우미'!$L$5:$L$2004,0)),"")</x:f>
      </x:c>
      <x:c r="D248" s="67" t="str">
        <x:f>IFERROR(INDEX('계산도우미'!$D$5:$D$2004,MATCH(ROWS($A$6:A248),'계산도우미'!$L$5:$L$2004,0)),"")</x:f>
      </x:c>
      <x:c r="E248" t="str">
        <x:f>IFERROR(INDEX('계산도우미'!$E$5:$E$2004,MATCH(ROWS($A$6:A248),'계산도우미'!$L$5:$L$2004,0)),"")</x:f>
      </x:c>
      <x:c r="F248" t="str">
        <x:f>IFERROR(INDEX('계산도우미'!$F$5:$F$2004,MATCH(ROWS($A$6:A248),'계산도우미'!$L$5:$L$2004,0)),"")</x:f>
      </x:c>
      <x:c r="G248" s="68" t="str">
        <x:f>IFERROR(INDEX('계산도우미'!$G$5:$G$2004,MATCH(ROWS($A$6:A248),'계산도우미'!$L$5:$L$2004,0)),"")</x:f>
      </x:c>
      <x:c r="H248" t="str">
        <x:f>IFERROR(INDEX('계산도우미'!$H$5:$H$2004,MATCH(ROWS($A$6:A248),'계산도우미'!$L$5:$L$2004,0)),"")</x:f>
      </x:c>
      <x:c r="I248" t="str">
        <x:f>IFERROR(INDEX('계산도우미'!$I$5:$I$2004,MATCH(ROWS($A$6:A248),'계산도우미'!$L$5:$L$2004,0)),"")</x:f>
      </x:c>
      <x:c r="J248" t="str">
        <x:f>IFERROR(INDEX('계산도우미'!$J$5:$J$2004,MATCH(ROWS($A$6:A248),'계산도우미'!$L$5:$L$2004,0)),"")</x:f>
      </x:c>
      <x:c r="K248" t="str">
        <x:f>IF(B248="","",IF(I248="확인 필요","붙임 문서 확인 후 거래 성격·기간·상대방·일회성 여부 확인","결의서명과 전기 대비 발생 건수·단가·시점 차이 검토"))</x:f>
      </x:c>
    </x:row>
    <x:row r="249">
      <x:c r="A249" t="str">
        <x:f>IFERROR(INDEX('계산도우미'!$A$5:$A$2004,MATCH(ROWS($A$6:A249),'계산도우미'!$L$5:$L$2004,0)),"")</x:f>
      </x:c>
      <x:c r="B249" t="str">
        <x:f>IFERROR(INDEX('계산도우미'!$B$5:$B$2004,MATCH(ROWS($A$6:A249),'계산도우미'!$L$5:$L$2004,0)),"")</x:f>
      </x:c>
      <x:c r="C249" t="str">
        <x:f>IFERROR(INDEX('계산도우미'!$C$5:$C$2004,MATCH(ROWS($A$6:A249),'계산도우미'!$L$5:$L$2004,0)),"")</x:f>
      </x:c>
      <x:c r="D249" s="67" t="str">
        <x:f>IFERROR(INDEX('계산도우미'!$D$5:$D$2004,MATCH(ROWS($A$6:A249),'계산도우미'!$L$5:$L$2004,0)),"")</x:f>
      </x:c>
      <x:c r="E249" t="str">
        <x:f>IFERROR(INDEX('계산도우미'!$E$5:$E$2004,MATCH(ROWS($A$6:A249),'계산도우미'!$L$5:$L$2004,0)),"")</x:f>
      </x:c>
      <x:c r="F249" t="str">
        <x:f>IFERROR(INDEX('계산도우미'!$F$5:$F$2004,MATCH(ROWS($A$6:A249),'계산도우미'!$L$5:$L$2004,0)),"")</x:f>
      </x:c>
      <x:c r="G249" s="68" t="str">
        <x:f>IFERROR(INDEX('계산도우미'!$G$5:$G$2004,MATCH(ROWS($A$6:A249),'계산도우미'!$L$5:$L$2004,0)),"")</x:f>
      </x:c>
      <x:c r="H249" t="str">
        <x:f>IFERROR(INDEX('계산도우미'!$H$5:$H$2004,MATCH(ROWS($A$6:A249),'계산도우미'!$L$5:$L$2004,0)),"")</x:f>
      </x:c>
      <x:c r="I249" t="str">
        <x:f>IFERROR(INDEX('계산도우미'!$I$5:$I$2004,MATCH(ROWS($A$6:A249),'계산도우미'!$L$5:$L$2004,0)),"")</x:f>
      </x:c>
      <x:c r="J249" t="str">
        <x:f>IFERROR(INDEX('계산도우미'!$J$5:$J$2004,MATCH(ROWS($A$6:A249),'계산도우미'!$L$5:$L$2004,0)),"")</x:f>
      </x:c>
      <x:c r="K249" t="str">
        <x:f>IF(B249="","",IF(I249="확인 필요","붙임 문서 확인 후 거래 성격·기간·상대방·일회성 여부 확인","결의서명과 전기 대비 발생 건수·단가·시점 차이 검토"))</x:f>
      </x:c>
    </x:row>
    <x:row r="250">
      <x:c r="A250" t="str">
        <x:f>IFERROR(INDEX('계산도우미'!$A$5:$A$2004,MATCH(ROWS($A$6:A250),'계산도우미'!$L$5:$L$2004,0)),"")</x:f>
      </x:c>
      <x:c r="B250" t="str">
        <x:f>IFERROR(INDEX('계산도우미'!$B$5:$B$2004,MATCH(ROWS($A$6:A250),'계산도우미'!$L$5:$L$2004,0)),"")</x:f>
      </x:c>
      <x:c r="C250" t="str">
        <x:f>IFERROR(INDEX('계산도우미'!$C$5:$C$2004,MATCH(ROWS($A$6:A250),'계산도우미'!$L$5:$L$2004,0)),"")</x:f>
      </x:c>
      <x:c r="D250" s="67" t="str">
        <x:f>IFERROR(INDEX('계산도우미'!$D$5:$D$2004,MATCH(ROWS($A$6:A250),'계산도우미'!$L$5:$L$2004,0)),"")</x:f>
      </x:c>
      <x:c r="E250" t="str">
        <x:f>IFERROR(INDEX('계산도우미'!$E$5:$E$2004,MATCH(ROWS($A$6:A250),'계산도우미'!$L$5:$L$2004,0)),"")</x:f>
      </x:c>
      <x:c r="F250" t="str">
        <x:f>IFERROR(INDEX('계산도우미'!$F$5:$F$2004,MATCH(ROWS($A$6:A250),'계산도우미'!$L$5:$L$2004,0)),"")</x:f>
      </x:c>
      <x:c r="G250" s="68" t="str">
        <x:f>IFERROR(INDEX('계산도우미'!$G$5:$G$2004,MATCH(ROWS($A$6:A250),'계산도우미'!$L$5:$L$2004,0)),"")</x:f>
      </x:c>
      <x:c r="H250" t="str">
        <x:f>IFERROR(INDEX('계산도우미'!$H$5:$H$2004,MATCH(ROWS($A$6:A250),'계산도우미'!$L$5:$L$2004,0)),"")</x:f>
      </x:c>
      <x:c r="I250" t="str">
        <x:f>IFERROR(INDEX('계산도우미'!$I$5:$I$2004,MATCH(ROWS($A$6:A250),'계산도우미'!$L$5:$L$2004,0)),"")</x:f>
      </x:c>
      <x:c r="J250" t="str">
        <x:f>IFERROR(INDEX('계산도우미'!$J$5:$J$2004,MATCH(ROWS($A$6:A250),'계산도우미'!$L$5:$L$2004,0)),"")</x:f>
      </x:c>
      <x:c r="K250" t="str">
        <x:f>IF(B250="","",IF(I250="확인 필요","붙임 문서 확인 후 거래 성격·기간·상대방·일회성 여부 확인","결의서명과 전기 대비 발생 건수·단가·시점 차이 검토"))</x:f>
      </x:c>
    </x:row>
    <x:row r="251">
      <x:c r="A251" t="str">
        <x:f>IFERROR(INDEX('계산도우미'!$A$5:$A$2004,MATCH(ROWS($A$6:A251),'계산도우미'!$L$5:$L$2004,0)),"")</x:f>
      </x:c>
      <x:c r="B251" t="str">
        <x:f>IFERROR(INDEX('계산도우미'!$B$5:$B$2004,MATCH(ROWS($A$6:A251),'계산도우미'!$L$5:$L$2004,0)),"")</x:f>
      </x:c>
      <x:c r="C251" t="str">
        <x:f>IFERROR(INDEX('계산도우미'!$C$5:$C$2004,MATCH(ROWS($A$6:A251),'계산도우미'!$L$5:$L$2004,0)),"")</x:f>
      </x:c>
      <x:c r="D251" s="67" t="str">
        <x:f>IFERROR(INDEX('계산도우미'!$D$5:$D$2004,MATCH(ROWS($A$6:A251),'계산도우미'!$L$5:$L$2004,0)),"")</x:f>
      </x:c>
      <x:c r="E251" t="str">
        <x:f>IFERROR(INDEX('계산도우미'!$E$5:$E$2004,MATCH(ROWS($A$6:A251),'계산도우미'!$L$5:$L$2004,0)),"")</x:f>
      </x:c>
      <x:c r="F251" t="str">
        <x:f>IFERROR(INDEX('계산도우미'!$F$5:$F$2004,MATCH(ROWS($A$6:A251),'계산도우미'!$L$5:$L$2004,0)),"")</x:f>
      </x:c>
      <x:c r="G251" s="68" t="str">
        <x:f>IFERROR(INDEX('계산도우미'!$G$5:$G$2004,MATCH(ROWS($A$6:A251),'계산도우미'!$L$5:$L$2004,0)),"")</x:f>
      </x:c>
      <x:c r="H251" t="str">
        <x:f>IFERROR(INDEX('계산도우미'!$H$5:$H$2004,MATCH(ROWS($A$6:A251),'계산도우미'!$L$5:$L$2004,0)),"")</x:f>
      </x:c>
      <x:c r="I251" t="str">
        <x:f>IFERROR(INDEX('계산도우미'!$I$5:$I$2004,MATCH(ROWS($A$6:A251),'계산도우미'!$L$5:$L$2004,0)),"")</x:f>
      </x:c>
      <x:c r="J251" t="str">
        <x:f>IFERROR(INDEX('계산도우미'!$J$5:$J$2004,MATCH(ROWS($A$6:A251),'계산도우미'!$L$5:$L$2004,0)),"")</x:f>
      </x:c>
      <x:c r="K251" t="str">
        <x:f>IF(B251="","",IF(I251="확인 필요","붙임 문서 확인 후 거래 성격·기간·상대방·일회성 여부 확인","결의서명과 전기 대비 발생 건수·단가·시점 차이 검토"))</x:f>
      </x:c>
    </x:row>
    <x:row r="252">
      <x:c r="A252" t="str">
        <x:f>IFERROR(INDEX('계산도우미'!$A$5:$A$2004,MATCH(ROWS($A$6:A252),'계산도우미'!$L$5:$L$2004,0)),"")</x:f>
      </x:c>
      <x:c r="B252" t="str">
        <x:f>IFERROR(INDEX('계산도우미'!$B$5:$B$2004,MATCH(ROWS($A$6:A252),'계산도우미'!$L$5:$L$2004,0)),"")</x:f>
      </x:c>
      <x:c r="C252" t="str">
        <x:f>IFERROR(INDEX('계산도우미'!$C$5:$C$2004,MATCH(ROWS($A$6:A252),'계산도우미'!$L$5:$L$2004,0)),"")</x:f>
      </x:c>
      <x:c r="D252" s="67" t="str">
        <x:f>IFERROR(INDEX('계산도우미'!$D$5:$D$2004,MATCH(ROWS($A$6:A252),'계산도우미'!$L$5:$L$2004,0)),"")</x:f>
      </x:c>
      <x:c r="E252" t="str">
        <x:f>IFERROR(INDEX('계산도우미'!$E$5:$E$2004,MATCH(ROWS($A$6:A252),'계산도우미'!$L$5:$L$2004,0)),"")</x:f>
      </x:c>
      <x:c r="F252" t="str">
        <x:f>IFERROR(INDEX('계산도우미'!$F$5:$F$2004,MATCH(ROWS($A$6:A252),'계산도우미'!$L$5:$L$2004,0)),"")</x:f>
      </x:c>
      <x:c r="G252" s="68" t="str">
        <x:f>IFERROR(INDEX('계산도우미'!$G$5:$G$2004,MATCH(ROWS($A$6:A252),'계산도우미'!$L$5:$L$2004,0)),"")</x:f>
      </x:c>
      <x:c r="H252" t="str">
        <x:f>IFERROR(INDEX('계산도우미'!$H$5:$H$2004,MATCH(ROWS($A$6:A252),'계산도우미'!$L$5:$L$2004,0)),"")</x:f>
      </x:c>
      <x:c r="I252" t="str">
        <x:f>IFERROR(INDEX('계산도우미'!$I$5:$I$2004,MATCH(ROWS($A$6:A252),'계산도우미'!$L$5:$L$2004,0)),"")</x:f>
      </x:c>
      <x:c r="J252" t="str">
        <x:f>IFERROR(INDEX('계산도우미'!$J$5:$J$2004,MATCH(ROWS($A$6:A252),'계산도우미'!$L$5:$L$2004,0)),"")</x:f>
      </x:c>
      <x:c r="K252" t="str">
        <x:f>IF(B252="","",IF(I252="확인 필요","붙임 문서 확인 후 거래 성격·기간·상대방·일회성 여부 확인","결의서명과 전기 대비 발생 건수·단가·시점 차이 검토"))</x:f>
      </x:c>
    </x:row>
    <x:row r="253">
      <x:c r="A253" t="str">
        <x:f>IFERROR(INDEX('계산도우미'!$A$5:$A$2004,MATCH(ROWS($A$6:A253),'계산도우미'!$L$5:$L$2004,0)),"")</x:f>
      </x:c>
      <x:c r="B253" t="str">
        <x:f>IFERROR(INDEX('계산도우미'!$B$5:$B$2004,MATCH(ROWS($A$6:A253),'계산도우미'!$L$5:$L$2004,0)),"")</x:f>
      </x:c>
      <x:c r="C253" t="str">
        <x:f>IFERROR(INDEX('계산도우미'!$C$5:$C$2004,MATCH(ROWS($A$6:A253),'계산도우미'!$L$5:$L$2004,0)),"")</x:f>
      </x:c>
      <x:c r="D253" s="67" t="str">
        <x:f>IFERROR(INDEX('계산도우미'!$D$5:$D$2004,MATCH(ROWS($A$6:A253),'계산도우미'!$L$5:$L$2004,0)),"")</x:f>
      </x:c>
      <x:c r="E253" t="str">
        <x:f>IFERROR(INDEX('계산도우미'!$E$5:$E$2004,MATCH(ROWS($A$6:A253),'계산도우미'!$L$5:$L$2004,0)),"")</x:f>
      </x:c>
      <x:c r="F253" t="str">
        <x:f>IFERROR(INDEX('계산도우미'!$F$5:$F$2004,MATCH(ROWS($A$6:A253),'계산도우미'!$L$5:$L$2004,0)),"")</x:f>
      </x:c>
      <x:c r="G253" s="68" t="str">
        <x:f>IFERROR(INDEX('계산도우미'!$G$5:$G$2004,MATCH(ROWS($A$6:A253),'계산도우미'!$L$5:$L$2004,0)),"")</x:f>
      </x:c>
      <x:c r="H253" t="str">
        <x:f>IFERROR(INDEX('계산도우미'!$H$5:$H$2004,MATCH(ROWS($A$6:A253),'계산도우미'!$L$5:$L$2004,0)),"")</x:f>
      </x:c>
      <x:c r="I253" t="str">
        <x:f>IFERROR(INDEX('계산도우미'!$I$5:$I$2004,MATCH(ROWS($A$6:A253),'계산도우미'!$L$5:$L$2004,0)),"")</x:f>
      </x:c>
      <x:c r="J253" t="str">
        <x:f>IFERROR(INDEX('계산도우미'!$J$5:$J$2004,MATCH(ROWS($A$6:A253),'계산도우미'!$L$5:$L$2004,0)),"")</x:f>
      </x:c>
      <x:c r="K253" t="str">
        <x:f>IF(B253="","",IF(I253="확인 필요","붙임 문서 확인 후 거래 성격·기간·상대방·일회성 여부 확인","결의서명과 전기 대비 발생 건수·단가·시점 차이 검토"))</x:f>
      </x:c>
    </x:row>
    <x:row r="254">
      <x:c r="A254" t="str">
        <x:f>IFERROR(INDEX('계산도우미'!$A$5:$A$2004,MATCH(ROWS($A$6:A254),'계산도우미'!$L$5:$L$2004,0)),"")</x:f>
      </x:c>
      <x:c r="B254" t="str">
        <x:f>IFERROR(INDEX('계산도우미'!$B$5:$B$2004,MATCH(ROWS($A$6:A254),'계산도우미'!$L$5:$L$2004,0)),"")</x:f>
      </x:c>
      <x:c r="C254" t="str">
        <x:f>IFERROR(INDEX('계산도우미'!$C$5:$C$2004,MATCH(ROWS($A$6:A254),'계산도우미'!$L$5:$L$2004,0)),"")</x:f>
      </x:c>
      <x:c r="D254" s="67" t="str">
        <x:f>IFERROR(INDEX('계산도우미'!$D$5:$D$2004,MATCH(ROWS($A$6:A254),'계산도우미'!$L$5:$L$2004,0)),"")</x:f>
      </x:c>
      <x:c r="E254" t="str">
        <x:f>IFERROR(INDEX('계산도우미'!$E$5:$E$2004,MATCH(ROWS($A$6:A254),'계산도우미'!$L$5:$L$2004,0)),"")</x:f>
      </x:c>
      <x:c r="F254" t="str">
        <x:f>IFERROR(INDEX('계산도우미'!$F$5:$F$2004,MATCH(ROWS($A$6:A254),'계산도우미'!$L$5:$L$2004,0)),"")</x:f>
      </x:c>
      <x:c r="G254" s="68" t="str">
        <x:f>IFERROR(INDEX('계산도우미'!$G$5:$G$2004,MATCH(ROWS($A$6:A254),'계산도우미'!$L$5:$L$2004,0)),"")</x:f>
      </x:c>
      <x:c r="H254" t="str">
        <x:f>IFERROR(INDEX('계산도우미'!$H$5:$H$2004,MATCH(ROWS($A$6:A254),'계산도우미'!$L$5:$L$2004,0)),"")</x:f>
      </x:c>
      <x:c r="I254" t="str">
        <x:f>IFERROR(INDEX('계산도우미'!$I$5:$I$2004,MATCH(ROWS($A$6:A254),'계산도우미'!$L$5:$L$2004,0)),"")</x:f>
      </x:c>
      <x:c r="J254" t="str">
        <x:f>IFERROR(INDEX('계산도우미'!$J$5:$J$2004,MATCH(ROWS($A$6:A254),'계산도우미'!$L$5:$L$2004,0)),"")</x:f>
      </x:c>
      <x:c r="K254" t="str">
        <x:f>IF(B254="","",IF(I254="확인 필요","붙임 문서 확인 후 거래 성격·기간·상대방·일회성 여부 확인","결의서명과 전기 대비 발생 건수·단가·시점 차이 검토"))</x:f>
      </x:c>
    </x:row>
    <x:row r="255">
      <x:c r="A255" t="str">
        <x:f>IFERROR(INDEX('계산도우미'!$A$5:$A$2004,MATCH(ROWS($A$6:A255),'계산도우미'!$L$5:$L$2004,0)),"")</x:f>
      </x:c>
      <x:c r="B255" t="str">
        <x:f>IFERROR(INDEX('계산도우미'!$B$5:$B$2004,MATCH(ROWS($A$6:A255),'계산도우미'!$L$5:$L$2004,0)),"")</x:f>
      </x:c>
      <x:c r="C255" t="str">
        <x:f>IFERROR(INDEX('계산도우미'!$C$5:$C$2004,MATCH(ROWS($A$6:A255),'계산도우미'!$L$5:$L$2004,0)),"")</x:f>
      </x:c>
      <x:c r="D255" s="67" t="str">
        <x:f>IFERROR(INDEX('계산도우미'!$D$5:$D$2004,MATCH(ROWS($A$6:A255),'계산도우미'!$L$5:$L$2004,0)),"")</x:f>
      </x:c>
      <x:c r="E255" t="str">
        <x:f>IFERROR(INDEX('계산도우미'!$E$5:$E$2004,MATCH(ROWS($A$6:A255),'계산도우미'!$L$5:$L$2004,0)),"")</x:f>
      </x:c>
      <x:c r="F255" t="str">
        <x:f>IFERROR(INDEX('계산도우미'!$F$5:$F$2004,MATCH(ROWS($A$6:A255),'계산도우미'!$L$5:$L$2004,0)),"")</x:f>
      </x:c>
      <x:c r="G255" s="68" t="str">
        <x:f>IFERROR(INDEX('계산도우미'!$G$5:$G$2004,MATCH(ROWS($A$6:A255),'계산도우미'!$L$5:$L$2004,0)),"")</x:f>
      </x:c>
      <x:c r="H255" t="str">
        <x:f>IFERROR(INDEX('계산도우미'!$H$5:$H$2004,MATCH(ROWS($A$6:A255),'계산도우미'!$L$5:$L$2004,0)),"")</x:f>
      </x:c>
      <x:c r="I255" t="str">
        <x:f>IFERROR(INDEX('계산도우미'!$I$5:$I$2004,MATCH(ROWS($A$6:A255),'계산도우미'!$L$5:$L$2004,0)),"")</x:f>
      </x:c>
      <x:c r="J255" t="str">
        <x:f>IFERROR(INDEX('계산도우미'!$J$5:$J$2004,MATCH(ROWS($A$6:A255),'계산도우미'!$L$5:$L$2004,0)),"")</x:f>
      </x:c>
      <x:c r="K255" t="str">
        <x:f>IF(B255="","",IF(I255="확인 필요","붙임 문서 확인 후 거래 성격·기간·상대방·일회성 여부 확인","결의서명과 전기 대비 발생 건수·단가·시점 차이 검토"))</x:f>
      </x:c>
    </x:row>
    <x:row r="256">
      <x:c r="A256" t="str">
        <x:f>IFERROR(INDEX('계산도우미'!$A$5:$A$2004,MATCH(ROWS($A$6:A256),'계산도우미'!$L$5:$L$2004,0)),"")</x:f>
      </x:c>
      <x:c r="B256" t="str">
        <x:f>IFERROR(INDEX('계산도우미'!$B$5:$B$2004,MATCH(ROWS($A$6:A256),'계산도우미'!$L$5:$L$2004,0)),"")</x:f>
      </x:c>
      <x:c r="C256" t="str">
        <x:f>IFERROR(INDEX('계산도우미'!$C$5:$C$2004,MATCH(ROWS($A$6:A256),'계산도우미'!$L$5:$L$2004,0)),"")</x:f>
      </x:c>
      <x:c r="D256" s="67" t="str">
        <x:f>IFERROR(INDEX('계산도우미'!$D$5:$D$2004,MATCH(ROWS($A$6:A256),'계산도우미'!$L$5:$L$2004,0)),"")</x:f>
      </x:c>
      <x:c r="E256" t="str">
        <x:f>IFERROR(INDEX('계산도우미'!$E$5:$E$2004,MATCH(ROWS($A$6:A256),'계산도우미'!$L$5:$L$2004,0)),"")</x:f>
      </x:c>
      <x:c r="F256" t="str">
        <x:f>IFERROR(INDEX('계산도우미'!$F$5:$F$2004,MATCH(ROWS($A$6:A256),'계산도우미'!$L$5:$L$2004,0)),"")</x:f>
      </x:c>
      <x:c r="G256" s="68" t="str">
        <x:f>IFERROR(INDEX('계산도우미'!$G$5:$G$2004,MATCH(ROWS($A$6:A256),'계산도우미'!$L$5:$L$2004,0)),"")</x:f>
      </x:c>
      <x:c r="H256" t="str">
        <x:f>IFERROR(INDEX('계산도우미'!$H$5:$H$2004,MATCH(ROWS($A$6:A256),'계산도우미'!$L$5:$L$2004,0)),"")</x:f>
      </x:c>
      <x:c r="I256" t="str">
        <x:f>IFERROR(INDEX('계산도우미'!$I$5:$I$2004,MATCH(ROWS($A$6:A256),'계산도우미'!$L$5:$L$2004,0)),"")</x:f>
      </x:c>
      <x:c r="J256" t="str">
        <x:f>IFERROR(INDEX('계산도우미'!$J$5:$J$2004,MATCH(ROWS($A$6:A256),'계산도우미'!$L$5:$L$2004,0)),"")</x:f>
      </x:c>
      <x:c r="K256" t="str">
        <x:f>IF(B256="","",IF(I256="확인 필요","붙임 문서 확인 후 거래 성격·기간·상대방·일회성 여부 확인","결의서명과 전기 대비 발생 건수·단가·시점 차이 검토"))</x:f>
      </x:c>
    </x:row>
    <x:row r="257">
      <x:c r="A257" t="str">
        <x:f>IFERROR(INDEX('계산도우미'!$A$5:$A$2004,MATCH(ROWS($A$6:A257),'계산도우미'!$L$5:$L$2004,0)),"")</x:f>
      </x:c>
      <x:c r="B257" t="str">
        <x:f>IFERROR(INDEX('계산도우미'!$B$5:$B$2004,MATCH(ROWS($A$6:A257),'계산도우미'!$L$5:$L$2004,0)),"")</x:f>
      </x:c>
      <x:c r="C257" t="str">
        <x:f>IFERROR(INDEX('계산도우미'!$C$5:$C$2004,MATCH(ROWS($A$6:A257),'계산도우미'!$L$5:$L$2004,0)),"")</x:f>
      </x:c>
      <x:c r="D257" s="67" t="str">
        <x:f>IFERROR(INDEX('계산도우미'!$D$5:$D$2004,MATCH(ROWS($A$6:A257),'계산도우미'!$L$5:$L$2004,0)),"")</x:f>
      </x:c>
      <x:c r="E257" t="str">
        <x:f>IFERROR(INDEX('계산도우미'!$E$5:$E$2004,MATCH(ROWS($A$6:A257),'계산도우미'!$L$5:$L$2004,0)),"")</x:f>
      </x:c>
      <x:c r="F257" t="str">
        <x:f>IFERROR(INDEX('계산도우미'!$F$5:$F$2004,MATCH(ROWS($A$6:A257),'계산도우미'!$L$5:$L$2004,0)),"")</x:f>
      </x:c>
      <x:c r="G257" s="68" t="str">
        <x:f>IFERROR(INDEX('계산도우미'!$G$5:$G$2004,MATCH(ROWS($A$6:A257),'계산도우미'!$L$5:$L$2004,0)),"")</x:f>
      </x:c>
      <x:c r="H257" t="str">
        <x:f>IFERROR(INDEX('계산도우미'!$H$5:$H$2004,MATCH(ROWS($A$6:A257),'계산도우미'!$L$5:$L$2004,0)),"")</x:f>
      </x:c>
      <x:c r="I257" t="str">
        <x:f>IFERROR(INDEX('계산도우미'!$I$5:$I$2004,MATCH(ROWS($A$6:A257),'계산도우미'!$L$5:$L$2004,0)),"")</x:f>
      </x:c>
      <x:c r="J257" t="str">
        <x:f>IFERROR(INDEX('계산도우미'!$J$5:$J$2004,MATCH(ROWS($A$6:A257),'계산도우미'!$L$5:$L$2004,0)),"")</x:f>
      </x:c>
      <x:c r="K257" t="str">
        <x:f>IF(B257="","",IF(I257="확인 필요","붙임 문서 확인 후 거래 성격·기간·상대방·일회성 여부 확인","결의서명과 전기 대비 발생 건수·단가·시점 차이 검토"))</x:f>
      </x:c>
    </x:row>
    <x:row r="258">
      <x:c r="A258" t="str">
        <x:f>IFERROR(INDEX('계산도우미'!$A$5:$A$2004,MATCH(ROWS($A$6:A258),'계산도우미'!$L$5:$L$2004,0)),"")</x:f>
      </x:c>
      <x:c r="B258" t="str">
        <x:f>IFERROR(INDEX('계산도우미'!$B$5:$B$2004,MATCH(ROWS($A$6:A258),'계산도우미'!$L$5:$L$2004,0)),"")</x:f>
      </x:c>
      <x:c r="C258" t="str">
        <x:f>IFERROR(INDEX('계산도우미'!$C$5:$C$2004,MATCH(ROWS($A$6:A258),'계산도우미'!$L$5:$L$2004,0)),"")</x:f>
      </x:c>
      <x:c r="D258" s="67" t="str">
        <x:f>IFERROR(INDEX('계산도우미'!$D$5:$D$2004,MATCH(ROWS($A$6:A258),'계산도우미'!$L$5:$L$2004,0)),"")</x:f>
      </x:c>
      <x:c r="E258" t="str">
        <x:f>IFERROR(INDEX('계산도우미'!$E$5:$E$2004,MATCH(ROWS($A$6:A258),'계산도우미'!$L$5:$L$2004,0)),"")</x:f>
      </x:c>
      <x:c r="F258" t="str">
        <x:f>IFERROR(INDEX('계산도우미'!$F$5:$F$2004,MATCH(ROWS($A$6:A258),'계산도우미'!$L$5:$L$2004,0)),"")</x:f>
      </x:c>
      <x:c r="G258" s="68" t="str">
        <x:f>IFERROR(INDEX('계산도우미'!$G$5:$G$2004,MATCH(ROWS($A$6:A258),'계산도우미'!$L$5:$L$2004,0)),"")</x:f>
      </x:c>
      <x:c r="H258" t="str">
        <x:f>IFERROR(INDEX('계산도우미'!$H$5:$H$2004,MATCH(ROWS($A$6:A258),'계산도우미'!$L$5:$L$2004,0)),"")</x:f>
      </x:c>
      <x:c r="I258" t="str">
        <x:f>IFERROR(INDEX('계산도우미'!$I$5:$I$2004,MATCH(ROWS($A$6:A258),'계산도우미'!$L$5:$L$2004,0)),"")</x:f>
      </x:c>
      <x:c r="J258" t="str">
        <x:f>IFERROR(INDEX('계산도우미'!$J$5:$J$2004,MATCH(ROWS($A$6:A258),'계산도우미'!$L$5:$L$2004,0)),"")</x:f>
      </x:c>
      <x:c r="K258" t="str">
        <x:f>IF(B258="","",IF(I258="확인 필요","붙임 문서 확인 후 거래 성격·기간·상대방·일회성 여부 확인","결의서명과 전기 대비 발생 건수·단가·시점 차이 검토"))</x:f>
      </x:c>
    </x:row>
    <x:row r="259">
      <x:c r="A259" t="str">
        <x:f>IFERROR(INDEX('계산도우미'!$A$5:$A$2004,MATCH(ROWS($A$6:A259),'계산도우미'!$L$5:$L$2004,0)),"")</x:f>
      </x:c>
      <x:c r="B259" t="str">
        <x:f>IFERROR(INDEX('계산도우미'!$B$5:$B$2004,MATCH(ROWS($A$6:A259),'계산도우미'!$L$5:$L$2004,0)),"")</x:f>
      </x:c>
      <x:c r="C259" t="str">
        <x:f>IFERROR(INDEX('계산도우미'!$C$5:$C$2004,MATCH(ROWS($A$6:A259),'계산도우미'!$L$5:$L$2004,0)),"")</x:f>
      </x:c>
      <x:c r="D259" s="67" t="str">
        <x:f>IFERROR(INDEX('계산도우미'!$D$5:$D$2004,MATCH(ROWS($A$6:A259),'계산도우미'!$L$5:$L$2004,0)),"")</x:f>
      </x:c>
      <x:c r="E259" t="str">
        <x:f>IFERROR(INDEX('계산도우미'!$E$5:$E$2004,MATCH(ROWS($A$6:A259),'계산도우미'!$L$5:$L$2004,0)),"")</x:f>
      </x:c>
      <x:c r="F259" t="str">
        <x:f>IFERROR(INDEX('계산도우미'!$F$5:$F$2004,MATCH(ROWS($A$6:A259),'계산도우미'!$L$5:$L$2004,0)),"")</x:f>
      </x:c>
      <x:c r="G259" s="68" t="str">
        <x:f>IFERROR(INDEX('계산도우미'!$G$5:$G$2004,MATCH(ROWS($A$6:A259),'계산도우미'!$L$5:$L$2004,0)),"")</x:f>
      </x:c>
      <x:c r="H259" t="str">
        <x:f>IFERROR(INDEX('계산도우미'!$H$5:$H$2004,MATCH(ROWS($A$6:A259),'계산도우미'!$L$5:$L$2004,0)),"")</x:f>
      </x:c>
      <x:c r="I259" t="str">
        <x:f>IFERROR(INDEX('계산도우미'!$I$5:$I$2004,MATCH(ROWS($A$6:A259),'계산도우미'!$L$5:$L$2004,0)),"")</x:f>
      </x:c>
      <x:c r="J259" t="str">
        <x:f>IFERROR(INDEX('계산도우미'!$J$5:$J$2004,MATCH(ROWS($A$6:A259),'계산도우미'!$L$5:$L$2004,0)),"")</x:f>
      </x:c>
      <x:c r="K259" t="str">
        <x:f>IF(B259="","",IF(I259="확인 필요","붙임 문서 확인 후 거래 성격·기간·상대방·일회성 여부 확인","결의서명과 전기 대비 발생 건수·단가·시점 차이 검토"))</x:f>
      </x:c>
    </x:row>
    <x:row r="260">
      <x:c r="A260" t="str">
        <x:f>IFERROR(INDEX('계산도우미'!$A$5:$A$2004,MATCH(ROWS($A$6:A260),'계산도우미'!$L$5:$L$2004,0)),"")</x:f>
      </x:c>
      <x:c r="B260" t="str">
        <x:f>IFERROR(INDEX('계산도우미'!$B$5:$B$2004,MATCH(ROWS($A$6:A260),'계산도우미'!$L$5:$L$2004,0)),"")</x:f>
      </x:c>
      <x:c r="C260" t="str">
        <x:f>IFERROR(INDEX('계산도우미'!$C$5:$C$2004,MATCH(ROWS($A$6:A260),'계산도우미'!$L$5:$L$2004,0)),"")</x:f>
      </x:c>
      <x:c r="D260" s="67" t="str">
        <x:f>IFERROR(INDEX('계산도우미'!$D$5:$D$2004,MATCH(ROWS($A$6:A260),'계산도우미'!$L$5:$L$2004,0)),"")</x:f>
      </x:c>
      <x:c r="E260" t="str">
        <x:f>IFERROR(INDEX('계산도우미'!$E$5:$E$2004,MATCH(ROWS($A$6:A260),'계산도우미'!$L$5:$L$2004,0)),"")</x:f>
      </x:c>
      <x:c r="F260" t="str">
        <x:f>IFERROR(INDEX('계산도우미'!$F$5:$F$2004,MATCH(ROWS($A$6:A260),'계산도우미'!$L$5:$L$2004,0)),"")</x:f>
      </x:c>
      <x:c r="G260" s="68" t="str">
        <x:f>IFERROR(INDEX('계산도우미'!$G$5:$G$2004,MATCH(ROWS($A$6:A260),'계산도우미'!$L$5:$L$2004,0)),"")</x:f>
      </x:c>
      <x:c r="H260" t="str">
        <x:f>IFERROR(INDEX('계산도우미'!$H$5:$H$2004,MATCH(ROWS($A$6:A260),'계산도우미'!$L$5:$L$2004,0)),"")</x:f>
      </x:c>
      <x:c r="I260" t="str">
        <x:f>IFERROR(INDEX('계산도우미'!$I$5:$I$2004,MATCH(ROWS($A$6:A260),'계산도우미'!$L$5:$L$2004,0)),"")</x:f>
      </x:c>
      <x:c r="J260" t="str">
        <x:f>IFERROR(INDEX('계산도우미'!$J$5:$J$2004,MATCH(ROWS($A$6:A260),'계산도우미'!$L$5:$L$2004,0)),"")</x:f>
      </x:c>
      <x:c r="K260" t="str">
        <x:f>IF(B260="","",IF(I260="확인 필요","붙임 문서 확인 후 거래 성격·기간·상대방·일회성 여부 확인","결의서명과 전기 대비 발생 건수·단가·시점 차이 검토"))</x:f>
      </x:c>
    </x:row>
    <x:row r="261">
      <x:c r="A261" t="str">
        <x:f>IFERROR(INDEX('계산도우미'!$A$5:$A$2004,MATCH(ROWS($A$6:A261),'계산도우미'!$L$5:$L$2004,0)),"")</x:f>
      </x:c>
      <x:c r="B261" t="str">
        <x:f>IFERROR(INDEX('계산도우미'!$B$5:$B$2004,MATCH(ROWS($A$6:A261),'계산도우미'!$L$5:$L$2004,0)),"")</x:f>
      </x:c>
      <x:c r="C261" t="str">
        <x:f>IFERROR(INDEX('계산도우미'!$C$5:$C$2004,MATCH(ROWS($A$6:A261),'계산도우미'!$L$5:$L$2004,0)),"")</x:f>
      </x:c>
      <x:c r="D261" s="67" t="str">
        <x:f>IFERROR(INDEX('계산도우미'!$D$5:$D$2004,MATCH(ROWS($A$6:A261),'계산도우미'!$L$5:$L$2004,0)),"")</x:f>
      </x:c>
      <x:c r="E261" t="str">
        <x:f>IFERROR(INDEX('계산도우미'!$E$5:$E$2004,MATCH(ROWS($A$6:A261),'계산도우미'!$L$5:$L$2004,0)),"")</x:f>
      </x:c>
      <x:c r="F261" t="str">
        <x:f>IFERROR(INDEX('계산도우미'!$F$5:$F$2004,MATCH(ROWS($A$6:A261),'계산도우미'!$L$5:$L$2004,0)),"")</x:f>
      </x:c>
      <x:c r="G261" s="68" t="str">
        <x:f>IFERROR(INDEX('계산도우미'!$G$5:$G$2004,MATCH(ROWS($A$6:A261),'계산도우미'!$L$5:$L$2004,0)),"")</x:f>
      </x:c>
      <x:c r="H261" t="str">
        <x:f>IFERROR(INDEX('계산도우미'!$H$5:$H$2004,MATCH(ROWS($A$6:A261),'계산도우미'!$L$5:$L$2004,0)),"")</x:f>
      </x:c>
      <x:c r="I261" t="str">
        <x:f>IFERROR(INDEX('계산도우미'!$I$5:$I$2004,MATCH(ROWS($A$6:A261),'계산도우미'!$L$5:$L$2004,0)),"")</x:f>
      </x:c>
      <x:c r="J261" t="str">
        <x:f>IFERROR(INDEX('계산도우미'!$J$5:$J$2004,MATCH(ROWS($A$6:A261),'계산도우미'!$L$5:$L$2004,0)),"")</x:f>
      </x:c>
      <x:c r="K261" t="str">
        <x:f>IF(B261="","",IF(I261="확인 필요","붙임 문서 확인 후 거래 성격·기간·상대방·일회성 여부 확인","결의서명과 전기 대비 발생 건수·단가·시점 차이 검토"))</x:f>
      </x:c>
    </x:row>
    <x:row r="262">
      <x:c r="A262" t="str">
        <x:f>IFERROR(INDEX('계산도우미'!$A$5:$A$2004,MATCH(ROWS($A$6:A262),'계산도우미'!$L$5:$L$2004,0)),"")</x:f>
      </x:c>
      <x:c r="B262" t="str">
        <x:f>IFERROR(INDEX('계산도우미'!$B$5:$B$2004,MATCH(ROWS($A$6:A262),'계산도우미'!$L$5:$L$2004,0)),"")</x:f>
      </x:c>
      <x:c r="C262" t="str">
        <x:f>IFERROR(INDEX('계산도우미'!$C$5:$C$2004,MATCH(ROWS($A$6:A262),'계산도우미'!$L$5:$L$2004,0)),"")</x:f>
      </x:c>
      <x:c r="D262" s="67" t="str">
        <x:f>IFERROR(INDEX('계산도우미'!$D$5:$D$2004,MATCH(ROWS($A$6:A262),'계산도우미'!$L$5:$L$2004,0)),"")</x:f>
      </x:c>
      <x:c r="E262" t="str">
        <x:f>IFERROR(INDEX('계산도우미'!$E$5:$E$2004,MATCH(ROWS($A$6:A262),'계산도우미'!$L$5:$L$2004,0)),"")</x:f>
      </x:c>
      <x:c r="F262" t="str">
        <x:f>IFERROR(INDEX('계산도우미'!$F$5:$F$2004,MATCH(ROWS($A$6:A262),'계산도우미'!$L$5:$L$2004,0)),"")</x:f>
      </x:c>
      <x:c r="G262" s="68" t="str">
        <x:f>IFERROR(INDEX('계산도우미'!$G$5:$G$2004,MATCH(ROWS($A$6:A262),'계산도우미'!$L$5:$L$2004,0)),"")</x:f>
      </x:c>
      <x:c r="H262" t="str">
        <x:f>IFERROR(INDEX('계산도우미'!$H$5:$H$2004,MATCH(ROWS($A$6:A262),'계산도우미'!$L$5:$L$2004,0)),"")</x:f>
      </x:c>
      <x:c r="I262" t="str">
        <x:f>IFERROR(INDEX('계산도우미'!$I$5:$I$2004,MATCH(ROWS($A$6:A262),'계산도우미'!$L$5:$L$2004,0)),"")</x:f>
      </x:c>
      <x:c r="J262" t="str">
        <x:f>IFERROR(INDEX('계산도우미'!$J$5:$J$2004,MATCH(ROWS($A$6:A262),'계산도우미'!$L$5:$L$2004,0)),"")</x:f>
      </x:c>
      <x:c r="K262" t="str">
        <x:f>IF(B262="","",IF(I262="확인 필요","붙임 문서 확인 후 거래 성격·기간·상대방·일회성 여부 확인","결의서명과 전기 대비 발생 건수·단가·시점 차이 검토"))</x:f>
      </x:c>
    </x:row>
    <x:row r="263">
      <x:c r="A263" t="str">
        <x:f>IFERROR(INDEX('계산도우미'!$A$5:$A$2004,MATCH(ROWS($A$6:A263),'계산도우미'!$L$5:$L$2004,0)),"")</x:f>
      </x:c>
      <x:c r="B263" t="str">
        <x:f>IFERROR(INDEX('계산도우미'!$B$5:$B$2004,MATCH(ROWS($A$6:A263),'계산도우미'!$L$5:$L$2004,0)),"")</x:f>
      </x:c>
      <x:c r="C263" t="str">
        <x:f>IFERROR(INDEX('계산도우미'!$C$5:$C$2004,MATCH(ROWS($A$6:A263),'계산도우미'!$L$5:$L$2004,0)),"")</x:f>
      </x:c>
      <x:c r="D263" s="67" t="str">
        <x:f>IFERROR(INDEX('계산도우미'!$D$5:$D$2004,MATCH(ROWS($A$6:A263),'계산도우미'!$L$5:$L$2004,0)),"")</x:f>
      </x:c>
      <x:c r="E263" t="str">
        <x:f>IFERROR(INDEX('계산도우미'!$E$5:$E$2004,MATCH(ROWS($A$6:A263),'계산도우미'!$L$5:$L$2004,0)),"")</x:f>
      </x:c>
      <x:c r="F263" t="str">
        <x:f>IFERROR(INDEX('계산도우미'!$F$5:$F$2004,MATCH(ROWS($A$6:A263),'계산도우미'!$L$5:$L$2004,0)),"")</x:f>
      </x:c>
      <x:c r="G263" s="68" t="str">
        <x:f>IFERROR(INDEX('계산도우미'!$G$5:$G$2004,MATCH(ROWS($A$6:A263),'계산도우미'!$L$5:$L$2004,0)),"")</x:f>
      </x:c>
      <x:c r="H263" t="str">
        <x:f>IFERROR(INDEX('계산도우미'!$H$5:$H$2004,MATCH(ROWS($A$6:A263),'계산도우미'!$L$5:$L$2004,0)),"")</x:f>
      </x:c>
      <x:c r="I263" t="str">
        <x:f>IFERROR(INDEX('계산도우미'!$I$5:$I$2004,MATCH(ROWS($A$6:A263),'계산도우미'!$L$5:$L$2004,0)),"")</x:f>
      </x:c>
      <x:c r="J263" t="str">
        <x:f>IFERROR(INDEX('계산도우미'!$J$5:$J$2004,MATCH(ROWS($A$6:A263),'계산도우미'!$L$5:$L$2004,0)),"")</x:f>
      </x:c>
      <x:c r="K263" t="str">
        <x:f>IF(B263="","",IF(I263="확인 필요","붙임 문서 확인 후 거래 성격·기간·상대방·일회성 여부 확인","결의서명과 전기 대비 발생 건수·단가·시점 차이 검토"))</x:f>
      </x:c>
    </x:row>
    <x:row r="264">
      <x:c r="A264" t="str">
        <x:f>IFERROR(INDEX('계산도우미'!$A$5:$A$2004,MATCH(ROWS($A$6:A264),'계산도우미'!$L$5:$L$2004,0)),"")</x:f>
      </x:c>
      <x:c r="B264" t="str">
        <x:f>IFERROR(INDEX('계산도우미'!$B$5:$B$2004,MATCH(ROWS($A$6:A264),'계산도우미'!$L$5:$L$2004,0)),"")</x:f>
      </x:c>
      <x:c r="C264" t="str">
        <x:f>IFERROR(INDEX('계산도우미'!$C$5:$C$2004,MATCH(ROWS($A$6:A264),'계산도우미'!$L$5:$L$2004,0)),"")</x:f>
      </x:c>
      <x:c r="D264" s="67" t="str">
        <x:f>IFERROR(INDEX('계산도우미'!$D$5:$D$2004,MATCH(ROWS($A$6:A264),'계산도우미'!$L$5:$L$2004,0)),"")</x:f>
      </x:c>
      <x:c r="E264" t="str">
        <x:f>IFERROR(INDEX('계산도우미'!$E$5:$E$2004,MATCH(ROWS($A$6:A264),'계산도우미'!$L$5:$L$2004,0)),"")</x:f>
      </x:c>
      <x:c r="F264" t="str">
        <x:f>IFERROR(INDEX('계산도우미'!$F$5:$F$2004,MATCH(ROWS($A$6:A264),'계산도우미'!$L$5:$L$2004,0)),"")</x:f>
      </x:c>
      <x:c r="G264" s="68" t="str">
        <x:f>IFERROR(INDEX('계산도우미'!$G$5:$G$2004,MATCH(ROWS($A$6:A264),'계산도우미'!$L$5:$L$2004,0)),"")</x:f>
      </x:c>
      <x:c r="H264" t="str">
        <x:f>IFERROR(INDEX('계산도우미'!$H$5:$H$2004,MATCH(ROWS($A$6:A264),'계산도우미'!$L$5:$L$2004,0)),"")</x:f>
      </x:c>
      <x:c r="I264" t="str">
        <x:f>IFERROR(INDEX('계산도우미'!$I$5:$I$2004,MATCH(ROWS($A$6:A264),'계산도우미'!$L$5:$L$2004,0)),"")</x:f>
      </x:c>
      <x:c r="J264" t="str">
        <x:f>IFERROR(INDEX('계산도우미'!$J$5:$J$2004,MATCH(ROWS($A$6:A264),'계산도우미'!$L$5:$L$2004,0)),"")</x:f>
      </x:c>
      <x:c r="K264" t="str">
        <x:f>IF(B264="","",IF(I264="확인 필요","붙임 문서 확인 후 거래 성격·기간·상대방·일회성 여부 확인","결의서명과 전기 대비 발생 건수·단가·시점 차이 검토"))</x:f>
      </x:c>
    </x:row>
    <x:row r="265">
      <x:c r="A265" t="str">
        <x:f>IFERROR(INDEX('계산도우미'!$A$5:$A$2004,MATCH(ROWS($A$6:A265),'계산도우미'!$L$5:$L$2004,0)),"")</x:f>
      </x:c>
      <x:c r="B265" t="str">
        <x:f>IFERROR(INDEX('계산도우미'!$B$5:$B$2004,MATCH(ROWS($A$6:A265),'계산도우미'!$L$5:$L$2004,0)),"")</x:f>
      </x:c>
      <x:c r="C265" t="str">
        <x:f>IFERROR(INDEX('계산도우미'!$C$5:$C$2004,MATCH(ROWS($A$6:A265),'계산도우미'!$L$5:$L$2004,0)),"")</x:f>
      </x:c>
      <x:c r="D265" s="67" t="str">
        <x:f>IFERROR(INDEX('계산도우미'!$D$5:$D$2004,MATCH(ROWS($A$6:A265),'계산도우미'!$L$5:$L$2004,0)),"")</x:f>
      </x:c>
      <x:c r="E265" t="str">
        <x:f>IFERROR(INDEX('계산도우미'!$E$5:$E$2004,MATCH(ROWS($A$6:A265),'계산도우미'!$L$5:$L$2004,0)),"")</x:f>
      </x:c>
      <x:c r="F265" t="str">
        <x:f>IFERROR(INDEX('계산도우미'!$F$5:$F$2004,MATCH(ROWS($A$6:A265),'계산도우미'!$L$5:$L$2004,0)),"")</x:f>
      </x:c>
      <x:c r="G265" s="68" t="str">
        <x:f>IFERROR(INDEX('계산도우미'!$G$5:$G$2004,MATCH(ROWS($A$6:A265),'계산도우미'!$L$5:$L$2004,0)),"")</x:f>
      </x:c>
      <x:c r="H265" t="str">
        <x:f>IFERROR(INDEX('계산도우미'!$H$5:$H$2004,MATCH(ROWS($A$6:A265),'계산도우미'!$L$5:$L$2004,0)),"")</x:f>
      </x:c>
      <x:c r="I265" t="str">
        <x:f>IFERROR(INDEX('계산도우미'!$I$5:$I$2004,MATCH(ROWS($A$6:A265),'계산도우미'!$L$5:$L$2004,0)),"")</x:f>
      </x:c>
      <x:c r="J265" t="str">
        <x:f>IFERROR(INDEX('계산도우미'!$J$5:$J$2004,MATCH(ROWS($A$6:A265),'계산도우미'!$L$5:$L$2004,0)),"")</x:f>
      </x:c>
      <x:c r="K265" t="str">
        <x:f>IF(B265="","",IF(I265="확인 필요","붙임 문서 확인 후 거래 성격·기간·상대방·일회성 여부 확인","결의서명과 전기 대비 발생 건수·단가·시점 차이 검토"))</x:f>
      </x:c>
    </x:row>
    <x:row r="266">
      <x:c r="A266" t="str">
        <x:f>IFERROR(INDEX('계산도우미'!$A$5:$A$2004,MATCH(ROWS($A$6:A266),'계산도우미'!$L$5:$L$2004,0)),"")</x:f>
      </x:c>
      <x:c r="B266" t="str">
        <x:f>IFERROR(INDEX('계산도우미'!$B$5:$B$2004,MATCH(ROWS($A$6:A266),'계산도우미'!$L$5:$L$2004,0)),"")</x:f>
      </x:c>
      <x:c r="C266" t="str">
        <x:f>IFERROR(INDEX('계산도우미'!$C$5:$C$2004,MATCH(ROWS($A$6:A266),'계산도우미'!$L$5:$L$2004,0)),"")</x:f>
      </x:c>
      <x:c r="D266" s="67" t="str">
        <x:f>IFERROR(INDEX('계산도우미'!$D$5:$D$2004,MATCH(ROWS($A$6:A266),'계산도우미'!$L$5:$L$2004,0)),"")</x:f>
      </x:c>
      <x:c r="E266" t="str">
        <x:f>IFERROR(INDEX('계산도우미'!$E$5:$E$2004,MATCH(ROWS($A$6:A266),'계산도우미'!$L$5:$L$2004,0)),"")</x:f>
      </x:c>
      <x:c r="F266" t="str">
        <x:f>IFERROR(INDEX('계산도우미'!$F$5:$F$2004,MATCH(ROWS($A$6:A266),'계산도우미'!$L$5:$L$2004,0)),"")</x:f>
      </x:c>
      <x:c r="G266" s="68" t="str">
        <x:f>IFERROR(INDEX('계산도우미'!$G$5:$G$2004,MATCH(ROWS($A$6:A266),'계산도우미'!$L$5:$L$2004,0)),"")</x:f>
      </x:c>
      <x:c r="H266" t="str">
        <x:f>IFERROR(INDEX('계산도우미'!$H$5:$H$2004,MATCH(ROWS($A$6:A266),'계산도우미'!$L$5:$L$2004,0)),"")</x:f>
      </x:c>
      <x:c r="I266" t="str">
        <x:f>IFERROR(INDEX('계산도우미'!$I$5:$I$2004,MATCH(ROWS($A$6:A266),'계산도우미'!$L$5:$L$2004,0)),"")</x:f>
      </x:c>
      <x:c r="J266" t="str">
        <x:f>IFERROR(INDEX('계산도우미'!$J$5:$J$2004,MATCH(ROWS($A$6:A266),'계산도우미'!$L$5:$L$2004,0)),"")</x:f>
      </x:c>
      <x:c r="K266" t="str">
        <x:f>IF(B266="","",IF(I266="확인 필요","붙임 문서 확인 후 거래 성격·기간·상대방·일회성 여부 확인","결의서명과 전기 대비 발생 건수·단가·시점 차이 검토"))</x:f>
      </x:c>
    </x:row>
    <x:row r="267">
      <x:c r="A267" t="str">
        <x:f>IFERROR(INDEX('계산도우미'!$A$5:$A$2004,MATCH(ROWS($A$6:A267),'계산도우미'!$L$5:$L$2004,0)),"")</x:f>
      </x:c>
      <x:c r="B267" t="str">
        <x:f>IFERROR(INDEX('계산도우미'!$B$5:$B$2004,MATCH(ROWS($A$6:A267),'계산도우미'!$L$5:$L$2004,0)),"")</x:f>
      </x:c>
      <x:c r="C267" t="str">
        <x:f>IFERROR(INDEX('계산도우미'!$C$5:$C$2004,MATCH(ROWS($A$6:A267),'계산도우미'!$L$5:$L$2004,0)),"")</x:f>
      </x:c>
      <x:c r="D267" s="67" t="str">
        <x:f>IFERROR(INDEX('계산도우미'!$D$5:$D$2004,MATCH(ROWS($A$6:A267),'계산도우미'!$L$5:$L$2004,0)),"")</x:f>
      </x:c>
      <x:c r="E267" t="str">
        <x:f>IFERROR(INDEX('계산도우미'!$E$5:$E$2004,MATCH(ROWS($A$6:A267),'계산도우미'!$L$5:$L$2004,0)),"")</x:f>
      </x:c>
      <x:c r="F267" t="str">
        <x:f>IFERROR(INDEX('계산도우미'!$F$5:$F$2004,MATCH(ROWS($A$6:A267),'계산도우미'!$L$5:$L$2004,0)),"")</x:f>
      </x:c>
      <x:c r="G267" s="68" t="str">
        <x:f>IFERROR(INDEX('계산도우미'!$G$5:$G$2004,MATCH(ROWS($A$6:A267),'계산도우미'!$L$5:$L$2004,0)),"")</x:f>
      </x:c>
      <x:c r="H267" t="str">
        <x:f>IFERROR(INDEX('계산도우미'!$H$5:$H$2004,MATCH(ROWS($A$6:A267),'계산도우미'!$L$5:$L$2004,0)),"")</x:f>
      </x:c>
      <x:c r="I267" t="str">
        <x:f>IFERROR(INDEX('계산도우미'!$I$5:$I$2004,MATCH(ROWS($A$6:A267),'계산도우미'!$L$5:$L$2004,0)),"")</x:f>
      </x:c>
      <x:c r="J267" t="str">
        <x:f>IFERROR(INDEX('계산도우미'!$J$5:$J$2004,MATCH(ROWS($A$6:A267),'계산도우미'!$L$5:$L$2004,0)),"")</x:f>
      </x:c>
      <x:c r="K267" t="str">
        <x:f>IF(B267="","",IF(I267="확인 필요","붙임 문서 확인 후 거래 성격·기간·상대방·일회성 여부 확인","결의서명과 전기 대비 발생 건수·단가·시점 차이 검토"))</x:f>
      </x:c>
    </x:row>
    <x:row r="268">
      <x:c r="A268" t="str">
        <x:f>IFERROR(INDEX('계산도우미'!$A$5:$A$2004,MATCH(ROWS($A$6:A268),'계산도우미'!$L$5:$L$2004,0)),"")</x:f>
      </x:c>
      <x:c r="B268" t="str">
        <x:f>IFERROR(INDEX('계산도우미'!$B$5:$B$2004,MATCH(ROWS($A$6:A268),'계산도우미'!$L$5:$L$2004,0)),"")</x:f>
      </x:c>
      <x:c r="C268" t="str">
        <x:f>IFERROR(INDEX('계산도우미'!$C$5:$C$2004,MATCH(ROWS($A$6:A268),'계산도우미'!$L$5:$L$2004,0)),"")</x:f>
      </x:c>
      <x:c r="D268" s="67" t="str">
        <x:f>IFERROR(INDEX('계산도우미'!$D$5:$D$2004,MATCH(ROWS($A$6:A268),'계산도우미'!$L$5:$L$2004,0)),"")</x:f>
      </x:c>
      <x:c r="E268" t="str">
        <x:f>IFERROR(INDEX('계산도우미'!$E$5:$E$2004,MATCH(ROWS($A$6:A268),'계산도우미'!$L$5:$L$2004,0)),"")</x:f>
      </x:c>
      <x:c r="F268" t="str">
        <x:f>IFERROR(INDEX('계산도우미'!$F$5:$F$2004,MATCH(ROWS($A$6:A268),'계산도우미'!$L$5:$L$2004,0)),"")</x:f>
      </x:c>
      <x:c r="G268" s="68" t="str">
        <x:f>IFERROR(INDEX('계산도우미'!$G$5:$G$2004,MATCH(ROWS($A$6:A268),'계산도우미'!$L$5:$L$2004,0)),"")</x:f>
      </x:c>
      <x:c r="H268" t="str">
        <x:f>IFERROR(INDEX('계산도우미'!$H$5:$H$2004,MATCH(ROWS($A$6:A268),'계산도우미'!$L$5:$L$2004,0)),"")</x:f>
      </x:c>
      <x:c r="I268" t="str">
        <x:f>IFERROR(INDEX('계산도우미'!$I$5:$I$2004,MATCH(ROWS($A$6:A268),'계산도우미'!$L$5:$L$2004,0)),"")</x:f>
      </x:c>
      <x:c r="J268" t="str">
        <x:f>IFERROR(INDEX('계산도우미'!$J$5:$J$2004,MATCH(ROWS($A$6:A268),'계산도우미'!$L$5:$L$2004,0)),"")</x:f>
      </x:c>
      <x:c r="K268" t="str">
        <x:f>IF(B268="","",IF(I268="확인 필요","붙임 문서 확인 후 거래 성격·기간·상대방·일회성 여부 확인","결의서명과 전기 대비 발생 건수·단가·시점 차이 검토"))</x:f>
      </x:c>
    </x:row>
    <x:row r="269">
      <x:c r="A269" t="str">
        <x:f>IFERROR(INDEX('계산도우미'!$A$5:$A$2004,MATCH(ROWS($A$6:A269),'계산도우미'!$L$5:$L$2004,0)),"")</x:f>
      </x:c>
      <x:c r="B269" t="str">
        <x:f>IFERROR(INDEX('계산도우미'!$B$5:$B$2004,MATCH(ROWS($A$6:A269),'계산도우미'!$L$5:$L$2004,0)),"")</x:f>
      </x:c>
      <x:c r="C269" t="str">
        <x:f>IFERROR(INDEX('계산도우미'!$C$5:$C$2004,MATCH(ROWS($A$6:A269),'계산도우미'!$L$5:$L$2004,0)),"")</x:f>
      </x:c>
      <x:c r="D269" s="67" t="str">
        <x:f>IFERROR(INDEX('계산도우미'!$D$5:$D$2004,MATCH(ROWS($A$6:A269),'계산도우미'!$L$5:$L$2004,0)),"")</x:f>
      </x:c>
      <x:c r="E269" t="str">
        <x:f>IFERROR(INDEX('계산도우미'!$E$5:$E$2004,MATCH(ROWS($A$6:A269),'계산도우미'!$L$5:$L$2004,0)),"")</x:f>
      </x:c>
      <x:c r="F269" t="str">
        <x:f>IFERROR(INDEX('계산도우미'!$F$5:$F$2004,MATCH(ROWS($A$6:A269),'계산도우미'!$L$5:$L$2004,0)),"")</x:f>
      </x:c>
      <x:c r="G269" s="68" t="str">
        <x:f>IFERROR(INDEX('계산도우미'!$G$5:$G$2004,MATCH(ROWS($A$6:A269),'계산도우미'!$L$5:$L$2004,0)),"")</x:f>
      </x:c>
      <x:c r="H269" t="str">
        <x:f>IFERROR(INDEX('계산도우미'!$H$5:$H$2004,MATCH(ROWS($A$6:A269),'계산도우미'!$L$5:$L$2004,0)),"")</x:f>
      </x:c>
      <x:c r="I269" t="str">
        <x:f>IFERROR(INDEX('계산도우미'!$I$5:$I$2004,MATCH(ROWS($A$6:A269),'계산도우미'!$L$5:$L$2004,0)),"")</x:f>
      </x:c>
      <x:c r="J269" t="str">
        <x:f>IFERROR(INDEX('계산도우미'!$J$5:$J$2004,MATCH(ROWS($A$6:A269),'계산도우미'!$L$5:$L$2004,0)),"")</x:f>
      </x:c>
      <x:c r="K269" t="str">
        <x:f>IF(B269="","",IF(I269="확인 필요","붙임 문서 확인 후 거래 성격·기간·상대방·일회성 여부 확인","결의서명과 전기 대비 발생 건수·단가·시점 차이 검토"))</x:f>
      </x:c>
    </x:row>
    <x:row r="270">
      <x:c r="A270" t="str">
        <x:f>IFERROR(INDEX('계산도우미'!$A$5:$A$2004,MATCH(ROWS($A$6:A270),'계산도우미'!$L$5:$L$2004,0)),"")</x:f>
      </x:c>
      <x:c r="B270" t="str">
        <x:f>IFERROR(INDEX('계산도우미'!$B$5:$B$2004,MATCH(ROWS($A$6:A270),'계산도우미'!$L$5:$L$2004,0)),"")</x:f>
      </x:c>
      <x:c r="C270" t="str">
        <x:f>IFERROR(INDEX('계산도우미'!$C$5:$C$2004,MATCH(ROWS($A$6:A270),'계산도우미'!$L$5:$L$2004,0)),"")</x:f>
      </x:c>
      <x:c r="D270" s="67" t="str">
        <x:f>IFERROR(INDEX('계산도우미'!$D$5:$D$2004,MATCH(ROWS($A$6:A270),'계산도우미'!$L$5:$L$2004,0)),"")</x:f>
      </x:c>
      <x:c r="E270" t="str">
        <x:f>IFERROR(INDEX('계산도우미'!$E$5:$E$2004,MATCH(ROWS($A$6:A270),'계산도우미'!$L$5:$L$2004,0)),"")</x:f>
      </x:c>
      <x:c r="F270" t="str">
        <x:f>IFERROR(INDEX('계산도우미'!$F$5:$F$2004,MATCH(ROWS($A$6:A270),'계산도우미'!$L$5:$L$2004,0)),"")</x:f>
      </x:c>
      <x:c r="G270" s="68" t="str">
        <x:f>IFERROR(INDEX('계산도우미'!$G$5:$G$2004,MATCH(ROWS($A$6:A270),'계산도우미'!$L$5:$L$2004,0)),"")</x:f>
      </x:c>
      <x:c r="H270" t="str">
        <x:f>IFERROR(INDEX('계산도우미'!$H$5:$H$2004,MATCH(ROWS($A$6:A270),'계산도우미'!$L$5:$L$2004,0)),"")</x:f>
      </x:c>
      <x:c r="I270" t="str">
        <x:f>IFERROR(INDEX('계산도우미'!$I$5:$I$2004,MATCH(ROWS($A$6:A270),'계산도우미'!$L$5:$L$2004,0)),"")</x:f>
      </x:c>
      <x:c r="J270" t="str">
        <x:f>IFERROR(INDEX('계산도우미'!$J$5:$J$2004,MATCH(ROWS($A$6:A270),'계산도우미'!$L$5:$L$2004,0)),"")</x:f>
      </x:c>
      <x:c r="K270" t="str">
        <x:f>IF(B270="","",IF(I270="확인 필요","붙임 문서 확인 후 거래 성격·기간·상대방·일회성 여부 확인","결의서명과 전기 대비 발생 건수·단가·시점 차이 검토"))</x:f>
      </x:c>
    </x:row>
    <x:row r="271">
      <x:c r="A271" t="str">
        <x:f>IFERROR(INDEX('계산도우미'!$A$5:$A$2004,MATCH(ROWS($A$6:A271),'계산도우미'!$L$5:$L$2004,0)),"")</x:f>
      </x:c>
      <x:c r="B271" t="str">
        <x:f>IFERROR(INDEX('계산도우미'!$B$5:$B$2004,MATCH(ROWS($A$6:A271),'계산도우미'!$L$5:$L$2004,0)),"")</x:f>
      </x:c>
      <x:c r="C271" t="str">
        <x:f>IFERROR(INDEX('계산도우미'!$C$5:$C$2004,MATCH(ROWS($A$6:A271),'계산도우미'!$L$5:$L$2004,0)),"")</x:f>
      </x:c>
      <x:c r="D271" s="67" t="str">
        <x:f>IFERROR(INDEX('계산도우미'!$D$5:$D$2004,MATCH(ROWS($A$6:A271),'계산도우미'!$L$5:$L$2004,0)),"")</x:f>
      </x:c>
      <x:c r="E271" t="str">
        <x:f>IFERROR(INDEX('계산도우미'!$E$5:$E$2004,MATCH(ROWS($A$6:A271),'계산도우미'!$L$5:$L$2004,0)),"")</x:f>
      </x:c>
      <x:c r="F271" t="str">
        <x:f>IFERROR(INDEX('계산도우미'!$F$5:$F$2004,MATCH(ROWS($A$6:A271),'계산도우미'!$L$5:$L$2004,0)),"")</x:f>
      </x:c>
      <x:c r="G271" s="68" t="str">
        <x:f>IFERROR(INDEX('계산도우미'!$G$5:$G$2004,MATCH(ROWS($A$6:A271),'계산도우미'!$L$5:$L$2004,0)),"")</x:f>
      </x:c>
      <x:c r="H271" t="str">
        <x:f>IFERROR(INDEX('계산도우미'!$H$5:$H$2004,MATCH(ROWS($A$6:A271),'계산도우미'!$L$5:$L$2004,0)),"")</x:f>
      </x:c>
      <x:c r="I271" t="str">
        <x:f>IFERROR(INDEX('계산도우미'!$I$5:$I$2004,MATCH(ROWS($A$6:A271),'계산도우미'!$L$5:$L$2004,0)),"")</x:f>
      </x:c>
      <x:c r="J271" t="str">
        <x:f>IFERROR(INDEX('계산도우미'!$J$5:$J$2004,MATCH(ROWS($A$6:A271),'계산도우미'!$L$5:$L$2004,0)),"")</x:f>
      </x:c>
      <x:c r="K271" t="str">
        <x:f>IF(B271="","",IF(I271="확인 필요","붙임 문서 확인 후 거래 성격·기간·상대방·일회성 여부 확인","결의서명과 전기 대비 발생 건수·단가·시점 차이 검토"))</x:f>
      </x:c>
    </x:row>
    <x:row r="272">
      <x:c r="A272" t="str">
        <x:f>IFERROR(INDEX('계산도우미'!$A$5:$A$2004,MATCH(ROWS($A$6:A272),'계산도우미'!$L$5:$L$2004,0)),"")</x:f>
      </x:c>
      <x:c r="B272" t="str">
        <x:f>IFERROR(INDEX('계산도우미'!$B$5:$B$2004,MATCH(ROWS($A$6:A272),'계산도우미'!$L$5:$L$2004,0)),"")</x:f>
      </x:c>
      <x:c r="C272" t="str">
        <x:f>IFERROR(INDEX('계산도우미'!$C$5:$C$2004,MATCH(ROWS($A$6:A272),'계산도우미'!$L$5:$L$2004,0)),"")</x:f>
      </x:c>
      <x:c r="D272" s="67" t="str">
        <x:f>IFERROR(INDEX('계산도우미'!$D$5:$D$2004,MATCH(ROWS($A$6:A272),'계산도우미'!$L$5:$L$2004,0)),"")</x:f>
      </x:c>
      <x:c r="E272" t="str">
        <x:f>IFERROR(INDEX('계산도우미'!$E$5:$E$2004,MATCH(ROWS($A$6:A272),'계산도우미'!$L$5:$L$2004,0)),"")</x:f>
      </x:c>
      <x:c r="F272" t="str">
        <x:f>IFERROR(INDEX('계산도우미'!$F$5:$F$2004,MATCH(ROWS($A$6:A272),'계산도우미'!$L$5:$L$2004,0)),"")</x:f>
      </x:c>
      <x:c r="G272" s="68" t="str">
        <x:f>IFERROR(INDEX('계산도우미'!$G$5:$G$2004,MATCH(ROWS($A$6:A272),'계산도우미'!$L$5:$L$2004,0)),"")</x:f>
      </x:c>
      <x:c r="H272" t="str">
        <x:f>IFERROR(INDEX('계산도우미'!$H$5:$H$2004,MATCH(ROWS($A$6:A272),'계산도우미'!$L$5:$L$2004,0)),"")</x:f>
      </x:c>
      <x:c r="I272" t="str">
        <x:f>IFERROR(INDEX('계산도우미'!$I$5:$I$2004,MATCH(ROWS($A$6:A272),'계산도우미'!$L$5:$L$2004,0)),"")</x:f>
      </x:c>
      <x:c r="J272" t="str">
        <x:f>IFERROR(INDEX('계산도우미'!$J$5:$J$2004,MATCH(ROWS($A$6:A272),'계산도우미'!$L$5:$L$2004,0)),"")</x:f>
      </x:c>
      <x:c r="K272" t="str">
        <x:f>IF(B272="","",IF(I272="확인 필요","붙임 문서 확인 후 거래 성격·기간·상대방·일회성 여부 확인","결의서명과 전기 대비 발생 건수·단가·시점 차이 검토"))</x:f>
      </x:c>
    </x:row>
    <x:row r="273">
      <x:c r="A273" t="str">
        <x:f>IFERROR(INDEX('계산도우미'!$A$5:$A$2004,MATCH(ROWS($A$6:A273),'계산도우미'!$L$5:$L$2004,0)),"")</x:f>
      </x:c>
      <x:c r="B273" t="str">
        <x:f>IFERROR(INDEX('계산도우미'!$B$5:$B$2004,MATCH(ROWS($A$6:A273),'계산도우미'!$L$5:$L$2004,0)),"")</x:f>
      </x:c>
      <x:c r="C273" t="str">
        <x:f>IFERROR(INDEX('계산도우미'!$C$5:$C$2004,MATCH(ROWS($A$6:A273),'계산도우미'!$L$5:$L$2004,0)),"")</x:f>
      </x:c>
      <x:c r="D273" s="67" t="str">
        <x:f>IFERROR(INDEX('계산도우미'!$D$5:$D$2004,MATCH(ROWS($A$6:A273),'계산도우미'!$L$5:$L$2004,0)),"")</x:f>
      </x:c>
      <x:c r="E273" t="str">
        <x:f>IFERROR(INDEX('계산도우미'!$E$5:$E$2004,MATCH(ROWS($A$6:A273),'계산도우미'!$L$5:$L$2004,0)),"")</x:f>
      </x:c>
      <x:c r="F273" t="str">
        <x:f>IFERROR(INDEX('계산도우미'!$F$5:$F$2004,MATCH(ROWS($A$6:A273),'계산도우미'!$L$5:$L$2004,0)),"")</x:f>
      </x:c>
      <x:c r="G273" s="68" t="str">
        <x:f>IFERROR(INDEX('계산도우미'!$G$5:$G$2004,MATCH(ROWS($A$6:A273),'계산도우미'!$L$5:$L$2004,0)),"")</x:f>
      </x:c>
      <x:c r="H273" t="str">
        <x:f>IFERROR(INDEX('계산도우미'!$H$5:$H$2004,MATCH(ROWS($A$6:A273),'계산도우미'!$L$5:$L$2004,0)),"")</x:f>
      </x:c>
      <x:c r="I273" t="str">
        <x:f>IFERROR(INDEX('계산도우미'!$I$5:$I$2004,MATCH(ROWS($A$6:A273),'계산도우미'!$L$5:$L$2004,0)),"")</x:f>
      </x:c>
      <x:c r="J273" t="str">
        <x:f>IFERROR(INDEX('계산도우미'!$J$5:$J$2004,MATCH(ROWS($A$6:A273),'계산도우미'!$L$5:$L$2004,0)),"")</x:f>
      </x:c>
      <x:c r="K273" t="str">
        <x:f>IF(B273="","",IF(I273="확인 필요","붙임 문서 확인 후 거래 성격·기간·상대방·일회성 여부 확인","결의서명과 전기 대비 발생 건수·단가·시점 차이 검토"))</x:f>
      </x:c>
    </x:row>
    <x:row r="274">
      <x:c r="A274" t="str">
        <x:f>IFERROR(INDEX('계산도우미'!$A$5:$A$2004,MATCH(ROWS($A$6:A274),'계산도우미'!$L$5:$L$2004,0)),"")</x:f>
      </x:c>
      <x:c r="B274" t="str">
        <x:f>IFERROR(INDEX('계산도우미'!$B$5:$B$2004,MATCH(ROWS($A$6:A274),'계산도우미'!$L$5:$L$2004,0)),"")</x:f>
      </x:c>
      <x:c r="C274" t="str">
        <x:f>IFERROR(INDEX('계산도우미'!$C$5:$C$2004,MATCH(ROWS($A$6:A274),'계산도우미'!$L$5:$L$2004,0)),"")</x:f>
      </x:c>
      <x:c r="D274" s="67" t="str">
        <x:f>IFERROR(INDEX('계산도우미'!$D$5:$D$2004,MATCH(ROWS($A$6:A274),'계산도우미'!$L$5:$L$2004,0)),"")</x:f>
      </x:c>
      <x:c r="E274" t="str">
        <x:f>IFERROR(INDEX('계산도우미'!$E$5:$E$2004,MATCH(ROWS($A$6:A274),'계산도우미'!$L$5:$L$2004,0)),"")</x:f>
      </x:c>
      <x:c r="F274" t="str">
        <x:f>IFERROR(INDEX('계산도우미'!$F$5:$F$2004,MATCH(ROWS($A$6:A274),'계산도우미'!$L$5:$L$2004,0)),"")</x:f>
      </x:c>
      <x:c r="G274" s="68" t="str">
        <x:f>IFERROR(INDEX('계산도우미'!$G$5:$G$2004,MATCH(ROWS($A$6:A274),'계산도우미'!$L$5:$L$2004,0)),"")</x:f>
      </x:c>
      <x:c r="H274" t="str">
        <x:f>IFERROR(INDEX('계산도우미'!$H$5:$H$2004,MATCH(ROWS($A$6:A274),'계산도우미'!$L$5:$L$2004,0)),"")</x:f>
      </x:c>
      <x:c r="I274" t="str">
        <x:f>IFERROR(INDEX('계산도우미'!$I$5:$I$2004,MATCH(ROWS($A$6:A274),'계산도우미'!$L$5:$L$2004,0)),"")</x:f>
      </x:c>
      <x:c r="J274" t="str">
        <x:f>IFERROR(INDEX('계산도우미'!$J$5:$J$2004,MATCH(ROWS($A$6:A274),'계산도우미'!$L$5:$L$2004,0)),"")</x:f>
      </x:c>
      <x:c r="K274" t="str">
        <x:f>IF(B274="","",IF(I274="확인 필요","붙임 문서 확인 후 거래 성격·기간·상대방·일회성 여부 확인","결의서명과 전기 대비 발생 건수·단가·시점 차이 검토"))</x:f>
      </x:c>
    </x:row>
    <x:row r="275">
      <x:c r="A275" t="str">
        <x:f>IFERROR(INDEX('계산도우미'!$A$5:$A$2004,MATCH(ROWS($A$6:A275),'계산도우미'!$L$5:$L$2004,0)),"")</x:f>
      </x:c>
      <x:c r="B275" t="str">
        <x:f>IFERROR(INDEX('계산도우미'!$B$5:$B$2004,MATCH(ROWS($A$6:A275),'계산도우미'!$L$5:$L$2004,0)),"")</x:f>
      </x:c>
      <x:c r="C275" t="str">
        <x:f>IFERROR(INDEX('계산도우미'!$C$5:$C$2004,MATCH(ROWS($A$6:A275),'계산도우미'!$L$5:$L$2004,0)),"")</x:f>
      </x:c>
      <x:c r="D275" s="67" t="str">
        <x:f>IFERROR(INDEX('계산도우미'!$D$5:$D$2004,MATCH(ROWS($A$6:A275),'계산도우미'!$L$5:$L$2004,0)),"")</x:f>
      </x:c>
      <x:c r="E275" t="str">
        <x:f>IFERROR(INDEX('계산도우미'!$E$5:$E$2004,MATCH(ROWS($A$6:A275),'계산도우미'!$L$5:$L$2004,0)),"")</x:f>
      </x:c>
      <x:c r="F275" t="str">
        <x:f>IFERROR(INDEX('계산도우미'!$F$5:$F$2004,MATCH(ROWS($A$6:A275),'계산도우미'!$L$5:$L$2004,0)),"")</x:f>
      </x:c>
      <x:c r="G275" s="68" t="str">
        <x:f>IFERROR(INDEX('계산도우미'!$G$5:$G$2004,MATCH(ROWS($A$6:A275),'계산도우미'!$L$5:$L$2004,0)),"")</x:f>
      </x:c>
      <x:c r="H275" t="str">
        <x:f>IFERROR(INDEX('계산도우미'!$H$5:$H$2004,MATCH(ROWS($A$6:A275),'계산도우미'!$L$5:$L$2004,0)),"")</x:f>
      </x:c>
      <x:c r="I275" t="str">
        <x:f>IFERROR(INDEX('계산도우미'!$I$5:$I$2004,MATCH(ROWS($A$6:A275),'계산도우미'!$L$5:$L$2004,0)),"")</x:f>
      </x:c>
      <x:c r="J275" t="str">
        <x:f>IFERROR(INDEX('계산도우미'!$J$5:$J$2004,MATCH(ROWS($A$6:A275),'계산도우미'!$L$5:$L$2004,0)),"")</x:f>
      </x:c>
      <x:c r="K275" t="str">
        <x:f>IF(B275="","",IF(I275="확인 필요","붙임 문서 확인 후 거래 성격·기간·상대방·일회성 여부 확인","결의서명과 전기 대비 발생 건수·단가·시점 차이 검토"))</x:f>
      </x:c>
    </x:row>
    <x:row r="276">
      <x:c r="A276" t="str">
        <x:f>IFERROR(INDEX('계산도우미'!$A$5:$A$2004,MATCH(ROWS($A$6:A276),'계산도우미'!$L$5:$L$2004,0)),"")</x:f>
      </x:c>
      <x:c r="B276" t="str">
        <x:f>IFERROR(INDEX('계산도우미'!$B$5:$B$2004,MATCH(ROWS($A$6:A276),'계산도우미'!$L$5:$L$2004,0)),"")</x:f>
      </x:c>
      <x:c r="C276" t="str">
        <x:f>IFERROR(INDEX('계산도우미'!$C$5:$C$2004,MATCH(ROWS($A$6:A276),'계산도우미'!$L$5:$L$2004,0)),"")</x:f>
      </x:c>
      <x:c r="D276" s="67" t="str">
        <x:f>IFERROR(INDEX('계산도우미'!$D$5:$D$2004,MATCH(ROWS($A$6:A276),'계산도우미'!$L$5:$L$2004,0)),"")</x:f>
      </x:c>
      <x:c r="E276" t="str">
        <x:f>IFERROR(INDEX('계산도우미'!$E$5:$E$2004,MATCH(ROWS($A$6:A276),'계산도우미'!$L$5:$L$2004,0)),"")</x:f>
      </x:c>
      <x:c r="F276" t="str">
        <x:f>IFERROR(INDEX('계산도우미'!$F$5:$F$2004,MATCH(ROWS($A$6:A276),'계산도우미'!$L$5:$L$2004,0)),"")</x:f>
      </x:c>
      <x:c r="G276" s="68" t="str">
        <x:f>IFERROR(INDEX('계산도우미'!$G$5:$G$2004,MATCH(ROWS($A$6:A276),'계산도우미'!$L$5:$L$2004,0)),"")</x:f>
      </x:c>
      <x:c r="H276" t="str">
        <x:f>IFERROR(INDEX('계산도우미'!$H$5:$H$2004,MATCH(ROWS($A$6:A276),'계산도우미'!$L$5:$L$2004,0)),"")</x:f>
      </x:c>
      <x:c r="I276" t="str">
        <x:f>IFERROR(INDEX('계산도우미'!$I$5:$I$2004,MATCH(ROWS($A$6:A276),'계산도우미'!$L$5:$L$2004,0)),"")</x:f>
      </x:c>
      <x:c r="J276" t="str">
        <x:f>IFERROR(INDEX('계산도우미'!$J$5:$J$2004,MATCH(ROWS($A$6:A276),'계산도우미'!$L$5:$L$2004,0)),"")</x:f>
      </x:c>
      <x:c r="K276" t="str">
        <x:f>IF(B276="","",IF(I276="확인 필요","붙임 문서 확인 후 거래 성격·기간·상대방·일회성 여부 확인","결의서명과 전기 대비 발생 건수·단가·시점 차이 검토"))</x:f>
      </x:c>
    </x:row>
    <x:row r="277">
      <x:c r="A277" t="str">
        <x:f>IFERROR(INDEX('계산도우미'!$A$5:$A$2004,MATCH(ROWS($A$6:A277),'계산도우미'!$L$5:$L$2004,0)),"")</x:f>
      </x:c>
      <x:c r="B277" t="str">
        <x:f>IFERROR(INDEX('계산도우미'!$B$5:$B$2004,MATCH(ROWS($A$6:A277),'계산도우미'!$L$5:$L$2004,0)),"")</x:f>
      </x:c>
      <x:c r="C277" t="str">
        <x:f>IFERROR(INDEX('계산도우미'!$C$5:$C$2004,MATCH(ROWS($A$6:A277),'계산도우미'!$L$5:$L$2004,0)),"")</x:f>
      </x:c>
      <x:c r="D277" s="67" t="str">
        <x:f>IFERROR(INDEX('계산도우미'!$D$5:$D$2004,MATCH(ROWS($A$6:A277),'계산도우미'!$L$5:$L$2004,0)),"")</x:f>
      </x:c>
      <x:c r="E277" t="str">
        <x:f>IFERROR(INDEX('계산도우미'!$E$5:$E$2004,MATCH(ROWS($A$6:A277),'계산도우미'!$L$5:$L$2004,0)),"")</x:f>
      </x:c>
      <x:c r="F277" t="str">
        <x:f>IFERROR(INDEX('계산도우미'!$F$5:$F$2004,MATCH(ROWS($A$6:A277),'계산도우미'!$L$5:$L$2004,0)),"")</x:f>
      </x:c>
      <x:c r="G277" s="68" t="str">
        <x:f>IFERROR(INDEX('계산도우미'!$G$5:$G$2004,MATCH(ROWS($A$6:A277),'계산도우미'!$L$5:$L$2004,0)),"")</x:f>
      </x:c>
      <x:c r="H277" t="str">
        <x:f>IFERROR(INDEX('계산도우미'!$H$5:$H$2004,MATCH(ROWS($A$6:A277),'계산도우미'!$L$5:$L$2004,0)),"")</x:f>
      </x:c>
      <x:c r="I277" t="str">
        <x:f>IFERROR(INDEX('계산도우미'!$I$5:$I$2004,MATCH(ROWS($A$6:A277),'계산도우미'!$L$5:$L$2004,0)),"")</x:f>
      </x:c>
      <x:c r="J277" t="str">
        <x:f>IFERROR(INDEX('계산도우미'!$J$5:$J$2004,MATCH(ROWS($A$6:A277),'계산도우미'!$L$5:$L$2004,0)),"")</x:f>
      </x:c>
      <x:c r="K277" t="str">
        <x:f>IF(B277="","",IF(I277="확인 필요","붙임 문서 확인 후 거래 성격·기간·상대방·일회성 여부 확인","결의서명과 전기 대비 발생 건수·단가·시점 차이 검토"))</x:f>
      </x:c>
    </x:row>
    <x:row r="278">
      <x:c r="A278" t="str">
        <x:f>IFERROR(INDEX('계산도우미'!$A$5:$A$2004,MATCH(ROWS($A$6:A278),'계산도우미'!$L$5:$L$2004,0)),"")</x:f>
      </x:c>
      <x:c r="B278" t="str">
        <x:f>IFERROR(INDEX('계산도우미'!$B$5:$B$2004,MATCH(ROWS($A$6:A278),'계산도우미'!$L$5:$L$2004,0)),"")</x:f>
      </x:c>
      <x:c r="C278" t="str">
        <x:f>IFERROR(INDEX('계산도우미'!$C$5:$C$2004,MATCH(ROWS($A$6:A278),'계산도우미'!$L$5:$L$2004,0)),"")</x:f>
      </x:c>
      <x:c r="D278" s="67" t="str">
        <x:f>IFERROR(INDEX('계산도우미'!$D$5:$D$2004,MATCH(ROWS($A$6:A278),'계산도우미'!$L$5:$L$2004,0)),"")</x:f>
      </x:c>
      <x:c r="E278" t="str">
        <x:f>IFERROR(INDEX('계산도우미'!$E$5:$E$2004,MATCH(ROWS($A$6:A278),'계산도우미'!$L$5:$L$2004,0)),"")</x:f>
      </x:c>
      <x:c r="F278" t="str">
        <x:f>IFERROR(INDEX('계산도우미'!$F$5:$F$2004,MATCH(ROWS($A$6:A278),'계산도우미'!$L$5:$L$2004,0)),"")</x:f>
      </x:c>
      <x:c r="G278" s="68" t="str">
        <x:f>IFERROR(INDEX('계산도우미'!$G$5:$G$2004,MATCH(ROWS($A$6:A278),'계산도우미'!$L$5:$L$2004,0)),"")</x:f>
      </x:c>
      <x:c r="H278" t="str">
        <x:f>IFERROR(INDEX('계산도우미'!$H$5:$H$2004,MATCH(ROWS($A$6:A278),'계산도우미'!$L$5:$L$2004,0)),"")</x:f>
      </x:c>
      <x:c r="I278" t="str">
        <x:f>IFERROR(INDEX('계산도우미'!$I$5:$I$2004,MATCH(ROWS($A$6:A278),'계산도우미'!$L$5:$L$2004,0)),"")</x:f>
      </x:c>
      <x:c r="J278" t="str">
        <x:f>IFERROR(INDEX('계산도우미'!$J$5:$J$2004,MATCH(ROWS($A$6:A278),'계산도우미'!$L$5:$L$2004,0)),"")</x:f>
      </x:c>
      <x:c r="K278" t="str">
        <x:f>IF(B278="","",IF(I278="확인 필요","붙임 문서 확인 후 거래 성격·기간·상대방·일회성 여부 확인","결의서명과 전기 대비 발생 건수·단가·시점 차이 검토"))</x:f>
      </x:c>
    </x:row>
    <x:row r="279">
      <x:c r="A279" t="str">
        <x:f>IFERROR(INDEX('계산도우미'!$A$5:$A$2004,MATCH(ROWS($A$6:A279),'계산도우미'!$L$5:$L$2004,0)),"")</x:f>
      </x:c>
      <x:c r="B279" t="str">
        <x:f>IFERROR(INDEX('계산도우미'!$B$5:$B$2004,MATCH(ROWS($A$6:A279),'계산도우미'!$L$5:$L$2004,0)),"")</x:f>
      </x:c>
      <x:c r="C279" t="str">
        <x:f>IFERROR(INDEX('계산도우미'!$C$5:$C$2004,MATCH(ROWS($A$6:A279),'계산도우미'!$L$5:$L$2004,0)),"")</x:f>
      </x:c>
      <x:c r="D279" s="67" t="str">
        <x:f>IFERROR(INDEX('계산도우미'!$D$5:$D$2004,MATCH(ROWS($A$6:A279),'계산도우미'!$L$5:$L$2004,0)),"")</x:f>
      </x:c>
      <x:c r="E279" t="str">
        <x:f>IFERROR(INDEX('계산도우미'!$E$5:$E$2004,MATCH(ROWS($A$6:A279),'계산도우미'!$L$5:$L$2004,0)),"")</x:f>
      </x:c>
      <x:c r="F279" t="str">
        <x:f>IFERROR(INDEX('계산도우미'!$F$5:$F$2004,MATCH(ROWS($A$6:A279),'계산도우미'!$L$5:$L$2004,0)),"")</x:f>
      </x:c>
      <x:c r="G279" s="68" t="str">
        <x:f>IFERROR(INDEX('계산도우미'!$G$5:$G$2004,MATCH(ROWS($A$6:A279),'계산도우미'!$L$5:$L$2004,0)),"")</x:f>
      </x:c>
      <x:c r="H279" t="str">
        <x:f>IFERROR(INDEX('계산도우미'!$H$5:$H$2004,MATCH(ROWS($A$6:A279),'계산도우미'!$L$5:$L$2004,0)),"")</x:f>
      </x:c>
      <x:c r="I279" t="str">
        <x:f>IFERROR(INDEX('계산도우미'!$I$5:$I$2004,MATCH(ROWS($A$6:A279),'계산도우미'!$L$5:$L$2004,0)),"")</x:f>
      </x:c>
      <x:c r="J279" t="str">
        <x:f>IFERROR(INDEX('계산도우미'!$J$5:$J$2004,MATCH(ROWS($A$6:A279),'계산도우미'!$L$5:$L$2004,0)),"")</x:f>
      </x:c>
      <x:c r="K279" t="str">
        <x:f>IF(B279="","",IF(I279="확인 필요","붙임 문서 확인 후 거래 성격·기간·상대방·일회성 여부 확인","결의서명과 전기 대비 발생 건수·단가·시점 차이 검토"))</x:f>
      </x:c>
    </x:row>
    <x:row r="280">
      <x:c r="A280" t="str">
        <x:f>IFERROR(INDEX('계산도우미'!$A$5:$A$2004,MATCH(ROWS($A$6:A280),'계산도우미'!$L$5:$L$2004,0)),"")</x:f>
      </x:c>
      <x:c r="B280" t="str">
        <x:f>IFERROR(INDEX('계산도우미'!$B$5:$B$2004,MATCH(ROWS($A$6:A280),'계산도우미'!$L$5:$L$2004,0)),"")</x:f>
      </x:c>
      <x:c r="C280" t="str">
        <x:f>IFERROR(INDEX('계산도우미'!$C$5:$C$2004,MATCH(ROWS($A$6:A280),'계산도우미'!$L$5:$L$2004,0)),"")</x:f>
      </x:c>
      <x:c r="D280" s="67" t="str">
        <x:f>IFERROR(INDEX('계산도우미'!$D$5:$D$2004,MATCH(ROWS($A$6:A280),'계산도우미'!$L$5:$L$2004,0)),"")</x:f>
      </x:c>
      <x:c r="E280" t="str">
        <x:f>IFERROR(INDEX('계산도우미'!$E$5:$E$2004,MATCH(ROWS($A$6:A280),'계산도우미'!$L$5:$L$2004,0)),"")</x:f>
      </x:c>
      <x:c r="F280" t="str">
        <x:f>IFERROR(INDEX('계산도우미'!$F$5:$F$2004,MATCH(ROWS($A$6:A280),'계산도우미'!$L$5:$L$2004,0)),"")</x:f>
      </x:c>
      <x:c r="G280" s="68" t="str">
        <x:f>IFERROR(INDEX('계산도우미'!$G$5:$G$2004,MATCH(ROWS($A$6:A280),'계산도우미'!$L$5:$L$2004,0)),"")</x:f>
      </x:c>
      <x:c r="H280" t="str">
        <x:f>IFERROR(INDEX('계산도우미'!$H$5:$H$2004,MATCH(ROWS($A$6:A280),'계산도우미'!$L$5:$L$2004,0)),"")</x:f>
      </x:c>
      <x:c r="I280" t="str">
        <x:f>IFERROR(INDEX('계산도우미'!$I$5:$I$2004,MATCH(ROWS($A$6:A280),'계산도우미'!$L$5:$L$2004,0)),"")</x:f>
      </x:c>
      <x:c r="J280" t="str">
        <x:f>IFERROR(INDEX('계산도우미'!$J$5:$J$2004,MATCH(ROWS($A$6:A280),'계산도우미'!$L$5:$L$2004,0)),"")</x:f>
      </x:c>
      <x:c r="K280" t="str">
        <x:f>IF(B280="","",IF(I280="확인 필요","붙임 문서 확인 후 거래 성격·기간·상대방·일회성 여부 확인","결의서명과 전기 대비 발생 건수·단가·시점 차이 검토"))</x:f>
      </x:c>
    </x:row>
    <x:row r="281">
      <x:c r="A281" t="str">
        <x:f>IFERROR(INDEX('계산도우미'!$A$5:$A$2004,MATCH(ROWS($A$6:A281),'계산도우미'!$L$5:$L$2004,0)),"")</x:f>
      </x:c>
      <x:c r="B281" t="str">
        <x:f>IFERROR(INDEX('계산도우미'!$B$5:$B$2004,MATCH(ROWS($A$6:A281),'계산도우미'!$L$5:$L$2004,0)),"")</x:f>
      </x:c>
      <x:c r="C281" t="str">
        <x:f>IFERROR(INDEX('계산도우미'!$C$5:$C$2004,MATCH(ROWS($A$6:A281),'계산도우미'!$L$5:$L$2004,0)),"")</x:f>
      </x:c>
      <x:c r="D281" s="67" t="str">
        <x:f>IFERROR(INDEX('계산도우미'!$D$5:$D$2004,MATCH(ROWS($A$6:A281),'계산도우미'!$L$5:$L$2004,0)),"")</x:f>
      </x:c>
      <x:c r="E281" t="str">
        <x:f>IFERROR(INDEX('계산도우미'!$E$5:$E$2004,MATCH(ROWS($A$6:A281),'계산도우미'!$L$5:$L$2004,0)),"")</x:f>
      </x:c>
      <x:c r="F281" t="str">
        <x:f>IFERROR(INDEX('계산도우미'!$F$5:$F$2004,MATCH(ROWS($A$6:A281),'계산도우미'!$L$5:$L$2004,0)),"")</x:f>
      </x:c>
      <x:c r="G281" s="68" t="str">
        <x:f>IFERROR(INDEX('계산도우미'!$G$5:$G$2004,MATCH(ROWS($A$6:A281),'계산도우미'!$L$5:$L$2004,0)),"")</x:f>
      </x:c>
      <x:c r="H281" t="str">
        <x:f>IFERROR(INDEX('계산도우미'!$H$5:$H$2004,MATCH(ROWS($A$6:A281),'계산도우미'!$L$5:$L$2004,0)),"")</x:f>
      </x:c>
      <x:c r="I281" t="str">
        <x:f>IFERROR(INDEX('계산도우미'!$I$5:$I$2004,MATCH(ROWS($A$6:A281),'계산도우미'!$L$5:$L$2004,0)),"")</x:f>
      </x:c>
      <x:c r="J281" t="str">
        <x:f>IFERROR(INDEX('계산도우미'!$J$5:$J$2004,MATCH(ROWS($A$6:A281),'계산도우미'!$L$5:$L$2004,0)),"")</x:f>
      </x:c>
      <x:c r="K281" t="str">
        <x:f>IF(B281="","",IF(I281="확인 필요","붙임 문서 확인 후 거래 성격·기간·상대방·일회성 여부 확인","결의서명과 전기 대비 발생 건수·단가·시점 차이 검토"))</x:f>
      </x:c>
    </x:row>
    <x:row r="282">
      <x:c r="A282" t="str">
        <x:f>IFERROR(INDEX('계산도우미'!$A$5:$A$2004,MATCH(ROWS($A$6:A282),'계산도우미'!$L$5:$L$2004,0)),"")</x:f>
      </x:c>
      <x:c r="B282" t="str">
        <x:f>IFERROR(INDEX('계산도우미'!$B$5:$B$2004,MATCH(ROWS($A$6:A282),'계산도우미'!$L$5:$L$2004,0)),"")</x:f>
      </x:c>
      <x:c r="C282" t="str">
        <x:f>IFERROR(INDEX('계산도우미'!$C$5:$C$2004,MATCH(ROWS($A$6:A282),'계산도우미'!$L$5:$L$2004,0)),"")</x:f>
      </x:c>
      <x:c r="D282" s="67" t="str">
        <x:f>IFERROR(INDEX('계산도우미'!$D$5:$D$2004,MATCH(ROWS($A$6:A282),'계산도우미'!$L$5:$L$2004,0)),"")</x:f>
      </x:c>
      <x:c r="E282" t="str">
        <x:f>IFERROR(INDEX('계산도우미'!$E$5:$E$2004,MATCH(ROWS($A$6:A282),'계산도우미'!$L$5:$L$2004,0)),"")</x:f>
      </x:c>
      <x:c r="F282" t="str">
        <x:f>IFERROR(INDEX('계산도우미'!$F$5:$F$2004,MATCH(ROWS($A$6:A282),'계산도우미'!$L$5:$L$2004,0)),"")</x:f>
      </x:c>
      <x:c r="G282" s="68" t="str">
        <x:f>IFERROR(INDEX('계산도우미'!$G$5:$G$2004,MATCH(ROWS($A$6:A282),'계산도우미'!$L$5:$L$2004,0)),"")</x:f>
      </x:c>
      <x:c r="H282" t="str">
        <x:f>IFERROR(INDEX('계산도우미'!$H$5:$H$2004,MATCH(ROWS($A$6:A282),'계산도우미'!$L$5:$L$2004,0)),"")</x:f>
      </x:c>
      <x:c r="I282" t="str">
        <x:f>IFERROR(INDEX('계산도우미'!$I$5:$I$2004,MATCH(ROWS($A$6:A282),'계산도우미'!$L$5:$L$2004,0)),"")</x:f>
      </x:c>
      <x:c r="J282" t="str">
        <x:f>IFERROR(INDEX('계산도우미'!$J$5:$J$2004,MATCH(ROWS($A$6:A282),'계산도우미'!$L$5:$L$2004,0)),"")</x:f>
      </x:c>
      <x:c r="K282" t="str">
        <x:f>IF(B282="","",IF(I282="확인 필요","붙임 문서 확인 후 거래 성격·기간·상대방·일회성 여부 확인","결의서명과 전기 대비 발생 건수·단가·시점 차이 검토"))</x:f>
      </x:c>
    </x:row>
    <x:row r="283">
      <x:c r="A283" t="str">
        <x:f>IFERROR(INDEX('계산도우미'!$A$5:$A$2004,MATCH(ROWS($A$6:A283),'계산도우미'!$L$5:$L$2004,0)),"")</x:f>
      </x:c>
      <x:c r="B283" t="str">
        <x:f>IFERROR(INDEX('계산도우미'!$B$5:$B$2004,MATCH(ROWS($A$6:A283),'계산도우미'!$L$5:$L$2004,0)),"")</x:f>
      </x:c>
      <x:c r="C283" t="str">
        <x:f>IFERROR(INDEX('계산도우미'!$C$5:$C$2004,MATCH(ROWS($A$6:A283),'계산도우미'!$L$5:$L$2004,0)),"")</x:f>
      </x:c>
      <x:c r="D283" s="67" t="str">
        <x:f>IFERROR(INDEX('계산도우미'!$D$5:$D$2004,MATCH(ROWS($A$6:A283),'계산도우미'!$L$5:$L$2004,0)),"")</x:f>
      </x:c>
      <x:c r="E283" t="str">
        <x:f>IFERROR(INDEX('계산도우미'!$E$5:$E$2004,MATCH(ROWS($A$6:A283),'계산도우미'!$L$5:$L$2004,0)),"")</x:f>
      </x:c>
      <x:c r="F283" t="str">
        <x:f>IFERROR(INDEX('계산도우미'!$F$5:$F$2004,MATCH(ROWS($A$6:A283),'계산도우미'!$L$5:$L$2004,0)),"")</x:f>
      </x:c>
      <x:c r="G283" s="68" t="str">
        <x:f>IFERROR(INDEX('계산도우미'!$G$5:$G$2004,MATCH(ROWS($A$6:A283),'계산도우미'!$L$5:$L$2004,0)),"")</x:f>
      </x:c>
      <x:c r="H283" t="str">
        <x:f>IFERROR(INDEX('계산도우미'!$H$5:$H$2004,MATCH(ROWS($A$6:A283),'계산도우미'!$L$5:$L$2004,0)),"")</x:f>
      </x:c>
      <x:c r="I283" t="str">
        <x:f>IFERROR(INDEX('계산도우미'!$I$5:$I$2004,MATCH(ROWS($A$6:A283),'계산도우미'!$L$5:$L$2004,0)),"")</x:f>
      </x:c>
      <x:c r="J283" t="str">
        <x:f>IFERROR(INDEX('계산도우미'!$J$5:$J$2004,MATCH(ROWS($A$6:A283),'계산도우미'!$L$5:$L$2004,0)),"")</x:f>
      </x:c>
      <x:c r="K283" t="str">
        <x:f>IF(B283="","",IF(I283="확인 필요","붙임 문서 확인 후 거래 성격·기간·상대방·일회성 여부 확인","결의서명과 전기 대비 발생 건수·단가·시점 차이 검토"))</x:f>
      </x:c>
    </x:row>
    <x:row r="284">
      <x:c r="A284" t="str">
        <x:f>IFERROR(INDEX('계산도우미'!$A$5:$A$2004,MATCH(ROWS($A$6:A284),'계산도우미'!$L$5:$L$2004,0)),"")</x:f>
      </x:c>
      <x:c r="B284" t="str">
        <x:f>IFERROR(INDEX('계산도우미'!$B$5:$B$2004,MATCH(ROWS($A$6:A284),'계산도우미'!$L$5:$L$2004,0)),"")</x:f>
      </x:c>
      <x:c r="C284" t="str">
        <x:f>IFERROR(INDEX('계산도우미'!$C$5:$C$2004,MATCH(ROWS($A$6:A284),'계산도우미'!$L$5:$L$2004,0)),"")</x:f>
      </x:c>
      <x:c r="D284" s="67" t="str">
        <x:f>IFERROR(INDEX('계산도우미'!$D$5:$D$2004,MATCH(ROWS($A$6:A284),'계산도우미'!$L$5:$L$2004,0)),"")</x:f>
      </x:c>
      <x:c r="E284" t="str">
        <x:f>IFERROR(INDEX('계산도우미'!$E$5:$E$2004,MATCH(ROWS($A$6:A284),'계산도우미'!$L$5:$L$2004,0)),"")</x:f>
      </x:c>
      <x:c r="F284" t="str">
        <x:f>IFERROR(INDEX('계산도우미'!$F$5:$F$2004,MATCH(ROWS($A$6:A284),'계산도우미'!$L$5:$L$2004,0)),"")</x:f>
      </x:c>
      <x:c r="G284" s="68" t="str">
        <x:f>IFERROR(INDEX('계산도우미'!$G$5:$G$2004,MATCH(ROWS($A$6:A284),'계산도우미'!$L$5:$L$2004,0)),"")</x:f>
      </x:c>
      <x:c r="H284" t="str">
        <x:f>IFERROR(INDEX('계산도우미'!$H$5:$H$2004,MATCH(ROWS($A$6:A284),'계산도우미'!$L$5:$L$2004,0)),"")</x:f>
      </x:c>
      <x:c r="I284" t="str">
        <x:f>IFERROR(INDEX('계산도우미'!$I$5:$I$2004,MATCH(ROWS($A$6:A284),'계산도우미'!$L$5:$L$2004,0)),"")</x:f>
      </x:c>
      <x:c r="J284" t="str">
        <x:f>IFERROR(INDEX('계산도우미'!$J$5:$J$2004,MATCH(ROWS($A$6:A284),'계산도우미'!$L$5:$L$2004,0)),"")</x:f>
      </x:c>
      <x:c r="K284" t="str">
        <x:f>IF(B284="","",IF(I284="확인 필요","붙임 문서 확인 후 거래 성격·기간·상대방·일회성 여부 확인","결의서명과 전기 대비 발생 건수·단가·시점 차이 검토"))</x:f>
      </x:c>
    </x:row>
    <x:row r="285">
      <x:c r="A285" t="str">
        <x:f>IFERROR(INDEX('계산도우미'!$A$5:$A$2004,MATCH(ROWS($A$6:A285),'계산도우미'!$L$5:$L$2004,0)),"")</x:f>
      </x:c>
      <x:c r="B285" t="str">
        <x:f>IFERROR(INDEX('계산도우미'!$B$5:$B$2004,MATCH(ROWS($A$6:A285),'계산도우미'!$L$5:$L$2004,0)),"")</x:f>
      </x:c>
      <x:c r="C285" t="str">
        <x:f>IFERROR(INDEX('계산도우미'!$C$5:$C$2004,MATCH(ROWS($A$6:A285),'계산도우미'!$L$5:$L$2004,0)),"")</x:f>
      </x:c>
      <x:c r="D285" s="67" t="str">
        <x:f>IFERROR(INDEX('계산도우미'!$D$5:$D$2004,MATCH(ROWS($A$6:A285),'계산도우미'!$L$5:$L$2004,0)),"")</x:f>
      </x:c>
      <x:c r="E285" t="str">
        <x:f>IFERROR(INDEX('계산도우미'!$E$5:$E$2004,MATCH(ROWS($A$6:A285),'계산도우미'!$L$5:$L$2004,0)),"")</x:f>
      </x:c>
      <x:c r="F285" t="str">
        <x:f>IFERROR(INDEX('계산도우미'!$F$5:$F$2004,MATCH(ROWS($A$6:A285),'계산도우미'!$L$5:$L$2004,0)),"")</x:f>
      </x:c>
      <x:c r="G285" s="68" t="str">
        <x:f>IFERROR(INDEX('계산도우미'!$G$5:$G$2004,MATCH(ROWS($A$6:A285),'계산도우미'!$L$5:$L$2004,0)),"")</x:f>
      </x:c>
      <x:c r="H285" t="str">
        <x:f>IFERROR(INDEX('계산도우미'!$H$5:$H$2004,MATCH(ROWS($A$6:A285),'계산도우미'!$L$5:$L$2004,0)),"")</x:f>
      </x:c>
      <x:c r="I285" t="str">
        <x:f>IFERROR(INDEX('계산도우미'!$I$5:$I$2004,MATCH(ROWS($A$6:A285),'계산도우미'!$L$5:$L$2004,0)),"")</x:f>
      </x:c>
      <x:c r="J285" t="str">
        <x:f>IFERROR(INDEX('계산도우미'!$J$5:$J$2004,MATCH(ROWS($A$6:A285),'계산도우미'!$L$5:$L$2004,0)),"")</x:f>
      </x:c>
      <x:c r="K285" t="str">
        <x:f>IF(B285="","",IF(I285="확인 필요","붙임 문서 확인 후 거래 성격·기간·상대방·일회성 여부 확인","결의서명과 전기 대비 발생 건수·단가·시점 차이 검토"))</x:f>
      </x:c>
    </x:row>
    <x:row r="286">
      <x:c r="A286" t="str">
        <x:f>IFERROR(INDEX('계산도우미'!$A$5:$A$2004,MATCH(ROWS($A$6:A286),'계산도우미'!$L$5:$L$2004,0)),"")</x:f>
      </x:c>
      <x:c r="B286" t="str">
        <x:f>IFERROR(INDEX('계산도우미'!$B$5:$B$2004,MATCH(ROWS($A$6:A286),'계산도우미'!$L$5:$L$2004,0)),"")</x:f>
      </x:c>
      <x:c r="C286" t="str">
        <x:f>IFERROR(INDEX('계산도우미'!$C$5:$C$2004,MATCH(ROWS($A$6:A286),'계산도우미'!$L$5:$L$2004,0)),"")</x:f>
      </x:c>
      <x:c r="D286" s="67" t="str">
        <x:f>IFERROR(INDEX('계산도우미'!$D$5:$D$2004,MATCH(ROWS($A$6:A286),'계산도우미'!$L$5:$L$2004,0)),"")</x:f>
      </x:c>
      <x:c r="E286" t="str">
        <x:f>IFERROR(INDEX('계산도우미'!$E$5:$E$2004,MATCH(ROWS($A$6:A286),'계산도우미'!$L$5:$L$2004,0)),"")</x:f>
      </x:c>
      <x:c r="F286" t="str">
        <x:f>IFERROR(INDEX('계산도우미'!$F$5:$F$2004,MATCH(ROWS($A$6:A286),'계산도우미'!$L$5:$L$2004,0)),"")</x:f>
      </x:c>
      <x:c r="G286" s="68" t="str">
        <x:f>IFERROR(INDEX('계산도우미'!$G$5:$G$2004,MATCH(ROWS($A$6:A286),'계산도우미'!$L$5:$L$2004,0)),"")</x:f>
      </x:c>
      <x:c r="H286" t="str">
        <x:f>IFERROR(INDEX('계산도우미'!$H$5:$H$2004,MATCH(ROWS($A$6:A286),'계산도우미'!$L$5:$L$2004,0)),"")</x:f>
      </x:c>
      <x:c r="I286" t="str">
        <x:f>IFERROR(INDEX('계산도우미'!$I$5:$I$2004,MATCH(ROWS($A$6:A286),'계산도우미'!$L$5:$L$2004,0)),"")</x:f>
      </x:c>
      <x:c r="J286" t="str">
        <x:f>IFERROR(INDEX('계산도우미'!$J$5:$J$2004,MATCH(ROWS($A$6:A286),'계산도우미'!$L$5:$L$2004,0)),"")</x:f>
      </x:c>
      <x:c r="K286" t="str">
        <x:f>IF(B286="","",IF(I286="확인 필요","붙임 문서 확인 후 거래 성격·기간·상대방·일회성 여부 확인","결의서명과 전기 대비 발생 건수·단가·시점 차이 검토"))</x:f>
      </x:c>
    </x:row>
    <x:row r="287">
      <x:c r="A287" t="str">
        <x:f>IFERROR(INDEX('계산도우미'!$A$5:$A$2004,MATCH(ROWS($A$6:A287),'계산도우미'!$L$5:$L$2004,0)),"")</x:f>
      </x:c>
      <x:c r="B287" t="str">
        <x:f>IFERROR(INDEX('계산도우미'!$B$5:$B$2004,MATCH(ROWS($A$6:A287),'계산도우미'!$L$5:$L$2004,0)),"")</x:f>
      </x:c>
      <x:c r="C287" t="str">
        <x:f>IFERROR(INDEX('계산도우미'!$C$5:$C$2004,MATCH(ROWS($A$6:A287),'계산도우미'!$L$5:$L$2004,0)),"")</x:f>
      </x:c>
      <x:c r="D287" s="67" t="str">
        <x:f>IFERROR(INDEX('계산도우미'!$D$5:$D$2004,MATCH(ROWS($A$6:A287),'계산도우미'!$L$5:$L$2004,0)),"")</x:f>
      </x:c>
      <x:c r="E287" t="str">
        <x:f>IFERROR(INDEX('계산도우미'!$E$5:$E$2004,MATCH(ROWS($A$6:A287),'계산도우미'!$L$5:$L$2004,0)),"")</x:f>
      </x:c>
      <x:c r="F287" t="str">
        <x:f>IFERROR(INDEX('계산도우미'!$F$5:$F$2004,MATCH(ROWS($A$6:A287),'계산도우미'!$L$5:$L$2004,0)),"")</x:f>
      </x:c>
      <x:c r="G287" s="68" t="str">
        <x:f>IFERROR(INDEX('계산도우미'!$G$5:$G$2004,MATCH(ROWS($A$6:A287),'계산도우미'!$L$5:$L$2004,0)),"")</x:f>
      </x:c>
      <x:c r="H287" t="str">
        <x:f>IFERROR(INDEX('계산도우미'!$H$5:$H$2004,MATCH(ROWS($A$6:A287),'계산도우미'!$L$5:$L$2004,0)),"")</x:f>
      </x:c>
      <x:c r="I287" t="str">
        <x:f>IFERROR(INDEX('계산도우미'!$I$5:$I$2004,MATCH(ROWS($A$6:A287),'계산도우미'!$L$5:$L$2004,0)),"")</x:f>
      </x:c>
      <x:c r="J287" t="str">
        <x:f>IFERROR(INDEX('계산도우미'!$J$5:$J$2004,MATCH(ROWS($A$6:A287),'계산도우미'!$L$5:$L$2004,0)),"")</x:f>
      </x:c>
      <x:c r="K287" t="str">
        <x:f>IF(B287="","",IF(I287="확인 필요","붙임 문서 확인 후 거래 성격·기간·상대방·일회성 여부 확인","결의서명과 전기 대비 발생 건수·단가·시점 차이 검토"))</x:f>
      </x:c>
    </x:row>
    <x:row r="288">
      <x:c r="A288" t="str">
        <x:f>IFERROR(INDEX('계산도우미'!$A$5:$A$2004,MATCH(ROWS($A$6:A288),'계산도우미'!$L$5:$L$2004,0)),"")</x:f>
      </x:c>
      <x:c r="B288" t="str">
        <x:f>IFERROR(INDEX('계산도우미'!$B$5:$B$2004,MATCH(ROWS($A$6:A288),'계산도우미'!$L$5:$L$2004,0)),"")</x:f>
      </x:c>
      <x:c r="C288" t="str">
        <x:f>IFERROR(INDEX('계산도우미'!$C$5:$C$2004,MATCH(ROWS($A$6:A288),'계산도우미'!$L$5:$L$2004,0)),"")</x:f>
      </x:c>
      <x:c r="D288" s="67" t="str">
        <x:f>IFERROR(INDEX('계산도우미'!$D$5:$D$2004,MATCH(ROWS($A$6:A288),'계산도우미'!$L$5:$L$2004,0)),"")</x:f>
      </x:c>
      <x:c r="E288" t="str">
        <x:f>IFERROR(INDEX('계산도우미'!$E$5:$E$2004,MATCH(ROWS($A$6:A288),'계산도우미'!$L$5:$L$2004,0)),"")</x:f>
      </x:c>
      <x:c r="F288" t="str">
        <x:f>IFERROR(INDEX('계산도우미'!$F$5:$F$2004,MATCH(ROWS($A$6:A288),'계산도우미'!$L$5:$L$2004,0)),"")</x:f>
      </x:c>
      <x:c r="G288" s="68" t="str">
        <x:f>IFERROR(INDEX('계산도우미'!$G$5:$G$2004,MATCH(ROWS($A$6:A288),'계산도우미'!$L$5:$L$2004,0)),"")</x:f>
      </x:c>
      <x:c r="H288" t="str">
        <x:f>IFERROR(INDEX('계산도우미'!$H$5:$H$2004,MATCH(ROWS($A$6:A288),'계산도우미'!$L$5:$L$2004,0)),"")</x:f>
      </x:c>
      <x:c r="I288" t="str">
        <x:f>IFERROR(INDEX('계산도우미'!$I$5:$I$2004,MATCH(ROWS($A$6:A288),'계산도우미'!$L$5:$L$2004,0)),"")</x:f>
      </x:c>
      <x:c r="J288" t="str">
        <x:f>IFERROR(INDEX('계산도우미'!$J$5:$J$2004,MATCH(ROWS($A$6:A288),'계산도우미'!$L$5:$L$2004,0)),"")</x:f>
      </x:c>
      <x:c r="K288" t="str">
        <x:f>IF(B288="","",IF(I288="확인 필요","붙임 문서 확인 후 거래 성격·기간·상대방·일회성 여부 확인","결의서명과 전기 대비 발생 건수·단가·시점 차이 검토"))</x:f>
      </x:c>
    </x:row>
    <x:row r="289">
      <x:c r="A289" t="str">
        <x:f>IFERROR(INDEX('계산도우미'!$A$5:$A$2004,MATCH(ROWS($A$6:A289),'계산도우미'!$L$5:$L$2004,0)),"")</x:f>
      </x:c>
      <x:c r="B289" t="str">
        <x:f>IFERROR(INDEX('계산도우미'!$B$5:$B$2004,MATCH(ROWS($A$6:A289),'계산도우미'!$L$5:$L$2004,0)),"")</x:f>
      </x:c>
      <x:c r="C289" t="str">
        <x:f>IFERROR(INDEX('계산도우미'!$C$5:$C$2004,MATCH(ROWS($A$6:A289),'계산도우미'!$L$5:$L$2004,0)),"")</x:f>
      </x:c>
      <x:c r="D289" s="67" t="str">
        <x:f>IFERROR(INDEX('계산도우미'!$D$5:$D$2004,MATCH(ROWS($A$6:A289),'계산도우미'!$L$5:$L$2004,0)),"")</x:f>
      </x:c>
      <x:c r="E289" t="str">
        <x:f>IFERROR(INDEX('계산도우미'!$E$5:$E$2004,MATCH(ROWS($A$6:A289),'계산도우미'!$L$5:$L$2004,0)),"")</x:f>
      </x:c>
      <x:c r="F289" t="str">
        <x:f>IFERROR(INDEX('계산도우미'!$F$5:$F$2004,MATCH(ROWS($A$6:A289),'계산도우미'!$L$5:$L$2004,0)),"")</x:f>
      </x:c>
      <x:c r="G289" s="68" t="str">
        <x:f>IFERROR(INDEX('계산도우미'!$G$5:$G$2004,MATCH(ROWS($A$6:A289),'계산도우미'!$L$5:$L$2004,0)),"")</x:f>
      </x:c>
      <x:c r="H289" t="str">
        <x:f>IFERROR(INDEX('계산도우미'!$H$5:$H$2004,MATCH(ROWS($A$6:A289),'계산도우미'!$L$5:$L$2004,0)),"")</x:f>
      </x:c>
      <x:c r="I289" t="str">
        <x:f>IFERROR(INDEX('계산도우미'!$I$5:$I$2004,MATCH(ROWS($A$6:A289),'계산도우미'!$L$5:$L$2004,0)),"")</x:f>
      </x:c>
      <x:c r="J289" t="str">
        <x:f>IFERROR(INDEX('계산도우미'!$J$5:$J$2004,MATCH(ROWS($A$6:A289),'계산도우미'!$L$5:$L$2004,0)),"")</x:f>
      </x:c>
      <x:c r="K289" t="str">
        <x:f>IF(B289="","",IF(I289="확인 필요","붙임 문서 확인 후 거래 성격·기간·상대방·일회성 여부 확인","결의서명과 전기 대비 발생 건수·단가·시점 차이 검토"))</x:f>
      </x:c>
    </x:row>
    <x:row r="290">
      <x:c r="A290" t="str">
        <x:f>IFERROR(INDEX('계산도우미'!$A$5:$A$2004,MATCH(ROWS($A$6:A290),'계산도우미'!$L$5:$L$2004,0)),"")</x:f>
      </x:c>
      <x:c r="B290" t="str">
        <x:f>IFERROR(INDEX('계산도우미'!$B$5:$B$2004,MATCH(ROWS($A$6:A290),'계산도우미'!$L$5:$L$2004,0)),"")</x:f>
      </x:c>
      <x:c r="C290" t="str">
        <x:f>IFERROR(INDEX('계산도우미'!$C$5:$C$2004,MATCH(ROWS($A$6:A290),'계산도우미'!$L$5:$L$2004,0)),"")</x:f>
      </x:c>
      <x:c r="D290" s="67" t="str">
        <x:f>IFERROR(INDEX('계산도우미'!$D$5:$D$2004,MATCH(ROWS($A$6:A290),'계산도우미'!$L$5:$L$2004,0)),"")</x:f>
      </x:c>
      <x:c r="E290" t="str">
        <x:f>IFERROR(INDEX('계산도우미'!$E$5:$E$2004,MATCH(ROWS($A$6:A290),'계산도우미'!$L$5:$L$2004,0)),"")</x:f>
      </x:c>
      <x:c r="F290" t="str">
        <x:f>IFERROR(INDEX('계산도우미'!$F$5:$F$2004,MATCH(ROWS($A$6:A290),'계산도우미'!$L$5:$L$2004,0)),"")</x:f>
      </x:c>
      <x:c r="G290" s="68" t="str">
        <x:f>IFERROR(INDEX('계산도우미'!$G$5:$G$2004,MATCH(ROWS($A$6:A290),'계산도우미'!$L$5:$L$2004,0)),"")</x:f>
      </x:c>
      <x:c r="H290" t="str">
        <x:f>IFERROR(INDEX('계산도우미'!$H$5:$H$2004,MATCH(ROWS($A$6:A290),'계산도우미'!$L$5:$L$2004,0)),"")</x:f>
      </x:c>
      <x:c r="I290" t="str">
        <x:f>IFERROR(INDEX('계산도우미'!$I$5:$I$2004,MATCH(ROWS($A$6:A290),'계산도우미'!$L$5:$L$2004,0)),"")</x:f>
      </x:c>
      <x:c r="J290" t="str">
        <x:f>IFERROR(INDEX('계산도우미'!$J$5:$J$2004,MATCH(ROWS($A$6:A290),'계산도우미'!$L$5:$L$2004,0)),"")</x:f>
      </x:c>
      <x:c r="K290" t="str">
        <x:f>IF(B290="","",IF(I290="확인 필요","붙임 문서 확인 후 거래 성격·기간·상대방·일회성 여부 확인","결의서명과 전기 대비 발생 건수·단가·시점 차이 검토"))</x:f>
      </x:c>
    </x:row>
    <x:row r="291">
      <x:c r="A291" t="str">
        <x:f>IFERROR(INDEX('계산도우미'!$A$5:$A$2004,MATCH(ROWS($A$6:A291),'계산도우미'!$L$5:$L$2004,0)),"")</x:f>
      </x:c>
      <x:c r="B291" t="str">
        <x:f>IFERROR(INDEX('계산도우미'!$B$5:$B$2004,MATCH(ROWS($A$6:A291),'계산도우미'!$L$5:$L$2004,0)),"")</x:f>
      </x:c>
      <x:c r="C291" t="str">
        <x:f>IFERROR(INDEX('계산도우미'!$C$5:$C$2004,MATCH(ROWS($A$6:A291),'계산도우미'!$L$5:$L$2004,0)),"")</x:f>
      </x:c>
      <x:c r="D291" s="67" t="str">
        <x:f>IFERROR(INDEX('계산도우미'!$D$5:$D$2004,MATCH(ROWS($A$6:A291),'계산도우미'!$L$5:$L$2004,0)),"")</x:f>
      </x:c>
      <x:c r="E291" t="str">
        <x:f>IFERROR(INDEX('계산도우미'!$E$5:$E$2004,MATCH(ROWS($A$6:A291),'계산도우미'!$L$5:$L$2004,0)),"")</x:f>
      </x:c>
      <x:c r="F291" t="str">
        <x:f>IFERROR(INDEX('계산도우미'!$F$5:$F$2004,MATCH(ROWS($A$6:A291),'계산도우미'!$L$5:$L$2004,0)),"")</x:f>
      </x:c>
      <x:c r="G291" s="68" t="str">
        <x:f>IFERROR(INDEX('계산도우미'!$G$5:$G$2004,MATCH(ROWS($A$6:A291),'계산도우미'!$L$5:$L$2004,0)),"")</x:f>
      </x:c>
      <x:c r="H291" t="str">
        <x:f>IFERROR(INDEX('계산도우미'!$H$5:$H$2004,MATCH(ROWS($A$6:A291),'계산도우미'!$L$5:$L$2004,0)),"")</x:f>
      </x:c>
      <x:c r="I291" t="str">
        <x:f>IFERROR(INDEX('계산도우미'!$I$5:$I$2004,MATCH(ROWS($A$6:A291),'계산도우미'!$L$5:$L$2004,0)),"")</x:f>
      </x:c>
      <x:c r="J291" t="str">
        <x:f>IFERROR(INDEX('계산도우미'!$J$5:$J$2004,MATCH(ROWS($A$6:A291),'계산도우미'!$L$5:$L$2004,0)),"")</x:f>
      </x:c>
      <x:c r="K291" t="str">
        <x:f>IF(B291="","",IF(I291="확인 필요","붙임 문서 확인 후 거래 성격·기간·상대방·일회성 여부 확인","결의서명과 전기 대비 발생 건수·단가·시점 차이 검토"))</x:f>
      </x:c>
    </x:row>
    <x:row r="292">
      <x:c r="A292" t="str">
        <x:f>IFERROR(INDEX('계산도우미'!$A$5:$A$2004,MATCH(ROWS($A$6:A292),'계산도우미'!$L$5:$L$2004,0)),"")</x:f>
      </x:c>
      <x:c r="B292" t="str">
        <x:f>IFERROR(INDEX('계산도우미'!$B$5:$B$2004,MATCH(ROWS($A$6:A292),'계산도우미'!$L$5:$L$2004,0)),"")</x:f>
      </x:c>
      <x:c r="C292" t="str">
        <x:f>IFERROR(INDEX('계산도우미'!$C$5:$C$2004,MATCH(ROWS($A$6:A292),'계산도우미'!$L$5:$L$2004,0)),"")</x:f>
      </x:c>
      <x:c r="D292" s="67" t="str">
        <x:f>IFERROR(INDEX('계산도우미'!$D$5:$D$2004,MATCH(ROWS($A$6:A292),'계산도우미'!$L$5:$L$2004,0)),"")</x:f>
      </x:c>
      <x:c r="E292" t="str">
        <x:f>IFERROR(INDEX('계산도우미'!$E$5:$E$2004,MATCH(ROWS($A$6:A292),'계산도우미'!$L$5:$L$2004,0)),"")</x:f>
      </x:c>
      <x:c r="F292" t="str">
        <x:f>IFERROR(INDEX('계산도우미'!$F$5:$F$2004,MATCH(ROWS($A$6:A292),'계산도우미'!$L$5:$L$2004,0)),"")</x:f>
      </x:c>
      <x:c r="G292" s="68" t="str">
        <x:f>IFERROR(INDEX('계산도우미'!$G$5:$G$2004,MATCH(ROWS($A$6:A292),'계산도우미'!$L$5:$L$2004,0)),"")</x:f>
      </x:c>
      <x:c r="H292" t="str">
        <x:f>IFERROR(INDEX('계산도우미'!$H$5:$H$2004,MATCH(ROWS($A$6:A292),'계산도우미'!$L$5:$L$2004,0)),"")</x:f>
      </x:c>
      <x:c r="I292" t="str">
        <x:f>IFERROR(INDEX('계산도우미'!$I$5:$I$2004,MATCH(ROWS($A$6:A292),'계산도우미'!$L$5:$L$2004,0)),"")</x:f>
      </x:c>
      <x:c r="J292" t="str">
        <x:f>IFERROR(INDEX('계산도우미'!$J$5:$J$2004,MATCH(ROWS($A$6:A292),'계산도우미'!$L$5:$L$2004,0)),"")</x:f>
      </x:c>
      <x:c r="K292" t="str">
        <x:f>IF(B292="","",IF(I292="확인 필요","붙임 문서 확인 후 거래 성격·기간·상대방·일회성 여부 확인","결의서명과 전기 대비 발생 건수·단가·시점 차이 검토"))</x:f>
      </x:c>
    </x:row>
    <x:row r="293">
      <x:c r="A293" t="str">
        <x:f>IFERROR(INDEX('계산도우미'!$A$5:$A$2004,MATCH(ROWS($A$6:A293),'계산도우미'!$L$5:$L$2004,0)),"")</x:f>
      </x:c>
      <x:c r="B293" t="str">
        <x:f>IFERROR(INDEX('계산도우미'!$B$5:$B$2004,MATCH(ROWS($A$6:A293),'계산도우미'!$L$5:$L$2004,0)),"")</x:f>
      </x:c>
      <x:c r="C293" t="str">
        <x:f>IFERROR(INDEX('계산도우미'!$C$5:$C$2004,MATCH(ROWS($A$6:A293),'계산도우미'!$L$5:$L$2004,0)),"")</x:f>
      </x:c>
      <x:c r="D293" s="67" t="str">
        <x:f>IFERROR(INDEX('계산도우미'!$D$5:$D$2004,MATCH(ROWS($A$6:A293),'계산도우미'!$L$5:$L$2004,0)),"")</x:f>
      </x:c>
      <x:c r="E293" t="str">
        <x:f>IFERROR(INDEX('계산도우미'!$E$5:$E$2004,MATCH(ROWS($A$6:A293),'계산도우미'!$L$5:$L$2004,0)),"")</x:f>
      </x:c>
      <x:c r="F293" t="str">
        <x:f>IFERROR(INDEX('계산도우미'!$F$5:$F$2004,MATCH(ROWS($A$6:A293),'계산도우미'!$L$5:$L$2004,0)),"")</x:f>
      </x:c>
      <x:c r="G293" s="68" t="str">
        <x:f>IFERROR(INDEX('계산도우미'!$G$5:$G$2004,MATCH(ROWS($A$6:A293),'계산도우미'!$L$5:$L$2004,0)),"")</x:f>
      </x:c>
      <x:c r="H293" t="str">
        <x:f>IFERROR(INDEX('계산도우미'!$H$5:$H$2004,MATCH(ROWS($A$6:A293),'계산도우미'!$L$5:$L$2004,0)),"")</x:f>
      </x:c>
      <x:c r="I293" t="str">
        <x:f>IFERROR(INDEX('계산도우미'!$I$5:$I$2004,MATCH(ROWS($A$6:A293),'계산도우미'!$L$5:$L$2004,0)),"")</x:f>
      </x:c>
      <x:c r="J293" t="str">
        <x:f>IFERROR(INDEX('계산도우미'!$J$5:$J$2004,MATCH(ROWS($A$6:A293),'계산도우미'!$L$5:$L$2004,0)),"")</x:f>
      </x:c>
      <x:c r="K293" t="str">
        <x:f>IF(B293="","",IF(I293="확인 필요","붙임 문서 확인 후 거래 성격·기간·상대방·일회성 여부 확인","결의서명과 전기 대비 발생 건수·단가·시점 차이 검토"))</x:f>
      </x:c>
    </x:row>
    <x:row r="294">
      <x:c r="A294" t="str">
        <x:f>IFERROR(INDEX('계산도우미'!$A$5:$A$2004,MATCH(ROWS($A$6:A294),'계산도우미'!$L$5:$L$2004,0)),"")</x:f>
      </x:c>
      <x:c r="B294" t="str">
        <x:f>IFERROR(INDEX('계산도우미'!$B$5:$B$2004,MATCH(ROWS($A$6:A294),'계산도우미'!$L$5:$L$2004,0)),"")</x:f>
      </x:c>
      <x:c r="C294" t="str">
        <x:f>IFERROR(INDEX('계산도우미'!$C$5:$C$2004,MATCH(ROWS($A$6:A294),'계산도우미'!$L$5:$L$2004,0)),"")</x:f>
      </x:c>
      <x:c r="D294" s="67" t="str">
        <x:f>IFERROR(INDEX('계산도우미'!$D$5:$D$2004,MATCH(ROWS($A$6:A294),'계산도우미'!$L$5:$L$2004,0)),"")</x:f>
      </x:c>
      <x:c r="E294" t="str">
        <x:f>IFERROR(INDEX('계산도우미'!$E$5:$E$2004,MATCH(ROWS($A$6:A294),'계산도우미'!$L$5:$L$2004,0)),"")</x:f>
      </x:c>
      <x:c r="F294" t="str">
        <x:f>IFERROR(INDEX('계산도우미'!$F$5:$F$2004,MATCH(ROWS($A$6:A294),'계산도우미'!$L$5:$L$2004,0)),"")</x:f>
      </x:c>
      <x:c r="G294" s="68" t="str">
        <x:f>IFERROR(INDEX('계산도우미'!$G$5:$G$2004,MATCH(ROWS($A$6:A294),'계산도우미'!$L$5:$L$2004,0)),"")</x:f>
      </x:c>
      <x:c r="H294" t="str">
        <x:f>IFERROR(INDEX('계산도우미'!$H$5:$H$2004,MATCH(ROWS($A$6:A294),'계산도우미'!$L$5:$L$2004,0)),"")</x:f>
      </x:c>
      <x:c r="I294" t="str">
        <x:f>IFERROR(INDEX('계산도우미'!$I$5:$I$2004,MATCH(ROWS($A$6:A294),'계산도우미'!$L$5:$L$2004,0)),"")</x:f>
      </x:c>
      <x:c r="J294" t="str">
        <x:f>IFERROR(INDEX('계산도우미'!$J$5:$J$2004,MATCH(ROWS($A$6:A294),'계산도우미'!$L$5:$L$2004,0)),"")</x:f>
      </x:c>
      <x:c r="K294" t="str">
        <x:f>IF(B294="","",IF(I294="확인 필요","붙임 문서 확인 후 거래 성격·기간·상대방·일회성 여부 확인","결의서명과 전기 대비 발생 건수·단가·시점 차이 검토"))</x:f>
      </x:c>
    </x:row>
    <x:row r="295">
      <x:c r="A295" t="str">
        <x:f>IFERROR(INDEX('계산도우미'!$A$5:$A$2004,MATCH(ROWS($A$6:A295),'계산도우미'!$L$5:$L$2004,0)),"")</x:f>
      </x:c>
      <x:c r="B295" t="str">
        <x:f>IFERROR(INDEX('계산도우미'!$B$5:$B$2004,MATCH(ROWS($A$6:A295),'계산도우미'!$L$5:$L$2004,0)),"")</x:f>
      </x:c>
      <x:c r="C295" t="str">
        <x:f>IFERROR(INDEX('계산도우미'!$C$5:$C$2004,MATCH(ROWS($A$6:A295),'계산도우미'!$L$5:$L$2004,0)),"")</x:f>
      </x:c>
      <x:c r="D295" s="67" t="str">
        <x:f>IFERROR(INDEX('계산도우미'!$D$5:$D$2004,MATCH(ROWS($A$6:A295),'계산도우미'!$L$5:$L$2004,0)),"")</x:f>
      </x:c>
      <x:c r="E295" t="str">
        <x:f>IFERROR(INDEX('계산도우미'!$E$5:$E$2004,MATCH(ROWS($A$6:A295),'계산도우미'!$L$5:$L$2004,0)),"")</x:f>
      </x:c>
      <x:c r="F295" t="str">
        <x:f>IFERROR(INDEX('계산도우미'!$F$5:$F$2004,MATCH(ROWS($A$6:A295),'계산도우미'!$L$5:$L$2004,0)),"")</x:f>
      </x:c>
      <x:c r="G295" s="68" t="str">
        <x:f>IFERROR(INDEX('계산도우미'!$G$5:$G$2004,MATCH(ROWS($A$6:A295),'계산도우미'!$L$5:$L$2004,0)),"")</x:f>
      </x:c>
      <x:c r="H295" t="str">
        <x:f>IFERROR(INDEX('계산도우미'!$H$5:$H$2004,MATCH(ROWS($A$6:A295),'계산도우미'!$L$5:$L$2004,0)),"")</x:f>
      </x:c>
      <x:c r="I295" t="str">
        <x:f>IFERROR(INDEX('계산도우미'!$I$5:$I$2004,MATCH(ROWS($A$6:A295),'계산도우미'!$L$5:$L$2004,0)),"")</x:f>
      </x:c>
      <x:c r="J295" t="str">
        <x:f>IFERROR(INDEX('계산도우미'!$J$5:$J$2004,MATCH(ROWS($A$6:A295),'계산도우미'!$L$5:$L$2004,0)),"")</x:f>
      </x:c>
      <x:c r="K295" t="str">
        <x:f>IF(B295="","",IF(I295="확인 필요","붙임 문서 확인 후 거래 성격·기간·상대방·일회성 여부 확인","결의서명과 전기 대비 발생 건수·단가·시점 차이 검토"))</x:f>
      </x:c>
    </x:row>
    <x:row r="296">
      <x:c r="A296" t="str">
        <x:f>IFERROR(INDEX('계산도우미'!$A$5:$A$2004,MATCH(ROWS($A$6:A296),'계산도우미'!$L$5:$L$2004,0)),"")</x:f>
      </x:c>
      <x:c r="B296" t="str">
        <x:f>IFERROR(INDEX('계산도우미'!$B$5:$B$2004,MATCH(ROWS($A$6:A296),'계산도우미'!$L$5:$L$2004,0)),"")</x:f>
      </x:c>
      <x:c r="C296" t="str">
        <x:f>IFERROR(INDEX('계산도우미'!$C$5:$C$2004,MATCH(ROWS($A$6:A296),'계산도우미'!$L$5:$L$2004,0)),"")</x:f>
      </x:c>
      <x:c r="D296" s="67" t="str">
        <x:f>IFERROR(INDEX('계산도우미'!$D$5:$D$2004,MATCH(ROWS($A$6:A296),'계산도우미'!$L$5:$L$2004,0)),"")</x:f>
      </x:c>
      <x:c r="E296" t="str">
        <x:f>IFERROR(INDEX('계산도우미'!$E$5:$E$2004,MATCH(ROWS($A$6:A296),'계산도우미'!$L$5:$L$2004,0)),"")</x:f>
      </x:c>
      <x:c r="F296" t="str">
        <x:f>IFERROR(INDEX('계산도우미'!$F$5:$F$2004,MATCH(ROWS($A$6:A296),'계산도우미'!$L$5:$L$2004,0)),"")</x:f>
      </x:c>
      <x:c r="G296" s="68" t="str">
        <x:f>IFERROR(INDEX('계산도우미'!$G$5:$G$2004,MATCH(ROWS($A$6:A296),'계산도우미'!$L$5:$L$2004,0)),"")</x:f>
      </x:c>
      <x:c r="H296" t="str">
        <x:f>IFERROR(INDEX('계산도우미'!$H$5:$H$2004,MATCH(ROWS($A$6:A296),'계산도우미'!$L$5:$L$2004,0)),"")</x:f>
      </x:c>
      <x:c r="I296" t="str">
        <x:f>IFERROR(INDEX('계산도우미'!$I$5:$I$2004,MATCH(ROWS($A$6:A296),'계산도우미'!$L$5:$L$2004,0)),"")</x:f>
      </x:c>
      <x:c r="J296" t="str">
        <x:f>IFERROR(INDEX('계산도우미'!$J$5:$J$2004,MATCH(ROWS($A$6:A296),'계산도우미'!$L$5:$L$2004,0)),"")</x:f>
      </x:c>
      <x:c r="K296" t="str">
        <x:f>IF(B296="","",IF(I296="확인 필요","붙임 문서 확인 후 거래 성격·기간·상대방·일회성 여부 확인","결의서명과 전기 대비 발생 건수·단가·시점 차이 검토"))</x:f>
      </x:c>
    </x:row>
    <x:row r="297">
      <x:c r="A297" t="str">
        <x:f>IFERROR(INDEX('계산도우미'!$A$5:$A$2004,MATCH(ROWS($A$6:A297),'계산도우미'!$L$5:$L$2004,0)),"")</x:f>
      </x:c>
      <x:c r="B297" t="str">
        <x:f>IFERROR(INDEX('계산도우미'!$B$5:$B$2004,MATCH(ROWS($A$6:A297),'계산도우미'!$L$5:$L$2004,0)),"")</x:f>
      </x:c>
      <x:c r="C297" t="str">
        <x:f>IFERROR(INDEX('계산도우미'!$C$5:$C$2004,MATCH(ROWS($A$6:A297),'계산도우미'!$L$5:$L$2004,0)),"")</x:f>
      </x:c>
      <x:c r="D297" s="67" t="str">
        <x:f>IFERROR(INDEX('계산도우미'!$D$5:$D$2004,MATCH(ROWS($A$6:A297),'계산도우미'!$L$5:$L$2004,0)),"")</x:f>
      </x:c>
      <x:c r="E297" t="str">
        <x:f>IFERROR(INDEX('계산도우미'!$E$5:$E$2004,MATCH(ROWS($A$6:A297),'계산도우미'!$L$5:$L$2004,0)),"")</x:f>
      </x:c>
      <x:c r="F297" t="str">
        <x:f>IFERROR(INDEX('계산도우미'!$F$5:$F$2004,MATCH(ROWS($A$6:A297),'계산도우미'!$L$5:$L$2004,0)),"")</x:f>
      </x:c>
      <x:c r="G297" s="68" t="str">
        <x:f>IFERROR(INDEX('계산도우미'!$G$5:$G$2004,MATCH(ROWS($A$6:A297),'계산도우미'!$L$5:$L$2004,0)),"")</x:f>
      </x:c>
      <x:c r="H297" t="str">
        <x:f>IFERROR(INDEX('계산도우미'!$H$5:$H$2004,MATCH(ROWS($A$6:A297),'계산도우미'!$L$5:$L$2004,0)),"")</x:f>
      </x:c>
      <x:c r="I297" t="str">
        <x:f>IFERROR(INDEX('계산도우미'!$I$5:$I$2004,MATCH(ROWS($A$6:A297),'계산도우미'!$L$5:$L$2004,0)),"")</x:f>
      </x:c>
      <x:c r="J297" t="str">
        <x:f>IFERROR(INDEX('계산도우미'!$J$5:$J$2004,MATCH(ROWS($A$6:A297),'계산도우미'!$L$5:$L$2004,0)),"")</x:f>
      </x:c>
      <x:c r="K297" t="str">
        <x:f>IF(B297="","",IF(I297="확인 필요","붙임 문서 확인 후 거래 성격·기간·상대방·일회성 여부 확인","결의서명과 전기 대비 발생 건수·단가·시점 차이 검토"))</x:f>
      </x:c>
    </x:row>
    <x:row r="298">
      <x:c r="A298" t="str">
        <x:f>IFERROR(INDEX('계산도우미'!$A$5:$A$2004,MATCH(ROWS($A$6:A298),'계산도우미'!$L$5:$L$2004,0)),"")</x:f>
      </x:c>
      <x:c r="B298" t="str">
        <x:f>IFERROR(INDEX('계산도우미'!$B$5:$B$2004,MATCH(ROWS($A$6:A298),'계산도우미'!$L$5:$L$2004,0)),"")</x:f>
      </x:c>
      <x:c r="C298" t="str">
        <x:f>IFERROR(INDEX('계산도우미'!$C$5:$C$2004,MATCH(ROWS($A$6:A298),'계산도우미'!$L$5:$L$2004,0)),"")</x:f>
      </x:c>
      <x:c r="D298" s="67" t="str">
        <x:f>IFERROR(INDEX('계산도우미'!$D$5:$D$2004,MATCH(ROWS($A$6:A298),'계산도우미'!$L$5:$L$2004,0)),"")</x:f>
      </x:c>
      <x:c r="E298" t="str">
        <x:f>IFERROR(INDEX('계산도우미'!$E$5:$E$2004,MATCH(ROWS($A$6:A298),'계산도우미'!$L$5:$L$2004,0)),"")</x:f>
      </x:c>
      <x:c r="F298" t="str">
        <x:f>IFERROR(INDEX('계산도우미'!$F$5:$F$2004,MATCH(ROWS($A$6:A298),'계산도우미'!$L$5:$L$2004,0)),"")</x:f>
      </x:c>
      <x:c r="G298" s="68" t="str">
        <x:f>IFERROR(INDEX('계산도우미'!$G$5:$G$2004,MATCH(ROWS($A$6:A298),'계산도우미'!$L$5:$L$2004,0)),"")</x:f>
      </x:c>
      <x:c r="H298" t="str">
        <x:f>IFERROR(INDEX('계산도우미'!$H$5:$H$2004,MATCH(ROWS($A$6:A298),'계산도우미'!$L$5:$L$2004,0)),"")</x:f>
      </x:c>
      <x:c r="I298" t="str">
        <x:f>IFERROR(INDEX('계산도우미'!$I$5:$I$2004,MATCH(ROWS($A$6:A298),'계산도우미'!$L$5:$L$2004,0)),"")</x:f>
      </x:c>
      <x:c r="J298" t="str">
        <x:f>IFERROR(INDEX('계산도우미'!$J$5:$J$2004,MATCH(ROWS($A$6:A298),'계산도우미'!$L$5:$L$2004,0)),"")</x:f>
      </x:c>
      <x:c r="K298" t="str">
        <x:f>IF(B298="","",IF(I298="확인 필요","붙임 문서 확인 후 거래 성격·기간·상대방·일회성 여부 확인","결의서명과 전기 대비 발생 건수·단가·시점 차이 검토"))</x:f>
      </x:c>
    </x:row>
    <x:row r="299">
      <x:c r="A299" t="str">
        <x:f>IFERROR(INDEX('계산도우미'!$A$5:$A$2004,MATCH(ROWS($A$6:A299),'계산도우미'!$L$5:$L$2004,0)),"")</x:f>
      </x:c>
      <x:c r="B299" t="str">
        <x:f>IFERROR(INDEX('계산도우미'!$B$5:$B$2004,MATCH(ROWS($A$6:A299),'계산도우미'!$L$5:$L$2004,0)),"")</x:f>
      </x:c>
      <x:c r="C299" t="str">
        <x:f>IFERROR(INDEX('계산도우미'!$C$5:$C$2004,MATCH(ROWS($A$6:A299),'계산도우미'!$L$5:$L$2004,0)),"")</x:f>
      </x:c>
      <x:c r="D299" s="67" t="str">
        <x:f>IFERROR(INDEX('계산도우미'!$D$5:$D$2004,MATCH(ROWS($A$6:A299),'계산도우미'!$L$5:$L$2004,0)),"")</x:f>
      </x:c>
      <x:c r="E299" t="str">
        <x:f>IFERROR(INDEX('계산도우미'!$E$5:$E$2004,MATCH(ROWS($A$6:A299),'계산도우미'!$L$5:$L$2004,0)),"")</x:f>
      </x:c>
      <x:c r="F299" t="str">
        <x:f>IFERROR(INDEX('계산도우미'!$F$5:$F$2004,MATCH(ROWS($A$6:A299),'계산도우미'!$L$5:$L$2004,0)),"")</x:f>
      </x:c>
      <x:c r="G299" s="68" t="str">
        <x:f>IFERROR(INDEX('계산도우미'!$G$5:$G$2004,MATCH(ROWS($A$6:A299),'계산도우미'!$L$5:$L$2004,0)),"")</x:f>
      </x:c>
      <x:c r="H299" t="str">
        <x:f>IFERROR(INDEX('계산도우미'!$H$5:$H$2004,MATCH(ROWS($A$6:A299),'계산도우미'!$L$5:$L$2004,0)),"")</x:f>
      </x:c>
      <x:c r="I299" t="str">
        <x:f>IFERROR(INDEX('계산도우미'!$I$5:$I$2004,MATCH(ROWS($A$6:A299),'계산도우미'!$L$5:$L$2004,0)),"")</x:f>
      </x:c>
      <x:c r="J299" t="str">
        <x:f>IFERROR(INDEX('계산도우미'!$J$5:$J$2004,MATCH(ROWS($A$6:A299),'계산도우미'!$L$5:$L$2004,0)),"")</x:f>
      </x:c>
      <x:c r="K299" t="str">
        <x:f>IF(B299="","",IF(I299="확인 필요","붙임 문서 확인 후 거래 성격·기간·상대방·일회성 여부 확인","결의서명과 전기 대비 발생 건수·단가·시점 차이 검토"))</x:f>
      </x:c>
    </x:row>
    <x:row r="300">
      <x:c r="A300" t="str">
        <x:f>IFERROR(INDEX('계산도우미'!$A$5:$A$2004,MATCH(ROWS($A$6:A300),'계산도우미'!$L$5:$L$2004,0)),"")</x:f>
      </x:c>
      <x:c r="B300" t="str">
        <x:f>IFERROR(INDEX('계산도우미'!$B$5:$B$2004,MATCH(ROWS($A$6:A300),'계산도우미'!$L$5:$L$2004,0)),"")</x:f>
      </x:c>
      <x:c r="C300" t="str">
        <x:f>IFERROR(INDEX('계산도우미'!$C$5:$C$2004,MATCH(ROWS($A$6:A300),'계산도우미'!$L$5:$L$2004,0)),"")</x:f>
      </x:c>
      <x:c r="D300" s="67" t="str">
        <x:f>IFERROR(INDEX('계산도우미'!$D$5:$D$2004,MATCH(ROWS($A$6:A300),'계산도우미'!$L$5:$L$2004,0)),"")</x:f>
      </x:c>
      <x:c r="E300" t="str">
        <x:f>IFERROR(INDEX('계산도우미'!$E$5:$E$2004,MATCH(ROWS($A$6:A300),'계산도우미'!$L$5:$L$2004,0)),"")</x:f>
      </x:c>
      <x:c r="F300" t="str">
        <x:f>IFERROR(INDEX('계산도우미'!$F$5:$F$2004,MATCH(ROWS($A$6:A300),'계산도우미'!$L$5:$L$2004,0)),"")</x:f>
      </x:c>
      <x:c r="G300" s="68" t="str">
        <x:f>IFERROR(INDEX('계산도우미'!$G$5:$G$2004,MATCH(ROWS($A$6:A300),'계산도우미'!$L$5:$L$2004,0)),"")</x:f>
      </x:c>
      <x:c r="H300" t="str">
        <x:f>IFERROR(INDEX('계산도우미'!$H$5:$H$2004,MATCH(ROWS($A$6:A300),'계산도우미'!$L$5:$L$2004,0)),"")</x:f>
      </x:c>
      <x:c r="I300" t="str">
        <x:f>IFERROR(INDEX('계산도우미'!$I$5:$I$2004,MATCH(ROWS($A$6:A300),'계산도우미'!$L$5:$L$2004,0)),"")</x:f>
      </x:c>
      <x:c r="J300" t="str">
        <x:f>IFERROR(INDEX('계산도우미'!$J$5:$J$2004,MATCH(ROWS($A$6:A300),'계산도우미'!$L$5:$L$2004,0)),"")</x:f>
      </x:c>
      <x:c r="K300" t="str">
        <x:f>IF(B300="","",IF(I300="확인 필요","붙임 문서 확인 후 거래 성격·기간·상대방·일회성 여부 확인","결의서명과 전기 대비 발생 건수·단가·시점 차이 검토"))</x:f>
      </x:c>
    </x:row>
    <x:row r="301">
      <x:c r="A301" t="str">
        <x:f>IFERROR(INDEX('계산도우미'!$A$5:$A$2004,MATCH(ROWS($A$6:A301),'계산도우미'!$L$5:$L$2004,0)),"")</x:f>
      </x:c>
      <x:c r="B301" t="str">
        <x:f>IFERROR(INDEX('계산도우미'!$B$5:$B$2004,MATCH(ROWS($A$6:A301),'계산도우미'!$L$5:$L$2004,0)),"")</x:f>
      </x:c>
      <x:c r="C301" t="str">
        <x:f>IFERROR(INDEX('계산도우미'!$C$5:$C$2004,MATCH(ROWS($A$6:A301),'계산도우미'!$L$5:$L$2004,0)),"")</x:f>
      </x:c>
      <x:c r="D301" s="67" t="str">
        <x:f>IFERROR(INDEX('계산도우미'!$D$5:$D$2004,MATCH(ROWS($A$6:A301),'계산도우미'!$L$5:$L$2004,0)),"")</x:f>
      </x:c>
      <x:c r="E301" t="str">
        <x:f>IFERROR(INDEX('계산도우미'!$E$5:$E$2004,MATCH(ROWS($A$6:A301),'계산도우미'!$L$5:$L$2004,0)),"")</x:f>
      </x:c>
      <x:c r="F301" t="str">
        <x:f>IFERROR(INDEX('계산도우미'!$F$5:$F$2004,MATCH(ROWS($A$6:A301),'계산도우미'!$L$5:$L$2004,0)),"")</x:f>
      </x:c>
      <x:c r="G301" s="68" t="str">
        <x:f>IFERROR(INDEX('계산도우미'!$G$5:$G$2004,MATCH(ROWS($A$6:A301),'계산도우미'!$L$5:$L$2004,0)),"")</x:f>
      </x:c>
      <x:c r="H301" t="str">
        <x:f>IFERROR(INDEX('계산도우미'!$H$5:$H$2004,MATCH(ROWS($A$6:A301),'계산도우미'!$L$5:$L$2004,0)),"")</x:f>
      </x:c>
      <x:c r="I301" t="str">
        <x:f>IFERROR(INDEX('계산도우미'!$I$5:$I$2004,MATCH(ROWS($A$6:A301),'계산도우미'!$L$5:$L$2004,0)),"")</x:f>
      </x:c>
      <x:c r="J301" t="str">
        <x:f>IFERROR(INDEX('계산도우미'!$J$5:$J$2004,MATCH(ROWS($A$6:A301),'계산도우미'!$L$5:$L$2004,0)),"")</x:f>
      </x:c>
      <x:c r="K301" t="str">
        <x:f>IF(B301="","",IF(I301="확인 필요","붙임 문서 확인 후 거래 성격·기간·상대방·일회성 여부 확인","결의서명과 전기 대비 발생 건수·단가·시점 차이 검토"))</x:f>
      </x:c>
    </x:row>
    <x:row r="302">
      <x:c r="A302" t="str">
        <x:f>IFERROR(INDEX('계산도우미'!$A$5:$A$2004,MATCH(ROWS($A$6:A302),'계산도우미'!$L$5:$L$2004,0)),"")</x:f>
      </x:c>
      <x:c r="B302" t="str">
        <x:f>IFERROR(INDEX('계산도우미'!$B$5:$B$2004,MATCH(ROWS($A$6:A302),'계산도우미'!$L$5:$L$2004,0)),"")</x:f>
      </x:c>
      <x:c r="C302" t="str">
        <x:f>IFERROR(INDEX('계산도우미'!$C$5:$C$2004,MATCH(ROWS($A$6:A302),'계산도우미'!$L$5:$L$2004,0)),"")</x:f>
      </x:c>
      <x:c r="D302" s="67" t="str">
        <x:f>IFERROR(INDEX('계산도우미'!$D$5:$D$2004,MATCH(ROWS($A$6:A302),'계산도우미'!$L$5:$L$2004,0)),"")</x:f>
      </x:c>
      <x:c r="E302" t="str">
        <x:f>IFERROR(INDEX('계산도우미'!$E$5:$E$2004,MATCH(ROWS($A$6:A302),'계산도우미'!$L$5:$L$2004,0)),"")</x:f>
      </x:c>
      <x:c r="F302" t="str">
        <x:f>IFERROR(INDEX('계산도우미'!$F$5:$F$2004,MATCH(ROWS($A$6:A302),'계산도우미'!$L$5:$L$2004,0)),"")</x:f>
      </x:c>
      <x:c r="G302" s="68" t="str">
        <x:f>IFERROR(INDEX('계산도우미'!$G$5:$G$2004,MATCH(ROWS($A$6:A302),'계산도우미'!$L$5:$L$2004,0)),"")</x:f>
      </x:c>
      <x:c r="H302" t="str">
        <x:f>IFERROR(INDEX('계산도우미'!$H$5:$H$2004,MATCH(ROWS($A$6:A302),'계산도우미'!$L$5:$L$2004,0)),"")</x:f>
      </x:c>
      <x:c r="I302" t="str">
        <x:f>IFERROR(INDEX('계산도우미'!$I$5:$I$2004,MATCH(ROWS($A$6:A302),'계산도우미'!$L$5:$L$2004,0)),"")</x:f>
      </x:c>
      <x:c r="J302" t="str">
        <x:f>IFERROR(INDEX('계산도우미'!$J$5:$J$2004,MATCH(ROWS($A$6:A302),'계산도우미'!$L$5:$L$2004,0)),"")</x:f>
      </x:c>
      <x:c r="K302" t="str">
        <x:f>IF(B302="","",IF(I302="확인 필요","붙임 문서 확인 후 거래 성격·기간·상대방·일회성 여부 확인","결의서명과 전기 대비 발생 건수·단가·시점 차이 검토"))</x:f>
      </x:c>
    </x:row>
    <x:row r="303">
      <x:c r="A303" t="str">
        <x:f>IFERROR(INDEX('계산도우미'!$A$5:$A$2004,MATCH(ROWS($A$6:A303),'계산도우미'!$L$5:$L$2004,0)),"")</x:f>
      </x:c>
      <x:c r="B303" t="str">
        <x:f>IFERROR(INDEX('계산도우미'!$B$5:$B$2004,MATCH(ROWS($A$6:A303),'계산도우미'!$L$5:$L$2004,0)),"")</x:f>
      </x:c>
      <x:c r="C303" t="str">
        <x:f>IFERROR(INDEX('계산도우미'!$C$5:$C$2004,MATCH(ROWS($A$6:A303),'계산도우미'!$L$5:$L$2004,0)),"")</x:f>
      </x:c>
      <x:c r="D303" s="67" t="str">
        <x:f>IFERROR(INDEX('계산도우미'!$D$5:$D$2004,MATCH(ROWS($A$6:A303),'계산도우미'!$L$5:$L$2004,0)),"")</x:f>
      </x:c>
      <x:c r="E303" t="str">
        <x:f>IFERROR(INDEX('계산도우미'!$E$5:$E$2004,MATCH(ROWS($A$6:A303),'계산도우미'!$L$5:$L$2004,0)),"")</x:f>
      </x:c>
      <x:c r="F303" t="str">
        <x:f>IFERROR(INDEX('계산도우미'!$F$5:$F$2004,MATCH(ROWS($A$6:A303),'계산도우미'!$L$5:$L$2004,0)),"")</x:f>
      </x:c>
      <x:c r="G303" s="68" t="str">
        <x:f>IFERROR(INDEX('계산도우미'!$G$5:$G$2004,MATCH(ROWS($A$6:A303),'계산도우미'!$L$5:$L$2004,0)),"")</x:f>
      </x:c>
      <x:c r="H303" t="str">
        <x:f>IFERROR(INDEX('계산도우미'!$H$5:$H$2004,MATCH(ROWS($A$6:A303),'계산도우미'!$L$5:$L$2004,0)),"")</x:f>
      </x:c>
      <x:c r="I303" t="str">
        <x:f>IFERROR(INDEX('계산도우미'!$I$5:$I$2004,MATCH(ROWS($A$6:A303),'계산도우미'!$L$5:$L$2004,0)),"")</x:f>
      </x:c>
      <x:c r="J303" t="str">
        <x:f>IFERROR(INDEX('계산도우미'!$J$5:$J$2004,MATCH(ROWS($A$6:A303),'계산도우미'!$L$5:$L$2004,0)),"")</x:f>
      </x:c>
      <x:c r="K303" t="str">
        <x:f>IF(B303="","",IF(I303="확인 필요","붙임 문서 확인 후 거래 성격·기간·상대방·일회성 여부 확인","결의서명과 전기 대비 발생 건수·단가·시점 차이 검토"))</x:f>
      </x:c>
    </x:row>
    <x:row r="304">
      <x:c r="A304" t="str">
        <x:f>IFERROR(INDEX('계산도우미'!$A$5:$A$2004,MATCH(ROWS($A$6:A304),'계산도우미'!$L$5:$L$2004,0)),"")</x:f>
      </x:c>
      <x:c r="B304" t="str">
        <x:f>IFERROR(INDEX('계산도우미'!$B$5:$B$2004,MATCH(ROWS($A$6:A304),'계산도우미'!$L$5:$L$2004,0)),"")</x:f>
      </x:c>
      <x:c r="C304" t="str">
        <x:f>IFERROR(INDEX('계산도우미'!$C$5:$C$2004,MATCH(ROWS($A$6:A304),'계산도우미'!$L$5:$L$2004,0)),"")</x:f>
      </x:c>
      <x:c r="D304" s="67" t="str">
        <x:f>IFERROR(INDEX('계산도우미'!$D$5:$D$2004,MATCH(ROWS($A$6:A304),'계산도우미'!$L$5:$L$2004,0)),"")</x:f>
      </x:c>
      <x:c r="E304" t="str">
        <x:f>IFERROR(INDEX('계산도우미'!$E$5:$E$2004,MATCH(ROWS($A$6:A304),'계산도우미'!$L$5:$L$2004,0)),"")</x:f>
      </x:c>
      <x:c r="F304" t="str">
        <x:f>IFERROR(INDEX('계산도우미'!$F$5:$F$2004,MATCH(ROWS($A$6:A304),'계산도우미'!$L$5:$L$2004,0)),"")</x:f>
      </x:c>
      <x:c r="G304" s="68" t="str">
        <x:f>IFERROR(INDEX('계산도우미'!$G$5:$G$2004,MATCH(ROWS($A$6:A304),'계산도우미'!$L$5:$L$2004,0)),"")</x:f>
      </x:c>
      <x:c r="H304" t="str">
        <x:f>IFERROR(INDEX('계산도우미'!$H$5:$H$2004,MATCH(ROWS($A$6:A304),'계산도우미'!$L$5:$L$2004,0)),"")</x:f>
      </x:c>
      <x:c r="I304" t="str">
        <x:f>IFERROR(INDEX('계산도우미'!$I$5:$I$2004,MATCH(ROWS($A$6:A304),'계산도우미'!$L$5:$L$2004,0)),"")</x:f>
      </x:c>
      <x:c r="J304" t="str">
        <x:f>IFERROR(INDEX('계산도우미'!$J$5:$J$2004,MATCH(ROWS($A$6:A304),'계산도우미'!$L$5:$L$2004,0)),"")</x:f>
      </x:c>
      <x:c r="K304" t="str">
        <x:f>IF(B304="","",IF(I304="확인 필요","붙임 문서 확인 후 거래 성격·기간·상대방·일회성 여부 확인","결의서명과 전기 대비 발생 건수·단가·시점 차이 검토"))</x:f>
      </x:c>
    </x:row>
    <x:row r="305">
      <x:c r="A305" t="str">
        <x:f>IFERROR(INDEX('계산도우미'!$A$5:$A$2004,MATCH(ROWS($A$6:A305),'계산도우미'!$L$5:$L$2004,0)),"")</x:f>
      </x:c>
      <x:c r="B305" t="str">
        <x:f>IFERROR(INDEX('계산도우미'!$B$5:$B$2004,MATCH(ROWS($A$6:A305),'계산도우미'!$L$5:$L$2004,0)),"")</x:f>
      </x:c>
      <x:c r="C305" t="str">
        <x:f>IFERROR(INDEX('계산도우미'!$C$5:$C$2004,MATCH(ROWS($A$6:A305),'계산도우미'!$L$5:$L$2004,0)),"")</x:f>
      </x:c>
      <x:c r="D305" s="67" t="str">
        <x:f>IFERROR(INDEX('계산도우미'!$D$5:$D$2004,MATCH(ROWS($A$6:A305),'계산도우미'!$L$5:$L$2004,0)),"")</x:f>
      </x:c>
      <x:c r="E305" t="str">
        <x:f>IFERROR(INDEX('계산도우미'!$E$5:$E$2004,MATCH(ROWS($A$6:A305),'계산도우미'!$L$5:$L$2004,0)),"")</x:f>
      </x:c>
      <x:c r="F305" t="str">
        <x:f>IFERROR(INDEX('계산도우미'!$F$5:$F$2004,MATCH(ROWS($A$6:A305),'계산도우미'!$L$5:$L$2004,0)),"")</x:f>
      </x:c>
      <x:c r="G305" s="68" t="str">
        <x:f>IFERROR(INDEX('계산도우미'!$G$5:$G$2004,MATCH(ROWS($A$6:A305),'계산도우미'!$L$5:$L$2004,0)),"")</x:f>
      </x:c>
      <x:c r="H305" t="str">
        <x:f>IFERROR(INDEX('계산도우미'!$H$5:$H$2004,MATCH(ROWS($A$6:A305),'계산도우미'!$L$5:$L$2004,0)),"")</x:f>
      </x:c>
      <x:c r="I305" t="str">
        <x:f>IFERROR(INDEX('계산도우미'!$I$5:$I$2004,MATCH(ROWS($A$6:A305),'계산도우미'!$L$5:$L$2004,0)),"")</x:f>
      </x:c>
      <x:c r="J305" t="str">
        <x:f>IFERROR(INDEX('계산도우미'!$J$5:$J$2004,MATCH(ROWS($A$6:A305),'계산도우미'!$L$5:$L$2004,0)),"")</x:f>
      </x:c>
      <x:c r="K305" t="str">
        <x:f>IF(B305="","",IF(I305="확인 필요","붙임 문서 확인 후 거래 성격·기간·상대방·일회성 여부 확인","결의서명과 전기 대비 발생 건수·단가·시점 차이 검토"))</x:f>
      </x:c>
    </x:row>
    <x:row r="306">
      <x:c r="A306" t="str">
        <x:f>IFERROR(INDEX('계산도우미'!$A$5:$A$2004,MATCH(ROWS($A$6:A306),'계산도우미'!$L$5:$L$2004,0)),"")</x:f>
      </x:c>
      <x:c r="B306" t="str">
        <x:f>IFERROR(INDEX('계산도우미'!$B$5:$B$2004,MATCH(ROWS($A$6:A306),'계산도우미'!$L$5:$L$2004,0)),"")</x:f>
      </x:c>
      <x:c r="C306" t="str">
        <x:f>IFERROR(INDEX('계산도우미'!$C$5:$C$2004,MATCH(ROWS($A$6:A306),'계산도우미'!$L$5:$L$2004,0)),"")</x:f>
      </x:c>
      <x:c r="D306" s="67" t="str">
        <x:f>IFERROR(INDEX('계산도우미'!$D$5:$D$2004,MATCH(ROWS($A$6:A306),'계산도우미'!$L$5:$L$2004,0)),"")</x:f>
      </x:c>
      <x:c r="E306" t="str">
        <x:f>IFERROR(INDEX('계산도우미'!$E$5:$E$2004,MATCH(ROWS($A$6:A306),'계산도우미'!$L$5:$L$2004,0)),"")</x:f>
      </x:c>
      <x:c r="F306" t="str">
        <x:f>IFERROR(INDEX('계산도우미'!$F$5:$F$2004,MATCH(ROWS($A$6:A306),'계산도우미'!$L$5:$L$2004,0)),"")</x:f>
      </x:c>
      <x:c r="G306" s="68" t="str">
        <x:f>IFERROR(INDEX('계산도우미'!$G$5:$G$2004,MATCH(ROWS($A$6:A306),'계산도우미'!$L$5:$L$2004,0)),"")</x:f>
      </x:c>
      <x:c r="H306" t="str">
        <x:f>IFERROR(INDEX('계산도우미'!$H$5:$H$2004,MATCH(ROWS($A$6:A306),'계산도우미'!$L$5:$L$2004,0)),"")</x:f>
      </x:c>
      <x:c r="I306" t="str">
        <x:f>IFERROR(INDEX('계산도우미'!$I$5:$I$2004,MATCH(ROWS($A$6:A306),'계산도우미'!$L$5:$L$2004,0)),"")</x:f>
      </x:c>
      <x:c r="J306" t="str">
        <x:f>IFERROR(INDEX('계산도우미'!$J$5:$J$2004,MATCH(ROWS($A$6:A306),'계산도우미'!$L$5:$L$2004,0)),"")</x:f>
      </x:c>
      <x:c r="K306" t="str">
        <x:f>IF(B306="","",IF(I306="확인 필요","붙임 문서 확인 후 거래 성격·기간·상대방·일회성 여부 확인","결의서명과 전기 대비 발생 건수·단가·시점 차이 검토"))</x:f>
      </x:c>
    </x:row>
    <x:row r="307">
      <x:c r="A307" t="str">
        <x:f>IFERROR(INDEX('계산도우미'!$A$5:$A$2004,MATCH(ROWS($A$6:A307),'계산도우미'!$L$5:$L$2004,0)),"")</x:f>
      </x:c>
      <x:c r="B307" t="str">
        <x:f>IFERROR(INDEX('계산도우미'!$B$5:$B$2004,MATCH(ROWS($A$6:A307),'계산도우미'!$L$5:$L$2004,0)),"")</x:f>
      </x:c>
      <x:c r="C307" t="str">
        <x:f>IFERROR(INDEX('계산도우미'!$C$5:$C$2004,MATCH(ROWS($A$6:A307),'계산도우미'!$L$5:$L$2004,0)),"")</x:f>
      </x:c>
      <x:c r="D307" s="67" t="str">
        <x:f>IFERROR(INDEX('계산도우미'!$D$5:$D$2004,MATCH(ROWS($A$6:A307),'계산도우미'!$L$5:$L$2004,0)),"")</x:f>
      </x:c>
      <x:c r="E307" t="str">
        <x:f>IFERROR(INDEX('계산도우미'!$E$5:$E$2004,MATCH(ROWS($A$6:A307),'계산도우미'!$L$5:$L$2004,0)),"")</x:f>
      </x:c>
      <x:c r="F307" t="str">
        <x:f>IFERROR(INDEX('계산도우미'!$F$5:$F$2004,MATCH(ROWS($A$6:A307),'계산도우미'!$L$5:$L$2004,0)),"")</x:f>
      </x:c>
      <x:c r="G307" s="68" t="str">
        <x:f>IFERROR(INDEX('계산도우미'!$G$5:$G$2004,MATCH(ROWS($A$6:A307),'계산도우미'!$L$5:$L$2004,0)),"")</x:f>
      </x:c>
      <x:c r="H307" t="str">
        <x:f>IFERROR(INDEX('계산도우미'!$H$5:$H$2004,MATCH(ROWS($A$6:A307),'계산도우미'!$L$5:$L$2004,0)),"")</x:f>
      </x:c>
      <x:c r="I307" t="str">
        <x:f>IFERROR(INDEX('계산도우미'!$I$5:$I$2004,MATCH(ROWS($A$6:A307),'계산도우미'!$L$5:$L$2004,0)),"")</x:f>
      </x:c>
      <x:c r="J307" t="str">
        <x:f>IFERROR(INDEX('계산도우미'!$J$5:$J$2004,MATCH(ROWS($A$6:A307),'계산도우미'!$L$5:$L$2004,0)),"")</x:f>
      </x:c>
      <x:c r="K307" t="str">
        <x:f>IF(B307="","",IF(I307="확인 필요","붙임 문서 확인 후 거래 성격·기간·상대방·일회성 여부 확인","결의서명과 전기 대비 발생 건수·단가·시점 차이 검토"))</x:f>
      </x:c>
    </x:row>
    <x:row r="308">
      <x:c r="A308" t="str">
        <x:f>IFERROR(INDEX('계산도우미'!$A$5:$A$2004,MATCH(ROWS($A$6:A308),'계산도우미'!$L$5:$L$2004,0)),"")</x:f>
      </x:c>
      <x:c r="B308" t="str">
        <x:f>IFERROR(INDEX('계산도우미'!$B$5:$B$2004,MATCH(ROWS($A$6:A308),'계산도우미'!$L$5:$L$2004,0)),"")</x:f>
      </x:c>
      <x:c r="C308" t="str">
        <x:f>IFERROR(INDEX('계산도우미'!$C$5:$C$2004,MATCH(ROWS($A$6:A308),'계산도우미'!$L$5:$L$2004,0)),"")</x:f>
      </x:c>
      <x:c r="D308" s="67" t="str">
        <x:f>IFERROR(INDEX('계산도우미'!$D$5:$D$2004,MATCH(ROWS($A$6:A308),'계산도우미'!$L$5:$L$2004,0)),"")</x:f>
      </x:c>
      <x:c r="E308" t="str">
        <x:f>IFERROR(INDEX('계산도우미'!$E$5:$E$2004,MATCH(ROWS($A$6:A308),'계산도우미'!$L$5:$L$2004,0)),"")</x:f>
      </x:c>
      <x:c r="F308" t="str">
        <x:f>IFERROR(INDEX('계산도우미'!$F$5:$F$2004,MATCH(ROWS($A$6:A308),'계산도우미'!$L$5:$L$2004,0)),"")</x:f>
      </x:c>
      <x:c r="G308" s="68" t="str">
        <x:f>IFERROR(INDEX('계산도우미'!$G$5:$G$2004,MATCH(ROWS($A$6:A308),'계산도우미'!$L$5:$L$2004,0)),"")</x:f>
      </x:c>
      <x:c r="H308" t="str">
        <x:f>IFERROR(INDEX('계산도우미'!$H$5:$H$2004,MATCH(ROWS($A$6:A308),'계산도우미'!$L$5:$L$2004,0)),"")</x:f>
      </x:c>
      <x:c r="I308" t="str">
        <x:f>IFERROR(INDEX('계산도우미'!$I$5:$I$2004,MATCH(ROWS($A$6:A308),'계산도우미'!$L$5:$L$2004,0)),"")</x:f>
      </x:c>
      <x:c r="J308" t="str">
        <x:f>IFERROR(INDEX('계산도우미'!$J$5:$J$2004,MATCH(ROWS($A$6:A308),'계산도우미'!$L$5:$L$2004,0)),"")</x:f>
      </x:c>
      <x:c r="K308" t="str">
        <x:f>IF(B308="","",IF(I308="확인 필요","붙임 문서 확인 후 거래 성격·기간·상대방·일회성 여부 확인","결의서명과 전기 대비 발생 건수·단가·시점 차이 검토"))</x:f>
      </x:c>
    </x:row>
    <x:row r="309">
      <x:c r="A309" t="str">
        <x:f>IFERROR(INDEX('계산도우미'!$A$5:$A$2004,MATCH(ROWS($A$6:A309),'계산도우미'!$L$5:$L$2004,0)),"")</x:f>
      </x:c>
      <x:c r="B309" t="str">
        <x:f>IFERROR(INDEX('계산도우미'!$B$5:$B$2004,MATCH(ROWS($A$6:A309),'계산도우미'!$L$5:$L$2004,0)),"")</x:f>
      </x:c>
      <x:c r="C309" t="str">
        <x:f>IFERROR(INDEX('계산도우미'!$C$5:$C$2004,MATCH(ROWS($A$6:A309),'계산도우미'!$L$5:$L$2004,0)),"")</x:f>
      </x:c>
      <x:c r="D309" s="67" t="str">
        <x:f>IFERROR(INDEX('계산도우미'!$D$5:$D$2004,MATCH(ROWS($A$6:A309),'계산도우미'!$L$5:$L$2004,0)),"")</x:f>
      </x:c>
      <x:c r="E309" t="str">
        <x:f>IFERROR(INDEX('계산도우미'!$E$5:$E$2004,MATCH(ROWS($A$6:A309),'계산도우미'!$L$5:$L$2004,0)),"")</x:f>
      </x:c>
      <x:c r="F309" t="str">
        <x:f>IFERROR(INDEX('계산도우미'!$F$5:$F$2004,MATCH(ROWS($A$6:A309),'계산도우미'!$L$5:$L$2004,0)),"")</x:f>
      </x:c>
      <x:c r="G309" s="68" t="str">
        <x:f>IFERROR(INDEX('계산도우미'!$G$5:$G$2004,MATCH(ROWS($A$6:A309),'계산도우미'!$L$5:$L$2004,0)),"")</x:f>
      </x:c>
      <x:c r="H309" t="str">
        <x:f>IFERROR(INDEX('계산도우미'!$H$5:$H$2004,MATCH(ROWS($A$6:A309),'계산도우미'!$L$5:$L$2004,0)),"")</x:f>
      </x:c>
      <x:c r="I309" t="str">
        <x:f>IFERROR(INDEX('계산도우미'!$I$5:$I$2004,MATCH(ROWS($A$6:A309),'계산도우미'!$L$5:$L$2004,0)),"")</x:f>
      </x:c>
      <x:c r="J309" t="str">
        <x:f>IFERROR(INDEX('계산도우미'!$J$5:$J$2004,MATCH(ROWS($A$6:A309),'계산도우미'!$L$5:$L$2004,0)),"")</x:f>
      </x:c>
      <x:c r="K309" t="str">
        <x:f>IF(B309="","",IF(I309="확인 필요","붙임 문서 확인 후 거래 성격·기간·상대방·일회성 여부 확인","결의서명과 전기 대비 발생 건수·단가·시점 차이 검토"))</x:f>
      </x:c>
    </x:row>
    <x:row r="310">
      <x:c r="A310" t="str">
        <x:f>IFERROR(INDEX('계산도우미'!$A$5:$A$2004,MATCH(ROWS($A$6:A310),'계산도우미'!$L$5:$L$2004,0)),"")</x:f>
      </x:c>
      <x:c r="B310" t="str">
        <x:f>IFERROR(INDEX('계산도우미'!$B$5:$B$2004,MATCH(ROWS($A$6:A310),'계산도우미'!$L$5:$L$2004,0)),"")</x:f>
      </x:c>
      <x:c r="C310" t="str">
        <x:f>IFERROR(INDEX('계산도우미'!$C$5:$C$2004,MATCH(ROWS($A$6:A310),'계산도우미'!$L$5:$L$2004,0)),"")</x:f>
      </x:c>
      <x:c r="D310" s="67" t="str">
        <x:f>IFERROR(INDEX('계산도우미'!$D$5:$D$2004,MATCH(ROWS($A$6:A310),'계산도우미'!$L$5:$L$2004,0)),"")</x:f>
      </x:c>
      <x:c r="E310" t="str">
        <x:f>IFERROR(INDEX('계산도우미'!$E$5:$E$2004,MATCH(ROWS($A$6:A310),'계산도우미'!$L$5:$L$2004,0)),"")</x:f>
      </x:c>
      <x:c r="F310" t="str">
        <x:f>IFERROR(INDEX('계산도우미'!$F$5:$F$2004,MATCH(ROWS($A$6:A310),'계산도우미'!$L$5:$L$2004,0)),"")</x:f>
      </x:c>
      <x:c r="G310" s="68" t="str">
        <x:f>IFERROR(INDEX('계산도우미'!$G$5:$G$2004,MATCH(ROWS($A$6:A310),'계산도우미'!$L$5:$L$2004,0)),"")</x:f>
      </x:c>
      <x:c r="H310" t="str">
        <x:f>IFERROR(INDEX('계산도우미'!$H$5:$H$2004,MATCH(ROWS($A$6:A310),'계산도우미'!$L$5:$L$2004,0)),"")</x:f>
      </x:c>
      <x:c r="I310" t="str">
        <x:f>IFERROR(INDEX('계산도우미'!$I$5:$I$2004,MATCH(ROWS($A$6:A310),'계산도우미'!$L$5:$L$2004,0)),"")</x:f>
      </x:c>
      <x:c r="J310" t="str">
        <x:f>IFERROR(INDEX('계산도우미'!$J$5:$J$2004,MATCH(ROWS($A$6:A310),'계산도우미'!$L$5:$L$2004,0)),"")</x:f>
      </x:c>
      <x:c r="K310" t="str">
        <x:f>IF(B310="","",IF(I310="확인 필요","붙임 문서 확인 후 거래 성격·기간·상대방·일회성 여부 확인","결의서명과 전기 대비 발생 건수·단가·시점 차이 검토"))</x:f>
      </x:c>
    </x:row>
    <x:row r="311">
      <x:c r="A311" t="str">
        <x:f>IFERROR(INDEX('계산도우미'!$A$5:$A$2004,MATCH(ROWS($A$6:A311),'계산도우미'!$L$5:$L$2004,0)),"")</x:f>
      </x:c>
      <x:c r="B311" t="str">
        <x:f>IFERROR(INDEX('계산도우미'!$B$5:$B$2004,MATCH(ROWS($A$6:A311),'계산도우미'!$L$5:$L$2004,0)),"")</x:f>
      </x:c>
      <x:c r="C311" t="str">
        <x:f>IFERROR(INDEX('계산도우미'!$C$5:$C$2004,MATCH(ROWS($A$6:A311),'계산도우미'!$L$5:$L$2004,0)),"")</x:f>
      </x:c>
      <x:c r="D311" s="67" t="str">
        <x:f>IFERROR(INDEX('계산도우미'!$D$5:$D$2004,MATCH(ROWS($A$6:A311),'계산도우미'!$L$5:$L$2004,0)),"")</x:f>
      </x:c>
      <x:c r="E311" t="str">
        <x:f>IFERROR(INDEX('계산도우미'!$E$5:$E$2004,MATCH(ROWS($A$6:A311),'계산도우미'!$L$5:$L$2004,0)),"")</x:f>
      </x:c>
      <x:c r="F311" t="str">
        <x:f>IFERROR(INDEX('계산도우미'!$F$5:$F$2004,MATCH(ROWS($A$6:A311),'계산도우미'!$L$5:$L$2004,0)),"")</x:f>
      </x:c>
      <x:c r="G311" s="68" t="str">
        <x:f>IFERROR(INDEX('계산도우미'!$G$5:$G$2004,MATCH(ROWS($A$6:A311),'계산도우미'!$L$5:$L$2004,0)),"")</x:f>
      </x:c>
      <x:c r="H311" t="str">
        <x:f>IFERROR(INDEX('계산도우미'!$H$5:$H$2004,MATCH(ROWS($A$6:A311),'계산도우미'!$L$5:$L$2004,0)),"")</x:f>
      </x:c>
      <x:c r="I311" t="str">
        <x:f>IFERROR(INDEX('계산도우미'!$I$5:$I$2004,MATCH(ROWS($A$6:A311),'계산도우미'!$L$5:$L$2004,0)),"")</x:f>
      </x:c>
      <x:c r="J311" t="str">
        <x:f>IFERROR(INDEX('계산도우미'!$J$5:$J$2004,MATCH(ROWS($A$6:A311),'계산도우미'!$L$5:$L$2004,0)),"")</x:f>
      </x:c>
      <x:c r="K311" t="str">
        <x:f>IF(B311="","",IF(I311="확인 필요","붙임 문서 확인 후 거래 성격·기간·상대방·일회성 여부 확인","결의서명과 전기 대비 발생 건수·단가·시점 차이 검토"))</x:f>
      </x:c>
    </x:row>
    <x:row r="312">
      <x:c r="A312" t="str">
        <x:f>IFERROR(INDEX('계산도우미'!$A$5:$A$2004,MATCH(ROWS($A$6:A312),'계산도우미'!$L$5:$L$2004,0)),"")</x:f>
      </x:c>
      <x:c r="B312" t="str">
        <x:f>IFERROR(INDEX('계산도우미'!$B$5:$B$2004,MATCH(ROWS($A$6:A312),'계산도우미'!$L$5:$L$2004,0)),"")</x:f>
      </x:c>
      <x:c r="C312" t="str">
        <x:f>IFERROR(INDEX('계산도우미'!$C$5:$C$2004,MATCH(ROWS($A$6:A312),'계산도우미'!$L$5:$L$2004,0)),"")</x:f>
      </x:c>
      <x:c r="D312" s="67" t="str">
        <x:f>IFERROR(INDEX('계산도우미'!$D$5:$D$2004,MATCH(ROWS($A$6:A312),'계산도우미'!$L$5:$L$2004,0)),"")</x:f>
      </x:c>
      <x:c r="E312" t="str">
        <x:f>IFERROR(INDEX('계산도우미'!$E$5:$E$2004,MATCH(ROWS($A$6:A312),'계산도우미'!$L$5:$L$2004,0)),"")</x:f>
      </x:c>
      <x:c r="F312" t="str">
        <x:f>IFERROR(INDEX('계산도우미'!$F$5:$F$2004,MATCH(ROWS($A$6:A312),'계산도우미'!$L$5:$L$2004,0)),"")</x:f>
      </x:c>
      <x:c r="G312" s="68" t="str">
        <x:f>IFERROR(INDEX('계산도우미'!$G$5:$G$2004,MATCH(ROWS($A$6:A312),'계산도우미'!$L$5:$L$2004,0)),"")</x:f>
      </x:c>
      <x:c r="H312" t="str">
        <x:f>IFERROR(INDEX('계산도우미'!$H$5:$H$2004,MATCH(ROWS($A$6:A312),'계산도우미'!$L$5:$L$2004,0)),"")</x:f>
      </x:c>
      <x:c r="I312" t="str">
        <x:f>IFERROR(INDEX('계산도우미'!$I$5:$I$2004,MATCH(ROWS($A$6:A312),'계산도우미'!$L$5:$L$2004,0)),"")</x:f>
      </x:c>
      <x:c r="J312" t="str">
        <x:f>IFERROR(INDEX('계산도우미'!$J$5:$J$2004,MATCH(ROWS($A$6:A312),'계산도우미'!$L$5:$L$2004,0)),"")</x:f>
      </x:c>
      <x:c r="K312" t="str">
        <x:f>IF(B312="","",IF(I312="확인 필요","붙임 문서 확인 후 거래 성격·기간·상대방·일회성 여부 확인","결의서명과 전기 대비 발생 건수·단가·시점 차이 검토"))</x:f>
      </x:c>
    </x:row>
    <x:row r="313">
      <x:c r="A313" t="str">
        <x:f>IFERROR(INDEX('계산도우미'!$A$5:$A$2004,MATCH(ROWS($A$6:A313),'계산도우미'!$L$5:$L$2004,0)),"")</x:f>
      </x:c>
      <x:c r="B313" t="str">
        <x:f>IFERROR(INDEX('계산도우미'!$B$5:$B$2004,MATCH(ROWS($A$6:A313),'계산도우미'!$L$5:$L$2004,0)),"")</x:f>
      </x:c>
      <x:c r="C313" t="str">
        <x:f>IFERROR(INDEX('계산도우미'!$C$5:$C$2004,MATCH(ROWS($A$6:A313),'계산도우미'!$L$5:$L$2004,0)),"")</x:f>
      </x:c>
      <x:c r="D313" s="67" t="str">
        <x:f>IFERROR(INDEX('계산도우미'!$D$5:$D$2004,MATCH(ROWS($A$6:A313),'계산도우미'!$L$5:$L$2004,0)),"")</x:f>
      </x:c>
      <x:c r="E313" t="str">
        <x:f>IFERROR(INDEX('계산도우미'!$E$5:$E$2004,MATCH(ROWS($A$6:A313),'계산도우미'!$L$5:$L$2004,0)),"")</x:f>
      </x:c>
      <x:c r="F313" t="str">
        <x:f>IFERROR(INDEX('계산도우미'!$F$5:$F$2004,MATCH(ROWS($A$6:A313),'계산도우미'!$L$5:$L$2004,0)),"")</x:f>
      </x:c>
      <x:c r="G313" s="68" t="str">
        <x:f>IFERROR(INDEX('계산도우미'!$G$5:$G$2004,MATCH(ROWS($A$6:A313),'계산도우미'!$L$5:$L$2004,0)),"")</x:f>
      </x:c>
      <x:c r="H313" t="str">
        <x:f>IFERROR(INDEX('계산도우미'!$H$5:$H$2004,MATCH(ROWS($A$6:A313),'계산도우미'!$L$5:$L$2004,0)),"")</x:f>
      </x:c>
      <x:c r="I313" t="str">
        <x:f>IFERROR(INDEX('계산도우미'!$I$5:$I$2004,MATCH(ROWS($A$6:A313),'계산도우미'!$L$5:$L$2004,0)),"")</x:f>
      </x:c>
      <x:c r="J313" t="str">
        <x:f>IFERROR(INDEX('계산도우미'!$J$5:$J$2004,MATCH(ROWS($A$6:A313),'계산도우미'!$L$5:$L$2004,0)),"")</x:f>
      </x:c>
      <x:c r="K313" t="str">
        <x:f>IF(B313="","",IF(I313="확인 필요","붙임 문서 확인 후 거래 성격·기간·상대방·일회성 여부 확인","결의서명과 전기 대비 발생 건수·단가·시점 차이 검토"))</x:f>
      </x:c>
    </x:row>
    <x:row r="314">
      <x:c r="A314" t="str">
        <x:f>IFERROR(INDEX('계산도우미'!$A$5:$A$2004,MATCH(ROWS($A$6:A314),'계산도우미'!$L$5:$L$2004,0)),"")</x:f>
      </x:c>
      <x:c r="B314" t="str">
        <x:f>IFERROR(INDEX('계산도우미'!$B$5:$B$2004,MATCH(ROWS($A$6:A314),'계산도우미'!$L$5:$L$2004,0)),"")</x:f>
      </x:c>
      <x:c r="C314" t="str">
        <x:f>IFERROR(INDEX('계산도우미'!$C$5:$C$2004,MATCH(ROWS($A$6:A314),'계산도우미'!$L$5:$L$2004,0)),"")</x:f>
      </x:c>
      <x:c r="D314" s="67" t="str">
        <x:f>IFERROR(INDEX('계산도우미'!$D$5:$D$2004,MATCH(ROWS($A$6:A314),'계산도우미'!$L$5:$L$2004,0)),"")</x:f>
      </x:c>
      <x:c r="E314" t="str">
        <x:f>IFERROR(INDEX('계산도우미'!$E$5:$E$2004,MATCH(ROWS($A$6:A314),'계산도우미'!$L$5:$L$2004,0)),"")</x:f>
      </x:c>
      <x:c r="F314" t="str">
        <x:f>IFERROR(INDEX('계산도우미'!$F$5:$F$2004,MATCH(ROWS($A$6:A314),'계산도우미'!$L$5:$L$2004,0)),"")</x:f>
      </x:c>
      <x:c r="G314" s="68" t="str">
        <x:f>IFERROR(INDEX('계산도우미'!$G$5:$G$2004,MATCH(ROWS($A$6:A314),'계산도우미'!$L$5:$L$2004,0)),"")</x:f>
      </x:c>
      <x:c r="H314" t="str">
        <x:f>IFERROR(INDEX('계산도우미'!$H$5:$H$2004,MATCH(ROWS($A$6:A314),'계산도우미'!$L$5:$L$2004,0)),"")</x:f>
      </x:c>
      <x:c r="I314" t="str">
        <x:f>IFERROR(INDEX('계산도우미'!$I$5:$I$2004,MATCH(ROWS($A$6:A314),'계산도우미'!$L$5:$L$2004,0)),"")</x:f>
      </x:c>
      <x:c r="J314" t="str">
        <x:f>IFERROR(INDEX('계산도우미'!$J$5:$J$2004,MATCH(ROWS($A$6:A314),'계산도우미'!$L$5:$L$2004,0)),"")</x:f>
      </x:c>
      <x:c r="K314" t="str">
        <x:f>IF(B314="","",IF(I314="확인 필요","붙임 문서 확인 후 거래 성격·기간·상대방·일회성 여부 확인","결의서명과 전기 대비 발생 건수·단가·시점 차이 검토"))</x:f>
      </x:c>
    </x:row>
    <x:row r="315">
      <x:c r="A315" t="str">
        <x:f>IFERROR(INDEX('계산도우미'!$A$5:$A$2004,MATCH(ROWS($A$6:A315),'계산도우미'!$L$5:$L$2004,0)),"")</x:f>
      </x:c>
      <x:c r="B315" t="str">
        <x:f>IFERROR(INDEX('계산도우미'!$B$5:$B$2004,MATCH(ROWS($A$6:A315),'계산도우미'!$L$5:$L$2004,0)),"")</x:f>
      </x:c>
      <x:c r="C315" t="str">
        <x:f>IFERROR(INDEX('계산도우미'!$C$5:$C$2004,MATCH(ROWS($A$6:A315),'계산도우미'!$L$5:$L$2004,0)),"")</x:f>
      </x:c>
      <x:c r="D315" s="67" t="str">
        <x:f>IFERROR(INDEX('계산도우미'!$D$5:$D$2004,MATCH(ROWS($A$6:A315),'계산도우미'!$L$5:$L$2004,0)),"")</x:f>
      </x:c>
      <x:c r="E315" t="str">
        <x:f>IFERROR(INDEX('계산도우미'!$E$5:$E$2004,MATCH(ROWS($A$6:A315),'계산도우미'!$L$5:$L$2004,0)),"")</x:f>
      </x:c>
      <x:c r="F315" t="str">
        <x:f>IFERROR(INDEX('계산도우미'!$F$5:$F$2004,MATCH(ROWS($A$6:A315),'계산도우미'!$L$5:$L$2004,0)),"")</x:f>
      </x:c>
      <x:c r="G315" s="68" t="str">
        <x:f>IFERROR(INDEX('계산도우미'!$G$5:$G$2004,MATCH(ROWS($A$6:A315),'계산도우미'!$L$5:$L$2004,0)),"")</x:f>
      </x:c>
      <x:c r="H315" t="str">
        <x:f>IFERROR(INDEX('계산도우미'!$H$5:$H$2004,MATCH(ROWS($A$6:A315),'계산도우미'!$L$5:$L$2004,0)),"")</x:f>
      </x:c>
      <x:c r="I315" t="str">
        <x:f>IFERROR(INDEX('계산도우미'!$I$5:$I$2004,MATCH(ROWS($A$6:A315),'계산도우미'!$L$5:$L$2004,0)),"")</x:f>
      </x:c>
      <x:c r="J315" t="str">
        <x:f>IFERROR(INDEX('계산도우미'!$J$5:$J$2004,MATCH(ROWS($A$6:A315),'계산도우미'!$L$5:$L$2004,0)),"")</x:f>
      </x:c>
      <x:c r="K315" t="str">
        <x:f>IF(B315="","",IF(I315="확인 필요","붙임 문서 확인 후 거래 성격·기간·상대방·일회성 여부 확인","결의서명과 전기 대비 발생 건수·단가·시점 차이 검토"))</x:f>
      </x:c>
    </x:row>
    <x:row r="316">
      <x:c r="A316" t="str">
        <x:f>IFERROR(INDEX('계산도우미'!$A$5:$A$2004,MATCH(ROWS($A$6:A316),'계산도우미'!$L$5:$L$2004,0)),"")</x:f>
      </x:c>
      <x:c r="B316" t="str">
        <x:f>IFERROR(INDEX('계산도우미'!$B$5:$B$2004,MATCH(ROWS($A$6:A316),'계산도우미'!$L$5:$L$2004,0)),"")</x:f>
      </x:c>
      <x:c r="C316" t="str">
        <x:f>IFERROR(INDEX('계산도우미'!$C$5:$C$2004,MATCH(ROWS($A$6:A316),'계산도우미'!$L$5:$L$2004,0)),"")</x:f>
      </x:c>
      <x:c r="D316" s="67" t="str">
        <x:f>IFERROR(INDEX('계산도우미'!$D$5:$D$2004,MATCH(ROWS($A$6:A316),'계산도우미'!$L$5:$L$2004,0)),"")</x:f>
      </x:c>
      <x:c r="E316" t="str">
        <x:f>IFERROR(INDEX('계산도우미'!$E$5:$E$2004,MATCH(ROWS($A$6:A316),'계산도우미'!$L$5:$L$2004,0)),"")</x:f>
      </x:c>
      <x:c r="F316" t="str">
        <x:f>IFERROR(INDEX('계산도우미'!$F$5:$F$2004,MATCH(ROWS($A$6:A316),'계산도우미'!$L$5:$L$2004,0)),"")</x:f>
      </x:c>
      <x:c r="G316" s="68" t="str">
        <x:f>IFERROR(INDEX('계산도우미'!$G$5:$G$2004,MATCH(ROWS($A$6:A316),'계산도우미'!$L$5:$L$2004,0)),"")</x:f>
      </x:c>
      <x:c r="H316" t="str">
        <x:f>IFERROR(INDEX('계산도우미'!$H$5:$H$2004,MATCH(ROWS($A$6:A316),'계산도우미'!$L$5:$L$2004,0)),"")</x:f>
      </x:c>
      <x:c r="I316" t="str">
        <x:f>IFERROR(INDEX('계산도우미'!$I$5:$I$2004,MATCH(ROWS($A$6:A316),'계산도우미'!$L$5:$L$2004,0)),"")</x:f>
      </x:c>
      <x:c r="J316" t="str">
        <x:f>IFERROR(INDEX('계산도우미'!$J$5:$J$2004,MATCH(ROWS($A$6:A316),'계산도우미'!$L$5:$L$2004,0)),"")</x:f>
      </x:c>
      <x:c r="K316" t="str">
        <x:f>IF(B316="","",IF(I316="확인 필요","붙임 문서 확인 후 거래 성격·기간·상대방·일회성 여부 확인","결의서명과 전기 대비 발생 건수·단가·시점 차이 검토"))</x:f>
      </x:c>
    </x:row>
    <x:row r="317">
      <x:c r="A317" t="str">
        <x:f>IFERROR(INDEX('계산도우미'!$A$5:$A$2004,MATCH(ROWS($A$6:A317),'계산도우미'!$L$5:$L$2004,0)),"")</x:f>
      </x:c>
      <x:c r="B317" t="str">
        <x:f>IFERROR(INDEX('계산도우미'!$B$5:$B$2004,MATCH(ROWS($A$6:A317),'계산도우미'!$L$5:$L$2004,0)),"")</x:f>
      </x:c>
      <x:c r="C317" t="str">
        <x:f>IFERROR(INDEX('계산도우미'!$C$5:$C$2004,MATCH(ROWS($A$6:A317),'계산도우미'!$L$5:$L$2004,0)),"")</x:f>
      </x:c>
      <x:c r="D317" s="67" t="str">
        <x:f>IFERROR(INDEX('계산도우미'!$D$5:$D$2004,MATCH(ROWS($A$6:A317),'계산도우미'!$L$5:$L$2004,0)),"")</x:f>
      </x:c>
      <x:c r="E317" t="str">
        <x:f>IFERROR(INDEX('계산도우미'!$E$5:$E$2004,MATCH(ROWS($A$6:A317),'계산도우미'!$L$5:$L$2004,0)),"")</x:f>
      </x:c>
      <x:c r="F317" t="str">
        <x:f>IFERROR(INDEX('계산도우미'!$F$5:$F$2004,MATCH(ROWS($A$6:A317),'계산도우미'!$L$5:$L$2004,0)),"")</x:f>
      </x:c>
      <x:c r="G317" s="68" t="str">
        <x:f>IFERROR(INDEX('계산도우미'!$G$5:$G$2004,MATCH(ROWS($A$6:A317),'계산도우미'!$L$5:$L$2004,0)),"")</x:f>
      </x:c>
      <x:c r="H317" t="str">
        <x:f>IFERROR(INDEX('계산도우미'!$H$5:$H$2004,MATCH(ROWS($A$6:A317),'계산도우미'!$L$5:$L$2004,0)),"")</x:f>
      </x:c>
      <x:c r="I317" t="str">
        <x:f>IFERROR(INDEX('계산도우미'!$I$5:$I$2004,MATCH(ROWS($A$6:A317),'계산도우미'!$L$5:$L$2004,0)),"")</x:f>
      </x:c>
      <x:c r="J317" t="str">
        <x:f>IFERROR(INDEX('계산도우미'!$J$5:$J$2004,MATCH(ROWS($A$6:A317),'계산도우미'!$L$5:$L$2004,0)),"")</x:f>
      </x:c>
      <x:c r="K317" t="str">
        <x:f>IF(B317="","",IF(I317="확인 필요","붙임 문서 확인 후 거래 성격·기간·상대방·일회성 여부 확인","결의서명과 전기 대비 발생 건수·단가·시점 차이 검토"))</x:f>
      </x:c>
    </x:row>
    <x:row r="318">
      <x:c r="A318" t="str">
        <x:f>IFERROR(INDEX('계산도우미'!$A$5:$A$2004,MATCH(ROWS($A$6:A318),'계산도우미'!$L$5:$L$2004,0)),"")</x:f>
      </x:c>
      <x:c r="B318" t="str">
        <x:f>IFERROR(INDEX('계산도우미'!$B$5:$B$2004,MATCH(ROWS($A$6:A318),'계산도우미'!$L$5:$L$2004,0)),"")</x:f>
      </x:c>
      <x:c r="C318" t="str">
        <x:f>IFERROR(INDEX('계산도우미'!$C$5:$C$2004,MATCH(ROWS($A$6:A318),'계산도우미'!$L$5:$L$2004,0)),"")</x:f>
      </x:c>
      <x:c r="D318" s="67" t="str">
        <x:f>IFERROR(INDEX('계산도우미'!$D$5:$D$2004,MATCH(ROWS($A$6:A318),'계산도우미'!$L$5:$L$2004,0)),"")</x:f>
      </x:c>
      <x:c r="E318" t="str">
        <x:f>IFERROR(INDEX('계산도우미'!$E$5:$E$2004,MATCH(ROWS($A$6:A318),'계산도우미'!$L$5:$L$2004,0)),"")</x:f>
      </x:c>
      <x:c r="F318" t="str">
        <x:f>IFERROR(INDEX('계산도우미'!$F$5:$F$2004,MATCH(ROWS($A$6:A318),'계산도우미'!$L$5:$L$2004,0)),"")</x:f>
      </x:c>
      <x:c r="G318" s="68" t="str">
        <x:f>IFERROR(INDEX('계산도우미'!$G$5:$G$2004,MATCH(ROWS($A$6:A318),'계산도우미'!$L$5:$L$2004,0)),"")</x:f>
      </x:c>
      <x:c r="H318" t="str">
        <x:f>IFERROR(INDEX('계산도우미'!$H$5:$H$2004,MATCH(ROWS($A$6:A318),'계산도우미'!$L$5:$L$2004,0)),"")</x:f>
      </x:c>
      <x:c r="I318" t="str">
        <x:f>IFERROR(INDEX('계산도우미'!$I$5:$I$2004,MATCH(ROWS($A$6:A318),'계산도우미'!$L$5:$L$2004,0)),"")</x:f>
      </x:c>
      <x:c r="J318" t="str">
        <x:f>IFERROR(INDEX('계산도우미'!$J$5:$J$2004,MATCH(ROWS($A$6:A318),'계산도우미'!$L$5:$L$2004,0)),"")</x:f>
      </x:c>
      <x:c r="K318" t="str">
        <x:f>IF(B318="","",IF(I318="확인 필요","붙임 문서 확인 후 거래 성격·기간·상대방·일회성 여부 확인","결의서명과 전기 대비 발생 건수·단가·시점 차이 검토"))</x:f>
      </x:c>
    </x:row>
    <x:row r="319">
      <x:c r="A319" t="str">
        <x:f>IFERROR(INDEX('계산도우미'!$A$5:$A$2004,MATCH(ROWS($A$6:A319),'계산도우미'!$L$5:$L$2004,0)),"")</x:f>
      </x:c>
      <x:c r="B319" t="str">
        <x:f>IFERROR(INDEX('계산도우미'!$B$5:$B$2004,MATCH(ROWS($A$6:A319),'계산도우미'!$L$5:$L$2004,0)),"")</x:f>
      </x:c>
      <x:c r="C319" t="str">
        <x:f>IFERROR(INDEX('계산도우미'!$C$5:$C$2004,MATCH(ROWS($A$6:A319),'계산도우미'!$L$5:$L$2004,0)),"")</x:f>
      </x:c>
      <x:c r="D319" s="67" t="str">
        <x:f>IFERROR(INDEX('계산도우미'!$D$5:$D$2004,MATCH(ROWS($A$6:A319),'계산도우미'!$L$5:$L$2004,0)),"")</x:f>
      </x:c>
      <x:c r="E319" t="str">
        <x:f>IFERROR(INDEX('계산도우미'!$E$5:$E$2004,MATCH(ROWS($A$6:A319),'계산도우미'!$L$5:$L$2004,0)),"")</x:f>
      </x:c>
      <x:c r="F319" t="str">
        <x:f>IFERROR(INDEX('계산도우미'!$F$5:$F$2004,MATCH(ROWS($A$6:A319),'계산도우미'!$L$5:$L$2004,0)),"")</x:f>
      </x:c>
      <x:c r="G319" s="68" t="str">
        <x:f>IFERROR(INDEX('계산도우미'!$G$5:$G$2004,MATCH(ROWS($A$6:A319),'계산도우미'!$L$5:$L$2004,0)),"")</x:f>
      </x:c>
      <x:c r="H319" t="str">
        <x:f>IFERROR(INDEX('계산도우미'!$H$5:$H$2004,MATCH(ROWS($A$6:A319),'계산도우미'!$L$5:$L$2004,0)),"")</x:f>
      </x:c>
      <x:c r="I319" t="str">
        <x:f>IFERROR(INDEX('계산도우미'!$I$5:$I$2004,MATCH(ROWS($A$6:A319),'계산도우미'!$L$5:$L$2004,0)),"")</x:f>
      </x:c>
      <x:c r="J319" t="str">
        <x:f>IFERROR(INDEX('계산도우미'!$J$5:$J$2004,MATCH(ROWS($A$6:A319),'계산도우미'!$L$5:$L$2004,0)),"")</x:f>
      </x:c>
      <x:c r="K319" t="str">
        <x:f>IF(B319="","",IF(I319="확인 필요","붙임 문서 확인 후 거래 성격·기간·상대방·일회성 여부 확인","결의서명과 전기 대비 발생 건수·단가·시점 차이 검토"))</x:f>
      </x:c>
    </x:row>
    <x:row r="320">
      <x:c r="A320" t="str">
        <x:f>IFERROR(INDEX('계산도우미'!$A$5:$A$2004,MATCH(ROWS($A$6:A320),'계산도우미'!$L$5:$L$2004,0)),"")</x:f>
      </x:c>
      <x:c r="B320" t="str">
        <x:f>IFERROR(INDEX('계산도우미'!$B$5:$B$2004,MATCH(ROWS($A$6:A320),'계산도우미'!$L$5:$L$2004,0)),"")</x:f>
      </x:c>
      <x:c r="C320" t="str">
        <x:f>IFERROR(INDEX('계산도우미'!$C$5:$C$2004,MATCH(ROWS($A$6:A320),'계산도우미'!$L$5:$L$2004,0)),"")</x:f>
      </x:c>
      <x:c r="D320" s="67" t="str">
        <x:f>IFERROR(INDEX('계산도우미'!$D$5:$D$2004,MATCH(ROWS($A$6:A320),'계산도우미'!$L$5:$L$2004,0)),"")</x:f>
      </x:c>
      <x:c r="E320" t="str">
        <x:f>IFERROR(INDEX('계산도우미'!$E$5:$E$2004,MATCH(ROWS($A$6:A320),'계산도우미'!$L$5:$L$2004,0)),"")</x:f>
      </x:c>
      <x:c r="F320" t="str">
        <x:f>IFERROR(INDEX('계산도우미'!$F$5:$F$2004,MATCH(ROWS($A$6:A320),'계산도우미'!$L$5:$L$2004,0)),"")</x:f>
      </x:c>
      <x:c r="G320" s="68" t="str">
        <x:f>IFERROR(INDEX('계산도우미'!$G$5:$G$2004,MATCH(ROWS($A$6:A320),'계산도우미'!$L$5:$L$2004,0)),"")</x:f>
      </x:c>
      <x:c r="H320" t="str">
        <x:f>IFERROR(INDEX('계산도우미'!$H$5:$H$2004,MATCH(ROWS($A$6:A320),'계산도우미'!$L$5:$L$2004,0)),"")</x:f>
      </x:c>
      <x:c r="I320" t="str">
        <x:f>IFERROR(INDEX('계산도우미'!$I$5:$I$2004,MATCH(ROWS($A$6:A320),'계산도우미'!$L$5:$L$2004,0)),"")</x:f>
      </x:c>
      <x:c r="J320" t="str">
        <x:f>IFERROR(INDEX('계산도우미'!$J$5:$J$2004,MATCH(ROWS($A$6:A320),'계산도우미'!$L$5:$L$2004,0)),"")</x:f>
      </x:c>
      <x:c r="K320" t="str">
        <x:f>IF(B320="","",IF(I320="확인 필요","붙임 문서 확인 후 거래 성격·기간·상대방·일회성 여부 확인","결의서명과 전기 대비 발생 건수·단가·시점 차이 검토"))</x:f>
      </x:c>
    </x:row>
    <x:row r="321">
      <x:c r="A321" t="str">
        <x:f>IFERROR(INDEX('계산도우미'!$A$5:$A$2004,MATCH(ROWS($A$6:A321),'계산도우미'!$L$5:$L$2004,0)),"")</x:f>
      </x:c>
      <x:c r="B321" t="str">
        <x:f>IFERROR(INDEX('계산도우미'!$B$5:$B$2004,MATCH(ROWS($A$6:A321),'계산도우미'!$L$5:$L$2004,0)),"")</x:f>
      </x:c>
      <x:c r="C321" t="str">
        <x:f>IFERROR(INDEX('계산도우미'!$C$5:$C$2004,MATCH(ROWS($A$6:A321),'계산도우미'!$L$5:$L$2004,0)),"")</x:f>
      </x:c>
      <x:c r="D321" s="67" t="str">
        <x:f>IFERROR(INDEX('계산도우미'!$D$5:$D$2004,MATCH(ROWS($A$6:A321),'계산도우미'!$L$5:$L$2004,0)),"")</x:f>
      </x:c>
      <x:c r="E321" t="str">
        <x:f>IFERROR(INDEX('계산도우미'!$E$5:$E$2004,MATCH(ROWS($A$6:A321),'계산도우미'!$L$5:$L$2004,0)),"")</x:f>
      </x:c>
      <x:c r="F321" t="str">
        <x:f>IFERROR(INDEX('계산도우미'!$F$5:$F$2004,MATCH(ROWS($A$6:A321),'계산도우미'!$L$5:$L$2004,0)),"")</x:f>
      </x:c>
      <x:c r="G321" s="68" t="str">
        <x:f>IFERROR(INDEX('계산도우미'!$G$5:$G$2004,MATCH(ROWS($A$6:A321),'계산도우미'!$L$5:$L$2004,0)),"")</x:f>
      </x:c>
      <x:c r="H321" t="str">
        <x:f>IFERROR(INDEX('계산도우미'!$H$5:$H$2004,MATCH(ROWS($A$6:A321),'계산도우미'!$L$5:$L$2004,0)),"")</x:f>
      </x:c>
      <x:c r="I321" t="str">
        <x:f>IFERROR(INDEX('계산도우미'!$I$5:$I$2004,MATCH(ROWS($A$6:A321),'계산도우미'!$L$5:$L$2004,0)),"")</x:f>
      </x:c>
      <x:c r="J321" t="str">
        <x:f>IFERROR(INDEX('계산도우미'!$J$5:$J$2004,MATCH(ROWS($A$6:A321),'계산도우미'!$L$5:$L$2004,0)),"")</x:f>
      </x:c>
      <x:c r="K321" t="str">
        <x:f>IF(B321="","",IF(I321="확인 필요","붙임 문서 확인 후 거래 성격·기간·상대방·일회성 여부 확인","결의서명과 전기 대비 발생 건수·단가·시점 차이 검토"))</x:f>
      </x:c>
    </x:row>
    <x:row r="322">
      <x:c r="A322" t="str">
        <x:f>IFERROR(INDEX('계산도우미'!$A$5:$A$2004,MATCH(ROWS($A$6:A322),'계산도우미'!$L$5:$L$2004,0)),"")</x:f>
      </x:c>
      <x:c r="B322" t="str">
        <x:f>IFERROR(INDEX('계산도우미'!$B$5:$B$2004,MATCH(ROWS($A$6:A322),'계산도우미'!$L$5:$L$2004,0)),"")</x:f>
      </x:c>
      <x:c r="C322" t="str">
        <x:f>IFERROR(INDEX('계산도우미'!$C$5:$C$2004,MATCH(ROWS($A$6:A322),'계산도우미'!$L$5:$L$2004,0)),"")</x:f>
      </x:c>
      <x:c r="D322" s="67" t="str">
        <x:f>IFERROR(INDEX('계산도우미'!$D$5:$D$2004,MATCH(ROWS($A$6:A322),'계산도우미'!$L$5:$L$2004,0)),"")</x:f>
      </x:c>
      <x:c r="E322" t="str">
        <x:f>IFERROR(INDEX('계산도우미'!$E$5:$E$2004,MATCH(ROWS($A$6:A322),'계산도우미'!$L$5:$L$2004,0)),"")</x:f>
      </x:c>
      <x:c r="F322" t="str">
        <x:f>IFERROR(INDEX('계산도우미'!$F$5:$F$2004,MATCH(ROWS($A$6:A322),'계산도우미'!$L$5:$L$2004,0)),"")</x:f>
      </x:c>
      <x:c r="G322" s="68" t="str">
        <x:f>IFERROR(INDEX('계산도우미'!$G$5:$G$2004,MATCH(ROWS($A$6:A322),'계산도우미'!$L$5:$L$2004,0)),"")</x:f>
      </x:c>
      <x:c r="H322" t="str">
        <x:f>IFERROR(INDEX('계산도우미'!$H$5:$H$2004,MATCH(ROWS($A$6:A322),'계산도우미'!$L$5:$L$2004,0)),"")</x:f>
      </x:c>
      <x:c r="I322" t="str">
        <x:f>IFERROR(INDEX('계산도우미'!$I$5:$I$2004,MATCH(ROWS($A$6:A322),'계산도우미'!$L$5:$L$2004,0)),"")</x:f>
      </x:c>
      <x:c r="J322" t="str">
        <x:f>IFERROR(INDEX('계산도우미'!$J$5:$J$2004,MATCH(ROWS($A$6:A322),'계산도우미'!$L$5:$L$2004,0)),"")</x:f>
      </x:c>
      <x:c r="K322" t="str">
        <x:f>IF(B322="","",IF(I322="확인 필요","붙임 문서 확인 후 거래 성격·기간·상대방·일회성 여부 확인","결의서명과 전기 대비 발생 건수·단가·시점 차이 검토"))</x:f>
      </x:c>
    </x:row>
    <x:row r="323">
      <x:c r="A323" t="str">
        <x:f>IFERROR(INDEX('계산도우미'!$A$5:$A$2004,MATCH(ROWS($A$6:A323),'계산도우미'!$L$5:$L$2004,0)),"")</x:f>
      </x:c>
      <x:c r="B323" t="str">
        <x:f>IFERROR(INDEX('계산도우미'!$B$5:$B$2004,MATCH(ROWS($A$6:A323),'계산도우미'!$L$5:$L$2004,0)),"")</x:f>
      </x:c>
      <x:c r="C323" t="str">
        <x:f>IFERROR(INDEX('계산도우미'!$C$5:$C$2004,MATCH(ROWS($A$6:A323),'계산도우미'!$L$5:$L$2004,0)),"")</x:f>
      </x:c>
      <x:c r="D323" s="67" t="str">
        <x:f>IFERROR(INDEX('계산도우미'!$D$5:$D$2004,MATCH(ROWS($A$6:A323),'계산도우미'!$L$5:$L$2004,0)),"")</x:f>
      </x:c>
      <x:c r="E323" t="str">
        <x:f>IFERROR(INDEX('계산도우미'!$E$5:$E$2004,MATCH(ROWS($A$6:A323),'계산도우미'!$L$5:$L$2004,0)),"")</x:f>
      </x:c>
      <x:c r="F323" t="str">
        <x:f>IFERROR(INDEX('계산도우미'!$F$5:$F$2004,MATCH(ROWS($A$6:A323),'계산도우미'!$L$5:$L$2004,0)),"")</x:f>
      </x:c>
      <x:c r="G323" s="68" t="str">
        <x:f>IFERROR(INDEX('계산도우미'!$G$5:$G$2004,MATCH(ROWS($A$6:A323),'계산도우미'!$L$5:$L$2004,0)),"")</x:f>
      </x:c>
      <x:c r="H323" t="str">
        <x:f>IFERROR(INDEX('계산도우미'!$H$5:$H$2004,MATCH(ROWS($A$6:A323),'계산도우미'!$L$5:$L$2004,0)),"")</x:f>
      </x:c>
      <x:c r="I323" t="str">
        <x:f>IFERROR(INDEX('계산도우미'!$I$5:$I$2004,MATCH(ROWS($A$6:A323),'계산도우미'!$L$5:$L$2004,0)),"")</x:f>
      </x:c>
      <x:c r="J323" t="str">
        <x:f>IFERROR(INDEX('계산도우미'!$J$5:$J$2004,MATCH(ROWS($A$6:A323),'계산도우미'!$L$5:$L$2004,0)),"")</x:f>
      </x:c>
      <x:c r="K323" t="str">
        <x:f>IF(B323="","",IF(I323="확인 필요","붙임 문서 확인 후 거래 성격·기간·상대방·일회성 여부 확인","결의서명과 전기 대비 발생 건수·단가·시점 차이 검토"))</x:f>
      </x:c>
    </x:row>
    <x:row r="324">
      <x:c r="A324" t="str">
        <x:f>IFERROR(INDEX('계산도우미'!$A$5:$A$2004,MATCH(ROWS($A$6:A324),'계산도우미'!$L$5:$L$2004,0)),"")</x:f>
      </x:c>
      <x:c r="B324" t="str">
        <x:f>IFERROR(INDEX('계산도우미'!$B$5:$B$2004,MATCH(ROWS($A$6:A324),'계산도우미'!$L$5:$L$2004,0)),"")</x:f>
      </x:c>
      <x:c r="C324" t="str">
        <x:f>IFERROR(INDEX('계산도우미'!$C$5:$C$2004,MATCH(ROWS($A$6:A324),'계산도우미'!$L$5:$L$2004,0)),"")</x:f>
      </x:c>
      <x:c r="D324" s="67" t="str">
        <x:f>IFERROR(INDEX('계산도우미'!$D$5:$D$2004,MATCH(ROWS($A$6:A324),'계산도우미'!$L$5:$L$2004,0)),"")</x:f>
      </x:c>
      <x:c r="E324" t="str">
        <x:f>IFERROR(INDEX('계산도우미'!$E$5:$E$2004,MATCH(ROWS($A$6:A324),'계산도우미'!$L$5:$L$2004,0)),"")</x:f>
      </x:c>
      <x:c r="F324" t="str">
        <x:f>IFERROR(INDEX('계산도우미'!$F$5:$F$2004,MATCH(ROWS($A$6:A324),'계산도우미'!$L$5:$L$2004,0)),"")</x:f>
      </x:c>
      <x:c r="G324" s="68" t="str">
        <x:f>IFERROR(INDEX('계산도우미'!$G$5:$G$2004,MATCH(ROWS($A$6:A324),'계산도우미'!$L$5:$L$2004,0)),"")</x:f>
      </x:c>
      <x:c r="H324" t="str">
        <x:f>IFERROR(INDEX('계산도우미'!$H$5:$H$2004,MATCH(ROWS($A$6:A324),'계산도우미'!$L$5:$L$2004,0)),"")</x:f>
      </x:c>
      <x:c r="I324" t="str">
        <x:f>IFERROR(INDEX('계산도우미'!$I$5:$I$2004,MATCH(ROWS($A$6:A324),'계산도우미'!$L$5:$L$2004,0)),"")</x:f>
      </x:c>
      <x:c r="J324" t="str">
        <x:f>IFERROR(INDEX('계산도우미'!$J$5:$J$2004,MATCH(ROWS($A$6:A324),'계산도우미'!$L$5:$L$2004,0)),"")</x:f>
      </x:c>
      <x:c r="K324" t="str">
        <x:f>IF(B324="","",IF(I324="확인 필요","붙임 문서 확인 후 거래 성격·기간·상대방·일회성 여부 확인","결의서명과 전기 대비 발생 건수·단가·시점 차이 검토"))</x:f>
      </x:c>
    </x:row>
    <x:row r="325">
      <x:c r="A325" t="str">
        <x:f>IFERROR(INDEX('계산도우미'!$A$5:$A$2004,MATCH(ROWS($A$6:A325),'계산도우미'!$L$5:$L$2004,0)),"")</x:f>
      </x:c>
      <x:c r="B325" t="str">
        <x:f>IFERROR(INDEX('계산도우미'!$B$5:$B$2004,MATCH(ROWS($A$6:A325),'계산도우미'!$L$5:$L$2004,0)),"")</x:f>
      </x:c>
      <x:c r="C325" t="str">
        <x:f>IFERROR(INDEX('계산도우미'!$C$5:$C$2004,MATCH(ROWS($A$6:A325),'계산도우미'!$L$5:$L$2004,0)),"")</x:f>
      </x:c>
      <x:c r="D325" s="67" t="str">
        <x:f>IFERROR(INDEX('계산도우미'!$D$5:$D$2004,MATCH(ROWS($A$6:A325),'계산도우미'!$L$5:$L$2004,0)),"")</x:f>
      </x:c>
      <x:c r="E325" t="str">
        <x:f>IFERROR(INDEX('계산도우미'!$E$5:$E$2004,MATCH(ROWS($A$6:A325),'계산도우미'!$L$5:$L$2004,0)),"")</x:f>
      </x:c>
      <x:c r="F325" t="str">
        <x:f>IFERROR(INDEX('계산도우미'!$F$5:$F$2004,MATCH(ROWS($A$6:A325),'계산도우미'!$L$5:$L$2004,0)),"")</x:f>
      </x:c>
      <x:c r="G325" s="68" t="str">
        <x:f>IFERROR(INDEX('계산도우미'!$G$5:$G$2004,MATCH(ROWS($A$6:A325),'계산도우미'!$L$5:$L$2004,0)),"")</x:f>
      </x:c>
      <x:c r="H325" t="str">
        <x:f>IFERROR(INDEX('계산도우미'!$H$5:$H$2004,MATCH(ROWS($A$6:A325),'계산도우미'!$L$5:$L$2004,0)),"")</x:f>
      </x:c>
      <x:c r="I325" t="str">
        <x:f>IFERROR(INDEX('계산도우미'!$I$5:$I$2004,MATCH(ROWS($A$6:A325),'계산도우미'!$L$5:$L$2004,0)),"")</x:f>
      </x:c>
      <x:c r="J325" t="str">
        <x:f>IFERROR(INDEX('계산도우미'!$J$5:$J$2004,MATCH(ROWS($A$6:A325),'계산도우미'!$L$5:$L$2004,0)),"")</x:f>
      </x:c>
      <x:c r="K325" t="str">
        <x:f>IF(B325="","",IF(I325="확인 필요","붙임 문서 확인 후 거래 성격·기간·상대방·일회성 여부 확인","결의서명과 전기 대비 발생 건수·단가·시점 차이 검토"))</x:f>
      </x:c>
    </x:row>
    <x:row r="326">
      <x:c r="A326" t="str">
        <x:f>IFERROR(INDEX('계산도우미'!$A$5:$A$2004,MATCH(ROWS($A$6:A326),'계산도우미'!$L$5:$L$2004,0)),"")</x:f>
      </x:c>
      <x:c r="B326" t="str">
        <x:f>IFERROR(INDEX('계산도우미'!$B$5:$B$2004,MATCH(ROWS($A$6:A326),'계산도우미'!$L$5:$L$2004,0)),"")</x:f>
      </x:c>
      <x:c r="C326" t="str">
        <x:f>IFERROR(INDEX('계산도우미'!$C$5:$C$2004,MATCH(ROWS($A$6:A326),'계산도우미'!$L$5:$L$2004,0)),"")</x:f>
      </x:c>
      <x:c r="D326" s="67" t="str">
        <x:f>IFERROR(INDEX('계산도우미'!$D$5:$D$2004,MATCH(ROWS($A$6:A326),'계산도우미'!$L$5:$L$2004,0)),"")</x:f>
      </x:c>
      <x:c r="E326" t="str">
        <x:f>IFERROR(INDEX('계산도우미'!$E$5:$E$2004,MATCH(ROWS($A$6:A326),'계산도우미'!$L$5:$L$2004,0)),"")</x:f>
      </x:c>
      <x:c r="F326" t="str">
        <x:f>IFERROR(INDEX('계산도우미'!$F$5:$F$2004,MATCH(ROWS($A$6:A326),'계산도우미'!$L$5:$L$2004,0)),"")</x:f>
      </x:c>
      <x:c r="G326" s="68" t="str">
        <x:f>IFERROR(INDEX('계산도우미'!$G$5:$G$2004,MATCH(ROWS($A$6:A326),'계산도우미'!$L$5:$L$2004,0)),"")</x:f>
      </x:c>
      <x:c r="H326" t="str">
        <x:f>IFERROR(INDEX('계산도우미'!$H$5:$H$2004,MATCH(ROWS($A$6:A326),'계산도우미'!$L$5:$L$2004,0)),"")</x:f>
      </x:c>
      <x:c r="I326" t="str">
        <x:f>IFERROR(INDEX('계산도우미'!$I$5:$I$2004,MATCH(ROWS($A$6:A326),'계산도우미'!$L$5:$L$2004,0)),"")</x:f>
      </x:c>
      <x:c r="J326" t="str">
        <x:f>IFERROR(INDEX('계산도우미'!$J$5:$J$2004,MATCH(ROWS($A$6:A326),'계산도우미'!$L$5:$L$2004,0)),"")</x:f>
      </x:c>
      <x:c r="K326" t="str">
        <x:f>IF(B326="","",IF(I326="확인 필요","붙임 문서 확인 후 거래 성격·기간·상대방·일회성 여부 확인","결의서명과 전기 대비 발생 건수·단가·시점 차이 검토"))</x:f>
      </x:c>
    </x:row>
    <x:row r="327">
      <x:c r="A327" t="str">
        <x:f>IFERROR(INDEX('계산도우미'!$A$5:$A$2004,MATCH(ROWS($A$6:A327),'계산도우미'!$L$5:$L$2004,0)),"")</x:f>
      </x:c>
      <x:c r="B327" t="str">
        <x:f>IFERROR(INDEX('계산도우미'!$B$5:$B$2004,MATCH(ROWS($A$6:A327),'계산도우미'!$L$5:$L$2004,0)),"")</x:f>
      </x:c>
      <x:c r="C327" t="str">
        <x:f>IFERROR(INDEX('계산도우미'!$C$5:$C$2004,MATCH(ROWS($A$6:A327),'계산도우미'!$L$5:$L$2004,0)),"")</x:f>
      </x:c>
      <x:c r="D327" s="67" t="str">
        <x:f>IFERROR(INDEX('계산도우미'!$D$5:$D$2004,MATCH(ROWS($A$6:A327),'계산도우미'!$L$5:$L$2004,0)),"")</x:f>
      </x:c>
      <x:c r="E327" t="str">
        <x:f>IFERROR(INDEX('계산도우미'!$E$5:$E$2004,MATCH(ROWS($A$6:A327),'계산도우미'!$L$5:$L$2004,0)),"")</x:f>
      </x:c>
      <x:c r="F327" t="str">
        <x:f>IFERROR(INDEX('계산도우미'!$F$5:$F$2004,MATCH(ROWS($A$6:A327),'계산도우미'!$L$5:$L$2004,0)),"")</x:f>
      </x:c>
      <x:c r="G327" s="68" t="str">
        <x:f>IFERROR(INDEX('계산도우미'!$G$5:$G$2004,MATCH(ROWS($A$6:A327),'계산도우미'!$L$5:$L$2004,0)),"")</x:f>
      </x:c>
      <x:c r="H327" t="str">
        <x:f>IFERROR(INDEX('계산도우미'!$H$5:$H$2004,MATCH(ROWS($A$6:A327),'계산도우미'!$L$5:$L$2004,0)),"")</x:f>
      </x:c>
      <x:c r="I327" t="str">
        <x:f>IFERROR(INDEX('계산도우미'!$I$5:$I$2004,MATCH(ROWS($A$6:A327),'계산도우미'!$L$5:$L$2004,0)),"")</x:f>
      </x:c>
      <x:c r="J327" t="str">
        <x:f>IFERROR(INDEX('계산도우미'!$J$5:$J$2004,MATCH(ROWS($A$6:A327),'계산도우미'!$L$5:$L$2004,0)),"")</x:f>
      </x:c>
      <x:c r="K327" t="str">
        <x:f>IF(B327="","",IF(I327="확인 필요","붙임 문서 확인 후 거래 성격·기간·상대방·일회성 여부 확인","결의서명과 전기 대비 발생 건수·단가·시점 차이 검토"))</x:f>
      </x:c>
    </x:row>
    <x:row r="328">
      <x:c r="A328" t="str">
        <x:f>IFERROR(INDEX('계산도우미'!$A$5:$A$2004,MATCH(ROWS($A$6:A328),'계산도우미'!$L$5:$L$2004,0)),"")</x:f>
      </x:c>
      <x:c r="B328" t="str">
        <x:f>IFERROR(INDEX('계산도우미'!$B$5:$B$2004,MATCH(ROWS($A$6:A328),'계산도우미'!$L$5:$L$2004,0)),"")</x:f>
      </x:c>
      <x:c r="C328" t="str">
        <x:f>IFERROR(INDEX('계산도우미'!$C$5:$C$2004,MATCH(ROWS($A$6:A328),'계산도우미'!$L$5:$L$2004,0)),"")</x:f>
      </x:c>
      <x:c r="D328" s="67" t="str">
        <x:f>IFERROR(INDEX('계산도우미'!$D$5:$D$2004,MATCH(ROWS($A$6:A328),'계산도우미'!$L$5:$L$2004,0)),"")</x:f>
      </x:c>
      <x:c r="E328" t="str">
        <x:f>IFERROR(INDEX('계산도우미'!$E$5:$E$2004,MATCH(ROWS($A$6:A328),'계산도우미'!$L$5:$L$2004,0)),"")</x:f>
      </x:c>
      <x:c r="F328" t="str">
        <x:f>IFERROR(INDEX('계산도우미'!$F$5:$F$2004,MATCH(ROWS($A$6:A328),'계산도우미'!$L$5:$L$2004,0)),"")</x:f>
      </x:c>
      <x:c r="G328" s="68" t="str">
        <x:f>IFERROR(INDEX('계산도우미'!$G$5:$G$2004,MATCH(ROWS($A$6:A328),'계산도우미'!$L$5:$L$2004,0)),"")</x:f>
      </x:c>
      <x:c r="H328" t="str">
        <x:f>IFERROR(INDEX('계산도우미'!$H$5:$H$2004,MATCH(ROWS($A$6:A328),'계산도우미'!$L$5:$L$2004,0)),"")</x:f>
      </x:c>
      <x:c r="I328" t="str">
        <x:f>IFERROR(INDEX('계산도우미'!$I$5:$I$2004,MATCH(ROWS($A$6:A328),'계산도우미'!$L$5:$L$2004,0)),"")</x:f>
      </x:c>
      <x:c r="J328" t="str">
        <x:f>IFERROR(INDEX('계산도우미'!$J$5:$J$2004,MATCH(ROWS($A$6:A328),'계산도우미'!$L$5:$L$2004,0)),"")</x:f>
      </x:c>
      <x:c r="K328" t="str">
        <x:f>IF(B328="","",IF(I328="확인 필요","붙임 문서 확인 후 거래 성격·기간·상대방·일회성 여부 확인","결의서명과 전기 대비 발생 건수·단가·시점 차이 검토"))</x:f>
      </x:c>
    </x:row>
    <x:row r="329">
      <x:c r="A329" t="str">
        <x:f>IFERROR(INDEX('계산도우미'!$A$5:$A$2004,MATCH(ROWS($A$6:A329),'계산도우미'!$L$5:$L$2004,0)),"")</x:f>
      </x:c>
      <x:c r="B329" t="str">
        <x:f>IFERROR(INDEX('계산도우미'!$B$5:$B$2004,MATCH(ROWS($A$6:A329),'계산도우미'!$L$5:$L$2004,0)),"")</x:f>
      </x:c>
      <x:c r="C329" t="str">
        <x:f>IFERROR(INDEX('계산도우미'!$C$5:$C$2004,MATCH(ROWS($A$6:A329),'계산도우미'!$L$5:$L$2004,0)),"")</x:f>
      </x:c>
      <x:c r="D329" s="67" t="str">
        <x:f>IFERROR(INDEX('계산도우미'!$D$5:$D$2004,MATCH(ROWS($A$6:A329),'계산도우미'!$L$5:$L$2004,0)),"")</x:f>
      </x:c>
      <x:c r="E329" t="str">
        <x:f>IFERROR(INDEX('계산도우미'!$E$5:$E$2004,MATCH(ROWS($A$6:A329),'계산도우미'!$L$5:$L$2004,0)),"")</x:f>
      </x:c>
      <x:c r="F329" t="str">
        <x:f>IFERROR(INDEX('계산도우미'!$F$5:$F$2004,MATCH(ROWS($A$6:A329),'계산도우미'!$L$5:$L$2004,0)),"")</x:f>
      </x:c>
      <x:c r="G329" s="68" t="str">
        <x:f>IFERROR(INDEX('계산도우미'!$G$5:$G$2004,MATCH(ROWS($A$6:A329),'계산도우미'!$L$5:$L$2004,0)),"")</x:f>
      </x:c>
      <x:c r="H329" t="str">
        <x:f>IFERROR(INDEX('계산도우미'!$H$5:$H$2004,MATCH(ROWS($A$6:A329),'계산도우미'!$L$5:$L$2004,0)),"")</x:f>
      </x:c>
      <x:c r="I329" t="str">
        <x:f>IFERROR(INDEX('계산도우미'!$I$5:$I$2004,MATCH(ROWS($A$6:A329),'계산도우미'!$L$5:$L$2004,0)),"")</x:f>
      </x:c>
      <x:c r="J329" t="str">
        <x:f>IFERROR(INDEX('계산도우미'!$J$5:$J$2004,MATCH(ROWS($A$6:A329),'계산도우미'!$L$5:$L$2004,0)),"")</x:f>
      </x:c>
      <x:c r="K329" t="str">
        <x:f>IF(B329="","",IF(I329="확인 필요","붙임 문서 확인 후 거래 성격·기간·상대방·일회성 여부 확인","결의서명과 전기 대비 발생 건수·단가·시점 차이 검토"))</x:f>
      </x:c>
    </x:row>
    <x:row r="330">
      <x:c r="A330" t="str">
        <x:f>IFERROR(INDEX('계산도우미'!$A$5:$A$2004,MATCH(ROWS($A$6:A330),'계산도우미'!$L$5:$L$2004,0)),"")</x:f>
      </x:c>
      <x:c r="B330" t="str">
        <x:f>IFERROR(INDEX('계산도우미'!$B$5:$B$2004,MATCH(ROWS($A$6:A330),'계산도우미'!$L$5:$L$2004,0)),"")</x:f>
      </x:c>
      <x:c r="C330" t="str">
        <x:f>IFERROR(INDEX('계산도우미'!$C$5:$C$2004,MATCH(ROWS($A$6:A330),'계산도우미'!$L$5:$L$2004,0)),"")</x:f>
      </x:c>
      <x:c r="D330" s="67" t="str">
        <x:f>IFERROR(INDEX('계산도우미'!$D$5:$D$2004,MATCH(ROWS($A$6:A330),'계산도우미'!$L$5:$L$2004,0)),"")</x:f>
      </x:c>
      <x:c r="E330" t="str">
        <x:f>IFERROR(INDEX('계산도우미'!$E$5:$E$2004,MATCH(ROWS($A$6:A330),'계산도우미'!$L$5:$L$2004,0)),"")</x:f>
      </x:c>
      <x:c r="F330" t="str">
        <x:f>IFERROR(INDEX('계산도우미'!$F$5:$F$2004,MATCH(ROWS($A$6:A330),'계산도우미'!$L$5:$L$2004,0)),"")</x:f>
      </x:c>
      <x:c r="G330" s="68" t="str">
        <x:f>IFERROR(INDEX('계산도우미'!$G$5:$G$2004,MATCH(ROWS($A$6:A330),'계산도우미'!$L$5:$L$2004,0)),"")</x:f>
      </x:c>
      <x:c r="H330" t="str">
        <x:f>IFERROR(INDEX('계산도우미'!$H$5:$H$2004,MATCH(ROWS($A$6:A330),'계산도우미'!$L$5:$L$2004,0)),"")</x:f>
      </x:c>
      <x:c r="I330" t="str">
        <x:f>IFERROR(INDEX('계산도우미'!$I$5:$I$2004,MATCH(ROWS($A$6:A330),'계산도우미'!$L$5:$L$2004,0)),"")</x:f>
      </x:c>
      <x:c r="J330" t="str">
        <x:f>IFERROR(INDEX('계산도우미'!$J$5:$J$2004,MATCH(ROWS($A$6:A330),'계산도우미'!$L$5:$L$2004,0)),"")</x:f>
      </x:c>
      <x:c r="K330" t="str">
        <x:f>IF(B330="","",IF(I330="확인 필요","붙임 문서 확인 후 거래 성격·기간·상대방·일회성 여부 확인","결의서명과 전기 대비 발생 건수·단가·시점 차이 검토"))</x:f>
      </x:c>
    </x:row>
    <x:row r="331">
      <x:c r="A331" t="str">
        <x:f>IFERROR(INDEX('계산도우미'!$A$5:$A$2004,MATCH(ROWS($A$6:A331),'계산도우미'!$L$5:$L$2004,0)),"")</x:f>
      </x:c>
      <x:c r="B331" t="str">
        <x:f>IFERROR(INDEX('계산도우미'!$B$5:$B$2004,MATCH(ROWS($A$6:A331),'계산도우미'!$L$5:$L$2004,0)),"")</x:f>
      </x:c>
      <x:c r="C331" t="str">
        <x:f>IFERROR(INDEX('계산도우미'!$C$5:$C$2004,MATCH(ROWS($A$6:A331),'계산도우미'!$L$5:$L$2004,0)),"")</x:f>
      </x:c>
      <x:c r="D331" s="67" t="str">
        <x:f>IFERROR(INDEX('계산도우미'!$D$5:$D$2004,MATCH(ROWS($A$6:A331),'계산도우미'!$L$5:$L$2004,0)),"")</x:f>
      </x:c>
      <x:c r="E331" t="str">
        <x:f>IFERROR(INDEX('계산도우미'!$E$5:$E$2004,MATCH(ROWS($A$6:A331),'계산도우미'!$L$5:$L$2004,0)),"")</x:f>
      </x:c>
      <x:c r="F331" t="str">
        <x:f>IFERROR(INDEX('계산도우미'!$F$5:$F$2004,MATCH(ROWS($A$6:A331),'계산도우미'!$L$5:$L$2004,0)),"")</x:f>
      </x:c>
      <x:c r="G331" s="68" t="str">
        <x:f>IFERROR(INDEX('계산도우미'!$G$5:$G$2004,MATCH(ROWS($A$6:A331),'계산도우미'!$L$5:$L$2004,0)),"")</x:f>
      </x:c>
      <x:c r="H331" t="str">
        <x:f>IFERROR(INDEX('계산도우미'!$H$5:$H$2004,MATCH(ROWS($A$6:A331),'계산도우미'!$L$5:$L$2004,0)),"")</x:f>
      </x:c>
      <x:c r="I331" t="str">
        <x:f>IFERROR(INDEX('계산도우미'!$I$5:$I$2004,MATCH(ROWS($A$6:A331),'계산도우미'!$L$5:$L$2004,0)),"")</x:f>
      </x:c>
      <x:c r="J331" t="str">
        <x:f>IFERROR(INDEX('계산도우미'!$J$5:$J$2004,MATCH(ROWS($A$6:A331),'계산도우미'!$L$5:$L$2004,0)),"")</x:f>
      </x:c>
      <x:c r="K331" t="str">
        <x:f>IF(B331="","",IF(I331="확인 필요","붙임 문서 확인 후 거래 성격·기간·상대방·일회성 여부 확인","결의서명과 전기 대비 발생 건수·단가·시점 차이 검토"))</x:f>
      </x:c>
    </x:row>
    <x:row r="332">
      <x:c r="A332" t="str">
        <x:f>IFERROR(INDEX('계산도우미'!$A$5:$A$2004,MATCH(ROWS($A$6:A332),'계산도우미'!$L$5:$L$2004,0)),"")</x:f>
      </x:c>
      <x:c r="B332" t="str">
        <x:f>IFERROR(INDEX('계산도우미'!$B$5:$B$2004,MATCH(ROWS($A$6:A332),'계산도우미'!$L$5:$L$2004,0)),"")</x:f>
      </x:c>
      <x:c r="C332" t="str">
        <x:f>IFERROR(INDEX('계산도우미'!$C$5:$C$2004,MATCH(ROWS($A$6:A332),'계산도우미'!$L$5:$L$2004,0)),"")</x:f>
      </x:c>
      <x:c r="D332" s="67" t="str">
        <x:f>IFERROR(INDEX('계산도우미'!$D$5:$D$2004,MATCH(ROWS($A$6:A332),'계산도우미'!$L$5:$L$2004,0)),"")</x:f>
      </x:c>
      <x:c r="E332" t="str">
        <x:f>IFERROR(INDEX('계산도우미'!$E$5:$E$2004,MATCH(ROWS($A$6:A332),'계산도우미'!$L$5:$L$2004,0)),"")</x:f>
      </x:c>
      <x:c r="F332" t="str">
        <x:f>IFERROR(INDEX('계산도우미'!$F$5:$F$2004,MATCH(ROWS($A$6:A332),'계산도우미'!$L$5:$L$2004,0)),"")</x:f>
      </x:c>
      <x:c r="G332" s="68" t="str">
        <x:f>IFERROR(INDEX('계산도우미'!$G$5:$G$2004,MATCH(ROWS($A$6:A332),'계산도우미'!$L$5:$L$2004,0)),"")</x:f>
      </x:c>
      <x:c r="H332" t="str">
        <x:f>IFERROR(INDEX('계산도우미'!$H$5:$H$2004,MATCH(ROWS($A$6:A332),'계산도우미'!$L$5:$L$2004,0)),"")</x:f>
      </x:c>
      <x:c r="I332" t="str">
        <x:f>IFERROR(INDEX('계산도우미'!$I$5:$I$2004,MATCH(ROWS($A$6:A332),'계산도우미'!$L$5:$L$2004,0)),"")</x:f>
      </x:c>
      <x:c r="J332" t="str">
        <x:f>IFERROR(INDEX('계산도우미'!$J$5:$J$2004,MATCH(ROWS($A$6:A332),'계산도우미'!$L$5:$L$2004,0)),"")</x:f>
      </x:c>
      <x:c r="K332" t="str">
        <x:f>IF(B332="","",IF(I332="확인 필요","붙임 문서 확인 후 거래 성격·기간·상대방·일회성 여부 확인","결의서명과 전기 대비 발생 건수·단가·시점 차이 검토"))</x:f>
      </x:c>
    </x:row>
    <x:row r="333">
      <x:c r="A333" t="str">
        <x:f>IFERROR(INDEX('계산도우미'!$A$5:$A$2004,MATCH(ROWS($A$6:A333),'계산도우미'!$L$5:$L$2004,0)),"")</x:f>
      </x:c>
      <x:c r="B333" t="str">
        <x:f>IFERROR(INDEX('계산도우미'!$B$5:$B$2004,MATCH(ROWS($A$6:A333),'계산도우미'!$L$5:$L$2004,0)),"")</x:f>
      </x:c>
      <x:c r="C333" t="str">
        <x:f>IFERROR(INDEX('계산도우미'!$C$5:$C$2004,MATCH(ROWS($A$6:A333),'계산도우미'!$L$5:$L$2004,0)),"")</x:f>
      </x:c>
      <x:c r="D333" s="67" t="str">
        <x:f>IFERROR(INDEX('계산도우미'!$D$5:$D$2004,MATCH(ROWS($A$6:A333),'계산도우미'!$L$5:$L$2004,0)),"")</x:f>
      </x:c>
      <x:c r="E333" t="str">
        <x:f>IFERROR(INDEX('계산도우미'!$E$5:$E$2004,MATCH(ROWS($A$6:A333),'계산도우미'!$L$5:$L$2004,0)),"")</x:f>
      </x:c>
      <x:c r="F333" t="str">
        <x:f>IFERROR(INDEX('계산도우미'!$F$5:$F$2004,MATCH(ROWS($A$6:A333),'계산도우미'!$L$5:$L$2004,0)),"")</x:f>
      </x:c>
      <x:c r="G333" s="68" t="str">
        <x:f>IFERROR(INDEX('계산도우미'!$G$5:$G$2004,MATCH(ROWS($A$6:A333),'계산도우미'!$L$5:$L$2004,0)),"")</x:f>
      </x:c>
      <x:c r="H333" t="str">
        <x:f>IFERROR(INDEX('계산도우미'!$H$5:$H$2004,MATCH(ROWS($A$6:A333),'계산도우미'!$L$5:$L$2004,0)),"")</x:f>
      </x:c>
      <x:c r="I333" t="str">
        <x:f>IFERROR(INDEX('계산도우미'!$I$5:$I$2004,MATCH(ROWS($A$6:A333),'계산도우미'!$L$5:$L$2004,0)),"")</x:f>
      </x:c>
      <x:c r="J333" t="str">
        <x:f>IFERROR(INDEX('계산도우미'!$J$5:$J$2004,MATCH(ROWS($A$6:A333),'계산도우미'!$L$5:$L$2004,0)),"")</x:f>
      </x:c>
      <x:c r="K333" t="str">
        <x:f>IF(B333="","",IF(I333="확인 필요","붙임 문서 확인 후 거래 성격·기간·상대방·일회성 여부 확인","결의서명과 전기 대비 발생 건수·단가·시점 차이 검토"))</x:f>
      </x:c>
    </x:row>
    <x:row r="334">
      <x:c r="A334" t="str">
        <x:f>IFERROR(INDEX('계산도우미'!$A$5:$A$2004,MATCH(ROWS($A$6:A334),'계산도우미'!$L$5:$L$2004,0)),"")</x:f>
      </x:c>
      <x:c r="B334" t="str">
        <x:f>IFERROR(INDEX('계산도우미'!$B$5:$B$2004,MATCH(ROWS($A$6:A334),'계산도우미'!$L$5:$L$2004,0)),"")</x:f>
      </x:c>
      <x:c r="C334" t="str">
        <x:f>IFERROR(INDEX('계산도우미'!$C$5:$C$2004,MATCH(ROWS($A$6:A334),'계산도우미'!$L$5:$L$2004,0)),"")</x:f>
      </x:c>
      <x:c r="D334" s="67" t="str">
        <x:f>IFERROR(INDEX('계산도우미'!$D$5:$D$2004,MATCH(ROWS($A$6:A334),'계산도우미'!$L$5:$L$2004,0)),"")</x:f>
      </x:c>
      <x:c r="E334" t="str">
        <x:f>IFERROR(INDEX('계산도우미'!$E$5:$E$2004,MATCH(ROWS($A$6:A334),'계산도우미'!$L$5:$L$2004,0)),"")</x:f>
      </x:c>
      <x:c r="F334" t="str">
        <x:f>IFERROR(INDEX('계산도우미'!$F$5:$F$2004,MATCH(ROWS($A$6:A334),'계산도우미'!$L$5:$L$2004,0)),"")</x:f>
      </x:c>
      <x:c r="G334" s="68" t="str">
        <x:f>IFERROR(INDEX('계산도우미'!$G$5:$G$2004,MATCH(ROWS($A$6:A334),'계산도우미'!$L$5:$L$2004,0)),"")</x:f>
      </x:c>
      <x:c r="H334" t="str">
        <x:f>IFERROR(INDEX('계산도우미'!$H$5:$H$2004,MATCH(ROWS($A$6:A334),'계산도우미'!$L$5:$L$2004,0)),"")</x:f>
      </x:c>
      <x:c r="I334" t="str">
        <x:f>IFERROR(INDEX('계산도우미'!$I$5:$I$2004,MATCH(ROWS($A$6:A334),'계산도우미'!$L$5:$L$2004,0)),"")</x:f>
      </x:c>
      <x:c r="J334" t="str">
        <x:f>IFERROR(INDEX('계산도우미'!$J$5:$J$2004,MATCH(ROWS($A$6:A334),'계산도우미'!$L$5:$L$2004,0)),"")</x:f>
      </x:c>
      <x:c r="K334" t="str">
        <x:f>IF(B334="","",IF(I334="확인 필요","붙임 문서 확인 후 거래 성격·기간·상대방·일회성 여부 확인","결의서명과 전기 대비 발생 건수·단가·시점 차이 검토"))</x:f>
      </x:c>
    </x:row>
    <x:row r="335">
      <x:c r="A335" t="str">
        <x:f>IFERROR(INDEX('계산도우미'!$A$5:$A$2004,MATCH(ROWS($A$6:A335),'계산도우미'!$L$5:$L$2004,0)),"")</x:f>
      </x:c>
      <x:c r="B335" t="str">
        <x:f>IFERROR(INDEX('계산도우미'!$B$5:$B$2004,MATCH(ROWS($A$6:A335),'계산도우미'!$L$5:$L$2004,0)),"")</x:f>
      </x:c>
      <x:c r="C335" t="str">
        <x:f>IFERROR(INDEX('계산도우미'!$C$5:$C$2004,MATCH(ROWS($A$6:A335),'계산도우미'!$L$5:$L$2004,0)),"")</x:f>
      </x:c>
      <x:c r="D335" s="67" t="str">
        <x:f>IFERROR(INDEX('계산도우미'!$D$5:$D$2004,MATCH(ROWS($A$6:A335),'계산도우미'!$L$5:$L$2004,0)),"")</x:f>
      </x:c>
      <x:c r="E335" t="str">
        <x:f>IFERROR(INDEX('계산도우미'!$E$5:$E$2004,MATCH(ROWS($A$6:A335),'계산도우미'!$L$5:$L$2004,0)),"")</x:f>
      </x:c>
      <x:c r="F335" t="str">
        <x:f>IFERROR(INDEX('계산도우미'!$F$5:$F$2004,MATCH(ROWS($A$6:A335),'계산도우미'!$L$5:$L$2004,0)),"")</x:f>
      </x:c>
      <x:c r="G335" s="68" t="str">
        <x:f>IFERROR(INDEX('계산도우미'!$G$5:$G$2004,MATCH(ROWS($A$6:A335),'계산도우미'!$L$5:$L$2004,0)),"")</x:f>
      </x:c>
      <x:c r="H335" t="str">
        <x:f>IFERROR(INDEX('계산도우미'!$H$5:$H$2004,MATCH(ROWS($A$6:A335),'계산도우미'!$L$5:$L$2004,0)),"")</x:f>
      </x:c>
      <x:c r="I335" t="str">
        <x:f>IFERROR(INDEX('계산도우미'!$I$5:$I$2004,MATCH(ROWS($A$6:A335),'계산도우미'!$L$5:$L$2004,0)),"")</x:f>
      </x:c>
      <x:c r="J335" t="str">
        <x:f>IFERROR(INDEX('계산도우미'!$J$5:$J$2004,MATCH(ROWS($A$6:A335),'계산도우미'!$L$5:$L$2004,0)),"")</x:f>
      </x:c>
      <x:c r="K335" t="str">
        <x:f>IF(B335="","",IF(I335="확인 필요","붙임 문서 확인 후 거래 성격·기간·상대방·일회성 여부 확인","결의서명과 전기 대비 발생 건수·단가·시점 차이 검토"))</x:f>
      </x:c>
    </x:row>
    <x:row r="336">
      <x:c r="A336" t="str">
        <x:f>IFERROR(INDEX('계산도우미'!$A$5:$A$2004,MATCH(ROWS($A$6:A336),'계산도우미'!$L$5:$L$2004,0)),"")</x:f>
      </x:c>
      <x:c r="B336" t="str">
        <x:f>IFERROR(INDEX('계산도우미'!$B$5:$B$2004,MATCH(ROWS($A$6:A336),'계산도우미'!$L$5:$L$2004,0)),"")</x:f>
      </x:c>
      <x:c r="C336" t="str">
        <x:f>IFERROR(INDEX('계산도우미'!$C$5:$C$2004,MATCH(ROWS($A$6:A336),'계산도우미'!$L$5:$L$2004,0)),"")</x:f>
      </x:c>
      <x:c r="D336" s="67" t="str">
        <x:f>IFERROR(INDEX('계산도우미'!$D$5:$D$2004,MATCH(ROWS($A$6:A336),'계산도우미'!$L$5:$L$2004,0)),"")</x:f>
      </x:c>
      <x:c r="E336" t="str">
        <x:f>IFERROR(INDEX('계산도우미'!$E$5:$E$2004,MATCH(ROWS($A$6:A336),'계산도우미'!$L$5:$L$2004,0)),"")</x:f>
      </x:c>
      <x:c r="F336" t="str">
        <x:f>IFERROR(INDEX('계산도우미'!$F$5:$F$2004,MATCH(ROWS($A$6:A336),'계산도우미'!$L$5:$L$2004,0)),"")</x:f>
      </x:c>
      <x:c r="G336" s="68" t="str">
        <x:f>IFERROR(INDEX('계산도우미'!$G$5:$G$2004,MATCH(ROWS($A$6:A336),'계산도우미'!$L$5:$L$2004,0)),"")</x:f>
      </x:c>
      <x:c r="H336" t="str">
        <x:f>IFERROR(INDEX('계산도우미'!$H$5:$H$2004,MATCH(ROWS($A$6:A336),'계산도우미'!$L$5:$L$2004,0)),"")</x:f>
      </x:c>
      <x:c r="I336" t="str">
        <x:f>IFERROR(INDEX('계산도우미'!$I$5:$I$2004,MATCH(ROWS($A$6:A336),'계산도우미'!$L$5:$L$2004,0)),"")</x:f>
      </x:c>
      <x:c r="J336" t="str">
        <x:f>IFERROR(INDEX('계산도우미'!$J$5:$J$2004,MATCH(ROWS($A$6:A336),'계산도우미'!$L$5:$L$2004,0)),"")</x:f>
      </x:c>
      <x:c r="K336" t="str">
        <x:f>IF(B336="","",IF(I336="확인 필요","붙임 문서 확인 후 거래 성격·기간·상대방·일회성 여부 확인","결의서명과 전기 대비 발생 건수·단가·시점 차이 검토"))</x:f>
      </x:c>
    </x:row>
    <x:row r="337">
      <x:c r="A337" t="str">
        <x:f>IFERROR(INDEX('계산도우미'!$A$5:$A$2004,MATCH(ROWS($A$6:A337),'계산도우미'!$L$5:$L$2004,0)),"")</x:f>
      </x:c>
      <x:c r="B337" t="str">
        <x:f>IFERROR(INDEX('계산도우미'!$B$5:$B$2004,MATCH(ROWS($A$6:A337),'계산도우미'!$L$5:$L$2004,0)),"")</x:f>
      </x:c>
      <x:c r="C337" t="str">
        <x:f>IFERROR(INDEX('계산도우미'!$C$5:$C$2004,MATCH(ROWS($A$6:A337),'계산도우미'!$L$5:$L$2004,0)),"")</x:f>
      </x:c>
      <x:c r="D337" s="67" t="str">
        <x:f>IFERROR(INDEX('계산도우미'!$D$5:$D$2004,MATCH(ROWS($A$6:A337),'계산도우미'!$L$5:$L$2004,0)),"")</x:f>
      </x:c>
      <x:c r="E337" t="str">
        <x:f>IFERROR(INDEX('계산도우미'!$E$5:$E$2004,MATCH(ROWS($A$6:A337),'계산도우미'!$L$5:$L$2004,0)),"")</x:f>
      </x:c>
      <x:c r="F337" t="str">
        <x:f>IFERROR(INDEX('계산도우미'!$F$5:$F$2004,MATCH(ROWS($A$6:A337),'계산도우미'!$L$5:$L$2004,0)),"")</x:f>
      </x:c>
      <x:c r="G337" s="68" t="str">
        <x:f>IFERROR(INDEX('계산도우미'!$G$5:$G$2004,MATCH(ROWS($A$6:A337),'계산도우미'!$L$5:$L$2004,0)),"")</x:f>
      </x:c>
      <x:c r="H337" t="str">
        <x:f>IFERROR(INDEX('계산도우미'!$H$5:$H$2004,MATCH(ROWS($A$6:A337),'계산도우미'!$L$5:$L$2004,0)),"")</x:f>
      </x:c>
      <x:c r="I337" t="str">
        <x:f>IFERROR(INDEX('계산도우미'!$I$5:$I$2004,MATCH(ROWS($A$6:A337),'계산도우미'!$L$5:$L$2004,0)),"")</x:f>
      </x:c>
      <x:c r="J337" t="str">
        <x:f>IFERROR(INDEX('계산도우미'!$J$5:$J$2004,MATCH(ROWS($A$6:A337),'계산도우미'!$L$5:$L$2004,0)),"")</x:f>
      </x:c>
      <x:c r="K337" t="str">
        <x:f>IF(B337="","",IF(I337="확인 필요","붙임 문서 확인 후 거래 성격·기간·상대방·일회성 여부 확인","결의서명과 전기 대비 발생 건수·단가·시점 차이 검토"))</x:f>
      </x:c>
    </x:row>
    <x:row r="338">
      <x:c r="A338" t="str">
        <x:f>IFERROR(INDEX('계산도우미'!$A$5:$A$2004,MATCH(ROWS($A$6:A338),'계산도우미'!$L$5:$L$2004,0)),"")</x:f>
      </x:c>
      <x:c r="B338" t="str">
        <x:f>IFERROR(INDEX('계산도우미'!$B$5:$B$2004,MATCH(ROWS($A$6:A338),'계산도우미'!$L$5:$L$2004,0)),"")</x:f>
      </x:c>
      <x:c r="C338" t="str">
        <x:f>IFERROR(INDEX('계산도우미'!$C$5:$C$2004,MATCH(ROWS($A$6:A338),'계산도우미'!$L$5:$L$2004,0)),"")</x:f>
      </x:c>
      <x:c r="D338" s="67" t="str">
        <x:f>IFERROR(INDEX('계산도우미'!$D$5:$D$2004,MATCH(ROWS($A$6:A338),'계산도우미'!$L$5:$L$2004,0)),"")</x:f>
      </x:c>
      <x:c r="E338" t="str">
        <x:f>IFERROR(INDEX('계산도우미'!$E$5:$E$2004,MATCH(ROWS($A$6:A338),'계산도우미'!$L$5:$L$2004,0)),"")</x:f>
      </x:c>
      <x:c r="F338" t="str">
        <x:f>IFERROR(INDEX('계산도우미'!$F$5:$F$2004,MATCH(ROWS($A$6:A338),'계산도우미'!$L$5:$L$2004,0)),"")</x:f>
      </x:c>
      <x:c r="G338" s="68" t="str">
        <x:f>IFERROR(INDEX('계산도우미'!$G$5:$G$2004,MATCH(ROWS($A$6:A338),'계산도우미'!$L$5:$L$2004,0)),"")</x:f>
      </x:c>
      <x:c r="H338" t="str">
        <x:f>IFERROR(INDEX('계산도우미'!$H$5:$H$2004,MATCH(ROWS($A$6:A338),'계산도우미'!$L$5:$L$2004,0)),"")</x:f>
      </x:c>
      <x:c r="I338" t="str">
        <x:f>IFERROR(INDEX('계산도우미'!$I$5:$I$2004,MATCH(ROWS($A$6:A338),'계산도우미'!$L$5:$L$2004,0)),"")</x:f>
      </x:c>
      <x:c r="J338" t="str">
        <x:f>IFERROR(INDEX('계산도우미'!$J$5:$J$2004,MATCH(ROWS($A$6:A338),'계산도우미'!$L$5:$L$2004,0)),"")</x:f>
      </x:c>
      <x:c r="K338" t="str">
        <x:f>IF(B338="","",IF(I338="확인 필요","붙임 문서 확인 후 거래 성격·기간·상대방·일회성 여부 확인","결의서명과 전기 대비 발생 건수·단가·시점 차이 검토"))</x:f>
      </x:c>
    </x:row>
    <x:row r="339">
      <x:c r="A339" t="str">
        <x:f>IFERROR(INDEX('계산도우미'!$A$5:$A$2004,MATCH(ROWS($A$6:A339),'계산도우미'!$L$5:$L$2004,0)),"")</x:f>
      </x:c>
      <x:c r="B339" t="str">
        <x:f>IFERROR(INDEX('계산도우미'!$B$5:$B$2004,MATCH(ROWS($A$6:A339),'계산도우미'!$L$5:$L$2004,0)),"")</x:f>
      </x:c>
      <x:c r="C339" t="str">
        <x:f>IFERROR(INDEX('계산도우미'!$C$5:$C$2004,MATCH(ROWS($A$6:A339),'계산도우미'!$L$5:$L$2004,0)),"")</x:f>
      </x:c>
      <x:c r="D339" s="67" t="str">
        <x:f>IFERROR(INDEX('계산도우미'!$D$5:$D$2004,MATCH(ROWS($A$6:A339),'계산도우미'!$L$5:$L$2004,0)),"")</x:f>
      </x:c>
      <x:c r="E339" t="str">
        <x:f>IFERROR(INDEX('계산도우미'!$E$5:$E$2004,MATCH(ROWS($A$6:A339),'계산도우미'!$L$5:$L$2004,0)),"")</x:f>
      </x:c>
      <x:c r="F339" t="str">
        <x:f>IFERROR(INDEX('계산도우미'!$F$5:$F$2004,MATCH(ROWS($A$6:A339),'계산도우미'!$L$5:$L$2004,0)),"")</x:f>
      </x:c>
      <x:c r="G339" s="68" t="str">
        <x:f>IFERROR(INDEX('계산도우미'!$G$5:$G$2004,MATCH(ROWS($A$6:A339),'계산도우미'!$L$5:$L$2004,0)),"")</x:f>
      </x:c>
      <x:c r="H339" t="str">
        <x:f>IFERROR(INDEX('계산도우미'!$H$5:$H$2004,MATCH(ROWS($A$6:A339),'계산도우미'!$L$5:$L$2004,0)),"")</x:f>
      </x:c>
      <x:c r="I339" t="str">
        <x:f>IFERROR(INDEX('계산도우미'!$I$5:$I$2004,MATCH(ROWS($A$6:A339),'계산도우미'!$L$5:$L$2004,0)),"")</x:f>
      </x:c>
      <x:c r="J339" t="str">
        <x:f>IFERROR(INDEX('계산도우미'!$J$5:$J$2004,MATCH(ROWS($A$6:A339),'계산도우미'!$L$5:$L$2004,0)),"")</x:f>
      </x:c>
      <x:c r="K339" t="str">
        <x:f>IF(B339="","",IF(I339="확인 필요","붙임 문서 확인 후 거래 성격·기간·상대방·일회성 여부 확인","결의서명과 전기 대비 발생 건수·단가·시점 차이 검토"))</x:f>
      </x:c>
    </x:row>
    <x:row r="340">
      <x:c r="A340" t="str">
        <x:f>IFERROR(INDEX('계산도우미'!$A$5:$A$2004,MATCH(ROWS($A$6:A340),'계산도우미'!$L$5:$L$2004,0)),"")</x:f>
      </x:c>
      <x:c r="B340" t="str">
        <x:f>IFERROR(INDEX('계산도우미'!$B$5:$B$2004,MATCH(ROWS($A$6:A340),'계산도우미'!$L$5:$L$2004,0)),"")</x:f>
      </x:c>
      <x:c r="C340" t="str">
        <x:f>IFERROR(INDEX('계산도우미'!$C$5:$C$2004,MATCH(ROWS($A$6:A340),'계산도우미'!$L$5:$L$2004,0)),"")</x:f>
      </x:c>
      <x:c r="D340" s="67" t="str">
        <x:f>IFERROR(INDEX('계산도우미'!$D$5:$D$2004,MATCH(ROWS($A$6:A340),'계산도우미'!$L$5:$L$2004,0)),"")</x:f>
      </x:c>
      <x:c r="E340" t="str">
        <x:f>IFERROR(INDEX('계산도우미'!$E$5:$E$2004,MATCH(ROWS($A$6:A340),'계산도우미'!$L$5:$L$2004,0)),"")</x:f>
      </x:c>
      <x:c r="F340" t="str">
        <x:f>IFERROR(INDEX('계산도우미'!$F$5:$F$2004,MATCH(ROWS($A$6:A340),'계산도우미'!$L$5:$L$2004,0)),"")</x:f>
      </x:c>
      <x:c r="G340" s="68" t="str">
        <x:f>IFERROR(INDEX('계산도우미'!$G$5:$G$2004,MATCH(ROWS($A$6:A340),'계산도우미'!$L$5:$L$2004,0)),"")</x:f>
      </x:c>
      <x:c r="H340" t="str">
        <x:f>IFERROR(INDEX('계산도우미'!$H$5:$H$2004,MATCH(ROWS($A$6:A340),'계산도우미'!$L$5:$L$2004,0)),"")</x:f>
      </x:c>
      <x:c r="I340" t="str">
        <x:f>IFERROR(INDEX('계산도우미'!$I$5:$I$2004,MATCH(ROWS($A$6:A340),'계산도우미'!$L$5:$L$2004,0)),"")</x:f>
      </x:c>
      <x:c r="J340" t="str">
        <x:f>IFERROR(INDEX('계산도우미'!$J$5:$J$2004,MATCH(ROWS($A$6:A340),'계산도우미'!$L$5:$L$2004,0)),"")</x:f>
      </x:c>
      <x:c r="K340" t="str">
        <x:f>IF(B340="","",IF(I340="확인 필요","붙임 문서 확인 후 거래 성격·기간·상대방·일회성 여부 확인","결의서명과 전기 대비 발생 건수·단가·시점 차이 검토"))</x:f>
      </x:c>
    </x:row>
    <x:row r="341">
      <x:c r="A341" t="str">
        <x:f>IFERROR(INDEX('계산도우미'!$A$5:$A$2004,MATCH(ROWS($A$6:A341),'계산도우미'!$L$5:$L$2004,0)),"")</x:f>
      </x:c>
      <x:c r="B341" t="str">
        <x:f>IFERROR(INDEX('계산도우미'!$B$5:$B$2004,MATCH(ROWS($A$6:A341),'계산도우미'!$L$5:$L$2004,0)),"")</x:f>
      </x:c>
      <x:c r="C341" t="str">
        <x:f>IFERROR(INDEX('계산도우미'!$C$5:$C$2004,MATCH(ROWS($A$6:A341),'계산도우미'!$L$5:$L$2004,0)),"")</x:f>
      </x:c>
      <x:c r="D341" s="67" t="str">
        <x:f>IFERROR(INDEX('계산도우미'!$D$5:$D$2004,MATCH(ROWS($A$6:A341),'계산도우미'!$L$5:$L$2004,0)),"")</x:f>
      </x:c>
      <x:c r="E341" t="str">
        <x:f>IFERROR(INDEX('계산도우미'!$E$5:$E$2004,MATCH(ROWS($A$6:A341),'계산도우미'!$L$5:$L$2004,0)),"")</x:f>
      </x:c>
      <x:c r="F341" t="str">
        <x:f>IFERROR(INDEX('계산도우미'!$F$5:$F$2004,MATCH(ROWS($A$6:A341),'계산도우미'!$L$5:$L$2004,0)),"")</x:f>
      </x:c>
      <x:c r="G341" s="68" t="str">
        <x:f>IFERROR(INDEX('계산도우미'!$G$5:$G$2004,MATCH(ROWS($A$6:A341),'계산도우미'!$L$5:$L$2004,0)),"")</x:f>
      </x:c>
      <x:c r="H341" t="str">
        <x:f>IFERROR(INDEX('계산도우미'!$H$5:$H$2004,MATCH(ROWS($A$6:A341),'계산도우미'!$L$5:$L$2004,0)),"")</x:f>
      </x:c>
      <x:c r="I341" t="str">
        <x:f>IFERROR(INDEX('계산도우미'!$I$5:$I$2004,MATCH(ROWS($A$6:A341),'계산도우미'!$L$5:$L$2004,0)),"")</x:f>
      </x:c>
      <x:c r="J341" t="str">
        <x:f>IFERROR(INDEX('계산도우미'!$J$5:$J$2004,MATCH(ROWS($A$6:A341),'계산도우미'!$L$5:$L$2004,0)),"")</x:f>
      </x:c>
      <x:c r="K341" t="str">
        <x:f>IF(B341="","",IF(I341="확인 필요","붙임 문서 확인 후 거래 성격·기간·상대방·일회성 여부 확인","결의서명과 전기 대비 발생 건수·단가·시점 차이 검토"))</x:f>
      </x:c>
    </x:row>
    <x:row r="342">
      <x:c r="A342" t="str">
        <x:f>IFERROR(INDEX('계산도우미'!$A$5:$A$2004,MATCH(ROWS($A$6:A342),'계산도우미'!$L$5:$L$2004,0)),"")</x:f>
      </x:c>
      <x:c r="B342" t="str">
        <x:f>IFERROR(INDEX('계산도우미'!$B$5:$B$2004,MATCH(ROWS($A$6:A342),'계산도우미'!$L$5:$L$2004,0)),"")</x:f>
      </x:c>
      <x:c r="C342" t="str">
        <x:f>IFERROR(INDEX('계산도우미'!$C$5:$C$2004,MATCH(ROWS($A$6:A342),'계산도우미'!$L$5:$L$2004,0)),"")</x:f>
      </x:c>
      <x:c r="D342" s="67" t="str">
        <x:f>IFERROR(INDEX('계산도우미'!$D$5:$D$2004,MATCH(ROWS($A$6:A342),'계산도우미'!$L$5:$L$2004,0)),"")</x:f>
      </x:c>
      <x:c r="E342" t="str">
        <x:f>IFERROR(INDEX('계산도우미'!$E$5:$E$2004,MATCH(ROWS($A$6:A342),'계산도우미'!$L$5:$L$2004,0)),"")</x:f>
      </x:c>
      <x:c r="F342" t="str">
        <x:f>IFERROR(INDEX('계산도우미'!$F$5:$F$2004,MATCH(ROWS($A$6:A342),'계산도우미'!$L$5:$L$2004,0)),"")</x:f>
      </x:c>
      <x:c r="G342" s="68" t="str">
        <x:f>IFERROR(INDEX('계산도우미'!$G$5:$G$2004,MATCH(ROWS($A$6:A342),'계산도우미'!$L$5:$L$2004,0)),"")</x:f>
      </x:c>
      <x:c r="H342" t="str">
        <x:f>IFERROR(INDEX('계산도우미'!$H$5:$H$2004,MATCH(ROWS($A$6:A342),'계산도우미'!$L$5:$L$2004,0)),"")</x:f>
      </x:c>
      <x:c r="I342" t="str">
        <x:f>IFERROR(INDEX('계산도우미'!$I$5:$I$2004,MATCH(ROWS($A$6:A342),'계산도우미'!$L$5:$L$2004,0)),"")</x:f>
      </x:c>
      <x:c r="J342" t="str">
        <x:f>IFERROR(INDEX('계산도우미'!$J$5:$J$2004,MATCH(ROWS($A$6:A342),'계산도우미'!$L$5:$L$2004,0)),"")</x:f>
      </x:c>
      <x:c r="K342" t="str">
        <x:f>IF(B342="","",IF(I342="확인 필요","붙임 문서 확인 후 거래 성격·기간·상대방·일회성 여부 확인","결의서명과 전기 대비 발생 건수·단가·시점 차이 검토"))</x:f>
      </x:c>
    </x:row>
    <x:row r="343">
      <x:c r="A343" t="str">
        <x:f>IFERROR(INDEX('계산도우미'!$A$5:$A$2004,MATCH(ROWS($A$6:A343),'계산도우미'!$L$5:$L$2004,0)),"")</x:f>
      </x:c>
      <x:c r="B343" t="str">
        <x:f>IFERROR(INDEX('계산도우미'!$B$5:$B$2004,MATCH(ROWS($A$6:A343),'계산도우미'!$L$5:$L$2004,0)),"")</x:f>
      </x:c>
      <x:c r="C343" t="str">
        <x:f>IFERROR(INDEX('계산도우미'!$C$5:$C$2004,MATCH(ROWS($A$6:A343),'계산도우미'!$L$5:$L$2004,0)),"")</x:f>
      </x:c>
      <x:c r="D343" s="67" t="str">
        <x:f>IFERROR(INDEX('계산도우미'!$D$5:$D$2004,MATCH(ROWS($A$6:A343),'계산도우미'!$L$5:$L$2004,0)),"")</x:f>
      </x:c>
      <x:c r="E343" t="str">
        <x:f>IFERROR(INDEX('계산도우미'!$E$5:$E$2004,MATCH(ROWS($A$6:A343),'계산도우미'!$L$5:$L$2004,0)),"")</x:f>
      </x:c>
      <x:c r="F343" t="str">
        <x:f>IFERROR(INDEX('계산도우미'!$F$5:$F$2004,MATCH(ROWS($A$6:A343),'계산도우미'!$L$5:$L$2004,0)),"")</x:f>
      </x:c>
      <x:c r="G343" s="68" t="str">
        <x:f>IFERROR(INDEX('계산도우미'!$G$5:$G$2004,MATCH(ROWS($A$6:A343),'계산도우미'!$L$5:$L$2004,0)),"")</x:f>
      </x:c>
      <x:c r="H343" t="str">
        <x:f>IFERROR(INDEX('계산도우미'!$H$5:$H$2004,MATCH(ROWS($A$6:A343),'계산도우미'!$L$5:$L$2004,0)),"")</x:f>
      </x:c>
      <x:c r="I343" t="str">
        <x:f>IFERROR(INDEX('계산도우미'!$I$5:$I$2004,MATCH(ROWS($A$6:A343),'계산도우미'!$L$5:$L$2004,0)),"")</x:f>
      </x:c>
      <x:c r="J343" t="str">
        <x:f>IFERROR(INDEX('계산도우미'!$J$5:$J$2004,MATCH(ROWS($A$6:A343),'계산도우미'!$L$5:$L$2004,0)),"")</x:f>
      </x:c>
      <x:c r="K343" t="str">
        <x:f>IF(B343="","",IF(I343="확인 필요","붙임 문서 확인 후 거래 성격·기간·상대방·일회성 여부 확인","결의서명과 전기 대비 발생 건수·단가·시점 차이 검토"))</x:f>
      </x:c>
    </x:row>
    <x:row r="344">
      <x:c r="A344" t="str">
        <x:f>IFERROR(INDEX('계산도우미'!$A$5:$A$2004,MATCH(ROWS($A$6:A344),'계산도우미'!$L$5:$L$2004,0)),"")</x:f>
      </x:c>
      <x:c r="B344" t="str">
        <x:f>IFERROR(INDEX('계산도우미'!$B$5:$B$2004,MATCH(ROWS($A$6:A344),'계산도우미'!$L$5:$L$2004,0)),"")</x:f>
      </x:c>
      <x:c r="C344" t="str">
        <x:f>IFERROR(INDEX('계산도우미'!$C$5:$C$2004,MATCH(ROWS($A$6:A344),'계산도우미'!$L$5:$L$2004,0)),"")</x:f>
      </x:c>
      <x:c r="D344" s="67" t="str">
        <x:f>IFERROR(INDEX('계산도우미'!$D$5:$D$2004,MATCH(ROWS($A$6:A344),'계산도우미'!$L$5:$L$2004,0)),"")</x:f>
      </x:c>
      <x:c r="E344" t="str">
        <x:f>IFERROR(INDEX('계산도우미'!$E$5:$E$2004,MATCH(ROWS($A$6:A344),'계산도우미'!$L$5:$L$2004,0)),"")</x:f>
      </x:c>
      <x:c r="F344" t="str">
        <x:f>IFERROR(INDEX('계산도우미'!$F$5:$F$2004,MATCH(ROWS($A$6:A344),'계산도우미'!$L$5:$L$2004,0)),"")</x:f>
      </x:c>
      <x:c r="G344" s="68" t="str">
        <x:f>IFERROR(INDEX('계산도우미'!$G$5:$G$2004,MATCH(ROWS($A$6:A344),'계산도우미'!$L$5:$L$2004,0)),"")</x:f>
      </x:c>
      <x:c r="H344" t="str">
        <x:f>IFERROR(INDEX('계산도우미'!$H$5:$H$2004,MATCH(ROWS($A$6:A344),'계산도우미'!$L$5:$L$2004,0)),"")</x:f>
      </x:c>
      <x:c r="I344" t="str">
        <x:f>IFERROR(INDEX('계산도우미'!$I$5:$I$2004,MATCH(ROWS($A$6:A344),'계산도우미'!$L$5:$L$2004,0)),"")</x:f>
      </x:c>
      <x:c r="J344" t="str">
        <x:f>IFERROR(INDEX('계산도우미'!$J$5:$J$2004,MATCH(ROWS($A$6:A344),'계산도우미'!$L$5:$L$2004,0)),"")</x:f>
      </x:c>
      <x:c r="K344" t="str">
        <x:f>IF(B344="","",IF(I344="확인 필요","붙임 문서 확인 후 거래 성격·기간·상대방·일회성 여부 확인","결의서명과 전기 대비 발생 건수·단가·시점 차이 검토"))</x:f>
      </x:c>
    </x:row>
    <x:row r="345">
      <x:c r="A345" t="str">
        <x:f>IFERROR(INDEX('계산도우미'!$A$5:$A$2004,MATCH(ROWS($A$6:A345),'계산도우미'!$L$5:$L$2004,0)),"")</x:f>
      </x:c>
      <x:c r="B345" t="str">
        <x:f>IFERROR(INDEX('계산도우미'!$B$5:$B$2004,MATCH(ROWS($A$6:A345),'계산도우미'!$L$5:$L$2004,0)),"")</x:f>
      </x:c>
      <x:c r="C345" t="str">
        <x:f>IFERROR(INDEX('계산도우미'!$C$5:$C$2004,MATCH(ROWS($A$6:A345),'계산도우미'!$L$5:$L$2004,0)),"")</x:f>
      </x:c>
      <x:c r="D345" s="67" t="str">
        <x:f>IFERROR(INDEX('계산도우미'!$D$5:$D$2004,MATCH(ROWS($A$6:A345),'계산도우미'!$L$5:$L$2004,0)),"")</x:f>
      </x:c>
      <x:c r="E345" t="str">
        <x:f>IFERROR(INDEX('계산도우미'!$E$5:$E$2004,MATCH(ROWS($A$6:A345),'계산도우미'!$L$5:$L$2004,0)),"")</x:f>
      </x:c>
      <x:c r="F345" t="str">
        <x:f>IFERROR(INDEX('계산도우미'!$F$5:$F$2004,MATCH(ROWS($A$6:A345),'계산도우미'!$L$5:$L$2004,0)),"")</x:f>
      </x:c>
      <x:c r="G345" s="68" t="str">
        <x:f>IFERROR(INDEX('계산도우미'!$G$5:$G$2004,MATCH(ROWS($A$6:A345),'계산도우미'!$L$5:$L$2004,0)),"")</x:f>
      </x:c>
      <x:c r="H345" t="str">
        <x:f>IFERROR(INDEX('계산도우미'!$H$5:$H$2004,MATCH(ROWS($A$6:A345),'계산도우미'!$L$5:$L$2004,0)),"")</x:f>
      </x:c>
      <x:c r="I345" t="str">
        <x:f>IFERROR(INDEX('계산도우미'!$I$5:$I$2004,MATCH(ROWS($A$6:A345),'계산도우미'!$L$5:$L$2004,0)),"")</x:f>
      </x:c>
      <x:c r="J345" t="str">
        <x:f>IFERROR(INDEX('계산도우미'!$J$5:$J$2004,MATCH(ROWS($A$6:A345),'계산도우미'!$L$5:$L$2004,0)),"")</x:f>
      </x:c>
      <x:c r="K345" t="str">
        <x:f>IF(B345="","",IF(I345="확인 필요","붙임 문서 확인 후 거래 성격·기간·상대방·일회성 여부 확인","결의서명과 전기 대비 발생 건수·단가·시점 차이 검토"))</x:f>
      </x:c>
    </x:row>
    <x:row r="346">
      <x:c r="A346" t="str">
        <x:f>IFERROR(INDEX('계산도우미'!$A$5:$A$2004,MATCH(ROWS($A$6:A346),'계산도우미'!$L$5:$L$2004,0)),"")</x:f>
      </x:c>
      <x:c r="B346" t="str">
        <x:f>IFERROR(INDEX('계산도우미'!$B$5:$B$2004,MATCH(ROWS($A$6:A346),'계산도우미'!$L$5:$L$2004,0)),"")</x:f>
      </x:c>
      <x:c r="C346" t="str">
        <x:f>IFERROR(INDEX('계산도우미'!$C$5:$C$2004,MATCH(ROWS($A$6:A346),'계산도우미'!$L$5:$L$2004,0)),"")</x:f>
      </x:c>
      <x:c r="D346" s="67" t="str">
        <x:f>IFERROR(INDEX('계산도우미'!$D$5:$D$2004,MATCH(ROWS($A$6:A346),'계산도우미'!$L$5:$L$2004,0)),"")</x:f>
      </x:c>
      <x:c r="E346" t="str">
        <x:f>IFERROR(INDEX('계산도우미'!$E$5:$E$2004,MATCH(ROWS($A$6:A346),'계산도우미'!$L$5:$L$2004,0)),"")</x:f>
      </x:c>
      <x:c r="F346" t="str">
        <x:f>IFERROR(INDEX('계산도우미'!$F$5:$F$2004,MATCH(ROWS($A$6:A346),'계산도우미'!$L$5:$L$2004,0)),"")</x:f>
      </x:c>
      <x:c r="G346" s="68" t="str">
        <x:f>IFERROR(INDEX('계산도우미'!$G$5:$G$2004,MATCH(ROWS($A$6:A346),'계산도우미'!$L$5:$L$2004,0)),"")</x:f>
      </x:c>
      <x:c r="H346" t="str">
        <x:f>IFERROR(INDEX('계산도우미'!$H$5:$H$2004,MATCH(ROWS($A$6:A346),'계산도우미'!$L$5:$L$2004,0)),"")</x:f>
      </x:c>
      <x:c r="I346" t="str">
        <x:f>IFERROR(INDEX('계산도우미'!$I$5:$I$2004,MATCH(ROWS($A$6:A346),'계산도우미'!$L$5:$L$2004,0)),"")</x:f>
      </x:c>
      <x:c r="J346" t="str">
        <x:f>IFERROR(INDEX('계산도우미'!$J$5:$J$2004,MATCH(ROWS($A$6:A346),'계산도우미'!$L$5:$L$2004,0)),"")</x:f>
      </x:c>
      <x:c r="K346" t="str">
        <x:f>IF(B346="","",IF(I346="확인 필요","붙임 문서 확인 후 거래 성격·기간·상대방·일회성 여부 확인","결의서명과 전기 대비 발생 건수·단가·시점 차이 검토"))</x:f>
      </x:c>
    </x:row>
    <x:row r="347">
      <x:c r="A347" t="str">
        <x:f>IFERROR(INDEX('계산도우미'!$A$5:$A$2004,MATCH(ROWS($A$6:A347),'계산도우미'!$L$5:$L$2004,0)),"")</x:f>
      </x:c>
      <x:c r="B347" t="str">
        <x:f>IFERROR(INDEX('계산도우미'!$B$5:$B$2004,MATCH(ROWS($A$6:A347),'계산도우미'!$L$5:$L$2004,0)),"")</x:f>
      </x:c>
      <x:c r="C347" t="str">
        <x:f>IFERROR(INDEX('계산도우미'!$C$5:$C$2004,MATCH(ROWS($A$6:A347),'계산도우미'!$L$5:$L$2004,0)),"")</x:f>
      </x:c>
      <x:c r="D347" s="67" t="str">
        <x:f>IFERROR(INDEX('계산도우미'!$D$5:$D$2004,MATCH(ROWS($A$6:A347),'계산도우미'!$L$5:$L$2004,0)),"")</x:f>
      </x:c>
      <x:c r="E347" t="str">
        <x:f>IFERROR(INDEX('계산도우미'!$E$5:$E$2004,MATCH(ROWS($A$6:A347),'계산도우미'!$L$5:$L$2004,0)),"")</x:f>
      </x:c>
      <x:c r="F347" t="str">
        <x:f>IFERROR(INDEX('계산도우미'!$F$5:$F$2004,MATCH(ROWS($A$6:A347),'계산도우미'!$L$5:$L$2004,0)),"")</x:f>
      </x:c>
      <x:c r="G347" s="68" t="str">
        <x:f>IFERROR(INDEX('계산도우미'!$G$5:$G$2004,MATCH(ROWS($A$6:A347),'계산도우미'!$L$5:$L$2004,0)),"")</x:f>
      </x:c>
      <x:c r="H347" t="str">
        <x:f>IFERROR(INDEX('계산도우미'!$H$5:$H$2004,MATCH(ROWS($A$6:A347),'계산도우미'!$L$5:$L$2004,0)),"")</x:f>
      </x:c>
      <x:c r="I347" t="str">
        <x:f>IFERROR(INDEX('계산도우미'!$I$5:$I$2004,MATCH(ROWS($A$6:A347),'계산도우미'!$L$5:$L$2004,0)),"")</x:f>
      </x:c>
      <x:c r="J347" t="str">
        <x:f>IFERROR(INDEX('계산도우미'!$J$5:$J$2004,MATCH(ROWS($A$6:A347),'계산도우미'!$L$5:$L$2004,0)),"")</x:f>
      </x:c>
      <x:c r="K347" t="str">
        <x:f>IF(B347="","",IF(I347="확인 필요","붙임 문서 확인 후 거래 성격·기간·상대방·일회성 여부 확인","결의서명과 전기 대비 발생 건수·단가·시점 차이 검토"))</x:f>
      </x:c>
    </x:row>
    <x:row r="348">
      <x:c r="A348" t="str">
        <x:f>IFERROR(INDEX('계산도우미'!$A$5:$A$2004,MATCH(ROWS($A$6:A348),'계산도우미'!$L$5:$L$2004,0)),"")</x:f>
      </x:c>
      <x:c r="B348" t="str">
        <x:f>IFERROR(INDEX('계산도우미'!$B$5:$B$2004,MATCH(ROWS($A$6:A348),'계산도우미'!$L$5:$L$2004,0)),"")</x:f>
      </x:c>
      <x:c r="C348" t="str">
        <x:f>IFERROR(INDEX('계산도우미'!$C$5:$C$2004,MATCH(ROWS($A$6:A348),'계산도우미'!$L$5:$L$2004,0)),"")</x:f>
      </x:c>
      <x:c r="D348" s="67" t="str">
        <x:f>IFERROR(INDEX('계산도우미'!$D$5:$D$2004,MATCH(ROWS($A$6:A348),'계산도우미'!$L$5:$L$2004,0)),"")</x:f>
      </x:c>
      <x:c r="E348" t="str">
        <x:f>IFERROR(INDEX('계산도우미'!$E$5:$E$2004,MATCH(ROWS($A$6:A348),'계산도우미'!$L$5:$L$2004,0)),"")</x:f>
      </x:c>
      <x:c r="F348" t="str">
        <x:f>IFERROR(INDEX('계산도우미'!$F$5:$F$2004,MATCH(ROWS($A$6:A348),'계산도우미'!$L$5:$L$2004,0)),"")</x:f>
      </x:c>
      <x:c r="G348" s="68" t="str">
        <x:f>IFERROR(INDEX('계산도우미'!$G$5:$G$2004,MATCH(ROWS($A$6:A348),'계산도우미'!$L$5:$L$2004,0)),"")</x:f>
      </x:c>
      <x:c r="H348" t="str">
        <x:f>IFERROR(INDEX('계산도우미'!$H$5:$H$2004,MATCH(ROWS($A$6:A348),'계산도우미'!$L$5:$L$2004,0)),"")</x:f>
      </x:c>
      <x:c r="I348" t="str">
        <x:f>IFERROR(INDEX('계산도우미'!$I$5:$I$2004,MATCH(ROWS($A$6:A348),'계산도우미'!$L$5:$L$2004,0)),"")</x:f>
      </x:c>
      <x:c r="J348" t="str">
        <x:f>IFERROR(INDEX('계산도우미'!$J$5:$J$2004,MATCH(ROWS($A$6:A348),'계산도우미'!$L$5:$L$2004,0)),"")</x:f>
      </x:c>
      <x:c r="K348" t="str">
        <x:f>IF(B348="","",IF(I348="확인 필요","붙임 문서 확인 후 거래 성격·기간·상대방·일회성 여부 확인","결의서명과 전기 대비 발생 건수·단가·시점 차이 검토"))</x:f>
      </x:c>
    </x:row>
    <x:row r="349">
      <x:c r="A349" t="str">
        <x:f>IFERROR(INDEX('계산도우미'!$A$5:$A$2004,MATCH(ROWS($A$6:A349),'계산도우미'!$L$5:$L$2004,0)),"")</x:f>
      </x:c>
      <x:c r="B349" t="str">
        <x:f>IFERROR(INDEX('계산도우미'!$B$5:$B$2004,MATCH(ROWS($A$6:A349),'계산도우미'!$L$5:$L$2004,0)),"")</x:f>
      </x:c>
      <x:c r="C349" t="str">
        <x:f>IFERROR(INDEX('계산도우미'!$C$5:$C$2004,MATCH(ROWS($A$6:A349),'계산도우미'!$L$5:$L$2004,0)),"")</x:f>
      </x:c>
      <x:c r="D349" s="67" t="str">
        <x:f>IFERROR(INDEX('계산도우미'!$D$5:$D$2004,MATCH(ROWS($A$6:A349),'계산도우미'!$L$5:$L$2004,0)),"")</x:f>
      </x:c>
      <x:c r="E349" t="str">
        <x:f>IFERROR(INDEX('계산도우미'!$E$5:$E$2004,MATCH(ROWS($A$6:A349),'계산도우미'!$L$5:$L$2004,0)),"")</x:f>
      </x:c>
      <x:c r="F349" t="str">
        <x:f>IFERROR(INDEX('계산도우미'!$F$5:$F$2004,MATCH(ROWS($A$6:A349),'계산도우미'!$L$5:$L$2004,0)),"")</x:f>
      </x:c>
      <x:c r="G349" s="68" t="str">
        <x:f>IFERROR(INDEX('계산도우미'!$G$5:$G$2004,MATCH(ROWS($A$6:A349),'계산도우미'!$L$5:$L$2004,0)),"")</x:f>
      </x:c>
      <x:c r="H349" t="str">
        <x:f>IFERROR(INDEX('계산도우미'!$H$5:$H$2004,MATCH(ROWS($A$6:A349),'계산도우미'!$L$5:$L$2004,0)),"")</x:f>
      </x:c>
      <x:c r="I349" t="str">
        <x:f>IFERROR(INDEX('계산도우미'!$I$5:$I$2004,MATCH(ROWS($A$6:A349),'계산도우미'!$L$5:$L$2004,0)),"")</x:f>
      </x:c>
      <x:c r="J349" t="str">
        <x:f>IFERROR(INDEX('계산도우미'!$J$5:$J$2004,MATCH(ROWS($A$6:A349),'계산도우미'!$L$5:$L$2004,0)),"")</x:f>
      </x:c>
      <x:c r="K349" t="str">
        <x:f>IF(B349="","",IF(I349="확인 필요","붙임 문서 확인 후 거래 성격·기간·상대방·일회성 여부 확인","결의서명과 전기 대비 발생 건수·단가·시점 차이 검토"))</x:f>
      </x:c>
    </x:row>
    <x:row r="350">
      <x:c r="A350" t="str">
        <x:f>IFERROR(INDEX('계산도우미'!$A$5:$A$2004,MATCH(ROWS($A$6:A350),'계산도우미'!$L$5:$L$2004,0)),"")</x:f>
      </x:c>
      <x:c r="B350" t="str">
        <x:f>IFERROR(INDEX('계산도우미'!$B$5:$B$2004,MATCH(ROWS($A$6:A350),'계산도우미'!$L$5:$L$2004,0)),"")</x:f>
      </x:c>
      <x:c r="C350" t="str">
        <x:f>IFERROR(INDEX('계산도우미'!$C$5:$C$2004,MATCH(ROWS($A$6:A350),'계산도우미'!$L$5:$L$2004,0)),"")</x:f>
      </x:c>
      <x:c r="D350" s="67" t="str">
        <x:f>IFERROR(INDEX('계산도우미'!$D$5:$D$2004,MATCH(ROWS($A$6:A350),'계산도우미'!$L$5:$L$2004,0)),"")</x:f>
      </x:c>
      <x:c r="E350" t="str">
        <x:f>IFERROR(INDEX('계산도우미'!$E$5:$E$2004,MATCH(ROWS($A$6:A350),'계산도우미'!$L$5:$L$2004,0)),"")</x:f>
      </x:c>
      <x:c r="F350" t="str">
        <x:f>IFERROR(INDEX('계산도우미'!$F$5:$F$2004,MATCH(ROWS($A$6:A350),'계산도우미'!$L$5:$L$2004,0)),"")</x:f>
      </x:c>
      <x:c r="G350" s="68" t="str">
        <x:f>IFERROR(INDEX('계산도우미'!$G$5:$G$2004,MATCH(ROWS($A$6:A350),'계산도우미'!$L$5:$L$2004,0)),"")</x:f>
      </x:c>
      <x:c r="H350" t="str">
        <x:f>IFERROR(INDEX('계산도우미'!$H$5:$H$2004,MATCH(ROWS($A$6:A350),'계산도우미'!$L$5:$L$2004,0)),"")</x:f>
      </x:c>
      <x:c r="I350" t="str">
        <x:f>IFERROR(INDEX('계산도우미'!$I$5:$I$2004,MATCH(ROWS($A$6:A350),'계산도우미'!$L$5:$L$2004,0)),"")</x:f>
      </x:c>
      <x:c r="J350" t="str">
        <x:f>IFERROR(INDEX('계산도우미'!$J$5:$J$2004,MATCH(ROWS($A$6:A350),'계산도우미'!$L$5:$L$2004,0)),"")</x:f>
      </x:c>
      <x:c r="K350" t="str">
        <x:f>IF(B350="","",IF(I350="확인 필요","붙임 문서 확인 후 거래 성격·기간·상대방·일회성 여부 확인","결의서명과 전기 대비 발생 건수·단가·시점 차이 검토"))</x:f>
      </x:c>
    </x:row>
    <x:row r="351">
      <x:c r="A351" t="str">
        <x:f>IFERROR(INDEX('계산도우미'!$A$5:$A$2004,MATCH(ROWS($A$6:A351),'계산도우미'!$L$5:$L$2004,0)),"")</x:f>
      </x:c>
      <x:c r="B351" t="str">
        <x:f>IFERROR(INDEX('계산도우미'!$B$5:$B$2004,MATCH(ROWS($A$6:A351),'계산도우미'!$L$5:$L$2004,0)),"")</x:f>
      </x:c>
      <x:c r="C351" t="str">
        <x:f>IFERROR(INDEX('계산도우미'!$C$5:$C$2004,MATCH(ROWS($A$6:A351),'계산도우미'!$L$5:$L$2004,0)),"")</x:f>
      </x:c>
      <x:c r="D351" s="67" t="str">
        <x:f>IFERROR(INDEX('계산도우미'!$D$5:$D$2004,MATCH(ROWS($A$6:A351),'계산도우미'!$L$5:$L$2004,0)),"")</x:f>
      </x:c>
      <x:c r="E351" t="str">
        <x:f>IFERROR(INDEX('계산도우미'!$E$5:$E$2004,MATCH(ROWS($A$6:A351),'계산도우미'!$L$5:$L$2004,0)),"")</x:f>
      </x:c>
      <x:c r="F351" t="str">
        <x:f>IFERROR(INDEX('계산도우미'!$F$5:$F$2004,MATCH(ROWS($A$6:A351),'계산도우미'!$L$5:$L$2004,0)),"")</x:f>
      </x:c>
      <x:c r="G351" s="68" t="str">
        <x:f>IFERROR(INDEX('계산도우미'!$G$5:$G$2004,MATCH(ROWS($A$6:A351),'계산도우미'!$L$5:$L$2004,0)),"")</x:f>
      </x:c>
      <x:c r="H351" t="str">
        <x:f>IFERROR(INDEX('계산도우미'!$H$5:$H$2004,MATCH(ROWS($A$6:A351),'계산도우미'!$L$5:$L$2004,0)),"")</x:f>
      </x:c>
      <x:c r="I351" t="str">
        <x:f>IFERROR(INDEX('계산도우미'!$I$5:$I$2004,MATCH(ROWS($A$6:A351),'계산도우미'!$L$5:$L$2004,0)),"")</x:f>
      </x:c>
      <x:c r="J351" t="str">
        <x:f>IFERROR(INDEX('계산도우미'!$J$5:$J$2004,MATCH(ROWS($A$6:A351),'계산도우미'!$L$5:$L$2004,0)),"")</x:f>
      </x:c>
      <x:c r="K351" t="str">
        <x:f>IF(B351="","",IF(I351="확인 필요","붙임 문서 확인 후 거래 성격·기간·상대방·일회성 여부 확인","결의서명과 전기 대비 발생 건수·단가·시점 차이 검토"))</x:f>
      </x:c>
    </x:row>
    <x:row r="352">
      <x:c r="A352" t="str">
        <x:f>IFERROR(INDEX('계산도우미'!$A$5:$A$2004,MATCH(ROWS($A$6:A352),'계산도우미'!$L$5:$L$2004,0)),"")</x:f>
      </x:c>
      <x:c r="B352" t="str">
        <x:f>IFERROR(INDEX('계산도우미'!$B$5:$B$2004,MATCH(ROWS($A$6:A352),'계산도우미'!$L$5:$L$2004,0)),"")</x:f>
      </x:c>
      <x:c r="C352" t="str">
        <x:f>IFERROR(INDEX('계산도우미'!$C$5:$C$2004,MATCH(ROWS($A$6:A352),'계산도우미'!$L$5:$L$2004,0)),"")</x:f>
      </x:c>
      <x:c r="D352" s="67" t="str">
        <x:f>IFERROR(INDEX('계산도우미'!$D$5:$D$2004,MATCH(ROWS($A$6:A352),'계산도우미'!$L$5:$L$2004,0)),"")</x:f>
      </x:c>
      <x:c r="E352" t="str">
        <x:f>IFERROR(INDEX('계산도우미'!$E$5:$E$2004,MATCH(ROWS($A$6:A352),'계산도우미'!$L$5:$L$2004,0)),"")</x:f>
      </x:c>
      <x:c r="F352" t="str">
        <x:f>IFERROR(INDEX('계산도우미'!$F$5:$F$2004,MATCH(ROWS($A$6:A352),'계산도우미'!$L$5:$L$2004,0)),"")</x:f>
      </x:c>
      <x:c r="G352" s="68" t="str">
        <x:f>IFERROR(INDEX('계산도우미'!$G$5:$G$2004,MATCH(ROWS($A$6:A352),'계산도우미'!$L$5:$L$2004,0)),"")</x:f>
      </x:c>
      <x:c r="H352" t="str">
        <x:f>IFERROR(INDEX('계산도우미'!$H$5:$H$2004,MATCH(ROWS($A$6:A352),'계산도우미'!$L$5:$L$2004,0)),"")</x:f>
      </x:c>
      <x:c r="I352" t="str">
        <x:f>IFERROR(INDEX('계산도우미'!$I$5:$I$2004,MATCH(ROWS($A$6:A352),'계산도우미'!$L$5:$L$2004,0)),"")</x:f>
      </x:c>
      <x:c r="J352" t="str">
        <x:f>IFERROR(INDEX('계산도우미'!$J$5:$J$2004,MATCH(ROWS($A$6:A352),'계산도우미'!$L$5:$L$2004,0)),"")</x:f>
      </x:c>
      <x:c r="K352" t="str">
        <x:f>IF(B352="","",IF(I352="확인 필요","붙임 문서 확인 후 거래 성격·기간·상대방·일회성 여부 확인","결의서명과 전기 대비 발생 건수·단가·시점 차이 검토"))</x:f>
      </x:c>
    </x:row>
    <x:row r="353">
      <x:c r="A353" t="str">
        <x:f>IFERROR(INDEX('계산도우미'!$A$5:$A$2004,MATCH(ROWS($A$6:A353),'계산도우미'!$L$5:$L$2004,0)),"")</x:f>
      </x:c>
      <x:c r="B353" t="str">
        <x:f>IFERROR(INDEX('계산도우미'!$B$5:$B$2004,MATCH(ROWS($A$6:A353),'계산도우미'!$L$5:$L$2004,0)),"")</x:f>
      </x:c>
      <x:c r="C353" t="str">
        <x:f>IFERROR(INDEX('계산도우미'!$C$5:$C$2004,MATCH(ROWS($A$6:A353),'계산도우미'!$L$5:$L$2004,0)),"")</x:f>
      </x:c>
      <x:c r="D353" s="67" t="str">
        <x:f>IFERROR(INDEX('계산도우미'!$D$5:$D$2004,MATCH(ROWS($A$6:A353),'계산도우미'!$L$5:$L$2004,0)),"")</x:f>
      </x:c>
      <x:c r="E353" t="str">
        <x:f>IFERROR(INDEX('계산도우미'!$E$5:$E$2004,MATCH(ROWS($A$6:A353),'계산도우미'!$L$5:$L$2004,0)),"")</x:f>
      </x:c>
      <x:c r="F353" t="str">
        <x:f>IFERROR(INDEX('계산도우미'!$F$5:$F$2004,MATCH(ROWS($A$6:A353),'계산도우미'!$L$5:$L$2004,0)),"")</x:f>
      </x:c>
      <x:c r="G353" s="68" t="str">
        <x:f>IFERROR(INDEX('계산도우미'!$G$5:$G$2004,MATCH(ROWS($A$6:A353),'계산도우미'!$L$5:$L$2004,0)),"")</x:f>
      </x:c>
      <x:c r="H353" t="str">
        <x:f>IFERROR(INDEX('계산도우미'!$H$5:$H$2004,MATCH(ROWS($A$6:A353),'계산도우미'!$L$5:$L$2004,0)),"")</x:f>
      </x:c>
      <x:c r="I353" t="str">
        <x:f>IFERROR(INDEX('계산도우미'!$I$5:$I$2004,MATCH(ROWS($A$6:A353),'계산도우미'!$L$5:$L$2004,0)),"")</x:f>
      </x:c>
      <x:c r="J353" t="str">
        <x:f>IFERROR(INDEX('계산도우미'!$J$5:$J$2004,MATCH(ROWS($A$6:A353),'계산도우미'!$L$5:$L$2004,0)),"")</x:f>
      </x:c>
      <x:c r="K353" t="str">
        <x:f>IF(B353="","",IF(I353="확인 필요","붙임 문서 확인 후 거래 성격·기간·상대방·일회성 여부 확인","결의서명과 전기 대비 발생 건수·단가·시점 차이 검토"))</x:f>
      </x:c>
    </x:row>
    <x:row r="354">
      <x:c r="A354" t="str">
        <x:f>IFERROR(INDEX('계산도우미'!$A$5:$A$2004,MATCH(ROWS($A$6:A354),'계산도우미'!$L$5:$L$2004,0)),"")</x:f>
      </x:c>
      <x:c r="B354" t="str">
        <x:f>IFERROR(INDEX('계산도우미'!$B$5:$B$2004,MATCH(ROWS($A$6:A354),'계산도우미'!$L$5:$L$2004,0)),"")</x:f>
      </x:c>
      <x:c r="C354" t="str">
        <x:f>IFERROR(INDEX('계산도우미'!$C$5:$C$2004,MATCH(ROWS($A$6:A354),'계산도우미'!$L$5:$L$2004,0)),"")</x:f>
      </x:c>
      <x:c r="D354" s="67" t="str">
        <x:f>IFERROR(INDEX('계산도우미'!$D$5:$D$2004,MATCH(ROWS($A$6:A354),'계산도우미'!$L$5:$L$2004,0)),"")</x:f>
      </x:c>
      <x:c r="E354" t="str">
        <x:f>IFERROR(INDEX('계산도우미'!$E$5:$E$2004,MATCH(ROWS($A$6:A354),'계산도우미'!$L$5:$L$2004,0)),"")</x:f>
      </x:c>
      <x:c r="F354" t="str">
        <x:f>IFERROR(INDEX('계산도우미'!$F$5:$F$2004,MATCH(ROWS($A$6:A354),'계산도우미'!$L$5:$L$2004,0)),"")</x:f>
      </x:c>
      <x:c r="G354" s="68" t="str">
        <x:f>IFERROR(INDEX('계산도우미'!$G$5:$G$2004,MATCH(ROWS($A$6:A354),'계산도우미'!$L$5:$L$2004,0)),"")</x:f>
      </x:c>
      <x:c r="H354" t="str">
        <x:f>IFERROR(INDEX('계산도우미'!$H$5:$H$2004,MATCH(ROWS($A$6:A354),'계산도우미'!$L$5:$L$2004,0)),"")</x:f>
      </x:c>
      <x:c r="I354" t="str">
        <x:f>IFERROR(INDEX('계산도우미'!$I$5:$I$2004,MATCH(ROWS($A$6:A354),'계산도우미'!$L$5:$L$2004,0)),"")</x:f>
      </x:c>
      <x:c r="J354" t="str">
        <x:f>IFERROR(INDEX('계산도우미'!$J$5:$J$2004,MATCH(ROWS($A$6:A354),'계산도우미'!$L$5:$L$2004,0)),"")</x:f>
      </x:c>
      <x:c r="K354" t="str">
        <x:f>IF(B354="","",IF(I354="확인 필요","붙임 문서 확인 후 거래 성격·기간·상대방·일회성 여부 확인","결의서명과 전기 대비 발생 건수·단가·시점 차이 검토"))</x:f>
      </x:c>
    </x:row>
    <x:row r="355">
      <x:c r="A355" t="str">
        <x:f>IFERROR(INDEX('계산도우미'!$A$5:$A$2004,MATCH(ROWS($A$6:A355),'계산도우미'!$L$5:$L$2004,0)),"")</x:f>
      </x:c>
      <x:c r="B355" t="str">
        <x:f>IFERROR(INDEX('계산도우미'!$B$5:$B$2004,MATCH(ROWS($A$6:A355),'계산도우미'!$L$5:$L$2004,0)),"")</x:f>
      </x:c>
      <x:c r="C355" t="str">
        <x:f>IFERROR(INDEX('계산도우미'!$C$5:$C$2004,MATCH(ROWS($A$6:A355),'계산도우미'!$L$5:$L$2004,0)),"")</x:f>
      </x:c>
      <x:c r="D355" s="67" t="str">
        <x:f>IFERROR(INDEX('계산도우미'!$D$5:$D$2004,MATCH(ROWS($A$6:A355),'계산도우미'!$L$5:$L$2004,0)),"")</x:f>
      </x:c>
      <x:c r="E355" t="str">
        <x:f>IFERROR(INDEX('계산도우미'!$E$5:$E$2004,MATCH(ROWS($A$6:A355),'계산도우미'!$L$5:$L$2004,0)),"")</x:f>
      </x:c>
      <x:c r="F355" t="str">
        <x:f>IFERROR(INDEX('계산도우미'!$F$5:$F$2004,MATCH(ROWS($A$6:A355),'계산도우미'!$L$5:$L$2004,0)),"")</x:f>
      </x:c>
      <x:c r="G355" s="68" t="str">
        <x:f>IFERROR(INDEX('계산도우미'!$G$5:$G$2004,MATCH(ROWS($A$6:A355),'계산도우미'!$L$5:$L$2004,0)),"")</x:f>
      </x:c>
      <x:c r="H355" t="str">
        <x:f>IFERROR(INDEX('계산도우미'!$H$5:$H$2004,MATCH(ROWS($A$6:A355),'계산도우미'!$L$5:$L$2004,0)),"")</x:f>
      </x:c>
      <x:c r="I355" t="str">
        <x:f>IFERROR(INDEX('계산도우미'!$I$5:$I$2004,MATCH(ROWS($A$6:A355),'계산도우미'!$L$5:$L$2004,0)),"")</x:f>
      </x:c>
      <x:c r="J355" t="str">
        <x:f>IFERROR(INDEX('계산도우미'!$J$5:$J$2004,MATCH(ROWS($A$6:A355),'계산도우미'!$L$5:$L$2004,0)),"")</x:f>
      </x:c>
      <x:c r="K355" t="str">
        <x:f>IF(B355="","",IF(I355="확인 필요","붙임 문서 확인 후 거래 성격·기간·상대방·일회성 여부 확인","결의서명과 전기 대비 발생 건수·단가·시점 차이 검토"))</x:f>
      </x:c>
    </x:row>
    <x:row r="356">
      <x:c r="A356" t="str">
        <x:f>IFERROR(INDEX('계산도우미'!$A$5:$A$2004,MATCH(ROWS($A$6:A356),'계산도우미'!$L$5:$L$2004,0)),"")</x:f>
      </x:c>
      <x:c r="B356" t="str">
        <x:f>IFERROR(INDEX('계산도우미'!$B$5:$B$2004,MATCH(ROWS($A$6:A356),'계산도우미'!$L$5:$L$2004,0)),"")</x:f>
      </x:c>
      <x:c r="C356" t="str">
        <x:f>IFERROR(INDEX('계산도우미'!$C$5:$C$2004,MATCH(ROWS($A$6:A356),'계산도우미'!$L$5:$L$2004,0)),"")</x:f>
      </x:c>
      <x:c r="D356" s="67" t="str">
        <x:f>IFERROR(INDEX('계산도우미'!$D$5:$D$2004,MATCH(ROWS($A$6:A356),'계산도우미'!$L$5:$L$2004,0)),"")</x:f>
      </x:c>
      <x:c r="E356" t="str">
        <x:f>IFERROR(INDEX('계산도우미'!$E$5:$E$2004,MATCH(ROWS($A$6:A356),'계산도우미'!$L$5:$L$2004,0)),"")</x:f>
      </x:c>
      <x:c r="F356" t="str">
        <x:f>IFERROR(INDEX('계산도우미'!$F$5:$F$2004,MATCH(ROWS($A$6:A356),'계산도우미'!$L$5:$L$2004,0)),"")</x:f>
      </x:c>
      <x:c r="G356" s="68" t="str">
        <x:f>IFERROR(INDEX('계산도우미'!$G$5:$G$2004,MATCH(ROWS($A$6:A356),'계산도우미'!$L$5:$L$2004,0)),"")</x:f>
      </x:c>
      <x:c r="H356" t="str">
        <x:f>IFERROR(INDEX('계산도우미'!$H$5:$H$2004,MATCH(ROWS($A$6:A356),'계산도우미'!$L$5:$L$2004,0)),"")</x:f>
      </x:c>
      <x:c r="I356" t="str">
        <x:f>IFERROR(INDEX('계산도우미'!$I$5:$I$2004,MATCH(ROWS($A$6:A356),'계산도우미'!$L$5:$L$2004,0)),"")</x:f>
      </x:c>
      <x:c r="J356" t="str">
        <x:f>IFERROR(INDEX('계산도우미'!$J$5:$J$2004,MATCH(ROWS($A$6:A356),'계산도우미'!$L$5:$L$2004,0)),"")</x:f>
      </x:c>
      <x:c r="K356" t="str">
        <x:f>IF(B356="","",IF(I356="확인 필요","붙임 문서 확인 후 거래 성격·기간·상대방·일회성 여부 확인","결의서명과 전기 대비 발생 건수·단가·시점 차이 검토"))</x:f>
      </x:c>
    </x:row>
    <x:row r="357">
      <x:c r="A357" t="str">
        <x:f>IFERROR(INDEX('계산도우미'!$A$5:$A$2004,MATCH(ROWS($A$6:A357),'계산도우미'!$L$5:$L$2004,0)),"")</x:f>
      </x:c>
      <x:c r="B357" t="str">
        <x:f>IFERROR(INDEX('계산도우미'!$B$5:$B$2004,MATCH(ROWS($A$6:A357),'계산도우미'!$L$5:$L$2004,0)),"")</x:f>
      </x:c>
      <x:c r="C357" t="str">
        <x:f>IFERROR(INDEX('계산도우미'!$C$5:$C$2004,MATCH(ROWS($A$6:A357),'계산도우미'!$L$5:$L$2004,0)),"")</x:f>
      </x:c>
      <x:c r="D357" s="67" t="str">
        <x:f>IFERROR(INDEX('계산도우미'!$D$5:$D$2004,MATCH(ROWS($A$6:A357),'계산도우미'!$L$5:$L$2004,0)),"")</x:f>
      </x:c>
      <x:c r="E357" t="str">
        <x:f>IFERROR(INDEX('계산도우미'!$E$5:$E$2004,MATCH(ROWS($A$6:A357),'계산도우미'!$L$5:$L$2004,0)),"")</x:f>
      </x:c>
      <x:c r="F357" t="str">
        <x:f>IFERROR(INDEX('계산도우미'!$F$5:$F$2004,MATCH(ROWS($A$6:A357),'계산도우미'!$L$5:$L$2004,0)),"")</x:f>
      </x:c>
      <x:c r="G357" s="68" t="str">
        <x:f>IFERROR(INDEX('계산도우미'!$G$5:$G$2004,MATCH(ROWS($A$6:A357),'계산도우미'!$L$5:$L$2004,0)),"")</x:f>
      </x:c>
      <x:c r="H357" t="str">
        <x:f>IFERROR(INDEX('계산도우미'!$H$5:$H$2004,MATCH(ROWS($A$6:A357),'계산도우미'!$L$5:$L$2004,0)),"")</x:f>
      </x:c>
      <x:c r="I357" t="str">
        <x:f>IFERROR(INDEX('계산도우미'!$I$5:$I$2004,MATCH(ROWS($A$6:A357),'계산도우미'!$L$5:$L$2004,0)),"")</x:f>
      </x:c>
      <x:c r="J357" t="str">
        <x:f>IFERROR(INDEX('계산도우미'!$J$5:$J$2004,MATCH(ROWS($A$6:A357),'계산도우미'!$L$5:$L$2004,0)),"")</x:f>
      </x:c>
      <x:c r="K357" t="str">
        <x:f>IF(B357="","",IF(I357="확인 필요","붙임 문서 확인 후 거래 성격·기간·상대방·일회성 여부 확인","결의서명과 전기 대비 발생 건수·단가·시점 차이 검토"))</x:f>
      </x:c>
    </x:row>
    <x:row r="358">
      <x:c r="A358" t="str">
        <x:f>IFERROR(INDEX('계산도우미'!$A$5:$A$2004,MATCH(ROWS($A$6:A358),'계산도우미'!$L$5:$L$2004,0)),"")</x:f>
      </x:c>
      <x:c r="B358" t="str">
        <x:f>IFERROR(INDEX('계산도우미'!$B$5:$B$2004,MATCH(ROWS($A$6:A358),'계산도우미'!$L$5:$L$2004,0)),"")</x:f>
      </x:c>
      <x:c r="C358" t="str">
        <x:f>IFERROR(INDEX('계산도우미'!$C$5:$C$2004,MATCH(ROWS($A$6:A358),'계산도우미'!$L$5:$L$2004,0)),"")</x:f>
      </x:c>
      <x:c r="D358" s="67" t="str">
        <x:f>IFERROR(INDEX('계산도우미'!$D$5:$D$2004,MATCH(ROWS($A$6:A358),'계산도우미'!$L$5:$L$2004,0)),"")</x:f>
      </x:c>
      <x:c r="E358" t="str">
        <x:f>IFERROR(INDEX('계산도우미'!$E$5:$E$2004,MATCH(ROWS($A$6:A358),'계산도우미'!$L$5:$L$2004,0)),"")</x:f>
      </x:c>
      <x:c r="F358" t="str">
        <x:f>IFERROR(INDEX('계산도우미'!$F$5:$F$2004,MATCH(ROWS($A$6:A358),'계산도우미'!$L$5:$L$2004,0)),"")</x:f>
      </x:c>
      <x:c r="G358" s="68" t="str">
        <x:f>IFERROR(INDEX('계산도우미'!$G$5:$G$2004,MATCH(ROWS($A$6:A358),'계산도우미'!$L$5:$L$2004,0)),"")</x:f>
      </x:c>
      <x:c r="H358" t="str">
        <x:f>IFERROR(INDEX('계산도우미'!$H$5:$H$2004,MATCH(ROWS($A$6:A358),'계산도우미'!$L$5:$L$2004,0)),"")</x:f>
      </x:c>
      <x:c r="I358" t="str">
        <x:f>IFERROR(INDEX('계산도우미'!$I$5:$I$2004,MATCH(ROWS($A$6:A358),'계산도우미'!$L$5:$L$2004,0)),"")</x:f>
      </x:c>
      <x:c r="J358" t="str">
        <x:f>IFERROR(INDEX('계산도우미'!$J$5:$J$2004,MATCH(ROWS($A$6:A358),'계산도우미'!$L$5:$L$2004,0)),"")</x:f>
      </x:c>
      <x:c r="K358" t="str">
        <x:f>IF(B358="","",IF(I358="확인 필요","붙임 문서 확인 후 거래 성격·기간·상대방·일회성 여부 확인","결의서명과 전기 대비 발생 건수·단가·시점 차이 검토"))</x:f>
      </x:c>
    </x:row>
    <x:row r="359">
      <x:c r="A359" t="str">
        <x:f>IFERROR(INDEX('계산도우미'!$A$5:$A$2004,MATCH(ROWS($A$6:A359),'계산도우미'!$L$5:$L$2004,0)),"")</x:f>
      </x:c>
      <x:c r="B359" t="str">
        <x:f>IFERROR(INDEX('계산도우미'!$B$5:$B$2004,MATCH(ROWS($A$6:A359),'계산도우미'!$L$5:$L$2004,0)),"")</x:f>
      </x:c>
      <x:c r="C359" t="str">
        <x:f>IFERROR(INDEX('계산도우미'!$C$5:$C$2004,MATCH(ROWS($A$6:A359),'계산도우미'!$L$5:$L$2004,0)),"")</x:f>
      </x:c>
      <x:c r="D359" s="67" t="str">
        <x:f>IFERROR(INDEX('계산도우미'!$D$5:$D$2004,MATCH(ROWS($A$6:A359),'계산도우미'!$L$5:$L$2004,0)),"")</x:f>
      </x:c>
      <x:c r="E359" t="str">
        <x:f>IFERROR(INDEX('계산도우미'!$E$5:$E$2004,MATCH(ROWS($A$6:A359),'계산도우미'!$L$5:$L$2004,0)),"")</x:f>
      </x:c>
      <x:c r="F359" t="str">
        <x:f>IFERROR(INDEX('계산도우미'!$F$5:$F$2004,MATCH(ROWS($A$6:A359),'계산도우미'!$L$5:$L$2004,0)),"")</x:f>
      </x:c>
      <x:c r="G359" s="68" t="str">
        <x:f>IFERROR(INDEX('계산도우미'!$G$5:$G$2004,MATCH(ROWS($A$6:A359),'계산도우미'!$L$5:$L$2004,0)),"")</x:f>
      </x:c>
      <x:c r="H359" t="str">
        <x:f>IFERROR(INDEX('계산도우미'!$H$5:$H$2004,MATCH(ROWS($A$6:A359),'계산도우미'!$L$5:$L$2004,0)),"")</x:f>
      </x:c>
      <x:c r="I359" t="str">
        <x:f>IFERROR(INDEX('계산도우미'!$I$5:$I$2004,MATCH(ROWS($A$6:A359),'계산도우미'!$L$5:$L$2004,0)),"")</x:f>
      </x:c>
      <x:c r="J359" t="str">
        <x:f>IFERROR(INDEX('계산도우미'!$J$5:$J$2004,MATCH(ROWS($A$6:A359),'계산도우미'!$L$5:$L$2004,0)),"")</x:f>
      </x:c>
      <x:c r="K359" t="str">
        <x:f>IF(B359="","",IF(I359="확인 필요","붙임 문서 확인 후 거래 성격·기간·상대방·일회성 여부 확인","결의서명과 전기 대비 발생 건수·단가·시점 차이 검토"))</x:f>
      </x:c>
    </x:row>
    <x:row r="360">
      <x:c r="A360" t="str">
        <x:f>IFERROR(INDEX('계산도우미'!$A$5:$A$2004,MATCH(ROWS($A$6:A360),'계산도우미'!$L$5:$L$2004,0)),"")</x:f>
      </x:c>
      <x:c r="B360" t="str">
        <x:f>IFERROR(INDEX('계산도우미'!$B$5:$B$2004,MATCH(ROWS($A$6:A360),'계산도우미'!$L$5:$L$2004,0)),"")</x:f>
      </x:c>
      <x:c r="C360" t="str">
        <x:f>IFERROR(INDEX('계산도우미'!$C$5:$C$2004,MATCH(ROWS($A$6:A360),'계산도우미'!$L$5:$L$2004,0)),"")</x:f>
      </x:c>
      <x:c r="D360" s="67" t="str">
        <x:f>IFERROR(INDEX('계산도우미'!$D$5:$D$2004,MATCH(ROWS($A$6:A360),'계산도우미'!$L$5:$L$2004,0)),"")</x:f>
      </x:c>
      <x:c r="E360" t="str">
        <x:f>IFERROR(INDEX('계산도우미'!$E$5:$E$2004,MATCH(ROWS($A$6:A360),'계산도우미'!$L$5:$L$2004,0)),"")</x:f>
      </x:c>
      <x:c r="F360" t="str">
        <x:f>IFERROR(INDEX('계산도우미'!$F$5:$F$2004,MATCH(ROWS($A$6:A360),'계산도우미'!$L$5:$L$2004,0)),"")</x:f>
      </x:c>
      <x:c r="G360" s="68" t="str">
        <x:f>IFERROR(INDEX('계산도우미'!$G$5:$G$2004,MATCH(ROWS($A$6:A360),'계산도우미'!$L$5:$L$2004,0)),"")</x:f>
      </x:c>
      <x:c r="H360" t="str">
        <x:f>IFERROR(INDEX('계산도우미'!$H$5:$H$2004,MATCH(ROWS($A$6:A360),'계산도우미'!$L$5:$L$2004,0)),"")</x:f>
      </x:c>
      <x:c r="I360" t="str">
        <x:f>IFERROR(INDEX('계산도우미'!$I$5:$I$2004,MATCH(ROWS($A$6:A360),'계산도우미'!$L$5:$L$2004,0)),"")</x:f>
      </x:c>
      <x:c r="J360" t="str">
        <x:f>IFERROR(INDEX('계산도우미'!$J$5:$J$2004,MATCH(ROWS($A$6:A360),'계산도우미'!$L$5:$L$2004,0)),"")</x:f>
      </x:c>
      <x:c r="K360" t="str">
        <x:f>IF(B360="","",IF(I360="확인 필요","붙임 문서 확인 후 거래 성격·기간·상대방·일회성 여부 확인","결의서명과 전기 대비 발생 건수·단가·시점 차이 검토"))</x:f>
      </x:c>
    </x:row>
    <x:row r="361">
      <x:c r="A361" t="str">
        <x:f>IFERROR(INDEX('계산도우미'!$A$5:$A$2004,MATCH(ROWS($A$6:A361),'계산도우미'!$L$5:$L$2004,0)),"")</x:f>
      </x:c>
      <x:c r="B361" t="str">
        <x:f>IFERROR(INDEX('계산도우미'!$B$5:$B$2004,MATCH(ROWS($A$6:A361),'계산도우미'!$L$5:$L$2004,0)),"")</x:f>
      </x:c>
      <x:c r="C361" t="str">
        <x:f>IFERROR(INDEX('계산도우미'!$C$5:$C$2004,MATCH(ROWS($A$6:A361),'계산도우미'!$L$5:$L$2004,0)),"")</x:f>
      </x:c>
      <x:c r="D361" s="67" t="str">
        <x:f>IFERROR(INDEX('계산도우미'!$D$5:$D$2004,MATCH(ROWS($A$6:A361),'계산도우미'!$L$5:$L$2004,0)),"")</x:f>
      </x:c>
      <x:c r="E361" t="str">
        <x:f>IFERROR(INDEX('계산도우미'!$E$5:$E$2004,MATCH(ROWS($A$6:A361),'계산도우미'!$L$5:$L$2004,0)),"")</x:f>
      </x:c>
      <x:c r="F361" t="str">
        <x:f>IFERROR(INDEX('계산도우미'!$F$5:$F$2004,MATCH(ROWS($A$6:A361),'계산도우미'!$L$5:$L$2004,0)),"")</x:f>
      </x:c>
      <x:c r="G361" s="68" t="str">
        <x:f>IFERROR(INDEX('계산도우미'!$G$5:$G$2004,MATCH(ROWS($A$6:A361),'계산도우미'!$L$5:$L$2004,0)),"")</x:f>
      </x:c>
      <x:c r="H361" t="str">
        <x:f>IFERROR(INDEX('계산도우미'!$H$5:$H$2004,MATCH(ROWS($A$6:A361),'계산도우미'!$L$5:$L$2004,0)),"")</x:f>
      </x:c>
      <x:c r="I361" t="str">
        <x:f>IFERROR(INDEX('계산도우미'!$I$5:$I$2004,MATCH(ROWS($A$6:A361),'계산도우미'!$L$5:$L$2004,0)),"")</x:f>
      </x:c>
      <x:c r="J361" t="str">
        <x:f>IFERROR(INDEX('계산도우미'!$J$5:$J$2004,MATCH(ROWS($A$6:A361),'계산도우미'!$L$5:$L$2004,0)),"")</x:f>
      </x:c>
      <x:c r="K361" t="str">
        <x:f>IF(B361="","",IF(I361="확인 필요","붙임 문서 확인 후 거래 성격·기간·상대방·일회성 여부 확인","결의서명과 전기 대비 발생 건수·단가·시점 차이 검토"))</x:f>
      </x:c>
    </x:row>
    <x:row r="362">
      <x:c r="A362" t="str">
        <x:f>IFERROR(INDEX('계산도우미'!$A$5:$A$2004,MATCH(ROWS($A$6:A362),'계산도우미'!$L$5:$L$2004,0)),"")</x:f>
      </x:c>
      <x:c r="B362" t="str">
        <x:f>IFERROR(INDEX('계산도우미'!$B$5:$B$2004,MATCH(ROWS($A$6:A362),'계산도우미'!$L$5:$L$2004,0)),"")</x:f>
      </x:c>
      <x:c r="C362" t="str">
        <x:f>IFERROR(INDEX('계산도우미'!$C$5:$C$2004,MATCH(ROWS($A$6:A362),'계산도우미'!$L$5:$L$2004,0)),"")</x:f>
      </x:c>
      <x:c r="D362" s="67" t="str">
        <x:f>IFERROR(INDEX('계산도우미'!$D$5:$D$2004,MATCH(ROWS($A$6:A362),'계산도우미'!$L$5:$L$2004,0)),"")</x:f>
      </x:c>
      <x:c r="E362" t="str">
        <x:f>IFERROR(INDEX('계산도우미'!$E$5:$E$2004,MATCH(ROWS($A$6:A362),'계산도우미'!$L$5:$L$2004,0)),"")</x:f>
      </x:c>
      <x:c r="F362" t="str">
        <x:f>IFERROR(INDEX('계산도우미'!$F$5:$F$2004,MATCH(ROWS($A$6:A362),'계산도우미'!$L$5:$L$2004,0)),"")</x:f>
      </x:c>
      <x:c r="G362" s="68" t="str">
        <x:f>IFERROR(INDEX('계산도우미'!$G$5:$G$2004,MATCH(ROWS($A$6:A362),'계산도우미'!$L$5:$L$2004,0)),"")</x:f>
      </x:c>
      <x:c r="H362" t="str">
        <x:f>IFERROR(INDEX('계산도우미'!$H$5:$H$2004,MATCH(ROWS($A$6:A362),'계산도우미'!$L$5:$L$2004,0)),"")</x:f>
      </x:c>
      <x:c r="I362" t="str">
        <x:f>IFERROR(INDEX('계산도우미'!$I$5:$I$2004,MATCH(ROWS($A$6:A362),'계산도우미'!$L$5:$L$2004,0)),"")</x:f>
      </x:c>
      <x:c r="J362" t="str">
        <x:f>IFERROR(INDEX('계산도우미'!$J$5:$J$2004,MATCH(ROWS($A$6:A362),'계산도우미'!$L$5:$L$2004,0)),"")</x:f>
      </x:c>
      <x:c r="K362" t="str">
        <x:f>IF(B362="","",IF(I362="확인 필요","붙임 문서 확인 후 거래 성격·기간·상대방·일회성 여부 확인","결의서명과 전기 대비 발생 건수·단가·시점 차이 검토"))</x:f>
      </x:c>
    </x:row>
    <x:row r="363">
      <x:c r="A363" t="str">
        <x:f>IFERROR(INDEX('계산도우미'!$A$5:$A$2004,MATCH(ROWS($A$6:A363),'계산도우미'!$L$5:$L$2004,0)),"")</x:f>
      </x:c>
      <x:c r="B363" t="str">
        <x:f>IFERROR(INDEX('계산도우미'!$B$5:$B$2004,MATCH(ROWS($A$6:A363),'계산도우미'!$L$5:$L$2004,0)),"")</x:f>
      </x:c>
      <x:c r="C363" t="str">
        <x:f>IFERROR(INDEX('계산도우미'!$C$5:$C$2004,MATCH(ROWS($A$6:A363),'계산도우미'!$L$5:$L$2004,0)),"")</x:f>
      </x:c>
      <x:c r="D363" s="67" t="str">
        <x:f>IFERROR(INDEX('계산도우미'!$D$5:$D$2004,MATCH(ROWS($A$6:A363),'계산도우미'!$L$5:$L$2004,0)),"")</x:f>
      </x:c>
      <x:c r="E363" t="str">
        <x:f>IFERROR(INDEX('계산도우미'!$E$5:$E$2004,MATCH(ROWS($A$6:A363),'계산도우미'!$L$5:$L$2004,0)),"")</x:f>
      </x:c>
      <x:c r="F363" t="str">
        <x:f>IFERROR(INDEX('계산도우미'!$F$5:$F$2004,MATCH(ROWS($A$6:A363),'계산도우미'!$L$5:$L$2004,0)),"")</x:f>
      </x:c>
      <x:c r="G363" s="68" t="str">
        <x:f>IFERROR(INDEX('계산도우미'!$G$5:$G$2004,MATCH(ROWS($A$6:A363),'계산도우미'!$L$5:$L$2004,0)),"")</x:f>
      </x:c>
      <x:c r="H363" t="str">
        <x:f>IFERROR(INDEX('계산도우미'!$H$5:$H$2004,MATCH(ROWS($A$6:A363),'계산도우미'!$L$5:$L$2004,0)),"")</x:f>
      </x:c>
      <x:c r="I363" t="str">
        <x:f>IFERROR(INDEX('계산도우미'!$I$5:$I$2004,MATCH(ROWS($A$6:A363),'계산도우미'!$L$5:$L$2004,0)),"")</x:f>
      </x:c>
      <x:c r="J363" t="str">
        <x:f>IFERROR(INDEX('계산도우미'!$J$5:$J$2004,MATCH(ROWS($A$6:A363),'계산도우미'!$L$5:$L$2004,0)),"")</x:f>
      </x:c>
      <x:c r="K363" t="str">
        <x:f>IF(B363="","",IF(I363="확인 필요","붙임 문서 확인 후 거래 성격·기간·상대방·일회성 여부 확인","결의서명과 전기 대비 발생 건수·단가·시점 차이 검토"))</x:f>
      </x:c>
    </x:row>
    <x:row r="364">
      <x:c r="A364" t="str">
        <x:f>IFERROR(INDEX('계산도우미'!$A$5:$A$2004,MATCH(ROWS($A$6:A364),'계산도우미'!$L$5:$L$2004,0)),"")</x:f>
      </x:c>
      <x:c r="B364" t="str">
        <x:f>IFERROR(INDEX('계산도우미'!$B$5:$B$2004,MATCH(ROWS($A$6:A364),'계산도우미'!$L$5:$L$2004,0)),"")</x:f>
      </x:c>
      <x:c r="C364" t="str">
        <x:f>IFERROR(INDEX('계산도우미'!$C$5:$C$2004,MATCH(ROWS($A$6:A364),'계산도우미'!$L$5:$L$2004,0)),"")</x:f>
      </x:c>
      <x:c r="D364" s="67" t="str">
        <x:f>IFERROR(INDEX('계산도우미'!$D$5:$D$2004,MATCH(ROWS($A$6:A364),'계산도우미'!$L$5:$L$2004,0)),"")</x:f>
      </x:c>
      <x:c r="E364" t="str">
        <x:f>IFERROR(INDEX('계산도우미'!$E$5:$E$2004,MATCH(ROWS($A$6:A364),'계산도우미'!$L$5:$L$2004,0)),"")</x:f>
      </x:c>
      <x:c r="F364" t="str">
        <x:f>IFERROR(INDEX('계산도우미'!$F$5:$F$2004,MATCH(ROWS($A$6:A364),'계산도우미'!$L$5:$L$2004,0)),"")</x:f>
      </x:c>
      <x:c r="G364" s="68" t="str">
        <x:f>IFERROR(INDEX('계산도우미'!$G$5:$G$2004,MATCH(ROWS($A$6:A364),'계산도우미'!$L$5:$L$2004,0)),"")</x:f>
      </x:c>
      <x:c r="H364" t="str">
        <x:f>IFERROR(INDEX('계산도우미'!$H$5:$H$2004,MATCH(ROWS($A$6:A364),'계산도우미'!$L$5:$L$2004,0)),"")</x:f>
      </x:c>
      <x:c r="I364" t="str">
        <x:f>IFERROR(INDEX('계산도우미'!$I$5:$I$2004,MATCH(ROWS($A$6:A364),'계산도우미'!$L$5:$L$2004,0)),"")</x:f>
      </x:c>
      <x:c r="J364" t="str">
        <x:f>IFERROR(INDEX('계산도우미'!$J$5:$J$2004,MATCH(ROWS($A$6:A364),'계산도우미'!$L$5:$L$2004,0)),"")</x:f>
      </x:c>
      <x:c r="K364" t="str">
        <x:f>IF(B364="","",IF(I364="확인 필요","붙임 문서 확인 후 거래 성격·기간·상대방·일회성 여부 확인","결의서명과 전기 대비 발생 건수·단가·시점 차이 검토"))</x:f>
      </x:c>
    </x:row>
    <x:row r="365">
      <x:c r="A365" t="str">
        <x:f>IFERROR(INDEX('계산도우미'!$A$5:$A$2004,MATCH(ROWS($A$6:A365),'계산도우미'!$L$5:$L$2004,0)),"")</x:f>
      </x:c>
      <x:c r="B365" t="str">
        <x:f>IFERROR(INDEX('계산도우미'!$B$5:$B$2004,MATCH(ROWS($A$6:A365),'계산도우미'!$L$5:$L$2004,0)),"")</x:f>
      </x:c>
      <x:c r="C365" t="str">
        <x:f>IFERROR(INDEX('계산도우미'!$C$5:$C$2004,MATCH(ROWS($A$6:A365),'계산도우미'!$L$5:$L$2004,0)),"")</x:f>
      </x:c>
      <x:c r="D365" s="67" t="str">
        <x:f>IFERROR(INDEX('계산도우미'!$D$5:$D$2004,MATCH(ROWS($A$6:A365),'계산도우미'!$L$5:$L$2004,0)),"")</x:f>
      </x:c>
      <x:c r="E365" t="str">
        <x:f>IFERROR(INDEX('계산도우미'!$E$5:$E$2004,MATCH(ROWS($A$6:A365),'계산도우미'!$L$5:$L$2004,0)),"")</x:f>
      </x:c>
      <x:c r="F365" t="str">
        <x:f>IFERROR(INDEX('계산도우미'!$F$5:$F$2004,MATCH(ROWS($A$6:A365),'계산도우미'!$L$5:$L$2004,0)),"")</x:f>
      </x:c>
      <x:c r="G365" s="68" t="str">
        <x:f>IFERROR(INDEX('계산도우미'!$G$5:$G$2004,MATCH(ROWS($A$6:A365),'계산도우미'!$L$5:$L$2004,0)),"")</x:f>
      </x:c>
      <x:c r="H365" t="str">
        <x:f>IFERROR(INDEX('계산도우미'!$H$5:$H$2004,MATCH(ROWS($A$6:A365),'계산도우미'!$L$5:$L$2004,0)),"")</x:f>
      </x:c>
      <x:c r="I365" t="str">
        <x:f>IFERROR(INDEX('계산도우미'!$I$5:$I$2004,MATCH(ROWS($A$6:A365),'계산도우미'!$L$5:$L$2004,0)),"")</x:f>
      </x:c>
      <x:c r="J365" t="str">
        <x:f>IFERROR(INDEX('계산도우미'!$J$5:$J$2004,MATCH(ROWS($A$6:A365),'계산도우미'!$L$5:$L$2004,0)),"")</x:f>
      </x:c>
      <x:c r="K365" t="str">
        <x:f>IF(B365="","",IF(I365="확인 필요","붙임 문서 확인 후 거래 성격·기간·상대방·일회성 여부 확인","결의서명과 전기 대비 발생 건수·단가·시점 차이 검토"))</x:f>
      </x:c>
    </x:row>
    <x:row r="366">
      <x:c r="A366" t="str">
        <x:f>IFERROR(INDEX('계산도우미'!$A$5:$A$2004,MATCH(ROWS($A$6:A366),'계산도우미'!$L$5:$L$2004,0)),"")</x:f>
      </x:c>
      <x:c r="B366" t="str">
        <x:f>IFERROR(INDEX('계산도우미'!$B$5:$B$2004,MATCH(ROWS($A$6:A366),'계산도우미'!$L$5:$L$2004,0)),"")</x:f>
      </x:c>
      <x:c r="C366" t="str">
        <x:f>IFERROR(INDEX('계산도우미'!$C$5:$C$2004,MATCH(ROWS($A$6:A366),'계산도우미'!$L$5:$L$2004,0)),"")</x:f>
      </x:c>
      <x:c r="D366" s="67" t="str">
        <x:f>IFERROR(INDEX('계산도우미'!$D$5:$D$2004,MATCH(ROWS($A$6:A366),'계산도우미'!$L$5:$L$2004,0)),"")</x:f>
      </x:c>
      <x:c r="E366" t="str">
        <x:f>IFERROR(INDEX('계산도우미'!$E$5:$E$2004,MATCH(ROWS($A$6:A366),'계산도우미'!$L$5:$L$2004,0)),"")</x:f>
      </x:c>
      <x:c r="F366" t="str">
        <x:f>IFERROR(INDEX('계산도우미'!$F$5:$F$2004,MATCH(ROWS($A$6:A366),'계산도우미'!$L$5:$L$2004,0)),"")</x:f>
      </x:c>
      <x:c r="G366" s="68" t="str">
        <x:f>IFERROR(INDEX('계산도우미'!$G$5:$G$2004,MATCH(ROWS($A$6:A366),'계산도우미'!$L$5:$L$2004,0)),"")</x:f>
      </x:c>
      <x:c r="H366" t="str">
        <x:f>IFERROR(INDEX('계산도우미'!$H$5:$H$2004,MATCH(ROWS($A$6:A366),'계산도우미'!$L$5:$L$2004,0)),"")</x:f>
      </x:c>
      <x:c r="I366" t="str">
        <x:f>IFERROR(INDEX('계산도우미'!$I$5:$I$2004,MATCH(ROWS($A$6:A366),'계산도우미'!$L$5:$L$2004,0)),"")</x:f>
      </x:c>
      <x:c r="J366" t="str">
        <x:f>IFERROR(INDEX('계산도우미'!$J$5:$J$2004,MATCH(ROWS($A$6:A366),'계산도우미'!$L$5:$L$2004,0)),"")</x:f>
      </x:c>
      <x:c r="K366" t="str">
        <x:f>IF(B366="","",IF(I366="확인 필요","붙임 문서 확인 후 거래 성격·기간·상대방·일회성 여부 확인","결의서명과 전기 대비 발생 건수·단가·시점 차이 검토"))</x:f>
      </x:c>
    </x:row>
    <x:row r="367">
      <x:c r="A367" t="str">
        <x:f>IFERROR(INDEX('계산도우미'!$A$5:$A$2004,MATCH(ROWS($A$6:A367),'계산도우미'!$L$5:$L$2004,0)),"")</x:f>
      </x:c>
      <x:c r="B367" t="str">
        <x:f>IFERROR(INDEX('계산도우미'!$B$5:$B$2004,MATCH(ROWS($A$6:A367),'계산도우미'!$L$5:$L$2004,0)),"")</x:f>
      </x:c>
      <x:c r="C367" t="str">
        <x:f>IFERROR(INDEX('계산도우미'!$C$5:$C$2004,MATCH(ROWS($A$6:A367),'계산도우미'!$L$5:$L$2004,0)),"")</x:f>
      </x:c>
      <x:c r="D367" s="67" t="str">
        <x:f>IFERROR(INDEX('계산도우미'!$D$5:$D$2004,MATCH(ROWS($A$6:A367),'계산도우미'!$L$5:$L$2004,0)),"")</x:f>
      </x:c>
      <x:c r="E367" t="str">
        <x:f>IFERROR(INDEX('계산도우미'!$E$5:$E$2004,MATCH(ROWS($A$6:A367),'계산도우미'!$L$5:$L$2004,0)),"")</x:f>
      </x:c>
      <x:c r="F367" t="str">
        <x:f>IFERROR(INDEX('계산도우미'!$F$5:$F$2004,MATCH(ROWS($A$6:A367),'계산도우미'!$L$5:$L$2004,0)),"")</x:f>
      </x:c>
      <x:c r="G367" s="68" t="str">
        <x:f>IFERROR(INDEX('계산도우미'!$G$5:$G$2004,MATCH(ROWS($A$6:A367),'계산도우미'!$L$5:$L$2004,0)),"")</x:f>
      </x:c>
      <x:c r="H367" t="str">
        <x:f>IFERROR(INDEX('계산도우미'!$H$5:$H$2004,MATCH(ROWS($A$6:A367),'계산도우미'!$L$5:$L$2004,0)),"")</x:f>
      </x:c>
      <x:c r="I367" t="str">
        <x:f>IFERROR(INDEX('계산도우미'!$I$5:$I$2004,MATCH(ROWS($A$6:A367),'계산도우미'!$L$5:$L$2004,0)),"")</x:f>
      </x:c>
      <x:c r="J367" t="str">
        <x:f>IFERROR(INDEX('계산도우미'!$J$5:$J$2004,MATCH(ROWS($A$6:A367),'계산도우미'!$L$5:$L$2004,0)),"")</x:f>
      </x:c>
      <x:c r="K367" t="str">
        <x:f>IF(B367="","",IF(I367="확인 필요","붙임 문서 확인 후 거래 성격·기간·상대방·일회성 여부 확인","결의서명과 전기 대비 발생 건수·단가·시점 차이 검토"))</x:f>
      </x:c>
    </x:row>
    <x:row r="368">
      <x:c r="A368" t="str">
        <x:f>IFERROR(INDEX('계산도우미'!$A$5:$A$2004,MATCH(ROWS($A$6:A368),'계산도우미'!$L$5:$L$2004,0)),"")</x:f>
      </x:c>
      <x:c r="B368" t="str">
        <x:f>IFERROR(INDEX('계산도우미'!$B$5:$B$2004,MATCH(ROWS($A$6:A368),'계산도우미'!$L$5:$L$2004,0)),"")</x:f>
      </x:c>
      <x:c r="C368" t="str">
        <x:f>IFERROR(INDEX('계산도우미'!$C$5:$C$2004,MATCH(ROWS($A$6:A368),'계산도우미'!$L$5:$L$2004,0)),"")</x:f>
      </x:c>
      <x:c r="D368" s="67" t="str">
        <x:f>IFERROR(INDEX('계산도우미'!$D$5:$D$2004,MATCH(ROWS($A$6:A368),'계산도우미'!$L$5:$L$2004,0)),"")</x:f>
      </x:c>
      <x:c r="E368" t="str">
        <x:f>IFERROR(INDEX('계산도우미'!$E$5:$E$2004,MATCH(ROWS($A$6:A368),'계산도우미'!$L$5:$L$2004,0)),"")</x:f>
      </x:c>
      <x:c r="F368" t="str">
        <x:f>IFERROR(INDEX('계산도우미'!$F$5:$F$2004,MATCH(ROWS($A$6:A368),'계산도우미'!$L$5:$L$2004,0)),"")</x:f>
      </x:c>
      <x:c r="G368" s="68" t="str">
        <x:f>IFERROR(INDEX('계산도우미'!$G$5:$G$2004,MATCH(ROWS($A$6:A368),'계산도우미'!$L$5:$L$2004,0)),"")</x:f>
      </x:c>
      <x:c r="H368" t="str">
        <x:f>IFERROR(INDEX('계산도우미'!$H$5:$H$2004,MATCH(ROWS($A$6:A368),'계산도우미'!$L$5:$L$2004,0)),"")</x:f>
      </x:c>
      <x:c r="I368" t="str">
        <x:f>IFERROR(INDEX('계산도우미'!$I$5:$I$2004,MATCH(ROWS($A$6:A368),'계산도우미'!$L$5:$L$2004,0)),"")</x:f>
      </x:c>
      <x:c r="J368" t="str">
        <x:f>IFERROR(INDEX('계산도우미'!$J$5:$J$2004,MATCH(ROWS($A$6:A368),'계산도우미'!$L$5:$L$2004,0)),"")</x:f>
      </x:c>
      <x:c r="K368" t="str">
        <x:f>IF(B368="","",IF(I368="확인 필요","붙임 문서 확인 후 거래 성격·기간·상대방·일회성 여부 확인","결의서명과 전기 대비 발생 건수·단가·시점 차이 검토"))</x:f>
      </x:c>
    </x:row>
    <x:row r="369">
      <x:c r="A369" t="str">
        <x:f>IFERROR(INDEX('계산도우미'!$A$5:$A$2004,MATCH(ROWS($A$6:A369),'계산도우미'!$L$5:$L$2004,0)),"")</x:f>
      </x:c>
      <x:c r="B369" t="str">
        <x:f>IFERROR(INDEX('계산도우미'!$B$5:$B$2004,MATCH(ROWS($A$6:A369),'계산도우미'!$L$5:$L$2004,0)),"")</x:f>
      </x:c>
      <x:c r="C369" t="str">
        <x:f>IFERROR(INDEX('계산도우미'!$C$5:$C$2004,MATCH(ROWS($A$6:A369),'계산도우미'!$L$5:$L$2004,0)),"")</x:f>
      </x:c>
      <x:c r="D369" s="67" t="str">
        <x:f>IFERROR(INDEX('계산도우미'!$D$5:$D$2004,MATCH(ROWS($A$6:A369),'계산도우미'!$L$5:$L$2004,0)),"")</x:f>
      </x:c>
      <x:c r="E369" t="str">
        <x:f>IFERROR(INDEX('계산도우미'!$E$5:$E$2004,MATCH(ROWS($A$6:A369),'계산도우미'!$L$5:$L$2004,0)),"")</x:f>
      </x:c>
      <x:c r="F369" t="str">
        <x:f>IFERROR(INDEX('계산도우미'!$F$5:$F$2004,MATCH(ROWS($A$6:A369),'계산도우미'!$L$5:$L$2004,0)),"")</x:f>
      </x:c>
      <x:c r="G369" s="68" t="str">
        <x:f>IFERROR(INDEX('계산도우미'!$G$5:$G$2004,MATCH(ROWS($A$6:A369),'계산도우미'!$L$5:$L$2004,0)),"")</x:f>
      </x:c>
      <x:c r="H369" t="str">
        <x:f>IFERROR(INDEX('계산도우미'!$H$5:$H$2004,MATCH(ROWS($A$6:A369),'계산도우미'!$L$5:$L$2004,0)),"")</x:f>
      </x:c>
      <x:c r="I369" t="str">
        <x:f>IFERROR(INDEX('계산도우미'!$I$5:$I$2004,MATCH(ROWS($A$6:A369),'계산도우미'!$L$5:$L$2004,0)),"")</x:f>
      </x:c>
      <x:c r="J369" t="str">
        <x:f>IFERROR(INDEX('계산도우미'!$J$5:$J$2004,MATCH(ROWS($A$6:A369),'계산도우미'!$L$5:$L$2004,0)),"")</x:f>
      </x:c>
      <x:c r="K369" t="str">
        <x:f>IF(B369="","",IF(I369="확인 필요","붙임 문서 확인 후 거래 성격·기간·상대방·일회성 여부 확인","결의서명과 전기 대비 발생 건수·단가·시점 차이 검토"))</x:f>
      </x:c>
    </x:row>
    <x:row r="370">
      <x:c r="A370" t="str">
        <x:f>IFERROR(INDEX('계산도우미'!$A$5:$A$2004,MATCH(ROWS($A$6:A370),'계산도우미'!$L$5:$L$2004,0)),"")</x:f>
      </x:c>
      <x:c r="B370" t="str">
        <x:f>IFERROR(INDEX('계산도우미'!$B$5:$B$2004,MATCH(ROWS($A$6:A370),'계산도우미'!$L$5:$L$2004,0)),"")</x:f>
      </x:c>
      <x:c r="C370" t="str">
        <x:f>IFERROR(INDEX('계산도우미'!$C$5:$C$2004,MATCH(ROWS($A$6:A370),'계산도우미'!$L$5:$L$2004,0)),"")</x:f>
      </x:c>
      <x:c r="D370" s="67" t="str">
        <x:f>IFERROR(INDEX('계산도우미'!$D$5:$D$2004,MATCH(ROWS($A$6:A370),'계산도우미'!$L$5:$L$2004,0)),"")</x:f>
      </x:c>
      <x:c r="E370" t="str">
        <x:f>IFERROR(INDEX('계산도우미'!$E$5:$E$2004,MATCH(ROWS($A$6:A370),'계산도우미'!$L$5:$L$2004,0)),"")</x:f>
      </x:c>
      <x:c r="F370" t="str">
        <x:f>IFERROR(INDEX('계산도우미'!$F$5:$F$2004,MATCH(ROWS($A$6:A370),'계산도우미'!$L$5:$L$2004,0)),"")</x:f>
      </x:c>
      <x:c r="G370" s="68" t="str">
        <x:f>IFERROR(INDEX('계산도우미'!$G$5:$G$2004,MATCH(ROWS($A$6:A370),'계산도우미'!$L$5:$L$2004,0)),"")</x:f>
      </x:c>
      <x:c r="H370" t="str">
        <x:f>IFERROR(INDEX('계산도우미'!$H$5:$H$2004,MATCH(ROWS($A$6:A370),'계산도우미'!$L$5:$L$2004,0)),"")</x:f>
      </x:c>
      <x:c r="I370" t="str">
        <x:f>IFERROR(INDEX('계산도우미'!$I$5:$I$2004,MATCH(ROWS($A$6:A370),'계산도우미'!$L$5:$L$2004,0)),"")</x:f>
      </x:c>
      <x:c r="J370" t="str">
        <x:f>IFERROR(INDEX('계산도우미'!$J$5:$J$2004,MATCH(ROWS($A$6:A370),'계산도우미'!$L$5:$L$2004,0)),"")</x:f>
      </x:c>
      <x:c r="K370" t="str">
        <x:f>IF(B370="","",IF(I370="확인 필요","붙임 문서 확인 후 거래 성격·기간·상대방·일회성 여부 확인","결의서명과 전기 대비 발생 건수·단가·시점 차이 검토"))</x:f>
      </x:c>
    </x:row>
    <x:row r="371">
      <x:c r="A371" t="str">
        <x:f>IFERROR(INDEX('계산도우미'!$A$5:$A$2004,MATCH(ROWS($A$6:A371),'계산도우미'!$L$5:$L$2004,0)),"")</x:f>
      </x:c>
      <x:c r="B371" t="str">
        <x:f>IFERROR(INDEX('계산도우미'!$B$5:$B$2004,MATCH(ROWS($A$6:A371),'계산도우미'!$L$5:$L$2004,0)),"")</x:f>
      </x:c>
      <x:c r="C371" t="str">
        <x:f>IFERROR(INDEX('계산도우미'!$C$5:$C$2004,MATCH(ROWS($A$6:A371),'계산도우미'!$L$5:$L$2004,0)),"")</x:f>
      </x:c>
      <x:c r="D371" s="67" t="str">
        <x:f>IFERROR(INDEX('계산도우미'!$D$5:$D$2004,MATCH(ROWS($A$6:A371),'계산도우미'!$L$5:$L$2004,0)),"")</x:f>
      </x:c>
      <x:c r="E371" t="str">
        <x:f>IFERROR(INDEX('계산도우미'!$E$5:$E$2004,MATCH(ROWS($A$6:A371),'계산도우미'!$L$5:$L$2004,0)),"")</x:f>
      </x:c>
      <x:c r="F371" t="str">
        <x:f>IFERROR(INDEX('계산도우미'!$F$5:$F$2004,MATCH(ROWS($A$6:A371),'계산도우미'!$L$5:$L$2004,0)),"")</x:f>
      </x:c>
      <x:c r="G371" s="68" t="str">
        <x:f>IFERROR(INDEX('계산도우미'!$G$5:$G$2004,MATCH(ROWS($A$6:A371),'계산도우미'!$L$5:$L$2004,0)),"")</x:f>
      </x:c>
      <x:c r="H371" t="str">
        <x:f>IFERROR(INDEX('계산도우미'!$H$5:$H$2004,MATCH(ROWS($A$6:A371),'계산도우미'!$L$5:$L$2004,0)),"")</x:f>
      </x:c>
      <x:c r="I371" t="str">
        <x:f>IFERROR(INDEX('계산도우미'!$I$5:$I$2004,MATCH(ROWS($A$6:A371),'계산도우미'!$L$5:$L$2004,0)),"")</x:f>
      </x:c>
      <x:c r="J371" t="str">
        <x:f>IFERROR(INDEX('계산도우미'!$J$5:$J$2004,MATCH(ROWS($A$6:A371),'계산도우미'!$L$5:$L$2004,0)),"")</x:f>
      </x:c>
      <x:c r="K371" t="str">
        <x:f>IF(B371="","",IF(I371="확인 필요","붙임 문서 확인 후 거래 성격·기간·상대방·일회성 여부 확인","결의서명과 전기 대비 발생 건수·단가·시점 차이 검토"))</x:f>
      </x:c>
    </x:row>
    <x:row r="372">
      <x:c r="A372" t="str">
        <x:f>IFERROR(INDEX('계산도우미'!$A$5:$A$2004,MATCH(ROWS($A$6:A372),'계산도우미'!$L$5:$L$2004,0)),"")</x:f>
      </x:c>
      <x:c r="B372" t="str">
        <x:f>IFERROR(INDEX('계산도우미'!$B$5:$B$2004,MATCH(ROWS($A$6:A372),'계산도우미'!$L$5:$L$2004,0)),"")</x:f>
      </x:c>
      <x:c r="C372" t="str">
        <x:f>IFERROR(INDEX('계산도우미'!$C$5:$C$2004,MATCH(ROWS($A$6:A372),'계산도우미'!$L$5:$L$2004,0)),"")</x:f>
      </x:c>
      <x:c r="D372" s="67" t="str">
        <x:f>IFERROR(INDEX('계산도우미'!$D$5:$D$2004,MATCH(ROWS($A$6:A372),'계산도우미'!$L$5:$L$2004,0)),"")</x:f>
      </x:c>
      <x:c r="E372" t="str">
        <x:f>IFERROR(INDEX('계산도우미'!$E$5:$E$2004,MATCH(ROWS($A$6:A372),'계산도우미'!$L$5:$L$2004,0)),"")</x:f>
      </x:c>
      <x:c r="F372" t="str">
        <x:f>IFERROR(INDEX('계산도우미'!$F$5:$F$2004,MATCH(ROWS($A$6:A372),'계산도우미'!$L$5:$L$2004,0)),"")</x:f>
      </x:c>
      <x:c r="G372" s="68" t="str">
        <x:f>IFERROR(INDEX('계산도우미'!$G$5:$G$2004,MATCH(ROWS($A$6:A372),'계산도우미'!$L$5:$L$2004,0)),"")</x:f>
      </x:c>
      <x:c r="H372" t="str">
        <x:f>IFERROR(INDEX('계산도우미'!$H$5:$H$2004,MATCH(ROWS($A$6:A372),'계산도우미'!$L$5:$L$2004,0)),"")</x:f>
      </x:c>
      <x:c r="I372" t="str">
        <x:f>IFERROR(INDEX('계산도우미'!$I$5:$I$2004,MATCH(ROWS($A$6:A372),'계산도우미'!$L$5:$L$2004,0)),"")</x:f>
      </x:c>
      <x:c r="J372" t="str">
        <x:f>IFERROR(INDEX('계산도우미'!$J$5:$J$2004,MATCH(ROWS($A$6:A372),'계산도우미'!$L$5:$L$2004,0)),"")</x:f>
      </x:c>
      <x:c r="K372" t="str">
        <x:f>IF(B372="","",IF(I372="확인 필요","붙임 문서 확인 후 거래 성격·기간·상대방·일회성 여부 확인","결의서명과 전기 대비 발생 건수·단가·시점 차이 검토"))</x:f>
      </x:c>
    </x:row>
    <x:row r="373">
      <x:c r="A373" t="str">
        <x:f>IFERROR(INDEX('계산도우미'!$A$5:$A$2004,MATCH(ROWS($A$6:A373),'계산도우미'!$L$5:$L$2004,0)),"")</x:f>
      </x:c>
      <x:c r="B373" t="str">
        <x:f>IFERROR(INDEX('계산도우미'!$B$5:$B$2004,MATCH(ROWS($A$6:A373),'계산도우미'!$L$5:$L$2004,0)),"")</x:f>
      </x:c>
      <x:c r="C373" t="str">
        <x:f>IFERROR(INDEX('계산도우미'!$C$5:$C$2004,MATCH(ROWS($A$6:A373),'계산도우미'!$L$5:$L$2004,0)),"")</x:f>
      </x:c>
      <x:c r="D373" s="67" t="str">
        <x:f>IFERROR(INDEX('계산도우미'!$D$5:$D$2004,MATCH(ROWS($A$6:A373),'계산도우미'!$L$5:$L$2004,0)),"")</x:f>
      </x:c>
      <x:c r="E373" t="str">
        <x:f>IFERROR(INDEX('계산도우미'!$E$5:$E$2004,MATCH(ROWS($A$6:A373),'계산도우미'!$L$5:$L$2004,0)),"")</x:f>
      </x:c>
      <x:c r="F373" t="str">
        <x:f>IFERROR(INDEX('계산도우미'!$F$5:$F$2004,MATCH(ROWS($A$6:A373),'계산도우미'!$L$5:$L$2004,0)),"")</x:f>
      </x:c>
      <x:c r="G373" s="68" t="str">
        <x:f>IFERROR(INDEX('계산도우미'!$G$5:$G$2004,MATCH(ROWS($A$6:A373),'계산도우미'!$L$5:$L$2004,0)),"")</x:f>
      </x:c>
      <x:c r="H373" t="str">
        <x:f>IFERROR(INDEX('계산도우미'!$H$5:$H$2004,MATCH(ROWS($A$6:A373),'계산도우미'!$L$5:$L$2004,0)),"")</x:f>
      </x:c>
      <x:c r="I373" t="str">
        <x:f>IFERROR(INDEX('계산도우미'!$I$5:$I$2004,MATCH(ROWS($A$6:A373),'계산도우미'!$L$5:$L$2004,0)),"")</x:f>
      </x:c>
      <x:c r="J373" t="str">
        <x:f>IFERROR(INDEX('계산도우미'!$J$5:$J$2004,MATCH(ROWS($A$6:A373),'계산도우미'!$L$5:$L$2004,0)),"")</x:f>
      </x:c>
      <x:c r="K373" t="str">
        <x:f>IF(B373="","",IF(I373="확인 필요","붙임 문서 확인 후 거래 성격·기간·상대방·일회성 여부 확인","결의서명과 전기 대비 발생 건수·단가·시점 차이 검토"))</x:f>
      </x:c>
    </x:row>
    <x:row r="374">
      <x:c r="A374" t="str">
        <x:f>IFERROR(INDEX('계산도우미'!$A$5:$A$2004,MATCH(ROWS($A$6:A374),'계산도우미'!$L$5:$L$2004,0)),"")</x:f>
      </x:c>
      <x:c r="B374" t="str">
        <x:f>IFERROR(INDEX('계산도우미'!$B$5:$B$2004,MATCH(ROWS($A$6:A374),'계산도우미'!$L$5:$L$2004,0)),"")</x:f>
      </x:c>
      <x:c r="C374" t="str">
        <x:f>IFERROR(INDEX('계산도우미'!$C$5:$C$2004,MATCH(ROWS($A$6:A374),'계산도우미'!$L$5:$L$2004,0)),"")</x:f>
      </x:c>
      <x:c r="D374" s="67" t="str">
        <x:f>IFERROR(INDEX('계산도우미'!$D$5:$D$2004,MATCH(ROWS($A$6:A374),'계산도우미'!$L$5:$L$2004,0)),"")</x:f>
      </x:c>
      <x:c r="E374" t="str">
        <x:f>IFERROR(INDEX('계산도우미'!$E$5:$E$2004,MATCH(ROWS($A$6:A374),'계산도우미'!$L$5:$L$2004,0)),"")</x:f>
      </x:c>
      <x:c r="F374" t="str">
        <x:f>IFERROR(INDEX('계산도우미'!$F$5:$F$2004,MATCH(ROWS($A$6:A374),'계산도우미'!$L$5:$L$2004,0)),"")</x:f>
      </x:c>
      <x:c r="G374" s="68" t="str">
        <x:f>IFERROR(INDEX('계산도우미'!$G$5:$G$2004,MATCH(ROWS($A$6:A374),'계산도우미'!$L$5:$L$2004,0)),"")</x:f>
      </x:c>
      <x:c r="H374" t="str">
        <x:f>IFERROR(INDEX('계산도우미'!$H$5:$H$2004,MATCH(ROWS($A$6:A374),'계산도우미'!$L$5:$L$2004,0)),"")</x:f>
      </x:c>
      <x:c r="I374" t="str">
        <x:f>IFERROR(INDEX('계산도우미'!$I$5:$I$2004,MATCH(ROWS($A$6:A374),'계산도우미'!$L$5:$L$2004,0)),"")</x:f>
      </x:c>
      <x:c r="J374" t="str">
        <x:f>IFERROR(INDEX('계산도우미'!$J$5:$J$2004,MATCH(ROWS($A$6:A374),'계산도우미'!$L$5:$L$2004,0)),"")</x:f>
      </x:c>
      <x:c r="K374" t="str">
        <x:f>IF(B374="","",IF(I374="확인 필요","붙임 문서 확인 후 거래 성격·기간·상대방·일회성 여부 확인","결의서명과 전기 대비 발생 건수·단가·시점 차이 검토"))</x:f>
      </x:c>
    </x:row>
    <x:row r="375">
      <x:c r="A375" t="str">
        <x:f>IFERROR(INDEX('계산도우미'!$A$5:$A$2004,MATCH(ROWS($A$6:A375),'계산도우미'!$L$5:$L$2004,0)),"")</x:f>
      </x:c>
      <x:c r="B375" t="str">
        <x:f>IFERROR(INDEX('계산도우미'!$B$5:$B$2004,MATCH(ROWS($A$6:A375),'계산도우미'!$L$5:$L$2004,0)),"")</x:f>
      </x:c>
      <x:c r="C375" t="str">
        <x:f>IFERROR(INDEX('계산도우미'!$C$5:$C$2004,MATCH(ROWS($A$6:A375),'계산도우미'!$L$5:$L$2004,0)),"")</x:f>
      </x:c>
      <x:c r="D375" s="67" t="str">
        <x:f>IFERROR(INDEX('계산도우미'!$D$5:$D$2004,MATCH(ROWS($A$6:A375),'계산도우미'!$L$5:$L$2004,0)),"")</x:f>
      </x:c>
      <x:c r="E375" t="str">
        <x:f>IFERROR(INDEX('계산도우미'!$E$5:$E$2004,MATCH(ROWS($A$6:A375),'계산도우미'!$L$5:$L$2004,0)),"")</x:f>
      </x:c>
      <x:c r="F375" t="str">
        <x:f>IFERROR(INDEX('계산도우미'!$F$5:$F$2004,MATCH(ROWS($A$6:A375),'계산도우미'!$L$5:$L$2004,0)),"")</x:f>
      </x:c>
      <x:c r="G375" s="68" t="str">
        <x:f>IFERROR(INDEX('계산도우미'!$G$5:$G$2004,MATCH(ROWS($A$6:A375),'계산도우미'!$L$5:$L$2004,0)),"")</x:f>
      </x:c>
      <x:c r="H375" t="str">
        <x:f>IFERROR(INDEX('계산도우미'!$H$5:$H$2004,MATCH(ROWS($A$6:A375),'계산도우미'!$L$5:$L$2004,0)),"")</x:f>
      </x:c>
      <x:c r="I375" t="str">
        <x:f>IFERROR(INDEX('계산도우미'!$I$5:$I$2004,MATCH(ROWS($A$6:A375),'계산도우미'!$L$5:$L$2004,0)),"")</x:f>
      </x:c>
      <x:c r="J375" t="str">
        <x:f>IFERROR(INDEX('계산도우미'!$J$5:$J$2004,MATCH(ROWS($A$6:A375),'계산도우미'!$L$5:$L$2004,0)),"")</x:f>
      </x:c>
      <x:c r="K375" t="str">
        <x:f>IF(B375="","",IF(I375="확인 필요","붙임 문서 확인 후 거래 성격·기간·상대방·일회성 여부 확인","결의서명과 전기 대비 발생 건수·단가·시점 차이 검토"))</x:f>
      </x:c>
    </x:row>
    <x:row r="376">
      <x:c r="A376" t="str">
        <x:f>IFERROR(INDEX('계산도우미'!$A$5:$A$2004,MATCH(ROWS($A$6:A376),'계산도우미'!$L$5:$L$2004,0)),"")</x:f>
      </x:c>
      <x:c r="B376" t="str">
        <x:f>IFERROR(INDEX('계산도우미'!$B$5:$B$2004,MATCH(ROWS($A$6:A376),'계산도우미'!$L$5:$L$2004,0)),"")</x:f>
      </x:c>
      <x:c r="C376" t="str">
        <x:f>IFERROR(INDEX('계산도우미'!$C$5:$C$2004,MATCH(ROWS($A$6:A376),'계산도우미'!$L$5:$L$2004,0)),"")</x:f>
      </x:c>
      <x:c r="D376" s="67" t="str">
        <x:f>IFERROR(INDEX('계산도우미'!$D$5:$D$2004,MATCH(ROWS($A$6:A376),'계산도우미'!$L$5:$L$2004,0)),"")</x:f>
      </x:c>
      <x:c r="E376" t="str">
        <x:f>IFERROR(INDEX('계산도우미'!$E$5:$E$2004,MATCH(ROWS($A$6:A376),'계산도우미'!$L$5:$L$2004,0)),"")</x:f>
      </x:c>
      <x:c r="F376" t="str">
        <x:f>IFERROR(INDEX('계산도우미'!$F$5:$F$2004,MATCH(ROWS($A$6:A376),'계산도우미'!$L$5:$L$2004,0)),"")</x:f>
      </x:c>
      <x:c r="G376" s="68" t="str">
        <x:f>IFERROR(INDEX('계산도우미'!$G$5:$G$2004,MATCH(ROWS($A$6:A376),'계산도우미'!$L$5:$L$2004,0)),"")</x:f>
      </x:c>
      <x:c r="H376" t="str">
        <x:f>IFERROR(INDEX('계산도우미'!$H$5:$H$2004,MATCH(ROWS($A$6:A376),'계산도우미'!$L$5:$L$2004,0)),"")</x:f>
      </x:c>
      <x:c r="I376" t="str">
        <x:f>IFERROR(INDEX('계산도우미'!$I$5:$I$2004,MATCH(ROWS($A$6:A376),'계산도우미'!$L$5:$L$2004,0)),"")</x:f>
      </x:c>
      <x:c r="J376" t="str">
        <x:f>IFERROR(INDEX('계산도우미'!$J$5:$J$2004,MATCH(ROWS($A$6:A376),'계산도우미'!$L$5:$L$2004,0)),"")</x:f>
      </x:c>
      <x:c r="K376" t="str">
        <x:f>IF(B376="","",IF(I376="확인 필요","붙임 문서 확인 후 거래 성격·기간·상대방·일회성 여부 확인","결의서명과 전기 대비 발생 건수·단가·시점 차이 검토"))</x:f>
      </x:c>
    </x:row>
    <x:row r="377">
      <x:c r="A377" t="str">
        <x:f>IFERROR(INDEX('계산도우미'!$A$5:$A$2004,MATCH(ROWS($A$6:A377),'계산도우미'!$L$5:$L$2004,0)),"")</x:f>
      </x:c>
      <x:c r="B377" t="str">
        <x:f>IFERROR(INDEX('계산도우미'!$B$5:$B$2004,MATCH(ROWS($A$6:A377),'계산도우미'!$L$5:$L$2004,0)),"")</x:f>
      </x:c>
      <x:c r="C377" t="str">
        <x:f>IFERROR(INDEX('계산도우미'!$C$5:$C$2004,MATCH(ROWS($A$6:A377),'계산도우미'!$L$5:$L$2004,0)),"")</x:f>
      </x:c>
      <x:c r="D377" s="67" t="str">
        <x:f>IFERROR(INDEX('계산도우미'!$D$5:$D$2004,MATCH(ROWS($A$6:A377),'계산도우미'!$L$5:$L$2004,0)),"")</x:f>
      </x:c>
      <x:c r="E377" t="str">
        <x:f>IFERROR(INDEX('계산도우미'!$E$5:$E$2004,MATCH(ROWS($A$6:A377),'계산도우미'!$L$5:$L$2004,0)),"")</x:f>
      </x:c>
      <x:c r="F377" t="str">
        <x:f>IFERROR(INDEX('계산도우미'!$F$5:$F$2004,MATCH(ROWS($A$6:A377),'계산도우미'!$L$5:$L$2004,0)),"")</x:f>
      </x:c>
      <x:c r="G377" s="68" t="str">
        <x:f>IFERROR(INDEX('계산도우미'!$G$5:$G$2004,MATCH(ROWS($A$6:A377),'계산도우미'!$L$5:$L$2004,0)),"")</x:f>
      </x:c>
      <x:c r="H377" t="str">
        <x:f>IFERROR(INDEX('계산도우미'!$H$5:$H$2004,MATCH(ROWS($A$6:A377),'계산도우미'!$L$5:$L$2004,0)),"")</x:f>
      </x:c>
      <x:c r="I377" t="str">
        <x:f>IFERROR(INDEX('계산도우미'!$I$5:$I$2004,MATCH(ROWS($A$6:A377),'계산도우미'!$L$5:$L$2004,0)),"")</x:f>
      </x:c>
      <x:c r="J377" t="str">
        <x:f>IFERROR(INDEX('계산도우미'!$J$5:$J$2004,MATCH(ROWS($A$6:A377),'계산도우미'!$L$5:$L$2004,0)),"")</x:f>
      </x:c>
      <x:c r="K377" t="str">
        <x:f>IF(B377="","",IF(I377="확인 필요","붙임 문서 확인 후 거래 성격·기간·상대방·일회성 여부 확인","결의서명과 전기 대비 발생 건수·단가·시점 차이 검토"))</x:f>
      </x:c>
    </x:row>
    <x:row r="378">
      <x:c r="A378" t="str">
        <x:f>IFERROR(INDEX('계산도우미'!$A$5:$A$2004,MATCH(ROWS($A$6:A378),'계산도우미'!$L$5:$L$2004,0)),"")</x:f>
      </x:c>
      <x:c r="B378" t="str">
        <x:f>IFERROR(INDEX('계산도우미'!$B$5:$B$2004,MATCH(ROWS($A$6:A378),'계산도우미'!$L$5:$L$2004,0)),"")</x:f>
      </x:c>
      <x:c r="C378" t="str">
        <x:f>IFERROR(INDEX('계산도우미'!$C$5:$C$2004,MATCH(ROWS($A$6:A378),'계산도우미'!$L$5:$L$2004,0)),"")</x:f>
      </x:c>
      <x:c r="D378" s="67" t="str">
        <x:f>IFERROR(INDEX('계산도우미'!$D$5:$D$2004,MATCH(ROWS($A$6:A378),'계산도우미'!$L$5:$L$2004,0)),"")</x:f>
      </x:c>
      <x:c r="E378" t="str">
        <x:f>IFERROR(INDEX('계산도우미'!$E$5:$E$2004,MATCH(ROWS($A$6:A378),'계산도우미'!$L$5:$L$2004,0)),"")</x:f>
      </x:c>
      <x:c r="F378" t="str">
        <x:f>IFERROR(INDEX('계산도우미'!$F$5:$F$2004,MATCH(ROWS($A$6:A378),'계산도우미'!$L$5:$L$2004,0)),"")</x:f>
      </x:c>
      <x:c r="G378" s="68" t="str">
        <x:f>IFERROR(INDEX('계산도우미'!$G$5:$G$2004,MATCH(ROWS($A$6:A378),'계산도우미'!$L$5:$L$2004,0)),"")</x:f>
      </x:c>
      <x:c r="H378" t="str">
        <x:f>IFERROR(INDEX('계산도우미'!$H$5:$H$2004,MATCH(ROWS($A$6:A378),'계산도우미'!$L$5:$L$2004,0)),"")</x:f>
      </x:c>
      <x:c r="I378" t="str">
        <x:f>IFERROR(INDEX('계산도우미'!$I$5:$I$2004,MATCH(ROWS($A$6:A378),'계산도우미'!$L$5:$L$2004,0)),"")</x:f>
      </x:c>
      <x:c r="J378" t="str">
        <x:f>IFERROR(INDEX('계산도우미'!$J$5:$J$2004,MATCH(ROWS($A$6:A378),'계산도우미'!$L$5:$L$2004,0)),"")</x:f>
      </x:c>
      <x:c r="K378" t="str">
        <x:f>IF(B378="","",IF(I378="확인 필요","붙임 문서 확인 후 거래 성격·기간·상대방·일회성 여부 확인","결의서명과 전기 대비 발생 건수·단가·시점 차이 검토"))</x:f>
      </x:c>
    </x:row>
    <x:row r="379">
      <x:c r="A379" t="str">
        <x:f>IFERROR(INDEX('계산도우미'!$A$5:$A$2004,MATCH(ROWS($A$6:A379),'계산도우미'!$L$5:$L$2004,0)),"")</x:f>
      </x:c>
      <x:c r="B379" t="str">
        <x:f>IFERROR(INDEX('계산도우미'!$B$5:$B$2004,MATCH(ROWS($A$6:A379),'계산도우미'!$L$5:$L$2004,0)),"")</x:f>
      </x:c>
      <x:c r="C379" t="str">
        <x:f>IFERROR(INDEX('계산도우미'!$C$5:$C$2004,MATCH(ROWS($A$6:A379),'계산도우미'!$L$5:$L$2004,0)),"")</x:f>
      </x:c>
      <x:c r="D379" s="67" t="str">
        <x:f>IFERROR(INDEX('계산도우미'!$D$5:$D$2004,MATCH(ROWS($A$6:A379),'계산도우미'!$L$5:$L$2004,0)),"")</x:f>
      </x:c>
      <x:c r="E379" t="str">
        <x:f>IFERROR(INDEX('계산도우미'!$E$5:$E$2004,MATCH(ROWS($A$6:A379),'계산도우미'!$L$5:$L$2004,0)),"")</x:f>
      </x:c>
      <x:c r="F379" t="str">
        <x:f>IFERROR(INDEX('계산도우미'!$F$5:$F$2004,MATCH(ROWS($A$6:A379),'계산도우미'!$L$5:$L$2004,0)),"")</x:f>
      </x:c>
      <x:c r="G379" s="68" t="str">
        <x:f>IFERROR(INDEX('계산도우미'!$G$5:$G$2004,MATCH(ROWS($A$6:A379),'계산도우미'!$L$5:$L$2004,0)),"")</x:f>
      </x:c>
      <x:c r="H379" t="str">
        <x:f>IFERROR(INDEX('계산도우미'!$H$5:$H$2004,MATCH(ROWS($A$6:A379),'계산도우미'!$L$5:$L$2004,0)),"")</x:f>
      </x:c>
      <x:c r="I379" t="str">
        <x:f>IFERROR(INDEX('계산도우미'!$I$5:$I$2004,MATCH(ROWS($A$6:A379),'계산도우미'!$L$5:$L$2004,0)),"")</x:f>
      </x:c>
      <x:c r="J379" t="str">
        <x:f>IFERROR(INDEX('계산도우미'!$J$5:$J$2004,MATCH(ROWS($A$6:A379),'계산도우미'!$L$5:$L$2004,0)),"")</x:f>
      </x:c>
      <x:c r="K379" t="str">
        <x:f>IF(B379="","",IF(I379="확인 필요","붙임 문서 확인 후 거래 성격·기간·상대방·일회성 여부 확인","결의서명과 전기 대비 발생 건수·단가·시점 차이 검토"))</x:f>
      </x:c>
    </x:row>
    <x:row r="380">
      <x:c r="A380" t="str">
        <x:f>IFERROR(INDEX('계산도우미'!$A$5:$A$2004,MATCH(ROWS($A$6:A380),'계산도우미'!$L$5:$L$2004,0)),"")</x:f>
      </x:c>
      <x:c r="B380" t="str">
        <x:f>IFERROR(INDEX('계산도우미'!$B$5:$B$2004,MATCH(ROWS($A$6:A380),'계산도우미'!$L$5:$L$2004,0)),"")</x:f>
      </x:c>
      <x:c r="C380" t="str">
        <x:f>IFERROR(INDEX('계산도우미'!$C$5:$C$2004,MATCH(ROWS($A$6:A380),'계산도우미'!$L$5:$L$2004,0)),"")</x:f>
      </x:c>
      <x:c r="D380" s="67" t="str">
        <x:f>IFERROR(INDEX('계산도우미'!$D$5:$D$2004,MATCH(ROWS($A$6:A380),'계산도우미'!$L$5:$L$2004,0)),"")</x:f>
      </x:c>
      <x:c r="E380" t="str">
        <x:f>IFERROR(INDEX('계산도우미'!$E$5:$E$2004,MATCH(ROWS($A$6:A380),'계산도우미'!$L$5:$L$2004,0)),"")</x:f>
      </x:c>
      <x:c r="F380" t="str">
        <x:f>IFERROR(INDEX('계산도우미'!$F$5:$F$2004,MATCH(ROWS($A$6:A380),'계산도우미'!$L$5:$L$2004,0)),"")</x:f>
      </x:c>
      <x:c r="G380" s="68" t="str">
        <x:f>IFERROR(INDEX('계산도우미'!$G$5:$G$2004,MATCH(ROWS($A$6:A380),'계산도우미'!$L$5:$L$2004,0)),"")</x:f>
      </x:c>
      <x:c r="H380" t="str">
        <x:f>IFERROR(INDEX('계산도우미'!$H$5:$H$2004,MATCH(ROWS($A$6:A380),'계산도우미'!$L$5:$L$2004,0)),"")</x:f>
      </x:c>
      <x:c r="I380" t="str">
        <x:f>IFERROR(INDEX('계산도우미'!$I$5:$I$2004,MATCH(ROWS($A$6:A380),'계산도우미'!$L$5:$L$2004,0)),"")</x:f>
      </x:c>
      <x:c r="J380" t="str">
        <x:f>IFERROR(INDEX('계산도우미'!$J$5:$J$2004,MATCH(ROWS($A$6:A380),'계산도우미'!$L$5:$L$2004,0)),"")</x:f>
      </x:c>
      <x:c r="K380" t="str">
        <x:f>IF(B380="","",IF(I380="확인 필요","붙임 문서 확인 후 거래 성격·기간·상대방·일회성 여부 확인","결의서명과 전기 대비 발생 건수·단가·시점 차이 검토"))</x:f>
      </x:c>
    </x:row>
    <x:row r="381">
      <x:c r="A381" t="str">
        <x:f>IFERROR(INDEX('계산도우미'!$A$5:$A$2004,MATCH(ROWS($A$6:A381),'계산도우미'!$L$5:$L$2004,0)),"")</x:f>
      </x:c>
      <x:c r="B381" t="str">
        <x:f>IFERROR(INDEX('계산도우미'!$B$5:$B$2004,MATCH(ROWS($A$6:A381),'계산도우미'!$L$5:$L$2004,0)),"")</x:f>
      </x:c>
      <x:c r="C381" t="str">
        <x:f>IFERROR(INDEX('계산도우미'!$C$5:$C$2004,MATCH(ROWS($A$6:A381),'계산도우미'!$L$5:$L$2004,0)),"")</x:f>
      </x:c>
      <x:c r="D381" s="67" t="str">
        <x:f>IFERROR(INDEX('계산도우미'!$D$5:$D$2004,MATCH(ROWS($A$6:A381),'계산도우미'!$L$5:$L$2004,0)),"")</x:f>
      </x:c>
      <x:c r="E381" t="str">
        <x:f>IFERROR(INDEX('계산도우미'!$E$5:$E$2004,MATCH(ROWS($A$6:A381),'계산도우미'!$L$5:$L$2004,0)),"")</x:f>
      </x:c>
      <x:c r="F381" t="str">
        <x:f>IFERROR(INDEX('계산도우미'!$F$5:$F$2004,MATCH(ROWS($A$6:A381),'계산도우미'!$L$5:$L$2004,0)),"")</x:f>
      </x:c>
      <x:c r="G381" s="68" t="str">
        <x:f>IFERROR(INDEX('계산도우미'!$G$5:$G$2004,MATCH(ROWS($A$6:A381),'계산도우미'!$L$5:$L$2004,0)),"")</x:f>
      </x:c>
      <x:c r="H381" t="str">
        <x:f>IFERROR(INDEX('계산도우미'!$H$5:$H$2004,MATCH(ROWS($A$6:A381),'계산도우미'!$L$5:$L$2004,0)),"")</x:f>
      </x:c>
      <x:c r="I381" t="str">
        <x:f>IFERROR(INDEX('계산도우미'!$I$5:$I$2004,MATCH(ROWS($A$6:A381),'계산도우미'!$L$5:$L$2004,0)),"")</x:f>
      </x:c>
      <x:c r="J381" t="str">
        <x:f>IFERROR(INDEX('계산도우미'!$J$5:$J$2004,MATCH(ROWS($A$6:A381),'계산도우미'!$L$5:$L$2004,0)),"")</x:f>
      </x:c>
      <x:c r="K381" t="str">
        <x:f>IF(B381="","",IF(I381="확인 필요","붙임 문서 확인 후 거래 성격·기간·상대방·일회성 여부 확인","결의서명과 전기 대비 발생 건수·단가·시점 차이 검토"))</x:f>
      </x:c>
    </x:row>
    <x:row r="382">
      <x:c r="A382" t="str">
        <x:f>IFERROR(INDEX('계산도우미'!$A$5:$A$2004,MATCH(ROWS($A$6:A382),'계산도우미'!$L$5:$L$2004,0)),"")</x:f>
      </x:c>
      <x:c r="B382" t="str">
        <x:f>IFERROR(INDEX('계산도우미'!$B$5:$B$2004,MATCH(ROWS($A$6:A382),'계산도우미'!$L$5:$L$2004,0)),"")</x:f>
      </x:c>
      <x:c r="C382" t="str">
        <x:f>IFERROR(INDEX('계산도우미'!$C$5:$C$2004,MATCH(ROWS($A$6:A382),'계산도우미'!$L$5:$L$2004,0)),"")</x:f>
      </x:c>
      <x:c r="D382" s="67" t="str">
        <x:f>IFERROR(INDEX('계산도우미'!$D$5:$D$2004,MATCH(ROWS($A$6:A382),'계산도우미'!$L$5:$L$2004,0)),"")</x:f>
      </x:c>
      <x:c r="E382" t="str">
        <x:f>IFERROR(INDEX('계산도우미'!$E$5:$E$2004,MATCH(ROWS($A$6:A382),'계산도우미'!$L$5:$L$2004,0)),"")</x:f>
      </x:c>
      <x:c r="F382" t="str">
        <x:f>IFERROR(INDEX('계산도우미'!$F$5:$F$2004,MATCH(ROWS($A$6:A382),'계산도우미'!$L$5:$L$2004,0)),"")</x:f>
      </x:c>
      <x:c r="G382" s="68" t="str">
        <x:f>IFERROR(INDEX('계산도우미'!$G$5:$G$2004,MATCH(ROWS($A$6:A382),'계산도우미'!$L$5:$L$2004,0)),"")</x:f>
      </x:c>
      <x:c r="H382" t="str">
        <x:f>IFERROR(INDEX('계산도우미'!$H$5:$H$2004,MATCH(ROWS($A$6:A382),'계산도우미'!$L$5:$L$2004,0)),"")</x:f>
      </x:c>
      <x:c r="I382" t="str">
        <x:f>IFERROR(INDEX('계산도우미'!$I$5:$I$2004,MATCH(ROWS($A$6:A382),'계산도우미'!$L$5:$L$2004,0)),"")</x:f>
      </x:c>
      <x:c r="J382" t="str">
        <x:f>IFERROR(INDEX('계산도우미'!$J$5:$J$2004,MATCH(ROWS($A$6:A382),'계산도우미'!$L$5:$L$2004,0)),"")</x:f>
      </x:c>
      <x:c r="K382" t="str">
        <x:f>IF(B382="","",IF(I382="확인 필요","붙임 문서 확인 후 거래 성격·기간·상대방·일회성 여부 확인","결의서명과 전기 대비 발생 건수·단가·시점 차이 검토"))</x:f>
      </x:c>
    </x:row>
    <x:row r="383">
      <x:c r="A383" t="str">
        <x:f>IFERROR(INDEX('계산도우미'!$A$5:$A$2004,MATCH(ROWS($A$6:A383),'계산도우미'!$L$5:$L$2004,0)),"")</x:f>
      </x:c>
      <x:c r="B383" t="str">
        <x:f>IFERROR(INDEX('계산도우미'!$B$5:$B$2004,MATCH(ROWS($A$6:A383),'계산도우미'!$L$5:$L$2004,0)),"")</x:f>
      </x:c>
      <x:c r="C383" t="str">
        <x:f>IFERROR(INDEX('계산도우미'!$C$5:$C$2004,MATCH(ROWS($A$6:A383),'계산도우미'!$L$5:$L$2004,0)),"")</x:f>
      </x:c>
      <x:c r="D383" s="67" t="str">
        <x:f>IFERROR(INDEX('계산도우미'!$D$5:$D$2004,MATCH(ROWS($A$6:A383),'계산도우미'!$L$5:$L$2004,0)),"")</x:f>
      </x:c>
      <x:c r="E383" t="str">
        <x:f>IFERROR(INDEX('계산도우미'!$E$5:$E$2004,MATCH(ROWS($A$6:A383),'계산도우미'!$L$5:$L$2004,0)),"")</x:f>
      </x:c>
      <x:c r="F383" t="str">
        <x:f>IFERROR(INDEX('계산도우미'!$F$5:$F$2004,MATCH(ROWS($A$6:A383),'계산도우미'!$L$5:$L$2004,0)),"")</x:f>
      </x:c>
      <x:c r="G383" s="68" t="str">
        <x:f>IFERROR(INDEX('계산도우미'!$G$5:$G$2004,MATCH(ROWS($A$6:A383),'계산도우미'!$L$5:$L$2004,0)),"")</x:f>
      </x:c>
      <x:c r="H383" t="str">
        <x:f>IFERROR(INDEX('계산도우미'!$H$5:$H$2004,MATCH(ROWS($A$6:A383),'계산도우미'!$L$5:$L$2004,0)),"")</x:f>
      </x:c>
      <x:c r="I383" t="str">
        <x:f>IFERROR(INDEX('계산도우미'!$I$5:$I$2004,MATCH(ROWS($A$6:A383),'계산도우미'!$L$5:$L$2004,0)),"")</x:f>
      </x:c>
      <x:c r="J383" t="str">
        <x:f>IFERROR(INDEX('계산도우미'!$J$5:$J$2004,MATCH(ROWS($A$6:A383),'계산도우미'!$L$5:$L$2004,0)),"")</x:f>
      </x:c>
      <x:c r="K383" t="str">
        <x:f>IF(B383="","",IF(I383="확인 필요","붙임 문서 확인 후 거래 성격·기간·상대방·일회성 여부 확인","결의서명과 전기 대비 발생 건수·단가·시점 차이 검토"))</x:f>
      </x:c>
    </x:row>
    <x:row r="384">
      <x:c r="A384" t="str">
        <x:f>IFERROR(INDEX('계산도우미'!$A$5:$A$2004,MATCH(ROWS($A$6:A384),'계산도우미'!$L$5:$L$2004,0)),"")</x:f>
      </x:c>
      <x:c r="B384" t="str">
        <x:f>IFERROR(INDEX('계산도우미'!$B$5:$B$2004,MATCH(ROWS($A$6:A384),'계산도우미'!$L$5:$L$2004,0)),"")</x:f>
      </x:c>
      <x:c r="C384" t="str">
        <x:f>IFERROR(INDEX('계산도우미'!$C$5:$C$2004,MATCH(ROWS($A$6:A384),'계산도우미'!$L$5:$L$2004,0)),"")</x:f>
      </x:c>
      <x:c r="D384" s="67" t="str">
        <x:f>IFERROR(INDEX('계산도우미'!$D$5:$D$2004,MATCH(ROWS($A$6:A384),'계산도우미'!$L$5:$L$2004,0)),"")</x:f>
      </x:c>
      <x:c r="E384" t="str">
        <x:f>IFERROR(INDEX('계산도우미'!$E$5:$E$2004,MATCH(ROWS($A$6:A384),'계산도우미'!$L$5:$L$2004,0)),"")</x:f>
      </x:c>
      <x:c r="F384" t="str">
        <x:f>IFERROR(INDEX('계산도우미'!$F$5:$F$2004,MATCH(ROWS($A$6:A384),'계산도우미'!$L$5:$L$2004,0)),"")</x:f>
      </x:c>
      <x:c r="G384" s="68" t="str">
        <x:f>IFERROR(INDEX('계산도우미'!$G$5:$G$2004,MATCH(ROWS($A$6:A384),'계산도우미'!$L$5:$L$2004,0)),"")</x:f>
      </x:c>
      <x:c r="H384" t="str">
        <x:f>IFERROR(INDEX('계산도우미'!$H$5:$H$2004,MATCH(ROWS($A$6:A384),'계산도우미'!$L$5:$L$2004,0)),"")</x:f>
      </x:c>
      <x:c r="I384" t="str">
        <x:f>IFERROR(INDEX('계산도우미'!$I$5:$I$2004,MATCH(ROWS($A$6:A384),'계산도우미'!$L$5:$L$2004,0)),"")</x:f>
      </x:c>
      <x:c r="J384" t="str">
        <x:f>IFERROR(INDEX('계산도우미'!$J$5:$J$2004,MATCH(ROWS($A$6:A384),'계산도우미'!$L$5:$L$2004,0)),"")</x:f>
      </x:c>
      <x:c r="K384" t="str">
        <x:f>IF(B384="","",IF(I384="확인 필요","붙임 문서 확인 후 거래 성격·기간·상대방·일회성 여부 확인","결의서명과 전기 대비 발생 건수·단가·시점 차이 검토"))</x:f>
      </x:c>
    </x:row>
    <x:row r="385">
      <x:c r="A385" t="str">
        <x:f>IFERROR(INDEX('계산도우미'!$A$5:$A$2004,MATCH(ROWS($A$6:A385),'계산도우미'!$L$5:$L$2004,0)),"")</x:f>
      </x:c>
      <x:c r="B385" t="str">
        <x:f>IFERROR(INDEX('계산도우미'!$B$5:$B$2004,MATCH(ROWS($A$6:A385),'계산도우미'!$L$5:$L$2004,0)),"")</x:f>
      </x:c>
      <x:c r="C385" t="str">
        <x:f>IFERROR(INDEX('계산도우미'!$C$5:$C$2004,MATCH(ROWS($A$6:A385),'계산도우미'!$L$5:$L$2004,0)),"")</x:f>
      </x:c>
      <x:c r="D385" s="67" t="str">
        <x:f>IFERROR(INDEX('계산도우미'!$D$5:$D$2004,MATCH(ROWS($A$6:A385),'계산도우미'!$L$5:$L$2004,0)),"")</x:f>
      </x:c>
      <x:c r="E385" t="str">
        <x:f>IFERROR(INDEX('계산도우미'!$E$5:$E$2004,MATCH(ROWS($A$6:A385),'계산도우미'!$L$5:$L$2004,0)),"")</x:f>
      </x:c>
      <x:c r="F385" t="str">
        <x:f>IFERROR(INDEX('계산도우미'!$F$5:$F$2004,MATCH(ROWS($A$6:A385),'계산도우미'!$L$5:$L$2004,0)),"")</x:f>
      </x:c>
      <x:c r="G385" s="68" t="str">
        <x:f>IFERROR(INDEX('계산도우미'!$G$5:$G$2004,MATCH(ROWS($A$6:A385),'계산도우미'!$L$5:$L$2004,0)),"")</x:f>
      </x:c>
      <x:c r="H385" t="str">
        <x:f>IFERROR(INDEX('계산도우미'!$H$5:$H$2004,MATCH(ROWS($A$6:A385),'계산도우미'!$L$5:$L$2004,0)),"")</x:f>
      </x:c>
      <x:c r="I385" t="str">
        <x:f>IFERROR(INDEX('계산도우미'!$I$5:$I$2004,MATCH(ROWS($A$6:A385),'계산도우미'!$L$5:$L$2004,0)),"")</x:f>
      </x:c>
      <x:c r="J385" t="str">
        <x:f>IFERROR(INDEX('계산도우미'!$J$5:$J$2004,MATCH(ROWS($A$6:A385),'계산도우미'!$L$5:$L$2004,0)),"")</x:f>
      </x:c>
      <x:c r="K385" t="str">
        <x:f>IF(B385="","",IF(I385="확인 필요","붙임 문서 확인 후 거래 성격·기간·상대방·일회성 여부 확인","결의서명과 전기 대비 발생 건수·단가·시점 차이 검토"))</x:f>
      </x:c>
    </x:row>
    <x:row r="386">
      <x:c r="A386" t="str">
        <x:f>IFERROR(INDEX('계산도우미'!$A$5:$A$2004,MATCH(ROWS($A$6:A386),'계산도우미'!$L$5:$L$2004,0)),"")</x:f>
      </x:c>
      <x:c r="B386" t="str">
        <x:f>IFERROR(INDEX('계산도우미'!$B$5:$B$2004,MATCH(ROWS($A$6:A386),'계산도우미'!$L$5:$L$2004,0)),"")</x:f>
      </x:c>
      <x:c r="C386" t="str">
        <x:f>IFERROR(INDEX('계산도우미'!$C$5:$C$2004,MATCH(ROWS($A$6:A386),'계산도우미'!$L$5:$L$2004,0)),"")</x:f>
      </x:c>
      <x:c r="D386" s="67" t="str">
        <x:f>IFERROR(INDEX('계산도우미'!$D$5:$D$2004,MATCH(ROWS($A$6:A386),'계산도우미'!$L$5:$L$2004,0)),"")</x:f>
      </x:c>
      <x:c r="E386" t="str">
        <x:f>IFERROR(INDEX('계산도우미'!$E$5:$E$2004,MATCH(ROWS($A$6:A386),'계산도우미'!$L$5:$L$2004,0)),"")</x:f>
      </x:c>
      <x:c r="F386" t="str">
        <x:f>IFERROR(INDEX('계산도우미'!$F$5:$F$2004,MATCH(ROWS($A$6:A386),'계산도우미'!$L$5:$L$2004,0)),"")</x:f>
      </x:c>
      <x:c r="G386" s="68" t="str">
        <x:f>IFERROR(INDEX('계산도우미'!$G$5:$G$2004,MATCH(ROWS($A$6:A386),'계산도우미'!$L$5:$L$2004,0)),"")</x:f>
      </x:c>
      <x:c r="H386" t="str">
        <x:f>IFERROR(INDEX('계산도우미'!$H$5:$H$2004,MATCH(ROWS($A$6:A386),'계산도우미'!$L$5:$L$2004,0)),"")</x:f>
      </x:c>
      <x:c r="I386" t="str">
        <x:f>IFERROR(INDEX('계산도우미'!$I$5:$I$2004,MATCH(ROWS($A$6:A386),'계산도우미'!$L$5:$L$2004,0)),"")</x:f>
      </x:c>
      <x:c r="J386" t="str">
        <x:f>IFERROR(INDEX('계산도우미'!$J$5:$J$2004,MATCH(ROWS($A$6:A386),'계산도우미'!$L$5:$L$2004,0)),"")</x:f>
      </x:c>
      <x:c r="K386" t="str">
        <x:f>IF(B386="","",IF(I386="확인 필요","붙임 문서 확인 후 거래 성격·기간·상대방·일회성 여부 확인","결의서명과 전기 대비 발생 건수·단가·시점 차이 검토"))</x:f>
      </x:c>
    </x:row>
    <x:row r="387">
      <x:c r="A387" t="str">
        <x:f>IFERROR(INDEX('계산도우미'!$A$5:$A$2004,MATCH(ROWS($A$6:A387),'계산도우미'!$L$5:$L$2004,0)),"")</x:f>
      </x:c>
      <x:c r="B387" t="str">
        <x:f>IFERROR(INDEX('계산도우미'!$B$5:$B$2004,MATCH(ROWS($A$6:A387),'계산도우미'!$L$5:$L$2004,0)),"")</x:f>
      </x:c>
      <x:c r="C387" t="str">
        <x:f>IFERROR(INDEX('계산도우미'!$C$5:$C$2004,MATCH(ROWS($A$6:A387),'계산도우미'!$L$5:$L$2004,0)),"")</x:f>
      </x:c>
      <x:c r="D387" s="67" t="str">
        <x:f>IFERROR(INDEX('계산도우미'!$D$5:$D$2004,MATCH(ROWS($A$6:A387),'계산도우미'!$L$5:$L$2004,0)),"")</x:f>
      </x:c>
      <x:c r="E387" t="str">
        <x:f>IFERROR(INDEX('계산도우미'!$E$5:$E$2004,MATCH(ROWS($A$6:A387),'계산도우미'!$L$5:$L$2004,0)),"")</x:f>
      </x:c>
      <x:c r="F387" t="str">
        <x:f>IFERROR(INDEX('계산도우미'!$F$5:$F$2004,MATCH(ROWS($A$6:A387),'계산도우미'!$L$5:$L$2004,0)),"")</x:f>
      </x:c>
      <x:c r="G387" s="68" t="str">
        <x:f>IFERROR(INDEX('계산도우미'!$G$5:$G$2004,MATCH(ROWS($A$6:A387),'계산도우미'!$L$5:$L$2004,0)),"")</x:f>
      </x:c>
      <x:c r="H387" t="str">
        <x:f>IFERROR(INDEX('계산도우미'!$H$5:$H$2004,MATCH(ROWS($A$6:A387),'계산도우미'!$L$5:$L$2004,0)),"")</x:f>
      </x:c>
      <x:c r="I387" t="str">
        <x:f>IFERROR(INDEX('계산도우미'!$I$5:$I$2004,MATCH(ROWS($A$6:A387),'계산도우미'!$L$5:$L$2004,0)),"")</x:f>
      </x:c>
      <x:c r="J387" t="str">
        <x:f>IFERROR(INDEX('계산도우미'!$J$5:$J$2004,MATCH(ROWS($A$6:A387),'계산도우미'!$L$5:$L$2004,0)),"")</x:f>
      </x:c>
      <x:c r="K387" t="str">
        <x:f>IF(B387="","",IF(I387="확인 필요","붙임 문서 확인 후 거래 성격·기간·상대방·일회성 여부 확인","결의서명과 전기 대비 발생 건수·단가·시점 차이 검토"))</x:f>
      </x:c>
    </x:row>
    <x:row r="388">
      <x:c r="A388" t="str">
        <x:f>IFERROR(INDEX('계산도우미'!$A$5:$A$2004,MATCH(ROWS($A$6:A388),'계산도우미'!$L$5:$L$2004,0)),"")</x:f>
      </x:c>
      <x:c r="B388" t="str">
        <x:f>IFERROR(INDEX('계산도우미'!$B$5:$B$2004,MATCH(ROWS($A$6:A388),'계산도우미'!$L$5:$L$2004,0)),"")</x:f>
      </x:c>
      <x:c r="C388" t="str">
        <x:f>IFERROR(INDEX('계산도우미'!$C$5:$C$2004,MATCH(ROWS($A$6:A388),'계산도우미'!$L$5:$L$2004,0)),"")</x:f>
      </x:c>
      <x:c r="D388" s="67" t="str">
        <x:f>IFERROR(INDEX('계산도우미'!$D$5:$D$2004,MATCH(ROWS($A$6:A388),'계산도우미'!$L$5:$L$2004,0)),"")</x:f>
      </x:c>
      <x:c r="E388" t="str">
        <x:f>IFERROR(INDEX('계산도우미'!$E$5:$E$2004,MATCH(ROWS($A$6:A388),'계산도우미'!$L$5:$L$2004,0)),"")</x:f>
      </x:c>
      <x:c r="F388" t="str">
        <x:f>IFERROR(INDEX('계산도우미'!$F$5:$F$2004,MATCH(ROWS($A$6:A388),'계산도우미'!$L$5:$L$2004,0)),"")</x:f>
      </x:c>
      <x:c r="G388" s="68" t="str">
        <x:f>IFERROR(INDEX('계산도우미'!$G$5:$G$2004,MATCH(ROWS($A$6:A388),'계산도우미'!$L$5:$L$2004,0)),"")</x:f>
      </x:c>
      <x:c r="H388" t="str">
        <x:f>IFERROR(INDEX('계산도우미'!$H$5:$H$2004,MATCH(ROWS($A$6:A388),'계산도우미'!$L$5:$L$2004,0)),"")</x:f>
      </x:c>
      <x:c r="I388" t="str">
        <x:f>IFERROR(INDEX('계산도우미'!$I$5:$I$2004,MATCH(ROWS($A$6:A388),'계산도우미'!$L$5:$L$2004,0)),"")</x:f>
      </x:c>
      <x:c r="J388" t="str">
        <x:f>IFERROR(INDEX('계산도우미'!$J$5:$J$2004,MATCH(ROWS($A$6:A388),'계산도우미'!$L$5:$L$2004,0)),"")</x:f>
      </x:c>
      <x:c r="K388" t="str">
        <x:f>IF(B388="","",IF(I388="확인 필요","붙임 문서 확인 후 거래 성격·기간·상대방·일회성 여부 확인","결의서명과 전기 대비 발생 건수·단가·시점 차이 검토"))</x:f>
      </x:c>
    </x:row>
    <x:row r="389">
      <x:c r="A389" t="str">
        <x:f>IFERROR(INDEX('계산도우미'!$A$5:$A$2004,MATCH(ROWS($A$6:A389),'계산도우미'!$L$5:$L$2004,0)),"")</x:f>
      </x:c>
      <x:c r="B389" t="str">
        <x:f>IFERROR(INDEX('계산도우미'!$B$5:$B$2004,MATCH(ROWS($A$6:A389),'계산도우미'!$L$5:$L$2004,0)),"")</x:f>
      </x:c>
      <x:c r="C389" t="str">
        <x:f>IFERROR(INDEX('계산도우미'!$C$5:$C$2004,MATCH(ROWS($A$6:A389),'계산도우미'!$L$5:$L$2004,0)),"")</x:f>
      </x:c>
      <x:c r="D389" s="67" t="str">
        <x:f>IFERROR(INDEX('계산도우미'!$D$5:$D$2004,MATCH(ROWS($A$6:A389),'계산도우미'!$L$5:$L$2004,0)),"")</x:f>
      </x:c>
      <x:c r="E389" t="str">
        <x:f>IFERROR(INDEX('계산도우미'!$E$5:$E$2004,MATCH(ROWS($A$6:A389),'계산도우미'!$L$5:$L$2004,0)),"")</x:f>
      </x:c>
      <x:c r="F389" t="str">
        <x:f>IFERROR(INDEX('계산도우미'!$F$5:$F$2004,MATCH(ROWS($A$6:A389),'계산도우미'!$L$5:$L$2004,0)),"")</x:f>
      </x:c>
      <x:c r="G389" s="68" t="str">
        <x:f>IFERROR(INDEX('계산도우미'!$G$5:$G$2004,MATCH(ROWS($A$6:A389),'계산도우미'!$L$5:$L$2004,0)),"")</x:f>
      </x:c>
      <x:c r="H389" t="str">
        <x:f>IFERROR(INDEX('계산도우미'!$H$5:$H$2004,MATCH(ROWS($A$6:A389),'계산도우미'!$L$5:$L$2004,0)),"")</x:f>
      </x:c>
      <x:c r="I389" t="str">
        <x:f>IFERROR(INDEX('계산도우미'!$I$5:$I$2004,MATCH(ROWS($A$6:A389),'계산도우미'!$L$5:$L$2004,0)),"")</x:f>
      </x:c>
      <x:c r="J389" t="str">
        <x:f>IFERROR(INDEX('계산도우미'!$J$5:$J$2004,MATCH(ROWS($A$6:A389),'계산도우미'!$L$5:$L$2004,0)),"")</x:f>
      </x:c>
      <x:c r="K389" t="str">
        <x:f>IF(B389="","",IF(I389="확인 필요","붙임 문서 확인 후 거래 성격·기간·상대방·일회성 여부 확인","결의서명과 전기 대비 발생 건수·단가·시점 차이 검토"))</x:f>
      </x:c>
    </x:row>
    <x:row r="390">
      <x:c r="A390" t="str">
        <x:f>IFERROR(INDEX('계산도우미'!$A$5:$A$2004,MATCH(ROWS($A$6:A390),'계산도우미'!$L$5:$L$2004,0)),"")</x:f>
      </x:c>
      <x:c r="B390" t="str">
        <x:f>IFERROR(INDEX('계산도우미'!$B$5:$B$2004,MATCH(ROWS($A$6:A390),'계산도우미'!$L$5:$L$2004,0)),"")</x:f>
      </x:c>
      <x:c r="C390" t="str">
        <x:f>IFERROR(INDEX('계산도우미'!$C$5:$C$2004,MATCH(ROWS($A$6:A390),'계산도우미'!$L$5:$L$2004,0)),"")</x:f>
      </x:c>
      <x:c r="D390" s="67" t="str">
        <x:f>IFERROR(INDEX('계산도우미'!$D$5:$D$2004,MATCH(ROWS($A$6:A390),'계산도우미'!$L$5:$L$2004,0)),"")</x:f>
      </x:c>
      <x:c r="E390" t="str">
        <x:f>IFERROR(INDEX('계산도우미'!$E$5:$E$2004,MATCH(ROWS($A$6:A390),'계산도우미'!$L$5:$L$2004,0)),"")</x:f>
      </x:c>
      <x:c r="F390" t="str">
        <x:f>IFERROR(INDEX('계산도우미'!$F$5:$F$2004,MATCH(ROWS($A$6:A390),'계산도우미'!$L$5:$L$2004,0)),"")</x:f>
      </x:c>
      <x:c r="G390" s="68" t="str">
        <x:f>IFERROR(INDEX('계산도우미'!$G$5:$G$2004,MATCH(ROWS($A$6:A390),'계산도우미'!$L$5:$L$2004,0)),"")</x:f>
      </x:c>
      <x:c r="H390" t="str">
        <x:f>IFERROR(INDEX('계산도우미'!$H$5:$H$2004,MATCH(ROWS($A$6:A390),'계산도우미'!$L$5:$L$2004,0)),"")</x:f>
      </x:c>
      <x:c r="I390" t="str">
        <x:f>IFERROR(INDEX('계산도우미'!$I$5:$I$2004,MATCH(ROWS($A$6:A390),'계산도우미'!$L$5:$L$2004,0)),"")</x:f>
      </x:c>
      <x:c r="J390" t="str">
        <x:f>IFERROR(INDEX('계산도우미'!$J$5:$J$2004,MATCH(ROWS($A$6:A390),'계산도우미'!$L$5:$L$2004,0)),"")</x:f>
      </x:c>
      <x:c r="K390" t="str">
        <x:f>IF(B390="","",IF(I390="확인 필요","붙임 문서 확인 후 거래 성격·기간·상대방·일회성 여부 확인","결의서명과 전기 대비 발생 건수·단가·시점 차이 검토"))</x:f>
      </x:c>
    </x:row>
    <x:row r="391">
      <x:c r="A391" t="str">
        <x:f>IFERROR(INDEX('계산도우미'!$A$5:$A$2004,MATCH(ROWS($A$6:A391),'계산도우미'!$L$5:$L$2004,0)),"")</x:f>
      </x:c>
      <x:c r="B391" t="str">
        <x:f>IFERROR(INDEX('계산도우미'!$B$5:$B$2004,MATCH(ROWS($A$6:A391),'계산도우미'!$L$5:$L$2004,0)),"")</x:f>
      </x:c>
      <x:c r="C391" t="str">
        <x:f>IFERROR(INDEX('계산도우미'!$C$5:$C$2004,MATCH(ROWS($A$6:A391),'계산도우미'!$L$5:$L$2004,0)),"")</x:f>
      </x:c>
      <x:c r="D391" s="67" t="str">
        <x:f>IFERROR(INDEX('계산도우미'!$D$5:$D$2004,MATCH(ROWS($A$6:A391),'계산도우미'!$L$5:$L$2004,0)),"")</x:f>
      </x:c>
      <x:c r="E391" t="str">
        <x:f>IFERROR(INDEX('계산도우미'!$E$5:$E$2004,MATCH(ROWS($A$6:A391),'계산도우미'!$L$5:$L$2004,0)),"")</x:f>
      </x:c>
      <x:c r="F391" t="str">
        <x:f>IFERROR(INDEX('계산도우미'!$F$5:$F$2004,MATCH(ROWS($A$6:A391),'계산도우미'!$L$5:$L$2004,0)),"")</x:f>
      </x:c>
      <x:c r="G391" s="68" t="str">
        <x:f>IFERROR(INDEX('계산도우미'!$G$5:$G$2004,MATCH(ROWS($A$6:A391),'계산도우미'!$L$5:$L$2004,0)),"")</x:f>
      </x:c>
      <x:c r="H391" t="str">
        <x:f>IFERROR(INDEX('계산도우미'!$H$5:$H$2004,MATCH(ROWS($A$6:A391),'계산도우미'!$L$5:$L$2004,0)),"")</x:f>
      </x:c>
      <x:c r="I391" t="str">
        <x:f>IFERROR(INDEX('계산도우미'!$I$5:$I$2004,MATCH(ROWS($A$6:A391),'계산도우미'!$L$5:$L$2004,0)),"")</x:f>
      </x:c>
      <x:c r="J391" t="str">
        <x:f>IFERROR(INDEX('계산도우미'!$J$5:$J$2004,MATCH(ROWS($A$6:A391),'계산도우미'!$L$5:$L$2004,0)),"")</x:f>
      </x:c>
      <x:c r="K391" t="str">
        <x:f>IF(B391="","",IF(I391="확인 필요","붙임 문서 확인 후 거래 성격·기간·상대방·일회성 여부 확인","결의서명과 전기 대비 발생 건수·단가·시점 차이 검토"))</x:f>
      </x:c>
    </x:row>
    <x:row r="392">
      <x:c r="A392" t="str">
        <x:f>IFERROR(INDEX('계산도우미'!$A$5:$A$2004,MATCH(ROWS($A$6:A392),'계산도우미'!$L$5:$L$2004,0)),"")</x:f>
      </x:c>
      <x:c r="B392" t="str">
        <x:f>IFERROR(INDEX('계산도우미'!$B$5:$B$2004,MATCH(ROWS($A$6:A392),'계산도우미'!$L$5:$L$2004,0)),"")</x:f>
      </x:c>
      <x:c r="C392" t="str">
        <x:f>IFERROR(INDEX('계산도우미'!$C$5:$C$2004,MATCH(ROWS($A$6:A392),'계산도우미'!$L$5:$L$2004,0)),"")</x:f>
      </x:c>
      <x:c r="D392" s="67" t="str">
        <x:f>IFERROR(INDEX('계산도우미'!$D$5:$D$2004,MATCH(ROWS($A$6:A392),'계산도우미'!$L$5:$L$2004,0)),"")</x:f>
      </x:c>
      <x:c r="E392" t="str">
        <x:f>IFERROR(INDEX('계산도우미'!$E$5:$E$2004,MATCH(ROWS($A$6:A392),'계산도우미'!$L$5:$L$2004,0)),"")</x:f>
      </x:c>
      <x:c r="F392" t="str">
        <x:f>IFERROR(INDEX('계산도우미'!$F$5:$F$2004,MATCH(ROWS($A$6:A392),'계산도우미'!$L$5:$L$2004,0)),"")</x:f>
      </x:c>
      <x:c r="G392" s="68" t="str">
        <x:f>IFERROR(INDEX('계산도우미'!$G$5:$G$2004,MATCH(ROWS($A$6:A392),'계산도우미'!$L$5:$L$2004,0)),"")</x:f>
      </x:c>
      <x:c r="H392" t="str">
        <x:f>IFERROR(INDEX('계산도우미'!$H$5:$H$2004,MATCH(ROWS($A$6:A392),'계산도우미'!$L$5:$L$2004,0)),"")</x:f>
      </x:c>
      <x:c r="I392" t="str">
        <x:f>IFERROR(INDEX('계산도우미'!$I$5:$I$2004,MATCH(ROWS($A$6:A392),'계산도우미'!$L$5:$L$2004,0)),"")</x:f>
      </x:c>
      <x:c r="J392" t="str">
        <x:f>IFERROR(INDEX('계산도우미'!$J$5:$J$2004,MATCH(ROWS($A$6:A392),'계산도우미'!$L$5:$L$2004,0)),"")</x:f>
      </x:c>
      <x:c r="K392" t="str">
        <x:f>IF(B392="","",IF(I392="확인 필요","붙임 문서 확인 후 거래 성격·기간·상대방·일회성 여부 확인","결의서명과 전기 대비 발생 건수·단가·시점 차이 검토"))</x:f>
      </x:c>
    </x:row>
    <x:row r="393">
      <x:c r="A393" t="str">
        <x:f>IFERROR(INDEX('계산도우미'!$A$5:$A$2004,MATCH(ROWS($A$6:A393),'계산도우미'!$L$5:$L$2004,0)),"")</x:f>
      </x:c>
      <x:c r="B393" t="str">
        <x:f>IFERROR(INDEX('계산도우미'!$B$5:$B$2004,MATCH(ROWS($A$6:A393),'계산도우미'!$L$5:$L$2004,0)),"")</x:f>
      </x:c>
      <x:c r="C393" t="str">
        <x:f>IFERROR(INDEX('계산도우미'!$C$5:$C$2004,MATCH(ROWS($A$6:A393),'계산도우미'!$L$5:$L$2004,0)),"")</x:f>
      </x:c>
      <x:c r="D393" s="67" t="str">
        <x:f>IFERROR(INDEX('계산도우미'!$D$5:$D$2004,MATCH(ROWS($A$6:A393),'계산도우미'!$L$5:$L$2004,0)),"")</x:f>
      </x:c>
      <x:c r="E393" t="str">
        <x:f>IFERROR(INDEX('계산도우미'!$E$5:$E$2004,MATCH(ROWS($A$6:A393),'계산도우미'!$L$5:$L$2004,0)),"")</x:f>
      </x:c>
      <x:c r="F393" t="str">
        <x:f>IFERROR(INDEX('계산도우미'!$F$5:$F$2004,MATCH(ROWS($A$6:A393),'계산도우미'!$L$5:$L$2004,0)),"")</x:f>
      </x:c>
      <x:c r="G393" s="68" t="str">
        <x:f>IFERROR(INDEX('계산도우미'!$G$5:$G$2004,MATCH(ROWS($A$6:A393),'계산도우미'!$L$5:$L$2004,0)),"")</x:f>
      </x:c>
      <x:c r="H393" t="str">
        <x:f>IFERROR(INDEX('계산도우미'!$H$5:$H$2004,MATCH(ROWS($A$6:A393),'계산도우미'!$L$5:$L$2004,0)),"")</x:f>
      </x:c>
      <x:c r="I393" t="str">
        <x:f>IFERROR(INDEX('계산도우미'!$I$5:$I$2004,MATCH(ROWS($A$6:A393),'계산도우미'!$L$5:$L$2004,0)),"")</x:f>
      </x:c>
      <x:c r="J393" t="str">
        <x:f>IFERROR(INDEX('계산도우미'!$J$5:$J$2004,MATCH(ROWS($A$6:A393),'계산도우미'!$L$5:$L$2004,0)),"")</x:f>
      </x:c>
      <x:c r="K393" t="str">
        <x:f>IF(B393="","",IF(I393="확인 필요","붙임 문서 확인 후 거래 성격·기간·상대방·일회성 여부 확인","결의서명과 전기 대비 발생 건수·단가·시점 차이 검토"))</x:f>
      </x:c>
    </x:row>
    <x:row r="394">
      <x:c r="A394" t="str">
        <x:f>IFERROR(INDEX('계산도우미'!$A$5:$A$2004,MATCH(ROWS($A$6:A394),'계산도우미'!$L$5:$L$2004,0)),"")</x:f>
      </x:c>
      <x:c r="B394" t="str">
        <x:f>IFERROR(INDEX('계산도우미'!$B$5:$B$2004,MATCH(ROWS($A$6:A394),'계산도우미'!$L$5:$L$2004,0)),"")</x:f>
      </x:c>
      <x:c r="C394" t="str">
        <x:f>IFERROR(INDEX('계산도우미'!$C$5:$C$2004,MATCH(ROWS($A$6:A394),'계산도우미'!$L$5:$L$2004,0)),"")</x:f>
      </x:c>
      <x:c r="D394" s="67" t="str">
        <x:f>IFERROR(INDEX('계산도우미'!$D$5:$D$2004,MATCH(ROWS($A$6:A394),'계산도우미'!$L$5:$L$2004,0)),"")</x:f>
      </x:c>
      <x:c r="E394" t="str">
        <x:f>IFERROR(INDEX('계산도우미'!$E$5:$E$2004,MATCH(ROWS($A$6:A394),'계산도우미'!$L$5:$L$2004,0)),"")</x:f>
      </x:c>
      <x:c r="F394" t="str">
        <x:f>IFERROR(INDEX('계산도우미'!$F$5:$F$2004,MATCH(ROWS($A$6:A394),'계산도우미'!$L$5:$L$2004,0)),"")</x:f>
      </x:c>
      <x:c r="G394" s="68" t="str">
        <x:f>IFERROR(INDEX('계산도우미'!$G$5:$G$2004,MATCH(ROWS($A$6:A394),'계산도우미'!$L$5:$L$2004,0)),"")</x:f>
      </x:c>
      <x:c r="H394" t="str">
        <x:f>IFERROR(INDEX('계산도우미'!$H$5:$H$2004,MATCH(ROWS($A$6:A394),'계산도우미'!$L$5:$L$2004,0)),"")</x:f>
      </x:c>
      <x:c r="I394" t="str">
        <x:f>IFERROR(INDEX('계산도우미'!$I$5:$I$2004,MATCH(ROWS($A$6:A394),'계산도우미'!$L$5:$L$2004,0)),"")</x:f>
      </x:c>
      <x:c r="J394" t="str">
        <x:f>IFERROR(INDEX('계산도우미'!$J$5:$J$2004,MATCH(ROWS($A$6:A394),'계산도우미'!$L$5:$L$2004,0)),"")</x:f>
      </x:c>
      <x:c r="K394" t="str">
        <x:f>IF(B394="","",IF(I394="확인 필요","붙임 문서 확인 후 거래 성격·기간·상대방·일회성 여부 확인","결의서명과 전기 대비 발생 건수·단가·시점 차이 검토"))</x:f>
      </x:c>
    </x:row>
    <x:row r="395">
      <x:c r="A395" t="str">
        <x:f>IFERROR(INDEX('계산도우미'!$A$5:$A$2004,MATCH(ROWS($A$6:A395),'계산도우미'!$L$5:$L$2004,0)),"")</x:f>
      </x:c>
      <x:c r="B395" t="str">
        <x:f>IFERROR(INDEX('계산도우미'!$B$5:$B$2004,MATCH(ROWS($A$6:A395),'계산도우미'!$L$5:$L$2004,0)),"")</x:f>
      </x:c>
      <x:c r="C395" t="str">
        <x:f>IFERROR(INDEX('계산도우미'!$C$5:$C$2004,MATCH(ROWS($A$6:A395),'계산도우미'!$L$5:$L$2004,0)),"")</x:f>
      </x:c>
      <x:c r="D395" s="67" t="str">
        <x:f>IFERROR(INDEX('계산도우미'!$D$5:$D$2004,MATCH(ROWS($A$6:A395),'계산도우미'!$L$5:$L$2004,0)),"")</x:f>
      </x:c>
      <x:c r="E395" t="str">
        <x:f>IFERROR(INDEX('계산도우미'!$E$5:$E$2004,MATCH(ROWS($A$6:A395),'계산도우미'!$L$5:$L$2004,0)),"")</x:f>
      </x:c>
      <x:c r="F395" t="str">
        <x:f>IFERROR(INDEX('계산도우미'!$F$5:$F$2004,MATCH(ROWS($A$6:A395),'계산도우미'!$L$5:$L$2004,0)),"")</x:f>
      </x:c>
      <x:c r="G395" s="68" t="str">
        <x:f>IFERROR(INDEX('계산도우미'!$G$5:$G$2004,MATCH(ROWS($A$6:A395),'계산도우미'!$L$5:$L$2004,0)),"")</x:f>
      </x:c>
      <x:c r="H395" t="str">
        <x:f>IFERROR(INDEX('계산도우미'!$H$5:$H$2004,MATCH(ROWS($A$6:A395),'계산도우미'!$L$5:$L$2004,0)),"")</x:f>
      </x:c>
      <x:c r="I395" t="str">
        <x:f>IFERROR(INDEX('계산도우미'!$I$5:$I$2004,MATCH(ROWS($A$6:A395),'계산도우미'!$L$5:$L$2004,0)),"")</x:f>
      </x:c>
      <x:c r="J395" t="str">
        <x:f>IFERROR(INDEX('계산도우미'!$J$5:$J$2004,MATCH(ROWS($A$6:A395),'계산도우미'!$L$5:$L$2004,0)),"")</x:f>
      </x:c>
      <x:c r="K395" t="str">
        <x:f>IF(B395="","",IF(I395="확인 필요","붙임 문서 확인 후 거래 성격·기간·상대방·일회성 여부 확인","결의서명과 전기 대비 발생 건수·단가·시점 차이 검토"))</x:f>
      </x:c>
    </x:row>
    <x:row r="396">
      <x:c r="A396" t="str">
        <x:f>IFERROR(INDEX('계산도우미'!$A$5:$A$2004,MATCH(ROWS($A$6:A396),'계산도우미'!$L$5:$L$2004,0)),"")</x:f>
      </x:c>
      <x:c r="B396" t="str">
        <x:f>IFERROR(INDEX('계산도우미'!$B$5:$B$2004,MATCH(ROWS($A$6:A396),'계산도우미'!$L$5:$L$2004,0)),"")</x:f>
      </x:c>
      <x:c r="C396" t="str">
        <x:f>IFERROR(INDEX('계산도우미'!$C$5:$C$2004,MATCH(ROWS($A$6:A396),'계산도우미'!$L$5:$L$2004,0)),"")</x:f>
      </x:c>
      <x:c r="D396" s="67" t="str">
        <x:f>IFERROR(INDEX('계산도우미'!$D$5:$D$2004,MATCH(ROWS($A$6:A396),'계산도우미'!$L$5:$L$2004,0)),"")</x:f>
      </x:c>
      <x:c r="E396" t="str">
        <x:f>IFERROR(INDEX('계산도우미'!$E$5:$E$2004,MATCH(ROWS($A$6:A396),'계산도우미'!$L$5:$L$2004,0)),"")</x:f>
      </x:c>
      <x:c r="F396" t="str">
        <x:f>IFERROR(INDEX('계산도우미'!$F$5:$F$2004,MATCH(ROWS($A$6:A396),'계산도우미'!$L$5:$L$2004,0)),"")</x:f>
      </x:c>
      <x:c r="G396" s="68" t="str">
        <x:f>IFERROR(INDEX('계산도우미'!$G$5:$G$2004,MATCH(ROWS($A$6:A396),'계산도우미'!$L$5:$L$2004,0)),"")</x:f>
      </x:c>
      <x:c r="H396" t="str">
        <x:f>IFERROR(INDEX('계산도우미'!$H$5:$H$2004,MATCH(ROWS($A$6:A396),'계산도우미'!$L$5:$L$2004,0)),"")</x:f>
      </x:c>
      <x:c r="I396" t="str">
        <x:f>IFERROR(INDEX('계산도우미'!$I$5:$I$2004,MATCH(ROWS($A$6:A396),'계산도우미'!$L$5:$L$2004,0)),"")</x:f>
      </x:c>
      <x:c r="J396" t="str">
        <x:f>IFERROR(INDEX('계산도우미'!$J$5:$J$2004,MATCH(ROWS($A$6:A396),'계산도우미'!$L$5:$L$2004,0)),"")</x:f>
      </x:c>
      <x:c r="K396" t="str">
        <x:f>IF(B396="","",IF(I396="확인 필요","붙임 문서 확인 후 거래 성격·기간·상대방·일회성 여부 확인","결의서명과 전기 대비 발생 건수·단가·시점 차이 검토"))</x:f>
      </x:c>
    </x:row>
    <x:row r="397">
      <x:c r="A397" t="str">
        <x:f>IFERROR(INDEX('계산도우미'!$A$5:$A$2004,MATCH(ROWS($A$6:A397),'계산도우미'!$L$5:$L$2004,0)),"")</x:f>
      </x:c>
      <x:c r="B397" t="str">
        <x:f>IFERROR(INDEX('계산도우미'!$B$5:$B$2004,MATCH(ROWS($A$6:A397),'계산도우미'!$L$5:$L$2004,0)),"")</x:f>
      </x:c>
      <x:c r="C397" t="str">
        <x:f>IFERROR(INDEX('계산도우미'!$C$5:$C$2004,MATCH(ROWS($A$6:A397),'계산도우미'!$L$5:$L$2004,0)),"")</x:f>
      </x:c>
      <x:c r="D397" s="67" t="str">
        <x:f>IFERROR(INDEX('계산도우미'!$D$5:$D$2004,MATCH(ROWS($A$6:A397),'계산도우미'!$L$5:$L$2004,0)),"")</x:f>
      </x:c>
      <x:c r="E397" t="str">
        <x:f>IFERROR(INDEX('계산도우미'!$E$5:$E$2004,MATCH(ROWS($A$6:A397),'계산도우미'!$L$5:$L$2004,0)),"")</x:f>
      </x:c>
      <x:c r="F397" t="str">
        <x:f>IFERROR(INDEX('계산도우미'!$F$5:$F$2004,MATCH(ROWS($A$6:A397),'계산도우미'!$L$5:$L$2004,0)),"")</x:f>
      </x:c>
      <x:c r="G397" s="68" t="str">
        <x:f>IFERROR(INDEX('계산도우미'!$G$5:$G$2004,MATCH(ROWS($A$6:A397),'계산도우미'!$L$5:$L$2004,0)),"")</x:f>
      </x:c>
      <x:c r="H397" t="str">
        <x:f>IFERROR(INDEX('계산도우미'!$H$5:$H$2004,MATCH(ROWS($A$6:A397),'계산도우미'!$L$5:$L$2004,0)),"")</x:f>
      </x:c>
      <x:c r="I397" t="str">
        <x:f>IFERROR(INDEX('계산도우미'!$I$5:$I$2004,MATCH(ROWS($A$6:A397),'계산도우미'!$L$5:$L$2004,0)),"")</x:f>
      </x:c>
      <x:c r="J397" t="str">
        <x:f>IFERROR(INDEX('계산도우미'!$J$5:$J$2004,MATCH(ROWS($A$6:A397),'계산도우미'!$L$5:$L$2004,0)),"")</x:f>
      </x:c>
      <x:c r="K397" t="str">
        <x:f>IF(B397="","",IF(I397="확인 필요","붙임 문서 확인 후 거래 성격·기간·상대방·일회성 여부 확인","결의서명과 전기 대비 발생 건수·단가·시점 차이 검토"))</x:f>
      </x:c>
    </x:row>
    <x:row r="398">
      <x:c r="A398" t="str">
        <x:f>IFERROR(INDEX('계산도우미'!$A$5:$A$2004,MATCH(ROWS($A$6:A398),'계산도우미'!$L$5:$L$2004,0)),"")</x:f>
      </x:c>
      <x:c r="B398" t="str">
        <x:f>IFERROR(INDEX('계산도우미'!$B$5:$B$2004,MATCH(ROWS($A$6:A398),'계산도우미'!$L$5:$L$2004,0)),"")</x:f>
      </x:c>
      <x:c r="C398" t="str">
        <x:f>IFERROR(INDEX('계산도우미'!$C$5:$C$2004,MATCH(ROWS($A$6:A398),'계산도우미'!$L$5:$L$2004,0)),"")</x:f>
      </x:c>
      <x:c r="D398" s="67" t="str">
        <x:f>IFERROR(INDEX('계산도우미'!$D$5:$D$2004,MATCH(ROWS($A$6:A398),'계산도우미'!$L$5:$L$2004,0)),"")</x:f>
      </x:c>
      <x:c r="E398" t="str">
        <x:f>IFERROR(INDEX('계산도우미'!$E$5:$E$2004,MATCH(ROWS($A$6:A398),'계산도우미'!$L$5:$L$2004,0)),"")</x:f>
      </x:c>
      <x:c r="F398" t="str">
        <x:f>IFERROR(INDEX('계산도우미'!$F$5:$F$2004,MATCH(ROWS($A$6:A398),'계산도우미'!$L$5:$L$2004,0)),"")</x:f>
      </x:c>
      <x:c r="G398" s="68" t="str">
        <x:f>IFERROR(INDEX('계산도우미'!$G$5:$G$2004,MATCH(ROWS($A$6:A398),'계산도우미'!$L$5:$L$2004,0)),"")</x:f>
      </x:c>
      <x:c r="H398" t="str">
        <x:f>IFERROR(INDEX('계산도우미'!$H$5:$H$2004,MATCH(ROWS($A$6:A398),'계산도우미'!$L$5:$L$2004,0)),"")</x:f>
      </x:c>
      <x:c r="I398" t="str">
        <x:f>IFERROR(INDEX('계산도우미'!$I$5:$I$2004,MATCH(ROWS($A$6:A398),'계산도우미'!$L$5:$L$2004,0)),"")</x:f>
      </x:c>
      <x:c r="J398" t="str">
        <x:f>IFERROR(INDEX('계산도우미'!$J$5:$J$2004,MATCH(ROWS($A$6:A398),'계산도우미'!$L$5:$L$2004,0)),"")</x:f>
      </x:c>
      <x:c r="K398" t="str">
        <x:f>IF(B398="","",IF(I398="확인 필요","붙임 문서 확인 후 거래 성격·기간·상대방·일회성 여부 확인","결의서명과 전기 대비 발생 건수·단가·시점 차이 검토"))</x:f>
      </x:c>
    </x:row>
    <x:row r="399">
      <x:c r="A399" t="str">
        <x:f>IFERROR(INDEX('계산도우미'!$A$5:$A$2004,MATCH(ROWS($A$6:A399),'계산도우미'!$L$5:$L$2004,0)),"")</x:f>
      </x:c>
      <x:c r="B399" t="str">
        <x:f>IFERROR(INDEX('계산도우미'!$B$5:$B$2004,MATCH(ROWS($A$6:A399),'계산도우미'!$L$5:$L$2004,0)),"")</x:f>
      </x:c>
      <x:c r="C399" t="str">
        <x:f>IFERROR(INDEX('계산도우미'!$C$5:$C$2004,MATCH(ROWS($A$6:A399),'계산도우미'!$L$5:$L$2004,0)),"")</x:f>
      </x:c>
      <x:c r="D399" s="67" t="str">
        <x:f>IFERROR(INDEX('계산도우미'!$D$5:$D$2004,MATCH(ROWS($A$6:A399),'계산도우미'!$L$5:$L$2004,0)),"")</x:f>
      </x:c>
      <x:c r="E399" t="str">
        <x:f>IFERROR(INDEX('계산도우미'!$E$5:$E$2004,MATCH(ROWS($A$6:A399),'계산도우미'!$L$5:$L$2004,0)),"")</x:f>
      </x:c>
      <x:c r="F399" t="str">
        <x:f>IFERROR(INDEX('계산도우미'!$F$5:$F$2004,MATCH(ROWS($A$6:A399),'계산도우미'!$L$5:$L$2004,0)),"")</x:f>
      </x:c>
      <x:c r="G399" s="68" t="str">
        <x:f>IFERROR(INDEX('계산도우미'!$G$5:$G$2004,MATCH(ROWS($A$6:A399),'계산도우미'!$L$5:$L$2004,0)),"")</x:f>
      </x:c>
      <x:c r="H399" t="str">
        <x:f>IFERROR(INDEX('계산도우미'!$H$5:$H$2004,MATCH(ROWS($A$6:A399),'계산도우미'!$L$5:$L$2004,0)),"")</x:f>
      </x:c>
      <x:c r="I399" t="str">
        <x:f>IFERROR(INDEX('계산도우미'!$I$5:$I$2004,MATCH(ROWS($A$6:A399),'계산도우미'!$L$5:$L$2004,0)),"")</x:f>
      </x:c>
      <x:c r="J399" t="str">
        <x:f>IFERROR(INDEX('계산도우미'!$J$5:$J$2004,MATCH(ROWS($A$6:A399),'계산도우미'!$L$5:$L$2004,0)),"")</x:f>
      </x:c>
      <x:c r="K399" t="str">
        <x:f>IF(B399="","",IF(I399="확인 필요","붙임 문서 확인 후 거래 성격·기간·상대방·일회성 여부 확인","결의서명과 전기 대비 발생 건수·단가·시점 차이 검토"))</x:f>
      </x:c>
    </x:row>
    <x:row r="400">
      <x:c r="A400" t="str">
        <x:f>IFERROR(INDEX('계산도우미'!$A$5:$A$2004,MATCH(ROWS($A$6:A400),'계산도우미'!$L$5:$L$2004,0)),"")</x:f>
      </x:c>
      <x:c r="B400" t="str">
        <x:f>IFERROR(INDEX('계산도우미'!$B$5:$B$2004,MATCH(ROWS($A$6:A400),'계산도우미'!$L$5:$L$2004,0)),"")</x:f>
      </x:c>
      <x:c r="C400" t="str">
        <x:f>IFERROR(INDEX('계산도우미'!$C$5:$C$2004,MATCH(ROWS($A$6:A400),'계산도우미'!$L$5:$L$2004,0)),"")</x:f>
      </x:c>
      <x:c r="D400" s="67" t="str">
        <x:f>IFERROR(INDEX('계산도우미'!$D$5:$D$2004,MATCH(ROWS($A$6:A400),'계산도우미'!$L$5:$L$2004,0)),"")</x:f>
      </x:c>
      <x:c r="E400" t="str">
        <x:f>IFERROR(INDEX('계산도우미'!$E$5:$E$2004,MATCH(ROWS($A$6:A400),'계산도우미'!$L$5:$L$2004,0)),"")</x:f>
      </x:c>
      <x:c r="F400" t="str">
        <x:f>IFERROR(INDEX('계산도우미'!$F$5:$F$2004,MATCH(ROWS($A$6:A400),'계산도우미'!$L$5:$L$2004,0)),"")</x:f>
      </x:c>
      <x:c r="G400" s="68" t="str">
        <x:f>IFERROR(INDEX('계산도우미'!$G$5:$G$2004,MATCH(ROWS($A$6:A400),'계산도우미'!$L$5:$L$2004,0)),"")</x:f>
      </x:c>
      <x:c r="H400" t="str">
        <x:f>IFERROR(INDEX('계산도우미'!$H$5:$H$2004,MATCH(ROWS($A$6:A400),'계산도우미'!$L$5:$L$2004,0)),"")</x:f>
      </x:c>
      <x:c r="I400" t="str">
        <x:f>IFERROR(INDEX('계산도우미'!$I$5:$I$2004,MATCH(ROWS($A$6:A400),'계산도우미'!$L$5:$L$2004,0)),"")</x:f>
      </x:c>
      <x:c r="J400" t="str">
        <x:f>IFERROR(INDEX('계산도우미'!$J$5:$J$2004,MATCH(ROWS($A$6:A400),'계산도우미'!$L$5:$L$2004,0)),"")</x:f>
      </x:c>
      <x:c r="K400" t="str">
        <x:f>IF(B400="","",IF(I400="확인 필요","붙임 문서 확인 후 거래 성격·기간·상대방·일회성 여부 확인","결의서명과 전기 대비 발생 건수·단가·시점 차이 검토"))</x:f>
      </x:c>
    </x:row>
    <x:row r="401">
      <x:c r="A401" t="str">
        <x:f>IFERROR(INDEX('계산도우미'!$A$5:$A$2004,MATCH(ROWS($A$6:A401),'계산도우미'!$L$5:$L$2004,0)),"")</x:f>
      </x:c>
      <x:c r="B401" t="str">
        <x:f>IFERROR(INDEX('계산도우미'!$B$5:$B$2004,MATCH(ROWS($A$6:A401),'계산도우미'!$L$5:$L$2004,0)),"")</x:f>
      </x:c>
      <x:c r="C401" t="str">
        <x:f>IFERROR(INDEX('계산도우미'!$C$5:$C$2004,MATCH(ROWS($A$6:A401),'계산도우미'!$L$5:$L$2004,0)),"")</x:f>
      </x:c>
      <x:c r="D401" s="67" t="str">
        <x:f>IFERROR(INDEX('계산도우미'!$D$5:$D$2004,MATCH(ROWS($A$6:A401),'계산도우미'!$L$5:$L$2004,0)),"")</x:f>
      </x:c>
      <x:c r="E401" t="str">
        <x:f>IFERROR(INDEX('계산도우미'!$E$5:$E$2004,MATCH(ROWS($A$6:A401),'계산도우미'!$L$5:$L$2004,0)),"")</x:f>
      </x:c>
      <x:c r="F401" t="str">
        <x:f>IFERROR(INDEX('계산도우미'!$F$5:$F$2004,MATCH(ROWS($A$6:A401),'계산도우미'!$L$5:$L$2004,0)),"")</x:f>
      </x:c>
      <x:c r="G401" s="68" t="str">
        <x:f>IFERROR(INDEX('계산도우미'!$G$5:$G$2004,MATCH(ROWS($A$6:A401),'계산도우미'!$L$5:$L$2004,0)),"")</x:f>
      </x:c>
      <x:c r="H401" t="str">
        <x:f>IFERROR(INDEX('계산도우미'!$H$5:$H$2004,MATCH(ROWS($A$6:A401),'계산도우미'!$L$5:$L$2004,0)),"")</x:f>
      </x:c>
      <x:c r="I401" t="str">
        <x:f>IFERROR(INDEX('계산도우미'!$I$5:$I$2004,MATCH(ROWS($A$6:A401),'계산도우미'!$L$5:$L$2004,0)),"")</x:f>
      </x:c>
      <x:c r="J401" t="str">
        <x:f>IFERROR(INDEX('계산도우미'!$J$5:$J$2004,MATCH(ROWS($A$6:A401),'계산도우미'!$L$5:$L$2004,0)),"")</x:f>
      </x:c>
      <x:c r="K401" t="str">
        <x:f>IF(B401="","",IF(I401="확인 필요","붙임 문서 확인 후 거래 성격·기간·상대방·일회성 여부 확인","결의서명과 전기 대비 발생 건수·단가·시점 차이 검토"))</x:f>
      </x:c>
    </x:row>
    <x:row r="402">
      <x:c r="A402" t="str">
        <x:f>IFERROR(INDEX('계산도우미'!$A$5:$A$2004,MATCH(ROWS($A$6:A402),'계산도우미'!$L$5:$L$2004,0)),"")</x:f>
      </x:c>
      <x:c r="B402" t="str">
        <x:f>IFERROR(INDEX('계산도우미'!$B$5:$B$2004,MATCH(ROWS($A$6:A402),'계산도우미'!$L$5:$L$2004,0)),"")</x:f>
      </x:c>
      <x:c r="C402" t="str">
        <x:f>IFERROR(INDEX('계산도우미'!$C$5:$C$2004,MATCH(ROWS($A$6:A402),'계산도우미'!$L$5:$L$2004,0)),"")</x:f>
      </x:c>
      <x:c r="D402" s="67" t="str">
        <x:f>IFERROR(INDEX('계산도우미'!$D$5:$D$2004,MATCH(ROWS($A$6:A402),'계산도우미'!$L$5:$L$2004,0)),"")</x:f>
      </x:c>
      <x:c r="E402" t="str">
        <x:f>IFERROR(INDEX('계산도우미'!$E$5:$E$2004,MATCH(ROWS($A$6:A402),'계산도우미'!$L$5:$L$2004,0)),"")</x:f>
      </x:c>
      <x:c r="F402" t="str">
        <x:f>IFERROR(INDEX('계산도우미'!$F$5:$F$2004,MATCH(ROWS($A$6:A402),'계산도우미'!$L$5:$L$2004,0)),"")</x:f>
      </x:c>
      <x:c r="G402" s="68" t="str">
        <x:f>IFERROR(INDEX('계산도우미'!$G$5:$G$2004,MATCH(ROWS($A$6:A402),'계산도우미'!$L$5:$L$2004,0)),"")</x:f>
      </x:c>
      <x:c r="H402" t="str">
        <x:f>IFERROR(INDEX('계산도우미'!$H$5:$H$2004,MATCH(ROWS($A$6:A402),'계산도우미'!$L$5:$L$2004,0)),"")</x:f>
      </x:c>
      <x:c r="I402" t="str">
        <x:f>IFERROR(INDEX('계산도우미'!$I$5:$I$2004,MATCH(ROWS($A$6:A402),'계산도우미'!$L$5:$L$2004,0)),"")</x:f>
      </x:c>
      <x:c r="J402" t="str">
        <x:f>IFERROR(INDEX('계산도우미'!$J$5:$J$2004,MATCH(ROWS($A$6:A402),'계산도우미'!$L$5:$L$2004,0)),"")</x:f>
      </x:c>
      <x:c r="K402" t="str">
        <x:f>IF(B402="","",IF(I402="확인 필요","붙임 문서 확인 후 거래 성격·기간·상대방·일회성 여부 확인","결의서명과 전기 대비 발생 건수·단가·시점 차이 검토"))</x:f>
      </x:c>
    </x:row>
    <x:row r="403">
      <x:c r="A403" t="str">
        <x:f>IFERROR(INDEX('계산도우미'!$A$5:$A$2004,MATCH(ROWS($A$6:A403),'계산도우미'!$L$5:$L$2004,0)),"")</x:f>
      </x:c>
      <x:c r="B403" t="str">
        <x:f>IFERROR(INDEX('계산도우미'!$B$5:$B$2004,MATCH(ROWS($A$6:A403),'계산도우미'!$L$5:$L$2004,0)),"")</x:f>
      </x:c>
      <x:c r="C403" t="str">
        <x:f>IFERROR(INDEX('계산도우미'!$C$5:$C$2004,MATCH(ROWS($A$6:A403),'계산도우미'!$L$5:$L$2004,0)),"")</x:f>
      </x:c>
      <x:c r="D403" s="67" t="str">
        <x:f>IFERROR(INDEX('계산도우미'!$D$5:$D$2004,MATCH(ROWS($A$6:A403),'계산도우미'!$L$5:$L$2004,0)),"")</x:f>
      </x:c>
      <x:c r="E403" t="str">
        <x:f>IFERROR(INDEX('계산도우미'!$E$5:$E$2004,MATCH(ROWS($A$6:A403),'계산도우미'!$L$5:$L$2004,0)),"")</x:f>
      </x:c>
      <x:c r="F403" t="str">
        <x:f>IFERROR(INDEX('계산도우미'!$F$5:$F$2004,MATCH(ROWS($A$6:A403),'계산도우미'!$L$5:$L$2004,0)),"")</x:f>
      </x:c>
      <x:c r="G403" s="68" t="str">
        <x:f>IFERROR(INDEX('계산도우미'!$G$5:$G$2004,MATCH(ROWS($A$6:A403),'계산도우미'!$L$5:$L$2004,0)),"")</x:f>
      </x:c>
      <x:c r="H403" t="str">
        <x:f>IFERROR(INDEX('계산도우미'!$H$5:$H$2004,MATCH(ROWS($A$6:A403),'계산도우미'!$L$5:$L$2004,0)),"")</x:f>
      </x:c>
      <x:c r="I403" t="str">
        <x:f>IFERROR(INDEX('계산도우미'!$I$5:$I$2004,MATCH(ROWS($A$6:A403),'계산도우미'!$L$5:$L$2004,0)),"")</x:f>
      </x:c>
      <x:c r="J403" t="str">
        <x:f>IFERROR(INDEX('계산도우미'!$J$5:$J$2004,MATCH(ROWS($A$6:A403),'계산도우미'!$L$5:$L$2004,0)),"")</x:f>
      </x:c>
      <x:c r="K403" t="str">
        <x:f>IF(B403="","",IF(I403="확인 필요","붙임 문서 확인 후 거래 성격·기간·상대방·일회성 여부 확인","결의서명과 전기 대비 발생 건수·단가·시점 차이 검토"))</x:f>
      </x:c>
    </x:row>
    <x:row r="404">
      <x:c r="A404" t="str">
        <x:f>IFERROR(INDEX('계산도우미'!$A$5:$A$2004,MATCH(ROWS($A$6:A404),'계산도우미'!$L$5:$L$2004,0)),"")</x:f>
      </x:c>
      <x:c r="B404" t="str">
        <x:f>IFERROR(INDEX('계산도우미'!$B$5:$B$2004,MATCH(ROWS($A$6:A404),'계산도우미'!$L$5:$L$2004,0)),"")</x:f>
      </x:c>
      <x:c r="C404" t="str">
        <x:f>IFERROR(INDEX('계산도우미'!$C$5:$C$2004,MATCH(ROWS($A$6:A404),'계산도우미'!$L$5:$L$2004,0)),"")</x:f>
      </x:c>
      <x:c r="D404" s="67" t="str">
        <x:f>IFERROR(INDEX('계산도우미'!$D$5:$D$2004,MATCH(ROWS($A$6:A404),'계산도우미'!$L$5:$L$2004,0)),"")</x:f>
      </x:c>
      <x:c r="E404" t="str">
        <x:f>IFERROR(INDEX('계산도우미'!$E$5:$E$2004,MATCH(ROWS($A$6:A404),'계산도우미'!$L$5:$L$2004,0)),"")</x:f>
      </x:c>
      <x:c r="F404" t="str">
        <x:f>IFERROR(INDEX('계산도우미'!$F$5:$F$2004,MATCH(ROWS($A$6:A404),'계산도우미'!$L$5:$L$2004,0)),"")</x:f>
      </x:c>
      <x:c r="G404" s="68" t="str">
        <x:f>IFERROR(INDEX('계산도우미'!$G$5:$G$2004,MATCH(ROWS($A$6:A404),'계산도우미'!$L$5:$L$2004,0)),"")</x:f>
      </x:c>
      <x:c r="H404" t="str">
        <x:f>IFERROR(INDEX('계산도우미'!$H$5:$H$2004,MATCH(ROWS($A$6:A404),'계산도우미'!$L$5:$L$2004,0)),"")</x:f>
      </x:c>
      <x:c r="I404" t="str">
        <x:f>IFERROR(INDEX('계산도우미'!$I$5:$I$2004,MATCH(ROWS($A$6:A404),'계산도우미'!$L$5:$L$2004,0)),"")</x:f>
      </x:c>
      <x:c r="J404" t="str">
        <x:f>IFERROR(INDEX('계산도우미'!$J$5:$J$2004,MATCH(ROWS($A$6:A404),'계산도우미'!$L$5:$L$2004,0)),"")</x:f>
      </x:c>
      <x:c r="K404" t="str">
        <x:f>IF(B404="","",IF(I404="확인 필요","붙임 문서 확인 후 거래 성격·기간·상대방·일회성 여부 확인","결의서명과 전기 대비 발생 건수·단가·시점 차이 검토"))</x:f>
      </x:c>
    </x:row>
    <x:row r="405">
      <x:c r="A405" t="str">
        <x:f>IFERROR(INDEX('계산도우미'!$A$5:$A$2004,MATCH(ROWS($A$6:A405),'계산도우미'!$L$5:$L$2004,0)),"")</x:f>
      </x:c>
      <x:c r="B405" t="str">
        <x:f>IFERROR(INDEX('계산도우미'!$B$5:$B$2004,MATCH(ROWS($A$6:A405),'계산도우미'!$L$5:$L$2004,0)),"")</x:f>
      </x:c>
      <x:c r="C405" t="str">
        <x:f>IFERROR(INDEX('계산도우미'!$C$5:$C$2004,MATCH(ROWS($A$6:A405),'계산도우미'!$L$5:$L$2004,0)),"")</x:f>
      </x:c>
      <x:c r="D405" s="67" t="str">
        <x:f>IFERROR(INDEX('계산도우미'!$D$5:$D$2004,MATCH(ROWS($A$6:A405),'계산도우미'!$L$5:$L$2004,0)),"")</x:f>
      </x:c>
      <x:c r="E405" t="str">
        <x:f>IFERROR(INDEX('계산도우미'!$E$5:$E$2004,MATCH(ROWS($A$6:A405),'계산도우미'!$L$5:$L$2004,0)),"")</x:f>
      </x:c>
      <x:c r="F405" t="str">
        <x:f>IFERROR(INDEX('계산도우미'!$F$5:$F$2004,MATCH(ROWS($A$6:A405),'계산도우미'!$L$5:$L$2004,0)),"")</x:f>
      </x:c>
      <x:c r="G405" s="68" t="str">
        <x:f>IFERROR(INDEX('계산도우미'!$G$5:$G$2004,MATCH(ROWS($A$6:A405),'계산도우미'!$L$5:$L$2004,0)),"")</x:f>
      </x:c>
      <x:c r="H405" t="str">
        <x:f>IFERROR(INDEX('계산도우미'!$H$5:$H$2004,MATCH(ROWS($A$6:A405),'계산도우미'!$L$5:$L$2004,0)),"")</x:f>
      </x:c>
      <x:c r="I405" t="str">
        <x:f>IFERROR(INDEX('계산도우미'!$I$5:$I$2004,MATCH(ROWS($A$6:A405),'계산도우미'!$L$5:$L$2004,0)),"")</x:f>
      </x:c>
      <x:c r="J405" t="str">
        <x:f>IFERROR(INDEX('계산도우미'!$J$5:$J$2004,MATCH(ROWS($A$6:A405),'계산도우미'!$L$5:$L$2004,0)),"")</x:f>
      </x:c>
      <x:c r="K405" t="str">
        <x:f>IF(B405="","",IF(I405="확인 필요","붙임 문서 확인 후 거래 성격·기간·상대방·일회성 여부 확인","결의서명과 전기 대비 발생 건수·단가·시점 차이 검토"))</x:f>
      </x:c>
    </x:row>
    <x:row r="406">
      <x:c r="A406" t="str">
        <x:f>IFERROR(INDEX('계산도우미'!$A$5:$A$2004,MATCH(ROWS($A$6:A406),'계산도우미'!$L$5:$L$2004,0)),"")</x:f>
      </x:c>
      <x:c r="B406" t="str">
        <x:f>IFERROR(INDEX('계산도우미'!$B$5:$B$2004,MATCH(ROWS($A$6:A406),'계산도우미'!$L$5:$L$2004,0)),"")</x:f>
      </x:c>
      <x:c r="C406" t="str">
        <x:f>IFERROR(INDEX('계산도우미'!$C$5:$C$2004,MATCH(ROWS($A$6:A406),'계산도우미'!$L$5:$L$2004,0)),"")</x:f>
      </x:c>
      <x:c r="D406" s="67" t="str">
        <x:f>IFERROR(INDEX('계산도우미'!$D$5:$D$2004,MATCH(ROWS($A$6:A406),'계산도우미'!$L$5:$L$2004,0)),"")</x:f>
      </x:c>
      <x:c r="E406" t="str">
        <x:f>IFERROR(INDEX('계산도우미'!$E$5:$E$2004,MATCH(ROWS($A$6:A406),'계산도우미'!$L$5:$L$2004,0)),"")</x:f>
      </x:c>
      <x:c r="F406" t="str">
        <x:f>IFERROR(INDEX('계산도우미'!$F$5:$F$2004,MATCH(ROWS($A$6:A406),'계산도우미'!$L$5:$L$2004,0)),"")</x:f>
      </x:c>
      <x:c r="G406" s="68" t="str">
        <x:f>IFERROR(INDEX('계산도우미'!$G$5:$G$2004,MATCH(ROWS($A$6:A406),'계산도우미'!$L$5:$L$2004,0)),"")</x:f>
      </x:c>
      <x:c r="H406" t="str">
        <x:f>IFERROR(INDEX('계산도우미'!$H$5:$H$2004,MATCH(ROWS($A$6:A406),'계산도우미'!$L$5:$L$2004,0)),"")</x:f>
      </x:c>
      <x:c r="I406" t="str">
        <x:f>IFERROR(INDEX('계산도우미'!$I$5:$I$2004,MATCH(ROWS($A$6:A406),'계산도우미'!$L$5:$L$2004,0)),"")</x:f>
      </x:c>
      <x:c r="J406" t="str">
        <x:f>IFERROR(INDEX('계산도우미'!$J$5:$J$2004,MATCH(ROWS($A$6:A406),'계산도우미'!$L$5:$L$2004,0)),"")</x:f>
      </x:c>
      <x:c r="K406" t="str">
        <x:f>IF(B406="","",IF(I406="확인 필요","붙임 문서 확인 후 거래 성격·기간·상대방·일회성 여부 확인","결의서명과 전기 대비 발생 건수·단가·시점 차이 검토"))</x:f>
      </x:c>
    </x:row>
    <x:row r="407">
      <x:c r="A407" t="str">
        <x:f>IFERROR(INDEX('계산도우미'!$A$5:$A$2004,MATCH(ROWS($A$6:A407),'계산도우미'!$L$5:$L$2004,0)),"")</x:f>
      </x:c>
      <x:c r="B407" t="str">
        <x:f>IFERROR(INDEX('계산도우미'!$B$5:$B$2004,MATCH(ROWS($A$6:A407),'계산도우미'!$L$5:$L$2004,0)),"")</x:f>
      </x:c>
      <x:c r="C407" t="str">
        <x:f>IFERROR(INDEX('계산도우미'!$C$5:$C$2004,MATCH(ROWS($A$6:A407),'계산도우미'!$L$5:$L$2004,0)),"")</x:f>
      </x:c>
      <x:c r="D407" s="67" t="str">
        <x:f>IFERROR(INDEX('계산도우미'!$D$5:$D$2004,MATCH(ROWS($A$6:A407),'계산도우미'!$L$5:$L$2004,0)),"")</x:f>
      </x:c>
      <x:c r="E407" t="str">
        <x:f>IFERROR(INDEX('계산도우미'!$E$5:$E$2004,MATCH(ROWS($A$6:A407),'계산도우미'!$L$5:$L$2004,0)),"")</x:f>
      </x:c>
      <x:c r="F407" t="str">
        <x:f>IFERROR(INDEX('계산도우미'!$F$5:$F$2004,MATCH(ROWS($A$6:A407),'계산도우미'!$L$5:$L$2004,0)),"")</x:f>
      </x:c>
      <x:c r="G407" s="68" t="str">
        <x:f>IFERROR(INDEX('계산도우미'!$G$5:$G$2004,MATCH(ROWS($A$6:A407),'계산도우미'!$L$5:$L$2004,0)),"")</x:f>
      </x:c>
      <x:c r="H407" t="str">
        <x:f>IFERROR(INDEX('계산도우미'!$H$5:$H$2004,MATCH(ROWS($A$6:A407),'계산도우미'!$L$5:$L$2004,0)),"")</x:f>
      </x:c>
      <x:c r="I407" t="str">
        <x:f>IFERROR(INDEX('계산도우미'!$I$5:$I$2004,MATCH(ROWS($A$6:A407),'계산도우미'!$L$5:$L$2004,0)),"")</x:f>
      </x:c>
      <x:c r="J407" t="str">
        <x:f>IFERROR(INDEX('계산도우미'!$J$5:$J$2004,MATCH(ROWS($A$6:A407),'계산도우미'!$L$5:$L$2004,0)),"")</x:f>
      </x:c>
      <x:c r="K407" t="str">
        <x:f>IF(B407="","",IF(I407="확인 필요","붙임 문서 확인 후 거래 성격·기간·상대방·일회성 여부 확인","결의서명과 전기 대비 발생 건수·단가·시점 차이 검토"))</x:f>
      </x:c>
    </x:row>
    <x:row r="408">
      <x:c r="A408" t="str">
        <x:f>IFERROR(INDEX('계산도우미'!$A$5:$A$2004,MATCH(ROWS($A$6:A408),'계산도우미'!$L$5:$L$2004,0)),"")</x:f>
      </x:c>
      <x:c r="B408" t="str">
        <x:f>IFERROR(INDEX('계산도우미'!$B$5:$B$2004,MATCH(ROWS($A$6:A408),'계산도우미'!$L$5:$L$2004,0)),"")</x:f>
      </x:c>
      <x:c r="C408" t="str">
        <x:f>IFERROR(INDEX('계산도우미'!$C$5:$C$2004,MATCH(ROWS($A$6:A408),'계산도우미'!$L$5:$L$2004,0)),"")</x:f>
      </x:c>
      <x:c r="D408" s="67" t="str">
        <x:f>IFERROR(INDEX('계산도우미'!$D$5:$D$2004,MATCH(ROWS($A$6:A408),'계산도우미'!$L$5:$L$2004,0)),"")</x:f>
      </x:c>
      <x:c r="E408" t="str">
        <x:f>IFERROR(INDEX('계산도우미'!$E$5:$E$2004,MATCH(ROWS($A$6:A408),'계산도우미'!$L$5:$L$2004,0)),"")</x:f>
      </x:c>
      <x:c r="F408" t="str">
        <x:f>IFERROR(INDEX('계산도우미'!$F$5:$F$2004,MATCH(ROWS($A$6:A408),'계산도우미'!$L$5:$L$2004,0)),"")</x:f>
      </x:c>
      <x:c r="G408" s="68" t="str">
        <x:f>IFERROR(INDEX('계산도우미'!$G$5:$G$2004,MATCH(ROWS($A$6:A408),'계산도우미'!$L$5:$L$2004,0)),"")</x:f>
      </x:c>
      <x:c r="H408" t="str">
        <x:f>IFERROR(INDEX('계산도우미'!$H$5:$H$2004,MATCH(ROWS($A$6:A408),'계산도우미'!$L$5:$L$2004,0)),"")</x:f>
      </x:c>
      <x:c r="I408" t="str">
        <x:f>IFERROR(INDEX('계산도우미'!$I$5:$I$2004,MATCH(ROWS($A$6:A408),'계산도우미'!$L$5:$L$2004,0)),"")</x:f>
      </x:c>
      <x:c r="J408" t="str">
        <x:f>IFERROR(INDEX('계산도우미'!$J$5:$J$2004,MATCH(ROWS($A$6:A408),'계산도우미'!$L$5:$L$2004,0)),"")</x:f>
      </x:c>
      <x:c r="K408" t="str">
        <x:f>IF(B408="","",IF(I408="확인 필요","붙임 문서 확인 후 거래 성격·기간·상대방·일회성 여부 확인","결의서명과 전기 대비 발생 건수·단가·시점 차이 검토"))</x:f>
      </x:c>
    </x:row>
    <x:row r="409">
      <x:c r="A409" t="str">
        <x:f>IFERROR(INDEX('계산도우미'!$A$5:$A$2004,MATCH(ROWS($A$6:A409),'계산도우미'!$L$5:$L$2004,0)),"")</x:f>
      </x:c>
      <x:c r="B409" t="str">
        <x:f>IFERROR(INDEX('계산도우미'!$B$5:$B$2004,MATCH(ROWS($A$6:A409),'계산도우미'!$L$5:$L$2004,0)),"")</x:f>
      </x:c>
      <x:c r="C409" t="str">
        <x:f>IFERROR(INDEX('계산도우미'!$C$5:$C$2004,MATCH(ROWS($A$6:A409),'계산도우미'!$L$5:$L$2004,0)),"")</x:f>
      </x:c>
      <x:c r="D409" s="67" t="str">
        <x:f>IFERROR(INDEX('계산도우미'!$D$5:$D$2004,MATCH(ROWS($A$6:A409),'계산도우미'!$L$5:$L$2004,0)),"")</x:f>
      </x:c>
      <x:c r="E409" t="str">
        <x:f>IFERROR(INDEX('계산도우미'!$E$5:$E$2004,MATCH(ROWS($A$6:A409),'계산도우미'!$L$5:$L$2004,0)),"")</x:f>
      </x:c>
      <x:c r="F409" t="str">
        <x:f>IFERROR(INDEX('계산도우미'!$F$5:$F$2004,MATCH(ROWS($A$6:A409),'계산도우미'!$L$5:$L$2004,0)),"")</x:f>
      </x:c>
      <x:c r="G409" s="68" t="str">
        <x:f>IFERROR(INDEX('계산도우미'!$G$5:$G$2004,MATCH(ROWS($A$6:A409),'계산도우미'!$L$5:$L$2004,0)),"")</x:f>
      </x:c>
      <x:c r="H409" t="str">
        <x:f>IFERROR(INDEX('계산도우미'!$H$5:$H$2004,MATCH(ROWS($A$6:A409),'계산도우미'!$L$5:$L$2004,0)),"")</x:f>
      </x:c>
      <x:c r="I409" t="str">
        <x:f>IFERROR(INDEX('계산도우미'!$I$5:$I$2004,MATCH(ROWS($A$6:A409),'계산도우미'!$L$5:$L$2004,0)),"")</x:f>
      </x:c>
      <x:c r="J409" t="str">
        <x:f>IFERROR(INDEX('계산도우미'!$J$5:$J$2004,MATCH(ROWS($A$6:A409),'계산도우미'!$L$5:$L$2004,0)),"")</x:f>
      </x:c>
      <x:c r="K409" t="str">
        <x:f>IF(B409="","",IF(I409="확인 필요","붙임 문서 확인 후 거래 성격·기간·상대방·일회성 여부 확인","결의서명과 전기 대비 발생 건수·단가·시점 차이 검토"))</x:f>
      </x:c>
    </x:row>
    <x:row r="410">
      <x:c r="A410" t="str">
        <x:f>IFERROR(INDEX('계산도우미'!$A$5:$A$2004,MATCH(ROWS($A$6:A410),'계산도우미'!$L$5:$L$2004,0)),"")</x:f>
      </x:c>
      <x:c r="B410" t="str">
        <x:f>IFERROR(INDEX('계산도우미'!$B$5:$B$2004,MATCH(ROWS($A$6:A410),'계산도우미'!$L$5:$L$2004,0)),"")</x:f>
      </x:c>
      <x:c r="C410" t="str">
        <x:f>IFERROR(INDEX('계산도우미'!$C$5:$C$2004,MATCH(ROWS($A$6:A410),'계산도우미'!$L$5:$L$2004,0)),"")</x:f>
      </x:c>
      <x:c r="D410" s="67" t="str">
        <x:f>IFERROR(INDEX('계산도우미'!$D$5:$D$2004,MATCH(ROWS($A$6:A410),'계산도우미'!$L$5:$L$2004,0)),"")</x:f>
      </x:c>
      <x:c r="E410" t="str">
        <x:f>IFERROR(INDEX('계산도우미'!$E$5:$E$2004,MATCH(ROWS($A$6:A410),'계산도우미'!$L$5:$L$2004,0)),"")</x:f>
      </x:c>
      <x:c r="F410" t="str">
        <x:f>IFERROR(INDEX('계산도우미'!$F$5:$F$2004,MATCH(ROWS($A$6:A410),'계산도우미'!$L$5:$L$2004,0)),"")</x:f>
      </x:c>
      <x:c r="G410" s="68" t="str">
        <x:f>IFERROR(INDEX('계산도우미'!$G$5:$G$2004,MATCH(ROWS($A$6:A410),'계산도우미'!$L$5:$L$2004,0)),"")</x:f>
      </x:c>
      <x:c r="H410" t="str">
        <x:f>IFERROR(INDEX('계산도우미'!$H$5:$H$2004,MATCH(ROWS($A$6:A410),'계산도우미'!$L$5:$L$2004,0)),"")</x:f>
      </x:c>
      <x:c r="I410" t="str">
        <x:f>IFERROR(INDEX('계산도우미'!$I$5:$I$2004,MATCH(ROWS($A$6:A410),'계산도우미'!$L$5:$L$2004,0)),"")</x:f>
      </x:c>
      <x:c r="J410" t="str">
        <x:f>IFERROR(INDEX('계산도우미'!$J$5:$J$2004,MATCH(ROWS($A$6:A410),'계산도우미'!$L$5:$L$2004,0)),"")</x:f>
      </x:c>
      <x:c r="K410" t="str">
        <x:f>IF(B410="","",IF(I410="확인 필요","붙임 문서 확인 후 거래 성격·기간·상대방·일회성 여부 확인","결의서명과 전기 대비 발생 건수·단가·시점 차이 검토"))</x:f>
      </x:c>
    </x:row>
    <x:row r="411">
      <x:c r="A411" t="str">
        <x:f>IFERROR(INDEX('계산도우미'!$A$5:$A$2004,MATCH(ROWS($A$6:A411),'계산도우미'!$L$5:$L$2004,0)),"")</x:f>
      </x:c>
      <x:c r="B411" t="str">
        <x:f>IFERROR(INDEX('계산도우미'!$B$5:$B$2004,MATCH(ROWS($A$6:A411),'계산도우미'!$L$5:$L$2004,0)),"")</x:f>
      </x:c>
      <x:c r="C411" t="str">
        <x:f>IFERROR(INDEX('계산도우미'!$C$5:$C$2004,MATCH(ROWS($A$6:A411),'계산도우미'!$L$5:$L$2004,0)),"")</x:f>
      </x:c>
      <x:c r="D411" s="67" t="str">
        <x:f>IFERROR(INDEX('계산도우미'!$D$5:$D$2004,MATCH(ROWS($A$6:A411),'계산도우미'!$L$5:$L$2004,0)),"")</x:f>
      </x:c>
      <x:c r="E411" t="str">
        <x:f>IFERROR(INDEX('계산도우미'!$E$5:$E$2004,MATCH(ROWS($A$6:A411),'계산도우미'!$L$5:$L$2004,0)),"")</x:f>
      </x:c>
      <x:c r="F411" t="str">
        <x:f>IFERROR(INDEX('계산도우미'!$F$5:$F$2004,MATCH(ROWS($A$6:A411),'계산도우미'!$L$5:$L$2004,0)),"")</x:f>
      </x:c>
      <x:c r="G411" s="68" t="str">
        <x:f>IFERROR(INDEX('계산도우미'!$G$5:$G$2004,MATCH(ROWS($A$6:A411),'계산도우미'!$L$5:$L$2004,0)),"")</x:f>
      </x:c>
      <x:c r="H411" t="str">
        <x:f>IFERROR(INDEX('계산도우미'!$H$5:$H$2004,MATCH(ROWS($A$6:A411),'계산도우미'!$L$5:$L$2004,0)),"")</x:f>
      </x:c>
      <x:c r="I411" t="str">
        <x:f>IFERROR(INDEX('계산도우미'!$I$5:$I$2004,MATCH(ROWS($A$6:A411),'계산도우미'!$L$5:$L$2004,0)),"")</x:f>
      </x:c>
      <x:c r="J411" t="str">
        <x:f>IFERROR(INDEX('계산도우미'!$J$5:$J$2004,MATCH(ROWS($A$6:A411),'계산도우미'!$L$5:$L$2004,0)),"")</x:f>
      </x:c>
      <x:c r="K411" t="str">
        <x:f>IF(B411="","",IF(I411="확인 필요","붙임 문서 확인 후 거래 성격·기간·상대방·일회성 여부 확인","결의서명과 전기 대비 발생 건수·단가·시점 차이 검토"))</x:f>
      </x:c>
    </x:row>
    <x:row r="412">
      <x:c r="A412" t="str">
        <x:f>IFERROR(INDEX('계산도우미'!$A$5:$A$2004,MATCH(ROWS($A$6:A412),'계산도우미'!$L$5:$L$2004,0)),"")</x:f>
      </x:c>
      <x:c r="B412" t="str">
        <x:f>IFERROR(INDEX('계산도우미'!$B$5:$B$2004,MATCH(ROWS($A$6:A412),'계산도우미'!$L$5:$L$2004,0)),"")</x:f>
      </x:c>
      <x:c r="C412" t="str">
        <x:f>IFERROR(INDEX('계산도우미'!$C$5:$C$2004,MATCH(ROWS($A$6:A412),'계산도우미'!$L$5:$L$2004,0)),"")</x:f>
      </x:c>
      <x:c r="D412" s="67" t="str">
        <x:f>IFERROR(INDEX('계산도우미'!$D$5:$D$2004,MATCH(ROWS($A$6:A412),'계산도우미'!$L$5:$L$2004,0)),"")</x:f>
      </x:c>
      <x:c r="E412" t="str">
        <x:f>IFERROR(INDEX('계산도우미'!$E$5:$E$2004,MATCH(ROWS($A$6:A412),'계산도우미'!$L$5:$L$2004,0)),"")</x:f>
      </x:c>
      <x:c r="F412" t="str">
        <x:f>IFERROR(INDEX('계산도우미'!$F$5:$F$2004,MATCH(ROWS($A$6:A412),'계산도우미'!$L$5:$L$2004,0)),"")</x:f>
      </x:c>
      <x:c r="G412" s="68" t="str">
        <x:f>IFERROR(INDEX('계산도우미'!$G$5:$G$2004,MATCH(ROWS($A$6:A412),'계산도우미'!$L$5:$L$2004,0)),"")</x:f>
      </x:c>
      <x:c r="H412" t="str">
        <x:f>IFERROR(INDEX('계산도우미'!$H$5:$H$2004,MATCH(ROWS($A$6:A412),'계산도우미'!$L$5:$L$2004,0)),"")</x:f>
      </x:c>
      <x:c r="I412" t="str">
        <x:f>IFERROR(INDEX('계산도우미'!$I$5:$I$2004,MATCH(ROWS($A$6:A412),'계산도우미'!$L$5:$L$2004,0)),"")</x:f>
      </x:c>
      <x:c r="J412" t="str">
        <x:f>IFERROR(INDEX('계산도우미'!$J$5:$J$2004,MATCH(ROWS($A$6:A412),'계산도우미'!$L$5:$L$2004,0)),"")</x:f>
      </x:c>
      <x:c r="K412" t="str">
        <x:f>IF(B412="","",IF(I412="확인 필요","붙임 문서 확인 후 거래 성격·기간·상대방·일회성 여부 확인","결의서명과 전기 대비 발생 건수·단가·시점 차이 검토"))</x:f>
      </x:c>
    </x:row>
    <x:row r="413">
      <x:c r="A413" t="str">
        <x:f>IFERROR(INDEX('계산도우미'!$A$5:$A$2004,MATCH(ROWS($A$6:A413),'계산도우미'!$L$5:$L$2004,0)),"")</x:f>
      </x:c>
      <x:c r="B413" t="str">
        <x:f>IFERROR(INDEX('계산도우미'!$B$5:$B$2004,MATCH(ROWS($A$6:A413),'계산도우미'!$L$5:$L$2004,0)),"")</x:f>
      </x:c>
      <x:c r="C413" t="str">
        <x:f>IFERROR(INDEX('계산도우미'!$C$5:$C$2004,MATCH(ROWS($A$6:A413),'계산도우미'!$L$5:$L$2004,0)),"")</x:f>
      </x:c>
      <x:c r="D413" s="67" t="str">
        <x:f>IFERROR(INDEX('계산도우미'!$D$5:$D$2004,MATCH(ROWS($A$6:A413),'계산도우미'!$L$5:$L$2004,0)),"")</x:f>
      </x:c>
      <x:c r="E413" t="str">
        <x:f>IFERROR(INDEX('계산도우미'!$E$5:$E$2004,MATCH(ROWS($A$6:A413),'계산도우미'!$L$5:$L$2004,0)),"")</x:f>
      </x:c>
      <x:c r="F413" t="str">
        <x:f>IFERROR(INDEX('계산도우미'!$F$5:$F$2004,MATCH(ROWS($A$6:A413),'계산도우미'!$L$5:$L$2004,0)),"")</x:f>
      </x:c>
      <x:c r="G413" s="68" t="str">
        <x:f>IFERROR(INDEX('계산도우미'!$G$5:$G$2004,MATCH(ROWS($A$6:A413),'계산도우미'!$L$5:$L$2004,0)),"")</x:f>
      </x:c>
      <x:c r="H413" t="str">
        <x:f>IFERROR(INDEX('계산도우미'!$H$5:$H$2004,MATCH(ROWS($A$6:A413),'계산도우미'!$L$5:$L$2004,0)),"")</x:f>
      </x:c>
      <x:c r="I413" t="str">
        <x:f>IFERROR(INDEX('계산도우미'!$I$5:$I$2004,MATCH(ROWS($A$6:A413),'계산도우미'!$L$5:$L$2004,0)),"")</x:f>
      </x:c>
      <x:c r="J413" t="str">
        <x:f>IFERROR(INDEX('계산도우미'!$J$5:$J$2004,MATCH(ROWS($A$6:A413),'계산도우미'!$L$5:$L$2004,0)),"")</x:f>
      </x:c>
      <x:c r="K413" t="str">
        <x:f>IF(B413="","",IF(I413="확인 필요","붙임 문서 확인 후 거래 성격·기간·상대방·일회성 여부 확인","결의서명과 전기 대비 발생 건수·단가·시점 차이 검토"))</x:f>
      </x:c>
    </x:row>
    <x:row r="414">
      <x:c r="A414" t="str">
        <x:f>IFERROR(INDEX('계산도우미'!$A$5:$A$2004,MATCH(ROWS($A$6:A414),'계산도우미'!$L$5:$L$2004,0)),"")</x:f>
      </x:c>
      <x:c r="B414" t="str">
        <x:f>IFERROR(INDEX('계산도우미'!$B$5:$B$2004,MATCH(ROWS($A$6:A414),'계산도우미'!$L$5:$L$2004,0)),"")</x:f>
      </x:c>
      <x:c r="C414" t="str">
        <x:f>IFERROR(INDEX('계산도우미'!$C$5:$C$2004,MATCH(ROWS($A$6:A414),'계산도우미'!$L$5:$L$2004,0)),"")</x:f>
      </x:c>
      <x:c r="D414" s="67" t="str">
        <x:f>IFERROR(INDEX('계산도우미'!$D$5:$D$2004,MATCH(ROWS($A$6:A414),'계산도우미'!$L$5:$L$2004,0)),"")</x:f>
      </x:c>
      <x:c r="E414" t="str">
        <x:f>IFERROR(INDEX('계산도우미'!$E$5:$E$2004,MATCH(ROWS($A$6:A414),'계산도우미'!$L$5:$L$2004,0)),"")</x:f>
      </x:c>
      <x:c r="F414" t="str">
        <x:f>IFERROR(INDEX('계산도우미'!$F$5:$F$2004,MATCH(ROWS($A$6:A414),'계산도우미'!$L$5:$L$2004,0)),"")</x:f>
      </x:c>
      <x:c r="G414" s="68" t="str">
        <x:f>IFERROR(INDEX('계산도우미'!$G$5:$G$2004,MATCH(ROWS($A$6:A414),'계산도우미'!$L$5:$L$2004,0)),"")</x:f>
      </x:c>
      <x:c r="H414" t="str">
        <x:f>IFERROR(INDEX('계산도우미'!$H$5:$H$2004,MATCH(ROWS($A$6:A414),'계산도우미'!$L$5:$L$2004,0)),"")</x:f>
      </x:c>
      <x:c r="I414" t="str">
        <x:f>IFERROR(INDEX('계산도우미'!$I$5:$I$2004,MATCH(ROWS($A$6:A414),'계산도우미'!$L$5:$L$2004,0)),"")</x:f>
      </x:c>
      <x:c r="J414" t="str">
        <x:f>IFERROR(INDEX('계산도우미'!$J$5:$J$2004,MATCH(ROWS($A$6:A414),'계산도우미'!$L$5:$L$2004,0)),"")</x:f>
      </x:c>
      <x:c r="K414" t="str">
        <x:f>IF(B414="","",IF(I414="확인 필요","붙임 문서 확인 후 거래 성격·기간·상대방·일회성 여부 확인","결의서명과 전기 대비 발생 건수·단가·시점 차이 검토"))</x:f>
      </x:c>
    </x:row>
    <x:row r="415">
      <x:c r="A415" t="str">
        <x:f>IFERROR(INDEX('계산도우미'!$A$5:$A$2004,MATCH(ROWS($A$6:A415),'계산도우미'!$L$5:$L$2004,0)),"")</x:f>
      </x:c>
      <x:c r="B415" t="str">
        <x:f>IFERROR(INDEX('계산도우미'!$B$5:$B$2004,MATCH(ROWS($A$6:A415),'계산도우미'!$L$5:$L$2004,0)),"")</x:f>
      </x:c>
      <x:c r="C415" t="str">
        <x:f>IFERROR(INDEX('계산도우미'!$C$5:$C$2004,MATCH(ROWS($A$6:A415),'계산도우미'!$L$5:$L$2004,0)),"")</x:f>
      </x:c>
      <x:c r="D415" s="67" t="str">
        <x:f>IFERROR(INDEX('계산도우미'!$D$5:$D$2004,MATCH(ROWS($A$6:A415),'계산도우미'!$L$5:$L$2004,0)),"")</x:f>
      </x:c>
      <x:c r="E415" t="str">
        <x:f>IFERROR(INDEX('계산도우미'!$E$5:$E$2004,MATCH(ROWS($A$6:A415),'계산도우미'!$L$5:$L$2004,0)),"")</x:f>
      </x:c>
      <x:c r="F415" t="str">
        <x:f>IFERROR(INDEX('계산도우미'!$F$5:$F$2004,MATCH(ROWS($A$6:A415),'계산도우미'!$L$5:$L$2004,0)),"")</x:f>
      </x:c>
      <x:c r="G415" s="68" t="str">
        <x:f>IFERROR(INDEX('계산도우미'!$G$5:$G$2004,MATCH(ROWS($A$6:A415),'계산도우미'!$L$5:$L$2004,0)),"")</x:f>
      </x:c>
      <x:c r="H415" t="str">
        <x:f>IFERROR(INDEX('계산도우미'!$H$5:$H$2004,MATCH(ROWS($A$6:A415),'계산도우미'!$L$5:$L$2004,0)),"")</x:f>
      </x:c>
      <x:c r="I415" t="str">
        <x:f>IFERROR(INDEX('계산도우미'!$I$5:$I$2004,MATCH(ROWS($A$6:A415),'계산도우미'!$L$5:$L$2004,0)),"")</x:f>
      </x:c>
      <x:c r="J415" t="str">
        <x:f>IFERROR(INDEX('계산도우미'!$J$5:$J$2004,MATCH(ROWS($A$6:A415),'계산도우미'!$L$5:$L$2004,0)),"")</x:f>
      </x:c>
      <x:c r="K415" t="str">
        <x:f>IF(B415="","",IF(I415="확인 필요","붙임 문서 확인 후 거래 성격·기간·상대방·일회성 여부 확인","결의서명과 전기 대비 발생 건수·단가·시점 차이 검토"))</x:f>
      </x:c>
    </x:row>
    <x:row r="416">
      <x:c r="A416" t="str">
        <x:f>IFERROR(INDEX('계산도우미'!$A$5:$A$2004,MATCH(ROWS($A$6:A416),'계산도우미'!$L$5:$L$2004,0)),"")</x:f>
      </x:c>
      <x:c r="B416" t="str">
        <x:f>IFERROR(INDEX('계산도우미'!$B$5:$B$2004,MATCH(ROWS($A$6:A416),'계산도우미'!$L$5:$L$2004,0)),"")</x:f>
      </x:c>
      <x:c r="C416" t="str">
        <x:f>IFERROR(INDEX('계산도우미'!$C$5:$C$2004,MATCH(ROWS($A$6:A416),'계산도우미'!$L$5:$L$2004,0)),"")</x:f>
      </x:c>
      <x:c r="D416" s="67" t="str">
        <x:f>IFERROR(INDEX('계산도우미'!$D$5:$D$2004,MATCH(ROWS($A$6:A416),'계산도우미'!$L$5:$L$2004,0)),"")</x:f>
      </x:c>
      <x:c r="E416" t="str">
        <x:f>IFERROR(INDEX('계산도우미'!$E$5:$E$2004,MATCH(ROWS($A$6:A416),'계산도우미'!$L$5:$L$2004,0)),"")</x:f>
      </x:c>
      <x:c r="F416" t="str">
        <x:f>IFERROR(INDEX('계산도우미'!$F$5:$F$2004,MATCH(ROWS($A$6:A416),'계산도우미'!$L$5:$L$2004,0)),"")</x:f>
      </x:c>
      <x:c r="G416" s="68" t="str">
        <x:f>IFERROR(INDEX('계산도우미'!$G$5:$G$2004,MATCH(ROWS($A$6:A416),'계산도우미'!$L$5:$L$2004,0)),"")</x:f>
      </x:c>
      <x:c r="H416" t="str">
        <x:f>IFERROR(INDEX('계산도우미'!$H$5:$H$2004,MATCH(ROWS($A$6:A416),'계산도우미'!$L$5:$L$2004,0)),"")</x:f>
      </x:c>
      <x:c r="I416" t="str">
        <x:f>IFERROR(INDEX('계산도우미'!$I$5:$I$2004,MATCH(ROWS($A$6:A416),'계산도우미'!$L$5:$L$2004,0)),"")</x:f>
      </x:c>
      <x:c r="J416" t="str">
        <x:f>IFERROR(INDEX('계산도우미'!$J$5:$J$2004,MATCH(ROWS($A$6:A416),'계산도우미'!$L$5:$L$2004,0)),"")</x:f>
      </x:c>
      <x:c r="K416" t="str">
        <x:f>IF(B416="","",IF(I416="확인 필요","붙임 문서 확인 후 거래 성격·기간·상대방·일회성 여부 확인","결의서명과 전기 대비 발생 건수·단가·시점 차이 검토"))</x:f>
      </x:c>
    </x:row>
    <x:row r="417">
      <x:c r="A417" t="str">
        <x:f>IFERROR(INDEX('계산도우미'!$A$5:$A$2004,MATCH(ROWS($A$6:A417),'계산도우미'!$L$5:$L$2004,0)),"")</x:f>
      </x:c>
      <x:c r="B417" t="str">
        <x:f>IFERROR(INDEX('계산도우미'!$B$5:$B$2004,MATCH(ROWS($A$6:A417),'계산도우미'!$L$5:$L$2004,0)),"")</x:f>
      </x:c>
      <x:c r="C417" t="str">
        <x:f>IFERROR(INDEX('계산도우미'!$C$5:$C$2004,MATCH(ROWS($A$6:A417),'계산도우미'!$L$5:$L$2004,0)),"")</x:f>
      </x:c>
      <x:c r="D417" s="67" t="str">
        <x:f>IFERROR(INDEX('계산도우미'!$D$5:$D$2004,MATCH(ROWS($A$6:A417),'계산도우미'!$L$5:$L$2004,0)),"")</x:f>
      </x:c>
      <x:c r="E417" t="str">
        <x:f>IFERROR(INDEX('계산도우미'!$E$5:$E$2004,MATCH(ROWS($A$6:A417),'계산도우미'!$L$5:$L$2004,0)),"")</x:f>
      </x:c>
      <x:c r="F417" t="str">
        <x:f>IFERROR(INDEX('계산도우미'!$F$5:$F$2004,MATCH(ROWS($A$6:A417),'계산도우미'!$L$5:$L$2004,0)),"")</x:f>
      </x:c>
      <x:c r="G417" s="68" t="str">
        <x:f>IFERROR(INDEX('계산도우미'!$G$5:$G$2004,MATCH(ROWS($A$6:A417),'계산도우미'!$L$5:$L$2004,0)),"")</x:f>
      </x:c>
      <x:c r="H417" t="str">
        <x:f>IFERROR(INDEX('계산도우미'!$H$5:$H$2004,MATCH(ROWS($A$6:A417),'계산도우미'!$L$5:$L$2004,0)),"")</x:f>
      </x:c>
      <x:c r="I417" t="str">
        <x:f>IFERROR(INDEX('계산도우미'!$I$5:$I$2004,MATCH(ROWS($A$6:A417),'계산도우미'!$L$5:$L$2004,0)),"")</x:f>
      </x:c>
      <x:c r="J417" t="str">
        <x:f>IFERROR(INDEX('계산도우미'!$J$5:$J$2004,MATCH(ROWS($A$6:A417),'계산도우미'!$L$5:$L$2004,0)),"")</x:f>
      </x:c>
      <x:c r="K417" t="str">
        <x:f>IF(B417="","",IF(I417="확인 필요","붙임 문서 확인 후 거래 성격·기간·상대방·일회성 여부 확인","결의서명과 전기 대비 발생 건수·단가·시점 차이 검토"))</x:f>
      </x:c>
    </x:row>
    <x:row r="418">
      <x:c r="A418" t="str">
        <x:f>IFERROR(INDEX('계산도우미'!$A$5:$A$2004,MATCH(ROWS($A$6:A418),'계산도우미'!$L$5:$L$2004,0)),"")</x:f>
      </x:c>
      <x:c r="B418" t="str">
        <x:f>IFERROR(INDEX('계산도우미'!$B$5:$B$2004,MATCH(ROWS($A$6:A418),'계산도우미'!$L$5:$L$2004,0)),"")</x:f>
      </x:c>
      <x:c r="C418" t="str">
        <x:f>IFERROR(INDEX('계산도우미'!$C$5:$C$2004,MATCH(ROWS($A$6:A418),'계산도우미'!$L$5:$L$2004,0)),"")</x:f>
      </x:c>
      <x:c r="D418" s="67" t="str">
        <x:f>IFERROR(INDEX('계산도우미'!$D$5:$D$2004,MATCH(ROWS($A$6:A418),'계산도우미'!$L$5:$L$2004,0)),"")</x:f>
      </x:c>
      <x:c r="E418" t="str">
        <x:f>IFERROR(INDEX('계산도우미'!$E$5:$E$2004,MATCH(ROWS($A$6:A418),'계산도우미'!$L$5:$L$2004,0)),"")</x:f>
      </x:c>
      <x:c r="F418" t="str">
        <x:f>IFERROR(INDEX('계산도우미'!$F$5:$F$2004,MATCH(ROWS($A$6:A418),'계산도우미'!$L$5:$L$2004,0)),"")</x:f>
      </x:c>
      <x:c r="G418" s="68" t="str">
        <x:f>IFERROR(INDEX('계산도우미'!$G$5:$G$2004,MATCH(ROWS($A$6:A418),'계산도우미'!$L$5:$L$2004,0)),"")</x:f>
      </x:c>
      <x:c r="H418" t="str">
        <x:f>IFERROR(INDEX('계산도우미'!$H$5:$H$2004,MATCH(ROWS($A$6:A418),'계산도우미'!$L$5:$L$2004,0)),"")</x:f>
      </x:c>
      <x:c r="I418" t="str">
        <x:f>IFERROR(INDEX('계산도우미'!$I$5:$I$2004,MATCH(ROWS($A$6:A418),'계산도우미'!$L$5:$L$2004,0)),"")</x:f>
      </x:c>
      <x:c r="J418" t="str">
        <x:f>IFERROR(INDEX('계산도우미'!$J$5:$J$2004,MATCH(ROWS($A$6:A418),'계산도우미'!$L$5:$L$2004,0)),"")</x:f>
      </x:c>
      <x:c r="K418" t="str">
        <x:f>IF(B418="","",IF(I418="확인 필요","붙임 문서 확인 후 거래 성격·기간·상대방·일회성 여부 확인","결의서명과 전기 대비 발생 건수·단가·시점 차이 검토"))</x:f>
      </x:c>
    </x:row>
    <x:row r="419">
      <x:c r="A419" t="str">
        <x:f>IFERROR(INDEX('계산도우미'!$A$5:$A$2004,MATCH(ROWS($A$6:A419),'계산도우미'!$L$5:$L$2004,0)),"")</x:f>
      </x:c>
      <x:c r="B419" t="str">
        <x:f>IFERROR(INDEX('계산도우미'!$B$5:$B$2004,MATCH(ROWS($A$6:A419),'계산도우미'!$L$5:$L$2004,0)),"")</x:f>
      </x:c>
      <x:c r="C419" t="str">
        <x:f>IFERROR(INDEX('계산도우미'!$C$5:$C$2004,MATCH(ROWS($A$6:A419),'계산도우미'!$L$5:$L$2004,0)),"")</x:f>
      </x:c>
      <x:c r="D419" s="67" t="str">
        <x:f>IFERROR(INDEX('계산도우미'!$D$5:$D$2004,MATCH(ROWS($A$6:A419),'계산도우미'!$L$5:$L$2004,0)),"")</x:f>
      </x:c>
      <x:c r="E419" t="str">
        <x:f>IFERROR(INDEX('계산도우미'!$E$5:$E$2004,MATCH(ROWS($A$6:A419),'계산도우미'!$L$5:$L$2004,0)),"")</x:f>
      </x:c>
      <x:c r="F419" t="str">
        <x:f>IFERROR(INDEX('계산도우미'!$F$5:$F$2004,MATCH(ROWS($A$6:A419),'계산도우미'!$L$5:$L$2004,0)),"")</x:f>
      </x:c>
      <x:c r="G419" s="68" t="str">
        <x:f>IFERROR(INDEX('계산도우미'!$G$5:$G$2004,MATCH(ROWS($A$6:A419),'계산도우미'!$L$5:$L$2004,0)),"")</x:f>
      </x:c>
      <x:c r="H419" t="str">
        <x:f>IFERROR(INDEX('계산도우미'!$H$5:$H$2004,MATCH(ROWS($A$6:A419),'계산도우미'!$L$5:$L$2004,0)),"")</x:f>
      </x:c>
      <x:c r="I419" t="str">
        <x:f>IFERROR(INDEX('계산도우미'!$I$5:$I$2004,MATCH(ROWS($A$6:A419),'계산도우미'!$L$5:$L$2004,0)),"")</x:f>
      </x:c>
      <x:c r="J419" t="str">
        <x:f>IFERROR(INDEX('계산도우미'!$J$5:$J$2004,MATCH(ROWS($A$6:A419),'계산도우미'!$L$5:$L$2004,0)),"")</x:f>
      </x:c>
      <x:c r="K419" t="str">
        <x:f>IF(B419="","",IF(I419="확인 필요","붙임 문서 확인 후 거래 성격·기간·상대방·일회성 여부 확인","결의서명과 전기 대비 발생 건수·단가·시점 차이 검토"))</x:f>
      </x:c>
    </x:row>
    <x:row r="420">
      <x:c r="A420" t="str">
        <x:f>IFERROR(INDEX('계산도우미'!$A$5:$A$2004,MATCH(ROWS($A$6:A420),'계산도우미'!$L$5:$L$2004,0)),"")</x:f>
      </x:c>
      <x:c r="B420" t="str">
        <x:f>IFERROR(INDEX('계산도우미'!$B$5:$B$2004,MATCH(ROWS($A$6:A420),'계산도우미'!$L$5:$L$2004,0)),"")</x:f>
      </x:c>
      <x:c r="C420" t="str">
        <x:f>IFERROR(INDEX('계산도우미'!$C$5:$C$2004,MATCH(ROWS($A$6:A420),'계산도우미'!$L$5:$L$2004,0)),"")</x:f>
      </x:c>
      <x:c r="D420" s="67" t="str">
        <x:f>IFERROR(INDEX('계산도우미'!$D$5:$D$2004,MATCH(ROWS($A$6:A420),'계산도우미'!$L$5:$L$2004,0)),"")</x:f>
      </x:c>
      <x:c r="E420" t="str">
        <x:f>IFERROR(INDEX('계산도우미'!$E$5:$E$2004,MATCH(ROWS($A$6:A420),'계산도우미'!$L$5:$L$2004,0)),"")</x:f>
      </x:c>
      <x:c r="F420" t="str">
        <x:f>IFERROR(INDEX('계산도우미'!$F$5:$F$2004,MATCH(ROWS($A$6:A420),'계산도우미'!$L$5:$L$2004,0)),"")</x:f>
      </x:c>
      <x:c r="G420" s="68" t="str">
        <x:f>IFERROR(INDEX('계산도우미'!$G$5:$G$2004,MATCH(ROWS($A$6:A420),'계산도우미'!$L$5:$L$2004,0)),"")</x:f>
      </x:c>
      <x:c r="H420" t="str">
        <x:f>IFERROR(INDEX('계산도우미'!$H$5:$H$2004,MATCH(ROWS($A$6:A420),'계산도우미'!$L$5:$L$2004,0)),"")</x:f>
      </x:c>
      <x:c r="I420" t="str">
        <x:f>IFERROR(INDEX('계산도우미'!$I$5:$I$2004,MATCH(ROWS($A$6:A420),'계산도우미'!$L$5:$L$2004,0)),"")</x:f>
      </x:c>
      <x:c r="J420" t="str">
        <x:f>IFERROR(INDEX('계산도우미'!$J$5:$J$2004,MATCH(ROWS($A$6:A420),'계산도우미'!$L$5:$L$2004,0)),"")</x:f>
      </x:c>
      <x:c r="K420" t="str">
        <x:f>IF(B420="","",IF(I420="확인 필요","붙임 문서 확인 후 거래 성격·기간·상대방·일회성 여부 확인","결의서명과 전기 대비 발생 건수·단가·시점 차이 검토"))</x:f>
      </x:c>
    </x:row>
    <x:row r="421">
      <x:c r="A421" t="str">
        <x:f>IFERROR(INDEX('계산도우미'!$A$5:$A$2004,MATCH(ROWS($A$6:A421),'계산도우미'!$L$5:$L$2004,0)),"")</x:f>
      </x:c>
      <x:c r="B421" t="str">
        <x:f>IFERROR(INDEX('계산도우미'!$B$5:$B$2004,MATCH(ROWS($A$6:A421),'계산도우미'!$L$5:$L$2004,0)),"")</x:f>
      </x:c>
      <x:c r="C421" t="str">
        <x:f>IFERROR(INDEX('계산도우미'!$C$5:$C$2004,MATCH(ROWS($A$6:A421),'계산도우미'!$L$5:$L$2004,0)),"")</x:f>
      </x:c>
      <x:c r="D421" s="67" t="str">
        <x:f>IFERROR(INDEX('계산도우미'!$D$5:$D$2004,MATCH(ROWS($A$6:A421),'계산도우미'!$L$5:$L$2004,0)),"")</x:f>
      </x:c>
      <x:c r="E421" t="str">
        <x:f>IFERROR(INDEX('계산도우미'!$E$5:$E$2004,MATCH(ROWS($A$6:A421),'계산도우미'!$L$5:$L$2004,0)),"")</x:f>
      </x:c>
      <x:c r="F421" t="str">
        <x:f>IFERROR(INDEX('계산도우미'!$F$5:$F$2004,MATCH(ROWS($A$6:A421),'계산도우미'!$L$5:$L$2004,0)),"")</x:f>
      </x:c>
      <x:c r="G421" s="68" t="str">
        <x:f>IFERROR(INDEX('계산도우미'!$G$5:$G$2004,MATCH(ROWS($A$6:A421),'계산도우미'!$L$5:$L$2004,0)),"")</x:f>
      </x:c>
      <x:c r="H421" t="str">
        <x:f>IFERROR(INDEX('계산도우미'!$H$5:$H$2004,MATCH(ROWS($A$6:A421),'계산도우미'!$L$5:$L$2004,0)),"")</x:f>
      </x:c>
      <x:c r="I421" t="str">
        <x:f>IFERROR(INDEX('계산도우미'!$I$5:$I$2004,MATCH(ROWS($A$6:A421),'계산도우미'!$L$5:$L$2004,0)),"")</x:f>
      </x:c>
      <x:c r="J421" t="str">
        <x:f>IFERROR(INDEX('계산도우미'!$J$5:$J$2004,MATCH(ROWS($A$6:A421),'계산도우미'!$L$5:$L$2004,0)),"")</x:f>
      </x:c>
      <x:c r="K421" t="str">
        <x:f>IF(B421="","",IF(I421="확인 필요","붙임 문서 확인 후 거래 성격·기간·상대방·일회성 여부 확인","결의서명과 전기 대비 발생 건수·단가·시점 차이 검토"))</x:f>
      </x:c>
    </x:row>
    <x:row r="422">
      <x:c r="A422" t="str">
        <x:f>IFERROR(INDEX('계산도우미'!$A$5:$A$2004,MATCH(ROWS($A$6:A422),'계산도우미'!$L$5:$L$2004,0)),"")</x:f>
      </x:c>
      <x:c r="B422" t="str">
        <x:f>IFERROR(INDEX('계산도우미'!$B$5:$B$2004,MATCH(ROWS($A$6:A422),'계산도우미'!$L$5:$L$2004,0)),"")</x:f>
      </x:c>
      <x:c r="C422" t="str">
        <x:f>IFERROR(INDEX('계산도우미'!$C$5:$C$2004,MATCH(ROWS($A$6:A422),'계산도우미'!$L$5:$L$2004,0)),"")</x:f>
      </x:c>
      <x:c r="D422" s="67" t="str">
        <x:f>IFERROR(INDEX('계산도우미'!$D$5:$D$2004,MATCH(ROWS($A$6:A422),'계산도우미'!$L$5:$L$2004,0)),"")</x:f>
      </x:c>
      <x:c r="E422" t="str">
        <x:f>IFERROR(INDEX('계산도우미'!$E$5:$E$2004,MATCH(ROWS($A$6:A422),'계산도우미'!$L$5:$L$2004,0)),"")</x:f>
      </x:c>
      <x:c r="F422" t="str">
        <x:f>IFERROR(INDEX('계산도우미'!$F$5:$F$2004,MATCH(ROWS($A$6:A422),'계산도우미'!$L$5:$L$2004,0)),"")</x:f>
      </x:c>
      <x:c r="G422" s="68" t="str">
        <x:f>IFERROR(INDEX('계산도우미'!$G$5:$G$2004,MATCH(ROWS($A$6:A422),'계산도우미'!$L$5:$L$2004,0)),"")</x:f>
      </x:c>
      <x:c r="H422" t="str">
        <x:f>IFERROR(INDEX('계산도우미'!$H$5:$H$2004,MATCH(ROWS($A$6:A422),'계산도우미'!$L$5:$L$2004,0)),"")</x:f>
      </x:c>
      <x:c r="I422" t="str">
        <x:f>IFERROR(INDEX('계산도우미'!$I$5:$I$2004,MATCH(ROWS($A$6:A422),'계산도우미'!$L$5:$L$2004,0)),"")</x:f>
      </x:c>
      <x:c r="J422" t="str">
        <x:f>IFERROR(INDEX('계산도우미'!$J$5:$J$2004,MATCH(ROWS($A$6:A422),'계산도우미'!$L$5:$L$2004,0)),"")</x:f>
      </x:c>
      <x:c r="K422" t="str">
        <x:f>IF(B422="","",IF(I422="확인 필요","붙임 문서 확인 후 거래 성격·기간·상대방·일회성 여부 확인","결의서명과 전기 대비 발생 건수·단가·시점 차이 검토"))</x:f>
      </x:c>
    </x:row>
    <x:row r="423">
      <x:c r="A423" t="str">
        <x:f>IFERROR(INDEX('계산도우미'!$A$5:$A$2004,MATCH(ROWS($A$6:A423),'계산도우미'!$L$5:$L$2004,0)),"")</x:f>
      </x:c>
      <x:c r="B423" t="str">
        <x:f>IFERROR(INDEX('계산도우미'!$B$5:$B$2004,MATCH(ROWS($A$6:A423),'계산도우미'!$L$5:$L$2004,0)),"")</x:f>
      </x:c>
      <x:c r="C423" t="str">
        <x:f>IFERROR(INDEX('계산도우미'!$C$5:$C$2004,MATCH(ROWS($A$6:A423),'계산도우미'!$L$5:$L$2004,0)),"")</x:f>
      </x:c>
      <x:c r="D423" s="67" t="str">
        <x:f>IFERROR(INDEX('계산도우미'!$D$5:$D$2004,MATCH(ROWS($A$6:A423),'계산도우미'!$L$5:$L$2004,0)),"")</x:f>
      </x:c>
      <x:c r="E423" t="str">
        <x:f>IFERROR(INDEX('계산도우미'!$E$5:$E$2004,MATCH(ROWS($A$6:A423),'계산도우미'!$L$5:$L$2004,0)),"")</x:f>
      </x:c>
      <x:c r="F423" t="str">
        <x:f>IFERROR(INDEX('계산도우미'!$F$5:$F$2004,MATCH(ROWS($A$6:A423),'계산도우미'!$L$5:$L$2004,0)),"")</x:f>
      </x:c>
      <x:c r="G423" s="68" t="str">
        <x:f>IFERROR(INDEX('계산도우미'!$G$5:$G$2004,MATCH(ROWS($A$6:A423),'계산도우미'!$L$5:$L$2004,0)),"")</x:f>
      </x:c>
      <x:c r="H423" t="str">
        <x:f>IFERROR(INDEX('계산도우미'!$H$5:$H$2004,MATCH(ROWS($A$6:A423),'계산도우미'!$L$5:$L$2004,0)),"")</x:f>
      </x:c>
      <x:c r="I423" t="str">
        <x:f>IFERROR(INDEX('계산도우미'!$I$5:$I$2004,MATCH(ROWS($A$6:A423),'계산도우미'!$L$5:$L$2004,0)),"")</x:f>
      </x:c>
      <x:c r="J423" t="str">
        <x:f>IFERROR(INDEX('계산도우미'!$J$5:$J$2004,MATCH(ROWS($A$6:A423),'계산도우미'!$L$5:$L$2004,0)),"")</x:f>
      </x:c>
      <x:c r="K423" t="str">
        <x:f>IF(B423="","",IF(I423="확인 필요","붙임 문서 확인 후 거래 성격·기간·상대방·일회성 여부 확인","결의서명과 전기 대비 발생 건수·단가·시점 차이 검토"))</x:f>
      </x:c>
    </x:row>
    <x:row r="424">
      <x:c r="A424" t="str">
        <x:f>IFERROR(INDEX('계산도우미'!$A$5:$A$2004,MATCH(ROWS($A$6:A424),'계산도우미'!$L$5:$L$2004,0)),"")</x:f>
      </x:c>
      <x:c r="B424" t="str">
        <x:f>IFERROR(INDEX('계산도우미'!$B$5:$B$2004,MATCH(ROWS($A$6:A424),'계산도우미'!$L$5:$L$2004,0)),"")</x:f>
      </x:c>
      <x:c r="C424" t="str">
        <x:f>IFERROR(INDEX('계산도우미'!$C$5:$C$2004,MATCH(ROWS($A$6:A424),'계산도우미'!$L$5:$L$2004,0)),"")</x:f>
      </x:c>
      <x:c r="D424" s="67" t="str">
        <x:f>IFERROR(INDEX('계산도우미'!$D$5:$D$2004,MATCH(ROWS($A$6:A424),'계산도우미'!$L$5:$L$2004,0)),"")</x:f>
      </x:c>
      <x:c r="E424" t="str">
        <x:f>IFERROR(INDEX('계산도우미'!$E$5:$E$2004,MATCH(ROWS($A$6:A424),'계산도우미'!$L$5:$L$2004,0)),"")</x:f>
      </x:c>
      <x:c r="F424" t="str">
        <x:f>IFERROR(INDEX('계산도우미'!$F$5:$F$2004,MATCH(ROWS($A$6:A424),'계산도우미'!$L$5:$L$2004,0)),"")</x:f>
      </x:c>
      <x:c r="G424" s="68" t="str">
        <x:f>IFERROR(INDEX('계산도우미'!$G$5:$G$2004,MATCH(ROWS($A$6:A424),'계산도우미'!$L$5:$L$2004,0)),"")</x:f>
      </x:c>
      <x:c r="H424" t="str">
        <x:f>IFERROR(INDEX('계산도우미'!$H$5:$H$2004,MATCH(ROWS($A$6:A424),'계산도우미'!$L$5:$L$2004,0)),"")</x:f>
      </x:c>
      <x:c r="I424" t="str">
        <x:f>IFERROR(INDEX('계산도우미'!$I$5:$I$2004,MATCH(ROWS($A$6:A424),'계산도우미'!$L$5:$L$2004,0)),"")</x:f>
      </x:c>
      <x:c r="J424" t="str">
        <x:f>IFERROR(INDEX('계산도우미'!$J$5:$J$2004,MATCH(ROWS($A$6:A424),'계산도우미'!$L$5:$L$2004,0)),"")</x:f>
      </x:c>
      <x:c r="K424" t="str">
        <x:f>IF(B424="","",IF(I424="확인 필요","붙임 문서 확인 후 거래 성격·기간·상대방·일회성 여부 확인","결의서명과 전기 대비 발생 건수·단가·시점 차이 검토"))</x:f>
      </x:c>
    </x:row>
    <x:row r="425">
      <x:c r="A425" t="str">
        <x:f>IFERROR(INDEX('계산도우미'!$A$5:$A$2004,MATCH(ROWS($A$6:A425),'계산도우미'!$L$5:$L$2004,0)),"")</x:f>
      </x:c>
      <x:c r="B425" t="str">
        <x:f>IFERROR(INDEX('계산도우미'!$B$5:$B$2004,MATCH(ROWS($A$6:A425),'계산도우미'!$L$5:$L$2004,0)),"")</x:f>
      </x:c>
      <x:c r="C425" t="str">
        <x:f>IFERROR(INDEX('계산도우미'!$C$5:$C$2004,MATCH(ROWS($A$6:A425),'계산도우미'!$L$5:$L$2004,0)),"")</x:f>
      </x:c>
      <x:c r="D425" s="67" t="str">
        <x:f>IFERROR(INDEX('계산도우미'!$D$5:$D$2004,MATCH(ROWS($A$6:A425),'계산도우미'!$L$5:$L$2004,0)),"")</x:f>
      </x:c>
      <x:c r="E425" t="str">
        <x:f>IFERROR(INDEX('계산도우미'!$E$5:$E$2004,MATCH(ROWS($A$6:A425),'계산도우미'!$L$5:$L$2004,0)),"")</x:f>
      </x:c>
      <x:c r="F425" t="str">
        <x:f>IFERROR(INDEX('계산도우미'!$F$5:$F$2004,MATCH(ROWS($A$6:A425),'계산도우미'!$L$5:$L$2004,0)),"")</x:f>
      </x:c>
      <x:c r="G425" s="68" t="str">
        <x:f>IFERROR(INDEX('계산도우미'!$G$5:$G$2004,MATCH(ROWS($A$6:A425),'계산도우미'!$L$5:$L$2004,0)),"")</x:f>
      </x:c>
      <x:c r="H425" t="str">
        <x:f>IFERROR(INDEX('계산도우미'!$H$5:$H$2004,MATCH(ROWS($A$6:A425),'계산도우미'!$L$5:$L$2004,0)),"")</x:f>
      </x:c>
      <x:c r="I425" t="str">
        <x:f>IFERROR(INDEX('계산도우미'!$I$5:$I$2004,MATCH(ROWS($A$6:A425),'계산도우미'!$L$5:$L$2004,0)),"")</x:f>
      </x:c>
      <x:c r="J425" t="str">
        <x:f>IFERROR(INDEX('계산도우미'!$J$5:$J$2004,MATCH(ROWS($A$6:A425),'계산도우미'!$L$5:$L$2004,0)),"")</x:f>
      </x:c>
      <x:c r="K425" t="str">
        <x:f>IF(B425="","",IF(I425="확인 필요","붙임 문서 확인 후 거래 성격·기간·상대방·일회성 여부 확인","결의서명과 전기 대비 발생 건수·단가·시점 차이 검토"))</x:f>
      </x:c>
    </x:row>
    <x:row r="426">
      <x:c r="A426" t="str">
        <x:f>IFERROR(INDEX('계산도우미'!$A$5:$A$2004,MATCH(ROWS($A$6:A426),'계산도우미'!$L$5:$L$2004,0)),"")</x:f>
      </x:c>
      <x:c r="B426" t="str">
        <x:f>IFERROR(INDEX('계산도우미'!$B$5:$B$2004,MATCH(ROWS($A$6:A426),'계산도우미'!$L$5:$L$2004,0)),"")</x:f>
      </x:c>
      <x:c r="C426" t="str">
        <x:f>IFERROR(INDEX('계산도우미'!$C$5:$C$2004,MATCH(ROWS($A$6:A426),'계산도우미'!$L$5:$L$2004,0)),"")</x:f>
      </x:c>
      <x:c r="D426" s="67" t="str">
        <x:f>IFERROR(INDEX('계산도우미'!$D$5:$D$2004,MATCH(ROWS($A$6:A426),'계산도우미'!$L$5:$L$2004,0)),"")</x:f>
      </x:c>
      <x:c r="E426" t="str">
        <x:f>IFERROR(INDEX('계산도우미'!$E$5:$E$2004,MATCH(ROWS($A$6:A426),'계산도우미'!$L$5:$L$2004,0)),"")</x:f>
      </x:c>
      <x:c r="F426" t="str">
        <x:f>IFERROR(INDEX('계산도우미'!$F$5:$F$2004,MATCH(ROWS($A$6:A426),'계산도우미'!$L$5:$L$2004,0)),"")</x:f>
      </x:c>
      <x:c r="G426" s="68" t="str">
        <x:f>IFERROR(INDEX('계산도우미'!$G$5:$G$2004,MATCH(ROWS($A$6:A426),'계산도우미'!$L$5:$L$2004,0)),"")</x:f>
      </x:c>
      <x:c r="H426" t="str">
        <x:f>IFERROR(INDEX('계산도우미'!$H$5:$H$2004,MATCH(ROWS($A$6:A426),'계산도우미'!$L$5:$L$2004,0)),"")</x:f>
      </x:c>
      <x:c r="I426" t="str">
        <x:f>IFERROR(INDEX('계산도우미'!$I$5:$I$2004,MATCH(ROWS($A$6:A426),'계산도우미'!$L$5:$L$2004,0)),"")</x:f>
      </x:c>
      <x:c r="J426" t="str">
        <x:f>IFERROR(INDEX('계산도우미'!$J$5:$J$2004,MATCH(ROWS($A$6:A426),'계산도우미'!$L$5:$L$2004,0)),"")</x:f>
      </x:c>
      <x:c r="K426" t="str">
        <x:f>IF(B426="","",IF(I426="확인 필요","붙임 문서 확인 후 거래 성격·기간·상대방·일회성 여부 확인","결의서명과 전기 대비 발생 건수·단가·시점 차이 검토"))</x:f>
      </x:c>
    </x:row>
    <x:row r="427">
      <x:c r="A427" t="str">
        <x:f>IFERROR(INDEX('계산도우미'!$A$5:$A$2004,MATCH(ROWS($A$6:A427),'계산도우미'!$L$5:$L$2004,0)),"")</x:f>
      </x:c>
      <x:c r="B427" t="str">
        <x:f>IFERROR(INDEX('계산도우미'!$B$5:$B$2004,MATCH(ROWS($A$6:A427),'계산도우미'!$L$5:$L$2004,0)),"")</x:f>
      </x:c>
      <x:c r="C427" t="str">
        <x:f>IFERROR(INDEX('계산도우미'!$C$5:$C$2004,MATCH(ROWS($A$6:A427),'계산도우미'!$L$5:$L$2004,0)),"")</x:f>
      </x:c>
      <x:c r="D427" s="67" t="str">
        <x:f>IFERROR(INDEX('계산도우미'!$D$5:$D$2004,MATCH(ROWS($A$6:A427),'계산도우미'!$L$5:$L$2004,0)),"")</x:f>
      </x:c>
      <x:c r="E427" t="str">
        <x:f>IFERROR(INDEX('계산도우미'!$E$5:$E$2004,MATCH(ROWS($A$6:A427),'계산도우미'!$L$5:$L$2004,0)),"")</x:f>
      </x:c>
      <x:c r="F427" t="str">
        <x:f>IFERROR(INDEX('계산도우미'!$F$5:$F$2004,MATCH(ROWS($A$6:A427),'계산도우미'!$L$5:$L$2004,0)),"")</x:f>
      </x:c>
      <x:c r="G427" s="68" t="str">
        <x:f>IFERROR(INDEX('계산도우미'!$G$5:$G$2004,MATCH(ROWS($A$6:A427),'계산도우미'!$L$5:$L$2004,0)),"")</x:f>
      </x:c>
      <x:c r="H427" t="str">
        <x:f>IFERROR(INDEX('계산도우미'!$H$5:$H$2004,MATCH(ROWS($A$6:A427),'계산도우미'!$L$5:$L$2004,0)),"")</x:f>
      </x:c>
      <x:c r="I427" t="str">
        <x:f>IFERROR(INDEX('계산도우미'!$I$5:$I$2004,MATCH(ROWS($A$6:A427),'계산도우미'!$L$5:$L$2004,0)),"")</x:f>
      </x:c>
      <x:c r="J427" t="str">
        <x:f>IFERROR(INDEX('계산도우미'!$J$5:$J$2004,MATCH(ROWS($A$6:A427),'계산도우미'!$L$5:$L$2004,0)),"")</x:f>
      </x:c>
      <x:c r="K427" t="str">
        <x:f>IF(B427="","",IF(I427="확인 필요","붙임 문서 확인 후 거래 성격·기간·상대방·일회성 여부 확인","결의서명과 전기 대비 발생 건수·단가·시점 차이 검토"))</x:f>
      </x:c>
    </x:row>
    <x:row r="428">
      <x:c r="A428" t="str">
        <x:f>IFERROR(INDEX('계산도우미'!$A$5:$A$2004,MATCH(ROWS($A$6:A428),'계산도우미'!$L$5:$L$2004,0)),"")</x:f>
      </x:c>
      <x:c r="B428" t="str">
        <x:f>IFERROR(INDEX('계산도우미'!$B$5:$B$2004,MATCH(ROWS($A$6:A428),'계산도우미'!$L$5:$L$2004,0)),"")</x:f>
      </x:c>
      <x:c r="C428" t="str">
        <x:f>IFERROR(INDEX('계산도우미'!$C$5:$C$2004,MATCH(ROWS($A$6:A428),'계산도우미'!$L$5:$L$2004,0)),"")</x:f>
      </x:c>
      <x:c r="D428" s="67" t="str">
        <x:f>IFERROR(INDEX('계산도우미'!$D$5:$D$2004,MATCH(ROWS($A$6:A428),'계산도우미'!$L$5:$L$2004,0)),"")</x:f>
      </x:c>
      <x:c r="E428" t="str">
        <x:f>IFERROR(INDEX('계산도우미'!$E$5:$E$2004,MATCH(ROWS($A$6:A428),'계산도우미'!$L$5:$L$2004,0)),"")</x:f>
      </x:c>
      <x:c r="F428" t="str">
        <x:f>IFERROR(INDEX('계산도우미'!$F$5:$F$2004,MATCH(ROWS($A$6:A428),'계산도우미'!$L$5:$L$2004,0)),"")</x:f>
      </x:c>
      <x:c r="G428" s="68" t="str">
        <x:f>IFERROR(INDEX('계산도우미'!$G$5:$G$2004,MATCH(ROWS($A$6:A428),'계산도우미'!$L$5:$L$2004,0)),"")</x:f>
      </x:c>
      <x:c r="H428" t="str">
        <x:f>IFERROR(INDEX('계산도우미'!$H$5:$H$2004,MATCH(ROWS($A$6:A428),'계산도우미'!$L$5:$L$2004,0)),"")</x:f>
      </x:c>
      <x:c r="I428" t="str">
        <x:f>IFERROR(INDEX('계산도우미'!$I$5:$I$2004,MATCH(ROWS($A$6:A428),'계산도우미'!$L$5:$L$2004,0)),"")</x:f>
      </x:c>
      <x:c r="J428" t="str">
        <x:f>IFERROR(INDEX('계산도우미'!$J$5:$J$2004,MATCH(ROWS($A$6:A428),'계산도우미'!$L$5:$L$2004,0)),"")</x:f>
      </x:c>
      <x:c r="K428" t="str">
        <x:f>IF(B428="","",IF(I428="확인 필요","붙임 문서 확인 후 거래 성격·기간·상대방·일회성 여부 확인","결의서명과 전기 대비 발생 건수·단가·시점 차이 검토"))</x:f>
      </x:c>
    </x:row>
    <x:row r="429">
      <x:c r="A429" t="str">
        <x:f>IFERROR(INDEX('계산도우미'!$A$5:$A$2004,MATCH(ROWS($A$6:A429),'계산도우미'!$L$5:$L$2004,0)),"")</x:f>
      </x:c>
      <x:c r="B429" t="str">
        <x:f>IFERROR(INDEX('계산도우미'!$B$5:$B$2004,MATCH(ROWS($A$6:A429),'계산도우미'!$L$5:$L$2004,0)),"")</x:f>
      </x:c>
      <x:c r="C429" t="str">
        <x:f>IFERROR(INDEX('계산도우미'!$C$5:$C$2004,MATCH(ROWS($A$6:A429),'계산도우미'!$L$5:$L$2004,0)),"")</x:f>
      </x:c>
      <x:c r="D429" s="67" t="str">
        <x:f>IFERROR(INDEX('계산도우미'!$D$5:$D$2004,MATCH(ROWS($A$6:A429),'계산도우미'!$L$5:$L$2004,0)),"")</x:f>
      </x:c>
      <x:c r="E429" t="str">
        <x:f>IFERROR(INDEX('계산도우미'!$E$5:$E$2004,MATCH(ROWS($A$6:A429),'계산도우미'!$L$5:$L$2004,0)),"")</x:f>
      </x:c>
      <x:c r="F429" t="str">
        <x:f>IFERROR(INDEX('계산도우미'!$F$5:$F$2004,MATCH(ROWS($A$6:A429),'계산도우미'!$L$5:$L$2004,0)),"")</x:f>
      </x:c>
      <x:c r="G429" s="68" t="str">
        <x:f>IFERROR(INDEX('계산도우미'!$G$5:$G$2004,MATCH(ROWS($A$6:A429),'계산도우미'!$L$5:$L$2004,0)),"")</x:f>
      </x:c>
      <x:c r="H429" t="str">
        <x:f>IFERROR(INDEX('계산도우미'!$H$5:$H$2004,MATCH(ROWS($A$6:A429),'계산도우미'!$L$5:$L$2004,0)),"")</x:f>
      </x:c>
      <x:c r="I429" t="str">
        <x:f>IFERROR(INDEX('계산도우미'!$I$5:$I$2004,MATCH(ROWS($A$6:A429),'계산도우미'!$L$5:$L$2004,0)),"")</x:f>
      </x:c>
      <x:c r="J429" t="str">
        <x:f>IFERROR(INDEX('계산도우미'!$J$5:$J$2004,MATCH(ROWS($A$6:A429),'계산도우미'!$L$5:$L$2004,0)),"")</x:f>
      </x:c>
      <x:c r="K429" t="str">
        <x:f>IF(B429="","",IF(I429="확인 필요","붙임 문서 확인 후 거래 성격·기간·상대방·일회성 여부 확인","결의서명과 전기 대비 발생 건수·단가·시점 차이 검토"))</x:f>
      </x:c>
    </x:row>
    <x:row r="430">
      <x:c r="A430" t="str">
        <x:f>IFERROR(INDEX('계산도우미'!$A$5:$A$2004,MATCH(ROWS($A$6:A430),'계산도우미'!$L$5:$L$2004,0)),"")</x:f>
      </x:c>
      <x:c r="B430" t="str">
        <x:f>IFERROR(INDEX('계산도우미'!$B$5:$B$2004,MATCH(ROWS($A$6:A430),'계산도우미'!$L$5:$L$2004,0)),"")</x:f>
      </x:c>
      <x:c r="C430" t="str">
        <x:f>IFERROR(INDEX('계산도우미'!$C$5:$C$2004,MATCH(ROWS($A$6:A430),'계산도우미'!$L$5:$L$2004,0)),"")</x:f>
      </x:c>
      <x:c r="D430" s="67" t="str">
        <x:f>IFERROR(INDEX('계산도우미'!$D$5:$D$2004,MATCH(ROWS($A$6:A430),'계산도우미'!$L$5:$L$2004,0)),"")</x:f>
      </x:c>
      <x:c r="E430" t="str">
        <x:f>IFERROR(INDEX('계산도우미'!$E$5:$E$2004,MATCH(ROWS($A$6:A430),'계산도우미'!$L$5:$L$2004,0)),"")</x:f>
      </x:c>
      <x:c r="F430" t="str">
        <x:f>IFERROR(INDEX('계산도우미'!$F$5:$F$2004,MATCH(ROWS($A$6:A430),'계산도우미'!$L$5:$L$2004,0)),"")</x:f>
      </x:c>
      <x:c r="G430" s="68" t="str">
        <x:f>IFERROR(INDEX('계산도우미'!$G$5:$G$2004,MATCH(ROWS($A$6:A430),'계산도우미'!$L$5:$L$2004,0)),"")</x:f>
      </x:c>
      <x:c r="H430" t="str">
        <x:f>IFERROR(INDEX('계산도우미'!$H$5:$H$2004,MATCH(ROWS($A$6:A430),'계산도우미'!$L$5:$L$2004,0)),"")</x:f>
      </x:c>
      <x:c r="I430" t="str">
        <x:f>IFERROR(INDEX('계산도우미'!$I$5:$I$2004,MATCH(ROWS($A$6:A430),'계산도우미'!$L$5:$L$2004,0)),"")</x:f>
      </x:c>
      <x:c r="J430" t="str">
        <x:f>IFERROR(INDEX('계산도우미'!$J$5:$J$2004,MATCH(ROWS($A$6:A430),'계산도우미'!$L$5:$L$2004,0)),"")</x:f>
      </x:c>
      <x:c r="K430" t="str">
        <x:f>IF(B430="","",IF(I430="확인 필요","붙임 문서 확인 후 거래 성격·기간·상대방·일회성 여부 확인","결의서명과 전기 대비 발생 건수·단가·시점 차이 검토"))</x:f>
      </x:c>
    </x:row>
    <x:row r="431">
      <x:c r="A431" t="str">
        <x:f>IFERROR(INDEX('계산도우미'!$A$5:$A$2004,MATCH(ROWS($A$6:A431),'계산도우미'!$L$5:$L$2004,0)),"")</x:f>
      </x:c>
      <x:c r="B431" t="str">
        <x:f>IFERROR(INDEX('계산도우미'!$B$5:$B$2004,MATCH(ROWS($A$6:A431),'계산도우미'!$L$5:$L$2004,0)),"")</x:f>
      </x:c>
      <x:c r="C431" t="str">
        <x:f>IFERROR(INDEX('계산도우미'!$C$5:$C$2004,MATCH(ROWS($A$6:A431),'계산도우미'!$L$5:$L$2004,0)),"")</x:f>
      </x:c>
      <x:c r="D431" s="67" t="str">
        <x:f>IFERROR(INDEX('계산도우미'!$D$5:$D$2004,MATCH(ROWS($A$6:A431),'계산도우미'!$L$5:$L$2004,0)),"")</x:f>
      </x:c>
      <x:c r="E431" t="str">
        <x:f>IFERROR(INDEX('계산도우미'!$E$5:$E$2004,MATCH(ROWS($A$6:A431),'계산도우미'!$L$5:$L$2004,0)),"")</x:f>
      </x:c>
      <x:c r="F431" t="str">
        <x:f>IFERROR(INDEX('계산도우미'!$F$5:$F$2004,MATCH(ROWS($A$6:A431),'계산도우미'!$L$5:$L$2004,0)),"")</x:f>
      </x:c>
      <x:c r="G431" s="68" t="str">
        <x:f>IFERROR(INDEX('계산도우미'!$G$5:$G$2004,MATCH(ROWS($A$6:A431),'계산도우미'!$L$5:$L$2004,0)),"")</x:f>
      </x:c>
      <x:c r="H431" t="str">
        <x:f>IFERROR(INDEX('계산도우미'!$H$5:$H$2004,MATCH(ROWS($A$6:A431),'계산도우미'!$L$5:$L$2004,0)),"")</x:f>
      </x:c>
      <x:c r="I431" t="str">
        <x:f>IFERROR(INDEX('계산도우미'!$I$5:$I$2004,MATCH(ROWS($A$6:A431),'계산도우미'!$L$5:$L$2004,0)),"")</x:f>
      </x:c>
      <x:c r="J431" t="str">
        <x:f>IFERROR(INDEX('계산도우미'!$J$5:$J$2004,MATCH(ROWS($A$6:A431),'계산도우미'!$L$5:$L$2004,0)),"")</x:f>
      </x:c>
      <x:c r="K431" t="str">
        <x:f>IF(B431="","",IF(I431="확인 필요","붙임 문서 확인 후 거래 성격·기간·상대방·일회성 여부 확인","결의서명과 전기 대비 발생 건수·단가·시점 차이 검토"))</x:f>
      </x:c>
    </x:row>
    <x:row r="432">
      <x:c r="A432" t="str">
        <x:f>IFERROR(INDEX('계산도우미'!$A$5:$A$2004,MATCH(ROWS($A$6:A432),'계산도우미'!$L$5:$L$2004,0)),"")</x:f>
      </x:c>
      <x:c r="B432" t="str">
        <x:f>IFERROR(INDEX('계산도우미'!$B$5:$B$2004,MATCH(ROWS($A$6:A432),'계산도우미'!$L$5:$L$2004,0)),"")</x:f>
      </x:c>
      <x:c r="C432" t="str">
        <x:f>IFERROR(INDEX('계산도우미'!$C$5:$C$2004,MATCH(ROWS($A$6:A432),'계산도우미'!$L$5:$L$2004,0)),"")</x:f>
      </x:c>
      <x:c r="D432" s="67" t="str">
        <x:f>IFERROR(INDEX('계산도우미'!$D$5:$D$2004,MATCH(ROWS($A$6:A432),'계산도우미'!$L$5:$L$2004,0)),"")</x:f>
      </x:c>
      <x:c r="E432" t="str">
        <x:f>IFERROR(INDEX('계산도우미'!$E$5:$E$2004,MATCH(ROWS($A$6:A432),'계산도우미'!$L$5:$L$2004,0)),"")</x:f>
      </x:c>
      <x:c r="F432" t="str">
        <x:f>IFERROR(INDEX('계산도우미'!$F$5:$F$2004,MATCH(ROWS($A$6:A432),'계산도우미'!$L$5:$L$2004,0)),"")</x:f>
      </x:c>
      <x:c r="G432" s="68" t="str">
        <x:f>IFERROR(INDEX('계산도우미'!$G$5:$G$2004,MATCH(ROWS($A$6:A432),'계산도우미'!$L$5:$L$2004,0)),"")</x:f>
      </x:c>
      <x:c r="H432" t="str">
        <x:f>IFERROR(INDEX('계산도우미'!$H$5:$H$2004,MATCH(ROWS($A$6:A432),'계산도우미'!$L$5:$L$2004,0)),"")</x:f>
      </x:c>
      <x:c r="I432" t="str">
        <x:f>IFERROR(INDEX('계산도우미'!$I$5:$I$2004,MATCH(ROWS($A$6:A432),'계산도우미'!$L$5:$L$2004,0)),"")</x:f>
      </x:c>
      <x:c r="J432" t="str">
        <x:f>IFERROR(INDEX('계산도우미'!$J$5:$J$2004,MATCH(ROWS($A$6:A432),'계산도우미'!$L$5:$L$2004,0)),"")</x:f>
      </x:c>
      <x:c r="K432" t="str">
        <x:f>IF(B432="","",IF(I432="확인 필요","붙임 문서 확인 후 거래 성격·기간·상대방·일회성 여부 확인","결의서명과 전기 대비 발생 건수·단가·시점 차이 검토"))</x:f>
      </x:c>
    </x:row>
    <x:row r="433">
      <x:c r="A433" t="str">
        <x:f>IFERROR(INDEX('계산도우미'!$A$5:$A$2004,MATCH(ROWS($A$6:A433),'계산도우미'!$L$5:$L$2004,0)),"")</x:f>
      </x:c>
      <x:c r="B433" t="str">
        <x:f>IFERROR(INDEX('계산도우미'!$B$5:$B$2004,MATCH(ROWS($A$6:A433),'계산도우미'!$L$5:$L$2004,0)),"")</x:f>
      </x:c>
      <x:c r="C433" t="str">
        <x:f>IFERROR(INDEX('계산도우미'!$C$5:$C$2004,MATCH(ROWS($A$6:A433),'계산도우미'!$L$5:$L$2004,0)),"")</x:f>
      </x:c>
      <x:c r="D433" s="67" t="str">
        <x:f>IFERROR(INDEX('계산도우미'!$D$5:$D$2004,MATCH(ROWS($A$6:A433),'계산도우미'!$L$5:$L$2004,0)),"")</x:f>
      </x:c>
      <x:c r="E433" t="str">
        <x:f>IFERROR(INDEX('계산도우미'!$E$5:$E$2004,MATCH(ROWS($A$6:A433),'계산도우미'!$L$5:$L$2004,0)),"")</x:f>
      </x:c>
      <x:c r="F433" t="str">
        <x:f>IFERROR(INDEX('계산도우미'!$F$5:$F$2004,MATCH(ROWS($A$6:A433),'계산도우미'!$L$5:$L$2004,0)),"")</x:f>
      </x:c>
      <x:c r="G433" s="68" t="str">
        <x:f>IFERROR(INDEX('계산도우미'!$G$5:$G$2004,MATCH(ROWS($A$6:A433),'계산도우미'!$L$5:$L$2004,0)),"")</x:f>
      </x:c>
      <x:c r="H433" t="str">
        <x:f>IFERROR(INDEX('계산도우미'!$H$5:$H$2004,MATCH(ROWS($A$6:A433),'계산도우미'!$L$5:$L$2004,0)),"")</x:f>
      </x:c>
      <x:c r="I433" t="str">
        <x:f>IFERROR(INDEX('계산도우미'!$I$5:$I$2004,MATCH(ROWS($A$6:A433),'계산도우미'!$L$5:$L$2004,0)),"")</x:f>
      </x:c>
      <x:c r="J433" t="str">
        <x:f>IFERROR(INDEX('계산도우미'!$J$5:$J$2004,MATCH(ROWS($A$6:A433),'계산도우미'!$L$5:$L$2004,0)),"")</x:f>
      </x:c>
      <x:c r="K433" t="str">
        <x:f>IF(B433="","",IF(I433="확인 필요","붙임 문서 확인 후 거래 성격·기간·상대방·일회성 여부 확인","결의서명과 전기 대비 발생 건수·단가·시점 차이 검토"))</x:f>
      </x:c>
    </x:row>
    <x:row r="434">
      <x:c r="A434" t="str">
        <x:f>IFERROR(INDEX('계산도우미'!$A$5:$A$2004,MATCH(ROWS($A$6:A434),'계산도우미'!$L$5:$L$2004,0)),"")</x:f>
      </x:c>
      <x:c r="B434" t="str">
        <x:f>IFERROR(INDEX('계산도우미'!$B$5:$B$2004,MATCH(ROWS($A$6:A434),'계산도우미'!$L$5:$L$2004,0)),"")</x:f>
      </x:c>
      <x:c r="C434" t="str">
        <x:f>IFERROR(INDEX('계산도우미'!$C$5:$C$2004,MATCH(ROWS($A$6:A434),'계산도우미'!$L$5:$L$2004,0)),"")</x:f>
      </x:c>
      <x:c r="D434" s="67" t="str">
        <x:f>IFERROR(INDEX('계산도우미'!$D$5:$D$2004,MATCH(ROWS($A$6:A434),'계산도우미'!$L$5:$L$2004,0)),"")</x:f>
      </x:c>
      <x:c r="E434" t="str">
        <x:f>IFERROR(INDEX('계산도우미'!$E$5:$E$2004,MATCH(ROWS($A$6:A434),'계산도우미'!$L$5:$L$2004,0)),"")</x:f>
      </x:c>
      <x:c r="F434" t="str">
        <x:f>IFERROR(INDEX('계산도우미'!$F$5:$F$2004,MATCH(ROWS($A$6:A434),'계산도우미'!$L$5:$L$2004,0)),"")</x:f>
      </x:c>
      <x:c r="G434" s="68" t="str">
        <x:f>IFERROR(INDEX('계산도우미'!$G$5:$G$2004,MATCH(ROWS($A$6:A434),'계산도우미'!$L$5:$L$2004,0)),"")</x:f>
      </x:c>
      <x:c r="H434" t="str">
        <x:f>IFERROR(INDEX('계산도우미'!$H$5:$H$2004,MATCH(ROWS($A$6:A434),'계산도우미'!$L$5:$L$2004,0)),"")</x:f>
      </x:c>
      <x:c r="I434" t="str">
        <x:f>IFERROR(INDEX('계산도우미'!$I$5:$I$2004,MATCH(ROWS($A$6:A434),'계산도우미'!$L$5:$L$2004,0)),"")</x:f>
      </x:c>
      <x:c r="J434" t="str">
        <x:f>IFERROR(INDEX('계산도우미'!$J$5:$J$2004,MATCH(ROWS($A$6:A434),'계산도우미'!$L$5:$L$2004,0)),"")</x:f>
      </x:c>
      <x:c r="K434" t="str">
        <x:f>IF(B434="","",IF(I434="확인 필요","붙임 문서 확인 후 거래 성격·기간·상대방·일회성 여부 확인","결의서명과 전기 대비 발생 건수·단가·시점 차이 검토"))</x:f>
      </x:c>
    </x:row>
    <x:row r="435">
      <x:c r="A435" t="str">
        <x:f>IFERROR(INDEX('계산도우미'!$A$5:$A$2004,MATCH(ROWS($A$6:A435),'계산도우미'!$L$5:$L$2004,0)),"")</x:f>
      </x:c>
      <x:c r="B435" t="str">
        <x:f>IFERROR(INDEX('계산도우미'!$B$5:$B$2004,MATCH(ROWS($A$6:A435),'계산도우미'!$L$5:$L$2004,0)),"")</x:f>
      </x:c>
      <x:c r="C435" t="str">
        <x:f>IFERROR(INDEX('계산도우미'!$C$5:$C$2004,MATCH(ROWS($A$6:A435),'계산도우미'!$L$5:$L$2004,0)),"")</x:f>
      </x:c>
      <x:c r="D435" s="67" t="str">
        <x:f>IFERROR(INDEX('계산도우미'!$D$5:$D$2004,MATCH(ROWS($A$6:A435),'계산도우미'!$L$5:$L$2004,0)),"")</x:f>
      </x:c>
      <x:c r="E435" t="str">
        <x:f>IFERROR(INDEX('계산도우미'!$E$5:$E$2004,MATCH(ROWS($A$6:A435),'계산도우미'!$L$5:$L$2004,0)),"")</x:f>
      </x:c>
      <x:c r="F435" t="str">
        <x:f>IFERROR(INDEX('계산도우미'!$F$5:$F$2004,MATCH(ROWS($A$6:A435),'계산도우미'!$L$5:$L$2004,0)),"")</x:f>
      </x:c>
      <x:c r="G435" s="68" t="str">
        <x:f>IFERROR(INDEX('계산도우미'!$G$5:$G$2004,MATCH(ROWS($A$6:A435),'계산도우미'!$L$5:$L$2004,0)),"")</x:f>
      </x:c>
      <x:c r="H435" t="str">
        <x:f>IFERROR(INDEX('계산도우미'!$H$5:$H$2004,MATCH(ROWS($A$6:A435),'계산도우미'!$L$5:$L$2004,0)),"")</x:f>
      </x:c>
      <x:c r="I435" t="str">
        <x:f>IFERROR(INDEX('계산도우미'!$I$5:$I$2004,MATCH(ROWS($A$6:A435),'계산도우미'!$L$5:$L$2004,0)),"")</x:f>
      </x:c>
      <x:c r="J435" t="str">
        <x:f>IFERROR(INDEX('계산도우미'!$J$5:$J$2004,MATCH(ROWS($A$6:A435),'계산도우미'!$L$5:$L$2004,0)),"")</x:f>
      </x:c>
      <x:c r="K435" t="str">
        <x:f>IF(B435="","",IF(I435="확인 필요","붙임 문서 확인 후 거래 성격·기간·상대방·일회성 여부 확인","결의서명과 전기 대비 발생 건수·단가·시점 차이 검토"))</x:f>
      </x:c>
    </x:row>
    <x:row r="436">
      <x:c r="A436" t="str">
        <x:f>IFERROR(INDEX('계산도우미'!$A$5:$A$2004,MATCH(ROWS($A$6:A436),'계산도우미'!$L$5:$L$2004,0)),"")</x:f>
      </x:c>
      <x:c r="B436" t="str">
        <x:f>IFERROR(INDEX('계산도우미'!$B$5:$B$2004,MATCH(ROWS($A$6:A436),'계산도우미'!$L$5:$L$2004,0)),"")</x:f>
      </x:c>
      <x:c r="C436" t="str">
        <x:f>IFERROR(INDEX('계산도우미'!$C$5:$C$2004,MATCH(ROWS($A$6:A436),'계산도우미'!$L$5:$L$2004,0)),"")</x:f>
      </x:c>
      <x:c r="D436" s="67" t="str">
        <x:f>IFERROR(INDEX('계산도우미'!$D$5:$D$2004,MATCH(ROWS($A$6:A436),'계산도우미'!$L$5:$L$2004,0)),"")</x:f>
      </x:c>
      <x:c r="E436" t="str">
        <x:f>IFERROR(INDEX('계산도우미'!$E$5:$E$2004,MATCH(ROWS($A$6:A436),'계산도우미'!$L$5:$L$2004,0)),"")</x:f>
      </x:c>
      <x:c r="F436" t="str">
        <x:f>IFERROR(INDEX('계산도우미'!$F$5:$F$2004,MATCH(ROWS($A$6:A436),'계산도우미'!$L$5:$L$2004,0)),"")</x:f>
      </x:c>
      <x:c r="G436" s="68" t="str">
        <x:f>IFERROR(INDEX('계산도우미'!$G$5:$G$2004,MATCH(ROWS($A$6:A436),'계산도우미'!$L$5:$L$2004,0)),"")</x:f>
      </x:c>
      <x:c r="H436" t="str">
        <x:f>IFERROR(INDEX('계산도우미'!$H$5:$H$2004,MATCH(ROWS($A$6:A436),'계산도우미'!$L$5:$L$2004,0)),"")</x:f>
      </x:c>
      <x:c r="I436" t="str">
        <x:f>IFERROR(INDEX('계산도우미'!$I$5:$I$2004,MATCH(ROWS($A$6:A436),'계산도우미'!$L$5:$L$2004,0)),"")</x:f>
      </x:c>
      <x:c r="J436" t="str">
        <x:f>IFERROR(INDEX('계산도우미'!$J$5:$J$2004,MATCH(ROWS($A$6:A436),'계산도우미'!$L$5:$L$2004,0)),"")</x:f>
      </x:c>
      <x:c r="K436" t="str">
        <x:f>IF(B436="","",IF(I436="확인 필요","붙임 문서 확인 후 거래 성격·기간·상대방·일회성 여부 확인","결의서명과 전기 대비 발생 건수·단가·시점 차이 검토"))</x:f>
      </x:c>
    </x:row>
    <x:row r="437">
      <x:c r="A437" t="str">
        <x:f>IFERROR(INDEX('계산도우미'!$A$5:$A$2004,MATCH(ROWS($A$6:A437),'계산도우미'!$L$5:$L$2004,0)),"")</x:f>
      </x:c>
      <x:c r="B437" t="str">
        <x:f>IFERROR(INDEX('계산도우미'!$B$5:$B$2004,MATCH(ROWS($A$6:A437),'계산도우미'!$L$5:$L$2004,0)),"")</x:f>
      </x:c>
      <x:c r="C437" t="str">
        <x:f>IFERROR(INDEX('계산도우미'!$C$5:$C$2004,MATCH(ROWS($A$6:A437),'계산도우미'!$L$5:$L$2004,0)),"")</x:f>
      </x:c>
      <x:c r="D437" s="67" t="str">
        <x:f>IFERROR(INDEX('계산도우미'!$D$5:$D$2004,MATCH(ROWS($A$6:A437),'계산도우미'!$L$5:$L$2004,0)),"")</x:f>
      </x:c>
      <x:c r="E437" t="str">
        <x:f>IFERROR(INDEX('계산도우미'!$E$5:$E$2004,MATCH(ROWS($A$6:A437),'계산도우미'!$L$5:$L$2004,0)),"")</x:f>
      </x:c>
      <x:c r="F437" t="str">
        <x:f>IFERROR(INDEX('계산도우미'!$F$5:$F$2004,MATCH(ROWS($A$6:A437),'계산도우미'!$L$5:$L$2004,0)),"")</x:f>
      </x:c>
      <x:c r="G437" s="68" t="str">
        <x:f>IFERROR(INDEX('계산도우미'!$G$5:$G$2004,MATCH(ROWS($A$6:A437),'계산도우미'!$L$5:$L$2004,0)),"")</x:f>
      </x:c>
      <x:c r="H437" t="str">
        <x:f>IFERROR(INDEX('계산도우미'!$H$5:$H$2004,MATCH(ROWS($A$6:A437),'계산도우미'!$L$5:$L$2004,0)),"")</x:f>
      </x:c>
      <x:c r="I437" t="str">
        <x:f>IFERROR(INDEX('계산도우미'!$I$5:$I$2004,MATCH(ROWS($A$6:A437),'계산도우미'!$L$5:$L$2004,0)),"")</x:f>
      </x:c>
      <x:c r="J437" t="str">
        <x:f>IFERROR(INDEX('계산도우미'!$J$5:$J$2004,MATCH(ROWS($A$6:A437),'계산도우미'!$L$5:$L$2004,0)),"")</x:f>
      </x:c>
      <x:c r="K437" t="str">
        <x:f>IF(B437="","",IF(I437="확인 필요","붙임 문서 확인 후 거래 성격·기간·상대방·일회성 여부 확인","결의서명과 전기 대비 발생 건수·단가·시점 차이 검토"))</x:f>
      </x:c>
    </x:row>
    <x:row r="438">
      <x:c r="A438" t="str">
        <x:f>IFERROR(INDEX('계산도우미'!$A$5:$A$2004,MATCH(ROWS($A$6:A438),'계산도우미'!$L$5:$L$2004,0)),"")</x:f>
      </x:c>
      <x:c r="B438" t="str">
        <x:f>IFERROR(INDEX('계산도우미'!$B$5:$B$2004,MATCH(ROWS($A$6:A438),'계산도우미'!$L$5:$L$2004,0)),"")</x:f>
      </x:c>
      <x:c r="C438" t="str">
        <x:f>IFERROR(INDEX('계산도우미'!$C$5:$C$2004,MATCH(ROWS($A$6:A438),'계산도우미'!$L$5:$L$2004,0)),"")</x:f>
      </x:c>
      <x:c r="D438" s="67" t="str">
        <x:f>IFERROR(INDEX('계산도우미'!$D$5:$D$2004,MATCH(ROWS($A$6:A438),'계산도우미'!$L$5:$L$2004,0)),"")</x:f>
      </x:c>
      <x:c r="E438" t="str">
        <x:f>IFERROR(INDEX('계산도우미'!$E$5:$E$2004,MATCH(ROWS($A$6:A438),'계산도우미'!$L$5:$L$2004,0)),"")</x:f>
      </x:c>
      <x:c r="F438" t="str">
        <x:f>IFERROR(INDEX('계산도우미'!$F$5:$F$2004,MATCH(ROWS($A$6:A438),'계산도우미'!$L$5:$L$2004,0)),"")</x:f>
      </x:c>
      <x:c r="G438" s="68" t="str">
        <x:f>IFERROR(INDEX('계산도우미'!$G$5:$G$2004,MATCH(ROWS($A$6:A438),'계산도우미'!$L$5:$L$2004,0)),"")</x:f>
      </x:c>
      <x:c r="H438" t="str">
        <x:f>IFERROR(INDEX('계산도우미'!$H$5:$H$2004,MATCH(ROWS($A$6:A438),'계산도우미'!$L$5:$L$2004,0)),"")</x:f>
      </x:c>
      <x:c r="I438" t="str">
        <x:f>IFERROR(INDEX('계산도우미'!$I$5:$I$2004,MATCH(ROWS($A$6:A438),'계산도우미'!$L$5:$L$2004,0)),"")</x:f>
      </x:c>
      <x:c r="J438" t="str">
        <x:f>IFERROR(INDEX('계산도우미'!$J$5:$J$2004,MATCH(ROWS($A$6:A438),'계산도우미'!$L$5:$L$2004,0)),"")</x:f>
      </x:c>
      <x:c r="K438" t="str">
        <x:f>IF(B438="","",IF(I438="확인 필요","붙임 문서 확인 후 거래 성격·기간·상대방·일회성 여부 확인","결의서명과 전기 대비 발생 건수·단가·시점 차이 검토"))</x:f>
      </x:c>
    </x:row>
    <x:row r="439">
      <x:c r="A439" t="str">
        <x:f>IFERROR(INDEX('계산도우미'!$A$5:$A$2004,MATCH(ROWS($A$6:A439),'계산도우미'!$L$5:$L$2004,0)),"")</x:f>
      </x:c>
      <x:c r="B439" t="str">
        <x:f>IFERROR(INDEX('계산도우미'!$B$5:$B$2004,MATCH(ROWS($A$6:A439),'계산도우미'!$L$5:$L$2004,0)),"")</x:f>
      </x:c>
      <x:c r="C439" t="str">
        <x:f>IFERROR(INDEX('계산도우미'!$C$5:$C$2004,MATCH(ROWS($A$6:A439),'계산도우미'!$L$5:$L$2004,0)),"")</x:f>
      </x:c>
      <x:c r="D439" s="67" t="str">
        <x:f>IFERROR(INDEX('계산도우미'!$D$5:$D$2004,MATCH(ROWS($A$6:A439),'계산도우미'!$L$5:$L$2004,0)),"")</x:f>
      </x:c>
      <x:c r="E439" t="str">
        <x:f>IFERROR(INDEX('계산도우미'!$E$5:$E$2004,MATCH(ROWS($A$6:A439),'계산도우미'!$L$5:$L$2004,0)),"")</x:f>
      </x:c>
      <x:c r="F439" t="str">
        <x:f>IFERROR(INDEX('계산도우미'!$F$5:$F$2004,MATCH(ROWS($A$6:A439),'계산도우미'!$L$5:$L$2004,0)),"")</x:f>
      </x:c>
      <x:c r="G439" s="68" t="str">
        <x:f>IFERROR(INDEX('계산도우미'!$G$5:$G$2004,MATCH(ROWS($A$6:A439),'계산도우미'!$L$5:$L$2004,0)),"")</x:f>
      </x:c>
      <x:c r="H439" t="str">
        <x:f>IFERROR(INDEX('계산도우미'!$H$5:$H$2004,MATCH(ROWS($A$6:A439),'계산도우미'!$L$5:$L$2004,0)),"")</x:f>
      </x:c>
      <x:c r="I439" t="str">
        <x:f>IFERROR(INDEX('계산도우미'!$I$5:$I$2004,MATCH(ROWS($A$6:A439),'계산도우미'!$L$5:$L$2004,0)),"")</x:f>
      </x:c>
      <x:c r="J439" t="str">
        <x:f>IFERROR(INDEX('계산도우미'!$J$5:$J$2004,MATCH(ROWS($A$6:A439),'계산도우미'!$L$5:$L$2004,0)),"")</x:f>
      </x:c>
      <x:c r="K439" t="str">
        <x:f>IF(B439="","",IF(I439="확인 필요","붙임 문서 확인 후 거래 성격·기간·상대방·일회성 여부 확인","결의서명과 전기 대비 발생 건수·단가·시점 차이 검토"))</x:f>
      </x:c>
    </x:row>
    <x:row r="440">
      <x:c r="A440" t="str">
        <x:f>IFERROR(INDEX('계산도우미'!$A$5:$A$2004,MATCH(ROWS($A$6:A440),'계산도우미'!$L$5:$L$2004,0)),"")</x:f>
      </x:c>
      <x:c r="B440" t="str">
        <x:f>IFERROR(INDEX('계산도우미'!$B$5:$B$2004,MATCH(ROWS($A$6:A440),'계산도우미'!$L$5:$L$2004,0)),"")</x:f>
      </x:c>
      <x:c r="C440" t="str">
        <x:f>IFERROR(INDEX('계산도우미'!$C$5:$C$2004,MATCH(ROWS($A$6:A440),'계산도우미'!$L$5:$L$2004,0)),"")</x:f>
      </x:c>
      <x:c r="D440" s="67" t="str">
        <x:f>IFERROR(INDEX('계산도우미'!$D$5:$D$2004,MATCH(ROWS($A$6:A440),'계산도우미'!$L$5:$L$2004,0)),"")</x:f>
      </x:c>
      <x:c r="E440" t="str">
        <x:f>IFERROR(INDEX('계산도우미'!$E$5:$E$2004,MATCH(ROWS($A$6:A440),'계산도우미'!$L$5:$L$2004,0)),"")</x:f>
      </x:c>
      <x:c r="F440" t="str">
        <x:f>IFERROR(INDEX('계산도우미'!$F$5:$F$2004,MATCH(ROWS($A$6:A440),'계산도우미'!$L$5:$L$2004,0)),"")</x:f>
      </x:c>
      <x:c r="G440" s="68" t="str">
        <x:f>IFERROR(INDEX('계산도우미'!$G$5:$G$2004,MATCH(ROWS($A$6:A440),'계산도우미'!$L$5:$L$2004,0)),"")</x:f>
      </x:c>
      <x:c r="H440" t="str">
        <x:f>IFERROR(INDEX('계산도우미'!$H$5:$H$2004,MATCH(ROWS($A$6:A440),'계산도우미'!$L$5:$L$2004,0)),"")</x:f>
      </x:c>
      <x:c r="I440" t="str">
        <x:f>IFERROR(INDEX('계산도우미'!$I$5:$I$2004,MATCH(ROWS($A$6:A440),'계산도우미'!$L$5:$L$2004,0)),"")</x:f>
      </x:c>
      <x:c r="J440" t="str">
        <x:f>IFERROR(INDEX('계산도우미'!$J$5:$J$2004,MATCH(ROWS($A$6:A440),'계산도우미'!$L$5:$L$2004,0)),"")</x:f>
      </x:c>
      <x:c r="K440" t="str">
        <x:f>IF(B440="","",IF(I440="확인 필요","붙임 문서 확인 후 거래 성격·기간·상대방·일회성 여부 확인","결의서명과 전기 대비 발생 건수·단가·시점 차이 검토"))</x:f>
      </x:c>
    </x:row>
    <x:row r="441">
      <x:c r="A441" t="str">
        <x:f>IFERROR(INDEX('계산도우미'!$A$5:$A$2004,MATCH(ROWS($A$6:A441),'계산도우미'!$L$5:$L$2004,0)),"")</x:f>
      </x:c>
      <x:c r="B441" t="str">
        <x:f>IFERROR(INDEX('계산도우미'!$B$5:$B$2004,MATCH(ROWS($A$6:A441),'계산도우미'!$L$5:$L$2004,0)),"")</x:f>
      </x:c>
      <x:c r="C441" t="str">
        <x:f>IFERROR(INDEX('계산도우미'!$C$5:$C$2004,MATCH(ROWS($A$6:A441),'계산도우미'!$L$5:$L$2004,0)),"")</x:f>
      </x:c>
      <x:c r="D441" s="67" t="str">
        <x:f>IFERROR(INDEX('계산도우미'!$D$5:$D$2004,MATCH(ROWS($A$6:A441),'계산도우미'!$L$5:$L$2004,0)),"")</x:f>
      </x:c>
      <x:c r="E441" t="str">
        <x:f>IFERROR(INDEX('계산도우미'!$E$5:$E$2004,MATCH(ROWS($A$6:A441),'계산도우미'!$L$5:$L$2004,0)),"")</x:f>
      </x:c>
      <x:c r="F441" t="str">
        <x:f>IFERROR(INDEX('계산도우미'!$F$5:$F$2004,MATCH(ROWS($A$6:A441),'계산도우미'!$L$5:$L$2004,0)),"")</x:f>
      </x:c>
      <x:c r="G441" s="68" t="str">
        <x:f>IFERROR(INDEX('계산도우미'!$G$5:$G$2004,MATCH(ROWS($A$6:A441),'계산도우미'!$L$5:$L$2004,0)),"")</x:f>
      </x:c>
      <x:c r="H441" t="str">
        <x:f>IFERROR(INDEX('계산도우미'!$H$5:$H$2004,MATCH(ROWS($A$6:A441),'계산도우미'!$L$5:$L$2004,0)),"")</x:f>
      </x:c>
      <x:c r="I441" t="str">
        <x:f>IFERROR(INDEX('계산도우미'!$I$5:$I$2004,MATCH(ROWS($A$6:A441),'계산도우미'!$L$5:$L$2004,0)),"")</x:f>
      </x:c>
      <x:c r="J441" t="str">
        <x:f>IFERROR(INDEX('계산도우미'!$J$5:$J$2004,MATCH(ROWS($A$6:A441),'계산도우미'!$L$5:$L$2004,0)),"")</x:f>
      </x:c>
      <x:c r="K441" t="str">
        <x:f>IF(B441="","",IF(I441="확인 필요","붙임 문서 확인 후 거래 성격·기간·상대방·일회성 여부 확인","결의서명과 전기 대비 발생 건수·단가·시점 차이 검토"))</x:f>
      </x:c>
    </x:row>
    <x:row r="442">
      <x:c r="A442" t="str">
        <x:f>IFERROR(INDEX('계산도우미'!$A$5:$A$2004,MATCH(ROWS($A$6:A442),'계산도우미'!$L$5:$L$2004,0)),"")</x:f>
      </x:c>
      <x:c r="B442" t="str">
        <x:f>IFERROR(INDEX('계산도우미'!$B$5:$B$2004,MATCH(ROWS($A$6:A442),'계산도우미'!$L$5:$L$2004,0)),"")</x:f>
      </x:c>
      <x:c r="C442" t="str">
        <x:f>IFERROR(INDEX('계산도우미'!$C$5:$C$2004,MATCH(ROWS($A$6:A442),'계산도우미'!$L$5:$L$2004,0)),"")</x:f>
      </x:c>
      <x:c r="D442" s="67" t="str">
        <x:f>IFERROR(INDEX('계산도우미'!$D$5:$D$2004,MATCH(ROWS($A$6:A442),'계산도우미'!$L$5:$L$2004,0)),"")</x:f>
      </x:c>
      <x:c r="E442" t="str">
        <x:f>IFERROR(INDEX('계산도우미'!$E$5:$E$2004,MATCH(ROWS($A$6:A442),'계산도우미'!$L$5:$L$2004,0)),"")</x:f>
      </x:c>
      <x:c r="F442" t="str">
        <x:f>IFERROR(INDEX('계산도우미'!$F$5:$F$2004,MATCH(ROWS($A$6:A442),'계산도우미'!$L$5:$L$2004,0)),"")</x:f>
      </x:c>
      <x:c r="G442" s="68" t="str">
        <x:f>IFERROR(INDEX('계산도우미'!$G$5:$G$2004,MATCH(ROWS($A$6:A442),'계산도우미'!$L$5:$L$2004,0)),"")</x:f>
      </x:c>
      <x:c r="H442" t="str">
        <x:f>IFERROR(INDEX('계산도우미'!$H$5:$H$2004,MATCH(ROWS($A$6:A442),'계산도우미'!$L$5:$L$2004,0)),"")</x:f>
      </x:c>
      <x:c r="I442" t="str">
        <x:f>IFERROR(INDEX('계산도우미'!$I$5:$I$2004,MATCH(ROWS($A$6:A442),'계산도우미'!$L$5:$L$2004,0)),"")</x:f>
      </x:c>
      <x:c r="J442" t="str">
        <x:f>IFERROR(INDEX('계산도우미'!$J$5:$J$2004,MATCH(ROWS($A$6:A442),'계산도우미'!$L$5:$L$2004,0)),"")</x:f>
      </x:c>
      <x:c r="K442" t="str">
        <x:f>IF(B442="","",IF(I442="확인 필요","붙임 문서 확인 후 거래 성격·기간·상대방·일회성 여부 확인","결의서명과 전기 대비 발생 건수·단가·시점 차이 검토"))</x:f>
      </x:c>
    </x:row>
    <x:row r="443">
      <x:c r="A443" t="str">
        <x:f>IFERROR(INDEX('계산도우미'!$A$5:$A$2004,MATCH(ROWS($A$6:A443),'계산도우미'!$L$5:$L$2004,0)),"")</x:f>
      </x:c>
      <x:c r="B443" t="str">
        <x:f>IFERROR(INDEX('계산도우미'!$B$5:$B$2004,MATCH(ROWS($A$6:A443),'계산도우미'!$L$5:$L$2004,0)),"")</x:f>
      </x:c>
      <x:c r="C443" t="str">
        <x:f>IFERROR(INDEX('계산도우미'!$C$5:$C$2004,MATCH(ROWS($A$6:A443),'계산도우미'!$L$5:$L$2004,0)),"")</x:f>
      </x:c>
      <x:c r="D443" s="67" t="str">
        <x:f>IFERROR(INDEX('계산도우미'!$D$5:$D$2004,MATCH(ROWS($A$6:A443),'계산도우미'!$L$5:$L$2004,0)),"")</x:f>
      </x:c>
      <x:c r="E443" t="str">
        <x:f>IFERROR(INDEX('계산도우미'!$E$5:$E$2004,MATCH(ROWS($A$6:A443),'계산도우미'!$L$5:$L$2004,0)),"")</x:f>
      </x:c>
      <x:c r="F443" t="str">
        <x:f>IFERROR(INDEX('계산도우미'!$F$5:$F$2004,MATCH(ROWS($A$6:A443),'계산도우미'!$L$5:$L$2004,0)),"")</x:f>
      </x:c>
      <x:c r="G443" s="68" t="str">
        <x:f>IFERROR(INDEX('계산도우미'!$G$5:$G$2004,MATCH(ROWS($A$6:A443),'계산도우미'!$L$5:$L$2004,0)),"")</x:f>
      </x:c>
      <x:c r="H443" t="str">
        <x:f>IFERROR(INDEX('계산도우미'!$H$5:$H$2004,MATCH(ROWS($A$6:A443),'계산도우미'!$L$5:$L$2004,0)),"")</x:f>
      </x:c>
      <x:c r="I443" t="str">
        <x:f>IFERROR(INDEX('계산도우미'!$I$5:$I$2004,MATCH(ROWS($A$6:A443),'계산도우미'!$L$5:$L$2004,0)),"")</x:f>
      </x:c>
      <x:c r="J443" t="str">
        <x:f>IFERROR(INDEX('계산도우미'!$J$5:$J$2004,MATCH(ROWS($A$6:A443),'계산도우미'!$L$5:$L$2004,0)),"")</x:f>
      </x:c>
      <x:c r="K443" t="str">
        <x:f>IF(B443="","",IF(I443="확인 필요","붙임 문서 확인 후 거래 성격·기간·상대방·일회성 여부 확인","결의서명과 전기 대비 발생 건수·단가·시점 차이 검토"))</x:f>
      </x:c>
    </x:row>
    <x:row r="444">
      <x:c r="A444" t="str">
        <x:f>IFERROR(INDEX('계산도우미'!$A$5:$A$2004,MATCH(ROWS($A$6:A444),'계산도우미'!$L$5:$L$2004,0)),"")</x:f>
      </x:c>
      <x:c r="B444" t="str">
        <x:f>IFERROR(INDEX('계산도우미'!$B$5:$B$2004,MATCH(ROWS($A$6:A444),'계산도우미'!$L$5:$L$2004,0)),"")</x:f>
      </x:c>
      <x:c r="C444" t="str">
        <x:f>IFERROR(INDEX('계산도우미'!$C$5:$C$2004,MATCH(ROWS($A$6:A444),'계산도우미'!$L$5:$L$2004,0)),"")</x:f>
      </x:c>
      <x:c r="D444" s="67" t="str">
        <x:f>IFERROR(INDEX('계산도우미'!$D$5:$D$2004,MATCH(ROWS($A$6:A444),'계산도우미'!$L$5:$L$2004,0)),"")</x:f>
      </x:c>
      <x:c r="E444" t="str">
        <x:f>IFERROR(INDEX('계산도우미'!$E$5:$E$2004,MATCH(ROWS($A$6:A444),'계산도우미'!$L$5:$L$2004,0)),"")</x:f>
      </x:c>
      <x:c r="F444" t="str">
        <x:f>IFERROR(INDEX('계산도우미'!$F$5:$F$2004,MATCH(ROWS($A$6:A444),'계산도우미'!$L$5:$L$2004,0)),"")</x:f>
      </x:c>
      <x:c r="G444" s="68" t="str">
        <x:f>IFERROR(INDEX('계산도우미'!$G$5:$G$2004,MATCH(ROWS($A$6:A444),'계산도우미'!$L$5:$L$2004,0)),"")</x:f>
      </x:c>
      <x:c r="H444" t="str">
        <x:f>IFERROR(INDEX('계산도우미'!$H$5:$H$2004,MATCH(ROWS($A$6:A444),'계산도우미'!$L$5:$L$2004,0)),"")</x:f>
      </x:c>
      <x:c r="I444" t="str">
        <x:f>IFERROR(INDEX('계산도우미'!$I$5:$I$2004,MATCH(ROWS($A$6:A444),'계산도우미'!$L$5:$L$2004,0)),"")</x:f>
      </x:c>
      <x:c r="J444" t="str">
        <x:f>IFERROR(INDEX('계산도우미'!$J$5:$J$2004,MATCH(ROWS($A$6:A444),'계산도우미'!$L$5:$L$2004,0)),"")</x:f>
      </x:c>
      <x:c r="K444" t="str">
        <x:f>IF(B444="","",IF(I444="확인 필요","붙임 문서 확인 후 거래 성격·기간·상대방·일회성 여부 확인","결의서명과 전기 대비 발생 건수·단가·시점 차이 검토"))</x:f>
      </x:c>
    </x:row>
    <x:row r="445">
      <x:c r="A445" t="str">
        <x:f>IFERROR(INDEX('계산도우미'!$A$5:$A$2004,MATCH(ROWS($A$6:A445),'계산도우미'!$L$5:$L$2004,0)),"")</x:f>
      </x:c>
      <x:c r="B445" t="str">
        <x:f>IFERROR(INDEX('계산도우미'!$B$5:$B$2004,MATCH(ROWS($A$6:A445),'계산도우미'!$L$5:$L$2004,0)),"")</x:f>
      </x:c>
      <x:c r="C445" t="str">
        <x:f>IFERROR(INDEX('계산도우미'!$C$5:$C$2004,MATCH(ROWS($A$6:A445),'계산도우미'!$L$5:$L$2004,0)),"")</x:f>
      </x:c>
      <x:c r="D445" s="67" t="str">
        <x:f>IFERROR(INDEX('계산도우미'!$D$5:$D$2004,MATCH(ROWS($A$6:A445),'계산도우미'!$L$5:$L$2004,0)),"")</x:f>
      </x:c>
      <x:c r="E445" t="str">
        <x:f>IFERROR(INDEX('계산도우미'!$E$5:$E$2004,MATCH(ROWS($A$6:A445),'계산도우미'!$L$5:$L$2004,0)),"")</x:f>
      </x:c>
      <x:c r="F445" t="str">
        <x:f>IFERROR(INDEX('계산도우미'!$F$5:$F$2004,MATCH(ROWS($A$6:A445),'계산도우미'!$L$5:$L$2004,0)),"")</x:f>
      </x:c>
      <x:c r="G445" s="68" t="str">
        <x:f>IFERROR(INDEX('계산도우미'!$G$5:$G$2004,MATCH(ROWS($A$6:A445),'계산도우미'!$L$5:$L$2004,0)),"")</x:f>
      </x:c>
      <x:c r="H445" t="str">
        <x:f>IFERROR(INDEX('계산도우미'!$H$5:$H$2004,MATCH(ROWS($A$6:A445),'계산도우미'!$L$5:$L$2004,0)),"")</x:f>
      </x:c>
      <x:c r="I445" t="str">
        <x:f>IFERROR(INDEX('계산도우미'!$I$5:$I$2004,MATCH(ROWS($A$6:A445),'계산도우미'!$L$5:$L$2004,0)),"")</x:f>
      </x:c>
      <x:c r="J445" t="str">
        <x:f>IFERROR(INDEX('계산도우미'!$J$5:$J$2004,MATCH(ROWS($A$6:A445),'계산도우미'!$L$5:$L$2004,0)),"")</x:f>
      </x:c>
      <x:c r="K445" t="str">
        <x:f>IF(B445="","",IF(I445="확인 필요","붙임 문서 확인 후 거래 성격·기간·상대방·일회성 여부 확인","결의서명과 전기 대비 발생 건수·단가·시점 차이 검토"))</x:f>
      </x:c>
    </x:row>
    <x:row r="446">
      <x:c r="A446" t="str">
        <x:f>IFERROR(INDEX('계산도우미'!$A$5:$A$2004,MATCH(ROWS($A$6:A446),'계산도우미'!$L$5:$L$2004,0)),"")</x:f>
      </x:c>
      <x:c r="B446" t="str">
        <x:f>IFERROR(INDEX('계산도우미'!$B$5:$B$2004,MATCH(ROWS($A$6:A446),'계산도우미'!$L$5:$L$2004,0)),"")</x:f>
      </x:c>
      <x:c r="C446" t="str">
        <x:f>IFERROR(INDEX('계산도우미'!$C$5:$C$2004,MATCH(ROWS($A$6:A446),'계산도우미'!$L$5:$L$2004,0)),"")</x:f>
      </x:c>
      <x:c r="D446" s="67" t="str">
        <x:f>IFERROR(INDEX('계산도우미'!$D$5:$D$2004,MATCH(ROWS($A$6:A446),'계산도우미'!$L$5:$L$2004,0)),"")</x:f>
      </x:c>
      <x:c r="E446" t="str">
        <x:f>IFERROR(INDEX('계산도우미'!$E$5:$E$2004,MATCH(ROWS($A$6:A446),'계산도우미'!$L$5:$L$2004,0)),"")</x:f>
      </x:c>
      <x:c r="F446" t="str">
        <x:f>IFERROR(INDEX('계산도우미'!$F$5:$F$2004,MATCH(ROWS($A$6:A446),'계산도우미'!$L$5:$L$2004,0)),"")</x:f>
      </x:c>
      <x:c r="G446" s="68" t="str">
        <x:f>IFERROR(INDEX('계산도우미'!$G$5:$G$2004,MATCH(ROWS($A$6:A446),'계산도우미'!$L$5:$L$2004,0)),"")</x:f>
      </x:c>
      <x:c r="H446" t="str">
        <x:f>IFERROR(INDEX('계산도우미'!$H$5:$H$2004,MATCH(ROWS($A$6:A446),'계산도우미'!$L$5:$L$2004,0)),"")</x:f>
      </x:c>
      <x:c r="I446" t="str">
        <x:f>IFERROR(INDEX('계산도우미'!$I$5:$I$2004,MATCH(ROWS($A$6:A446),'계산도우미'!$L$5:$L$2004,0)),"")</x:f>
      </x:c>
      <x:c r="J446" t="str">
        <x:f>IFERROR(INDEX('계산도우미'!$J$5:$J$2004,MATCH(ROWS($A$6:A446),'계산도우미'!$L$5:$L$2004,0)),"")</x:f>
      </x:c>
      <x:c r="K446" t="str">
        <x:f>IF(B446="","",IF(I446="확인 필요","붙임 문서 확인 후 거래 성격·기간·상대방·일회성 여부 확인","결의서명과 전기 대비 발생 건수·단가·시점 차이 검토"))</x:f>
      </x:c>
    </x:row>
    <x:row r="447">
      <x:c r="A447" t="str">
        <x:f>IFERROR(INDEX('계산도우미'!$A$5:$A$2004,MATCH(ROWS($A$6:A447),'계산도우미'!$L$5:$L$2004,0)),"")</x:f>
      </x:c>
      <x:c r="B447" t="str">
        <x:f>IFERROR(INDEX('계산도우미'!$B$5:$B$2004,MATCH(ROWS($A$6:A447),'계산도우미'!$L$5:$L$2004,0)),"")</x:f>
      </x:c>
      <x:c r="C447" t="str">
        <x:f>IFERROR(INDEX('계산도우미'!$C$5:$C$2004,MATCH(ROWS($A$6:A447),'계산도우미'!$L$5:$L$2004,0)),"")</x:f>
      </x:c>
      <x:c r="D447" s="67" t="str">
        <x:f>IFERROR(INDEX('계산도우미'!$D$5:$D$2004,MATCH(ROWS($A$6:A447),'계산도우미'!$L$5:$L$2004,0)),"")</x:f>
      </x:c>
      <x:c r="E447" t="str">
        <x:f>IFERROR(INDEX('계산도우미'!$E$5:$E$2004,MATCH(ROWS($A$6:A447),'계산도우미'!$L$5:$L$2004,0)),"")</x:f>
      </x:c>
      <x:c r="F447" t="str">
        <x:f>IFERROR(INDEX('계산도우미'!$F$5:$F$2004,MATCH(ROWS($A$6:A447),'계산도우미'!$L$5:$L$2004,0)),"")</x:f>
      </x:c>
      <x:c r="G447" s="68" t="str">
        <x:f>IFERROR(INDEX('계산도우미'!$G$5:$G$2004,MATCH(ROWS($A$6:A447),'계산도우미'!$L$5:$L$2004,0)),"")</x:f>
      </x:c>
      <x:c r="H447" t="str">
        <x:f>IFERROR(INDEX('계산도우미'!$H$5:$H$2004,MATCH(ROWS($A$6:A447),'계산도우미'!$L$5:$L$2004,0)),"")</x:f>
      </x:c>
      <x:c r="I447" t="str">
        <x:f>IFERROR(INDEX('계산도우미'!$I$5:$I$2004,MATCH(ROWS($A$6:A447),'계산도우미'!$L$5:$L$2004,0)),"")</x:f>
      </x:c>
      <x:c r="J447" t="str">
        <x:f>IFERROR(INDEX('계산도우미'!$J$5:$J$2004,MATCH(ROWS($A$6:A447),'계산도우미'!$L$5:$L$2004,0)),"")</x:f>
      </x:c>
      <x:c r="K447" t="str">
        <x:f>IF(B447="","",IF(I447="확인 필요","붙임 문서 확인 후 거래 성격·기간·상대방·일회성 여부 확인","결의서명과 전기 대비 발생 건수·단가·시점 차이 검토"))</x:f>
      </x:c>
    </x:row>
    <x:row r="448">
      <x:c r="A448" t="str">
        <x:f>IFERROR(INDEX('계산도우미'!$A$5:$A$2004,MATCH(ROWS($A$6:A448),'계산도우미'!$L$5:$L$2004,0)),"")</x:f>
      </x:c>
      <x:c r="B448" t="str">
        <x:f>IFERROR(INDEX('계산도우미'!$B$5:$B$2004,MATCH(ROWS($A$6:A448),'계산도우미'!$L$5:$L$2004,0)),"")</x:f>
      </x:c>
      <x:c r="C448" t="str">
        <x:f>IFERROR(INDEX('계산도우미'!$C$5:$C$2004,MATCH(ROWS($A$6:A448),'계산도우미'!$L$5:$L$2004,0)),"")</x:f>
      </x:c>
      <x:c r="D448" s="67" t="str">
        <x:f>IFERROR(INDEX('계산도우미'!$D$5:$D$2004,MATCH(ROWS($A$6:A448),'계산도우미'!$L$5:$L$2004,0)),"")</x:f>
      </x:c>
      <x:c r="E448" t="str">
        <x:f>IFERROR(INDEX('계산도우미'!$E$5:$E$2004,MATCH(ROWS($A$6:A448),'계산도우미'!$L$5:$L$2004,0)),"")</x:f>
      </x:c>
      <x:c r="F448" t="str">
        <x:f>IFERROR(INDEX('계산도우미'!$F$5:$F$2004,MATCH(ROWS($A$6:A448),'계산도우미'!$L$5:$L$2004,0)),"")</x:f>
      </x:c>
      <x:c r="G448" s="68" t="str">
        <x:f>IFERROR(INDEX('계산도우미'!$G$5:$G$2004,MATCH(ROWS($A$6:A448),'계산도우미'!$L$5:$L$2004,0)),"")</x:f>
      </x:c>
      <x:c r="H448" t="str">
        <x:f>IFERROR(INDEX('계산도우미'!$H$5:$H$2004,MATCH(ROWS($A$6:A448),'계산도우미'!$L$5:$L$2004,0)),"")</x:f>
      </x:c>
      <x:c r="I448" t="str">
        <x:f>IFERROR(INDEX('계산도우미'!$I$5:$I$2004,MATCH(ROWS($A$6:A448),'계산도우미'!$L$5:$L$2004,0)),"")</x:f>
      </x:c>
      <x:c r="J448" t="str">
        <x:f>IFERROR(INDEX('계산도우미'!$J$5:$J$2004,MATCH(ROWS($A$6:A448),'계산도우미'!$L$5:$L$2004,0)),"")</x:f>
      </x:c>
      <x:c r="K448" t="str">
        <x:f>IF(B448="","",IF(I448="확인 필요","붙임 문서 확인 후 거래 성격·기간·상대방·일회성 여부 확인","결의서명과 전기 대비 발생 건수·단가·시점 차이 검토"))</x:f>
      </x:c>
    </x:row>
    <x:row r="449">
      <x:c r="A449" t="str">
        <x:f>IFERROR(INDEX('계산도우미'!$A$5:$A$2004,MATCH(ROWS($A$6:A449),'계산도우미'!$L$5:$L$2004,0)),"")</x:f>
      </x:c>
      <x:c r="B449" t="str">
        <x:f>IFERROR(INDEX('계산도우미'!$B$5:$B$2004,MATCH(ROWS($A$6:A449),'계산도우미'!$L$5:$L$2004,0)),"")</x:f>
      </x:c>
      <x:c r="C449" t="str">
        <x:f>IFERROR(INDEX('계산도우미'!$C$5:$C$2004,MATCH(ROWS($A$6:A449),'계산도우미'!$L$5:$L$2004,0)),"")</x:f>
      </x:c>
      <x:c r="D449" s="67" t="str">
        <x:f>IFERROR(INDEX('계산도우미'!$D$5:$D$2004,MATCH(ROWS($A$6:A449),'계산도우미'!$L$5:$L$2004,0)),"")</x:f>
      </x:c>
      <x:c r="E449" t="str">
        <x:f>IFERROR(INDEX('계산도우미'!$E$5:$E$2004,MATCH(ROWS($A$6:A449),'계산도우미'!$L$5:$L$2004,0)),"")</x:f>
      </x:c>
      <x:c r="F449" t="str">
        <x:f>IFERROR(INDEX('계산도우미'!$F$5:$F$2004,MATCH(ROWS($A$6:A449),'계산도우미'!$L$5:$L$2004,0)),"")</x:f>
      </x:c>
      <x:c r="G449" s="68" t="str">
        <x:f>IFERROR(INDEX('계산도우미'!$G$5:$G$2004,MATCH(ROWS($A$6:A449),'계산도우미'!$L$5:$L$2004,0)),"")</x:f>
      </x:c>
      <x:c r="H449" t="str">
        <x:f>IFERROR(INDEX('계산도우미'!$H$5:$H$2004,MATCH(ROWS($A$6:A449),'계산도우미'!$L$5:$L$2004,0)),"")</x:f>
      </x:c>
      <x:c r="I449" t="str">
        <x:f>IFERROR(INDEX('계산도우미'!$I$5:$I$2004,MATCH(ROWS($A$6:A449),'계산도우미'!$L$5:$L$2004,0)),"")</x:f>
      </x:c>
      <x:c r="J449" t="str">
        <x:f>IFERROR(INDEX('계산도우미'!$J$5:$J$2004,MATCH(ROWS($A$6:A449),'계산도우미'!$L$5:$L$2004,0)),"")</x:f>
      </x:c>
      <x:c r="K449" t="str">
        <x:f>IF(B449="","",IF(I449="확인 필요","붙임 문서 확인 후 거래 성격·기간·상대방·일회성 여부 확인","결의서명과 전기 대비 발생 건수·단가·시점 차이 검토"))</x:f>
      </x:c>
    </x:row>
    <x:row r="450">
      <x:c r="A450" t="str">
        <x:f>IFERROR(INDEX('계산도우미'!$A$5:$A$2004,MATCH(ROWS($A$6:A450),'계산도우미'!$L$5:$L$2004,0)),"")</x:f>
      </x:c>
      <x:c r="B450" t="str">
        <x:f>IFERROR(INDEX('계산도우미'!$B$5:$B$2004,MATCH(ROWS($A$6:A450),'계산도우미'!$L$5:$L$2004,0)),"")</x:f>
      </x:c>
      <x:c r="C450" t="str">
        <x:f>IFERROR(INDEX('계산도우미'!$C$5:$C$2004,MATCH(ROWS($A$6:A450),'계산도우미'!$L$5:$L$2004,0)),"")</x:f>
      </x:c>
      <x:c r="D450" s="67" t="str">
        <x:f>IFERROR(INDEX('계산도우미'!$D$5:$D$2004,MATCH(ROWS($A$6:A450),'계산도우미'!$L$5:$L$2004,0)),"")</x:f>
      </x:c>
      <x:c r="E450" t="str">
        <x:f>IFERROR(INDEX('계산도우미'!$E$5:$E$2004,MATCH(ROWS($A$6:A450),'계산도우미'!$L$5:$L$2004,0)),"")</x:f>
      </x:c>
      <x:c r="F450" t="str">
        <x:f>IFERROR(INDEX('계산도우미'!$F$5:$F$2004,MATCH(ROWS($A$6:A450),'계산도우미'!$L$5:$L$2004,0)),"")</x:f>
      </x:c>
      <x:c r="G450" s="68" t="str">
        <x:f>IFERROR(INDEX('계산도우미'!$G$5:$G$2004,MATCH(ROWS($A$6:A450),'계산도우미'!$L$5:$L$2004,0)),"")</x:f>
      </x:c>
      <x:c r="H450" t="str">
        <x:f>IFERROR(INDEX('계산도우미'!$H$5:$H$2004,MATCH(ROWS($A$6:A450),'계산도우미'!$L$5:$L$2004,0)),"")</x:f>
      </x:c>
      <x:c r="I450" t="str">
        <x:f>IFERROR(INDEX('계산도우미'!$I$5:$I$2004,MATCH(ROWS($A$6:A450),'계산도우미'!$L$5:$L$2004,0)),"")</x:f>
      </x:c>
      <x:c r="J450" t="str">
        <x:f>IFERROR(INDEX('계산도우미'!$J$5:$J$2004,MATCH(ROWS($A$6:A450),'계산도우미'!$L$5:$L$2004,0)),"")</x:f>
      </x:c>
      <x:c r="K450" t="str">
        <x:f>IF(B450="","",IF(I450="확인 필요","붙임 문서 확인 후 거래 성격·기간·상대방·일회성 여부 확인","결의서명과 전기 대비 발생 건수·단가·시점 차이 검토"))</x:f>
      </x:c>
    </x:row>
    <x:row r="451">
      <x:c r="A451" t="str">
        <x:f>IFERROR(INDEX('계산도우미'!$A$5:$A$2004,MATCH(ROWS($A$6:A451),'계산도우미'!$L$5:$L$2004,0)),"")</x:f>
      </x:c>
      <x:c r="B451" t="str">
        <x:f>IFERROR(INDEX('계산도우미'!$B$5:$B$2004,MATCH(ROWS($A$6:A451),'계산도우미'!$L$5:$L$2004,0)),"")</x:f>
      </x:c>
      <x:c r="C451" t="str">
        <x:f>IFERROR(INDEX('계산도우미'!$C$5:$C$2004,MATCH(ROWS($A$6:A451),'계산도우미'!$L$5:$L$2004,0)),"")</x:f>
      </x:c>
      <x:c r="D451" s="67" t="str">
        <x:f>IFERROR(INDEX('계산도우미'!$D$5:$D$2004,MATCH(ROWS($A$6:A451),'계산도우미'!$L$5:$L$2004,0)),"")</x:f>
      </x:c>
      <x:c r="E451" t="str">
        <x:f>IFERROR(INDEX('계산도우미'!$E$5:$E$2004,MATCH(ROWS($A$6:A451),'계산도우미'!$L$5:$L$2004,0)),"")</x:f>
      </x:c>
      <x:c r="F451" t="str">
        <x:f>IFERROR(INDEX('계산도우미'!$F$5:$F$2004,MATCH(ROWS($A$6:A451),'계산도우미'!$L$5:$L$2004,0)),"")</x:f>
      </x:c>
      <x:c r="G451" s="68" t="str">
        <x:f>IFERROR(INDEX('계산도우미'!$G$5:$G$2004,MATCH(ROWS($A$6:A451),'계산도우미'!$L$5:$L$2004,0)),"")</x:f>
      </x:c>
      <x:c r="H451" t="str">
        <x:f>IFERROR(INDEX('계산도우미'!$H$5:$H$2004,MATCH(ROWS($A$6:A451),'계산도우미'!$L$5:$L$2004,0)),"")</x:f>
      </x:c>
      <x:c r="I451" t="str">
        <x:f>IFERROR(INDEX('계산도우미'!$I$5:$I$2004,MATCH(ROWS($A$6:A451),'계산도우미'!$L$5:$L$2004,0)),"")</x:f>
      </x:c>
      <x:c r="J451" t="str">
        <x:f>IFERROR(INDEX('계산도우미'!$J$5:$J$2004,MATCH(ROWS($A$6:A451),'계산도우미'!$L$5:$L$2004,0)),"")</x:f>
      </x:c>
      <x:c r="K451" t="str">
        <x:f>IF(B451="","",IF(I451="확인 필요","붙임 문서 확인 후 거래 성격·기간·상대방·일회성 여부 확인","결의서명과 전기 대비 발생 건수·단가·시점 차이 검토"))</x:f>
      </x:c>
    </x:row>
    <x:row r="452">
      <x:c r="A452" t="str">
        <x:f>IFERROR(INDEX('계산도우미'!$A$5:$A$2004,MATCH(ROWS($A$6:A452),'계산도우미'!$L$5:$L$2004,0)),"")</x:f>
      </x:c>
      <x:c r="B452" t="str">
        <x:f>IFERROR(INDEX('계산도우미'!$B$5:$B$2004,MATCH(ROWS($A$6:A452),'계산도우미'!$L$5:$L$2004,0)),"")</x:f>
      </x:c>
      <x:c r="C452" t="str">
        <x:f>IFERROR(INDEX('계산도우미'!$C$5:$C$2004,MATCH(ROWS($A$6:A452),'계산도우미'!$L$5:$L$2004,0)),"")</x:f>
      </x:c>
      <x:c r="D452" s="67" t="str">
        <x:f>IFERROR(INDEX('계산도우미'!$D$5:$D$2004,MATCH(ROWS($A$6:A452),'계산도우미'!$L$5:$L$2004,0)),"")</x:f>
      </x:c>
      <x:c r="E452" t="str">
        <x:f>IFERROR(INDEX('계산도우미'!$E$5:$E$2004,MATCH(ROWS($A$6:A452),'계산도우미'!$L$5:$L$2004,0)),"")</x:f>
      </x:c>
      <x:c r="F452" t="str">
        <x:f>IFERROR(INDEX('계산도우미'!$F$5:$F$2004,MATCH(ROWS($A$6:A452),'계산도우미'!$L$5:$L$2004,0)),"")</x:f>
      </x:c>
      <x:c r="G452" s="68" t="str">
        <x:f>IFERROR(INDEX('계산도우미'!$G$5:$G$2004,MATCH(ROWS($A$6:A452),'계산도우미'!$L$5:$L$2004,0)),"")</x:f>
      </x:c>
      <x:c r="H452" t="str">
        <x:f>IFERROR(INDEX('계산도우미'!$H$5:$H$2004,MATCH(ROWS($A$6:A452),'계산도우미'!$L$5:$L$2004,0)),"")</x:f>
      </x:c>
      <x:c r="I452" t="str">
        <x:f>IFERROR(INDEX('계산도우미'!$I$5:$I$2004,MATCH(ROWS($A$6:A452),'계산도우미'!$L$5:$L$2004,0)),"")</x:f>
      </x:c>
      <x:c r="J452" t="str">
        <x:f>IFERROR(INDEX('계산도우미'!$J$5:$J$2004,MATCH(ROWS($A$6:A452),'계산도우미'!$L$5:$L$2004,0)),"")</x:f>
      </x:c>
      <x:c r="K452" t="str">
        <x:f>IF(B452="","",IF(I452="확인 필요","붙임 문서 확인 후 거래 성격·기간·상대방·일회성 여부 확인","결의서명과 전기 대비 발생 건수·단가·시점 차이 검토"))</x:f>
      </x:c>
    </x:row>
    <x:row r="453">
      <x:c r="A453" t="str">
        <x:f>IFERROR(INDEX('계산도우미'!$A$5:$A$2004,MATCH(ROWS($A$6:A453),'계산도우미'!$L$5:$L$2004,0)),"")</x:f>
      </x:c>
      <x:c r="B453" t="str">
        <x:f>IFERROR(INDEX('계산도우미'!$B$5:$B$2004,MATCH(ROWS($A$6:A453),'계산도우미'!$L$5:$L$2004,0)),"")</x:f>
      </x:c>
      <x:c r="C453" t="str">
        <x:f>IFERROR(INDEX('계산도우미'!$C$5:$C$2004,MATCH(ROWS($A$6:A453),'계산도우미'!$L$5:$L$2004,0)),"")</x:f>
      </x:c>
      <x:c r="D453" s="67" t="str">
        <x:f>IFERROR(INDEX('계산도우미'!$D$5:$D$2004,MATCH(ROWS($A$6:A453),'계산도우미'!$L$5:$L$2004,0)),"")</x:f>
      </x:c>
      <x:c r="E453" t="str">
        <x:f>IFERROR(INDEX('계산도우미'!$E$5:$E$2004,MATCH(ROWS($A$6:A453),'계산도우미'!$L$5:$L$2004,0)),"")</x:f>
      </x:c>
      <x:c r="F453" t="str">
        <x:f>IFERROR(INDEX('계산도우미'!$F$5:$F$2004,MATCH(ROWS($A$6:A453),'계산도우미'!$L$5:$L$2004,0)),"")</x:f>
      </x:c>
      <x:c r="G453" s="68" t="str">
        <x:f>IFERROR(INDEX('계산도우미'!$G$5:$G$2004,MATCH(ROWS($A$6:A453),'계산도우미'!$L$5:$L$2004,0)),"")</x:f>
      </x:c>
      <x:c r="H453" t="str">
        <x:f>IFERROR(INDEX('계산도우미'!$H$5:$H$2004,MATCH(ROWS($A$6:A453),'계산도우미'!$L$5:$L$2004,0)),"")</x:f>
      </x:c>
      <x:c r="I453" t="str">
        <x:f>IFERROR(INDEX('계산도우미'!$I$5:$I$2004,MATCH(ROWS($A$6:A453),'계산도우미'!$L$5:$L$2004,0)),"")</x:f>
      </x:c>
      <x:c r="J453" t="str">
        <x:f>IFERROR(INDEX('계산도우미'!$J$5:$J$2004,MATCH(ROWS($A$6:A453),'계산도우미'!$L$5:$L$2004,0)),"")</x:f>
      </x:c>
      <x:c r="K453" t="str">
        <x:f>IF(B453="","",IF(I453="확인 필요","붙임 문서 확인 후 거래 성격·기간·상대방·일회성 여부 확인","결의서명과 전기 대비 발생 건수·단가·시점 차이 검토"))</x:f>
      </x:c>
    </x:row>
    <x:row r="454">
      <x:c r="A454" t="str">
        <x:f>IFERROR(INDEX('계산도우미'!$A$5:$A$2004,MATCH(ROWS($A$6:A454),'계산도우미'!$L$5:$L$2004,0)),"")</x:f>
      </x:c>
      <x:c r="B454" t="str">
        <x:f>IFERROR(INDEX('계산도우미'!$B$5:$B$2004,MATCH(ROWS($A$6:A454),'계산도우미'!$L$5:$L$2004,0)),"")</x:f>
      </x:c>
      <x:c r="C454" t="str">
        <x:f>IFERROR(INDEX('계산도우미'!$C$5:$C$2004,MATCH(ROWS($A$6:A454),'계산도우미'!$L$5:$L$2004,0)),"")</x:f>
      </x:c>
      <x:c r="D454" s="67" t="str">
        <x:f>IFERROR(INDEX('계산도우미'!$D$5:$D$2004,MATCH(ROWS($A$6:A454),'계산도우미'!$L$5:$L$2004,0)),"")</x:f>
      </x:c>
      <x:c r="E454" t="str">
        <x:f>IFERROR(INDEX('계산도우미'!$E$5:$E$2004,MATCH(ROWS($A$6:A454),'계산도우미'!$L$5:$L$2004,0)),"")</x:f>
      </x:c>
      <x:c r="F454" t="str">
        <x:f>IFERROR(INDEX('계산도우미'!$F$5:$F$2004,MATCH(ROWS($A$6:A454),'계산도우미'!$L$5:$L$2004,0)),"")</x:f>
      </x:c>
      <x:c r="G454" s="68" t="str">
        <x:f>IFERROR(INDEX('계산도우미'!$G$5:$G$2004,MATCH(ROWS($A$6:A454),'계산도우미'!$L$5:$L$2004,0)),"")</x:f>
      </x:c>
      <x:c r="H454" t="str">
        <x:f>IFERROR(INDEX('계산도우미'!$H$5:$H$2004,MATCH(ROWS($A$6:A454),'계산도우미'!$L$5:$L$2004,0)),"")</x:f>
      </x:c>
      <x:c r="I454" t="str">
        <x:f>IFERROR(INDEX('계산도우미'!$I$5:$I$2004,MATCH(ROWS($A$6:A454),'계산도우미'!$L$5:$L$2004,0)),"")</x:f>
      </x:c>
      <x:c r="J454" t="str">
        <x:f>IFERROR(INDEX('계산도우미'!$J$5:$J$2004,MATCH(ROWS($A$6:A454),'계산도우미'!$L$5:$L$2004,0)),"")</x:f>
      </x:c>
      <x:c r="K454" t="str">
        <x:f>IF(B454="","",IF(I454="확인 필요","붙임 문서 확인 후 거래 성격·기간·상대방·일회성 여부 확인","결의서명과 전기 대비 발생 건수·단가·시점 차이 검토"))</x:f>
      </x:c>
    </x:row>
    <x:row r="455">
      <x:c r="A455" t="str">
        <x:f>IFERROR(INDEX('계산도우미'!$A$5:$A$2004,MATCH(ROWS($A$6:A455),'계산도우미'!$L$5:$L$2004,0)),"")</x:f>
      </x:c>
      <x:c r="B455" t="str">
        <x:f>IFERROR(INDEX('계산도우미'!$B$5:$B$2004,MATCH(ROWS($A$6:A455),'계산도우미'!$L$5:$L$2004,0)),"")</x:f>
      </x:c>
      <x:c r="C455" t="str">
        <x:f>IFERROR(INDEX('계산도우미'!$C$5:$C$2004,MATCH(ROWS($A$6:A455),'계산도우미'!$L$5:$L$2004,0)),"")</x:f>
      </x:c>
      <x:c r="D455" s="67" t="str">
        <x:f>IFERROR(INDEX('계산도우미'!$D$5:$D$2004,MATCH(ROWS($A$6:A455),'계산도우미'!$L$5:$L$2004,0)),"")</x:f>
      </x:c>
      <x:c r="E455" t="str">
        <x:f>IFERROR(INDEX('계산도우미'!$E$5:$E$2004,MATCH(ROWS($A$6:A455),'계산도우미'!$L$5:$L$2004,0)),"")</x:f>
      </x:c>
      <x:c r="F455" t="str">
        <x:f>IFERROR(INDEX('계산도우미'!$F$5:$F$2004,MATCH(ROWS($A$6:A455),'계산도우미'!$L$5:$L$2004,0)),"")</x:f>
      </x:c>
      <x:c r="G455" s="68" t="str">
        <x:f>IFERROR(INDEX('계산도우미'!$G$5:$G$2004,MATCH(ROWS($A$6:A455),'계산도우미'!$L$5:$L$2004,0)),"")</x:f>
      </x:c>
      <x:c r="H455" t="str">
        <x:f>IFERROR(INDEX('계산도우미'!$H$5:$H$2004,MATCH(ROWS($A$6:A455),'계산도우미'!$L$5:$L$2004,0)),"")</x:f>
      </x:c>
      <x:c r="I455" t="str">
        <x:f>IFERROR(INDEX('계산도우미'!$I$5:$I$2004,MATCH(ROWS($A$6:A455),'계산도우미'!$L$5:$L$2004,0)),"")</x:f>
      </x:c>
      <x:c r="J455" t="str">
        <x:f>IFERROR(INDEX('계산도우미'!$J$5:$J$2004,MATCH(ROWS($A$6:A455),'계산도우미'!$L$5:$L$2004,0)),"")</x:f>
      </x:c>
      <x:c r="K455" t="str">
        <x:f>IF(B455="","",IF(I455="확인 필요","붙임 문서 확인 후 거래 성격·기간·상대방·일회성 여부 확인","결의서명과 전기 대비 발생 건수·단가·시점 차이 검토"))</x:f>
      </x:c>
    </x:row>
    <x:row r="456">
      <x:c r="A456" t="str">
        <x:f>IFERROR(INDEX('계산도우미'!$A$5:$A$2004,MATCH(ROWS($A$6:A456),'계산도우미'!$L$5:$L$2004,0)),"")</x:f>
      </x:c>
      <x:c r="B456" t="str">
        <x:f>IFERROR(INDEX('계산도우미'!$B$5:$B$2004,MATCH(ROWS($A$6:A456),'계산도우미'!$L$5:$L$2004,0)),"")</x:f>
      </x:c>
      <x:c r="C456" t="str">
        <x:f>IFERROR(INDEX('계산도우미'!$C$5:$C$2004,MATCH(ROWS($A$6:A456),'계산도우미'!$L$5:$L$2004,0)),"")</x:f>
      </x:c>
      <x:c r="D456" s="67" t="str">
        <x:f>IFERROR(INDEX('계산도우미'!$D$5:$D$2004,MATCH(ROWS($A$6:A456),'계산도우미'!$L$5:$L$2004,0)),"")</x:f>
      </x:c>
      <x:c r="E456" t="str">
        <x:f>IFERROR(INDEX('계산도우미'!$E$5:$E$2004,MATCH(ROWS($A$6:A456),'계산도우미'!$L$5:$L$2004,0)),"")</x:f>
      </x:c>
      <x:c r="F456" t="str">
        <x:f>IFERROR(INDEX('계산도우미'!$F$5:$F$2004,MATCH(ROWS($A$6:A456),'계산도우미'!$L$5:$L$2004,0)),"")</x:f>
      </x:c>
      <x:c r="G456" s="68" t="str">
        <x:f>IFERROR(INDEX('계산도우미'!$G$5:$G$2004,MATCH(ROWS($A$6:A456),'계산도우미'!$L$5:$L$2004,0)),"")</x:f>
      </x:c>
      <x:c r="H456" t="str">
        <x:f>IFERROR(INDEX('계산도우미'!$H$5:$H$2004,MATCH(ROWS($A$6:A456),'계산도우미'!$L$5:$L$2004,0)),"")</x:f>
      </x:c>
      <x:c r="I456" t="str">
        <x:f>IFERROR(INDEX('계산도우미'!$I$5:$I$2004,MATCH(ROWS($A$6:A456),'계산도우미'!$L$5:$L$2004,0)),"")</x:f>
      </x:c>
      <x:c r="J456" t="str">
        <x:f>IFERROR(INDEX('계산도우미'!$J$5:$J$2004,MATCH(ROWS($A$6:A456),'계산도우미'!$L$5:$L$2004,0)),"")</x:f>
      </x:c>
      <x:c r="K456" t="str">
        <x:f>IF(B456="","",IF(I456="확인 필요","붙임 문서 확인 후 거래 성격·기간·상대방·일회성 여부 확인","결의서명과 전기 대비 발생 건수·단가·시점 차이 검토"))</x:f>
      </x:c>
    </x:row>
    <x:row r="457">
      <x:c r="A457" t="str">
        <x:f>IFERROR(INDEX('계산도우미'!$A$5:$A$2004,MATCH(ROWS($A$6:A457),'계산도우미'!$L$5:$L$2004,0)),"")</x:f>
      </x:c>
      <x:c r="B457" t="str">
        <x:f>IFERROR(INDEX('계산도우미'!$B$5:$B$2004,MATCH(ROWS($A$6:A457),'계산도우미'!$L$5:$L$2004,0)),"")</x:f>
      </x:c>
      <x:c r="C457" t="str">
        <x:f>IFERROR(INDEX('계산도우미'!$C$5:$C$2004,MATCH(ROWS($A$6:A457),'계산도우미'!$L$5:$L$2004,0)),"")</x:f>
      </x:c>
      <x:c r="D457" s="67" t="str">
        <x:f>IFERROR(INDEX('계산도우미'!$D$5:$D$2004,MATCH(ROWS($A$6:A457),'계산도우미'!$L$5:$L$2004,0)),"")</x:f>
      </x:c>
      <x:c r="E457" t="str">
        <x:f>IFERROR(INDEX('계산도우미'!$E$5:$E$2004,MATCH(ROWS($A$6:A457),'계산도우미'!$L$5:$L$2004,0)),"")</x:f>
      </x:c>
      <x:c r="F457" t="str">
        <x:f>IFERROR(INDEX('계산도우미'!$F$5:$F$2004,MATCH(ROWS($A$6:A457),'계산도우미'!$L$5:$L$2004,0)),"")</x:f>
      </x:c>
      <x:c r="G457" s="68" t="str">
        <x:f>IFERROR(INDEX('계산도우미'!$G$5:$G$2004,MATCH(ROWS($A$6:A457),'계산도우미'!$L$5:$L$2004,0)),"")</x:f>
      </x:c>
      <x:c r="H457" t="str">
        <x:f>IFERROR(INDEX('계산도우미'!$H$5:$H$2004,MATCH(ROWS($A$6:A457),'계산도우미'!$L$5:$L$2004,0)),"")</x:f>
      </x:c>
      <x:c r="I457" t="str">
        <x:f>IFERROR(INDEX('계산도우미'!$I$5:$I$2004,MATCH(ROWS($A$6:A457),'계산도우미'!$L$5:$L$2004,0)),"")</x:f>
      </x:c>
      <x:c r="J457" t="str">
        <x:f>IFERROR(INDEX('계산도우미'!$J$5:$J$2004,MATCH(ROWS($A$6:A457),'계산도우미'!$L$5:$L$2004,0)),"")</x:f>
      </x:c>
      <x:c r="K457" t="str">
        <x:f>IF(B457="","",IF(I457="확인 필요","붙임 문서 확인 후 거래 성격·기간·상대방·일회성 여부 확인","결의서명과 전기 대비 발생 건수·단가·시점 차이 검토"))</x:f>
      </x:c>
    </x:row>
    <x:row r="458">
      <x:c r="A458" t="str">
        <x:f>IFERROR(INDEX('계산도우미'!$A$5:$A$2004,MATCH(ROWS($A$6:A458),'계산도우미'!$L$5:$L$2004,0)),"")</x:f>
      </x:c>
      <x:c r="B458" t="str">
        <x:f>IFERROR(INDEX('계산도우미'!$B$5:$B$2004,MATCH(ROWS($A$6:A458),'계산도우미'!$L$5:$L$2004,0)),"")</x:f>
      </x:c>
      <x:c r="C458" t="str">
        <x:f>IFERROR(INDEX('계산도우미'!$C$5:$C$2004,MATCH(ROWS($A$6:A458),'계산도우미'!$L$5:$L$2004,0)),"")</x:f>
      </x:c>
      <x:c r="D458" s="67" t="str">
        <x:f>IFERROR(INDEX('계산도우미'!$D$5:$D$2004,MATCH(ROWS($A$6:A458),'계산도우미'!$L$5:$L$2004,0)),"")</x:f>
      </x:c>
      <x:c r="E458" t="str">
        <x:f>IFERROR(INDEX('계산도우미'!$E$5:$E$2004,MATCH(ROWS($A$6:A458),'계산도우미'!$L$5:$L$2004,0)),"")</x:f>
      </x:c>
      <x:c r="F458" t="str">
        <x:f>IFERROR(INDEX('계산도우미'!$F$5:$F$2004,MATCH(ROWS($A$6:A458),'계산도우미'!$L$5:$L$2004,0)),"")</x:f>
      </x:c>
      <x:c r="G458" s="68" t="str">
        <x:f>IFERROR(INDEX('계산도우미'!$G$5:$G$2004,MATCH(ROWS($A$6:A458),'계산도우미'!$L$5:$L$2004,0)),"")</x:f>
      </x:c>
      <x:c r="H458" t="str">
        <x:f>IFERROR(INDEX('계산도우미'!$H$5:$H$2004,MATCH(ROWS($A$6:A458),'계산도우미'!$L$5:$L$2004,0)),"")</x:f>
      </x:c>
      <x:c r="I458" t="str">
        <x:f>IFERROR(INDEX('계산도우미'!$I$5:$I$2004,MATCH(ROWS($A$6:A458),'계산도우미'!$L$5:$L$2004,0)),"")</x:f>
      </x:c>
      <x:c r="J458" t="str">
        <x:f>IFERROR(INDEX('계산도우미'!$J$5:$J$2004,MATCH(ROWS($A$6:A458),'계산도우미'!$L$5:$L$2004,0)),"")</x:f>
      </x:c>
      <x:c r="K458" t="str">
        <x:f>IF(B458="","",IF(I458="확인 필요","붙임 문서 확인 후 거래 성격·기간·상대방·일회성 여부 확인","결의서명과 전기 대비 발생 건수·단가·시점 차이 검토"))</x:f>
      </x:c>
    </x:row>
    <x:row r="459">
      <x:c r="A459" t="str">
        <x:f>IFERROR(INDEX('계산도우미'!$A$5:$A$2004,MATCH(ROWS($A$6:A459),'계산도우미'!$L$5:$L$2004,0)),"")</x:f>
      </x:c>
      <x:c r="B459" t="str">
        <x:f>IFERROR(INDEX('계산도우미'!$B$5:$B$2004,MATCH(ROWS($A$6:A459),'계산도우미'!$L$5:$L$2004,0)),"")</x:f>
      </x:c>
      <x:c r="C459" t="str">
        <x:f>IFERROR(INDEX('계산도우미'!$C$5:$C$2004,MATCH(ROWS($A$6:A459),'계산도우미'!$L$5:$L$2004,0)),"")</x:f>
      </x:c>
      <x:c r="D459" s="67" t="str">
        <x:f>IFERROR(INDEX('계산도우미'!$D$5:$D$2004,MATCH(ROWS($A$6:A459),'계산도우미'!$L$5:$L$2004,0)),"")</x:f>
      </x:c>
      <x:c r="E459" t="str">
        <x:f>IFERROR(INDEX('계산도우미'!$E$5:$E$2004,MATCH(ROWS($A$6:A459),'계산도우미'!$L$5:$L$2004,0)),"")</x:f>
      </x:c>
      <x:c r="F459" t="str">
        <x:f>IFERROR(INDEX('계산도우미'!$F$5:$F$2004,MATCH(ROWS($A$6:A459),'계산도우미'!$L$5:$L$2004,0)),"")</x:f>
      </x:c>
      <x:c r="G459" s="68" t="str">
        <x:f>IFERROR(INDEX('계산도우미'!$G$5:$G$2004,MATCH(ROWS($A$6:A459),'계산도우미'!$L$5:$L$2004,0)),"")</x:f>
      </x:c>
      <x:c r="H459" t="str">
        <x:f>IFERROR(INDEX('계산도우미'!$H$5:$H$2004,MATCH(ROWS($A$6:A459),'계산도우미'!$L$5:$L$2004,0)),"")</x:f>
      </x:c>
      <x:c r="I459" t="str">
        <x:f>IFERROR(INDEX('계산도우미'!$I$5:$I$2004,MATCH(ROWS($A$6:A459),'계산도우미'!$L$5:$L$2004,0)),"")</x:f>
      </x:c>
      <x:c r="J459" t="str">
        <x:f>IFERROR(INDEX('계산도우미'!$J$5:$J$2004,MATCH(ROWS($A$6:A459),'계산도우미'!$L$5:$L$2004,0)),"")</x:f>
      </x:c>
      <x:c r="K459" t="str">
        <x:f>IF(B459="","",IF(I459="확인 필요","붙임 문서 확인 후 거래 성격·기간·상대방·일회성 여부 확인","결의서명과 전기 대비 발생 건수·단가·시점 차이 검토"))</x:f>
      </x:c>
    </x:row>
    <x:row r="460">
      <x:c r="A460" t="str">
        <x:f>IFERROR(INDEX('계산도우미'!$A$5:$A$2004,MATCH(ROWS($A$6:A460),'계산도우미'!$L$5:$L$2004,0)),"")</x:f>
      </x:c>
      <x:c r="B460" t="str">
        <x:f>IFERROR(INDEX('계산도우미'!$B$5:$B$2004,MATCH(ROWS($A$6:A460),'계산도우미'!$L$5:$L$2004,0)),"")</x:f>
      </x:c>
      <x:c r="C460" t="str">
        <x:f>IFERROR(INDEX('계산도우미'!$C$5:$C$2004,MATCH(ROWS($A$6:A460),'계산도우미'!$L$5:$L$2004,0)),"")</x:f>
      </x:c>
      <x:c r="D460" s="67" t="str">
        <x:f>IFERROR(INDEX('계산도우미'!$D$5:$D$2004,MATCH(ROWS($A$6:A460),'계산도우미'!$L$5:$L$2004,0)),"")</x:f>
      </x:c>
      <x:c r="E460" t="str">
        <x:f>IFERROR(INDEX('계산도우미'!$E$5:$E$2004,MATCH(ROWS($A$6:A460),'계산도우미'!$L$5:$L$2004,0)),"")</x:f>
      </x:c>
      <x:c r="F460" t="str">
        <x:f>IFERROR(INDEX('계산도우미'!$F$5:$F$2004,MATCH(ROWS($A$6:A460),'계산도우미'!$L$5:$L$2004,0)),"")</x:f>
      </x:c>
      <x:c r="G460" s="68" t="str">
        <x:f>IFERROR(INDEX('계산도우미'!$G$5:$G$2004,MATCH(ROWS($A$6:A460),'계산도우미'!$L$5:$L$2004,0)),"")</x:f>
      </x:c>
      <x:c r="H460" t="str">
        <x:f>IFERROR(INDEX('계산도우미'!$H$5:$H$2004,MATCH(ROWS($A$6:A460),'계산도우미'!$L$5:$L$2004,0)),"")</x:f>
      </x:c>
      <x:c r="I460" t="str">
        <x:f>IFERROR(INDEX('계산도우미'!$I$5:$I$2004,MATCH(ROWS($A$6:A460),'계산도우미'!$L$5:$L$2004,0)),"")</x:f>
      </x:c>
      <x:c r="J460" t="str">
        <x:f>IFERROR(INDEX('계산도우미'!$J$5:$J$2004,MATCH(ROWS($A$6:A460),'계산도우미'!$L$5:$L$2004,0)),"")</x:f>
      </x:c>
      <x:c r="K460" t="str">
        <x:f>IF(B460="","",IF(I460="확인 필요","붙임 문서 확인 후 거래 성격·기간·상대방·일회성 여부 확인","결의서명과 전기 대비 발생 건수·단가·시점 차이 검토"))</x:f>
      </x:c>
    </x:row>
    <x:row r="461">
      <x:c r="A461" t="str">
        <x:f>IFERROR(INDEX('계산도우미'!$A$5:$A$2004,MATCH(ROWS($A$6:A461),'계산도우미'!$L$5:$L$2004,0)),"")</x:f>
      </x:c>
      <x:c r="B461" t="str">
        <x:f>IFERROR(INDEX('계산도우미'!$B$5:$B$2004,MATCH(ROWS($A$6:A461),'계산도우미'!$L$5:$L$2004,0)),"")</x:f>
      </x:c>
      <x:c r="C461" t="str">
        <x:f>IFERROR(INDEX('계산도우미'!$C$5:$C$2004,MATCH(ROWS($A$6:A461),'계산도우미'!$L$5:$L$2004,0)),"")</x:f>
      </x:c>
      <x:c r="D461" s="67" t="str">
        <x:f>IFERROR(INDEX('계산도우미'!$D$5:$D$2004,MATCH(ROWS($A$6:A461),'계산도우미'!$L$5:$L$2004,0)),"")</x:f>
      </x:c>
      <x:c r="E461" t="str">
        <x:f>IFERROR(INDEX('계산도우미'!$E$5:$E$2004,MATCH(ROWS($A$6:A461),'계산도우미'!$L$5:$L$2004,0)),"")</x:f>
      </x:c>
      <x:c r="F461" t="str">
        <x:f>IFERROR(INDEX('계산도우미'!$F$5:$F$2004,MATCH(ROWS($A$6:A461),'계산도우미'!$L$5:$L$2004,0)),"")</x:f>
      </x:c>
      <x:c r="G461" s="68" t="str">
        <x:f>IFERROR(INDEX('계산도우미'!$G$5:$G$2004,MATCH(ROWS($A$6:A461),'계산도우미'!$L$5:$L$2004,0)),"")</x:f>
      </x:c>
      <x:c r="H461" t="str">
        <x:f>IFERROR(INDEX('계산도우미'!$H$5:$H$2004,MATCH(ROWS($A$6:A461),'계산도우미'!$L$5:$L$2004,0)),"")</x:f>
      </x:c>
      <x:c r="I461" t="str">
        <x:f>IFERROR(INDEX('계산도우미'!$I$5:$I$2004,MATCH(ROWS($A$6:A461),'계산도우미'!$L$5:$L$2004,0)),"")</x:f>
      </x:c>
      <x:c r="J461" t="str">
        <x:f>IFERROR(INDEX('계산도우미'!$J$5:$J$2004,MATCH(ROWS($A$6:A461),'계산도우미'!$L$5:$L$2004,0)),"")</x:f>
      </x:c>
      <x:c r="K461" t="str">
        <x:f>IF(B461="","",IF(I461="확인 필요","붙임 문서 확인 후 거래 성격·기간·상대방·일회성 여부 확인","결의서명과 전기 대비 발생 건수·단가·시점 차이 검토"))</x:f>
      </x:c>
    </x:row>
    <x:row r="462">
      <x:c r="A462" t="str">
        <x:f>IFERROR(INDEX('계산도우미'!$A$5:$A$2004,MATCH(ROWS($A$6:A462),'계산도우미'!$L$5:$L$2004,0)),"")</x:f>
      </x:c>
      <x:c r="B462" t="str">
        <x:f>IFERROR(INDEX('계산도우미'!$B$5:$B$2004,MATCH(ROWS($A$6:A462),'계산도우미'!$L$5:$L$2004,0)),"")</x:f>
      </x:c>
      <x:c r="C462" t="str">
        <x:f>IFERROR(INDEX('계산도우미'!$C$5:$C$2004,MATCH(ROWS($A$6:A462),'계산도우미'!$L$5:$L$2004,0)),"")</x:f>
      </x:c>
      <x:c r="D462" s="67" t="str">
        <x:f>IFERROR(INDEX('계산도우미'!$D$5:$D$2004,MATCH(ROWS($A$6:A462),'계산도우미'!$L$5:$L$2004,0)),"")</x:f>
      </x:c>
      <x:c r="E462" t="str">
        <x:f>IFERROR(INDEX('계산도우미'!$E$5:$E$2004,MATCH(ROWS($A$6:A462),'계산도우미'!$L$5:$L$2004,0)),"")</x:f>
      </x:c>
      <x:c r="F462" t="str">
        <x:f>IFERROR(INDEX('계산도우미'!$F$5:$F$2004,MATCH(ROWS($A$6:A462),'계산도우미'!$L$5:$L$2004,0)),"")</x:f>
      </x:c>
      <x:c r="G462" s="68" t="str">
        <x:f>IFERROR(INDEX('계산도우미'!$G$5:$G$2004,MATCH(ROWS($A$6:A462),'계산도우미'!$L$5:$L$2004,0)),"")</x:f>
      </x:c>
      <x:c r="H462" t="str">
        <x:f>IFERROR(INDEX('계산도우미'!$H$5:$H$2004,MATCH(ROWS($A$6:A462),'계산도우미'!$L$5:$L$2004,0)),"")</x:f>
      </x:c>
      <x:c r="I462" t="str">
        <x:f>IFERROR(INDEX('계산도우미'!$I$5:$I$2004,MATCH(ROWS($A$6:A462),'계산도우미'!$L$5:$L$2004,0)),"")</x:f>
      </x:c>
      <x:c r="J462" t="str">
        <x:f>IFERROR(INDEX('계산도우미'!$J$5:$J$2004,MATCH(ROWS($A$6:A462),'계산도우미'!$L$5:$L$2004,0)),"")</x:f>
      </x:c>
      <x:c r="K462" t="str">
        <x:f>IF(B462="","",IF(I462="확인 필요","붙임 문서 확인 후 거래 성격·기간·상대방·일회성 여부 확인","결의서명과 전기 대비 발생 건수·단가·시점 차이 검토"))</x:f>
      </x:c>
    </x:row>
    <x:row r="463">
      <x:c r="A463" t="str">
        <x:f>IFERROR(INDEX('계산도우미'!$A$5:$A$2004,MATCH(ROWS($A$6:A463),'계산도우미'!$L$5:$L$2004,0)),"")</x:f>
      </x:c>
      <x:c r="B463" t="str">
        <x:f>IFERROR(INDEX('계산도우미'!$B$5:$B$2004,MATCH(ROWS($A$6:A463),'계산도우미'!$L$5:$L$2004,0)),"")</x:f>
      </x:c>
      <x:c r="C463" t="str">
        <x:f>IFERROR(INDEX('계산도우미'!$C$5:$C$2004,MATCH(ROWS($A$6:A463),'계산도우미'!$L$5:$L$2004,0)),"")</x:f>
      </x:c>
      <x:c r="D463" s="67" t="str">
        <x:f>IFERROR(INDEX('계산도우미'!$D$5:$D$2004,MATCH(ROWS($A$6:A463),'계산도우미'!$L$5:$L$2004,0)),"")</x:f>
      </x:c>
      <x:c r="E463" t="str">
        <x:f>IFERROR(INDEX('계산도우미'!$E$5:$E$2004,MATCH(ROWS($A$6:A463),'계산도우미'!$L$5:$L$2004,0)),"")</x:f>
      </x:c>
      <x:c r="F463" t="str">
        <x:f>IFERROR(INDEX('계산도우미'!$F$5:$F$2004,MATCH(ROWS($A$6:A463),'계산도우미'!$L$5:$L$2004,0)),"")</x:f>
      </x:c>
      <x:c r="G463" s="68" t="str">
        <x:f>IFERROR(INDEX('계산도우미'!$G$5:$G$2004,MATCH(ROWS($A$6:A463),'계산도우미'!$L$5:$L$2004,0)),"")</x:f>
      </x:c>
      <x:c r="H463" t="str">
        <x:f>IFERROR(INDEX('계산도우미'!$H$5:$H$2004,MATCH(ROWS($A$6:A463),'계산도우미'!$L$5:$L$2004,0)),"")</x:f>
      </x:c>
      <x:c r="I463" t="str">
        <x:f>IFERROR(INDEX('계산도우미'!$I$5:$I$2004,MATCH(ROWS($A$6:A463),'계산도우미'!$L$5:$L$2004,0)),"")</x:f>
      </x:c>
      <x:c r="J463" t="str">
        <x:f>IFERROR(INDEX('계산도우미'!$J$5:$J$2004,MATCH(ROWS($A$6:A463),'계산도우미'!$L$5:$L$2004,0)),"")</x:f>
      </x:c>
      <x:c r="K463" t="str">
        <x:f>IF(B463="","",IF(I463="확인 필요","붙임 문서 확인 후 거래 성격·기간·상대방·일회성 여부 확인","결의서명과 전기 대비 발생 건수·단가·시점 차이 검토"))</x:f>
      </x:c>
    </x:row>
    <x:row r="464">
      <x:c r="A464" t="str">
        <x:f>IFERROR(INDEX('계산도우미'!$A$5:$A$2004,MATCH(ROWS($A$6:A464),'계산도우미'!$L$5:$L$2004,0)),"")</x:f>
      </x:c>
      <x:c r="B464" t="str">
        <x:f>IFERROR(INDEX('계산도우미'!$B$5:$B$2004,MATCH(ROWS($A$6:A464),'계산도우미'!$L$5:$L$2004,0)),"")</x:f>
      </x:c>
      <x:c r="C464" t="str">
        <x:f>IFERROR(INDEX('계산도우미'!$C$5:$C$2004,MATCH(ROWS($A$6:A464),'계산도우미'!$L$5:$L$2004,0)),"")</x:f>
      </x:c>
      <x:c r="D464" s="67" t="str">
        <x:f>IFERROR(INDEX('계산도우미'!$D$5:$D$2004,MATCH(ROWS($A$6:A464),'계산도우미'!$L$5:$L$2004,0)),"")</x:f>
      </x:c>
      <x:c r="E464" t="str">
        <x:f>IFERROR(INDEX('계산도우미'!$E$5:$E$2004,MATCH(ROWS($A$6:A464),'계산도우미'!$L$5:$L$2004,0)),"")</x:f>
      </x:c>
      <x:c r="F464" t="str">
        <x:f>IFERROR(INDEX('계산도우미'!$F$5:$F$2004,MATCH(ROWS($A$6:A464),'계산도우미'!$L$5:$L$2004,0)),"")</x:f>
      </x:c>
      <x:c r="G464" s="68" t="str">
        <x:f>IFERROR(INDEX('계산도우미'!$G$5:$G$2004,MATCH(ROWS($A$6:A464),'계산도우미'!$L$5:$L$2004,0)),"")</x:f>
      </x:c>
      <x:c r="H464" t="str">
        <x:f>IFERROR(INDEX('계산도우미'!$H$5:$H$2004,MATCH(ROWS($A$6:A464),'계산도우미'!$L$5:$L$2004,0)),"")</x:f>
      </x:c>
      <x:c r="I464" t="str">
        <x:f>IFERROR(INDEX('계산도우미'!$I$5:$I$2004,MATCH(ROWS($A$6:A464),'계산도우미'!$L$5:$L$2004,0)),"")</x:f>
      </x:c>
      <x:c r="J464" t="str">
        <x:f>IFERROR(INDEX('계산도우미'!$J$5:$J$2004,MATCH(ROWS($A$6:A464),'계산도우미'!$L$5:$L$2004,0)),"")</x:f>
      </x:c>
      <x:c r="K464" t="str">
        <x:f>IF(B464="","",IF(I464="확인 필요","붙임 문서 확인 후 거래 성격·기간·상대방·일회성 여부 확인","결의서명과 전기 대비 발생 건수·단가·시점 차이 검토"))</x:f>
      </x:c>
    </x:row>
    <x:row r="465">
      <x:c r="A465" t="str">
        <x:f>IFERROR(INDEX('계산도우미'!$A$5:$A$2004,MATCH(ROWS($A$6:A465),'계산도우미'!$L$5:$L$2004,0)),"")</x:f>
      </x:c>
      <x:c r="B465" t="str">
        <x:f>IFERROR(INDEX('계산도우미'!$B$5:$B$2004,MATCH(ROWS($A$6:A465),'계산도우미'!$L$5:$L$2004,0)),"")</x:f>
      </x:c>
      <x:c r="C465" t="str">
        <x:f>IFERROR(INDEX('계산도우미'!$C$5:$C$2004,MATCH(ROWS($A$6:A465),'계산도우미'!$L$5:$L$2004,0)),"")</x:f>
      </x:c>
      <x:c r="D465" s="67" t="str">
        <x:f>IFERROR(INDEX('계산도우미'!$D$5:$D$2004,MATCH(ROWS($A$6:A465),'계산도우미'!$L$5:$L$2004,0)),"")</x:f>
      </x:c>
      <x:c r="E465" t="str">
        <x:f>IFERROR(INDEX('계산도우미'!$E$5:$E$2004,MATCH(ROWS($A$6:A465),'계산도우미'!$L$5:$L$2004,0)),"")</x:f>
      </x:c>
      <x:c r="F465" t="str">
        <x:f>IFERROR(INDEX('계산도우미'!$F$5:$F$2004,MATCH(ROWS($A$6:A465),'계산도우미'!$L$5:$L$2004,0)),"")</x:f>
      </x:c>
      <x:c r="G465" s="68" t="str">
        <x:f>IFERROR(INDEX('계산도우미'!$G$5:$G$2004,MATCH(ROWS($A$6:A465),'계산도우미'!$L$5:$L$2004,0)),"")</x:f>
      </x:c>
      <x:c r="H465" t="str">
        <x:f>IFERROR(INDEX('계산도우미'!$H$5:$H$2004,MATCH(ROWS($A$6:A465),'계산도우미'!$L$5:$L$2004,0)),"")</x:f>
      </x:c>
      <x:c r="I465" t="str">
        <x:f>IFERROR(INDEX('계산도우미'!$I$5:$I$2004,MATCH(ROWS($A$6:A465),'계산도우미'!$L$5:$L$2004,0)),"")</x:f>
      </x:c>
      <x:c r="J465" t="str">
        <x:f>IFERROR(INDEX('계산도우미'!$J$5:$J$2004,MATCH(ROWS($A$6:A465),'계산도우미'!$L$5:$L$2004,0)),"")</x:f>
      </x:c>
      <x:c r="K465" t="str">
        <x:f>IF(B465="","",IF(I465="확인 필요","붙임 문서 확인 후 거래 성격·기간·상대방·일회성 여부 확인","결의서명과 전기 대비 발생 건수·단가·시점 차이 검토"))</x:f>
      </x:c>
    </x:row>
    <x:row r="466">
      <x:c r="A466" t="str">
        <x:f>IFERROR(INDEX('계산도우미'!$A$5:$A$2004,MATCH(ROWS($A$6:A466),'계산도우미'!$L$5:$L$2004,0)),"")</x:f>
      </x:c>
      <x:c r="B466" t="str">
        <x:f>IFERROR(INDEX('계산도우미'!$B$5:$B$2004,MATCH(ROWS($A$6:A466),'계산도우미'!$L$5:$L$2004,0)),"")</x:f>
      </x:c>
      <x:c r="C466" t="str">
        <x:f>IFERROR(INDEX('계산도우미'!$C$5:$C$2004,MATCH(ROWS($A$6:A466),'계산도우미'!$L$5:$L$2004,0)),"")</x:f>
      </x:c>
      <x:c r="D466" s="67" t="str">
        <x:f>IFERROR(INDEX('계산도우미'!$D$5:$D$2004,MATCH(ROWS($A$6:A466),'계산도우미'!$L$5:$L$2004,0)),"")</x:f>
      </x:c>
      <x:c r="E466" t="str">
        <x:f>IFERROR(INDEX('계산도우미'!$E$5:$E$2004,MATCH(ROWS($A$6:A466),'계산도우미'!$L$5:$L$2004,0)),"")</x:f>
      </x:c>
      <x:c r="F466" t="str">
        <x:f>IFERROR(INDEX('계산도우미'!$F$5:$F$2004,MATCH(ROWS($A$6:A466),'계산도우미'!$L$5:$L$2004,0)),"")</x:f>
      </x:c>
      <x:c r="G466" s="68" t="str">
        <x:f>IFERROR(INDEX('계산도우미'!$G$5:$G$2004,MATCH(ROWS($A$6:A466),'계산도우미'!$L$5:$L$2004,0)),"")</x:f>
      </x:c>
      <x:c r="H466" t="str">
        <x:f>IFERROR(INDEX('계산도우미'!$H$5:$H$2004,MATCH(ROWS($A$6:A466),'계산도우미'!$L$5:$L$2004,0)),"")</x:f>
      </x:c>
      <x:c r="I466" t="str">
        <x:f>IFERROR(INDEX('계산도우미'!$I$5:$I$2004,MATCH(ROWS($A$6:A466),'계산도우미'!$L$5:$L$2004,0)),"")</x:f>
      </x:c>
      <x:c r="J466" t="str">
        <x:f>IFERROR(INDEX('계산도우미'!$J$5:$J$2004,MATCH(ROWS($A$6:A466),'계산도우미'!$L$5:$L$2004,0)),"")</x:f>
      </x:c>
      <x:c r="K466" t="str">
        <x:f>IF(B466="","",IF(I466="확인 필요","붙임 문서 확인 후 거래 성격·기간·상대방·일회성 여부 확인","결의서명과 전기 대비 발생 건수·단가·시점 차이 검토"))</x:f>
      </x:c>
    </x:row>
    <x:row r="467">
      <x:c r="A467" t="str">
        <x:f>IFERROR(INDEX('계산도우미'!$A$5:$A$2004,MATCH(ROWS($A$6:A467),'계산도우미'!$L$5:$L$2004,0)),"")</x:f>
      </x:c>
      <x:c r="B467" t="str">
        <x:f>IFERROR(INDEX('계산도우미'!$B$5:$B$2004,MATCH(ROWS($A$6:A467),'계산도우미'!$L$5:$L$2004,0)),"")</x:f>
      </x:c>
      <x:c r="C467" t="str">
        <x:f>IFERROR(INDEX('계산도우미'!$C$5:$C$2004,MATCH(ROWS($A$6:A467),'계산도우미'!$L$5:$L$2004,0)),"")</x:f>
      </x:c>
      <x:c r="D467" s="67" t="str">
        <x:f>IFERROR(INDEX('계산도우미'!$D$5:$D$2004,MATCH(ROWS($A$6:A467),'계산도우미'!$L$5:$L$2004,0)),"")</x:f>
      </x:c>
      <x:c r="E467" t="str">
        <x:f>IFERROR(INDEX('계산도우미'!$E$5:$E$2004,MATCH(ROWS($A$6:A467),'계산도우미'!$L$5:$L$2004,0)),"")</x:f>
      </x:c>
      <x:c r="F467" t="str">
        <x:f>IFERROR(INDEX('계산도우미'!$F$5:$F$2004,MATCH(ROWS($A$6:A467),'계산도우미'!$L$5:$L$2004,0)),"")</x:f>
      </x:c>
      <x:c r="G467" s="68" t="str">
        <x:f>IFERROR(INDEX('계산도우미'!$G$5:$G$2004,MATCH(ROWS($A$6:A467),'계산도우미'!$L$5:$L$2004,0)),"")</x:f>
      </x:c>
      <x:c r="H467" t="str">
        <x:f>IFERROR(INDEX('계산도우미'!$H$5:$H$2004,MATCH(ROWS($A$6:A467),'계산도우미'!$L$5:$L$2004,0)),"")</x:f>
      </x:c>
      <x:c r="I467" t="str">
        <x:f>IFERROR(INDEX('계산도우미'!$I$5:$I$2004,MATCH(ROWS($A$6:A467),'계산도우미'!$L$5:$L$2004,0)),"")</x:f>
      </x:c>
      <x:c r="J467" t="str">
        <x:f>IFERROR(INDEX('계산도우미'!$J$5:$J$2004,MATCH(ROWS($A$6:A467),'계산도우미'!$L$5:$L$2004,0)),"")</x:f>
      </x:c>
      <x:c r="K467" t="str">
        <x:f>IF(B467="","",IF(I467="확인 필요","붙임 문서 확인 후 거래 성격·기간·상대방·일회성 여부 확인","결의서명과 전기 대비 발생 건수·단가·시점 차이 검토"))</x:f>
      </x:c>
    </x:row>
    <x:row r="468">
      <x:c r="A468" t="str">
        <x:f>IFERROR(INDEX('계산도우미'!$A$5:$A$2004,MATCH(ROWS($A$6:A468),'계산도우미'!$L$5:$L$2004,0)),"")</x:f>
      </x:c>
      <x:c r="B468" t="str">
        <x:f>IFERROR(INDEX('계산도우미'!$B$5:$B$2004,MATCH(ROWS($A$6:A468),'계산도우미'!$L$5:$L$2004,0)),"")</x:f>
      </x:c>
      <x:c r="C468" t="str">
        <x:f>IFERROR(INDEX('계산도우미'!$C$5:$C$2004,MATCH(ROWS($A$6:A468),'계산도우미'!$L$5:$L$2004,0)),"")</x:f>
      </x:c>
      <x:c r="D468" s="67" t="str">
        <x:f>IFERROR(INDEX('계산도우미'!$D$5:$D$2004,MATCH(ROWS($A$6:A468),'계산도우미'!$L$5:$L$2004,0)),"")</x:f>
      </x:c>
      <x:c r="E468" t="str">
        <x:f>IFERROR(INDEX('계산도우미'!$E$5:$E$2004,MATCH(ROWS($A$6:A468),'계산도우미'!$L$5:$L$2004,0)),"")</x:f>
      </x:c>
      <x:c r="F468" t="str">
        <x:f>IFERROR(INDEX('계산도우미'!$F$5:$F$2004,MATCH(ROWS($A$6:A468),'계산도우미'!$L$5:$L$2004,0)),"")</x:f>
      </x:c>
      <x:c r="G468" s="68" t="str">
        <x:f>IFERROR(INDEX('계산도우미'!$G$5:$G$2004,MATCH(ROWS($A$6:A468),'계산도우미'!$L$5:$L$2004,0)),"")</x:f>
      </x:c>
      <x:c r="H468" t="str">
        <x:f>IFERROR(INDEX('계산도우미'!$H$5:$H$2004,MATCH(ROWS($A$6:A468),'계산도우미'!$L$5:$L$2004,0)),"")</x:f>
      </x:c>
      <x:c r="I468" t="str">
        <x:f>IFERROR(INDEX('계산도우미'!$I$5:$I$2004,MATCH(ROWS($A$6:A468),'계산도우미'!$L$5:$L$2004,0)),"")</x:f>
      </x:c>
      <x:c r="J468" t="str">
        <x:f>IFERROR(INDEX('계산도우미'!$J$5:$J$2004,MATCH(ROWS($A$6:A468),'계산도우미'!$L$5:$L$2004,0)),"")</x:f>
      </x:c>
      <x:c r="K468" t="str">
        <x:f>IF(B468="","",IF(I468="확인 필요","붙임 문서 확인 후 거래 성격·기간·상대방·일회성 여부 확인","결의서명과 전기 대비 발생 건수·단가·시점 차이 검토"))</x:f>
      </x:c>
    </x:row>
    <x:row r="469">
      <x:c r="A469" t="str">
        <x:f>IFERROR(INDEX('계산도우미'!$A$5:$A$2004,MATCH(ROWS($A$6:A469),'계산도우미'!$L$5:$L$2004,0)),"")</x:f>
      </x:c>
      <x:c r="B469" t="str">
        <x:f>IFERROR(INDEX('계산도우미'!$B$5:$B$2004,MATCH(ROWS($A$6:A469),'계산도우미'!$L$5:$L$2004,0)),"")</x:f>
      </x:c>
      <x:c r="C469" t="str">
        <x:f>IFERROR(INDEX('계산도우미'!$C$5:$C$2004,MATCH(ROWS($A$6:A469),'계산도우미'!$L$5:$L$2004,0)),"")</x:f>
      </x:c>
      <x:c r="D469" s="67" t="str">
        <x:f>IFERROR(INDEX('계산도우미'!$D$5:$D$2004,MATCH(ROWS($A$6:A469),'계산도우미'!$L$5:$L$2004,0)),"")</x:f>
      </x:c>
      <x:c r="E469" t="str">
        <x:f>IFERROR(INDEX('계산도우미'!$E$5:$E$2004,MATCH(ROWS($A$6:A469),'계산도우미'!$L$5:$L$2004,0)),"")</x:f>
      </x:c>
      <x:c r="F469" t="str">
        <x:f>IFERROR(INDEX('계산도우미'!$F$5:$F$2004,MATCH(ROWS($A$6:A469),'계산도우미'!$L$5:$L$2004,0)),"")</x:f>
      </x:c>
      <x:c r="G469" s="68" t="str">
        <x:f>IFERROR(INDEX('계산도우미'!$G$5:$G$2004,MATCH(ROWS($A$6:A469),'계산도우미'!$L$5:$L$2004,0)),"")</x:f>
      </x:c>
      <x:c r="H469" t="str">
        <x:f>IFERROR(INDEX('계산도우미'!$H$5:$H$2004,MATCH(ROWS($A$6:A469),'계산도우미'!$L$5:$L$2004,0)),"")</x:f>
      </x:c>
      <x:c r="I469" t="str">
        <x:f>IFERROR(INDEX('계산도우미'!$I$5:$I$2004,MATCH(ROWS($A$6:A469),'계산도우미'!$L$5:$L$2004,0)),"")</x:f>
      </x:c>
      <x:c r="J469" t="str">
        <x:f>IFERROR(INDEX('계산도우미'!$J$5:$J$2004,MATCH(ROWS($A$6:A469),'계산도우미'!$L$5:$L$2004,0)),"")</x:f>
      </x:c>
      <x:c r="K469" t="str">
        <x:f>IF(B469="","",IF(I469="확인 필요","붙임 문서 확인 후 거래 성격·기간·상대방·일회성 여부 확인","결의서명과 전기 대비 발생 건수·단가·시점 차이 검토"))</x:f>
      </x:c>
    </x:row>
    <x:row r="470">
      <x:c r="A470" t="str">
        <x:f>IFERROR(INDEX('계산도우미'!$A$5:$A$2004,MATCH(ROWS($A$6:A470),'계산도우미'!$L$5:$L$2004,0)),"")</x:f>
      </x:c>
      <x:c r="B470" t="str">
        <x:f>IFERROR(INDEX('계산도우미'!$B$5:$B$2004,MATCH(ROWS($A$6:A470),'계산도우미'!$L$5:$L$2004,0)),"")</x:f>
      </x:c>
      <x:c r="C470" t="str">
        <x:f>IFERROR(INDEX('계산도우미'!$C$5:$C$2004,MATCH(ROWS($A$6:A470),'계산도우미'!$L$5:$L$2004,0)),"")</x:f>
      </x:c>
      <x:c r="D470" s="67" t="str">
        <x:f>IFERROR(INDEX('계산도우미'!$D$5:$D$2004,MATCH(ROWS($A$6:A470),'계산도우미'!$L$5:$L$2004,0)),"")</x:f>
      </x:c>
      <x:c r="E470" t="str">
        <x:f>IFERROR(INDEX('계산도우미'!$E$5:$E$2004,MATCH(ROWS($A$6:A470),'계산도우미'!$L$5:$L$2004,0)),"")</x:f>
      </x:c>
      <x:c r="F470" t="str">
        <x:f>IFERROR(INDEX('계산도우미'!$F$5:$F$2004,MATCH(ROWS($A$6:A470),'계산도우미'!$L$5:$L$2004,0)),"")</x:f>
      </x:c>
      <x:c r="G470" s="68" t="str">
        <x:f>IFERROR(INDEX('계산도우미'!$G$5:$G$2004,MATCH(ROWS($A$6:A470),'계산도우미'!$L$5:$L$2004,0)),"")</x:f>
      </x:c>
      <x:c r="H470" t="str">
        <x:f>IFERROR(INDEX('계산도우미'!$H$5:$H$2004,MATCH(ROWS($A$6:A470),'계산도우미'!$L$5:$L$2004,0)),"")</x:f>
      </x:c>
      <x:c r="I470" t="str">
        <x:f>IFERROR(INDEX('계산도우미'!$I$5:$I$2004,MATCH(ROWS($A$6:A470),'계산도우미'!$L$5:$L$2004,0)),"")</x:f>
      </x:c>
      <x:c r="J470" t="str">
        <x:f>IFERROR(INDEX('계산도우미'!$J$5:$J$2004,MATCH(ROWS($A$6:A470),'계산도우미'!$L$5:$L$2004,0)),"")</x:f>
      </x:c>
      <x:c r="K470" t="str">
        <x:f>IF(B470="","",IF(I470="확인 필요","붙임 문서 확인 후 거래 성격·기간·상대방·일회성 여부 확인","결의서명과 전기 대비 발생 건수·단가·시점 차이 검토"))</x:f>
      </x:c>
    </x:row>
    <x:row r="471">
      <x:c r="A471" t="str">
        <x:f>IFERROR(INDEX('계산도우미'!$A$5:$A$2004,MATCH(ROWS($A$6:A471),'계산도우미'!$L$5:$L$2004,0)),"")</x:f>
      </x:c>
      <x:c r="B471" t="str">
        <x:f>IFERROR(INDEX('계산도우미'!$B$5:$B$2004,MATCH(ROWS($A$6:A471),'계산도우미'!$L$5:$L$2004,0)),"")</x:f>
      </x:c>
      <x:c r="C471" t="str">
        <x:f>IFERROR(INDEX('계산도우미'!$C$5:$C$2004,MATCH(ROWS($A$6:A471),'계산도우미'!$L$5:$L$2004,0)),"")</x:f>
      </x:c>
      <x:c r="D471" s="67" t="str">
        <x:f>IFERROR(INDEX('계산도우미'!$D$5:$D$2004,MATCH(ROWS($A$6:A471),'계산도우미'!$L$5:$L$2004,0)),"")</x:f>
      </x:c>
      <x:c r="E471" t="str">
        <x:f>IFERROR(INDEX('계산도우미'!$E$5:$E$2004,MATCH(ROWS($A$6:A471),'계산도우미'!$L$5:$L$2004,0)),"")</x:f>
      </x:c>
      <x:c r="F471" t="str">
        <x:f>IFERROR(INDEX('계산도우미'!$F$5:$F$2004,MATCH(ROWS($A$6:A471),'계산도우미'!$L$5:$L$2004,0)),"")</x:f>
      </x:c>
      <x:c r="G471" s="68" t="str">
        <x:f>IFERROR(INDEX('계산도우미'!$G$5:$G$2004,MATCH(ROWS($A$6:A471),'계산도우미'!$L$5:$L$2004,0)),"")</x:f>
      </x:c>
      <x:c r="H471" t="str">
        <x:f>IFERROR(INDEX('계산도우미'!$H$5:$H$2004,MATCH(ROWS($A$6:A471),'계산도우미'!$L$5:$L$2004,0)),"")</x:f>
      </x:c>
      <x:c r="I471" t="str">
        <x:f>IFERROR(INDEX('계산도우미'!$I$5:$I$2004,MATCH(ROWS($A$6:A471),'계산도우미'!$L$5:$L$2004,0)),"")</x:f>
      </x:c>
      <x:c r="J471" t="str">
        <x:f>IFERROR(INDEX('계산도우미'!$J$5:$J$2004,MATCH(ROWS($A$6:A471),'계산도우미'!$L$5:$L$2004,0)),"")</x:f>
      </x:c>
      <x:c r="K471" t="str">
        <x:f>IF(B471="","",IF(I471="확인 필요","붙임 문서 확인 후 거래 성격·기간·상대방·일회성 여부 확인","결의서명과 전기 대비 발생 건수·단가·시점 차이 검토"))</x:f>
      </x:c>
    </x:row>
    <x:row r="472">
      <x:c r="A472" t="str">
        <x:f>IFERROR(INDEX('계산도우미'!$A$5:$A$2004,MATCH(ROWS($A$6:A472),'계산도우미'!$L$5:$L$2004,0)),"")</x:f>
      </x:c>
      <x:c r="B472" t="str">
        <x:f>IFERROR(INDEX('계산도우미'!$B$5:$B$2004,MATCH(ROWS($A$6:A472),'계산도우미'!$L$5:$L$2004,0)),"")</x:f>
      </x:c>
      <x:c r="C472" t="str">
        <x:f>IFERROR(INDEX('계산도우미'!$C$5:$C$2004,MATCH(ROWS($A$6:A472),'계산도우미'!$L$5:$L$2004,0)),"")</x:f>
      </x:c>
      <x:c r="D472" s="67" t="str">
        <x:f>IFERROR(INDEX('계산도우미'!$D$5:$D$2004,MATCH(ROWS($A$6:A472),'계산도우미'!$L$5:$L$2004,0)),"")</x:f>
      </x:c>
      <x:c r="E472" t="str">
        <x:f>IFERROR(INDEX('계산도우미'!$E$5:$E$2004,MATCH(ROWS($A$6:A472),'계산도우미'!$L$5:$L$2004,0)),"")</x:f>
      </x:c>
      <x:c r="F472" t="str">
        <x:f>IFERROR(INDEX('계산도우미'!$F$5:$F$2004,MATCH(ROWS($A$6:A472),'계산도우미'!$L$5:$L$2004,0)),"")</x:f>
      </x:c>
      <x:c r="G472" s="68" t="str">
        <x:f>IFERROR(INDEX('계산도우미'!$G$5:$G$2004,MATCH(ROWS($A$6:A472),'계산도우미'!$L$5:$L$2004,0)),"")</x:f>
      </x:c>
      <x:c r="H472" t="str">
        <x:f>IFERROR(INDEX('계산도우미'!$H$5:$H$2004,MATCH(ROWS($A$6:A472),'계산도우미'!$L$5:$L$2004,0)),"")</x:f>
      </x:c>
      <x:c r="I472" t="str">
        <x:f>IFERROR(INDEX('계산도우미'!$I$5:$I$2004,MATCH(ROWS($A$6:A472),'계산도우미'!$L$5:$L$2004,0)),"")</x:f>
      </x:c>
      <x:c r="J472" t="str">
        <x:f>IFERROR(INDEX('계산도우미'!$J$5:$J$2004,MATCH(ROWS($A$6:A472),'계산도우미'!$L$5:$L$2004,0)),"")</x:f>
      </x:c>
      <x:c r="K472" t="str">
        <x:f>IF(B472="","",IF(I472="확인 필요","붙임 문서 확인 후 거래 성격·기간·상대방·일회성 여부 확인","결의서명과 전기 대비 발생 건수·단가·시점 차이 검토"))</x:f>
      </x:c>
    </x:row>
    <x:row r="473">
      <x:c r="A473" t="str">
        <x:f>IFERROR(INDEX('계산도우미'!$A$5:$A$2004,MATCH(ROWS($A$6:A473),'계산도우미'!$L$5:$L$2004,0)),"")</x:f>
      </x:c>
      <x:c r="B473" t="str">
        <x:f>IFERROR(INDEX('계산도우미'!$B$5:$B$2004,MATCH(ROWS($A$6:A473),'계산도우미'!$L$5:$L$2004,0)),"")</x:f>
      </x:c>
      <x:c r="C473" t="str">
        <x:f>IFERROR(INDEX('계산도우미'!$C$5:$C$2004,MATCH(ROWS($A$6:A473),'계산도우미'!$L$5:$L$2004,0)),"")</x:f>
      </x:c>
      <x:c r="D473" s="67" t="str">
        <x:f>IFERROR(INDEX('계산도우미'!$D$5:$D$2004,MATCH(ROWS($A$6:A473),'계산도우미'!$L$5:$L$2004,0)),"")</x:f>
      </x:c>
      <x:c r="E473" t="str">
        <x:f>IFERROR(INDEX('계산도우미'!$E$5:$E$2004,MATCH(ROWS($A$6:A473),'계산도우미'!$L$5:$L$2004,0)),"")</x:f>
      </x:c>
      <x:c r="F473" t="str">
        <x:f>IFERROR(INDEX('계산도우미'!$F$5:$F$2004,MATCH(ROWS($A$6:A473),'계산도우미'!$L$5:$L$2004,0)),"")</x:f>
      </x:c>
      <x:c r="G473" s="68" t="str">
        <x:f>IFERROR(INDEX('계산도우미'!$G$5:$G$2004,MATCH(ROWS($A$6:A473),'계산도우미'!$L$5:$L$2004,0)),"")</x:f>
      </x:c>
      <x:c r="H473" t="str">
        <x:f>IFERROR(INDEX('계산도우미'!$H$5:$H$2004,MATCH(ROWS($A$6:A473),'계산도우미'!$L$5:$L$2004,0)),"")</x:f>
      </x:c>
      <x:c r="I473" t="str">
        <x:f>IFERROR(INDEX('계산도우미'!$I$5:$I$2004,MATCH(ROWS($A$6:A473),'계산도우미'!$L$5:$L$2004,0)),"")</x:f>
      </x:c>
      <x:c r="J473" t="str">
        <x:f>IFERROR(INDEX('계산도우미'!$J$5:$J$2004,MATCH(ROWS($A$6:A473),'계산도우미'!$L$5:$L$2004,0)),"")</x:f>
      </x:c>
      <x:c r="K473" t="str">
        <x:f>IF(B473="","",IF(I473="확인 필요","붙임 문서 확인 후 거래 성격·기간·상대방·일회성 여부 확인","결의서명과 전기 대비 발생 건수·단가·시점 차이 검토"))</x:f>
      </x:c>
    </x:row>
    <x:row r="474">
      <x:c r="A474" t="str">
        <x:f>IFERROR(INDEX('계산도우미'!$A$5:$A$2004,MATCH(ROWS($A$6:A474),'계산도우미'!$L$5:$L$2004,0)),"")</x:f>
      </x:c>
      <x:c r="B474" t="str">
        <x:f>IFERROR(INDEX('계산도우미'!$B$5:$B$2004,MATCH(ROWS($A$6:A474),'계산도우미'!$L$5:$L$2004,0)),"")</x:f>
      </x:c>
      <x:c r="C474" t="str">
        <x:f>IFERROR(INDEX('계산도우미'!$C$5:$C$2004,MATCH(ROWS($A$6:A474),'계산도우미'!$L$5:$L$2004,0)),"")</x:f>
      </x:c>
      <x:c r="D474" s="67" t="str">
        <x:f>IFERROR(INDEX('계산도우미'!$D$5:$D$2004,MATCH(ROWS($A$6:A474),'계산도우미'!$L$5:$L$2004,0)),"")</x:f>
      </x:c>
      <x:c r="E474" t="str">
        <x:f>IFERROR(INDEX('계산도우미'!$E$5:$E$2004,MATCH(ROWS($A$6:A474),'계산도우미'!$L$5:$L$2004,0)),"")</x:f>
      </x:c>
      <x:c r="F474" t="str">
        <x:f>IFERROR(INDEX('계산도우미'!$F$5:$F$2004,MATCH(ROWS($A$6:A474),'계산도우미'!$L$5:$L$2004,0)),"")</x:f>
      </x:c>
      <x:c r="G474" s="68" t="str">
        <x:f>IFERROR(INDEX('계산도우미'!$G$5:$G$2004,MATCH(ROWS($A$6:A474),'계산도우미'!$L$5:$L$2004,0)),"")</x:f>
      </x:c>
      <x:c r="H474" t="str">
        <x:f>IFERROR(INDEX('계산도우미'!$H$5:$H$2004,MATCH(ROWS($A$6:A474),'계산도우미'!$L$5:$L$2004,0)),"")</x:f>
      </x:c>
      <x:c r="I474" t="str">
        <x:f>IFERROR(INDEX('계산도우미'!$I$5:$I$2004,MATCH(ROWS($A$6:A474),'계산도우미'!$L$5:$L$2004,0)),"")</x:f>
      </x:c>
      <x:c r="J474" t="str">
        <x:f>IFERROR(INDEX('계산도우미'!$J$5:$J$2004,MATCH(ROWS($A$6:A474),'계산도우미'!$L$5:$L$2004,0)),"")</x:f>
      </x:c>
      <x:c r="K474" t="str">
        <x:f>IF(B474="","",IF(I474="확인 필요","붙임 문서 확인 후 거래 성격·기간·상대방·일회성 여부 확인","결의서명과 전기 대비 발생 건수·단가·시점 차이 검토"))</x:f>
      </x:c>
    </x:row>
    <x:row r="475">
      <x:c r="A475" t="str">
        <x:f>IFERROR(INDEX('계산도우미'!$A$5:$A$2004,MATCH(ROWS($A$6:A475),'계산도우미'!$L$5:$L$2004,0)),"")</x:f>
      </x:c>
      <x:c r="B475" t="str">
        <x:f>IFERROR(INDEX('계산도우미'!$B$5:$B$2004,MATCH(ROWS($A$6:A475),'계산도우미'!$L$5:$L$2004,0)),"")</x:f>
      </x:c>
      <x:c r="C475" t="str">
        <x:f>IFERROR(INDEX('계산도우미'!$C$5:$C$2004,MATCH(ROWS($A$6:A475),'계산도우미'!$L$5:$L$2004,0)),"")</x:f>
      </x:c>
      <x:c r="D475" s="67" t="str">
        <x:f>IFERROR(INDEX('계산도우미'!$D$5:$D$2004,MATCH(ROWS($A$6:A475),'계산도우미'!$L$5:$L$2004,0)),"")</x:f>
      </x:c>
      <x:c r="E475" t="str">
        <x:f>IFERROR(INDEX('계산도우미'!$E$5:$E$2004,MATCH(ROWS($A$6:A475),'계산도우미'!$L$5:$L$2004,0)),"")</x:f>
      </x:c>
      <x:c r="F475" t="str">
        <x:f>IFERROR(INDEX('계산도우미'!$F$5:$F$2004,MATCH(ROWS($A$6:A475),'계산도우미'!$L$5:$L$2004,0)),"")</x:f>
      </x:c>
      <x:c r="G475" s="68" t="str">
        <x:f>IFERROR(INDEX('계산도우미'!$G$5:$G$2004,MATCH(ROWS($A$6:A475),'계산도우미'!$L$5:$L$2004,0)),"")</x:f>
      </x:c>
      <x:c r="H475" t="str">
        <x:f>IFERROR(INDEX('계산도우미'!$H$5:$H$2004,MATCH(ROWS($A$6:A475),'계산도우미'!$L$5:$L$2004,0)),"")</x:f>
      </x:c>
      <x:c r="I475" t="str">
        <x:f>IFERROR(INDEX('계산도우미'!$I$5:$I$2004,MATCH(ROWS($A$6:A475),'계산도우미'!$L$5:$L$2004,0)),"")</x:f>
      </x:c>
      <x:c r="J475" t="str">
        <x:f>IFERROR(INDEX('계산도우미'!$J$5:$J$2004,MATCH(ROWS($A$6:A475),'계산도우미'!$L$5:$L$2004,0)),"")</x:f>
      </x:c>
      <x:c r="K475" t="str">
        <x:f>IF(B475="","",IF(I475="확인 필요","붙임 문서 확인 후 거래 성격·기간·상대방·일회성 여부 확인","결의서명과 전기 대비 발생 건수·단가·시점 차이 검토"))</x:f>
      </x:c>
    </x:row>
    <x:row r="476">
      <x:c r="A476" t="str">
        <x:f>IFERROR(INDEX('계산도우미'!$A$5:$A$2004,MATCH(ROWS($A$6:A476),'계산도우미'!$L$5:$L$2004,0)),"")</x:f>
      </x:c>
      <x:c r="B476" t="str">
        <x:f>IFERROR(INDEX('계산도우미'!$B$5:$B$2004,MATCH(ROWS($A$6:A476),'계산도우미'!$L$5:$L$2004,0)),"")</x:f>
      </x:c>
      <x:c r="C476" t="str">
        <x:f>IFERROR(INDEX('계산도우미'!$C$5:$C$2004,MATCH(ROWS($A$6:A476),'계산도우미'!$L$5:$L$2004,0)),"")</x:f>
      </x:c>
      <x:c r="D476" s="67" t="str">
        <x:f>IFERROR(INDEX('계산도우미'!$D$5:$D$2004,MATCH(ROWS($A$6:A476),'계산도우미'!$L$5:$L$2004,0)),"")</x:f>
      </x:c>
      <x:c r="E476" t="str">
        <x:f>IFERROR(INDEX('계산도우미'!$E$5:$E$2004,MATCH(ROWS($A$6:A476),'계산도우미'!$L$5:$L$2004,0)),"")</x:f>
      </x:c>
      <x:c r="F476" t="str">
        <x:f>IFERROR(INDEX('계산도우미'!$F$5:$F$2004,MATCH(ROWS($A$6:A476),'계산도우미'!$L$5:$L$2004,0)),"")</x:f>
      </x:c>
      <x:c r="G476" s="68" t="str">
        <x:f>IFERROR(INDEX('계산도우미'!$G$5:$G$2004,MATCH(ROWS($A$6:A476),'계산도우미'!$L$5:$L$2004,0)),"")</x:f>
      </x:c>
      <x:c r="H476" t="str">
        <x:f>IFERROR(INDEX('계산도우미'!$H$5:$H$2004,MATCH(ROWS($A$6:A476),'계산도우미'!$L$5:$L$2004,0)),"")</x:f>
      </x:c>
      <x:c r="I476" t="str">
        <x:f>IFERROR(INDEX('계산도우미'!$I$5:$I$2004,MATCH(ROWS($A$6:A476),'계산도우미'!$L$5:$L$2004,0)),"")</x:f>
      </x:c>
      <x:c r="J476" t="str">
        <x:f>IFERROR(INDEX('계산도우미'!$J$5:$J$2004,MATCH(ROWS($A$6:A476),'계산도우미'!$L$5:$L$2004,0)),"")</x:f>
      </x:c>
      <x:c r="K476" t="str">
        <x:f>IF(B476="","",IF(I476="확인 필요","붙임 문서 확인 후 거래 성격·기간·상대방·일회성 여부 확인","결의서명과 전기 대비 발생 건수·단가·시점 차이 검토"))</x:f>
      </x:c>
    </x:row>
    <x:row r="477">
      <x:c r="A477" t="str">
        <x:f>IFERROR(INDEX('계산도우미'!$A$5:$A$2004,MATCH(ROWS($A$6:A477),'계산도우미'!$L$5:$L$2004,0)),"")</x:f>
      </x:c>
      <x:c r="B477" t="str">
        <x:f>IFERROR(INDEX('계산도우미'!$B$5:$B$2004,MATCH(ROWS($A$6:A477),'계산도우미'!$L$5:$L$2004,0)),"")</x:f>
      </x:c>
      <x:c r="C477" t="str">
        <x:f>IFERROR(INDEX('계산도우미'!$C$5:$C$2004,MATCH(ROWS($A$6:A477),'계산도우미'!$L$5:$L$2004,0)),"")</x:f>
      </x:c>
      <x:c r="D477" s="67" t="str">
        <x:f>IFERROR(INDEX('계산도우미'!$D$5:$D$2004,MATCH(ROWS($A$6:A477),'계산도우미'!$L$5:$L$2004,0)),"")</x:f>
      </x:c>
      <x:c r="E477" t="str">
        <x:f>IFERROR(INDEX('계산도우미'!$E$5:$E$2004,MATCH(ROWS($A$6:A477),'계산도우미'!$L$5:$L$2004,0)),"")</x:f>
      </x:c>
      <x:c r="F477" t="str">
        <x:f>IFERROR(INDEX('계산도우미'!$F$5:$F$2004,MATCH(ROWS($A$6:A477),'계산도우미'!$L$5:$L$2004,0)),"")</x:f>
      </x:c>
      <x:c r="G477" s="68" t="str">
        <x:f>IFERROR(INDEX('계산도우미'!$G$5:$G$2004,MATCH(ROWS($A$6:A477),'계산도우미'!$L$5:$L$2004,0)),"")</x:f>
      </x:c>
      <x:c r="H477" t="str">
        <x:f>IFERROR(INDEX('계산도우미'!$H$5:$H$2004,MATCH(ROWS($A$6:A477),'계산도우미'!$L$5:$L$2004,0)),"")</x:f>
      </x:c>
      <x:c r="I477" t="str">
        <x:f>IFERROR(INDEX('계산도우미'!$I$5:$I$2004,MATCH(ROWS($A$6:A477),'계산도우미'!$L$5:$L$2004,0)),"")</x:f>
      </x:c>
      <x:c r="J477" t="str">
        <x:f>IFERROR(INDEX('계산도우미'!$J$5:$J$2004,MATCH(ROWS($A$6:A477),'계산도우미'!$L$5:$L$2004,0)),"")</x:f>
      </x:c>
      <x:c r="K477" t="str">
        <x:f>IF(B477="","",IF(I477="확인 필요","붙임 문서 확인 후 거래 성격·기간·상대방·일회성 여부 확인","결의서명과 전기 대비 발생 건수·단가·시점 차이 검토"))</x:f>
      </x:c>
    </x:row>
    <x:row r="478">
      <x:c r="A478" t="str">
        <x:f>IFERROR(INDEX('계산도우미'!$A$5:$A$2004,MATCH(ROWS($A$6:A478),'계산도우미'!$L$5:$L$2004,0)),"")</x:f>
      </x:c>
      <x:c r="B478" t="str">
        <x:f>IFERROR(INDEX('계산도우미'!$B$5:$B$2004,MATCH(ROWS($A$6:A478),'계산도우미'!$L$5:$L$2004,0)),"")</x:f>
      </x:c>
      <x:c r="C478" t="str">
        <x:f>IFERROR(INDEX('계산도우미'!$C$5:$C$2004,MATCH(ROWS($A$6:A478),'계산도우미'!$L$5:$L$2004,0)),"")</x:f>
      </x:c>
      <x:c r="D478" s="67" t="str">
        <x:f>IFERROR(INDEX('계산도우미'!$D$5:$D$2004,MATCH(ROWS($A$6:A478),'계산도우미'!$L$5:$L$2004,0)),"")</x:f>
      </x:c>
      <x:c r="E478" t="str">
        <x:f>IFERROR(INDEX('계산도우미'!$E$5:$E$2004,MATCH(ROWS($A$6:A478),'계산도우미'!$L$5:$L$2004,0)),"")</x:f>
      </x:c>
      <x:c r="F478" t="str">
        <x:f>IFERROR(INDEX('계산도우미'!$F$5:$F$2004,MATCH(ROWS($A$6:A478),'계산도우미'!$L$5:$L$2004,0)),"")</x:f>
      </x:c>
      <x:c r="G478" s="68" t="str">
        <x:f>IFERROR(INDEX('계산도우미'!$G$5:$G$2004,MATCH(ROWS($A$6:A478),'계산도우미'!$L$5:$L$2004,0)),"")</x:f>
      </x:c>
      <x:c r="H478" t="str">
        <x:f>IFERROR(INDEX('계산도우미'!$H$5:$H$2004,MATCH(ROWS($A$6:A478),'계산도우미'!$L$5:$L$2004,0)),"")</x:f>
      </x:c>
      <x:c r="I478" t="str">
        <x:f>IFERROR(INDEX('계산도우미'!$I$5:$I$2004,MATCH(ROWS($A$6:A478),'계산도우미'!$L$5:$L$2004,0)),"")</x:f>
      </x:c>
      <x:c r="J478" t="str">
        <x:f>IFERROR(INDEX('계산도우미'!$J$5:$J$2004,MATCH(ROWS($A$6:A478),'계산도우미'!$L$5:$L$2004,0)),"")</x:f>
      </x:c>
      <x:c r="K478" t="str">
        <x:f>IF(B478="","",IF(I478="확인 필요","붙임 문서 확인 후 거래 성격·기간·상대방·일회성 여부 확인","결의서명과 전기 대비 발생 건수·단가·시점 차이 검토"))</x:f>
      </x:c>
    </x:row>
    <x:row r="479">
      <x:c r="A479" t="str">
        <x:f>IFERROR(INDEX('계산도우미'!$A$5:$A$2004,MATCH(ROWS($A$6:A479),'계산도우미'!$L$5:$L$2004,0)),"")</x:f>
      </x:c>
      <x:c r="B479" t="str">
        <x:f>IFERROR(INDEX('계산도우미'!$B$5:$B$2004,MATCH(ROWS($A$6:A479),'계산도우미'!$L$5:$L$2004,0)),"")</x:f>
      </x:c>
      <x:c r="C479" t="str">
        <x:f>IFERROR(INDEX('계산도우미'!$C$5:$C$2004,MATCH(ROWS($A$6:A479),'계산도우미'!$L$5:$L$2004,0)),"")</x:f>
      </x:c>
      <x:c r="D479" s="67" t="str">
        <x:f>IFERROR(INDEX('계산도우미'!$D$5:$D$2004,MATCH(ROWS($A$6:A479),'계산도우미'!$L$5:$L$2004,0)),"")</x:f>
      </x:c>
      <x:c r="E479" t="str">
        <x:f>IFERROR(INDEX('계산도우미'!$E$5:$E$2004,MATCH(ROWS($A$6:A479),'계산도우미'!$L$5:$L$2004,0)),"")</x:f>
      </x:c>
      <x:c r="F479" t="str">
        <x:f>IFERROR(INDEX('계산도우미'!$F$5:$F$2004,MATCH(ROWS($A$6:A479),'계산도우미'!$L$5:$L$2004,0)),"")</x:f>
      </x:c>
      <x:c r="G479" s="68" t="str">
        <x:f>IFERROR(INDEX('계산도우미'!$G$5:$G$2004,MATCH(ROWS($A$6:A479),'계산도우미'!$L$5:$L$2004,0)),"")</x:f>
      </x:c>
      <x:c r="H479" t="str">
        <x:f>IFERROR(INDEX('계산도우미'!$H$5:$H$2004,MATCH(ROWS($A$6:A479),'계산도우미'!$L$5:$L$2004,0)),"")</x:f>
      </x:c>
      <x:c r="I479" t="str">
        <x:f>IFERROR(INDEX('계산도우미'!$I$5:$I$2004,MATCH(ROWS($A$6:A479),'계산도우미'!$L$5:$L$2004,0)),"")</x:f>
      </x:c>
      <x:c r="J479" t="str">
        <x:f>IFERROR(INDEX('계산도우미'!$J$5:$J$2004,MATCH(ROWS($A$6:A479),'계산도우미'!$L$5:$L$2004,0)),"")</x:f>
      </x:c>
      <x:c r="K479" t="str">
        <x:f>IF(B479="","",IF(I479="확인 필요","붙임 문서 확인 후 거래 성격·기간·상대방·일회성 여부 확인","결의서명과 전기 대비 발생 건수·단가·시점 차이 검토"))</x:f>
      </x:c>
    </x:row>
    <x:row r="480">
      <x:c r="A480" t="str">
        <x:f>IFERROR(INDEX('계산도우미'!$A$5:$A$2004,MATCH(ROWS($A$6:A480),'계산도우미'!$L$5:$L$2004,0)),"")</x:f>
      </x:c>
      <x:c r="B480" t="str">
        <x:f>IFERROR(INDEX('계산도우미'!$B$5:$B$2004,MATCH(ROWS($A$6:A480),'계산도우미'!$L$5:$L$2004,0)),"")</x:f>
      </x:c>
      <x:c r="C480" t="str">
        <x:f>IFERROR(INDEX('계산도우미'!$C$5:$C$2004,MATCH(ROWS($A$6:A480),'계산도우미'!$L$5:$L$2004,0)),"")</x:f>
      </x:c>
      <x:c r="D480" s="67" t="str">
        <x:f>IFERROR(INDEX('계산도우미'!$D$5:$D$2004,MATCH(ROWS($A$6:A480),'계산도우미'!$L$5:$L$2004,0)),"")</x:f>
      </x:c>
      <x:c r="E480" t="str">
        <x:f>IFERROR(INDEX('계산도우미'!$E$5:$E$2004,MATCH(ROWS($A$6:A480),'계산도우미'!$L$5:$L$2004,0)),"")</x:f>
      </x:c>
      <x:c r="F480" t="str">
        <x:f>IFERROR(INDEX('계산도우미'!$F$5:$F$2004,MATCH(ROWS($A$6:A480),'계산도우미'!$L$5:$L$2004,0)),"")</x:f>
      </x:c>
      <x:c r="G480" s="68" t="str">
        <x:f>IFERROR(INDEX('계산도우미'!$G$5:$G$2004,MATCH(ROWS($A$6:A480),'계산도우미'!$L$5:$L$2004,0)),"")</x:f>
      </x:c>
      <x:c r="H480" t="str">
        <x:f>IFERROR(INDEX('계산도우미'!$H$5:$H$2004,MATCH(ROWS($A$6:A480),'계산도우미'!$L$5:$L$2004,0)),"")</x:f>
      </x:c>
      <x:c r="I480" t="str">
        <x:f>IFERROR(INDEX('계산도우미'!$I$5:$I$2004,MATCH(ROWS($A$6:A480),'계산도우미'!$L$5:$L$2004,0)),"")</x:f>
      </x:c>
      <x:c r="J480" t="str">
        <x:f>IFERROR(INDEX('계산도우미'!$J$5:$J$2004,MATCH(ROWS($A$6:A480),'계산도우미'!$L$5:$L$2004,0)),"")</x:f>
      </x:c>
      <x:c r="K480" t="str">
        <x:f>IF(B480="","",IF(I480="확인 필요","붙임 문서 확인 후 거래 성격·기간·상대방·일회성 여부 확인","결의서명과 전기 대비 발생 건수·단가·시점 차이 검토"))</x:f>
      </x:c>
    </x:row>
    <x:row r="481">
      <x:c r="A481" t="str">
        <x:f>IFERROR(INDEX('계산도우미'!$A$5:$A$2004,MATCH(ROWS($A$6:A481),'계산도우미'!$L$5:$L$2004,0)),"")</x:f>
      </x:c>
      <x:c r="B481" t="str">
        <x:f>IFERROR(INDEX('계산도우미'!$B$5:$B$2004,MATCH(ROWS($A$6:A481),'계산도우미'!$L$5:$L$2004,0)),"")</x:f>
      </x:c>
      <x:c r="C481" t="str">
        <x:f>IFERROR(INDEX('계산도우미'!$C$5:$C$2004,MATCH(ROWS($A$6:A481),'계산도우미'!$L$5:$L$2004,0)),"")</x:f>
      </x:c>
      <x:c r="D481" s="67" t="str">
        <x:f>IFERROR(INDEX('계산도우미'!$D$5:$D$2004,MATCH(ROWS($A$6:A481),'계산도우미'!$L$5:$L$2004,0)),"")</x:f>
      </x:c>
      <x:c r="E481" t="str">
        <x:f>IFERROR(INDEX('계산도우미'!$E$5:$E$2004,MATCH(ROWS($A$6:A481),'계산도우미'!$L$5:$L$2004,0)),"")</x:f>
      </x:c>
      <x:c r="F481" t="str">
        <x:f>IFERROR(INDEX('계산도우미'!$F$5:$F$2004,MATCH(ROWS($A$6:A481),'계산도우미'!$L$5:$L$2004,0)),"")</x:f>
      </x:c>
      <x:c r="G481" s="68" t="str">
        <x:f>IFERROR(INDEX('계산도우미'!$G$5:$G$2004,MATCH(ROWS($A$6:A481),'계산도우미'!$L$5:$L$2004,0)),"")</x:f>
      </x:c>
      <x:c r="H481" t="str">
        <x:f>IFERROR(INDEX('계산도우미'!$H$5:$H$2004,MATCH(ROWS($A$6:A481),'계산도우미'!$L$5:$L$2004,0)),"")</x:f>
      </x:c>
      <x:c r="I481" t="str">
        <x:f>IFERROR(INDEX('계산도우미'!$I$5:$I$2004,MATCH(ROWS($A$6:A481),'계산도우미'!$L$5:$L$2004,0)),"")</x:f>
      </x:c>
      <x:c r="J481" t="str">
        <x:f>IFERROR(INDEX('계산도우미'!$J$5:$J$2004,MATCH(ROWS($A$6:A481),'계산도우미'!$L$5:$L$2004,0)),"")</x:f>
      </x:c>
      <x:c r="K481" t="str">
        <x:f>IF(B481="","",IF(I481="확인 필요","붙임 문서 확인 후 거래 성격·기간·상대방·일회성 여부 확인","결의서명과 전기 대비 발생 건수·단가·시점 차이 검토"))</x:f>
      </x:c>
    </x:row>
    <x:row r="482">
      <x:c r="A482" t="str">
        <x:f>IFERROR(INDEX('계산도우미'!$A$5:$A$2004,MATCH(ROWS($A$6:A482),'계산도우미'!$L$5:$L$2004,0)),"")</x:f>
      </x:c>
      <x:c r="B482" t="str">
        <x:f>IFERROR(INDEX('계산도우미'!$B$5:$B$2004,MATCH(ROWS($A$6:A482),'계산도우미'!$L$5:$L$2004,0)),"")</x:f>
      </x:c>
      <x:c r="C482" t="str">
        <x:f>IFERROR(INDEX('계산도우미'!$C$5:$C$2004,MATCH(ROWS($A$6:A482),'계산도우미'!$L$5:$L$2004,0)),"")</x:f>
      </x:c>
      <x:c r="D482" s="67" t="str">
        <x:f>IFERROR(INDEX('계산도우미'!$D$5:$D$2004,MATCH(ROWS($A$6:A482),'계산도우미'!$L$5:$L$2004,0)),"")</x:f>
      </x:c>
      <x:c r="E482" t="str">
        <x:f>IFERROR(INDEX('계산도우미'!$E$5:$E$2004,MATCH(ROWS($A$6:A482),'계산도우미'!$L$5:$L$2004,0)),"")</x:f>
      </x:c>
      <x:c r="F482" t="str">
        <x:f>IFERROR(INDEX('계산도우미'!$F$5:$F$2004,MATCH(ROWS($A$6:A482),'계산도우미'!$L$5:$L$2004,0)),"")</x:f>
      </x:c>
      <x:c r="G482" s="68" t="str">
        <x:f>IFERROR(INDEX('계산도우미'!$G$5:$G$2004,MATCH(ROWS($A$6:A482),'계산도우미'!$L$5:$L$2004,0)),"")</x:f>
      </x:c>
      <x:c r="H482" t="str">
        <x:f>IFERROR(INDEX('계산도우미'!$H$5:$H$2004,MATCH(ROWS($A$6:A482),'계산도우미'!$L$5:$L$2004,0)),"")</x:f>
      </x:c>
      <x:c r="I482" t="str">
        <x:f>IFERROR(INDEX('계산도우미'!$I$5:$I$2004,MATCH(ROWS($A$6:A482),'계산도우미'!$L$5:$L$2004,0)),"")</x:f>
      </x:c>
      <x:c r="J482" t="str">
        <x:f>IFERROR(INDEX('계산도우미'!$J$5:$J$2004,MATCH(ROWS($A$6:A482),'계산도우미'!$L$5:$L$2004,0)),"")</x:f>
      </x:c>
      <x:c r="K482" t="str">
        <x:f>IF(B482="","",IF(I482="확인 필요","붙임 문서 확인 후 거래 성격·기간·상대방·일회성 여부 확인","결의서명과 전기 대비 발생 건수·단가·시점 차이 검토"))</x:f>
      </x:c>
    </x:row>
    <x:row r="483">
      <x:c r="A483" t="str">
        <x:f>IFERROR(INDEX('계산도우미'!$A$5:$A$2004,MATCH(ROWS($A$6:A483),'계산도우미'!$L$5:$L$2004,0)),"")</x:f>
      </x:c>
      <x:c r="B483" t="str">
        <x:f>IFERROR(INDEX('계산도우미'!$B$5:$B$2004,MATCH(ROWS($A$6:A483),'계산도우미'!$L$5:$L$2004,0)),"")</x:f>
      </x:c>
      <x:c r="C483" t="str">
        <x:f>IFERROR(INDEX('계산도우미'!$C$5:$C$2004,MATCH(ROWS($A$6:A483),'계산도우미'!$L$5:$L$2004,0)),"")</x:f>
      </x:c>
      <x:c r="D483" s="67" t="str">
        <x:f>IFERROR(INDEX('계산도우미'!$D$5:$D$2004,MATCH(ROWS($A$6:A483),'계산도우미'!$L$5:$L$2004,0)),"")</x:f>
      </x:c>
      <x:c r="E483" t="str">
        <x:f>IFERROR(INDEX('계산도우미'!$E$5:$E$2004,MATCH(ROWS($A$6:A483),'계산도우미'!$L$5:$L$2004,0)),"")</x:f>
      </x:c>
      <x:c r="F483" t="str">
        <x:f>IFERROR(INDEX('계산도우미'!$F$5:$F$2004,MATCH(ROWS($A$6:A483),'계산도우미'!$L$5:$L$2004,0)),"")</x:f>
      </x:c>
      <x:c r="G483" s="68" t="str">
        <x:f>IFERROR(INDEX('계산도우미'!$G$5:$G$2004,MATCH(ROWS($A$6:A483),'계산도우미'!$L$5:$L$2004,0)),"")</x:f>
      </x:c>
      <x:c r="H483" t="str">
        <x:f>IFERROR(INDEX('계산도우미'!$H$5:$H$2004,MATCH(ROWS($A$6:A483),'계산도우미'!$L$5:$L$2004,0)),"")</x:f>
      </x:c>
      <x:c r="I483" t="str">
        <x:f>IFERROR(INDEX('계산도우미'!$I$5:$I$2004,MATCH(ROWS($A$6:A483),'계산도우미'!$L$5:$L$2004,0)),"")</x:f>
      </x:c>
      <x:c r="J483" t="str">
        <x:f>IFERROR(INDEX('계산도우미'!$J$5:$J$2004,MATCH(ROWS($A$6:A483),'계산도우미'!$L$5:$L$2004,0)),"")</x:f>
      </x:c>
      <x:c r="K483" t="str">
        <x:f>IF(B483="","",IF(I483="확인 필요","붙임 문서 확인 후 거래 성격·기간·상대방·일회성 여부 확인","결의서명과 전기 대비 발생 건수·단가·시점 차이 검토"))</x:f>
      </x:c>
    </x:row>
    <x:row r="484">
      <x:c r="A484" t="str">
        <x:f>IFERROR(INDEX('계산도우미'!$A$5:$A$2004,MATCH(ROWS($A$6:A484),'계산도우미'!$L$5:$L$2004,0)),"")</x:f>
      </x:c>
      <x:c r="B484" t="str">
        <x:f>IFERROR(INDEX('계산도우미'!$B$5:$B$2004,MATCH(ROWS($A$6:A484),'계산도우미'!$L$5:$L$2004,0)),"")</x:f>
      </x:c>
      <x:c r="C484" t="str">
        <x:f>IFERROR(INDEX('계산도우미'!$C$5:$C$2004,MATCH(ROWS($A$6:A484),'계산도우미'!$L$5:$L$2004,0)),"")</x:f>
      </x:c>
      <x:c r="D484" s="67" t="str">
        <x:f>IFERROR(INDEX('계산도우미'!$D$5:$D$2004,MATCH(ROWS($A$6:A484),'계산도우미'!$L$5:$L$2004,0)),"")</x:f>
      </x:c>
      <x:c r="E484" t="str">
        <x:f>IFERROR(INDEX('계산도우미'!$E$5:$E$2004,MATCH(ROWS($A$6:A484),'계산도우미'!$L$5:$L$2004,0)),"")</x:f>
      </x:c>
      <x:c r="F484" t="str">
        <x:f>IFERROR(INDEX('계산도우미'!$F$5:$F$2004,MATCH(ROWS($A$6:A484),'계산도우미'!$L$5:$L$2004,0)),"")</x:f>
      </x:c>
      <x:c r="G484" s="68" t="str">
        <x:f>IFERROR(INDEX('계산도우미'!$G$5:$G$2004,MATCH(ROWS($A$6:A484),'계산도우미'!$L$5:$L$2004,0)),"")</x:f>
      </x:c>
      <x:c r="H484" t="str">
        <x:f>IFERROR(INDEX('계산도우미'!$H$5:$H$2004,MATCH(ROWS($A$6:A484),'계산도우미'!$L$5:$L$2004,0)),"")</x:f>
      </x:c>
      <x:c r="I484" t="str">
        <x:f>IFERROR(INDEX('계산도우미'!$I$5:$I$2004,MATCH(ROWS($A$6:A484),'계산도우미'!$L$5:$L$2004,0)),"")</x:f>
      </x:c>
      <x:c r="J484" t="str">
        <x:f>IFERROR(INDEX('계산도우미'!$J$5:$J$2004,MATCH(ROWS($A$6:A484),'계산도우미'!$L$5:$L$2004,0)),"")</x:f>
      </x:c>
      <x:c r="K484" t="str">
        <x:f>IF(B484="","",IF(I484="확인 필요","붙임 문서 확인 후 거래 성격·기간·상대방·일회성 여부 확인","결의서명과 전기 대비 발생 건수·단가·시점 차이 검토"))</x:f>
      </x:c>
    </x:row>
    <x:row r="485">
      <x:c r="A485" t="str">
        <x:f>IFERROR(INDEX('계산도우미'!$A$5:$A$2004,MATCH(ROWS($A$6:A485),'계산도우미'!$L$5:$L$2004,0)),"")</x:f>
      </x:c>
      <x:c r="B485" t="str">
        <x:f>IFERROR(INDEX('계산도우미'!$B$5:$B$2004,MATCH(ROWS($A$6:A485),'계산도우미'!$L$5:$L$2004,0)),"")</x:f>
      </x:c>
      <x:c r="C485" t="str">
        <x:f>IFERROR(INDEX('계산도우미'!$C$5:$C$2004,MATCH(ROWS($A$6:A485),'계산도우미'!$L$5:$L$2004,0)),"")</x:f>
      </x:c>
      <x:c r="D485" s="67" t="str">
        <x:f>IFERROR(INDEX('계산도우미'!$D$5:$D$2004,MATCH(ROWS($A$6:A485),'계산도우미'!$L$5:$L$2004,0)),"")</x:f>
      </x:c>
      <x:c r="E485" t="str">
        <x:f>IFERROR(INDEX('계산도우미'!$E$5:$E$2004,MATCH(ROWS($A$6:A485),'계산도우미'!$L$5:$L$2004,0)),"")</x:f>
      </x:c>
      <x:c r="F485" t="str">
        <x:f>IFERROR(INDEX('계산도우미'!$F$5:$F$2004,MATCH(ROWS($A$6:A485),'계산도우미'!$L$5:$L$2004,0)),"")</x:f>
      </x:c>
      <x:c r="G485" s="68" t="str">
        <x:f>IFERROR(INDEX('계산도우미'!$G$5:$G$2004,MATCH(ROWS($A$6:A485),'계산도우미'!$L$5:$L$2004,0)),"")</x:f>
      </x:c>
      <x:c r="H485" t="str">
        <x:f>IFERROR(INDEX('계산도우미'!$H$5:$H$2004,MATCH(ROWS($A$6:A485),'계산도우미'!$L$5:$L$2004,0)),"")</x:f>
      </x:c>
      <x:c r="I485" t="str">
        <x:f>IFERROR(INDEX('계산도우미'!$I$5:$I$2004,MATCH(ROWS($A$6:A485),'계산도우미'!$L$5:$L$2004,0)),"")</x:f>
      </x:c>
      <x:c r="J485" t="str">
        <x:f>IFERROR(INDEX('계산도우미'!$J$5:$J$2004,MATCH(ROWS($A$6:A485),'계산도우미'!$L$5:$L$2004,0)),"")</x:f>
      </x:c>
      <x:c r="K485" t="str">
        <x:f>IF(B485="","",IF(I485="확인 필요","붙임 문서 확인 후 거래 성격·기간·상대방·일회성 여부 확인","결의서명과 전기 대비 발생 건수·단가·시점 차이 검토"))</x:f>
      </x:c>
    </x:row>
    <x:row r="486">
      <x:c r="A486" t="str">
        <x:f>IFERROR(INDEX('계산도우미'!$A$5:$A$2004,MATCH(ROWS($A$6:A486),'계산도우미'!$L$5:$L$2004,0)),"")</x:f>
      </x:c>
      <x:c r="B486" t="str">
        <x:f>IFERROR(INDEX('계산도우미'!$B$5:$B$2004,MATCH(ROWS($A$6:A486),'계산도우미'!$L$5:$L$2004,0)),"")</x:f>
      </x:c>
      <x:c r="C486" t="str">
        <x:f>IFERROR(INDEX('계산도우미'!$C$5:$C$2004,MATCH(ROWS($A$6:A486),'계산도우미'!$L$5:$L$2004,0)),"")</x:f>
      </x:c>
      <x:c r="D486" s="67" t="str">
        <x:f>IFERROR(INDEX('계산도우미'!$D$5:$D$2004,MATCH(ROWS($A$6:A486),'계산도우미'!$L$5:$L$2004,0)),"")</x:f>
      </x:c>
      <x:c r="E486" t="str">
        <x:f>IFERROR(INDEX('계산도우미'!$E$5:$E$2004,MATCH(ROWS($A$6:A486),'계산도우미'!$L$5:$L$2004,0)),"")</x:f>
      </x:c>
      <x:c r="F486" t="str">
        <x:f>IFERROR(INDEX('계산도우미'!$F$5:$F$2004,MATCH(ROWS($A$6:A486),'계산도우미'!$L$5:$L$2004,0)),"")</x:f>
      </x:c>
      <x:c r="G486" s="68" t="str">
        <x:f>IFERROR(INDEX('계산도우미'!$G$5:$G$2004,MATCH(ROWS($A$6:A486),'계산도우미'!$L$5:$L$2004,0)),"")</x:f>
      </x:c>
      <x:c r="H486" t="str">
        <x:f>IFERROR(INDEX('계산도우미'!$H$5:$H$2004,MATCH(ROWS($A$6:A486),'계산도우미'!$L$5:$L$2004,0)),"")</x:f>
      </x:c>
      <x:c r="I486" t="str">
        <x:f>IFERROR(INDEX('계산도우미'!$I$5:$I$2004,MATCH(ROWS($A$6:A486),'계산도우미'!$L$5:$L$2004,0)),"")</x:f>
      </x:c>
      <x:c r="J486" t="str">
        <x:f>IFERROR(INDEX('계산도우미'!$J$5:$J$2004,MATCH(ROWS($A$6:A486),'계산도우미'!$L$5:$L$2004,0)),"")</x:f>
      </x:c>
      <x:c r="K486" t="str">
        <x:f>IF(B486="","",IF(I486="확인 필요","붙임 문서 확인 후 거래 성격·기간·상대방·일회성 여부 확인","결의서명과 전기 대비 발생 건수·단가·시점 차이 검토"))</x:f>
      </x:c>
    </x:row>
    <x:row r="487">
      <x:c r="A487" t="str">
        <x:f>IFERROR(INDEX('계산도우미'!$A$5:$A$2004,MATCH(ROWS($A$6:A487),'계산도우미'!$L$5:$L$2004,0)),"")</x:f>
      </x:c>
      <x:c r="B487" t="str">
        <x:f>IFERROR(INDEX('계산도우미'!$B$5:$B$2004,MATCH(ROWS($A$6:A487),'계산도우미'!$L$5:$L$2004,0)),"")</x:f>
      </x:c>
      <x:c r="C487" t="str">
        <x:f>IFERROR(INDEX('계산도우미'!$C$5:$C$2004,MATCH(ROWS($A$6:A487),'계산도우미'!$L$5:$L$2004,0)),"")</x:f>
      </x:c>
      <x:c r="D487" s="67" t="str">
        <x:f>IFERROR(INDEX('계산도우미'!$D$5:$D$2004,MATCH(ROWS($A$6:A487),'계산도우미'!$L$5:$L$2004,0)),"")</x:f>
      </x:c>
      <x:c r="E487" t="str">
        <x:f>IFERROR(INDEX('계산도우미'!$E$5:$E$2004,MATCH(ROWS($A$6:A487),'계산도우미'!$L$5:$L$2004,0)),"")</x:f>
      </x:c>
      <x:c r="F487" t="str">
        <x:f>IFERROR(INDEX('계산도우미'!$F$5:$F$2004,MATCH(ROWS($A$6:A487),'계산도우미'!$L$5:$L$2004,0)),"")</x:f>
      </x:c>
      <x:c r="G487" s="68" t="str">
        <x:f>IFERROR(INDEX('계산도우미'!$G$5:$G$2004,MATCH(ROWS($A$6:A487),'계산도우미'!$L$5:$L$2004,0)),"")</x:f>
      </x:c>
      <x:c r="H487" t="str">
        <x:f>IFERROR(INDEX('계산도우미'!$H$5:$H$2004,MATCH(ROWS($A$6:A487),'계산도우미'!$L$5:$L$2004,0)),"")</x:f>
      </x:c>
      <x:c r="I487" t="str">
        <x:f>IFERROR(INDEX('계산도우미'!$I$5:$I$2004,MATCH(ROWS($A$6:A487),'계산도우미'!$L$5:$L$2004,0)),"")</x:f>
      </x:c>
      <x:c r="J487" t="str">
        <x:f>IFERROR(INDEX('계산도우미'!$J$5:$J$2004,MATCH(ROWS($A$6:A487),'계산도우미'!$L$5:$L$2004,0)),"")</x:f>
      </x:c>
      <x:c r="K487" t="str">
        <x:f>IF(B487="","",IF(I487="확인 필요","붙임 문서 확인 후 거래 성격·기간·상대방·일회성 여부 확인","결의서명과 전기 대비 발생 건수·단가·시점 차이 검토"))</x:f>
      </x:c>
    </x:row>
    <x:row r="488">
      <x:c r="A488" t="str">
        <x:f>IFERROR(INDEX('계산도우미'!$A$5:$A$2004,MATCH(ROWS($A$6:A488),'계산도우미'!$L$5:$L$2004,0)),"")</x:f>
      </x:c>
      <x:c r="B488" t="str">
        <x:f>IFERROR(INDEX('계산도우미'!$B$5:$B$2004,MATCH(ROWS($A$6:A488),'계산도우미'!$L$5:$L$2004,0)),"")</x:f>
      </x:c>
      <x:c r="C488" t="str">
        <x:f>IFERROR(INDEX('계산도우미'!$C$5:$C$2004,MATCH(ROWS($A$6:A488),'계산도우미'!$L$5:$L$2004,0)),"")</x:f>
      </x:c>
      <x:c r="D488" s="67" t="str">
        <x:f>IFERROR(INDEX('계산도우미'!$D$5:$D$2004,MATCH(ROWS($A$6:A488),'계산도우미'!$L$5:$L$2004,0)),"")</x:f>
      </x:c>
      <x:c r="E488" t="str">
        <x:f>IFERROR(INDEX('계산도우미'!$E$5:$E$2004,MATCH(ROWS($A$6:A488),'계산도우미'!$L$5:$L$2004,0)),"")</x:f>
      </x:c>
      <x:c r="F488" t="str">
        <x:f>IFERROR(INDEX('계산도우미'!$F$5:$F$2004,MATCH(ROWS($A$6:A488),'계산도우미'!$L$5:$L$2004,0)),"")</x:f>
      </x:c>
      <x:c r="G488" s="68" t="str">
        <x:f>IFERROR(INDEX('계산도우미'!$G$5:$G$2004,MATCH(ROWS($A$6:A488),'계산도우미'!$L$5:$L$2004,0)),"")</x:f>
      </x:c>
      <x:c r="H488" t="str">
        <x:f>IFERROR(INDEX('계산도우미'!$H$5:$H$2004,MATCH(ROWS($A$6:A488),'계산도우미'!$L$5:$L$2004,0)),"")</x:f>
      </x:c>
      <x:c r="I488" t="str">
        <x:f>IFERROR(INDEX('계산도우미'!$I$5:$I$2004,MATCH(ROWS($A$6:A488),'계산도우미'!$L$5:$L$2004,0)),"")</x:f>
      </x:c>
      <x:c r="J488" t="str">
        <x:f>IFERROR(INDEX('계산도우미'!$J$5:$J$2004,MATCH(ROWS($A$6:A488),'계산도우미'!$L$5:$L$2004,0)),"")</x:f>
      </x:c>
      <x:c r="K488" t="str">
        <x:f>IF(B488="","",IF(I488="확인 필요","붙임 문서 확인 후 거래 성격·기간·상대방·일회성 여부 확인","결의서명과 전기 대비 발생 건수·단가·시점 차이 검토"))</x:f>
      </x:c>
    </x:row>
    <x:row r="489">
      <x:c r="A489" t="str">
        <x:f>IFERROR(INDEX('계산도우미'!$A$5:$A$2004,MATCH(ROWS($A$6:A489),'계산도우미'!$L$5:$L$2004,0)),"")</x:f>
      </x:c>
      <x:c r="B489" t="str">
        <x:f>IFERROR(INDEX('계산도우미'!$B$5:$B$2004,MATCH(ROWS($A$6:A489),'계산도우미'!$L$5:$L$2004,0)),"")</x:f>
      </x:c>
      <x:c r="C489" t="str">
        <x:f>IFERROR(INDEX('계산도우미'!$C$5:$C$2004,MATCH(ROWS($A$6:A489),'계산도우미'!$L$5:$L$2004,0)),"")</x:f>
      </x:c>
      <x:c r="D489" s="67" t="str">
        <x:f>IFERROR(INDEX('계산도우미'!$D$5:$D$2004,MATCH(ROWS($A$6:A489),'계산도우미'!$L$5:$L$2004,0)),"")</x:f>
      </x:c>
      <x:c r="E489" t="str">
        <x:f>IFERROR(INDEX('계산도우미'!$E$5:$E$2004,MATCH(ROWS($A$6:A489),'계산도우미'!$L$5:$L$2004,0)),"")</x:f>
      </x:c>
      <x:c r="F489" t="str">
        <x:f>IFERROR(INDEX('계산도우미'!$F$5:$F$2004,MATCH(ROWS($A$6:A489),'계산도우미'!$L$5:$L$2004,0)),"")</x:f>
      </x:c>
      <x:c r="G489" s="68" t="str">
        <x:f>IFERROR(INDEX('계산도우미'!$G$5:$G$2004,MATCH(ROWS($A$6:A489),'계산도우미'!$L$5:$L$2004,0)),"")</x:f>
      </x:c>
      <x:c r="H489" t="str">
        <x:f>IFERROR(INDEX('계산도우미'!$H$5:$H$2004,MATCH(ROWS($A$6:A489),'계산도우미'!$L$5:$L$2004,0)),"")</x:f>
      </x:c>
      <x:c r="I489" t="str">
        <x:f>IFERROR(INDEX('계산도우미'!$I$5:$I$2004,MATCH(ROWS($A$6:A489),'계산도우미'!$L$5:$L$2004,0)),"")</x:f>
      </x:c>
      <x:c r="J489" t="str">
        <x:f>IFERROR(INDEX('계산도우미'!$J$5:$J$2004,MATCH(ROWS($A$6:A489),'계산도우미'!$L$5:$L$2004,0)),"")</x:f>
      </x:c>
      <x:c r="K489" t="str">
        <x:f>IF(B489="","",IF(I489="확인 필요","붙임 문서 확인 후 거래 성격·기간·상대방·일회성 여부 확인","결의서명과 전기 대비 발생 건수·단가·시점 차이 검토"))</x:f>
      </x:c>
    </x:row>
    <x:row r="490">
      <x:c r="A490" t="str">
        <x:f>IFERROR(INDEX('계산도우미'!$A$5:$A$2004,MATCH(ROWS($A$6:A490),'계산도우미'!$L$5:$L$2004,0)),"")</x:f>
      </x:c>
      <x:c r="B490" t="str">
        <x:f>IFERROR(INDEX('계산도우미'!$B$5:$B$2004,MATCH(ROWS($A$6:A490),'계산도우미'!$L$5:$L$2004,0)),"")</x:f>
      </x:c>
      <x:c r="C490" t="str">
        <x:f>IFERROR(INDEX('계산도우미'!$C$5:$C$2004,MATCH(ROWS($A$6:A490),'계산도우미'!$L$5:$L$2004,0)),"")</x:f>
      </x:c>
      <x:c r="D490" s="67" t="str">
        <x:f>IFERROR(INDEX('계산도우미'!$D$5:$D$2004,MATCH(ROWS($A$6:A490),'계산도우미'!$L$5:$L$2004,0)),"")</x:f>
      </x:c>
      <x:c r="E490" t="str">
        <x:f>IFERROR(INDEX('계산도우미'!$E$5:$E$2004,MATCH(ROWS($A$6:A490),'계산도우미'!$L$5:$L$2004,0)),"")</x:f>
      </x:c>
      <x:c r="F490" t="str">
        <x:f>IFERROR(INDEX('계산도우미'!$F$5:$F$2004,MATCH(ROWS($A$6:A490),'계산도우미'!$L$5:$L$2004,0)),"")</x:f>
      </x:c>
      <x:c r="G490" s="68" t="str">
        <x:f>IFERROR(INDEX('계산도우미'!$G$5:$G$2004,MATCH(ROWS($A$6:A490),'계산도우미'!$L$5:$L$2004,0)),"")</x:f>
      </x:c>
      <x:c r="H490" t="str">
        <x:f>IFERROR(INDEX('계산도우미'!$H$5:$H$2004,MATCH(ROWS($A$6:A490),'계산도우미'!$L$5:$L$2004,0)),"")</x:f>
      </x:c>
      <x:c r="I490" t="str">
        <x:f>IFERROR(INDEX('계산도우미'!$I$5:$I$2004,MATCH(ROWS($A$6:A490),'계산도우미'!$L$5:$L$2004,0)),"")</x:f>
      </x:c>
      <x:c r="J490" t="str">
        <x:f>IFERROR(INDEX('계산도우미'!$J$5:$J$2004,MATCH(ROWS($A$6:A490),'계산도우미'!$L$5:$L$2004,0)),"")</x:f>
      </x:c>
      <x:c r="K490" t="str">
        <x:f>IF(B490="","",IF(I490="확인 필요","붙임 문서 확인 후 거래 성격·기간·상대방·일회성 여부 확인","결의서명과 전기 대비 발생 건수·단가·시점 차이 검토"))</x:f>
      </x:c>
    </x:row>
    <x:row r="491">
      <x:c r="A491" t="str">
        <x:f>IFERROR(INDEX('계산도우미'!$A$5:$A$2004,MATCH(ROWS($A$6:A491),'계산도우미'!$L$5:$L$2004,0)),"")</x:f>
      </x:c>
      <x:c r="B491" t="str">
        <x:f>IFERROR(INDEX('계산도우미'!$B$5:$B$2004,MATCH(ROWS($A$6:A491),'계산도우미'!$L$5:$L$2004,0)),"")</x:f>
      </x:c>
      <x:c r="C491" t="str">
        <x:f>IFERROR(INDEX('계산도우미'!$C$5:$C$2004,MATCH(ROWS($A$6:A491),'계산도우미'!$L$5:$L$2004,0)),"")</x:f>
      </x:c>
      <x:c r="D491" s="67" t="str">
        <x:f>IFERROR(INDEX('계산도우미'!$D$5:$D$2004,MATCH(ROWS($A$6:A491),'계산도우미'!$L$5:$L$2004,0)),"")</x:f>
      </x:c>
      <x:c r="E491" t="str">
        <x:f>IFERROR(INDEX('계산도우미'!$E$5:$E$2004,MATCH(ROWS($A$6:A491),'계산도우미'!$L$5:$L$2004,0)),"")</x:f>
      </x:c>
      <x:c r="F491" t="str">
        <x:f>IFERROR(INDEX('계산도우미'!$F$5:$F$2004,MATCH(ROWS($A$6:A491),'계산도우미'!$L$5:$L$2004,0)),"")</x:f>
      </x:c>
      <x:c r="G491" s="68" t="str">
        <x:f>IFERROR(INDEX('계산도우미'!$G$5:$G$2004,MATCH(ROWS($A$6:A491),'계산도우미'!$L$5:$L$2004,0)),"")</x:f>
      </x:c>
      <x:c r="H491" t="str">
        <x:f>IFERROR(INDEX('계산도우미'!$H$5:$H$2004,MATCH(ROWS($A$6:A491),'계산도우미'!$L$5:$L$2004,0)),"")</x:f>
      </x:c>
      <x:c r="I491" t="str">
        <x:f>IFERROR(INDEX('계산도우미'!$I$5:$I$2004,MATCH(ROWS($A$6:A491),'계산도우미'!$L$5:$L$2004,0)),"")</x:f>
      </x:c>
      <x:c r="J491" t="str">
        <x:f>IFERROR(INDEX('계산도우미'!$J$5:$J$2004,MATCH(ROWS($A$6:A491),'계산도우미'!$L$5:$L$2004,0)),"")</x:f>
      </x:c>
      <x:c r="K491" t="str">
        <x:f>IF(B491="","",IF(I491="확인 필요","붙임 문서 확인 후 거래 성격·기간·상대방·일회성 여부 확인","결의서명과 전기 대비 발생 건수·단가·시점 차이 검토"))</x:f>
      </x:c>
    </x:row>
    <x:row r="492">
      <x:c r="A492" t="str">
        <x:f>IFERROR(INDEX('계산도우미'!$A$5:$A$2004,MATCH(ROWS($A$6:A492),'계산도우미'!$L$5:$L$2004,0)),"")</x:f>
      </x:c>
      <x:c r="B492" t="str">
        <x:f>IFERROR(INDEX('계산도우미'!$B$5:$B$2004,MATCH(ROWS($A$6:A492),'계산도우미'!$L$5:$L$2004,0)),"")</x:f>
      </x:c>
      <x:c r="C492" t="str">
        <x:f>IFERROR(INDEX('계산도우미'!$C$5:$C$2004,MATCH(ROWS($A$6:A492),'계산도우미'!$L$5:$L$2004,0)),"")</x:f>
      </x:c>
      <x:c r="D492" s="67" t="str">
        <x:f>IFERROR(INDEX('계산도우미'!$D$5:$D$2004,MATCH(ROWS($A$6:A492),'계산도우미'!$L$5:$L$2004,0)),"")</x:f>
      </x:c>
      <x:c r="E492" t="str">
        <x:f>IFERROR(INDEX('계산도우미'!$E$5:$E$2004,MATCH(ROWS($A$6:A492),'계산도우미'!$L$5:$L$2004,0)),"")</x:f>
      </x:c>
      <x:c r="F492" t="str">
        <x:f>IFERROR(INDEX('계산도우미'!$F$5:$F$2004,MATCH(ROWS($A$6:A492),'계산도우미'!$L$5:$L$2004,0)),"")</x:f>
      </x:c>
      <x:c r="G492" s="68" t="str">
        <x:f>IFERROR(INDEX('계산도우미'!$G$5:$G$2004,MATCH(ROWS($A$6:A492),'계산도우미'!$L$5:$L$2004,0)),"")</x:f>
      </x:c>
      <x:c r="H492" t="str">
        <x:f>IFERROR(INDEX('계산도우미'!$H$5:$H$2004,MATCH(ROWS($A$6:A492),'계산도우미'!$L$5:$L$2004,0)),"")</x:f>
      </x:c>
      <x:c r="I492" t="str">
        <x:f>IFERROR(INDEX('계산도우미'!$I$5:$I$2004,MATCH(ROWS($A$6:A492),'계산도우미'!$L$5:$L$2004,0)),"")</x:f>
      </x:c>
      <x:c r="J492" t="str">
        <x:f>IFERROR(INDEX('계산도우미'!$J$5:$J$2004,MATCH(ROWS($A$6:A492),'계산도우미'!$L$5:$L$2004,0)),"")</x:f>
      </x:c>
      <x:c r="K492" t="str">
        <x:f>IF(B492="","",IF(I492="확인 필요","붙임 문서 확인 후 거래 성격·기간·상대방·일회성 여부 확인","결의서명과 전기 대비 발생 건수·단가·시점 차이 검토"))</x:f>
      </x:c>
    </x:row>
    <x:row r="493">
      <x:c r="A493" t="str">
        <x:f>IFERROR(INDEX('계산도우미'!$A$5:$A$2004,MATCH(ROWS($A$6:A493),'계산도우미'!$L$5:$L$2004,0)),"")</x:f>
      </x:c>
      <x:c r="B493" t="str">
        <x:f>IFERROR(INDEX('계산도우미'!$B$5:$B$2004,MATCH(ROWS($A$6:A493),'계산도우미'!$L$5:$L$2004,0)),"")</x:f>
      </x:c>
      <x:c r="C493" t="str">
        <x:f>IFERROR(INDEX('계산도우미'!$C$5:$C$2004,MATCH(ROWS($A$6:A493),'계산도우미'!$L$5:$L$2004,0)),"")</x:f>
      </x:c>
      <x:c r="D493" s="67" t="str">
        <x:f>IFERROR(INDEX('계산도우미'!$D$5:$D$2004,MATCH(ROWS($A$6:A493),'계산도우미'!$L$5:$L$2004,0)),"")</x:f>
      </x:c>
      <x:c r="E493" t="str">
        <x:f>IFERROR(INDEX('계산도우미'!$E$5:$E$2004,MATCH(ROWS($A$6:A493),'계산도우미'!$L$5:$L$2004,0)),"")</x:f>
      </x:c>
      <x:c r="F493" t="str">
        <x:f>IFERROR(INDEX('계산도우미'!$F$5:$F$2004,MATCH(ROWS($A$6:A493),'계산도우미'!$L$5:$L$2004,0)),"")</x:f>
      </x:c>
      <x:c r="G493" s="68" t="str">
        <x:f>IFERROR(INDEX('계산도우미'!$G$5:$G$2004,MATCH(ROWS($A$6:A493),'계산도우미'!$L$5:$L$2004,0)),"")</x:f>
      </x:c>
      <x:c r="H493" t="str">
        <x:f>IFERROR(INDEX('계산도우미'!$H$5:$H$2004,MATCH(ROWS($A$6:A493),'계산도우미'!$L$5:$L$2004,0)),"")</x:f>
      </x:c>
      <x:c r="I493" t="str">
        <x:f>IFERROR(INDEX('계산도우미'!$I$5:$I$2004,MATCH(ROWS($A$6:A493),'계산도우미'!$L$5:$L$2004,0)),"")</x:f>
      </x:c>
      <x:c r="J493" t="str">
        <x:f>IFERROR(INDEX('계산도우미'!$J$5:$J$2004,MATCH(ROWS($A$6:A493),'계산도우미'!$L$5:$L$2004,0)),"")</x:f>
      </x:c>
      <x:c r="K493" t="str">
        <x:f>IF(B493="","",IF(I493="확인 필요","붙임 문서 확인 후 거래 성격·기간·상대방·일회성 여부 확인","결의서명과 전기 대비 발생 건수·단가·시점 차이 검토"))</x:f>
      </x:c>
    </x:row>
    <x:row r="494">
      <x:c r="A494" t="str">
        <x:f>IFERROR(INDEX('계산도우미'!$A$5:$A$2004,MATCH(ROWS($A$6:A494),'계산도우미'!$L$5:$L$2004,0)),"")</x:f>
      </x:c>
      <x:c r="B494" t="str">
        <x:f>IFERROR(INDEX('계산도우미'!$B$5:$B$2004,MATCH(ROWS($A$6:A494),'계산도우미'!$L$5:$L$2004,0)),"")</x:f>
      </x:c>
      <x:c r="C494" t="str">
        <x:f>IFERROR(INDEX('계산도우미'!$C$5:$C$2004,MATCH(ROWS($A$6:A494),'계산도우미'!$L$5:$L$2004,0)),"")</x:f>
      </x:c>
      <x:c r="D494" s="67" t="str">
        <x:f>IFERROR(INDEX('계산도우미'!$D$5:$D$2004,MATCH(ROWS($A$6:A494),'계산도우미'!$L$5:$L$2004,0)),"")</x:f>
      </x:c>
      <x:c r="E494" t="str">
        <x:f>IFERROR(INDEX('계산도우미'!$E$5:$E$2004,MATCH(ROWS($A$6:A494),'계산도우미'!$L$5:$L$2004,0)),"")</x:f>
      </x:c>
      <x:c r="F494" t="str">
        <x:f>IFERROR(INDEX('계산도우미'!$F$5:$F$2004,MATCH(ROWS($A$6:A494),'계산도우미'!$L$5:$L$2004,0)),"")</x:f>
      </x:c>
      <x:c r="G494" s="68" t="str">
        <x:f>IFERROR(INDEX('계산도우미'!$G$5:$G$2004,MATCH(ROWS($A$6:A494),'계산도우미'!$L$5:$L$2004,0)),"")</x:f>
      </x:c>
      <x:c r="H494" t="str">
        <x:f>IFERROR(INDEX('계산도우미'!$H$5:$H$2004,MATCH(ROWS($A$6:A494),'계산도우미'!$L$5:$L$2004,0)),"")</x:f>
      </x:c>
      <x:c r="I494" t="str">
        <x:f>IFERROR(INDEX('계산도우미'!$I$5:$I$2004,MATCH(ROWS($A$6:A494),'계산도우미'!$L$5:$L$2004,0)),"")</x:f>
      </x:c>
      <x:c r="J494" t="str">
        <x:f>IFERROR(INDEX('계산도우미'!$J$5:$J$2004,MATCH(ROWS($A$6:A494),'계산도우미'!$L$5:$L$2004,0)),"")</x:f>
      </x:c>
      <x:c r="K494" t="str">
        <x:f>IF(B494="","",IF(I494="확인 필요","붙임 문서 확인 후 거래 성격·기간·상대방·일회성 여부 확인","결의서명과 전기 대비 발생 건수·단가·시점 차이 검토"))</x:f>
      </x:c>
    </x:row>
    <x:row r="495">
      <x:c r="A495" t="str">
        <x:f>IFERROR(INDEX('계산도우미'!$A$5:$A$2004,MATCH(ROWS($A$6:A495),'계산도우미'!$L$5:$L$2004,0)),"")</x:f>
      </x:c>
      <x:c r="B495" t="str">
        <x:f>IFERROR(INDEX('계산도우미'!$B$5:$B$2004,MATCH(ROWS($A$6:A495),'계산도우미'!$L$5:$L$2004,0)),"")</x:f>
      </x:c>
      <x:c r="C495" t="str">
        <x:f>IFERROR(INDEX('계산도우미'!$C$5:$C$2004,MATCH(ROWS($A$6:A495),'계산도우미'!$L$5:$L$2004,0)),"")</x:f>
      </x:c>
      <x:c r="D495" s="67" t="str">
        <x:f>IFERROR(INDEX('계산도우미'!$D$5:$D$2004,MATCH(ROWS($A$6:A495),'계산도우미'!$L$5:$L$2004,0)),"")</x:f>
      </x:c>
      <x:c r="E495" t="str">
        <x:f>IFERROR(INDEX('계산도우미'!$E$5:$E$2004,MATCH(ROWS($A$6:A495),'계산도우미'!$L$5:$L$2004,0)),"")</x:f>
      </x:c>
      <x:c r="F495" t="str">
        <x:f>IFERROR(INDEX('계산도우미'!$F$5:$F$2004,MATCH(ROWS($A$6:A495),'계산도우미'!$L$5:$L$2004,0)),"")</x:f>
      </x:c>
      <x:c r="G495" s="68" t="str">
        <x:f>IFERROR(INDEX('계산도우미'!$G$5:$G$2004,MATCH(ROWS($A$6:A495),'계산도우미'!$L$5:$L$2004,0)),"")</x:f>
      </x:c>
      <x:c r="H495" t="str">
        <x:f>IFERROR(INDEX('계산도우미'!$H$5:$H$2004,MATCH(ROWS($A$6:A495),'계산도우미'!$L$5:$L$2004,0)),"")</x:f>
      </x:c>
      <x:c r="I495" t="str">
        <x:f>IFERROR(INDEX('계산도우미'!$I$5:$I$2004,MATCH(ROWS($A$6:A495),'계산도우미'!$L$5:$L$2004,0)),"")</x:f>
      </x:c>
      <x:c r="J495" t="str">
        <x:f>IFERROR(INDEX('계산도우미'!$J$5:$J$2004,MATCH(ROWS($A$6:A495),'계산도우미'!$L$5:$L$2004,0)),"")</x:f>
      </x:c>
      <x:c r="K495" t="str">
        <x:f>IF(B495="","",IF(I495="확인 필요","붙임 문서 확인 후 거래 성격·기간·상대방·일회성 여부 확인","결의서명과 전기 대비 발생 건수·단가·시점 차이 검토"))</x:f>
      </x:c>
    </x:row>
    <x:row r="496">
      <x:c r="A496" t="str">
        <x:f>IFERROR(INDEX('계산도우미'!$A$5:$A$2004,MATCH(ROWS($A$6:A496),'계산도우미'!$L$5:$L$2004,0)),"")</x:f>
      </x:c>
      <x:c r="B496" t="str">
        <x:f>IFERROR(INDEX('계산도우미'!$B$5:$B$2004,MATCH(ROWS($A$6:A496),'계산도우미'!$L$5:$L$2004,0)),"")</x:f>
      </x:c>
      <x:c r="C496" t="str">
        <x:f>IFERROR(INDEX('계산도우미'!$C$5:$C$2004,MATCH(ROWS($A$6:A496),'계산도우미'!$L$5:$L$2004,0)),"")</x:f>
      </x:c>
      <x:c r="D496" s="67" t="str">
        <x:f>IFERROR(INDEX('계산도우미'!$D$5:$D$2004,MATCH(ROWS($A$6:A496),'계산도우미'!$L$5:$L$2004,0)),"")</x:f>
      </x:c>
      <x:c r="E496" t="str">
        <x:f>IFERROR(INDEX('계산도우미'!$E$5:$E$2004,MATCH(ROWS($A$6:A496),'계산도우미'!$L$5:$L$2004,0)),"")</x:f>
      </x:c>
      <x:c r="F496" t="str">
        <x:f>IFERROR(INDEX('계산도우미'!$F$5:$F$2004,MATCH(ROWS($A$6:A496),'계산도우미'!$L$5:$L$2004,0)),"")</x:f>
      </x:c>
      <x:c r="G496" s="68" t="str">
        <x:f>IFERROR(INDEX('계산도우미'!$G$5:$G$2004,MATCH(ROWS($A$6:A496),'계산도우미'!$L$5:$L$2004,0)),"")</x:f>
      </x:c>
      <x:c r="H496" t="str">
        <x:f>IFERROR(INDEX('계산도우미'!$H$5:$H$2004,MATCH(ROWS($A$6:A496),'계산도우미'!$L$5:$L$2004,0)),"")</x:f>
      </x:c>
      <x:c r="I496" t="str">
        <x:f>IFERROR(INDEX('계산도우미'!$I$5:$I$2004,MATCH(ROWS($A$6:A496),'계산도우미'!$L$5:$L$2004,0)),"")</x:f>
      </x:c>
      <x:c r="J496" t="str">
        <x:f>IFERROR(INDEX('계산도우미'!$J$5:$J$2004,MATCH(ROWS($A$6:A496),'계산도우미'!$L$5:$L$2004,0)),"")</x:f>
      </x:c>
      <x:c r="K496" t="str">
        <x:f>IF(B496="","",IF(I496="확인 필요","붙임 문서 확인 후 거래 성격·기간·상대방·일회성 여부 확인","결의서명과 전기 대비 발생 건수·단가·시점 차이 검토"))</x:f>
      </x:c>
    </x:row>
    <x:row r="497">
      <x:c r="A497" t="str">
        <x:f>IFERROR(INDEX('계산도우미'!$A$5:$A$2004,MATCH(ROWS($A$6:A497),'계산도우미'!$L$5:$L$2004,0)),"")</x:f>
      </x:c>
      <x:c r="B497" t="str">
        <x:f>IFERROR(INDEX('계산도우미'!$B$5:$B$2004,MATCH(ROWS($A$6:A497),'계산도우미'!$L$5:$L$2004,0)),"")</x:f>
      </x:c>
      <x:c r="C497" t="str">
        <x:f>IFERROR(INDEX('계산도우미'!$C$5:$C$2004,MATCH(ROWS($A$6:A497),'계산도우미'!$L$5:$L$2004,0)),"")</x:f>
      </x:c>
      <x:c r="D497" s="67" t="str">
        <x:f>IFERROR(INDEX('계산도우미'!$D$5:$D$2004,MATCH(ROWS($A$6:A497),'계산도우미'!$L$5:$L$2004,0)),"")</x:f>
      </x:c>
      <x:c r="E497" t="str">
        <x:f>IFERROR(INDEX('계산도우미'!$E$5:$E$2004,MATCH(ROWS($A$6:A497),'계산도우미'!$L$5:$L$2004,0)),"")</x:f>
      </x:c>
      <x:c r="F497" t="str">
        <x:f>IFERROR(INDEX('계산도우미'!$F$5:$F$2004,MATCH(ROWS($A$6:A497),'계산도우미'!$L$5:$L$2004,0)),"")</x:f>
      </x:c>
      <x:c r="G497" s="68" t="str">
        <x:f>IFERROR(INDEX('계산도우미'!$G$5:$G$2004,MATCH(ROWS($A$6:A497),'계산도우미'!$L$5:$L$2004,0)),"")</x:f>
      </x:c>
      <x:c r="H497" t="str">
        <x:f>IFERROR(INDEX('계산도우미'!$H$5:$H$2004,MATCH(ROWS($A$6:A497),'계산도우미'!$L$5:$L$2004,0)),"")</x:f>
      </x:c>
      <x:c r="I497" t="str">
        <x:f>IFERROR(INDEX('계산도우미'!$I$5:$I$2004,MATCH(ROWS($A$6:A497),'계산도우미'!$L$5:$L$2004,0)),"")</x:f>
      </x:c>
      <x:c r="J497" t="str">
        <x:f>IFERROR(INDEX('계산도우미'!$J$5:$J$2004,MATCH(ROWS($A$6:A497),'계산도우미'!$L$5:$L$2004,0)),"")</x:f>
      </x:c>
      <x:c r="K497" t="str">
        <x:f>IF(B497="","",IF(I497="확인 필요","붙임 문서 확인 후 거래 성격·기간·상대방·일회성 여부 확인","결의서명과 전기 대비 발생 건수·단가·시점 차이 검토"))</x:f>
      </x:c>
    </x:row>
    <x:row r="498">
      <x:c r="A498" t="str">
        <x:f>IFERROR(INDEX('계산도우미'!$A$5:$A$2004,MATCH(ROWS($A$6:A498),'계산도우미'!$L$5:$L$2004,0)),"")</x:f>
      </x:c>
      <x:c r="B498" t="str">
        <x:f>IFERROR(INDEX('계산도우미'!$B$5:$B$2004,MATCH(ROWS($A$6:A498),'계산도우미'!$L$5:$L$2004,0)),"")</x:f>
      </x:c>
      <x:c r="C498" t="str">
        <x:f>IFERROR(INDEX('계산도우미'!$C$5:$C$2004,MATCH(ROWS($A$6:A498),'계산도우미'!$L$5:$L$2004,0)),"")</x:f>
      </x:c>
      <x:c r="D498" s="67" t="str">
        <x:f>IFERROR(INDEX('계산도우미'!$D$5:$D$2004,MATCH(ROWS($A$6:A498),'계산도우미'!$L$5:$L$2004,0)),"")</x:f>
      </x:c>
      <x:c r="E498" t="str">
        <x:f>IFERROR(INDEX('계산도우미'!$E$5:$E$2004,MATCH(ROWS($A$6:A498),'계산도우미'!$L$5:$L$2004,0)),"")</x:f>
      </x:c>
      <x:c r="F498" t="str">
        <x:f>IFERROR(INDEX('계산도우미'!$F$5:$F$2004,MATCH(ROWS($A$6:A498),'계산도우미'!$L$5:$L$2004,0)),"")</x:f>
      </x:c>
      <x:c r="G498" s="68" t="str">
        <x:f>IFERROR(INDEX('계산도우미'!$G$5:$G$2004,MATCH(ROWS($A$6:A498),'계산도우미'!$L$5:$L$2004,0)),"")</x:f>
      </x:c>
      <x:c r="H498" t="str">
        <x:f>IFERROR(INDEX('계산도우미'!$H$5:$H$2004,MATCH(ROWS($A$6:A498),'계산도우미'!$L$5:$L$2004,0)),"")</x:f>
      </x:c>
      <x:c r="I498" t="str">
        <x:f>IFERROR(INDEX('계산도우미'!$I$5:$I$2004,MATCH(ROWS($A$6:A498),'계산도우미'!$L$5:$L$2004,0)),"")</x:f>
      </x:c>
      <x:c r="J498" t="str">
        <x:f>IFERROR(INDEX('계산도우미'!$J$5:$J$2004,MATCH(ROWS($A$6:A498),'계산도우미'!$L$5:$L$2004,0)),"")</x:f>
      </x:c>
      <x:c r="K498" t="str">
        <x:f>IF(B498="","",IF(I498="확인 필요","붙임 문서 확인 후 거래 성격·기간·상대방·일회성 여부 확인","결의서명과 전기 대비 발생 건수·단가·시점 차이 검토"))</x:f>
      </x:c>
    </x:row>
    <x:row r="499">
      <x:c r="A499" t="str">
        <x:f>IFERROR(INDEX('계산도우미'!$A$5:$A$2004,MATCH(ROWS($A$6:A499),'계산도우미'!$L$5:$L$2004,0)),"")</x:f>
      </x:c>
      <x:c r="B499" t="str">
        <x:f>IFERROR(INDEX('계산도우미'!$B$5:$B$2004,MATCH(ROWS($A$6:A499),'계산도우미'!$L$5:$L$2004,0)),"")</x:f>
      </x:c>
      <x:c r="C499" t="str">
        <x:f>IFERROR(INDEX('계산도우미'!$C$5:$C$2004,MATCH(ROWS($A$6:A499),'계산도우미'!$L$5:$L$2004,0)),"")</x:f>
      </x:c>
      <x:c r="D499" s="67" t="str">
        <x:f>IFERROR(INDEX('계산도우미'!$D$5:$D$2004,MATCH(ROWS($A$6:A499),'계산도우미'!$L$5:$L$2004,0)),"")</x:f>
      </x:c>
      <x:c r="E499" t="str">
        <x:f>IFERROR(INDEX('계산도우미'!$E$5:$E$2004,MATCH(ROWS($A$6:A499),'계산도우미'!$L$5:$L$2004,0)),"")</x:f>
      </x:c>
      <x:c r="F499" t="str">
        <x:f>IFERROR(INDEX('계산도우미'!$F$5:$F$2004,MATCH(ROWS($A$6:A499),'계산도우미'!$L$5:$L$2004,0)),"")</x:f>
      </x:c>
      <x:c r="G499" s="68" t="str">
        <x:f>IFERROR(INDEX('계산도우미'!$G$5:$G$2004,MATCH(ROWS($A$6:A499),'계산도우미'!$L$5:$L$2004,0)),"")</x:f>
      </x:c>
      <x:c r="H499" t="str">
        <x:f>IFERROR(INDEX('계산도우미'!$H$5:$H$2004,MATCH(ROWS($A$6:A499),'계산도우미'!$L$5:$L$2004,0)),"")</x:f>
      </x:c>
      <x:c r="I499" t="str">
        <x:f>IFERROR(INDEX('계산도우미'!$I$5:$I$2004,MATCH(ROWS($A$6:A499),'계산도우미'!$L$5:$L$2004,0)),"")</x:f>
      </x:c>
      <x:c r="J499" t="str">
        <x:f>IFERROR(INDEX('계산도우미'!$J$5:$J$2004,MATCH(ROWS($A$6:A499),'계산도우미'!$L$5:$L$2004,0)),"")</x:f>
      </x:c>
      <x:c r="K499" t="str">
        <x:f>IF(B499="","",IF(I499="확인 필요","붙임 문서 확인 후 거래 성격·기간·상대방·일회성 여부 확인","결의서명과 전기 대비 발생 건수·단가·시점 차이 검토"))</x:f>
      </x:c>
    </x:row>
    <x:row r="500">
      <x:c r="A500" t="str">
        <x:f>IFERROR(INDEX('계산도우미'!$A$5:$A$2004,MATCH(ROWS($A$6:A500),'계산도우미'!$L$5:$L$2004,0)),"")</x:f>
      </x:c>
      <x:c r="B500" t="str">
        <x:f>IFERROR(INDEX('계산도우미'!$B$5:$B$2004,MATCH(ROWS($A$6:A500),'계산도우미'!$L$5:$L$2004,0)),"")</x:f>
      </x:c>
      <x:c r="C500" t="str">
        <x:f>IFERROR(INDEX('계산도우미'!$C$5:$C$2004,MATCH(ROWS($A$6:A500),'계산도우미'!$L$5:$L$2004,0)),"")</x:f>
      </x:c>
      <x:c r="D500" s="67" t="str">
        <x:f>IFERROR(INDEX('계산도우미'!$D$5:$D$2004,MATCH(ROWS($A$6:A500),'계산도우미'!$L$5:$L$2004,0)),"")</x:f>
      </x:c>
      <x:c r="E500" t="str">
        <x:f>IFERROR(INDEX('계산도우미'!$E$5:$E$2004,MATCH(ROWS($A$6:A500),'계산도우미'!$L$5:$L$2004,0)),"")</x:f>
      </x:c>
      <x:c r="F500" t="str">
        <x:f>IFERROR(INDEX('계산도우미'!$F$5:$F$2004,MATCH(ROWS($A$6:A500),'계산도우미'!$L$5:$L$2004,0)),"")</x:f>
      </x:c>
      <x:c r="G500" s="68" t="str">
        <x:f>IFERROR(INDEX('계산도우미'!$G$5:$G$2004,MATCH(ROWS($A$6:A500),'계산도우미'!$L$5:$L$2004,0)),"")</x:f>
      </x:c>
      <x:c r="H500" t="str">
        <x:f>IFERROR(INDEX('계산도우미'!$H$5:$H$2004,MATCH(ROWS($A$6:A500),'계산도우미'!$L$5:$L$2004,0)),"")</x:f>
      </x:c>
      <x:c r="I500" t="str">
        <x:f>IFERROR(INDEX('계산도우미'!$I$5:$I$2004,MATCH(ROWS($A$6:A500),'계산도우미'!$L$5:$L$2004,0)),"")</x:f>
      </x:c>
      <x:c r="J500" t="str">
        <x:f>IFERROR(INDEX('계산도우미'!$J$5:$J$2004,MATCH(ROWS($A$6:A500),'계산도우미'!$L$5:$L$2004,0)),"")</x:f>
      </x:c>
      <x:c r="K500" t="str">
        <x:f>IF(B500="","",IF(I500="확인 필요","붙임 문서 확인 후 거래 성격·기간·상대방·일회성 여부 확인","결의서명과 전기 대비 발생 건수·단가·시점 차이 검토"))</x:f>
      </x:c>
    </x:row>
    <x:row r="501">
      <x:c r="A501" t="str">
        <x:f>IFERROR(INDEX('계산도우미'!$A$5:$A$2004,MATCH(ROWS($A$6:A501),'계산도우미'!$L$5:$L$2004,0)),"")</x:f>
      </x:c>
      <x:c r="B501" t="str">
        <x:f>IFERROR(INDEX('계산도우미'!$B$5:$B$2004,MATCH(ROWS($A$6:A501),'계산도우미'!$L$5:$L$2004,0)),"")</x:f>
      </x:c>
      <x:c r="C501" t="str">
        <x:f>IFERROR(INDEX('계산도우미'!$C$5:$C$2004,MATCH(ROWS($A$6:A501),'계산도우미'!$L$5:$L$2004,0)),"")</x:f>
      </x:c>
      <x:c r="D501" s="67" t="str">
        <x:f>IFERROR(INDEX('계산도우미'!$D$5:$D$2004,MATCH(ROWS($A$6:A501),'계산도우미'!$L$5:$L$2004,0)),"")</x:f>
      </x:c>
      <x:c r="E501" t="str">
        <x:f>IFERROR(INDEX('계산도우미'!$E$5:$E$2004,MATCH(ROWS($A$6:A501),'계산도우미'!$L$5:$L$2004,0)),"")</x:f>
      </x:c>
      <x:c r="F501" t="str">
        <x:f>IFERROR(INDEX('계산도우미'!$F$5:$F$2004,MATCH(ROWS($A$6:A501),'계산도우미'!$L$5:$L$2004,0)),"")</x:f>
      </x:c>
      <x:c r="G501" s="68" t="str">
        <x:f>IFERROR(INDEX('계산도우미'!$G$5:$G$2004,MATCH(ROWS($A$6:A501),'계산도우미'!$L$5:$L$2004,0)),"")</x:f>
      </x:c>
      <x:c r="H501" t="str">
        <x:f>IFERROR(INDEX('계산도우미'!$H$5:$H$2004,MATCH(ROWS($A$6:A501),'계산도우미'!$L$5:$L$2004,0)),"")</x:f>
      </x:c>
      <x:c r="I501" t="str">
        <x:f>IFERROR(INDEX('계산도우미'!$I$5:$I$2004,MATCH(ROWS($A$6:A501),'계산도우미'!$L$5:$L$2004,0)),"")</x:f>
      </x:c>
      <x:c r="J501" t="str">
        <x:f>IFERROR(INDEX('계산도우미'!$J$5:$J$2004,MATCH(ROWS($A$6:A501),'계산도우미'!$L$5:$L$2004,0)),"")</x:f>
      </x:c>
      <x:c r="K501" t="str">
        <x:f>IF(B501="","",IF(I501="확인 필요","붙임 문서 확인 후 거래 성격·기간·상대방·일회성 여부 확인","결의서명과 전기 대비 발생 건수·단가·시점 차이 검토"))</x:f>
      </x:c>
    </x:row>
    <x:row r="502">
      <x:c r="A502" t="str">
        <x:f>IFERROR(INDEX('계산도우미'!$A$5:$A$2004,MATCH(ROWS($A$6:A502),'계산도우미'!$L$5:$L$2004,0)),"")</x:f>
      </x:c>
      <x:c r="B502" t="str">
        <x:f>IFERROR(INDEX('계산도우미'!$B$5:$B$2004,MATCH(ROWS($A$6:A502),'계산도우미'!$L$5:$L$2004,0)),"")</x:f>
      </x:c>
      <x:c r="C502" t="str">
        <x:f>IFERROR(INDEX('계산도우미'!$C$5:$C$2004,MATCH(ROWS($A$6:A502),'계산도우미'!$L$5:$L$2004,0)),"")</x:f>
      </x:c>
      <x:c r="D502" s="67" t="str">
        <x:f>IFERROR(INDEX('계산도우미'!$D$5:$D$2004,MATCH(ROWS($A$6:A502),'계산도우미'!$L$5:$L$2004,0)),"")</x:f>
      </x:c>
      <x:c r="E502" t="str">
        <x:f>IFERROR(INDEX('계산도우미'!$E$5:$E$2004,MATCH(ROWS($A$6:A502),'계산도우미'!$L$5:$L$2004,0)),"")</x:f>
      </x:c>
      <x:c r="F502" t="str">
        <x:f>IFERROR(INDEX('계산도우미'!$F$5:$F$2004,MATCH(ROWS($A$6:A502),'계산도우미'!$L$5:$L$2004,0)),"")</x:f>
      </x:c>
      <x:c r="G502" s="68" t="str">
        <x:f>IFERROR(INDEX('계산도우미'!$G$5:$G$2004,MATCH(ROWS($A$6:A502),'계산도우미'!$L$5:$L$2004,0)),"")</x:f>
      </x:c>
      <x:c r="H502" t="str">
        <x:f>IFERROR(INDEX('계산도우미'!$H$5:$H$2004,MATCH(ROWS($A$6:A502),'계산도우미'!$L$5:$L$2004,0)),"")</x:f>
      </x:c>
      <x:c r="I502" t="str">
        <x:f>IFERROR(INDEX('계산도우미'!$I$5:$I$2004,MATCH(ROWS($A$6:A502),'계산도우미'!$L$5:$L$2004,0)),"")</x:f>
      </x:c>
      <x:c r="J502" t="str">
        <x:f>IFERROR(INDEX('계산도우미'!$J$5:$J$2004,MATCH(ROWS($A$6:A502),'계산도우미'!$L$5:$L$2004,0)),"")</x:f>
      </x:c>
      <x:c r="K502" t="str">
        <x:f>IF(B502="","",IF(I502="확인 필요","붙임 문서 확인 후 거래 성격·기간·상대방·일회성 여부 확인","결의서명과 전기 대비 발생 건수·단가·시점 차이 검토"))</x:f>
      </x:c>
    </x:row>
    <x:row r="503">
      <x:c r="A503" t="str">
        <x:f>IFERROR(INDEX('계산도우미'!$A$5:$A$2004,MATCH(ROWS($A$6:A503),'계산도우미'!$L$5:$L$2004,0)),"")</x:f>
      </x:c>
      <x:c r="B503" t="str">
        <x:f>IFERROR(INDEX('계산도우미'!$B$5:$B$2004,MATCH(ROWS($A$6:A503),'계산도우미'!$L$5:$L$2004,0)),"")</x:f>
      </x:c>
      <x:c r="C503" t="str">
        <x:f>IFERROR(INDEX('계산도우미'!$C$5:$C$2004,MATCH(ROWS($A$6:A503),'계산도우미'!$L$5:$L$2004,0)),"")</x:f>
      </x:c>
      <x:c r="D503" s="67" t="str">
        <x:f>IFERROR(INDEX('계산도우미'!$D$5:$D$2004,MATCH(ROWS($A$6:A503),'계산도우미'!$L$5:$L$2004,0)),"")</x:f>
      </x:c>
      <x:c r="E503" t="str">
        <x:f>IFERROR(INDEX('계산도우미'!$E$5:$E$2004,MATCH(ROWS($A$6:A503),'계산도우미'!$L$5:$L$2004,0)),"")</x:f>
      </x:c>
      <x:c r="F503" t="str">
        <x:f>IFERROR(INDEX('계산도우미'!$F$5:$F$2004,MATCH(ROWS($A$6:A503),'계산도우미'!$L$5:$L$2004,0)),"")</x:f>
      </x:c>
      <x:c r="G503" s="68" t="str">
        <x:f>IFERROR(INDEX('계산도우미'!$G$5:$G$2004,MATCH(ROWS($A$6:A503),'계산도우미'!$L$5:$L$2004,0)),"")</x:f>
      </x:c>
      <x:c r="H503" t="str">
        <x:f>IFERROR(INDEX('계산도우미'!$H$5:$H$2004,MATCH(ROWS($A$6:A503),'계산도우미'!$L$5:$L$2004,0)),"")</x:f>
      </x:c>
      <x:c r="I503" t="str">
        <x:f>IFERROR(INDEX('계산도우미'!$I$5:$I$2004,MATCH(ROWS($A$6:A503),'계산도우미'!$L$5:$L$2004,0)),"")</x:f>
      </x:c>
      <x:c r="J503" t="str">
        <x:f>IFERROR(INDEX('계산도우미'!$J$5:$J$2004,MATCH(ROWS($A$6:A503),'계산도우미'!$L$5:$L$2004,0)),"")</x:f>
      </x:c>
      <x:c r="K503" t="str">
        <x:f>IF(B503="","",IF(I503="확인 필요","붙임 문서 확인 후 거래 성격·기간·상대방·일회성 여부 확인","결의서명과 전기 대비 발생 건수·단가·시점 차이 검토"))</x:f>
      </x:c>
    </x:row>
    <x:row r="504">
      <x:c r="A504" t="str">
        <x:f>IFERROR(INDEX('계산도우미'!$A$5:$A$2004,MATCH(ROWS($A$6:A504),'계산도우미'!$L$5:$L$2004,0)),"")</x:f>
      </x:c>
      <x:c r="B504" t="str">
        <x:f>IFERROR(INDEX('계산도우미'!$B$5:$B$2004,MATCH(ROWS($A$6:A504),'계산도우미'!$L$5:$L$2004,0)),"")</x:f>
      </x:c>
      <x:c r="C504" t="str">
        <x:f>IFERROR(INDEX('계산도우미'!$C$5:$C$2004,MATCH(ROWS($A$6:A504),'계산도우미'!$L$5:$L$2004,0)),"")</x:f>
      </x:c>
      <x:c r="D504" s="67" t="str">
        <x:f>IFERROR(INDEX('계산도우미'!$D$5:$D$2004,MATCH(ROWS($A$6:A504),'계산도우미'!$L$5:$L$2004,0)),"")</x:f>
      </x:c>
      <x:c r="E504" t="str">
        <x:f>IFERROR(INDEX('계산도우미'!$E$5:$E$2004,MATCH(ROWS($A$6:A504),'계산도우미'!$L$5:$L$2004,0)),"")</x:f>
      </x:c>
      <x:c r="F504" t="str">
        <x:f>IFERROR(INDEX('계산도우미'!$F$5:$F$2004,MATCH(ROWS($A$6:A504),'계산도우미'!$L$5:$L$2004,0)),"")</x:f>
      </x:c>
      <x:c r="G504" s="68" t="str">
        <x:f>IFERROR(INDEX('계산도우미'!$G$5:$G$2004,MATCH(ROWS($A$6:A504),'계산도우미'!$L$5:$L$2004,0)),"")</x:f>
      </x:c>
      <x:c r="H504" t="str">
        <x:f>IFERROR(INDEX('계산도우미'!$H$5:$H$2004,MATCH(ROWS($A$6:A504),'계산도우미'!$L$5:$L$2004,0)),"")</x:f>
      </x:c>
      <x:c r="I504" t="str">
        <x:f>IFERROR(INDEX('계산도우미'!$I$5:$I$2004,MATCH(ROWS($A$6:A504),'계산도우미'!$L$5:$L$2004,0)),"")</x:f>
      </x:c>
      <x:c r="J504" t="str">
        <x:f>IFERROR(INDEX('계산도우미'!$J$5:$J$2004,MATCH(ROWS($A$6:A504),'계산도우미'!$L$5:$L$2004,0)),"")</x:f>
      </x:c>
      <x:c r="K504" t="str">
        <x:f>IF(B504="","",IF(I504="확인 필요","붙임 문서 확인 후 거래 성격·기간·상대방·일회성 여부 확인","결의서명과 전기 대비 발생 건수·단가·시점 차이 검토"))</x:f>
      </x:c>
    </x:row>
    <x:row r="505">
      <x:c r="A505" t="str">
        <x:f>IFERROR(INDEX('계산도우미'!$A$5:$A$2004,MATCH(ROWS($A$6:A505),'계산도우미'!$L$5:$L$2004,0)),"")</x:f>
      </x:c>
      <x:c r="B505" t="str">
        <x:f>IFERROR(INDEX('계산도우미'!$B$5:$B$2004,MATCH(ROWS($A$6:A505),'계산도우미'!$L$5:$L$2004,0)),"")</x:f>
      </x:c>
      <x:c r="C505" t="str">
        <x:f>IFERROR(INDEX('계산도우미'!$C$5:$C$2004,MATCH(ROWS($A$6:A505),'계산도우미'!$L$5:$L$2004,0)),"")</x:f>
      </x:c>
      <x:c r="D505" s="67" t="str">
        <x:f>IFERROR(INDEX('계산도우미'!$D$5:$D$2004,MATCH(ROWS($A$6:A505),'계산도우미'!$L$5:$L$2004,0)),"")</x:f>
      </x:c>
      <x:c r="E505" t="str">
        <x:f>IFERROR(INDEX('계산도우미'!$E$5:$E$2004,MATCH(ROWS($A$6:A505),'계산도우미'!$L$5:$L$2004,0)),"")</x:f>
      </x:c>
      <x:c r="F505" t="str">
        <x:f>IFERROR(INDEX('계산도우미'!$F$5:$F$2004,MATCH(ROWS($A$6:A505),'계산도우미'!$L$5:$L$2004,0)),"")</x:f>
      </x:c>
      <x:c r="G505" s="68" t="str">
        <x:f>IFERROR(INDEX('계산도우미'!$G$5:$G$2004,MATCH(ROWS($A$6:A505),'계산도우미'!$L$5:$L$2004,0)),"")</x:f>
      </x:c>
      <x:c r="H505" t="str">
        <x:f>IFERROR(INDEX('계산도우미'!$H$5:$H$2004,MATCH(ROWS($A$6:A505),'계산도우미'!$L$5:$L$2004,0)),"")</x:f>
      </x:c>
      <x:c r="I505" t="str">
        <x:f>IFERROR(INDEX('계산도우미'!$I$5:$I$2004,MATCH(ROWS($A$6:A505),'계산도우미'!$L$5:$L$2004,0)),"")</x:f>
      </x:c>
      <x:c r="J505" t="str">
        <x:f>IFERROR(INDEX('계산도우미'!$J$5:$J$2004,MATCH(ROWS($A$6:A505),'계산도우미'!$L$5:$L$2004,0)),"")</x:f>
      </x:c>
      <x:c r="K505" t="str">
        <x:f>IF(B505="","",IF(I505="확인 필요","붙임 문서 확인 후 거래 성격·기간·상대방·일회성 여부 확인","결의서명과 전기 대비 발생 건수·단가·시점 차이 검토"))</x:f>
      </x:c>
    </x:row>
  </x:sheetData>
  <x:mergeCells>
    <x:mergeCell ref="A1:K1"/>
    <x:mergeCell ref="A3:K3"/>
  </x:mergeCells>
  <x:conditionalFormatting sqref="I6:I505">
    <x:cfRule type="containsText" dxfId="4" priority="1" operator="containsText" text="확인 필요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3" hidden="0" customWidth="1"/>
    <x:col min="3" max="3" width="15" hidden="0" customWidth="1"/>
    <x:col min="4" max="4" width="44" hidden="0" customWidth="1"/>
  </x:cols>
  <x:sheetData>
    <x:row r="1" ht="34" customHeight="1">
      <x:c r="A1" s="4" t="str">
        <x:v>점검 및 통제</x:v>
      </x:c>
      <x:c r="B1" s="4" t="str">
        <x:v>점검 및 통제</x:v>
      </x:c>
      <x:c r="C1" s="4" t="str">
        <x:v>점검 및 통제</x:v>
      </x:c>
      <x:c r="D1" s="4" t="str">
        <x:v>점검 및 통제</x:v>
      </x:c>
      <x:c r="E1" s="4" t="str">
        <x:v>점검 및 통제</x:v>
      </x:c>
      <x:c r="F1" s="4" t="str">
        <x:v>점검 및 통제</x:v>
      </x:c>
    </x:row>
    <x:row r="2">
      <x:c r="A2" s="5" t="str">
        <x:v>분석 결과를 사용하기 전에 아래 상태가 PASS인지 확인하십시오.</x:v>
      </x:c>
    </x:row>
    <x:row r="4">
      <x:c r="A4" s="19" t="str">
        <x:v>MODEL STATUS</x:v>
      </x:c>
      <x:c r="B4" s="94" t="str">
        <x:f>IF(COUNTIF(B8:B13,"FAIL")=0,"PASS","FAIL")</x:f>
        <x:v>FAIL</x:v>
      </x:c>
    </x:row>
    <x:row r="7" ht="30" customHeight="1">
      <x:c r="A7" s="58" t="str">
        <x:v>점검항목</x:v>
      </x:c>
      <x:c r="B7" s="59" t="str">
        <x:v>상태</x:v>
      </x:c>
      <x:c r="C7" s="59" t="str">
        <x:v>수치</x:v>
      </x:c>
      <x:c r="D7" s="60" t="str">
        <x:v>조치</x:v>
      </x:c>
    </x:row>
    <x:row r="8">
      <x:c r="A8" s="35" t="str">
        <x:v>전기 원장 입력 건수</x:v>
      </x:c>
      <x:c r="B8" s="36" t="str">
        <x:f>IF(C8&gt;0,"PASS","FAIL")</x:f>
        <x:v>PASS</x:v>
      </x:c>
      <x:c r="C8" s="36" t="n">
        <x:f>COUNTIF('전기원장'!$A$5:$A$1004,"&lt;&gt;")</x:f>
        <x:v>4</x:v>
      </x:c>
      <x:c r="D8" s="62" t="str">
        <x:v>0건이면 전기원장을 확인</x:v>
      </x:c>
    </x:row>
    <x:row r="9">
      <x:c r="A9" s="35" t="str">
        <x:v>당기 원장 입력 건수</x:v>
      </x:c>
      <x:c r="B9" s="36" t="str">
        <x:f>IF(C9&gt;0,"PASS","FAIL")</x:f>
        <x:v>PASS</x:v>
      </x:c>
      <x:c r="C9" s="36" t="n">
        <x:f>COUNTIF('당기원장'!$A$5:$A$1004,"&lt;&gt;")</x:f>
        <x:v>4</x:v>
      </x:c>
      <x:c r="D9" s="62" t="str">
        <x:v>0건이면 당기원장을 확인</x:v>
      </x:c>
    </x:row>
    <x:row r="10">
      <x:c r="A10" s="35" t="str">
        <x:v>원인분석 대상 계정 수</x:v>
      </x:c>
      <x:c r="B10" s="36" t="str">
        <x:f>IF(C10&gt;=0,"PASS","FAIL")</x:f>
        <x:v>PASS</x:v>
      </x:c>
      <x:c r="C10" s="36" t="n">
        <x:f>COUNTIF('계정비교'!$H$5:$H$1004,"원인분석 대상")</x:f>
        <x:v>4</x:v>
      </x:c>
      <x:c r="D10" s="62" t="str">
        <x:v>대상 계정의 원인 메모 검토</x:v>
      </x:c>
    </x:row>
    <x:row r="11">
      <x:c r="A11" s="35" t="str">
        <x:v>붙임 확인 필요 거래 수</x:v>
      </x:c>
      <x:c r="B11" s="36" t="str">
        <x:f>IF(C11=0,"PASS","FAIL")</x:f>
        <x:v>FAIL</x:v>
      </x:c>
      <x:c r="C11" s="36" t="n">
        <x:f>COUNTIF('전기원장'!$J$5:$J$1004,"확인 필요")+COUNTIF('당기원장'!$J$5:$J$1004,"확인 필요")</x:f>
        <x:v>1</x:v>
      </x:c>
      <x:c r="D11" s="62" t="str">
        <x:v>붙임 문서 확인 후 메모 입력</x:v>
      </x:c>
    </x:row>
    <x:row r="12">
      <x:c r="A12" s="35" t="str">
        <x:v>계정코드 누락 거래</x:v>
      </x:c>
      <x:c r="B12" s="36" t="str">
        <x:f>IF(C12=0,"PASS","FAIL")</x:f>
        <x:v>PASS</x:v>
      </x:c>
      <x:c r="C12" s="36" t="n">
        <x:f>COUNTIFS('전기원장'!$B$5:$B$1004,"&lt;&gt;",'전기원장'!$A$5:$A$1004,"")+COUNTIFS('당기원장'!$B$5:$B$1004,"&lt;&gt;",'당기원장'!$A$5:$A$1004,"")</x:f>
        <x:v>0</x:v>
      </x:c>
      <x:c r="D12" s="62" t="str">
        <x:v>A열 계정코드 보완</x:v>
      </x:c>
    </x:row>
    <x:row r="13">
      <x:c r="A13" s="38" t="str">
        <x:v>계정명 누락 거래</x:v>
      </x:c>
      <x:c r="B13" s="39" t="str">
        <x:f>IF(C13=0,"PASS","FAIL")</x:f>
        <x:v>PASS</x:v>
      </x:c>
      <x:c r="C13" s="39" t="n">
        <x:f>COUNTIFS('전기원장'!$A$5:$A$1004,"&lt;&gt;",'전기원장'!$B$5:$B$1004,"")+COUNTIFS('당기원장'!$A$5:$A$1004,"&lt;&gt;",'당기원장'!$B$5:$B$1004,"")</x:f>
        <x:v>0</x:v>
      </x:c>
      <x:c r="D13" s="65" t="str">
        <x:v>B열 계정명 보완</x:v>
      </x:c>
    </x:row>
  </x:sheetData>
  <x:mergeCells>
    <x:mergeCell ref="A1:F1"/>
  </x:mergeCells>
  <x:conditionalFormatting sqref="B4:B4">
    <x:cfRule type="containsText" dxfId="5" priority="1" operator="containsText" text="FAIL"/>
    <x:cfRule type="containsText" dxfId="6" priority="2" operator="containsText" text="PASS"/>
  </x:conditionalFormatting>
  <x:conditionalFormatting sqref="B8:B13">
    <x:cfRule type="containsText" dxfId="7" priority="3" operator="containsText" text="FAIL"/>
    <x:cfRule type="containsText" dxfId="8" priority="4" operator="containsText" text="PASS"/>
  </x:conditionalFormatting>
  <x:pageMargins left="0.7" right="0.7" top="0.75" bottom="0.75" header="0.3" footer="0.3"/>
</x:worksheet>
</file>